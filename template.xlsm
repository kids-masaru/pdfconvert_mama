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63B8694C-C973-43D4-85E9-55AA4898F80A}" xr6:coauthVersionLast="47" xr6:coauthVersionMax="47" xr10:uidLastSave="{00000000-0000-0000-0000-000000000000}"/>
  <bookViews>
    <workbookView xWindow="-108" yWindow="-108" windowWidth="23256" windowHeight="13896" firstSheet="4" activeTab="4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数出表_Excel（アレルギー入力）" sheetId="5" r:id="rId5"/>
    <sheet name="まとめ札" sheetId="6" state="hidden" r:id="rId6"/>
    <sheet name="先生札" sheetId="7" state="hidden" r:id="rId7"/>
    <sheet name="社食等の札" sheetId="8" state="hidden" r:id="rId8"/>
    <sheet name="盛付札（関数）" sheetId="9" state="hidden" r:id="rId9"/>
    <sheet name="札_まとめ（印刷用）" sheetId="10" r:id="rId10"/>
    <sheet name="数出表_Excel【15時】" sheetId="11" r:id="rId11"/>
    <sheet name="盛付札（関数）【15時】" sheetId="12" state="hidden" r:id="rId12"/>
    <sheet name="変更先抽出【15時】" sheetId="13" state="hidden" r:id="rId13"/>
    <sheet name="札_まとめ（印刷用）【15時】" sheetId="14" r:id="rId14"/>
    <sheet name="Sheet1" sheetId="15" state="hidden" r:id="rId15"/>
    <sheet name="商品マスタ一覧" sheetId="16" state="hidden" r:id="rId16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51" i="13" l="1" a="1"/>
  <c r="C451" i="13" s="1"/>
  <c r="B451" i="13" a="1"/>
  <c r="B451" i="13" s="1"/>
  <c r="C450" i="13" a="1"/>
  <c r="C450" i="13" s="1"/>
  <c r="Q450" i="13" s="1"/>
  <c r="B450" i="13" a="1"/>
  <c r="B450" i="13" s="1"/>
  <c r="C449" i="13" a="1"/>
  <c r="C449" i="13" s="1"/>
  <c r="B449" i="13" a="1"/>
  <c r="B449" i="13" s="1"/>
  <c r="H449" i="13" s="1" a="1"/>
  <c r="H449" i="13" s="1"/>
  <c r="I449" i="13" s="1"/>
  <c r="C448" i="13" a="1"/>
  <c r="C448" i="13" s="1"/>
  <c r="Q448" i="13" s="1"/>
  <c r="B448" i="13" a="1"/>
  <c r="B448" i="13" s="1"/>
  <c r="H448" i="13" s="1" a="1"/>
  <c r="H448" i="13" s="1"/>
  <c r="C447" i="13" a="1"/>
  <c r="C447" i="13" s="1"/>
  <c r="B447" i="13" a="1"/>
  <c r="B447" i="13" s="1"/>
  <c r="D447" i="13" s="1" a="1"/>
  <c r="D447" i="13" s="1"/>
  <c r="C446" i="13" a="1"/>
  <c r="C446" i="13" s="1"/>
  <c r="Q446" i="13" s="1"/>
  <c r="B446" i="13" a="1"/>
  <c r="B446" i="13" s="1"/>
  <c r="C445" i="13" a="1"/>
  <c r="C445" i="13" s="1"/>
  <c r="B445" i="13" a="1"/>
  <c r="B445" i="13" s="1"/>
  <c r="L445" i="13" s="1" a="1"/>
  <c r="L445" i="13" s="1"/>
  <c r="C444" i="13" a="1"/>
  <c r="C444" i="13" s="1"/>
  <c r="Q444" i="13" s="1"/>
  <c r="B444" i="13" a="1"/>
  <c r="B444" i="13" s="1"/>
  <c r="C443" i="13" a="1"/>
  <c r="C443" i="13" s="1"/>
  <c r="B443" i="13" a="1"/>
  <c r="B443" i="13" s="1"/>
  <c r="C442" i="13" a="1"/>
  <c r="C442" i="13" s="1"/>
  <c r="Q442" i="13" s="1"/>
  <c r="B442" i="13" a="1"/>
  <c r="B442" i="13" s="1"/>
  <c r="H442" i="13" s="1" a="1"/>
  <c r="H442" i="13" s="1"/>
  <c r="I442" i="13" s="1"/>
  <c r="C441" i="13" a="1"/>
  <c r="C441" i="13" s="1"/>
  <c r="B441" i="13" a="1"/>
  <c r="B441" i="13" s="1"/>
  <c r="C440" i="13" a="1"/>
  <c r="C440" i="13" s="1"/>
  <c r="Q440" i="13" s="1"/>
  <c r="B440" i="13" a="1"/>
  <c r="B440" i="13" s="1"/>
  <c r="C439" i="13" a="1"/>
  <c r="C439" i="13" s="1"/>
  <c r="B439" i="13" a="1"/>
  <c r="B439" i="13" s="1"/>
  <c r="C438" i="13" a="1"/>
  <c r="C438" i="13" s="1"/>
  <c r="Q438" i="13" s="1"/>
  <c r="B438" i="13" a="1"/>
  <c r="B438" i="13" s="1"/>
  <c r="A438" i="13" s="1"/>
  <c r="C437" i="13" a="1"/>
  <c r="C437" i="13" s="1"/>
  <c r="B437" i="13" a="1"/>
  <c r="B437" i="13" s="1"/>
  <c r="C436" i="13" a="1"/>
  <c r="C436" i="13" s="1"/>
  <c r="Q436" i="13" s="1"/>
  <c r="B436" i="13" a="1"/>
  <c r="B436" i="13" s="1"/>
  <c r="D436" i="13" s="1" a="1"/>
  <c r="D436" i="13" s="1"/>
  <c r="E436" i="13" s="1"/>
  <c r="C435" i="13" a="1"/>
  <c r="C435" i="13" s="1"/>
  <c r="B435" i="13" a="1"/>
  <c r="B435" i="13" s="1"/>
  <c r="C434" i="13" a="1"/>
  <c r="C434" i="13" s="1"/>
  <c r="Q434" i="13" s="1"/>
  <c r="B434" i="13" a="1"/>
  <c r="B434" i="13" s="1"/>
  <c r="C433" i="13" a="1"/>
  <c r="C433" i="13" s="1"/>
  <c r="B433" i="13" a="1"/>
  <c r="B433" i="13" s="1"/>
  <c r="C432" i="13" a="1"/>
  <c r="C432" i="13" s="1"/>
  <c r="Q432" i="13" s="1"/>
  <c r="B432" i="13" a="1"/>
  <c r="B432" i="13" s="1"/>
  <c r="C431" i="13" a="1"/>
  <c r="C431" i="13" s="1"/>
  <c r="B431" i="13" a="1"/>
  <c r="B431" i="13" s="1"/>
  <c r="C430" i="13" a="1"/>
  <c r="C430" i="13" s="1"/>
  <c r="Q430" i="13" s="1"/>
  <c r="B430" i="13" a="1"/>
  <c r="B430" i="13" s="1"/>
  <c r="C429" i="13" a="1"/>
  <c r="C429" i="13" s="1"/>
  <c r="B429" i="13" a="1"/>
  <c r="B429" i="13" s="1"/>
  <c r="A429" i="13" s="1"/>
  <c r="C428" i="13" a="1"/>
  <c r="C428" i="13" s="1"/>
  <c r="Q428" i="13" s="1"/>
  <c r="B428" i="13" a="1"/>
  <c r="B428" i="13" s="1"/>
  <c r="C427" i="13" a="1"/>
  <c r="C427" i="13" s="1"/>
  <c r="B427" i="13" a="1"/>
  <c r="B427" i="13" s="1"/>
  <c r="C426" i="13" a="1"/>
  <c r="C426" i="13" s="1"/>
  <c r="Q426" i="13" s="1"/>
  <c r="B426" i="13" a="1"/>
  <c r="B426" i="13" s="1"/>
  <c r="H426" i="13" s="1" a="1"/>
  <c r="H426" i="13" s="1"/>
  <c r="I426" i="13" s="1"/>
  <c r="C425" i="13" a="1"/>
  <c r="C425" i="13" s="1"/>
  <c r="B425" i="13" a="1"/>
  <c r="B425" i="13" s="1"/>
  <c r="C424" i="13" a="1"/>
  <c r="C424" i="13" s="1"/>
  <c r="Q424" i="13" s="1"/>
  <c r="B424" i="13" a="1"/>
  <c r="B424" i="13" s="1"/>
  <c r="C423" i="13" a="1"/>
  <c r="C423" i="13" s="1"/>
  <c r="B423" i="13" a="1"/>
  <c r="B423" i="13" s="1"/>
  <c r="H423" i="13" s="1" a="1"/>
  <c r="H423" i="13" s="1"/>
  <c r="C422" i="13" a="1"/>
  <c r="C422" i="13" s="1"/>
  <c r="Q422" i="13" s="1"/>
  <c r="B422" i="13" a="1"/>
  <c r="B422" i="13" s="1"/>
  <c r="A422" i="13" s="1"/>
  <c r="C421" i="13" a="1"/>
  <c r="C421" i="13" s="1"/>
  <c r="B421" i="13" a="1"/>
  <c r="B421" i="13" s="1"/>
  <c r="C420" i="13" a="1"/>
  <c r="C420" i="13" s="1"/>
  <c r="Q420" i="13" s="1"/>
  <c r="B420" i="13" a="1"/>
  <c r="B420" i="13" s="1"/>
  <c r="H420" i="13" s="1" a="1"/>
  <c r="H420" i="13" s="1"/>
  <c r="C419" i="13" a="1"/>
  <c r="C419" i="13" s="1"/>
  <c r="B419" i="13" a="1"/>
  <c r="B419" i="13" s="1"/>
  <c r="C418" i="13" a="1"/>
  <c r="C418" i="13" s="1"/>
  <c r="Q418" i="13" s="1"/>
  <c r="B418" i="13" a="1"/>
  <c r="B418" i="13" s="1"/>
  <c r="C417" i="13" a="1"/>
  <c r="C417" i="13" s="1"/>
  <c r="B417" i="13" a="1"/>
  <c r="B417" i="13" s="1"/>
  <c r="L417" i="13" s="1" a="1"/>
  <c r="L417" i="13" s="1"/>
  <c r="C416" i="13" a="1"/>
  <c r="C416" i="13" s="1"/>
  <c r="Q416" i="13" s="1"/>
  <c r="B416" i="13" a="1"/>
  <c r="B416" i="13" s="1"/>
  <c r="L416" i="13" s="1" a="1"/>
  <c r="L416" i="13" s="1"/>
  <c r="C415" i="13" a="1"/>
  <c r="C415" i="13" s="1"/>
  <c r="B415" i="13" a="1"/>
  <c r="B415" i="13" s="1"/>
  <c r="C414" i="13" a="1"/>
  <c r="C414" i="13" s="1"/>
  <c r="Q414" i="13" s="1"/>
  <c r="B414" i="13" a="1"/>
  <c r="B414" i="13" s="1"/>
  <c r="D414" i="13" s="1" a="1"/>
  <c r="D414" i="13" s="1"/>
  <c r="C413" i="13" a="1"/>
  <c r="C413" i="13" s="1"/>
  <c r="B413" i="13" a="1"/>
  <c r="B413" i="13" s="1"/>
  <c r="H413" i="13" s="1" a="1"/>
  <c r="H413" i="13" s="1"/>
  <c r="J413" i="13" s="1"/>
  <c r="C412" i="13" a="1"/>
  <c r="C412" i="13" s="1"/>
  <c r="Q412" i="13" s="1"/>
  <c r="B412" i="13" a="1"/>
  <c r="B412" i="13" s="1"/>
  <c r="L412" i="13" s="1" a="1"/>
  <c r="L412" i="13" s="1"/>
  <c r="N412" i="13" s="1"/>
  <c r="C411" i="13" a="1"/>
  <c r="C411" i="13" s="1"/>
  <c r="B411" i="13" a="1"/>
  <c r="B411" i="13" s="1"/>
  <c r="C410" i="13" a="1"/>
  <c r="C410" i="13" s="1"/>
  <c r="Q410" i="13" s="1"/>
  <c r="B410" i="13" a="1"/>
  <c r="B410" i="13" s="1"/>
  <c r="C409" i="13" a="1"/>
  <c r="C409" i="13" s="1"/>
  <c r="B409" i="13" a="1"/>
  <c r="B409" i="13" s="1"/>
  <c r="C408" i="13" a="1"/>
  <c r="C408" i="13" s="1"/>
  <c r="Q408" i="13" s="1"/>
  <c r="B408" i="13" a="1"/>
  <c r="B408" i="13" s="1"/>
  <c r="C407" i="13" a="1"/>
  <c r="C407" i="13" s="1"/>
  <c r="B407" i="13" a="1"/>
  <c r="B407" i="13" s="1"/>
  <c r="L407" i="13" s="1" a="1"/>
  <c r="L407" i="13" s="1"/>
  <c r="C406" i="13" a="1"/>
  <c r="C406" i="13" s="1"/>
  <c r="Q406" i="13" s="1"/>
  <c r="B406" i="13" a="1"/>
  <c r="B406" i="13" s="1"/>
  <c r="H406" i="13" s="1" a="1"/>
  <c r="H406" i="13" s="1"/>
  <c r="C405" i="13" a="1"/>
  <c r="C405" i="13" s="1"/>
  <c r="B405" i="13" a="1"/>
  <c r="B405" i="13" s="1"/>
  <c r="L405" i="13" s="1" a="1"/>
  <c r="L405" i="13" s="1"/>
  <c r="M405" i="13" s="1"/>
  <c r="C404" i="13" a="1"/>
  <c r="C404" i="13" s="1"/>
  <c r="Q404" i="13" s="1"/>
  <c r="B404" i="13" a="1"/>
  <c r="B404" i="13" s="1"/>
  <c r="D404" i="13" s="1" a="1"/>
  <c r="D404" i="13" s="1"/>
  <c r="C403" i="13" a="1"/>
  <c r="C403" i="13" s="1"/>
  <c r="B403" i="13" a="1"/>
  <c r="B403" i="13" s="1"/>
  <c r="C402" i="13" a="1"/>
  <c r="C402" i="13" s="1"/>
  <c r="Q402" i="13" s="1"/>
  <c r="B402" i="13" a="1"/>
  <c r="B402" i="13" s="1"/>
  <c r="D402" i="13" s="1" a="1"/>
  <c r="D402" i="13" s="1"/>
  <c r="C401" i="13" a="1"/>
  <c r="C401" i="13" s="1"/>
  <c r="B401" i="13" a="1"/>
  <c r="B401" i="13" s="1"/>
  <c r="C400" i="13" a="1"/>
  <c r="C400" i="13" s="1"/>
  <c r="Q400" i="13" s="1"/>
  <c r="B400" i="13" a="1"/>
  <c r="B400" i="13" s="1"/>
  <c r="C399" i="13" a="1"/>
  <c r="C399" i="13" s="1"/>
  <c r="B399" i="13" a="1"/>
  <c r="B399" i="13" s="1"/>
  <c r="H399" i="13" s="1" a="1"/>
  <c r="H399" i="13" s="1"/>
  <c r="C398" i="13" a="1"/>
  <c r="C398" i="13" s="1"/>
  <c r="Q398" i="13" s="1"/>
  <c r="B398" i="13" a="1"/>
  <c r="B398" i="13" s="1"/>
  <c r="L398" i="13" s="1" a="1"/>
  <c r="L398" i="13" s="1"/>
  <c r="C397" i="13" a="1"/>
  <c r="C397" i="13" s="1"/>
  <c r="B397" i="13" a="1"/>
  <c r="B397" i="13" s="1"/>
  <c r="H397" i="13" s="1" a="1"/>
  <c r="H397" i="13" s="1"/>
  <c r="C396" i="13" a="1"/>
  <c r="C396" i="13" s="1"/>
  <c r="Q396" i="13" s="1"/>
  <c r="B396" i="13" a="1"/>
  <c r="B396" i="13" s="1"/>
  <c r="A396" i="13" s="1"/>
  <c r="C395" i="13" a="1"/>
  <c r="C395" i="13" s="1"/>
  <c r="B395" i="13" a="1"/>
  <c r="B395" i="13" s="1"/>
  <c r="H395" i="13" s="1" a="1"/>
  <c r="H395" i="13" s="1"/>
  <c r="C394" i="13" a="1"/>
  <c r="C394" i="13" s="1"/>
  <c r="Q394" i="13" s="1"/>
  <c r="B394" i="13" a="1"/>
  <c r="B394" i="13" s="1"/>
  <c r="C393" i="13" a="1"/>
  <c r="C393" i="13" s="1"/>
  <c r="B393" i="13" a="1"/>
  <c r="B393" i="13" s="1"/>
  <c r="A393" i="13" s="1"/>
  <c r="C392" i="13" a="1"/>
  <c r="C392" i="13" s="1"/>
  <c r="Q392" i="13" s="1"/>
  <c r="B392" i="13" a="1"/>
  <c r="B392" i="13" s="1"/>
  <c r="C391" i="13" a="1"/>
  <c r="C391" i="13" s="1"/>
  <c r="B391" i="13" a="1"/>
  <c r="B391" i="13" s="1"/>
  <c r="A391" i="13" s="1"/>
  <c r="C390" i="13" a="1"/>
  <c r="C390" i="13" s="1"/>
  <c r="Q390" i="13" s="1"/>
  <c r="B390" i="13" a="1"/>
  <c r="B390" i="13" s="1"/>
  <c r="H390" i="13" s="1" a="1"/>
  <c r="H390" i="13" s="1"/>
  <c r="C389" i="13" a="1"/>
  <c r="C389" i="13" s="1"/>
  <c r="B389" i="13" a="1"/>
  <c r="B389" i="13" s="1"/>
  <c r="C388" i="13" a="1"/>
  <c r="C388" i="13" s="1"/>
  <c r="Q388" i="13" s="1"/>
  <c r="B388" i="13" a="1"/>
  <c r="B388" i="13" s="1"/>
  <c r="C387" i="13" a="1"/>
  <c r="C387" i="13" s="1"/>
  <c r="B387" i="13" a="1"/>
  <c r="B387" i="13" s="1"/>
  <c r="C386" i="13" a="1"/>
  <c r="C386" i="13" s="1"/>
  <c r="Q386" i="13" s="1"/>
  <c r="B386" i="13" a="1"/>
  <c r="B386" i="13" s="1"/>
  <c r="A386" i="13" s="1"/>
  <c r="C385" i="13" a="1"/>
  <c r="C385" i="13" s="1"/>
  <c r="B385" i="13" a="1"/>
  <c r="B385" i="13" s="1"/>
  <c r="H385" i="13" s="1" a="1"/>
  <c r="H385" i="13" s="1"/>
  <c r="I385" i="13" s="1"/>
  <c r="C384" i="13" a="1"/>
  <c r="C384" i="13" s="1"/>
  <c r="Q384" i="13" s="1"/>
  <c r="B384" i="13" a="1"/>
  <c r="B384" i="13" s="1"/>
  <c r="C383" i="13" a="1"/>
  <c r="C383" i="13" s="1"/>
  <c r="B383" i="13" a="1"/>
  <c r="B383" i="13" s="1"/>
  <c r="C382" i="13" a="1"/>
  <c r="C382" i="13" s="1"/>
  <c r="Q382" i="13" s="1"/>
  <c r="B382" i="13" a="1"/>
  <c r="B382" i="13" s="1"/>
  <c r="C381" i="13" a="1"/>
  <c r="C381" i="13" s="1"/>
  <c r="B381" i="13" a="1"/>
  <c r="B381" i="13" s="1"/>
  <c r="C380" i="13" a="1"/>
  <c r="C380" i="13" s="1"/>
  <c r="Q380" i="13" s="1"/>
  <c r="B380" i="13" a="1"/>
  <c r="B380" i="13" s="1"/>
  <c r="C379" i="13" a="1"/>
  <c r="C379" i="13" s="1"/>
  <c r="B379" i="13" a="1"/>
  <c r="B379" i="13" s="1"/>
  <c r="C378" i="13" a="1"/>
  <c r="C378" i="13" s="1"/>
  <c r="Q378" i="13" s="1"/>
  <c r="B378" i="13" a="1"/>
  <c r="B378" i="13" s="1"/>
  <c r="H378" i="13" s="1" a="1"/>
  <c r="H378" i="13" s="1"/>
  <c r="C377" i="13" a="1"/>
  <c r="C377" i="13" s="1"/>
  <c r="B377" i="13" a="1"/>
  <c r="B377" i="13" s="1"/>
  <c r="A377" i="13" s="1"/>
  <c r="C376" i="13" a="1"/>
  <c r="C376" i="13" s="1"/>
  <c r="Q376" i="13" s="1"/>
  <c r="B376" i="13" a="1"/>
  <c r="B376" i="13" s="1"/>
  <c r="D376" i="13" s="1" a="1"/>
  <c r="D376" i="13" s="1"/>
  <c r="C375" i="13" a="1"/>
  <c r="C375" i="13" s="1"/>
  <c r="B375" i="13" a="1"/>
  <c r="B375" i="13" s="1"/>
  <c r="A375" i="13" s="1"/>
  <c r="C374" i="13" a="1"/>
  <c r="C374" i="13" s="1"/>
  <c r="Q374" i="13" s="1"/>
  <c r="B374" i="13" a="1"/>
  <c r="B374" i="13" s="1"/>
  <c r="D374" i="13" s="1" a="1"/>
  <c r="D374" i="13" s="1"/>
  <c r="C373" i="13" a="1"/>
  <c r="C373" i="13" s="1"/>
  <c r="B373" i="13" a="1"/>
  <c r="B373" i="13" s="1"/>
  <c r="H373" i="13" s="1" a="1"/>
  <c r="H373" i="13" s="1"/>
  <c r="C372" i="13" a="1"/>
  <c r="C372" i="13" s="1"/>
  <c r="Q372" i="13" s="1"/>
  <c r="B372" i="13" a="1"/>
  <c r="B372" i="13" s="1"/>
  <c r="H372" i="13" s="1" a="1"/>
  <c r="H372" i="13" s="1"/>
  <c r="C371" i="13" a="1"/>
  <c r="C371" i="13" s="1"/>
  <c r="B371" i="13" a="1"/>
  <c r="B371" i="13" s="1"/>
  <c r="D371" i="13" s="1" a="1"/>
  <c r="D371" i="13" s="1"/>
  <c r="C370" i="13" a="1"/>
  <c r="C370" i="13" s="1"/>
  <c r="Q370" i="13" s="1"/>
  <c r="B370" i="13" a="1"/>
  <c r="B370" i="13" s="1"/>
  <c r="C369" i="13" a="1"/>
  <c r="C369" i="13" s="1"/>
  <c r="B369" i="13" a="1"/>
  <c r="B369" i="13" s="1"/>
  <c r="C368" i="13" a="1"/>
  <c r="C368" i="13" s="1"/>
  <c r="Q368" i="13" s="1"/>
  <c r="B368" i="13" a="1"/>
  <c r="B368" i="13" s="1"/>
  <c r="A368" i="13" s="1"/>
  <c r="C367" i="13" a="1"/>
  <c r="C367" i="13" s="1"/>
  <c r="B367" i="13" a="1"/>
  <c r="B367" i="13" s="1"/>
  <c r="C366" i="13" a="1"/>
  <c r="C366" i="13" s="1"/>
  <c r="Q366" i="13" s="1"/>
  <c r="B366" i="13" a="1"/>
  <c r="B366" i="13" s="1"/>
  <c r="A366" i="13" s="1"/>
  <c r="C365" i="13" a="1"/>
  <c r="C365" i="13" s="1"/>
  <c r="B365" i="13" a="1"/>
  <c r="B365" i="13" s="1"/>
  <c r="D365" i="13" s="1" a="1"/>
  <c r="D365" i="13" s="1"/>
  <c r="C364" i="13" a="1"/>
  <c r="C364" i="13" s="1"/>
  <c r="Q364" i="13" s="1"/>
  <c r="B364" i="13" a="1"/>
  <c r="B364" i="13" s="1"/>
  <c r="C363" i="13" a="1"/>
  <c r="C363" i="13" s="1"/>
  <c r="B363" i="13" a="1"/>
  <c r="B363" i="13" s="1"/>
  <c r="A363" i="13" s="1"/>
  <c r="C362" i="13" a="1"/>
  <c r="C362" i="13" s="1"/>
  <c r="Q362" i="13" s="1"/>
  <c r="B362" i="13" a="1"/>
  <c r="B362" i="13" s="1"/>
  <c r="H362" i="13" s="1" a="1"/>
  <c r="H362" i="13" s="1"/>
  <c r="C361" i="13" a="1"/>
  <c r="C361" i="13" s="1"/>
  <c r="B361" i="13" a="1"/>
  <c r="B361" i="13" s="1"/>
  <c r="H361" i="13" s="1" a="1"/>
  <c r="H361" i="13" s="1"/>
  <c r="K361" i="13" s="1"/>
  <c r="C360" i="13" a="1"/>
  <c r="C360" i="13" s="1"/>
  <c r="Q360" i="13" s="1"/>
  <c r="B360" i="13" a="1"/>
  <c r="B360" i="13" s="1"/>
  <c r="C359" i="13" a="1"/>
  <c r="C359" i="13" s="1"/>
  <c r="B359" i="13" a="1"/>
  <c r="B359" i="13" s="1"/>
  <c r="L359" i="13" s="1" a="1"/>
  <c r="L359" i="13" s="1"/>
  <c r="C358" i="13" a="1"/>
  <c r="C358" i="13" s="1"/>
  <c r="Q358" i="13" s="1"/>
  <c r="B358" i="13" a="1"/>
  <c r="B358" i="13" s="1"/>
  <c r="C357" i="13" a="1"/>
  <c r="C357" i="13" s="1"/>
  <c r="B357" i="13" a="1"/>
  <c r="B357" i="13" s="1"/>
  <c r="C356" i="13" a="1"/>
  <c r="C356" i="13" s="1"/>
  <c r="Q356" i="13" s="1"/>
  <c r="B356" i="13" a="1"/>
  <c r="B356" i="13" s="1"/>
  <c r="D356" i="13" s="1" a="1"/>
  <c r="D356" i="13" s="1"/>
  <c r="E356" i="13" s="1"/>
  <c r="C355" i="13" a="1"/>
  <c r="C355" i="13" s="1"/>
  <c r="B355" i="13" a="1"/>
  <c r="B355" i="13" s="1"/>
  <c r="H355" i="13" s="1" a="1"/>
  <c r="H355" i="13" s="1"/>
  <c r="C354" i="13" a="1"/>
  <c r="C354" i="13" s="1"/>
  <c r="Q354" i="13" s="1"/>
  <c r="B354" i="13" a="1"/>
  <c r="B354" i="13" s="1"/>
  <c r="H354" i="13" s="1" a="1"/>
  <c r="H354" i="13" s="1"/>
  <c r="K354" i="13" s="1"/>
  <c r="C353" i="13" a="1"/>
  <c r="C353" i="13" s="1"/>
  <c r="B353" i="13" a="1"/>
  <c r="B353" i="13" s="1"/>
  <c r="H353" i="13" s="1" a="1"/>
  <c r="H353" i="13" s="1"/>
  <c r="C352" i="13" a="1"/>
  <c r="C352" i="13" s="1"/>
  <c r="Q352" i="13" s="1"/>
  <c r="B352" i="13" a="1"/>
  <c r="B352" i="13" s="1"/>
  <c r="C351" i="13" a="1"/>
  <c r="C351" i="13" s="1"/>
  <c r="B351" i="13" a="1"/>
  <c r="B351" i="13" s="1"/>
  <c r="H351" i="13" s="1" a="1"/>
  <c r="H351" i="13" s="1"/>
  <c r="C350" i="13" a="1"/>
  <c r="C350" i="13" s="1"/>
  <c r="Q350" i="13" s="1"/>
  <c r="B350" i="13" a="1"/>
  <c r="B350" i="13" s="1"/>
  <c r="C349" i="13" a="1"/>
  <c r="C349" i="13" s="1"/>
  <c r="B349" i="13" a="1"/>
  <c r="B349" i="13" s="1"/>
  <c r="H349" i="13" s="1" a="1"/>
  <c r="H349" i="13" s="1"/>
  <c r="C348" i="13" a="1"/>
  <c r="C348" i="13" s="1"/>
  <c r="Q348" i="13" s="1"/>
  <c r="B348" i="13" a="1"/>
  <c r="B348" i="13" s="1"/>
  <c r="C347" i="13" a="1"/>
  <c r="C347" i="13" s="1"/>
  <c r="B347" i="13" a="1"/>
  <c r="B347" i="13" s="1"/>
  <c r="D347" i="13" s="1" a="1"/>
  <c r="D347" i="13" s="1"/>
  <c r="C346" i="13" a="1"/>
  <c r="C346" i="13" s="1"/>
  <c r="Q346" i="13" s="1"/>
  <c r="B346" i="13" a="1"/>
  <c r="B346" i="13" s="1"/>
  <c r="C345" i="13" a="1"/>
  <c r="C345" i="13" s="1"/>
  <c r="B345" i="13" a="1"/>
  <c r="B345" i="13" s="1"/>
  <c r="C344" i="13" a="1"/>
  <c r="C344" i="13" s="1"/>
  <c r="Q344" i="13" s="1"/>
  <c r="B344" i="13" a="1"/>
  <c r="B344" i="13" s="1"/>
  <c r="C343" i="13" a="1"/>
  <c r="C343" i="13" s="1"/>
  <c r="B343" i="13" a="1"/>
  <c r="B343" i="13" s="1"/>
  <c r="C342" i="13" a="1"/>
  <c r="C342" i="13" s="1"/>
  <c r="Q342" i="13" s="1"/>
  <c r="B342" i="13" a="1"/>
  <c r="B342" i="13" s="1"/>
  <c r="C341" i="13" a="1"/>
  <c r="C341" i="13" s="1"/>
  <c r="B341" i="13" a="1"/>
  <c r="B341" i="13" s="1"/>
  <c r="A341" i="13" s="1"/>
  <c r="C340" i="13" a="1"/>
  <c r="C340" i="13" s="1"/>
  <c r="Q340" i="13" s="1"/>
  <c r="B340" i="13" a="1"/>
  <c r="B340" i="13" s="1"/>
  <c r="D340" i="13" s="1" a="1"/>
  <c r="D340" i="13" s="1"/>
  <c r="C339" i="13" a="1"/>
  <c r="C339" i="13" s="1"/>
  <c r="B339" i="13" a="1"/>
  <c r="B339" i="13" s="1"/>
  <c r="D339" i="13" s="1" a="1"/>
  <c r="D339" i="13" s="1"/>
  <c r="C338" i="13" a="1"/>
  <c r="C338" i="13" s="1"/>
  <c r="Q338" i="13" s="1"/>
  <c r="B338" i="13" a="1"/>
  <c r="B338" i="13" s="1"/>
  <c r="C337" i="13" a="1"/>
  <c r="C337" i="13" s="1"/>
  <c r="B337" i="13" a="1"/>
  <c r="B337" i="13" s="1"/>
  <c r="A337" i="13" s="1"/>
  <c r="C336" i="13" a="1"/>
  <c r="C336" i="13" s="1"/>
  <c r="Q336" i="13" s="1"/>
  <c r="B336" i="13" a="1"/>
  <c r="B336" i="13" s="1"/>
  <c r="C335" i="13" a="1"/>
  <c r="C335" i="13" s="1"/>
  <c r="B335" i="13" a="1"/>
  <c r="B335" i="13" s="1"/>
  <c r="C334" i="13" a="1"/>
  <c r="C334" i="13" s="1"/>
  <c r="Q334" i="13" s="1"/>
  <c r="B334" i="13" a="1"/>
  <c r="B334" i="13" s="1"/>
  <c r="A334" i="13" s="1"/>
  <c r="C333" i="13" a="1"/>
  <c r="C333" i="13" s="1"/>
  <c r="B333" i="13" a="1"/>
  <c r="B333" i="13" s="1"/>
  <c r="C332" i="13" a="1"/>
  <c r="C332" i="13" s="1"/>
  <c r="Q332" i="13" s="1"/>
  <c r="B332" i="13" a="1"/>
  <c r="B332" i="13" s="1"/>
  <c r="C331" i="13" a="1"/>
  <c r="C331" i="13" s="1"/>
  <c r="B331" i="13" a="1"/>
  <c r="B331" i="13" s="1"/>
  <c r="C330" i="13" a="1"/>
  <c r="C330" i="13" s="1"/>
  <c r="Q330" i="13" s="1"/>
  <c r="B330" i="13" a="1"/>
  <c r="B330" i="13" s="1"/>
  <c r="A330" i="13" s="1"/>
  <c r="C329" i="13" a="1"/>
  <c r="C329" i="13" s="1"/>
  <c r="B329" i="13" a="1"/>
  <c r="B329" i="13" s="1"/>
  <c r="C328" i="13" a="1"/>
  <c r="C328" i="13" s="1"/>
  <c r="Q328" i="13" s="1"/>
  <c r="B328" i="13" a="1"/>
  <c r="B328" i="13" s="1"/>
  <c r="C327" i="13" a="1"/>
  <c r="C327" i="13" s="1"/>
  <c r="B327" i="13" a="1"/>
  <c r="B327" i="13" s="1"/>
  <c r="C326" i="13" a="1"/>
  <c r="C326" i="13" s="1"/>
  <c r="Q326" i="13" s="1"/>
  <c r="B326" i="13" a="1"/>
  <c r="B326" i="13" s="1"/>
  <c r="C325" i="13" a="1"/>
  <c r="C325" i="13" s="1"/>
  <c r="B325" i="13" a="1"/>
  <c r="B325" i="13" s="1"/>
  <c r="H325" i="13" s="1" a="1"/>
  <c r="H325" i="13" s="1"/>
  <c r="C324" i="13" a="1"/>
  <c r="C324" i="13" s="1"/>
  <c r="Q324" i="13" s="1"/>
  <c r="B324" i="13" a="1"/>
  <c r="B324" i="13" s="1"/>
  <c r="C323" i="13" a="1"/>
  <c r="C323" i="13" s="1"/>
  <c r="B323" i="13" a="1"/>
  <c r="B323" i="13" s="1"/>
  <c r="D323" i="13" s="1" a="1"/>
  <c r="D323" i="13" s="1"/>
  <c r="C322" i="13" a="1"/>
  <c r="C322" i="13" s="1"/>
  <c r="Q322" i="13" s="1"/>
  <c r="B322" i="13" a="1"/>
  <c r="B322" i="13" s="1"/>
  <c r="D322" i="13" s="1" a="1"/>
  <c r="D322" i="13" s="1"/>
  <c r="C321" i="13" a="1"/>
  <c r="C321" i="13" s="1"/>
  <c r="B321" i="13" a="1"/>
  <c r="B321" i="13" s="1"/>
  <c r="C320" i="13" a="1"/>
  <c r="C320" i="13" s="1"/>
  <c r="Q320" i="13" s="1"/>
  <c r="B320" i="13" a="1"/>
  <c r="B320" i="13" s="1"/>
  <c r="C319" i="13" a="1"/>
  <c r="C319" i="13" s="1"/>
  <c r="B319" i="13" a="1"/>
  <c r="B319" i="13" s="1"/>
  <c r="A319" i="13" s="1"/>
  <c r="C318" i="13" a="1"/>
  <c r="C318" i="13" s="1"/>
  <c r="Q318" i="13" s="1"/>
  <c r="B318" i="13" a="1"/>
  <c r="B318" i="13" s="1"/>
  <c r="H318" i="13" s="1" a="1"/>
  <c r="H318" i="13" s="1"/>
  <c r="K318" i="13" s="1"/>
  <c r="C317" i="13" a="1"/>
  <c r="C317" i="13" s="1"/>
  <c r="B317" i="13" a="1"/>
  <c r="B317" i="13" s="1"/>
  <c r="C316" i="13" a="1"/>
  <c r="C316" i="13" s="1"/>
  <c r="Q316" i="13" s="1"/>
  <c r="B316" i="13" a="1"/>
  <c r="B316" i="13" s="1"/>
  <c r="C315" i="13" a="1"/>
  <c r="C315" i="13" s="1"/>
  <c r="B315" i="13" a="1"/>
  <c r="B315" i="13" s="1"/>
  <c r="C314" i="13" a="1"/>
  <c r="C314" i="13" s="1"/>
  <c r="Q314" i="13" s="1"/>
  <c r="B314" i="13" a="1"/>
  <c r="B314" i="13" s="1"/>
  <c r="L314" i="13" s="1" a="1"/>
  <c r="L314" i="13" s="1"/>
  <c r="C313" i="13" a="1"/>
  <c r="C313" i="13" s="1"/>
  <c r="B313" i="13" a="1"/>
  <c r="B313" i="13" s="1"/>
  <c r="H313" i="13" s="1" a="1"/>
  <c r="H313" i="13" s="1"/>
  <c r="C312" i="13" a="1"/>
  <c r="C312" i="13" s="1"/>
  <c r="Q312" i="13" s="1"/>
  <c r="B312" i="13" a="1"/>
  <c r="B312" i="13" s="1"/>
  <c r="A312" i="13" s="1"/>
  <c r="C311" i="13" a="1"/>
  <c r="C311" i="13" s="1"/>
  <c r="B311" i="13" a="1"/>
  <c r="B311" i="13" s="1"/>
  <c r="H311" i="13" s="1" a="1"/>
  <c r="H311" i="13" s="1"/>
  <c r="J311" i="13" s="1"/>
  <c r="C310" i="13" a="1"/>
  <c r="C310" i="13" s="1"/>
  <c r="Q310" i="13" s="1"/>
  <c r="B310" i="13" a="1"/>
  <c r="B310" i="13" s="1"/>
  <c r="C309" i="13" a="1"/>
  <c r="C309" i="13" s="1"/>
  <c r="B309" i="13" a="1"/>
  <c r="B309" i="13" s="1"/>
  <c r="H309" i="13" s="1" a="1"/>
  <c r="H309" i="13" s="1"/>
  <c r="K309" i="13" s="1"/>
  <c r="C308" i="13" a="1"/>
  <c r="C308" i="13" s="1"/>
  <c r="Q308" i="13" s="1"/>
  <c r="B308" i="13" a="1"/>
  <c r="B308" i="13" s="1"/>
  <c r="H308" i="13" s="1" a="1"/>
  <c r="H308" i="13" s="1"/>
  <c r="C307" i="13" a="1"/>
  <c r="C307" i="13" s="1"/>
  <c r="B307" i="13" a="1"/>
  <c r="B307" i="13" s="1"/>
  <c r="C306" i="13" a="1"/>
  <c r="C306" i="13" s="1"/>
  <c r="Q306" i="13" s="1"/>
  <c r="B306" i="13" a="1"/>
  <c r="B306" i="13" s="1"/>
  <c r="H306" i="13" s="1" a="1"/>
  <c r="H306" i="13" s="1"/>
  <c r="J306" i="13" s="1"/>
  <c r="C305" i="13" a="1"/>
  <c r="C305" i="13" s="1"/>
  <c r="B305" i="13" a="1"/>
  <c r="B305" i="13" s="1"/>
  <c r="H305" i="13" s="1" a="1"/>
  <c r="H305" i="13" s="1"/>
  <c r="C304" i="13" a="1"/>
  <c r="C304" i="13" s="1"/>
  <c r="Q304" i="13" s="1"/>
  <c r="B304" i="13" a="1"/>
  <c r="B304" i="13" s="1"/>
  <c r="C303" i="13" a="1"/>
  <c r="C303" i="13" s="1"/>
  <c r="B303" i="13" a="1"/>
  <c r="B303" i="13" s="1"/>
  <c r="A303" i="13" s="1"/>
  <c r="C302" i="13" a="1"/>
  <c r="C302" i="13" s="1"/>
  <c r="Q302" i="13" s="1"/>
  <c r="B302" i="13" a="1"/>
  <c r="B302" i="13" s="1"/>
  <c r="H302" i="13" s="1" a="1"/>
  <c r="H302" i="13" s="1"/>
  <c r="K302" i="13" s="1"/>
  <c r="C301" i="13" a="1"/>
  <c r="C301" i="13" s="1"/>
  <c r="B301" i="13" a="1"/>
  <c r="B301" i="13" s="1"/>
  <c r="L301" i="13" s="1" a="1"/>
  <c r="L301" i="13" s="1"/>
  <c r="M301" i="13" s="1"/>
  <c r="C300" i="13" a="1"/>
  <c r="C300" i="13" s="1"/>
  <c r="Q300" i="13" s="1"/>
  <c r="B300" i="13" a="1"/>
  <c r="B300" i="13" s="1"/>
  <c r="C299" i="13" a="1"/>
  <c r="C299" i="13" s="1"/>
  <c r="B299" i="13" a="1"/>
  <c r="B299" i="13" s="1"/>
  <c r="C298" i="13" a="1"/>
  <c r="C298" i="13" s="1"/>
  <c r="Q298" i="13" s="1"/>
  <c r="B298" i="13" a="1"/>
  <c r="B298" i="13" s="1"/>
  <c r="A298" i="13" s="1"/>
  <c r="C297" i="13" a="1"/>
  <c r="C297" i="13" s="1"/>
  <c r="B297" i="13" a="1"/>
  <c r="B297" i="13" s="1"/>
  <c r="C296" i="13" a="1"/>
  <c r="C296" i="13" s="1"/>
  <c r="Q296" i="13" s="1"/>
  <c r="B296" i="13" a="1"/>
  <c r="B296" i="13" s="1"/>
  <c r="H296" i="13" s="1" a="1"/>
  <c r="H296" i="13" s="1"/>
  <c r="I296" i="13" s="1"/>
  <c r="C295" i="13" a="1"/>
  <c r="C295" i="13" s="1"/>
  <c r="B295" i="13" a="1"/>
  <c r="B295" i="13" s="1"/>
  <c r="C294" i="13" a="1"/>
  <c r="C294" i="13" s="1"/>
  <c r="Q294" i="13" s="1"/>
  <c r="B294" i="13" a="1"/>
  <c r="B294" i="13" s="1"/>
  <c r="D294" i="13" s="1" a="1"/>
  <c r="D294" i="13" s="1"/>
  <c r="C293" i="13" a="1"/>
  <c r="C293" i="13" s="1"/>
  <c r="B293" i="13" a="1"/>
  <c r="B293" i="13" s="1"/>
  <c r="H293" i="13" s="1" a="1"/>
  <c r="H293" i="13" s="1"/>
  <c r="C292" i="13" a="1"/>
  <c r="C292" i="13" s="1"/>
  <c r="Q292" i="13" s="1"/>
  <c r="B292" i="13" a="1"/>
  <c r="B292" i="13" s="1"/>
  <c r="A292" i="13" s="1"/>
  <c r="C291" i="13" a="1"/>
  <c r="C291" i="13" s="1"/>
  <c r="B291" i="13" a="1"/>
  <c r="B291" i="13" s="1"/>
  <c r="D291" i="13" s="1" a="1"/>
  <c r="D291" i="13" s="1"/>
  <c r="C290" i="13" a="1"/>
  <c r="C290" i="13" s="1"/>
  <c r="Q290" i="13" s="1"/>
  <c r="B290" i="13" a="1"/>
  <c r="B290" i="13" s="1"/>
  <c r="C289" i="13" a="1"/>
  <c r="C289" i="13" s="1"/>
  <c r="B289" i="13" a="1"/>
  <c r="B289" i="13" s="1"/>
  <c r="C288" i="13" a="1"/>
  <c r="C288" i="13" s="1"/>
  <c r="Q288" i="13" s="1"/>
  <c r="B288" i="13" a="1"/>
  <c r="B288" i="13" s="1"/>
  <c r="C287" i="13" a="1"/>
  <c r="C287" i="13" s="1"/>
  <c r="B287" i="13" a="1"/>
  <c r="B287" i="13" s="1"/>
  <c r="C286" i="13" a="1"/>
  <c r="C286" i="13" s="1"/>
  <c r="Q286" i="13" s="1"/>
  <c r="B286" i="13" a="1"/>
  <c r="B286" i="13" s="1"/>
  <c r="H286" i="13" s="1" a="1"/>
  <c r="H286" i="13" s="1"/>
  <c r="C285" i="13" a="1"/>
  <c r="C285" i="13" s="1"/>
  <c r="B285" i="13" a="1"/>
  <c r="B285" i="13" s="1"/>
  <c r="D285" i="13" s="1" a="1"/>
  <c r="D285" i="13" s="1"/>
  <c r="C284" i="13" a="1"/>
  <c r="C284" i="13" s="1"/>
  <c r="Q284" i="13" s="1"/>
  <c r="B284" i="13" a="1"/>
  <c r="B284" i="13" s="1"/>
  <c r="C283" i="13" a="1"/>
  <c r="C283" i="13" s="1"/>
  <c r="B283" i="13" a="1"/>
  <c r="B283" i="13" s="1"/>
  <c r="C282" i="13" a="1"/>
  <c r="C282" i="13" s="1"/>
  <c r="Q282" i="13" s="1"/>
  <c r="B282" i="13" a="1"/>
  <c r="B282" i="13" s="1"/>
  <c r="C281" i="13" a="1"/>
  <c r="C281" i="13" s="1"/>
  <c r="B281" i="13" a="1"/>
  <c r="B281" i="13" s="1"/>
  <c r="D281" i="13" s="1" a="1"/>
  <c r="D281" i="13" s="1"/>
  <c r="E281" i="13" s="1"/>
  <c r="C280" i="13" a="1"/>
  <c r="C280" i="13" s="1"/>
  <c r="Q280" i="13" s="1"/>
  <c r="B280" i="13" a="1"/>
  <c r="B280" i="13" s="1"/>
  <c r="H280" i="13" s="1" a="1"/>
  <c r="H280" i="13" s="1"/>
  <c r="I280" i="13" s="1"/>
  <c r="C279" i="13" a="1"/>
  <c r="C279" i="13" s="1"/>
  <c r="B279" i="13" a="1"/>
  <c r="B279" i="13" s="1"/>
  <c r="C278" i="13" a="1"/>
  <c r="C278" i="13" s="1"/>
  <c r="Q278" i="13" s="1"/>
  <c r="B278" i="13" a="1"/>
  <c r="B278" i="13" s="1"/>
  <c r="D278" i="13" s="1" a="1"/>
  <c r="D278" i="13" s="1"/>
  <c r="F278" i="13" s="1"/>
  <c r="C277" i="13" a="1"/>
  <c r="C277" i="13" s="1"/>
  <c r="B277" i="13" a="1"/>
  <c r="B277" i="13" s="1"/>
  <c r="C276" i="13" a="1"/>
  <c r="C276" i="13" s="1"/>
  <c r="Q276" i="13" s="1"/>
  <c r="B276" i="13" a="1"/>
  <c r="B276" i="13" s="1"/>
  <c r="A276" i="13" s="1"/>
  <c r="C275" i="13" a="1"/>
  <c r="C275" i="13" s="1"/>
  <c r="B275" i="13" a="1"/>
  <c r="B275" i="13" s="1"/>
  <c r="D275" i="13" s="1" a="1"/>
  <c r="D275" i="13" s="1"/>
  <c r="C274" i="13" a="1"/>
  <c r="C274" i="13" s="1"/>
  <c r="Q274" i="13" s="1"/>
  <c r="B274" i="13" a="1"/>
  <c r="B274" i="13" s="1"/>
  <c r="D274" i="13" s="1" a="1"/>
  <c r="D274" i="13" s="1"/>
  <c r="E274" i="13" s="1"/>
  <c r="C273" i="13" a="1"/>
  <c r="C273" i="13" s="1"/>
  <c r="B273" i="13" a="1"/>
  <c r="B273" i="13" s="1"/>
  <c r="C272" i="13" a="1"/>
  <c r="C272" i="13" s="1"/>
  <c r="Q272" i="13" s="1"/>
  <c r="B272" i="13" a="1"/>
  <c r="B272" i="13" s="1"/>
  <c r="C271" i="13" a="1"/>
  <c r="C271" i="13" s="1"/>
  <c r="B271" i="13" a="1"/>
  <c r="B271" i="13" s="1"/>
  <c r="C270" i="13" a="1"/>
  <c r="C270" i="13" s="1"/>
  <c r="Q270" i="13" s="1"/>
  <c r="B270" i="13" a="1"/>
  <c r="B270" i="13" s="1"/>
  <c r="C269" i="13" a="1"/>
  <c r="C269" i="13" s="1"/>
  <c r="B269" i="13" a="1"/>
  <c r="B269" i="13" s="1"/>
  <c r="C268" i="13" a="1"/>
  <c r="C268" i="13" s="1"/>
  <c r="Q268" i="13" s="1"/>
  <c r="B268" i="13" a="1"/>
  <c r="B268" i="13" s="1"/>
  <c r="C267" i="13" a="1"/>
  <c r="C267" i="13" s="1"/>
  <c r="B267" i="13" a="1"/>
  <c r="B267" i="13" s="1"/>
  <c r="A267" i="13" s="1"/>
  <c r="C266" i="13" a="1"/>
  <c r="C266" i="13" s="1"/>
  <c r="Q266" i="13" s="1"/>
  <c r="B266" i="13" a="1"/>
  <c r="B266" i="13" s="1"/>
  <c r="H266" i="13" s="1" a="1"/>
  <c r="H266" i="13" s="1"/>
  <c r="C265" i="13" a="1"/>
  <c r="C265" i="13" s="1"/>
  <c r="B265" i="13" a="1"/>
  <c r="B265" i="13" s="1"/>
  <c r="D265" i="13" s="1" a="1"/>
  <c r="D265" i="13" s="1"/>
  <c r="C264" i="13" a="1"/>
  <c r="C264" i="13" s="1"/>
  <c r="Q264" i="13" s="1"/>
  <c r="B264" i="13" a="1"/>
  <c r="B264" i="13" s="1"/>
  <c r="C263" i="13" a="1"/>
  <c r="C263" i="13" s="1"/>
  <c r="B263" i="13" a="1"/>
  <c r="B263" i="13" s="1"/>
  <c r="C262" i="13" a="1"/>
  <c r="C262" i="13" s="1"/>
  <c r="Q262" i="13" s="1"/>
  <c r="B262" i="13" a="1"/>
  <c r="B262" i="13" s="1"/>
  <c r="C261" i="13" a="1"/>
  <c r="C261" i="13" s="1"/>
  <c r="B261" i="13" a="1"/>
  <c r="B261" i="13" s="1"/>
  <c r="C260" i="13" a="1"/>
  <c r="C260" i="13" s="1"/>
  <c r="Q260" i="13" s="1"/>
  <c r="B260" i="13" a="1"/>
  <c r="B260" i="13" s="1"/>
  <c r="C259" i="13" a="1"/>
  <c r="C259" i="13" s="1"/>
  <c r="B259" i="13" a="1"/>
  <c r="B259" i="13" s="1"/>
  <c r="D259" i="13" s="1" a="1"/>
  <c r="D259" i="13" s="1"/>
  <c r="C258" i="13" a="1"/>
  <c r="C258" i="13" s="1"/>
  <c r="Q258" i="13" s="1"/>
  <c r="B258" i="13" a="1"/>
  <c r="B258" i="13" s="1"/>
  <c r="D258" i="13" s="1" a="1"/>
  <c r="D258" i="13" s="1"/>
  <c r="C257" i="13" a="1"/>
  <c r="C257" i="13" s="1"/>
  <c r="B257" i="13" a="1"/>
  <c r="B257" i="13" s="1"/>
  <c r="C256" i="13" a="1"/>
  <c r="C256" i="13" s="1"/>
  <c r="Q256" i="13" s="1"/>
  <c r="B256" i="13" a="1"/>
  <c r="B256" i="13" s="1"/>
  <c r="C255" i="13" a="1"/>
  <c r="C255" i="13" s="1"/>
  <c r="B255" i="13" a="1"/>
  <c r="B255" i="13" s="1"/>
  <c r="D255" i="13" s="1" a="1"/>
  <c r="D255" i="13" s="1"/>
  <c r="E255" i="13" s="1"/>
  <c r="C254" i="13" a="1"/>
  <c r="C254" i="13" s="1"/>
  <c r="Q254" i="13" s="1"/>
  <c r="B254" i="13" a="1"/>
  <c r="B254" i="13" s="1"/>
  <c r="C253" i="13" a="1"/>
  <c r="C253" i="13" s="1"/>
  <c r="B253" i="13" a="1"/>
  <c r="B253" i="13" s="1"/>
  <c r="C252" i="13" a="1"/>
  <c r="C252" i="13" s="1"/>
  <c r="Q252" i="13" s="1"/>
  <c r="B252" i="13" a="1"/>
  <c r="B252" i="13" s="1"/>
  <c r="C251" i="13" a="1"/>
  <c r="C251" i="13" s="1"/>
  <c r="B251" i="13" a="1"/>
  <c r="B251" i="13" s="1"/>
  <c r="A251" i="13" s="1"/>
  <c r="C250" i="13" a="1"/>
  <c r="C250" i="13" s="1"/>
  <c r="Q250" i="13" s="1"/>
  <c r="B250" i="13" a="1"/>
  <c r="B250" i="13" s="1"/>
  <c r="C249" i="13" a="1"/>
  <c r="C249" i="13" s="1"/>
  <c r="B249" i="13" a="1"/>
  <c r="B249" i="13" s="1"/>
  <c r="D249" i="13" s="1" a="1"/>
  <c r="D249" i="13" s="1"/>
  <c r="C248" i="13" a="1"/>
  <c r="C248" i="13" s="1"/>
  <c r="Q248" i="13" s="1"/>
  <c r="B248" i="13" a="1"/>
  <c r="B248" i="13" s="1"/>
  <c r="C247" i="13" a="1"/>
  <c r="C247" i="13" s="1"/>
  <c r="B247" i="13" a="1"/>
  <c r="B247" i="13" s="1"/>
  <c r="H247" i="13" s="1" a="1"/>
  <c r="H247" i="13" s="1"/>
  <c r="C246" i="13" a="1"/>
  <c r="C246" i="13" s="1"/>
  <c r="Q246" i="13" s="1"/>
  <c r="B246" i="13" a="1"/>
  <c r="B246" i="13" s="1"/>
  <c r="A246" i="13" s="1"/>
  <c r="C245" i="13" a="1"/>
  <c r="C245" i="13" s="1"/>
  <c r="B245" i="13" a="1"/>
  <c r="B245" i="13" s="1"/>
  <c r="C244" i="13" a="1"/>
  <c r="C244" i="13" s="1"/>
  <c r="Q244" i="13" s="1"/>
  <c r="B244" i="13" a="1"/>
  <c r="B244" i="13" s="1"/>
  <c r="C243" i="13" a="1"/>
  <c r="C243" i="13" s="1"/>
  <c r="B243" i="13" a="1"/>
  <c r="B243" i="13" s="1"/>
  <c r="H243" i="13" s="1" a="1"/>
  <c r="H243" i="13" s="1"/>
  <c r="C242" i="13" a="1"/>
  <c r="C242" i="13" s="1"/>
  <c r="Q242" i="13" s="1"/>
  <c r="B242" i="13" a="1"/>
  <c r="B242" i="13" s="1"/>
  <c r="H242" i="13" s="1" a="1"/>
  <c r="H242" i="13" s="1"/>
  <c r="J242" i="13" s="1"/>
  <c r="C241" i="13" a="1"/>
  <c r="C241" i="13" s="1"/>
  <c r="B241" i="13" a="1"/>
  <c r="B241" i="13" s="1"/>
  <c r="C240" i="13" a="1"/>
  <c r="C240" i="13" s="1"/>
  <c r="Q240" i="13" s="1"/>
  <c r="B240" i="13" a="1"/>
  <c r="B240" i="13" s="1"/>
  <c r="C239" i="13" a="1"/>
  <c r="C239" i="13" s="1"/>
  <c r="B239" i="13" a="1"/>
  <c r="B239" i="13" s="1"/>
  <c r="C238" i="13" a="1"/>
  <c r="C238" i="13" s="1"/>
  <c r="Q238" i="13" s="1"/>
  <c r="B238" i="13" a="1"/>
  <c r="B238" i="13" s="1"/>
  <c r="C237" i="13" a="1"/>
  <c r="C237" i="13" s="1"/>
  <c r="B237" i="13" a="1"/>
  <c r="B237" i="13" s="1"/>
  <c r="C236" i="13" a="1"/>
  <c r="C236" i="13" s="1"/>
  <c r="Q236" i="13" s="1"/>
  <c r="B236" i="13" a="1"/>
  <c r="B236" i="13" s="1"/>
  <c r="H236" i="13" s="1" a="1"/>
  <c r="H236" i="13" s="1"/>
  <c r="K236" i="13" s="1"/>
  <c r="C235" i="13" a="1"/>
  <c r="C235" i="13" s="1"/>
  <c r="B235" i="13" a="1"/>
  <c r="B235" i="13" s="1"/>
  <c r="C234" i="13" a="1"/>
  <c r="C234" i="13" s="1"/>
  <c r="Q234" i="13" s="1"/>
  <c r="B234" i="13" a="1"/>
  <c r="B234" i="13" s="1"/>
  <c r="D234" i="13" s="1" a="1"/>
  <c r="D234" i="13" s="1"/>
  <c r="C233" i="13" a="1"/>
  <c r="C233" i="13" s="1"/>
  <c r="B233" i="13" a="1"/>
  <c r="B233" i="13" s="1"/>
  <c r="H233" i="13" s="1" a="1"/>
  <c r="H233" i="13" s="1"/>
  <c r="C232" i="13" a="1"/>
  <c r="C232" i="13" s="1"/>
  <c r="Q232" i="13" s="1"/>
  <c r="B232" i="13" a="1"/>
  <c r="B232" i="13" s="1"/>
  <c r="L232" i="13" s="1" a="1"/>
  <c r="L232" i="13" s="1"/>
  <c r="C231" i="13" a="1"/>
  <c r="C231" i="13" s="1"/>
  <c r="B231" i="13" a="1"/>
  <c r="B231" i="13" s="1"/>
  <c r="C230" i="13" a="1"/>
  <c r="C230" i="13" s="1"/>
  <c r="Q230" i="13" s="1"/>
  <c r="B230" i="13" a="1"/>
  <c r="B230" i="13" s="1"/>
  <c r="L230" i="13" s="1" a="1"/>
  <c r="L230" i="13" s="1"/>
  <c r="C229" i="13" a="1"/>
  <c r="C229" i="13" s="1"/>
  <c r="B229" i="13" a="1"/>
  <c r="B229" i="13" s="1"/>
  <c r="C228" i="13" a="1"/>
  <c r="C228" i="13" s="1"/>
  <c r="Q228" i="13" s="1"/>
  <c r="B228" i="13" a="1"/>
  <c r="B228" i="13" s="1"/>
  <c r="C227" i="13" a="1"/>
  <c r="C227" i="13" s="1"/>
  <c r="B227" i="13" a="1"/>
  <c r="B227" i="13" s="1"/>
  <c r="A227" i="13" s="1"/>
  <c r="C226" i="13" a="1"/>
  <c r="C226" i="13" s="1"/>
  <c r="Q226" i="13" s="1"/>
  <c r="B226" i="13" a="1"/>
  <c r="B226" i="13" s="1"/>
  <c r="H226" i="13" s="1" a="1"/>
  <c r="H226" i="13" s="1"/>
  <c r="C225" i="13" a="1"/>
  <c r="C225" i="13" s="1"/>
  <c r="B225" i="13" a="1"/>
  <c r="B225" i="13" s="1"/>
  <c r="C224" i="13" a="1"/>
  <c r="C224" i="13" s="1"/>
  <c r="Q224" i="13" s="1"/>
  <c r="B224" i="13" a="1"/>
  <c r="B224" i="13" s="1"/>
  <c r="D224" i="13" s="1" a="1"/>
  <c r="D224" i="13" s="1"/>
  <c r="C223" i="13" a="1"/>
  <c r="C223" i="13" s="1"/>
  <c r="B223" i="13" a="1"/>
  <c r="B223" i="13" s="1"/>
  <c r="C222" i="13" a="1"/>
  <c r="C222" i="13" s="1"/>
  <c r="Q222" i="13" s="1"/>
  <c r="B222" i="13" a="1"/>
  <c r="B222" i="13" s="1"/>
  <c r="C221" i="13" a="1"/>
  <c r="C221" i="13" s="1"/>
  <c r="B221" i="13" a="1"/>
  <c r="B221" i="13" s="1"/>
  <c r="A221" i="13" s="1"/>
  <c r="C220" i="13" a="1"/>
  <c r="C220" i="13" s="1"/>
  <c r="Q220" i="13" s="1"/>
  <c r="B220" i="13" a="1"/>
  <c r="B220" i="13" s="1"/>
  <c r="L220" i="13" s="1" a="1"/>
  <c r="L220" i="13" s="1"/>
  <c r="C219" i="13" a="1"/>
  <c r="C219" i="13" s="1"/>
  <c r="B219" i="13" a="1"/>
  <c r="B219" i="13" s="1"/>
  <c r="C218" i="13" a="1"/>
  <c r="C218" i="13" s="1"/>
  <c r="Q218" i="13" s="1"/>
  <c r="B218" i="13" a="1"/>
  <c r="B218" i="13" s="1"/>
  <c r="D218" i="13" s="1" a="1"/>
  <c r="D218" i="13" s="1"/>
  <c r="E218" i="13" s="1"/>
  <c r="C217" i="13" a="1"/>
  <c r="C217" i="13" s="1"/>
  <c r="B217" i="13" a="1"/>
  <c r="B217" i="13" s="1"/>
  <c r="C216" i="13" a="1"/>
  <c r="C216" i="13" s="1"/>
  <c r="Q216" i="13" s="1"/>
  <c r="B216" i="13" a="1"/>
  <c r="B216" i="13" s="1"/>
  <c r="C215" i="13" a="1"/>
  <c r="C215" i="13" s="1"/>
  <c r="B215" i="13" a="1"/>
  <c r="B215" i="13" s="1"/>
  <c r="H215" i="13" s="1" a="1"/>
  <c r="H215" i="13" s="1"/>
  <c r="I215" i="13" s="1"/>
  <c r="C214" i="13" a="1"/>
  <c r="C214" i="13" s="1"/>
  <c r="Q214" i="13" s="1"/>
  <c r="B214" i="13" a="1"/>
  <c r="B214" i="13" s="1"/>
  <c r="L214" i="13" s="1" a="1"/>
  <c r="L214" i="13" s="1"/>
  <c r="O214" i="13" s="1"/>
  <c r="C213" i="13" a="1"/>
  <c r="C213" i="13" s="1"/>
  <c r="B213" i="13" a="1"/>
  <c r="B213" i="13" s="1"/>
  <c r="C212" i="13" a="1"/>
  <c r="C212" i="13" s="1"/>
  <c r="Q212" i="13" s="1"/>
  <c r="B212" i="13" a="1"/>
  <c r="B212" i="13" s="1"/>
  <c r="C211" i="13" a="1"/>
  <c r="C211" i="13" s="1"/>
  <c r="B211" i="13" a="1"/>
  <c r="B211" i="13" s="1"/>
  <c r="C210" i="13" a="1"/>
  <c r="C210" i="13" s="1"/>
  <c r="Q210" i="13" s="1"/>
  <c r="B210" i="13" a="1"/>
  <c r="B210" i="13" s="1"/>
  <c r="D210" i="13" s="1" a="1"/>
  <c r="D210" i="13" s="1"/>
  <c r="C209" i="13" a="1"/>
  <c r="C209" i="13" s="1"/>
  <c r="B209" i="13" a="1"/>
  <c r="B209" i="13" s="1"/>
  <c r="D209" i="13" s="1" a="1"/>
  <c r="D209" i="13" s="1"/>
  <c r="C208" i="13" a="1"/>
  <c r="C208" i="13" s="1"/>
  <c r="Q208" i="13" s="1"/>
  <c r="B208" i="13" a="1"/>
  <c r="B208" i="13" s="1"/>
  <c r="C207" i="13" a="1"/>
  <c r="C207" i="13" s="1"/>
  <c r="B207" i="13" a="1"/>
  <c r="B207" i="13" s="1"/>
  <c r="D207" i="13" s="1" a="1"/>
  <c r="D207" i="13" s="1"/>
  <c r="G207" i="13" s="1"/>
  <c r="C206" i="13" a="1"/>
  <c r="C206" i="13" s="1"/>
  <c r="Q206" i="13" s="1"/>
  <c r="B206" i="13" a="1"/>
  <c r="B206" i="13" s="1"/>
  <c r="L206" i="13" s="1" a="1"/>
  <c r="L206" i="13" s="1"/>
  <c r="C205" i="13" a="1"/>
  <c r="C205" i="13" s="1"/>
  <c r="B205" i="13" a="1"/>
  <c r="B205" i="13" s="1"/>
  <c r="A205" i="13" s="1"/>
  <c r="C204" i="13" a="1"/>
  <c r="C204" i="13" s="1"/>
  <c r="Q204" i="13" s="1"/>
  <c r="B204" i="13" a="1"/>
  <c r="B204" i="13" s="1"/>
  <c r="C203" i="13" a="1"/>
  <c r="C203" i="13" s="1"/>
  <c r="B203" i="13" a="1"/>
  <c r="B203" i="13" s="1"/>
  <c r="C202" i="13" a="1"/>
  <c r="C202" i="13" s="1"/>
  <c r="Q202" i="13" s="1"/>
  <c r="B202" i="13" a="1"/>
  <c r="B202" i="13" s="1"/>
  <c r="L202" i="13" s="1" a="1"/>
  <c r="L202" i="13" s="1"/>
  <c r="M202" i="13" s="1"/>
  <c r="C201" i="13" a="1"/>
  <c r="C201" i="13" s="1"/>
  <c r="B201" i="13" a="1"/>
  <c r="B201" i="13" s="1"/>
  <c r="C200" i="13" a="1"/>
  <c r="C200" i="13" s="1"/>
  <c r="Q200" i="13" s="1"/>
  <c r="B200" i="13" a="1"/>
  <c r="B200" i="13" s="1"/>
  <c r="H200" i="13" s="1" a="1"/>
  <c r="H200" i="13" s="1"/>
  <c r="K200" i="13" s="1"/>
  <c r="C199" i="13" a="1"/>
  <c r="C199" i="13" s="1"/>
  <c r="B199" i="13" a="1"/>
  <c r="B199" i="13" s="1"/>
  <c r="C198" i="13" a="1"/>
  <c r="C198" i="13" s="1"/>
  <c r="Q198" i="13" s="1"/>
  <c r="B198" i="13" a="1"/>
  <c r="B198" i="13" s="1"/>
  <c r="A198" i="13" s="1"/>
  <c r="C197" i="13" a="1"/>
  <c r="C197" i="13" s="1"/>
  <c r="B197" i="13" a="1"/>
  <c r="B197" i="13" s="1"/>
  <c r="H197" i="13" s="1" a="1"/>
  <c r="H197" i="13" s="1"/>
  <c r="I197" i="13" s="1"/>
  <c r="C196" i="13" a="1"/>
  <c r="C196" i="13" s="1"/>
  <c r="Q196" i="13" s="1"/>
  <c r="B196" i="13" a="1"/>
  <c r="B196" i="13" s="1"/>
  <c r="L196" i="13" s="1" a="1"/>
  <c r="L196" i="13" s="1"/>
  <c r="C195" i="13" a="1"/>
  <c r="C195" i="13" s="1"/>
  <c r="B195" i="13" a="1"/>
  <c r="B195" i="13" s="1"/>
  <c r="C194" i="13" a="1"/>
  <c r="C194" i="13" s="1"/>
  <c r="Q194" i="13" s="1"/>
  <c r="B194" i="13" a="1"/>
  <c r="B194" i="13" s="1"/>
  <c r="H194" i="13" s="1" a="1"/>
  <c r="H194" i="13" s="1"/>
  <c r="C193" i="13" a="1"/>
  <c r="C193" i="13" s="1"/>
  <c r="B193" i="13" a="1"/>
  <c r="B193" i="13" s="1"/>
  <c r="C192" i="13" a="1"/>
  <c r="C192" i="13" s="1"/>
  <c r="Q192" i="13" s="1"/>
  <c r="B192" i="13" a="1"/>
  <c r="B192" i="13" s="1"/>
  <c r="H192" i="13" s="1" a="1"/>
  <c r="H192" i="13" s="1"/>
  <c r="I192" i="13" s="1"/>
  <c r="C191" i="13" a="1"/>
  <c r="C191" i="13" s="1"/>
  <c r="B191" i="13" a="1"/>
  <c r="B191" i="13" s="1"/>
  <c r="H191" i="13" s="1" a="1"/>
  <c r="H191" i="13" s="1"/>
  <c r="K191" i="13" s="1"/>
  <c r="C190" i="13" a="1"/>
  <c r="C190" i="13" s="1"/>
  <c r="Q190" i="13" s="1"/>
  <c r="B190" i="13" a="1"/>
  <c r="B190" i="13" s="1"/>
  <c r="C189" i="13" a="1"/>
  <c r="C189" i="13" s="1"/>
  <c r="B189" i="13" a="1"/>
  <c r="B189" i="13" s="1"/>
  <c r="A189" i="13" s="1"/>
  <c r="C188" i="13" a="1"/>
  <c r="C188" i="13" s="1"/>
  <c r="Q188" i="13" s="1"/>
  <c r="B188" i="13" a="1"/>
  <c r="B188" i="13" s="1"/>
  <c r="C187" i="13" a="1"/>
  <c r="C187" i="13" s="1"/>
  <c r="B187" i="13" a="1"/>
  <c r="B187" i="13" s="1"/>
  <c r="A187" i="13" s="1"/>
  <c r="C186" i="13" a="1"/>
  <c r="C186" i="13" s="1"/>
  <c r="Q186" i="13" s="1"/>
  <c r="B186" i="13" a="1"/>
  <c r="B186" i="13" s="1"/>
  <c r="H186" i="13" s="1" a="1"/>
  <c r="H186" i="13" s="1"/>
  <c r="C185" i="13" a="1"/>
  <c r="C185" i="13" s="1"/>
  <c r="B185" i="13" a="1"/>
  <c r="B185" i="13" s="1"/>
  <c r="H185" i="13" s="1" a="1"/>
  <c r="H185" i="13" s="1"/>
  <c r="C184" i="13" a="1"/>
  <c r="C184" i="13" s="1"/>
  <c r="Q184" i="13" s="1"/>
  <c r="B184" i="13" a="1"/>
  <c r="B184" i="13" s="1"/>
  <c r="C183" i="13" a="1"/>
  <c r="C183" i="13" s="1"/>
  <c r="B183" i="13" a="1"/>
  <c r="B183" i="13" s="1"/>
  <c r="C182" i="13" a="1"/>
  <c r="C182" i="13" s="1"/>
  <c r="Q182" i="13" s="1"/>
  <c r="B182" i="13" a="1"/>
  <c r="B182" i="13" s="1"/>
  <c r="A182" i="13" s="1"/>
  <c r="C181" i="13" a="1"/>
  <c r="C181" i="13" s="1"/>
  <c r="B181" i="13" a="1"/>
  <c r="B181" i="13" s="1"/>
  <c r="H181" i="13" s="1" a="1"/>
  <c r="H181" i="13" s="1"/>
  <c r="C180" i="13" a="1"/>
  <c r="C180" i="13" s="1"/>
  <c r="Q180" i="13" s="1"/>
  <c r="B180" i="13" a="1"/>
  <c r="B180" i="13" s="1"/>
  <c r="C179" i="13" a="1"/>
  <c r="C179" i="13" s="1"/>
  <c r="B179" i="13" a="1"/>
  <c r="B179" i="13" s="1"/>
  <c r="D179" i="13" s="1" a="1"/>
  <c r="D179" i="13" s="1"/>
  <c r="C178" i="13" a="1"/>
  <c r="C178" i="13" s="1"/>
  <c r="Q178" i="13" s="1"/>
  <c r="B178" i="13" a="1"/>
  <c r="B178" i="13" s="1"/>
  <c r="H178" i="13" s="1" a="1"/>
  <c r="H178" i="13" s="1"/>
  <c r="C177" i="13" a="1"/>
  <c r="C177" i="13" s="1"/>
  <c r="B177" i="13" a="1"/>
  <c r="B177" i="13" s="1"/>
  <c r="C176" i="13" a="1"/>
  <c r="C176" i="13" s="1"/>
  <c r="Q176" i="13" s="1"/>
  <c r="B176" i="13" a="1"/>
  <c r="B176" i="13" s="1"/>
  <c r="A176" i="13" s="1"/>
  <c r="C175" i="13" a="1"/>
  <c r="C175" i="13" s="1"/>
  <c r="B175" i="13" a="1"/>
  <c r="B175" i="13" s="1"/>
  <c r="C174" i="13" a="1"/>
  <c r="C174" i="13" s="1"/>
  <c r="Q174" i="13" s="1"/>
  <c r="B174" i="13" a="1"/>
  <c r="B174" i="13" s="1"/>
  <c r="C173" i="13" a="1"/>
  <c r="C173" i="13" s="1"/>
  <c r="B173" i="13" a="1"/>
  <c r="B173" i="13" s="1"/>
  <c r="A173" i="13" s="1"/>
  <c r="C172" i="13" a="1"/>
  <c r="C172" i="13" s="1"/>
  <c r="Q172" i="13" s="1"/>
  <c r="B172" i="13" a="1"/>
  <c r="B172" i="13" s="1"/>
  <c r="C171" i="13" a="1"/>
  <c r="C171" i="13" s="1"/>
  <c r="B171" i="13" a="1"/>
  <c r="B171" i="13" s="1"/>
  <c r="C170" i="13" a="1"/>
  <c r="C170" i="13" s="1"/>
  <c r="Q170" i="13" s="1"/>
  <c r="B170" i="13" a="1"/>
  <c r="B170" i="13" s="1"/>
  <c r="D170" i="13" s="1" a="1"/>
  <c r="D170" i="13" s="1"/>
  <c r="C169" i="13" a="1"/>
  <c r="C169" i="13" s="1"/>
  <c r="B169" i="13" a="1"/>
  <c r="B169" i="13" s="1"/>
  <c r="C168" i="13" a="1"/>
  <c r="C168" i="13" s="1"/>
  <c r="Q168" i="13" s="1"/>
  <c r="B168" i="13" a="1"/>
  <c r="B168" i="13" s="1"/>
  <c r="C167" i="13" a="1"/>
  <c r="C167" i="13" s="1"/>
  <c r="B167" i="13" a="1"/>
  <c r="B167" i="13" s="1"/>
  <c r="D167" i="13" s="1" a="1"/>
  <c r="D167" i="13" s="1"/>
  <c r="F167" i="13" s="1"/>
  <c r="C166" i="13" a="1"/>
  <c r="C166" i="13" s="1"/>
  <c r="Q166" i="13" s="1"/>
  <c r="B166" i="13" a="1"/>
  <c r="B166" i="13" s="1"/>
  <c r="C165" i="13" a="1"/>
  <c r="C165" i="13" s="1"/>
  <c r="B165" i="13" a="1"/>
  <c r="B165" i="13" s="1"/>
  <c r="H165" i="13" s="1" a="1"/>
  <c r="H165" i="13" s="1"/>
  <c r="C164" i="13" a="1"/>
  <c r="C164" i="13" s="1"/>
  <c r="Q164" i="13" s="1"/>
  <c r="B164" i="13" a="1"/>
  <c r="B164" i="13" s="1"/>
  <c r="C163" i="13" a="1"/>
  <c r="C163" i="13" s="1"/>
  <c r="B163" i="13" a="1"/>
  <c r="B163" i="13" s="1"/>
  <c r="D163" i="13" s="1" a="1"/>
  <c r="D163" i="13" s="1"/>
  <c r="C162" i="13" a="1"/>
  <c r="C162" i="13" s="1"/>
  <c r="Q162" i="13" s="1"/>
  <c r="B162" i="13" a="1"/>
  <c r="B162" i="13" s="1"/>
  <c r="H162" i="13" s="1" a="1"/>
  <c r="H162" i="13" s="1"/>
  <c r="I162" i="13" s="1"/>
  <c r="C161" i="13" a="1"/>
  <c r="C161" i="13" s="1"/>
  <c r="B161" i="13" a="1"/>
  <c r="B161" i="13" s="1"/>
  <c r="C160" i="13" a="1"/>
  <c r="C160" i="13" s="1"/>
  <c r="Q160" i="13" s="1"/>
  <c r="B160" i="13" a="1"/>
  <c r="B160" i="13" s="1"/>
  <c r="D160" i="13" s="1" a="1"/>
  <c r="D160" i="13" s="1"/>
  <c r="C159" i="13" a="1"/>
  <c r="C159" i="13" s="1"/>
  <c r="B159" i="13" a="1"/>
  <c r="B159" i="13" s="1"/>
  <c r="D159" i="13" s="1" a="1"/>
  <c r="D159" i="13" s="1"/>
  <c r="C158" i="13" a="1"/>
  <c r="C158" i="13" s="1"/>
  <c r="Q158" i="13" s="1"/>
  <c r="B158" i="13" a="1"/>
  <c r="B158" i="13" s="1"/>
  <c r="H158" i="13" s="1" a="1"/>
  <c r="H158" i="13" s="1"/>
  <c r="C157" i="13" a="1"/>
  <c r="C157" i="13" s="1"/>
  <c r="B157" i="13" a="1"/>
  <c r="B157" i="13" s="1"/>
  <c r="C156" i="13" a="1"/>
  <c r="C156" i="13" s="1"/>
  <c r="Q156" i="13" s="1"/>
  <c r="B156" i="13" a="1"/>
  <c r="B156" i="13" s="1"/>
  <c r="D156" i="13" s="1" a="1"/>
  <c r="D156" i="13" s="1"/>
  <c r="C155" i="13" a="1"/>
  <c r="C155" i="13" s="1"/>
  <c r="B155" i="13" a="1"/>
  <c r="B155" i="13" s="1"/>
  <c r="C154" i="13" a="1"/>
  <c r="C154" i="13" s="1"/>
  <c r="Q154" i="13" s="1"/>
  <c r="B154" i="13" a="1"/>
  <c r="B154" i="13" s="1"/>
  <c r="D154" i="13" s="1" a="1"/>
  <c r="D154" i="13" s="1"/>
  <c r="F154" i="13" s="1"/>
  <c r="C153" i="13" a="1"/>
  <c r="C153" i="13" s="1"/>
  <c r="B153" i="13" a="1"/>
  <c r="B153" i="13" s="1"/>
  <c r="A153" i="13" s="1"/>
  <c r="C152" i="13" a="1"/>
  <c r="C152" i="13" s="1"/>
  <c r="Q152" i="13" s="1"/>
  <c r="B152" i="13" a="1"/>
  <c r="B152" i="13" s="1"/>
  <c r="C151" i="13" a="1"/>
  <c r="C151" i="13" s="1"/>
  <c r="B151" i="13" a="1"/>
  <c r="B151" i="13" s="1"/>
  <c r="A151" i="13" s="1"/>
  <c r="AI150" i="13" a="1"/>
  <c r="AI150" i="13" s="1"/>
  <c r="C150" i="13" a="1"/>
  <c r="C150" i="13" s="1"/>
  <c r="Q150" i="13" s="1"/>
  <c r="B150" i="13" a="1"/>
  <c r="B150" i="13" s="1"/>
  <c r="AI149" i="13" a="1"/>
  <c r="AI149" i="13" s="1"/>
  <c r="C149" i="13" a="1"/>
  <c r="C149" i="13" s="1"/>
  <c r="B149" i="13" a="1"/>
  <c r="B149" i="13" s="1"/>
  <c r="AI148" i="13" a="1"/>
  <c r="AI148" i="13" s="1"/>
  <c r="C148" i="13" a="1"/>
  <c r="C148" i="13" s="1"/>
  <c r="Q148" i="13" s="1"/>
  <c r="B148" i="13" a="1"/>
  <c r="B148" i="13" s="1"/>
  <c r="H148" i="13" s="1" a="1"/>
  <c r="H148" i="13" s="1"/>
  <c r="AI147" i="13" a="1"/>
  <c r="AI147" i="13" s="1"/>
  <c r="C147" i="13" a="1"/>
  <c r="C147" i="13" s="1"/>
  <c r="B147" i="13" a="1"/>
  <c r="B147" i="13" s="1"/>
  <c r="H147" i="13" s="1" a="1"/>
  <c r="H147" i="13" s="1"/>
  <c r="AI146" i="13" a="1"/>
  <c r="AI146" i="13" s="1"/>
  <c r="C146" i="13" a="1"/>
  <c r="C146" i="13" s="1"/>
  <c r="Q146" i="13" s="1"/>
  <c r="B146" i="13" a="1"/>
  <c r="B146" i="13" s="1"/>
  <c r="D146" i="13" s="1" a="1"/>
  <c r="D146" i="13" s="1"/>
  <c r="AI145" i="13" a="1"/>
  <c r="AI145" i="13" s="1"/>
  <c r="C145" i="13" a="1"/>
  <c r="C145" i="13" s="1"/>
  <c r="B145" i="13" a="1"/>
  <c r="B145" i="13" s="1"/>
  <c r="H145" i="13" s="1" a="1"/>
  <c r="H145" i="13" s="1"/>
  <c r="I145" i="13" s="1"/>
  <c r="AI144" i="13" a="1"/>
  <c r="AI144" i="13" s="1"/>
  <c r="C144" i="13" a="1"/>
  <c r="C144" i="13" s="1"/>
  <c r="Q144" i="13" s="1"/>
  <c r="B144" i="13" a="1"/>
  <c r="B144" i="13" s="1"/>
  <c r="AI143" i="13" a="1"/>
  <c r="AI143" i="13" s="1"/>
  <c r="C143" i="13" a="1"/>
  <c r="C143" i="13" s="1"/>
  <c r="B143" i="13" a="1"/>
  <c r="B143" i="13" s="1"/>
  <c r="H143" i="13" s="1" a="1"/>
  <c r="H143" i="13" s="1"/>
  <c r="AI142" i="13" a="1"/>
  <c r="AI142" i="13" s="1"/>
  <c r="C142" i="13" a="1"/>
  <c r="C142" i="13" s="1"/>
  <c r="Q142" i="13" s="1"/>
  <c r="B142" i="13" a="1"/>
  <c r="B142" i="13" s="1"/>
  <c r="AI141" i="13" a="1"/>
  <c r="AI141" i="13" s="1"/>
  <c r="C141" i="13" a="1"/>
  <c r="C141" i="13" s="1"/>
  <c r="B141" i="13" a="1"/>
  <c r="B141" i="13" s="1"/>
  <c r="D141" i="13" s="1" a="1"/>
  <c r="D141" i="13" s="1"/>
  <c r="AI140" i="13" a="1"/>
  <c r="AI140" i="13" s="1"/>
  <c r="C140" i="13" a="1"/>
  <c r="C140" i="13" s="1"/>
  <c r="Q140" i="13" s="1"/>
  <c r="B140" i="13" a="1"/>
  <c r="B140" i="13" s="1"/>
  <c r="AI139" i="13" a="1"/>
  <c r="AI139" i="13" s="1"/>
  <c r="C139" i="13" a="1"/>
  <c r="C139" i="13" s="1"/>
  <c r="B139" i="13" a="1"/>
  <c r="B139" i="13" s="1"/>
  <c r="AI138" i="13" a="1"/>
  <c r="AI138" i="13" s="1"/>
  <c r="C138" i="13" a="1"/>
  <c r="C138" i="13" s="1"/>
  <c r="Q138" i="13" s="1"/>
  <c r="B138" i="13" a="1"/>
  <c r="B138" i="13" s="1"/>
  <c r="AI137" i="13" a="1"/>
  <c r="AI137" i="13" s="1"/>
  <c r="C137" i="13" a="1"/>
  <c r="C137" i="13" s="1"/>
  <c r="B137" i="13" a="1"/>
  <c r="B137" i="13" s="1"/>
  <c r="L137" i="13" s="1" a="1"/>
  <c r="L137" i="13" s="1"/>
  <c r="AI136" i="13" a="1"/>
  <c r="AI136" i="13" s="1"/>
  <c r="C136" i="13" a="1"/>
  <c r="C136" i="13" s="1"/>
  <c r="Q136" i="13" s="1"/>
  <c r="B136" i="13" a="1"/>
  <c r="B136" i="13" s="1"/>
  <c r="AI135" i="13" a="1"/>
  <c r="AI135" i="13" s="1"/>
  <c r="C135" i="13" a="1"/>
  <c r="C135" i="13" s="1"/>
  <c r="B135" i="13" a="1"/>
  <c r="B135" i="13" s="1"/>
  <c r="A135" i="13" s="1"/>
  <c r="AI134" i="13" a="1"/>
  <c r="AI134" i="13" s="1"/>
  <c r="C134" i="13" a="1"/>
  <c r="C134" i="13" s="1"/>
  <c r="Q134" i="13" s="1"/>
  <c r="B134" i="13" a="1"/>
  <c r="B134" i="13" s="1"/>
  <c r="AI133" i="13" a="1"/>
  <c r="AI133" i="13" s="1"/>
  <c r="C133" i="13" a="1"/>
  <c r="C133" i="13" s="1"/>
  <c r="B133" i="13" a="1"/>
  <c r="B133" i="13" s="1"/>
  <c r="AI132" i="13" a="1"/>
  <c r="AI132" i="13" s="1"/>
  <c r="C132" i="13" a="1"/>
  <c r="C132" i="13" s="1"/>
  <c r="Q132" i="13" s="1"/>
  <c r="B132" i="13" a="1"/>
  <c r="B132" i="13" s="1"/>
  <c r="AI131" i="13" a="1"/>
  <c r="AI131" i="13" s="1"/>
  <c r="C131" i="13" a="1"/>
  <c r="C131" i="13" s="1"/>
  <c r="B131" i="13" a="1"/>
  <c r="B131" i="13" s="1"/>
  <c r="H131" i="13" s="1" a="1"/>
  <c r="H131" i="13" s="1"/>
  <c r="AI130" i="13" a="1"/>
  <c r="AI130" i="13" s="1"/>
  <c r="C130" i="13" a="1"/>
  <c r="C130" i="13" s="1"/>
  <c r="Q130" i="13" s="1"/>
  <c r="B130" i="13" a="1"/>
  <c r="B130" i="13" s="1"/>
  <c r="H130" i="13" s="1" a="1"/>
  <c r="H130" i="13" s="1"/>
  <c r="AI129" i="13" a="1"/>
  <c r="AI129" i="13" s="1"/>
  <c r="C129" i="13" a="1"/>
  <c r="C129" i="13" s="1"/>
  <c r="B129" i="13" a="1"/>
  <c r="B129" i="13" s="1"/>
  <c r="H129" i="13" s="1" a="1"/>
  <c r="H129" i="13" s="1"/>
  <c r="AI128" i="13" a="1"/>
  <c r="AI128" i="13" s="1"/>
  <c r="C128" i="13" a="1"/>
  <c r="C128" i="13" s="1"/>
  <c r="Q128" i="13" s="1"/>
  <c r="B128" i="13" a="1"/>
  <c r="B128" i="13" s="1"/>
  <c r="AI127" i="13" a="1"/>
  <c r="AI127" i="13" s="1"/>
  <c r="C127" i="13" a="1"/>
  <c r="C127" i="13" s="1"/>
  <c r="B127" i="13" a="1"/>
  <c r="B127" i="13" s="1"/>
  <c r="AI126" i="13" a="1"/>
  <c r="AI126" i="13" s="1"/>
  <c r="C126" i="13" a="1"/>
  <c r="C126" i="13" s="1"/>
  <c r="Q126" i="13" s="1"/>
  <c r="B126" i="13" a="1"/>
  <c r="B126" i="13" s="1"/>
  <c r="AI125" i="13" a="1"/>
  <c r="AI125" i="13" s="1"/>
  <c r="C125" i="13" a="1"/>
  <c r="C125" i="13" s="1"/>
  <c r="B125" i="13" a="1"/>
  <c r="B125" i="13" s="1"/>
  <c r="AI124" i="13" a="1"/>
  <c r="AI124" i="13" s="1"/>
  <c r="C124" i="13" a="1"/>
  <c r="C124" i="13" s="1"/>
  <c r="Q124" i="13" s="1"/>
  <c r="B124" i="13" a="1"/>
  <c r="B124" i="13" s="1"/>
  <c r="AI123" i="13" a="1"/>
  <c r="AI123" i="13" s="1"/>
  <c r="C123" i="13" a="1"/>
  <c r="C123" i="13" s="1"/>
  <c r="B123" i="13" a="1"/>
  <c r="B123" i="13" s="1"/>
  <c r="H123" i="13" s="1" a="1"/>
  <c r="H123" i="13" s="1"/>
  <c r="I123" i="13" s="1"/>
  <c r="AI122" i="13" a="1"/>
  <c r="AI122" i="13" s="1"/>
  <c r="C122" i="13" a="1"/>
  <c r="C122" i="13" s="1"/>
  <c r="Q122" i="13" s="1"/>
  <c r="B122" i="13" a="1"/>
  <c r="B122" i="13" s="1"/>
  <c r="AI121" i="13" a="1"/>
  <c r="AI121" i="13" s="1"/>
  <c r="C121" i="13" a="1"/>
  <c r="C121" i="13" s="1"/>
  <c r="B121" i="13" a="1"/>
  <c r="B121" i="13" s="1"/>
  <c r="AI120" i="13" a="1"/>
  <c r="AI120" i="13" s="1"/>
  <c r="C120" i="13" a="1"/>
  <c r="C120" i="13" s="1"/>
  <c r="Q120" i="13" s="1"/>
  <c r="B120" i="13" a="1"/>
  <c r="B120" i="13" s="1"/>
  <c r="AI119" i="13" a="1"/>
  <c r="AI119" i="13" s="1"/>
  <c r="C119" i="13" a="1"/>
  <c r="C119" i="13" s="1"/>
  <c r="B119" i="13" a="1"/>
  <c r="B119" i="13" s="1"/>
  <c r="H119" i="13" s="1" a="1"/>
  <c r="H119" i="13" s="1"/>
  <c r="AI118" i="13" a="1"/>
  <c r="AI118" i="13" s="1"/>
  <c r="C118" i="13" a="1"/>
  <c r="C118" i="13" s="1"/>
  <c r="Q118" i="13" s="1"/>
  <c r="B118" i="13" a="1"/>
  <c r="B118" i="13" s="1"/>
  <c r="AI117" i="13" a="1"/>
  <c r="AI117" i="13" s="1"/>
  <c r="C117" i="13" a="1"/>
  <c r="C117" i="13" s="1"/>
  <c r="B117" i="13" a="1"/>
  <c r="B117" i="13" s="1"/>
  <c r="AI116" i="13" a="1"/>
  <c r="AI116" i="13" s="1"/>
  <c r="C116" i="13" a="1"/>
  <c r="C116" i="13" s="1"/>
  <c r="Q116" i="13" s="1"/>
  <c r="B116" i="13" a="1"/>
  <c r="B116" i="13" s="1"/>
  <c r="AI115" i="13" a="1"/>
  <c r="AI115" i="13" s="1"/>
  <c r="C115" i="13" a="1"/>
  <c r="C115" i="13" s="1"/>
  <c r="B115" i="13" a="1"/>
  <c r="B115" i="13" s="1"/>
  <c r="H115" i="13" s="1" a="1"/>
  <c r="H115" i="13" s="1"/>
  <c r="I115" i="13" s="1"/>
  <c r="AI114" i="13" a="1"/>
  <c r="AI114" i="13" s="1"/>
  <c r="C114" i="13" a="1"/>
  <c r="C114" i="13" s="1"/>
  <c r="Q114" i="13" s="1"/>
  <c r="B114" i="13" a="1"/>
  <c r="B114" i="13" s="1"/>
  <c r="L114" i="13" s="1" a="1"/>
  <c r="L114" i="13" s="1"/>
  <c r="AI113" i="13" a="1"/>
  <c r="AI113" i="13" s="1"/>
  <c r="C113" i="13" a="1"/>
  <c r="C113" i="13" s="1"/>
  <c r="B113" i="13" a="1"/>
  <c r="B113" i="13" s="1"/>
  <c r="AI112" i="13" a="1"/>
  <c r="AI112" i="13" s="1"/>
  <c r="C112" i="13" a="1"/>
  <c r="C112" i="13" s="1"/>
  <c r="Q112" i="13" s="1"/>
  <c r="B112" i="13" a="1"/>
  <c r="B112" i="13" s="1"/>
  <c r="L112" i="13" s="1" a="1"/>
  <c r="L112" i="13" s="1"/>
  <c r="AI111" i="13" a="1"/>
  <c r="AI111" i="13" s="1"/>
  <c r="C111" i="13" a="1"/>
  <c r="C111" i="13" s="1"/>
  <c r="B111" i="13" a="1"/>
  <c r="B111" i="13" s="1"/>
  <c r="AI110" i="13" a="1"/>
  <c r="AI110" i="13" s="1"/>
  <c r="C110" i="13" a="1"/>
  <c r="C110" i="13" s="1"/>
  <c r="Q110" i="13" s="1"/>
  <c r="B110" i="13" a="1"/>
  <c r="B110" i="13" s="1"/>
  <c r="D110" i="13" s="1" a="1"/>
  <c r="D110" i="13" s="1"/>
  <c r="AI109" i="13" a="1"/>
  <c r="AI109" i="13" s="1"/>
  <c r="C109" i="13" a="1"/>
  <c r="C109" i="13" s="1"/>
  <c r="B109" i="13" a="1"/>
  <c r="B109" i="13" s="1"/>
  <c r="AI108" i="13" a="1"/>
  <c r="AI108" i="13" s="1"/>
  <c r="C108" i="13" a="1"/>
  <c r="C108" i="13" s="1"/>
  <c r="Q108" i="13" s="1"/>
  <c r="B108" i="13" a="1"/>
  <c r="B108" i="13" s="1"/>
  <c r="D108" i="13" s="1" a="1"/>
  <c r="D108" i="13" s="1"/>
  <c r="AI107" i="13" a="1"/>
  <c r="AI107" i="13" s="1"/>
  <c r="C107" i="13" a="1"/>
  <c r="C107" i="13" s="1"/>
  <c r="B107" i="13" a="1"/>
  <c r="B107" i="13" s="1"/>
  <c r="AI106" i="13" a="1"/>
  <c r="AI106" i="13" s="1"/>
  <c r="C106" i="13" a="1"/>
  <c r="C106" i="13" s="1"/>
  <c r="Q106" i="13" s="1"/>
  <c r="B106" i="13" a="1"/>
  <c r="B106" i="13" s="1"/>
  <c r="AI105" i="13" a="1"/>
  <c r="AI105" i="13" s="1"/>
  <c r="C105" i="13" a="1"/>
  <c r="C105" i="13" s="1"/>
  <c r="B105" i="13" a="1"/>
  <c r="B105" i="13" s="1"/>
  <c r="AI104" i="13" a="1"/>
  <c r="AI104" i="13" s="1"/>
  <c r="C104" i="13" a="1"/>
  <c r="C104" i="13" s="1"/>
  <c r="Q104" i="13" s="1"/>
  <c r="B104" i="13" a="1"/>
  <c r="B104" i="13" s="1"/>
  <c r="AI103" i="13" a="1"/>
  <c r="AI103" i="13" s="1"/>
  <c r="C103" i="13" a="1"/>
  <c r="C103" i="13" s="1"/>
  <c r="B103" i="13" a="1"/>
  <c r="B103" i="13" s="1"/>
  <c r="L103" i="13" s="1" a="1"/>
  <c r="L103" i="13" s="1"/>
  <c r="AI102" i="13" a="1"/>
  <c r="AI102" i="13" s="1"/>
  <c r="C102" i="13" a="1"/>
  <c r="C102" i="13" s="1"/>
  <c r="Q102" i="13" s="1"/>
  <c r="B102" i="13" a="1"/>
  <c r="B102" i="13" s="1"/>
  <c r="AI101" i="13" a="1"/>
  <c r="AI101" i="13" s="1"/>
  <c r="C101" i="13" a="1"/>
  <c r="C101" i="13" s="1"/>
  <c r="B101" i="13" a="1"/>
  <c r="B101" i="13" s="1"/>
  <c r="AI100" i="13" a="1"/>
  <c r="AI100" i="13" s="1"/>
  <c r="C100" i="13" a="1"/>
  <c r="C100" i="13" s="1"/>
  <c r="Q100" i="13" s="1"/>
  <c r="B100" i="13" a="1"/>
  <c r="B100" i="13" s="1"/>
  <c r="AI99" i="13" a="1"/>
  <c r="AI99" i="13" s="1"/>
  <c r="C99" i="13" a="1"/>
  <c r="C99" i="13" s="1"/>
  <c r="B99" i="13" a="1"/>
  <c r="B99" i="13" s="1"/>
  <c r="AI98" i="13" a="1"/>
  <c r="AI98" i="13" s="1"/>
  <c r="C98" i="13" a="1"/>
  <c r="C98" i="13" s="1"/>
  <c r="Q98" i="13" s="1"/>
  <c r="B98" i="13" a="1"/>
  <c r="B98" i="13" s="1"/>
  <c r="H98" i="13" s="1" a="1"/>
  <c r="H98" i="13" s="1"/>
  <c r="I98" i="13" s="1"/>
  <c r="AI97" i="13" a="1"/>
  <c r="AI97" i="13" s="1"/>
  <c r="C97" i="13" a="1"/>
  <c r="C97" i="13" s="1"/>
  <c r="B97" i="13" a="1"/>
  <c r="B97" i="13" s="1"/>
  <c r="AI96" i="13" a="1"/>
  <c r="AI96" i="13" s="1"/>
  <c r="C96" i="13" a="1"/>
  <c r="C96" i="13" s="1"/>
  <c r="Q96" i="13" s="1"/>
  <c r="B96" i="13" a="1"/>
  <c r="B96" i="13" s="1"/>
  <c r="AI95" i="13" a="1"/>
  <c r="AI95" i="13" s="1"/>
  <c r="C95" i="13" a="1"/>
  <c r="C95" i="13" s="1"/>
  <c r="B95" i="13" a="1"/>
  <c r="B95" i="13" s="1"/>
  <c r="L95" i="13" s="1" a="1"/>
  <c r="L95" i="13" s="1"/>
  <c r="O95" i="13" s="1"/>
  <c r="AI94" i="13" a="1"/>
  <c r="AI94" i="13" s="1"/>
  <c r="C94" i="13" a="1"/>
  <c r="C94" i="13" s="1"/>
  <c r="Q94" i="13" s="1"/>
  <c r="B94" i="13" a="1"/>
  <c r="B94" i="13" s="1"/>
  <c r="D94" i="13" s="1" a="1"/>
  <c r="D94" i="13" s="1"/>
  <c r="AI93" i="13" a="1"/>
  <c r="AI93" i="13" s="1"/>
  <c r="C93" i="13" a="1"/>
  <c r="C93" i="13" s="1"/>
  <c r="B93" i="13" a="1"/>
  <c r="B93" i="13" s="1"/>
  <c r="AI92" i="13" a="1"/>
  <c r="AI92" i="13" s="1"/>
  <c r="C92" i="13" a="1"/>
  <c r="C92" i="13" s="1"/>
  <c r="Q92" i="13" s="1"/>
  <c r="B92" i="13" a="1"/>
  <c r="B92" i="13" s="1"/>
  <c r="D92" i="13" s="1" a="1"/>
  <c r="D92" i="13" s="1"/>
  <c r="AI91" i="13" a="1"/>
  <c r="AI91" i="13" s="1"/>
  <c r="C91" i="13" a="1"/>
  <c r="C91" i="13" s="1"/>
  <c r="B91" i="13" a="1"/>
  <c r="B91" i="13" s="1"/>
  <c r="AI90" i="13" a="1"/>
  <c r="AI90" i="13" s="1"/>
  <c r="C90" i="13" a="1"/>
  <c r="C90" i="13" s="1"/>
  <c r="Q90" i="13" s="1"/>
  <c r="B90" i="13" a="1"/>
  <c r="B90" i="13" s="1"/>
  <c r="AI89" i="13" a="1"/>
  <c r="AI89" i="13" s="1"/>
  <c r="C89" i="13" a="1"/>
  <c r="C89" i="13" s="1"/>
  <c r="B89" i="13" a="1"/>
  <c r="B89" i="13" s="1"/>
  <c r="D89" i="13" s="1" a="1"/>
  <c r="D89" i="13" s="1"/>
  <c r="G89" i="13" s="1"/>
  <c r="AI88" i="13" a="1"/>
  <c r="AI88" i="13" s="1"/>
  <c r="C88" i="13" a="1"/>
  <c r="C88" i="13" s="1"/>
  <c r="Q88" i="13" s="1"/>
  <c r="B88" i="13" a="1"/>
  <c r="B88" i="13" s="1"/>
  <c r="A88" i="13" s="1"/>
  <c r="AI87" i="13" a="1"/>
  <c r="AI87" i="13" s="1"/>
  <c r="C87" i="13" a="1"/>
  <c r="C87" i="13" s="1"/>
  <c r="B87" i="13" a="1"/>
  <c r="B87" i="13" s="1"/>
  <c r="A87" i="13" s="1"/>
  <c r="AI86" i="13" a="1"/>
  <c r="AI86" i="13" s="1"/>
  <c r="C86" i="13" a="1"/>
  <c r="C86" i="13" s="1"/>
  <c r="Q86" i="13" s="1"/>
  <c r="B86" i="13" a="1"/>
  <c r="B86" i="13" s="1"/>
  <c r="AI85" i="13" a="1"/>
  <c r="AI85" i="13" s="1"/>
  <c r="C85" i="13" a="1"/>
  <c r="C85" i="13" s="1"/>
  <c r="B85" i="13" a="1"/>
  <c r="B85" i="13" s="1"/>
  <c r="AI84" i="13" a="1"/>
  <c r="AI84" i="13" s="1"/>
  <c r="C84" i="13" a="1"/>
  <c r="C84" i="13" s="1"/>
  <c r="Q84" i="13" s="1"/>
  <c r="B84" i="13" a="1"/>
  <c r="B84" i="13" s="1"/>
  <c r="AI83" i="13" a="1"/>
  <c r="AI83" i="13" s="1"/>
  <c r="C83" i="13" a="1"/>
  <c r="C83" i="13" s="1"/>
  <c r="B83" i="13" a="1"/>
  <c r="B83" i="13" s="1"/>
  <c r="H83" i="13" s="1" a="1"/>
  <c r="H83" i="13" s="1"/>
  <c r="AI82" i="13" a="1"/>
  <c r="AI82" i="13" s="1"/>
  <c r="C82" i="13" a="1"/>
  <c r="C82" i="13" s="1"/>
  <c r="Q82" i="13" s="1"/>
  <c r="B82" i="13" a="1"/>
  <c r="B82" i="13" s="1"/>
  <c r="AI81" i="13" a="1"/>
  <c r="AI81" i="13" s="1"/>
  <c r="C81" i="13" a="1"/>
  <c r="C81" i="13" s="1"/>
  <c r="B81" i="13" a="1"/>
  <c r="B81" i="13" s="1"/>
  <c r="H81" i="13" s="1" a="1"/>
  <c r="H81" i="13" s="1"/>
  <c r="AI80" i="13" a="1"/>
  <c r="AI80" i="13" s="1"/>
  <c r="C80" i="13" a="1"/>
  <c r="C80" i="13" s="1"/>
  <c r="Q80" i="13" s="1"/>
  <c r="B80" i="13" a="1"/>
  <c r="B80" i="13" s="1"/>
  <c r="AI79" i="13" a="1"/>
  <c r="AI79" i="13" s="1"/>
  <c r="C79" i="13" a="1"/>
  <c r="C79" i="13" s="1"/>
  <c r="B79" i="13" a="1"/>
  <c r="B79" i="13" s="1"/>
  <c r="A79" i="13" s="1"/>
  <c r="AI78" i="13" a="1"/>
  <c r="AI78" i="13" s="1"/>
  <c r="C78" i="13" a="1"/>
  <c r="C78" i="13" s="1"/>
  <c r="Q78" i="13" s="1"/>
  <c r="B78" i="13" a="1"/>
  <c r="B78" i="13" s="1"/>
  <c r="AI77" i="13" a="1"/>
  <c r="AI77" i="13" s="1"/>
  <c r="C77" i="13" a="1"/>
  <c r="C77" i="13" s="1"/>
  <c r="B77" i="13" a="1"/>
  <c r="B77" i="13" s="1"/>
  <c r="D77" i="13" s="1" a="1"/>
  <c r="D77" i="13" s="1"/>
  <c r="AI76" i="13" a="1"/>
  <c r="AI76" i="13" s="1"/>
  <c r="C76" i="13" a="1"/>
  <c r="C76" i="13" s="1"/>
  <c r="Q76" i="13" s="1"/>
  <c r="B76" i="13" a="1"/>
  <c r="B76" i="13" s="1"/>
  <c r="AI75" i="13" a="1"/>
  <c r="AI75" i="13" s="1"/>
  <c r="C75" i="13" a="1"/>
  <c r="C75" i="13" s="1"/>
  <c r="B75" i="13" a="1"/>
  <c r="B75" i="13" s="1"/>
  <c r="D75" i="13" s="1" a="1"/>
  <c r="D75" i="13" s="1"/>
  <c r="AI74" i="13" a="1"/>
  <c r="AI74" i="13" s="1"/>
  <c r="C74" i="13" a="1"/>
  <c r="C74" i="13" s="1"/>
  <c r="Q74" i="13" s="1"/>
  <c r="B74" i="13" a="1"/>
  <c r="B74" i="13" s="1"/>
  <c r="AI73" i="13" a="1"/>
  <c r="AI73" i="13" s="1"/>
  <c r="C73" i="13" a="1"/>
  <c r="C73" i="13" s="1"/>
  <c r="B73" i="13" a="1"/>
  <c r="B73" i="13" s="1"/>
  <c r="D73" i="13" s="1" a="1"/>
  <c r="D73" i="13" s="1"/>
  <c r="AI72" i="13" a="1"/>
  <c r="AI72" i="13" s="1"/>
  <c r="C72" i="13" a="1"/>
  <c r="C72" i="13" s="1"/>
  <c r="Q72" i="13" s="1"/>
  <c r="B72" i="13" a="1"/>
  <c r="B72" i="13" s="1"/>
  <c r="AI71" i="13" a="1"/>
  <c r="AI71" i="13" s="1"/>
  <c r="C71" i="13" a="1"/>
  <c r="C71" i="13" s="1"/>
  <c r="B71" i="13" a="1"/>
  <c r="B71" i="13" s="1"/>
  <c r="AI70" i="13" a="1"/>
  <c r="AI70" i="13" s="1"/>
  <c r="C70" i="13" a="1"/>
  <c r="C70" i="13" s="1"/>
  <c r="Q70" i="13" s="1"/>
  <c r="B70" i="13" a="1"/>
  <c r="B70" i="13" s="1"/>
  <c r="AI69" i="13" a="1"/>
  <c r="AI69" i="13" s="1"/>
  <c r="C69" i="13" a="1"/>
  <c r="C69" i="13" s="1"/>
  <c r="B69" i="13" a="1"/>
  <c r="B69" i="13" s="1"/>
  <c r="AI68" i="13" a="1"/>
  <c r="AI68" i="13" s="1"/>
  <c r="C68" i="13" a="1"/>
  <c r="C68" i="13" s="1"/>
  <c r="Q68" i="13" s="1"/>
  <c r="B68" i="13" a="1"/>
  <c r="B68" i="13" s="1"/>
  <c r="AI67" i="13" a="1"/>
  <c r="AI67" i="13" s="1"/>
  <c r="C67" i="13" a="1"/>
  <c r="C67" i="13" s="1"/>
  <c r="B67" i="13" a="1"/>
  <c r="B67" i="13" s="1"/>
  <c r="AI66" i="13" a="1"/>
  <c r="AI66" i="13" s="1"/>
  <c r="C66" i="13" a="1"/>
  <c r="C66" i="13" s="1"/>
  <c r="Q66" i="13" s="1"/>
  <c r="B66" i="13" a="1"/>
  <c r="B66" i="13" s="1"/>
  <c r="A66" i="13" s="1"/>
  <c r="AI65" i="13" a="1"/>
  <c r="AI65" i="13" s="1"/>
  <c r="C65" i="13" a="1"/>
  <c r="C65" i="13" s="1"/>
  <c r="B65" i="13" a="1"/>
  <c r="B65" i="13" s="1"/>
  <c r="A65" i="13" s="1"/>
  <c r="AI64" i="13" a="1"/>
  <c r="AI64" i="13" s="1"/>
  <c r="C64" i="13" a="1"/>
  <c r="C64" i="13" s="1"/>
  <c r="Q64" i="13" s="1"/>
  <c r="B64" i="13" a="1"/>
  <c r="B64" i="13" s="1"/>
  <c r="AI63" i="13" a="1"/>
  <c r="AI63" i="13" s="1"/>
  <c r="C63" i="13" a="1"/>
  <c r="C63" i="13" s="1"/>
  <c r="B63" i="13" a="1"/>
  <c r="B63" i="13" s="1"/>
  <c r="AI62" i="13" a="1"/>
  <c r="AI62" i="13" s="1"/>
  <c r="C62" i="13" a="1"/>
  <c r="C62" i="13" s="1"/>
  <c r="Q62" i="13" s="1"/>
  <c r="B62" i="13" a="1"/>
  <c r="B62" i="13" s="1"/>
  <c r="AI61" i="13" a="1"/>
  <c r="AI61" i="13" s="1"/>
  <c r="C61" i="13" a="1"/>
  <c r="C61" i="13" s="1"/>
  <c r="B61" i="13" a="1"/>
  <c r="B61" i="13" s="1"/>
  <c r="AI60" i="13" a="1"/>
  <c r="AI60" i="13" s="1"/>
  <c r="C60" i="13" a="1"/>
  <c r="C60" i="13" s="1"/>
  <c r="Q60" i="13" s="1"/>
  <c r="B60" i="13" a="1"/>
  <c r="B60" i="13" s="1"/>
  <c r="D60" i="13" s="1" a="1"/>
  <c r="D60" i="13" s="1"/>
  <c r="E60" i="13" s="1"/>
  <c r="AI59" i="13" a="1"/>
  <c r="AI59" i="13" s="1"/>
  <c r="C59" i="13" a="1"/>
  <c r="C59" i="13" s="1"/>
  <c r="B59" i="13" a="1"/>
  <c r="B59" i="13" s="1"/>
  <c r="H59" i="13" s="1" a="1"/>
  <c r="H59" i="13" s="1"/>
  <c r="K59" i="13" s="1"/>
  <c r="AI58" i="13" a="1"/>
  <c r="AI58" i="13" s="1"/>
  <c r="C58" i="13" a="1"/>
  <c r="C58" i="13" s="1"/>
  <c r="Q58" i="13" s="1"/>
  <c r="B58" i="13" a="1"/>
  <c r="B58" i="13" s="1"/>
  <c r="AI57" i="13" a="1"/>
  <c r="AI57" i="13" s="1"/>
  <c r="C57" i="13" a="1"/>
  <c r="C57" i="13" s="1"/>
  <c r="B57" i="13" a="1"/>
  <c r="B57" i="13" s="1"/>
  <c r="AI56" i="13" a="1"/>
  <c r="AI56" i="13" s="1"/>
  <c r="C56" i="13" a="1"/>
  <c r="C56" i="13" s="1"/>
  <c r="Q56" i="13" s="1"/>
  <c r="B56" i="13" a="1"/>
  <c r="B56" i="13" s="1"/>
  <c r="L56" i="13" s="1" a="1"/>
  <c r="L56" i="13" s="1"/>
  <c r="N56" i="13" s="1"/>
  <c r="AI55" i="13" a="1"/>
  <c r="AI55" i="13" s="1"/>
  <c r="C55" i="13" a="1"/>
  <c r="C55" i="13" s="1"/>
  <c r="B55" i="13" a="1"/>
  <c r="B55" i="13" s="1"/>
  <c r="D55" i="13" s="1" a="1"/>
  <c r="D55" i="13" s="1"/>
  <c r="AI54" i="13" a="1"/>
  <c r="AI54" i="13" s="1"/>
  <c r="C54" i="13" a="1"/>
  <c r="C54" i="13" s="1"/>
  <c r="Q54" i="13" s="1"/>
  <c r="B54" i="13" a="1"/>
  <c r="B54" i="13" s="1"/>
  <c r="AI53" i="13" a="1"/>
  <c r="AI53" i="13" s="1"/>
  <c r="C53" i="13" a="1"/>
  <c r="C53" i="13" s="1"/>
  <c r="B53" i="13" a="1"/>
  <c r="B53" i="13" s="1"/>
  <c r="A53" i="13" s="1"/>
  <c r="AI52" i="13" a="1"/>
  <c r="AI52" i="13" s="1"/>
  <c r="C52" i="13" a="1"/>
  <c r="C52" i="13" s="1"/>
  <c r="Q52" i="13" s="1"/>
  <c r="B52" i="13" a="1"/>
  <c r="B52" i="13" s="1"/>
  <c r="AI51" i="13" a="1"/>
  <c r="AI51" i="13" s="1"/>
  <c r="C51" i="13" a="1"/>
  <c r="C51" i="13" s="1"/>
  <c r="B51" i="13" a="1"/>
  <c r="B51" i="13" s="1"/>
  <c r="AI50" i="13" a="1"/>
  <c r="AI50" i="13" s="1"/>
  <c r="C50" i="13" a="1"/>
  <c r="C50" i="13" s="1"/>
  <c r="Q50" i="13" s="1"/>
  <c r="B50" i="13" a="1"/>
  <c r="B50" i="13" s="1"/>
  <c r="A50" i="13" s="1"/>
  <c r="AI49" i="13" a="1"/>
  <c r="AI49" i="13" s="1"/>
  <c r="C49" i="13" a="1"/>
  <c r="C49" i="13" s="1"/>
  <c r="B49" i="13" a="1"/>
  <c r="B49" i="13" s="1"/>
  <c r="AI48" i="13" a="1"/>
  <c r="AI48" i="13" s="1"/>
  <c r="C48" i="13" a="1"/>
  <c r="C48" i="13" s="1"/>
  <c r="Q48" i="13" s="1"/>
  <c r="B48" i="13" a="1"/>
  <c r="B48" i="13" s="1"/>
  <c r="AI47" i="13" a="1"/>
  <c r="AI47" i="13" s="1"/>
  <c r="C47" i="13" a="1"/>
  <c r="C47" i="13" s="1"/>
  <c r="B47" i="13" a="1"/>
  <c r="B47" i="13" s="1"/>
  <c r="H47" i="13" s="1" a="1"/>
  <c r="H47" i="13" s="1"/>
  <c r="AI46" i="13" a="1"/>
  <c r="AI46" i="13" s="1"/>
  <c r="C46" i="13" a="1"/>
  <c r="C46" i="13" s="1"/>
  <c r="Q46" i="13" s="1"/>
  <c r="B46" i="13" a="1"/>
  <c r="B46" i="13" s="1"/>
  <c r="AI45" i="13" a="1"/>
  <c r="AI45" i="13" s="1"/>
  <c r="C45" i="13" a="1"/>
  <c r="C45" i="13" s="1"/>
  <c r="B45" i="13" a="1"/>
  <c r="B45" i="13" s="1"/>
  <c r="D45" i="13" s="1" a="1"/>
  <c r="D45" i="13" s="1"/>
  <c r="AI44" i="13" a="1"/>
  <c r="AI44" i="13" s="1"/>
  <c r="C44" i="13" a="1"/>
  <c r="C44" i="13" s="1"/>
  <c r="Q44" i="13" s="1"/>
  <c r="B44" i="13" a="1"/>
  <c r="B44" i="13" s="1"/>
  <c r="H44" i="13" s="1" a="1"/>
  <c r="H44" i="13" s="1"/>
  <c r="K44" i="13" s="1"/>
  <c r="AI43" i="13" a="1"/>
  <c r="AI43" i="13" s="1"/>
  <c r="C43" i="13" a="1"/>
  <c r="C43" i="13" s="1"/>
  <c r="B43" i="13" a="1"/>
  <c r="B43" i="13" s="1"/>
  <c r="AI42" i="13" a="1"/>
  <c r="AI42" i="13" s="1"/>
  <c r="C42" i="13" a="1"/>
  <c r="C42" i="13" s="1"/>
  <c r="Q42" i="13" s="1"/>
  <c r="B42" i="13" a="1"/>
  <c r="B42" i="13" s="1"/>
  <c r="AI41" i="13" a="1"/>
  <c r="AI41" i="13" s="1"/>
  <c r="C41" i="13" a="1"/>
  <c r="C41" i="13" s="1"/>
  <c r="B41" i="13" a="1"/>
  <c r="B41" i="13" s="1"/>
  <c r="AI40" i="13" a="1"/>
  <c r="AI40" i="13" s="1"/>
  <c r="C40" i="13" a="1"/>
  <c r="C40" i="13" s="1"/>
  <c r="Q40" i="13" s="1"/>
  <c r="B40" i="13" a="1"/>
  <c r="B40" i="13" s="1"/>
  <c r="A40" i="13" s="1"/>
  <c r="AI39" i="13" a="1"/>
  <c r="AI39" i="13" s="1"/>
  <c r="C39" i="13" a="1"/>
  <c r="C39" i="13" s="1"/>
  <c r="B39" i="13" a="1"/>
  <c r="B39" i="13" s="1"/>
  <c r="A39" i="13" s="1"/>
  <c r="AI38" i="13" a="1"/>
  <c r="AI38" i="13" s="1"/>
  <c r="C38" i="13" a="1"/>
  <c r="C38" i="13" s="1"/>
  <c r="Q38" i="13" s="1"/>
  <c r="B38" i="13" a="1"/>
  <c r="B38" i="13" s="1"/>
  <c r="AI37" i="13" a="1"/>
  <c r="AI37" i="13" s="1"/>
  <c r="C37" i="13" a="1"/>
  <c r="C37" i="13" s="1"/>
  <c r="B37" i="13" a="1"/>
  <c r="B37" i="13" s="1"/>
  <c r="D37" i="13" s="1" a="1"/>
  <c r="D37" i="13" s="1"/>
  <c r="AI36" i="13" a="1"/>
  <c r="AI36" i="13" s="1"/>
  <c r="C36" i="13" a="1"/>
  <c r="C36" i="13" s="1"/>
  <c r="Q36" i="13" s="1"/>
  <c r="B36" i="13" a="1"/>
  <c r="B36" i="13" s="1"/>
  <c r="L36" i="13" s="1" a="1"/>
  <c r="L36" i="13" s="1"/>
  <c r="AI35" i="13" a="1"/>
  <c r="AI35" i="13" s="1"/>
  <c r="C35" i="13" a="1"/>
  <c r="C35" i="13" s="1"/>
  <c r="B35" i="13" a="1"/>
  <c r="B35" i="13" s="1"/>
  <c r="A35" i="13" s="1"/>
  <c r="AI34" i="13" a="1"/>
  <c r="AI34" i="13" s="1"/>
  <c r="C34" i="13" a="1"/>
  <c r="C34" i="13" s="1"/>
  <c r="Q34" i="13" s="1"/>
  <c r="B34" i="13" a="1"/>
  <c r="B34" i="13" s="1"/>
  <c r="AI33" i="13" a="1"/>
  <c r="AI33" i="13" s="1"/>
  <c r="C33" i="13" a="1"/>
  <c r="C33" i="13" s="1"/>
  <c r="B33" i="13" a="1"/>
  <c r="B33" i="13" s="1"/>
  <c r="AI32" i="13" a="1"/>
  <c r="AI32" i="13" s="1"/>
  <c r="C32" i="13" a="1"/>
  <c r="C32" i="13" s="1"/>
  <c r="Q32" i="13" s="1"/>
  <c r="B32" i="13" a="1"/>
  <c r="B32" i="13" s="1"/>
  <c r="AI31" i="13" a="1"/>
  <c r="AI31" i="13" s="1"/>
  <c r="C31" i="13" a="1"/>
  <c r="C31" i="13" s="1"/>
  <c r="B31" i="13" a="1"/>
  <c r="B31" i="13" s="1"/>
  <c r="AI30" i="13" a="1"/>
  <c r="AI30" i="13" s="1"/>
  <c r="C30" i="13" a="1"/>
  <c r="C30" i="13" s="1"/>
  <c r="Q30" i="13" s="1"/>
  <c r="B30" i="13" a="1"/>
  <c r="B30" i="13" s="1"/>
  <c r="AI29" i="13" a="1"/>
  <c r="AI29" i="13" s="1"/>
  <c r="C29" i="13" a="1"/>
  <c r="C29" i="13" s="1"/>
  <c r="B29" i="13" a="1"/>
  <c r="B29" i="13" s="1"/>
  <c r="H29" i="13" s="1" a="1"/>
  <c r="H29" i="13" s="1"/>
  <c r="AI28" i="13" a="1"/>
  <c r="AI28" i="13" s="1"/>
  <c r="C28" i="13" a="1"/>
  <c r="C28" i="13" s="1"/>
  <c r="Q28" i="13" s="1"/>
  <c r="B28" i="13" a="1"/>
  <c r="B28" i="13" s="1"/>
  <c r="D28" i="13" s="1" a="1"/>
  <c r="D28" i="13" s="1"/>
  <c r="E28" i="13" s="1"/>
  <c r="AI27" i="13" a="1"/>
  <c r="AI27" i="13" s="1"/>
  <c r="C27" i="13" a="1"/>
  <c r="C27" i="13" s="1"/>
  <c r="B27" i="13" a="1"/>
  <c r="B27" i="13" s="1"/>
  <c r="AI26" i="13" a="1"/>
  <c r="AI26" i="13" s="1"/>
  <c r="C26" i="13" a="1"/>
  <c r="C26" i="13" s="1"/>
  <c r="Q26" i="13" s="1"/>
  <c r="B26" i="13" a="1"/>
  <c r="B26" i="13" s="1"/>
  <c r="A26" i="13" s="1"/>
  <c r="AI25" i="13" a="1"/>
  <c r="AI25" i="13" s="1"/>
  <c r="C25" i="13" a="1"/>
  <c r="C25" i="13" s="1"/>
  <c r="B25" i="13" a="1"/>
  <c r="B25" i="13" s="1"/>
  <c r="C24" i="13" a="1"/>
  <c r="C24" i="13" s="1"/>
  <c r="Q24" i="13" s="1"/>
  <c r="B24" i="13" a="1"/>
  <c r="B24" i="13" s="1"/>
  <c r="A24" i="13" s="1"/>
  <c r="C23" i="13" a="1"/>
  <c r="C23" i="13" s="1"/>
  <c r="B23" i="13" a="1"/>
  <c r="B23" i="13" s="1"/>
  <c r="A23" i="13" s="1"/>
  <c r="C22" i="13" a="1"/>
  <c r="C22" i="13" s="1"/>
  <c r="Q22" i="13" s="1"/>
  <c r="B22" i="13" a="1"/>
  <c r="B22" i="13" s="1"/>
  <c r="C21" i="13" a="1"/>
  <c r="C21" i="13" s="1"/>
  <c r="B21" i="13" a="1"/>
  <c r="B21" i="13" s="1"/>
  <c r="C20" i="13" a="1"/>
  <c r="C20" i="13" s="1"/>
  <c r="Q20" i="13" s="1"/>
  <c r="B20" i="13" a="1"/>
  <c r="B20" i="13" s="1"/>
  <c r="H20" i="13" s="1" a="1"/>
  <c r="H20" i="13" s="1"/>
  <c r="C19" i="13" a="1"/>
  <c r="C19" i="13" s="1"/>
  <c r="B19" i="13" a="1"/>
  <c r="B19" i="13" s="1"/>
  <c r="L19" i="13" s="1" a="1"/>
  <c r="L19" i="13" s="1"/>
  <c r="C18" i="13" a="1"/>
  <c r="C18" i="13" s="1"/>
  <c r="Q18" i="13" s="1"/>
  <c r="B18" i="13" a="1"/>
  <c r="B18" i="13" s="1"/>
  <c r="C17" i="13" a="1"/>
  <c r="C17" i="13" s="1"/>
  <c r="B17" i="13" a="1"/>
  <c r="B17" i="13" s="1"/>
  <c r="H17" i="13" s="1" a="1"/>
  <c r="H17" i="13" s="1"/>
  <c r="C16" i="13" a="1"/>
  <c r="C16" i="13" s="1"/>
  <c r="Q16" i="13" s="1"/>
  <c r="B16" i="13" a="1"/>
  <c r="B16" i="13" s="1"/>
  <c r="H16" i="13" s="1" a="1"/>
  <c r="H16" i="13" s="1"/>
  <c r="C13" i="13" a="1"/>
  <c r="C13" i="13" s="1"/>
  <c r="B13" i="13" a="1"/>
  <c r="B13" i="13" s="1"/>
  <c r="H13" i="13" s="1" a="1"/>
  <c r="H13" i="13" s="1"/>
  <c r="I13" i="13" s="1"/>
  <c r="C12" i="13" a="1"/>
  <c r="C12" i="13" s="1"/>
  <c r="Q12" i="13" s="1"/>
  <c r="B12" i="13" a="1"/>
  <c r="B12" i="13" s="1"/>
  <c r="C11" i="13" a="1"/>
  <c r="C11" i="13" s="1"/>
  <c r="B11" i="13" a="1"/>
  <c r="B11" i="13" s="1"/>
  <c r="C10" i="13" a="1"/>
  <c r="C10" i="13" s="1"/>
  <c r="Q10" i="13" s="1"/>
  <c r="B10" i="13" a="1"/>
  <c r="B10" i="13" s="1"/>
  <c r="H10" i="13" s="1" a="1"/>
  <c r="H10" i="13" s="1"/>
  <c r="I10" i="13" s="1"/>
  <c r="C9" i="13" a="1"/>
  <c r="C9" i="13" s="1"/>
  <c r="B9" i="13" a="1"/>
  <c r="B9" i="13" s="1"/>
  <c r="C8" i="13" a="1"/>
  <c r="C8" i="13" s="1"/>
  <c r="Q8" i="13" s="1"/>
  <c r="B8" i="13" a="1"/>
  <c r="B8" i="13" s="1"/>
  <c r="H8" i="13" s="1" a="1"/>
  <c r="H8" i="13" s="1"/>
  <c r="C7" i="13" a="1"/>
  <c r="C7" i="13" s="1"/>
  <c r="B7" i="13" a="1"/>
  <c r="B7" i="13" s="1"/>
  <c r="C6" i="13" a="1"/>
  <c r="C6" i="13" s="1"/>
  <c r="Q6" i="13" s="1"/>
  <c r="B6" i="13" a="1"/>
  <c r="B6" i="13" s="1"/>
  <c r="C5" i="13" a="1"/>
  <c r="C5" i="13" s="1"/>
  <c r="B5" i="13" a="1"/>
  <c r="B5" i="13" s="1"/>
  <c r="C4" i="13" a="1"/>
  <c r="C4" i="13" s="1"/>
  <c r="Q4" i="13" s="1"/>
  <c r="B4" i="13" a="1"/>
  <c r="B4" i="13" s="1"/>
  <c r="C3" i="13" a="1"/>
  <c r="C3" i="13" s="1"/>
  <c r="B3" i="13" a="1"/>
  <c r="B3" i="13" s="1"/>
  <c r="C2" i="13" a="1"/>
  <c r="C2" i="13" s="1"/>
  <c r="Q2" i="13" s="1"/>
  <c r="B2" i="13" a="1"/>
  <c r="B2" i="13" s="1"/>
  <c r="H1" i="10"/>
  <c r="AU269" i="9"/>
  <c r="AU268" i="9"/>
  <c r="AU267" i="9"/>
  <c r="AC266" i="9"/>
  <c r="AU266" i="9" s="1"/>
  <c r="Y266" i="9" a="1"/>
  <c r="Y266" i="9" s="1"/>
  <c r="H265" i="9"/>
  <c r="I264" i="9"/>
  <c r="Q263" i="9"/>
  <c r="P263" i="9" s="1"/>
  <c r="J263" i="9"/>
  <c r="I263" i="9"/>
  <c r="C263" i="9"/>
  <c r="Q262" i="9"/>
  <c r="P262" i="9"/>
  <c r="J262" i="9"/>
  <c r="I262" i="9"/>
  <c r="C262" i="9"/>
  <c r="J261" i="9"/>
  <c r="I261" i="9"/>
  <c r="G261" i="9"/>
  <c r="F261" i="9"/>
  <c r="J260" i="9"/>
  <c r="I260" i="9"/>
  <c r="G260" i="9"/>
  <c r="F260" i="9"/>
  <c r="J259" i="9"/>
  <c r="I259" i="9"/>
  <c r="G259" i="9"/>
  <c r="F259" i="9"/>
  <c r="J258" i="9"/>
  <c r="I258" i="9"/>
  <c r="G258" i="9"/>
  <c r="F258" i="9"/>
  <c r="J257" i="9"/>
  <c r="I257" i="9"/>
  <c r="G257" i="9"/>
  <c r="F257" i="9"/>
  <c r="J256" i="9"/>
  <c r="I256" i="9"/>
  <c r="G256" i="9"/>
  <c r="F256" i="9"/>
  <c r="J255" i="9"/>
  <c r="I255" i="9"/>
  <c r="G255" i="9"/>
  <c r="F255" i="9"/>
  <c r="J254" i="9"/>
  <c r="I254" i="9"/>
  <c r="G254" i="9"/>
  <c r="F254" i="9"/>
  <c r="J253" i="9"/>
  <c r="I253" i="9"/>
  <c r="G253" i="9"/>
  <c r="F253" i="9"/>
  <c r="J252" i="9"/>
  <c r="I252" i="9"/>
  <c r="G252" i="9"/>
  <c r="F252" i="9"/>
  <c r="J251" i="9"/>
  <c r="I251" i="9"/>
  <c r="G251" i="9"/>
  <c r="F251" i="9"/>
  <c r="J250" i="9"/>
  <c r="I250" i="9"/>
  <c r="G250" i="9"/>
  <c r="F250" i="9"/>
  <c r="J249" i="9"/>
  <c r="I249" i="9"/>
  <c r="G249" i="9"/>
  <c r="F249" i="9"/>
  <c r="J248" i="9"/>
  <c r="I248" i="9"/>
  <c r="G248" i="9"/>
  <c r="F248" i="9"/>
  <c r="J247" i="9"/>
  <c r="I247" i="9"/>
  <c r="G247" i="9"/>
  <c r="F247" i="9"/>
  <c r="A215" i="9"/>
  <c r="P214" i="9"/>
  <c r="J214" i="9"/>
  <c r="C214" i="9"/>
  <c r="P213" i="9"/>
  <c r="H213" i="9"/>
  <c r="C213" i="9"/>
  <c r="P212" i="9"/>
  <c r="C212" i="9"/>
  <c r="P211" i="9"/>
  <c r="C211" i="9"/>
  <c r="Q210" i="9"/>
  <c r="P210" i="9" s="1"/>
  <c r="N210" i="9"/>
  <c r="M210" i="9" a="1"/>
  <c r="M210" i="9" s="1"/>
  <c r="C210" i="9"/>
  <c r="C209" i="9"/>
  <c r="Q209" i="9" s="1"/>
  <c r="P209" i="9" s="1"/>
  <c r="C208" i="9"/>
  <c r="N208" i="9" s="1"/>
  <c r="H207" i="9"/>
  <c r="E207" i="9" s="1"/>
  <c r="D207" i="9" a="1"/>
  <c r="D207" i="9" s="1"/>
  <c r="F207" i="9" s="1"/>
  <c r="G207" i="9" s="1"/>
  <c r="C207" i="9"/>
  <c r="M207" i="9" s="1" a="1"/>
  <c r="M207" i="9" s="1"/>
  <c r="B207" i="9"/>
  <c r="J206" i="9"/>
  <c r="C206" i="9"/>
  <c r="D206" i="9" s="1" a="1"/>
  <c r="D206" i="9" s="1"/>
  <c r="F206" i="9" s="1"/>
  <c r="G206" i="9" s="1"/>
  <c r="H205" i="9"/>
  <c r="E205" i="9" s="1"/>
  <c r="C205" i="9"/>
  <c r="B205" i="9" s="1"/>
  <c r="N204" i="9"/>
  <c r="C204" i="9"/>
  <c r="M204" i="9" s="1" a="1"/>
  <c r="M204" i="9" s="1"/>
  <c r="J203" i="9"/>
  <c r="C203" i="9"/>
  <c r="N203" i="9" s="1"/>
  <c r="N202" i="9"/>
  <c r="D202" i="9" a="1"/>
  <c r="D202" i="9" s="1"/>
  <c r="F202" i="9" s="1"/>
  <c r="G202" i="9" s="1"/>
  <c r="C202" i="9"/>
  <c r="J202" i="9" s="1"/>
  <c r="C201" i="9"/>
  <c r="N201" i="9" s="1"/>
  <c r="J200" i="9"/>
  <c r="C200" i="9"/>
  <c r="H200" i="9" s="1"/>
  <c r="E200" i="9" s="1"/>
  <c r="Q199" i="9"/>
  <c r="P199" i="9" s="1"/>
  <c r="M199" i="9" a="1"/>
  <c r="M199" i="9" s="1"/>
  <c r="J199" i="9"/>
  <c r="H199" i="9"/>
  <c r="E199" i="9" s="1"/>
  <c r="D199" i="9" a="1"/>
  <c r="D199" i="9" s="1"/>
  <c r="F199" i="9" s="1"/>
  <c r="G199" i="9" s="1"/>
  <c r="C199" i="9"/>
  <c r="N199" i="9" s="1"/>
  <c r="B199" i="9"/>
  <c r="H198" i="9"/>
  <c r="E198" i="9" s="1"/>
  <c r="C198" i="9"/>
  <c r="J198" i="9" s="1"/>
  <c r="H197" i="9"/>
  <c r="E197" i="9" s="1"/>
  <c r="C197" i="9"/>
  <c r="N197" i="9" s="1"/>
  <c r="J196" i="9"/>
  <c r="C196" i="9"/>
  <c r="Q196" i="9" s="1"/>
  <c r="P196" i="9" s="1"/>
  <c r="C195" i="9"/>
  <c r="J195" i="9" s="1"/>
  <c r="C194" i="9"/>
  <c r="N193" i="9"/>
  <c r="H193" i="9"/>
  <c r="E193" i="9" s="1"/>
  <c r="C193" i="9"/>
  <c r="D193" i="9" s="1" a="1"/>
  <c r="D193" i="9" s="1"/>
  <c r="F193" i="9" s="1"/>
  <c r="G193" i="9" s="1"/>
  <c r="C192" i="9"/>
  <c r="Q192" i="9" s="1"/>
  <c r="P192" i="9" s="1"/>
  <c r="N191" i="9"/>
  <c r="M191" i="9" a="1"/>
  <c r="M191" i="9" s="1"/>
  <c r="I191" i="9"/>
  <c r="D191" i="9" a="1"/>
  <c r="D191" i="9" s="1"/>
  <c r="F191" i="9" s="1"/>
  <c r="G191" i="9" s="1"/>
  <c r="C191" i="9"/>
  <c r="Q191" i="9" s="1"/>
  <c r="P191" i="9" s="1"/>
  <c r="C190" i="9"/>
  <c r="J190" i="9" s="1"/>
  <c r="N189" i="9"/>
  <c r="C189" i="9"/>
  <c r="Q189" i="9" s="1"/>
  <c r="P189" i="9" s="1"/>
  <c r="H188" i="9"/>
  <c r="E188" i="9" s="1"/>
  <c r="C188" i="9"/>
  <c r="Q188" i="9" s="1"/>
  <c r="P188" i="9" s="1"/>
  <c r="N187" i="9"/>
  <c r="M187" i="9" a="1"/>
  <c r="M187" i="9" s="1"/>
  <c r="H187" i="9"/>
  <c r="E187" i="9" s="1"/>
  <c r="D187" i="9" a="1"/>
  <c r="D187" i="9" s="1"/>
  <c r="F187" i="9" s="1"/>
  <c r="G187" i="9" s="1"/>
  <c r="C187" i="9"/>
  <c r="Q187" i="9" s="1"/>
  <c r="P187" i="9" s="1"/>
  <c r="B187" i="9"/>
  <c r="C186" i="9"/>
  <c r="B186" i="9" s="1"/>
  <c r="C185" i="9"/>
  <c r="J185" i="9" s="1"/>
  <c r="C184" i="9"/>
  <c r="M184" i="9" s="1" a="1"/>
  <c r="M184" i="9" s="1"/>
  <c r="N183" i="9"/>
  <c r="C183" i="9"/>
  <c r="Q183" i="9" s="1"/>
  <c r="P183" i="9" s="1"/>
  <c r="M182" i="9" a="1"/>
  <c r="M182" i="9" s="1"/>
  <c r="D182" i="9" a="1"/>
  <c r="D182" i="9" s="1"/>
  <c r="F182" i="9" s="1"/>
  <c r="G182" i="9" s="1"/>
  <c r="C182" i="9"/>
  <c r="B182" i="9"/>
  <c r="D181" i="9" a="1"/>
  <c r="D181" i="9" s="1"/>
  <c r="F181" i="9" s="1"/>
  <c r="G181" i="9" s="1"/>
  <c r="C181" i="9"/>
  <c r="J181" i="9" s="1"/>
  <c r="C180" i="9"/>
  <c r="M180" i="9" s="1" a="1"/>
  <c r="M180" i="9" s="1"/>
  <c r="C179" i="9"/>
  <c r="N179" i="9" s="1"/>
  <c r="C178" i="9"/>
  <c r="H178" i="9" s="1"/>
  <c r="E178" i="9" s="1"/>
  <c r="Q177" i="9"/>
  <c r="P177" i="9" s="1"/>
  <c r="C177" i="9"/>
  <c r="J177" i="9" s="1"/>
  <c r="J176" i="9"/>
  <c r="C176" i="9"/>
  <c r="Q176" i="9" s="1"/>
  <c r="P176" i="9" s="1"/>
  <c r="C175" i="9"/>
  <c r="B175" i="9" s="1"/>
  <c r="N174" i="9"/>
  <c r="J174" i="9"/>
  <c r="I174" i="9"/>
  <c r="D174" i="9" a="1"/>
  <c r="D174" i="9" s="1"/>
  <c r="F174" i="9" s="1"/>
  <c r="G174" i="9" s="1"/>
  <c r="C174" i="9"/>
  <c r="M174" i="9" s="1" a="1"/>
  <c r="M174" i="9" s="1"/>
  <c r="B174" i="9"/>
  <c r="C173" i="9"/>
  <c r="H173" i="9" s="1"/>
  <c r="E173" i="9" s="1"/>
  <c r="C172" i="9"/>
  <c r="J172" i="9" s="1"/>
  <c r="C171" i="9"/>
  <c r="N171" i="9" s="1"/>
  <c r="B171" i="9"/>
  <c r="C170" i="9"/>
  <c r="I170" i="9" s="1"/>
  <c r="B170" i="9"/>
  <c r="C169" i="9"/>
  <c r="H168" i="9"/>
  <c r="E168" i="9" s="1"/>
  <c r="C168" i="9"/>
  <c r="M168" i="9" s="1" a="1"/>
  <c r="M168" i="9" s="1"/>
  <c r="M167" i="9" a="1"/>
  <c r="M167" i="9" s="1"/>
  <c r="D167" i="9" a="1"/>
  <c r="D167" i="9" s="1"/>
  <c r="F167" i="9" s="1"/>
  <c r="G167" i="9" s="1"/>
  <c r="C167" i="9"/>
  <c r="N167" i="9" s="1"/>
  <c r="I166" i="9"/>
  <c r="C166" i="9"/>
  <c r="B166" i="9" s="1"/>
  <c r="Q165" i="9"/>
  <c r="P165" i="9" s="1"/>
  <c r="H165" i="9"/>
  <c r="E165" i="9" s="1"/>
  <c r="C165" i="9"/>
  <c r="J165" i="9" s="1"/>
  <c r="C164" i="9"/>
  <c r="N164" i="9" s="1"/>
  <c r="M163" i="9" a="1"/>
  <c r="M163" i="9" s="1"/>
  <c r="C163" i="9"/>
  <c r="J163" i="9" s="1"/>
  <c r="N162" i="9"/>
  <c r="J162" i="9"/>
  <c r="C162" i="9"/>
  <c r="M162" i="9" s="1" a="1"/>
  <c r="M162" i="9" s="1"/>
  <c r="B162" i="9"/>
  <c r="C161" i="9"/>
  <c r="Q161" i="9" s="1"/>
  <c r="P161" i="9" s="1"/>
  <c r="D160" i="9" a="1"/>
  <c r="D160" i="9" s="1"/>
  <c r="F160" i="9" s="1"/>
  <c r="G160" i="9" s="1"/>
  <c r="C160" i="9"/>
  <c r="N160" i="9" s="1"/>
  <c r="C159" i="9"/>
  <c r="J158" i="9"/>
  <c r="C158" i="9"/>
  <c r="H158" i="9" s="1"/>
  <c r="E158" i="9" s="1"/>
  <c r="B158" i="9"/>
  <c r="J157" i="9"/>
  <c r="C157" i="9"/>
  <c r="Q157" i="9" s="1"/>
  <c r="P157" i="9" s="1"/>
  <c r="N156" i="9"/>
  <c r="M156" i="9" a="1"/>
  <c r="M156" i="9" s="1"/>
  <c r="C156" i="9"/>
  <c r="D156" i="9" s="1" a="1"/>
  <c r="D156" i="9" s="1"/>
  <c r="F156" i="9" s="1"/>
  <c r="G156" i="9" s="1"/>
  <c r="C155" i="9"/>
  <c r="Q155" i="9" s="1"/>
  <c r="P155" i="9" s="1"/>
  <c r="C154" i="9"/>
  <c r="J154" i="9" s="1"/>
  <c r="C153" i="9"/>
  <c r="Q153" i="9" s="1"/>
  <c r="P153" i="9" s="1"/>
  <c r="N152" i="9"/>
  <c r="C152" i="9"/>
  <c r="D152" i="9" s="1" a="1"/>
  <c r="D152" i="9" s="1"/>
  <c r="F152" i="9" s="1"/>
  <c r="G152" i="9" s="1"/>
  <c r="C151" i="9"/>
  <c r="Q151" i="9" s="1"/>
  <c r="P151" i="9" s="1"/>
  <c r="C150" i="9"/>
  <c r="M149" i="9" a="1"/>
  <c r="M149" i="9" s="1"/>
  <c r="D149" i="9" a="1"/>
  <c r="D149" i="9" s="1"/>
  <c r="F149" i="9" s="1"/>
  <c r="G149" i="9" s="1"/>
  <c r="C149" i="9"/>
  <c r="Q149" i="9" s="1"/>
  <c r="P149" i="9" s="1"/>
  <c r="B149" i="9"/>
  <c r="J148" i="9"/>
  <c r="C148" i="9"/>
  <c r="Q148" i="9" s="1"/>
  <c r="P148" i="9" s="1"/>
  <c r="H147" i="9"/>
  <c r="E147" i="9" s="1"/>
  <c r="C147" i="9"/>
  <c r="Q147" i="9" s="1"/>
  <c r="P147" i="9" s="1"/>
  <c r="M146" i="9" a="1"/>
  <c r="M146" i="9" s="1"/>
  <c r="C146" i="9"/>
  <c r="Q146" i="9" s="1"/>
  <c r="P146" i="9" s="1"/>
  <c r="P145" i="9"/>
  <c r="M145" i="9" a="1"/>
  <c r="M145" i="9" s="1"/>
  <c r="H145" i="9"/>
  <c r="E145" i="9" s="1"/>
  <c r="C145" i="9"/>
  <c r="Q145" i="9" s="1"/>
  <c r="B145" i="9"/>
  <c r="C144" i="9"/>
  <c r="M144" i="9" s="1" a="1"/>
  <c r="M144" i="9" s="1"/>
  <c r="H143" i="9"/>
  <c r="E143" i="9" s="1"/>
  <c r="C143" i="9"/>
  <c r="J143" i="9" s="1"/>
  <c r="M142" i="9" a="1"/>
  <c r="M142" i="9" s="1"/>
  <c r="C142" i="9"/>
  <c r="J142" i="9" s="1"/>
  <c r="A142" i="9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C141" i="9"/>
  <c r="Q141" i="9" s="1"/>
  <c r="P141" i="9" s="1"/>
  <c r="M140" i="9" a="1"/>
  <c r="M140" i="9" s="1"/>
  <c r="D140" i="9" a="1"/>
  <c r="D140" i="9" s="1"/>
  <c r="F140" i="9" s="1"/>
  <c r="G140" i="9" s="1"/>
  <c r="C140" i="9"/>
  <c r="Q139" i="9"/>
  <c r="P139" i="9" s="1"/>
  <c r="D139" i="9" a="1"/>
  <c r="D139" i="9" s="1"/>
  <c r="F139" i="9" s="1"/>
  <c r="G139" i="9" s="1"/>
  <c r="C139" i="9"/>
  <c r="I139" i="9" s="1" a="1"/>
  <c r="I139" i="9" s="1"/>
  <c r="B139" i="9"/>
  <c r="C138" i="9"/>
  <c r="C137" i="9"/>
  <c r="N137" i="9" s="1"/>
  <c r="C136" i="9"/>
  <c r="C135" i="9"/>
  <c r="B135" i="9" s="1"/>
  <c r="H134" i="9"/>
  <c r="E134" i="9" s="1"/>
  <c r="C134" i="9"/>
  <c r="Q134" i="9" s="1"/>
  <c r="P134" i="9" s="1"/>
  <c r="B134" i="9"/>
  <c r="Q133" i="9"/>
  <c r="P133" i="9" s="1"/>
  <c r="N133" i="9"/>
  <c r="M133" i="9" a="1"/>
  <c r="M133" i="9" s="1"/>
  <c r="H133" i="9"/>
  <c r="E133" i="9" s="1"/>
  <c r="C133" i="9"/>
  <c r="I133" i="9" s="1" a="1"/>
  <c r="I133" i="9" s="1"/>
  <c r="B133" i="9"/>
  <c r="C132" i="9"/>
  <c r="I132" i="9" s="1" a="1"/>
  <c r="I132" i="9" s="1"/>
  <c r="C131" i="9"/>
  <c r="I131" i="9" s="1" a="1"/>
  <c r="I131" i="9" s="1"/>
  <c r="N130" i="9"/>
  <c r="I130" i="9" a="1"/>
  <c r="I130" i="9" s="1"/>
  <c r="C130" i="9"/>
  <c r="H130" i="9" s="1"/>
  <c r="E130" i="9" s="1"/>
  <c r="Q129" i="9"/>
  <c r="P129" i="9" s="1"/>
  <c r="M129" i="9" a="1"/>
  <c r="M129" i="9" s="1"/>
  <c r="J129" i="9"/>
  <c r="D129" i="9" a="1"/>
  <c r="D129" i="9" s="1"/>
  <c r="F129" i="9" s="1"/>
  <c r="G129" i="9" s="1"/>
  <c r="C129" i="9"/>
  <c r="N129" i="9" s="1"/>
  <c r="B129" i="9"/>
  <c r="C128" i="9"/>
  <c r="Q128" i="9" s="1"/>
  <c r="P128" i="9" s="1"/>
  <c r="I127" i="9" a="1"/>
  <c r="I127" i="9" s="1"/>
  <c r="C127" i="9"/>
  <c r="M127" i="9" s="1" a="1"/>
  <c r="M127" i="9" s="1"/>
  <c r="B127" i="9"/>
  <c r="C126" i="9"/>
  <c r="Q126" i="9" s="1"/>
  <c r="P126" i="9" s="1"/>
  <c r="Q125" i="9"/>
  <c r="P125" i="9" s="1"/>
  <c r="M125" i="9" a="1"/>
  <c r="M125" i="9" s="1"/>
  <c r="J125" i="9"/>
  <c r="H125" i="9"/>
  <c r="E125" i="9"/>
  <c r="D125" i="9" a="1"/>
  <c r="D125" i="9" s="1"/>
  <c r="F125" i="9" s="1"/>
  <c r="G125" i="9" s="1"/>
  <c r="C125" i="9"/>
  <c r="I125" i="9" s="1" a="1"/>
  <c r="I125" i="9" s="1"/>
  <c r="B125" i="9"/>
  <c r="C124" i="9"/>
  <c r="M124" i="9" s="1" a="1"/>
  <c r="M124" i="9" s="1"/>
  <c r="C123" i="9"/>
  <c r="I123" i="9" s="1" a="1"/>
  <c r="I123" i="9" s="1"/>
  <c r="C122" i="9"/>
  <c r="J121" i="9"/>
  <c r="C121" i="9"/>
  <c r="N121" i="9" s="1"/>
  <c r="B121" i="9"/>
  <c r="C120" i="9"/>
  <c r="C119" i="9"/>
  <c r="B119" i="9" s="1"/>
  <c r="D118" i="9" a="1"/>
  <c r="D118" i="9" s="1"/>
  <c r="F118" i="9" s="1"/>
  <c r="G118" i="9" s="1"/>
  <c r="C118" i="9"/>
  <c r="Q118" i="9" s="1"/>
  <c r="P118" i="9" s="1"/>
  <c r="B118" i="9"/>
  <c r="Q117" i="9"/>
  <c r="P117" i="9" s="1"/>
  <c r="C117" i="9"/>
  <c r="D117" i="9" s="1" a="1"/>
  <c r="D117" i="9" s="1"/>
  <c r="F117" i="9" s="1"/>
  <c r="G117" i="9" s="1"/>
  <c r="M116" i="9" a="1"/>
  <c r="M116" i="9" s="1"/>
  <c r="D116" i="9" a="1"/>
  <c r="D116" i="9" s="1"/>
  <c r="F116" i="9" s="1"/>
  <c r="G116" i="9" s="1"/>
  <c r="C116" i="9"/>
  <c r="Q115" i="9"/>
  <c r="P115" i="9" s="1"/>
  <c r="N115" i="9"/>
  <c r="J115" i="9"/>
  <c r="H115" i="9"/>
  <c r="E115" i="9"/>
  <c r="D115" i="9" a="1"/>
  <c r="D115" i="9" s="1"/>
  <c r="F115" i="9" s="1"/>
  <c r="G115" i="9" s="1"/>
  <c r="C115" i="9"/>
  <c r="I115" i="9" s="1" a="1"/>
  <c r="I115" i="9" s="1"/>
  <c r="B115" i="9"/>
  <c r="H114" i="9"/>
  <c r="E114" i="9" s="1"/>
  <c r="C114" i="9"/>
  <c r="N114" i="9" s="1"/>
  <c r="Q113" i="9"/>
  <c r="P113" i="9" s="1"/>
  <c r="J113" i="9"/>
  <c r="D113" i="9" a="1"/>
  <c r="D113" i="9" s="1"/>
  <c r="F113" i="9" s="1"/>
  <c r="G113" i="9" s="1"/>
  <c r="C113" i="9"/>
  <c r="N113" i="9" s="1"/>
  <c r="B113" i="9"/>
  <c r="I112" i="9" a="1"/>
  <c r="I112" i="9" s="1"/>
  <c r="C112" i="9"/>
  <c r="H112" i="9" s="1"/>
  <c r="E112" i="9" s="1"/>
  <c r="C111" i="9"/>
  <c r="C110" i="9"/>
  <c r="H110" i="9" s="1"/>
  <c r="E110" i="9" s="1"/>
  <c r="I108" i="9" a="1"/>
  <c r="I108" i="9" s="1"/>
  <c r="C108" i="9"/>
  <c r="D108" i="9" s="1" a="1"/>
  <c r="D108" i="9" s="1"/>
  <c r="F108" i="9" s="1"/>
  <c r="G108" i="9" s="1"/>
  <c r="M107" i="9" a="1"/>
  <c r="M107" i="9" s="1"/>
  <c r="J107" i="9"/>
  <c r="H107" i="9"/>
  <c r="E107" i="9"/>
  <c r="C107" i="9"/>
  <c r="I107" i="9" s="1" a="1"/>
  <c r="I107" i="9" s="1"/>
  <c r="C106" i="9"/>
  <c r="C105" i="9"/>
  <c r="B105" i="9"/>
  <c r="C104" i="9"/>
  <c r="C103" i="9"/>
  <c r="B103" i="9" s="1"/>
  <c r="C102" i="9"/>
  <c r="Q102" i="9" s="1"/>
  <c r="P102" i="9" s="1"/>
  <c r="Q101" i="9"/>
  <c r="P101" i="9" s="1"/>
  <c r="N101" i="9"/>
  <c r="M101" i="9" a="1"/>
  <c r="M101" i="9" s="1"/>
  <c r="J101" i="9"/>
  <c r="C101" i="9"/>
  <c r="D101" i="9" s="1" a="1"/>
  <c r="D101" i="9" s="1"/>
  <c r="F101" i="9" s="1"/>
  <c r="G101" i="9" s="1"/>
  <c r="B101" i="9"/>
  <c r="C100" i="9"/>
  <c r="I100" i="9" s="1" a="1"/>
  <c r="I100" i="9" s="1"/>
  <c r="Q99" i="9"/>
  <c r="P99" i="9" s="1"/>
  <c r="M99" i="9" a="1"/>
  <c r="M99" i="9" s="1"/>
  <c r="C99" i="9"/>
  <c r="I99" i="9" s="1" a="1"/>
  <c r="I99" i="9" s="1"/>
  <c r="B99" i="9"/>
  <c r="C98" i="9"/>
  <c r="N98" i="9" s="1"/>
  <c r="J97" i="9"/>
  <c r="C97" i="9"/>
  <c r="N97" i="9" s="1"/>
  <c r="C96" i="9"/>
  <c r="J96" i="9" s="1"/>
  <c r="I95" i="9" a="1"/>
  <c r="I95" i="9" s="1"/>
  <c r="C95" i="9"/>
  <c r="J95" i="9" s="1"/>
  <c r="H94" i="9"/>
  <c r="E94" i="9" s="1"/>
  <c r="C94" i="9"/>
  <c r="D94" i="9" s="1" a="1"/>
  <c r="D94" i="9" s="1"/>
  <c r="F94" i="9" s="1"/>
  <c r="G94" i="9" s="1"/>
  <c r="B94" i="9"/>
  <c r="N93" i="9"/>
  <c r="H93" i="9"/>
  <c r="E93" i="9" s="1"/>
  <c r="C93" i="9"/>
  <c r="D93" i="9" s="1" a="1"/>
  <c r="D93" i="9" s="1"/>
  <c r="F93" i="9" s="1"/>
  <c r="G93" i="9" s="1"/>
  <c r="B93" i="9"/>
  <c r="N92" i="9"/>
  <c r="I92" i="9" a="1"/>
  <c r="I92" i="9" s="1"/>
  <c r="D92" i="9" a="1"/>
  <c r="D92" i="9" s="1"/>
  <c r="F92" i="9" s="1"/>
  <c r="G92" i="9" s="1"/>
  <c r="C92" i="9"/>
  <c r="M92" i="9" s="1" a="1"/>
  <c r="M92" i="9" s="1"/>
  <c r="Q91" i="9"/>
  <c r="P91" i="9" s="1"/>
  <c r="N91" i="9"/>
  <c r="J91" i="9"/>
  <c r="D91" i="9" a="1"/>
  <c r="D91" i="9" s="1"/>
  <c r="F91" i="9" s="1"/>
  <c r="G91" i="9" s="1"/>
  <c r="C91" i="9"/>
  <c r="I91" i="9" s="1" a="1"/>
  <c r="I91" i="9" s="1"/>
  <c r="B91" i="9"/>
  <c r="J90" i="9"/>
  <c r="C90" i="9"/>
  <c r="I90" i="9" s="1" a="1"/>
  <c r="I90" i="9" s="1"/>
  <c r="C89" i="9"/>
  <c r="N88" i="9"/>
  <c r="J88" i="9"/>
  <c r="I88" i="9" a="1"/>
  <c r="I88" i="9" s="1"/>
  <c r="D88" i="9" a="1"/>
  <c r="D88" i="9" s="1"/>
  <c r="F88" i="9" s="1"/>
  <c r="G88" i="9" s="1"/>
  <c r="C88" i="9"/>
  <c r="M88" i="9" s="1" a="1"/>
  <c r="M88" i="9" s="1"/>
  <c r="B88" i="9"/>
  <c r="C87" i="9"/>
  <c r="D87" i="9" s="1" a="1"/>
  <c r="D87" i="9" s="1"/>
  <c r="F87" i="9" s="1"/>
  <c r="G87" i="9" s="1"/>
  <c r="I86" i="9" a="1"/>
  <c r="I86" i="9" s="1"/>
  <c r="C86" i="9"/>
  <c r="B86" i="9" s="1"/>
  <c r="Q85" i="9"/>
  <c r="P85" i="9" s="1"/>
  <c r="J85" i="9"/>
  <c r="C85" i="9"/>
  <c r="D85" i="9" s="1" a="1"/>
  <c r="D85" i="9" s="1"/>
  <c r="F85" i="9" s="1"/>
  <c r="G85" i="9" s="1"/>
  <c r="C84" i="9"/>
  <c r="H84" i="9" s="1"/>
  <c r="E84" i="9" s="1"/>
  <c r="A84" i="9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I83" i="9" a="1"/>
  <c r="I83" i="9" s="1"/>
  <c r="C83" i="9"/>
  <c r="D83" i="9" s="1" a="1"/>
  <c r="D83" i="9" s="1"/>
  <c r="F83" i="9" s="1"/>
  <c r="G83" i="9" s="1"/>
  <c r="Q82" i="9"/>
  <c r="P82" i="9" s="1"/>
  <c r="N82" i="9"/>
  <c r="J82" i="9"/>
  <c r="H82" i="9"/>
  <c r="E82" i="9" s="1"/>
  <c r="D82" i="9" a="1"/>
  <c r="D82" i="9" s="1"/>
  <c r="F82" i="9" s="1"/>
  <c r="G82" i="9" s="1"/>
  <c r="C82" i="9"/>
  <c r="M82" i="9" s="1" a="1"/>
  <c r="M82" i="9" s="1"/>
  <c r="B82" i="9"/>
  <c r="C81" i="9"/>
  <c r="N81" i="9" s="1"/>
  <c r="Q80" i="9"/>
  <c r="P80" i="9" s="1"/>
  <c r="M80" i="9" a="1"/>
  <c r="M80" i="9" s="1"/>
  <c r="J80" i="9"/>
  <c r="D80" i="9" a="1"/>
  <c r="D80" i="9" s="1"/>
  <c r="F80" i="9" s="1"/>
  <c r="G80" i="9" s="1"/>
  <c r="C80" i="9"/>
  <c r="I80" i="9" s="1" a="1"/>
  <c r="I80" i="9" s="1"/>
  <c r="B80" i="9"/>
  <c r="H79" i="9"/>
  <c r="E79" i="9" s="1"/>
  <c r="C79" i="9"/>
  <c r="N79" i="9" s="1"/>
  <c r="A79" i="9"/>
  <c r="A80" i="9" s="1"/>
  <c r="A81" i="9" s="1"/>
  <c r="A82" i="9" s="1"/>
  <c r="A83" i="9" s="1"/>
  <c r="D78" i="9" a="1"/>
  <c r="D78" i="9" s="1"/>
  <c r="F78" i="9" s="1"/>
  <c r="G78" i="9" s="1"/>
  <c r="C78" i="9"/>
  <c r="Q78" i="9" s="1"/>
  <c r="P78" i="9" s="1"/>
  <c r="B78" i="9"/>
  <c r="Q77" i="9"/>
  <c r="P77" i="9" s="1"/>
  <c r="N77" i="9"/>
  <c r="M77" i="9" a="1"/>
  <c r="M77" i="9" s="1"/>
  <c r="J77" i="9"/>
  <c r="D77" i="9" a="1"/>
  <c r="D77" i="9" s="1"/>
  <c r="F77" i="9" s="1"/>
  <c r="G77" i="9" s="1"/>
  <c r="C77" i="9"/>
  <c r="I77" i="9" s="1" a="1"/>
  <c r="I77" i="9" s="1"/>
  <c r="B77" i="9"/>
  <c r="A77" i="9"/>
  <c r="A78" i="9" s="1"/>
  <c r="C76" i="9"/>
  <c r="M76" i="9" s="1" a="1"/>
  <c r="M76" i="9" s="1"/>
  <c r="D75" i="9" a="1"/>
  <c r="D75" i="9" s="1"/>
  <c r="F75" i="9" s="1"/>
  <c r="G75" i="9" s="1"/>
  <c r="C75" i="9"/>
  <c r="AC74" i="9"/>
  <c r="J74" i="9"/>
  <c r="C74" i="9"/>
  <c r="I74" i="9" s="1" a="1"/>
  <c r="I74" i="9" s="1"/>
  <c r="B74" i="9"/>
  <c r="C73" i="9"/>
  <c r="A73" i="9"/>
  <c r="A74" i="9" s="1"/>
  <c r="A75" i="9" s="1"/>
  <c r="A76" i="9" s="1"/>
  <c r="C72" i="9"/>
  <c r="Q72" i="9" s="1"/>
  <c r="P72" i="9" s="1"/>
  <c r="A72" i="9"/>
  <c r="H71" i="9"/>
  <c r="E71" i="9" s="1"/>
  <c r="C71" i="9"/>
  <c r="C70" i="9"/>
  <c r="B70" i="9" s="1"/>
  <c r="L69" i="9"/>
  <c r="C69" i="9"/>
  <c r="L209" i="9" s="1"/>
  <c r="D68" i="9" a="1"/>
  <c r="D68" i="9" s="1"/>
  <c r="F68" i="9" s="1"/>
  <c r="G68" i="9" s="1"/>
  <c r="C68" i="9"/>
  <c r="N68" i="9" s="1"/>
  <c r="M67" i="9" a="1"/>
  <c r="M67" i="9" s="1"/>
  <c r="J67" i="9"/>
  <c r="D67" i="9" a="1"/>
  <c r="D67" i="9" s="1"/>
  <c r="F67" i="9" s="1"/>
  <c r="G67" i="9" s="1"/>
  <c r="C67" i="9"/>
  <c r="Q67" i="9" s="1"/>
  <c r="P67" i="9" s="1"/>
  <c r="B67" i="9"/>
  <c r="C66" i="9"/>
  <c r="I66" i="9" s="1" a="1"/>
  <c r="I66" i="9" s="1"/>
  <c r="I65" i="9" a="1"/>
  <c r="I65" i="9" s="1"/>
  <c r="C65" i="9"/>
  <c r="B65" i="9" s="1"/>
  <c r="Q64" i="9"/>
  <c r="P64" i="9" s="1"/>
  <c r="N64" i="9"/>
  <c r="M64" i="9" a="1"/>
  <c r="M64" i="9" s="1"/>
  <c r="L64" i="9"/>
  <c r="H64" i="9"/>
  <c r="E64" i="9" s="1"/>
  <c r="C64" i="9"/>
  <c r="J64" i="9" s="1"/>
  <c r="B64" i="9"/>
  <c r="C63" i="9"/>
  <c r="C62" i="9"/>
  <c r="C61" i="9"/>
  <c r="C60" i="9"/>
  <c r="C59" i="9"/>
  <c r="B59" i="9" s="1"/>
  <c r="C58" i="9"/>
  <c r="H58" i="9" s="1"/>
  <c r="E58" i="9" s="1"/>
  <c r="C57" i="9"/>
  <c r="C56" i="9"/>
  <c r="C55" i="9"/>
  <c r="H55" i="9" s="1"/>
  <c r="E55" i="9" s="1"/>
  <c r="C54" i="9"/>
  <c r="B54" i="9" s="1"/>
  <c r="C53" i="9"/>
  <c r="H53" i="9" s="1"/>
  <c r="E53" i="9" s="1"/>
  <c r="B53" i="9"/>
  <c r="C52" i="9"/>
  <c r="B52" i="9" s="1"/>
  <c r="C51" i="9"/>
  <c r="B51" i="9"/>
  <c r="Q50" i="9"/>
  <c r="P50" i="9" s="1"/>
  <c r="L50" i="9"/>
  <c r="D50" i="9" a="1"/>
  <c r="D50" i="9" s="1"/>
  <c r="F50" i="9" s="1"/>
  <c r="G50" i="9" s="1"/>
  <c r="C50" i="9"/>
  <c r="M50" i="9" s="1" a="1"/>
  <c r="M50" i="9" s="1"/>
  <c r="B50" i="9"/>
  <c r="C49" i="9"/>
  <c r="C48" i="9"/>
  <c r="H47" i="9"/>
  <c r="E47" i="9" s="1"/>
  <c r="C47" i="9"/>
  <c r="B47" i="9"/>
  <c r="H46" i="9"/>
  <c r="E46" i="9" s="1"/>
  <c r="C46" i="9"/>
  <c r="B46" i="9" s="1"/>
  <c r="C45" i="9"/>
  <c r="B45" i="9" s="1"/>
  <c r="H44" i="9"/>
  <c r="E44" i="9" s="1"/>
  <c r="C44" i="9"/>
  <c r="B44" i="9" s="1"/>
  <c r="C43" i="9"/>
  <c r="B43" i="9" s="1"/>
  <c r="C42" i="9"/>
  <c r="B42" i="9" s="1"/>
  <c r="C41" i="9"/>
  <c r="C40" i="9"/>
  <c r="C39" i="9"/>
  <c r="H39" i="9" s="1"/>
  <c r="E39" i="9" s="1"/>
  <c r="C38" i="9"/>
  <c r="B38" i="9" s="1"/>
  <c r="C37" i="9"/>
  <c r="H37" i="9" s="1"/>
  <c r="E37" i="9" s="1"/>
  <c r="C36" i="9"/>
  <c r="B36" i="9" s="1"/>
  <c r="C35" i="9"/>
  <c r="B35" i="9"/>
  <c r="C34" i="9"/>
  <c r="H34" i="9" s="1"/>
  <c r="E34" i="9" s="1"/>
  <c r="C33" i="9"/>
  <c r="C32" i="9"/>
  <c r="C31" i="9"/>
  <c r="H31" i="9" s="1"/>
  <c r="E31" i="9" s="1"/>
  <c r="B31" i="9"/>
  <c r="C30" i="9"/>
  <c r="B30" i="9" s="1"/>
  <c r="C29" i="9"/>
  <c r="H29" i="9" s="1"/>
  <c r="E29" i="9" s="1"/>
  <c r="B29" i="9"/>
  <c r="C28" i="9"/>
  <c r="B28" i="9" s="1"/>
  <c r="C27" i="9"/>
  <c r="B27" i="9"/>
  <c r="C26" i="9"/>
  <c r="H26" i="9" s="1"/>
  <c r="E26" i="9" s="1"/>
  <c r="B26" i="9"/>
  <c r="C25" i="9"/>
  <c r="C24" i="9"/>
  <c r="H23" i="9"/>
  <c r="E23" i="9" s="1"/>
  <c r="C23" i="9"/>
  <c r="B23" i="9"/>
  <c r="C22" i="9"/>
  <c r="B22" i="9" s="1"/>
  <c r="H21" i="9"/>
  <c r="E21" i="9" s="1"/>
  <c r="C21" i="9"/>
  <c r="B21" i="9"/>
  <c r="H20" i="9"/>
  <c r="E20" i="9" s="1"/>
  <c r="C20" i="9"/>
  <c r="B20" i="9" s="1"/>
  <c r="C19" i="9"/>
  <c r="B19" i="9"/>
  <c r="H18" i="9"/>
  <c r="E18" i="9" s="1"/>
  <c r="C18" i="9"/>
  <c r="C17" i="9"/>
  <c r="C16" i="9"/>
  <c r="B16" i="9" s="1"/>
  <c r="H15" i="9"/>
  <c r="E15" i="9" s="1"/>
  <c r="C15" i="9"/>
  <c r="C14" i="9"/>
  <c r="H13" i="9"/>
  <c r="E13" i="9" s="1"/>
  <c r="C13" i="9"/>
  <c r="B13" i="9"/>
  <c r="H12" i="9"/>
  <c r="C12" i="9"/>
  <c r="C11" i="9"/>
  <c r="B11" i="9" s="1"/>
  <c r="C10" i="9"/>
  <c r="H10" i="9" s="1"/>
  <c r="E10" i="9" s="1"/>
  <c r="C9" i="9"/>
  <c r="C8" i="9"/>
  <c r="B8" i="9"/>
  <c r="C7" i="9"/>
  <c r="H7" i="9" s="1"/>
  <c r="E7" i="9" s="1"/>
  <c r="C6" i="9"/>
  <c r="H5" i="9"/>
  <c r="C5" i="9"/>
  <c r="C4" i="9"/>
  <c r="H4" i="9" s="1"/>
  <c r="E4" i="9" s="1"/>
  <c r="C3" i="9"/>
  <c r="B3" i="9"/>
  <c r="C2" i="9"/>
  <c r="H2" i="9" s="1"/>
  <c r="E2" i="9" s="1"/>
  <c r="B2" i="9"/>
  <c r="A2" i="9"/>
  <c r="A3" i="9" s="1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C1" i="9"/>
  <c r="L1" i="9" s="1"/>
  <c r="B6" i="8"/>
  <c r="M8" i="6"/>
  <c r="N8" i="6" s="1"/>
  <c r="H8" i="6" s="1"/>
  <c r="I8" i="6" s="1"/>
  <c r="L8" i="6"/>
  <c r="E8" i="6"/>
  <c r="D8" i="6"/>
  <c r="A8" i="6"/>
  <c r="N7" i="6"/>
  <c r="M7" i="6"/>
  <c r="L7" i="6"/>
  <c r="H7" i="6"/>
  <c r="I7" i="6" s="1"/>
  <c r="G7" i="6"/>
  <c r="E7" i="6"/>
  <c r="A7" i="6"/>
  <c r="M6" i="6"/>
  <c r="L6" i="6"/>
  <c r="E6" i="6"/>
  <c r="D6" i="6"/>
  <c r="A6" i="6"/>
  <c r="M5" i="6"/>
  <c r="L5" i="6"/>
  <c r="E5" i="6"/>
  <c r="A5" i="6"/>
  <c r="M4" i="6"/>
  <c r="N4" i="6" s="1"/>
  <c r="H4" i="6" s="1"/>
  <c r="I4" i="6" s="1"/>
  <c r="L4" i="6"/>
  <c r="E4" i="6"/>
  <c r="D4" i="6"/>
  <c r="A4" i="6"/>
  <c r="N3" i="6"/>
  <c r="M3" i="6"/>
  <c r="L3" i="6"/>
  <c r="H3" i="6"/>
  <c r="I3" i="6" s="1"/>
  <c r="G3" i="6"/>
  <c r="E3" i="6"/>
  <c r="A3" i="6"/>
  <c r="M2" i="6"/>
  <c r="L2" i="6"/>
  <c r="E2" i="6"/>
  <c r="D2" i="6"/>
  <c r="A2" i="6"/>
  <c r="AK150" i="5"/>
  <c r="AI150" i="5"/>
  <c r="AG150" i="5"/>
  <c r="AE150" i="5"/>
  <c r="AC150" i="5"/>
  <c r="AA150" i="5"/>
  <c r="Y150" i="5"/>
  <c r="W150" i="5"/>
  <c r="U150" i="5"/>
  <c r="S150" i="5"/>
  <c r="D7" i="6" s="1"/>
  <c r="Q150" i="5"/>
  <c r="O150" i="5"/>
  <c r="M150" i="5"/>
  <c r="D5" i="6" s="1"/>
  <c r="K150" i="5"/>
  <c r="I150" i="5"/>
  <c r="D3" i="6" s="1"/>
  <c r="G150" i="5"/>
  <c r="E150" i="5"/>
  <c r="C150" i="5"/>
  <c r="AL149" i="5"/>
  <c r="AJ149" i="5"/>
  <c r="AH149" i="5"/>
  <c r="AF149" i="5"/>
  <c r="AD149" i="5"/>
  <c r="AB149" i="5"/>
  <c r="Z149" i="5"/>
  <c r="X149" i="5"/>
  <c r="V149" i="5"/>
  <c r="T149" i="5"/>
  <c r="R149" i="5"/>
  <c r="P149" i="5"/>
  <c r="N149" i="5"/>
  <c r="L149" i="5"/>
  <c r="J149" i="5"/>
  <c r="H149" i="5"/>
  <c r="F149" i="5"/>
  <c r="AM2" i="5"/>
  <c r="A2" i="5"/>
  <c r="W147" i="4"/>
  <c r="AN147" i="5" s="1"/>
  <c r="V147" i="4"/>
  <c r="AM147" i="5" s="1"/>
  <c r="T147" i="4"/>
  <c r="AL147" i="5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5" s="1"/>
  <c r="W146" i="4" a="1"/>
  <c r="W146" i="4" s="1"/>
  <c r="AN146" i="5" s="1"/>
  <c r="V146" i="4" a="1"/>
  <c r="V146" i="4" s="1"/>
  <c r="AM146" i="5" s="1"/>
  <c r="T146" i="4" a="1"/>
  <c r="T146" i="4" s="1"/>
  <c r="AL146" i="5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5" s="1"/>
  <c r="T145" i="4"/>
  <c r="R145" i="4"/>
  <c r="N145" i="4"/>
  <c r="J145" i="4"/>
  <c r="H145" i="4"/>
  <c r="F145" i="4"/>
  <c r="D145" i="4"/>
  <c r="B145" i="4"/>
  <c r="A145" i="4"/>
  <c r="V145" i="4" s="1"/>
  <c r="AM145" i="5" s="1"/>
  <c r="T144" i="4"/>
  <c r="V143" i="4"/>
  <c r="AM143" i="5" s="1"/>
  <c r="T143" i="4"/>
  <c r="R143" i="4"/>
  <c r="P143" i="4"/>
  <c r="O143" i="4"/>
  <c r="N143" i="4"/>
  <c r="M143" i="4"/>
  <c r="J143" i="4"/>
  <c r="H143" i="4"/>
  <c r="G143" i="4"/>
  <c r="F143" i="4"/>
  <c r="E143" i="4"/>
  <c r="D143" i="4"/>
  <c r="B143" i="4"/>
  <c r="A143" i="4"/>
  <c r="Q143" i="4" s="1"/>
  <c r="T142" i="4"/>
  <c r="W141" i="4"/>
  <c r="AN141" i="5" s="1"/>
  <c r="T141" i="4"/>
  <c r="A141" i="4"/>
  <c r="P141" i="4" s="1"/>
  <c r="T140" i="4"/>
  <c r="T139" i="4"/>
  <c r="H139" i="4"/>
  <c r="G139" i="4"/>
  <c r="A139" i="4"/>
  <c r="O139" i="4" s="1"/>
  <c r="T138" i="4"/>
  <c r="W137" i="4"/>
  <c r="AN137" i="5" s="1"/>
  <c r="T137" i="4"/>
  <c r="P137" i="4"/>
  <c r="N137" i="4"/>
  <c r="D137" i="4"/>
  <c r="A137" i="4"/>
  <c r="T136" i="4"/>
  <c r="V135" i="4"/>
  <c r="AM135" i="5" s="1"/>
  <c r="T135" i="4"/>
  <c r="R135" i="4"/>
  <c r="P135" i="4"/>
  <c r="N135" i="4"/>
  <c r="M135" i="4"/>
  <c r="J135" i="4"/>
  <c r="G135" i="4"/>
  <c r="F135" i="4"/>
  <c r="D135" i="4"/>
  <c r="B135" i="4"/>
  <c r="A135" i="4"/>
  <c r="Q135" i="4" s="1"/>
  <c r="T134" i="4"/>
  <c r="T133" i="4"/>
  <c r="R133" i="4"/>
  <c r="H133" i="4"/>
  <c r="A133" i="4"/>
  <c r="T132" i="4"/>
  <c r="V131" i="4"/>
  <c r="AM131" i="5" s="1"/>
  <c r="T131" i="4"/>
  <c r="R131" i="4"/>
  <c r="P131" i="4"/>
  <c r="N131" i="4"/>
  <c r="M131" i="4"/>
  <c r="J131" i="4"/>
  <c r="G131" i="4"/>
  <c r="F131" i="4"/>
  <c r="D131" i="4"/>
  <c r="B131" i="4"/>
  <c r="A131" i="4"/>
  <c r="Q131" i="4" s="1"/>
  <c r="T130" i="4"/>
  <c r="T129" i="4"/>
  <c r="Q129" i="4"/>
  <c r="L129" i="4"/>
  <c r="J129" i="4"/>
  <c r="A129" i="4"/>
  <c r="W128" i="4"/>
  <c r="AN128" i="5" s="1"/>
  <c r="T128" i="4"/>
  <c r="R128" i="4"/>
  <c r="N128" i="4"/>
  <c r="J128" i="4"/>
  <c r="D128" i="4"/>
  <c r="A128" i="4"/>
  <c r="P128" i="4" s="1"/>
  <c r="V127" i="4"/>
  <c r="AM127" i="5" s="1"/>
  <c r="T127" i="4"/>
  <c r="P127" i="4"/>
  <c r="O127" i="4"/>
  <c r="N127" i="4"/>
  <c r="M127" i="4"/>
  <c r="J127" i="4"/>
  <c r="H127" i="4"/>
  <c r="F127" i="4"/>
  <c r="E127" i="4"/>
  <c r="D127" i="4"/>
  <c r="B127" i="4"/>
  <c r="A127" i="4"/>
  <c r="Q127" i="4" s="1"/>
  <c r="T126" i="4"/>
  <c r="M126" i="4"/>
  <c r="A126" i="4"/>
  <c r="T125" i="4"/>
  <c r="A125" i="4"/>
  <c r="T124" i="4"/>
  <c r="A124" i="4"/>
  <c r="H124" i="4" s="1"/>
  <c r="V123" i="4"/>
  <c r="AM123" i="5" s="1"/>
  <c r="T123" i="4"/>
  <c r="R123" i="4"/>
  <c r="P123" i="4"/>
  <c r="N123" i="4"/>
  <c r="M123" i="4"/>
  <c r="J123" i="4"/>
  <c r="G123" i="4"/>
  <c r="F123" i="4"/>
  <c r="D123" i="4"/>
  <c r="B123" i="4"/>
  <c r="A123" i="4"/>
  <c r="Q123" i="4" s="1"/>
  <c r="W122" i="4"/>
  <c r="AN122" i="5" s="1"/>
  <c r="T122" i="4"/>
  <c r="S122" i="4"/>
  <c r="P122" i="4"/>
  <c r="M122" i="4"/>
  <c r="K122" i="4"/>
  <c r="J122" i="4"/>
  <c r="G122" i="4"/>
  <c r="F122" i="4"/>
  <c r="D122" i="4"/>
  <c r="B122" i="4"/>
  <c r="A122" i="4"/>
  <c r="T121" i="4"/>
  <c r="A121" i="4"/>
  <c r="P121" i="4" s="1"/>
  <c r="T120" i="4"/>
  <c r="A120" i="4"/>
  <c r="W120" i="4" s="1"/>
  <c r="AN120" i="5" s="1"/>
  <c r="T119" i="4"/>
  <c r="A119" i="4"/>
  <c r="W119" i="4" s="1"/>
  <c r="AN119" i="5" s="1"/>
  <c r="V118" i="4"/>
  <c r="AM118" i="5" s="1"/>
  <c r="T118" i="4"/>
  <c r="R118" i="4"/>
  <c r="P118" i="4"/>
  <c r="O118" i="4"/>
  <c r="N118" i="4"/>
  <c r="L118" i="4"/>
  <c r="K118" i="4"/>
  <c r="H118" i="4"/>
  <c r="G118" i="4"/>
  <c r="F118" i="4"/>
  <c r="E118" i="4"/>
  <c r="C118" i="4"/>
  <c r="B118" i="4"/>
  <c r="A118" i="4"/>
  <c r="Q118" i="4" s="1"/>
  <c r="T117" i="4"/>
  <c r="A117" i="4"/>
  <c r="B117" i="4" s="1"/>
  <c r="T116" i="4"/>
  <c r="A116" i="4"/>
  <c r="O116" i="4" s="1"/>
  <c r="T115" i="4"/>
  <c r="I115" i="4"/>
  <c r="A115" i="4"/>
  <c r="V114" i="4"/>
  <c r="AM114" i="5" s="1"/>
  <c r="T114" i="4"/>
  <c r="S114" i="4"/>
  <c r="N114" i="4"/>
  <c r="L114" i="4"/>
  <c r="J114" i="4"/>
  <c r="H114" i="4"/>
  <c r="F114" i="4"/>
  <c r="E114" i="4"/>
  <c r="A114" i="4"/>
  <c r="W113" i="4"/>
  <c r="AN113" i="5" s="1"/>
  <c r="T113" i="4"/>
  <c r="R113" i="4"/>
  <c r="Q113" i="4"/>
  <c r="I113" i="4"/>
  <c r="D113" i="4"/>
  <c r="A113" i="4"/>
  <c r="T112" i="4"/>
  <c r="Q112" i="4"/>
  <c r="N112" i="4"/>
  <c r="K112" i="4"/>
  <c r="H112" i="4"/>
  <c r="D112" i="4"/>
  <c r="C112" i="4"/>
  <c r="A112" i="4"/>
  <c r="T111" i="4"/>
  <c r="A111" i="4"/>
  <c r="Q111" i="4" s="1"/>
  <c r="V110" i="4"/>
  <c r="AM110" i="5" s="1"/>
  <c r="T110" i="4"/>
  <c r="R110" i="4"/>
  <c r="O110" i="4"/>
  <c r="N110" i="4"/>
  <c r="L110" i="4"/>
  <c r="K110" i="4"/>
  <c r="H110" i="4"/>
  <c r="F110" i="4"/>
  <c r="E110" i="4"/>
  <c r="C110" i="4"/>
  <c r="B110" i="4"/>
  <c r="A110" i="4"/>
  <c r="Q110" i="4" s="1"/>
  <c r="T109" i="4"/>
  <c r="P109" i="4"/>
  <c r="N109" i="4"/>
  <c r="H109" i="4"/>
  <c r="F109" i="4"/>
  <c r="E109" i="4"/>
  <c r="B109" i="4"/>
  <c r="A109" i="4"/>
  <c r="R109" i="4" s="1"/>
  <c r="T108" i="4"/>
  <c r="A108" i="4"/>
  <c r="P108" i="4" s="1"/>
  <c r="T107" i="4"/>
  <c r="R107" i="4"/>
  <c r="N107" i="4"/>
  <c r="J107" i="4"/>
  <c r="G107" i="4"/>
  <c r="E107" i="4"/>
  <c r="B107" i="4"/>
  <c r="A107" i="4"/>
  <c r="S107" i="4" s="1"/>
  <c r="W106" i="4"/>
  <c r="AN106" i="5" s="1"/>
  <c r="T106" i="4"/>
  <c r="P106" i="4"/>
  <c r="M106" i="4"/>
  <c r="K106" i="4"/>
  <c r="J106" i="4"/>
  <c r="G106" i="4"/>
  <c r="B106" i="4"/>
  <c r="A106" i="4"/>
  <c r="T105" i="4"/>
  <c r="A105" i="4"/>
  <c r="R105" i="4" s="1"/>
  <c r="T104" i="4"/>
  <c r="O104" i="4"/>
  <c r="A104" i="4"/>
  <c r="V103" i="4"/>
  <c r="AM103" i="5" s="1"/>
  <c r="T103" i="4"/>
  <c r="J103" i="4"/>
  <c r="A103" i="4"/>
  <c r="W102" i="4"/>
  <c r="AN102" i="5" s="1"/>
  <c r="V102" i="4"/>
  <c r="AM102" i="5" s="1"/>
  <c r="T102" i="4"/>
  <c r="R102" i="4"/>
  <c r="P102" i="4"/>
  <c r="N102" i="4"/>
  <c r="M102" i="4"/>
  <c r="L102" i="4"/>
  <c r="K102" i="4"/>
  <c r="H102" i="4"/>
  <c r="G102" i="4"/>
  <c r="E102" i="4"/>
  <c r="D102" i="4"/>
  <c r="C102" i="4"/>
  <c r="B102" i="4"/>
  <c r="A102" i="4"/>
  <c r="Q102" i="4" s="1"/>
  <c r="T101" i="4"/>
  <c r="R101" i="4"/>
  <c r="B101" i="4"/>
  <c r="A101" i="4"/>
  <c r="T100" i="4"/>
  <c r="P100" i="4"/>
  <c r="H100" i="4"/>
  <c r="G100" i="4"/>
  <c r="A100" i="4"/>
  <c r="W100" i="4" s="1"/>
  <c r="AN100" i="5" s="1"/>
  <c r="W99" i="4"/>
  <c r="AN99" i="5" s="1"/>
  <c r="V99" i="4"/>
  <c r="AM99" i="5" s="1"/>
  <c r="T99" i="4"/>
  <c r="R99" i="4"/>
  <c r="N99" i="4"/>
  <c r="M99" i="4"/>
  <c r="J99" i="4"/>
  <c r="G99" i="4"/>
  <c r="F99" i="4"/>
  <c r="E99" i="4"/>
  <c r="B99" i="4"/>
  <c r="A99" i="4"/>
  <c r="L99" i="4" s="1"/>
  <c r="T98" i="4"/>
  <c r="S98" i="4"/>
  <c r="R98" i="4"/>
  <c r="D98" i="4"/>
  <c r="C98" i="4"/>
  <c r="A98" i="4"/>
  <c r="M98" i="4" s="1"/>
  <c r="T97" i="4"/>
  <c r="J97" i="4"/>
  <c r="A97" i="4"/>
  <c r="T96" i="4"/>
  <c r="A96" i="4"/>
  <c r="T95" i="4"/>
  <c r="A95" i="4"/>
  <c r="W94" i="4"/>
  <c r="AN94" i="5" s="1"/>
  <c r="T94" i="4"/>
  <c r="R94" i="4"/>
  <c r="P94" i="4"/>
  <c r="N94" i="4"/>
  <c r="M94" i="4"/>
  <c r="K94" i="4"/>
  <c r="H94" i="4"/>
  <c r="G94" i="4"/>
  <c r="E94" i="4"/>
  <c r="D94" i="4"/>
  <c r="B94" i="4"/>
  <c r="A94" i="4"/>
  <c r="Q94" i="4" s="1"/>
  <c r="T93" i="4"/>
  <c r="R93" i="4"/>
  <c r="B93" i="4"/>
  <c r="A93" i="4"/>
  <c r="T92" i="4"/>
  <c r="P92" i="4"/>
  <c r="O92" i="4"/>
  <c r="H92" i="4"/>
  <c r="G92" i="4"/>
  <c r="A92" i="4"/>
  <c r="W92" i="4" s="1"/>
  <c r="AN92" i="5" s="1"/>
  <c r="W91" i="4"/>
  <c r="AN91" i="5" s="1"/>
  <c r="V91" i="4"/>
  <c r="AM91" i="5" s="1"/>
  <c r="T91" i="4"/>
  <c r="R91" i="4"/>
  <c r="N91" i="4"/>
  <c r="M91" i="4"/>
  <c r="G91" i="4"/>
  <c r="F91" i="4"/>
  <c r="B91" i="4"/>
  <c r="A91" i="4"/>
  <c r="L91" i="4" s="1"/>
  <c r="T90" i="4"/>
  <c r="M90" i="4"/>
  <c r="A90" i="4"/>
  <c r="T89" i="4"/>
  <c r="J89" i="4"/>
  <c r="A89" i="4"/>
  <c r="T88" i="4"/>
  <c r="A88" i="4"/>
  <c r="V87" i="4"/>
  <c r="AM87" i="5" s="1"/>
  <c r="T87" i="4"/>
  <c r="O87" i="4"/>
  <c r="J87" i="4"/>
  <c r="A87" i="4"/>
  <c r="W86" i="4"/>
  <c r="AN86" i="5" s="1"/>
  <c r="T86" i="4"/>
  <c r="R86" i="4"/>
  <c r="P86" i="4"/>
  <c r="N86" i="4"/>
  <c r="M86" i="4"/>
  <c r="K86" i="4"/>
  <c r="H86" i="4"/>
  <c r="G86" i="4"/>
  <c r="E86" i="4"/>
  <c r="D86" i="4"/>
  <c r="B86" i="4"/>
  <c r="A86" i="4"/>
  <c r="Q86" i="4" s="1"/>
  <c r="T85" i="4"/>
  <c r="A85" i="4"/>
  <c r="R85" i="4" s="1"/>
  <c r="T84" i="4"/>
  <c r="P84" i="4"/>
  <c r="O84" i="4"/>
  <c r="H84" i="4"/>
  <c r="G84" i="4"/>
  <c r="A84" i="4"/>
  <c r="W84" i="4" s="1"/>
  <c r="AN84" i="5" s="1"/>
  <c r="W83" i="4"/>
  <c r="AN83" i="5" s="1"/>
  <c r="V83" i="4"/>
  <c r="AM83" i="5" s="1"/>
  <c r="T83" i="4"/>
  <c r="O83" i="4"/>
  <c r="G83" i="4"/>
  <c r="A83" i="4"/>
  <c r="V82" i="4"/>
  <c r="AM82" i="5" s="1"/>
  <c r="T82" i="4"/>
  <c r="S82" i="4"/>
  <c r="R82" i="4"/>
  <c r="N82" i="4"/>
  <c r="L82" i="4"/>
  <c r="J82" i="4"/>
  <c r="H82" i="4"/>
  <c r="F82" i="4"/>
  <c r="E82" i="4"/>
  <c r="C82" i="4"/>
  <c r="A82" i="4"/>
  <c r="T81" i="4"/>
  <c r="J81" i="4"/>
  <c r="B81" i="4"/>
  <c r="A81" i="4"/>
  <c r="P81" i="4" s="1"/>
  <c r="T80" i="4"/>
  <c r="O80" i="4"/>
  <c r="H80" i="4"/>
  <c r="A80" i="4"/>
  <c r="W79" i="4"/>
  <c r="AN79" i="5" s="1"/>
  <c r="T79" i="4"/>
  <c r="O79" i="4"/>
  <c r="N79" i="4"/>
  <c r="M79" i="4"/>
  <c r="F79" i="4"/>
  <c r="E79" i="4"/>
  <c r="A79" i="4"/>
  <c r="L79" i="4" s="1"/>
  <c r="T78" i="4"/>
  <c r="M78" i="4"/>
  <c r="A78" i="4"/>
  <c r="T77" i="4"/>
  <c r="A77" i="4"/>
  <c r="P77" i="4" s="1"/>
  <c r="T76" i="4"/>
  <c r="O76" i="4"/>
  <c r="A76" i="4"/>
  <c r="T75" i="4"/>
  <c r="N75" i="4"/>
  <c r="G75" i="4"/>
  <c r="A75" i="4"/>
  <c r="V75" i="4" s="1"/>
  <c r="AM75" i="5" s="1"/>
  <c r="W74" i="4"/>
  <c r="AN74" i="5" s="1"/>
  <c r="T74" i="4"/>
  <c r="R74" i="4"/>
  <c r="P74" i="4"/>
  <c r="N74" i="4"/>
  <c r="M74" i="4"/>
  <c r="K74" i="4"/>
  <c r="H74" i="4"/>
  <c r="G74" i="4"/>
  <c r="E74" i="4"/>
  <c r="D74" i="4"/>
  <c r="B74" i="4"/>
  <c r="A74" i="4"/>
  <c r="Q74" i="4" s="1"/>
  <c r="T73" i="4"/>
  <c r="A73" i="4"/>
  <c r="P73" i="4" s="1"/>
  <c r="T72" i="4"/>
  <c r="P72" i="4"/>
  <c r="O72" i="4"/>
  <c r="G72" i="4"/>
  <c r="A72" i="4"/>
  <c r="W72" i="4" s="1"/>
  <c r="AN72" i="5" s="1"/>
  <c r="T71" i="4"/>
  <c r="A71" i="4"/>
  <c r="T70" i="4"/>
  <c r="O70" i="4"/>
  <c r="M70" i="4"/>
  <c r="L70" i="4"/>
  <c r="K70" i="4"/>
  <c r="G70" i="4"/>
  <c r="E70" i="4"/>
  <c r="C70" i="4"/>
  <c r="A70" i="4"/>
  <c r="T69" i="4"/>
  <c r="A69" i="4"/>
  <c r="P69" i="4" s="1"/>
  <c r="T68" i="4"/>
  <c r="O68" i="4"/>
  <c r="G68" i="4"/>
  <c r="A68" i="4"/>
  <c r="P68" i="4" s="1"/>
  <c r="V67" i="4"/>
  <c r="AM67" i="5" s="1"/>
  <c r="T67" i="4"/>
  <c r="O67" i="4"/>
  <c r="N67" i="4"/>
  <c r="G67" i="4"/>
  <c r="F67" i="4"/>
  <c r="E67" i="4"/>
  <c r="A67" i="4"/>
  <c r="T66" i="4"/>
  <c r="O66" i="4"/>
  <c r="M66" i="4"/>
  <c r="L66" i="4"/>
  <c r="K66" i="4"/>
  <c r="G66" i="4"/>
  <c r="C66" i="4"/>
  <c r="A66" i="4"/>
  <c r="T65" i="4"/>
  <c r="A65" i="4"/>
  <c r="P65" i="4" s="1"/>
  <c r="T64" i="4"/>
  <c r="P64" i="4"/>
  <c r="O64" i="4"/>
  <c r="A64" i="4"/>
  <c r="V63" i="4"/>
  <c r="AM63" i="5" s="1"/>
  <c r="T63" i="4"/>
  <c r="O63" i="4"/>
  <c r="N63" i="4"/>
  <c r="G63" i="4"/>
  <c r="E63" i="4"/>
  <c r="A63" i="4"/>
  <c r="T62" i="4"/>
  <c r="A62" i="4"/>
  <c r="T61" i="4"/>
  <c r="A61" i="4"/>
  <c r="P61" i="4" s="1"/>
  <c r="T60" i="4"/>
  <c r="A60" i="4"/>
  <c r="P60" i="4" s="1"/>
  <c r="W59" i="4"/>
  <c r="AN59" i="5" s="1"/>
  <c r="T59" i="4"/>
  <c r="F59" i="4"/>
  <c r="E59" i="4"/>
  <c r="A59" i="4"/>
  <c r="L59" i="4" s="1"/>
  <c r="T58" i="4"/>
  <c r="L58" i="4"/>
  <c r="A58" i="4"/>
  <c r="R58" i="4" s="1"/>
  <c r="T57" i="4"/>
  <c r="A57" i="4"/>
  <c r="P57" i="4" s="1"/>
  <c r="T56" i="4"/>
  <c r="A56" i="4"/>
  <c r="W56" i="4" s="1"/>
  <c r="AN56" i="5" s="1"/>
  <c r="W55" i="4"/>
  <c r="AN55" i="5" s="1"/>
  <c r="T55" i="4"/>
  <c r="F55" i="4"/>
  <c r="E55" i="4"/>
  <c r="A55" i="4"/>
  <c r="L55" i="4" s="1"/>
  <c r="T54" i="4"/>
  <c r="L54" i="4"/>
  <c r="A54" i="4"/>
  <c r="R54" i="4" s="1"/>
  <c r="T53" i="4"/>
  <c r="A53" i="4"/>
  <c r="P53" i="4" s="1"/>
  <c r="T52" i="4"/>
  <c r="A52" i="4"/>
  <c r="W52" i="4" s="1"/>
  <c r="AN52" i="5" s="1"/>
  <c r="W51" i="4"/>
  <c r="AN51" i="5" s="1"/>
  <c r="T51" i="4"/>
  <c r="F51" i="4"/>
  <c r="E51" i="4"/>
  <c r="A51" i="4"/>
  <c r="L51" i="4" s="1"/>
  <c r="T50" i="4"/>
  <c r="L50" i="4"/>
  <c r="A50" i="4"/>
  <c r="R50" i="4" s="1"/>
  <c r="T49" i="4"/>
  <c r="A49" i="4"/>
  <c r="P49" i="4" s="1"/>
  <c r="T48" i="4"/>
  <c r="A48" i="4"/>
  <c r="W48" i="4" s="1"/>
  <c r="AN48" i="5" s="1"/>
  <c r="W47" i="4"/>
  <c r="AN47" i="5" s="1"/>
  <c r="T47" i="4"/>
  <c r="F47" i="4"/>
  <c r="E47" i="4"/>
  <c r="A47" i="4"/>
  <c r="L47" i="4" s="1"/>
  <c r="T46" i="4"/>
  <c r="L46" i="4"/>
  <c r="A46" i="4"/>
  <c r="R46" i="4" s="1"/>
  <c r="T45" i="4"/>
  <c r="A45" i="4"/>
  <c r="P45" i="4" s="1"/>
  <c r="T44" i="4"/>
  <c r="A44" i="4"/>
  <c r="W44" i="4" s="1"/>
  <c r="AN44" i="5" s="1"/>
  <c r="W43" i="4"/>
  <c r="AN43" i="5" s="1"/>
  <c r="T43" i="4"/>
  <c r="F43" i="4"/>
  <c r="E43" i="4"/>
  <c r="A43" i="4"/>
  <c r="L43" i="4" s="1"/>
  <c r="T42" i="4"/>
  <c r="L42" i="4"/>
  <c r="A42" i="4"/>
  <c r="R42" i="4" s="1"/>
  <c r="T41" i="4"/>
  <c r="A41" i="4"/>
  <c r="P41" i="4" s="1"/>
  <c r="T40" i="4"/>
  <c r="A40" i="4"/>
  <c r="W40" i="4" s="1"/>
  <c r="AN40" i="5" s="1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L3" i="4"/>
  <c r="V3" i="5" s="1"/>
  <c r="V2" i="4"/>
  <c r="A2" i="4"/>
  <c r="S1" i="4" a="1"/>
  <c r="S1" i="4"/>
  <c r="R1" i="4" a="1"/>
  <c r="R1" i="4"/>
  <c r="I2" i="2"/>
  <c r="F13" i="1"/>
  <c r="E13" i="1"/>
  <c r="F12" i="1"/>
  <c r="E12" i="1"/>
  <c r="F11" i="1"/>
  <c r="E11" i="1"/>
  <c r="F10" i="1"/>
  <c r="E10" i="1"/>
  <c r="F9" i="1"/>
  <c r="E9" i="1"/>
  <c r="F8" i="1"/>
  <c r="E8" i="1"/>
  <c r="F7" i="1"/>
  <c r="E7" i="1"/>
  <c r="F6" i="1"/>
  <c r="E6" i="1"/>
  <c r="F5" i="1"/>
  <c r="E5" i="1"/>
  <c r="F4" i="1"/>
  <c r="E4" i="1"/>
  <c r="F3" i="1"/>
  <c r="E3" i="1"/>
  <c r="C15" i="13" a="1"/>
  <c r="B15" i="13" a="1"/>
  <c r="C14" i="13" a="1"/>
  <c r="B14" i="13" a="1"/>
  <c r="C242" i="9" a="1"/>
  <c r="H243" i="9" a="1"/>
  <c r="H246" i="9" a="1"/>
  <c r="C235" i="9" a="1"/>
  <c r="C227" i="9" a="1"/>
  <c r="A6" i="4" a="1"/>
  <c r="H238" i="9" a="1"/>
  <c r="C239" i="9" a="1"/>
  <c r="H237" i="9" a="1"/>
  <c r="H241" i="9" a="1"/>
  <c r="C219" i="9" a="1"/>
  <c r="C225" i="9" a="1"/>
  <c r="C237" i="9" a="1"/>
  <c r="H245" i="9" a="1"/>
  <c r="H236" i="9" a="1"/>
  <c r="A6" i="5" a="1"/>
  <c r="C238" i="9" a="1"/>
  <c r="H221" i="9" a="1"/>
  <c r="C241" i="9" a="1"/>
  <c r="C220" i="9" a="1"/>
  <c r="C246" i="9" a="1"/>
  <c r="C221" i="9" a="1"/>
  <c r="H226" i="9" a="1"/>
  <c r="C226" i="9" a="1"/>
  <c r="C231" i="9" a="1"/>
  <c r="B1" i="7" a="1"/>
  <c r="H244" i="9" a="1"/>
  <c r="C215" i="9" a="1"/>
  <c r="H220" i="9" a="1"/>
  <c r="H225" i="9" a="1"/>
  <c r="C244" i="9" a="1"/>
  <c r="A7" i="5" a="1"/>
  <c r="C245" i="9" a="1"/>
  <c r="C222" i="9" a="1"/>
  <c r="H222" i="9" a="1"/>
  <c r="C236" i="9" a="1"/>
  <c r="A7" i="4" a="1"/>
  <c r="C223" i="9" a="1"/>
  <c r="H242" i="9" a="1"/>
  <c r="G5" i="6" l="1"/>
  <c r="H38" i="9"/>
  <c r="E38" i="9" s="1"/>
  <c r="H45" i="9"/>
  <c r="E45" i="9" s="1"/>
  <c r="M85" i="9" a="1"/>
  <c r="M85" i="9" s="1"/>
  <c r="D96" i="9" a="1"/>
  <c r="D96" i="9" s="1"/>
  <c r="F96" i="9" s="1"/>
  <c r="G96" i="9" s="1"/>
  <c r="M97" i="9" a="1"/>
  <c r="M97" i="9" s="1"/>
  <c r="J112" i="9"/>
  <c r="D153" i="9" a="1"/>
  <c r="D153" i="9" s="1"/>
  <c r="F153" i="9" s="1"/>
  <c r="G153" i="9" s="1"/>
  <c r="D155" i="9" a="1"/>
  <c r="D155" i="9" s="1"/>
  <c r="F155" i="9" s="1"/>
  <c r="G155" i="9" s="1"/>
  <c r="M178" i="9" a="1"/>
  <c r="M178" i="9" s="1"/>
  <c r="D190" i="9" a="1"/>
  <c r="D190" i="9" s="1"/>
  <c r="F190" i="9" s="1"/>
  <c r="G190" i="9" s="1"/>
  <c r="M196" i="9" a="1"/>
  <c r="M196" i="9" s="1"/>
  <c r="N198" i="9"/>
  <c r="M203" i="9" a="1"/>
  <c r="M203" i="9" s="1"/>
  <c r="Q204" i="9"/>
  <c r="P204" i="9" s="1"/>
  <c r="N206" i="9"/>
  <c r="J208" i="9"/>
  <c r="H1" i="9"/>
  <c r="E1" i="9" s="1"/>
  <c r="H42" i="9"/>
  <c r="E42" i="9" s="1"/>
  <c r="J66" i="9"/>
  <c r="H69" i="9"/>
  <c r="E69" i="9" s="1"/>
  <c r="Q83" i="9"/>
  <c r="P83" i="9" s="1"/>
  <c r="J87" i="9"/>
  <c r="M108" i="9" a="1"/>
  <c r="M108" i="9" s="1"/>
  <c r="D123" i="9" a="1"/>
  <c r="D123" i="9" s="1"/>
  <c r="F123" i="9" s="1"/>
  <c r="G123" i="9" s="1"/>
  <c r="D126" i="9" a="1"/>
  <c r="D126" i="9" s="1"/>
  <c r="F126" i="9" s="1"/>
  <c r="G126" i="9" s="1"/>
  <c r="H128" i="9"/>
  <c r="E128" i="9" s="1"/>
  <c r="D132" i="9" a="1"/>
  <c r="D132" i="9" s="1"/>
  <c r="F132" i="9" s="1"/>
  <c r="G132" i="9" s="1"/>
  <c r="D144" i="9" a="1"/>
  <c r="D144" i="9" s="1"/>
  <c r="F144" i="9" s="1"/>
  <c r="G144" i="9" s="1"/>
  <c r="D151" i="9" a="1"/>
  <c r="D151" i="9" s="1"/>
  <c r="F151" i="9" s="1"/>
  <c r="G151" i="9" s="1"/>
  <c r="D161" i="9" a="1"/>
  <c r="D161" i="9" s="1"/>
  <c r="F161" i="9" s="1"/>
  <c r="G161" i="9" s="1"/>
  <c r="Q162" i="9"/>
  <c r="P162" i="9" s="1"/>
  <c r="N163" i="9"/>
  <c r="J180" i="9"/>
  <c r="D186" i="9" a="1"/>
  <c r="D186" i="9" s="1"/>
  <c r="F186" i="9" s="1"/>
  <c r="G186" i="9" s="1"/>
  <c r="H28" i="9"/>
  <c r="E28" i="9" s="1"/>
  <c r="B39" i="9"/>
  <c r="B58" i="9"/>
  <c r="N66" i="9"/>
  <c r="J69" i="9"/>
  <c r="B72" i="9"/>
  <c r="D74" i="9" a="1"/>
  <c r="D74" i="9" s="1"/>
  <c r="F74" i="9" s="1"/>
  <c r="G74" i="9" s="1"/>
  <c r="J76" i="9"/>
  <c r="N85" i="9"/>
  <c r="N87" i="9"/>
  <c r="I96" i="9" a="1"/>
  <c r="I96" i="9" s="1"/>
  <c r="Q97" i="9"/>
  <c r="P97" i="9" s="1"/>
  <c r="D99" i="9" a="1"/>
  <c r="D99" i="9" s="1"/>
  <c r="F99" i="9" s="1"/>
  <c r="G99" i="9" s="1"/>
  <c r="H100" i="9"/>
  <c r="E100" i="9" s="1"/>
  <c r="B102" i="9"/>
  <c r="B110" i="9"/>
  <c r="N112" i="9"/>
  <c r="B117" i="9"/>
  <c r="D121" i="9" a="1"/>
  <c r="D121" i="9" s="1"/>
  <c r="F121" i="9" s="1"/>
  <c r="G121" i="9" s="1"/>
  <c r="J123" i="9"/>
  <c r="H126" i="9"/>
  <c r="E126" i="9" s="1"/>
  <c r="I128" i="9" a="1"/>
  <c r="I128" i="9" s="1"/>
  <c r="B131" i="9"/>
  <c r="M132" i="9" a="1"/>
  <c r="M132" i="9" s="1"/>
  <c r="B137" i="9"/>
  <c r="B141" i="9"/>
  <c r="H153" i="9"/>
  <c r="E153" i="9" s="1"/>
  <c r="D162" i="9" a="1"/>
  <c r="D162" i="9" s="1"/>
  <c r="F162" i="9" s="1"/>
  <c r="G162" i="9" s="1"/>
  <c r="B163" i="9"/>
  <c r="Q163" i="9"/>
  <c r="P163" i="9" s="1"/>
  <c r="D166" i="9" a="1"/>
  <c r="D166" i="9" s="1"/>
  <c r="F166" i="9" s="1"/>
  <c r="G166" i="9" s="1"/>
  <c r="D168" i="9" a="1"/>
  <c r="D168" i="9" s="1"/>
  <c r="F168" i="9" s="1"/>
  <c r="G168" i="9" s="1"/>
  <c r="D177" i="9" a="1"/>
  <c r="D177" i="9" s="1"/>
  <c r="F177" i="9" s="1"/>
  <c r="G177" i="9" s="1"/>
  <c r="B179" i="9"/>
  <c r="B183" i="9"/>
  <c r="J184" i="9"/>
  <c r="M186" i="9" a="1"/>
  <c r="M186" i="9" s="1"/>
  <c r="I190" i="9"/>
  <c r="Q198" i="9"/>
  <c r="P198" i="9" s="1"/>
  <c r="B203" i="9"/>
  <c r="Q203" i="9"/>
  <c r="P203" i="9" s="1"/>
  <c r="Q206" i="9"/>
  <c r="P206" i="9" s="1"/>
  <c r="B209" i="9"/>
  <c r="I153" i="9"/>
  <c r="H36" i="9"/>
  <c r="E36" i="9" s="1"/>
  <c r="H50" i="9"/>
  <c r="E50" i="9" s="1"/>
  <c r="H54" i="9"/>
  <c r="E54" i="9" s="1"/>
  <c r="N69" i="9"/>
  <c r="D72" i="9" a="1"/>
  <c r="D72" i="9" s="1"/>
  <c r="F72" i="9" s="1"/>
  <c r="G72" i="9" s="1"/>
  <c r="M74" i="9" a="1"/>
  <c r="M74" i="9" s="1"/>
  <c r="I79" i="9" a="1"/>
  <c r="I79" i="9" s="1"/>
  <c r="Q88" i="9"/>
  <c r="P88" i="9" s="1"/>
  <c r="J93" i="9"/>
  <c r="B95" i="9"/>
  <c r="Q96" i="9"/>
  <c r="P96" i="9" s="1"/>
  <c r="D98" i="9" a="1"/>
  <c r="D98" i="9" s="1"/>
  <c r="F98" i="9" s="1"/>
  <c r="G98" i="9" s="1"/>
  <c r="H99" i="9"/>
  <c r="E99" i="9" s="1"/>
  <c r="D102" i="9" a="1"/>
  <c r="D102" i="9" s="1"/>
  <c r="F102" i="9" s="1"/>
  <c r="G102" i="9" s="1"/>
  <c r="B107" i="9"/>
  <c r="N107" i="9"/>
  <c r="I114" i="9" a="1"/>
  <c r="I114" i="9" s="1"/>
  <c r="M115" i="9" a="1"/>
  <c r="M115" i="9" s="1"/>
  <c r="H117" i="9"/>
  <c r="E117" i="9" s="1"/>
  <c r="H118" i="9"/>
  <c r="E118" i="9" s="1"/>
  <c r="M121" i="9" a="1"/>
  <c r="M121" i="9" s="1"/>
  <c r="Q123" i="9"/>
  <c r="P123" i="9" s="1"/>
  <c r="N128" i="9"/>
  <c r="D131" i="9" a="1"/>
  <c r="D131" i="9" s="1"/>
  <c r="F131" i="9" s="1"/>
  <c r="G131" i="9" s="1"/>
  <c r="D137" i="9" a="1"/>
  <c r="D137" i="9" s="1"/>
  <c r="F137" i="9" s="1"/>
  <c r="G137" i="9" s="1"/>
  <c r="J139" i="9"/>
  <c r="D141" i="9" a="1"/>
  <c r="D141" i="9" s="1"/>
  <c r="F141" i="9" s="1"/>
  <c r="G141" i="9" s="1"/>
  <c r="H149" i="9"/>
  <c r="E149" i="9" s="1"/>
  <c r="M153" i="9" a="1"/>
  <c r="M153" i="9" s="1"/>
  <c r="J161" i="9"/>
  <c r="H162" i="9"/>
  <c r="E162" i="9" s="1"/>
  <c r="D163" i="9" a="1"/>
  <c r="D163" i="9" s="1"/>
  <c r="F163" i="9" s="1"/>
  <c r="G163" i="9" s="1"/>
  <c r="H164" i="9"/>
  <c r="E164" i="9" s="1"/>
  <c r="N166" i="9"/>
  <c r="J173" i="9"/>
  <c r="H177" i="9"/>
  <c r="E177" i="9" s="1"/>
  <c r="D179" i="9" a="1"/>
  <c r="D179" i="9" s="1"/>
  <c r="F179" i="9" s="1"/>
  <c r="G179" i="9" s="1"/>
  <c r="H181" i="9"/>
  <c r="E181" i="9" s="1"/>
  <c r="D183" i="9" a="1"/>
  <c r="D183" i="9" s="1"/>
  <c r="F183" i="9" s="1"/>
  <c r="G183" i="9" s="1"/>
  <c r="D185" i="9" a="1"/>
  <c r="D185" i="9" s="1"/>
  <c r="F185" i="9" s="1"/>
  <c r="G185" i="9" s="1"/>
  <c r="M188" i="9" a="1"/>
  <c r="M188" i="9" s="1"/>
  <c r="B191" i="9"/>
  <c r="M195" i="9" a="1"/>
  <c r="M195" i="9" s="1"/>
  <c r="I197" i="9"/>
  <c r="M200" i="9" a="1"/>
  <c r="M200" i="9" s="1"/>
  <c r="D203" i="9" a="1"/>
  <c r="D203" i="9" s="1"/>
  <c r="F203" i="9" s="1"/>
  <c r="G203" i="9" s="1"/>
  <c r="D204" i="9" a="1"/>
  <c r="D204" i="9" s="1"/>
  <c r="F204" i="9" s="1"/>
  <c r="G204" i="9" s="1"/>
  <c r="J205" i="9"/>
  <c r="D209" i="9" a="1"/>
  <c r="D209" i="9" s="1"/>
  <c r="F209" i="9" s="1"/>
  <c r="G209" i="9" s="1"/>
  <c r="Q87" i="9"/>
  <c r="P87" i="9" s="1"/>
  <c r="N126" i="9"/>
  <c r="J128" i="9"/>
  <c r="B7" i="9"/>
  <c r="H22" i="9"/>
  <c r="E22" i="9" s="1"/>
  <c r="B34" i="9"/>
  <c r="B37" i="9"/>
  <c r="J50" i="9"/>
  <c r="H52" i="9"/>
  <c r="E52" i="9" s="1"/>
  <c r="B55" i="9"/>
  <c r="D64" i="9" a="1"/>
  <c r="D64" i="9" s="1"/>
  <c r="F64" i="9" s="1"/>
  <c r="G64" i="9" s="1"/>
  <c r="H65" i="9"/>
  <c r="E65" i="9" s="1"/>
  <c r="B69" i="9"/>
  <c r="Q69" i="9"/>
  <c r="P69" i="9" s="1"/>
  <c r="M72" i="9" a="1"/>
  <c r="M72" i="9" s="1"/>
  <c r="Q74" i="9"/>
  <c r="P74" i="9" s="1"/>
  <c r="M81" i="9" a="1"/>
  <c r="M81" i="9" s="1"/>
  <c r="B83" i="9"/>
  <c r="B85" i="9"/>
  <c r="H86" i="9"/>
  <c r="E86" i="9" s="1"/>
  <c r="H91" i="9"/>
  <c r="E91" i="9" s="1"/>
  <c r="H92" i="9"/>
  <c r="E92" i="9" s="1"/>
  <c r="M93" i="9" a="1"/>
  <c r="M93" i="9" s="1"/>
  <c r="B97" i="9"/>
  <c r="H98" i="9"/>
  <c r="E98" i="9" s="1"/>
  <c r="J99" i="9"/>
  <c r="H101" i="9"/>
  <c r="E101" i="9" s="1"/>
  <c r="H102" i="9"/>
  <c r="E102" i="9" s="1"/>
  <c r="Q107" i="9"/>
  <c r="P107" i="9" s="1"/>
  <c r="J117" i="9"/>
  <c r="N118" i="9"/>
  <c r="Q121" i="9"/>
  <c r="P121" i="9" s="1"/>
  <c r="N125" i="9"/>
  <c r="D130" i="9" a="1"/>
  <c r="D130" i="9" s="1"/>
  <c r="F130" i="9" s="1"/>
  <c r="G130" i="9" s="1"/>
  <c r="J131" i="9"/>
  <c r="D133" i="9" a="1"/>
  <c r="D133" i="9" s="1"/>
  <c r="F133" i="9" s="1"/>
  <c r="G133" i="9" s="1"/>
  <c r="D134" i="9" a="1"/>
  <c r="D134" i="9" s="1"/>
  <c r="F134" i="9" s="1"/>
  <c r="G134" i="9" s="1"/>
  <c r="J137" i="9"/>
  <c r="M139" i="9" a="1"/>
  <c r="M139" i="9" s="1"/>
  <c r="H141" i="9"/>
  <c r="E141" i="9" s="1"/>
  <c r="D143" i="9" a="1"/>
  <c r="D143" i="9" s="1"/>
  <c r="F143" i="9" s="1"/>
  <c r="G143" i="9" s="1"/>
  <c r="D145" i="9" a="1"/>
  <c r="D145" i="9" s="1"/>
  <c r="F145" i="9" s="1"/>
  <c r="G145" i="9" s="1"/>
  <c r="D147" i="9" a="1"/>
  <c r="D147" i="9" s="1"/>
  <c r="F147" i="9" s="1"/>
  <c r="G147" i="9" s="1"/>
  <c r="I149" i="9"/>
  <c r="M152" i="9" a="1"/>
  <c r="M152" i="9" s="1"/>
  <c r="N153" i="9"/>
  <c r="M161" i="9" a="1"/>
  <c r="M161" i="9" s="1"/>
  <c r="I162" i="9"/>
  <c r="H163" i="9"/>
  <c r="E163" i="9" s="1"/>
  <c r="N173" i="9"/>
  <c r="H179" i="9"/>
  <c r="E179" i="9" s="1"/>
  <c r="H183" i="9"/>
  <c r="E183" i="9" s="1"/>
  <c r="H185" i="9"/>
  <c r="E185" i="9" s="1"/>
  <c r="H192" i="9"/>
  <c r="E192" i="9" s="1"/>
  <c r="N195" i="9"/>
  <c r="Q197" i="9"/>
  <c r="P197" i="9" s="1"/>
  <c r="Q200" i="9"/>
  <c r="P200" i="9" s="1"/>
  <c r="H204" i="9"/>
  <c r="E204" i="9" s="1"/>
  <c r="Q205" i="9"/>
  <c r="P205" i="9" s="1"/>
  <c r="H209" i="9"/>
  <c r="E209" i="9" s="1"/>
  <c r="Q66" i="9"/>
  <c r="P66" i="9" s="1"/>
  <c r="M123" i="9" a="1"/>
  <c r="M123" i="9" s="1"/>
  <c r="H151" i="9"/>
  <c r="E151" i="9" s="1"/>
  <c r="H161" i="9"/>
  <c r="E161" i="9" s="1"/>
  <c r="I98" i="9" a="1"/>
  <c r="I98" i="9" s="1"/>
  <c r="M117" i="9" a="1"/>
  <c r="M117" i="9" s="1"/>
  <c r="M131" i="9" a="1"/>
  <c r="M131" i="9" s="1"/>
  <c r="M137" i="9" a="1"/>
  <c r="M137" i="9" s="1"/>
  <c r="I141" i="9"/>
  <c r="N161" i="9"/>
  <c r="I179" i="9"/>
  <c r="H203" i="9"/>
  <c r="E203" i="9" s="1"/>
  <c r="J204" i="9"/>
  <c r="H155" i="9"/>
  <c r="E155" i="9" s="1"/>
  <c r="L52" i="9"/>
  <c r="N102" i="9"/>
  <c r="I163" i="9"/>
  <c r="I183" i="9"/>
  <c r="M192" i="9" a="1"/>
  <c r="M192" i="9" s="1"/>
  <c r="I209" i="9"/>
  <c r="H30" i="9"/>
  <c r="E30" i="9" s="1"/>
  <c r="N50" i="9"/>
  <c r="N52" i="9"/>
  <c r="B66" i="9"/>
  <c r="I67" i="9" a="1"/>
  <c r="I67" i="9" s="1"/>
  <c r="D69" i="9" a="1"/>
  <c r="D69" i="9" s="1"/>
  <c r="F69" i="9" s="1"/>
  <c r="G69" i="9" s="1"/>
  <c r="H77" i="9"/>
  <c r="E77" i="9" s="1"/>
  <c r="M78" i="9" a="1"/>
  <c r="M78" i="9" s="1"/>
  <c r="H85" i="9"/>
  <c r="E85" i="9" s="1"/>
  <c r="B87" i="9"/>
  <c r="H88" i="9"/>
  <c r="E88" i="9" s="1"/>
  <c r="D90" i="9" a="1"/>
  <c r="D90" i="9" s="1"/>
  <c r="F90" i="9" s="1"/>
  <c r="G90" i="9" s="1"/>
  <c r="M91" i="9" a="1"/>
  <c r="M91" i="9" s="1"/>
  <c r="Q93" i="9"/>
  <c r="P93" i="9" s="1"/>
  <c r="D97" i="9" a="1"/>
  <c r="D97" i="9" s="1"/>
  <c r="F97" i="9" s="1"/>
  <c r="G97" i="9" s="1"/>
  <c r="N99" i="9"/>
  <c r="D107" i="9" a="1"/>
  <c r="D107" i="9" s="1"/>
  <c r="F107" i="9" s="1"/>
  <c r="G107" i="9" s="1"/>
  <c r="M113" i="9" a="1"/>
  <c r="M113" i="9" s="1"/>
  <c r="N117" i="9"/>
  <c r="B123" i="9"/>
  <c r="B126" i="9"/>
  <c r="Q131" i="9"/>
  <c r="P131" i="9" s="1"/>
  <c r="J133" i="9"/>
  <c r="N134" i="9"/>
  <c r="Q137" i="9"/>
  <c r="P137" i="9" s="1"/>
  <c r="M141" i="9" a="1"/>
  <c r="M141" i="9" s="1"/>
  <c r="I145" i="9"/>
  <c r="B153" i="9"/>
  <c r="H160" i="9"/>
  <c r="E160" i="9" s="1"/>
  <c r="N165" i="9"/>
  <c r="I167" i="9"/>
  <c r="H176" i="9"/>
  <c r="E176" i="9" s="1"/>
  <c r="B178" i="9"/>
  <c r="M179" i="9" a="1"/>
  <c r="M179" i="9" s="1"/>
  <c r="M183" i="9" a="1"/>
  <c r="M183" i="9" s="1"/>
  <c r="I187" i="9"/>
  <c r="H191" i="9"/>
  <c r="E191" i="9" s="1"/>
  <c r="H196" i="9"/>
  <c r="E196" i="9" s="1"/>
  <c r="D198" i="9" a="1"/>
  <c r="D198" i="9" s="1"/>
  <c r="F198" i="9" s="1"/>
  <c r="G198" i="9" s="1"/>
  <c r="I203" i="9"/>
  <c r="I207" i="9"/>
  <c r="L71" i="4"/>
  <c r="M71" i="4"/>
  <c r="Q90" i="4"/>
  <c r="K90" i="4"/>
  <c r="B90" i="4"/>
  <c r="P90" i="4"/>
  <c r="G90" i="4"/>
  <c r="N90" i="4"/>
  <c r="E90" i="4"/>
  <c r="R62" i="4"/>
  <c r="P62" i="4"/>
  <c r="D62" i="4"/>
  <c r="L95" i="4"/>
  <c r="R95" i="4"/>
  <c r="B95" i="4"/>
  <c r="M95" i="4"/>
  <c r="W95" i="4"/>
  <c r="AN95" i="5" s="1"/>
  <c r="G95" i="4"/>
  <c r="J125" i="4"/>
  <c r="L125" i="4"/>
  <c r="S125" i="4"/>
  <c r="F125" i="4"/>
  <c r="Q125" i="4"/>
  <c r="C125" i="4"/>
  <c r="M46" i="4"/>
  <c r="M58" i="4"/>
  <c r="Q78" i="4"/>
  <c r="R78" i="4"/>
  <c r="H78" i="4"/>
  <c r="N78" i="4"/>
  <c r="E78" i="4"/>
  <c r="V78" i="4"/>
  <c r="AM78" i="5" s="1"/>
  <c r="L78" i="4"/>
  <c r="C78" i="4"/>
  <c r="O78" i="4"/>
  <c r="J105" i="4"/>
  <c r="Q126" i="4"/>
  <c r="K126" i="4"/>
  <c r="B126" i="4"/>
  <c r="P126" i="4"/>
  <c r="G126" i="4"/>
  <c r="N126" i="4"/>
  <c r="E126" i="4"/>
  <c r="G111" i="4"/>
  <c r="D116" i="4"/>
  <c r="E119" i="4"/>
  <c r="F124" i="4"/>
  <c r="D125" i="4"/>
  <c r="C126" i="4"/>
  <c r="R126" i="4"/>
  <c r="L133" i="4"/>
  <c r="F133" i="4"/>
  <c r="L139" i="4"/>
  <c r="B141" i="4"/>
  <c r="W96" i="4"/>
  <c r="AN96" i="5" s="1"/>
  <c r="P96" i="4"/>
  <c r="G96" i="4"/>
  <c r="Q119" i="4"/>
  <c r="P119" i="4"/>
  <c r="F119" i="4"/>
  <c r="M119" i="4"/>
  <c r="B119" i="4"/>
  <c r="V119" i="4"/>
  <c r="AM119" i="5" s="1"/>
  <c r="J119" i="4"/>
  <c r="M50" i="4"/>
  <c r="G40" i="4"/>
  <c r="C42" i="4"/>
  <c r="O42" i="4"/>
  <c r="G43" i="4"/>
  <c r="G44" i="4"/>
  <c r="C46" i="4"/>
  <c r="O46" i="4"/>
  <c r="G47" i="4"/>
  <c r="G48" i="4"/>
  <c r="C50" i="4"/>
  <c r="O50" i="4"/>
  <c r="G51" i="4"/>
  <c r="G52" i="4"/>
  <c r="C54" i="4"/>
  <c r="O54" i="4"/>
  <c r="G55" i="4"/>
  <c r="G56" i="4"/>
  <c r="C58" i="4"/>
  <c r="O58" i="4"/>
  <c r="G59" i="4"/>
  <c r="G60" i="4"/>
  <c r="E62" i="4"/>
  <c r="F71" i="4"/>
  <c r="B78" i="4"/>
  <c r="P78" i="4"/>
  <c r="B85" i="4"/>
  <c r="L87" i="4"/>
  <c r="R87" i="4"/>
  <c r="B87" i="4"/>
  <c r="M87" i="4"/>
  <c r="W87" i="4"/>
  <c r="AN87" i="5" s="1"/>
  <c r="G87" i="4"/>
  <c r="W88" i="4"/>
  <c r="AN88" i="5" s="1"/>
  <c r="P88" i="4"/>
  <c r="G88" i="4"/>
  <c r="C90" i="4"/>
  <c r="R90" i="4"/>
  <c r="F95" i="4"/>
  <c r="O96" i="4"/>
  <c r="F98" i="4"/>
  <c r="L103" i="4"/>
  <c r="R103" i="4"/>
  <c r="B103" i="4"/>
  <c r="M103" i="4"/>
  <c r="W103" i="4"/>
  <c r="AN103" i="5" s="1"/>
  <c r="G103" i="4"/>
  <c r="W104" i="4"/>
  <c r="AN104" i="5" s="1"/>
  <c r="L104" i="4"/>
  <c r="D104" i="4"/>
  <c r="H40" i="4"/>
  <c r="D42" i="4"/>
  <c r="P42" i="4"/>
  <c r="M43" i="4"/>
  <c r="H44" i="4"/>
  <c r="D46" i="4"/>
  <c r="P46" i="4"/>
  <c r="M47" i="4"/>
  <c r="H48" i="4"/>
  <c r="D50" i="4"/>
  <c r="P50" i="4"/>
  <c r="M51" i="4"/>
  <c r="H52" i="4"/>
  <c r="D54" i="4"/>
  <c r="P54" i="4"/>
  <c r="M55" i="4"/>
  <c r="H56" i="4"/>
  <c r="D58" i="4"/>
  <c r="P58" i="4"/>
  <c r="M59" i="4"/>
  <c r="O60" i="4"/>
  <c r="G62" i="4"/>
  <c r="V62" i="4"/>
  <c r="AM62" i="5" s="1"/>
  <c r="G71" i="4"/>
  <c r="W76" i="4"/>
  <c r="AN76" i="5" s="1"/>
  <c r="P76" i="4"/>
  <c r="H76" i="4"/>
  <c r="D78" i="4"/>
  <c r="S78" i="4"/>
  <c r="L83" i="4"/>
  <c r="F83" i="4"/>
  <c r="N83" i="4"/>
  <c r="E87" i="4"/>
  <c r="H88" i="4"/>
  <c r="D90" i="4"/>
  <c r="S90" i="4"/>
  <c r="J95" i="4"/>
  <c r="H98" i="4"/>
  <c r="V98" i="4"/>
  <c r="AM98" i="5" s="1"/>
  <c r="E103" i="4"/>
  <c r="G104" i="4"/>
  <c r="L111" i="4"/>
  <c r="H115" i="4"/>
  <c r="Q115" i="4"/>
  <c r="N116" i="4"/>
  <c r="G119" i="4"/>
  <c r="H125" i="4"/>
  <c r="D126" i="4"/>
  <c r="S126" i="4"/>
  <c r="N139" i="4"/>
  <c r="F141" i="4"/>
  <c r="O62" i="4"/>
  <c r="W124" i="4"/>
  <c r="AN124" i="5" s="1"/>
  <c r="D124" i="4"/>
  <c r="O124" i="4"/>
  <c r="I124" i="4"/>
  <c r="M54" i="4"/>
  <c r="S62" i="4"/>
  <c r="E71" i="4"/>
  <c r="O40" i="4"/>
  <c r="E42" i="4"/>
  <c r="S42" i="4"/>
  <c r="N43" i="4"/>
  <c r="O44" i="4"/>
  <c r="E46" i="4"/>
  <c r="S46" i="4"/>
  <c r="N47" i="4"/>
  <c r="O48" i="4"/>
  <c r="E50" i="4"/>
  <c r="S50" i="4"/>
  <c r="N51" i="4"/>
  <c r="O52" i="4"/>
  <c r="E54" i="4"/>
  <c r="S54" i="4"/>
  <c r="N55" i="4"/>
  <c r="O56" i="4"/>
  <c r="E58" i="4"/>
  <c r="S58" i="4"/>
  <c r="N59" i="4"/>
  <c r="H62" i="4"/>
  <c r="L63" i="4"/>
  <c r="M63" i="4"/>
  <c r="W63" i="4"/>
  <c r="AN63" i="5" s="1"/>
  <c r="R66" i="4"/>
  <c r="V66" i="4"/>
  <c r="AM66" i="5" s="1"/>
  <c r="H66" i="4"/>
  <c r="P66" i="4"/>
  <c r="D66" i="4"/>
  <c r="S66" i="4"/>
  <c r="N71" i="4"/>
  <c r="G76" i="4"/>
  <c r="F78" i="4"/>
  <c r="E83" i="4"/>
  <c r="F87" i="4"/>
  <c r="O88" i="4"/>
  <c r="F90" i="4"/>
  <c r="N95" i="4"/>
  <c r="P97" i="4"/>
  <c r="R97" i="4"/>
  <c r="B97" i="4"/>
  <c r="J98" i="4"/>
  <c r="W98" i="4"/>
  <c r="AN98" i="5" s="1"/>
  <c r="F103" i="4"/>
  <c r="H104" i="4"/>
  <c r="Q106" i="4"/>
  <c r="R106" i="4"/>
  <c r="H106" i="4"/>
  <c r="N106" i="4"/>
  <c r="E106" i="4"/>
  <c r="V106" i="4"/>
  <c r="AM106" i="5" s="1"/>
  <c r="L106" i="4"/>
  <c r="C106" i="4"/>
  <c r="O106" i="4"/>
  <c r="O111" i="4"/>
  <c r="E115" i="4"/>
  <c r="H119" i="4"/>
  <c r="N124" i="4"/>
  <c r="I125" i="4"/>
  <c r="F126" i="4"/>
  <c r="S128" i="4"/>
  <c r="G128" i="4"/>
  <c r="O128" i="4"/>
  <c r="B128" i="4"/>
  <c r="L128" i="4"/>
  <c r="V137" i="4"/>
  <c r="AM137" i="5" s="1"/>
  <c r="R137" i="4"/>
  <c r="B137" i="4"/>
  <c r="L137" i="4"/>
  <c r="H137" i="4"/>
  <c r="H141" i="4"/>
  <c r="M42" i="4"/>
  <c r="C62" i="4"/>
  <c r="P85" i="4"/>
  <c r="J85" i="4"/>
  <c r="O90" i="4"/>
  <c r="H96" i="4"/>
  <c r="R116" i="4"/>
  <c r="F116" i="4"/>
  <c r="D119" i="4"/>
  <c r="B124" i="4"/>
  <c r="B125" i="4"/>
  <c r="O126" i="4"/>
  <c r="P40" i="4"/>
  <c r="G42" i="4"/>
  <c r="O43" i="4"/>
  <c r="P44" i="4"/>
  <c r="G46" i="4"/>
  <c r="O47" i="4"/>
  <c r="P48" i="4"/>
  <c r="G50" i="4"/>
  <c r="O51" i="4"/>
  <c r="P52" i="4"/>
  <c r="G54" i="4"/>
  <c r="O55" i="4"/>
  <c r="P56" i="4"/>
  <c r="G58" i="4"/>
  <c r="O59" i="4"/>
  <c r="K62" i="4"/>
  <c r="W64" i="4"/>
  <c r="AN64" i="5" s="1"/>
  <c r="H64" i="4"/>
  <c r="O71" i="4"/>
  <c r="L75" i="4"/>
  <c r="W75" i="4"/>
  <c r="AN75" i="5" s="1"/>
  <c r="E75" i="4"/>
  <c r="O75" i="4"/>
  <c r="M75" i="4"/>
  <c r="G78" i="4"/>
  <c r="W78" i="4"/>
  <c r="AN78" i="5" s="1"/>
  <c r="H90" i="4"/>
  <c r="V90" i="4"/>
  <c r="AM90" i="5" s="1"/>
  <c r="O95" i="4"/>
  <c r="L98" i="4"/>
  <c r="L119" i="4"/>
  <c r="P124" i="4"/>
  <c r="N125" i="4"/>
  <c r="H126" i="4"/>
  <c r="V126" i="4"/>
  <c r="AM126" i="5" s="1"/>
  <c r="Q139" i="4"/>
  <c r="P139" i="4"/>
  <c r="F139" i="4"/>
  <c r="M139" i="4"/>
  <c r="B139" i="4"/>
  <c r="V139" i="4"/>
  <c r="AM139" i="5" s="1"/>
  <c r="J139" i="4"/>
  <c r="R139" i="4"/>
  <c r="L141" i="4"/>
  <c r="L43" i="13" a="1"/>
  <c r="L43" i="13" s="1"/>
  <c r="M43" i="13" s="1"/>
  <c r="D43" i="13" a="1"/>
  <c r="D43" i="13" s="1"/>
  <c r="F43" i="13" s="1"/>
  <c r="W71" i="4"/>
  <c r="AN71" i="5" s="1"/>
  <c r="R111" i="4"/>
  <c r="P111" i="4"/>
  <c r="H111" i="4"/>
  <c r="V111" i="4"/>
  <c r="AM111" i="5" s="1"/>
  <c r="F111" i="4"/>
  <c r="R119" i="4"/>
  <c r="H42" i="4"/>
  <c r="V42" i="4"/>
  <c r="AM42" i="5" s="1"/>
  <c r="H46" i="4"/>
  <c r="V46" i="4"/>
  <c r="AM46" i="5" s="1"/>
  <c r="H50" i="4"/>
  <c r="V50" i="4"/>
  <c r="AM50" i="5" s="1"/>
  <c r="H54" i="4"/>
  <c r="V54" i="4"/>
  <c r="AM54" i="5" s="1"/>
  <c r="H58" i="4"/>
  <c r="V58" i="4"/>
  <c r="AM58" i="5" s="1"/>
  <c r="L62" i="4"/>
  <c r="F63" i="4"/>
  <c r="G64" i="4"/>
  <c r="E66" i="4"/>
  <c r="L67" i="4"/>
  <c r="M67" i="4"/>
  <c r="W67" i="4"/>
  <c r="AN67" i="5" s="1"/>
  <c r="R70" i="4"/>
  <c r="V70" i="4"/>
  <c r="AM70" i="5" s="1"/>
  <c r="H70" i="4"/>
  <c r="P70" i="4"/>
  <c r="D70" i="4"/>
  <c r="S70" i="4"/>
  <c r="F75" i="4"/>
  <c r="J78" i="4"/>
  <c r="W80" i="4"/>
  <c r="AN80" i="5" s="1"/>
  <c r="G80" i="4"/>
  <c r="P80" i="4"/>
  <c r="Q82" i="4"/>
  <c r="P82" i="4"/>
  <c r="G82" i="4"/>
  <c r="W82" i="4"/>
  <c r="AN82" i="5" s="1"/>
  <c r="M82" i="4"/>
  <c r="D82" i="4"/>
  <c r="K82" i="4"/>
  <c r="B82" i="4"/>
  <c r="O82" i="4"/>
  <c r="M83" i="4"/>
  <c r="N87" i="4"/>
  <c r="P89" i="4"/>
  <c r="R89" i="4"/>
  <c r="B89" i="4"/>
  <c r="J90" i="4"/>
  <c r="W90" i="4"/>
  <c r="AN90" i="5" s="1"/>
  <c r="P101" i="4"/>
  <c r="J101" i="4"/>
  <c r="N103" i="4"/>
  <c r="P104" i="4"/>
  <c r="D106" i="4"/>
  <c r="S106" i="4"/>
  <c r="Q114" i="4"/>
  <c r="P114" i="4"/>
  <c r="G114" i="4"/>
  <c r="W114" i="4"/>
  <c r="AN114" i="5" s="1"/>
  <c r="M114" i="4"/>
  <c r="D114" i="4"/>
  <c r="K114" i="4"/>
  <c r="B114" i="4"/>
  <c r="O114" i="4"/>
  <c r="N115" i="4"/>
  <c r="N119" i="4"/>
  <c r="R124" i="4"/>
  <c r="P125" i="4"/>
  <c r="J126" i="4"/>
  <c r="W126" i="4"/>
  <c r="AN126" i="5" s="1"/>
  <c r="F128" i="4"/>
  <c r="P129" i="4"/>
  <c r="I129" i="4"/>
  <c r="W129" i="4"/>
  <c r="AN129" i="5" s="1"/>
  <c r="B129" i="4"/>
  <c r="F137" i="4"/>
  <c r="D139" i="4"/>
  <c r="P105" i="4"/>
  <c r="B105" i="4"/>
  <c r="W60" i="4"/>
  <c r="AN60" i="5" s="1"/>
  <c r="H60" i="4"/>
  <c r="E95" i="4"/>
  <c r="B111" i="4"/>
  <c r="V141" i="4"/>
  <c r="AM141" i="5" s="1"/>
  <c r="D141" i="4"/>
  <c r="N141" i="4"/>
  <c r="J141" i="4"/>
  <c r="K42" i="4"/>
  <c r="V43" i="4"/>
  <c r="AM43" i="5" s="1"/>
  <c r="K46" i="4"/>
  <c r="V47" i="4"/>
  <c r="AM47" i="5" s="1"/>
  <c r="K50" i="4"/>
  <c r="V51" i="4"/>
  <c r="AM51" i="5" s="1"/>
  <c r="K54" i="4"/>
  <c r="V55" i="4"/>
  <c r="AM55" i="5" s="1"/>
  <c r="K58" i="4"/>
  <c r="V59" i="4"/>
  <c r="AM59" i="5" s="1"/>
  <c r="M62" i="4"/>
  <c r="W68" i="4"/>
  <c r="AN68" i="5" s="1"/>
  <c r="H68" i="4"/>
  <c r="V71" i="4"/>
  <c r="AM71" i="5" s="1"/>
  <c r="K78" i="4"/>
  <c r="L90" i="4"/>
  <c r="P93" i="4"/>
  <c r="J93" i="4"/>
  <c r="V95" i="4"/>
  <c r="AM95" i="5" s="1"/>
  <c r="Q98" i="4"/>
  <c r="K98" i="4"/>
  <c r="B98" i="4"/>
  <c r="P98" i="4"/>
  <c r="G98" i="4"/>
  <c r="N98" i="4"/>
  <c r="E98" i="4"/>
  <c r="O98" i="4"/>
  <c r="O103" i="4"/>
  <c r="F106" i="4"/>
  <c r="R112" i="4"/>
  <c r="W112" i="4"/>
  <c r="AN112" i="5" s="1"/>
  <c r="G112" i="4"/>
  <c r="P112" i="4"/>
  <c r="B112" i="4"/>
  <c r="L112" i="4"/>
  <c r="M113" i="4"/>
  <c r="H113" i="4"/>
  <c r="C114" i="4"/>
  <c r="R114" i="4"/>
  <c r="R115" i="4"/>
  <c r="K117" i="4"/>
  <c r="O119" i="4"/>
  <c r="Q122" i="4"/>
  <c r="R122" i="4"/>
  <c r="H122" i="4"/>
  <c r="N122" i="4"/>
  <c r="E122" i="4"/>
  <c r="V122" i="4"/>
  <c r="AM122" i="5" s="1"/>
  <c r="L122" i="4"/>
  <c r="C122" i="4"/>
  <c r="O122" i="4"/>
  <c r="R125" i="4"/>
  <c r="L126" i="4"/>
  <c r="H128" i="4"/>
  <c r="D129" i="4"/>
  <c r="J137" i="4"/>
  <c r="E139" i="4"/>
  <c r="W139" i="4"/>
  <c r="AN139" i="5" s="1"/>
  <c r="R141" i="4"/>
  <c r="J74" i="4"/>
  <c r="S74" i="4"/>
  <c r="J86" i="4"/>
  <c r="S86" i="4"/>
  <c r="O91" i="4"/>
  <c r="J94" i="4"/>
  <c r="S94" i="4"/>
  <c r="O99" i="4"/>
  <c r="O100" i="4"/>
  <c r="J102" i="4"/>
  <c r="S102" i="4"/>
  <c r="M107" i="4"/>
  <c r="Q109" i="4"/>
  <c r="G110" i="4"/>
  <c r="P110" i="4"/>
  <c r="D118" i="4"/>
  <c r="M118" i="4"/>
  <c r="W118" i="4"/>
  <c r="AN118" i="5" s="1"/>
  <c r="H123" i="4"/>
  <c r="L127" i="4"/>
  <c r="W127" i="4"/>
  <c r="AN127" i="5" s="1"/>
  <c r="H131" i="4"/>
  <c r="H135" i="4"/>
  <c r="L143" i="4"/>
  <c r="W143" i="4"/>
  <c r="AN143" i="5" s="1"/>
  <c r="L145" i="4"/>
  <c r="H72" i="4"/>
  <c r="C74" i="4"/>
  <c r="L74" i="4"/>
  <c r="V74" i="4"/>
  <c r="AM74" i="5" s="1"/>
  <c r="V79" i="4"/>
  <c r="AM79" i="5" s="1"/>
  <c r="C86" i="4"/>
  <c r="L86" i="4"/>
  <c r="V86" i="4"/>
  <c r="AM86" i="5" s="1"/>
  <c r="E91" i="4"/>
  <c r="C94" i="4"/>
  <c r="L94" i="4"/>
  <c r="V94" i="4"/>
  <c r="AM94" i="5" s="1"/>
  <c r="O107" i="4"/>
  <c r="J110" i="4"/>
  <c r="S110" i="4"/>
  <c r="L123" i="4"/>
  <c r="W123" i="4"/>
  <c r="AN123" i="5" s="1"/>
  <c r="L131" i="4"/>
  <c r="W131" i="4"/>
  <c r="AN131" i="5" s="1"/>
  <c r="L135" i="4"/>
  <c r="W135" i="4"/>
  <c r="AN135" i="5" s="1"/>
  <c r="P145" i="4"/>
  <c r="L318" i="13" a="1"/>
  <c r="L318" i="13" s="1"/>
  <c r="F74" i="4"/>
  <c r="O74" i="4"/>
  <c r="G79" i="4"/>
  <c r="R81" i="4"/>
  <c r="F86" i="4"/>
  <c r="O86" i="4"/>
  <c r="J91" i="4"/>
  <c r="F94" i="4"/>
  <c r="O94" i="4"/>
  <c r="F102" i="4"/>
  <c r="O102" i="4"/>
  <c r="F107" i="4"/>
  <c r="W107" i="4"/>
  <c r="AN107" i="5" s="1"/>
  <c r="K109" i="4"/>
  <c r="D110" i="4"/>
  <c r="M110" i="4"/>
  <c r="W110" i="4"/>
  <c r="AN110" i="5" s="1"/>
  <c r="J118" i="4"/>
  <c r="S118" i="4"/>
  <c r="E123" i="4"/>
  <c r="O123" i="4"/>
  <c r="G127" i="4"/>
  <c r="R127" i="4"/>
  <c r="E131" i="4"/>
  <c r="O131" i="4"/>
  <c r="E135" i="4"/>
  <c r="O135" i="4"/>
  <c r="W145" i="4"/>
  <c r="AN145" i="5" s="1"/>
  <c r="L429" i="13" a="1"/>
  <c r="L429" i="13" s="1"/>
  <c r="N429" i="13" s="1"/>
  <c r="H75" i="13" a="1"/>
  <c r="H75" i="13" s="1"/>
  <c r="J75" i="13" s="1"/>
  <c r="A196" i="13"/>
  <c r="B14" i="13"/>
  <c r="C14" i="13"/>
  <c r="B15" i="13"/>
  <c r="A15" i="13" s="1"/>
  <c r="C15" i="13"/>
  <c r="H154" i="13" a="1"/>
  <c r="H154" i="13" s="1"/>
  <c r="K154" i="13" s="1"/>
  <c r="L296" i="13" a="1"/>
  <c r="L296" i="13" s="1"/>
  <c r="M296" i="13" s="1"/>
  <c r="L330" i="13" a="1"/>
  <c r="L330" i="13" s="1"/>
  <c r="I309" i="13"/>
  <c r="H377" i="13" a="1"/>
  <c r="H377" i="13" s="1"/>
  <c r="H121" i="13" a="1"/>
  <c r="H121" i="13" s="1"/>
  <c r="A121" i="13"/>
  <c r="D338" i="13" a="1"/>
  <c r="D338" i="13" s="1"/>
  <c r="F338" i="13" s="1"/>
  <c r="H338" i="13" a="1"/>
  <c r="H338" i="13" s="1"/>
  <c r="I338" i="13" s="1"/>
  <c r="H140" i="13" a="1"/>
  <c r="H140" i="13" s="1"/>
  <c r="I140" i="13" s="1"/>
  <c r="D140" i="13" a="1"/>
  <c r="D140" i="13" s="1"/>
  <c r="G140" i="13" s="1"/>
  <c r="D114" i="13" a="1"/>
  <c r="D114" i="13" s="1"/>
  <c r="G114" i="13" s="1"/>
  <c r="D296" i="13" a="1"/>
  <c r="D296" i="13" s="1"/>
  <c r="D227" i="13" a="1"/>
  <c r="D227" i="13" s="1"/>
  <c r="A232" i="13"/>
  <c r="D280" i="13" a="1"/>
  <c r="D280" i="13" s="1"/>
  <c r="F280" i="13" s="1"/>
  <c r="A43" i="13"/>
  <c r="J44" i="13"/>
  <c r="H167" i="13" a="1"/>
  <c r="H167" i="13" s="1"/>
  <c r="I167" i="13" s="1"/>
  <c r="A207" i="13"/>
  <c r="K280" i="13"/>
  <c r="D311" i="13" a="1"/>
  <c r="D311" i="13" s="1"/>
  <c r="D318" i="13" a="1"/>
  <c r="D318" i="13" s="1"/>
  <c r="E318" i="13" s="1"/>
  <c r="D341" i="13" a="1"/>
  <c r="D341" i="13" s="1"/>
  <c r="G341" i="13" s="1"/>
  <c r="L438" i="13" a="1"/>
  <c r="L438" i="13" s="1"/>
  <c r="N438" i="13" s="1"/>
  <c r="H214" i="13" a="1"/>
  <c r="H214" i="13" s="1"/>
  <c r="J214" i="13" s="1"/>
  <c r="A236" i="13"/>
  <c r="G274" i="13"/>
  <c r="H291" i="13" a="1"/>
  <c r="H291" i="13" s="1"/>
  <c r="I318" i="13"/>
  <c r="D349" i="13" a="1"/>
  <c r="D349" i="13" s="1"/>
  <c r="E349" i="13" s="1"/>
  <c r="L373" i="13" a="1"/>
  <c r="L373" i="13" s="1"/>
  <c r="N373" i="13" s="1"/>
  <c r="A74" i="13"/>
  <c r="L74" i="13" a="1"/>
  <c r="L74" i="13" s="1"/>
  <c r="O74" i="13" s="1"/>
  <c r="H74" i="13" a="1"/>
  <c r="H74" i="13" s="1"/>
  <c r="K74" i="13" s="1"/>
  <c r="D74" i="13" a="1"/>
  <c r="D74" i="13" s="1"/>
  <c r="G74" i="13" s="1"/>
  <c r="L177" i="13" a="1"/>
  <c r="L177" i="13" s="1"/>
  <c r="O177" i="13" s="1"/>
  <c r="A177" i="13"/>
  <c r="H177" i="13" a="1"/>
  <c r="H177" i="13" s="1"/>
  <c r="I177" i="13" s="1"/>
  <c r="D177" i="13" a="1"/>
  <c r="D177" i="13" s="1"/>
  <c r="G177" i="13" s="1"/>
  <c r="K390" i="13"/>
  <c r="I390" i="13"/>
  <c r="L193" i="13" a="1"/>
  <c r="L193" i="13" s="1"/>
  <c r="H193" i="13" a="1"/>
  <c r="H193" i="13" s="1"/>
  <c r="I193" i="13" s="1"/>
  <c r="D193" i="13" a="1"/>
  <c r="D193" i="13" s="1"/>
  <c r="A193" i="13"/>
  <c r="K266" i="13"/>
  <c r="I266" i="13"/>
  <c r="A310" i="13"/>
  <c r="H310" i="13" a="1"/>
  <c r="H310" i="13" s="1"/>
  <c r="K310" i="13" s="1"/>
  <c r="L70" i="13" a="1"/>
  <c r="L70" i="13" s="1"/>
  <c r="O70" i="13" s="1"/>
  <c r="D70" i="13" a="1"/>
  <c r="D70" i="13" s="1"/>
  <c r="F70" i="13" s="1"/>
  <c r="H106" i="13" a="1"/>
  <c r="H106" i="13" s="1"/>
  <c r="A106" i="13"/>
  <c r="D38" i="13" a="1"/>
  <c r="D38" i="13" s="1"/>
  <c r="F38" i="13" s="1"/>
  <c r="L38" i="13" a="1"/>
  <c r="L38" i="13" s="1"/>
  <c r="O38" i="13" s="1"/>
  <c r="H168" i="13" a="1"/>
  <c r="H168" i="13" s="1"/>
  <c r="K168" i="13" s="1"/>
  <c r="L168" i="13" a="1"/>
  <c r="L168" i="13" s="1"/>
  <c r="O168" i="13" s="1"/>
  <c r="A168" i="13"/>
  <c r="F414" i="13"/>
  <c r="G414" i="13"/>
  <c r="H124" i="13" a="1"/>
  <c r="H124" i="13" s="1"/>
  <c r="I124" i="13" s="1"/>
  <c r="A124" i="13"/>
  <c r="H184" i="13" a="1"/>
  <c r="H184" i="13" s="1"/>
  <c r="K184" i="13" s="1"/>
  <c r="D184" i="13" a="1"/>
  <c r="D184" i="13" s="1"/>
  <c r="G184" i="13" s="1"/>
  <c r="A184" i="13"/>
  <c r="L184" i="13" a="1"/>
  <c r="L184" i="13" s="1"/>
  <c r="M184" i="13" s="1"/>
  <c r="H138" i="13" a="1"/>
  <c r="H138" i="13" s="1"/>
  <c r="K138" i="13" s="1"/>
  <c r="D138" i="13" a="1"/>
  <c r="D138" i="13" s="1"/>
  <c r="H273" i="13" a="1"/>
  <c r="H273" i="13" s="1"/>
  <c r="K273" i="13" s="1"/>
  <c r="D273" i="13" a="1"/>
  <c r="D273" i="13" s="1"/>
  <c r="E273" i="13" s="1"/>
  <c r="L13" i="13" a="1"/>
  <c r="L13" i="13" s="1"/>
  <c r="O13" i="13" s="1"/>
  <c r="L44" i="13" a="1"/>
  <c r="L44" i="13" s="1"/>
  <c r="M44" i="13" s="1"/>
  <c r="G278" i="13"/>
  <c r="A296" i="13"/>
  <c r="J426" i="13"/>
  <c r="A445" i="13"/>
  <c r="L29" i="13" a="1"/>
  <c r="L29" i="13" s="1"/>
  <c r="D220" i="13" a="1"/>
  <c r="D220" i="13" s="1"/>
  <c r="F220" i="13" s="1"/>
  <c r="L334" i="13" a="1"/>
  <c r="L334" i="13" s="1"/>
  <c r="O334" i="13" s="1"/>
  <c r="D59" i="13" a="1"/>
  <c r="D59" i="13" s="1"/>
  <c r="F59" i="13" s="1"/>
  <c r="D148" i="13" a="1"/>
  <c r="D148" i="13" s="1"/>
  <c r="G148" i="13" s="1"/>
  <c r="A154" i="13"/>
  <c r="D191" i="13" a="1"/>
  <c r="D191" i="13" s="1"/>
  <c r="G191" i="13" s="1"/>
  <c r="D200" i="13" a="1"/>
  <c r="D200" i="13" s="1"/>
  <c r="G200" i="13" s="1"/>
  <c r="F207" i="13"/>
  <c r="H220" i="13" a="1"/>
  <c r="H220" i="13" s="1"/>
  <c r="K220" i="13" s="1"/>
  <c r="D302" i="13" a="1"/>
  <c r="D302" i="13" s="1"/>
  <c r="E302" i="13" s="1"/>
  <c r="A318" i="13"/>
  <c r="D442" i="13" a="1"/>
  <c r="D442" i="13" s="1"/>
  <c r="F442" i="13" s="1"/>
  <c r="A44" i="13"/>
  <c r="I59" i="13"/>
  <c r="H205" i="13" a="1"/>
  <c r="H205" i="13" s="1"/>
  <c r="G281" i="13"/>
  <c r="H404" i="13" a="1"/>
  <c r="H404" i="13" s="1"/>
  <c r="K404" i="13" s="1"/>
  <c r="J442" i="13"/>
  <c r="L200" i="13" a="1"/>
  <c r="L200" i="13" s="1"/>
  <c r="O200" i="13" s="1"/>
  <c r="A206" i="13"/>
  <c r="H207" i="13" a="1"/>
  <c r="H207" i="13" s="1"/>
  <c r="J207" i="13" s="1"/>
  <c r="H210" i="13" a="1"/>
  <c r="H210" i="13" s="1"/>
  <c r="J210" i="13" s="1"/>
  <c r="D395" i="13" a="1"/>
  <c r="D395" i="13" s="1"/>
  <c r="A426" i="13"/>
  <c r="D56" i="13" a="1"/>
  <c r="D56" i="13" s="1"/>
  <c r="F56" i="13" s="1"/>
  <c r="D44" i="13" a="1"/>
  <c r="D44" i="13" s="1"/>
  <c r="E44" i="13" s="1"/>
  <c r="D147" i="13" a="1"/>
  <c r="D147" i="13" s="1"/>
  <c r="G147" i="13" s="1"/>
  <c r="A160" i="13"/>
  <c r="A186" i="13"/>
  <c r="A200" i="13"/>
  <c r="D214" i="13" a="1"/>
  <c r="D214" i="13" s="1"/>
  <c r="E214" i="13" s="1"/>
  <c r="A220" i="13"/>
  <c r="A412" i="13"/>
  <c r="D34" i="13" a="1"/>
  <c r="D34" i="13" s="1"/>
  <c r="H34" i="13" a="1"/>
  <c r="H34" i="13" s="1"/>
  <c r="J34" i="13" s="1"/>
  <c r="L34" i="13" a="1"/>
  <c r="L34" i="13" s="1"/>
  <c r="N34" i="13" s="1"/>
  <c r="A34" i="13"/>
  <c r="L6" i="13" a="1"/>
  <c r="L6" i="13" s="1"/>
  <c r="O6" i="13" s="1"/>
  <c r="A6" i="13"/>
  <c r="A14" i="13"/>
  <c r="H48" i="13" a="1"/>
  <c r="H48" i="13" s="1"/>
  <c r="L48" i="13" a="1"/>
  <c r="L48" i="13" s="1"/>
  <c r="O48" i="13" s="1"/>
  <c r="D48" i="13" a="1"/>
  <c r="D48" i="13" s="1"/>
  <c r="E48" i="13" s="1"/>
  <c r="K75" i="13"/>
  <c r="H52" i="13" a="1"/>
  <c r="H52" i="13" s="1"/>
  <c r="A52" i="13"/>
  <c r="L52" i="13" a="1"/>
  <c r="L52" i="13" s="1"/>
  <c r="N52" i="13" s="1"/>
  <c r="D52" i="13" a="1"/>
  <c r="D52" i="13" s="1"/>
  <c r="E52" i="13" s="1"/>
  <c r="D49" i="13" a="1"/>
  <c r="D49" i="13" s="1"/>
  <c r="A49" i="13"/>
  <c r="L49" i="13" a="1"/>
  <c r="L49" i="13" s="1"/>
  <c r="L33" i="13" a="1"/>
  <c r="L33" i="13" s="1"/>
  <c r="N33" i="13" s="1"/>
  <c r="D33" i="13" a="1"/>
  <c r="D33" i="13" s="1"/>
  <c r="F33" i="13" s="1"/>
  <c r="J13" i="13"/>
  <c r="H24" i="13" a="1"/>
  <c r="H24" i="13" s="1"/>
  <c r="K24" i="13" s="1"/>
  <c r="L41" i="13" a="1"/>
  <c r="L41" i="13" s="1"/>
  <c r="O41" i="13" s="1"/>
  <c r="A41" i="13"/>
  <c r="H41" i="13" a="1"/>
  <c r="H41" i="13" s="1"/>
  <c r="J41" i="13" s="1"/>
  <c r="H85" i="13" a="1"/>
  <c r="H85" i="13" s="1"/>
  <c r="A85" i="13"/>
  <c r="L85" i="13" a="1"/>
  <c r="L85" i="13" s="1"/>
  <c r="N85" i="13" s="1"/>
  <c r="L90" i="13" a="1"/>
  <c r="L90" i="13" s="1"/>
  <c r="O90" i="13" s="1"/>
  <c r="A90" i="13"/>
  <c r="H90" i="13" a="1"/>
  <c r="H90" i="13" s="1"/>
  <c r="K90" i="13" s="1"/>
  <c r="D90" i="13" a="1"/>
  <c r="D90" i="13" s="1"/>
  <c r="L96" i="13" a="1"/>
  <c r="L96" i="13" s="1"/>
  <c r="O96" i="13" s="1"/>
  <c r="H96" i="13" a="1"/>
  <c r="H96" i="13" s="1"/>
  <c r="A146" i="13"/>
  <c r="H146" i="13" a="1"/>
  <c r="H146" i="13" s="1"/>
  <c r="L190" i="13" a="1"/>
  <c r="L190" i="13" s="1"/>
  <c r="O190" i="13" s="1"/>
  <c r="H190" i="13" a="1"/>
  <c r="H190" i="13" s="1"/>
  <c r="K190" i="13" s="1"/>
  <c r="D190" i="13" a="1"/>
  <c r="D190" i="13" s="1"/>
  <c r="E190" i="13" s="1"/>
  <c r="A204" i="13"/>
  <c r="H204" i="13" a="1"/>
  <c r="H204" i="13" s="1"/>
  <c r="K204" i="13" s="1"/>
  <c r="D217" i="13" a="1"/>
  <c r="D217" i="13" s="1"/>
  <c r="A217" i="13"/>
  <c r="H217" i="13" a="1"/>
  <c r="H217" i="13" s="1"/>
  <c r="D57" i="13" a="1"/>
  <c r="D57" i="13" s="1"/>
  <c r="L57" i="13" a="1"/>
  <c r="L57" i="13" s="1"/>
  <c r="M57" i="13" s="1"/>
  <c r="A57" i="13"/>
  <c r="H57" i="13" a="1"/>
  <c r="H57" i="13" s="1"/>
  <c r="J57" i="13" s="1"/>
  <c r="K165" i="13"/>
  <c r="I165" i="13"/>
  <c r="H25" i="13" a="1"/>
  <c r="H25" i="13" s="1"/>
  <c r="D25" i="13" a="1"/>
  <c r="D25" i="13" s="1"/>
  <c r="D66" i="13" a="1"/>
  <c r="D66" i="13" s="1"/>
  <c r="L66" i="13" a="1"/>
  <c r="L66" i="13" s="1"/>
  <c r="A104" i="13"/>
  <c r="L104" i="13" a="1"/>
  <c r="L104" i="13" s="1"/>
  <c r="O104" i="13" s="1"/>
  <c r="A120" i="13"/>
  <c r="H120" i="13" a="1"/>
  <c r="H120" i="13" s="1"/>
  <c r="H175" i="13" a="1"/>
  <c r="H175" i="13" s="1"/>
  <c r="L175" i="13" a="1"/>
  <c r="L175" i="13" s="1"/>
  <c r="A175" i="13"/>
  <c r="I186" i="13"/>
  <c r="J186" i="13"/>
  <c r="A211" i="13"/>
  <c r="L211" i="13" a="1"/>
  <c r="L211" i="13" s="1"/>
  <c r="N211" i="13" s="1"/>
  <c r="H211" i="13" a="1"/>
  <c r="H211" i="13" s="1"/>
  <c r="D211" i="13" a="1"/>
  <c r="D211" i="13" s="1"/>
  <c r="G211" i="13" s="1"/>
  <c r="H144" i="13" a="1"/>
  <c r="H144" i="13" s="1"/>
  <c r="D144" i="13" a="1"/>
  <c r="D144" i="13" s="1"/>
  <c r="F144" i="13" s="1"/>
  <c r="D10" i="13" a="1"/>
  <c r="D10" i="13" s="1"/>
  <c r="H56" i="13" a="1"/>
  <c r="H56" i="13" s="1"/>
  <c r="I56" i="13" s="1"/>
  <c r="A56" i="13"/>
  <c r="L73" i="13" a="1"/>
  <c r="L73" i="13" s="1"/>
  <c r="O73" i="13" s="1"/>
  <c r="A73" i="13"/>
  <c r="H73" i="13" a="1"/>
  <c r="H73" i="13" s="1"/>
  <c r="D82" i="13" a="1"/>
  <c r="D82" i="13" s="1"/>
  <c r="L82" i="13" a="1"/>
  <c r="L82" i="13" s="1"/>
  <c r="H139" i="13" a="1"/>
  <c r="H139" i="13" s="1"/>
  <c r="I139" i="13" s="1"/>
  <c r="A139" i="13"/>
  <c r="L139" i="13" a="1"/>
  <c r="L139" i="13" s="1"/>
  <c r="O139" i="13" s="1"/>
  <c r="D139" i="13" a="1"/>
  <c r="D139" i="13" s="1"/>
  <c r="F139" i="13" s="1"/>
  <c r="A161" i="13"/>
  <c r="L161" i="13" a="1"/>
  <c r="L161" i="13" s="1"/>
  <c r="N161" i="13" s="1"/>
  <c r="H161" i="13" a="1"/>
  <c r="H161" i="13" s="1"/>
  <c r="D161" i="13" a="1"/>
  <c r="D161" i="13" s="1"/>
  <c r="G161" i="13" s="1"/>
  <c r="L170" i="13" a="1"/>
  <c r="L170" i="13" s="1"/>
  <c r="O170" i="13" s="1"/>
  <c r="A170" i="13"/>
  <c r="H170" i="13" a="1"/>
  <c r="H170" i="13" s="1"/>
  <c r="D41" i="13" a="1"/>
  <c r="D41" i="13" s="1"/>
  <c r="E41" i="13" s="1"/>
  <c r="D85" i="13" a="1"/>
  <c r="D85" i="13" s="1"/>
  <c r="A89" i="13"/>
  <c r="L89" i="13" a="1"/>
  <c r="L89" i="13" s="1"/>
  <c r="H89" i="13" a="1"/>
  <c r="H89" i="13" s="1"/>
  <c r="K89" i="13" s="1"/>
  <c r="H112" i="13" a="1"/>
  <c r="H112" i="13" s="1"/>
  <c r="J112" i="13" s="1"/>
  <c r="J158" i="13"/>
  <c r="K158" i="13"/>
  <c r="I158" i="13"/>
  <c r="D175" i="13" a="1"/>
  <c r="D175" i="13" s="1"/>
  <c r="F175" i="13" s="1"/>
  <c r="T1" i="13"/>
  <c r="A13" i="13"/>
  <c r="I148" i="13"/>
  <c r="K148" i="13"/>
  <c r="J148" i="13"/>
  <c r="K351" i="13"/>
  <c r="J351" i="13"/>
  <c r="J10" i="13"/>
  <c r="A105" i="13"/>
  <c r="L105" i="13" a="1"/>
  <c r="L105" i="13" s="1"/>
  <c r="O105" i="13" s="1"/>
  <c r="H105" i="13" a="1"/>
  <c r="H105" i="13" s="1"/>
  <c r="K105" i="13" s="1"/>
  <c r="D105" i="13" a="1"/>
  <c r="D105" i="13" s="1"/>
  <c r="G105" i="13" s="1"/>
  <c r="L111" i="13" a="1"/>
  <c r="L111" i="13" s="1"/>
  <c r="N111" i="13" s="1"/>
  <c r="H111" i="13" a="1"/>
  <c r="H111" i="13" s="1"/>
  <c r="K111" i="13" s="1"/>
  <c r="A10" i="13"/>
  <c r="L10" i="13" a="1"/>
  <c r="L10" i="13" s="1"/>
  <c r="O10" i="13" s="1"/>
  <c r="H26" i="13" a="1"/>
  <c r="H26" i="13" s="1"/>
  <c r="K26" i="13" s="1"/>
  <c r="L26" i="13" a="1"/>
  <c r="L26" i="13" s="1"/>
  <c r="M26" i="13" s="1"/>
  <c r="D26" i="13" a="1"/>
  <c r="D26" i="13" s="1"/>
  <c r="G26" i="13" s="1"/>
  <c r="D40" i="13" a="1"/>
  <c r="D40" i="13" s="1"/>
  <c r="F40" i="13" s="1"/>
  <c r="H60" i="13" a="1"/>
  <c r="H60" i="13" s="1"/>
  <c r="K60" i="13" s="1"/>
  <c r="A60" i="13"/>
  <c r="L60" i="13" a="1"/>
  <c r="L60" i="13" s="1"/>
  <c r="O60" i="13" s="1"/>
  <c r="E89" i="13"/>
  <c r="H95" i="13" a="1"/>
  <c r="H95" i="13" s="1"/>
  <c r="H152" i="13" a="1"/>
  <c r="H152" i="13" s="1"/>
  <c r="I152" i="13" s="1"/>
  <c r="A152" i="13"/>
  <c r="K181" i="13"/>
  <c r="I181" i="13"/>
  <c r="D237" i="13" a="1"/>
  <c r="D237" i="13" s="1"/>
  <c r="H237" i="13" a="1"/>
  <c r="H237" i="13" s="1"/>
  <c r="A237" i="13"/>
  <c r="L237" i="13" a="1"/>
  <c r="L237" i="13" s="1"/>
  <c r="N237" i="13" s="1"/>
  <c r="L106" i="13" a="1"/>
  <c r="L106" i="13" s="1"/>
  <c r="M106" i="13" s="1"/>
  <c r="L121" i="13" a="1"/>
  <c r="L121" i="13" s="1"/>
  <c r="N121" i="13" s="1"/>
  <c r="L186" i="13" a="1"/>
  <c r="L186" i="13" s="1"/>
  <c r="O186" i="13" s="1"/>
  <c r="A223" i="13"/>
  <c r="L223" i="13" a="1"/>
  <c r="L223" i="13" s="1"/>
  <c r="O223" i="13" s="1"/>
  <c r="L231" i="13" a="1"/>
  <c r="L231" i="13" s="1"/>
  <c r="D231" i="13" a="1"/>
  <c r="D231" i="13" s="1"/>
  <c r="L240" i="13" a="1"/>
  <c r="L240" i="13" s="1"/>
  <c r="N240" i="13" s="1"/>
  <c r="H240" i="13" a="1"/>
  <c r="H240" i="13" s="1"/>
  <c r="D240" i="13" a="1"/>
  <c r="D240" i="13" s="1"/>
  <c r="E240" i="13" s="1"/>
  <c r="I243" i="13"/>
  <c r="J243" i="13"/>
  <c r="H250" i="13" a="1"/>
  <c r="H250" i="13" s="1"/>
  <c r="D250" i="13" a="1"/>
  <c r="D250" i="13" s="1"/>
  <c r="H253" i="13" a="1"/>
  <c r="H253" i="13" s="1"/>
  <c r="D253" i="13" a="1"/>
  <c r="D253" i="13" s="1"/>
  <c r="F253" i="13" s="1"/>
  <c r="A253" i="13"/>
  <c r="E258" i="13"/>
  <c r="G258" i="13"/>
  <c r="H269" i="13" a="1"/>
  <c r="H269" i="13" s="1"/>
  <c r="J269" i="13" s="1"/>
  <c r="A269" i="13"/>
  <c r="D269" i="13" a="1"/>
  <c r="D269" i="13" s="1"/>
  <c r="D331" i="13" a="1"/>
  <c r="D331" i="13" s="1"/>
  <c r="E331" i="13" s="1"/>
  <c r="A331" i="13"/>
  <c r="H331" i="13" a="1"/>
  <c r="H331" i="13" s="1"/>
  <c r="K331" i="13" s="1"/>
  <c r="A389" i="13"/>
  <c r="L389" i="13" a="1"/>
  <c r="L389" i="13" s="1"/>
  <c r="N389" i="13" s="1"/>
  <c r="J59" i="13"/>
  <c r="E140" i="13"/>
  <c r="D202" i="13" a="1"/>
  <c r="D202" i="13" s="1"/>
  <c r="D221" i="13" a="1"/>
  <c r="D221" i="13" s="1"/>
  <c r="H221" i="13" a="1"/>
  <c r="H221" i="13" s="1"/>
  <c r="J221" i="13" s="1"/>
  <c r="K243" i="13"/>
  <c r="A328" i="13"/>
  <c r="H328" i="13" a="1"/>
  <c r="H328" i="13" s="1"/>
  <c r="K328" i="13" s="1"/>
  <c r="H386" i="13" a="1"/>
  <c r="H386" i="13" s="1"/>
  <c r="J386" i="13" s="1"/>
  <c r="D386" i="13" a="1"/>
  <c r="D386" i="13" s="1"/>
  <c r="E386" i="13" s="1"/>
  <c r="L437" i="13" a="1"/>
  <c r="L437" i="13" s="1"/>
  <c r="O437" i="13" s="1"/>
  <c r="H437" i="13" a="1"/>
  <c r="H437" i="13" s="1"/>
  <c r="J437" i="13" s="1"/>
  <c r="L191" i="13" a="1"/>
  <c r="L191" i="13" s="1"/>
  <c r="O191" i="13" s="1"/>
  <c r="H202" i="13" a="1"/>
  <c r="H202" i="13" s="1"/>
  <c r="K202" i="13" s="1"/>
  <c r="A214" i="13"/>
  <c r="L224" i="13" a="1"/>
  <c r="L224" i="13" s="1"/>
  <c r="O224" i="13" s="1"/>
  <c r="H224" i="13" a="1"/>
  <c r="H224" i="13" s="1"/>
  <c r="K224" i="13" s="1"/>
  <c r="L236" i="13" a="1"/>
  <c r="L236" i="13" s="1"/>
  <c r="D236" i="13" a="1"/>
  <c r="D236" i="13" s="1"/>
  <c r="L320" i="13" a="1"/>
  <c r="L320" i="13" s="1"/>
  <c r="N320" i="13" s="1"/>
  <c r="H320" i="13" a="1"/>
  <c r="H320" i="13" s="1"/>
  <c r="I320" i="13" s="1"/>
  <c r="D320" i="13" a="1"/>
  <c r="D320" i="13" s="1"/>
  <c r="E320" i="13" s="1"/>
  <c r="H380" i="13" a="1"/>
  <c r="H380" i="13" s="1"/>
  <c r="K380" i="13" s="1"/>
  <c r="D380" i="13" a="1"/>
  <c r="D380" i="13" s="1"/>
  <c r="G380" i="13" s="1"/>
  <c r="L446" i="13" a="1"/>
  <c r="L446" i="13" s="1"/>
  <c r="O446" i="13" s="1"/>
  <c r="H446" i="13" a="1"/>
  <c r="H446" i="13" s="1"/>
  <c r="D446" i="13" a="1"/>
  <c r="D446" i="13" s="1"/>
  <c r="A59" i="13"/>
  <c r="D106" i="13" a="1"/>
  <c r="D106" i="13" s="1"/>
  <c r="H160" i="13" a="1"/>
  <c r="H160" i="13" s="1"/>
  <c r="J160" i="13" s="1"/>
  <c r="H231" i="13" a="1"/>
  <c r="H231" i="13" s="1"/>
  <c r="I231" i="13" s="1"/>
  <c r="A243" i="13"/>
  <c r="D243" i="13" a="1"/>
  <c r="D243" i="13" s="1"/>
  <c r="F243" i="13" s="1"/>
  <c r="L243" i="13" a="1"/>
  <c r="L243" i="13" s="1"/>
  <c r="O243" i="13" s="1"/>
  <c r="H282" i="13" a="1"/>
  <c r="H282" i="13" s="1"/>
  <c r="I282" i="13" s="1"/>
  <c r="D282" i="13" a="1"/>
  <c r="D282" i="13" s="1"/>
  <c r="F282" i="13" s="1"/>
  <c r="H329" i="13" a="1"/>
  <c r="H329" i="13" s="1"/>
  <c r="J329" i="13" s="1"/>
  <c r="D329" i="13" a="1"/>
  <c r="D329" i="13" s="1"/>
  <c r="E329" i="13" s="1"/>
  <c r="D377" i="13" a="1"/>
  <c r="D377" i="13" s="1"/>
  <c r="L377" i="13" a="1"/>
  <c r="L377" i="13" s="1"/>
  <c r="N377" i="13" s="1"/>
  <c r="A384" i="13"/>
  <c r="L384" i="13" a="1"/>
  <c r="L384" i="13" s="1"/>
  <c r="O384" i="13" s="1"/>
  <c r="L386" i="13" a="1"/>
  <c r="L386" i="13" s="1"/>
  <c r="N386" i="13" s="1"/>
  <c r="H400" i="13" a="1"/>
  <c r="H400" i="13" s="1"/>
  <c r="K400" i="13" s="1"/>
  <c r="L400" i="13" a="1"/>
  <c r="L400" i="13" s="1"/>
  <c r="O400" i="13" s="1"/>
  <c r="D400" i="13" a="1"/>
  <c r="D400" i="13" s="1"/>
  <c r="F400" i="13" s="1"/>
  <c r="D437" i="13" a="1"/>
  <c r="D437" i="13" s="1"/>
  <c r="F437" i="13" s="1"/>
  <c r="D443" i="13" a="1"/>
  <c r="D443" i="13" s="1"/>
  <c r="H443" i="13" a="1"/>
  <c r="H443" i="13" s="1"/>
  <c r="K443" i="13" s="1"/>
  <c r="D121" i="13" a="1"/>
  <c r="D121" i="13" s="1"/>
  <c r="D123" i="13" a="1"/>
  <c r="D123" i="13" s="1"/>
  <c r="E123" i="13" s="1"/>
  <c r="L124" i="13" a="1"/>
  <c r="L124" i="13" s="1"/>
  <c r="N124" i="13" s="1"/>
  <c r="A140" i="13"/>
  <c r="L140" i="13" a="1"/>
  <c r="L140" i="13" s="1"/>
  <c r="M140" i="13" s="1"/>
  <c r="D143" i="13" a="1"/>
  <c r="D143" i="13" s="1"/>
  <c r="G143" i="13" s="1"/>
  <c r="D168" i="13" a="1"/>
  <c r="D168" i="13" s="1"/>
  <c r="G168" i="13" s="1"/>
  <c r="D186" i="13" a="1"/>
  <c r="D186" i="13" s="1"/>
  <c r="G186" i="13" s="1"/>
  <c r="A191" i="13"/>
  <c r="A216" i="13"/>
  <c r="L216" i="13" a="1"/>
  <c r="L216" i="13" s="1"/>
  <c r="N216" i="13" s="1"/>
  <c r="I236" i="13"/>
  <c r="J236" i="13"/>
  <c r="H257" i="13" a="1"/>
  <c r="H257" i="13" s="1"/>
  <c r="D257" i="13" a="1"/>
  <c r="D257" i="13" s="1"/>
  <c r="E257" i="13" s="1"/>
  <c r="H289" i="13" a="1"/>
  <c r="H289" i="13" s="1"/>
  <c r="K289" i="13" s="1"/>
  <c r="D289" i="13" a="1"/>
  <c r="D289" i="13" s="1"/>
  <c r="E289" i="13" s="1"/>
  <c r="H316" i="13" a="1"/>
  <c r="H316" i="13" s="1"/>
  <c r="A316" i="13"/>
  <c r="D344" i="13" a="1"/>
  <c r="D344" i="13" s="1"/>
  <c r="L344" i="13" a="1"/>
  <c r="L344" i="13" s="1"/>
  <c r="N344" i="13" s="1"/>
  <c r="A344" i="13"/>
  <c r="H344" i="13" a="1"/>
  <c r="H344" i="13" s="1"/>
  <c r="J344" i="13" s="1"/>
  <c r="H363" i="13" a="1"/>
  <c r="H363" i="13" s="1"/>
  <c r="D363" i="13" a="1"/>
  <c r="D363" i="13" s="1"/>
  <c r="G363" i="13" s="1"/>
  <c r="L421" i="13" a="1"/>
  <c r="L421" i="13" s="1"/>
  <c r="N421" i="13" s="1"/>
  <c r="H421" i="13" a="1"/>
  <c r="H421" i="13" s="1"/>
  <c r="K421" i="13" s="1"/>
  <c r="D421" i="13" a="1"/>
  <c r="D421" i="13" s="1"/>
  <c r="G421" i="13" s="1"/>
  <c r="L123" i="13" a="1"/>
  <c r="L123" i="13" s="1"/>
  <c r="O123" i="13" s="1"/>
  <c r="A202" i="13"/>
  <c r="L221" i="13" a="1"/>
  <c r="L221" i="13" s="1"/>
  <c r="N221" i="13" s="1"/>
  <c r="L227" i="13" a="1"/>
  <c r="L227" i="13" s="1"/>
  <c r="O227" i="13" s="1"/>
  <c r="H227" i="13" a="1"/>
  <c r="H227" i="13" s="1"/>
  <c r="J227" i="13" s="1"/>
  <c r="A230" i="13"/>
  <c r="H255" i="13" a="1"/>
  <c r="H255" i="13" s="1"/>
  <c r="A255" i="13"/>
  <c r="L255" i="13" a="1"/>
  <c r="L255" i="13" s="1"/>
  <c r="N255" i="13" s="1"/>
  <c r="E265" i="13"/>
  <c r="G265" i="13"/>
  <c r="J313" i="13"/>
  <c r="K313" i="13"/>
  <c r="I313" i="13"/>
  <c r="F323" i="13"/>
  <c r="E323" i="13"/>
  <c r="D401" i="13" a="1"/>
  <c r="D401" i="13" s="1"/>
  <c r="E401" i="13" s="1"/>
  <c r="A401" i="13"/>
  <c r="L401" i="13" a="1"/>
  <c r="L401" i="13" s="1"/>
  <c r="O401" i="13" s="1"/>
  <c r="H401" i="13" a="1"/>
  <c r="H401" i="13" s="1"/>
  <c r="I401" i="13" s="1"/>
  <c r="D410" i="13" a="1"/>
  <c r="D410" i="13" s="1"/>
  <c r="G410" i="13" s="1"/>
  <c r="H410" i="13" a="1"/>
  <c r="H410" i="13" s="1"/>
  <c r="K410" i="13" s="1"/>
  <c r="D427" i="13" a="1"/>
  <c r="D427" i="13" s="1"/>
  <c r="L427" i="13" a="1"/>
  <c r="L427" i="13" s="1"/>
  <c r="N427" i="13" s="1"/>
  <c r="A427" i="13"/>
  <c r="H427" i="13" a="1"/>
  <c r="H427" i="13" s="1"/>
  <c r="K427" i="13" s="1"/>
  <c r="L430" i="13" a="1"/>
  <c r="L430" i="13" s="1"/>
  <c r="N430" i="13" s="1"/>
  <c r="H430" i="13" a="1"/>
  <c r="H430" i="13" s="1"/>
  <c r="D430" i="13" a="1"/>
  <c r="D430" i="13" s="1"/>
  <c r="F430" i="13" s="1"/>
  <c r="F447" i="13"/>
  <c r="G447" i="13"/>
  <c r="E447" i="13"/>
  <c r="E249" i="13"/>
  <c r="G249" i="13"/>
  <c r="H345" i="13" a="1"/>
  <c r="H345" i="13" s="1"/>
  <c r="D345" i="13" a="1"/>
  <c r="D345" i="13" s="1"/>
  <c r="G345" i="13" s="1"/>
  <c r="H370" i="13" a="1"/>
  <c r="H370" i="13" s="1"/>
  <c r="J370" i="13" s="1"/>
  <c r="L370" i="13" a="1"/>
  <c r="L370" i="13" s="1"/>
  <c r="N370" i="13" s="1"/>
  <c r="H407" i="13" a="1"/>
  <c r="H407" i="13" s="1"/>
  <c r="I407" i="13" s="1"/>
  <c r="D407" i="13" a="1"/>
  <c r="D407" i="13" s="1"/>
  <c r="A407" i="13"/>
  <c r="H433" i="13" a="1"/>
  <c r="H433" i="13" s="1"/>
  <c r="A433" i="13"/>
  <c r="D433" i="13" a="1"/>
  <c r="D433" i="13" s="1"/>
  <c r="F433" i="13" s="1"/>
  <c r="L207" i="13" a="1"/>
  <c r="L207" i="13" s="1"/>
  <c r="O207" i="13" s="1"/>
  <c r="L280" i="13" a="1"/>
  <c r="L280" i="13" s="1"/>
  <c r="O280" i="13" s="1"/>
  <c r="D309" i="13" a="1"/>
  <c r="D309" i="13" s="1"/>
  <c r="J390" i="13"/>
  <c r="L396" i="13" a="1"/>
  <c r="L396" i="13" s="1"/>
  <c r="M396" i="13" s="1"/>
  <c r="K426" i="13"/>
  <c r="D449" i="13" a="1"/>
  <c r="D449" i="13" s="1"/>
  <c r="G449" i="13" s="1"/>
  <c r="I273" i="13"/>
  <c r="I302" i="13"/>
  <c r="L305" i="13" a="1"/>
  <c r="L305" i="13" s="1"/>
  <c r="O305" i="13" s="1"/>
  <c r="H340" i="13" a="1"/>
  <c r="H340" i="13" s="1"/>
  <c r="D417" i="13" a="1"/>
  <c r="D417" i="13" s="1"/>
  <c r="F436" i="13"/>
  <c r="A280" i="13"/>
  <c r="K296" i="13"/>
  <c r="A305" i="13"/>
  <c r="A359" i="13"/>
  <c r="A372" i="13"/>
  <c r="H417" i="13" a="1"/>
  <c r="H417" i="13" s="1"/>
  <c r="G436" i="13"/>
  <c r="L436" i="13" a="1"/>
  <c r="L436" i="13" s="1"/>
  <c r="N436" i="13" s="1"/>
  <c r="D266" i="13" a="1"/>
  <c r="D266" i="13" s="1"/>
  <c r="G266" i="13" s="1"/>
  <c r="K311" i="13"/>
  <c r="H393" i="13" a="1"/>
  <c r="H393" i="13" s="1"/>
  <c r="K393" i="13" s="1"/>
  <c r="E414" i="13"/>
  <c r="A417" i="13"/>
  <c r="A436" i="13"/>
  <c r="A449" i="13"/>
  <c r="J266" i="13"/>
  <c r="J280" i="13"/>
  <c r="D305" i="13" a="1"/>
  <c r="D305" i="13" s="1"/>
  <c r="F305" i="13" s="1"/>
  <c r="J318" i="13"/>
  <c r="D334" i="13" a="1"/>
  <c r="D334" i="13" s="1"/>
  <c r="G334" i="13" s="1"/>
  <c r="L341" i="13" a="1"/>
  <c r="L341" i="13" s="1"/>
  <c r="O341" i="13" s="1"/>
  <c r="D390" i="13" a="1"/>
  <c r="D390" i="13" s="1"/>
  <c r="A6" i="4"/>
  <c r="A7" i="4"/>
  <c r="B1" i="7"/>
  <c r="A7" i="5"/>
  <c r="A6" i="5"/>
  <c r="C220" i="9"/>
  <c r="C219" i="9"/>
  <c r="C227" i="9"/>
  <c r="C236" i="9"/>
  <c r="C231" i="9"/>
  <c r="H245" i="9"/>
  <c r="Q245" i="9" s="1"/>
  <c r="P245" i="9" s="1"/>
  <c r="C223" i="9"/>
  <c r="C241" i="9"/>
  <c r="C215" i="9"/>
  <c r="H241" i="9"/>
  <c r="Q241" i="9" s="1"/>
  <c r="P241" i="9" s="1"/>
  <c r="C235" i="9"/>
  <c r="H222" i="9"/>
  <c r="Q222" i="9" s="1"/>
  <c r="P222" i="9" s="1"/>
  <c r="C226" i="9"/>
  <c r="H242" i="9"/>
  <c r="Q242" i="9" s="1"/>
  <c r="P242" i="9" s="1"/>
  <c r="C246" i="9"/>
  <c r="H221" i="9"/>
  <c r="Q221" i="9" s="1"/>
  <c r="P221" i="9" s="1"/>
  <c r="C225" i="9"/>
  <c r="H237" i="9"/>
  <c r="Q237" i="9" s="1"/>
  <c r="P237" i="9" s="1"/>
  <c r="H246" i="9"/>
  <c r="Q246" i="9" s="1"/>
  <c r="P246" i="9" s="1"/>
  <c r="C222" i="9"/>
  <c r="H226" i="9"/>
  <c r="Q226" i="9" s="1"/>
  <c r="P226" i="9" s="1"/>
  <c r="C244" i="9"/>
  <c r="H220" i="9"/>
  <c r="Q220" i="9" s="1"/>
  <c r="P220" i="9" s="1"/>
  <c r="H236" i="9"/>
  <c r="Q236" i="9" s="1"/>
  <c r="P236" i="9" s="1"/>
  <c r="C239" i="9"/>
  <c r="H243" i="9"/>
  <c r="Q243" i="9" s="1"/>
  <c r="P243" i="9" s="1"/>
  <c r="C245" i="9"/>
  <c r="C221" i="9"/>
  <c r="H225" i="9"/>
  <c r="Q225" i="9" s="1"/>
  <c r="P225" i="9" s="1"/>
  <c r="C237" i="9"/>
  <c r="C238" i="9"/>
  <c r="H244" i="9"/>
  <c r="Q244" i="9" s="1"/>
  <c r="P244" i="9" s="1"/>
  <c r="H238" i="9"/>
  <c r="Q238" i="9" s="1"/>
  <c r="P238" i="9" s="1"/>
  <c r="C242" i="9"/>
  <c r="L2" i="9"/>
  <c r="I3" i="2"/>
  <c r="I69" i="4"/>
  <c r="Q69" i="4"/>
  <c r="I73" i="4"/>
  <c r="Q73" i="4"/>
  <c r="I77" i="4"/>
  <c r="Q77" i="4"/>
  <c r="I81" i="4"/>
  <c r="Q81" i="4"/>
  <c r="I85" i="4"/>
  <c r="Q85" i="4"/>
  <c r="I89" i="4"/>
  <c r="Q89" i="4"/>
  <c r="I93" i="4"/>
  <c r="Q93" i="4"/>
  <c r="I97" i="4"/>
  <c r="Q97" i="4"/>
  <c r="I101" i="4"/>
  <c r="Q101" i="4"/>
  <c r="I105" i="4"/>
  <c r="Q105" i="4"/>
  <c r="I108" i="4"/>
  <c r="R108" i="4"/>
  <c r="O117" i="4"/>
  <c r="G117" i="4"/>
  <c r="J117" i="4"/>
  <c r="S117" i="4"/>
  <c r="J120" i="4"/>
  <c r="J121" i="4"/>
  <c r="B14" i="9"/>
  <c r="B15" i="9"/>
  <c r="H14" i="9"/>
  <c r="E14" i="9" s="1"/>
  <c r="I57" i="4"/>
  <c r="Q57" i="4"/>
  <c r="B41" i="4"/>
  <c r="B45" i="4"/>
  <c r="B61" i="4"/>
  <c r="S120" i="4"/>
  <c r="K120" i="4"/>
  <c r="C120" i="4"/>
  <c r="V120" i="4"/>
  <c r="AM120" i="5" s="1"/>
  <c r="M120" i="4"/>
  <c r="E120" i="4"/>
  <c r="I44" i="4"/>
  <c r="Q44" i="4"/>
  <c r="C45" i="4"/>
  <c r="K45" i="4"/>
  <c r="S45" i="4"/>
  <c r="I64" i="4"/>
  <c r="Q64" i="4"/>
  <c r="C65" i="4"/>
  <c r="K65" i="4"/>
  <c r="S65" i="4"/>
  <c r="I68" i="4"/>
  <c r="Q68" i="4"/>
  <c r="C69" i="4"/>
  <c r="K69" i="4"/>
  <c r="S69" i="4"/>
  <c r="I72" i="4"/>
  <c r="Q72" i="4"/>
  <c r="C73" i="4"/>
  <c r="K73" i="4"/>
  <c r="S73" i="4"/>
  <c r="I76" i="4"/>
  <c r="Q76" i="4"/>
  <c r="C77" i="4"/>
  <c r="K77" i="4"/>
  <c r="S77" i="4"/>
  <c r="I80" i="4"/>
  <c r="Q80" i="4"/>
  <c r="C81" i="4"/>
  <c r="K81" i="4"/>
  <c r="S81" i="4"/>
  <c r="Q84" i="4"/>
  <c r="C85" i="4"/>
  <c r="K85" i="4"/>
  <c r="S85" i="4"/>
  <c r="I88" i="4"/>
  <c r="Q88" i="4"/>
  <c r="C89" i="4"/>
  <c r="K89" i="4"/>
  <c r="S89" i="4"/>
  <c r="I96" i="4"/>
  <c r="Q96" i="4"/>
  <c r="C97" i="4"/>
  <c r="K97" i="4"/>
  <c r="S97" i="4"/>
  <c r="I100" i="4"/>
  <c r="Q100" i="4"/>
  <c r="C101" i="4"/>
  <c r="K101" i="4"/>
  <c r="S101" i="4"/>
  <c r="I104" i="4"/>
  <c r="Q104" i="4"/>
  <c r="C105" i="4"/>
  <c r="K105" i="4"/>
  <c r="S105" i="4"/>
  <c r="B108" i="4"/>
  <c r="K108" i="4"/>
  <c r="O113" i="4"/>
  <c r="G113" i="4"/>
  <c r="J113" i="4"/>
  <c r="S113" i="4"/>
  <c r="S115" i="4"/>
  <c r="K115" i="4"/>
  <c r="C115" i="4"/>
  <c r="J115" i="4"/>
  <c r="G116" i="4"/>
  <c r="P116" i="4"/>
  <c r="C117" i="4"/>
  <c r="L117" i="4"/>
  <c r="V117" i="4"/>
  <c r="AM117" i="5" s="1"/>
  <c r="B120" i="4"/>
  <c r="N120" i="4"/>
  <c r="B121" i="4"/>
  <c r="L121" i="4"/>
  <c r="I133" i="4"/>
  <c r="W133" i="4"/>
  <c r="AN133" i="5" s="1"/>
  <c r="B9" i="9"/>
  <c r="B10" i="9"/>
  <c r="H9" i="9"/>
  <c r="I53" i="4"/>
  <c r="Q53" i="4"/>
  <c r="I65" i="4"/>
  <c r="Q65" i="4"/>
  <c r="J49" i="4"/>
  <c r="R53" i="4"/>
  <c r="B69" i="4"/>
  <c r="J69" i="4"/>
  <c r="R69" i="4"/>
  <c r="R77" i="4"/>
  <c r="J108" i="4"/>
  <c r="W3" i="5"/>
  <c r="X4" i="5"/>
  <c r="Q40" i="4"/>
  <c r="S41" i="4"/>
  <c r="I60" i="4"/>
  <c r="Q60" i="4"/>
  <c r="I84" i="4"/>
  <c r="I92" i="4"/>
  <c r="Q92" i="4"/>
  <c r="C93" i="4"/>
  <c r="K93" i="4"/>
  <c r="S93" i="4"/>
  <c r="M3" i="4"/>
  <c r="B40" i="4"/>
  <c r="J40" i="4"/>
  <c r="R40" i="4"/>
  <c r="D41" i="4"/>
  <c r="L41" i="4"/>
  <c r="F42" i="4"/>
  <c r="N42" i="4"/>
  <c r="W42" i="4"/>
  <c r="AN42" i="5" s="1"/>
  <c r="H43" i="4"/>
  <c r="P43" i="4"/>
  <c r="B44" i="4"/>
  <c r="J44" i="4"/>
  <c r="R44" i="4"/>
  <c r="D45" i="4"/>
  <c r="L45" i="4"/>
  <c r="F46" i="4"/>
  <c r="N46" i="4"/>
  <c r="W46" i="4"/>
  <c r="AN46" i="5" s="1"/>
  <c r="H47" i="4"/>
  <c r="P47" i="4"/>
  <c r="B48" i="4"/>
  <c r="J48" i="4"/>
  <c r="R48" i="4"/>
  <c r="D49" i="4"/>
  <c r="L49" i="4"/>
  <c r="F50" i="4"/>
  <c r="N50" i="4"/>
  <c r="W50" i="4"/>
  <c r="AN50" i="5" s="1"/>
  <c r="H51" i="4"/>
  <c r="P51" i="4"/>
  <c r="B52" i="4"/>
  <c r="J52" i="4"/>
  <c r="R52" i="4"/>
  <c r="D53" i="4"/>
  <c r="L53" i="4"/>
  <c r="F54" i="4"/>
  <c r="N54" i="4"/>
  <c r="W54" i="4"/>
  <c r="AN54" i="5" s="1"/>
  <c r="H55" i="4"/>
  <c r="P55" i="4"/>
  <c r="B56" i="4"/>
  <c r="J56" i="4"/>
  <c r="R56" i="4"/>
  <c r="D57" i="4"/>
  <c r="L57" i="4"/>
  <c r="F58" i="4"/>
  <c r="N58" i="4"/>
  <c r="W58" i="4"/>
  <c r="AN58" i="5" s="1"/>
  <c r="H59" i="4"/>
  <c r="P59" i="4"/>
  <c r="B60" i="4"/>
  <c r="J60" i="4"/>
  <c r="R60" i="4"/>
  <c r="D61" i="4"/>
  <c r="L61" i="4"/>
  <c r="F62" i="4"/>
  <c r="N62" i="4"/>
  <c r="W62" i="4"/>
  <c r="AN62" i="5" s="1"/>
  <c r="H63" i="4"/>
  <c r="P63" i="4"/>
  <c r="B64" i="4"/>
  <c r="J64" i="4"/>
  <c r="R64" i="4"/>
  <c r="D65" i="4"/>
  <c r="L65" i="4"/>
  <c r="F66" i="4"/>
  <c r="N66" i="4"/>
  <c r="W66" i="4"/>
  <c r="AN66" i="5" s="1"/>
  <c r="H67" i="4"/>
  <c r="P67" i="4"/>
  <c r="B68" i="4"/>
  <c r="J68" i="4"/>
  <c r="R68" i="4"/>
  <c r="D69" i="4"/>
  <c r="L69" i="4"/>
  <c r="F70" i="4"/>
  <c r="N70" i="4"/>
  <c r="W70" i="4"/>
  <c r="AN70" i="5" s="1"/>
  <c r="H71" i="4"/>
  <c r="P71" i="4"/>
  <c r="B72" i="4"/>
  <c r="J72" i="4"/>
  <c r="R72" i="4"/>
  <c r="D73" i="4"/>
  <c r="L73" i="4"/>
  <c r="H75" i="4"/>
  <c r="P75" i="4"/>
  <c r="B76" i="4"/>
  <c r="J76" i="4"/>
  <c r="R76" i="4"/>
  <c r="D77" i="4"/>
  <c r="L77" i="4"/>
  <c r="H79" i="4"/>
  <c r="P79" i="4"/>
  <c r="B80" i="4"/>
  <c r="J80" i="4"/>
  <c r="R80" i="4"/>
  <c r="D81" i="4"/>
  <c r="L81" i="4"/>
  <c r="H83" i="4"/>
  <c r="P83" i="4"/>
  <c r="B84" i="4"/>
  <c r="J84" i="4"/>
  <c r="R84" i="4"/>
  <c r="D85" i="4"/>
  <c r="L85" i="4"/>
  <c r="H87" i="4"/>
  <c r="P87" i="4"/>
  <c r="B88" i="4"/>
  <c r="J88" i="4"/>
  <c r="R88" i="4"/>
  <c r="D89" i="4"/>
  <c r="L89" i="4"/>
  <c r="H91" i="4"/>
  <c r="P91" i="4"/>
  <c r="B92" i="4"/>
  <c r="J92" i="4"/>
  <c r="R92" i="4"/>
  <c r="D93" i="4"/>
  <c r="L93" i="4"/>
  <c r="H95" i="4"/>
  <c r="P95" i="4"/>
  <c r="B96" i="4"/>
  <c r="J96" i="4"/>
  <c r="R96" i="4"/>
  <c r="D97" i="4"/>
  <c r="L97" i="4"/>
  <c r="H99" i="4"/>
  <c r="P99" i="4"/>
  <c r="B100" i="4"/>
  <c r="J100" i="4"/>
  <c r="R100" i="4"/>
  <c r="D101" i="4"/>
  <c r="L101" i="4"/>
  <c r="H103" i="4"/>
  <c r="P103" i="4"/>
  <c r="B104" i="4"/>
  <c r="J104" i="4"/>
  <c r="R104" i="4"/>
  <c r="D105" i="4"/>
  <c r="L105" i="4"/>
  <c r="H107" i="4"/>
  <c r="P107" i="4"/>
  <c r="C108" i="4"/>
  <c r="L108" i="4"/>
  <c r="W108" i="4"/>
  <c r="AN108" i="5" s="1"/>
  <c r="I109" i="4"/>
  <c r="I111" i="4"/>
  <c r="F112" i="4"/>
  <c r="O112" i="4"/>
  <c r="B113" i="4"/>
  <c r="K113" i="4"/>
  <c r="B115" i="4"/>
  <c r="L115" i="4"/>
  <c r="V115" i="4"/>
  <c r="AM115" i="5" s="1"/>
  <c r="H116" i="4"/>
  <c r="Q116" i="4"/>
  <c r="D117" i="4"/>
  <c r="M117" i="4"/>
  <c r="W117" i="4"/>
  <c r="AN117" i="5" s="1"/>
  <c r="D120" i="4"/>
  <c r="O120" i="4"/>
  <c r="C121" i="4"/>
  <c r="N121" i="4"/>
  <c r="G124" i="4"/>
  <c r="Q124" i="4"/>
  <c r="V129" i="4"/>
  <c r="AM129" i="5" s="1"/>
  <c r="M129" i="4"/>
  <c r="E129" i="4"/>
  <c r="S129" i="4"/>
  <c r="K129" i="4"/>
  <c r="C129" i="4"/>
  <c r="O129" i="4"/>
  <c r="G129" i="4"/>
  <c r="N129" i="4"/>
  <c r="J133" i="4"/>
  <c r="I41" i="4"/>
  <c r="Q41" i="4"/>
  <c r="I61" i="4"/>
  <c r="Q61" i="4"/>
  <c r="J45" i="4"/>
  <c r="B49" i="4"/>
  <c r="B57" i="4"/>
  <c r="J57" i="4"/>
  <c r="R57" i="4"/>
  <c r="R61" i="4"/>
  <c r="J77" i="4"/>
  <c r="Q52" i="4"/>
  <c r="C53" i="4"/>
  <c r="S53" i="4"/>
  <c r="C61" i="4"/>
  <c r="I43" i="4"/>
  <c r="Q43" i="4"/>
  <c r="C44" i="4"/>
  <c r="K44" i="4"/>
  <c r="S44" i="4"/>
  <c r="E45" i="4"/>
  <c r="M45" i="4"/>
  <c r="V45" i="4"/>
  <c r="AM45" i="5" s="1"/>
  <c r="I63" i="4"/>
  <c r="Q63" i="4"/>
  <c r="C64" i="4"/>
  <c r="K64" i="4"/>
  <c r="S64" i="4"/>
  <c r="E65" i="4"/>
  <c r="M65" i="4"/>
  <c r="V65" i="4"/>
  <c r="AM65" i="5" s="1"/>
  <c r="I75" i="4"/>
  <c r="Q75" i="4"/>
  <c r="C76" i="4"/>
  <c r="K76" i="4"/>
  <c r="S76" i="4"/>
  <c r="E77" i="4"/>
  <c r="M77" i="4"/>
  <c r="V77" i="4"/>
  <c r="AM77" i="5" s="1"/>
  <c r="I79" i="4"/>
  <c r="Q79" i="4"/>
  <c r="C80" i="4"/>
  <c r="K80" i="4"/>
  <c r="S80" i="4"/>
  <c r="E81" i="4"/>
  <c r="M81" i="4"/>
  <c r="V81" i="4"/>
  <c r="AM81" i="5" s="1"/>
  <c r="I83" i="4"/>
  <c r="Q83" i="4"/>
  <c r="C84" i="4"/>
  <c r="K84" i="4"/>
  <c r="S84" i="4"/>
  <c r="E85" i="4"/>
  <c r="M85" i="4"/>
  <c r="V85" i="4"/>
  <c r="AM85" i="5" s="1"/>
  <c r="I87" i="4"/>
  <c r="Q87" i="4"/>
  <c r="C88" i="4"/>
  <c r="K88" i="4"/>
  <c r="S88" i="4"/>
  <c r="E89" i="4"/>
  <c r="M89" i="4"/>
  <c r="V89" i="4"/>
  <c r="AM89" i="5" s="1"/>
  <c r="I91" i="4"/>
  <c r="Q91" i="4"/>
  <c r="C92" i="4"/>
  <c r="K92" i="4"/>
  <c r="S92" i="4"/>
  <c r="E93" i="4"/>
  <c r="M93" i="4"/>
  <c r="V93" i="4"/>
  <c r="AM93" i="5" s="1"/>
  <c r="I95" i="4"/>
  <c r="Q95" i="4"/>
  <c r="C96" i="4"/>
  <c r="K96" i="4"/>
  <c r="S96" i="4"/>
  <c r="E97" i="4"/>
  <c r="M97" i="4"/>
  <c r="V97" i="4"/>
  <c r="AM97" i="5" s="1"/>
  <c r="I99" i="4"/>
  <c r="Q99" i="4"/>
  <c r="C100" i="4"/>
  <c r="K100" i="4"/>
  <c r="S100" i="4"/>
  <c r="E101" i="4"/>
  <c r="M101" i="4"/>
  <c r="V101" i="4"/>
  <c r="AM101" i="5" s="1"/>
  <c r="I103" i="4"/>
  <c r="Q103" i="4"/>
  <c r="C104" i="4"/>
  <c r="K104" i="4"/>
  <c r="S104" i="4"/>
  <c r="E105" i="4"/>
  <c r="M105" i="4"/>
  <c r="V105" i="4"/>
  <c r="AM105" i="5" s="1"/>
  <c r="I107" i="4"/>
  <c r="Q107" i="4"/>
  <c r="D108" i="4"/>
  <c r="N108" i="4"/>
  <c r="O109" i="4"/>
  <c r="G109" i="4"/>
  <c r="J109" i="4"/>
  <c r="S109" i="4"/>
  <c r="S111" i="4"/>
  <c r="K111" i="4"/>
  <c r="C111" i="4"/>
  <c r="J111" i="4"/>
  <c r="C113" i="4"/>
  <c r="L113" i="4"/>
  <c r="V113" i="4"/>
  <c r="AM113" i="5" s="1"/>
  <c r="D115" i="4"/>
  <c r="M115" i="4"/>
  <c r="W115" i="4"/>
  <c r="AN115" i="5" s="1"/>
  <c r="I116" i="4"/>
  <c r="E117" i="4"/>
  <c r="N117" i="4"/>
  <c r="F120" i="4"/>
  <c r="P120" i="4"/>
  <c r="D121" i="4"/>
  <c r="Q49" i="4"/>
  <c r="R41" i="4"/>
  <c r="J61" i="4"/>
  <c r="B73" i="4"/>
  <c r="J73" i="4"/>
  <c r="R73" i="4"/>
  <c r="V121" i="4"/>
  <c r="AM121" i="5" s="1"/>
  <c r="M121" i="4"/>
  <c r="E121" i="4"/>
  <c r="O121" i="4"/>
  <c r="G121" i="4"/>
  <c r="K121" i="4"/>
  <c r="W121" i="4"/>
  <c r="AN121" i="5" s="1"/>
  <c r="I40" i="4"/>
  <c r="C41" i="4"/>
  <c r="K41" i="4"/>
  <c r="I47" i="4"/>
  <c r="Q47" i="4"/>
  <c r="C48" i="4"/>
  <c r="K48" i="4"/>
  <c r="S48" i="4"/>
  <c r="E49" i="4"/>
  <c r="M49" i="4"/>
  <c r="V49" i="4"/>
  <c r="AM49" i="5" s="1"/>
  <c r="I59" i="4"/>
  <c r="Q59" i="4"/>
  <c r="C60" i="4"/>
  <c r="K60" i="4"/>
  <c r="S60" i="4"/>
  <c r="E61" i="4"/>
  <c r="M61" i="4"/>
  <c r="V61" i="4"/>
  <c r="AM61" i="5" s="1"/>
  <c r="Q71" i="4"/>
  <c r="K72" i="4"/>
  <c r="S72" i="4"/>
  <c r="M73" i="4"/>
  <c r="B47" i="4"/>
  <c r="B59" i="4"/>
  <c r="J59" i="4"/>
  <c r="R59" i="4"/>
  <c r="D60" i="4"/>
  <c r="L60" i="4"/>
  <c r="F61" i="4"/>
  <c r="N61" i="4"/>
  <c r="W61" i="4"/>
  <c r="AN61" i="5" s="1"/>
  <c r="B67" i="4"/>
  <c r="J67" i="4"/>
  <c r="R67" i="4"/>
  <c r="D68" i="4"/>
  <c r="L68" i="4"/>
  <c r="B71" i="4"/>
  <c r="J71" i="4"/>
  <c r="R71" i="4"/>
  <c r="D72" i="4"/>
  <c r="L72" i="4"/>
  <c r="F73" i="4"/>
  <c r="B75" i="4"/>
  <c r="J75" i="4"/>
  <c r="R75" i="4"/>
  <c r="D76" i="4"/>
  <c r="L76" i="4"/>
  <c r="F77" i="4"/>
  <c r="N77" i="4"/>
  <c r="W77" i="4"/>
  <c r="AN77" i="5" s="1"/>
  <c r="B79" i="4"/>
  <c r="J79" i="4"/>
  <c r="R79" i="4"/>
  <c r="D80" i="4"/>
  <c r="L80" i="4"/>
  <c r="F81" i="4"/>
  <c r="N81" i="4"/>
  <c r="W81" i="4"/>
  <c r="AN81" i="5" s="1"/>
  <c r="B83" i="4"/>
  <c r="J83" i="4"/>
  <c r="R83" i="4"/>
  <c r="D84" i="4"/>
  <c r="L84" i="4"/>
  <c r="F85" i="4"/>
  <c r="N85" i="4"/>
  <c r="W85" i="4"/>
  <c r="AN85" i="5" s="1"/>
  <c r="D88" i="4"/>
  <c r="L88" i="4"/>
  <c r="F89" i="4"/>
  <c r="N89" i="4"/>
  <c r="W89" i="4"/>
  <c r="AN89" i="5" s="1"/>
  <c r="D92" i="4"/>
  <c r="L92" i="4"/>
  <c r="F93" i="4"/>
  <c r="N93" i="4"/>
  <c r="W93" i="4"/>
  <c r="AN93" i="5" s="1"/>
  <c r="D96" i="4"/>
  <c r="L96" i="4"/>
  <c r="F97" i="4"/>
  <c r="N97" i="4"/>
  <c r="W97" i="4"/>
  <c r="AN97" i="5" s="1"/>
  <c r="D100" i="4"/>
  <c r="L100" i="4"/>
  <c r="F101" i="4"/>
  <c r="N101" i="4"/>
  <c r="W101" i="4"/>
  <c r="AN101" i="5" s="1"/>
  <c r="F105" i="4"/>
  <c r="N105" i="4"/>
  <c r="W105" i="4"/>
  <c r="AN105" i="5" s="1"/>
  <c r="F108" i="4"/>
  <c r="O108" i="4"/>
  <c r="V116" i="4"/>
  <c r="AM116" i="5" s="1"/>
  <c r="M116" i="4"/>
  <c r="E116" i="4"/>
  <c r="J116" i="4"/>
  <c r="S116" i="4"/>
  <c r="F117" i="4"/>
  <c r="P117" i="4"/>
  <c r="G120" i="4"/>
  <c r="Q120" i="4"/>
  <c r="F121" i="4"/>
  <c r="Q121" i="4"/>
  <c r="V133" i="4"/>
  <c r="AM133" i="5" s="1"/>
  <c r="M133" i="4"/>
  <c r="E133" i="4"/>
  <c r="S133" i="4"/>
  <c r="K133" i="4"/>
  <c r="C133" i="4"/>
  <c r="O133" i="4"/>
  <c r="G133" i="4"/>
  <c r="N133" i="4"/>
  <c r="I45" i="4"/>
  <c r="Q45" i="4"/>
  <c r="I49" i="4"/>
  <c r="J41" i="4"/>
  <c r="R45" i="4"/>
  <c r="R49" i="4"/>
  <c r="B65" i="4"/>
  <c r="J65" i="4"/>
  <c r="R65" i="4"/>
  <c r="B77" i="4"/>
  <c r="I48" i="4"/>
  <c r="Q48" i="4"/>
  <c r="C49" i="4"/>
  <c r="K49" i="4"/>
  <c r="S49" i="4"/>
  <c r="I52" i="4"/>
  <c r="K53" i="4"/>
  <c r="K61" i="4"/>
  <c r="C40" i="4"/>
  <c r="K40" i="4"/>
  <c r="S40" i="4"/>
  <c r="E41" i="4"/>
  <c r="M41" i="4"/>
  <c r="V41" i="4"/>
  <c r="AM41" i="5" s="1"/>
  <c r="I51" i="4"/>
  <c r="Q51" i="4"/>
  <c r="C52" i="4"/>
  <c r="K52" i="4"/>
  <c r="S52" i="4"/>
  <c r="E53" i="4"/>
  <c r="M53" i="4"/>
  <c r="V53" i="4"/>
  <c r="AM53" i="5" s="1"/>
  <c r="I71" i="4"/>
  <c r="C72" i="4"/>
  <c r="V73" i="4"/>
  <c r="AM73" i="5" s="1"/>
  <c r="D40" i="4"/>
  <c r="L40" i="4"/>
  <c r="F41" i="4"/>
  <c r="N41" i="4"/>
  <c r="W41" i="4"/>
  <c r="AN41" i="5" s="1"/>
  <c r="J47" i="4"/>
  <c r="R47" i="4"/>
  <c r="D48" i="4"/>
  <c r="L48" i="4"/>
  <c r="F49" i="4"/>
  <c r="N49" i="4"/>
  <c r="W49" i="4"/>
  <c r="AN49" i="5" s="1"/>
  <c r="B55" i="4"/>
  <c r="J55" i="4"/>
  <c r="R55" i="4"/>
  <c r="D56" i="4"/>
  <c r="L56" i="4"/>
  <c r="F57" i="4"/>
  <c r="N57" i="4"/>
  <c r="W57" i="4"/>
  <c r="AN57" i="5" s="1"/>
  <c r="F69" i="4"/>
  <c r="N69" i="4"/>
  <c r="W69" i="4"/>
  <c r="AN69" i="5" s="1"/>
  <c r="N73" i="4"/>
  <c r="E40" i="4"/>
  <c r="M40" i="4"/>
  <c r="V40" i="4"/>
  <c r="AM40" i="5" s="1"/>
  <c r="G41" i="4"/>
  <c r="O41" i="4"/>
  <c r="Q46" i="4"/>
  <c r="K47" i="4"/>
  <c r="S47" i="4"/>
  <c r="M48" i="4"/>
  <c r="V48" i="4"/>
  <c r="AM48" i="5" s="1"/>
  <c r="G49" i="4"/>
  <c r="I50" i="4"/>
  <c r="Q50" i="4"/>
  <c r="C51" i="4"/>
  <c r="K51" i="4"/>
  <c r="S51" i="4"/>
  <c r="E52" i="4"/>
  <c r="M52" i="4"/>
  <c r="V52" i="4"/>
  <c r="AM52" i="5" s="1"/>
  <c r="G53" i="4"/>
  <c r="O53" i="4"/>
  <c r="I54" i="4"/>
  <c r="Q54" i="4"/>
  <c r="C55" i="4"/>
  <c r="K55" i="4"/>
  <c r="S55" i="4"/>
  <c r="E56" i="4"/>
  <c r="M56" i="4"/>
  <c r="V56" i="4"/>
  <c r="AM56" i="5" s="1"/>
  <c r="G57" i="4"/>
  <c r="O57" i="4"/>
  <c r="I58" i="4"/>
  <c r="Q58" i="4"/>
  <c r="C59" i="4"/>
  <c r="K59" i="4"/>
  <c r="S59" i="4"/>
  <c r="E60" i="4"/>
  <c r="M60" i="4"/>
  <c r="V60" i="4"/>
  <c r="AM60" i="5" s="1"/>
  <c r="G61" i="4"/>
  <c r="O61" i="4"/>
  <c r="I62" i="4"/>
  <c r="Q62" i="4"/>
  <c r="C63" i="4"/>
  <c r="K63" i="4"/>
  <c r="S63" i="4"/>
  <c r="E64" i="4"/>
  <c r="M64" i="4"/>
  <c r="V64" i="4"/>
  <c r="AM64" i="5" s="1"/>
  <c r="G65" i="4"/>
  <c r="O65" i="4"/>
  <c r="I66" i="4"/>
  <c r="Q66" i="4"/>
  <c r="C67" i="4"/>
  <c r="K67" i="4"/>
  <c r="S67" i="4"/>
  <c r="E68" i="4"/>
  <c r="M68" i="4"/>
  <c r="V68" i="4"/>
  <c r="AM68" i="5" s="1"/>
  <c r="G69" i="4"/>
  <c r="O69" i="4"/>
  <c r="I70" i="4"/>
  <c r="Q70" i="4"/>
  <c r="C71" i="4"/>
  <c r="K71" i="4"/>
  <c r="S71" i="4"/>
  <c r="E72" i="4"/>
  <c r="M72" i="4"/>
  <c r="V72" i="4"/>
  <c r="AM72" i="5" s="1"/>
  <c r="G73" i="4"/>
  <c r="O73" i="4"/>
  <c r="I74" i="4"/>
  <c r="C75" i="4"/>
  <c r="K75" i="4"/>
  <c r="S75" i="4"/>
  <c r="E76" i="4"/>
  <c r="M76" i="4"/>
  <c r="V76" i="4"/>
  <c r="AM76" i="5" s="1"/>
  <c r="G77" i="4"/>
  <c r="O77" i="4"/>
  <c r="I78" i="4"/>
  <c r="C79" i="4"/>
  <c r="K79" i="4"/>
  <c r="S79" i="4"/>
  <c r="E80" i="4"/>
  <c r="M80" i="4"/>
  <c r="V80" i="4"/>
  <c r="AM80" i="5" s="1"/>
  <c r="G81" i="4"/>
  <c r="O81" i="4"/>
  <c r="I82" i="4"/>
  <c r="C83" i="4"/>
  <c r="K83" i="4"/>
  <c r="S83" i="4"/>
  <c r="E84" i="4"/>
  <c r="M84" i="4"/>
  <c r="V84" i="4"/>
  <c r="AM84" i="5" s="1"/>
  <c r="G85" i="4"/>
  <c r="O85" i="4"/>
  <c r="I86" i="4"/>
  <c r="C87" i="4"/>
  <c r="K87" i="4"/>
  <c r="S87" i="4"/>
  <c r="E88" i="4"/>
  <c r="M88" i="4"/>
  <c r="V88" i="4"/>
  <c r="AM88" i="5" s="1"/>
  <c r="G89" i="4"/>
  <c r="O89" i="4"/>
  <c r="I90" i="4"/>
  <c r="C91" i="4"/>
  <c r="K91" i="4"/>
  <c r="S91" i="4"/>
  <c r="E92" i="4"/>
  <c r="M92" i="4"/>
  <c r="V92" i="4"/>
  <c r="AM92" i="5" s="1"/>
  <c r="G93" i="4"/>
  <c r="O93" i="4"/>
  <c r="I94" i="4"/>
  <c r="C95" i="4"/>
  <c r="K95" i="4"/>
  <c r="S95" i="4"/>
  <c r="E96" i="4"/>
  <c r="M96" i="4"/>
  <c r="V96" i="4"/>
  <c r="AM96" i="5" s="1"/>
  <c r="G97" i="4"/>
  <c r="O97" i="4"/>
  <c r="I98" i="4"/>
  <c r="C99" i="4"/>
  <c r="K99" i="4"/>
  <c r="S99" i="4"/>
  <c r="E100" i="4"/>
  <c r="M100" i="4"/>
  <c r="V100" i="4"/>
  <c r="AM100" i="5" s="1"/>
  <c r="G101" i="4"/>
  <c r="O101" i="4"/>
  <c r="I102" i="4"/>
  <c r="C103" i="4"/>
  <c r="K103" i="4"/>
  <c r="S103" i="4"/>
  <c r="E104" i="4"/>
  <c r="M104" i="4"/>
  <c r="V104" i="4"/>
  <c r="AM104" i="5" s="1"/>
  <c r="G105" i="4"/>
  <c r="O105" i="4"/>
  <c r="I106" i="4"/>
  <c r="C107" i="4"/>
  <c r="K107" i="4"/>
  <c r="G108" i="4"/>
  <c r="C109" i="4"/>
  <c r="L109" i="4"/>
  <c r="V109" i="4"/>
  <c r="AM109" i="5" s="1"/>
  <c r="D111" i="4"/>
  <c r="M111" i="4"/>
  <c r="W111" i="4"/>
  <c r="AN111" i="5" s="1"/>
  <c r="I112" i="4"/>
  <c r="E113" i="4"/>
  <c r="N113" i="4"/>
  <c r="F115" i="4"/>
  <c r="O115" i="4"/>
  <c r="B116" i="4"/>
  <c r="K116" i="4"/>
  <c r="H117" i="4"/>
  <c r="Q117" i="4"/>
  <c r="H120" i="4"/>
  <c r="R120" i="4"/>
  <c r="H121" i="4"/>
  <c r="R121" i="4"/>
  <c r="J124" i="4"/>
  <c r="F129" i="4"/>
  <c r="R129" i="4"/>
  <c r="B133" i="4"/>
  <c r="P133" i="4"/>
  <c r="B53" i="4"/>
  <c r="J53" i="4"/>
  <c r="V108" i="4"/>
  <c r="AM108" i="5" s="1"/>
  <c r="M108" i="4"/>
  <c r="E108" i="4"/>
  <c r="S108" i="4"/>
  <c r="L120" i="4"/>
  <c r="I56" i="4"/>
  <c r="Q56" i="4"/>
  <c r="C57" i="4"/>
  <c r="K57" i="4"/>
  <c r="S57" i="4"/>
  <c r="S61" i="4"/>
  <c r="I55" i="4"/>
  <c r="Q55" i="4"/>
  <c r="C56" i="4"/>
  <c r="K56" i="4"/>
  <c r="S56" i="4"/>
  <c r="E57" i="4"/>
  <c r="M57" i="4"/>
  <c r="V57" i="4"/>
  <c r="AM57" i="5" s="1"/>
  <c r="I67" i="4"/>
  <c r="Q67" i="4"/>
  <c r="C68" i="4"/>
  <c r="K68" i="4"/>
  <c r="S68" i="4"/>
  <c r="E69" i="4"/>
  <c r="M69" i="4"/>
  <c r="V69" i="4"/>
  <c r="AM69" i="5" s="1"/>
  <c r="E73" i="4"/>
  <c r="B43" i="4"/>
  <c r="J43" i="4"/>
  <c r="R43" i="4"/>
  <c r="D44" i="4"/>
  <c r="L44" i="4"/>
  <c r="F45" i="4"/>
  <c r="N45" i="4"/>
  <c r="W45" i="4"/>
  <c r="AN45" i="5" s="1"/>
  <c r="B51" i="4"/>
  <c r="J51" i="4"/>
  <c r="R51" i="4"/>
  <c r="D52" i="4"/>
  <c r="L52" i="4"/>
  <c r="F53" i="4"/>
  <c r="N53" i="4"/>
  <c r="W53" i="4"/>
  <c r="AN53" i="5" s="1"/>
  <c r="B63" i="4"/>
  <c r="J63" i="4"/>
  <c r="R63" i="4"/>
  <c r="D64" i="4"/>
  <c r="L64" i="4"/>
  <c r="F65" i="4"/>
  <c r="N65" i="4"/>
  <c r="W65" i="4"/>
  <c r="AN65" i="5" s="1"/>
  <c r="W73" i="4"/>
  <c r="AN73" i="5" s="1"/>
  <c r="I42" i="4"/>
  <c r="Q42" i="4"/>
  <c r="C43" i="4"/>
  <c r="K43" i="4"/>
  <c r="S43" i="4"/>
  <c r="E44" i="4"/>
  <c r="M44" i="4"/>
  <c r="V44" i="4"/>
  <c r="AM44" i="5" s="1"/>
  <c r="G45" i="4"/>
  <c r="O45" i="4"/>
  <c r="I46" i="4"/>
  <c r="C47" i="4"/>
  <c r="E48" i="4"/>
  <c r="O49" i="4"/>
  <c r="F40" i="4"/>
  <c r="N40" i="4"/>
  <c r="H41" i="4"/>
  <c r="B42" i="4"/>
  <c r="J42" i="4"/>
  <c r="D43" i="4"/>
  <c r="F44" i="4"/>
  <c r="N44" i="4"/>
  <c r="H45" i="4"/>
  <c r="B46" i="4"/>
  <c r="J46" i="4"/>
  <c r="D47" i="4"/>
  <c r="F48" i="4"/>
  <c r="N48" i="4"/>
  <c r="H49" i="4"/>
  <c r="B50" i="4"/>
  <c r="J50" i="4"/>
  <c r="D51" i="4"/>
  <c r="F52" i="4"/>
  <c r="N52" i="4"/>
  <c r="H53" i="4"/>
  <c r="B54" i="4"/>
  <c r="J54" i="4"/>
  <c r="D55" i="4"/>
  <c r="F56" i="4"/>
  <c r="N56" i="4"/>
  <c r="H57" i="4"/>
  <c r="B58" i="4"/>
  <c r="J58" i="4"/>
  <c r="D59" i="4"/>
  <c r="F60" i="4"/>
  <c r="N60" i="4"/>
  <c r="H61" i="4"/>
  <c r="B62" i="4"/>
  <c r="J62" i="4"/>
  <c r="D63" i="4"/>
  <c r="F64" i="4"/>
  <c r="N64" i="4"/>
  <c r="H65" i="4"/>
  <c r="B66" i="4"/>
  <c r="J66" i="4"/>
  <c r="D67" i="4"/>
  <c r="F68" i="4"/>
  <c r="N68" i="4"/>
  <c r="H69" i="4"/>
  <c r="B70" i="4"/>
  <c r="J70" i="4"/>
  <c r="D71" i="4"/>
  <c r="F72" i="4"/>
  <c r="N72" i="4"/>
  <c r="H73" i="4"/>
  <c r="D75" i="4"/>
  <c r="F76" i="4"/>
  <c r="N76" i="4"/>
  <c r="H77" i="4"/>
  <c r="D79" i="4"/>
  <c r="F80" i="4"/>
  <c r="N80" i="4"/>
  <c r="H81" i="4"/>
  <c r="D83" i="4"/>
  <c r="F84" i="4"/>
  <c r="N84" i="4"/>
  <c r="H85" i="4"/>
  <c r="D87" i="4"/>
  <c r="F88" i="4"/>
  <c r="N88" i="4"/>
  <c r="H89" i="4"/>
  <c r="D91" i="4"/>
  <c r="F92" i="4"/>
  <c r="N92" i="4"/>
  <c r="H93" i="4"/>
  <c r="D95" i="4"/>
  <c r="F96" i="4"/>
  <c r="N96" i="4"/>
  <c r="H97" i="4"/>
  <c r="D99" i="4"/>
  <c r="F100" i="4"/>
  <c r="N100" i="4"/>
  <c r="H101" i="4"/>
  <c r="D103" i="4"/>
  <c r="F104" i="4"/>
  <c r="N104" i="4"/>
  <c r="H105" i="4"/>
  <c r="D107" i="4"/>
  <c r="L107" i="4"/>
  <c r="V107" i="4"/>
  <c r="AM107" i="5" s="1"/>
  <c r="H108" i="4"/>
  <c r="Q108" i="4"/>
  <c r="D109" i="4"/>
  <c r="M109" i="4"/>
  <c r="W109" i="4"/>
  <c r="AN109" i="5" s="1"/>
  <c r="E111" i="4"/>
  <c r="N111" i="4"/>
  <c r="V112" i="4"/>
  <c r="AM112" i="5" s="1"/>
  <c r="M112" i="4"/>
  <c r="E112" i="4"/>
  <c r="J112" i="4"/>
  <c r="S112" i="4"/>
  <c r="F113" i="4"/>
  <c r="P113" i="4"/>
  <c r="G115" i="4"/>
  <c r="P115" i="4"/>
  <c r="C116" i="4"/>
  <c r="L116" i="4"/>
  <c r="W116" i="4"/>
  <c r="AN116" i="5" s="1"/>
  <c r="I117" i="4"/>
  <c r="R117" i="4"/>
  <c r="I120" i="4"/>
  <c r="I121" i="4"/>
  <c r="S121" i="4"/>
  <c r="S124" i="4"/>
  <c r="K124" i="4"/>
  <c r="C124" i="4"/>
  <c r="V124" i="4"/>
  <c r="AM124" i="5" s="1"/>
  <c r="M124" i="4"/>
  <c r="E124" i="4"/>
  <c r="L124" i="4"/>
  <c r="V125" i="4"/>
  <c r="AM125" i="5" s="1"/>
  <c r="M125" i="4"/>
  <c r="E125" i="4"/>
  <c r="O125" i="4"/>
  <c r="G125" i="4"/>
  <c r="K125" i="4"/>
  <c r="W125" i="4"/>
  <c r="AN125" i="5" s="1"/>
  <c r="H129" i="4"/>
  <c r="D133" i="4"/>
  <c r="Q133" i="4"/>
  <c r="N2" i="6"/>
  <c r="H2" i="6" s="1"/>
  <c r="N6" i="6"/>
  <c r="H6" i="6" s="1"/>
  <c r="I110" i="4"/>
  <c r="I114" i="4"/>
  <c r="I118" i="4"/>
  <c r="C119" i="4"/>
  <c r="K119" i="4"/>
  <c r="S119" i="4"/>
  <c r="I122" i="4"/>
  <c r="C123" i="4"/>
  <c r="K123" i="4"/>
  <c r="S123" i="4"/>
  <c r="I126" i="4"/>
  <c r="C127" i="4"/>
  <c r="K127" i="4"/>
  <c r="S127" i="4"/>
  <c r="E128" i="4"/>
  <c r="M128" i="4"/>
  <c r="V128" i="4"/>
  <c r="AM128" i="5" s="1"/>
  <c r="A130" i="4"/>
  <c r="C131" i="4"/>
  <c r="K131" i="4"/>
  <c r="S131" i="4"/>
  <c r="C135" i="4"/>
  <c r="K135" i="4"/>
  <c r="S135" i="4"/>
  <c r="G137" i="4"/>
  <c r="O137" i="4"/>
  <c r="C139" i="4"/>
  <c r="K139" i="4"/>
  <c r="S139" i="4"/>
  <c r="G141" i="4"/>
  <c r="O141" i="4"/>
  <c r="C143" i="4"/>
  <c r="K143" i="4"/>
  <c r="S143" i="4"/>
  <c r="G145" i="4"/>
  <c r="O145" i="4"/>
  <c r="G2" i="6"/>
  <c r="N5" i="6"/>
  <c r="H5" i="6" s="1"/>
  <c r="G6" i="6"/>
  <c r="H6" i="9"/>
  <c r="H40" i="9"/>
  <c r="E40" i="9" s="1"/>
  <c r="B40" i="9"/>
  <c r="I137" i="4"/>
  <c r="Q137" i="4"/>
  <c r="I141" i="4"/>
  <c r="Q141" i="4"/>
  <c r="I145" i="4"/>
  <c r="Q145" i="4"/>
  <c r="H32" i="9"/>
  <c r="E32" i="9" s="1"/>
  <c r="B32" i="9"/>
  <c r="H56" i="9"/>
  <c r="E56" i="9" s="1"/>
  <c r="B56" i="9"/>
  <c r="L143" i="9"/>
  <c r="L73" i="9"/>
  <c r="H3" i="9"/>
  <c r="E3" i="9" s="1"/>
  <c r="H16" i="9"/>
  <c r="I128" i="4"/>
  <c r="Q128" i="4"/>
  <c r="C137" i="4"/>
  <c r="K137" i="4"/>
  <c r="S137" i="4"/>
  <c r="C141" i="4"/>
  <c r="K141" i="4"/>
  <c r="S141" i="4"/>
  <c r="C145" i="4"/>
  <c r="K145" i="4"/>
  <c r="S145" i="4"/>
  <c r="G4" i="6"/>
  <c r="G8" i="6"/>
  <c r="B6" i="9"/>
  <c r="H24" i="9"/>
  <c r="E24" i="9" s="1"/>
  <c r="B24" i="9"/>
  <c r="L141" i="9"/>
  <c r="L71" i="9"/>
  <c r="B1" i="9"/>
  <c r="B4" i="9"/>
  <c r="I119" i="4"/>
  <c r="I123" i="4"/>
  <c r="I127" i="4"/>
  <c r="C128" i="4"/>
  <c r="K128" i="4"/>
  <c r="I131" i="4"/>
  <c r="I135" i="4"/>
  <c r="E137" i="4"/>
  <c r="M137" i="4"/>
  <c r="I139" i="4"/>
  <c r="E141" i="4"/>
  <c r="M141" i="4"/>
  <c r="I143" i="4"/>
  <c r="E145" i="4"/>
  <c r="M145" i="4"/>
  <c r="H8" i="9"/>
  <c r="E8" i="9" s="1"/>
  <c r="B12" i="9"/>
  <c r="H48" i="9"/>
  <c r="B48" i="9"/>
  <c r="B138" i="9"/>
  <c r="M138" i="9" a="1"/>
  <c r="M138" i="9" s="1"/>
  <c r="Q138" i="9"/>
  <c r="P138" i="9" s="1"/>
  <c r="J138" i="9"/>
  <c r="I138" i="9" a="1"/>
  <c r="I138" i="9" s="1"/>
  <c r="H138" i="9"/>
  <c r="E138" i="9" s="1"/>
  <c r="D138" i="9" a="1"/>
  <c r="D138" i="9" s="1"/>
  <c r="F138" i="9" s="1"/>
  <c r="G138" i="9" s="1"/>
  <c r="N138" i="9"/>
  <c r="B5" i="9"/>
  <c r="B17" i="9"/>
  <c r="B18" i="9"/>
  <c r="H17" i="9"/>
  <c r="E17" i="9" s="1"/>
  <c r="L202" i="9"/>
  <c r="L132" i="9"/>
  <c r="N62" i="9"/>
  <c r="H62" i="9"/>
  <c r="E62" i="9" s="1"/>
  <c r="J62" i="9"/>
  <c r="L203" i="9"/>
  <c r="B63" i="9"/>
  <c r="L133" i="9"/>
  <c r="J63" i="9"/>
  <c r="L208" i="9"/>
  <c r="L138" i="9"/>
  <c r="Q68" i="9"/>
  <c r="P68" i="9" s="1"/>
  <c r="J68" i="9"/>
  <c r="B68" i="9"/>
  <c r="M68" i="9" a="1"/>
  <c r="M68" i="9" s="1"/>
  <c r="D73" i="9" a="1"/>
  <c r="D73" i="9" s="1"/>
  <c r="F73" i="9" s="1"/>
  <c r="G73" i="9" s="1"/>
  <c r="Q73" i="9"/>
  <c r="P73" i="9" s="1"/>
  <c r="J73" i="9"/>
  <c r="B73" i="9"/>
  <c r="M73" i="9" a="1"/>
  <c r="M73" i="9" s="1"/>
  <c r="N75" i="9"/>
  <c r="H75" i="9"/>
  <c r="E75" i="9" s="1"/>
  <c r="M75" i="9" a="1"/>
  <c r="M75" i="9" s="1"/>
  <c r="Q75" i="9"/>
  <c r="P75" i="9" s="1"/>
  <c r="J75" i="9"/>
  <c r="D111" i="9" a="1"/>
  <c r="D111" i="9" s="1"/>
  <c r="F111" i="9" s="1"/>
  <c r="G111" i="9" s="1"/>
  <c r="Q111" i="9"/>
  <c r="P111" i="9" s="1"/>
  <c r="J111" i="9"/>
  <c r="N111" i="9"/>
  <c r="H111" i="9"/>
  <c r="E111" i="9" s="1"/>
  <c r="M111" i="9" a="1"/>
  <c r="M111" i="9" s="1"/>
  <c r="I111" i="9" a="1"/>
  <c r="I111" i="9" s="1"/>
  <c r="B111" i="9"/>
  <c r="M52" i="9" a="1"/>
  <c r="M52" i="9" s="1"/>
  <c r="D62" i="9" a="1"/>
  <c r="D62" i="9" s="1"/>
  <c r="F62" i="9" s="1"/>
  <c r="G62" i="9" s="1"/>
  <c r="L62" i="9"/>
  <c r="D63" i="9" a="1"/>
  <c r="D63" i="9" s="1"/>
  <c r="F63" i="9" s="1"/>
  <c r="G63" i="9" s="1"/>
  <c r="L63" i="9"/>
  <c r="H66" i="9"/>
  <c r="E66" i="9" s="1"/>
  <c r="L72" i="9"/>
  <c r="D79" i="9" a="1"/>
  <c r="D79" i="9" s="1"/>
  <c r="F79" i="9" s="1"/>
  <c r="G79" i="9" s="1"/>
  <c r="Q79" i="9"/>
  <c r="P79" i="9" s="1"/>
  <c r="J79" i="9"/>
  <c r="B79" i="9"/>
  <c r="M79" i="9" a="1"/>
  <c r="M79" i="9" s="1"/>
  <c r="Q84" i="9"/>
  <c r="P84" i="9" s="1"/>
  <c r="J84" i="9"/>
  <c r="N84" i="9"/>
  <c r="M84" i="9" a="1"/>
  <c r="M84" i="9" s="1"/>
  <c r="D84" i="9" a="1"/>
  <c r="D84" i="9" s="1"/>
  <c r="F84" i="9" s="1"/>
  <c r="G84" i="9" s="1"/>
  <c r="I84" i="9" a="1"/>
  <c r="I84" i="9" s="1"/>
  <c r="B84" i="9"/>
  <c r="N89" i="9"/>
  <c r="H89" i="9"/>
  <c r="E89" i="9" s="1"/>
  <c r="J89" i="9"/>
  <c r="B89" i="9"/>
  <c r="I89" i="9" a="1"/>
  <c r="I89" i="9" s="1"/>
  <c r="Q89" i="9"/>
  <c r="P89" i="9" s="1"/>
  <c r="M89" i="9" a="1"/>
  <c r="M89" i="9" s="1"/>
  <c r="D89" i="9" a="1"/>
  <c r="D89" i="9" s="1"/>
  <c r="F89" i="9" s="1"/>
  <c r="G89" i="9" s="1"/>
  <c r="M104" i="9" a="1"/>
  <c r="M104" i="9" s="1"/>
  <c r="D104" i="9" a="1"/>
  <c r="D104" i="9" s="1"/>
  <c r="F104" i="9" s="1"/>
  <c r="G104" i="9" s="1"/>
  <c r="B104" i="9"/>
  <c r="J104" i="9"/>
  <c r="I104" i="9" a="1"/>
  <c r="I104" i="9" s="1"/>
  <c r="H104" i="9"/>
  <c r="E104" i="9" s="1"/>
  <c r="Q104" i="9"/>
  <c r="P104" i="9" s="1"/>
  <c r="N104" i="9"/>
  <c r="L210" i="9"/>
  <c r="L140" i="9"/>
  <c r="N70" i="9"/>
  <c r="H70" i="9"/>
  <c r="E70" i="9" s="1"/>
  <c r="M70" i="9" a="1"/>
  <c r="M70" i="9" s="1"/>
  <c r="L70" i="9"/>
  <c r="Q70" i="9"/>
  <c r="P70" i="9" s="1"/>
  <c r="J70" i="9"/>
  <c r="H73" i="9"/>
  <c r="E73" i="9" s="1"/>
  <c r="B76" i="9"/>
  <c r="N76" i="9"/>
  <c r="H76" i="9"/>
  <c r="E76" i="9" s="1"/>
  <c r="D76" i="9" a="1"/>
  <c r="D76" i="9" s="1"/>
  <c r="F76" i="9" s="1"/>
  <c r="G76" i="9" s="1"/>
  <c r="Q81" i="9"/>
  <c r="P81" i="9" s="1"/>
  <c r="J81" i="9"/>
  <c r="B81" i="9"/>
  <c r="B106" i="9"/>
  <c r="M106" i="9" a="1"/>
  <c r="M106" i="9" s="1"/>
  <c r="Q106" i="9"/>
  <c r="P106" i="9" s="1"/>
  <c r="J106" i="9"/>
  <c r="I106" i="9" a="1"/>
  <c r="I106" i="9" s="1"/>
  <c r="H106" i="9"/>
  <c r="E106" i="9" s="1"/>
  <c r="D106" i="9" a="1"/>
  <c r="D106" i="9" s="1"/>
  <c r="F106" i="9" s="1"/>
  <c r="G106" i="9" s="1"/>
  <c r="N106" i="9"/>
  <c r="B122" i="9"/>
  <c r="M122" i="9" a="1"/>
  <c r="M122" i="9" s="1"/>
  <c r="Q122" i="9"/>
  <c r="P122" i="9" s="1"/>
  <c r="J122" i="9"/>
  <c r="I122" i="9" a="1"/>
  <c r="I122" i="9" s="1"/>
  <c r="H122" i="9"/>
  <c r="E122" i="9" s="1"/>
  <c r="D122" i="9" a="1"/>
  <c r="D122" i="9" s="1"/>
  <c r="F122" i="9" s="1"/>
  <c r="G122" i="9" s="1"/>
  <c r="N122" i="9"/>
  <c r="M136" i="9" a="1"/>
  <c r="M136" i="9" s="1"/>
  <c r="D136" i="9" a="1"/>
  <c r="D136" i="9" s="1"/>
  <c r="F136" i="9" s="1"/>
  <c r="G136" i="9" s="1"/>
  <c r="B136" i="9"/>
  <c r="J136" i="9"/>
  <c r="I136" i="9" a="1"/>
  <c r="I136" i="9" s="1"/>
  <c r="H136" i="9"/>
  <c r="E136" i="9" s="1"/>
  <c r="Q136" i="9"/>
  <c r="P136" i="9" s="1"/>
  <c r="N136" i="9"/>
  <c r="H11" i="9"/>
  <c r="E11" i="9" s="1"/>
  <c r="H19" i="9"/>
  <c r="H27" i="9"/>
  <c r="E27" i="9" s="1"/>
  <c r="H35" i="9"/>
  <c r="E35" i="9" s="1"/>
  <c r="H43" i="9"/>
  <c r="E43" i="9" s="1"/>
  <c r="H51" i="9"/>
  <c r="E51" i="9" s="1"/>
  <c r="H59" i="9"/>
  <c r="E59" i="9" s="1"/>
  <c r="M62" i="9" a="1"/>
  <c r="M62" i="9" s="1"/>
  <c r="M63" i="9" a="1"/>
  <c r="M63" i="9" s="1"/>
  <c r="H68" i="9"/>
  <c r="E68" i="9" s="1"/>
  <c r="D70" i="9" a="1"/>
  <c r="D70" i="9" s="1"/>
  <c r="F70" i="9" s="1"/>
  <c r="G70" i="9" s="1"/>
  <c r="I73" i="9" a="1"/>
  <c r="I73" i="9" s="1"/>
  <c r="I75" i="9" a="1"/>
  <c r="I75" i="9" s="1"/>
  <c r="Q76" i="9"/>
  <c r="P76" i="9" s="1"/>
  <c r="D81" i="9" a="1"/>
  <c r="D81" i="9" s="1"/>
  <c r="F81" i="9" s="1"/>
  <c r="G81" i="9" s="1"/>
  <c r="L192" i="9"/>
  <c r="L122" i="9"/>
  <c r="I52" i="9" a="1"/>
  <c r="I52" i="9" s="1"/>
  <c r="H60" i="9"/>
  <c r="E60" i="9" s="1"/>
  <c r="H61" i="9"/>
  <c r="E61" i="9" s="1"/>
  <c r="N63" i="9"/>
  <c r="L205" i="9"/>
  <c r="Q65" i="9"/>
  <c r="P65" i="9" s="1"/>
  <c r="J65" i="9"/>
  <c r="L135" i="9"/>
  <c r="L65" i="9"/>
  <c r="I68" i="9" a="1"/>
  <c r="I68" i="9" s="1"/>
  <c r="M120" i="9" a="1"/>
  <c r="M120" i="9" s="1"/>
  <c r="D120" i="9" a="1"/>
  <c r="D120" i="9" s="1"/>
  <c r="F120" i="9" s="1"/>
  <c r="G120" i="9" s="1"/>
  <c r="B120" i="9"/>
  <c r="J120" i="9"/>
  <c r="I120" i="9" a="1"/>
  <c r="I120" i="9" s="1"/>
  <c r="H120" i="9"/>
  <c r="E120" i="9" s="1"/>
  <c r="Q120" i="9"/>
  <c r="P120" i="9" s="1"/>
  <c r="N120" i="9"/>
  <c r="H25" i="9"/>
  <c r="E25" i="9" s="1"/>
  <c r="H33" i="9"/>
  <c r="E33" i="9" s="1"/>
  <c r="H41" i="9"/>
  <c r="E41" i="9" s="1"/>
  <c r="H49" i="9"/>
  <c r="E49" i="9" s="1"/>
  <c r="J52" i="9"/>
  <c r="Q52" i="9"/>
  <c r="P52" i="9" s="1"/>
  <c r="H57" i="9"/>
  <c r="E57" i="9" s="1"/>
  <c r="H63" i="9"/>
  <c r="E63" i="9" s="1"/>
  <c r="D65" i="9" a="1"/>
  <c r="D65" i="9" s="1"/>
  <c r="F65" i="9" s="1"/>
  <c r="G65" i="9" s="1"/>
  <c r="M65" i="9" a="1"/>
  <c r="M65" i="9" s="1"/>
  <c r="L206" i="9"/>
  <c r="L136" i="9"/>
  <c r="D66" i="9" a="1"/>
  <c r="D66" i="9" s="1"/>
  <c r="F66" i="9" s="1"/>
  <c r="G66" i="9" s="1"/>
  <c r="M66" i="9" a="1"/>
  <c r="M66" i="9" s="1"/>
  <c r="L66" i="9"/>
  <c r="H81" i="9"/>
  <c r="E81" i="9" s="1"/>
  <c r="L142" i="9"/>
  <c r="B25" i="9"/>
  <c r="B33" i="9"/>
  <c r="B41" i="9"/>
  <c r="B49" i="9"/>
  <c r="L190" i="9"/>
  <c r="L120" i="9"/>
  <c r="I50" i="9" a="1"/>
  <c r="I50" i="9" s="1"/>
  <c r="D52" i="9" a="1"/>
  <c r="D52" i="9" s="1"/>
  <c r="F52" i="9" s="1"/>
  <c r="G52" i="9" s="1"/>
  <c r="B57" i="9"/>
  <c r="B60" i="9"/>
  <c r="B61" i="9"/>
  <c r="B62" i="9"/>
  <c r="I62" i="9" a="1"/>
  <c r="I62" i="9" s="1"/>
  <c r="Q62" i="9"/>
  <c r="P62" i="9" s="1"/>
  <c r="I63" i="9" a="1"/>
  <c r="I63" i="9" s="1"/>
  <c r="Q63" i="9"/>
  <c r="P63" i="9" s="1"/>
  <c r="N65" i="9"/>
  <c r="L207" i="9"/>
  <c r="L137" i="9"/>
  <c r="L67" i="9"/>
  <c r="N67" i="9"/>
  <c r="H67" i="9"/>
  <c r="E67" i="9" s="1"/>
  <c r="L68" i="9"/>
  <c r="I70" i="9" a="1"/>
  <c r="I70" i="9" s="1"/>
  <c r="N73" i="9"/>
  <c r="B75" i="9"/>
  <c r="I76" i="9" a="1"/>
  <c r="I76" i="9" s="1"/>
  <c r="I81" i="9" a="1"/>
  <c r="I81" i="9" s="1"/>
  <c r="N83" i="9"/>
  <c r="H83" i="9"/>
  <c r="E83" i="9" s="1"/>
  <c r="M83" i="9" a="1"/>
  <c r="M83" i="9" s="1"/>
  <c r="J83" i="9"/>
  <c r="I169" i="9"/>
  <c r="B169" i="9"/>
  <c r="J169" i="9"/>
  <c r="H169" i="9"/>
  <c r="E169" i="9" s="1"/>
  <c r="Q169" i="9"/>
  <c r="P169" i="9" s="1"/>
  <c r="N169" i="9"/>
  <c r="M169" i="9" a="1"/>
  <c r="M169" i="9" s="1"/>
  <c r="D169" i="9" a="1"/>
  <c r="D169" i="9" s="1"/>
  <c r="F169" i="9" s="1"/>
  <c r="G169" i="9" s="1"/>
  <c r="I69" i="9" a="1"/>
  <c r="I69" i="9" s="1"/>
  <c r="H74" i="9"/>
  <c r="E74" i="9" s="1"/>
  <c r="N74" i="9"/>
  <c r="H80" i="9"/>
  <c r="E80" i="9" s="1"/>
  <c r="N80" i="9"/>
  <c r="I82" i="9" a="1"/>
  <c r="I82" i="9" s="1"/>
  <c r="H87" i="9"/>
  <c r="E87" i="9" s="1"/>
  <c r="Q94" i="9"/>
  <c r="P94" i="9" s="1"/>
  <c r="J94" i="9"/>
  <c r="M94" i="9" a="1"/>
  <c r="M94" i="9" s="1"/>
  <c r="N94" i="9"/>
  <c r="H96" i="9"/>
  <c r="E96" i="9" s="1"/>
  <c r="Q116" i="9"/>
  <c r="P116" i="9" s="1"/>
  <c r="J116" i="9"/>
  <c r="B116" i="9"/>
  <c r="N116" i="9"/>
  <c r="H116" i="9"/>
  <c r="E116" i="9" s="1"/>
  <c r="I144" i="9"/>
  <c r="B144" i="9"/>
  <c r="H144" i="9"/>
  <c r="E144" i="9" s="1"/>
  <c r="Q144" i="9"/>
  <c r="P144" i="9" s="1"/>
  <c r="H154" i="9"/>
  <c r="E154" i="9" s="1"/>
  <c r="N154" i="9"/>
  <c r="M154" i="9" a="1"/>
  <c r="M154" i="9" s="1"/>
  <c r="D154" i="9" a="1"/>
  <c r="D154" i="9" s="1"/>
  <c r="F154" i="9" s="1"/>
  <c r="G154" i="9" s="1"/>
  <c r="I154" i="9"/>
  <c r="B154" i="9"/>
  <c r="H72" i="9"/>
  <c r="E72" i="9" s="1"/>
  <c r="N72" i="9"/>
  <c r="H78" i="9"/>
  <c r="E78" i="9" s="1"/>
  <c r="N78" i="9"/>
  <c r="I87" i="9" a="1"/>
  <c r="I87" i="9" s="1"/>
  <c r="N90" i="9"/>
  <c r="D95" i="9" a="1"/>
  <c r="D95" i="9" s="1"/>
  <c r="F95" i="9" s="1"/>
  <c r="G95" i="9" s="1"/>
  <c r="N95" i="9"/>
  <c r="H95" i="9"/>
  <c r="E95" i="9" s="1"/>
  <c r="M95" i="9" a="1"/>
  <c r="M95" i="9" s="1"/>
  <c r="B98" i="9"/>
  <c r="M98" i="9" a="1"/>
  <c r="M98" i="9" s="1"/>
  <c r="Q98" i="9"/>
  <c r="P98" i="9" s="1"/>
  <c r="J98" i="9"/>
  <c r="I103" i="9" a="1"/>
  <c r="I103" i="9" s="1"/>
  <c r="I119" i="9" a="1"/>
  <c r="I119" i="9" s="1"/>
  <c r="D127" i="9" a="1"/>
  <c r="D127" i="9" s="1"/>
  <c r="F127" i="9" s="1"/>
  <c r="G127" i="9" s="1"/>
  <c r="Q127" i="9"/>
  <c r="P127" i="9" s="1"/>
  <c r="J127" i="9"/>
  <c r="N127" i="9"/>
  <c r="H127" i="9"/>
  <c r="E127" i="9" s="1"/>
  <c r="I135" i="9" a="1"/>
  <c r="I135" i="9" s="1"/>
  <c r="N142" i="9"/>
  <c r="D142" i="9" a="1"/>
  <c r="D142" i="9" s="1"/>
  <c r="F142" i="9" s="1"/>
  <c r="G142" i="9" s="1"/>
  <c r="I142" i="9"/>
  <c r="B142" i="9"/>
  <c r="Q142" i="9"/>
  <c r="P142" i="9" s="1"/>
  <c r="M148" i="9" a="1"/>
  <c r="M148" i="9" s="1"/>
  <c r="Q154" i="9"/>
  <c r="P154" i="9" s="1"/>
  <c r="Q86" i="9"/>
  <c r="P86" i="9" s="1"/>
  <c r="J86" i="9"/>
  <c r="Q100" i="9"/>
  <c r="P100" i="9" s="1"/>
  <c r="J100" i="9"/>
  <c r="B100" i="9"/>
  <c r="M100" i="9" a="1"/>
  <c r="M100" i="9" s="1"/>
  <c r="Q124" i="9"/>
  <c r="P124" i="9" s="1"/>
  <c r="J124" i="9"/>
  <c r="B124" i="9"/>
  <c r="N124" i="9"/>
  <c r="H124" i="9"/>
  <c r="E124" i="9" s="1"/>
  <c r="Q140" i="9"/>
  <c r="P140" i="9" s="1"/>
  <c r="J140" i="9"/>
  <c r="B140" i="9"/>
  <c r="N140" i="9"/>
  <c r="H140" i="9"/>
  <c r="E140" i="9" s="1"/>
  <c r="N148" i="9"/>
  <c r="H150" i="9"/>
  <c r="E150" i="9" s="1"/>
  <c r="N150" i="9"/>
  <c r="M150" i="9" a="1"/>
  <c r="M150" i="9" s="1"/>
  <c r="D150" i="9" a="1"/>
  <c r="D150" i="9" s="1"/>
  <c r="F150" i="9" s="1"/>
  <c r="G150" i="9" s="1"/>
  <c r="I150" i="9"/>
  <c r="B150" i="9"/>
  <c r="I72" i="9" a="1"/>
  <c r="I72" i="9" s="1"/>
  <c r="I78" i="9" a="1"/>
  <c r="I78" i="9" s="1"/>
  <c r="D86" i="9" a="1"/>
  <c r="D86" i="9" s="1"/>
  <c r="F86" i="9" s="1"/>
  <c r="G86" i="9" s="1"/>
  <c r="M86" i="9" a="1"/>
  <c r="M86" i="9" s="1"/>
  <c r="H90" i="9"/>
  <c r="E90" i="9" s="1"/>
  <c r="Q90" i="9"/>
  <c r="P90" i="9" s="1"/>
  <c r="M96" i="9" a="1"/>
  <c r="M96" i="9" s="1"/>
  <c r="B96" i="9"/>
  <c r="D100" i="9" a="1"/>
  <c r="D100" i="9" s="1"/>
  <c r="F100" i="9" s="1"/>
  <c r="G100" i="9" s="1"/>
  <c r="N100" i="9"/>
  <c r="M103" i="9" a="1"/>
  <c r="M103" i="9" s="1"/>
  <c r="M112" i="9" a="1"/>
  <c r="M112" i="9" s="1"/>
  <c r="D112" i="9" a="1"/>
  <c r="D112" i="9" s="1"/>
  <c r="F112" i="9" s="1"/>
  <c r="G112" i="9" s="1"/>
  <c r="B112" i="9"/>
  <c r="B114" i="9"/>
  <c r="M114" i="9" a="1"/>
  <c r="M114" i="9" s="1"/>
  <c r="Q114" i="9"/>
  <c r="P114" i="9" s="1"/>
  <c r="J114" i="9"/>
  <c r="I116" i="9" a="1"/>
  <c r="I116" i="9" s="1"/>
  <c r="M119" i="9" a="1"/>
  <c r="M119" i="9" s="1"/>
  <c r="D124" i="9" a="1"/>
  <c r="D124" i="9" s="1"/>
  <c r="F124" i="9" s="1"/>
  <c r="G124" i="9" s="1"/>
  <c r="M135" i="9" a="1"/>
  <c r="M135" i="9" s="1"/>
  <c r="L139" i="9"/>
  <c r="J144" i="9"/>
  <c r="H146" i="9"/>
  <c r="E146" i="9" s="1"/>
  <c r="N146" i="9"/>
  <c r="D146" i="9" a="1"/>
  <c r="D146" i="9" s="1"/>
  <c r="F146" i="9" s="1"/>
  <c r="G146" i="9" s="1"/>
  <c r="I146" i="9"/>
  <c r="B146" i="9"/>
  <c r="L204" i="9"/>
  <c r="L134" i="9"/>
  <c r="I64" i="9" a="1"/>
  <c r="I64" i="9" s="1"/>
  <c r="M69" i="9" a="1"/>
  <c r="M69" i="9" s="1"/>
  <c r="J72" i="9"/>
  <c r="J78" i="9"/>
  <c r="N86" i="9"/>
  <c r="M87" i="9" a="1"/>
  <c r="M87" i="9" s="1"/>
  <c r="Q92" i="9"/>
  <c r="P92" i="9" s="1"/>
  <c r="J92" i="9"/>
  <c r="B92" i="9"/>
  <c r="I94" i="9" a="1"/>
  <c r="I94" i="9" s="1"/>
  <c r="Q95" i="9"/>
  <c r="P95" i="9" s="1"/>
  <c r="N96" i="9"/>
  <c r="Q108" i="9"/>
  <c r="P108" i="9" s="1"/>
  <c r="J108" i="9"/>
  <c r="B108" i="9"/>
  <c r="N108" i="9"/>
  <c r="H108" i="9"/>
  <c r="E108" i="9" s="1"/>
  <c r="Q112" i="9"/>
  <c r="P112" i="9" s="1"/>
  <c r="D114" i="9" a="1"/>
  <c r="D114" i="9" s="1"/>
  <c r="F114" i="9" s="1"/>
  <c r="G114" i="9" s="1"/>
  <c r="M128" i="9" a="1"/>
  <c r="M128" i="9" s="1"/>
  <c r="D128" i="9" a="1"/>
  <c r="D128" i="9" s="1"/>
  <c r="F128" i="9" s="1"/>
  <c r="G128" i="9" s="1"/>
  <c r="B128" i="9"/>
  <c r="B130" i="9"/>
  <c r="M130" i="9" a="1"/>
  <c r="M130" i="9" s="1"/>
  <c r="Q130" i="9"/>
  <c r="P130" i="9" s="1"/>
  <c r="J130" i="9"/>
  <c r="H142" i="9"/>
  <c r="E142" i="9" s="1"/>
  <c r="I143" i="9"/>
  <c r="B143" i="9"/>
  <c r="N143" i="9"/>
  <c r="M143" i="9" a="1"/>
  <c r="M143" i="9" s="1"/>
  <c r="Q143" i="9"/>
  <c r="P143" i="9" s="1"/>
  <c r="J150" i="9"/>
  <c r="N194" i="9"/>
  <c r="M194" i="9" a="1"/>
  <c r="M194" i="9" s="1"/>
  <c r="D194" i="9" a="1"/>
  <c r="D194" i="9" s="1"/>
  <c r="F194" i="9" s="1"/>
  <c r="G194" i="9" s="1"/>
  <c r="H194" i="9"/>
  <c r="E194" i="9" s="1"/>
  <c r="Q194" i="9"/>
  <c r="P194" i="9" s="1"/>
  <c r="J194" i="9"/>
  <c r="I194" i="9"/>
  <c r="B194" i="9"/>
  <c r="D103" i="9" a="1"/>
  <c r="D103" i="9" s="1"/>
  <c r="F103" i="9" s="1"/>
  <c r="G103" i="9" s="1"/>
  <c r="Q103" i="9"/>
  <c r="P103" i="9" s="1"/>
  <c r="J103" i="9"/>
  <c r="N103" i="9"/>
  <c r="H103" i="9"/>
  <c r="E103" i="9" s="1"/>
  <c r="D119" i="9" a="1"/>
  <c r="D119" i="9" s="1"/>
  <c r="F119" i="9" s="1"/>
  <c r="G119" i="9" s="1"/>
  <c r="Q119" i="9"/>
  <c r="P119" i="9" s="1"/>
  <c r="J119" i="9"/>
  <c r="N119" i="9"/>
  <c r="H119" i="9"/>
  <c r="E119" i="9" s="1"/>
  <c r="D135" i="9" a="1"/>
  <c r="D135" i="9" s="1"/>
  <c r="F135" i="9" s="1"/>
  <c r="G135" i="9" s="1"/>
  <c r="Q135" i="9"/>
  <c r="P135" i="9" s="1"/>
  <c r="J135" i="9"/>
  <c r="N135" i="9"/>
  <c r="H135" i="9"/>
  <c r="E135" i="9" s="1"/>
  <c r="D148" i="9" a="1"/>
  <c r="D148" i="9" s="1"/>
  <c r="F148" i="9" s="1"/>
  <c r="G148" i="9" s="1"/>
  <c r="I148" i="9"/>
  <c r="B148" i="9"/>
  <c r="H148" i="9"/>
  <c r="E148" i="9" s="1"/>
  <c r="B90" i="9"/>
  <c r="M90" i="9" a="1"/>
  <c r="M90" i="9" s="1"/>
  <c r="I124" i="9" a="1"/>
  <c r="I124" i="9" s="1"/>
  <c r="Q132" i="9"/>
  <c r="P132" i="9" s="1"/>
  <c r="J132" i="9"/>
  <c r="B132" i="9"/>
  <c r="N132" i="9"/>
  <c r="H132" i="9"/>
  <c r="E132" i="9" s="1"/>
  <c r="I140" i="9" a="1"/>
  <c r="I140" i="9" s="1"/>
  <c r="N144" i="9"/>
  <c r="J146" i="9"/>
  <c r="Q150" i="9"/>
  <c r="P150" i="9" s="1"/>
  <c r="Q159" i="9"/>
  <c r="P159" i="9" s="1"/>
  <c r="I159" i="9"/>
  <c r="H159" i="9"/>
  <c r="E159" i="9" s="1"/>
  <c r="N159" i="9"/>
  <c r="M159" i="9" a="1"/>
  <c r="M159" i="9" s="1"/>
  <c r="D159" i="9" a="1"/>
  <c r="D159" i="9" s="1"/>
  <c r="F159" i="9" s="1"/>
  <c r="G159" i="9" s="1"/>
  <c r="J159" i="9"/>
  <c r="B159" i="9"/>
  <c r="I97" i="9" a="1"/>
  <c r="I97" i="9" s="1"/>
  <c r="M102" i="9" a="1"/>
  <c r="M102" i="9" s="1"/>
  <c r="I113" i="9" a="1"/>
  <c r="I113" i="9" s="1"/>
  <c r="M118" i="9" a="1"/>
  <c r="M118" i="9" s="1"/>
  <c r="I121" i="9" a="1"/>
  <c r="I121" i="9" s="1"/>
  <c r="M126" i="9" a="1"/>
  <c r="M126" i="9" s="1"/>
  <c r="I129" i="9" a="1"/>
  <c r="I129" i="9" s="1"/>
  <c r="M134" i="9" a="1"/>
  <c r="M134" i="9" s="1"/>
  <c r="I137" i="9" a="1"/>
  <c r="I137" i="9" s="1"/>
  <c r="N141" i="9"/>
  <c r="N145" i="9"/>
  <c r="N149" i="9"/>
  <c r="H157" i="9"/>
  <c r="E157" i="9" s="1"/>
  <c r="I158" i="9"/>
  <c r="Q158" i="9"/>
  <c r="P158" i="9" s="1"/>
  <c r="M164" i="9" a="1"/>
  <c r="M164" i="9" s="1"/>
  <c r="M166" i="9" a="1"/>
  <c r="M166" i="9" s="1"/>
  <c r="I168" i="9"/>
  <c r="B168" i="9"/>
  <c r="N168" i="9"/>
  <c r="J170" i="9"/>
  <c r="J171" i="9"/>
  <c r="H174" i="9"/>
  <c r="E174" i="9" s="1"/>
  <c r="Q174" i="9"/>
  <c r="P174" i="9" s="1"/>
  <c r="H175" i="9"/>
  <c r="E175" i="9" s="1"/>
  <c r="I177" i="9"/>
  <c r="B177" i="9"/>
  <c r="M177" i="9" a="1"/>
  <c r="M177" i="9" s="1"/>
  <c r="N177" i="9"/>
  <c r="H180" i="9"/>
  <c r="E180" i="9" s="1"/>
  <c r="I181" i="9"/>
  <c r="B181" i="9"/>
  <c r="M181" i="9" a="1"/>
  <c r="M181" i="9" s="1"/>
  <c r="Q181" i="9"/>
  <c r="P181" i="9" s="1"/>
  <c r="H184" i="9"/>
  <c r="E184" i="9" s="1"/>
  <c r="I185" i="9"/>
  <c r="B185" i="9"/>
  <c r="M185" i="9" a="1"/>
  <c r="M185" i="9" s="1"/>
  <c r="Q185" i="9"/>
  <c r="P185" i="9" s="1"/>
  <c r="N190" i="9"/>
  <c r="M190" i="9" a="1"/>
  <c r="M190" i="9" s="1"/>
  <c r="H190" i="9"/>
  <c r="E190" i="9" s="1"/>
  <c r="I157" i="9"/>
  <c r="B157" i="9"/>
  <c r="M170" i="9" a="1"/>
  <c r="M170" i="9" s="1"/>
  <c r="I172" i="9"/>
  <c r="B172" i="9"/>
  <c r="N172" i="9"/>
  <c r="N178" i="9"/>
  <c r="K143" i="13"/>
  <c r="J143" i="13"/>
  <c r="I143" i="13"/>
  <c r="I102" i="9" a="1"/>
  <c r="I102" i="9" s="1"/>
  <c r="I118" i="9" a="1"/>
  <c r="I118" i="9" s="1"/>
  <c r="I126" i="9" a="1"/>
  <c r="I126" i="9" s="1"/>
  <c r="I134" i="9" a="1"/>
  <c r="I134" i="9" s="1"/>
  <c r="J141" i="9"/>
  <c r="J145" i="9"/>
  <c r="M147" i="9" a="1"/>
  <c r="M147" i="9" s="1"/>
  <c r="J149" i="9"/>
  <c r="M151" i="9" a="1"/>
  <c r="M151" i="9" s="1"/>
  <c r="H152" i="9"/>
  <c r="E152" i="9" s="1"/>
  <c r="J153" i="9"/>
  <c r="M155" i="9" a="1"/>
  <c r="M155" i="9" s="1"/>
  <c r="H156" i="9"/>
  <c r="E156" i="9" s="1"/>
  <c r="D158" i="9" a="1"/>
  <c r="D158" i="9" s="1"/>
  <c r="F158" i="9" s="1"/>
  <c r="G158" i="9" s="1"/>
  <c r="M160" i="9" a="1"/>
  <c r="M160" i="9" s="1"/>
  <c r="I164" i="9"/>
  <c r="Q164" i="9"/>
  <c r="P164" i="9" s="1"/>
  <c r="D170" i="9" a="1"/>
  <c r="D170" i="9" s="1"/>
  <c r="F170" i="9" s="1"/>
  <c r="G170" i="9" s="1"/>
  <c r="N170" i="9"/>
  <c r="M171" i="9" a="1"/>
  <c r="M171" i="9" s="1"/>
  <c r="I173" i="9"/>
  <c r="B173" i="9"/>
  <c r="D178" i="9" a="1"/>
  <c r="D178" i="9" s="1"/>
  <c r="F178" i="9" s="1"/>
  <c r="G178" i="9" s="1"/>
  <c r="N182" i="9"/>
  <c r="H182" i="9"/>
  <c r="E182" i="9" s="1"/>
  <c r="Q182" i="9"/>
  <c r="P182" i="9" s="1"/>
  <c r="N186" i="9"/>
  <c r="H186" i="9"/>
  <c r="E186" i="9" s="1"/>
  <c r="Q186" i="9"/>
  <c r="P186" i="9" s="1"/>
  <c r="I85" i="9" a="1"/>
  <c r="I85" i="9" s="1"/>
  <c r="I93" i="9" a="1"/>
  <c r="I93" i="9" s="1"/>
  <c r="I101" i="9" a="1"/>
  <c r="I101" i="9" s="1"/>
  <c r="J102" i="9"/>
  <c r="I117" i="9" a="1"/>
  <c r="I117" i="9" s="1"/>
  <c r="J118" i="9"/>
  <c r="H123" i="9"/>
  <c r="E123" i="9" s="1"/>
  <c r="N123" i="9"/>
  <c r="J126" i="9"/>
  <c r="H131" i="9"/>
  <c r="E131" i="9" s="1"/>
  <c r="N131" i="9"/>
  <c r="J134" i="9"/>
  <c r="H139" i="9"/>
  <c r="E139" i="9" s="1"/>
  <c r="N139" i="9"/>
  <c r="N147" i="9"/>
  <c r="N151" i="9"/>
  <c r="B152" i="9"/>
  <c r="I152" i="9"/>
  <c r="N155" i="9"/>
  <c r="B156" i="9"/>
  <c r="I156" i="9"/>
  <c r="D157" i="9" a="1"/>
  <c r="D157" i="9" s="1"/>
  <c r="F157" i="9" s="1"/>
  <c r="G157" i="9" s="1"/>
  <c r="M158" i="9" a="1"/>
  <c r="M158" i="9" s="1"/>
  <c r="B164" i="9"/>
  <c r="J164" i="9"/>
  <c r="I165" i="9"/>
  <c r="B165" i="9"/>
  <c r="H166" i="9"/>
  <c r="E166" i="9" s="1"/>
  <c r="Q166" i="9"/>
  <c r="P166" i="9" s="1"/>
  <c r="H167" i="9"/>
  <c r="E167" i="9" s="1"/>
  <c r="Q167" i="9"/>
  <c r="P167" i="9" s="1"/>
  <c r="Q168" i="9"/>
  <c r="P168" i="9" s="1"/>
  <c r="D171" i="9" a="1"/>
  <c r="D171" i="9" s="1"/>
  <c r="F171" i="9" s="1"/>
  <c r="G171" i="9" s="1"/>
  <c r="D172" i="9" a="1"/>
  <c r="D172" i="9" s="1"/>
  <c r="F172" i="9" s="1"/>
  <c r="G172" i="9" s="1"/>
  <c r="M172" i="9" a="1"/>
  <c r="M172" i="9" s="1"/>
  <c r="D173" i="9" a="1"/>
  <c r="D173" i="9" s="1"/>
  <c r="F173" i="9" s="1"/>
  <c r="G173" i="9" s="1"/>
  <c r="M173" i="9" a="1"/>
  <c r="M173" i="9" s="1"/>
  <c r="I176" i="9"/>
  <c r="B176" i="9"/>
  <c r="N176" i="9"/>
  <c r="Q178" i="9"/>
  <c r="P178" i="9" s="1"/>
  <c r="D189" i="9" a="1"/>
  <c r="D189" i="9" s="1"/>
  <c r="F189" i="9" s="1"/>
  <c r="G189" i="9" s="1"/>
  <c r="I189" i="9"/>
  <c r="B189" i="9"/>
  <c r="M189" i="9" a="1"/>
  <c r="M189" i="9" s="1"/>
  <c r="J152" i="9"/>
  <c r="Q152" i="9"/>
  <c r="P152" i="9" s="1"/>
  <c r="J156" i="9"/>
  <c r="Q156" i="9"/>
  <c r="P156" i="9" s="1"/>
  <c r="M157" i="9" a="1"/>
  <c r="M157" i="9" s="1"/>
  <c r="N158" i="9"/>
  <c r="I180" i="9"/>
  <c r="B180" i="9"/>
  <c r="N180" i="9"/>
  <c r="D180" i="9" a="1"/>
  <c r="D180" i="9" s="1"/>
  <c r="F180" i="9" s="1"/>
  <c r="G180" i="9" s="1"/>
  <c r="Q180" i="9"/>
  <c r="P180" i="9" s="1"/>
  <c r="I184" i="9"/>
  <c r="B184" i="9"/>
  <c r="N184" i="9"/>
  <c r="D184" i="9" a="1"/>
  <c r="D184" i="9" s="1"/>
  <c r="F184" i="9" s="1"/>
  <c r="G184" i="9" s="1"/>
  <c r="Q184" i="9"/>
  <c r="P184" i="9" s="1"/>
  <c r="H97" i="9"/>
  <c r="E97" i="9" s="1"/>
  <c r="H105" i="9"/>
  <c r="E105" i="9" s="1"/>
  <c r="H113" i="9"/>
  <c r="E113" i="9" s="1"/>
  <c r="H121" i="9"/>
  <c r="E121" i="9" s="1"/>
  <c r="H129" i="9"/>
  <c r="E129" i="9" s="1"/>
  <c r="H137" i="9"/>
  <c r="E137" i="9" s="1"/>
  <c r="B147" i="9"/>
  <c r="I147" i="9"/>
  <c r="B151" i="9"/>
  <c r="I151" i="9"/>
  <c r="B155" i="9"/>
  <c r="I155" i="9"/>
  <c r="N157" i="9"/>
  <c r="I160" i="9"/>
  <c r="Q160" i="9"/>
  <c r="P160" i="9" s="1"/>
  <c r="D165" i="9" a="1"/>
  <c r="D165" i="9" s="1"/>
  <c r="F165" i="9" s="1"/>
  <c r="G165" i="9" s="1"/>
  <c r="J166" i="9"/>
  <c r="J167" i="9"/>
  <c r="J168" i="9"/>
  <c r="H170" i="9"/>
  <c r="E170" i="9" s="1"/>
  <c r="Q170" i="9"/>
  <c r="P170" i="9" s="1"/>
  <c r="H171" i="9"/>
  <c r="E171" i="9" s="1"/>
  <c r="Q171" i="9"/>
  <c r="P171" i="9" s="1"/>
  <c r="Q172" i="9"/>
  <c r="P172" i="9" s="1"/>
  <c r="D176" i="9" a="1"/>
  <c r="D176" i="9" s="1"/>
  <c r="F176" i="9" s="1"/>
  <c r="G176" i="9" s="1"/>
  <c r="M176" i="9" a="1"/>
  <c r="M176" i="9" s="1"/>
  <c r="I178" i="9"/>
  <c r="N181" i="9"/>
  <c r="I182" i="9"/>
  <c r="N185" i="9"/>
  <c r="I186" i="9"/>
  <c r="H189" i="9"/>
  <c r="E189" i="9" s="1"/>
  <c r="Q190" i="9"/>
  <c r="P190" i="9" s="1"/>
  <c r="J147" i="9"/>
  <c r="J151" i="9"/>
  <c r="J155" i="9"/>
  <c r="B160" i="9"/>
  <c r="J160" i="9"/>
  <c r="I161" i="9"/>
  <c r="B161" i="9"/>
  <c r="D164" i="9" a="1"/>
  <c r="D164" i="9" s="1"/>
  <c r="F164" i="9" s="1"/>
  <c r="G164" i="9" s="1"/>
  <c r="M165" i="9" a="1"/>
  <c r="M165" i="9" s="1"/>
  <c r="B167" i="9"/>
  <c r="I171" i="9"/>
  <c r="H172" i="9"/>
  <c r="E172" i="9" s="1"/>
  <c r="Q173" i="9"/>
  <c r="P173" i="9" s="1"/>
  <c r="J178" i="9"/>
  <c r="J182" i="9"/>
  <c r="J186" i="9"/>
  <c r="J189" i="9"/>
  <c r="B190" i="9"/>
  <c r="J179" i="9"/>
  <c r="Q179" i="9"/>
  <c r="P179" i="9" s="1"/>
  <c r="J183" i="9"/>
  <c r="J187" i="9"/>
  <c r="D188" i="9" a="1"/>
  <c r="D188" i="9" s="1"/>
  <c r="F188" i="9" s="1"/>
  <c r="G188" i="9" s="1"/>
  <c r="J191" i="9"/>
  <c r="D192" i="9" a="1"/>
  <c r="D192" i="9" s="1"/>
  <c r="F192" i="9" s="1"/>
  <c r="G192" i="9" s="1"/>
  <c r="M193" i="9" a="1"/>
  <c r="M193" i="9" s="1"/>
  <c r="D195" i="9" a="1"/>
  <c r="D195" i="9" s="1"/>
  <c r="F195" i="9" s="1"/>
  <c r="G195" i="9" s="1"/>
  <c r="D200" i="9" a="1"/>
  <c r="D200" i="9" s="1"/>
  <c r="F200" i="9" s="1"/>
  <c r="G200" i="9" s="1"/>
  <c r="N200" i="9"/>
  <c r="D201" i="9" a="1"/>
  <c r="D201" i="9" s="1"/>
  <c r="F201" i="9" s="1"/>
  <c r="G201" i="9" s="1"/>
  <c r="M201" i="9" a="1"/>
  <c r="M201" i="9" s="1"/>
  <c r="M202" i="9" a="1"/>
  <c r="M202" i="9" s="1"/>
  <c r="I204" i="9"/>
  <c r="B204" i="9"/>
  <c r="I205" i="9"/>
  <c r="D210" i="9" a="1"/>
  <c r="D210" i="9" s="1"/>
  <c r="F210" i="9" s="1"/>
  <c r="G210" i="9" s="1"/>
  <c r="I210" i="9"/>
  <c r="B210" i="9"/>
  <c r="H210" i="9"/>
  <c r="E210" i="9" s="1"/>
  <c r="N188" i="9"/>
  <c r="N192" i="9"/>
  <c r="B193" i="9"/>
  <c r="I193" i="9"/>
  <c r="J197" i="9"/>
  <c r="I199" i="9"/>
  <c r="H201" i="9"/>
  <c r="E201" i="9" s="1"/>
  <c r="Q201" i="9"/>
  <c r="P201" i="9" s="1"/>
  <c r="Q202" i="9"/>
  <c r="P202" i="9" s="1"/>
  <c r="J210" i="9"/>
  <c r="J193" i="9"/>
  <c r="Q193" i="9"/>
  <c r="P193" i="9" s="1"/>
  <c r="H195" i="9"/>
  <c r="E195" i="9" s="1"/>
  <c r="I196" i="9"/>
  <c r="B196" i="9"/>
  <c r="B197" i="9"/>
  <c r="I201" i="9"/>
  <c r="H202" i="9"/>
  <c r="E202" i="9" s="1"/>
  <c r="N205" i="9"/>
  <c r="M205" i="9" a="1"/>
  <c r="M205" i="9" s="1"/>
  <c r="M208" i="9" a="1"/>
  <c r="M208" i="9" s="1"/>
  <c r="B188" i="9"/>
  <c r="I188" i="9"/>
  <c r="B192" i="9"/>
  <c r="I192" i="9"/>
  <c r="I195" i="9"/>
  <c r="Q195" i="9"/>
  <c r="P195" i="9" s="1"/>
  <c r="I198" i="9"/>
  <c r="B198" i="9"/>
  <c r="J201" i="9"/>
  <c r="D205" i="9" a="1"/>
  <c r="D205" i="9" s="1"/>
  <c r="F205" i="9" s="1"/>
  <c r="G205" i="9" s="1"/>
  <c r="I206" i="9"/>
  <c r="B206" i="9"/>
  <c r="H206" i="9"/>
  <c r="E206" i="9" s="1"/>
  <c r="M206" i="9" a="1"/>
  <c r="M206" i="9" s="1"/>
  <c r="J188" i="9"/>
  <c r="J192" i="9"/>
  <c r="B195" i="9"/>
  <c r="D196" i="9" a="1"/>
  <c r="D196" i="9" s="1"/>
  <c r="F196" i="9" s="1"/>
  <c r="G196" i="9" s="1"/>
  <c r="N196" i="9"/>
  <c r="D197" i="9" a="1"/>
  <c r="D197" i="9" s="1"/>
  <c r="F197" i="9" s="1"/>
  <c r="G197" i="9" s="1"/>
  <c r="M197" i="9" a="1"/>
  <c r="M197" i="9" s="1"/>
  <c r="M198" i="9" a="1"/>
  <c r="M198" i="9" s="1"/>
  <c r="I200" i="9"/>
  <c r="B200" i="9"/>
  <c r="B201" i="9"/>
  <c r="H208" i="9"/>
  <c r="E208" i="9" s="1"/>
  <c r="D208" i="9" a="1"/>
  <c r="D208" i="9" s="1"/>
  <c r="F208" i="9" s="1"/>
  <c r="G208" i="9" s="1"/>
  <c r="I208" i="9"/>
  <c r="B208" i="9"/>
  <c r="Q208" i="9"/>
  <c r="P208" i="9" s="1"/>
  <c r="I202" i="9"/>
  <c r="B202" i="9"/>
  <c r="N207" i="9"/>
  <c r="J207" i="9"/>
  <c r="Q207" i="9"/>
  <c r="P207" i="9" s="1"/>
  <c r="M209" i="9" a="1"/>
  <c r="M209" i="9" s="1"/>
  <c r="N209" i="9"/>
  <c r="J209" i="9"/>
  <c r="L11" i="13" a="1"/>
  <c r="L11" i="13" s="1"/>
  <c r="A11" i="13"/>
  <c r="D11" i="13" a="1"/>
  <c r="D11" i="13" s="1"/>
  <c r="H11" i="13" a="1"/>
  <c r="H11" i="13" s="1"/>
  <c r="N6" i="13"/>
  <c r="L5" i="13" a="1"/>
  <c r="L5" i="13" s="1"/>
  <c r="A5" i="13"/>
  <c r="D5" i="13" a="1"/>
  <c r="D5" i="13" s="1"/>
  <c r="H5" i="13" a="1"/>
  <c r="H5" i="13" s="1"/>
  <c r="H18" i="13" a="1"/>
  <c r="H18" i="13" s="1"/>
  <c r="A18" i="13"/>
  <c r="L18" i="13" a="1"/>
  <c r="L18" i="13" s="1"/>
  <c r="D18" i="13" a="1"/>
  <c r="D18" i="13" s="1"/>
  <c r="A9" i="10"/>
  <c r="K120" i="13"/>
  <c r="J120" i="13"/>
  <c r="I120" i="13"/>
  <c r="K119" i="13"/>
  <c r="J119" i="13"/>
  <c r="I119" i="13"/>
  <c r="H4" i="13" a="1"/>
  <c r="H4" i="13" s="1"/>
  <c r="L4" i="13" a="1"/>
  <c r="L4" i="13" s="1"/>
  <c r="A4" i="13"/>
  <c r="D4" i="13" a="1"/>
  <c r="D4" i="13" s="1"/>
  <c r="G25" i="13"/>
  <c r="F25" i="13"/>
  <c r="E25" i="13"/>
  <c r="E26" i="13"/>
  <c r="I29" i="13"/>
  <c r="J29" i="13"/>
  <c r="K29" i="13"/>
  <c r="J17" i="13"/>
  <c r="K17" i="13"/>
  <c r="I17" i="13"/>
  <c r="O36" i="13"/>
  <c r="M36" i="13"/>
  <c r="N36" i="13"/>
  <c r="A155" i="13"/>
  <c r="D155" i="13" a="1"/>
  <c r="D155" i="13" s="1"/>
  <c r="L155" i="13" a="1"/>
  <c r="L155" i="13" s="1"/>
  <c r="H155" i="13" a="1"/>
  <c r="H155" i="13" s="1"/>
  <c r="H3" i="13" a="1"/>
  <c r="H3" i="13" s="1"/>
  <c r="D3" i="13" a="1"/>
  <c r="D3" i="13" s="1"/>
  <c r="L3" i="13" a="1"/>
  <c r="L3" i="13" s="1"/>
  <c r="A3" i="13"/>
  <c r="D6" i="13" a="1"/>
  <c r="D6" i="13" s="1"/>
  <c r="H6" i="13" a="1"/>
  <c r="H6" i="13" s="1"/>
  <c r="L31" i="13" a="1"/>
  <c r="L31" i="13" s="1"/>
  <c r="A31" i="13"/>
  <c r="D31" i="13" a="1"/>
  <c r="D31" i="13" s="1"/>
  <c r="H31" i="13" a="1"/>
  <c r="H31" i="13" s="1"/>
  <c r="N70" i="13"/>
  <c r="M70" i="13"/>
  <c r="K8" i="13"/>
  <c r="J8" i="13"/>
  <c r="I8" i="13"/>
  <c r="L27" i="13" a="1"/>
  <c r="L27" i="13" s="1"/>
  <c r="A27" i="13"/>
  <c r="D27" i="13" a="1"/>
  <c r="D27" i="13" s="1"/>
  <c r="H27" i="13" a="1"/>
  <c r="H27" i="13" s="1"/>
  <c r="K16" i="13"/>
  <c r="J16" i="13"/>
  <c r="I16" i="13"/>
  <c r="O19" i="13"/>
  <c r="N19" i="13"/>
  <c r="M19" i="13"/>
  <c r="H7" i="13" a="1"/>
  <c r="H7" i="13" s="1"/>
  <c r="L7" i="13" a="1"/>
  <c r="L7" i="13" s="1"/>
  <c r="A7" i="13"/>
  <c r="D7" i="13" a="1"/>
  <c r="D7" i="13" s="1"/>
  <c r="L2" i="13" a="1"/>
  <c r="L2" i="13" s="1"/>
  <c r="A2" i="13"/>
  <c r="H2" i="13" a="1"/>
  <c r="H2" i="13" s="1"/>
  <c r="D12" i="13" a="1"/>
  <c r="D12" i="13" s="1"/>
  <c r="L12" i="13" a="1"/>
  <c r="L12" i="13" s="1"/>
  <c r="H12" i="13" a="1"/>
  <c r="H12" i="13" s="1"/>
  <c r="A12" i="13"/>
  <c r="L46" i="13" a="1"/>
  <c r="L46" i="13" s="1"/>
  <c r="A46" i="13"/>
  <c r="D46" i="13" a="1"/>
  <c r="D46" i="13" s="1"/>
  <c r="H46" i="13" a="1"/>
  <c r="H46" i="13" s="1"/>
  <c r="H91" i="13" a="1"/>
  <c r="H91" i="13" s="1"/>
  <c r="L91" i="13" a="1"/>
  <c r="L91" i="13" s="1"/>
  <c r="A91" i="13"/>
  <c r="D91" i="13" a="1"/>
  <c r="D91" i="13" s="1"/>
  <c r="G92" i="13"/>
  <c r="F92" i="13"/>
  <c r="E92" i="13"/>
  <c r="D9" i="13" a="1"/>
  <c r="D9" i="13" s="1"/>
  <c r="H9" i="13" a="1"/>
  <c r="H9" i="13" s="1"/>
  <c r="L9" i="13" a="1"/>
  <c r="L9" i="13" s="1"/>
  <c r="A9" i="13"/>
  <c r="H21" i="13" a="1"/>
  <c r="H21" i="13" s="1"/>
  <c r="A21" i="13"/>
  <c r="L21" i="13" a="1"/>
  <c r="L21" i="13" s="1"/>
  <c r="D21" i="13" a="1"/>
  <c r="D21" i="13" s="1"/>
  <c r="D30" i="13" a="1"/>
  <c r="D30" i="13" s="1"/>
  <c r="L30" i="13" a="1"/>
  <c r="L30" i="13" s="1"/>
  <c r="H30" i="13" a="1"/>
  <c r="H30" i="13" s="1"/>
  <c r="A30" i="13"/>
  <c r="J83" i="13"/>
  <c r="I83" i="13"/>
  <c r="K83" i="13"/>
  <c r="G94" i="13"/>
  <c r="F94" i="13"/>
  <c r="E94" i="13"/>
  <c r="D101" i="13" a="1"/>
  <c r="D101" i="13" s="1"/>
  <c r="H101" i="13" a="1"/>
  <c r="H101" i="13" s="1"/>
  <c r="L101" i="13" a="1"/>
  <c r="L101" i="13" s="1"/>
  <c r="A101" i="13"/>
  <c r="L68" i="13" a="1"/>
  <c r="L68" i="13" s="1"/>
  <c r="D68" i="13" a="1"/>
  <c r="D68" i="13" s="1"/>
  <c r="H68" i="13" a="1"/>
  <c r="H68" i="13" s="1"/>
  <c r="A68" i="13"/>
  <c r="D80" i="13" a="1"/>
  <c r="D80" i="13" s="1"/>
  <c r="A80" i="13"/>
  <c r="L80" i="13" a="1"/>
  <c r="L80" i="13" s="1"/>
  <c r="H80" i="13" a="1"/>
  <c r="H80" i="13" s="1"/>
  <c r="K131" i="13"/>
  <c r="J131" i="13"/>
  <c r="I131" i="13"/>
  <c r="F77" i="13"/>
  <c r="E77" i="13"/>
  <c r="G77" i="13"/>
  <c r="H125" i="13" a="1"/>
  <c r="H125" i="13" s="1"/>
  <c r="D125" i="13" a="1"/>
  <c r="D125" i="13" s="1"/>
  <c r="L125" i="13" a="1"/>
  <c r="L125" i="13" s="1"/>
  <c r="A125" i="13"/>
  <c r="D2" i="13" a="1"/>
  <c r="D2" i="13" s="1"/>
  <c r="I20" i="13"/>
  <c r="K20" i="13"/>
  <c r="J20" i="13"/>
  <c r="H22" i="13" a="1"/>
  <c r="H22" i="13" s="1"/>
  <c r="A22" i="13"/>
  <c r="D22" i="13" a="1"/>
  <c r="D22" i="13" s="1"/>
  <c r="L22" i="13" a="1"/>
  <c r="L22" i="13" s="1"/>
  <c r="O49" i="13"/>
  <c r="M49" i="13"/>
  <c r="N49" i="13"/>
  <c r="K130" i="13"/>
  <c r="I130" i="13"/>
  <c r="J130" i="13"/>
  <c r="T2" i="13"/>
  <c r="AH20" i="13" s="1" a="1"/>
  <c r="AH20" i="13" s="1"/>
  <c r="AI20" i="13" s="1" a="1"/>
  <c r="AI20" i="13" s="1"/>
  <c r="K10" i="13"/>
  <c r="D13" i="13" a="1"/>
  <c r="D13" i="13" s="1"/>
  <c r="A19" i="13"/>
  <c r="A54" i="13"/>
  <c r="L54" i="13" a="1"/>
  <c r="L54" i="13" s="1"/>
  <c r="D54" i="13" a="1"/>
  <c r="D54" i="13" s="1"/>
  <c r="H54" i="13" a="1"/>
  <c r="H54" i="13" s="1"/>
  <c r="L100" i="13" a="1"/>
  <c r="L100" i="13" s="1"/>
  <c r="A100" i="13"/>
  <c r="D100" i="13" a="1"/>
  <c r="D100" i="13" s="1"/>
  <c r="H100" i="13" a="1"/>
  <c r="H100" i="13" s="1"/>
  <c r="D19" i="13" a="1"/>
  <c r="D19" i="13" s="1"/>
  <c r="H19" i="13" a="1"/>
  <c r="H19" i="13" s="1"/>
  <c r="F28" i="13"/>
  <c r="G28" i="13"/>
  <c r="G55" i="13"/>
  <c r="F55" i="13"/>
  <c r="E55" i="13"/>
  <c r="O56" i="13"/>
  <c r="M56" i="13"/>
  <c r="G60" i="13"/>
  <c r="F60" i="13"/>
  <c r="L78" i="13" a="1"/>
  <c r="L78" i="13" s="1"/>
  <c r="A78" i="13"/>
  <c r="H78" i="13" a="1"/>
  <c r="H78" i="13" s="1"/>
  <c r="D78" i="13" a="1"/>
  <c r="D78" i="13" s="1"/>
  <c r="O85" i="13"/>
  <c r="M85" i="13"/>
  <c r="K98" i="13"/>
  <c r="J98" i="13"/>
  <c r="K115" i="13"/>
  <c r="J115" i="13"/>
  <c r="L32" i="13" a="1"/>
  <c r="L32" i="13" s="1"/>
  <c r="A32" i="13"/>
  <c r="D32" i="13" a="1"/>
  <c r="D32" i="13" s="1"/>
  <c r="H32" i="13" a="1"/>
  <c r="H32" i="13" s="1"/>
  <c r="D36" i="13" a="1"/>
  <c r="D36" i="13" s="1"/>
  <c r="H36" i="13" a="1"/>
  <c r="H36" i="13" s="1"/>
  <c r="A36" i="13"/>
  <c r="H39" i="13" a="1"/>
  <c r="H39" i="13" s="1"/>
  <c r="L39" i="13" a="1"/>
  <c r="L39" i="13" s="1"/>
  <c r="D39" i="13" a="1"/>
  <c r="D39" i="13" s="1"/>
  <c r="K47" i="13"/>
  <c r="I47" i="13"/>
  <c r="D53" i="13" a="1"/>
  <c r="D53" i="13" s="1"/>
  <c r="H53" i="13" a="1"/>
  <c r="H53" i="13" s="1"/>
  <c r="L53" i="13" a="1"/>
  <c r="L53" i="13" s="1"/>
  <c r="A67" i="13"/>
  <c r="L67" i="13" a="1"/>
  <c r="L67" i="13" s="1"/>
  <c r="D67" i="13" a="1"/>
  <c r="D67" i="13" s="1"/>
  <c r="H67" i="13" a="1"/>
  <c r="H67" i="13" s="1"/>
  <c r="M114" i="13"/>
  <c r="O114" i="13"/>
  <c r="N114" i="13"/>
  <c r="L8" i="13" a="1"/>
  <c r="L8" i="13" s="1"/>
  <c r="A8" i="13"/>
  <c r="D8" i="13" a="1"/>
  <c r="D8" i="13" s="1"/>
  <c r="L16" i="13" a="1"/>
  <c r="L16" i="13" s="1"/>
  <c r="A16" i="13"/>
  <c r="D16" i="13" a="1"/>
  <c r="D16" i="13" s="1"/>
  <c r="A20" i="13"/>
  <c r="L20" i="13" a="1"/>
  <c r="L20" i="13" s="1"/>
  <c r="D20" i="13" a="1"/>
  <c r="D20" i="13" s="1"/>
  <c r="N26" i="13"/>
  <c r="M29" i="13"/>
  <c r="O29" i="13"/>
  <c r="N29" i="13"/>
  <c r="J47" i="13"/>
  <c r="A83" i="13"/>
  <c r="L83" i="13" a="1"/>
  <c r="L83" i="13" s="1"/>
  <c r="D83" i="13" a="1"/>
  <c r="D83" i="13" s="1"/>
  <c r="J85" i="13"/>
  <c r="I85" i="13"/>
  <c r="K85" i="13"/>
  <c r="H109" i="13" a="1"/>
  <c r="H109" i="13" s="1"/>
  <c r="L109" i="13" a="1"/>
  <c r="L109" i="13" s="1"/>
  <c r="A109" i="13"/>
  <c r="D109" i="13" a="1"/>
  <c r="D109" i="13" s="1"/>
  <c r="G163" i="13"/>
  <c r="F163" i="13"/>
  <c r="E163" i="13"/>
  <c r="K13" i="13"/>
  <c r="A17" i="13"/>
  <c r="L17" i="13" a="1"/>
  <c r="L17" i="13" s="1"/>
  <c r="D17" i="13" a="1"/>
  <c r="D17" i="13" s="1"/>
  <c r="D23" i="13" a="1"/>
  <c r="D23" i="13" s="1"/>
  <c r="H23" i="13" a="1"/>
  <c r="H23" i="13" s="1"/>
  <c r="L23" i="13" a="1"/>
  <c r="L23" i="13" s="1"/>
  <c r="I26" i="13"/>
  <c r="E33" i="13"/>
  <c r="G33" i="13"/>
  <c r="F37" i="13"/>
  <c r="G37" i="13"/>
  <c r="E37" i="13"/>
  <c r="F45" i="13"/>
  <c r="E45" i="13"/>
  <c r="G45" i="13"/>
  <c r="N60" i="13"/>
  <c r="G159" i="13"/>
  <c r="F159" i="13"/>
  <c r="E159" i="13"/>
  <c r="H42" i="13" a="1"/>
  <c r="H42" i="13" s="1"/>
  <c r="A42" i="13"/>
  <c r="L42" i="13" a="1"/>
  <c r="L42" i="13" s="1"/>
  <c r="H55" i="13" a="1"/>
  <c r="H55" i="13" s="1"/>
  <c r="A55" i="13"/>
  <c r="L55" i="13" a="1"/>
  <c r="L55" i="13" s="1"/>
  <c r="A58" i="13"/>
  <c r="L58" i="13" a="1"/>
  <c r="L58" i="13" s="1"/>
  <c r="D58" i="13" a="1"/>
  <c r="D58" i="13" s="1"/>
  <c r="L61" i="13" a="1"/>
  <c r="L61" i="13" s="1"/>
  <c r="A61" i="13"/>
  <c r="D61" i="13" a="1"/>
  <c r="D61" i="13" s="1"/>
  <c r="H61" i="13" a="1"/>
  <c r="H61" i="13" s="1"/>
  <c r="H64" i="13" a="1"/>
  <c r="H64" i="13" s="1"/>
  <c r="A64" i="13"/>
  <c r="M90" i="13"/>
  <c r="D102" i="13" a="1"/>
  <c r="D102" i="13" s="1"/>
  <c r="H102" i="13" a="1"/>
  <c r="H102" i="13" s="1"/>
  <c r="L102" i="13" a="1"/>
  <c r="L102" i="13" s="1"/>
  <c r="A102" i="13"/>
  <c r="O103" i="13"/>
  <c r="N103" i="13"/>
  <c r="M103" i="13"/>
  <c r="L113" i="13" a="1"/>
  <c r="L113" i="13" s="1"/>
  <c r="A113" i="13"/>
  <c r="D113" i="13" a="1"/>
  <c r="D113" i="13" s="1"/>
  <c r="H113" i="13" a="1"/>
  <c r="H113" i="13" s="1"/>
  <c r="F114" i="13"/>
  <c r="D118" i="13" a="1"/>
  <c r="D118" i="13" s="1"/>
  <c r="L118" i="13" a="1"/>
  <c r="L118" i="13" s="1"/>
  <c r="H118" i="13" a="1"/>
  <c r="H118" i="13" s="1"/>
  <c r="A118" i="13"/>
  <c r="H126" i="13" a="1"/>
  <c r="H126" i="13" s="1"/>
  <c r="D126" i="13" a="1"/>
  <c r="D126" i="13" s="1"/>
  <c r="L126" i="13" a="1"/>
  <c r="L126" i="13" s="1"/>
  <c r="D35" i="13" a="1"/>
  <c r="D35" i="13" s="1"/>
  <c r="H35" i="13" a="1"/>
  <c r="H35" i="13" s="1"/>
  <c r="D42" i="13" a="1"/>
  <c r="D42" i="13" s="1"/>
  <c r="A51" i="13"/>
  <c r="L51" i="13" a="1"/>
  <c r="L51" i="13" s="1"/>
  <c r="D64" i="13" a="1"/>
  <c r="D64" i="13" s="1"/>
  <c r="D65" i="13" a="1"/>
  <c r="D65" i="13" s="1"/>
  <c r="L65" i="13" a="1"/>
  <c r="L65" i="13" s="1"/>
  <c r="H65" i="13" a="1"/>
  <c r="H65" i="13" s="1"/>
  <c r="H71" i="13" a="1"/>
  <c r="H71" i="13" s="1"/>
  <c r="A71" i="13"/>
  <c r="L71" i="13" a="1"/>
  <c r="L71" i="13" s="1"/>
  <c r="D71" i="13" a="1"/>
  <c r="D71" i="13" s="1"/>
  <c r="G73" i="13"/>
  <c r="F73" i="13"/>
  <c r="E73" i="13"/>
  <c r="H86" i="13" a="1"/>
  <c r="H86" i="13" s="1"/>
  <c r="A86" i="13"/>
  <c r="L86" i="13" a="1"/>
  <c r="L86" i="13" s="1"/>
  <c r="H107" i="13" a="1"/>
  <c r="H107" i="13" s="1"/>
  <c r="L107" i="13" a="1"/>
  <c r="L107" i="13" s="1"/>
  <c r="A107" i="13"/>
  <c r="D107" i="13" a="1"/>
  <c r="D107" i="13" s="1"/>
  <c r="G110" i="13"/>
  <c r="F110" i="13"/>
  <c r="E110" i="13"/>
  <c r="D117" i="13" a="1"/>
  <c r="D117" i="13" s="1"/>
  <c r="A117" i="13"/>
  <c r="L117" i="13" a="1"/>
  <c r="L117" i="13" s="1"/>
  <c r="H117" i="13" a="1"/>
  <c r="H117" i="13" s="1"/>
  <c r="K129" i="13"/>
  <c r="I129" i="13"/>
  <c r="L132" i="13" a="1"/>
  <c r="L132" i="13" s="1"/>
  <c r="A132" i="13"/>
  <c r="D132" i="13" a="1"/>
  <c r="D132" i="13" s="1"/>
  <c r="H132" i="13" a="1"/>
  <c r="H132" i="13" s="1"/>
  <c r="L25" i="13" a="1"/>
  <c r="L25" i="13" s="1"/>
  <c r="L28" i="13" a="1"/>
  <c r="L28" i="13" s="1"/>
  <c r="A28" i="13"/>
  <c r="H28" i="13" a="1"/>
  <c r="H28" i="13" s="1"/>
  <c r="D29" i="13" a="1"/>
  <c r="D29" i="13" s="1"/>
  <c r="A33" i="13"/>
  <c r="H33" i="13" a="1"/>
  <c r="H33" i="13" s="1"/>
  <c r="L35" i="13" a="1"/>
  <c r="L35" i="13" s="1"/>
  <c r="H38" i="13" a="1"/>
  <c r="H38" i="13" s="1"/>
  <c r="A38" i="13"/>
  <c r="H58" i="13" a="1"/>
  <c r="H58" i="13" s="1"/>
  <c r="L62" i="13" a="1"/>
  <c r="L62" i="13" s="1"/>
  <c r="A62" i="13"/>
  <c r="H62" i="13" a="1"/>
  <c r="H62" i="13" s="1"/>
  <c r="H72" i="13" a="1"/>
  <c r="H72" i="13" s="1"/>
  <c r="L72" i="13" a="1"/>
  <c r="L72" i="13" s="1"/>
  <c r="D72" i="13" a="1"/>
  <c r="D72" i="13" s="1"/>
  <c r="A72" i="13"/>
  <c r="I74" i="13"/>
  <c r="D79" i="13" a="1"/>
  <c r="D79" i="13" s="1"/>
  <c r="L79" i="13" a="1"/>
  <c r="L79" i="13" s="1"/>
  <c r="H79" i="13" a="1"/>
  <c r="H79" i="13" s="1"/>
  <c r="O89" i="13"/>
  <c r="N89" i="13"/>
  <c r="M89" i="13"/>
  <c r="J129" i="13"/>
  <c r="D136" i="13" a="1"/>
  <c r="D136" i="13" s="1"/>
  <c r="H136" i="13" a="1"/>
  <c r="H136" i="13" s="1"/>
  <c r="A136" i="13"/>
  <c r="L136" i="13" a="1"/>
  <c r="L136" i="13" s="1"/>
  <c r="O137" i="13"/>
  <c r="N137" i="13"/>
  <c r="G138" i="13"/>
  <c r="F138" i="13"/>
  <c r="E138" i="13"/>
  <c r="L201" i="13" a="1"/>
  <c r="L201" i="13" s="1"/>
  <c r="A201" i="13"/>
  <c r="D201" i="13" a="1"/>
  <c r="D201" i="13" s="1"/>
  <c r="H201" i="13" a="1"/>
  <c r="H201" i="13" s="1"/>
  <c r="D24" i="13" a="1"/>
  <c r="D24" i="13" s="1"/>
  <c r="A47" i="13"/>
  <c r="L47" i="13" a="1"/>
  <c r="L47" i="13" s="1"/>
  <c r="D47" i="13" a="1"/>
  <c r="D47" i="13" s="1"/>
  <c r="L76" i="13" a="1"/>
  <c r="L76" i="13" s="1"/>
  <c r="A76" i="13"/>
  <c r="D76" i="13" a="1"/>
  <c r="D76" i="13" s="1"/>
  <c r="K81" i="13"/>
  <c r="J81" i="13"/>
  <c r="I81" i="13"/>
  <c r="L84" i="13" a="1"/>
  <c r="L84" i="13" s="1"/>
  <c r="D84" i="13" a="1"/>
  <c r="D84" i="13" s="1"/>
  <c r="H84" i="13" a="1"/>
  <c r="H84" i="13" s="1"/>
  <c r="A84" i="13"/>
  <c r="H87" i="13" a="1"/>
  <c r="H87" i="13" s="1"/>
  <c r="D87" i="13" a="1"/>
  <c r="D87" i="13" s="1"/>
  <c r="L87" i="13" a="1"/>
  <c r="L87" i="13" s="1"/>
  <c r="K96" i="13"/>
  <c r="J96" i="13"/>
  <c r="I96" i="13"/>
  <c r="L99" i="13" a="1"/>
  <c r="L99" i="13" s="1"/>
  <c r="A99" i="13"/>
  <c r="D99" i="13" a="1"/>
  <c r="D99" i="13" s="1"/>
  <c r="H99" i="13" a="1"/>
  <c r="H99" i="13" s="1"/>
  <c r="G108" i="13"/>
  <c r="F108" i="13"/>
  <c r="L116" i="13" a="1"/>
  <c r="L116" i="13" s="1"/>
  <c r="A116" i="13"/>
  <c r="H116" i="13" a="1"/>
  <c r="H116" i="13" s="1"/>
  <c r="D116" i="13" a="1"/>
  <c r="D116" i="13" s="1"/>
  <c r="D119" i="13" a="1"/>
  <c r="D119" i="13" s="1"/>
  <c r="L119" i="13" a="1"/>
  <c r="L119" i="13" s="1"/>
  <c r="A119" i="13"/>
  <c r="L149" i="13" a="1"/>
  <c r="L149" i="13" s="1"/>
  <c r="A149" i="13"/>
  <c r="D149" i="13" a="1"/>
  <c r="D149" i="13" s="1"/>
  <c r="H149" i="13" a="1"/>
  <c r="H149" i="13" s="1"/>
  <c r="L174" i="13" a="1"/>
  <c r="L174" i="13" s="1"/>
  <c r="A174" i="13"/>
  <c r="D174" i="13" a="1"/>
  <c r="D174" i="13" s="1"/>
  <c r="H174" i="13" a="1"/>
  <c r="H174" i="13" s="1"/>
  <c r="K178" i="13"/>
  <c r="J178" i="13"/>
  <c r="I178" i="13"/>
  <c r="L24" i="13" a="1"/>
  <c r="L24" i="13" s="1"/>
  <c r="A25" i="13"/>
  <c r="D51" i="13" a="1"/>
  <c r="D51" i="13" s="1"/>
  <c r="J52" i="13"/>
  <c r="K52" i="13"/>
  <c r="I52" i="13"/>
  <c r="L64" i="13" a="1"/>
  <c r="L64" i="13" s="1"/>
  <c r="H69" i="13" a="1"/>
  <c r="H69" i="13" s="1"/>
  <c r="A69" i="13"/>
  <c r="L69" i="13" a="1"/>
  <c r="L69" i="13" s="1"/>
  <c r="D69" i="13" a="1"/>
  <c r="D69" i="13" s="1"/>
  <c r="G75" i="13"/>
  <c r="F75" i="13"/>
  <c r="E75" i="13"/>
  <c r="L77" i="13" a="1"/>
  <c r="L77" i="13" s="1"/>
  <c r="A77" i="13"/>
  <c r="H77" i="13" a="1"/>
  <c r="H77" i="13" s="1"/>
  <c r="D86" i="13" a="1"/>
  <c r="D86" i="13" s="1"/>
  <c r="H88" i="13" a="1"/>
  <c r="H88" i="13" s="1"/>
  <c r="D88" i="13" a="1"/>
  <c r="D88" i="13" s="1"/>
  <c r="L88" i="13" a="1"/>
  <c r="L88" i="13" s="1"/>
  <c r="N95" i="13"/>
  <c r="M95" i="13"/>
  <c r="E108" i="13"/>
  <c r="M137" i="13"/>
  <c r="K145" i="13"/>
  <c r="J145" i="13"/>
  <c r="K185" i="13"/>
  <c r="J185" i="13"/>
  <c r="I185" i="13"/>
  <c r="A29" i="13"/>
  <c r="H37" i="13" a="1"/>
  <c r="H37" i="13" s="1"/>
  <c r="L37" i="13" a="1"/>
  <c r="L37" i="13" s="1"/>
  <c r="A37" i="13"/>
  <c r="H40" i="13" a="1"/>
  <c r="H40" i="13" s="1"/>
  <c r="L40" i="13" a="1"/>
  <c r="L40" i="13" s="1"/>
  <c r="I44" i="13"/>
  <c r="D50" i="13" a="1"/>
  <c r="D50" i="13" s="1"/>
  <c r="L50" i="13" a="1"/>
  <c r="L50" i="13" s="1"/>
  <c r="H50" i="13" a="1"/>
  <c r="H50" i="13" s="1"/>
  <c r="H51" i="13" a="1"/>
  <c r="H51" i="13" s="1"/>
  <c r="D62" i="13" a="1"/>
  <c r="D62" i="13" s="1"/>
  <c r="H63" i="13" a="1"/>
  <c r="H63" i="13" s="1"/>
  <c r="A63" i="13"/>
  <c r="L63" i="13" a="1"/>
  <c r="L63" i="13" s="1"/>
  <c r="D63" i="13" a="1"/>
  <c r="D63" i="13" s="1"/>
  <c r="H70" i="13" a="1"/>
  <c r="H70" i="13" s="1"/>
  <c r="A70" i="13"/>
  <c r="H76" i="13" a="1"/>
  <c r="H76" i="13" s="1"/>
  <c r="D81" i="13" a="1"/>
  <c r="D81" i="13" s="1"/>
  <c r="L81" i="13" a="1"/>
  <c r="L81" i="13" s="1"/>
  <c r="A81" i="13"/>
  <c r="J106" i="13"/>
  <c r="I106" i="13"/>
  <c r="K106" i="13"/>
  <c r="A126" i="13"/>
  <c r="H43" i="13" a="1"/>
  <c r="H43" i="13" s="1"/>
  <c r="H93" i="13" a="1"/>
  <c r="H93" i="13" s="1"/>
  <c r="L93" i="13" a="1"/>
  <c r="L93" i="13" s="1"/>
  <c r="A93" i="13"/>
  <c r="L97" i="13" a="1"/>
  <c r="L97" i="13" s="1"/>
  <c r="A97" i="13"/>
  <c r="D97" i="13" a="1"/>
  <c r="D97" i="13" s="1"/>
  <c r="D104" i="13" a="1"/>
  <c r="D104" i="13" s="1"/>
  <c r="H104" i="13" a="1"/>
  <c r="H104" i="13" s="1"/>
  <c r="H122" i="13" a="1"/>
  <c r="H122" i="13" s="1"/>
  <c r="L122" i="13" a="1"/>
  <c r="L122" i="13" s="1"/>
  <c r="A122" i="13"/>
  <c r="H164" i="13" a="1"/>
  <c r="H164" i="13" s="1"/>
  <c r="A164" i="13"/>
  <c r="D164" i="13" a="1"/>
  <c r="D164" i="13" s="1"/>
  <c r="O314" i="13"/>
  <c r="M314" i="13"/>
  <c r="N314" i="13"/>
  <c r="L45" i="13" a="1"/>
  <c r="L45" i="13" s="1"/>
  <c r="A45" i="13"/>
  <c r="L59" i="13" a="1"/>
  <c r="L59" i="13" s="1"/>
  <c r="A82" i="13"/>
  <c r="F85" i="13"/>
  <c r="F89" i="13"/>
  <c r="L98" i="13" a="1"/>
  <c r="L98" i="13" s="1"/>
  <c r="A98" i="13"/>
  <c r="D98" i="13" a="1"/>
  <c r="D98" i="13" s="1"/>
  <c r="J105" i="13"/>
  <c r="I105" i="13"/>
  <c r="H108" i="13" a="1"/>
  <c r="H108" i="13" s="1"/>
  <c r="L108" i="13" a="1"/>
  <c r="L108" i="13" s="1"/>
  <c r="A108" i="13"/>
  <c r="H110" i="13" a="1"/>
  <c r="H110" i="13" s="1"/>
  <c r="L110" i="13" a="1"/>
  <c r="L110" i="13" s="1"/>
  <c r="A110" i="13"/>
  <c r="D120" i="13" a="1"/>
  <c r="D120" i="13" s="1"/>
  <c r="L120" i="13" a="1"/>
  <c r="L120" i="13" s="1"/>
  <c r="G144" i="13"/>
  <c r="G160" i="13"/>
  <c r="E160" i="13"/>
  <c r="D166" i="13" a="1"/>
  <c r="D166" i="13" s="1"/>
  <c r="H166" i="13" a="1"/>
  <c r="H166" i="13" s="1"/>
  <c r="A166" i="13"/>
  <c r="L166" i="13" a="1"/>
  <c r="L166" i="13" s="1"/>
  <c r="O175" i="13"/>
  <c r="N175" i="13"/>
  <c r="M175" i="13"/>
  <c r="G179" i="13"/>
  <c r="F179" i="13"/>
  <c r="E179" i="13"/>
  <c r="O193" i="13"/>
  <c r="N193" i="13"/>
  <c r="M193" i="13"/>
  <c r="J205" i="13"/>
  <c r="K205" i="13"/>
  <c r="I205" i="13"/>
  <c r="H45" i="13" a="1"/>
  <c r="H45" i="13" s="1"/>
  <c r="A48" i="13"/>
  <c r="H49" i="13" a="1"/>
  <c r="H49" i="13" s="1"/>
  <c r="H66" i="13" a="1"/>
  <c r="H66" i="13" s="1"/>
  <c r="H82" i="13" a="1"/>
  <c r="H82" i="13" s="1"/>
  <c r="H92" i="13" a="1"/>
  <c r="H92" i="13" s="1"/>
  <c r="L92" i="13" a="1"/>
  <c r="L92" i="13" s="1"/>
  <c r="A92" i="13"/>
  <c r="D93" i="13" a="1"/>
  <c r="D93" i="13" s="1"/>
  <c r="H94" i="13" a="1"/>
  <c r="H94" i="13" s="1"/>
  <c r="L94" i="13" a="1"/>
  <c r="L94" i="13" s="1"/>
  <c r="A94" i="13"/>
  <c r="N112" i="13"/>
  <c r="M112" i="13"/>
  <c r="O112" i="13"/>
  <c r="L115" i="13" a="1"/>
  <c r="L115" i="13" s="1"/>
  <c r="A115" i="13"/>
  <c r="D115" i="13" a="1"/>
  <c r="D115" i="13" s="1"/>
  <c r="D122" i="13" a="1"/>
  <c r="D122" i="13" s="1"/>
  <c r="D134" i="13" a="1"/>
  <c r="D134" i="13" s="1"/>
  <c r="L134" i="13" a="1"/>
  <c r="L134" i="13" s="1"/>
  <c r="H134" i="13" a="1"/>
  <c r="H134" i="13" s="1"/>
  <c r="A134" i="13"/>
  <c r="K144" i="13"/>
  <c r="J144" i="13"/>
  <c r="K147" i="13"/>
  <c r="J147" i="13"/>
  <c r="I147" i="13"/>
  <c r="F160" i="13"/>
  <c r="L164" i="13" a="1"/>
  <c r="L164" i="13" s="1"/>
  <c r="H180" i="13" a="1"/>
  <c r="H180" i="13" s="1"/>
  <c r="A180" i="13"/>
  <c r="D180" i="13" a="1"/>
  <c r="D180" i="13" s="1"/>
  <c r="L180" i="13" a="1"/>
  <c r="L180" i="13" s="1"/>
  <c r="N230" i="13"/>
  <c r="M230" i="13"/>
  <c r="O230" i="13"/>
  <c r="H97" i="13" a="1"/>
  <c r="H97" i="13" s="1"/>
  <c r="A103" i="13"/>
  <c r="J121" i="13"/>
  <c r="I121" i="13"/>
  <c r="K121" i="13"/>
  <c r="L128" i="13" a="1"/>
  <c r="L128" i="13" s="1"/>
  <c r="A128" i="13"/>
  <c r="H128" i="13" a="1"/>
  <c r="H128" i="13" s="1"/>
  <c r="D128" i="13" a="1"/>
  <c r="D128" i="13" s="1"/>
  <c r="L129" i="13" a="1"/>
  <c r="L129" i="13" s="1"/>
  <c r="A129" i="13"/>
  <c r="D129" i="13" a="1"/>
  <c r="D129" i="13" s="1"/>
  <c r="L130" i="13" a="1"/>
  <c r="L130" i="13" s="1"/>
  <c r="A130" i="13"/>
  <c r="D130" i="13" a="1"/>
  <c r="D130" i="13" s="1"/>
  <c r="D133" i="13" a="1"/>
  <c r="D133" i="13" s="1"/>
  <c r="L133" i="13" a="1"/>
  <c r="L133" i="13" s="1"/>
  <c r="H133" i="13" a="1"/>
  <c r="H133" i="13" s="1"/>
  <c r="A133" i="13"/>
  <c r="H137" i="13" a="1"/>
  <c r="H137" i="13" s="1"/>
  <c r="A137" i="13"/>
  <c r="D137" i="13" a="1"/>
  <c r="D137" i="13" s="1"/>
  <c r="I144" i="13"/>
  <c r="G170" i="13"/>
  <c r="F170" i="13"/>
  <c r="E170" i="13"/>
  <c r="O196" i="13"/>
  <c r="N196" i="13"/>
  <c r="M196" i="13"/>
  <c r="L288" i="13" a="1"/>
  <c r="L288" i="13" s="1"/>
  <c r="A288" i="13"/>
  <c r="D288" i="13" a="1"/>
  <c r="D288" i="13" s="1"/>
  <c r="H288" i="13" a="1"/>
  <c r="H288" i="13" s="1"/>
  <c r="L75" i="13" a="1"/>
  <c r="L75" i="13" s="1"/>
  <c r="A75" i="13"/>
  <c r="D103" i="13" a="1"/>
  <c r="D103" i="13" s="1"/>
  <c r="H103" i="13" a="1"/>
  <c r="H103" i="13" s="1"/>
  <c r="L127" i="13" a="1"/>
  <c r="L127" i="13" s="1"/>
  <c r="A127" i="13"/>
  <c r="H127" i="13" a="1"/>
  <c r="H127" i="13" s="1"/>
  <c r="D127" i="13" a="1"/>
  <c r="D127" i="13" s="1"/>
  <c r="L131" i="13" a="1"/>
  <c r="L131" i="13" s="1"/>
  <c r="A131" i="13"/>
  <c r="D131" i="13" a="1"/>
  <c r="D131" i="13" s="1"/>
  <c r="G141" i="13"/>
  <c r="F141" i="13"/>
  <c r="E141" i="13"/>
  <c r="H142" i="13" a="1"/>
  <c r="H142" i="13" s="1"/>
  <c r="L142" i="13" a="1"/>
  <c r="L142" i="13" s="1"/>
  <c r="A142" i="13"/>
  <c r="I146" i="13"/>
  <c r="D157" i="13" a="1"/>
  <c r="D157" i="13" s="1"/>
  <c r="H157" i="13" a="1"/>
  <c r="H157" i="13" s="1"/>
  <c r="L157" i="13" a="1"/>
  <c r="L157" i="13" s="1"/>
  <c r="A157" i="13"/>
  <c r="L158" i="13" a="1"/>
  <c r="L158" i="13" s="1"/>
  <c r="A158" i="13"/>
  <c r="D158" i="13" a="1"/>
  <c r="D158" i="13" s="1"/>
  <c r="L162" i="13" a="1"/>
  <c r="L162" i="13" s="1"/>
  <c r="A162" i="13"/>
  <c r="D162" i="13" a="1"/>
  <c r="D162" i="13" s="1"/>
  <c r="H171" i="13" a="1"/>
  <c r="H171" i="13" s="1"/>
  <c r="L171" i="13" a="1"/>
  <c r="L171" i="13" s="1"/>
  <c r="A171" i="13"/>
  <c r="D171" i="13" a="1"/>
  <c r="D171" i="13" s="1"/>
  <c r="L185" i="13" a="1"/>
  <c r="L185" i="13" s="1"/>
  <c r="A185" i="13"/>
  <c r="D185" i="13" a="1"/>
  <c r="D185" i="13" s="1"/>
  <c r="K192" i="13"/>
  <c r="J192" i="13"/>
  <c r="G193" i="13"/>
  <c r="F193" i="13"/>
  <c r="E193" i="13"/>
  <c r="L208" i="13" a="1"/>
  <c r="L208" i="13" s="1"/>
  <c r="A208" i="13"/>
  <c r="D208" i="13" a="1"/>
  <c r="D208" i="13" s="1"/>
  <c r="H208" i="13" a="1"/>
  <c r="H208" i="13" s="1"/>
  <c r="N214" i="13"/>
  <c r="M214" i="13"/>
  <c r="L228" i="13" a="1"/>
  <c r="L228" i="13" s="1"/>
  <c r="A228" i="13"/>
  <c r="D228" i="13" a="1"/>
  <c r="D228" i="13" s="1"/>
  <c r="H228" i="13" a="1"/>
  <c r="H228" i="13" s="1"/>
  <c r="K242" i="13"/>
  <c r="I242" i="13"/>
  <c r="L254" i="13" a="1"/>
  <c r="L254" i="13" s="1"/>
  <c r="A254" i="13"/>
  <c r="D254" i="13" a="1"/>
  <c r="D254" i="13" s="1"/>
  <c r="H254" i="13" a="1"/>
  <c r="H254" i="13" s="1"/>
  <c r="H287" i="13" a="1"/>
  <c r="H287" i="13" s="1"/>
  <c r="L287" i="13" a="1"/>
  <c r="L287" i="13" s="1"/>
  <c r="A287" i="13"/>
  <c r="D287" i="13" a="1"/>
  <c r="D287" i="13" s="1"/>
  <c r="D95" i="13" a="1"/>
  <c r="D95" i="13" s="1"/>
  <c r="D96" i="13" a="1"/>
  <c r="D96" i="13" s="1"/>
  <c r="D111" i="13" a="1"/>
  <c r="D111" i="13" s="1"/>
  <c r="D112" i="13" a="1"/>
  <c r="D112" i="13" s="1"/>
  <c r="D124" i="13" a="1"/>
  <c r="D124" i="13" s="1"/>
  <c r="D135" i="13" a="1"/>
  <c r="D135" i="13" s="1"/>
  <c r="H135" i="13" a="1"/>
  <c r="H135" i="13" s="1"/>
  <c r="H141" i="13" a="1"/>
  <c r="H141" i="13" s="1"/>
  <c r="L141" i="13" a="1"/>
  <c r="L141" i="13" s="1"/>
  <c r="A141" i="13"/>
  <c r="D142" i="13" a="1"/>
  <c r="D142" i="13" s="1"/>
  <c r="L145" i="13" a="1"/>
  <c r="L145" i="13" s="1"/>
  <c r="A145" i="13"/>
  <c r="D145" i="13" a="1"/>
  <c r="D145" i="13" s="1"/>
  <c r="L150" i="13" a="1"/>
  <c r="L150" i="13" s="1"/>
  <c r="A150" i="13"/>
  <c r="H150" i="13" a="1"/>
  <c r="H150" i="13" s="1"/>
  <c r="D150" i="13" a="1"/>
  <c r="D150" i="13" s="1"/>
  <c r="G156" i="13"/>
  <c r="F156" i="13"/>
  <c r="E156" i="13"/>
  <c r="D176" i="13" a="1"/>
  <c r="D176" i="13" s="1"/>
  <c r="H176" i="13" a="1"/>
  <c r="H176" i="13" s="1"/>
  <c r="D187" i="13" a="1"/>
  <c r="D187" i="13" s="1"/>
  <c r="H187" i="13" a="1"/>
  <c r="H187" i="13" s="1"/>
  <c r="F211" i="13"/>
  <c r="G227" i="13"/>
  <c r="E227" i="13"/>
  <c r="F227" i="13"/>
  <c r="D239" i="13" a="1"/>
  <c r="D239" i="13" s="1"/>
  <c r="H239" i="13" a="1"/>
  <c r="H239" i="13" s="1"/>
  <c r="L239" i="13" a="1"/>
  <c r="L239" i="13" s="1"/>
  <c r="A239" i="13"/>
  <c r="J247" i="13"/>
  <c r="K247" i="13"/>
  <c r="I247" i="13"/>
  <c r="F285" i="13"/>
  <c r="G285" i="13"/>
  <c r="E285" i="13"/>
  <c r="L135" i="13" a="1"/>
  <c r="L135" i="13" s="1"/>
  <c r="L144" i="13" a="1"/>
  <c r="L144" i="13" s="1"/>
  <c r="A144" i="13"/>
  <c r="D153" i="13" a="1"/>
  <c r="D153" i="13" s="1"/>
  <c r="L153" i="13" a="1"/>
  <c r="L153" i="13" s="1"/>
  <c r="H153" i="13" a="1"/>
  <c r="H153" i="13" s="1"/>
  <c r="G154" i="13"/>
  <c r="E154" i="13"/>
  <c r="E161" i="13"/>
  <c r="K162" i="13"/>
  <c r="J162" i="13"/>
  <c r="K167" i="13"/>
  <c r="N191" i="13"/>
  <c r="M191" i="13"/>
  <c r="L194" i="13" a="1"/>
  <c r="L194" i="13" s="1"/>
  <c r="A194" i="13"/>
  <c r="D194" i="13" a="1"/>
  <c r="D194" i="13" s="1"/>
  <c r="L203" i="13" a="1"/>
  <c r="L203" i="13" s="1"/>
  <c r="A203" i="13"/>
  <c r="D203" i="13" a="1"/>
  <c r="D203" i="13" s="1"/>
  <c r="H203" i="13" a="1"/>
  <c r="H203" i="13" s="1"/>
  <c r="I210" i="13"/>
  <c r="K226" i="13"/>
  <c r="I226" i="13"/>
  <c r="J226" i="13"/>
  <c r="A95" i="13"/>
  <c r="A96" i="13"/>
  <c r="A111" i="13"/>
  <c r="A112" i="13"/>
  <c r="A114" i="13"/>
  <c r="H114" i="13" a="1"/>
  <c r="H114" i="13" s="1"/>
  <c r="A123" i="13"/>
  <c r="A138" i="13"/>
  <c r="G146" i="13"/>
  <c r="F146" i="13"/>
  <c r="E146" i="13"/>
  <c r="D151" i="13" a="1"/>
  <c r="D151" i="13" s="1"/>
  <c r="L151" i="13" a="1"/>
  <c r="L151" i="13" s="1"/>
  <c r="H151" i="13" a="1"/>
  <c r="H151" i="13" s="1"/>
  <c r="I161" i="13"/>
  <c r="K161" i="13"/>
  <c r="J161" i="13"/>
  <c r="G175" i="13"/>
  <c r="E175" i="13"/>
  <c r="L176" i="13" a="1"/>
  <c r="L176" i="13" s="1"/>
  <c r="L178" i="13" a="1"/>
  <c r="L178" i="13" s="1"/>
  <c r="A178" i="13"/>
  <c r="D178" i="13" a="1"/>
  <c r="D178" i="13" s="1"/>
  <c r="L183" i="13" a="1"/>
  <c r="L183" i="13" s="1"/>
  <c r="A183" i="13"/>
  <c r="D183" i="13" a="1"/>
  <c r="D183" i="13" s="1"/>
  <c r="H183" i="13" a="1"/>
  <c r="H183" i="13" s="1"/>
  <c r="K197" i="13"/>
  <c r="J197" i="13"/>
  <c r="G202" i="13"/>
  <c r="F202" i="13"/>
  <c r="J215" i="13"/>
  <c r="K215" i="13"/>
  <c r="G217" i="13"/>
  <c r="E217" i="13"/>
  <c r="F217" i="13"/>
  <c r="H225" i="13" a="1"/>
  <c r="H225" i="13" s="1"/>
  <c r="L225" i="13" a="1"/>
  <c r="L225" i="13" s="1"/>
  <c r="A225" i="13"/>
  <c r="D225" i="13" a="1"/>
  <c r="D225" i="13" s="1"/>
  <c r="K233" i="13"/>
  <c r="I233" i="13"/>
  <c r="J233" i="13"/>
  <c r="L244" i="13" a="1"/>
  <c r="L244" i="13" s="1"/>
  <c r="A244" i="13"/>
  <c r="D244" i="13" a="1"/>
  <c r="D244" i="13" s="1"/>
  <c r="H244" i="13" a="1"/>
  <c r="H244" i="13" s="1"/>
  <c r="L270" i="13" a="1"/>
  <c r="L270" i="13" s="1"/>
  <c r="A270" i="13"/>
  <c r="D270" i="13" a="1"/>
  <c r="D270" i="13" s="1"/>
  <c r="H270" i="13" a="1"/>
  <c r="H270" i="13" s="1"/>
  <c r="L279" i="13" a="1"/>
  <c r="L279" i="13" s="1"/>
  <c r="A279" i="13"/>
  <c r="D279" i="13" a="1"/>
  <c r="D279" i="13" s="1"/>
  <c r="H279" i="13" a="1"/>
  <c r="H279" i="13" s="1"/>
  <c r="J123" i="13"/>
  <c r="J138" i="13"/>
  <c r="L143" i="13" a="1"/>
  <c r="L143" i="13" s="1"/>
  <c r="A143" i="13"/>
  <c r="L169" i="13" a="1"/>
  <c r="L169" i="13" s="1"/>
  <c r="A169" i="13"/>
  <c r="D169" i="13" a="1"/>
  <c r="D169" i="13" s="1"/>
  <c r="H169" i="13" a="1"/>
  <c r="H169" i="13" s="1"/>
  <c r="O184" i="13"/>
  <c r="N184" i="13"/>
  <c r="J191" i="13"/>
  <c r="I191" i="13"/>
  <c r="O206" i="13"/>
  <c r="M206" i="13"/>
  <c r="N206" i="13"/>
  <c r="H307" i="13" a="1"/>
  <c r="H307" i="13" s="1"/>
  <c r="D307" i="13" a="1"/>
  <c r="D307" i="13" s="1"/>
  <c r="L307" i="13" a="1"/>
  <c r="L307" i="13" s="1"/>
  <c r="A307" i="13"/>
  <c r="K123" i="13"/>
  <c r="J124" i="13"/>
  <c r="L138" i="13" a="1"/>
  <c r="L138" i="13" s="1"/>
  <c r="H159" i="13" a="1"/>
  <c r="H159" i="13" s="1"/>
  <c r="A159" i="13"/>
  <c r="L159" i="13" a="1"/>
  <c r="L159" i="13" s="1"/>
  <c r="L187" i="13" a="1"/>
  <c r="L187" i="13" s="1"/>
  <c r="K194" i="13"/>
  <c r="J194" i="13"/>
  <c r="I194" i="13"/>
  <c r="D196" i="13" a="1"/>
  <c r="D196" i="13" s="1"/>
  <c r="H196" i="13" a="1"/>
  <c r="H196" i="13" s="1"/>
  <c r="L199" i="13" a="1"/>
  <c r="L199" i="13" s="1"/>
  <c r="A199" i="13"/>
  <c r="D199" i="13" a="1"/>
  <c r="D199" i="13" s="1"/>
  <c r="H199" i="13" a="1"/>
  <c r="H199" i="13" s="1"/>
  <c r="E202" i="13"/>
  <c r="K286" i="13"/>
  <c r="I286" i="13"/>
  <c r="J286" i="13"/>
  <c r="H172" i="13" a="1"/>
  <c r="H172" i="13" s="1"/>
  <c r="L172" i="13" a="1"/>
  <c r="L172" i="13" s="1"/>
  <c r="A172" i="13"/>
  <c r="J200" i="13"/>
  <c r="I200" i="13"/>
  <c r="E207" i="13"/>
  <c r="F209" i="13"/>
  <c r="G209" i="13"/>
  <c r="E209" i="13"/>
  <c r="L210" i="13" a="1"/>
  <c r="L210" i="13" s="1"/>
  <c r="F218" i="13"/>
  <c r="G218" i="13"/>
  <c r="O220" i="13"/>
  <c r="N220" i="13"/>
  <c r="M220" i="13"/>
  <c r="H229" i="13" a="1"/>
  <c r="H229" i="13" s="1"/>
  <c r="L229" i="13" a="1"/>
  <c r="L229" i="13" s="1"/>
  <c r="A229" i="13"/>
  <c r="D229" i="13" a="1"/>
  <c r="D229" i="13" s="1"/>
  <c r="H245" i="13" a="1"/>
  <c r="H245" i="13" s="1"/>
  <c r="L245" i="13" a="1"/>
  <c r="L245" i="13" s="1"/>
  <c r="A245" i="13"/>
  <c r="D245" i="13" a="1"/>
  <c r="D245" i="13" s="1"/>
  <c r="H246" i="13" a="1"/>
  <c r="H246" i="13" s="1"/>
  <c r="K308" i="13"/>
  <c r="J308" i="13"/>
  <c r="I308" i="13"/>
  <c r="H321" i="13" a="1"/>
  <c r="H321" i="13" s="1"/>
  <c r="D321" i="13" a="1"/>
  <c r="D321" i="13" s="1"/>
  <c r="L321" i="13" a="1"/>
  <c r="L321" i="13" s="1"/>
  <c r="A321" i="13"/>
  <c r="F371" i="13"/>
  <c r="E371" i="13"/>
  <c r="G371" i="13"/>
  <c r="K373" i="13"/>
  <c r="I373" i="13"/>
  <c r="J373" i="13"/>
  <c r="L165" i="13" a="1"/>
  <c r="L165" i="13" s="1"/>
  <c r="A165" i="13"/>
  <c r="D165" i="13" a="1"/>
  <c r="D165" i="13" s="1"/>
  <c r="J165" i="13"/>
  <c r="A167" i="13"/>
  <c r="L167" i="13" a="1"/>
  <c r="L167" i="13" s="1"/>
  <c r="L181" i="13" a="1"/>
  <c r="L181" i="13" s="1"/>
  <c r="A181" i="13"/>
  <c r="D181" i="13" a="1"/>
  <c r="D181" i="13" s="1"/>
  <c r="J181" i="13"/>
  <c r="H188" i="13" a="1"/>
  <c r="H188" i="13" s="1"/>
  <c r="L188" i="13" a="1"/>
  <c r="L188" i="13" s="1"/>
  <c r="A188" i="13"/>
  <c r="L192" i="13" a="1"/>
  <c r="L192" i="13" s="1"/>
  <c r="A192" i="13"/>
  <c r="D192" i="13" a="1"/>
  <c r="D192" i="13" s="1"/>
  <c r="H195" i="13" a="1"/>
  <c r="H195" i="13" s="1"/>
  <c r="L195" i="13" a="1"/>
  <c r="L195" i="13" s="1"/>
  <c r="A195" i="13"/>
  <c r="K207" i="13"/>
  <c r="I207" i="13"/>
  <c r="A210" i="13"/>
  <c r="K217" i="13"/>
  <c r="I217" i="13"/>
  <c r="L219" i="13" a="1"/>
  <c r="L219" i="13" s="1"/>
  <c r="A219" i="13"/>
  <c r="D219" i="13" a="1"/>
  <c r="D219" i="13" s="1"/>
  <c r="H219" i="13" a="1"/>
  <c r="H219" i="13" s="1"/>
  <c r="D260" i="13" a="1"/>
  <c r="D260" i="13" s="1"/>
  <c r="H260" i="13" a="1"/>
  <c r="H260" i="13" s="1"/>
  <c r="L260" i="13" a="1"/>
  <c r="L260" i="13" s="1"/>
  <c r="A260" i="13"/>
  <c r="D276" i="13" a="1"/>
  <c r="D276" i="13" s="1"/>
  <c r="H276" i="13" a="1"/>
  <c r="H276" i="13" s="1"/>
  <c r="L276" i="13" a="1"/>
  <c r="L276" i="13" s="1"/>
  <c r="L146" i="13" a="1"/>
  <c r="L146" i="13" s="1"/>
  <c r="L147" i="13" a="1"/>
  <c r="L147" i="13" s="1"/>
  <c r="A147" i="13"/>
  <c r="L154" i="13" a="1"/>
  <c r="L154" i="13" s="1"/>
  <c r="G167" i="13"/>
  <c r="E167" i="13"/>
  <c r="D172" i="13" a="1"/>
  <c r="D172" i="13" s="1"/>
  <c r="D173" i="13" a="1"/>
  <c r="D173" i="13" s="1"/>
  <c r="H173" i="13" a="1"/>
  <c r="H173" i="13" s="1"/>
  <c r="D189" i="13" a="1"/>
  <c r="D189" i="13" s="1"/>
  <c r="H189" i="13" a="1"/>
  <c r="H189" i="13" s="1"/>
  <c r="L189" i="13" a="1"/>
  <c r="L189" i="13" s="1"/>
  <c r="G210" i="13"/>
  <c r="E210" i="13"/>
  <c r="F210" i="13"/>
  <c r="D230" i="13" a="1"/>
  <c r="D230" i="13" s="1"/>
  <c r="H230" i="13" a="1"/>
  <c r="H230" i="13" s="1"/>
  <c r="F234" i="13"/>
  <c r="G234" i="13"/>
  <c r="E234" i="13"/>
  <c r="G250" i="13"/>
  <c r="F250" i="13"/>
  <c r="E250" i="13"/>
  <c r="G255" i="13"/>
  <c r="F255" i="13"/>
  <c r="H264" i="13" a="1"/>
  <c r="H264" i="13" s="1"/>
  <c r="D264" i="13" a="1"/>
  <c r="D264" i="13" s="1"/>
  <c r="L264" i="13" a="1"/>
  <c r="L264" i="13" s="1"/>
  <c r="A264" i="13"/>
  <c r="D290" i="13" a="1"/>
  <c r="D290" i="13" s="1"/>
  <c r="L290" i="13" a="1"/>
  <c r="L290" i="13" s="1"/>
  <c r="A290" i="13"/>
  <c r="H290" i="13" a="1"/>
  <c r="H290" i="13" s="1"/>
  <c r="D152" i="13" a="1"/>
  <c r="D152" i="13" s="1"/>
  <c r="L152" i="13" a="1"/>
  <c r="L152" i="13" s="1"/>
  <c r="H156" i="13" a="1"/>
  <c r="H156" i="13" s="1"/>
  <c r="L156" i="13" a="1"/>
  <c r="L156" i="13" s="1"/>
  <c r="A156" i="13"/>
  <c r="L160" i="13" a="1"/>
  <c r="L160" i="13" s="1"/>
  <c r="H163" i="13" a="1"/>
  <c r="H163" i="13" s="1"/>
  <c r="L163" i="13" a="1"/>
  <c r="L163" i="13" s="1"/>
  <c r="A163" i="13"/>
  <c r="H179" i="13" a="1"/>
  <c r="H179" i="13" s="1"/>
  <c r="L179" i="13" a="1"/>
  <c r="L179" i="13" s="1"/>
  <c r="A179" i="13"/>
  <c r="K186" i="13"/>
  <c r="J193" i="13"/>
  <c r="L197" i="13" a="1"/>
  <c r="L197" i="13" s="1"/>
  <c r="A197" i="13"/>
  <c r="D197" i="13" a="1"/>
  <c r="D197" i="13" s="1"/>
  <c r="E200" i="13"/>
  <c r="O202" i="13"/>
  <c r="N202" i="13"/>
  <c r="M216" i="13"/>
  <c r="J217" i="13"/>
  <c r="L235" i="13" a="1"/>
  <c r="L235" i="13" s="1"/>
  <c r="A235" i="13"/>
  <c r="D235" i="13" a="1"/>
  <c r="D235" i="13" s="1"/>
  <c r="H235" i="13" a="1"/>
  <c r="H235" i="13" s="1"/>
  <c r="G236" i="13"/>
  <c r="E236" i="13"/>
  <c r="F236" i="13"/>
  <c r="L246" i="13" a="1"/>
  <c r="L246" i="13" s="1"/>
  <c r="D246" i="13" a="1"/>
  <c r="D246" i="13" s="1"/>
  <c r="L272" i="13" a="1"/>
  <c r="L272" i="13" s="1"/>
  <c r="A272" i="13"/>
  <c r="D272" i="13" a="1"/>
  <c r="D272" i="13" s="1"/>
  <c r="H272" i="13" a="1"/>
  <c r="H272" i="13" s="1"/>
  <c r="O318" i="13"/>
  <c r="N318" i="13"/>
  <c r="M318" i="13"/>
  <c r="L148" i="13" a="1"/>
  <c r="L148" i="13" s="1"/>
  <c r="A148" i="13"/>
  <c r="L173" i="13" a="1"/>
  <c r="L173" i="13" s="1"/>
  <c r="N177" i="13"/>
  <c r="M177" i="13"/>
  <c r="D182" i="13" a="1"/>
  <c r="D182" i="13" s="1"/>
  <c r="H182" i="13" a="1"/>
  <c r="H182" i="13" s="1"/>
  <c r="L182" i="13" a="1"/>
  <c r="L182" i="13" s="1"/>
  <c r="D188" i="13" a="1"/>
  <c r="D188" i="13" s="1"/>
  <c r="N190" i="13"/>
  <c r="M190" i="13"/>
  <c r="D195" i="13" a="1"/>
  <c r="D195" i="13" s="1"/>
  <c r="D198" i="13" a="1"/>
  <c r="D198" i="13" s="1"/>
  <c r="H198" i="13" a="1"/>
  <c r="H198" i="13" s="1"/>
  <c r="L198" i="13" a="1"/>
  <c r="L198" i="13" s="1"/>
  <c r="F200" i="13"/>
  <c r="D204" i="13" a="1"/>
  <c r="D204" i="13" s="1"/>
  <c r="L204" i="13" a="1"/>
  <c r="L204" i="13" s="1"/>
  <c r="D205" i="13" a="1"/>
  <c r="D205" i="13" s="1"/>
  <c r="L205" i="13" a="1"/>
  <c r="L205" i="13" s="1"/>
  <c r="L212" i="13" a="1"/>
  <c r="L212" i="13" s="1"/>
  <c r="A212" i="13"/>
  <c r="D212" i="13" a="1"/>
  <c r="D212" i="13" s="1"/>
  <c r="H212" i="13" a="1"/>
  <c r="H212" i="13" s="1"/>
  <c r="L297" i="13" a="1"/>
  <c r="L297" i="13" s="1"/>
  <c r="A297" i="13"/>
  <c r="D297" i="13" a="1"/>
  <c r="D297" i="13" s="1"/>
  <c r="H297" i="13" a="1"/>
  <c r="H297" i="13" s="1"/>
  <c r="L215" i="13" a="1"/>
  <c r="L215" i="13" s="1"/>
  <c r="A215" i="13"/>
  <c r="L217" i="13" a="1"/>
  <c r="L217" i="13" s="1"/>
  <c r="L226" i="13" a="1"/>
  <c r="L226" i="13" s="1"/>
  <c r="A226" i="13"/>
  <c r="D226" i="13" a="1"/>
  <c r="D226" i="13" s="1"/>
  <c r="N231" i="13"/>
  <c r="M231" i="13"/>
  <c r="O231" i="13"/>
  <c r="O232" i="13"/>
  <c r="M232" i="13"/>
  <c r="O236" i="13"/>
  <c r="N236" i="13"/>
  <c r="M236" i="13"/>
  <c r="K237" i="13"/>
  <c r="J237" i="13"/>
  <c r="I237" i="13"/>
  <c r="H241" i="13" a="1"/>
  <c r="H241" i="13" s="1"/>
  <c r="L241" i="13" a="1"/>
  <c r="L241" i="13" s="1"/>
  <c r="A241" i="13"/>
  <c r="D247" i="13" a="1"/>
  <c r="D247" i="13" s="1"/>
  <c r="L247" i="13" a="1"/>
  <c r="L247" i="13" s="1"/>
  <c r="A247" i="13"/>
  <c r="H248" i="13" a="1"/>
  <c r="H248" i="13" s="1"/>
  <c r="D248" i="13" a="1"/>
  <c r="D248" i="13" s="1"/>
  <c r="L248" i="13" a="1"/>
  <c r="L248" i="13" s="1"/>
  <c r="A248" i="13"/>
  <c r="L268" i="13" a="1"/>
  <c r="L268" i="13" s="1"/>
  <c r="A268" i="13"/>
  <c r="H268" i="13" a="1"/>
  <c r="H268" i="13" s="1"/>
  <c r="D268" i="13" a="1"/>
  <c r="D268" i="13" s="1"/>
  <c r="D283" i="13" a="1"/>
  <c r="D283" i="13" s="1"/>
  <c r="H283" i="13" a="1"/>
  <c r="H283" i="13" s="1"/>
  <c r="A283" i="13"/>
  <c r="G291" i="13"/>
  <c r="F291" i="13"/>
  <c r="E291" i="13"/>
  <c r="H300" i="13" a="1"/>
  <c r="H300" i="13" s="1"/>
  <c r="D300" i="13" a="1"/>
  <c r="D300" i="13" s="1"/>
  <c r="L300" i="13" a="1"/>
  <c r="L300" i="13" s="1"/>
  <c r="A300" i="13"/>
  <c r="L315" i="13" a="1"/>
  <c r="L315" i="13" s="1"/>
  <c r="A315" i="13"/>
  <c r="D315" i="13" a="1"/>
  <c r="D315" i="13" s="1"/>
  <c r="H315" i="13" a="1"/>
  <c r="H315" i="13" s="1"/>
  <c r="H419" i="13" a="1"/>
  <c r="H419" i="13" s="1"/>
  <c r="L419" i="13" a="1"/>
  <c r="L419" i="13" s="1"/>
  <c r="A419" i="13"/>
  <c r="D419" i="13" a="1"/>
  <c r="D419" i="13" s="1"/>
  <c r="K448" i="13"/>
  <c r="I448" i="13"/>
  <c r="J448" i="13"/>
  <c r="F214" i="13"/>
  <c r="G224" i="13"/>
  <c r="F224" i="13"/>
  <c r="E224" i="13"/>
  <c r="L242" i="13" a="1"/>
  <c r="L242" i="13" s="1"/>
  <c r="A242" i="13"/>
  <c r="D242" i="13" a="1"/>
  <c r="D242" i="13" s="1"/>
  <c r="L252" i="13" a="1"/>
  <c r="L252" i="13" s="1"/>
  <c r="A252" i="13"/>
  <c r="H252" i="13" a="1"/>
  <c r="H252" i="13" s="1"/>
  <c r="D252" i="13" a="1"/>
  <c r="D252" i="13" s="1"/>
  <c r="L263" i="13" a="1"/>
  <c r="L263" i="13" s="1"/>
  <c r="A263" i="13"/>
  <c r="D263" i="13" a="1"/>
  <c r="D263" i="13" s="1"/>
  <c r="H263" i="13" a="1"/>
  <c r="H263" i="13" s="1"/>
  <c r="L275" i="13" a="1"/>
  <c r="L275" i="13" s="1"/>
  <c r="A275" i="13"/>
  <c r="H275" i="13" a="1"/>
  <c r="H275" i="13" s="1"/>
  <c r="J291" i="13"/>
  <c r="I291" i="13"/>
  <c r="F294" i="13"/>
  <c r="G294" i="13"/>
  <c r="E294" i="13"/>
  <c r="H298" i="13" a="1"/>
  <c r="H298" i="13" s="1"/>
  <c r="L298" i="13" a="1"/>
  <c r="L298" i="13" s="1"/>
  <c r="D298" i="13" a="1"/>
  <c r="D298" i="13" s="1"/>
  <c r="D383" i="13" a="1"/>
  <c r="D383" i="13" s="1"/>
  <c r="A383" i="13"/>
  <c r="H383" i="13" a="1"/>
  <c r="H383" i="13" s="1"/>
  <c r="L383" i="13" a="1"/>
  <c r="L383" i="13" s="1"/>
  <c r="A190" i="13"/>
  <c r="H213" i="13" a="1"/>
  <c r="H213" i="13" s="1"/>
  <c r="L213" i="13" a="1"/>
  <c r="L213" i="13" s="1"/>
  <c r="A213" i="13"/>
  <c r="D213" i="13" a="1"/>
  <c r="D213" i="13" s="1"/>
  <c r="G214" i="13"/>
  <c r="D232" i="13" a="1"/>
  <c r="D232" i="13" s="1"/>
  <c r="H232" i="13" a="1"/>
  <c r="H232" i="13" s="1"/>
  <c r="N232" i="13"/>
  <c r="H262" i="13" a="1"/>
  <c r="H262" i="13" s="1"/>
  <c r="D262" i="13" a="1"/>
  <c r="D262" i="13" s="1"/>
  <c r="L262" i="13" a="1"/>
  <c r="L262" i="13" s="1"/>
  <c r="A262" i="13"/>
  <c r="G269" i="13"/>
  <c r="E269" i="13"/>
  <c r="H271" i="13" a="1"/>
  <c r="H271" i="13" s="1"/>
  <c r="D271" i="13" a="1"/>
  <c r="D271" i="13" s="1"/>
  <c r="L271" i="13" a="1"/>
  <c r="L271" i="13" s="1"/>
  <c r="A271" i="13"/>
  <c r="L277" i="13" a="1"/>
  <c r="L277" i="13" s="1"/>
  <c r="A277" i="13"/>
  <c r="D277" i="13" a="1"/>
  <c r="D277" i="13" s="1"/>
  <c r="H277" i="13" a="1"/>
  <c r="H277" i="13" s="1"/>
  <c r="K291" i="13"/>
  <c r="G309" i="13"/>
  <c r="F309" i="13"/>
  <c r="E309" i="13"/>
  <c r="D317" i="13" a="1"/>
  <c r="D317" i="13" s="1"/>
  <c r="L317" i="13" a="1"/>
  <c r="L317" i="13" s="1"/>
  <c r="A317" i="13"/>
  <c r="H317" i="13" a="1"/>
  <c r="H317" i="13" s="1"/>
  <c r="O330" i="13"/>
  <c r="M330" i="13"/>
  <c r="N330" i="13"/>
  <c r="H218" i="13" a="1"/>
  <c r="H218" i="13" s="1"/>
  <c r="L218" i="13" a="1"/>
  <c r="L218" i="13" s="1"/>
  <c r="A218" i="13"/>
  <c r="H222" i="13" a="1"/>
  <c r="H222" i="13" s="1"/>
  <c r="L222" i="13" a="1"/>
  <c r="L222" i="13" s="1"/>
  <c r="A222" i="13"/>
  <c r="D222" i="13" a="1"/>
  <c r="D222" i="13" s="1"/>
  <c r="L233" i="13" a="1"/>
  <c r="L233" i="13" s="1"/>
  <c r="A233" i="13"/>
  <c r="D233" i="13" a="1"/>
  <c r="D233" i="13" s="1"/>
  <c r="O237" i="13"/>
  <c r="D241" i="13" a="1"/>
  <c r="D241" i="13" s="1"/>
  <c r="L256" i="13" a="1"/>
  <c r="L256" i="13" s="1"/>
  <c r="A256" i="13"/>
  <c r="D256" i="13" a="1"/>
  <c r="D256" i="13" s="1"/>
  <c r="H256" i="13" a="1"/>
  <c r="H256" i="13" s="1"/>
  <c r="G259" i="13"/>
  <c r="F259" i="13"/>
  <c r="E259" i="13"/>
  <c r="F269" i="13"/>
  <c r="L283" i="13" a="1"/>
  <c r="L283" i="13" s="1"/>
  <c r="L295" i="13" a="1"/>
  <c r="L295" i="13" s="1"/>
  <c r="A295" i="13"/>
  <c r="D295" i="13" a="1"/>
  <c r="D295" i="13" s="1"/>
  <c r="H295" i="13" a="1"/>
  <c r="H295" i="13" s="1"/>
  <c r="K320" i="13"/>
  <c r="I325" i="13"/>
  <c r="K325" i="13"/>
  <c r="L364" i="13" a="1"/>
  <c r="L364" i="13" s="1"/>
  <c r="A364" i="13"/>
  <c r="D364" i="13" a="1"/>
  <c r="D364" i="13" s="1"/>
  <c r="H364" i="13" a="1"/>
  <c r="H364" i="13" s="1"/>
  <c r="H206" i="13" a="1"/>
  <c r="H206" i="13" s="1"/>
  <c r="D206" i="13" a="1"/>
  <c r="D206" i="13" s="1"/>
  <c r="H209" i="13" a="1"/>
  <c r="H209" i="13" s="1"/>
  <c r="L209" i="13" a="1"/>
  <c r="L209" i="13" s="1"/>
  <c r="A209" i="13"/>
  <c r="D215" i="13" a="1"/>
  <c r="D215" i="13" s="1"/>
  <c r="D216" i="13" a="1"/>
  <c r="D216" i="13" s="1"/>
  <c r="H216" i="13" a="1"/>
  <c r="H216" i="13" s="1"/>
  <c r="D223" i="13" a="1"/>
  <c r="D223" i="13" s="1"/>
  <c r="H223" i="13" a="1"/>
  <c r="H223" i="13" s="1"/>
  <c r="G231" i="13"/>
  <c r="F231" i="13"/>
  <c r="E231" i="13"/>
  <c r="H234" i="13" a="1"/>
  <c r="H234" i="13" s="1"/>
  <c r="L234" i="13" a="1"/>
  <c r="L234" i="13" s="1"/>
  <c r="A234" i="13"/>
  <c r="H238" i="13" a="1"/>
  <c r="H238" i="13" s="1"/>
  <c r="L238" i="13" a="1"/>
  <c r="L238" i="13" s="1"/>
  <c r="A238" i="13"/>
  <c r="D238" i="13" a="1"/>
  <c r="D238" i="13" s="1"/>
  <c r="L261" i="13" a="1"/>
  <c r="L261" i="13" s="1"/>
  <c r="A261" i="13"/>
  <c r="D261" i="13" a="1"/>
  <c r="D261" i="13" s="1"/>
  <c r="H261" i="13" a="1"/>
  <c r="H261" i="13" s="1"/>
  <c r="G275" i="13"/>
  <c r="F275" i="13"/>
  <c r="E275" i="13"/>
  <c r="G282" i="13"/>
  <c r="L284" i="13" a="1"/>
  <c r="L284" i="13" s="1"/>
  <c r="A284" i="13"/>
  <c r="H284" i="13" a="1"/>
  <c r="H284" i="13" s="1"/>
  <c r="D284" i="13" a="1"/>
  <c r="D284" i="13" s="1"/>
  <c r="K293" i="13"/>
  <c r="I293" i="13"/>
  <c r="J293" i="13"/>
  <c r="D299" i="13" a="1"/>
  <c r="D299" i="13" s="1"/>
  <c r="L299" i="13" a="1"/>
  <c r="L299" i="13" s="1"/>
  <c r="A299" i="13"/>
  <c r="H299" i="13" a="1"/>
  <c r="H299" i="13" s="1"/>
  <c r="N301" i="13"/>
  <c r="O301" i="13"/>
  <c r="J320" i="13"/>
  <c r="J325" i="13"/>
  <c r="K349" i="13"/>
  <c r="I349" i="13"/>
  <c r="J349" i="13"/>
  <c r="F249" i="13"/>
  <c r="F258" i="13"/>
  <c r="L259" i="13" a="1"/>
  <c r="L259" i="13" s="1"/>
  <c r="A259" i="13"/>
  <c r="F265" i="13"/>
  <c r="F274" i="13"/>
  <c r="H278" i="13" a="1"/>
  <c r="H278" i="13" s="1"/>
  <c r="L278" i="13" a="1"/>
  <c r="L278" i="13" s="1"/>
  <c r="A278" i="13"/>
  <c r="F281" i="13"/>
  <c r="L304" i="13" a="1"/>
  <c r="L304" i="13" s="1"/>
  <c r="A304" i="13"/>
  <c r="H304" i="13" a="1"/>
  <c r="H304" i="13" s="1"/>
  <c r="D304" i="13" a="1"/>
  <c r="D304" i="13" s="1"/>
  <c r="L306" i="13" a="1"/>
  <c r="L306" i="13" s="1"/>
  <c r="A306" i="13"/>
  <c r="D306" i="13" a="1"/>
  <c r="D306" i="13" s="1"/>
  <c r="H314" i="13" a="1"/>
  <c r="H314" i="13" s="1"/>
  <c r="A314" i="13"/>
  <c r="D314" i="13" a="1"/>
  <c r="D314" i="13" s="1"/>
  <c r="D319" i="13" a="1"/>
  <c r="D319" i="13" s="1"/>
  <c r="L319" i="13" a="1"/>
  <c r="L319" i="13" s="1"/>
  <c r="H319" i="13" a="1"/>
  <c r="H319" i="13" s="1"/>
  <c r="L326" i="13" a="1"/>
  <c r="L326" i="13" s="1"/>
  <c r="A326" i="13"/>
  <c r="D326" i="13" a="1"/>
  <c r="D326" i="13" s="1"/>
  <c r="H326" i="13" a="1"/>
  <c r="H326" i="13" s="1"/>
  <c r="D335" i="13" a="1"/>
  <c r="D335" i="13" s="1"/>
  <c r="L335" i="13" a="1"/>
  <c r="L335" i="13" s="1"/>
  <c r="A335" i="13"/>
  <c r="K353" i="13"/>
  <c r="J353" i="13"/>
  <c r="I353" i="13"/>
  <c r="O359" i="13"/>
  <c r="N359" i="13"/>
  <c r="M359" i="13"/>
  <c r="K362" i="13"/>
  <c r="J362" i="13"/>
  <c r="I362" i="13"/>
  <c r="H274" i="13" a="1"/>
  <c r="H274" i="13" s="1"/>
  <c r="H281" i="13" a="1"/>
  <c r="H281" i="13" s="1"/>
  <c r="H285" i="13" a="1"/>
  <c r="H285" i="13" s="1"/>
  <c r="L285" i="13" a="1"/>
  <c r="L285" i="13" s="1"/>
  <c r="A285" i="13"/>
  <c r="L292" i="13" a="1"/>
  <c r="L292" i="13" s="1"/>
  <c r="G296" i="13"/>
  <c r="E296" i="13"/>
  <c r="D303" i="13" a="1"/>
  <c r="D303" i="13" s="1"/>
  <c r="L303" i="13" a="1"/>
  <c r="L303" i="13" s="1"/>
  <c r="H303" i="13" a="1"/>
  <c r="H303" i="13" s="1"/>
  <c r="K306" i="13"/>
  <c r="I306" i="13"/>
  <c r="D312" i="13" a="1"/>
  <c r="D312" i="13" s="1"/>
  <c r="L312" i="13" a="1"/>
  <c r="L312" i="13" s="1"/>
  <c r="H312" i="13" a="1"/>
  <c r="H312" i="13" s="1"/>
  <c r="F322" i="13"/>
  <c r="G322" i="13"/>
  <c r="F329" i="13"/>
  <c r="K340" i="13"/>
  <c r="I340" i="13"/>
  <c r="D348" i="13" a="1"/>
  <c r="D348" i="13" s="1"/>
  <c r="H348" i="13" a="1"/>
  <c r="H348" i="13" s="1"/>
  <c r="A348" i="13"/>
  <c r="L348" i="13" a="1"/>
  <c r="L348" i="13" s="1"/>
  <c r="A224" i="13"/>
  <c r="A231" i="13"/>
  <c r="A240" i="13"/>
  <c r="A249" i="13"/>
  <c r="H249" i="13" a="1"/>
  <c r="H249" i="13" s="1"/>
  <c r="J253" i="13"/>
  <c r="I253" i="13"/>
  <c r="K253" i="13"/>
  <c r="A258" i="13"/>
  <c r="H258" i="13" a="1"/>
  <c r="H258" i="13" s="1"/>
  <c r="A265" i="13"/>
  <c r="H265" i="13" a="1"/>
  <c r="H265" i="13" s="1"/>
  <c r="A274" i="13"/>
  <c r="L274" i="13" a="1"/>
  <c r="L274" i="13" s="1"/>
  <c r="A281" i="13"/>
  <c r="L281" i="13" a="1"/>
  <c r="L281" i="13" s="1"/>
  <c r="L291" i="13" a="1"/>
  <c r="L291" i="13" s="1"/>
  <c r="A291" i="13"/>
  <c r="D310" i="13" a="1"/>
  <c r="D310" i="13" s="1"/>
  <c r="L310" i="13" a="1"/>
  <c r="L310" i="13" s="1"/>
  <c r="L325" i="13" a="1"/>
  <c r="L325" i="13" s="1"/>
  <c r="D325" i="13" a="1"/>
  <c r="D325" i="13" s="1"/>
  <c r="A325" i="13"/>
  <c r="H327" i="13" a="1"/>
  <c r="H327" i="13" s="1"/>
  <c r="L327" i="13" a="1"/>
  <c r="L327" i="13" s="1"/>
  <c r="A327" i="13"/>
  <c r="D327" i="13" a="1"/>
  <c r="D327" i="13" s="1"/>
  <c r="L346" i="13" a="1"/>
  <c r="L346" i="13" s="1"/>
  <c r="D346" i="13" a="1"/>
  <c r="D346" i="13" s="1"/>
  <c r="H346" i="13" a="1"/>
  <c r="H346" i="13" s="1"/>
  <c r="A346" i="13"/>
  <c r="L249" i="13" a="1"/>
  <c r="L249" i="13" s="1"/>
  <c r="D251" i="13" a="1"/>
  <c r="D251" i="13" s="1"/>
  <c r="H251" i="13" a="1"/>
  <c r="H251" i="13" s="1"/>
  <c r="L251" i="13" a="1"/>
  <c r="L251" i="13" s="1"/>
  <c r="F257" i="13"/>
  <c r="L258" i="13" a="1"/>
  <c r="L258" i="13" s="1"/>
  <c r="L265" i="13" a="1"/>
  <c r="L265" i="13" s="1"/>
  <c r="D267" i="13" a="1"/>
  <c r="D267" i="13" s="1"/>
  <c r="H267" i="13" a="1"/>
  <c r="H267" i="13" s="1"/>
  <c r="L267" i="13" a="1"/>
  <c r="L267" i="13" s="1"/>
  <c r="L286" i="13" a="1"/>
  <c r="L286" i="13" s="1"/>
  <c r="A286" i="13"/>
  <c r="D286" i="13" a="1"/>
  <c r="D286" i="13" s="1"/>
  <c r="D292" i="13" a="1"/>
  <c r="D292" i="13" s="1"/>
  <c r="H292" i="13" a="1"/>
  <c r="H292" i="13" s="1"/>
  <c r="L293" i="13" a="1"/>
  <c r="L293" i="13" s="1"/>
  <c r="A293" i="13"/>
  <c r="D293" i="13" a="1"/>
  <c r="D293" i="13" s="1"/>
  <c r="F296" i="13"/>
  <c r="D301" i="13" a="1"/>
  <c r="D301" i="13" s="1"/>
  <c r="H301" i="13" a="1"/>
  <c r="H301" i="13" s="1"/>
  <c r="A301" i="13"/>
  <c r="E322" i="13"/>
  <c r="J340" i="13"/>
  <c r="L342" i="13" a="1"/>
  <c r="L342" i="13" s="1"/>
  <c r="A342" i="13"/>
  <c r="D342" i="13" a="1"/>
  <c r="D342" i="13" s="1"/>
  <c r="H342" i="13" a="1"/>
  <c r="H342" i="13" s="1"/>
  <c r="G390" i="13"/>
  <c r="F390" i="13"/>
  <c r="E390" i="13"/>
  <c r="L253" i="13" a="1"/>
  <c r="L253" i="13" s="1"/>
  <c r="H259" i="13" a="1"/>
  <c r="H259" i="13" s="1"/>
  <c r="L269" i="13" a="1"/>
  <c r="L269" i="13" s="1"/>
  <c r="E278" i="13"/>
  <c r="H294" i="13" a="1"/>
  <c r="H294" i="13" s="1"/>
  <c r="L294" i="13" a="1"/>
  <c r="L294" i="13" s="1"/>
  <c r="A294" i="13"/>
  <c r="J296" i="13"/>
  <c r="G311" i="13"/>
  <c r="F311" i="13"/>
  <c r="E311" i="13"/>
  <c r="G331" i="13"/>
  <c r="H335" i="13" a="1"/>
  <c r="H335" i="13" s="1"/>
  <c r="L313" i="13" a="1"/>
  <c r="L313" i="13" s="1"/>
  <c r="A313" i="13"/>
  <c r="D324" i="13" a="1"/>
  <c r="D324" i="13" s="1"/>
  <c r="A324" i="13"/>
  <c r="H324" i="13" a="1"/>
  <c r="H324" i="13" s="1"/>
  <c r="D337" i="13" a="1"/>
  <c r="D337" i="13" s="1"/>
  <c r="H337" i="13" a="1"/>
  <c r="H337" i="13" s="1"/>
  <c r="F339" i="13"/>
  <c r="G339" i="13"/>
  <c r="E339" i="13"/>
  <c r="N341" i="13"/>
  <c r="M341" i="13"/>
  <c r="D352" i="13" a="1"/>
  <c r="D352" i="13" s="1"/>
  <c r="H352" i="13" a="1"/>
  <c r="H352" i="13" s="1"/>
  <c r="L352" i="13" a="1"/>
  <c r="L352" i="13" s="1"/>
  <c r="A352" i="13"/>
  <c r="J377" i="13"/>
  <c r="I377" i="13"/>
  <c r="K377" i="13"/>
  <c r="D392" i="13" a="1"/>
  <c r="D392" i="13" s="1"/>
  <c r="L392" i="13" a="1"/>
  <c r="L392" i="13" s="1"/>
  <c r="A392" i="13"/>
  <c r="H392" i="13" a="1"/>
  <c r="H392" i="13" s="1"/>
  <c r="A250" i="13"/>
  <c r="L250" i="13" a="1"/>
  <c r="L250" i="13" s="1"/>
  <c r="A257" i="13"/>
  <c r="L257" i="13" a="1"/>
  <c r="L257" i="13" s="1"/>
  <c r="A266" i="13"/>
  <c r="L266" i="13" a="1"/>
  <c r="L266" i="13" s="1"/>
  <c r="A273" i="13"/>
  <c r="L273" i="13" a="1"/>
  <c r="L273" i="13" s="1"/>
  <c r="A282" i="13"/>
  <c r="L282" i="13" a="1"/>
  <c r="L282" i="13" s="1"/>
  <c r="A289" i="13"/>
  <c r="L289" i="13" a="1"/>
  <c r="L289" i="13" s="1"/>
  <c r="A302" i="13"/>
  <c r="J302" i="13"/>
  <c r="A309" i="13"/>
  <c r="J309" i="13"/>
  <c r="K316" i="13"/>
  <c r="L340" i="13" a="1"/>
  <c r="L340" i="13" s="1"/>
  <c r="L367" i="13" a="1"/>
  <c r="L367" i="13" s="1"/>
  <c r="A367" i="13"/>
  <c r="D367" i="13" a="1"/>
  <c r="D367" i="13" s="1"/>
  <c r="H367" i="13" a="1"/>
  <c r="H367" i="13" s="1"/>
  <c r="O373" i="13"/>
  <c r="M373" i="13"/>
  <c r="J305" i="13"/>
  <c r="I305" i="13"/>
  <c r="L333" i="13" a="1"/>
  <c r="L333" i="13" s="1"/>
  <c r="A333" i="13"/>
  <c r="D333" i="13" a="1"/>
  <c r="D333" i="13" s="1"/>
  <c r="H333" i="13" a="1"/>
  <c r="H333" i="13" s="1"/>
  <c r="A340" i="13"/>
  <c r="H358" i="13" a="1"/>
  <c r="H358" i="13" s="1"/>
  <c r="L358" i="13" a="1"/>
  <c r="L358" i="13" s="1"/>
  <c r="A358" i="13"/>
  <c r="D358" i="13" a="1"/>
  <c r="D358" i="13" s="1"/>
  <c r="L387" i="13" a="1"/>
  <c r="L387" i="13" s="1"/>
  <c r="A387" i="13"/>
  <c r="D387" i="13" a="1"/>
  <c r="D387" i="13" s="1"/>
  <c r="H387" i="13" a="1"/>
  <c r="H387" i="13" s="1"/>
  <c r="K399" i="13"/>
  <c r="J399" i="13"/>
  <c r="I399" i="13"/>
  <c r="K305" i="13"/>
  <c r="L308" i="13" a="1"/>
  <c r="L308" i="13" s="1"/>
  <c r="A308" i="13"/>
  <c r="D308" i="13" a="1"/>
  <c r="D308" i="13" s="1"/>
  <c r="I311" i="13"/>
  <c r="D313" i="13" a="1"/>
  <c r="D313" i="13" s="1"/>
  <c r="L316" i="13" a="1"/>
  <c r="L316" i="13" s="1"/>
  <c r="H332" i="13" a="1"/>
  <c r="H332" i="13" s="1"/>
  <c r="L332" i="13" a="1"/>
  <c r="L332" i="13" s="1"/>
  <c r="A332" i="13"/>
  <c r="D332" i="13" a="1"/>
  <c r="D332" i="13" s="1"/>
  <c r="L337" i="13" a="1"/>
  <c r="L337" i="13" s="1"/>
  <c r="G340" i="13"/>
  <c r="E340" i="13"/>
  <c r="F340" i="13"/>
  <c r="G356" i="13"/>
  <c r="F356" i="13"/>
  <c r="L302" i="13" a="1"/>
  <c r="L302" i="13" s="1"/>
  <c r="L309" i="13" a="1"/>
  <c r="L309" i="13" s="1"/>
  <c r="L311" i="13" a="1"/>
  <c r="L311" i="13" s="1"/>
  <c r="A311" i="13"/>
  <c r="D316" i="13" a="1"/>
  <c r="D316" i="13" s="1"/>
  <c r="G323" i="13"/>
  <c r="L324" i="13" a="1"/>
  <c r="L324" i="13" s="1"/>
  <c r="D328" i="13" a="1"/>
  <c r="D328" i="13" s="1"/>
  <c r="L328" i="13" a="1"/>
  <c r="L328" i="13" s="1"/>
  <c r="D330" i="13" a="1"/>
  <c r="D330" i="13" s="1"/>
  <c r="H330" i="13" a="1"/>
  <c r="H330" i="13" s="1"/>
  <c r="H339" i="13" a="1"/>
  <c r="H339" i="13" s="1"/>
  <c r="L339" i="13" a="1"/>
  <c r="L339" i="13" s="1"/>
  <c r="A339" i="13"/>
  <c r="K344" i="13"/>
  <c r="G347" i="13"/>
  <c r="F347" i="13"/>
  <c r="E347" i="13"/>
  <c r="F349" i="13"/>
  <c r="L360" i="13" a="1"/>
  <c r="L360" i="13" s="1"/>
  <c r="A360" i="13"/>
  <c r="D360" i="13" a="1"/>
  <c r="D360" i="13" s="1"/>
  <c r="H360" i="13" a="1"/>
  <c r="H360" i="13" s="1"/>
  <c r="G365" i="13"/>
  <c r="F365" i="13"/>
  <c r="E365" i="13"/>
  <c r="A320" i="13"/>
  <c r="L322" i="13" a="1"/>
  <c r="L322" i="13" s="1"/>
  <c r="A322" i="13"/>
  <c r="H322" i="13" a="1"/>
  <c r="H322" i="13" s="1"/>
  <c r="H323" i="13" a="1"/>
  <c r="H323" i="13" s="1"/>
  <c r="L323" i="13" a="1"/>
  <c r="L323" i="13" s="1"/>
  <c r="A323" i="13"/>
  <c r="L338" i="13" a="1"/>
  <c r="L338" i="13" s="1"/>
  <c r="A338" i="13"/>
  <c r="H343" i="13" a="1"/>
  <c r="H343" i="13" s="1"/>
  <c r="L343" i="13" a="1"/>
  <c r="L343" i="13" s="1"/>
  <c r="A343" i="13"/>
  <c r="D343" i="13" a="1"/>
  <c r="D343" i="13" s="1"/>
  <c r="D357" i="13" a="1"/>
  <c r="D357" i="13" s="1"/>
  <c r="H357" i="13" a="1"/>
  <c r="H357" i="13" s="1"/>
  <c r="A357" i="13"/>
  <c r="L357" i="13" a="1"/>
  <c r="L357" i="13" s="1"/>
  <c r="D366" i="13" a="1"/>
  <c r="D366" i="13" s="1"/>
  <c r="H366" i="13" a="1"/>
  <c r="H366" i="13" s="1"/>
  <c r="I372" i="13"/>
  <c r="K372" i="13"/>
  <c r="J372" i="13"/>
  <c r="K378" i="13"/>
  <c r="J378" i="13"/>
  <c r="I378" i="13"/>
  <c r="H334" i="13" a="1"/>
  <c r="H334" i="13" s="1"/>
  <c r="H341" i="13" a="1"/>
  <c r="H341" i="13" s="1"/>
  <c r="D350" i="13" a="1"/>
  <c r="D350" i="13" s="1"/>
  <c r="H350" i="13" a="1"/>
  <c r="H350" i="13" s="1"/>
  <c r="L350" i="13" a="1"/>
  <c r="L350" i="13" s="1"/>
  <c r="A350" i="13"/>
  <c r="D373" i="13" a="1"/>
  <c r="D373" i="13" s="1"/>
  <c r="A373" i="13"/>
  <c r="F374" i="13"/>
  <c r="G374" i="13"/>
  <c r="E374" i="13"/>
  <c r="H388" i="13" a="1"/>
  <c r="H388" i="13" s="1"/>
  <c r="L388" i="13" a="1"/>
  <c r="L388" i="13" s="1"/>
  <c r="A388" i="13"/>
  <c r="D388" i="13" a="1"/>
  <c r="D388" i="13" s="1"/>
  <c r="O389" i="13"/>
  <c r="N396" i="13"/>
  <c r="O398" i="13"/>
  <c r="N398" i="13"/>
  <c r="M398" i="13"/>
  <c r="D403" i="13" a="1"/>
  <c r="D403" i="13" s="1"/>
  <c r="H403" i="13" a="1"/>
  <c r="H403" i="13" s="1"/>
  <c r="A403" i="13"/>
  <c r="L403" i="13" a="1"/>
  <c r="L403" i="13" s="1"/>
  <c r="L408" i="13" a="1"/>
  <c r="L408" i="13" s="1"/>
  <c r="A408" i="13"/>
  <c r="D408" i="13" a="1"/>
  <c r="D408" i="13" s="1"/>
  <c r="H408" i="13" a="1"/>
  <c r="H408" i="13" s="1"/>
  <c r="L331" i="13" a="1"/>
  <c r="L331" i="13" s="1"/>
  <c r="K355" i="13"/>
  <c r="J355" i="13"/>
  <c r="I355" i="13"/>
  <c r="L366" i="13" a="1"/>
  <c r="L366" i="13" s="1"/>
  <c r="L371" i="13" a="1"/>
  <c r="L371" i="13" s="1"/>
  <c r="A371" i="13"/>
  <c r="H371" i="13" a="1"/>
  <c r="H371" i="13" s="1"/>
  <c r="D382" i="13" a="1"/>
  <c r="D382" i="13" s="1"/>
  <c r="H382" i="13" a="1"/>
  <c r="H382" i="13" s="1"/>
  <c r="L382" i="13" a="1"/>
  <c r="L382" i="13" s="1"/>
  <c r="A382" i="13"/>
  <c r="L329" i="13" a="1"/>
  <c r="L329" i="13" s="1"/>
  <c r="A329" i="13"/>
  <c r="H336" i="13" a="1"/>
  <c r="H336" i="13" s="1"/>
  <c r="L336" i="13" a="1"/>
  <c r="L336" i="13" s="1"/>
  <c r="A336" i="13"/>
  <c r="D336" i="13" a="1"/>
  <c r="D336" i="13" s="1"/>
  <c r="H379" i="13" a="1"/>
  <c r="H379" i="13" s="1"/>
  <c r="L379" i="13" a="1"/>
  <c r="L379" i="13" s="1"/>
  <c r="A379" i="13"/>
  <c r="D379" i="13" a="1"/>
  <c r="D379" i="13" s="1"/>
  <c r="G395" i="13"/>
  <c r="F395" i="13"/>
  <c r="E395" i="13"/>
  <c r="L351" i="13" a="1"/>
  <c r="L351" i="13" s="1"/>
  <c r="A351" i="13"/>
  <c r="D351" i="13" a="1"/>
  <c r="D351" i="13" s="1"/>
  <c r="D359" i="13" a="1"/>
  <c r="D359" i="13" s="1"/>
  <c r="H359" i="13" a="1"/>
  <c r="H359" i="13" s="1"/>
  <c r="H365" i="13" a="1"/>
  <c r="H365" i="13" s="1"/>
  <c r="L365" i="13" a="1"/>
  <c r="L365" i="13" s="1"/>
  <c r="A365" i="13"/>
  <c r="F380" i="13"/>
  <c r="M386" i="13"/>
  <c r="D394" i="13" a="1"/>
  <c r="D394" i="13" s="1"/>
  <c r="L394" i="13" a="1"/>
  <c r="L394" i="13" s="1"/>
  <c r="A394" i="13"/>
  <c r="H394" i="13" a="1"/>
  <c r="H394" i="13" s="1"/>
  <c r="L450" i="13" a="1"/>
  <c r="L450" i="13" s="1"/>
  <c r="A450" i="13"/>
  <c r="D450" i="13" a="1"/>
  <c r="D450" i="13" s="1"/>
  <c r="H450" i="13" a="1"/>
  <c r="H450" i="13" s="1"/>
  <c r="L345" i="13" a="1"/>
  <c r="L345" i="13" s="1"/>
  <c r="L349" i="13" a="1"/>
  <c r="L349" i="13" s="1"/>
  <c r="A349" i="13"/>
  <c r="L353" i="13" a="1"/>
  <c r="L353" i="13" s="1"/>
  <c r="A353" i="13"/>
  <c r="D353" i="13" a="1"/>
  <c r="D353" i="13" s="1"/>
  <c r="A354" i="13"/>
  <c r="L354" i="13" a="1"/>
  <c r="L354" i="13" s="1"/>
  <c r="A361" i="13"/>
  <c r="L361" i="13" a="1"/>
  <c r="L361" i="13" s="1"/>
  <c r="H368" i="13" a="1"/>
  <c r="H368" i="13" s="1"/>
  <c r="L368" i="13" a="1"/>
  <c r="L368" i="13" s="1"/>
  <c r="D368" i="13" a="1"/>
  <c r="D368" i="13" s="1"/>
  <c r="O405" i="13"/>
  <c r="N405" i="13"/>
  <c r="O412" i="13"/>
  <c r="M412" i="13"/>
  <c r="A345" i="13"/>
  <c r="J354" i="13"/>
  <c r="I354" i="13"/>
  <c r="L355" i="13" a="1"/>
  <c r="L355" i="13" s="1"/>
  <c r="A355" i="13"/>
  <c r="D355" i="13" a="1"/>
  <c r="D355" i="13" s="1"/>
  <c r="J361" i="13"/>
  <c r="I361" i="13"/>
  <c r="L362" i="13" a="1"/>
  <c r="L362" i="13" s="1"/>
  <c r="A362" i="13"/>
  <c r="D362" i="13" a="1"/>
  <c r="D362" i="13" s="1"/>
  <c r="L369" i="13" a="1"/>
  <c r="L369" i="13" s="1"/>
  <c r="A369" i="13"/>
  <c r="D369" i="13" a="1"/>
  <c r="D369" i="13" s="1"/>
  <c r="G376" i="13"/>
  <c r="E376" i="13"/>
  <c r="F376" i="13"/>
  <c r="H381" i="13" a="1"/>
  <c r="H381" i="13" s="1"/>
  <c r="L381" i="13" a="1"/>
  <c r="L381" i="13" s="1"/>
  <c r="A381" i="13"/>
  <c r="D381" i="13" a="1"/>
  <c r="D381" i="13" s="1"/>
  <c r="M400" i="13"/>
  <c r="H347" i="13" a="1"/>
  <c r="H347" i="13" s="1"/>
  <c r="L347" i="13" a="1"/>
  <c r="L347" i="13" s="1"/>
  <c r="A347" i="13"/>
  <c r="D389" i="13" a="1"/>
  <c r="D389" i="13" s="1"/>
  <c r="H389" i="13" a="1"/>
  <c r="H389" i="13" s="1"/>
  <c r="I351" i="13"/>
  <c r="D354" i="13" a="1"/>
  <c r="D354" i="13" s="1"/>
  <c r="H356" i="13" a="1"/>
  <c r="H356" i="13" s="1"/>
  <c r="L356" i="13" a="1"/>
  <c r="L356" i="13" s="1"/>
  <c r="A356" i="13"/>
  <c r="D361" i="13" a="1"/>
  <c r="D361" i="13" s="1"/>
  <c r="H369" i="13" a="1"/>
  <c r="H369" i="13" s="1"/>
  <c r="K385" i="13"/>
  <c r="J385" i="13"/>
  <c r="G404" i="13"/>
  <c r="F404" i="13"/>
  <c r="E404" i="13"/>
  <c r="L425" i="13" a="1"/>
  <c r="L425" i="13" s="1"/>
  <c r="A425" i="13"/>
  <c r="D425" i="13" a="1"/>
  <c r="D425" i="13" s="1"/>
  <c r="H425" i="13" a="1"/>
  <c r="H425" i="13" s="1"/>
  <c r="L363" i="13" a="1"/>
  <c r="L363" i="13" s="1"/>
  <c r="D370" i="13" a="1"/>
  <c r="D370" i="13" s="1"/>
  <c r="D384" i="13" a="1"/>
  <c r="D384" i="13" s="1"/>
  <c r="H384" i="13" a="1"/>
  <c r="H384" i="13" s="1"/>
  <c r="N417" i="13"/>
  <c r="M417" i="13"/>
  <c r="O417" i="13"/>
  <c r="D375" i="13" a="1"/>
  <c r="D375" i="13" s="1"/>
  <c r="H375" i="13" a="1"/>
  <c r="H375" i="13" s="1"/>
  <c r="L375" i="13" a="1"/>
  <c r="L375" i="13" s="1"/>
  <c r="H376" i="13" a="1"/>
  <c r="H376" i="13" s="1"/>
  <c r="L380" i="13" a="1"/>
  <c r="L380" i="13" s="1"/>
  <c r="A380" i="13"/>
  <c r="L385" i="13" a="1"/>
  <c r="L385" i="13" s="1"/>
  <c r="A385" i="13"/>
  <c r="D385" i="13" a="1"/>
  <c r="D385" i="13" s="1"/>
  <c r="D396" i="13" a="1"/>
  <c r="D396" i="13" s="1"/>
  <c r="H396" i="13" a="1"/>
  <c r="H396" i="13" s="1"/>
  <c r="G402" i="13"/>
  <c r="F402" i="13"/>
  <c r="H405" i="13" a="1"/>
  <c r="H405" i="13" s="1"/>
  <c r="A405" i="13"/>
  <c r="D405" i="13" a="1"/>
  <c r="D405" i="13" s="1"/>
  <c r="G407" i="13"/>
  <c r="E407" i="13"/>
  <c r="D412" i="13" a="1"/>
  <c r="D412" i="13" s="1"/>
  <c r="H412" i="13" a="1"/>
  <c r="H412" i="13" s="1"/>
  <c r="L418" i="13" a="1"/>
  <c r="L418" i="13" s="1"/>
  <c r="A418" i="13"/>
  <c r="D418" i="13" a="1"/>
  <c r="D418" i="13" s="1"/>
  <c r="H418" i="13" a="1"/>
  <c r="H418" i="13" s="1"/>
  <c r="K423" i="13"/>
  <c r="I423" i="13"/>
  <c r="J423" i="13"/>
  <c r="L441" i="13" a="1"/>
  <c r="L441" i="13" s="1"/>
  <c r="A441" i="13"/>
  <c r="D441" i="13" a="1"/>
  <c r="D441" i="13" s="1"/>
  <c r="H441" i="13" a="1"/>
  <c r="H441" i="13" s="1"/>
  <c r="L372" i="13" a="1"/>
  <c r="L372" i="13" s="1"/>
  <c r="K395" i="13"/>
  <c r="J395" i="13"/>
  <c r="I395" i="13"/>
  <c r="K397" i="13"/>
  <c r="J397" i="13"/>
  <c r="I397" i="13"/>
  <c r="K406" i="13"/>
  <c r="I406" i="13"/>
  <c r="K413" i="13"/>
  <c r="I413" i="13"/>
  <c r="N416" i="13"/>
  <c r="O416" i="13"/>
  <c r="M416" i="13"/>
  <c r="A370" i="13"/>
  <c r="D372" i="13" a="1"/>
  <c r="D372" i="13" s="1"/>
  <c r="H374" i="13" a="1"/>
  <c r="H374" i="13" s="1"/>
  <c r="L374" i="13" a="1"/>
  <c r="L374" i="13" s="1"/>
  <c r="A374" i="13"/>
  <c r="A376" i="13"/>
  <c r="O377" i="13"/>
  <c r="E400" i="13"/>
  <c r="E402" i="13"/>
  <c r="J406" i="13"/>
  <c r="F407" i="13"/>
  <c r="L376" i="13" a="1"/>
  <c r="L376" i="13" s="1"/>
  <c r="L378" i="13" a="1"/>
  <c r="L378" i="13" s="1"/>
  <c r="A378" i="13"/>
  <c r="D378" i="13" a="1"/>
  <c r="D378" i="13" s="1"/>
  <c r="H391" i="13" a="1"/>
  <c r="H391" i="13" s="1"/>
  <c r="L391" i="13" a="1"/>
  <c r="L391" i="13" s="1"/>
  <c r="D391" i="13" a="1"/>
  <c r="D391" i="13" s="1"/>
  <c r="L393" i="13" a="1"/>
  <c r="L393" i="13" s="1"/>
  <c r="D393" i="13" a="1"/>
  <c r="D393" i="13" s="1"/>
  <c r="H398" i="13" a="1"/>
  <c r="H398" i="13" s="1"/>
  <c r="A398" i="13"/>
  <c r="D398" i="13" a="1"/>
  <c r="D398" i="13" s="1"/>
  <c r="L411" i="13" a="1"/>
  <c r="L411" i="13" s="1"/>
  <c r="A411" i="13"/>
  <c r="H411" i="13" a="1"/>
  <c r="H411" i="13" s="1"/>
  <c r="D411" i="13" a="1"/>
  <c r="D411" i="13" s="1"/>
  <c r="G417" i="13"/>
  <c r="F417" i="13"/>
  <c r="E417" i="13"/>
  <c r="L399" i="13" a="1"/>
  <c r="L399" i="13" s="1"/>
  <c r="A399" i="13"/>
  <c r="D399" i="13" a="1"/>
  <c r="D399" i="13" s="1"/>
  <c r="L406" i="13" a="1"/>
  <c r="L406" i="13" s="1"/>
  <c r="A406" i="13"/>
  <c r="D406" i="13" a="1"/>
  <c r="D406" i="13" s="1"/>
  <c r="J407" i="13"/>
  <c r="L413" i="13" a="1"/>
  <c r="L413" i="13" s="1"/>
  <c r="A413" i="13"/>
  <c r="D413" i="13" a="1"/>
  <c r="D413" i="13" s="1"/>
  <c r="K420" i="13"/>
  <c r="J420" i="13"/>
  <c r="I420" i="13"/>
  <c r="H424" i="13" a="1"/>
  <c r="H424" i="13" s="1"/>
  <c r="L424" i="13" a="1"/>
  <c r="L424" i="13" s="1"/>
  <c r="A424" i="13"/>
  <c r="O445" i="13"/>
  <c r="M445" i="13"/>
  <c r="A390" i="13"/>
  <c r="L390" i="13" a="1"/>
  <c r="L390" i="13" s="1"/>
  <c r="L404" i="13" a="1"/>
  <c r="L404" i="13" s="1"/>
  <c r="A404" i="13"/>
  <c r="K407" i="13"/>
  <c r="H414" i="13" a="1"/>
  <c r="H414" i="13" s="1"/>
  <c r="L414" i="13" a="1"/>
  <c r="L414" i="13" s="1"/>
  <c r="A414" i="13"/>
  <c r="N437" i="13"/>
  <c r="M437" i="13"/>
  <c r="H440" i="13" a="1"/>
  <c r="H440" i="13" s="1"/>
  <c r="L440" i="13" a="1"/>
  <c r="L440" i="13" s="1"/>
  <c r="A440" i="13"/>
  <c r="D440" i="13" a="1"/>
  <c r="D440" i="13" s="1"/>
  <c r="H444" i="13" a="1"/>
  <c r="H444" i="13" s="1"/>
  <c r="L444" i="13" a="1"/>
  <c r="L444" i="13" s="1"/>
  <c r="A444" i="13"/>
  <c r="D444" i="13" a="1"/>
  <c r="D444" i="13" s="1"/>
  <c r="N445" i="13"/>
  <c r="L397" i="13" a="1"/>
  <c r="L397" i="13" s="1"/>
  <c r="A397" i="13"/>
  <c r="D397" i="13" a="1"/>
  <c r="D397" i="13" s="1"/>
  <c r="O407" i="13"/>
  <c r="N407" i="13"/>
  <c r="M407" i="13"/>
  <c r="L415" i="13" a="1"/>
  <c r="L415" i="13" s="1"/>
  <c r="A415" i="13"/>
  <c r="D415" i="13" a="1"/>
  <c r="D415" i="13" s="1"/>
  <c r="H415" i="13" a="1"/>
  <c r="H415" i="13" s="1"/>
  <c r="D416" i="13" a="1"/>
  <c r="D416" i="13" s="1"/>
  <c r="H416" i="13" a="1"/>
  <c r="H416" i="13" s="1"/>
  <c r="A416" i="13"/>
  <c r="H451" i="13" a="1"/>
  <c r="H451" i="13" s="1"/>
  <c r="L451" i="13" a="1"/>
  <c r="L451" i="13" s="1"/>
  <c r="A451" i="13"/>
  <c r="D451" i="13" a="1"/>
  <c r="D451" i="13" s="1"/>
  <c r="A400" i="13"/>
  <c r="H402" i="13" a="1"/>
  <c r="H402" i="13" s="1"/>
  <c r="L402" i="13" a="1"/>
  <c r="L402" i="13" s="1"/>
  <c r="A402" i="13"/>
  <c r="A410" i="13"/>
  <c r="L410" i="13" a="1"/>
  <c r="L410" i="13" s="1"/>
  <c r="D420" i="13" a="1"/>
  <c r="D420" i="13" s="1"/>
  <c r="L420" i="13" a="1"/>
  <c r="L420" i="13" s="1"/>
  <c r="A420" i="13"/>
  <c r="D424" i="13" a="1"/>
  <c r="D424" i="13" s="1"/>
  <c r="H431" i="13" a="1"/>
  <c r="H431" i="13" s="1"/>
  <c r="L431" i="13" a="1"/>
  <c r="L431" i="13" s="1"/>
  <c r="A431" i="13"/>
  <c r="D431" i="13" a="1"/>
  <c r="D431" i="13" s="1"/>
  <c r="L395" i="13" a="1"/>
  <c r="L395" i="13" s="1"/>
  <c r="A395" i="13"/>
  <c r="H409" i="13" a="1"/>
  <c r="H409" i="13" s="1"/>
  <c r="L409" i="13" a="1"/>
  <c r="L409" i="13" s="1"/>
  <c r="A409" i="13"/>
  <c r="D409" i="13" a="1"/>
  <c r="D409" i="13" s="1"/>
  <c r="L426" i="13" a="1"/>
  <c r="L426" i="13" s="1"/>
  <c r="L432" i="13" a="1"/>
  <c r="L432" i="13" s="1"/>
  <c r="A432" i="13"/>
  <c r="D432" i="13" a="1"/>
  <c r="D432" i="13" s="1"/>
  <c r="D438" i="13" a="1"/>
  <c r="D438" i="13" s="1"/>
  <c r="H438" i="13" a="1"/>
  <c r="H438" i="13" s="1"/>
  <c r="L439" i="13" a="1"/>
  <c r="L439" i="13" s="1"/>
  <c r="A439" i="13"/>
  <c r="D439" i="13" a="1"/>
  <c r="D439" i="13" s="1"/>
  <c r="D445" i="13" a="1"/>
  <c r="D445" i="13" s="1"/>
  <c r="H445" i="13" a="1"/>
  <c r="H445" i="13" s="1"/>
  <c r="L433" i="13" a="1"/>
  <c r="L433" i="13" s="1"/>
  <c r="H436" i="13" a="1"/>
  <c r="H436" i="13" s="1"/>
  <c r="G437" i="13"/>
  <c r="A442" i="13"/>
  <c r="K442" i="13"/>
  <c r="G443" i="13"/>
  <c r="H447" i="13" a="1"/>
  <c r="H447" i="13" s="1"/>
  <c r="L447" i="13" a="1"/>
  <c r="L447" i="13" s="1"/>
  <c r="A447" i="13"/>
  <c r="L422" i="13" a="1"/>
  <c r="L422" i="13" s="1"/>
  <c r="L434" i="13" a="1"/>
  <c r="L434" i="13" s="1"/>
  <c r="A434" i="13"/>
  <c r="D434" i="13" a="1"/>
  <c r="D434" i="13" s="1"/>
  <c r="H434" i="13" a="1"/>
  <c r="H434" i="13" s="1"/>
  <c r="L442" i="13" a="1"/>
  <c r="L442" i="13" s="1"/>
  <c r="L448" i="13" a="1"/>
  <c r="L448" i="13" s="1"/>
  <c r="A448" i="13"/>
  <c r="D448" i="13" a="1"/>
  <c r="D448" i="13" s="1"/>
  <c r="J449" i="13"/>
  <c r="J417" i="13"/>
  <c r="D426" i="13" a="1"/>
  <c r="D426" i="13" s="1"/>
  <c r="H428" i="13" a="1"/>
  <c r="H428" i="13" s="1"/>
  <c r="L428" i="13" a="1"/>
  <c r="L428" i="13" s="1"/>
  <c r="A428" i="13"/>
  <c r="D428" i="13" a="1"/>
  <c r="D428" i="13" s="1"/>
  <c r="H435" i="13" a="1"/>
  <c r="H435" i="13" s="1"/>
  <c r="L435" i="13" a="1"/>
  <c r="L435" i="13" s="1"/>
  <c r="A435" i="13"/>
  <c r="D435" i="13" a="1"/>
  <c r="D435" i="13" s="1"/>
  <c r="M436" i="13"/>
  <c r="A443" i="13"/>
  <c r="L443" i="13" a="1"/>
  <c r="L443" i="13" s="1"/>
  <c r="G446" i="13"/>
  <c r="F446" i="13"/>
  <c r="E446" i="13"/>
  <c r="K449" i="13"/>
  <c r="D422" i="13" a="1"/>
  <c r="D422" i="13" s="1"/>
  <c r="H422" i="13" a="1"/>
  <c r="H422" i="13" s="1"/>
  <c r="L423" i="13" a="1"/>
  <c r="L423" i="13" s="1"/>
  <c r="A423" i="13"/>
  <c r="D423" i="13" a="1"/>
  <c r="D423" i="13" s="1"/>
  <c r="D429" i="13" a="1"/>
  <c r="D429" i="13" s="1"/>
  <c r="H429" i="13" a="1"/>
  <c r="H429" i="13" s="1"/>
  <c r="H432" i="13" a="1"/>
  <c r="H432" i="13" s="1"/>
  <c r="O436" i="13"/>
  <c r="H439" i="13" a="1"/>
  <c r="H439" i="13" s="1"/>
  <c r="L449" i="13" a="1"/>
  <c r="L449" i="13" s="1"/>
  <c r="A421" i="13"/>
  <c r="A430" i="13"/>
  <c r="A437" i="13"/>
  <c r="A446" i="13"/>
  <c r="D14" i="13" a="1"/>
  <c r="B71" i="9"/>
  <c r="C228" i="9" a="1"/>
  <c r="H228" i="9" a="1"/>
  <c r="C240" i="9" a="1"/>
  <c r="C217" i="9" a="1"/>
  <c r="C216" i="9" a="1"/>
  <c r="C232" i="9" a="1"/>
  <c r="H216" i="9" a="1"/>
  <c r="H217" i="9" a="1"/>
  <c r="C233" i="9" a="1"/>
  <c r="H233" i="9" a="1"/>
  <c r="H232" i="9" a="1"/>
  <c r="H224" i="9" a="1"/>
  <c r="C224" i="9" a="1"/>
  <c r="C229" i="9" a="1"/>
  <c r="H229" i="9" a="1"/>
  <c r="H240" i="9" a="1"/>
  <c r="H228" i="9" l="1"/>
  <c r="Q228" i="9" s="1"/>
  <c r="P228" i="9" s="1"/>
  <c r="C228" i="9"/>
  <c r="N43" i="13"/>
  <c r="G38" i="13"/>
  <c r="F331" i="13"/>
  <c r="J282" i="13"/>
  <c r="M161" i="13"/>
  <c r="J74" i="13"/>
  <c r="J26" i="13"/>
  <c r="J56" i="13"/>
  <c r="D15" i="13" a="1"/>
  <c r="K437" i="13"/>
  <c r="I437" i="13"/>
  <c r="I410" i="13"/>
  <c r="K282" i="13"/>
  <c r="J167" i="13"/>
  <c r="F140" i="13"/>
  <c r="I75" i="13"/>
  <c r="N41" i="13"/>
  <c r="G43" i="13"/>
  <c r="G40" i="13"/>
  <c r="M389" i="13"/>
  <c r="G280" i="13"/>
  <c r="J90" i="13"/>
  <c r="K56" i="13"/>
  <c r="M13" i="13"/>
  <c r="I184" i="13"/>
  <c r="I427" i="13"/>
  <c r="E437" i="13"/>
  <c r="M186" i="13"/>
  <c r="J427" i="13"/>
  <c r="G302" i="13"/>
  <c r="E43" i="13"/>
  <c r="O255" i="13"/>
  <c r="K160" i="13"/>
  <c r="E56" i="13"/>
  <c r="J24" i="13"/>
  <c r="N186" i="13"/>
  <c r="J184" i="13"/>
  <c r="E168" i="13"/>
  <c r="F44" i="13"/>
  <c r="N13" i="13"/>
  <c r="G44" i="13"/>
  <c r="E40" i="13"/>
  <c r="G52" i="13"/>
  <c r="F190" i="13"/>
  <c r="F52" i="13"/>
  <c r="I380" i="13"/>
  <c r="M200" i="13"/>
  <c r="G190" i="13"/>
  <c r="I168" i="13"/>
  <c r="N200" i="13"/>
  <c r="E280" i="13"/>
  <c r="O396" i="13"/>
  <c r="G349" i="13"/>
  <c r="G329" i="13"/>
  <c r="F318" i="13"/>
  <c r="E220" i="13"/>
  <c r="J190" i="13"/>
  <c r="I190" i="13"/>
  <c r="J139" i="13"/>
  <c r="O57" i="13"/>
  <c r="O43" i="13"/>
  <c r="G318" i="13"/>
  <c r="G220" i="13"/>
  <c r="N57" i="13"/>
  <c r="I24" i="13"/>
  <c r="J273" i="13"/>
  <c r="I404" i="13"/>
  <c r="M52" i="13"/>
  <c r="F105" i="13"/>
  <c r="G400" i="13"/>
  <c r="F401" i="13"/>
  <c r="J404" i="13"/>
  <c r="F273" i="13"/>
  <c r="M344" i="13"/>
  <c r="M170" i="13"/>
  <c r="N140" i="13"/>
  <c r="M123" i="13"/>
  <c r="O52" i="13"/>
  <c r="G401" i="13"/>
  <c r="F320" i="13"/>
  <c r="G273" i="13"/>
  <c r="O344" i="13"/>
  <c r="M255" i="13"/>
  <c r="K177" i="13"/>
  <c r="N170" i="13"/>
  <c r="I160" i="13"/>
  <c r="O140" i="13"/>
  <c r="N123" i="13"/>
  <c r="G56" i="13"/>
  <c r="K139" i="13"/>
  <c r="M446" i="13"/>
  <c r="M438" i="13"/>
  <c r="J401" i="13"/>
  <c r="G257" i="13"/>
  <c r="M227" i="13"/>
  <c r="E243" i="13"/>
  <c r="F168" i="13"/>
  <c r="F386" i="13"/>
  <c r="N227" i="13"/>
  <c r="G243" i="13"/>
  <c r="M73" i="13"/>
  <c r="O438" i="13"/>
  <c r="M377" i="13"/>
  <c r="G386" i="13"/>
  <c r="M224" i="13"/>
  <c r="G139" i="13"/>
  <c r="N446" i="13"/>
  <c r="K401" i="13"/>
  <c r="O430" i="13"/>
  <c r="I386" i="13"/>
  <c r="M401" i="13"/>
  <c r="K338" i="13"/>
  <c r="K269" i="13"/>
  <c r="M221" i="13"/>
  <c r="N224" i="13"/>
  <c r="J289" i="13"/>
  <c r="N223" i="13"/>
  <c r="I204" i="13"/>
  <c r="E186" i="13"/>
  <c r="F186" i="13"/>
  <c r="I443" i="13"/>
  <c r="M429" i="13"/>
  <c r="K386" i="13"/>
  <c r="M430" i="13"/>
  <c r="J443" i="13"/>
  <c r="N401" i="13"/>
  <c r="I344" i="13"/>
  <c r="J338" i="13"/>
  <c r="I289" i="13"/>
  <c r="M223" i="13"/>
  <c r="E380" i="13"/>
  <c r="O221" i="13"/>
  <c r="K124" i="13"/>
  <c r="O429" i="13"/>
  <c r="G320" i="13"/>
  <c r="F184" i="13"/>
  <c r="J202" i="13"/>
  <c r="O386" i="13"/>
  <c r="F240" i="13"/>
  <c r="M334" i="13"/>
  <c r="G338" i="13"/>
  <c r="O296" i="13"/>
  <c r="N207" i="13"/>
  <c r="E148" i="13"/>
  <c r="J168" i="13"/>
  <c r="O121" i="13"/>
  <c r="M96" i="13"/>
  <c r="O124" i="13"/>
  <c r="G41" i="13"/>
  <c r="F123" i="13"/>
  <c r="N74" i="13"/>
  <c r="O106" i="13"/>
  <c r="O216" i="13"/>
  <c r="O34" i="13"/>
  <c r="N73" i="13"/>
  <c r="N296" i="13"/>
  <c r="M74" i="13"/>
  <c r="E442" i="13"/>
  <c r="G442" i="13"/>
  <c r="E345" i="13"/>
  <c r="G305" i="13"/>
  <c r="I214" i="13"/>
  <c r="G240" i="13"/>
  <c r="I310" i="13"/>
  <c r="N334" i="13"/>
  <c r="E338" i="13"/>
  <c r="M207" i="13"/>
  <c r="F341" i="13"/>
  <c r="O240" i="13"/>
  <c r="F148" i="13"/>
  <c r="N96" i="13"/>
  <c r="E147" i="13"/>
  <c r="G59" i="13"/>
  <c r="M48" i="13"/>
  <c r="M34" i="13"/>
  <c r="G123" i="13"/>
  <c r="K41" i="13"/>
  <c r="O26" i="13"/>
  <c r="O211" i="13"/>
  <c r="M121" i="13"/>
  <c r="E305" i="13"/>
  <c r="K214" i="13"/>
  <c r="O421" i="13"/>
  <c r="F449" i="13"/>
  <c r="E433" i="13"/>
  <c r="J393" i="13"/>
  <c r="F345" i="13"/>
  <c r="M237" i="13"/>
  <c r="J310" i="13"/>
  <c r="E341" i="13"/>
  <c r="M240" i="13"/>
  <c r="F147" i="13"/>
  <c r="N48" i="13"/>
  <c r="I41" i="13"/>
  <c r="M168" i="13"/>
  <c r="E105" i="13"/>
  <c r="N38" i="13"/>
  <c r="J220" i="13"/>
  <c r="I393" i="13"/>
  <c r="M124" i="13"/>
  <c r="E282" i="13"/>
  <c r="E253" i="13"/>
  <c r="E184" i="13"/>
  <c r="J204" i="13"/>
  <c r="E177" i="13"/>
  <c r="F177" i="13"/>
  <c r="J154" i="13"/>
  <c r="J111" i="13"/>
  <c r="E139" i="13"/>
  <c r="M41" i="13"/>
  <c r="N168" i="13"/>
  <c r="M38" i="13"/>
  <c r="I220" i="13"/>
  <c r="J177" i="13"/>
  <c r="E38" i="13"/>
  <c r="M211" i="13"/>
  <c r="I202" i="13"/>
  <c r="J410" i="13"/>
  <c r="F41" i="13"/>
  <c r="M421" i="13"/>
  <c r="G433" i="13"/>
  <c r="I370" i="13"/>
  <c r="K370" i="13"/>
  <c r="F302" i="13"/>
  <c r="G253" i="13"/>
  <c r="K140" i="13"/>
  <c r="I154" i="13"/>
  <c r="I111" i="13"/>
  <c r="I90" i="13"/>
  <c r="N104" i="13"/>
  <c r="J140" i="13"/>
  <c r="D15" i="13"/>
  <c r="G15" i="13" s="1"/>
  <c r="D14" i="13"/>
  <c r="G14" i="13" s="1"/>
  <c r="G430" i="13"/>
  <c r="E191" i="13"/>
  <c r="K221" i="13"/>
  <c r="I138" i="13"/>
  <c r="K57" i="13"/>
  <c r="E114" i="13"/>
  <c r="N106" i="13"/>
  <c r="M104" i="13"/>
  <c r="M6" i="13"/>
  <c r="E449" i="13"/>
  <c r="E363" i="13"/>
  <c r="J331" i="13"/>
  <c r="E266" i="13"/>
  <c r="M243" i="13"/>
  <c r="K210" i="13"/>
  <c r="F26" i="13"/>
  <c r="F363" i="13"/>
  <c r="M384" i="13"/>
  <c r="I331" i="13"/>
  <c r="F266" i="13"/>
  <c r="N243" i="13"/>
  <c r="E70" i="13"/>
  <c r="F48" i="13"/>
  <c r="O111" i="13"/>
  <c r="N384" i="13"/>
  <c r="G48" i="13"/>
  <c r="S1" i="13"/>
  <c r="M111" i="13"/>
  <c r="F191" i="13"/>
  <c r="O320" i="13"/>
  <c r="M139" i="13"/>
  <c r="E74" i="13"/>
  <c r="E430" i="13"/>
  <c r="F289" i="13"/>
  <c r="M320" i="13"/>
  <c r="I221" i="13"/>
  <c r="N139" i="13"/>
  <c r="G70" i="13"/>
  <c r="I57" i="13"/>
  <c r="F74" i="13"/>
  <c r="G289" i="13"/>
  <c r="K193" i="13"/>
  <c r="I89" i="13"/>
  <c r="M105" i="13"/>
  <c r="N90" i="13"/>
  <c r="M60" i="13"/>
  <c r="J89" i="13"/>
  <c r="N105" i="13"/>
  <c r="AH15" i="13" a="1"/>
  <c r="AH15" i="13" s="1"/>
  <c r="AI15" i="13" s="1" a="1"/>
  <c r="AI15" i="13" s="1"/>
  <c r="K231" i="13"/>
  <c r="M10" i="13"/>
  <c r="N44" i="13"/>
  <c r="F161" i="13"/>
  <c r="J231" i="13"/>
  <c r="E143" i="13"/>
  <c r="K34" i="13"/>
  <c r="N10" i="13"/>
  <c r="O44" i="13"/>
  <c r="F143" i="13"/>
  <c r="E144" i="13"/>
  <c r="E59" i="13"/>
  <c r="I34" i="13"/>
  <c r="I25" i="13"/>
  <c r="J25" i="13"/>
  <c r="J380" i="13"/>
  <c r="F334" i="13"/>
  <c r="I269" i="13"/>
  <c r="O161" i="13"/>
  <c r="E211" i="13"/>
  <c r="AH8" i="13" a="1"/>
  <c r="AH8" i="13" s="1"/>
  <c r="AI8" i="13" s="1" a="1"/>
  <c r="AI8" i="13" s="1"/>
  <c r="E427" i="13"/>
  <c r="F427" i="13"/>
  <c r="G427" i="13"/>
  <c r="I255" i="13"/>
  <c r="K255" i="13"/>
  <c r="J255" i="13"/>
  <c r="J421" i="13"/>
  <c r="I421" i="13"/>
  <c r="I400" i="13"/>
  <c r="J400" i="13"/>
  <c r="G85" i="13"/>
  <c r="E85" i="13"/>
  <c r="I211" i="13"/>
  <c r="K211" i="13"/>
  <c r="J211" i="13"/>
  <c r="N400" i="13"/>
  <c r="M370" i="13"/>
  <c r="E334" i="13"/>
  <c r="M305" i="13"/>
  <c r="AH18" i="13" a="1"/>
  <c r="AH18" i="13" s="1"/>
  <c r="AI18" i="13" s="1" a="1"/>
  <c r="AI18" i="13" s="1"/>
  <c r="I316" i="13"/>
  <c r="J316" i="13"/>
  <c r="G106" i="13"/>
  <c r="F106" i="13"/>
  <c r="E106" i="13"/>
  <c r="E344" i="13"/>
  <c r="G344" i="13"/>
  <c r="F344" i="13"/>
  <c r="K73" i="13"/>
  <c r="J73" i="13"/>
  <c r="I73" i="13"/>
  <c r="J175" i="13"/>
  <c r="K175" i="13"/>
  <c r="I175" i="13"/>
  <c r="O370" i="13"/>
  <c r="M427" i="13"/>
  <c r="M280" i="13"/>
  <c r="I60" i="13"/>
  <c r="AH5" i="13" a="1"/>
  <c r="AH5" i="13" s="1"/>
  <c r="AI5" i="13" s="1" a="1"/>
  <c r="AI5" i="13" s="1"/>
  <c r="K345" i="13"/>
  <c r="J345" i="13"/>
  <c r="I345" i="13"/>
  <c r="E410" i="13"/>
  <c r="F410" i="13"/>
  <c r="I227" i="13"/>
  <c r="K227" i="13"/>
  <c r="F121" i="13"/>
  <c r="E121" i="13"/>
  <c r="G121" i="13"/>
  <c r="J240" i="13"/>
  <c r="K240" i="13"/>
  <c r="I240" i="13"/>
  <c r="K152" i="13"/>
  <c r="J152" i="13"/>
  <c r="I170" i="13"/>
  <c r="K170" i="13"/>
  <c r="J170" i="13"/>
  <c r="G90" i="13"/>
  <c r="F90" i="13"/>
  <c r="E90" i="13"/>
  <c r="F49" i="13"/>
  <c r="G49" i="13"/>
  <c r="E49" i="13"/>
  <c r="E421" i="13"/>
  <c r="I329" i="13"/>
  <c r="O427" i="13"/>
  <c r="N280" i="13"/>
  <c r="J60" i="13"/>
  <c r="O33" i="13"/>
  <c r="I433" i="13"/>
  <c r="K433" i="13"/>
  <c r="J433" i="13"/>
  <c r="J430" i="13"/>
  <c r="K430" i="13"/>
  <c r="I430" i="13"/>
  <c r="I363" i="13"/>
  <c r="K363" i="13"/>
  <c r="J363" i="13"/>
  <c r="E221" i="13"/>
  <c r="F221" i="13"/>
  <c r="G221" i="13"/>
  <c r="K95" i="13"/>
  <c r="J95" i="13"/>
  <c r="I95" i="13"/>
  <c r="F421" i="13"/>
  <c r="K329" i="13"/>
  <c r="M33" i="13"/>
  <c r="AH12" i="13" a="1"/>
  <c r="AH12" i="13" s="1"/>
  <c r="AI12" i="13" s="1" a="1"/>
  <c r="AI12" i="13" s="1"/>
  <c r="E443" i="13"/>
  <c r="F443" i="13"/>
  <c r="J446" i="13"/>
  <c r="I446" i="13"/>
  <c r="K446" i="13"/>
  <c r="K112" i="13"/>
  <c r="I112" i="13"/>
  <c r="G10" i="13"/>
  <c r="F10" i="13"/>
  <c r="E10" i="13"/>
  <c r="N66" i="13"/>
  <c r="O66" i="13"/>
  <c r="M66" i="13"/>
  <c r="K48" i="13"/>
  <c r="J48" i="13"/>
  <c r="I48" i="13"/>
  <c r="I328" i="13"/>
  <c r="N305" i="13"/>
  <c r="AH13" i="13" a="1"/>
  <c r="AH13" i="13" s="1"/>
  <c r="AI13" i="13" s="1" a="1"/>
  <c r="AI13" i="13" s="1"/>
  <c r="I417" i="13"/>
  <c r="K417" i="13"/>
  <c r="J257" i="13"/>
  <c r="K257" i="13"/>
  <c r="I257" i="13"/>
  <c r="G377" i="13"/>
  <c r="F377" i="13"/>
  <c r="E377" i="13"/>
  <c r="J224" i="13"/>
  <c r="I224" i="13"/>
  <c r="N82" i="13"/>
  <c r="O82" i="13"/>
  <c r="M82" i="13"/>
  <c r="G66" i="13"/>
  <c r="F66" i="13"/>
  <c r="E66" i="13"/>
  <c r="G57" i="13"/>
  <c r="F57" i="13"/>
  <c r="E57" i="13"/>
  <c r="J328" i="13"/>
  <c r="K25" i="13"/>
  <c r="K250" i="13"/>
  <c r="J250" i="13"/>
  <c r="I250" i="13"/>
  <c r="E237" i="13"/>
  <c r="F237" i="13"/>
  <c r="G237" i="13"/>
  <c r="E82" i="13"/>
  <c r="G82" i="13"/>
  <c r="F82" i="13"/>
  <c r="J146" i="13"/>
  <c r="K146" i="13"/>
  <c r="E34" i="13"/>
  <c r="G34" i="13"/>
  <c r="F34" i="13"/>
  <c r="H233" i="9"/>
  <c r="Q233" i="9" s="1"/>
  <c r="P233" i="9" s="1"/>
  <c r="C233" i="9"/>
  <c r="H217" i="9"/>
  <c r="Q217" i="9" s="1"/>
  <c r="P217" i="9" s="1"/>
  <c r="C217" i="9"/>
  <c r="C229" i="9"/>
  <c r="H229" i="9"/>
  <c r="Q229" i="9" s="1"/>
  <c r="P229" i="9" s="1"/>
  <c r="C224" i="9"/>
  <c r="H224" i="9"/>
  <c r="Q224" i="9" s="1"/>
  <c r="P224" i="9" s="1"/>
  <c r="C216" i="9"/>
  <c r="H216" i="9"/>
  <c r="Q216" i="9" s="1"/>
  <c r="P216" i="9" s="1"/>
  <c r="C240" i="9"/>
  <c r="H240" i="9"/>
  <c r="Q240" i="9" s="1"/>
  <c r="P240" i="9" s="1"/>
  <c r="C232" i="9"/>
  <c r="H232" i="9"/>
  <c r="Q232" i="9" s="1"/>
  <c r="P232" i="9" s="1"/>
  <c r="I6" i="6"/>
  <c r="I2" i="6"/>
  <c r="I5" i="6"/>
  <c r="O339" i="13"/>
  <c r="N339" i="13"/>
  <c r="M339" i="13"/>
  <c r="M265" i="13"/>
  <c r="O265" i="13"/>
  <c r="N265" i="13"/>
  <c r="N304" i="13"/>
  <c r="M304" i="13"/>
  <c r="O304" i="13"/>
  <c r="K317" i="13"/>
  <c r="J317" i="13"/>
  <c r="I317" i="13"/>
  <c r="G248" i="13"/>
  <c r="E248" i="13"/>
  <c r="F248" i="13"/>
  <c r="F212" i="13"/>
  <c r="G212" i="13"/>
  <c r="E212" i="13"/>
  <c r="O188" i="13"/>
  <c r="N188" i="13"/>
  <c r="M188" i="13"/>
  <c r="E151" i="13"/>
  <c r="F151" i="13"/>
  <c r="G151" i="13"/>
  <c r="G176" i="13"/>
  <c r="E176" i="13"/>
  <c r="F176" i="13"/>
  <c r="O141" i="13"/>
  <c r="N141" i="13"/>
  <c r="M141" i="13"/>
  <c r="O228" i="13"/>
  <c r="N228" i="13"/>
  <c r="M228" i="13"/>
  <c r="G103" i="13"/>
  <c r="E103" i="13"/>
  <c r="F103" i="13"/>
  <c r="G130" i="13"/>
  <c r="F130" i="13"/>
  <c r="E130" i="13"/>
  <c r="K134" i="13"/>
  <c r="J134" i="13"/>
  <c r="I134" i="13"/>
  <c r="I92" i="13"/>
  <c r="K92" i="13"/>
  <c r="J92" i="13"/>
  <c r="O120" i="13"/>
  <c r="N120" i="13"/>
  <c r="M120" i="13"/>
  <c r="I69" i="13"/>
  <c r="K69" i="13"/>
  <c r="J69" i="13"/>
  <c r="N174" i="13"/>
  <c r="M174" i="13"/>
  <c r="O174" i="13"/>
  <c r="G84" i="13"/>
  <c r="F84" i="13"/>
  <c r="E84" i="13"/>
  <c r="K62" i="13"/>
  <c r="I62" i="13"/>
  <c r="J62" i="13"/>
  <c r="M65" i="13"/>
  <c r="O65" i="13"/>
  <c r="N65" i="13"/>
  <c r="G35" i="13"/>
  <c r="E35" i="13"/>
  <c r="F35" i="13"/>
  <c r="M113" i="13"/>
  <c r="N113" i="13"/>
  <c r="O113" i="13"/>
  <c r="K61" i="13"/>
  <c r="J61" i="13"/>
  <c r="I61" i="13"/>
  <c r="M20" i="13"/>
  <c r="O20" i="13"/>
  <c r="N20" i="13"/>
  <c r="N53" i="13"/>
  <c r="O53" i="13"/>
  <c r="M53" i="13"/>
  <c r="O32" i="13"/>
  <c r="M32" i="13"/>
  <c r="N32" i="13"/>
  <c r="O78" i="13"/>
  <c r="N78" i="13"/>
  <c r="M78" i="13"/>
  <c r="I30" i="13"/>
  <c r="K30" i="13"/>
  <c r="J30" i="13"/>
  <c r="N395" i="13"/>
  <c r="M395" i="13"/>
  <c r="O395" i="13"/>
  <c r="G413" i="13"/>
  <c r="F413" i="13"/>
  <c r="E413" i="13"/>
  <c r="O372" i="13"/>
  <c r="M372" i="13"/>
  <c r="N372" i="13"/>
  <c r="E357" i="13"/>
  <c r="G357" i="13"/>
  <c r="F357" i="13"/>
  <c r="K348" i="13"/>
  <c r="J348" i="13"/>
  <c r="I348" i="13"/>
  <c r="F295" i="13"/>
  <c r="E295" i="13"/>
  <c r="G295" i="13"/>
  <c r="G4" i="13"/>
  <c r="F4" i="13"/>
  <c r="E4" i="13"/>
  <c r="K11" i="13"/>
  <c r="I11" i="13"/>
  <c r="J11" i="13"/>
  <c r="G451" i="13"/>
  <c r="F451" i="13"/>
  <c r="E451" i="13"/>
  <c r="K389" i="13"/>
  <c r="J389" i="13"/>
  <c r="I389" i="13"/>
  <c r="O382" i="13"/>
  <c r="N382" i="13"/>
  <c r="M382" i="13"/>
  <c r="K360" i="13"/>
  <c r="J360" i="13"/>
  <c r="I360" i="13"/>
  <c r="K301" i="13"/>
  <c r="J301" i="13"/>
  <c r="I301" i="13"/>
  <c r="K238" i="13"/>
  <c r="J238" i="13"/>
  <c r="I238" i="13"/>
  <c r="O317" i="13"/>
  <c r="N317" i="13"/>
  <c r="M317" i="13"/>
  <c r="F263" i="13"/>
  <c r="E263" i="13"/>
  <c r="G263" i="13"/>
  <c r="K315" i="13"/>
  <c r="J315" i="13"/>
  <c r="I315" i="13"/>
  <c r="F300" i="13"/>
  <c r="E300" i="13"/>
  <c r="G300" i="13"/>
  <c r="G268" i="13"/>
  <c r="F268" i="13"/>
  <c r="E268" i="13"/>
  <c r="O212" i="13"/>
  <c r="N212" i="13"/>
  <c r="M212" i="13"/>
  <c r="G198" i="13"/>
  <c r="F198" i="13"/>
  <c r="E198" i="13"/>
  <c r="K290" i="13"/>
  <c r="J290" i="13"/>
  <c r="I290" i="13"/>
  <c r="K230" i="13"/>
  <c r="J230" i="13"/>
  <c r="I230" i="13"/>
  <c r="G276" i="13"/>
  <c r="F276" i="13"/>
  <c r="E276" i="13"/>
  <c r="O195" i="13"/>
  <c r="N195" i="13"/>
  <c r="M195" i="13"/>
  <c r="F165" i="13"/>
  <c r="E165" i="13"/>
  <c r="G165" i="13"/>
  <c r="I246" i="13"/>
  <c r="K246" i="13"/>
  <c r="J246" i="13"/>
  <c r="K229" i="13"/>
  <c r="J229" i="13"/>
  <c r="I229" i="13"/>
  <c r="K196" i="13"/>
  <c r="J196" i="13"/>
  <c r="I196" i="13"/>
  <c r="O159" i="13"/>
  <c r="N159" i="13"/>
  <c r="M159" i="13"/>
  <c r="F307" i="13"/>
  <c r="E307" i="13"/>
  <c r="G307" i="13"/>
  <c r="K279" i="13"/>
  <c r="J279" i="13"/>
  <c r="I279" i="13"/>
  <c r="K244" i="13"/>
  <c r="J244" i="13"/>
  <c r="I244" i="13"/>
  <c r="M183" i="13"/>
  <c r="N183" i="13"/>
  <c r="O183" i="13"/>
  <c r="K203" i="13"/>
  <c r="J203" i="13"/>
  <c r="I203" i="13"/>
  <c r="O135" i="13"/>
  <c r="N135" i="13"/>
  <c r="M135" i="13"/>
  <c r="O239" i="13"/>
  <c r="M239" i="13"/>
  <c r="N239" i="13"/>
  <c r="K135" i="13"/>
  <c r="J135" i="13"/>
  <c r="I135" i="13"/>
  <c r="F185" i="13"/>
  <c r="E185" i="13"/>
  <c r="G185" i="13"/>
  <c r="O142" i="13"/>
  <c r="N142" i="13"/>
  <c r="M142" i="13"/>
  <c r="G127" i="13"/>
  <c r="F127" i="13"/>
  <c r="E127" i="13"/>
  <c r="M75" i="13"/>
  <c r="O75" i="13"/>
  <c r="N75" i="13"/>
  <c r="M130" i="13"/>
  <c r="O130" i="13"/>
  <c r="N130" i="13"/>
  <c r="E180" i="13"/>
  <c r="G180" i="13"/>
  <c r="F180" i="13"/>
  <c r="E134" i="13"/>
  <c r="G134" i="13"/>
  <c r="F134" i="13"/>
  <c r="G97" i="13"/>
  <c r="F97" i="13"/>
  <c r="E97" i="13"/>
  <c r="K43" i="13"/>
  <c r="J43" i="13"/>
  <c r="I43" i="13"/>
  <c r="J51" i="13"/>
  <c r="K51" i="13"/>
  <c r="I51" i="13"/>
  <c r="O37" i="13"/>
  <c r="N37" i="13"/>
  <c r="M37" i="13"/>
  <c r="O88" i="13"/>
  <c r="N88" i="13"/>
  <c r="M88" i="13"/>
  <c r="F149" i="13"/>
  <c r="E149" i="13"/>
  <c r="G149" i="13"/>
  <c r="F119" i="13"/>
  <c r="E119" i="13"/>
  <c r="G119" i="13"/>
  <c r="F201" i="13"/>
  <c r="E201" i="13"/>
  <c r="G201" i="13"/>
  <c r="O62" i="13"/>
  <c r="N62" i="13"/>
  <c r="M62" i="13"/>
  <c r="I38" i="13"/>
  <c r="K38" i="13"/>
  <c r="J38" i="13"/>
  <c r="N28" i="13"/>
  <c r="O28" i="13"/>
  <c r="M28" i="13"/>
  <c r="K117" i="13"/>
  <c r="I117" i="13"/>
  <c r="J117" i="13"/>
  <c r="E64" i="13"/>
  <c r="G64" i="13"/>
  <c r="F64" i="13"/>
  <c r="E102" i="13"/>
  <c r="F102" i="13"/>
  <c r="G102" i="13"/>
  <c r="N23" i="13"/>
  <c r="O23" i="13"/>
  <c r="M23" i="13"/>
  <c r="K109" i="13"/>
  <c r="J109" i="13"/>
  <c r="I109" i="13"/>
  <c r="G16" i="13"/>
  <c r="F16" i="13"/>
  <c r="E16" i="13"/>
  <c r="G53" i="13"/>
  <c r="F53" i="13"/>
  <c r="E53" i="13"/>
  <c r="I19" i="13"/>
  <c r="K19" i="13"/>
  <c r="J19" i="13"/>
  <c r="F100" i="13"/>
  <c r="E100" i="13"/>
  <c r="G100" i="13"/>
  <c r="G22" i="13"/>
  <c r="F22" i="13"/>
  <c r="E22" i="13"/>
  <c r="O80" i="13"/>
  <c r="N80" i="13"/>
  <c r="M80" i="13"/>
  <c r="G30" i="13"/>
  <c r="E30" i="13"/>
  <c r="F30" i="13"/>
  <c r="E9" i="13"/>
  <c r="G9" i="13"/>
  <c r="F9" i="13"/>
  <c r="K46" i="13"/>
  <c r="J46" i="13"/>
  <c r="I46" i="13"/>
  <c r="K12" i="13"/>
  <c r="J12" i="13"/>
  <c r="I12" i="13"/>
  <c r="N2" i="13"/>
  <c r="O2" i="13"/>
  <c r="M2" i="13"/>
  <c r="G6" i="13"/>
  <c r="F6" i="13"/>
  <c r="E6" i="13"/>
  <c r="AH7" i="13" a="1"/>
  <c r="AH7" i="13" s="1"/>
  <c r="AI7" i="13" s="1" a="1"/>
  <c r="AI7" i="13" s="1"/>
  <c r="AH24" i="13" a="1"/>
  <c r="AH24" i="13" s="1"/>
  <c r="AI24" i="13" s="1" a="1"/>
  <c r="AI24" i="13" s="1"/>
  <c r="AH22" i="13" a="1"/>
  <c r="AH22" i="13" s="1"/>
  <c r="AI22" i="13" s="1" a="1"/>
  <c r="AI22" i="13" s="1"/>
  <c r="K5" i="13"/>
  <c r="J5" i="13"/>
  <c r="I5" i="13"/>
  <c r="G11" i="13"/>
  <c r="F11" i="13"/>
  <c r="E11" i="13"/>
  <c r="L3" i="9"/>
  <c r="I4" i="2"/>
  <c r="J238" i="9"/>
  <c r="F238" i="9"/>
  <c r="G238" i="9" s="1"/>
  <c r="A238" i="9"/>
  <c r="J241" i="9"/>
  <c r="F241" i="9"/>
  <c r="G241" i="9" s="1"/>
  <c r="A241" i="9"/>
  <c r="J220" i="9"/>
  <c r="F220" i="9"/>
  <c r="G220" i="9" s="1"/>
  <c r="A220" i="9"/>
  <c r="J440" i="13"/>
  <c r="I440" i="13"/>
  <c r="K440" i="13"/>
  <c r="O391" i="13"/>
  <c r="N391" i="13"/>
  <c r="M391" i="13"/>
  <c r="F418" i="13"/>
  <c r="E418" i="13"/>
  <c r="G418" i="13"/>
  <c r="N329" i="13"/>
  <c r="O329" i="13"/>
  <c r="M329" i="13"/>
  <c r="K357" i="13"/>
  <c r="J357" i="13"/>
  <c r="I357" i="13"/>
  <c r="O294" i="13"/>
  <c r="N294" i="13"/>
  <c r="M294" i="13"/>
  <c r="O285" i="13"/>
  <c r="N285" i="13"/>
  <c r="M285" i="13"/>
  <c r="J239" i="9"/>
  <c r="N420" i="13"/>
  <c r="O420" i="13"/>
  <c r="M420" i="13"/>
  <c r="O414" i="13"/>
  <c r="N414" i="13"/>
  <c r="M414" i="13"/>
  <c r="G388" i="13"/>
  <c r="F388" i="13"/>
  <c r="E388" i="13"/>
  <c r="J339" i="13"/>
  <c r="K339" i="13"/>
  <c r="I339" i="13"/>
  <c r="O250" i="13"/>
  <c r="N250" i="13"/>
  <c r="M250" i="13"/>
  <c r="O218" i="13"/>
  <c r="N218" i="13"/>
  <c r="M218" i="13"/>
  <c r="K383" i="13"/>
  <c r="J383" i="13"/>
  <c r="I383" i="13"/>
  <c r="G172" i="13"/>
  <c r="F172" i="13"/>
  <c r="E172" i="13"/>
  <c r="K188" i="13"/>
  <c r="J188" i="13"/>
  <c r="I188" i="13"/>
  <c r="M270" i="13"/>
  <c r="O270" i="13"/>
  <c r="N270" i="13"/>
  <c r="J215" i="9"/>
  <c r="E420" i="13"/>
  <c r="F420" i="13"/>
  <c r="G420" i="13"/>
  <c r="J414" i="13"/>
  <c r="I414" i="13"/>
  <c r="K414" i="13"/>
  <c r="G378" i="13"/>
  <c r="F378" i="13"/>
  <c r="E378" i="13"/>
  <c r="G369" i="13"/>
  <c r="F369" i="13"/>
  <c r="E369" i="13"/>
  <c r="O450" i="13"/>
  <c r="N450" i="13"/>
  <c r="M450" i="13"/>
  <c r="I334" i="13"/>
  <c r="K334" i="13"/>
  <c r="J334" i="13"/>
  <c r="O316" i="13"/>
  <c r="N316" i="13"/>
  <c r="M316" i="13"/>
  <c r="K327" i="13"/>
  <c r="J327" i="13"/>
  <c r="I327" i="13"/>
  <c r="K312" i="13"/>
  <c r="J312" i="13"/>
  <c r="I312" i="13"/>
  <c r="G306" i="13"/>
  <c r="F306" i="13"/>
  <c r="E306" i="13"/>
  <c r="O449" i="13"/>
  <c r="N449" i="13"/>
  <c r="M449" i="13"/>
  <c r="K429" i="13"/>
  <c r="J429" i="13"/>
  <c r="I429" i="13"/>
  <c r="O442" i="13"/>
  <c r="N442" i="13"/>
  <c r="M442" i="13"/>
  <c r="K445" i="13"/>
  <c r="J445" i="13"/>
  <c r="I445" i="13"/>
  <c r="F431" i="13"/>
  <c r="G431" i="13"/>
  <c r="E431" i="13"/>
  <c r="N410" i="13"/>
  <c r="M410" i="13"/>
  <c r="O410" i="13"/>
  <c r="K415" i="13"/>
  <c r="J415" i="13"/>
  <c r="I415" i="13"/>
  <c r="O444" i="13"/>
  <c r="N444" i="13"/>
  <c r="M444" i="13"/>
  <c r="M413" i="13"/>
  <c r="O413" i="13"/>
  <c r="N413" i="13"/>
  <c r="F441" i="13"/>
  <c r="E441" i="13"/>
  <c r="G441" i="13"/>
  <c r="K412" i="13"/>
  <c r="J412" i="13"/>
  <c r="I412" i="13"/>
  <c r="M385" i="13"/>
  <c r="O385" i="13"/>
  <c r="N385" i="13"/>
  <c r="E375" i="13"/>
  <c r="F375" i="13"/>
  <c r="G375" i="13"/>
  <c r="O425" i="13"/>
  <c r="M425" i="13"/>
  <c r="N425" i="13"/>
  <c r="K369" i="13"/>
  <c r="I369" i="13"/>
  <c r="J369" i="13"/>
  <c r="E389" i="13"/>
  <c r="F389" i="13"/>
  <c r="G389" i="13"/>
  <c r="F381" i="13"/>
  <c r="E381" i="13"/>
  <c r="G381" i="13"/>
  <c r="O368" i="13"/>
  <c r="M368" i="13"/>
  <c r="N368" i="13"/>
  <c r="M353" i="13"/>
  <c r="N353" i="13"/>
  <c r="O353" i="13"/>
  <c r="J365" i="13"/>
  <c r="I365" i="13"/>
  <c r="K365" i="13"/>
  <c r="G336" i="13"/>
  <c r="F336" i="13"/>
  <c r="E336" i="13"/>
  <c r="K382" i="13"/>
  <c r="I382" i="13"/>
  <c r="J382" i="13"/>
  <c r="O408" i="13"/>
  <c r="N408" i="13"/>
  <c r="M408" i="13"/>
  <c r="O388" i="13"/>
  <c r="N388" i="13"/>
  <c r="M388" i="13"/>
  <c r="J322" i="13"/>
  <c r="I322" i="13"/>
  <c r="K322" i="13"/>
  <c r="G360" i="13"/>
  <c r="F360" i="13"/>
  <c r="E360" i="13"/>
  <c r="G330" i="13"/>
  <c r="F330" i="13"/>
  <c r="E330" i="13"/>
  <c r="G316" i="13"/>
  <c r="F316" i="13"/>
  <c r="E316" i="13"/>
  <c r="G313" i="13"/>
  <c r="F313" i="13"/>
  <c r="E313" i="13"/>
  <c r="K358" i="13"/>
  <c r="J358" i="13"/>
  <c r="I358" i="13"/>
  <c r="F333" i="13"/>
  <c r="E333" i="13"/>
  <c r="G333" i="13"/>
  <c r="O273" i="13"/>
  <c r="N273" i="13"/>
  <c r="M273" i="13"/>
  <c r="K342" i="13"/>
  <c r="J342" i="13"/>
  <c r="I342" i="13"/>
  <c r="E301" i="13"/>
  <c r="G301" i="13"/>
  <c r="F301" i="13"/>
  <c r="O346" i="13"/>
  <c r="M346" i="13"/>
  <c r="N346" i="13"/>
  <c r="N291" i="13"/>
  <c r="M291" i="13"/>
  <c r="O291" i="13"/>
  <c r="K265" i="13"/>
  <c r="J265" i="13"/>
  <c r="I265" i="13"/>
  <c r="M312" i="13"/>
  <c r="N312" i="13"/>
  <c r="O312" i="13"/>
  <c r="K326" i="13"/>
  <c r="J326" i="13"/>
  <c r="I326" i="13"/>
  <c r="M319" i="13"/>
  <c r="O319" i="13"/>
  <c r="N319" i="13"/>
  <c r="O278" i="13"/>
  <c r="N278" i="13"/>
  <c r="M278" i="13"/>
  <c r="K261" i="13"/>
  <c r="J261" i="13"/>
  <c r="I261" i="13"/>
  <c r="M364" i="13"/>
  <c r="O364" i="13"/>
  <c r="N364" i="13"/>
  <c r="O295" i="13"/>
  <c r="M295" i="13"/>
  <c r="N295" i="13"/>
  <c r="M233" i="13"/>
  <c r="O233" i="13"/>
  <c r="N233" i="13"/>
  <c r="E317" i="13"/>
  <c r="G317" i="13"/>
  <c r="F317" i="13"/>
  <c r="M277" i="13"/>
  <c r="O277" i="13"/>
  <c r="N277" i="13"/>
  <c r="O262" i="13"/>
  <c r="N262" i="13"/>
  <c r="M262" i="13"/>
  <c r="G213" i="13"/>
  <c r="F213" i="13"/>
  <c r="E213" i="13"/>
  <c r="G383" i="13"/>
  <c r="E383" i="13"/>
  <c r="F383" i="13"/>
  <c r="F298" i="13"/>
  <c r="E298" i="13"/>
  <c r="G298" i="13"/>
  <c r="M242" i="13"/>
  <c r="O242" i="13"/>
  <c r="N242" i="13"/>
  <c r="F315" i="13"/>
  <c r="E315" i="13"/>
  <c r="G315" i="13"/>
  <c r="I300" i="13"/>
  <c r="K300" i="13"/>
  <c r="J300" i="13"/>
  <c r="I268" i="13"/>
  <c r="K268" i="13"/>
  <c r="J268" i="13"/>
  <c r="M247" i="13"/>
  <c r="O247" i="13"/>
  <c r="N247" i="13"/>
  <c r="G226" i="13"/>
  <c r="F226" i="13"/>
  <c r="E226" i="13"/>
  <c r="K297" i="13"/>
  <c r="I297" i="13"/>
  <c r="J297" i="13"/>
  <c r="N205" i="13"/>
  <c r="O205" i="13"/>
  <c r="M205" i="13"/>
  <c r="G195" i="13"/>
  <c r="F195" i="13"/>
  <c r="E195" i="13"/>
  <c r="O173" i="13"/>
  <c r="N173" i="13"/>
  <c r="M173" i="13"/>
  <c r="F272" i="13"/>
  <c r="E272" i="13"/>
  <c r="G272" i="13"/>
  <c r="K235" i="13"/>
  <c r="J235" i="13"/>
  <c r="I235" i="13"/>
  <c r="G197" i="13"/>
  <c r="F197" i="13"/>
  <c r="E197" i="13"/>
  <c r="O179" i="13"/>
  <c r="M179" i="13"/>
  <c r="N179" i="13"/>
  <c r="O156" i="13"/>
  <c r="M156" i="13"/>
  <c r="N156" i="13"/>
  <c r="E230" i="13"/>
  <c r="G230" i="13"/>
  <c r="F230" i="13"/>
  <c r="K195" i="13"/>
  <c r="J195" i="13"/>
  <c r="I195" i="13"/>
  <c r="F181" i="13"/>
  <c r="E181" i="13"/>
  <c r="G181" i="13"/>
  <c r="G245" i="13"/>
  <c r="F245" i="13"/>
  <c r="E245" i="13"/>
  <c r="M210" i="13"/>
  <c r="O210" i="13"/>
  <c r="N210" i="13"/>
  <c r="E196" i="13"/>
  <c r="G196" i="13"/>
  <c r="F196" i="13"/>
  <c r="I307" i="13"/>
  <c r="K307" i="13"/>
  <c r="J307" i="13"/>
  <c r="N143" i="13"/>
  <c r="M143" i="13"/>
  <c r="O143" i="13"/>
  <c r="F279" i="13"/>
  <c r="E279" i="13"/>
  <c r="G279" i="13"/>
  <c r="F244" i="13"/>
  <c r="E244" i="13"/>
  <c r="G244" i="13"/>
  <c r="O225" i="13"/>
  <c r="N225" i="13"/>
  <c r="M225" i="13"/>
  <c r="F178" i="13"/>
  <c r="G178" i="13"/>
  <c r="E178" i="13"/>
  <c r="F203" i="13"/>
  <c r="G203" i="13"/>
  <c r="E203" i="13"/>
  <c r="K153" i="13"/>
  <c r="J153" i="13"/>
  <c r="I153" i="13"/>
  <c r="K239" i="13"/>
  <c r="J239" i="13"/>
  <c r="I239" i="13"/>
  <c r="K187" i="13"/>
  <c r="J187" i="13"/>
  <c r="I187" i="13"/>
  <c r="G145" i="13"/>
  <c r="F145" i="13"/>
  <c r="E145" i="13"/>
  <c r="E135" i="13"/>
  <c r="G135" i="13"/>
  <c r="F135" i="13"/>
  <c r="O287" i="13"/>
  <c r="N287" i="13"/>
  <c r="M287" i="13"/>
  <c r="J208" i="13"/>
  <c r="K208" i="13"/>
  <c r="I208" i="13"/>
  <c r="O157" i="13"/>
  <c r="M157" i="13"/>
  <c r="N157" i="13"/>
  <c r="K142" i="13"/>
  <c r="J142" i="13"/>
  <c r="I142" i="13"/>
  <c r="K127" i="13"/>
  <c r="I127" i="13"/>
  <c r="J127" i="13"/>
  <c r="K288" i="13"/>
  <c r="J288" i="13"/>
  <c r="I288" i="13"/>
  <c r="J137" i="13"/>
  <c r="I137" i="13"/>
  <c r="K137" i="13"/>
  <c r="G129" i="13"/>
  <c r="F129" i="13"/>
  <c r="E129" i="13"/>
  <c r="G122" i="13"/>
  <c r="F122" i="13"/>
  <c r="E122" i="13"/>
  <c r="O94" i="13"/>
  <c r="N94" i="13"/>
  <c r="M94" i="13"/>
  <c r="K82" i="13"/>
  <c r="J82" i="13"/>
  <c r="I82" i="13"/>
  <c r="G98" i="13"/>
  <c r="F98" i="13"/>
  <c r="E98" i="13"/>
  <c r="O45" i="13"/>
  <c r="M45" i="13"/>
  <c r="N45" i="13"/>
  <c r="M81" i="13"/>
  <c r="O81" i="13"/>
  <c r="N81" i="13"/>
  <c r="I63" i="13"/>
  <c r="K63" i="13"/>
  <c r="J63" i="13"/>
  <c r="K50" i="13"/>
  <c r="J50" i="13"/>
  <c r="I50" i="13"/>
  <c r="J37" i="13"/>
  <c r="K37" i="13"/>
  <c r="I37" i="13"/>
  <c r="G88" i="13"/>
  <c r="F88" i="13"/>
  <c r="E88" i="13"/>
  <c r="F116" i="13"/>
  <c r="E116" i="13"/>
  <c r="G116" i="13"/>
  <c r="O87" i="13"/>
  <c r="N87" i="13"/>
  <c r="M87" i="13"/>
  <c r="K58" i="13"/>
  <c r="I58" i="13"/>
  <c r="J58" i="13"/>
  <c r="O35" i="13"/>
  <c r="M35" i="13"/>
  <c r="N35" i="13"/>
  <c r="M25" i="13"/>
  <c r="O25" i="13"/>
  <c r="N25" i="13"/>
  <c r="O117" i="13"/>
  <c r="N117" i="13"/>
  <c r="M117" i="13"/>
  <c r="O107" i="13"/>
  <c r="N107" i="13"/>
  <c r="M107" i="13"/>
  <c r="G71" i="13"/>
  <c r="F71" i="13"/>
  <c r="E71" i="13"/>
  <c r="O126" i="13"/>
  <c r="N126" i="13"/>
  <c r="M126" i="13"/>
  <c r="M61" i="13"/>
  <c r="N61" i="13"/>
  <c r="O61" i="13"/>
  <c r="K23" i="13"/>
  <c r="J23" i="13"/>
  <c r="I23" i="13"/>
  <c r="K36" i="13"/>
  <c r="I36" i="13"/>
  <c r="J36" i="13"/>
  <c r="F15" i="13"/>
  <c r="F19" i="13"/>
  <c r="E19" i="13"/>
  <c r="G19" i="13"/>
  <c r="S2" i="13"/>
  <c r="F2" i="13"/>
  <c r="E2" i="13"/>
  <c r="G2" i="13"/>
  <c r="O101" i="13"/>
  <c r="N101" i="13"/>
  <c r="M101" i="13"/>
  <c r="G21" i="13"/>
  <c r="F21" i="13"/>
  <c r="E21" i="13"/>
  <c r="F46" i="13"/>
  <c r="E46" i="13"/>
  <c r="G46" i="13"/>
  <c r="N12" i="13"/>
  <c r="O12" i="13"/>
  <c r="M12" i="13"/>
  <c r="G7" i="13"/>
  <c r="F7" i="13"/>
  <c r="E7" i="13"/>
  <c r="K27" i="13"/>
  <c r="J27" i="13"/>
  <c r="I27" i="13"/>
  <c r="O4" i="13"/>
  <c r="M4" i="13"/>
  <c r="N4" i="13"/>
  <c r="AH6" i="13" a="1"/>
  <c r="AH6" i="13" s="1"/>
  <c r="AI6" i="13" s="1" a="1"/>
  <c r="AI6" i="13" s="1"/>
  <c r="AH4" i="13" a="1"/>
  <c r="AH4" i="13" s="1"/>
  <c r="AI4" i="13" s="1" a="1"/>
  <c r="AI4" i="13" s="1"/>
  <c r="AH2" i="13" a="1"/>
  <c r="AH2" i="13" s="1"/>
  <c r="AI2" i="13" s="1" a="1"/>
  <c r="AI2" i="13" s="1"/>
  <c r="F5" i="13"/>
  <c r="G5" i="13"/>
  <c r="E5" i="13"/>
  <c r="J237" i="9"/>
  <c r="F237" i="9"/>
  <c r="G237" i="9" s="1"/>
  <c r="A237" i="9"/>
  <c r="J246" i="9"/>
  <c r="A246" i="9"/>
  <c r="F246" i="9"/>
  <c r="G246" i="9" s="1"/>
  <c r="J223" i="9"/>
  <c r="AL6" i="5"/>
  <c r="A8" i="5" a="1"/>
  <c r="A8" i="5" s="1"/>
  <c r="O428" i="13"/>
  <c r="N428" i="13"/>
  <c r="M428" i="13"/>
  <c r="K438" i="13"/>
  <c r="J438" i="13"/>
  <c r="I438" i="13"/>
  <c r="G354" i="13"/>
  <c r="F354" i="13"/>
  <c r="E354" i="13"/>
  <c r="N351" i="13"/>
  <c r="M351" i="13"/>
  <c r="O351" i="13"/>
  <c r="K324" i="13"/>
  <c r="I324" i="13"/>
  <c r="J324" i="13"/>
  <c r="K292" i="13"/>
  <c r="J292" i="13"/>
  <c r="I292" i="13"/>
  <c r="K364" i="13"/>
  <c r="J364" i="13"/>
  <c r="I364" i="13"/>
  <c r="N275" i="13"/>
  <c r="M275" i="13"/>
  <c r="O275" i="13"/>
  <c r="K283" i="13"/>
  <c r="J283" i="13"/>
  <c r="I283" i="13"/>
  <c r="G182" i="13"/>
  <c r="F182" i="13"/>
  <c r="E182" i="13"/>
  <c r="N194" i="13"/>
  <c r="M194" i="13"/>
  <c r="O194" i="13"/>
  <c r="K416" i="13"/>
  <c r="J416" i="13"/>
  <c r="I416" i="13"/>
  <c r="J405" i="13"/>
  <c r="I405" i="13"/>
  <c r="K405" i="13"/>
  <c r="G394" i="13"/>
  <c r="F394" i="13"/>
  <c r="E394" i="13"/>
  <c r="O323" i="13"/>
  <c r="N323" i="13"/>
  <c r="M323" i="13"/>
  <c r="M340" i="13"/>
  <c r="O340" i="13"/>
  <c r="N340" i="13"/>
  <c r="O327" i="13"/>
  <c r="M327" i="13"/>
  <c r="N327" i="13"/>
  <c r="F303" i="13"/>
  <c r="E303" i="13"/>
  <c r="G303" i="13"/>
  <c r="J314" i="13"/>
  <c r="I314" i="13"/>
  <c r="K314" i="13"/>
  <c r="O238" i="13"/>
  <c r="N238" i="13"/>
  <c r="M238" i="13"/>
  <c r="G233" i="13"/>
  <c r="F233" i="13"/>
  <c r="E233" i="13"/>
  <c r="K263" i="13"/>
  <c r="J263" i="13"/>
  <c r="I263" i="13"/>
  <c r="O300" i="13"/>
  <c r="N300" i="13"/>
  <c r="M300" i="13"/>
  <c r="M160" i="13"/>
  <c r="N160" i="13"/>
  <c r="O160" i="13"/>
  <c r="K97" i="13"/>
  <c r="J97" i="13"/>
  <c r="I97" i="13"/>
  <c r="M59" i="13"/>
  <c r="O59" i="13"/>
  <c r="N59" i="13"/>
  <c r="O63" i="13"/>
  <c r="N63" i="13"/>
  <c r="M63" i="13"/>
  <c r="N64" i="13"/>
  <c r="M64" i="13"/>
  <c r="O64" i="13"/>
  <c r="N24" i="13"/>
  <c r="M24" i="13"/>
  <c r="O24" i="13"/>
  <c r="K149" i="13"/>
  <c r="J149" i="13"/>
  <c r="I149" i="13"/>
  <c r="O119" i="13"/>
  <c r="N119" i="13"/>
  <c r="M119" i="13"/>
  <c r="O84" i="13"/>
  <c r="N84" i="13"/>
  <c r="M84" i="13"/>
  <c r="G107" i="13"/>
  <c r="F107" i="13"/>
  <c r="E107" i="13"/>
  <c r="F65" i="13"/>
  <c r="E65" i="13"/>
  <c r="G65" i="13"/>
  <c r="O51" i="13"/>
  <c r="N51" i="13"/>
  <c r="M51" i="13"/>
  <c r="E118" i="13"/>
  <c r="G118" i="13"/>
  <c r="F118" i="13"/>
  <c r="K102" i="13"/>
  <c r="J102" i="13"/>
  <c r="I102" i="13"/>
  <c r="F61" i="13"/>
  <c r="E61" i="13"/>
  <c r="G61" i="13"/>
  <c r="K55" i="13"/>
  <c r="J55" i="13"/>
  <c r="I55" i="13"/>
  <c r="O109" i="13"/>
  <c r="N109" i="13"/>
  <c r="M109" i="13"/>
  <c r="I53" i="13"/>
  <c r="K53" i="13"/>
  <c r="J53" i="13"/>
  <c r="K39" i="13"/>
  <c r="J39" i="13"/>
  <c r="I39" i="13"/>
  <c r="K100" i="13"/>
  <c r="J100" i="13"/>
  <c r="I100" i="13"/>
  <c r="G13" i="13"/>
  <c r="F13" i="13"/>
  <c r="E13" i="13"/>
  <c r="O22" i="13"/>
  <c r="N22" i="13"/>
  <c r="M22" i="13"/>
  <c r="K80" i="13"/>
  <c r="J80" i="13"/>
  <c r="I80" i="13"/>
  <c r="M30" i="13"/>
  <c r="O30" i="13"/>
  <c r="N30" i="13"/>
  <c r="K9" i="13"/>
  <c r="J9" i="13"/>
  <c r="I9" i="13"/>
  <c r="I91" i="13"/>
  <c r="J91" i="13"/>
  <c r="K91" i="13"/>
  <c r="K6" i="13"/>
  <c r="J6" i="13"/>
  <c r="I6" i="13"/>
  <c r="E155" i="13"/>
  <c r="G155" i="13"/>
  <c r="F155" i="13"/>
  <c r="H9" i="10"/>
  <c r="F225" i="9"/>
  <c r="G225" i="9" s="1"/>
  <c r="J225" i="9"/>
  <c r="A225" i="9"/>
  <c r="G426" i="13"/>
  <c r="E426" i="13"/>
  <c r="F426" i="13"/>
  <c r="G416" i="13"/>
  <c r="F416" i="13"/>
  <c r="E416" i="13"/>
  <c r="K375" i="13"/>
  <c r="J375" i="13"/>
  <c r="I375" i="13"/>
  <c r="F355" i="13"/>
  <c r="E355" i="13"/>
  <c r="G355" i="13"/>
  <c r="O365" i="13"/>
  <c r="N365" i="13"/>
  <c r="M365" i="13"/>
  <c r="G343" i="13"/>
  <c r="F343" i="13"/>
  <c r="E343" i="13"/>
  <c r="K333" i="13"/>
  <c r="J333" i="13"/>
  <c r="I333" i="13"/>
  <c r="G286" i="13"/>
  <c r="F286" i="13"/>
  <c r="E286" i="13"/>
  <c r="K249" i="13"/>
  <c r="J249" i="13"/>
  <c r="I249" i="13"/>
  <c r="E335" i="13"/>
  <c r="F335" i="13"/>
  <c r="G335" i="13"/>
  <c r="K439" i="13"/>
  <c r="I439" i="13"/>
  <c r="J439" i="13"/>
  <c r="G429" i="13"/>
  <c r="F429" i="13"/>
  <c r="E429" i="13"/>
  <c r="O435" i="13"/>
  <c r="N435" i="13"/>
  <c r="M435" i="13"/>
  <c r="K434" i="13"/>
  <c r="J434" i="13"/>
  <c r="I434" i="13"/>
  <c r="G445" i="13"/>
  <c r="F445" i="13"/>
  <c r="E445" i="13"/>
  <c r="M432" i="13"/>
  <c r="O432" i="13"/>
  <c r="N432" i="13"/>
  <c r="G409" i="13"/>
  <c r="F409" i="13"/>
  <c r="E409" i="13"/>
  <c r="O451" i="13"/>
  <c r="N451" i="13"/>
  <c r="M451" i="13"/>
  <c r="F415" i="13"/>
  <c r="E415" i="13"/>
  <c r="G415" i="13"/>
  <c r="K444" i="13"/>
  <c r="J444" i="13"/>
  <c r="I444" i="13"/>
  <c r="O424" i="13"/>
  <c r="N424" i="13"/>
  <c r="M424" i="13"/>
  <c r="J398" i="13"/>
  <c r="I398" i="13"/>
  <c r="K398" i="13"/>
  <c r="M378" i="13"/>
  <c r="N378" i="13"/>
  <c r="O378" i="13"/>
  <c r="G412" i="13"/>
  <c r="F412" i="13"/>
  <c r="E412" i="13"/>
  <c r="K396" i="13"/>
  <c r="J396" i="13"/>
  <c r="I396" i="13"/>
  <c r="K384" i="13"/>
  <c r="J384" i="13"/>
  <c r="I384" i="13"/>
  <c r="G361" i="13"/>
  <c r="F361" i="13"/>
  <c r="E361" i="13"/>
  <c r="M369" i="13"/>
  <c r="O369" i="13"/>
  <c r="N369" i="13"/>
  <c r="O355" i="13"/>
  <c r="N355" i="13"/>
  <c r="M355" i="13"/>
  <c r="J368" i="13"/>
  <c r="K368" i="13"/>
  <c r="I368" i="13"/>
  <c r="K359" i="13"/>
  <c r="J359" i="13"/>
  <c r="I359" i="13"/>
  <c r="E382" i="13"/>
  <c r="G382" i="13"/>
  <c r="F382" i="13"/>
  <c r="O403" i="13"/>
  <c r="N403" i="13"/>
  <c r="M403" i="13"/>
  <c r="I388" i="13"/>
  <c r="J388" i="13"/>
  <c r="K388" i="13"/>
  <c r="K366" i="13"/>
  <c r="J366" i="13"/>
  <c r="I366" i="13"/>
  <c r="O343" i="13"/>
  <c r="N343" i="13"/>
  <c r="M343" i="13"/>
  <c r="F332" i="13"/>
  <c r="G332" i="13"/>
  <c r="E332" i="13"/>
  <c r="K387" i="13"/>
  <c r="J387" i="13"/>
  <c r="I387" i="13"/>
  <c r="M313" i="13"/>
  <c r="O313" i="13"/>
  <c r="N313" i="13"/>
  <c r="F342" i="13"/>
  <c r="G342" i="13"/>
  <c r="E342" i="13"/>
  <c r="M286" i="13"/>
  <c r="O286" i="13"/>
  <c r="N286" i="13"/>
  <c r="O251" i="13"/>
  <c r="M251" i="13"/>
  <c r="N251" i="13"/>
  <c r="G325" i="13"/>
  <c r="E325" i="13"/>
  <c r="F325" i="13"/>
  <c r="N281" i="13"/>
  <c r="O281" i="13"/>
  <c r="M281" i="13"/>
  <c r="G312" i="13"/>
  <c r="E312" i="13"/>
  <c r="F312" i="13"/>
  <c r="O292" i="13"/>
  <c r="M292" i="13"/>
  <c r="N292" i="13"/>
  <c r="F326" i="13"/>
  <c r="G326" i="13"/>
  <c r="E326" i="13"/>
  <c r="G319" i="13"/>
  <c r="F319" i="13"/>
  <c r="E319" i="13"/>
  <c r="M306" i="13"/>
  <c r="O306" i="13"/>
  <c r="N306" i="13"/>
  <c r="J278" i="13"/>
  <c r="I278" i="13"/>
  <c r="K278" i="13"/>
  <c r="O299" i="13"/>
  <c r="N299" i="13"/>
  <c r="M299" i="13"/>
  <c r="N284" i="13"/>
  <c r="M284" i="13"/>
  <c r="O284" i="13"/>
  <c r="G261" i="13"/>
  <c r="F261" i="13"/>
  <c r="E261" i="13"/>
  <c r="O234" i="13"/>
  <c r="N234" i="13"/>
  <c r="M234" i="13"/>
  <c r="O209" i="13"/>
  <c r="N209" i="13"/>
  <c r="M209" i="13"/>
  <c r="O283" i="13"/>
  <c r="M283" i="13"/>
  <c r="N283" i="13"/>
  <c r="M256" i="13"/>
  <c r="O256" i="13"/>
  <c r="N256" i="13"/>
  <c r="G222" i="13"/>
  <c r="F222" i="13"/>
  <c r="E222" i="13"/>
  <c r="G262" i="13"/>
  <c r="F262" i="13"/>
  <c r="E262" i="13"/>
  <c r="O298" i="13"/>
  <c r="N298" i="13"/>
  <c r="M298" i="13"/>
  <c r="M263" i="13"/>
  <c r="O263" i="13"/>
  <c r="N263" i="13"/>
  <c r="E247" i="13"/>
  <c r="G247" i="13"/>
  <c r="F247" i="13"/>
  <c r="E297" i="13"/>
  <c r="G297" i="13"/>
  <c r="F297" i="13"/>
  <c r="E205" i="13"/>
  <c r="G205" i="13"/>
  <c r="F205" i="13"/>
  <c r="F235" i="13"/>
  <c r="E235" i="13"/>
  <c r="G235" i="13"/>
  <c r="K179" i="13"/>
  <c r="J179" i="13"/>
  <c r="I179" i="13"/>
  <c r="K156" i="13"/>
  <c r="J156" i="13"/>
  <c r="I156" i="13"/>
  <c r="N290" i="13"/>
  <c r="O290" i="13"/>
  <c r="M290" i="13"/>
  <c r="O189" i="13"/>
  <c r="N189" i="13"/>
  <c r="M189" i="13"/>
  <c r="N154" i="13"/>
  <c r="M154" i="13"/>
  <c r="O154" i="13"/>
  <c r="O260" i="13"/>
  <c r="N260" i="13"/>
  <c r="M260" i="13"/>
  <c r="G192" i="13"/>
  <c r="F192" i="13"/>
  <c r="E192" i="13"/>
  <c r="N165" i="13"/>
  <c r="O165" i="13"/>
  <c r="M165" i="13"/>
  <c r="O321" i="13"/>
  <c r="N321" i="13"/>
  <c r="M321" i="13"/>
  <c r="J159" i="13"/>
  <c r="I159" i="13"/>
  <c r="K159" i="13"/>
  <c r="K169" i="13"/>
  <c r="J169" i="13"/>
  <c r="I169" i="13"/>
  <c r="J225" i="13"/>
  <c r="I225" i="13"/>
  <c r="K225" i="13"/>
  <c r="N153" i="13"/>
  <c r="M153" i="13"/>
  <c r="O153" i="13"/>
  <c r="G239" i="13"/>
  <c r="F239" i="13"/>
  <c r="E239" i="13"/>
  <c r="E187" i="13"/>
  <c r="G187" i="13"/>
  <c r="F187" i="13"/>
  <c r="F150" i="13"/>
  <c r="E150" i="13"/>
  <c r="G150" i="13"/>
  <c r="G124" i="13"/>
  <c r="F124" i="13"/>
  <c r="E124" i="13"/>
  <c r="I287" i="13"/>
  <c r="K287" i="13"/>
  <c r="J287" i="13"/>
  <c r="F208" i="13"/>
  <c r="G208" i="13"/>
  <c r="E208" i="13"/>
  <c r="O185" i="13"/>
  <c r="M185" i="13"/>
  <c r="N185" i="13"/>
  <c r="F162" i="13"/>
  <c r="G162" i="13"/>
  <c r="E162" i="13"/>
  <c r="K157" i="13"/>
  <c r="I157" i="13"/>
  <c r="J157" i="13"/>
  <c r="F288" i="13"/>
  <c r="E288" i="13"/>
  <c r="G288" i="13"/>
  <c r="J180" i="13"/>
  <c r="I180" i="13"/>
  <c r="K180" i="13"/>
  <c r="F115" i="13"/>
  <c r="E115" i="13"/>
  <c r="G115" i="13"/>
  <c r="J94" i="13"/>
  <c r="K94" i="13"/>
  <c r="I94" i="13"/>
  <c r="K66" i="13"/>
  <c r="J66" i="13"/>
  <c r="I66" i="13"/>
  <c r="O166" i="13"/>
  <c r="N166" i="13"/>
  <c r="M166" i="13"/>
  <c r="O110" i="13"/>
  <c r="N110" i="13"/>
  <c r="M110" i="13"/>
  <c r="M97" i="13"/>
  <c r="O97" i="13"/>
  <c r="N97" i="13"/>
  <c r="E81" i="13"/>
  <c r="G81" i="13"/>
  <c r="F81" i="13"/>
  <c r="F62" i="13"/>
  <c r="G62" i="13"/>
  <c r="E62" i="13"/>
  <c r="M50" i="13"/>
  <c r="O50" i="13"/>
  <c r="N50" i="13"/>
  <c r="J88" i="13"/>
  <c r="I88" i="13"/>
  <c r="K88" i="13"/>
  <c r="N149" i="13"/>
  <c r="M149" i="13"/>
  <c r="O149" i="13"/>
  <c r="K116" i="13"/>
  <c r="J116" i="13"/>
  <c r="I116" i="13"/>
  <c r="K99" i="13"/>
  <c r="J99" i="13"/>
  <c r="I99" i="13"/>
  <c r="F87" i="13"/>
  <c r="E87" i="13"/>
  <c r="G87" i="13"/>
  <c r="O201" i="13"/>
  <c r="M201" i="13"/>
  <c r="N201" i="13"/>
  <c r="G72" i="13"/>
  <c r="E72" i="13"/>
  <c r="F72" i="13"/>
  <c r="K132" i="13"/>
  <c r="J132" i="13"/>
  <c r="I132" i="13"/>
  <c r="I107" i="13"/>
  <c r="K107" i="13"/>
  <c r="J107" i="13"/>
  <c r="O71" i="13"/>
  <c r="N71" i="13"/>
  <c r="M71" i="13"/>
  <c r="G126" i="13"/>
  <c r="F126" i="13"/>
  <c r="E126" i="13"/>
  <c r="F58" i="13"/>
  <c r="E58" i="13"/>
  <c r="G58" i="13"/>
  <c r="N42" i="13"/>
  <c r="M42" i="13"/>
  <c r="O42" i="13"/>
  <c r="E23" i="13"/>
  <c r="G23" i="13"/>
  <c r="F23" i="13"/>
  <c r="M16" i="13"/>
  <c r="O16" i="13"/>
  <c r="N16" i="13"/>
  <c r="J67" i="13"/>
  <c r="I67" i="13"/>
  <c r="K67" i="13"/>
  <c r="G36" i="13"/>
  <c r="F36" i="13"/>
  <c r="E36" i="13"/>
  <c r="O100" i="13"/>
  <c r="N100" i="13"/>
  <c r="M100" i="13"/>
  <c r="K22" i="13"/>
  <c r="J22" i="13"/>
  <c r="I22" i="13"/>
  <c r="E80" i="13"/>
  <c r="G80" i="13"/>
  <c r="F80" i="13"/>
  <c r="K101" i="13"/>
  <c r="J101" i="13"/>
  <c r="I101" i="13"/>
  <c r="O21" i="13"/>
  <c r="N21" i="13"/>
  <c r="M21" i="13"/>
  <c r="E12" i="13"/>
  <c r="G12" i="13"/>
  <c r="F12" i="13"/>
  <c r="F27" i="13"/>
  <c r="E27" i="13"/>
  <c r="G27" i="13"/>
  <c r="O3" i="13"/>
  <c r="N3" i="13"/>
  <c r="M3" i="13"/>
  <c r="K4" i="13"/>
  <c r="J4" i="13"/>
  <c r="I4" i="13"/>
  <c r="AH3" i="13" a="1"/>
  <c r="AH3" i="13" s="1"/>
  <c r="AI3" i="13" s="1" a="1"/>
  <c r="AI3" i="13" s="1"/>
  <c r="AH19" i="13" a="1"/>
  <c r="AH19" i="13" s="1"/>
  <c r="AI19" i="13" s="1" a="1"/>
  <c r="AI19" i="13" s="1"/>
  <c r="AH16" i="13" a="1"/>
  <c r="AH16" i="13" s="1"/>
  <c r="AI16" i="13" s="1" a="1"/>
  <c r="AI16" i="13" s="1"/>
  <c r="M11" i="13"/>
  <c r="O11" i="13"/>
  <c r="N11" i="13"/>
  <c r="O130" i="4"/>
  <c r="G130" i="4"/>
  <c r="A132" i="4"/>
  <c r="V130" i="4"/>
  <c r="AM130" i="5" s="1"/>
  <c r="M130" i="4"/>
  <c r="E130" i="4"/>
  <c r="Q130" i="4"/>
  <c r="I130" i="4"/>
  <c r="K130" i="4"/>
  <c r="W130" i="4"/>
  <c r="AN130" i="5" s="1"/>
  <c r="J130" i="4"/>
  <c r="H130" i="4"/>
  <c r="N130" i="4"/>
  <c r="B130" i="4"/>
  <c r="S130" i="4"/>
  <c r="F130" i="4"/>
  <c r="R130" i="4"/>
  <c r="D130" i="4"/>
  <c r="P130" i="4"/>
  <c r="C130" i="4"/>
  <c r="L130" i="4"/>
  <c r="X3" i="5"/>
  <c r="N3" i="4"/>
  <c r="A244" i="9"/>
  <c r="J244" i="9"/>
  <c r="F244" i="9"/>
  <c r="G244" i="9" s="1"/>
  <c r="AL7" i="5"/>
  <c r="A9" i="5" a="1"/>
  <c r="A9" i="5" s="1"/>
  <c r="K422" i="13"/>
  <c r="J422" i="13"/>
  <c r="I422" i="13"/>
  <c r="K374" i="13"/>
  <c r="J374" i="13"/>
  <c r="I374" i="13"/>
  <c r="K425" i="13"/>
  <c r="J425" i="13"/>
  <c r="I425" i="13"/>
  <c r="F450" i="13"/>
  <c r="E450" i="13"/>
  <c r="G450" i="13"/>
  <c r="K408" i="13"/>
  <c r="J408" i="13"/>
  <c r="I408" i="13"/>
  <c r="G358" i="13"/>
  <c r="F358" i="13"/>
  <c r="E358" i="13"/>
  <c r="O392" i="13"/>
  <c r="N392" i="13"/>
  <c r="M392" i="13"/>
  <c r="K277" i="13"/>
  <c r="I277" i="13"/>
  <c r="J277" i="13"/>
  <c r="O419" i="13"/>
  <c r="N419" i="13"/>
  <c r="M419" i="13"/>
  <c r="N215" i="13"/>
  <c r="O215" i="13"/>
  <c r="M215" i="13"/>
  <c r="K163" i="13"/>
  <c r="J163" i="13"/>
  <c r="I163" i="13"/>
  <c r="G173" i="13"/>
  <c r="E173" i="13"/>
  <c r="F173" i="13"/>
  <c r="G183" i="13"/>
  <c r="F183" i="13"/>
  <c r="E183" i="13"/>
  <c r="J219" i="9"/>
  <c r="G422" i="13"/>
  <c r="F422" i="13"/>
  <c r="E422" i="13"/>
  <c r="K391" i="13"/>
  <c r="J391" i="13"/>
  <c r="I391" i="13"/>
  <c r="F425" i="13"/>
  <c r="E425" i="13"/>
  <c r="G425" i="13"/>
  <c r="I341" i="13"/>
  <c r="K341" i="13"/>
  <c r="J341" i="13"/>
  <c r="M324" i="13"/>
  <c r="O324" i="13"/>
  <c r="N324" i="13"/>
  <c r="E392" i="13"/>
  <c r="G392" i="13"/>
  <c r="F392" i="13"/>
  <c r="K346" i="13"/>
  <c r="J346" i="13"/>
  <c r="I346" i="13"/>
  <c r="J285" i="13"/>
  <c r="I285" i="13"/>
  <c r="K285" i="13"/>
  <c r="F215" i="13"/>
  <c r="E215" i="13"/>
  <c r="G215" i="13"/>
  <c r="G277" i="13"/>
  <c r="F277" i="13"/>
  <c r="E277" i="13"/>
  <c r="G283" i="13"/>
  <c r="F283" i="13"/>
  <c r="E283" i="13"/>
  <c r="G188" i="13"/>
  <c r="F188" i="13"/>
  <c r="E188" i="13"/>
  <c r="K276" i="13"/>
  <c r="J276" i="13"/>
  <c r="I276" i="13"/>
  <c r="O229" i="13"/>
  <c r="N229" i="13"/>
  <c r="M229" i="13"/>
  <c r="O307" i="13"/>
  <c r="N307" i="13"/>
  <c r="M307" i="13"/>
  <c r="F225" i="13"/>
  <c r="G225" i="13"/>
  <c r="E225" i="13"/>
  <c r="G287" i="13"/>
  <c r="E287" i="13"/>
  <c r="F287" i="13"/>
  <c r="N158" i="13"/>
  <c r="O158" i="13"/>
  <c r="M158" i="13"/>
  <c r="O180" i="13"/>
  <c r="M180" i="13"/>
  <c r="N180" i="13"/>
  <c r="G104" i="13"/>
  <c r="F104" i="13"/>
  <c r="E104" i="13"/>
  <c r="J18" i="13"/>
  <c r="K18" i="13"/>
  <c r="I18" i="13"/>
  <c r="G432" i="13"/>
  <c r="F432" i="13"/>
  <c r="E432" i="13"/>
  <c r="K441" i="13"/>
  <c r="J441" i="13"/>
  <c r="I441" i="13"/>
  <c r="E368" i="13"/>
  <c r="G368" i="13"/>
  <c r="F368" i="13"/>
  <c r="I379" i="13"/>
  <c r="K379" i="13"/>
  <c r="J379" i="13"/>
  <c r="K330" i="13"/>
  <c r="I330" i="13"/>
  <c r="J330" i="13"/>
  <c r="O358" i="13"/>
  <c r="N358" i="13"/>
  <c r="M358" i="13"/>
  <c r="K281" i="13"/>
  <c r="J281" i="13"/>
  <c r="I281" i="13"/>
  <c r="K299" i="13"/>
  <c r="I299" i="13"/>
  <c r="J299" i="13"/>
  <c r="G423" i="13"/>
  <c r="F423" i="13"/>
  <c r="E423" i="13"/>
  <c r="K435" i="13"/>
  <c r="I435" i="13"/>
  <c r="J435" i="13"/>
  <c r="G448" i="13"/>
  <c r="F448" i="13"/>
  <c r="E448" i="13"/>
  <c r="F434" i="13"/>
  <c r="E434" i="13"/>
  <c r="G434" i="13"/>
  <c r="O447" i="13"/>
  <c r="N447" i="13"/>
  <c r="M447" i="13"/>
  <c r="K436" i="13"/>
  <c r="J436" i="13"/>
  <c r="I436" i="13"/>
  <c r="G439" i="13"/>
  <c r="F439" i="13"/>
  <c r="E439" i="13"/>
  <c r="O431" i="13"/>
  <c r="N431" i="13"/>
  <c r="M431" i="13"/>
  <c r="K451" i="13"/>
  <c r="J451" i="13"/>
  <c r="I451" i="13"/>
  <c r="G397" i="13"/>
  <c r="F397" i="13"/>
  <c r="E397" i="13"/>
  <c r="F440" i="13"/>
  <c r="E440" i="13"/>
  <c r="G440" i="13"/>
  <c r="J424" i="13"/>
  <c r="I424" i="13"/>
  <c r="K424" i="13"/>
  <c r="G406" i="13"/>
  <c r="F406" i="13"/>
  <c r="E406" i="13"/>
  <c r="G393" i="13"/>
  <c r="E393" i="13"/>
  <c r="F393" i="13"/>
  <c r="N376" i="13"/>
  <c r="M376" i="13"/>
  <c r="O376" i="13"/>
  <c r="O441" i="13"/>
  <c r="M441" i="13"/>
  <c r="N441" i="13"/>
  <c r="G396" i="13"/>
  <c r="F396" i="13"/>
  <c r="E396" i="13"/>
  <c r="O380" i="13"/>
  <c r="N380" i="13"/>
  <c r="M380" i="13"/>
  <c r="F384" i="13"/>
  <c r="E384" i="13"/>
  <c r="G384" i="13"/>
  <c r="O381" i="13"/>
  <c r="N381" i="13"/>
  <c r="M381" i="13"/>
  <c r="G362" i="13"/>
  <c r="F362" i="13"/>
  <c r="E362" i="13"/>
  <c r="O361" i="13"/>
  <c r="N361" i="13"/>
  <c r="M361" i="13"/>
  <c r="N349" i="13"/>
  <c r="M349" i="13"/>
  <c r="O349" i="13"/>
  <c r="G359" i="13"/>
  <c r="F359" i="13"/>
  <c r="E359" i="13"/>
  <c r="O336" i="13"/>
  <c r="M336" i="13"/>
  <c r="N336" i="13"/>
  <c r="J371" i="13"/>
  <c r="K371" i="13"/>
  <c r="I371" i="13"/>
  <c r="E366" i="13"/>
  <c r="G366" i="13"/>
  <c r="F366" i="13"/>
  <c r="K343" i="13"/>
  <c r="J343" i="13"/>
  <c r="I343" i="13"/>
  <c r="N322" i="13"/>
  <c r="M322" i="13"/>
  <c r="O322" i="13"/>
  <c r="N360" i="13"/>
  <c r="M360" i="13"/>
  <c r="O360" i="13"/>
  <c r="N311" i="13"/>
  <c r="M311" i="13"/>
  <c r="O311" i="13"/>
  <c r="F308" i="13"/>
  <c r="E308" i="13"/>
  <c r="G308" i="13"/>
  <c r="F387" i="13"/>
  <c r="E387" i="13"/>
  <c r="G387" i="13"/>
  <c r="O333" i="13"/>
  <c r="N333" i="13"/>
  <c r="M333" i="13"/>
  <c r="K367" i="13"/>
  <c r="J367" i="13"/>
  <c r="I367" i="13"/>
  <c r="O266" i="13"/>
  <c r="N266" i="13"/>
  <c r="M266" i="13"/>
  <c r="J335" i="13"/>
  <c r="I335" i="13"/>
  <c r="K335" i="13"/>
  <c r="O269" i="13"/>
  <c r="N269" i="13"/>
  <c r="M269" i="13"/>
  <c r="G293" i="13"/>
  <c r="F293" i="13"/>
  <c r="E293" i="13"/>
  <c r="O267" i="13"/>
  <c r="M267" i="13"/>
  <c r="N267" i="13"/>
  <c r="K251" i="13"/>
  <c r="J251" i="13"/>
  <c r="I251" i="13"/>
  <c r="N325" i="13"/>
  <c r="M325" i="13"/>
  <c r="O325" i="13"/>
  <c r="K258" i="13"/>
  <c r="J258" i="13"/>
  <c r="I258" i="13"/>
  <c r="G304" i="13"/>
  <c r="F304" i="13"/>
  <c r="E304" i="13"/>
  <c r="E299" i="13"/>
  <c r="G299" i="13"/>
  <c r="F299" i="13"/>
  <c r="J234" i="13"/>
  <c r="I234" i="13"/>
  <c r="K234" i="13"/>
  <c r="K223" i="13"/>
  <c r="J223" i="13"/>
  <c r="I223" i="13"/>
  <c r="J209" i="13"/>
  <c r="K209" i="13"/>
  <c r="I209" i="13"/>
  <c r="O271" i="13"/>
  <c r="N271" i="13"/>
  <c r="M271" i="13"/>
  <c r="J262" i="13"/>
  <c r="I262" i="13"/>
  <c r="K262" i="13"/>
  <c r="O213" i="13"/>
  <c r="M213" i="13"/>
  <c r="N213" i="13"/>
  <c r="I298" i="13"/>
  <c r="J298" i="13"/>
  <c r="K298" i="13"/>
  <c r="G252" i="13"/>
  <c r="F252" i="13"/>
  <c r="E252" i="13"/>
  <c r="N315" i="13"/>
  <c r="M315" i="13"/>
  <c r="O315" i="13"/>
  <c r="N268" i="13"/>
  <c r="M268" i="13"/>
  <c r="O268" i="13"/>
  <c r="M226" i="13"/>
  <c r="O226" i="13"/>
  <c r="N226" i="13"/>
  <c r="N204" i="13"/>
  <c r="O204" i="13"/>
  <c r="M204" i="13"/>
  <c r="M148" i="13"/>
  <c r="O148" i="13"/>
  <c r="N148" i="13"/>
  <c r="O272" i="13"/>
  <c r="N272" i="13"/>
  <c r="M272" i="13"/>
  <c r="N197" i="13"/>
  <c r="M197" i="13"/>
  <c r="O197" i="13"/>
  <c r="O152" i="13"/>
  <c r="N152" i="13"/>
  <c r="M152" i="13"/>
  <c r="E290" i="13"/>
  <c r="F290" i="13"/>
  <c r="G290" i="13"/>
  <c r="K189" i="13"/>
  <c r="J189" i="13"/>
  <c r="I189" i="13"/>
  <c r="K260" i="13"/>
  <c r="J260" i="13"/>
  <c r="I260" i="13"/>
  <c r="K219" i="13"/>
  <c r="J219" i="13"/>
  <c r="I219" i="13"/>
  <c r="N181" i="13"/>
  <c r="M181" i="13"/>
  <c r="O181" i="13"/>
  <c r="G321" i="13"/>
  <c r="F321" i="13"/>
  <c r="E321" i="13"/>
  <c r="O245" i="13"/>
  <c r="N245" i="13"/>
  <c r="M245" i="13"/>
  <c r="O172" i="13"/>
  <c r="M172" i="13"/>
  <c r="N172" i="13"/>
  <c r="O138" i="13"/>
  <c r="N138" i="13"/>
  <c r="M138" i="13"/>
  <c r="F169" i="13"/>
  <c r="E169" i="13"/>
  <c r="G169" i="13"/>
  <c r="O279" i="13"/>
  <c r="M279" i="13"/>
  <c r="N279" i="13"/>
  <c r="O244" i="13"/>
  <c r="M244" i="13"/>
  <c r="N244" i="13"/>
  <c r="O178" i="13"/>
  <c r="N178" i="13"/>
  <c r="M178" i="13"/>
  <c r="O203" i="13"/>
  <c r="M203" i="13"/>
  <c r="N203" i="13"/>
  <c r="F153" i="13"/>
  <c r="E153" i="13"/>
  <c r="G153" i="13"/>
  <c r="J150" i="13"/>
  <c r="I150" i="13"/>
  <c r="K150" i="13"/>
  <c r="M145" i="13"/>
  <c r="O145" i="13"/>
  <c r="N145" i="13"/>
  <c r="G112" i="13"/>
  <c r="F112" i="13"/>
  <c r="E112" i="13"/>
  <c r="K254" i="13"/>
  <c r="I254" i="13"/>
  <c r="J254" i="13"/>
  <c r="K228" i="13"/>
  <c r="J228" i="13"/>
  <c r="I228" i="13"/>
  <c r="E171" i="13"/>
  <c r="G171" i="13"/>
  <c r="F171" i="13"/>
  <c r="G157" i="13"/>
  <c r="F157" i="13"/>
  <c r="E157" i="13"/>
  <c r="N127" i="13"/>
  <c r="M127" i="13"/>
  <c r="O127" i="13"/>
  <c r="K133" i="13"/>
  <c r="J133" i="13"/>
  <c r="I133" i="13"/>
  <c r="M129" i="13"/>
  <c r="O129" i="13"/>
  <c r="N129" i="13"/>
  <c r="O164" i="13"/>
  <c r="M164" i="13"/>
  <c r="N164" i="13"/>
  <c r="G93" i="13"/>
  <c r="F93" i="13"/>
  <c r="E93" i="13"/>
  <c r="K49" i="13"/>
  <c r="J49" i="13"/>
  <c r="I49" i="13"/>
  <c r="K110" i="13"/>
  <c r="J110" i="13"/>
  <c r="I110" i="13"/>
  <c r="M98" i="13"/>
  <c r="N98" i="13"/>
  <c r="O98" i="13"/>
  <c r="J76" i="13"/>
  <c r="I76" i="13"/>
  <c r="K76" i="13"/>
  <c r="F50" i="13"/>
  <c r="E50" i="13"/>
  <c r="G50" i="13"/>
  <c r="G86" i="13"/>
  <c r="F86" i="13"/>
  <c r="E86" i="13"/>
  <c r="G69" i="13"/>
  <c r="F69" i="13"/>
  <c r="E69" i="13"/>
  <c r="K174" i="13"/>
  <c r="J174" i="13"/>
  <c r="I174" i="13"/>
  <c r="F99" i="13"/>
  <c r="E99" i="13"/>
  <c r="G99" i="13"/>
  <c r="I87" i="13"/>
  <c r="K87" i="13"/>
  <c r="J87" i="13"/>
  <c r="G76" i="13"/>
  <c r="F76" i="13"/>
  <c r="E76" i="13"/>
  <c r="E47" i="13"/>
  <c r="G47" i="13"/>
  <c r="F47" i="13"/>
  <c r="O136" i="13"/>
  <c r="N136" i="13"/>
  <c r="M136" i="13"/>
  <c r="K79" i="13"/>
  <c r="J79" i="13"/>
  <c r="I79" i="13"/>
  <c r="O72" i="13"/>
  <c r="N72" i="13"/>
  <c r="M72" i="13"/>
  <c r="J33" i="13"/>
  <c r="I33" i="13"/>
  <c r="K33" i="13"/>
  <c r="F132" i="13"/>
  <c r="E132" i="13"/>
  <c r="G132" i="13"/>
  <c r="E117" i="13"/>
  <c r="G117" i="13"/>
  <c r="F117" i="13"/>
  <c r="O86" i="13"/>
  <c r="N86" i="13"/>
  <c r="M86" i="13"/>
  <c r="I126" i="13"/>
  <c r="K126" i="13"/>
  <c r="J126" i="13"/>
  <c r="K113" i="13"/>
  <c r="J113" i="13"/>
  <c r="I113" i="13"/>
  <c r="N58" i="13"/>
  <c r="M58" i="13"/>
  <c r="O58" i="13"/>
  <c r="G17" i="13"/>
  <c r="F17" i="13"/>
  <c r="E17" i="13"/>
  <c r="G67" i="13"/>
  <c r="F67" i="13"/>
  <c r="E67" i="13"/>
  <c r="K32" i="13"/>
  <c r="J32" i="13"/>
  <c r="I32" i="13"/>
  <c r="F78" i="13"/>
  <c r="E78" i="13"/>
  <c r="G78" i="13"/>
  <c r="I54" i="13"/>
  <c r="K54" i="13"/>
  <c r="J54" i="13"/>
  <c r="O125" i="13"/>
  <c r="N125" i="13"/>
  <c r="M125" i="13"/>
  <c r="E101" i="13"/>
  <c r="F101" i="13"/>
  <c r="G101" i="13"/>
  <c r="M46" i="13"/>
  <c r="N46" i="13"/>
  <c r="O46" i="13"/>
  <c r="O7" i="13"/>
  <c r="N7" i="13"/>
  <c r="M7" i="13"/>
  <c r="K31" i="13"/>
  <c r="I31" i="13"/>
  <c r="J31" i="13"/>
  <c r="G3" i="13"/>
  <c r="F3" i="13"/>
  <c r="E3" i="13"/>
  <c r="AH9" i="13" a="1"/>
  <c r="AH9" i="13" s="1"/>
  <c r="AI9" i="13" s="1" a="1"/>
  <c r="AI9" i="13" s="1"/>
  <c r="AH23" i="13" a="1"/>
  <c r="AH23" i="13" s="1"/>
  <c r="AI23" i="13" s="1" a="1"/>
  <c r="AI23" i="13" s="1"/>
  <c r="AH17" i="13" a="1"/>
  <c r="AH17" i="13" s="1"/>
  <c r="AI17" i="13" s="1" a="1"/>
  <c r="AI17" i="13" s="1"/>
  <c r="O5" i="13"/>
  <c r="N5" i="13"/>
  <c r="M5" i="13"/>
  <c r="J221" i="9"/>
  <c r="F221" i="9"/>
  <c r="G221" i="9" s="1"/>
  <c r="A221" i="9"/>
  <c r="A226" i="9"/>
  <c r="F226" i="9"/>
  <c r="G226" i="9" s="1"/>
  <c r="J226" i="9"/>
  <c r="J231" i="9"/>
  <c r="O426" i="13"/>
  <c r="N426" i="13"/>
  <c r="M426" i="13"/>
  <c r="O394" i="13"/>
  <c r="N394" i="13"/>
  <c r="M394" i="13"/>
  <c r="O366" i="13"/>
  <c r="N366" i="13"/>
  <c r="M366" i="13"/>
  <c r="O337" i="13"/>
  <c r="M337" i="13"/>
  <c r="N337" i="13"/>
  <c r="N367" i="13"/>
  <c r="M367" i="13"/>
  <c r="O367" i="13"/>
  <c r="F352" i="13"/>
  <c r="E352" i="13"/>
  <c r="G352" i="13"/>
  <c r="G216" i="13"/>
  <c r="F216" i="13"/>
  <c r="E216" i="13"/>
  <c r="N383" i="13"/>
  <c r="M383" i="13"/>
  <c r="O383" i="13"/>
  <c r="N252" i="13"/>
  <c r="M252" i="13"/>
  <c r="O252" i="13"/>
  <c r="G264" i="13"/>
  <c r="E264" i="13"/>
  <c r="F264" i="13"/>
  <c r="O219" i="13"/>
  <c r="N219" i="13"/>
  <c r="M219" i="13"/>
  <c r="M176" i="13"/>
  <c r="O176" i="13"/>
  <c r="N176" i="13"/>
  <c r="M254" i="13"/>
  <c r="O254" i="13"/>
  <c r="N254" i="13"/>
  <c r="J171" i="13"/>
  <c r="I171" i="13"/>
  <c r="K171" i="13"/>
  <c r="I108" i="13"/>
  <c r="J108" i="13"/>
  <c r="K108" i="13"/>
  <c r="K104" i="13"/>
  <c r="J104" i="13"/>
  <c r="I104" i="13"/>
  <c r="E63" i="13"/>
  <c r="G63" i="13"/>
  <c r="F63" i="13"/>
  <c r="K40" i="13"/>
  <c r="J40" i="13"/>
  <c r="I40" i="13"/>
  <c r="O77" i="13"/>
  <c r="N77" i="13"/>
  <c r="M77" i="13"/>
  <c r="F24" i="13"/>
  <c r="E24" i="13"/>
  <c r="G24" i="13"/>
  <c r="G136" i="13"/>
  <c r="F136" i="13"/>
  <c r="E136" i="13"/>
  <c r="K28" i="13"/>
  <c r="J28" i="13"/>
  <c r="I28" i="13"/>
  <c r="O118" i="13"/>
  <c r="N118" i="13"/>
  <c r="M118" i="13"/>
  <c r="O102" i="13"/>
  <c r="N102" i="13"/>
  <c r="M102" i="13"/>
  <c r="M8" i="13"/>
  <c r="O8" i="13"/>
  <c r="N8" i="13"/>
  <c r="O39" i="13"/>
  <c r="M39" i="13"/>
  <c r="N39" i="13"/>
  <c r="O68" i="13"/>
  <c r="N68" i="13"/>
  <c r="M68" i="13"/>
  <c r="O9" i="13"/>
  <c r="N9" i="13"/>
  <c r="M9" i="13"/>
  <c r="O91" i="13"/>
  <c r="N91" i="13"/>
  <c r="M91" i="13"/>
  <c r="K2" i="13"/>
  <c r="J2" i="13"/>
  <c r="I2" i="13"/>
  <c r="O31" i="13"/>
  <c r="N31" i="13"/>
  <c r="M31" i="13"/>
  <c r="O155" i="13"/>
  <c r="N155" i="13"/>
  <c r="M155" i="13"/>
  <c r="K428" i="13"/>
  <c r="I428" i="13"/>
  <c r="J428" i="13"/>
  <c r="G438" i="13"/>
  <c r="F438" i="13"/>
  <c r="E438" i="13"/>
  <c r="G372" i="13"/>
  <c r="E372" i="13"/>
  <c r="F372" i="13"/>
  <c r="G385" i="13"/>
  <c r="F385" i="13"/>
  <c r="E385" i="13"/>
  <c r="G353" i="13"/>
  <c r="F353" i="13"/>
  <c r="E353" i="13"/>
  <c r="O379" i="13"/>
  <c r="M379" i="13"/>
  <c r="N379" i="13"/>
  <c r="E373" i="13"/>
  <c r="G373" i="13"/>
  <c r="F373" i="13"/>
  <c r="J294" i="13"/>
  <c r="I294" i="13"/>
  <c r="K294" i="13"/>
  <c r="M258" i="13"/>
  <c r="O258" i="13"/>
  <c r="N258" i="13"/>
  <c r="K256" i="13"/>
  <c r="J256" i="13"/>
  <c r="I256" i="13"/>
  <c r="J419" i="13"/>
  <c r="I419" i="13"/>
  <c r="K419" i="13"/>
  <c r="M199" i="13"/>
  <c r="N199" i="13"/>
  <c r="O199" i="13"/>
  <c r="I141" i="13"/>
  <c r="J141" i="13"/>
  <c r="K141" i="13"/>
  <c r="O131" i="13"/>
  <c r="N131" i="13"/>
  <c r="M131" i="13"/>
  <c r="N128" i="13"/>
  <c r="M128" i="13"/>
  <c r="O128" i="13"/>
  <c r="N134" i="13"/>
  <c r="M134" i="13"/>
  <c r="O134" i="13"/>
  <c r="F120" i="13"/>
  <c r="E120" i="13"/>
  <c r="G120" i="13"/>
  <c r="J164" i="13"/>
  <c r="I164" i="13"/>
  <c r="K164" i="13"/>
  <c r="K201" i="13"/>
  <c r="J201" i="13"/>
  <c r="I201" i="13"/>
  <c r="G435" i="13"/>
  <c r="F435" i="13"/>
  <c r="E435" i="13"/>
  <c r="G398" i="13"/>
  <c r="F398" i="13"/>
  <c r="E398" i="13"/>
  <c r="O418" i="13"/>
  <c r="N418" i="13"/>
  <c r="M418" i="13"/>
  <c r="J323" i="13"/>
  <c r="K323" i="13"/>
  <c r="I323" i="13"/>
  <c r="G324" i="13"/>
  <c r="E324" i="13"/>
  <c r="F324" i="13"/>
  <c r="F346" i="13"/>
  <c r="G346" i="13"/>
  <c r="E346" i="13"/>
  <c r="J284" i="13"/>
  <c r="K284" i="13"/>
  <c r="I284" i="13"/>
  <c r="J218" i="13"/>
  <c r="I218" i="13"/>
  <c r="K218" i="13"/>
  <c r="K272" i="13"/>
  <c r="J272" i="13"/>
  <c r="I272" i="13"/>
  <c r="N443" i="13"/>
  <c r="M443" i="13"/>
  <c r="O443" i="13"/>
  <c r="G428" i="13"/>
  <c r="F428" i="13"/>
  <c r="E428" i="13"/>
  <c r="J447" i="13"/>
  <c r="I447" i="13"/>
  <c r="K447" i="13"/>
  <c r="O433" i="13"/>
  <c r="N433" i="13"/>
  <c r="M433" i="13"/>
  <c r="O409" i="13"/>
  <c r="N409" i="13"/>
  <c r="M409" i="13"/>
  <c r="J431" i="13"/>
  <c r="I431" i="13"/>
  <c r="K431" i="13"/>
  <c r="O402" i="13"/>
  <c r="N402" i="13"/>
  <c r="M402" i="13"/>
  <c r="N415" i="13"/>
  <c r="O415" i="13"/>
  <c r="M415" i="13"/>
  <c r="N404" i="13"/>
  <c r="M404" i="13"/>
  <c r="O404" i="13"/>
  <c r="G411" i="13"/>
  <c r="F411" i="13"/>
  <c r="E411" i="13"/>
  <c r="N393" i="13"/>
  <c r="M393" i="13"/>
  <c r="O393" i="13"/>
  <c r="G370" i="13"/>
  <c r="F370" i="13"/>
  <c r="E370" i="13"/>
  <c r="O356" i="13"/>
  <c r="N356" i="13"/>
  <c r="M356" i="13"/>
  <c r="O347" i="13"/>
  <c r="N347" i="13"/>
  <c r="M347" i="13"/>
  <c r="J381" i="13"/>
  <c r="I381" i="13"/>
  <c r="K381" i="13"/>
  <c r="N345" i="13"/>
  <c r="O345" i="13"/>
  <c r="M345" i="13"/>
  <c r="K394" i="13"/>
  <c r="J394" i="13"/>
  <c r="I394" i="13"/>
  <c r="G351" i="13"/>
  <c r="F351" i="13"/>
  <c r="E351" i="13"/>
  <c r="K336" i="13"/>
  <c r="J336" i="13"/>
  <c r="I336" i="13"/>
  <c r="K403" i="13"/>
  <c r="J403" i="13"/>
  <c r="I403" i="13"/>
  <c r="O350" i="13"/>
  <c r="N350" i="13"/>
  <c r="M350" i="13"/>
  <c r="O357" i="13"/>
  <c r="M357" i="13"/>
  <c r="N357" i="13"/>
  <c r="O309" i="13"/>
  <c r="N309" i="13"/>
  <c r="M309" i="13"/>
  <c r="O332" i="13"/>
  <c r="N332" i="13"/>
  <c r="M332" i="13"/>
  <c r="G367" i="13"/>
  <c r="F367" i="13"/>
  <c r="E367" i="13"/>
  <c r="K392" i="13"/>
  <c r="J392" i="13"/>
  <c r="I392" i="13"/>
  <c r="O352" i="13"/>
  <c r="N352" i="13"/>
  <c r="M352" i="13"/>
  <c r="K337" i="13"/>
  <c r="I337" i="13"/>
  <c r="J337" i="13"/>
  <c r="K259" i="13"/>
  <c r="I259" i="13"/>
  <c r="J259" i="13"/>
  <c r="O342" i="13"/>
  <c r="N342" i="13"/>
  <c r="M342" i="13"/>
  <c r="K267" i="13"/>
  <c r="J267" i="13"/>
  <c r="I267" i="13"/>
  <c r="F251" i="13"/>
  <c r="G251" i="13"/>
  <c r="E251" i="13"/>
  <c r="O310" i="13"/>
  <c r="N310" i="13"/>
  <c r="M310" i="13"/>
  <c r="N274" i="13"/>
  <c r="O274" i="13"/>
  <c r="M274" i="13"/>
  <c r="K274" i="13"/>
  <c r="J274" i="13"/>
  <c r="I274" i="13"/>
  <c r="O326" i="13"/>
  <c r="N326" i="13"/>
  <c r="M326" i="13"/>
  <c r="I304" i="13"/>
  <c r="K304" i="13"/>
  <c r="J304" i="13"/>
  <c r="M261" i="13"/>
  <c r="O261" i="13"/>
  <c r="N261" i="13"/>
  <c r="G223" i="13"/>
  <c r="F223" i="13"/>
  <c r="E223" i="13"/>
  <c r="G206" i="13"/>
  <c r="F206" i="13"/>
  <c r="E206" i="13"/>
  <c r="O222" i="13"/>
  <c r="N222" i="13"/>
  <c r="M222" i="13"/>
  <c r="G271" i="13"/>
  <c r="E271" i="13"/>
  <c r="F271" i="13"/>
  <c r="K232" i="13"/>
  <c r="J232" i="13"/>
  <c r="I232" i="13"/>
  <c r="K213" i="13"/>
  <c r="J213" i="13"/>
  <c r="I213" i="13"/>
  <c r="J275" i="13"/>
  <c r="K275" i="13"/>
  <c r="I275" i="13"/>
  <c r="I252" i="13"/>
  <c r="K252" i="13"/>
  <c r="J252" i="13"/>
  <c r="G419" i="13"/>
  <c r="F419" i="13"/>
  <c r="E419" i="13"/>
  <c r="O241" i="13"/>
  <c r="N241" i="13"/>
  <c r="M241" i="13"/>
  <c r="M217" i="13"/>
  <c r="O217" i="13"/>
  <c r="N217" i="13"/>
  <c r="O297" i="13"/>
  <c r="N297" i="13"/>
  <c r="M297" i="13"/>
  <c r="E204" i="13"/>
  <c r="G204" i="13"/>
  <c r="F204" i="13"/>
  <c r="O182" i="13"/>
  <c r="N182" i="13"/>
  <c r="M182" i="13"/>
  <c r="E246" i="13"/>
  <c r="G246" i="13"/>
  <c r="F246" i="13"/>
  <c r="O235" i="13"/>
  <c r="N235" i="13"/>
  <c r="M235" i="13"/>
  <c r="E152" i="13"/>
  <c r="F152" i="13"/>
  <c r="G152" i="13"/>
  <c r="F189" i="13"/>
  <c r="G189" i="13"/>
  <c r="E189" i="13"/>
  <c r="M147" i="13"/>
  <c r="O147" i="13"/>
  <c r="N147" i="13"/>
  <c r="G260" i="13"/>
  <c r="F260" i="13"/>
  <c r="E260" i="13"/>
  <c r="F219" i="13"/>
  <c r="E219" i="13"/>
  <c r="G219" i="13"/>
  <c r="M192" i="13"/>
  <c r="N192" i="13"/>
  <c r="O192" i="13"/>
  <c r="I321" i="13"/>
  <c r="K321" i="13"/>
  <c r="J321" i="13"/>
  <c r="K245" i="13"/>
  <c r="J245" i="13"/>
  <c r="I245" i="13"/>
  <c r="I172" i="13"/>
  <c r="J172" i="13"/>
  <c r="K172" i="13"/>
  <c r="K199" i="13"/>
  <c r="J199" i="13"/>
  <c r="I199" i="13"/>
  <c r="K270" i="13"/>
  <c r="I270" i="13"/>
  <c r="J270" i="13"/>
  <c r="K151" i="13"/>
  <c r="J151" i="13"/>
  <c r="I151" i="13"/>
  <c r="F194" i="13"/>
  <c r="E194" i="13"/>
  <c r="G194" i="13"/>
  <c r="G142" i="13"/>
  <c r="F142" i="13"/>
  <c r="E142" i="13"/>
  <c r="G111" i="13"/>
  <c r="F111" i="13"/>
  <c r="E111" i="13"/>
  <c r="G254" i="13"/>
  <c r="F254" i="13"/>
  <c r="E254" i="13"/>
  <c r="F228" i="13"/>
  <c r="E228" i="13"/>
  <c r="G228" i="13"/>
  <c r="N208" i="13"/>
  <c r="O208" i="13"/>
  <c r="M208" i="13"/>
  <c r="O162" i="13"/>
  <c r="N162" i="13"/>
  <c r="M162" i="13"/>
  <c r="O288" i="13"/>
  <c r="N288" i="13"/>
  <c r="M288" i="13"/>
  <c r="N133" i="13"/>
  <c r="O133" i="13"/>
  <c r="M133" i="13"/>
  <c r="G128" i="13"/>
  <c r="F128" i="13"/>
  <c r="E128" i="13"/>
  <c r="O115" i="13"/>
  <c r="N115" i="13"/>
  <c r="M115" i="13"/>
  <c r="K166" i="13"/>
  <c r="I166" i="13"/>
  <c r="J166" i="13"/>
  <c r="O122" i="13"/>
  <c r="N122" i="13"/>
  <c r="M122" i="13"/>
  <c r="O93" i="13"/>
  <c r="N93" i="13"/>
  <c r="M93" i="13"/>
  <c r="K77" i="13"/>
  <c r="J77" i="13"/>
  <c r="I77" i="13"/>
  <c r="O69" i="13"/>
  <c r="N69" i="13"/>
  <c r="M69" i="13"/>
  <c r="G51" i="13"/>
  <c r="F51" i="13"/>
  <c r="E51" i="13"/>
  <c r="F174" i="13"/>
  <c r="E174" i="13"/>
  <c r="G174" i="13"/>
  <c r="N116" i="13"/>
  <c r="M116" i="13"/>
  <c r="O116" i="13"/>
  <c r="N47" i="13"/>
  <c r="M47" i="13"/>
  <c r="O47" i="13"/>
  <c r="O79" i="13"/>
  <c r="N79" i="13"/>
  <c r="M79" i="13"/>
  <c r="K72" i="13"/>
  <c r="J72" i="13"/>
  <c r="I72" i="13"/>
  <c r="K71" i="13"/>
  <c r="I71" i="13"/>
  <c r="J71" i="13"/>
  <c r="F42" i="13"/>
  <c r="G42" i="13"/>
  <c r="E42" i="13"/>
  <c r="G113" i="13"/>
  <c r="F113" i="13"/>
  <c r="E113" i="13"/>
  <c r="K42" i="13"/>
  <c r="I42" i="13"/>
  <c r="J42" i="13"/>
  <c r="O17" i="13"/>
  <c r="N17" i="13"/>
  <c r="M17" i="13"/>
  <c r="G83" i="13"/>
  <c r="F83" i="13"/>
  <c r="E83" i="13"/>
  <c r="G8" i="13"/>
  <c r="F8" i="13"/>
  <c r="E8" i="13"/>
  <c r="O67" i="13"/>
  <c r="N67" i="13"/>
  <c r="M67" i="13"/>
  <c r="F32" i="13"/>
  <c r="G32" i="13"/>
  <c r="E32" i="13"/>
  <c r="K78" i="13"/>
  <c r="J78" i="13"/>
  <c r="I78" i="13"/>
  <c r="F54" i="13"/>
  <c r="E54" i="13"/>
  <c r="G54" i="13"/>
  <c r="G125" i="13"/>
  <c r="F125" i="13"/>
  <c r="E125" i="13"/>
  <c r="J68" i="13"/>
  <c r="I68" i="13"/>
  <c r="K68" i="13"/>
  <c r="K21" i="13"/>
  <c r="J21" i="13"/>
  <c r="I21" i="13"/>
  <c r="G91" i="13"/>
  <c r="F91" i="13"/>
  <c r="E91" i="13"/>
  <c r="J7" i="13"/>
  <c r="I7" i="13"/>
  <c r="K7" i="13"/>
  <c r="N27" i="13"/>
  <c r="O27" i="13"/>
  <c r="M27" i="13"/>
  <c r="F31" i="13"/>
  <c r="G31" i="13"/>
  <c r="E31" i="13"/>
  <c r="J3" i="13"/>
  <c r="K3" i="13"/>
  <c r="I3" i="13"/>
  <c r="AH10" i="13" a="1"/>
  <c r="AH10" i="13" s="1"/>
  <c r="AI10" i="13" s="1" a="1"/>
  <c r="AI10" i="13" s="1"/>
  <c r="AH21" i="13" a="1"/>
  <c r="AH21" i="13" s="1"/>
  <c r="AI21" i="13" s="1" a="1"/>
  <c r="AI21" i="13" s="1"/>
  <c r="AH11" i="13" a="1"/>
  <c r="AH11" i="13" s="1"/>
  <c r="AI11" i="13" s="1" a="1"/>
  <c r="AI11" i="13" s="1"/>
  <c r="G18" i="13"/>
  <c r="F18" i="13"/>
  <c r="E18" i="13"/>
  <c r="F245" i="9"/>
  <c r="G245" i="9" s="1"/>
  <c r="J245" i="9"/>
  <c r="A245" i="9"/>
  <c r="J222" i="9"/>
  <c r="F222" i="9"/>
  <c r="G222" i="9" s="1"/>
  <c r="A222" i="9"/>
  <c r="J236" i="9"/>
  <c r="F236" i="9"/>
  <c r="G236" i="9" s="1"/>
  <c r="A236" i="9"/>
  <c r="M7" i="4"/>
  <c r="X7" i="5" s="1"/>
  <c r="E7" i="4"/>
  <c r="H7" i="5" s="1"/>
  <c r="L7" i="4"/>
  <c r="V7" i="5" s="1"/>
  <c r="D7" i="4"/>
  <c r="F7" i="5" s="1"/>
  <c r="K7" i="4"/>
  <c r="T7" i="5" s="1"/>
  <c r="R7" i="4"/>
  <c r="AH7" i="5" s="1"/>
  <c r="J7" i="4"/>
  <c r="U7" i="4" s="1"/>
  <c r="B7" i="4"/>
  <c r="W7" i="4"/>
  <c r="AN7" i="5" s="1"/>
  <c r="G7" i="4"/>
  <c r="L7" i="5" s="1"/>
  <c r="F7" i="4"/>
  <c r="J7" i="5" s="1"/>
  <c r="S7" i="4"/>
  <c r="AJ7" i="5" s="1"/>
  <c r="C7" i="4"/>
  <c r="D7" i="5" s="1"/>
  <c r="A9" i="4" a="1"/>
  <c r="A9" i="4" s="1"/>
  <c r="O7" i="4"/>
  <c r="AB7" i="5" s="1"/>
  <c r="Q7" i="4"/>
  <c r="AF7" i="5" s="1"/>
  <c r="I7" i="4"/>
  <c r="P7" i="5" s="1"/>
  <c r="P7" i="4"/>
  <c r="AD7" i="5" s="1"/>
  <c r="H7" i="4"/>
  <c r="N7" i="5" s="1"/>
  <c r="N7" i="4"/>
  <c r="Z7" i="5" s="1"/>
  <c r="V7" i="4"/>
  <c r="AM7" i="5" s="1"/>
  <c r="O422" i="13"/>
  <c r="M422" i="13"/>
  <c r="N422" i="13"/>
  <c r="F399" i="13"/>
  <c r="E399" i="13"/>
  <c r="G399" i="13"/>
  <c r="K376" i="13"/>
  <c r="J376" i="13"/>
  <c r="I376" i="13"/>
  <c r="G350" i="13"/>
  <c r="E350" i="13"/>
  <c r="F350" i="13"/>
  <c r="E328" i="13"/>
  <c r="G328" i="13"/>
  <c r="F328" i="13"/>
  <c r="O303" i="13"/>
  <c r="N303" i="13"/>
  <c r="M303" i="13"/>
  <c r="N259" i="13"/>
  <c r="M259" i="13"/>
  <c r="O259" i="13"/>
  <c r="K295" i="13"/>
  <c r="J295" i="13"/>
  <c r="I295" i="13"/>
  <c r="O198" i="13"/>
  <c r="N198" i="13"/>
  <c r="M198" i="13"/>
  <c r="O276" i="13"/>
  <c r="M276" i="13"/>
  <c r="N276" i="13"/>
  <c r="G95" i="13"/>
  <c r="F95" i="13"/>
  <c r="E95" i="13"/>
  <c r="G444" i="13"/>
  <c r="F444" i="13"/>
  <c r="E444" i="13"/>
  <c r="N411" i="13"/>
  <c r="M411" i="13"/>
  <c r="O411" i="13"/>
  <c r="O375" i="13"/>
  <c r="N375" i="13"/>
  <c r="M375" i="13"/>
  <c r="F408" i="13"/>
  <c r="E408" i="13"/>
  <c r="G408" i="13"/>
  <c r="O282" i="13"/>
  <c r="N282" i="13"/>
  <c r="M282" i="13"/>
  <c r="G292" i="13"/>
  <c r="F292" i="13"/>
  <c r="E292" i="13"/>
  <c r="N335" i="13"/>
  <c r="O335" i="13"/>
  <c r="M335" i="13"/>
  <c r="G284" i="13"/>
  <c r="F284" i="13"/>
  <c r="E284" i="13"/>
  <c r="F364" i="13"/>
  <c r="E364" i="13"/>
  <c r="G364" i="13"/>
  <c r="G242" i="13"/>
  <c r="F242" i="13"/>
  <c r="E242" i="13"/>
  <c r="I248" i="13"/>
  <c r="K248" i="13"/>
  <c r="J248" i="13"/>
  <c r="K198" i="13"/>
  <c r="J198" i="13"/>
  <c r="I198" i="13"/>
  <c r="I264" i="13"/>
  <c r="K264" i="13"/>
  <c r="J264" i="13"/>
  <c r="G137" i="13"/>
  <c r="F137" i="13"/>
  <c r="E137" i="13"/>
  <c r="J228" i="9"/>
  <c r="F228" i="9"/>
  <c r="G228" i="9" s="1"/>
  <c r="A228" i="9"/>
  <c r="O399" i="13"/>
  <c r="N399" i="13"/>
  <c r="M399" i="13"/>
  <c r="E348" i="13"/>
  <c r="G348" i="13"/>
  <c r="F348" i="13"/>
  <c r="K319" i="13"/>
  <c r="J319" i="13"/>
  <c r="I319" i="13"/>
  <c r="F256" i="13"/>
  <c r="E256" i="13"/>
  <c r="G256" i="13"/>
  <c r="K432" i="13"/>
  <c r="I432" i="13"/>
  <c r="J432" i="13"/>
  <c r="M423" i="13"/>
  <c r="O423" i="13"/>
  <c r="N423" i="13"/>
  <c r="M448" i="13"/>
  <c r="O448" i="13"/>
  <c r="N448" i="13"/>
  <c r="O434" i="13"/>
  <c r="N434" i="13"/>
  <c r="M434" i="13"/>
  <c r="M439" i="13"/>
  <c r="O439" i="13"/>
  <c r="N439" i="13"/>
  <c r="K409" i="13"/>
  <c r="J409" i="13"/>
  <c r="I409" i="13"/>
  <c r="F424" i="13"/>
  <c r="G424" i="13"/>
  <c r="E424" i="13"/>
  <c r="K402" i="13"/>
  <c r="J402" i="13"/>
  <c r="I402" i="13"/>
  <c r="M397" i="13"/>
  <c r="O397" i="13"/>
  <c r="N397" i="13"/>
  <c r="O440" i="13"/>
  <c r="N440" i="13"/>
  <c r="M440" i="13"/>
  <c r="O390" i="13"/>
  <c r="N390" i="13"/>
  <c r="M390" i="13"/>
  <c r="M406" i="13"/>
  <c r="O406" i="13"/>
  <c r="N406" i="13"/>
  <c r="J411" i="13"/>
  <c r="K411" i="13"/>
  <c r="I411" i="13"/>
  <c r="E391" i="13"/>
  <c r="G391" i="13"/>
  <c r="F391" i="13"/>
  <c r="O374" i="13"/>
  <c r="N374" i="13"/>
  <c r="M374" i="13"/>
  <c r="K418" i="13"/>
  <c r="J418" i="13"/>
  <c r="I418" i="13"/>
  <c r="G405" i="13"/>
  <c r="F405" i="13"/>
  <c r="E405" i="13"/>
  <c r="O363" i="13"/>
  <c r="N363" i="13"/>
  <c r="M363" i="13"/>
  <c r="I356" i="13"/>
  <c r="K356" i="13"/>
  <c r="J356" i="13"/>
  <c r="K347" i="13"/>
  <c r="J347" i="13"/>
  <c r="I347" i="13"/>
  <c r="M362" i="13"/>
  <c r="O362" i="13"/>
  <c r="N362" i="13"/>
  <c r="O354" i="13"/>
  <c r="N354" i="13"/>
  <c r="M354" i="13"/>
  <c r="K450" i="13"/>
  <c r="J450" i="13"/>
  <c r="I450" i="13"/>
  <c r="G379" i="13"/>
  <c r="F379" i="13"/>
  <c r="E379" i="13"/>
  <c r="M371" i="13"/>
  <c r="O371" i="13"/>
  <c r="N371" i="13"/>
  <c r="M331" i="13"/>
  <c r="N331" i="13"/>
  <c r="O331" i="13"/>
  <c r="G403" i="13"/>
  <c r="F403" i="13"/>
  <c r="E403" i="13"/>
  <c r="K350" i="13"/>
  <c r="J350" i="13"/>
  <c r="I350" i="13"/>
  <c r="N338" i="13"/>
  <c r="O338" i="13"/>
  <c r="M338" i="13"/>
  <c r="N328" i="13"/>
  <c r="O328" i="13"/>
  <c r="M328" i="13"/>
  <c r="O302" i="13"/>
  <c r="N302" i="13"/>
  <c r="M302" i="13"/>
  <c r="J332" i="13"/>
  <c r="I332" i="13"/>
  <c r="K332" i="13"/>
  <c r="O308" i="13"/>
  <c r="N308" i="13"/>
  <c r="M308" i="13"/>
  <c r="M387" i="13"/>
  <c r="N387" i="13"/>
  <c r="O387" i="13"/>
  <c r="O289" i="13"/>
  <c r="N289" i="13"/>
  <c r="M289" i="13"/>
  <c r="O257" i="13"/>
  <c r="N257" i="13"/>
  <c r="M257" i="13"/>
  <c r="K352" i="13"/>
  <c r="J352" i="13"/>
  <c r="I352" i="13"/>
  <c r="G337" i="13"/>
  <c r="F337" i="13"/>
  <c r="E337" i="13"/>
  <c r="O253" i="13"/>
  <c r="N253" i="13"/>
  <c r="M253" i="13"/>
  <c r="M293" i="13"/>
  <c r="O293" i="13"/>
  <c r="N293" i="13"/>
  <c r="F267" i="13"/>
  <c r="G267" i="13"/>
  <c r="E267" i="13"/>
  <c r="M249" i="13"/>
  <c r="O249" i="13"/>
  <c r="N249" i="13"/>
  <c r="G327" i="13"/>
  <c r="F327" i="13"/>
  <c r="E327" i="13"/>
  <c r="E310" i="13"/>
  <c r="G310" i="13"/>
  <c r="F310" i="13"/>
  <c r="N348" i="13"/>
  <c r="O348" i="13"/>
  <c r="M348" i="13"/>
  <c r="K303" i="13"/>
  <c r="J303" i="13"/>
  <c r="I303" i="13"/>
  <c r="G314" i="13"/>
  <c r="F314" i="13"/>
  <c r="E314" i="13"/>
  <c r="G238" i="13"/>
  <c r="F238" i="13"/>
  <c r="E238" i="13"/>
  <c r="K216" i="13"/>
  <c r="I216" i="13"/>
  <c r="J216" i="13"/>
  <c r="K206" i="13"/>
  <c r="J206" i="13"/>
  <c r="I206" i="13"/>
  <c r="F241" i="13"/>
  <c r="E241" i="13"/>
  <c r="G241" i="13"/>
  <c r="K222" i="13"/>
  <c r="J222" i="13"/>
  <c r="I222" i="13"/>
  <c r="I271" i="13"/>
  <c r="J271" i="13"/>
  <c r="K271" i="13"/>
  <c r="G232" i="13"/>
  <c r="E232" i="13"/>
  <c r="F232" i="13"/>
  <c r="O248" i="13"/>
  <c r="N248" i="13"/>
  <c r="M248" i="13"/>
  <c r="J241" i="13"/>
  <c r="I241" i="13"/>
  <c r="K241" i="13"/>
  <c r="K212" i="13"/>
  <c r="J212" i="13"/>
  <c r="I212" i="13"/>
  <c r="K182" i="13"/>
  <c r="J182" i="13"/>
  <c r="I182" i="13"/>
  <c r="N246" i="13"/>
  <c r="O246" i="13"/>
  <c r="M246" i="13"/>
  <c r="O163" i="13"/>
  <c r="M163" i="13"/>
  <c r="N163" i="13"/>
  <c r="O264" i="13"/>
  <c r="N264" i="13"/>
  <c r="M264" i="13"/>
  <c r="K173" i="13"/>
  <c r="I173" i="13"/>
  <c r="J173" i="13"/>
  <c r="N146" i="13"/>
  <c r="O146" i="13"/>
  <c r="M146" i="13"/>
  <c r="M167" i="13"/>
  <c r="O167" i="13"/>
  <c r="N167" i="13"/>
  <c r="G229" i="13"/>
  <c r="F229" i="13"/>
  <c r="E229" i="13"/>
  <c r="G199" i="13"/>
  <c r="F199" i="13"/>
  <c r="E199" i="13"/>
  <c r="O187" i="13"/>
  <c r="M187" i="13"/>
  <c r="N187" i="13"/>
  <c r="O169" i="13"/>
  <c r="N169" i="13"/>
  <c r="M169" i="13"/>
  <c r="G270" i="13"/>
  <c r="F270" i="13"/>
  <c r="E270" i="13"/>
  <c r="K183" i="13"/>
  <c r="J183" i="13"/>
  <c r="I183" i="13"/>
  <c r="N151" i="13"/>
  <c r="M151" i="13"/>
  <c r="O151" i="13"/>
  <c r="J114" i="13"/>
  <c r="I114" i="13"/>
  <c r="K114" i="13"/>
  <c r="N144" i="13"/>
  <c r="M144" i="13"/>
  <c r="O144" i="13"/>
  <c r="K176" i="13"/>
  <c r="J176" i="13"/>
  <c r="I176" i="13"/>
  <c r="N150" i="13"/>
  <c r="M150" i="13"/>
  <c r="O150" i="13"/>
  <c r="G96" i="13"/>
  <c r="F96" i="13"/>
  <c r="E96" i="13"/>
  <c r="O171" i="13"/>
  <c r="N171" i="13"/>
  <c r="M171" i="13"/>
  <c r="F158" i="13"/>
  <c r="E158" i="13"/>
  <c r="G158" i="13"/>
  <c r="F131" i="13"/>
  <c r="E131" i="13"/>
  <c r="G131" i="13"/>
  <c r="K103" i="13"/>
  <c r="J103" i="13"/>
  <c r="I103" i="13"/>
  <c r="E133" i="13"/>
  <c r="G133" i="13"/>
  <c r="F133" i="13"/>
  <c r="J128" i="13"/>
  <c r="K128" i="13"/>
  <c r="I128" i="13"/>
  <c r="O92" i="13"/>
  <c r="N92" i="13"/>
  <c r="M92" i="13"/>
  <c r="J45" i="13"/>
  <c r="I45" i="13"/>
  <c r="K45" i="13"/>
  <c r="G166" i="13"/>
  <c r="F166" i="13"/>
  <c r="E166" i="13"/>
  <c r="O108" i="13"/>
  <c r="N108" i="13"/>
  <c r="M108" i="13"/>
  <c r="E164" i="13"/>
  <c r="G164" i="13"/>
  <c r="F164" i="13"/>
  <c r="J122" i="13"/>
  <c r="I122" i="13"/>
  <c r="K122" i="13"/>
  <c r="J93" i="13"/>
  <c r="I93" i="13"/>
  <c r="K93" i="13"/>
  <c r="I70" i="13"/>
  <c r="K70" i="13"/>
  <c r="J70" i="13"/>
  <c r="O40" i="13"/>
  <c r="M40" i="13"/>
  <c r="N40" i="13"/>
  <c r="O99" i="13"/>
  <c r="N99" i="13"/>
  <c r="M99" i="13"/>
  <c r="J84" i="13"/>
  <c r="I84" i="13"/>
  <c r="K84" i="13"/>
  <c r="M76" i="13"/>
  <c r="O76" i="13"/>
  <c r="N76" i="13"/>
  <c r="K136" i="13"/>
  <c r="J136" i="13"/>
  <c r="I136" i="13"/>
  <c r="E79" i="13"/>
  <c r="G79" i="13"/>
  <c r="F79" i="13"/>
  <c r="G29" i="13"/>
  <c r="E29" i="13"/>
  <c r="F29" i="13"/>
  <c r="O132" i="13"/>
  <c r="N132" i="13"/>
  <c r="M132" i="13"/>
  <c r="J86" i="13"/>
  <c r="I86" i="13"/>
  <c r="K86" i="13"/>
  <c r="K65" i="13"/>
  <c r="J65" i="13"/>
  <c r="I65" i="13"/>
  <c r="K35" i="13"/>
  <c r="I35" i="13"/>
  <c r="J35" i="13"/>
  <c r="K118" i="13"/>
  <c r="J118" i="13"/>
  <c r="I118" i="13"/>
  <c r="K64" i="13"/>
  <c r="J64" i="13"/>
  <c r="I64" i="13"/>
  <c r="O55" i="13"/>
  <c r="N55" i="13"/>
  <c r="M55" i="13"/>
  <c r="G109" i="13"/>
  <c r="F109" i="13"/>
  <c r="E109" i="13"/>
  <c r="O83" i="13"/>
  <c r="N83" i="13"/>
  <c r="M83" i="13"/>
  <c r="F20" i="13"/>
  <c r="E20" i="13"/>
  <c r="G20" i="13"/>
  <c r="E39" i="13"/>
  <c r="G39" i="13"/>
  <c r="F39" i="13"/>
  <c r="M54" i="13"/>
  <c r="O54" i="13"/>
  <c r="N54" i="13"/>
  <c r="I125" i="13"/>
  <c r="K125" i="13"/>
  <c r="J125" i="13"/>
  <c r="G68" i="13"/>
  <c r="F68" i="13"/>
  <c r="E68" i="13"/>
  <c r="J155" i="13"/>
  <c r="I155" i="13"/>
  <c r="K155" i="13"/>
  <c r="AH1" i="13" a="1"/>
  <c r="AH1" i="13" s="1"/>
  <c r="AI1" i="13" s="1" a="1"/>
  <c r="AI1" i="13" s="1"/>
  <c r="AH14" i="13" a="1"/>
  <c r="AH14" i="13" s="1"/>
  <c r="AI14" i="13" s="1" a="1"/>
  <c r="AI14" i="13" s="1"/>
  <c r="O18" i="13"/>
  <c r="N18" i="13"/>
  <c r="M18" i="13"/>
  <c r="A242" i="9"/>
  <c r="J242" i="9"/>
  <c r="F242" i="9"/>
  <c r="G242" i="9" s="1"/>
  <c r="J235" i="9"/>
  <c r="J227" i="9"/>
  <c r="M6" i="4"/>
  <c r="X6" i="5" s="1"/>
  <c r="E6" i="4"/>
  <c r="H6" i="5" s="1"/>
  <c r="S6" i="4"/>
  <c r="AJ6" i="5" s="1"/>
  <c r="C6" i="4"/>
  <c r="D6" i="5" s="1"/>
  <c r="R6" i="4"/>
  <c r="AH6" i="5" s="1"/>
  <c r="J6" i="4"/>
  <c r="U6" i="4" s="1"/>
  <c r="O6" i="4"/>
  <c r="AB6" i="5" s="1"/>
  <c r="N6" i="4"/>
  <c r="Z6" i="5" s="1"/>
  <c r="L6" i="4"/>
  <c r="V6" i="5" s="1"/>
  <c r="D6" i="4"/>
  <c r="F6" i="5" s="1"/>
  <c r="K6" i="4"/>
  <c r="T6" i="5" s="1"/>
  <c r="B6" i="4"/>
  <c r="B6" i="5" s="1"/>
  <c r="H6" i="4"/>
  <c r="N6" i="5" s="1"/>
  <c r="W6" i="4"/>
  <c r="AN6" i="5" s="1"/>
  <c r="G6" i="4"/>
  <c r="L6" i="5" s="1"/>
  <c r="A8" i="4" a="1"/>
  <c r="A8" i="4" s="1"/>
  <c r="Q6" i="4"/>
  <c r="AF6" i="5" s="1"/>
  <c r="I6" i="4"/>
  <c r="P6" i="5" s="1"/>
  <c r="P6" i="4"/>
  <c r="AD6" i="5" s="1"/>
  <c r="V6" i="4"/>
  <c r="F6" i="4"/>
  <c r="J6" i="5" s="1"/>
  <c r="H15" i="13" a="1"/>
  <c r="P1" i="2"/>
  <c r="T1" i="2"/>
  <c r="H234" i="9" a="1"/>
  <c r="C230" i="9" a="1"/>
  <c r="H218" i="9" a="1"/>
  <c r="B2" i="7" a="1"/>
  <c r="H230" i="9" a="1"/>
  <c r="C218" i="9" a="1"/>
  <c r="S1" i="2"/>
  <c r="U1" i="2"/>
  <c r="Q1" i="2"/>
  <c r="R1" i="2"/>
  <c r="C234" i="9" a="1"/>
  <c r="E15" i="13" l="1"/>
  <c r="H15" i="13"/>
  <c r="E14" i="13"/>
  <c r="F14" i="13"/>
  <c r="H218" i="9"/>
  <c r="Q218" i="9" s="1"/>
  <c r="P218" i="9" s="1"/>
  <c r="C218" i="9"/>
  <c r="B2" i="7"/>
  <c r="H234" i="9"/>
  <c r="Q234" i="9" s="1"/>
  <c r="P234" i="9" s="1"/>
  <c r="C234" i="9"/>
  <c r="K1" i="9"/>
  <c r="V1" i="2"/>
  <c r="O1" i="9" s="1"/>
  <c r="K71" i="9"/>
  <c r="K141" i="9"/>
  <c r="C230" i="9"/>
  <c r="H230" i="9"/>
  <c r="Q230" i="9" s="1"/>
  <c r="P230" i="9" s="1"/>
  <c r="W9" i="4"/>
  <c r="AN9" i="5" s="1"/>
  <c r="N9" i="4"/>
  <c r="Z9" i="5" s="1"/>
  <c r="F9" i="4"/>
  <c r="V9" i="4"/>
  <c r="AM9" i="5" s="1"/>
  <c r="M9" i="4"/>
  <c r="X9" i="5" s="1"/>
  <c r="S9" i="4"/>
  <c r="AJ9" i="5" s="1"/>
  <c r="K9" i="4"/>
  <c r="T9" i="5" s="1"/>
  <c r="C9" i="4"/>
  <c r="H9" i="4"/>
  <c r="E9" i="4"/>
  <c r="H9" i="5" s="1"/>
  <c r="L9" i="4"/>
  <c r="D9" i="4"/>
  <c r="F9" i="5" s="1"/>
  <c r="P9" i="4"/>
  <c r="AD9" i="5" s="1"/>
  <c r="I9" i="4"/>
  <c r="P9" i="5" s="1"/>
  <c r="R9" i="4"/>
  <c r="J9" i="4"/>
  <c r="B9" i="4"/>
  <c r="B9" i="5" s="1"/>
  <c r="Q9" i="4"/>
  <c r="AF9" i="5" s="1"/>
  <c r="O9" i="4"/>
  <c r="G9" i="4"/>
  <c r="L9" i="5" s="1"/>
  <c r="A11" i="4" a="1"/>
  <c r="A11" i="4" s="1"/>
  <c r="V8" i="4"/>
  <c r="AM8" i="5" s="1"/>
  <c r="M8" i="4"/>
  <c r="E8" i="4"/>
  <c r="S8" i="4"/>
  <c r="AJ8" i="5" s="1"/>
  <c r="C8" i="4"/>
  <c r="R8" i="4"/>
  <c r="J8" i="4"/>
  <c r="R8" i="5" s="1"/>
  <c r="B8" i="4"/>
  <c r="B8" i="5" s="1"/>
  <c r="O8" i="4"/>
  <c r="AB8" i="5" s="1"/>
  <c r="W8" i="4"/>
  <c r="AN8" i="5" s="1"/>
  <c r="F8" i="4"/>
  <c r="L8" i="4"/>
  <c r="V8" i="5" s="1"/>
  <c r="D8" i="4"/>
  <c r="K8" i="4"/>
  <c r="A10" i="4" a="1"/>
  <c r="A10" i="4" s="1"/>
  <c r="G8" i="4"/>
  <c r="L8" i="5" s="1"/>
  <c r="Q8" i="4"/>
  <c r="AF8" i="5" s="1"/>
  <c r="I8" i="4"/>
  <c r="P8" i="4"/>
  <c r="H8" i="4"/>
  <c r="N8" i="5" s="1"/>
  <c r="N8" i="4"/>
  <c r="Y3" i="5"/>
  <c r="Z4" i="5"/>
  <c r="I5" i="2"/>
  <c r="L4" i="9"/>
  <c r="L144" i="9"/>
  <c r="L74" i="9"/>
  <c r="F232" i="9"/>
  <c r="G232" i="9" s="1"/>
  <c r="A232" i="9"/>
  <c r="J232" i="9"/>
  <c r="J229" i="9"/>
  <c r="F229" i="9"/>
  <c r="G229" i="9" s="1"/>
  <c r="A229" i="9"/>
  <c r="B7" i="5"/>
  <c r="F217" i="9"/>
  <c r="G217" i="9" s="1"/>
  <c r="J217" i="9"/>
  <c r="A217" i="9"/>
  <c r="A11" i="5" a="1"/>
  <c r="A11" i="5" s="1"/>
  <c r="AB9" i="5"/>
  <c r="J9" i="5"/>
  <c r="AL9" i="5"/>
  <c r="V9" i="5"/>
  <c r="D9" i="5"/>
  <c r="AH9" i="5"/>
  <c r="R9" i="5"/>
  <c r="N9" i="5"/>
  <c r="R7" i="5"/>
  <c r="R6" i="5"/>
  <c r="F240" i="9"/>
  <c r="G240" i="9" s="1"/>
  <c r="A240" i="9"/>
  <c r="J240" i="9"/>
  <c r="Z3" i="5"/>
  <c r="O3" i="4"/>
  <c r="S132" i="4"/>
  <c r="K132" i="4"/>
  <c r="C132" i="4"/>
  <c r="Q132" i="4"/>
  <c r="I132" i="4"/>
  <c r="A134" i="4"/>
  <c r="V132" i="4"/>
  <c r="AM132" i="5" s="1"/>
  <c r="M132" i="4"/>
  <c r="E132" i="4"/>
  <c r="N132" i="4"/>
  <c r="L132" i="4"/>
  <c r="J132" i="4"/>
  <c r="P132" i="4"/>
  <c r="D132" i="4"/>
  <c r="W132" i="4"/>
  <c r="AN132" i="5" s="1"/>
  <c r="H132" i="4"/>
  <c r="G132" i="4"/>
  <c r="R132" i="4"/>
  <c r="F132" i="4"/>
  <c r="O132" i="4"/>
  <c r="B132" i="4"/>
  <c r="F233" i="9"/>
  <c r="G233" i="9" s="1"/>
  <c r="J233" i="9"/>
  <c r="A233" i="9"/>
  <c r="F224" i="9"/>
  <c r="G224" i="9" s="1"/>
  <c r="A224" i="9"/>
  <c r="J224" i="9"/>
  <c r="AM6" i="5"/>
  <c r="A17" i="10"/>
  <c r="Z8" i="5"/>
  <c r="J8" i="5"/>
  <c r="X8" i="5"/>
  <c r="H8" i="5"/>
  <c r="AL8" i="5"/>
  <c r="F8" i="5"/>
  <c r="T8" i="5"/>
  <c r="D8" i="5"/>
  <c r="AH8" i="5"/>
  <c r="P8" i="5"/>
  <c r="A10" i="5" a="1"/>
  <c r="A10" i="5" s="1"/>
  <c r="AD8" i="5"/>
  <c r="F216" i="9"/>
  <c r="G216" i="9" s="1"/>
  <c r="A216" i="9"/>
  <c r="J216" i="9"/>
  <c r="H14" i="13" a="1"/>
  <c r="M1" i="9" a="1"/>
  <c r="M71" i="9" a="1"/>
  <c r="R2" i="2"/>
  <c r="O1" i="2" a="1"/>
  <c r="T2" i="2"/>
  <c r="B3" i="7" a="1"/>
  <c r="J1" i="2" a="1"/>
  <c r="U2" i="2"/>
  <c r="M1" i="2" a="1"/>
  <c r="Q2" i="2"/>
  <c r="L1" i="2" a="1"/>
  <c r="N1" i="2" a="1"/>
  <c r="S2" i="2"/>
  <c r="K1" i="2" a="1"/>
  <c r="P2" i="2"/>
  <c r="H14" i="13" l="1"/>
  <c r="I15" i="13"/>
  <c r="K15" i="13"/>
  <c r="J15" i="13"/>
  <c r="B3" i="7"/>
  <c r="K1" i="2"/>
  <c r="L1" i="2"/>
  <c r="M71" i="9"/>
  <c r="J1" i="2"/>
  <c r="M1" i="2"/>
  <c r="O1" i="2"/>
  <c r="K142" i="9"/>
  <c r="K72" i="9"/>
  <c r="K2" i="9"/>
  <c r="V2" i="2"/>
  <c r="O2" i="9" s="1"/>
  <c r="M1" i="9"/>
  <c r="N1" i="2"/>
  <c r="AB4" i="5"/>
  <c r="AA3" i="5"/>
  <c r="J230" i="9"/>
  <c r="F230" i="9"/>
  <c r="G230" i="9" s="1"/>
  <c r="A230" i="9"/>
  <c r="A234" i="9"/>
  <c r="F234" i="9"/>
  <c r="G234" i="9" s="1"/>
  <c r="J234" i="9"/>
  <c r="A12" i="4" a="1"/>
  <c r="A12" i="4" s="1"/>
  <c r="O10" i="4"/>
  <c r="G10" i="4"/>
  <c r="L10" i="5" s="1"/>
  <c r="W10" i="4"/>
  <c r="AN10" i="5" s="1"/>
  <c r="N10" i="4"/>
  <c r="F10" i="4"/>
  <c r="J10" i="5" s="1"/>
  <c r="M10" i="4"/>
  <c r="X10" i="5" s="1"/>
  <c r="L10" i="4"/>
  <c r="D10" i="4"/>
  <c r="Q10" i="4"/>
  <c r="P10" i="4"/>
  <c r="AD10" i="5" s="1"/>
  <c r="V10" i="4"/>
  <c r="AM10" i="5" s="1"/>
  <c r="E10" i="4"/>
  <c r="I10" i="4"/>
  <c r="P10" i="5" s="1"/>
  <c r="B10" i="4"/>
  <c r="B10" i="5" s="1"/>
  <c r="S10" i="4"/>
  <c r="AJ10" i="5" s="1"/>
  <c r="K10" i="4"/>
  <c r="T10" i="5" s="1"/>
  <c r="C10" i="4"/>
  <c r="D10" i="5" s="1"/>
  <c r="R10" i="4"/>
  <c r="AH10" i="5" s="1"/>
  <c r="J10" i="4"/>
  <c r="H10" i="4"/>
  <c r="A218" i="9"/>
  <c r="A219" i="9" s="1"/>
  <c r="A223" i="9" s="1"/>
  <c r="A227" i="9" s="1"/>
  <c r="A231" i="9" s="1"/>
  <c r="A235" i="9" s="1"/>
  <c r="A239" i="9" s="1"/>
  <c r="F218" i="9"/>
  <c r="G218" i="9" s="1"/>
  <c r="J218" i="9"/>
  <c r="P11" i="4"/>
  <c r="AD11" i="5" s="1"/>
  <c r="H11" i="4"/>
  <c r="N11" i="5" s="1"/>
  <c r="O11" i="4"/>
  <c r="AB11" i="5" s="1"/>
  <c r="G11" i="4"/>
  <c r="L11" i="5" s="1"/>
  <c r="J11" i="4"/>
  <c r="R11" i="5" s="1"/>
  <c r="A13" i="4" a="1"/>
  <c r="A13" i="4" s="1"/>
  <c r="V11" i="4"/>
  <c r="AM11" i="5" s="1"/>
  <c r="M11" i="4"/>
  <c r="X11" i="5" s="1"/>
  <c r="E11" i="4"/>
  <c r="W11" i="4"/>
  <c r="AN11" i="5" s="1"/>
  <c r="N11" i="4"/>
  <c r="Z11" i="5" s="1"/>
  <c r="F11" i="4"/>
  <c r="R11" i="4"/>
  <c r="AH11" i="5" s="1"/>
  <c r="B11" i="4"/>
  <c r="B11" i="5" s="1"/>
  <c r="C11" i="4"/>
  <c r="D11" i="5" s="1"/>
  <c r="L11" i="4"/>
  <c r="V11" i="5" s="1"/>
  <c r="D11" i="4"/>
  <c r="F11" i="5" s="1"/>
  <c r="S11" i="4"/>
  <c r="AJ11" i="5" s="1"/>
  <c r="K11" i="4"/>
  <c r="T11" i="5" s="1"/>
  <c r="I11" i="4"/>
  <c r="Q11" i="4"/>
  <c r="AF11" i="5" s="1"/>
  <c r="P11" i="5"/>
  <c r="A13" i="5" a="1"/>
  <c r="A13" i="5" s="1"/>
  <c r="J11" i="5"/>
  <c r="H11" i="5"/>
  <c r="AL11" i="5"/>
  <c r="N10" i="5"/>
  <c r="A12" i="5" a="1"/>
  <c r="A12" i="5" s="1"/>
  <c r="AB10" i="5"/>
  <c r="Z10" i="5"/>
  <c r="H10" i="5"/>
  <c r="AL10" i="5"/>
  <c r="V10" i="5"/>
  <c r="F10" i="5"/>
  <c r="AF10" i="5"/>
  <c r="R10" i="5"/>
  <c r="O141" i="9"/>
  <c r="O71" i="9"/>
  <c r="I71" i="9" s="1" a="1"/>
  <c r="I71" i="9" s="1"/>
  <c r="I1" i="9" a="1"/>
  <c r="I1" i="9" s="1"/>
  <c r="H17" i="10"/>
  <c r="O134" i="4"/>
  <c r="G134" i="4"/>
  <c r="A136" i="4"/>
  <c r="V134" i="4"/>
  <c r="AM134" i="5" s="1"/>
  <c r="M134" i="4"/>
  <c r="E134" i="4"/>
  <c r="Q134" i="4"/>
  <c r="I134" i="4"/>
  <c r="H134" i="4"/>
  <c r="S134" i="4"/>
  <c r="F134" i="4"/>
  <c r="R134" i="4"/>
  <c r="D134" i="4"/>
  <c r="P134" i="4"/>
  <c r="C134" i="4"/>
  <c r="N134" i="4"/>
  <c r="B134" i="4"/>
  <c r="K134" i="4"/>
  <c r="L134" i="4"/>
  <c r="W134" i="4"/>
  <c r="AN134" i="5" s="1"/>
  <c r="J134" i="4"/>
  <c r="AB3" i="5"/>
  <c r="P3" i="4"/>
  <c r="L5" i="9"/>
  <c r="I6" i="2"/>
  <c r="L145" i="9"/>
  <c r="L75" i="9"/>
  <c r="L15" i="13" a="1"/>
  <c r="D71" i="9" a="1"/>
  <c r="D1" i="9" a="1"/>
  <c r="M2" i="9" a="1"/>
  <c r="M2" i="2" a="1"/>
  <c r="Q3" i="2"/>
  <c r="B4" i="7" a="1"/>
  <c r="T3" i="2"/>
  <c r="K2" i="2" a="1"/>
  <c r="U3" i="2"/>
  <c r="O2" i="2" a="1"/>
  <c r="J2" i="2" a="1"/>
  <c r="S3" i="2"/>
  <c r="P3" i="2"/>
  <c r="L2" i="2" a="1"/>
  <c r="N2" i="2" a="1"/>
  <c r="R3" i="2"/>
  <c r="L15" i="13" l="1"/>
  <c r="I14" i="13"/>
  <c r="J14" i="13"/>
  <c r="K14" i="13"/>
  <c r="M2" i="9"/>
  <c r="J2" i="2"/>
  <c r="O2" i="2"/>
  <c r="K2" i="2"/>
  <c r="K73" i="9"/>
  <c r="V3" i="2"/>
  <c r="O3" i="9" s="1"/>
  <c r="K3" i="9"/>
  <c r="K143" i="9"/>
  <c r="D1" i="9"/>
  <c r="L2" i="2"/>
  <c r="M2" i="2"/>
  <c r="B4" i="7"/>
  <c r="D71" i="9"/>
  <c r="N2" i="2"/>
  <c r="R13" i="4"/>
  <c r="AH13" i="5" s="1"/>
  <c r="J13" i="4"/>
  <c r="R13" i="5" s="1"/>
  <c r="B13" i="4"/>
  <c r="I13" i="4"/>
  <c r="L13" i="4"/>
  <c r="Q13" i="4"/>
  <c r="O13" i="4"/>
  <c r="G13" i="4"/>
  <c r="P13" i="4"/>
  <c r="AD13" i="5" s="1"/>
  <c r="H13" i="4"/>
  <c r="N13" i="5" s="1"/>
  <c r="A15" i="4" a="1"/>
  <c r="A15" i="4" s="1"/>
  <c r="E13" i="4"/>
  <c r="D13" i="4"/>
  <c r="F13" i="5" s="1"/>
  <c r="V13" i="4"/>
  <c r="AM13" i="5" s="1"/>
  <c r="W13" i="4"/>
  <c r="AN13" i="5" s="1"/>
  <c r="N13" i="4"/>
  <c r="Z13" i="5" s="1"/>
  <c r="F13" i="4"/>
  <c r="J13" i="5" s="1"/>
  <c r="M13" i="4"/>
  <c r="X13" i="5" s="1"/>
  <c r="S13" i="4"/>
  <c r="K13" i="4"/>
  <c r="C13" i="4"/>
  <c r="A14" i="5" a="1"/>
  <c r="A14" i="5" s="1"/>
  <c r="AL12" i="5"/>
  <c r="Q12" i="4"/>
  <c r="AF12" i="5" s="1"/>
  <c r="I12" i="4"/>
  <c r="P12" i="5" s="1"/>
  <c r="P12" i="4"/>
  <c r="AD12" i="5" s="1"/>
  <c r="H12" i="4"/>
  <c r="N12" i="5" s="1"/>
  <c r="F12" i="4"/>
  <c r="J12" i="5" s="1"/>
  <c r="C12" i="4"/>
  <c r="D12" i="5" s="1"/>
  <c r="A14" i="4" a="1"/>
  <c r="A14" i="4" s="1"/>
  <c r="W12" i="4"/>
  <c r="AN12" i="5" s="1"/>
  <c r="N12" i="4"/>
  <c r="Z12" i="5" s="1"/>
  <c r="K12" i="4"/>
  <c r="T12" i="5" s="1"/>
  <c r="O12" i="4"/>
  <c r="AB12" i="5" s="1"/>
  <c r="G12" i="4"/>
  <c r="L12" i="5" s="1"/>
  <c r="R12" i="4"/>
  <c r="AH12" i="5" s="1"/>
  <c r="D12" i="4"/>
  <c r="F12" i="5" s="1"/>
  <c r="S12" i="4"/>
  <c r="AJ12" i="5" s="1"/>
  <c r="V12" i="4"/>
  <c r="M12" i="4"/>
  <c r="X12" i="5" s="1"/>
  <c r="E12" i="4"/>
  <c r="H12" i="5" s="1"/>
  <c r="L12" i="4"/>
  <c r="V12" i="5" s="1"/>
  <c r="J12" i="4"/>
  <c r="R12" i="5" s="1"/>
  <c r="B12" i="4"/>
  <c r="AD3" i="5"/>
  <c r="Q3" i="4"/>
  <c r="I7" i="2"/>
  <c r="L6" i="9"/>
  <c r="L146" i="9"/>
  <c r="L76" i="9"/>
  <c r="AD4" i="5"/>
  <c r="AC3" i="5"/>
  <c r="A25" i="10"/>
  <c r="S136" i="4"/>
  <c r="K136" i="4"/>
  <c r="C136" i="4"/>
  <c r="Q136" i="4"/>
  <c r="I136" i="4"/>
  <c r="A138" i="4"/>
  <c r="V136" i="4"/>
  <c r="AM136" i="5" s="1"/>
  <c r="M136" i="4"/>
  <c r="E136" i="4"/>
  <c r="J136" i="4"/>
  <c r="W136" i="4"/>
  <c r="AN136" i="5" s="1"/>
  <c r="H136" i="4"/>
  <c r="G136" i="4"/>
  <c r="R136" i="4"/>
  <c r="F136" i="4"/>
  <c r="P136" i="4"/>
  <c r="D136" i="4"/>
  <c r="N136" i="4"/>
  <c r="O136" i="4"/>
  <c r="B136" i="4"/>
  <c r="L136" i="4"/>
  <c r="AJ13" i="5"/>
  <c r="T13" i="5"/>
  <c r="D13" i="5"/>
  <c r="AF13" i="5"/>
  <c r="P13" i="5"/>
  <c r="A15" i="5" a="1"/>
  <c r="A15" i="5" s="1"/>
  <c r="AB13" i="5"/>
  <c r="L13" i="5"/>
  <c r="AL13" i="5"/>
  <c r="V13" i="5"/>
  <c r="H13" i="5"/>
  <c r="O142" i="9"/>
  <c r="O72" i="9"/>
  <c r="I2" i="9" a="1"/>
  <c r="I2" i="9" s="1"/>
  <c r="L14" i="13" a="1"/>
  <c r="M3" i="9" a="1"/>
  <c r="D2" i="9" a="1"/>
  <c r="R4" i="2"/>
  <c r="N3" i="2" a="1"/>
  <c r="S4" i="2"/>
  <c r="U4" i="2"/>
  <c r="B5" i="7" a="1"/>
  <c r="O3" i="2" a="1"/>
  <c r="T4" i="2"/>
  <c r="Q4" i="2"/>
  <c r="P4" i="2"/>
  <c r="K3" i="2" a="1"/>
  <c r="L3" i="2" a="1"/>
  <c r="M3" i="2" a="1"/>
  <c r="J3" i="2" a="1"/>
  <c r="L14" i="13" l="1"/>
  <c r="O15" i="13"/>
  <c r="N15" i="13"/>
  <c r="M15" i="13"/>
  <c r="B5" i="7"/>
  <c r="N3" i="2"/>
  <c r="J3" i="2"/>
  <c r="M3" i="2"/>
  <c r="K3" i="2"/>
  <c r="K4" i="9"/>
  <c r="V4" i="2"/>
  <c r="O4" i="9" s="1"/>
  <c r="K144" i="9"/>
  <c r="K74" i="9"/>
  <c r="L3" i="2"/>
  <c r="D2" i="9"/>
  <c r="O3" i="2"/>
  <c r="M3" i="9"/>
  <c r="O138" i="4"/>
  <c r="G138" i="4"/>
  <c r="A140" i="4"/>
  <c r="V138" i="4"/>
  <c r="AM138" i="5" s="1"/>
  <c r="M138" i="4"/>
  <c r="E138" i="4"/>
  <c r="S138" i="4"/>
  <c r="K138" i="4"/>
  <c r="C138" i="4"/>
  <c r="Q138" i="4"/>
  <c r="I138" i="4"/>
  <c r="J138" i="4"/>
  <c r="H138" i="4"/>
  <c r="W138" i="4"/>
  <c r="AN138" i="5" s="1"/>
  <c r="F138" i="4"/>
  <c r="D138" i="4"/>
  <c r="R138" i="4"/>
  <c r="B138" i="4"/>
  <c r="N138" i="4"/>
  <c r="P138" i="4"/>
  <c r="L138" i="4"/>
  <c r="AE3" i="5"/>
  <c r="AF4" i="5"/>
  <c r="AM12" i="5"/>
  <c r="O143" i="9"/>
  <c r="O73" i="9"/>
  <c r="I3" i="9" a="1"/>
  <c r="I3" i="9" s="1"/>
  <c r="L15" i="4"/>
  <c r="D15" i="4"/>
  <c r="F15" i="5" s="1"/>
  <c r="F15" i="4"/>
  <c r="J15" i="5" s="1"/>
  <c r="S15" i="4"/>
  <c r="K15" i="4"/>
  <c r="C15" i="4"/>
  <c r="J15" i="4"/>
  <c r="R15" i="5" s="1"/>
  <c r="I15" i="4"/>
  <c r="A17" i="4" a="1"/>
  <c r="A17" i="4" s="1"/>
  <c r="R15" i="4"/>
  <c r="B15" i="4"/>
  <c r="B15" i="5" s="1"/>
  <c r="Q15" i="4"/>
  <c r="O15" i="4"/>
  <c r="AB15" i="5" s="1"/>
  <c r="G15" i="4"/>
  <c r="N15" i="4"/>
  <c r="Z15" i="5" s="1"/>
  <c r="P15" i="4"/>
  <c r="AD15" i="5" s="1"/>
  <c r="H15" i="4"/>
  <c r="W15" i="4"/>
  <c r="AN15" i="5" s="1"/>
  <c r="V15" i="4"/>
  <c r="AM15" i="5" s="1"/>
  <c r="M15" i="4"/>
  <c r="E15" i="4"/>
  <c r="H15" i="5" s="1"/>
  <c r="B13" i="5"/>
  <c r="B12" i="5"/>
  <c r="L7" i="9"/>
  <c r="I8" i="2"/>
  <c r="L77" i="9"/>
  <c r="L147" i="9"/>
  <c r="F1" i="9"/>
  <c r="G1" i="9" s="1"/>
  <c r="J1" i="9"/>
  <c r="N1" i="9"/>
  <c r="Q1" i="9" s="1"/>
  <c r="P1" i="9" s="1"/>
  <c r="N71" i="9"/>
  <c r="Q71" i="9" s="1"/>
  <c r="P71" i="9" s="1"/>
  <c r="J71" i="9"/>
  <c r="F71" i="9"/>
  <c r="G71" i="9" s="1"/>
  <c r="S14" i="4"/>
  <c r="AJ14" i="5" s="1"/>
  <c r="K14" i="4"/>
  <c r="T14" i="5" s="1"/>
  <c r="C14" i="4"/>
  <c r="M14" i="4"/>
  <c r="X14" i="5" s="1"/>
  <c r="R14" i="4"/>
  <c r="AH14" i="5" s="1"/>
  <c r="J14" i="4"/>
  <c r="R14" i="5" s="1"/>
  <c r="B14" i="4"/>
  <c r="B14" i="5" s="1"/>
  <c r="Q14" i="4"/>
  <c r="AF14" i="5" s="1"/>
  <c r="P14" i="4"/>
  <c r="AD14" i="5" s="1"/>
  <c r="H14" i="4"/>
  <c r="N14" i="5" s="1"/>
  <c r="I14" i="4"/>
  <c r="P14" i="5" s="1"/>
  <c r="W14" i="4"/>
  <c r="AN14" i="5" s="1"/>
  <c r="N14" i="4"/>
  <c r="Z14" i="5" s="1"/>
  <c r="F14" i="4"/>
  <c r="J14" i="5" s="1"/>
  <c r="E14" i="4"/>
  <c r="H14" i="5" s="1"/>
  <c r="A16" i="4" a="1"/>
  <c r="A16" i="4" s="1"/>
  <c r="O14" i="4"/>
  <c r="AB14" i="5" s="1"/>
  <c r="G14" i="4"/>
  <c r="L14" i="5" s="1"/>
  <c r="V14" i="4"/>
  <c r="AM14" i="5" s="1"/>
  <c r="L14" i="4"/>
  <c r="V14" i="5" s="1"/>
  <c r="D14" i="4"/>
  <c r="F14" i="5" s="1"/>
  <c r="AL14" i="5"/>
  <c r="D14" i="5"/>
  <c r="A16" i="5" a="1"/>
  <c r="A16" i="5" s="1"/>
  <c r="X15" i="5"/>
  <c r="AL15" i="5"/>
  <c r="V15" i="5"/>
  <c r="AJ15" i="5"/>
  <c r="T15" i="5"/>
  <c r="D15" i="5"/>
  <c r="AH15" i="5"/>
  <c r="AF15" i="5"/>
  <c r="P15" i="5"/>
  <c r="N15" i="5"/>
  <c r="A17" i="5" a="1"/>
  <c r="A17" i="5" s="1"/>
  <c r="L15" i="5"/>
  <c r="H25" i="10"/>
  <c r="AF3" i="5"/>
  <c r="R3" i="4"/>
  <c r="M4" i="9" a="1"/>
  <c r="D3" i="9" a="1"/>
  <c r="P5" i="2"/>
  <c r="N4" i="2" a="1"/>
  <c r="B6" i="7" a="1"/>
  <c r="O4" i="2" a="1"/>
  <c r="M4" i="2" a="1"/>
  <c r="L4" i="2" a="1"/>
  <c r="S5" i="2"/>
  <c r="J4" i="2" a="1"/>
  <c r="U5" i="2"/>
  <c r="R5" i="2"/>
  <c r="T5" i="2"/>
  <c r="Q5" i="2"/>
  <c r="K4" i="2" a="1"/>
  <c r="M14" i="13" l="1"/>
  <c r="Q14" i="13" s="1"/>
  <c r="N14" i="13"/>
  <c r="O14" i="13"/>
  <c r="M4" i="2"/>
  <c r="O4" i="2"/>
  <c r="N4" i="2"/>
  <c r="K4" i="2"/>
  <c r="L4" i="2"/>
  <c r="D3" i="9"/>
  <c r="B6" i="7"/>
  <c r="K5" i="9"/>
  <c r="M5" i="9" s="1" a="1"/>
  <c r="M5" i="9" s="1"/>
  <c r="V5" i="2"/>
  <c r="O5" i="9" s="1"/>
  <c r="K75" i="9"/>
  <c r="K145" i="9"/>
  <c r="J4" i="2"/>
  <c r="M4" i="9"/>
  <c r="AH3" i="5"/>
  <c r="S3" i="4"/>
  <c r="AJ3" i="5" s="1"/>
  <c r="S140" i="4"/>
  <c r="K140" i="4"/>
  <c r="C140" i="4"/>
  <c r="Q140" i="4"/>
  <c r="I140" i="4"/>
  <c r="O140" i="4"/>
  <c r="G140" i="4"/>
  <c r="A142" i="4"/>
  <c r="V140" i="4"/>
  <c r="AM140" i="5" s="1"/>
  <c r="M140" i="4"/>
  <c r="E140" i="4"/>
  <c r="R140" i="4"/>
  <c r="B140" i="4"/>
  <c r="P140" i="4"/>
  <c r="N140" i="4"/>
  <c r="F140" i="4"/>
  <c r="L140" i="4"/>
  <c r="J140" i="4"/>
  <c r="W140" i="4"/>
  <c r="AN140" i="5" s="1"/>
  <c r="H140" i="4"/>
  <c r="D140" i="4"/>
  <c r="A33" i="10"/>
  <c r="W17" i="4"/>
  <c r="AN17" i="5" s="1"/>
  <c r="N17" i="4"/>
  <c r="Z17" i="5" s="1"/>
  <c r="F17" i="4"/>
  <c r="V17" i="4"/>
  <c r="AM17" i="5" s="1"/>
  <c r="M17" i="4"/>
  <c r="E17" i="4"/>
  <c r="H17" i="4"/>
  <c r="N17" i="5" s="1"/>
  <c r="A19" i="4" a="1"/>
  <c r="A19" i="4" s="1"/>
  <c r="L17" i="4"/>
  <c r="S17" i="4"/>
  <c r="AJ17" i="5" s="1"/>
  <c r="D17" i="4"/>
  <c r="F17" i="5" s="1"/>
  <c r="K17" i="4"/>
  <c r="T17" i="5" s="1"/>
  <c r="C17" i="4"/>
  <c r="D17" i="5" s="1"/>
  <c r="Q17" i="4"/>
  <c r="I17" i="4"/>
  <c r="P17" i="5" s="1"/>
  <c r="R17" i="4"/>
  <c r="AH17" i="5" s="1"/>
  <c r="J17" i="4"/>
  <c r="R17" i="5" s="1"/>
  <c r="B17" i="4"/>
  <c r="B17" i="5" s="1"/>
  <c r="P17" i="4"/>
  <c r="O17" i="4"/>
  <c r="AB17" i="5" s="1"/>
  <c r="G17" i="4"/>
  <c r="L17" i="5" s="1"/>
  <c r="O144" i="9"/>
  <c r="O74" i="9"/>
  <c r="I4" i="9" a="1"/>
  <c r="I4" i="9" s="1"/>
  <c r="AG3" i="5"/>
  <c r="AH4" i="5"/>
  <c r="V16" i="4"/>
  <c r="AM16" i="5" s="1"/>
  <c r="M16" i="4"/>
  <c r="X16" i="5" s="1"/>
  <c r="E16" i="4"/>
  <c r="H16" i="5" s="1"/>
  <c r="G16" i="4"/>
  <c r="L16" i="4"/>
  <c r="V16" i="5" s="1"/>
  <c r="D16" i="4"/>
  <c r="F16" i="5" s="1"/>
  <c r="S16" i="4"/>
  <c r="AJ16" i="5" s="1"/>
  <c r="C16" i="4"/>
  <c r="D16" i="5" s="1"/>
  <c r="R16" i="4"/>
  <c r="AH16" i="5" s="1"/>
  <c r="B16" i="4"/>
  <c r="B16" i="5" s="1"/>
  <c r="K16" i="4"/>
  <c r="T16" i="5" s="1"/>
  <c r="J16" i="4"/>
  <c r="H16" i="4"/>
  <c r="N16" i="5" s="1"/>
  <c r="O16" i="4"/>
  <c r="AB16" i="5" s="1"/>
  <c r="Q16" i="4"/>
  <c r="AF16" i="5" s="1"/>
  <c r="I16" i="4"/>
  <c r="P16" i="4"/>
  <c r="A18" i="4" a="1"/>
  <c r="A18" i="4" s="1"/>
  <c r="F16" i="4"/>
  <c r="J16" i="5" s="1"/>
  <c r="N16" i="4"/>
  <c r="W16" i="4"/>
  <c r="AN16" i="5" s="1"/>
  <c r="A19" i="5" a="1"/>
  <c r="A19" i="5" s="1"/>
  <c r="J17" i="5"/>
  <c r="X17" i="5"/>
  <c r="H17" i="5"/>
  <c r="AL17" i="5"/>
  <c r="V17" i="5"/>
  <c r="AD17" i="5"/>
  <c r="AF17" i="5"/>
  <c r="I9" i="2"/>
  <c r="L148" i="9"/>
  <c r="L8" i="9"/>
  <c r="L78" i="9"/>
  <c r="Z16" i="5"/>
  <c r="AL16" i="5"/>
  <c r="R16" i="5"/>
  <c r="P16" i="5"/>
  <c r="A18" i="5" a="1"/>
  <c r="A18" i="5" s="1"/>
  <c r="L16" i="5"/>
  <c r="AD16" i="5"/>
  <c r="J2" i="9"/>
  <c r="F2" i="9"/>
  <c r="G2" i="9" s="1"/>
  <c r="N2" i="9"/>
  <c r="Q2" i="9" s="1"/>
  <c r="P2" i="9" s="1"/>
  <c r="D4" i="9" a="1"/>
  <c r="U6" i="2"/>
  <c r="O5" i="2" a="1"/>
  <c r="B8" i="7" a="1"/>
  <c r="K5" i="2" a="1"/>
  <c r="R6" i="2"/>
  <c r="P6" i="2"/>
  <c r="M5" i="2" a="1"/>
  <c r="Q6" i="2"/>
  <c r="L5" i="2" a="1"/>
  <c r="N5" i="2" a="1"/>
  <c r="S6" i="2"/>
  <c r="J5" i="2" a="1"/>
  <c r="T6" i="2"/>
  <c r="B7" i="7" a="1"/>
  <c r="AH134" i="13" l="1" a="1"/>
  <c r="AH134" i="13" s="1"/>
  <c r="AH149" i="13" a="1"/>
  <c r="AH149" i="13" s="1"/>
  <c r="AH145" i="13" a="1"/>
  <c r="AH145" i="13" s="1"/>
  <c r="AH125" i="13" a="1"/>
  <c r="AH125" i="13" s="1"/>
  <c r="AH98" i="13" a="1"/>
  <c r="AH98" i="13" s="1"/>
  <c r="AH123" i="13" a="1"/>
  <c r="AH123" i="13" s="1"/>
  <c r="AH140" i="13" a="1"/>
  <c r="AH140" i="13" s="1"/>
  <c r="AH41" i="13" a="1"/>
  <c r="AH41" i="13" s="1"/>
  <c r="AH60" i="13" a="1"/>
  <c r="AH60" i="13" s="1"/>
  <c r="AH106" i="13" a="1"/>
  <c r="AH106" i="13" s="1"/>
  <c r="AH70" i="13" a="1"/>
  <c r="AH70" i="13" s="1"/>
  <c r="AH91" i="13" a="1"/>
  <c r="AH91" i="13" s="1"/>
  <c r="AH35" i="13" a="1"/>
  <c r="AH35" i="13" s="1"/>
  <c r="AH113" i="13" a="1"/>
  <c r="AH113" i="13" s="1"/>
  <c r="AH48" i="13" a="1"/>
  <c r="AH48" i="13" s="1"/>
  <c r="AH68" i="13" a="1"/>
  <c r="AH68" i="13" s="1"/>
  <c r="AH148" i="13" a="1"/>
  <c r="AH148" i="13" s="1"/>
  <c r="AH119" i="13" a="1"/>
  <c r="AH119" i="13" s="1"/>
  <c r="AH146" i="13" a="1"/>
  <c r="AH146" i="13" s="1"/>
  <c r="AH127" i="13" a="1"/>
  <c r="AH127" i="13" s="1"/>
  <c r="AH124" i="13" a="1"/>
  <c r="AH124" i="13" s="1"/>
  <c r="AH83" i="13" a="1"/>
  <c r="AH83" i="13" s="1"/>
  <c r="AH112" i="13" a="1"/>
  <c r="AH112" i="13" s="1"/>
  <c r="AH139" i="13" a="1"/>
  <c r="AH139" i="13" s="1"/>
  <c r="AH37" i="13" a="1"/>
  <c r="AH37" i="13" s="1"/>
  <c r="AH56" i="13" a="1"/>
  <c r="AH56" i="13" s="1"/>
  <c r="AH86" i="13" a="1"/>
  <c r="AH86" i="13" s="1"/>
  <c r="AH57" i="13" a="1"/>
  <c r="AH57" i="13" s="1"/>
  <c r="AH47" i="13" a="1"/>
  <c r="AH47" i="13" s="1"/>
  <c r="AH26" i="13" a="1"/>
  <c r="AH26" i="13" s="1"/>
  <c r="AH76" i="13" a="1"/>
  <c r="AH76" i="13" s="1"/>
  <c r="AH34" i="13" a="1"/>
  <c r="AH34" i="13" s="1"/>
  <c r="AH137" i="13" a="1"/>
  <c r="AH137" i="13" s="1"/>
  <c r="AH118" i="13" a="1"/>
  <c r="AH118" i="13" s="1"/>
  <c r="AH129" i="13" a="1"/>
  <c r="AH129" i="13" s="1"/>
  <c r="AH126" i="13" a="1"/>
  <c r="AH126" i="13" s="1"/>
  <c r="AH116" i="13" a="1"/>
  <c r="AH116" i="13" s="1"/>
  <c r="AH82" i="13" a="1"/>
  <c r="AH82" i="13" s="1"/>
  <c r="AH97" i="13" a="1"/>
  <c r="AH97" i="13" s="1"/>
  <c r="AH143" i="13" a="1"/>
  <c r="AH143" i="13" s="1"/>
  <c r="AH36" i="13" a="1"/>
  <c r="AH36" i="13" s="1"/>
  <c r="AH52" i="13" a="1"/>
  <c r="AH52" i="13" s="1"/>
  <c r="AH33" i="13" a="1"/>
  <c r="AH33" i="13" s="1"/>
  <c r="AH53" i="13" a="1"/>
  <c r="AH53" i="13" s="1"/>
  <c r="AH43" i="13" a="1"/>
  <c r="AH43" i="13" s="1"/>
  <c r="AH54" i="13" a="1"/>
  <c r="AH54" i="13" s="1"/>
  <c r="AH136" i="13" a="1"/>
  <c r="AH136" i="13" s="1"/>
  <c r="AH133" i="13" a="1"/>
  <c r="AH133" i="13" s="1"/>
  <c r="AH128" i="13" a="1"/>
  <c r="AH128" i="13" s="1"/>
  <c r="AH114" i="13" a="1"/>
  <c r="AH114" i="13" s="1"/>
  <c r="AH101" i="13" a="1"/>
  <c r="AH101" i="13" s="1"/>
  <c r="AH67" i="13" a="1"/>
  <c r="AH67" i="13" s="1"/>
  <c r="AH96" i="13" a="1"/>
  <c r="AH96" i="13" s="1"/>
  <c r="AH92" i="13" a="1"/>
  <c r="AH92" i="13" s="1"/>
  <c r="AH108" i="13" a="1"/>
  <c r="AH108" i="13" s="1"/>
  <c r="AH49" i="13" a="1"/>
  <c r="AH49" i="13" s="1"/>
  <c r="AH32" i="13" a="1"/>
  <c r="AH32" i="13" s="1"/>
  <c r="AH46" i="13" a="1"/>
  <c r="AH46" i="13" s="1"/>
  <c r="AH38" i="13" a="1"/>
  <c r="AH38" i="13" s="1"/>
  <c r="AH29" i="13" a="1"/>
  <c r="AH29" i="13" s="1"/>
  <c r="AH59" i="13" a="1"/>
  <c r="AH59" i="13" s="1"/>
  <c r="AH121" i="13" a="1"/>
  <c r="AH121" i="13" s="1"/>
  <c r="AH132" i="13" a="1"/>
  <c r="AH132" i="13" s="1"/>
  <c r="AH105" i="13" a="1"/>
  <c r="AH105" i="13" s="1"/>
  <c r="AH103" i="13" a="1"/>
  <c r="AH103" i="13" s="1"/>
  <c r="AH100" i="13" a="1"/>
  <c r="AH100" i="13" s="1"/>
  <c r="AH66" i="13" a="1"/>
  <c r="AH66" i="13" s="1"/>
  <c r="AH81" i="13" a="1"/>
  <c r="AH81" i="13" s="1"/>
  <c r="AH73" i="13" a="1"/>
  <c r="AH73" i="13" s="1"/>
  <c r="AH94" i="13" a="1"/>
  <c r="AH94" i="13" s="1"/>
  <c r="AH45" i="13" a="1"/>
  <c r="AH45" i="13" s="1"/>
  <c r="AH138" i="13" a="1"/>
  <c r="AH138" i="13" s="1"/>
  <c r="AH31" i="13" a="1"/>
  <c r="AH31" i="13" s="1"/>
  <c r="AH30" i="13" a="1"/>
  <c r="AH30" i="13" s="1"/>
  <c r="AH72" i="13" a="1"/>
  <c r="AH72" i="13" s="1"/>
  <c r="AH39" i="13" a="1"/>
  <c r="AH39" i="13" s="1"/>
  <c r="AH27" i="13" a="1"/>
  <c r="AH27" i="13" s="1"/>
  <c r="AH120" i="13" a="1"/>
  <c r="AH120" i="13" s="1"/>
  <c r="AH117" i="13" a="1"/>
  <c r="AH117" i="13" s="1"/>
  <c r="AH104" i="13" a="1"/>
  <c r="AH104" i="13" s="1"/>
  <c r="AH102" i="13" a="1"/>
  <c r="AH102" i="13" s="1"/>
  <c r="AH85" i="13" a="1"/>
  <c r="AH85" i="13" s="1"/>
  <c r="AH51" i="13" a="1"/>
  <c r="AH51" i="13" s="1"/>
  <c r="AH80" i="13" a="1"/>
  <c r="AH80" i="13" s="1"/>
  <c r="AH71" i="13" a="1"/>
  <c r="AH71" i="13" s="1"/>
  <c r="AH90" i="13" a="1"/>
  <c r="AH90" i="13" s="1"/>
  <c r="AH130" i="13" a="1"/>
  <c r="AH130" i="13" s="1"/>
  <c r="AH79" i="13" a="1"/>
  <c r="AH79" i="13" s="1"/>
  <c r="AH122" i="13" a="1"/>
  <c r="AH122" i="13" s="1"/>
  <c r="AH109" i="13" a="1"/>
  <c r="AH109" i="13" s="1"/>
  <c r="AH62" i="13" a="1"/>
  <c r="AH62" i="13" s="1"/>
  <c r="AH107" i="13" a="1"/>
  <c r="AH107" i="13" s="1"/>
  <c r="AH61" i="13" a="1"/>
  <c r="AH61" i="13" s="1"/>
  <c r="AH150" i="13" a="1"/>
  <c r="AH150" i="13" s="1"/>
  <c r="AH147" i="13" a="1"/>
  <c r="AH147" i="13" s="1"/>
  <c r="AH89" i="13" a="1"/>
  <c r="AH89" i="13" s="1"/>
  <c r="AH87" i="13" a="1"/>
  <c r="AH87" i="13" s="1"/>
  <c r="AH84" i="13" a="1"/>
  <c r="AH84" i="13" s="1"/>
  <c r="AH50" i="13" a="1"/>
  <c r="AH50" i="13" s="1"/>
  <c r="AH65" i="13" a="1"/>
  <c r="AH65" i="13" s="1"/>
  <c r="AH69" i="13" a="1"/>
  <c r="AH69" i="13" s="1"/>
  <c r="AH75" i="13" a="1"/>
  <c r="AH75" i="13" s="1"/>
  <c r="AH115" i="13" a="1"/>
  <c r="AH115" i="13" s="1"/>
  <c r="AH77" i="13" a="1"/>
  <c r="AH77" i="13" s="1"/>
  <c r="AH111" i="13" a="1"/>
  <c r="AH111" i="13" s="1"/>
  <c r="AH95" i="13" a="1"/>
  <c r="AH95" i="13" s="1"/>
  <c r="AH44" i="13" a="1"/>
  <c r="AH44" i="13" s="1"/>
  <c r="AH78" i="13" a="1"/>
  <c r="AH78" i="13" s="1"/>
  <c r="AH42" i="13" a="1"/>
  <c r="AH42" i="13" s="1"/>
  <c r="AH25" i="13" a="1"/>
  <c r="AH25" i="13" s="1"/>
  <c r="AH135" i="13" a="1"/>
  <c r="AH135" i="13" s="1"/>
  <c r="AH131" i="13" a="1"/>
  <c r="AH131" i="13" s="1"/>
  <c r="AH88" i="13" a="1"/>
  <c r="AH88" i="13" s="1"/>
  <c r="AH141" i="13" a="1"/>
  <c r="AH141" i="13" s="1"/>
  <c r="AH99" i="13" a="1"/>
  <c r="AH99" i="13" s="1"/>
  <c r="AH142" i="13" a="1"/>
  <c r="AH142" i="13" s="1"/>
  <c r="AH144" i="13" a="1"/>
  <c r="AH144" i="13" s="1"/>
  <c r="AH63" i="13" a="1"/>
  <c r="AH63" i="13" s="1"/>
  <c r="AH64" i="13" a="1"/>
  <c r="AH64" i="13" s="1"/>
  <c r="AH110" i="13" a="1"/>
  <c r="AH110" i="13" s="1"/>
  <c r="AH74" i="13" a="1"/>
  <c r="AH74" i="13" s="1"/>
  <c r="AH93" i="13" a="1"/>
  <c r="AH93" i="13" s="1"/>
  <c r="AH55" i="13" a="1"/>
  <c r="AH55" i="13" s="1"/>
  <c r="AH28" i="13" a="1"/>
  <c r="AH28" i="13" s="1"/>
  <c r="AH58" i="13" a="1"/>
  <c r="AH58" i="13" s="1"/>
  <c r="AH40" i="13" a="1"/>
  <c r="AH40" i="13" s="1"/>
  <c r="R12" i="13" a="1"/>
  <c r="R12" i="13" s="1"/>
  <c r="R7" i="13" a="1"/>
  <c r="R7" i="13" s="1"/>
  <c r="R9" i="13" a="1"/>
  <c r="R9" i="13" s="1"/>
  <c r="R13" i="13" a="1"/>
  <c r="R13" i="13" s="1"/>
  <c r="R8" i="13" a="1"/>
  <c r="R8" i="13" s="1"/>
  <c r="R5" i="13" a="1"/>
  <c r="R5" i="13" s="1"/>
  <c r="R10" i="13" a="1"/>
  <c r="R10" i="13" s="1"/>
  <c r="R4" i="13" a="1"/>
  <c r="R4" i="13" s="1"/>
  <c r="R6" i="13" a="1"/>
  <c r="R6" i="13" s="1"/>
  <c r="R11" i="13" a="1"/>
  <c r="R11" i="13" s="1"/>
  <c r="R3" i="13" a="1"/>
  <c r="R3" i="13" s="1"/>
  <c r="R2" i="13" a="1"/>
  <c r="R2" i="13" s="1"/>
  <c r="K5" i="2"/>
  <c r="M5" i="2"/>
  <c r="B8" i="7"/>
  <c r="O5" i="2"/>
  <c r="B7" i="7"/>
  <c r="J5" i="2"/>
  <c r="N5" i="2"/>
  <c r="K76" i="9"/>
  <c r="K146" i="9"/>
  <c r="K6" i="9"/>
  <c r="M6" i="9" s="1" a="1"/>
  <c r="M6" i="9" s="1"/>
  <c r="V6" i="2"/>
  <c r="O6" i="9" s="1"/>
  <c r="D4" i="9"/>
  <c r="L5" i="2"/>
  <c r="O142" i="4"/>
  <c r="G142" i="4"/>
  <c r="A144" i="4"/>
  <c r="V142" i="4"/>
  <c r="AM142" i="5" s="1"/>
  <c r="M142" i="4"/>
  <c r="E142" i="4"/>
  <c r="S142" i="4"/>
  <c r="K142" i="4"/>
  <c r="C142" i="4"/>
  <c r="Q142" i="4"/>
  <c r="I142" i="4"/>
  <c r="D142" i="4"/>
  <c r="R142" i="4"/>
  <c r="B142" i="4"/>
  <c r="P142" i="4"/>
  <c r="H142" i="4"/>
  <c r="N142" i="4"/>
  <c r="L142" i="4"/>
  <c r="J142" i="4"/>
  <c r="W142" i="4"/>
  <c r="AN142" i="5" s="1"/>
  <c r="F142" i="4"/>
  <c r="A20" i="5" a="1"/>
  <c r="A20" i="5" s="1"/>
  <c r="AL18" i="5"/>
  <c r="A21" i="5" a="1"/>
  <c r="A21" i="5" s="1"/>
  <c r="AL19" i="5"/>
  <c r="P19" i="4"/>
  <c r="AD19" i="5" s="1"/>
  <c r="H19" i="4"/>
  <c r="N19" i="5" s="1"/>
  <c r="O19" i="4"/>
  <c r="AB19" i="5" s="1"/>
  <c r="G19" i="4"/>
  <c r="L19" i="5" s="1"/>
  <c r="W19" i="4"/>
  <c r="AN19" i="5" s="1"/>
  <c r="N19" i="4"/>
  <c r="Z19" i="5" s="1"/>
  <c r="V19" i="4"/>
  <c r="AM19" i="5" s="1"/>
  <c r="M19" i="4"/>
  <c r="X19" i="5" s="1"/>
  <c r="Q19" i="4"/>
  <c r="AF19" i="5" s="1"/>
  <c r="I19" i="4"/>
  <c r="P19" i="5" s="1"/>
  <c r="A21" i="4" a="1"/>
  <c r="A21" i="4" s="1"/>
  <c r="F19" i="4"/>
  <c r="J19" i="5" s="1"/>
  <c r="E19" i="4"/>
  <c r="H19" i="5" s="1"/>
  <c r="S19" i="4"/>
  <c r="AJ19" i="5" s="1"/>
  <c r="K19" i="4"/>
  <c r="T19" i="5" s="1"/>
  <c r="C19" i="4"/>
  <c r="D19" i="5" s="1"/>
  <c r="J19" i="4"/>
  <c r="R19" i="5" s="1"/>
  <c r="L19" i="4"/>
  <c r="V19" i="5" s="1"/>
  <c r="D19" i="4"/>
  <c r="F19" i="5" s="1"/>
  <c r="R19" i="4"/>
  <c r="AH19" i="5" s="1"/>
  <c r="B19" i="4"/>
  <c r="H33" i="10"/>
  <c r="AK3" i="5"/>
  <c r="AJ4" i="5"/>
  <c r="AI3" i="5"/>
  <c r="O145" i="9"/>
  <c r="O75" i="9"/>
  <c r="I5" i="9" a="1"/>
  <c r="I5" i="9" s="1"/>
  <c r="E5" i="9" s="1"/>
  <c r="A20" i="4" a="1"/>
  <c r="A20" i="4" s="1"/>
  <c r="O18" i="4"/>
  <c r="AB18" i="5" s="1"/>
  <c r="G18" i="4"/>
  <c r="L18" i="5" s="1"/>
  <c r="W18" i="4"/>
  <c r="AN18" i="5" s="1"/>
  <c r="N18" i="4"/>
  <c r="Z18" i="5" s="1"/>
  <c r="F18" i="4"/>
  <c r="J18" i="5" s="1"/>
  <c r="V18" i="4"/>
  <c r="AM18" i="5" s="1"/>
  <c r="M18" i="4"/>
  <c r="X18" i="5" s="1"/>
  <c r="E18" i="4"/>
  <c r="H18" i="5" s="1"/>
  <c r="Q18" i="4"/>
  <c r="AF18" i="5" s="1"/>
  <c r="L18" i="4"/>
  <c r="V18" i="5" s="1"/>
  <c r="D18" i="4"/>
  <c r="F18" i="5" s="1"/>
  <c r="R18" i="4"/>
  <c r="AH18" i="5" s="1"/>
  <c r="J18" i="4"/>
  <c r="R18" i="5" s="1"/>
  <c r="B18" i="4"/>
  <c r="B18" i="5" s="1"/>
  <c r="I18" i="4"/>
  <c r="P18" i="5" s="1"/>
  <c r="S18" i="4"/>
  <c r="AJ18" i="5" s="1"/>
  <c r="K18" i="4"/>
  <c r="T18" i="5" s="1"/>
  <c r="C18" i="4"/>
  <c r="D18" i="5" s="1"/>
  <c r="P18" i="4"/>
  <c r="AD18" i="5" s="1"/>
  <c r="H18" i="4"/>
  <c r="N18" i="5" s="1"/>
  <c r="I10" i="2"/>
  <c r="L149" i="9"/>
  <c r="L79" i="9"/>
  <c r="L9" i="9"/>
  <c r="F3" i="9"/>
  <c r="G3" i="9" s="1"/>
  <c r="J3" i="9"/>
  <c r="N3" i="9"/>
  <c r="Q3" i="9" s="1"/>
  <c r="P3" i="9" s="1"/>
  <c r="D5" i="9" a="1"/>
  <c r="K6" i="2" a="1"/>
  <c r="J6" i="2" a="1"/>
  <c r="N6" i="2" a="1"/>
  <c r="Q7" i="2"/>
  <c r="O6" i="2" a="1"/>
  <c r="M6" i="2" a="1"/>
  <c r="T7" i="2"/>
  <c r="P7" i="2"/>
  <c r="S7" i="2"/>
  <c r="U7" i="2"/>
  <c r="R7" i="2"/>
  <c r="L6" i="2" a="1"/>
  <c r="O6" i="2" l="1"/>
  <c r="J6" i="2"/>
  <c r="D5" i="9"/>
  <c r="L6" i="2"/>
  <c r="K147" i="9"/>
  <c r="K77" i="9"/>
  <c r="K7" i="9"/>
  <c r="V7" i="2"/>
  <c r="O7" i="9" s="1"/>
  <c r="M6" i="2"/>
  <c r="N6" i="2"/>
  <c r="K6" i="2"/>
  <c r="F4" i="9"/>
  <c r="G4" i="9" s="1"/>
  <c r="N4" i="9"/>
  <c r="Q4" i="9" s="1"/>
  <c r="P4" i="9" s="1"/>
  <c r="J4" i="9"/>
  <c r="A41" i="10"/>
  <c r="S144" i="4"/>
  <c r="K144" i="4"/>
  <c r="C144" i="4"/>
  <c r="Q144" i="4"/>
  <c r="I144" i="4"/>
  <c r="O144" i="4"/>
  <c r="G144" i="4"/>
  <c r="V144" i="4"/>
  <c r="M144" i="4"/>
  <c r="E144" i="4"/>
  <c r="L144" i="4"/>
  <c r="J144" i="4"/>
  <c r="H144" i="4"/>
  <c r="W144" i="4"/>
  <c r="AN144" i="5" s="1"/>
  <c r="F144" i="4"/>
  <c r="D144" i="4"/>
  <c r="P144" i="4"/>
  <c r="R144" i="4"/>
  <c r="B144" i="4"/>
  <c r="N144" i="4"/>
  <c r="O146" i="9"/>
  <c r="O76" i="9"/>
  <c r="I6" i="9" a="1"/>
  <c r="I6" i="9" s="1"/>
  <c r="E6" i="9" s="1"/>
  <c r="R21" i="4"/>
  <c r="AH21" i="5" s="1"/>
  <c r="J21" i="4"/>
  <c r="R21" i="5" s="1"/>
  <c r="B21" i="4"/>
  <c r="Q21" i="4"/>
  <c r="I21" i="4"/>
  <c r="P21" i="4"/>
  <c r="H21" i="4"/>
  <c r="N21" i="5" s="1"/>
  <c r="O21" i="4"/>
  <c r="G21" i="4"/>
  <c r="S21" i="4"/>
  <c r="AJ21" i="5" s="1"/>
  <c r="K21" i="4"/>
  <c r="C21" i="4"/>
  <c r="A23" i="4" a="1"/>
  <c r="A23" i="4" s="1"/>
  <c r="M21" i="4"/>
  <c r="D21" i="4"/>
  <c r="F21" i="5" s="1"/>
  <c r="V21" i="4"/>
  <c r="AM21" i="5" s="1"/>
  <c r="E21" i="4"/>
  <c r="H21" i="5" s="1"/>
  <c r="W21" i="4"/>
  <c r="AN21" i="5" s="1"/>
  <c r="N21" i="4"/>
  <c r="F21" i="4"/>
  <c r="L21" i="4"/>
  <c r="A22" i="5" a="1"/>
  <c r="A22" i="5" s="1"/>
  <c r="AL20" i="5"/>
  <c r="Q20" i="4"/>
  <c r="AF20" i="5" s="1"/>
  <c r="I20" i="4"/>
  <c r="P20" i="5" s="1"/>
  <c r="P20" i="4"/>
  <c r="AD20" i="5" s="1"/>
  <c r="H20" i="4"/>
  <c r="N20" i="5" s="1"/>
  <c r="O20" i="4"/>
  <c r="AB20" i="5" s="1"/>
  <c r="G20" i="4"/>
  <c r="L20" i="5" s="1"/>
  <c r="W20" i="4"/>
  <c r="AN20" i="5" s="1"/>
  <c r="N20" i="4"/>
  <c r="Z20" i="5" s="1"/>
  <c r="F20" i="4"/>
  <c r="J20" i="5" s="1"/>
  <c r="C20" i="4"/>
  <c r="D20" i="5" s="1"/>
  <c r="R20" i="4"/>
  <c r="AH20" i="5" s="1"/>
  <c r="B20" i="4"/>
  <c r="A22" i="4" a="1"/>
  <c r="A22" i="4" s="1"/>
  <c r="L20" i="4"/>
  <c r="V20" i="5" s="1"/>
  <c r="D20" i="4"/>
  <c r="F20" i="5" s="1"/>
  <c r="V20" i="4"/>
  <c r="AM20" i="5" s="1"/>
  <c r="M20" i="4"/>
  <c r="X20" i="5" s="1"/>
  <c r="E20" i="4"/>
  <c r="H20" i="5" s="1"/>
  <c r="S20" i="4"/>
  <c r="AJ20" i="5" s="1"/>
  <c r="K20" i="4"/>
  <c r="T20" i="5" s="1"/>
  <c r="J20" i="4"/>
  <c r="R20" i="5" s="1"/>
  <c r="B19" i="5"/>
  <c r="T21" i="5"/>
  <c r="D21" i="5"/>
  <c r="B21" i="5"/>
  <c r="AF21" i="5"/>
  <c r="P21" i="5"/>
  <c r="AD21" i="5"/>
  <c r="A23" i="5" a="1"/>
  <c r="A23" i="5" s="1"/>
  <c r="AB21" i="5"/>
  <c r="L21" i="5"/>
  <c r="Z21" i="5"/>
  <c r="J21" i="5"/>
  <c r="AL21" i="5"/>
  <c r="V21" i="5"/>
  <c r="X21" i="5"/>
  <c r="L10" i="9"/>
  <c r="I11" i="2"/>
  <c r="L150" i="9"/>
  <c r="L80" i="9"/>
  <c r="M7" i="9" a="1"/>
  <c r="D6" i="9" a="1"/>
  <c r="N7" i="2" a="1"/>
  <c r="P8" i="2"/>
  <c r="R8" i="2"/>
  <c r="U8" i="2"/>
  <c r="T8" i="2"/>
  <c r="Q8" i="2"/>
  <c r="K7" i="2" a="1"/>
  <c r="O7" i="2" a="1"/>
  <c r="S8" i="2"/>
  <c r="L7" i="2" a="1"/>
  <c r="J7" i="2" a="1"/>
  <c r="M7" i="2" a="1"/>
  <c r="K148" i="9" l="1"/>
  <c r="K78" i="9"/>
  <c r="K8" i="9"/>
  <c r="V8" i="2"/>
  <c r="O8" i="9" s="1"/>
  <c r="D6" i="9"/>
  <c r="J7" i="2"/>
  <c r="M7" i="9"/>
  <c r="K7" i="2"/>
  <c r="N7" i="2"/>
  <c r="M7" i="2"/>
  <c r="L7" i="2"/>
  <c r="O7" i="2"/>
  <c r="H41" i="10"/>
  <c r="AL22" i="5"/>
  <c r="A24" i="5" a="1"/>
  <c r="A24" i="5" s="1"/>
  <c r="L23" i="4"/>
  <c r="V23" i="5" s="1"/>
  <c r="D23" i="4"/>
  <c r="S23" i="4"/>
  <c r="K23" i="4"/>
  <c r="T23" i="5" s="1"/>
  <c r="C23" i="4"/>
  <c r="D23" i="5" s="1"/>
  <c r="R23" i="4"/>
  <c r="B23" i="4"/>
  <c r="F23" i="4"/>
  <c r="J23" i="5" s="1"/>
  <c r="V23" i="4"/>
  <c r="AM23" i="5" s="1"/>
  <c r="E23" i="4"/>
  <c r="J23" i="4"/>
  <c r="Q23" i="4"/>
  <c r="AF23" i="5" s="1"/>
  <c r="N23" i="4"/>
  <c r="Z23" i="5" s="1"/>
  <c r="I23" i="4"/>
  <c r="O23" i="4"/>
  <c r="G23" i="4"/>
  <c r="P23" i="4"/>
  <c r="AD23" i="5" s="1"/>
  <c r="H23" i="4"/>
  <c r="A25" i="4" a="1"/>
  <c r="A25" i="4" s="1"/>
  <c r="W23" i="4"/>
  <c r="AN23" i="5" s="1"/>
  <c r="M23" i="4"/>
  <c r="X23" i="5" s="1"/>
  <c r="N5" i="9"/>
  <c r="Q5" i="9" s="1"/>
  <c r="P5" i="9" s="1"/>
  <c r="J5" i="9"/>
  <c r="F5" i="9"/>
  <c r="G5" i="9" s="1"/>
  <c r="S22" i="4"/>
  <c r="AJ22" i="5" s="1"/>
  <c r="K22" i="4"/>
  <c r="T22" i="5" s="1"/>
  <c r="C22" i="4"/>
  <c r="D22" i="5" s="1"/>
  <c r="R22" i="4"/>
  <c r="AH22" i="5" s="1"/>
  <c r="J22" i="4"/>
  <c r="R22" i="5" s="1"/>
  <c r="B22" i="4"/>
  <c r="B22" i="5" s="1"/>
  <c r="I22" i="4"/>
  <c r="P22" i="5" s="1"/>
  <c r="P22" i="4"/>
  <c r="AD22" i="5" s="1"/>
  <c r="H22" i="4"/>
  <c r="N22" i="5" s="1"/>
  <c r="L22" i="4"/>
  <c r="V22" i="5" s="1"/>
  <c r="D22" i="4"/>
  <c r="F22" i="5" s="1"/>
  <c r="Q22" i="4"/>
  <c r="AF22" i="5" s="1"/>
  <c r="M22" i="4"/>
  <c r="X22" i="5" s="1"/>
  <c r="W22" i="4"/>
  <c r="AN22" i="5" s="1"/>
  <c r="N22" i="4"/>
  <c r="Z22" i="5" s="1"/>
  <c r="F22" i="4"/>
  <c r="J22" i="5" s="1"/>
  <c r="A24" i="4" a="1"/>
  <c r="A24" i="4" s="1"/>
  <c r="O22" i="4"/>
  <c r="AB22" i="5" s="1"/>
  <c r="G22" i="4"/>
  <c r="L22" i="5" s="1"/>
  <c r="V22" i="4"/>
  <c r="AM22" i="5" s="1"/>
  <c r="E22" i="4"/>
  <c r="H22" i="5" s="1"/>
  <c r="O147" i="9"/>
  <c r="O77" i="9"/>
  <c r="I7" i="9" a="1"/>
  <c r="I7" i="9" s="1"/>
  <c r="AM144" i="5"/>
  <c r="L11" i="9"/>
  <c r="I12" i="2"/>
  <c r="L151" i="9"/>
  <c r="L81" i="9"/>
  <c r="H23" i="5"/>
  <c r="AL23" i="5"/>
  <c r="F23" i="5"/>
  <c r="AJ23" i="5"/>
  <c r="AH23" i="5"/>
  <c r="R23" i="5"/>
  <c r="B23" i="5"/>
  <c r="P23" i="5"/>
  <c r="N23" i="5"/>
  <c r="L23" i="5"/>
  <c r="A25" i="5" a="1"/>
  <c r="A25" i="5" s="1"/>
  <c r="AB23" i="5"/>
  <c r="B20" i="5"/>
  <c r="D7" i="9" a="1"/>
  <c r="M8" i="9" a="1"/>
  <c r="K8" i="2" a="1"/>
  <c r="O8" i="2" a="1"/>
  <c r="M8" i="2" a="1"/>
  <c r="L8" i="2" a="1"/>
  <c r="Q9" i="2"/>
  <c r="R9" i="2"/>
  <c r="U9" i="2"/>
  <c r="P9" i="2"/>
  <c r="S9" i="2"/>
  <c r="J8" i="2" a="1"/>
  <c r="N8" i="2" a="1"/>
  <c r="T9" i="2"/>
  <c r="J8" i="2" l="1"/>
  <c r="M8" i="9"/>
  <c r="K9" i="9"/>
  <c r="M9" i="9" s="1" a="1"/>
  <c r="M9" i="9" s="1"/>
  <c r="V9" i="2"/>
  <c r="O9" i="9" s="1"/>
  <c r="K149" i="9"/>
  <c r="K79" i="9"/>
  <c r="O8" i="2"/>
  <c r="K8" i="2"/>
  <c r="N8" i="2"/>
  <c r="M8" i="2"/>
  <c r="L8" i="2"/>
  <c r="D7" i="9"/>
  <c r="F6" i="9"/>
  <c r="G6" i="9" s="1"/>
  <c r="N6" i="9"/>
  <c r="Q6" i="9" s="1"/>
  <c r="P6" i="9" s="1"/>
  <c r="J6" i="9"/>
  <c r="W25" i="4"/>
  <c r="AN25" i="5" s="1"/>
  <c r="N25" i="4"/>
  <c r="Z25" i="5" s="1"/>
  <c r="F25" i="4"/>
  <c r="J25" i="5" s="1"/>
  <c r="L25" i="4"/>
  <c r="V25" i="5" s="1"/>
  <c r="V25" i="4"/>
  <c r="AM25" i="5" s="1"/>
  <c r="M25" i="4"/>
  <c r="E25" i="4"/>
  <c r="H25" i="5" s="1"/>
  <c r="D25" i="4"/>
  <c r="F25" i="5" s="1"/>
  <c r="S25" i="4"/>
  <c r="AJ25" i="5" s="1"/>
  <c r="K25" i="4"/>
  <c r="T25" i="5" s="1"/>
  <c r="C25" i="4"/>
  <c r="P25" i="4"/>
  <c r="AD25" i="5" s="1"/>
  <c r="Q25" i="4"/>
  <c r="AF25" i="5" s="1"/>
  <c r="R25" i="4"/>
  <c r="J25" i="4"/>
  <c r="R25" i="5" s="1"/>
  <c r="B25" i="4"/>
  <c r="I25" i="4"/>
  <c r="P25" i="5" s="1"/>
  <c r="H25" i="4"/>
  <c r="N25" i="5" s="1"/>
  <c r="O25" i="4"/>
  <c r="G25" i="4"/>
  <c r="L25" i="5" s="1"/>
  <c r="A27" i="4" a="1"/>
  <c r="A27" i="4" s="1"/>
  <c r="P1" i="10"/>
  <c r="O148" i="9"/>
  <c r="O78" i="9"/>
  <c r="I8" i="9" a="1"/>
  <c r="I8" i="9" s="1"/>
  <c r="A27" i="5" a="1"/>
  <c r="A27" i="5" s="1"/>
  <c r="AB25" i="5"/>
  <c r="X25" i="5"/>
  <c r="AL25" i="5"/>
  <c r="D25" i="5"/>
  <c r="AH25" i="5"/>
  <c r="AL24" i="5"/>
  <c r="A26" i="5" a="1"/>
  <c r="A26" i="5" s="1"/>
  <c r="I13" i="2"/>
  <c r="L12" i="9"/>
  <c r="L152" i="9"/>
  <c r="L82" i="9"/>
  <c r="V24" i="4"/>
  <c r="M24" i="4"/>
  <c r="X24" i="5" s="1"/>
  <c r="E24" i="4"/>
  <c r="H24" i="5" s="1"/>
  <c r="L24" i="4"/>
  <c r="V24" i="5" s="1"/>
  <c r="D24" i="4"/>
  <c r="F24" i="5" s="1"/>
  <c r="S24" i="4"/>
  <c r="AJ24" i="5" s="1"/>
  <c r="K24" i="4"/>
  <c r="T24" i="5" s="1"/>
  <c r="J24" i="4"/>
  <c r="R24" i="5" s="1"/>
  <c r="W24" i="4"/>
  <c r="AN24" i="5" s="1"/>
  <c r="C24" i="4"/>
  <c r="D24" i="5" s="1"/>
  <c r="R24" i="4"/>
  <c r="AH24" i="5" s="1"/>
  <c r="B24" i="4"/>
  <c r="B24" i="5" s="1"/>
  <c r="O24" i="4"/>
  <c r="AB24" i="5" s="1"/>
  <c r="G24" i="4"/>
  <c r="L24" i="5" s="1"/>
  <c r="P24" i="4"/>
  <c r="AD24" i="5" s="1"/>
  <c r="H24" i="4"/>
  <c r="N24" i="5" s="1"/>
  <c r="A26" i="4" a="1"/>
  <c r="A26" i="4" s="1"/>
  <c r="Q24" i="4"/>
  <c r="AF24" i="5" s="1"/>
  <c r="I24" i="4"/>
  <c r="P24" i="5" s="1"/>
  <c r="N24" i="4"/>
  <c r="Z24" i="5" s="1"/>
  <c r="F24" i="4"/>
  <c r="J24" i="5" s="1"/>
  <c r="D8" i="9" a="1"/>
  <c r="M9" i="2" a="1"/>
  <c r="L9" i="2" a="1"/>
  <c r="K9" i="2" a="1"/>
  <c r="O9" i="2" a="1"/>
  <c r="T10" i="2"/>
  <c r="P10" i="2"/>
  <c r="U10" i="2"/>
  <c r="R10" i="2"/>
  <c r="S10" i="2"/>
  <c r="N9" i="2" a="1"/>
  <c r="Q10" i="2"/>
  <c r="J9" i="2" a="1"/>
  <c r="O9" i="2" l="1"/>
  <c r="L9" i="2"/>
  <c r="M9" i="2"/>
  <c r="N9" i="2"/>
  <c r="J9" i="2"/>
  <c r="K150" i="9"/>
  <c r="K10" i="9"/>
  <c r="V10" i="2"/>
  <c r="O10" i="9" s="1"/>
  <c r="K80" i="9"/>
  <c r="K9" i="2"/>
  <c r="D8" i="9"/>
  <c r="A28" i="4" a="1"/>
  <c r="A28" i="4" s="1"/>
  <c r="O26" i="4"/>
  <c r="G26" i="4"/>
  <c r="V26" i="4"/>
  <c r="AM26" i="5" s="1"/>
  <c r="E26" i="4"/>
  <c r="H26" i="5" s="1"/>
  <c r="H26" i="4"/>
  <c r="W26" i="4"/>
  <c r="AN26" i="5" s="1"/>
  <c r="N26" i="4"/>
  <c r="F26" i="4"/>
  <c r="L26" i="4"/>
  <c r="V26" i="5" s="1"/>
  <c r="D26" i="4"/>
  <c r="M26" i="4"/>
  <c r="X26" i="5" s="1"/>
  <c r="Q26" i="4"/>
  <c r="AF26" i="5" s="1"/>
  <c r="I26" i="4"/>
  <c r="S26" i="4"/>
  <c r="K26" i="4"/>
  <c r="C26" i="4"/>
  <c r="R26" i="4"/>
  <c r="J26" i="4"/>
  <c r="B26" i="4"/>
  <c r="P26" i="4"/>
  <c r="AD26" i="5" s="1"/>
  <c r="AM24" i="5"/>
  <c r="P27" i="4"/>
  <c r="AD27" i="5" s="1"/>
  <c r="H27" i="4"/>
  <c r="A29" i="4" a="1"/>
  <c r="A29" i="4" s="1"/>
  <c r="N27" i="4"/>
  <c r="Z27" i="5" s="1"/>
  <c r="F27" i="4"/>
  <c r="V27" i="4"/>
  <c r="AM27" i="5" s="1"/>
  <c r="M27" i="4"/>
  <c r="X27" i="5" s="1"/>
  <c r="E27" i="4"/>
  <c r="O27" i="4"/>
  <c r="AB27" i="5" s="1"/>
  <c r="G27" i="4"/>
  <c r="W27" i="4"/>
  <c r="AN27" i="5" s="1"/>
  <c r="R27" i="4"/>
  <c r="AH27" i="5" s="1"/>
  <c r="J27" i="4"/>
  <c r="B27" i="4"/>
  <c r="B27" i="5" s="1"/>
  <c r="L27" i="4"/>
  <c r="V27" i="5" s="1"/>
  <c r="D27" i="4"/>
  <c r="S27" i="4"/>
  <c r="AJ27" i="5" s="1"/>
  <c r="K27" i="4"/>
  <c r="C27" i="4"/>
  <c r="D27" i="5" s="1"/>
  <c r="I27" i="4"/>
  <c r="P27" i="5" s="1"/>
  <c r="Q27" i="4"/>
  <c r="AF27" i="5" s="1"/>
  <c r="O79" i="9"/>
  <c r="O149" i="9"/>
  <c r="I9" i="9" a="1"/>
  <c r="I9" i="9" s="1"/>
  <c r="E9" i="9" s="1"/>
  <c r="W1" i="10"/>
  <c r="N27" i="5"/>
  <c r="A29" i="5" a="1"/>
  <c r="A29" i="5" s="1"/>
  <c r="L27" i="5"/>
  <c r="J27" i="5"/>
  <c r="H27" i="5"/>
  <c r="AL27" i="5"/>
  <c r="F27" i="5"/>
  <c r="R27" i="5"/>
  <c r="T27" i="5"/>
  <c r="B25" i="5"/>
  <c r="F7" i="9"/>
  <c r="G7" i="9" s="1"/>
  <c r="J7" i="9"/>
  <c r="N7" i="9"/>
  <c r="Q7" i="9" s="1"/>
  <c r="P7" i="9" s="1"/>
  <c r="L13" i="9"/>
  <c r="I14" i="2"/>
  <c r="L83" i="9"/>
  <c r="L153" i="9"/>
  <c r="N26" i="5"/>
  <c r="A28" i="5" a="1"/>
  <c r="A28" i="5" s="1"/>
  <c r="AB26" i="5"/>
  <c r="L26" i="5"/>
  <c r="Z26" i="5"/>
  <c r="J26" i="5"/>
  <c r="AL26" i="5"/>
  <c r="F26" i="5"/>
  <c r="AJ26" i="5"/>
  <c r="T26" i="5"/>
  <c r="D26" i="5"/>
  <c r="P26" i="5"/>
  <c r="AH26" i="5"/>
  <c r="R26" i="5"/>
  <c r="M10" i="9" a="1"/>
  <c r="D9" i="9" a="1"/>
  <c r="Q11" i="2"/>
  <c r="M10" i="2" a="1"/>
  <c r="R11" i="2"/>
  <c r="O10" i="2" a="1"/>
  <c r="P11" i="2"/>
  <c r="L10" i="2" a="1"/>
  <c r="U11" i="2"/>
  <c r="N10" i="2" a="1"/>
  <c r="S11" i="2"/>
  <c r="T11" i="2"/>
  <c r="J10" i="2" a="1"/>
  <c r="K10" i="2" a="1"/>
  <c r="K10" i="2" l="1"/>
  <c r="K11" i="9"/>
  <c r="V11" i="2"/>
  <c r="O11" i="9" s="1"/>
  <c r="K151" i="9"/>
  <c r="K81" i="9"/>
  <c r="D9" i="9"/>
  <c r="J10" i="2"/>
  <c r="M10" i="9"/>
  <c r="N10" i="2"/>
  <c r="L10" i="2"/>
  <c r="O10" i="2"/>
  <c r="M10" i="2"/>
  <c r="I15" i="2"/>
  <c r="L14" i="9"/>
  <c r="L154" i="9"/>
  <c r="L84" i="9"/>
  <c r="P9" i="10"/>
  <c r="O150" i="9"/>
  <c r="O80" i="9"/>
  <c r="I10" i="9" a="1"/>
  <c r="I10" i="9" s="1"/>
  <c r="B26" i="5"/>
  <c r="A30" i="5" a="1"/>
  <c r="A30" i="5" s="1"/>
  <c r="AL28" i="5"/>
  <c r="A31" i="5" a="1"/>
  <c r="A31" i="5" s="1"/>
  <c r="AL29" i="5"/>
  <c r="R29" i="4"/>
  <c r="AH29" i="5" s="1"/>
  <c r="J29" i="4"/>
  <c r="R29" i="5" s="1"/>
  <c r="B29" i="4"/>
  <c r="P29" i="4"/>
  <c r="AD29" i="5" s="1"/>
  <c r="H29" i="4"/>
  <c r="N29" i="5" s="1"/>
  <c r="A31" i="4" a="1"/>
  <c r="A31" i="4" s="1"/>
  <c r="O29" i="4"/>
  <c r="AB29" i="5" s="1"/>
  <c r="G29" i="4"/>
  <c r="L29" i="5" s="1"/>
  <c r="Q29" i="4"/>
  <c r="AF29" i="5" s="1"/>
  <c r="I29" i="4"/>
  <c r="P29" i="5" s="1"/>
  <c r="L29" i="4"/>
  <c r="V29" i="5" s="1"/>
  <c r="D29" i="4"/>
  <c r="F29" i="5" s="1"/>
  <c r="W29" i="4"/>
  <c r="AN29" i="5" s="1"/>
  <c r="N29" i="4"/>
  <c r="Z29" i="5" s="1"/>
  <c r="F29" i="4"/>
  <c r="J29" i="5" s="1"/>
  <c r="V29" i="4"/>
  <c r="AM29" i="5" s="1"/>
  <c r="M29" i="4"/>
  <c r="X29" i="5" s="1"/>
  <c r="E29" i="4"/>
  <c r="H29" i="5" s="1"/>
  <c r="S29" i="4"/>
  <c r="AJ29" i="5" s="1"/>
  <c r="K29" i="4"/>
  <c r="T29" i="5" s="1"/>
  <c r="C29" i="4"/>
  <c r="D29" i="5" s="1"/>
  <c r="Q28" i="4"/>
  <c r="AF28" i="5" s="1"/>
  <c r="I28" i="4"/>
  <c r="P28" i="5" s="1"/>
  <c r="O28" i="4"/>
  <c r="AB28" i="5" s="1"/>
  <c r="G28" i="4"/>
  <c r="L28" i="5" s="1"/>
  <c r="W28" i="4"/>
  <c r="AN28" i="5" s="1"/>
  <c r="N28" i="4"/>
  <c r="Z28" i="5" s="1"/>
  <c r="F28" i="4"/>
  <c r="J28" i="5" s="1"/>
  <c r="B28" i="4"/>
  <c r="P28" i="4"/>
  <c r="AD28" i="5" s="1"/>
  <c r="H28" i="4"/>
  <c r="N28" i="5" s="1"/>
  <c r="A30" i="4" a="1"/>
  <c r="A30" i="4" s="1"/>
  <c r="C28" i="4"/>
  <c r="D28" i="5" s="1"/>
  <c r="K28" i="4"/>
  <c r="T28" i="5" s="1"/>
  <c r="V28" i="4"/>
  <c r="M28" i="4"/>
  <c r="X28" i="5" s="1"/>
  <c r="E28" i="4"/>
  <c r="H28" i="5" s="1"/>
  <c r="L28" i="4"/>
  <c r="V28" i="5" s="1"/>
  <c r="D28" i="4"/>
  <c r="F28" i="5" s="1"/>
  <c r="S28" i="4"/>
  <c r="AJ28" i="5" s="1"/>
  <c r="J28" i="4"/>
  <c r="R28" i="5" s="1"/>
  <c r="R28" i="4"/>
  <c r="AH28" i="5" s="1"/>
  <c r="F8" i="9"/>
  <c r="G8" i="9" s="1"/>
  <c r="J8" i="9"/>
  <c r="N8" i="9"/>
  <c r="Q8" i="9" s="1"/>
  <c r="P8" i="9" s="1"/>
  <c r="M11" i="9" a="1"/>
  <c r="D10" i="9" a="1"/>
  <c r="K11" i="2" a="1"/>
  <c r="O11" i="2" a="1"/>
  <c r="J11" i="2" a="1"/>
  <c r="P12" i="2"/>
  <c r="Q12" i="2"/>
  <c r="R12" i="2"/>
  <c r="S12" i="2"/>
  <c r="U12" i="2"/>
  <c r="L11" i="2" a="1"/>
  <c r="T12" i="2"/>
  <c r="N11" i="2" a="1"/>
  <c r="M11" i="2" a="1"/>
  <c r="J11" i="2" l="1"/>
  <c r="K12" i="9"/>
  <c r="M12" i="9" s="1" a="1"/>
  <c r="M12" i="9" s="1"/>
  <c r="V12" i="2"/>
  <c r="O12" i="9" s="1"/>
  <c r="K152" i="9"/>
  <c r="K82" i="9"/>
  <c r="D10" i="9"/>
  <c r="M11" i="9"/>
  <c r="O11" i="2"/>
  <c r="K11" i="2"/>
  <c r="M11" i="2"/>
  <c r="N11" i="2"/>
  <c r="L11" i="2"/>
  <c r="O151" i="9"/>
  <c r="O81" i="9"/>
  <c r="I11" i="9" a="1"/>
  <c r="I11" i="9" s="1"/>
  <c r="L15" i="9"/>
  <c r="L85" i="9"/>
  <c r="I16" i="2"/>
  <c r="L155" i="9"/>
  <c r="L31" i="4"/>
  <c r="V31" i="5" s="1"/>
  <c r="D31" i="4"/>
  <c r="R31" i="4"/>
  <c r="B31" i="4"/>
  <c r="Q31" i="4"/>
  <c r="AF31" i="5" s="1"/>
  <c r="I31" i="4"/>
  <c r="V31" i="4"/>
  <c r="AM31" i="5" s="1"/>
  <c r="M31" i="4"/>
  <c r="X31" i="5" s="1"/>
  <c r="E31" i="4"/>
  <c r="S31" i="4"/>
  <c r="K31" i="4"/>
  <c r="C31" i="4"/>
  <c r="J31" i="4"/>
  <c r="R31" i="5" s="1"/>
  <c r="A33" i="4" a="1"/>
  <c r="A33" i="4" s="1"/>
  <c r="P31" i="4"/>
  <c r="H31" i="4"/>
  <c r="N31" i="5" s="1"/>
  <c r="O31" i="4"/>
  <c r="G31" i="4"/>
  <c r="W31" i="4"/>
  <c r="AN31" i="5" s="1"/>
  <c r="N31" i="4"/>
  <c r="F31" i="4"/>
  <c r="J31" i="5" s="1"/>
  <c r="B29" i="5"/>
  <c r="B28" i="5"/>
  <c r="F9" i="9"/>
  <c r="G9" i="9" s="1"/>
  <c r="J9" i="9"/>
  <c r="N9" i="9"/>
  <c r="Q9" i="9" s="1"/>
  <c r="P9" i="9" s="1"/>
  <c r="S30" i="4"/>
  <c r="K30" i="4"/>
  <c r="C30" i="4"/>
  <c r="D30" i="5" s="1"/>
  <c r="J30" i="4"/>
  <c r="R30" i="5" s="1"/>
  <c r="I30" i="4"/>
  <c r="P30" i="5" s="1"/>
  <c r="P30" i="4"/>
  <c r="AD30" i="5" s="1"/>
  <c r="H30" i="4"/>
  <c r="R30" i="4"/>
  <c r="AH30" i="5" s="1"/>
  <c r="B30" i="4"/>
  <c r="Q30" i="4"/>
  <c r="F30" i="4"/>
  <c r="J30" i="5" s="1"/>
  <c r="M30" i="4"/>
  <c r="X30" i="5" s="1"/>
  <c r="A32" i="4" a="1"/>
  <c r="A32" i="4" s="1"/>
  <c r="O30" i="4"/>
  <c r="AB30" i="5" s="1"/>
  <c r="G30" i="4"/>
  <c r="W30" i="4"/>
  <c r="AN30" i="5" s="1"/>
  <c r="N30" i="4"/>
  <c r="L30" i="4"/>
  <c r="D30" i="4"/>
  <c r="F30" i="5" s="1"/>
  <c r="V30" i="4"/>
  <c r="AM30" i="5" s="1"/>
  <c r="E30" i="4"/>
  <c r="H30" i="5" s="1"/>
  <c r="W9" i="10"/>
  <c r="AM28" i="5"/>
  <c r="H31" i="5"/>
  <c r="AL31" i="5"/>
  <c r="F31" i="5"/>
  <c r="AJ31" i="5"/>
  <c r="T31" i="5"/>
  <c r="D31" i="5"/>
  <c r="AH31" i="5"/>
  <c r="B31" i="5"/>
  <c r="P31" i="5"/>
  <c r="AD31" i="5"/>
  <c r="Z31" i="5"/>
  <c r="AB31" i="5"/>
  <c r="L31" i="5"/>
  <c r="A33" i="5" a="1"/>
  <c r="A33" i="5" s="1"/>
  <c r="AL30" i="5"/>
  <c r="V30" i="5"/>
  <c r="AJ30" i="5"/>
  <c r="T30" i="5"/>
  <c r="B30" i="5"/>
  <c r="AF30" i="5"/>
  <c r="N30" i="5"/>
  <c r="A32" i="5" a="1"/>
  <c r="A32" i="5" s="1"/>
  <c r="L30" i="5"/>
  <c r="Z30" i="5"/>
  <c r="D11" i="9" a="1"/>
  <c r="T13" i="2"/>
  <c r="K12" i="2" a="1"/>
  <c r="S13" i="2"/>
  <c r="J12" i="2" a="1"/>
  <c r="M12" i="2" a="1"/>
  <c r="Q13" i="2"/>
  <c r="U13" i="2"/>
  <c r="O12" i="2" a="1"/>
  <c r="R13" i="2"/>
  <c r="L12" i="2" a="1"/>
  <c r="N12" i="2" a="1"/>
  <c r="P13" i="2"/>
  <c r="K12" i="2" l="1"/>
  <c r="L12" i="2"/>
  <c r="K13" i="9"/>
  <c r="V13" i="2"/>
  <c r="O13" i="9" s="1"/>
  <c r="K153" i="9"/>
  <c r="K83" i="9"/>
  <c r="M12" i="2"/>
  <c r="J12" i="2"/>
  <c r="N12" i="2"/>
  <c r="O12" i="2"/>
  <c r="D11" i="9"/>
  <c r="W33" i="4"/>
  <c r="AN33" i="5" s="1"/>
  <c r="N33" i="4"/>
  <c r="F33" i="4"/>
  <c r="V33" i="4"/>
  <c r="AM33" i="5" s="1"/>
  <c r="M33" i="4"/>
  <c r="X33" i="5" s="1"/>
  <c r="E33" i="4"/>
  <c r="H33" i="5" s="1"/>
  <c r="D33" i="4"/>
  <c r="S33" i="4"/>
  <c r="K33" i="4"/>
  <c r="T33" i="5" s="1"/>
  <c r="C33" i="4"/>
  <c r="O33" i="4"/>
  <c r="G33" i="4"/>
  <c r="L33" i="4"/>
  <c r="V33" i="5" s="1"/>
  <c r="Q33" i="4"/>
  <c r="AF33" i="5" s="1"/>
  <c r="I33" i="4"/>
  <c r="R33" i="4"/>
  <c r="J33" i="4"/>
  <c r="R33" i="5" s="1"/>
  <c r="B33" i="4"/>
  <c r="P33" i="4"/>
  <c r="H33" i="4"/>
  <c r="A35" i="4" a="1"/>
  <c r="A35" i="4" s="1"/>
  <c r="I17" i="2"/>
  <c r="L156" i="9"/>
  <c r="L16" i="9"/>
  <c r="L86" i="9"/>
  <c r="N10" i="9"/>
  <c r="Q10" i="9" s="1"/>
  <c r="P10" i="9" s="1"/>
  <c r="J10" i="9"/>
  <c r="F10" i="9"/>
  <c r="G10" i="9" s="1"/>
  <c r="O152" i="9"/>
  <c r="O82" i="9"/>
  <c r="I12" i="9" a="1"/>
  <c r="I12" i="9" s="1"/>
  <c r="E12" i="9" s="1"/>
  <c r="AL32" i="5"/>
  <c r="AH32" i="5"/>
  <c r="A34" i="5" a="1"/>
  <c r="A34" i="5" s="1"/>
  <c r="V32" i="4"/>
  <c r="AM32" i="5" s="1"/>
  <c r="M32" i="4"/>
  <c r="X32" i="5" s="1"/>
  <c r="E32" i="4"/>
  <c r="H32" i="5" s="1"/>
  <c r="K32" i="4"/>
  <c r="T32" i="5" s="1"/>
  <c r="R32" i="4"/>
  <c r="J32" i="4"/>
  <c r="R32" i="5" s="1"/>
  <c r="B32" i="4"/>
  <c r="A34" i="4" a="1"/>
  <c r="A34" i="4" s="1"/>
  <c r="W32" i="4"/>
  <c r="AN32" i="5" s="1"/>
  <c r="N32" i="4"/>
  <c r="Z32" i="5" s="1"/>
  <c r="F32" i="4"/>
  <c r="J32" i="5" s="1"/>
  <c r="L32" i="4"/>
  <c r="V32" i="5" s="1"/>
  <c r="D32" i="4"/>
  <c r="F32" i="5" s="1"/>
  <c r="S32" i="4"/>
  <c r="AJ32" i="5" s="1"/>
  <c r="C32" i="4"/>
  <c r="D32" i="5" s="1"/>
  <c r="G32" i="4"/>
  <c r="L32" i="5" s="1"/>
  <c r="Q32" i="4"/>
  <c r="AF32" i="5" s="1"/>
  <c r="I32" i="4"/>
  <c r="P32" i="5" s="1"/>
  <c r="P32" i="4"/>
  <c r="AD32" i="5" s="1"/>
  <c r="H32" i="4"/>
  <c r="N32" i="5" s="1"/>
  <c r="O32" i="4"/>
  <c r="AB32" i="5" s="1"/>
  <c r="A35" i="5" a="1"/>
  <c r="A35" i="5" s="1"/>
  <c r="AB33" i="5"/>
  <c r="L33" i="5"/>
  <c r="Z33" i="5"/>
  <c r="J33" i="5"/>
  <c r="AL33" i="5"/>
  <c r="F33" i="5"/>
  <c r="AJ33" i="5"/>
  <c r="D33" i="5"/>
  <c r="AH33" i="5"/>
  <c r="B33" i="5"/>
  <c r="AD33" i="5"/>
  <c r="N33" i="5"/>
  <c r="P33" i="5"/>
  <c r="P17" i="10"/>
  <c r="D12" i="9" a="1"/>
  <c r="M13" i="9" a="1"/>
  <c r="U14" i="2"/>
  <c r="M13" i="2" a="1"/>
  <c r="K13" i="2" a="1"/>
  <c r="S14" i="2"/>
  <c r="T14" i="2"/>
  <c r="P14" i="2"/>
  <c r="L13" i="2" a="1"/>
  <c r="Q14" i="2"/>
  <c r="J13" i="2" a="1"/>
  <c r="R14" i="2"/>
  <c r="N13" i="2" a="1"/>
  <c r="O13" i="2" a="1"/>
  <c r="O13" i="2" l="1"/>
  <c r="N13" i="2"/>
  <c r="J13" i="2"/>
  <c r="L13" i="2"/>
  <c r="M13" i="2"/>
  <c r="M13" i="9"/>
  <c r="K154" i="9"/>
  <c r="K84" i="9"/>
  <c r="K14" i="9"/>
  <c r="V14" i="2"/>
  <c r="O14" i="9" s="1"/>
  <c r="D12" i="9"/>
  <c r="K13" i="2"/>
  <c r="A36" i="4" a="1"/>
  <c r="A36" i="4" s="1"/>
  <c r="O34" i="4"/>
  <c r="AB34" i="5" s="1"/>
  <c r="G34" i="4"/>
  <c r="L34" i="5" s="1"/>
  <c r="W34" i="4"/>
  <c r="AN34" i="5" s="1"/>
  <c r="N34" i="4"/>
  <c r="Z34" i="5" s="1"/>
  <c r="F34" i="4"/>
  <c r="J34" i="5" s="1"/>
  <c r="M34" i="4"/>
  <c r="L34" i="4"/>
  <c r="D34" i="4"/>
  <c r="F34" i="5" s="1"/>
  <c r="Q34" i="4"/>
  <c r="I34" i="4"/>
  <c r="P34" i="5" s="1"/>
  <c r="P34" i="4"/>
  <c r="AD34" i="5" s="1"/>
  <c r="H34" i="4"/>
  <c r="N34" i="5" s="1"/>
  <c r="V34" i="4"/>
  <c r="E34" i="4"/>
  <c r="H34" i="5" s="1"/>
  <c r="R34" i="4"/>
  <c r="J34" i="4"/>
  <c r="R34" i="5" s="1"/>
  <c r="B34" i="4"/>
  <c r="B34" i="5" s="1"/>
  <c r="S34" i="4"/>
  <c r="AJ34" i="5" s="1"/>
  <c r="K34" i="4"/>
  <c r="T34" i="5" s="1"/>
  <c r="C34" i="4"/>
  <c r="A36" i="5" a="1"/>
  <c r="A36" i="5" s="1"/>
  <c r="X34" i="5"/>
  <c r="AL34" i="5"/>
  <c r="V34" i="5"/>
  <c r="D34" i="5"/>
  <c r="AF34" i="5"/>
  <c r="AH34" i="5"/>
  <c r="A37" i="5" a="1"/>
  <c r="A37" i="5" s="1"/>
  <c r="AL35" i="5"/>
  <c r="W17" i="10"/>
  <c r="O153" i="9"/>
  <c r="O83" i="9"/>
  <c r="I13" i="9" a="1"/>
  <c r="I13" i="9" s="1"/>
  <c r="P35" i="4"/>
  <c r="AD35" i="5" s="1"/>
  <c r="H35" i="4"/>
  <c r="N35" i="5" s="1"/>
  <c r="O35" i="4"/>
  <c r="AB35" i="5" s="1"/>
  <c r="G35" i="4"/>
  <c r="L35" i="5" s="1"/>
  <c r="V35" i="4"/>
  <c r="AM35" i="5" s="1"/>
  <c r="R35" i="4"/>
  <c r="AH35" i="5" s="1"/>
  <c r="J35" i="4"/>
  <c r="R35" i="5" s="1"/>
  <c r="B35" i="4"/>
  <c r="B35" i="5" s="1"/>
  <c r="A37" i="4" a="1"/>
  <c r="A37" i="4" s="1"/>
  <c r="M35" i="4"/>
  <c r="X35" i="5" s="1"/>
  <c r="E35" i="4"/>
  <c r="H35" i="5" s="1"/>
  <c r="W35" i="4"/>
  <c r="AN35" i="5" s="1"/>
  <c r="N35" i="4"/>
  <c r="Z35" i="5" s="1"/>
  <c r="F35" i="4"/>
  <c r="J35" i="5" s="1"/>
  <c r="S35" i="4"/>
  <c r="AJ35" i="5" s="1"/>
  <c r="K35" i="4"/>
  <c r="T35" i="5" s="1"/>
  <c r="C35" i="4"/>
  <c r="D35" i="5" s="1"/>
  <c r="L35" i="4"/>
  <c r="V35" i="5" s="1"/>
  <c r="D35" i="4"/>
  <c r="F35" i="5" s="1"/>
  <c r="Q35" i="4"/>
  <c r="AF35" i="5" s="1"/>
  <c r="I35" i="4"/>
  <c r="P35" i="5" s="1"/>
  <c r="B32" i="5"/>
  <c r="I18" i="2"/>
  <c r="L87" i="9"/>
  <c r="L17" i="9"/>
  <c r="L157" i="9"/>
  <c r="F11" i="9"/>
  <c r="G11" i="9" s="1"/>
  <c r="J11" i="9"/>
  <c r="N11" i="9"/>
  <c r="Q11" i="9" s="1"/>
  <c r="P11" i="9" s="1"/>
  <c r="D13" i="9" a="1"/>
  <c r="M14" i="9" a="1"/>
  <c r="S15" i="2"/>
  <c r="O14" i="2" a="1"/>
  <c r="N14" i="2" a="1"/>
  <c r="L14" i="2" a="1"/>
  <c r="R15" i="2"/>
  <c r="K14" i="2" a="1"/>
  <c r="U15" i="2"/>
  <c r="P15" i="2"/>
  <c r="Q15" i="2"/>
  <c r="J14" i="2" a="1"/>
  <c r="T15" i="2"/>
  <c r="M14" i="2" a="1"/>
  <c r="O14" i="2" l="1"/>
  <c r="M14" i="9"/>
  <c r="M14" i="2"/>
  <c r="J14" i="2"/>
  <c r="K14" i="2"/>
  <c r="N14" i="2"/>
  <c r="L14" i="2"/>
  <c r="D13" i="9"/>
  <c r="K85" i="9"/>
  <c r="K155" i="9"/>
  <c r="K15" i="9"/>
  <c r="V15" i="2"/>
  <c r="O15" i="9" s="1"/>
  <c r="Q36" i="4"/>
  <c r="I36" i="4"/>
  <c r="P36" i="4"/>
  <c r="AD36" i="5" s="1"/>
  <c r="H36" i="4"/>
  <c r="S36" i="4"/>
  <c r="AJ36" i="5" s="1"/>
  <c r="K36" i="4"/>
  <c r="C36" i="4"/>
  <c r="A38" i="4" a="1"/>
  <c r="A38" i="4" s="1"/>
  <c r="W36" i="4"/>
  <c r="AN36" i="5" s="1"/>
  <c r="N36" i="4"/>
  <c r="F36" i="4"/>
  <c r="J36" i="5" s="1"/>
  <c r="O36" i="4"/>
  <c r="AB36" i="5" s="1"/>
  <c r="G36" i="4"/>
  <c r="L36" i="5" s="1"/>
  <c r="L36" i="4"/>
  <c r="D36" i="4"/>
  <c r="V36" i="4"/>
  <c r="AM36" i="5" s="1"/>
  <c r="M36" i="4"/>
  <c r="X36" i="5" s="1"/>
  <c r="E36" i="4"/>
  <c r="R36" i="4"/>
  <c r="AH36" i="5" s="1"/>
  <c r="J36" i="4"/>
  <c r="R36" i="5" s="1"/>
  <c r="B36" i="4"/>
  <c r="O154" i="9"/>
  <c r="O84" i="9"/>
  <c r="I14" i="9" a="1"/>
  <c r="I14" i="9" s="1"/>
  <c r="AM34" i="5"/>
  <c r="AF36" i="5"/>
  <c r="P36" i="5"/>
  <c r="N36" i="5"/>
  <c r="A38" i="5" a="1"/>
  <c r="A38" i="5" s="1"/>
  <c r="Z36" i="5"/>
  <c r="H36" i="5"/>
  <c r="T36" i="5"/>
  <c r="D36" i="5"/>
  <c r="AL36" i="5"/>
  <c r="V36" i="5"/>
  <c r="F36" i="5"/>
  <c r="L18" i="9"/>
  <c r="I19" i="2"/>
  <c r="L88" i="9"/>
  <c r="L158" i="9"/>
  <c r="R37" i="4"/>
  <c r="AH37" i="5" s="1"/>
  <c r="J37" i="4"/>
  <c r="R37" i="5" s="1"/>
  <c r="B37" i="4"/>
  <c r="L37" i="4"/>
  <c r="D37" i="4"/>
  <c r="Q37" i="4"/>
  <c r="I37" i="4"/>
  <c r="A39" i="4" a="1"/>
  <c r="A39" i="4" s="1"/>
  <c r="O37" i="4"/>
  <c r="AB37" i="5" s="1"/>
  <c r="G37" i="4"/>
  <c r="L37" i="5" s="1"/>
  <c r="P37" i="4"/>
  <c r="AD37" i="5" s="1"/>
  <c r="H37" i="4"/>
  <c r="N37" i="5" s="1"/>
  <c r="M37" i="4"/>
  <c r="X37" i="5" s="1"/>
  <c r="E37" i="4"/>
  <c r="W37" i="4"/>
  <c r="AN37" i="5" s="1"/>
  <c r="N37" i="4"/>
  <c r="Z37" i="5" s="1"/>
  <c r="F37" i="4"/>
  <c r="J37" i="5" s="1"/>
  <c r="V37" i="4"/>
  <c r="AM37" i="5" s="1"/>
  <c r="S37" i="4"/>
  <c r="AJ37" i="5" s="1"/>
  <c r="K37" i="4"/>
  <c r="T37" i="5" s="1"/>
  <c r="C37" i="4"/>
  <c r="D37" i="5" s="1"/>
  <c r="P25" i="10"/>
  <c r="AF37" i="5"/>
  <c r="P37" i="5"/>
  <c r="A39" i="5" a="1"/>
  <c r="A39" i="5" s="1"/>
  <c r="AL37" i="5"/>
  <c r="V37" i="5"/>
  <c r="F37" i="5"/>
  <c r="H37" i="5"/>
  <c r="N12" i="9"/>
  <c r="Q12" i="9" s="1"/>
  <c r="P12" i="9" s="1"/>
  <c r="F12" i="9"/>
  <c r="G12" i="9" s="1"/>
  <c r="J12" i="9"/>
  <c r="D14" i="9" a="1"/>
  <c r="M15" i="9" a="1"/>
  <c r="T16" i="2"/>
  <c r="T18" i="2"/>
  <c r="U16" i="2"/>
  <c r="P18" i="2"/>
  <c r="O15" i="2" a="1"/>
  <c r="P16" i="2"/>
  <c r="Q18" i="2"/>
  <c r="J15" i="2" a="1"/>
  <c r="R16" i="2"/>
  <c r="L15" i="2" a="1"/>
  <c r="N15" i="2" a="1"/>
  <c r="Q16" i="2"/>
  <c r="U18" i="2"/>
  <c r="S16" i="2"/>
  <c r="M15" i="2" a="1"/>
  <c r="K15" i="2" a="1"/>
  <c r="R18" i="2"/>
  <c r="S18" i="2"/>
  <c r="L15" i="2" l="1"/>
  <c r="K88" i="9"/>
  <c r="M15" i="9"/>
  <c r="K158" i="9"/>
  <c r="K86" i="9"/>
  <c r="K156" i="9"/>
  <c r="K16" i="9"/>
  <c r="M16" i="9" s="1" a="1"/>
  <c r="M16" i="9" s="1"/>
  <c r="V16" i="2"/>
  <c r="O16" i="9" s="1"/>
  <c r="K15" i="2"/>
  <c r="D14" i="9"/>
  <c r="N15" i="2"/>
  <c r="J15" i="2"/>
  <c r="O15" i="2"/>
  <c r="K18" i="9"/>
  <c r="V18" i="2"/>
  <c r="O18" i="9" s="1"/>
  <c r="M15" i="2"/>
  <c r="AL38" i="5"/>
  <c r="A40" i="5" a="1"/>
  <c r="A40" i="5" s="1"/>
  <c r="AL39" i="5"/>
  <c r="A41" i="5" a="1"/>
  <c r="A41" i="5" s="1"/>
  <c r="J13" i="9"/>
  <c r="N13" i="9"/>
  <c r="Q13" i="9" s="1"/>
  <c r="P13" i="9" s="1"/>
  <c r="F13" i="9"/>
  <c r="G13" i="9" s="1"/>
  <c r="W25" i="10"/>
  <c r="B37" i="5"/>
  <c r="L39" i="4"/>
  <c r="V39" i="5" s="1"/>
  <c r="D39" i="4"/>
  <c r="F39" i="5" s="1"/>
  <c r="M39" i="4"/>
  <c r="X39" i="5" s="1"/>
  <c r="S39" i="4"/>
  <c r="AJ39" i="5" s="1"/>
  <c r="K39" i="4"/>
  <c r="T39" i="5" s="1"/>
  <c r="C39" i="4"/>
  <c r="D39" i="5" s="1"/>
  <c r="R39" i="4"/>
  <c r="AH39" i="5" s="1"/>
  <c r="J39" i="4"/>
  <c r="R39" i="5" s="1"/>
  <c r="B39" i="4"/>
  <c r="B39" i="5" s="1"/>
  <c r="Q39" i="4"/>
  <c r="AF39" i="5" s="1"/>
  <c r="I39" i="4"/>
  <c r="P39" i="5" s="1"/>
  <c r="G39" i="4"/>
  <c r="L39" i="5" s="1"/>
  <c r="P39" i="4"/>
  <c r="AD39" i="5" s="1"/>
  <c r="H39" i="4"/>
  <c r="N39" i="5" s="1"/>
  <c r="O39" i="4"/>
  <c r="AB39" i="5" s="1"/>
  <c r="W39" i="4"/>
  <c r="AN39" i="5" s="1"/>
  <c r="N39" i="4"/>
  <c r="Z39" i="5" s="1"/>
  <c r="F39" i="4"/>
  <c r="J39" i="5" s="1"/>
  <c r="V39" i="4"/>
  <c r="E39" i="4"/>
  <c r="H39" i="5" s="1"/>
  <c r="A262" i="9"/>
  <c r="A263" i="9"/>
  <c r="L19" i="9"/>
  <c r="I20" i="2"/>
  <c r="L159" i="9"/>
  <c r="L89" i="9"/>
  <c r="B36" i="5"/>
  <c r="S38" i="4"/>
  <c r="AJ38" i="5" s="1"/>
  <c r="K38" i="4"/>
  <c r="T38" i="5" s="1"/>
  <c r="C38" i="4"/>
  <c r="D38" i="5" s="1"/>
  <c r="M38" i="4"/>
  <c r="X38" i="5" s="1"/>
  <c r="R38" i="4"/>
  <c r="AH38" i="5" s="1"/>
  <c r="J38" i="4"/>
  <c r="R38" i="5" s="1"/>
  <c r="B38" i="4"/>
  <c r="B38" i="5" s="1"/>
  <c r="Q38" i="4"/>
  <c r="AF38" i="5" s="1"/>
  <c r="I38" i="4"/>
  <c r="P38" i="5" s="1"/>
  <c r="P38" i="4"/>
  <c r="AD38" i="5" s="1"/>
  <c r="H38" i="4"/>
  <c r="N38" i="5" s="1"/>
  <c r="W38" i="4"/>
  <c r="AN38" i="5" s="1"/>
  <c r="F38" i="4"/>
  <c r="J38" i="5" s="1"/>
  <c r="O38" i="4"/>
  <c r="AB38" i="5" s="1"/>
  <c r="G38" i="4"/>
  <c r="L38" i="5" s="1"/>
  <c r="N38" i="4"/>
  <c r="Z38" i="5" s="1"/>
  <c r="V38" i="4"/>
  <c r="AM38" i="5" s="1"/>
  <c r="E38" i="4"/>
  <c r="H38" i="5" s="1"/>
  <c r="L38" i="4"/>
  <c r="V38" i="5" s="1"/>
  <c r="D38" i="4"/>
  <c r="F38" i="5" s="1"/>
  <c r="O155" i="9"/>
  <c r="O85" i="9"/>
  <c r="I15" i="9" a="1"/>
  <c r="I15" i="9" s="1"/>
  <c r="M18" i="9" a="1"/>
  <c r="D15" i="9" a="1"/>
  <c r="Q17" i="2"/>
  <c r="U17" i="2"/>
  <c r="O18" i="2" a="1"/>
  <c r="R17" i="2"/>
  <c r="S17" i="2"/>
  <c r="T19" i="2"/>
  <c r="J16" i="2" a="1"/>
  <c r="O16" i="2" a="1"/>
  <c r="M18" i="2" a="1"/>
  <c r="U19" i="2"/>
  <c r="S19" i="2"/>
  <c r="P19" i="2"/>
  <c r="N18" i="2" a="1"/>
  <c r="L16" i="2" a="1"/>
  <c r="Q19" i="2"/>
  <c r="J18" i="2" a="1"/>
  <c r="T17" i="2"/>
  <c r="L18" i="2" a="1"/>
  <c r="E2" i="8" a="1"/>
  <c r="F8" i="8" a="1"/>
  <c r="K16" i="2" a="1"/>
  <c r="R19" i="2"/>
  <c r="P17" i="2"/>
  <c r="N16" i="2" a="1"/>
  <c r="M16" i="2" a="1"/>
  <c r="E7" i="8" a="1"/>
  <c r="K18" i="2" a="1"/>
  <c r="E1" i="8" a="1"/>
  <c r="B3" i="8" a="1"/>
  <c r="J16" i="2" l="1"/>
  <c r="N16" i="2"/>
  <c r="K89" i="9"/>
  <c r="K159" i="9"/>
  <c r="F8" i="8"/>
  <c r="D15" i="9"/>
  <c r="O16" i="2"/>
  <c r="L18" i="2"/>
  <c r="O18" i="2"/>
  <c r="L16" i="2"/>
  <c r="K19" i="9"/>
  <c r="M19" i="9" s="1" a="1"/>
  <c r="M19" i="9" s="1"/>
  <c r="V19" i="2"/>
  <c r="O19" i="9" s="1"/>
  <c r="E1" i="8"/>
  <c r="E2" i="8"/>
  <c r="N18" i="2"/>
  <c r="K16" i="2"/>
  <c r="K18" i="2"/>
  <c r="E7" i="8"/>
  <c r="J18" i="2"/>
  <c r="K157" i="9"/>
  <c r="K87" i="9"/>
  <c r="K17" i="9"/>
  <c r="V17" i="2"/>
  <c r="O17" i="9" s="1"/>
  <c r="B3" i="8"/>
  <c r="M18" i="9"/>
  <c r="M18" i="2"/>
  <c r="M16" i="2"/>
  <c r="P33" i="10"/>
  <c r="A43" i="5" a="1"/>
  <c r="A43" i="5" s="1"/>
  <c r="AB41" i="5"/>
  <c r="L41" i="5"/>
  <c r="Z41" i="5"/>
  <c r="J41" i="5"/>
  <c r="X41" i="5"/>
  <c r="H41" i="5"/>
  <c r="AL41" i="5"/>
  <c r="V41" i="5"/>
  <c r="F41" i="5"/>
  <c r="AJ41" i="5"/>
  <c r="T41" i="5"/>
  <c r="D41" i="5"/>
  <c r="AH41" i="5"/>
  <c r="R41" i="5"/>
  <c r="B41" i="5"/>
  <c r="AD41" i="5"/>
  <c r="N41" i="5"/>
  <c r="AF41" i="5"/>
  <c r="P41" i="5"/>
  <c r="O156" i="9"/>
  <c r="O86" i="9"/>
  <c r="I16" i="9" a="1"/>
  <c r="I16" i="9" s="1"/>
  <c r="E16" i="9" s="1"/>
  <c r="L20" i="9"/>
  <c r="I21" i="2"/>
  <c r="L90" i="9"/>
  <c r="L160" i="9"/>
  <c r="AM39" i="5"/>
  <c r="A212" i="9"/>
  <c r="A213" i="9" s="1"/>
  <c r="A211" i="9"/>
  <c r="F14" i="9"/>
  <c r="G14" i="9" s="1"/>
  <c r="J14" i="9"/>
  <c r="N14" i="9"/>
  <c r="Q14" i="9" s="1"/>
  <c r="P14" i="9" s="1"/>
  <c r="Z40" i="5"/>
  <c r="J40" i="5"/>
  <c r="X40" i="5"/>
  <c r="H40" i="5"/>
  <c r="AL40" i="5"/>
  <c r="V40" i="5"/>
  <c r="F40" i="5"/>
  <c r="AJ40" i="5"/>
  <c r="T40" i="5"/>
  <c r="D40" i="5"/>
  <c r="AH40" i="5"/>
  <c r="R40" i="5"/>
  <c r="B40" i="5"/>
  <c r="AF40" i="5"/>
  <c r="P40" i="5"/>
  <c r="A42" i="5" a="1"/>
  <c r="A42" i="5" s="1"/>
  <c r="AB40" i="5"/>
  <c r="L40" i="5"/>
  <c r="AD40" i="5"/>
  <c r="N40" i="5"/>
  <c r="O158" i="9"/>
  <c r="O88" i="9"/>
  <c r="I18" i="9" a="1"/>
  <c r="I18" i="9" s="1"/>
  <c r="M17" i="9" a="1"/>
  <c r="D16" i="9" a="1"/>
  <c r="D18" i="9" a="1"/>
  <c r="U20" i="2"/>
  <c r="T20" i="2"/>
  <c r="N19" i="2" a="1"/>
  <c r="J19" i="2" a="1"/>
  <c r="J17" i="2" a="1"/>
  <c r="K17" i="2" a="1"/>
  <c r="K19" i="2" a="1"/>
  <c r="P20" i="2"/>
  <c r="N17" i="2" a="1"/>
  <c r="L19" i="2" a="1"/>
  <c r="Q20" i="2"/>
  <c r="S20" i="2"/>
  <c r="M19" i="2" a="1"/>
  <c r="O17" i="2" a="1"/>
  <c r="O19" i="2" a="1"/>
  <c r="R20" i="2"/>
  <c r="L17" i="2" a="1"/>
  <c r="M17" i="2" a="1"/>
  <c r="K90" i="9" l="1"/>
  <c r="L17" i="2"/>
  <c r="O17" i="2"/>
  <c r="L19" i="2"/>
  <c r="K20" i="9"/>
  <c r="V20" i="2"/>
  <c r="O20" i="9" s="1"/>
  <c r="K17" i="2"/>
  <c r="J19" i="2"/>
  <c r="M17" i="2"/>
  <c r="K160" i="9"/>
  <c r="D18" i="9"/>
  <c r="N17" i="2"/>
  <c r="K19" i="2"/>
  <c r="J17" i="2"/>
  <c r="N19" i="2"/>
  <c r="D16" i="9"/>
  <c r="O19" i="2"/>
  <c r="M19" i="2"/>
  <c r="M17" i="9"/>
  <c r="O159" i="9"/>
  <c r="O89" i="9"/>
  <c r="I19" i="9" a="1"/>
  <c r="I19" i="9" s="1"/>
  <c r="E19" i="9" s="1"/>
  <c r="I265" i="9"/>
  <c r="A8" i="8"/>
  <c r="W33" i="10"/>
  <c r="F15" i="9"/>
  <c r="G15" i="9" s="1"/>
  <c r="N15" i="9"/>
  <c r="Q15" i="9" s="1"/>
  <c r="P15" i="9" s="1"/>
  <c r="J15" i="9"/>
  <c r="AF43" i="5"/>
  <c r="P43" i="5"/>
  <c r="AD43" i="5"/>
  <c r="N43" i="5"/>
  <c r="A45" i="5" a="1"/>
  <c r="A45" i="5" s="1"/>
  <c r="AB43" i="5"/>
  <c r="L43" i="5"/>
  <c r="Z43" i="5"/>
  <c r="J43" i="5"/>
  <c r="X43" i="5"/>
  <c r="H43" i="5"/>
  <c r="AL43" i="5"/>
  <c r="V43" i="5"/>
  <c r="F43" i="5"/>
  <c r="AH43" i="5"/>
  <c r="R43" i="5"/>
  <c r="B43" i="5"/>
  <c r="T43" i="5"/>
  <c r="AJ43" i="5"/>
  <c r="D43" i="5"/>
  <c r="E4" i="8"/>
  <c r="H212" i="9" s="1"/>
  <c r="E3" i="8"/>
  <c r="H211" i="9" s="1"/>
  <c r="AD42" i="5"/>
  <c r="N42" i="5"/>
  <c r="A44" i="5" a="1"/>
  <c r="A44" i="5" s="1"/>
  <c r="AB42" i="5"/>
  <c r="L42" i="5"/>
  <c r="Z42" i="5"/>
  <c r="J42" i="5"/>
  <c r="X42" i="5"/>
  <c r="H42" i="5"/>
  <c r="AL42" i="5"/>
  <c r="V42" i="5"/>
  <c r="F42" i="5"/>
  <c r="AJ42" i="5"/>
  <c r="T42" i="5"/>
  <c r="D42" i="5"/>
  <c r="AF42" i="5"/>
  <c r="P42" i="5"/>
  <c r="AH42" i="5"/>
  <c r="R42" i="5"/>
  <c r="B42" i="5"/>
  <c r="H264" i="9"/>
  <c r="A7" i="8"/>
  <c r="H263" i="9"/>
  <c r="J2" i="8"/>
  <c r="O157" i="9"/>
  <c r="O87" i="9"/>
  <c r="I17" i="9" a="1"/>
  <c r="I17" i="9" s="1"/>
  <c r="L21" i="9"/>
  <c r="I22" i="2"/>
  <c r="L161" i="9"/>
  <c r="L91" i="9"/>
  <c r="H262" i="9"/>
  <c r="J1" i="8"/>
  <c r="C9" i="6"/>
  <c r="D19" i="9" a="1"/>
  <c r="D17" i="9" a="1"/>
  <c r="M20" i="9" a="1"/>
  <c r="L20" i="2" a="1"/>
  <c r="U21" i="2"/>
  <c r="S21" i="2"/>
  <c r="J20" i="2" a="1"/>
  <c r="P21" i="2"/>
  <c r="O20" i="2" a="1"/>
  <c r="N20" i="2" a="1"/>
  <c r="K20" i="2" a="1"/>
  <c r="T21" i="2"/>
  <c r="M20" i="2" a="1"/>
  <c r="Q21" i="2"/>
  <c r="R21" i="2"/>
  <c r="J20" i="2" l="1"/>
  <c r="K91" i="9"/>
  <c r="L20" i="2"/>
  <c r="M20" i="9"/>
  <c r="O20" i="2"/>
  <c r="N20" i="2"/>
  <c r="D17" i="9"/>
  <c r="M20" i="2"/>
  <c r="D19" i="9"/>
  <c r="K20" i="2"/>
  <c r="K161" i="9"/>
  <c r="K21" i="9"/>
  <c r="V21" i="2"/>
  <c r="O21" i="9" s="1"/>
  <c r="N18" i="9"/>
  <c r="Q18" i="9" s="1"/>
  <c r="P18" i="9" s="1"/>
  <c r="F18" i="9"/>
  <c r="G18" i="9" s="1"/>
  <c r="J18" i="9"/>
  <c r="AJ45" i="5"/>
  <c r="T45" i="5"/>
  <c r="D45" i="5"/>
  <c r="AH45" i="5"/>
  <c r="R45" i="5"/>
  <c r="B45" i="5"/>
  <c r="AF45" i="5"/>
  <c r="P45" i="5"/>
  <c r="AD45" i="5"/>
  <c r="N45" i="5"/>
  <c r="A47" i="5" a="1"/>
  <c r="A47" i="5" s="1"/>
  <c r="AB45" i="5"/>
  <c r="L45" i="5"/>
  <c r="Z45" i="5"/>
  <c r="J45" i="5"/>
  <c r="AL45" i="5"/>
  <c r="V45" i="5"/>
  <c r="F45" i="5"/>
  <c r="X45" i="5"/>
  <c r="H45" i="5"/>
  <c r="F16" i="9"/>
  <c r="G16" i="9" s="1"/>
  <c r="J16" i="9"/>
  <c r="N16" i="9"/>
  <c r="Q16" i="9" s="1"/>
  <c r="P16" i="9" s="1"/>
  <c r="C265" i="9"/>
  <c r="H8" i="8" a="1"/>
  <c r="H8" i="8" s="1"/>
  <c r="D265" i="9" s="1"/>
  <c r="G8" i="8"/>
  <c r="C264" i="9"/>
  <c r="G7" i="8"/>
  <c r="H7" i="8" a="1"/>
  <c r="H7" i="8" s="1"/>
  <c r="D264" i="9" s="1"/>
  <c r="I23" i="2"/>
  <c r="L22" i="9"/>
  <c r="L162" i="9"/>
  <c r="L92" i="9"/>
  <c r="AH44" i="5"/>
  <c r="R44" i="5"/>
  <c r="B44" i="5"/>
  <c r="AF44" i="5"/>
  <c r="P44" i="5"/>
  <c r="AD44" i="5"/>
  <c r="N44" i="5"/>
  <c r="A46" i="5" a="1"/>
  <c r="A46" i="5" s="1"/>
  <c r="AB44" i="5"/>
  <c r="L44" i="5"/>
  <c r="Z44" i="5"/>
  <c r="J44" i="5"/>
  <c r="X44" i="5"/>
  <c r="H44" i="5"/>
  <c r="AJ44" i="5"/>
  <c r="T44" i="5"/>
  <c r="D44" i="5"/>
  <c r="AL44" i="5"/>
  <c r="V44" i="5"/>
  <c r="F44" i="5"/>
  <c r="P41" i="10"/>
  <c r="O90" i="9"/>
  <c r="O160" i="9"/>
  <c r="I20" i="9" a="1"/>
  <c r="I20" i="9" s="1"/>
  <c r="D20" i="9" a="1"/>
  <c r="M21" i="9" a="1"/>
  <c r="S22" i="2"/>
  <c r="M21" i="2" a="1"/>
  <c r="O21" i="2" a="1"/>
  <c r="Q22" i="2"/>
  <c r="L21" i="2" a="1"/>
  <c r="N21" i="2" a="1"/>
  <c r="U22" i="2"/>
  <c r="P22" i="2"/>
  <c r="J21" i="2" a="1"/>
  <c r="T22" i="2"/>
  <c r="R22" i="2"/>
  <c r="K21" i="2" a="1"/>
  <c r="O21" i="2" l="1"/>
  <c r="L21" i="2"/>
  <c r="K22" i="9"/>
  <c r="V22" i="2"/>
  <c r="O22" i="9" s="1"/>
  <c r="N21" i="2"/>
  <c r="K92" i="9"/>
  <c r="K162" i="9"/>
  <c r="J21" i="2"/>
  <c r="K21" i="2"/>
  <c r="M21" i="2"/>
  <c r="M21" i="9"/>
  <c r="D20" i="9"/>
  <c r="A264" i="9"/>
  <c r="Q264" i="9"/>
  <c r="P264" i="9" s="1"/>
  <c r="L23" i="9"/>
  <c r="I24" i="2"/>
  <c r="L93" i="9"/>
  <c r="L163" i="9"/>
  <c r="J265" i="9"/>
  <c r="J8" i="8"/>
  <c r="X47" i="5"/>
  <c r="H47" i="5"/>
  <c r="AL47" i="5"/>
  <c r="V47" i="5"/>
  <c r="F47" i="5"/>
  <c r="AJ47" i="5"/>
  <c r="T47" i="5"/>
  <c r="D47" i="5"/>
  <c r="AH47" i="5"/>
  <c r="R47" i="5"/>
  <c r="B47" i="5"/>
  <c r="AF47" i="5"/>
  <c r="P47" i="5"/>
  <c r="AD47" i="5"/>
  <c r="N47" i="5"/>
  <c r="Z47" i="5"/>
  <c r="J47" i="5"/>
  <c r="AB47" i="5"/>
  <c r="L47" i="5"/>
  <c r="A49" i="5" a="1"/>
  <c r="A49" i="5" s="1"/>
  <c r="F19" i="9"/>
  <c r="G19" i="9" s="1"/>
  <c r="J19" i="9"/>
  <c r="N19" i="9"/>
  <c r="Q19" i="9" s="1"/>
  <c r="P19" i="9" s="1"/>
  <c r="W41" i="10"/>
  <c r="AL46" i="5"/>
  <c r="V46" i="5"/>
  <c r="F46" i="5"/>
  <c r="AJ46" i="5"/>
  <c r="T46" i="5"/>
  <c r="D46" i="5"/>
  <c r="AH46" i="5"/>
  <c r="R46" i="5"/>
  <c r="B46" i="5"/>
  <c r="AF46" i="5"/>
  <c r="P46" i="5"/>
  <c r="AD46" i="5"/>
  <c r="N46" i="5"/>
  <c r="A48" i="5" a="1"/>
  <c r="A48" i="5" s="1"/>
  <c r="AB46" i="5"/>
  <c r="L46" i="5"/>
  <c r="X46" i="5"/>
  <c r="H46" i="5"/>
  <c r="J46" i="5"/>
  <c r="Z46" i="5"/>
  <c r="A265" i="9"/>
  <c r="Q265" i="9"/>
  <c r="P265" i="9" s="1"/>
  <c r="F17" i="9"/>
  <c r="G17" i="9" s="1"/>
  <c r="J17" i="9"/>
  <c r="N17" i="9"/>
  <c r="Q17" i="9" s="1"/>
  <c r="P17" i="9" s="1"/>
  <c r="O161" i="9"/>
  <c r="O91" i="9"/>
  <c r="I21" i="9" a="1"/>
  <c r="I21" i="9" s="1"/>
  <c r="J264" i="9"/>
  <c r="J7" i="8"/>
  <c r="M22" i="9" a="1"/>
  <c r="D21" i="9" a="1"/>
  <c r="J22" i="2" a="1"/>
  <c r="L22" i="2" a="1"/>
  <c r="T23" i="2"/>
  <c r="N22" i="2" a="1"/>
  <c r="R23" i="2"/>
  <c r="K22" i="2" a="1"/>
  <c r="S23" i="2"/>
  <c r="P23" i="2"/>
  <c r="Q23" i="2"/>
  <c r="M22" i="2" a="1"/>
  <c r="U23" i="2"/>
  <c r="O22" i="2" a="1"/>
  <c r="O22" i="2" l="1"/>
  <c r="J22" i="2"/>
  <c r="K93" i="9"/>
  <c r="D21" i="9"/>
  <c r="K163" i="9"/>
  <c r="L22" i="2"/>
  <c r="M22" i="9"/>
  <c r="M22" i="2"/>
  <c r="K23" i="9"/>
  <c r="V23" i="2"/>
  <c r="O23" i="9" s="1"/>
  <c r="K22" i="2"/>
  <c r="N22" i="2"/>
  <c r="I25" i="2"/>
  <c r="L164" i="9"/>
  <c r="L94" i="9"/>
  <c r="L24" i="9"/>
  <c r="AE1" i="10"/>
  <c r="O92" i="9"/>
  <c r="O162" i="9"/>
  <c r="I22" i="9" a="1"/>
  <c r="I22" i="9" s="1"/>
  <c r="Z48" i="5"/>
  <c r="J48" i="5"/>
  <c r="X48" i="5"/>
  <c r="H48" i="5"/>
  <c r="AL48" i="5"/>
  <c r="V48" i="5"/>
  <c r="F48" i="5"/>
  <c r="AJ48" i="5"/>
  <c r="T48" i="5"/>
  <c r="D48" i="5"/>
  <c r="AH48" i="5"/>
  <c r="R48" i="5"/>
  <c r="B48" i="5"/>
  <c r="AF48" i="5"/>
  <c r="P48" i="5"/>
  <c r="A50" i="5" a="1"/>
  <c r="A50" i="5" s="1"/>
  <c r="AB48" i="5"/>
  <c r="L48" i="5"/>
  <c r="N48" i="5"/>
  <c r="AD48" i="5"/>
  <c r="N20" i="9"/>
  <c r="Q20" i="9" s="1"/>
  <c r="P20" i="9" s="1"/>
  <c r="F20" i="9"/>
  <c r="G20" i="9" s="1"/>
  <c r="J20" i="9"/>
  <c r="A51" i="5" a="1"/>
  <c r="A51" i="5" s="1"/>
  <c r="AB49" i="5"/>
  <c r="L49" i="5"/>
  <c r="Z49" i="5"/>
  <c r="J49" i="5"/>
  <c r="X49" i="5"/>
  <c r="H49" i="5"/>
  <c r="AL49" i="5"/>
  <c r="V49" i="5"/>
  <c r="F49" i="5"/>
  <c r="AJ49" i="5"/>
  <c r="T49" i="5"/>
  <c r="D49" i="5"/>
  <c r="AH49" i="5"/>
  <c r="R49" i="5"/>
  <c r="B49" i="5"/>
  <c r="AD49" i="5"/>
  <c r="N49" i="5"/>
  <c r="AF49" i="5"/>
  <c r="P49" i="5"/>
  <c r="D22" i="9" a="1"/>
  <c r="M23" i="9" a="1"/>
  <c r="U24" i="2"/>
  <c r="T24" i="2"/>
  <c r="L23" i="2" a="1"/>
  <c r="K23" i="2" a="1"/>
  <c r="Q24" i="2"/>
  <c r="M23" i="2" a="1"/>
  <c r="J23" i="2" a="1"/>
  <c r="O23" i="2" a="1"/>
  <c r="S24" i="2"/>
  <c r="N23" i="2" a="1"/>
  <c r="R24" i="2"/>
  <c r="P24" i="2"/>
  <c r="K24" i="9" l="1"/>
  <c r="V24" i="2"/>
  <c r="O24" i="9" s="1"/>
  <c r="J23" i="2"/>
  <c r="L23" i="2"/>
  <c r="M23" i="9"/>
  <c r="K94" i="9"/>
  <c r="K23" i="2"/>
  <c r="K164" i="9"/>
  <c r="O23" i="2"/>
  <c r="M23" i="2"/>
  <c r="D22" i="9"/>
  <c r="N23" i="2"/>
  <c r="AF51" i="5"/>
  <c r="P51" i="5"/>
  <c r="AD51" i="5"/>
  <c r="N51" i="5"/>
  <c r="A53" i="5" a="1"/>
  <c r="A53" i="5" s="1"/>
  <c r="AB51" i="5"/>
  <c r="L51" i="5"/>
  <c r="Z51" i="5"/>
  <c r="J51" i="5"/>
  <c r="X51" i="5"/>
  <c r="H51" i="5"/>
  <c r="AL51" i="5"/>
  <c r="V51" i="5"/>
  <c r="F51" i="5"/>
  <c r="AH51" i="5"/>
  <c r="R51" i="5"/>
  <c r="B51" i="5"/>
  <c r="D51" i="5"/>
  <c r="AJ51" i="5"/>
  <c r="T51" i="5"/>
  <c r="O163" i="9"/>
  <c r="O93" i="9"/>
  <c r="I23" i="9" a="1"/>
  <c r="I23" i="9" s="1"/>
  <c r="I26" i="2"/>
  <c r="L165" i="9"/>
  <c r="L25" i="9"/>
  <c r="L95" i="9"/>
  <c r="J21" i="9"/>
  <c r="N21" i="9"/>
  <c r="Q21" i="9" s="1"/>
  <c r="P21" i="9" s="1"/>
  <c r="F21" i="9"/>
  <c r="G21" i="9" s="1"/>
  <c r="AD50" i="5"/>
  <c r="N50" i="5"/>
  <c r="A52" i="5" a="1"/>
  <c r="A52" i="5" s="1"/>
  <c r="AB50" i="5"/>
  <c r="L50" i="5"/>
  <c r="Z50" i="5"/>
  <c r="J50" i="5"/>
  <c r="X50" i="5"/>
  <c r="H50" i="5"/>
  <c r="AL50" i="5"/>
  <c r="V50" i="5"/>
  <c r="F50" i="5"/>
  <c r="AJ50" i="5"/>
  <c r="T50" i="5"/>
  <c r="D50" i="5"/>
  <c r="AF50" i="5"/>
  <c r="P50" i="5"/>
  <c r="AH50" i="5"/>
  <c r="R50" i="5"/>
  <c r="B50" i="5"/>
  <c r="AL1" i="10"/>
  <c r="M24" i="9" a="1"/>
  <c r="D23" i="9" a="1"/>
  <c r="J24" i="2" a="1"/>
  <c r="N24" i="2" a="1"/>
  <c r="P25" i="2"/>
  <c r="O24" i="2" a="1"/>
  <c r="K24" i="2" a="1"/>
  <c r="U25" i="2"/>
  <c r="S25" i="2"/>
  <c r="M24" i="2" a="1"/>
  <c r="L24" i="2" a="1"/>
  <c r="T25" i="2"/>
  <c r="R25" i="2"/>
  <c r="Q25" i="2"/>
  <c r="N24" i="2" l="1"/>
  <c r="L24" i="2"/>
  <c r="D23" i="9"/>
  <c r="K165" i="9"/>
  <c r="M24" i="2"/>
  <c r="K25" i="9"/>
  <c r="V25" i="2"/>
  <c r="O25" i="9" s="1"/>
  <c r="K24" i="2"/>
  <c r="J24" i="2"/>
  <c r="K95" i="9"/>
  <c r="O24" i="2"/>
  <c r="M24" i="9"/>
  <c r="F22" i="9"/>
  <c r="G22" i="9" s="1"/>
  <c r="N22" i="9"/>
  <c r="Q22" i="9" s="1"/>
  <c r="P22" i="9" s="1"/>
  <c r="J22" i="9"/>
  <c r="AE9" i="10"/>
  <c r="AH52" i="5"/>
  <c r="R52" i="5"/>
  <c r="B52" i="5"/>
  <c r="AF52" i="5"/>
  <c r="P52" i="5"/>
  <c r="AD52" i="5"/>
  <c r="N52" i="5"/>
  <c r="A54" i="5" a="1"/>
  <c r="A54" i="5" s="1"/>
  <c r="AB52" i="5"/>
  <c r="L52" i="5"/>
  <c r="Z52" i="5"/>
  <c r="J52" i="5"/>
  <c r="X52" i="5"/>
  <c r="H52" i="5"/>
  <c r="AJ52" i="5"/>
  <c r="T52" i="5"/>
  <c r="D52" i="5"/>
  <c r="AL52" i="5"/>
  <c r="V52" i="5"/>
  <c r="F52" i="5"/>
  <c r="AJ53" i="5"/>
  <c r="T53" i="5"/>
  <c r="D53" i="5"/>
  <c r="AH53" i="5"/>
  <c r="R53" i="5"/>
  <c r="B53" i="5"/>
  <c r="AF53" i="5"/>
  <c r="P53" i="5"/>
  <c r="AD53" i="5"/>
  <c r="N53" i="5"/>
  <c r="A55" i="5" a="1"/>
  <c r="A55" i="5" s="1"/>
  <c r="AB53" i="5"/>
  <c r="L53" i="5"/>
  <c r="Z53" i="5"/>
  <c r="J53" i="5"/>
  <c r="AL53" i="5"/>
  <c r="V53" i="5"/>
  <c r="F53" i="5"/>
  <c r="X53" i="5"/>
  <c r="H53" i="5"/>
  <c r="L26" i="9"/>
  <c r="I27" i="2"/>
  <c r="L166" i="9"/>
  <c r="L96" i="9"/>
  <c r="O164" i="9"/>
  <c r="O94" i="9"/>
  <c r="I24" i="9" a="1"/>
  <c r="I24" i="9" s="1"/>
  <c r="M25" i="9" a="1"/>
  <c r="D24" i="9" a="1"/>
  <c r="R26" i="2"/>
  <c r="O25" i="2" a="1"/>
  <c r="L25" i="2" a="1"/>
  <c r="P26" i="2"/>
  <c r="U26" i="2"/>
  <c r="Q26" i="2"/>
  <c r="T26" i="2"/>
  <c r="J25" i="2" a="1"/>
  <c r="S26" i="2"/>
  <c r="N25" i="2" a="1"/>
  <c r="K25" i="2" a="1"/>
  <c r="M25" i="2" a="1"/>
  <c r="K25" i="2" l="1"/>
  <c r="L25" i="2"/>
  <c r="D24" i="9"/>
  <c r="K26" i="9"/>
  <c r="V26" i="2"/>
  <c r="O26" i="9" s="1"/>
  <c r="J25" i="2"/>
  <c r="N25" i="2"/>
  <c r="K96" i="9"/>
  <c r="M25" i="9"/>
  <c r="O25" i="2"/>
  <c r="K166" i="9"/>
  <c r="M25" i="2"/>
  <c r="L27" i="9"/>
  <c r="I28" i="2"/>
  <c r="L167" i="9"/>
  <c r="L97" i="9"/>
  <c r="F23" i="9"/>
  <c r="G23" i="9" s="1"/>
  <c r="J23" i="9"/>
  <c r="N23" i="9"/>
  <c r="Q23" i="9" s="1"/>
  <c r="P23" i="9" s="1"/>
  <c r="AL54" i="5"/>
  <c r="V54" i="5"/>
  <c r="F54" i="5"/>
  <c r="AJ54" i="5"/>
  <c r="T54" i="5"/>
  <c r="D54" i="5"/>
  <c r="AH54" i="5"/>
  <c r="R54" i="5"/>
  <c r="B54" i="5"/>
  <c r="AF54" i="5"/>
  <c r="P54" i="5"/>
  <c r="AD54" i="5"/>
  <c r="N54" i="5"/>
  <c r="A56" i="5" a="1"/>
  <c r="A56" i="5" s="1"/>
  <c r="AB54" i="5"/>
  <c r="L54" i="5"/>
  <c r="X54" i="5"/>
  <c r="H54" i="5"/>
  <c r="Z54" i="5"/>
  <c r="J54" i="5"/>
  <c r="O165" i="9"/>
  <c r="O95" i="9"/>
  <c r="I25" i="9" a="1"/>
  <c r="I25" i="9" s="1"/>
  <c r="AL9" i="10"/>
  <c r="X55" i="5"/>
  <c r="H55" i="5"/>
  <c r="AL55" i="5"/>
  <c r="V55" i="5"/>
  <c r="F55" i="5"/>
  <c r="AJ55" i="5"/>
  <c r="T55" i="5"/>
  <c r="D55" i="5"/>
  <c r="AH55" i="5"/>
  <c r="R55" i="5"/>
  <c r="B55" i="5"/>
  <c r="AF55" i="5"/>
  <c r="P55" i="5"/>
  <c r="AD55" i="5"/>
  <c r="N55" i="5"/>
  <c r="Z55" i="5"/>
  <c r="J55" i="5"/>
  <c r="AB55" i="5"/>
  <c r="L55" i="5"/>
  <c r="A57" i="5" a="1"/>
  <c r="A57" i="5" s="1"/>
  <c r="D25" i="9" a="1"/>
  <c r="M26" i="9" a="1"/>
  <c r="Q27" i="2"/>
  <c r="J26" i="2" a="1"/>
  <c r="S27" i="2"/>
  <c r="L26" i="2" a="1"/>
  <c r="R27" i="2"/>
  <c r="T27" i="2"/>
  <c r="M26" i="2" a="1"/>
  <c r="O26" i="2" a="1"/>
  <c r="N26" i="2" a="1"/>
  <c r="U27" i="2"/>
  <c r="P27" i="2"/>
  <c r="K26" i="2" a="1"/>
  <c r="M26" i="2" l="1"/>
  <c r="J26" i="2"/>
  <c r="K26" i="2"/>
  <c r="M26" i="9"/>
  <c r="N26" i="2"/>
  <c r="O26" i="2"/>
  <c r="K27" i="9"/>
  <c r="V27" i="2"/>
  <c r="O27" i="9" s="1"/>
  <c r="K167" i="9"/>
  <c r="K97" i="9"/>
  <c r="L26" i="2"/>
  <c r="D25" i="9"/>
  <c r="A59" i="5" a="1"/>
  <c r="A59" i="5" s="1"/>
  <c r="AB57" i="5"/>
  <c r="L57" i="5"/>
  <c r="Z57" i="5"/>
  <c r="J57" i="5"/>
  <c r="X57" i="5"/>
  <c r="H57" i="5"/>
  <c r="AL57" i="5"/>
  <c r="V57" i="5"/>
  <c r="F57" i="5"/>
  <c r="AJ57" i="5"/>
  <c r="T57" i="5"/>
  <c r="D57" i="5"/>
  <c r="AH57" i="5"/>
  <c r="R57" i="5"/>
  <c r="B57" i="5"/>
  <c r="AD57" i="5"/>
  <c r="N57" i="5"/>
  <c r="P57" i="5"/>
  <c r="AF57" i="5"/>
  <c r="AE17" i="10"/>
  <c r="F24" i="9"/>
  <c r="G24" i="9" s="1"/>
  <c r="N24" i="9"/>
  <c r="Q24" i="9" s="1"/>
  <c r="P24" i="9" s="1"/>
  <c r="J24" i="9"/>
  <c r="O166" i="9"/>
  <c r="O96" i="9"/>
  <c r="I26" i="9" a="1"/>
  <c r="I26" i="9" s="1"/>
  <c r="Z56" i="5"/>
  <c r="J56" i="5"/>
  <c r="X56" i="5"/>
  <c r="H56" i="5"/>
  <c r="AL56" i="5"/>
  <c r="V56" i="5"/>
  <c r="F56" i="5"/>
  <c r="AJ56" i="5"/>
  <c r="T56" i="5"/>
  <c r="D56" i="5"/>
  <c r="AH56" i="5"/>
  <c r="R56" i="5"/>
  <c r="B56" i="5"/>
  <c r="AF56" i="5"/>
  <c r="P56" i="5"/>
  <c r="A58" i="5" a="1"/>
  <c r="A58" i="5" s="1"/>
  <c r="AB56" i="5"/>
  <c r="L56" i="5"/>
  <c r="AD56" i="5"/>
  <c r="N56" i="5"/>
  <c r="L28" i="9"/>
  <c r="I29" i="2"/>
  <c r="L98" i="9"/>
  <c r="L168" i="9"/>
  <c r="M27" i="9" a="1"/>
  <c r="D26" i="9" a="1"/>
  <c r="S28" i="2"/>
  <c r="U28" i="2"/>
  <c r="N27" i="2" a="1"/>
  <c r="R28" i="2"/>
  <c r="T28" i="2"/>
  <c r="K27" i="2" a="1"/>
  <c r="P28" i="2"/>
  <c r="J27" i="2" a="1"/>
  <c r="M27" i="2" a="1"/>
  <c r="O27" i="2" a="1"/>
  <c r="L27" i="2" a="1"/>
  <c r="Q28" i="2"/>
  <c r="K27" i="2" l="1"/>
  <c r="K168" i="9"/>
  <c r="L27" i="2"/>
  <c r="O27" i="2"/>
  <c r="J27" i="2"/>
  <c r="D26" i="9"/>
  <c r="K28" i="9"/>
  <c r="V28" i="2"/>
  <c r="O28" i="9" s="1"/>
  <c r="N27" i="2"/>
  <c r="M27" i="9"/>
  <c r="K98" i="9"/>
  <c r="M27" i="2"/>
  <c r="L29" i="9"/>
  <c r="I30" i="2"/>
  <c r="L169" i="9"/>
  <c r="L99" i="9"/>
  <c r="AF59" i="5"/>
  <c r="P59" i="5"/>
  <c r="AD59" i="5"/>
  <c r="N59" i="5"/>
  <c r="A61" i="5" a="1"/>
  <c r="A61" i="5" s="1"/>
  <c r="AB59" i="5"/>
  <c r="L59" i="5"/>
  <c r="Z59" i="5"/>
  <c r="J59" i="5"/>
  <c r="X59" i="5"/>
  <c r="H59" i="5"/>
  <c r="AL59" i="5"/>
  <c r="V59" i="5"/>
  <c r="F59" i="5"/>
  <c r="AH59" i="5"/>
  <c r="R59" i="5"/>
  <c r="B59" i="5"/>
  <c r="T59" i="5"/>
  <c r="D59" i="5"/>
  <c r="AJ59" i="5"/>
  <c r="O167" i="9"/>
  <c r="O97" i="9"/>
  <c r="I27" i="9" a="1"/>
  <c r="I27" i="9" s="1"/>
  <c r="AD58" i="5"/>
  <c r="N58" i="5"/>
  <c r="A60" i="5" a="1"/>
  <c r="A60" i="5" s="1"/>
  <c r="AB58" i="5"/>
  <c r="L58" i="5"/>
  <c r="Z58" i="5"/>
  <c r="J58" i="5"/>
  <c r="X58" i="5"/>
  <c r="H58" i="5"/>
  <c r="AL58" i="5"/>
  <c r="V58" i="5"/>
  <c r="F58" i="5"/>
  <c r="AJ58" i="5"/>
  <c r="T58" i="5"/>
  <c r="D58" i="5"/>
  <c r="AF58" i="5"/>
  <c r="P58" i="5"/>
  <c r="AH58" i="5"/>
  <c r="R58" i="5"/>
  <c r="B58" i="5"/>
  <c r="F25" i="9"/>
  <c r="G25" i="9" s="1"/>
  <c r="J25" i="9"/>
  <c r="N25" i="9"/>
  <c r="Q25" i="9" s="1"/>
  <c r="P25" i="9" s="1"/>
  <c r="AL17" i="10"/>
  <c r="M28" i="9" a="1"/>
  <c r="D27" i="9" a="1"/>
  <c r="R29" i="2"/>
  <c r="S29" i="2"/>
  <c r="N28" i="2" a="1"/>
  <c r="L28" i="2" a="1"/>
  <c r="M28" i="2" a="1"/>
  <c r="P29" i="2"/>
  <c r="U29" i="2"/>
  <c r="J28" i="2" a="1"/>
  <c r="T29" i="2"/>
  <c r="O28" i="2" a="1"/>
  <c r="Q29" i="2"/>
  <c r="K28" i="2" a="1"/>
  <c r="K29" i="9" l="1"/>
  <c r="V29" i="2"/>
  <c r="O29" i="9" s="1"/>
  <c r="D27" i="9"/>
  <c r="M28" i="2"/>
  <c r="N28" i="2"/>
  <c r="K99" i="9"/>
  <c r="O28" i="2"/>
  <c r="J28" i="2"/>
  <c r="L28" i="2"/>
  <c r="M28" i="9"/>
  <c r="K169" i="9"/>
  <c r="K28" i="2"/>
  <c r="AH60" i="5"/>
  <c r="R60" i="5"/>
  <c r="B60" i="5"/>
  <c r="AF60" i="5"/>
  <c r="P60" i="5"/>
  <c r="AD60" i="5"/>
  <c r="N60" i="5"/>
  <c r="A62" i="5" a="1"/>
  <c r="A62" i="5" s="1"/>
  <c r="AB60" i="5"/>
  <c r="L60" i="5"/>
  <c r="Z60" i="5"/>
  <c r="J60" i="5"/>
  <c r="X60" i="5"/>
  <c r="H60" i="5"/>
  <c r="AJ60" i="5"/>
  <c r="T60" i="5"/>
  <c r="D60" i="5"/>
  <c r="AL60" i="5"/>
  <c r="F60" i="5"/>
  <c r="V60" i="5"/>
  <c r="AE25" i="10"/>
  <c r="O98" i="9"/>
  <c r="O168" i="9"/>
  <c r="I28" i="9" a="1"/>
  <c r="I28" i="9" s="1"/>
  <c r="AJ61" i="5"/>
  <c r="T61" i="5"/>
  <c r="D61" i="5"/>
  <c r="AH61" i="5"/>
  <c r="R61" i="5"/>
  <c r="B61" i="5"/>
  <c r="AF61" i="5"/>
  <c r="P61" i="5"/>
  <c r="AD61" i="5"/>
  <c r="N61" i="5"/>
  <c r="A63" i="5" a="1"/>
  <c r="A63" i="5" s="1"/>
  <c r="AB61" i="5"/>
  <c r="L61" i="5"/>
  <c r="Z61" i="5"/>
  <c r="J61" i="5"/>
  <c r="AL61" i="5"/>
  <c r="V61" i="5"/>
  <c r="F61" i="5"/>
  <c r="X61" i="5"/>
  <c r="H61" i="5"/>
  <c r="I31" i="2"/>
  <c r="L100" i="9"/>
  <c r="L30" i="9"/>
  <c r="L170" i="9"/>
  <c r="N26" i="9"/>
  <c r="Q26" i="9" s="1"/>
  <c r="P26" i="9" s="1"/>
  <c r="F26" i="9"/>
  <c r="G26" i="9" s="1"/>
  <c r="J26" i="9"/>
  <c r="M29" i="9" a="1"/>
  <c r="D28" i="9" a="1"/>
  <c r="S30" i="2"/>
  <c r="P30" i="2"/>
  <c r="J29" i="2" a="1"/>
  <c r="O29" i="2" a="1"/>
  <c r="K29" i="2" a="1"/>
  <c r="M29" i="2" a="1"/>
  <c r="Q30" i="2"/>
  <c r="T30" i="2"/>
  <c r="N29" i="2" a="1"/>
  <c r="U30" i="2"/>
  <c r="R30" i="2"/>
  <c r="L29" i="2" a="1"/>
  <c r="O29" i="2" l="1"/>
  <c r="M29" i="2"/>
  <c r="K30" i="9"/>
  <c r="V30" i="2"/>
  <c r="O30" i="9" s="1"/>
  <c r="D28" i="9"/>
  <c r="K170" i="9"/>
  <c r="N29" i="2"/>
  <c r="K100" i="9"/>
  <c r="J29" i="2"/>
  <c r="K29" i="2"/>
  <c r="L29" i="2"/>
  <c r="M29" i="9"/>
  <c r="AL25" i="10"/>
  <c r="X63" i="5"/>
  <c r="H63" i="5"/>
  <c r="AL63" i="5"/>
  <c r="V63" i="5"/>
  <c r="F63" i="5"/>
  <c r="AJ63" i="5"/>
  <c r="T63" i="5"/>
  <c r="D63" i="5"/>
  <c r="AH63" i="5"/>
  <c r="R63" i="5"/>
  <c r="B63" i="5"/>
  <c r="AF63" i="5"/>
  <c r="P63" i="5"/>
  <c r="AD63" i="5"/>
  <c r="N63" i="5"/>
  <c r="Z63" i="5"/>
  <c r="J63" i="5"/>
  <c r="A65" i="5" a="1"/>
  <c r="A65" i="5" s="1"/>
  <c r="AB63" i="5"/>
  <c r="L63" i="5"/>
  <c r="L31" i="9"/>
  <c r="I32" i="2"/>
  <c r="L171" i="9"/>
  <c r="L101" i="9"/>
  <c r="F27" i="9"/>
  <c r="G27" i="9" s="1"/>
  <c r="N27" i="9"/>
  <c r="Q27" i="9" s="1"/>
  <c r="P27" i="9" s="1"/>
  <c r="J27" i="9"/>
  <c r="AL62" i="5"/>
  <c r="V62" i="5"/>
  <c r="F62" i="5"/>
  <c r="AJ62" i="5"/>
  <c r="T62" i="5"/>
  <c r="D62" i="5"/>
  <c r="AH62" i="5"/>
  <c r="R62" i="5"/>
  <c r="B62" i="5"/>
  <c r="AF62" i="5"/>
  <c r="P62" i="5"/>
  <c r="AD62" i="5"/>
  <c r="N62" i="5"/>
  <c r="A64" i="5" a="1"/>
  <c r="A64" i="5" s="1"/>
  <c r="AB62" i="5"/>
  <c r="L62" i="5"/>
  <c r="X62" i="5"/>
  <c r="H62" i="5"/>
  <c r="J62" i="5"/>
  <c r="Z62" i="5"/>
  <c r="O169" i="9"/>
  <c r="O99" i="9"/>
  <c r="I29" i="9" a="1"/>
  <c r="I29" i="9" s="1"/>
  <c r="M30" i="9" a="1"/>
  <c r="D29" i="9" a="1"/>
  <c r="U31" i="2"/>
  <c r="Q31" i="2"/>
  <c r="O30" i="2" a="1"/>
  <c r="R31" i="2"/>
  <c r="N30" i="2" a="1"/>
  <c r="M30" i="2" a="1"/>
  <c r="P31" i="2"/>
  <c r="J30" i="2" a="1"/>
  <c r="T31" i="2"/>
  <c r="L30" i="2" a="1"/>
  <c r="K30" i="2" a="1"/>
  <c r="S31" i="2"/>
  <c r="M30" i="2" l="1"/>
  <c r="K171" i="9"/>
  <c r="D29" i="9"/>
  <c r="O30" i="2"/>
  <c r="K30" i="2"/>
  <c r="J30" i="2"/>
  <c r="K31" i="9"/>
  <c r="V31" i="2"/>
  <c r="O31" i="9" s="1"/>
  <c r="N30" i="2"/>
  <c r="M30" i="9"/>
  <c r="K101" i="9"/>
  <c r="L30" i="2"/>
  <c r="I33" i="2"/>
  <c r="L102" i="9"/>
  <c r="L172" i="9"/>
  <c r="L32" i="9"/>
  <c r="N28" i="9"/>
  <c r="Q28" i="9" s="1"/>
  <c r="P28" i="9" s="1"/>
  <c r="F28" i="9"/>
  <c r="G28" i="9" s="1"/>
  <c r="J28" i="9"/>
  <c r="Z64" i="5"/>
  <c r="J64" i="5"/>
  <c r="X64" i="5"/>
  <c r="H64" i="5"/>
  <c r="AL64" i="5"/>
  <c r="V64" i="5"/>
  <c r="F64" i="5"/>
  <c r="AJ64" i="5"/>
  <c r="T64" i="5"/>
  <c r="D64" i="5"/>
  <c r="AH64" i="5"/>
  <c r="R64" i="5"/>
  <c r="B64" i="5"/>
  <c r="AF64" i="5"/>
  <c r="P64" i="5"/>
  <c r="A66" i="5" a="1"/>
  <c r="A66" i="5" s="1"/>
  <c r="AB64" i="5"/>
  <c r="L64" i="5"/>
  <c r="AD64" i="5"/>
  <c r="N64" i="5"/>
  <c r="A67" i="5" a="1"/>
  <c r="A67" i="5" s="1"/>
  <c r="AB65" i="5"/>
  <c r="L65" i="5"/>
  <c r="Z65" i="5"/>
  <c r="J65" i="5"/>
  <c r="X65" i="5"/>
  <c r="H65" i="5"/>
  <c r="AL65" i="5"/>
  <c r="V65" i="5"/>
  <c r="F65" i="5"/>
  <c r="AJ65" i="5"/>
  <c r="T65" i="5"/>
  <c r="D65" i="5"/>
  <c r="AH65" i="5"/>
  <c r="R65" i="5"/>
  <c r="B65" i="5"/>
  <c r="AD65" i="5"/>
  <c r="N65" i="5"/>
  <c r="AF65" i="5"/>
  <c r="P65" i="5"/>
  <c r="O170" i="9"/>
  <c r="O100" i="9"/>
  <c r="I30" i="9" a="1"/>
  <c r="I30" i="9" s="1"/>
  <c r="AE33" i="10"/>
  <c r="D30" i="9" a="1"/>
  <c r="M31" i="9" a="1"/>
  <c r="O31" i="2" a="1"/>
  <c r="M31" i="2" a="1"/>
  <c r="T32" i="2"/>
  <c r="P32" i="2"/>
  <c r="U32" i="2"/>
  <c r="Q32" i="2"/>
  <c r="S32" i="2"/>
  <c r="N31" i="2" a="1"/>
  <c r="L31" i="2" a="1"/>
  <c r="K31" i="2" a="1"/>
  <c r="J31" i="2" a="1"/>
  <c r="R32" i="2"/>
  <c r="K31" i="2" l="1"/>
  <c r="N31" i="2"/>
  <c r="K32" i="9"/>
  <c r="V32" i="2"/>
  <c r="O32" i="9" s="1"/>
  <c r="M31" i="2"/>
  <c r="K102" i="9"/>
  <c r="K172" i="9"/>
  <c r="J31" i="2"/>
  <c r="L31" i="2"/>
  <c r="M31" i="9"/>
  <c r="O31" i="2"/>
  <c r="D30" i="9"/>
  <c r="I34" i="2"/>
  <c r="L173" i="9"/>
  <c r="L103" i="9"/>
  <c r="L33" i="9"/>
  <c r="AD66" i="5"/>
  <c r="N66" i="5"/>
  <c r="A68" i="5" a="1"/>
  <c r="A68" i="5" s="1"/>
  <c r="AB66" i="5"/>
  <c r="L66" i="5"/>
  <c r="Z66" i="5"/>
  <c r="J66" i="5"/>
  <c r="X66" i="5"/>
  <c r="H66" i="5"/>
  <c r="AL66" i="5"/>
  <c r="V66" i="5"/>
  <c r="F66" i="5"/>
  <c r="AJ66" i="5"/>
  <c r="T66" i="5"/>
  <c r="D66" i="5"/>
  <c r="AF66" i="5"/>
  <c r="P66" i="5"/>
  <c r="AH66" i="5"/>
  <c r="R66" i="5"/>
  <c r="B66" i="5"/>
  <c r="J29" i="9"/>
  <c r="N29" i="9"/>
  <c r="Q29" i="9" s="1"/>
  <c r="P29" i="9" s="1"/>
  <c r="F29" i="9"/>
  <c r="G29" i="9" s="1"/>
  <c r="AF67" i="5"/>
  <c r="P67" i="5"/>
  <c r="AD67" i="5"/>
  <c r="N67" i="5"/>
  <c r="A69" i="5" a="1"/>
  <c r="A69" i="5" s="1"/>
  <c r="AB67" i="5"/>
  <c r="L67" i="5"/>
  <c r="Z67" i="5"/>
  <c r="J67" i="5"/>
  <c r="X67" i="5"/>
  <c r="H67" i="5"/>
  <c r="AL67" i="5"/>
  <c r="V67" i="5"/>
  <c r="F67" i="5"/>
  <c r="AH67" i="5"/>
  <c r="R67" i="5"/>
  <c r="B67" i="5"/>
  <c r="AJ67" i="5"/>
  <c r="T67" i="5"/>
  <c r="D67" i="5"/>
  <c r="O171" i="9"/>
  <c r="O101" i="9"/>
  <c r="I31" i="9" a="1"/>
  <c r="I31" i="9" s="1"/>
  <c r="AL33" i="10"/>
  <c r="M32" i="9" a="1"/>
  <c r="D31" i="9" a="1"/>
  <c r="R33" i="2"/>
  <c r="T33" i="2"/>
  <c r="S33" i="2"/>
  <c r="O32" i="2" a="1"/>
  <c r="M32" i="2" a="1"/>
  <c r="N32" i="2" a="1"/>
  <c r="P33" i="2"/>
  <c r="L32" i="2" a="1"/>
  <c r="Q33" i="2"/>
  <c r="U33" i="2"/>
  <c r="K32" i="2" a="1"/>
  <c r="J32" i="2" a="1"/>
  <c r="K103" i="9" l="1"/>
  <c r="N32" i="2"/>
  <c r="M32" i="2"/>
  <c r="K33" i="9"/>
  <c r="V33" i="2"/>
  <c r="O33" i="9" s="1"/>
  <c r="J32" i="2"/>
  <c r="D31" i="9"/>
  <c r="M32" i="9"/>
  <c r="L32" i="2"/>
  <c r="O32" i="2"/>
  <c r="K173" i="9"/>
  <c r="K32" i="2"/>
  <c r="AJ69" i="5"/>
  <c r="T69" i="5"/>
  <c r="D69" i="5"/>
  <c r="AH69" i="5"/>
  <c r="R69" i="5"/>
  <c r="B69" i="5"/>
  <c r="AF69" i="5"/>
  <c r="P69" i="5"/>
  <c r="AD69" i="5"/>
  <c r="N69" i="5"/>
  <c r="A71" i="5" a="1"/>
  <c r="A71" i="5" s="1"/>
  <c r="AB69" i="5"/>
  <c r="L69" i="5"/>
  <c r="Z69" i="5"/>
  <c r="J69" i="5"/>
  <c r="AL69" i="5"/>
  <c r="V69" i="5"/>
  <c r="F69" i="5"/>
  <c r="X69" i="5"/>
  <c r="H69" i="5"/>
  <c r="O172" i="9"/>
  <c r="O102" i="9"/>
  <c r="I32" i="9" a="1"/>
  <c r="I32" i="9" s="1"/>
  <c r="AE41" i="10"/>
  <c r="AH68" i="5"/>
  <c r="R68" i="5"/>
  <c r="B68" i="5"/>
  <c r="AF68" i="5"/>
  <c r="P68" i="5"/>
  <c r="AD68" i="5"/>
  <c r="N68" i="5"/>
  <c r="A70" i="5" a="1"/>
  <c r="A70" i="5" s="1"/>
  <c r="AB68" i="5"/>
  <c r="L68" i="5"/>
  <c r="Z68" i="5"/>
  <c r="J68" i="5"/>
  <c r="X68" i="5"/>
  <c r="H68" i="5"/>
  <c r="AJ68" i="5"/>
  <c r="T68" i="5"/>
  <c r="D68" i="5"/>
  <c r="V68" i="5"/>
  <c r="AL68" i="5"/>
  <c r="F68" i="5"/>
  <c r="F30" i="9"/>
  <c r="G30" i="9" s="1"/>
  <c r="N30" i="9"/>
  <c r="Q30" i="9" s="1"/>
  <c r="P30" i="9" s="1"/>
  <c r="J30" i="9"/>
  <c r="L34" i="9"/>
  <c r="I35" i="2"/>
  <c r="L104" i="9"/>
  <c r="L174" i="9"/>
  <c r="D32" i="9" a="1"/>
  <c r="M33" i="9" a="1"/>
  <c r="L33" i="2" a="1"/>
  <c r="M33" i="2" a="1"/>
  <c r="P34" i="2"/>
  <c r="R34" i="2"/>
  <c r="Q34" i="2"/>
  <c r="K33" i="2" a="1"/>
  <c r="T34" i="2"/>
  <c r="U34" i="2"/>
  <c r="J33" i="2" a="1"/>
  <c r="N33" i="2" a="1"/>
  <c r="O33" i="2" a="1"/>
  <c r="S34" i="2"/>
  <c r="M33" i="9" l="1"/>
  <c r="N33" i="2"/>
  <c r="K104" i="9"/>
  <c r="K174" i="9"/>
  <c r="M33" i="2"/>
  <c r="O33" i="2"/>
  <c r="D32" i="9"/>
  <c r="K33" i="2"/>
  <c r="K34" i="9"/>
  <c r="V34" i="2"/>
  <c r="O34" i="9" s="1"/>
  <c r="L33" i="2"/>
  <c r="J33" i="2"/>
  <c r="O173" i="9"/>
  <c r="O103" i="9"/>
  <c r="I33" i="9" a="1"/>
  <c r="I33" i="9" s="1"/>
  <c r="AL41" i="10"/>
  <c r="X71" i="5"/>
  <c r="H71" i="5"/>
  <c r="AL71" i="5"/>
  <c r="V71" i="5"/>
  <c r="F71" i="5"/>
  <c r="AJ71" i="5"/>
  <c r="T71" i="5"/>
  <c r="D71" i="5"/>
  <c r="AH71" i="5"/>
  <c r="R71" i="5"/>
  <c r="B71" i="5"/>
  <c r="AF71" i="5"/>
  <c r="P71" i="5"/>
  <c r="AD71" i="5"/>
  <c r="N71" i="5"/>
  <c r="Z71" i="5"/>
  <c r="J71" i="5"/>
  <c r="A73" i="5" a="1"/>
  <c r="A73" i="5" s="1"/>
  <c r="L71" i="5"/>
  <c r="AB71" i="5"/>
  <c r="AL70" i="5"/>
  <c r="V70" i="5"/>
  <c r="F70" i="5"/>
  <c r="AJ70" i="5"/>
  <c r="T70" i="5"/>
  <c r="D70" i="5"/>
  <c r="AH70" i="5"/>
  <c r="R70" i="5"/>
  <c r="B70" i="5"/>
  <c r="AF70" i="5"/>
  <c r="P70" i="5"/>
  <c r="AD70" i="5"/>
  <c r="N70" i="5"/>
  <c r="A72" i="5" a="1"/>
  <c r="A72" i="5" s="1"/>
  <c r="AB70" i="5"/>
  <c r="L70" i="5"/>
  <c r="X70" i="5"/>
  <c r="H70" i="5"/>
  <c r="Z70" i="5"/>
  <c r="J70" i="5"/>
  <c r="F31" i="9"/>
  <c r="G31" i="9" s="1"/>
  <c r="J31" i="9"/>
  <c r="N31" i="9"/>
  <c r="Q31" i="9" s="1"/>
  <c r="P31" i="9" s="1"/>
  <c r="L35" i="9"/>
  <c r="I36" i="2"/>
  <c r="L175" i="9"/>
  <c r="L105" i="9"/>
  <c r="D33" i="9" a="1"/>
  <c r="M34" i="9" a="1"/>
  <c r="R35" i="2"/>
  <c r="J34" i="2" a="1"/>
  <c r="S35" i="2"/>
  <c r="O34" i="2" a="1"/>
  <c r="P35" i="2"/>
  <c r="K34" i="2" a="1"/>
  <c r="N34" i="2" a="1"/>
  <c r="T35" i="2"/>
  <c r="Q35" i="2"/>
  <c r="U35" i="2"/>
  <c r="M34" i="2" a="1"/>
  <c r="L34" i="2" a="1"/>
  <c r="K105" i="9" l="1"/>
  <c r="J34" i="2"/>
  <c r="M34" i="9"/>
  <c r="L34" i="2"/>
  <c r="M34" i="2"/>
  <c r="O34" i="2"/>
  <c r="K34" i="2"/>
  <c r="K175" i="9"/>
  <c r="D33" i="9"/>
  <c r="K35" i="9"/>
  <c r="V35" i="2"/>
  <c r="O35" i="9" s="1"/>
  <c r="N34" i="2"/>
  <c r="O174" i="9"/>
  <c r="O104" i="9"/>
  <c r="I34" i="9" a="1"/>
  <c r="I34" i="9" s="1"/>
  <c r="A75" i="5" a="1"/>
  <c r="A75" i="5" s="1"/>
  <c r="AB73" i="5"/>
  <c r="L73" i="5"/>
  <c r="Z73" i="5"/>
  <c r="J73" i="5"/>
  <c r="X73" i="5"/>
  <c r="H73" i="5"/>
  <c r="AL73" i="5"/>
  <c r="V73" i="5"/>
  <c r="F73" i="5"/>
  <c r="AJ73" i="5"/>
  <c r="T73" i="5"/>
  <c r="D73" i="5"/>
  <c r="AH73" i="5"/>
  <c r="R73" i="5"/>
  <c r="B73" i="5"/>
  <c r="AD73" i="5"/>
  <c r="N73" i="5"/>
  <c r="P73" i="5"/>
  <c r="AF73" i="5"/>
  <c r="AT1" i="10"/>
  <c r="L36" i="9"/>
  <c r="I37" i="2"/>
  <c r="L176" i="9"/>
  <c r="L106" i="9"/>
  <c r="F32" i="9"/>
  <c r="G32" i="9" s="1"/>
  <c r="J32" i="9"/>
  <c r="N32" i="9"/>
  <c r="Q32" i="9" s="1"/>
  <c r="P32" i="9" s="1"/>
  <c r="Z72" i="5"/>
  <c r="J72" i="5"/>
  <c r="X72" i="5"/>
  <c r="H72" i="5"/>
  <c r="AL72" i="5"/>
  <c r="V72" i="5"/>
  <c r="F72" i="5"/>
  <c r="AJ72" i="5"/>
  <c r="T72" i="5"/>
  <c r="D72" i="5"/>
  <c r="AH72" i="5"/>
  <c r="R72" i="5"/>
  <c r="B72" i="5"/>
  <c r="AF72" i="5"/>
  <c r="P72" i="5"/>
  <c r="A74" i="5" a="1"/>
  <c r="A74" i="5" s="1"/>
  <c r="AB72" i="5"/>
  <c r="L72" i="5"/>
  <c r="AD72" i="5"/>
  <c r="N72" i="5"/>
  <c r="M105" i="9" a="1"/>
  <c r="M35" i="9" a="1"/>
  <c r="D34" i="9" a="1"/>
  <c r="M175" i="9" a="1"/>
  <c r="O35" i="2" a="1"/>
  <c r="R36" i="2"/>
  <c r="J35" i="2" a="1"/>
  <c r="Q36" i="2"/>
  <c r="K35" i="2" a="1"/>
  <c r="N35" i="2" a="1"/>
  <c r="P36" i="2"/>
  <c r="U36" i="2"/>
  <c r="L35" i="2" a="1"/>
  <c r="T36" i="2"/>
  <c r="M35" i="2" a="1"/>
  <c r="S36" i="2"/>
  <c r="L35" i="2" l="1"/>
  <c r="N35" i="2"/>
  <c r="M175" i="9"/>
  <c r="D34" i="9"/>
  <c r="K176" i="9"/>
  <c r="M35" i="9"/>
  <c r="M35" i="2"/>
  <c r="K36" i="9"/>
  <c r="V36" i="2"/>
  <c r="O36" i="9" s="1"/>
  <c r="K35" i="2"/>
  <c r="K106" i="9"/>
  <c r="J35" i="2"/>
  <c r="O35" i="2"/>
  <c r="M105" i="9"/>
  <c r="O175" i="9"/>
  <c r="I175" i="9" s="1"/>
  <c r="O105" i="9"/>
  <c r="I105" i="9" s="1" a="1"/>
  <c r="I105" i="9" s="1"/>
  <c r="I35" i="9" a="1"/>
  <c r="I35" i="9" s="1"/>
  <c r="F33" i="9"/>
  <c r="G33" i="9" s="1"/>
  <c r="J33" i="9"/>
  <c r="N33" i="9"/>
  <c r="Q33" i="9" s="1"/>
  <c r="P33" i="9" s="1"/>
  <c r="AF75" i="5"/>
  <c r="P75" i="5"/>
  <c r="AD75" i="5"/>
  <c r="N75" i="5"/>
  <c r="A77" i="5" a="1"/>
  <c r="A77" i="5" s="1"/>
  <c r="AB75" i="5"/>
  <c r="L75" i="5"/>
  <c r="Z75" i="5"/>
  <c r="J75" i="5"/>
  <c r="X75" i="5"/>
  <c r="H75" i="5"/>
  <c r="AL75" i="5"/>
  <c r="V75" i="5"/>
  <c r="F75" i="5"/>
  <c r="AH75" i="5"/>
  <c r="R75" i="5"/>
  <c r="B75" i="5"/>
  <c r="AJ75" i="5"/>
  <c r="T75" i="5"/>
  <c r="D75" i="5"/>
  <c r="L37" i="9"/>
  <c r="I38" i="2"/>
  <c r="L177" i="9"/>
  <c r="L107" i="9"/>
  <c r="AD74" i="5"/>
  <c r="N74" i="5"/>
  <c r="A76" i="5" a="1"/>
  <c r="A76" i="5" s="1"/>
  <c r="AB74" i="5"/>
  <c r="L74" i="5"/>
  <c r="Z74" i="5"/>
  <c r="J74" i="5"/>
  <c r="X74" i="5"/>
  <c r="H74" i="5"/>
  <c r="AL74" i="5"/>
  <c r="V74" i="5"/>
  <c r="F74" i="5"/>
  <c r="AJ74" i="5"/>
  <c r="T74" i="5"/>
  <c r="D74" i="5"/>
  <c r="AF74" i="5"/>
  <c r="P74" i="5"/>
  <c r="B74" i="5"/>
  <c r="AH74" i="5"/>
  <c r="R74" i="5"/>
  <c r="BA1" i="10"/>
  <c r="D35" i="9" a="1"/>
  <c r="D175" i="9" a="1"/>
  <c r="M36" i="9" a="1"/>
  <c r="D105" i="9" a="1"/>
  <c r="N36" i="2" a="1"/>
  <c r="S37" i="2"/>
  <c r="Q37" i="2"/>
  <c r="P37" i="2"/>
  <c r="K36" i="2" a="1"/>
  <c r="T37" i="2"/>
  <c r="J36" i="2" a="1"/>
  <c r="M36" i="2" a="1"/>
  <c r="O36" i="2" a="1"/>
  <c r="R37" i="2"/>
  <c r="U37" i="2"/>
  <c r="L36" i="2" a="1"/>
  <c r="L36" i="2" l="1"/>
  <c r="K37" i="9"/>
  <c r="V37" i="2"/>
  <c r="O37" i="9" s="1"/>
  <c r="D105" i="9"/>
  <c r="K177" i="9"/>
  <c r="J36" i="2"/>
  <c r="K107" i="9"/>
  <c r="M36" i="9"/>
  <c r="D175" i="9"/>
  <c r="D35" i="9"/>
  <c r="O36" i="2"/>
  <c r="M36" i="2"/>
  <c r="K36" i="2"/>
  <c r="N36" i="2"/>
  <c r="I39" i="2"/>
  <c r="L38" i="9"/>
  <c r="L178" i="9"/>
  <c r="L108" i="9"/>
  <c r="O176" i="9"/>
  <c r="O106" i="9"/>
  <c r="I36" i="9" a="1"/>
  <c r="I36" i="9" s="1"/>
  <c r="N34" i="9"/>
  <c r="Q34" i="9" s="1"/>
  <c r="P34" i="9" s="1"/>
  <c r="F34" i="9"/>
  <c r="G34" i="9" s="1"/>
  <c r="J34" i="9"/>
  <c r="AT9" i="10"/>
  <c r="AJ77" i="5"/>
  <c r="T77" i="5"/>
  <c r="D77" i="5"/>
  <c r="AH77" i="5"/>
  <c r="R77" i="5"/>
  <c r="B77" i="5"/>
  <c r="AF77" i="5"/>
  <c r="P77" i="5"/>
  <c r="AD77" i="5"/>
  <c r="N77" i="5"/>
  <c r="A79" i="5" a="1"/>
  <c r="A79" i="5" s="1"/>
  <c r="AB77" i="5"/>
  <c r="L77" i="5"/>
  <c r="Z77" i="5"/>
  <c r="J77" i="5"/>
  <c r="AL77" i="5"/>
  <c r="V77" i="5"/>
  <c r="F77" i="5"/>
  <c r="X77" i="5"/>
  <c r="H77" i="5"/>
  <c r="AH76" i="5"/>
  <c r="R76" i="5"/>
  <c r="B76" i="5"/>
  <c r="AF76" i="5"/>
  <c r="P76" i="5"/>
  <c r="AD76" i="5"/>
  <c r="N76" i="5"/>
  <c r="A78" i="5" a="1"/>
  <c r="A78" i="5" s="1"/>
  <c r="AB76" i="5"/>
  <c r="L76" i="5"/>
  <c r="Z76" i="5"/>
  <c r="J76" i="5"/>
  <c r="X76" i="5"/>
  <c r="H76" i="5"/>
  <c r="AJ76" i="5"/>
  <c r="T76" i="5"/>
  <c r="D76" i="5"/>
  <c r="F76" i="5"/>
  <c r="AL76" i="5"/>
  <c r="V76" i="5"/>
  <c r="M37" i="9" a="1"/>
  <c r="D36" i="9" a="1"/>
  <c r="P38" i="2"/>
  <c r="S38" i="2"/>
  <c r="R38" i="2"/>
  <c r="U38" i="2"/>
  <c r="O37" i="2" a="1"/>
  <c r="N37" i="2" a="1"/>
  <c r="Q38" i="2"/>
  <c r="T38" i="2"/>
  <c r="J37" i="2" a="1"/>
  <c r="M37" i="2" a="1"/>
  <c r="K37" i="2" a="1"/>
  <c r="L37" i="2" a="1"/>
  <c r="D36" i="9" l="1"/>
  <c r="L37" i="2"/>
  <c r="O37" i="2"/>
  <c r="K38" i="9"/>
  <c r="V38" i="2"/>
  <c r="O38" i="9" s="1"/>
  <c r="M37" i="2"/>
  <c r="J37" i="2"/>
  <c r="K108" i="9"/>
  <c r="N37" i="2"/>
  <c r="K37" i="2"/>
  <c r="M37" i="9"/>
  <c r="K178" i="9"/>
  <c r="F35" i="9"/>
  <c r="G35" i="9" s="1"/>
  <c r="N35" i="9"/>
  <c r="Q35" i="9" s="1"/>
  <c r="P35" i="9" s="1"/>
  <c r="J35" i="9"/>
  <c r="F175" i="9"/>
  <c r="G175" i="9" s="1"/>
  <c r="J175" i="9"/>
  <c r="N175" i="9"/>
  <c r="Q175" i="9" s="1"/>
  <c r="P175" i="9" s="1"/>
  <c r="F105" i="9"/>
  <c r="G105" i="9" s="1"/>
  <c r="J105" i="9"/>
  <c r="N105" i="9"/>
  <c r="Q105" i="9" s="1"/>
  <c r="P105" i="9" s="1"/>
  <c r="AL78" i="5"/>
  <c r="V78" i="5"/>
  <c r="F78" i="5"/>
  <c r="AJ78" i="5"/>
  <c r="T78" i="5"/>
  <c r="D78" i="5"/>
  <c r="AH78" i="5"/>
  <c r="R78" i="5"/>
  <c r="B78" i="5"/>
  <c r="AF78" i="5"/>
  <c r="P78" i="5"/>
  <c r="AD78" i="5"/>
  <c r="N78" i="5"/>
  <c r="A80" i="5" a="1"/>
  <c r="A80" i="5" s="1"/>
  <c r="AB78" i="5"/>
  <c r="L78" i="5"/>
  <c r="X78" i="5"/>
  <c r="H78" i="5"/>
  <c r="Z78" i="5"/>
  <c r="J78" i="5"/>
  <c r="BA9" i="10"/>
  <c r="L39" i="9"/>
  <c r="I40" i="2"/>
  <c r="L109" i="9"/>
  <c r="L179" i="9"/>
  <c r="O177" i="9"/>
  <c r="O107" i="9"/>
  <c r="I37" i="9" a="1"/>
  <c r="I37" i="9" s="1"/>
  <c r="X79" i="5"/>
  <c r="H79" i="5"/>
  <c r="AL79" i="5"/>
  <c r="V79" i="5"/>
  <c r="F79" i="5"/>
  <c r="AJ79" i="5"/>
  <c r="T79" i="5"/>
  <c r="D79" i="5"/>
  <c r="AH79" i="5"/>
  <c r="R79" i="5"/>
  <c r="B79" i="5"/>
  <c r="AF79" i="5"/>
  <c r="P79" i="5"/>
  <c r="AD79" i="5"/>
  <c r="N79" i="5"/>
  <c r="Z79" i="5"/>
  <c r="J79" i="5"/>
  <c r="A81" i="5" a="1"/>
  <c r="A81" i="5" s="1"/>
  <c r="AB79" i="5"/>
  <c r="L79" i="5"/>
  <c r="D37" i="9" a="1"/>
  <c r="M38" i="9" a="1"/>
  <c r="M38" i="2" a="1"/>
  <c r="J38" i="2" a="1"/>
  <c r="P39" i="2"/>
  <c r="U39" i="2"/>
  <c r="T39" i="2"/>
  <c r="K38" i="2" a="1"/>
  <c r="R39" i="2"/>
  <c r="O38" i="2" a="1"/>
  <c r="L38" i="2" a="1"/>
  <c r="N38" i="2" a="1"/>
  <c r="S39" i="2"/>
  <c r="Q39" i="2"/>
  <c r="K39" i="9" l="1"/>
  <c r="V39" i="2"/>
  <c r="O39" i="9" s="1"/>
  <c r="J38" i="2"/>
  <c r="K109" i="9"/>
  <c r="M38" i="9"/>
  <c r="O38" i="2"/>
  <c r="K38" i="2"/>
  <c r="M38" i="2"/>
  <c r="D37" i="9"/>
  <c r="L38" i="2"/>
  <c r="N38" i="2"/>
  <c r="K179" i="9"/>
  <c r="A83" i="5" a="1"/>
  <c r="A83" i="5" s="1"/>
  <c r="AB81" i="5"/>
  <c r="L81" i="5"/>
  <c r="Z81" i="5"/>
  <c r="J81" i="5"/>
  <c r="X81" i="5"/>
  <c r="H81" i="5"/>
  <c r="AL81" i="5"/>
  <c r="V81" i="5"/>
  <c r="F81" i="5"/>
  <c r="AJ81" i="5"/>
  <c r="T81" i="5"/>
  <c r="D81" i="5"/>
  <c r="AH81" i="5"/>
  <c r="R81" i="5"/>
  <c r="B81" i="5"/>
  <c r="AD81" i="5"/>
  <c r="N81" i="5"/>
  <c r="AF81" i="5"/>
  <c r="P81" i="5"/>
  <c r="Z80" i="5"/>
  <c r="J80" i="5"/>
  <c r="X80" i="5"/>
  <c r="H80" i="5"/>
  <c r="AL80" i="5"/>
  <c r="V80" i="5"/>
  <c r="F80" i="5"/>
  <c r="AJ80" i="5"/>
  <c r="T80" i="5"/>
  <c r="D80" i="5"/>
  <c r="AH80" i="5"/>
  <c r="R80" i="5"/>
  <c r="B80" i="5"/>
  <c r="AF80" i="5"/>
  <c r="P80" i="5"/>
  <c r="A82" i="5" a="1"/>
  <c r="A82" i="5" s="1"/>
  <c r="AB80" i="5"/>
  <c r="L80" i="5"/>
  <c r="AD80" i="5"/>
  <c r="N80" i="5"/>
  <c r="I41" i="2"/>
  <c r="L40" i="9"/>
  <c r="L180" i="9"/>
  <c r="L110" i="9"/>
  <c r="AT17" i="10"/>
  <c r="O178" i="9"/>
  <c r="O108" i="9"/>
  <c r="I38" i="9" a="1"/>
  <c r="I38" i="9" s="1"/>
  <c r="N36" i="9"/>
  <c r="Q36" i="9" s="1"/>
  <c r="P36" i="9" s="1"/>
  <c r="F36" i="9"/>
  <c r="G36" i="9" s="1"/>
  <c r="J36" i="9"/>
  <c r="M39" i="9" a="1"/>
  <c r="D38" i="9" a="1"/>
  <c r="U40" i="2"/>
  <c r="N39" i="2" a="1"/>
  <c r="K39" i="2" a="1"/>
  <c r="L39" i="2" a="1"/>
  <c r="J39" i="2" a="1"/>
  <c r="M39" i="2" a="1"/>
  <c r="S40" i="2"/>
  <c r="R40" i="2"/>
  <c r="O39" i="2" a="1"/>
  <c r="T40" i="2"/>
  <c r="Q40" i="2"/>
  <c r="P40" i="2"/>
  <c r="M39" i="2" l="1"/>
  <c r="K39" i="2"/>
  <c r="K40" i="9"/>
  <c r="V40" i="2"/>
  <c r="O40" i="9" s="1"/>
  <c r="K110" i="9"/>
  <c r="O39" i="2"/>
  <c r="D38" i="9"/>
  <c r="K180" i="9"/>
  <c r="J39" i="2"/>
  <c r="L39" i="2"/>
  <c r="N39" i="2"/>
  <c r="M39" i="9"/>
  <c r="J37" i="9"/>
  <c r="N37" i="9"/>
  <c r="Q37" i="9" s="1"/>
  <c r="P37" i="9" s="1"/>
  <c r="F37" i="9"/>
  <c r="G37" i="9" s="1"/>
  <c r="AD82" i="5"/>
  <c r="N82" i="5"/>
  <c r="A84" i="5" a="1"/>
  <c r="A84" i="5" s="1"/>
  <c r="AB82" i="5"/>
  <c r="L82" i="5"/>
  <c r="Z82" i="5"/>
  <c r="J82" i="5"/>
  <c r="X82" i="5"/>
  <c r="H82" i="5"/>
  <c r="AL82" i="5"/>
  <c r="V82" i="5"/>
  <c r="F82" i="5"/>
  <c r="AJ82" i="5"/>
  <c r="T82" i="5"/>
  <c r="D82" i="5"/>
  <c r="AF82" i="5"/>
  <c r="P82" i="5"/>
  <c r="R82" i="5"/>
  <c r="AH82" i="5"/>
  <c r="B82" i="5"/>
  <c r="AF83" i="5"/>
  <c r="P83" i="5"/>
  <c r="AD83" i="5"/>
  <c r="N83" i="5"/>
  <c r="A85" i="5" a="1"/>
  <c r="A85" i="5" s="1"/>
  <c r="AB83" i="5"/>
  <c r="L83" i="5"/>
  <c r="Z83" i="5"/>
  <c r="J83" i="5"/>
  <c r="X83" i="5"/>
  <c r="H83" i="5"/>
  <c r="AL83" i="5"/>
  <c r="V83" i="5"/>
  <c r="F83" i="5"/>
  <c r="AH83" i="5"/>
  <c r="R83" i="5"/>
  <c r="B83" i="5"/>
  <c r="AJ83" i="5"/>
  <c r="T83" i="5"/>
  <c r="D83" i="5"/>
  <c r="I42" i="2"/>
  <c r="L41" i="9"/>
  <c r="L181" i="9"/>
  <c r="L111" i="9"/>
  <c r="O179" i="9"/>
  <c r="O109" i="9"/>
  <c r="C109" i="9" s="1"/>
  <c r="I39" i="9" a="1"/>
  <c r="I39" i="9" s="1"/>
  <c r="BA17" i="10"/>
  <c r="M110" i="9" a="1"/>
  <c r="M40" i="9" a="1"/>
  <c r="D39" i="9" a="1"/>
  <c r="U41" i="2"/>
  <c r="R41" i="2"/>
  <c r="Q41" i="2"/>
  <c r="S41" i="2"/>
  <c r="P41" i="2"/>
  <c r="T41" i="2"/>
  <c r="K40" i="2" a="1"/>
  <c r="L40" i="2" a="1"/>
  <c r="J40" i="2" a="1"/>
  <c r="O40" i="2" a="1"/>
  <c r="M40" i="2" a="1"/>
  <c r="N40" i="2" a="1"/>
  <c r="O40" i="2" l="1"/>
  <c r="K40" i="2"/>
  <c r="K111" i="9"/>
  <c r="D39" i="9"/>
  <c r="J40" i="2"/>
  <c r="L40" i="2"/>
  <c r="M40" i="9"/>
  <c r="M110" i="9"/>
  <c r="K41" i="9"/>
  <c r="V41" i="2"/>
  <c r="O41" i="9" s="1"/>
  <c r="K181" i="9"/>
  <c r="N40" i="2"/>
  <c r="M40" i="2"/>
  <c r="D109" i="9" a="1"/>
  <c r="D109" i="9" s="1"/>
  <c r="F109" i="9" s="1"/>
  <c r="G109" i="9" s="1"/>
  <c r="I109" i="9" a="1"/>
  <c r="I109" i="9" s="1"/>
  <c r="B109" i="9"/>
  <c r="M109" i="9" a="1"/>
  <c r="M109" i="9" s="1"/>
  <c r="J109" i="9"/>
  <c r="H109" i="9"/>
  <c r="E109" i="9" s="1"/>
  <c r="N109" i="9"/>
  <c r="Q109" i="9"/>
  <c r="P109" i="9" s="1"/>
  <c r="L42" i="9"/>
  <c r="I43" i="2"/>
  <c r="L112" i="9"/>
  <c r="L182" i="9"/>
  <c r="O180" i="9"/>
  <c r="O110" i="9"/>
  <c r="AT25" i="10"/>
  <c r="F38" i="9"/>
  <c r="G38" i="9" s="1"/>
  <c r="N38" i="9"/>
  <c r="Q38" i="9" s="1"/>
  <c r="P38" i="9" s="1"/>
  <c r="J38" i="9"/>
  <c r="AJ85" i="5"/>
  <c r="T85" i="5"/>
  <c r="D85" i="5"/>
  <c r="AH85" i="5"/>
  <c r="R85" i="5"/>
  <c r="B85" i="5"/>
  <c r="AF85" i="5"/>
  <c r="P85" i="5"/>
  <c r="AD85" i="5"/>
  <c r="N85" i="5"/>
  <c r="A87" i="5" a="1"/>
  <c r="A87" i="5" s="1"/>
  <c r="AB85" i="5"/>
  <c r="L85" i="5"/>
  <c r="Z85" i="5"/>
  <c r="J85" i="5"/>
  <c r="AL85" i="5"/>
  <c r="V85" i="5"/>
  <c r="F85" i="5"/>
  <c r="H85" i="5"/>
  <c r="X85" i="5"/>
  <c r="AH84" i="5"/>
  <c r="R84" i="5"/>
  <c r="B84" i="5"/>
  <c r="AF84" i="5"/>
  <c r="P84" i="5"/>
  <c r="AD84" i="5"/>
  <c r="N84" i="5"/>
  <c r="A86" i="5" a="1"/>
  <c r="A86" i="5" s="1"/>
  <c r="AB84" i="5"/>
  <c r="L84" i="5"/>
  <c r="Z84" i="5"/>
  <c r="J84" i="5"/>
  <c r="X84" i="5"/>
  <c r="H84" i="5"/>
  <c r="AJ84" i="5"/>
  <c r="T84" i="5"/>
  <c r="D84" i="5"/>
  <c r="V84" i="5"/>
  <c r="F84" i="5"/>
  <c r="AL84" i="5"/>
  <c r="I110" i="9" a="1"/>
  <c r="D110" i="9" a="1"/>
  <c r="I40" i="9" a="1"/>
  <c r="M41" i="9" a="1"/>
  <c r="D40" i="9" a="1"/>
  <c r="M41" i="2" a="1"/>
  <c r="P42" i="2"/>
  <c r="J41" i="2" a="1"/>
  <c r="R42" i="2"/>
  <c r="N41" i="2" a="1"/>
  <c r="O41" i="2" a="1"/>
  <c r="U42" i="2"/>
  <c r="L41" i="2" a="1"/>
  <c r="K41" i="2" a="1"/>
  <c r="S42" i="2"/>
  <c r="T42" i="2"/>
  <c r="Q42" i="2"/>
  <c r="K112" i="9" l="1"/>
  <c r="D40" i="9"/>
  <c r="L41" i="2"/>
  <c r="K182" i="9"/>
  <c r="J41" i="2"/>
  <c r="M41" i="2"/>
  <c r="M41" i="9"/>
  <c r="K41" i="2"/>
  <c r="N41" i="2"/>
  <c r="I40" i="9"/>
  <c r="K42" i="9"/>
  <c r="V42" i="2"/>
  <c r="O42" i="9" s="1"/>
  <c r="D110" i="9"/>
  <c r="I110" i="9"/>
  <c r="O41" i="2"/>
  <c r="L43" i="9"/>
  <c r="I44" i="2"/>
  <c r="L183" i="9"/>
  <c r="L113" i="9"/>
  <c r="F39" i="9"/>
  <c r="G39" i="9" s="1"/>
  <c r="J39" i="9"/>
  <c r="N39" i="9"/>
  <c r="Q39" i="9" s="1"/>
  <c r="P39" i="9" s="1"/>
  <c r="BA25" i="10"/>
  <c r="O181" i="9"/>
  <c r="O111" i="9"/>
  <c r="I41" i="9" a="1"/>
  <c r="I41" i="9" s="1"/>
  <c r="AL86" i="5"/>
  <c r="V86" i="5"/>
  <c r="F86" i="5"/>
  <c r="AJ86" i="5"/>
  <c r="T86" i="5"/>
  <c r="D86" i="5"/>
  <c r="AH86" i="5"/>
  <c r="R86" i="5"/>
  <c r="B86" i="5"/>
  <c r="AF86" i="5"/>
  <c r="P86" i="5"/>
  <c r="AD86" i="5"/>
  <c r="N86" i="5"/>
  <c r="A88" i="5" a="1"/>
  <c r="A88" i="5" s="1"/>
  <c r="AB86" i="5"/>
  <c r="L86" i="5"/>
  <c r="X86" i="5"/>
  <c r="H86" i="5"/>
  <c r="Z86" i="5"/>
  <c r="J86" i="5"/>
  <c r="X87" i="5"/>
  <c r="H87" i="5"/>
  <c r="AL87" i="5"/>
  <c r="V87" i="5"/>
  <c r="F87" i="5"/>
  <c r="AJ87" i="5"/>
  <c r="T87" i="5"/>
  <c r="D87" i="5"/>
  <c r="AH87" i="5"/>
  <c r="R87" i="5"/>
  <c r="B87" i="5"/>
  <c r="AF87" i="5"/>
  <c r="P87" i="5"/>
  <c r="AD87" i="5"/>
  <c r="N87" i="5"/>
  <c r="Z87" i="5"/>
  <c r="J87" i="5"/>
  <c r="L87" i="5"/>
  <c r="A89" i="5" a="1"/>
  <c r="A89" i="5" s="1"/>
  <c r="AB87" i="5"/>
  <c r="D41" i="9" a="1"/>
  <c r="M42" i="9" a="1"/>
  <c r="O42" i="2" a="1"/>
  <c r="P43" i="2"/>
  <c r="M42" i="2" a="1"/>
  <c r="R43" i="2"/>
  <c r="S43" i="2"/>
  <c r="L42" i="2" a="1"/>
  <c r="N42" i="2" a="1"/>
  <c r="K42" i="2" a="1"/>
  <c r="J42" i="2" a="1"/>
  <c r="T43" i="2"/>
  <c r="Q43" i="2"/>
  <c r="U43" i="2"/>
  <c r="J42" i="2" l="1"/>
  <c r="M42" i="9"/>
  <c r="D41" i="9"/>
  <c r="L42" i="2"/>
  <c r="K183" i="9"/>
  <c r="K43" i="9"/>
  <c r="V43" i="2"/>
  <c r="O43" i="9" s="1"/>
  <c r="O42" i="2"/>
  <c r="N42" i="2"/>
  <c r="K113" i="9"/>
  <c r="K42" i="2"/>
  <c r="M42" i="2"/>
  <c r="L44" i="9"/>
  <c r="I45" i="2"/>
  <c r="L114" i="9"/>
  <c r="L184" i="9"/>
  <c r="A91" i="5" a="1"/>
  <c r="A91" i="5" s="1"/>
  <c r="AB89" i="5"/>
  <c r="L89" i="5"/>
  <c r="Z89" i="5"/>
  <c r="J89" i="5"/>
  <c r="X89" i="5"/>
  <c r="H89" i="5"/>
  <c r="AL89" i="5"/>
  <c r="V89" i="5"/>
  <c r="F89" i="5"/>
  <c r="AJ89" i="5"/>
  <c r="T89" i="5"/>
  <c r="D89" i="5"/>
  <c r="AH89" i="5"/>
  <c r="R89" i="5"/>
  <c r="B89" i="5"/>
  <c r="AD89" i="5"/>
  <c r="N89" i="5"/>
  <c r="AF89" i="5"/>
  <c r="P89" i="5"/>
  <c r="Z88" i="5"/>
  <c r="J88" i="5"/>
  <c r="X88" i="5"/>
  <c r="H88" i="5"/>
  <c r="AL88" i="5"/>
  <c r="V88" i="5"/>
  <c r="F88" i="5"/>
  <c r="AJ88" i="5"/>
  <c r="T88" i="5"/>
  <c r="D88" i="5"/>
  <c r="AH88" i="5"/>
  <c r="R88" i="5"/>
  <c r="B88" i="5"/>
  <c r="AF88" i="5"/>
  <c r="P88" i="5"/>
  <c r="A90" i="5" a="1"/>
  <c r="A90" i="5" s="1"/>
  <c r="AB88" i="5"/>
  <c r="L88" i="5"/>
  <c r="AD88" i="5"/>
  <c r="N88" i="5"/>
  <c r="F40" i="9"/>
  <c r="G40" i="9" s="1"/>
  <c r="N40" i="9"/>
  <c r="Q40" i="9" s="1"/>
  <c r="P40" i="9" s="1"/>
  <c r="J40" i="9"/>
  <c r="AT33" i="10"/>
  <c r="F110" i="9"/>
  <c r="G110" i="9" s="1"/>
  <c r="N110" i="9"/>
  <c r="Q110" i="9" s="1"/>
  <c r="P110" i="9" s="1"/>
  <c r="J110" i="9"/>
  <c r="O182" i="9"/>
  <c r="O112" i="9"/>
  <c r="I42" i="9" a="1"/>
  <c r="I42" i="9" s="1"/>
  <c r="D42" i="9" a="1"/>
  <c r="M43" i="9" a="1"/>
  <c r="U44" i="2"/>
  <c r="O43" i="2" a="1"/>
  <c r="M43" i="2" a="1"/>
  <c r="T44" i="2"/>
  <c r="R44" i="2"/>
  <c r="K43" i="2" a="1"/>
  <c r="P44" i="2"/>
  <c r="Q44" i="2"/>
  <c r="L43" i="2" a="1"/>
  <c r="J43" i="2" a="1"/>
  <c r="S44" i="2"/>
  <c r="N43" i="2" a="1"/>
  <c r="K184" i="9" l="1"/>
  <c r="M43" i="9"/>
  <c r="N43" i="2"/>
  <c r="L43" i="2"/>
  <c r="K43" i="2"/>
  <c r="K44" i="9"/>
  <c r="V44" i="2"/>
  <c r="O44" i="9" s="1"/>
  <c r="J43" i="2"/>
  <c r="D42" i="9"/>
  <c r="K114" i="9"/>
  <c r="M43" i="2"/>
  <c r="O43" i="2"/>
  <c r="AD90" i="5"/>
  <c r="N90" i="5"/>
  <c r="A92" i="5" a="1"/>
  <c r="A92" i="5" s="1"/>
  <c r="AB90" i="5"/>
  <c r="L90" i="5"/>
  <c r="Z90" i="5"/>
  <c r="J90" i="5"/>
  <c r="X90" i="5"/>
  <c r="H90" i="5"/>
  <c r="AL90" i="5"/>
  <c r="V90" i="5"/>
  <c r="F90" i="5"/>
  <c r="AJ90" i="5"/>
  <c r="T90" i="5"/>
  <c r="D90" i="5"/>
  <c r="AF90" i="5"/>
  <c r="P90" i="5"/>
  <c r="B90" i="5"/>
  <c r="AH90" i="5"/>
  <c r="R90" i="5"/>
  <c r="BA33" i="10"/>
  <c r="L45" i="9"/>
  <c r="I46" i="2"/>
  <c r="L185" i="9"/>
  <c r="L115" i="9"/>
  <c r="F41" i="9"/>
  <c r="G41" i="9" s="1"/>
  <c r="J41" i="9"/>
  <c r="N41" i="9"/>
  <c r="Q41" i="9" s="1"/>
  <c r="P41" i="9" s="1"/>
  <c r="AF91" i="5"/>
  <c r="P91" i="5"/>
  <c r="AD91" i="5"/>
  <c r="N91" i="5"/>
  <c r="A93" i="5" a="1"/>
  <c r="A93" i="5" s="1"/>
  <c r="AB91" i="5"/>
  <c r="L91" i="5"/>
  <c r="Z91" i="5"/>
  <c r="J91" i="5"/>
  <c r="X91" i="5"/>
  <c r="H91" i="5"/>
  <c r="AL91" i="5"/>
  <c r="V91" i="5"/>
  <c r="F91" i="5"/>
  <c r="AH91" i="5"/>
  <c r="R91" i="5"/>
  <c r="B91" i="5"/>
  <c r="AJ91" i="5"/>
  <c r="T91" i="5"/>
  <c r="D91" i="5"/>
  <c r="O113" i="9"/>
  <c r="O183" i="9"/>
  <c r="I43" i="9" a="1"/>
  <c r="I43" i="9" s="1"/>
  <c r="M44" i="9" a="1"/>
  <c r="D43" i="9" a="1"/>
  <c r="L44" i="2" a="1"/>
  <c r="N44" i="2" a="1"/>
  <c r="U45" i="2"/>
  <c r="M44" i="2" a="1"/>
  <c r="T45" i="2"/>
  <c r="J44" i="2" a="1"/>
  <c r="R45" i="2"/>
  <c r="P45" i="2"/>
  <c r="O44" i="2" a="1"/>
  <c r="S45" i="2"/>
  <c r="Q45" i="2"/>
  <c r="K44" i="2" a="1"/>
  <c r="K44" i="2" l="1"/>
  <c r="O44" i="2"/>
  <c r="K185" i="9"/>
  <c r="N44" i="2"/>
  <c r="K45" i="9"/>
  <c r="V45" i="2"/>
  <c r="O45" i="9" s="1"/>
  <c r="D43" i="9"/>
  <c r="K115" i="9"/>
  <c r="M44" i="2"/>
  <c r="J44" i="2"/>
  <c r="L44" i="2"/>
  <c r="M44" i="9"/>
  <c r="AH92" i="5"/>
  <c r="R92" i="5"/>
  <c r="B92" i="5"/>
  <c r="AF92" i="5"/>
  <c r="P92" i="5"/>
  <c r="AD92" i="5"/>
  <c r="N92" i="5"/>
  <c r="A94" i="5" a="1"/>
  <c r="A94" i="5" s="1"/>
  <c r="AB92" i="5"/>
  <c r="L92" i="5"/>
  <c r="Z92" i="5"/>
  <c r="J92" i="5"/>
  <c r="X92" i="5"/>
  <c r="H92" i="5"/>
  <c r="AJ92" i="5"/>
  <c r="T92" i="5"/>
  <c r="D92" i="5"/>
  <c r="AL92" i="5"/>
  <c r="V92" i="5"/>
  <c r="F92" i="5"/>
  <c r="I47" i="2"/>
  <c r="L186" i="9"/>
  <c r="L46" i="9"/>
  <c r="L116" i="9"/>
  <c r="N42" i="9"/>
  <c r="Q42" i="9" s="1"/>
  <c r="P42" i="9" s="1"/>
  <c r="F42" i="9"/>
  <c r="G42" i="9" s="1"/>
  <c r="J42" i="9"/>
  <c r="AJ93" i="5"/>
  <c r="T93" i="5"/>
  <c r="D93" i="5"/>
  <c r="AH93" i="5"/>
  <c r="R93" i="5"/>
  <c r="B93" i="5"/>
  <c r="AF93" i="5"/>
  <c r="P93" i="5"/>
  <c r="AD93" i="5"/>
  <c r="N93" i="5"/>
  <c r="A95" i="5" a="1"/>
  <c r="A95" i="5" s="1"/>
  <c r="AB93" i="5"/>
  <c r="L93" i="5"/>
  <c r="Z93" i="5"/>
  <c r="J93" i="5"/>
  <c r="AL93" i="5"/>
  <c r="V93" i="5"/>
  <c r="F93" i="5"/>
  <c r="X93" i="5"/>
  <c r="H93" i="5"/>
  <c r="O114" i="9"/>
  <c r="O184" i="9"/>
  <c r="I44" i="9" a="1"/>
  <c r="I44" i="9" s="1"/>
  <c r="AT41" i="10"/>
  <c r="M45" i="9" a="1"/>
  <c r="D44" i="9" a="1"/>
  <c r="K45" i="2" a="1"/>
  <c r="P46" i="2"/>
  <c r="U46" i="2"/>
  <c r="M45" i="2" a="1"/>
  <c r="T46" i="2"/>
  <c r="R46" i="2"/>
  <c r="L45" i="2" a="1"/>
  <c r="J45" i="2" a="1"/>
  <c r="S46" i="2"/>
  <c r="Q46" i="2"/>
  <c r="N45" i="2" a="1"/>
  <c r="O45" i="2" a="1"/>
  <c r="J45" i="2" l="1"/>
  <c r="D44" i="9"/>
  <c r="K46" i="9"/>
  <c r="V46" i="2"/>
  <c r="O46" i="9" s="1"/>
  <c r="O45" i="2"/>
  <c r="M45" i="9"/>
  <c r="K116" i="9"/>
  <c r="M45" i="2"/>
  <c r="L45" i="2"/>
  <c r="K186" i="9"/>
  <c r="K45" i="2"/>
  <c r="N45" i="2"/>
  <c r="L47" i="9"/>
  <c r="I48" i="2"/>
  <c r="L187" i="9"/>
  <c r="L117" i="9"/>
  <c r="O185" i="9"/>
  <c r="O115" i="9"/>
  <c r="I45" i="9" a="1"/>
  <c r="I45" i="9" s="1"/>
  <c r="X95" i="5"/>
  <c r="H95" i="5"/>
  <c r="AL95" i="5"/>
  <c r="V95" i="5"/>
  <c r="F95" i="5"/>
  <c r="AJ95" i="5"/>
  <c r="T95" i="5"/>
  <c r="D95" i="5"/>
  <c r="AH95" i="5"/>
  <c r="R95" i="5"/>
  <c r="B95" i="5"/>
  <c r="AF95" i="5"/>
  <c r="P95" i="5"/>
  <c r="AD95" i="5"/>
  <c r="N95" i="5"/>
  <c r="Z95" i="5"/>
  <c r="J95" i="5"/>
  <c r="AB95" i="5"/>
  <c r="L95" i="5"/>
  <c r="A97" i="5" a="1"/>
  <c r="A97" i="5" s="1"/>
  <c r="AL94" i="5"/>
  <c r="V94" i="5"/>
  <c r="F94" i="5"/>
  <c r="AJ94" i="5"/>
  <c r="T94" i="5"/>
  <c r="D94" i="5"/>
  <c r="AH94" i="5"/>
  <c r="R94" i="5"/>
  <c r="B94" i="5"/>
  <c r="AF94" i="5"/>
  <c r="P94" i="5"/>
  <c r="AD94" i="5"/>
  <c r="N94" i="5"/>
  <c r="A96" i="5" a="1"/>
  <c r="A96" i="5" s="1"/>
  <c r="AB94" i="5"/>
  <c r="L94" i="5"/>
  <c r="X94" i="5"/>
  <c r="H94" i="5"/>
  <c r="Z94" i="5"/>
  <c r="J94" i="5"/>
  <c r="BA41" i="10"/>
  <c r="F43" i="9"/>
  <c r="G43" i="9" s="1"/>
  <c r="N43" i="9"/>
  <c r="Q43" i="9" s="1"/>
  <c r="P43" i="9" s="1"/>
  <c r="J43" i="9"/>
  <c r="D45" i="9" a="1"/>
  <c r="M46" i="9" a="1"/>
  <c r="L46" i="2" a="1"/>
  <c r="Q47" i="2"/>
  <c r="K46" i="2" a="1"/>
  <c r="P47" i="2"/>
  <c r="U47" i="2"/>
  <c r="T47" i="2"/>
  <c r="R47" i="2"/>
  <c r="N46" i="2" a="1"/>
  <c r="M46" i="2" a="1"/>
  <c r="O46" i="2" a="1"/>
  <c r="S47" i="2"/>
  <c r="J46" i="2" a="1"/>
  <c r="K187" i="9" l="1"/>
  <c r="L46" i="2"/>
  <c r="K47" i="9"/>
  <c r="V47" i="2"/>
  <c r="O47" i="9" s="1"/>
  <c r="K117" i="9"/>
  <c r="J46" i="2"/>
  <c r="M46" i="2"/>
  <c r="M46" i="9"/>
  <c r="K46" i="2"/>
  <c r="D45" i="9"/>
  <c r="N46" i="2"/>
  <c r="O46" i="2"/>
  <c r="BI1" i="10"/>
  <c r="A99" i="5" a="1"/>
  <c r="A99" i="5" s="1"/>
  <c r="AB97" i="5"/>
  <c r="L97" i="5"/>
  <c r="Z97" i="5"/>
  <c r="J97" i="5"/>
  <c r="X97" i="5"/>
  <c r="H97" i="5"/>
  <c r="AL97" i="5"/>
  <c r="V97" i="5"/>
  <c r="F97" i="5"/>
  <c r="AJ97" i="5"/>
  <c r="T97" i="5"/>
  <c r="D97" i="5"/>
  <c r="AH97" i="5"/>
  <c r="R97" i="5"/>
  <c r="B97" i="5"/>
  <c r="AD97" i="5"/>
  <c r="N97" i="5"/>
  <c r="AF97" i="5"/>
  <c r="P97" i="5"/>
  <c r="I49" i="2"/>
  <c r="L48" i="9"/>
  <c r="L188" i="9"/>
  <c r="L118" i="9"/>
  <c r="O186" i="9"/>
  <c r="O116" i="9"/>
  <c r="I46" i="9" a="1"/>
  <c r="I46" i="9" s="1"/>
  <c r="N44" i="9"/>
  <c r="Q44" i="9" s="1"/>
  <c r="P44" i="9" s="1"/>
  <c r="F44" i="9"/>
  <c r="G44" i="9" s="1"/>
  <c r="J44" i="9"/>
  <c r="Z96" i="5"/>
  <c r="J96" i="5"/>
  <c r="X96" i="5"/>
  <c r="H96" i="5"/>
  <c r="AL96" i="5"/>
  <c r="V96" i="5"/>
  <c r="F96" i="5"/>
  <c r="AJ96" i="5"/>
  <c r="T96" i="5"/>
  <c r="D96" i="5"/>
  <c r="AH96" i="5"/>
  <c r="R96" i="5"/>
  <c r="B96" i="5"/>
  <c r="AF96" i="5"/>
  <c r="P96" i="5"/>
  <c r="A98" i="5" a="1"/>
  <c r="A98" i="5" s="1"/>
  <c r="AB96" i="5"/>
  <c r="L96" i="5"/>
  <c r="N96" i="5"/>
  <c r="AD96" i="5"/>
  <c r="D46" i="9" a="1"/>
  <c r="M47" i="9" a="1"/>
  <c r="R48" i="2"/>
  <c r="J47" i="2" a="1"/>
  <c r="L47" i="2" a="1"/>
  <c r="O47" i="2" a="1"/>
  <c r="M47" i="2" a="1"/>
  <c r="U48" i="2"/>
  <c r="T48" i="2"/>
  <c r="Q48" i="2"/>
  <c r="S48" i="2"/>
  <c r="K47" i="2" a="1"/>
  <c r="N47" i="2" a="1"/>
  <c r="P48" i="2"/>
  <c r="K47" i="2" l="1"/>
  <c r="O47" i="2"/>
  <c r="J47" i="2"/>
  <c r="N47" i="2"/>
  <c r="K48" i="9"/>
  <c r="M48" i="9" s="1" a="1"/>
  <c r="M48" i="9" s="1"/>
  <c r="V48" i="2"/>
  <c r="O48" i="9" s="1"/>
  <c r="M47" i="9"/>
  <c r="K118" i="9"/>
  <c r="M47" i="2"/>
  <c r="L47" i="2"/>
  <c r="K188" i="9"/>
  <c r="D46" i="9"/>
  <c r="J45" i="9"/>
  <c r="N45" i="9"/>
  <c r="Q45" i="9" s="1"/>
  <c r="P45" i="9" s="1"/>
  <c r="F45" i="9"/>
  <c r="G45" i="9" s="1"/>
  <c r="AD98" i="5"/>
  <c r="N98" i="5"/>
  <c r="A100" i="5" a="1"/>
  <c r="A100" i="5" s="1"/>
  <c r="AB98" i="5"/>
  <c r="L98" i="5"/>
  <c r="Z98" i="5"/>
  <c r="J98" i="5"/>
  <c r="X98" i="5"/>
  <c r="H98" i="5"/>
  <c r="AL98" i="5"/>
  <c r="V98" i="5"/>
  <c r="F98" i="5"/>
  <c r="AJ98" i="5"/>
  <c r="T98" i="5"/>
  <c r="D98" i="5"/>
  <c r="AF98" i="5"/>
  <c r="P98" i="5"/>
  <c r="R98" i="5"/>
  <c r="B98" i="5"/>
  <c r="AH98" i="5"/>
  <c r="I50" i="2"/>
  <c r="L119" i="9"/>
  <c r="L49" i="9"/>
  <c r="L189" i="9"/>
  <c r="O187" i="9"/>
  <c r="O117" i="9"/>
  <c r="I47" i="9" a="1"/>
  <c r="I47" i="9" s="1"/>
  <c r="AF99" i="5"/>
  <c r="P99" i="5"/>
  <c r="AD99" i="5"/>
  <c r="N99" i="5"/>
  <c r="A101" i="5" a="1"/>
  <c r="A101" i="5" s="1"/>
  <c r="AB99" i="5"/>
  <c r="L99" i="5"/>
  <c r="Z99" i="5"/>
  <c r="J99" i="5"/>
  <c r="X99" i="5"/>
  <c r="H99" i="5"/>
  <c r="AL99" i="5"/>
  <c r="V99" i="5"/>
  <c r="F99" i="5"/>
  <c r="AH99" i="5"/>
  <c r="R99" i="5"/>
  <c r="B99" i="5"/>
  <c r="D99" i="5"/>
  <c r="AJ99" i="5"/>
  <c r="T99" i="5"/>
  <c r="BP1" i="10"/>
  <c r="D47" i="9" a="1"/>
  <c r="P49" i="2"/>
  <c r="K48" i="2" a="1"/>
  <c r="L48" i="2" a="1"/>
  <c r="N48" i="2" a="1"/>
  <c r="U49" i="2"/>
  <c r="R49" i="2"/>
  <c r="Q49" i="2"/>
  <c r="O48" i="2" a="1"/>
  <c r="J48" i="2" a="1"/>
  <c r="M48" i="2" a="1"/>
  <c r="S49" i="2"/>
  <c r="T49" i="2"/>
  <c r="J48" i="2" l="1"/>
  <c r="K189" i="9"/>
  <c r="K48" i="2"/>
  <c r="D47" i="9"/>
  <c r="K119" i="9"/>
  <c r="M48" i="2"/>
  <c r="O48" i="2"/>
  <c r="N48" i="2"/>
  <c r="K49" i="9"/>
  <c r="V49" i="2"/>
  <c r="O49" i="9" s="1"/>
  <c r="L48" i="2"/>
  <c r="I51" i="2"/>
  <c r="AH100" i="5"/>
  <c r="R100" i="5"/>
  <c r="B100" i="5"/>
  <c r="AF100" i="5"/>
  <c r="P100" i="5"/>
  <c r="AD100" i="5"/>
  <c r="N100" i="5"/>
  <c r="A102" i="5" a="1"/>
  <c r="A102" i="5" s="1"/>
  <c r="AB100" i="5"/>
  <c r="L100" i="5"/>
  <c r="Z100" i="5"/>
  <c r="J100" i="5"/>
  <c r="X100" i="5"/>
  <c r="H100" i="5"/>
  <c r="AJ100" i="5"/>
  <c r="T100" i="5"/>
  <c r="D100" i="5"/>
  <c r="AL100" i="5"/>
  <c r="V100" i="5"/>
  <c r="F100" i="5"/>
  <c r="BI9" i="10"/>
  <c r="AJ101" i="5"/>
  <c r="T101" i="5"/>
  <c r="D101" i="5"/>
  <c r="AH101" i="5"/>
  <c r="R101" i="5"/>
  <c r="B101" i="5"/>
  <c r="AF101" i="5"/>
  <c r="P101" i="5"/>
  <c r="AD101" i="5"/>
  <c r="N101" i="5"/>
  <c r="A103" i="5" a="1"/>
  <c r="A103" i="5" s="1"/>
  <c r="AB101" i="5"/>
  <c r="L101" i="5"/>
  <c r="Z101" i="5"/>
  <c r="J101" i="5"/>
  <c r="AL101" i="5"/>
  <c r="V101" i="5"/>
  <c r="F101" i="5"/>
  <c r="H101" i="5"/>
  <c r="X101" i="5"/>
  <c r="F46" i="9"/>
  <c r="G46" i="9" s="1"/>
  <c r="N46" i="9"/>
  <c r="Q46" i="9" s="1"/>
  <c r="P46" i="9" s="1"/>
  <c r="J46" i="9"/>
  <c r="O188" i="9"/>
  <c r="O118" i="9"/>
  <c r="I48" i="9" a="1"/>
  <c r="I48" i="9" s="1"/>
  <c r="E48" i="9" s="1"/>
  <c r="M49" i="9" a="1"/>
  <c r="D48" i="9" a="1"/>
  <c r="L49" i="2" a="1"/>
  <c r="P50" i="2"/>
  <c r="O49" i="2" a="1"/>
  <c r="M49" i="2" a="1"/>
  <c r="Q50" i="2"/>
  <c r="R50" i="2"/>
  <c r="U50" i="2"/>
  <c r="T50" i="2"/>
  <c r="S50" i="2"/>
  <c r="N49" i="2" a="1"/>
  <c r="K49" i="2" a="1"/>
  <c r="J49" i="2" a="1"/>
  <c r="K50" i="9" l="1"/>
  <c r="V50" i="2"/>
  <c r="O50" i="9" s="1"/>
  <c r="K49" i="2"/>
  <c r="D48" i="9"/>
  <c r="M49" i="9"/>
  <c r="K120" i="9"/>
  <c r="O49" i="2"/>
  <c r="L49" i="2"/>
  <c r="J49" i="2"/>
  <c r="N49" i="2"/>
  <c r="K190" i="9"/>
  <c r="M49" i="2"/>
  <c r="O119" i="9"/>
  <c r="O189" i="9"/>
  <c r="I49" i="9" a="1"/>
  <c r="I49" i="9" s="1"/>
  <c r="BP9" i="10"/>
  <c r="F47" i="9"/>
  <c r="G47" i="9" s="1"/>
  <c r="J47" i="9"/>
  <c r="N47" i="9"/>
  <c r="Q47" i="9" s="1"/>
  <c r="P47" i="9" s="1"/>
  <c r="L51" i="9"/>
  <c r="I52" i="2"/>
  <c r="L191" i="9"/>
  <c r="L121" i="9"/>
  <c r="AL102" i="5"/>
  <c r="V102" i="5"/>
  <c r="F102" i="5"/>
  <c r="AJ102" i="5"/>
  <c r="T102" i="5"/>
  <c r="D102" i="5"/>
  <c r="AH102" i="5"/>
  <c r="R102" i="5"/>
  <c r="B102" i="5"/>
  <c r="AF102" i="5"/>
  <c r="P102" i="5"/>
  <c r="AD102" i="5"/>
  <c r="N102" i="5"/>
  <c r="A104" i="5" a="1"/>
  <c r="A104" i="5" s="1"/>
  <c r="AB102" i="5"/>
  <c r="L102" i="5"/>
  <c r="X102" i="5"/>
  <c r="H102" i="5"/>
  <c r="Z102" i="5"/>
  <c r="J102" i="5"/>
  <c r="X103" i="5"/>
  <c r="H103" i="5"/>
  <c r="AL103" i="5"/>
  <c r="V103" i="5"/>
  <c r="F103" i="5"/>
  <c r="AJ103" i="5"/>
  <c r="T103" i="5"/>
  <c r="D103" i="5"/>
  <c r="AH103" i="5"/>
  <c r="R103" i="5"/>
  <c r="B103" i="5"/>
  <c r="AF103" i="5"/>
  <c r="P103" i="5"/>
  <c r="AD103" i="5"/>
  <c r="N103" i="5"/>
  <c r="Z103" i="5"/>
  <c r="J103" i="5"/>
  <c r="AB103" i="5"/>
  <c r="L103" i="5"/>
  <c r="A105" i="5" a="1"/>
  <c r="A105" i="5" s="1"/>
  <c r="D49" i="9" a="1"/>
  <c r="L50" i="2" a="1"/>
  <c r="O50" i="2" a="1"/>
  <c r="Q51" i="2"/>
  <c r="J50" i="2" a="1"/>
  <c r="T51" i="2"/>
  <c r="U51" i="2"/>
  <c r="S51" i="2"/>
  <c r="M50" i="2" a="1"/>
  <c r="N50" i="2" a="1"/>
  <c r="R51" i="2"/>
  <c r="P51" i="2"/>
  <c r="K50" i="2" a="1"/>
  <c r="D49" i="9" l="1"/>
  <c r="O50" i="2"/>
  <c r="K191" i="9"/>
  <c r="N50" i="2"/>
  <c r="K51" i="9"/>
  <c r="V51" i="2"/>
  <c r="O51" i="9" s="1"/>
  <c r="M50" i="2"/>
  <c r="J50" i="2"/>
  <c r="K121" i="9"/>
  <c r="L50" i="2"/>
  <c r="K50" i="2"/>
  <c r="Z104" i="5"/>
  <c r="J104" i="5"/>
  <c r="X104" i="5"/>
  <c r="H104" i="5"/>
  <c r="AL104" i="5"/>
  <c r="V104" i="5"/>
  <c r="F104" i="5"/>
  <c r="AJ104" i="5"/>
  <c r="T104" i="5"/>
  <c r="D104" i="5"/>
  <c r="AH104" i="5"/>
  <c r="R104" i="5"/>
  <c r="B104" i="5"/>
  <c r="AF104" i="5"/>
  <c r="P104" i="5"/>
  <c r="A106" i="5" a="1"/>
  <c r="A106" i="5" s="1"/>
  <c r="AB104" i="5"/>
  <c r="L104" i="5"/>
  <c r="AD104" i="5"/>
  <c r="N104" i="5"/>
  <c r="BI17" i="10"/>
  <c r="F48" i="9"/>
  <c r="G48" i="9" s="1"/>
  <c r="J48" i="9"/>
  <c r="N48" i="9"/>
  <c r="Q48" i="9" s="1"/>
  <c r="P48" i="9" s="1"/>
  <c r="O190" i="9"/>
  <c r="O120" i="9"/>
  <c r="I53" i="2"/>
  <c r="A107" i="5" a="1"/>
  <c r="A107" i="5" s="1"/>
  <c r="AB105" i="5"/>
  <c r="L105" i="5"/>
  <c r="Z105" i="5"/>
  <c r="J105" i="5"/>
  <c r="X105" i="5"/>
  <c r="H105" i="5"/>
  <c r="AL105" i="5"/>
  <c r="V105" i="5"/>
  <c r="F105" i="5"/>
  <c r="AJ105" i="5"/>
  <c r="T105" i="5"/>
  <c r="D105" i="5"/>
  <c r="AH105" i="5"/>
  <c r="R105" i="5"/>
  <c r="B105" i="5"/>
  <c r="AD105" i="5"/>
  <c r="N105" i="5"/>
  <c r="AF105" i="5"/>
  <c r="P105" i="5"/>
  <c r="M51" i="9" a="1"/>
  <c r="S52" i="2"/>
  <c r="O51" i="2" a="1"/>
  <c r="K51" i="2" a="1"/>
  <c r="R52" i="2"/>
  <c r="N51" i="2" a="1"/>
  <c r="U52" i="2"/>
  <c r="L51" i="2" a="1"/>
  <c r="T52" i="2"/>
  <c r="P52" i="2"/>
  <c r="J51" i="2" a="1"/>
  <c r="M51" i="2" a="1"/>
  <c r="Q52" i="2"/>
  <c r="K122" i="9" l="1"/>
  <c r="M51" i="9"/>
  <c r="K51" i="2"/>
  <c r="L51" i="2"/>
  <c r="K192" i="9"/>
  <c r="M51" i="2"/>
  <c r="J51" i="2"/>
  <c r="N51" i="2"/>
  <c r="K52" i="9"/>
  <c r="V52" i="2"/>
  <c r="O52" i="9" s="1"/>
  <c r="O51" i="2"/>
  <c r="BP17" i="10"/>
  <c r="AD106" i="5"/>
  <c r="N106" i="5"/>
  <c r="A108" i="5" a="1"/>
  <c r="A108" i="5" s="1"/>
  <c r="AB106" i="5"/>
  <c r="L106" i="5"/>
  <c r="Z106" i="5"/>
  <c r="J106" i="5"/>
  <c r="X106" i="5"/>
  <c r="H106" i="5"/>
  <c r="AL106" i="5"/>
  <c r="V106" i="5"/>
  <c r="F106" i="5"/>
  <c r="AJ106" i="5"/>
  <c r="T106" i="5"/>
  <c r="D106" i="5"/>
  <c r="AF106" i="5"/>
  <c r="P106" i="5"/>
  <c r="AH106" i="5"/>
  <c r="R106" i="5"/>
  <c r="B106" i="5"/>
  <c r="F49" i="9"/>
  <c r="G49" i="9" s="1"/>
  <c r="J49" i="9"/>
  <c r="N49" i="9"/>
  <c r="Q49" i="9" s="1"/>
  <c r="P49" i="9" s="1"/>
  <c r="L53" i="9"/>
  <c r="I54" i="2"/>
  <c r="L123" i="9"/>
  <c r="L193" i="9"/>
  <c r="AF107" i="5"/>
  <c r="P107" i="5"/>
  <c r="AD107" i="5"/>
  <c r="N107" i="5"/>
  <c r="A109" i="5" a="1"/>
  <c r="A109" i="5" s="1"/>
  <c r="AB107" i="5"/>
  <c r="L107" i="5"/>
  <c r="Z107" i="5"/>
  <c r="J107" i="5"/>
  <c r="X107" i="5"/>
  <c r="H107" i="5"/>
  <c r="AL107" i="5"/>
  <c r="V107" i="5"/>
  <c r="F107" i="5"/>
  <c r="AH107" i="5"/>
  <c r="R107" i="5"/>
  <c r="B107" i="5"/>
  <c r="T107" i="5"/>
  <c r="AJ107" i="5"/>
  <c r="D107" i="5"/>
  <c r="O191" i="9"/>
  <c r="O121" i="9"/>
  <c r="I51" i="9" a="1"/>
  <c r="I51" i="9" s="1"/>
  <c r="D51" i="9" a="1"/>
  <c r="K52" i="2" a="1"/>
  <c r="R53" i="2"/>
  <c r="O52" i="2" a="1"/>
  <c r="J52" i="2" a="1"/>
  <c r="U53" i="2"/>
  <c r="S53" i="2"/>
  <c r="L52" i="2" a="1"/>
  <c r="P53" i="2"/>
  <c r="N52" i="2" a="1"/>
  <c r="T53" i="2"/>
  <c r="M52" i="2" a="1"/>
  <c r="Q53" i="2"/>
  <c r="L52" i="2" l="1"/>
  <c r="J52" i="2"/>
  <c r="K193" i="9"/>
  <c r="K123" i="9"/>
  <c r="D51" i="9"/>
  <c r="N52" i="2"/>
  <c r="K53" i="9"/>
  <c r="V53" i="2"/>
  <c r="O53" i="9" s="1"/>
  <c r="O52" i="2"/>
  <c r="K52" i="2"/>
  <c r="M52" i="2"/>
  <c r="O192" i="9"/>
  <c r="O122" i="9"/>
  <c r="AH108" i="5"/>
  <c r="R108" i="5"/>
  <c r="B108" i="5"/>
  <c r="AF108" i="5"/>
  <c r="P108" i="5"/>
  <c r="AD108" i="5"/>
  <c r="N108" i="5"/>
  <c r="A110" i="5" a="1"/>
  <c r="A110" i="5" s="1"/>
  <c r="AB108" i="5"/>
  <c r="L108" i="5"/>
  <c r="Z108" i="5"/>
  <c r="J108" i="5"/>
  <c r="X108" i="5"/>
  <c r="H108" i="5"/>
  <c r="AJ108" i="5"/>
  <c r="T108" i="5"/>
  <c r="D108" i="5"/>
  <c r="AL108" i="5"/>
  <c r="V108" i="5"/>
  <c r="F108" i="5"/>
  <c r="I55" i="2"/>
  <c r="L54" i="9"/>
  <c r="L194" i="9"/>
  <c r="L124" i="9"/>
  <c r="BI25" i="10"/>
  <c r="AJ109" i="5"/>
  <c r="T109" i="5"/>
  <c r="D109" i="5"/>
  <c r="AH109" i="5"/>
  <c r="R109" i="5"/>
  <c r="B109" i="5"/>
  <c r="AF109" i="5"/>
  <c r="P109" i="5"/>
  <c r="AD109" i="5"/>
  <c r="N109" i="5"/>
  <c r="A111" i="5" a="1"/>
  <c r="A111" i="5" s="1"/>
  <c r="AB109" i="5"/>
  <c r="L109" i="5"/>
  <c r="Z109" i="5"/>
  <c r="J109" i="5"/>
  <c r="AL109" i="5"/>
  <c r="V109" i="5"/>
  <c r="F109" i="5"/>
  <c r="X109" i="5"/>
  <c r="H109" i="5"/>
  <c r="M53" i="9" a="1"/>
  <c r="O53" i="2" a="1"/>
  <c r="P54" i="2"/>
  <c r="J53" i="2" a="1"/>
  <c r="M53" i="2" a="1"/>
  <c r="R54" i="2"/>
  <c r="U54" i="2"/>
  <c r="Q54" i="2"/>
  <c r="K53" i="2" a="1"/>
  <c r="S54" i="2"/>
  <c r="T54" i="2"/>
  <c r="L53" i="2" a="1"/>
  <c r="N53" i="2" a="1"/>
  <c r="N53" i="2" l="1"/>
  <c r="K54" i="9"/>
  <c r="V54" i="2"/>
  <c r="O54" i="9" s="1"/>
  <c r="K53" i="2"/>
  <c r="K124" i="9"/>
  <c r="K194" i="9"/>
  <c r="M53" i="2"/>
  <c r="O53" i="2"/>
  <c r="J53" i="2"/>
  <c r="L53" i="2"/>
  <c r="M53" i="9"/>
  <c r="F51" i="9"/>
  <c r="G51" i="9" s="1"/>
  <c r="N51" i="9"/>
  <c r="Q51" i="9" s="1"/>
  <c r="P51" i="9" s="1"/>
  <c r="J51" i="9"/>
  <c r="X111" i="5"/>
  <c r="H111" i="5"/>
  <c r="AL111" i="5"/>
  <c r="V111" i="5"/>
  <c r="F111" i="5"/>
  <c r="AJ111" i="5"/>
  <c r="T111" i="5"/>
  <c r="D111" i="5"/>
  <c r="AH111" i="5"/>
  <c r="R111" i="5"/>
  <c r="B111" i="5"/>
  <c r="AF111" i="5"/>
  <c r="P111" i="5"/>
  <c r="AD111" i="5"/>
  <c r="N111" i="5"/>
  <c r="Z111" i="5"/>
  <c r="J111" i="5"/>
  <c r="AB111" i="5"/>
  <c r="A113" i="5" a="1"/>
  <c r="A113" i="5" s="1"/>
  <c r="L111" i="5"/>
  <c r="AL110" i="5"/>
  <c r="V110" i="5"/>
  <c r="F110" i="5"/>
  <c r="AJ110" i="5"/>
  <c r="T110" i="5"/>
  <c r="D110" i="5"/>
  <c r="AH110" i="5"/>
  <c r="R110" i="5"/>
  <c r="B110" i="5"/>
  <c r="AF110" i="5"/>
  <c r="P110" i="5"/>
  <c r="AD110" i="5"/>
  <c r="N110" i="5"/>
  <c r="A112" i="5" a="1"/>
  <c r="A112" i="5" s="1"/>
  <c r="AB110" i="5"/>
  <c r="L110" i="5"/>
  <c r="X110" i="5"/>
  <c r="H110" i="5"/>
  <c r="J110" i="5"/>
  <c r="Z110" i="5"/>
  <c r="BP25" i="10"/>
  <c r="O193" i="9"/>
  <c r="O123" i="9"/>
  <c r="I53" i="9" a="1"/>
  <c r="I53" i="9" s="1"/>
  <c r="L55" i="9"/>
  <c r="I56" i="2"/>
  <c r="L195" i="9"/>
  <c r="L125" i="9"/>
  <c r="M54" i="9" a="1"/>
  <c r="D53" i="9" a="1"/>
  <c r="J54" i="2" a="1"/>
  <c r="K54" i="2" a="1"/>
  <c r="N54" i="2" a="1"/>
  <c r="P55" i="2"/>
  <c r="O54" i="2" a="1"/>
  <c r="Q55" i="2"/>
  <c r="U55" i="2"/>
  <c r="R55" i="2"/>
  <c r="S55" i="2"/>
  <c r="M54" i="2" a="1"/>
  <c r="L54" i="2" a="1"/>
  <c r="T55" i="2"/>
  <c r="K195" i="9" l="1"/>
  <c r="N54" i="2"/>
  <c r="O54" i="2"/>
  <c r="K54" i="2"/>
  <c r="K125" i="9"/>
  <c r="M54" i="2"/>
  <c r="D53" i="9"/>
  <c r="K55" i="9"/>
  <c r="V55" i="2"/>
  <c r="O55" i="9" s="1"/>
  <c r="J54" i="2"/>
  <c r="M54" i="9"/>
  <c r="L54" i="2"/>
  <c r="A115" i="5" a="1"/>
  <c r="A115" i="5" s="1"/>
  <c r="AB113" i="5"/>
  <c r="L113" i="5"/>
  <c r="Z113" i="5"/>
  <c r="J113" i="5"/>
  <c r="X113" i="5"/>
  <c r="H113" i="5"/>
  <c r="AL113" i="5"/>
  <c r="V113" i="5"/>
  <c r="F113" i="5"/>
  <c r="AJ113" i="5"/>
  <c r="T113" i="5"/>
  <c r="D113" i="5"/>
  <c r="AH113" i="5"/>
  <c r="R113" i="5"/>
  <c r="B113" i="5"/>
  <c r="AD113" i="5"/>
  <c r="N113" i="5"/>
  <c r="AF113" i="5"/>
  <c r="P113" i="5"/>
  <c r="BI33" i="10"/>
  <c r="Z112" i="5"/>
  <c r="J112" i="5"/>
  <c r="X112" i="5"/>
  <c r="H112" i="5"/>
  <c r="AL112" i="5"/>
  <c r="V112" i="5"/>
  <c r="F112" i="5"/>
  <c r="AJ112" i="5"/>
  <c r="T112" i="5"/>
  <c r="D112" i="5"/>
  <c r="AH112" i="5"/>
  <c r="R112" i="5"/>
  <c r="B112" i="5"/>
  <c r="AF112" i="5"/>
  <c r="P112" i="5"/>
  <c r="A114" i="5" a="1"/>
  <c r="A114" i="5" s="1"/>
  <c r="AB112" i="5"/>
  <c r="L112" i="5"/>
  <c r="N112" i="5"/>
  <c r="AD112" i="5"/>
  <c r="O194" i="9"/>
  <c r="O124" i="9"/>
  <c r="I54" i="9" a="1"/>
  <c r="I54" i="9" s="1"/>
  <c r="I57" i="2"/>
  <c r="L56" i="9"/>
  <c r="L196" i="9"/>
  <c r="L126" i="9"/>
  <c r="M55" i="9" a="1"/>
  <c r="D54" i="9" a="1"/>
  <c r="T56" i="2"/>
  <c r="U56" i="2"/>
  <c r="K55" i="2" a="1"/>
  <c r="P56" i="2"/>
  <c r="L55" i="2" a="1"/>
  <c r="M55" i="2" a="1"/>
  <c r="Q56" i="2"/>
  <c r="N55" i="2" a="1"/>
  <c r="R56" i="2"/>
  <c r="O55" i="2" a="1"/>
  <c r="J55" i="2" a="1"/>
  <c r="S56" i="2"/>
  <c r="D54" i="9" l="1"/>
  <c r="N55" i="2"/>
  <c r="J55" i="2"/>
  <c r="K55" i="2"/>
  <c r="M55" i="9"/>
  <c r="K56" i="9"/>
  <c r="V56" i="2"/>
  <c r="O56" i="9" s="1"/>
  <c r="O55" i="2"/>
  <c r="K126" i="9"/>
  <c r="M55" i="2"/>
  <c r="L55" i="2"/>
  <c r="K196" i="9"/>
  <c r="AD114" i="5"/>
  <c r="N114" i="5"/>
  <c r="A116" i="5" a="1"/>
  <c r="A116" i="5" s="1"/>
  <c r="AB114" i="5"/>
  <c r="L114" i="5"/>
  <c r="Z114" i="5"/>
  <c r="J114" i="5"/>
  <c r="X114" i="5"/>
  <c r="H114" i="5"/>
  <c r="AL114" i="5"/>
  <c r="V114" i="5"/>
  <c r="F114" i="5"/>
  <c r="AJ114" i="5"/>
  <c r="T114" i="5"/>
  <c r="D114" i="5"/>
  <c r="AF114" i="5"/>
  <c r="P114" i="5"/>
  <c r="AH114" i="5"/>
  <c r="R114" i="5"/>
  <c r="B114" i="5"/>
  <c r="BP33" i="10"/>
  <c r="O195" i="9"/>
  <c r="O125" i="9"/>
  <c r="I55" i="9" a="1"/>
  <c r="I55" i="9" s="1"/>
  <c r="I58" i="2"/>
  <c r="L57" i="9"/>
  <c r="L197" i="9"/>
  <c r="L127" i="9"/>
  <c r="J53" i="9"/>
  <c r="N53" i="9"/>
  <c r="Q53" i="9" s="1"/>
  <c r="P53" i="9" s="1"/>
  <c r="F53" i="9"/>
  <c r="G53" i="9" s="1"/>
  <c r="AF115" i="5"/>
  <c r="P115" i="5"/>
  <c r="AD115" i="5"/>
  <c r="N115" i="5"/>
  <c r="A117" i="5" a="1"/>
  <c r="A117" i="5" s="1"/>
  <c r="AB115" i="5"/>
  <c r="L115" i="5"/>
  <c r="Z115" i="5"/>
  <c r="J115" i="5"/>
  <c r="X115" i="5"/>
  <c r="H115" i="5"/>
  <c r="AL115" i="5"/>
  <c r="V115" i="5"/>
  <c r="F115" i="5"/>
  <c r="AH115" i="5"/>
  <c r="R115" i="5"/>
  <c r="B115" i="5"/>
  <c r="D115" i="5"/>
  <c r="AJ115" i="5"/>
  <c r="T115" i="5"/>
  <c r="D55" i="9" a="1"/>
  <c r="M56" i="9" a="1"/>
  <c r="R57" i="2"/>
  <c r="K56" i="2" a="1"/>
  <c r="L56" i="2" a="1"/>
  <c r="M56" i="2" a="1"/>
  <c r="T57" i="2"/>
  <c r="U57" i="2"/>
  <c r="S57" i="2"/>
  <c r="Q57" i="2"/>
  <c r="N56" i="2" a="1"/>
  <c r="J56" i="2" a="1"/>
  <c r="O56" i="2" a="1"/>
  <c r="P57" i="2"/>
  <c r="K57" i="9" l="1"/>
  <c r="V57" i="2"/>
  <c r="O57" i="9" s="1"/>
  <c r="M56" i="9"/>
  <c r="K127" i="9"/>
  <c r="K56" i="2"/>
  <c r="O56" i="2"/>
  <c r="D55" i="9"/>
  <c r="N56" i="2"/>
  <c r="M56" i="2"/>
  <c r="L56" i="2"/>
  <c r="K197" i="9"/>
  <c r="J56" i="2"/>
  <c r="L58" i="9"/>
  <c r="I59" i="2"/>
  <c r="L198" i="9"/>
  <c r="L128" i="9"/>
  <c r="BI41" i="10"/>
  <c r="AJ117" i="5"/>
  <c r="T117" i="5"/>
  <c r="D117" i="5"/>
  <c r="AH117" i="5"/>
  <c r="R117" i="5"/>
  <c r="B117" i="5"/>
  <c r="AF117" i="5"/>
  <c r="P117" i="5"/>
  <c r="AD117" i="5"/>
  <c r="N117" i="5"/>
  <c r="A119" i="5" a="1"/>
  <c r="A119" i="5" s="1"/>
  <c r="AB117" i="5"/>
  <c r="L117" i="5"/>
  <c r="Z117" i="5"/>
  <c r="J117" i="5"/>
  <c r="AL117" i="5"/>
  <c r="V117" i="5"/>
  <c r="F117" i="5"/>
  <c r="X117" i="5"/>
  <c r="H117" i="5"/>
  <c r="AH116" i="5"/>
  <c r="R116" i="5"/>
  <c r="B116" i="5"/>
  <c r="AF116" i="5"/>
  <c r="P116" i="5"/>
  <c r="AD116" i="5"/>
  <c r="N116" i="5"/>
  <c r="A118" i="5" a="1"/>
  <c r="A118" i="5" s="1"/>
  <c r="AB116" i="5"/>
  <c r="L116" i="5"/>
  <c r="Z116" i="5"/>
  <c r="J116" i="5"/>
  <c r="X116" i="5"/>
  <c r="H116" i="5"/>
  <c r="AJ116" i="5"/>
  <c r="T116" i="5"/>
  <c r="D116" i="5"/>
  <c r="AL116" i="5"/>
  <c r="V116" i="5"/>
  <c r="F116" i="5"/>
  <c r="O196" i="9"/>
  <c r="O126" i="9"/>
  <c r="I56" i="9" a="1"/>
  <c r="I56" i="9" s="1"/>
  <c r="F54" i="9"/>
  <c r="G54" i="9" s="1"/>
  <c r="N54" i="9"/>
  <c r="Q54" i="9" s="1"/>
  <c r="P54" i="9" s="1"/>
  <c r="J54" i="9"/>
  <c r="M57" i="9" a="1"/>
  <c r="D56" i="9" a="1"/>
  <c r="L57" i="2" a="1"/>
  <c r="Q58" i="2"/>
  <c r="U58" i="2"/>
  <c r="K57" i="2" a="1"/>
  <c r="R58" i="2"/>
  <c r="O57" i="2" a="1"/>
  <c r="T58" i="2"/>
  <c r="M57" i="2" a="1"/>
  <c r="J57" i="2" a="1"/>
  <c r="N57" i="2" a="1"/>
  <c r="S58" i="2"/>
  <c r="P58" i="2"/>
  <c r="K58" i="9" l="1"/>
  <c r="V58" i="2"/>
  <c r="O58" i="9" s="1"/>
  <c r="M57" i="2"/>
  <c r="K57" i="2"/>
  <c r="K128" i="9"/>
  <c r="K198" i="9"/>
  <c r="N57" i="2"/>
  <c r="J57" i="2"/>
  <c r="D56" i="9"/>
  <c r="O57" i="2"/>
  <c r="L57" i="2"/>
  <c r="M57" i="9"/>
  <c r="L59" i="9"/>
  <c r="I60" i="2"/>
  <c r="L199" i="9"/>
  <c r="L129" i="9"/>
  <c r="BP41" i="10"/>
  <c r="F55" i="9"/>
  <c r="G55" i="9" s="1"/>
  <c r="J55" i="9"/>
  <c r="N55" i="9"/>
  <c r="Q55" i="9" s="1"/>
  <c r="P55" i="9" s="1"/>
  <c r="AL118" i="5"/>
  <c r="V118" i="5"/>
  <c r="F118" i="5"/>
  <c r="AJ118" i="5"/>
  <c r="T118" i="5"/>
  <c r="D118" i="5"/>
  <c r="AH118" i="5"/>
  <c r="R118" i="5"/>
  <c r="B118" i="5"/>
  <c r="AF118" i="5"/>
  <c r="P118" i="5"/>
  <c r="AD118" i="5"/>
  <c r="N118" i="5"/>
  <c r="A120" i="5" a="1"/>
  <c r="A120" i="5" s="1"/>
  <c r="AB118" i="5"/>
  <c r="L118" i="5"/>
  <c r="X118" i="5"/>
  <c r="H118" i="5"/>
  <c r="Z118" i="5"/>
  <c r="J118" i="5"/>
  <c r="O197" i="9"/>
  <c r="O127" i="9"/>
  <c r="I57" i="9" a="1"/>
  <c r="I57" i="9" s="1"/>
  <c r="X119" i="5"/>
  <c r="H119" i="5"/>
  <c r="AL119" i="5"/>
  <c r="V119" i="5"/>
  <c r="F119" i="5"/>
  <c r="AJ119" i="5"/>
  <c r="T119" i="5"/>
  <c r="D119" i="5"/>
  <c r="AH119" i="5"/>
  <c r="R119" i="5"/>
  <c r="B119" i="5"/>
  <c r="AF119" i="5"/>
  <c r="P119" i="5"/>
  <c r="AD119" i="5"/>
  <c r="N119" i="5"/>
  <c r="Z119" i="5"/>
  <c r="J119" i="5"/>
  <c r="AB119" i="5"/>
  <c r="L119" i="5"/>
  <c r="A121" i="5" a="1"/>
  <c r="A121" i="5" s="1"/>
  <c r="M58" i="9" a="1"/>
  <c r="D57" i="9" a="1"/>
  <c r="S59" i="2"/>
  <c r="M58" i="2" a="1"/>
  <c r="U59" i="2"/>
  <c r="L58" i="2" a="1"/>
  <c r="K58" i="2" a="1"/>
  <c r="O58" i="2" a="1"/>
  <c r="Q59" i="2"/>
  <c r="R59" i="2"/>
  <c r="N58" i="2" a="1"/>
  <c r="T59" i="2"/>
  <c r="P59" i="2"/>
  <c r="J58" i="2" a="1"/>
  <c r="K59" i="9" l="1"/>
  <c r="V59" i="2"/>
  <c r="O59" i="9" s="1"/>
  <c r="O58" i="2"/>
  <c r="K58" i="2"/>
  <c r="M58" i="2"/>
  <c r="N58" i="2"/>
  <c r="K199" i="9"/>
  <c r="D57" i="9"/>
  <c r="K129" i="9"/>
  <c r="L58" i="2"/>
  <c r="J58" i="2"/>
  <c r="M58" i="9"/>
  <c r="F56" i="9"/>
  <c r="G56" i="9" s="1"/>
  <c r="J56" i="9"/>
  <c r="N56" i="9"/>
  <c r="Q56" i="9" s="1"/>
  <c r="P56" i="9" s="1"/>
  <c r="I61" i="2"/>
  <c r="L130" i="9"/>
  <c r="L60" i="9"/>
  <c r="L200" i="9"/>
  <c r="AB121" i="5"/>
  <c r="L121" i="5"/>
  <c r="Z121" i="5"/>
  <c r="J121" i="5"/>
  <c r="A123" i="5" a="1"/>
  <c r="A123" i="5" s="1"/>
  <c r="X121" i="5"/>
  <c r="H121" i="5"/>
  <c r="AL121" i="5"/>
  <c r="V121" i="5"/>
  <c r="F121" i="5"/>
  <c r="AJ121" i="5"/>
  <c r="T121" i="5"/>
  <c r="D121" i="5"/>
  <c r="AH121" i="5"/>
  <c r="R121" i="5"/>
  <c r="B121" i="5"/>
  <c r="AD121" i="5"/>
  <c r="N121" i="5"/>
  <c r="P121" i="5"/>
  <c r="AF121" i="5"/>
  <c r="Z120" i="5"/>
  <c r="J120" i="5"/>
  <c r="X120" i="5"/>
  <c r="H120" i="5"/>
  <c r="AL120" i="5"/>
  <c r="V120" i="5"/>
  <c r="F120" i="5"/>
  <c r="AJ120" i="5"/>
  <c r="T120" i="5"/>
  <c r="D120" i="5"/>
  <c r="AH120" i="5"/>
  <c r="R120" i="5"/>
  <c r="B120" i="5"/>
  <c r="AF120" i="5"/>
  <c r="P120" i="5"/>
  <c r="A122" i="5" a="1"/>
  <c r="A122" i="5" s="1"/>
  <c r="AB120" i="5"/>
  <c r="L120" i="5"/>
  <c r="AD120" i="5"/>
  <c r="N120" i="5"/>
  <c r="O198" i="9"/>
  <c r="O128" i="9"/>
  <c r="I58" i="9" a="1"/>
  <c r="I58" i="9" s="1"/>
  <c r="BX1" i="10"/>
  <c r="M59" i="9" a="1"/>
  <c r="D58" i="9" a="1"/>
  <c r="M59" i="2" a="1"/>
  <c r="O59" i="2" a="1"/>
  <c r="U60" i="2"/>
  <c r="N59" i="2" a="1"/>
  <c r="S60" i="2"/>
  <c r="L59" i="2" a="1"/>
  <c r="R60" i="2"/>
  <c r="J59" i="2" a="1"/>
  <c r="Q60" i="2"/>
  <c r="T60" i="2"/>
  <c r="P60" i="2"/>
  <c r="K59" i="2" a="1"/>
  <c r="D58" i="9" l="1"/>
  <c r="K130" i="9"/>
  <c r="K200" i="9"/>
  <c r="N59" i="2"/>
  <c r="O59" i="2"/>
  <c r="K59" i="2"/>
  <c r="K60" i="9"/>
  <c r="V60" i="2"/>
  <c r="O60" i="9" s="1"/>
  <c r="J59" i="2"/>
  <c r="L59" i="2"/>
  <c r="M59" i="2"/>
  <c r="M59" i="9"/>
  <c r="AJ122" i="5"/>
  <c r="T122" i="5"/>
  <c r="AF122" i="5"/>
  <c r="N122" i="5"/>
  <c r="AD122" i="5"/>
  <c r="L122" i="5"/>
  <c r="AB122" i="5"/>
  <c r="J122" i="5"/>
  <c r="Z122" i="5"/>
  <c r="H122" i="5"/>
  <c r="X122" i="5"/>
  <c r="F122" i="5"/>
  <c r="V122" i="5"/>
  <c r="D122" i="5"/>
  <c r="AH122" i="5"/>
  <c r="P122" i="5"/>
  <c r="AL122" i="5"/>
  <c r="R122" i="5"/>
  <c r="B122" i="5"/>
  <c r="A124" i="5" a="1"/>
  <c r="A124" i="5" s="1"/>
  <c r="CE1" i="10"/>
  <c r="F57" i="9"/>
  <c r="G57" i="9" s="1"/>
  <c r="J57" i="9"/>
  <c r="N57" i="9"/>
  <c r="Q57" i="9" s="1"/>
  <c r="P57" i="9" s="1"/>
  <c r="I62" i="2"/>
  <c r="L201" i="9"/>
  <c r="L61" i="9"/>
  <c r="L131" i="9"/>
  <c r="O199" i="9"/>
  <c r="O129" i="9"/>
  <c r="I59" i="9" a="1"/>
  <c r="I59" i="9" s="1"/>
  <c r="AL123" i="5"/>
  <c r="V123" i="5"/>
  <c r="F123" i="5"/>
  <c r="X123" i="5"/>
  <c r="D123" i="5"/>
  <c r="T123" i="5"/>
  <c r="B123" i="5"/>
  <c r="A125" i="5" a="1"/>
  <c r="A125" i="5" s="1"/>
  <c r="AJ123" i="5"/>
  <c r="R123" i="5"/>
  <c r="AH123" i="5"/>
  <c r="P123" i="5"/>
  <c r="AF123" i="5"/>
  <c r="N123" i="5"/>
  <c r="AD123" i="5"/>
  <c r="L123" i="5"/>
  <c r="Z123" i="5"/>
  <c r="H123" i="5"/>
  <c r="AB123" i="5"/>
  <c r="J123" i="5"/>
  <c r="M60" i="9" a="1"/>
  <c r="D59" i="9" a="1"/>
  <c r="S61" i="2"/>
  <c r="N60" i="2" a="1"/>
  <c r="U61" i="2"/>
  <c r="R61" i="2"/>
  <c r="J60" i="2" a="1"/>
  <c r="M60" i="2" a="1"/>
  <c r="L60" i="2" a="1"/>
  <c r="K60" i="2" a="1"/>
  <c r="T61" i="2"/>
  <c r="O60" i="2" a="1"/>
  <c r="Q61" i="2"/>
  <c r="P61" i="2"/>
  <c r="O60" i="2" l="1"/>
  <c r="D59" i="9"/>
  <c r="N60" i="2"/>
  <c r="L60" i="2"/>
  <c r="K61" i="9"/>
  <c r="V61" i="2"/>
  <c r="O61" i="9" s="1"/>
  <c r="K131" i="9"/>
  <c r="J60" i="2"/>
  <c r="K60" i="2"/>
  <c r="K201" i="9"/>
  <c r="M60" i="9"/>
  <c r="M60" i="2"/>
  <c r="BX9" i="10"/>
  <c r="X124" i="5"/>
  <c r="H124" i="5"/>
  <c r="AF124" i="5"/>
  <c r="N124" i="5"/>
  <c r="AD124" i="5"/>
  <c r="L124" i="5"/>
  <c r="AB124" i="5"/>
  <c r="J124" i="5"/>
  <c r="Z124" i="5"/>
  <c r="F124" i="5"/>
  <c r="V124" i="5"/>
  <c r="D124" i="5"/>
  <c r="AL124" i="5"/>
  <c r="T124" i="5"/>
  <c r="B124" i="5"/>
  <c r="AH124" i="5"/>
  <c r="P124" i="5"/>
  <c r="A126" i="5" a="1"/>
  <c r="A126" i="5" s="1"/>
  <c r="R124" i="5"/>
  <c r="AJ124" i="5"/>
  <c r="O130" i="9"/>
  <c r="O200" i="9"/>
  <c r="I60" i="9" a="1"/>
  <c r="I60" i="9" s="1"/>
  <c r="I63" i="2"/>
  <c r="Z125" i="5"/>
  <c r="J125" i="5"/>
  <c r="V125" i="5"/>
  <c r="D125" i="5"/>
  <c r="AL125" i="5"/>
  <c r="T125" i="5"/>
  <c r="B125" i="5"/>
  <c r="A127" i="5" a="1"/>
  <c r="A127" i="5" s="1"/>
  <c r="AJ125" i="5"/>
  <c r="R125" i="5"/>
  <c r="AH125" i="5"/>
  <c r="P125" i="5"/>
  <c r="AF125" i="5"/>
  <c r="N125" i="5"/>
  <c r="AD125" i="5"/>
  <c r="L125" i="5"/>
  <c r="X125" i="5"/>
  <c r="F125" i="5"/>
  <c r="AB125" i="5"/>
  <c r="H125" i="5"/>
  <c r="N58" i="9"/>
  <c r="Q58" i="9" s="1"/>
  <c r="P58" i="9" s="1"/>
  <c r="F58" i="9"/>
  <c r="G58" i="9" s="1"/>
  <c r="J58" i="9"/>
  <c r="D60" i="9" a="1"/>
  <c r="M61" i="9" a="1"/>
  <c r="P62" i="2"/>
  <c r="L61" i="2" a="1"/>
  <c r="K61" i="2" a="1"/>
  <c r="R62" i="2"/>
  <c r="J61" i="2" a="1"/>
  <c r="M61" i="2" a="1"/>
  <c r="Q62" i="2"/>
  <c r="O61" i="2" a="1"/>
  <c r="U62" i="2"/>
  <c r="S62" i="2"/>
  <c r="T62" i="2"/>
  <c r="N61" i="2" a="1"/>
  <c r="K202" i="9" l="1"/>
  <c r="L61" i="2"/>
  <c r="M61" i="9"/>
  <c r="D60" i="9"/>
  <c r="O61" i="2"/>
  <c r="K61" i="2"/>
  <c r="K62" i="9"/>
  <c r="V62" i="2"/>
  <c r="O62" i="9" s="1"/>
  <c r="N61" i="2"/>
  <c r="K132" i="9"/>
  <c r="M61" i="2"/>
  <c r="J61" i="2"/>
  <c r="O201" i="9"/>
  <c r="O131" i="9"/>
  <c r="I61" i="9" a="1"/>
  <c r="I61" i="9" s="1"/>
  <c r="AD127" i="5"/>
  <c r="N127" i="5"/>
  <c r="V127" i="5"/>
  <c r="D127" i="5"/>
  <c r="A129" i="5" a="1"/>
  <c r="A129" i="5" s="1"/>
  <c r="AL127" i="5"/>
  <c r="T127" i="5"/>
  <c r="B127" i="5"/>
  <c r="AJ127" i="5"/>
  <c r="R127" i="5"/>
  <c r="AH127" i="5"/>
  <c r="P127" i="5"/>
  <c r="AF127" i="5"/>
  <c r="L127" i="5"/>
  <c r="AB127" i="5"/>
  <c r="J127" i="5"/>
  <c r="X127" i="5"/>
  <c r="F127" i="5"/>
  <c r="Z127" i="5"/>
  <c r="H127" i="5"/>
  <c r="CE9" i="10"/>
  <c r="I64" i="2"/>
  <c r="A128" i="5" a="1"/>
  <c r="A128" i="5" s="1"/>
  <c r="AB126" i="5"/>
  <c r="L126" i="5"/>
  <c r="AF126" i="5"/>
  <c r="N126" i="5"/>
  <c r="AD126" i="5"/>
  <c r="J126" i="5"/>
  <c r="Z126" i="5"/>
  <c r="H126" i="5"/>
  <c r="X126" i="5"/>
  <c r="F126" i="5"/>
  <c r="V126" i="5"/>
  <c r="D126" i="5"/>
  <c r="AL126" i="5"/>
  <c r="T126" i="5"/>
  <c r="B126" i="5"/>
  <c r="AH126" i="5"/>
  <c r="P126" i="5"/>
  <c r="AJ126" i="5"/>
  <c r="R126" i="5"/>
  <c r="F59" i="9"/>
  <c r="G59" i="9" s="1"/>
  <c r="N59" i="9"/>
  <c r="Q59" i="9" s="1"/>
  <c r="P59" i="9" s="1"/>
  <c r="J59" i="9"/>
  <c r="D61" i="9" a="1"/>
  <c r="R63" i="2"/>
  <c r="T63" i="2"/>
  <c r="M62" i="2" a="1"/>
  <c r="Q63" i="2"/>
  <c r="J62" i="2" a="1"/>
  <c r="S63" i="2"/>
  <c r="N62" i="2" a="1"/>
  <c r="L62" i="2" a="1"/>
  <c r="U63" i="2"/>
  <c r="P63" i="2"/>
  <c r="K62" i="2" a="1"/>
  <c r="O62" i="2" a="1"/>
  <c r="K62" i="2" l="1"/>
  <c r="O62" i="2"/>
  <c r="M62" i="2"/>
  <c r="N62" i="2"/>
  <c r="J62" i="2"/>
  <c r="K203" i="9"/>
  <c r="K133" i="9"/>
  <c r="D61" i="9"/>
  <c r="L62" i="2"/>
  <c r="K63" i="9"/>
  <c r="V63" i="2"/>
  <c r="O63" i="9" s="1"/>
  <c r="AH129" i="5"/>
  <c r="R129" i="5"/>
  <c r="B129" i="5"/>
  <c r="V129" i="5"/>
  <c r="D129" i="5"/>
  <c r="A131" i="5" a="1"/>
  <c r="A131" i="5" s="1"/>
  <c r="AL129" i="5"/>
  <c r="T129" i="5"/>
  <c r="AJ129" i="5"/>
  <c r="P129" i="5"/>
  <c r="AF129" i="5"/>
  <c r="N129" i="5"/>
  <c r="AD129" i="5"/>
  <c r="L129" i="5"/>
  <c r="AB129" i="5"/>
  <c r="J129" i="5"/>
  <c r="X129" i="5"/>
  <c r="F129" i="5"/>
  <c r="Z129" i="5"/>
  <c r="H129" i="5"/>
  <c r="F60" i="9"/>
  <c r="G60" i="9" s="1"/>
  <c r="J60" i="9"/>
  <c r="N60" i="9"/>
  <c r="Q60" i="9" s="1"/>
  <c r="P60" i="9" s="1"/>
  <c r="O132" i="9"/>
  <c r="O202" i="9"/>
  <c r="I65" i="2"/>
  <c r="BX17" i="10"/>
  <c r="AF128" i="5"/>
  <c r="P128" i="5"/>
  <c r="AD128" i="5"/>
  <c r="L128" i="5"/>
  <c r="AB128" i="5"/>
  <c r="J128" i="5"/>
  <c r="Z128" i="5"/>
  <c r="H128" i="5"/>
  <c r="X128" i="5"/>
  <c r="F128" i="5"/>
  <c r="V128" i="5"/>
  <c r="D128" i="5"/>
  <c r="A130" i="5" a="1"/>
  <c r="A130" i="5" s="1"/>
  <c r="AL128" i="5"/>
  <c r="T128" i="5"/>
  <c r="B128" i="5"/>
  <c r="AH128" i="5"/>
  <c r="N128" i="5"/>
  <c r="AJ128" i="5"/>
  <c r="R128" i="5"/>
  <c r="O63" i="2" a="1"/>
  <c r="K63" i="2" a="1"/>
  <c r="M63" i="2" a="1"/>
  <c r="R64" i="2"/>
  <c r="J63" i="2" a="1"/>
  <c r="S64" i="2"/>
  <c r="N63" i="2" a="1"/>
  <c r="Q64" i="2"/>
  <c r="P64" i="2"/>
  <c r="L63" i="2" a="1"/>
  <c r="T64" i="2"/>
  <c r="U64" i="2"/>
  <c r="K134" i="9" l="1"/>
  <c r="N63" i="2"/>
  <c r="K204" i="9"/>
  <c r="K63" i="2"/>
  <c r="O63" i="2"/>
  <c r="L63" i="2"/>
  <c r="K64" i="9"/>
  <c r="V64" i="2"/>
  <c r="O64" i="9" s="1"/>
  <c r="J63" i="2"/>
  <c r="M63" i="2"/>
  <c r="AJ130" i="5"/>
  <c r="T130" i="5"/>
  <c r="D130" i="5"/>
  <c r="AD130" i="5"/>
  <c r="L130" i="5"/>
  <c r="AB130" i="5"/>
  <c r="J130" i="5"/>
  <c r="Z130" i="5"/>
  <c r="H130" i="5"/>
  <c r="X130" i="5"/>
  <c r="F130" i="5"/>
  <c r="V130" i="5"/>
  <c r="B130" i="5"/>
  <c r="A132" i="5" a="1"/>
  <c r="A132" i="5" s="1"/>
  <c r="AL130" i="5"/>
  <c r="R130" i="5"/>
  <c r="AF130" i="5"/>
  <c r="N130" i="5"/>
  <c r="AH130" i="5"/>
  <c r="P130" i="5"/>
  <c r="O133" i="9"/>
  <c r="O203" i="9"/>
  <c r="I66" i="2"/>
  <c r="F61" i="9"/>
  <c r="G61" i="9" s="1"/>
  <c r="J61" i="9"/>
  <c r="N61" i="9"/>
  <c r="Q61" i="9" s="1"/>
  <c r="P61" i="9" s="1"/>
  <c r="AL131" i="5"/>
  <c r="V131" i="5"/>
  <c r="F131" i="5"/>
  <c r="T131" i="5"/>
  <c r="B131" i="5"/>
  <c r="A133" i="5" a="1"/>
  <c r="A133" i="5" s="1"/>
  <c r="AJ131" i="5"/>
  <c r="R131" i="5"/>
  <c r="AH131" i="5"/>
  <c r="P131" i="5"/>
  <c r="AF131" i="5"/>
  <c r="N131" i="5"/>
  <c r="AD131" i="5"/>
  <c r="L131" i="5"/>
  <c r="AB131" i="5"/>
  <c r="J131" i="5"/>
  <c r="X131" i="5"/>
  <c r="D131" i="5"/>
  <c r="Z131" i="5"/>
  <c r="H131" i="5"/>
  <c r="CE17" i="10"/>
  <c r="N64" i="2" a="1"/>
  <c r="L64" i="2" a="1"/>
  <c r="Q65" i="2"/>
  <c r="U65" i="2"/>
  <c r="P65" i="2"/>
  <c r="K64" i="2" a="1"/>
  <c r="S65" i="2"/>
  <c r="O64" i="2" a="1"/>
  <c r="T65" i="2"/>
  <c r="M64" i="2" a="1"/>
  <c r="J64" i="2" a="1"/>
  <c r="R65" i="2"/>
  <c r="L64" i="2" l="1"/>
  <c r="J64" i="2"/>
  <c r="M64" i="2"/>
  <c r="K205" i="9"/>
  <c r="K65" i="9"/>
  <c r="V65" i="2"/>
  <c r="O65" i="9" s="1"/>
  <c r="O64" i="2"/>
  <c r="K64" i="2"/>
  <c r="K135" i="9"/>
  <c r="N64" i="2"/>
  <c r="X132" i="5"/>
  <c r="H132" i="5"/>
  <c r="AD132" i="5"/>
  <c r="L132" i="5"/>
  <c r="AB132" i="5"/>
  <c r="J132" i="5"/>
  <c r="Z132" i="5"/>
  <c r="F132" i="5"/>
  <c r="V132" i="5"/>
  <c r="D132" i="5"/>
  <c r="AL132" i="5"/>
  <c r="T132" i="5"/>
  <c r="B132" i="5"/>
  <c r="A134" i="5" a="1"/>
  <c r="A134" i="5" s="1"/>
  <c r="AJ132" i="5"/>
  <c r="R132" i="5"/>
  <c r="AF132" i="5"/>
  <c r="N132" i="5"/>
  <c r="AH132" i="5"/>
  <c r="P132" i="5"/>
  <c r="Z133" i="5"/>
  <c r="J133" i="5"/>
  <c r="AL133" i="5"/>
  <c r="T133" i="5"/>
  <c r="B133" i="5"/>
  <c r="A135" i="5" a="1"/>
  <c r="A135" i="5" s="1"/>
  <c r="AJ133" i="5"/>
  <c r="R133" i="5"/>
  <c r="AH133" i="5"/>
  <c r="P133" i="5"/>
  <c r="AF133" i="5"/>
  <c r="N133" i="5"/>
  <c r="AD133" i="5"/>
  <c r="L133" i="5"/>
  <c r="AB133" i="5"/>
  <c r="H133" i="5"/>
  <c r="V133" i="5"/>
  <c r="D133" i="5"/>
  <c r="F133" i="5"/>
  <c r="X133" i="5"/>
  <c r="O204" i="9"/>
  <c r="O134" i="9"/>
  <c r="I67" i="2"/>
  <c r="BX25" i="10"/>
  <c r="T66" i="2"/>
  <c r="L65" i="2" a="1"/>
  <c r="U66" i="2"/>
  <c r="R66" i="2"/>
  <c r="O65" i="2" a="1"/>
  <c r="M65" i="2" a="1"/>
  <c r="J65" i="2" a="1"/>
  <c r="S66" i="2"/>
  <c r="P66" i="2"/>
  <c r="N65" i="2" a="1"/>
  <c r="Q66" i="2"/>
  <c r="K65" i="2" a="1"/>
  <c r="L65" i="2" l="1"/>
  <c r="K206" i="9"/>
  <c r="K65" i="2"/>
  <c r="K136" i="9"/>
  <c r="J65" i="2"/>
  <c r="O65" i="2"/>
  <c r="M65" i="2"/>
  <c r="K66" i="9"/>
  <c r="V66" i="2"/>
  <c r="O66" i="9" s="1"/>
  <c r="N65" i="2"/>
  <c r="CE25" i="10"/>
  <c r="AD135" i="5"/>
  <c r="N135" i="5"/>
  <c r="A137" i="5" a="1"/>
  <c r="A137" i="5" s="1"/>
  <c r="AL135" i="5"/>
  <c r="T135" i="5"/>
  <c r="B135" i="5"/>
  <c r="AJ135" i="5"/>
  <c r="R135" i="5"/>
  <c r="AH135" i="5"/>
  <c r="P135" i="5"/>
  <c r="AF135" i="5"/>
  <c r="L135" i="5"/>
  <c r="AB135" i="5"/>
  <c r="J135" i="5"/>
  <c r="Z135" i="5"/>
  <c r="H135" i="5"/>
  <c r="V135" i="5"/>
  <c r="D135" i="5"/>
  <c r="X135" i="5"/>
  <c r="F135" i="5"/>
  <c r="I68" i="2"/>
  <c r="O205" i="9"/>
  <c r="O135" i="9"/>
  <c r="A136" i="5" a="1"/>
  <c r="A136" i="5" s="1"/>
  <c r="AB134" i="5"/>
  <c r="L134" i="5"/>
  <c r="AD134" i="5"/>
  <c r="J134" i="5"/>
  <c r="Z134" i="5"/>
  <c r="H134" i="5"/>
  <c r="X134" i="5"/>
  <c r="F134" i="5"/>
  <c r="V134" i="5"/>
  <c r="D134" i="5"/>
  <c r="AL134" i="5"/>
  <c r="T134" i="5"/>
  <c r="B134" i="5"/>
  <c r="AJ134" i="5"/>
  <c r="R134" i="5"/>
  <c r="AF134" i="5"/>
  <c r="N134" i="5"/>
  <c r="AH134" i="5"/>
  <c r="P134" i="5"/>
  <c r="T67" i="2"/>
  <c r="L66" i="2" a="1"/>
  <c r="M66" i="2" a="1"/>
  <c r="N66" i="2" a="1"/>
  <c r="K66" i="2" a="1"/>
  <c r="P67" i="2"/>
  <c r="U67" i="2"/>
  <c r="R67" i="2"/>
  <c r="J66" i="2" a="1"/>
  <c r="S67" i="2"/>
  <c r="O66" i="2" a="1"/>
  <c r="Q67" i="2"/>
  <c r="M66" i="2" l="1"/>
  <c r="J66" i="2"/>
  <c r="K66" i="2"/>
  <c r="O66" i="2"/>
  <c r="K207" i="9"/>
  <c r="K67" i="9"/>
  <c r="V67" i="2"/>
  <c r="O67" i="9" s="1"/>
  <c r="N66" i="2"/>
  <c r="L66" i="2"/>
  <c r="K137" i="9"/>
  <c r="O206" i="9"/>
  <c r="O136" i="9"/>
  <c r="I69" i="2"/>
  <c r="AH137" i="5"/>
  <c r="R137" i="5"/>
  <c r="B137" i="5"/>
  <c r="A139" i="5" a="1"/>
  <c r="A139" i="5" s="1"/>
  <c r="AL137" i="5"/>
  <c r="T137" i="5"/>
  <c r="AJ137" i="5"/>
  <c r="P137" i="5"/>
  <c r="AF137" i="5"/>
  <c r="N137" i="5"/>
  <c r="AD137" i="5"/>
  <c r="L137" i="5"/>
  <c r="AB137" i="5"/>
  <c r="J137" i="5"/>
  <c r="Z137" i="5"/>
  <c r="H137" i="5"/>
  <c r="V137" i="5"/>
  <c r="D137" i="5"/>
  <c r="F137" i="5"/>
  <c r="X137" i="5"/>
  <c r="AF136" i="5"/>
  <c r="P136" i="5"/>
  <c r="AB136" i="5"/>
  <c r="J136" i="5"/>
  <c r="Z136" i="5"/>
  <c r="H136" i="5"/>
  <c r="X136" i="5"/>
  <c r="F136" i="5"/>
  <c r="V136" i="5"/>
  <c r="D136" i="5"/>
  <c r="A138" i="5" a="1"/>
  <c r="A138" i="5" s="1"/>
  <c r="AL136" i="5"/>
  <c r="T136" i="5"/>
  <c r="B136" i="5"/>
  <c r="AJ136" i="5"/>
  <c r="R136" i="5"/>
  <c r="AD136" i="5"/>
  <c r="L136" i="5"/>
  <c r="N136" i="5"/>
  <c r="AH136" i="5"/>
  <c r="BX33" i="10"/>
  <c r="N67" i="2" a="1"/>
  <c r="T68" i="2"/>
  <c r="L67" i="2" a="1"/>
  <c r="O67" i="2" a="1"/>
  <c r="R68" i="2"/>
  <c r="Q68" i="2"/>
  <c r="P68" i="2"/>
  <c r="J67" i="2" a="1"/>
  <c r="S68" i="2"/>
  <c r="M67" i="2" a="1"/>
  <c r="K67" i="2" a="1"/>
  <c r="U68" i="2"/>
  <c r="M67" i="2" l="1"/>
  <c r="K67" i="2"/>
  <c r="O67" i="2"/>
  <c r="K68" i="9"/>
  <c r="V68" i="2"/>
  <c r="O68" i="9" s="1"/>
  <c r="L67" i="2"/>
  <c r="K138" i="9"/>
  <c r="N67" i="2"/>
  <c r="K208" i="9"/>
  <c r="J67" i="2"/>
  <c r="AL139" i="5"/>
  <c r="V139" i="5"/>
  <c r="F139" i="5"/>
  <c r="A141" i="5" a="1"/>
  <c r="A141" i="5" s="1"/>
  <c r="AJ139" i="5"/>
  <c r="R139" i="5"/>
  <c r="AH139" i="5"/>
  <c r="P139" i="5"/>
  <c r="AF139" i="5"/>
  <c r="N139" i="5"/>
  <c r="AD139" i="5"/>
  <c r="L139" i="5"/>
  <c r="AB139" i="5"/>
  <c r="J139" i="5"/>
  <c r="Z139" i="5"/>
  <c r="H139" i="5"/>
  <c r="T139" i="5"/>
  <c r="B139" i="5"/>
  <c r="X139" i="5"/>
  <c r="D139" i="5"/>
  <c r="I70" i="2"/>
  <c r="AJ138" i="5"/>
  <c r="T138" i="5"/>
  <c r="D138" i="5"/>
  <c r="AB138" i="5"/>
  <c r="J138" i="5"/>
  <c r="Z138" i="5"/>
  <c r="H138" i="5"/>
  <c r="X138" i="5"/>
  <c r="F138" i="5"/>
  <c r="V138" i="5"/>
  <c r="B138" i="5"/>
  <c r="A140" i="5" a="1"/>
  <c r="A140" i="5" s="1"/>
  <c r="AL138" i="5"/>
  <c r="R138" i="5"/>
  <c r="AH138" i="5"/>
  <c r="P138" i="5"/>
  <c r="AD138" i="5"/>
  <c r="L138" i="5"/>
  <c r="AF138" i="5"/>
  <c r="N138" i="5"/>
  <c r="CE33" i="10"/>
  <c r="O207" i="9"/>
  <c r="O137" i="9"/>
  <c r="K68" i="2" a="1"/>
  <c r="S69" i="2"/>
  <c r="P69" i="2"/>
  <c r="U69" i="2"/>
  <c r="L68" i="2" a="1"/>
  <c r="M68" i="2" a="1"/>
  <c r="Q69" i="2"/>
  <c r="N68" i="2" a="1"/>
  <c r="T69" i="2"/>
  <c r="R69" i="2"/>
  <c r="J68" i="2" a="1"/>
  <c r="O68" i="2" a="1"/>
  <c r="M68" i="2" l="1"/>
  <c r="J68" i="2"/>
  <c r="L68" i="2"/>
  <c r="K139" i="9"/>
  <c r="K69" i="9"/>
  <c r="V69" i="2"/>
  <c r="O69" i="9" s="1"/>
  <c r="K68" i="2"/>
  <c r="O68" i="2"/>
  <c r="K209" i="9"/>
  <c r="N68" i="2"/>
  <c r="O208" i="9"/>
  <c r="O138" i="9"/>
  <c r="X140" i="5"/>
  <c r="H140" i="5"/>
  <c r="AB140" i="5"/>
  <c r="J140" i="5"/>
  <c r="Z140" i="5"/>
  <c r="F140" i="5"/>
  <c r="V140" i="5"/>
  <c r="D140" i="5"/>
  <c r="AL140" i="5"/>
  <c r="T140" i="5"/>
  <c r="B140" i="5"/>
  <c r="A142" i="5" a="1"/>
  <c r="A142" i="5" s="1"/>
  <c r="AJ140" i="5"/>
  <c r="R140" i="5"/>
  <c r="AH140" i="5"/>
  <c r="P140" i="5"/>
  <c r="AD140" i="5"/>
  <c r="L140" i="5"/>
  <c r="N140" i="5"/>
  <c r="AF140" i="5"/>
  <c r="Z141" i="5"/>
  <c r="J141" i="5"/>
  <c r="A143" i="5" a="1"/>
  <c r="A143" i="5" s="1"/>
  <c r="AJ141" i="5"/>
  <c r="R141" i="5"/>
  <c r="AH141" i="5"/>
  <c r="P141" i="5"/>
  <c r="AF141" i="5"/>
  <c r="N141" i="5"/>
  <c r="AD141" i="5"/>
  <c r="L141" i="5"/>
  <c r="AB141" i="5"/>
  <c r="H141" i="5"/>
  <c r="X141" i="5"/>
  <c r="F141" i="5"/>
  <c r="AL141" i="5"/>
  <c r="T141" i="5"/>
  <c r="B141" i="5"/>
  <c r="V141" i="5"/>
  <c r="D141" i="5"/>
  <c r="BX41" i="10"/>
  <c r="T70" i="2"/>
  <c r="K69" i="2" a="1"/>
  <c r="N69" i="2" a="1"/>
  <c r="Q70" i="2"/>
  <c r="U70" i="2"/>
  <c r="S70" i="2"/>
  <c r="R70" i="2"/>
  <c r="O69" i="2" a="1"/>
  <c r="M69" i="2" a="1"/>
  <c r="L69" i="2" a="1"/>
  <c r="J69" i="2" a="1"/>
  <c r="P70" i="2"/>
  <c r="K69" i="2" l="1"/>
  <c r="K70" i="9"/>
  <c r="V70" i="2"/>
  <c r="O70" i="9" s="1"/>
  <c r="L69" i="2"/>
  <c r="K140" i="9"/>
  <c r="O69" i="2"/>
  <c r="N69" i="2"/>
  <c r="K210" i="9"/>
  <c r="J69" i="2"/>
  <c r="M69" i="2"/>
  <c r="A144" i="5" a="1"/>
  <c r="A144" i="5" s="1"/>
  <c r="AB142" i="5"/>
  <c r="L142" i="5"/>
  <c r="Z142" i="5"/>
  <c r="H142" i="5"/>
  <c r="X142" i="5"/>
  <c r="F142" i="5"/>
  <c r="V142" i="5"/>
  <c r="D142" i="5"/>
  <c r="AL142" i="5"/>
  <c r="T142" i="5"/>
  <c r="B142" i="5"/>
  <c r="AJ142" i="5"/>
  <c r="R142" i="5"/>
  <c r="AH142" i="5"/>
  <c r="P142" i="5"/>
  <c r="AD142" i="5"/>
  <c r="J142" i="5"/>
  <c r="AF142" i="5"/>
  <c r="N142" i="5"/>
  <c r="O209" i="9"/>
  <c r="O139" i="9"/>
  <c r="CE41" i="10"/>
  <c r="AD143" i="5"/>
  <c r="N143" i="5"/>
  <c r="AJ143" i="5"/>
  <c r="R143" i="5"/>
  <c r="AH143" i="5"/>
  <c r="P143" i="5"/>
  <c r="AF143" i="5"/>
  <c r="L143" i="5"/>
  <c r="AB143" i="5"/>
  <c r="J143" i="5"/>
  <c r="Z143" i="5"/>
  <c r="H143" i="5"/>
  <c r="X143" i="5"/>
  <c r="F143" i="5"/>
  <c r="A145" i="5" a="1"/>
  <c r="A145" i="5" s="1"/>
  <c r="AL143" i="5"/>
  <c r="T143" i="5"/>
  <c r="B143" i="5"/>
  <c r="V143" i="5"/>
  <c r="D143" i="5"/>
  <c r="L70" i="2" a="1"/>
  <c r="O70" i="2" a="1"/>
  <c r="M70" i="2" a="1"/>
  <c r="J70" i="2" a="1"/>
  <c r="N70" i="2" a="1"/>
  <c r="K70" i="2" a="1"/>
  <c r="K70" i="2" l="1"/>
  <c r="L70" i="2"/>
  <c r="N70" i="2"/>
  <c r="J70" i="2"/>
  <c r="M70" i="2"/>
  <c r="O70" i="2"/>
  <c r="CM1" i="10"/>
  <c r="AH145" i="5"/>
  <c r="R145" i="5"/>
  <c r="B145" i="5"/>
  <c r="AJ145" i="5"/>
  <c r="P145" i="5"/>
  <c r="AF145" i="5"/>
  <c r="N145" i="5"/>
  <c r="AD145" i="5"/>
  <c r="L145" i="5"/>
  <c r="AB145" i="5"/>
  <c r="J145" i="5"/>
  <c r="Z145" i="5"/>
  <c r="H145" i="5"/>
  <c r="X145" i="5"/>
  <c r="F145" i="5"/>
  <c r="AL145" i="5"/>
  <c r="T145" i="5"/>
  <c r="V145" i="5"/>
  <c r="D145" i="5"/>
  <c r="O210" i="9"/>
  <c r="O140" i="9"/>
  <c r="AF144" i="5"/>
  <c r="P144" i="5"/>
  <c r="Z144" i="5"/>
  <c r="H144" i="5"/>
  <c r="X144" i="5"/>
  <c r="F144" i="5"/>
  <c r="V144" i="5"/>
  <c r="D144" i="5"/>
  <c r="AL144" i="5"/>
  <c r="T144" i="5"/>
  <c r="B144" i="5"/>
  <c r="AJ144" i="5"/>
  <c r="R144" i="5"/>
  <c r="AH144" i="5"/>
  <c r="N144" i="5"/>
  <c r="AB144" i="5"/>
  <c r="J144" i="5"/>
  <c r="AD144" i="5"/>
  <c r="L144" i="5"/>
  <c r="I2" i="8"/>
  <c r="I1" i="8"/>
  <c r="A9" i="6" l="1"/>
  <c r="AD146" i="5" a="1"/>
  <c r="AD146" i="5" s="1"/>
  <c r="AD147" i="5" a="1"/>
  <c r="AD147" i="5" s="1"/>
  <c r="CT1" i="10"/>
  <c r="F146" i="5" a="1"/>
  <c r="F146" i="5" s="1"/>
  <c r="C2" i="6" s="1"/>
  <c r="K2" i="6" s="1"/>
  <c r="F2" i="6" s="1"/>
  <c r="F147" i="5" a="1"/>
  <c r="F147" i="5" s="1"/>
  <c r="N146" i="5" a="1"/>
  <c r="N146" i="5" s="1"/>
  <c r="N147" i="5" a="1"/>
  <c r="N147" i="5" s="1"/>
  <c r="X146" i="5" a="1"/>
  <c r="X146" i="5" s="1"/>
  <c r="X147" i="5" a="1"/>
  <c r="X147" i="5" s="1"/>
  <c r="AF147" i="5" a="1"/>
  <c r="AF147" i="5" s="1"/>
  <c r="AF146" i="5" a="1"/>
  <c r="AF146" i="5" s="1"/>
  <c r="H146" i="5" a="1"/>
  <c r="H146" i="5" s="1"/>
  <c r="C3" i="6" s="1"/>
  <c r="K3" i="6" s="1"/>
  <c r="F3" i="6" s="1"/>
  <c r="H147" i="5" a="1"/>
  <c r="H147" i="5" s="1"/>
  <c r="P147" i="5" a="1"/>
  <c r="P147" i="5" s="1"/>
  <c r="P146" i="5" a="1"/>
  <c r="P146" i="5" s="1"/>
  <c r="C6" i="6" s="1"/>
  <c r="K6" i="6" s="1"/>
  <c r="F6" i="6" s="1"/>
  <c r="Z146" i="5" a="1"/>
  <c r="Z146" i="5" s="1"/>
  <c r="Z147" i="5" a="1"/>
  <c r="Z147" i="5" s="1"/>
  <c r="AJ146" i="5" a="1"/>
  <c r="AJ146" i="5" s="1"/>
  <c r="AJ147" i="5" a="1"/>
  <c r="AJ147" i="5" s="1"/>
  <c r="D146" i="5" a="1"/>
  <c r="D146" i="5" s="1"/>
  <c r="D147" i="5" a="1"/>
  <c r="D147" i="5" s="1"/>
  <c r="J147" i="5" a="1"/>
  <c r="J147" i="5" s="1"/>
  <c r="J146" i="5" a="1"/>
  <c r="J146" i="5" s="1"/>
  <c r="C4" i="6" s="1"/>
  <c r="K4" i="6" s="1"/>
  <c r="F4" i="6" s="1"/>
  <c r="B146" i="5" a="1"/>
  <c r="B146" i="5" s="1"/>
  <c r="B147" i="5" a="1"/>
  <c r="B147" i="5" s="1"/>
  <c r="V147" i="5" a="1"/>
  <c r="V147" i="5" s="1"/>
  <c r="V146" i="5" a="1"/>
  <c r="V146" i="5" s="1"/>
  <c r="AB146" i="5" a="1"/>
  <c r="AB146" i="5" s="1"/>
  <c r="AB147" i="5" a="1"/>
  <c r="AB147" i="5" s="1"/>
  <c r="R147" i="5" a="1"/>
  <c r="R147" i="5" s="1"/>
  <c r="R146" i="5" a="1"/>
  <c r="R146" i="5" s="1"/>
  <c r="C7" i="6" s="1"/>
  <c r="K7" i="6" s="1"/>
  <c r="F7" i="6" s="1"/>
  <c r="T146" i="5" a="1"/>
  <c r="T146" i="5" s="1"/>
  <c r="C8" i="6" s="1"/>
  <c r="K8" i="6" s="1"/>
  <c r="F8" i="6" s="1"/>
  <c r="T147" i="5" a="1"/>
  <c r="T147" i="5" s="1"/>
  <c r="L147" i="5" a="1"/>
  <c r="L147" i="5" s="1"/>
  <c r="L146" i="5" a="1"/>
  <c r="L146" i="5" s="1"/>
  <c r="AH147" i="5" a="1"/>
  <c r="AH147" i="5" s="1"/>
  <c r="AH146" i="5" a="1"/>
  <c r="AH146" i="5" s="1"/>
  <c r="H235" i="9" a="1"/>
  <c r="C243" i="9" a="1"/>
  <c r="H239" i="9" a="1"/>
  <c r="H215" i="9" a="1"/>
  <c r="H219" i="9" a="1"/>
  <c r="H231" i="9" a="1"/>
  <c r="H223" i="9" a="1"/>
  <c r="C5" i="6" l="1"/>
  <c r="K5" i="6" s="1"/>
  <c r="F5" i="6" s="1"/>
  <c r="H219" i="9"/>
  <c r="H215" i="9"/>
  <c r="H239" i="9"/>
  <c r="H235" i="9"/>
  <c r="H223" i="9"/>
  <c r="H231" i="9"/>
  <c r="C243" i="9"/>
  <c r="CM9" i="10"/>
  <c r="E6" i="8"/>
  <c r="H227" i="9" a="1"/>
  <c r="H227" i="9" l="1"/>
  <c r="Q227" i="9" s="1"/>
  <c r="P227" i="9" s="1"/>
  <c r="H214" i="9"/>
  <c r="C6" i="8"/>
  <c r="F214" i="9" s="1"/>
  <c r="F243" i="9"/>
  <c r="G243" i="9" s="1"/>
  <c r="A243" i="9"/>
  <c r="Q223" i="9"/>
  <c r="P223" i="9" s="1"/>
  <c r="F223" i="9"/>
  <c r="G223" i="9" s="1"/>
  <c r="Q235" i="9"/>
  <c r="P235" i="9" s="1"/>
  <c r="F235" i="9"/>
  <c r="G235" i="9" s="1"/>
  <c r="Q239" i="9"/>
  <c r="P239" i="9" s="1"/>
  <c r="F239" i="9"/>
  <c r="G239" i="9" s="1"/>
  <c r="F227" i="9"/>
  <c r="G227" i="9" s="1"/>
  <c r="Q215" i="9"/>
  <c r="P215" i="9" s="1"/>
  <c r="F215" i="9"/>
  <c r="G215" i="9" s="1"/>
  <c r="Q231" i="9"/>
  <c r="P231" i="9" s="1"/>
  <c r="F231" i="9"/>
  <c r="G231" i="9" s="1"/>
  <c r="CT9" i="10"/>
  <c r="Q219" i="9"/>
  <c r="P219" i="9" s="1"/>
  <c r="F219" i="9"/>
  <c r="G219" i="9" s="1"/>
  <c r="CM17" i="10" l="1"/>
  <c r="D6" i="8"/>
  <c r="G214" i="9" s="1"/>
  <c r="CT17" i="10" l="1"/>
  <c r="CM25" i="10" l="1"/>
  <c r="CT25" i="10" l="1"/>
  <c r="CM33" i="10" l="1"/>
  <c r="CT33" i="10" l="1"/>
  <c r="CM41" i="10" l="1"/>
  <c r="CT41" i="10" l="1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1" i="7" a="1"/>
  <c r="O7" i="7" a="1"/>
  <c r="O3" i="7" a="1"/>
  <c r="O5" i="7" a="1"/>
  <c r="O5" i="7" l="1"/>
  <c r="O13" i="7" s="1" a="1"/>
  <c r="O13" i="7" s="1"/>
  <c r="O21" i="7" s="1" a="1"/>
  <c r="O21" i="7" s="1"/>
  <c r="O29" i="7" s="1" a="1"/>
  <c r="O29" i="7" s="1"/>
  <c r="O37" i="7" s="1" a="1"/>
  <c r="O37" i="7" s="1"/>
  <c r="O45" i="7" s="1" a="1"/>
  <c r="O45" i="7" s="1"/>
  <c r="O53" i="7" s="1" a="1"/>
  <c r="O53" i="7" s="1"/>
  <c r="O61" i="7" s="1" a="1"/>
  <c r="O61" i="7" s="1"/>
  <c r="O3" i="7"/>
  <c r="O11" i="7" s="1" a="1"/>
  <c r="O11" i="7" s="1"/>
  <c r="O19" i="7" s="1" a="1"/>
  <c r="O19" i="7" s="1"/>
  <c r="O27" i="7" s="1" a="1"/>
  <c r="O27" i="7" s="1"/>
  <c r="O35" i="7" s="1" a="1"/>
  <c r="O35" i="7" s="1"/>
  <c r="O43" i="7" s="1" a="1"/>
  <c r="O43" i="7" s="1"/>
  <c r="O51" i="7" s="1" a="1"/>
  <c r="O51" i="7" s="1"/>
  <c r="O59" i="7" s="1" a="1"/>
  <c r="O59" i="7" s="1"/>
  <c r="O7" i="7"/>
  <c r="O15" i="7" s="1" a="1"/>
  <c r="O15" i="7" s="1"/>
  <c r="O23" i="7" s="1" a="1"/>
  <c r="O23" i="7" s="1"/>
  <c r="O31" i="7" s="1" a="1"/>
  <c r="O31" i="7" s="1"/>
  <c r="O39" i="7" s="1" a="1"/>
  <c r="O39" i="7" s="1"/>
  <c r="O47" i="7" s="1" a="1"/>
  <c r="O47" i="7" s="1"/>
  <c r="O55" i="7" s="1" a="1"/>
  <c r="O55" i="7" s="1"/>
  <c r="O63" i="7" s="1" a="1"/>
  <c r="O63" i="7" s="1"/>
  <c r="O1" i="7"/>
  <c r="O9" i="7" a="1"/>
  <c r="O9" i="7" s="1"/>
  <c r="O17" i="7" s="1" a="1"/>
  <c r="O17" i="7" s="1"/>
  <c r="O25" i="7" s="1" a="1"/>
  <c r="O25" i="7" s="1"/>
  <c r="O33" i="7" s="1" a="1"/>
  <c r="O33" i="7" s="1"/>
  <c r="O41" i="7" s="1" a="1"/>
  <c r="O41" i="7" s="1"/>
  <c r="O49" i="7" s="1" a="1"/>
  <c r="O49" i="7" s="1"/>
  <c r="O57" i="7" s="1" a="1"/>
  <c r="O57" i="7" s="1"/>
  <c r="O8" i="7" a="1"/>
  <c r="O2" i="7" a="1"/>
  <c r="O2" i="7" l="1"/>
  <c r="O10" i="7" s="1" a="1"/>
  <c r="O10" i="7" s="1"/>
  <c r="O18" i="7" s="1" a="1"/>
  <c r="O18" i="7" s="1"/>
  <c r="O26" i="7" s="1" a="1"/>
  <c r="O26" i="7" s="1"/>
  <c r="O34" i="7" s="1" a="1"/>
  <c r="O34" i="7" s="1"/>
  <c r="O42" i="7" s="1" a="1"/>
  <c r="O42" i="7" s="1"/>
  <c r="O50" i="7" s="1" a="1"/>
  <c r="O50" i="7" s="1"/>
  <c r="O58" i="7" s="1" a="1"/>
  <c r="O58" i="7" s="1"/>
  <c r="O8" i="7"/>
  <c r="O16" i="7" s="1" a="1"/>
  <c r="O16" i="7" s="1"/>
  <c r="O24" i="7" s="1" a="1"/>
  <c r="O24" i="7" s="1"/>
  <c r="O32" i="7" s="1" a="1"/>
  <c r="O32" i="7" s="1"/>
  <c r="O40" i="7" s="1" a="1"/>
  <c r="O40" i="7" s="1"/>
  <c r="O48" i="7" s="1" a="1"/>
  <c r="O48" i="7" s="1"/>
  <c r="O56" i="7" s="1" a="1"/>
  <c r="O56" i="7" s="1"/>
  <c r="O64" i="7" s="1" a="1"/>
  <c r="O64" i="7" s="1"/>
  <c r="O6" i="7" a="1"/>
  <c r="O4" i="7" a="1"/>
  <c r="O6" i="7" l="1"/>
  <c r="O4" i="7"/>
  <c r="O12" i="7" s="1" a="1"/>
  <c r="B9" i="7" a="1"/>
  <c r="B9" i="7" s="1"/>
  <c r="B10" i="7" a="1"/>
  <c r="B10" i="7" s="1"/>
  <c r="B11" i="7" a="1"/>
  <c r="B11" i="7" s="1"/>
  <c r="B13" i="7" a="1"/>
  <c r="B13" i="7" s="1"/>
  <c r="B15" i="7" a="1"/>
  <c r="B15" i="7" s="1"/>
  <c r="B16" i="7" a="1"/>
  <c r="B16" i="7" s="1"/>
  <c r="F7" i="7" a="1"/>
  <c r="F2" i="7" a="1"/>
  <c r="F1" i="7" a="1"/>
  <c r="F8" i="7" a="1"/>
  <c r="F5" i="7" a="1"/>
  <c r="F4" i="7" a="1"/>
  <c r="F3" i="7" a="1"/>
  <c r="O14" i="7" l="1" a="1"/>
  <c r="O14" i="7" s="1"/>
  <c r="F4" i="7"/>
  <c r="A4" i="7" s="1" a="1"/>
  <c r="A4" i="7" s="1"/>
  <c r="F8" i="7"/>
  <c r="A8" i="7" s="1" a="1"/>
  <c r="A8" i="7" s="1"/>
  <c r="F5" i="7"/>
  <c r="A5" i="7" s="1" a="1"/>
  <c r="A5" i="7" s="1"/>
  <c r="F2" i="7"/>
  <c r="A2" i="7" s="1" a="1"/>
  <c r="F7" i="7"/>
  <c r="A7" i="7" s="1" a="1"/>
  <c r="A7" i="7" s="1"/>
  <c r="F3" i="7"/>
  <c r="A3" i="7" s="1" a="1"/>
  <c r="F1" i="7"/>
  <c r="A1" i="7" s="1" a="1"/>
  <c r="A1" i="7" s="1"/>
  <c r="O12" i="7"/>
  <c r="F11" i="7" a="1"/>
  <c r="F11" i="7" s="1"/>
  <c r="A11" i="7" s="1" a="1"/>
  <c r="A11" i="7" s="1"/>
  <c r="B19" i="7" a="1"/>
  <c r="B19" i="7" s="1"/>
  <c r="F16" i="7" a="1"/>
  <c r="F16" i="7" s="1"/>
  <c r="A16" i="7" s="1" a="1"/>
  <c r="A16" i="7" s="1"/>
  <c r="B24" i="7" a="1"/>
  <c r="B24" i="7" s="1"/>
  <c r="F15" i="7" a="1"/>
  <c r="F15" i="7" s="1"/>
  <c r="A15" i="7" s="1" a="1"/>
  <c r="A15" i="7" s="1"/>
  <c r="B23" i="7" a="1"/>
  <c r="B23" i="7" s="1"/>
  <c r="F10" i="7" a="1"/>
  <c r="F10" i="7" s="1"/>
  <c r="A10" i="7" s="1" a="1"/>
  <c r="A10" i="7" s="1"/>
  <c r="B18" i="7" a="1"/>
  <c r="B18" i="7" s="1"/>
  <c r="F9" i="7" a="1"/>
  <c r="F9" i="7" s="1"/>
  <c r="A9" i="7" s="1" a="1"/>
  <c r="A9" i="7" s="1"/>
  <c r="B17" i="7" a="1"/>
  <c r="B17" i="7" s="1"/>
  <c r="F13" i="7" a="1"/>
  <c r="F13" i="7" s="1"/>
  <c r="A13" i="7" s="1" a="1"/>
  <c r="A13" i="7" s="1"/>
  <c r="B21" i="7" a="1"/>
  <c r="B21" i="7" s="1"/>
  <c r="F6" i="7" a="1"/>
  <c r="F6" i="7" l="1"/>
  <c r="A6" i="7" s="1" a="1"/>
  <c r="A6" i="7" s="1"/>
  <c r="B14" i="7" a="1"/>
  <c r="B14" i="7" s="1"/>
  <c r="F14" i="7" s="1" a="1"/>
  <c r="F14" i="7" s="1"/>
  <c r="A14" i="7" s="1" a="1"/>
  <c r="A14" i="7" s="1"/>
  <c r="O22" i="7" a="1"/>
  <c r="O22" i="7" s="1"/>
  <c r="O30" i="7" s="1" a="1"/>
  <c r="O30" i="7" s="1"/>
  <c r="O38" i="7" s="1" a="1"/>
  <c r="A3" i="7"/>
  <c r="A2" i="7"/>
  <c r="B12" i="7" a="1"/>
  <c r="B12" i="7" s="1"/>
  <c r="F18" i="7" a="1"/>
  <c r="F18" i="7" s="1"/>
  <c r="A18" i="7" s="1" a="1"/>
  <c r="A18" i="7" s="1"/>
  <c r="B26" i="7" a="1"/>
  <c r="B26" i="7" s="1"/>
  <c r="F21" i="7" a="1"/>
  <c r="F21" i="7" s="1"/>
  <c r="A21" i="7" s="1" a="1"/>
  <c r="A21" i="7" s="1"/>
  <c r="B29" i="7" a="1"/>
  <c r="B29" i="7" s="1"/>
  <c r="F23" i="7" a="1"/>
  <c r="F23" i="7" s="1"/>
  <c r="A23" i="7" s="1" a="1"/>
  <c r="A23" i="7" s="1"/>
  <c r="B31" i="7" a="1"/>
  <c r="B31" i="7" s="1"/>
  <c r="B22" i="7" a="1"/>
  <c r="B22" i="7" s="1"/>
  <c r="F24" i="7" a="1"/>
  <c r="F24" i="7" s="1"/>
  <c r="A24" i="7" s="1" a="1"/>
  <c r="A24" i="7" s="1"/>
  <c r="B32" i="7" a="1"/>
  <c r="B32" i="7" s="1"/>
  <c r="F17" i="7" a="1"/>
  <c r="F17" i="7" s="1"/>
  <c r="A17" i="7" s="1" a="1"/>
  <c r="A17" i="7" s="1"/>
  <c r="B25" i="7" a="1"/>
  <c r="B25" i="7" s="1"/>
  <c r="F19" i="7" a="1"/>
  <c r="F19" i="7" s="1"/>
  <c r="A19" i="7" s="1" a="1"/>
  <c r="A19" i="7" s="1"/>
  <c r="B27" i="7" a="1"/>
  <c r="B27" i="7" s="1"/>
  <c r="O20" i="7" a="1"/>
  <c r="O20" i="7" l="1"/>
  <c r="O38" i="7"/>
  <c r="B33" i="7" a="1"/>
  <c r="B33" i="7" s="1"/>
  <c r="F25" i="7" a="1"/>
  <c r="F25" i="7" s="1"/>
  <c r="A25" i="7" s="1" a="1"/>
  <c r="A25" i="7" s="1"/>
  <c r="F26" i="7" a="1"/>
  <c r="F26" i="7" s="1"/>
  <c r="A26" i="7" s="1" a="1"/>
  <c r="A26" i="7" s="1"/>
  <c r="B34" i="7" a="1"/>
  <c r="B34" i="7" s="1"/>
  <c r="F32" i="7" a="1"/>
  <c r="F32" i="7" s="1"/>
  <c r="A32" i="7" s="1" a="1"/>
  <c r="A32" i="7" s="1"/>
  <c r="B40" i="7" a="1"/>
  <c r="B40" i="7" s="1"/>
  <c r="F12" i="7" a="1"/>
  <c r="F12" i="7" s="1"/>
  <c r="A12" i="7" s="1" a="1"/>
  <c r="A12" i="7" s="1"/>
  <c r="B20" i="7" a="1"/>
  <c r="B20" i="7" s="1"/>
  <c r="F22" i="7" a="1"/>
  <c r="F22" i="7" s="1"/>
  <c r="A22" i="7" s="1" a="1"/>
  <c r="A22" i="7" s="1"/>
  <c r="B30" i="7" a="1"/>
  <c r="B30" i="7" s="1"/>
  <c r="F31" i="7" a="1"/>
  <c r="F31" i="7" s="1"/>
  <c r="A31" i="7" s="1" a="1"/>
  <c r="A31" i="7" s="1"/>
  <c r="B39" i="7" a="1"/>
  <c r="B39" i="7" s="1"/>
  <c r="F27" i="7" a="1"/>
  <c r="F27" i="7" s="1"/>
  <c r="A27" i="7" s="1" a="1"/>
  <c r="A27" i="7" s="1"/>
  <c r="B35" i="7" a="1"/>
  <c r="B35" i="7" s="1"/>
  <c r="F29" i="7" a="1"/>
  <c r="F29" i="7" s="1"/>
  <c r="A29" i="7" s="1" a="1"/>
  <c r="A29" i="7" s="1"/>
  <c r="B37" i="7" a="1"/>
  <c r="B37" i="7" s="1"/>
  <c r="O28" i="7" a="1"/>
  <c r="O46" i="7" a="1"/>
  <c r="O46" i="7" l="1"/>
  <c r="O28" i="7"/>
  <c r="F39" i="7" a="1"/>
  <c r="F39" i="7" s="1"/>
  <c r="A39" i="7" s="1" a="1"/>
  <c r="A39" i="7" s="1"/>
  <c r="B47" i="7" a="1"/>
  <c r="B47" i="7" s="1"/>
  <c r="F34" i="7" a="1"/>
  <c r="F34" i="7" s="1"/>
  <c r="A34" i="7" s="1" a="1"/>
  <c r="A34" i="7" s="1"/>
  <c r="B42" i="7" a="1"/>
  <c r="B42" i="7" s="1"/>
  <c r="F30" i="7" a="1"/>
  <c r="F30" i="7" s="1"/>
  <c r="A30" i="7" s="1" a="1"/>
  <c r="A30" i="7" s="1"/>
  <c r="B38" i="7" a="1"/>
  <c r="B38" i="7" s="1"/>
  <c r="B41" i="7" a="1"/>
  <c r="B41" i="7" s="1"/>
  <c r="F33" i="7" a="1"/>
  <c r="F33" i="7" s="1"/>
  <c r="A33" i="7" s="1" a="1"/>
  <c r="A33" i="7" s="1"/>
  <c r="F20" i="7" a="1"/>
  <c r="F20" i="7" s="1"/>
  <c r="A20" i="7" s="1" a="1"/>
  <c r="A20" i="7" s="1"/>
  <c r="B28" i="7" a="1"/>
  <c r="B28" i="7" s="1"/>
  <c r="F37" i="7" a="1"/>
  <c r="F37" i="7" s="1"/>
  <c r="A37" i="7" s="1" a="1"/>
  <c r="A37" i="7" s="1"/>
  <c r="B45" i="7" a="1"/>
  <c r="B45" i="7" s="1"/>
  <c r="F35" i="7" a="1"/>
  <c r="F35" i="7" s="1"/>
  <c r="A35" i="7" s="1" a="1"/>
  <c r="A35" i="7" s="1"/>
  <c r="B43" i="7" a="1"/>
  <c r="B43" i="7" s="1"/>
  <c r="F40" i="7" a="1"/>
  <c r="F40" i="7" s="1"/>
  <c r="A40" i="7" s="1" a="1"/>
  <c r="A40" i="7" s="1"/>
  <c r="B48" i="7" a="1"/>
  <c r="B48" i="7" s="1"/>
  <c r="O54" i="7" a="1"/>
  <c r="O36" i="7" a="1"/>
  <c r="O36" i="7" l="1"/>
  <c r="O54" i="7"/>
  <c r="O62" i="7" s="1" a="1"/>
  <c r="O62" i="7" s="1"/>
  <c r="F45" i="7" a="1"/>
  <c r="F45" i="7" s="1"/>
  <c r="A45" i="7" s="1" a="1"/>
  <c r="A45" i="7" s="1"/>
  <c r="B53" i="7" a="1"/>
  <c r="B53" i="7" s="1"/>
  <c r="F28" i="7" a="1"/>
  <c r="F28" i="7" s="1"/>
  <c r="A28" i="7" s="1" a="1"/>
  <c r="A28" i="7" s="1"/>
  <c r="B36" i="7" a="1"/>
  <c r="B36" i="7" s="1"/>
  <c r="F47" i="7" a="1"/>
  <c r="F47" i="7" s="1"/>
  <c r="A47" i="7" s="1" a="1"/>
  <c r="A47" i="7" s="1"/>
  <c r="B55" i="7" a="1"/>
  <c r="B55" i="7" s="1"/>
  <c r="F42" i="7" a="1"/>
  <c r="F42" i="7" s="1"/>
  <c r="A42" i="7" s="1" a="1"/>
  <c r="A42" i="7" s="1"/>
  <c r="B50" i="7" a="1"/>
  <c r="B50" i="7" s="1"/>
  <c r="F43" i="7" a="1"/>
  <c r="F43" i="7" s="1"/>
  <c r="A43" i="7" s="1" a="1"/>
  <c r="A43" i="7" s="1"/>
  <c r="B51" i="7" a="1"/>
  <c r="B51" i="7" s="1"/>
  <c r="F41" i="7" a="1"/>
  <c r="F41" i="7" s="1"/>
  <c r="A41" i="7" s="1" a="1"/>
  <c r="A41" i="7" s="1"/>
  <c r="B49" i="7" a="1"/>
  <c r="B49" i="7" s="1"/>
  <c r="F48" i="7" a="1"/>
  <c r="F48" i="7" s="1"/>
  <c r="A48" i="7" s="1" a="1"/>
  <c r="A48" i="7" s="1"/>
  <c r="B56" i="7" a="1"/>
  <c r="B56" i="7" s="1"/>
  <c r="F38" i="7" a="1"/>
  <c r="F38" i="7" s="1"/>
  <c r="A38" i="7" s="1" a="1"/>
  <c r="A38" i="7" s="1"/>
  <c r="B46" i="7" a="1"/>
  <c r="B46" i="7" s="1"/>
  <c r="O44" i="7" a="1"/>
  <c r="O44" i="7" l="1"/>
  <c r="B44" i="7" s="1" a="1"/>
  <c r="B44" i="7" s="1"/>
  <c r="F36" i="7" a="1"/>
  <c r="F36" i="7" s="1"/>
  <c r="A36" i="7" s="1" a="1"/>
  <c r="A36" i="7" s="1"/>
  <c r="F51" i="7" a="1"/>
  <c r="F51" i="7" s="1"/>
  <c r="A51" i="7" s="1" a="1"/>
  <c r="A51" i="7" s="1"/>
  <c r="B59" i="7" a="1"/>
  <c r="B59" i="7" s="1"/>
  <c r="F59" i="7" s="1" a="1"/>
  <c r="F59" i="7" s="1"/>
  <c r="A59" i="7" s="1" a="1"/>
  <c r="A59" i="7" s="1"/>
  <c r="F46" i="7" a="1"/>
  <c r="F46" i="7" s="1"/>
  <c r="A46" i="7" s="1" a="1"/>
  <c r="A46" i="7" s="1"/>
  <c r="B54" i="7" a="1"/>
  <c r="B54" i="7" s="1"/>
  <c r="F53" i="7" a="1"/>
  <c r="F53" i="7" s="1"/>
  <c r="A53" i="7" s="1" a="1"/>
  <c r="A53" i="7" s="1"/>
  <c r="B61" i="7" a="1"/>
  <c r="B61" i="7" s="1"/>
  <c r="F61" i="7" s="1" a="1"/>
  <c r="F61" i="7" s="1"/>
  <c r="A61" i="7" s="1" a="1"/>
  <c r="A61" i="7" s="1"/>
  <c r="F56" i="7" a="1"/>
  <c r="F56" i="7" s="1"/>
  <c r="A56" i="7" s="1" a="1"/>
  <c r="A56" i="7" s="1"/>
  <c r="B64" i="7" a="1"/>
  <c r="B64" i="7" s="1"/>
  <c r="F64" i="7" s="1" a="1"/>
  <c r="F64" i="7" s="1"/>
  <c r="A64" i="7" s="1" a="1"/>
  <c r="A64" i="7" s="1"/>
  <c r="F50" i="7" a="1"/>
  <c r="F50" i="7" s="1"/>
  <c r="A50" i="7" s="1" a="1"/>
  <c r="A50" i="7" s="1"/>
  <c r="B58" i="7" a="1"/>
  <c r="B58" i="7" s="1"/>
  <c r="F58" i="7" s="1" a="1"/>
  <c r="F58" i="7" s="1"/>
  <c r="A58" i="7" s="1" a="1"/>
  <c r="A58" i="7" s="1"/>
  <c r="F49" i="7" a="1"/>
  <c r="F49" i="7" s="1"/>
  <c r="A49" i="7" s="1" a="1"/>
  <c r="A49" i="7" s="1"/>
  <c r="B57" i="7" a="1"/>
  <c r="B57" i="7" s="1"/>
  <c r="F57" i="7" s="1" a="1"/>
  <c r="F57" i="7" s="1"/>
  <c r="A57" i="7" s="1" a="1"/>
  <c r="A57" i="7" s="1"/>
  <c r="F55" i="7" a="1"/>
  <c r="F55" i="7" s="1"/>
  <c r="A55" i="7" s="1" a="1"/>
  <c r="A55" i="7" s="1"/>
  <c r="B63" i="7" a="1"/>
  <c r="B63" i="7" s="1"/>
  <c r="F63" i="7" s="1" a="1"/>
  <c r="F63" i="7" s="1"/>
  <c r="A63" i="7" s="1" a="1"/>
  <c r="A63" i="7" s="1"/>
  <c r="O52" i="7" a="1"/>
  <c r="O52" i="7" l="1"/>
  <c r="O60" i="7" s="1" a="1"/>
  <c r="O60" i="7" s="1"/>
  <c r="F54" i="7" a="1"/>
  <c r="F54" i="7" s="1"/>
  <c r="A54" i="7" s="1" a="1"/>
  <c r="A54" i="7" s="1"/>
  <c r="B62" i="7" a="1"/>
  <c r="B62" i="7" s="1"/>
  <c r="F62" i="7" s="1" a="1"/>
  <c r="F62" i="7" s="1"/>
  <c r="A62" i="7" s="1" a="1"/>
  <c r="A62" i="7" s="1"/>
  <c r="F44" i="7" a="1"/>
  <c r="F44" i="7" s="1"/>
  <c r="A44" i="7" s="1" a="1"/>
  <c r="A44" i="7" s="1"/>
  <c r="B52" i="7" l="1" a="1"/>
  <c r="B52" i="7" s="1"/>
  <c r="F52" i="7" s="1" a="1"/>
  <c r="F52" i="7" s="1"/>
  <c r="A52" i="7" s="1" a="1"/>
  <c r="A52" i="7" s="1"/>
  <c r="B60" i="7" l="1" a="1"/>
  <c r="B60" i="7" s="1"/>
  <c r="F60" i="7" s="1" a="1"/>
  <c r="F60" i="7" s="1"/>
  <c r="A60" i="7" s="1" a="1"/>
  <c r="A60" i="7" s="1"/>
  <c r="R1" i="7" s="1" a="1"/>
  <c r="R1" i="7" s="1"/>
  <c r="T1" i="7" s="1"/>
  <c r="H247" i="9" s="1"/>
  <c r="Q247" i="9" s="1"/>
  <c r="P247" i="9" s="1"/>
  <c r="R10" i="7" a="1"/>
  <c r="R10" i="7" s="1"/>
  <c r="T10" i="7" s="1"/>
  <c r="H256" i="9" s="1"/>
  <c r="Q256" i="9" s="1"/>
  <c r="P256" i="9" s="1"/>
  <c r="R4" i="7" a="1"/>
  <c r="R4" i="7" s="1"/>
  <c r="S4" i="7" s="1"/>
  <c r="D250" i="9" s="1"/>
  <c r="R12" i="7" a="1"/>
  <c r="R12" i="7" s="1"/>
  <c r="C258" i="9" s="1"/>
  <c r="A258" i="9" s="1"/>
  <c r="R3" i="7" a="1"/>
  <c r="R3" i="7" s="1"/>
  <c r="T3" i="7" s="1"/>
  <c r="H249" i="9" s="1"/>
  <c r="Q249" i="9" s="1"/>
  <c r="P249" i="9" s="1"/>
  <c r="R11" i="7" a="1"/>
  <c r="R11" i="7" s="1"/>
  <c r="C257" i="9" s="1"/>
  <c r="A257" i="9" s="1"/>
  <c r="R6" i="7" a="1"/>
  <c r="R6" i="7" s="1"/>
  <c r="S6" i="7" s="1"/>
  <c r="D252" i="9" s="1"/>
  <c r="R14" i="7" a="1"/>
  <c r="R14" i="7" s="1"/>
  <c r="T14" i="7" s="1"/>
  <c r="H260" i="9" s="1"/>
  <c r="Q260" i="9" s="1"/>
  <c r="P260" i="9" s="1"/>
  <c r="C247" i="9"/>
  <c r="A247" i="9" s="1"/>
  <c r="R5" i="7" a="1"/>
  <c r="R5" i="7" s="1"/>
  <c r="S10" i="7"/>
  <c r="D256" i="9" s="1"/>
  <c r="R7" i="7" a="1"/>
  <c r="R7" i="7" s="1"/>
  <c r="C249" i="9"/>
  <c r="A249" i="9" s="1"/>
  <c r="R2" i="7" a="1"/>
  <c r="R2" i="7" s="1"/>
  <c r="R15" i="7" a="1"/>
  <c r="R15" i="7" s="1"/>
  <c r="R8" i="7" a="1"/>
  <c r="R8" i="7" s="1"/>
  <c r="S1" i="7" l="1"/>
  <c r="D247" i="9" s="1"/>
  <c r="C256" i="9"/>
  <c r="A256" i="9" s="1"/>
  <c r="R9" i="7" a="1"/>
  <c r="R9" i="7" s="1"/>
  <c r="S3" i="7"/>
  <c r="D249" i="9" s="1"/>
  <c r="R13" i="7" a="1"/>
  <c r="R13" i="7" s="1"/>
  <c r="S11" i="7"/>
  <c r="D257" i="9" s="1"/>
  <c r="T11" i="7"/>
  <c r="H257" i="9" s="1"/>
  <c r="Q257" i="9" s="1"/>
  <c r="P257" i="9" s="1"/>
  <c r="T12" i="7"/>
  <c r="H258" i="9" s="1"/>
  <c r="Q258" i="9" s="1"/>
  <c r="P258" i="9" s="1"/>
  <c r="S12" i="7"/>
  <c r="D258" i="9" s="1"/>
  <c r="C252" i="9"/>
  <c r="A252" i="9" s="1"/>
  <c r="T6" i="7"/>
  <c r="H252" i="9" s="1"/>
  <c r="Q252" i="9" s="1"/>
  <c r="P252" i="9" s="1"/>
  <c r="C250" i="9"/>
  <c r="A250" i="9" s="1"/>
  <c r="T4" i="7"/>
  <c r="H250" i="9" s="1"/>
  <c r="Q250" i="9" s="1"/>
  <c r="P250" i="9" s="1"/>
  <c r="S14" i="7"/>
  <c r="D260" i="9" s="1"/>
  <c r="C260" i="9"/>
  <c r="A260" i="9" s="1"/>
  <c r="T15" i="7"/>
  <c r="H261" i="9" s="1"/>
  <c r="Q261" i="9" s="1"/>
  <c r="P261" i="9" s="1"/>
  <c r="S15" i="7"/>
  <c r="D261" i="9" s="1"/>
  <c r="C261" i="9"/>
  <c r="A261" i="9" s="1"/>
  <c r="S7" i="7"/>
  <c r="D253" i="9" s="1"/>
  <c r="C253" i="9"/>
  <c r="A253" i="9" s="1"/>
  <c r="T7" i="7"/>
  <c r="H253" i="9" s="1"/>
  <c r="Q253" i="9" s="1"/>
  <c r="P253" i="9" s="1"/>
  <c r="S8" i="7"/>
  <c r="D254" i="9" s="1"/>
  <c r="T8" i="7"/>
  <c r="H254" i="9" s="1"/>
  <c r="Q254" i="9" s="1"/>
  <c r="P254" i="9" s="1"/>
  <c r="C254" i="9"/>
  <c r="A254" i="9" s="1"/>
  <c r="C251" i="9"/>
  <c r="A251" i="9" s="1"/>
  <c r="T5" i="7"/>
  <c r="H251" i="9" s="1"/>
  <c r="Q251" i="9" s="1"/>
  <c r="P251" i="9" s="1"/>
  <c r="S5" i="7"/>
  <c r="D251" i="9" s="1"/>
  <c r="S2" i="7"/>
  <c r="D248" i="9" s="1"/>
  <c r="C248" i="9"/>
  <c r="A248" i="9" s="1"/>
  <c r="T2" i="7"/>
  <c r="H248" i="9" s="1"/>
  <c r="Q248" i="9" s="1"/>
  <c r="P248" i="9" s="1"/>
  <c r="S9" i="7" l="1"/>
  <c r="D255" i="9" s="1"/>
  <c r="C255" i="9"/>
  <c r="A255" i="9" s="1"/>
  <c r="T9" i="7"/>
  <c r="H255" i="9" s="1"/>
  <c r="Q255" i="9" s="1"/>
  <c r="P255" i="9" s="1"/>
  <c r="T13" i="7"/>
  <c r="H259" i="9" s="1"/>
  <c r="Q259" i="9" s="1"/>
  <c r="P259" i="9" s="1"/>
  <c r="S13" i="7"/>
  <c r="D259" i="9" s="1"/>
  <c r="C259" i="9"/>
  <c r="A259" i="9" s="1"/>
  <c r="R62" i="9" a="1"/>
  <c r="R62" i="9" s="1"/>
  <c r="AU62" i="9" s="1"/>
  <c r="R211" i="9" a="1"/>
  <c r="R211" i="9" s="1"/>
  <c r="AU211" i="9" s="1"/>
  <c r="R154" i="9" a="1"/>
  <c r="R154" i="9" s="1"/>
  <c r="R264" i="9" a="1"/>
  <c r="R264" i="9" s="1"/>
  <c r="AU264" i="9" s="1"/>
  <c r="R212" i="9" a="1"/>
  <c r="R212" i="9" s="1"/>
  <c r="AU212" i="9" s="1"/>
  <c r="R21" i="9" a="1"/>
  <c r="R21" i="9" s="1"/>
  <c r="R20" i="9" a="1"/>
  <c r="R20" i="9" s="1"/>
  <c r="R101" i="9" a="1"/>
  <c r="R101" i="9" s="1"/>
  <c r="AU101" i="9" s="1"/>
  <c r="R87" i="9" a="1"/>
  <c r="R87" i="9" s="1"/>
  <c r="AU87" i="9" s="1"/>
  <c r="R103" i="9" a="1"/>
  <c r="R103" i="9" s="1"/>
  <c r="R4" i="9" a="1"/>
  <c r="R4" i="9" s="1"/>
  <c r="R127" i="9" a="1"/>
  <c r="R127" i="9" s="1"/>
  <c r="AU127" i="9" s="1"/>
  <c r="R171" i="9" a="1"/>
  <c r="R171" i="9" s="1"/>
  <c r="R162" i="9" a="1"/>
  <c r="R162" i="9" s="1"/>
  <c r="AU162" i="9" s="1"/>
  <c r="R13" i="9" a="1"/>
  <c r="R13" i="9" s="1"/>
  <c r="R193" i="9" a="1"/>
  <c r="R193" i="9" s="1"/>
  <c r="U193" i="9" s="1" a="1"/>
  <c r="U193" i="9" s="1"/>
  <c r="R158" i="9" a="1"/>
  <c r="R158" i="9" s="1"/>
  <c r="AU158" i="9" s="1"/>
  <c r="R235" i="9" a="1"/>
  <c r="R235" i="9" s="1"/>
  <c r="AU235" i="9" s="1"/>
  <c r="R75" i="9" a="1"/>
  <c r="R75" i="9" s="1"/>
  <c r="R221" i="9" a="1"/>
  <c r="R221" i="9" s="1"/>
  <c r="AU221" i="9" s="1"/>
  <c r="R237" i="9" a="1"/>
  <c r="R237" i="9" s="1"/>
  <c r="AU237" i="9" s="1"/>
  <c r="R105" i="9" a="1"/>
  <c r="R105" i="9" s="1"/>
  <c r="AU105" i="9" s="1"/>
  <c r="R102" i="9" a="1"/>
  <c r="R102" i="9" s="1"/>
  <c r="W102" i="9" s="1" a="1"/>
  <c r="W102" i="9" s="1"/>
  <c r="R163" i="9" a="1"/>
  <c r="R163" i="9" s="1"/>
  <c r="AU163" i="9" s="1"/>
  <c r="R150" i="9" a="1"/>
  <c r="R150" i="9" s="1"/>
  <c r="R263" i="9" a="1"/>
  <c r="R263" i="9" s="1"/>
  <c r="R170" i="9" a="1"/>
  <c r="R170" i="9" s="1"/>
  <c r="R89" i="9" a="1"/>
  <c r="R89" i="9" s="1"/>
  <c r="X89" i="9" s="1" a="1"/>
  <c r="X89" i="9" s="1"/>
  <c r="AU154" i="9"/>
  <c r="V154" i="9" a="1"/>
  <c r="V154" i="9" s="1"/>
  <c r="U154" i="9" a="1"/>
  <c r="U154" i="9" s="1"/>
  <c r="Y154" i="9" a="1"/>
  <c r="Y154" i="9" s="1"/>
  <c r="AB154" i="9" a="1"/>
  <c r="AB154" i="9" s="1"/>
  <c r="Z154" i="9"/>
  <c r="S154" i="9" a="1"/>
  <c r="S154" i="9" s="1"/>
  <c r="AC154" i="9" s="1"/>
  <c r="W154" i="9" a="1"/>
  <c r="W154" i="9" s="1"/>
  <c r="T154" i="9" a="1"/>
  <c r="T154" i="9" s="1"/>
  <c r="X154" i="9" a="1"/>
  <c r="X154" i="9" s="1"/>
  <c r="R167" i="9" a="1"/>
  <c r="R167" i="9" s="1"/>
  <c r="AU167" i="9" s="1"/>
  <c r="R155" i="9" a="1"/>
  <c r="R155" i="9" s="1"/>
  <c r="AU155" i="9" s="1"/>
  <c r="R239" i="9" a="1"/>
  <c r="R239" i="9" s="1"/>
  <c r="AU239" i="9" s="1"/>
  <c r="R91" i="9" a="1"/>
  <c r="R91" i="9" s="1"/>
  <c r="AU91" i="9" s="1"/>
  <c r="R39" i="9" a="1"/>
  <c r="R39" i="9" s="1"/>
  <c r="R136" i="9" a="1"/>
  <c r="R136" i="9" s="1"/>
  <c r="AU136" i="9" s="1"/>
  <c r="R143" i="9" a="1"/>
  <c r="R143" i="9" s="1"/>
  <c r="AU143" i="9" s="1"/>
  <c r="R206" i="9" a="1"/>
  <c r="R206" i="9" s="1"/>
  <c r="AU206" i="9" s="1"/>
  <c r="R44" i="9" a="1"/>
  <c r="R44" i="9" s="1"/>
  <c r="R157" i="9" a="1"/>
  <c r="R157" i="9" s="1"/>
  <c r="R195" i="9" a="1"/>
  <c r="R195" i="9" s="1"/>
  <c r="AU195" i="9" s="1"/>
  <c r="R72" i="9" a="1"/>
  <c r="R72" i="9" s="1"/>
  <c r="AU72" i="9" s="1"/>
  <c r="R110" i="9" a="1"/>
  <c r="R110" i="9" s="1"/>
  <c r="AU110" i="9" s="1"/>
  <c r="R8" i="9" a="1"/>
  <c r="R8" i="9" s="1"/>
  <c r="R219" i="9" a="1"/>
  <c r="R219" i="9" s="1"/>
  <c r="AU219" i="9" s="1"/>
  <c r="R92" i="9" a="1"/>
  <c r="R92" i="9" s="1"/>
  <c r="AU92" i="9" s="1"/>
  <c r="R194" i="9" a="1"/>
  <c r="R194" i="9" s="1"/>
  <c r="AU194" i="9" s="1"/>
  <c r="R71" i="9" a="1"/>
  <c r="R71" i="9" s="1"/>
  <c r="AU71" i="9" s="1"/>
  <c r="R249" i="9" a="1"/>
  <c r="R249" i="9" s="1"/>
  <c r="R3" i="9" a="1"/>
  <c r="R3" i="9" s="1"/>
  <c r="R217" i="9" a="1"/>
  <c r="R217" i="9" s="1"/>
  <c r="R238" i="9" a="1"/>
  <c r="R238" i="9" s="1"/>
  <c r="R228" i="9" a="1"/>
  <c r="R228" i="9" s="1"/>
  <c r="R214" i="9" a="1"/>
  <c r="R214" i="9" s="1"/>
  <c r="R160" i="9" a="1"/>
  <c r="R160" i="9" s="1"/>
  <c r="R106" i="9" a="1"/>
  <c r="R106" i="9" s="1"/>
  <c r="R218" i="9" a="1"/>
  <c r="R218" i="9" s="1"/>
  <c r="R6" i="9" a="1"/>
  <c r="R6" i="9" s="1"/>
  <c r="R227" i="9" a="1"/>
  <c r="R227" i="9" s="1"/>
  <c r="R14" i="9" a="1"/>
  <c r="R14" i="9" s="1"/>
  <c r="R199" i="9" a="1"/>
  <c r="R199" i="9" s="1"/>
  <c r="R196" i="9" a="1"/>
  <c r="R196" i="9" s="1"/>
  <c r="T193" i="9" a="1"/>
  <c r="T193" i="9" s="1"/>
  <c r="Z193" i="9"/>
  <c r="Y193" i="9" a="1"/>
  <c r="Y193" i="9" s="1"/>
  <c r="V193" i="9" a="1"/>
  <c r="V193" i="9" s="1"/>
  <c r="X193" i="9" a="1"/>
  <c r="X193" i="9" s="1"/>
  <c r="S193" i="9" a="1"/>
  <c r="S193" i="9" s="1"/>
  <c r="AC193" i="9" s="1"/>
  <c r="AB193" i="9" a="1"/>
  <c r="AB193" i="9" s="1"/>
  <c r="AU193" i="9"/>
  <c r="S263" i="9" a="1"/>
  <c r="S263" i="9" s="1"/>
  <c r="AC263" i="9" s="1"/>
  <c r="Y263" i="9" a="1"/>
  <c r="Y263" i="9" s="1"/>
  <c r="W263" i="9" a="1"/>
  <c r="W263" i="9" s="1"/>
  <c r="T263" i="9" a="1"/>
  <c r="T263" i="9" s="1"/>
  <c r="Z263" i="9"/>
  <c r="AU263" i="9"/>
  <c r="U263" i="9" a="1"/>
  <c r="U263" i="9" s="1"/>
  <c r="V263" i="9" a="1"/>
  <c r="V263" i="9" s="1"/>
  <c r="X263" i="9" a="1"/>
  <c r="X263" i="9" s="1"/>
  <c r="AB263" i="9" a="1"/>
  <c r="AB263" i="9" s="1"/>
  <c r="R46" i="9" a="1"/>
  <c r="R46" i="9" s="1"/>
  <c r="R208" i="9" a="1"/>
  <c r="R208" i="9" s="1"/>
  <c r="AU208" i="9" s="1"/>
  <c r="R140" i="9" a="1"/>
  <c r="R140" i="9" s="1"/>
  <c r="AU140" i="9" s="1"/>
  <c r="R74" i="9" a="1"/>
  <c r="R74" i="9" s="1"/>
  <c r="AU74" i="9" s="1"/>
  <c r="R112" i="9" a="1"/>
  <c r="R112" i="9" s="1"/>
  <c r="R265" i="9" a="1"/>
  <c r="R265" i="9" s="1"/>
  <c r="AU265" i="9" s="1"/>
  <c r="R128" i="9" a="1"/>
  <c r="R128" i="9" s="1"/>
  <c r="AU128" i="9" s="1"/>
  <c r="R166" i="9" a="1"/>
  <c r="R166" i="9" s="1"/>
  <c r="AU166" i="9" s="1"/>
  <c r="R32" i="9" a="1"/>
  <c r="R32" i="9" s="1"/>
  <c r="R250" i="9" a="1"/>
  <c r="R250" i="9" s="1"/>
  <c r="AU250" i="9" s="1"/>
  <c r="R179" i="9" a="1"/>
  <c r="R179" i="9" s="1"/>
  <c r="AU179" i="9" s="1"/>
  <c r="R59" i="9" a="1"/>
  <c r="R59" i="9" s="1"/>
  <c r="AU59" i="9" s="1"/>
  <c r="R95" i="9" a="1"/>
  <c r="R95" i="9" s="1"/>
  <c r="AU95" i="9" s="1"/>
  <c r="R230" i="9" a="1"/>
  <c r="R230" i="9" s="1"/>
  <c r="R198" i="9" a="1"/>
  <c r="R198" i="9" s="1"/>
  <c r="AU198" i="9" s="1"/>
  <c r="R76" i="9" a="1"/>
  <c r="R76" i="9" s="1"/>
  <c r="AU76" i="9" s="1"/>
  <c r="R178" i="9" a="1"/>
  <c r="R178" i="9" s="1"/>
  <c r="AU178" i="9" s="1"/>
  <c r="R53" i="9" a="1"/>
  <c r="R53" i="9" s="1"/>
  <c r="AU53" i="9" s="1"/>
  <c r="R37" i="9" a="1"/>
  <c r="R37" i="9" s="1"/>
  <c r="R31" i="9" a="1"/>
  <c r="R31" i="9" s="1"/>
  <c r="R129" i="9" a="1"/>
  <c r="R129" i="9" s="1"/>
  <c r="R98" i="9" a="1"/>
  <c r="R98" i="9" s="1"/>
  <c r="R200" i="9" a="1"/>
  <c r="R200" i="9" s="1"/>
  <c r="R205" i="9" a="1"/>
  <c r="R205" i="9" s="1"/>
  <c r="R246" i="9" a="1"/>
  <c r="R246" i="9" s="1"/>
  <c r="R124" i="9" a="1"/>
  <c r="R124" i="9" s="1"/>
  <c r="R28" i="9" a="1"/>
  <c r="R28" i="9" s="1"/>
  <c r="R145" i="9" a="1"/>
  <c r="R145" i="9" s="1"/>
  <c r="R2" i="9" a="1"/>
  <c r="R2" i="9" s="1"/>
  <c r="R210" i="9" a="1"/>
  <c r="R210" i="9" s="1"/>
  <c r="R66" i="9" a="1"/>
  <c r="R66" i="9" s="1"/>
  <c r="R118" i="9" a="1"/>
  <c r="R118" i="9" s="1"/>
  <c r="S102" i="9" a="1"/>
  <c r="S102" i="9" s="1"/>
  <c r="AC102" i="9" s="1"/>
  <c r="AU102" i="9"/>
  <c r="R224" i="9" a="1"/>
  <c r="R224" i="9" s="1"/>
  <c r="AU224" i="9" s="1"/>
  <c r="R260" i="9" a="1"/>
  <c r="R260" i="9" s="1"/>
  <c r="AU260" i="9" s="1"/>
  <c r="R247" i="9" a="1"/>
  <c r="R247" i="9" s="1"/>
  <c r="AU247" i="9" s="1"/>
  <c r="R60" i="9" a="1"/>
  <c r="R60" i="9" s="1"/>
  <c r="AU60" i="9" s="1"/>
  <c r="R116" i="9" a="1"/>
  <c r="R116" i="9" s="1"/>
  <c r="R241" i="9" a="1"/>
  <c r="R241" i="9" s="1"/>
  <c r="AU241" i="9" s="1"/>
  <c r="R111" i="9" a="1"/>
  <c r="R111" i="9" s="1"/>
  <c r="AU111" i="9" s="1"/>
  <c r="R139" i="9" a="1"/>
  <c r="R139" i="9" s="1"/>
  <c r="AU139" i="9" s="1"/>
  <c r="R22" i="9" a="1"/>
  <c r="R22" i="9" s="1"/>
  <c r="R220" i="9" a="1"/>
  <c r="R220" i="9" s="1"/>
  <c r="AU220" i="9" s="1"/>
  <c r="R161" i="9" a="1"/>
  <c r="R161" i="9" s="1"/>
  <c r="AU161" i="9" s="1"/>
  <c r="R104" i="9" a="1"/>
  <c r="R104" i="9" s="1"/>
  <c r="R79" i="9" a="1"/>
  <c r="R79" i="9" s="1"/>
  <c r="AU79" i="9" s="1"/>
  <c r="R47" i="9" a="1"/>
  <c r="R47" i="9" s="1"/>
  <c r="R183" i="9" a="1"/>
  <c r="R183" i="9" s="1"/>
  <c r="AU183" i="9" s="1"/>
  <c r="R61" i="9" a="1"/>
  <c r="R61" i="9" s="1"/>
  <c r="AU61" i="9" s="1"/>
  <c r="R159" i="9" a="1"/>
  <c r="R159" i="9" s="1"/>
  <c r="AU159" i="9" s="1"/>
  <c r="R38" i="9" a="1"/>
  <c r="R38" i="9" s="1"/>
  <c r="R146" i="9" a="1"/>
  <c r="R146" i="9" s="1"/>
  <c r="R203" i="9" a="1"/>
  <c r="R203" i="9" s="1"/>
  <c r="R107" i="9" a="1"/>
  <c r="R107" i="9" s="1"/>
  <c r="R64" i="9" a="1"/>
  <c r="R64" i="9" s="1"/>
  <c r="R90" i="9" a="1"/>
  <c r="R90" i="9" s="1"/>
  <c r="R225" i="9" a="1"/>
  <c r="R225" i="9" s="1"/>
  <c r="R261" i="9" a="1"/>
  <c r="R261" i="9" s="1"/>
  <c r="R222" i="9" a="1"/>
  <c r="R222" i="9" s="1"/>
  <c r="R135" i="9" a="1"/>
  <c r="R135" i="9" s="1"/>
  <c r="R180" i="9" a="1"/>
  <c r="R180" i="9" s="1"/>
  <c r="R192" i="9" a="1"/>
  <c r="R192" i="9" s="1"/>
  <c r="R5" i="9" a="1"/>
  <c r="R5" i="9" s="1"/>
  <c r="R43" i="9" a="1"/>
  <c r="R43" i="9" s="1"/>
  <c r="R223" i="9" a="1"/>
  <c r="R223" i="9" s="1"/>
  <c r="AU75" i="9"/>
  <c r="Y75" i="9" a="1"/>
  <c r="Y75" i="9" s="1"/>
  <c r="AB75" i="9" a="1"/>
  <c r="AB75" i="9" s="1"/>
  <c r="Z75" i="9"/>
  <c r="V75" i="9" a="1"/>
  <c r="V75" i="9" s="1"/>
  <c r="T75" i="9" a="1"/>
  <c r="T75" i="9" s="1"/>
  <c r="S75" i="9" a="1"/>
  <c r="S75" i="9" s="1"/>
  <c r="AC75" i="9" s="1"/>
  <c r="X75" i="9" a="1"/>
  <c r="X75" i="9" s="1"/>
  <c r="U75" i="9" a="1"/>
  <c r="U75" i="9" s="1"/>
  <c r="W75" i="9" a="1"/>
  <c r="W75" i="9" s="1"/>
  <c r="AA75" i="9" s="1"/>
  <c r="Y170" i="9" a="1"/>
  <c r="Y170" i="9" s="1"/>
  <c r="W170" i="9" a="1"/>
  <c r="W170" i="9" s="1"/>
  <c r="T170" i="9" a="1"/>
  <c r="T170" i="9" s="1"/>
  <c r="V170" i="9" a="1"/>
  <c r="V170" i="9" s="1"/>
  <c r="U170" i="9" a="1"/>
  <c r="U170" i="9" s="1"/>
  <c r="AU170" i="9"/>
  <c r="S170" i="9" a="1"/>
  <c r="S170" i="9" s="1"/>
  <c r="AC170" i="9" s="1"/>
  <c r="Z170" i="9"/>
  <c r="X170" i="9" a="1"/>
  <c r="X170" i="9" s="1"/>
  <c r="AB170" i="9" a="1"/>
  <c r="AB170" i="9" s="1"/>
  <c r="R125" i="9" a="1"/>
  <c r="R125" i="9" s="1"/>
  <c r="AU125" i="9" s="1"/>
  <c r="R109" i="9" a="1"/>
  <c r="R109" i="9" s="1"/>
  <c r="AU109" i="9" s="1"/>
  <c r="R216" i="9" a="1"/>
  <c r="R216" i="9" s="1"/>
  <c r="AU216" i="9" s="1"/>
  <c r="R41" i="9" a="1"/>
  <c r="R41" i="9" s="1"/>
  <c r="R259" i="9" a="1"/>
  <c r="R259" i="9" s="1"/>
  <c r="R226" i="9" a="1"/>
  <c r="R226" i="9" s="1"/>
  <c r="AU226" i="9" s="1"/>
  <c r="R96" i="9" a="1"/>
  <c r="R96" i="9" s="1"/>
  <c r="AU96" i="9" s="1"/>
  <c r="R123" i="9" a="1"/>
  <c r="R123" i="9" s="1"/>
  <c r="AU123" i="9" s="1"/>
  <c r="R11" i="9" a="1"/>
  <c r="R11" i="9" s="1"/>
  <c r="R185" i="9" a="1"/>
  <c r="R185" i="9" s="1"/>
  <c r="AU185" i="9" s="1"/>
  <c r="R147" i="9" a="1"/>
  <c r="R147" i="9" s="1"/>
  <c r="AU147" i="9" s="1"/>
  <c r="R187" i="9" a="1"/>
  <c r="R187" i="9" s="1"/>
  <c r="AU187" i="9" s="1"/>
  <c r="R65" i="9" a="1"/>
  <c r="R65" i="9" s="1"/>
  <c r="AU65" i="9" s="1"/>
  <c r="R97" i="9" a="1"/>
  <c r="R97" i="9" s="1"/>
  <c r="R164" i="9" a="1"/>
  <c r="R164" i="9" s="1"/>
  <c r="AU164" i="9" s="1"/>
  <c r="R42" i="9" a="1"/>
  <c r="R42" i="9" s="1"/>
  <c r="R144" i="9" a="1"/>
  <c r="R144" i="9" s="1"/>
  <c r="AU144" i="9" s="1"/>
  <c r="R26" i="9" a="1"/>
  <c r="R26" i="9" s="1"/>
  <c r="R15" i="9" a="1"/>
  <c r="R15" i="9" s="1"/>
  <c r="R49" i="9" a="1"/>
  <c r="R49" i="9" s="1"/>
  <c r="R57" i="9" a="1"/>
  <c r="R57" i="9" s="1"/>
  <c r="R84" i="9" a="1"/>
  <c r="R84" i="9" s="1"/>
  <c r="R168" i="9" a="1"/>
  <c r="R168" i="9" s="1"/>
  <c r="R52" i="9" a="1"/>
  <c r="R52" i="9" s="1"/>
  <c r="R82" i="9" a="1"/>
  <c r="R82" i="9" s="1"/>
  <c r="R213" i="9" a="1"/>
  <c r="R213" i="9" s="1"/>
  <c r="R34" i="9" a="1"/>
  <c r="R34" i="9" s="1"/>
  <c r="R184" i="9" a="1"/>
  <c r="R184" i="9" s="1"/>
  <c r="R40" i="9" a="1"/>
  <c r="R40" i="9" s="1"/>
  <c r="R189" i="9" a="1"/>
  <c r="R189" i="9" s="1"/>
  <c r="R36" i="9" a="1"/>
  <c r="R36" i="9" s="1"/>
  <c r="R54" i="9" a="1"/>
  <c r="R54" i="9" s="1"/>
  <c r="AB103" i="9" a="1"/>
  <c r="AB103" i="9" s="1"/>
  <c r="S103" i="9" a="1"/>
  <c r="S103" i="9" s="1"/>
  <c r="AC103" i="9" s="1"/>
  <c r="Y103" i="9" a="1"/>
  <c r="Y103" i="9" s="1"/>
  <c r="X103" i="9" a="1"/>
  <c r="X103" i="9" s="1"/>
  <c r="V103" i="9" a="1"/>
  <c r="V103" i="9" s="1"/>
  <c r="U103" i="9" a="1"/>
  <c r="U103" i="9" s="1"/>
  <c r="T103" i="9" a="1"/>
  <c r="T103" i="9" s="1"/>
  <c r="W103" i="9" a="1"/>
  <c r="W103" i="9" s="1"/>
  <c r="Z103" i="9"/>
  <c r="AU103" i="9"/>
  <c r="U150" i="9" a="1"/>
  <c r="U150" i="9" s="1"/>
  <c r="Z150" i="9"/>
  <c r="AU150" i="9"/>
  <c r="T150" i="9" a="1"/>
  <c r="T150" i="9" s="1"/>
  <c r="S150" i="9" a="1"/>
  <c r="S150" i="9" s="1"/>
  <c r="AC150" i="9" s="1"/>
  <c r="W150" i="9" a="1"/>
  <c r="W150" i="9" s="1"/>
  <c r="AB150" i="9" a="1"/>
  <c r="AB150" i="9" s="1"/>
  <c r="X150" i="9" a="1"/>
  <c r="X150" i="9" s="1"/>
  <c r="Y150" i="9" a="1"/>
  <c r="Y150" i="9" s="1"/>
  <c r="V150" i="9" a="1"/>
  <c r="V150" i="9" s="1"/>
  <c r="R207" i="9" a="1"/>
  <c r="R207" i="9" s="1"/>
  <c r="AU207" i="9" s="1"/>
  <c r="R181" i="9" a="1"/>
  <c r="R181" i="9" s="1"/>
  <c r="AU181" i="9" s="1"/>
  <c r="R27" i="9" a="1"/>
  <c r="R27" i="9" s="1"/>
  <c r="R172" i="9" a="1"/>
  <c r="R172" i="9" s="1"/>
  <c r="R209" i="9" a="1"/>
  <c r="R209" i="9" s="1"/>
  <c r="AU209" i="9" s="1"/>
  <c r="R80" i="9" a="1"/>
  <c r="R80" i="9" s="1"/>
  <c r="AU80" i="9" s="1"/>
  <c r="R108" i="9" a="1"/>
  <c r="R108" i="9" s="1"/>
  <c r="AU108" i="9" s="1"/>
  <c r="R7" i="9" a="1"/>
  <c r="R7" i="9" s="1"/>
  <c r="R152" i="9" a="1"/>
  <c r="R152" i="9" s="1"/>
  <c r="AU152" i="9" s="1"/>
  <c r="R132" i="9" a="1"/>
  <c r="R132" i="9" s="1"/>
  <c r="AU132" i="9" s="1"/>
  <c r="R176" i="9" a="1"/>
  <c r="R176" i="9" s="1"/>
  <c r="AU176" i="9" s="1"/>
  <c r="R48" i="9" a="1"/>
  <c r="R48" i="9" s="1"/>
  <c r="R83" i="9" a="1"/>
  <c r="R83" i="9" s="1"/>
  <c r="R149" i="9" a="1"/>
  <c r="R149" i="9" s="1"/>
  <c r="AU149" i="9" s="1"/>
  <c r="R142" i="9" a="1"/>
  <c r="R142" i="9" s="1"/>
  <c r="R131" i="9" a="1"/>
  <c r="R131" i="9" s="1"/>
  <c r="AU131" i="9" s="1"/>
  <c r="R16" i="9" a="1"/>
  <c r="R16" i="9" s="1"/>
  <c r="R174" i="9" a="1"/>
  <c r="R174" i="9" s="1"/>
  <c r="R45" i="9" a="1"/>
  <c r="R45" i="9" s="1"/>
  <c r="R69" i="9" a="1"/>
  <c r="R69" i="9" s="1"/>
  <c r="R50" i="9" a="1"/>
  <c r="R50" i="9" s="1"/>
  <c r="R30" i="9" a="1"/>
  <c r="R30" i="9" s="1"/>
  <c r="R122" i="9" a="1"/>
  <c r="R122" i="9" s="1"/>
  <c r="R169" i="9" a="1"/>
  <c r="R169" i="9" s="1"/>
  <c r="R18" i="9" a="1"/>
  <c r="R18" i="9" s="1"/>
  <c r="R55" i="9" a="1"/>
  <c r="R55" i="9" s="1"/>
  <c r="R23" i="9" a="1"/>
  <c r="R23" i="9" s="1"/>
  <c r="R236" i="9" a="1"/>
  <c r="R236" i="9" s="1"/>
  <c r="R215" i="9" a="1"/>
  <c r="R215" i="9" s="1"/>
  <c r="R173" i="9" a="1"/>
  <c r="R173" i="9" s="1"/>
  <c r="R133" i="9" a="1"/>
  <c r="R133" i="9" s="1"/>
  <c r="R148" i="9" a="1"/>
  <c r="R148" i="9" s="1"/>
  <c r="AU148" i="9" s="1"/>
  <c r="R19" i="9" a="1"/>
  <c r="R19" i="9" s="1"/>
  <c r="R233" i="9" a="1"/>
  <c r="R233" i="9" s="1"/>
  <c r="AU233" i="9" s="1"/>
  <c r="R188" i="9" a="1"/>
  <c r="R188" i="9" s="1"/>
  <c r="AU188" i="9" s="1"/>
  <c r="R70" i="9" a="1"/>
  <c r="R70" i="9" s="1"/>
  <c r="AU70" i="9" s="1"/>
  <c r="R93" i="9" a="1"/>
  <c r="R93" i="9" s="1"/>
  <c r="AU93" i="9" s="1"/>
  <c r="R1" i="9" a="1"/>
  <c r="R1" i="9" s="1"/>
  <c r="R244" i="9" a="1"/>
  <c r="R244" i="9" s="1"/>
  <c r="AU244" i="9" s="1"/>
  <c r="R117" i="9" a="1"/>
  <c r="R117" i="9" s="1"/>
  <c r="AU117" i="9" s="1"/>
  <c r="R156" i="9" a="1"/>
  <c r="R156" i="9" s="1"/>
  <c r="AU156" i="9" s="1"/>
  <c r="R35" i="9" a="1"/>
  <c r="R35" i="9" s="1"/>
  <c r="R115" i="9" a="1"/>
  <c r="R115" i="9" s="1"/>
  <c r="R138" i="9" a="1"/>
  <c r="R138" i="9" s="1"/>
  <c r="AU138" i="9" s="1"/>
  <c r="R165" i="9" a="1"/>
  <c r="R165" i="9" s="1"/>
  <c r="R113" i="9" a="1"/>
  <c r="R113" i="9" s="1"/>
  <c r="AU113" i="9" s="1"/>
  <c r="R9" i="9" a="1"/>
  <c r="R9" i="9" s="1"/>
  <c r="R201" i="9" a="1"/>
  <c r="R201" i="9" s="1"/>
  <c r="R17" i="9" a="1"/>
  <c r="R17" i="9" s="1"/>
  <c r="R114" i="9" a="1"/>
  <c r="R114" i="9" s="1"/>
  <c r="R130" i="9" a="1"/>
  <c r="R130" i="9" s="1"/>
  <c r="R81" i="9" a="1"/>
  <c r="R81" i="9" s="1"/>
  <c r="R86" i="9" a="1"/>
  <c r="R86" i="9" s="1"/>
  <c r="R245" i="9" a="1"/>
  <c r="R245" i="9" s="1"/>
  <c r="R175" i="9" a="1"/>
  <c r="R175" i="9" s="1"/>
  <c r="R126" i="9" a="1"/>
  <c r="R126" i="9" s="1"/>
  <c r="R262" i="9" a="1"/>
  <c r="R262" i="9" s="1"/>
  <c r="R121" i="9" a="1"/>
  <c r="R121" i="9" s="1"/>
  <c r="R33" i="9" a="1"/>
  <c r="R33" i="9" s="1"/>
  <c r="R151" i="9" a="1"/>
  <c r="R151" i="9" s="1"/>
  <c r="R234" i="9" a="1"/>
  <c r="R234" i="9" s="1"/>
  <c r="AB171" i="9" a="1"/>
  <c r="AB171" i="9" s="1"/>
  <c r="V171" i="9" a="1"/>
  <c r="V171" i="9" s="1"/>
  <c r="Y171" i="9" a="1"/>
  <c r="Y171" i="9" s="1"/>
  <c r="S171" i="9" a="1"/>
  <c r="S171" i="9" s="1"/>
  <c r="AC171" i="9" s="1"/>
  <c r="W171" i="9" a="1"/>
  <c r="W171" i="9" s="1"/>
  <c r="U171" i="9" a="1"/>
  <c r="U171" i="9" s="1"/>
  <c r="X171" i="9" a="1"/>
  <c r="X171" i="9" s="1"/>
  <c r="T171" i="9" a="1"/>
  <c r="T171" i="9" s="1"/>
  <c r="Z171" i="9"/>
  <c r="AU171" i="9"/>
  <c r="R78" i="9" a="1"/>
  <c r="R78" i="9" s="1"/>
  <c r="AU78" i="9" s="1"/>
  <c r="R63" i="9" a="1"/>
  <c r="R63" i="9" s="1"/>
  <c r="AU63" i="9" s="1"/>
  <c r="R119" i="9" a="1"/>
  <c r="R119" i="9" s="1"/>
  <c r="AU119" i="9" s="1"/>
  <c r="R10" i="9" a="1"/>
  <c r="R10" i="9" s="1"/>
  <c r="R197" i="9" a="1"/>
  <c r="R197" i="9" s="1"/>
  <c r="AU197" i="9" s="1"/>
  <c r="R177" i="9" a="1"/>
  <c r="R177" i="9" s="1"/>
  <c r="AU177" i="9" s="1"/>
  <c r="R51" i="9" a="1"/>
  <c r="R51" i="9" s="1"/>
  <c r="AU51" i="9" s="1"/>
  <c r="R77" i="9" a="1"/>
  <c r="R77" i="9" s="1"/>
  <c r="AU77" i="9" s="1"/>
  <c r="R202" i="9" a="1"/>
  <c r="R202" i="9" s="1"/>
  <c r="R232" i="9" a="1"/>
  <c r="R232" i="9" s="1"/>
  <c r="AU232" i="9" s="1"/>
  <c r="R100" i="9" a="1"/>
  <c r="R100" i="9" s="1"/>
  <c r="AU100" i="9" s="1"/>
  <c r="R141" i="9" a="1"/>
  <c r="R141" i="9" s="1"/>
  <c r="AU141" i="9" s="1"/>
  <c r="R25" i="9" a="1"/>
  <c r="R25" i="9" s="1"/>
  <c r="V25" i="9" s="1" a="1"/>
  <c r="R248" i="9" a="1"/>
  <c r="R248" i="9" s="1"/>
  <c r="AU248" i="9" s="1"/>
  <c r="R120" i="9" a="1"/>
  <c r="R120" i="9" s="1"/>
  <c r="AU120" i="9" s="1"/>
  <c r="R231" i="9" a="1"/>
  <c r="R231" i="9" s="1"/>
  <c r="AU231" i="9" s="1"/>
  <c r="R99" i="9" a="1"/>
  <c r="R99" i="9" s="1"/>
  <c r="AU99" i="9" s="1"/>
  <c r="R204" i="9" a="1"/>
  <c r="R204" i="9" s="1"/>
  <c r="R12" i="9" a="1"/>
  <c r="R12" i="9" s="1"/>
  <c r="R24" i="9" a="1"/>
  <c r="R24" i="9" s="1"/>
  <c r="R73" i="9" a="1"/>
  <c r="R73" i="9" s="1"/>
  <c r="R58" i="9" a="1"/>
  <c r="R58" i="9" s="1"/>
  <c r="R67" i="9" a="1"/>
  <c r="R67" i="9" s="1"/>
  <c r="R134" i="9" a="1"/>
  <c r="R134" i="9" s="1"/>
  <c r="R191" i="9" a="1"/>
  <c r="R191" i="9" s="1"/>
  <c r="R56" i="9" a="1"/>
  <c r="R56" i="9" s="1"/>
  <c r="R137" i="9" a="1"/>
  <c r="R137" i="9" s="1"/>
  <c r="R182" i="9" a="1"/>
  <c r="R182" i="9" s="1"/>
  <c r="R29" i="9" a="1"/>
  <c r="R29" i="9" s="1"/>
  <c r="R153" i="9" a="1"/>
  <c r="R153" i="9" s="1"/>
  <c r="R190" i="9" a="1"/>
  <c r="R190" i="9" s="1"/>
  <c r="AB21" i="9" a="1"/>
  <c r="U20" i="9" a="1"/>
  <c r="AB16" i="9" a="1"/>
  <c r="X32" i="9" a="1"/>
  <c r="V20" i="9" a="1"/>
  <c r="S13" i="9" a="1"/>
  <c r="W21" i="9" a="1"/>
  <c r="T20" i="9" a="1"/>
  <c r="V13" i="9" a="1"/>
  <c r="V21" i="9" a="1"/>
  <c r="W20" i="9" a="1"/>
  <c r="Y20" i="9" a="1"/>
  <c r="W13" i="9" a="1"/>
  <c r="X21" i="9" a="1"/>
  <c r="X20" i="9" a="1"/>
  <c r="AB20" i="9" a="1"/>
  <c r="U21" i="9" a="1"/>
  <c r="Y21" i="9" a="1"/>
  <c r="S21" i="9" a="1"/>
  <c r="T21" i="9" a="1"/>
  <c r="S20" i="9" a="1"/>
  <c r="Y13" i="9" a="1"/>
  <c r="S4" i="9" a="1"/>
  <c r="Y4" i="9" a="1"/>
  <c r="X4" i="9" a="1"/>
  <c r="W4" i="9" a="1"/>
  <c r="U4" i="9" a="1"/>
  <c r="V4" i="9" a="1"/>
  <c r="W193" i="9" l="1" a="1"/>
  <c r="W193" i="9" s="1"/>
  <c r="R242" i="9" a="1"/>
  <c r="R242" i="9" s="1"/>
  <c r="AU242" i="9" s="1"/>
  <c r="R94" i="9" a="1"/>
  <c r="R94" i="9" s="1"/>
  <c r="AU94" i="9" s="1"/>
  <c r="R85" i="9" a="1"/>
  <c r="R85" i="9" s="1"/>
  <c r="AU85" i="9" s="1"/>
  <c r="R229" i="9" a="1"/>
  <c r="R229" i="9" s="1"/>
  <c r="R68" i="9" a="1"/>
  <c r="R68" i="9" s="1"/>
  <c r="R240" i="9" a="1"/>
  <c r="R240" i="9" s="1"/>
  <c r="AU240" i="9" s="1"/>
  <c r="R186" i="9" a="1"/>
  <c r="R186" i="9" s="1"/>
  <c r="AU186" i="9" s="1"/>
  <c r="R88" i="9" a="1"/>
  <c r="R88" i="9" s="1"/>
  <c r="R243" i="9" a="1"/>
  <c r="R243" i="9" s="1"/>
  <c r="AB102" i="9" a="1"/>
  <c r="AB102" i="9" s="1"/>
  <c r="V102" i="9" a="1"/>
  <c r="V102" i="9" s="1"/>
  <c r="U102" i="9" a="1"/>
  <c r="U102" i="9" s="1"/>
  <c r="T102" i="9" a="1"/>
  <c r="T102" i="9" s="1"/>
  <c r="Z102" i="9"/>
  <c r="Y102" i="9" a="1"/>
  <c r="Y102" i="9" s="1"/>
  <c r="AA102" i="9" s="1"/>
  <c r="X102" i="9" a="1"/>
  <c r="X102" i="9" s="1"/>
  <c r="AB89" i="9" a="1"/>
  <c r="AB89" i="9" s="1"/>
  <c r="AB163" i="9" a="1"/>
  <c r="AB163" i="9" s="1"/>
  <c r="V89" i="9" a="1"/>
  <c r="V89" i="9" s="1"/>
  <c r="T163" i="9" a="1"/>
  <c r="T163" i="9" s="1"/>
  <c r="AU89" i="9"/>
  <c r="U89" i="9" a="1"/>
  <c r="U89" i="9" s="1"/>
  <c r="Z89" i="9"/>
  <c r="W89" i="9" a="1"/>
  <c r="W89" i="9" s="1"/>
  <c r="AA154" i="9"/>
  <c r="S163" i="9" a="1"/>
  <c r="S163" i="9" s="1"/>
  <c r="AC163" i="9" s="1"/>
  <c r="Z163" i="9"/>
  <c r="S89" i="9" a="1"/>
  <c r="S89" i="9" s="1"/>
  <c r="AC89" i="9" s="1"/>
  <c r="U163" i="9" a="1"/>
  <c r="U163" i="9" s="1"/>
  <c r="V163" i="9" a="1"/>
  <c r="V163" i="9" s="1"/>
  <c r="Y163" i="9" a="1"/>
  <c r="Y163" i="9" s="1"/>
  <c r="Y89" i="9" a="1"/>
  <c r="Y89" i="9" s="1"/>
  <c r="W163" i="9" a="1"/>
  <c r="W163" i="9" s="1"/>
  <c r="AA171" i="9"/>
  <c r="T89" i="9" a="1"/>
  <c r="T89" i="9" s="1"/>
  <c r="X163" i="9" a="1"/>
  <c r="X163" i="9" s="1"/>
  <c r="AA170" i="9"/>
  <c r="X4" i="9"/>
  <c r="Y13" i="9"/>
  <c r="S20" i="9"/>
  <c r="AC20" i="9" s="1"/>
  <c r="AU20" i="9" s="1"/>
  <c r="T21" i="9"/>
  <c r="S21" i="9"/>
  <c r="AC21" i="9" s="1"/>
  <c r="AU21" i="9" s="1"/>
  <c r="W4" i="9"/>
  <c r="Y21" i="9"/>
  <c r="U21" i="9"/>
  <c r="U4" i="9"/>
  <c r="AB20" i="9"/>
  <c r="X20" i="9"/>
  <c r="X21" i="9"/>
  <c r="W13" i="9"/>
  <c r="Y20" i="9"/>
  <c r="V25" i="9"/>
  <c r="V4" i="9"/>
  <c r="W20" i="9"/>
  <c r="V21" i="9"/>
  <c r="V13" i="9"/>
  <c r="S4" i="9"/>
  <c r="AC4" i="9" s="1"/>
  <c r="AU4" i="9" s="1"/>
  <c r="T20" i="9"/>
  <c r="W21" i="9"/>
  <c r="S13" i="9"/>
  <c r="AC13" i="9" s="1"/>
  <c r="AU13" i="9" s="1"/>
  <c r="V20" i="9"/>
  <c r="X32" i="9"/>
  <c r="AB16" i="9"/>
  <c r="Y4" i="9"/>
  <c r="U20" i="9"/>
  <c r="AB21" i="9"/>
  <c r="W137" i="9" a="1"/>
  <c r="W137" i="9" s="1"/>
  <c r="V137" i="9" a="1"/>
  <c r="V137" i="9" s="1"/>
  <c r="U137" i="9" a="1"/>
  <c r="U137" i="9" s="1"/>
  <c r="S137" i="9" a="1"/>
  <c r="S137" i="9" s="1"/>
  <c r="AC137" i="9" s="1"/>
  <c r="X137" i="9" a="1"/>
  <c r="X137" i="9" s="1"/>
  <c r="AB137" i="9" a="1"/>
  <c r="AB137" i="9" s="1"/>
  <c r="Z137" i="9"/>
  <c r="AU137" i="9"/>
  <c r="T137" i="9" a="1"/>
  <c r="T137" i="9" s="1"/>
  <c r="Y137" i="9" a="1"/>
  <c r="Y137" i="9" s="1"/>
  <c r="W121" i="9" a="1"/>
  <c r="W121" i="9" s="1"/>
  <c r="V121" i="9" a="1"/>
  <c r="V121" i="9" s="1"/>
  <c r="Y121" i="9" a="1"/>
  <c r="Y121" i="9" s="1"/>
  <c r="AU121" i="9"/>
  <c r="S121" i="9" a="1"/>
  <c r="S121" i="9" s="1"/>
  <c r="AC121" i="9" s="1"/>
  <c r="X121" i="9" a="1"/>
  <c r="X121" i="9" s="1"/>
  <c r="AB121" i="9" a="1"/>
  <c r="AB121" i="9" s="1"/>
  <c r="T121" i="9" a="1"/>
  <c r="T121" i="9" s="1"/>
  <c r="U121" i="9" a="1"/>
  <c r="U121" i="9" s="1"/>
  <c r="Z121" i="9"/>
  <c r="U114" i="9" a="1"/>
  <c r="U114" i="9" s="1"/>
  <c r="W114" i="9" a="1"/>
  <c r="W114" i="9" s="1"/>
  <c r="Z114" i="9"/>
  <c r="Y114" i="9" a="1"/>
  <c r="Y114" i="9" s="1"/>
  <c r="AB114" i="9" a="1"/>
  <c r="AB114" i="9" s="1"/>
  <c r="V114" i="9" a="1"/>
  <c r="V114" i="9" s="1"/>
  <c r="X114" i="9" a="1"/>
  <c r="X114" i="9" s="1"/>
  <c r="T114" i="9" a="1"/>
  <c r="T114" i="9" s="1"/>
  <c r="AU114" i="9"/>
  <c r="S114" i="9" a="1"/>
  <c r="S114" i="9" s="1"/>
  <c r="AC114" i="9" s="1"/>
  <c r="X55" i="9" a="1"/>
  <c r="X55" i="9" s="1"/>
  <c r="AB55" i="9" a="1"/>
  <c r="AB55" i="9" s="1"/>
  <c r="Z55" i="9"/>
  <c r="V55" i="9" a="1"/>
  <c r="V55" i="9" s="1"/>
  <c r="T55" i="9" a="1"/>
  <c r="T55" i="9" s="1"/>
  <c r="AU55" i="9"/>
  <c r="S55" i="9" a="1"/>
  <c r="S55" i="9" s="1"/>
  <c r="AC55" i="9" s="1"/>
  <c r="U55" i="9" a="1"/>
  <c r="U55" i="9" s="1"/>
  <c r="W55" i="9" a="1"/>
  <c r="W55" i="9" s="1"/>
  <c r="Y55" i="9" a="1"/>
  <c r="Y55" i="9" s="1"/>
  <c r="W174" i="9" a="1"/>
  <c r="W174" i="9" s="1"/>
  <c r="Z174" i="9"/>
  <c r="T174" i="9" a="1"/>
  <c r="T174" i="9" s="1"/>
  <c r="AU174" i="9"/>
  <c r="Y174" i="9" a="1"/>
  <c r="Y174" i="9" s="1"/>
  <c r="U174" i="9" a="1"/>
  <c r="U174" i="9" s="1"/>
  <c r="S174" i="9" a="1"/>
  <c r="S174" i="9" s="1"/>
  <c r="AC174" i="9" s="1"/>
  <c r="AB174" i="9" a="1"/>
  <c r="AB174" i="9" s="1"/>
  <c r="X174" i="9" a="1"/>
  <c r="X174" i="9" s="1"/>
  <c r="V174" i="9" a="1"/>
  <c r="V174" i="9" s="1"/>
  <c r="X54" i="9" a="1"/>
  <c r="X54" i="9" s="1"/>
  <c r="Y54" i="9" a="1"/>
  <c r="Y54" i="9" s="1"/>
  <c r="AB54" i="9" a="1"/>
  <c r="AB54" i="9" s="1"/>
  <c r="AU54" i="9"/>
  <c r="T54" i="9" a="1"/>
  <c r="T54" i="9" s="1"/>
  <c r="S54" i="9" a="1"/>
  <c r="S54" i="9" s="1"/>
  <c r="AC54" i="9" s="1"/>
  <c r="U54" i="9" a="1"/>
  <c r="U54" i="9" s="1"/>
  <c r="W54" i="9" a="1"/>
  <c r="W54" i="9" s="1"/>
  <c r="V54" i="9" a="1"/>
  <c r="V54" i="9" s="1"/>
  <c r="Z54" i="9"/>
  <c r="T52" i="9" a="1"/>
  <c r="T52" i="9" s="1"/>
  <c r="AB52" i="9" a="1"/>
  <c r="AB52" i="9" s="1"/>
  <c r="W52" i="9" a="1"/>
  <c r="W52" i="9" s="1"/>
  <c r="X52" i="9" a="1"/>
  <c r="X52" i="9" s="1"/>
  <c r="Y52" i="9" a="1"/>
  <c r="Y52" i="9" s="1"/>
  <c r="U52" i="9" a="1"/>
  <c r="U52" i="9" s="1"/>
  <c r="AU52" i="9"/>
  <c r="Z52" i="9"/>
  <c r="V52" i="9" a="1"/>
  <c r="V52" i="9" s="1"/>
  <c r="S52" i="9" a="1"/>
  <c r="S52" i="9" s="1"/>
  <c r="AC52" i="9" s="1"/>
  <c r="AU42" i="9"/>
  <c r="AU43" i="9"/>
  <c r="Y90" i="9" a="1"/>
  <c r="Y90" i="9" s="1"/>
  <c r="Z90" i="9"/>
  <c r="W90" i="9" a="1"/>
  <c r="W90" i="9" s="1"/>
  <c r="U90" i="9" a="1"/>
  <c r="U90" i="9" s="1"/>
  <c r="AU90" i="9"/>
  <c r="T90" i="9" a="1"/>
  <c r="T90" i="9" s="1"/>
  <c r="V90" i="9" a="1"/>
  <c r="V90" i="9" s="1"/>
  <c r="S90" i="9" a="1"/>
  <c r="S90" i="9" s="1"/>
  <c r="AC90" i="9" s="1"/>
  <c r="AB90" i="9" a="1"/>
  <c r="AB90" i="9" s="1"/>
  <c r="X90" i="9" a="1"/>
  <c r="X90" i="9" s="1"/>
  <c r="AA193" i="9"/>
  <c r="S160" i="9" a="1"/>
  <c r="S160" i="9" s="1"/>
  <c r="AC160" i="9" s="1"/>
  <c r="Z160" i="9"/>
  <c r="W160" i="9" a="1"/>
  <c r="W160" i="9" s="1"/>
  <c r="V160" i="9" a="1"/>
  <c r="V160" i="9" s="1"/>
  <c r="Y160" i="9" a="1"/>
  <c r="Y160" i="9" s="1"/>
  <c r="AB160" i="9" a="1"/>
  <c r="AB160" i="9" s="1"/>
  <c r="X160" i="9" a="1"/>
  <c r="X160" i="9" s="1"/>
  <c r="T160" i="9" a="1"/>
  <c r="T160" i="9" s="1"/>
  <c r="AU160" i="9"/>
  <c r="U160" i="9" a="1"/>
  <c r="U160" i="9" s="1"/>
  <c r="AU44" i="9"/>
  <c r="X225" i="9" a="1"/>
  <c r="X225" i="9" s="1"/>
  <c r="W225" i="9" a="1"/>
  <c r="W225" i="9" s="1"/>
  <c r="T225" i="9" a="1"/>
  <c r="T225" i="9" s="1"/>
  <c r="AU225" i="9"/>
  <c r="U225" i="9" a="1"/>
  <c r="U225" i="9" s="1"/>
  <c r="Y225" i="9" a="1"/>
  <c r="Y225" i="9" s="1"/>
  <c r="Z225" i="9"/>
  <c r="V225" i="9" a="1"/>
  <c r="V225" i="9" s="1"/>
  <c r="AB225" i="9" a="1"/>
  <c r="AB225" i="9" s="1"/>
  <c r="S225" i="9" a="1"/>
  <c r="S225" i="9" s="1"/>
  <c r="AC225" i="9" s="1"/>
  <c r="V168" i="9" a="1"/>
  <c r="V168" i="9" s="1"/>
  <c r="AU168" i="9"/>
  <c r="Z168" i="9"/>
  <c r="S168" i="9" a="1"/>
  <c r="S168" i="9" s="1"/>
  <c r="AC168" i="9" s="1"/>
  <c r="AB168" i="9" a="1"/>
  <c r="AB168" i="9" s="1"/>
  <c r="U168" i="9" a="1"/>
  <c r="U168" i="9" s="1"/>
  <c r="X168" i="9" a="1"/>
  <c r="X168" i="9" s="1"/>
  <c r="W168" i="9" a="1"/>
  <c r="W168" i="9" s="1"/>
  <c r="T168" i="9" a="1"/>
  <c r="T168" i="9" s="1"/>
  <c r="Y168" i="9" a="1"/>
  <c r="Y168" i="9" s="1"/>
  <c r="AU64" i="9"/>
  <c r="Z64" i="9"/>
  <c r="Y64" i="9" a="1"/>
  <c r="Y64" i="9" s="1"/>
  <c r="T64" i="9" a="1"/>
  <c r="T64" i="9" s="1"/>
  <c r="U64" i="9" a="1"/>
  <c r="U64" i="9" s="1"/>
  <c r="S64" i="9" a="1"/>
  <c r="S64" i="9" s="1"/>
  <c r="AC64" i="9" s="1"/>
  <c r="W64" i="9" a="1"/>
  <c r="W64" i="9" s="1"/>
  <c r="X64" i="9" a="1"/>
  <c r="X64" i="9" s="1"/>
  <c r="V64" i="9" a="1"/>
  <c r="V64" i="9" s="1"/>
  <c r="AB64" i="9" a="1"/>
  <c r="AB64" i="9" s="1"/>
  <c r="AU47" i="9"/>
  <c r="AB124" i="9" a="1"/>
  <c r="AB124" i="9" s="1"/>
  <c r="Y124" i="9" a="1"/>
  <c r="Y124" i="9" s="1"/>
  <c r="V124" i="9" a="1"/>
  <c r="V124" i="9" s="1"/>
  <c r="Z124" i="9"/>
  <c r="T124" i="9" a="1"/>
  <c r="T124" i="9" s="1"/>
  <c r="AU124" i="9"/>
  <c r="W124" i="9" a="1"/>
  <c r="W124" i="9" s="1"/>
  <c r="S124" i="9" a="1"/>
  <c r="S124" i="9" s="1"/>
  <c r="AC124" i="9" s="1"/>
  <c r="X124" i="9" a="1"/>
  <c r="X124" i="9" s="1"/>
  <c r="U124" i="9" a="1"/>
  <c r="U124" i="9" s="1"/>
  <c r="Y196" i="9" a="1"/>
  <c r="Y196" i="9" s="1"/>
  <c r="X196" i="9" a="1"/>
  <c r="X196" i="9" s="1"/>
  <c r="AU196" i="9"/>
  <c r="T196" i="9" a="1"/>
  <c r="T196" i="9" s="1"/>
  <c r="V196" i="9" a="1"/>
  <c r="V196" i="9" s="1"/>
  <c r="Z196" i="9"/>
  <c r="U196" i="9" a="1"/>
  <c r="U196" i="9" s="1"/>
  <c r="W196" i="9" a="1"/>
  <c r="W196" i="9" s="1"/>
  <c r="AB196" i="9" a="1"/>
  <c r="AB196" i="9" s="1"/>
  <c r="S196" i="9" a="1"/>
  <c r="S196" i="9" s="1"/>
  <c r="AC196" i="9" s="1"/>
  <c r="V214" i="9" a="1"/>
  <c r="V214" i="9" s="1"/>
  <c r="Y214" i="9" a="1"/>
  <c r="Y214" i="9" s="1"/>
  <c r="X214" i="9" a="1"/>
  <c r="X214" i="9" s="1"/>
  <c r="W214" i="9" a="1"/>
  <c r="W214" i="9" s="1"/>
  <c r="U214" i="9" a="1"/>
  <c r="U214" i="9" s="1"/>
  <c r="AB214" i="9" a="1"/>
  <c r="AB214" i="9" s="1"/>
  <c r="Z214" i="9"/>
  <c r="AU214" i="9"/>
  <c r="T214" i="9" a="1"/>
  <c r="T214" i="9" s="1"/>
  <c r="S214" i="9" a="1"/>
  <c r="S214" i="9" s="1"/>
  <c r="AC214" i="9" s="1"/>
  <c r="W182" i="9" a="1"/>
  <c r="W182" i="9" s="1"/>
  <c r="X182" i="9" a="1"/>
  <c r="X182" i="9" s="1"/>
  <c r="Y182" i="9" a="1"/>
  <c r="Y182" i="9" s="1"/>
  <c r="AB182" i="9" a="1"/>
  <c r="AB182" i="9" s="1"/>
  <c r="Z182" i="9"/>
  <c r="S182" i="9" a="1"/>
  <c r="S182" i="9" s="1"/>
  <c r="AC182" i="9" s="1"/>
  <c r="AU182" i="9"/>
  <c r="V182" i="9" a="1"/>
  <c r="V182" i="9" s="1"/>
  <c r="T182" i="9" a="1"/>
  <c r="T182" i="9" s="1"/>
  <c r="U182" i="9" a="1"/>
  <c r="U182" i="9" s="1"/>
  <c r="S262" i="9" a="1"/>
  <c r="S262" i="9" s="1"/>
  <c r="AC262" i="9" s="1"/>
  <c r="V262" i="9" a="1"/>
  <c r="V262" i="9" s="1"/>
  <c r="AU262" i="9"/>
  <c r="Y262" i="9" a="1"/>
  <c r="Y262" i="9" s="1"/>
  <c r="T262" i="9" a="1"/>
  <c r="T262" i="9" s="1"/>
  <c r="AB262" i="9" a="1"/>
  <c r="AB262" i="9" s="1"/>
  <c r="U262" i="9" a="1"/>
  <c r="U262" i="9" s="1"/>
  <c r="Z262" i="9"/>
  <c r="W262" i="9" a="1"/>
  <c r="W262" i="9" s="1"/>
  <c r="X262" i="9" a="1"/>
  <c r="X262" i="9" s="1"/>
  <c r="U191" i="9" a="1"/>
  <c r="U191" i="9" s="1"/>
  <c r="W191" i="9" a="1"/>
  <c r="W191" i="9" s="1"/>
  <c r="Z191" i="9"/>
  <c r="V191" i="9" a="1"/>
  <c r="V191" i="9" s="1"/>
  <c r="AB191" i="9" a="1"/>
  <c r="AB191" i="9" s="1"/>
  <c r="T191" i="9" a="1"/>
  <c r="T191" i="9" s="1"/>
  <c r="Y191" i="9" a="1"/>
  <c r="Y191" i="9" s="1"/>
  <c r="AU191" i="9"/>
  <c r="X191" i="9" a="1"/>
  <c r="X191" i="9" s="1"/>
  <c r="S191" i="9" a="1"/>
  <c r="S191" i="9" s="1"/>
  <c r="AC191" i="9" s="1"/>
  <c r="AB202" i="9" a="1"/>
  <c r="AB202" i="9" s="1"/>
  <c r="Y202" i="9" a="1"/>
  <c r="Y202" i="9" s="1"/>
  <c r="AU202" i="9"/>
  <c r="T202" i="9" a="1"/>
  <c r="T202" i="9" s="1"/>
  <c r="Z202" i="9"/>
  <c r="S202" i="9" a="1"/>
  <c r="S202" i="9" s="1"/>
  <c r="AC202" i="9" s="1"/>
  <c r="V202" i="9" a="1"/>
  <c r="V202" i="9" s="1"/>
  <c r="U202" i="9" a="1"/>
  <c r="U202" i="9" s="1"/>
  <c r="W202" i="9" a="1"/>
  <c r="W202" i="9" s="1"/>
  <c r="X202" i="9" a="1"/>
  <c r="X202" i="9" s="1"/>
  <c r="X126" i="9" a="1"/>
  <c r="X126" i="9" s="1"/>
  <c r="Y126" i="9" a="1"/>
  <c r="Y126" i="9" s="1"/>
  <c r="T126" i="9" a="1"/>
  <c r="T126" i="9" s="1"/>
  <c r="W126" i="9" a="1"/>
  <c r="W126" i="9" s="1"/>
  <c r="AU126" i="9"/>
  <c r="AB126" i="9" a="1"/>
  <c r="AB126" i="9" s="1"/>
  <c r="Z126" i="9"/>
  <c r="V126" i="9" a="1"/>
  <c r="V126" i="9" s="1"/>
  <c r="S126" i="9" a="1"/>
  <c r="S126" i="9" s="1"/>
  <c r="AC126" i="9" s="1"/>
  <c r="U126" i="9" a="1"/>
  <c r="U126" i="9" s="1"/>
  <c r="U201" i="9" a="1"/>
  <c r="U201" i="9" s="1"/>
  <c r="AB201" i="9" a="1"/>
  <c r="AB201" i="9" s="1"/>
  <c r="AU201" i="9"/>
  <c r="W201" i="9" a="1"/>
  <c r="W201" i="9" s="1"/>
  <c r="S201" i="9" a="1"/>
  <c r="S201" i="9" s="1"/>
  <c r="AC201" i="9" s="1"/>
  <c r="V201" i="9" a="1"/>
  <c r="V201" i="9" s="1"/>
  <c r="Y201" i="9" a="1"/>
  <c r="Y201" i="9" s="1"/>
  <c r="X201" i="9" a="1"/>
  <c r="X201" i="9" s="1"/>
  <c r="T201" i="9" a="1"/>
  <c r="T201" i="9" s="1"/>
  <c r="Z201" i="9"/>
  <c r="T169" i="9" a="1"/>
  <c r="T169" i="9" s="1"/>
  <c r="W169" i="9" a="1"/>
  <c r="W169" i="9" s="1"/>
  <c r="Y169" i="9" a="1"/>
  <c r="Y169" i="9" s="1"/>
  <c r="U169" i="9" a="1"/>
  <c r="U169" i="9" s="1"/>
  <c r="AU169" i="9"/>
  <c r="X169" i="9" a="1"/>
  <c r="X169" i="9" s="1"/>
  <c r="V169" i="9" a="1"/>
  <c r="V169" i="9" s="1"/>
  <c r="AB169" i="9" a="1"/>
  <c r="AB169" i="9" s="1"/>
  <c r="Z169" i="9"/>
  <c r="S169" i="9" a="1"/>
  <c r="S169" i="9" s="1"/>
  <c r="AC169" i="9" s="1"/>
  <c r="V189" i="9" a="1"/>
  <c r="V189" i="9" s="1"/>
  <c r="Z189" i="9"/>
  <c r="X189" i="9" a="1"/>
  <c r="X189" i="9" s="1"/>
  <c r="S189" i="9" a="1"/>
  <c r="S189" i="9" s="1"/>
  <c r="AC189" i="9" s="1"/>
  <c r="AU189" i="9"/>
  <c r="Y189" i="9" a="1"/>
  <c r="Y189" i="9" s="1"/>
  <c r="W189" i="9" a="1"/>
  <c r="W189" i="9" s="1"/>
  <c r="T189" i="9" a="1"/>
  <c r="T189" i="9" s="1"/>
  <c r="U189" i="9" a="1"/>
  <c r="U189" i="9" s="1"/>
  <c r="AB189" i="9" a="1"/>
  <c r="AB189" i="9" s="1"/>
  <c r="Y84" i="9" a="1"/>
  <c r="Y84" i="9" s="1"/>
  <c r="AU84" i="9"/>
  <c r="U84" i="9" a="1"/>
  <c r="U84" i="9" s="1"/>
  <c r="Z84" i="9"/>
  <c r="AB84" i="9" a="1"/>
  <c r="AB84" i="9" s="1"/>
  <c r="S84" i="9" a="1"/>
  <c r="S84" i="9" s="1"/>
  <c r="AC84" i="9" s="1"/>
  <c r="W84" i="9" a="1"/>
  <c r="W84" i="9" s="1"/>
  <c r="V84" i="9" a="1"/>
  <c r="V84" i="9" s="1"/>
  <c r="X84" i="9" a="1"/>
  <c r="X84" i="9" s="1"/>
  <c r="T84" i="9" a="1"/>
  <c r="T84" i="9" s="1"/>
  <c r="Y97" i="9" a="1"/>
  <c r="Y97" i="9" s="1"/>
  <c r="Z97" i="9"/>
  <c r="T97" i="9" a="1"/>
  <c r="T97" i="9" s="1"/>
  <c r="X97" i="9" a="1"/>
  <c r="X97" i="9" s="1"/>
  <c r="U97" i="9" a="1"/>
  <c r="U97" i="9" s="1"/>
  <c r="V97" i="9" a="1"/>
  <c r="V97" i="9" s="1"/>
  <c r="AU97" i="9"/>
  <c r="S97" i="9" a="1"/>
  <c r="S97" i="9" s="1"/>
  <c r="AC97" i="9" s="1"/>
  <c r="AB97" i="9" a="1"/>
  <c r="AB97" i="9" s="1"/>
  <c r="W97" i="9" a="1"/>
  <c r="W97" i="9" s="1"/>
  <c r="S192" i="9" a="1"/>
  <c r="S192" i="9" s="1"/>
  <c r="AC192" i="9" s="1"/>
  <c r="V192" i="9" a="1"/>
  <c r="V192" i="9" s="1"/>
  <c r="AB192" i="9" a="1"/>
  <c r="AB192" i="9" s="1"/>
  <c r="AU192" i="9"/>
  <c r="Z192" i="9"/>
  <c r="U192" i="9" a="1"/>
  <c r="U192" i="9" s="1"/>
  <c r="X192" i="9" a="1"/>
  <c r="X192" i="9" s="1"/>
  <c r="W192" i="9" a="1"/>
  <c r="W192" i="9" s="1"/>
  <c r="Y192" i="9" a="1"/>
  <c r="Y192" i="9" s="1"/>
  <c r="T192" i="9" a="1"/>
  <c r="T192" i="9" s="1"/>
  <c r="Z107" i="9"/>
  <c r="W107" i="9" a="1"/>
  <c r="W107" i="9" s="1"/>
  <c r="U107" i="9" a="1"/>
  <c r="U107" i="9" s="1"/>
  <c r="X107" i="9" a="1"/>
  <c r="X107" i="9" s="1"/>
  <c r="V107" i="9" a="1"/>
  <c r="V107" i="9" s="1"/>
  <c r="AB107" i="9" a="1"/>
  <c r="AB107" i="9" s="1"/>
  <c r="AU107" i="9"/>
  <c r="Y107" i="9" a="1"/>
  <c r="Y107" i="9" s="1"/>
  <c r="T107" i="9" a="1"/>
  <c r="T107" i="9" s="1"/>
  <c r="S107" i="9" a="1"/>
  <c r="S107" i="9" s="1"/>
  <c r="AC107" i="9" s="1"/>
  <c r="Z116" i="9"/>
  <c r="X116" i="9" a="1"/>
  <c r="X116" i="9" s="1"/>
  <c r="AU116" i="9"/>
  <c r="Y116" i="9" a="1"/>
  <c r="Y116" i="9" s="1"/>
  <c r="S116" i="9" a="1"/>
  <c r="S116" i="9" s="1"/>
  <c r="AC116" i="9" s="1"/>
  <c r="U116" i="9" a="1"/>
  <c r="U116" i="9" s="1"/>
  <c r="V116" i="9" a="1"/>
  <c r="V116" i="9" s="1"/>
  <c r="W116" i="9" a="1"/>
  <c r="W116" i="9" s="1"/>
  <c r="AB116" i="9" a="1"/>
  <c r="AB116" i="9" s="1"/>
  <c r="T116" i="9" a="1"/>
  <c r="T116" i="9" s="1"/>
  <c r="AU246" i="9"/>
  <c r="T246" i="9" a="1"/>
  <c r="T246" i="9" s="1"/>
  <c r="U246" i="9" a="1"/>
  <c r="U246" i="9" s="1"/>
  <c r="X246" i="9" a="1"/>
  <c r="X246" i="9" s="1"/>
  <c r="V246" i="9" a="1"/>
  <c r="V246" i="9" s="1"/>
  <c r="AB246" i="9" a="1"/>
  <c r="AB246" i="9" s="1"/>
  <c r="Z246" i="9"/>
  <c r="W246" i="9" a="1"/>
  <c r="W246" i="9" s="1"/>
  <c r="Y246" i="9" a="1"/>
  <c r="Y246" i="9" s="1"/>
  <c r="S246" i="9" a="1"/>
  <c r="S246" i="9" s="1"/>
  <c r="AC246" i="9" s="1"/>
  <c r="AU46" i="9"/>
  <c r="X199" i="9" a="1"/>
  <c r="X199" i="9" s="1"/>
  <c r="Z199" i="9"/>
  <c r="AU199" i="9"/>
  <c r="T199" i="9" a="1"/>
  <c r="T199" i="9" s="1"/>
  <c r="Y199" i="9" a="1"/>
  <c r="Y199" i="9" s="1"/>
  <c r="V199" i="9" a="1"/>
  <c r="V199" i="9" s="1"/>
  <c r="AB199" i="9" a="1"/>
  <c r="AB199" i="9" s="1"/>
  <c r="S199" i="9" a="1"/>
  <c r="S199" i="9" s="1"/>
  <c r="AC199" i="9" s="1"/>
  <c r="W199" i="9" a="1"/>
  <c r="W199" i="9" s="1"/>
  <c r="U199" i="9" a="1"/>
  <c r="U199" i="9" s="1"/>
  <c r="V228" i="9" a="1"/>
  <c r="V228" i="9" s="1"/>
  <c r="Y228" i="9" a="1"/>
  <c r="Y228" i="9" s="1"/>
  <c r="X228" i="9" a="1"/>
  <c r="X228" i="9" s="1"/>
  <c r="U228" i="9" a="1"/>
  <c r="U228" i="9" s="1"/>
  <c r="Z228" i="9"/>
  <c r="W228" i="9" a="1"/>
  <c r="W228" i="9" s="1"/>
  <c r="AU228" i="9"/>
  <c r="AB228" i="9" a="1"/>
  <c r="AB228" i="9" s="1"/>
  <c r="T228" i="9" a="1"/>
  <c r="T228" i="9" s="1"/>
  <c r="S228" i="9" a="1"/>
  <c r="S228" i="9" s="1"/>
  <c r="AC228" i="9" s="1"/>
  <c r="Z115" i="9"/>
  <c r="Y115" i="9" a="1"/>
  <c r="Y115" i="9" s="1"/>
  <c r="U115" i="9" a="1"/>
  <c r="U115" i="9" s="1"/>
  <c r="AB115" i="9" a="1"/>
  <c r="AB115" i="9" s="1"/>
  <c r="AU115" i="9"/>
  <c r="T115" i="9" a="1"/>
  <c r="T115" i="9" s="1"/>
  <c r="S115" i="9" a="1"/>
  <c r="S115" i="9" s="1"/>
  <c r="AC115" i="9" s="1"/>
  <c r="X115" i="9" a="1"/>
  <c r="X115" i="9" s="1"/>
  <c r="W115" i="9" a="1"/>
  <c r="W115" i="9" s="1"/>
  <c r="V115" i="9" a="1"/>
  <c r="V115" i="9" s="1"/>
  <c r="V82" i="9" a="1"/>
  <c r="V82" i="9" s="1"/>
  <c r="Z82" i="9"/>
  <c r="AU82" i="9"/>
  <c r="T82" i="9" a="1"/>
  <c r="T82" i="9" s="1"/>
  <c r="S82" i="9" a="1"/>
  <c r="S82" i="9" s="1"/>
  <c r="AC82" i="9" s="1"/>
  <c r="U82" i="9" a="1"/>
  <c r="U82" i="9" s="1"/>
  <c r="W82" i="9" a="1"/>
  <c r="W82" i="9" s="1"/>
  <c r="Y82" i="9" a="1"/>
  <c r="Y82" i="9" s="1"/>
  <c r="X82" i="9" a="1"/>
  <c r="X82" i="9" s="1"/>
  <c r="AB82" i="9" a="1"/>
  <c r="AB82" i="9" s="1"/>
  <c r="W145" i="9" a="1"/>
  <c r="W145" i="9" s="1"/>
  <c r="X145" i="9" a="1"/>
  <c r="X145" i="9" s="1"/>
  <c r="U145" i="9" a="1"/>
  <c r="U145" i="9" s="1"/>
  <c r="AB145" i="9" a="1"/>
  <c r="AB145" i="9" s="1"/>
  <c r="Y145" i="9" a="1"/>
  <c r="Y145" i="9" s="1"/>
  <c r="Z145" i="9"/>
  <c r="T145" i="9" a="1"/>
  <c r="T145" i="9" s="1"/>
  <c r="AU145" i="9"/>
  <c r="V145" i="9" a="1"/>
  <c r="V145" i="9" s="1"/>
  <c r="S145" i="9" a="1"/>
  <c r="S145" i="9" s="1"/>
  <c r="AC145" i="9" s="1"/>
  <c r="Y106" i="9" a="1"/>
  <c r="Y106" i="9" s="1"/>
  <c r="U106" i="9" a="1"/>
  <c r="U106" i="9" s="1"/>
  <c r="W106" i="9" a="1"/>
  <c r="W106" i="9" s="1"/>
  <c r="Z106" i="9"/>
  <c r="AB106" i="9" a="1"/>
  <c r="AB106" i="9" s="1"/>
  <c r="AU106" i="9"/>
  <c r="V106" i="9" a="1"/>
  <c r="V106" i="9" s="1"/>
  <c r="S106" i="9" a="1"/>
  <c r="S106" i="9" s="1"/>
  <c r="AC106" i="9" s="1"/>
  <c r="T106" i="9" a="1"/>
  <c r="T106" i="9" s="1"/>
  <c r="X106" i="9" a="1"/>
  <c r="X106" i="9" s="1"/>
  <c r="W56" i="9" a="1"/>
  <c r="W56" i="9" s="1"/>
  <c r="U56" i="9" a="1"/>
  <c r="U56" i="9" s="1"/>
  <c r="Y56" i="9" a="1"/>
  <c r="Y56" i="9" s="1"/>
  <c r="Z56" i="9"/>
  <c r="T56" i="9" a="1"/>
  <c r="T56" i="9" s="1"/>
  <c r="V56" i="9" a="1"/>
  <c r="V56" i="9" s="1"/>
  <c r="AB56" i="9" a="1"/>
  <c r="AB56" i="9" s="1"/>
  <c r="X56" i="9" a="1"/>
  <c r="X56" i="9" s="1"/>
  <c r="AU56" i="9"/>
  <c r="S56" i="9" a="1"/>
  <c r="S56" i="9" s="1"/>
  <c r="AC56" i="9" s="1"/>
  <c r="AU134" i="9"/>
  <c r="Y134" i="9" a="1"/>
  <c r="Y134" i="9" s="1"/>
  <c r="AB134" i="9" a="1"/>
  <c r="AB134" i="9" s="1"/>
  <c r="S134" i="9" a="1"/>
  <c r="S134" i="9" s="1"/>
  <c r="AC134" i="9" s="1"/>
  <c r="U134" i="9" a="1"/>
  <c r="U134" i="9" s="1"/>
  <c r="X134" i="9" a="1"/>
  <c r="X134" i="9" s="1"/>
  <c r="W134" i="9" a="1"/>
  <c r="W134" i="9" s="1"/>
  <c r="V134" i="9" a="1"/>
  <c r="V134" i="9" s="1"/>
  <c r="Z134" i="9"/>
  <c r="T134" i="9" a="1"/>
  <c r="T134" i="9" s="1"/>
  <c r="S175" i="9" a="1"/>
  <c r="S175" i="9" s="1"/>
  <c r="AC175" i="9" s="1"/>
  <c r="AB175" i="9" a="1"/>
  <c r="AB175" i="9" s="1"/>
  <c r="U175" i="9" a="1"/>
  <c r="U175" i="9" s="1"/>
  <c r="W175" i="9" a="1"/>
  <c r="W175" i="9" s="1"/>
  <c r="AU175" i="9"/>
  <c r="Y175" i="9" a="1"/>
  <c r="Y175" i="9" s="1"/>
  <c r="X175" i="9" a="1"/>
  <c r="X175" i="9" s="1"/>
  <c r="T175" i="9" a="1"/>
  <c r="T175" i="9" s="1"/>
  <c r="Z175" i="9"/>
  <c r="V175" i="9" a="1"/>
  <c r="V175" i="9" s="1"/>
  <c r="U133" i="9" a="1"/>
  <c r="U133" i="9" s="1"/>
  <c r="AU133" i="9"/>
  <c r="V133" i="9" a="1"/>
  <c r="V133" i="9" s="1"/>
  <c r="T133" i="9" a="1"/>
  <c r="T133" i="9" s="1"/>
  <c r="S133" i="9" a="1"/>
  <c r="S133" i="9" s="1"/>
  <c r="AC133" i="9" s="1"/>
  <c r="AB133" i="9" a="1"/>
  <c r="AB133" i="9" s="1"/>
  <c r="W133" i="9" a="1"/>
  <c r="W133" i="9" s="1"/>
  <c r="Y133" i="9" a="1"/>
  <c r="Y133" i="9" s="1"/>
  <c r="X133" i="9" a="1"/>
  <c r="X133" i="9" s="1"/>
  <c r="Z133" i="9"/>
  <c r="Y122" i="9" a="1"/>
  <c r="Y122" i="9" s="1"/>
  <c r="S122" i="9" a="1"/>
  <c r="S122" i="9" s="1"/>
  <c r="AC122" i="9" s="1"/>
  <c r="V122" i="9" a="1"/>
  <c r="V122" i="9" s="1"/>
  <c r="W122" i="9" a="1"/>
  <c r="W122" i="9" s="1"/>
  <c r="U122" i="9" a="1"/>
  <c r="U122" i="9" s="1"/>
  <c r="AB122" i="9" a="1"/>
  <c r="AB122" i="9" s="1"/>
  <c r="X122" i="9" a="1"/>
  <c r="X122" i="9" s="1"/>
  <c r="Z122" i="9"/>
  <c r="AU122" i="9"/>
  <c r="T122" i="9" a="1"/>
  <c r="T122" i="9" s="1"/>
  <c r="Y142" i="9" a="1"/>
  <c r="Y142" i="9" s="1"/>
  <c r="U142" i="9" a="1"/>
  <c r="U142" i="9" s="1"/>
  <c r="Z142" i="9"/>
  <c r="S142" i="9" a="1"/>
  <c r="S142" i="9" s="1"/>
  <c r="AC142" i="9" s="1"/>
  <c r="V142" i="9" a="1"/>
  <c r="V142" i="9" s="1"/>
  <c r="X142" i="9" a="1"/>
  <c r="X142" i="9" s="1"/>
  <c r="AU142" i="9"/>
  <c r="W142" i="9" a="1"/>
  <c r="W142" i="9" s="1"/>
  <c r="AB142" i="9" a="1"/>
  <c r="AB142" i="9" s="1"/>
  <c r="T142" i="9" a="1"/>
  <c r="T142" i="9" s="1"/>
  <c r="V57" i="9" a="1"/>
  <c r="V57" i="9" s="1"/>
  <c r="AB57" i="9" a="1"/>
  <c r="AB57" i="9" s="1"/>
  <c r="AU57" i="9"/>
  <c r="T57" i="9" a="1"/>
  <c r="T57" i="9" s="1"/>
  <c r="S57" i="9" a="1"/>
  <c r="S57" i="9" s="1"/>
  <c r="AC57" i="9" s="1"/>
  <c r="X57" i="9" a="1"/>
  <c r="X57" i="9" s="1"/>
  <c r="U57" i="9" a="1"/>
  <c r="U57" i="9" s="1"/>
  <c r="Y57" i="9" a="1"/>
  <c r="Y57" i="9" s="1"/>
  <c r="W57" i="9" a="1"/>
  <c r="W57" i="9" s="1"/>
  <c r="Z57" i="9"/>
  <c r="AU259" i="9"/>
  <c r="V259" i="9" a="1"/>
  <c r="V259" i="9" s="1"/>
  <c r="U259" i="9" a="1"/>
  <c r="U259" i="9" s="1"/>
  <c r="W259" i="9" a="1"/>
  <c r="W259" i="9" s="1"/>
  <c r="AB259" i="9" a="1"/>
  <c r="AB259" i="9" s="1"/>
  <c r="S259" i="9" a="1"/>
  <c r="S259" i="9" s="1"/>
  <c r="AC259" i="9" s="1"/>
  <c r="T259" i="9" a="1"/>
  <c r="T259" i="9" s="1"/>
  <c r="Z259" i="9"/>
  <c r="X259" i="9" a="1"/>
  <c r="X259" i="9" s="1"/>
  <c r="Y259" i="9" a="1"/>
  <c r="Y259" i="9" s="1"/>
  <c r="AB180" i="9" a="1"/>
  <c r="AB180" i="9" s="1"/>
  <c r="Y180" i="9" a="1"/>
  <c r="Y180" i="9" s="1"/>
  <c r="Z180" i="9"/>
  <c r="W180" i="9" a="1"/>
  <c r="W180" i="9" s="1"/>
  <c r="V180" i="9" a="1"/>
  <c r="V180" i="9" s="1"/>
  <c r="X180" i="9" a="1"/>
  <c r="X180" i="9" s="1"/>
  <c r="AU180" i="9"/>
  <c r="U180" i="9" a="1"/>
  <c r="U180" i="9" s="1"/>
  <c r="S180" i="9" a="1"/>
  <c r="S180" i="9" s="1"/>
  <c r="AC180" i="9" s="1"/>
  <c r="T180" i="9" a="1"/>
  <c r="T180" i="9" s="1"/>
  <c r="AU203" i="9"/>
  <c r="Y203" i="9" a="1"/>
  <c r="Y203" i="9" s="1"/>
  <c r="X203" i="9" a="1"/>
  <c r="X203" i="9" s="1"/>
  <c r="V203" i="9" a="1"/>
  <c r="V203" i="9" s="1"/>
  <c r="S203" i="9" a="1"/>
  <c r="S203" i="9" s="1"/>
  <c r="AC203" i="9" s="1"/>
  <c r="AB203" i="9" a="1"/>
  <c r="AB203" i="9" s="1"/>
  <c r="U203" i="9" a="1"/>
  <c r="U203" i="9" s="1"/>
  <c r="T203" i="9" a="1"/>
  <c r="T203" i="9" s="1"/>
  <c r="W203" i="9" a="1"/>
  <c r="W203" i="9" s="1"/>
  <c r="Z203" i="9"/>
  <c r="Y104" i="9" a="1"/>
  <c r="Y104" i="9" s="1"/>
  <c r="T104" i="9" a="1"/>
  <c r="T104" i="9" s="1"/>
  <c r="W104" i="9" a="1"/>
  <c r="W104" i="9" s="1"/>
  <c r="X104" i="9" a="1"/>
  <c r="X104" i="9" s="1"/>
  <c r="Z104" i="9"/>
  <c r="AB104" i="9" a="1"/>
  <c r="AB104" i="9" s="1"/>
  <c r="U104" i="9" a="1"/>
  <c r="U104" i="9" s="1"/>
  <c r="S104" i="9" a="1"/>
  <c r="S104" i="9" s="1"/>
  <c r="AC104" i="9" s="1"/>
  <c r="V104" i="9" a="1"/>
  <c r="V104" i="9" s="1"/>
  <c r="AU104" i="9"/>
  <c r="Z118" i="9"/>
  <c r="V118" i="9" a="1"/>
  <c r="V118" i="9" s="1"/>
  <c r="AU118" i="9"/>
  <c r="Y118" i="9" a="1"/>
  <c r="Y118" i="9" s="1"/>
  <c r="T118" i="9" a="1"/>
  <c r="T118" i="9" s="1"/>
  <c r="S118" i="9" a="1"/>
  <c r="S118" i="9" s="1"/>
  <c r="AC118" i="9" s="1"/>
  <c r="AB118" i="9" a="1"/>
  <c r="AB118" i="9" s="1"/>
  <c r="X118" i="9" a="1"/>
  <c r="X118" i="9" s="1"/>
  <c r="U118" i="9" a="1"/>
  <c r="U118" i="9" s="1"/>
  <c r="W118" i="9" a="1"/>
  <c r="W118" i="9" s="1"/>
  <c r="Z205" i="9"/>
  <c r="V205" i="9" a="1"/>
  <c r="V205" i="9" s="1"/>
  <c r="W205" i="9" a="1"/>
  <c r="W205" i="9" s="1"/>
  <c r="AU205" i="9"/>
  <c r="T205" i="9" a="1"/>
  <c r="T205" i="9" s="1"/>
  <c r="X205" i="9" a="1"/>
  <c r="X205" i="9" s="1"/>
  <c r="AB205" i="9" a="1"/>
  <c r="AB205" i="9" s="1"/>
  <c r="Y205" i="9" a="1"/>
  <c r="Y205" i="9" s="1"/>
  <c r="S205" i="9" a="1"/>
  <c r="S205" i="9" s="1"/>
  <c r="AC205" i="9" s="1"/>
  <c r="U205" i="9" a="1"/>
  <c r="U205" i="9" s="1"/>
  <c r="Y238" i="9" a="1"/>
  <c r="Y238" i="9" s="1"/>
  <c r="W238" i="9" a="1"/>
  <c r="W238" i="9" s="1"/>
  <c r="V238" i="9" a="1"/>
  <c r="V238" i="9" s="1"/>
  <c r="S238" i="9" a="1"/>
  <c r="S238" i="9" s="1"/>
  <c r="AC238" i="9" s="1"/>
  <c r="AB238" i="9" a="1"/>
  <c r="AB238" i="9" s="1"/>
  <c r="T238" i="9" a="1"/>
  <c r="T238" i="9" s="1"/>
  <c r="U238" i="9" a="1"/>
  <c r="U238" i="9" s="1"/>
  <c r="X238" i="9" a="1"/>
  <c r="X238" i="9" s="1"/>
  <c r="Z238" i="9"/>
  <c r="AU238" i="9"/>
  <c r="AU45" i="9"/>
  <c r="U223" i="9" a="1"/>
  <c r="U223" i="9" s="1"/>
  <c r="W223" i="9" a="1"/>
  <c r="W223" i="9" s="1"/>
  <c r="Y223" i="9" a="1"/>
  <c r="Y223" i="9" s="1"/>
  <c r="X223" i="9" a="1"/>
  <c r="X223" i="9" s="1"/>
  <c r="AU223" i="9"/>
  <c r="S223" i="9" a="1"/>
  <c r="S223" i="9" s="1"/>
  <c r="AC223" i="9" s="1"/>
  <c r="V223" i="9" a="1"/>
  <c r="V223" i="9" s="1"/>
  <c r="AB223" i="9" a="1"/>
  <c r="AB223" i="9" s="1"/>
  <c r="Z223" i="9"/>
  <c r="T223" i="9" a="1"/>
  <c r="T223" i="9" s="1"/>
  <c r="W157" i="9" a="1"/>
  <c r="W157" i="9" s="1"/>
  <c r="X157" i="9" a="1"/>
  <c r="X157" i="9" s="1"/>
  <c r="AB157" i="9" a="1"/>
  <c r="AB157" i="9" s="1"/>
  <c r="T157" i="9" a="1"/>
  <c r="T157" i="9" s="1"/>
  <c r="Y157" i="9" a="1"/>
  <c r="Y157" i="9" s="1"/>
  <c r="U157" i="9" a="1"/>
  <c r="U157" i="9" s="1"/>
  <c r="AU157" i="9"/>
  <c r="V157" i="9" a="1"/>
  <c r="V157" i="9" s="1"/>
  <c r="S157" i="9" a="1"/>
  <c r="S157" i="9" s="1"/>
  <c r="AC157" i="9" s="1"/>
  <c r="Z157" i="9"/>
  <c r="W204" i="9" a="1"/>
  <c r="W204" i="9" s="1"/>
  <c r="U204" i="9" a="1"/>
  <c r="U204" i="9" s="1"/>
  <c r="Y204" i="9" a="1"/>
  <c r="Y204" i="9" s="1"/>
  <c r="Z204" i="9"/>
  <c r="V204" i="9" a="1"/>
  <c r="V204" i="9" s="1"/>
  <c r="T204" i="9" a="1"/>
  <c r="T204" i="9" s="1"/>
  <c r="X204" i="9" a="1"/>
  <c r="X204" i="9" s="1"/>
  <c r="AU204" i="9"/>
  <c r="AB204" i="9" a="1"/>
  <c r="AB204" i="9" s="1"/>
  <c r="S204" i="9" a="1"/>
  <c r="S204" i="9" s="1"/>
  <c r="AC204" i="9" s="1"/>
  <c r="V190" i="9" a="1"/>
  <c r="V190" i="9" s="1"/>
  <c r="AU190" i="9"/>
  <c r="Y190" i="9" a="1"/>
  <c r="Y190" i="9" s="1"/>
  <c r="T190" i="9" a="1"/>
  <c r="T190" i="9" s="1"/>
  <c r="W190" i="9" a="1"/>
  <c r="W190" i="9" s="1"/>
  <c r="X190" i="9" a="1"/>
  <c r="X190" i="9" s="1"/>
  <c r="AB190" i="9" a="1"/>
  <c r="AB190" i="9" s="1"/>
  <c r="U190" i="9" a="1"/>
  <c r="U190" i="9" s="1"/>
  <c r="Z190" i="9"/>
  <c r="S190" i="9" a="1"/>
  <c r="S190" i="9" s="1"/>
  <c r="AC190" i="9" s="1"/>
  <c r="U67" i="9" a="1"/>
  <c r="U67" i="9" s="1"/>
  <c r="Y67" i="9" a="1"/>
  <c r="Y67" i="9" s="1"/>
  <c r="S67" i="9" a="1"/>
  <c r="S67" i="9" s="1"/>
  <c r="AC67" i="9" s="1"/>
  <c r="V67" i="9" a="1"/>
  <c r="V67" i="9" s="1"/>
  <c r="AB67" i="9" a="1"/>
  <c r="AB67" i="9" s="1"/>
  <c r="W67" i="9" a="1"/>
  <c r="W67" i="9" s="1"/>
  <c r="Z67" i="9"/>
  <c r="X67" i="9" a="1"/>
  <c r="X67" i="9" s="1"/>
  <c r="AU67" i="9"/>
  <c r="T67" i="9" a="1"/>
  <c r="T67" i="9" s="1"/>
  <c r="V245" i="9" a="1"/>
  <c r="V245" i="9" s="1"/>
  <c r="W245" i="9" a="1"/>
  <c r="W245" i="9" s="1"/>
  <c r="U245" i="9" a="1"/>
  <c r="U245" i="9" s="1"/>
  <c r="AB245" i="9" a="1"/>
  <c r="AB245" i="9" s="1"/>
  <c r="Y245" i="9" a="1"/>
  <c r="Y245" i="9" s="1"/>
  <c r="AU245" i="9"/>
  <c r="T245" i="9" a="1"/>
  <c r="T245" i="9" s="1"/>
  <c r="Z245" i="9"/>
  <c r="S245" i="9" a="1"/>
  <c r="S245" i="9" s="1"/>
  <c r="AC245" i="9" s="1"/>
  <c r="X245" i="9" a="1"/>
  <c r="X245" i="9" s="1"/>
  <c r="AU173" i="9"/>
  <c r="W173" i="9" a="1"/>
  <c r="W173" i="9" s="1"/>
  <c r="X173" i="9" a="1"/>
  <c r="X173" i="9" s="1"/>
  <c r="AB173" i="9" a="1"/>
  <c r="AB173" i="9" s="1"/>
  <c r="Y173" i="9" a="1"/>
  <c r="Y173" i="9" s="1"/>
  <c r="T173" i="9" a="1"/>
  <c r="T173" i="9" s="1"/>
  <c r="Z173" i="9"/>
  <c r="V173" i="9" a="1"/>
  <c r="V173" i="9" s="1"/>
  <c r="S173" i="9" a="1"/>
  <c r="S173" i="9" s="1"/>
  <c r="AC173" i="9" s="1"/>
  <c r="U173" i="9" a="1"/>
  <c r="U173" i="9" s="1"/>
  <c r="T184" i="9" a="1"/>
  <c r="T184" i="9" s="1"/>
  <c r="AU184" i="9"/>
  <c r="Z184" i="9"/>
  <c r="W184" i="9" a="1"/>
  <c r="W184" i="9" s="1"/>
  <c r="S184" i="9" a="1"/>
  <c r="S184" i="9" s="1"/>
  <c r="AC184" i="9" s="1"/>
  <c r="X184" i="9" a="1"/>
  <c r="X184" i="9" s="1"/>
  <c r="V184" i="9" a="1"/>
  <c r="V184" i="9" s="1"/>
  <c r="AB184" i="9" a="1"/>
  <c r="AB184" i="9" s="1"/>
  <c r="U184" i="9" a="1"/>
  <c r="U184" i="9" s="1"/>
  <c r="Y184" i="9" a="1"/>
  <c r="Y184" i="9" s="1"/>
  <c r="AU49" i="9"/>
  <c r="Y49" i="9" a="1"/>
  <c r="Y49" i="9" s="1"/>
  <c r="W49" i="9" a="1"/>
  <c r="W49" i="9" s="1"/>
  <c r="U49" i="9" a="1"/>
  <c r="U49" i="9" s="1"/>
  <c r="X49" i="9" a="1"/>
  <c r="X49" i="9" s="1"/>
  <c r="V49" i="9" a="1"/>
  <c r="V49" i="9" s="1"/>
  <c r="S49" i="9" a="1"/>
  <c r="S49" i="9" s="1"/>
  <c r="AC49" i="9" s="1"/>
  <c r="Z49" i="9"/>
  <c r="T49" i="9" a="1"/>
  <c r="T49" i="9" s="1"/>
  <c r="AB49" i="9" a="1"/>
  <c r="AB49" i="9" s="1"/>
  <c r="AU41" i="9"/>
  <c r="AB135" i="9" a="1"/>
  <c r="AB135" i="9" s="1"/>
  <c r="T135" i="9" a="1"/>
  <c r="T135" i="9" s="1"/>
  <c r="AU135" i="9"/>
  <c r="Y135" i="9" a="1"/>
  <c r="Y135" i="9" s="1"/>
  <c r="X135" i="9" a="1"/>
  <c r="X135" i="9" s="1"/>
  <c r="U135" i="9" a="1"/>
  <c r="U135" i="9" s="1"/>
  <c r="S135" i="9" a="1"/>
  <c r="S135" i="9" s="1"/>
  <c r="AC135" i="9" s="1"/>
  <c r="Z135" i="9"/>
  <c r="V135" i="9" a="1"/>
  <c r="V135" i="9" s="1"/>
  <c r="W135" i="9" a="1"/>
  <c r="W135" i="9" s="1"/>
  <c r="AB146" i="9" a="1"/>
  <c r="AB146" i="9" s="1"/>
  <c r="Z146" i="9"/>
  <c r="X146" i="9" a="1"/>
  <c r="X146" i="9" s="1"/>
  <c r="Y146" i="9" a="1"/>
  <c r="Y146" i="9" s="1"/>
  <c r="W146" i="9" a="1"/>
  <c r="W146" i="9" s="1"/>
  <c r="V146" i="9" a="1"/>
  <c r="V146" i="9" s="1"/>
  <c r="S146" i="9" a="1"/>
  <c r="S146" i="9" s="1"/>
  <c r="AC146" i="9" s="1"/>
  <c r="T146" i="9" a="1"/>
  <c r="T146" i="9" s="1"/>
  <c r="U146" i="9" a="1"/>
  <c r="U146" i="9" s="1"/>
  <c r="AU146" i="9"/>
  <c r="Y66" i="9" a="1"/>
  <c r="Y66" i="9" s="1"/>
  <c r="AB66" i="9" a="1"/>
  <c r="AB66" i="9" s="1"/>
  <c r="S66" i="9" a="1"/>
  <c r="S66" i="9" s="1"/>
  <c r="AC66" i="9" s="1"/>
  <c r="Z66" i="9"/>
  <c r="T66" i="9" a="1"/>
  <c r="T66" i="9" s="1"/>
  <c r="U66" i="9" a="1"/>
  <c r="U66" i="9" s="1"/>
  <c r="V66" i="9" a="1"/>
  <c r="V66" i="9" s="1"/>
  <c r="X66" i="9" a="1"/>
  <c r="X66" i="9" s="1"/>
  <c r="W66" i="9" a="1"/>
  <c r="W66" i="9" s="1"/>
  <c r="AA66" i="9" s="1"/>
  <c r="AU66" i="9"/>
  <c r="S200" i="9" a="1"/>
  <c r="S200" i="9" s="1"/>
  <c r="AC200" i="9" s="1"/>
  <c r="AU200" i="9"/>
  <c r="V200" i="9" a="1"/>
  <c r="V200" i="9" s="1"/>
  <c r="Z200" i="9"/>
  <c r="T200" i="9" a="1"/>
  <c r="T200" i="9" s="1"/>
  <c r="AB200" i="9" a="1"/>
  <c r="AB200" i="9" s="1"/>
  <c r="X200" i="9" a="1"/>
  <c r="X200" i="9" s="1"/>
  <c r="U200" i="9" a="1"/>
  <c r="U200" i="9" s="1"/>
  <c r="W200" i="9" a="1"/>
  <c r="W200" i="9" s="1"/>
  <c r="Y200" i="9" a="1"/>
  <c r="Y200" i="9" s="1"/>
  <c r="AA263" i="9"/>
  <c r="T227" i="9" a="1"/>
  <c r="T227" i="9" s="1"/>
  <c r="AU227" i="9"/>
  <c r="X227" i="9" a="1"/>
  <c r="X227" i="9" s="1"/>
  <c r="V227" i="9" a="1"/>
  <c r="V227" i="9" s="1"/>
  <c r="Z227" i="9"/>
  <c r="AB227" i="9" a="1"/>
  <c r="AB227" i="9" s="1"/>
  <c r="S227" i="9" a="1"/>
  <c r="S227" i="9" s="1"/>
  <c r="AC227" i="9" s="1"/>
  <c r="U227" i="9" a="1"/>
  <c r="U227" i="9" s="1"/>
  <c r="W227" i="9" a="1"/>
  <c r="W227" i="9" s="1"/>
  <c r="Y227" i="9" a="1"/>
  <c r="Y227" i="9" s="1"/>
  <c r="AU217" i="9"/>
  <c r="S217" i="9" a="1"/>
  <c r="S217" i="9" s="1"/>
  <c r="AC217" i="9" s="1"/>
  <c r="X217" i="9" a="1"/>
  <c r="X217" i="9" s="1"/>
  <c r="W217" i="9" a="1"/>
  <c r="W217" i="9" s="1"/>
  <c r="Y217" i="9" a="1"/>
  <c r="Y217" i="9" s="1"/>
  <c r="U217" i="9" a="1"/>
  <c r="U217" i="9" s="1"/>
  <c r="V217" i="9" a="1"/>
  <c r="V217" i="9" s="1"/>
  <c r="AB217" i="9" a="1"/>
  <c r="AB217" i="9" s="1"/>
  <c r="T217" i="9" a="1"/>
  <c r="T217" i="9" s="1"/>
  <c r="Z217" i="9"/>
  <c r="Z130" i="9"/>
  <c r="W130" i="9" a="1"/>
  <c r="W130" i="9" s="1"/>
  <c r="V130" i="9" a="1"/>
  <c r="V130" i="9" s="1"/>
  <c r="AB130" i="9" a="1"/>
  <c r="AB130" i="9" s="1"/>
  <c r="U130" i="9" a="1"/>
  <c r="U130" i="9" s="1"/>
  <c r="Y130" i="9" a="1"/>
  <c r="Y130" i="9" s="1"/>
  <c r="T130" i="9" a="1"/>
  <c r="T130" i="9" s="1"/>
  <c r="X130" i="9" a="1"/>
  <c r="X130" i="9" s="1"/>
  <c r="S130" i="9" a="1"/>
  <c r="S130" i="9" s="1"/>
  <c r="AC130" i="9" s="1"/>
  <c r="AU130" i="9"/>
  <c r="V58" i="9" a="1"/>
  <c r="V58" i="9" s="1"/>
  <c r="W58" i="9" a="1"/>
  <c r="W58" i="9" s="1"/>
  <c r="Y58" i="9" a="1"/>
  <c r="Y58" i="9" s="1"/>
  <c r="Z58" i="9"/>
  <c r="X58" i="9" a="1"/>
  <c r="X58" i="9" s="1"/>
  <c r="AB58" i="9" a="1"/>
  <c r="AB58" i="9" s="1"/>
  <c r="U58" i="9" a="1"/>
  <c r="U58" i="9" s="1"/>
  <c r="T58" i="9" a="1"/>
  <c r="T58" i="9" s="1"/>
  <c r="AU58" i="9"/>
  <c r="S58" i="9" a="1"/>
  <c r="S58" i="9" s="1"/>
  <c r="AC58" i="9" s="1"/>
  <c r="Y86" i="9" a="1"/>
  <c r="Y86" i="9" s="1"/>
  <c r="T86" i="9" a="1"/>
  <c r="T86" i="9" s="1"/>
  <c r="Z86" i="9"/>
  <c r="U86" i="9" a="1"/>
  <c r="U86" i="9" s="1"/>
  <c r="S86" i="9" a="1"/>
  <c r="S86" i="9" s="1"/>
  <c r="AC86" i="9" s="1"/>
  <c r="AU86" i="9"/>
  <c r="X86" i="9" a="1"/>
  <c r="X86" i="9" s="1"/>
  <c r="V86" i="9" a="1"/>
  <c r="V86" i="9" s="1"/>
  <c r="AB86" i="9" a="1"/>
  <c r="AB86" i="9" s="1"/>
  <c r="W86" i="9" a="1"/>
  <c r="W86" i="9" s="1"/>
  <c r="U215" i="9" a="1"/>
  <c r="U215" i="9" s="1"/>
  <c r="W215" i="9" a="1"/>
  <c r="W215" i="9" s="1"/>
  <c r="Y215" i="9" a="1"/>
  <c r="Y215" i="9" s="1"/>
  <c r="Z215" i="9"/>
  <c r="AB215" i="9" a="1"/>
  <c r="AB215" i="9" s="1"/>
  <c r="T215" i="9" a="1"/>
  <c r="T215" i="9" s="1"/>
  <c r="AU215" i="9"/>
  <c r="V215" i="9" a="1"/>
  <c r="V215" i="9" s="1"/>
  <c r="S215" i="9" a="1"/>
  <c r="S215" i="9" s="1"/>
  <c r="AC215" i="9" s="1"/>
  <c r="X215" i="9" a="1"/>
  <c r="X215" i="9" s="1"/>
  <c r="Y50" i="9" a="1"/>
  <c r="Y50" i="9" s="1"/>
  <c r="W50" i="9" a="1"/>
  <c r="W50" i="9" s="1"/>
  <c r="U50" i="9" a="1"/>
  <c r="U50" i="9" s="1"/>
  <c r="Z50" i="9"/>
  <c r="AB50" i="9" a="1"/>
  <c r="AB50" i="9" s="1"/>
  <c r="V50" i="9" a="1"/>
  <c r="V50" i="9" s="1"/>
  <c r="T50" i="9" a="1"/>
  <c r="T50" i="9" s="1"/>
  <c r="S50" i="9" a="1"/>
  <c r="S50" i="9" s="1"/>
  <c r="AC50" i="9" s="1"/>
  <c r="X50" i="9" a="1"/>
  <c r="X50" i="9" s="1"/>
  <c r="AU50" i="9"/>
  <c r="AB83" i="9" a="1"/>
  <c r="AB83" i="9" s="1"/>
  <c r="Y83" i="9" a="1"/>
  <c r="Y83" i="9" s="1"/>
  <c r="T83" i="9" a="1"/>
  <c r="T83" i="9" s="1"/>
  <c r="U83" i="9" a="1"/>
  <c r="U83" i="9" s="1"/>
  <c r="V83" i="9" a="1"/>
  <c r="V83" i="9" s="1"/>
  <c r="X83" i="9" a="1"/>
  <c r="X83" i="9" s="1"/>
  <c r="W83" i="9" a="1"/>
  <c r="W83" i="9" s="1"/>
  <c r="AU83" i="9"/>
  <c r="Z83" i="9"/>
  <c r="S83" i="9" a="1"/>
  <c r="S83" i="9" s="1"/>
  <c r="AC83" i="9" s="1"/>
  <c r="AU222" i="9"/>
  <c r="U222" i="9" a="1"/>
  <c r="U222" i="9" s="1"/>
  <c r="X222" i="9" a="1"/>
  <c r="X222" i="9" s="1"/>
  <c r="W222" i="9" a="1"/>
  <c r="W222" i="9" s="1"/>
  <c r="Y222" i="9" a="1"/>
  <c r="Y222" i="9" s="1"/>
  <c r="AB222" i="9" a="1"/>
  <c r="AB222" i="9" s="1"/>
  <c r="V222" i="9" a="1"/>
  <c r="V222" i="9" s="1"/>
  <c r="Z222" i="9"/>
  <c r="S222" i="9" a="1"/>
  <c r="S222" i="9" s="1"/>
  <c r="AC222" i="9" s="1"/>
  <c r="T222" i="9" a="1"/>
  <c r="T222" i="9" s="1"/>
  <c r="T210" i="9" a="1"/>
  <c r="T210" i="9" s="1"/>
  <c r="AB210" i="9" a="1"/>
  <c r="AB210" i="9" s="1"/>
  <c r="X210" i="9" a="1"/>
  <c r="X210" i="9" s="1"/>
  <c r="S210" i="9" a="1"/>
  <c r="S210" i="9" s="1"/>
  <c r="AC210" i="9" s="1"/>
  <c r="Z210" i="9"/>
  <c r="U210" i="9" a="1"/>
  <c r="U210" i="9" s="1"/>
  <c r="AU210" i="9"/>
  <c r="W210" i="9" a="1"/>
  <c r="W210" i="9" s="1"/>
  <c r="Y210" i="9" a="1"/>
  <c r="Y210" i="9" s="1"/>
  <c r="V210" i="9" a="1"/>
  <c r="V210" i="9" s="1"/>
  <c r="S98" i="9" a="1"/>
  <c r="S98" i="9" s="1"/>
  <c r="AC98" i="9" s="1"/>
  <c r="V98" i="9" a="1"/>
  <c r="V98" i="9" s="1"/>
  <c r="X98" i="9" a="1"/>
  <c r="X98" i="9" s="1"/>
  <c r="AU98" i="9"/>
  <c r="W98" i="9" a="1"/>
  <c r="W98" i="9" s="1"/>
  <c r="Z98" i="9"/>
  <c r="AB98" i="9" a="1"/>
  <c r="AB98" i="9" s="1"/>
  <c r="U98" i="9" a="1"/>
  <c r="U98" i="9" s="1"/>
  <c r="Y98" i="9" a="1"/>
  <c r="Y98" i="9" s="1"/>
  <c r="T98" i="9" a="1"/>
  <c r="T98" i="9" s="1"/>
  <c r="T230" i="9" a="1"/>
  <c r="T230" i="9" s="1"/>
  <c r="S230" i="9" a="1"/>
  <c r="S230" i="9" s="1"/>
  <c r="AC230" i="9" s="1"/>
  <c r="U230" i="9" a="1"/>
  <c r="U230" i="9" s="1"/>
  <c r="W230" i="9" a="1"/>
  <c r="W230" i="9" s="1"/>
  <c r="V230" i="9" a="1"/>
  <c r="V230" i="9" s="1"/>
  <c r="Y230" i="9" a="1"/>
  <c r="Y230" i="9" s="1"/>
  <c r="X230" i="9" a="1"/>
  <c r="X230" i="9" s="1"/>
  <c r="Z230" i="9"/>
  <c r="AB230" i="9" a="1"/>
  <c r="AB230" i="9" s="1"/>
  <c r="AU230" i="9"/>
  <c r="U153" i="9" a="1"/>
  <c r="U153" i="9" s="1"/>
  <c r="S153" i="9" a="1"/>
  <c r="S153" i="9" s="1"/>
  <c r="AC153" i="9" s="1"/>
  <c r="Y153" i="9" a="1"/>
  <c r="Y153" i="9" s="1"/>
  <c r="AU153" i="9"/>
  <c r="V153" i="9" a="1"/>
  <c r="V153" i="9" s="1"/>
  <c r="W153" i="9" a="1"/>
  <c r="W153" i="9" s="1"/>
  <c r="T153" i="9" a="1"/>
  <c r="T153" i="9" s="1"/>
  <c r="X153" i="9" a="1"/>
  <c r="X153" i="9" s="1"/>
  <c r="AB153" i="9" a="1"/>
  <c r="AB153" i="9" s="1"/>
  <c r="Z153" i="9"/>
  <c r="W234" i="9" a="1"/>
  <c r="W234" i="9" s="1"/>
  <c r="Y234" i="9" a="1"/>
  <c r="Y234" i="9" s="1"/>
  <c r="Z234" i="9"/>
  <c r="T234" i="9" a="1"/>
  <c r="T234" i="9" s="1"/>
  <c r="V234" i="9" a="1"/>
  <c r="V234" i="9" s="1"/>
  <c r="AB234" i="9" a="1"/>
  <c r="AB234" i="9" s="1"/>
  <c r="X234" i="9" a="1"/>
  <c r="X234" i="9" s="1"/>
  <c r="AU234" i="9"/>
  <c r="U234" i="9" a="1"/>
  <c r="U234" i="9" s="1"/>
  <c r="S234" i="9" a="1"/>
  <c r="S234" i="9" s="1"/>
  <c r="AC234" i="9" s="1"/>
  <c r="X165" i="9" a="1"/>
  <c r="X165" i="9" s="1"/>
  <c r="V165" i="9" a="1"/>
  <c r="V165" i="9" s="1"/>
  <c r="AU165" i="9"/>
  <c r="S165" i="9" a="1"/>
  <c r="S165" i="9" s="1"/>
  <c r="AC165" i="9" s="1"/>
  <c r="AB165" i="9" a="1"/>
  <c r="AB165" i="9" s="1"/>
  <c r="U165" i="9" a="1"/>
  <c r="U165" i="9" s="1"/>
  <c r="Y165" i="9" a="1"/>
  <c r="Y165" i="9" s="1"/>
  <c r="Z165" i="9"/>
  <c r="T165" i="9" a="1"/>
  <c r="T165" i="9" s="1"/>
  <c r="W165" i="9" a="1"/>
  <c r="W165" i="9" s="1"/>
  <c r="AU73" i="9"/>
  <c r="Y73" i="9" a="1"/>
  <c r="Y73" i="9" s="1"/>
  <c r="V73" i="9" a="1"/>
  <c r="V73" i="9" s="1"/>
  <c r="S73" i="9" a="1"/>
  <c r="S73" i="9" s="1"/>
  <c r="AC73" i="9" s="1"/>
  <c r="U73" i="9" a="1"/>
  <c r="U73" i="9" s="1"/>
  <c r="Z73" i="9"/>
  <c r="W73" i="9" a="1"/>
  <c r="W73" i="9" s="1"/>
  <c r="AB73" i="9" a="1"/>
  <c r="AB73" i="9" s="1"/>
  <c r="X73" i="9" a="1"/>
  <c r="X73" i="9" s="1"/>
  <c r="T73" i="9" a="1"/>
  <c r="T73" i="9" s="1"/>
  <c r="W151" i="9" a="1"/>
  <c r="W151" i="9" s="1"/>
  <c r="Z151" i="9"/>
  <c r="AB151" i="9" a="1"/>
  <c r="AB151" i="9" s="1"/>
  <c r="AU151" i="9"/>
  <c r="T151" i="9" a="1"/>
  <c r="T151" i="9" s="1"/>
  <c r="S151" i="9" a="1"/>
  <c r="S151" i="9" s="1"/>
  <c r="AC151" i="9" s="1"/>
  <c r="X151" i="9" a="1"/>
  <c r="X151" i="9" s="1"/>
  <c r="Y151" i="9" a="1"/>
  <c r="Y151" i="9" s="1"/>
  <c r="V151" i="9" a="1"/>
  <c r="V151" i="9" s="1"/>
  <c r="U151" i="9" a="1"/>
  <c r="U151" i="9" s="1"/>
  <c r="U81" i="9" a="1"/>
  <c r="U81" i="9" s="1"/>
  <c r="Y81" i="9" a="1"/>
  <c r="Y81" i="9" s="1"/>
  <c r="X81" i="9" a="1"/>
  <c r="X81" i="9" s="1"/>
  <c r="Z81" i="9"/>
  <c r="S81" i="9" a="1"/>
  <c r="S81" i="9" s="1"/>
  <c r="AC81" i="9" s="1"/>
  <c r="V81" i="9" a="1"/>
  <c r="V81" i="9" s="1"/>
  <c r="AU81" i="9"/>
  <c r="AB81" i="9" a="1"/>
  <c r="AB81" i="9" s="1"/>
  <c r="W81" i="9" a="1"/>
  <c r="W81" i="9" s="1"/>
  <c r="T81" i="9" a="1"/>
  <c r="T81" i="9" s="1"/>
  <c r="Y236" i="9" a="1"/>
  <c r="Y236" i="9" s="1"/>
  <c r="S236" i="9" a="1"/>
  <c r="S236" i="9" s="1"/>
  <c r="AC236" i="9" s="1"/>
  <c r="V236" i="9" a="1"/>
  <c r="V236" i="9" s="1"/>
  <c r="Z236" i="9"/>
  <c r="AU236" i="9"/>
  <c r="AB236" i="9" a="1"/>
  <c r="AB236" i="9" s="1"/>
  <c r="W236" i="9" a="1"/>
  <c r="W236" i="9" s="1"/>
  <c r="X236" i="9" a="1"/>
  <c r="X236" i="9" s="1"/>
  <c r="U236" i="9" a="1"/>
  <c r="U236" i="9" s="1"/>
  <c r="T236" i="9" a="1"/>
  <c r="T236" i="9" s="1"/>
  <c r="X69" i="9" a="1"/>
  <c r="X69" i="9" s="1"/>
  <c r="Y69" i="9" a="1"/>
  <c r="Y69" i="9" s="1"/>
  <c r="AB69" i="9" a="1"/>
  <c r="AB69" i="9" s="1"/>
  <c r="Z69" i="9"/>
  <c r="T69" i="9" a="1"/>
  <c r="T69" i="9" s="1"/>
  <c r="AU69" i="9"/>
  <c r="V69" i="9" a="1"/>
  <c r="V69" i="9" s="1"/>
  <c r="W69" i="9" a="1"/>
  <c r="W69" i="9" s="1"/>
  <c r="U69" i="9" a="1"/>
  <c r="U69" i="9" s="1"/>
  <c r="S69" i="9" a="1"/>
  <c r="S69" i="9" s="1"/>
  <c r="AC69" i="9" s="1"/>
  <c r="AU48" i="9"/>
  <c r="T172" i="9" a="1"/>
  <c r="T172" i="9" s="1"/>
  <c r="Z172" i="9"/>
  <c r="Y172" i="9" a="1"/>
  <c r="Y172" i="9" s="1"/>
  <c r="U172" i="9" a="1"/>
  <c r="U172" i="9" s="1"/>
  <c r="V172" i="9" a="1"/>
  <c r="V172" i="9" s="1"/>
  <c r="AU172" i="9"/>
  <c r="AB172" i="9" a="1"/>
  <c r="AB172" i="9" s="1"/>
  <c r="W172" i="9" a="1"/>
  <c r="W172" i="9" s="1"/>
  <c r="S172" i="9" a="1"/>
  <c r="S172" i="9" s="1"/>
  <c r="AC172" i="9" s="1"/>
  <c r="X172" i="9" a="1"/>
  <c r="X172" i="9" s="1"/>
  <c r="AA150" i="9"/>
  <c r="AA103" i="9"/>
  <c r="Y213" i="9" a="1"/>
  <c r="Y213" i="9" s="1"/>
  <c r="S213" i="9" a="1"/>
  <c r="S213" i="9" s="1"/>
  <c r="AC213" i="9" s="1"/>
  <c r="T213" i="9" a="1"/>
  <c r="T213" i="9" s="1"/>
  <c r="W213" i="9" a="1"/>
  <c r="W213" i="9" s="1"/>
  <c r="X213" i="9" a="1"/>
  <c r="X213" i="9" s="1"/>
  <c r="AU213" i="9"/>
  <c r="Z213" i="9"/>
  <c r="AB213" i="9" a="1"/>
  <c r="AB213" i="9" s="1"/>
  <c r="V213" i="9" a="1"/>
  <c r="V213" i="9" s="1"/>
  <c r="U213" i="9" a="1"/>
  <c r="U213" i="9" s="1"/>
  <c r="S261" i="9" a="1"/>
  <c r="S261" i="9" s="1"/>
  <c r="AC261" i="9" s="1"/>
  <c r="AB261" i="9" a="1"/>
  <c r="AB261" i="9" s="1"/>
  <c r="W261" i="9" a="1"/>
  <c r="W261" i="9" s="1"/>
  <c r="T261" i="9" a="1"/>
  <c r="T261" i="9" s="1"/>
  <c r="U261" i="9" a="1"/>
  <c r="U261" i="9" s="1"/>
  <c r="Y261" i="9" a="1"/>
  <c r="Y261" i="9" s="1"/>
  <c r="AU261" i="9"/>
  <c r="X261" i="9" a="1"/>
  <c r="X261" i="9" s="1"/>
  <c r="V261" i="9" a="1"/>
  <c r="V261" i="9" s="1"/>
  <c r="Z261" i="9"/>
  <c r="T129" i="9" a="1"/>
  <c r="T129" i="9" s="1"/>
  <c r="U129" i="9" a="1"/>
  <c r="U129" i="9" s="1"/>
  <c r="S129" i="9" a="1"/>
  <c r="S129" i="9" s="1"/>
  <c r="AC129" i="9" s="1"/>
  <c r="V129" i="9" a="1"/>
  <c r="V129" i="9" s="1"/>
  <c r="X129" i="9" a="1"/>
  <c r="X129" i="9" s="1"/>
  <c r="AU129" i="9"/>
  <c r="W129" i="9" a="1"/>
  <c r="W129" i="9" s="1"/>
  <c r="Y129" i="9" a="1"/>
  <c r="Y129" i="9" s="1"/>
  <c r="Z129" i="9"/>
  <c r="AB129" i="9" a="1"/>
  <c r="AB129" i="9" s="1"/>
  <c r="U112" i="9" a="1"/>
  <c r="U112" i="9" s="1"/>
  <c r="Z112" i="9"/>
  <c r="Y112" i="9" a="1"/>
  <c r="Y112" i="9" s="1"/>
  <c r="V112" i="9" a="1"/>
  <c r="V112" i="9" s="1"/>
  <c r="AB112" i="9" a="1"/>
  <c r="AB112" i="9" s="1"/>
  <c r="AU112" i="9"/>
  <c r="S112" i="9" a="1"/>
  <c r="S112" i="9" s="1"/>
  <c r="AC112" i="9" s="1"/>
  <c r="T112" i="9" a="1"/>
  <c r="T112" i="9" s="1"/>
  <c r="X112" i="9" a="1"/>
  <c r="X112" i="9" s="1"/>
  <c r="W112" i="9" a="1"/>
  <c r="W112" i="9" s="1"/>
  <c r="Z218" i="9"/>
  <c r="S218" i="9" a="1"/>
  <c r="S218" i="9" s="1"/>
  <c r="AC218" i="9" s="1"/>
  <c r="U218" i="9" a="1"/>
  <c r="U218" i="9" s="1"/>
  <c r="X218" i="9" a="1"/>
  <c r="X218" i="9" s="1"/>
  <c r="W218" i="9" a="1"/>
  <c r="W218" i="9" s="1"/>
  <c r="AU218" i="9"/>
  <c r="Y218" i="9" a="1"/>
  <c r="Y218" i="9" s="1"/>
  <c r="T218" i="9" a="1"/>
  <c r="T218" i="9" s="1"/>
  <c r="V218" i="9" a="1"/>
  <c r="V218" i="9" s="1"/>
  <c r="AB218" i="9" a="1"/>
  <c r="AB218" i="9" s="1"/>
  <c r="T249" i="9" a="1"/>
  <c r="T249" i="9" s="1"/>
  <c r="W249" i="9" a="1"/>
  <c r="W249" i="9" s="1"/>
  <c r="U249" i="9" a="1"/>
  <c r="U249" i="9" s="1"/>
  <c r="V249" i="9" a="1"/>
  <c r="V249" i="9" s="1"/>
  <c r="AB249" i="9" a="1"/>
  <c r="AB249" i="9" s="1"/>
  <c r="X249" i="9" a="1"/>
  <c r="X249" i="9" s="1"/>
  <c r="Z249" i="9"/>
  <c r="S249" i="9" a="1"/>
  <c r="S249" i="9" s="1"/>
  <c r="AC249" i="9" s="1"/>
  <c r="AU249" i="9"/>
  <c r="Y249" i="9" a="1"/>
  <c r="Y249" i="9" s="1"/>
  <c r="AB24" i="9" a="1"/>
  <c r="S11" i="9" a="1"/>
  <c r="T12" i="9" a="1"/>
  <c r="W43" i="9" a="1"/>
  <c r="AB28" i="9" a="1"/>
  <c r="S37" i="9" a="1"/>
  <c r="U37" i="9" a="1"/>
  <c r="S17" i="9" a="1"/>
  <c r="U19" i="9" a="1"/>
  <c r="V36" i="9" a="1"/>
  <c r="X47" i="9" a="1"/>
  <c r="T23" i="9" a="1"/>
  <c r="X46" i="9" a="1"/>
  <c r="T9" i="9" a="1"/>
  <c r="U40" i="9" a="1"/>
  <c r="W14" i="9" a="1"/>
  <c r="T10" i="9" a="1"/>
  <c r="Y45" i="9" a="1"/>
  <c r="S45" i="9" a="1"/>
  <c r="W31" i="9" a="1"/>
  <c r="AB34" i="9" a="1"/>
  <c r="X15" i="9" a="1"/>
  <c r="T33" i="9" a="1"/>
  <c r="T29" i="9" a="1"/>
  <c r="X34" i="9" a="1"/>
  <c r="Y28" i="9" a="1"/>
  <c r="T14" i="9" a="1"/>
  <c r="AB33" i="9" a="1"/>
  <c r="W11" i="9" a="1"/>
  <c r="W12" i="9" a="1"/>
  <c r="AB42" i="9" a="1"/>
  <c r="AB43" i="9" a="1"/>
  <c r="AB37" i="9" a="1"/>
  <c r="V17" i="9" a="1"/>
  <c r="U18" i="9" a="1"/>
  <c r="X18" i="9" a="1"/>
  <c r="W36" i="9" a="1"/>
  <c r="AB36" i="9" a="1"/>
  <c r="U47" i="9" a="1"/>
  <c r="V23" i="9" a="1"/>
  <c r="X9" i="9" a="1"/>
  <c r="Y40" i="9" a="1"/>
  <c r="T8" i="9" a="1"/>
  <c r="U10" i="9" a="1"/>
  <c r="X45" i="9" a="1"/>
  <c r="T45" i="9" a="1"/>
  <c r="AB31" i="9" a="1"/>
  <c r="T30" i="9" a="1"/>
  <c r="X39" i="9" a="1"/>
  <c r="V15" i="9" a="1"/>
  <c r="S27" i="9" a="1"/>
  <c r="V29" i="9" a="1"/>
  <c r="Y48" i="9" a="1"/>
  <c r="S22" i="9" a="1"/>
  <c r="V33" i="9" a="1"/>
  <c r="U29" i="9" a="1"/>
  <c r="S29" i="9" a="1"/>
  <c r="W22" i="9" a="1"/>
  <c r="T24" i="9" a="1"/>
  <c r="AB17" i="9" a="1"/>
  <c r="V47" i="9" a="1"/>
  <c r="Y30" i="9" a="1"/>
  <c r="U34" i="9" a="1"/>
  <c r="X24" i="9" a="1"/>
  <c r="U11" i="9" a="1"/>
  <c r="S12" i="9" a="1"/>
  <c r="S28" i="9" a="1"/>
  <c r="Y17" i="9" a="1"/>
  <c r="U17" i="9" a="1"/>
  <c r="W18" i="9" a="1"/>
  <c r="X36" i="9" a="1"/>
  <c r="U36" i="9" a="1"/>
  <c r="AB47" i="9" a="1"/>
  <c r="U23" i="9" a="1"/>
  <c r="U9" i="9" a="1"/>
  <c r="T40" i="9" a="1"/>
  <c r="W40" i="9" a="1"/>
  <c r="X14" i="9" a="1"/>
  <c r="V8" i="9" a="1"/>
  <c r="Y10" i="9" a="1"/>
  <c r="U45" i="9" a="1"/>
  <c r="X31" i="9" a="1"/>
  <c r="S41" i="9" a="1"/>
  <c r="T34" i="9" a="1"/>
  <c r="Y15" i="9" a="1"/>
  <c r="S38" i="9" a="1"/>
  <c r="V12" i="9" a="1"/>
  <c r="W39" i="9" a="1"/>
  <c r="V24" i="9" a="1"/>
  <c r="Y11" i="9" a="1"/>
  <c r="Y12" i="9" a="1"/>
  <c r="Y43" i="9" a="1"/>
  <c r="T43" i="9" a="1"/>
  <c r="T28" i="9" a="1"/>
  <c r="V37" i="9" a="1"/>
  <c r="X17" i="9" a="1"/>
  <c r="T17" i="9" a="1"/>
  <c r="AB18" i="9" a="1"/>
  <c r="S16" i="9" a="1"/>
  <c r="S36" i="9" a="1"/>
  <c r="Y47" i="9" a="1"/>
  <c r="Y23" i="9" a="1"/>
  <c r="S23" i="9" a="1"/>
  <c r="S9" i="9" a="1"/>
  <c r="AB9" i="9" a="1"/>
  <c r="V40" i="9" a="1"/>
  <c r="S14" i="9" a="1"/>
  <c r="U14" i="9" a="1"/>
  <c r="Y8" i="9" a="1"/>
  <c r="X10" i="9" a="1"/>
  <c r="W45" i="9" a="1"/>
  <c r="V31" i="9" a="1"/>
  <c r="V30" i="9" a="1"/>
  <c r="AB30" i="9" a="1"/>
  <c r="Y41" i="9" a="1"/>
  <c r="AB39" i="9" a="1"/>
  <c r="W34" i="9" a="1"/>
  <c r="S15" i="9" a="1"/>
  <c r="X33" i="9" a="1"/>
  <c r="X27" i="9" a="1"/>
  <c r="AB29" i="9" a="1"/>
  <c r="W48" i="9" a="1"/>
  <c r="S26" i="9" a="1"/>
  <c r="Y22" i="9" a="1"/>
  <c r="S33" i="9" a="1"/>
  <c r="AB19" i="9" a="1"/>
  <c r="W16" i="9" a="1"/>
  <c r="V10" i="9" a="1"/>
  <c r="AB11" i="9" a="1"/>
  <c r="AB12" i="9" a="1"/>
  <c r="X43" i="9" a="1"/>
  <c r="V28" i="9" a="1"/>
  <c r="W37" i="9" a="1"/>
  <c r="W17" i="9" a="1"/>
  <c r="S19" i="9" a="1"/>
  <c r="T18" i="9" a="1"/>
  <c r="Y36" i="9" a="1"/>
  <c r="S47" i="9" a="1"/>
  <c r="W23" i="9" a="1"/>
  <c r="X40" i="9" a="1"/>
  <c r="AB14" i="9" a="1"/>
  <c r="Y14" i="9" a="1"/>
  <c r="W8" i="9" a="1"/>
  <c r="U31" i="9" a="1"/>
  <c r="X30" i="9" a="1"/>
  <c r="S30" i="9" a="1"/>
  <c r="U41" i="9" a="1"/>
  <c r="V39" i="9" a="1"/>
  <c r="V34" i="9" a="1"/>
  <c r="V38" i="9" a="1"/>
  <c r="W29" i="9" a="1"/>
  <c r="U28" i="9" a="1"/>
  <c r="Y18" i="9" a="1"/>
  <c r="S8" i="9" a="1"/>
  <c r="W41" i="9" a="1"/>
  <c r="W15" i="9" a="1"/>
  <c r="W33" i="9" a="1"/>
  <c r="Y24" i="9" a="1"/>
  <c r="U24" i="9" a="1"/>
  <c r="X12" i="9" a="1"/>
  <c r="S35" i="9" a="1"/>
  <c r="S43" i="9" a="1"/>
  <c r="X28" i="9" a="1"/>
  <c r="T37" i="9" a="1"/>
  <c r="V18" i="9" a="1"/>
  <c r="T16" i="9" a="1"/>
  <c r="T36" i="9" a="1"/>
  <c r="T47" i="9" a="1"/>
  <c r="AB23" i="9" a="1"/>
  <c r="Y9" i="9" a="1"/>
  <c r="S40" i="9" a="1"/>
  <c r="W10" i="9" a="1"/>
  <c r="V45" i="9" a="1"/>
  <c r="S31" i="9" a="1"/>
  <c r="T31" i="9" a="1"/>
  <c r="W30" i="9" a="1"/>
  <c r="V41" i="9" a="1"/>
  <c r="U39" i="9" a="1"/>
  <c r="Y34" i="9" a="1"/>
  <c r="S34" i="9" a="1"/>
  <c r="T15" i="9" a="1"/>
  <c r="U33" i="9" a="1"/>
  <c r="X29" i="9" a="1"/>
  <c r="W26" i="9" a="1"/>
  <c r="S39" i="9" a="1"/>
  <c r="AB15" i="9" a="1"/>
  <c r="Y33" i="9" a="1"/>
  <c r="S25" i="9" a="1"/>
  <c r="V43" i="9" a="1"/>
  <c r="X37" i="9" a="1"/>
  <c r="AB40" i="9" a="1"/>
  <c r="W24" i="9" a="1"/>
  <c r="S24" i="9" a="1"/>
  <c r="U12" i="9" a="1"/>
  <c r="U43" i="9" a="1"/>
  <c r="W28" i="9" a="1"/>
  <c r="Y37" i="9" a="1"/>
  <c r="V44" i="9" a="1"/>
  <c r="T19" i="9" a="1"/>
  <c r="S18" i="9" a="1"/>
  <c r="Y16" i="9" a="1"/>
  <c r="W47" i="9" a="1"/>
  <c r="X23" i="9" a="1"/>
  <c r="S32" i="9" a="1"/>
  <c r="W9" i="9" a="1"/>
  <c r="V14" i="9" a="1"/>
  <c r="S10" i="9" a="1"/>
  <c r="AB10" i="9" a="1"/>
  <c r="AB45" i="9" a="1"/>
  <c r="Y31" i="9" a="1"/>
  <c r="U30" i="9" a="1"/>
  <c r="T39" i="9" a="1"/>
  <c r="U15" i="9" a="1"/>
  <c r="Y29" i="9" a="1"/>
  <c r="U35" i="9" a="1"/>
  <c r="Y39" i="9" a="1"/>
  <c r="Y1" i="9" a="1"/>
  <c r="U2" i="9" a="1"/>
  <c r="W1" i="9" a="1"/>
  <c r="Y3" i="9" a="1"/>
  <c r="U1" i="9" a="1"/>
  <c r="W2" i="9" a="1"/>
  <c r="T5" i="9" a="1"/>
  <c r="X1" i="9" a="1"/>
  <c r="S7" i="9" a="1"/>
  <c r="T2" i="9" a="1"/>
  <c r="U5" i="9" a="1"/>
  <c r="AB3" i="9" a="1"/>
  <c r="V6" i="9" a="1"/>
  <c r="AB1" i="9" a="1"/>
  <c r="X7" i="9" a="1"/>
  <c r="U3" i="9" a="1"/>
  <c r="S3" i="9" a="1"/>
  <c r="T3" i="9" a="1"/>
  <c r="V1" i="9" a="1"/>
  <c r="AB5" i="9" a="1"/>
  <c r="W3" i="9" a="1"/>
  <c r="S6" i="9" a="1"/>
  <c r="Y6" i="9" a="1"/>
  <c r="T1" i="9" a="1"/>
  <c r="V3" i="9" a="1"/>
  <c r="Y7" i="9" a="1"/>
  <c r="Y2" i="9" a="1"/>
  <c r="V2" i="9" a="1"/>
  <c r="U6" i="9" a="1"/>
  <c r="Y5" i="9" a="1"/>
  <c r="S5" i="9" a="1"/>
  <c r="X3" i="9" a="1"/>
  <c r="U7" i="9" a="1"/>
  <c r="AB6" i="9" a="1"/>
  <c r="AB2" i="9" a="1"/>
  <c r="V5" i="9" a="1"/>
  <c r="T6" i="9" a="1"/>
  <c r="W5" i="9" a="1"/>
  <c r="X6" i="9" a="1"/>
  <c r="S2" i="9" a="1"/>
  <c r="X2" i="9" a="1"/>
  <c r="W7" i="9" a="1"/>
  <c r="S1" i="9" a="1"/>
  <c r="X5" i="9" a="1"/>
  <c r="W6" i="9" a="1"/>
  <c r="U88" i="9" l="1" a="1"/>
  <c r="U88" i="9" s="1"/>
  <c r="AB88" i="9" a="1"/>
  <c r="AB88" i="9" s="1"/>
  <c r="X88" i="9" a="1"/>
  <c r="X88" i="9" s="1"/>
  <c r="T88" i="9" a="1"/>
  <c r="T88" i="9" s="1"/>
  <c r="V88" i="9" a="1"/>
  <c r="V88" i="9" s="1"/>
  <c r="Y88" i="9" a="1"/>
  <c r="Y88" i="9" s="1"/>
  <c r="S88" i="9" a="1"/>
  <c r="S88" i="9" s="1"/>
  <c r="AC88" i="9" s="1"/>
  <c r="AU88" i="9"/>
  <c r="W88" i="9" a="1"/>
  <c r="W88" i="9" s="1"/>
  <c r="Z88" i="9"/>
  <c r="S68" i="9" a="1"/>
  <c r="S68" i="9" s="1"/>
  <c r="AC68" i="9" s="1"/>
  <c r="AB68" i="9" a="1"/>
  <c r="AB68" i="9" s="1"/>
  <c r="V68" i="9" a="1"/>
  <c r="V68" i="9" s="1"/>
  <c r="Y68" i="9" a="1"/>
  <c r="Y68" i="9" s="1"/>
  <c r="U68" i="9" a="1"/>
  <c r="U68" i="9" s="1"/>
  <c r="T68" i="9" a="1"/>
  <c r="T68" i="9" s="1"/>
  <c r="W68" i="9" a="1"/>
  <c r="W68" i="9" s="1"/>
  <c r="AU68" i="9"/>
  <c r="Z68" i="9"/>
  <c r="X68" i="9" a="1"/>
  <c r="X68" i="9" s="1"/>
  <c r="W229" i="9" a="1"/>
  <c r="W229" i="9" s="1"/>
  <c r="AA229" i="9" s="1"/>
  <c r="X229" i="9" a="1"/>
  <c r="X229" i="9" s="1"/>
  <c r="V229" i="9" a="1"/>
  <c r="V229" i="9" s="1"/>
  <c r="U229" i="9" a="1"/>
  <c r="U229" i="9" s="1"/>
  <c r="Y229" i="9" a="1"/>
  <c r="Y229" i="9" s="1"/>
  <c r="T229" i="9" a="1"/>
  <c r="T229" i="9" s="1"/>
  <c r="AU229" i="9"/>
  <c r="AB229" i="9" a="1"/>
  <c r="AB229" i="9" s="1"/>
  <c r="S229" i="9" a="1"/>
  <c r="S229" i="9" s="1"/>
  <c r="AC229" i="9" s="1"/>
  <c r="Z229" i="9"/>
  <c r="W243" i="9" a="1"/>
  <c r="W243" i="9" s="1"/>
  <c r="X243" i="9" a="1"/>
  <c r="X243" i="9" s="1"/>
  <c r="S243" i="9" a="1"/>
  <c r="S243" i="9" s="1"/>
  <c r="AC243" i="9" s="1"/>
  <c r="T243" i="9" a="1"/>
  <c r="T243" i="9" s="1"/>
  <c r="V243" i="9" a="1"/>
  <c r="V243" i="9" s="1"/>
  <c r="Y243" i="9" a="1"/>
  <c r="Y243" i="9" s="1"/>
  <c r="U243" i="9" a="1"/>
  <c r="U243" i="9" s="1"/>
  <c r="AB243" i="9" a="1"/>
  <c r="AB243" i="9" s="1"/>
  <c r="AU243" i="9"/>
  <c r="Z243" i="9"/>
  <c r="AA54" i="9"/>
  <c r="AA163" i="9"/>
  <c r="AA217" i="9"/>
  <c r="AA246" i="9"/>
  <c r="AA214" i="9"/>
  <c r="AA213" i="9"/>
  <c r="AA230" i="9"/>
  <c r="AA210" i="9"/>
  <c r="AA238" i="9"/>
  <c r="AA57" i="9"/>
  <c r="AA133" i="9"/>
  <c r="AA169" i="9"/>
  <c r="AA191" i="9"/>
  <c r="AA180" i="9"/>
  <c r="AA203" i="9"/>
  <c r="AA192" i="9"/>
  <c r="AA97" i="9"/>
  <c r="AA196" i="9"/>
  <c r="AA215" i="9"/>
  <c r="AA114" i="9"/>
  <c r="AA175" i="9"/>
  <c r="AA73" i="9"/>
  <c r="AA146" i="9"/>
  <c r="AA249" i="9"/>
  <c r="AA81" i="9"/>
  <c r="AA84" i="9"/>
  <c r="AA64" i="9"/>
  <c r="AA227" i="9"/>
  <c r="AA173" i="9"/>
  <c r="AA67" i="9"/>
  <c r="AA205" i="9"/>
  <c r="AA245" i="9"/>
  <c r="AA142" i="9"/>
  <c r="AA55" i="9"/>
  <c r="AA130" i="9"/>
  <c r="AA157" i="9"/>
  <c r="AA89" i="9"/>
  <c r="Y39" i="9"/>
  <c r="X5" i="9"/>
  <c r="U35" i="9"/>
  <c r="V2" i="9"/>
  <c r="Y29" i="9"/>
  <c r="S3" i="9"/>
  <c r="AC3" i="9" s="1"/>
  <c r="AU3" i="9" s="1"/>
  <c r="U15" i="9"/>
  <c r="T39" i="9"/>
  <c r="U30" i="9"/>
  <c r="S1" i="9"/>
  <c r="AC1" i="9" s="1"/>
  <c r="AU1" i="9" s="1"/>
  <c r="Y31" i="9"/>
  <c r="AB45" i="9"/>
  <c r="AB10" i="9"/>
  <c r="S10" i="9"/>
  <c r="AC10" i="9" s="1"/>
  <c r="AU10" i="9" s="1"/>
  <c r="V14" i="9"/>
  <c r="W9" i="9"/>
  <c r="S32" i="9"/>
  <c r="AC32" i="9" s="1"/>
  <c r="AU32" i="9" s="1"/>
  <c r="W7" i="9"/>
  <c r="X23" i="9"/>
  <c r="W47" i="9"/>
  <c r="AB5" i="9"/>
  <c r="Y16" i="9"/>
  <c r="S18" i="9"/>
  <c r="AC18" i="9" s="1"/>
  <c r="AU18" i="9" s="1"/>
  <c r="T19" i="9"/>
  <c r="V44" i="9"/>
  <c r="Y37" i="9"/>
  <c r="W28" i="9"/>
  <c r="U43" i="9"/>
  <c r="U12" i="9"/>
  <c r="S24" i="9"/>
  <c r="AC24" i="9" s="1"/>
  <c r="AU24" i="9" s="1"/>
  <c r="W24" i="9"/>
  <c r="W2" i="9"/>
  <c r="AB40" i="9"/>
  <c r="X37" i="9"/>
  <c r="V43" i="9"/>
  <c r="Y2" i="9"/>
  <c r="S25" i="9"/>
  <c r="AC25" i="9" s="1"/>
  <c r="AU25" i="9" s="1"/>
  <c r="Y33" i="9"/>
  <c r="V6" i="9"/>
  <c r="AB15" i="9"/>
  <c r="S39" i="9"/>
  <c r="AC39" i="9" s="1"/>
  <c r="AU39" i="9" s="1"/>
  <c r="X2" i="9"/>
  <c r="W26" i="9"/>
  <c r="X29" i="9"/>
  <c r="U33" i="9"/>
  <c r="U3" i="9"/>
  <c r="AB3" i="9"/>
  <c r="T15" i="9"/>
  <c r="S34" i="9"/>
  <c r="AC34" i="9" s="1"/>
  <c r="AU34" i="9" s="1"/>
  <c r="Y34" i="9"/>
  <c r="U39" i="9"/>
  <c r="V41" i="9"/>
  <c r="W30" i="9"/>
  <c r="T31" i="9"/>
  <c r="S31" i="9"/>
  <c r="AC31" i="9" s="1"/>
  <c r="AU31" i="9" s="1"/>
  <c r="V45" i="9"/>
  <c r="W10" i="9"/>
  <c r="S40" i="9"/>
  <c r="AC40" i="9" s="1"/>
  <c r="AU40" i="9" s="1"/>
  <c r="Y9" i="9"/>
  <c r="Y7" i="9"/>
  <c r="AB23" i="9"/>
  <c r="T47" i="9"/>
  <c r="T5" i="9"/>
  <c r="T36" i="9"/>
  <c r="T16" i="9"/>
  <c r="V18" i="9"/>
  <c r="T37" i="9"/>
  <c r="X28" i="9"/>
  <c r="S43" i="9"/>
  <c r="AC43" i="9" s="1"/>
  <c r="S35" i="9"/>
  <c r="AC35" i="9" s="1"/>
  <c r="AU35" i="9" s="1"/>
  <c r="X12" i="9"/>
  <c r="U24" i="9"/>
  <c r="Y24" i="9"/>
  <c r="W33" i="9"/>
  <c r="W15" i="9"/>
  <c r="W41" i="9"/>
  <c r="V1" i="9"/>
  <c r="S8" i="9"/>
  <c r="AC8" i="9" s="1"/>
  <c r="AU8" i="9" s="1"/>
  <c r="Y18" i="9"/>
  <c r="U28" i="9"/>
  <c r="W29" i="9"/>
  <c r="V38" i="9"/>
  <c r="V34" i="9"/>
  <c r="V39" i="9"/>
  <c r="U41" i="9"/>
  <c r="S30" i="9"/>
  <c r="AC30" i="9" s="1"/>
  <c r="AU30" i="9" s="1"/>
  <c r="X30" i="9"/>
  <c r="U1" i="9"/>
  <c r="U31" i="9"/>
  <c r="W8" i="9"/>
  <c r="Y14" i="9"/>
  <c r="AB14" i="9"/>
  <c r="X40" i="9"/>
  <c r="X7" i="9"/>
  <c r="W23" i="9"/>
  <c r="S47" i="9"/>
  <c r="AC47" i="9" s="1"/>
  <c r="Y5" i="9"/>
  <c r="Y36" i="9"/>
  <c r="T18" i="9"/>
  <c r="S19" i="9"/>
  <c r="AC19" i="9" s="1"/>
  <c r="AU19" i="9" s="1"/>
  <c r="W17" i="9"/>
  <c r="W37" i="9"/>
  <c r="V28" i="9"/>
  <c r="X43" i="9"/>
  <c r="AB12" i="9"/>
  <c r="AB11" i="9"/>
  <c r="AB2" i="9"/>
  <c r="V3" i="9"/>
  <c r="V10" i="9"/>
  <c r="W16" i="9"/>
  <c r="Z16" i="9" s="1"/>
  <c r="AB19" i="9"/>
  <c r="S33" i="9"/>
  <c r="AC33" i="9" s="1"/>
  <c r="AU33" i="9" s="1"/>
  <c r="U6" i="9"/>
  <c r="S2" i="9"/>
  <c r="AC2" i="9" s="1"/>
  <c r="AU2" i="9" s="1"/>
  <c r="Y22" i="9"/>
  <c r="S26" i="9"/>
  <c r="AC26" i="9" s="1"/>
  <c r="AU26" i="9" s="1"/>
  <c r="W48" i="9"/>
  <c r="AB29" i="9"/>
  <c r="X27" i="9"/>
  <c r="X33" i="9"/>
  <c r="T3" i="9"/>
  <c r="X6" i="9"/>
  <c r="AB6" i="9"/>
  <c r="S15" i="9"/>
  <c r="AC15" i="9" s="1"/>
  <c r="AU15" i="9" s="1"/>
  <c r="W34" i="9"/>
  <c r="AB39" i="9"/>
  <c r="Y41" i="9"/>
  <c r="AB30" i="9"/>
  <c r="V30" i="9"/>
  <c r="V31" i="9"/>
  <c r="W45" i="9"/>
  <c r="X10" i="9"/>
  <c r="Y8" i="9"/>
  <c r="U14" i="9"/>
  <c r="S14" i="9"/>
  <c r="AC14" i="9" s="1"/>
  <c r="AU14" i="9" s="1"/>
  <c r="V40" i="9"/>
  <c r="AB9" i="9"/>
  <c r="S9" i="9"/>
  <c r="AC9" i="9" s="1"/>
  <c r="AU9" i="9" s="1"/>
  <c r="U7" i="9"/>
  <c r="S23" i="9"/>
  <c r="AC23" i="9" s="1"/>
  <c r="AU23" i="9" s="1"/>
  <c r="Y23" i="9"/>
  <c r="Y47" i="9"/>
  <c r="U5" i="9"/>
  <c r="S36" i="9"/>
  <c r="AC36" i="9" s="1"/>
  <c r="AU36" i="9" s="1"/>
  <c r="S16" i="9"/>
  <c r="AC16" i="9" s="1"/>
  <c r="AU16" i="9" s="1"/>
  <c r="AB18" i="9"/>
  <c r="T17" i="9"/>
  <c r="X17" i="9"/>
  <c r="V37" i="9"/>
  <c r="T28" i="9"/>
  <c r="T43" i="9"/>
  <c r="Y43" i="9"/>
  <c r="Y12" i="9"/>
  <c r="Y11" i="9"/>
  <c r="V24" i="9"/>
  <c r="T1" i="9"/>
  <c r="W39" i="9"/>
  <c r="V12" i="9"/>
  <c r="T2" i="9"/>
  <c r="Y3" i="9"/>
  <c r="W6" i="9"/>
  <c r="S38" i="9"/>
  <c r="AC38" i="9" s="1"/>
  <c r="AU38" i="9" s="1"/>
  <c r="Y15" i="9"/>
  <c r="T34" i="9"/>
  <c r="S41" i="9"/>
  <c r="AB1" i="9"/>
  <c r="X31" i="9"/>
  <c r="U45" i="9"/>
  <c r="Y10" i="9"/>
  <c r="V8" i="9"/>
  <c r="X14" i="9"/>
  <c r="W40" i="9"/>
  <c r="T40" i="9"/>
  <c r="U9" i="9"/>
  <c r="S7" i="9"/>
  <c r="AC7" i="9" s="1"/>
  <c r="AU7" i="9" s="1"/>
  <c r="U23" i="9"/>
  <c r="AB47" i="9"/>
  <c r="W5" i="9"/>
  <c r="U36" i="9"/>
  <c r="X36" i="9"/>
  <c r="W18" i="9"/>
  <c r="U17" i="9"/>
  <c r="Y17" i="9"/>
  <c r="S28" i="9"/>
  <c r="AC28" i="9" s="1"/>
  <c r="AU28" i="9" s="1"/>
  <c r="S12" i="9"/>
  <c r="AC12" i="9" s="1"/>
  <c r="AU12" i="9" s="1"/>
  <c r="U11" i="9"/>
  <c r="X24" i="9"/>
  <c r="Y6" i="9"/>
  <c r="U34" i="9"/>
  <c r="Y30" i="9"/>
  <c r="V47" i="9"/>
  <c r="AB17" i="9"/>
  <c r="T24" i="9"/>
  <c r="T6" i="9"/>
  <c r="W22" i="9"/>
  <c r="Z22" i="9" s="1"/>
  <c r="S29" i="9"/>
  <c r="AC29" i="9" s="1"/>
  <c r="AU29" i="9" s="1"/>
  <c r="U29" i="9"/>
  <c r="V33" i="9"/>
  <c r="S22" i="9"/>
  <c r="AC22" i="9" s="1"/>
  <c r="AU22" i="9" s="1"/>
  <c r="Y48" i="9"/>
  <c r="V29" i="9"/>
  <c r="S27" i="9"/>
  <c r="AC27" i="9" s="1"/>
  <c r="AU27" i="9" s="1"/>
  <c r="X3" i="9"/>
  <c r="S6" i="9"/>
  <c r="AC6" i="9" s="1"/>
  <c r="AU6" i="9" s="1"/>
  <c r="V15" i="9"/>
  <c r="X39" i="9"/>
  <c r="T30" i="9"/>
  <c r="W1" i="9"/>
  <c r="AB31" i="9"/>
  <c r="T45" i="9"/>
  <c r="X45" i="9"/>
  <c r="U10" i="9"/>
  <c r="T8" i="9"/>
  <c r="Y40" i="9"/>
  <c r="X9" i="9"/>
  <c r="V23" i="9"/>
  <c r="U47" i="9"/>
  <c r="V5" i="9"/>
  <c r="AB36" i="9"/>
  <c r="W36" i="9"/>
  <c r="X18" i="9"/>
  <c r="U18" i="9"/>
  <c r="V17" i="9"/>
  <c r="AB37" i="9"/>
  <c r="AB43" i="9"/>
  <c r="AB42" i="9"/>
  <c r="W12" i="9"/>
  <c r="W11" i="9"/>
  <c r="AB33" i="9"/>
  <c r="T14" i="9"/>
  <c r="Y28" i="9"/>
  <c r="U2" i="9"/>
  <c r="X34" i="9"/>
  <c r="T29" i="9"/>
  <c r="T33" i="9"/>
  <c r="W3" i="9"/>
  <c r="X15" i="9"/>
  <c r="AB34" i="9"/>
  <c r="X1" i="9"/>
  <c r="Y1" i="9"/>
  <c r="W31" i="9"/>
  <c r="S45" i="9"/>
  <c r="AC45" i="9" s="1"/>
  <c r="Y45" i="9"/>
  <c r="T10" i="9"/>
  <c r="W14" i="9"/>
  <c r="U40" i="9"/>
  <c r="T9" i="9"/>
  <c r="X46" i="9"/>
  <c r="T23" i="9"/>
  <c r="X47" i="9"/>
  <c r="S5" i="9"/>
  <c r="AC5" i="9" s="1"/>
  <c r="AU5" i="9" s="1"/>
  <c r="V36" i="9"/>
  <c r="U19" i="9"/>
  <c r="S17" i="9"/>
  <c r="AC17" i="9" s="1"/>
  <c r="AU17" i="9" s="1"/>
  <c r="U37" i="9"/>
  <c r="S37" i="9"/>
  <c r="AC37" i="9" s="1"/>
  <c r="AU37" i="9" s="1"/>
  <c r="AB28" i="9"/>
  <c r="W43" i="9"/>
  <c r="T12" i="9"/>
  <c r="S11" i="9"/>
  <c r="AC11" i="9" s="1"/>
  <c r="AU11" i="9" s="1"/>
  <c r="AB24" i="9"/>
  <c r="AA129" i="9"/>
  <c r="AA234" i="9"/>
  <c r="AA200" i="9"/>
  <c r="AA190" i="9"/>
  <c r="AA104" i="9"/>
  <c r="AA126" i="9"/>
  <c r="AA90" i="9"/>
  <c r="AA69" i="9"/>
  <c r="AA86" i="9"/>
  <c r="AA134" i="9"/>
  <c r="AA56" i="9"/>
  <c r="AA106" i="9"/>
  <c r="AA82" i="9"/>
  <c r="AA115" i="9"/>
  <c r="AA189" i="9"/>
  <c r="AA262" i="9"/>
  <c r="AA160" i="9"/>
  <c r="AA137" i="9"/>
  <c r="AA21" i="9"/>
  <c r="Z21" i="9"/>
  <c r="AA4" i="9"/>
  <c r="Z4" i="9"/>
  <c r="AA112" i="9"/>
  <c r="AA172" i="9"/>
  <c r="AA98" i="9"/>
  <c r="AA222" i="9"/>
  <c r="AA58" i="9"/>
  <c r="AA223" i="9"/>
  <c r="AA168" i="9"/>
  <c r="AA174" i="9"/>
  <c r="AA165" i="9"/>
  <c r="AA153" i="9"/>
  <c r="AA50" i="9"/>
  <c r="AA135" i="9"/>
  <c r="AA49" i="9"/>
  <c r="AA259" i="9"/>
  <c r="AA122" i="9"/>
  <c r="AA145" i="9"/>
  <c r="AA199" i="9"/>
  <c r="AA202" i="9"/>
  <c r="AA182" i="9"/>
  <c r="AA124" i="9"/>
  <c r="AA225" i="9"/>
  <c r="AA121" i="9"/>
  <c r="AA236" i="9"/>
  <c r="AA218" i="9"/>
  <c r="AA261" i="9"/>
  <c r="AA151" i="9"/>
  <c r="AA83" i="9"/>
  <c r="AA184" i="9"/>
  <c r="AA204" i="9"/>
  <c r="AA118" i="9"/>
  <c r="AA228" i="9"/>
  <c r="AA116" i="9"/>
  <c r="AA107" i="9"/>
  <c r="AA201" i="9"/>
  <c r="AA52" i="9"/>
  <c r="AA20" i="9"/>
  <c r="Z20" i="9"/>
  <c r="AB4" i="9" a="1"/>
  <c r="T4" i="9" a="1"/>
  <c r="AA243" i="9" l="1"/>
  <c r="AA68" i="9"/>
  <c r="AA88" i="9"/>
  <c r="AA7" i="9"/>
  <c r="AF7" i="9"/>
  <c r="AJ4" i="9"/>
  <c r="AO6" i="9"/>
  <c r="T4" i="9"/>
  <c r="AG1" i="9" s="1"/>
  <c r="AB4" i="9"/>
  <c r="AA43" i="9"/>
  <c r="Z43" i="9"/>
  <c r="AL4" i="9"/>
  <c r="AA23" i="9"/>
  <c r="Z23" i="9"/>
  <c r="AM25" i="9" s="1"/>
  <c r="AA24" i="9"/>
  <c r="Z24" i="9"/>
  <c r="AA37" i="9"/>
  <c r="Z37" i="9"/>
  <c r="AA14" i="9"/>
  <c r="Z14" i="9"/>
  <c r="AA18" i="9"/>
  <c r="AN18" i="9" s="1"/>
  <c r="Z18" i="9"/>
  <c r="AA39" i="9"/>
  <c r="Z39" i="9"/>
  <c r="AA34" i="9"/>
  <c r="Z34" i="9"/>
  <c r="Z48" i="9"/>
  <c r="AA17" i="9"/>
  <c r="Z17" i="9"/>
  <c r="AM17" i="9" s="1"/>
  <c r="AA30" i="9"/>
  <c r="Z30" i="9"/>
  <c r="AA1" i="9"/>
  <c r="AN1" i="9" s="1"/>
  <c r="Z1" i="9"/>
  <c r="AA9" i="9"/>
  <c r="Z9" i="9"/>
  <c r="AA41" i="9"/>
  <c r="Z41" i="9"/>
  <c r="AM41" i="9" s="1"/>
  <c r="AA47" i="9"/>
  <c r="Z47" i="9"/>
  <c r="AA2" i="9"/>
  <c r="Z2" i="9"/>
  <c r="AA3" i="9"/>
  <c r="Z3" i="9"/>
  <c r="AA36" i="9"/>
  <c r="Z36" i="9"/>
  <c r="AA40" i="9"/>
  <c r="Z40" i="9"/>
  <c r="AA12" i="9"/>
  <c r="Z12" i="9"/>
  <c r="AA45" i="9"/>
  <c r="Z45" i="9"/>
  <c r="AA15" i="9"/>
  <c r="Z15" i="9"/>
  <c r="AM15" i="9" s="1"/>
  <c r="AA28" i="9"/>
  <c r="Z28" i="9"/>
  <c r="AA5" i="9"/>
  <c r="AN5" i="9" s="1"/>
  <c r="Z5" i="9"/>
  <c r="Z8" i="9"/>
  <c r="AA33" i="9"/>
  <c r="Z33" i="9"/>
  <c r="AO5" i="9"/>
  <c r="AJ14" i="9"/>
  <c r="AF25" i="9"/>
  <c r="AE24" i="9"/>
  <c r="AL60" i="9"/>
  <c r="AK79" i="9"/>
  <c r="AG25" i="9"/>
  <c r="AG34" i="9"/>
  <c r="AP139" i="9"/>
  <c r="AJ1" i="9"/>
  <c r="AH4" i="9"/>
  <c r="AH11" i="9"/>
  <c r="AH43" i="9"/>
  <c r="AJ81" i="9"/>
  <c r="AI20" i="9"/>
  <c r="AK1" i="9"/>
  <c r="AO75" i="9"/>
  <c r="AK25" i="9"/>
  <c r="AD2" i="9"/>
  <c r="AE14" i="9"/>
  <c r="AK30" i="9"/>
  <c r="AJ53" i="9"/>
  <c r="AH1" i="9"/>
  <c r="AD55" i="9"/>
  <c r="AK7" i="9"/>
  <c r="AD16" i="9"/>
  <c r="AN15" i="9"/>
  <c r="AL15" i="9"/>
  <c r="AD31" i="9"/>
  <c r="AK54" i="9"/>
  <c r="AG58" i="9"/>
  <c r="AL55" i="9"/>
  <c r="AO25" i="9"/>
  <c r="AJ25" i="9"/>
  <c r="AL25" i="9"/>
  <c r="AD82" i="9"/>
  <c r="AJ11" i="9"/>
  <c r="AO2" i="9"/>
  <c r="AH7" i="9"/>
  <c r="AN33" i="9"/>
  <c r="AM56" i="9"/>
  <c r="AF2" i="9"/>
  <c r="AE25" i="9"/>
  <c r="AG50" i="9"/>
  <c r="AL31" i="9"/>
  <c r="AL3" i="9"/>
  <c r="AJ9" i="9"/>
  <c r="AN57" i="9"/>
  <c r="AO42" i="9"/>
  <c r="AN25" i="9"/>
  <c r="AH25" i="9"/>
  <c r="AD8" i="9"/>
  <c r="AM9" i="9"/>
  <c r="AP43" i="9"/>
  <c r="AJ29" i="9"/>
  <c r="AL61" i="9"/>
  <c r="AG72" i="9"/>
  <c r="AK2" i="9"/>
  <c r="AO3" i="9"/>
  <c r="AL7" i="9"/>
  <c r="AM2" i="9"/>
  <c r="AK4" i="9"/>
  <c r="AE8" i="9"/>
  <c r="AE2" i="9"/>
  <c r="AJ2" i="9"/>
  <c r="AN9" i="9"/>
  <c r="AE6" i="9"/>
  <c r="AH2" i="9"/>
  <c r="AD5" i="9"/>
  <c r="AF10" i="9"/>
  <c r="AI2" i="9"/>
  <c r="AL2" i="9"/>
  <c r="AG2" i="9"/>
  <c r="AD23" i="9"/>
  <c r="AH35" i="9"/>
  <c r="AD64" i="9"/>
  <c r="AP3" i="9"/>
  <c r="AH10" i="9"/>
  <c r="AL11" i="9"/>
  <c r="AK22" i="9"/>
  <c r="AO34" i="9"/>
  <c r="AL59" i="9"/>
  <c r="AG10" i="9"/>
  <c r="AO10" i="9"/>
  <c r="AM65" i="9"/>
  <c r="AJ21" i="9"/>
  <c r="AK68" i="9"/>
  <c r="AO58" i="9"/>
  <c r="AK10" i="9"/>
  <c r="AE12" i="9"/>
  <c r="AI44" i="9"/>
  <c r="AK77" i="9"/>
  <c r="AD3" i="9"/>
  <c r="AE10" i="9"/>
  <c r="AL10" i="9"/>
  <c r="AJ10" i="9"/>
  <c r="AK14" i="9"/>
  <c r="AO50" i="9"/>
  <c r="AD103" i="9"/>
  <c r="AN109" i="9"/>
  <c r="AM1" i="9"/>
  <c r="AF5" i="9"/>
  <c r="AE16" i="9"/>
  <c r="AH51" i="9"/>
  <c r="AM24" i="9"/>
  <c r="AE17" i="9"/>
  <c r="AJ5" i="9"/>
  <c r="AG16" i="9"/>
  <c r="AH5" i="9"/>
  <c r="AL5" i="9"/>
  <c r="AO11" i="9"/>
  <c r="AF18" i="9"/>
  <c r="AE5" i="9"/>
  <c r="AN7" i="9"/>
  <c r="AH12" i="9"/>
  <c r="AG6" i="9"/>
  <c r="AD13" i="9"/>
  <c r="AG8" i="9"/>
  <c r="AM5" i="9"/>
  <c r="AK5" i="9"/>
  <c r="AP9" i="9"/>
  <c r="AG5" i="9"/>
  <c r="AM14" i="9"/>
  <c r="AH18" i="9"/>
  <c r="AG26" i="9"/>
  <c r="AM18" i="9"/>
  <c r="AP35" i="9"/>
  <c r="AJ18" i="9"/>
  <c r="AE48" i="9"/>
  <c r="AF49" i="9"/>
  <c r="AK18" i="9"/>
  <c r="AE18" i="9"/>
  <c r="AG19" i="9"/>
  <c r="AO18" i="9"/>
  <c r="AL18" i="9"/>
  <c r="AG18" i="9"/>
  <c r="AL23" i="9"/>
  <c r="AF74" i="9"/>
  <c r="AP51" i="9"/>
  <c r="AO64" i="9"/>
  <c r="AI70" i="9"/>
  <c r="AI8" i="9"/>
  <c r="AI13" i="9"/>
  <c r="AI10" i="9"/>
  <c r="AF17" i="9"/>
  <c r="AE86" i="9"/>
  <c r="AE3" i="9"/>
  <c r="AL16" i="9"/>
  <c r="AP7" i="9"/>
  <c r="AN4" i="9"/>
  <c r="AJ6" i="9"/>
  <c r="AP11" i="9"/>
  <c r="AI12" i="9"/>
  <c r="AE94" i="9"/>
  <c r="AO17" i="9"/>
  <c r="AI36" i="9"/>
  <c r="AG3" i="9"/>
  <c r="AK12" i="9"/>
  <c r="AM16" i="9"/>
  <c r="AF41" i="9"/>
  <c r="AH19" i="9"/>
  <c r="AJ13" i="9"/>
  <c r="AJ17" i="9"/>
  <c r="AK17" i="9"/>
  <c r="AJ45" i="9"/>
  <c r="AP4" i="9"/>
  <c r="AO26" i="9"/>
  <c r="AI5" i="9"/>
  <c r="AO19" i="9"/>
  <c r="AE40" i="9"/>
  <c r="AM88" i="9"/>
  <c r="AP27" i="9"/>
  <c r="AL8" i="9"/>
  <c r="AN17" i="9"/>
  <c r="AH17" i="9"/>
  <c r="AM48" i="9"/>
  <c r="AK6" i="9"/>
  <c r="AE9" i="9"/>
  <c r="AI17" i="9"/>
  <c r="AL17" i="9"/>
  <c r="AK46" i="9"/>
  <c r="AN49" i="9"/>
  <c r="AD15" i="9"/>
  <c r="AH27" i="9"/>
  <c r="AD47" i="9"/>
  <c r="AL66" i="9"/>
  <c r="AG17" i="9"/>
  <c r="AP1" i="9"/>
  <c r="AI41" i="9"/>
  <c r="AE1" i="9"/>
  <c r="AM8" i="9"/>
  <c r="AH3" i="9"/>
  <c r="AF9" i="9"/>
  <c r="AN41" i="9"/>
  <c r="AJ67" i="9"/>
  <c r="AH76" i="9"/>
  <c r="AD7" i="9"/>
  <c r="AE41" i="9"/>
  <c r="AH41" i="9"/>
  <c r="AO91" i="9"/>
  <c r="AJ41" i="9"/>
  <c r="AL47" i="9"/>
  <c r="AK84" i="9"/>
  <c r="AL41" i="9"/>
  <c r="AL200" i="9"/>
  <c r="AE4" i="9"/>
  <c r="AO9" i="9"/>
  <c r="AF15" i="9"/>
  <c r="AG9" i="9"/>
  <c r="AL9" i="9"/>
  <c r="AD11" i="9"/>
  <c r="AL13" i="9"/>
  <c r="AM12" i="9"/>
  <c r="AK9" i="9"/>
  <c r="AH9" i="9"/>
  <c r="AF115" i="9"/>
  <c r="AJ15" i="9"/>
  <c r="AE130" i="9"/>
  <c r="AH15" i="9"/>
  <c r="AO15" i="9"/>
  <c r="AO92" i="9"/>
  <c r="AK15" i="9"/>
  <c r="AO16" i="9"/>
  <c r="AK38" i="9"/>
  <c r="AF1" i="9"/>
  <c r="AP19" i="9"/>
  <c r="AD39" i="9"/>
  <c r="AJ37" i="9"/>
  <c r="AE15" i="9"/>
  <c r="AM40" i="9"/>
  <c r="AI52" i="9"/>
  <c r="AG15" i="9"/>
  <c r="AI28" i="9"/>
  <c r="AK63" i="9"/>
  <c r="AI1" i="9"/>
  <c r="AL1" i="9"/>
  <c r="AJ3" i="9"/>
  <c r="AF4" i="9"/>
  <c r="AO1" i="9"/>
  <c r="AA31" i="9"/>
  <c r="Z31" i="9"/>
  <c r="AA6" i="9"/>
  <c r="Z6" i="9"/>
  <c r="AM6" i="9" s="1"/>
  <c r="AA29" i="9"/>
  <c r="Z29" i="9"/>
  <c r="AM32" i="9" s="1"/>
  <c r="AA10" i="9"/>
  <c r="AN10" i="9" s="1"/>
  <c r="Z10" i="9"/>
  <c r="AM10" i="9" s="1"/>
  <c r="AE7" i="9"/>
  <c r="AJ7" i="9"/>
  <c r="Z7" i="9"/>
  <c r="AM7" i="9" s="1"/>
  <c r="AP12" i="9"/>
  <c r="AE32" i="9"/>
  <c r="AF33" i="9"/>
  <c r="T11" i="9" a="1"/>
  <c r="AB8" i="9" a="1"/>
  <c r="AG1" i="10" a="1"/>
  <c r="C33" i="10" a="1"/>
  <c r="T7" i="9" a="1"/>
  <c r="J9" i="10" a="1"/>
  <c r="R9" i="10" a="1"/>
  <c r="C17" i="10" a="1"/>
  <c r="BK1" i="10" a="1"/>
  <c r="J1" i="10" a="1"/>
  <c r="CV1" i="10" a="1"/>
  <c r="R17" i="10" a="1"/>
  <c r="Y17" i="10" a="1"/>
  <c r="C25" i="10" a="1"/>
  <c r="AB7" i="9" a="1"/>
  <c r="C1" i="10" a="1"/>
  <c r="J33" i="10" a="1"/>
  <c r="AG33" i="10" a="1"/>
  <c r="AV17" i="10" a="1"/>
  <c r="AN2" i="9" l="1"/>
  <c r="AM3" i="9"/>
  <c r="AM4" i="9"/>
  <c r="C25" i="10"/>
  <c r="AB8" i="9"/>
  <c r="AO8" i="9" s="1"/>
  <c r="C1" i="10"/>
  <c r="Y17" i="10"/>
  <c r="C17" i="10"/>
  <c r="J1" i="10"/>
  <c r="J9" i="10"/>
  <c r="R9" i="10"/>
  <c r="T7" i="9"/>
  <c r="C33" i="10"/>
  <c r="AB7" i="9"/>
  <c r="R17" i="10"/>
  <c r="CV1" i="10"/>
  <c r="BK1" i="10"/>
  <c r="T11" i="9"/>
  <c r="AG11" i="9" s="1"/>
  <c r="AV17" i="10"/>
  <c r="J33" i="10"/>
  <c r="AG1" i="10"/>
  <c r="AG33" i="10"/>
  <c r="AF33" i="10" s="1"/>
  <c r="AE33" i="9"/>
  <c r="AJ33" i="9"/>
  <c r="AH33" i="9"/>
  <c r="AM33" i="9"/>
  <c r="AL33" i="9"/>
  <c r="AG33" i="9"/>
  <c r="AK33" i="9"/>
  <c r="AO33" i="9"/>
  <c r="AL39" i="9"/>
  <c r="AE56" i="9"/>
  <c r="AF57" i="9"/>
  <c r="D31" i="10" a="1"/>
  <c r="F28" i="10" a="1"/>
  <c r="C30" i="10" a="1"/>
  <c r="F26" i="10" a="1"/>
  <c r="F30" i="10" a="1"/>
  <c r="D30" i="10" a="1"/>
  <c r="F27" i="10" a="1"/>
  <c r="AJ35" i="10" a="1"/>
  <c r="AJ39" i="10" a="1"/>
  <c r="AH38" i="10" a="1"/>
  <c r="AG36" i="10" a="1"/>
  <c r="AF38" i="10" a="1"/>
  <c r="C26" i="10" a="1"/>
  <c r="B30" i="10" a="1"/>
  <c r="AG34" i="10" a="1"/>
  <c r="C28" i="10" a="1"/>
  <c r="T42" i="9" a="1"/>
  <c r="AK33" i="10" a="1"/>
  <c r="AG38" i="10" a="1"/>
  <c r="F31" i="10" a="1"/>
  <c r="B31" i="10" a="1"/>
  <c r="G25" i="10" a="1"/>
  <c r="AJ34" i="10" a="1"/>
  <c r="AJ38" i="10" a="1"/>
  <c r="BK33" i="10" a="1"/>
  <c r="AO7" i="9" l="1"/>
  <c r="AO4" i="9"/>
  <c r="AG7" i="9"/>
  <c r="AG4" i="9"/>
  <c r="D30" i="10"/>
  <c r="F30" i="10"/>
  <c r="F26" i="10"/>
  <c r="C30" i="10"/>
  <c r="F28" i="10"/>
  <c r="D31" i="10"/>
  <c r="B25" i="10"/>
  <c r="AJ38" i="10"/>
  <c r="AJ34" i="10"/>
  <c r="G25" i="10"/>
  <c r="B31" i="10"/>
  <c r="F31" i="10"/>
  <c r="AG38" i="10"/>
  <c r="AK33" i="10"/>
  <c r="T42" i="9"/>
  <c r="AG42" i="9" s="1"/>
  <c r="C28" i="10"/>
  <c r="AG34" i="10"/>
  <c r="B30" i="10"/>
  <c r="C26" i="10"/>
  <c r="AF38" i="10"/>
  <c r="AG36" i="10"/>
  <c r="AH38" i="10"/>
  <c r="AJ39" i="10"/>
  <c r="AJ35" i="10"/>
  <c r="F27" i="10"/>
  <c r="BJ6" i="10" a="1"/>
  <c r="BJ6" i="10" s="1"/>
  <c r="BN3" i="10" a="1"/>
  <c r="BN3" i="10" s="1"/>
  <c r="BK6" i="10" a="1"/>
  <c r="BK6" i="10" s="1"/>
  <c r="BN6" i="10" a="1"/>
  <c r="BN6" i="10" s="1"/>
  <c r="BK4" i="10" a="1"/>
  <c r="BK4" i="10" s="1"/>
  <c r="BL7" i="10" a="1"/>
  <c r="BL7" i="10" s="1"/>
  <c r="BO1" i="10" a="1"/>
  <c r="BO1" i="10" s="1"/>
  <c r="BJ1" i="10"/>
  <c r="BK2" i="10" a="1"/>
  <c r="BK2" i="10" s="1"/>
  <c r="BK3" i="10" s="1" a="1"/>
  <c r="BK3" i="10" s="1"/>
  <c r="BJ7" i="10" a="1"/>
  <c r="BJ7" i="10" s="1"/>
  <c r="BN4" i="10" a="1"/>
  <c r="BN4" i="10" s="1"/>
  <c r="BN2" i="10" a="1"/>
  <c r="BN2" i="10" s="1"/>
  <c r="BL6" i="10" a="1"/>
  <c r="BL6" i="10" s="1"/>
  <c r="BN7" i="10" a="1"/>
  <c r="BN7" i="10" s="1"/>
  <c r="I1" i="10"/>
  <c r="Q17" i="10"/>
  <c r="B1" i="10"/>
  <c r="CY2" i="10" a="1"/>
  <c r="CY2" i="10" s="1"/>
  <c r="CY3" i="10" a="1"/>
  <c r="CY3" i="10" s="1"/>
  <c r="CV6" i="10" a="1"/>
  <c r="CV6" i="10" s="1"/>
  <c r="CV4" i="10" a="1"/>
  <c r="CV4" i="10" s="1"/>
  <c r="CU1" i="10"/>
  <c r="CY4" i="10" a="1"/>
  <c r="CY4" i="10" s="1"/>
  <c r="CU6" i="10" a="1"/>
  <c r="CU6" i="10" s="1"/>
  <c r="CV2" i="10" a="1"/>
  <c r="CV2" i="10" s="1"/>
  <c r="CV3" i="10" s="1" a="1"/>
  <c r="CV3" i="10" s="1"/>
  <c r="CU7" i="10" a="1"/>
  <c r="CU7" i="10" s="1"/>
  <c r="CZ1" i="10" a="1"/>
  <c r="CZ1" i="10" s="1"/>
  <c r="CY6" i="10" a="1"/>
  <c r="CY6" i="10" s="1"/>
  <c r="CW6" i="10" a="1"/>
  <c r="CW6" i="10" s="1"/>
  <c r="CW7" i="10" a="1"/>
  <c r="CW7" i="10" s="1"/>
  <c r="CY7" i="10" a="1"/>
  <c r="CY7" i="10" s="1"/>
  <c r="B17" i="10"/>
  <c r="AF1" i="10"/>
  <c r="X17" i="10"/>
  <c r="I33" i="10"/>
  <c r="AU17" i="10"/>
  <c r="B33" i="10"/>
  <c r="Q9" i="10"/>
  <c r="I9" i="10"/>
  <c r="BK33" i="10"/>
  <c r="BN35" i="10" s="1" a="1"/>
  <c r="BN35" i="10" s="1"/>
  <c r="BL39" i="10" a="1"/>
  <c r="BL39" i="10" s="1"/>
  <c r="BN34" i="10" a="1"/>
  <c r="BN34" i="10" s="1"/>
  <c r="AL62" i="9"/>
  <c r="AP69" i="9"/>
  <c r="AP73" i="9"/>
  <c r="AL129" i="9"/>
  <c r="AH20" i="9"/>
  <c r="AP20" i="9"/>
  <c r="AI21" i="9"/>
  <c r="AJ22" i="9"/>
  <c r="AK23" i="9"/>
  <c r="AD24" i="9"/>
  <c r="AL24" i="9"/>
  <c r="AF26" i="9"/>
  <c r="Q22" i="10" a="1"/>
  <c r="B23" i="10" a="1"/>
  <c r="AK1" i="10" a="1"/>
  <c r="AJ7" i="10" a="1"/>
  <c r="Y20" i="10" a="1"/>
  <c r="Z22" i="10" a="1"/>
  <c r="M35" i="10" a="1"/>
  <c r="J36" i="10" a="1"/>
  <c r="AY18" i="10" a="1"/>
  <c r="AZ17" i="10" a="1"/>
  <c r="F35" i="10" a="1"/>
  <c r="C36" i="10" a="1"/>
  <c r="Q15" i="10" a="1"/>
  <c r="Q14" i="10" a="1"/>
  <c r="Q23" i="10" a="1"/>
  <c r="AG35" i="10" a="1"/>
  <c r="U23" i="10" a="1"/>
  <c r="S23" i="10" a="1"/>
  <c r="F18" i="10" a="1"/>
  <c r="F20" i="10" a="1"/>
  <c r="AG2" i="10" a="1"/>
  <c r="AG4" i="10" a="1"/>
  <c r="AB22" i="10" a="1"/>
  <c r="AB23" i="10" a="1"/>
  <c r="M36" i="10" a="1"/>
  <c r="K39" i="10" a="1"/>
  <c r="AV20" i="10" a="1"/>
  <c r="AY22" i="10" a="1"/>
  <c r="D39" i="10" a="1"/>
  <c r="F38" i="10" a="1"/>
  <c r="U12" i="10" a="1"/>
  <c r="M11" i="10" a="1"/>
  <c r="M15" i="10" a="1"/>
  <c r="AH6" i="10" a="1"/>
  <c r="AJ36" i="10" a="1"/>
  <c r="S22" i="10" a="1"/>
  <c r="V17" i="10" a="1"/>
  <c r="C22" i="10" a="1"/>
  <c r="B22" i="10" a="1"/>
  <c r="AH7" i="10" a="1"/>
  <c r="AG6" i="10" a="1"/>
  <c r="X22" i="10" a="1"/>
  <c r="Y22" i="10" a="1"/>
  <c r="I38" i="10" a="1"/>
  <c r="AH39" i="10" a="1"/>
  <c r="AY19" i="10" a="1"/>
  <c r="AU22" i="10" a="1"/>
  <c r="R14" i="10" a="1"/>
  <c r="U20" i="10" a="1"/>
  <c r="D22" i="10" a="1"/>
  <c r="J38" i="10" a="1"/>
  <c r="F34" i="10" a="1"/>
  <c r="C27" i="10" a="1"/>
  <c r="U22" i="10" a="1"/>
  <c r="G17" i="10" a="1"/>
  <c r="F19" i="10" a="1"/>
  <c r="AJ6" i="10" a="1"/>
  <c r="AB19" i="10" a="1"/>
  <c r="K38" i="10" a="1"/>
  <c r="AF39" i="10" a="1"/>
  <c r="B38" i="10" a="1"/>
  <c r="C34" i="10" a="1"/>
  <c r="U10" i="10" a="1"/>
  <c r="V9" i="10" a="1"/>
  <c r="I14" i="10" a="1"/>
  <c r="R18" i="10" a="1"/>
  <c r="F3" i="10" a="1"/>
  <c r="D23" i="10" a="1"/>
  <c r="AJ4" i="10" a="1"/>
  <c r="Y18" i="10" a="1"/>
  <c r="X23" i="10" a="1"/>
  <c r="M38" i="10" a="1"/>
  <c r="AW22" i="10" a="1"/>
  <c r="AW23" i="10" a="1"/>
  <c r="B39" i="10" a="1"/>
  <c r="C38" i="10" a="1"/>
  <c r="U15" i="10" a="1"/>
  <c r="M14" i="10" a="1"/>
  <c r="K14" i="10" a="1"/>
  <c r="F23" i="10" a="1"/>
  <c r="M34" i="10" a="1"/>
  <c r="F39" i="10" a="1"/>
  <c r="U19" i="10" a="1"/>
  <c r="U18" i="10" a="1"/>
  <c r="F22" i="10" a="1"/>
  <c r="AJ3" i="10" a="1"/>
  <c r="AJ2" i="10" a="1"/>
  <c r="AB20" i="10" a="1"/>
  <c r="AC17" i="10" a="1"/>
  <c r="J34" i="10" a="1"/>
  <c r="N33" i="10" a="1"/>
  <c r="AV18" i="10" a="1"/>
  <c r="AU23" i="10" a="1"/>
  <c r="D38" i="10" a="1"/>
  <c r="R10" i="10" a="1"/>
  <c r="U11" i="10" a="1"/>
  <c r="M10" i="10" a="1"/>
  <c r="Z23" i="10" a="1"/>
  <c r="R12" i="10" a="1"/>
  <c r="R20" i="10" a="1"/>
  <c r="R22" i="10" a="1"/>
  <c r="C20" i="10" a="1"/>
  <c r="C18" i="10" a="1"/>
  <c r="AF6" i="10" a="1"/>
  <c r="AF7" i="10" a="1"/>
  <c r="AB18" i="10" a="1"/>
  <c r="M39" i="10" a="1"/>
  <c r="I39" i="10" a="1"/>
  <c r="AV22" i="10" a="1"/>
  <c r="AY20" i="10" a="1"/>
  <c r="G33" i="10" a="1"/>
  <c r="F36" i="10" a="1"/>
  <c r="S14" i="10" a="1"/>
  <c r="S15" i="10" a="1"/>
  <c r="J14" i="10" a="1"/>
  <c r="AY23" i="10" a="1"/>
  <c r="U14" i="10" a="1"/>
  <c r="N9" i="10" a="1"/>
  <c r="J4" i="10" a="1"/>
  <c r="M7" i="10" a="1"/>
  <c r="G1" i="10" a="1"/>
  <c r="J2" i="10" a="1"/>
  <c r="I7" i="10" a="1"/>
  <c r="M6" i="10" a="1"/>
  <c r="K7" i="10" a="1"/>
  <c r="AN1" i="10" a="1"/>
  <c r="B7" i="10" a="1"/>
  <c r="I6" i="10" a="1"/>
  <c r="J12" i="10" a="1"/>
  <c r="K6" i="10" a="1"/>
  <c r="F2" i="10" a="1"/>
  <c r="D6" i="10" a="1"/>
  <c r="F4" i="10" a="1"/>
  <c r="M2" i="10" a="1"/>
  <c r="J10" i="10" a="1"/>
  <c r="B6" i="10" a="1"/>
  <c r="M3" i="10" a="1"/>
  <c r="F7" i="10" a="1"/>
  <c r="D7" i="10" a="1"/>
  <c r="M12" i="10" a="1"/>
  <c r="C2" i="10" a="1"/>
  <c r="J6" i="10" a="1"/>
  <c r="C4" i="10" a="1"/>
  <c r="K15" i="10" a="1"/>
  <c r="M4" i="10" a="1"/>
  <c r="I15" i="10" a="1"/>
  <c r="F6" i="10" a="1"/>
  <c r="N1" i="10" a="1"/>
  <c r="C6" i="10" a="1"/>
  <c r="BK36" i="10" l="1" a="1"/>
  <c r="BK36" i="10" s="1"/>
  <c r="BJ33" i="10"/>
  <c r="BN39" i="10" a="1"/>
  <c r="BN39" i="10" s="1"/>
  <c r="BL38" i="10" a="1"/>
  <c r="BL38" i="10" s="1"/>
  <c r="BK34" i="10" a="1"/>
  <c r="BK34" i="10" s="1"/>
  <c r="BK35" i="10" s="1" a="1"/>
  <c r="BK35" i="10" s="1"/>
  <c r="BN38" i="10" a="1"/>
  <c r="BN38" i="10" s="1"/>
  <c r="BN36" i="10" a="1"/>
  <c r="BN36" i="10" s="1"/>
  <c r="BJ39" i="10" a="1"/>
  <c r="BJ39" i="10" s="1"/>
  <c r="BK38" i="10" a="1"/>
  <c r="BK38" i="10" s="1"/>
  <c r="BO33" i="10" a="1"/>
  <c r="BO33" i="10" s="1"/>
  <c r="BJ38" i="10" a="1"/>
  <c r="BJ38" i="10" s="1"/>
  <c r="U14" i="10"/>
  <c r="AY23" i="10"/>
  <c r="N1" i="10"/>
  <c r="J14" i="10"/>
  <c r="J10" i="10"/>
  <c r="S15" i="10"/>
  <c r="S14" i="10"/>
  <c r="F36" i="10"/>
  <c r="G33" i="10"/>
  <c r="AY20" i="10"/>
  <c r="AV22" i="10"/>
  <c r="I39" i="10"/>
  <c r="M39" i="10"/>
  <c r="AB18" i="10"/>
  <c r="AF7" i="10"/>
  <c r="AF6" i="10"/>
  <c r="C18" i="10"/>
  <c r="C20" i="10"/>
  <c r="F6" i="10"/>
  <c r="R22" i="10"/>
  <c r="R20" i="10"/>
  <c r="M2" i="10"/>
  <c r="M7" i="10"/>
  <c r="R12" i="10"/>
  <c r="Z23" i="10"/>
  <c r="M10" i="10"/>
  <c r="I15" i="10"/>
  <c r="U11" i="10"/>
  <c r="R10" i="10"/>
  <c r="D38" i="10"/>
  <c r="AU23" i="10"/>
  <c r="AV18" i="10"/>
  <c r="AV19" i="10" s="1" a="1"/>
  <c r="N33" i="10"/>
  <c r="J34" i="10"/>
  <c r="AC17" i="10"/>
  <c r="AB20" i="10"/>
  <c r="AJ2" i="10"/>
  <c r="AJ3" i="10"/>
  <c r="F22" i="10"/>
  <c r="C6" i="10"/>
  <c r="U18" i="10"/>
  <c r="U19" i="10"/>
  <c r="M4" i="10"/>
  <c r="M12" i="10"/>
  <c r="F39" i="10"/>
  <c r="M34" i="10"/>
  <c r="F23" i="10"/>
  <c r="C2" i="10"/>
  <c r="C3" i="10" s="1" a="1"/>
  <c r="K7" i="10"/>
  <c r="K14" i="10"/>
  <c r="M14" i="10"/>
  <c r="U15" i="10"/>
  <c r="C38" i="10"/>
  <c r="B39" i="10"/>
  <c r="AW23" i="10"/>
  <c r="AW22" i="10"/>
  <c r="M38" i="10"/>
  <c r="X23" i="10"/>
  <c r="Y18" i="10"/>
  <c r="Y19" i="10" s="1" a="1"/>
  <c r="AJ4" i="10"/>
  <c r="D23" i="10"/>
  <c r="F4" i="10"/>
  <c r="F3" i="10"/>
  <c r="R18" i="10"/>
  <c r="R19" i="10" s="1" a="1"/>
  <c r="M6" i="10"/>
  <c r="I14" i="10"/>
  <c r="K15" i="10"/>
  <c r="V9" i="10"/>
  <c r="U10" i="10"/>
  <c r="C34" i="10"/>
  <c r="B38" i="10"/>
  <c r="AF39" i="10"/>
  <c r="K38" i="10"/>
  <c r="AB19" i="10"/>
  <c r="AJ6" i="10"/>
  <c r="F19" i="10"/>
  <c r="G17" i="10"/>
  <c r="D6" i="10"/>
  <c r="F2" i="10"/>
  <c r="U22" i="10"/>
  <c r="I7" i="10"/>
  <c r="J4" i="10"/>
  <c r="C27" i="10"/>
  <c r="F34" i="10"/>
  <c r="J38" i="10"/>
  <c r="D22" i="10"/>
  <c r="U20" i="10"/>
  <c r="J12" i="10"/>
  <c r="R14" i="10"/>
  <c r="AU22" i="10"/>
  <c r="AY19" i="10"/>
  <c r="AH39" i="10"/>
  <c r="I38" i="10"/>
  <c r="Y22" i="10"/>
  <c r="X22" i="10"/>
  <c r="AG6" i="10"/>
  <c r="AH7" i="10"/>
  <c r="B22" i="10"/>
  <c r="C22" i="10"/>
  <c r="D7" i="10"/>
  <c r="B6" i="10"/>
  <c r="V17" i="10"/>
  <c r="S22" i="10"/>
  <c r="I6" i="10"/>
  <c r="J2" i="10"/>
  <c r="AJ36" i="10"/>
  <c r="AH6" i="10"/>
  <c r="M15" i="10"/>
  <c r="M11" i="10"/>
  <c r="U12" i="10"/>
  <c r="F38" i="10"/>
  <c r="D39" i="10"/>
  <c r="AY22" i="10"/>
  <c r="AV20" i="10"/>
  <c r="K39" i="10"/>
  <c r="M36" i="10"/>
  <c r="AB23" i="10"/>
  <c r="AB22" i="10"/>
  <c r="AG4" i="10"/>
  <c r="AG2" i="10"/>
  <c r="AG3" i="10" s="1" a="1"/>
  <c r="F20" i="10"/>
  <c r="F18" i="10"/>
  <c r="C4" i="10"/>
  <c r="F7" i="10"/>
  <c r="S23" i="10"/>
  <c r="U23" i="10"/>
  <c r="K6" i="10"/>
  <c r="AG35" i="10"/>
  <c r="Q23" i="10"/>
  <c r="N9" i="10"/>
  <c r="Q14" i="10"/>
  <c r="Q15" i="10"/>
  <c r="C36" i="10"/>
  <c r="F35" i="10"/>
  <c r="AZ17" i="10"/>
  <c r="AY18" i="10"/>
  <c r="J36" i="10"/>
  <c r="M35" i="10"/>
  <c r="Z22" i="10"/>
  <c r="Y20" i="10"/>
  <c r="AJ7" i="10"/>
  <c r="AK1" i="10"/>
  <c r="B23" i="10"/>
  <c r="B7" i="10"/>
  <c r="G1" i="10"/>
  <c r="Q22" i="10"/>
  <c r="J6" i="10"/>
  <c r="M3" i="10"/>
  <c r="AN1" i="10"/>
  <c r="AM1" i="10" s="1"/>
  <c r="AE26" i="9"/>
  <c r="AK26" i="9"/>
  <c r="AJ26" i="9"/>
  <c r="AH26" i="9"/>
  <c r="AL26" i="9"/>
  <c r="AM26" i="9"/>
  <c r="AN26" i="9"/>
  <c r="AP28" i="9"/>
  <c r="AK31" i="9"/>
  <c r="AD32" i="9"/>
  <c r="AL32" i="9"/>
  <c r="AF34" i="9"/>
  <c r="AQ3" i="10" a="1"/>
  <c r="W27" i="9" a="1"/>
  <c r="J35" i="10" a="1"/>
  <c r="T35" i="9" a="1"/>
  <c r="V26" i="9" a="1"/>
  <c r="AQ4" i="10" a="1"/>
  <c r="AN6" i="10" a="1"/>
  <c r="AN2" i="10" a="1"/>
  <c r="AM6" i="10" a="1"/>
  <c r="AB35" i="9" a="1"/>
  <c r="AR1" i="10" a="1"/>
  <c r="AO6" i="10" a="1"/>
  <c r="U25" i="9" a="1"/>
  <c r="AN4" i="10" a="1"/>
  <c r="AN33" i="10" a="1"/>
  <c r="AQ7" i="10" l="1" a="1"/>
  <c r="AO7" i="10" a="1"/>
  <c r="AQ2" i="10" a="1"/>
  <c r="AN4" i="10"/>
  <c r="U25" i="9"/>
  <c r="AH28" i="9" s="1"/>
  <c r="C3" i="10"/>
  <c r="AO6" i="10"/>
  <c r="AR1" i="10"/>
  <c r="AB35" i="9"/>
  <c r="AO27" i="9" s="1"/>
  <c r="AM6" i="10"/>
  <c r="AQ7" i="10"/>
  <c r="AN2" i="10"/>
  <c r="AN6" i="10"/>
  <c r="AQ4" i="10"/>
  <c r="R19" i="10"/>
  <c r="V26" i="9"/>
  <c r="AI29" i="9" s="1"/>
  <c r="Y19" i="10"/>
  <c r="T35" i="9"/>
  <c r="AG27" i="9" s="1"/>
  <c r="AQ2" i="10"/>
  <c r="J35" i="10"/>
  <c r="AO7" i="10"/>
  <c r="AG3" i="10"/>
  <c r="AV19" i="10"/>
  <c r="W27" i="9"/>
  <c r="AJ30" i="9" s="1"/>
  <c r="AQ3" i="10"/>
  <c r="AN33" i="10"/>
  <c r="AM33" i="10" s="1"/>
  <c r="AE34" i="9"/>
  <c r="AN34" i="9"/>
  <c r="AH34" i="9"/>
  <c r="AM34" i="9"/>
  <c r="AL34" i="9"/>
  <c r="AK34" i="9"/>
  <c r="AJ34" i="9"/>
  <c r="AG35" i="9"/>
  <c r="AO35" i="9"/>
  <c r="AP36" i="9"/>
  <c r="AI37" i="9"/>
  <c r="AK39" i="9"/>
  <c r="AD40" i="9"/>
  <c r="AL40" i="9"/>
  <c r="J11" i="10" a="1"/>
  <c r="S42" i="9" a="1"/>
  <c r="AN3" i="10" a="1"/>
  <c r="AM7" i="10" a="1"/>
  <c r="W32" i="9" a="1"/>
  <c r="AN36" i="10" a="1"/>
  <c r="AQ6" i="10" a="1"/>
  <c r="AQ34" i="10" a="1"/>
  <c r="C19" i="10" a="1"/>
  <c r="U38" i="9" a="1"/>
  <c r="AQ35" i="10" a="1"/>
  <c r="C35" i="10" a="1"/>
  <c r="R11" i="10" a="1"/>
  <c r="AQ36" i="10" a="1"/>
  <c r="J3" i="10" a="1"/>
  <c r="AN34" i="10" l="1" a="1"/>
  <c r="AN34" i="10" s="1"/>
  <c r="AN35" i="10" s="1" a="1"/>
  <c r="AQ38" i="10" a="1"/>
  <c r="AQ39" i="10" a="1"/>
  <c r="AN38" i="10" a="1"/>
  <c r="AQ36" i="10"/>
  <c r="R11" i="10"/>
  <c r="C35" i="10"/>
  <c r="AQ35" i="10"/>
  <c r="U38" i="9"/>
  <c r="AH36" i="9" s="1"/>
  <c r="C19" i="10"/>
  <c r="AN38" i="10"/>
  <c r="AQ34" i="10"/>
  <c r="J3" i="10"/>
  <c r="AQ38" i="10"/>
  <c r="AQ6" i="10"/>
  <c r="AN36" i="10"/>
  <c r="AQ39" i="10"/>
  <c r="W32" i="9"/>
  <c r="AJ38" i="9" s="1"/>
  <c r="AM7" i="10"/>
  <c r="AN3" i="10"/>
  <c r="S42" i="9"/>
  <c r="AF42" i="9" s="1"/>
  <c r="J11" i="10"/>
  <c r="AE42" i="9"/>
  <c r="AG43" i="9"/>
  <c r="AO43" i="9"/>
  <c r="AI45" i="9"/>
  <c r="AK47" i="9"/>
  <c r="AL48" i="9"/>
  <c r="AE49" i="9"/>
  <c r="AM49" i="9"/>
  <c r="AF50" i="9"/>
  <c r="AO39" i="10" a="1"/>
  <c r="U42" i="9" a="1"/>
  <c r="U44" i="9" a="1"/>
  <c r="W46" i="9" a="1"/>
  <c r="W42" i="9" a="1"/>
  <c r="V42" i="9" a="1"/>
  <c r="S44" i="9" a="1"/>
  <c r="AR33" i="10" a="1"/>
  <c r="AO38" i="10" a="1"/>
  <c r="Y42" i="9" a="1"/>
  <c r="AM38" i="10" a="1"/>
  <c r="S48" i="9" a="1"/>
  <c r="AM39" i="10" a="1"/>
  <c r="BC17" i="10" a="1"/>
  <c r="BR1" i="10" a="1"/>
  <c r="AM39" i="10" l="1"/>
  <c r="S48" i="9"/>
  <c r="AC48" i="9" s="1"/>
  <c r="AD48" i="9" s="1"/>
  <c r="AM38" i="10"/>
  <c r="Y42" i="9"/>
  <c r="AL42" i="9" s="1"/>
  <c r="AO38" i="10"/>
  <c r="AR33" i="10"/>
  <c r="S44" i="9"/>
  <c r="AC44" i="9" s="1"/>
  <c r="AP44" i="9" s="1"/>
  <c r="V42" i="9"/>
  <c r="AI42" i="9" s="1"/>
  <c r="W42" i="9"/>
  <c r="AN35" i="10"/>
  <c r="W46" i="9"/>
  <c r="AJ46" i="9" s="1"/>
  <c r="U44" i="9"/>
  <c r="AH44" i="9" s="1"/>
  <c r="BC17" i="10"/>
  <c r="U42" i="9"/>
  <c r="AH42" i="9" s="1"/>
  <c r="AO39" i="10"/>
  <c r="BR1" i="10"/>
  <c r="BU3" i="10" s="1" a="1"/>
  <c r="BU3" i="10" s="1"/>
  <c r="AN50" i="9"/>
  <c r="AG51" i="9"/>
  <c r="AO51" i="9"/>
  <c r="AH52" i="9"/>
  <c r="AP52" i="9"/>
  <c r="AI53" i="9"/>
  <c r="AJ54" i="9"/>
  <c r="AK55" i="9"/>
  <c r="AD56" i="9"/>
  <c r="AL56" i="9"/>
  <c r="AE57" i="9"/>
  <c r="AM57" i="9"/>
  <c r="AF58" i="9"/>
  <c r="BR33" i="10" a="1"/>
  <c r="BR6" i="10" l="1" a="1"/>
  <c r="BR6" i="10" s="1"/>
  <c r="BQ7" i="10" a="1"/>
  <c r="BQ7" i="10" s="1"/>
  <c r="BR2" i="10" a="1"/>
  <c r="BR2" i="10" s="1"/>
  <c r="BR4" i="10" a="1"/>
  <c r="BR4" i="10" s="1"/>
  <c r="BU4" i="10" a="1"/>
  <c r="BU4" i="10" s="1"/>
  <c r="BV1" i="10" a="1"/>
  <c r="BV1" i="10" s="1"/>
  <c r="BB17" i="10"/>
  <c r="BQ1" i="10"/>
  <c r="BS7" i="10" a="1"/>
  <c r="BS7" i="10" s="1"/>
  <c r="BU7" i="10" a="1"/>
  <c r="BU7" i="10" s="1"/>
  <c r="BU6" i="10" a="1"/>
  <c r="BU6" i="10" s="1"/>
  <c r="BS6" i="10" a="1"/>
  <c r="BS6" i="10" s="1"/>
  <c r="BQ6" i="10" a="1"/>
  <c r="BQ6" i="10" s="1"/>
  <c r="BU2" i="10" a="1"/>
  <c r="BU2" i="10" s="1"/>
  <c r="BR3" i="10" a="1"/>
  <c r="BR3" i="10" s="1"/>
  <c r="AJ42" i="9"/>
  <c r="Z42" i="9"/>
  <c r="AM42" i="9" s="1"/>
  <c r="AA42" i="9"/>
  <c r="AN42" i="9" s="1"/>
  <c r="BR33" i="10"/>
  <c r="BR34" i="10" s="1" a="1"/>
  <c r="BR34" i="10" s="1"/>
  <c r="BR35" i="10" s="1" a="1"/>
  <c r="BR35" i="10" s="1"/>
  <c r="AN58" i="9"/>
  <c r="AK59" i="9"/>
  <c r="AK60" i="9"/>
  <c r="AK61" i="9"/>
  <c r="AJ62" i="9"/>
  <c r="AJ63" i="9"/>
  <c r="AN64" i="9"/>
  <c r="AL65" i="9"/>
  <c r="AK66" i="9"/>
  <c r="AI67" i="9"/>
  <c r="AJ68" i="9"/>
  <c r="AN69" i="9"/>
  <c r="AG70" i="9"/>
  <c r="AO71" i="9"/>
  <c r="AD72" i="9"/>
  <c r="AM73" i="9"/>
  <c r="AD74" i="9"/>
  <c r="AM75" i="9"/>
  <c r="AF76" i="9"/>
  <c r="AI77" i="9"/>
  <c r="AP78" i="9"/>
  <c r="AI79" i="9"/>
  <c r="AN80" i="9"/>
  <c r="AG81" i="9"/>
  <c r="AI84" i="9"/>
  <c r="AN87" i="9"/>
  <c r="AI88" i="9"/>
  <c r="AJ91" i="9"/>
  <c r="AJ92" i="9"/>
  <c r="AK118" i="9"/>
  <c r="AM120" i="9"/>
  <c r="AL127" i="9"/>
  <c r="AE128" i="9"/>
  <c r="AD137" i="9"/>
  <c r="AP174" i="9"/>
  <c r="AP2" i="9"/>
  <c r="AI3" i="9"/>
  <c r="AD6" i="9"/>
  <c r="AL6" i="9"/>
  <c r="AF8" i="9"/>
  <c r="BF20" i="10" a="1"/>
  <c r="BB22" i="10" a="1"/>
  <c r="BC22" i="10" a="1"/>
  <c r="BB23" i="10" a="1"/>
  <c r="BC20" i="10" a="1"/>
  <c r="BF19" i="10" a="1"/>
  <c r="BC18" i="10" a="1"/>
  <c r="BF23" i="10" a="1"/>
  <c r="BF22" i="10" a="1"/>
  <c r="BD23" i="10" a="1"/>
  <c r="BF18" i="10" a="1"/>
  <c r="BD22" i="10" a="1"/>
  <c r="BG17" i="10" a="1"/>
  <c r="J25" i="10" a="1"/>
  <c r="BQ38" i="10" l="1" a="1"/>
  <c r="BQ38" i="10" s="1"/>
  <c r="BU35" i="10" a="1"/>
  <c r="BU35" i="10" s="1"/>
  <c r="BU39" i="10" a="1"/>
  <c r="BU39" i="10" s="1"/>
  <c r="BU34" i="10" a="1"/>
  <c r="BU34" i="10" s="1"/>
  <c r="BU38" i="10" a="1"/>
  <c r="BU38" i="10" s="1"/>
  <c r="BV33" i="10" a="1"/>
  <c r="BV33" i="10" s="1"/>
  <c r="BS38" i="10" a="1"/>
  <c r="BS38" i="10" s="1"/>
  <c r="BS39" i="10" a="1"/>
  <c r="BS39" i="10" s="1"/>
  <c r="BR36" i="10" a="1"/>
  <c r="BR36" i="10" s="1"/>
  <c r="BQ39" i="10" a="1"/>
  <c r="BQ39" i="10" s="1"/>
  <c r="BU36" i="10" a="1"/>
  <c r="BU36" i="10" s="1"/>
  <c r="BG17" i="10"/>
  <c r="BD22" i="10"/>
  <c r="BF18" i="10"/>
  <c r="BD23" i="10"/>
  <c r="BF22" i="10"/>
  <c r="BF23" i="10"/>
  <c r="BC18" i="10"/>
  <c r="BC19" i="10" s="1" a="1"/>
  <c r="BF19" i="10"/>
  <c r="BC20" i="10"/>
  <c r="BB23" i="10"/>
  <c r="BC22" i="10"/>
  <c r="BB22" i="10"/>
  <c r="BF20" i="10"/>
  <c r="BR38" i="10" a="1"/>
  <c r="BR38" i="10" s="1"/>
  <c r="BQ33" i="10"/>
  <c r="J25" i="10"/>
  <c r="I25" i="10" s="1"/>
  <c r="AJ8" i="9"/>
  <c r="AA8" i="9"/>
  <c r="AN8" i="9" s="1"/>
  <c r="AP10" i="9"/>
  <c r="AJ12" i="9"/>
  <c r="AD14" i="9"/>
  <c r="AL14" i="9"/>
  <c r="AF16" i="9"/>
  <c r="U8" i="9" a="1"/>
  <c r="J26" i="10" a="1"/>
  <c r="X13" i="9" a="1"/>
  <c r="V11" i="9" a="1"/>
  <c r="I31" i="10" a="1"/>
  <c r="X8" i="9" a="1"/>
  <c r="I30" i="10" a="1"/>
  <c r="Y9" i="10" a="1"/>
  <c r="I30" i="10" l="1"/>
  <c r="X8" i="9"/>
  <c r="AK8" i="9" s="1"/>
  <c r="I31" i="10"/>
  <c r="BC19" i="10"/>
  <c r="V11" i="9"/>
  <c r="AI11" i="9" s="1"/>
  <c r="X13" i="9"/>
  <c r="AK13" i="9" s="1"/>
  <c r="J26" i="10"/>
  <c r="U8" i="9"/>
  <c r="AH8" i="9" s="1"/>
  <c r="Y9" i="10"/>
  <c r="X9" i="10" s="1"/>
  <c r="AJ16" i="9"/>
  <c r="AA16" i="9"/>
  <c r="AN16" i="9" s="1"/>
  <c r="AP18" i="9"/>
  <c r="AJ20" i="9"/>
  <c r="AK21" i="9"/>
  <c r="AD22" i="9"/>
  <c r="AL22" i="9"/>
  <c r="AE23" i="9"/>
  <c r="AM23" i="9"/>
  <c r="AF24" i="9"/>
  <c r="N25" i="10" a="1"/>
  <c r="M26" i="10" a="1"/>
  <c r="U16" i="9" a="1"/>
  <c r="M31" i="10" a="1"/>
  <c r="K30" i="10" a="1"/>
  <c r="AC9" i="10" a="1"/>
  <c r="J28" i="10" a="1"/>
  <c r="Z15" i="10" a="1"/>
  <c r="M28" i="10" a="1"/>
  <c r="M30" i="10" a="1"/>
  <c r="AB11" i="10" a="1"/>
  <c r="V19" i="9" a="1"/>
  <c r="M27" i="10" a="1"/>
  <c r="K31" i="10" a="1"/>
  <c r="J30" i="10" a="1"/>
  <c r="X16" i="9" a="1"/>
  <c r="Y41" i="10" a="1"/>
  <c r="Y12" i="10" l="1" a="1"/>
  <c r="X14" i="10" a="1"/>
  <c r="AB15" i="10" a="1"/>
  <c r="Y14" i="10" a="1"/>
  <c r="Y14" i="10" s="1"/>
  <c r="X15" i="10" a="1"/>
  <c r="AB15" i="10"/>
  <c r="Y12" i="10"/>
  <c r="X16" i="9"/>
  <c r="AK16" i="9" s="1"/>
  <c r="J30" i="10"/>
  <c r="K31" i="10"/>
  <c r="M27" i="10"/>
  <c r="V19" i="9"/>
  <c r="AI19" i="9" s="1"/>
  <c r="AB11" i="10"/>
  <c r="M30" i="10"/>
  <c r="X14" i="10"/>
  <c r="M28" i="10"/>
  <c r="Z15" i="10"/>
  <c r="J28" i="10"/>
  <c r="X15" i="10"/>
  <c r="AC9" i="10"/>
  <c r="K30" i="10"/>
  <c r="M31" i="10"/>
  <c r="U16" i="9"/>
  <c r="AH16" i="9" s="1"/>
  <c r="M26" i="10"/>
  <c r="N25" i="10"/>
  <c r="Y41" i="10"/>
  <c r="X41" i="10" s="1"/>
  <c r="AJ24" i="9"/>
  <c r="AA22" i="9"/>
  <c r="AN24" i="9" s="1"/>
  <c r="AP26" i="9"/>
  <c r="AD30" i="9"/>
  <c r="AE31" i="9"/>
  <c r="AM31" i="9"/>
  <c r="AF32" i="9"/>
  <c r="Z14" i="10" a="1"/>
  <c r="Z46" i="10" a="1"/>
  <c r="Y27" i="9" a="1"/>
  <c r="W25" i="9" a="1"/>
  <c r="AB12" i="10" a="1"/>
  <c r="X46" i="10" a="1"/>
  <c r="J27" i="10" a="1"/>
  <c r="AB14" i="10" a="1"/>
  <c r="X22" i="9" a="1"/>
  <c r="AB22" i="9" a="1"/>
  <c r="X26" i="9" a="1"/>
  <c r="Y10" i="10" a="1"/>
  <c r="AB10" i="10" a="1"/>
  <c r="U22" i="9" a="1"/>
  <c r="T22" i="9" a="1"/>
  <c r="V35" i="9" a="1"/>
  <c r="AB46" i="10" a="1"/>
  <c r="AN25" i="10" a="1"/>
  <c r="AC41" i="10" l="1" a="1"/>
  <c r="AC41" i="10" s="1"/>
  <c r="AB46" i="10"/>
  <c r="V35" i="9"/>
  <c r="AI27" i="9" s="1"/>
  <c r="T22" i="9"/>
  <c r="AG24" i="9" s="1"/>
  <c r="U22" i="9"/>
  <c r="AH24" i="9" s="1"/>
  <c r="AB10" i="10"/>
  <c r="Y10" i="10"/>
  <c r="X26" i="9"/>
  <c r="AK29" i="9" s="1"/>
  <c r="AB22" i="9"/>
  <c r="AO24" i="9" s="1"/>
  <c r="X22" i="9"/>
  <c r="AK24" i="9" s="1"/>
  <c r="AB14" i="10"/>
  <c r="J27" i="10"/>
  <c r="X46" i="10"/>
  <c r="AB12" i="10"/>
  <c r="W25" i="9"/>
  <c r="AJ28" i="9" s="1"/>
  <c r="Y27" i="9"/>
  <c r="AL30" i="9" s="1"/>
  <c r="Z46" i="10"/>
  <c r="Z14" i="10"/>
  <c r="AN25" i="10"/>
  <c r="AK32" i="9"/>
  <c r="AH32" i="9"/>
  <c r="AG32" i="9"/>
  <c r="AJ32" i="9"/>
  <c r="AO32" i="9"/>
  <c r="AN32" i="9"/>
  <c r="AP34" i="9"/>
  <c r="AI35" i="9"/>
  <c r="AK37" i="9"/>
  <c r="AD38" i="9"/>
  <c r="AE39" i="9"/>
  <c r="AM39" i="9"/>
  <c r="AF40" i="9"/>
  <c r="AB44" i="10" a="1"/>
  <c r="Y32" i="9" a="1"/>
  <c r="Y46" i="10" a="1"/>
  <c r="AN28" i="10" a="1"/>
  <c r="AM30" i="10" a="1"/>
  <c r="Y42" i="10" a="1"/>
  <c r="Z47" i="10" a="1"/>
  <c r="AB42" i="10" a="1"/>
  <c r="Y44" i="10" a="1"/>
  <c r="AN30" i="10" a="1"/>
  <c r="W38" i="9" a="1"/>
  <c r="AQ26" i="10" a="1"/>
  <c r="AB43" i="10" a="1"/>
  <c r="AQ30" i="10" a="1"/>
  <c r="Y11" i="10" a="1"/>
  <c r="X47" i="10" a="1"/>
  <c r="AN26" i="10" a="1"/>
  <c r="AB47" i="10" a="1"/>
  <c r="AR25" i="10" a="1"/>
  <c r="AO30" i="10" a="1"/>
  <c r="BC9" i="10" a="1"/>
  <c r="AO30" i="10" l="1"/>
  <c r="AR25" i="10"/>
  <c r="AB47" i="10"/>
  <c r="AN26" i="10"/>
  <c r="X47" i="10"/>
  <c r="Y11" i="10"/>
  <c r="AQ30" i="10"/>
  <c r="AB43" i="10"/>
  <c r="AQ26" i="10"/>
  <c r="W38" i="9"/>
  <c r="AJ36" i="9" s="1"/>
  <c r="AN30" i="10"/>
  <c r="Y44" i="10"/>
  <c r="AB42" i="10"/>
  <c r="Z47" i="10"/>
  <c r="Y42" i="10"/>
  <c r="AM30" i="10"/>
  <c r="AN28" i="10"/>
  <c r="Y46" i="10"/>
  <c r="Y32" i="9"/>
  <c r="AL38" i="9" s="1"/>
  <c r="AB44" i="10"/>
  <c r="AM25" i="10"/>
  <c r="BC9" i="10"/>
  <c r="BF11" i="10" s="1" a="1"/>
  <c r="BF11" i="10" s="1"/>
  <c r="AH40" i="9"/>
  <c r="AI40" i="9"/>
  <c r="AK40" i="9"/>
  <c r="AG40" i="9"/>
  <c r="AN40" i="9"/>
  <c r="AO40" i="9"/>
  <c r="AJ40" i="9"/>
  <c r="AC42" i="9"/>
  <c r="AP42" i="9" s="1"/>
  <c r="AI43" i="9"/>
  <c r="AK45" i="9"/>
  <c r="AE47" i="9"/>
  <c r="AM47" i="9"/>
  <c r="AF48" i="9"/>
  <c r="AQ27" i="10" a="1"/>
  <c r="BC12" i="10" a="1"/>
  <c r="T41" i="9" a="1"/>
  <c r="AQ31" i="10" a="1"/>
  <c r="BF12" i="10" a="1"/>
  <c r="W44" i="9" a="1"/>
  <c r="Y46" i="9" a="1"/>
  <c r="AM31" i="10" a="1"/>
  <c r="BF14" i="10" a="1"/>
  <c r="AB41" i="9" a="1"/>
  <c r="BD15" i="10" a="1"/>
  <c r="AO31" i="10" a="1"/>
  <c r="S46" i="9" a="1"/>
  <c r="AQ28" i="10" a="1"/>
  <c r="Y43" i="10" a="1"/>
  <c r="AN27" i="10" a="1"/>
  <c r="BC41" i="10" a="1"/>
  <c r="BF15" i="10" l="1" a="1"/>
  <c r="BG9" i="10" a="1"/>
  <c r="BC10" i="10" a="1"/>
  <c r="BD14" i="10" a="1"/>
  <c r="BB15" i="10" a="1"/>
  <c r="BB15" i="10" s="1"/>
  <c r="BF10" i="10" a="1"/>
  <c r="BF10" i="10" s="1"/>
  <c r="BB14" i="10" a="1"/>
  <c r="BB14" i="10" s="1"/>
  <c r="BC14" i="10" a="1"/>
  <c r="BC14" i="10" s="1"/>
  <c r="BB9" i="10"/>
  <c r="AN27" i="10"/>
  <c r="Y43" i="10"/>
  <c r="AQ28" i="10"/>
  <c r="S46" i="9"/>
  <c r="AC46" i="9" s="1"/>
  <c r="AD46" i="9" s="1"/>
  <c r="BG9" i="10"/>
  <c r="BC10" i="10"/>
  <c r="BC11" i="10" s="1" a="1"/>
  <c r="BC11" i="10" s="1"/>
  <c r="AO31" i="10"/>
  <c r="BD15" i="10"/>
  <c r="AB41" i="9"/>
  <c r="AO41" i="9" s="1"/>
  <c r="BF15" i="10"/>
  <c r="BF14" i="10"/>
  <c r="AM31" i="10"/>
  <c r="Y46" i="9"/>
  <c r="AL46" i="9" s="1"/>
  <c r="W44" i="9"/>
  <c r="AJ44" i="9" s="1"/>
  <c r="BF12" i="10"/>
  <c r="AQ31" i="10"/>
  <c r="T41" i="9"/>
  <c r="AG41" i="9" s="1"/>
  <c r="BC12" i="10"/>
  <c r="BD14" i="10"/>
  <c r="AQ27" i="10"/>
  <c r="BC41" i="10"/>
  <c r="BF43" i="10" s="1" a="1"/>
  <c r="BF43" i="10" s="1"/>
  <c r="AJ48" i="9"/>
  <c r="AA48" i="9"/>
  <c r="AN48" i="9"/>
  <c r="AG49" i="9"/>
  <c r="AO49" i="9"/>
  <c r="AH50" i="9"/>
  <c r="AP50" i="9"/>
  <c r="AI51" i="9"/>
  <c r="AJ52" i="9"/>
  <c r="AK53" i="9"/>
  <c r="AD54" i="9"/>
  <c r="AL54" i="9"/>
  <c r="AE55" i="9"/>
  <c r="AM55" i="9"/>
  <c r="AF56" i="9"/>
  <c r="X48" i="9" a="1"/>
  <c r="BG41" i="10" a="1"/>
  <c r="BD47" i="10" a="1"/>
  <c r="T48" i="9" a="1"/>
  <c r="BR25" i="10" a="1"/>
  <c r="BC44" i="10" l="1" a="1"/>
  <c r="BC46" i="10" a="1"/>
  <c r="BC46" i="10" s="1"/>
  <c r="BF47" i="10" a="1"/>
  <c r="BF47" i="10" s="1"/>
  <c r="BB41" i="10"/>
  <c r="BF46" i="10" a="1"/>
  <c r="BF46" i="10" s="1"/>
  <c r="BD46" i="10" a="1"/>
  <c r="BD46" i="10" s="1"/>
  <c r="BB46" i="10" a="1"/>
  <c r="BB46" i="10" s="1"/>
  <c r="T48" i="9"/>
  <c r="AG48" i="9" s="1"/>
  <c r="BC44" i="10"/>
  <c r="BD47" i="10"/>
  <c r="BG41" i="10"/>
  <c r="X48" i="9"/>
  <c r="AK48" i="9" s="1"/>
  <c r="BF42" i="10" a="1"/>
  <c r="BF42" i="10" s="1"/>
  <c r="BR25" i="10"/>
  <c r="BU27" i="10" s="1" a="1"/>
  <c r="BU27" i="10" s="1"/>
  <c r="AN56" i="9"/>
  <c r="AG57" i="9"/>
  <c r="AO57" i="9"/>
  <c r="AH58" i="9"/>
  <c r="AP58" i="9"/>
  <c r="AD59" i="9"/>
  <c r="AM59" i="9"/>
  <c r="AD60" i="9"/>
  <c r="AM60" i="9"/>
  <c r="AD61" i="9"/>
  <c r="AM61" i="9"/>
  <c r="AD62" i="9"/>
  <c r="AM62" i="9"/>
  <c r="AM63" i="9"/>
  <c r="AF64" i="9"/>
  <c r="BC42" i="10" a="1"/>
  <c r="BF44" i="10" a="1"/>
  <c r="BB47" i="10" a="1"/>
  <c r="CG9" i="10" a="1"/>
  <c r="BR28" i="10" l="1" a="1"/>
  <c r="BR28" i="10" s="1"/>
  <c r="BU31" i="10" a="1"/>
  <c r="BU31" i="10" s="1"/>
  <c r="BB47" i="10"/>
  <c r="BF44" i="10"/>
  <c r="BC42" i="10"/>
  <c r="BC43" i="10" s="1" a="1"/>
  <c r="BC43" i="10" s="1"/>
  <c r="BQ25" i="10"/>
  <c r="BS30" i="10" a="1"/>
  <c r="BS30" i="10" s="1"/>
  <c r="BU30" i="10" a="1"/>
  <c r="BU30" i="10" s="1"/>
  <c r="BS31" i="10" a="1"/>
  <c r="BS31" i="10" s="1"/>
  <c r="BU26" i="10" a="1"/>
  <c r="BU26" i="10" s="1"/>
  <c r="BQ31" i="10" a="1"/>
  <c r="BQ31" i="10" s="1"/>
  <c r="BV25" i="10" a="1"/>
  <c r="BV25" i="10" s="1"/>
  <c r="BR26" i="10" a="1"/>
  <c r="BR26" i="10" s="1"/>
  <c r="BR27" i="10" s="1" a="1"/>
  <c r="BR27" i="10" s="1"/>
  <c r="BQ30" i="10" a="1"/>
  <c r="BQ30" i="10" s="1"/>
  <c r="BU28" i="10" a="1"/>
  <c r="BU28" i="10" s="1"/>
  <c r="BR30" i="10" a="1"/>
  <c r="BR30" i="10" s="1"/>
  <c r="CG9" i="10"/>
  <c r="CH15" i="10" s="1" a="1"/>
  <c r="CH15" i="10" s="1"/>
  <c r="AD65" i="9"/>
  <c r="AO65" i="9"/>
  <c r="AM66" i="9"/>
  <c r="AL67" i="9"/>
  <c r="AM68" i="9"/>
  <c r="AL70" i="9"/>
  <c r="AH72" i="9"/>
  <c r="AH74" i="9"/>
  <c r="AJ76" i="9"/>
  <c r="AN77" i="9"/>
  <c r="AD78" i="9"/>
  <c r="AM79" i="9"/>
  <c r="AK81" i="9"/>
  <c r="AF82" i="9"/>
  <c r="AL86" i="9"/>
  <c r="AG89" i="9"/>
  <c r="AM94" i="9"/>
  <c r="AD105" i="9"/>
  <c r="AF112" i="9"/>
  <c r="AD121" i="9"/>
  <c r="AP123" i="9"/>
  <c r="AK125" i="9"/>
  <c r="AD135" i="9"/>
  <c r="AF144" i="9"/>
  <c r="AD161" i="9"/>
  <c r="AJ182" i="9"/>
  <c r="AP17" i="9"/>
  <c r="AI18" i="9"/>
  <c r="AK20" i="9"/>
  <c r="AD21" i="9"/>
  <c r="AL21" i="9"/>
  <c r="AE22" i="9"/>
  <c r="AM22" i="9"/>
  <c r="AF23" i="9"/>
  <c r="W19" i="9" a="1"/>
  <c r="R41" i="10" a="1"/>
  <c r="CK9" i="10" l="1" a="1"/>
  <c r="CK9" i="10" s="1"/>
  <c r="W19" i="9"/>
  <c r="AJ19" i="9" s="1"/>
  <c r="CF9" i="10"/>
  <c r="CG10" i="10" a="1"/>
  <c r="CG10" i="10" s="1"/>
  <c r="CG11" i="10" s="1" a="1"/>
  <c r="CG11" i="10" s="1"/>
  <c r="CJ10" i="10" a="1"/>
  <c r="CJ10" i="10" s="1"/>
  <c r="CJ14" i="10" a="1"/>
  <c r="CJ14" i="10" s="1"/>
  <c r="CJ11" i="10" a="1"/>
  <c r="CJ11" i="10" s="1"/>
  <c r="CG12" i="10" a="1"/>
  <c r="CG12" i="10" s="1"/>
  <c r="CF15" i="10" a="1"/>
  <c r="CF15" i="10" s="1"/>
  <c r="CG14" i="10" a="1"/>
  <c r="CG14" i="10" s="1"/>
  <c r="CJ15" i="10" a="1"/>
  <c r="CJ15" i="10" s="1"/>
  <c r="CH14" i="10" a="1"/>
  <c r="CH14" i="10" s="1"/>
  <c r="CF14" i="10" a="1"/>
  <c r="CF14" i="10" s="1"/>
  <c r="CJ12" i="10" a="1"/>
  <c r="CJ12" i="10" s="1"/>
  <c r="R41" i="10"/>
  <c r="AO23" i="9"/>
  <c r="AG23" i="9"/>
  <c r="AJ23" i="9"/>
  <c r="AH23" i="9"/>
  <c r="AN23" i="9"/>
  <c r="AP25" i="9"/>
  <c r="AI26" i="9"/>
  <c r="AD29" i="9"/>
  <c r="AE30" i="9"/>
  <c r="Z27" i="9"/>
  <c r="AM30" i="9"/>
  <c r="AF31" i="9"/>
  <c r="Y26" i="9" a="1"/>
  <c r="W35" i="9" a="1"/>
  <c r="X25" i="9" a="1"/>
  <c r="U47" i="10" a="1"/>
  <c r="R44" i="10" a="1"/>
  <c r="AG25" i="10" a="1"/>
  <c r="R44" i="10" l="1"/>
  <c r="U47" i="10"/>
  <c r="X25" i="9"/>
  <c r="AK28" i="9" s="1"/>
  <c r="W35" i="9"/>
  <c r="AJ27" i="9" s="1"/>
  <c r="Y26" i="9"/>
  <c r="AL29" i="9" s="1"/>
  <c r="Q41" i="10"/>
  <c r="AG25" i="10"/>
  <c r="AF25" i="10" s="1"/>
  <c r="AO31" i="9"/>
  <c r="AJ31" i="9"/>
  <c r="AG31" i="9"/>
  <c r="AH31" i="9"/>
  <c r="AN31" i="9"/>
  <c r="AP33" i="9"/>
  <c r="AI34" i="9"/>
  <c r="AJ35" i="9"/>
  <c r="AD37" i="9"/>
  <c r="AL37" i="9"/>
  <c r="AE38" i="9"/>
  <c r="Z32" i="9"/>
  <c r="AM38" i="9"/>
  <c r="AF39" i="9"/>
  <c r="U43" i="10" a="1"/>
  <c r="S47" i="10" a="1"/>
  <c r="AH30" i="10" a="1"/>
  <c r="AF31" i="10" a="1"/>
  <c r="AH31" i="10" a="1"/>
  <c r="Q46" i="10" a="1"/>
  <c r="S46" i="10" a="1"/>
  <c r="AJ31" i="10" a="1"/>
  <c r="AJ26" i="10" a="1"/>
  <c r="R46" i="10" a="1"/>
  <c r="AG30" i="10" a="1"/>
  <c r="AF30" i="10" a="1"/>
  <c r="U44" i="10" a="1"/>
  <c r="AG28" i="10" a="1"/>
  <c r="U46" i="10" a="1"/>
  <c r="AJ28" i="10" a="1"/>
  <c r="AJ30" i="10" a="1"/>
  <c r="AG26" i="10" a="1"/>
  <c r="X38" i="9" a="1"/>
  <c r="Q47" i="10" a="1"/>
  <c r="V41" i="10" a="1"/>
  <c r="AJ27" i="10" a="1"/>
  <c r="AK25" i="10" a="1"/>
  <c r="U42" i="10" a="1"/>
  <c r="R42" i="10" a="1"/>
  <c r="AV9" i="10" a="1"/>
  <c r="R42" i="10" l="1"/>
  <c r="U42" i="10"/>
  <c r="AK25" i="10"/>
  <c r="AJ27" i="10"/>
  <c r="V41" i="10"/>
  <c r="Q47" i="10"/>
  <c r="X38" i="9"/>
  <c r="AK36" i="9" s="1"/>
  <c r="AG26" i="10"/>
  <c r="AG27" i="10" s="1" a="1"/>
  <c r="AJ30" i="10"/>
  <c r="AJ28" i="10"/>
  <c r="U46" i="10"/>
  <c r="AG28" i="10"/>
  <c r="U44" i="10"/>
  <c r="AF30" i="10"/>
  <c r="AG30" i="10"/>
  <c r="R46" i="10"/>
  <c r="AJ26" i="10"/>
  <c r="AJ31" i="10"/>
  <c r="S46" i="10"/>
  <c r="Q46" i="10"/>
  <c r="AH31" i="10"/>
  <c r="AF31" i="10"/>
  <c r="AH30" i="10"/>
  <c r="S47" i="10"/>
  <c r="U43" i="10"/>
  <c r="AV9" i="10"/>
  <c r="AU9" i="10" s="1"/>
  <c r="AH39" i="9"/>
  <c r="AN39" i="9"/>
  <c r="AG39" i="9"/>
  <c r="AJ39" i="9"/>
  <c r="AO39" i="9"/>
  <c r="AC41" i="9"/>
  <c r="AP41" i="9" s="1"/>
  <c r="AJ43" i="9"/>
  <c r="AD45" i="9"/>
  <c r="AL45" i="9"/>
  <c r="AE46" i="9"/>
  <c r="Z46" i="9"/>
  <c r="AM46" i="9" s="1"/>
  <c r="AF47" i="9"/>
  <c r="R43" i="10" a="1"/>
  <c r="AY12" i="10" a="1"/>
  <c r="AV14" i="10" a="1"/>
  <c r="AV12" i="10" a="1"/>
  <c r="AY11" i="10" a="1"/>
  <c r="AY15" i="10" a="1"/>
  <c r="AV10" i="10" a="1"/>
  <c r="AZ9" i="10" a="1"/>
  <c r="AU14" i="10" a="1"/>
  <c r="AY10" i="10" a="1"/>
  <c r="AW14" i="10" a="1"/>
  <c r="AY14" i="10" a="1"/>
  <c r="AW15" i="10" a="1"/>
  <c r="AU15" i="10" a="1"/>
  <c r="X44" i="9" a="1"/>
  <c r="AV41" i="10" a="1"/>
  <c r="X44" i="9" l="1"/>
  <c r="AK44" i="9" s="1"/>
  <c r="AU15" i="10"/>
  <c r="AW15" i="10"/>
  <c r="AY14" i="10"/>
  <c r="AG27" i="10"/>
  <c r="AW14" i="10"/>
  <c r="AY10" i="10"/>
  <c r="AU14" i="10"/>
  <c r="AZ9" i="10"/>
  <c r="AV10" i="10"/>
  <c r="AY15" i="10"/>
  <c r="AY11" i="10"/>
  <c r="AV12" i="10"/>
  <c r="AV14" i="10"/>
  <c r="AY12" i="10"/>
  <c r="R43" i="10"/>
  <c r="AV41" i="10"/>
  <c r="AU46" i="10" s="1" a="1"/>
  <c r="AU46" i="10" s="1"/>
  <c r="AG47" i="9"/>
  <c r="AN47" i="9"/>
  <c r="AJ47" i="9"/>
  <c r="AH49" i="9"/>
  <c r="AP49" i="9"/>
  <c r="AI50" i="9"/>
  <c r="AJ51" i="9"/>
  <c r="AK52" i="9"/>
  <c r="AD53" i="9"/>
  <c r="AL53" i="9"/>
  <c r="AE54" i="9"/>
  <c r="AM54" i="9"/>
  <c r="AF55" i="9"/>
  <c r="AV11" i="10" a="1"/>
  <c r="AB48" i="9" a="1"/>
  <c r="AW47" i="10" a="1"/>
  <c r="AV42" i="10" a="1"/>
  <c r="AU47" i="10" a="1"/>
  <c r="AY44" i="10" a="1"/>
  <c r="BK25" i="10" a="1"/>
  <c r="AV44" i="10" l="1" a="1"/>
  <c r="AY47" i="10" a="1"/>
  <c r="AY47" i="10" s="1"/>
  <c r="AY46" i="10" a="1"/>
  <c r="AY46" i="10" s="1"/>
  <c r="AY42" i="10" a="1"/>
  <c r="AY42" i="10" s="1"/>
  <c r="AU41" i="10"/>
  <c r="AY44" i="10"/>
  <c r="AU47" i="10"/>
  <c r="AV42" i="10"/>
  <c r="AV43" i="10" s="1" a="1"/>
  <c r="AV43" i="10" s="1"/>
  <c r="AW47" i="10"/>
  <c r="AB48" i="9"/>
  <c r="AO48" i="9" s="1"/>
  <c r="AV11" i="10"/>
  <c r="AV44" i="10"/>
  <c r="AV46" i="10" a="1"/>
  <c r="AV46" i="10" s="1"/>
  <c r="AW46" i="10" a="1"/>
  <c r="AW46" i="10" s="1"/>
  <c r="AY43" i="10" a="1"/>
  <c r="AY43" i="10" s="1"/>
  <c r="BK25" i="10"/>
  <c r="BK28" i="10" s="1" a="1"/>
  <c r="BK28" i="10" s="1"/>
  <c r="AN55" i="9"/>
  <c r="AG56" i="9"/>
  <c r="AO56" i="9"/>
  <c r="AH57" i="9"/>
  <c r="AP57" i="9"/>
  <c r="AI58" i="9"/>
  <c r="AE59" i="9"/>
  <c r="AN59" i="9"/>
  <c r="AE60" i="9"/>
  <c r="AN60" i="9"/>
  <c r="AE61" i="9"/>
  <c r="AN61" i="9"/>
  <c r="AE62" i="9"/>
  <c r="AN62" i="9"/>
  <c r="AE63" i="9"/>
  <c r="AN63" i="9"/>
  <c r="AG64" i="9"/>
  <c r="AE65" i="9"/>
  <c r="AP65" i="9"/>
  <c r="AD66" i="9"/>
  <c r="AN66" i="9"/>
  <c r="AM67" i="9"/>
  <c r="AO68" i="9"/>
  <c r="AD69" i="9"/>
  <c r="AM70" i="9"/>
  <c r="AF71" i="9"/>
  <c r="AZ41" i="10" a="1"/>
  <c r="BZ41" i="10" a="1"/>
  <c r="BJ25" i="10" l="1"/>
  <c r="BN30" i="10" a="1"/>
  <c r="BN30" i="10" s="1"/>
  <c r="BL31" i="10" a="1"/>
  <c r="BL31" i="10" s="1"/>
  <c r="BO25" i="10" a="1"/>
  <c r="BO25" i="10" s="1"/>
  <c r="BN28" i="10" a="1"/>
  <c r="BN28" i="10" s="1"/>
  <c r="BK26" i="10" a="1"/>
  <c r="BK26" i="10" s="1"/>
  <c r="BK27" i="10" s="1" a="1"/>
  <c r="BK27" i="10" s="1"/>
  <c r="BL30" i="10" a="1"/>
  <c r="BL30" i="10" s="1"/>
  <c r="BK30" i="10" a="1"/>
  <c r="BK30" i="10" s="1"/>
  <c r="BN26" i="10" a="1"/>
  <c r="BN26" i="10" s="1"/>
  <c r="BN27" i="10" a="1"/>
  <c r="BN27" i="10" s="1"/>
  <c r="AZ41" i="10"/>
  <c r="BJ31" i="10" a="1"/>
  <c r="BJ31" i="10" s="1"/>
  <c r="BJ30" i="10" a="1"/>
  <c r="BJ30" i="10" s="1"/>
  <c r="BN31" i="10" a="1"/>
  <c r="BN31" i="10" s="1"/>
  <c r="BZ41" i="10"/>
  <c r="BY47" i="10" s="1" a="1"/>
  <c r="BY47" i="10" s="1"/>
  <c r="AJ72" i="9"/>
  <c r="AK74" i="9"/>
  <c r="AD75" i="9"/>
  <c r="AM76" i="9"/>
  <c r="AO77" i="9"/>
  <c r="AG78" i="9"/>
  <c r="AP79" i="9"/>
  <c r="AD80" i="9"/>
  <c r="AM81" i="9"/>
  <c r="AK82" i="9"/>
  <c r="AD85" i="9"/>
  <c r="AL89" i="9"/>
  <c r="AN95" i="9"/>
  <c r="AK96" i="9"/>
  <c r="AM111" i="9"/>
  <c r="AN113" i="9"/>
  <c r="AG114" i="9"/>
  <c r="AH131" i="9"/>
  <c r="AL145" i="9"/>
  <c r="AH147" i="9"/>
  <c r="AN210" i="9"/>
  <c r="AK3" i="9"/>
  <c r="AD4" i="9"/>
  <c r="AF6" i="9"/>
  <c r="J17" i="10" a="1"/>
  <c r="BY46" i="10" l="1" a="1"/>
  <c r="BY46" i="10" s="1"/>
  <c r="BZ46" i="10" a="1"/>
  <c r="BZ46" i="10" s="1"/>
  <c r="BZ42" i="10" a="1"/>
  <c r="BZ42" i="10" s="1"/>
  <c r="BZ43" i="10" s="1" a="1"/>
  <c r="BZ43" i="10" s="1"/>
  <c r="CC44" i="10" a="1"/>
  <c r="CC44" i="10" s="1"/>
  <c r="CA47" i="10" a="1"/>
  <c r="CA47" i="10" s="1"/>
  <c r="CA46" i="10" a="1"/>
  <c r="CA46" i="10" s="1"/>
  <c r="BZ44" i="10" a="1"/>
  <c r="BZ44" i="10" s="1"/>
  <c r="BY41" i="10"/>
  <c r="CC43" i="10" a="1"/>
  <c r="CC43" i="10" s="1"/>
  <c r="CC42" i="10" a="1"/>
  <c r="CC42" i="10" s="1"/>
  <c r="CD41" i="10" a="1"/>
  <c r="CD41" i="10" s="1"/>
  <c r="CC47" i="10" a="1"/>
  <c r="CC47" i="10" s="1"/>
  <c r="CC46" i="10" a="1"/>
  <c r="CC46" i="10" s="1"/>
  <c r="J17" i="10"/>
  <c r="I17" i="10" s="1"/>
  <c r="AH6" i="9"/>
  <c r="AN6" i="9"/>
  <c r="AP8" i="9"/>
  <c r="AD12" i="9"/>
  <c r="AL12" i="9"/>
  <c r="AE13" i="9"/>
  <c r="Z13" i="9"/>
  <c r="AM13" i="9"/>
  <c r="AF14" i="9"/>
  <c r="I23" i="10" a="1"/>
  <c r="K23" i="10" a="1"/>
  <c r="X11" i="9" a="1"/>
  <c r="M18" i="10" a="1"/>
  <c r="M20" i="10" a="1"/>
  <c r="I22" i="10" a="1"/>
  <c r="J18" i="10" a="1"/>
  <c r="J20" i="10" a="1"/>
  <c r="V9" i="9" a="1"/>
  <c r="M23" i="10" a="1"/>
  <c r="Y1" i="10" a="1"/>
  <c r="K22" i="10" l="1" a="1"/>
  <c r="M22" i="10" a="1"/>
  <c r="N17" i="10" a="1"/>
  <c r="M19" i="10" a="1"/>
  <c r="M19" i="10" s="1"/>
  <c r="J22" i="10" a="1"/>
  <c r="J22" i="10" s="1"/>
  <c r="M23" i="10"/>
  <c r="K22" i="10"/>
  <c r="V9" i="9"/>
  <c r="AI9" i="9" s="1"/>
  <c r="J20" i="10"/>
  <c r="J18" i="10"/>
  <c r="I22" i="10"/>
  <c r="M20" i="10"/>
  <c r="M18" i="10"/>
  <c r="M22" i="10"/>
  <c r="N17" i="10"/>
  <c r="X11" i="9"/>
  <c r="AK11" i="9" s="1"/>
  <c r="K23" i="10"/>
  <c r="I23" i="10"/>
  <c r="Y1" i="10"/>
  <c r="AG14" i="9"/>
  <c r="AO14" i="9"/>
  <c r="AH14" i="9"/>
  <c r="AN14" i="9"/>
  <c r="AP16" i="9"/>
  <c r="AD20" i="9"/>
  <c r="AL20" i="9"/>
  <c r="AE21" i="9"/>
  <c r="AM21" i="9"/>
  <c r="AF22" i="9"/>
  <c r="Y6" i="10" a="1"/>
  <c r="AB6" i="10" a="1"/>
  <c r="X19" i="9" a="1"/>
  <c r="AB2" i="10" a="1"/>
  <c r="J19" i="10" a="1"/>
  <c r="X6" i="10" a="1"/>
  <c r="AC1" i="10" a="1"/>
  <c r="Y33" i="10" a="1"/>
  <c r="AC1" i="10" l="1"/>
  <c r="X6" i="10"/>
  <c r="J19" i="10"/>
  <c r="AB2" i="10"/>
  <c r="X19" i="9"/>
  <c r="AK19" i="9" s="1"/>
  <c r="AB6" i="10"/>
  <c r="Y6" i="10"/>
  <c r="X1" i="10"/>
  <c r="Y33" i="10"/>
  <c r="AG22" i="9"/>
  <c r="X33" i="10"/>
  <c r="AO22" i="9"/>
  <c r="AH22" i="9"/>
  <c r="AN22" i="9"/>
  <c r="AP24" i="9"/>
  <c r="AI25" i="9"/>
  <c r="AD28" i="9"/>
  <c r="AE29" i="9"/>
  <c r="Z26" i="9"/>
  <c r="AM29" i="9"/>
  <c r="AF30" i="9"/>
  <c r="Z6" i="10" a="1"/>
  <c r="AB7" i="10" a="1"/>
  <c r="Z7" i="10" a="1"/>
  <c r="Y36" i="10" a="1"/>
  <c r="AB3" i="10" a="1"/>
  <c r="AB4" i="10" a="1"/>
  <c r="Y4" i="10" a="1"/>
  <c r="Y2" i="10" a="1"/>
  <c r="X35" i="9" a="1"/>
  <c r="X7" i="10" a="1"/>
  <c r="AB39" i="10" a="1"/>
  <c r="Z39" i="10" a="1"/>
  <c r="Y25" i="9" a="1"/>
  <c r="X38" i="10" a="1"/>
  <c r="AN17" i="10" a="1"/>
  <c r="X38" i="10" l="1"/>
  <c r="Y25" i="9"/>
  <c r="AL28" i="9" s="1"/>
  <c r="Z39" i="10"/>
  <c r="AB39" i="10"/>
  <c r="X7" i="10"/>
  <c r="X35" i="9"/>
  <c r="AK27" i="9" s="1"/>
  <c r="Y2" i="10"/>
  <c r="Y4" i="10"/>
  <c r="AB4" i="10"/>
  <c r="AB3" i="10"/>
  <c r="Y36" i="10"/>
  <c r="Z7" i="10"/>
  <c r="AB7" i="10"/>
  <c r="Z6" i="10"/>
  <c r="AN17" i="10"/>
  <c r="AM17" i="10" s="1"/>
  <c r="AA27" i="9"/>
  <c r="AN30" i="9"/>
  <c r="AP32" i="9"/>
  <c r="AI33" i="9"/>
  <c r="AK35" i="9"/>
  <c r="AD36" i="9"/>
  <c r="AE37" i="9"/>
  <c r="AM37" i="9"/>
  <c r="AF38" i="9"/>
  <c r="Z38" i="10" a="1"/>
  <c r="AR17" i="10" a="1"/>
  <c r="AC33" i="10" a="1"/>
  <c r="AQ22" i="10" a="1"/>
  <c r="T27" i="9" a="1"/>
  <c r="X39" i="10" a="1"/>
  <c r="AM22" i="10" a="1"/>
  <c r="AN22" i="10" a="1"/>
  <c r="Y38" i="9" a="1"/>
  <c r="AB35" i="10" a="1"/>
  <c r="AM23" i="10" a="1"/>
  <c r="AQ19" i="10" a="1"/>
  <c r="AB34" i="10" a="1"/>
  <c r="AB27" i="9" a="1"/>
  <c r="AQ20" i="10" a="1"/>
  <c r="Y38" i="10" a="1"/>
  <c r="U27" i="9" a="1"/>
  <c r="AO22" i="10" a="1"/>
  <c r="AB38" i="10" a="1"/>
  <c r="AN20" i="10" a="1"/>
  <c r="AO23" i="10" a="1"/>
  <c r="Y34" i="10" a="1"/>
  <c r="AB36" i="10" a="1"/>
  <c r="BC1" i="10" a="1"/>
  <c r="AB36" i="10" l="1"/>
  <c r="Y34" i="10"/>
  <c r="AO23" i="10"/>
  <c r="AN20" i="10"/>
  <c r="AB38" i="10"/>
  <c r="AO22" i="10"/>
  <c r="U27" i="9"/>
  <c r="AH30" i="9" s="1"/>
  <c r="Y38" i="10"/>
  <c r="AQ20" i="10"/>
  <c r="AB27" i="9"/>
  <c r="AO30" i="9" s="1"/>
  <c r="AB34" i="10"/>
  <c r="AQ19" i="10"/>
  <c r="AM23" i="10"/>
  <c r="AB35" i="10"/>
  <c r="Y38" i="9"/>
  <c r="AL36" i="9" s="1"/>
  <c r="AN22" i="10"/>
  <c r="AM22" i="10"/>
  <c r="X39" i="10"/>
  <c r="T27" i="9"/>
  <c r="AG30" i="9" s="1"/>
  <c r="AQ22" i="10"/>
  <c r="AC33" i="10"/>
  <c r="AR17" i="10"/>
  <c r="Z38" i="10"/>
  <c r="BC1" i="10"/>
  <c r="BB1" i="10" s="1"/>
  <c r="AA32" i="9"/>
  <c r="AN38" i="9" s="1"/>
  <c r="AP40" i="9"/>
  <c r="AK43" i="9"/>
  <c r="AD44" i="9"/>
  <c r="AE45" i="9"/>
  <c r="AM45" i="9"/>
  <c r="AF46" i="9"/>
  <c r="BF4" i="10" a="1"/>
  <c r="Y35" i="10" a="1"/>
  <c r="AQ23" i="10" a="1"/>
  <c r="AB32" i="9" a="1"/>
  <c r="AN18" i="10" a="1"/>
  <c r="T32" i="9" a="1"/>
  <c r="BF3" i="10" a="1"/>
  <c r="U32" i="9" a="1"/>
  <c r="BF6" i="10" a="1"/>
  <c r="Y44" i="9" a="1"/>
  <c r="Y3" i="10" a="1"/>
  <c r="BB7" i="10" a="1"/>
  <c r="AQ18" i="10" a="1"/>
  <c r="BC33" i="10" a="1"/>
  <c r="BD7" i="10" l="1" a="1"/>
  <c r="BC6" i="10" a="1"/>
  <c r="BB6" i="10" a="1"/>
  <c r="BC4" i="10" a="1"/>
  <c r="BG1" i="10" a="1"/>
  <c r="BD6" i="10" a="1"/>
  <c r="AQ18" i="10"/>
  <c r="BG1" i="10"/>
  <c r="BB7" i="10"/>
  <c r="BC6" i="10"/>
  <c r="BB6" i="10"/>
  <c r="Y3" i="10"/>
  <c r="Y44" i="9"/>
  <c r="AL44" i="9" s="1"/>
  <c r="BC4" i="10"/>
  <c r="BF6" i="10"/>
  <c r="U32" i="9"/>
  <c r="AH38" i="9" s="1"/>
  <c r="BF3" i="10"/>
  <c r="T32" i="9"/>
  <c r="AG38" i="9" s="1"/>
  <c r="AN18" i="10"/>
  <c r="BD7" i="10"/>
  <c r="AB32" i="9"/>
  <c r="AO38" i="9" s="1"/>
  <c r="AQ23" i="10"/>
  <c r="Y35" i="10"/>
  <c r="BD6" i="10"/>
  <c r="BF4" i="10"/>
  <c r="BC33" i="10"/>
  <c r="BB33" i="10" s="1"/>
  <c r="AA46" i="9"/>
  <c r="AN46" i="9" s="1"/>
  <c r="AO47" i="9"/>
  <c r="AP48" i="9"/>
  <c r="AI49" i="9"/>
  <c r="AJ50" i="9"/>
  <c r="AK51" i="9"/>
  <c r="AD52" i="9"/>
  <c r="AL52" i="9"/>
  <c r="AE53" i="9"/>
  <c r="AM53" i="9"/>
  <c r="AF54" i="9"/>
  <c r="T46" i="9" a="1"/>
  <c r="AB46" i="9" a="1"/>
  <c r="BF2" i="10" a="1"/>
  <c r="BC2" i="10" a="1"/>
  <c r="BD39" i="10" a="1"/>
  <c r="AN19" i="10" a="1"/>
  <c r="U46" i="9" a="1"/>
  <c r="U48" i="9" a="1"/>
  <c r="BD38" i="10" a="1"/>
  <c r="BF7" i="10" a="1"/>
  <c r="BR17" i="10" a="1"/>
  <c r="BF38" i="10" l="1" a="1"/>
  <c r="BF35" i="10" a="1"/>
  <c r="BF36" i="10" a="1"/>
  <c r="BB39" i="10" a="1"/>
  <c r="BB39" i="10" s="1"/>
  <c r="BF7" i="10"/>
  <c r="BF38" i="10"/>
  <c r="BD38" i="10"/>
  <c r="BF36" i="10"/>
  <c r="U48" i="9"/>
  <c r="AH48" i="9" s="1"/>
  <c r="U46" i="9"/>
  <c r="AH46" i="9" s="1"/>
  <c r="AN19" i="10"/>
  <c r="BD39" i="10"/>
  <c r="BC2" i="10"/>
  <c r="BF35" i="10"/>
  <c r="BF2" i="10"/>
  <c r="AB46" i="9"/>
  <c r="AO46" i="9" s="1"/>
  <c r="T46" i="9"/>
  <c r="AG46" i="9" s="1"/>
  <c r="BR17" i="10"/>
  <c r="BQ23" i="10" s="1" a="1"/>
  <c r="BQ23" i="10" s="1"/>
  <c r="AN54" i="9"/>
  <c r="AG55" i="9"/>
  <c r="AO55" i="9"/>
  <c r="AH56" i="9"/>
  <c r="AP56" i="9"/>
  <c r="AI57" i="9"/>
  <c r="AJ58" i="9"/>
  <c r="AF59" i="9"/>
  <c r="BG33" i="10" a="1"/>
  <c r="BC38" i="10" a="1"/>
  <c r="BC3" i="10" a="1"/>
  <c r="BC36" i="10" a="1"/>
  <c r="BC34" i="10" a="1"/>
  <c r="BF39" i="10" a="1"/>
  <c r="BF34" i="10" a="1"/>
  <c r="BB38" i="10" a="1"/>
  <c r="BK41" i="10" a="1"/>
  <c r="BR22" i="10" l="1" a="1"/>
  <c r="BR22" i="10" s="1"/>
  <c r="BR18" i="10" a="1"/>
  <c r="BR18" i="10" s="1"/>
  <c r="BR19" i="10" s="1" a="1"/>
  <c r="BR19" i="10" s="1"/>
  <c r="BU18" i="10" a="1"/>
  <c r="BU18" i="10" s="1"/>
  <c r="BU19" i="10" a="1"/>
  <c r="BU19" i="10" s="1"/>
  <c r="BU22" i="10" a="1"/>
  <c r="BU22" i="10" s="1"/>
  <c r="BS23" i="10" a="1"/>
  <c r="BS23" i="10" s="1"/>
  <c r="BS22" i="10" a="1"/>
  <c r="BS22" i="10" s="1"/>
  <c r="BQ22" i="10" a="1"/>
  <c r="BQ22" i="10" s="1"/>
  <c r="BU20" i="10" a="1"/>
  <c r="BU20" i="10" s="1"/>
  <c r="BV17" i="10" a="1"/>
  <c r="BV17" i="10" s="1"/>
  <c r="BU23" i="10" a="1"/>
  <c r="BU23" i="10" s="1"/>
  <c r="BR20" i="10" a="1"/>
  <c r="BR20" i="10" s="1"/>
  <c r="BB38" i="10"/>
  <c r="BF34" i="10"/>
  <c r="BF39" i="10"/>
  <c r="BC34" i="10"/>
  <c r="BC36" i="10"/>
  <c r="BC3" i="10"/>
  <c r="BC38" i="10"/>
  <c r="BG33" i="10"/>
  <c r="BQ17" i="10"/>
  <c r="BK41" i="10"/>
  <c r="BK42" i="10" s="1" a="1"/>
  <c r="BK42" i="10" s="1"/>
  <c r="AO59" i="9"/>
  <c r="AF60" i="9"/>
  <c r="BR41" i="10" a="1"/>
  <c r="BO41" i="10" l="1" a="1"/>
  <c r="BO41" i="10" s="1"/>
  <c r="BJ47" i="10" a="1"/>
  <c r="BJ47" i="10" s="1"/>
  <c r="BK46" i="10" a="1"/>
  <c r="BK46" i="10" s="1"/>
  <c r="BK43" i="10" a="1"/>
  <c r="BK43" i="10" s="1"/>
  <c r="BN47" i="10" a="1"/>
  <c r="BN47" i="10" s="1"/>
  <c r="BJ41" i="10"/>
  <c r="BN42" i="10" a="1"/>
  <c r="BN42" i="10" s="1"/>
  <c r="BL47" i="10" a="1"/>
  <c r="BL47" i="10" s="1"/>
  <c r="BN46" i="10" a="1"/>
  <c r="BN46" i="10" s="1"/>
  <c r="BK44" i="10" a="1"/>
  <c r="BK44" i="10" s="1"/>
  <c r="BJ46" i="10" a="1"/>
  <c r="BJ46" i="10" s="1"/>
  <c r="BL46" i="10" a="1"/>
  <c r="BL46" i="10" s="1"/>
  <c r="BN44" i="10" a="1"/>
  <c r="BN44" i="10" s="1"/>
  <c r="BN43" i="10" a="1"/>
  <c r="BN43" i="10" s="1"/>
  <c r="BR41" i="10"/>
  <c r="BU46" i="10" s="1" a="1"/>
  <c r="BU46" i="10" s="1"/>
  <c r="AO60" i="9"/>
  <c r="AF61" i="9"/>
  <c r="BC35" i="10" a="1"/>
  <c r="BZ1" i="10" a="1"/>
  <c r="BQ41" i="10" l="1"/>
  <c r="BR46" i="10" a="1"/>
  <c r="BR46" i="10" s="1"/>
  <c r="BV41" i="10" a="1"/>
  <c r="BV41" i="10" s="1"/>
  <c r="BC35" i="10"/>
  <c r="BS47" i="10" a="1"/>
  <c r="BS47" i="10" s="1"/>
  <c r="BU42" i="10" a="1"/>
  <c r="BU42" i="10" s="1"/>
  <c r="BQ46" i="10" a="1"/>
  <c r="BQ46" i="10" s="1"/>
  <c r="BR42" i="10" a="1"/>
  <c r="BR42" i="10" s="1"/>
  <c r="BR43" i="10" s="1" a="1"/>
  <c r="BR43" i="10" s="1"/>
  <c r="BQ47" i="10" a="1"/>
  <c r="BQ47" i="10" s="1"/>
  <c r="BS46" i="10" a="1"/>
  <c r="BS46" i="10" s="1"/>
  <c r="BU47" i="10" a="1"/>
  <c r="BU47" i="10" s="1"/>
  <c r="BU44" i="10" a="1"/>
  <c r="BU44" i="10" s="1"/>
  <c r="BR44" i="10" a="1"/>
  <c r="BR44" i="10" s="1"/>
  <c r="BU43" i="10" a="1"/>
  <c r="BU43" i="10" s="1"/>
  <c r="BZ1" i="10"/>
  <c r="CA6" i="10" s="1" a="1"/>
  <c r="CA6" i="10" s="1"/>
  <c r="AO61" i="9"/>
  <c r="AF62" i="9"/>
  <c r="CG1" i="10" a="1"/>
  <c r="CC3" i="10" l="1" a="1"/>
  <c r="CC3" i="10" s="1"/>
  <c r="BY7" i="10" a="1"/>
  <c r="BY7" i="10" s="1"/>
  <c r="CC2" i="10" a="1"/>
  <c r="CC2" i="10" s="1"/>
  <c r="BZ4" i="10" a="1"/>
  <c r="BZ4" i="10" s="1"/>
  <c r="BZ2" i="10" a="1"/>
  <c r="BZ2" i="10" s="1"/>
  <c r="BZ3" i="10" s="1" a="1"/>
  <c r="BZ3" i="10" s="1"/>
  <c r="CA7" i="10" a="1"/>
  <c r="CA7" i="10" s="1"/>
  <c r="CC4" i="10" a="1"/>
  <c r="CC4" i="10" s="1"/>
  <c r="CC7" i="10" a="1"/>
  <c r="CC7" i="10" s="1"/>
  <c r="CC6" i="10" a="1"/>
  <c r="CC6" i="10" s="1"/>
  <c r="BY6" i="10" a="1"/>
  <c r="BY6" i="10" s="1"/>
  <c r="CD1" i="10" a="1"/>
  <c r="CD1" i="10" s="1"/>
  <c r="BZ6" i="10" a="1"/>
  <c r="BZ6" i="10" s="1"/>
  <c r="BY1" i="10"/>
  <c r="CG1" i="10"/>
  <c r="CG6" i="10" s="1" a="1"/>
  <c r="CG6" i="10" s="1"/>
  <c r="CG2" i="10" a="1"/>
  <c r="CG2" i="10" s="1"/>
  <c r="AO62" i="9"/>
  <c r="AF63" i="9"/>
  <c r="BZ9" i="10" a="1"/>
  <c r="CF1" i="10" l="1"/>
  <c r="CJ3" i="10" a="1"/>
  <c r="CJ3" i="10" s="1"/>
  <c r="CG4" i="10" a="1"/>
  <c r="CG4" i="10" s="1"/>
  <c r="CJ4" i="10" a="1"/>
  <c r="CJ4" i="10" s="1"/>
  <c r="CF7" i="10" a="1"/>
  <c r="CF7" i="10" s="1"/>
  <c r="CH7" i="10" a="1"/>
  <c r="CH7" i="10" s="1"/>
  <c r="CJ2" i="10" a="1"/>
  <c r="CJ2" i="10" s="1"/>
  <c r="CF6" i="10" a="1"/>
  <c r="CF6" i="10" s="1"/>
  <c r="CK1" i="10" a="1"/>
  <c r="CK1" i="10" s="1"/>
  <c r="CG3" i="10" a="1"/>
  <c r="CG3" i="10" s="1"/>
  <c r="CJ7" i="10" a="1"/>
  <c r="CJ7" i="10" s="1"/>
  <c r="CJ6" i="10" a="1"/>
  <c r="CJ6" i="10" s="1"/>
  <c r="CH6" i="10" a="1"/>
  <c r="CH6" i="10" s="1"/>
  <c r="BZ9" i="10"/>
  <c r="CC12" i="10" s="1" a="1"/>
  <c r="CC12" i="10" s="1"/>
  <c r="AO63" i="9"/>
  <c r="AI64" i="9"/>
  <c r="AG65" i="9"/>
  <c r="AE66" i="9"/>
  <c r="AP66" i="9"/>
  <c r="AD67" i="9"/>
  <c r="AN67" i="9"/>
  <c r="AF69" i="9"/>
  <c r="BZ33" i="10" a="1"/>
  <c r="CC10" i="10" l="1" a="1"/>
  <c r="CC10" i="10" s="1"/>
  <c r="CA15" i="10" a="1"/>
  <c r="CA15" i="10" s="1"/>
  <c r="CD9" i="10" a="1"/>
  <c r="CD9" i="10" s="1"/>
  <c r="BZ14" i="10" a="1"/>
  <c r="BZ14" i="10" s="1"/>
  <c r="BY14" i="10" a="1"/>
  <c r="BY14" i="10" s="1"/>
  <c r="CC11" i="10" a="1"/>
  <c r="CC11" i="10" s="1"/>
  <c r="BZ12" i="10" a="1"/>
  <c r="BZ12" i="10" s="1"/>
  <c r="BY15" i="10" a="1"/>
  <c r="BY15" i="10" s="1"/>
  <c r="BZ10" i="10" a="1"/>
  <c r="BZ10" i="10" s="1"/>
  <c r="BZ11" i="10" s="1" a="1"/>
  <c r="BZ11" i="10" s="1"/>
  <c r="CC14" i="10" a="1"/>
  <c r="CC14" i="10" s="1"/>
  <c r="CC15" i="10" a="1"/>
  <c r="CC15" i="10" s="1"/>
  <c r="BY9" i="10"/>
  <c r="CA14" i="10" a="1"/>
  <c r="CA14" i="10" s="1"/>
  <c r="BZ33" i="10"/>
  <c r="CC38" i="10" s="1" a="1"/>
  <c r="CC38" i="10" s="1"/>
  <c r="AO70" i="9"/>
  <c r="AG71" i="9"/>
  <c r="AL72" i="9"/>
  <c r="AE73" i="9"/>
  <c r="AL74" i="9"/>
  <c r="AE75" i="9"/>
  <c r="AN76" i="9"/>
  <c r="AH78" i="9"/>
  <c r="AF80" i="9"/>
  <c r="AO81" i="9"/>
  <c r="AL82" i="9"/>
  <c r="AH85" i="9"/>
  <c r="AF97" i="9"/>
  <c r="AO100" i="9"/>
  <c r="AD119" i="9"/>
  <c r="AM138" i="9"/>
  <c r="AF13" i="9"/>
  <c r="R1" i="10" a="1"/>
  <c r="BY39" i="10" l="1" a="1"/>
  <c r="BY39" i="10" s="1"/>
  <c r="BY38" i="10" a="1"/>
  <c r="BY38" i="10" s="1"/>
  <c r="BY33" i="10"/>
  <c r="CA39" i="10" a="1"/>
  <c r="CA39" i="10" s="1"/>
  <c r="CA38" i="10" a="1"/>
  <c r="CA38" i="10" s="1"/>
  <c r="CC35" i="10" a="1"/>
  <c r="CC35" i="10" s="1"/>
  <c r="BZ34" i="10" a="1"/>
  <c r="BZ34" i="10" s="1"/>
  <c r="BZ35" i="10" s="1" a="1"/>
  <c r="BZ35" i="10" s="1"/>
  <c r="CC39" i="10" a="1"/>
  <c r="CC39" i="10" s="1"/>
  <c r="CD33" i="10" a="1"/>
  <c r="CD33" i="10" s="1"/>
  <c r="CC36" i="10" a="1"/>
  <c r="CC36" i="10" s="1"/>
  <c r="BZ38" i="10" a="1"/>
  <c r="BZ38" i="10" s="1"/>
  <c r="BZ36" i="10" a="1"/>
  <c r="BZ36" i="10" s="1"/>
  <c r="CC34" i="10" a="1"/>
  <c r="CC34" i="10" s="1"/>
  <c r="R1" i="10"/>
  <c r="Q7" i="10" s="1" a="1"/>
  <c r="AA13" i="9"/>
  <c r="AN13" i="9"/>
  <c r="AP15" i="9"/>
  <c r="AD19" i="9"/>
  <c r="AE20" i="9"/>
  <c r="AM20" i="9"/>
  <c r="AF21" i="9"/>
  <c r="U4" i="10" a="1"/>
  <c r="S6" i="10" a="1"/>
  <c r="R6" i="10" a="1"/>
  <c r="T13" i="9" a="1"/>
  <c r="V16" i="9" a="1"/>
  <c r="S7" i="10" a="1"/>
  <c r="U13" i="9" a="1"/>
  <c r="U6" i="10" a="1"/>
  <c r="AB13" i="9" a="1"/>
  <c r="R4" i="10" a="1"/>
  <c r="Y19" i="9" a="1"/>
  <c r="V1" i="10" a="1"/>
  <c r="R33" i="10" a="1"/>
  <c r="Q6" i="10" l="1" a="1"/>
  <c r="U3" i="10" a="1"/>
  <c r="Q1" i="10"/>
  <c r="V1" i="10"/>
  <c r="U3" i="10"/>
  <c r="Y19" i="9"/>
  <c r="AL19" i="9" s="1"/>
  <c r="R4" i="10"/>
  <c r="AB13" i="9"/>
  <c r="AO13" i="9" s="1"/>
  <c r="U6" i="10"/>
  <c r="U13" i="9"/>
  <c r="AH13" i="9" s="1"/>
  <c r="S7" i="10"/>
  <c r="V16" i="9"/>
  <c r="AI16" i="9" s="1"/>
  <c r="Q6" i="10"/>
  <c r="T13" i="9"/>
  <c r="AG13" i="9" s="1"/>
  <c r="R6" i="10"/>
  <c r="Q7" i="10"/>
  <c r="S6" i="10"/>
  <c r="U4" i="10"/>
  <c r="R33" i="10"/>
  <c r="Q33" i="10" s="1"/>
  <c r="AO21" i="9"/>
  <c r="AH21" i="9"/>
  <c r="AG21" i="9"/>
  <c r="AN21" i="9"/>
  <c r="AP23" i="9"/>
  <c r="AD27" i="9"/>
  <c r="AE28" i="9"/>
  <c r="Z25" i="9"/>
  <c r="AM28" i="9" s="1"/>
  <c r="AF29" i="9"/>
  <c r="R36" i="10" a="1"/>
  <c r="Q38" i="10" a="1"/>
  <c r="R2" i="10" a="1"/>
  <c r="V22" i="9" a="1"/>
  <c r="U7" i="10" a="1"/>
  <c r="V33" i="10" a="1"/>
  <c r="U2" i="10" a="1"/>
  <c r="Y35" i="9" a="1"/>
  <c r="Q39" i="10" a="1"/>
  <c r="U36" i="10" a="1"/>
  <c r="U39" i="10" a="1"/>
  <c r="AG17" i="10" a="1"/>
  <c r="U39" i="10" l="1"/>
  <c r="U36" i="10"/>
  <c r="Q39" i="10"/>
  <c r="Y35" i="9"/>
  <c r="AL27" i="9" s="1"/>
  <c r="U2" i="10"/>
  <c r="V33" i="10"/>
  <c r="U7" i="10"/>
  <c r="V22" i="9"/>
  <c r="AI24" i="9" s="1"/>
  <c r="R2" i="10"/>
  <c r="Q38" i="10"/>
  <c r="R36" i="10"/>
  <c r="AG17" i="10"/>
  <c r="AF17" i="10" s="1"/>
  <c r="AA26" i="9"/>
  <c r="AN29" i="9" s="1"/>
  <c r="AP31" i="9"/>
  <c r="AI32" i="9"/>
  <c r="AD35" i="9"/>
  <c r="AL35" i="9"/>
  <c r="AE36" i="9"/>
  <c r="Z38" i="9"/>
  <c r="AM36" i="9"/>
  <c r="AF37" i="9"/>
  <c r="R3" i="10" a="1"/>
  <c r="U34" i="10" a="1"/>
  <c r="T26" i="9" a="1"/>
  <c r="S39" i="10" a="1"/>
  <c r="AB26" i="9" a="1"/>
  <c r="R34" i="10" a="1"/>
  <c r="U35" i="10" a="1"/>
  <c r="AF23" i="10" a="1"/>
  <c r="U38" i="10" a="1"/>
  <c r="S38" i="10" a="1"/>
  <c r="U26" i="9" a="1"/>
  <c r="R38" i="10" a="1"/>
  <c r="AV1" i="10" a="1"/>
  <c r="AG22" i="10" l="1" a="1"/>
  <c r="R38" i="10"/>
  <c r="U26" i="9"/>
  <c r="AH29" i="9" s="1"/>
  <c r="S38" i="10"/>
  <c r="U38" i="10"/>
  <c r="AF23" i="10"/>
  <c r="U35" i="10"/>
  <c r="R34" i="10"/>
  <c r="R35" i="10" s="1" a="1"/>
  <c r="AG22" i="10"/>
  <c r="AB26" i="9"/>
  <c r="AO29" i="9" s="1"/>
  <c r="S39" i="10"/>
  <c r="T26" i="9"/>
  <c r="AG29" i="9" s="1"/>
  <c r="U34" i="10"/>
  <c r="R3" i="10"/>
  <c r="AV1" i="10"/>
  <c r="AU1" i="10" s="1"/>
  <c r="AN37" i="9"/>
  <c r="AP39" i="9"/>
  <c r="AD43" i="9"/>
  <c r="AL43" i="9"/>
  <c r="AE44" i="9"/>
  <c r="Z44" i="9"/>
  <c r="AM44" i="9"/>
  <c r="AF45" i="9"/>
  <c r="AJ23" i="10" a="1"/>
  <c r="AJ22" i="10" a="1"/>
  <c r="AY3" i="10" a="1"/>
  <c r="AJ18" i="10" a="1"/>
  <c r="AK17" i="10" a="1"/>
  <c r="AY4" i="10" a="1"/>
  <c r="AV2" i="10" a="1"/>
  <c r="AY7" i="10" a="1"/>
  <c r="AG18" i="10" a="1"/>
  <c r="AH23" i="10" a="1"/>
  <c r="AV6" i="10" a="1"/>
  <c r="AJ19" i="10" a="1"/>
  <c r="AV4" i="10" a="1"/>
  <c r="AF22" i="10" a="1"/>
  <c r="AG20" i="10" a="1"/>
  <c r="AW7" i="10" a="1"/>
  <c r="AW6" i="10" a="1"/>
  <c r="X42" i="9" a="1"/>
  <c r="AH22" i="10" a="1"/>
  <c r="AJ20" i="10" a="1"/>
  <c r="AY2" i="10" a="1"/>
  <c r="AZ1" i="10" a="1"/>
  <c r="AU6" i="10" a="1"/>
  <c r="AY6" i="10" a="1"/>
  <c r="AV33" i="10" a="1"/>
  <c r="AY6" i="10" l="1"/>
  <c r="AU6" i="10"/>
  <c r="AZ1" i="10"/>
  <c r="AY2" i="10"/>
  <c r="AJ20" i="10"/>
  <c r="AH22" i="10"/>
  <c r="R35" i="10"/>
  <c r="X42" i="9"/>
  <c r="AK42" i="9" s="1"/>
  <c r="AW6" i="10"/>
  <c r="AW7" i="10"/>
  <c r="AG20" i="10"/>
  <c r="AF22" i="10"/>
  <c r="AV4" i="10"/>
  <c r="AJ19" i="10"/>
  <c r="AV6" i="10"/>
  <c r="AH23" i="10"/>
  <c r="AG18" i="10"/>
  <c r="AY7" i="10"/>
  <c r="AV2" i="10"/>
  <c r="AY4" i="10"/>
  <c r="AK17" i="10"/>
  <c r="AJ18" i="10"/>
  <c r="AY3" i="10"/>
  <c r="AJ22" i="10"/>
  <c r="AJ23" i="10"/>
  <c r="AV33" i="10"/>
  <c r="AG45" i="9"/>
  <c r="AH45" i="9"/>
  <c r="AN45" i="9"/>
  <c r="AO45" i="9"/>
  <c r="AH47" i="9"/>
  <c r="AP47" i="9"/>
  <c r="AJ49" i="9"/>
  <c r="AK50" i="9"/>
  <c r="AD51" i="9"/>
  <c r="AL51" i="9"/>
  <c r="AE52" i="9"/>
  <c r="AM52" i="9"/>
  <c r="AF53" i="9"/>
  <c r="AU39" i="10" a="1"/>
  <c r="AU7" i="10" a="1"/>
  <c r="AV34" i="10" a="1"/>
  <c r="AV38" i="10" a="1"/>
  <c r="AY35" i="10" a="1"/>
  <c r="AY34" i="10" a="1"/>
  <c r="AY36" i="10" a="1"/>
  <c r="AW39" i="10" a="1"/>
  <c r="AY39" i="10" a="1"/>
  <c r="AU38" i="10" a="1"/>
  <c r="AZ33" i="10" a="1"/>
  <c r="V48" i="9" a="1"/>
  <c r="AV36" i="10" a="1"/>
  <c r="BK17" i="10" a="1"/>
  <c r="AV36" i="10" l="1"/>
  <c r="V48" i="9"/>
  <c r="AI48" i="9" s="1"/>
  <c r="AZ33" i="10"/>
  <c r="AU38" i="10"/>
  <c r="AY39" i="10"/>
  <c r="AW39" i="10"/>
  <c r="AY36" i="10"/>
  <c r="AY34" i="10"/>
  <c r="AY35" i="10"/>
  <c r="AV38" i="10"/>
  <c r="AV34" i="10"/>
  <c r="AU7" i="10"/>
  <c r="AU39" i="10"/>
  <c r="AU33" i="10"/>
  <c r="BK17" i="10"/>
  <c r="BK20" i="10" s="1" a="1"/>
  <c r="BK20" i="10" s="1"/>
  <c r="AN53" i="9"/>
  <c r="AG54" i="9"/>
  <c r="AO54" i="9"/>
  <c r="AH55" i="9"/>
  <c r="AP55" i="9"/>
  <c r="AI56" i="9"/>
  <c r="AJ57" i="9"/>
  <c r="AK58" i="9"/>
  <c r="AG59" i="9"/>
  <c r="AG60" i="9"/>
  <c r="AP60" i="9"/>
  <c r="AG61" i="9"/>
  <c r="AP61" i="9"/>
  <c r="AG62" i="9"/>
  <c r="AP62" i="9"/>
  <c r="AG63" i="9"/>
  <c r="AP63" i="9"/>
  <c r="AJ64" i="9"/>
  <c r="AH65" i="9"/>
  <c r="AF66" i="9"/>
  <c r="AG19" i="10" a="1"/>
  <c r="AV35" i="10" a="1"/>
  <c r="AV3" i="10" a="1"/>
  <c r="AY38" i="10" a="1"/>
  <c r="AW38" i="10" a="1"/>
  <c r="CG17" i="10" a="1"/>
  <c r="BN22" i="10" l="1" a="1"/>
  <c r="BN22" i="10" s="1"/>
  <c r="BL23" i="10" a="1"/>
  <c r="BL23" i="10" s="1"/>
  <c r="BN20" i="10" a="1"/>
  <c r="BN20" i="10" s="1"/>
  <c r="BN23" i="10" a="1"/>
  <c r="BN23" i="10" s="1"/>
  <c r="BN18" i="10" a="1"/>
  <c r="BN18" i="10" s="1"/>
  <c r="BJ22" i="10" a="1"/>
  <c r="BJ22" i="10" s="1"/>
  <c r="BL22" i="10" a="1"/>
  <c r="BL22" i="10" s="1"/>
  <c r="AW38" i="10"/>
  <c r="AY38" i="10"/>
  <c r="AV3" i="10"/>
  <c r="AV35" i="10"/>
  <c r="AG19" i="10"/>
  <c r="BK22" i="10" a="1"/>
  <c r="BK22" i="10" s="1"/>
  <c r="BJ23" i="10" a="1"/>
  <c r="BJ23" i="10" s="1"/>
  <c r="BK18" i="10" a="1"/>
  <c r="BK18" i="10" s="1"/>
  <c r="BK19" i="10" s="1" a="1"/>
  <c r="BK19" i="10" s="1"/>
  <c r="BJ17" i="10"/>
  <c r="BO17" i="10" a="1"/>
  <c r="BO17" i="10" s="1"/>
  <c r="BN19" i="10" a="1"/>
  <c r="BN19" i="10" s="1"/>
  <c r="CG17" i="10"/>
  <c r="CG20" i="10" s="1" a="1"/>
  <c r="CG20" i="10" s="1"/>
  <c r="AE67" i="9"/>
  <c r="AO67" i="9"/>
  <c r="AH69" i="9"/>
  <c r="AI71" i="9"/>
  <c r="AO72" i="9"/>
  <c r="AH73" i="9"/>
  <c r="AN74" i="9"/>
  <c r="AG75" i="9"/>
  <c r="AP76" i="9"/>
  <c r="AJ78" i="9"/>
  <c r="AI80" i="9"/>
  <c r="AN82" i="9"/>
  <c r="AH83" i="9"/>
  <c r="AN85" i="9"/>
  <c r="AF90" i="9"/>
  <c r="AD93" i="9"/>
  <c r="AD99" i="9"/>
  <c r="AK102" i="9"/>
  <c r="AM104" i="9"/>
  <c r="AE108" i="9"/>
  <c r="AF143" i="9"/>
  <c r="AG171" i="9"/>
  <c r="AP6" i="9"/>
  <c r="AD10" i="9"/>
  <c r="AE11" i="9"/>
  <c r="Z11" i="9"/>
  <c r="AM11" i="9"/>
  <c r="AF12" i="9"/>
  <c r="V7" i="9" a="1"/>
  <c r="J41" i="10" a="1"/>
  <c r="CF23" i="10" l="1" a="1"/>
  <c r="CF23" i="10" s="1"/>
  <c r="CK17" i="10" a="1"/>
  <c r="CK17" i="10" s="1"/>
  <c r="CG18" i="10" a="1"/>
  <c r="CG18" i="10" s="1"/>
  <c r="CG19" i="10" s="1" a="1"/>
  <c r="CG19" i="10" s="1"/>
  <c r="CJ22" i="10" a="1"/>
  <c r="CJ22" i="10" s="1"/>
  <c r="CJ23" i="10" a="1"/>
  <c r="CJ23" i="10" s="1"/>
  <c r="CJ18" i="10" a="1"/>
  <c r="CJ18" i="10" s="1"/>
  <c r="CF17" i="10"/>
  <c r="CF22" i="10" a="1"/>
  <c r="CF22" i="10" s="1"/>
  <c r="CJ20" i="10" a="1"/>
  <c r="CJ20" i="10" s="1"/>
  <c r="CG22" i="10" a="1"/>
  <c r="CG22" i="10" s="1"/>
  <c r="CH22" i="10" a="1"/>
  <c r="CH22" i="10" s="1"/>
  <c r="V7" i="9"/>
  <c r="CH23" i="10" a="1"/>
  <c r="CH23" i="10" s="1"/>
  <c r="CJ19" i="10" a="1"/>
  <c r="CJ19" i="10" s="1"/>
  <c r="J41" i="10"/>
  <c r="I41" i="10" s="1"/>
  <c r="AO12" i="9"/>
  <c r="AN12" i="9"/>
  <c r="AG12" i="9"/>
  <c r="AP14" i="9"/>
  <c r="AI15" i="9"/>
  <c r="AD18" i="9"/>
  <c r="AE19" i="9"/>
  <c r="Z19" i="9"/>
  <c r="AM19" i="9"/>
  <c r="AF20" i="9"/>
  <c r="M43" i="10" a="1"/>
  <c r="M47" i="10" a="1"/>
  <c r="I46" i="10" a="1"/>
  <c r="M46" i="10" a="1"/>
  <c r="K46" i="10" a="1"/>
  <c r="N41" i="10" a="1"/>
  <c r="J42" i="10" a="1"/>
  <c r="M44" i="10" a="1"/>
  <c r="M42" i="10" a="1"/>
  <c r="J46" i="10" a="1"/>
  <c r="K47" i="10" a="1"/>
  <c r="I47" i="10" a="1"/>
  <c r="J44" i="10" a="1"/>
  <c r="Y25" i="10" a="1"/>
  <c r="AI7" i="9" l="1"/>
  <c r="AI4" i="9"/>
  <c r="J44" i="10"/>
  <c r="I47" i="10"/>
  <c r="K47" i="10"/>
  <c r="J46" i="10"/>
  <c r="M42" i="10"/>
  <c r="M44" i="10"/>
  <c r="J42" i="10"/>
  <c r="N41" i="10"/>
  <c r="K46" i="10"/>
  <c r="M46" i="10"/>
  <c r="I46" i="10"/>
  <c r="M47" i="10"/>
  <c r="M43" i="10"/>
  <c r="Y25" i="10"/>
  <c r="X31" i="10" s="1" a="1"/>
  <c r="AG20" i="9"/>
  <c r="AN20" i="9"/>
  <c r="AO20" i="9"/>
  <c r="AP22" i="9"/>
  <c r="AI23" i="9"/>
  <c r="AD26" i="9"/>
  <c r="AE27" i="9"/>
  <c r="Z35" i="9"/>
  <c r="AM27" i="9"/>
  <c r="AF28" i="9"/>
  <c r="J43" i="10" a="1"/>
  <c r="AB26" i="10" a="1"/>
  <c r="AN9" i="10" a="1"/>
  <c r="AB27" i="10" l="1" a="1"/>
  <c r="Y26" i="10" a="1"/>
  <c r="Y26" i="10" s="1"/>
  <c r="Z30" i="10" a="1"/>
  <c r="Z30" i="10" s="1"/>
  <c r="AB31" i="10" a="1"/>
  <c r="AB26" i="10"/>
  <c r="J43" i="10"/>
  <c r="AB27" i="10"/>
  <c r="AB31" i="10"/>
  <c r="X31" i="10"/>
  <c r="X25" i="10"/>
  <c r="AN9" i="10"/>
  <c r="AA25" i="9"/>
  <c r="AN28" i="9"/>
  <c r="AP30" i="9"/>
  <c r="AI31" i="9"/>
  <c r="AD34" i="9"/>
  <c r="AE35" i="9"/>
  <c r="AM35" i="9"/>
  <c r="AF36" i="9"/>
  <c r="Z31" i="10" a="1"/>
  <c r="AB25" i="9" a="1"/>
  <c r="AB30" i="10" a="1"/>
  <c r="X30" i="10" a="1"/>
  <c r="Y30" i="10" a="1"/>
  <c r="AQ12" i="10" a="1"/>
  <c r="AO14" i="10" a="1"/>
  <c r="T25" i="9" a="1"/>
  <c r="AB28" i="10" a="1"/>
  <c r="AC25" i="10" a="1"/>
  <c r="AQ10" i="10" a="1"/>
  <c r="AO15" i="10" a="1"/>
  <c r="Y28" i="10" a="1"/>
  <c r="AM15" i="10" a="1"/>
  <c r="AN41" i="10" a="1"/>
  <c r="AM15" i="10" l="1"/>
  <c r="Y28" i="10"/>
  <c r="AO15" i="10"/>
  <c r="AQ10" i="10"/>
  <c r="AC25" i="10"/>
  <c r="AB28" i="10"/>
  <c r="T25" i="9"/>
  <c r="AG28" i="9" s="1"/>
  <c r="AO14" i="10"/>
  <c r="AQ12" i="10"/>
  <c r="Y30" i="10"/>
  <c r="X30" i="10"/>
  <c r="AB30" i="10"/>
  <c r="AB25" i="9"/>
  <c r="AO28" i="9" s="1"/>
  <c r="Z31" i="10"/>
  <c r="AM9" i="10"/>
  <c r="AN41" i="10"/>
  <c r="AN44" i="10" s="1" a="1"/>
  <c r="AA38" i="9"/>
  <c r="AN36" i="9"/>
  <c r="AG37" i="9"/>
  <c r="AO37" i="9"/>
  <c r="AP38" i="9"/>
  <c r="AI39" i="9"/>
  <c r="AD42" i="9"/>
  <c r="AE43" i="9"/>
  <c r="AM43" i="9"/>
  <c r="AF44" i="9"/>
  <c r="AM14" i="10" a="1"/>
  <c r="AR9" i="10" a="1"/>
  <c r="Y27" i="10" a="1"/>
  <c r="AQ11" i="10" a="1"/>
  <c r="X41" i="9" a="1"/>
  <c r="AN12" i="10" a="1"/>
  <c r="AN10" i="10" a="1"/>
  <c r="AN14" i="10" a="1"/>
  <c r="AQ14" i="10" a="1"/>
  <c r="AQ15" i="10" a="1"/>
  <c r="BC25" i="10" a="1"/>
  <c r="AQ42" i="10" l="1" a="1"/>
  <c r="AQ44" i="10" a="1"/>
  <c r="AQ44" i="10" s="1"/>
  <c r="AQ42" i="10"/>
  <c r="AN44" i="10"/>
  <c r="AQ15" i="10"/>
  <c r="AQ14" i="10"/>
  <c r="AN14" i="10"/>
  <c r="AN10" i="10"/>
  <c r="AN12" i="10"/>
  <c r="X41" i="9"/>
  <c r="AK41" i="9" s="1"/>
  <c r="AQ11" i="10"/>
  <c r="Y27" i="10"/>
  <c r="AR9" i="10"/>
  <c r="AM14" i="10"/>
  <c r="AM41" i="10"/>
  <c r="BC25" i="10"/>
  <c r="BB25" i="10" s="1"/>
  <c r="AA44" i="9"/>
  <c r="AN44" i="9"/>
  <c r="AP46" i="9"/>
  <c r="AI47" i="9"/>
  <c r="AK49" i="9"/>
  <c r="AD50" i="9"/>
  <c r="AL50" i="9"/>
  <c r="AE51" i="9"/>
  <c r="AM51" i="9"/>
  <c r="AF52" i="9"/>
  <c r="AO46" i="10" a="1"/>
  <c r="AM46" i="10" a="1"/>
  <c r="BC26" i="10" a="1"/>
  <c r="BF28" i="10" a="1"/>
  <c r="BB31" i="10" a="1"/>
  <c r="AQ46" i="10" a="1"/>
  <c r="AQ43" i="10" a="1"/>
  <c r="BF27" i="10" a="1"/>
  <c r="BG25" i="10" a="1"/>
  <c r="BD30" i="10" a="1"/>
  <c r="AN46" i="10" a="1"/>
  <c r="BC30" i="10" a="1"/>
  <c r="AN11" i="10" a="1"/>
  <c r="AQ47" i="10" a="1"/>
  <c r="BB30" i="10" a="1"/>
  <c r="BF30" i="10" a="1"/>
  <c r="BC28" i="10" a="1"/>
  <c r="BF31" i="10" a="1"/>
  <c r="AN42" i="10" a="1"/>
  <c r="AO47" i="10" a="1"/>
  <c r="AM47" i="10" a="1"/>
  <c r="AR41" i="10" a="1"/>
  <c r="BD31" i="10" a="1"/>
  <c r="BF26" i="10" a="1"/>
  <c r="BR9" i="10" a="1"/>
  <c r="BF26" i="10" l="1"/>
  <c r="BD31" i="10"/>
  <c r="AR41" i="10"/>
  <c r="AM47" i="10"/>
  <c r="AO47" i="10"/>
  <c r="AN42" i="10"/>
  <c r="BF31" i="10"/>
  <c r="BC28" i="10"/>
  <c r="BF30" i="10"/>
  <c r="BB30" i="10"/>
  <c r="AQ47" i="10"/>
  <c r="AN11" i="10"/>
  <c r="BC30" i="10"/>
  <c r="AN46" i="10"/>
  <c r="BD30" i="10"/>
  <c r="BG25" i="10"/>
  <c r="BF27" i="10"/>
  <c r="AQ43" i="10"/>
  <c r="AQ46" i="10"/>
  <c r="BB31" i="10"/>
  <c r="BF28" i="10"/>
  <c r="BC26" i="10"/>
  <c r="AM46" i="10"/>
  <c r="AO46" i="10"/>
  <c r="BR9" i="10"/>
  <c r="BR10" i="10" s="1" a="1"/>
  <c r="BR10" i="10" s="1"/>
  <c r="BR11" i="10" s="1" a="1"/>
  <c r="BR11" i="10" s="1"/>
  <c r="BR12" i="10" a="1"/>
  <c r="BR12" i="10" s="1"/>
  <c r="BU14" i="10" a="1"/>
  <c r="BU14" i="10" s="1"/>
  <c r="BU12" i="10" a="1"/>
  <c r="BU12" i="10" s="1"/>
  <c r="BQ14" i="10" a="1"/>
  <c r="BQ14" i="10" s="1"/>
  <c r="AN52" i="9"/>
  <c r="AG53" i="9"/>
  <c r="AO53" i="9"/>
  <c r="AH54" i="9"/>
  <c r="AP54" i="9"/>
  <c r="AI55" i="9"/>
  <c r="AJ56" i="9"/>
  <c r="AK57" i="9"/>
  <c r="AD58" i="9"/>
  <c r="AL58" i="9"/>
  <c r="AI59" i="9"/>
  <c r="AH60" i="9"/>
  <c r="AH61" i="9"/>
  <c r="AH62" i="9"/>
  <c r="AH63" i="9"/>
  <c r="AK64" i="9"/>
  <c r="AJ65" i="9"/>
  <c r="AH66" i="9"/>
  <c r="AF67" i="9"/>
  <c r="AN43" i="10" a="1"/>
  <c r="BC27" i="10" a="1"/>
  <c r="BZ25" i="10" a="1"/>
  <c r="BU15" i="10" l="1" a="1"/>
  <c r="BU15" i="10" s="1"/>
  <c r="BQ9" i="10"/>
  <c r="BS15" i="10" a="1"/>
  <c r="BS15" i="10" s="1"/>
  <c r="BS14" i="10" a="1"/>
  <c r="BS14" i="10" s="1"/>
  <c r="BR14" i="10" a="1"/>
  <c r="BR14" i="10" s="1"/>
  <c r="BQ15" i="10" a="1"/>
  <c r="BQ15" i="10" s="1"/>
  <c r="BU10" i="10" a="1"/>
  <c r="BU10" i="10" s="1"/>
  <c r="BU11" i="10" a="1"/>
  <c r="BU11" i="10" s="1"/>
  <c r="BV9" i="10" a="1"/>
  <c r="BV9" i="10" s="1"/>
  <c r="BC27" i="10"/>
  <c r="AN43" i="10"/>
  <c r="BZ25" i="10"/>
  <c r="BZ30" i="10" s="1" a="1"/>
  <c r="BZ30" i="10" s="1"/>
  <c r="AE68" i="9"/>
  <c r="AK69" i="9"/>
  <c r="AD70" i="9"/>
  <c r="AK71" i="9"/>
  <c r="AP72" i="9"/>
  <c r="AI73" i="9"/>
  <c r="AP74" i="9"/>
  <c r="AI75" i="9"/>
  <c r="AF77" i="9"/>
  <c r="AL78" i="9"/>
  <c r="AE79" i="9"/>
  <c r="AJ80" i="9"/>
  <c r="AI83" i="9"/>
  <c r="AP85" i="9"/>
  <c r="AD87" i="9"/>
  <c r="AI90" i="9"/>
  <c r="AJ93" i="9"/>
  <c r="AO98" i="9"/>
  <c r="AM106" i="9"/>
  <c r="AL107" i="9"/>
  <c r="AM122" i="9"/>
  <c r="AI124" i="9"/>
  <c r="AK134" i="9"/>
  <c r="AM136" i="9"/>
  <c r="AH151" i="9"/>
  <c r="AN162" i="9"/>
  <c r="AD1" i="9"/>
  <c r="AF3" i="9"/>
  <c r="C9" i="10" a="1"/>
  <c r="BZ26" i="10" l="1" a="1"/>
  <c r="BZ26" i="10" s="1"/>
  <c r="BY25" i="10"/>
  <c r="CC28" i="10" a="1"/>
  <c r="CC28" i="10" s="1"/>
  <c r="BY30" i="10" a="1"/>
  <c r="BY30" i="10" s="1"/>
  <c r="CC31" i="10" a="1"/>
  <c r="CC31" i="10" s="1"/>
  <c r="BZ28" i="10" a="1"/>
  <c r="BZ28" i="10" s="1"/>
  <c r="BY31" i="10" a="1"/>
  <c r="BY31" i="10" s="1"/>
  <c r="CD25" i="10" a="1"/>
  <c r="CD25" i="10" s="1"/>
  <c r="CC27" i="10" a="1"/>
  <c r="CC27" i="10" s="1"/>
  <c r="CC30" i="10" a="1"/>
  <c r="CC30" i="10" s="1"/>
  <c r="CA31" i="10" a="1"/>
  <c r="CA31" i="10" s="1"/>
  <c r="CA30" i="10" a="1"/>
  <c r="CA30" i="10" s="1"/>
  <c r="BZ27" i="10" a="1"/>
  <c r="BZ27" i="10" s="1"/>
  <c r="CC26" i="10" a="1"/>
  <c r="CC26" i="10" s="1"/>
  <c r="C9" i="10"/>
  <c r="B9" i="10" s="1"/>
  <c r="AN3" i="9"/>
  <c r="AP5" i="9"/>
  <c r="AI6" i="9"/>
  <c r="AD9" i="9"/>
  <c r="AF11" i="9"/>
  <c r="F10" i="10" a="1"/>
  <c r="C14" i="10" a="1"/>
  <c r="F11" i="10" a="1"/>
  <c r="B14" i="10" a="1"/>
  <c r="F15" i="10" a="1"/>
  <c r="F14" i="10" a="1"/>
  <c r="C41" i="10" a="1"/>
  <c r="F12" i="10" a="1"/>
  <c r="G9" i="10" a="1"/>
  <c r="C10" i="10" a="1"/>
  <c r="C12" i="10" a="1"/>
  <c r="D14" i="10" l="1" a="1"/>
  <c r="C12" i="10"/>
  <c r="C10" i="10"/>
  <c r="F12" i="10"/>
  <c r="F14" i="10"/>
  <c r="F15" i="10"/>
  <c r="B14" i="10"/>
  <c r="F11" i="10"/>
  <c r="C14" i="10"/>
  <c r="F10" i="10"/>
  <c r="D14" i="10"/>
  <c r="G9" i="10"/>
  <c r="C41" i="10"/>
  <c r="B41" i="10" s="1"/>
  <c r="AA11" i="9"/>
  <c r="AN11" i="9"/>
  <c r="AP13" i="9"/>
  <c r="AI14" i="9"/>
  <c r="AD17" i="9"/>
  <c r="AF19" i="9"/>
  <c r="C11" i="10" a="1"/>
  <c r="B47" i="10" a="1"/>
  <c r="G41" i="10" a="1"/>
  <c r="F42" i="10" a="1"/>
  <c r="B46" i="10" a="1"/>
  <c r="D15" i="10" a="1"/>
  <c r="R25" i="10" a="1"/>
  <c r="B15" i="10" a="1"/>
  <c r="B15" i="10" l="1"/>
  <c r="D15" i="10"/>
  <c r="C46" i="10" a="1"/>
  <c r="B46" i="10"/>
  <c r="F42" i="10"/>
  <c r="G41" i="10"/>
  <c r="C46" i="10"/>
  <c r="B47" i="10"/>
  <c r="C11" i="10"/>
  <c r="R25" i="10"/>
  <c r="Q25" i="10" s="1"/>
  <c r="AA19" i="9"/>
  <c r="AN19" i="9"/>
  <c r="AP21" i="9"/>
  <c r="AI22" i="9"/>
  <c r="AD25" i="9"/>
  <c r="AF27" i="9"/>
  <c r="F46" i="10" a="1"/>
  <c r="C42" i="10" a="1"/>
  <c r="F44" i="10" a="1"/>
  <c r="D46" i="10" a="1"/>
  <c r="V25" i="10" a="1"/>
  <c r="U28" i="10" a="1"/>
  <c r="S30" i="10" a="1"/>
  <c r="D47" i="10" a="1"/>
  <c r="F43" i="10" a="1"/>
  <c r="C44" i="10" a="1"/>
  <c r="F47" i="10" a="1"/>
  <c r="U31" i="10" a="1"/>
  <c r="R28" i="10" a="1"/>
  <c r="U26" i="10" a="1"/>
  <c r="Q30" i="10" a="1"/>
  <c r="AG9" i="10" a="1"/>
  <c r="U30" i="10" l="1" a="1"/>
  <c r="Q30" i="10"/>
  <c r="U26" i="10"/>
  <c r="R28" i="10"/>
  <c r="U31" i="10"/>
  <c r="F47" i="10"/>
  <c r="C44" i="10"/>
  <c r="F43" i="10"/>
  <c r="U30" i="10"/>
  <c r="D47" i="10"/>
  <c r="S30" i="10"/>
  <c r="U28" i="10"/>
  <c r="V25" i="10"/>
  <c r="D46" i="10"/>
  <c r="F44" i="10"/>
  <c r="C42" i="10"/>
  <c r="C43" i="10" s="1" a="1"/>
  <c r="F46" i="10"/>
  <c r="AG9" i="10"/>
  <c r="AF9" i="10" s="1"/>
  <c r="AA35" i="9"/>
  <c r="AN27" i="9"/>
  <c r="AP29" i="9"/>
  <c r="AD33" i="9"/>
  <c r="AF35" i="9"/>
  <c r="S31" i="10" a="1"/>
  <c r="R26" i="10" a="1"/>
  <c r="Q31" i="10" a="1"/>
  <c r="AG12" i="10" a="1"/>
  <c r="U27" i="10" a="1"/>
  <c r="AH15" i="10" a="1"/>
  <c r="AF14" i="10" a="1"/>
  <c r="AH14" i="10" a="1"/>
  <c r="V27" i="9" a="1"/>
  <c r="R30" i="10" a="1"/>
  <c r="AG14" i="10" a="1"/>
  <c r="AG10" i="10" a="1"/>
  <c r="AG41" i="10" a="1"/>
  <c r="AG10" i="10" l="1"/>
  <c r="AG14" i="10"/>
  <c r="C43" i="10"/>
  <c r="R30" i="10"/>
  <c r="V27" i="9"/>
  <c r="AI30" i="9" s="1"/>
  <c r="AH14" i="10"/>
  <c r="AF14" i="10"/>
  <c r="AH15" i="10"/>
  <c r="U27" i="10"/>
  <c r="AG12" i="10"/>
  <c r="Q31" i="10"/>
  <c r="R26" i="10"/>
  <c r="S31" i="10"/>
  <c r="AG41" i="10"/>
  <c r="AG46" i="10" s="1" a="1"/>
  <c r="AN35" i="9"/>
  <c r="AH37" i="9"/>
  <c r="AP37" i="9"/>
  <c r="AD41" i="9"/>
  <c r="AF43" i="9"/>
  <c r="AJ15" i="10" a="1"/>
  <c r="AJ11" i="10" a="1"/>
  <c r="AJ12" i="10" a="1"/>
  <c r="R27" i="10" a="1"/>
  <c r="AF15" i="10" a="1"/>
  <c r="T38" i="9" a="1"/>
  <c r="V32" i="9" a="1"/>
  <c r="AF47" i="10" a="1"/>
  <c r="AJ14" i="10" a="1"/>
  <c r="AJ10" i="10" a="1"/>
  <c r="AB38" i="9" a="1"/>
  <c r="AK9" i="10" a="1"/>
  <c r="AG44" i="10" a="1"/>
  <c r="AV25" i="10" a="1"/>
  <c r="AK41" i="10" l="1" a="1"/>
  <c r="AG44" i="10"/>
  <c r="AK9" i="10"/>
  <c r="AB38" i="9"/>
  <c r="AO36" i="9" s="1"/>
  <c r="AJ10" i="10"/>
  <c r="AJ14" i="10"/>
  <c r="AK41" i="10"/>
  <c r="AG46" i="10"/>
  <c r="AF47" i="10"/>
  <c r="V32" i="9"/>
  <c r="AI38" i="9" s="1"/>
  <c r="T38" i="9"/>
  <c r="AG36" i="9" s="1"/>
  <c r="AF15" i="10"/>
  <c r="R27" i="10"/>
  <c r="AJ12" i="10"/>
  <c r="AJ11" i="10"/>
  <c r="AJ15" i="10"/>
  <c r="AF41" i="10"/>
  <c r="AV25" i="10"/>
  <c r="AU25" i="10" s="1"/>
  <c r="AN43" i="9"/>
  <c r="AP45" i="9"/>
  <c r="AD49" i="9"/>
  <c r="AL49" i="9"/>
  <c r="AE50" i="9"/>
  <c r="AM50" i="9"/>
  <c r="AF51" i="9"/>
  <c r="AG42" i="10" a="1"/>
  <c r="AW31" i="10" a="1"/>
  <c r="AJ43" i="10" a="1"/>
  <c r="AG11" i="10" a="1"/>
  <c r="AZ25" i="10" a="1"/>
  <c r="AY26" i="10" a="1"/>
  <c r="AV28" i="10" a="1"/>
  <c r="AB44" i="9" a="1"/>
  <c r="AJ44" i="10" a="1"/>
  <c r="AF46" i="10" a="1"/>
  <c r="AY30" i="10" a="1"/>
  <c r="AY28" i="10" a="1"/>
  <c r="AU31" i="10" a="1"/>
  <c r="T44" i="9" a="1"/>
  <c r="AJ46" i="10" a="1"/>
  <c r="AH46" i="10" a="1"/>
  <c r="AJ47" i="10" a="1"/>
  <c r="AY31" i="10" a="1"/>
  <c r="AJ42" i="10" a="1"/>
  <c r="AW30" i="10" a="1"/>
  <c r="V46" i="9" a="1"/>
  <c r="AH47" i="10" a="1"/>
  <c r="AV26" i="10" a="1"/>
  <c r="BK9" i="10" a="1"/>
  <c r="AY27" i="10" l="1" a="1"/>
  <c r="AY27" i="10" s="1"/>
  <c r="AV26" i="10"/>
  <c r="AH47" i="10"/>
  <c r="V46" i="9"/>
  <c r="AI46" i="9" s="1"/>
  <c r="AW30" i="10"/>
  <c r="AJ42" i="10"/>
  <c r="AY31" i="10"/>
  <c r="AJ47" i="10"/>
  <c r="AH46" i="10"/>
  <c r="AJ46" i="10"/>
  <c r="T44" i="9"/>
  <c r="AG44" i="9" s="1"/>
  <c r="AU31" i="10"/>
  <c r="AY28" i="10"/>
  <c r="AY30" i="10"/>
  <c r="AF46" i="10"/>
  <c r="AJ44" i="10"/>
  <c r="AB44" i="9"/>
  <c r="AO44" i="9" s="1"/>
  <c r="AV28" i="10"/>
  <c r="AY26" i="10"/>
  <c r="AZ25" i="10"/>
  <c r="AG11" i="10"/>
  <c r="AJ43" i="10"/>
  <c r="AW31" i="10"/>
  <c r="AG42" i="10"/>
  <c r="AG43" i="10" s="1" a="1"/>
  <c r="BK9" i="10"/>
  <c r="BO9" i="10" s="1" a="1"/>
  <c r="BO9" i="10" s="1"/>
  <c r="BN15" i="10" a="1"/>
  <c r="BN15" i="10" s="1"/>
  <c r="BJ15" i="10" a="1"/>
  <c r="BJ15" i="10" s="1"/>
  <c r="AN51" i="9"/>
  <c r="AG52" i="9"/>
  <c r="AO52" i="9"/>
  <c r="AH53" i="9"/>
  <c r="AP53" i="9"/>
  <c r="AI54" i="9"/>
  <c r="AJ55" i="9"/>
  <c r="AK56" i="9"/>
  <c r="AD57" i="9"/>
  <c r="AL57" i="9"/>
  <c r="AE58" i="9"/>
  <c r="AM58" i="9"/>
  <c r="AJ59" i="9"/>
  <c r="AJ60" i="9"/>
  <c r="AI61" i="9"/>
  <c r="AI62" i="9"/>
  <c r="AI63" i="9"/>
  <c r="AL64" i="9"/>
  <c r="AK65" i="9"/>
  <c r="AI66" i="9"/>
  <c r="AG67" i="9"/>
  <c r="AG68" i="9"/>
  <c r="AL69" i="9"/>
  <c r="AE70" i="9"/>
  <c r="AN71" i="9"/>
  <c r="AK73" i="9"/>
  <c r="AL75" i="9"/>
  <c r="AE76" i="9"/>
  <c r="AG77" i="9"/>
  <c r="AO78" i="9"/>
  <c r="AH79" i="9"/>
  <c r="AL80" i="9"/>
  <c r="AE81" i="9"/>
  <c r="AK83" i="9"/>
  <c r="AH84" i="9"/>
  <c r="AK87" i="9"/>
  <c r="AP90" i="9"/>
  <c r="AD91" i="9"/>
  <c r="AD110" i="9"/>
  <c r="AO116" i="9"/>
  <c r="AI140" i="9"/>
  <c r="AL142" i="9"/>
  <c r="AL149" i="9"/>
  <c r="AH64" i="9"/>
  <c r="AP64" i="9"/>
  <c r="AI65" i="9"/>
  <c r="AJ66" i="9"/>
  <c r="AK67" i="9"/>
  <c r="AD68" i="9"/>
  <c r="AL68" i="9"/>
  <c r="AE69" i="9"/>
  <c r="AM69" i="9"/>
  <c r="AF70" i="9"/>
  <c r="AV30" i="10" a="1"/>
  <c r="AV27" i="10" a="1"/>
  <c r="AU30" i="10" a="1"/>
  <c r="CG33" i="10" a="1"/>
  <c r="BK12" i="10" l="1" a="1"/>
  <c r="BK12" i="10" s="1"/>
  <c r="BK10" i="10" a="1"/>
  <c r="BK10" i="10" s="1"/>
  <c r="BK11" i="10" s="1" a="1"/>
  <c r="BK11" i="10" s="1"/>
  <c r="BJ9" i="10"/>
  <c r="BN10" i="10" a="1"/>
  <c r="BN10" i="10" s="1"/>
  <c r="BL14" i="10" a="1"/>
  <c r="BL14" i="10" s="1"/>
  <c r="BN14" i="10" a="1"/>
  <c r="BN14" i="10" s="1"/>
  <c r="BL15" i="10" a="1"/>
  <c r="BL15" i="10" s="1"/>
  <c r="BN12" i="10" a="1"/>
  <c r="BN12" i="10" s="1"/>
  <c r="BK14" i="10" a="1"/>
  <c r="BK14" i="10" s="1"/>
  <c r="BN11" i="10" a="1"/>
  <c r="BN11" i="10" s="1"/>
  <c r="AG43" i="10"/>
  <c r="AU30" i="10"/>
  <c r="AV27" i="10"/>
  <c r="AV30" i="10"/>
  <c r="BJ14" i="10" a="1"/>
  <c r="BJ14" i="10" s="1"/>
  <c r="CG33" i="10"/>
  <c r="CJ35" i="10" s="1" a="1"/>
  <c r="CJ35" i="10" s="1"/>
  <c r="AN70" i="9"/>
  <c r="AH71" i="9"/>
  <c r="AP71" i="9"/>
  <c r="AI72" i="9"/>
  <c r="AJ73" i="9"/>
  <c r="AE74" i="9"/>
  <c r="AM74" i="9"/>
  <c r="AF75" i="9"/>
  <c r="CO9" i="10" a="1"/>
  <c r="CF33" i="10" l="1"/>
  <c r="CJ34" i="10" a="1"/>
  <c r="CJ34" i="10" s="1"/>
  <c r="CH39" i="10" a="1"/>
  <c r="CH39" i="10" s="1"/>
  <c r="CH38" i="10" a="1"/>
  <c r="CH38" i="10" s="1"/>
  <c r="CG36" i="10" a="1"/>
  <c r="CG36" i="10" s="1"/>
  <c r="CJ38" i="10" a="1"/>
  <c r="CJ38" i="10" s="1"/>
  <c r="CJ36" i="10" a="1"/>
  <c r="CJ36" i="10" s="1"/>
  <c r="CG34" i="10" a="1"/>
  <c r="CG34" i="10" s="1"/>
  <c r="CG35" i="10" s="1" a="1"/>
  <c r="CG35" i="10" s="1"/>
  <c r="CK33" i="10" a="1"/>
  <c r="CK33" i="10" s="1"/>
  <c r="CF38" i="10" a="1"/>
  <c r="CF38" i="10" s="1"/>
  <c r="CF39" i="10" a="1"/>
  <c r="CF39" i="10" s="1"/>
  <c r="CG38" i="10" a="1"/>
  <c r="CG38" i="10" s="1"/>
  <c r="CJ39" i="10" a="1"/>
  <c r="CJ39" i="10" s="1"/>
  <c r="CO9" i="10"/>
  <c r="CS9" i="10" s="1" a="1"/>
  <c r="CS9" i="10" s="1"/>
  <c r="AN75" i="9"/>
  <c r="AG76" i="9"/>
  <c r="AO76" i="9"/>
  <c r="AH77" i="9"/>
  <c r="AP77" i="9"/>
  <c r="AI78" i="9"/>
  <c r="AJ79" i="9"/>
  <c r="AK80" i="9"/>
  <c r="AD81" i="9"/>
  <c r="AL81" i="9"/>
  <c r="AE82" i="9"/>
  <c r="AM82" i="9"/>
  <c r="AJ83" i="9"/>
  <c r="AJ84" i="9"/>
  <c r="AF85" i="9"/>
  <c r="AD86" i="9"/>
  <c r="AO86" i="9"/>
  <c r="AM87" i="9"/>
  <c r="AL88" i="9"/>
  <c r="AJ89" i="9"/>
  <c r="AH90" i="9"/>
  <c r="AN91" i="9"/>
  <c r="AM92" i="9"/>
  <c r="AH93" i="9"/>
  <c r="AD94" i="9"/>
  <c r="AM95" i="9"/>
  <c r="AI96" i="9"/>
  <c r="AD97" i="9"/>
  <c r="AP97" i="9"/>
  <c r="AM98" i="9"/>
  <c r="AP99" i="9"/>
  <c r="AM100" i="9"/>
  <c r="AI102" i="9"/>
  <c r="AK104" i="9"/>
  <c r="AK106" i="9"/>
  <c r="AI107" i="9"/>
  <c r="AK109" i="9"/>
  <c r="AL111" i="9"/>
  <c r="AE112" i="9"/>
  <c r="AL113" i="9"/>
  <c r="AE114" i="9"/>
  <c r="AD115" i="9"/>
  <c r="AM116" i="9"/>
  <c r="AI118" i="9"/>
  <c r="AK120" i="9"/>
  <c r="AK122" i="9"/>
  <c r="AN123" i="9"/>
  <c r="AG124" i="9"/>
  <c r="AJ125" i="9"/>
  <c r="AJ127" i="9"/>
  <c r="AJ129" i="9"/>
  <c r="AF131" i="9"/>
  <c r="AO132" i="9"/>
  <c r="AI134" i="9"/>
  <c r="AK136" i="9"/>
  <c r="AK138" i="9"/>
  <c r="AN139" i="9"/>
  <c r="AG140" i="9"/>
  <c r="AP141" i="9"/>
  <c r="AJ142" i="9"/>
  <c r="AD143" i="9"/>
  <c r="AH145" i="9"/>
  <c r="AD147" i="9"/>
  <c r="AN148" i="9"/>
  <c r="AE149" i="9"/>
  <c r="AO150" i="9"/>
  <c r="AP155" i="9"/>
  <c r="AJ156" i="9"/>
  <c r="AE162" i="9"/>
  <c r="AK165" i="9"/>
  <c r="AI168" i="9"/>
  <c r="AE174" i="9"/>
  <c r="AO175" i="9"/>
  <c r="AF68" i="9"/>
  <c r="CG25" i="10" a="1"/>
  <c r="CO14" i="10" l="1" a="1"/>
  <c r="CO14" i="10" s="1"/>
  <c r="CR11" i="10" a="1"/>
  <c r="CR11" i="10" s="1"/>
  <c r="CR10" i="10" a="1"/>
  <c r="CR10" i="10" s="1"/>
  <c r="CO12" i="10" a="1"/>
  <c r="CO12" i="10" s="1"/>
  <c r="CR14" i="10" a="1"/>
  <c r="CR14" i="10" s="1"/>
  <c r="CN14" i="10" a="1"/>
  <c r="CN14" i="10" s="1"/>
  <c r="CP15" i="10" a="1"/>
  <c r="CP15" i="10" s="1"/>
  <c r="CR15" i="10" a="1"/>
  <c r="CR15" i="10" s="1"/>
  <c r="CR12" i="10" a="1"/>
  <c r="CR12" i="10" s="1"/>
  <c r="CN15" i="10" a="1"/>
  <c r="CN15" i="10" s="1"/>
  <c r="CO10" i="10" a="1"/>
  <c r="CO10" i="10" s="1"/>
  <c r="CO11" i="10" s="1" a="1"/>
  <c r="CO11" i="10" s="1"/>
  <c r="CN9" i="10"/>
  <c r="CP14" i="10" a="1"/>
  <c r="CP14" i="10" s="1"/>
  <c r="CG25" i="10"/>
  <c r="CF31" i="10" s="1" a="1"/>
  <c r="CF31" i="10" s="1"/>
  <c r="AN68" i="9"/>
  <c r="AG69" i="9"/>
  <c r="AO69" i="9"/>
  <c r="AH70" i="9"/>
  <c r="AP70" i="9"/>
  <c r="AJ71" i="9"/>
  <c r="AK72" i="9"/>
  <c r="AD73" i="9"/>
  <c r="AL73" i="9"/>
  <c r="AG74" i="9"/>
  <c r="AO74" i="9"/>
  <c r="AH75" i="9"/>
  <c r="AP75" i="9"/>
  <c r="AI76" i="9"/>
  <c r="AJ77" i="9"/>
  <c r="AK78" i="9"/>
  <c r="AD79" i="9"/>
  <c r="AL79" i="9"/>
  <c r="AE80" i="9"/>
  <c r="AM80" i="9"/>
  <c r="AF81" i="9"/>
  <c r="AN81" i="9"/>
  <c r="AG82" i="9"/>
  <c r="AO82" i="9"/>
  <c r="AL83" i="9"/>
  <c r="AL84" i="9"/>
  <c r="AI85" i="9"/>
  <c r="AG86" i="9"/>
  <c r="AE87" i="9"/>
  <c r="AP87" i="9"/>
  <c r="AD88" i="9"/>
  <c r="AN88" i="9"/>
  <c r="AM89" i="9"/>
  <c r="AK90" i="9"/>
  <c r="AF91" i="9"/>
  <c r="AP91" i="9"/>
  <c r="AK93" i="9"/>
  <c r="AG94" i="9"/>
  <c r="AD95" i="9"/>
  <c r="AP95" i="9"/>
  <c r="AM96" i="9"/>
  <c r="AG97" i="9"/>
  <c r="AP98" i="9"/>
  <c r="AF99" i="9"/>
  <c r="AF101" i="9"/>
  <c r="AL102" i="9"/>
  <c r="AE103" i="9"/>
  <c r="AN104" i="9"/>
  <c r="AF105" i="9"/>
  <c r="AO106" i="9"/>
  <c r="AN107" i="9"/>
  <c r="AG108" i="9"/>
  <c r="AP109" i="9"/>
  <c r="AG110" i="9"/>
  <c r="AP111" i="9"/>
  <c r="AI112" i="9"/>
  <c r="AO113" i="9"/>
  <c r="AH114" i="9"/>
  <c r="AH115" i="9"/>
  <c r="AF117" i="9"/>
  <c r="AL118" i="9"/>
  <c r="AE119" i="9"/>
  <c r="AN120" i="9"/>
  <c r="AF121" i="9"/>
  <c r="AO122" i="9"/>
  <c r="AJ124" i="9"/>
  <c r="AN125" i="9"/>
  <c r="AD126" i="9"/>
  <c r="AM127" i="9"/>
  <c r="AF128" i="9"/>
  <c r="AN129" i="9"/>
  <c r="AG130" i="9"/>
  <c r="AI131" i="9"/>
  <c r="AF133" i="9"/>
  <c r="AL134" i="9"/>
  <c r="AE135" i="9"/>
  <c r="AN136" i="9"/>
  <c r="AF137" i="9"/>
  <c r="AO138" i="9"/>
  <c r="AJ140" i="9"/>
  <c r="AD141" i="9"/>
  <c r="AN142" i="9"/>
  <c r="AH143" i="9"/>
  <c r="AJ144" i="9"/>
  <c r="AM145" i="9"/>
  <c r="AI147" i="9"/>
  <c r="AM149" i="9"/>
  <c r="AP151" i="9"/>
  <c r="AJ152" i="9"/>
  <c r="AN161" i="9"/>
  <c r="AP181" i="9"/>
  <c r="AO191" i="9"/>
  <c r="AP195" i="9"/>
  <c r="AM221" i="9"/>
  <c r="AH82" i="9"/>
  <c r="AP82" i="9"/>
  <c r="AD83" i="9"/>
  <c r="AN83" i="9"/>
  <c r="AD84" i="9"/>
  <c r="AM84" i="9"/>
  <c r="AJ85" i="9"/>
  <c r="AI86" i="9"/>
  <c r="AF87" i="9"/>
  <c r="AE88" i="9"/>
  <c r="AO88" i="9"/>
  <c r="AD89" i="9"/>
  <c r="AN89" i="9"/>
  <c r="AM90" i="9"/>
  <c r="AG91" i="9"/>
  <c r="AE92" i="9"/>
  <c r="AL93" i="9"/>
  <c r="AI94" i="9"/>
  <c r="AE95" i="9"/>
  <c r="AN96" i="9"/>
  <c r="AH97" i="9"/>
  <c r="AE98" i="9"/>
  <c r="AH99" i="9"/>
  <c r="AH101" i="9"/>
  <c r="AO102" i="9"/>
  <c r="AH103" i="9"/>
  <c r="AG105" i="9"/>
  <c r="AP106" i="9"/>
  <c r="AP107" i="9"/>
  <c r="AI108" i="9"/>
  <c r="AI110" i="9"/>
  <c r="AK112" i="9"/>
  <c r="AK114" i="9"/>
  <c r="AI115" i="9"/>
  <c r="AH117" i="9"/>
  <c r="AO118" i="9"/>
  <c r="AH119" i="9"/>
  <c r="AG121" i="9"/>
  <c r="AP122" i="9"/>
  <c r="AD123" i="9"/>
  <c r="AM124" i="9"/>
  <c r="AP125" i="9"/>
  <c r="AG126" i="9"/>
  <c r="AP127" i="9"/>
  <c r="AI128" i="9"/>
  <c r="AO129" i="9"/>
  <c r="AH130" i="9"/>
  <c r="AL131" i="9"/>
  <c r="AE132" i="9"/>
  <c r="AH133" i="9"/>
  <c r="AO134" i="9"/>
  <c r="AH135" i="9"/>
  <c r="AG137" i="9"/>
  <c r="AP138" i="9"/>
  <c r="AD139" i="9"/>
  <c r="AM140" i="9"/>
  <c r="AE141" i="9"/>
  <c r="AO142" i="9"/>
  <c r="AI143" i="9"/>
  <c r="AK144" i="9"/>
  <c r="AP145" i="9"/>
  <c r="AF146" i="9"/>
  <c r="AL147" i="9"/>
  <c r="AH170" i="9"/>
  <c r="AF180" i="9"/>
  <c r="AL183" i="9"/>
  <c r="AH223" i="9"/>
  <c r="AH68" i="9"/>
  <c r="AP68" i="9"/>
  <c r="AI69" i="9"/>
  <c r="AJ70" i="9"/>
  <c r="AD71" i="9"/>
  <c r="AL71" i="9"/>
  <c r="AE72" i="9"/>
  <c r="AM72" i="9"/>
  <c r="AF73" i="9"/>
  <c r="CO1" i="10" a="1"/>
  <c r="CG26" i="10" l="1" a="1"/>
  <c r="CG26" i="10" s="1"/>
  <c r="CG27" i="10" s="1" a="1"/>
  <c r="CG27" i="10" s="1"/>
  <c r="CJ28" i="10" a="1"/>
  <c r="CJ28" i="10" s="1"/>
  <c r="CH31" i="10" a="1"/>
  <c r="CH31" i="10" s="1"/>
  <c r="CG30" i="10" a="1"/>
  <c r="CG30" i="10" s="1"/>
  <c r="CF25" i="10"/>
  <c r="CJ31" i="10" a="1"/>
  <c r="CJ31" i="10" s="1"/>
  <c r="CJ27" i="10" a="1"/>
  <c r="CJ27" i="10" s="1"/>
  <c r="CH30" i="10" a="1"/>
  <c r="CH30" i="10" s="1"/>
  <c r="CK25" i="10" a="1"/>
  <c r="CK25" i="10" s="1"/>
  <c r="CJ26" i="10" a="1"/>
  <c r="CJ26" i="10" s="1"/>
  <c r="CJ30" i="10" a="1"/>
  <c r="CJ30" i="10" s="1"/>
  <c r="CG28" i="10" a="1"/>
  <c r="CG28" i="10" s="1"/>
  <c r="CF30" i="10" a="1"/>
  <c r="CF30" i="10" s="1"/>
  <c r="CO1" i="10"/>
  <c r="CR3" i="10" s="1" a="1"/>
  <c r="CR3" i="10" s="1"/>
  <c r="AN73" i="9"/>
  <c r="AI74" i="9"/>
  <c r="AJ75" i="9"/>
  <c r="AK76" i="9"/>
  <c r="AD77" i="9"/>
  <c r="AL77" i="9"/>
  <c r="AE78" i="9"/>
  <c r="AM78" i="9"/>
  <c r="AF79" i="9"/>
  <c r="AN79" i="9"/>
  <c r="AG80" i="9"/>
  <c r="AO80" i="9"/>
  <c r="AH81" i="9"/>
  <c r="AP81" i="9"/>
  <c r="AI82" i="9"/>
  <c r="AF83" i="9"/>
  <c r="AO83" i="9"/>
  <c r="AE84" i="9"/>
  <c r="AO84" i="9"/>
  <c r="AK85" i="9"/>
  <c r="AJ86" i="9"/>
  <c r="AH87" i="9"/>
  <c r="AF88" i="9"/>
  <c r="AE89" i="9"/>
  <c r="AO89" i="9"/>
  <c r="AN90" i="9"/>
  <c r="AH91" i="9"/>
  <c r="AG92" i="9"/>
  <c r="AN93" i="9"/>
  <c r="AK94" i="9"/>
  <c r="AF95" i="9"/>
  <c r="AO96" i="9"/>
  <c r="AJ97" i="9"/>
  <c r="AG98" i="9"/>
  <c r="AI99" i="9"/>
  <c r="AE100" i="9"/>
  <c r="AJ101" i="9"/>
  <c r="AJ103" i="9"/>
  <c r="AJ105" i="9"/>
  <c r="AJ108" i="9"/>
  <c r="AK110" i="9"/>
  <c r="AD111" i="9"/>
  <c r="AM112" i="9"/>
  <c r="AD113" i="9"/>
  <c r="AM114" i="9"/>
  <c r="AL115" i="9"/>
  <c r="AE116" i="9"/>
  <c r="AJ117" i="9"/>
  <c r="AJ119" i="9"/>
  <c r="AJ121" i="9"/>
  <c r="AF123" i="9"/>
  <c r="AO124" i="9"/>
  <c r="AI126" i="9"/>
  <c r="AK128" i="9"/>
  <c r="AK130" i="9"/>
  <c r="AN131" i="9"/>
  <c r="AG132" i="9"/>
  <c r="AJ133" i="9"/>
  <c r="AJ135" i="9"/>
  <c r="AJ137" i="9"/>
  <c r="AF139" i="9"/>
  <c r="AO140" i="9"/>
  <c r="AH141" i="9"/>
  <c r="AL143" i="9"/>
  <c r="AN144" i="9"/>
  <c r="AG146" i="9"/>
  <c r="AP147" i="9"/>
  <c r="AL159" i="9"/>
  <c r="AD160" i="9"/>
  <c r="AP197" i="9"/>
  <c r="AE225" i="9"/>
  <c r="AH59" i="9"/>
  <c r="AP59" i="9"/>
  <c r="AI60" i="9"/>
  <c r="AJ61" i="9"/>
  <c r="AK62" i="9"/>
  <c r="AD63" i="9"/>
  <c r="AL63" i="9"/>
  <c r="AE64" i="9"/>
  <c r="AM64" i="9"/>
  <c r="AF65" i="9"/>
  <c r="BZ17" i="10" a="1"/>
  <c r="CS1" i="10" l="1" a="1"/>
  <c r="CS1" i="10" s="1"/>
  <c r="CO4" i="10" a="1"/>
  <c r="CO4" i="10" s="1"/>
  <c r="CR7" i="10" a="1"/>
  <c r="CR7" i="10" s="1"/>
  <c r="CP6" i="10" a="1"/>
  <c r="CP6" i="10" s="1"/>
  <c r="CN6" i="10" a="1"/>
  <c r="CN6" i="10" s="1"/>
  <c r="CO2" i="10" a="1"/>
  <c r="CO2" i="10" s="1"/>
  <c r="CO3" i="10" s="1" a="1"/>
  <c r="CO3" i="10" s="1"/>
  <c r="CP7" i="10" a="1"/>
  <c r="CP7" i="10" s="1"/>
  <c r="CR2" i="10" a="1"/>
  <c r="CR2" i="10" s="1"/>
  <c r="CR6" i="10" a="1"/>
  <c r="CR6" i="10" s="1"/>
  <c r="CR4" i="10" a="1"/>
  <c r="CR4" i="10" s="1"/>
  <c r="CN1" i="10"/>
  <c r="CO6" i="10" a="1"/>
  <c r="CO6" i="10" s="1"/>
  <c r="CN7" i="10" a="1"/>
  <c r="CN7" i="10" s="1"/>
  <c r="BZ17" i="10"/>
  <c r="BY17" i="10" s="1"/>
  <c r="AN65" i="9"/>
  <c r="AG66" i="9"/>
  <c r="AO66" i="9"/>
  <c r="AH67" i="9"/>
  <c r="AP67" i="9"/>
  <c r="AI68" i="9"/>
  <c r="AJ69" i="9"/>
  <c r="AK70" i="9"/>
  <c r="AE71" i="9"/>
  <c r="AM71" i="9"/>
  <c r="AF72" i="9"/>
  <c r="CG41" i="10" a="1"/>
  <c r="BZ20" i="10" l="1" a="1"/>
  <c r="BZ20" i="10" s="1"/>
  <c r="BZ18" i="10" a="1"/>
  <c r="BZ18" i="10" s="1"/>
  <c r="BZ19" i="10" s="1" a="1"/>
  <c r="BZ19" i="10" s="1"/>
  <c r="CC18" i="10" a="1"/>
  <c r="CC18" i="10" s="1"/>
  <c r="CD17" i="10" a="1"/>
  <c r="CD17" i="10" s="1"/>
  <c r="CC19" i="10" a="1"/>
  <c r="CC19" i="10" s="1"/>
  <c r="BZ22" i="10" a="1"/>
  <c r="BZ22" i="10" s="1"/>
  <c r="CA23" i="10" a="1"/>
  <c r="CA23" i="10" s="1"/>
  <c r="CC20" i="10" a="1"/>
  <c r="CC20" i="10" s="1"/>
  <c r="CC22" i="10" a="1"/>
  <c r="CC22" i="10" s="1"/>
  <c r="BY23" i="10" a="1"/>
  <c r="BY23" i="10" s="1"/>
  <c r="CC23" i="10" a="1"/>
  <c r="CC23" i="10" s="1"/>
  <c r="CA22" i="10" a="1"/>
  <c r="CA22" i="10" s="1"/>
  <c r="BY22" i="10" a="1"/>
  <c r="BY22" i="10" s="1"/>
  <c r="CG41" i="10"/>
  <c r="CJ42" i="10" s="1" a="1"/>
  <c r="CJ42" i="10" s="1"/>
  <c r="AN72" i="9"/>
  <c r="AG73" i="9"/>
  <c r="AO73" i="9"/>
  <c r="AJ74" i="9"/>
  <c r="AK75" i="9"/>
  <c r="AD76" i="9"/>
  <c r="AL76" i="9"/>
  <c r="AE77" i="9"/>
  <c r="AM77" i="9"/>
  <c r="AF78" i="9"/>
  <c r="AN78" i="9"/>
  <c r="AG79" i="9"/>
  <c r="AO79" i="9"/>
  <c r="AH80" i="9"/>
  <c r="AP80" i="9"/>
  <c r="AI81" i="9"/>
  <c r="AJ82" i="9"/>
  <c r="AG83" i="9"/>
  <c r="AP83" i="9"/>
  <c r="AG84" i="9"/>
  <c r="AP84" i="9"/>
  <c r="AL85" i="9"/>
  <c r="AK86" i="9"/>
  <c r="AJ87" i="9"/>
  <c r="AG88" i="9"/>
  <c r="AF89" i="9"/>
  <c r="AP89" i="9"/>
  <c r="AE90" i="9"/>
  <c r="AO90" i="9"/>
  <c r="AI91" i="9"/>
  <c r="AI92" i="9"/>
  <c r="AP93" i="9"/>
  <c r="AL94" i="9"/>
  <c r="AH95" i="9"/>
  <c r="AE96" i="9"/>
  <c r="AL97" i="9"/>
  <c r="AH98" i="9"/>
  <c r="AJ99" i="9"/>
  <c r="AG100" i="9"/>
  <c r="AK101" i="9"/>
  <c r="AL103" i="9"/>
  <c r="AE104" i="9"/>
  <c r="AL105" i="9"/>
  <c r="AE106" i="9"/>
  <c r="AD107" i="9"/>
  <c r="AM108" i="9"/>
  <c r="AF109" i="9"/>
  <c r="AL110" i="9"/>
  <c r="AE111" i="9"/>
  <c r="AN112" i="9"/>
  <c r="AF113" i="9"/>
  <c r="AO114" i="9"/>
  <c r="AN115" i="9"/>
  <c r="AG116" i="9"/>
  <c r="AK117" i="9"/>
  <c r="AL119" i="9"/>
  <c r="AE120" i="9"/>
  <c r="AL121" i="9"/>
  <c r="AE122" i="9"/>
  <c r="AH123" i="9"/>
  <c r="AK126" i="9"/>
  <c r="AD127" i="9"/>
  <c r="AM128" i="9"/>
  <c r="AD129" i="9"/>
  <c r="AM130" i="9"/>
  <c r="AP131" i="9"/>
  <c r="AI132" i="9"/>
  <c r="AK133" i="9"/>
  <c r="AL135" i="9"/>
  <c r="AE136" i="9"/>
  <c r="AL137" i="9"/>
  <c r="AE138" i="9"/>
  <c r="AH139" i="9"/>
  <c r="AJ141" i="9"/>
  <c r="AD142" i="9"/>
  <c r="AN143" i="9"/>
  <c r="AJ146" i="9"/>
  <c r="AF148" i="9"/>
  <c r="AF150" i="9"/>
  <c r="AF154" i="9"/>
  <c r="AM160" i="9"/>
  <c r="AI169" i="9"/>
  <c r="AP178" i="9"/>
  <c r="AJ186" i="9"/>
  <c r="AE243" i="9"/>
  <c r="AJ95" i="9"/>
  <c r="AF96" i="9"/>
  <c r="AN97" i="9"/>
  <c r="AI98" i="9"/>
  <c r="AL99" i="9"/>
  <c r="AI100" i="9"/>
  <c r="AN101" i="9"/>
  <c r="AD102" i="9"/>
  <c r="AM103" i="9"/>
  <c r="AF104" i="9"/>
  <c r="AN105" i="9"/>
  <c r="AG106" i="9"/>
  <c r="AF107" i="9"/>
  <c r="AO108" i="9"/>
  <c r="AH109" i="9"/>
  <c r="AO110" i="9"/>
  <c r="AH111" i="9"/>
  <c r="AG113" i="9"/>
  <c r="AP114" i="9"/>
  <c r="AP115" i="9"/>
  <c r="AI116" i="9"/>
  <c r="AN117" i="9"/>
  <c r="AD118" i="9"/>
  <c r="AM119" i="9"/>
  <c r="AF120" i="9"/>
  <c r="AN121" i="9"/>
  <c r="AG122" i="9"/>
  <c r="AI123" i="9"/>
  <c r="AF125" i="9"/>
  <c r="AL126" i="9"/>
  <c r="AE127" i="9"/>
  <c r="AN128" i="9"/>
  <c r="AF129" i="9"/>
  <c r="AO130" i="9"/>
  <c r="AJ132" i="9"/>
  <c r="AN133" i="9"/>
  <c r="AD134" i="9"/>
  <c r="AM135" i="9"/>
  <c r="AF136" i="9"/>
  <c r="AN137" i="9"/>
  <c r="AG138" i="9"/>
  <c r="AI139" i="9"/>
  <c r="AL141" i="9"/>
  <c r="AF142" i="9"/>
  <c r="AP143" i="9"/>
  <c r="AD145" i="9"/>
  <c r="AN146" i="9"/>
  <c r="AJ148" i="9"/>
  <c r="AG150" i="9"/>
  <c r="AD153" i="9"/>
  <c r="AN154" i="9"/>
  <c r="AK158" i="9"/>
  <c r="AF163" i="9"/>
  <c r="AG164" i="9"/>
  <c r="AF173" i="9"/>
  <c r="AI176" i="9"/>
  <c r="AP185" i="9"/>
  <c r="AL188" i="9"/>
  <c r="AN205" i="9"/>
  <c r="AM86" i="9"/>
  <c r="AL87" i="9"/>
  <c r="AK88" i="9"/>
  <c r="AH89" i="9"/>
  <c r="AG90" i="9"/>
  <c r="AL91" i="9"/>
  <c r="AK92" i="9"/>
  <c r="AF93" i="9"/>
  <c r="AO94" i="9"/>
  <c r="AL95" i="9"/>
  <c r="AG96" i="9"/>
  <c r="AO97" i="9"/>
  <c r="AK98" i="9"/>
  <c r="AN99" i="9"/>
  <c r="AJ100" i="9"/>
  <c r="AP101" i="9"/>
  <c r="AG102" i="9"/>
  <c r="AP103" i="9"/>
  <c r="AI104" i="9"/>
  <c r="AO105" i="9"/>
  <c r="AH106" i="9"/>
  <c r="AH107" i="9"/>
  <c r="AJ109" i="9"/>
  <c r="AJ111" i="9"/>
  <c r="AJ113" i="9"/>
  <c r="AJ116" i="9"/>
  <c r="AP117" i="9"/>
  <c r="AG118" i="9"/>
  <c r="AP119" i="9"/>
  <c r="AI120" i="9"/>
  <c r="AO121" i="9"/>
  <c r="AH122" i="9"/>
  <c r="AL123" i="9"/>
  <c r="AE124" i="9"/>
  <c r="AH125" i="9"/>
  <c r="AO126" i="9"/>
  <c r="AH127" i="9"/>
  <c r="AG129" i="9"/>
  <c r="AP130" i="9"/>
  <c r="AD131" i="9"/>
  <c r="AM132" i="9"/>
  <c r="AP133" i="9"/>
  <c r="AG134" i="9"/>
  <c r="AP135" i="9"/>
  <c r="AI136" i="9"/>
  <c r="AO137" i="9"/>
  <c r="AH138" i="9"/>
  <c r="AL139" i="9"/>
  <c r="AE140" i="9"/>
  <c r="AM141" i="9"/>
  <c r="AG142" i="9"/>
  <c r="AE145" i="9"/>
  <c r="AO146" i="9"/>
  <c r="AK148" i="9"/>
  <c r="AD149" i="9"/>
  <c r="AN150" i="9"/>
  <c r="AL153" i="9"/>
  <c r="AH155" i="9"/>
  <c r="AJ157" i="9"/>
  <c r="AO163" i="9"/>
  <c r="AP164" i="9"/>
  <c r="AK166" i="9"/>
  <c r="AJ167" i="9"/>
  <c r="AG172" i="9"/>
  <c r="AE175" i="9"/>
  <c r="AF177" i="9"/>
  <c r="AL179" i="9"/>
  <c r="AF184" i="9"/>
  <c r="AG187" i="9"/>
  <c r="AH279" i="9"/>
  <c r="AH92" i="9"/>
  <c r="AP92" i="9"/>
  <c r="AI93" i="9"/>
  <c r="AJ94" i="9"/>
  <c r="AK95" i="9"/>
  <c r="AD96" i="9"/>
  <c r="AL96" i="9"/>
  <c r="AE97" i="9"/>
  <c r="AM97" i="9"/>
  <c r="AF98" i="9"/>
  <c r="AN98" i="9"/>
  <c r="AG99" i="9"/>
  <c r="AO99" i="9"/>
  <c r="AH100" i="9"/>
  <c r="AP100" i="9"/>
  <c r="AI101" i="9"/>
  <c r="AJ102" i="9"/>
  <c r="AK103" i="9"/>
  <c r="AD104" i="9"/>
  <c r="AL104" i="9"/>
  <c r="AE105" i="9"/>
  <c r="AM105" i="9"/>
  <c r="AF106" i="9"/>
  <c r="AN106" i="9"/>
  <c r="AG107" i="9"/>
  <c r="AO107" i="9"/>
  <c r="AH108" i="9"/>
  <c r="AP108" i="9"/>
  <c r="AI109" i="9"/>
  <c r="AJ110" i="9"/>
  <c r="AK111" i="9"/>
  <c r="AD112" i="9"/>
  <c r="AL112" i="9"/>
  <c r="AE113" i="9"/>
  <c r="AM113" i="9"/>
  <c r="AF114" i="9"/>
  <c r="AN114" i="9"/>
  <c r="AG115" i="9"/>
  <c r="AO115" i="9"/>
  <c r="AH116" i="9"/>
  <c r="AP116" i="9"/>
  <c r="AI117" i="9"/>
  <c r="AJ118" i="9"/>
  <c r="AK119" i="9"/>
  <c r="AD120" i="9"/>
  <c r="AL120" i="9"/>
  <c r="AE121" i="9"/>
  <c r="AM121" i="9"/>
  <c r="AF122" i="9"/>
  <c r="AN122" i="9"/>
  <c r="AG123" i="9"/>
  <c r="AO123" i="9"/>
  <c r="AH124" i="9"/>
  <c r="AP124" i="9"/>
  <c r="AI125" i="9"/>
  <c r="AJ126" i="9"/>
  <c r="AK127" i="9"/>
  <c r="AD128" i="9"/>
  <c r="AL128" i="9"/>
  <c r="AE129" i="9"/>
  <c r="AM129" i="9"/>
  <c r="AF130" i="9"/>
  <c r="AN130" i="9"/>
  <c r="AG131" i="9"/>
  <c r="AO131" i="9"/>
  <c r="AH132" i="9"/>
  <c r="AP132" i="9"/>
  <c r="AI133" i="9"/>
  <c r="AJ134" i="9"/>
  <c r="AK135" i="9"/>
  <c r="AD136" i="9"/>
  <c r="AL136" i="9"/>
  <c r="AE137" i="9"/>
  <c r="AM137" i="9"/>
  <c r="AF138" i="9"/>
  <c r="AN138" i="9"/>
  <c r="AG139" i="9"/>
  <c r="AO139" i="9"/>
  <c r="AH140" i="9"/>
  <c r="AP140" i="9"/>
  <c r="AK141" i="9"/>
  <c r="AE142" i="9"/>
  <c r="AM142" i="9"/>
  <c r="AG143" i="9"/>
  <c r="AO143" i="9"/>
  <c r="AI144" i="9"/>
  <c r="AK145" i="9"/>
  <c r="AE146" i="9"/>
  <c r="AM146" i="9"/>
  <c r="AG147" i="9"/>
  <c r="AO147" i="9"/>
  <c r="AI148" i="9"/>
  <c r="AK149" i="9"/>
  <c r="AE150" i="9"/>
  <c r="AM150" i="9"/>
  <c r="AG151" i="9"/>
  <c r="AO151" i="9"/>
  <c r="AI152" i="9"/>
  <c r="AK153" i="9"/>
  <c r="AE154" i="9"/>
  <c r="AM154" i="9"/>
  <c r="AG155" i="9"/>
  <c r="AO155" i="9"/>
  <c r="AI156" i="9"/>
  <c r="AI157" i="9"/>
  <c r="AJ158" i="9"/>
  <c r="AK159" i="9"/>
  <c r="AL160" i="9"/>
  <c r="AL161" i="9"/>
  <c r="AD162" i="9"/>
  <c r="AM162" i="9"/>
  <c r="AE163" i="9"/>
  <c r="AN163" i="9"/>
  <c r="AF164" i="9"/>
  <c r="AO164" i="9"/>
  <c r="AJ165" i="9"/>
  <c r="AJ166" i="9"/>
  <c r="AH167" i="9"/>
  <c r="AH168" i="9"/>
  <c r="AH169" i="9"/>
  <c r="AF170" i="9"/>
  <c r="AF171" i="9"/>
  <c r="AP171" i="9"/>
  <c r="AF172" i="9"/>
  <c r="AP172" i="9"/>
  <c r="AD173" i="9"/>
  <c r="AP173" i="9"/>
  <c r="AD174" i="9"/>
  <c r="AN174" i="9"/>
  <c r="AD175" i="9"/>
  <c r="AN175" i="9"/>
  <c r="AG176" i="9"/>
  <c r="AD177" i="9"/>
  <c r="AN178" i="9"/>
  <c r="AJ179" i="9"/>
  <c r="AD180" i="9"/>
  <c r="AN181" i="9"/>
  <c r="AH182" i="9"/>
  <c r="AJ183" i="9"/>
  <c r="AD184" i="9"/>
  <c r="AN185" i="9"/>
  <c r="AH186" i="9"/>
  <c r="AJ188" i="9"/>
  <c r="AH191" i="9"/>
  <c r="AJ192" i="9"/>
  <c r="AF195" i="9"/>
  <c r="AN197" i="9"/>
  <c r="AL202" i="9"/>
  <c r="AL203" i="9"/>
  <c r="AM205" i="9"/>
  <c r="AK210" i="9"/>
  <c r="AH215" i="9"/>
  <c r="AE217" i="9"/>
  <c r="AP230" i="9"/>
  <c r="AK232" i="9"/>
  <c r="AH234" i="9"/>
  <c r="AF238" i="9"/>
  <c r="AO240" i="9"/>
  <c r="AI248" i="9"/>
  <c r="AG353" i="9"/>
  <c r="AI151" i="9"/>
  <c r="AK152" i="9"/>
  <c r="AE153" i="9"/>
  <c r="AM153" i="9"/>
  <c r="AG154" i="9"/>
  <c r="AO154" i="9"/>
  <c r="AI155" i="9"/>
  <c r="AK156" i="9"/>
  <c r="AK157" i="9"/>
  <c r="AL158" i="9"/>
  <c r="AD159" i="9"/>
  <c r="AM159" i="9"/>
  <c r="AE160" i="9"/>
  <c r="AN160" i="9"/>
  <c r="AF161" i="9"/>
  <c r="AO161" i="9"/>
  <c r="AF162" i="9"/>
  <c r="AP162" i="9"/>
  <c r="AG163" i="9"/>
  <c r="AP163" i="9"/>
  <c r="AH164" i="9"/>
  <c r="AL165" i="9"/>
  <c r="AL166" i="9"/>
  <c r="AL167" i="9"/>
  <c r="AJ168" i="9"/>
  <c r="AJ169" i="9"/>
  <c r="AJ170" i="9"/>
  <c r="AH171" i="9"/>
  <c r="AH172" i="9"/>
  <c r="AH173" i="9"/>
  <c r="AF174" i="9"/>
  <c r="AF175" i="9"/>
  <c r="AP175" i="9"/>
  <c r="AJ176" i="9"/>
  <c r="AH177" i="9"/>
  <c r="AE178" i="9"/>
  <c r="AO179" i="9"/>
  <c r="AI180" i="9"/>
  <c r="AM182" i="9"/>
  <c r="AO183" i="9"/>
  <c r="AI184" i="9"/>
  <c r="AM186" i="9"/>
  <c r="AH187" i="9"/>
  <c r="AD189" i="9"/>
  <c r="AP191" i="9"/>
  <c r="AE194" i="9"/>
  <c r="AN200" i="9"/>
  <c r="AL214" i="9"/>
  <c r="AK223" i="9"/>
  <c r="AF225" i="9"/>
  <c r="AF243" i="9"/>
  <c r="AE283" i="9"/>
  <c r="AK100" i="9"/>
  <c r="AD101" i="9"/>
  <c r="AL101" i="9"/>
  <c r="AE102" i="9"/>
  <c r="AM102" i="9"/>
  <c r="AF103" i="9"/>
  <c r="AN103" i="9"/>
  <c r="AG104" i="9"/>
  <c r="AO104" i="9"/>
  <c r="AH105" i="9"/>
  <c r="AP105" i="9"/>
  <c r="AI106" i="9"/>
  <c r="AJ107" i="9"/>
  <c r="AK108" i="9"/>
  <c r="AD109" i="9"/>
  <c r="AL109" i="9"/>
  <c r="AE110" i="9"/>
  <c r="AM110" i="9"/>
  <c r="AF111" i="9"/>
  <c r="AN111" i="9"/>
  <c r="AG112" i="9"/>
  <c r="AO112" i="9"/>
  <c r="AH113" i="9"/>
  <c r="AP113" i="9"/>
  <c r="AI114" i="9"/>
  <c r="AJ115" i="9"/>
  <c r="AK116" i="9"/>
  <c r="AD117" i="9"/>
  <c r="AL117" i="9"/>
  <c r="AE118" i="9"/>
  <c r="AM118" i="9"/>
  <c r="AF119" i="9"/>
  <c r="AN119" i="9"/>
  <c r="AG120" i="9"/>
  <c r="AO120" i="9"/>
  <c r="AH121" i="9"/>
  <c r="AP121" i="9"/>
  <c r="AI122" i="9"/>
  <c r="AJ123" i="9"/>
  <c r="AK124" i="9"/>
  <c r="AD125" i="9"/>
  <c r="AL125" i="9"/>
  <c r="AE126" i="9"/>
  <c r="AM126" i="9"/>
  <c r="AF127" i="9"/>
  <c r="AN127" i="9"/>
  <c r="AG128" i="9"/>
  <c r="AO128" i="9"/>
  <c r="AH129" i="9"/>
  <c r="AP129" i="9"/>
  <c r="AI130" i="9"/>
  <c r="AJ131" i="9"/>
  <c r="AK132" i="9"/>
  <c r="AD133" i="9"/>
  <c r="AL133" i="9"/>
  <c r="AE134" i="9"/>
  <c r="AM134" i="9"/>
  <c r="AF135" i="9"/>
  <c r="AN135" i="9"/>
  <c r="AG136" i="9"/>
  <c r="AO136" i="9"/>
  <c r="AH137" i="9"/>
  <c r="AP137" i="9"/>
  <c r="AI138" i="9"/>
  <c r="AJ139" i="9"/>
  <c r="AK140" i="9"/>
  <c r="AF141" i="9"/>
  <c r="AN141" i="9"/>
  <c r="AH142" i="9"/>
  <c r="AP142" i="9"/>
  <c r="AJ143" i="9"/>
  <c r="AD144" i="9"/>
  <c r="AL144" i="9"/>
  <c r="AF145" i="9"/>
  <c r="AN145" i="9"/>
  <c r="AH146" i="9"/>
  <c r="AP146" i="9"/>
  <c r="AJ147" i="9"/>
  <c r="AD148" i="9"/>
  <c r="AL148" i="9"/>
  <c r="AF149" i="9"/>
  <c r="AN149" i="9"/>
  <c r="AH150" i="9"/>
  <c r="AP150" i="9"/>
  <c r="AJ151" i="9"/>
  <c r="AD152" i="9"/>
  <c r="AL152" i="9"/>
  <c r="AF153" i="9"/>
  <c r="AN153" i="9"/>
  <c r="AH154" i="9"/>
  <c r="AP154" i="9"/>
  <c r="AJ155" i="9"/>
  <c r="AD156" i="9"/>
  <c r="AL156" i="9"/>
  <c r="AL157" i="9"/>
  <c r="AD158" i="9"/>
  <c r="AM158" i="9"/>
  <c r="AE159" i="9"/>
  <c r="AN159" i="9"/>
  <c r="AF160" i="9"/>
  <c r="AO160" i="9"/>
  <c r="AG161" i="9"/>
  <c r="AP161" i="9"/>
  <c r="AH162" i="9"/>
  <c r="AH163" i="9"/>
  <c r="AI164" i="9"/>
  <c r="AN165" i="9"/>
  <c r="AM166" i="9"/>
  <c r="AM167" i="9"/>
  <c r="AL168" i="9"/>
  <c r="AK169" i="9"/>
  <c r="AK170" i="9"/>
  <c r="AJ171" i="9"/>
  <c r="AI172" i="9"/>
  <c r="AI173" i="9"/>
  <c r="AH174" i="9"/>
  <c r="AG175" i="9"/>
  <c r="AL176" i="9"/>
  <c r="AI177" i="9"/>
  <c r="AF178" i="9"/>
  <c r="AP179" i="9"/>
  <c r="AJ180" i="9"/>
  <c r="AD181" i="9"/>
  <c r="AN182" i="9"/>
  <c r="AP183" i="9"/>
  <c r="AJ184" i="9"/>
  <c r="AD185" i="9"/>
  <c r="AN186" i="9"/>
  <c r="AJ187" i="9"/>
  <c r="AF189" i="9"/>
  <c r="AE190" i="9"/>
  <c r="AF194" i="9"/>
  <c r="AD196" i="9"/>
  <c r="AD199" i="9"/>
  <c r="AN213" i="9"/>
  <c r="AM214" i="9"/>
  <c r="AK231" i="9"/>
  <c r="AF233" i="9"/>
  <c r="AG239" i="9"/>
  <c r="AP241" i="9"/>
  <c r="AJ246" i="9"/>
  <c r="AD299" i="9"/>
  <c r="AE85" i="9"/>
  <c r="AM85" i="9"/>
  <c r="AF86" i="9"/>
  <c r="AN86" i="9"/>
  <c r="AG87" i="9"/>
  <c r="AO87" i="9"/>
  <c r="AH88" i="9"/>
  <c r="AP88" i="9"/>
  <c r="AI89" i="9"/>
  <c r="AJ90" i="9"/>
  <c r="AK91" i="9"/>
  <c r="AD92" i="9"/>
  <c r="AL92" i="9"/>
  <c r="AE93" i="9"/>
  <c r="AM93" i="9"/>
  <c r="AF94" i="9"/>
  <c r="AN94" i="9"/>
  <c r="AG95" i="9"/>
  <c r="AO95" i="9"/>
  <c r="AH96" i="9"/>
  <c r="AP96" i="9"/>
  <c r="AI97" i="9"/>
  <c r="AJ98" i="9"/>
  <c r="AK99" i="9"/>
  <c r="AD100" i="9"/>
  <c r="AL100" i="9"/>
  <c r="AE101" i="9"/>
  <c r="AM101" i="9"/>
  <c r="AF102" i="9"/>
  <c r="AN102" i="9"/>
  <c r="AG103" i="9"/>
  <c r="AO103" i="9"/>
  <c r="AH104" i="9"/>
  <c r="AP104" i="9"/>
  <c r="AI105" i="9"/>
  <c r="AJ106" i="9"/>
  <c r="AK107" i="9"/>
  <c r="AD108" i="9"/>
  <c r="AL108" i="9"/>
  <c r="AE109" i="9"/>
  <c r="AM109" i="9"/>
  <c r="AF110" i="9"/>
  <c r="AN110" i="9"/>
  <c r="AG111" i="9"/>
  <c r="AO111" i="9"/>
  <c r="AH112" i="9"/>
  <c r="AP112" i="9"/>
  <c r="AI113" i="9"/>
  <c r="AJ114" i="9"/>
  <c r="AK115" i="9"/>
  <c r="AD116" i="9"/>
  <c r="AL116" i="9"/>
  <c r="AE117" i="9"/>
  <c r="AM117" i="9"/>
  <c r="AF118" i="9"/>
  <c r="AN118" i="9"/>
  <c r="AG119" i="9"/>
  <c r="AO119" i="9"/>
  <c r="AH120" i="9"/>
  <c r="AP120" i="9"/>
  <c r="AI121" i="9"/>
  <c r="AJ122" i="9"/>
  <c r="AK123" i="9"/>
  <c r="AD124" i="9"/>
  <c r="AL124" i="9"/>
  <c r="AE125" i="9"/>
  <c r="AM125" i="9"/>
  <c r="AF126" i="9"/>
  <c r="AN126" i="9"/>
  <c r="AG127" i="9"/>
  <c r="AO127" i="9"/>
  <c r="AH128" i="9"/>
  <c r="AP128" i="9"/>
  <c r="AI129" i="9"/>
  <c r="AJ130" i="9"/>
  <c r="AK131" i="9"/>
  <c r="AD132" i="9"/>
  <c r="AL132" i="9"/>
  <c r="AE133" i="9"/>
  <c r="AM133" i="9"/>
  <c r="AF134" i="9"/>
  <c r="AN134" i="9"/>
  <c r="AG135" i="9"/>
  <c r="AO135" i="9"/>
  <c r="AH136" i="9"/>
  <c r="AP136" i="9"/>
  <c r="AI137" i="9"/>
  <c r="AJ138" i="9"/>
  <c r="AK139" i="9"/>
  <c r="AD140" i="9"/>
  <c r="AL140" i="9"/>
  <c r="AG141" i="9"/>
  <c r="AO141" i="9"/>
  <c r="AI142" i="9"/>
  <c r="AK143" i="9"/>
  <c r="AE144" i="9"/>
  <c r="AM144" i="9"/>
  <c r="AG145" i="9"/>
  <c r="AO145" i="9"/>
  <c r="AI146" i="9"/>
  <c r="AK147" i="9"/>
  <c r="AE148" i="9"/>
  <c r="AM148" i="9"/>
  <c r="AG149" i="9"/>
  <c r="AO149" i="9"/>
  <c r="AI150" i="9"/>
  <c r="AK151" i="9"/>
  <c r="AE152" i="9"/>
  <c r="AM152" i="9"/>
  <c r="AG153" i="9"/>
  <c r="AO153" i="9"/>
  <c r="AI154" i="9"/>
  <c r="AK155" i="9"/>
  <c r="AE156" i="9"/>
  <c r="AM156" i="9"/>
  <c r="AD157" i="9"/>
  <c r="AN157" i="9"/>
  <c r="AE158" i="9"/>
  <c r="AN158" i="9"/>
  <c r="AF159" i="9"/>
  <c r="AO159" i="9"/>
  <c r="AG160" i="9"/>
  <c r="AP160" i="9"/>
  <c r="AH161" i="9"/>
  <c r="AI162" i="9"/>
  <c r="AJ163" i="9"/>
  <c r="AJ164" i="9"/>
  <c r="AD165" i="9"/>
  <c r="AP165" i="9"/>
  <c r="AD166" i="9"/>
  <c r="AN166" i="9"/>
  <c r="AD167" i="9"/>
  <c r="AN167" i="9"/>
  <c r="AN168" i="9"/>
  <c r="AL169" i="9"/>
  <c r="AL170" i="9"/>
  <c r="AL171" i="9"/>
  <c r="AJ172" i="9"/>
  <c r="AJ173" i="9"/>
  <c r="AJ174" i="9"/>
  <c r="AH175" i="9"/>
  <c r="AN176" i="9"/>
  <c r="AK177" i="9"/>
  <c r="AH178" i="9"/>
  <c r="AD179" i="9"/>
  <c r="AL180" i="9"/>
  <c r="AF181" i="9"/>
  <c r="AP182" i="9"/>
  <c r="AL184" i="9"/>
  <c r="AF185" i="9"/>
  <c r="AP186" i="9"/>
  <c r="AO187" i="9"/>
  <c r="AK189" i="9"/>
  <c r="AF190" i="9"/>
  <c r="AN194" i="9"/>
  <c r="AF196" i="9"/>
  <c r="AD198" i="9"/>
  <c r="AM199" i="9"/>
  <c r="AL201" i="9"/>
  <c r="AD204" i="9"/>
  <c r="AM212" i="9"/>
  <c r="AF216" i="9"/>
  <c r="AO231" i="9"/>
  <c r="AI233" i="9"/>
  <c r="AD235" i="9"/>
  <c r="AD237" i="9"/>
  <c r="AJ239" i="9"/>
  <c r="AO246" i="9"/>
  <c r="AN302" i="9"/>
  <c r="AH149" i="9"/>
  <c r="AP149" i="9"/>
  <c r="AJ150" i="9"/>
  <c r="AD151" i="9"/>
  <c r="AL151" i="9"/>
  <c r="AF152" i="9"/>
  <c r="AN152" i="9"/>
  <c r="AH153" i="9"/>
  <c r="AP153" i="9"/>
  <c r="AJ154" i="9"/>
  <c r="AD155" i="9"/>
  <c r="AL155" i="9"/>
  <c r="AF156" i="9"/>
  <c r="AN156" i="9"/>
  <c r="AF157" i="9"/>
  <c r="AO157" i="9"/>
  <c r="AF158" i="9"/>
  <c r="AP158" i="9"/>
  <c r="AG159" i="9"/>
  <c r="AP159" i="9"/>
  <c r="AH160" i="9"/>
  <c r="AI161" i="9"/>
  <c r="AJ162" i="9"/>
  <c r="AK163" i="9"/>
  <c r="AL164" i="9"/>
  <c r="AF165" i="9"/>
  <c r="AE166" i="9"/>
  <c r="AP166" i="9"/>
  <c r="AE167" i="9"/>
  <c r="AO167" i="9"/>
  <c r="AD168" i="9"/>
  <c r="AO168" i="9"/>
  <c r="AN169" i="9"/>
  <c r="AM170" i="9"/>
  <c r="AM171" i="9"/>
  <c r="AL172" i="9"/>
  <c r="AK173" i="9"/>
  <c r="AK174" i="9"/>
  <c r="AJ175" i="9"/>
  <c r="AO176" i="9"/>
  <c r="AL177" i="9"/>
  <c r="AJ178" i="9"/>
  <c r="AE179" i="9"/>
  <c r="AN180" i="9"/>
  <c r="AH181" i="9"/>
  <c r="AD183" i="9"/>
  <c r="AN184" i="9"/>
  <c r="AH185" i="9"/>
  <c r="AP187" i="9"/>
  <c r="AL189" i="9"/>
  <c r="AM190" i="9"/>
  <c r="AD193" i="9"/>
  <c r="AO194" i="9"/>
  <c r="AO196" i="9"/>
  <c r="AN198" i="9"/>
  <c r="AN199" i="9"/>
  <c r="AM201" i="9"/>
  <c r="AO204" i="9"/>
  <c r="AP212" i="9"/>
  <c r="AO220" i="9"/>
  <c r="AL222" i="9"/>
  <c r="AF224" i="9"/>
  <c r="AO244" i="9"/>
  <c r="AM250" i="9"/>
  <c r="AH319" i="9"/>
  <c r="AE83" i="9"/>
  <c r="AM83" i="9"/>
  <c r="AF84" i="9"/>
  <c r="AN84" i="9"/>
  <c r="AG85" i="9"/>
  <c r="AO85" i="9"/>
  <c r="AH86" i="9"/>
  <c r="AP86" i="9"/>
  <c r="AI87" i="9"/>
  <c r="AJ88" i="9"/>
  <c r="AK89" i="9"/>
  <c r="AD90" i="9"/>
  <c r="AL90" i="9"/>
  <c r="AE91" i="9"/>
  <c r="AM91" i="9"/>
  <c r="AF92" i="9"/>
  <c r="AN92" i="9"/>
  <c r="AG93" i="9"/>
  <c r="AO93" i="9"/>
  <c r="AH94" i="9"/>
  <c r="AP94" i="9"/>
  <c r="AI95" i="9"/>
  <c r="AJ96" i="9"/>
  <c r="AK97" i="9"/>
  <c r="AD98" i="9"/>
  <c r="AL98" i="9"/>
  <c r="AE99" i="9"/>
  <c r="AM99" i="9"/>
  <c r="AF100" i="9"/>
  <c r="AN100" i="9"/>
  <c r="AG101" i="9"/>
  <c r="AO101" i="9"/>
  <c r="AH102" i="9"/>
  <c r="AP102" i="9"/>
  <c r="AI103" i="9"/>
  <c r="AJ104" i="9"/>
  <c r="AK105" i="9"/>
  <c r="AD106" i="9"/>
  <c r="AL106" i="9"/>
  <c r="AE107" i="9"/>
  <c r="AM107" i="9"/>
  <c r="AF108" i="9"/>
  <c r="AN108" i="9"/>
  <c r="AG109" i="9"/>
  <c r="AO109" i="9"/>
  <c r="AH110" i="9"/>
  <c r="AP110" i="9"/>
  <c r="AI111" i="9"/>
  <c r="AJ112" i="9"/>
  <c r="AK113" i="9"/>
  <c r="AD114" i="9"/>
  <c r="AL114" i="9"/>
  <c r="AE115" i="9"/>
  <c r="AM115" i="9"/>
  <c r="AF116" i="9"/>
  <c r="AN116" i="9"/>
  <c r="AG117" i="9"/>
  <c r="AO117" i="9"/>
  <c r="AH118" i="9"/>
  <c r="AP118" i="9"/>
  <c r="AI119" i="9"/>
  <c r="AJ120" i="9"/>
  <c r="AK121" i="9"/>
  <c r="AD122" i="9"/>
  <c r="AL122" i="9"/>
  <c r="AE123" i="9"/>
  <c r="AM123" i="9"/>
  <c r="AF124" i="9"/>
  <c r="AN124" i="9"/>
  <c r="AG125" i="9"/>
  <c r="AO125" i="9"/>
  <c r="AH126" i="9"/>
  <c r="AP126" i="9"/>
  <c r="AI127" i="9"/>
  <c r="AJ128" i="9"/>
  <c r="AK129" i="9"/>
  <c r="AD130" i="9"/>
  <c r="AL130" i="9"/>
  <c r="AE131" i="9"/>
  <c r="AM131" i="9"/>
  <c r="AF132" i="9"/>
  <c r="AN132" i="9"/>
  <c r="AG133" i="9"/>
  <c r="AO133" i="9"/>
  <c r="AH134" i="9"/>
  <c r="AP134" i="9"/>
  <c r="AI135" i="9"/>
  <c r="AJ136" i="9"/>
  <c r="AK137" i="9"/>
  <c r="AD138" i="9"/>
  <c r="AL138" i="9"/>
  <c r="AE139" i="9"/>
  <c r="AM139" i="9"/>
  <c r="AF140" i="9"/>
  <c r="AN140" i="9"/>
  <c r="AI141" i="9"/>
  <c r="AK142" i="9"/>
  <c r="AE143" i="9"/>
  <c r="AM143" i="9"/>
  <c r="AG144" i="9"/>
  <c r="AO144" i="9"/>
  <c r="AI145" i="9"/>
  <c r="AK146" i="9"/>
  <c r="AE147" i="9"/>
  <c r="AM147" i="9"/>
  <c r="AG148" i="9"/>
  <c r="AO148" i="9"/>
  <c r="AI149" i="9"/>
  <c r="AK150" i="9"/>
  <c r="AE151" i="9"/>
  <c r="AM151" i="9"/>
  <c r="AG152" i="9"/>
  <c r="AO152" i="9"/>
  <c r="AI153" i="9"/>
  <c r="AK154" i="9"/>
  <c r="AE155" i="9"/>
  <c r="AM155" i="9"/>
  <c r="AG156" i="9"/>
  <c r="AO156" i="9"/>
  <c r="AG157" i="9"/>
  <c r="AP157" i="9"/>
  <c r="AH158" i="9"/>
  <c r="AH159" i="9"/>
  <c r="AI160" i="9"/>
  <c r="AJ161" i="9"/>
  <c r="AK162" i="9"/>
  <c r="AL163" i="9"/>
  <c r="AD164" i="9"/>
  <c r="AM164" i="9"/>
  <c r="AH165" i="9"/>
  <c r="AF166" i="9"/>
  <c r="AF167" i="9"/>
  <c r="AP167" i="9"/>
  <c r="AF168" i="9"/>
  <c r="AP168" i="9"/>
  <c r="AD169" i="9"/>
  <c r="AP169" i="9"/>
  <c r="AD170" i="9"/>
  <c r="AN170" i="9"/>
  <c r="AD171" i="9"/>
  <c r="AN171" i="9"/>
  <c r="AN172" i="9"/>
  <c r="AL173" i="9"/>
  <c r="AL174" i="9"/>
  <c r="AL175" i="9"/>
  <c r="AD176" i="9"/>
  <c r="AN177" i="9"/>
  <c r="AK178" i="9"/>
  <c r="AG179" i="9"/>
  <c r="AK181" i="9"/>
  <c r="AE182" i="9"/>
  <c r="AG183" i="9"/>
  <c r="AK185" i="9"/>
  <c r="AE186" i="9"/>
  <c r="AD188" i="9"/>
  <c r="AN189" i="9"/>
  <c r="AN190" i="9"/>
  <c r="AK193" i="9"/>
  <c r="AP196" i="9"/>
  <c r="AD197" i="9"/>
  <c r="AO198" i="9"/>
  <c r="AI207" i="9"/>
  <c r="AF208" i="9"/>
  <c r="AL211" i="9"/>
  <c r="AM222" i="9"/>
  <c r="AJ224" i="9"/>
  <c r="AD226" i="9"/>
  <c r="AL323" i="9"/>
  <c r="AH144" i="9"/>
  <c r="AP144" i="9"/>
  <c r="AJ145" i="9"/>
  <c r="AD146" i="9"/>
  <c r="AL146" i="9"/>
  <c r="AF147" i="9"/>
  <c r="AN147" i="9"/>
  <c r="AH148" i="9"/>
  <c r="AP148" i="9"/>
  <c r="AJ149" i="9"/>
  <c r="AD150" i="9"/>
  <c r="AL150" i="9"/>
  <c r="AF151" i="9"/>
  <c r="AN151" i="9"/>
  <c r="AH152" i="9"/>
  <c r="AP152" i="9"/>
  <c r="AJ153" i="9"/>
  <c r="AD154" i="9"/>
  <c r="AL154" i="9"/>
  <c r="AF155" i="9"/>
  <c r="AN155" i="9"/>
  <c r="AH156" i="9"/>
  <c r="AP156" i="9"/>
  <c r="AH157" i="9"/>
  <c r="AI158" i="9"/>
  <c r="AJ159" i="9"/>
  <c r="AJ160" i="9"/>
  <c r="AK161" i="9"/>
  <c r="AL162" i="9"/>
  <c r="AD163" i="9"/>
  <c r="AM163" i="9"/>
  <c r="AE164" i="9"/>
  <c r="AN164" i="9"/>
  <c r="AI165" i="9"/>
  <c r="AH166" i="9"/>
  <c r="AG167" i="9"/>
  <c r="AG168" i="9"/>
  <c r="AF169" i="9"/>
  <c r="AE170" i="9"/>
  <c r="AP170" i="9"/>
  <c r="AE171" i="9"/>
  <c r="AO171" i="9"/>
  <c r="AD172" i="9"/>
  <c r="AO172" i="9"/>
  <c r="AN173" i="9"/>
  <c r="AM174" i="9"/>
  <c r="AM175" i="9"/>
  <c r="AF176" i="9"/>
  <c r="AP177" i="9"/>
  <c r="AM178" i="9"/>
  <c r="AH179" i="9"/>
  <c r="AL181" i="9"/>
  <c r="AF182" i="9"/>
  <c r="AH183" i="9"/>
  <c r="AL185" i="9"/>
  <c r="AF186" i="9"/>
  <c r="AI188" i="9"/>
  <c r="AG191" i="9"/>
  <c r="AI192" i="9"/>
  <c r="AL193" i="9"/>
  <c r="AE195" i="9"/>
  <c r="AE197" i="9"/>
  <c r="AK202" i="9"/>
  <c r="AJ203" i="9"/>
  <c r="AL207" i="9"/>
  <c r="AD209" i="9"/>
  <c r="AO211" i="9"/>
  <c r="AG215" i="9"/>
  <c r="AM230" i="9"/>
  <c r="AJ232" i="9"/>
  <c r="AD234" i="9"/>
  <c r="AE238" i="9"/>
  <c r="AK240" i="9"/>
  <c r="AE248" i="9"/>
  <c r="AK346" i="9"/>
  <c r="AH176" i="9"/>
  <c r="AP176" i="9"/>
  <c r="AJ177" i="9"/>
  <c r="AD178" i="9"/>
  <c r="AL178" i="9"/>
  <c r="AF179" i="9"/>
  <c r="AN179" i="9"/>
  <c r="AH180" i="9"/>
  <c r="AP180" i="9"/>
  <c r="AJ181" i="9"/>
  <c r="AD182" i="9"/>
  <c r="AL182" i="9"/>
  <c r="AF183" i="9"/>
  <c r="AN183" i="9"/>
  <c r="AH184" i="9"/>
  <c r="AP184" i="9"/>
  <c r="AJ185" i="9"/>
  <c r="AD186" i="9"/>
  <c r="AL186" i="9"/>
  <c r="AF187" i="9"/>
  <c r="AN187" i="9"/>
  <c r="AH188" i="9"/>
  <c r="AP188" i="9"/>
  <c r="AJ189" i="9"/>
  <c r="AD190" i="9"/>
  <c r="AL190" i="9"/>
  <c r="AF191" i="9"/>
  <c r="AN191" i="9"/>
  <c r="AH192" i="9"/>
  <c r="AP192" i="9"/>
  <c r="AJ193" i="9"/>
  <c r="AD194" i="9"/>
  <c r="AL194" i="9"/>
  <c r="AD195" i="9"/>
  <c r="AN195" i="9"/>
  <c r="AN196" i="9"/>
  <c r="AM197" i="9"/>
  <c r="AL198" i="9"/>
  <c r="AL199" i="9"/>
  <c r="AK200" i="9"/>
  <c r="AJ201" i="9"/>
  <c r="AJ202" i="9"/>
  <c r="AI203" i="9"/>
  <c r="AN204" i="9"/>
  <c r="AL205" i="9"/>
  <c r="AO206" i="9"/>
  <c r="AH207" i="9"/>
  <c r="AJ210" i="9"/>
  <c r="AK211" i="9"/>
  <c r="AL212" i="9"/>
  <c r="AM213" i="9"/>
  <c r="AH214" i="9"/>
  <c r="AO219" i="9"/>
  <c r="AN220" i="9"/>
  <c r="AJ221" i="9"/>
  <c r="AH222" i="9"/>
  <c r="AG223" i="9"/>
  <c r="AO228" i="9"/>
  <c r="AM229" i="9"/>
  <c r="AL230" i="9"/>
  <c r="AH231" i="9"/>
  <c r="AF232" i="9"/>
  <c r="AE233" i="9"/>
  <c r="AE239" i="9"/>
  <c r="AG240" i="9"/>
  <c r="AK241" i="9"/>
  <c r="AM244" i="9"/>
  <c r="AH246" i="9"/>
  <c r="AL249" i="9"/>
  <c r="AF278" i="9"/>
  <c r="AO297" i="9"/>
  <c r="AP317" i="9"/>
  <c r="AG344" i="9"/>
  <c r="AE157" i="9"/>
  <c r="AM157" i="9"/>
  <c r="AG158" i="9"/>
  <c r="AO158" i="9"/>
  <c r="AI159" i="9"/>
  <c r="AK160" i="9"/>
  <c r="AE161" i="9"/>
  <c r="AM161" i="9"/>
  <c r="AG162" i="9"/>
  <c r="AO162" i="9"/>
  <c r="AI163" i="9"/>
  <c r="AK164" i="9"/>
  <c r="AE165" i="9"/>
  <c r="AM165" i="9"/>
  <c r="AG166" i="9"/>
  <c r="AO166" i="9"/>
  <c r="AI167" i="9"/>
  <c r="AK168" i="9"/>
  <c r="AE169" i="9"/>
  <c r="AM169" i="9"/>
  <c r="AG170" i="9"/>
  <c r="AO170" i="9"/>
  <c r="AI171" i="9"/>
  <c r="AK172" i="9"/>
  <c r="AE173" i="9"/>
  <c r="AM173" i="9"/>
  <c r="AG174" i="9"/>
  <c r="AO174" i="9"/>
  <c r="AI175" i="9"/>
  <c r="AK176" i="9"/>
  <c r="AE177" i="9"/>
  <c r="AM177" i="9"/>
  <c r="AG178" i="9"/>
  <c r="AO178" i="9"/>
  <c r="AI179" i="9"/>
  <c r="AK180" i="9"/>
  <c r="AE181" i="9"/>
  <c r="AM181" i="9"/>
  <c r="AG182" i="9"/>
  <c r="AO182" i="9"/>
  <c r="AI183" i="9"/>
  <c r="AK184" i="9"/>
  <c r="AE185" i="9"/>
  <c r="AM185" i="9"/>
  <c r="AG186" i="9"/>
  <c r="AO186" i="9"/>
  <c r="AI187" i="9"/>
  <c r="AK188" i="9"/>
  <c r="AE189" i="9"/>
  <c r="AM189" i="9"/>
  <c r="AG190" i="9"/>
  <c r="AO190" i="9"/>
  <c r="AI191" i="9"/>
  <c r="AK192" i="9"/>
  <c r="AE193" i="9"/>
  <c r="AM193" i="9"/>
  <c r="AG194" i="9"/>
  <c r="AP194" i="9"/>
  <c r="AH195" i="9"/>
  <c r="AG196" i="9"/>
  <c r="AF197" i="9"/>
  <c r="AF198" i="9"/>
  <c r="AP198" i="9"/>
  <c r="AE199" i="9"/>
  <c r="AP199" i="9"/>
  <c r="AD200" i="9"/>
  <c r="AO200" i="9"/>
  <c r="AD201" i="9"/>
  <c r="AN201" i="9"/>
  <c r="AN202" i="9"/>
  <c r="AM203" i="9"/>
  <c r="AF204" i="9"/>
  <c r="AD205" i="9"/>
  <c r="AP205" i="9"/>
  <c r="AF206" i="9"/>
  <c r="AM207" i="9"/>
  <c r="AG208" i="9"/>
  <c r="AH209" i="9"/>
  <c r="AP214" i="9"/>
  <c r="AK215" i="9"/>
  <c r="AJ216" i="9"/>
  <c r="AF217" i="9"/>
  <c r="AD218" i="9"/>
  <c r="AP222" i="9"/>
  <c r="AO223" i="9"/>
  <c r="AK224" i="9"/>
  <c r="AI225" i="9"/>
  <c r="AH226" i="9"/>
  <c r="AD227" i="9"/>
  <c r="AP231" i="9"/>
  <c r="AN232" i="9"/>
  <c r="AM233" i="9"/>
  <c r="AI234" i="9"/>
  <c r="AG235" i="9"/>
  <c r="AF236" i="9"/>
  <c r="AE237" i="9"/>
  <c r="AI238" i="9"/>
  <c r="AO239" i="9"/>
  <c r="AP240" i="9"/>
  <c r="AJ243" i="9"/>
  <c r="AE245" i="9"/>
  <c r="AP248" i="9"/>
  <c r="AO250" i="9"/>
  <c r="AL269" i="9"/>
  <c r="AG284" i="9"/>
  <c r="AP303" i="9"/>
  <c r="AP324" i="9"/>
  <c r="AO354" i="9"/>
  <c r="AH190" i="9"/>
  <c r="AP190" i="9"/>
  <c r="AJ191" i="9"/>
  <c r="AD192" i="9"/>
  <c r="AL192" i="9"/>
  <c r="AF193" i="9"/>
  <c r="AN193" i="9"/>
  <c r="AH194" i="9"/>
  <c r="AI195" i="9"/>
  <c r="AH196" i="9"/>
  <c r="AH197" i="9"/>
  <c r="AG198" i="9"/>
  <c r="AF199" i="9"/>
  <c r="AF200" i="9"/>
  <c r="AP200" i="9"/>
  <c r="AE201" i="9"/>
  <c r="AP201" i="9"/>
  <c r="AD202" i="9"/>
  <c r="AO202" i="9"/>
  <c r="AD203" i="9"/>
  <c r="AN203" i="9"/>
  <c r="AG204" i="9"/>
  <c r="AE205" i="9"/>
  <c r="AG206" i="9"/>
  <c r="AP207" i="9"/>
  <c r="AJ208" i="9"/>
  <c r="AI209" i="9"/>
  <c r="AO215" i="9"/>
  <c r="AK216" i="9"/>
  <c r="AI217" i="9"/>
  <c r="AH218" i="9"/>
  <c r="AD219" i="9"/>
  <c r="AP223" i="9"/>
  <c r="AN224" i="9"/>
  <c r="AM225" i="9"/>
  <c r="AI226" i="9"/>
  <c r="AG227" i="9"/>
  <c r="AF228" i="9"/>
  <c r="AN233" i="9"/>
  <c r="AL234" i="9"/>
  <c r="AK235" i="9"/>
  <c r="AG236" i="9"/>
  <c r="AI237" i="9"/>
  <c r="AN238" i="9"/>
  <c r="AP239" i="9"/>
  <c r="AO243" i="9"/>
  <c r="AK245" i="9"/>
  <c r="AE247" i="9"/>
  <c r="AO269" i="9"/>
  <c r="AD288" i="9"/>
  <c r="AM307" i="9"/>
  <c r="AG329" i="9"/>
  <c r="AE362" i="9"/>
  <c r="AG165" i="9"/>
  <c r="AO165" i="9"/>
  <c r="AI166" i="9"/>
  <c r="AK167" i="9"/>
  <c r="AE168" i="9"/>
  <c r="AM168" i="9"/>
  <c r="AG169" i="9"/>
  <c r="AO169" i="9"/>
  <c r="AI170" i="9"/>
  <c r="AK171" i="9"/>
  <c r="AE172" i="9"/>
  <c r="AM172" i="9"/>
  <c r="AG173" i="9"/>
  <c r="AO173" i="9"/>
  <c r="AI174" i="9"/>
  <c r="AK175" i="9"/>
  <c r="AE176" i="9"/>
  <c r="AM176" i="9"/>
  <c r="AG177" i="9"/>
  <c r="AO177" i="9"/>
  <c r="AI178" i="9"/>
  <c r="AK179" i="9"/>
  <c r="AE180" i="9"/>
  <c r="AM180" i="9"/>
  <c r="AG181" i="9"/>
  <c r="AO181" i="9"/>
  <c r="AI182" i="9"/>
  <c r="AK183" i="9"/>
  <c r="AE184" i="9"/>
  <c r="AM184" i="9"/>
  <c r="AG185" i="9"/>
  <c r="AO185" i="9"/>
  <c r="AI186" i="9"/>
  <c r="AK187" i="9"/>
  <c r="AE188" i="9"/>
  <c r="AM188" i="9"/>
  <c r="AG189" i="9"/>
  <c r="AO189" i="9"/>
  <c r="AI190" i="9"/>
  <c r="AK191" i="9"/>
  <c r="AE192" i="9"/>
  <c r="AM192" i="9"/>
  <c r="AG193" i="9"/>
  <c r="AO193" i="9"/>
  <c r="AI194" i="9"/>
  <c r="AJ195" i="9"/>
  <c r="AJ196" i="9"/>
  <c r="AI197" i="9"/>
  <c r="AH198" i="9"/>
  <c r="AH199" i="9"/>
  <c r="AG200" i="9"/>
  <c r="AF201" i="9"/>
  <c r="AF202" i="9"/>
  <c r="AP202" i="9"/>
  <c r="AE203" i="9"/>
  <c r="AP203" i="9"/>
  <c r="AJ204" i="9"/>
  <c r="AF205" i="9"/>
  <c r="AJ206" i="9"/>
  <c r="AK208" i="9"/>
  <c r="AL209" i="9"/>
  <c r="AD212" i="9"/>
  <c r="AE213" i="9"/>
  <c r="AP215" i="9"/>
  <c r="AN216" i="9"/>
  <c r="AM217" i="9"/>
  <c r="AI218" i="9"/>
  <c r="AG219" i="9"/>
  <c r="AF220" i="9"/>
  <c r="AN225" i="9"/>
  <c r="AL226" i="9"/>
  <c r="AK227" i="9"/>
  <c r="AG228" i="9"/>
  <c r="AE229" i="9"/>
  <c r="AD230" i="9"/>
  <c r="AP234" i="9"/>
  <c r="AL235" i="9"/>
  <c r="AJ236" i="9"/>
  <c r="AM237" i="9"/>
  <c r="AO238" i="9"/>
  <c r="AH242" i="9"/>
  <c r="AL245" i="9"/>
  <c r="AK247" i="9"/>
  <c r="AF289" i="9"/>
  <c r="AO308" i="9"/>
  <c r="AL330" i="9"/>
  <c r="AO363" i="9"/>
  <c r="AD187" i="9"/>
  <c r="AL187" i="9"/>
  <c r="AF188" i="9"/>
  <c r="AN188" i="9"/>
  <c r="AH189" i="9"/>
  <c r="AP189" i="9"/>
  <c r="AJ190" i="9"/>
  <c r="AD191" i="9"/>
  <c r="AL191" i="9"/>
  <c r="AF192" i="9"/>
  <c r="AN192" i="9"/>
  <c r="AH193" i="9"/>
  <c r="AP193" i="9"/>
  <c r="AJ194" i="9"/>
  <c r="AL195" i="9"/>
  <c r="AK196" i="9"/>
  <c r="AJ197" i="9"/>
  <c r="AJ198" i="9"/>
  <c r="AI199" i="9"/>
  <c r="AH200" i="9"/>
  <c r="AH201" i="9"/>
  <c r="AG202" i="9"/>
  <c r="AF203" i="9"/>
  <c r="AK204" i="9"/>
  <c r="AH205" i="9"/>
  <c r="AK206" i="9"/>
  <c r="AD207" i="9"/>
  <c r="AN208" i="9"/>
  <c r="AP209" i="9"/>
  <c r="AD211" i="9"/>
  <c r="AE212" i="9"/>
  <c r="AF213" i="9"/>
  <c r="AD214" i="9"/>
  <c r="AN217" i="9"/>
  <c r="AL218" i="9"/>
  <c r="AK219" i="9"/>
  <c r="AG220" i="9"/>
  <c r="AE221" i="9"/>
  <c r="AD222" i="9"/>
  <c r="AP226" i="9"/>
  <c r="AL227" i="9"/>
  <c r="AJ228" i="9"/>
  <c r="AI229" i="9"/>
  <c r="AE230" i="9"/>
  <c r="AO235" i="9"/>
  <c r="AN236" i="9"/>
  <c r="AN237" i="9"/>
  <c r="AG241" i="9"/>
  <c r="AI242" i="9"/>
  <c r="AD244" i="9"/>
  <c r="AP245" i="9"/>
  <c r="AM247" i="9"/>
  <c r="AL259" i="9"/>
  <c r="AI260" i="9"/>
  <c r="AJ261" i="9"/>
  <c r="AF262" i="9"/>
  <c r="AG273" i="9"/>
  <c r="AP292" i="9"/>
  <c r="AL312" i="9"/>
  <c r="AN336" i="9"/>
  <c r="AK370" i="9"/>
  <c r="AM179" i="9"/>
  <c r="AG180" i="9"/>
  <c r="AO180" i="9"/>
  <c r="AI181" i="9"/>
  <c r="AK182" i="9"/>
  <c r="AE183" i="9"/>
  <c r="AM183" i="9"/>
  <c r="AG184" i="9"/>
  <c r="AO184" i="9"/>
  <c r="AI185" i="9"/>
  <c r="AK186" i="9"/>
  <c r="AE187" i="9"/>
  <c r="AM187" i="9"/>
  <c r="AG188" i="9"/>
  <c r="AO188" i="9"/>
  <c r="AI189" i="9"/>
  <c r="AK190" i="9"/>
  <c r="AE191" i="9"/>
  <c r="AM191" i="9"/>
  <c r="AG192" i="9"/>
  <c r="AO192" i="9"/>
  <c r="AI193" i="9"/>
  <c r="AK194" i="9"/>
  <c r="AM195" i="9"/>
  <c r="AL196" i="9"/>
  <c r="AL197" i="9"/>
  <c r="AK198" i="9"/>
  <c r="AJ199" i="9"/>
  <c r="AJ200" i="9"/>
  <c r="AI201" i="9"/>
  <c r="AH202" i="9"/>
  <c r="AH203" i="9"/>
  <c r="AL204" i="9"/>
  <c r="AI205" i="9"/>
  <c r="AN206" i="9"/>
  <c r="AE207" i="9"/>
  <c r="AO208" i="9"/>
  <c r="AF210" i="9"/>
  <c r="AG211" i="9"/>
  <c r="AH212" i="9"/>
  <c r="AI213" i="9"/>
  <c r="AE214" i="9"/>
  <c r="AP218" i="9"/>
  <c r="AL219" i="9"/>
  <c r="AJ220" i="9"/>
  <c r="AI221" i="9"/>
  <c r="AE222" i="9"/>
  <c r="AO227" i="9"/>
  <c r="AN228" i="9"/>
  <c r="AJ229" i="9"/>
  <c r="AH230" i="9"/>
  <c r="AG231" i="9"/>
  <c r="AO236" i="9"/>
  <c r="AF240" i="9"/>
  <c r="AH241" i="9"/>
  <c r="AL242" i="9"/>
  <c r="AH244" i="9"/>
  <c r="AJ249" i="9"/>
  <c r="AM260" i="9"/>
  <c r="AO261" i="9"/>
  <c r="AH262" i="9"/>
  <c r="AL266" i="9"/>
  <c r="AI274" i="9"/>
  <c r="AE294" i="9"/>
  <c r="AN313" i="9"/>
  <c r="AG338" i="9"/>
  <c r="AK195" i="9"/>
  <c r="AE196" i="9"/>
  <c r="AM196" i="9"/>
  <c r="AG197" i="9"/>
  <c r="AO197" i="9"/>
  <c r="AI198" i="9"/>
  <c r="AK199" i="9"/>
  <c r="AE200" i="9"/>
  <c r="AM200" i="9"/>
  <c r="AG201" i="9"/>
  <c r="AO201" i="9"/>
  <c r="AI202" i="9"/>
  <c r="AK203" i="9"/>
  <c r="AE204" i="9"/>
  <c r="AM204" i="9"/>
  <c r="AG205" i="9"/>
  <c r="AO205" i="9"/>
  <c r="AI206" i="9"/>
  <c r="AK207" i="9"/>
  <c r="AE208" i="9"/>
  <c r="AM208" i="9"/>
  <c r="AG209" i="9"/>
  <c r="AO209" i="9"/>
  <c r="AI210" i="9"/>
  <c r="AJ211" i="9"/>
  <c r="AK212" i="9"/>
  <c r="AD213" i="9"/>
  <c r="AL213" i="9"/>
  <c r="AK214" i="9"/>
  <c r="AF215" i="9"/>
  <c r="AN215" i="9"/>
  <c r="AI216" i="9"/>
  <c r="AD217" i="9"/>
  <c r="AL217" i="9"/>
  <c r="AG218" i="9"/>
  <c r="AO218" i="9"/>
  <c r="AJ219" i="9"/>
  <c r="AE220" i="9"/>
  <c r="AM220" i="9"/>
  <c r="AH221" i="9"/>
  <c r="AP221" i="9"/>
  <c r="AK222" i="9"/>
  <c r="AF223" i="9"/>
  <c r="AN223" i="9"/>
  <c r="AI224" i="9"/>
  <c r="AD225" i="9"/>
  <c r="AL225" i="9"/>
  <c r="AG226" i="9"/>
  <c r="AO226" i="9"/>
  <c r="AJ227" i="9"/>
  <c r="AE228" i="9"/>
  <c r="AM228" i="9"/>
  <c r="AH229" i="9"/>
  <c r="AP229" i="9"/>
  <c r="AK230" i="9"/>
  <c r="AF231" i="9"/>
  <c r="AN231" i="9"/>
  <c r="AI232" i="9"/>
  <c r="AD233" i="9"/>
  <c r="AL233" i="9"/>
  <c r="AG234" i="9"/>
  <c r="AO234" i="9"/>
  <c r="AJ235" i="9"/>
  <c r="AE236" i="9"/>
  <c r="AM236" i="9"/>
  <c r="AL237" i="9"/>
  <c r="AD238" i="9"/>
  <c r="AM238" i="9"/>
  <c r="AD239" i="9"/>
  <c r="AM239" i="9"/>
  <c r="AE240" i="9"/>
  <c r="AN240" i="9"/>
  <c r="AF241" i="9"/>
  <c r="AO241" i="9"/>
  <c r="AF242" i="9"/>
  <c r="AP242" i="9"/>
  <c r="AD243" i="9"/>
  <c r="AN243" i="9"/>
  <c r="AL244" i="9"/>
  <c r="AJ245" i="9"/>
  <c r="AG246" i="9"/>
  <c r="AJ247" i="9"/>
  <c r="AN248" i="9"/>
  <c r="AH249" i="9"/>
  <c r="AI250" i="9"/>
  <c r="AK259" i="9"/>
  <c r="AF260" i="9"/>
  <c r="AG261" i="9"/>
  <c r="AI266" i="9"/>
  <c r="AF273" i="9"/>
  <c r="AE278" i="9"/>
  <c r="AD283" i="9"/>
  <c r="AP287" i="9"/>
  <c r="AO292" i="9"/>
  <c r="AN297" i="9"/>
  <c r="AM302" i="9"/>
  <c r="AL307" i="9"/>
  <c r="AK312" i="9"/>
  <c r="AO317" i="9"/>
  <c r="AJ323" i="9"/>
  <c r="AF329" i="9"/>
  <c r="AG336" i="9"/>
  <c r="AF344" i="9"/>
  <c r="AD353" i="9"/>
  <c r="AJ361" i="9"/>
  <c r="AJ370" i="9"/>
  <c r="AH204" i="9"/>
  <c r="AP204" i="9"/>
  <c r="AJ205" i="9"/>
  <c r="AD206" i="9"/>
  <c r="AL206" i="9"/>
  <c r="AF207" i="9"/>
  <c r="AN207" i="9"/>
  <c r="AH208" i="9"/>
  <c r="AP208" i="9"/>
  <c r="AJ209" i="9"/>
  <c r="AD210" i="9"/>
  <c r="AL210" i="9"/>
  <c r="AE211" i="9"/>
  <c r="AM211" i="9"/>
  <c r="AF212" i="9"/>
  <c r="AN212" i="9"/>
  <c r="AG213" i="9"/>
  <c r="AO213" i="9"/>
  <c r="AF214" i="9"/>
  <c r="AN214" i="9"/>
  <c r="AI215" i="9"/>
  <c r="AD216" i="9"/>
  <c r="AL216" i="9"/>
  <c r="AG217" i="9"/>
  <c r="AO217" i="9"/>
  <c r="AJ218" i="9"/>
  <c r="AE219" i="9"/>
  <c r="AM219" i="9"/>
  <c r="AH220" i="9"/>
  <c r="AP220" i="9"/>
  <c r="AK221" i="9"/>
  <c r="AF222" i="9"/>
  <c r="AN222" i="9"/>
  <c r="AI223" i="9"/>
  <c r="AD224" i="9"/>
  <c r="AL224" i="9"/>
  <c r="AG225" i="9"/>
  <c r="AO225" i="9"/>
  <c r="AJ226" i="9"/>
  <c r="AE227" i="9"/>
  <c r="AM227" i="9"/>
  <c r="AH228" i="9"/>
  <c r="AP228" i="9"/>
  <c r="AK229" i="9"/>
  <c r="AF230" i="9"/>
  <c r="AN230" i="9"/>
  <c r="AI231" i="9"/>
  <c r="AD232" i="9"/>
  <c r="AL232" i="9"/>
  <c r="AG233" i="9"/>
  <c r="AO233" i="9"/>
  <c r="AJ234" i="9"/>
  <c r="AE235" i="9"/>
  <c r="AM235" i="9"/>
  <c r="AH236" i="9"/>
  <c r="AP236" i="9"/>
  <c r="AF237" i="9"/>
  <c r="AO237" i="9"/>
  <c r="AG238" i="9"/>
  <c r="AP238" i="9"/>
  <c r="AH239" i="9"/>
  <c r="AH240" i="9"/>
  <c r="AI241" i="9"/>
  <c r="AJ242" i="9"/>
  <c r="AG243" i="9"/>
  <c r="AE244" i="9"/>
  <c r="AP244" i="9"/>
  <c r="AM245" i="9"/>
  <c r="AK246" i="9"/>
  <c r="AN247" i="9"/>
  <c r="AF248" i="9"/>
  <c r="AM249" i="9"/>
  <c r="AN260" i="9"/>
  <c r="AJ262" i="9"/>
  <c r="AD263" i="9"/>
  <c r="AN265" i="9"/>
  <c r="AK267" i="9"/>
  <c r="AJ274" i="9"/>
  <c r="AI279" i="9"/>
  <c r="AH284" i="9"/>
  <c r="AG289" i="9"/>
  <c r="AF294" i="9"/>
  <c r="AE299" i="9"/>
  <c r="AD304" i="9"/>
  <c r="AP308" i="9"/>
  <c r="AO313" i="9"/>
  <c r="AI319" i="9"/>
  <c r="AD325" i="9"/>
  <c r="AF331" i="9"/>
  <c r="AI338" i="9"/>
  <c r="AL346" i="9"/>
  <c r="AJ355" i="9"/>
  <c r="AP363" i="9"/>
  <c r="AM194" i="9"/>
  <c r="AG195" i="9"/>
  <c r="AO195" i="9"/>
  <c r="AI196" i="9"/>
  <c r="AK197" i="9"/>
  <c r="AE198" i="9"/>
  <c r="AM198" i="9"/>
  <c r="AG199" i="9"/>
  <c r="AO199" i="9"/>
  <c r="AI200" i="9"/>
  <c r="AK201" i="9"/>
  <c r="AE202" i="9"/>
  <c r="AM202" i="9"/>
  <c r="AG203" i="9"/>
  <c r="AO203" i="9"/>
  <c r="AI204" i="9"/>
  <c r="AK205" i="9"/>
  <c r="AE206" i="9"/>
  <c r="AM206" i="9"/>
  <c r="AG207" i="9"/>
  <c r="AO207" i="9"/>
  <c r="AI208" i="9"/>
  <c r="AK209" i="9"/>
  <c r="AE210" i="9"/>
  <c r="AM210" i="9"/>
  <c r="AF211" i="9"/>
  <c r="AN211" i="9"/>
  <c r="AG212" i="9"/>
  <c r="AO212" i="9"/>
  <c r="AH213" i="9"/>
  <c r="AP213" i="9"/>
  <c r="AG214" i="9"/>
  <c r="AO214" i="9"/>
  <c r="AJ215" i="9"/>
  <c r="AE216" i="9"/>
  <c r="AM216" i="9"/>
  <c r="AH217" i="9"/>
  <c r="AP217" i="9"/>
  <c r="AK218" i="9"/>
  <c r="AF219" i="9"/>
  <c r="AN219" i="9"/>
  <c r="AI220" i="9"/>
  <c r="AD221" i="9"/>
  <c r="AL221" i="9"/>
  <c r="AG222" i="9"/>
  <c r="AO222" i="9"/>
  <c r="AJ223" i="9"/>
  <c r="AE224" i="9"/>
  <c r="AM224" i="9"/>
  <c r="AH225" i="9"/>
  <c r="AP225" i="9"/>
  <c r="AK226" i="9"/>
  <c r="AF227" i="9"/>
  <c r="AN227" i="9"/>
  <c r="AI228" i="9"/>
  <c r="AD229" i="9"/>
  <c r="AL229" i="9"/>
  <c r="AG230" i="9"/>
  <c r="AO230" i="9"/>
  <c r="AJ231" i="9"/>
  <c r="AE232" i="9"/>
  <c r="AM232" i="9"/>
  <c r="AH233" i="9"/>
  <c r="AP233" i="9"/>
  <c r="AK234" i="9"/>
  <c r="AF235" i="9"/>
  <c r="AN235" i="9"/>
  <c r="AI236" i="9"/>
  <c r="AG237" i="9"/>
  <c r="AH238" i="9"/>
  <c r="AI239" i="9"/>
  <c r="AJ240" i="9"/>
  <c r="AJ241" i="9"/>
  <c r="AK242" i="9"/>
  <c r="AI243" i="9"/>
  <c r="AG244" i="9"/>
  <c r="AD245" i="9"/>
  <c r="AO245" i="9"/>
  <c r="AM246" i="9"/>
  <c r="AP247" i="9"/>
  <c r="AH248" i="9"/>
  <c r="AO249" i="9"/>
  <c r="AO262" i="9"/>
  <c r="AE263" i="9"/>
  <c r="AK264" i="9"/>
  <c r="AO265" i="9"/>
  <c r="AN267" i="9"/>
  <c r="AM270" i="9"/>
  <c r="AL275" i="9"/>
  <c r="AK280" i="9"/>
  <c r="AJ285" i="9"/>
  <c r="AI290" i="9"/>
  <c r="AH295" i="9"/>
  <c r="AG300" i="9"/>
  <c r="AF305" i="9"/>
  <c r="AE310" i="9"/>
  <c r="AE315" i="9"/>
  <c r="AM320" i="9"/>
  <c r="AH326" i="9"/>
  <c r="AL332" i="9"/>
  <c r="AH340" i="9"/>
  <c r="AI348" i="9"/>
  <c r="AG357" i="9"/>
  <c r="AG366" i="9"/>
  <c r="AP263" i="9"/>
  <c r="AM264" i="9"/>
  <c r="AN270" i="9"/>
  <c r="AM275" i="9"/>
  <c r="AL280" i="9"/>
  <c r="AK285" i="9"/>
  <c r="AJ290" i="9"/>
  <c r="AI295" i="9"/>
  <c r="AH300" i="9"/>
  <c r="AG305" i="9"/>
  <c r="AF310" i="9"/>
  <c r="AF315" i="9"/>
  <c r="AN320" i="9"/>
  <c r="AI326" i="9"/>
  <c r="AM332" i="9"/>
  <c r="AI340" i="9"/>
  <c r="AD349" i="9"/>
  <c r="AH357" i="9"/>
  <c r="AH366" i="9"/>
  <c r="AE209" i="9"/>
  <c r="AM209" i="9"/>
  <c r="AG210" i="9"/>
  <c r="AO210" i="9"/>
  <c r="AH211" i="9"/>
  <c r="AP211" i="9"/>
  <c r="AI212" i="9"/>
  <c r="AJ213" i="9"/>
  <c r="AI214" i="9"/>
  <c r="AD215" i="9"/>
  <c r="AL215" i="9"/>
  <c r="AG216" i="9"/>
  <c r="AO216" i="9"/>
  <c r="AJ217" i="9"/>
  <c r="AE218" i="9"/>
  <c r="AM218" i="9"/>
  <c r="AH219" i="9"/>
  <c r="AP219" i="9"/>
  <c r="AK220" i="9"/>
  <c r="AF221" i="9"/>
  <c r="AN221" i="9"/>
  <c r="AI222" i="9"/>
  <c r="AD223" i="9"/>
  <c r="AL223" i="9"/>
  <c r="AG224" i="9"/>
  <c r="AO224" i="9"/>
  <c r="AJ225" i="9"/>
  <c r="AE226" i="9"/>
  <c r="AM226" i="9"/>
  <c r="AH227" i="9"/>
  <c r="AP227" i="9"/>
  <c r="AK228" i="9"/>
  <c r="AF229" i="9"/>
  <c r="AN229" i="9"/>
  <c r="AI230" i="9"/>
  <c r="AD231" i="9"/>
  <c r="AL231" i="9"/>
  <c r="AG232" i="9"/>
  <c r="AO232" i="9"/>
  <c r="AJ233" i="9"/>
  <c r="AE234" i="9"/>
  <c r="AM234" i="9"/>
  <c r="AH235" i="9"/>
  <c r="AP235" i="9"/>
  <c r="AK236" i="9"/>
  <c r="AJ237" i="9"/>
  <c r="AJ238" i="9"/>
  <c r="AK239" i="9"/>
  <c r="AL240" i="9"/>
  <c r="AM241" i="9"/>
  <c r="AD242" i="9"/>
  <c r="AM242" i="9"/>
  <c r="AL243" i="9"/>
  <c r="AI244" i="9"/>
  <c r="AG245" i="9"/>
  <c r="AE246" i="9"/>
  <c r="AP246" i="9"/>
  <c r="AF247" i="9"/>
  <c r="AK248" i="9"/>
  <c r="AD249" i="9"/>
  <c r="AF250" i="9"/>
  <c r="AE259" i="9"/>
  <c r="AJ268" i="9"/>
  <c r="AP271" i="9"/>
  <c r="AO276" i="9"/>
  <c r="AN281" i="9"/>
  <c r="AM286" i="9"/>
  <c r="AL291" i="9"/>
  <c r="AK296" i="9"/>
  <c r="AJ301" i="9"/>
  <c r="AI306" i="9"/>
  <c r="AH311" i="9"/>
  <c r="AJ316" i="9"/>
  <c r="AE322" i="9"/>
  <c r="AM327" i="9"/>
  <c r="AM334" i="9"/>
  <c r="AO341" i="9"/>
  <c r="AN350" i="9"/>
  <c r="AL359" i="9"/>
  <c r="AE368" i="9"/>
  <c r="AH206" i="9"/>
  <c r="AP206" i="9"/>
  <c r="AJ207" i="9"/>
  <c r="AD208" i="9"/>
  <c r="AL208" i="9"/>
  <c r="AF209" i="9"/>
  <c r="AN209" i="9"/>
  <c r="AH210" i="9"/>
  <c r="AP210" i="9"/>
  <c r="AI211" i="9"/>
  <c r="AJ212" i="9"/>
  <c r="AK213" i="9"/>
  <c r="AJ214" i="9"/>
  <c r="AE215" i="9"/>
  <c r="AM215" i="9"/>
  <c r="AH216" i="9"/>
  <c r="AP216" i="9"/>
  <c r="AK217" i="9"/>
  <c r="AF218" i="9"/>
  <c r="AN218" i="9"/>
  <c r="AI219" i="9"/>
  <c r="AD220" i="9"/>
  <c r="AL220" i="9"/>
  <c r="AG221" i="9"/>
  <c r="AO221" i="9"/>
  <c r="AJ222" i="9"/>
  <c r="AE223" i="9"/>
  <c r="AM223" i="9"/>
  <c r="AH224" i="9"/>
  <c r="AP224" i="9"/>
  <c r="AK225" i="9"/>
  <c r="AF226" i="9"/>
  <c r="AN226" i="9"/>
  <c r="AI227" i="9"/>
  <c r="AD228" i="9"/>
  <c r="AL228" i="9"/>
  <c r="AG229" i="9"/>
  <c r="AO229" i="9"/>
  <c r="AJ230" i="9"/>
  <c r="AE231" i="9"/>
  <c r="AM231" i="9"/>
  <c r="AH232" i="9"/>
  <c r="AP232" i="9"/>
  <c r="AK233" i="9"/>
  <c r="AF234" i="9"/>
  <c r="AN234" i="9"/>
  <c r="AI235" i="9"/>
  <c r="AD236" i="9"/>
  <c r="AL236" i="9"/>
  <c r="AK237" i="9"/>
  <c r="AL238" i="9"/>
  <c r="AL239" i="9"/>
  <c r="AD240" i="9"/>
  <c r="AM240" i="9"/>
  <c r="AE241" i="9"/>
  <c r="AN241" i="9"/>
  <c r="AE242" i="9"/>
  <c r="AN242" i="9"/>
  <c r="AM243" i="9"/>
  <c r="AJ244" i="9"/>
  <c r="AH245" i="9"/>
  <c r="AF246" i="9"/>
  <c r="AH247" i="9"/>
  <c r="AM248" i="9"/>
  <c r="AF249" i="9"/>
  <c r="AH250" i="9"/>
  <c r="AI259" i="9"/>
  <c r="AD261" i="9"/>
  <c r="AM268" i="9"/>
  <c r="AD272" i="9"/>
  <c r="AP276" i="9"/>
  <c r="AO281" i="9"/>
  <c r="AN286" i="9"/>
  <c r="AM291" i="9"/>
  <c r="AL296" i="9"/>
  <c r="AK301" i="9"/>
  <c r="AJ306" i="9"/>
  <c r="AI311" i="9"/>
  <c r="AK316" i="9"/>
  <c r="AF322" i="9"/>
  <c r="AN327" i="9"/>
  <c r="AN334" i="9"/>
  <c r="AI342" i="9"/>
  <c r="AO350" i="9"/>
  <c r="AM359" i="9"/>
  <c r="AM368" i="9"/>
  <c r="AN246" i="9"/>
  <c r="AI247" i="9"/>
  <c r="AD248" i="9"/>
  <c r="AL248" i="9"/>
  <c r="AG249" i="9"/>
  <c r="AP249" i="9"/>
  <c r="AG250" i="9"/>
  <c r="AP250" i="9"/>
  <c r="AJ259" i="9"/>
  <c r="AL260" i="9"/>
  <c r="AP261" i="9"/>
  <c r="AG262" i="9"/>
  <c r="AN263" i="9"/>
  <c r="AJ264" i="9"/>
  <c r="AM265" i="9"/>
  <c r="AF266" i="9"/>
  <c r="AH267" i="9"/>
  <c r="AI268" i="9"/>
  <c r="AK269" i="9"/>
  <c r="AL270" i="9"/>
  <c r="AO271" i="9"/>
  <c r="AE273" i="9"/>
  <c r="AH274" i="9"/>
  <c r="AK275" i="9"/>
  <c r="AN276" i="9"/>
  <c r="AD278" i="9"/>
  <c r="AG279" i="9"/>
  <c r="AJ280" i="9"/>
  <c r="AM281" i="9"/>
  <c r="AP282" i="9"/>
  <c r="AF284" i="9"/>
  <c r="AI285" i="9"/>
  <c r="AL286" i="9"/>
  <c r="AO287" i="9"/>
  <c r="AE289" i="9"/>
  <c r="AH290" i="9"/>
  <c r="AK291" i="9"/>
  <c r="AN292" i="9"/>
  <c r="AD294" i="9"/>
  <c r="AG295" i="9"/>
  <c r="AJ296" i="9"/>
  <c r="AM297" i="9"/>
  <c r="AP298" i="9"/>
  <c r="AF300" i="9"/>
  <c r="AI301" i="9"/>
  <c r="AL302" i="9"/>
  <c r="AO303" i="9"/>
  <c r="AE305" i="9"/>
  <c r="AH306" i="9"/>
  <c r="AK307" i="9"/>
  <c r="AN308" i="9"/>
  <c r="AD310" i="9"/>
  <c r="AG311" i="9"/>
  <c r="AJ312" i="9"/>
  <c r="AM313" i="9"/>
  <c r="AD315" i="9"/>
  <c r="AI316" i="9"/>
  <c r="AN317" i="9"/>
  <c r="AF319" i="9"/>
  <c r="AL320" i="9"/>
  <c r="AD322" i="9"/>
  <c r="AI323" i="9"/>
  <c r="AO324" i="9"/>
  <c r="AG326" i="9"/>
  <c r="AL327" i="9"/>
  <c r="AD329" i="9"/>
  <c r="AK330" i="9"/>
  <c r="AK332" i="9"/>
  <c r="AF334" i="9"/>
  <c r="AF336" i="9"/>
  <c r="AF338" i="9"/>
  <c r="AN339" i="9"/>
  <c r="AN341" i="9"/>
  <c r="AE344" i="9"/>
  <c r="AP345" i="9"/>
  <c r="AH348" i="9"/>
  <c r="AK350" i="9"/>
  <c r="AI352" i="9"/>
  <c r="AN354" i="9"/>
  <c r="AF357" i="9"/>
  <c r="AD359" i="9"/>
  <c r="AI361" i="9"/>
  <c r="AN363" i="9"/>
  <c r="AL365" i="9"/>
  <c r="AD368" i="9"/>
  <c r="AG370" i="9"/>
  <c r="AH243" i="9"/>
  <c r="AP243" i="9"/>
  <c r="AK244" i="9"/>
  <c r="AF245" i="9"/>
  <c r="AN245" i="9"/>
  <c r="AI246" i="9"/>
  <c r="AD247" i="9"/>
  <c r="AL247" i="9"/>
  <c r="AG248" i="9"/>
  <c r="AO248" i="9"/>
  <c r="AK249" i="9"/>
  <c r="AJ250" i="9"/>
  <c r="AM259" i="9"/>
  <c r="AD260" i="9"/>
  <c r="AO260" i="9"/>
  <c r="AH261" i="9"/>
  <c r="AM262" i="9"/>
  <c r="AF263" i="9"/>
  <c r="AP264" i="9"/>
  <c r="AM266" i="9"/>
  <c r="AO267" i="9"/>
  <c r="AP268" i="9"/>
  <c r="AD271" i="9"/>
  <c r="AG272" i="9"/>
  <c r="AJ273" i="9"/>
  <c r="AM274" i="9"/>
  <c r="AP275" i="9"/>
  <c r="AF277" i="9"/>
  <c r="AI278" i="9"/>
  <c r="AL279" i="9"/>
  <c r="AO280" i="9"/>
  <c r="AE282" i="9"/>
  <c r="AH283" i="9"/>
  <c r="AK284" i="9"/>
  <c r="AN285" i="9"/>
  <c r="AD287" i="9"/>
  <c r="AG288" i="9"/>
  <c r="AJ289" i="9"/>
  <c r="AM290" i="9"/>
  <c r="AP291" i="9"/>
  <c r="AF293" i="9"/>
  <c r="AI294" i="9"/>
  <c r="AL295" i="9"/>
  <c r="AO296" i="9"/>
  <c r="AE298" i="9"/>
  <c r="AH299" i="9"/>
  <c r="AK300" i="9"/>
  <c r="AN301" i="9"/>
  <c r="AD303" i="9"/>
  <c r="AG304" i="9"/>
  <c r="AJ305" i="9"/>
  <c r="AM306" i="9"/>
  <c r="AP307" i="9"/>
  <c r="AF309" i="9"/>
  <c r="AI310" i="9"/>
  <c r="AL311" i="9"/>
  <c r="AO312" i="9"/>
  <c r="AE314" i="9"/>
  <c r="AI315" i="9"/>
  <c r="AO316" i="9"/>
  <c r="AG318" i="9"/>
  <c r="AL319" i="9"/>
  <c r="AD321" i="9"/>
  <c r="AJ322" i="9"/>
  <c r="AO323" i="9"/>
  <c r="AG325" i="9"/>
  <c r="AM326" i="9"/>
  <c r="AE328" i="9"/>
  <c r="AJ329" i="9"/>
  <c r="AG331" i="9"/>
  <c r="AG333" i="9"/>
  <c r="AO334" i="9"/>
  <c r="AO336" i="9"/>
  <c r="AO338" i="9"/>
  <c r="AJ340" i="9"/>
  <c r="AJ342" i="9"/>
  <c r="AO344" i="9"/>
  <c r="AM346" i="9"/>
  <c r="AE349" i="9"/>
  <c r="AJ351" i="9"/>
  <c r="AH353" i="9"/>
  <c r="AM355" i="9"/>
  <c r="AP357" i="9"/>
  <c r="AN359" i="9"/>
  <c r="AF362" i="9"/>
  <c r="AK364" i="9"/>
  <c r="AI366" i="9"/>
  <c r="AN368" i="9"/>
  <c r="AK250" i="9"/>
  <c r="AD259" i="9"/>
  <c r="AN259" i="9"/>
  <c r="AE260" i="9"/>
  <c r="AI261" i="9"/>
  <c r="AN262" i="9"/>
  <c r="AH263" i="9"/>
  <c r="AE265" i="9"/>
  <c r="AN266" i="9"/>
  <c r="AP267" i="9"/>
  <c r="AD270" i="9"/>
  <c r="AG271" i="9"/>
  <c r="AJ272" i="9"/>
  <c r="AM273" i="9"/>
  <c r="AP274" i="9"/>
  <c r="AF276" i="9"/>
  <c r="AI277" i="9"/>
  <c r="AL278" i="9"/>
  <c r="AO279" i="9"/>
  <c r="AE281" i="9"/>
  <c r="AH282" i="9"/>
  <c r="AK283" i="9"/>
  <c r="AN284" i="9"/>
  <c r="AD286" i="9"/>
  <c r="AG287" i="9"/>
  <c r="AJ288" i="9"/>
  <c r="AM289" i="9"/>
  <c r="AP290" i="9"/>
  <c r="AF292" i="9"/>
  <c r="AI293" i="9"/>
  <c r="AL294" i="9"/>
  <c r="AO295" i="9"/>
  <c r="AE297" i="9"/>
  <c r="AH298" i="9"/>
  <c r="AK299" i="9"/>
  <c r="AN300" i="9"/>
  <c r="AD302" i="9"/>
  <c r="AG303" i="9"/>
  <c r="AJ304" i="9"/>
  <c r="AM305" i="9"/>
  <c r="AP306" i="9"/>
  <c r="AF308" i="9"/>
  <c r="AI309" i="9"/>
  <c r="AL310" i="9"/>
  <c r="AO311" i="9"/>
  <c r="AE313" i="9"/>
  <c r="AH314" i="9"/>
  <c r="AM315" i="9"/>
  <c r="AE317" i="9"/>
  <c r="AJ318" i="9"/>
  <c r="AP319" i="9"/>
  <c r="AH321" i="9"/>
  <c r="AM322" i="9"/>
  <c r="AE324" i="9"/>
  <c r="AK325" i="9"/>
  <c r="AP326" i="9"/>
  <c r="AH328" i="9"/>
  <c r="AN329" i="9"/>
  <c r="AH331" i="9"/>
  <c r="AH333" i="9"/>
  <c r="AI335" i="9"/>
  <c r="AP336" i="9"/>
  <c r="AD339" i="9"/>
  <c r="AD341" i="9"/>
  <c r="AK342" i="9"/>
  <c r="AP344" i="9"/>
  <c r="AH347" i="9"/>
  <c r="AF349" i="9"/>
  <c r="AK351" i="9"/>
  <c r="AP353" i="9"/>
  <c r="AN355" i="9"/>
  <c r="AF358" i="9"/>
  <c r="AI360" i="9"/>
  <c r="AG362" i="9"/>
  <c r="AL364" i="9"/>
  <c r="AD367" i="9"/>
  <c r="AO368" i="9"/>
  <c r="AK263" i="9"/>
  <c r="AE264" i="9"/>
  <c r="AF265" i="9"/>
  <c r="AD269" i="9"/>
  <c r="AE270" i="9"/>
  <c r="AH271" i="9"/>
  <c r="AK272" i="9"/>
  <c r="AN273" i="9"/>
  <c r="AD275" i="9"/>
  <c r="AG276" i="9"/>
  <c r="AJ277" i="9"/>
  <c r="AM278" i="9"/>
  <c r="AP279" i="9"/>
  <c r="AF281" i="9"/>
  <c r="AI282" i="9"/>
  <c r="AL283" i="9"/>
  <c r="AO284" i="9"/>
  <c r="AE286" i="9"/>
  <c r="AH287" i="9"/>
  <c r="AK288" i="9"/>
  <c r="AN289" i="9"/>
  <c r="AD291" i="9"/>
  <c r="AG292" i="9"/>
  <c r="AJ293" i="9"/>
  <c r="AM294" i="9"/>
  <c r="AP295" i="9"/>
  <c r="AF297" i="9"/>
  <c r="AI298" i="9"/>
  <c r="AL299" i="9"/>
  <c r="AO300" i="9"/>
  <c r="AE302" i="9"/>
  <c r="AH303" i="9"/>
  <c r="AK304" i="9"/>
  <c r="AN305" i="9"/>
  <c r="AD307" i="9"/>
  <c r="AG308" i="9"/>
  <c r="AJ309" i="9"/>
  <c r="AM310" i="9"/>
  <c r="AP311" i="9"/>
  <c r="AF313" i="9"/>
  <c r="AI314" i="9"/>
  <c r="AN315" i="9"/>
  <c r="AF317" i="9"/>
  <c r="AK318" i="9"/>
  <c r="AD320" i="9"/>
  <c r="AI321" i="9"/>
  <c r="AN322" i="9"/>
  <c r="AG324" i="9"/>
  <c r="AL325" i="9"/>
  <c r="AD327" i="9"/>
  <c r="AI328" i="9"/>
  <c r="AO329" i="9"/>
  <c r="AO331" i="9"/>
  <c r="AJ333" i="9"/>
  <c r="AJ335" i="9"/>
  <c r="AJ337" i="9"/>
  <c r="AE339" i="9"/>
  <c r="AE341" i="9"/>
  <c r="AF343" i="9"/>
  <c r="AD345" i="9"/>
  <c r="AI347" i="9"/>
  <c r="AN349" i="9"/>
  <c r="AL351" i="9"/>
  <c r="AD354" i="9"/>
  <c r="AI356" i="9"/>
  <c r="AG358" i="9"/>
  <c r="AL360" i="9"/>
  <c r="AO362" i="9"/>
  <c r="AM364" i="9"/>
  <c r="AE367" i="9"/>
  <c r="AJ369" i="9"/>
  <c r="AH237" i="9"/>
  <c r="AP237" i="9"/>
  <c r="AK238" i="9"/>
  <c r="AF239" i="9"/>
  <c r="AN239" i="9"/>
  <c r="AI240" i="9"/>
  <c r="AD241" i="9"/>
  <c r="AL241" i="9"/>
  <c r="AG242" i="9"/>
  <c r="AO242" i="9"/>
  <c r="AK243" i="9"/>
  <c r="AF244" i="9"/>
  <c r="AN244" i="9"/>
  <c r="AI245" i="9"/>
  <c r="AD246" i="9"/>
  <c r="AL246" i="9"/>
  <c r="AG247" i="9"/>
  <c r="AO247" i="9"/>
  <c r="AJ248" i="9"/>
  <c r="AE249" i="9"/>
  <c r="AN249" i="9"/>
  <c r="AE250" i="9"/>
  <c r="AN250" i="9"/>
  <c r="AF259" i="9"/>
  <c r="AG260" i="9"/>
  <c r="AL261" i="9"/>
  <c r="AE262" i="9"/>
  <c r="AP262" i="9"/>
  <c r="AL263" i="9"/>
  <c r="AH264" i="9"/>
  <c r="AG265" i="9"/>
  <c r="AD266" i="9"/>
  <c r="AF267" i="9"/>
  <c r="AE268" i="9"/>
  <c r="AG269" i="9"/>
  <c r="AF270" i="9"/>
  <c r="AI271" i="9"/>
  <c r="AL272" i="9"/>
  <c r="AO273" i="9"/>
  <c r="AE275" i="9"/>
  <c r="AH276" i="9"/>
  <c r="AK277" i="9"/>
  <c r="AN278" i="9"/>
  <c r="AD280" i="9"/>
  <c r="AG281" i="9"/>
  <c r="AJ282" i="9"/>
  <c r="AM283" i="9"/>
  <c r="AP284" i="9"/>
  <c r="AF286" i="9"/>
  <c r="AI287" i="9"/>
  <c r="AL288" i="9"/>
  <c r="AO289" i="9"/>
  <c r="AE291" i="9"/>
  <c r="AH292" i="9"/>
  <c r="AK293" i="9"/>
  <c r="AN294" i="9"/>
  <c r="AD296" i="9"/>
  <c r="AG297" i="9"/>
  <c r="AJ298" i="9"/>
  <c r="AM299" i="9"/>
  <c r="AP300" i="9"/>
  <c r="AF302" i="9"/>
  <c r="AI303" i="9"/>
  <c r="AL304" i="9"/>
  <c r="AO305" i="9"/>
  <c r="AE307" i="9"/>
  <c r="AH308" i="9"/>
  <c r="AK309" i="9"/>
  <c r="AN310" i="9"/>
  <c r="AD312" i="9"/>
  <c r="AG313" i="9"/>
  <c r="AJ314" i="9"/>
  <c r="AO315" i="9"/>
  <c r="AG317" i="9"/>
  <c r="AM318" i="9"/>
  <c r="AE320" i="9"/>
  <c r="AJ321" i="9"/>
  <c r="AO322" i="9"/>
  <c r="AH324" i="9"/>
  <c r="AM325" i="9"/>
  <c r="AE327" i="9"/>
  <c r="AK328" i="9"/>
  <c r="AP329" i="9"/>
  <c r="AP331" i="9"/>
  <c r="AP333" i="9"/>
  <c r="AK335" i="9"/>
  <c r="AK337" i="9"/>
  <c r="AL339" i="9"/>
  <c r="AF341" i="9"/>
  <c r="AI343" i="9"/>
  <c r="AL345" i="9"/>
  <c r="AJ347" i="9"/>
  <c r="AO349" i="9"/>
  <c r="AG352" i="9"/>
  <c r="AE354" i="9"/>
  <c r="AJ356" i="9"/>
  <c r="AO358" i="9"/>
  <c r="AM360" i="9"/>
  <c r="AE363" i="9"/>
  <c r="AH365" i="9"/>
  <c r="AF367" i="9"/>
  <c r="AK369" i="9"/>
  <c r="AM263" i="9"/>
  <c r="AI264" i="9"/>
  <c r="AJ265" i="9"/>
  <c r="AE266" i="9"/>
  <c r="AG267" i="9"/>
  <c r="AH268" i="9"/>
  <c r="AJ269" i="9"/>
  <c r="AI270" i="9"/>
  <c r="AL271" i="9"/>
  <c r="AO272" i="9"/>
  <c r="AE274" i="9"/>
  <c r="AH275" i="9"/>
  <c r="AK276" i="9"/>
  <c r="AN277" i="9"/>
  <c r="AD279" i="9"/>
  <c r="AG280" i="9"/>
  <c r="AJ281" i="9"/>
  <c r="AM282" i="9"/>
  <c r="AP283" i="9"/>
  <c r="AF285" i="9"/>
  <c r="AI286" i="9"/>
  <c r="AL287" i="9"/>
  <c r="AO288" i="9"/>
  <c r="AE290" i="9"/>
  <c r="AH291" i="9"/>
  <c r="AK292" i="9"/>
  <c r="AN293" i="9"/>
  <c r="AD295" i="9"/>
  <c r="AG296" i="9"/>
  <c r="AJ297" i="9"/>
  <c r="AM298" i="9"/>
  <c r="AP299" i="9"/>
  <c r="AF301" i="9"/>
  <c r="AI302" i="9"/>
  <c r="AL303" i="9"/>
  <c r="AO304" i="9"/>
  <c r="AE306" i="9"/>
  <c r="AH307" i="9"/>
  <c r="AK308" i="9"/>
  <c r="AN309" i="9"/>
  <c r="AD311" i="9"/>
  <c r="AG312" i="9"/>
  <c r="AJ313" i="9"/>
  <c r="AM314" i="9"/>
  <c r="AE316" i="9"/>
  <c r="AK317" i="9"/>
  <c r="AP318" i="9"/>
  <c r="AH320" i="9"/>
  <c r="AN321" i="9"/>
  <c r="AF323" i="9"/>
  <c r="AK324" i="9"/>
  <c r="AP325" i="9"/>
  <c r="AI327" i="9"/>
  <c r="AN328" i="9"/>
  <c r="AJ330" i="9"/>
  <c r="AD332" i="9"/>
  <c r="AE334" i="9"/>
  <c r="AE336" i="9"/>
  <c r="AL337" i="9"/>
  <c r="AM339" i="9"/>
  <c r="AM341" i="9"/>
  <c r="AJ343" i="9"/>
  <c r="AO345" i="9"/>
  <c r="AE348" i="9"/>
  <c r="AP349" i="9"/>
  <c r="AH352" i="9"/>
  <c r="AM354" i="9"/>
  <c r="AK356" i="9"/>
  <c r="AP358" i="9"/>
  <c r="AH361" i="9"/>
  <c r="AF363" i="9"/>
  <c r="AK365" i="9"/>
  <c r="AN367" i="9"/>
  <c r="AL369" i="9"/>
  <c r="AH265" i="9"/>
  <c r="AP265" i="9"/>
  <c r="AG266" i="9"/>
  <c r="AO266" i="9"/>
  <c r="AI267" i="9"/>
  <c r="AK268" i="9"/>
  <c r="AE269" i="9"/>
  <c r="AM269" i="9"/>
  <c r="AG270" i="9"/>
  <c r="AO270" i="9"/>
  <c r="AJ271" i="9"/>
  <c r="AE272" i="9"/>
  <c r="AM272" i="9"/>
  <c r="AH273" i="9"/>
  <c r="AP273" i="9"/>
  <c r="AK274" i="9"/>
  <c r="AF275" i="9"/>
  <c r="AN275" i="9"/>
  <c r="AI276" i="9"/>
  <c r="AD277" i="9"/>
  <c r="AL277" i="9"/>
  <c r="AG278" i="9"/>
  <c r="AO278" i="9"/>
  <c r="AJ279" i="9"/>
  <c r="AE280" i="9"/>
  <c r="AM280" i="9"/>
  <c r="AH281" i="9"/>
  <c r="AP281" i="9"/>
  <c r="AK282" i="9"/>
  <c r="AF283" i="9"/>
  <c r="AN283" i="9"/>
  <c r="AI284" i="9"/>
  <c r="AD285" i="9"/>
  <c r="AL285" i="9"/>
  <c r="AG286" i="9"/>
  <c r="AO286" i="9"/>
  <c r="AJ287" i="9"/>
  <c r="AE288" i="9"/>
  <c r="AM288" i="9"/>
  <c r="AH289" i="9"/>
  <c r="AP289" i="9"/>
  <c r="AK290" i="9"/>
  <c r="AF291" i="9"/>
  <c r="AN291" i="9"/>
  <c r="AI292" i="9"/>
  <c r="AD293" i="9"/>
  <c r="AL293" i="9"/>
  <c r="AG294" i="9"/>
  <c r="AO294" i="9"/>
  <c r="AJ295" i="9"/>
  <c r="AE296" i="9"/>
  <c r="AM296" i="9"/>
  <c r="AH297" i="9"/>
  <c r="AP297" i="9"/>
  <c r="AK298" i="9"/>
  <c r="AF299" i="9"/>
  <c r="AN299" i="9"/>
  <c r="AI300" i="9"/>
  <c r="AD301" i="9"/>
  <c r="AL301" i="9"/>
  <c r="AG302" i="9"/>
  <c r="AO302" i="9"/>
  <c r="AJ303" i="9"/>
  <c r="AE304" i="9"/>
  <c r="AM304" i="9"/>
  <c r="AH305" i="9"/>
  <c r="AP305" i="9"/>
  <c r="AK306" i="9"/>
  <c r="AF307" i="9"/>
  <c r="AN307" i="9"/>
  <c r="AI308" i="9"/>
  <c r="AD309" i="9"/>
  <c r="AL309" i="9"/>
  <c r="AG310" i="9"/>
  <c r="AO310" i="9"/>
  <c r="AJ311" i="9"/>
  <c r="AE312" i="9"/>
  <c r="AM312" i="9"/>
  <c r="AH313" i="9"/>
  <c r="AP313" i="9"/>
  <c r="AK314" i="9"/>
  <c r="AG315" i="9"/>
  <c r="AP315" i="9"/>
  <c r="AL316" i="9"/>
  <c r="AH317" i="9"/>
  <c r="AE318" i="9"/>
  <c r="AN318" i="9"/>
  <c r="AJ319" i="9"/>
  <c r="AF320" i="9"/>
  <c r="AO320" i="9"/>
  <c r="AK321" i="9"/>
  <c r="AG322" i="9"/>
  <c r="AD323" i="9"/>
  <c r="AM323" i="9"/>
  <c r="AI324" i="9"/>
  <c r="AE325" i="9"/>
  <c r="AN325" i="9"/>
  <c r="AJ326" i="9"/>
  <c r="AF327" i="9"/>
  <c r="AP327" i="9"/>
  <c r="AL328" i="9"/>
  <c r="AH329" i="9"/>
  <c r="AD330" i="9"/>
  <c r="AM330" i="9"/>
  <c r="AI331" i="9"/>
  <c r="AE332" i="9"/>
  <c r="AO332" i="9"/>
  <c r="AK333" i="9"/>
  <c r="AG334" i="9"/>
  <c r="AP334" i="9"/>
  <c r="AL335" i="9"/>
  <c r="AH336" i="9"/>
  <c r="AD337" i="9"/>
  <c r="AN337" i="9"/>
  <c r="AJ338" i="9"/>
  <c r="AF339" i="9"/>
  <c r="AO339" i="9"/>
  <c r="AK340" i="9"/>
  <c r="AG341" i="9"/>
  <c r="AP341" i="9"/>
  <c r="AN342" i="9"/>
  <c r="AK343" i="9"/>
  <c r="AH344" i="9"/>
  <c r="AG345" i="9"/>
  <c r="AD346" i="9"/>
  <c r="AN346" i="9"/>
  <c r="AM347" i="9"/>
  <c r="AJ348" i="9"/>
  <c r="AG349" i="9"/>
  <c r="AF350" i="9"/>
  <c r="AP350" i="9"/>
  <c r="AM351" i="9"/>
  <c r="AL352" i="9"/>
  <c r="AI353" i="9"/>
  <c r="AF354" i="9"/>
  <c r="AE355" i="9"/>
  <c r="AO355" i="9"/>
  <c r="AL356" i="9"/>
  <c r="AK357" i="9"/>
  <c r="AH358" i="9"/>
  <c r="AE359" i="9"/>
  <c r="AD360" i="9"/>
  <c r="AN360" i="9"/>
  <c r="AK361" i="9"/>
  <c r="AJ362" i="9"/>
  <c r="AG363" i="9"/>
  <c r="AD364" i="9"/>
  <c r="AP364" i="9"/>
  <c r="AM365" i="9"/>
  <c r="AJ366" i="9"/>
  <c r="AI367" i="9"/>
  <c r="AF368" i="9"/>
  <c r="AP368" i="9"/>
  <c r="AO369" i="9"/>
  <c r="AL370" i="9"/>
  <c r="AH260" i="9"/>
  <c r="AP260" i="9"/>
  <c r="AK261" i="9"/>
  <c r="AI262" i="9"/>
  <c r="AG263" i="9"/>
  <c r="AO263" i="9"/>
  <c r="AD264" i="9"/>
  <c r="AL264" i="9"/>
  <c r="AI265" i="9"/>
  <c r="AH266" i="9"/>
  <c r="AP266" i="9"/>
  <c r="AJ267" i="9"/>
  <c r="AD268" i="9"/>
  <c r="AL268" i="9"/>
  <c r="AF269" i="9"/>
  <c r="AN269" i="9"/>
  <c r="AH270" i="9"/>
  <c r="AP270" i="9"/>
  <c r="AK271" i="9"/>
  <c r="AF272" i="9"/>
  <c r="AN272" i="9"/>
  <c r="AI273" i="9"/>
  <c r="AD274" i="9"/>
  <c r="AL274" i="9"/>
  <c r="AG275" i="9"/>
  <c r="AO275" i="9"/>
  <c r="AJ276" i="9"/>
  <c r="AE277" i="9"/>
  <c r="AM277" i="9"/>
  <c r="AH278" i="9"/>
  <c r="AP278" i="9"/>
  <c r="AK279" i="9"/>
  <c r="AF280" i="9"/>
  <c r="AN280" i="9"/>
  <c r="AI281" i="9"/>
  <c r="AD282" i="9"/>
  <c r="AL282" i="9"/>
  <c r="AG283" i="9"/>
  <c r="AO283" i="9"/>
  <c r="AJ284" i="9"/>
  <c r="AE285" i="9"/>
  <c r="AM285" i="9"/>
  <c r="AH286" i="9"/>
  <c r="AP286" i="9"/>
  <c r="AK287" i="9"/>
  <c r="AF288" i="9"/>
  <c r="AN288" i="9"/>
  <c r="AI289" i="9"/>
  <c r="AD290" i="9"/>
  <c r="AL290" i="9"/>
  <c r="AG291" i="9"/>
  <c r="AO291" i="9"/>
  <c r="AJ292" i="9"/>
  <c r="AE293" i="9"/>
  <c r="AM293" i="9"/>
  <c r="AH294" i="9"/>
  <c r="AP294" i="9"/>
  <c r="AK295" i="9"/>
  <c r="AF296" i="9"/>
  <c r="AN296" i="9"/>
  <c r="AI297" i="9"/>
  <c r="AD298" i="9"/>
  <c r="AL298" i="9"/>
  <c r="AG299" i="9"/>
  <c r="AO299" i="9"/>
  <c r="AJ300" i="9"/>
  <c r="AE301" i="9"/>
  <c r="AM301" i="9"/>
  <c r="AH302" i="9"/>
  <c r="AP302" i="9"/>
  <c r="AK303" i="9"/>
  <c r="AF304" i="9"/>
  <c r="AN304" i="9"/>
  <c r="AI305" i="9"/>
  <c r="AD306" i="9"/>
  <c r="AL306" i="9"/>
  <c r="AG307" i="9"/>
  <c r="AO307" i="9"/>
  <c r="AJ308" i="9"/>
  <c r="AE309" i="9"/>
  <c r="AM309" i="9"/>
  <c r="AH310" i="9"/>
  <c r="AP310" i="9"/>
  <c r="AK311" i="9"/>
  <c r="AF312" i="9"/>
  <c r="AN312" i="9"/>
  <c r="AI313" i="9"/>
  <c r="AD314" i="9"/>
  <c r="AL314" i="9"/>
  <c r="AH315" i="9"/>
  <c r="AD316" i="9"/>
  <c r="AM316" i="9"/>
  <c r="AJ317" i="9"/>
  <c r="AF318" i="9"/>
  <c r="AO318" i="9"/>
  <c r="AK319" i="9"/>
  <c r="AG320" i="9"/>
  <c r="AP320" i="9"/>
  <c r="AL321" i="9"/>
  <c r="AI322" i="9"/>
  <c r="AE323" i="9"/>
  <c r="AN323" i="9"/>
  <c r="AJ324" i="9"/>
  <c r="AF325" i="9"/>
  <c r="AO325" i="9"/>
  <c r="AK326" i="9"/>
  <c r="AH327" i="9"/>
  <c r="AD328" i="9"/>
  <c r="AM328" i="9"/>
  <c r="AI329" i="9"/>
  <c r="AE330" i="9"/>
  <c r="AN330" i="9"/>
  <c r="AJ331" i="9"/>
  <c r="AG332" i="9"/>
  <c r="AP332" i="9"/>
  <c r="AL333" i="9"/>
  <c r="AH334" i="9"/>
  <c r="AD335" i="9"/>
  <c r="AM335" i="9"/>
  <c r="AI336" i="9"/>
  <c r="AF337" i="9"/>
  <c r="AO337" i="9"/>
  <c r="AK338" i="9"/>
  <c r="AG339" i="9"/>
  <c r="AP339" i="9"/>
  <c r="AL340" i="9"/>
  <c r="AH341" i="9"/>
  <c r="AE342" i="9"/>
  <c r="AO342" i="9"/>
  <c r="AL343" i="9"/>
  <c r="AI344" i="9"/>
  <c r="AH345" i="9"/>
  <c r="AE346" i="9"/>
  <c r="AO346" i="9"/>
  <c r="AN347" i="9"/>
  <c r="AK348" i="9"/>
  <c r="AH349" i="9"/>
  <c r="AG350" i="9"/>
  <c r="AD351" i="9"/>
  <c r="AN351" i="9"/>
  <c r="AM352" i="9"/>
  <c r="AJ353" i="9"/>
  <c r="AG354" i="9"/>
  <c r="AF355" i="9"/>
  <c r="AP355" i="9"/>
  <c r="AM356" i="9"/>
  <c r="AL357" i="9"/>
  <c r="AI358" i="9"/>
  <c r="AF359" i="9"/>
  <c r="AE360" i="9"/>
  <c r="AO360" i="9"/>
  <c r="AL361" i="9"/>
  <c r="AK362" i="9"/>
  <c r="AH363" i="9"/>
  <c r="AE364" i="9"/>
  <c r="AD365" i="9"/>
  <c r="AN365" i="9"/>
  <c r="AK366" i="9"/>
  <c r="AJ367" i="9"/>
  <c r="AG368" i="9"/>
  <c r="AD369" i="9"/>
  <c r="AP369" i="9"/>
  <c r="AM370" i="9"/>
  <c r="AF330" i="9"/>
  <c r="AO330" i="9"/>
  <c r="AL331" i="9"/>
  <c r="AH332" i="9"/>
  <c r="AD333" i="9"/>
  <c r="AM333" i="9"/>
  <c r="AI334" i="9"/>
  <c r="AE335" i="9"/>
  <c r="AN335" i="9"/>
  <c r="AK336" i="9"/>
  <c r="AG337" i="9"/>
  <c r="AP337" i="9"/>
  <c r="AL338" i="9"/>
  <c r="AH339" i="9"/>
  <c r="AD340" i="9"/>
  <c r="AM340" i="9"/>
  <c r="AJ341" i="9"/>
  <c r="AF342" i="9"/>
  <c r="AP342" i="9"/>
  <c r="AM343" i="9"/>
  <c r="AL344" i="9"/>
  <c r="AI345" i="9"/>
  <c r="AF346" i="9"/>
  <c r="AE347" i="9"/>
  <c r="AO347" i="9"/>
  <c r="AL348" i="9"/>
  <c r="AK349" i="9"/>
  <c r="AH350" i="9"/>
  <c r="AE351" i="9"/>
  <c r="AD352" i="9"/>
  <c r="AN352" i="9"/>
  <c r="AK353" i="9"/>
  <c r="AJ354" i="9"/>
  <c r="AG355" i="9"/>
  <c r="AD356" i="9"/>
  <c r="AP356" i="9"/>
  <c r="AM357" i="9"/>
  <c r="AJ358" i="9"/>
  <c r="AI359" i="9"/>
  <c r="AF360" i="9"/>
  <c r="AP360" i="9"/>
  <c r="AO361" i="9"/>
  <c r="AL362" i="9"/>
  <c r="AI363" i="9"/>
  <c r="AH364" i="9"/>
  <c r="AE365" i="9"/>
  <c r="AO365" i="9"/>
  <c r="AN366" i="9"/>
  <c r="AK367" i="9"/>
  <c r="AH368" i="9"/>
  <c r="AG369" i="9"/>
  <c r="AD370" i="9"/>
  <c r="AN370" i="9"/>
  <c r="AI249" i="9"/>
  <c r="AD250" i="9"/>
  <c r="AL250" i="9"/>
  <c r="AG259" i="9"/>
  <c r="AO259" i="9"/>
  <c r="AJ260" i="9"/>
  <c r="AE261" i="9"/>
  <c r="AM261" i="9"/>
  <c r="AK262" i="9"/>
  <c r="AI263" i="9"/>
  <c r="AF264" i="9"/>
  <c r="AN264" i="9"/>
  <c r="AK265" i="9"/>
  <c r="AJ266" i="9"/>
  <c r="AD267" i="9"/>
  <c r="AL267" i="9"/>
  <c r="AF268" i="9"/>
  <c r="AN268" i="9"/>
  <c r="AH269" i="9"/>
  <c r="AP269" i="9"/>
  <c r="AJ270" i="9"/>
  <c r="AE271" i="9"/>
  <c r="AM271" i="9"/>
  <c r="AH272" i="9"/>
  <c r="AP272" i="9"/>
  <c r="AK273" i="9"/>
  <c r="AF274" i="9"/>
  <c r="AN274" i="9"/>
  <c r="AI275" i="9"/>
  <c r="AD276" i="9"/>
  <c r="AL276" i="9"/>
  <c r="AG277" i="9"/>
  <c r="AO277" i="9"/>
  <c r="AJ278" i="9"/>
  <c r="AE279" i="9"/>
  <c r="AM279" i="9"/>
  <c r="AH280" i="9"/>
  <c r="AP280" i="9"/>
  <c r="AK281" i="9"/>
  <c r="AF282" i="9"/>
  <c r="AN282" i="9"/>
  <c r="AI283" i="9"/>
  <c r="AD284" i="9"/>
  <c r="AL284" i="9"/>
  <c r="AG285" i="9"/>
  <c r="AO285" i="9"/>
  <c r="AJ286" i="9"/>
  <c r="AE287" i="9"/>
  <c r="AM287" i="9"/>
  <c r="AH288" i="9"/>
  <c r="AP288" i="9"/>
  <c r="AK289" i="9"/>
  <c r="AF290" i="9"/>
  <c r="AN290" i="9"/>
  <c r="AI291" i="9"/>
  <c r="AD292" i="9"/>
  <c r="AL292" i="9"/>
  <c r="AG293" i="9"/>
  <c r="AO293" i="9"/>
  <c r="AJ294" i="9"/>
  <c r="AE295" i="9"/>
  <c r="AM295" i="9"/>
  <c r="AH296" i="9"/>
  <c r="AP296" i="9"/>
  <c r="AK297" i="9"/>
  <c r="AF298" i="9"/>
  <c r="AN298" i="9"/>
  <c r="AI299" i="9"/>
  <c r="AD300" i="9"/>
  <c r="AL300" i="9"/>
  <c r="AG301" i="9"/>
  <c r="AO301" i="9"/>
  <c r="AJ302" i="9"/>
  <c r="AE303" i="9"/>
  <c r="AM303" i="9"/>
  <c r="AH304" i="9"/>
  <c r="AP304" i="9"/>
  <c r="AK305" i="9"/>
  <c r="AF306" i="9"/>
  <c r="AN306" i="9"/>
  <c r="AI307" i="9"/>
  <c r="AD308" i="9"/>
  <c r="AL308" i="9"/>
  <c r="AG309" i="9"/>
  <c r="AO309" i="9"/>
  <c r="AJ310" i="9"/>
  <c r="AE311" i="9"/>
  <c r="AM311" i="9"/>
  <c r="AH312" i="9"/>
  <c r="AP312" i="9"/>
  <c r="AK313" i="9"/>
  <c r="AF314" i="9"/>
  <c r="AN314" i="9"/>
  <c r="AJ315" i="9"/>
  <c r="AG316" i="9"/>
  <c r="AP316" i="9"/>
  <c r="AL317" i="9"/>
  <c r="AH318" i="9"/>
  <c r="AD319" i="9"/>
  <c r="AM319" i="9"/>
  <c r="AI320" i="9"/>
  <c r="AF321" i="9"/>
  <c r="AO321" i="9"/>
  <c r="AK322" i="9"/>
  <c r="AG323" i="9"/>
  <c r="AP323" i="9"/>
  <c r="AL324" i="9"/>
  <c r="AH325" i="9"/>
  <c r="AE326" i="9"/>
  <c r="AN326" i="9"/>
  <c r="AJ327" i="9"/>
  <c r="AF328" i="9"/>
  <c r="AO328" i="9"/>
  <c r="AK329" i="9"/>
  <c r="AG330" i="9"/>
  <c r="AD331" i="9"/>
  <c r="AM331" i="9"/>
  <c r="AI332" i="9"/>
  <c r="AE333" i="9"/>
  <c r="AN333" i="9"/>
  <c r="AJ334" i="9"/>
  <c r="AF335" i="9"/>
  <c r="AP335" i="9"/>
  <c r="AL336" i="9"/>
  <c r="AH337" i="9"/>
  <c r="AD338" i="9"/>
  <c r="AM338" i="9"/>
  <c r="AI339" i="9"/>
  <c r="AE340" i="9"/>
  <c r="AO340" i="9"/>
  <c r="AK341" i="9"/>
  <c r="AG342" i="9"/>
  <c r="AD343" i="9"/>
  <c r="AN343" i="9"/>
  <c r="AM344" i="9"/>
  <c r="AJ345" i="9"/>
  <c r="AG346" i="9"/>
  <c r="AF347" i="9"/>
  <c r="AP347" i="9"/>
  <c r="AM348" i="9"/>
  <c r="AL349" i="9"/>
  <c r="AI350" i="9"/>
  <c r="AF351" i="9"/>
  <c r="AE352" i="9"/>
  <c r="AO352" i="9"/>
  <c r="AL353" i="9"/>
  <c r="AK354" i="9"/>
  <c r="AH355" i="9"/>
  <c r="AE356" i="9"/>
  <c r="AD357" i="9"/>
  <c r="AN357" i="9"/>
  <c r="AK358" i="9"/>
  <c r="AJ359" i="9"/>
  <c r="AG360" i="9"/>
  <c r="AD361" i="9"/>
  <c r="AP361" i="9"/>
  <c r="AM362" i="9"/>
  <c r="AJ363" i="9"/>
  <c r="AI364" i="9"/>
  <c r="AF365" i="9"/>
  <c r="AP365" i="9"/>
  <c r="AO366" i="9"/>
  <c r="AL367" i="9"/>
  <c r="AI368" i="9"/>
  <c r="AH369" i="9"/>
  <c r="AE370" i="9"/>
  <c r="AO370" i="9"/>
  <c r="AH259" i="9"/>
  <c r="AP259" i="9"/>
  <c r="AK260" i="9"/>
  <c r="AF261" i="9"/>
  <c r="AN261" i="9"/>
  <c r="AD262" i="9"/>
  <c r="AL262" i="9"/>
  <c r="AJ263" i="9"/>
  <c r="AG264" i="9"/>
  <c r="AO264" i="9"/>
  <c r="AD265" i="9"/>
  <c r="AL265" i="9"/>
  <c r="AK266" i="9"/>
  <c r="AE267" i="9"/>
  <c r="AM267" i="9"/>
  <c r="AG268" i="9"/>
  <c r="AO268" i="9"/>
  <c r="AI269" i="9"/>
  <c r="AK270" i="9"/>
  <c r="AF271" i="9"/>
  <c r="AN271" i="9"/>
  <c r="AI272" i="9"/>
  <c r="AD273" i="9"/>
  <c r="AL273" i="9"/>
  <c r="AG274" i="9"/>
  <c r="AO274" i="9"/>
  <c r="AJ275" i="9"/>
  <c r="AE276" i="9"/>
  <c r="AM276" i="9"/>
  <c r="AH277" i="9"/>
  <c r="AP277" i="9"/>
  <c r="AK278" i="9"/>
  <c r="AF279" i="9"/>
  <c r="AN279" i="9"/>
  <c r="AI280" i="9"/>
  <c r="AD281" i="9"/>
  <c r="AL281" i="9"/>
  <c r="AG282" i="9"/>
  <c r="AO282" i="9"/>
  <c r="AJ283" i="9"/>
  <c r="AE284" i="9"/>
  <c r="AM284" i="9"/>
  <c r="AH285" i="9"/>
  <c r="AP285" i="9"/>
  <c r="AK286" i="9"/>
  <c r="AF287" i="9"/>
  <c r="AN287" i="9"/>
  <c r="AI288" i="9"/>
  <c r="AD289" i="9"/>
  <c r="AL289" i="9"/>
  <c r="AG290" i="9"/>
  <c r="AO290" i="9"/>
  <c r="AJ291" i="9"/>
  <c r="AE292" i="9"/>
  <c r="AM292" i="9"/>
  <c r="AH293" i="9"/>
  <c r="AP293" i="9"/>
  <c r="AK294" i="9"/>
  <c r="AF295" i="9"/>
  <c r="AN295" i="9"/>
  <c r="AI296" i="9"/>
  <c r="AD297" i="9"/>
  <c r="AL297" i="9"/>
  <c r="AG298" i="9"/>
  <c r="AO298" i="9"/>
  <c r="AJ299" i="9"/>
  <c r="AE300" i="9"/>
  <c r="AM300" i="9"/>
  <c r="AH301" i="9"/>
  <c r="AP301" i="9"/>
  <c r="AK302" i="9"/>
  <c r="AF303" i="9"/>
  <c r="AN303" i="9"/>
  <c r="AI304" i="9"/>
  <c r="AD305" i="9"/>
  <c r="AL305" i="9"/>
  <c r="AG306" i="9"/>
  <c r="AO306" i="9"/>
  <c r="AJ307" i="9"/>
  <c r="AE308" i="9"/>
  <c r="AM308" i="9"/>
  <c r="AH309" i="9"/>
  <c r="AP309" i="9"/>
  <c r="AK310" i="9"/>
  <c r="AF311" i="9"/>
  <c r="AN311" i="9"/>
  <c r="AI312" i="9"/>
  <c r="AD313" i="9"/>
  <c r="AL313" i="9"/>
  <c r="AG314" i="9"/>
  <c r="AO314" i="9"/>
  <c r="AL315" i="9"/>
  <c r="AH316" i="9"/>
  <c r="AD317" i="9"/>
  <c r="AM317" i="9"/>
  <c r="AI318" i="9"/>
  <c r="AE319" i="9"/>
  <c r="AN319" i="9"/>
  <c r="AK320" i="9"/>
  <c r="AG321" i="9"/>
  <c r="AP321" i="9"/>
  <c r="AL322" i="9"/>
  <c r="AH323" i="9"/>
  <c r="AD324" i="9"/>
  <c r="AM324" i="9"/>
  <c r="AJ325" i="9"/>
  <c r="AF326" i="9"/>
  <c r="AO326" i="9"/>
  <c r="AK327" i="9"/>
  <c r="AG328" i="9"/>
  <c r="AP328" i="9"/>
  <c r="AL329" i="9"/>
  <c r="AI330" i="9"/>
  <c r="AE331" i="9"/>
  <c r="AN331" i="9"/>
  <c r="AJ332" i="9"/>
  <c r="AF333" i="9"/>
  <c r="AO333" i="9"/>
  <c r="AK334" i="9"/>
  <c r="AH335" i="9"/>
  <c r="AD336" i="9"/>
  <c r="AM336" i="9"/>
  <c r="AI337" i="9"/>
  <c r="AE338" i="9"/>
  <c r="AN338" i="9"/>
  <c r="AJ339" i="9"/>
  <c r="AG340" i="9"/>
  <c r="AP340" i="9"/>
  <c r="AL341" i="9"/>
  <c r="AH342" i="9"/>
  <c r="AE343" i="9"/>
  <c r="AD344" i="9"/>
  <c r="AN344" i="9"/>
  <c r="AK345" i="9"/>
  <c r="AJ346" i="9"/>
  <c r="AG347" i="9"/>
  <c r="AD348" i="9"/>
  <c r="AP348" i="9"/>
  <c r="AM349" i="9"/>
  <c r="AJ350" i="9"/>
  <c r="AI351" i="9"/>
  <c r="AF352" i="9"/>
  <c r="AP352" i="9"/>
  <c r="AO353" i="9"/>
  <c r="AL354" i="9"/>
  <c r="AI355" i="9"/>
  <c r="AH356" i="9"/>
  <c r="AE357" i="9"/>
  <c r="AO357" i="9"/>
  <c r="AN358" i="9"/>
  <c r="AK359" i="9"/>
  <c r="AH360" i="9"/>
  <c r="AG361" i="9"/>
  <c r="AD362" i="9"/>
  <c r="AN362" i="9"/>
  <c r="AM363" i="9"/>
  <c r="AJ364" i="9"/>
  <c r="AG365" i="9"/>
  <c r="AF366" i="9"/>
  <c r="AP366" i="9"/>
  <c r="AM367" i="9"/>
  <c r="AL368" i="9"/>
  <c r="AI369" i="9"/>
  <c r="AF370" i="9"/>
  <c r="AP314" i="9"/>
  <c r="AK315" i="9"/>
  <c r="AF316" i="9"/>
  <c r="AN316" i="9"/>
  <c r="AI317" i="9"/>
  <c r="AD318" i="9"/>
  <c r="AL318" i="9"/>
  <c r="AG319" i="9"/>
  <c r="AO319" i="9"/>
  <c r="AJ320" i="9"/>
  <c r="AE321" i="9"/>
  <c r="AM321" i="9"/>
  <c r="AH322" i="9"/>
  <c r="AP322" i="9"/>
  <c r="AK323" i="9"/>
  <c r="AF324" i="9"/>
  <c r="AN324" i="9"/>
  <c r="AI325" i="9"/>
  <c r="AD326" i="9"/>
  <c r="AL326" i="9"/>
  <c r="AG327" i="9"/>
  <c r="AO327" i="9"/>
  <c r="AJ328" i="9"/>
  <c r="AE329" i="9"/>
  <c r="AM329" i="9"/>
  <c r="AH330" i="9"/>
  <c r="AP330" i="9"/>
  <c r="AK331" i="9"/>
  <c r="AF332" i="9"/>
  <c r="AN332" i="9"/>
  <c r="AI333" i="9"/>
  <c r="AD334" i="9"/>
  <c r="AL334" i="9"/>
  <c r="AG335" i="9"/>
  <c r="AO335" i="9"/>
  <c r="AJ336" i="9"/>
  <c r="AE337" i="9"/>
  <c r="AM337" i="9"/>
  <c r="AH338" i="9"/>
  <c r="AP338" i="9"/>
  <c r="AK339" i="9"/>
  <c r="AF340" i="9"/>
  <c r="AN340" i="9"/>
  <c r="AI341" i="9"/>
  <c r="AD342" i="9"/>
  <c r="AL342" i="9"/>
  <c r="AG343" i="9"/>
  <c r="AO343" i="9"/>
  <c r="AJ344" i="9"/>
  <c r="AE345" i="9"/>
  <c r="AM345" i="9"/>
  <c r="AH346" i="9"/>
  <c r="AP346" i="9"/>
  <c r="AK347" i="9"/>
  <c r="AF348" i="9"/>
  <c r="AN348" i="9"/>
  <c r="AI349" i="9"/>
  <c r="AD350" i="9"/>
  <c r="AL350" i="9"/>
  <c r="AG351" i="9"/>
  <c r="AO351" i="9"/>
  <c r="AJ352" i="9"/>
  <c r="AE353" i="9"/>
  <c r="AM353" i="9"/>
  <c r="AH354" i="9"/>
  <c r="AP354" i="9"/>
  <c r="AK355" i="9"/>
  <c r="AF356" i="9"/>
  <c r="AN356" i="9"/>
  <c r="AI357" i="9"/>
  <c r="AD358" i="9"/>
  <c r="AL358" i="9"/>
  <c r="AG359" i="9"/>
  <c r="AO359" i="9"/>
  <c r="AJ360" i="9"/>
  <c r="AE361" i="9"/>
  <c r="AM361" i="9"/>
  <c r="AH362" i="9"/>
  <c r="AP362" i="9"/>
  <c r="AK363" i="9"/>
  <c r="AF364" i="9"/>
  <c r="AN364" i="9"/>
  <c r="AI365" i="9"/>
  <c r="AD366" i="9"/>
  <c r="AL366" i="9"/>
  <c r="AG367" i="9"/>
  <c r="AO367" i="9"/>
  <c r="AJ368" i="9"/>
  <c r="AE369" i="9"/>
  <c r="AM369" i="9"/>
  <c r="AH370" i="9"/>
  <c r="AP370" i="9"/>
  <c r="AM342" i="9"/>
  <c r="AH343" i="9"/>
  <c r="AP343" i="9"/>
  <c r="AK344" i="9"/>
  <c r="AF345" i="9"/>
  <c r="AN345" i="9"/>
  <c r="AI346" i="9"/>
  <c r="AD347" i="9"/>
  <c r="AL347" i="9"/>
  <c r="AG348" i="9"/>
  <c r="AO348" i="9"/>
  <c r="AJ349" i="9"/>
  <c r="AE350" i="9"/>
  <c r="AM350" i="9"/>
  <c r="AH351" i="9"/>
  <c r="AP351" i="9"/>
  <c r="AK352" i="9"/>
  <c r="AF353" i="9"/>
  <c r="AN353" i="9"/>
  <c r="AI354" i="9"/>
  <c r="AD355" i="9"/>
  <c r="AL355" i="9"/>
  <c r="AG356" i="9"/>
  <c r="AO356" i="9"/>
  <c r="AJ357" i="9"/>
  <c r="AE358" i="9"/>
  <c r="AM358" i="9"/>
  <c r="AH359" i="9"/>
  <c r="AP359" i="9"/>
  <c r="AK360" i="9"/>
  <c r="AF361" i="9"/>
  <c r="AN361" i="9"/>
  <c r="AI362" i="9"/>
  <c r="AD363" i="9"/>
  <c r="AL363" i="9"/>
  <c r="AG364" i="9"/>
  <c r="AO364" i="9"/>
  <c r="AJ365" i="9"/>
  <c r="AE366" i="9"/>
  <c r="AM366" i="9"/>
  <c r="AH367" i="9"/>
  <c r="AP367" i="9"/>
  <c r="AK368" i="9"/>
  <c r="AF369" i="9"/>
  <c r="AN369" i="9"/>
  <c r="AI370" i="9"/>
  <c r="Y120" i="9" a="1"/>
  <c r="Y120" i="9" s="1"/>
  <c r="U120" i="9" a="1"/>
  <c r="U120" i="9" s="1"/>
  <c r="T120" i="9" a="1"/>
  <c r="T120" i="9" s="1"/>
  <c r="X120" i="9" a="1"/>
  <c r="X120" i="9" s="1"/>
  <c r="Z120" i="9"/>
  <c r="V120" i="9" a="1"/>
  <c r="V120" i="9" s="1"/>
  <c r="S120" i="9" a="1"/>
  <c r="S120" i="9" s="1"/>
  <c r="AC120" i="9" s="1"/>
  <c r="W120" i="9" a="1"/>
  <c r="W120" i="9" s="1"/>
  <c r="AB120" i="9" a="1"/>
  <c r="AB120" i="9" s="1"/>
  <c r="W87" i="9" a="1"/>
  <c r="W87" i="9" s="1"/>
  <c r="Y87" i="9" a="1"/>
  <c r="Y87" i="9" s="1"/>
  <c r="V87" i="9" a="1"/>
  <c r="V87" i="9" s="1"/>
  <c r="S87" i="9" a="1"/>
  <c r="S87" i="9" s="1"/>
  <c r="AC87" i="9" s="1"/>
  <c r="X87" i="9" a="1"/>
  <c r="X87" i="9" s="1"/>
  <c r="T87" i="9" a="1"/>
  <c r="T87" i="9" s="1"/>
  <c r="U87" i="9" a="1"/>
  <c r="U87" i="9" s="1"/>
  <c r="AB87" i="9" a="1"/>
  <c r="AB87" i="9" s="1"/>
  <c r="Z87" i="9"/>
  <c r="X207" i="9" a="1"/>
  <c r="X207" i="9" s="1"/>
  <c r="V207" i="9" a="1"/>
  <c r="V207" i="9" s="1"/>
  <c r="T207" i="9" a="1"/>
  <c r="T207" i="9" s="1"/>
  <c r="U207" i="9" a="1"/>
  <c r="U207" i="9" s="1"/>
  <c r="Y207" i="9" a="1"/>
  <c r="Y207" i="9" s="1"/>
  <c r="Z207" i="9"/>
  <c r="S207" i="9" a="1"/>
  <c r="S207" i="9" s="1"/>
  <c r="AC207" i="9" s="1"/>
  <c r="W207" i="9" a="1"/>
  <c r="W207" i="9" s="1"/>
  <c r="AB207" i="9" a="1"/>
  <c r="AB207" i="9" s="1"/>
  <c r="S100" i="9" a="1"/>
  <c r="S100" i="9" s="1"/>
  <c r="AC100" i="9" s="1"/>
  <c r="Z100" i="9"/>
  <c r="AB100" i="9" a="1"/>
  <c r="AB100" i="9" s="1"/>
  <c r="W100" i="9" a="1"/>
  <c r="W100" i="9" s="1"/>
  <c r="Y100" i="9" a="1"/>
  <c r="Y100" i="9" s="1"/>
  <c r="V100" i="9" a="1"/>
  <c r="V100" i="9" s="1"/>
  <c r="T100" i="9" a="1"/>
  <c r="T100" i="9" s="1"/>
  <c r="X100" i="9" a="1"/>
  <c r="X100" i="9" s="1"/>
  <c r="U100" i="9" a="1"/>
  <c r="U100" i="9" s="1"/>
  <c r="W60" i="9" a="1"/>
  <c r="W60" i="9" s="1"/>
  <c r="Y60" i="9" a="1"/>
  <c r="Y60" i="9" s="1"/>
  <c r="V60" i="9" a="1"/>
  <c r="V60" i="9" s="1"/>
  <c r="AB60" i="9" a="1"/>
  <c r="AB60" i="9" s="1"/>
  <c r="S60" i="9" a="1"/>
  <c r="S60" i="9" s="1"/>
  <c r="AC60" i="9" s="1"/>
  <c r="X60" i="9" a="1"/>
  <c r="X60" i="9" s="1"/>
  <c r="T60" i="9" a="1"/>
  <c r="T60" i="9" s="1"/>
  <c r="U60" i="9" a="1"/>
  <c r="U60" i="9" s="1"/>
  <c r="Z60" i="9"/>
  <c r="T147" i="9" a="1"/>
  <c r="T147" i="9" s="1"/>
  <c r="V147" i="9" a="1"/>
  <c r="V147" i="9" s="1"/>
  <c r="X147" i="9" a="1"/>
  <c r="X147" i="9" s="1"/>
  <c r="Z147" i="9"/>
  <c r="S147" i="9" a="1"/>
  <c r="S147" i="9" s="1"/>
  <c r="AC147" i="9" s="1"/>
  <c r="W147" i="9" a="1"/>
  <c r="W147" i="9" s="1"/>
  <c r="Y147" i="9" a="1"/>
  <c r="Y147" i="9" s="1"/>
  <c r="AB147" i="9" a="1"/>
  <c r="AB147" i="9" s="1"/>
  <c r="U147" i="9" a="1"/>
  <c r="U147" i="9" s="1"/>
  <c r="S161" i="9" a="1"/>
  <c r="S161" i="9" s="1"/>
  <c r="AC161" i="9" s="1"/>
  <c r="W161" i="9" a="1"/>
  <c r="W161" i="9" s="1"/>
  <c r="Y161" i="9" a="1"/>
  <c r="Y161" i="9" s="1"/>
  <c r="X161" i="9" a="1"/>
  <c r="X161" i="9" s="1"/>
  <c r="T161" i="9" a="1"/>
  <c r="T161" i="9" s="1"/>
  <c r="U161" i="9" a="1"/>
  <c r="U161" i="9" s="1"/>
  <c r="Z161" i="9"/>
  <c r="V161" i="9" a="1"/>
  <c r="V161" i="9" s="1"/>
  <c r="AB161" i="9" a="1"/>
  <c r="AB161" i="9" s="1"/>
  <c r="T211" i="9" a="1"/>
  <c r="T211" i="9" s="1"/>
  <c r="X211" i="9" a="1"/>
  <c r="X211" i="9" s="1"/>
  <c r="Z211" i="9"/>
  <c r="S211" i="9" a="1"/>
  <c r="S211" i="9" s="1"/>
  <c r="AC211" i="9" s="1"/>
  <c r="W211" i="9" a="1"/>
  <c r="W211" i="9" s="1"/>
  <c r="Y211" i="9" a="1"/>
  <c r="Y211" i="9" s="1"/>
  <c r="AB211" i="9" a="1"/>
  <c r="AB211" i="9" s="1"/>
  <c r="U211" i="9" a="1"/>
  <c r="U211" i="9" s="1"/>
  <c r="V211" i="9" a="1"/>
  <c r="V211" i="9" s="1"/>
  <c r="U232" i="9" a="1"/>
  <c r="U232" i="9" s="1"/>
  <c r="S232" i="9" a="1"/>
  <c r="S232" i="9" s="1"/>
  <c r="AC232" i="9" s="1"/>
  <c r="W232" i="9" a="1"/>
  <c r="W232" i="9" s="1"/>
  <c r="Y232" i="9" a="1"/>
  <c r="Y232" i="9" s="1"/>
  <c r="AB232" i="9" a="1"/>
  <c r="AB232" i="9" s="1"/>
  <c r="T232" i="9" a="1"/>
  <c r="T232" i="9" s="1"/>
  <c r="X232" i="9" a="1"/>
  <c r="X232" i="9" s="1"/>
  <c r="Z232" i="9"/>
  <c r="V232" i="9" a="1"/>
  <c r="V232" i="9" s="1"/>
  <c r="Y185" i="9" a="1"/>
  <c r="Y185" i="9" s="1"/>
  <c r="T185" i="9" a="1"/>
  <c r="T185" i="9" s="1"/>
  <c r="U185" i="9" a="1"/>
  <c r="U185" i="9" s="1"/>
  <c r="V185" i="9" a="1"/>
  <c r="V185" i="9" s="1"/>
  <c r="X185" i="9" a="1"/>
  <c r="X185" i="9" s="1"/>
  <c r="S185" i="9" a="1"/>
  <c r="S185" i="9" s="1"/>
  <c r="AC185" i="9" s="1"/>
  <c r="W185" i="9" a="1"/>
  <c r="W185" i="9" s="1"/>
  <c r="AB185" i="9" a="1"/>
  <c r="AB185" i="9" s="1"/>
  <c r="Z185" i="9"/>
  <c r="T188" i="9" a="1"/>
  <c r="T188" i="9" s="1"/>
  <c r="W188" i="9" a="1"/>
  <c r="W188" i="9" s="1"/>
  <c r="Y188" i="9" a="1"/>
  <c r="Y188" i="9" s="1"/>
  <c r="X188" i="9" a="1"/>
  <c r="X188" i="9" s="1"/>
  <c r="AB188" i="9" a="1"/>
  <c r="AB188" i="9" s="1"/>
  <c r="S188" i="9" a="1"/>
  <c r="S188" i="9" s="1"/>
  <c r="AC188" i="9" s="1"/>
  <c r="V188" i="9" a="1"/>
  <c r="V188" i="9" s="1"/>
  <c r="U188" i="9" a="1"/>
  <c r="U188" i="9" s="1"/>
  <c r="Z188" i="9"/>
  <c r="V177" i="9" a="1"/>
  <c r="V177" i="9" s="1"/>
  <c r="X177" i="9" a="1"/>
  <c r="X177" i="9" s="1"/>
  <c r="Y177" i="9" a="1"/>
  <c r="Y177" i="9" s="1"/>
  <c r="T177" i="9" a="1"/>
  <c r="T177" i="9" s="1"/>
  <c r="U177" i="9" a="1"/>
  <c r="U177" i="9" s="1"/>
  <c r="S177" i="9" a="1"/>
  <c r="S177" i="9" s="1"/>
  <c r="AC177" i="9" s="1"/>
  <c r="W177" i="9" a="1"/>
  <c r="W177" i="9" s="1"/>
  <c r="AB177" i="9" a="1"/>
  <c r="AB177" i="9" s="1"/>
  <c r="Z177" i="9"/>
  <c r="Z219" i="9"/>
  <c r="X219" i="9" a="1"/>
  <c r="X219" i="9" s="1"/>
  <c r="T219" i="9" a="1"/>
  <c r="T219" i="9" s="1"/>
  <c r="S219" i="9" a="1"/>
  <c r="S219" i="9" s="1"/>
  <c r="AC219" i="9" s="1"/>
  <c r="W219" i="9" a="1"/>
  <c r="W219" i="9" s="1"/>
  <c r="Y219" i="9" a="1"/>
  <c r="Y219" i="9" s="1"/>
  <c r="AB219" i="9" a="1"/>
  <c r="AB219" i="9" s="1"/>
  <c r="U219" i="9" a="1"/>
  <c r="U219" i="9" s="1"/>
  <c r="V219" i="9" a="1"/>
  <c r="V219" i="9" s="1"/>
  <c r="Y181" i="9" a="1"/>
  <c r="Y181" i="9" s="1"/>
  <c r="T181" i="9" a="1"/>
  <c r="T181" i="9" s="1"/>
  <c r="U181" i="9" a="1"/>
  <c r="U181" i="9" s="1"/>
  <c r="V181" i="9" a="1"/>
  <c r="V181" i="9" s="1"/>
  <c r="X181" i="9" a="1"/>
  <c r="X181" i="9" s="1"/>
  <c r="S181" i="9" a="1"/>
  <c r="S181" i="9" s="1"/>
  <c r="AC181" i="9" s="1"/>
  <c r="W181" i="9" a="1"/>
  <c r="W181" i="9" s="1"/>
  <c r="AB181" i="9" a="1"/>
  <c r="AB181" i="9" s="1"/>
  <c r="Z181" i="9"/>
  <c r="Y80" i="9" a="1"/>
  <c r="Y80" i="9" s="1"/>
  <c r="S80" i="9" a="1"/>
  <c r="S80" i="9" s="1"/>
  <c r="AC80" i="9" s="1"/>
  <c r="AB80" i="9" a="1"/>
  <c r="AB80" i="9" s="1"/>
  <c r="T80" i="9" a="1"/>
  <c r="T80" i="9" s="1"/>
  <c r="U80" i="9" a="1"/>
  <c r="U80" i="9" s="1"/>
  <c r="W80" i="9" a="1"/>
  <c r="W80" i="9" s="1"/>
  <c r="X80" i="9" a="1"/>
  <c r="X80" i="9" s="1"/>
  <c r="Z80" i="9"/>
  <c r="V80" i="9" a="1"/>
  <c r="V80" i="9" s="1"/>
  <c r="W148" i="9" a="1"/>
  <c r="W148" i="9" s="1"/>
  <c r="Y148" i="9" a="1"/>
  <c r="Y148" i="9" s="1"/>
  <c r="AB148" i="9" a="1"/>
  <c r="AB148" i="9" s="1"/>
  <c r="S148" i="9" a="1"/>
  <c r="S148" i="9" s="1"/>
  <c r="AC148" i="9" s="1"/>
  <c r="U148" i="9" a="1"/>
  <c r="U148" i="9" s="1"/>
  <c r="T148" i="9" a="1"/>
  <c r="T148" i="9" s="1"/>
  <c r="X148" i="9" a="1"/>
  <c r="X148" i="9" s="1"/>
  <c r="Z148" i="9"/>
  <c r="V148" i="9" a="1"/>
  <c r="V148" i="9" s="1"/>
  <c r="T94" i="9" a="1"/>
  <c r="T94" i="9" s="1"/>
  <c r="X94" i="9" a="1"/>
  <c r="X94" i="9" s="1"/>
  <c r="Z94" i="9"/>
  <c r="S94" i="9" a="1"/>
  <c r="S94" i="9" s="1"/>
  <c r="AC94" i="9" s="1"/>
  <c r="W94" i="9" a="1"/>
  <c r="W94" i="9" s="1"/>
  <c r="Y94" i="9" a="1"/>
  <c r="Y94" i="9" s="1"/>
  <c r="AB94" i="9" a="1"/>
  <c r="AB94" i="9" s="1"/>
  <c r="U94" i="9" a="1"/>
  <c r="U94" i="9" s="1"/>
  <c r="V94" i="9" a="1"/>
  <c r="V94" i="9" s="1"/>
  <c r="S156" i="9" a="1"/>
  <c r="S156" i="9" s="1"/>
  <c r="AC156" i="9" s="1"/>
  <c r="W156" i="9" a="1"/>
  <c r="W156" i="9" s="1"/>
  <c r="Y156" i="9" a="1"/>
  <c r="Y156" i="9" s="1"/>
  <c r="AB156" i="9" a="1"/>
  <c r="AB156" i="9" s="1"/>
  <c r="T156" i="9" a="1"/>
  <c r="T156" i="9" s="1"/>
  <c r="X156" i="9" a="1"/>
  <c r="X156" i="9" s="1"/>
  <c r="U156" i="9" a="1"/>
  <c r="U156" i="9" s="1"/>
  <c r="Z156" i="9"/>
  <c r="V156" i="9" a="1"/>
  <c r="V156" i="9" s="1"/>
  <c r="W220" i="9" a="1"/>
  <c r="W220" i="9" s="1"/>
  <c r="Y220" i="9" a="1"/>
  <c r="Y220" i="9" s="1"/>
  <c r="Z220" i="9"/>
  <c r="AB220" i="9" a="1"/>
  <c r="AB220" i="9" s="1"/>
  <c r="S220" i="9" a="1"/>
  <c r="S220" i="9" s="1"/>
  <c r="AC220" i="9" s="1"/>
  <c r="U220" i="9" a="1"/>
  <c r="U220" i="9" s="1"/>
  <c r="V220" i="9" a="1"/>
  <c r="V220" i="9" s="1"/>
  <c r="T220" i="9" a="1"/>
  <c r="T220" i="9" s="1"/>
  <c r="X220" i="9" a="1"/>
  <c r="X220" i="9" s="1"/>
  <c r="W59" i="9" a="1"/>
  <c r="W59" i="9" s="1"/>
  <c r="Y59" i="9" a="1"/>
  <c r="Y59" i="9" s="1"/>
  <c r="AB59" i="9" a="1"/>
  <c r="AB59" i="9" s="1"/>
  <c r="S59" i="9" a="1"/>
  <c r="S59" i="9" s="1"/>
  <c r="AC59" i="9" s="1"/>
  <c r="X59" i="9" a="1"/>
  <c r="X59" i="9" s="1"/>
  <c r="T59" i="9" a="1"/>
  <c r="T59" i="9" s="1"/>
  <c r="U59" i="9" a="1"/>
  <c r="U59" i="9" s="1"/>
  <c r="Z59" i="9"/>
  <c r="V59" i="9" a="1"/>
  <c r="V59" i="9" s="1"/>
  <c r="T149" i="9" a="1"/>
  <c r="T149" i="9" s="1"/>
  <c r="X149" i="9" a="1"/>
  <c r="X149" i="9" s="1"/>
  <c r="U149" i="9" a="1"/>
  <c r="U149" i="9" s="1"/>
  <c r="Y149" i="9" a="1"/>
  <c r="Y149" i="9" s="1"/>
  <c r="Z149" i="9"/>
  <c r="V149" i="9" a="1"/>
  <c r="V149" i="9" s="1"/>
  <c r="S149" i="9" a="1"/>
  <c r="S149" i="9" s="1"/>
  <c r="AC149" i="9" s="1"/>
  <c r="W149" i="9" a="1"/>
  <c r="W149" i="9" s="1"/>
  <c r="AB149" i="9" a="1"/>
  <c r="AB149" i="9" s="1"/>
  <c r="W221" i="9" a="1"/>
  <c r="W221" i="9" s="1"/>
  <c r="Y221" i="9" a="1"/>
  <c r="Y221" i="9" s="1"/>
  <c r="AB221" i="9" a="1"/>
  <c r="AB221" i="9" s="1"/>
  <c r="S221" i="9" a="1"/>
  <c r="S221" i="9" s="1"/>
  <c r="AC221" i="9" s="1"/>
  <c r="V221" i="9" a="1"/>
  <c r="V221" i="9" s="1"/>
  <c r="T221" i="9" a="1"/>
  <c r="T221" i="9" s="1"/>
  <c r="X221" i="9" a="1"/>
  <c r="X221" i="9" s="1"/>
  <c r="U221" i="9" a="1"/>
  <c r="U221" i="9" s="1"/>
  <c r="Z221" i="9"/>
  <c r="AB141" i="9" a="1"/>
  <c r="AB141" i="9" s="1"/>
  <c r="S141" i="9" a="1"/>
  <c r="S141" i="9" s="1"/>
  <c r="AC141" i="9" s="1"/>
  <c r="T141" i="9" a="1"/>
  <c r="T141" i="9" s="1"/>
  <c r="V141" i="9" a="1"/>
  <c r="V141" i="9" s="1"/>
  <c r="W141" i="9" a="1"/>
  <c r="W141" i="9" s="1"/>
  <c r="Y141" i="9" a="1"/>
  <c r="Y141" i="9" s="1"/>
  <c r="X141" i="9" a="1"/>
  <c r="X141" i="9" s="1"/>
  <c r="U141" i="9" a="1"/>
  <c r="U141" i="9" s="1"/>
  <c r="Z141" i="9"/>
  <c r="X162" i="9" a="1"/>
  <c r="X162" i="9" s="1"/>
  <c r="S162" i="9" a="1"/>
  <c r="S162" i="9" s="1"/>
  <c r="AC162" i="9" s="1"/>
  <c r="T162" i="9" a="1"/>
  <c r="T162" i="9" s="1"/>
  <c r="Y162" i="9" a="1"/>
  <c r="Y162" i="9" s="1"/>
  <c r="U162" i="9" a="1"/>
  <c r="U162" i="9" s="1"/>
  <c r="V162" i="9" a="1"/>
  <c r="V162" i="9" s="1"/>
  <c r="AB162" i="9" a="1"/>
  <c r="AB162" i="9" s="1"/>
  <c r="W162" i="9" a="1"/>
  <c r="W162" i="9" s="1"/>
  <c r="Z162" i="9"/>
  <c r="V155" i="9" a="1"/>
  <c r="V155" i="9" s="1"/>
  <c r="Z155" i="9"/>
  <c r="S155" i="9" a="1"/>
  <c r="S155" i="9" s="1"/>
  <c r="AC155" i="9" s="1"/>
  <c r="W155" i="9" a="1"/>
  <c r="W155" i="9" s="1"/>
  <c r="Y155" i="9" a="1"/>
  <c r="Y155" i="9" s="1"/>
  <c r="AB155" i="9" a="1"/>
  <c r="AB155" i="9" s="1"/>
  <c r="T155" i="9" a="1"/>
  <c r="T155" i="9" s="1"/>
  <c r="X155" i="9" a="1"/>
  <c r="X155" i="9" s="1"/>
  <c r="U155" i="9" a="1"/>
  <c r="U155" i="9" s="1"/>
  <c r="Z237" i="9"/>
  <c r="X237" i="9" a="1"/>
  <c r="X237" i="9" s="1"/>
  <c r="S237" i="9" a="1"/>
  <c r="S237" i="9" s="1"/>
  <c r="AC237" i="9" s="1"/>
  <c r="U237" i="9" a="1"/>
  <c r="U237" i="9" s="1"/>
  <c r="W237" i="9" a="1"/>
  <c r="W237" i="9" s="1"/>
  <c r="Y237" i="9" a="1"/>
  <c r="Y237" i="9" s="1"/>
  <c r="T237" i="9" a="1"/>
  <c r="T237" i="9" s="1"/>
  <c r="AB237" i="9" a="1"/>
  <c r="AB237" i="9" s="1"/>
  <c r="V237" i="9" a="1"/>
  <c r="V237" i="9" s="1"/>
  <c r="X176" i="9" a="1"/>
  <c r="X176" i="9" s="1"/>
  <c r="W176" i="9" a="1"/>
  <c r="W176" i="9" s="1"/>
  <c r="Y176" i="9" a="1"/>
  <c r="Y176" i="9" s="1"/>
  <c r="S176" i="9" a="1"/>
  <c r="S176" i="9" s="1"/>
  <c r="AC176" i="9" s="1"/>
  <c r="Z176" i="9"/>
  <c r="T176" i="9" a="1"/>
  <c r="T176" i="9" s="1"/>
  <c r="U176" i="9" a="1"/>
  <c r="U176" i="9" s="1"/>
  <c r="AB176" i="9" a="1"/>
  <c r="AB176" i="9" s="1"/>
  <c r="V176" i="9" a="1"/>
  <c r="V176" i="9" s="1"/>
  <c r="V79" i="9" a="1"/>
  <c r="V79" i="9" s="1"/>
  <c r="S79" i="9" a="1"/>
  <c r="S79" i="9" s="1"/>
  <c r="AC79" i="9" s="1"/>
  <c r="W79" i="9" a="1"/>
  <c r="W79" i="9" s="1"/>
  <c r="Y79" i="9" a="1"/>
  <c r="Y79" i="9" s="1"/>
  <c r="AB79" i="9" a="1"/>
  <c r="AB79" i="9" s="1"/>
  <c r="T79" i="9" a="1"/>
  <c r="T79" i="9" s="1"/>
  <c r="X79" i="9" a="1"/>
  <c r="X79" i="9" s="1"/>
  <c r="U79" i="9" a="1"/>
  <c r="U79" i="9" s="1"/>
  <c r="Z79" i="9"/>
  <c r="Y139" i="9" a="1"/>
  <c r="Y139" i="9" s="1"/>
  <c r="T139" i="9" a="1"/>
  <c r="T139" i="9" s="1"/>
  <c r="U139" i="9" a="1"/>
  <c r="U139" i="9" s="1"/>
  <c r="V139" i="9" a="1"/>
  <c r="V139" i="9" s="1"/>
  <c r="X139" i="9" a="1"/>
  <c r="X139" i="9" s="1"/>
  <c r="Z139" i="9"/>
  <c r="S139" i="9" a="1"/>
  <c r="S139" i="9" s="1"/>
  <c r="AC139" i="9" s="1"/>
  <c r="W139" i="9" a="1"/>
  <c r="W139" i="9" s="1"/>
  <c r="AB139" i="9" a="1"/>
  <c r="AB139" i="9" s="1"/>
  <c r="U128" i="9" a="1"/>
  <c r="U128" i="9" s="1"/>
  <c r="Y128" i="9" a="1"/>
  <c r="Y128" i="9" s="1"/>
  <c r="T128" i="9" a="1"/>
  <c r="T128" i="9" s="1"/>
  <c r="X128" i="9" a="1"/>
  <c r="X128" i="9" s="1"/>
  <c r="Z128" i="9"/>
  <c r="V128" i="9" a="1"/>
  <c r="V128" i="9" s="1"/>
  <c r="S128" i="9" a="1"/>
  <c r="S128" i="9" s="1"/>
  <c r="AC128" i="9" s="1"/>
  <c r="W128" i="9" a="1"/>
  <c r="W128" i="9" s="1"/>
  <c r="AB128" i="9" a="1"/>
  <c r="AB128" i="9" s="1"/>
  <c r="T72" i="9" a="1"/>
  <c r="T72" i="9" s="1"/>
  <c r="V72" i="9" a="1"/>
  <c r="V72" i="9" s="1"/>
  <c r="W72" i="9" a="1"/>
  <c r="W72" i="9" s="1"/>
  <c r="Y72" i="9" a="1"/>
  <c r="Y72" i="9" s="1"/>
  <c r="X72" i="9" a="1"/>
  <c r="X72" i="9" s="1"/>
  <c r="Z72" i="9"/>
  <c r="S72" i="9" a="1"/>
  <c r="S72" i="9" s="1"/>
  <c r="AC72" i="9" s="1"/>
  <c r="AB72" i="9" a="1"/>
  <c r="AB72" i="9" s="1"/>
  <c r="U72" i="9" a="1"/>
  <c r="U72" i="9" s="1"/>
  <c r="U233" i="9" a="1"/>
  <c r="U233" i="9" s="1"/>
  <c r="Y233" i="9" a="1"/>
  <c r="Y233" i="9" s="1"/>
  <c r="T233" i="9" a="1"/>
  <c r="T233" i="9" s="1"/>
  <c r="X233" i="9" a="1"/>
  <c r="X233" i="9" s="1"/>
  <c r="Z233" i="9"/>
  <c r="V233" i="9" a="1"/>
  <c r="V233" i="9" s="1"/>
  <c r="S233" i="9" a="1"/>
  <c r="S233" i="9" s="1"/>
  <c r="AC233" i="9" s="1"/>
  <c r="W233" i="9" a="1"/>
  <c r="W233" i="9" s="1"/>
  <c r="AB233" i="9" a="1"/>
  <c r="AB233" i="9" s="1"/>
  <c r="S179" i="9" a="1"/>
  <c r="S179" i="9" s="1"/>
  <c r="AC179" i="9" s="1"/>
  <c r="Z179" i="9"/>
  <c r="T179" i="9" a="1"/>
  <c r="T179" i="9" s="1"/>
  <c r="AB179" i="9" a="1"/>
  <c r="AB179" i="9" s="1"/>
  <c r="V179" i="9" a="1"/>
  <c r="V179" i="9" s="1"/>
  <c r="W179" i="9" a="1"/>
  <c r="W179" i="9" s="1"/>
  <c r="Y179" i="9" a="1"/>
  <c r="Y179" i="9" s="1"/>
  <c r="X179" i="9" a="1"/>
  <c r="X179" i="9" s="1"/>
  <c r="U179" i="9" a="1"/>
  <c r="U179" i="9" s="1"/>
  <c r="X85" i="9" a="1"/>
  <c r="X85" i="9" s="1"/>
  <c r="W85" i="9" a="1"/>
  <c r="W85" i="9" s="1"/>
  <c r="Y85" i="9" a="1"/>
  <c r="Y85" i="9" s="1"/>
  <c r="S85" i="9" a="1"/>
  <c r="S85" i="9" s="1"/>
  <c r="AC85" i="9" s="1"/>
  <c r="T85" i="9" a="1"/>
  <c r="T85" i="9" s="1"/>
  <c r="U85" i="9" a="1"/>
  <c r="U85" i="9" s="1"/>
  <c r="V85" i="9" a="1"/>
  <c r="V85" i="9" s="1"/>
  <c r="AB85" i="9" a="1"/>
  <c r="AB85" i="9" s="1"/>
  <c r="Z85" i="9"/>
  <c r="T105" i="9" a="1"/>
  <c r="T105" i="9" s="1"/>
  <c r="S105" i="9" a="1"/>
  <c r="S105" i="9" s="1"/>
  <c r="AC105" i="9" s="1"/>
  <c r="AB105" i="9" a="1"/>
  <c r="AB105" i="9" s="1"/>
  <c r="U105" i="9" a="1"/>
  <c r="U105" i="9" s="1"/>
  <c r="W105" i="9" a="1"/>
  <c r="W105" i="9" s="1"/>
  <c r="Y105" i="9" a="1"/>
  <c r="Y105" i="9" s="1"/>
  <c r="X105" i="9" a="1"/>
  <c r="X105" i="9" s="1"/>
  <c r="Z105" i="9"/>
  <c r="V105" i="9" a="1"/>
  <c r="V105" i="9" s="1"/>
  <c r="Y136" i="9" a="1"/>
  <c r="Y136" i="9" s="1"/>
  <c r="U136" i="9" a="1"/>
  <c r="U136" i="9" s="1"/>
  <c r="T136" i="9" a="1"/>
  <c r="T136" i="9" s="1"/>
  <c r="X136" i="9" a="1"/>
  <c r="X136" i="9" s="1"/>
  <c r="Z136" i="9"/>
  <c r="V136" i="9" a="1"/>
  <c r="V136" i="9" s="1"/>
  <c r="S136" i="9" a="1"/>
  <c r="S136" i="9" s="1"/>
  <c r="AC136" i="9" s="1"/>
  <c r="W136" i="9" a="1"/>
  <c r="W136" i="9" s="1"/>
  <c r="AB136" i="9" a="1"/>
  <c r="AB136" i="9" s="1"/>
  <c r="S224" i="9" a="1"/>
  <c r="S224" i="9" s="1"/>
  <c r="AC224" i="9" s="1"/>
  <c r="U224" i="9" a="1"/>
  <c r="U224" i="9" s="1"/>
  <c r="W224" i="9" a="1"/>
  <c r="W224" i="9" s="1"/>
  <c r="Y224" i="9" a="1"/>
  <c r="Y224" i="9" s="1"/>
  <c r="AB224" i="9" a="1"/>
  <c r="AB224" i="9" s="1"/>
  <c r="T224" i="9" a="1"/>
  <c r="T224" i="9" s="1"/>
  <c r="X224" i="9" a="1"/>
  <c r="X224" i="9" s="1"/>
  <c r="Z224" i="9"/>
  <c r="V224" i="9" a="1"/>
  <c r="V224" i="9" s="1"/>
  <c r="Y123" i="9" a="1"/>
  <c r="Y123" i="9" s="1"/>
  <c r="T123" i="9" a="1"/>
  <c r="T123" i="9" s="1"/>
  <c r="U123" i="9" a="1"/>
  <c r="U123" i="9" s="1"/>
  <c r="V123" i="9" a="1"/>
  <c r="V123" i="9" s="1"/>
  <c r="X123" i="9" a="1"/>
  <c r="X123" i="9" s="1"/>
  <c r="Z123" i="9"/>
  <c r="S123" i="9" a="1"/>
  <c r="S123" i="9" s="1"/>
  <c r="AC123" i="9" s="1"/>
  <c r="W123" i="9" a="1"/>
  <c r="W123" i="9" s="1"/>
  <c r="AB123" i="9" a="1"/>
  <c r="AB123" i="9" s="1"/>
  <c r="Z132" i="9"/>
  <c r="S132" i="9" a="1"/>
  <c r="S132" i="9" s="1"/>
  <c r="AC132" i="9" s="1"/>
  <c r="AB132" i="9" a="1"/>
  <c r="AB132" i="9" s="1"/>
  <c r="W132" i="9" a="1"/>
  <c r="W132" i="9" s="1"/>
  <c r="Y132" i="9" a="1"/>
  <c r="Y132" i="9" s="1"/>
  <c r="V132" i="9" a="1"/>
  <c r="V132" i="9" s="1"/>
  <c r="T132" i="9" a="1"/>
  <c r="T132" i="9" s="1"/>
  <c r="X132" i="9" a="1"/>
  <c r="X132" i="9" s="1"/>
  <c r="U132" i="9" a="1"/>
  <c r="U132" i="9" s="1"/>
  <c r="S53" i="9" a="1"/>
  <c r="S53" i="9" s="1"/>
  <c r="AC53" i="9" s="1"/>
  <c r="W53" i="9" a="1"/>
  <c r="W53" i="9" s="1"/>
  <c r="Y53" i="9" a="1"/>
  <c r="Y53" i="9" s="1"/>
  <c r="AB53" i="9" a="1"/>
  <c r="AB53" i="9" s="1"/>
  <c r="T53" i="9" a="1"/>
  <c r="T53" i="9" s="1"/>
  <c r="X53" i="9" a="1"/>
  <c r="X53" i="9" s="1"/>
  <c r="U53" i="9" a="1"/>
  <c r="U53" i="9" s="1"/>
  <c r="Z53" i="9"/>
  <c r="V53" i="9" a="1"/>
  <c r="V53" i="9" s="1"/>
  <c r="S117" i="9" a="1"/>
  <c r="S117" i="9" s="1"/>
  <c r="AC117" i="9" s="1"/>
  <c r="AB117" i="9" a="1"/>
  <c r="AB117" i="9" s="1"/>
  <c r="U117" i="9" a="1"/>
  <c r="U117" i="9" s="1"/>
  <c r="V117" i="9" a="1"/>
  <c r="V117" i="9" s="1"/>
  <c r="W117" i="9" a="1"/>
  <c r="W117" i="9" s="1"/>
  <c r="Y117" i="9" a="1"/>
  <c r="Y117" i="9" s="1"/>
  <c r="T117" i="9" a="1"/>
  <c r="T117" i="9" s="1"/>
  <c r="X117" i="9" a="1"/>
  <c r="X117" i="9" s="1"/>
  <c r="Z117" i="9"/>
  <c r="AB95" i="9" a="1"/>
  <c r="AB95" i="9" s="1"/>
  <c r="T95" i="9" a="1"/>
  <c r="T95" i="9" s="1"/>
  <c r="U95" i="9" a="1"/>
  <c r="U95" i="9" s="1"/>
  <c r="V95" i="9" a="1"/>
  <c r="V95" i="9" s="1"/>
  <c r="W95" i="9" a="1"/>
  <c r="W95" i="9" s="1"/>
  <c r="Y95" i="9" a="1"/>
  <c r="Y95" i="9" s="1"/>
  <c r="X95" i="9" a="1"/>
  <c r="X95" i="9" s="1"/>
  <c r="S95" i="9" a="1"/>
  <c r="S95" i="9" s="1"/>
  <c r="AC95" i="9" s="1"/>
  <c r="Z95" i="9"/>
  <c r="U74" i="9" a="1"/>
  <c r="U74" i="9" s="1"/>
  <c r="T74" i="9" a="1"/>
  <c r="T74" i="9" s="1"/>
  <c r="V74" i="9" a="1"/>
  <c r="V74" i="9" s="1"/>
  <c r="X74" i="9" a="1"/>
  <c r="X74" i="9" s="1"/>
  <c r="Y74" i="9" a="1"/>
  <c r="Y74" i="9" s="1"/>
  <c r="Z74" i="9"/>
  <c r="W74" i="9" a="1"/>
  <c r="W74" i="9" s="1"/>
  <c r="AB74" i="9" a="1"/>
  <c r="AB74" i="9" s="1"/>
  <c r="S244" i="9" a="1"/>
  <c r="S244" i="9" s="1"/>
  <c r="AC244" i="9" s="1"/>
  <c r="V244" i="9" a="1"/>
  <c r="V244" i="9" s="1"/>
  <c r="AB244" i="9" a="1"/>
  <c r="AB244" i="9" s="1"/>
  <c r="W244" i="9" a="1"/>
  <c r="W244" i="9" s="1"/>
  <c r="Y244" i="9" a="1"/>
  <c r="Y244" i="9" s="1"/>
  <c r="X244" i="9" a="1"/>
  <c r="X244" i="9" s="1"/>
  <c r="T244" i="9" a="1"/>
  <c r="T244" i="9" s="1"/>
  <c r="Z244" i="9"/>
  <c r="U244" i="9" a="1"/>
  <c r="U244" i="9" s="1"/>
  <c r="T119" i="9" a="1"/>
  <c r="T119" i="9" s="1"/>
  <c r="S119" i="9" a="1"/>
  <c r="S119" i="9" s="1"/>
  <c r="AC119" i="9" s="1"/>
  <c r="AB119" i="9" a="1"/>
  <c r="AB119" i="9" s="1"/>
  <c r="V119" i="9" a="1"/>
  <c r="V119" i="9" s="1"/>
  <c r="W119" i="9" a="1"/>
  <c r="W119" i="9" s="1"/>
  <c r="Y119" i="9" a="1"/>
  <c r="Y119" i="9" s="1"/>
  <c r="X119" i="9" a="1"/>
  <c r="X119" i="9" s="1"/>
  <c r="U119" i="9" a="1"/>
  <c r="U119" i="9" s="1"/>
  <c r="Z119" i="9"/>
  <c r="U143" i="9" a="1"/>
  <c r="U143" i="9" s="1"/>
  <c r="T143" i="9" a="1"/>
  <c r="T143" i="9" s="1"/>
  <c r="V143" i="9" a="1"/>
  <c r="V143" i="9" s="1"/>
  <c r="X143" i="9" a="1"/>
  <c r="X143" i="9" s="1"/>
  <c r="Y143" i="9" a="1"/>
  <c r="Y143" i="9" s="1"/>
  <c r="Z143" i="9"/>
  <c r="S143" i="9" a="1"/>
  <c r="S143" i="9" s="1"/>
  <c r="AC143" i="9" s="1"/>
  <c r="W143" i="9" a="1"/>
  <c r="W143" i="9" s="1"/>
  <c r="AB143" i="9" a="1"/>
  <c r="AB143" i="9" s="1"/>
  <c r="V65" i="9" a="1"/>
  <c r="V65" i="9" s="1"/>
  <c r="AB65" i="9" a="1"/>
  <c r="AB65" i="9" s="1"/>
  <c r="W65" i="9" a="1"/>
  <c r="W65" i="9" s="1"/>
  <c r="Y65" i="9" a="1"/>
  <c r="Y65" i="9" s="1"/>
  <c r="S65" i="9" a="1"/>
  <c r="S65" i="9" s="1"/>
  <c r="AC65" i="9" s="1"/>
  <c r="X65" i="9" a="1"/>
  <c r="X65" i="9" s="1"/>
  <c r="T65" i="9" a="1"/>
  <c r="T65" i="9" s="1"/>
  <c r="Z65" i="9"/>
  <c r="U65" i="9" a="1"/>
  <c r="U65" i="9" s="1"/>
  <c r="U248" i="9" a="1"/>
  <c r="U248" i="9" s="1"/>
  <c r="V248" i="9" a="1"/>
  <c r="V248" i="9" s="1"/>
  <c r="Y248" i="9" a="1"/>
  <c r="Y248" i="9" s="1"/>
  <c r="T248" i="9" a="1"/>
  <c r="T248" i="9" s="1"/>
  <c r="X248" i="9" a="1"/>
  <c r="X248" i="9" s="1"/>
  <c r="Z248" i="9"/>
  <c r="S248" i="9" a="1"/>
  <c r="S248" i="9" s="1"/>
  <c r="AC248" i="9" s="1"/>
  <c r="W248" i="9" a="1"/>
  <c r="W248" i="9" s="1"/>
  <c r="AB248" i="9" a="1"/>
  <c r="AB248" i="9" s="1"/>
  <c r="Z71" i="9"/>
  <c r="U71" i="9" a="1"/>
  <c r="U71" i="9" s="1"/>
  <c r="Y71" i="9" a="1"/>
  <c r="Y71" i="9" s="1"/>
  <c r="V71" i="9" a="1"/>
  <c r="V71" i="9" s="1"/>
  <c r="S71" i="9" a="1"/>
  <c r="S71" i="9" s="1"/>
  <c r="AC71" i="9" s="1"/>
  <c r="W71" i="9" a="1"/>
  <c r="W71" i="9" s="1"/>
  <c r="AB71" i="9" a="1"/>
  <c r="AB71" i="9" s="1"/>
  <c r="T71" i="9" a="1"/>
  <c r="T71" i="9" s="1"/>
  <c r="X71" i="9" a="1"/>
  <c r="X71" i="9" s="1"/>
  <c r="V61" i="9" a="1"/>
  <c r="V61" i="9" s="1"/>
  <c r="X61" i="9" a="1"/>
  <c r="X61" i="9" s="1"/>
  <c r="T61" i="9" a="1"/>
  <c r="T61" i="9" s="1"/>
  <c r="Y61" i="9" a="1"/>
  <c r="Y61" i="9" s="1"/>
  <c r="U61" i="9" a="1"/>
  <c r="U61" i="9" s="1"/>
  <c r="Z61" i="9"/>
  <c r="S61" i="9" a="1"/>
  <c r="S61" i="9" s="1"/>
  <c r="AC61" i="9" s="1"/>
  <c r="W61" i="9" a="1"/>
  <c r="W61" i="9" s="1"/>
  <c r="AB61" i="9" a="1"/>
  <c r="AB61" i="9" s="1"/>
  <c r="V76" i="9" a="1"/>
  <c r="V76" i="9" s="1"/>
  <c r="U76" i="9" a="1"/>
  <c r="U76" i="9" s="1"/>
  <c r="W76" i="9" a="1"/>
  <c r="W76" i="9" s="1"/>
  <c r="Y76" i="9" a="1"/>
  <c r="Y76" i="9" s="1"/>
  <c r="S76" i="9" a="1"/>
  <c r="S76" i="9" s="1"/>
  <c r="AC76" i="9" s="1"/>
  <c r="AB76" i="9" a="1"/>
  <c r="AB76" i="9" s="1"/>
  <c r="Z76" i="9"/>
  <c r="T76" i="9" a="1"/>
  <c r="T76" i="9" s="1"/>
  <c r="X76" i="9" a="1"/>
  <c r="X76" i="9" s="1"/>
  <c r="W250" i="9" a="1"/>
  <c r="W250" i="9" s="1"/>
  <c r="Y250" i="9" a="1"/>
  <c r="Y250" i="9" s="1"/>
  <c r="Z250" i="9"/>
  <c r="U250" i="9" a="1"/>
  <c r="U250" i="9" s="1"/>
  <c r="V250" i="9" a="1"/>
  <c r="V250" i="9" s="1"/>
  <c r="AB250" i="9" a="1"/>
  <c r="AB250" i="9" s="1"/>
  <c r="S250" i="9" a="1"/>
  <c r="S250" i="9" s="1"/>
  <c r="AC250" i="9" s="1"/>
  <c r="T250" i="9" a="1"/>
  <c r="T250" i="9" s="1"/>
  <c r="X250" i="9" a="1"/>
  <c r="X250" i="9" s="1"/>
  <c r="Y113" i="9" a="1"/>
  <c r="Y113" i="9" s="1"/>
  <c r="X113" i="9" a="1"/>
  <c r="X113" i="9" s="1"/>
  <c r="Z113" i="9"/>
  <c r="S113" i="9" a="1"/>
  <c r="S113" i="9" s="1"/>
  <c r="AC113" i="9" s="1"/>
  <c r="AB113" i="9" a="1"/>
  <c r="AB113" i="9" s="1"/>
  <c r="T113" i="9" a="1"/>
  <c r="T113" i="9" s="1"/>
  <c r="U113" i="9" a="1"/>
  <c r="U113" i="9" s="1"/>
  <c r="W113" i="9" a="1"/>
  <c r="W113" i="9" s="1"/>
  <c r="V113" i="9" a="1"/>
  <c r="V113" i="9" s="1"/>
  <c r="Z235" i="9"/>
  <c r="T235" i="9" a="1"/>
  <c r="T235" i="9" s="1"/>
  <c r="X235" i="9" a="1"/>
  <c r="X235" i="9" s="1"/>
  <c r="S235" i="9" a="1"/>
  <c r="S235" i="9" s="1"/>
  <c r="AC235" i="9" s="1"/>
  <c r="W235" i="9" a="1"/>
  <c r="W235" i="9" s="1"/>
  <c r="Y235" i="9" a="1"/>
  <c r="Y235" i="9" s="1"/>
  <c r="AB235" i="9" a="1"/>
  <c r="AB235" i="9" s="1"/>
  <c r="U235" i="9" a="1"/>
  <c r="U235" i="9" s="1"/>
  <c r="V235" i="9" a="1"/>
  <c r="V235" i="9" s="1"/>
  <c r="X111" i="9" a="1"/>
  <c r="X111" i="9" s="1"/>
  <c r="S111" i="9" a="1"/>
  <c r="S111" i="9" s="1"/>
  <c r="AC111" i="9" s="1"/>
  <c r="AB111" i="9" a="1"/>
  <c r="AB111" i="9" s="1"/>
  <c r="T111" i="9" a="1"/>
  <c r="T111" i="9" s="1"/>
  <c r="V111" i="9" a="1"/>
  <c r="V111" i="9" s="1"/>
  <c r="W111" i="9" a="1"/>
  <c r="W111" i="9" s="1"/>
  <c r="Y111" i="9" a="1"/>
  <c r="Y111" i="9" s="1"/>
  <c r="U111" i="9" a="1"/>
  <c r="U111" i="9" s="1"/>
  <c r="Z111" i="9"/>
  <c r="S264" i="9" a="1"/>
  <c r="S264" i="9" s="1"/>
  <c r="AC264" i="9" s="1"/>
  <c r="AB264" i="9" a="1"/>
  <c r="AB264" i="9" s="1"/>
  <c r="V264" i="9" a="1"/>
  <c r="V264" i="9" s="1"/>
  <c r="W264" i="9" a="1"/>
  <c r="W264" i="9" s="1"/>
  <c r="Y264" i="9" a="1"/>
  <c r="Y264" i="9" s="1"/>
  <c r="T264" i="9" a="1"/>
  <c r="T264" i="9" s="1"/>
  <c r="X264" i="9" a="1"/>
  <c r="X264" i="9" s="1"/>
  <c r="U264" i="9" a="1"/>
  <c r="U264" i="9" s="1"/>
  <c r="Z264" i="9"/>
  <c r="X70" i="9" a="1"/>
  <c r="X70" i="9" s="1"/>
  <c r="Z70" i="9"/>
  <c r="T70" i="9" a="1"/>
  <c r="T70" i="9" s="1"/>
  <c r="U70" i="9" a="1"/>
  <c r="U70" i="9" s="1"/>
  <c r="Y70" i="9" a="1"/>
  <c r="Y70" i="9" s="1"/>
  <c r="V70" i="9" a="1"/>
  <c r="V70" i="9" s="1"/>
  <c r="S70" i="9" a="1"/>
  <c r="S70" i="9" s="1"/>
  <c r="AC70" i="9" s="1"/>
  <c r="W70" i="9" a="1"/>
  <c r="W70" i="9" s="1"/>
  <c r="AB70" i="9" a="1"/>
  <c r="AB70" i="9" s="1"/>
  <c r="T240" i="9" a="1"/>
  <c r="T240" i="9" s="1"/>
  <c r="V240" i="9" a="1"/>
  <c r="V240" i="9" s="1"/>
  <c r="Y240" i="9" a="1"/>
  <c r="Y240" i="9" s="1"/>
  <c r="AB240" i="9" a="1"/>
  <c r="AB240" i="9" s="1"/>
  <c r="X240" i="9" a="1"/>
  <c r="X240" i="9" s="1"/>
  <c r="U240" i="9" a="1"/>
  <c r="U240" i="9" s="1"/>
  <c r="Z240" i="9"/>
  <c r="W240" i="9" a="1"/>
  <c r="W240" i="9" s="1"/>
  <c r="S240" i="9" a="1"/>
  <c r="S240" i="9" s="1"/>
  <c r="AC240" i="9" s="1"/>
  <c r="S144" i="9" a="1"/>
  <c r="S144" i="9" s="1"/>
  <c r="AC144" i="9" s="1"/>
  <c r="U144" i="9" a="1"/>
  <c r="U144" i="9" s="1"/>
  <c r="W144" i="9" a="1"/>
  <c r="W144" i="9" s="1"/>
  <c r="Y144" i="9" a="1"/>
  <c r="Y144" i="9" s="1"/>
  <c r="AB144" i="9" a="1"/>
  <c r="AB144" i="9" s="1"/>
  <c r="T144" i="9" a="1"/>
  <c r="T144" i="9" s="1"/>
  <c r="X144" i="9" a="1"/>
  <c r="X144" i="9" s="1"/>
  <c r="Z144" i="9"/>
  <c r="V144" i="9" a="1"/>
  <c r="V144" i="9" s="1"/>
  <c r="U91" i="9" a="1"/>
  <c r="U91" i="9" s="1"/>
  <c r="V91" i="9" a="1"/>
  <c r="V91" i="9" s="1"/>
  <c r="AB91" i="9" a="1"/>
  <c r="AB91" i="9" s="1"/>
  <c r="W91" i="9" a="1"/>
  <c r="W91" i="9" s="1"/>
  <c r="Y91" i="9" a="1"/>
  <c r="Y91" i="9" s="1"/>
  <c r="X91" i="9" a="1"/>
  <c r="X91" i="9" s="1"/>
  <c r="S91" i="9" a="1"/>
  <c r="S91" i="9" s="1"/>
  <c r="AC91" i="9" s="1"/>
  <c r="T91" i="9" a="1"/>
  <c r="T91" i="9" s="1"/>
  <c r="Z91" i="9"/>
  <c r="T209" i="9" a="1"/>
  <c r="T209" i="9" s="1"/>
  <c r="V209" i="9" a="1"/>
  <c r="V209" i="9" s="1"/>
  <c r="X209" i="9" a="1"/>
  <c r="X209" i="9" s="1"/>
  <c r="Z209" i="9"/>
  <c r="S209" i="9" a="1"/>
  <c r="S209" i="9" s="1"/>
  <c r="AC209" i="9" s="1"/>
  <c r="W209" i="9" a="1"/>
  <c r="W209" i="9" s="1"/>
  <c r="Y209" i="9" a="1"/>
  <c r="Y209" i="9" s="1"/>
  <c r="AB209" i="9" a="1"/>
  <c r="AB209" i="9" s="1"/>
  <c r="U209" i="9" a="1"/>
  <c r="U209" i="9" s="1"/>
  <c r="Y194" i="9" a="1"/>
  <c r="Y194" i="9" s="1"/>
  <c r="U194" i="9" a="1"/>
  <c r="U194" i="9" s="1"/>
  <c r="T194" i="9" a="1"/>
  <c r="T194" i="9" s="1"/>
  <c r="X194" i="9" a="1"/>
  <c r="X194" i="9" s="1"/>
  <c r="Z194" i="9"/>
  <c r="V194" i="9" a="1"/>
  <c r="V194" i="9" s="1"/>
  <c r="S194" i="9" a="1"/>
  <c r="S194" i="9" s="1"/>
  <c r="AC194" i="9" s="1"/>
  <c r="W194" i="9" a="1"/>
  <c r="W194" i="9" s="1"/>
  <c r="AB194" i="9" a="1"/>
  <c r="AB194" i="9" s="1"/>
  <c r="V212" i="9" a="1"/>
  <c r="V212" i="9" s="1"/>
  <c r="X212" i="9" a="1"/>
  <c r="X212" i="9" s="1"/>
  <c r="T212" i="9" a="1"/>
  <c r="T212" i="9" s="1"/>
  <c r="U212" i="9" a="1"/>
  <c r="U212" i="9" s="1"/>
  <c r="Y212" i="9" a="1"/>
  <c r="Y212" i="9" s="1"/>
  <c r="Z212" i="9"/>
  <c r="S212" i="9" a="1"/>
  <c r="S212" i="9" s="1"/>
  <c r="AC212" i="9" s="1"/>
  <c r="W212" i="9" a="1"/>
  <c r="W212" i="9" s="1"/>
  <c r="AB212" i="9" a="1"/>
  <c r="AB212" i="9" s="1"/>
  <c r="AB78" i="9" a="1"/>
  <c r="AB78" i="9" s="1"/>
  <c r="S78" i="9" a="1"/>
  <c r="S78" i="9" s="1"/>
  <c r="AC78" i="9" s="1"/>
  <c r="T78" i="9" a="1"/>
  <c r="T78" i="9" s="1"/>
  <c r="V78" i="9" a="1"/>
  <c r="V78" i="9" s="1"/>
  <c r="W78" i="9" a="1"/>
  <c r="W78" i="9" s="1"/>
  <c r="Y78" i="9" a="1"/>
  <c r="Y78" i="9" s="1"/>
  <c r="X78" i="9" a="1"/>
  <c r="X78" i="9" s="1"/>
  <c r="Z78" i="9"/>
  <c r="U78" i="9" a="1"/>
  <c r="U78" i="9" s="1"/>
  <c r="Y96" i="9" a="1"/>
  <c r="Y96" i="9" s="1"/>
  <c r="Z96" i="9"/>
  <c r="U96" i="9" a="1"/>
  <c r="U96" i="9" s="1"/>
  <c r="T96" i="9" a="1"/>
  <c r="T96" i="9" s="1"/>
  <c r="X96" i="9" a="1"/>
  <c r="X96" i="9" s="1"/>
  <c r="V96" i="9" a="1"/>
  <c r="V96" i="9" s="1"/>
  <c r="S96" i="9" a="1"/>
  <c r="S96" i="9" s="1"/>
  <c r="AC96" i="9" s="1"/>
  <c r="W96" i="9" a="1"/>
  <c r="W96" i="9" s="1"/>
  <c r="AB96" i="9" a="1"/>
  <c r="AB96" i="9" s="1"/>
  <c r="S101" i="9" a="1"/>
  <c r="S101" i="9" s="1"/>
  <c r="AC101" i="9" s="1"/>
  <c r="AB101" i="9" a="1"/>
  <c r="AB101" i="9" s="1"/>
  <c r="U101" i="9" a="1"/>
  <c r="U101" i="9" s="1"/>
  <c r="V101" i="9" a="1"/>
  <c r="V101" i="9" s="1"/>
  <c r="W101" i="9" a="1"/>
  <c r="W101" i="9" s="1"/>
  <c r="Y101" i="9" a="1"/>
  <c r="Y101" i="9" s="1"/>
  <c r="T101" i="9" a="1"/>
  <c r="T101" i="9" s="1"/>
  <c r="X101" i="9" a="1"/>
  <c r="X101" i="9" s="1"/>
  <c r="Z101" i="9"/>
  <c r="W125" i="9" a="1"/>
  <c r="W125" i="9" s="1"/>
  <c r="Y125" i="9" a="1"/>
  <c r="Y125" i="9" s="1"/>
  <c r="S125" i="9" a="1"/>
  <c r="S125" i="9" s="1"/>
  <c r="AC125" i="9" s="1"/>
  <c r="AB125" i="9" a="1"/>
  <c r="AB125" i="9" s="1"/>
  <c r="U125" i="9" a="1"/>
  <c r="U125" i="9" s="1"/>
  <c r="V125" i="9" a="1"/>
  <c r="V125" i="9" s="1"/>
  <c r="T125" i="9" a="1"/>
  <c r="T125" i="9" s="1"/>
  <c r="X125" i="9" a="1"/>
  <c r="X125" i="9" s="1"/>
  <c r="Z125" i="9"/>
  <c r="W159" i="9" a="1"/>
  <c r="W159" i="9" s="1"/>
  <c r="Y159" i="9" a="1"/>
  <c r="Y159" i="9" s="1"/>
  <c r="V159" i="9" a="1"/>
  <c r="V159" i="9" s="1"/>
  <c r="AB159" i="9" a="1"/>
  <c r="AB159" i="9" s="1"/>
  <c r="S159" i="9" a="1"/>
  <c r="S159" i="9" s="1"/>
  <c r="AC159" i="9" s="1"/>
  <c r="X159" i="9" a="1"/>
  <c r="X159" i="9" s="1"/>
  <c r="T159" i="9" a="1"/>
  <c r="T159" i="9" s="1"/>
  <c r="U159" i="9" a="1"/>
  <c r="U159" i="9" s="1"/>
  <c r="Z159" i="9"/>
  <c r="X183" i="9" a="1"/>
  <c r="X183" i="9" s="1"/>
  <c r="W183" i="9" a="1"/>
  <c r="W183" i="9" s="1"/>
  <c r="Y183" i="9" a="1"/>
  <c r="Y183" i="9" s="1"/>
  <c r="Z183" i="9"/>
  <c r="S183" i="9" a="1"/>
  <c r="S183" i="9" s="1"/>
  <c r="AC183" i="9" s="1"/>
  <c r="AB183" i="9" a="1"/>
  <c r="AB183" i="9" s="1"/>
  <c r="T183" i="9" a="1"/>
  <c r="T183" i="9" s="1"/>
  <c r="V183" i="9" a="1"/>
  <c r="V183" i="9" s="1"/>
  <c r="U183" i="9" a="1"/>
  <c r="U183" i="9" s="1"/>
  <c r="U241" i="9" a="1"/>
  <c r="U241" i="9" s="1"/>
  <c r="Y241" i="9" a="1"/>
  <c r="Y241" i="9" s="1"/>
  <c r="Z241" i="9"/>
  <c r="AB241" i="9" a="1"/>
  <c r="AB241" i="9" s="1"/>
  <c r="V241" i="9" a="1"/>
  <c r="V241" i="9" s="1"/>
  <c r="W241" i="9" a="1"/>
  <c r="W241" i="9" s="1"/>
  <c r="S241" i="9" a="1"/>
  <c r="S241" i="9" s="1"/>
  <c r="AC241" i="9" s="1"/>
  <c r="T241" i="9" a="1"/>
  <c r="T241" i="9" s="1"/>
  <c r="X241" i="9" a="1"/>
  <c r="X241" i="9" s="1"/>
  <c r="T110" i="9" a="1"/>
  <c r="T110" i="9" s="1"/>
  <c r="X110" i="9" a="1"/>
  <c r="X110" i="9" s="1"/>
  <c r="Z110" i="9"/>
  <c r="S110" i="9" a="1"/>
  <c r="S110" i="9" s="1"/>
  <c r="AC110" i="9" s="1"/>
  <c r="W110" i="9" a="1"/>
  <c r="W110" i="9" s="1"/>
  <c r="Y110" i="9" a="1"/>
  <c r="Y110" i="9" s="1"/>
  <c r="AB110" i="9" a="1"/>
  <c r="AB110" i="9" s="1"/>
  <c r="U110" i="9" a="1"/>
  <c r="U110" i="9" s="1"/>
  <c r="V110" i="9" a="1"/>
  <c r="V110" i="9" s="1"/>
  <c r="Z138" i="9"/>
  <c r="V138" i="9" a="1"/>
  <c r="V138" i="9" s="1"/>
  <c r="U138" i="9" a="1"/>
  <c r="U138" i="9" s="1"/>
  <c r="Y138" i="9" a="1"/>
  <c r="Y138" i="9" s="1"/>
  <c r="S138" i="9" a="1"/>
  <c r="S138" i="9" s="1"/>
  <c r="AC138" i="9" s="1"/>
  <c r="W138" i="9" a="1"/>
  <c r="W138" i="9" s="1"/>
  <c r="AB138" i="9" a="1"/>
  <c r="AB138" i="9" s="1"/>
  <c r="T138" i="9" a="1"/>
  <c r="T138" i="9" s="1"/>
  <c r="X138" i="9" a="1"/>
  <c r="X138" i="9" s="1"/>
  <c r="T239" i="9" a="1"/>
  <c r="T239" i="9" s="1"/>
  <c r="V239" i="9" a="1"/>
  <c r="V239" i="9" s="1"/>
  <c r="X239" i="9" a="1"/>
  <c r="X239" i="9" s="1"/>
  <c r="S239" i="9" a="1"/>
  <c r="S239" i="9" s="1"/>
  <c r="AC239" i="9" s="1"/>
  <c r="Z239" i="9"/>
  <c r="AB239" i="9" a="1"/>
  <c r="AB239" i="9" s="1"/>
  <c r="W239" i="9" a="1"/>
  <c r="W239" i="9" s="1"/>
  <c r="Y239" i="9" a="1"/>
  <c r="Y239" i="9" s="1"/>
  <c r="U239" i="9" a="1"/>
  <c r="U239" i="9" s="1"/>
  <c r="Y109" i="9" a="1"/>
  <c r="Y109" i="9" s="1"/>
  <c r="S109" i="9" a="1"/>
  <c r="S109" i="9" s="1"/>
  <c r="AC109" i="9" s="1"/>
  <c r="AB109" i="9" a="1"/>
  <c r="AB109" i="9" s="1"/>
  <c r="U109" i="9" a="1"/>
  <c r="U109" i="9" s="1"/>
  <c r="V109" i="9" a="1"/>
  <c r="V109" i="9" s="1"/>
  <c r="W109" i="9" a="1"/>
  <c r="W109" i="9" s="1"/>
  <c r="T109" i="9" a="1"/>
  <c r="T109" i="9" s="1"/>
  <c r="X109" i="9" a="1"/>
  <c r="X109" i="9" s="1"/>
  <c r="Z109" i="9"/>
  <c r="AB152" i="9" a="1"/>
  <c r="AB152" i="9" s="1"/>
  <c r="W152" i="9" a="1"/>
  <c r="W152" i="9" s="1"/>
  <c r="Y152" i="9" a="1"/>
  <c r="Y152" i="9" s="1"/>
  <c r="S152" i="9" a="1"/>
  <c r="S152" i="9" s="1"/>
  <c r="AC152" i="9" s="1"/>
  <c r="T152" i="9" a="1"/>
  <c r="T152" i="9" s="1"/>
  <c r="X152" i="9" a="1"/>
  <c r="X152" i="9" s="1"/>
  <c r="U152" i="9" a="1"/>
  <c r="U152" i="9" s="1"/>
  <c r="Z152" i="9"/>
  <c r="V152" i="9" a="1"/>
  <c r="V152" i="9" s="1"/>
  <c r="T166" i="9" a="1"/>
  <c r="T166" i="9" s="1"/>
  <c r="Y166" i="9" a="1"/>
  <c r="Y166" i="9" s="1"/>
  <c r="U166" i="9" a="1"/>
  <c r="U166" i="9" s="1"/>
  <c r="AB166" i="9" a="1"/>
  <c r="AB166" i="9" s="1"/>
  <c r="V166" i="9" a="1"/>
  <c r="V166" i="9" s="1"/>
  <c r="W166" i="9" a="1"/>
  <c r="W166" i="9" s="1"/>
  <c r="S166" i="9" a="1"/>
  <c r="S166" i="9" s="1"/>
  <c r="AC166" i="9" s="1"/>
  <c r="X166" i="9" a="1"/>
  <c r="X166" i="9" s="1"/>
  <c r="Z166" i="9"/>
  <c r="W242" i="9" a="1"/>
  <c r="W242" i="9" s="1"/>
  <c r="Y242" i="9" a="1"/>
  <c r="Y242" i="9" s="1"/>
  <c r="U242" i="9" a="1"/>
  <c r="U242" i="9" s="1"/>
  <c r="T242" i="9" a="1"/>
  <c r="T242" i="9" s="1"/>
  <c r="V242" i="9" a="1"/>
  <c r="V242" i="9" s="1"/>
  <c r="AB242" i="9" a="1"/>
  <c r="AB242" i="9" s="1"/>
  <c r="S242" i="9" a="1"/>
  <c r="S242" i="9" s="1"/>
  <c r="AC242" i="9" s="1"/>
  <c r="X242" i="9" a="1"/>
  <c r="X242" i="9" s="1"/>
  <c r="Z242" i="9"/>
  <c r="U208" i="9" a="1"/>
  <c r="U208" i="9" s="1"/>
  <c r="S208" i="9" a="1"/>
  <c r="S208" i="9" s="1"/>
  <c r="AC208" i="9" s="1"/>
  <c r="AB208" i="9" a="1"/>
  <c r="AB208" i="9" s="1"/>
  <c r="W208" i="9" a="1"/>
  <c r="W208" i="9" s="1"/>
  <c r="Y208" i="9" a="1"/>
  <c r="Y208" i="9" s="1"/>
  <c r="Z208" i="9"/>
  <c r="V208" i="9" a="1"/>
  <c r="V208" i="9" s="1"/>
  <c r="T208" i="9" a="1"/>
  <c r="T208" i="9" s="1"/>
  <c r="X208" i="9" a="1"/>
  <c r="X208" i="9" s="1"/>
  <c r="V231" i="9" a="1"/>
  <c r="V231" i="9" s="1"/>
  <c r="Z231" i="9"/>
  <c r="U231" i="9" a="1"/>
  <c r="U231" i="9" s="1"/>
  <c r="Y231" i="9" a="1"/>
  <c r="Y231" i="9" s="1"/>
  <c r="S231" i="9" a="1"/>
  <c r="S231" i="9" s="1"/>
  <c r="AC231" i="9" s="1"/>
  <c r="W231" i="9" a="1"/>
  <c r="W231" i="9" s="1"/>
  <c r="AB231" i="9" a="1"/>
  <c r="AB231" i="9" s="1"/>
  <c r="T231" i="9" a="1"/>
  <c r="T231" i="9" s="1"/>
  <c r="X231" i="9" a="1"/>
  <c r="X231" i="9" s="1"/>
  <c r="V51" i="9" a="1"/>
  <c r="V51" i="9" s="1"/>
  <c r="Z51" i="9"/>
  <c r="S51" i="9" a="1"/>
  <c r="S51" i="9" s="1"/>
  <c r="AC51" i="9" s="1"/>
  <c r="W51" i="9" a="1"/>
  <c r="W51" i="9" s="1"/>
  <c r="Y51" i="9" a="1"/>
  <c r="Y51" i="9" s="1"/>
  <c r="AB51" i="9" a="1"/>
  <c r="AB51" i="9" s="1"/>
  <c r="T51" i="9" a="1"/>
  <c r="T51" i="9" s="1"/>
  <c r="X51" i="9" a="1"/>
  <c r="X51" i="9" s="1"/>
  <c r="U51" i="9" a="1"/>
  <c r="U51" i="9" s="1"/>
  <c r="S206" i="9" a="1"/>
  <c r="S206" i="9" s="1"/>
  <c r="AC206" i="9" s="1"/>
  <c r="AB206" i="9" a="1"/>
  <c r="AB206" i="9" s="1"/>
  <c r="Z206" i="9"/>
  <c r="U206" i="9" a="1"/>
  <c r="U206" i="9" s="1"/>
  <c r="W206" i="9" a="1"/>
  <c r="W206" i="9" s="1"/>
  <c r="Y206" i="9" a="1"/>
  <c r="Y206" i="9" s="1"/>
  <c r="T206" i="9" a="1"/>
  <c r="T206" i="9" s="1"/>
  <c r="X206" i="9" a="1"/>
  <c r="X206" i="9" s="1"/>
  <c r="V206" i="9" a="1"/>
  <c r="V206" i="9" s="1"/>
  <c r="S108" i="9" a="1"/>
  <c r="S108" i="9" s="1"/>
  <c r="AC108" i="9" s="1"/>
  <c r="AB108" i="9" a="1"/>
  <c r="AB108" i="9" s="1"/>
  <c r="W108" i="9" a="1"/>
  <c r="W108" i="9" s="1"/>
  <c r="Y108" i="9" a="1"/>
  <c r="Y108" i="9" s="1"/>
  <c r="Z108" i="9"/>
  <c r="V108" i="9" a="1"/>
  <c r="V108" i="9" s="1"/>
  <c r="T108" i="9" a="1"/>
  <c r="T108" i="9" s="1"/>
  <c r="X108" i="9" a="1"/>
  <c r="X108" i="9" s="1"/>
  <c r="U108" i="9" a="1"/>
  <c r="U108" i="9" s="1"/>
  <c r="V247" i="9" a="1"/>
  <c r="V247" i="9" s="1"/>
  <c r="Y247" i="9" a="1"/>
  <c r="Y247" i="9" s="1"/>
  <c r="S247" i="9" a="1"/>
  <c r="S247" i="9" s="1"/>
  <c r="AC247" i="9" s="1"/>
  <c r="AB247" i="9" a="1"/>
  <c r="AB247" i="9" s="1"/>
  <c r="U247" i="9" a="1"/>
  <c r="U247" i="9" s="1"/>
  <c r="W247" i="9" a="1"/>
  <c r="W247" i="9" s="1"/>
  <c r="T247" i="9" a="1"/>
  <c r="T247" i="9" s="1"/>
  <c r="X247" i="9" a="1"/>
  <c r="X247" i="9" s="1"/>
  <c r="Z247" i="9"/>
  <c r="Y77" i="9" a="1"/>
  <c r="Y77" i="9" s="1"/>
  <c r="Z77" i="9"/>
  <c r="U77" i="9" a="1"/>
  <c r="U77" i="9" s="1"/>
  <c r="V77" i="9" a="1"/>
  <c r="V77" i="9" s="1"/>
  <c r="S77" i="9" a="1"/>
  <c r="S77" i="9" s="1"/>
  <c r="AC77" i="9" s="1"/>
  <c r="W77" i="9" a="1"/>
  <c r="W77" i="9" s="1"/>
  <c r="AB77" i="9" a="1"/>
  <c r="AB77" i="9" s="1"/>
  <c r="T77" i="9" a="1"/>
  <c r="T77" i="9" s="1"/>
  <c r="X77" i="9" a="1"/>
  <c r="X77" i="9" s="1"/>
  <c r="W197" i="9" a="1"/>
  <c r="W197" i="9" s="1"/>
  <c r="Y197" i="9" a="1"/>
  <c r="Y197" i="9" s="1"/>
  <c r="V197" i="9" a="1"/>
  <c r="V197" i="9" s="1"/>
  <c r="AB197" i="9" a="1"/>
  <c r="AB197" i="9" s="1"/>
  <c r="X197" i="9" a="1"/>
  <c r="X197" i="9" s="1"/>
  <c r="S197" i="9" a="1"/>
  <c r="S197" i="9" s="1"/>
  <c r="AC197" i="9" s="1"/>
  <c r="T197" i="9" a="1"/>
  <c r="T197" i="9" s="1"/>
  <c r="U197" i="9" a="1"/>
  <c r="U197" i="9" s="1"/>
  <c r="Z197" i="9"/>
  <c r="T195" i="9" a="1"/>
  <c r="T195" i="9" s="1"/>
  <c r="X195" i="9" a="1"/>
  <c r="X195" i="9" s="1"/>
  <c r="S195" i="9" a="1"/>
  <c r="S195" i="9" s="1"/>
  <c r="AC195" i="9" s="1"/>
  <c r="Y195" i="9" a="1"/>
  <c r="Y195" i="9" s="1"/>
  <c r="U195" i="9" a="1"/>
  <c r="U195" i="9" s="1"/>
  <c r="V195" i="9" a="1"/>
  <c r="V195" i="9" s="1"/>
  <c r="AB195" i="9" a="1"/>
  <c r="AB195" i="9" s="1"/>
  <c r="W195" i="9" a="1"/>
  <c r="W195" i="9" s="1"/>
  <c r="Z195" i="9"/>
  <c r="T226" i="9" a="1"/>
  <c r="T226" i="9" s="1"/>
  <c r="V226" i="9" a="1"/>
  <c r="V226" i="9" s="1"/>
  <c r="X226" i="9" a="1"/>
  <c r="X226" i="9" s="1"/>
  <c r="Z226" i="9"/>
  <c r="S226" i="9" a="1"/>
  <c r="S226" i="9" s="1"/>
  <c r="AC226" i="9" s="1"/>
  <c r="W226" i="9" a="1"/>
  <c r="W226" i="9" s="1"/>
  <c r="Y226" i="9" a="1"/>
  <c r="Y226" i="9" s="1"/>
  <c r="AB226" i="9" a="1"/>
  <c r="AB226" i="9" s="1"/>
  <c r="U226" i="9" a="1"/>
  <c r="U226" i="9" s="1"/>
  <c r="V93" i="9" a="1"/>
  <c r="V93" i="9" s="1"/>
  <c r="X93" i="9" a="1"/>
  <c r="X93" i="9" s="1"/>
  <c r="S93" i="9" a="1"/>
  <c r="S93" i="9" s="1"/>
  <c r="AC93" i="9" s="1"/>
  <c r="Y93" i="9" a="1"/>
  <c r="Y93" i="9" s="1"/>
  <c r="T93" i="9" a="1"/>
  <c r="T93" i="9" s="1"/>
  <c r="AB93" i="9" a="1"/>
  <c r="AB93" i="9" s="1"/>
  <c r="U93" i="9" a="1"/>
  <c r="U93" i="9" s="1"/>
  <c r="W93" i="9" a="1"/>
  <c r="W93" i="9" s="1"/>
  <c r="Z93" i="9"/>
  <c r="Y265" i="9" a="1"/>
  <c r="Y265" i="9" s="1"/>
  <c r="Z265" i="9"/>
  <c r="S265" i="9" a="1"/>
  <c r="S265" i="9" s="1"/>
  <c r="AC265" i="9" s="1"/>
  <c r="AB265" i="9" a="1"/>
  <c r="AB265" i="9" s="1"/>
  <c r="U265" i="9" a="1"/>
  <c r="U265" i="9" s="1"/>
  <c r="W265" i="9" a="1"/>
  <c r="W265" i="9" s="1"/>
  <c r="V265" i="9" a="1"/>
  <c r="V265" i="9" s="1"/>
  <c r="T265" i="9" a="1"/>
  <c r="T265" i="9" s="1"/>
  <c r="X265" i="9" a="1"/>
  <c r="X265" i="9" s="1"/>
  <c r="W140" i="9" a="1"/>
  <c r="W140" i="9" s="1"/>
  <c r="Y140" i="9" a="1"/>
  <c r="Y140" i="9" s="1"/>
  <c r="Z140" i="9"/>
  <c r="S140" i="9" a="1"/>
  <c r="S140" i="9" s="1"/>
  <c r="AC140" i="9" s="1"/>
  <c r="AB140" i="9" a="1"/>
  <c r="AB140" i="9" s="1"/>
  <c r="V140" i="9" a="1"/>
  <c r="V140" i="9" s="1"/>
  <c r="T140" i="9" a="1"/>
  <c r="T140" i="9" s="1"/>
  <c r="X140" i="9" a="1"/>
  <c r="X140" i="9" s="1"/>
  <c r="U140" i="9" a="1"/>
  <c r="U140" i="9" s="1"/>
  <c r="V92" i="9" a="1"/>
  <c r="V92" i="9" s="1"/>
  <c r="Z92" i="9"/>
  <c r="AB92" i="9" a="1"/>
  <c r="AB92" i="9" s="1"/>
  <c r="W92" i="9" a="1"/>
  <c r="W92" i="9" s="1"/>
  <c r="Y92" i="9" a="1"/>
  <c r="Y92" i="9" s="1"/>
  <c r="S92" i="9" a="1"/>
  <c r="S92" i="9" s="1"/>
  <c r="AC92" i="9" s="1"/>
  <c r="T92" i="9" a="1"/>
  <c r="T92" i="9" s="1"/>
  <c r="X92" i="9" a="1"/>
  <c r="X92" i="9" s="1"/>
  <c r="U92" i="9" a="1"/>
  <c r="U92" i="9" s="1"/>
  <c r="T260" i="9" a="1"/>
  <c r="T260" i="9" s="1"/>
  <c r="Z260" i="9"/>
  <c r="Y260" i="9" a="1"/>
  <c r="Y260" i="9" s="1"/>
  <c r="U260" i="9" a="1"/>
  <c r="U260" i="9" s="1"/>
  <c r="X260" i="9" a="1"/>
  <c r="X260" i="9" s="1"/>
  <c r="V260" i="9" a="1"/>
  <c r="V260" i="9" s="1"/>
  <c r="S260" i="9" a="1"/>
  <c r="S260" i="9" s="1"/>
  <c r="AC260" i="9" s="1"/>
  <c r="W260" i="9" a="1"/>
  <c r="W260" i="9" s="1"/>
  <c r="AB260" i="9" a="1"/>
  <c r="AB260" i="9" s="1"/>
  <c r="AB158" i="9" a="1"/>
  <c r="AB158" i="9" s="1"/>
  <c r="V158" i="9" a="1"/>
  <c r="V158" i="9" s="1"/>
  <c r="W158" i="9" a="1"/>
  <c r="W158" i="9" s="1"/>
  <c r="Y158" i="9" a="1"/>
  <c r="Y158" i="9" s="1"/>
  <c r="S158" i="9" a="1"/>
  <c r="S158" i="9" s="1"/>
  <c r="AC158" i="9" s="1"/>
  <c r="X158" i="9" a="1"/>
  <c r="X158" i="9" s="1"/>
  <c r="T158" i="9" a="1"/>
  <c r="T158" i="9" s="1"/>
  <c r="U158" i="9" a="1"/>
  <c r="U158" i="9" s="1"/>
  <c r="Z158" i="9"/>
  <c r="Y164" i="9" a="1"/>
  <c r="Y164" i="9" s="1"/>
  <c r="T164" i="9" a="1"/>
  <c r="T164" i="9" s="1"/>
  <c r="U164" i="9" a="1"/>
  <c r="U164" i="9" s="1"/>
  <c r="Z164" i="9"/>
  <c r="V164" i="9" a="1"/>
  <c r="V164" i="9" s="1"/>
  <c r="AB164" i="9" a="1"/>
  <c r="AB164" i="9" s="1"/>
  <c r="W164" i="9" a="1"/>
  <c r="W164" i="9" s="1"/>
  <c r="S164" i="9" a="1"/>
  <c r="S164" i="9" s="1"/>
  <c r="AC164" i="9" s="1"/>
  <c r="X164" i="9" a="1"/>
  <c r="X164" i="9" s="1"/>
  <c r="AB187" i="9" a="1"/>
  <c r="AB187" i="9" s="1"/>
  <c r="S187" i="9" a="1"/>
  <c r="S187" i="9" s="1"/>
  <c r="AC187" i="9" s="1"/>
  <c r="V187" i="9" a="1"/>
  <c r="V187" i="9" s="1"/>
  <c r="W187" i="9" a="1"/>
  <c r="W187" i="9" s="1"/>
  <c r="Y187" i="9" a="1"/>
  <c r="Y187" i="9" s="1"/>
  <c r="Z187" i="9"/>
  <c r="U187" i="9" a="1"/>
  <c r="U187" i="9" s="1"/>
  <c r="T187" i="9" a="1"/>
  <c r="T187" i="9" s="1"/>
  <c r="X187" i="9" a="1"/>
  <c r="X187" i="9" s="1"/>
  <c r="AB63" i="9" a="1"/>
  <c r="AB63" i="9" s="1"/>
  <c r="V63" i="9" a="1"/>
  <c r="V63" i="9" s="1"/>
  <c r="W63" i="9" a="1"/>
  <c r="W63" i="9" s="1"/>
  <c r="Y63" i="9" a="1"/>
  <c r="Y63" i="9" s="1"/>
  <c r="S63" i="9" a="1"/>
  <c r="S63" i="9" s="1"/>
  <c r="AC63" i="9" s="1"/>
  <c r="U63" i="9" a="1"/>
  <c r="U63" i="9" s="1"/>
  <c r="Z63" i="9"/>
  <c r="T63" i="9" a="1"/>
  <c r="T63" i="9" s="1"/>
  <c r="X63" i="9" a="1"/>
  <c r="X63" i="9" s="1"/>
  <c r="AB62" i="9" a="1"/>
  <c r="AB62" i="9" s="1"/>
  <c r="V62" i="9" a="1"/>
  <c r="V62" i="9" s="1"/>
  <c r="W62" i="9" a="1"/>
  <c r="W62" i="9" s="1"/>
  <c r="Y62" i="9" a="1"/>
  <c r="Y62" i="9" s="1"/>
  <c r="S62" i="9" a="1"/>
  <c r="S62" i="9" s="1"/>
  <c r="AC62" i="9" s="1"/>
  <c r="X62" i="9" a="1"/>
  <c r="X62" i="9" s="1"/>
  <c r="T62" i="9" a="1"/>
  <c r="T62" i="9" s="1"/>
  <c r="U62" i="9" a="1"/>
  <c r="U62" i="9" s="1"/>
  <c r="Z62" i="9"/>
  <c r="S216" i="9" a="1"/>
  <c r="S216" i="9" s="1"/>
  <c r="AC216" i="9" s="1"/>
  <c r="AB216" i="9" a="1"/>
  <c r="AB216" i="9" s="1"/>
  <c r="U216" i="9" a="1"/>
  <c r="U216" i="9" s="1"/>
  <c r="W216" i="9" a="1"/>
  <c r="W216" i="9" s="1"/>
  <c r="Y216" i="9" a="1"/>
  <c r="Y216" i="9" s="1"/>
  <c r="T216" i="9" a="1"/>
  <c r="T216" i="9" s="1"/>
  <c r="X216" i="9" a="1"/>
  <c r="X216" i="9" s="1"/>
  <c r="Z216" i="9"/>
  <c r="V216" i="9" a="1"/>
  <c r="V216" i="9" s="1"/>
  <c r="Z167" i="9"/>
  <c r="T167" i="9" a="1"/>
  <c r="T167" i="9" s="1"/>
  <c r="Y167" i="9" a="1"/>
  <c r="Y167" i="9" s="1"/>
  <c r="U167" i="9" a="1"/>
  <c r="U167" i="9" s="1"/>
  <c r="AB167" i="9" a="1"/>
  <c r="AB167" i="9" s="1"/>
  <c r="V167" i="9" a="1"/>
  <c r="V167" i="9" s="1"/>
  <c r="W167" i="9" a="1"/>
  <c r="W167" i="9" s="1"/>
  <c r="X167" i="9" a="1"/>
  <c r="X167" i="9" s="1"/>
  <c r="S167" i="9" a="1"/>
  <c r="S167" i="9" s="1"/>
  <c r="AC167" i="9" s="1"/>
  <c r="U178" i="9" a="1"/>
  <c r="U178" i="9" s="1"/>
  <c r="AB178" i="9" a="1"/>
  <c r="AB178" i="9" s="1"/>
  <c r="V178" i="9" a="1"/>
  <c r="V178" i="9" s="1"/>
  <c r="W178" i="9" a="1"/>
  <c r="W178" i="9" s="1"/>
  <c r="Y178" i="9" a="1"/>
  <c r="Y178" i="9" s="1"/>
  <c r="S178" i="9" a="1"/>
  <c r="S178" i="9" s="1"/>
  <c r="AC178" i="9" s="1"/>
  <c r="T178" i="9" a="1"/>
  <c r="T178" i="9" s="1"/>
  <c r="X178" i="9" a="1"/>
  <c r="X178" i="9" s="1"/>
  <c r="Z178" i="9"/>
  <c r="W186" i="9" a="1"/>
  <c r="W186" i="9" s="1"/>
  <c r="Y186" i="9" a="1"/>
  <c r="Y186" i="9" s="1"/>
  <c r="V186" i="9" a="1"/>
  <c r="V186" i="9" s="1"/>
  <c r="S186" i="9" a="1"/>
  <c r="S186" i="9" s="1"/>
  <c r="AC186" i="9" s="1"/>
  <c r="AB186" i="9" a="1"/>
  <c r="AB186" i="9" s="1"/>
  <c r="U186" i="9" a="1"/>
  <c r="U186" i="9" s="1"/>
  <c r="T186" i="9" a="1"/>
  <c r="T186" i="9" s="1"/>
  <c r="X186" i="9" a="1"/>
  <c r="X186" i="9" s="1"/>
  <c r="Z186" i="9"/>
  <c r="V99" i="9" a="1"/>
  <c r="V99" i="9" s="1"/>
  <c r="U99" i="9" a="1"/>
  <c r="U99" i="9" s="1"/>
  <c r="AB99" i="9" a="1"/>
  <c r="AB99" i="9" s="1"/>
  <c r="W99" i="9" a="1"/>
  <c r="W99" i="9" s="1"/>
  <c r="Y99" i="9" a="1"/>
  <c r="Y99" i="9" s="1"/>
  <c r="X99" i="9" a="1"/>
  <c r="X99" i="9" s="1"/>
  <c r="S99" i="9" a="1"/>
  <c r="S99" i="9" s="1"/>
  <c r="AC99" i="9" s="1"/>
  <c r="T99" i="9" a="1"/>
  <c r="T99" i="9" s="1"/>
  <c r="Z99" i="9"/>
  <c r="X127" i="9" a="1"/>
  <c r="X127" i="9" s="1"/>
  <c r="W127" i="9" a="1"/>
  <c r="W127" i="9" s="1"/>
  <c r="Y127" i="9" a="1"/>
  <c r="Y127" i="9" s="1"/>
  <c r="S127" i="9" a="1"/>
  <c r="S127" i="9" s="1"/>
  <c r="AC127" i="9" s="1"/>
  <c r="AB127" i="9" a="1"/>
  <c r="AB127" i="9" s="1"/>
  <c r="T127" i="9" a="1"/>
  <c r="T127" i="9" s="1"/>
  <c r="V127" i="9" a="1"/>
  <c r="V127" i="9" s="1"/>
  <c r="U127" i="9" a="1"/>
  <c r="U127" i="9" s="1"/>
  <c r="Z127" i="9"/>
  <c r="V198" i="9" a="1"/>
  <c r="V198" i="9" s="1"/>
  <c r="W198" i="9" a="1"/>
  <c r="W198" i="9" s="1"/>
  <c r="Y198" i="9" a="1"/>
  <c r="Y198" i="9" s="1"/>
  <c r="AB198" i="9" a="1"/>
  <c r="AB198" i="9" s="1"/>
  <c r="S198" i="9" a="1"/>
  <c r="S198" i="9" s="1"/>
  <c r="AC198" i="9" s="1"/>
  <c r="X198" i="9" a="1"/>
  <c r="X198" i="9" s="1"/>
  <c r="T198" i="9" a="1"/>
  <c r="T198" i="9" s="1"/>
  <c r="Z198" i="9"/>
  <c r="U198" i="9" a="1"/>
  <c r="U198" i="9" s="1"/>
  <c r="V131" i="9" a="1"/>
  <c r="V131" i="9" s="1"/>
  <c r="U131" i="9" a="1"/>
  <c r="U131" i="9" s="1"/>
  <c r="X131" i="9" a="1"/>
  <c r="X131" i="9" s="1"/>
  <c r="Y131" i="9" a="1"/>
  <c r="Y131" i="9" s="1"/>
  <c r="T131" i="9" a="1"/>
  <c r="T131" i="9" s="1"/>
  <c r="Z131" i="9"/>
  <c r="S131" i="9" a="1"/>
  <c r="S131" i="9" s="1"/>
  <c r="AC131" i="9" s="1"/>
  <c r="W131" i="9" a="1"/>
  <c r="W131" i="9" s="1"/>
  <c r="AB131" i="9" a="1"/>
  <c r="AB131" i="9" s="1"/>
  <c r="CV9" i="10" a="1"/>
  <c r="CF41" i="10" l="1"/>
  <c r="CF47" i="10" a="1"/>
  <c r="CF47" i="10" s="1"/>
  <c r="AA94" i="9"/>
  <c r="AA240" i="9"/>
  <c r="AA80" i="9"/>
  <c r="AA78" i="9"/>
  <c r="AA91" i="9"/>
  <c r="CJ43" i="10" a="1"/>
  <c r="CJ43" i="10" s="1"/>
  <c r="AA77" i="9"/>
  <c r="AA231" i="9"/>
  <c r="AA265" i="9"/>
  <c r="AA155" i="9"/>
  <c r="CG42" i="10" a="1"/>
  <c r="CG42" i="10" s="1"/>
  <c r="CG43" i="10" s="1" a="1"/>
  <c r="CG43" i="10" s="1"/>
  <c r="AA62" i="9"/>
  <c r="AA159" i="9"/>
  <c r="AA248" i="9"/>
  <c r="AA139" i="9"/>
  <c r="AA79" i="9"/>
  <c r="CJ44" i="10" a="1"/>
  <c r="CJ44" i="10" s="1"/>
  <c r="AA93" i="9"/>
  <c r="AA212" i="9"/>
  <c r="AA71" i="9"/>
  <c r="AA211" i="9"/>
  <c r="CH46" i="10" a="1"/>
  <c r="CH46" i="10" s="1"/>
  <c r="CK41" i="10" a="1"/>
  <c r="CK41" i="10" s="1"/>
  <c r="CG44" i="10" a="1"/>
  <c r="CG44" i="10" s="1"/>
  <c r="CJ47" i="10" a="1"/>
  <c r="CJ47" i="10" s="1"/>
  <c r="AA74" i="9"/>
  <c r="AA144" i="9"/>
  <c r="AA132" i="9"/>
  <c r="AA128" i="9"/>
  <c r="AA197" i="9"/>
  <c r="AA53" i="9"/>
  <c r="CJ46" i="10" a="1"/>
  <c r="CJ46" i="10" s="1"/>
  <c r="AA233" i="9"/>
  <c r="AA140" i="9"/>
  <c r="AA87" i="9"/>
  <c r="AA99" i="9"/>
  <c r="AA226" i="9"/>
  <c r="AA195" i="9"/>
  <c r="AA148" i="9"/>
  <c r="AA131" i="9"/>
  <c r="AA125" i="9"/>
  <c r="AA76" i="9"/>
  <c r="AA143" i="9"/>
  <c r="AA117" i="9"/>
  <c r="AA188" i="9"/>
  <c r="AA216" i="9"/>
  <c r="AA158" i="9"/>
  <c r="AA152" i="9"/>
  <c r="AA264" i="9"/>
  <c r="AA51" i="9"/>
  <c r="AA239" i="9"/>
  <c r="AA65" i="9"/>
  <c r="AA244" i="9"/>
  <c r="AA207" i="9"/>
  <c r="AA70" i="9"/>
  <c r="AA224" i="9"/>
  <c r="AA221" i="9"/>
  <c r="AA147" i="9"/>
  <c r="AA100" i="9"/>
  <c r="AA247" i="9"/>
  <c r="AA206" i="9"/>
  <c r="AA209" i="9"/>
  <c r="AA113" i="9"/>
  <c r="AA60" i="9"/>
  <c r="AA96" i="9"/>
  <c r="AA101" i="9"/>
  <c r="AA123" i="9"/>
  <c r="AA186" i="9"/>
  <c r="AA260" i="9"/>
  <c r="AA127" i="9"/>
  <c r="AA108" i="9"/>
  <c r="AA183" i="9"/>
  <c r="AA95" i="9"/>
  <c r="AA85" i="9"/>
  <c r="AA59" i="9"/>
  <c r="AA177" i="9"/>
  <c r="AA92" i="9"/>
  <c r="AA110" i="9"/>
  <c r="AA136" i="9"/>
  <c r="AA179" i="9"/>
  <c r="AA141" i="9"/>
  <c r="AA181" i="9"/>
  <c r="AA232" i="9"/>
  <c r="AA138" i="9"/>
  <c r="CG46" i="10" a="1"/>
  <c r="CG46" i="10" s="1"/>
  <c r="CF46" i="10" a="1"/>
  <c r="CF46" i="10" s="1"/>
  <c r="AA208" i="9"/>
  <c r="AA242" i="9"/>
  <c r="AA105" i="9"/>
  <c r="AA237" i="9"/>
  <c r="AA185" i="9"/>
  <c r="AA161" i="9"/>
  <c r="CH47" i="10" a="1"/>
  <c r="CH47" i="10" s="1"/>
  <c r="AA198" i="9"/>
  <c r="AA63" i="9"/>
  <c r="AA187" i="9"/>
  <c r="AA164" i="9"/>
  <c r="AA166" i="9"/>
  <c r="AA109" i="9"/>
  <c r="AA162" i="9"/>
  <c r="AA149" i="9"/>
  <c r="AA156" i="9"/>
  <c r="AA120" i="9"/>
  <c r="AA167" i="9"/>
  <c r="AA235" i="9"/>
  <c r="AA119" i="9"/>
  <c r="AA176" i="9"/>
  <c r="AA219" i="9"/>
  <c r="AA178" i="9"/>
  <c r="AA241" i="9"/>
  <c r="AA111" i="9"/>
  <c r="AA250" i="9"/>
  <c r="AA72" i="9"/>
  <c r="AA220" i="9"/>
  <c r="AA61" i="9"/>
  <c r="AA194" i="9"/>
  <c r="CV9" i="10"/>
  <c r="CU15" i="10" s="1" a="1"/>
  <c r="CU15" i="10" s="1"/>
  <c r="CO17" i="10" a="1"/>
  <c r="CY14" i="10" l="1" a="1"/>
  <c r="CY14" i="10" s="1"/>
  <c r="CU14" i="10" a="1"/>
  <c r="CU14" i="10" s="1"/>
  <c r="CW14" i="10" a="1"/>
  <c r="CW14" i="10" s="1"/>
  <c r="CY11" i="10" a="1"/>
  <c r="CY11" i="10" s="1"/>
  <c r="CV14" i="10" a="1"/>
  <c r="CV14" i="10" s="1"/>
  <c r="CY12" i="10" a="1"/>
  <c r="CY12" i="10" s="1"/>
  <c r="CY10" i="10" a="1"/>
  <c r="CY10" i="10" s="1"/>
  <c r="CZ9" i="10" a="1"/>
  <c r="CZ9" i="10" s="1"/>
  <c r="CV12" i="10" a="1"/>
  <c r="CV12" i="10" s="1"/>
  <c r="CU9" i="10"/>
  <c r="CV10" i="10" a="1"/>
  <c r="CV10" i="10" s="1"/>
  <c r="CV11" i="10" s="1" a="1"/>
  <c r="CV11" i="10" s="1"/>
  <c r="CY15" i="10" a="1"/>
  <c r="CY15" i="10" s="1"/>
  <c r="CW15" i="10" a="1"/>
  <c r="CW15" i="10" s="1"/>
  <c r="CO17" i="10"/>
  <c r="CR23" i="10" s="1" a="1"/>
  <c r="CR23" i="10" s="1"/>
  <c r="CR22" i="10" a="1"/>
  <c r="CR22" i="10" s="1"/>
  <c r="CN17" i="10"/>
  <c r="CV17" i="10" a="1"/>
  <c r="CO22" i="10" l="1" a="1"/>
  <c r="CO22" i="10" s="1"/>
  <c r="CR20" i="10" a="1"/>
  <c r="CR20" i="10" s="1"/>
  <c r="CR19" i="10" a="1"/>
  <c r="CR19" i="10" s="1"/>
  <c r="CO20" i="10" a="1"/>
  <c r="CO20" i="10" s="1"/>
  <c r="CN22" i="10" a="1"/>
  <c r="CN22" i="10" s="1"/>
  <c r="CO18" i="10" a="1"/>
  <c r="CO18" i="10" s="1"/>
  <c r="CO19" i="10" s="1" a="1"/>
  <c r="CO19" i="10" s="1"/>
  <c r="CN23" i="10" a="1"/>
  <c r="CN23" i="10" s="1"/>
  <c r="CP22" i="10" a="1"/>
  <c r="CP22" i="10" s="1"/>
  <c r="CP23" i="10" a="1"/>
  <c r="CP23" i="10" s="1"/>
  <c r="CR18" i="10" a="1"/>
  <c r="CR18" i="10" s="1"/>
  <c r="CS17" i="10" a="1"/>
  <c r="CS17" i="10" s="1"/>
  <c r="CV17" i="10"/>
  <c r="CV18" i="10" s="1" a="1"/>
  <c r="CV18" i="10" s="1"/>
  <c r="CV19" i="10" s="1" a="1"/>
  <c r="CV19" i="10" s="1"/>
  <c r="CU17" i="10"/>
  <c r="CO25" i="10" a="1"/>
  <c r="CY22" i="10" l="1" a="1"/>
  <c r="CY22" i="10" s="1"/>
  <c r="CU22" i="10" a="1"/>
  <c r="CU22" i="10" s="1"/>
  <c r="CY23" i="10" a="1"/>
  <c r="CY23" i="10" s="1"/>
  <c r="CZ17" i="10" a="1"/>
  <c r="CZ17" i="10" s="1"/>
  <c r="CW22" i="10" a="1"/>
  <c r="CW22" i="10" s="1"/>
  <c r="CU23" i="10" a="1"/>
  <c r="CU23" i="10" s="1"/>
  <c r="CV22" i="10" a="1"/>
  <c r="CV22" i="10" s="1"/>
  <c r="CV20" i="10" a="1"/>
  <c r="CV20" i="10" s="1"/>
  <c r="CY18" i="10" a="1"/>
  <c r="CY18" i="10" s="1"/>
  <c r="CY19" i="10" a="1"/>
  <c r="CY19" i="10" s="1"/>
  <c r="CW23" i="10" a="1"/>
  <c r="CW23" i="10" s="1"/>
  <c r="CY20" i="10" a="1"/>
  <c r="CY20" i="10" s="1"/>
  <c r="CO25" i="10"/>
  <c r="CR27" i="10" s="1" a="1"/>
  <c r="CR27" i="10" s="1"/>
  <c r="CO26" i="10" a="1"/>
  <c r="CO26" i="10" s="1"/>
  <c r="CN25" i="10"/>
  <c r="CV25" i="10" a="1"/>
  <c r="CN31" i="10" l="1" a="1"/>
  <c r="CN31" i="10" s="1"/>
  <c r="CR26" i="10" a="1"/>
  <c r="CR26" i="10" s="1"/>
  <c r="CO27" i="10" a="1"/>
  <c r="CO27" i="10" s="1"/>
  <c r="CR30" i="10" a="1"/>
  <c r="CR30" i="10" s="1"/>
  <c r="CS25" i="10" a="1"/>
  <c r="CS25" i="10" s="1"/>
  <c r="CO30" i="10" a="1"/>
  <c r="CO30" i="10" s="1"/>
  <c r="CR31" i="10" a="1"/>
  <c r="CR31" i="10" s="1"/>
  <c r="CN30" i="10" a="1"/>
  <c r="CN30" i="10" s="1"/>
  <c r="CP30" i="10" a="1"/>
  <c r="CP30" i="10" s="1"/>
  <c r="CP31" i="10" a="1"/>
  <c r="CP31" i="10" s="1"/>
  <c r="CR28" i="10" a="1"/>
  <c r="CR28" i="10" s="1"/>
  <c r="CO28" i="10" a="1"/>
  <c r="CO28" i="10" s="1"/>
  <c r="CV25" i="10"/>
  <c r="CV30" i="10" s="1" a="1"/>
  <c r="CV30" i="10" s="1"/>
  <c r="CO33" i="10" a="1"/>
  <c r="CV26" i="10" l="1" a="1"/>
  <c r="CV26" i="10" s="1"/>
  <c r="CV27" i="10" s="1" a="1"/>
  <c r="CV27" i="10" s="1"/>
  <c r="CU25" i="10"/>
  <c r="CU30" i="10" a="1"/>
  <c r="CU30" i="10" s="1"/>
  <c r="CV28" i="10" a="1"/>
  <c r="CV28" i="10" s="1"/>
  <c r="CY28" i="10" a="1"/>
  <c r="CY28" i="10" s="1"/>
  <c r="CW30" i="10" a="1"/>
  <c r="CW30" i="10" s="1"/>
  <c r="CZ25" i="10" a="1"/>
  <c r="CZ25" i="10" s="1"/>
  <c r="CY31" i="10" a="1"/>
  <c r="CY31" i="10" s="1"/>
  <c r="CY26" i="10" a="1"/>
  <c r="CY26" i="10" s="1"/>
  <c r="CU31" i="10" a="1"/>
  <c r="CU31" i="10" s="1"/>
  <c r="CW31" i="10" a="1"/>
  <c r="CW31" i="10" s="1"/>
  <c r="CY27" i="10" a="1"/>
  <c r="CY27" i="10" s="1"/>
  <c r="CY30" i="10" a="1"/>
  <c r="CY30" i="10" s="1"/>
  <c r="CO33" i="10"/>
  <c r="CR38" i="10" s="1" a="1"/>
  <c r="CR38" i="10" s="1"/>
  <c r="CO38" i="10" a="1"/>
  <c r="CO38" i="10" s="1"/>
  <c r="CV33" i="10" a="1"/>
  <c r="CP38" i="10" l="1" a="1"/>
  <c r="CP38" i="10" s="1"/>
  <c r="CR35" i="10" a="1"/>
  <c r="CR35" i="10" s="1"/>
  <c r="CR36" i="10" a="1"/>
  <c r="CR36" i="10" s="1"/>
  <c r="CN33" i="10"/>
  <c r="CN38" i="10" a="1"/>
  <c r="CN38" i="10" s="1"/>
  <c r="CS33" i="10" a="1"/>
  <c r="CS33" i="10" s="1"/>
  <c r="CR34" i="10" a="1"/>
  <c r="CR34" i="10" s="1"/>
  <c r="CN39" i="10" a="1"/>
  <c r="CN39" i="10" s="1"/>
  <c r="CO36" i="10" a="1"/>
  <c r="CO36" i="10" s="1"/>
  <c r="CP39" i="10" a="1"/>
  <c r="CP39" i="10" s="1"/>
  <c r="CR39" i="10" a="1"/>
  <c r="CR39" i="10" s="1"/>
  <c r="CO34" i="10" a="1"/>
  <c r="CO34" i="10" s="1"/>
  <c r="CO35" i="10" s="1" a="1"/>
  <c r="CO35" i="10" s="1"/>
  <c r="CV33" i="10"/>
  <c r="CY35" i="10" s="1" a="1"/>
  <c r="CY35" i="10" s="1"/>
  <c r="CV36" i="10" a="1"/>
  <c r="CV36" i="10" s="1"/>
  <c r="CO41" i="10" a="1"/>
  <c r="CY34" i="10" l="1" a="1"/>
  <c r="CY34" i="10" s="1"/>
  <c r="CU38" i="10" a="1"/>
  <c r="CU38" i="10" s="1"/>
  <c r="CU33" i="10"/>
  <c r="CY36" i="10" a="1"/>
  <c r="CY36" i="10" s="1"/>
  <c r="CW39" i="10" a="1"/>
  <c r="CW39" i="10" s="1"/>
  <c r="CV38" i="10" a="1"/>
  <c r="CV38" i="10" s="1"/>
  <c r="CZ33" i="10" a="1"/>
  <c r="CZ33" i="10" s="1"/>
  <c r="CU39" i="10" a="1"/>
  <c r="CU39" i="10" s="1"/>
  <c r="CY38" i="10" a="1"/>
  <c r="CY38" i="10" s="1"/>
  <c r="CW38" i="10" a="1"/>
  <c r="CW38" i="10" s="1"/>
  <c r="CV34" i="10" a="1"/>
  <c r="CV34" i="10" s="1"/>
  <c r="CV35" i="10" s="1" a="1"/>
  <c r="CV35" i="10" s="1"/>
  <c r="CY39" i="10" a="1"/>
  <c r="CY39" i="10" s="1"/>
  <c r="CO41" i="10"/>
  <c r="CN47" i="10" s="1" a="1"/>
  <c r="CN47" i="10" s="1"/>
  <c r="CR44" i="10" a="1"/>
  <c r="CR44" i="10" s="1"/>
  <c r="CO46" i="10" a="1"/>
  <c r="CO46" i="10" s="1"/>
  <c r="CO42" i="10" a="1"/>
  <c r="CO42" i="10" s="1"/>
  <c r="CO43" i="10" s="1" a="1"/>
  <c r="CO43" i="10" s="1"/>
  <c r="CV41" i="10" a="1"/>
  <c r="CP46" i="10" l="1" a="1"/>
  <c r="CP46" i="10" s="1"/>
  <c r="CR46" i="10" a="1"/>
  <c r="CR46" i="10" s="1"/>
  <c r="CS41" i="10" a="1"/>
  <c r="CS41" i="10" s="1"/>
  <c r="CO44" i="10" a="1"/>
  <c r="CO44" i="10" s="1"/>
  <c r="CR43" i="10" a="1"/>
  <c r="CR43" i="10" s="1"/>
  <c r="CN41" i="10"/>
  <c r="CR42" i="10" a="1"/>
  <c r="CR42" i="10" s="1"/>
  <c r="CR47" i="10" a="1"/>
  <c r="CR47" i="10" s="1"/>
  <c r="CP47" i="10" a="1"/>
  <c r="CP47" i="10" s="1"/>
  <c r="CN46" i="10" a="1"/>
  <c r="CN46" i="10" s="1"/>
  <c r="CV41" i="10"/>
  <c r="CV46" i="10" s="1" a="1"/>
  <c r="CV46" i="10" s="1"/>
  <c r="CY43" i="10" a="1"/>
  <c r="CY43" i="10" s="1"/>
  <c r="CU41" i="10"/>
  <c r="CY42" i="10" a="1"/>
  <c r="CY42" i="10" s="1"/>
  <c r="CY46" i="10" a="1"/>
  <c r="CY46" i="10" s="1"/>
  <c r="CU47" i="10" a="1"/>
  <c r="CU47" i="10" s="1"/>
  <c r="DD1" i="10" a="1"/>
  <c r="CU46" i="10" l="1" a="1"/>
  <c r="CU46" i="10" s="1"/>
  <c r="CW47" i="10" a="1"/>
  <c r="CW47" i="10" s="1"/>
  <c r="CW46" i="10" a="1"/>
  <c r="CW46" i="10" s="1"/>
  <c r="CZ41" i="10" a="1"/>
  <c r="CZ41" i="10" s="1"/>
  <c r="CV44" i="10" a="1"/>
  <c r="CV44" i="10" s="1"/>
  <c r="CY47" i="10" a="1"/>
  <c r="CY47" i="10" s="1"/>
  <c r="CV42" i="10" a="1"/>
  <c r="CV42" i="10" s="1"/>
  <c r="CV43" i="10" s="1" a="1"/>
  <c r="CV43" i="10" s="1"/>
  <c r="CY44" i="10" a="1"/>
  <c r="CY44" i="10" s="1"/>
  <c r="DD1" i="10"/>
  <c r="DG3" i="10" s="1" a="1"/>
  <c r="DG3" i="10" s="1"/>
  <c r="DK1" i="10" a="1"/>
  <c r="DD4" i="10" l="1" a="1"/>
  <c r="DD4" i="10" s="1"/>
  <c r="DE6" i="10" a="1"/>
  <c r="DE6" i="10" s="1"/>
  <c r="DC1" i="10"/>
  <c r="DG4" i="10" a="1"/>
  <c r="DG4" i="10" s="1"/>
  <c r="DG6" i="10" a="1"/>
  <c r="DG6" i="10" s="1"/>
  <c r="DD2" i="10" a="1"/>
  <c r="DD2" i="10" s="1"/>
  <c r="DD3" i="10" s="1" a="1"/>
  <c r="DD3" i="10" s="1"/>
  <c r="DG2" i="10" a="1"/>
  <c r="DG2" i="10" s="1"/>
  <c r="DG7" i="10" a="1"/>
  <c r="DG7" i="10" s="1"/>
  <c r="DH1" i="10" a="1"/>
  <c r="DH1" i="10" s="1"/>
  <c r="DD6" i="10" a="1"/>
  <c r="DD6" i="10" s="1"/>
  <c r="DC6" i="10" a="1"/>
  <c r="DC6" i="10" s="1"/>
  <c r="DE7" i="10" a="1"/>
  <c r="DE7" i="10" s="1"/>
  <c r="DC7" i="10" a="1"/>
  <c r="DC7" i="10" s="1"/>
  <c r="DK1" i="10"/>
  <c r="DK2" i="10" s="1" a="1"/>
  <c r="DK2" i="10" s="1"/>
  <c r="DK6" i="10" a="1"/>
  <c r="DK6" i="10" s="1"/>
  <c r="DJ1" i="10"/>
  <c r="DD9" i="10" a="1"/>
  <c r="DK4" i="10" l="1" a="1"/>
  <c r="DK4" i="10" s="1"/>
  <c r="DL6" i="10" a="1"/>
  <c r="DL6" i="10" s="1"/>
  <c r="DN6" i="10" a="1"/>
  <c r="DN6" i="10" s="1"/>
  <c r="DL7" i="10" a="1"/>
  <c r="DL7" i="10" s="1"/>
  <c r="DO1" i="10" a="1"/>
  <c r="DO1" i="10" s="1"/>
  <c r="DK3" i="10" a="1"/>
  <c r="DK3" i="10" s="1"/>
  <c r="DJ7" i="10" a="1"/>
  <c r="DJ7" i="10" s="1"/>
  <c r="DN4" i="10" a="1"/>
  <c r="DN4" i="10" s="1"/>
  <c r="DN2" i="10" a="1"/>
  <c r="DN2" i="10" s="1"/>
  <c r="DJ6" i="10" a="1"/>
  <c r="DJ6" i="10" s="1"/>
  <c r="DN7" i="10" a="1"/>
  <c r="DN7" i="10" s="1"/>
  <c r="DN3" i="10" a="1"/>
  <c r="DN3" i="10" s="1"/>
  <c r="DD9" i="10"/>
  <c r="DC14" i="10" s="1" a="1"/>
  <c r="DC14" i="10" s="1"/>
  <c r="DG10" i="10" a="1"/>
  <c r="DG10" i="10" s="1"/>
  <c r="DD14" i="10" a="1"/>
  <c r="DD14" i="10" s="1"/>
  <c r="DH9" i="10" a="1"/>
  <c r="DH9" i="10" s="1"/>
  <c r="DK9" i="10" a="1"/>
  <c r="DG15" i="10" l="1" a="1"/>
  <c r="DG15" i="10" s="1"/>
  <c r="DC9" i="10"/>
  <c r="DG14" i="10" a="1"/>
  <c r="DG14" i="10" s="1"/>
  <c r="DC15" i="10" a="1"/>
  <c r="DC15" i="10" s="1"/>
  <c r="DE14" i="10" a="1"/>
  <c r="DE14" i="10" s="1"/>
  <c r="DG11" i="10" a="1"/>
  <c r="DG11" i="10" s="1"/>
  <c r="DD12" i="10" a="1"/>
  <c r="DD12" i="10" s="1"/>
  <c r="DE15" i="10" a="1"/>
  <c r="DE15" i="10" s="1"/>
  <c r="DD10" i="10" a="1"/>
  <c r="DD10" i="10" s="1"/>
  <c r="DD11" i="10" s="1" a="1"/>
  <c r="DD11" i="10" s="1"/>
  <c r="DG12" i="10" a="1"/>
  <c r="DG12" i="10" s="1"/>
  <c r="DK9" i="10"/>
  <c r="DL15" i="10" s="1" a="1"/>
  <c r="DL15" i="10" s="1"/>
  <c r="DN12" i="10" a="1"/>
  <c r="DN12" i="10" s="1"/>
  <c r="DK10" i="10" a="1"/>
  <c r="DK10" i="10" s="1"/>
  <c r="DK11" i="10" s="1" a="1"/>
  <c r="DK11" i="10" s="1"/>
  <c r="DJ9" i="10"/>
  <c r="DN10" i="10" a="1"/>
  <c r="DN10" i="10" s="1"/>
  <c r="DN15" i="10" a="1"/>
  <c r="DN15" i="10" s="1"/>
  <c r="DD17" i="10" a="1"/>
  <c r="DJ14" i="10" l="1" a="1"/>
  <c r="DJ14" i="10" s="1"/>
  <c r="DN14" i="10" a="1"/>
  <c r="DN14" i="10" s="1"/>
  <c r="DL14" i="10" a="1"/>
  <c r="DL14" i="10" s="1"/>
  <c r="DK12" i="10" a="1"/>
  <c r="DK12" i="10" s="1"/>
  <c r="DN11" i="10" a="1"/>
  <c r="DN11" i="10" s="1"/>
  <c r="DK14" i="10" a="1"/>
  <c r="DK14" i="10" s="1"/>
  <c r="DJ15" i="10" a="1"/>
  <c r="DJ15" i="10" s="1"/>
  <c r="DO9" i="10" a="1"/>
  <c r="DO9" i="10" s="1"/>
  <c r="DD17" i="10"/>
  <c r="DH17" i="10" s="1" a="1"/>
  <c r="DH17" i="10" s="1"/>
  <c r="DK17" i="10" a="1"/>
  <c r="DG22" i="10" l="1" a="1"/>
  <c r="DG22" i="10" s="1"/>
  <c r="DC17" i="10"/>
  <c r="DD22" i="10" a="1"/>
  <c r="DD22" i="10" s="1"/>
  <c r="DG19" i="10" a="1"/>
  <c r="DG19" i="10" s="1"/>
  <c r="DE22" i="10" a="1"/>
  <c r="DE22" i="10" s="1"/>
  <c r="DE23" i="10" a="1"/>
  <c r="DE23" i="10" s="1"/>
  <c r="DG18" i="10" a="1"/>
  <c r="DG18" i="10" s="1"/>
  <c r="DG23" i="10" a="1"/>
  <c r="DG23" i="10" s="1"/>
  <c r="DC22" i="10" a="1"/>
  <c r="DC22" i="10" s="1"/>
  <c r="DD20" i="10" a="1"/>
  <c r="DD20" i="10" s="1"/>
  <c r="DD18" i="10" a="1"/>
  <c r="DD18" i="10" s="1"/>
  <c r="DD19" i="10" s="1" a="1"/>
  <c r="DD19" i="10" s="1"/>
  <c r="DC23" i="10" a="1"/>
  <c r="DC23" i="10" s="1"/>
  <c r="DG20" i="10" a="1"/>
  <c r="DG20" i="10" s="1"/>
  <c r="DK17" i="10"/>
  <c r="DN22" i="10" s="1" a="1"/>
  <c r="DN22" i="10" s="1"/>
  <c r="DJ22" i="10" a="1"/>
  <c r="DJ22" i="10" s="1"/>
  <c r="DD25" i="10" a="1"/>
  <c r="DL23" i="10" l="1" a="1"/>
  <c r="DL23" i="10" s="1"/>
  <c r="DK20" i="10" a="1"/>
  <c r="DK20" i="10" s="1"/>
  <c r="DL22" i="10" a="1"/>
  <c r="DL22" i="10" s="1"/>
  <c r="DO17" i="10" a="1"/>
  <c r="DO17" i="10" s="1"/>
  <c r="DN18" i="10" a="1"/>
  <c r="DN18" i="10" s="1"/>
  <c r="DK18" i="10" a="1"/>
  <c r="DK18" i="10" s="1"/>
  <c r="DK19" i="10" s="1" a="1"/>
  <c r="DK19" i="10" s="1"/>
  <c r="DN23" i="10" a="1"/>
  <c r="DN23" i="10" s="1"/>
  <c r="DJ23" i="10" a="1"/>
  <c r="DJ23" i="10" s="1"/>
  <c r="DN19" i="10" a="1"/>
  <c r="DN19" i="10" s="1"/>
  <c r="DK22" i="10" a="1"/>
  <c r="DK22" i="10" s="1"/>
  <c r="DN20" i="10" a="1"/>
  <c r="DN20" i="10" s="1"/>
  <c r="DJ17" i="10"/>
  <c r="DD25" i="10"/>
  <c r="DE30" i="10" s="1" a="1"/>
  <c r="DE30" i="10" s="1"/>
  <c r="DG28" i="10" a="1"/>
  <c r="DG28" i="10" s="1"/>
  <c r="DG27" i="10" a="1"/>
  <c r="DG27" i="10" s="1"/>
  <c r="DG30" i="10" a="1"/>
  <c r="DG30" i="10" s="1"/>
  <c r="DK25" i="10" a="1"/>
  <c r="DH25" i="10" l="1" a="1"/>
  <c r="DH25" i="10" s="1"/>
  <c r="DE31" i="10" a="1"/>
  <c r="DE31" i="10" s="1"/>
  <c r="DC30" i="10" a="1"/>
  <c r="DC30" i="10" s="1"/>
  <c r="DG26" i="10" a="1"/>
  <c r="DG26" i="10" s="1"/>
  <c r="DD26" i="10" a="1"/>
  <c r="DD26" i="10" s="1"/>
  <c r="DD27" i="10" s="1" a="1"/>
  <c r="DD27" i="10" s="1"/>
  <c r="DD30" i="10" a="1"/>
  <c r="DD30" i="10" s="1"/>
  <c r="DD28" i="10" a="1"/>
  <c r="DD28" i="10" s="1"/>
  <c r="DC25" i="10"/>
  <c r="DC31" i="10" a="1"/>
  <c r="DC31" i="10" s="1"/>
  <c r="DG31" i="10" a="1"/>
  <c r="DG31" i="10" s="1"/>
  <c r="DK25" i="10"/>
  <c r="DK28" i="10" s="1" a="1"/>
  <c r="DK28" i="10" s="1"/>
  <c r="DK26" i="10" a="1"/>
  <c r="DK26" i="10" s="1"/>
  <c r="DK27" i="10" s="1" a="1"/>
  <c r="DK27" i="10" s="1"/>
  <c r="DL30" i="10" a="1"/>
  <c r="DL30" i="10" s="1"/>
  <c r="DL31" i="10" a="1"/>
  <c r="DL31" i="10" s="1"/>
  <c r="DO25" i="10" a="1"/>
  <c r="DO25" i="10" s="1"/>
  <c r="DJ30" i="10" a="1"/>
  <c r="DJ30" i="10" s="1"/>
  <c r="DD33" i="10" a="1"/>
  <c r="DN27" i="10" l="1" a="1"/>
  <c r="DN27" i="10" s="1"/>
  <c r="DJ25" i="10"/>
  <c r="DN28" i="10" a="1"/>
  <c r="DN28" i="10" s="1"/>
  <c r="DN31" i="10" a="1"/>
  <c r="DN31" i="10" s="1"/>
  <c r="DN26" i="10" a="1"/>
  <c r="DN26" i="10" s="1"/>
  <c r="DJ31" i="10" a="1"/>
  <c r="DJ31" i="10" s="1"/>
  <c r="DN30" i="10" a="1"/>
  <c r="DN30" i="10" s="1"/>
  <c r="DK30" i="10" a="1"/>
  <c r="DK30" i="10" s="1"/>
  <c r="DD33" i="10"/>
  <c r="DC38" i="10" s="1" a="1"/>
  <c r="DC38" i="10" s="1"/>
  <c r="DK33" i="10" a="1"/>
  <c r="DD34" i="10" l="1" a="1"/>
  <c r="DD34" i="10" s="1"/>
  <c r="DD35" i="10" s="1" a="1"/>
  <c r="DD35" i="10" s="1"/>
  <c r="DG34" i="10" a="1"/>
  <c r="DG34" i="10" s="1"/>
  <c r="DE39" i="10" a="1"/>
  <c r="DE39" i="10" s="1"/>
  <c r="DG38" i="10" a="1"/>
  <c r="DG38" i="10" s="1"/>
  <c r="DD38" i="10" a="1"/>
  <c r="DD38" i="10" s="1"/>
  <c r="DC33" i="10"/>
  <c r="DG35" i="10" a="1"/>
  <c r="DG35" i="10" s="1"/>
  <c r="DG36" i="10" a="1"/>
  <c r="DG36" i="10" s="1"/>
  <c r="DD36" i="10" a="1"/>
  <c r="DD36" i="10" s="1"/>
  <c r="DH33" i="10" a="1"/>
  <c r="DH33" i="10" s="1"/>
  <c r="DC39" i="10" a="1"/>
  <c r="DC39" i="10" s="1"/>
  <c r="DG39" i="10" a="1"/>
  <c r="DG39" i="10" s="1"/>
  <c r="DE38" i="10" a="1"/>
  <c r="DE38" i="10" s="1"/>
  <c r="DK33" i="10"/>
  <c r="DO33" i="10" s="1" a="1"/>
  <c r="DO33" i="10" s="1"/>
  <c r="DJ39" i="10" a="1"/>
  <c r="DJ39" i="10" s="1"/>
  <c r="DD41" i="10" a="1"/>
  <c r="DK38" i="10" l="1" a="1"/>
  <c r="DK38" i="10" s="1"/>
  <c r="DJ33" i="10"/>
  <c r="DN34" i="10" a="1"/>
  <c r="DN34" i="10" s="1"/>
  <c r="DL38" i="10" a="1"/>
  <c r="DL38" i="10" s="1"/>
  <c r="DN35" i="10" a="1"/>
  <c r="DN35" i="10" s="1"/>
  <c r="DN36" i="10" a="1"/>
  <c r="DN36" i="10" s="1"/>
  <c r="DJ38" i="10" a="1"/>
  <c r="DJ38" i="10" s="1"/>
  <c r="DK36" i="10" a="1"/>
  <c r="DK36" i="10" s="1"/>
  <c r="DN39" i="10" a="1"/>
  <c r="DN39" i="10" s="1"/>
  <c r="DN38" i="10" a="1"/>
  <c r="DN38" i="10" s="1"/>
  <c r="DK34" i="10" a="1"/>
  <c r="DK34" i="10" s="1"/>
  <c r="DK35" i="10" s="1" a="1"/>
  <c r="DK35" i="10" s="1"/>
  <c r="DL39" i="10" a="1"/>
  <c r="DL39" i="10" s="1"/>
  <c r="DD41" i="10"/>
  <c r="DC46" i="10" s="1" a="1"/>
  <c r="DC46" i="10" s="1"/>
  <c r="DG42" i="10" a="1"/>
  <c r="DG42" i="10" s="1"/>
  <c r="DD42" i="10" a="1"/>
  <c r="DD42" i="10" s="1"/>
  <c r="DD43" i="10" s="1" a="1"/>
  <c r="DD43" i="10" s="1"/>
  <c r="DD46" i="10" a="1"/>
  <c r="DD46" i="10" s="1"/>
  <c r="DK41" i="10" a="1"/>
  <c r="DE46" i="10" l="1" a="1"/>
  <c r="DE46" i="10" s="1"/>
  <c r="DG44" i="10" a="1"/>
  <c r="DG44" i="10" s="1"/>
  <c r="DC41" i="10"/>
  <c r="DE47" i="10" a="1"/>
  <c r="DE47" i="10" s="1"/>
  <c r="DG46" i="10" a="1"/>
  <c r="DG46" i="10" s="1"/>
  <c r="DD44" i="10" a="1"/>
  <c r="DD44" i="10" s="1"/>
  <c r="DG43" i="10" a="1"/>
  <c r="DG43" i="10" s="1"/>
  <c r="DH41" i="10" a="1"/>
  <c r="DH41" i="10" s="1"/>
  <c r="DG47" i="10" a="1"/>
  <c r="DG47" i="10" s="1"/>
  <c r="DC47" i="10" a="1"/>
  <c r="DC47" i="10" s="1"/>
  <c r="DK41" i="10"/>
  <c r="DJ41" i="10" s="1"/>
  <c r="DN47" i="10" a="1"/>
  <c r="DN47" i="10" s="1"/>
  <c r="DN46" i="10" a="1"/>
  <c r="DN46" i="10" s="1"/>
  <c r="DN44" i="10" a="1"/>
  <c r="DN44" i="10" s="1"/>
  <c r="DK46" i="10" a="1"/>
  <c r="DK46" i="10" s="1"/>
  <c r="DJ47" i="10" a="1"/>
  <c r="DJ47" i="10" s="1"/>
  <c r="DS1" i="10" a="1"/>
  <c r="DL46" i="10" l="1" a="1"/>
  <c r="DL46" i="10" s="1"/>
  <c r="DJ46" i="10" a="1"/>
  <c r="DJ46" i="10" s="1"/>
  <c r="DO41" i="10" a="1"/>
  <c r="DO41" i="10" s="1"/>
  <c r="DL47" i="10" a="1"/>
  <c r="DL47" i="10" s="1"/>
  <c r="DN42" i="10" a="1"/>
  <c r="DN42" i="10" s="1"/>
  <c r="DK44" i="10" a="1"/>
  <c r="DK44" i="10" s="1"/>
  <c r="DN43" i="10" a="1"/>
  <c r="DN43" i="10" s="1"/>
  <c r="DK42" i="10" a="1"/>
  <c r="DK42" i="10" s="1"/>
  <c r="DK43" i="10" s="1" a="1"/>
  <c r="DK43" i="10" s="1"/>
  <c r="DS1" i="10"/>
  <c r="DW1" i="10" a="1"/>
  <c r="DW1" i="10" s="1"/>
  <c r="DV6" i="10" a="1"/>
  <c r="DV6" i="10" s="1"/>
  <c r="DV2" i="10" a="1"/>
  <c r="DV2" i="10" s="1"/>
  <c r="DT7" i="10" a="1"/>
  <c r="DT7" i="10" s="1"/>
  <c r="DV7" i="10" a="1"/>
  <c r="DV7" i="10" s="1"/>
  <c r="DS6" i="10" a="1"/>
  <c r="DS6" i="10" s="1"/>
  <c r="DV3" i="10" a="1"/>
  <c r="DV3" i="10" s="1"/>
  <c r="DV4" i="10" a="1"/>
  <c r="DV4" i="10" s="1"/>
  <c r="DT6" i="10" a="1"/>
  <c r="DT6" i="10" s="1"/>
  <c r="DR1" i="10"/>
  <c r="DS2" i="10" a="1"/>
  <c r="DS2" i="10" s="1"/>
  <c r="DS3" i="10" s="1" a="1"/>
  <c r="DS3" i="10" s="1"/>
  <c r="DS4" i="10" a="1"/>
  <c r="DS4" i="10" s="1"/>
  <c r="DR6" i="10" a="1"/>
  <c r="DR6" i="10" s="1"/>
  <c r="DR7" i="10" a="1"/>
  <c r="DR7" i="10" s="1"/>
  <c r="DS9" i="10" a="1"/>
  <c r="DZ9" i="10" a="1"/>
  <c r="DZ1" i="10" a="1"/>
  <c r="DZ1" i="10" l="1"/>
  <c r="DS9" i="10"/>
  <c r="DR14" i="10" s="1" a="1"/>
  <c r="DR14" i="10" s="1"/>
  <c r="DT15" i="10" a="1"/>
  <c r="DT15" i="10" s="1"/>
  <c r="DV10" i="10" a="1"/>
  <c r="DV10" i="10" s="1"/>
  <c r="DR15" i="10" a="1"/>
  <c r="DR15" i="10" s="1"/>
  <c r="DV14" i="10" a="1"/>
  <c r="DV14" i="10" s="1"/>
  <c r="DS14" i="10" a="1"/>
  <c r="DS14" i="10" s="1"/>
  <c r="DV12" i="10" a="1"/>
  <c r="DV12" i="10" s="1"/>
  <c r="DS10" i="10" a="1"/>
  <c r="DS10" i="10" s="1"/>
  <c r="DS11" i="10" s="1" a="1"/>
  <c r="DS11" i="10" s="1"/>
  <c r="DV11" i="10" a="1"/>
  <c r="DV11" i="10" s="1"/>
  <c r="DZ9" i="10"/>
  <c r="EC12" i="10" s="1" a="1"/>
  <c r="EC12" i="10" s="1"/>
  <c r="DZ10" i="10" a="1"/>
  <c r="DZ10" i="10" s="1"/>
  <c r="DZ11" i="10" s="1" a="1"/>
  <c r="DZ11" i="10" s="1"/>
  <c r="ED9" i="10" a="1"/>
  <c r="ED9" i="10" s="1"/>
  <c r="DS17" i="10" a="1"/>
  <c r="DW9" i="10" l="1" a="1"/>
  <c r="DW9" i="10" s="1"/>
  <c r="DY15" i="10" a="1"/>
  <c r="DY15" i="10" s="1"/>
  <c r="DT14" i="10" a="1"/>
  <c r="DT14" i="10" s="1"/>
  <c r="DR9" i="10"/>
  <c r="DS12" i="10" a="1"/>
  <c r="DS12" i="10" s="1"/>
  <c r="DZ14" i="10" a="1"/>
  <c r="DZ14" i="10" s="1"/>
  <c r="DV15" i="10" a="1"/>
  <c r="DV15" i="10" s="1"/>
  <c r="EC2" i="10" a="1"/>
  <c r="EC2" i="10" s="1"/>
  <c r="EC3" i="10" a="1"/>
  <c r="EC3" i="10" s="1"/>
  <c r="EC6" i="10" a="1"/>
  <c r="EC6" i="10" s="1"/>
  <c r="DY7" i="10" a="1"/>
  <c r="DY7" i="10" s="1"/>
  <c r="ED1" i="10" a="1"/>
  <c r="ED1" i="10" s="1"/>
  <c r="EA7" i="10" a="1"/>
  <c r="EA7" i="10" s="1"/>
  <c r="EC4" i="10" a="1"/>
  <c r="EC4" i="10" s="1"/>
  <c r="DZ4" i="10" a="1"/>
  <c r="DZ4" i="10" s="1"/>
  <c r="DZ6" i="10" a="1"/>
  <c r="DZ6" i="10" s="1"/>
  <c r="EC7" i="10" a="1"/>
  <c r="EC7" i="10" s="1"/>
  <c r="DZ2" i="10" a="1"/>
  <c r="DZ2" i="10" s="1"/>
  <c r="DZ3" i="10" s="1" a="1"/>
  <c r="DZ3" i="10" s="1"/>
  <c r="DY1" i="10"/>
  <c r="EA6" i="10" a="1"/>
  <c r="EA6" i="10" s="1"/>
  <c r="DY6" i="10" a="1"/>
  <c r="DY6" i="10" s="1"/>
  <c r="EA15" i="10" a="1"/>
  <c r="EA15" i="10" s="1"/>
  <c r="DY14" i="10" a="1"/>
  <c r="DY14" i="10" s="1"/>
  <c r="DZ12" i="10" a="1"/>
  <c r="DZ12" i="10" s="1"/>
  <c r="EC14" i="10" a="1"/>
  <c r="EC14" i="10" s="1"/>
  <c r="DY9" i="10"/>
  <c r="EC10" i="10" a="1"/>
  <c r="EC10" i="10" s="1"/>
  <c r="EC11" i="10" a="1"/>
  <c r="EC11" i="10" s="1"/>
  <c r="EA14" i="10" a="1"/>
  <c r="EA14" i="10" s="1"/>
  <c r="EC15" i="10" a="1"/>
  <c r="EC15" i="10" s="1"/>
  <c r="DS17" i="10"/>
  <c r="DS18" i="10" s="1" a="1"/>
  <c r="DS18" i="10" s="1"/>
  <c r="DS19" i="10" s="1" a="1"/>
  <c r="DS19" i="10" s="1"/>
  <c r="DV22" i="10" a="1"/>
  <c r="DV22" i="10" s="1"/>
  <c r="DZ17" i="10" a="1"/>
  <c r="DT22" i="10" l="1" a="1"/>
  <c r="DT22" i="10" s="1"/>
  <c r="DS22" i="10" a="1"/>
  <c r="DS22" i="10" s="1"/>
  <c r="DV20" i="10" a="1"/>
  <c r="DV20" i="10" s="1"/>
  <c r="DV19" i="10" a="1"/>
  <c r="DV19" i="10" s="1"/>
  <c r="DR23" i="10" a="1"/>
  <c r="DR23" i="10" s="1"/>
  <c r="DR22" i="10" a="1"/>
  <c r="DR22" i="10" s="1"/>
  <c r="DS20" i="10" a="1"/>
  <c r="DS20" i="10" s="1"/>
  <c r="DR17" i="10"/>
  <c r="DV23" i="10" a="1"/>
  <c r="DV23" i="10" s="1"/>
  <c r="DV18" i="10" a="1"/>
  <c r="DV18" i="10" s="1"/>
  <c r="DW17" i="10" a="1"/>
  <c r="DW17" i="10" s="1"/>
  <c r="DT23" i="10" a="1"/>
  <c r="DT23" i="10" s="1"/>
  <c r="DZ17" i="10"/>
  <c r="EC19" i="10" s="1" a="1"/>
  <c r="EC19" i="10" s="1"/>
  <c r="DS25" i="10" a="1"/>
  <c r="DZ18" i="10" l="1" a="1"/>
  <c r="DZ18" i="10" s="1"/>
  <c r="DZ19" i="10" s="1" a="1"/>
  <c r="DZ19" i="10" s="1"/>
  <c r="DZ22" i="10" a="1"/>
  <c r="DZ22" i="10" s="1"/>
  <c r="EC22" i="10" a="1"/>
  <c r="EC22" i="10" s="1"/>
  <c r="EC23" i="10" a="1"/>
  <c r="EC23" i="10" s="1"/>
  <c r="DY23" i="10" a="1"/>
  <c r="DY23" i="10" s="1"/>
  <c r="ED17" i="10" a="1"/>
  <c r="ED17" i="10" s="1"/>
  <c r="EA23" i="10" a="1"/>
  <c r="EA23" i="10" s="1"/>
  <c r="EC18" i="10" a="1"/>
  <c r="EC18" i="10" s="1"/>
  <c r="EC20" i="10" a="1"/>
  <c r="EC20" i="10" s="1"/>
  <c r="EA22" i="10" a="1"/>
  <c r="EA22" i="10" s="1"/>
  <c r="DY17" i="10"/>
  <c r="DY22" i="10" a="1"/>
  <c r="DY22" i="10" s="1"/>
  <c r="DZ20" i="10" a="1"/>
  <c r="DZ20" i="10" s="1"/>
  <c r="DS25" i="10"/>
  <c r="DS28" i="10" s="1" a="1"/>
  <c r="DS28" i="10" s="1"/>
  <c r="DZ25" i="10" a="1"/>
  <c r="DW25" i="10" l="1" a="1"/>
  <c r="DW25" i="10" s="1"/>
  <c r="DV30" i="10" a="1"/>
  <c r="DV30" i="10" s="1"/>
  <c r="DV26" i="10" a="1"/>
  <c r="DV26" i="10" s="1"/>
  <c r="DR25" i="10"/>
  <c r="DS26" i="10" a="1"/>
  <c r="DS26" i="10" s="1"/>
  <c r="DS27" i="10" s="1" a="1"/>
  <c r="DS27" i="10" s="1"/>
  <c r="DR31" i="10" a="1"/>
  <c r="DR31" i="10" s="1"/>
  <c r="DV27" i="10" a="1"/>
  <c r="DV27" i="10" s="1"/>
  <c r="DR30" i="10" a="1"/>
  <c r="DR30" i="10" s="1"/>
  <c r="DS30" i="10" a="1"/>
  <c r="DS30" i="10" s="1"/>
  <c r="DV31" i="10" a="1"/>
  <c r="DV31" i="10" s="1"/>
  <c r="DT31" i="10" a="1"/>
  <c r="DT31" i="10" s="1"/>
  <c r="DT30" i="10" a="1"/>
  <c r="DT30" i="10" s="1"/>
  <c r="DV28" i="10" a="1"/>
  <c r="DV28" i="10" s="1"/>
  <c r="DZ25" i="10"/>
  <c r="DZ28" i="10" s="1" a="1"/>
  <c r="DZ28" i="10" s="1"/>
  <c r="EC27" i="10" a="1"/>
  <c r="EC27" i="10" s="1"/>
  <c r="DS33" i="10" a="1"/>
  <c r="EC30" i="10" l="1" a="1"/>
  <c r="EC30" i="10" s="1"/>
  <c r="DY31" i="10" a="1"/>
  <c r="DY31" i="10" s="1"/>
  <c r="ED25" i="10" a="1"/>
  <c r="ED25" i="10" s="1"/>
  <c r="EC31" i="10" a="1"/>
  <c r="EC31" i="10" s="1"/>
  <c r="DZ30" i="10" a="1"/>
  <c r="DZ30" i="10" s="1"/>
  <c r="EC26" i="10" a="1"/>
  <c r="EC26" i="10" s="1"/>
  <c r="EA30" i="10" a="1"/>
  <c r="EA30" i="10" s="1"/>
  <c r="EA31" i="10" a="1"/>
  <c r="EA31" i="10" s="1"/>
  <c r="DY30" i="10" a="1"/>
  <c r="DY30" i="10" s="1"/>
  <c r="DY25" i="10"/>
  <c r="EC28" i="10" a="1"/>
  <c r="EC28" i="10" s="1"/>
  <c r="DZ26" i="10" a="1"/>
  <c r="DZ26" i="10" s="1"/>
  <c r="DZ27" i="10" s="1" a="1"/>
  <c r="DZ27" i="10" s="1"/>
  <c r="DS33" i="10"/>
  <c r="DW33" i="10" s="1" a="1"/>
  <c r="DW33" i="10" s="1"/>
  <c r="DV36" i="10" a="1"/>
  <c r="DV36" i="10" s="1"/>
  <c r="DR39" i="10" a="1"/>
  <c r="DR39" i="10" s="1"/>
  <c r="DS34" i="10" a="1"/>
  <c r="DS34" i="10" s="1"/>
  <c r="DS35" i="10" s="1" a="1"/>
  <c r="DS35" i="10" s="1"/>
  <c r="DZ33" i="10" a="1"/>
  <c r="DV39" i="10" l="1" a="1"/>
  <c r="DV39" i="10" s="1"/>
  <c r="DT38" i="10" a="1"/>
  <c r="DT38" i="10" s="1"/>
  <c r="DT39" i="10" a="1"/>
  <c r="DT39" i="10" s="1"/>
  <c r="DV38" i="10" a="1"/>
  <c r="DV38" i="10" s="1"/>
  <c r="DV35" i="10" a="1"/>
  <c r="DV35" i="10" s="1"/>
  <c r="DS38" i="10" a="1"/>
  <c r="DS38" i="10" s="1"/>
  <c r="DV34" i="10" a="1"/>
  <c r="DV34" i="10" s="1"/>
  <c r="DS36" i="10" a="1"/>
  <c r="DS36" i="10" s="1"/>
  <c r="DR33" i="10"/>
  <c r="DR38" i="10" a="1"/>
  <c r="DR38" i="10" s="1"/>
  <c r="DZ33" i="10"/>
  <c r="DZ38" i="10" s="1" a="1"/>
  <c r="DZ38" i="10" s="1"/>
  <c r="DY33" i="10"/>
  <c r="EC35" i="10" a="1"/>
  <c r="EC35" i="10" s="1"/>
  <c r="ED33" i="10" a="1"/>
  <c r="ED33" i="10" s="1"/>
  <c r="EC39" i="10" a="1"/>
  <c r="EC39" i="10" s="1"/>
  <c r="DZ34" i="10" a="1"/>
  <c r="DZ34" i="10" s="1"/>
  <c r="DZ35" i="10" s="1" a="1"/>
  <c r="DZ35" i="10" s="1"/>
  <c r="DS41" i="10" a="1"/>
  <c r="DZ36" i="10" l="1" a="1"/>
  <c r="DZ36" i="10" s="1"/>
  <c r="EA38" i="10" a="1"/>
  <c r="EA38" i="10" s="1"/>
  <c r="DY38" i="10" a="1"/>
  <c r="DY38" i="10" s="1"/>
  <c r="EC34" i="10" a="1"/>
  <c r="EC34" i="10" s="1"/>
  <c r="DY39" i="10" a="1"/>
  <c r="DY39" i="10" s="1"/>
  <c r="EC38" i="10" a="1"/>
  <c r="EC38" i="10" s="1"/>
  <c r="EA39" i="10" a="1"/>
  <c r="EA39" i="10" s="1"/>
  <c r="EC36" i="10" a="1"/>
  <c r="EC36" i="10" s="1"/>
  <c r="DS41" i="10"/>
  <c r="DS44" i="10" s="1" a="1"/>
  <c r="DS44" i="10" s="1"/>
  <c r="DZ41" i="10" a="1"/>
  <c r="DR46" i="10" l="1" a="1"/>
  <c r="DR46" i="10" s="1"/>
  <c r="DV47" i="10" a="1"/>
  <c r="DV47" i="10" s="1"/>
  <c r="DT46" i="10" a="1"/>
  <c r="DT46" i="10" s="1"/>
  <c r="DV42" i="10" a="1"/>
  <c r="DV42" i="10" s="1"/>
  <c r="DR47" i="10" a="1"/>
  <c r="DR47" i="10" s="1"/>
  <c r="DV44" i="10" a="1"/>
  <c r="DV44" i="10" s="1"/>
  <c r="DT47" i="10" a="1"/>
  <c r="DT47" i="10" s="1"/>
  <c r="DS46" i="10" a="1"/>
  <c r="DS46" i="10" s="1"/>
  <c r="DV43" i="10" a="1"/>
  <c r="DV43" i="10" s="1"/>
  <c r="DS42" i="10" a="1"/>
  <c r="DS42" i="10" s="1"/>
  <c r="DS43" i="10" s="1" a="1"/>
  <c r="DS43" i="10" s="1"/>
  <c r="DW41" i="10" a="1"/>
  <c r="DW41" i="10" s="1"/>
  <c r="DR41" i="10"/>
  <c r="DV46" i="10" a="1"/>
  <c r="DV46" i="10" s="1"/>
  <c r="DZ41" i="10"/>
  <c r="DZ46" i="10" s="1" a="1"/>
  <c r="DZ46" i="10" s="1"/>
  <c r="EH1" i="10" a="1"/>
  <c r="DZ44" i="10" l="1" a="1"/>
  <c r="DZ44" i="10" s="1"/>
  <c r="EC44" i="10" a="1"/>
  <c r="EC44" i="10" s="1"/>
  <c r="EC42" i="10" a="1"/>
  <c r="EC42" i="10" s="1"/>
  <c r="DY46" i="10" a="1"/>
  <c r="DY46" i="10" s="1"/>
  <c r="DY47" i="10" a="1"/>
  <c r="DY47" i="10" s="1"/>
  <c r="ED41" i="10" a="1"/>
  <c r="ED41" i="10" s="1"/>
  <c r="EC43" i="10" a="1"/>
  <c r="EC43" i="10" s="1"/>
  <c r="EA46" i="10" a="1"/>
  <c r="EA46" i="10" s="1"/>
  <c r="DY41" i="10"/>
  <c r="DZ42" i="10" a="1"/>
  <c r="DZ42" i="10" s="1"/>
  <c r="DZ43" i="10" s="1" a="1"/>
  <c r="DZ43" i="10" s="1"/>
  <c r="EC46" i="10" a="1"/>
  <c r="EC46" i="10" s="1"/>
  <c r="EA47" i="10" a="1"/>
  <c r="EA47" i="10" s="1"/>
  <c r="EC47" i="10" a="1"/>
  <c r="EC47" i="10" s="1"/>
  <c r="EH1" i="10"/>
  <c r="EH6" i="10" s="1" a="1"/>
  <c r="EH6" i="10" s="1"/>
  <c r="EG1" i="10"/>
  <c r="EK2" i="10" a="1"/>
  <c r="EK2" i="10" s="1"/>
  <c r="EO1" i="10" a="1"/>
  <c r="EG7" i="10" l="1" a="1"/>
  <c r="EG7" i="10" s="1"/>
  <c r="EK7" i="10" a="1"/>
  <c r="EK7" i="10" s="1"/>
  <c r="EG6" i="10" a="1"/>
  <c r="EG6" i="10" s="1"/>
  <c r="EI6" i="10" a="1"/>
  <c r="EI6" i="10" s="1"/>
  <c r="EK4" i="10" a="1"/>
  <c r="EK4" i="10" s="1"/>
  <c r="EL1" i="10" a="1"/>
  <c r="EL1" i="10" s="1"/>
  <c r="EK3" i="10" a="1"/>
  <c r="EK3" i="10" s="1"/>
  <c r="EI7" i="10" a="1"/>
  <c r="EI7" i="10" s="1"/>
  <c r="EH4" i="10" a="1"/>
  <c r="EH4" i="10" s="1"/>
  <c r="EK6" i="10" a="1"/>
  <c r="EK6" i="10" s="1"/>
  <c r="EH2" i="10" a="1"/>
  <c r="EH2" i="10" s="1"/>
  <c r="EH3" i="10" s="1" a="1"/>
  <c r="EH3" i="10" s="1"/>
  <c r="EO1" i="10"/>
  <c r="EO2" i="10" s="1" a="1"/>
  <c r="EO2" i="10" s="1"/>
  <c r="ER3" i="10" a="1"/>
  <c r="ER3" i="10" s="1"/>
  <c r="ER2" i="10" a="1"/>
  <c r="ER2" i="10" s="1"/>
  <c r="EN7" i="10" a="1"/>
  <c r="EN7" i="10" s="1"/>
  <c r="EP6" i="10" a="1"/>
  <c r="EP6" i="10" s="1"/>
  <c r="EH9" i="10" a="1"/>
  <c r="ER7" i="10" l="1" a="1"/>
  <c r="ER7" i="10" s="1"/>
  <c r="EN6" i="10" a="1"/>
  <c r="EN6" i="10" s="1"/>
  <c r="ES1" i="10" a="1"/>
  <c r="ES1" i="10" s="1"/>
  <c r="EN1" i="10"/>
  <c r="EP7" i="10" a="1"/>
  <c r="EP7" i="10" s="1"/>
  <c r="EO4" i="10" a="1"/>
  <c r="EO4" i="10" s="1"/>
  <c r="EO3" i="10" a="1"/>
  <c r="EO3" i="10" s="1"/>
  <c r="ER6" i="10" a="1"/>
  <c r="ER6" i="10" s="1"/>
  <c r="EO6" i="10" a="1"/>
  <c r="EO6" i="10" s="1"/>
  <c r="ER4" i="10" a="1"/>
  <c r="ER4" i="10" s="1"/>
  <c r="EH9" i="10"/>
  <c r="EH12" i="10" s="1" a="1"/>
  <c r="EH12" i="10" s="1"/>
  <c r="EK10" i="10" a="1"/>
  <c r="EK10" i="10" s="1"/>
  <c r="EK14" i="10" a="1"/>
  <c r="EK14" i="10" s="1"/>
  <c r="EK11" i="10" a="1"/>
  <c r="EK11" i="10" s="1"/>
  <c r="EG15" i="10" a="1"/>
  <c r="EG15" i="10" s="1"/>
  <c r="EG9" i="10"/>
  <c r="EK12" i="10" a="1"/>
  <c r="EK12" i="10" s="1"/>
  <c r="EI14" i="10" a="1"/>
  <c r="EI14" i="10" s="1"/>
  <c r="EO9" i="10" a="1"/>
  <c r="EH10" i="10" l="1" a="1"/>
  <c r="EH10" i="10" s="1"/>
  <c r="EH11" i="10" s="1" a="1"/>
  <c r="EH11" i="10" s="1"/>
  <c r="EL9" i="10" a="1"/>
  <c r="EL9" i="10" s="1"/>
  <c r="EH14" i="10" a="1"/>
  <c r="EH14" i="10" s="1"/>
  <c r="EI15" i="10" a="1"/>
  <c r="EI15" i="10" s="1"/>
  <c r="EG14" i="10" a="1"/>
  <c r="EG14" i="10" s="1"/>
  <c r="EK15" i="10" a="1"/>
  <c r="EK15" i="10" s="1"/>
  <c r="EO9" i="10"/>
  <c r="EP14" i="10" s="1" a="1"/>
  <c r="EP14" i="10" s="1"/>
  <c r="ER15" i="10" a="1"/>
  <c r="ER15" i="10" s="1"/>
  <c r="EH17" i="10" a="1"/>
  <c r="EO12" i="10" l="1" a="1"/>
  <c r="EO12" i="10" s="1"/>
  <c r="EN14" i="10" a="1"/>
  <c r="EN14" i="10" s="1"/>
  <c r="ER14" i="10" a="1"/>
  <c r="ER14" i="10" s="1"/>
  <c r="EP15" i="10" a="1"/>
  <c r="EP15" i="10" s="1"/>
  <c r="ER10" i="10" a="1"/>
  <c r="ER10" i="10" s="1"/>
  <c r="EO10" i="10" a="1"/>
  <c r="EO10" i="10" s="1"/>
  <c r="EO11" i="10" s="1" a="1"/>
  <c r="EO11" i="10" s="1"/>
  <c r="EN9" i="10"/>
  <c r="ER11" i="10" a="1"/>
  <c r="ER11" i="10" s="1"/>
  <c r="EO14" i="10" a="1"/>
  <c r="EO14" i="10" s="1"/>
  <c r="ER12" i="10" a="1"/>
  <c r="ER12" i="10" s="1"/>
  <c r="ES9" i="10" a="1"/>
  <c r="ES9" i="10" s="1"/>
  <c r="EN15" i="10" a="1"/>
  <c r="EN15" i="10" s="1"/>
  <c r="EH17" i="10"/>
  <c r="EL17" i="10" s="1" a="1"/>
  <c r="EL17" i="10" s="1"/>
  <c r="EK22" i="10" a="1"/>
  <c r="EK22" i="10" s="1"/>
  <c r="EI22" i="10" a="1"/>
  <c r="EI22" i="10" s="1"/>
  <c r="EK23" i="10" a="1"/>
  <c r="EK23" i="10" s="1"/>
  <c r="EO17" i="10" a="1"/>
  <c r="EK18" i="10" l="1" a="1"/>
  <c r="EK18" i="10" s="1"/>
  <c r="EG22" i="10" a="1"/>
  <c r="EG22" i="10" s="1"/>
  <c r="EG17" i="10"/>
  <c r="EH20" i="10" a="1"/>
  <c r="EH20" i="10" s="1"/>
  <c r="EK20" i="10" a="1"/>
  <c r="EK20" i="10" s="1"/>
  <c r="EI23" i="10" a="1"/>
  <c r="EI23" i="10" s="1"/>
  <c r="EK19" i="10" a="1"/>
  <c r="EK19" i="10" s="1"/>
  <c r="EG23" i="10" a="1"/>
  <c r="EG23" i="10" s="1"/>
  <c r="EH18" i="10" a="1"/>
  <c r="EH18" i="10" s="1"/>
  <c r="EH19" i="10" s="1" a="1"/>
  <c r="EH19" i="10" s="1"/>
  <c r="EH22" i="10" a="1"/>
  <c r="EH22" i="10" s="1"/>
  <c r="EO17" i="10"/>
  <c r="ER22" i="10" s="1" a="1"/>
  <c r="ER22" i="10" s="1"/>
  <c r="ER20" i="10" a="1"/>
  <c r="ER20" i="10" s="1"/>
  <c r="EP22" i="10" a="1"/>
  <c r="EP22" i="10" s="1"/>
  <c r="ER19" i="10" a="1"/>
  <c r="ER19" i="10" s="1"/>
  <c r="ER23" i="10" a="1"/>
  <c r="ER23" i="10" s="1"/>
  <c r="EO18" i="10" a="1"/>
  <c r="EO18" i="10" s="1"/>
  <c r="EO19" i="10" s="1" a="1"/>
  <c r="EO19" i="10" s="1"/>
  <c r="ER18" i="10" a="1"/>
  <c r="ER18" i="10" s="1"/>
  <c r="EP23" i="10" a="1"/>
  <c r="EP23" i="10" s="1"/>
  <c r="EN22" i="10" a="1"/>
  <c r="EN22" i="10" s="1"/>
  <c r="EN17" i="10"/>
  <c r="EO22" i="10" a="1"/>
  <c r="EO22" i="10" s="1"/>
  <c r="EH25" i="10" a="1"/>
  <c r="EO20" i="10" l="1" a="1"/>
  <c r="EO20" i="10" s="1"/>
  <c r="ES17" i="10" a="1"/>
  <c r="ES17" i="10" s="1"/>
  <c r="EN23" i="10" a="1"/>
  <c r="EN23" i="10" s="1"/>
  <c r="EH25" i="10"/>
  <c r="EK27" i="10" s="1" a="1"/>
  <c r="EK27" i="10" s="1"/>
  <c r="EG30" i="10" a="1"/>
  <c r="EG30" i="10" s="1"/>
  <c r="EK31" i="10" a="1"/>
  <c r="EK31" i="10" s="1"/>
  <c r="EI30" i="10" a="1"/>
  <c r="EI30" i="10" s="1"/>
  <c r="EG31" i="10" a="1"/>
  <c r="EG31" i="10" s="1"/>
  <c r="EO25" i="10" a="1"/>
  <c r="EI31" i="10" l="1" a="1"/>
  <c r="EI31" i="10" s="1"/>
  <c r="EK28" i="10" a="1"/>
  <c r="EK28" i="10" s="1"/>
  <c r="EK26" i="10" a="1"/>
  <c r="EK26" i="10" s="1"/>
  <c r="EG25" i="10"/>
  <c r="EH28" i="10" a="1"/>
  <c r="EH28" i="10" s="1"/>
  <c r="EH26" i="10" a="1"/>
  <c r="EH26" i="10" s="1"/>
  <c r="EH27" i="10" s="1" a="1"/>
  <c r="EH27" i="10" s="1"/>
  <c r="EL25" i="10" a="1"/>
  <c r="EL25" i="10" s="1"/>
  <c r="EH30" i="10" a="1"/>
  <c r="EH30" i="10" s="1"/>
  <c r="EK30" i="10" a="1"/>
  <c r="EK30" i="10" s="1"/>
  <c r="EO25" i="10"/>
  <c r="ER26" i="10" s="1" a="1"/>
  <c r="ER26" i="10" s="1"/>
  <c r="EO26" i="10" a="1"/>
  <c r="EO26" i="10" s="1"/>
  <c r="EO27" i="10" s="1" a="1"/>
  <c r="EO27" i="10" s="1"/>
  <c r="ER28" i="10" a="1"/>
  <c r="ER28" i="10" s="1"/>
  <c r="EH33" i="10" a="1"/>
  <c r="EO30" i="10" l="1" a="1"/>
  <c r="EO30" i="10" s="1"/>
  <c r="ES25" i="10" a="1"/>
  <c r="ES25" i="10" s="1"/>
  <c r="EN25" i="10"/>
  <c r="EP30" i="10" a="1"/>
  <c r="EP30" i="10" s="1"/>
  <c r="EN30" i="10" a="1"/>
  <c r="EN30" i="10" s="1"/>
  <c r="ER27" i="10" a="1"/>
  <c r="ER27" i="10" s="1"/>
  <c r="EN31" i="10" a="1"/>
  <c r="EN31" i="10" s="1"/>
  <c r="EP31" i="10" a="1"/>
  <c r="EP31" i="10" s="1"/>
  <c r="ER31" i="10" a="1"/>
  <c r="ER31" i="10" s="1"/>
  <c r="EO28" i="10" a="1"/>
  <c r="EO28" i="10" s="1"/>
  <c r="ER30" i="10" a="1"/>
  <c r="ER30" i="10" s="1"/>
  <c r="EH33" i="10"/>
  <c r="EL33" i="10" s="1" a="1"/>
  <c r="EL33" i="10" s="1"/>
  <c r="EH34" i="10" a="1"/>
  <c r="EH34" i="10" s="1"/>
  <c r="EH35" i="10" s="1" a="1"/>
  <c r="EH35" i="10" s="1"/>
  <c r="EO33" i="10" a="1"/>
  <c r="EG33" i="10" l="1"/>
  <c r="EK34" i="10" a="1"/>
  <c r="EK34" i="10" s="1"/>
  <c r="EK38" i="10" a="1"/>
  <c r="EK38" i="10" s="1"/>
  <c r="EH38" i="10" a="1"/>
  <c r="EH38" i="10" s="1"/>
  <c r="EK39" i="10" a="1"/>
  <c r="EK39" i="10" s="1"/>
  <c r="EG38" i="10" a="1"/>
  <c r="EG38" i="10" s="1"/>
  <c r="EI39" i="10" a="1"/>
  <c r="EI39" i="10" s="1"/>
  <c r="EH36" i="10" a="1"/>
  <c r="EH36" i="10" s="1"/>
  <c r="EK35" i="10" a="1"/>
  <c r="EK35" i="10" s="1"/>
  <c r="EG39" i="10" a="1"/>
  <c r="EG39" i="10" s="1"/>
  <c r="EI38" i="10" a="1"/>
  <c r="EI38" i="10" s="1"/>
  <c r="EK36" i="10" a="1"/>
  <c r="EK36" i="10" s="1"/>
  <c r="EO33" i="10"/>
  <c r="ER36" i="10" s="1" a="1"/>
  <c r="ER36" i="10" s="1"/>
  <c r="ES33" i="10" a="1"/>
  <c r="ES33" i="10" s="1"/>
  <c r="ER39" i="10" a="1"/>
  <c r="ER39" i="10" s="1"/>
  <c r="EH41" i="10" a="1"/>
  <c r="EN38" i="10" l="1" a="1"/>
  <c r="EN38" i="10" s="1"/>
  <c r="ER35" i="10" a="1"/>
  <c r="ER35" i="10" s="1"/>
  <c r="EN39" i="10" a="1"/>
  <c r="EN39" i="10" s="1"/>
  <c r="ER34" i="10" a="1"/>
  <c r="ER34" i="10" s="1"/>
  <c r="EO34" i="10" a="1"/>
  <c r="EO34" i="10" s="1"/>
  <c r="EO35" i="10" s="1" a="1"/>
  <c r="EO35" i="10" s="1"/>
  <c r="EN33" i="10"/>
  <c r="EP39" i="10" a="1"/>
  <c r="EP39" i="10" s="1"/>
  <c r="EO38" i="10" a="1"/>
  <c r="EO38" i="10" s="1"/>
  <c r="EP38" i="10" a="1"/>
  <c r="EP38" i="10" s="1"/>
  <c r="ER38" i="10" a="1"/>
  <c r="ER38" i="10" s="1"/>
  <c r="EO36" i="10" a="1"/>
  <c r="EO36" i="10" s="1"/>
  <c r="EH41" i="10"/>
  <c r="EH42" i="10" s="1" a="1"/>
  <c r="EH42" i="10" s="1"/>
  <c r="EH43" i="10" s="1" a="1"/>
  <c r="EH43" i="10" s="1"/>
  <c r="EK46" i="10" a="1"/>
  <c r="EK46" i="10" s="1"/>
  <c r="EO41" i="10" a="1"/>
  <c r="EG41" i="10" l="1"/>
  <c r="EH46" i="10" a="1"/>
  <c r="EH46" i="10" s="1"/>
  <c r="EK47" i="10" a="1"/>
  <c r="EK47" i="10" s="1"/>
  <c r="EG47" i="10" a="1"/>
  <c r="EG47" i="10" s="1"/>
  <c r="EI47" i="10" a="1"/>
  <c r="EI47" i="10" s="1"/>
  <c r="EI46" i="10" a="1"/>
  <c r="EI46" i="10" s="1"/>
  <c r="EK42" i="10" a="1"/>
  <c r="EK42" i="10" s="1"/>
  <c r="EG46" i="10" a="1"/>
  <c r="EG46" i="10" s="1"/>
  <c r="EK44" i="10" a="1"/>
  <c r="EK44" i="10" s="1"/>
  <c r="EH44" i="10" a="1"/>
  <c r="EH44" i="10" s="1"/>
  <c r="EK43" i="10" a="1"/>
  <c r="EK43" i="10" s="1"/>
  <c r="EL41" i="10" a="1"/>
  <c r="EL41" i="10" s="1"/>
  <c r="EO41" i="10"/>
  <c r="ES41" i="10" s="1" a="1"/>
  <c r="ES41" i="10" s="1"/>
  <c r="EN46" i="10" a="1"/>
  <c r="EN46" i="10" s="1"/>
  <c r="ER47" i="10" a="1"/>
  <c r="ER47" i="10" s="1"/>
  <c r="ER44" i="10" a="1"/>
  <c r="ER44" i="10" s="1"/>
  <c r="EO44" i="10" l="1" a="1"/>
  <c r="EO44" i="10" s="1"/>
  <c r="EO42" i="10" a="1"/>
  <c r="EO42" i="10" s="1"/>
  <c r="EO43" i="10" s="1" a="1"/>
  <c r="EO43" i="10" s="1"/>
  <c r="ER43" i="10" a="1"/>
  <c r="ER43" i="10" s="1"/>
  <c r="EN47" i="10" a="1"/>
  <c r="EN47" i="10" s="1"/>
  <c r="EO46" i="10" a="1"/>
  <c r="EO46" i="10" s="1"/>
  <c r="ER42" i="10" a="1"/>
  <c r="ER42" i="10" s="1"/>
  <c r="EP47" i="10" a="1"/>
  <c r="EP47" i="10" s="1"/>
  <c r="EN41" i="10"/>
  <c r="EP46" i="10" a="1"/>
  <c r="EP46" i="10" s="1"/>
  <c r="ER46" i="10" a="1"/>
  <c r="ER46" i="10" s="1"/>
</calcChain>
</file>

<file path=xl/sharedStrings.xml><?xml version="1.0" encoding="utf-8"?>
<sst xmlns="http://schemas.openxmlformats.org/spreadsheetml/2006/main" count="1295" uniqueCount="590">
  <si>
    <t>赤</t>
  </si>
  <si>
    <t>キャラ弁（学食）</t>
  </si>
  <si>
    <t>ｵﾚﾝｼﾞ　先生</t>
  </si>
  <si>
    <t>キャラ弁当</t>
  </si>
  <si>
    <t>パンカップ　</t>
  </si>
  <si>
    <t>お誕生会　</t>
  </si>
  <si>
    <t>カレー</t>
  </si>
  <si>
    <t>パック弁当</t>
  </si>
  <si>
    <t>配膳スマ</t>
  </si>
  <si>
    <t>社食</t>
  </si>
  <si>
    <t>＊＊＊</t>
  </si>
  <si>
    <t>数出表</t>
  </si>
  <si>
    <t>上段：園児、下段：先生</t>
  </si>
  <si>
    <t>作成日</t>
  </si>
  <si>
    <t>オレンジ</t>
  </si>
  <si>
    <t>おやつ</t>
  </si>
  <si>
    <t>園名</t>
  </si>
  <si>
    <t>飯あり</t>
  </si>
  <si>
    <t>おにぎり</t>
  </si>
  <si>
    <t>飯なし</t>
  </si>
  <si>
    <t>三角</t>
  </si>
  <si>
    <t>半俵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</si>
  <si>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</si>
  <si>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</si>
  <si>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</si>
  <si>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</si>
  <si>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</si>
  <si>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</si>
  <si>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</si>
  <si>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</si>
  <si>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</si>
  <si>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</si>
  <si>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</si>
  <si>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</si>
  <si>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</si>
  <si>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</si>
  <si>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</si>
  <si>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</si>
  <si>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</si>
  <si>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</si>
  <si>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</si>
  <si>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</si>
  <si>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</si>
  <si>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</si>
  <si>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</si>
  <si>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</si>
  <si>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</si>
  <si>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</si>
  <si>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</si>
  <si>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</si>
  <si>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</si>
  <si>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</si>
  <si>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</si>
  <si>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</si>
  <si>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</si>
  <si>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</si>
  <si>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</si>
  <si>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</si>
  <si>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</si>
  <si>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</si>
  <si>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</si>
  <si>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</si>
  <si>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</si>
  <si>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</si>
  <si>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</si>
  <si>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</si>
  <si>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</si>
  <si>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</si>
  <si>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</si>
  <si>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</si>
  <si>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</si>
  <si>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</si>
  <si>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</si>
  <si>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</si>
  <si>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</si>
  <si>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</si>
  <si>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</si>
  <si>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</si>
  <si>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</si>
  <si>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</si>
  <si>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</si>
  <si>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</si>
  <si>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</si>
  <si>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</si>
  <si>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</si>
  <si>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</si>
  <si>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</si>
  <si>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</si>
  <si>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</si>
  <si>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皿</t>
  </si>
  <si>
    <t>ビーフシチュー　先生</t>
  </si>
  <si>
    <t>弁当　園児　スープ付き</t>
  </si>
  <si>
    <t>弁当　先生　スープ付き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</si>
  <si>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</si>
  <si>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</si>
  <si>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</si>
  <si>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</si>
  <si>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</si>
  <si>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</si>
  <si>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</si>
  <si>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</si>
  <si>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赤パン　　</t>
  </si>
  <si>
    <t>パン弁当　先生</t>
  </si>
  <si>
    <t>赤パン　　先生</t>
  </si>
  <si>
    <t>キャラパン　</t>
  </si>
  <si>
    <t>キャラパン　　先生</t>
  </si>
  <si>
    <t>パン　園児</t>
  </si>
  <si>
    <t>パン　先生</t>
  </si>
  <si>
    <t>パンカップ　先生</t>
  </si>
  <si>
    <t>お誕生会　園児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</si>
  <si>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</si>
  <si>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</si>
  <si>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</si>
  <si>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</si>
  <si>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</si>
  <si>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</si>
  <si>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</si>
  <si>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</si>
  <si>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</si>
  <si>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</si>
  <si>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</si>
  <si>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</si>
  <si>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</si>
  <si>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</si>
  <si>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</si>
  <si>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</si>
  <si>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</si>
  <si>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</si>
  <si>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</si>
  <si>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</si>
  <si>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</si>
  <si>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</si>
  <si>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</si>
  <si>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</si>
  <si>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</si>
  <si>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</si>
  <si>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</si>
  <si>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</si>
  <si>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</si>
  <si>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</si>
  <si>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</si>
  <si>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</si>
  <si>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</si>
  <si>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</si>
  <si>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</si>
  <si>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</si>
  <si>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</si>
  <si>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</si>
  <si>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</si>
  <si>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</si>
  <si>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</si>
  <si>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</si>
  <si>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</si>
  <si>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</si>
  <si>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</si>
  <si>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</si>
  <si>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</si>
  <si>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</si>
  <si>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</si>
  <si>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</si>
  <si>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</si>
  <si>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</si>
  <si>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</si>
  <si>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</si>
  <si>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</si>
  <si>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</si>
  <si>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</si>
  <si>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</si>
  <si>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</si>
  <si>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</si>
  <si>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</si>
  <si>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</si>
  <si>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</si>
  <si>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</si>
  <si>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</si>
  <si>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</si>
  <si>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</si>
  <si>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</si>
  <si>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</si>
  <si>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</si>
  <si>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</si>
  <si>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</si>
  <si>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</si>
  <si>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</si>
  <si>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</si>
  <si>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</si>
  <si>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</si>
  <si>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</si>
  <si>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</si>
  <si>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</si>
  <si>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</si>
  <si>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</si>
  <si>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</si>
  <si>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</si>
  <si>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</si>
  <si>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</si>
  <si>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</si>
  <si>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</si>
  <si>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</si>
  <si>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</si>
  <si>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</si>
  <si>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</si>
  <si>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</si>
  <si>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</si>
  <si>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</si>
  <si>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</si>
  <si>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</si>
  <si>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</si>
  <si>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</si>
  <si>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</si>
  <si>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</si>
  <si>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</si>
  <si>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</si>
  <si>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</si>
  <si>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</si>
  <si>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</si>
  <si>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</si>
  <si>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</si>
  <si>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</si>
  <si>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</si>
  <si>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</si>
  <si>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</si>
  <si>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</si>
  <si>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</si>
  <si>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</si>
  <si>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</si>
  <si>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</si>
  <si>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</si>
  <si>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</si>
  <si>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</si>
  <si>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</si>
  <si>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</si>
  <si>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</si>
  <si>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</si>
  <si>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</si>
  <si>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</si>
  <si>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</si>
  <si>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</si>
  <si>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</si>
  <si>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</si>
  <si>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</si>
  <si>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</si>
  <si>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</si>
  <si>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</si>
  <si>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</si>
  <si>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</si>
  <si>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</si>
  <si>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</si>
  <si>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</si>
  <si>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</si>
  <si>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</si>
  <si>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</si>
  <si>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</si>
  <si>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</si>
  <si>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</si>
  <si>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</si>
  <si>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</si>
  <si>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</si>
  <si>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</si>
  <si>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</si>
  <si>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</si>
  <si>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</si>
  <si>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</si>
  <si>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</si>
  <si>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</si>
  <si>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</si>
  <si>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</si>
  <si>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</si>
  <si>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</si>
  <si>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</si>
  <si>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</si>
  <si>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</si>
  <si>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</si>
  <si>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</si>
  <si>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</si>
  <si>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</si>
  <si>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</si>
  <si>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</si>
  <si>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</si>
  <si>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</si>
  <si>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</si>
  <si>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</si>
  <si>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</si>
  <si>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</si>
  <si>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</si>
  <si>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</si>
  <si>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</si>
  <si>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</si>
  <si>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</si>
  <si>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</si>
  <si>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</si>
  <si>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</si>
  <si>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</si>
  <si>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</si>
  <si>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</si>
  <si>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</si>
  <si>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</si>
  <si>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</si>
  <si>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</si>
  <si>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</si>
  <si>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</si>
  <si>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</si>
  <si>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</si>
  <si>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</si>
  <si>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</si>
  <si>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</si>
  <si>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</si>
  <si>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</si>
  <si>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</si>
  <si>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</si>
  <si>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</si>
  <si>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</si>
  <si>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</si>
  <si>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</si>
  <si>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</si>
  <si>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</si>
  <si>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</si>
  <si>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</si>
  <si>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</si>
  <si>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</si>
  <si>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</si>
  <si>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</si>
  <si>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</si>
  <si>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</si>
  <si>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</si>
  <si>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</si>
  <si>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</si>
  <si>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</si>
  <si>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</si>
  <si>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</si>
  <si>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</si>
  <si>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</si>
  <si>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</si>
  <si>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</si>
  <si>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</si>
  <si>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</si>
  <si>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</si>
  <si>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</si>
  <si>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</si>
  <si>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</si>
  <si>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</si>
  <si>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</si>
  <si>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</si>
  <si>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</si>
  <si>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</si>
  <si>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</si>
  <si>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</si>
  <si>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</si>
  <si>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</si>
  <si>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</si>
  <si>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</si>
  <si>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</si>
  <si>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</si>
  <si>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</si>
  <si>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</si>
  <si>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</si>
  <si>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</si>
  <si>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</si>
  <si>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</si>
  <si>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</si>
  <si>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どんぶり給食</t>
  </si>
  <si>
    <t>具材</t>
  </si>
  <si>
    <t>汁もの</t>
  </si>
  <si>
    <t>どんぶり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</si>
  <si>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</si>
  <si>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</si>
  <si>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</si>
  <si>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</si>
  <si>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</si>
  <si>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</si>
  <si>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</si>
  <si>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</si>
  <si>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</si>
  <si>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</si>
  <si>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</si>
  <si>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</si>
  <si>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</si>
  <si>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</si>
  <si>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</si>
  <si>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</si>
  <si>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</si>
  <si>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</si>
  <si>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</si>
  <si>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</si>
  <si>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</si>
  <si>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</si>
  <si>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</si>
  <si>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</si>
  <si>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</si>
  <si>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</si>
  <si>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</si>
  <si>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</si>
  <si>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</si>
  <si>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</si>
  <si>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</si>
  <si>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</si>
  <si>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</si>
  <si>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</si>
  <si>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</si>
  <si>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</si>
  <si>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</si>
  <si>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</si>
  <si>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</si>
  <si>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</si>
  <si>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</si>
  <si>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</si>
  <si>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</si>
  <si>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</si>
  <si>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</si>
  <si>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</si>
  <si>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</si>
  <si>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</si>
  <si>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</si>
  <si>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</si>
  <si>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</si>
  <si>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</si>
  <si>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</si>
  <si>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</si>
  <si>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</si>
  <si>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</si>
  <si>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</si>
  <si>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</si>
  <si>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</si>
  <si>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</si>
  <si>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</si>
  <si>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</si>
  <si>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</si>
  <si>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</si>
  <si>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</si>
  <si>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</si>
  <si>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</si>
  <si>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</si>
  <si>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</si>
  <si>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</si>
  <si>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</si>
  <si>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</si>
  <si>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</si>
  <si>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</si>
  <si>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</si>
  <si>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</si>
  <si>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</si>
  <si>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</si>
  <si>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</si>
  <si>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</si>
  <si>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</si>
  <si>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</si>
  <si>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</si>
  <si>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</si>
  <si>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</si>
  <si>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</si>
  <si>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</si>
  <si>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</si>
  <si>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</si>
  <si>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</si>
  <si>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</si>
  <si>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</si>
  <si>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</si>
  <si>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</si>
  <si>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</si>
  <si>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</si>
  <si>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</si>
  <si>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</si>
  <si>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</si>
  <si>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</si>
  <si>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</si>
  <si>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</si>
  <si>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</si>
  <si>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</si>
  <si>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</si>
  <si>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</si>
  <si>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</si>
  <si>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</si>
  <si>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</si>
  <si>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</si>
  <si>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</si>
  <si>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</si>
  <si>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</si>
  <si>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</si>
  <si>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</si>
  <si>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</si>
  <si>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</si>
  <si>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</si>
  <si>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</si>
  <si>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</si>
  <si>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</si>
  <si>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</si>
  <si>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</si>
  <si>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</si>
  <si>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</si>
  <si>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</si>
  <si>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</si>
  <si>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</si>
  <si>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</si>
  <si>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</si>
  <si>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</si>
  <si>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</si>
  <si>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</si>
  <si>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</si>
  <si>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</si>
  <si>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</si>
  <si>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</si>
  <si>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</si>
  <si>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</si>
  <si>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</si>
  <si>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</si>
  <si>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</si>
  <si>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</si>
  <si>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</si>
  <si>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</si>
  <si>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</si>
  <si>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</si>
  <si>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</si>
  <si>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</si>
  <si>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</si>
  <si>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</si>
  <si>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</si>
  <si>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</si>
  <si>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</si>
  <si>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</si>
  <si>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</si>
  <si>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</si>
  <si>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</si>
  <si>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</si>
  <si>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</si>
  <si>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</si>
  <si>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</si>
  <si>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</si>
  <si>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</si>
  <si>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</si>
  <si>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</si>
  <si>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</si>
  <si>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</si>
  <si>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</si>
  <si>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</si>
  <si>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</si>
  <si>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</si>
  <si>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</si>
  <si>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</si>
  <si>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</si>
  <si>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</si>
  <si>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</si>
  <si>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</si>
  <si>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</si>
  <si>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</si>
  <si>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</si>
  <si>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</si>
  <si>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</si>
  <si>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</si>
  <si>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</si>
  <si>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</si>
  <si>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</si>
  <si>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</si>
  <si>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</si>
  <si>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</si>
  <si>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</si>
  <si>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</si>
  <si>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</si>
  <si>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</si>
  <si>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</si>
  <si>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</si>
  <si>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</si>
  <si>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</si>
  <si>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</si>
  <si>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</si>
  <si>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</si>
  <si>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</si>
  <si>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</si>
  <si>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</si>
  <si>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</si>
  <si>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</si>
  <si>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</si>
  <si>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</si>
  <si>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</si>
  <si>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</si>
  <si>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</si>
  <si>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</si>
  <si>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</si>
  <si>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どこ食</t>
  </si>
  <si>
    <t>おかず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</si>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</sst>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rgb="FFFF33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11"/>
      <color rgb="FF000000"/>
      <name val="游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60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2" fillId="0" borderId="0" xfId="0" applyFont="1" applyAlignment="1"/>
    <xf numFmtId="0" fontId="7" fillId="0" borderId="0" xfId="0" applyFont="1">
      <alignment vertical="center"/>
    </xf>
    <xf numFmtId="0" fontId="12" fillId="0" borderId="11" xfId="0" applyFont="1" applyBorder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0" fillId="0" borderId="15" xfId="0" applyBorder="1" applyAlignme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>
      <alignment horizontal="left" vertical="center"/>
    </xf>
    <xf numFmtId="176" fontId="15" fillId="0" borderId="0" xfId="0" applyNumberFormat="1" applyFont="1" applyAlignment="1">
      <alignment horizontal="right" vertical="center"/>
    </xf>
    <xf numFmtId="0" fontId="18" fillId="0" borderId="0" xfId="0" applyFont="1" applyAlignment="1"/>
    <xf numFmtId="0" fontId="10" fillId="0" borderId="0" xfId="0" applyFont="1" applyAlignment="1"/>
    <xf numFmtId="0" fontId="20" fillId="0" borderId="0" xfId="0" applyFont="1">
      <alignment vertical="center"/>
    </xf>
    <xf numFmtId="0" fontId="20" fillId="5" borderId="0" xfId="0" applyFont="1" applyFill="1">
      <alignment vertical="center"/>
    </xf>
    <xf numFmtId="176" fontId="20" fillId="5" borderId="0" xfId="0" applyNumberFormat="1" applyFont="1" applyFill="1">
      <alignment vertical="center"/>
    </xf>
    <xf numFmtId="0" fontId="6" fillId="0" borderId="0" xfId="0" applyFont="1" applyAlignment="1"/>
    <xf numFmtId="0" fontId="22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2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8" borderId="0" xfId="0" applyFill="1">
      <alignment vertical="center"/>
    </xf>
    <xf numFmtId="0" fontId="23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4" fillId="0" borderId="0" xfId="0" applyFont="1">
      <alignment vertical="center"/>
    </xf>
    <xf numFmtId="0" fontId="23" fillId="0" borderId="16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5" borderId="6" xfId="0" applyFont="1" applyFill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/>
    </xf>
    <xf numFmtId="0" fontId="25" fillId="0" borderId="22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/>
    </xf>
    <xf numFmtId="0" fontId="25" fillId="8" borderId="0" xfId="0" applyFont="1" applyFill="1" applyAlignment="1">
      <alignment horizontal="center" vertical="center"/>
    </xf>
    <xf numFmtId="0" fontId="25" fillId="8" borderId="16" xfId="0" applyFont="1" applyFill="1" applyBorder="1" applyAlignment="1">
      <alignment horizontal="center" vertical="center"/>
    </xf>
    <xf numFmtId="0" fontId="25" fillId="8" borderId="15" xfId="0" applyFont="1" applyFill="1" applyBorder="1" applyAlignment="1">
      <alignment horizontal="center" vertical="center"/>
    </xf>
    <xf numFmtId="0" fontId="25" fillId="8" borderId="22" xfId="0" applyFont="1" applyFill="1" applyBorder="1" applyAlignment="1">
      <alignment horizontal="center" vertical="center"/>
    </xf>
    <xf numFmtId="0" fontId="25" fillId="7" borderId="1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" xfId="0" applyFont="1" applyFill="1" applyBorder="1" applyAlignment="1">
      <alignment horizontal="center"/>
    </xf>
    <xf numFmtId="0" fontId="26" fillId="5" borderId="28" xfId="0" applyFont="1" applyFill="1" applyBorder="1" applyAlignment="1">
      <alignment horizontal="center"/>
    </xf>
    <xf numFmtId="0" fontId="27" fillId="7" borderId="1" xfId="0" applyFont="1" applyFill="1" applyBorder="1" applyAlignment="1">
      <alignment horizontal="center" vertical="center"/>
    </xf>
    <xf numFmtId="0" fontId="28" fillId="5" borderId="18" xfId="0" applyFont="1" applyFill="1" applyBorder="1" applyAlignment="1">
      <alignment horizontal="center" vertical="center"/>
    </xf>
    <xf numFmtId="0" fontId="28" fillId="5" borderId="1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8" fillId="5" borderId="18" xfId="0" applyFont="1" applyFill="1" applyBorder="1" applyAlignment="1">
      <alignment horizontal="center"/>
    </xf>
    <xf numFmtId="0" fontId="28" fillId="5" borderId="2" xfId="0" applyFont="1" applyFill="1" applyBorder="1" applyAlignment="1">
      <alignment horizontal="center"/>
    </xf>
    <xf numFmtId="0" fontId="28" fillId="5" borderId="28" xfId="0" applyFont="1" applyFill="1" applyBorder="1" applyAlignment="1">
      <alignment horizontal="center"/>
    </xf>
    <xf numFmtId="0" fontId="25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5" fillId="0" borderId="21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177" fontId="25" fillId="0" borderId="6" xfId="0" applyNumberFormat="1" applyFont="1" applyBorder="1" applyAlignment="1">
      <alignment horizontal="center" vertical="center"/>
    </xf>
    <xf numFmtId="177" fontId="25" fillId="0" borderId="7" xfId="0" applyNumberFormat="1" applyFont="1" applyBorder="1" applyAlignment="1">
      <alignment horizontal="center" vertical="center"/>
    </xf>
    <xf numFmtId="177" fontId="25" fillId="0" borderId="19" xfId="0" applyNumberFormat="1" applyFont="1" applyBorder="1" applyAlignment="1">
      <alignment horizontal="center" vertical="center"/>
    </xf>
    <xf numFmtId="0" fontId="25" fillId="5" borderId="30" xfId="0" applyFont="1" applyFill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31" fillId="0" borderId="0" xfId="0" applyFont="1">
      <alignment vertical="center"/>
    </xf>
    <xf numFmtId="0" fontId="31" fillId="0" borderId="3" xfId="0" applyFont="1" applyBorder="1">
      <alignment vertical="center"/>
    </xf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6" xfId="0" applyFont="1" applyBorder="1">
      <alignment vertical="center"/>
    </xf>
    <xf numFmtId="0" fontId="31" fillId="0" borderId="9" xfId="0" applyFont="1" applyBorder="1">
      <alignment vertical="center"/>
    </xf>
    <xf numFmtId="0" fontId="31" fillId="0" borderId="0" xfId="0" applyFont="1" applyAlignment="1"/>
    <xf numFmtId="0" fontId="31" fillId="8" borderId="0" xfId="0" applyFont="1" applyFill="1" applyAlignment="1">
      <alignment horizontal="center" vertical="center"/>
    </xf>
    <xf numFmtId="0" fontId="32" fillId="0" borderId="1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34" fillId="0" borderId="0" xfId="0" applyFont="1" applyAlignment="1"/>
    <xf numFmtId="0" fontId="31" fillId="0" borderId="13" xfId="0" applyFont="1" applyBorder="1" applyAlignment="1">
      <alignment horizontal="left" vertical="center"/>
    </xf>
    <xf numFmtId="0" fontId="35" fillId="0" borderId="8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7" fillId="0" borderId="7" xfId="0" applyFont="1" applyBorder="1" applyAlignment="1">
      <alignment horizontal="center" vertical="center"/>
    </xf>
    <xf numFmtId="0" fontId="38" fillId="0" borderId="17" xfId="0" applyFont="1" applyBorder="1" applyAlignment="1">
      <alignment horizontal="right" vertical="center"/>
    </xf>
    <xf numFmtId="0" fontId="36" fillId="0" borderId="14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7" xfId="0" applyFont="1" applyBorder="1">
      <alignment vertical="center"/>
    </xf>
    <xf numFmtId="0" fontId="31" fillId="0" borderId="8" xfId="0" applyFont="1" applyBorder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/>
    </xf>
    <xf numFmtId="0" fontId="39" fillId="0" borderId="18" xfId="0" applyFont="1" applyBorder="1" applyAlignment="1">
      <alignment horizontal="center" vertical="center"/>
    </xf>
    <xf numFmtId="0" fontId="39" fillId="0" borderId="28" xfId="0" applyFont="1" applyBorder="1" applyAlignment="1">
      <alignment horizontal="center" vertical="center"/>
    </xf>
    <xf numFmtId="0" fontId="31" fillId="0" borderId="14" xfId="0" applyFont="1" applyBorder="1">
      <alignment vertical="center"/>
    </xf>
    <xf numFmtId="0" fontId="31" fillId="0" borderId="2" xfId="0" applyFont="1" applyBorder="1">
      <alignment vertical="center"/>
    </xf>
    <xf numFmtId="0" fontId="31" fillId="0" borderId="0" xfId="0" applyFont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7" fillId="4" borderId="13" xfId="0" applyFont="1" applyFill="1" applyBorder="1" applyAlignment="1">
      <alignment horizontal="center" vertical="center"/>
    </xf>
    <xf numFmtId="0" fontId="37" fillId="5" borderId="28" xfId="0" applyFont="1" applyFill="1" applyBorder="1" applyAlignment="1">
      <alignment horizontal="center" vertical="center"/>
    </xf>
    <xf numFmtId="0" fontId="37" fillId="0" borderId="2" xfId="0" applyFont="1" applyBorder="1">
      <alignment vertical="center"/>
    </xf>
    <xf numFmtId="0" fontId="31" fillId="0" borderId="16" xfId="0" applyFont="1" applyBorder="1">
      <alignment vertical="center"/>
    </xf>
    <xf numFmtId="0" fontId="31" fillId="0" borderId="21" xfId="0" applyFont="1" applyBorder="1" applyAlignment="1">
      <alignment horizontal="center" vertical="center"/>
    </xf>
    <xf numFmtId="0" fontId="31" fillId="0" borderId="7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31" fillId="0" borderId="15" xfId="0" applyFont="1" applyBorder="1" applyAlignment="1">
      <alignment horizontal="left" vertical="center"/>
    </xf>
    <xf numFmtId="0" fontId="31" fillId="0" borderId="10" xfId="0" applyFont="1" applyBorder="1" applyAlignment="1">
      <alignment horizontal="left" vertical="center"/>
    </xf>
    <xf numFmtId="0" fontId="31" fillId="0" borderId="15" xfId="0" applyFont="1" applyBorder="1">
      <alignment vertical="center"/>
    </xf>
    <xf numFmtId="0" fontId="31" fillId="0" borderId="10" xfId="0" applyFont="1" applyBorder="1">
      <alignment vertical="center"/>
    </xf>
    <xf numFmtId="0" fontId="31" fillId="0" borderId="2" xfId="0" applyFont="1" applyBorder="1" applyAlignment="1"/>
    <xf numFmtId="0" fontId="31" fillId="0" borderId="1" xfId="0" applyFont="1" applyBorder="1" applyAlignment="1"/>
    <xf numFmtId="0" fontId="37" fillId="0" borderId="0" xfId="0" applyFont="1" applyAlignment="1"/>
    <xf numFmtId="0" fontId="38" fillId="0" borderId="17" xfId="0" applyFont="1" applyBorder="1" applyAlignment="1">
      <alignment horizontal="center" vertical="center"/>
    </xf>
    <xf numFmtId="0" fontId="4" fillId="0" borderId="13" xfId="0" applyFont="1" applyBorder="1">
      <alignment vertical="center"/>
    </xf>
    <xf numFmtId="0" fontId="20" fillId="5" borderId="0" xfId="0" applyFont="1" applyFill="1" applyAlignment="1">
      <alignment vertical="center" wrapText="1"/>
    </xf>
    <xf numFmtId="0" fontId="20" fillId="0" borderId="0" xfId="0" applyFont="1" applyAlignment="1"/>
    <xf numFmtId="0" fontId="20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20" fillId="3" borderId="0" xfId="0" applyFont="1" applyFill="1" applyAlignment="1">
      <alignment horizontal="left" vertical="center"/>
    </xf>
    <xf numFmtId="0" fontId="20" fillId="3" borderId="0" xfId="0" applyFont="1" applyFill="1">
      <alignment vertical="center"/>
    </xf>
    <xf numFmtId="176" fontId="20" fillId="3" borderId="0" xfId="0" applyNumberFormat="1" applyFont="1" applyFill="1">
      <alignment vertical="center"/>
    </xf>
    <xf numFmtId="0" fontId="20" fillId="3" borderId="0" xfId="0" applyFont="1" applyFill="1" applyAlignment="1">
      <alignment vertical="center" wrapText="1"/>
    </xf>
    <xf numFmtId="0" fontId="20" fillId="8" borderId="0" xfId="0" applyFont="1" applyFill="1">
      <alignment vertical="center"/>
    </xf>
    <xf numFmtId="0" fontId="20" fillId="8" borderId="0" xfId="0" applyFont="1" applyFill="1" applyAlignment="1">
      <alignment horizontal="left" vertical="center"/>
    </xf>
    <xf numFmtId="0" fontId="20" fillId="8" borderId="0" xfId="0" applyFont="1" applyFill="1" applyAlignment="1">
      <alignment vertical="center" wrapText="1"/>
    </xf>
    <xf numFmtId="176" fontId="20" fillId="8" borderId="0" xfId="0" applyNumberFormat="1" applyFont="1" applyFill="1">
      <alignment vertical="center"/>
    </xf>
    <xf numFmtId="22" fontId="0" fillId="0" borderId="0" xfId="0" applyNumberFormat="1">
      <alignment vertical="center"/>
    </xf>
    <xf numFmtId="0" fontId="0" fillId="10" borderId="6" xfId="0" applyFill="1" applyBorder="1">
      <alignment vertical="center"/>
    </xf>
    <xf numFmtId="0" fontId="0" fillId="10" borderId="11" xfId="0" applyFill="1" applyBorder="1">
      <alignment vertical="center"/>
    </xf>
    <xf numFmtId="0" fontId="0" fillId="10" borderId="9" xfId="0" applyFill="1" applyBorder="1">
      <alignment vertical="center"/>
    </xf>
    <xf numFmtId="176" fontId="20" fillId="0" borderId="0" xfId="0" applyNumberFormat="1" applyFont="1">
      <alignment vertical="center"/>
    </xf>
    <xf numFmtId="0" fontId="21" fillId="11" borderId="0" xfId="0" applyFont="1" applyFill="1">
      <alignment vertical="center"/>
    </xf>
    <xf numFmtId="0" fontId="20" fillId="2" borderId="0" xfId="0" applyFont="1" applyFill="1">
      <alignment vertical="center"/>
    </xf>
    <xf numFmtId="0" fontId="20" fillId="2" borderId="0" xfId="0" applyFont="1" applyFill="1" applyAlignment="1"/>
    <xf numFmtId="176" fontId="20" fillId="2" borderId="0" xfId="0" applyNumberFormat="1" applyFont="1" applyFill="1">
      <alignment vertical="center"/>
    </xf>
    <xf numFmtId="0" fontId="20" fillId="6" borderId="0" xfId="0" applyFont="1" applyFill="1">
      <alignment vertical="center"/>
    </xf>
    <xf numFmtId="0" fontId="20" fillId="6" borderId="0" xfId="0" applyFont="1" applyFill="1" applyAlignment="1"/>
    <xf numFmtId="176" fontId="20" fillId="6" borderId="0" xfId="0" applyNumberFormat="1" applyFont="1" applyFill="1" applyAlignment="1"/>
    <xf numFmtId="0" fontId="20" fillId="6" borderId="0" xfId="0" applyFont="1" applyFill="1" applyAlignment="1">
      <alignment horizontal="right"/>
    </xf>
    <xf numFmtId="0" fontId="20" fillId="8" borderId="0" xfId="0" applyFont="1" applyFill="1" applyAlignment="1"/>
    <xf numFmtId="0" fontId="20" fillId="9" borderId="0" xfId="0" applyFont="1" applyFill="1">
      <alignment vertical="center"/>
    </xf>
    <xf numFmtId="0" fontId="20" fillId="9" borderId="0" xfId="0" applyFont="1" applyFill="1" applyAlignment="1"/>
    <xf numFmtId="0" fontId="20" fillId="11" borderId="0" xfId="0" applyFont="1" applyFill="1">
      <alignment vertical="center"/>
    </xf>
    <xf numFmtId="176" fontId="20" fillId="11" borderId="0" xfId="0" applyNumberFormat="1" applyFont="1" applyFill="1">
      <alignment vertical="center"/>
    </xf>
    <xf numFmtId="0" fontId="21" fillId="8" borderId="0" xfId="0" applyFont="1" applyFill="1">
      <alignment vertical="center"/>
    </xf>
    <xf numFmtId="0" fontId="21" fillId="3" borderId="0" xfId="0" applyFont="1" applyFill="1">
      <alignment vertical="center"/>
    </xf>
    <xf numFmtId="0" fontId="21" fillId="5" borderId="0" xfId="0" applyFont="1" applyFill="1">
      <alignment vertical="center"/>
    </xf>
    <xf numFmtId="0" fontId="0" fillId="0" borderId="1" xfId="0" applyBorder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26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0" fillId="0" borderId="11" xfId="0" applyBorder="1" applyAlignment="1"/>
    <xf numFmtId="0" fontId="0" fillId="0" borderId="9" xfId="0" applyBorder="1" applyAlignment="1"/>
    <xf numFmtId="0" fontId="0" fillId="0" borderId="26" xfId="0" applyBorder="1" applyAlignment="1"/>
    <xf numFmtId="0" fontId="0" fillId="0" borderId="24" xfId="0" applyBorder="1" applyAlignment="1"/>
    <xf numFmtId="22" fontId="31" fillId="0" borderId="22" xfId="0" applyNumberFormat="1" applyFont="1" applyBorder="1" applyAlignment="1">
      <alignment horizontal="center" vertical="center"/>
    </xf>
    <xf numFmtId="0" fontId="37" fillId="0" borderId="13" xfId="0" applyFont="1" applyBorder="1" applyAlignment="1">
      <alignment horizontal="center" vertical="center"/>
    </xf>
    <xf numFmtId="0" fontId="37" fillId="0" borderId="28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22" fontId="25" fillId="0" borderId="30" xfId="0" applyNumberFormat="1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1" xfId="0" applyFont="1" applyBorder="1">
      <alignment vertical="center"/>
    </xf>
    <xf numFmtId="0" fontId="26" fillId="0" borderId="13" xfId="0" applyFont="1" applyBorder="1">
      <alignment vertical="center"/>
    </xf>
    <xf numFmtId="0" fontId="26" fillId="0" borderId="18" xfId="0" applyFont="1" applyBorder="1" applyAlignment="1">
      <alignment horizontal="center" vertical="center"/>
    </xf>
    <xf numFmtId="0" fontId="26" fillId="0" borderId="25" xfId="0" applyFont="1" applyBorder="1">
      <alignment vertical="center"/>
    </xf>
    <xf numFmtId="0" fontId="26" fillId="0" borderId="2" xfId="0" applyFont="1" applyBorder="1" applyAlignment="1">
      <alignment horizontal="center" vertical="center"/>
    </xf>
    <xf numFmtId="0" fontId="26" fillId="0" borderId="2" xfId="0" applyFont="1" applyBorder="1" applyAlignment="1">
      <alignment horizontal="center"/>
    </xf>
    <xf numFmtId="0" fontId="26" fillId="0" borderId="18" xfId="0" applyFont="1" applyBorder="1" applyAlignment="1">
      <alignment horizontal="center"/>
    </xf>
    <xf numFmtId="0" fontId="26" fillId="0" borderId="28" xfId="0" applyFont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/>
    </xf>
    <xf numFmtId="0" fontId="28" fillId="0" borderId="18" xfId="0" applyFont="1" applyBorder="1" applyAlignment="1">
      <alignment horizontal="center"/>
    </xf>
    <xf numFmtId="0" fontId="28" fillId="0" borderId="28" xfId="0" applyFont="1" applyBorder="1" applyAlignment="1">
      <alignment horizontal="center"/>
    </xf>
    <xf numFmtId="0" fontId="26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26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6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30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0" fillId="0" borderId="15" xfId="0" applyBorder="1" applyAlignment="1"/>
    <xf numFmtId="0" fontId="19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8" fillId="0" borderId="5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350520</xdr:colOff>
          <xdr:row>0</xdr:row>
          <xdr:rowOff>0</xdr:rowOff>
        </xdr:from>
        <xdr:to>
          <xdr:col>39</xdr:col>
          <xdr:colOff>1783080</xdr:colOff>
          <xdr:row>1</xdr:row>
          <xdr:rowOff>198120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A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F13"/>
  <sheetViews>
    <sheetView workbookViewId="0">
      <selection sqref="A1:B1048576"/>
    </sheetView>
  </sheetViews>
  <sheetFormatPr defaultRowHeight="18"/>
  <cols>
    <col min="1" max="1" width="16.69921875" style="29" customWidth="1"/>
    <col min="5" max="5" width="21.69921875" style="29" customWidth="1"/>
  </cols>
  <sheetData>
    <row r="1" spans="1:6">
      <c r="A1"/>
      <c r="E1" t="s">
        <v>1</v>
      </c>
      <c r="F1">
        <v>24</v>
      </c>
    </row>
    <row r="2" spans="1:6">
      <c r="A2"/>
      <c r="E2" t="s">
        <v>3</v>
      </c>
      <c r="F2">
        <v>24</v>
      </c>
    </row>
    <row r="3" spans="1:6">
      <c r="A3"/>
      <c r="E3" t="str">
        <f t="shared" ref="E3:E13" si="0">IF(A1&lt;&gt;"",A1,"")</f>
        <v/>
      </c>
      <c r="F3" t="str">
        <f t="shared" ref="F3:F13" si="1">IF(B1&lt;&gt;"",B1,"")</f>
        <v/>
      </c>
    </row>
    <row r="4" spans="1:6">
      <c r="A4"/>
      <c r="E4" t="str">
        <f t="shared" si="0"/>
        <v/>
      </c>
      <c r="F4" t="str">
        <f t="shared" si="1"/>
        <v/>
      </c>
    </row>
    <row r="5" spans="1:6">
      <c r="A5"/>
      <c r="E5" t="str">
        <f t="shared" si="0"/>
        <v/>
      </c>
      <c r="F5" t="str">
        <f t="shared" si="1"/>
        <v/>
      </c>
    </row>
    <row r="6" spans="1:6">
      <c r="A6"/>
      <c r="E6" t="str">
        <f t="shared" si="0"/>
        <v/>
      </c>
      <c r="F6" t="str">
        <f t="shared" si="1"/>
        <v/>
      </c>
    </row>
    <row r="7" spans="1:6">
      <c r="A7"/>
      <c r="E7" t="str">
        <f t="shared" si="0"/>
        <v/>
      </c>
      <c r="F7" t="str">
        <f t="shared" si="1"/>
        <v/>
      </c>
    </row>
    <row r="8" spans="1:6">
      <c r="A8"/>
      <c r="E8" t="str">
        <f t="shared" si="0"/>
        <v/>
      </c>
      <c r="F8" t="str">
        <f t="shared" si="1"/>
        <v/>
      </c>
    </row>
    <row r="9" spans="1:6">
      <c r="E9" t="str">
        <f t="shared" si="0"/>
        <v/>
      </c>
      <c r="F9" t="str">
        <f t="shared" si="1"/>
        <v/>
      </c>
    </row>
    <row r="10" spans="1:6">
      <c r="E10" t="str">
        <f t="shared" si="0"/>
        <v/>
      </c>
      <c r="F10" t="str">
        <f t="shared" si="1"/>
        <v/>
      </c>
    </row>
    <row r="11" spans="1:6">
      <c r="E11" t="str">
        <f t="shared" si="0"/>
        <v/>
      </c>
      <c r="F11" t="str">
        <f t="shared" si="1"/>
        <v/>
      </c>
    </row>
    <row r="12" spans="1:6">
      <c r="E12" t="str">
        <f t="shared" si="0"/>
        <v/>
      </c>
      <c r="F12" t="str">
        <f t="shared" si="1"/>
        <v/>
      </c>
    </row>
    <row r="13" spans="1:6">
      <c r="E13" t="str">
        <f t="shared" si="0"/>
        <v/>
      </c>
      <c r="F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V70"/>
  <sheetViews>
    <sheetView workbookViewId="0">
      <selection activeCell="G1" sqref="A1:G1048576"/>
    </sheetView>
  </sheetViews>
  <sheetFormatPr defaultRowHeight="18"/>
  <cols>
    <col min="1" max="1" width="28.59765625" style="29" customWidth="1"/>
    <col min="8" max="8" width="3.19921875" style="120" customWidth="1"/>
    <col min="9" max="9" width="5.59765625" style="29" customWidth="1"/>
    <col min="10" max="15" width="14.796875" style="29" customWidth="1"/>
    <col min="16" max="21" width="4" style="29" customWidth="1"/>
  </cols>
  <sheetData>
    <row r="1" spans="1:22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</row>
    <row r="2" spans="1:22">
      <c r="A2"/>
      <c r="I2">
        <f t="shared" ref="I2:I33" si="7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</row>
    <row r="3" spans="1:22">
      <c r="A3"/>
      <c r="I3">
        <f t="shared" si="7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</row>
    <row r="4" spans="1:22">
      <c r="A4"/>
      <c r="I4">
        <f t="shared" si="7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</row>
    <row r="5" spans="1:22">
      <c r="A5"/>
      <c r="I5">
        <f t="shared" si="7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</row>
    <row r="6" spans="1:22">
      <c r="A6"/>
      <c r="I6">
        <f t="shared" si="7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</row>
    <row r="7" spans="1:22">
      <c r="A7"/>
      <c r="I7">
        <f t="shared" si="7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</row>
    <row r="8" spans="1:22">
      <c r="A8"/>
      <c r="I8">
        <f t="shared" si="7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</row>
    <row r="9" spans="1:22">
      <c r="A9"/>
      <c r="I9">
        <f t="shared" si="7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</row>
    <row r="10" spans="1:22">
      <c r="A10"/>
      <c r="I10">
        <f t="shared" si="7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</row>
    <row r="11" spans="1:22">
      <c r="A11"/>
      <c r="I11">
        <f t="shared" si="7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</row>
    <row r="12" spans="1:22">
      <c r="A12"/>
      <c r="I12">
        <f t="shared" si="7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</row>
    <row r="13" spans="1:22">
      <c r="A13"/>
      <c r="I13">
        <f t="shared" si="7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</row>
    <row r="14" spans="1:22">
      <c r="A14"/>
      <c r="I14">
        <f t="shared" si="7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</row>
    <row r="15" spans="1:22">
      <c r="A15"/>
      <c r="I15">
        <f t="shared" si="7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</row>
    <row r="16" spans="1:22">
      <c r="A16"/>
      <c r="I16">
        <f t="shared" si="7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</row>
    <row r="17" spans="1:22">
      <c r="A17"/>
      <c r="I17">
        <f t="shared" si="7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</row>
    <row r="18" spans="1:22">
      <c r="A18"/>
      <c r="I18">
        <f t="shared" si="7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</row>
    <row r="19" spans="1:22">
      <c r="A19"/>
      <c r="I19">
        <f t="shared" si="7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</row>
    <row r="20" spans="1:22">
      <c r="A20"/>
      <c r="I20">
        <f t="shared" si="7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</row>
    <row r="21" spans="1:22">
      <c r="A21"/>
      <c r="I21">
        <f t="shared" si="7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</row>
    <row r="22" spans="1:22">
      <c r="A22"/>
      <c r="I22">
        <f t="shared" si="7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</row>
    <row r="23" spans="1:22">
      <c r="A23"/>
      <c r="I23">
        <f t="shared" si="7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</row>
    <row r="24" spans="1:22">
      <c r="A24"/>
      <c r="I24">
        <f t="shared" si="7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</row>
    <row r="25" spans="1:22">
      <c r="A25"/>
      <c r="I25">
        <f t="shared" si="7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</row>
    <row r="26" spans="1:22">
      <c r="A26"/>
      <c r="I26">
        <f t="shared" si="7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</row>
    <row r="27" spans="1:22">
      <c r="A27"/>
      <c r="I27">
        <f t="shared" si="7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</row>
    <row r="28" spans="1:22">
      <c r="A28"/>
      <c r="I28">
        <f t="shared" si="7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</row>
    <row r="29" spans="1:22">
      <c r="A29"/>
      <c r="I29">
        <f t="shared" si="7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</row>
    <row r="30" spans="1:22">
      <c r="A30"/>
      <c r="I30">
        <f t="shared" si="7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</row>
    <row r="31" spans="1:22">
      <c r="A31"/>
      <c r="I31">
        <f t="shared" si="7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</row>
    <row r="32" spans="1:22">
      <c r="A32"/>
      <c r="I32">
        <f t="shared" si="7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</row>
    <row r="33" spans="1:22">
      <c r="A33"/>
      <c r="I33">
        <f t="shared" si="7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8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9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0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1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2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3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4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</row>
    <row r="34" spans="1:22">
      <c r="A34"/>
      <c r="I34">
        <f t="shared" ref="I34:I70" si="15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8"/>
        <v/>
      </c>
      <c r="Q34" t="str">
        <f t="shared" ca="1" si="9"/>
        <v/>
      </c>
      <c r="R34" t="str">
        <f t="shared" ca="1" si="10"/>
        <v/>
      </c>
      <c r="S34" t="str">
        <f t="shared" ca="1" si="11"/>
        <v/>
      </c>
      <c r="T34" t="str">
        <f t="shared" ca="1" si="12"/>
        <v/>
      </c>
      <c r="U34" t="str">
        <f t="shared" ca="1" si="13"/>
        <v/>
      </c>
      <c r="V34" t="str">
        <f t="shared" ca="1" si="14"/>
        <v/>
      </c>
    </row>
    <row r="35" spans="1:22">
      <c r="A35"/>
      <c r="I35">
        <f t="shared" si="15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8"/>
        <v/>
      </c>
      <c r="Q35" t="str">
        <f t="shared" ca="1" si="9"/>
        <v/>
      </c>
      <c r="R35" t="str">
        <f t="shared" ca="1" si="10"/>
        <v/>
      </c>
      <c r="S35" t="str">
        <f t="shared" ca="1" si="11"/>
        <v/>
      </c>
      <c r="T35" t="str">
        <f t="shared" ca="1" si="12"/>
        <v/>
      </c>
      <c r="U35" t="str">
        <f t="shared" ca="1" si="13"/>
        <v/>
      </c>
      <c r="V35" t="str">
        <f t="shared" ca="1" si="14"/>
        <v/>
      </c>
    </row>
    <row r="36" spans="1:22">
      <c r="A36"/>
      <c r="I36">
        <f t="shared" si="15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8"/>
        <v/>
      </c>
      <c r="Q36" t="str">
        <f t="shared" ca="1" si="9"/>
        <v/>
      </c>
      <c r="R36" t="str">
        <f t="shared" ca="1" si="10"/>
        <v/>
      </c>
      <c r="S36" t="str">
        <f t="shared" ca="1" si="11"/>
        <v/>
      </c>
      <c r="T36" t="str">
        <f t="shared" ca="1" si="12"/>
        <v/>
      </c>
      <c r="U36" t="str">
        <f t="shared" ca="1" si="13"/>
        <v/>
      </c>
      <c r="V36" t="str">
        <f t="shared" ca="1" si="14"/>
        <v/>
      </c>
    </row>
    <row r="37" spans="1:22">
      <c r="A37"/>
      <c r="I37">
        <f t="shared" si="15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8"/>
        <v/>
      </c>
      <c r="Q37" t="str">
        <f t="shared" ca="1" si="9"/>
        <v/>
      </c>
      <c r="R37" t="str">
        <f t="shared" ca="1" si="10"/>
        <v/>
      </c>
      <c r="S37" t="str">
        <f t="shared" ca="1" si="11"/>
        <v/>
      </c>
      <c r="T37" t="str">
        <f t="shared" ca="1" si="12"/>
        <v/>
      </c>
      <c r="U37" t="str">
        <f t="shared" ca="1" si="13"/>
        <v/>
      </c>
      <c r="V37" t="str">
        <f t="shared" ca="1" si="14"/>
        <v/>
      </c>
    </row>
    <row r="38" spans="1:22">
      <c r="A38"/>
      <c r="I38">
        <f t="shared" si="15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8"/>
        <v/>
      </c>
      <c r="Q38" t="str">
        <f t="shared" ca="1" si="9"/>
        <v/>
      </c>
      <c r="R38" t="str">
        <f t="shared" ca="1" si="10"/>
        <v/>
      </c>
      <c r="S38" t="str">
        <f t="shared" ca="1" si="11"/>
        <v/>
      </c>
      <c r="T38" t="str">
        <f t="shared" ca="1" si="12"/>
        <v/>
      </c>
      <c r="U38" t="str">
        <f t="shared" ca="1" si="13"/>
        <v/>
      </c>
      <c r="V38" t="str">
        <f t="shared" ca="1" si="14"/>
        <v/>
      </c>
    </row>
    <row r="39" spans="1:22">
      <c r="A39"/>
      <c r="I39">
        <f t="shared" si="15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8"/>
        <v/>
      </c>
      <c r="Q39" t="str">
        <f t="shared" ca="1" si="9"/>
        <v/>
      </c>
      <c r="R39" t="str">
        <f t="shared" ca="1" si="10"/>
        <v/>
      </c>
      <c r="S39" t="str">
        <f t="shared" ca="1" si="11"/>
        <v/>
      </c>
      <c r="T39" t="str">
        <f t="shared" ca="1" si="12"/>
        <v/>
      </c>
      <c r="U39" t="str">
        <f t="shared" ca="1" si="13"/>
        <v/>
      </c>
      <c r="V39" t="str">
        <f t="shared" ca="1" si="14"/>
        <v/>
      </c>
    </row>
    <row r="40" spans="1:22">
      <c r="A40"/>
      <c r="I40">
        <f t="shared" si="15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8"/>
        <v/>
      </c>
      <c r="Q40" t="str">
        <f t="shared" ca="1" si="9"/>
        <v/>
      </c>
      <c r="R40" t="str">
        <f t="shared" ca="1" si="10"/>
        <v/>
      </c>
      <c r="S40" t="str">
        <f t="shared" ca="1" si="11"/>
        <v/>
      </c>
      <c r="T40" t="str">
        <f t="shared" ca="1" si="12"/>
        <v/>
      </c>
      <c r="U40" t="str">
        <f t="shared" ca="1" si="13"/>
        <v/>
      </c>
      <c r="V40" t="str">
        <f t="shared" ca="1" si="14"/>
        <v/>
      </c>
    </row>
    <row r="41" spans="1:22">
      <c r="A41"/>
      <c r="I41">
        <f t="shared" si="15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8"/>
        <v/>
      </c>
      <c r="Q41" t="str">
        <f t="shared" ca="1" si="9"/>
        <v/>
      </c>
      <c r="R41" t="str">
        <f t="shared" ca="1" si="10"/>
        <v/>
      </c>
      <c r="S41" t="str">
        <f t="shared" ca="1" si="11"/>
        <v/>
      </c>
      <c r="T41" t="str">
        <f t="shared" ca="1" si="12"/>
        <v/>
      </c>
      <c r="U41" t="str">
        <f t="shared" ca="1" si="13"/>
        <v/>
      </c>
      <c r="V41" t="str">
        <f t="shared" ca="1" si="14"/>
        <v/>
      </c>
    </row>
    <row r="42" spans="1:22">
      <c r="A42"/>
      <c r="I42">
        <f t="shared" si="15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8"/>
        <v/>
      </c>
      <c r="Q42" t="str">
        <f t="shared" ca="1" si="9"/>
        <v/>
      </c>
      <c r="R42" t="str">
        <f t="shared" ca="1" si="10"/>
        <v/>
      </c>
      <c r="S42" t="str">
        <f t="shared" ca="1" si="11"/>
        <v/>
      </c>
      <c r="T42" t="str">
        <f t="shared" ca="1" si="12"/>
        <v/>
      </c>
      <c r="U42" t="str">
        <f t="shared" ca="1" si="13"/>
        <v/>
      </c>
      <c r="V42" t="str">
        <f t="shared" ca="1" si="14"/>
        <v/>
      </c>
    </row>
    <row r="43" spans="1:22">
      <c r="A43"/>
      <c r="I43">
        <f t="shared" si="15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8"/>
        <v/>
      </c>
      <c r="Q43" t="str">
        <f t="shared" ca="1" si="9"/>
        <v/>
      </c>
      <c r="R43" t="str">
        <f t="shared" ca="1" si="10"/>
        <v/>
      </c>
      <c r="S43" t="str">
        <f t="shared" ca="1" si="11"/>
        <v/>
      </c>
      <c r="T43" t="str">
        <f t="shared" ca="1" si="12"/>
        <v/>
      </c>
      <c r="U43" t="str">
        <f t="shared" ca="1" si="13"/>
        <v/>
      </c>
      <c r="V43" t="str">
        <f t="shared" ca="1" si="14"/>
        <v/>
      </c>
    </row>
    <row r="44" spans="1:22">
      <c r="A44"/>
      <c r="I44">
        <f t="shared" si="15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8"/>
        <v/>
      </c>
      <c r="Q44" t="str">
        <f t="shared" ca="1" si="9"/>
        <v/>
      </c>
      <c r="R44" t="str">
        <f t="shared" ca="1" si="10"/>
        <v/>
      </c>
      <c r="S44" t="str">
        <f t="shared" ca="1" si="11"/>
        <v/>
      </c>
      <c r="T44" t="str">
        <f t="shared" ca="1" si="12"/>
        <v/>
      </c>
      <c r="U44" t="str">
        <f t="shared" ca="1" si="13"/>
        <v/>
      </c>
      <c r="V44" t="str">
        <f t="shared" ca="1" si="14"/>
        <v/>
      </c>
    </row>
    <row r="45" spans="1:22">
      <c r="A45"/>
      <c r="I45">
        <f t="shared" si="15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8"/>
        <v/>
      </c>
      <c r="Q45" t="str">
        <f t="shared" ca="1" si="9"/>
        <v/>
      </c>
      <c r="R45" t="str">
        <f t="shared" ca="1" si="10"/>
        <v/>
      </c>
      <c r="S45" t="str">
        <f t="shared" ca="1" si="11"/>
        <v/>
      </c>
      <c r="T45" t="str">
        <f t="shared" ca="1" si="12"/>
        <v/>
      </c>
      <c r="U45" t="str">
        <f t="shared" ca="1" si="13"/>
        <v/>
      </c>
      <c r="V45" t="str">
        <f t="shared" ca="1" si="14"/>
        <v/>
      </c>
    </row>
    <row r="46" spans="1:22">
      <c r="A46"/>
      <c r="I46">
        <f t="shared" si="15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8"/>
        <v/>
      </c>
      <c r="Q46" t="str">
        <f t="shared" ca="1" si="9"/>
        <v/>
      </c>
      <c r="R46" t="str">
        <f t="shared" ca="1" si="10"/>
        <v/>
      </c>
      <c r="S46" t="str">
        <f t="shared" ca="1" si="11"/>
        <v/>
      </c>
      <c r="T46" t="str">
        <f t="shared" ca="1" si="12"/>
        <v/>
      </c>
      <c r="U46" t="str">
        <f t="shared" ca="1" si="13"/>
        <v/>
      </c>
      <c r="V46" t="str">
        <f t="shared" ca="1" si="14"/>
        <v/>
      </c>
    </row>
    <row r="47" spans="1:22">
      <c r="A47"/>
      <c r="I47">
        <f t="shared" si="15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8"/>
        <v/>
      </c>
      <c r="Q47" t="str">
        <f t="shared" ca="1" si="9"/>
        <v/>
      </c>
      <c r="R47" t="str">
        <f t="shared" ca="1" si="10"/>
        <v/>
      </c>
      <c r="S47" t="str">
        <f t="shared" ca="1" si="11"/>
        <v/>
      </c>
      <c r="T47" t="str">
        <f t="shared" ca="1" si="12"/>
        <v/>
      </c>
      <c r="U47" t="str">
        <f t="shared" ca="1" si="13"/>
        <v/>
      </c>
      <c r="V47" t="str">
        <f t="shared" ca="1" si="14"/>
        <v/>
      </c>
    </row>
    <row r="48" spans="1:22">
      <c r="A48"/>
      <c r="I48">
        <f t="shared" si="15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8"/>
        <v/>
      </c>
      <c r="Q48" t="str">
        <f t="shared" ca="1" si="9"/>
        <v/>
      </c>
      <c r="R48" t="str">
        <f t="shared" ca="1" si="10"/>
        <v/>
      </c>
      <c r="S48" t="str">
        <f t="shared" ca="1" si="11"/>
        <v/>
      </c>
      <c r="T48" t="str">
        <f t="shared" ca="1" si="12"/>
        <v/>
      </c>
      <c r="U48" t="str">
        <f t="shared" ca="1" si="13"/>
        <v/>
      </c>
      <c r="V48" t="str">
        <f t="shared" ca="1" si="14"/>
        <v/>
      </c>
    </row>
    <row r="49" spans="1:22">
      <c r="A49"/>
      <c r="I49">
        <f t="shared" si="15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8"/>
        <v/>
      </c>
      <c r="Q49" t="str">
        <f t="shared" ca="1" si="9"/>
        <v/>
      </c>
      <c r="R49" t="str">
        <f t="shared" ca="1" si="10"/>
        <v/>
      </c>
      <c r="S49" t="str">
        <f t="shared" ca="1" si="11"/>
        <v/>
      </c>
      <c r="T49" t="str">
        <f t="shared" ca="1" si="12"/>
        <v/>
      </c>
      <c r="U49" t="str">
        <f t="shared" ca="1" si="13"/>
        <v/>
      </c>
      <c r="V49" t="str">
        <f t="shared" ca="1" si="14"/>
        <v/>
      </c>
    </row>
    <row r="50" spans="1:22">
      <c r="A50"/>
      <c r="I50">
        <f t="shared" si="15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8"/>
        <v/>
      </c>
      <c r="Q50" t="str">
        <f t="shared" ca="1" si="9"/>
        <v/>
      </c>
      <c r="R50" t="str">
        <f t="shared" ca="1" si="10"/>
        <v/>
      </c>
      <c r="S50" t="str">
        <f t="shared" ca="1" si="11"/>
        <v/>
      </c>
      <c r="T50" t="str">
        <f t="shared" ca="1" si="12"/>
        <v/>
      </c>
      <c r="U50" t="str">
        <f t="shared" ca="1" si="13"/>
        <v/>
      </c>
      <c r="V50" t="str">
        <f t="shared" ca="1" si="14"/>
        <v/>
      </c>
    </row>
    <row r="51" spans="1:22">
      <c r="A51"/>
      <c r="I51">
        <f t="shared" si="15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8"/>
        <v/>
      </c>
      <c r="Q51" t="str">
        <f t="shared" ca="1" si="9"/>
        <v/>
      </c>
      <c r="R51" t="str">
        <f t="shared" ca="1" si="10"/>
        <v/>
      </c>
      <c r="S51" t="str">
        <f t="shared" ca="1" si="11"/>
        <v/>
      </c>
      <c r="T51" t="str">
        <f t="shared" ca="1" si="12"/>
        <v/>
      </c>
      <c r="U51" t="str">
        <f t="shared" ca="1" si="13"/>
        <v/>
      </c>
      <c r="V51" t="str">
        <f t="shared" ca="1" si="14"/>
        <v/>
      </c>
    </row>
    <row r="52" spans="1:22">
      <c r="A52"/>
      <c r="I52">
        <f t="shared" si="15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8"/>
        <v/>
      </c>
      <c r="Q52" t="str">
        <f t="shared" ca="1" si="9"/>
        <v/>
      </c>
      <c r="R52" t="str">
        <f t="shared" ca="1" si="10"/>
        <v/>
      </c>
      <c r="S52" t="str">
        <f t="shared" ca="1" si="11"/>
        <v/>
      </c>
      <c r="T52" t="str">
        <f t="shared" ca="1" si="12"/>
        <v/>
      </c>
      <c r="U52" t="str">
        <f t="shared" ca="1" si="13"/>
        <v/>
      </c>
      <c r="V52" t="str">
        <f t="shared" ca="1" si="14"/>
        <v/>
      </c>
    </row>
    <row r="53" spans="1:22">
      <c r="A53"/>
      <c r="I53">
        <f t="shared" si="15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8"/>
        <v/>
      </c>
      <c r="Q53" t="str">
        <f t="shared" ca="1" si="9"/>
        <v/>
      </c>
      <c r="R53" t="str">
        <f t="shared" ca="1" si="10"/>
        <v/>
      </c>
      <c r="S53" t="str">
        <f t="shared" ca="1" si="11"/>
        <v/>
      </c>
      <c r="T53" t="str">
        <f t="shared" ca="1" si="12"/>
        <v/>
      </c>
      <c r="U53" t="str">
        <f t="shared" ca="1" si="13"/>
        <v/>
      </c>
      <c r="V53" t="str">
        <f t="shared" ca="1" si="14"/>
        <v/>
      </c>
    </row>
    <row r="54" spans="1:22">
      <c r="A54"/>
      <c r="I54">
        <f t="shared" si="15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8"/>
        <v/>
      </c>
      <c r="Q54" t="str">
        <f t="shared" ca="1" si="9"/>
        <v/>
      </c>
      <c r="R54" t="str">
        <f t="shared" ca="1" si="10"/>
        <v/>
      </c>
      <c r="S54" t="str">
        <f t="shared" ca="1" si="11"/>
        <v/>
      </c>
      <c r="T54" t="str">
        <f t="shared" ca="1" si="12"/>
        <v/>
      </c>
      <c r="U54" t="str">
        <f t="shared" ca="1" si="13"/>
        <v/>
      </c>
      <c r="V54" t="str">
        <f t="shared" ca="1" si="14"/>
        <v/>
      </c>
    </row>
    <row r="55" spans="1:22">
      <c r="A55"/>
      <c r="I55">
        <f t="shared" si="15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8"/>
        <v/>
      </c>
      <c r="Q55" t="str">
        <f t="shared" ca="1" si="9"/>
        <v/>
      </c>
      <c r="R55" t="str">
        <f t="shared" ca="1" si="10"/>
        <v/>
      </c>
      <c r="S55" t="str">
        <f t="shared" ca="1" si="11"/>
        <v/>
      </c>
      <c r="T55" t="str">
        <f t="shared" ca="1" si="12"/>
        <v/>
      </c>
      <c r="U55" t="str">
        <f t="shared" ca="1" si="13"/>
        <v/>
      </c>
      <c r="V55" t="str">
        <f t="shared" ca="1" si="14"/>
        <v/>
      </c>
    </row>
    <row r="56" spans="1:22">
      <c r="A56"/>
      <c r="I56">
        <f t="shared" si="15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8"/>
        <v/>
      </c>
      <c r="Q56" t="str">
        <f t="shared" ca="1" si="9"/>
        <v/>
      </c>
      <c r="R56" t="str">
        <f t="shared" ca="1" si="10"/>
        <v/>
      </c>
      <c r="S56" t="str">
        <f t="shared" ca="1" si="11"/>
        <v/>
      </c>
      <c r="T56" t="str">
        <f t="shared" ca="1" si="12"/>
        <v/>
      </c>
      <c r="U56" t="str">
        <f t="shared" ca="1" si="13"/>
        <v/>
      </c>
      <c r="V56" t="str">
        <f t="shared" ca="1" si="14"/>
        <v/>
      </c>
    </row>
    <row r="57" spans="1:22">
      <c r="A57"/>
      <c r="I57">
        <f t="shared" si="15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8"/>
        <v/>
      </c>
      <c r="Q57" t="str">
        <f t="shared" ca="1" si="9"/>
        <v/>
      </c>
      <c r="R57" t="str">
        <f t="shared" ca="1" si="10"/>
        <v/>
      </c>
      <c r="S57" t="str">
        <f t="shared" ca="1" si="11"/>
        <v/>
      </c>
      <c r="T57" t="str">
        <f t="shared" ca="1" si="12"/>
        <v/>
      </c>
      <c r="U57" t="str">
        <f t="shared" ca="1" si="13"/>
        <v/>
      </c>
      <c r="V57" t="str">
        <f t="shared" ca="1" si="14"/>
        <v/>
      </c>
    </row>
    <row r="58" spans="1:22">
      <c r="A58"/>
      <c r="I58">
        <f t="shared" si="15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8"/>
        <v/>
      </c>
      <c r="Q58" t="str">
        <f t="shared" ca="1" si="9"/>
        <v/>
      </c>
      <c r="R58" t="str">
        <f t="shared" ca="1" si="10"/>
        <v/>
      </c>
      <c r="S58" t="str">
        <f t="shared" ca="1" si="11"/>
        <v/>
      </c>
      <c r="T58" t="str">
        <f t="shared" ca="1" si="12"/>
        <v/>
      </c>
      <c r="U58" t="str">
        <f t="shared" ca="1" si="13"/>
        <v/>
      </c>
      <c r="V58" t="str">
        <f t="shared" ca="1" si="14"/>
        <v/>
      </c>
    </row>
    <row r="59" spans="1:22">
      <c r="A59"/>
      <c r="I59">
        <f t="shared" si="15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8"/>
        <v/>
      </c>
      <c r="Q59" t="str">
        <f t="shared" ca="1" si="9"/>
        <v/>
      </c>
      <c r="R59" t="str">
        <f t="shared" ca="1" si="10"/>
        <v/>
      </c>
      <c r="S59" t="str">
        <f t="shared" ca="1" si="11"/>
        <v/>
      </c>
      <c r="T59" t="str">
        <f t="shared" ca="1" si="12"/>
        <v/>
      </c>
      <c r="U59" t="str">
        <f t="shared" ca="1" si="13"/>
        <v/>
      </c>
      <c r="V59" t="str">
        <f t="shared" ca="1" si="14"/>
        <v/>
      </c>
    </row>
    <row r="60" spans="1:22">
      <c r="A60"/>
      <c r="I60">
        <f t="shared" si="15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8"/>
        <v/>
      </c>
      <c r="Q60" t="str">
        <f t="shared" ca="1" si="9"/>
        <v/>
      </c>
      <c r="R60" t="str">
        <f t="shared" ca="1" si="10"/>
        <v/>
      </c>
      <c r="S60" t="str">
        <f t="shared" ca="1" si="11"/>
        <v/>
      </c>
      <c r="T60" t="str">
        <f t="shared" ca="1" si="12"/>
        <v/>
      </c>
      <c r="U60" t="str">
        <f t="shared" ca="1" si="13"/>
        <v/>
      </c>
      <c r="V60" t="str">
        <f t="shared" ca="1" si="14"/>
        <v/>
      </c>
    </row>
    <row r="61" spans="1:22">
      <c r="A61"/>
      <c r="I61">
        <f t="shared" si="15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8"/>
        <v/>
      </c>
      <c r="Q61" t="str">
        <f t="shared" ca="1" si="9"/>
        <v/>
      </c>
      <c r="R61" t="str">
        <f t="shared" ca="1" si="10"/>
        <v/>
      </c>
      <c r="S61" t="str">
        <f t="shared" ca="1" si="11"/>
        <v/>
      </c>
      <c r="T61" t="str">
        <f t="shared" ca="1" si="12"/>
        <v/>
      </c>
      <c r="U61" t="str">
        <f t="shared" ca="1" si="13"/>
        <v/>
      </c>
      <c r="V61" t="str">
        <f t="shared" ca="1" si="14"/>
        <v/>
      </c>
    </row>
    <row r="62" spans="1:22">
      <c r="A62"/>
      <c r="I62">
        <f t="shared" si="15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8"/>
        <v/>
      </c>
      <c r="Q62" t="str">
        <f t="shared" ca="1" si="9"/>
        <v/>
      </c>
      <c r="R62" t="str">
        <f t="shared" ca="1" si="10"/>
        <v/>
      </c>
      <c r="S62" t="str">
        <f t="shared" ca="1" si="11"/>
        <v/>
      </c>
      <c r="T62" t="str">
        <f t="shared" ca="1" si="12"/>
        <v/>
      </c>
      <c r="U62" t="str">
        <f t="shared" ca="1" si="13"/>
        <v/>
      </c>
      <c r="V62" t="str">
        <f t="shared" ca="1" si="14"/>
        <v/>
      </c>
    </row>
    <row r="63" spans="1:22">
      <c r="A63"/>
      <c r="I63">
        <f t="shared" si="15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8"/>
        <v/>
      </c>
      <c r="Q63" t="str">
        <f t="shared" ca="1" si="9"/>
        <v/>
      </c>
      <c r="R63" t="str">
        <f t="shared" ca="1" si="10"/>
        <v/>
      </c>
      <c r="S63" t="str">
        <f t="shared" ca="1" si="11"/>
        <v/>
      </c>
      <c r="T63" t="str">
        <f t="shared" ca="1" si="12"/>
        <v/>
      </c>
      <c r="U63" t="str">
        <f t="shared" ca="1" si="13"/>
        <v/>
      </c>
      <c r="V63" t="str">
        <f t="shared" ca="1" si="14"/>
        <v/>
      </c>
    </row>
    <row r="64" spans="1:22">
      <c r="A64"/>
      <c r="I64">
        <f t="shared" si="15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8"/>
        <v/>
      </c>
      <c r="Q64" t="str">
        <f t="shared" ca="1" si="9"/>
        <v/>
      </c>
      <c r="R64" t="str">
        <f t="shared" ca="1" si="10"/>
        <v/>
      </c>
      <c r="S64" t="str">
        <f t="shared" ca="1" si="11"/>
        <v/>
      </c>
      <c r="T64" t="str">
        <f t="shared" ca="1" si="12"/>
        <v/>
      </c>
      <c r="U64" t="str">
        <f t="shared" ca="1" si="13"/>
        <v/>
      </c>
      <c r="V64" t="str">
        <f t="shared" ca="1" si="14"/>
        <v/>
      </c>
    </row>
    <row r="65" spans="1:22">
      <c r="A65"/>
      <c r="I65">
        <f t="shared" si="15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6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7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18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19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0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1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70" ca="1" si="2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</row>
    <row r="66" spans="1:22">
      <c r="A66"/>
      <c r="I66">
        <f t="shared" si="15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6"/>
        <v/>
      </c>
      <c r="Q66" t="str">
        <f t="shared" ca="1" si="17"/>
        <v/>
      </c>
      <c r="R66" t="str">
        <f t="shared" ca="1" si="18"/>
        <v/>
      </c>
      <c r="S66" t="str">
        <f t="shared" ca="1" si="19"/>
        <v/>
      </c>
      <c r="T66" t="str">
        <f t="shared" ca="1" si="20"/>
        <v/>
      </c>
      <c r="U66" t="str">
        <f t="shared" ca="1" si="21"/>
        <v/>
      </c>
      <c r="V66" t="str">
        <f t="shared" ca="1" si="22"/>
        <v/>
      </c>
    </row>
    <row r="67" spans="1:22">
      <c r="A67"/>
      <c r="I67">
        <f t="shared" si="15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6"/>
        <v/>
      </c>
      <c r="Q67" t="str">
        <f t="shared" ca="1" si="17"/>
        <v/>
      </c>
      <c r="R67" t="str">
        <f t="shared" ca="1" si="18"/>
        <v/>
      </c>
      <c r="S67" t="str">
        <f t="shared" ca="1" si="19"/>
        <v/>
      </c>
      <c r="T67" t="str">
        <f t="shared" ca="1" si="20"/>
        <v/>
      </c>
      <c r="U67" t="str">
        <f t="shared" ca="1" si="21"/>
        <v/>
      </c>
      <c r="V67" t="str">
        <f t="shared" ca="1" si="22"/>
        <v/>
      </c>
    </row>
    <row r="68" spans="1:22">
      <c r="I68">
        <f t="shared" si="15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6"/>
        <v/>
      </c>
      <c r="Q68" t="str">
        <f t="shared" ca="1" si="17"/>
        <v/>
      </c>
      <c r="R68" t="str">
        <f t="shared" ca="1" si="18"/>
        <v/>
      </c>
      <c r="S68" t="str">
        <f t="shared" ca="1" si="19"/>
        <v/>
      </c>
      <c r="T68" t="str">
        <f t="shared" ca="1" si="20"/>
        <v/>
      </c>
      <c r="U68" t="str">
        <f t="shared" ca="1" si="21"/>
        <v/>
      </c>
      <c r="V68" t="str">
        <f t="shared" ca="1" si="22"/>
        <v/>
      </c>
    </row>
    <row r="69" spans="1:22">
      <c r="I69">
        <f t="shared" si="15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6"/>
        <v/>
      </c>
      <c r="Q69" t="str">
        <f t="shared" ca="1" si="17"/>
        <v/>
      </c>
      <c r="R69" t="str">
        <f t="shared" ca="1" si="18"/>
        <v/>
      </c>
      <c r="S69" t="str">
        <f t="shared" ca="1" si="19"/>
        <v/>
      </c>
      <c r="T69" t="str">
        <f t="shared" ca="1" si="20"/>
        <v/>
      </c>
      <c r="U69" t="str">
        <f t="shared" ca="1" si="21"/>
        <v/>
      </c>
      <c r="V69" t="str">
        <f t="shared" ca="1" si="22"/>
        <v/>
      </c>
    </row>
    <row r="70" spans="1:22" s="121" customFormat="1">
      <c r="H70" s="120"/>
      <c r="I70" s="121">
        <f t="shared" si="15"/>
        <v>145</v>
      </c>
      <c r="J70" s="121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121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121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121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121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121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121" t="str">
        <f t="shared" ca="1" si="16"/>
        <v/>
      </c>
      <c r="Q70" s="121" t="str">
        <f t="shared" ca="1" si="17"/>
        <v/>
      </c>
      <c r="R70" s="121" t="str">
        <f t="shared" ca="1" si="18"/>
        <v/>
      </c>
      <c r="S70" s="121" t="str">
        <f t="shared" ca="1" si="19"/>
        <v/>
      </c>
      <c r="T70" s="121" t="str">
        <f t="shared" ca="1" si="20"/>
        <v/>
      </c>
      <c r="U70" s="121" t="str">
        <f t="shared" ca="1" si="21"/>
        <v/>
      </c>
      <c r="V70" s="121" t="str">
        <f t="shared" ca="1" si="2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V88" sqref="V88"/>
    </sheetView>
  </sheetViews>
  <sheetFormatPr defaultRowHeight="18"/>
  <cols>
    <col min="1" max="1" width="26.69921875" style="29" customWidth="1"/>
    <col min="2" max="11" width="8.796875" style="28" customWidth="1"/>
    <col min="12" max="20" width="11.3984375" style="30" customWidth="1"/>
    <col min="21" max="21" width="11.3984375" style="30" hidden="1" customWidth="1"/>
    <col min="22" max="22" width="32.796875" style="64" customWidth="1"/>
    <col min="23" max="23" width="27.69921875" style="29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9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10</v>
      </c>
      <c r="J2" s="16"/>
      <c r="K2" s="16" t="s">
        <v>11</v>
      </c>
      <c r="L2" s="16"/>
      <c r="M2" s="16" t="s">
        <v>10</v>
      </c>
      <c r="N2" s="10"/>
      <c r="O2"/>
      <c r="P2"/>
      <c r="Q2"/>
      <c r="R2" t="s">
        <v>12</v>
      </c>
      <c r="S2"/>
      <c r="T2" t="s">
        <v>13</v>
      </c>
      <c r="U2" t="s">
        <v>13</v>
      </c>
      <c r="V2" s="60" t="str">
        <f>貼り付け用!T2&amp;"　"&amp;貼り付け用!U2&amp;"　"&amp;貼り付け用!V2&amp;"　"&amp;貼り付け用!W2</f>
        <v>　　　</v>
      </c>
    </row>
    <row r="3" spans="1:23">
      <c r="A3" s="4"/>
      <c r="B3" s="174" t="s">
        <v>1</v>
      </c>
      <c r="C3" s="23" t="s">
        <v>1</v>
      </c>
      <c r="D3" s="174" t="s">
        <v>3</v>
      </c>
      <c r="E3" s="24" t="s">
        <v>3</v>
      </c>
      <c r="F3" s="23" t="s">
        <v>3</v>
      </c>
      <c r="G3" s="174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8">
        <f>IF(COUNTIF(注文弁当の抽出!A2,"*おやつ*"),"",注文弁当の抽出!A2)</f>
        <v>0</v>
      </c>
      <c r="M3" s="58">
        <f>IF(L3&lt;&gt;"",IF(COUNTIF(注文弁当の抽出!A3,"*おやつ*"),"",注文弁当の抽出!A3),"")</f>
        <v>0</v>
      </c>
      <c r="N3" s="58">
        <f>IF(M3&lt;&gt;"",IF(COUNTIF(注文弁当の抽出!A4,"*おやつ*"),"",注文弁当の抽出!A4),"")</f>
        <v>0</v>
      </c>
      <c r="O3" s="58">
        <f>IF(N3&lt;&gt;"",IF(COUNTIF(注文弁当の抽出!A5,"*おやつ*"),"",注文弁当の抽出!A5),"")</f>
        <v>0</v>
      </c>
      <c r="P3" s="58">
        <f>IF(O3&lt;&gt;"",IF(COUNTIF(注文弁当の抽出!A6,"*おやつ*"),"",注文弁当の抽出!A6),"")</f>
        <v>0</v>
      </c>
      <c r="Q3" s="58">
        <f>IF(P3&lt;&gt;"",IF(COUNTIF(注文弁当の抽出!A7,"*おやつ*"),"",注文弁当の抽出!A7),"")</f>
        <v>0</v>
      </c>
      <c r="R3" s="58">
        <f>IF(Q3&lt;&gt;"",IF(COUNTIF(注文弁当の抽出!A8,"*おやつ*"),"",注文弁当の抽出!A8),"")</f>
        <v>0</v>
      </c>
      <c r="S3" s="58">
        <f>IF(R3&lt;&gt;"",IF(COUNTIF(注文弁当の抽出!A9,"*おやつ*"),"",注文弁当の抽出!A9),"")</f>
        <v>0</v>
      </c>
      <c r="T3" s="55" t="s">
        <v>15</v>
      </c>
      <c r="U3" s="15"/>
      <c r="V3" s="61"/>
      <c r="W3" s="6"/>
    </row>
    <row r="4" spans="1:23">
      <c r="A4" s="2" t="s">
        <v>16</v>
      </c>
      <c r="B4" s="13" t="s">
        <v>17</v>
      </c>
      <c r="C4" s="13" t="s">
        <v>17</v>
      </c>
      <c r="D4" s="13" t="s">
        <v>17</v>
      </c>
      <c r="E4" s="13" t="s">
        <v>18</v>
      </c>
      <c r="F4" s="13" t="s">
        <v>19</v>
      </c>
      <c r="G4" s="13" t="s">
        <v>17</v>
      </c>
      <c r="H4" s="13" t="s">
        <v>17</v>
      </c>
      <c r="I4" s="13" t="s">
        <v>18</v>
      </c>
      <c r="J4" s="13" t="s">
        <v>18</v>
      </c>
      <c r="K4" s="13" t="s">
        <v>19</v>
      </c>
      <c r="L4" s="55"/>
      <c r="M4" s="55"/>
      <c r="N4" s="55"/>
      <c r="O4" s="55"/>
      <c r="P4" s="55"/>
      <c r="Q4" s="55"/>
      <c r="R4" s="55"/>
      <c r="S4" s="55"/>
      <c r="T4" s="55"/>
      <c r="U4" s="19"/>
      <c r="V4" s="62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20</v>
      </c>
      <c r="F5" s="13"/>
      <c r="G5" s="13">
        <v>120</v>
      </c>
      <c r="H5" s="13">
        <v>100</v>
      </c>
      <c r="I5" s="13" t="s">
        <v>20</v>
      </c>
      <c r="J5" s="13" t="s">
        <v>21</v>
      </c>
      <c r="K5" s="13"/>
      <c r="L5" s="55"/>
      <c r="M5" s="55"/>
      <c r="N5" s="55"/>
      <c r="O5" s="55"/>
      <c r="P5" s="55"/>
      <c r="Q5" s="55"/>
      <c r="R5" s="55"/>
      <c r="S5" s="55"/>
      <c r="T5" s="55"/>
      <c r="U5" s="20"/>
      <c r="V5" s="62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63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63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e">
        <f t="array" aca="1" ref="A8" ca="1">IF(OR(COUNTIF(A6,"*合計*"),COUNTIF(A6,"")),"",INDEX(貼り付け用!$A:$A,MATCH(A6,貼り付け用!$A:$A,0)+2,0))</f>
        <v>#N/A</v>
      </c>
      <c r="B8" s="14" t="e">
        <f ca="1">IF($A8&lt;&gt;"",IF(VLOOKUP($A8,貼り付け用!$A$1:$BA$300,COLUMN(),FALSE)=0,"",VLOOKUP($A8,貼り付け用!$A$1:$BA$300,COLUMN(),FALSE)),"")</f>
        <v>#N/A</v>
      </c>
      <c r="C8" s="14" t="e">
        <f ca="1">IF($A8&lt;&gt;"",IF(VLOOKUP($A8,貼り付け用!$A$1:$BA$300,COLUMN(),FALSE)=0,"",VLOOKUP($A8,貼り付け用!$A$1:$BA$300,COLUMN(),FALSE)),"")</f>
        <v>#N/A</v>
      </c>
      <c r="D8" s="14" t="e">
        <f ca="1">IF($A8&lt;&gt;"",IF(VLOOKUP($A8,貼り付け用!$A$1:$BA$300,COLUMN(),FALSE)=0,"",VLOOKUP($A8,貼り付け用!$A$1:$BA$300,COLUMN(),FALSE)),"")</f>
        <v>#N/A</v>
      </c>
      <c r="E8" s="14" t="e">
        <f ca="1">IF($A8&lt;&gt;"",IF(VLOOKUP($A8,貼り付け用!$A$1:$BA$300,COLUMN(),FALSE)=0,"",VLOOKUP($A8,貼り付け用!$A$1:$BA$300,COLUMN(),FALSE)),"")</f>
        <v>#N/A</v>
      </c>
      <c r="F8" s="14" t="e">
        <f ca="1">IF($A8&lt;&gt;"",IF(VLOOKUP($A8,貼り付け用!$A$1:$BA$300,COLUMN(),FALSE)=0,"",VLOOKUP($A8,貼り付け用!$A$1:$BA$300,COLUMN(),FALSE)),"")</f>
        <v>#N/A</v>
      </c>
      <c r="G8" s="14" t="e">
        <f ca="1">IF($A8&lt;&gt;"",IF(VLOOKUP($A8,貼り付け用!$A$1:$BA$300,COLUMN(),FALSE)=0,"",VLOOKUP($A8,貼り付け用!$A$1:$BA$300,COLUMN(),FALSE)),"")</f>
        <v>#N/A</v>
      </c>
      <c r="H8" s="14" t="e">
        <f ca="1">IF($A8&lt;&gt;"",IF(VLOOKUP($A8,貼り付け用!$A$1:$BA$300,COLUMN(),FALSE)=0,"",VLOOKUP($A8,貼り付け用!$A$1:$BA$300,COLUMN(),FALSE)),"")</f>
        <v>#N/A</v>
      </c>
      <c r="I8" s="14" t="e">
        <f ca="1">IF($A8&lt;&gt;"",IF(VLOOKUP($A8,貼り付け用!$A$1:$BA$300,COLUMN(),FALSE)=0,"",VLOOKUP($A8,貼り付け用!$A$1:$BA$300,COLUMN(),FALSE)),"")</f>
        <v>#N/A</v>
      </c>
      <c r="J8" s="14" t="e">
        <f ca="1">IF($A8&lt;&gt;"",IF(VLOOKUP($A8,貼り付け用!$A$1:$BA$300,COLUMN(),FALSE)=0,"",VLOOKUP($A8,貼り付け用!$A$1:$BA$300,COLUMN(),FALSE)),"")</f>
        <v>#N/A</v>
      </c>
      <c r="K8" s="14" t="e">
        <f ca="1">IF($A8&lt;&gt;"",IF(VLOOKUP($A8,貼り付け用!$A$1:$BA$300,COLUMN(),FALSE)=0,"",VLOOKUP($A8,貼り付け用!$A$1:$BA$300,COLUMN(),FALSE)),"")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63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>
      <c r="A9" s="8" t="e">
        <f t="array" aca="1" ref="A9" ca="1">IF(OR(COUNTIF(A7,"*1000*"),COUNTIF(A7,"")),"",INDEX(貼り付け用!$A:$A,MATCH(A7,貼り付け用!$A:$A,0)+2,0))</f>
        <v>#N/A</v>
      </c>
      <c r="B9" s="3" t="e">
        <f ca="1">IF($A9&lt;&gt;"",IF(VLOOKUP($A9,貼り付け用!$A$1:$BA$300,COLUMN(),FALSE)=0,"",VLOOKUP($A9,貼り付け用!$A$1:$BA$300,COLUMN(),FALSE)),"")</f>
        <v>#N/A</v>
      </c>
      <c r="C9" s="3" t="e">
        <f ca="1">IF($A9&lt;&gt;"",IF(VLOOKUP($A9,貼り付け用!$A$1:$BA$300,COLUMN(),FALSE)=0,"",VLOOKUP($A9,貼り付け用!$A$1:$BA$300,COLUMN(),FALSE)),"")</f>
        <v>#N/A</v>
      </c>
      <c r="D9" s="3" t="e">
        <f ca="1">IF($A9&lt;&gt;"",IF(VLOOKUP($A9,貼り付け用!$A$1:$BA$300,COLUMN(),FALSE)=0,"",VLOOKUP($A9,貼り付け用!$A$1:$BA$300,COLUMN(),FALSE)),"")</f>
        <v>#N/A</v>
      </c>
      <c r="E9" s="3" t="e">
        <f ca="1">IF($A9&lt;&gt;"",IF(VLOOKUP($A9,貼り付け用!$A$1:$BA$300,COLUMN(),FALSE)=0,"",VLOOKUP($A9,貼り付け用!$A$1:$BA$300,COLUMN(),FALSE)),"")</f>
        <v>#N/A</v>
      </c>
      <c r="F9" s="3" t="e">
        <f ca="1">IF($A9&lt;&gt;"",IF(VLOOKUP($A9,貼り付け用!$A$1:$BA$300,COLUMN(),FALSE)=0,"",VLOOKUP($A9,貼り付け用!$A$1:$BA$300,COLUMN(),FALSE)),"")</f>
        <v>#N/A</v>
      </c>
      <c r="G9" s="3" t="e">
        <f ca="1">IF($A9&lt;&gt;"",IF(VLOOKUP($A9,貼り付け用!$A$1:$BA$300,COLUMN(),FALSE)=0,"",VLOOKUP($A9,貼り付け用!$A$1:$BA$300,COLUMN(),FALSE)),"")</f>
        <v>#N/A</v>
      </c>
      <c r="H9" s="3" t="e">
        <f ca="1">IF($A9&lt;&gt;"",IF(VLOOKUP($A9,貼り付け用!$A$1:$BA$300,COLUMN(),FALSE)=0,"",VLOOKUP($A9,貼り付け用!$A$1:$BA$300,COLUMN(),FALSE)),"")</f>
        <v>#N/A</v>
      </c>
      <c r="I9" s="3" t="e">
        <f ca="1">IF($A9&lt;&gt;"",IF(VLOOKUP($A9,貼り付け用!$A$1:$BA$300,COLUMN(),FALSE)=0,"",VLOOKUP($A9,貼り付け用!$A$1:$BA$300,COLUMN(),FALSE)),"")</f>
        <v>#N/A</v>
      </c>
      <c r="J9" s="3" t="e">
        <f ca="1">IF($A9&lt;&gt;"",IF(VLOOKUP($A9,貼り付け用!$A$1:$BA$300,COLUMN(),FALSE)=0,"",VLOOKUP($A9,貼り付け用!$A$1:$BA$300,COLUMN(),FALSE)),"")</f>
        <v>#N/A</v>
      </c>
      <c r="K9" s="3" t="e">
        <f ca="1">IF($A9&lt;&gt;"",IF(VLOOKUP($A9,貼り付け用!$A$1:$BA$300,COLUMN(),FALSE)=0,"",VLOOKUP($A9,貼り付け用!$A$1:$BA$300,COLUMN(),FALSE)),"")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63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IF($A10&lt;&gt;"",IF(VLOOKUP($A10,貼り付け用!$A$1:$BA$300,COLUMN(),FALSE)=0,"",VLOOKUP($A10,貼り付け用!$A$1:$BA$300,COLUMN(),FALSE)),"")</f>
        <v>#N/A</v>
      </c>
      <c r="C10" s="14" t="e">
        <f ca="1">IF($A10&lt;&gt;"",IF(VLOOKUP($A10,貼り付け用!$A$1:$BA$300,COLUMN(),FALSE)=0,"",VLOOKUP($A10,貼り付け用!$A$1:$BA$300,COLUMN(),FALSE)),"")</f>
        <v>#N/A</v>
      </c>
      <c r="D10" s="14" t="e">
        <f ca="1">IF($A10&lt;&gt;"",IF(VLOOKUP($A10,貼り付け用!$A$1:$BA$300,COLUMN(),FALSE)=0,"",VLOOKUP($A10,貼り付け用!$A$1:$BA$300,COLUMN(),FALSE)),"")</f>
        <v>#N/A</v>
      </c>
      <c r="E10" s="14" t="e">
        <f ca="1">IF($A10&lt;&gt;"",IF(VLOOKUP($A10,貼り付け用!$A$1:$BA$300,COLUMN(),FALSE)=0,"",VLOOKUP($A10,貼り付け用!$A$1:$BA$300,COLUMN(),FALSE)),"")</f>
        <v>#N/A</v>
      </c>
      <c r="F10" s="14" t="e">
        <f ca="1">IF($A10&lt;&gt;"",IF(VLOOKUP($A10,貼り付け用!$A$1:$BA$300,COLUMN(),FALSE)=0,"",VLOOKUP($A10,貼り付け用!$A$1:$BA$300,COLUMN(),FALSE)),"")</f>
        <v>#N/A</v>
      </c>
      <c r="G10" s="14" t="e">
        <f ca="1">IF($A10&lt;&gt;"",IF(VLOOKUP($A10,貼り付け用!$A$1:$BA$300,COLUMN(),FALSE)=0,"",VLOOKUP($A10,貼り付け用!$A$1:$BA$300,COLUMN(),FALSE)),"")</f>
        <v>#N/A</v>
      </c>
      <c r="H10" s="14" t="e">
        <f ca="1">IF($A10&lt;&gt;"",IF(VLOOKUP($A10,貼り付け用!$A$1:$BA$300,COLUMN(),FALSE)=0,"",VLOOKUP($A10,貼り付け用!$A$1:$BA$300,COLUMN(),FALSE)),"")</f>
        <v>#N/A</v>
      </c>
      <c r="I10" s="14" t="e">
        <f ca="1">IF($A10&lt;&gt;"",IF(VLOOKUP($A10,貼り付け用!$A$1:$BA$300,COLUMN(),FALSE)=0,"",VLOOKUP($A10,貼り付け用!$A$1:$BA$300,COLUMN(),FALSE)),"")</f>
        <v>#N/A</v>
      </c>
      <c r="J10" s="14" t="e">
        <f ca="1">IF($A10&lt;&gt;"",IF(VLOOKUP($A10,貼り付け用!$A$1:$BA$300,COLUMN(),FALSE)=0,"",VLOOKUP($A10,貼り付け用!$A$1:$BA$300,COLUMN(),FALSE)),"")</f>
        <v>#N/A</v>
      </c>
      <c r="K10" s="14" t="e">
        <f ca="1">IF($A10&lt;&gt;"",IF(VLOOKUP($A10,貼り付け用!$A$1:$BA$300,COLUMN(),FALSE)=0,"",VLOOKUP($A10,貼り付け用!$A$1:$BA$300,COLUMN(),FALSE)),"")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63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>
      <c r="A11" s="8" t="e">
        <f t="array" aca="1" ref="A11" ca="1">IF(OR(COUNTIF(A9,"*1000*"),COUNTIF(A9,"")),"",INDEX(貼り付け用!$A:$A,MATCH(A9,貼り付け用!$A:$A,0)+2,0))</f>
        <v>#N/A</v>
      </c>
      <c r="B11" s="3" t="e">
        <f ca="1">IF($A11&lt;&gt;"",IF(VLOOKUP($A11,貼り付け用!$A$1:$BA$300,COLUMN(),FALSE)=0,"",VLOOKUP($A11,貼り付け用!$A$1:$BA$300,COLUMN(),FALSE)),"")</f>
        <v>#N/A</v>
      </c>
      <c r="C11" s="3" t="e">
        <f ca="1">IF($A11&lt;&gt;"",IF(VLOOKUP($A11,貼り付け用!$A$1:$BA$300,COLUMN(),FALSE)=0,"",VLOOKUP($A11,貼り付け用!$A$1:$BA$300,COLUMN(),FALSE)),"")</f>
        <v>#N/A</v>
      </c>
      <c r="D11" s="3" t="e">
        <f ca="1">IF($A11&lt;&gt;"",IF(VLOOKUP($A11,貼り付け用!$A$1:$BA$300,COLUMN(),FALSE)=0,"",VLOOKUP($A11,貼り付け用!$A$1:$BA$300,COLUMN(),FALSE)),"")</f>
        <v>#N/A</v>
      </c>
      <c r="E11" s="3" t="e">
        <f ca="1">IF($A11&lt;&gt;"",IF(VLOOKUP($A11,貼り付け用!$A$1:$BA$300,COLUMN(),FALSE)=0,"",VLOOKUP($A11,貼り付け用!$A$1:$BA$300,COLUMN(),FALSE)),"")</f>
        <v>#N/A</v>
      </c>
      <c r="F11" s="3" t="e">
        <f ca="1">IF($A11&lt;&gt;"",IF(VLOOKUP($A11,貼り付け用!$A$1:$BA$300,COLUMN(),FALSE)=0,"",VLOOKUP($A11,貼り付け用!$A$1:$BA$300,COLUMN(),FALSE)),"")</f>
        <v>#N/A</v>
      </c>
      <c r="G11" s="3" t="e">
        <f ca="1">IF($A11&lt;&gt;"",IF(VLOOKUP($A11,貼り付け用!$A$1:$BA$300,COLUMN(),FALSE)=0,"",VLOOKUP($A11,貼り付け用!$A$1:$BA$300,COLUMN(),FALSE)),"")</f>
        <v>#N/A</v>
      </c>
      <c r="H11" s="3" t="e">
        <f ca="1">IF($A11&lt;&gt;"",IF(VLOOKUP($A11,貼り付け用!$A$1:$BA$300,COLUMN(),FALSE)=0,"",VLOOKUP($A11,貼り付け用!$A$1:$BA$300,COLUMN(),FALSE)),"")</f>
        <v>#N/A</v>
      </c>
      <c r="I11" s="3" t="e">
        <f ca="1">IF($A11&lt;&gt;"",IF(VLOOKUP($A11,貼り付け用!$A$1:$BA$300,COLUMN(),FALSE)=0,"",VLOOKUP($A11,貼り付け用!$A$1:$BA$300,COLUMN(),FALSE)),"")</f>
        <v>#N/A</v>
      </c>
      <c r="J11" s="3" t="e">
        <f ca="1">IF($A11&lt;&gt;"",IF(VLOOKUP($A11,貼り付け用!$A$1:$BA$300,COLUMN(),FALSE)=0,"",VLOOKUP($A11,貼り付け用!$A$1:$BA$300,COLUMN(),FALSE)),"")</f>
        <v>#N/A</v>
      </c>
      <c r="K11" s="3" t="e">
        <f ca="1">IF($A11&lt;&gt;"",IF(VLOOKUP($A11,貼り付け用!$A$1:$BA$300,COLUMN(),FALSE)=0,"",VLOOKUP($A11,貼り付け用!$A$1:$BA$300,COLUMN(),FALSE)),"")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63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IF($A12&lt;&gt;"",IF(VLOOKUP($A12,貼り付け用!$A$1:$BA$300,COLUMN(),FALSE)=0,"",VLOOKUP($A12,貼り付け用!$A$1:$BA$300,COLUMN(),FALSE)),"")</f>
        <v>#N/A</v>
      </c>
      <c r="C12" s="14" t="e">
        <f ca="1">IF($A12&lt;&gt;"",IF(VLOOKUP($A12,貼り付け用!$A$1:$BA$300,COLUMN(),FALSE)=0,"",VLOOKUP($A12,貼り付け用!$A$1:$BA$300,COLUMN(),FALSE)),"")</f>
        <v>#N/A</v>
      </c>
      <c r="D12" s="14" t="e">
        <f ca="1">IF($A12&lt;&gt;"",IF(VLOOKUP($A12,貼り付け用!$A$1:$BA$300,COLUMN(),FALSE)=0,"",VLOOKUP($A12,貼り付け用!$A$1:$BA$300,COLUMN(),FALSE)),"")</f>
        <v>#N/A</v>
      </c>
      <c r="E12" s="14" t="e">
        <f ca="1">IF($A12&lt;&gt;"",IF(VLOOKUP($A12,貼り付け用!$A$1:$BA$300,COLUMN(),FALSE)=0,"",VLOOKUP($A12,貼り付け用!$A$1:$BA$300,COLUMN(),FALSE)),"")</f>
        <v>#N/A</v>
      </c>
      <c r="F12" s="14" t="e">
        <f ca="1">IF($A12&lt;&gt;"",IF(VLOOKUP($A12,貼り付け用!$A$1:$BA$300,COLUMN(),FALSE)=0,"",VLOOKUP($A12,貼り付け用!$A$1:$BA$300,COLUMN(),FALSE)),"")</f>
        <v>#N/A</v>
      </c>
      <c r="G12" s="14" t="e">
        <f ca="1">IF($A12&lt;&gt;"",IF(VLOOKUP($A12,貼り付け用!$A$1:$BA$300,COLUMN(),FALSE)=0,"",VLOOKUP($A12,貼り付け用!$A$1:$BA$300,COLUMN(),FALSE)),"")</f>
        <v>#N/A</v>
      </c>
      <c r="H12" s="14" t="e">
        <f ca="1">IF($A12&lt;&gt;"",IF(VLOOKUP($A12,貼り付け用!$A$1:$BA$300,COLUMN(),FALSE)=0,"",VLOOKUP($A12,貼り付け用!$A$1:$BA$300,COLUMN(),FALSE)),"")</f>
        <v>#N/A</v>
      </c>
      <c r="I12" s="14" t="e">
        <f ca="1">IF($A12&lt;&gt;"",IF(VLOOKUP($A12,貼り付け用!$A$1:$BA$300,COLUMN(),FALSE)=0,"",VLOOKUP($A12,貼り付け用!$A$1:$BA$300,COLUMN(),FALSE)),"")</f>
        <v>#N/A</v>
      </c>
      <c r="J12" s="14" t="e">
        <f ca="1">IF($A12&lt;&gt;"",IF(VLOOKUP($A12,貼り付け用!$A$1:$BA$300,COLUMN(),FALSE)=0,"",VLOOKUP($A12,貼り付け用!$A$1:$BA$300,COLUMN(),FALSE)),"")</f>
        <v>#N/A</v>
      </c>
      <c r="K12" s="14" t="e">
        <f ca="1">IF($A12&lt;&gt;"",IF(VLOOKUP($A12,貼り付け用!$A$1:$BA$300,COLUMN(),FALSE)=0,"",VLOOKUP($A12,貼り付け用!$A$1:$BA$300,COLUMN(),FALSE)),"")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63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IF($A13&lt;&gt;"",IF(VLOOKUP($A13,貼り付け用!$A$1:$BA$300,COLUMN(),FALSE)=0,"",VLOOKUP($A13,貼り付け用!$A$1:$BA$300,COLUMN(),FALSE)),"")</f>
        <v>#N/A</v>
      </c>
      <c r="C13" s="3" t="e">
        <f ca="1">IF($A13&lt;&gt;"",IF(VLOOKUP($A13,貼り付け用!$A$1:$BA$300,COLUMN(),FALSE)=0,"",VLOOKUP($A13,貼り付け用!$A$1:$BA$300,COLUMN(),FALSE)),"")</f>
        <v>#N/A</v>
      </c>
      <c r="D13" s="3" t="e">
        <f ca="1">IF($A13&lt;&gt;"",IF(VLOOKUP($A13,貼り付け用!$A$1:$BA$300,COLUMN(),FALSE)=0,"",VLOOKUP($A13,貼り付け用!$A$1:$BA$300,COLUMN(),FALSE)),"")</f>
        <v>#N/A</v>
      </c>
      <c r="E13" s="3" t="e">
        <f ca="1">IF($A13&lt;&gt;"",IF(VLOOKUP($A13,貼り付け用!$A$1:$BA$300,COLUMN(),FALSE)=0,"",VLOOKUP($A13,貼り付け用!$A$1:$BA$300,COLUMN(),FALSE)),"")</f>
        <v>#N/A</v>
      </c>
      <c r="F13" s="3" t="e">
        <f ca="1">IF($A13&lt;&gt;"",IF(VLOOKUP($A13,貼り付け用!$A$1:$BA$300,COLUMN(),FALSE)=0,"",VLOOKUP($A13,貼り付け用!$A$1:$BA$300,COLUMN(),FALSE)),"")</f>
        <v>#N/A</v>
      </c>
      <c r="G13" s="3" t="e">
        <f ca="1">IF($A13&lt;&gt;"",IF(VLOOKUP($A13,貼り付け用!$A$1:$BA$300,COLUMN(),FALSE)=0,"",VLOOKUP($A13,貼り付け用!$A$1:$BA$300,COLUMN(),FALSE)),"")</f>
        <v>#N/A</v>
      </c>
      <c r="H13" s="3" t="e">
        <f ca="1">IF($A13&lt;&gt;"",IF(VLOOKUP($A13,貼り付け用!$A$1:$BA$300,COLUMN(),FALSE)=0,"",VLOOKUP($A13,貼り付け用!$A$1:$BA$300,COLUMN(),FALSE)),"")</f>
        <v>#N/A</v>
      </c>
      <c r="I13" s="3" t="e">
        <f ca="1">IF($A13&lt;&gt;"",IF(VLOOKUP($A13,貼り付け用!$A$1:$BA$300,COLUMN(),FALSE)=0,"",VLOOKUP($A13,貼り付け用!$A$1:$BA$300,COLUMN(),FALSE)),"")</f>
        <v>#N/A</v>
      </c>
      <c r="J13" s="3" t="e">
        <f ca="1">IF($A13&lt;&gt;"",IF(VLOOKUP($A13,貼り付け用!$A$1:$BA$300,COLUMN(),FALSE)=0,"",VLOOKUP($A13,貼り付け用!$A$1:$BA$300,COLUMN(),FALSE)),"")</f>
        <v>#N/A</v>
      </c>
      <c r="K13" s="3" t="e">
        <f ca="1">IF($A13&lt;&gt;"",IF(VLOOKUP($A13,貼り付け用!$A$1:$BA$300,COLUMN(),FALSE)=0,"",VLOOKUP($A13,貼り付け用!$A$1:$BA$300,COLUMN(),FALSE)),"")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63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IF($A14&lt;&gt;"",IF(VLOOKUP($A14,貼り付け用!$A$1:$BA$300,COLUMN(),FALSE)=0,"",VLOOKUP($A14,貼り付け用!$A$1:$BA$300,COLUMN(),FALSE)),"")</f>
        <v>#N/A</v>
      </c>
      <c r="C14" s="14" t="e">
        <f ca="1">IF($A14&lt;&gt;"",IF(VLOOKUP($A14,貼り付け用!$A$1:$BA$300,COLUMN(),FALSE)=0,"",VLOOKUP($A14,貼り付け用!$A$1:$BA$300,COLUMN(),FALSE)),"")</f>
        <v>#N/A</v>
      </c>
      <c r="D14" s="14" t="e">
        <f ca="1">IF($A14&lt;&gt;"",IF(VLOOKUP($A14,貼り付け用!$A$1:$BA$300,COLUMN(),FALSE)=0,"",VLOOKUP($A14,貼り付け用!$A$1:$BA$300,COLUMN(),FALSE)),"")</f>
        <v>#N/A</v>
      </c>
      <c r="E14" s="14" t="e">
        <f ca="1">IF($A14&lt;&gt;"",IF(VLOOKUP($A14,貼り付け用!$A$1:$BA$300,COLUMN(),FALSE)=0,"",VLOOKUP($A14,貼り付け用!$A$1:$BA$300,COLUMN(),FALSE)),"")</f>
        <v>#N/A</v>
      </c>
      <c r="F14" s="14" t="e">
        <f ca="1">IF($A14&lt;&gt;"",IF(VLOOKUP($A14,貼り付け用!$A$1:$BA$300,COLUMN(),FALSE)=0,"",VLOOKUP($A14,貼り付け用!$A$1:$BA$300,COLUMN(),FALSE)),"")</f>
        <v>#N/A</v>
      </c>
      <c r="G14" s="14" t="e">
        <f ca="1">IF($A14&lt;&gt;"",IF(VLOOKUP($A14,貼り付け用!$A$1:$BA$300,COLUMN(),FALSE)=0,"",VLOOKUP($A14,貼り付け用!$A$1:$BA$300,COLUMN(),FALSE)),"")</f>
        <v>#N/A</v>
      </c>
      <c r="H14" s="14" t="e">
        <f ca="1">IF($A14&lt;&gt;"",IF(VLOOKUP($A14,貼り付け用!$A$1:$BA$300,COLUMN(),FALSE)=0,"",VLOOKUP($A14,貼り付け用!$A$1:$BA$300,COLUMN(),FALSE)),"")</f>
        <v>#N/A</v>
      </c>
      <c r="I14" s="14" t="e">
        <f ca="1">IF($A14&lt;&gt;"",IF(VLOOKUP($A14,貼り付け用!$A$1:$BA$300,COLUMN(),FALSE)=0,"",VLOOKUP($A14,貼り付け用!$A$1:$BA$300,COLUMN(),FALSE)),"")</f>
        <v>#N/A</v>
      </c>
      <c r="J14" s="14" t="e">
        <f ca="1">IF($A14&lt;&gt;"",IF(VLOOKUP($A14,貼り付け用!$A$1:$BA$300,COLUMN(),FALSE)=0,"",VLOOKUP($A14,貼り付け用!$A$1:$BA$300,COLUMN(),FALSE)),"")</f>
        <v>#N/A</v>
      </c>
      <c r="K14" s="14" t="e">
        <f ca="1">IF($A14&lt;&gt;"",IF(VLOOKUP($A14,貼り付け用!$A$1:$BA$300,COLUMN(),FALSE)=0,"",VLOOKUP($A14,貼り付け用!$A$1:$BA$300,COLUMN(),FALSE)),"")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63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IF($A15&lt;&gt;"",IF(VLOOKUP($A15,貼り付け用!$A$1:$BA$300,COLUMN(),FALSE)=0,"",VLOOKUP($A15,貼り付け用!$A$1:$BA$300,COLUMN(),FALSE)),"")</f>
        <v>#N/A</v>
      </c>
      <c r="C15" s="3" t="e">
        <f ca="1">IF($A15&lt;&gt;"",IF(VLOOKUP($A15,貼り付け用!$A$1:$BA$300,COLUMN(),FALSE)=0,"",VLOOKUP($A15,貼り付け用!$A$1:$BA$300,COLUMN(),FALSE)),"")</f>
        <v>#N/A</v>
      </c>
      <c r="D15" s="3" t="e">
        <f ca="1">IF($A15&lt;&gt;"",IF(VLOOKUP($A15,貼り付け用!$A$1:$BA$300,COLUMN(),FALSE)=0,"",VLOOKUP($A15,貼り付け用!$A$1:$BA$300,COLUMN(),FALSE)),"")</f>
        <v>#N/A</v>
      </c>
      <c r="E15" s="3" t="e">
        <f ca="1">IF($A15&lt;&gt;"",IF(VLOOKUP($A15,貼り付け用!$A$1:$BA$300,COLUMN(),FALSE)=0,"",VLOOKUP($A15,貼り付け用!$A$1:$BA$300,COLUMN(),FALSE)),"")</f>
        <v>#N/A</v>
      </c>
      <c r="F15" s="3" t="e">
        <f ca="1">IF($A15&lt;&gt;"",IF(VLOOKUP($A15,貼り付け用!$A$1:$BA$300,COLUMN(),FALSE)=0,"",VLOOKUP($A15,貼り付け用!$A$1:$BA$300,COLUMN(),FALSE)),"")</f>
        <v>#N/A</v>
      </c>
      <c r="G15" s="3" t="e">
        <f ca="1">IF($A15&lt;&gt;"",IF(VLOOKUP($A15,貼り付け用!$A$1:$BA$300,COLUMN(),FALSE)=0,"",VLOOKUP($A15,貼り付け用!$A$1:$BA$300,COLUMN(),FALSE)),"")</f>
        <v>#N/A</v>
      </c>
      <c r="H15" s="3" t="e">
        <f ca="1">IF($A15&lt;&gt;"",IF(VLOOKUP($A15,貼り付け用!$A$1:$BA$300,COLUMN(),FALSE)=0,"",VLOOKUP($A15,貼り付け用!$A$1:$BA$300,COLUMN(),FALSE)),"")</f>
        <v>#N/A</v>
      </c>
      <c r="I15" s="3" t="e">
        <f ca="1">IF($A15&lt;&gt;"",IF(VLOOKUP($A15,貼り付け用!$A$1:$BA$300,COLUMN(),FALSE)=0,"",VLOOKUP($A15,貼り付け用!$A$1:$BA$300,COLUMN(),FALSE)),"")</f>
        <v>#N/A</v>
      </c>
      <c r="J15" s="3" t="e">
        <f ca="1">IF($A15&lt;&gt;"",IF(VLOOKUP($A15,貼り付け用!$A$1:$BA$300,COLUMN(),FALSE)=0,"",VLOOKUP($A15,貼り付け用!$A$1:$BA$300,COLUMN(),FALSE)),"")</f>
        <v>#N/A</v>
      </c>
      <c r="K15" s="3" t="e">
        <f ca="1">IF($A15&lt;&gt;"",IF(VLOOKUP($A15,貼り付け用!$A$1:$BA$300,COLUMN(),FALSE)=0,"",VLOOKUP($A15,貼り付け用!$A$1:$BA$300,COLUMN(),FALSE)),"")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63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IF($A16&lt;&gt;"",IF(VLOOKUP($A16,貼り付け用!$A$1:$BA$300,COLUMN(),FALSE)=0,"",VLOOKUP($A16,貼り付け用!$A$1:$BA$300,COLUMN(),FALSE)),"")</f>
        <v>#N/A</v>
      </c>
      <c r="C16" s="14" t="e">
        <f ca="1">IF($A16&lt;&gt;"",IF(VLOOKUP($A16,貼り付け用!$A$1:$BA$300,COLUMN(),FALSE)=0,"",VLOOKUP($A16,貼り付け用!$A$1:$BA$300,COLUMN(),FALSE)),"")</f>
        <v>#N/A</v>
      </c>
      <c r="D16" s="14" t="e">
        <f ca="1">IF($A16&lt;&gt;"",IF(VLOOKUP($A16,貼り付け用!$A$1:$BA$300,COLUMN(),FALSE)=0,"",VLOOKUP($A16,貼り付け用!$A$1:$BA$300,COLUMN(),FALSE)),"")</f>
        <v>#N/A</v>
      </c>
      <c r="E16" s="14" t="e">
        <f ca="1">IF($A16&lt;&gt;"",IF(VLOOKUP($A16,貼り付け用!$A$1:$BA$300,COLUMN(),FALSE)=0,"",VLOOKUP($A16,貼り付け用!$A$1:$BA$300,COLUMN(),FALSE)),"")</f>
        <v>#N/A</v>
      </c>
      <c r="F16" s="14" t="e">
        <f ca="1">IF($A16&lt;&gt;"",IF(VLOOKUP($A16,貼り付け用!$A$1:$BA$300,COLUMN(),FALSE)=0,"",VLOOKUP($A16,貼り付け用!$A$1:$BA$300,COLUMN(),FALSE)),"")</f>
        <v>#N/A</v>
      </c>
      <c r="G16" s="14" t="e">
        <f ca="1">IF($A16&lt;&gt;"",IF(VLOOKUP($A16,貼り付け用!$A$1:$BA$300,COLUMN(),FALSE)=0,"",VLOOKUP($A16,貼り付け用!$A$1:$BA$300,COLUMN(),FALSE)),"")</f>
        <v>#N/A</v>
      </c>
      <c r="H16" s="14" t="e">
        <f ca="1">IF($A16&lt;&gt;"",IF(VLOOKUP($A16,貼り付け用!$A$1:$BA$300,COLUMN(),FALSE)=0,"",VLOOKUP($A16,貼り付け用!$A$1:$BA$300,COLUMN(),FALSE)),"")</f>
        <v>#N/A</v>
      </c>
      <c r="I16" s="14" t="e">
        <f ca="1">IF($A16&lt;&gt;"",IF(VLOOKUP($A16,貼り付け用!$A$1:$BA$300,COLUMN(),FALSE)=0,"",VLOOKUP($A16,貼り付け用!$A$1:$BA$300,COLUMN(),FALSE)),"")</f>
        <v>#N/A</v>
      </c>
      <c r="J16" s="14" t="e">
        <f ca="1">IF($A16&lt;&gt;"",IF(VLOOKUP($A16,貼り付け用!$A$1:$BA$300,COLUMN(),FALSE)=0,"",VLOOKUP($A16,貼り付け用!$A$1:$BA$300,COLUMN(),FALSE)),"")</f>
        <v>#N/A</v>
      </c>
      <c r="K16" s="14" t="e">
        <f ca="1">IF($A16&lt;&gt;"",IF(VLOOKUP($A16,貼り付け用!$A$1:$BA$300,COLUMN(),FALSE)=0,"",VLOOKUP($A16,貼り付け用!$A$1:$BA$300,COLUMN(),FALSE)),"")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63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IF($A17&lt;&gt;"",IF(VLOOKUP($A17,貼り付け用!$A$1:$BA$300,COLUMN(),FALSE)=0,"",VLOOKUP($A17,貼り付け用!$A$1:$BA$300,COLUMN(),FALSE)),"")</f>
        <v>#N/A</v>
      </c>
      <c r="C17" s="3" t="e">
        <f ca="1">IF($A17&lt;&gt;"",IF(VLOOKUP($A17,貼り付け用!$A$1:$BA$300,COLUMN(),FALSE)=0,"",VLOOKUP($A17,貼り付け用!$A$1:$BA$300,COLUMN(),FALSE)),"")</f>
        <v>#N/A</v>
      </c>
      <c r="D17" s="3" t="e">
        <f ca="1">IF($A17&lt;&gt;"",IF(VLOOKUP($A17,貼り付け用!$A$1:$BA$300,COLUMN(),FALSE)=0,"",VLOOKUP($A17,貼り付け用!$A$1:$BA$300,COLUMN(),FALSE)),"")</f>
        <v>#N/A</v>
      </c>
      <c r="E17" s="3" t="e">
        <f ca="1">IF($A17&lt;&gt;"",IF(VLOOKUP($A17,貼り付け用!$A$1:$BA$300,COLUMN(),FALSE)=0,"",VLOOKUP($A17,貼り付け用!$A$1:$BA$300,COLUMN(),FALSE)),"")</f>
        <v>#N/A</v>
      </c>
      <c r="F17" s="3" t="e">
        <f ca="1">IF($A17&lt;&gt;"",IF(VLOOKUP($A17,貼り付け用!$A$1:$BA$300,COLUMN(),FALSE)=0,"",VLOOKUP($A17,貼り付け用!$A$1:$BA$300,COLUMN(),FALSE)),"")</f>
        <v>#N/A</v>
      </c>
      <c r="G17" s="3" t="e">
        <f ca="1">IF($A17&lt;&gt;"",IF(VLOOKUP($A17,貼り付け用!$A$1:$BA$300,COLUMN(),FALSE)=0,"",VLOOKUP($A17,貼り付け用!$A$1:$BA$300,COLUMN(),FALSE)),"")</f>
        <v>#N/A</v>
      </c>
      <c r="H17" s="3" t="e">
        <f ca="1">IF($A17&lt;&gt;"",IF(VLOOKUP($A17,貼り付け用!$A$1:$BA$300,COLUMN(),FALSE)=0,"",VLOOKUP($A17,貼り付け用!$A$1:$BA$300,COLUMN(),FALSE)),"")</f>
        <v>#N/A</v>
      </c>
      <c r="I17" s="3" t="e">
        <f ca="1">IF($A17&lt;&gt;"",IF(VLOOKUP($A17,貼り付け用!$A$1:$BA$300,COLUMN(),FALSE)=0,"",VLOOKUP($A17,貼り付け用!$A$1:$BA$300,COLUMN(),FALSE)),"")</f>
        <v>#N/A</v>
      </c>
      <c r="J17" s="3" t="e">
        <f ca="1">IF($A17&lt;&gt;"",IF(VLOOKUP($A17,貼り付け用!$A$1:$BA$300,COLUMN(),FALSE)=0,"",VLOOKUP($A17,貼り付け用!$A$1:$BA$300,COLUMN(),FALSE)),"")</f>
        <v>#N/A</v>
      </c>
      <c r="K17" s="3" t="e">
        <f ca="1">IF($A17&lt;&gt;"",IF(VLOOKUP($A17,貼り付け用!$A$1:$BA$300,COLUMN(),FALSE)=0,"",VLOOKUP($A17,貼り付け用!$A$1:$BA$300,COLUMN(),FALSE)),"")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63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IF($A18&lt;&gt;"",IF(VLOOKUP($A18,貼り付け用!$A$1:$BA$300,COLUMN(),FALSE)=0,"",VLOOKUP($A18,貼り付け用!$A$1:$BA$300,COLUMN(),FALSE)),"")</f>
        <v>#N/A</v>
      </c>
      <c r="C18" s="14" t="e">
        <f ca="1">IF($A18&lt;&gt;"",IF(VLOOKUP($A18,貼り付け用!$A$1:$BA$300,COLUMN(),FALSE)=0,"",VLOOKUP($A18,貼り付け用!$A$1:$BA$300,COLUMN(),FALSE)),"")</f>
        <v>#N/A</v>
      </c>
      <c r="D18" s="14" t="e">
        <f ca="1">IF($A18&lt;&gt;"",IF(VLOOKUP($A18,貼り付け用!$A$1:$BA$300,COLUMN(),FALSE)=0,"",VLOOKUP($A18,貼り付け用!$A$1:$BA$300,COLUMN(),FALSE)),"")</f>
        <v>#N/A</v>
      </c>
      <c r="E18" s="14" t="e">
        <f ca="1">IF($A18&lt;&gt;"",IF(VLOOKUP($A18,貼り付け用!$A$1:$BA$300,COLUMN(),FALSE)=0,"",VLOOKUP($A18,貼り付け用!$A$1:$BA$300,COLUMN(),FALSE)),"")</f>
        <v>#N/A</v>
      </c>
      <c r="F18" s="14" t="e">
        <f ca="1">IF($A18&lt;&gt;"",IF(VLOOKUP($A18,貼り付け用!$A$1:$BA$300,COLUMN(),FALSE)=0,"",VLOOKUP($A18,貼り付け用!$A$1:$BA$300,COLUMN(),FALSE)),"")</f>
        <v>#N/A</v>
      </c>
      <c r="G18" s="14" t="e">
        <f ca="1">IF($A18&lt;&gt;"",IF(VLOOKUP($A18,貼り付け用!$A$1:$BA$300,COLUMN(),FALSE)=0,"",VLOOKUP($A18,貼り付け用!$A$1:$BA$300,COLUMN(),FALSE)),"")</f>
        <v>#N/A</v>
      </c>
      <c r="H18" s="14" t="e">
        <f ca="1">IF($A18&lt;&gt;"",IF(VLOOKUP($A18,貼り付け用!$A$1:$BA$300,COLUMN(),FALSE)=0,"",VLOOKUP($A18,貼り付け用!$A$1:$BA$300,COLUMN(),FALSE)),"")</f>
        <v>#N/A</v>
      </c>
      <c r="I18" s="14" t="e">
        <f ca="1">IF($A18&lt;&gt;"",IF(VLOOKUP($A18,貼り付け用!$A$1:$BA$300,COLUMN(),FALSE)=0,"",VLOOKUP($A18,貼り付け用!$A$1:$BA$300,COLUMN(),FALSE)),"")</f>
        <v>#N/A</v>
      </c>
      <c r="J18" s="14" t="e">
        <f ca="1">IF($A18&lt;&gt;"",IF(VLOOKUP($A18,貼り付け用!$A$1:$BA$300,COLUMN(),FALSE)=0,"",VLOOKUP($A18,貼り付け用!$A$1:$BA$300,COLUMN(),FALSE)),"")</f>
        <v>#N/A</v>
      </c>
      <c r="K18" s="14" t="e">
        <f ca="1">IF($A18&lt;&gt;"",IF(VLOOKUP($A18,貼り付け用!$A$1:$BA$300,COLUMN(),FALSE)=0,"",VLOOKUP($A18,貼り付け用!$A$1:$BA$300,COLUMN(),FALSE)),"")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63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IF($A19&lt;&gt;"",IF(VLOOKUP($A19,貼り付け用!$A$1:$BA$300,COLUMN(),FALSE)=0,"",VLOOKUP($A19,貼り付け用!$A$1:$BA$300,COLUMN(),FALSE)),"")</f>
        <v>#N/A</v>
      </c>
      <c r="C19" s="3" t="e">
        <f ca="1">IF($A19&lt;&gt;"",IF(VLOOKUP($A19,貼り付け用!$A$1:$BA$300,COLUMN(),FALSE)=0,"",VLOOKUP($A19,貼り付け用!$A$1:$BA$300,COLUMN(),FALSE)),"")</f>
        <v>#N/A</v>
      </c>
      <c r="D19" s="3" t="e">
        <f ca="1">IF($A19&lt;&gt;"",IF(VLOOKUP($A19,貼り付け用!$A$1:$BA$300,COLUMN(),FALSE)=0,"",VLOOKUP($A19,貼り付け用!$A$1:$BA$300,COLUMN(),FALSE)),"")</f>
        <v>#N/A</v>
      </c>
      <c r="E19" s="3" t="e">
        <f ca="1">IF($A19&lt;&gt;"",IF(VLOOKUP($A19,貼り付け用!$A$1:$BA$300,COLUMN(),FALSE)=0,"",VLOOKUP($A19,貼り付け用!$A$1:$BA$300,COLUMN(),FALSE)),"")</f>
        <v>#N/A</v>
      </c>
      <c r="F19" s="3" t="e">
        <f ca="1">IF($A19&lt;&gt;"",IF(VLOOKUP($A19,貼り付け用!$A$1:$BA$300,COLUMN(),FALSE)=0,"",VLOOKUP($A19,貼り付け用!$A$1:$BA$300,COLUMN(),FALSE)),"")</f>
        <v>#N/A</v>
      </c>
      <c r="G19" s="3" t="e">
        <f ca="1">IF($A19&lt;&gt;"",IF(VLOOKUP($A19,貼り付け用!$A$1:$BA$300,COLUMN(),FALSE)=0,"",VLOOKUP($A19,貼り付け用!$A$1:$BA$300,COLUMN(),FALSE)),"")</f>
        <v>#N/A</v>
      </c>
      <c r="H19" s="3" t="e">
        <f ca="1">IF($A19&lt;&gt;"",IF(VLOOKUP($A19,貼り付け用!$A$1:$BA$300,COLUMN(),FALSE)=0,"",VLOOKUP($A19,貼り付け用!$A$1:$BA$300,COLUMN(),FALSE)),"")</f>
        <v>#N/A</v>
      </c>
      <c r="I19" s="3" t="e">
        <f ca="1">IF($A19&lt;&gt;"",IF(VLOOKUP($A19,貼り付け用!$A$1:$BA$300,COLUMN(),FALSE)=0,"",VLOOKUP($A19,貼り付け用!$A$1:$BA$300,COLUMN(),FALSE)),"")</f>
        <v>#N/A</v>
      </c>
      <c r="J19" s="3" t="e">
        <f ca="1">IF($A19&lt;&gt;"",IF(VLOOKUP($A19,貼り付け用!$A$1:$BA$300,COLUMN(),FALSE)=0,"",VLOOKUP($A19,貼り付け用!$A$1:$BA$300,COLUMN(),FALSE)),"")</f>
        <v>#N/A</v>
      </c>
      <c r="K19" s="3" t="e">
        <f ca="1">IF($A19&lt;&gt;"",IF(VLOOKUP($A19,貼り付け用!$A$1:$BA$300,COLUMN(),FALSE)=0,"",VLOOKUP($A19,貼り付け用!$A$1:$BA$300,COLUMN(),FALSE)),"")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63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IF($A20&lt;&gt;"",IF(VLOOKUP($A20,貼り付け用!$A$1:$BA$300,COLUMN(),FALSE)=0,"",VLOOKUP($A20,貼り付け用!$A$1:$BA$300,COLUMN(),FALSE)),"")</f>
        <v>#N/A</v>
      </c>
      <c r="C20" s="14" t="e">
        <f ca="1">IF($A20&lt;&gt;"",IF(VLOOKUP($A20,貼り付け用!$A$1:$BA$300,COLUMN(),FALSE)=0,"",VLOOKUP($A20,貼り付け用!$A$1:$BA$300,COLUMN(),FALSE)),"")</f>
        <v>#N/A</v>
      </c>
      <c r="D20" s="14" t="e">
        <f ca="1">IF($A20&lt;&gt;"",IF(VLOOKUP($A20,貼り付け用!$A$1:$BA$300,COLUMN(),FALSE)=0,"",VLOOKUP($A20,貼り付け用!$A$1:$BA$300,COLUMN(),FALSE)),"")</f>
        <v>#N/A</v>
      </c>
      <c r="E20" s="14" t="e">
        <f ca="1">IF($A20&lt;&gt;"",IF(VLOOKUP($A20,貼り付け用!$A$1:$BA$300,COLUMN(),FALSE)=0,"",VLOOKUP($A20,貼り付け用!$A$1:$BA$300,COLUMN(),FALSE)),"")</f>
        <v>#N/A</v>
      </c>
      <c r="F20" s="14" t="e">
        <f ca="1">IF($A20&lt;&gt;"",IF(VLOOKUP($A20,貼り付け用!$A$1:$BA$300,COLUMN(),FALSE)=0,"",VLOOKUP($A20,貼り付け用!$A$1:$BA$300,COLUMN(),FALSE)),"")</f>
        <v>#N/A</v>
      </c>
      <c r="G20" s="14" t="e">
        <f ca="1">IF($A20&lt;&gt;"",IF(VLOOKUP($A20,貼り付け用!$A$1:$BA$300,COLUMN(),FALSE)=0,"",VLOOKUP($A20,貼り付け用!$A$1:$BA$300,COLUMN(),FALSE)),"")</f>
        <v>#N/A</v>
      </c>
      <c r="H20" s="14" t="e">
        <f ca="1">IF($A20&lt;&gt;"",IF(VLOOKUP($A20,貼り付け用!$A$1:$BA$300,COLUMN(),FALSE)=0,"",VLOOKUP($A20,貼り付け用!$A$1:$BA$300,COLUMN(),FALSE)),"")</f>
        <v>#N/A</v>
      </c>
      <c r="I20" s="14" t="e">
        <f ca="1">IF($A20&lt;&gt;"",IF(VLOOKUP($A20,貼り付け用!$A$1:$BA$300,COLUMN(),FALSE)=0,"",VLOOKUP($A20,貼り付け用!$A$1:$BA$300,COLUMN(),FALSE)),"")</f>
        <v>#N/A</v>
      </c>
      <c r="J20" s="14" t="e">
        <f ca="1">IF($A20&lt;&gt;"",IF(VLOOKUP($A20,貼り付け用!$A$1:$BA$300,COLUMN(),FALSE)=0,"",VLOOKUP($A20,貼り付け用!$A$1:$BA$300,COLUMN(),FALSE)),"")</f>
        <v>#N/A</v>
      </c>
      <c r="K20" s="14" t="e">
        <f ca="1">IF($A20&lt;&gt;"",IF(VLOOKUP($A20,貼り付け用!$A$1:$BA$300,COLUMN(),FALSE)=0,"",VLOOKUP($A20,貼り付け用!$A$1:$BA$300,COLUMN(),FALSE)),"")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63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IF($A21&lt;&gt;"",IF(VLOOKUP($A21,貼り付け用!$A$1:$BA$300,COLUMN(),FALSE)=0,"",VLOOKUP($A21,貼り付け用!$A$1:$BA$300,COLUMN(),FALSE)),"")</f>
        <v>#N/A</v>
      </c>
      <c r="C21" s="3" t="e">
        <f ca="1">IF($A21&lt;&gt;"",IF(VLOOKUP($A21,貼り付け用!$A$1:$BA$300,COLUMN(),FALSE)=0,"",VLOOKUP($A21,貼り付け用!$A$1:$BA$300,COLUMN(),FALSE)),"")</f>
        <v>#N/A</v>
      </c>
      <c r="D21" s="3" t="e">
        <f ca="1">IF($A21&lt;&gt;"",IF(VLOOKUP($A21,貼り付け用!$A$1:$BA$300,COLUMN(),FALSE)=0,"",VLOOKUP($A21,貼り付け用!$A$1:$BA$300,COLUMN(),FALSE)),"")</f>
        <v>#N/A</v>
      </c>
      <c r="E21" s="3" t="e">
        <f ca="1">IF($A21&lt;&gt;"",IF(VLOOKUP($A21,貼り付け用!$A$1:$BA$300,COLUMN(),FALSE)=0,"",VLOOKUP($A21,貼り付け用!$A$1:$BA$300,COLUMN(),FALSE)),"")</f>
        <v>#N/A</v>
      </c>
      <c r="F21" s="3" t="e">
        <f ca="1">IF($A21&lt;&gt;"",IF(VLOOKUP($A21,貼り付け用!$A$1:$BA$300,COLUMN(),FALSE)=0,"",VLOOKUP($A21,貼り付け用!$A$1:$BA$300,COLUMN(),FALSE)),"")</f>
        <v>#N/A</v>
      </c>
      <c r="G21" s="3" t="e">
        <f ca="1">IF($A21&lt;&gt;"",IF(VLOOKUP($A21,貼り付け用!$A$1:$BA$300,COLUMN(),FALSE)=0,"",VLOOKUP($A21,貼り付け用!$A$1:$BA$300,COLUMN(),FALSE)),"")</f>
        <v>#N/A</v>
      </c>
      <c r="H21" s="3" t="e">
        <f ca="1">IF($A21&lt;&gt;"",IF(VLOOKUP($A21,貼り付け用!$A$1:$BA$300,COLUMN(),FALSE)=0,"",VLOOKUP($A21,貼り付け用!$A$1:$BA$300,COLUMN(),FALSE)),"")</f>
        <v>#N/A</v>
      </c>
      <c r="I21" s="3" t="e">
        <f ca="1">IF($A21&lt;&gt;"",IF(VLOOKUP($A21,貼り付け用!$A$1:$BA$300,COLUMN(),FALSE)=0,"",VLOOKUP($A21,貼り付け用!$A$1:$BA$300,COLUMN(),FALSE)),"")</f>
        <v>#N/A</v>
      </c>
      <c r="J21" s="3" t="e">
        <f ca="1">IF($A21&lt;&gt;"",IF(VLOOKUP($A21,貼り付け用!$A$1:$BA$300,COLUMN(),FALSE)=0,"",VLOOKUP($A21,貼り付け用!$A$1:$BA$300,COLUMN(),FALSE)),"")</f>
        <v>#N/A</v>
      </c>
      <c r="K21" s="3" t="e">
        <f ca="1">IF($A21&lt;&gt;"",IF(VLOOKUP($A21,貼り付け用!$A$1:$BA$300,COLUMN(),FALSE)=0,"",VLOOKUP($A21,貼り付け用!$A$1:$BA$300,COLUMN(),FALSE)),"")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63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IF($A22&lt;&gt;"",IF(VLOOKUP($A22,貼り付け用!$A$1:$BA$300,COLUMN(),FALSE)=0,"",VLOOKUP($A22,貼り付け用!$A$1:$BA$300,COLUMN(),FALSE)),"")</f>
        <v>#N/A</v>
      </c>
      <c r="C22" s="14" t="e">
        <f ca="1">IF($A22&lt;&gt;"",IF(VLOOKUP($A22,貼り付け用!$A$1:$BA$300,COLUMN(),FALSE)=0,"",VLOOKUP($A22,貼り付け用!$A$1:$BA$300,COLUMN(),FALSE)),"")</f>
        <v>#N/A</v>
      </c>
      <c r="D22" s="14" t="e">
        <f ca="1">IF($A22&lt;&gt;"",IF(VLOOKUP($A22,貼り付け用!$A$1:$BA$300,COLUMN(),FALSE)=0,"",VLOOKUP($A22,貼り付け用!$A$1:$BA$300,COLUMN(),FALSE)),"")</f>
        <v>#N/A</v>
      </c>
      <c r="E22" s="14" t="e">
        <f ca="1">IF($A22&lt;&gt;"",IF(VLOOKUP($A22,貼り付け用!$A$1:$BA$300,COLUMN(),FALSE)=0,"",VLOOKUP($A22,貼り付け用!$A$1:$BA$300,COLUMN(),FALSE)),"")</f>
        <v>#N/A</v>
      </c>
      <c r="F22" s="14" t="e">
        <f ca="1">IF($A22&lt;&gt;"",IF(VLOOKUP($A22,貼り付け用!$A$1:$BA$300,COLUMN(),FALSE)=0,"",VLOOKUP($A22,貼り付け用!$A$1:$BA$300,COLUMN(),FALSE)),"")</f>
        <v>#N/A</v>
      </c>
      <c r="G22" s="14" t="e">
        <f ca="1">IF($A22&lt;&gt;"",IF(VLOOKUP($A22,貼り付け用!$A$1:$BA$300,COLUMN(),FALSE)=0,"",VLOOKUP($A22,貼り付け用!$A$1:$BA$300,COLUMN(),FALSE)),"")</f>
        <v>#N/A</v>
      </c>
      <c r="H22" s="14" t="e">
        <f ca="1">IF($A22&lt;&gt;"",IF(VLOOKUP($A22,貼り付け用!$A$1:$BA$300,COLUMN(),FALSE)=0,"",VLOOKUP($A22,貼り付け用!$A$1:$BA$300,COLUMN(),FALSE)),"")</f>
        <v>#N/A</v>
      </c>
      <c r="I22" s="14" t="e">
        <f ca="1">IF($A22&lt;&gt;"",IF(VLOOKUP($A22,貼り付け用!$A$1:$BA$300,COLUMN(),FALSE)=0,"",VLOOKUP($A22,貼り付け用!$A$1:$BA$300,COLUMN(),FALSE)),"")</f>
        <v>#N/A</v>
      </c>
      <c r="J22" s="14" t="e">
        <f ca="1">IF($A22&lt;&gt;"",IF(VLOOKUP($A22,貼り付け用!$A$1:$BA$300,COLUMN(),FALSE)=0,"",VLOOKUP($A22,貼り付け用!$A$1:$BA$300,COLUMN(),FALSE)),"")</f>
        <v>#N/A</v>
      </c>
      <c r="K22" s="14" t="e">
        <f ca="1">IF($A22&lt;&gt;"",IF(VLOOKUP($A22,貼り付け用!$A$1:$BA$300,COLUMN(),FALSE)=0,"",VLOOKUP($A22,貼り付け用!$A$1:$BA$300,COLUMN(),FALSE)),"")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63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IF($A23&lt;&gt;"",IF(VLOOKUP($A23,貼り付け用!$A$1:$BA$300,COLUMN(),FALSE)=0,"",VLOOKUP($A23,貼り付け用!$A$1:$BA$300,COLUMN(),FALSE)),"")</f>
        <v>#N/A</v>
      </c>
      <c r="C23" s="3" t="e">
        <f ca="1">IF($A23&lt;&gt;"",IF(VLOOKUP($A23,貼り付け用!$A$1:$BA$300,COLUMN(),FALSE)=0,"",VLOOKUP($A23,貼り付け用!$A$1:$BA$300,COLUMN(),FALSE)),"")</f>
        <v>#N/A</v>
      </c>
      <c r="D23" s="3" t="e">
        <f ca="1">IF($A23&lt;&gt;"",IF(VLOOKUP($A23,貼り付け用!$A$1:$BA$300,COLUMN(),FALSE)=0,"",VLOOKUP($A23,貼り付け用!$A$1:$BA$300,COLUMN(),FALSE)),"")</f>
        <v>#N/A</v>
      </c>
      <c r="E23" s="3" t="e">
        <f ca="1">IF($A23&lt;&gt;"",IF(VLOOKUP($A23,貼り付け用!$A$1:$BA$300,COLUMN(),FALSE)=0,"",VLOOKUP($A23,貼り付け用!$A$1:$BA$300,COLUMN(),FALSE)),"")</f>
        <v>#N/A</v>
      </c>
      <c r="F23" s="3" t="e">
        <f ca="1">IF($A23&lt;&gt;"",IF(VLOOKUP($A23,貼り付け用!$A$1:$BA$300,COLUMN(),FALSE)=0,"",VLOOKUP($A23,貼り付け用!$A$1:$BA$300,COLUMN(),FALSE)),"")</f>
        <v>#N/A</v>
      </c>
      <c r="G23" s="3" t="e">
        <f ca="1">IF($A23&lt;&gt;"",IF(VLOOKUP($A23,貼り付け用!$A$1:$BA$300,COLUMN(),FALSE)=0,"",VLOOKUP($A23,貼り付け用!$A$1:$BA$300,COLUMN(),FALSE)),"")</f>
        <v>#N/A</v>
      </c>
      <c r="H23" s="3" t="e">
        <f ca="1">IF($A23&lt;&gt;"",IF(VLOOKUP($A23,貼り付け用!$A$1:$BA$300,COLUMN(),FALSE)=0,"",VLOOKUP($A23,貼り付け用!$A$1:$BA$300,COLUMN(),FALSE)),"")</f>
        <v>#N/A</v>
      </c>
      <c r="I23" s="3" t="e">
        <f ca="1">IF($A23&lt;&gt;"",IF(VLOOKUP($A23,貼り付け用!$A$1:$BA$300,COLUMN(),FALSE)=0,"",VLOOKUP($A23,貼り付け用!$A$1:$BA$300,COLUMN(),FALSE)),"")</f>
        <v>#N/A</v>
      </c>
      <c r="J23" s="3" t="e">
        <f ca="1">IF($A23&lt;&gt;"",IF(VLOOKUP($A23,貼り付け用!$A$1:$BA$300,COLUMN(),FALSE)=0,"",VLOOKUP($A23,貼り付け用!$A$1:$BA$300,COLUMN(),FALSE)),"")</f>
        <v>#N/A</v>
      </c>
      <c r="K23" s="3" t="e">
        <f ca="1">IF($A23&lt;&gt;"",IF(VLOOKUP($A23,貼り付け用!$A$1:$BA$300,COLUMN(),FALSE)=0,"",VLOOKUP($A23,貼り付け用!$A$1:$BA$300,COLUMN(),FALSE)),"")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63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IF($A24&lt;&gt;"",IF(VLOOKUP($A24,貼り付け用!$A$1:$BA$300,COLUMN(),FALSE)=0,"",VLOOKUP($A24,貼り付け用!$A$1:$BA$300,COLUMN(),FALSE)),"")</f>
        <v>#N/A</v>
      </c>
      <c r="C24" s="14" t="e">
        <f ca="1">IF($A24&lt;&gt;"",IF(VLOOKUP($A24,貼り付け用!$A$1:$BA$300,COLUMN(),FALSE)=0,"",VLOOKUP($A24,貼り付け用!$A$1:$BA$300,COLUMN(),FALSE)),"")</f>
        <v>#N/A</v>
      </c>
      <c r="D24" s="14" t="e">
        <f ca="1">IF($A24&lt;&gt;"",IF(VLOOKUP($A24,貼り付け用!$A$1:$BA$300,COLUMN(),FALSE)=0,"",VLOOKUP($A24,貼り付け用!$A$1:$BA$300,COLUMN(),FALSE)),"")</f>
        <v>#N/A</v>
      </c>
      <c r="E24" s="14" t="e">
        <f ca="1">IF($A24&lt;&gt;"",IF(VLOOKUP($A24,貼り付け用!$A$1:$BA$300,COLUMN(),FALSE)=0,"",VLOOKUP($A24,貼り付け用!$A$1:$BA$300,COLUMN(),FALSE)),"")</f>
        <v>#N/A</v>
      </c>
      <c r="F24" s="14" t="e">
        <f ca="1">IF($A24&lt;&gt;"",IF(VLOOKUP($A24,貼り付け用!$A$1:$BA$300,COLUMN(),FALSE)=0,"",VLOOKUP($A24,貼り付け用!$A$1:$BA$300,COLUMN(),FALSE)),"")</f>
        <v>#N/A</v>
      </c>
      <c r="G24" s="14" t="e">
        <f ca="1">IF($A24&lt;&gt;"",IF(VLOOKUP($A24,貼り付け用!$A$1:$BA$300,COLUMN(),FALSE)=0,"",VLOOKUP($A24,貼り付け用!$A$1:$BA$300,COLUMN(),FALSE)),"")</f>
        <v>#N/A</v>
      </c>
      <c r="H24" s="14" t="e">
        <f ca="1">IF($A24&lt;&gt;"",IF(VLOOKUP($A24,貼り付け用!$A$1:$BA$300,COLUMN(),FALSE)=0,"",VLOOKUP($A24,貼り付け用!$A$1:$BA$300,COLUMN(),FALSE)),"")</f>
        <v>#N/A</v>
      </c>
      <c r="I24" s="14" t="e">
        <f ca="1">IF($A24&lt;&gt;"",IF(VLOOKUP($A24,貼り付け用!$A$1:$BA$300,COLUMN(),FALSE)=0,"",VLOOKUP($A24,貼り付け用!$A$1:$BA$300,COLUMN(),FALSE)),"")</f>
        <v>#N/A</v>
      </c>
      <c r="J24" s="14" t="e">
        <f ca="1">IF($A24&lt;&gt;"",IF(VLOOKUP($A24,貼り付け用!$A$1:$BA$300,COLUMN(),FALSE)=0,"",VLOOKUP($A24,貼り付け用!$A$1:$BA$300,COLUMN(),FALSE)),"")</f>
        <v>#N/A</v>
      </c>
      <c r="K24" s="14" t="e">
        <f ca="1">IF($A24&lt;&gt;"",IF(VLOOKUP($A24,貼り付け用!$A$1:$BA$300,COLUMN(),FALSE)=0,"",VLOOKUP($A24,貼り付け用!$A$1:$BA$300,COLUMN(),FALSE)),"")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63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IF($A25&lt;&gt;"",IF(VLOOKUP($A25,貼り付け用!$A$1:$BA$300,COLUMN(),FALSE)=0,"",VLOOKUP($A25,貼り付け用!$A$1:$BA$300,COLUMN(),FALSE)),"")</f>
        <v>#N/A</v>
      </c>
      <c r="C25" s="3" t="e">
        <f ca="1">IF($A25&lt;&gt;"",IF(VLOOKUP($A25,貼り付け用!$A$1:$BA$300,COLUMN(),FALSE)=0,"",VLOOKUP($A25,貼り付け用!$A$1:$BA$300,COLUMN(),FALSE)),"")</f>
        <v>#N/A</v>
      </c>
      <c r="D25" s="3" t="e">
        <f ca="1">IF($A25&lt;&gt;"",IF(VLOOKUP($A25,貼り付け用!$A$1:$BA$300,COLUMN(),FALSE)=0,"",VLOOKUP($A25,貼り付け用!$A$1:$BA$300,COLUMN(),FALSE)),"")</f>
        <v>#N/A</v>
      </c>
      <c r="E25" s="3" t="e">
        <f ca="1">IF($A25&lt;&gt;"",IF(VLOOKUP($A25,貼り付け用!$A$1:$BA$300,COLUMN(),FALSE)=0,"",VLOOKUP($A25,貼り付け用!$A$1:$BA$300,COLUMN(),FALSE)),"")</f>
        <v>#N/A</v>
      </c>
      <c r="F25" s="3" t="e">
        <f ca="1">IF($A25&lt;&gt;"",IF(VLOOKUP($A25,貼り付け用!$A$1:$BA$300,COLUMN(),FALSE)=0,"",VLOOKUP($A25,貼り付け用!$A$1:$BA$300,COLUMN(),FALSE)),"")</f>
        <v>#N/A</v>
      </c>
      <c r="G25" s="3" t="e">
        <f ca="1">IF($A25&lt;&gt;"",IF(VLOOKUP($A25,貼り付け用!$A$1:$BA$300,COLUMN(),FALSE)=0,"",VLOOKUP($A25,貼り付け用!$A$1:$BA$300,COLUMN(),FALSE)),"")</f>
        <v>#N/A</v>
      </c>
      <c r="H25" s="3" t="e">
        <f ca="1">IF($A25&lt;&gt;"",IF(VLOOKUP($A25,貼り付け用!$A$1:$BA$300,COLUMN(),FALSE)=0,"",VLOOKUP($A25,貼り付け用!$A$1:$BA$300,COLUMN(),FALSE)),"")</f>
        <v>#N/A</v>
      </c>
      <c r="I25" s="3" t="e">
        <f ca="1">IF($A25&lt;&gt;"",IF(VLOOKUP($A25,貼り付け用!$A$1:$BA$300,COLUMN(),FALSE)=0,"",VLOOKUP($A25,貼り付け用!$A$1:$BA$300,COLUMN(),FALSE)),"")</f>
        <v>#N/A</v>
      </c>
      <c r="J25" s="3" t="e">
        <f ca="1">IF($A25&lt;&gt;"",IF(VLOOKUP($A25,貼り付け用!$A$1:$BA$300,COLUMN(),FALSE)=0,"",VLOOKUP($A25,貼り付け用!$A$1:$BA$300,COLUMN(),FALSE)),"")</f>
        <v>#N/A</v>
      </c>
      <c r="K25" s="3" t="e">
        <f ca="1">IF($A25&lt;&gt;"",IF(VLOOKUP($A25,貼り付け用!$A$1:$BA$300,COLUMN(),FALSE)=0,"",VLOOKUP($A25,貼り付け用!$A$1:$BA$300,COLUMN(),FALSE)),"")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63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IF($A26&lt;&gt;"",IF(VLOOKUP($A26,貼り付け用!$A$1:$BA$300,COLUMN(),FALSE)=0,"",VLOOKUP($A26,貼り付け用!$A$1:$BA$300,COLUMN(),FALSE)),"")</f>
        <v>#N/A</v>
      </c>
      <c r="C26" s="14" t="e">
        <f ca="1">IF($A26&lt;&gt;"",IF(VLOOKUP($A26,貼り付け用!$A$1:$BA$300,COLUMN(),FALSE)=0,"",VLOOKUP($A26,貼り付け用!$A$1:$BA$300,COLUMN(),FALSE)),"")</f>
        <v>#N/A</v>
      </c>
      <c r="D26" s="14" t="e">
        <f ca="1">IF($A26&lt;&gt;"",IF(VLOOKUP($A26,貼り付け用!$A$1:$BA$300,COLUMN(),FALSE)=0,"",VLOOKUP($A26,貼り付け用!$A$1:$BA$300,COLUMN(),FALSE)),"")</f>
        <v>#N/A</v>
      </c>
      <c r="E26" s="14" t="e">
        <f ca="1">IF($A26&lt;&gt;"",IF(VLOOKUP($A26,貼り付け用!$A$1:$BA$300,COLUMN(),FALSE)=0,"",VLOOKUP($A26,貼り付け用!$A$1:$BA$300,COLUMN(),FALSE)),"")</f>
        <v>#N/A</v>
      </c>
      <c r="F26" s="14" t="e">
        <f ca="1">IF($A26&lt;&gt;"",IF(VLOOKUP($A26,貼り付け用!$A$1:$BA$300,COLUMN(),FALSE)=0,"",VLOOKUP($A26,貼り付け用!$A$1:$BA$300,COLUMN(),FALSE)),"")</f>
        <v>#N/A</v>
      </c>
      <c r="G26" s="14" t="e">
        <f ca="1">IF($A26&lt;&gt;"",IF(VLOOKUP($A26,貼り付け用!$A$1:$BA$300,COLUMN(),FALSE)=0,"",VLOOKUP($A26,貼り付け用!$A$1:$BA$300,COLUMN(),FALSE)),"")</f>
        <v>#N/A</v>
      </c>
      <c r="H26" s="14" t="e">
        <f ca="1">IF($A26&lt;&gt;"",IF(VLOOKUP($A26,貼り付け用!$A$1:$BA$300,COLUMN(),FALSE)=0,"",VLOOKUP($A26,貼り付け用!$A$1:$BA$300,COLUMN(),FALSE)),"")</f>
        <v>#N/A</v>
      </c>
      <c r="I26" s="14" t="e">
        <f ca="1">IF($A26&lt;&gt;"",IF(VLOOKUP($A26,貼り付け用!$A$1:$BA$300,COLUMN(),FALSE)=0,"",VLOOKUP($A26,貼り付け用!$A$1:$BA$300,COLUMN(),FALSE)),"")</f>
        <v>#N/A</v>
      </c>
      <c r="J26" s="14" t="e">
        <f ca="1">IF($A26&lt;&gt;"",IF(VLOOKUP($A26,貼り付け用!$A$1:$BA$300,COLUMN(),FALSE)=0,"",VLOOKUP($A26,貼り付け用!$A$1:$BA$300,COLUMN(),FALSE)),"")</f>
        <v>#N/A</v>
      </c>
      <c r="K26" s="14" t="e">
        <f ca="1">IF($A26&lt;&gt;"",IF(VLOOKUP($A26,貼り付け用!$A$1:$BA$300,COLUMN(),FALSE)=0,"",VLOOKUP($A26,貼り付け用!$A$1:$BA$300,COLUMN(),FALSE)),"")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63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IF($A27&lt;&gt;"",IF(VLOOKUP($A27,貼り付け用!$A$1:$BA$300,COLUMN(),FALSE)=0,"",VLOOKUP($A27,貼り付け用!$A$1:$BA$300,COLUMN(),FALSE)),"")</f>
        <v>#N/A</v>
      </c>
      <c r="C27" s="3" t="e">
        <f ca="1">IF($A27&lt;&gt;"",IF(VLOOKUP($A27,貼り付け用!$A$1:$BA$300,COLUMN(),FALSE)=0,"",VLOOKUP($A27,貼り付け用!$A$1:$BA$300,COLUMN(),FALSE)),"")</f>
        <v>#N/A</v>
      </c>
      <c r="D27" s="3" t="e">
        <f ca="1">IF($A27&lt;&gt;"",IF(VLOOKUP($A27,貼り付け用!$A$1:$BA$300,COLUMN(),FALSE)=0,"",VLOOKUP($A27,貼り付け用!$A$1:$BA$300,COLUMN(),FALSE)),"")</f>
        <v>#N/A</v>
      </c>
      <c r="E27" s="3" t="e">
        <f ca="1">IF($A27&lt;&gt;"",IF(VLOOKUP($A27,貼り付け用!$A$1:$BA$300,COLUMN(),FALSE)=0,"",VLOOKUP($A27,貼り付け用!$A$1:$BA$300,COLUMN(),FALSE)),"")</f>
        <v>#N/A</v>
      </c>
      <c r="F27" s="3" t="e">
        <f ca="1">IF($A27&lt;&gt;"",IF(VLOOKUP($A27,貼り付け用!$A$1:$BA$300,COLUMN(),FALSE)=0,"",VLOOKUP($A27,貼り付け用!$A$1:$BA$300,COLUMN(),FALSE)),"")</f>
        <v>#N/A</v>
      </c>
      <c r="G27" s="3" t="e">
        <f ca="1">IF($A27&lt;&gt;"",IF(VLOOKUP($A27,貼り付け用!$A$1:$BA$300,COLUMN(),FALSE)=0,"",VLOOKUP($A27,貼り付け用!$A$1:$BA$300,COLUMN(),FALSE)),"")</f>
        <v>#N/A</v>
      </c>
      <c r="H27" s="3" t="e">
        <f ca="1">IF($A27&lt;&gt;"",IF(VLOOKUP($A27,貼り付け用!$A$1:$BA$300,COLUMN(),FALSE)=0,"",VLOOKUP($A27,貼り付け用!$A$1:$BA$300,COLUMN(),FALSE)),"")</f>
        <v>#N/A</v>
      </c>
      <c r="I27" s="3" t="e">
        <f ca="1">IF($A27&lt;&gt;"",IF(VLOOKUP($A27,貼り付け用!$A$1:$BA$300,COLUMN(),FALSE)=0,"",VLOOKUP($A27,貼り付け用!$A$1:$BA$300,COLUMN(),FALSE)),"")</f>
        <v>#N/A</v>
      </c>
      <c r="J27" s="3" t="e">
        <f ca="1">IF($A27&lt;&gt;"",IF(VLOOKUP($A27,貼り付け用!$A$1:$BA$300,COLUMN(),FALSE)=0,"",VLOOKUP($A27,貼り付け用!$A$1:$BA$300,COLUMN(),FALSE)),"")</f>
        <v>#N/A</v>
      </c>
      <c r="K27" s="3" t="e">
        <f ca="1">IF($A27&lt;&gt;"",IF(VLOOKUP($A27,貼り付け用!$A$1:$BA$300,COLUMN(),FALSE)=0,"",VLOOKUP($A27,貼り付け用!$A$1:$BA$300,COLUMN(),FALSE)),"")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63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IF($A28&lt;&gt;"",IF(VLOOKUP($A28,貼り付け用!$A$1:$BA$300,COLUMN(),FALSE)=0,"",VLOOKUP($A28,貼り付け用!$A$1:$BA$300,COLUMN(),FALSE)),"")</f>
        <v>#N/A</v>
      </c>
      <c r="C28" s="14" t="e">
        <f ca="1">IF($A28&lt;&gt;"",IF(VLOOKUP($A28,貼り付け用!$A$1:$BA$300,COLUMN(),FALSE)=0,"",VLOOKUP($A28,貼り付け用!$A$1:$BA$300,COLUMN(),FALSE)),"")</f>
        <v>#N/A</v>
      </c>
      <c r="D28" s="14" t="e">
        <f ca="1">IF($A28&lt;&gt;"",IF(VLOOKUP($A28,貼り付け用!$A$1:$BA$300,COLUMN(),FALSE)=0,"",VLOOKUP($A28,貼り付け用!$A$1:$BA$300,COLUMN(),FALSE)),"")</f>
        <v>#N/A</v>
      </c>
      <c r="E28" s="14" t="e">
        <f ca="1">IF($A28&lt;&gt;"",IF(VLOOKUP($A28,貼り付け用!$A$1:$BA$300,COLUMN(),FALSE)=0,"",VLOOKUP($A28,貼り付け用!$A$1:$BA$300,COLUMN(),FALSE)),"")</f>
        <v>#N/A</v>
      </c>
      <c r="F28" s="14" t="e">
        <f ca="1">IF($A28&lt;&gt;"",IF(VLOOKUP($A28,貼り付け用!$A$1:$BA$300,COLUMN(),FALSE)=0,"",VLOOKUP($A28,貼り付け用!$A$1:$BA$300,COLUMN(),FALSE)),"")</f>
        <v>#N/A</v>
      </c>
      <c r="G28" s="14" t="e">
        <f ca="1">IF($A28&lt;&gt;"",IF(VLOOKUP($A28,貼り付け用!$A$1:$BA$300,COLUMN(),FALSE)=0,"",VLOOKUP($A28,貼り付け用!$A$1:$BA$300,COLUMN(),FALSE)),"")</f>
        <v>#N/A</v>
      </c>
      <c r="H28" s="14" t="e">
        <f ca="1">IF($A28&lt;&gt;"",IF(VLOOKUP($A28,貼り付け用!$A$1:$BA$300,COLUMN(),FALSE)=0,"",VLOOKUP($A28,貼り付け用!$A$1:$BA$300,COLUMN(),FALSE)),"")</f>
        <v>#N/A</v>
      </c>
      <c r="I28" s="14" t="e">
        <f ca="1">IF($A28&lt;&gt;"",IF(VLOOKUP($A28,貼り付け用!$A$1:$BA$300,COLUMN(),FALSE)=0,"",VLOOKUP($A28,貼り付け用!$A$1:$BA$300,COLUMN(),FALSE)),"")</f>
        <v>#N/A</v>
      </c>
      <c r="J28" s="14" t="e">
        <f ca="1">IF($A28&lt;&gt;"",IF(VLOOKUP($A28,貼り付け用!$A$1:$BA$300,COLUMN(),FALSE)=0,"",VLOOKUP($A28,貼り付け用!$A$1:$BA$300,COLUMN(),FALSE)),"")</f>
        <v>#N/A</v>
      </c>
      <c r="K28" s="14" t="e">
        <f ca="1">IF($A28&lt;&gt;"",IF(VLOOKUP($A28,貼り付け用!$A$1:$BA$300,COLUMN(),FALSE)=0,"",VLOOKUP($A28,貼り付け用!$A$1:$BA$300,COLUMN(),FALSE)),"")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63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IF($A29&lt;&gt;"",IF(VLOOKUP($A29,貼り付け用!$A$1:$BA$300,COLUMN(),FALSE)=0,"",VLOOKUP($A29,貼り付け用!$A$1:$BA$300,COLUMN(),FALSE)),"")</f>
        <v>#N/A</v>
      </c>
      <c r="C29" s="3" t="e">
        <f ca="1">IF($A29&lt;&gt;"",IF(VLOOKUP($A29,貼り付け用!$A$1:$BA$300,COLUMN(),FALSE)=0,"",VLOOKUP($A29,貼り付け用!$A$1:$BA$300,COLUMN(),FALSE)),"")</f>
        <v>#N/A</v>
      </c>
      <c r="D29" s="3" t="e">
        <f ca="1">IF($A29&lt;&gt;"",IF(VLOOKUP($A29,貼り付け用!$A$1:$BA$300,COLUMN(),FALSE)=0,"",VLOOKUP($A29,貼り付け用!$A$1:$BA$300,COLUMN(),FALSE)),"")</f>
        <v>#N/A</v>
      </c>
      <c r="E29" s="3" t="e">
        <f ca="1">IF($A29&lt;&gt;"",IF(VLOOKUP($A29,貼り付け用!$A$1:$BA$300,COLUMN(),FALSE)=0,"",VLOOKUP($A29,貼り付け用!$A$1:$BA$300,COLUMN(),FALSE)),"")</f>
        <v>#N/A</v>
      </c>
      <c r="F29" s="3" t="e">
        <f ca="1">IF($A29&lt;&gt;"",IF(VLOOKUP($A29,貼り付け用!$A$1:$BA$300,COLUMN(),FALSE)=0,"",VLOOKUP($A29,貼り付け用!$A$1:$BA$300,COLUMN(),FALSE)),"")</f>
        <v>#N/A</v>
      </c>
      <c r="G29" s="3" t="e">
        <f ca="1">IF($A29&lt;&gt;"",IF(VLOOKUP($A29,貼り付け用!$A$1:$BA$300,COLUMN(),FALSE)=0,"",VLOOKUP($A29,貼り付け用!$A$1:$BA$300,COLUMN(),FALSE)),"")</f>
        <v>#N/A</v>
      </c>
      <c r="H29" s="3" t="e">
        <f ca="1">IF($A29&lt;&gt;"",IF(VLOOKUP($A29,貼り付け用!$A$1:$BA$300,COLUMN(),FALSE)=0,"",VLOOKUP($A29,貼り付け用!$A$1:$BA$300,COLUMN(),FALSE)),"")</f>
        <v>#N/A</v>
      </c>
      <c r="I29" s="3" t="e">
        <f ca="1">IF($A29&lt;&gt;"",IF(VLOOKUP($A29,貼り付け用!$A$1:$BA$300,COLUMN(),FALSE)=0,"",VLOOKUP($A29,貼り付け用!$A$1:$BA$300,COLUMN(),FALSE)),"")</f>
        <v>#N/A</v>
      </c>
      <c r="J29" s="3" t="e">
        <f ca="1">IF($A29&lt;&gt;"",IF(VLOOKUP($A29,貼り付け用!$A$1:$BA$300,COLUMN(),FALSE)=0,"",VLOOKUP($A29,貼り付け用!$A$1:$BA$300,COLUMN(),FALSE)),"")</f>
        <v>#N/A</v>
      </c>
      <c r="K29" s="3" t="e">
        <f ca="1">IF($A29&lt;&gt;"",IF(VLOOKUP($A29,貼り付け用!$A$1:$BA$300,COLUMN(),FALSE)=0,"",VLOOKUP($A29,貼り付け用!$A$1:$BA$300,COLUMN(),FALSE)),"")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63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IF($A30&lt;&gt;"",IF(VLOOKUP($A30,貼り付け用!$A$1:$BA$300,COLUMN(),FALSE)=0,"",VLOOKUP($A30,貼り付け用!$A$1:$BA$300,COLUMN(),FALSE)),"")</f>
        <v>#N/A</v>
      </c>
      <c r="C30" s="14" t="e">
        <f ca="1">IF($A30&lt;&gt;"",IF(VLOOKUP($A30,貼り付け用!$A$1:$BA$300,COLUMN(),FALSE)=0,"",VLOOKUP($A30,貼り付け用!$A$1:$BA$300,COLUMN(),FALSE)),"")</f>
        <v>#N/A</v>
      </c>
      <c r="D30" s="14" t="e">
        <f ca="1">IF($A30&lt;&gt;"",IF(VLOOKUP($A30,貼り付け用!$A$1:$BA$300,COLUMN(),FALSE)=0,"",VLOOKUP($A30,貼り付け用!$A$1:$BA$300,COLUMN(),FALSE)),"")</f>
        <v>#N/A</v>
      </c>
      <c r="E30" s="14" t="e">
        <f ca="1">IF($A30&lt;&gt;"",IF(VLOOKUP($A30,貼り付け用!$A$1:$BA$300,COLUMN(),FALSE)=0,"",VLOOKUP($A30,貼り付け用!$A$1:$BA$300,COLUMN(),FALSE)),"")</f>
        <v>#N/A</v>
      </c>
      <c r="F30" s="14" t="e">
        <f ca="1">IF($A30&lt;&gt;"",IF(VLOOKUP($A30,貼り付け用!$A$1:$BA$300,COLUMN(),FALSE)=0,"",VLOOKUP($A30,貼り付け用!$A$1:$BA$300,COLUMN(),FALSE)),"")</f>
        <v>#N/A</v>
      </c>
      <c r="G30" s="14" t="e">
        <f ca="1">IF($A30&lt;&gt;"",IF(VLOOKUP($A30,貼り付け用!$A$1:$BA$300,COLUMN(),FALSE)=0,"",VLOOKUP($A30,貼り付け用!$A$1:$BA$300,COLUMN(),FALSE)),"")</f>
        <v>#N/A</v>
      </c>
      <c r="H30" s="14" t="e">
        <f ca="1">IF($A30&lt;&gt;"",IF(VLOOKUP($A30,貼り付け用!$A$1:$BA$300,COLUMN(),FALSE)=0,"",VLOOKUP($A30,貼り付け用!$A$1:$BA$300,COLUMN(),FALSE)),"")</f>
        <v>#N/A</v>
      </c>
      <c r="I30" s="14" t="e">
        <f ca="1">IF($A30&lt;&gt;"",IF(VLOOKUP($A30,貼り付け用!$A$1:$BA$300,COLUMN(),FALSE)=0,"",VLOOKUP($A30,貼り付け用!$A$1:$BA$300,COLUMN(),FALSE)),"")</f>
        <v>#N/A</v>
      </c>
      <c r="J30" s="14" t="e">
        <f ca="1">IF($A30&lt;&gt;"",IF(VLOOKUP($A30,貼り付け用!$A$1:$BA$300,COLUMN(),FALSE)=0,"",VLOOKUP($A30,貼り付け用!$A$1:$BA$300,COLUMN(),FALSE)),"")</f>
        <v>#N/A</v>
      </c>
      <c r="K30" s="14" t="e">
        <f ca="1">IF($A30&lt;&gt;"",IF(VLOOKUP($A30,貼り付け用!$A$1:$BA$300,COLUMN(),FALSE)=0,"",VLOOKUP($A30,貼り付け用!$A$1:$BA$300,COLUMN(),FALSE)),"")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63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IF($A31&lt;&gt;"",IF(VLOOKUP($A31,貼り付け用!$A$1:$BA$300,COLUMN(),FALSE)=0,"",VLOOKUP($A31,貼り付け用!$A$1:$BA$300,COLUMN(),FALSE)),"")</f>
        <v>#N/A</v>
      </c>
      <c r="C31" s="3" t="e">
        <f ca="1">IF($A31&lt;&gt;"",IF(VLOOKUP($A31,貼り付け用!$A$1:$BA$300,COLUMN(),FALSE)=0,"",VLOOKUP($A31,貼り付け用!$A$1:$BA$300,COLUMN(),FALSE)),"")</f>
        <v>#N/A</v>
      </c>
      <c r="D31" s="3" t="e">
        <f ca="1">IF($A31&lt;&gt;"",IF(VLOOKUP($A31,貼り付け用!$A$1:$BA$300,COLUMN(),FALSE)=0,"",VLOOKUP($A31,貼り付け用!$A$1:$BA$300,COLUMN(),FALSE)),"")</f>
        <v>#N/A</v>
      </c>
      <c r="E31" s="3" t="e">
        <f ca="1">IF($A31&lt;&gt;"",IF(VLOOKUP($A31,貼り付け用!$A$1:$BA$300,COLUMN(),FALSE)=0,"",VLOOKUP($A31,貼り付け用!$A$1:$BA$300,COLUMN(),FALSE)),"")</f>
        <v>#N/A</v>
      </c>
      <c r="F31" s="3" t="e">
        <f ca="1">IF($A31&lt;&gt;"",IF(VLOOKUP($A31,貼り付け用!$A$1:$BA$300,COLUMN(),FALSE)=0,"",VLOOKUP($A31,貼り付け用!$A$1:$BA$300,COLUMN(),FALSE)),"")</f>
        <v>#N/A</v>
      </c>
      <c r="G31" s="3" t="e">
        <f ca="1">IF($A31&lt;&gt;"",IF(VLOOKUP($A31,貼り付け用!$A$1:$BA$300,COLUMN(),FALSE)=0,"",VLOOKUP($A31,貼り付け用!$A$1:$BA$300,COLUMN(),FALSE)),"")</f>
        <v>#N/A</v>
      </c>
      <c r="H31" s="3" t="e">
        <f ca="1">IF($A31&lt;&gt;"",IF(VLOOKUP($A31,貼り付け用!$A$1:$BA$300,COLUMN(),FALSE)=0,"",VLOOKUP($A31,貼り付け用!$A$1:$BA$300,COLUMN(),FALSE)),"")</f>
        <v>#N/A</v>
      </c>
      <c r="I31" s="3" t="e">
        <f ca="1">IF($A31&lt;&gt;"",IF(VLOOKUP($A31,貼り付け用!$A$1:$BA$300,COLUMN(),FALSE)=0,"",VLOOKUP($A31,貼り付け用!$A$1:$BA$300,COLUMN(),FALSE)),"")</f>
        <v>#N/A</v>
      </c>
      <c r="J31" s="3" t="e">
        <f ca="1">IF($A31&lt;&gt;"",IF(VLOOKUP($A31,貼り付け用!$A$1:$BA$300,COLUMN(),FALSE)=0,"",VLOOKUP($A31,貼り付け用!$A$1:$BA$300,COLUMN(),FALSE)),"")</f>
        <v>#N/A</v>
      </c>
      <c r="K31" s="3" t="e">
        <f ca="1">IF($A31&lt;&gt;"",IF(VLOOKUP($A31,貼り付け用!$A$1:$BA$300,COLUMN(),FALSE)=0,"",VLOOKUP($A31,貼り付け用!$A$1:$BA$300,COLUMN(),FALSE)),"")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63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IF($A32&lt;&gt;"",IF(VLOOKUP($A32,貼り付け用!$A$1:$BA$300,COLUMN(),FALSE)=0,"",VLOOKUP($A32,貼り付け用!$A$1:$BA$300,COLUMN(),FALSE)),"")</f>
        <v>#N/A</v>
      </c>
      <c r="C32" s="14" t="e">
        <f ca="1">IF($A32&lt;&gt;"",IF(VLOOKUP($A32,貼り付け用!$A$1:$BA$300,COLUMN(),FALSE)=0,"",VLOOKUP($A32,貼り付け用!$A$1:$BA$300,COLUMN(),FALSE)),"")</f>
        <v>#N/A</v>
      </c>
      <c r="D32" s="14" t="e">
        <f ca="1">IF($A32&lt;&gt;"",IF(VLOOKUP($A32,貼り付け用!$A$1:$BA$300,COLUMN(),FALSE)=0,"",VLOOKUP($A32,貼り付け用!$A$1:$BA$300,COLUMN(),FALSE)),"")</f>
        <v>#N/A</v>
      </c>
      <c r="E32" s="14" t="e">
        <f ca="1">IF($A32&lt;&gt;"",IF(VLOOKUP($A32,貼り付け用!$A$1:$BA$300,COLUMN(),FALSE)=0,"",VLOOKUP($A32,貼り付け用!$A$1:$BA$300,COLUMN(),FALSE)),"")</f>
        <v>#N/A</v>
      </c>
      <c r="F32" s="14" t="e">
        <f ca="1">IF($A32&lt;&gt;"",IF(VLOOKUP($A32,貼り付け用!$A$1:$BA$300,COLUMN(),FALSE)=0,"",VLOOKUP($A32,貼り付け用!$A$1:$BA$300,COLUMN(),FALSE)),"")</f>
        <v>#N/A</v>
      </c>
      <c r="G32" s="14" t="e">
        <f ca="1">IF($A32&lt;&gt;"",IF(VLOOKUP($A32,貼り付け用!$A$1:$BA$300,COLUMN(),FALSE)=0,"",VLOOKUP($A32,貼り付け用!$A$1:$BA$300,COLUMN(),FALSE)),"")</f>
        <v>#N/A</v>
      </c>
      <c r="H32" s="14" t="e">
        <f ca="1">IF($A32&lt;&gt;"",IF(VLOOKUP($A32,貼り付け用!$A$1:$BA$300,COLUMN(),FALSE)=0,"",VLOOKUP($A32,貼り付け用!$A$1:$BA$300,COLUMN(),FALSE)),"")</f>
        <v>#N/A</v>
      </c>
      <c r="I32" s="14" t="e">
        <f ca="1">IF($A32&lt;&gt;"",IF(VLOOKUP($A32,貼り付け用!$A$1:$BA$300,COLUMN(),FALSE)=0,"",VLOOKUP($A32,貼り付け用!$A$1:$BA$300,COLUMN(),FALSE)),"")</f>
        <v>#N/A</v>
      </c>
      <c r="J32" s="14" t="e">
        <f ca="1">IF($A32&lt;&gt;"",IF(VLOOKUP($A32,貼り付け用!$A$1:$BA$300,COLUMN(),FALSE)=0,"",VLOOKUP($A32,貼り付け用!$A$1:$BA$300,COLUMN(),FALSE)),"")</f>
        <v>#N/A</v>
      </c>
      <c r="K32" s="14" t="e">
        <f ca="1">IF($A32&lt;&gt;"",IF(VLOOKUP($A32,貼り付け用!$A$1:$BA$300,COLUMN(),FALSE)=0,"",VLOOKUP($A32,貼り付け用!$A$1:$BA$300,COLUMN(),FALSE)),"")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63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IF($A33&lt;&gt;"",IF(VLOOKUP($A33,貼り付け用!$A$1:$BA$300,COLUMN(),FALSE)=0,"",VLOOKUP($A33,貼り付け用!$A$1:$BA$300,COLUMN(),FALSE)),"")</f>
        <v>#N/A</v>
      </c>
      <c r="C33" s="3" t="e">
        <f ca="1">IF($A33&lt;&gt;"",IF(VLOOKUP($A33,貼り付け用!$A$1:$BA$300,COLUMN(),FALSE)=0,"",VLOOKUP($A33,貼り付け用!$A$1:$BA$300,COLUMN(),FALSE)),"")</f>
        <v>#N/A</v>
      </c>
      <c r="D33" s="3" t="e">
        <f ca="1">IF($A33&lt;&gt;"",IF(VLOOKUP($A33,貼り付け用!$A$1:$BA$300,COLUMN(),FALSE)=0,"",VLOOKUP($A33,貼り付け用!$A$1:$BA$300,COLUMN(),FALSE)),"")</f>
        <v>#N/A</v>
      </c>
      <c r="E33" s="3" t="e">
        <f ca="1">IF($A33&lt;&gt;"",IF(VLOOKUP($A33,貼り付け用!$A$1:$BA$300,COLUMN(),FALSE)=0,"",VLOOKUP($A33,貼り付け用!$A$1:$BA$300,COLUMN(),FALSE)),"")</f>
        <v>#N/A</v>
      </c>
      <c r="F33" s="3" t="e">
        <f ca="1">IF($A33&lt;&gt;"",IF(VLOOKUP($A33,貼り付け用!$A$1:$BA$300,COLUMN(),FALSE)=0,"",VLOOKUP($A33,貼り付け用!$A$1:$BA$300,COLUMN(),FALSE)),"")</f>
        <v>#N/A</v>
      </c>
      <c r="G33" s="3" t="e">
        <f ca="1">IF($A33&lt;&gt;"",IF(VLOOKUP($A33,貼り付け用!$A$1:$BA$300,COLUMN(),FALSE)=0,"",VLOOKUP($A33,貼り付け用!$A$1:$BA$300,COLUMN(),FALSE)),"")</f>
        <v>#N/A</v>
      </c>
      <c r="H33" s="3" t="e">
        <f ca="1">IF($A33&lt;&gt;"",IF(VLOOKUP($A33,貼り付け用!$A$1:$BA$300,COLUMN(),FALSE)=0,"",VLOOKUP($A33,貼り付け用!$A$1:$BA$300,COLUMN(),FALSE)),"")</f>
        <v>#N/A</v>
      </c>
      <c r="I33" s="3" t="e">
        <f ca="1">IF($A33&lt;&gt;"",IF(VLOOKUP($A33,貼り付け用!$A$1:$BA$300,COLUMN(),FALSE)=0,"",VLOOKUP($A33,貼り付け用!$A$1:$BA$300,COLUMN(),FALSE)),"")</f>
        <v>#N/A</v>
      </c>
      <c r="J33" s="3" t="e">
        <f ca="1">IF($A33&lt;&gt;"",IF(VLOOKUP($A33,貼り付け用!$A$1:$BA$300,COLUMN(),FALSE)=0,"",VLOOKUP($A33,貼り付け用!$A$1:$BA$300,COLUMN(),FALSE)),"")</f>
        <v>#N/A</v>
      </c>
      <c r="K33" s="3" t="e">
        <f ca="1">IF($A33&lt;&gt;"",IF(VLOOKUP($A33,貼り付け用!$A$1:$BA$300,COLUMN(),FALSE)=0,"",VLOOKUP($A33,貼り付け用!$A$1:$BA$300,COLUMN(),FALSE)),"")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63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IF($A34&lt;&gt;"",IF(VLOOKUP($A34,貼り付け用!$A$1:$BA$300,COLUMN(),FALSE)=0,"",VLOOKUP($A34,貼り付け用!$A$1:$BA$300,COLUMN(),FALSE)),"")</f>
        <v>#N/A</v>
      </c>
      <c r="C34" s="14" t="e">
        <f ca="1">IF($A34&lt;&gt;"",IF(VLOOKUP($A34,貼り付け用!$A$1:$BA$300,COLUMN(),FALSE)=0,"",VLOOKUP($A34,貼り付け用!$A$1:$BA$300,COLUMN(),FALSE)),"")</f>
        <v>#N/A</v>
      </c>
      <c r="D34" s="14" t="e">
        <f ca="1">IF($A34&lt;&gt;"",IF(VLOOKUP($A34,貼り付け用!$A$1:$BA$300,COLUMN(),FALSE)=0,"",VLOOKUP($A34,貼り付け用!$A$1:$BA$300,COLUMN(),FALSE)),"")</f>
        <v>#N/A</v>
      </c>
      <c r="E34" s="14" t="e">
        <f ca="1">IF($A34&lt;&gt;"",IF(VLOOKUP($A34,貼り付け用!$A$1:$BA$300,COLUMN(),FALSE)=0,"",VLOOKUP($A34,貼り付け用!$A$1:$BA$300,COLUMN(),FALSE)),"")</f>
        <v>#N/A</v>
      </c>
      <c r="F34" s="14" t="e">
        <f ca="1">IF($A34&lt;&gt;"",IF(VLOOKUP($A34,貼り付け用!$A$1:$BA$300,COLUMN(),FALSE)=0,"",VLOOKUP($A34,貼り付け用!$A$1:$BA$300,COLUMN(),FALSE)),"")</f>
        <v>#N/A</v>
      </c>
      <c r="G34" s="14" t="e">
        <f ca="1">IF($A34&lt;&gt;"",IF(VLOOKUP($A34,貼り付け用!$A$1:$BA$300,COLUMN(),FALSE)=0,"",VLOOKUP($A34,貼り付け用!$A$1:$BA$300,COLUMN(),FALSE)),"")</f>
        <v>#N/A</v>
      </c>
      <c r="H34" s="14" t="e">
        <f ca="1">IF($A34&lt;&gt;"",IF(VLOOKUP($A34,貼り付け用!$A$1:$BA$300,COLUMN(),FALSE)=0,"",VLOOKUP($A34,貼り付け用!$A$1:$BA$300,COLUMN(),FALSE)),"")</f>
        <v>#N/A</v>
      </c>
      <c r="I34" s="14" t="e">
        <f ca="1">IF($A34&lt;&gt;"",IF(VLOOKUP($A34,貼り付け用!$A$1:$BA$300,COLUMN(),FALSE)=0,"",VLOOKUP($A34,貼り付け用!$A$1:$BA$300,COLUMN(),FALSE)),"")</f>
        <v>#N/A</v>
      </c>
      <c r="J34" s="14" t="e">
        <f ca="1">IF($A34&lt;&gt;"",IF(VLOOKUP($A34,貼り付け用!$A$1:$BA$300,COLUMN(),FALSE)=0,"",VLOOKUP($A34,貼り付け用!$A$1:$BA$300,COLUMN(),FALSE)),"")</f>
        <v>#N/A</v>
      </c>
      <c r="K34" s="14" t="e">
        <f ca="1">IF($A34&lt;&gt;"",IF(VLOOKUP($A34,貼り付け用!$A$1:$BA$300,COLUMN(),FALSE)=0,"",VLOOKUP($A34,貼り付け用!$A$1:$BA$300,COLUMN(),FALSE)),"")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63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IF($A35&lt;&gt;"",IF(VLOOKUP($A35,貼り付け用!$A$1:$BA$300,COLUMN(),FALSE)=0,"",VLOOKUP($A35,貼り付け用!$A$1:$BA$300,COLUMN(),FALSE)),"")</f>
        <v>#N/A</v>
      </c>
      <c r="C35" s="3" t="e">
        <f ca="1">IF($A35&lt;&gt;"",IF(VLOOKUP($A35,貼り付け用!$A$1:$BA$300,COLUMN(),FALSE)=0,"",VLOOKUP($A35,貼り付け用!$A$1:$BA$300,COLUMN(),FALSE)),"")</f>
        <v>#N/A</v>
      </c>
      <c r="D35" s="3" t="e">
        <f ca="1">IF($A35&lt;&gt;"",IF(VLOOKUP($A35,貼り付け用!$A$1:$BA$300,COLUMN(),FALSE)=0,"",VLOOKUP($A35,貼り付け用!$A$1:$BA$300,COLUMN(),FALSE)),"")</f>
        <v>#N/A</v>
      </c>
      <c r="E35" s="3" t="e">
        <f ca="1">IF($A35&lt;&gt;"",IF(VLOOKUP($A35,貼り付け用!$A$1:$BA$300,COLUMN(),FALSE)=0,"",VLOOKUP($A35,貼り付け用!$A$1:$BA$300,COLUMN(),FALSE)),"")</f>
        <v>#N/A</v>
      </c>
      <c r="F35" s="3" t="e">
        <f ca="1">IF($A35&lt;&gt;"",IF(VLOOKUP($A35,貼り付け用!$A$1:$BA$300,COLUMN(),FALSE)=0,"",VLOOKUP($A35,貼り付け用!$A$1:$BA$300,COLUMN(),FALSE)),"")</f>
        <v>#N/A</v>
      </c>
      <c r="G35" s="3" t="e">
        <f ca="1">IF($A35&lt;&gt;"",IF(VLOOKUP($A35,貼り付け用!$A$1:$BA$300,COLUMN(),FALSE)=0,"",VLOOKUP($A35,貼り付け用!$A$1:$BA$300,COLUMN(),FALSE)),"")</f>
        <v>#N/A</v>
      </c>
      <c r="H35" s="3" t="e">
        <f ca="1">IF($A35&lt;&gt;"",IF(VLOOKUP($A35,貼り付け用!$A$1:$BA$300,COLUMN(),FALSE)=0,"",VLOOKUP($A35,貼り付け用!$A$1:$BA$300,COLUMN(),FALSE)),"")</f>
        <v>#N/A</v>
      </c>
      <c r="I35" s="3" t="e">
        <f ca="1">IF($A35&lt;&gt;"",IF(VLOOKUP($A35,貼り付け用!$A$1:$BA$300,COLUMN(),FALSE)=0,"",VLOOKUP($A35,貼り付け用!$A$1:$BA$300,COLUMN(),FALSE)),"")</f>
        <v>#N/A</v>
      </c>
      <c r="J35" s="3" t="e">
        <f ca="1">IF($A35&lt;&gt;"",IF(VLOOKUP($A35,貼り付け用!$A$1:$BA$300,COLUMN(),FALSE)=0,"",VLOOKUP($A35,貼り付け用!$A$1:$BA$300,COLUMN(),FALSE)),"")</f>
        <v>#N/A</v>
      </c>
      <c r="K35" s="3" t="e">
        <f ca="1">IF($A35&lt;&gt;"",IF(VLOOKUP($A35,貼り付け用!$A$1:$BA$300,COLUMN(),FALSE)=0,"",VLOOKUP($A35,貼り付け用!$A$1:$BA$300,COLUMN(),FALSE)),"")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63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IF($A36&lt;&gt;"",IF(VLOOKUP($A36,貼り付け用!$A$1:$BA$300,COLUMN(),FALSE)=0,"",VLOOKUP($A36,貼り付け用!$A$1:$BA$300,COLUMN(),FALSE)),"")</f>
        <v>#N/A</v>
      </c>
      <c r="C36" s="14" t="e">
        <f ca="1">IF($A36&lt;&gt;"",IF(VLOOKUP($A36,貼り付け用!$A$1:$BA$300,COLUMN(),FALSE)=0,"",VLOOKUP($A36,貼り付け用!$A$1:$BA$300,COLUMN(),FALSE)),"")</f>
        <v>#N/A</v>
      </c>
      <c r="D36" s="14" t="e">
        <f ca="1">IF($A36&lt;&gt;"",IF(VLOOKUP($A36,貼り付け用!$A$1:$BA$300,COLUMN(),FALSE)=0,"",VLOOKUP($A36,貼り付け用!$A$1:$BA$300,COLUMN(),FALSE)),"")</f>
        <v>#N/A</v>
      </c>
      <c r="E36" s="14" t="e">
        <f ca="1">IF($A36&lt;&gt;"",IF(VLOOKUP($A36,貼り付け用!$A$1:$BA$300,COLUMN(),FALSE)=0,"",VLOOKUP($A36,貼り付け用!$A$1:$BA$300,COLUMN(),FALSE)),"")</f>
        <v>#N/A</v>
      </c>
      <c r="F36" s="14" t="e">
        <f ca="1">IF($A36&lt;&gt;"",IF(VLOOKUP($A36,貼り付け用!$A$1:$BA$300,COLUMN(),FALSE)=0,"",VLOOKUP($A36,貼り付け用!$A$1:$BA$300,COLUMN(),FALSE)),"")</f>
        <v>#N/A</v>
      </c>
      <c r="G36" s="14" t="e">
        <f ca="1">IF($A36&lt;&gt;"",IF(VLOOKUP($A36,貼り付け用!$A$1:$BA$300,COLUMN(),FALSE)=0,"",VLOOKUP($A36,貼り付け用!$A$1:$BA$300,COLUMN(),FALSE)),"")</f>
        <v>#N/A</v>
      </c>
      <c r="H36" s="14" t="e">
        <f ca="1">IF($A36&lt;&gt;"",IF(VLOOKUP($A36,貼り付け用!$A$1:$BA$300,COLUMN(),FALSE)=0,"",VLOOKUP($A36,貼り付け用!$A$1:$BA$300,COLUMN(),FALSE)),"")</f>
        <v>#N/A</v>
      </c>
      <c r="I36" s="14" t="e">
        <f ca="1">IF($A36&lt;&gt;"",IF(VLOOKUP($A36,貼り付け用!$A$1:$BA$300,COLUMN(),FALSE)=0,"",VLOOKUP($A36,貼り付け用!$A$1:$BA$300,COLUMN(),FALSE)),"")</f>
        <v>#N/A</v>
      </c>
      <c r="J36" s="14" t="e">
        <f ca="1">IF($A36&lt;&gt;"",IF(VLOOKUP($A36,貼り付け用!$A$1:$BA$300,COLUMN(),FALSE)=0,"",VLOOKUP($A36,貼り付け用!$A$1:$BA$300,COLUMN(),FALSE)),"")</f>
        <v>#N/A</v>
      </c>
      <c r="K36" s="14" t="e">
        <f ca="1">IF($A36&lt;&gt;"",IF(VLOOKUP($A36,貼り付け用!$A$1:$BA$300,COLUMN(),FALSE)=0,"",VLOOKUP($A36,貼り付け用!$A$1:$BA$300,COLUMN(),FALSE)),"")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63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IF($A37&lt;&gt;"",IF(VLOOKUP($A37,貼り付け用!$A$1:$BA$300,COLUMN(),FALSE)=0,"",VLOOKUP($A37,貼り付け用!$A$1:$BA$300,COLUMN(),FALSE)),"")</f>
        <v>#N/A</v>
      </c>
      <c r="C37" s="3" t="e">
        <f ca="1">IF($A37&lt;&gt;"",IF(VLOOKUP($A37,貼り付け用!$A$1:$BA$300,COLUMN(),FALSE)=0,"",VLOOKUP($A37,貼り付け用!$A$1:$BA$300,COLUMN(),FALSE)),"")</f>
        <v>#N/A</v>
      </c>
      <c r="D37" s="3" t="e">
        <f ca="1">IF($A37&lt;&gt;"",IF(VLOOKUP($A37,貼り付け用!$A$1:$BA$300,COLUMN(),FALSE)=0,"",VLOOKUP($A37,貼り付け用!$A$1:$BA$300,COLUMN(),FALSE)),"")</f>
        <v>#N/A</v>
      </c>
      <c r="E37" s="3" t="e">
        <f ca="1">IF($A37&lt;&gt;"",IF(VLOOKUP($A37,貼り付け用!$A$1:$BA$300,COLUMN(),FALSE)=0,"",VLOOKUP($A37,貼り付け用!$A$1:$BA$300,COLUMN(),FALSE)),"")</f>
        <v>#N/A</v>
      </c>
      <c r="F37" s="3" t="e">
        <f ca="1">IF($A37&lt;&gt;"",IF(VLOOKUP($A37,貼り付け用!$A$1:$BA$300,COLUMN(),FALSE)=0,"",VLOOKUP($A37,貼り付け用!$A$1:$BA$300,COLUMN(),FALSE)),"")</f>
        <v>#N/A</v>
      </c>
      <c r="G37" s="3" t="e">
        <f ca="1">IF($A37&lt;&gt;"",IF(VLOOKUP($A37,貼り付け用!$A$1:$BA$300,COLUMN(),FALSE)=0,"",VLOOKUP($A37,貼り付け用!$A$1:$BA$300,COLUMN(),FALSE)),"")</f>
        <v>#N/A</v>
      </c>
      <c r="H37" s="3" t="e">
        <f ca="1">IF($A37&lt;&gt;"",IF(VLOOKUP($A37,貼り付け用!$A$1:$BA$300,COLUMN(),FALSE)=0,"",VLOOKUP($A37,貼り付け用!$A$1:$BA$300,COLUMN(),FALSE)),"")</f>
        <v>#N/A</v>
      </c>
      <c r="I37" s="3" t="e">
        <f ca="1">IF($A37&lt;&gt;"",IF(VLOOKUP($A37,貼り付け用!$A$1:$BA$300,COLUMN(),FALSE)=0,"",VLOOKUP($A37,貼り付け用!$A$1:$BA$300,COLUMN(),FALSE)),"")</f>
        <v>#N/A</v>
      </c>
      <c r="J37" s="3" t="e">
        <f ca="1">IF($A37&lt;&gt;"",IF(VLOOKUP($A37,貼り付け用!$A$1:$BA$300,COLUMN(),FALSE)=0,"",VLOOKUP($A37,貼り付け用!$A$1:$BA$300,COLUMN(),FALSE)),"")</f>
        <v>#N/A</v>
      </c>
      <c r="K37" s="3" t="e">
        <f ca="1">IF($A37&lt;&gt;"",IF(VLOOKUP($A37,貼り付け用!$A$1:$BA$300,COLUMN(),FALSE)=0,"",VLOOKUP($A37,貼り付け用!$A$1:$BA$300,COLUMN(),FALSE)),"")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63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IF($A38&lt;&gt;"",IF(VLOOKUP($A38,貼り付け用!$A$1:$BA$300,COLUMN(),FALSE)=0,"",VLOOKUP($A38,貼り付け用!$A$1:$BA$300,COLUMN(),FALSE)),"")</f>
        <v>#N/A</v>
      </c>
      <c r="C38" s="14" t="e">
        <f ca="1">IF($A38&lt;&gt;"",IF(VLOOKUP($A38,貼り付け用!$A$1:$BA$300,COLUMN(),FALSE)=0,"",VLOOKUP($A38,貼り付け用!$A$1:$BA$300,COLUMN(),FALSE)),"")</f>
        <v>#N/A</v>
      </c>
      <c r="D38" s="14" t="e">
        <f ca="1">IF($A38&lt;&gt;"",IF(VLOOKUP($A38,貼り付け用!$A$1:$BA$300,COLUMN(),FALSE)=0,"",VLOOKUP($A38,貼り付け用!$A$1:$BA$300,COLUMN(),FALSE)),"")</f>
        <v>#N/A</v>
      </c>
      <c r="E38" s="14" t="e">
        <f ca="1">IF($A38&lt;&gt;"",IF(VLOOKUP($A38,貼り付け用!$A$1:$BA$300,COLUMN(),FALSE)=0,"",VLOOKUP($A38,貼り付け用!$A$1:$BA$300,COLUMN(),FALSE)),"")</f>
        <v>#N/A</v>
      </c>
      <c r="F38" s="14" t="e">
        <f ca="1">IF($A38&lt;&gt;"",IF(VLOOKUP($A38,貼り付け用!$A$1:$BA$300,COLUMN(),FALSE)=0,"",VLOOKUP($A38,貼り付け用!$A$1:$BA$300,COLUMN(),FALSE)),"")</f>
        <v>#N/A</v>
      </c>
      <c r="G38" s="14" t="e">
        <f ca="1">IF($A38&lt;&gt;"",IF(VLOOKUP($A38,貼り付け用!$A$1:$BA$300,COLUMN(),FALSE)=0,"",VLOOKUP($A38,貼り付け用!$A$1:$BA$300,COLUMN(),FALSE)),"")</f>
        <v>#N/A</v>
      </c>
      <c r="H38" s="14" t="e">
        <f ca="1">IF($A38&lt;&gt;"",IF(VLOOKUP($A38,貼り付け用!$A$1:$BA$300,COLUMN(),FALSE)=0,"",VLOOKUP($A38,貼り付け用!$A$1:$BA$300,COLUMN(),FALSE)),"")</f>
        <v>#N/A</v>
      </c>
      <c r="I38" s="14" t="e">
        <f ca="1">IF($A38&lt;&gt;"",IF(VLOOKUP($A38,貼り付け用!$A$1:$BA$300,COLUMN(),FALSE)=0,"",VLOOKUP($A38,貼り付け用!$A$1:$BA$300,COLUMN(),FALSE)),"")</f>
        <v>#N/A</v>
      </c>
      <c r="J38" s="14" t="e">
        <f ca="1">IF($A38&lt;&gt;"",IF(VLOOKUP($A38,貼り付け用!$A$1:$BA$300,COLUMN(),FALSE)=0,"",VLOOKUP($A38,貼り付け用!$A$1:$BA$300,COLUMN(),FALSE)),"")</f>
        <v>#N/A</v>
      </c>
      <c r="K38" s="14" t="e">
        <f ca="1">IF($A38&lt;&gt;"",IF(VLOOKUP($A38,貼り付け用!$A$1:$BA$300,COLUMN(),FALSE)=0,"",VLOOKUP($A38,貼り付け用!$A$1:$BA$300,COLUMN(),FALSE)),"")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63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IF($A39&lt;&gt;"",IF(VLOOKUP($A39,貼り付け用!$A$1:$BA$300,COLUMN(),FALSE)=0,"",VLOOKUP($A39,貼り付け用!$A$1:$BA$300,COLUMN(),FALSE)),"")</f>
        <v>#N/A</v>
      </c>
      <c r="C39" s="3" t="e">
        <f ca="1">IF($A39&lt;&gt;"",IF(VLOOKUP($A39,貼り付け用!$A$1:$BA$300,COLUMN(),FALSE)=0,"",VLOOKUP($A39,貼り付け用!$A$1:$BA$300,COLUMN(),FALSE)),"")</f>
        <v>#N/A</v>
      </c>
      <c r="D39" s="3" t="e">
        <f ca="1">IF($A39&lt;&gt;"",IF(VLOOKUP($A39,貼り付け用!$A$1:$BA$300,COLUMN(),FALSE)=0,"",VLOOKUP($A39,貼り付け用!$A$1:$BA$300,COLUMN(),FALSE)),"")</f>
        <v>#N/A</v>
      </c>
      <c r="E39" s="3" t="e">
        <f ca="1">IF($A39&lt;&gt;"",IF(VLOOKUP($A39,貼り付け用!$A$1:$BA$300,COLUMN(),FALSE)=0,"",VLOOKUP($A39,貼り付け用!$A$1:$BA$300,COLUMN(),FALSE)),"")</f>
        <v>#N/A</v>
      </c>
      <c r="F39" s="3" t="e">
        <f ca="1">IF($A39&lt;&gt;"",IF(VLOOKUP($A39,貼り付け用!$A$1:$BA$300,COLUMN(),FALSE)=0,"",VLOOKUP($A39,貼り付け用!$A$1:$BA$300,COLUMN(),FALSE)),"")</f>
        <v>#N/A</v>
      </c>
      <c r="G39" s="3" t="e">
        <f ca="1">IF($A39&lt;&gt;"",IF(VLOOKUP($A39,貼り付け用!$A$1:$BA$300,COLUMN(),FALSE)=0,"",VLOOKUP($A39,貼り付け用!$A$1:$BA$300,COLUMN(),FALSE)),"")</f>
        <v>#N/A</v>
      </c>
      <c r="H39" s="3" t="e">
        <f ca="1">IF($A39&lt;&gt;"",IF(VLOOKUP($A39,貼り付け用!$A$1:$BA$300,COLUMN(),FALSE)=0,"",VLOOKUP($A39,貼り付け用!$A$1:$BA$300,COLUMN(),FALSE)),"")</f>
        <v>#N/A</v>
      </c>
      <c r="I39" s="3" t="e">
        <f ca="1">IF($A39&lt;&gt;"",IF(VLOOKUP($A39,貼り付け用!$A$1:$BA$300,COLUMN(),FALSE)=0,"",VLOOKUP($A39,貼り付け用!$A$1:$BA$300,COLUMN(),FALSE)),"")</f>
        <v>#N/A</v>
      </c>
      <c r="J39" s="3" t="e">
        <f ca="1">IF($A39&lt;&gt;"",IF(VLOOKUP($A39,貼り付け用!$A$1:$BA$300,COLUMN(),FALSE)=0,"",VLOOKUP($A39,貼り付け用!$A$1:$BA$300,COLUMN(),FALSE)),"")</f>
        <v>#N/A</v>
      </c>
      <c r="K39" s="3" t="e">
        <f ca="1">IF($A39&lt;&gt;"",IF(VLOOKUP($A39,貼り付け用!$A$1:$BA$300,COLUMN(),FALSE)=0,"",VLOOKUP($A39,貼り付け用!$A$1:$BA$300,COLUMN(),FALSE)),"")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63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IF($A40&lt;&gt;"",IF(VLOOKUP($A40,貼り付け用!$A$1:$BA$300,COLUMN(),FALSE)=0,"",VLOOKUP($A40,貼り付け用!$A$1:$BA$300,COLUMN(),FALSE)),"")</f>
        <v>#N/A</v>
      </c>
      <c r="C40" s="14" t="e">
        <f>IF($A40&lt;&gt;"",IF(VLOOKUP($A40,貼り付け用!$A$1:$BA$300,COLUMN(),FALSE)=0,"",VLOOKUP($A40,貼り付け用!$A$1:$BA$300,COLUMN(),FALSE)),"")</f>
        <v>#N/A</v>
      </c>
      <c r="D40" s="14" t="e">
        <f>IF($A40&lt;&gt;"",IF(VLOOKUP($A40,貼り付け用!$A$1:$BA$300,COLUMN(),FALSE)=0,"",VLOOKUP($A40,貼り付け用!$A$1:$BA$300,COLUMN(),FALSE)),"")</f>
        <v>#N/A</v>
      </c>
      <c r="E40" s="14" t="e">
        <f>IF($A40&lt;&gt;"",IF(VLOOKUP($A40,貼り付け用!$A$1:$BA$300,COLUMN(),FALSE)=0,"",VLOOKUP($A40,貼り付け用!$A$1:$BA$300,COLUMN(),FALSE)),"")</f>
        <v>#N/A</v>
      </c>
      <c r="F40" s="14" t="e">
        <f>IF($A40&lt;&gt;"",IF(VLOOKUP($A40,貼り付け用!$A$1:$BA$300,COLUMN(),FALSE)=0,"",VLOOKUP($A40,貼り付け用!$A$1:$BA$300,COLUMN(),FALSE)),"")</f>
        <v>#N/A</v>
      </c>
      <c r="G40" s="14" t="e">
        <f>IF($A40&lt;&gt;"",IF(VLOOKUP($A40,貼り付け用!$A$1:$BA$300,COLUMN(),FALSE)=0,"",VLOOKUP($A40,貼り付け用!$A$1:$BA$300,COLUMN(),FALSE)),"")</f>
        <v>#N/A</v>
      </c>
      <c r="H40" s="14" t="e">
        <f>IF($A40&lt;&gt;"",IF(VLOOKUP($A40,貼り付け用!$A$1:$BA$300,COLUMN(),FALSE)=0,"",VLOOKUP($A40,貼り付け用!$A$1:$BA$300,COLUMN(),FALSE)),"")</f>
        <v>#N/A</v>
      </c>
      <c r="I40" s="14" t="e">
        <f>IF($A40&lt;&gt;"",IF(VLOOKUP($A40,貼り付け用!$A$1:$BA$300,COLUMN(),FALSE)=0,"",VLOOKUP($A40,貼り付け用!$A$1:$BA$300,COLUMN(),FALSE)),"")</f>
        <v>#N/A</v>
      </c>
      <c r="J40" s="14" t="e">
        <f>IF($A40&lt;&gt;"",IF(VLOOKUP($A40,貼り付け用!$A$1:$BA$300,COLUMN(),FALSE)=0,"",VLOOKUP($A40,貼り付け用!$A$1:$BA$300,COLUMN(),FALSE)),"")</f>
        <v>#N/A</v>
      </c>
      <c r="K40" s="14" t="e">
        <f>IF($A40&lt;&gt;"",IF(VLOOKUP($A40,貼り付け用!$A$1:$BA$300,COLUMN(),FALSE)=0,"",VLOOKUP($A40,貼り付け用!$A$1:$BA$300,COLUMN(),FALSE)),"")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63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IF($A41&lt;&gt;"",IF(VLOOKUP($A41,貼り付け用!$A$1:$BA$300,COLUMN(),FALSE)=0,"",VLOOKUP($A41,貼り付け用!$A$1:$BA$300,COLUMN(),FALSE)),"")</f>
        <v>#N/A</v>
      </c>
      <c r="C41" s="3" t="e">
        <f>IF($A41&lt;&gt;"",IF(VLOOKUP($A41,貼り付け用!$A$1:$BA$300,COLUMN(),FALSE)=0,"",VLOOKUP($A41,貼り付け用!$A$1:$BA$300,COLUMN(),FALSE)),"")</f>
        <v>#N/A</v>
      </c>
      <c r="D41" s="3" t="e">
        <f>IF($A41&lt;&gt;"",IF(VLOOKUP($A41,貼り付け用!$A$1:$BA$300,COLUMN(),FALSE)=0,"",VLOOKUP($A41,貼り付け用!$A$1:$BA$300,COLUMN(),FALSE)),"")</f>
        <v>#N/A</v>
      </c>
      <c r="E41" s="3" t="e">
        <f>IF($A41&lt;&gt;"",IF(VLOOKUP($A41,貼り付け用!$A$1:$BA$300,COLUMN(),FALSE)=0,"",VLOOKUP($A41,貼り付け用!$A$1:$BA$300,COLUMN(),FALSE)),"")</f>
        <v>#N/A</v>
      </c>
      <c r="F41" s="3" t="e">
        <f>IF($A41&lt;&gt;"",IF(VLOOKUP($A41,貼り付け用!$A$1:$BA$300,COLUMN(),FALSE)=0,"",VLOOKUP($A41,貼り付け用!$A$1:$BA$300,COLUMN(),FALSE)),"")</f>
        <v>#N/A</v>
      </c>
      <c r="G41" s="3" t="e">
        <f>IF($A41&lt;&gt;"",IF(VLOOKUP($A41,貼り付け用!$A$1:$BA$300,COLUMN(),FALSE)=0,"",VLOOKUP($A41,貼り付け用!$A$1:$BA$300,COLUMN(),FALSE)),"")</f>
        <v>#N/A</v>
      </c>
      <c r="H41" s="3" t="e">
        <f>IF($A41&lt;&gt;"",IF(VLOOKUP($A41,貼り付け用!$A$1:$BA$300,COLUMN(),FALSE)=0,"",VLOOKUP($A41,貼り付け用!$A$1:$BA$300,COLUMN(),FALSE)),"")</f>
        <v>#N/A</v>
      </c>
      <c r="I41" s="3" t="e">
        <f>IF($A41&lt;&gt;"",IF(VLOOKUP($A41,貼り付け用!$A$1:$BA$300,COLUMN(),FALSE)=0,"",VLOOKUP($A41,貼り付け用!$A$1:$BA$300,COLUMN(),FALSE)),"")</f>
        <v>#N/A</v>
      </c>
      <c r="J41" s="3" t="e">
        <f>IF($A41&lt;&gt;"",IF(VLOOKUP($A41,貼り付け用!$A$1:$BA$300,COLUMN(),FALSE)=0,"",VLOOKUP($A41,貼り付け用!$A$1:$BA$300,COLUMN(),FALSE)),"")</f>
        <v>#N/A</v>
      </c>
      <c r="K41" s="3" t="e">
        <f>IF($A41&lt;&gt;"",IF(VLOOKUP($A41,貼り付け用!$A$1:$BA$300,COLUMN(),FALSE)=0,"",VLOOKUP($A41,貼り付け用!$A$1:$BA$300,COLUMN(),FALSE)),"")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63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IF($A42&lt;&gt;"",IF(VLOOKUP($A42,貼り付け用!$A$1:$BA$300,COLUMN(),FALSE)=0,"",VLOOKUP($A42,貼り付け用!$A$1:$BA$300,COLUMN(),FALSE)),"")</f>
        <v>#N/A</v>
      </c>
      <c r="C42" s="14" t="e">
        <f>IF($A42&lt;&gt;"",IF(VLOOKUP($A42,貼り付け用!$A$1:$BA$300,COLUMN(),FALSE)=0,"",VLOOKUP($A42,貼り付け用!$A$1:$BA$300,COLUMN(),FALSE)),"")</f>
        <v>#N/A</v>
      </c>
      <c r="D42" s="14" t="e">
        <f>IF($A42&lt;&gt;"",IF(VLOOKUP($A42,貼り付け用!$A$1:$BA$300,COLUMN(),FALSE)=0,"",VLOOKUP($A42,貼り付け用!$A$1:$BA$300,COLUMN(),FALSE)),"")</f>
        <v>#N/A</v>
      </c>
      <c r="E42" s="14" t="e">
        <f>IF($A42&lt;&gt;"",IF(VLOOKUP($A42,貼り付け用!$A$1:$BA$300,COLUMN(),FALSE)=0,"",VLOOKUP($A42,貼り付け用!$A$1:$BA$300,COLUMN(),FALSE)),"")</f>
        <v>#N/A</v>
      </c>
      <c r="F42" s="14" t="e">
        <f>IF($A42&lt;&gt;"",IF(VLOOKUP($A42,貼り付け用!$A$1:$BA$300,COLUMN(),FALSE)=0,"",VLOOKUP($A42,貼り付け用!$A$1:$BA$300,COLUMN(),FALSE)),"")</f>
        <v>#N/A</v>
      </c>
      <c r="G42" s="14" t="e">
        <f>IF($A42&lt;&gt;"",IF(VLOOKUP($A42,貼り付け用!$A$1:$BA$300,COLUMN(),FALSE)=0,"",VLOOKUP($A42,貼り付け用!$A$1:$BA$300,COLUMN(),FALSE)),"")</f>
        <v>#N/A</v>
      </c>
      <c r="H42" s="14" t="e">
        <f>IF($A42&lt;&gt;"",IF(VLOOKUP($A42,貼り付け用!$A$1:$BA$300,COLUMN(),FALSE)=0,"",VLOOKUP($A42,貼り付け用!$A$1:$BA$300,COLUMN(),FALSE)),"")</f>
        <v>#N/A</v>
      </c>
      <c r="I42" s="14" t="e">
        <f>IF($A42&lt;&gt;"",IF(VLOOKUP($A42,貼り付け用!$A$1:$BA$300,COLUMN(),FALSE)=0,"",VLOOKUP($A42,貼り付け用!$A$1:$BA$300,COLUMN(),FALSE)),"")</f>
        <v>#N/A</v>
      </c>
      <c r="J42" s="14" t="e">
        <f>IF($A42&lt;&gt;"",IF(VLOOKUP($A42,貼り付け用!$A$1:$BA$300,COLUMN(),FALSE)=0,"",VLOOKUP($A42,貼り付け用!$A$1:$BA$300,COLUMN(),FALSE)),"")</f>
        <v>#N/A</v>
      </c>
      <c r="K42" s="14" t="e">
        <f>IF($A42&lt;&gt;"",IF(VLOOKUP($A42,貼り付け用!$A$1:$BA$300,COLUMN(),FALSE)=0,"",VLOOKUP($A42,貼り付け用!$A$1:$BA$300,COLUMN(),FALSE)),"")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63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IF($A43&lt;&gt;"",IF(VLOOKUP($A43,貼り付け用!$A$1:$BA$300,COLUMN(),FALSE)=0,"",VLOOKUP($A43,貼り付け用!$A$1:$BA$300,COLUMN(),FALSE)),"")</f>
        <v>#N/A</v>
      </c>
      <c r="C43" s="3" t="e">
        <f>IF($A43&lt;&gt;"",IF(VLOOKUP($A43,貼り付け用!$A$1:$BA$300,COLUMN(),FALSE)=0,"",VLOOKUP($A43,貼り付け用!$A$1:$BA$300,COLUMN(),FALSE)),"")</f>
        <v>#N/A</v>
      </c>
      <c r="D43" s="3" t="e">
        <f>IF($A43&lt;&gt;"",IF(VLOOKUP($A43,貼り付け用!$A$1:$BA$300,COLUMN(),FALSE)=0,"",VLOOKUP($A43,貼り付け用!$A$1:$BA$300,COLUMN(),FALSE)),"")</f>
        <v>#N/A</v>
      </c>
      <c r="E43" s="3" t="e">
        <f>IF($A43&lt;&gt;"",IF(VLOOKUP($A43,貼り付け用!$A$1:$BA$300,COLUMN(),FALSE)=0,"",VLOOKUP($A43,貼り付け用!$A$1:$BA$300,COLUMN(),FALSE)),"")</f>
        <v>#N/A</v>
      </c>
      <c r="F43" s="3" t="e">
        <f>IF($A43&lt;&gt;"",IF(VLOOKUP($A43,貼り付け用!$A$1:$BA$300,COLUMN(),FALSE)=0,"",VLOOKUP($A43,貼り付け用!$A$1:$BA$300,COLUMN(),FALSE)),"")</f>
        <v>#N/A</v>
      </c>
      <c r="G43" s="3" t="e">
        <f>IF($A43&lt;&gt;"",IF(VLOOKUP($A43,貼り付け用!$A$1:$BA$300,COLUMN(),FALSE)=0,"",VLOOKUP($A43,貼り付け用!$A$1:$BA$300,COLUMN(),FALSE)),"")</f>
        <v>#N/A</v>
      </c>
      <c r="H43" s="3" t="e">
        <f>IF($A43&lt;&gt;"",IF(VLOOKUP($A43,貼り付け用!$A$1:$BA$300,COLUMN(),FALSE)=0,"",VLOOKUP($A43,貼り付け用!$A$1:$BA$300,COLUMN(),FALSE)),"")</f>
        <v>#N/A</v>
      </c>
      <c r="I43" s="3" t="e">
        <f>IF($A43&lt;&gt;"",IF(VLOOKUP($A43,貼り付け用!$A$1:$BA$300,COLUMN(),FALSE)=0,"",VLOOKUP($A43,貼り付け用!$A$1:$BA$300,COLUMN(),FALSE)),"")</f>
        <v>#N/A</v>
      </c>
      <c r="J43" s="3" t="e">
        <f>IF($A43&lt;&gt;"",IF(VLOOKUP($A43,貼り付け用!$A$1:$BA$300,COLUMN(),FALSE)=0,"",VLOOKUP($A43,貼り付け用!$A$1:$BA$300,COLUMN(),FALSE)),"")</f>
        <v>#N/A</v>
      </c>
      <c r="K43" s="3" t="e">
        <f>IF($A43&lt;&gt;"",IF(VLOOKUP($A43,貼り付け用!$A$1:$BA$300,COLUMN(),FALSE)=0,"",VLOOKUP($A43,貼り付け用!$A$1:$BA$300,COLUMN(),FALSE)),"")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63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IF($A44&lt;&gt;"",IF(VLOOKUP($A44,貼り付け用!$A$1:$BA$300,COLUMN(),FALSE)=0,"",VLOOKUP($A44,貼り付け用!$A$1:$BA$300,COLUMN(),FALSE)),"")</f>
        <v>#N/A</v>
      </c>
      <c r="C44" s="14" t="e">
        <f>IF($A44&lt;&gt;"",IF(VLOOKUP($A44,貼り付け用!$A$1:$BA$300,COLUMN(),FALSE)=0,"",VLOOKUP($A44,貼り付け用!$A$1:$BA$300,COLUMN(),FALSE)),"")</f>
        <v>#N/A</v>
      </c>
      <c r="D44" s="14" t="e">
        <f>IF($A44&lt;&gt;"",IF(VLOOKUP($A44,貼り付け用!$A$1:$BA$300,COLUMN(),FALSE)=0,"",VLOOKUP($A44,貼り付け用!$A$1:$BA$300,COLUMN(),FALSE)),"")</f>
        <v>#N/A</v>
      </c>
      <c r="E44" s="14" t="e">
        <f>IF($A44&lt;&gt;"",IF(VLOOKUP($A44,貼り付け用!$A$1:$BA$300,COLUMN(),FALSE)=0,"",VLOOKUP($A44,貼り付け用!$A$1:$BA$300,COLUMN(),FALSE)),"")</f>
        <v>#N/A</v>
      </c>
      <c r="F44" s="14" t="e">
        <f>IF($A44&lt;&gt;"",IF(VLOOKUP($A44,貼り付け用!$A$1:$BA$300,COLUMN(),FALSE)=0,"",VLOOKUP($A44,貼り付け用!$A$1:$BA$300,COLUMN(),FALSE)),"")</f>
        <v>#N/A</v>
      </c>
      <c r="G44" s="14" t="e">
        <f>IF($A44&lt;&gt;"",IF(VLOOKUP($A44,貼り付け用!$A$1:$BA$300,COLUMN(),FALSE)=0,"",VLOOKUP($A44,貼り付け用!$A$1:$BA$300,COLUMN(),FALSE)),"")</f>
        <v>#N/A</v>
      </c>
      <c r="H44" s="14" t="e">
        <f>IF($A44&lt;&gt;"",IF(VLOOKUP($A44,貼り付け用!$A$1:$BA$300,COLUMN(),FALSE)=0,"",VLOOKUP($A44,貼り付け用!$A$1:$BA$300,COLUMN(),FALSE)),"")</f>
        <v>#N/A</v>
      </c>
      <c r="I44" s="14" t="e">
        <f>IF($A44&lt;&gt;"",IF(VLOOKUP($A44,貼り付け用!$A$1:$BA$300,COLUMN(),FALSE)=0,"",VLOOKUP($A44,貼り付け用!$A$1:$BA$300,COLUMN(),FALSE)),"")</f>
        <v>#N/A</v>
      </c>
      <c r="J44" s="14" t="e">
        <f>IF($A44&lt;&gt;"",IF(VLOOKUP($A44,貼り付け用!$A$1:$BA$300,COLUMN(),FALSE)=0,"",VLOOKUP($A44,貼り付け用!$A$1:$BA$300,COLUMN(),FALSE)),"")</f>
        <v>#N/A</v>
      </c>
      <c r="K44" s="14" t="e">
        <f>IF($A44&lt;&gt;"",IF(VLOOKUP($A44,貼り付け用!$A$1:$BA$300,COLUMN(),FALSE)=0,"",VLOOKUP($A44,貼り付け用!$A$1:$BA$300,COLUMN(),FALSE)),"")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63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IF($A45&lt;&gt;"",IF(VLOOKUP($A45,貼り付け用!$A$1:$BA$300,COLUMN(),FALSE)=0,"",VLOOKUP($A45,貼り付け用!$A$1:$BA$300,COLUMN(),FALSE)),"")</f>
        <v>#N/A</v>
      </c>
      <c r="C45" s="3" t="e">
        <f>IF($A45&lt;&gt;"",IF(VLOOKUP($A45,貼り付け用!$A$1:$BA$300,COLUMN(),FALSE)=0,"",VLOOKUP($A45,貼り付け用!$A$1:$BA$300,COLUMN(),FALSE)),"")</f>
        <v>#N/A</v>
      </c>
      <c r="D45" s="3" t="e">
        <f>IF($A45&lt;&gt;"",IF(VLOOKUP($A45,貼り付け用!$A$1:$BA$300,COLUMN(),FALSE)=0,"",VLOOKUP($A45,貼り付け用!$A$1:$BA$300,COLUMN(),FALSE)),"")</f>
        <v>#N/A</v>
      </c>
      <c r="E45" s="3" t="e">
        <f>IF($A45&lt;&gt;"",IF(VLOOKUP($A45,貼り付け用!$A$1:$BA$300,COLUMN(),FALSE)=0,"",VLOOKUP($A45,貼り付け用!$A$1:$BA$300,COLUMN(),FALSE)),"")</f>
        <v>#N/A</v>
      </c>
      <c r="F45" s="3" t="e">
        <f>IF($A45&lt;&gt;"",IF(VLOOKUP($A45,貼り付け用!$A$1:$BA$300,COLUMN(),FALSE)=0,"",VLOOKUP($A45,貼り付け用!$A$1:$BA$300,COLUMN(),FALSE)),"")</f>
        <v>#N/A</v>
      </c>
      <c r="G45" s="3" t="e">
        <f>IF($A45&lt;&gt;"",IF(VLOOKUP($A45,貼り付け用!$A$1:$BA$300,COLUMN(),FALSE)=0,"",VLOOKUP($A45,貼り付け用!$A$1:$BA$300,COLUMN(),FALSE)),"")</f>
        <v>#N/A</v>
      </c>
      <c r="H45" s="3" t="e">
        <f>IF($A45&lt;&gt;"",IF(VLOOKUP($A45,貼り付け用!$A$1:$BA$300,COLUMN(),FALSE)=0,"",VLOOKUP($A45,貼り付け用!$A$1:$BA$300,COLUMN(),FALSE)),"")</f>
        <v>#N/A</v>
      </c>
      <c r="I45" s="3" t="e">
        <f>IF($A45&lt;&gt;"",IF(VLOOKUP($A45,貼り付け用!$A$1:$BA$300,COLUMN(),FALSE)=0,"",VLOOKUP($A45,貼り付け用!$A$1:$BA$300,COLUMN(),FALSE)),"")</f>
        <v>#N/A</v>
      </c>
      <c r="J45" s="3" t="e">
        <f>IF($A45&lt;&gt;"",IF(VLOOKUP($A45,貼り付け用!$A$1:$BA$300,COLUMN(),FALSE)=0,"",VLOOKUP($A45,貼り付け用!$A$1:$BA$300,COLUMN(),FALSE)),"")</f>
        <v>#N/A</v>
      </c>
      <c r="K45" s="3" t="e">
        <f>IF($A45&lt;&gt;"",IF(VLOOKUP($A45,貼り付け用!$A$1:$BA$300,COLUMN(),FALSE)=0,"",VLOOKUP($A45,貼り付け用!$A$1:$BA$300,COLUMN(),FALSE)),"")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63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IF($A46&lt;&gt;"",IF(VLOOKUP($A46,貼り付け用!$A$1:$BA$300,COLUMN(),FALSE)=0,"",VLOOKUP($A46,貼り付け用!$A$1:$BA$300,COLUMN(),FALSE)),"")</f>
        <v>#N/A</v>
      </c>
      <c r="C46" s="14" t="e">
        <f>IF($A46&lt;&gt;"",IF(VLOOKUP($A46,貼り付け用!$A$1:$BA$300,COLUMN(),FALSE)=0,"",VLOOKUP($A46,貼り付け用!$A$1:$BA$300,COLUMN(),FALSE)),"")</f>
        <v>#N/A</v>
      </c>
      <c r="D46" s="14" t="e">
        <f>IF($A46&lt;&gt;"",IF(VLOOKUP($A46,貼り付け用!$A$1:$BA$300,COLUMN(),FALSE)=0,"",VLOOKUP($A46,貼り付け用!$A$1:$BA$300,COLUMN(),FALSE)),"")</f>
        <v>#N/A</v>
      </c>
      <c r="E46" s="14" t="e">
        <f>IF($A46&lt;&gt;"",IF(VLOOKUP($A46,貼り付け用!$A$1:$BA$300,COLUMN(),FALSE)=0,"",VLOOKUP($A46,貼り付け用!$A$1:$BA$300,COLUMN(),FALSE)),"")</f>
        <v>#N/A</v>
      </c>
      <c r="F46" s="14" t="e">
        <f>IF($A46&lt;&gt;"",IF(VLOOKUP($A46,貼り付け用!$A$1:$BA$300,COLUMN(),FALSE)=0,"",VLOOKUP($A46,貼り付け用!$A$1:$BA$300,COLUMN(),FALSE)),"")</f>
        <v>#N/A</v>
      </c>
      <c r="G46" s="14" t="e">
        <f>IF($A46&lt;&gt;"",IF(VLOOKUP($A46,貼り付け用!$A$1:$BA$300,COLUMN(),FALSE)=0,"",VLOOKUP($A46,貼り付け用!$A$1:$BA$300,COLUMN(),FALSE)),"")</f>
        <v>#N/A</v>
      </c>
      <c r="H46" s="14" t="e">
        <f>IF($A46&lt;&gt;"",IF(VLOOKUP($A46,貼り付け用!$A$1:$BA$300,COLUMN(),FALSE)=0,"",VLOOKUP($A46,貼り付け用!$A$1:$BA$300,COLUMN(),FALSE)),"")</f>
        <v>#N/A</v>
      </c>
      <c r="I46" s="14" t="e">
        <f>IF($A46&lt;&gt;"",IF(VLOOKUP($A46,貼り付け用!$A$1:$BA$300,COLUMN(),FALSE)=0,"",VLOOKUP($A46,貼り付け用!$A$1:$BA$300,COLUMN(),FALSE)),"")</f>
        <v>#N/A</v>
      </c>
      <c r="J46" s="14" t="e">
        <f>IF($A46&lt;&gt;"",IF(VLOOKUP($A46,貼り付け用!$A$1:$BA$300,COLUMN(),FALSE)=0,"",VLOOKUP($A46,貼り付け用!$A$1:$BA$300,COLUMN(),FALSE)),"")</f>
        <v>#N/A</v>
      </c>
      <c r="K46" s="14" t="e">
        <f>IF($A46&lt;&gt;"",IF(VLOOKUP($A46,貼り付け用!$A$1:$BA$300,COLUMN(),FALSE)=0,"",VLOOKUP($A46,貼り付け用!$A$1:$BA$300,COLUMN(),FALSE)),"")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63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IF($A47&lt;&gt;"",IF(VLOOKUP($A47,貼り付け用!$A$1:$BA$300,COLUMN(),FALSE)=0,"",VLOOKUP($A47,貼り付け用!$A$1:$BA$300,COLUMN(),FALSE)),"")</f>
        <v>#N/A</v>
      </c>
      <c r="C47" s="3" t="e">
        <f>IF($A47&lt;&gt;"",IF(VLOOKUP($A47,貼り付け用!$A$1:$BA$300,COLUMN(),FALSE)=0,"",VLOOKUP($A47,貼り付け用!$A$1:$BA$300,COLUMN(),FALSE)),"")</f>
        <v>#N/A</v>
      </c>
      <c r="D47" s="3" t="e">
        <f>IF($A47&lt;&gt;"",IF(VLOOKUP($A47,貼り付け用!$A$1:$BA$300,COLUMN(),FALSE)=0,"",VLOOKUP($A47,貼り付け用!$A$1:$BA$300,COLUMN(),FALSE)),"")</f>
        <v>#N/A</v>
      </c>
      <c r="E47" s="3" t="e">
        <f>IF($A47&lt;&gt;"",IF(VLOOKUP($A47,貼り付け用!$A$1:$BA$300,COLUMN(),FALSE)=0,"",VLOOKUP($A47,貼り付け用!$A$1:$BA$300,COLUMN(),FALSE)),"")</f>
        <v>#N/A</v>
      </c>
      <c r="F47" s="3" t="e">
        <f>IF($A47&lt;&gt;"",IF(VLOOKUP($A47,貼り付け用!$A$1:$BA$300,COLUMN(),FALSE)=0,"",VLOOKUP($A47,貼り付け用!$A$1:$BA$300,COLUMN(),FALSE)),"")</f>
        <v>#N/A</v>
      </c>
      <c r="G47" s="3" t="e">
        <f>IF($A47&lt;&gt;"",IF(VLOOKUP($A47,貼り付け用!$A$1:$BA$300,COLUMN(),FALSE)=0,"",VLOOKUP($A47,貼り付け用!$A$1:$BA$300,COLUMN(),FALSE)),"")</f>
        <v>#N/A</v>
      </c>
      <c r="H47" s="3" t="e">
        <f>IF($A47&lt;&gt;"",IF(VLOOKUP($A47,貼り付け用!$A$1:$BA$300,COLUMN(),FALSE)=0,"",VLOOKUP($A47,貼り付け用!$A$1:$BA$300,COLUMN(),FALSE)),"")</f>
        <v>#N/A</v>
      </c>
      <c r="I47" s="3" t="e">
        <f>IF($A47&lt;&gt;"",IF(VLOOKUP($A47,貼り付け用!$A$1:$BA$300,COLUMN(),FALSE)=0,"",VLOOKUP($A47,貼り付け用!$A$1:$BA$300,COLUMN(),FALSE)),"")</f>
        <v>#N/A</v>
      </c>
      <c r="J47" s="3" t="e">
        <f>IF($A47&lt;&gt;"",IF(VLOOKUP($A47,貼り付け用!$A$1:$BA$300,COLUMN(),FALSE)=0,"",VLOOKUP($A47,貼り付け用!$A$1:$BA$300,COLUMN(),FALSE)),"")</f>
        <v>#N/A</v>
      </c>
      <c r="K47" s="3" t="e">
        <f>IF($A47&lt;&gt;"",IF(VLOOKUP($A47,貼り付け用!$A$1:$BA$300,COLUMN(),FALSE)=0,"",VLOOKUP($A47,貼り付け用!$A$1:$BA$300,COLUMN(),FALSE)),"")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63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IF($A48&lt;&gt;"",IF(VLOOKUP($A48,貼り付け用!$A$1:$BA$300,COLUMN(),FALSE)=0,"",VLOOKUP($A48,貼り付け用!$A$1:$BA$300,COLUMN(),FALSE)),"")</f>
        <v>#N/A</v>
      </c>
      <c r="C48" s="14" t="e">
        <f>IF($A48&lt;&gt;"",IF(VLOOKUP($A48,貼り付け用!$A$1:$BA$300,COLUMN(),FALSE)=0,"",VLOOKUP($A48,貼り付け用!$A$1:$BA$300,COLUMN(),FALSE)),"")</f>
        <v>#N/A</v>
      </c>
      <c r="D48" s="14" t="e">
        <f>IF($A48&lt;&gt;"",IF(VLOOKUP($A48,貼り付け用!$A$1:$BA$300,COLUMN(),FALSE)=0,"",VLOOKUP($A48,貼り付け用!$A$1:$BA$300,COLUMN(),FALSE)),"")</f>
        <v>#N/A</v>
      </c>
      <c r="E48" s="14" t="e">
        <f>IF($A48&lt;&gt;"",IF(VLOOKUP($A48,貼り付け用!$A$1:$BA$300,COLUMN(),FALSE)=0,"",VLOOKUP($A48,貼り付け用!$A$1:$BA$300,COLUMN(),FALSE)),"")</f>
        <v>#N/A</v>
      </c>
      <c r="F48" s="14" t="e">
        <f>IF($A48&lt;&gt;"",IF(VLOOKUP($A48,貼り付け用!$A$1:$BA$300,COLUMN(),FALSE)=0,"",VLOOKUP($A48,貼り付け用!$A$1:$BA$300,COLUMN(),FALSE)),"")</f>
        <v>#N/A</v>
      </c>
      <c r="G48" s="14" t="e">
        <f>IF($A48&lt;&gt;"",IF(VLOOKUP($A48,貼り付け用!$A$1:$BA$300,COLUMN(),FALSE)=0,"",VLOOKUP($A48,貼り付け用!$A$1:$BA$300,COLUMN(),FALSE)),"")</f>
        <v>#N/A</v>
      </c>
      <c r="H48" s="14" t="e">
        <f>IF($A48&lt;&gt;"",IF(VLOOKUP($A48,貼り付け用!$A$1:$BA$300,COLUMN(),FALSE)=0,"",VLOOKUP($A48,貼り付け用!$A$1:$BA$300,COLUMN(),FALSE)),"")</f>
        <v>#N/A</v>
      </c>
      <c r="I48" s="14" t="e">
        <f>IF($A48&lt;&gt;"",IF(VLOOKUP($A48,貼り付け用!$A$1:$BA$300,COLUMN(),FALSE)=0,"",VLOOKUP($A48,貼り付け用!$A$1:$BA$300,COLUMN(),FALSE)),"")</f>
        <v>#N/A</v>
      </c>
      <c r="J48" s="14" t="e">
        <f>IF($A48&lt;&gt;"",IF(VLOOKUP($A48,貼り付け用!$A$1:$BA$300,COLUMN(),FALSE)=0,"",VLOOKUP($A48,貼り付け用!$A$1:$BA$300,COLUMN(),FALSE)),"")</f>
        <v>#N/A</v>
      </c>
      <c r="K48" s="14" t="e">
        <f>IF($A48&lt;&gt;"",IF(VLOOKUP($A48,貼り付け用!$A$1:$BA$300,COLUMN(),FALSE)=0,"",VLOOKUP($A48,貼り付け用!$A$1:$BA$300,COLUMN(),FALSE)),"")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63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IF($A49&lt;&gt;"",IF(VLOOKUP($A49,貼り付け用!$A$1:$BA$300,COLUMN(),FALSE)=0,"",VLOOKUP($A49,貼り付け用!$A$1:$BA$300,COLUMN(),FALSE)),"")</f>
        <v>#N/A</v>
      </c>
      <c r="C49" s="3" t="e">
        <f>IF($A49&lt;&gt;"",IF(VLOOKUP($A49,貼り付け用!$A$1:$BA$300,COLUMN(),FALSE)=0,"",VLOOKUP($A49,貼り付け用!$A$1:$BA$300,COLUMN(),FALSE)),"")</f>
        <v>#N/A</v>
      </c>
      <c r="D49" s="3" t="e">
        <f>IF($A49&lt;&gt;"",IF(VLOOKUP($A49,貼り付け用!$A$1:$BA$300,COLUMN(),FALSE)=0,"",VLOOKUP($A49,貼り付け用!$A$1:$BA$300,COLUMN(),FALSE)),"")</f>
        <v>#N/A</v>
      </c>
      <c r="E49" s="3" t="e">
        <f>IF($A49&lt;&gt;"",IF(VLOOKUP($A49,貼り付け用!$A$1:$BA$300,COLUMN(),FALSE)=0,"",VLOOKUP($A49,貼り付け用!$A$1:$BA$300,COLUMN(),FALSE)),"")</f>
        <v>#N/A</v>
      </c>
      <c r="F49" s="3" t="e">
        <f>IF($A49&lt;&gt;"",IF(VLOOKUP($A49,貼り付け用!$A$1:$BA$300,COLUMN(),FALSE)=0,"",VLOOKUP($A49,貼り付け用!$A$1:$BA$300,COLUMN(),FALSE)),"")</f>
        <v>#N/A</v>
      </c>
      <c r="G49" s="3" t="e">
        <f>IF($A49&lt;&gt;"",IF(VLOOKUP($A49,貼り付け用!$A$1:$BA$300,COLUMN(),FALSE)=0,"",VLOOKUP($A49,貼り付け用!$A$1:$BA$300,COLUMN(),FALSE)),"")</f>
        <v>#N/A</v>
      </c>
      <c r="H49" s="3" t="e">
        <f>IF($A49&lt;&gt;"",IF(VLOOKUP($A49,貼り付け用!$A$1:$BA$300,COLUMN(),FALSE)=0,"",VLOOKUP($A49,貼り付け用!$A$1:$BA$300,COLUMN(),FALSE)),"")</f>
        <v>#N/A</v>
      </c>
      <c r="I49" s="3" t="e">
        <f>IF($A49&lt;&gt;"",IF(VLOOKUP($A49,貼り付け用!$A$1:$BA$300,COLUMN(),FALSE)=0,"",VLOOKUP($A49,貼り付け用!$A$1:$BA$300,COLUMN(),FALSE)),"")</f>
        <v>#N/A</v>
      </c>
      <c r="J49" s="3" t="e">
        <f>IF($A49&lt;&gt;"",IF(VLOOKUP($A49,貼り付け用!$A$1:$BA$300,COLUMN(),FALSE)=0,"",VLOOKUP($A49,貼り付け用!$A$1:$BA$300,COLUMN(),FALSE)),"")</f>
        <v>#N/A</v>
      </c>
      <c r="K49" s="3" t="e">
        <f>IF($A49&lt;&gt;"",IF(VLOOKUP($A49,貼り付け用!$A$1:$BA$300,COLUMN(),FALSE)=0,"",VLOOKUP($A49,貼り付け用!$A$1:$BA$300,COLUMN(),FALSE)),"")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63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IF($A50&lt;&gt;"",IF(VLOOKUP($A50,貼り付け用!$A$1:$BA$300,COLUMN(),FALSE)=0,"",VLOOKUP($A50,貼り付け用!$A$1:$BA$300,COLUMN(),FALSE)),"")</f>
        <v>#N/A</v>
      </c>
      <c r="C50" s="14" t="e">
        <f>IF($A50&lt;&gt;"",IF(VLOOKUP($A50,貼り付け用!$A$1:$BA$300,COLUMN(),FALSE)=0,"",VLOOKUP($A50,貼り付け用!$A$1:$BA$300,COLUMN(),FALSE)),"")</f>
        <v>#N/A</v>
      </c>
      <c r="D50" s="14" t="e">
        <f>IF($A50&lt;&gt;"",IF(VLOOKUP($A50,貼り付け用!$A$1:$BA$300,COLUMN(),FALSE)=0,"",VLOOKUP($A50,貼り付け用!$A$1:$BA$300,COLUMN(),FALSE)),"")</f>
        <v>#N/A</v>
      </c>
      <c r="E50" s="14" t="e">
        <f>IF($A50&lt;&gt;"",IF(VLOOKUP($A50,貼り付け用!$A$1:$BA$300,COLUMN(),FALSE)=0,"",VLOOKUP($A50,貼り付け用!$A$1:$BA$300,COLUMN(),FALSE)),"")</f>
        <v>#N/A</v>
      </c>
      <c r="F50" s="14" t="e">
        <f>IF($A50&lt;&gt;"",IF(VLOOKUP($A50,貼り付け用!$A$1:$BA$300,COLUMN(),FALSE)=0,"",VLOOKUP($A50,貼り付け用!$A$1:$BA$300,COLUMN(),FALSE)),"")</f>
        <v>#N/A</v>
      </c>
      <c r="G50" s="14" t="e">
        <f>IF($A50&lt;&gt;"",IF(VLOOKUP($A50,貼り付け用!$A$1:$BA$300,COLUMN(),FALSE)=0,"",VLOOKUP($A50,貼り付け用!$A$1:$BA$300,COLUMN(),FALSE)),"")</f>
        <v>#N/A</v>
      </c>
      <c r="H50" s="14" t="e">
        <f>IF($A50&lt;&gt;"",IF(VLOOKUP($A50,貼り付け用!$A$1:$BA$300,COLUMN(),FALSE)=0,"",VLOOKUP($A50,貼り付け用!$A$1:$BA$300,COLUMN(),FALSE)),"")</f>
        <v>#N/A</v>
      </c>
      <c r="I50" s="14" t="e">
        <f>IF($A50&lt;&gt;"",IF(VLOOKUP($A50,貼り付け用!$A$1:$BA$300,COLUMN(),FALSE)=0,"",VLOOKUP($A50,貼り付け用!$A$1:$BA$300,COLUMN(),FALSE)),"")</f>
        <v>#N/A</v>
      </c>
      <c r="J50" s="14" t="e">
        <f>IF($A50&lt;&gt;"",IF(VLOOKUP($A50,貼り付け用!$A$1:$BA$300,COLUMN(),FALSE)=0,"",VLOOKUP($A50,貼り付け用!$A$1:$BA$300,COLUMN(),FALSE)),"")</f>
        <v>#N/A</v>
      </c>
      <c r="K50" s="14" t="e">
        <f>IF($A50&lt;&gt;"",IF(VLOOKUP($A50,貼り付け用!$A$1:$BA$300,COLUMN(),FALSE)=0,"",VLOOKUP($A50,貼り付け用!$A$1:$BA$300,COLUMN(),FALSE)),"")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63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IF($A51&lt;&gt;"",IF(VLOOKUP($A51,貼り付け用!$A$1:$BA$300,COLUMN(),FALSE)=0,"",VLOOKUP($A51,貼り付け用!$A$1:$BA$300,COLUMN(),FALSE)),"")</f>
        <v>#N/A</v>
      </c>
      <c r="C51" s="3" t="e">
        <f>IF($A51&lt;&gt;"",IF(VLOOKUP($A51,貼り付け用!$A$1:$BA$300,COLUMN(),FALSE)=0,"",VLOOKUP($A51,貼り付け用!$A$1:$BA$300,COLUMN(),FALSE)),"")</f>
        <v>#N/A</v>
      </c>
      <c r="D51" s="3" t="e">
        <f>IF($A51&lt;&gt;"",IF(VLOOKUP($A51,貼り付け用!$A$1:$BA$300,COLUMN(),FALSE)=0,"",VLOOKUP($A51,貼り付け用!$A$1:$BA$300,COLUMN(),FALSE)),"")</f>
        <v>#N/A</v>
      </c>
      <c r="E51" s="3" t="e">
        <f>IF($A51&lt;&gt;"",IF(VLOOKUP($A51,貼り付け用!$A$1:$BA$300,COLUMN(),FALSE)=0,"",VLOOKUP($A51,貼り付け用!$A$1:$BA$300,COLUMN(),FALSE)),"")</f>
        <v>#N/A</v>
      </c>
      <c r="F51" s="3" t="e">
        <f>IF($A51&lt;&gt;"",IF(VLOOKUP($A51,貼り付け用!$A$1:$BA$300,COLUMN(),FALSE)=0,"",VLOOKUP($A51,貼り付け用!$A$1:$BA$300,COLUMN(),FALSE)),"")</f>
        <v>#N/A</v>
      </c>
      <c r="G51" s="3" t="e">
        <f>IF($A51&lt;&gt;"",IF(VLOOKUP($A51,貼り付け用!$A$1:$BA$300,COLUMN(),FALSE)=0,"",VLOOKUP($A51,貼り付け用!$A$1:$BA$300,COLUMN(),FALSE)),"")</f>
        <v>#N/A</v>
      </c>
      <c r="H51" s="3" t="e">
        <f>IF($A51&lt;&gt;"",IF(VLOOKUP($A51,貼り付け用!$A$1:$BA$300,COLUMN(),FALSE)=0,"",VLOOKUP($A51,貼り付け用!$A$1:$BA$300,COLUMN(),FALSE)),"")</f>
        <v>#N/A</v>
      </c>
      <c r="I51" s="3" t="e">
        <f>IF($A51&lt;&gt;"",IF(VLOOKUP($A51,貼り付け用!$A$1:$BA$300,COLUMN(),FALSE)=0,"",VLOOKUP($A51,貼り付け用!$A$1:$BA$300,COLUMN(),FALSE)),"")</f>
        <v>#N/A</v>
      </c>
      <c r="J51" s="3" t="e">
        <f>IF($A51&lt;&gt;"",IF(VLOOKUP($A51,貼り付け用!$A$1:$BA$300,COLUMN(),FALSE)=0,"",VLOOKUP($A51,貼り付け用!$A$1:$BA$300,COLUMN(),FALSE)),"")</f>
        <v>#N/A</v>
      </c>
      <c r="K51" s="3" t="e">
        <f>IF($A51&lt;&gt;"",IF(VLOOKUP($A51,貼り付け用!$A$1:$BA$300,COLUMN(),FALSE)=0,"",VLOOKUP($A51,貼り付け用!$A$1:$BA$300,COLUMN(),FALSE)),"")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63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IF($A52&lt;&gt;"",IF(VLOOKUP($A52,貼り付け用!$A$1:$BA$300,COLUMN(),FALSE)=0,"",VLOOKUP($A52,貼り付け用!$A$1:$BA$300,COLUMN(),FALSE)),"")</f>
        <v>#N/A</v>
      </c>
      <c r="C52" s="14" t="e">
        <f>IF($A52&lt;&gt;"",IF(VLOOKUP($A52,貼り付け用!$A$1:$BA$300,COLUMN(),FALSE)=0,"",VLOOKUP($A52,貼り付け用!$A$1:$BA$300,COLUMN(),FALSE)),"")</f>
        <v>#N/A</v>
      </c>
      <c r="D52" s="14" t="e">
        <f>IF($A52&lt;&gt;"",IF(VLOOKUP($A52,貼り付け用!$A$1:$BA$300,COLUMN(),FALSE)=0,"",VLOOKUP($A52,貼り付け用!$A$1:$BA$300,COLUMN(),FALSE)),"")</f>
        <v>#N/A</v>
      </c>
      <c r="E52" s="14" t="e">
        <f>IF($A52&lt;&gt;"",IF(VLOOKUP($A52,貼り付け用!$A$1:$BA$300,COLUMN(),FALSE)=0,"",VLOOKUP($A52,貼り付け用!$A$1:$BA$300,COLUMN(),FALSE)),"")</f>
        <v>#N/A</v>
      </c>
      <c r="F52" s="14" t="e">
        <f>IF($A52&lt;&gt;"",IF(VLOOKUP($A52,貼り付け用!$A$1:$BA$300,COLUMN(),FALSE)=0,"",VLOOKUP($A52,貼り付け用!$A$1:$BA$300,COLUMN(),FALSE)),"")</f>
        <v>#N/A</v>
      </c>
      <c r="G52" s="14" t="e">
        <f>IF($A52&lt;&gt;"",IF(VLOOKUP($A52,貼り付け用!$A$1:$BA$300,COLUMN(),FALSE)=0,"",VLOOKUP($A52,貼り付け用!$A$1:$BA$300,COLUMN(),FALSE)),"")</f>
        <v>#N/A</v>
      </c>
      <c r="H52" s="14" t="e">
        <f>IF($A52&lt;&gt;"",IF(VLOOKUP($A52,貼り付け用!$A$1:$BA$300,COLUMN(),FALSE)=0,"",VLOOKUP($A52,貼り付け用!$A$1:$BA$300,COLUMN(),FALSE)),"")</f>
        <v>#N/A</v>
      </c>
      <c r="I52" s="14" t="e">
        <f>IF($A52&lt;&gt;"",IF(VLOOKUP($A52,貼り付け用!$A$1:$BA$300,COLUMN(),FALSE)=0,"",VLOOKUP($A52,貼り付け用!$A$1:$BA$300,COLUMN(),FALSE)),"")</f>
        <v>#N/A</v>
      </c>
      <c r="J52" s="14" t="e">
        <f>IF($A52&lt;&gt;"",IF(VLOOKUP($A52,貼り付け用!$A$1:$BA$300,COLUMN(),FALSE)=0,"",VLOOKUP($A52,貼り付け用!$A$1:$BA$300,COLUMN(),FALSE)),"")</f>
        <v>#N/A</v>
      </c>
      <c r="K52" s="14" t="e">
        <f>IF($A52&lt;&gt;"",IF(VLOOKUP($A52,貼り付け用!$A$1:$BA$300,COLUMN(),FALSE)=0,"",VLOOKUP($A52,貼り付け用!$A$1:$BA$300,COLUMN(),FALSE)),"")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63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IF($A53&lt;&gt;"",IF(VLOOKUP($A53,貼り付け用!$A$1:$BA$300,COLUMN(),FALSE)=0,"",VLOOKUP($A53,貼り付け用!$A$1:$BA$300,COLUMN(),FALSE)),"")</f>
        <v>#N/A</v>
      </c>
      <c r="C53" s="3" t="e">
        <f>IF($A53&lt;&gt;"",IF(VLOOKUP($A53,貼り付け用!$A$1:$BA$300,COLUMN(),FALSE)=0,"",VLOOKUP($A53,貼り付け用!$A$1:$BA$300,COLUMN(),FALSE)),"")</f>
        <v>#N/A</v>
      </c>
      <c r="D53" s="3" t="e">
        <f>IF($A53&lt;&gt;"",IF(VLOOKUP($A53,貼り付け用!$A$1:$BA$300,COLUMN(),FALSE)=0,"",VLOOKUP($A53,貼り付け用!$A$1:$BA$300,COLUMN(),FALSE)),"")</f>
        <v>#N/A</v>
      </c>
      <c r="E53" s="3" t="e">
        <f>IF($A53&lt;&gt;"",IF(VLOOKUP($A53,貼り付け用!$A$1:$BA$300,COLUMN(),FALSE)=0,"",VLOOKUP($A53,貼り付け用!$A$1:$BA$300,COLUMN(),FALSE)),"")</f>
        <v>#N/A</v>
      </c>
      <c r="F53" s="3" t="e">
        <f>IF($A53&lt;&gt;"",IF(VLOOKUP($A53,貼り付け用!$A$1:$BA$300,COLUMN(),FALSE)=0,"",VLOOKUP($A53,貼り付け用!$A$1:$BA$300,COLUMN(),FALSE)),"")</f>
        <v>#N/A</v>
      </c>
      <c r="G53" s="3" t="e">
        <f>IF($A53&lt;&gt;"",IF(VLOOKUP($A53,貼り付け用!$A$1:$BA$300,COLUMN(),FALSE)=0,"",VLOOKUP($A53,貼り付け用!$A$1:$BA$300,COLUMN(),FALSE)),"")</f>
        <v>#N/A</v>
      </c>
      <c r="H53" s="3" t="e">
        <f>IF($A53&lt;&gt;"",IF(VLOOKUP($A53,貼り付け用!$A$1:$BA$300,COLUMN(),FALSE)=0,"",VLOOKUP($A53,貼り付け用!$A$1:$BA$300,COLUMN(),FALSE)),"")</f>
        <v>#N/A</v>
      </c>
      <c r="I53" s="3" t="e">
        <f>IF($A53&lt;&gt;"",IF(VLOOKUP($A53,貼り付け用!$A$1:$BA$300,COLUMN(),FALSE)=0,"",VLOOKUP($A53,貼り付け用!$A$1:$BA$300,COLUMN(),FALSE)),"")</f>
        <v>#N/A</v>
      </c>
      <c r="J53" s="3" t="e">
        <f>IF($A53&lt;&gt;"",IF(VLOOKUP($A53,貼り付け用!$A$1:$BA$300,COLUMN(),FALSE)=0,"",VLOOKUP($A53,貼り付け用!$A$1:$BA$300,COLUMN(),FALSE)),"")</f>
        <v>#N/A</v>
      </c>
      <c r="K53" s="3" t="e">
        <f>IF($A53&lt;&gt;"",IF(VLOOKUP($A53,貼り付け用!$A$1:$BA$300,COLUMN(),FALSE)=0,"",VLOOKUP($A53,貼り付け用!$A$1:$BA$300,COLUMN(),FALSE)),"")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63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IF($A54&lt;&gt;"",IF(VLOOKUP($A54,貼り付け用!$A$1:$BA$300,COLUMN(),FALSE)=0,"",VLOOKUP($A54,貼り付け用!$A$1:$BA$300,COLUMN(),FALSE)),"")</f>
        <v>#N/A</v>
      </c>
      <c r="C54" s="14" t="e">
        <f>IF($A54&lt;&gt;"",IF(VLOOKUP($A54,貼り付け用!$A$1:$BA$300,COLUMN(),FALSE)=0,"",VLOOKUP($A54,貼り付け用!$A$1:$BA$300,COLUMN(),FALSE)),"")</f>
        <v>#N/A</v>
      </c>
      <c r="D54" s="14" t="e">
        <f>IF($A54&lt;&gt;"",IF(VLOOKUP($A54,貼り付け用!$A$1:$BA$300,COLUMN(),FALSE)=0,"",VLOOKUP($A54,貼り付け用!$A$1:$BA$300,COLUMN(),FALSE)),"")</f>
        <v>#N/A</v>
      </c>
      <c r="E54" s="14" t="e">
        <f>IF($A54&lt;&gt;"",IF(VLOOKUP($A54,貼り付け用!$A$1:$BA$300,COLUMN(),FALSE)=0,"",VLOOKUP($A54,貼り付け用!$A$1:$BA$300,COLUMN(),FALSE)),"")</f>
        <v>#N/A</v>
      </c>
      <c r="F54" s="14" t="e">
        <f>IF($A54&lt;&gt;"",IF(VLOOKUP($A54,貼り付け用!$A$1:$BA$300,COLUMN(),FALSE)=0,"",VLOOKUP($A54,貼り付け用!$A$1:$BA$300,COLUMN(),FALSE)),"")</f>
        <v>#N/A</v>
      </c>
      <c r="G54" s="14" t="e">
        <f>IF($A54&lt;&gt;"",IF(VLOOKUP($A54,貼り付け用!$A$1:$BA$300,COLUMN(),FALSE)=0,"",VLOOKUP($A54,貼り付け用!$A$1:$BA$300,COLUMN(),FALSE)),"")</f>
        <v>#N/A</v>
      </c>
      <c r="H54" s="14" t="e">
        <f>IF($A54&lt;&gt;"",IF(VLOOKUP($A54,貼り付け用!$A$1:$BA$300,COLUMN(),FALSE)=0,"",VLOOKUP($A54,貼り付け用!$A$1:$BA$300,COLUMN(),FALSE)),"")</f>
        <v>#N/A</v>
      </c>
      <c r="I54" s="14" t="e">
        <f>IF($A54&lt;&gt;"",IF(VLOOKUP($A54,貼り付け用!$A$1:$BA$300,COLUMN(),FALSE)=0,"",VLOOKUP($A54,貼り付け用!$A$1:$BA$300,COLUMN(),FALSE)),"")</f>
        <v>#N/A</v>
      </c>
      <c r="J54" s="14" t="e">
        <f>IF($A54&lt;&gt;"",IF(VLOOKUP($A54,貼り付け用!$A$1:$BA$300,COLUMN(),FALSE)=0,"",VLOOKUP($A54,貼り付け用!$A$1:$BA$300,COLUMN(),FALSE)),"")</f>
        <v>#N/A</v>
      </c>
      <c r="K54" s="14" t="e">
        <f>IF($A54&lt;&gt;"",IF(VLOOKUP($A54,貼り付け用!$A$1:$BA$300,COLUMN(),FALSE)=0,"",VLOOKUP($A54,貼り付け用!$A$1:$BA$300,COLUMN(),FALSE)),"")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63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IF($A55&lt;&gt;"",IF(VLOOKUP($A55,貼り付け用!$A$1:$BA$300,COLUMN(),FALSE)=0,"",VLOOKUP($A55,貼り付け用!$A$1:$BA$300,COLUMN(),FALSE)),"")</f>
        <v>#N/A</v>
      </c>
      <c r="C55" s="3" t="e">
        <f>IF($A55&lt;&gt;"",IF(VLOOKUP($A55,貼り付け用!$A$1:$BA$300,COLUMN(),FALSE)=0,"",VLOOKUP($A55,貼り付け用!$A$1:$BA$300,COLUMN(),FALSE)),"")</f>
        <v>#N/A</v>
      </c>
      <c r="D55" s="3" t="e">
        <f>IF($A55&lt;&gt;"",IF(VLOOKUP($A55,貼り付け用!$A$1:$BA$300,COLUMN(),FALSE)=0,"",VLOOKUP($A55,貼り付け用!$A$1:$BA$300,COLUMN(),FALSE)),"")</f>
        <v>#N/A</v>
      </c>
      <c r="E55" s="3" t="e">
        <f>IF($A55&lt;&gt;"",IF(VLOOKUP($A55,貼り付け用!$A$1:$BA$300,COLUMN(),FALSE)=0,"",VLOOKUP($A55,貼り付け用!$A$1:$BA$300,COLUMN(),FALSE)),"")</f>
        <v>#N/A</v>
      </c>
      <c r="F55" s="3" t="e">
        <f>IF($A55&lt;&gt;"",IF(VLOOKUP($A55,貼り付け用!$A$1:$BA$300,COLUMN(),FALSE)=0,"",VLOOKUP($A55,貼り付け用!$A$1:$BA$300,COLUMN(),FALSE)),"")</f>
        <v>#N/A</v>
      </c>
      <c r="G55" s="3" t="e">
        <f>IF($A55&lt;&gt;"",IF(VLOOKUP($A55,貼り付け用!$A$1:$BA$300,COLUMN(),FALSE)=0,"",VLOOKUP($A55,貼り付け用!$A$1:$BA$300,COLUMN(),FALSE)),"")</f>
        <v>#N/A</v>
      </c>
      <c r="H55" s="3" t="e">
        <f>IF($A55&lt;&gt;"",IF(VLOOKUP($A55,貼り付け用!$A$1:$BA$300,COLUMN(),FALSE)=0,"",VLOOKUP($A55,貼り付け用!$A$1:$BA$300,COLUMN(),FALSE)),"")</f>
        <v>#N/A</v>
      </c>
      <c r="I55" s="3" t="e">
        <f>IF($A55&lt;&gt;"",IF(VLOOKUP($A55,貼り付け用!$A$1:$BA$300,COLUMN(),FALSE)=0,"",VLOOKUP($A55,貼り付け用!$A$1:$BA$300,COLUMN(),FALSE)),"")</f>
        <v>#N/A</v>
      </c>
      <c r="J55" s="3" t="e">
        <f>IF($A55&lt;&gt;"",IF(VLOOKUP($A55,貼り付け用!$A$1:$BA$300,COLUMN(),FALSE)=0,"",VLOOKUP($A55,貼り付け用!$A$1:$BA$300,COLUMN(),FALSE)),"")</f>
        <v>#N/A</v>
      </c>
      <c r="K55" s="3" t="e">
        <f>IF($A55&lt;&gt;"",IF(VLOOKUP($A55,貼り付け用!$A$1:$BA$300,COLUMN(),FALSE)=0,"",VLOOKUP($A55,貼り付け用!$A$1:$BA$300,COLUMN(),FALSE)),"")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63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IF($A56&lt;&gt;"",IF(VLOOKUP($A56,貼り付け用!$A$1:$BA$300,COLUMN(),FALSE)=0,"",VLOOKUP($A56,貼り付け用!$A$1:$BA$300,COLUMN(),FALSE)),"")</f>
        <v>#N/A</v>
      </c>
      <c r="C56" s="14" t="e">
        <f>IF($A56&lt;&gt;"",IF(VLOOKUP($A56,貼り付け用!$A$1:$BA$300,COLUMN(),FALSE)=0,"",VLOOKUP($A56,貼り付け用!$A$1:$BA$300,COLUMN(),FALSE)),"")</f>
        <v>#N/A</v>
      </c>
      <c r="D56" s="14" t="e">
        <f>IF($A56&lt;&gt;"",IF(VLOOKUP($A56,貼り付け用!$A$1:$BA$300,COLUMN(),FALSE)=0,"",VLOOKUP($A56,貼り付け用!$A$1:$BA$300,COLUMN(),FALSE)),"")</f>
        <v>#N/A</v>
      </c>
      <c r="E56" s="14" t="e">
        <f>IF($A56&lt;&gt;"",IF(VLOOKUP($A56,貼り付け用!$A$1:$BA$300,COLUMN(),FALSE)=0,"",VLOOKUP($A56,貼り付け用!$A$1:$BA$300,COLUMN(),FALSE)),"")</f>
        <v>#N/A</v>
      </c>
      <c r="F56" s="14" t="e">
        <f>IF($A56&lt;&gt;"",IF(VLOOKUP($A56,貼り付け用!$A$1:$BA$300,COLUMN(),FALSE)=0,"",VLOOKUP($A56,貼り付け用!$A$1:$BA$300,COLUMN(),FALSE)),"")</f>
        <v>#N/A</v>
      </c>
      <c r="G56" s="14" t="e">
        <f>IF($A56&lt;&gt;"",IF(VLOOKUP($A56,貼り付け用!$A$1:$BA$300,COLUMN(),FALSE)=0,"",VLOOKUP($A56,貼り付け用!$A$1:$BA$300,COLUMN(),FALSE)),"")</f>
        <v>#N/A</v>
      </c>
      <c r="H56" s="14" t="e">
        <f>IF($A56&lt;&gt;"",IF(VLOOKUP($A56,貼り付け用!$A$1:$BA$300,COLUMN(),FALSE)=0,"",VLOOKUP($A56,貼り付け用!$A$1:$BA$300,COLUMN(),FALSE)),"")</f>
        <v>#N/A</v>
      </c>
      <c r="I56" s="14" t="e">
        <f>IF($A56&lt;&gt;"",IF(VLOOKUP($A56,貼り付け用!$A$1:$BA$300,COLUMN(),FALSE)=0,"",VLOOKUP($A56,貼り付け用!$A$1:$BA$300,COLUMN(),FALSE)),"")</f>
        <v>#N/A</v>
      </c>
      <c r="J56" s="14" t="e">
        <f>IF($A56&lt;&gt;"",IF(VLOOKUP($A56,貼り付け用!$A$1:$BA$300,COLUMN(),FALSE)=0,"",VLOOKUP($A56,貼り付け用!$A$1:$BA$300,COLUMN(),FALSE)),"")</f>
        <v>#N/A</v>
      </c>
      <c r="K56" s="14" t="e">
        <f>IF($A56&lt;&gt;"",IF(VLOOKUP($A56,貼り付け用!$A$1:$BA$300,COLUMN(),FALSE)=0,"",VLOOKUP($A56,貼り付け用!$A$1:$BA$300,COLUMN(),FALSE)),"")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63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IF($A57&lt;&gt;"",IF(VLOOKUP($A57,貼り付け用!$A$1:$BA$300,COLUMN(),FALSE)=0,"",VLOOKUP($A57,貼り付け用!$A$1:$BA$300,COLUMN(),FALSE)),"")</f>
        <v>#N/A</v>
      </c>
      <c r="C57" s="3" t="e">
        <f>IF($A57&lt;&gt;"",IF(VLOOKUP($A57,貼り付け用!$A$1:$BA$300,COLUMN(),FALSE)=0,"",VLOOKUP($A57,貼り付け用!$A$1:$BA$300,COLUMN(),FALSE)),"")</f>
        <v>#N/A</v>
      </c>
      <c r="D57" s="3" t="e">
        <f>IF($A57&lt;&gt;"",IF(VLOOKUP($A57,貼り付け用!$A$1:$BA$300,COLUMN(),FALSE)=0,"",VLOOKUP($A57,貼り付け用!$A$1:$BA$300,COLUMN(),FALSE)),"")</f>
        <v>#N/A</v>
      </c>
      <c r="E57" s="3" t="e">
        <f>IF($A57&lt;&gt;"",IF(VLOOKUP($A57,貼り付け用!$A$1:$BA$300,COLUMN(),FALSE)=0,"",VLOOKUP($A57,貼り付け用!$A$1:$BA$300,COLUMN(),FALSE)),"")</f>
        <v>#N/A</v>
      </c>
      <c r="F57" s="3" t="e">
        <f>IF($A57&lt;&gt;"",IF(VLOOKUP($A57,貼り付け用!$A$1:$BA$300,COLUMN(),FALSE)=0,"",VLOOKUP($A57,貼り付け用!$A$1:$BA$300,COLUMN(),FALSE)),"")</f>
        <v>#N/A</v>
      </c>
      <c r="G57" s="3" t="e">
        <f>IF($A57&lt;&gt;"",IF(VLOOKUP($A57,貼り付け用!$A$1:$BA$300,COLUMN(),FALSE)=0,"",VLOOKUP($A57,貼り付け用!$A$1:$BA$300,COLUMN(),FALSE)),"")</f>
        <v>#N/A</v>
      </c>
      <c r="H57" s="3" t="e">
        <f>IF($A57&lt;&gt;"",IF(VLOOKUP($A57,貼り付け用!$A$1:$BA$300,COLUMN(),FALSE)=0,"",VLOOKUP($A57,貼り付け用!$A$1:$BA$300,COLUMN(),FALSE)),"")</f>
        <v>#N/A</v>
      </c>
      <c r="I57" s="3" t="e">
        <f>IF($A57&lt;&gt;"",IF(VLOOKUP($A57,貼り付け用!$A$1:$BA$300,COLUMN(),FALSE)=0,"",VLOOKUP($A57,貼り付け用!$A$1:$BA$300,COLUMN(),FALSE)),"")</f>
        <v>#N/A</v>
      </c>
      <c r="J57" s="3" t="e">
        <f>IF($A57&lt;&gt;"",IF(VLOOKUP($A57,貼り付け用!$A$1:$BA$300,COLUMN(),FALSE)=0,"",VLOOKUP($A57,貼り付け用!$A$1:$BA$300,COLUMN(),FALSE)),"")</f>
        <v>#N/A</v>
      </c>
      <c r="K57" s="3" t="e">
        <f>IF($A57&lt;&gt;"",IF(VLOOKUP($A57,貼り付け用!$A$1:$BA$300,COLUMN(),FALSE)=0,"",VLOOKUP($A57,貼り付け用!$A$1:$BA$300,COLUMN(),FALSE)),"")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63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IF($A58&lt;&gt;"",IF(VLOOKUP($A58,貼り付け用!$A$1:$BA$300,COLUMN(),FALSE)=0,"",VLOOKUP($A58,貼り付け用!$A$1:$BA$300,COLUMN(),FALSE)),"")</f>
        <v>#N/A</v>
      </c>
      <c r="C58" s="14" t="e">
        <f>IF($A58&lt;&gt;"",IF(VLOOKUP($A58,貼り付け用!$A$1:$BA$300,COLUMN(),FALSE)=0,"",VLOOKUP($A58,貼り付け用!$A$1:$BA$300,COLUMN(),FALSE)),"")</f>
        <v>#N/A</v>
      </c>
      <c r="D58" s="14" t="e">
        <f>IF($A58&lt;&gt;"",IF(VLOOKUP($A58,貼り付け用!$A$1:$BA$300,COLUMN(),FALSE)=0,"",VLOOKUP($A58,貼り付け用!$A$1:$BA$300,COLUMN(),FALSE)),"")</f>
        <v>#N/A</v>
      </c>
      <c r="E58" s="14" t="e">
        <f>IF($A58&lt;&gt;"",IF(VLOOKUP($A58,貼り付け用!$A$1:$BA$300,COLUMN(),FALSE)=0,"",VLOOKUP($A58,貼り付け用!$A$1:$BA$300,COLUMN(),FALSE)),"")</f>
        <v>#N/A</v>
      </c>
      <c r="F58" s="14" t="e">
        <f>IF($A58&lt;&gt;"",IF(VLOOKUP($A58,貼り付け用!$A$1:$BA$300,COLUMN(),FALSE)=0,"",VLOOKUP($A58,貼り付け用!$A$1:$BA$300,COLUMN(),FALSE)),"")</f>
        <v>#N/A</v>
      </c>
      <c r="G58" s="14" t="e">
        <f>IF($A58&lt;&gt;"",IF(VLOOKUP($A58,貼り付け用!$A$1:$BA$300,COLUMN(),FALSE)=0,"",VLOOKUP($A58,貼り付け用!$A$1:$BA$300,COLUMN(),FALSE)),"")</f>
        <v>#N/A</v>
      </c>
      <c r="H58" s="14" t="e">
        <f>IF($A58&lt;&gt;"",IF(VLOOKUP($A58,貼り付け用!$A$1:$BA$300,COLUMN(),FALSE)=0,"",VLOOKUP($A58,貼り付け用!$A$1:$BA$300,COLUMN(),FALSE)),"")</f>
        <v>#N/A</v>
      </c>
      <c r="I58" s="14" t="e">
        <f>IF($A58&lt;&gt;"",IF(VLOOKUP($A58,貼り付け用!$A$1:$BA$300,COLUMN(),FALSE)=0,"",VLOOKUP($A58,貼り付け用!$A$1:$BA$300,COLUMN(),FALSE)),"")</f>
        <v>#N/A</v>
      </c>
      <c r="J58" s="14" t="e">
        <f>IF($A58&lt;&gt;"",IF(VLOOKUP($A58,貼り付け用!$A$1:$BA$300,COLUMN(),FALSE)=0,"",VLOOKUP($A58,貼り付け用!$A$1:$BA$300,COLUMN(),FALSE)),"")</f>
        <v>#N/A</v>
      </c>
      <c r="K58" s="14" t="e">
        <f>IF($A58&lt;&gt;"",IF(VLOOKUP($A58,貼り付け用!$A$1:$BA$300,COLUMN(),FALSE)=0,"",VLOOKUP($A58,貼り付け用!$A$1:$BA$300,COLUMN(),FALSE)),"")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63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IF($A59&lt;&gt;"",IF(VLOOKUP($A59,貼り付け用!$A$1:$BA$300,COLUMN(),FALSE)=0,"",VLOOKUP($A59,貼り付け用!$A$1:$BA$300,COLUMN(),FALSE)),"")</f>
        <v>#N/A</v>
      </c>
      <c r="C59" s="3" t="e">
        <f>IF($A59&lt;&gt;"",IF(VLOOKUP($A59,貼り付け用!$A$1:$BA$300,COLUMN(),FALSE)=0,"",VLOOKUP($A59,貼り付け用!$A$1:$BA$300,COLUMN(),FALSE)),"")</f>
        <v>#N/A</v>
      </c>
      <c r="D59" s="3" t="e">
        <f>IF($A59&lt;&gt;"",IF(VLOOKUP($A59,貼り付け用!$A$1:$BA$300,COLUMN(),FALSE)=0,"",VLOOKUP($A59,貼り付け用!$A$1:$BA$300,COLUMN(),FALSE)),"")</f>
        <v>#N/A</v>
      </c>
      <c r="E59" s="3" t="e">
        <f>IF($A59&lt;&gt;"",IF(VLOOKUP($A59,貼り付け用!$A$1:$BA$300,COLUMN(),FALSE)=0,"",VLOOKUP($A59,貼り付け用!$A$1:$BA$300,COLUMN(),FALSE)),"")</f>
        <v>#N/A</v>
      </c>
      <c r="F59" s="3" t="e">
        <f>IF($A59&lt;&gt;"",IF(VLOOKUP($A59,貼り付け用!$A$1:$BA$300,COLUMN(),FALSE)=0,"",VLOOKUP($A59,貼り付け用!$A$1:$BA$300,COLUMN(),FALSE)),"")</f>
        <v>#N/A</v>
      </c>
      <c r="G59" s="3" t="e">
        <f>IF($A59&lt;&gt;"",IF(VLOOKUP($A59,貼り付け用!$A$1:$BA$300,COLUMN(),FALSE)=0,"",VLOOKUP($A59,貼り付け用!$A$1:$BA$300,COLUMN(),FALSE)),"")</f>
        <v>#N/A</v>
      </c>
      <c r="H59" s="3" t="e">
        <f>IF($A59&lt;&gt;"",IF(VLOOKUP($A59,貼り付け用!$A$1:$BA$300,COLUMN(),FALSE)=0,"",VLOOKUP($A59,貼り付け用!$A$1:$BA$300,COLUMN(),FALSE)),"")</f>
        <v>#N/A</v>
      </c>
      <c r="I59" s="3" t="e">
        <f>IF($A59&lt;&gt;"",IF(VLOOKUP($A59,貼り付け用!$A$1:$BA$300,COLUMN(),FALSE)=0,"",VLOOKUP($A59,貼り付け用!$A$1:$BA$300,COLUMN(),FALSE)),"")</f>
        <v>#N/A</v>
      </c>
      <c r="J59" s="3" t="e">
        <f>IF($A59&lt;&gt;"",IF(VLOOKUP($A59,貼り付け用!$A$1:$BA$300,COLUMN(),FALSE)=0,"",VLOOKUP($A59,貼り付け用!$A$1:$BA$300,COLUMN(),FALSE)),"")</f>
        <v>#N/A</v>
      </c>
      <c r="K59" s="3" t="e">
        <f>IF($A59&lt;&gt;"",IF(VLOOKUP($A59,貼り付け用!$A$1:$BA$300,COLUMN(),FALSE)=0,"",VLOOKUP($A59,貼り付け用!$A$1:$BA$300,COLUMN(),FALSE)),"")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63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IF($A60&lt;&gt;"",IF(VLOOKUP($A60,貼り付け用!$A$1:$BA$300,COLUMN(),FALSE)=0,"",VLOOKUP($A60,貼り付け用!$A$1:$BA$300,COLUMN(),FALSE)),"")</f>
        <v>#N/A</v>
      </c>
      <c r="C60" s="14" t="e">
        <f>IF($A60&lt;&gt;"",IF(VLOOKUP($A60,貼り付け用!$A$1:$BA$300,COLUMN(),FALSE)=0,"",VLOOKUP($A60,貼り付け用!$A$1:$BA$300,COLUMN(),FALSE)),"")</f>
        <v>#N/A</v>
      </c>
      <c r="D60" s="14" t="e">
        <f>IF($A60&lt;&gt;"",IF(VLOOKUP($A60,貼り付け用!$A$1:$BA$300,COLUMN(),FALSE)=0,"",VLOOKUP($A60,貼り付け用!$A$1:$BA$300,COLUMN(),FALSE)),"")</f>
        <v>#N/A</v>
      </c>
      <c r="E60" s="14" t="e">
        <f>IF($A60&lt;&gt;"",IF(VLOOKUP($A60,貼り付け用!$A$1:$BA$300,COLUMN(),FALSE)=0,"",VLOOKUP($A60,貼り付け用!$A$1:$BA$300,COLUMN(),FALSE)),"")</f>
        <v>#N/A</v>
      </c>
      <c r="F60" s="14" t="e">
        <f>IF($A60&lt;&gt;"",IF(VLOOKUP($A60,貼り付け用!$A$1:$BA$300,COLUMN(),FALSE)=0,"",VLOOKUP($A60,貼り付け用!$A$1:$BA$300,COLUMN(),FALSE)),"")</f>
        <v>#N/A</v>
      </c>
      <c r="G60" s="14" t="e">
        <f>IF($A60&lt;&gt;"",IF(VLOOKUP($A60,貼り付け用!$A$1:$BA$300,COLUMN(),FALSE)=0,"",VLOOKUP($A60,貼り付け用!$A$1:$BA$300,COLUMN(),FALSE)),"")</f>
        <v>#N/A</v>
      </c>
      <c r="H60" s="14" t="e">
        <f>IF($A60&lt;&gt;"",IF(VLOOKUP($A60,貼り付け用!$A$1:$BA$300,COLUMN(),FALSE)=0,"",VLOOKUP($A60,貼り付け用!$A$1:$BA$300,COLUMN(),FALSE)),"")</f>
        <v>#N/A</v>
      </c>
      <c r="I60" s="14" t="e">
        <f>IF($A60&lt;&gt;"",IF(VLOOKUP($A60,貼り付け用!$A$1:$BA$300,COLUMN(),FALSE)=0,"",VLOOKUP($A60,貼り付け用!$A$1:$BA$300,COLUMN(),FALSE)),"")</f>
        <v>#N/A</v>
      </c>
      <c r="J60" s="14" t="e">
        <f>IF($A60&lt;&gt;"",IF(VLOOKUP($A60,貼り付け用!$A$1:$BA$300,COLUMN(),FALSE)=0,"",VLOOKUP($A60,貼り付け用!$A$1:$BA$300,COLUMN(),FALSE)),"")</f>
        <v>#N/A</v>
      </c>
      <c r="K60" s="14" t="e">
        <f>IF($A60&lt;&gt;"",IF(VLOOKUP($A60,貼り付け用!$A$1:$BA$300,COLUMN(),FALSE)=0,"",VLOOKUP($A60,貼り付け用!$A$1:$BA$300,COLUMN(),FALSE)),"")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63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IF($A61&lt;&gt;"",IF(VLOOKUP($A61,貼り付け用!$A$1:$BA$300,COLUMN(),FALSE)=0,"",VLOOKUP($A61,貼り付け用!$A$1:$BA$300,COLUMN(),FALSE)),"")</f>
        <v>#N/A</v>
      </c>
      <c r="C61" s="3" t="e">
        <f>IF($A61&lt;&gt;"",IF(VLOOKUP($A61,貼り付け用!$A$1:$BA$300,COLUMN(),FALSE)=0,"",VLOOKUP($A61,貼り付け用!$A$1:$BA$300,COLUMN(),FALSE)),"")</f>
        <v>#N/A</v>
      </c>
      <c r="D61" s="3" t="e">
        <f>IF($A61&lt;&gt;"",IF(VLOOKUP($A61,貼り付け用!$A$1:$BA$300,COLUMN(),FALSE)=0,"",VLOOKUP($A61,貼り付け用!$A$1:$BA$300,COLUMN(),FALSE)),"")</f>
        <v>#N/A</v>
      </c>
      <c r="E61" s="3" t="e">
        <f>IF($A61&lt;&gt;"",IF(VLOOKUP($A61,貼り付け用!$A$1:$BA$300,COLUMN(),FALSE)=0,"",VLOOKUP($A61,貼り付け用!$A$1:$BA$300,COLUMN(),FALSE)),"")</f>
        <v>#N/A</v>
      </c>
      <c r="F61" s="3" t="e">
        <f>IF($A61&lt;&gt;"",IF(VLOOKUP($A61,貼り付け用!$A$1:$BA$300,COLUMN(),FALSE)=0,"",VLOOKUP($A61,貼り付け用!$A$1:$BA$300,COLUMN(),FALSE)),"")</f>
        <v>#N/A</v>
      </c>
      <c r="G61" s="3" t="e">
        <f>IF($A61&lt;&gt;"",IF(VLOOKUP($A61,貼り付け用!$A$1:$BA$300,COLUMN(),FALSE)=0,"",VLOOKUP($A61,貼り付け用!$A$1:$BA$300,COLUMN(),FALSE)),"")</f>
        <v>#N/A</v>
      </c>
      <c r="H61" s="3" t="e">
        <f>IF($A61&lt;&gt;"",IF(VLOOKUP($A61,貼り付け用!$A$1:$BA$300,COLUMN(),FALSE)=0,"",VLOOKUP($A61,貼り付け用!$A$1:$BA$300,COLUMN(),FALSE)),"")</f>
        <v>#N/A</v>
      </c>
      <c r="I61" s="3" t="e">
        <f>IF($A61&lt;&gt;"",IF(VLOOKUP($A61,貼り付け用!$A$1:$BA$300,COLUMN(),FALSE)=0,"",VLOOKUP($A61,貼り付け用!$A$1:$BA$300,COLUMN(),FALSE)),"")</f>
        <v>#N/A</v>
      </c>
      <c r="J61" s="3" t="e">
        <f>IF($A61&lt;&gt;"",IF(VLOOKUP($A61,貼り付け用!$A$1:$BA$300,COLUMN(),FALSE)=0,"",VLOOKUP($A61,貼り付け用!$A$1:$BA$300,COLUMN(),FALSE)),"")</f>
        <v>#N/A</v>
      </c>
      <c r="K61" s="3" t="e">
        <f>IF($A61&lt;&gt;"",IF(VLOOKUP($A61,貼り付け用!$A$1:$BA$300,COLUMN(),FALSE)=0,"",VLOOKUP($A61,貼り付け用!$A$1:$BA$300,COLUMN(),FALSE)),"")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63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IF($A62&lt;&gt;"",IF(VLOOKUP($A62,貼り付け用!$A$1:$BA$300,COLUMN(),FALSE)=0,"",VLOOKUP($A62,貼り付け用!$A$1:$BA$300,COLUMN(),FALSE)),"")</f>
        <v>#N/A</v>
      </c>
      <c r="C62" s="14" t="e">
        <f>IF($A62&lt;&gt;"",IF(VLOOKUP($A62,貼り付け用!$A$1:$BA$300,COLUMN(),FALSE)=0,"",VLOOKUP($A62,貼り付け用!$A$1:$BA$300,COLUMN(),FALSE)),"")</f>
        <v>#N/A</v>
      </c>
      <c r="D62" s="14" t="e">
        <f>IF($A62&lt;&gt;"",IF(VLOOKUP($A62,貼り付け用!$A$1:$BA$300,COLUMN(),FALSE)=0,"",VLOOKUP($A62,貼り付け用!$A$1:$BA$300,COLUMN(),FALSE)),"")</f>
        <v>#N/A</v>
      </c>
      <c r="E62" s="14" t="e">
        <f>IF($A62&lt;&gt;"",IF(VLOOKUP($A62,貼り付け用!$A$1:$BA$300,COLUMN(),FALSE)=0,"",VLOOKUP($A62,貼り付け用!$A$1:$BA$300,COLUMN(),FALSE)),"")</f>
        <v>#N/A</v>
      </c>
      <c r="F62" s="14" t="e">
        <f>IF($A62&lt;&gt;"",IF(VLOOKUP($A62,貼り付け用!$A$1:$BA$300,COLUMN(),FALSE)=0,"",VLOOKUP($A62,貼り付け用!$A$1:$BA$300,COLUMN(),FALSE)),"")</f>
        <v>#N/A</v>
      </c>
      <c r="G62" s="14" t="e">
        <f>IF($A62&lt;&gt;"",IF(VLOOKUP($A62,貼り付け用!$A$1:$BA$300,COLUMN(),FALSE)=0,"",VLOOKUP($A62,貼り付け用!$A$1:$BA$300,COLUMN(),FALSE)),"")</f>
        <v>#N/A</v>
      </c>
      <c r="H62" s="14" t="e">
        <f>IF($A62&lt;&gt;"",IF(VLOOKUP($A62,貼り付け用!$A$1:$BA$300,COLUMN(),FALSE)=0,"",VLOOKUP($A62,貼り付け用!$A$1:$BA$300,COLUMN(),FALSE)),"")</f>
        <v>#N/A</v>
      </c>
      <c r="I62" s="14" t="e">
        <f>IF($A62&lt;&gt;"",IF(VLOOKUP($A62,貼り付け用!$A$1:$BA$300,COLUMN(),FALSE)=0,"",VLOOKUP($A62,貼り付け用!$A$1:$BA$300,COLUMN(),FALSE)),"")</f>
        <v>#N/A</v>
      </c>
      <c r="J62" s="14" t="e">
        <f>IF($A62&lt;&gt;"",IF(VLOOKUP($A62,貼り付け用!$A$1:$BA$300,COLUMN(),FALSE)=0,"",VLOOKUP($A62,貼り付け用!$A$1:$BA$300,COLUMN(),FALSE)),"")</f>
        <v>#N/A</v>
      </c>
      <c r="K62" s="14" t="e">
        <f>IF($A62&lt;&gt;"",IF(VLOOKUP($A62,貼り付け用!$A$1:$BA$300,COLUMN(),FALSE)=0,"",VLOOKUP($A62,貼り付け用!$A$1:$BA$300,COLUMN(),FALSE)),"")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63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IF($A63&lt;&gt;"",IF(VLOOKUP($A63,貼り付け用!$A$1:$BA$300,COLUMN(),FALSE)=0,"",VLOOKUP($A63,貼り付け用!$A$1:$BA$300,COLUMN(),FALSE)),"")</f>
        <v>#N/A</v>
      </c>
      <c r="C63" s="3" t="e">
        <f>IF($A63&lt;&gt;"",IF(VLOOKUP($A63,貼り付け用!$A$1:$BA$300,COLUMN(),FALSE)=0,"",VLOOKUP($A63,貼り付け用!$A$1:$BA$300,COLUMN(),FALSE)),"")</f>
        <v>#N/A</v>
      </c>
      <c r="D63" s="3" t="e">
        <f>IF($A63&lt;&gt;"",IF(VLOOKUP($A63,貼り付け用!$A$1:$BA$300,COLUMN(),FALSE)=0,"",VLOOKUP($A63,貼り付け用!$A$1:$BA$300,COLUMN(),FALSE)),"")</f>
        <v>#N/A</v>
      </c>
      <c r="E63" s="3" t="e">
        <f>IF($A63&lt;&gt;"",IF(VLOOKUP($A63,貼り付け用!$A$1:$BA$300,COLUMN(),FALSE)=0,"",VLOOKUP($A63,貼り付け用!$A$1:$BA$300,COLUMN(),FALSE)),"")</f>
        <v>#N/A</v>
      </c>
      <c r="F63" s="3" t="e">
        <f>IF($A63&lt;&gt;"",IF(VLOOKUP($A63,貼り付け用!$A$1:$BA$300,COLUMN(),FALSE)=0,"",VLOOKUP($A63,貼り付け用!$A$1:$BA$300,COLUMN(),FALSE)),"")</f>
        <v>#N/A</v>
      </c>
      <c r="G63" s="3" t="e">
        <f>IF($A63&lt;&gt;"",IF(VLOOKUP($A63,貼り付け用!$A$1:$BA$300,COLUMN(),FALSE)=0,"",VLOOKUP($A63,貼り付け用!$A$1:$BA$300,COLUMN(),FALSE)),"")</f>
        <v>#N/A</v>
      </c>
      <c r="H63" s="3" t="e">
        <f>IF($A63&lt;&gt;"",IF(VLOOKUP($A63,貼り付け用!$A$1:$BA$300,COLUMN(),FALSE)=0,"",VLOOKUP($A63,貼り付け用!$A$1:$BA$300,COLUMN(),FALSE)),"")</f>
        <v>#N/A</v>
      </c>
      <c r="I63" s="3" t="e">
        <f>IF($A63&lt;&gt;"",IF(VLOOKUP($A63,貼り付け用!$A$1:$BA$300,COLUMN(),FALSE)=0,"",VLOOKUP($A63,貼り付け用!$A$1:$BA$300,COLUMN(),FALSE)),"")</f>
        <v>#N/A</v>
      </c>
      <c r="J63" s="3" t="e">
        <f>IF($A63&lt;&gt;"",IF(VLOOKUP($A63,貼り付け用!$A$1:$BA$300,COLUMN(),FALSE)=0,"",VLOOKUP($A63,貼り付け用!$A$1:$BA$300,COLUMN(),FALSE)),"")</f>
        <v>#N/A</v>
      </c>
      <c r="K63" s="3" t="e">
        <f>IF($A63&lt;&gt;"",IF(VLOOKUP($A63,貼り付け用!$A$1:$BA$300,COLUMN(),FALSE)=0,"",VLOOKUP($A63,貼り付け用!$A$1:$BA$300,COLUMN(),FALSE)),"")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63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IF($A64&lt;&gt;"",IF(VLOOKUP($A64,貼り付け用!$A$1:$BA$300,COLUMN(),FALSE)=0,"",VLOOKUP($A64,貼り付け用!$A$1:$BA$300,COLUMN(),FALSE)),"")</f>
        <v>#N/A</v>
      </c>
      <c r="C64" s="14" t="e">
        <f>IF($A64&lt;&gt;"",IF(VLOOKUP($A64,貼り付け用!$A$1:$BA$300,COLUMN(),FALSE)=0,"",VLOOKUP($A64,貼り付け用!$A$1:$BA$300,COLUMN(),FALSE)),"")</f>
        <v>#N/A</v>
      </c>
      <c r="D64" s="14" t="e">
        <f>IF($A64&lt;&gt;"",IF(VLOOKUP($A64,貼り付け用!$A$1:$BA$300,COLUMN(),FALSE)=0,"",VLOOKUP($A64,貼り付け用!$A$1:$BA$300,COLUMN(),FALSE)),"")</f>
        <v>#N/A</v>
      </c>
      <c r="E64" s="14" t="e">
        <f>IF($A64&lt;&gt;"",IF(VLOOKUP($A64,貼り付け用!$A$1:$BA$300,COLUMN(),FALSE)=0,"",VLOOKUP($A64,貼り付け用!$A$1:$BA$300,COLUMN(),FALSE)),"")</f>
        <v>#N/A</v>
      </c>
      <c r="F64" s="14" t="e">
        <f>IF($A64&lt;&gt;"",IF(VLOOKUP($A64,貼り付け用!$A$1:$BA$300,COLUMN(),FALSE)=0,"",VLOOKUP($A64,貼り付け用!$A$1:$BA$300,COLUMN(),FALSE)),"")</f>
        <v>#N/A</v>
      </c>
      <c r="G64" s="14" t="e">
        <f>IF($A64&lt;&gt;"",IF(VLOOKUP($A64,貼り付け用!$A$1:$BA$300,COLUMN(),FALSE)=0,"",VLOOKUP($A64,貼り付け用!$A$1:$BA$300,COLUMN(),FALSE)),"")</f>
        <v>#N/A</v>
      </c>
      <c r="H64" s="14" t="e">
        <f>IF($A64&lt;&gt;"",IF(VLOOKUP($A64,貼り付け用!$A$1:$BA$300,COLUMN(),FALSE)=0,"",VLOOKUP($A64,貼り付け用!$A$1:$BA$300,COLUMN(),FALSE)),"")</f>
        <v>#N/A</v>
      </c>
      <c r="I64" s="14" t="e">
        <f>IF($A64&lt;&gt;"",IF(VLOOKUP($A64,貼り付け用!$A$1:$BA$300,COLUMN(),FALSE)=0,"",VLOOKUP($A64,貼り付け用!$A$1:$BA$300,COLUMN(),FALSE)),"")</f>
        <v>#N/A</v>
      </c>
      <c r="J64" s="14" t="e">
        <f>IF($A64&lt;&gt;"",IF(VLOOKUP($A64,貼り付け用!$A$1:$BA$300,COLUMN(),FALSE)=0,"",VLOOKUP($A64,貼り付け用!$A$1:$BA$300,COLUMN(),FALSE)),"")</f>
        <v>#N/A</v>
      </c>
      <c r="K64" s="14" t="e">
        <f>IF($A64&lt;&gt;"",IF(VLOOKUP($A64,貼り付け用!$A$1:$BA$300,COLUMN(),FALSE)=0,"",VLOOKUP($A64,貼り付け用!$A$1:$BA$300,COLUMN(),FALSE)),"")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63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IF($A65&lt;&gt;"",IF(VLOOKUP($A65,貼り付け用!$A$1:$BA$300,COLUMN(),FALSE)=0,"",VLOOKUP($A65,貼り付け用!$A$1:$BA$300,COLUMN(),FALSE)),"")</f>
        <v>#N/A</v>
      </c>
      <c r="C65" s="3" t="e">
        <f>IF($A65&lt;&gt;"",IF(VLOOKUP($A65,貼り付け用!$A$1:$BA$300,COLUMN(),FALSE)=0,"",VLOOKUP($A65,貼り付け用!$A$1:$BA$300,COLUMN(),FALSE)),"")</f>
        <v>#N/A</v>
      </c>
      <c r="D65" s="3" t="e">
        <f>IF($A65&lt;&gt;"",IF(VLOOKUP($A65,貼り付け用!$A$1:$BA$300,COLUMN(),FALSE)=0,"",VLOOKUP($A65,貼り付け用!$A$1:$BA$300,COLUMN(),FALSE)),"")</f>
        <v>#N/A</v>
      </c>
      <c r="E65" s="3" t="e">
        <f>IF($A65&lt;&gt;"",IF(VLOOKUP($A65,貼り付け用!$A$1:$BA$300,COLUMN(),FALSE)=0,"",VLOOKUP($A65,貼り付け用!$A$1:$BA$300,COLUMN(),FALSE)),"")</f>
        <v>#N/A</v>
      </c>
      <c r="F65" s="3" t="e">
        <f>IF($A65&lt;&gt;"",IF(VLOOKUP($A65,貼り付け用!$A$1:$BA$300,COLUMN(),FALSE)=0,"",VLOOKUP($A65,貼り付け用!$A$1:$BA$300,COLUMN(),FALSE)),"")</f>
        <v>#N/A</v>
      </c>
      <c r="G65" s="3" t="e">
        <f>IF($A65&lt;&gt;"",IF(VLOOKUP($A65,貼り付け用!$A$1:$BA$300,COLUMN(),FALSE)=0,"",VLOOKUP($A65,貼り付け用!$A$1:$BA$300,COLUMN(),FALSE)),"")</f>
        <v>#N/A</v>
      </c>
      <c r="H65" s="3" t="e">
        <f>IF($A65&lt;&gt;"",IF(VLOOKUP($A65,貼り付け用!$A$1:$BA$300,COLUMN(),FALSE)=0,"",VLOOKUP($A65,貼り付け用!$A$1:$BA$300,COLUMN(),FALSE)),"")</f>
        <v>#N/A</v>
      </c>
      <c r="I65" s="3" t="e">
        <f>IF($A65&lt;&gt;"",IF(VLOOKUP($A65,貼り付け用!$A$1:$BA$300,COLUMN(),FALSE)=0,"",VLOOKUP($A65,貼り付け用!$A$1:$BA$300,COLUMN(),FALSE)),"")</f>
        <v>#N/A</v>
      </c>
      <c r="J65" s="3" t="e">
        <f>IF($A65&lt;&gt;"",IF(VLOOKUP($A65,貼り付け用!$A$1:$BA$300,COLUMN(),FALSE)=0,"",VLOOKUP($A65,貼り付け用!$A$1:$BA$300,COLUMN(),FALSE)),"")</f>
        <v>#N/A</v>
      </c>
      <c r="K65" s="3" t="e">
        <f>IF($A65&lt;&gt;"",IF(VLOOKUP($A65,貼り付け用!$A$1:$BA$300,COLUMN(),FALSE)=0,"",VLOOKUP($A65,貼り付け用!$A$1:$BA$300,COLUMN(),FALSE)),"")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63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IF($A66&lt;&gt;"",IF(VLOOKUP($A66,貼り付け用!$A$1:$BA$300,COLUMN(),FALSE)=0,"",VLOOKUP($A66,貼り付け用!$A$1:$BA$300,COLUMN(),FALSE)),"")</f>
        <v>#N/A</v>
      </c>
      <c r="C66" s="14" t="e">
        <f>IF($A66&lt;&gt;"",IF(VLOOKUP($A66,貼り付け用!$A$1:$BA$300,COLUMN(),FALSE)=0,"",VLOOKUP($A66,貼り付け用!$A$1:$BA$300,COLUMN(),FALSE)),"")</f>
        <v>#N/A</v>
      </c>
      <c r="D66" s="14" t="e">
        <f>IF($A66&lt;&gt;"",IF(VLOOKUP($A66,貼り付け用!$A$1:$BA$300,COLUMN(),FALSE)=0,"",VLOOKUP($A66,貼り付け用!$A$1:$BA$300,COLUMN(),FALSE)),"")</f>
        <v>#N/A</v>
      </c>
      <c r="E66" s="14" t="e">
        <f>IF($A66&lt;&gt;"",IF(VLOOKUP($A66,貼り付け用!$A$1:$BA$300,COLUMN(),FALSE)=0,"",VLOOKUP($A66,貼り付け用!$A$1:$BA$300,COLUMN(),FALSE)),"")</f>
        <v>#N/A</v>
      </c>
      <c r="F66" s="14" t="e">
        <f>IF($A66&lt;&gt;"",IF(VLOOKUP($A66,貼り付け用!$A$1:$BA$300,COLUMN(),FALSE)=0,"",VLOOKUP($A66,貼り付け用!$A$1:$BA$300,COLUMN(),FALSE)),"")</f>
        <v>#N/A</v>
      </c>
      <c r="G66" s="14" t="e">
        <f>IF($A66&lt;&gt;"",IF(VLOOKUP($A66,貼り付け用!$A$1:$BA$300,COLUMN(),FALSE)=0,"",VLOOKUP($A66,貼り付け用!$A$1:$BA$300,COLUMN(),FALSE)),"")</f>
        <v>#N/A</v>
      </c>
      <c r="H66" s="14" t="e">
        <f>IF($A66&lt;&gt;"",IF(VLOOKUP($A66,貼り付け用!$A$1:$BA$300,COLUMN(),FALSE)=0,"",VLOOKUP($A66,貼り付け用!$A$1:$BA$300,COLUMN(),FALSE)),"")</f>
        <v>#N/A</v>
      </c>
      <c r="I66" s="14" t="e">
        <f>IF($A66&lt;&gt;"",IF(VLOOKUP($A66,貼り付け用!$A$1:$BA$300,COLUMN(),FALSE)=0,"",VLOOKUP($A66,貼り付け用!$A$1:$BA$300,COLUMN(),FALSE)),"")</f>
        <v>#N/A</v>
      </c>
      <c r="J66" s="14" t="e">
        <f>IF($A66&lt;&gt;"",IF(VLOOKUP($A66,貼り付け用!$A$1:$BA$300,COLUMN(),FALSE)=0,"",VLOOKUP($A66,貼り付け用!$A$1:$BA$300,COLUMN(),FALSE)),"")</f>
        <v>#N/A</v>
      </c>
      <c r="K66" s="14" t="e">
        <f>IF($A66&lt;&gt;"",IF(VLOOKUP($A66,貼り付け用!$A$1:$BA$300,COLUMN(),FALSE)=0,"",VLOOKUP($A66,貼り付け用!$A$1:$BA$300,COLUMN(),FALSE)),"")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63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IF($A67&lt;&gt;"",IF(VLOOKUP($A67,貼り付け用!$A$1:$BA$300,COLUMN(),FALSE)=0,"",VLOOKUP($A67,貼り付け用!$A$1:$BA$300,COLUMN(),FALSE)),"")</f>
        <v>#N/A</v>
      </c>
      <c r="C67" s="3" t="e">
        <f>IF($A67&lt;&gt;"",IF(VLOOKUP($A67,貼り付け用!$A$1:$BA$300,COLUMN(),FALSE)=0,"",VLOOKUP($A67,貼り付け用!$A$1:$BA$300,COLUMN(),FALSE)),"")</f>
        <v>#N/A</v>
      </c>
      <c r="D67" s="3" t="e">
        <f>IF($A67&lt;&gt;"",IF(VLOOKUP($A67,貼り付け用!$A$1:$BA$300,COLUMN(),FALSE)=0,"",VLOOKUP($A67,貼り付け用!$A$1:$BA$300,COLUMN(),FALSE)),"")</f>
        <v>#N/A</v>
      </c>
      <c r="E67" s="3" t="e">
        <f>IF($A67&lt;&gt;"",IF(VLOOKUP($A67,貼り付け用!$A$1:$BA$300,COLUMN(),FALSE)=0,"",VLOOKUP($A67,貼り付け用!$A$1:$BA$300,COLUMN(),FALSE)),"")</f>
        <v>#N/A</v>
      </c>
      <c r="F67" s="3" t="e">
        <f>IF($A67&lt;&gt;"",IF(VLOOKUP($A67,貼り付け用!$A$1:$BA$300,COLUMN(),FALSE)=0,"",VLOOKUP($A67,貼り付け用!$A$1:$BA$300,COLUMN(),FALSE)),"")</f>
        <v>#N/A</v>
      </c>
      <c r="G67" s="3" t="e">
        <f>IF($A67&lt;&gt;"",IF(VLOOKUP($A67,貼り付け用!$A$1:$BA$300,COLUMN(),FALSE)=0,"",VLOOKUP($A67,貼り付け用!$A$1:$BA$300,COLUMN(),FALSE)),"")</f>
        <v>#N/A</v>
      </c>
      <c r="H67" s="3" t="e">
        <f>IF($A67&lt;&gt;"",IF(VLOOKUP($A67,貼り付け用!$A$1:$BA$300,COLUMN(),FALSE)=0,"",VLOOKUP($A67,貼り付け用!$A$1:$BA$300,COLUMN(),FALSE)),"")</f>
        <v>#N/A</v>
      </c>
      <c r="I67" s="3" t="e">
        <f>IF($A67&lt;&gt;"",IF(VLOOKUP($A67,貼り付け用!$A$1:$BA$300,COLUMN(),FALSE)=0,"",VLOOKUP($A67,貼り付け用!$A$1:$BA$300,COLUMN(),FALSE)),"")</f>
        <v>#N/A</v>
      </c>
      <c r="J67" s="3" t="e">
        <f>IF($A67&lt;&gt;"",IF(VLOOKUP($A67,貼り付け用!$A$1:$BA$300,COLUMN(),FALSE)=0,"",VLOOKUP($A67,貼り付け用!$A$1:$BA$300,COLUMN(),FALSE)),"")</f>
        <v>#N/A</v>
      </c>
      <c r="K67" s="3" t="e">
        <f>IF($A67&lt;&gt;"",IF(VLOOKUP($A67,貼り付け用!$A$1:$BA$300,COLUMN(),FALSE)=0,"",VLOOKUP($A67,貼り付け用!$A$1:$BA$300,COLUMN(),FALSE)),"")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63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IF($A68&lt;&gt;"",IF(VLOOKUP($A68,貼り付け用!$A$1:$BA$300,COLUMN(),FALSE)=0,"",VLOOKUP($A68,貼り付け用!$A$1:$BA$300,COLUMN(),FALSE)),"")</f>
        <v>#N/A</v>
      </c>
      <c r="C68" s="14" t="e">
        <f>IF($A68&lt;&gt;"",IF(VLOOKUP($A68,貼り付け用!$A$1:$BA$300,COLUMN(),FALSE)=0,"",VLOOKUP($A68,貼り付け用!$A$1:$BA$300,COLUMN(),FALSE)),"")</f>
        <v>#N/A</v>
      </c>
      <c r="D68" s="14" t="e">
        <f>IF($A68&lt;&gt;"",IF(VLOOKUP($A68,貼り付け用!$A$1:$BA$300,COLUMN(),FALSE)=0,"",VLOOKUP($A68,貼り付け用!$A$1:$BA$300,COLUMN(),FALSE)),"")</f>
        <v>#N/A</v>
      </c>
      <c r="E68" s="14" t="e">
        <f>IF($A68&lt;&gt;"",IF(VLOOKUP($A68,貼り付け用!$A$1:$BA$300,COLUMN(),FALSE)=0,"",VLOOKUP($A68,貼り付け用!$A$1:$BA$300,COLUMN(),FALSE)),"")</f>
        <v>#N/A</v>
      </c>
      <c r="F68" s="14" t="e">
        <f>IF($A68&lt;&gt;"",IF(VLOOKUP($A68,貼り付け用!$A$1:$BA$300,COLUMN(),FALSE)=0,"",VLOOKUP($A68,貼り付け用!$A$1:$BA$300,COLUMN(),FALSE)),"")</f>
        <v>#N/A</v>
      </c>
      <c r="G68" s="14" t="e">
        <f>IF($A68&lt;&gt;"",IF(VLOOKUP($A68,貼り付け用!$A$1:$BA$300,COLUMN(),FALSE)=0,"",VLOOKUP($A68,貼り付け用!$A$1:$BA$300,COLUMN(),FALSE)),"")</f>
        <v>#N/A</v>
      </c>
      <c r="H68" s="14" t="e">
        <f>IF($A68&lt;&gt;"",IF(VLOOKUP($A68,貼り付け用!$A$1:$BA$300,COLUMN(),FALSE)=0,"",VLOOKUP($A68,貼り付け用!$A$1:$BA$300,COLUMN(),FALSE)),"")</f>
        <v>#N/A</v>
      </c>
      <c r="I68" s="14" t="e">
        <f>IF($A68&lt;&gt;"",IF(VLOOKUP($A68,貼り付け用!$A$1:$BA$300,COLUMN(),FALSE)=0,"",VLOOKUP($A68,貼り付け用!$A$1:$BA$300,COLUMN(),FALSE)),"")</f>
        <v>#N/A</v>
      </c>
      <c r="J68" s="14" t="e">
        <f>IF($A68&lt;&gt;"",IF(VLOOKUP($A68,貼り付け用!$A$1:$BA$300,COLUMN(),FALSE)=0,"",VLOOKUP($A68,貼り付け用!$A$1:$BA$300,COLUMN(),FALSE)),"")</f>
        <v>#N/A</v>
      </c>
      <c r="K68" s="14" t="e">
        <f>IF($A68&lt;&gt;"",IF(VLOOKUP($A68,貼り付け用!$A$1:$BA$300,COLUMN(),FALSE)=0,"",VLOOKUP($A68,貼り付け用!$A$1:$BA$300,COLUMN(),FALSE)),"")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63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IF($A69&lt;&gt;"",IF(VLOOKUP($A69,貼り付け用!$A$1:$BA$300,COLUMN(),FALSE)=0,"",VLOOKUP($A69,貼り付け用!$A$1:$BA$300,COLUMN(),FALSE)),"")</f>
        <v>#N/A</v>
      </c>
      <c r="C69" s="3" t="e">
        <f>IF($A69&lt;&gt;"",IF(VLOOKUP($A69,貼り付け用!$A$1:$BA$300,COLUMN(),FALSE)=0,"",VLOOKUP($A69,貼り付け用!$A$1:$BA$300,COLUMN(),FALSE)),"")</f>
        <v>#N/A</v>
      </c>
      <c r="D69" s="3" t="e">
        <f>IF($A69&lt;&gt;"",IF(VLOOKUP($A69,貼り付け用!$A$1:$BA$300,COLUMN(),FALSE)=0,"",VLOOKUP($A69,貼り付け用!$A$1:$BA$300,COLUMN(),FALSE)),"")</f>
        <v>#N/A</v>
      </c>
      <c r="E69" s="3" t="e">
        <f>IF($A69&lt;&gt;"",IF(VLOOKUP($A69,貼り付け用!$A$1:$BA$300,COLUMN(),FALSE)=0,"",VLOOKUP($A69,貼り付け用!$A$1:$BA$300,COLUMN(),FALSE)),"")</f>
        <v>#N/A</v>
      </c>
      <c r="F69" s="3" t="e">
        <f>IF($A69&lt;&gt;"",IF(VLOOKUP($A69,貼り付け用!$A$1:$BA$300,COLUMN(),FALSE)=0,"",VLOOKUP($A69,貼り付け用!$A$1:$BA$300,COLUMN(),FALSE)),"")</f>
        <v>#N/A</v>
      </c>
      <c r="G69" s="3" t="e">
        <f>IF($A69&lt;&gt;"",IF(VLOOKUP($A69,貼り付け用!$A$1:$BA$300,COLUMN(),FALSE)=0,"",VLOOKUP($A69,貼り付け用!$A$1:$BA$300,COLUMN(),FALSE)),"")</f>
        <v>#N/A</v>
      </c>
      <c r="H69" s="3" t="e">
        <f>IF($A69&lt;&gt;"",IF(VLOOKUP($A69,貼り付け用!$A$1:$BA$300,COLUMN(),FALSE)=0,"",VLOOKUP($A69,貼り付け用!$A$1:$BA$300,COLUMN(),FALSE)),"")</f>
        <v>#N/A</v>
      </c>
      <c r="I69" s="3" t="e">
        <f>IF($A69&lt;&gt;"",IF(VLOOKUP($A69,貼り付け用!$A$1:$BA$300,COLUMN(),FALSE)=0,"",VLOOKUP($A69,貼り付け用!$A$1:$BA$300,COLUMN(),FALSE)),"")</f>
        <v>#N/A</v>
      </c>
      <c r="J69" s="3" t="e">
        <f>IF($A69&lt;&gt;"",IF(VLOOKUP($A69,貼り付け用!$A$1:$BA$300,COLUMN(),FALSE)=0,"",VLOOKUP($A69,貼り付け用!$A$1:$BA$300,COLUMN(),FALSE)),"")</f>
        <v>#N/A</v>
      </c>
      <c r="K69" s="3" t="e">
        <f>IF($A69&lt;&gt;"",IF(VLOOKUP($A69,貼り付け用!$A$1:$BA$300,COLUMN(),FALSE)=0,"",VLOOKUP($A69,貼り付け用!$A$1:$BA$300,COLUMN(),FALSE)),"")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63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IF($A70&lt;&gt;"",IF(VLOOKUP($A70,貼り付け用!$A$1:$BA$300,COLUMN(),FALSE)=0,"",VLOOKUP($A70,貼り付け用!$A$1:$BA$300,COLUMN(),FALSE)),"")</f>
        <v>#N/A</v>
      </c>
      <c r="C70" s="14" t="e">
        <f>IF($A70&lt;&gt;"",IF(VLOOKUP($A70,貼り付け用!$A$1:$BA$300,COLUMN(),FALSE)=0,"",VLOOKUP($A70,貼り付け用!$A$1:$BA$300,COLUMN(),FALSE)),"")</f>
        <v>#N/A</v>
      </c>
      <c r="D70" s="14" t="e">
        <f>IF($A70&lt;&gt;"",IF(VLOOKUP($A70,貼り付け用!$A$1:$BA$300,COLUMN(),FALSE)=0,"",VLOOKUP($A70,貼り付け用!$A$1:$BA$300,COLUMN(),FALSE)),"")</f>
        <v>#N/A</v>
      </c>
      <c r="E70" s="14" t="e">
        <f>IF($A70&lt;&gt;"",IF(VLOOKUP($A70,貼り付け用!$A$1:$BA$300,COLUMN(),FALSE)=0,"",VLOOKUP($A70,貼り付け用!$A$1:$BA$300,COLUMN(),FALSE)),"")</f>
        <v>#N/A</v>
      </c>
      <c r="F70" s="14" t="e">
        <f>IF($A70&lt;&gt;"",IF(VLOOKUP($A70,貼り付け用!$A$1:$BA$300,COLUMN(),FALSE)=0,"",VLOOKUP($A70,貼り付け用!$A$1:$BA$300,COLUMN(),FALSE)),"")</f>
        <v>#N/A</v>
      </c>
      <c r="G70" s="14" t="e">
        <f>IF($A70&lt;&gt;"",IF(VLOOKUP($A70,貼り付け用!$A$1:$BA$300,COLUMN(),FALSE)=0,"",VLOOKUP($A70,貼り付け用!$A$1:$BA$300,COLUMN(),FALSE)),"")</f>
        <v>#N/A</v>
      </c>
      <c r="H70" s="14" t="e">
        <f>IF($A70&lt;&gt;"",IF(VLOOKUP($A70,貼り付け用!$A$1:$BA$300,COLUMN(),FALSE)=0,"",VLOOKUP($A70,貼り付け用!$A$1:$BA$300,COLUMN(),FALSE)),"")</f>
        <v>#N/A</v>
      </c>
      <c r="I70" s="14" t="e">
        <f>IF($A70&lt;&gt;"",IF(VLOOKUP($A70,貼り付け用!$A$1:$BA$300,COLUMN(),FALSE)=0,"",VLOOKUP($A70,貼り付け用!$A$1:$BA$300,COLUMN(),FALSE)),"")</f>
        <v>#N/A</v>
      </c>
      <c r="J70" s="14" t="e">
        <f>IF($A70&lt;&gt;"",IF(VLOOKUP($A70,貼り付け用!$A$1:$BA$300,COLUMN(),FALSE)=0,"",VLOOKUP($A70,貼り付け用!$A$1:$BA$300,COLUMN(),FALSE)),"")</f>
        <v>#N/A</v>
      </c>
      <c r="K70" s="14" t="e">
        <f>IF($A70&lt;&gt;"",IF(VLOOKUP($A70,貼り付け用!$A$1:$BA$300,COLUMN(),FALSE)=0,"",VLOOKUP($A70,貼り付け用!$A$1:$BA$300,COLUMN(),FALSE)),"")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63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IF($A71&lt;&gt;"",IF(VLOOKUP($A71,貼り付け用!$A$1:$BA$300,COLUMN(),FALSE)=0,"",VLOOKUP($A71,貼り付け用!$A$1:$BA$300,COLUMN(),FALSE)),"")</f>
        <v>#N/A</v>
      </c>
      <c r="C71" s="3" t="e">
        <f>IF($A71&lt;&gt;"",IF(VLOOKUP($A71,貼り付け用!$A$1:$BA$300,COLUMN(),FALSE)=0,"",VLOOKUP($A71,貼り付け用!$A$1:$BA$300,COLUMN(),FALSE)),"")</f>
        <v>#N/A</v>
      </c>
      <c r="D71" s="3" t="e">
        <f>IF($A71&lt;&gt;"",IF(VLOOKUP($A71,貼り付け用!$A$1:$BA$300,COLUMN(),FALSE)=0,"",VLOOKUP($A71,貼り付け用!$A$1:$BA$300,COLUMN(),FALSE)),"")</f>
        <v>#N/A</v>
      </c>
      <c r="E71" s="3" t="e">
        <f>IF($A71&lt;&gt;"",IF(VLOOKUP($A71,貼り付け用!$A$1:$BA$300,COLUMN(),FALSE)=0,"",VLOOKUP($A71,貼り付け用!$A$1:$BA$300,COLUMN(),FALSE)),"")</f>
        <v>#N/A</v>
      </c>
      <c r="F71" s="3" t="e">
        <f>IF($A71&lt;&gt;"",IF(VLOOKUP($A71,貼り付け用!$A$1:$BA$300,COLUMN(),FALSE)=0,"",VLOOKUP($A71,貼り付け用!$A$1:$BA$300,COLUMN(),FALSE)),"")</f>
        <v>#N/A</v>
      </c>
      <c r="G71" s="3" t="e">
        <f>IF($A71&lt;&gt;"",IF(VLOOKUP($A71,貼り付け用!$A$1:$BA$300,COLUMN(),FALSE)=0,"",VLOOKUP($A71,貼り付け用!$A$1:$BA$300,COLUMN(),FALSE)),"")</f>
        <v>#N/A</v>
      </c>
      <c r="H71" s="3" t="e">
        <f>IF($A71&lt;&gt;"",IF(VLOOKUP($A71,貼り付け用!$A$1:$BA$300,COLUMN(),FALSE)=0,"",VLOOKUP($A71,貼り付け用!$A$1:$BA$300,COLUMN(),FALSE)),"")</f>
        <v>#N/A</v>
      </c>
      <c r="I71" s="3" t="e">
        <f>IF($A71&lt;&gt;"",IF(VLOOKUP($A71,貼り付け用!$A$1:$BA$300,COLUMN(),FALSE)=0,"",VLOOKUP($A71,貼り付け用!$A$1:$BA$300,COLUMN(),FALSE)),"")</f>
        <v>#N/A</v>
      </c>
      <c r="J71" s="3" t="e">
        <f>IF($A71&lt;&gt;"",IF(VLOOKUP($A71,貼り付け用!$A$1:$BA$300,COLUMN(),FALSE)=0,"",VLOOKUP($A71,貼り付け用!$A$1:$BA$300,COLUMN(),FALSE)),"")</f>
        <v>#N/A</v>
      </c>
      <c r="K71" s="3" t="e">
        <f>IF($A71&lt;&gt;"",IF(VLOOKUP($A71,貼り付け用!$A$1:$BA$300,COLUMN(),FALSE)=0,"",VLOOKUP($A71,貼り付け用!$A$1:$BA$300,COLUMN(),FALSE)),"")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63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IF($A72&lt;&gt;"",IF(VLOOKUP($A72,貼り付け用!$A$1:$BA$300,COLUMN(),FALSE)=0,"",VLOOKUP($A72,貼り付け用!$A$1:$BA$300,COLUMN(),FALSE)),"")</f>
        <v>#N/A</v>
      </c>
      <c r="C72" s="14" t="e">
        <f>IF($A72&lt;&gt;"",IF(VLOOKUP($A72,貼り付け用!$A$1:$BA$300,COLUMN(),FALSE)=0,"",VLOOKUP($A72,貼り付け用!$A$1:$BA$300,COLUMN(),FALSE)),"")</f>
        <v>#N/A</v>
      </c>
      <c r="D72" s="14" t="e">
        <f>IF($A72&lt;&gt;"",IF(VLOOKUP($A72,貼り付け用!$A$1:$BA$300,COLUMN(),FALSE)=0,"",VLOOKUP($A72,貼り付け用!$A$1:$BA$300,COLUMN(),FALSE)),"")</f>
        <v>#N/A</v>
      </c>
      <c r="E72" s="14" t="e">
        <f>IF($A72&lt;&gt;"",IF(VLOOKUP($A72,貼り付け用!$A$1:$BA$300,COLUMN(),FALSE)=0,"",VLOOKUP($A72,貼り付け用!$A$1:$BA$300,COLUMN(),FALSE)),"")</f>
        <v>#N/A</v>
      </c>
      <c r="F72" s="14" t="e">
        <f>IF($A72&lt;&gt;"",IF(VLOOKUP($A72,貼り付け用!$A$1:$BA$300,COLUMN(),FALSE)=0,"",VLOOKUP($A72,貼り付け用!$A$1:$BA$300,COLUMN(),FALSE)),"")</f>
        <v>#N/A</v>
      </c>
      <c r="G72" s="14" t="e">
        <f>IF($A72&lt;&gt;"",IF(VLOOKUP($A72,貼り付け用!$A$1:$BA$300,COLUMN(),FALSE)=0,"",VLOOKUP($A72,貼り付け用!$A$1:$BA$300,COLUMN(),FALSE)),"")</f>
        <v>#N/A</v>
      </c>
      <c r="H72" s="14" t="e">
        <f>IF($A72&lt;&gt;"",IF(VLOOKUP($A72,貼り付け用!$A$1:$BA$300,COLUMN(),FALSE)=0,"",VLOOKUP($A72,貼り付け用!$A$1:$BA$300,COLUMN(),FALSE)),"")</f>
        <v>#N/A</v>
      </c>
      <c r="I72" s="14" t="e">
        <f>IF($A72&lt;&gt;"",IF(VLOOKUP($A72,貼り付け用!$A$1:$BA$300,COLUMN(),FALSE)=0,"",VLOOKUP($A72,貼り付け用!$A$1:$BA$300,COLUMN(),FALSE)),"")</f>
        <v>#N/A</v>
      </c>
      <c r="J72" s="14" t="e">
        <f>IF($A72&lt;&gt;"",IF(VLOOKUP($A72,貼り付け用!$A$1:$BA$300,COLUMN(),FALSE)=0,"",VLOOKUP($A72,貼り付け用!$A$1:$BA$300,COLUMN(),FALSE)),"")</f>
        <v>#N/A</v>
      </c>
      <c r="K72" s="14" t="e">
        <f>IF($A72&lt;&gt;"",IF(VLOOKUP($A72,貼り付け用!$A$1:$BA$300,COLUMN(),FALSE)=0,"",VLOOKUP($A72,貼り付け用!$A$1:$BA$300,COLUMN(),FALSE)),"")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63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IF($A73&lt;&gt;"",IF(VLOOKUP($A73,貼り付け用!$A$1:$BA$300,COLUMN(),FALSE)=0,"",VLOOKUP($A73,貼り付け用!$A$1:$BA$300,COLUMN(),FALSE)),"")</f>
        <v>#N/A</v>
      </c>
      <c r="C73" s="3" t="e">
        <f>IF($A73&lt;&gt;"",IF(VLOOKUP($A73,貼り付け用!$A$1:$BA$300,COLUMN(),FALSE)=0,"",VLOOKUP($A73,貼り付け用!$A$1:$BA$300,COLUMN(),FALSE)),"")</f>
        <v>#N/A</v>
      </c>
      <c r="D73" s="3" t="e">
        <f>IF($A73&lt;&gt;"",IF(VLOOKUP($A73,貼り付け用!$A$1:$BA$300,COLUMN(),FALSE)=0,"",VLOOKUP($A73,貼り付け用!$A$1:$BA$300,COLUMN(),FALSE)),"")</f>
        <v>#N/A</v>
      </c>
      <c r="E73" s="3" t="e">
        <f>IF($A73&lt;&gt;"",IF(VLOOKUP($A73,貼り付け用!$A$1:$BA$300,COLUMN(),FALSE)=0,"",VLOOKUP($A73,貼り付け用!$A$1:$BA$300,COLUMN(),FALSE)),"")</f>
        <v>#N/A</v>
      </c>
      <c r="F73" s="3" t="e">
        <f>IF($A73&lt;&gt;"",IF(VLOOKUP($A73,貼り付け用!$A$1:$BA$300,COLUMN(),FALSE)=0,"",VLOOKUP($A73,貼り付け用!$A$1:$BA$300,COLUMN(),FALSE)),"")</f>
        <v>#N/A</v>
      </c>
      <c r="G73" s="3" t="e">
        <f>IF($A73&lt;&gt;"",IF(VLOOKUP($A73,貼り付け用!$A$1:$BA$300,COLUMN(),FALSE)=0,"",VLOOKUP($A73,貼り付け用!$A$1:$BA$300,COLUMN(),FALSE)),"")</f>
        <v>#N/A</v>
      </c>
      <c r="H73" s="3" t="e">
        <f>IF($A73&lt;&gt;"",IF(VLOOKUP($A73,貼り付け用!$A$1:$BA$300,COLUMN(),FALSE)=0,"",VLOOKUP($A73,貼り付け用!$A$1:$BA$300,COLUMN(),FALSE)),"")</f>
        <v>#N/A</v>
      </c>
      <c r="I73" s="3" t="e">
        <f>IF($A73&lt;&gt;"",IF(VLOOKUP($A73,貼り付け用!$A$1:$BA$300,COLUMN(),FALSE)=0,"",VLOOKUP($A73,貼り付け用!$A$1:$BA$300,COLUMN(),FALSE)),"")</f>
        <v>#N/A</v>
      </c>
      <c r="J73" s="3" t="e">
        <f>IF($A73&lt;&gt;"",IF(VLOOKUP($A73,貼り付け用!$A$1:$BA$300,COLUMN(),FALSE)=0,"",VLOOKUP($A73,貼り付け用!$A$1:$BA$300,COLUMN(),FALSE)),"")</f>
        <v>#N/A</v>
      </c>
      <c r="K73" s="3" t="e">
        <f>IF($A73&lt;&gt;"",IF(VLOOKUP($A73,貼り付け用!$A$1:$BA$300,COLUMN(),FALSE)=0,"",VLOOKUP($A73,貼り付け用!$A$1:$BA$300,COLUMN(),FALSE)),"")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63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IF($A74&lt;&gt;"",IF(VLOOKUP($A74,貼り付け用!$A$1:$BA$300,COLUMN(),FALSE)=0,"",VLOOKUP($A74,貼り付け用!$A$1:$BA$300,COLUMN(),FALSE)),"")</f>
        <v>#N/A</v>
      </c>
      <c r="C74" s="14" t="e">
        <f>IF($A74&lt;&gt;"",IF(VLOOKUP($A74,貼り付け用!$A$1:$BA$300,COLUMN(),FALSE)=0,"",VLOOKUP($A74,貼り付け用!$A$1:$BA$300,COLUMN(),FALSE)),"")</f>
        <v>#N/A</v>
      </c>
      <c r="D74" s="14" t="e">
        <f>IF($A74&lt;&gt;"",IF(VLOOKUP($A74,貼り付け用!$A$1:$BA$300,COLUMN(),FALSE)=0,"",VLOOKUP($A74,貼り付け用!$A$1:$BA$300,COLUMN(),FALSE)),"")</f>
        <v>#N/A</v>
      </c>
      <c r="E74" s="14" t="e">
        <f>IF($A74&lt;&gt;"",IF(VLOOKUP($A74,貼り付け用!$A$1:$BA$300,COLUMN(),FALSE)=0,"",VLOOKUP($A74,貼り付け用!$A$1:$BA$300,COLUMN(),FALSE)),"")</f>
        <v>#N/A</v>
      </c>
      <c r="F74" s="14" t="e">
        <f>IF($A74&lt;&gt;"",IF(VLOOKUP($A74,貼り付け用!$A$1:$BA$300,COLUMN(),FALSE)=0,"",VLOOKUP($A74,貼り付け用!$A$1:$BA$300,COLUMN(),FALSE)),"")</f>
        <v>#N/A</v>
      </c>
      <c r="G74" s="14" t="e">
        <f>IF($A74&lt;&gt;"",IF(VLOOKUP($A74,貼り付け用!$A$1:$BA$300,COLUMN(),FALSE)=0,"",VLOOKUP($A74,貼り付け用!$A$1:$BA$300,COLUMN(),FALSE)),"")</f>
        <v>#N/A</v>
      </c>
      <c r="H74" s="14" t="e">
        <f>IF($A74&lt;&gt;"",IF(VLOOKUP($A74,貼り付け用!$A$1:$BA$300,COLUMN(),FALSE)=0,"",VLOOKUP($A74,貼り付け用!$A$1:$BA$300,COLUMN(),FALSE)),"")</f>
        <v>#N/A</v>
      </c>
      <c r="I74" s="14" t="e">
        <f>IF($A74&lt;&gt;"",IF(VLOOKUP($A74,貼り付け用!$A$1:$BA$300,COLUMN(),FALSE)=0,"",VLOOKUP($A74,貼り付け用!$A$1:$BA$300,COLUMN(),FALSE)),"")</f>
        <v>#N/A</v>
      </c>
      <c r="J74" s="14" t="e">
        <f>IF($A74&lt;&gt;"",IF(VLOOKUP($A74,貼り付け用!$A$1:$BA$300,COLUMN(),FALSE)=0,"",VLOOKUP($A74,貼り付け用!$A$1:$BA$300,COLUMN(),FALSE)),"")</f>
        <v>#N/A</v>
      </c>
      <c r="K74" s="14" t="e">
        <f>IF($A74&lt;&gt;"",IF(VLOOKUP($A74,貼り付け用!$A$1:$BA$300,COLUMN(),FALSE)=0,"",VLOOKUP($A74,貼り付け用!$A$1:$BA$300,COLUMN(),FALSE)),"")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63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IF($A75&lt;&gt;"",IF(VLOOKUP($A75,貼り付け用!$A$1:$BA$300,COLUMN(),FALSE)=0,"",VLOOKUP($A75,貼り付け用!$A$1:$BA$300,COLUMN(),FALSE)),"")</f>
        <v>#N/A</v>
      </c>
      <c r="C75" s="3" t="e">
        <f>IF($A75&lt;&gt;"",IF(VLOOKUP($A75,貼り付け用!$A$1:$BA$300,COLUMN(),FALSE)=0,"",VLOOKUP($A75,貼り付け用!$A$1:$BA$300,COLUMN(),FALSE)),"")</f>
        <v>#N/A</v>
      </c>
      <c r="D75" s="3" t="e">
        <f>IF($A75&lt;&gt;"",IF(VLOOKUP($A75,貼り付け用!$A$1:$BA$300,COLUMN(),FALSE)=0,"",VLOOKUP($A75,貼り付け用!$A$1:$BA$300,COLUMN(),FALSE)),"")</f>
        <v>#N/A</v>
      </c>
      <c r="E75" s="3" t="e">
        <f>IF($A75&lt;&gt;"",IF(VLOOKUP($A75,貼り付け用!$A$1:$BA$300,COLUMN(),FALSE)=0,"",VLOOKUP($A75,貼り付け用!$A$1:$BA$300,COLUMN(),FALSE)),"")</f>
        <v>#N/A</v>
      </c>
      <c r="F75" s="3" t="e">
        <f>IF($A75&lt;&gt;"",IF(VLOOKUP($A75,貼り付け用!$A$1:$BA$300,COLUMN(),FALSE)=0,"",VLOOKUP($A75,貼り付け用!$A$1:$BA$300,COLUMN(),FALSE)),"")</f>
        <v>#N/A</v>
      </c>
      <c r="G75" s="3" t="e">
        <f>IF($A75&lt;&gt;"",IF(VLOOKUP($A75,貼り付け用!$A$1:$BA$300,COLUMN(),FALSE)=0,"",VLOOKUP($A75,貼り付け用!$A$1:$BA$300,COLUMN(),FALSE)),"")</f>
        <v>#N/A</v>
      </c>
      <c r="H75" s="3" t="e">
        <f>IF($A75&lt;&gt;"",IF(VLOOKUP($A75,貼り付け用!$A$1:$BA$300,COLUMN(),FALSE)=0,"",VLOOKUP($A75,貼り付け用!$A$1:$BA$300,COLUMN(),FALSE)),"")</f>
        <v>#N/A</v>
      </c>
      <c r="I75" s="3" t="e">
        <f>IF($A75&lt;&gt;"",IF(VLOOKUP($A75,貼り付け用!$A$1:$BA$300,COLUMN(),FALSE)=0,"",VLOOKUP($A75,貼り付け用!$A$1:$BA$300,COLUMN(),FALSE)),"")</f>
        <v>#N/A</v>
      </c>
      <c r="J75" s="3" t="e">
        <f>IF($A75&lt;&gt;"",IF(VLOOKUP($A75,貼り付け用!$A$1:$BA$300,COLUMN(),FALSE)=0,"",VLOOKUP($A75,貼り付け用!$A$1:$BA$300,COLUMN(),FALSE)),"")</f>
        <v>#N/A</v>
      </c>
      <c r="K75" s="3" t="e">
        <f>IF($A75&lt;&gt;"",IF(VLOOKUP($A75,貼り付け用!$A$1:$BA$300,COLUMN(),FALSE)=0,"",VLOOKUP($A75,貼り付け用!$A$1:$BA$300,COLUMN(),FALSE)),"")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63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IF($A76&lt;&gt;"",IF(VLOOKUP($A76,貼り付け用!$A$1:$BA$300,COLUMN(),FALSE)=0,"",VLOOKUP($A76,貼り付け用!$A$1:$BA$300,COLUMN(),FALSE)),"")</f>
        <v>#N/A</v>
      </c>
      <c r="C76" s="14" t="e">
        <f>IF($A76&lt;&gt;"",IF(VLOOKUP($A76,貼り付け用!$A$1:$BA$300,COLUMN(),FALSE)=0,"",VLOOKUP($A76,貼り付け用!$A$1:$BA$300,COLUMN(),FALSE)),"")</f>
        <v>#N/A</v>
      </c>
      <c r="D76" s="14" t="e">
        <f>IF($A76&lt;&gt;"",IF(VLOOKUP($A76,貼り付け用!$A$1:$BA$300,COLUMN(),FALSE)=0,"",VLOOKUP($A76,貼り付け用!$A$1:$BA$300,COLUMN(),FALSE)),"")</f>
        <v>#N/A</v>
      </c>
      <c r="E76" s="14" t="e">
        <f>IF($A76&lt;&gt;"",IF(VLOOKUP($A76,貼り付け用!$A$1:$BA$300,COLUMN(),FALSE)=0,"",VLOOKUP($A76,貼り付け用!$A$1:$BA$300,COLUMN(),FALSE)),"")</f>
        <v>#N/A</v>
      </c>
      <c r="F76" s="14" t="e">
        <f>IF($A76&lt;&gt;"",IF(VLOOKUP($A76,貼り付け用!$A$1:$BA$300,COLUMN(),FALSE)=0,"",VLOOKUP($A76,貼り付け用!$A$1:$BA$300,COLUMN(),FALSE)),"")</f>
        <v>#N/A</v>
      </c>
      <c r="G76" s="14" t="e">
        <f>IF($A76&lt;&gt;"",IF(VLOOKUP($A76,貼り付け用!$A$1:$BA$300,COLUMN(),FALSE)=0,"",VLOOKUP($A76,貼り付け用!$A$1:$BA$300,COLUMN(),FALSE)),"")</f>
        <v>#N/A</v>
      </c>
      <c r="H76" s="14" t="e">
        <f>IF($A76&lt;&gt;"",IF(VLOOKUP($A76,貼り付け用!$A$1:$BA$300,COLUMN(),FALSE)=0,"",VLOOKUP($A76,貼り付け用!$A$1:$BA$300,COLUMN(),FALSE)),"")</f>
        <v>#N/A</v>
      </c>
      <c r="I76" s="14" t="e">
        <f>IF($A76&lt;&gt;"",IF(VLOOKUP($A76,貼り付け用!$A$1:$BA$300,COLUMN(),FALSE)=0,"",VLOOKUP($A76,貼り付け用!$A$1:$BA$300,COLUMN(),FALSE)),"")</f>
        <v>#N/A</v>
      </c>
      <c r="J76" s="14" t="e">
        <f>IF($A76&lt;&gt;"",IF(VLOOKUP($A76,貼り付け用!$A$1:$BA$300,COLUMN(),FALSE)=0,"",VLOOKUP($A76,貼り付け用!$A$1:$BA$300,COLUMN(),FALSE)),"")</f>
        <v>#N/A</v>
      </c>
      <c r="K76" s="14" t="e">
        <f>IF($A76&lt;&gt;"",IF(VLOOKUP($A76,貼り付け用!$A$1:$BA$300,COLUMN(),FALSE)=0,"",VLOOKUP($A76,貼り付け用!$A$1:$BA$300,COLUMN(),FALSE)),"")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63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IF($A77&lt;&gt;"",IF(VLOOKUP($A77,貼り付け用!$A$1:$BA$300,COLUMN(),FALSE)=0,"",VLOOKUP($A77,貼り付け用!$A$1:$BA$300,COLUMN(),FALSE)),"")</f>
        <v>#N/A</v>
      </c>
      <c r="C77" s="3" t="e">
        <f>IF($A77&lt;&gt;"",IF(VLOOKUP($A77,貼り付け用!$A$1:$BA$300,COLUMN(),FALSE)=0,"",VLOOKUP($A77,貼り付け用!$A$1:$BA$300,COLUMN(),FALSE)),"")</f>
        <v>#N/A</v>
      </c>
      <c r="D77" s="3" t="e">
        <f>IF($A77&lt;&gt;"",IF(VLOOKUP($A77,貼り付け用!$A$1:$BA$300,COLUMN(),FALSE)=0,"",VLOOKUP($A77,貼り付け用!$A$1:$BA$300,COLUMN(),FALSE)),"")</f>
        <v>#N/A</v>
      </c>
      <c r="E77" s="3" t="e">
        <f>IF($A77&lt;&gt;"",IF(VLOOKUP($A77,貼り付け用!$A$1:$BA$300,COLUMN(),FALSE)=0,"",VLOOKUP($A77,貼り付け用!$A$1:$BA$300,COLUMN(),FALSE)),"")</f>
        <v>#N/A</v>
      </c>
      <c r="F77" s="3" t="e">
        <f>IF($A77&lt;&gt;"",IF(VLOOKUP($A77,貼り付け用!$A$1:$BA$300,COLUMN(),FALSE)=0,"",VLOOKUP($A77,貼り付け用!$A$1:$BA$300,COLUMN(),FALSE)),"")</f>
        <v>#N/A</v>
      </c>
      <c r="G77" s="3" t="e">
        <f>IF($A77&lt;&gt;"",IF(VLOOKUP($A77,貼り付け用!$A$1:$BA$300,COLUMN(),FALSE)=0,"",VLOOKUP($A77,貼り付け用!$A$1:$BA$300,COLUMN(),FALSE)),"")</f>
        <v>#N/A</v>
      </c>
      <c r="H77" s="3" t="e">
        <f>IF($A77&lt;&gt;"",IF(VLOOKUP($A77,貼り付け用!$A$1:$BA$300,COLUMN(),FALSE)=0,"",VLOOKUP($A77,貼り付け用!$A$1:$BA$300,COLUMN(),FALSE)),"")</f>
        <v>#N/A</v>
      </c>
      <c r="I77" s="3" t="e">
        <f>IF($A77&lt;&gt;"",IF(VLOOKUP($A77,貼り付け用!$A$1:$BA$300,COLUMN(),FALSE)=0,"",VLOOKUP($A77,貼り付け用!$A$1:$BA$300,COLUMN(),FALSE)),"")</f>
        <v>#N/A</v>
      </c>
      <c r="J77" s="3" t="e">
        <f>IF($A77&lt;&gt;"",IF(VLOOKUP($A77,貼り付け用!$A$1:$BA$300,COLUMN(),FALSE)=0,"",VLOOKUP($A77,貼り付け用!$A$1:$BA$300,COLUMN(),FALSE)),"")</f>
        <v>#N/A</v>
      </c>
      <c r="K77" s="3" t="e">
        <f>IF($A77&lt;&gt;"",IF(VLOOKUP($A77,貼り付け用!$A$1:$BA$300,COLUMN(),FALSE)=0,"",VLOOKUP($A77,貼り付け用!$A$1:$BA$300,COLUMN(),FALSE)),"")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63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IF($A78&lt;&gt;"",IF(VLOOKUP($A78,貼り付け用!$A$1:$BA$300,COLUMN(),FALSE)=0,"",VLOOKUP($A78,貼り付け用!$A$1:$BA$300,COLUMN(),FALSE)),"")</f>
        <v>#N/A</v>
      </c>
      <c r="C78" s="14" t="e">
        <f>IF($A78&lt;&gt;"",IF(VLOOKUP($A78,貼り付け用!$A$1:$BA$300,COLUMN(),FALSE)=0,"",VLOOKUP($A78,貼り付け用!$A$1:$BA$300,COLUMN(),FALSE)),"")</f>
        <v>#N/A</v>
      </c>
      <c r="D78" s="14" t="e">
        <f>IF($A78&lt;&gt;"",IF(VLOOKUP($A78,貼り付け用!$A$1:$BA$300,COLUMN(),FALSE)=0,"",VLOOKUP($A78,貼り付け用!$A$1:$BA$300,COLUMN(),FALSE)),"")</f>
        <v>#N/A</v>
      </c>
      <c r="E78" s="14" t="e">
        <f>IF($A78&lt;&gt;"",IF(VLOOKUP($A78,貼り付け用!$A$1:$BA$300,COLUMN(),FALSE)=0,"",VLOOKUP($A78,貼り付け用!$A$1:$BA$300,COLUMN(),FALSE)),"")</f>
        <v>#N/A</v>
      </c>
      <c r="F78" s="14" t="e">
        <f>IF($A78&lt;&gt;"",IF(VLOOKUP($A78,貼り付け用!$A$1:$BA$300,COLUMN(),FALSE)=0,"",VLOOKUP($A78,貼り付け用!$A$1:$BA$300,COLUMN(),FALSE)),"")</f>
        <v>#N/A</v>
      </c>
      <c r="G78" s="14" t="e">
        <f>IF($A78&lt;&gt;"",IF(VLOOKUP($A78,貼り付け用!$A$1:$BA$300,COLUMN(),FALSE)=0,"",VLOOKUP($A78,貼り付け用!$A$1:$BA$300,COLUMN(),FALSE)),"")</f>
        <v>#N/A</v>
      </c>
      <c r="H78" s="14" t="e">
        <f>IF($A78&lt;&gt;"",IF(VLOOKUP($A78,貼り付け用!$A$1:$BA$300,COLUMN(),FALSE)=0,"",VLOOKUP($A78,貼り付け用!$A$1:$BA$300,COLUMN(),FALSE)),"")</f>
        <v>#N/A</v>
      </c>
      <c r="I78" s="14" t="e">
        <f>IF($A78&lt;&gt;"",IF(VLOOKUP($A78,貼り付け用!$A$1:$BA$300,COLUMN(),FALSE)=0,"",VLOOKUP($A78,貼り付け用!$A$1:$BA$300,COLUMN(),FALSE)),"")</f>
        <v>#N/A</v>
      </c>
      <c r="J78" s="14" t="e">
        <f>IF($A78&lt;&gt;"",IF(VLOOKUP($A78,貼り付け用!$A$1:$BA$300,COLUMN(),FALSE)=0,"",VLOOKUP($A78,貼り付け用!$A$1:$BA$300,COLUMN(),FALSE)),"")</f>
        <v>#N/A</v>
      </c>
      <c r="K78" s="14" t="e">
        <f>IF($A78&lt;&gt;"",IF(VLOOKUP($A78,貼り付け用!$A$1:$BA$300,COLUMN(),FALSE)=0,"",VLOOKUP($A78,貼り付け用!$A$1:$BA$300,COLUMN(),FALSE)),"")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63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IF($A79&lt;&gt;"",IF(VLOOKUP($A79,貼り付け用!$A$1:$BA$300,COLUMN(),FALSE)=0,"",VLOOKUP($A79,貼り付け用!$A$1:$BA$300,COLUMN(),FALSE)),"")</f>
        <v>#N/A</v>
      </c>
      <c r="C79" s="3" t="e">
        <f>IF($A79&lt;&gt;"",IF(VLOOKUP($A79,貼り付け用!$A$1:$BA$300,COLUMN(),FALSE)=0,"",VLOOKUP($A79,貼り付け用!$A$1:$BA$300,COLUMN(),FALSE)),"")</f>
        <v>#N/A</v>
      </c>
      <c r="D79" s="3" t="e">
        <f>IF($A79&lt;&gt;"",IF(VLOOKUP($A79,貼り付け用!$A$1:$BA$300,COLUMN(),FALSE)=0,"",VLOOKUP($A79,貼り付け用!$A$1:$BA$300,COLUMN(),FALSE)),"")</f>
        <v>#N/A</v>
      </c>
      <c r="E79" s="3" t="e">
        <f>IF($A79&lt;&gt;"",IF(VLOOKUP($A79,貼り付け用!$A$1:$BA$300,COLUMN(),FALSE)=0,"",VLOOKUP($A79,貼り付け用!$A$1:$BA$300,COLUMN(),FALSE)),"")</f>
        <v>#N/A</v>
      </c>
      <c r="F79" s="3" t="e">
        <f>IF($A79&lt;&gt;"",IF(VLOOKUP($A79,貼り付け用!$A$1:$BA$300,COLUMN(),FALSE)=0,"",VLOOKUP($A79,貼り付け用!$A$1:$BA$300,COLUMN(),FALSE)),"")</f>
        <v>#N/A</v>
      </c>
      <c r="G79" s="3" t="e">
        <f>IF($A79&lt;&gt;"",IF(VLOOKUP($A79,貼り付け用!$A$1:$BA$300,COLUMN(),FALSE)=0,"",VLOOKUP($A79,貼り付け用!$A$1:$BA$300,COLUMN(),FALSE)),"")</f>
        <v>#N/A</v>
      </c>
      <c r="H79" s="3" t="e">
        <f>IF($A79&lt;&gt;"",IF(VLOOKUP($A79,貼り付け用!$A$1:$BA$300,COLUMN(),FALSE)=0,"",VLOOKUP($A79,貼り付け用!$A$1:$BA$300,COLUMN(),FALSE)),"")</f>
        <v>#N/A</v>
      </c>
      <c r="I79" s="3" t="e">
        <f>IF($A79&lt;&gt;"",IF(VLOOKUP($A79,貼り付け用!$A$1:$BA$300,COLUMN(),FALSE)=0,"",VLOOKUP($A79,貼り付け用!$A$1:$BA$300,COLUMN(),FALSE)),"")</f>
        <v>#N/A</v>
      </c>
      <c r="J79" s="3" t="e">
        <f>IF($A79&lt;&gt;"",IF(VLOOKUP($A79,貼り付け用!$A$1:$BA$300,COLUMN(),FALSE)=0,"",VLOOKUP($A79,貼り付け用!$A$1:$BA$300,COLUMN(),FALSE)),"")</f>
        <v>#N/A</v>
      </c>
      <c r="K79" s="3" t="e">
        <f>IF($A79&lt;&gt;"",IF(VLOOKUP($A79,貼り付け用!$A$1:$BA$300,COLUMN(),FALSE)=0,"",VLOOKUP($A79,貼り付け用!$A$1:$BA$300,COLUMN(),FALSE)),"")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63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IF($A80&lt;&gt;"",IF(VLOOKUP($A80,貼り付け用!$A$1:$BA$300,COLUMN(),FALSE)=0,"",VLOOKUP($A80,貼り付け用!$A$1:$BA$300,COLUMN(),FALSE)),"")</f>
        <v>#N/A</v>
      </c>
      <c r="C80" s="14" t="e">
        <f>IF($A80&lt;&gt;"",IF(VLOOKUP($A80,貼り付け用!$A$1:$BA$300,COLUMN(),FALSE)=0,"",VLOOKUP($A80,貼り付け用!$A$1:$BA$300,COLUMN(),FALSE)),"")</f>
        <v>#N/A</v>
      </c>
      <c r="D80" s="14" t="e">
        <f>IF($A80&lt;&gt;"",IF(VLOOKUP($A80,貼り付け用!$A$1:$BA$300,COLUMN(),FALSE)=0,"",VLOOKUP($A80,貼り付け用!$A$1:$BA$300,COLUMN(),FALSE)),"")</f>
        <v>#N/A</v>
      </c>
      <c r="E80" s="14" t="e">
        <f>IF($A80&lt;&gt;"",IF(VLOOKUP($A80,貼り付け用!$A$1:$BA$300,COLUMN(),FALSE)=0,"",VLOOKUP($A80,貼り付け用!$A$1:$BA$300,COLUMN(),FALSE)),"")</f>
        <v>#N/A</v>
      </c>
      <c r="F80" s="14" t="e">
        <f>IF($A80&lt;&gt;"",IF(VLOOKUP($A80,貼り付け用!$A$1:$BA$300,COLUMN(),FALSE)=0,"",VLOOKUP($A80,貼り付け用!$A$1:$BA$300,COLUMN(),FALSE)),"")</f>
        <v>#N/A</v>
      </c>
      <c r="G80" s="14" t="e">
        <f>IF($A80&lt;&gt;"",IF(VLOOKUP($A80,貼り付け用!$A$1:$BA$300,COLUMN(),FALSE)=0,"",VLOOKUP($A80,貼り付け用!$A$1:$BA$300,COLUMN(),FALSE)),"")</f>
        <v>#N/A</v>
      </c>
      <c r="H80" s="14" t="e">
        <f>IF($A80&lt;&gt;"",IF(VLOOKUP($A80,貼り付け用!$A$1:$BA$300,COLUMN(),FALSE)=0,"",VLOOKUP($A80,貼り付け用!$A$1:$BA$300,COLUMN(),FALSE)),"")</f>
        <v>#N/A</v>
      </c>
      <c r="I80" s="14" t="e">
        <f>IF($A80&lt;&gt;"",IF(VLOOKUP($A80,貼り付け用!$A$1:$BA$300,COLUMN(),FALSE)=0,"",VLOOKUP($A80,貼り付け用!$A$1:$BA$300,COLUMN(),FALSE)),"")</f>
        <v>#N/A</v>
      </c>
      <c r="J80" s="14" t="e">
        <f>IF($A80&lt;&gt;"",IF(VLOOKUP($A80,貼り付け用!$A$1:$BA$300,COLUMN(),FALSE)=0,"",VLOOKUP($A80,貼り付け用!$A$1:$BA$300,COLUMN(),FALSE)),"")</f>
        <v>#N/A</v>
      </c>
      <c r="K80" s="14" t="e">
        <f>IF($A80&lt;&gt;"",IF(VLOOKUP($A80,貼り付け用!$A$1:$BA$300,COLUMN(),FALSE)=0,"",VLOOKUP($A80,貼り付け用!$A$1:$BA$300,COLUMN(),FALSE)),"")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63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IF($A81&lt;&gt;"",IF(VLOOKUP($A81,貼り付け用!$A$1:$BA$300,COLUMN(),FALSE)=0,"",VLOOKUP($A81,貼り付け用!$A$1:$BA$300,COLUMN(),FALSE)),"")</f>
        <v>#N/A</v>
      </c>
      <c r="C81" s="3" t="e">
        <f>IF($A81&lt;&gt;"",IF(VLOOKUP($A81,貼り付け用!$A$1:$BA$300,COLUMN(),FALSE)=0,"",VLOOKUP($A81,貼り付け用!$A$1:$BA$300,COLUMN(),FALSE)),"")</f>
        <v>#N/A</v>
      </c>
      <c r="D81" s="3" t="e">
        <f>IF($A81&lt;&gt;"",IF(VLOOKUP($A81,貼り付け用!$A$1:$BA$300,COLUMN(),FALSE)=0,"",VLOOKUP($A81,貼り付け用!$A$1:$BA$300,COLUMN(),FALSE)),"")</f>
        <v>#N/A</v>
      </c>
      <c r="E81" s="3" t="e">
        <f>IF($A81&lt;&gt;"",IF(VLOOKUP($A81,貼り付け用!$A$1:$BA$300,COLUMN(),FALSE)=0,"",VLOOKUP($A81,貼り付け用!$A$1:$BA$300,COLUMN(),FALSE)),"")</f>
        <v>#N/A</v>
      </c>
      <c r="F81" s="3" t="e">
        <f>IF($A81&lt;&gt;"",IF(VLOOKUP($A81,貼り付け用!$A$1:$BA$300,COLUMN(),FALSE)=0,"",VLOOKUP($A81,貼り付け用!$A$1:$BA$300,COLUMN(),FALSE)),"")</f>
        <v>#N/A</v>
      </c>
      <c r="G81" s="3" t="e">
        <f>IF($A81&lt;&gt;"",IF(VLOOKUP($A81,貼り付け用!$A$1:$BA$300,COLUMN(),FALSE)=0,"",VLOOKUP($A81,貼り付け用!$A$1:$BA$300,COLUMN(),FALSE)),"")</f>
        <v>#N/A</v>
      </c>
      <c r="H81" s="3" t="e">
        <f>IF($A81&lt;&gt;"",IF(VLOOKUP($A81,貼り付け用!$A$1:$BA$300,COLUMN(),FALSE)=0,"",VLOOKUP($A81,貼り付け用!$A$1:$BA$300,COLUMN(),FALSE)),"")</f>
        <v>#N/A</v>
      </c>
      <c r="I81" s="3" t="e">
        <f>IF($A81&lt;&gt;"",IF(VLOOKUP($A81,貼り付け用!$A$1:$BA$300,COLUMN(),FALSE)=0,"",VLOOKUP($A81,貼り付け用!$A$1:$BA$300,COLUMN(),FALSE)),"")</f>
        <v>#N/A</v>
      </c>
      <c r="J81" s="3" t="e">
        <f>IF($A81&lt;&gt;"",IF(VLOOKUP($A81,貼り付け用!$A$1:$BA$300,COLUMN(),FALSE)=0,"",VLOOKUP($A81,貼り付け用!$A$1:$BA$300,COLUMN(),FALSE)),"")</f>
        <v>#N/A</v>
      </c>
      <c r="K81" s="3" t="e">
        <f>IF($A81&lt;&gt;"",IF(VLOOKUP($A81,貼り付け用!$A$1:$BA$300,COLUMN(),FALSE)=0,"",VLOOKUP($A81,貼り付け用!$A$1:$BA$300,COLUMN(),FALSE)),"")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63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IF($A82&lt;&gt;"",IF(VLOOKUP($A82,貼り付け用!$A$1:$BA$300,COLUMN(),FALSE)=0,"",VLOOKUP($A82,貼り付け用!$A$1:$BA$300,COLUMN(),FALSE)),"")</f>
        <v>#N/A</v>
      </c>
      <c r="C82" s="14" t="e">
        <f>IF($A82&lt;&gt;"",IF(VLOOKUP($A82,貼り付け用!$A$1:$BA$300,COLUMN(),FALSE)=0,"",VLOOKUP($A82,貼り付け用!$A$1:$BA$300,COLUMN(),FALSE)),"")</f>
        <v>#N/A</v>
      </c>
      <c r="D82" s="14" t="e">
        <f>IF($A82&lt;&gt;"",IF(VLOOKUP($A82,貼り付け用!$A$1:$BA$300,COLUMN(),FALSE)=0,"",VLOOKUP($A82,貼り付け用!$A$1:$BA$300,COLUMN(),FALSE)),"")</f>
        <v>#N/A</v>
      </c>
      <c r="E82" s="14" t="e">
        <f>IF($A82&lt;&gt;"",IF(VLOOKUP($A82,貼り付け用!$A$1:$BA$300,COLUMN(),FALSE)=0,"",VLOOKUP($A82,貼り付け用!$A$1:$BA$300,COLUMN(),FALSE)),"")</f>
        <v>#N/A</v>
      </c>
      <c r="F82" s="14" t="e">
        <f>IF($A82&lt;&gt;"",IF(VLOOKUP($A82,貼り付け用!$A$1:$BA$300,COLUMN(),FALSE)=0,"",VLOOKUP($A82,貼り付け用!$A$1:$BA$300,COLUMN(),FALSE)),"")</f>
        <v>#N/A</v>
      </c>
      <c r="G82" s="14" t="e">
        <f>IF($A82&lt;&gt;"",IF(VLOOKUP($A82,貼り付け用!$A$1:$BA$300,COLUMN(),FALSE)=0,"",VLOOKUP($A82,貼り付け用!$A$1:$BA$300,COLUMN(),FALSE)),"")</f>
        <v>#N/A</v>
      </c>
      <c r="H82" s="14" t="e">
        <f>IF($A82&lt;&gt;"",IF(VLOOKUP($A82,貼り付け用!$A$1:$BA$300,COLUMN(),FALSE)=0,"",VLOOKUP($A82,貼り付け用!$A$1:$BA$300,COLUMN(),FALSE)),"")</f>
        <v>#N/A</v>
      </c>
      <c r="I82" s="14" t="e">
        <f>IF($A82&lt;&gt;"",IF(VLOOKUP($A82,貼り付け用!$A$1:$BA$300,COLUMN(),FALSE)=0,"",VLOOKUP($A82,貼り付け用!$A$1:$BA$300,COLUMN(),FALSE)),"")</f>
        <v>#N/A</v>
      </c>
      <c r="J82" s="14" t="e">
        <f>IF($A82&lt;&gt;"",IF(VLOOKUP($A82,貼り付け用!$A$1:$BA$300,COLUMN(),FALSE)=0,"",VLOOKUP($A82,貼り付け用!$A$1:$BA$300,COLUMN(),FALSE)),"")</f>
        <v>#N/A</v>
      </c>
      <c r="K82" s="14" t="e">
        <f>IF($A82&lt;&gt;"",IF(VLOOKUP($A82,貼り付け用!$A$1:$BA$300,COLUMN(),FALSE)=0,"",VLOOKUP($A82,貼り付け用!$A$1:$BA$300,COLUMN(),FALSE)),"")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63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IF($A83&lt;&gt;"",IF(VLOOKUP($A83,貼り付け用!$A$1:$BA$300,COLUMN(),FALSE)=0,"",VLOOKUP($A83,貼り付け用!$A$1:$BA$300,COLUMN(),FALSE)),"")</f>
        <v>#N/A</v>
      </c>
      <c r="C83" s="3" t="e">
        <f>IF($A83&lt;&gt;"",IF(VLOOKUP($A83,貼り付け用!$A$1:$BA$300,COLUMN(),FALSE)=0,"",VLOOKUP($A83,貼り付け用!$A$1:$BA$300,COLUMN(),FALSE)),"")</f>
        <v>#N/A</v>
      </c>
      <c r="D83" s="3" t="e">
        <f>IF($A83&lt;&gt;"",IF(VLOOKUP($A83,貼り付け用!$A$1:$BA$300,COLUMN(),FALSE)=0,"",VLOOKUP($A83,貼り付け用!$A$1:$BA$300,COLUMN(),FALSE)),"")</f>
        <v>#N/A</v>
      </c>
      <c r="E83" s="3" t="e">
        <f>IF($A83&lt;&gt;"",IF(VLOOKUP($A83,貼り付け用!$A$1:$BA$300,COLUMN(),FALSE)=0,"",VLOOKUP($A83,貼り付け用!$A$1:$BA$300,COLUMN(),FALSE)),"")</f>
        <v>#N/A</v>
      </c>
      <c r="F83" s="3" t="e">
        <f>IF($A83&lt;&gt;"",IF(VLOOKUP($A83,貼り付け用!$A$1:$BA$300,COLUMN(),FALSE)=0,"",VLOOKUP($A83,貼り付け用!$A$1:$BA$300,COLUMN(),FALSE)),"")</f>
        <v>#N/A</v>
      </c>
      <c r="G83" s="3" t="e">
        <f>IF($A83&lt;&gt;"",IF(VLOOKUP($A83,貼り付け用!$A$1:$BA$300,COLUMN(),FALSE)=0,"",VLOOKUP($A83,貼り付け用!$A$1:$BA$300,COLUMN(),FALSE)),"")</f>
        <v>#N/A</v>
      </c>
      <c r="H83" s="3" t="e">
        <f>IF($A83&lt;&gt;"",IF(VLOOKUP($A83,貼り付け用!$A$1:$BA$300,COLUMN(),FALSE)=0,"",VLOOKUP($A83,貼り付け用!$A$1:$BA$300,COLUMN(),FALSE)),"")</f>
        <v>#N/A</v>
      </c>
      <c r="I83" s="3" t="e">
        <f>IF($A83&lt;&gt;"",IF(VLOOKUP($A83,貼り付け用!$A$1:$BA$300,COLUMN(),FALSE)=0,"",VLOOKUP($A83,貼り付け用!$A$1:$BA$300,COLUMN(),FALSE)),"")</f>
        <v>#N/A</v>
      </c>
      <c r="J83" s="3" t="e">
        <f>IF($A83&lt;&gt;"",IF(VLOOKUP($A83,貼り付け用!$A$1:$BA$300,COLUMN(),FALSE)=0,"",VLOOKUP($A83,貼り付け用!$A$1:$BA$300,COLUMN(),FALSE)),"")</f>
        <v>#N/A</v>
      </c>
      <c r="K83" s="3" t="e">
        <f>IF($A83&lt;&gt;"",IF(VLOOKUP($A83,貼り付け用!$A$1:$BA$300,COLUMN(),FALSE)=0,"",VLOOKUP($A83,貼り付け用!$A$1:$BA$300,COLUMN(),FALSE)),"")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63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IF($A84&lt;&gt;"",IF(VLOOKUP($A84,貼り付け用!$A$1:$BA$300,COLUMN(),FALSE)=0,"",VLOOKUP($A84,貼り付け用!$A$1:$BA$300,COLUMN(),FALSE)),"")</f>
        <v>#N/A</v>
      </c>
      <c r="C84" s="14" t="e">
        <f>IF($A84&lt;&gt;"",IF(VLOOKUP($A84,貼り付け用!$A$1:$BA$300,COLUMN(),FALSE)=0,"",VLOOKUP($A84,貼り付け用!$A$1:$BA$300,COLUMN(),FALSE)),"")</f>
        <v>#N/A</v>
      </c>
      <c r="D84" s="14" t="e">
        <f>IF($A84&lt;&gt;"",IF(VLOOKUP($A84,貼り付け用!$A$1:$BA$300,COLUMN(),FALSE)=0,"",VLOOKUP($A84,貼り付け用!$A$1:$BA$300,COLUMN(),FALSE)),"")</f>
        <v>#N/A</v>
      </c>
      <c r="E84" s="14" t="e">
        <f>IF($A84&lt;&gt;"",IF(VLOOKUP($A84,貼り付け用!$A$1:$BA$300,COLUMN(),FALSE)=0,"",VLOOKUP($A84,貼り付け用!$A$1:$BA$300,COLUMN(),FALSE)),"")</f>
        <v>#N/A</v>
      </c>
      <c r="F84" s="14" t="e">
        <f>IF($A84&lt;&gt;"",IF(VLOOKUP($A84,貼り付け用!$A$1:$BA$300,COLUMN(),FALSE)=0,"",VLOOKUP($A84,貼り付け用!$A$1:$BA$300,COLUMN(),FALSE)),"")</f>
        <v>#N/A</v>
      </c>
      <c r="G84" s="14" t="e">
        <f>IF($A84&lt;&gt;"",IF(VLOOKUP($A84,貼り付け用!$A$1:$BA$300,COLUMN(),FALSE)=0,"",VLOOKUP($A84,貼り付け用!$A$1:$BA$300,COLUMN(),FALSE)),"")</f>
        <v>#N/A</v>
      </c>
      <c r="H84" s="14" t="e">
        <f>IF($A84&lt;&gt;"",IF(VLOOKUP($A84,貼り付け用!$A$1:$BA$300,COLUMN(),FALSE)=0,"",VLOOKUP($A84,貼り付け用!$A$1:$BA$300,COLUMN(),FALSE)),"")</f>
        <v>#N/A</v>
      </c>
      <c r="I84" s="14" t="e">
        <f>IF($A84&lt;&gt;"",IF(VLOOKUP($A84,貼り付け用!$A$1:$BA$300,COLUMN(),FALSE)=0,"",VLOOKUP($A84,貼り付け用!$A$1:$BA$300,COLUMN(),FALSE)),"")</f>
        <v>#N/A</v>
      </c>
      <c r="J84" s="14" t="e">
        <f>IF($A84&lt;&gt;"",IF(VLOOKUP($A84,貼り付け用!$A$1:$BA$300,COLUMN(),FALSE)=0,"",VLOOKUP($A84,貼り付け用!$A$1:$BA$300,COLUMN(),FALSE)),"")</f>
        <v>#N/A</v>
      </c>
      <c r="K84" s="14" t="e">
        <f>IF($A84&lt;&gt;"",IF(VLOOKUP($A84,貼り付け用!$A$1:$BA$300,COLUMN(),FALSE)=0,"",VLOOKUP($A84,貼り付け用!$A$1:$BA$300,COLUMN(),FALSE)),"")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63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IF($A85&lt;&gt;"",IF(VLOOKUP($A85,貼り付け用!$A$1:$BA$300,COLUMN(),FALSE)=0,"",VLOOKUP($A85,貼り付け用!$A$1:$BA$300,COLUMN(),FALSE)),"")</f>
        <v>#N/A</v>
      </c>
      <c r="C85" s="3" t="e">
        <f>IF($A85&lt;&gt;"",IF(VLOOKUP($A85,貼り付け用!$A$1:$BA$300,COLUMN(),FALSE)=0,"",VLOOKUP($A85,貼り付け用!$A$1:$BA$300,COLUMN(),FALSE)),"")</f>
        <v>#N/A</v>
      </c>
      <c r="D85" s="3" t="e">
        <f>IF($A85&lt;&gt;"",IF(VLOOKUP($A85,貼り付け用!$A$1:$BA$300,COLUMN(),FALSE)=0,"",VLOOKUP($A85,貼り付け用!$A$1:$BA$300,COLUMN(),FALSE)),"")</f>
        <v>#N/A</v>
      </c>
      <c r="E85" s="3" t="e">
        <f>IF($A85&lt;&gt;"",IF(VLOOKUP($A85,貼り付け用!$A$1:$BA$300,COLUMN(),FALSE)=0,"",VLOOKUP($A85,貼り付け用!$A$1:$BA$300,COLUMN(),FALSE)),"")</f>
        <v>#N/A</v>
      </c>
      <c r="F85" s="3" t="e">
        <f>IF($A85&lt;&gt;"",IF(VLOOKUP($A85,貼り付け用!$A$1:$BA$300,COLUMN(),FALSE)=0,"",VLOOKUP($A85,貼り付け用!$A$1:$BA$300,COLUMN(),FALSE)),"")</f>
        <v>#N/A</v>
      </c>
      <c r="G85" s="3" t="e">
        <f>IF($A85&lt;&gt;"",IF(VLOOKUP($A85,貼り付け用!$A$1:$BA$300,COLUMN(),FALSE)=0,"",VLOOKUP($A85,貼り付け用!$A$1:$BA$300,COLUMN(),FALSE)),"")</f>
        <v>#N/A</v>
      </c>
      <c r="H85" s="3" t="e">
        <f>IF($A85&lt;&gt;"",IF(VLOOKUP($A85,貼り付け用!$A$1:$BA$300,COLUMN(),FALSE)=0,"",VLOOKUP($A85,貼り付け用!$A$1:$BA$300,COLUMN(),FALSE)),"")</f>
        <v>#N/A</v>
      </c>
      <c r="I85" s="3" t="e">
        <f>IF($A85&lt;&gt;"",IF(VLOOKUP($A85,貼り付け用!$A$1:$BA$300,COLUMN(),FALSE)=0,"",VLOOKUP($A85,貼り付け用!$A$1:$BA$300,COLUMN(),FALSE)),"")</f>
        <v>#N/A</v>
      </c>
      <c r="J85" s="3" t="e">
        <f>IF($A85&lt;&gt;"",IF(VLOOKUP($A85,貼り付け用!$A$1:$BA$300,COLUMN(),FALSE)=0,"",VLOOKUP($A85,貼り付け用!$A$1:$BA$300,COLUMN(),FALSE)),"")</f>
        <v>#N/A</v>
      </c>
      <c r="K85" s="3" t="e">
        <f>IF($A85&lt;&gt;"",IF(VLOOKUP($A85,貼り付け用!$A$1:$BA$300,COLUMN(),FALSE)=0,"",VLOOKUP($A85,貼り付け用!$A$1:$BA$300,COLUMN(),FALSE)),"")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63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IF($A86&lt;&gt;"",IF(VLOOKUP($A86,貼り付け用!$A$1:$BA$300,COLUMN(),FALSE)=0,"",VLOOKUP($A86,貼り付け用!$A$1:$BA$300,COLUMN(),FALSE)),"")</f>
        <v>#N/A</v>
      </c>
      <c r="C86" s="14" t="e">
        <f>IF($A86&lt;&gt;"",IF(VLOOKUP($A86,貼り付け用!$A$1:$BA$300,COLUMN(),FALSE)=0,"",VLOOKUP($A86,貼り付け用!$A$1:$BA$300,COLUMN(),FALSE)),"")</f>
        <v>#N/A</v>
      </c>
      <c r="D86" s="14" t="e">
        <f>IF($A86&lt;&gt;"",IF(VLOOKUP($A86,貼り付け用!$A$1:$BA$300,COLUMN(),FALSE)=0,"",VLOOKUP($A86,貼り付け用!$A$1:$BA$300,COLUMN(),FALSE)),"")</f>
        <v>#N/A</v>
      </c>
      <c r="E86" s="14" t="e">
        <f>IF($A86&lt;&gt;"",IF(VLOOKUP($A86,貼り付け用!$A$1:$BA$300,COLUMN(),FALSE)=0,"",VLOOKUP($A86,貼り付け用!$A$1:$BA$300,COLUMN(),FALSE)),"")</f>
        <v>#N/A</v>
      </c>
      <c r="F86" s="14" t="e">
        <f>IF($A86&lt;&gt;"",IF(VLOOKUP($A86,貼り付け用!$A$1:$BA$300,COLUMN(),FALSE)=0,"",VLOOKUP($A86,貼り付け用!$A$1:$BA$300,COLUMN(),FALSE)),"")</f>
        <v>#N/A</v>
      </c>
      <c r="G86" s="14" t="e">
        <f>IF($A86&lt;&gt;"",IF(VLOOKUP($A86,貼り付け用!$A$1:$BA$300,COLUMN(),FALSE)=0,"",VLOOKUP($A86,貼り付け用!$A$1:$BA$300,COLUMN(),FALSE)),"")</f>
        <v>#N/A</v>
      </c>
      <c r="H86" s="14" t="e">
        <f>IF($A86&lt;&gt;"",IF(VLOOKUP($A86,貼り付け用!$A$1:$BA$300,COLUMN(),FALSE)=0,"",VLOOKUP($A86,貼り付け用!$A$1:$BA$300,COLUMN(),FALSE)),"")</f>
        <v>#N/A</v>
      </c>
      <c r="I86" s="14" t="e">
        <f>IF($A86&lt;&gt;"",IF(VLOOKUP($A86,貼り付け用!$A$1:$BA$300,COLUMN(),FALSE)=0,"",VLOOKUP($A86,貼り付け用!$A$1:$BA$300,COLUMN(),FALSE)),"")</f>
        <v>#N/A</v>
      </c>
      <c r="J86" s="14" t="e">
        <f>IF($A86&lt;&gt;"",IF(VLOOKUP($A86,貼り付け用!$A$1:$BA$300,COLUMN(),FALSE)=0,"",VLOOKUP($A86,貼り付け用!$A$1:$BA$300,COLUMN(),FALSE)),"")</f>
        <v>#N/A</v>
      </c>
      <c r="K86" s="14" t="e">
        <f>IF($A86&lt;&gt;"",IF(VLOOKUP($A86,貼り付け用!$A$1:$BA$300,COLUMN(),FALSE)=0,"",VLOOKUP($A86,貼り付け用!$A$1:$BA$300,COLUMN(),FALSE)),"")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63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IF($A87&lt;&gt;"",IF(VLOOKUP($A87,貼り付け用!$A$1:$BA$300,COLUMN(),FALSE)=0,"",VLOOKUP($A87,貼り付け用!$A$1:$BA$300,COLUMN(),FALSE)),"")</f>
        <v>#N/A</v>
      </c>
      <c r="C87" s="3" t="e">
        <f>IF($A87&lt;&gt;"",IF(VLOOKUP($A87,貼り付け用!$A$1:$BA$300,COLUMN(),FALSE)=0,"",VLOOKUP($A87,貼り付け用!$A$1:$BA$300,COLUMN(),FALSE)),"")</f>
        <v>#N/A</v>
      </c>
      <c r="D87" s="3" t="e">
        <f>IF($A87&lt;&gt;"",IF(VLOOKUP($A87,貼り付け用!$A$1:$BA$300,COLUMN(),FALSE)=0,"",VLOOKUP($A87,貼り付け用!$A$1:$BA$300,COLUMN(),FALSE)),"")</f>
        <v>#N/A</v>
      </c>
      <c r="E87" s="3" t="e">
        <f>IF($A87&lt;&gt;"",IF(VLOOKUP($A87,貼り付け用!$A$1:$BA$300,COLUMN(),FALSE)=0,"",VLOOKUP($A87,貼り付け用!$A$1:$BA$300,COLUMN(),FALSE)),"")</f>
        <v>#N/A</v>
      </c>
      <c r="F87" s="3" t="e">
        <f>IF($A87&lt;&gt;"",IF(VLOOKUP($A87,貼り付け用!$A$1:$BA$300,COLUMN(),FALSE)=0,"",VLOOKUP($A87,貼り付け用!$A$1:$BA$300,COLUMN(),FALSE)),"")</f>
        <v>#N/A</v>
      </c>
      <c r="G87" s="3" t="e">
        <f>IF($A87&lt;&gt;"",IF(VLOOKUP($A87,貼り付け用!$A$1:$BA$300,COLUMN(),FALSE)=0,"",VLOOKUP($A87,貼り付け用!$A$1:$BA$300,COLUMN(),FALSE)),"")</f>
        <v>#N/A</v>
      </c>
      <c r="H87" s="3" t="e">
        <f>IF($A87&lt;&gt;"",IF(VLOOKUP($A87,貼り付け用!$A$1:$BA$300,COLUMN(),FALSE)=0,"",VLOOKUP($A87,貼り付け用!$A$1:$BA$300,COLUMN(),FALSE)),"")</f>
        <v>#N/A</v>
      </c>
      <c r="I87" s="3" t="e">
        <f>IF($A87&lt;&gt;"",IF(VLOOKUP($A87,貼り付け用!$A$1:$BA$300,COLUMN(),FALSE)=0,"",VLOOKUP($A87,貼り付け用!$A$1:$BA$300,COLUMN(),FALSE)),"")</f>
        <v>#N/A</v>
      </c>
      <c r="J87" s="3" t="e">
        <f>IF($A87&lt;&gt;"",IF(VLOOKUP($A87,貼り付け用!$A$1:$BA$300,COLUMN(),FALSE)=0,"",VLOOKUP($A87,貼り付け用!$A$1:$BA$300,COLUMN(),FALSE)),"")</f>
        <v>#N/A</v>
      </c>
      <c r="K87" s="3" t="e">
        <f>IF($A87&lt;&gt;"",IF(VLOOKUP($A87,貼り付け用!$A$1:$BA$300,COLUMN(),FALSE)=0,"",VLOOKUP($A87,貼り付け用!$A$1:$BA$300,COLUMN(),FALSE)),"")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63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IF($A88&lt;&gt;"",IF(VLOOKUP($A88,貼り付け用!$A$1:$BA$300,COLUMN(),FALSE)=0,"",VLOOKUP($A88,貼り付け用!$A$1:$BA$300,COLUMN(),FALSE)),"")</f>
        <v>#N/A</v>
      </c>
      <c r="C88" s="14" t="e">
        <f>IF($A88&lt;&gt;"",IF(VLOOKUP($A88,貼り付け用!$A$1:$BA$300,COLUMN(),FALSE)=0,"",VLOOKUP($A88,貼り付け用!$A$1:$BA$300,COLUMN(),FALSE)),"")</f>
        <v>#N/A</v>
      </c>
      <c r="D88" s="14" t="e">
        <f>IF($A88&lt;&gt;"",IF(VLOOKUP($A88,貼り付け用!$A$1:$BA$300,COLUMN(),FALSE)=0,"",VLOOKUP($A88,貼り付け用!$A$1:$BA$300,COLUMN(),FALSE)),"")</f>
        <v>#N/A</v>
      </c>
      <c r="E88" s="14" t="e">
        <f>IF($A88&lt;&gt;"",IF(VLOOKUP($A88,貼り付け用!$A$1:$BA$300,COLUMN(),FALSE)=0,"",VLOOKUP($A88,貼り付け用!$A$1:$BA$300,COLUMN(),FALSE)),"")</f>
        <v>#N/A</v>
      </c>
      <c r="F88" s="14" t="e">
        <f>IF($A88&lt;&gt;"",IF(VLOOKUP($A88,貼り付け用!$A$1:$BA$300,COLUMN(),FALSE)=0,"",VLOOKUP($A88,貼り付け用!$A$1:$BA$300,COLUMN(),FALSE)),"")</f>
        <v>#N/A</v>
      </c>
      <c r="G88" s="14" t="e">
        <f>IF($A88&lt;&gt;"",IF(VLOOKUP($A88,貼り付け用!$A$1:$BA$300,COLUMN(),FALSE)=0,"",VLOOKUP($A88,貼り付け用!$A$1:$BA$300,COLUMN(),FALSE)),"")</f>
        <v>#N/A</v>
      </c>
      <c r="H88" s="14" t="e">
        <f>IF($A88&lt;&gt;"",IF(VLOOKUP($A88,貼り付け用!$A$1:$BA$300,COLUMN(),FALSE)=0,"",VLOOKUP($A88,貼り付け用!$A$1:$BA$300,COLUMN(),FALSE)),"")</f>
        <v>#N/A</v>
      </c>
      <c r="I88" s="14" t="e">
        <f>IF($A88&lt;&gt;"",IF(VLOOKUP($A88,貼り付け用!$A$1:$BA$300,COLUMN(),FALSE)=0,"",VLOOKUP($A88,貼り付け用!$A$1:$BA$300,COLUMN(),FALSE)),"")</f>
        <v>#N/A</v>
      </c>
      <c r="J88" s="14" t="e">
        <f>IF($A88&lt;&gt;"",IF(VLOOKUP($A88,貼り付け用!$A$1:$BA$300,COLUMN(),FALSE)=0,"",VLOOKUP($A88,貼り付け用!$A$1:$BA$300,COLUMN(),FALSE)),"")</f>
        <v>#N/A</v>
      </c>
      <c r="K88" s="14" t="e">
        <f>IF($A88&lt;&gt;"",IF(VLOOKUP($A88,貼り付け用!$A$1:$BA$300,COLUMN(),FALSE)=0,"",VLOOKUP($A88,貼り付け用!$A$1:$BA$300,COLUMN(),FALSE)),"")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63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IF($A89&lt;&gt;"",IF(VLOOKUP($A89,貼り付け用!$A$1:$BA$300,COLUMN(),FALSE)=0,"",VLOOKUP($A89,貼り付け用!$A$1:$BA$300,COLUMN(),FALSE)),"")</f>
        <v>#N/A</v>
      </c>
      <c r="C89" s="3" t="e">
        <f>IF($A89&lt;&gt;"",IF(VLOOKUP($A89,貼り付け用!$A$1:$BA$300,COLUMN(),FALSE)=0,"",VLOOKUP($A89,貼り付け用!$A$1:$BA$300,COLUMN(),FALSE)),"")</f>
        <v>#N/A</v>
      </c>
      <c r="D89" s="3" t="e">
        <f>IF($A89&lt;&gt;"",IF(VLOOKUP($A89,貼り付け用!$A$1:$BA$300,COLUMN(),FALSE)=0,"",VLOOKUP($A89,貼り付け用!$A$1:$BA$300,COLUMN(),FALSE)),"")</f>
        <v>#N/A</v>
      </c>
      <c r="E89" s="3" t="e">
        <f>IF($A89&lt;&gt;"",IF(VLOOKUP($A89,貼り付け用!$A$1:$BA$300,COLUMN(),FALSE)=0,"",VLOOKUP($A89,貼り付け用!$A$1:$BA$300,COLUMN(),FALSE)),"")</f>
        <v>#N/A</v>
      </c>
      <c r="F89" s="3" t="e">
        <f>IF($A89&lt;&gt;"",IF(VLOOKUP($A89,貼り付け用!$A$1:$BA$300,COLUMN(),FALSE)=0,"",VLOOKUP($A89,貼り付け用!$A$1:$BA$300,COLUMN(),FALSE)),"")</f>
        <v>#N/A</v>
      </c>
      <c r="G89" s="3" t="e">
        <f>IF($A89&lt;&gt;"",IF(VLOOKUP($A89,貼り付け用!$A$1:$BA$300,COLUMN(),FALSE)=0,"",VLOOKUP($A89,貼り付け用!$A$1:$BA$300,COLUMN(),FALSE)),"")</f>
        <v>#N/A</v>
      </c>
      <c r="H89" s="3" t="e">
        <f>IF($A89&lt;&gt;"",IF(VLOOKUP($A89,貼り付け用!$A$1:$BA$300,COLUMN(),FALSE)=0,"",VLOOKUP($A89,貼り付け用!$A$1:$BA$300,COLUMN(),FALSE)),"")</f>
        <v>#N/A</v>
      </c>
      <c r="I89" s="3" t="e">
        <f>IF($A89&lt;&gt;"",IF(VLOOKUP($A89,貼り付け用!$A$1:$BA$300,COLUMN(),FALSE)=0,"",VLOOKUP($A89,貼り付け用!$A$1:$BA$300,COLUMN(),FALSE)),"")</f>
        <v>#N/A</v>
      </c>
      <c r="J89" s="3" t="e">
        <f>IF($A89&lt;&gt;"",IF(VLOOKUP($A89,貼り付け用!$A$1:$BA$300,COLUMN(),FALSE)=0,"",VLOOKUP($A89,貼り付け用!$A$1:$BA$300,COLUMN(),FALSE)),"")</f>
        <v>#N/A</v>
      </c>
      <c r="K89" s="3" t="e">
        <f>IF($A89&lt;&gt;"",IF(VLOOKUP($A89,貼り付け用!$A$1:$BA$300,COLUMN(),FALSE)=0,"",VLOOKUP($A89,貼り付け用!$A$1:$BA$300,COLUMN(),FALSE)),"")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63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IF($A90&lt;&gt;"",IF(VLOOKUP($A90,貼り付け用!$A$1:$BA$300,COLUMN(),FALSE)=0,"",VLOOKUP($A90,貼り付け用!$A$1:$BA$300,COLUMN(),FALSE)),"")</f>
        <v>#N/A</v>
      </c>
      <c r="C90" s="14" t="e">
        <f>IF($A90&lt;&gt;"",IF(VLOOKUP($A90,貼り付け用!$A$1:$BA$300,COLUMN(),FALSE)=0,"",VLOOKUP($A90,貼り付け用!$A$1:$BA$300,COLUMN(),FALSE)),"")</f>
        <v>#N/A</v>
      </c>
      <c r="D90" s="14" t="e">
        <f>IF($A90&lt;&gt;"",IF(VLOOKUP($A90,貼り付け用!$A$1:$BA$300,COLUMN(),FALSE)=0,"",VLOOKUP($A90,貼り付け用!$A$1:$BA$300,COLUMN(),FALSE)),"")</f>
        <v>#N/A</v>
      </c>
      <c r="E90" s="14" t="e">
        <f>IF($A90&lt;&gt;"",IF(VLOOKUP($A90,貼り付け用!$A$1:$BA$300,COLUMN(),FALSE)=0,"",VLOOKUP($A90,貼り付け用!$A$1:$BA$300,COLUMN(),FALSE)),"")</f>
        <v>#N/A</v>
      </c>
      <c r="F90" s="14" t="e">
        <f>IF($A90&lt;&gt;"",IF(VLOOKUP($A90,貼り付け用!$A$1:$BA$300,COLUMN(),FALSE)=0,"",VLOOKUP($A90,貼り付け用!$A$1:$BA$300,COLUMN(),FALSE)),"")</f>
        <v>#N/A</v>
      </c>
      <c r="G90" s="14" t="e">
        <f>IF($A90&lt;&gt;"",IF(VLOOKUP($A90,貼り付け用!$A$1:$BA$300,COLUMN(),FALSE)=0,"",VLOOKUP($A90,貼り付け用!$A$1:$BA$300,COLUMN(),FALSE)),"")</f>
        <v>#N/A</v>
      </c>
      <c r="H90" s="14" t="e">
        <f>IF($A90&lt;&gt;"",IF(VLOOKUP($A90,貼り付け用!$A$1:$BA$300,COLUMN(),FALSE)=0,"",VLOOKUP($A90,貼り付け用!$A$1:$BA$300,COLUMN(),FALSE)),"")</f>
        <v>#N/A</v>
      </c>
      <c r="I90" s="14" t="e">
        <f>IF($A90&lt;&gt;"",IF(VLOOKUP($A90,貼り付け用!$A$1:$BA$300,COLUMN(),FALSE)=0,"",VLOOKUP($A90,貼り付け用!$A$1:$BA$300,COLUMN(),FALSE)),"")</f>
        <v>#N/A</v>
      </c>
      <c r="J90" s="14" t="e">
        <f>IF($A90&lt;&gt;"",IF(VLOOKUP($A90,貼り付け用!$A$1:$BA$300,COLUMN(),FALSE)=0,"",VLOOKUP($A90,貼り付け用!$A$1:$BA$300,COLUMN(),FALSE)),"")</f>
        <v>#N/A</v>
      </c>
      <c r="K90" s="14" t="e">
        <f>IF($A90&lt;&gt;"",IF(VLOOKUP($A90,貼り付け用!$A$1:$BA$300,COLUMN(),FALSE)=0,"",VLOOKUP($A90,貼り付け用!$A$1:$BA$300,COLUMN(),FALSE)),"")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63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IF($A91&lt;&gt;"",IF(VLOOKUP($A91,貼り付け用!$A$1:$BA$300,COLUMN(),FALSE)=0,"",VLOOKUP($A91,貼り付け用!$A$1:$BA$300,COLUMN(),FALSE)),"")</f>
        <v>#N/A</v>
      </c>
      <c r="C91" s="3" t="e">
        <f>IF($A91&lt;&gt;"",IF(VLOOKUP($A91,貼り付け用!$A$1:$BA$300,COLUMN(),FALSE)=0,"",VLOOKUP($A91,貼り付け用!$A$1:$BA$300,COLUMN(),FALSE)),"")</f>
        <v>#N/A</v>
      </c>
      <c r="D91" s="3" t="e">
        <f>IF($A91&lt;&gt;"",IF(VLOOKUP($A91,貼り付け用!$A$1:$BA$300,COLUMN(),FALSE)=0,"",VLOOKUP($A91,貼り付け用!$A$1:$BA$300,COLUMN(),FALSE)),"")</f>
        <v>#N/A</v>
      </c>
      <c r="E91" s="3" t="e">
        <f>IF($A91&lt;&gt;"",IF(VLOOKUP($A91,貼り付け用!$A$1:$BA$300,COLUMN(),FALSE)=0,"",VLOOKUP($A91,貼り付け用!$A$1:$BA$300,COLUMN(),FALSE)),"")</f>
        <v>#N/A</v>
      </c>
      <c r="F91" s="3" t="e">
        <f>IF($A91&lt;&gt;"",IF(VLOOKUP($A91,貼り付け用!$A$1:$BA$300,COLUMN(),FALSE)=0,"",VLOOKUP($A91,貼り付け用!$A$1:$BA$300,COLUMN(),FALSE)),"")</f>
        <v>#N/A</v>
      </c>
      <c r="G91" s="3" t="e">
        <f>IF($A91&lt;&gt;"",IF(VLOOKUP($A91,貼り付け用!$A$1:$BA$300,COLUMN(),FALSE)=0,"",VLOOKUP($A91,貼り付け用!$A$1:$BA$300,COLUMN(),FALSE)),"")</f>
        <v>#N/A</v>
      </c>
      <c r="H91" s="3" t="e">
        <f>IF($A91&lt;&gt;"",IF(VLOOKUP($A91,貼り付け用!$A$1:$BA$300,COLUMN(),FALSE)=0,"",VLOOKUP($A91,貼り付け用!$A$1:$BA$300,COLUMN(),FALSE)),"")</f>
        <v>#N/A</v>
      </c>
      <c r="I91" s="3" t="e">
        <f>IF($A91&lt;&gt;"",IF(VLOOKUP($A91,貼り付け用!$A$1:$BA$300,COLUMN(),FALSE)=0,"",VLOOKUP($A91,貼り付け用!$A$1:$BA$300,COLUMN(),FALSE)),"")</f>
        <v>#N/A</v>
      </c>
      <c r="J91" s="3" t="e">
        <f>IF($A91&lt;&gt;"",IF(VLOOKUP($A91,貼り付け用!$A$1:$BA$300,COLUMN(),FALSE)=0,"",VLOOKUP($A91,貼り付け用!$A$1:$BA$300,COLUMN(),FALSE)),"")</f>
        <v>#N/A</v>
      </c>
      <c r="K91" s="3" t="e">
        <f>IF($A91&lt;&gt;"",IF(VLOOKUP($A91,貼り付け用!$A$1:$BA$300,COLUMN(),FALSE)=0,"",VLOOKUP($A91,貼り付け用!$A$1:$BA$300,COLUMN(),FALSE)),"")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63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IF($A92&lt;&gt;"",IF(VLOOKUP($A92,貼り付け用!$A$1:$BA$300,COLUMN(),FALSE)=0,"",VLOOKUP($A92,貼り付け用!$A$1:$BA$300,COLUMN(),FALSE)),"")</f>
        <v>#N/A</v>
      </c>
      <c r="C92" s="14" t="e">
        <f>IF($A92&lt;&gt;"",IF(VLOOKUP($A92,貼り付け用!$A$1:$BA$300,COLUMN(),FALSE)=0,"",VLOOKUP($A92,貼り付け用!$A$1:$BA$300,COLUMN(),FALSE)),"")</f>
        <v>#N/A</v>
      </c>
      <c r="D92" s="14" t="e">
        <f>IF($A92&lt;&gt;"",IF(VLOOKUP($A92,貼り付け用!$A$1:$BA$300,COLUMN(),FALSE)=0,"",VLOOKUP($A92,貼り付け用!$A$1:$BA$300,COLUMN(),FALSE)),"")</f>
        <v>#N/A</v>
      </c>
      <c r="E92" s="14" t="e">
        <f>IF($A92&lt;&gt;"",IF(VLOOKUP($A92,貼り付け用!$A$1:$BA$300,COLUMN(),FALSE)=0,"",VLOOKUP($A92,貼り付け用!$A$1:$BA$300,COLUMN(),FALSE)),"")</f>
        <v>#N/A</v>
      </c>
      <c r="F92" s="14" t="e">
        <f>IF($A92&lt;&gt;"",IF(VLOOKUP($A92,貼り付け用!$A$1:$BA$300,COLUMN(),FALSE)=0,"",VLOOKUP($A92,貼り付け用!$A$1:$BA$300,COLUMN(),FALSE)),"")</f>
        <v>#N/A</v>
      </c>
      <c r="G92" s="14" t="e">
        <f>IF($A92&lt;&gt;"",IF(VLOOKUP($A92,貼り付け用!$A$1:$BA$300,COLUMN(),FALSE)=0,"",VLOOKUP($A92,貼り付け用!$A$1:$BA$300,COLUMN(),FALSE)),"")</f>
        <v>#N/A</v>
      </c>
      <c r="H92" s="14" t="e">
        <f>IF($A92&lt;&gt;"",IF(VLOOKUP($A92,貼り付け用!$A$1:$BA$300,COLUMN(),FALSE)=0,"",VLOOKUP($A92,貼り付け用!$A$1:$BA$300,COLUMN(),FALSE)),"")</f>
        <v>#N/A</v>
      </c>
      <c r="I92" s="14" t="e">
        <f>IF($A92&lt;&gt;"",IF(VLOOKUP($A92,貼り付け用!$A$1:$BA$300,COLUMN(),FALSE)=0,"",VLOOKUP($A92,貼り付け用!$A$1:$BA$300,COLUMN(),FALSE)),"")</f>
        <v>#N/A</v>
      </c>
      <c r="J92" s="14" t="e">
        <f>IF($A92&lt;&gt;"",IF(VLOOKUP($A92,貼り付け用!$A$1:$BA$300,COLUMN(),FALSE)=0,"",VLOOKUP($A92,貼り付け用!$A$1:$BA$300,COLUMN(),FALSE)),"")</f>
        <v>#N/A</v>
      </c>
      <c r="K92" s="14" t="e">
        <f>IF($A92&lt;&gt;"",IF(VLOOKUP($A92,貼り付け用!$A$1:$BA$300,COLUMN(),FALSE)=0,"",VLOOKUP($A92,貼り付け用!$A$1:$BA$300,COLUMN(),FALSE)),"")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63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IF($A93&lt;&gt;"",IF(VLOOKUP($A93,貼り付け用!$A$1:$BA$300,COLUMN(),FALSE)=0,"",VLOOKUP($A93,貼り付け用!$A$1:$BA$300,COLUMN(),FALSE)),"")</f>
        <v>#N/A</v>
      </c>
      <c r="C93" s="3" t="e">
        <f>IF($A93&lt;&gt;"",IF(VLOOKUP($A93,貼り付け用!$A$1:$BA$300,COLUMN(),FALSE)=0,"",VLOOKUP($A93,貼り付け用!$A$1:$BA$300,COLUMN(),FALSE)),"")</f>
        <v>#N/A</v>
      </c>
      <c r="D93" s="3" t="e">
        <f>IF($A93&lt;&gt;"",IF(VLOOKUP($A93,貼り付け用!$A$1:$BA$300,COLUMN(),FALSE)=0,"",VLOOKUP($A93,貼り付け用!$A$1:$BA$300,COLUMN(),FALSE)),"")</f>
        <v>#N/A</v>
      </c>
      <c r="E93" s="3" t="e">
        <f>IF($A93&lt;&gt;"",IF(VLOOKUP($A93,貼り付け用!$A$1:$BA$300,COLUMN(),FALSE)=0,"",VLOOKUP($A93,貼り付け用!$A$1:$BA$300,COLUMN(),FALSE)),"")</f>
        <v>#N/A</v>
      </c>
      <c r="F93" s="3" t="e">
        <f>IF($A93&lt;&gt;"",IF(VLOOKUP($A93,貼り付け用!$A$1:$BA$300,COLUMN(),FALSE)=0,"",VLOOKUP($A93,貼り付け用!$A$1:$BA$300,COLUMN(),FALSE)),"")</f>
        <v>#N/A</v>
      </c>
      <c r="G93" s="3" t="e">
        <f>IF($A93&lt;&gt;"",IF(VLOOKUP($A93,貼り付け用!$A$1:$BA$300,COLUMN(),FALSE)=0,"",VLOOKUP($A93,貼り付け用!$A$1:$BA$300,COLUMN(),FALSE)),"")</f>
        <v>#N/A</v>
      </c>
      <c r="H93" s="3" t="e">
        <f>IF($A93&lt;&gt;"",IF(VLOOKUP($A93,貼り付け用!$A$1:$BA$300,COLUMN(),FALSE)=0,"",VLOOKUP($A93,貼り付け用!$A$1:$BA$300,COLUMN(),FALSE)),"")</f>
        <v>#N/A</v>
      </c>
      <c r="I93" s="3" t="e">
        <f>IF($A93&lt;&gt;"",IF(VLOOKUP($A93,貼り付け用!$A$1:$BA$300,COLUMN(),FALSE)=0,"",VLOOKUP($A93,貼り付け用!$A$1:$BA$300,COLUMN(),FALSE)),"")</f>
        <v>#N/A</v>
      </c>
      <c r="J93" s="3" t="e">
        <f>IF($A93&lt;&gt;"",IF(VLOOKUP($A93,貼り付け用!$A$1:$BA$300,COLUMN(),FALSE)=0,"",VLOOKUP($A93,貼り付け用!$A$1:$BA$300,COLUMN(),FALSE)),"")</f>
        <v>#N/A</v>
      </c>
      <c r="K93" s="3" t="e">
        <f>IF($A93&lt;&gt;"",IF(VLOOKUP($A93,貼り付け用!$A$1:$BA$300,COLUMN(),FALSE)=0,"",VLOOKUP($A93,貼り付け用!$A$1:$BA$300,COLUMN(),FALSE)),"")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63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IF($A94&lt;&gt;"",IF(VLOOKUP($A94,貼り付け用!$A$1:$BA$300,COLUMN(),FALSE)=0,"",VLOOKUP($A94,貼り付け用!$A$1:$BA$300,COLUMN(),FALSE)),"")</f>
        <v>#N/A</v>
      </c>
      <c r="C94" s="14" t="e">
        <f>IF($A94&lt;&gt;"",IF(VLOOKUP($A94,貼り付け用!$A$1:$BA$300,COLUMN(),FALSE)=0,"",VLOOKUP($A94,貼り付け用!$A$1:$BA$300,COLUMN(),FALSE)),"")</f>
        <v>#N/A</v>
      </c>
      <c r="D94" s="14" t="e">
        <f>IF($A94&lt;&gt;"",IF(VLOOKUP($A94,貼り付け用!$A$1:$BA$300,COLUMN(),FALSE)=0,"",VLOOKUP($A94,貼り付け用!$A$1:$BA$300,COLUMN(),FALSE)),"")</f>
        <v>#N/A</v>
      </c>
      <c r="E94" s="14" t="e">
        <f>IF($A94&lt;&gt;"",IF(VLOOKUP($A94,貼り付け用!$A$1:$BA$300,COLUMN(),FALSE)=0,"",VLOOKUP($A94,貼り付け用!$A$1:$BA$300,COLUMN(),FALSE)),"")</f>
        <v>#N/A</v>
      </c>
      <c r="F94" s="14" t="e">
        <f>IF($A94&lt;&gt;"",IF(VLOOKUP($A94,貼り付け用!$A$1:$BA$300,COLUMN(),FALSE)=0,"",VLOOKUP($A94,貼り付け用!$A$1:$BA$300,COLUMN(),FALSE)),"")</f>
        <v>#N/A</v>
      </c>
      <c r="G94" s="14" t="e">
        <f>IF($A94&lt;&gt;"",IF(VLOOKUP($A94,貼り付け用!$A$1:$BA$300,COLUMN(),FALSE)=0,"",VLOOKUP($A94,貼り付け用!$A$1:$BA$300,COLUMN(),FALSE)),"")</f>
        <v>#N/A</v>
      </c>
      <c r="H94" s="14" t="e">
        <f>IF($A94&lt;&gt;"",IF(VLOOKUP($A94,貼り付け用!$A$1:$BA$300,COLUMN(),FALSE)=0,"",VLOOKUP($A94,貼り付け用!$A$1:$BA$300,COLUMN(),FALSE)),"")</f>
        <v>#N/A</v>
      </c>
      <c r="I94" s="14" t="e">
        <f>IF($A94&lt;&gt;"",IF(VLOOKUP($A94,貼り付け用!$A$1:$BA$300,COLUMN(),FALSE)=0,"",VLOOKUP($A94,貼り付け用!$A$1:$BA$300,COLUMN(),FALSE)),"")</f>
        <v>#N/A</v>
      </c>
      <c r="J94" s="14" t="e">
        <f>IF($A94&lt;&gt;"",IF(VLOOKUP($A94,貼り付け用!$A$1:$BA$300,COLUMN(),FALSE)=0,"",VLOOKUP($A94,貼り付け用!$A$1:$BA$300,COLUMN(),FALSE)),"")</f>
        <v>#N/A</v>
      </c>
      <c r="K94" s="14" t="e">
        <f>IF($A94&lt;&gt;"",IF(VLOOKUP($A94,貼り付け用!$A$1:$BA$300,COLUMN(),FALSE)=0,"",VLOOKUP($A94,貼り付け用!$A$1:$BA$300,COLUMN(),FALSE)),"")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63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IF($A95&lt;&gt;"",IF(VLOOKUP($A95,貼り付け用!$A$1:$BA$300,COLUMN(),FALSE)=0,"",VLOOKUP($A95,貼り付け用!$A$1:$BA$300,COLUMN(),FALSE)),"")</f>
        <v>#N/A</v>
      </c>
      <c r="C95" s="3" t="e">
        <f>IF($A95&lt;&gt;"",IF(VLOOKUP($A95,貼り付け用!$A$1:$BA$300,COLUMN(),FALSE)=0,"",VLOOKUP($A95,貼り付け用!$A$1:$BA$300,COLUMN(),FALSE)),"")</f>
        <v>#N/A</v>
      </c>
      <c r="D95" s="3" t="e">
        <f>IF($A95&lt;&gt;"",IF(VLOOKUP($A95,貼り付け用!$A$1:$BA$300,COLUMN(),FALSE)=0,"",VLOOKUP($A95,貼り付け用!$A$1:$BA$300,COLUMN(),FALSE)),"")</f>
        <v>#N/A</v>
      </c>
      <c r="E95" s="3" t="e">
        <f>IF($A95&lt;&gt;"",IF(VLOOKUP($A95,貼り付け用!$A$1:$BA$300,COLUMN(),FALSE)=0,"",VLOOKUP($A95,貼り付け用!$A$1:$BA$300,COLUMN(),FALSE)),"")</f>
        <v>#N/A</v>
      </c>
      <c r="F95" s="3" t="e">
        <f>IF($A95&lt;&gt;"",IF(VLOOKUP($A95,貼り付け用!$A$1:$BA$300,COLUMN(),FALSE)=0,"",VLOOKUP($A95,貼り付け用!$A$1:$BA$300,COLUMN(),FALSE)),"")</f>
        <v>#N/A</v>
      </c>
      <c r="G95" s="3" t="e">
        <f>IF($A95&lt;&gt;"",IF(VLOOKUP($A95,貼り付け用!$A$1:$BA$300,COLUMN(),FALSE)=0,"",VLOOKUP($A95,貼り付け用!$A$1:$BA$300,COLUMN(),FALSE)),"")</f>
        <v>#N/A</v>
      </c>
      <c r="H95" s="3" t="e">
        <f>IF($A95&lt;&gt;"",IF(VLOOKUP($A95,貼り付け用!$A$1:$BA$300,COLUMN(),FALSE)=0,"",VLOOKUP($A95,貼り付け用!$A$1:$BA$300,COLUMN(),FALSE)),"")</f>
        <v>#N/A</v>
      </c>
      <c r="I95" s="3" t="e">
        <f>IF($A95&lt;&gt;"",IF(VLOOKUP($A95,貼り付け用!$A$1:$BA$300,COLUMN(),FALSE)=0,"",VLOOKUP($A95,貼り付け用!$A$1:$BA$300,COLUMN(),FALSE)),"")</f>
        <v>#N/A</v>
      </c>
      <c r="J95" s="3" t="e">
        <f>IF($A95&lt;&gt;"",IF(VLOOKUP($A95,貼り付け用!$A$1:$BA$300,COLUMN(),FALSE)=0,"",VLOOKUP($A95,貼り付け用!$A$1:$BA$300,COLUMN(),FALSE)),"")</f>
        <v>#N/A</v>
      </c>
      <c r="K95" s="3" t="e">
        <f>IF($A95&lt;&gt;"",IF(VLOOKUP($A95,貼り付け用!$A$1:$BA$300,COLUMN(),FALSE)=0,"",VLOOKUP($A95,貼り付け用!$A$1:$BA$300,COLUMN(),FALSE)),"")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63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IF($A96&lt;&gt;"",IF(VLOOKUP($A96,貼り付け用!$A$1:$BA$300,COLUMN(),FALSE)=0,"",VLOOKUP($A96,貼り付け用!$A$1:$BA$300,COLUMN(),FALSE)),"")</f>
        <v>#N/A</v>
      </c>
      <c r="C96" s="14" t="e">
        <f>IF($A96&lt;&gt;"",IF(VLOOKUP($A96,貼り付け用!$A$1:$BA$300,COLUMN(),FALSE)=0,"",VLOOKUP($A96,貼り付け用!$A$1:$BA$300,COLUMN(),FALSE)),"")</f>
        <v>#N/A</v>
      </c>
      <c r="D96" s="14" t="e">
        <f>IF($A96&lt;&gt;"",IF(VLOOKUP($A96,貼り付け用!$A$1:$BA$300,COLUMN(),FALSE)=0,"",VLOOKUP($A96,貼り付け用!$A$1:$BA$300,COLUMN(),FALSE)),"")</f>
        <v>#N/A</v>
      </c>
      <c r="E96" s="14" t="e">
        <f>IF($A96&lt;&gt;"",IF(VLOOKUP($A96,貼り付け用!$A$1:$BA$300,COLUMN(),FALSE)=0,"",VLOOKUP($A96,貼り付け用!$A$1:$BA$300,COLUMN(),FALSE)),"")</f>
        <v>#N/A</v>
      </c>
      <c r="F96" s="14" t="e">
        <f>IF($A96&lt;&gt;"",IF(VLOOKUP($A96,貼り付け用!$A$1:$BA$300,COLUMN(),FALSE)=0,"",VLOOKUP($A96,貼り付け用!$A$1:$BA$300,COLUMN(),FALSE)),"")</f>
        <v>#N/A</v>
      </c>
      <c r="G96" s="14" t="e">
        <f>IF($A96&lt;&gt;"",IF(VLOOKUP($A96,貼り付け用!$A$1:$BA$300,COLUMN(),FALSE)=0,"",VLOOKUP($A96,貼り付け用!$A$1:$BA$300,COLUMN(),FALSE)),"")</f>
        <v>#N/A</v>
      </c>
      <c r="H96" s="14" t="e">
        <f>IF($A96&lt;&gt;"",IF(VLOOKUP($A96,貼り付け用!$A$1:$BA$300,COLUMN(),FALSE)=0,"",VLOOKUP($A96,貼り付け用!$A$1:$BA$300,COLUMN(),FALSE)),"")</f>
        <v>#N/A</v>
      </c>
      <c r="I96" s="14" t="e">
        <f>IF($A96&lt;&gt;"",IF(VLOOKUP($A96,貼り付け用!$A$1:$BA$300,COLUMN(),FALSE)=0,"",VLOOKUP($A96,貼り付け用!$A$1:$BA$300,COLUMN(),FALSE)),"")</f>
        <v>#N/A</v>
      </c>
      <c r="J96" s="14" t="e">
        <f>IF($A96&lt;&gt;"",IF(VLOOKUP($A96,貼り付け用!$A$1:$BA$300,COLUMN(),FALSE)=0,"",VLOOKUP($A96,貼り付け用!$A$1:$BA$300,COLUMN(),FALSE)),"")</f>
        <v>#N/A</v>
      </c>
      <c r="K96" s="14" t="e">
        <f>IF($A96&lt;&gt;"",IF(VLOOKUP($A96,貼り付け用!$A$1:$BA$300,COLUMN(),FALSE)=0,"",VLOOKUP($A96,貼り付け用!$A$1:$BA$300,COLUMN(),FALSE)),"")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63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IF($A97&lt;&gt;"",IF(VLOOKUP($A97,貼り付け用!$A$1:$BA$300,COLUMN(),FALSE)=0,"",VLOOKUP($A97,貼り付け用!$A$1:$BA$300,COLUMN(),FALSE)),"")</f>
        <v>#N/A</v>
      </c>
      <c r="C97" s="3" t="e">
        <f>IF($A97&lt;&gt;"",IF(VLOOKUP($A97,貼り付け用!$A$1:$BA$300,COLUMN(),FALSE)=0,"",VLOOKUP($A97,貼り付け用!$A$1:$BA$300,COLUMN(),FALSE)),"")</f>
        <v>#N/A</v>
      </c>
      <c r="D97" s="3" t="e">
        <f>IF($A97&lt;&gt;"",IF(VLOOKUP($A97,貼り付け用!$A$1:$BA$300,COLUMN(),FALSE)=0,"",VLOOKUP($A97,貼り付け用!$A$1:$BA$300,COLUMN(),FALSE)),"")</f>
        <v>#N/A</v>
      </c>
      <c r="E97" s="3" t="e">
        <f>IF($A97&lt;&gt;"",IF(VLOOKUP($A97,貼り付け用!$A$1:$BA$300,COLUMN(),FALSE)=0,"",VLOOKUP($A97,貼り付け用!$A$1:$BA$300,COLUMN(),FALSE)),"")</f>
        <v>#N/A</v>
      </c>
      <c r="F97" s="3" t="e">
        <f>IF($A97&lt;&gt;"",IF(VLOOKUP($A97,貼り付け用!$A$1:$BA$300,COLUMN(),FALSE)=0,"",VLOOKUP($A97,貼り付け用!$A$1:$BA$300,COLUMN(),FALSE)),"")</f>
        <v>#N/A</v>
      </c>
      <c r="G97" s="3" t="e">
        <f>IF($A97&lt;&gt;"",IF(VLOOKUP($A97,貼り付け用!$A$1:$BA$300,COLUMN(),FALSE)=0,"",VLOOKUP($A97,貼り付け用!$A$1:$BA$300,COLUMN(),FALSE)),"")</f>
        <v>#N/A</v>
      </c>
      <c r="H97" s="3" t="e">
        <f>IF($A97&lt;&gt;"",IF(VLOOKUP($A97,貼り付け用!$A$1:$BA$300,COLUMN(),FALSE)=0,"",VLOOKUP($A97,貼り付け用!$A$1:$BA$300,COLUMN(),FALSE)),"")</f>
        <v>#N/A</v>
      </c>
      <c r="I97" s="3" t="e">
        <f>IF($A97&lt;&gt;"",IF(VLOOKUP($A97,貼り付け用!$A$1:$BA$300,COLUMN(),FALSE)=0,"",VLOOKUP($A97,貼り付け用!$A$1:$BA$300,COLUMN(),FALSE)),"")</f>
        <v>#N/A</v>
      </c>
      <c r="J97" s="3" t="e">
        <f>IF($A97&lt;&gt;"",IF(VLOOKUP($A97,貼り付け用!$A$1:$BA$300,COLUMN(),FALSE)=0,"",VLOOKUP($A97,貼り付け用!$A$1:$BA$300,COLUMN(),FALSE)),"")</f>
        <v>#N/A</v>
      </c>
      <c r="K97" s="3" t="e">
        <f>IF($A97&lt;&gt;"",IF(VLOOKUP($A97,貼り付け用!$A$1:$BA$300,COLUMN(),FALSE)=0,"",VLOOKUP($A97,貼り付け用!$A$1:$BA$300,COLUMN(),FALSE)),"")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63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IF($A98&lt;&gt;"",IF(VLOOKUP($A98,貼り付け用!$A$1:$BA$300,COLUMN(),FALSE)=0,"",VLOOKUP($A98,貼り付け用!$A$1:$BA$300,COLUMN(),FALSE)),"")</f>
        <v>#N/A</v>
      </c>
      <c r="C98" s="14" t="e">
        <f>IF($A98&lt;&gt;"",IF(VLOOKUP($A98,貼り付け用!$A$1:$BA$300,COLUMN(),FALSE)=0,"",VLOOKUP($A98,貼り付け用!$A$1:$BA$300,COLUMN(),FALSE)),"")</f>
        <v>#N/A</v>
      </c>
      <c r="D98" s="14" t="e">
        <f>IF($A98&lt;&gt;"",IF(VLOOKUP($A98,貼り付け用!$A$1:$BA$300,COLUMN(),FALSE)=0,"",VLOOKUP($A98,貼り付け用!$A$1:$BA$300,COLUMN(),FALSE)),"")</f>
        <v>#N/A</v>
      </c>
      <c r="E98" s="14" t="e">
        <f>IF($A98&lt;&gt;"",IF(VLOOKUP($A98,貼り付け用!$A$1:$BA$300,COLUMN(),FALSE)=0,"",VLOOKUP($A98,貼り付け用!$A$1:$BA$300,COLUMN(),FALSE)),"")</f>
        <v>#N/A</v>
      </c>
      <c r="F98" s="14" t="e">
        <f>IF($A98&lt;&gt;"",IF(VLOOKUP($A98,貼り付け用!$A$1:$BA$300,COLUMN(),FALSE)=0,"",VLOOKUP($A98,貼り付け用!$A$1:$BA$300,COLUMN(),FALSE)),"")</f>
        <v>#N/A</v>
      </c>
      <c r="G98" s="14" t="e">
        <f>IF($A98&lt;&gt;"",IF(VLOOKUP($A98,貼り付け用!$A$1:$BA$300,COLUMN(),FALSE)=0,"",VLOOKUP($A98,貼り付け用!$A$1:$BA$300,COLUMN(),FALSE)),"")</f>
        <v>#N/A</v>
      </c>
      <c r="H98" s="14" t="e">
        <f>IF($A98&lt;&gt;"",IF(VLOOKUP($A98,貼り付け用!$A$1:$BA$300,COLUMN(),FALSE)=0,"",VLOOKUP($A98,貼り付け用!$A$1:$BA$300,COLUMN(),FALSE)),"")</f>
        <v>#N/A</v>
      </c>
      <c r="I98" s="14" t="e">
        <f>IF($A98&lt;&gt;"",IF(VLOOKUP($A98,貼り付け用!$A$1:$BA$300,COLUMN(),FALSE)=0,"",VLOOKUP($A98,貼り付け用!$A$1:$BA$300,COLUMN(),FALSE)),"")</f>
        <v>#N/A</v>
      </c>
      <c r="J98" s="14" t="e">
        <f>IF($A98&lt;&gt;"",IF(VLOOKUP($A98,貼り付け用!$A$1:$BA$300,COLUMN(),FALSE)=0,"",VLOOKUP($A98,貼り付け用!$A$1:$BA$300,COLUMN(),FALSE)),"")</f>
        <v>#N/A</v>
      </c>
      <c r="K98" s="14" t="e">
        <f>IF($A98&lt;&gt;"",IF(VLOOKUP($A98,貼り付け用!$A$1:$BA$300,COLUMN(),FALSE)=0,"",VLOOKUP($A98,貼り付け用!$A$1:$BA$300,COLUMN(),FALSE)),"")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63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IF($A99&lt;&gt;"",IF(VLOOKUP($A99,貼り付け用!$A$1:$BA$300,COLUMN(),FALSE)=0,"",VLOOKUP($A99,貼り付け用!$A$1:$BA$300,COLUMN(),FALSE)),"")</f>
        <v>#N/A</v>
      </c>
      <c r="C99" s="3" t="e">
        <f>IF($A99&lt;&gt;"",IF(VLOOKUP($A99,貼り付け用!$A$1:$BA$300,COLUMN(),FALSE)=0,"",VLOOKUP($A99,貼り付け用!$A$1:$BA$300,COLUMN(),FALSE)),"")</f>
        <v>#N/A</v>
      </c>
      <c r="D99" s="3" t="e">
        <f>IF($A99&lt;&gt;"",IF(VLOOKUP($A99,貼り付け用!$A$1:$BA$300,COLUMN(),FALSE)=0,"",VLOOKUP($A99,貼り付け用!$A$1:$BA$300,COLUMN(),FALSE)),"")</f>
        <v>#N/A</v>
      </c>
      <c r="E99" s="3" t="e">
        <f>IF($A99&lt;&gt;"",IF(VLOOKUP($A99,貼り付け用!$A$1:$BA$300,COLUMN(),FALSE)=0,"",VLOOKUP($A99,貼り付け用!$A$1:$BA$300,COLUMN(),FALSE)),"")</f>
        <v>#N/A</v>
      </c>
      <c r="F99" s="3" t="e">
        <f>IF($A99&lt;&gt;"",IF(VLOOKUP($A99,貼り付け用!$A$1:$BA$300,COLUMN(),FALSE)=0,"",VLOOKUP($A99,貼り付け用!$A$1:$BA$300,COLUMN(),FALSE)),"")</f>
        <v>#N/A</v>
      </c>
      <c r="G99" s="3" t="e">
        <f>IF($A99&lt;&gt;"",IF(VLOOKUP($A99,貼り付け用!$A$1:$BA$300,COLUMN(),FALSE)=0,"",VLOOKUP($A99,貼り付け用!$A$1:$BA$300,COLUMN(),FALSE)),"")</f>
        <v>#N/A</v>
      </c>
      <c r="H99" s="3" t="e">
        <f>IF($A99&lt;&gt;"",IF(VLOOKUP($A99,貼り付け用!$A$1:$BA$300,COLUMN(),FALSE)=0,"",VLOOKUP($A99,貼り付け用!$A$1:$BA$300,COLUMN(),FALSE)),"")</f>
        <v>#N/A</v>
      </c>
      <c r="I99" s="3" t="e">
        <f>IF($A99&lt;&gt;"",IF(VLOOKUP($A99,貼り付け用!$A$1:$BA$300,COLUMN(),FALSE)=0,"",VLOOKUP($A99,貼り付け用!$A$1:$BA$300,COLUMN(),FALSE)),"")</f>
        <v>#N/A</v>
      </c>
      <c r="J99" s="3" t="e">
        <f>IF($A99&lt;&gt;"",IF(VLOOKUP($A99,貼り付け用!$A$1:$BA$300,COLUMN(),FALSE)=0,"",VLOOKUP($A99,貼り付け用!$A$1:$BA$300,COLUMN(),FALSE)),"")</f>
        <v>#N/A</v>
      </c>
      <c r="K99" s="3" t="e">
        <f>IF($A99&lt;&gt;"",IF(VLOOKUP($A99,貼り付け用!$A$1:$BA$300,COLUMN(),FALSE)=0,"",VLOOKUP($A99,貼り付け用!$A$1:$BA$300,COLUMN(),FALSE)),"")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63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IF($A100&lt;&gt;"",IF(VLOOKUP($A100,貼り付け用!$A$1:$BA$300,COLUMN(),FALSE)=0,"",VLOOKUP($A100,貼り付け用!$A$1:$BA$300,COLUMN(),FALSE)),"")</f>
        <v>#N/A</v>
      </c>
      <c r="C100" s="14" t="e">
        <f>IF($A100&lt;&gt;"",IF(VLOOKUP($A100,貼り付け用!$A$1:$BA$300,COLUMN(),FALSE)=0,"",VLOOKUP($A100,貼り付け用!$A$1:$BA$300,COLUMN(),FALSE)),"")</f>
        <v>#N/A</v>
      </c>
      <c r="D100" s="14" t="e">
        <f>IF($A100&lt;&gt;"",IF(VLOOKUP($A100,貼り付け用!$A$1:$BA$300,COLUMN(),FALSE)=0,"",VLOOKUP($A100,貼り付け用!$A$1:$BA$300,COLUMN(),FALSE)),"")</f>
        <v>#N/A</v>
      </c>
      <c r="E100" s="14" t="e">
        <f>IF($A100&lt;&gt;"",IF(VLOOKUP($A100,貼り付け用!$A$1:$BA$300,COLUMN(),FALSE)=0,"",VLOOKUP($A100,貼り付け用!$A$1:$BA$300,COLUMN(),FALSE)),"")</f>
        <v>#N/A</v>
      </c>
      <c r="F100" s="14" t="e">
        <f>IF($A100&lt;&gt;"",IF(VLOOKUP($A100,貼り付け用!$A$1:$BA$300,COLUMN(),FALSE)=0,"",VLOOKUP($A100,貼り付け用!$A$1:$BA$300,COLUMN(),FALSE)),"")</f>
        <v>#N/A</v>
      </c>
      <c r="G100" s="14" t="e">
        <f>IF($A100&lt;&gt;"",IF(VLOOKUP($A100,貼り付け用!$A$1:$BA$300,COLUMN(),FALSE)=0,"",VLOOKUP($A100,貼り付け用!$A$1:$BA$300,COLUMN(),FALSE)),"")</f>
        <v>#N/A</v>
      </c>
      <c r="H100" s="14" t="e">
        <f>IF($A100&lt;&gt;"",IF(VLOOKUP($A100,貼り付け用!$A$1:$BA$300,COLUMN(),FALSE)=0,"",VLOOKUP($A100,貼り付け用!$A$1:$BA$300,COLUMN(),FALSE)),"")</f>
        <v>#N/A</v>
      </c>
      <c r="I100" s="14" t="e">
        <f>IF($A100&lt;&gt;"",IF(VLOOKUP($A100,貼り付け用!$A$1:$BA$300,COLUMN(),FALSE)=0,"",VLOOKUP($A100,貼り付け用!$A$1:$BA$300,COLUMN(),FALSE)),"")</f>
        <v>#N/A</v>
      </c>
      <c r="J100" s="14" t="e">
        <f>IF($A100&lt;&gt;"",IF(VLOOKUP($A100,貼り付け用!$A$1:$BA$300,COLUMN(),FALSE)=0,"",VLOOKUP($A100,貼り付け用!$A$1:$BA$300,COLUMN(),FALSE)),"")</f>
        <v>#N/A</v>
      </c>
      <c r="K100" s="14" t="e">
        <f>IF($A100&lt;&gt;"",IF(VLOOKUP($A100,貼り付け用!$A$1:$BA$300,COLUMN(),FALSE)=0,"",VLOOKUP($A100,貼り付け用!$A$1:$BA$300,COLUMN(),FALSE)),"")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63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IF($A101&lt;&gt;"",IF(VLOOKUP($A101,貼り付け用!$A$1:$BA$300,COLUMN(),FALSE)=0,"",VLOOKUP($A101,貼り付け用!$A$1:$BA$300,COLUMN(),FALSE)),"")</f>
        <v>#N/A</v>
      </c>
      <c r="C101" s="3" t="e">
        <f>IF($A101&lt;&gt;"",IF(VLOOKUP($A101,貼り付け用!$A$1:$BA$300,COLUMN(),FALSE)=0,"",VLOOKUP($A101,貼り付け用!$A$1:$BA$300,COLUMN(),FALSE)),"")</f>
        <v>#N/A</v>
      </c>
      <c r="D101" s="3" t="e">
        <f>IF($A101&lt;&gt;"",IF(VLOOKUP($A101,貼り付け用!$A$1:$BA$300,COLUMN(),FALSE)=0,"",VLOOKUP($A101,貼り付け用!$A$1:$BA$300,COLUMN(),FALSE)),"")</f>
        <v>#N/A</v>
      </c>
      <c r="E101" s="3" t="e">
        <f>IF($A101&lt;&gt;"",IF(VLOOKUP($A101,貼り付け用!$A$1:$BA$300,COLUMN(),FALSE)=0,"",VLOOKUP($A101,貼り付け用!$A$1:$BA$300,COLUMN(),FALSE)),"")</f>
        <v>#N/A</v>
      </c>
      <c r="F101" s="3" t="e">
        <f>IF($A101&lt;&gt;"",IF(VLOOKUP($A101,貼り付け用!$A$1:$BA$300,COLUMN(),FALSE)=0,"",VLOOKUP($A101,貼り付け用!$A$1:$BA$300,COLUMN(),FALSE)),"")</f>
        <v>#N/A</v>
      </c>
      <c r="G101" s="3" t="e">
        <f>IF($A101&lt;&gt;"",IF(VLOOKUP($A101,貼り付け用!$A$1:$BA$300,COLUMN(),FALSE)=0,"",VLOOKUP($A101,貼り付け用!$A$1:$BA$300,COLUMN(),FALSE)),"")</f>
        <v>#N/A</v>
      </c>
      <c r="H101" s="3" t="e">
        <f>IF($A101&lt;&gt;"",IF(VLOOKUP($A101,貼り付け用!$A$1:$BA$300,COLUMN(),FALSE)=0,"",VLOOKUP($A101,貼り付け用!$A$1:$BA$300,COLUMN(),FALSE)),"")</f>
        <v>#N/A</v>
      </c>
      <c r="I101" s="3" t="e">
        <f>IF($A101&lt;&gt;"",IF(VLOOKUP($A101,貼り付け用!$A$1:$BA$300,COLUMN(),FALSE)=0,"",VLOOKUP($A101,貼り付け用!$A$1:$BA$300,COLUMN(),FALSE)),"")</f>
        <v>#N/A</v>
      </c>
      <c r="J101" s="3" t="e">
        <f>IF($A101&lt;&gt;"",IF(VLOOKUP($A101,貼り付け用!$A$1:$BA$300,COLUMN(),FALSE)=0,"",VLOOKUP($A101,貼り付け用!$A$1:$BA$300,COLUMN(),FALSE)),"")</f>
        <v>#N/A</v>
      </c>
      <c r="K101" s="3" t="e">
        <f>IF($A101&lt;&gt;"",IF(VLOOKUP($A101,貼り付け用!$A$1:$BA$300,COLUMN(),FALSE)=0,"",VLOOKUP($A101,貼り付け用!$A$1:$BA$300,COLUMN(),FALSE)),"")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63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IF($A102&lt;&gt;"",IF(VLOOKUP($A102,貼り付け用!$A$1:$BA$300,COLUMN(),FALSE)=0,"",VLOOKUP($A102,貼り付け用!$A$1:$BA$300,COLUMN(),FALSE)),"")</f>
        <v>#N/A</v>
      </c>
      <c r="C102" s="14" t="e">
        <f>IF($A102&lt;&gt;"",IF(VLOOKUP($A102,貼り付け用!$A$1:$BA$300,COLUMN(),FALSE)=0,"",VLOOKUP($A102,貼り付け用!$A$1:$BA$300,COLUMN(),FALSE)),"")</f>
        <v>#N/A</v>
      </c>
      <c r="D102" s="14" t="e">
        <f>IF($A102&lt;&gt;"",IF(VLOOKUP($A102,貼り付け用!$A$1:$BA$300,COLUMN(),FALSE)=0,"",VLOOKUP($A102,貼り付け用!$A$1:$BA$300,COLUMN(),FALSE)),"")</f>
        <v>#N/A</v>
      </c>
      <c r="E102" s="14" t="e">
        <f>IF($A102&lt;&gt;"",IF(VLOOKUP($A102,貼り付け用!$A$1:$BA$300,COLUMN(),FALSE)=0,"",VLOOKUP($A102,貼り付け用!$A$1:$BA$300,COLUMN(),FALSE)),"")</f>
        <v>#N/A</v>
      </c>
      <c r="F102" s="14" t="e">
        <f>IF($A102&lt;&gt;"",IF(VLOOKUP($A102,貼り付け用!$A$1:$BA$300,COLUMN(),FALSE)=0,"",VLOOKUP($A102,貼り付け用!$A$1:$BA$300,COLUMN(),FALSE)),"")</f>
        <v>#N/A</v>
      </c>
      <c r="G102" s="14" t="e">
        <f>IF($A102&lt;&gt;"",IF(VLOOKUP($A102,貼り付け用!$A$1:$BA$300,COLUMN(),FALSE)=0,"",VLOOKUP($A102,貼り付け用!$A$1:$BA$300,COLUMN(),FALSE)),"")</f>
        <v>#N/A</v>
      </c>
      <c r="H102" s="14" t="e">
        <f>IF($A102&lt;&gt;"",IF(VLOOKUP($A102,貼り付け用!$A$1:$BA$300,COLUMN(),FALSE)=0,"",VLOOKUP($A102,貼り付け用!$A$1:$BA$300,COLUMN(),FALSE)),"")</f>
        <v>#N/A</v>
      </c>
      <c r="I102" s="14" t="e">
        <f>IF($A102&lt;&gt;"",IF(VLOOKUP($A102,貼り付け用!$A$1:$BA$300,COLUMN(),FALSE)=0,"",VLOOKUP($A102,貼り付け用!$A$1:$BA$300,COLUMN(),FALSE)),"")</f>
        <v>#N/A</v>
      </c>
      <c r="J102" s="14" t="e">
        <f>IF($A102&lt;&gt;"",IF(VLOOKUP($A102,貼り付け用!$A$1:$BA$300,COLUMN(),FALSE)=0,"",VLOOKUP($A102,貼り付け用!$A$1:$BA$300,COLUMN(),FALSE)),"")</f>
        <v>#N/A</v>
      </c>
      <c r="K102" s="14" t="e">
        <f>IF($A102&lt;&gt;"",IF(VLOOKUP($A102,貼り付け用!$A$1:$BA$300,COLUMN(),FALSE)=0,"",VLOOKUP($A102,貼り付け用!$A$1:$BA$300,COLUMN(),FALSE)),"")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63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IF($A103&lt;&gt;"",IF(VLOOKUP($A103,貼り付け用!$A$1:$BA$300,COLUMN(),FALSE)=0,"",VLOOKUP($A103,貼り付け用!$A$1:$BA$300,COLUMN(),FALSE)),"")</f>
        <v>#N/A</v>
      </c>
      <c r="C103" s="3" t="e">
        <f>IF($A103&lt;&gt;"",IF(VLOOKUP($A103,貼り付け用!$A$1:$BA$300,COLUMN(),FALSE)=0,"",VLOOKUP($A103,貼り付け用!$A$1:$BA$300,COLUMN(),FALSE)),"")</f>
        <v>#N/A</v>
      </c>
      <c r="D103" s="3" t="e">
        <f>IF($A103&lt;&gt;"",IF(VLOOKUP($A103,貼り付け用!$A$1:$BA$300,COLUMN(),FALSE)=0,"",VLOOKUP($A103,貼り付け用!$A$1:$BA$300,COLUMN(),FALSE)),"")</f>
        <v>#N/A</v>
      </c>
      <c r="E103" s="3" t="e">
        <f>IF($A103&lt;&gt;"",IF(VLOOKUP($A103,貼り付け用!$A$1:$BA$300,COLUMN(),FALSE)=0,"",VLOOKUP($A103,貼り付け用!$A$1:$BA$300,COLUMN(),FALSE)),"")</f>
        <v>#N/A</v>
      </c>
      <c r="F103" s="3" t="e">
        <f>IF($A103&lt;&gt;"",IF(VLOOKUP($A103,貼り付け用!$A$1:$BA$300,COLUMN(),FALSE)=0,"",VLOOKUP($A103,貼り付け用!$A$1:$BA$300,COLUMN(),FALSE)),"")</f>
        <v>#N/A</v>
      </c>
      <c r="G103" s="3" t="e">
        <f>IF($A103&lt;&gt;"",IF(VLOOKUP($A103,貼り付け用!$A$1:$BA$300,COLUMN(),FALSE)=0,"",VLOOKUP($A103,貼り付け用!$A$1:$BA$300,COLUMN(),FALSE)),"")</f>
        <v>#N/A</v>
      </c>
      <c r="H103" s="3" t="e">
        <f>IF($A103&lt;&gt;"",IF(VLOOKUP($A103,貼り付け用!$A$1:$BA$300,COLUMN(),FALSE)=0,"",VLOOKUP($A103,貼り付け用!$A$1:$BA$300,COLUMN(),FALSE)),"")</f>
        <v>#N/A</v>
      </c>
      <c r="I103" s="3" t="e">
        <f>IF($A103&lt;&gt;"",IF(VLOOKUP($A103,貼り付け用!$A$1:$BA$300,COLUMN(),FALSE)=0,"",VLOOKUP($A103,貼り付け用!$A$1:$BA$300,COLUMN(),FALSE)),"")</f>
        <v>#N/A</v>
      </c>
      <c r="J103" s="3" t="e">
        <f>IF($A103&lt;&gt;"",IF(VLOOKUP($A103,貼り付け用!$A$1:$BA$300,COLUMN(),FALSE)=0,"",VLOOKUP($A103,貼り付け用!$A$1:$BA$300,COLUMN(),FALSE)),"")</f>
        <v>#N/A</v>
      </c>
      <c r="K103" s="3" t="e">
        <f>IF($A103&lt;&gt;"",IF(VLOOKUP($A103,貼り付け用!$A$1:$BA$300,COLUMN(),FALSE)=0,"",VLOOKUP($A103,貼り付け用!$A$1:$BA$300,COLUMN(),FALSE)),"")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63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IF($A104&lt;&gt;"",IF(VLOOKUP($A104,貼り付け用!$A$1:$BA$300,COLUMN(),FALSE)=0,"",VLOOKUP($A104,貼り付け用!$A$1:$BA$300,COLUMN(),FALSE)),"")</f>
        <v>#N/A</v>
      </c>
      <c r="C104" s="14" t="e">
        <f>IF($A104&lt;&gt;"",IF(VLOOKUP($A104,貼り付け用!$A$1:$BA$300,COLUMN(),FALSE)=0,"",VLOOKUP($A104,貼り付け用!$A$1:$BA$300,COLUMN(),FALSE)),"")</f>
        <v>#N/A</v>
      </c>
      <c r="D104" s="14" t="e">
        <f>IF($A104&lt;&gt;"",IF(VLOOKUP($A104,貼り付け用!$A$1:$BA$300,COLUMN(),FALSE)=0,"",VLOOKUP($A104,貼り付け用!$A$1:$BA$300,COLUMN(),FALSE)),"")</f>
        <v>#N/A</v>
      </c>
      <c r="E104" s="14" t="e">
        <f>IF($A104&lt;&gt;"",IF(VLOOKUP($A104,貼り付け用!$A$1:$BA$300,COLUMN(),FALSE)=0,"",VLOOKUP($A104,貼り付け用!$A$1:$BA$300,COLUMN(),FALSE)),"")</f>
        <v>#N/A</v>
      </c>
      <c r="F104" s="14" t="e">
        <f>IF($A104&lt;&gt;"",IF(VLOOKUP($A104,貼り付け用!$A$1:$BA$300,COLUMN(),FALSE)=0,"",VLOOKUP($A104,貼り付け用!$A$1:$BA$300,COLUMN(),FALSE)),"")</f>
        <v>#N/A</v>
      </c>
      <c r="G104" s="14" t="e">
        <f>IF($A104&lt;&gt;"",IF(VLOOKUP($A104,貼り付け用!$A$1:$BA$300,COLUMN(),FALSE)=0,"",VLOOKUP($A104,貼り付け用!$A$1:$BA$300,COLUMN(),FALSE)),"")</f>
        <v>#N/A</v>
      </c>
      <c r="H104" s="14" t="e">
        <f>IF($A104&lt;&gt;"",IF(VLOOKUP($A104,貼り付け用!$A$1:$BA$300,COLUMN(),FALSE)=0,"",VLOOKUP($A104,貼り付け用!$A$1:$BA$300,COLUMN(),FALSE)),"")</f>
        <v>#N/A</v>
      </c>
      <c r="I104" s="14" t="e">
        <f>IF($A104&lt;&gt;"",IF(VLOOKUP($A104,貼り付け用!$A$1:$BA$300,COLUMN(),FALSE)=0,"",VLOOKUP($A104,貼り付け用!$A$1:$BA$300,COLUMN(),FALSE)),"")</f>
        <v>#N/A</v>
      </c>
      <c r="J104" s="14" t="e">
        <f>IF($A104&lt;&gt;"",IF(VLOOKUP($A104,貼り付け用!$A$1:$BA$300,COLUMN(),FALSE)=0,"",VLOOKUP($A104,貼り付け用!$A$1:$BA$300,COLUMN(),FALSE)),"")</f>
        <v>#N/A</v>
      </c>
      <c r="K104" s="14" t="e">
        <f>IF($A104&lt;&gt;"",IF(VLOOKUP($A104,貼り付け用!$A$1:$BA$300,COLUMN(),FALSE)=0,"",VLOOKUP($A104,貼り付け用!$A$1:$BA$300,COLUMN(),FALSE)),"")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63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IF($A105&lt;&gt;"",IF(VLOOKUP($A105,貼り付け用!$A$1:$BA$300,COLUMN(),FALSE)=0,"",VLOOKUP($A105,貼り付け用!$A$1:$BA$300,COLUMN(),FALSE)),"")</f>
        <v>#N/A</v>
      </c>
      <c r="C105" s="3" t="e">
        <f>IF($A105&lt;&gt;"",IF(VLOOKUP($A105,貼り付け用!$A$1:$BA$300,COLUMN(),FALSE)=0,"",VLOOKUP($A105,貼り付け用!$A$1:$BA$300,COLUMN(),FALSE)),"")</f>
        <v>#N/A</v>
      </c>
      <c r="D105" s="3" t="e">
        <f>IF($A105&lt;&gt;"",IF(VLOOKUP($A105,貼り付け用!$A$1:$BA$300,COLUMN(),FALSE)=0,"",VLOOKUP($A105,貼り付け用!$A$1:$BA$300,COLUMN(),FALSE)),"")</f>
        <v>#N/A</v>
      </c>
      <c r="E105" s="3" t="e">
        <f>IF($A105&lt;&gt;"",IF(VLOOKUP($A105,貼り付け用!$A$1:$BA$300,COLUMN(),FALSE)=0,"",VLOOKUP($A105,貼り付け用!$A$1:$BA$300,COLUMN(),FALSE)),"")</f>
        <v>#N/A</v>
      </c>
      <c r="F105" s="3" t="e">
        <f>IF($A105&lt;&gt;"",IF(VLOOKUP($A105,貼り付け用!$A$1:$BA$300,COLUMN(),FALSE)=0,"",VLOOKUP($A105,貼り付け用!$A$1:$BA$300,COLUMN(),FALSE)),"")</f>
        <v>#N/A</v>
      </c>
      <c r="G105" s="3" t="e">
        <f>IF($A105&lt;&gt;"",IF(VLOOKUP($A105,貼り付け用!$A$1:$BA$300,COLUMN(),FALSE)=0,"",VLOOKUP($A105,貼り付け用!$A$1:$BA$300,COLUMN(),FALSE)),"")</f>
        <v>#N/A</v>
      </c>
      <c r="H105" s="3" t="e">
        <f>IF($A105&lt;&gt;"",IF(VLOOKUP($A105,貼り付け用!$A$1:$BA$300,COLUMN(),FALSE)=0,"",VLOOKUP($A105,貼り付け用!$A$1:$BA$300,COLUMN(),FALSE)),"")</f>
        <v>#N/A</v>
      </c>
      <c r="I105" s="3" t="e">
        <f>IF($A105&lt;&gt;"",IF(VLOOKUP($A105,貼り付け用!$A$1:$BA$300,COLUMN(),FALSE)=0,"",VLOOKUP($A105,貼り付け用!$A$1:$BA$300,COLUMN(),FALSE)),"")</f>
        <v>#N/A</v>
      </c>
      <c r="J105" s="3" t="e">
        <f>IF($A105&lt;&gt;"",IF(VLOOKUP($A105,貼り付け用!$A$1:$BA$300,COLUMN(),FALSE)=0,"",VLOOKUP($A105,貼り付け用!$A$1:$BA$300,COLUMN(),FALSE)),"")</f>
        <v>#N/A</v>
      </c>
      <c r="K105" s="3" t="e">
        <f>IF($A105&lt;&gt;"",IF(VLOOKUP($A105,貼り付け用!$A$1:$BA$300,COLUMN(),FALSE)=0,"",VLOOKUP($A105,貼り付け用!$A$1:$BA$300,COLUMN(),FALSE)),"")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63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IF($A106&lt;&gt;"",IF(VLOOKUP($A106,貼り付け用!$A$1:$BA$300,COLUMN(),FALSE)=0,"",VLOOKUP($A106,貼り付け用!$A$1:$BA$300,COLUMN(),FALSE)),"")</f>
        <v>#N/A</v>
      </c>
      <c r="C106" s="14" t="e">
        <f>IF($A106&lt;&gt;"",IF(VLOOKUP($A106,貼り付け用!$A$1:$BA$300,COLUMN(),FALSE)=0,"",VLOOKUP($A106,貼り付け用!$A$1:$BA$300,COLUMN(),FALSE)),"")</f>
        <v>#N/A</v>
      </c>
      <c r="D106" s="14" t="e">
        <f>IF($A106&lt;&gt;"",IF(VLOOKUP($A106,貼り付け用!$A$1:$BA$300,COLUMN(),FALSE)=0,"",VLOOKUP($A106,貼り付け用!$A$1:$BA$300,COLUMN(),FALSE)),"")</f>
        <v>#N/A</v>
      </c>
      <c r="E106" s="14" t="e">
        <f>IF($A106&lt;&gt;"",IF(VLOOKUP($A106,貼り付け用!$A$1:$BA$300,COLUMN(),FALSE)=0,"",VLOOKUP($A106,貼り付け用!$A$1:$BA$300,COLUMN(),FALSE)),"")</f>
        <v>#N/A</v>
      </c>
      <c r="F106" s="14" t="e">
        <f>IF($A106&lt;&gt;"",IF(VLOOKUP($A106,貼り付け用!$A$1:$BA$300,COLUMN(),FALSE)=0,"",VLOOKUP($A106,貼り付け用!$A$1:$BA$300,COLUMN(),FALSE)),"")</f>
        <v>#N/A</v>
      </c>
      <c r="G106" s="14" t="e">
        <f>IF($A106&lt;&gt;"",IF(VLOOKUP($A106,貼り付け用!$A$1:$BA$300,COLUMN(),FALSE)=0,"",VLOOKUP($A106,貼り付け用!$A$1:$BA$300,COLUMN(),FALSE)),"")</f>
        <v>#N/A</v>
      </c>
      <c r="H106" s="14" t="e">
        <f>IF($A106&lt;&gt;"",IF(VLOOKUP($A106,貼り付け用!$A$1:$BA$300,COLUMN(),FALSE)=0,"",VLOOKUP($A106,貼り付け用!$A$1:$BA$300,COLUMN(),FALSE)),"")</f>
        <v>#N/A</v>
      </c>
      <c r="I106" s="14" t="e">
        <f>IF($A106&lt;&gt;"",IF(VLOOKUP($A106,貼り付け用!$A$1:$BA$300,COLUMN(),FALSE)=0,"",VLOOKUP($A106,貼り付け用!$A$1:$BA$300,COLUMN(),FALSE)),"")</f>
        <v>#N/A</v>
      </c>
      <c r="J106" s="14" t="e">
        <f>IF($A106&lt;&gt;"",IF(VLOOKUP($A106,貼り付け用!$A$1:$BA$300,COLUMN(),FALSE)=0,"",VLOOKUP($A106,貼り付け用!$A$1:$BA$300,COLUMN(),FALSE)),"")</f>
        <v>#N/A</v>
      </c>
      <c r="K106" s="14" t="e">
        <f>IF($A106&lt;&gt;"",IF(VLOOKUP($A106,貼り付け用!$A$1:$BA$300,COLUMN(),FALSE)=0,"",VLOOKUP($A106,貼り付け用!$A$1:$BA$300,COLUMN(),FALSE)),"")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63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IF($A107&lt;&gt;"",IF(VLOOKUP($A107,貼り付け用!$A$1:$BA$300,COLUMN(),FALSE)=0,"",VLOOKUP($A107,貼り付け用!$A$1:$BA$300,COLUMN(),FALSE)),"")</f>
        <v>#N/A</v>
      </c>
      <c r="C107" s="3" t="e">
        <f>IF($A107&lt;&gt;"",IF(VLOOKUP($A107,貼り付け用!$A$1:$BA$300,COLUMN(),FALSE)=0,"",VLOOKUP($A107,貼り付け用!$A$1:$BA$300,COLUMN(),FALSE)),"")</f>
        <v>#N/A</v>
      </c>
      <c r="D107" s="3" t="e">
        <f>IF($A107&lt;&gt;"",IF(VLOOKUP($A107,貼り付け用!$A$1:$BA$300,COLUMN(),FALSE)=0,"",VLOOKUP($A107,貼り付け用!$A$1:$BA$300,COLUMN(),FALSE)),"")</f>
        <v>#N/A</v>
      </c>
      <c r="E107" s="3" t="e">
        <f>IF($A107&lt;&gt;"",IF(VLOOKUP($A107,貼り付け用!$A$1:$BA$300,COLUMN(),FALSE)=0,"",VLOOKUP($A107,貼り付け用!$A$1:$BA$300,COLUMN(),FALSE)),"")</f>
        <v>#N/A</v>
      </c>
      <c r="F107" s="3" t="e">
        <f>IF($A107&lt;&gt;"",IF(VLOOKUP($A107,貼り付け用!$A$1:$BA$300,COLUMN(),FALSE)=0,"",VLOOKUP($A107,貼り付け用!$A$1:$BA$300,COLUMN(),FALSE)),"")</f>
        <v>#N/A</v>
      </c>
      <c r="G107" s="3" t="e">
        <f>IF($A107&lt;&gt;"",IF(VLOOKUP($A107,貼り付け用!$A$1:$BA$300,COLUMN(),FALSE)=0,"",VLOOKUP($A107,貼り付け用!$A$1:$BA$300,COLUMN(),FALSE)),"")</f>
        <v>#N/A</v>
      </c>
      <c r="H107" s="3" t="e">
        <f>IF($A107&lt;&gt;"",IF(VLOOKUP($A107,貼り付け用!$A$1:$BA$300,COLUMN(),FALSE)=0,"",VLOOKUP($A107,貼り付け用!$A$1:$BA$300,COLUMN(),FALSE)),"")</f>
        <v>#N/A</v>
      </c>
      <c r="I107" s="3" t="e">
        <f>IF($A107&lt;&gt;"",IF(VLOOKUP($A107,貼り付け用!$A$1:$BA$300,COLUMN(),FALSE)=0,"",VLOOKUP($A107,貼り付け用!$A$1:$BA$300,COLUMN(),FALSE)),"")</f>
        <v>#N/A</v>
      </c>
      <c r="J107" s="3" t="e">
        <f>IF($A107&lt;&gt;"",IF(VLOOKUP($A107,貼り付け用!$A$1:$BA$300,COLUMN(),FALSE)=0,"",VLOOKUP($A107,貼り付け用!$A$1:$BA$300,COLUMN(),FALSE)),"")</f>
        <v>#N/A</v>
      </c>
      <c r="K107" s="3" t="e">
        <f>IF($A107&lt;&gt;"",IF(VLOOKUP($A107,貼り付け用!$A$1:$BA$300,COLUMN(),FALSE)=0,"",VLOOKUP($A107,貼り付け用!$A$1:$BA$300,COLUMN(),FALSE)),"")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63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IF($A108&lt;&gt;"",IF(VLOOKUP($A108,貼り付け用!$A$1:$BA$300,COLUMN(),FALSE)=0,"",VLOOKUP($A108,貼り付け用!$A$1:$BA$300,COLUMN(),FALSE)),"")</f>
        <v>#N/A</v>
      </c>
      <c r="C108" s="14" t="e">
        <f>IF($A108&lt;&gt;"",IF(VLOOKUP($A108,貼り付け用!$A$1:$BA$300,COLUMN(),FALSE)=0,"",VLOOKUP($A108,貼り付け用!$A$1:$BA$300,COLUMN(),FALSE)),"")</f>
        <v>#N/A</v>
      </c>
      <c r="D108" s="14" t="e">
        <f>IF($A108&lt;&gt;"",IF(VLOOKUP($A108,貼り付け用!$A$1:$BA$300,COLUMN(),FALSE)=0,"",VLOOKUP($A108,貼り付け用!$A$1:$BA$300,COLUMN(),FALSE)),"")</f>
        <v>#N/A</v>
      </c>
      <c r="E108" s="14" t="e">
        <f>IF($A108&lt;&gt;"",IF(VLOOKUP($A108,貼り付け用!$A$1:$BA$300,COLUMN(),FALSE)=0,"",VLOOKUP($A108,貼り付け用!$A$1:$BA$300,COLUMN(),FALSE)),"")</f>
        <v>#N/A</v>
      </c>
      <c r="F108" s="14" t="e">
        <f>IF($A108&lt;&gt;"",IF(VLOOKUP($A108,貼り付け用!$A$1:$BA$300,COLUMN(),FALSE)=0,"",VLOOKUP($A108,貼り付け用!$A$1:$BA$300,COLUMN(),FALSE)),"")</f>
        <v>#N/A</v>
      </c>
      <c r="G108" s="14" t="e">
        <f>IF($A108&lt;&gt;"",IF(VLOOKUP($A108,貼り付け用!$A$1:$BA$300,COLUMN(),FALSE)=0,"",VLOOKUP($A108,貼り付け用!$A$1:$BA$300,COLUMN(),FALSE)),"")</f>
        <v>#N/A</v>
      </c>
      <c r="H108" s="14" t="e">
        <f>IF($A108&lt;&gt;"",IF(VLOOKUP($A108,貼り付け用!$A$1:$BA$300,COLUMN(),FALSE)=0,"",VLOOKUP($A108,貼り付け用!$A$1:$BA$300,COLUMN(),FALSE)),"")</f>
        <v>#N/A</v>
      </c>
      <c r="I108" s="14" t="e">
        <f>IF($A108&lt;&gt;"",IF(VLOOKUP($A108,貼り付け用!$A$1:$BA$300,COLUMN(),FALSE)=0,"",VLOOKUP($A108,貼り付け用!$A$1:$BA$300,COLUMN(),FALSE)),"")</f>
        <v>#N/A</v>
      </c>
      <c r="J108" s="14" t="e">
        <f>IF($A108&lt;&gt;"",IF(VLOOKUP($A108,貼り付け用!$A$1:$BA$300,COLUMN(),FALSE)=0,"",VLOOKUP($A108,貼り付け用!$A$1:$BA$300,COLUMN(),FALSE)),"")</f>
        <v>#N/A</v>
      </c>
      <c r="K108" s="14" t="e">
        <f>IF($A108&lt;&gt;"",IF(VLOOKUP($A108,貼り付け用!$A$1:$BA$300,COLUMN(),FALSE)=0,"",VLOOKUP($A108,貼り付け用!$A$1:$BA$300,COLUMN(),FALSE)),"")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63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IF($A109&lt;&gt;"",IF(VLOOKUP($A109,貼り付け用!$A$1:$BA$300,COLUMN(),FALSE)=0,"",VLOOKUP($A109,貼り付け用!$A$1:$BA$300,COLUMN(),FALSE)),"")</f>
        <v>#N/A</v>
      </c>
      <c r="C109" s="3" t="e">
        <f>IF($A109&lt;&gt;"",IF(VLOOKUP($A109,貼り付け用!$A$1:$BA$300,COLUMN(),FALSE)=0,"",VLOOKUP($A109,貼り付け用!$A$1:$BA$300,COLUMN(),FALSE)),"")</f>
        <v>#N/A</v>
      </c>
      <c r="D109" s="3" t="e">
        <f>IF($A109&lt;&gt;"",IF(VLOOKUP($A109,貼り付け用!$A$1:$BA$300,COLUMN(),FALSE)=0,"",VLOOKUP($A109,貼り付け用!$A$1:$BA$300,COLUMN(),FALSE)),"")</f>
        <v>#N/A</v>
      </c>
      <c r="E109" s="3" t="e">
        <f>IF($A109&lt;&gt;"",IF(VLOOKUP($A109,貼り付け用!$A$1:$BA$300,COLUMN(),FALSE)=0,"",VLOOKUP($A109,貼り付け用!$A$1:$BA$300,COLUMN(),FALSE)),"")</f>
        <v>#N/A</v>
      </c>
      <c r="F109" s="3" t="e">
        <f>IF($A109&lt;&gt;"",IF(VLOOKUP($A109,貼り付け用!$A$1:$BA$300,COLUMN(),FALSE)=0,"",VLOOKUP($A109,貼り付け用!$A$1:$BA$300,COLUMN(),FALSE)),"")</f>
        <v>#N/A</v>
      </c>
      <c r="G109" s="3" t="e">
        <f>IF($A109&lt;&gt;"",IF(VLOOKUP($A109,貼り付け用!$A$1:$BA$300,COLUMN(),FALSE)=0,"",VLOOKUP($A109,貼り付け用!$A$1:$BA$300,COLUMN(),FALSE)),"")</f>
        <v>#N/A</v>
      </c>
      <c r="H109" s="3" t="e">
        <f>IF($A109&lt;&gt;"",IF(VLOOKUP($A109,貼り付け用!$A$1:$BA$300,COLUMN(),FALSE)=0,"",VLOOKUP($A109,貼り付け用!$A$1:$BA$300,COLUMN(),FALSE)),"")</f>
        <v>#N/A</v>
      </c>
      <c r="I109" s="3" t="e">
        <f>IF($A109&lt;&gt;"",IF(VLOOKUP($A109,貼り付け用!$A$1:$BA$300,COLUMN(),FALSE)=0,"",VLOOKUP($A109,貼り付け用!$A$1:$BA$300,COLUMN(),FALSE)),"")</f>
        <v>#N/A</v>
      </c>
      <c r="J109" s="3" t="e">
        <f>IF($A109&lt;&gt;"",IF(VLOOKUP($A109,貼り付け用!$A$1:$BA$300,COLUMN(),FALSE)=0,"",VLOOKUP($A109,貼り付け用!$A$1:$BA$300,COLUMN(),FALSE)),"")</f>
        <v>#N/A</v>
      </c>
      <c r="K109" s="3" t="e">
        <f>IF($A109&lt;&gt;"",IF(VLOOKUP($A109,貼り付け用!$A$1:$BA$300,COLUMN(),FALSE)=0,"",VLOOKUP($A109,貼り付け用!$A$1:$BA$300,COLUMN(),FALSE)),"")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63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IF($A110&lt;&gt;"",IF(VLOOKUP($A110,貼り付け用!$A$1:$BA$300,COLUMN(),FALSE)=0,"",VLOOKUP($A110,貼り付け用!$A$1:$BA$300,COLUMN(),FALSE)),"")</f>
        <v>#N/A</v>
      </c>
      <c r="C110" s="14" t="e">
        <f>IF($A110&lt;&gt;"",IF(VLOOKUP($A110,貼り付け用!$A$1:$BA$300,COLUMN(),FALSE)=0,"",VLOOKUP($A110,貼り付け用!$A$1:$BA$300,COLUMN(),FALSE)),"")</f>
        <v>#N/A</v>
      </c>
      <c r="D110" s="14" t="e">
        <f>IF($A110&lt;&gt;"",IF(VLOOKUP($A110,貼り付け用!$A$1:$BA$300,COLUMN(),FALSE)=0,"",VLOOKUP($A110,貼り付け用!$A$1:$BA$300,COLUMN(),FALSE)),"")</f>
        <v>#N/A</v>
      </c>
      <c r="E110" s="14" t="e">
        <f>IF($A110&lt;&gt;"",IF(VLOOKUP($A110,貼り付け用!$A$1:$BA$300,COLUMN(),FALSE)=0,"",VLOOKUP($A110,貼り付け用!$A$1:$BA$300,COLUMN(),FALSE)),"")</f>
        <v>#N/A</v>
      </c>
      <c r="F110" s="14" t="e">
        <f>IF($A110&lt;&gt;"",IF(VLOOKUP($A110,貼り付け用!$A$1:$BA$300,COLUMN(),FALSE)=0,"",VLOOKUP($A110,貼り付け用!$A$1:$BA$300,COLUMN(),FALSE)),"")</f>
        <v>#N/A</v>
      </c>
      <c r="G110" s="14" t="e">
        <f>IF($A110&lt;&gt;"",IF(VLOOKUP($A110,貼り付け用!$A$1:$BA$300,COLUMN(),FALSE)=0,"",VLOOKUP($A110,貼り付け用!$A$1:$BA$300,COLUMN(),FALSE)),"")</f>
        <v>#N/A</v>
      </c>
      <c r="H110" s="14" t="e">
        <f>IF($A110&lt;&gt;"",IF(VLOOKUP($A110,貼り付け用!$A$1:$BA$300,COLUMN(),FALSE)=0,"",VLOOKUP($A110,貼り付け用!$A$1:$BA$300,COLUMN(),FALSE)),"")</f>
        <v>#N/A</v>
      </c>
      <c r="I110" s="14" t="e">
        <f>IF($A110&lt;&gt;"",IF(VLOOKUP($A110,貼り付け用!$A$1:$BA$300,COLUMN(),FALSE)=0,"",VLOOKUP($A110,貼り付け用!$A$1:$BA$300,COLUMN(),FALSE)),"")</f>
        <v>#N/A</v>
      </c>
      <c r="J110" s="14" t="e">
        <f>IF($A110&lt;&gt;"",IF(VLOOKUP($A110,貼り付け用!$A$1:$BA$300,COLUMN(),FALSE)=0,"",VLOOKUP($A110,貼り付け用!$A$1:$BA$300,COLUMN(),FALSE)),"")</f>
        <v>#N/A</v>
      </c>
      <c r="K110" s="14" t="e">
        <f>IF($A110&lt;&gt;"",IF(VLOOKUP($A110,貼り付け用!$A$1:$BA$300,COLUMN(),FALSE)=0,"",VLOOKUP($A110,貼り付け用!$A$1:$BA$300,COLUMN(),FALSE)),"")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63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IF($A111&lt;&gt;"",IF(VLOOKUP($A111,貼り付け用!$A$1:$BA$300,COLUMN(),FALSE)=0,"",VLOOKUP($A111,貼り付け用!$A$1:$BA$300,COLUMN(),FALSE)),"")</f>
        <v>#N/A</v>
      </c>
      <c r="C111" s="3" t="e">
        <f>IF($A111&lt;&gt;"",IF(VLOOKUP($A111,貼り付け用!$A$1:$BA$300,COLUMN(),FALSE)=0,"",VLOOKUP($A111,貼り付け用!$A$1:$BA$300,COLUMN(),FALSE)),"")</f>
        <v>#N/A</v>
      </c>
      <c r="D111" s="3" t="e">
        <f>IF($A111&lt;&gt;"",IF(VLOOKUP($A111,貼り付け用!$A$1:$BA$300,COLUMN(),FALSE)=0,"",VLOOKUP($A111,貼り付け用!$A$1:$BA$300,COLUMN(),FALSE)),"")</f>
        <v>#N/A</v>
      </c>
      <c r="E111" s="3" t="e">
        <f>IF($A111&lt;&gt;"",IF(VLOOKUP($A111,貼り付け用!$A$1:$BA$300,COLUMN(),FALSE)=0,"",VLOOKUP($A111,貼り付け用!$A$1:$BA$300,COLUMN(),FALSE)),"")</f>
        <v>#N/A</v>
      </c>
      <c r="F111" s="3" t="e">
        <f>IF($A111&lt;&gt;"",IF(VLOOKUP($A111,貼り付け用!$A$1:$BA$300,COLUMN(),FALSE)=0,"",VLOOKUP($A111,貼り付け用!$A$1:$BA$300,COLUMN(),FALSE)),"")</f>
        <v>#N/A</v>
      </c>
      <c r="G111" s="3" t="e">
        <f>IF($A111&lt;&gt;"",IF(VLOOKUP($A111,貼り付け用!$A$1:$BA$300,COLUMN(),FALSE)=0,"",VLOOKUP($A111,貼り付け用!$A$1:$BA$300,COLUMN(),FALSE)),"")</f>
        <v>#N/A</v>
      </c>
      <c r="H111" s="3" t="e">
        <f>IF($A111&lt;&gt;"",IF(VLOOKUP($A111,貼り付け用!$A$1:$BA$300,COLUMN(),FALSE)=0,"",VLOOKUP($A111,貼り付け用!$A$1:$BA$300,COLUMN(),FALSE)),"")</f>
        <v>#N/A</v>
      </c>
      <c r="I111" s="3" t="e">
        <f>IF($A111&lt;&gt;"",IF(VLOOKUP($A111,貼り付け用!$A$1:$BA$300,COLUMN(),FALSE)=0,"",VLOOKUP($A111,貼り付け用!$A$1:$BA$300,COLUMN(),FALSE)),"")</f>
        <v>#N/A</v>
      </c>
      <c r="J111" s="3" t="e">
        <f>IF($A111&lt;&gt;"",IF(VLOOKUP($A111,貼り付け用!$A$1:$BA$300,COLUMN(),FALSE)=0,"",VLOOKUP($A111,貼り付け用!$A$1:$BA$300,COLUMN(),FALSE)),"")</f>
        <v>#N/A</v>
      </c>
      <c r="K111" s="3" t="e">
        <f>IF($A111&lt;&gt;"",IF(VLOOKUP($A111,貼り付け用!$A$1:$BA$300,COLUMN(),FALSE)=0,"",VLOOKUP($A111,貼り付け用!$A$1:$BA$300,COLUMN(),FALSE)),"")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63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IF($A112&lt;&gt;"",IF(VLOOKUP($A112,貼り付け用!$A$1:$BA$300,COLUMN(),FALSE)=0,"",VLOOKUP($A112,貼り付け用!$A$1:$BA$300,COLUMN(),FALSE)),"")</f>
        <v>#N/A</v>
      </c>
      <c r="C112" s="14" t="e">
        <f>IF($A112&lt;&gt;"",IF(VLOOKUP($A112,貼り付け用!$A$1:$BA$300,COLUMN(),FALSE)=0,"",VLOOKUP($A112,貼り付け用!$A$1:$BA$300,COLUMN(),FALSE)),"")</f>
        <v>#N/A</v>
      </c>
      <c r="D112" s="14" t="e">
        <f>IF($A112&lt;&gt;"",IF(VLOOKUP($A112,貼り付け用!$A$1:$BA$300,COLUMN(),FALSE)=0,"",VLOOKUP($A112,貼り付け用!$A$1:$BA$300,COLUMN(),FALSE)),"")</f>
        <v>#N/A</v>
      </c>
      <c r="E112" s="14" t="e">
        <f>IF($A112&lt;&gt;"",IF(VLOOKUP($A112,貼り付け用!$A$1:$BA$300,COLUMN(),FALSE)=0,"",VLOOKUP($A112,貼り付け用!$A$1:$BA$300,COLUMN(),FALSE)),"")</f>
        <v>#N/A</v>
      </c>
      <c r="F112" s="14" t="e">
        <f>IF($A112&lt;&gt;"",IF(VLOOKUP($A112,貼り付け用!$A$1:$BA$300,COLUMN(),FALSE)=0,"",VLOOKUP($A112,貼り付け用!$A$1:$BA$300,COLUMN(),FALSE)),"")</f>
        <v>#N/A</v>
      </c>
      <c r="G112" s="14" t="e">
        <f>IF($A112&lt;&gt;"",IF(VLOOKUP($A112,貼り付け用!$A$1:$BA$300,COLUMN(),FALSE)=0,"",VLOOKUP($A112,貼り付け用!$A$1:$BA$300,COLUMN(),FALSE)),"")</f>
        <v>#N/A</v>
      </c>
      <c r="H112" s="14" t="e">
        <f>IF($A112&lt;&gt;"",IF(VLOOKUP($A112,貼り付け用!$A$1:$BA$300,COLUMN(),FALSE)=0,"",VLOOKUP($A112,貼り付け用!$A$1:$BA$300,COLUMN(),FALSE)),"")</f>
        <v>#N/A</v>
      </c>
      <c r="I112" s="14" t="e">
        <f>IF($A112&lt;&gt;"",IF(VLOOKUP($A112,貼り付け用!$A$1:$BA$300,COLUMN(),FALSE)=0,"",VLOOKUP($A112,貼り付け用!$A$1:$BA$300,COLUMN(),FALSE)),"")</f>
        <v>#N/A</v>
      </c>
      <c r="J112" s="14" t="e">
        <f>IF($A112&lt;&gt;"",IF(VLOOKUP($A112,貼り付け用!$A$1:$BA$300,COLUMN(),FALSE)=0,"",VLOOKUP($A112,貼り付け用!$A$1:$BA$300,COLUMN(),FALSE)),"")</f>
        <v>#N/A</v>
      </c>
      <c r="K112" s="14" t="e">
        <f>IF($A112&lt;&gt;"",IF(VLOOKUP($A112,貼り付け用!$A$1:$BA$300,COLUMN(),FALSE)=0,"",VLOOKUP($A112,貼り付け用!$A$1:$BA$300,COLUMN(),FALSE)),"")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63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IF($A113&lt;&gt;"",IF(VLOOKUP($A113,貼り付け用!$A$1:$BA$300,COLUMN(),FALSE)=0,"",VLOOKUP($A113,貼り付け用!$A$1:$BA$300,COLUMN(),FALSE)),"")</f>
        <v>#N/A</v>
      </c>
      <c r="C113" s="3" t="e">
        <f>IF($A113&lt;&gt;"",IF(VLOOKUP($A113,貼り付け用!$A$1:$BA$300,COLUMN(),FALSE)=0,"",VLOOKUP($A113,貼り付け用!$A$1:$BA$300,COLUMN(),FALSE)),"")</f>
        <v>#N/A</v>
      </c>
      <c r="D113" s="3" t="e">
        <f>IF($A113&lt;&gt;"",IF(VLOOKUP($A113,貼り付け用!$A$1:$BA$300,COLUMN(),FALSE)=0,"",VLOOKUP($A113,貼り付け用!$A$1:$BA$300,COLUMN(),FALSE)),"")</f>
        <v>#N/A</v>
      </c>
      <c r="E113" s="3" t="e">
        <f>IF($A113&lt;&gt;"",IF(VLOOKUP($A113,貼り付け用!$A$1:$BA$300,COLUMN(),FALSE)=0,"",VLOOKUP($A113,貼り付け用!$A$1:$BA$300,COLUMN(),FALSE)),"")</f>
        <v>#N/A</v>
      </c>
      <c r="F113" s="3" t="e">
        <f>IF($A113&lt;&gt;"",IF(VLOOKUP($A113,貼り付け用!$A$1:$BA$300,COLUMN(),FALSE)=0,"",VLOOKUP($A113,貼り付け用!$A$1:$BA$300,COLUMN(),FALSE)),"")</f>
        <v>#N/A</v>
      </c>
      <c r="G113" s="3" t="e">
        <f>IF($A113&lt;&gt;"",IF(VLOOKUP($A113,貼り付け用!$A$1:$BA$300,COLUMN(),FALSE)=0,"",VLOOKUP($A113,貼り付け用!$A$1:$BA$300,COLUMN(),FALSE)),"")</f>
        <v>#N/A</v>
      </c>
      <c r="H113" s="3" t="e">
        <f>IF($A113&lt;&gt;"",IF(VLOOKUP($A113,貼り付け用!$A$1:$BA$300,COLUMN(),FALSE)=0,"",VLOOKUP($A113,貼り付け用!$A$1:$BA$300,COLUMN(),FALSE)),"")</f>
        <v>#N/A</v>
      </c>
      <c r="I113" s="3" t="e">
        <f>IF($A113&lt;&gt;"",IF(VLOOKUP($A113,貼り付け用!$A$1:$BA$300,COLUMN(),FALSE)=0,"",VLOOKUP($A113,貼り付け用!$A$1:$BA$300,COLUMN(),FALSE)),"")</f>
        <v>#N/A</v>
      </c>
      <c r="J113" s="3" t="e">
        <f>IF($A113&lt;&gt;"",IF(VLOOKUP($A113,貼り付け用!$A$1:$BA$300,COLUMN(),FALSE)=0,"",VLOOKUP($A113,貼り付け用!$A$1:$BA$300,COLUMN(),FALSE)),"")</f>
        <v>#N/A</v>
      </c>
      <c r="K113" s="3" t="e">
        <f>IF($A113&lt;&gt;"",IF(VLOOKUP($A113,貼り付け用!$A$1:$BA$300,COLUMN(),FALSE)=0,"",VLOOKUP($A113,貼り付け用!$A$1:$BA$300,COLUMN(),FALSE)),"")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63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IF($A114&lt;&gt;"",IF(VLOOKUP($A114,貼り付け用!$A$1:$BA$300,COLUMN(),FALSE)=0,"",VLOOKUP($A114,貼り付け用!$A$1:$BA$300,COLUMN(),FALSE)),"")</f>
        <v>#N/A</v>
      </c>
      <c r="C114" s="14" t="e">
        <f>IF($A114&lt;&gt;"",IF(VLOOKUP($A114,貼り付け用!$A$1:$BA$300,COLUMN(),FALSE)=0,"",VLOOKUP($A114,貼り付け用!$A$1:$BA$300,COLUMN(),FALSE)),"")</f>
        <v>#N/A</v>
      </c>
      <c r="D114" s="14" t="e">
        <f>IF($A114&lt;&gt;"",IF(VLOOKUP($A114,貼り付け用!$A$1:$BA$300,COLUMN(),FALSE)=0,"",VLOOKUP($A114,貼り付け用!$A$1:$BA$300,COLUMN(),FALSE)),"")</f>
        <v>#N/A</v>
      </c>
      <c r="E114" s="14" t="e">
        <f>IF($A114&lt;&gt;"",IF(VLOOKUP($A114,貼り付け用!$A$1:$BA$300,COLUMN(),FALSE)=0,"",VLOOKUP($A114,貼り付け用!$A$1:$BA$300,COLUMN(),FALSE)),"")</f>
        <v>#N/A</v>
      </c>
      <c r="F114" s="14" t="e">
        <f>IF($A114&lt;&gt;"",IF(VLOOKUP($A114,貼り付け用!$A$1:$BA$300,COLUMN(),FALSE)=0,"",VLOOKUP($A114,貼り付け用!$A$1:$BA$300,COLUMN(),FALSE)),"")</f>
        <v>#N/A</v>
      </c>
      <c r="G114" s="14" t="e">
        <f>IF($A114&lt;&gt;"",IF(VLOOKUP($A114,貼り付け用!$A$1:$BA$300,COLUMN(),FALSE)=0,"",VLOOKUP($A114,貼り付け用!$A$1:$BA$300,COLUMN(),FALSE)),"")</f>
        <v>#N/A</v>
      </c>
      <c r="H114" s="14" t="e">
        <f>IF($A114&lt;&gt;"",IF(VLOOKUP($A114,貼り付け用!$A$1:$BA$300,COLUMN(),FALSE)=0,"",VLOOKUP($A114,貼り付け用!$A$1:$BA$300,COLUMN(),FALSE)),"")</f>
        <v>#N/A</v>
      </c>
      <c r="I114" s="14" t="e">
        <f>IF($A114&lt;&gt;"",IF(VLOOKUP($A114,貼り付け用!$A$1:$BA$300,COLUMN(),FALSE)=0,"",VLOOKUP($A114,貼り付け用!$A$1:$BA$300,COLUMN(),FALSE)),"")</f>
        <v>#N/A</v>
      </c>
      <c r="J114" s="14" t="e">
        <f>IF($A114&lt;&gt;"",IF(VLOOKUP($A114,貼り付け用!$A$1:$BA$300,COLUMN(),FALSE)=0,"",VLOOKUP($A114,貼り付け用!$A$1:$BA$300,COLUMN(),FALSE)),"")</f>
        <v>#N/A</v>
      </c>
      <c r="K114" s="14" t="e">
        <f>IF($A114&lt;&gt;"",IF(VLOOKUP($A114,貼り付け用!$A$1:$BA$300,COLUMN(),FALSE)=0,"",VLOOKUP($A114,貼り付け用!$A$1:$BA$300,COLUMN(),FALSE)),"")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63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IF($A115&lt;&gt;"",IF(VLOOKUP($A115,貼り付け用!$A$1:$BA$300,COLUMN(),FALSE)=0,"",VLOOKUP($A115,貼り付け用!$A$1:$BA$300,COLUMN(),FALSE)),"")</f>
        <v>#N/A</v>
      </c>
      <c r="C115" s="3" t="e">
        <f>IF($A115&lt;&gt;"",IF(VLOOKUP($A115,貼り付け用!$A$1:$BA$300,COLUMN(),FALSE)=0,"",VLOOKUP($A115,貼り付け用!$A$1:$BA$300,COLUMN(),FALSE)),"")</f>
        <v>#N/A</v>
      </c>
      <c r="D115" s="3" t="e">
        <f>IF($A115&lt;&gt;"",IF(VLOOKUP($A115,貼り付け用!$A$1:$BA$300,COLUMN(),FALSE)=0,"",VLOOKUP($A115,貼り付け用!$A$1:$BA$300,COLUMN(),FALSE)),"")</f>
        <v>#N/A</v>
      </c>
      <c r="E115" s="3" t="e">
        <f>IF($A115&lt;&gt;"",IF(VLOOKUP($A115,貼り付け用!$A$1:$BA$300,COLUMN(),FALSE)=0,"",VLOOKUP($A115,貼り付け用!$A$1:$BA$300,COLUMN(),FALSE)),"")</f>
        <v>#N/A</v>
      </c>
      <c r="F115" s="3" t="e">
        <f>IF($A115&lt;&gt;"",IF(VLOOKUP($A115,貼り付け用!$A$1:$BA$300,COLUMN(),FALSE)=0,"",VLOOKUP($A115,貼り付け用!$A$1:$BA$300,COLUMN(),FALSE)),"")</f>
        <v>#N/A</v>
      </c>
      <c r="G115" s="3" t="e">
        <f>IF($A115&lt;&gt;"",IF(VLOOKUP($A115,貼り付け用!$A$1:$BA$300,COLUMN(),FALSE)=0,"",VLOOKUP($A115,貼り付け用!$A$1:$BA$300,COLUMN(),FALSE)),"")</f>
        <v>#N/A</v>
      </c>
      <c r="H115" s="3" t="e">
        <f>IF($A115&lt;&gt;"",IF(VLOOKUP($A115,貼り付け用!$A$1:$BA$300,COLUMN(),FALSE)=0,"",VLOOKUP($A115,貼り付け用!$A$1:$BA$300,COLUMN(),FALSE)),"")</f>
        <v>#N/A</v>
      </c>
      <c r="I115" s="3" t="e">
        <f>IF($A115&lt;&gt;"",IF(VLOOKUP($A115,貼り付け用!$A$1:$BA$300,COLUMN(),FALSE)=0,"",VLOOKUP($A115,貼り付け用!$A$1:$BA$300,COLUMN(),FALSE)),"")</f>
        <v>#N/A</v>
      </c>
      <c r="J115" s="3" t="e">
        <f>IF($A115&lt;&gt;"",IF(VLOOKUP($A115,貼り付け用!$A$1:$BA$300,COLUMN(),FALSE)=0,"",VLOOKUP($A115,貼り付け用!$A$1:$BA$300,COLUMN(),FALSE)),"")</f>
        <v>#N/A</v>
      </c>
      <c r="K115" s="3" t="e">
        <f>IF($A115&lt;&gt;"",IF(VLOOKUP($A115,貼り付け用!$A$1:$BA$300,COLUMN(),FALSE)=0,"",VLOOKUP($A115,貼り付け用!$A$1:$BA$300,COLUMN(),FALSE)),"")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63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IF($A116&lt;&gt;"",IF(VLOOKUP($A116,貼り付け用!$A$1:$BA$300,COLUMN(),FALSE)=0,"",VLOOKUP($A116,貼り付け用!$A$1:$BA$300,COLUMN(),FALSE)),"")</f>
        <v>#N/A</v>
      </c>
      <c r="C116" s="14" t="e">
        <f>IF($A116&lt;&gt;"",IF(VLOOKUP($A116,貼り付け用!$A$1:$BA$300,COLUMN(),FALSE)=0,"",VLOOKUP($A116,貼り付け用!$A$1:$BA$300,COLUMN(),FALSE)),"")</f>
        <v>#N/A</v>
      </c>
      <c r="D116" s="14" t="e">
        <f>IF($A116&lt;&gt;"",IF(VLOOKUP($A116,貼り付け用!$A$1:$BA$300,COLUMN(),FALSE)=0,"",VLOOKUP($A116,貼り付け用!$A$1:$BA$300,COLUMN(),FALSE)),"")</f>
        <v>#N/A</v>
      </c>
      <c r="E116" s="14" t="e">
        <f>IF($A116&lt;&gt;"",IF(VLOOKUP($A116,貼り付け用!$A$1:$BA$300,COLUMN(),FALSE)=0,"",VLOOKUP($A116,貼り付け用!$A$1:$BA$300,COLUMN(),FALSE)),"")</f>
        <v>#N/A</v>
      </c>
      <c r="F116" s="14" t="e">
        <f>IF($A116&lt;&gt;"",IF(VLOOKUP($A116,貼り付け用!$A$1:$BA$300,COLUMN(),FALSE)=0,"",VLOOKUP($A116,貼り付け用!$A$1:$BA$300,COLUMN(),FALSE)),"")</f>
        <v>#N/A</v>
      </c>
      <c r="G116" s="14" t="e">
        <f>IF($A116&lt;&gt;"",IF(VLOOKUP($A116,貼り付け用!$A$1:$BA$300,COLUMN(),FALSE)=0,"",VLOOKUP($A116,貼り付け用!$A$1:$BA$300,COLUMN(),FALSE)),"")</f>
        <v>#N/A</v>
      </c>
      <c r="H116" s="14" t="e">
        <f>IF($A116&lt;&gt;"",IF(VLOOKUP($A116,貼り付け用!$A$1:$BA$300,COLUMN(),FALSE)=0,"",VLOOKUP($A116,貼り付け用!$A$1:$BA$300,COLUMN(),FALSE)),"")</f>
        <v>#N/A</v>
      </c>
      <c r="I116" s="14" t="e">
        <f>IF($A116&lt;&gt;"",IF(VLOOKUP($A116,貼り付け用!$A$1:$BA$300,COLUMN(),FALSE)=0,"",VLOOKUP($A116,貼り付け用!$A$1:$BA$300,COLUMN(),FALSE)),"")</f>
        <v>#N/A</v>
      </c>
      <c r="J116" s="14" t="e">
        <f>IF($A116&lt;&gt;"",IF(VLOOKUP($A116,貼り付け用!$A$1:$BA$300,COLUMN(),FALSE)=0,"",VLOOKUP($A116,貼り付け用!$A$1:$BA$300,COLUMN(),FALSE)),"")</f>
        <v>#N/A</v>
      </c>
      <c r="K116" s="14" t="e">
        <f>IF($A116&lt;&gt;"",IF(VLOOKUP($A116,貼り付け用!$A$1:$BA$300,COLUMN(),FALSE)=0,"",VLOOKUP($A116,貼り付け用!$A$1:$BA$300,COLUMN(),FALSE)),"")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63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IF($A117&lt;&gt;"",IF(VLOOKUP($A117,貼り付け用!$A$1:$BA$300,COLUMN(),FALSE)=0,"",VLOOKUP($A117,貼り付け用!$A$1:$BA$300,COLUMN(),FALSE)),"")</f>
        <v>#N/A</v>
      </c>
      <c r="C117" s="3" t="e">
        <f>IF($A117&lt;&gt;"",IF(VLOOKUP($A117,貼り付け用!$A$1:$BA$300,COLUMN(),FALSE)=0,"",VLOOKUP($A117,貼り付け用!$A$1:$BA$300,COLUMN(),FALSE)),"")</f>
        <v>#N/A</v>
      </c>
      <c r="D117" s="3" t="e">
        <f>IF($A117&lt;&gt;"",IF(VLOOKUP($A117,貼り付け用!$A$1:$BA$300,COLUMN(),FALSE)=0,"",VLOOKUP($A117,貼り付け用!$A$1:$BA$300,COLUMN(),FALSE)),"")</f>
        <v>#N/A</v>
      </c>
      <c r="E117" s="3" t="e">
        <f>IF($A117&lt;&gt;"",IF(VLOOKUP($A117,貼り付け用!$A$1:$BA$300,COLUMN(),FALSE)=0,"",VLOOKUP($A117,貼り付け用!$A$1:$BA$300,COLUMN(),FALSE)),"")</f>
        <v>#N/A</v>
      </c>
      <c r="F117" s="3" t="e">
        <f>IF($A117&lt;&gt;"",IF(VLOOKUP($A117,貼り付け用!$A$1:$BA$300,COLUMN(),FALSE)=0,"",VLOOKUP($A117,貼り付け用!$A$1:$BA$300,COLUMN(),FALSE)),"")</f>
        <v>#N/A</v>
      </c>
      <c r="G117" s="3" t="e">
        <f>IF($A117&lt;&gt;"",IF(VLOOKUP($A117,貼り付け用!$A$1:$BA$300,COLUMN(),FALSE)=0,"",VLOOKUP($A117,貼り付け用!$A$1:$BA$300,COLUMN(),FALSE)),"")</f>
        <v>#N/A</v>
      </c>
      <c r="H117" s="3" t="e">
        <f>IF($A117&lt;&gt;"",IF(VLOOKUP($A117,貼り付け用!$A$1:$BA$300,COLUMN(),FALSE)=0,"",VLOOKUP($A117,貼り付け用!$A$1:$BA$300,COLUMN(),FALSE)),"")</f>
        <v>#N/A</v>
      </c>
      <c r="I117" s="3" t="e">
        <f>IF($A117&lt;&gt;"",IF(VLOOKUP($A117,貼り付け用!$A$1:$BA$300,COLUMN(),FALSE)=0,"",VLOOKUP($A117,貼り付け用!$A$1:$BA$300,COLUMN(),FALSE)),"")</f>
        <v>#N/A</v>
      </c>
      <c r="J117" s="3" t="e">
        <f>IF($A117&lt;&gt;"",IF(VLOOKUP($A117,貼り付け用!$A$1:$BA$300,COLUMN(),FALSE)=0,"",VLOOKUP($A117,貼り付け用!$A$1:$BA$300,COLUMN(),FALSE)),"")</f>
        <v>#N/A</v>
      </c>
      <c r="K117" s="3" t="e">
        <f>IF($A117&lt;&gt;"",IF(VLOOKUP($A117,貼り付け用!$A$1:$BA$300,COLUMN(),FALSE)=0,"",VLOOKUP($A117,貼り付け用!$A$1:$BA$300,COLUMN(),FALSE)),"")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63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IF($A118&lt;&gt;"",IF(VLOOKUP($A118,貼り付け用!$A$1:$BA$300,COLUMN(),FALSE)=0,"",VLOOKUP($A118,貼り付け用!$A$1:$BA$300,COLUMN(),FALSE)),"")</f>
        <v>#N/A</v>
      </c>
      <c r="C118" s="14" t="e">
        <f>IF($A118&lt;&gt;"",IF(VLOOKUP($A118,貼り付け用!$A$1:$BA$300,COLUMN(),FALSE)=0,"",VLOOKUP($A118,貼り付け用!$A$1:$BA$300,COLUMN(),FALSE)),"")</f>
        <v>#N/A</v>
      </c>
      <c r="D118" s="14" t="e">
        <f>IF($A118&lt;&gt;"",IF(VLOOKUP($A118,貼り付け用!$A$1:$BA$300,COLUMN(),FALSE)=0,"",VLOOKUP($A118,貼り付け用!$A$1:$BA$300,COLUMN(),FALSE)),"")</f>
        <v>#N/A</v>
      </c>
      <c r="E118" s="14" t="e">
        <f>IF($A118&lt;&gt;"",IF(VLOOKUP($A118,貼り付け用!$A$1:$BA$300,COLUMN(),FALSE)=0,"",VLOOKUP($A118,貼り付け用!$A$1:$BA$300,COLUMN(),FALSE)),"")</f>
        <v>#N/A</v>
      </c>
      <c r="F118" s="14" t="e">
        <f>IF($A118&lt;&gt;"",IF(VLOOKUP($A118,貼り付け用!$A$1:$BA$300,COLUMN(),FALSE)=0,"",VLOOKUP($A118,貼り付け用!$A$1:$BA$300,COLUMN(),FALSE)),"")</f>
        <v>#N/A</v>
      </c>
      <c r="G118" s="14" t="e">
        <f>IF($A118&lt;&gt;"",IF(VLOOKUP($A118,貼り付け用!$A$1:$BA$300,COLUMN(),FALSE)=0,"",VLOOKUP($A118,貼り付け用!$A$1:$BA$300,COLUMN(),FALSE)),"")</f>
        <v>#N/A</v>
      </c>
      <c r="H118" s="14" t="e">
        <f>IF($A118&lt;&gt;"",IF(VLOOKUP($A118,貼り付け用!$A$1:$BA$300,COLUMN(),FALSE)=0,"",VLOOKUP($A118,貼り付け用!$A$1:$BA$300,COLUMN(),FALSE)),"")</f>
        <v>#N/A</v>
      </c>
      <c r="I118" s="14" t="e">
        <f>IF($A118&lt;&gt;"",IF(VLOOKUP($A118,貼り付け用!$A$1:$BA$300,COLUMN(),FALSE)=0,"",VLOOKUP($A118,貼り付け用!$A$1:$BA$300,COLUMN(),FALSE)),"")</f>
        <v>#N/A</v>
      </c>
      <c r="J118" s="14" t="e">
        <f>IF($A118&lt;&gt;"",IF(VLOOKUP($A118,貼り付け用!$A$1:$BA$300,COLUMN(),FALSE)=0,"",VLOOKUP($A118,貼り付け用!$A$1:$BA$300,COLUMN(),FALSE)),"")</f>
        <v>#N/A</v>
      </c>
      <c r="K118" s="14" t="e">
        <f>IF($A118&lt;&gt;"",IF(VLOOKUP($A118,貼り付け用!$A$1:$BA$300,COLUMN(),FALSE)=0,"",VLOOKUP($A118,貼り付け用!$A$1:$BA$300,COLUMN(),FALSE)),"")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63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IF($A119&lt;&gt;"",IF(VLOOKUP($A119,貼り付け用!$A$1:$BA$300,COLUMN(),FALSE)=0,"",VLOOKUP($A119,貼り付け用!$A$1:$BA$300,COLUMN(),FALSE)),"")</f>
        <v>#N/A</v>
      </c>
      <c r="C119" s="3" t="e">
        <f>IF($A119&lt;&gt;"",IF(VLOOKUP($A119,貼り付け用!$A$1:$BA$300,COLUMN(),FALSE)=0,"",VLOOKUP($A119,貼り付け用!$A$1:$BA$300,COLUMN(),FALSE)),"")</f>
        <v>#N/A</v>
      </c>
      <c r="D119" s="3" t="e">
        <f>IF($A119&lt;&gt;"",IF(VLOOKUP($A119,貼り付け用!$A$1:$BA$300,COLUMN(),FALSE)=0,"",VLOOKUP($A119,貼り付け用!$A$1:$BA$300,COLUMN(),FALSE)),"")</f>
        <v>#N/A</v>
      </c>
      <c r="E119" s="3" t="e">
        <f>IF($A119&lt;&gt;"",IF(VLOOKUP($A119,貼り付け用!$A$1:$BA$300,COLUMN(),FALSE)=0,"",VLOOKUP($A119,貼り付け用!$A$1:$BA$300,COLUMN(),FALSE)),"")</f>
        <v>#N/A</v>
      </c>
      <c r="F119" s="3" t="e">
        <f>IF($A119&lt;&gt;"",IF(VLOOKUP($A119,貼り付け用!$A$1:$BA$300,COLUMN(),FALSE)=0,"",VLOOKUP($A119,貼り付け用!$A$1:$BA$300,COLUMN(),FALSE)),"")</f>
        <v>#N/A</v>
      </c>
      <c r="G119" s="3" t="e">
        <f>IF($A119&lt;&gt;"",IF(VLOOKUP($A119,貼り付け用!$A$1:$BA$300,COLUMN(),FALSE)=0,"",VLOOKUP($A119,貼り付け用!$A$1:$BA$300,COLUMN(),FALSE)),"")</f>
        <v>#N/A</v>
      </c>
      <c r="H119" s="3" t="e">
        <f>IF($A119&lt;&gt;"",IF(VLOOKUP($A119,貼り付け用!$A$1:$BA$300,COLUMN(),FALSE)=0,"",VLOOKUP($A119,貼り付け用!$A$1:$BA$300,COLUMN(),FALSE)),"")</f>
        <v>#N/A</v>
      </c>
      <c r="I119" s="3" t="e">
        <f>IF($A119&lt;&gt;"",IF(VLOOKUP($A119,貼り付け用!$A$1:$BA$300,COLUMN(),FALSE)=0,"",VLOOKUP($A119,貼り付け用!$A$1:$BA$300,COLUMN(),FALSE)),"")</f>
        <v>#N/A</v>
      </c>
      <c r="J119" s="3" t="e">
        <f>IF($A119&lt;&gt;"",IF(VLOOKUP($A119,貼り付け用!$A$1:$BA$300,COLUMN(),FALSE)=0,"",VLOOKUP($A119,貼り付け用!$A$1:$BA$300,COLUMN(),FALSE)),"")</f>
        <v>#N/A</v>
      </c>
      <c r="K119" s="3" t="e">
        <f>IF($A119&lt;&gt;"",IF(VLOOKUP($A119,貼り付け用!$A$1:$BA$300,COLUMN(),FALSE)=0,"",VLOOKUP($A119,貼り付け用!$A$1:$BA$300,COLUMN(),FALSE)),"")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63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IF($A120&lt;&gt;"",IF(VLOOKUP($A120,貼り付け用!$A$1:$BA$300,COLUMN(),FALSE)=0,"",VLOOKUP($A120,貼り付け用!$A$1:$BA$300,COLUMN(),FALSE)),"")</f>
        <v>#N/A</v>
      </c>
      <c r="C120" s="14" t="e">
        <f>IF($A120&lt;&gt;"",IF(VLOOKUP($A120,貼り付け用!$A$1:$BA$300,COLUMN(),FALSE)=0,"",VLOOKUP($A120,貼り付け用!$A$1:$BA$300,COLUMN(),FALSE)),"")</f>
        <v>#N/A</v>
      </c>
      <c r="D120" s="14" t="e">
        <f>IF($A120&lt;&gt;"",IF(VLOOKUP($A120,貼り付け用!$A$1:$BA$300,COLUMN(),FALSE)=0,"",VLOOKUP($A120,貼り付け用!$A$1:$BA$300,COLUMN(),FALSE)),"")</f>
        <v>#N/A</v>
      </c>
      <c r="E120" s="14" t="e">
        <f>IF($A120&lt;&gt;"",IF(VLOOKUP($A120,貼り付け用!$A$1:$BA$300,COLUMN(),FALSE)=0,"",VLOOKUP($A120,貼り付け用!$A$1:$BA$300,COLUMN(),FALSE)),"")</f>
        <v>#N/A</v>
      </c>
      <c r="F120" s="14" t="e">
        <f>IF($A120&lt;&gt;"",IF(VLOOKUP($A120,貼り付け用!$A$1:$BA$300,COLUMN(),FALSE)=0,"",VLOOKUP($A120,貼り付け用!$A$1:$BA$300,COLUMN(),FALSE)),"")</f>
        <v>#N/A</v>
      </c>
      <c r="G120" s="14" t="e">
        <f>IF($A120&lt;&gt;"",IF(VLOOKUP($A120,貼り付け用!$A$1:$BA$300,COLUMN(),FALSE)=0,"",VLOOKUP($A120,貼り付け用!$A$1:$BA$300,COLUMN(),FALSE)),"")</f>
        <v>#N/A</v>
      </c>
      <c r="H120" s="14" t="e">
        <f>IF($A120&lt;&gt;"",IF(VLOOKUP($A120,貼り付け用!$A$1:$BA$300,COLUMN(),FALSE)=0,"",VLOOKUP($A120,貼り付け用!$A$1:$BA$300,COLUMN(),FALSE)),"")</f>
        <v>#N/A</v>
      </c>
      <c r="I120" s="14" t="e">
        <f>IF($A120&lt;&gt;"",IF(VLOOKUP($A120,貼り付け用!$A$1:$BA$300,COLUMN(),FALSE)=0,"",VLOOKUP($A120,貼り付け用!$A$1:$BA$300,COLUMN(),FALSE)),"")</f>
        <v>#N/A</v>
      </c>
      <c r="J120" s="14" t="e">
        <f>IF($A120&lt;&gt;"",IF(VLOOKUP($A120,貼り付け用!$A$1:$BA$300,COLUMN(),FALSE)=0,"",VLOOKUP($A120,貼り付け用!$A$1:$BA$300,COLUMN(),FALSE)),"")</f>
        <v>#N/A</v>
      </c>
      <c r="K120" s="14" t="e">
        <f>IF($A120&lt;&gt;"",IF(VLOOKUP($A120,貼り付け用!$A$1:$BA$300,COLUMN(),FALSE)=0,"",VLOOKUP($A120,貼り付け用!$A$1:$BA$300,COLUMN(),FALSE)),"")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63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IF($A121&lt;&gt;"",IF(VLOOKUP($A121,貼り付け用!$A$1:$BA$300,COLUMN(),FALSE)=0,"",VLOOKUP($A121,貼り付け用!$A$1:$BA$300,COLUMN(),FALSE)),"")</f>
        <v>#N/A</v>
      </c>
      <c r="C121" s="3" t="e">
        <f>IF($A121&lt;&gt;"",IF(VLOOKUP($A121,貼り付け用!$A$1:$BA$300,COLUMN(),FALSE)=0,"",VLOOKUP($A121,貼り付け用!$A$1:$BA$300,COLUMN(),FALSE)),"")</f>
        <v>#N/A</v>
      </c>
      <c r="D121" s="3" t="e">
        <f>IF($A121&lt;&gt;"",IF(VLOOKUP($A121,貼り付け用!$A$1:$BA$300,COLUMN(),FALSE)=0,"",VLOOKUP($A121,貼り付け用!$A$1:$BA$300,COLUMN(),FALSE)),"")</f>
        <v>#N/A</v>
      </c>
      <c r="E121" s="3" t="e">
        <f>IF($A121&lt;&gt;"",IF(VLOOKUP($A121,貼り付け用!$A$1:$BA$300,COLUMN(),FALSE)=0,"",VLOOKUP($A121,貼り付け用!$A$1:$BA$300,COLUMN(),FALSE)),"")</f>
        <v>#N/A</v>
      </c>
      <c r="F121" s="3" t="e">
        <f>IF($A121&lt;&gt;"",IF(VLOOKUP($A121,貼り付け用!$A$1:$BA$300,COLUMN(),FALSE)=0,"",VLOOKUP($A121,貼り付け用!$A$1:$BA$300,COLUMN(),FALSE)),"")</f>
        <v>#N/A</v>
      </c>
      <c r="G121" s="3" t="e">
        <f>IF($A121&lt;&gt;"",IF(VLOOKUP($A121,貼り付け用!$A$1:$BA$300,COLUMN(),FALSE)=0,"",VLOOKUP($A121,貼り付け用!$A$1:$BA$300,COLUMN(),FALSE)),"")</f>
        <v>#N/A</v>
      </c>
      <c r="H121" s="3" t="e">
        <f>IF($A121&lt;&gt;"",IF(VLOOKUP($A121,貼り付け用!$A$1:$BA$300,COLUMN(),FALSE)=0,"",VLOOKUP($A121,貼り付け用!$A$1:$BA$300,COLUMN(),FALSE)),"")</f>
        <v>#N/A</v>
      </c>
      <c r="I121" s="3" t="e">
        <f>IF($A121&lt;&gt;"",IF(VLOOKUP($A121,貼り付け用!$A$1:$BA$300,COLUMN(),FALSE)=0,"",VLOOKUP($A121,貼り付け用!$A$1:$BA$300,COLUMN(),FALSE)),"")</f>
        <v>#N/A</v>
      </c>
      <c r="J121" s="3" t="e">
        <f>IF($A121&lt;&gt;"",IF(VLOOKUP($A121,貼り付け用!$A$1:$BA$300,COLUMN(),FALSE)=0,"",VLOOKUP($A121,貼り付け用!$A$1:$BA$300,COLUMN(),FALSE)),"")</f>
        <v>#N/A</v>
      </c>
      <c r="K121" s="3" t="e">
        <f>IF($A121&lt;&gt;"",IF(VLOOKUP($A121,貼り付け用!$A$1:$BA$300,COLUMN(),FALSE)=0,"",VLOOKUP($A121,貼り付け用!$A$1:$BA$300,COLUMN(),FALSE)),"")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63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IF($A122&lt;&gt;"",IF(VLOOKUP($A122,貼り付け用!$A$1:$BA$300,COLUMN(),FALSE)=0,"",VLOOKUP($A122,貼り付け用!$A$1:$BA$300,COLUMN(),FALSE)),"")</f>
        <v>#N/A</v>
      </c>
      <c r="C122" s="14" t="e">
        <f>IF($A122&lt;&gt;"",IF(VLOOKUP($A122,貼り付け用!$A$1:$BA$300,COLUMN(),FALSE)=0,"",VLOOKUP($A122,貼り付け用!$A$1:$BA$300,COLUMN(),FALSE)),"")</f>
        <v>#N/A</v>
      </c>
      <c r="D122" s="14" t="e">
        <f>IF($A122&lt;&gt;"",IF(VLOOKUP($A122,貼り付け用!$A$1:$BA$300,COLUMN(),FALSE)=0,"",VLOOKUP($A122,貼り付け用!$A$1:$BA$300,COLUMN(),FALSE)),"")</f>
        <v>#N/A</v>
      </c>
      <c r="E122" s="14" t="e">
        <f>IF($A122&lt;&gt;"",IF(VLOOKUP($A122,貼り付け用!$A$1:$BA$300,COLUMN(),FALSE)=0,"",VLOOKUP($A122,貼り付け用!$A$1:$BA$300,COLUMN(),FALSE)),"")</f>
        <v>#N/A</v>
      </c>
      <c r="F122" s="14" t="e">
        <f>IF($A122&lt;&gt;"",IF(VLOOKUP($A122,貼り付け用!$A$1:$BA$300,COLUMN(),FALSE)=0,"",VLOOKUP($A122,貼り付け用!$A$1:$BA$300,COLUMN(),FALSE)),"")</f>
        <v>#N/A</v>
      </c>
      <c r="G122" s="14" t="e">
        <f>IF($A122&lt;&gt;"",IF(VLOOKUP($A122,貼り付け用!$A$1:$BA$300,COLUMN(),FALSE)=0,"",VLOOKUP($A122,貼り付け用!$A$1:$BA$300,COLUMN(),FALSE)),"")</f>
        <v>#N/A</v>
      </c>
      <c r="H122" s="14" t="e">
        <f>IF($A122&lt;&gt;"",IF(VLOOKUP($A122,貼り付け用!$A$1:$BA$300,COLUMN(),FALSE)=0,"",VLOOKUP($A122,貼り付け用!$A$1:$BA$300,COLUMN(),FALSE)),"")</f>
        <v>#N/A</v>
      </c>
      <c r="I122" s="14" t="e">
        <f>IF($A122&lt;&gt;"",IF(VLOOKUP($A122,貼り付け用!$A$1:$BA$300,COLUMN(),FALSE)=0,"",VLOOKUP($A122,貼り付け用!$A$1:$BA$300,COLUMN(),FALSE)),"")</f>
        <v>#N/A</v>
      </c>
      <c r="J122" s="14" t="e">
        <f>IF($A122&lt;&gt;"",IF(VLOOKUP($A122,貼り付け用!$A$1:$BA$300,COLUMN(),FALSE)=0,"",VLOOKUP($A122,貼り付け用!$A$1:$BA$300,COLUMN(),FALSE)),"")</f>
        <v>#N/A</v>
      </c>
      <c r="K122" s="14" t="e">
        <f>IF($A122&lt;&gt;"",IF(VLOOKUP($A122,貼り付け用!$A$1:$BA$300,COLUMN(),FALSE)=0,"",VLOOKUP($A122,貼り付け用!$A$1:$BA$300,COLUMN(),FALSE)),"")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63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IF($A123&lt;&gt;"",IF(VLOOKUP($A123,貼り付け用!$A$1:$BA$300,COLUMN(),FALSE)=0,"",VLOOKUP($A123,貼り付け用!$A$1:$BA$300,COLUMN(),FALSE)),"")</f>
        <v>#N/A</v>
      </c>
      <c r="C123" s="3" t="e">
        <f>IF($A123&lt;&gt;"",IF(VLOOKUP($A123,貼り付け用!$A$1:$BA$300,COLUMN(),FALSE)=0,"",VLOOKUP($A123,貼り付け用!$A$1:$BA$300,COLUMN(),FALSE)),"")</f>
        <v>#N/A</v>
      </c>
      <c r="D123" s="3" t="e">
        <f>IF($A123&lt;&gt;"",IF(VLOOKUP($A123,貼り付け用!$A$1:$BA$300,COLUMN(),FALSE)=0,"",VLOOKUP($A123,貼り付け用!$A$1:$BA$300,COLUMN(),FALSE)),"")</f>
        <v>#N/A</v>
      </c>
      <c r="E123" s="3" t="e">
        <f>IF($A123&lt;&gt;"",IF(VLOOKUP($A123,貼り付け用!$A$1:$BA$300,COLUMN(),FALSE)=0,"",VLOOKUP($A123,貼り付け用!$A$1:$BA$300,COLUMN(),FALSE)),"")</f>
        <v>#N/A</v>
      </c>
      <c r="F123" s="3" t="e">
        <f>IF($A123&lt;&gt;"",IF(VLOOKUP($A123,貼り付け用!$A$1:$BA$300,COLUMN(),FALSE)=0,"",VLOOKUP($A123,貼り付け用!$A$1:$BA$300,COLUMN(),FALSE)),"")</f>
        <v>#N/A</v>
      </c>
      <c r="G123" s="3" t="e">
        <f>IF($A123&lt;&gt;"",IF(VLOOKUP($A123,貼り付け用!$A$1:$BA$300,COLUMN(),FALSE)=0,"",VLOOKUP($A123,貼り付け用!$A$1:$BA$300,COLUMN(),FALSE)),"")</f>
        <v>#N/A</v>
      </c>
      <c r="H123" s="3" t="e">
        <f>IF($A123&lt;&gt;"",IF(VLOOKUP($A123,貼り付け用!$A$1:$BA$300,COLUMN(),FALSE)=0,"",VLOOKUP($A123,貼り付け用!$A$1:$BA$300,COLUMN(),FALSE)),"")</f>
        <v>#N/A</v>
      </c>
      <c r="I123" s="3" t="e">
        <f>IF($A123&lt;&gt;"",IF(VLOOKUP($A123,貼り付け用!$A$1:$BA$300,COLUMN(),FALSE)=0,"",VLOOKUP($A123,貼り付け用!$A$1:$BA$300,COLUMN(),FALSE)),"")</f>
        <v>#N/A</v>
      </c>
      <c r="J123" s="3" t="e">
        <f>IF($A123&lt;&gt;"",IF(VLOOKUP($A123,貼り付け用!$A$1:$BA$300,COLUMN(),FALSE)=0,"",VLOOKUP($A123,貼り付け用!$A$1:$BA$300,COLUMN(),FALSE)),"")</f>
        <v>#N/A</v>
      </c>
      <c r="K123" s="3" t="e">
        <f>IF($A123&lt;&gt;"",IF(VLOOKUP($A123,貼り付け用!$A$1:$BA$300,COLUMN(),FALSE)=0,"",VLOOKUP($A123,貼り付け用!$A$1:$BA$300,COLUMN(),FALSE)),"")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63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IF($A124&lt;&gt;"",IF(VLOOKUP($A124,貼り付け用!$A$1:$BA$300,COLUMN(),FALSE)=0,"",VLOOKUP($A124,貼り付け用!$A$1:$BA$300,COLUMN(),FALSE)),"")</f>
        <v>#N/A</v>
      </c>
      <c r="C124" s="14" t="e">
        <f>IF($A124&lt;&gt;"",IF(VLOOKUP($A124,貼り付け用!$A$1:$BA$300,COLUMN(),FALSE)=0,"",VLOOKUP($A124,貼り付け用!$A$1:$BA$300,COLUMN(),FALSE)),"")</f>
        <v>#N/A</v>
      </c>
      <c r="D124" s="14" t="e">
        <f>IF($A124&lt;&gt;"",IF(VLOOKUP($A124,貼り付け用!$A$1:$BA$300,COLUMN(),FALSE)=0,"",VLOOKUP($A124,貼り付け用!$A$1:$BA$300,COLUMN(),FALSE)),"")</f>
        <v>#N/A</v>
      </c>
      <c r="E124" s="14" t="e">
        <f>IF($A124&lt;&gt;"",IF(VLOOKUP($A124,貼り付け用!$A$1:$BA$300,COLUMN(),FALSE)=0,"",VLOOKUP($A124,貼り付け用!$A$1:$BA$300,COLUMN(),FALSE)),"")</f>
        <v>#N/A</v>
      </c>
      <c r="F124" s="14" t="e">
        <f>IF($A124&lt;&gt;"",IF(VLOOKUP($A124,貼り付け用!$A$1:$BA$300,COLUMN(),FALSE)=0,"",VLOOKUP($A124,貼り付け用!$A$1:$BA$300,COLUMN(),FALSE)),"")</f>
        <v>#N/A</v>
      </c>
      <c r="G124" s="14" t="e">
        <f>IF($A124&lt;&gt;"",IF(VLOOKUP($A124,貼り付け用!$A$1:$BA$300,COLUMN(),FALSE)=0,"",VLOOKUP($A124,貼り付け用!$A$1:$BA$300,COLUMN(),FALSE)),"")</f>
        <v>#N/A</v>
      </c>
      <c r="H124" s="14" t="e">
        <f>IF($A124&lt;&gt;"",IF(VLOOKUP($A124,貼り付け用!$A$1:$BA$300,COLUMN(),FALSE)=0,"",VLOOKUP($A124,貼り付け用!$A$1:$BA$300,COLUMN(),FALSE)),"")</f>
        <v>#N/A</v>
      </c>
      <c r="I124" s="14" t="e">
        <f>IF($A124&lt;&gt;"",IF(VLOOKUP($A124,貼り付け用!$A$1:$BA$300,COLUMN(),FALSE)=0,"",VLOOKUP($A124,貼り付け用!$A$1:$BA$300,COLUMN(),FALSE)),"")</f>
        <v>#N/A</v>
      </c>
      <c r="J124" s="14" t="e">
        <f>IF($A124&lt;&gt;"",IF(VLOOKUP($A124,貼り付け用!$A$1:$BA$300,COLUMN(),FALSE)=0,"",VLOOKUP($A124,貼り付け用!$A$1:$BA$300,COLUMN(),FALSE)),"")</f>
        <v>#N/A</v>
      </c>
      <c r="K124" s="14" t="e">
        <f>IF($A124&lt;&gt;"",IF(VLOOKUP($A124,貼り付け用!$A$1:$BA$300,COLUMN(),FALSE)=0,"",VLOOKUP($A124,貼り付け用!$A$1:$BA$300,COLUMN(),FALSE)),"")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63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IF($A125&lt;&gt;"",IF(VLOOKUP($A125,貼り付け用!$A$1:$BA$300,COLUMN(),FALSE)=0,"",VLOOKUP($A125,貼り付け用!$A$1:$BA$300,COLUMN(),FALSE)),"")</f>
        <v>#N/A</v>
      </c>
      <c r="C125" s="3" t="e">
        <f>IF($A125&lt;&gt;"",IF(VLOOKUP($A125,貼り付け用!$A$1:$BA$300,COLUMN(),FALSE)=0,"",VLOOKUP($A125,貼り付け用!$A$1:$BA$300,COLUMN(),FALSE)),"")</f>
        <v>#N/A</v>
      </c>
      <c r="D125" s="3" t="e">
        <f>IF($A125&lt;&gt;"",IF(VLOOKUP($A125,貼り付け用!$A$1:$BA$300,COLUMN(),FALSE)=0,"",VLOOKUP($A125,貼り付け用!$A$1:$BA$300,COLUMN(),FALSE)),"")</f>
        <v>#N/A</v>
      </c>
      <c r="E125" s="3" t="e">
        <f>IF($A125&lt;&gt;"",IF(VLOOKUP($A125,貼り付け用!$A$1:$BA$300,COLUMN(),FALSE)=0,"",VLOOKUP($A125,貼り付け用!$A$1:$BA$300,COLUMN(),FALSE)),"")</f>
        <v>#N/A</v>
      </c>
      <c r="F125" s="3" t="e">
        <f>IF($A125&lt;&gt;"",IF(VLOOKUP($A125,貼り付け用!$A$1:$BA$300,COLUMN(),FALSE)=0,"",VLOOKUP($A125,貼り付け用!$A$1:$BA$300,COLUMN(),FALSE)),"")</f>
        <v>#N/A</v>
      </c>
      <c r="G125" s="3" t="e">
        <f>IF($A125&lt;&gt;"",IF(VLOOKUP($A125,貼り付け用!$A$1:$BA$300,COLUMN(),FALSE)=0,"",VLOOKUP($A125,貼り付け用!$A$1:$BA$300,COLUMN(),FALSE)),"")</f>
        <v>#N/A</v>
      </c>
      <c r="H125" s="3" t="e">
        <f>IF($A125&lt;&gt;"",IF(VLOOKUP($A125,貼り付け用!$A$1:$BA$300,COLUMN(),FALSE)=0,"",VLOOKUP($A125,貼り付け用!$A$1:$BA$300,COLUMN(),FALSE)),"")</f>
        <v>#N/A</v>
      </c>
      <c r="I125" s="3" t="e">
        <f>IF($A125&lt;&gt;"",IF(VLOOKUP($A125,貼り付け用!$A$1:$BA$300,COLUMN(),FALSE)=0,"",VLOOKUP($A125,貼り付け用!$A$1:$BA$300,COLUMN(),FALSE)),"")</f>
        <v>#N/A</v>
      </c>
      <c r="J125" s="3" t="e">
        <f>IF($A125&lt;&gt;"",IF(VLOOKUP($A125,貼り付け用!$A$1:$BA$300,COLUMN(),FALSE)=0,"",VLOOKUP($A125,貼り付け用!$A$1:$BA$300,COLUMN(),FALSE)),"")</f>
        <v>#N/A</v>
      </c>
      <c r="K125" s="3" t="e">
        <f>IF($A125&lt;&gt;"",IF(VLOOKUP($A125,貼り付け用!$A$1:$BA$300,COLUMN(),FALSE)=0,"",VLOOKUP($A125,貼り付け用!$A$1:$BA$300,COLUMN(),FALSE)),"")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63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IF($A126&lt;&gt;"",IF(VLOOKUP($A126,貼り付け用!$A$1:$BA$300,COLUMN(),FALSE)=0,"",VLOOKUP($A126,貼り付け用!$A$1:$BA$300,COLUMN(),FALSE)),"")</f>
        <v>#N/A</v>
      </c>
      <c r="C126" s="14" t="e">
        <f>IF($A126&lt;&gt;"",IF(VLOOKUP($A126,貼り付け用!$A$1:$BA$300,COLUMN(),FALSE)=0,"",VLOOKUP($A126,貼り付け用!$A$1:$BA$300,COLUMN(),FALSE)),"")</f>
        <v>#N/A</v>
      </c>
      <c r="D126" s="14" t="e">
        <f>IF($A126&lt;&gt;"",IF(VLOOKUP($A126,貼り付け用!$A$1:$BA$300,COLUMN(),FALSE)=0,"",VLOOKUP($A126,貼り付け用!$A$1:$BA$300,COLUMN(),FALSE)),"")</f>
        <v>#N/A</v>
      </c>
      <c r="E126" s="14" t="e">
        <f>IF($A126&lt;&gt;"",IF(VLOOKUP($A126,貼り付け用!$A$1:$BA$300,COLUMN(),FALSE)=0,"",VLOOKUP($A126,貼り付け用!$A$1:$BA$300,COLUMN(),FALSE)),"")</f>
        <v>#N/A</v>
      </c>
      <c r="F126" s="14" t="e">
        <f>IF($A126&lt;&gt;"",IF(VLOOKUP($A126,貼り付け用!$A$1:$BA$300,COLUMN(),FALSE)=0,"",VLOOKUP($A126,貼り付け用!$A$1:$BA$300,COLUMN(),FALSE)),"")</f>
        <v>#N/A</v>
      </c>
      <c r="G126" s="14" t="e">
        <f>IF($A126&lt;&gt;"",IF(VLOOKUP($A126,貼り付け用!$A$1:$BA$300,COLUMN(),FALSE)=0,"",VLOOKUP($A126,貼り付け用!$A$1:$BA$300,COLUMN(),FALSE)),"")</f>
        <v>#N/A</v>
      </c>
      <c r="H126" s="14" t="e">
        <f>IF($A126&lt;&gt;"",IF(VLOOKUP($A126,貼り付け用!$A$1:$BA$300,COLUMN(),FALSE)=0,"",VLOOKUP($A126,貼り付け用!$A$1:$BA$300,COLUMN(),FALSE)),"")</f>
        <v>#N/A</v>
      </c>
      <c r="I126" s="14" t="e">
        <f>IF($A126&lt;&gt;"",IF(VLOOKUP($A126,貼り付け用!$A$1:$BA$300,COLUMN(),FALSE)=0,"",VLOOKUP($A126,貼り付け用!$A$1:$BA$300,COLUMN(),FALSE)),"")</f>
        <v>#N/A</v>
      </c>
      <c r="J126" s="14" t="e">
        <f>IF($A126&lt;&gt;"",IF(VLOOKUP($A126,貼り付け用!$A$1:$BA$300,COLUMN(),FALSE)=0,"",VLOOKUP($A126,貼り付け用!$A$1:$BA$300,COLUMN(),FALSE)),"")</f>
        <v>#N/A</v>
      </c>
      <c r="K126" s="14" t="e">
        <f>IF($A126&lt;&gt;"",IF(VLOOKUP($A126,貼り付け用!$A$1:$BA$300,COLUMN(),FALSE)=0,"",VLOOKUP($A126,貼り付け用!$A$1:$BA$300,COLUMN(),FALSE)),"")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63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IF($A127&lt;&gt;"",IF(VLOOKUP($A127,貼り付け用!$A$1:$BA$300,COLUMN(),FALSE)=0,"",VLOOKUP($A127,貼り付け用!$A$1:$BA$300,COLUMN(),FALSE)),"")</f>
        <v>#N/A</v>
      </c>
      <c r="C127" s="3" t="e">
        <f>IF($A127&lt;&gt;"",IF(VLOOKUP($A127,貼り付け用!$A$1:$BA$300,COLUMN(),FALSE)=0,"",VLOOKUP($A127,貼り付け用!$A$1:$BA$300,COLUMN(),FALSE)),"")</f>
        <v>#N/A</v>
      </c>
      <c r="D127" s="3" t="e">
        <f>IF($A127&lt;&gt;"",IF(VLOOKUP($A127,貼り付け用!$A$1:$BA$300,COLUMN(),FALSE)=0,"",VLOOKUP($A127,貼り付け用!$A$1:$BA$300,COLUMN(),FALSE)),"")</f>
        <v>#N/A</v>
      </c>
      <c r="E127" s="3" t="e">
        <f>IF($A127&lt;&gt;"",IF(VLOOKUP($A127,貼り付け用!$A$1:$BA$300,COLUMN(),FALSE)=0,"",VLOOKUP($A127,貼り付け用!$A$1:$BA$300,COLUMN(),FALSE)),"")</f>
        <v>#N/A</v>
      </c>
      <c r="F127" s="3" t="e">
        <f>IF($A127&lt;&gt;"",IF(VLOOKUP($A127,貼り付け用!$A$1:$BA$300,COLUMN(),FALSE)=0,"",VLOOKUP($A127,貼り付け用!$A$1:$BA$300,COLUMN(),FALSE)),"")</f>
        <v>#N/A</v>
      </c>
      <c r="G127" s="3" t="e">
        <f>IF($A127&lt;&gt;"",IF(VLOOKUP($A127,貼り付け用!$A$1:$BA$300,COLUMN(),FALSE)=0,"",VLOOKUP($A127,貼り付け用!$A$1:$BA$300,COLUMN(),FALSE)),"")</f>
        <v>#N/A</v>
      </c>
      <c r="H127" s="3" t="e">
        <f>IF($A127&lt;&gt;"",IF(VLOOKUP($A127,貼り付け用!$A$1:$BA$300,COLUMN(),FALSE)=0,"",VLOOKUP($A127,貼り付け用!$A$1:$BA$300,COLUMN(),FALSE)),"")</f>
        <v>#N/A</v>
      </c>
      <c r="I127" s="3" t="e">
        <f>IF($A127&lt;&gt;"",IF(VLOOKUP($A127,貼り付け用!$A$1:$BA$300,COLUMN(),FALSE)=0,"",VLOOKUP($A127,貼り付け用!$A$1:$BA$300,COLUMN(),FALSE)),"")</f>
        <v>#N/A</v>
      </c>
      <c r="J127" s="3" t="e">
        <f>IF($A127&lt;&gt;"",IF(VLOOKUP($A127,貼り付け用!$A$1:$BA$300,COLUMN(),FALSE)=0,"",VLOOKUP($A127,貼り付け用!$A$1:$BA$300,COLUMN(),FALSE)),"")</f>
        <v>#N/A</v>
      </c>
      <c r="K127" s="3" t="e">
        <f>IF($A127&lt;&gt;"",IF(VLOOKUP($A127,貼り付け用!$A$1:$BA$300,COLUMN(),FALSE)=0,"",VLOOKUP($A127,貼り付け用!$A$1:$BA$300,COLUMN(),FALSE)),"")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63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IF($A128&lt;&gt;"",IF(VLOOKUP($A128,貼り付け用!$A$1:$BA$300,COLUMN(),FALSE)=0,"",VLOOKUP($A128,貼り付け用!$A$1:$BA$300,COLUMN(),FALSE)),"")</f>
        <v>#N/A</v>
      </c>
      <c r="C128" s="14" t="e">
        <f>IF($A128&lt;&gt;"",IF(VLOOKUP($A128,貼り付け用!$A$1:$BA$300,COLUMN(),FALSE)=0,"",VLOOKUP($A128,貼り付け用!$A$1:$BA$300,COLUMN(),FALSE)),"")</f>
        <v>#N/A</v>
      </c>
      <c r="D128" s="14" t="e">
        <f>IF($A128&lt;&gt;"",IF(VLOOKUP($A128,貼り付け用!$A$1:$BA$300,COLUMN(),FALSE)=0,"",VLOOKUP($A128,貼り付け用!$A$1:$BA$300,COLUMN(),FALSE)),"")</f>
        <v>#N/A</v>
      </c>
      <c r="E128" s="14" t="e">
        <f>IF($A128&lt;&gt;"",IF(VLOOKUP($A128,貼り付け用!$A$1:$BA$300,COLUMN(),FALSE)=0,"",VLOOKUP($A128,貼り付け用!$A$1:$BA$300,COLUMN(),FALSE)),"")</f>
        <v>#N/A</v>
      </c>
      <c r="F128" s="14" t="e">
        <f>IF($A128&lt;&gt;"",IF(VLOOKUP($A128,貼り付け用!$A$1:$BA$300,COLUMN(),FALSE)=0,"",VLOOKUP($A128,貼り付け用!$A$1:$BA$300,COLUMN(),FALSE)),"")</f>
        <v>#N/A</v>
      </c>
      <c r="G128" s="14" t="e">
        <f>IF($A128&lt;&gt;"",IF(VLOOKUP($A128,貼り付け用!$A$1:$BA$300,COLUMN(),FALSE)=0,"",VLOOKUP($A128,貼り付け用!$A$1:$BA$300,COLUMN(),FALSE)),"")</f>
        <v>#N/A</v>
      </c>
      <c r="H128" s="14" t="e">
        <f>IF($A128&lt;&gt;"",IF(VLOOKUP($A128,貼り付け用!$A$1:$BA$300,COLUMN(),FALSE)=0,"",VLOOKUP($A128,貼り付け用!$A$1:$BA$300,COLUMN(),FALSE)),"")</f>
        <v>#N/A</v>
      </c>
      <c r="I128" s="14" t="e">
        <f>IF($A128&lt;&gt;"",IF(VLOOKUP($A128,貼り付け用!$A$1:$BA$300,COLUMN(),FALSE)=0,"",VLOOKUP($A128,貼り付け用!$A$1:$BA$300,COLUMN(),FALSE)),"")</f>
        <v>#N/A</v>
      </c>
      <c r="J128" s="14" t="e">
        <f>IF($A128&lt;&gt;"",IF(VLOOKUP($A128,貼り付け用!$A$1:$BA$300,COLUMN(),FALSE)=0,"",VLOOKUP($A128,貼り付け用!$A$1:$BA$300,COLUMN(),FALSE)),"")</f>
        <v>#N/A</v>
      </c>
      <c r="K128" s="14" t="e">
        <f>IF($A128&lt;&gt;"",IF(VLOOKUP($A128,貼り付け用!$A$1:$BA$300,COLUMN(),FALSE)=0,"",VLOOKUP($A128,貼り付け用!$A$1:$BA$300,COLUMN(),FALSE)),"")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63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IF($A129&lt;&gt;"",IF(VLOOKUP($A129,貼り付け用!$A$1:$BA$300,COLUMN(),FALSE)=0,"",VLOOKUP($A129,貼り付け用!$A$1:$BA$300,COLUMN(),FALSE)),"")</f>
        <v>#N/A</v>
      </c>
      <c r="C129" s="3" t="e">
        <f>IF($A129&lt;&gt;"",IF(VLOOKUP($A129,貼り付け用!$A$1:$BA$300,COLUMN(),FALSE)=0,"",VLOOKUP($A129,貼り付け用!$A$1:$BA$300,COLUMN(),FALSE)),"")</f>
        <v>#N/A</v>
      </c>
      <c r="D129" s="3" t="e">
        <f>IF($A129&lt;&gt;"",IF(VLOOKUP($A129,貼り付け用!$A$1:$BA$300,COLUMN(),FALSE)=0,"",VLOOKUP($A129,貼り付け用!$A$1:$BA$300,COLUMN(),FALSE)),"")</f>
        <v>#N/A</v>
      </c>
      <c r="E129" s="3" t="e">
        <f>IF($A129&lt;&gt;"",IF(VLOOKUP($A129,貼り付け用!$A$1:$BA$300,COLUMN(),FALSE)=0,"",VLOOKUP($A129,貼り付け用!$A$1:$BA$300,COLUMN(),FALSE)),"")</f>
        <v>#N/A</v>
      </c>
      <c r="F129" s="3" t="e">
        <f>IF($A129&lt;&gt;"",IF(VLOOKUP($A129,貼り付け用!$A$1:$BA$300,COLUMN(),FALSE)=0,"",VLOOKUP($A129,貼り付け用!$A$1:$BA$300,COLUMN(),FALSE)),"")</f>
        <v>#N/A</v>
      </c>
      <c r="G129" s="3" t="e">
        <f>IF($A129&lt;&gt;"",IF(VLOOKUP($A129,貼り付け用!$A$1:$BA$300,COLUMN(),FALSE)=0,"",VLOOKUP($A129,貼り付け用!$A$1:$BA$300,COLUMN(),FALSE)),"")</f>
        <v>#N/A</v>
      </c>
      <c r="H129" s="3" t="e">
        <f>IF($A129&lt;&gt;"",IF(VLOOKUP($A129,貼り付け用!$A$1:$BA$300,COLUMN(),FALSE)=0,"",VLOOKUP($A129,貼り付け用!$A$1:$BA$300,COLUMN(),FALSE)),"")</f>
        <v>#N/A</v>
      </c>
      <c r="I129" s="3" t="e">
        <f>IF($A129&lt;&gt;"",IF(VLOOKUP($A129,貼り付け用!$A$1:$BA$300,COLUMN(),FALSE)=0,"",VLOOKUP($A129,貼り付け用!$A$1:$BA$300,COLUMN(),FALSE)),"")</f>
        <v>#N/A</v>
      </c>
      <c r="J129" s="3" t="e">
        <f>IF($A129&lt;&gt;"",IF(VLOOKUP($A129,貼り付け用!$A$1:$BA$300,COLUMN(),FALSE)=0,"",VLOOKUP($A129,貼り付け用!$A$1:$BA$300,COLUMN(),FALSE)),"")</f>
        <v>#N/A</v>
      </c>
      <c r="K129" s="3" t="e">
        <f>IF($A129&lt;&gt;"",IF(VLOOKUP($A129,貼り付け用!$A$1:$BA$300,COLUMN(),FALSE)=0,"",VLOOKUP($A129,貼り付け用!$A$1:$BA$300,COLUMN(),FALSE)),"")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63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IF($A130&lt;&gt;"",IF(VLOOKUP($A130,貼り付け用!$A$1:$BA$300,COLUMN(),FALSE)=0,"",VLOOKUP($A130,貼り付け用!$A$1:$BA$300,COLUMN(),FALSE)),"")</f>
        <v>#N/A</v>
      </c>
      <c r="C130" s="14" t="e">
        <f>IF($A130&lt;&gt;"",IF(VLOOKUP($A130,貼り付け用!$A$1:$BA$300,COLUMN(),FALSE)=0,"",VLOOKUP($A130,貼り付け用!$A$1:$BA$300,COLUMN(),FALSE)),"")</f>
        <v>#N/A</v>
      </c>
      <c r="D130" s="14" t="e">
        <f>IF($A130&lt;&gt;"",IF(VLOOKUP($A130,貼り付け用!$A$1:$BA$300,COLUMN(),FALSE)=0,"",VLOOKUP($A130,貼り付け用!$A$1:$BA$300,COLUMN(),FALSE)),"")</f>
        <v>#N/A</v>
      </c>
      <c r="E130" s="14" t="e">
        <f>IF($A130&lt;&gt;"",IF(VLOOKUP($A130,貼り付け用!$A$1:$BA$300,COLUMN(),FALSE)=0,"",VLOOKUP($A130,貼り付け用!$A$1:$BA$300,COLUMN(),FALSE)),"")</f>
        <v>#N/A</v>
      </c>
      <c r="F130" s="14" t="e">
        <f>IF($A130&lt;&gt;"",IF(VLOOKUP($A130,貼り付け用!$A$1:$BA$300,COLUMN(),FALSE)=0,"",VLOOKUP($A130,貼り付け用!$A$1:$BA$300,COLUMN(),FALSE)),"")</f>
        <v>#N/A</v>
      </c>
      <c r="G130" s="14" t="e">
        <f>IF($A130&lt;&gt;"",IF(VLOOKUP($A130,貼り付け用!$A$1:$BA$300,COLUMN(),FALSE)=0,"",VLOOKUP($A130,貼り付け用!$A$1:$BA$300,COLUMN(),FALSE)),"")</f>
        <v>#N/A</v>
      </c>
      <c r="H130" s="14" t="e">
        <f>IF($A130&lt;&gt;"",IF(VLOOKUP($A130,貼り付け用!$A$1:$BA$300,COLUMN(),FALSE)=0,"",VLOOKUP($A130,貼り付け用!$A$1:$BA$300,COLUMN(),FALSE)),"")</f>
        <v>#N/A</v>
      </c>
      <c r="I130" s="14" t="e">
        <f>IF($A130&lt;&gt;"",IF(VLOOKUP($A130,貼り付け用!$A$1:$BA$300,COLUMN(),FALSE)=0,"",VLOOKUP($A130,貼り付け用!$A$1:$BA$300,COLUMN(),FALSE)),"")</f>
        <v>#N/A</v>
      </c>
      <c r="J130" s="14" t="e">
        <f>IF($A130&lt;&gt;"",IF(VLOOKUP($A130,貼り付け用!$A$1:$BA$300,COLUMN(),FALSE)=0,"",VLOOKUP($A130,貼り付け用!$A$1:$BA$300,COLUMN(),FALSE)),"")</f>
        <v>#N/A</v>
      </c>
      <c r="K130" s="14" t="e">
        <f>IF($A130&lt;&gt;"",IF(VLOOKUP($A130,貼り付け用!$A$1:$BA$300,COLUMN(),FALSE)=0,"",VLOOKUP($A130,貼り付け用!$A$1:$BA$300,COLUMN(),FALSE)),"")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63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IF($A131&lt;&gt;"",IF(VLOOKUP($A131,貼り付け用!$A$1:$BA$300,COLUMN(),FALSE)=0,"",VLOOKUP($A131,貼り付け用!$A$1:$BA$300,COLUMN(),FALSE)),"")</f>
        <v>#N/A</v>
      </c>
      <c r="C131" s="3" t="e">
        <f>IF($A131&lt;&gt;"",IF(VLOOKUP($A131,貼り付け用!$A$1:$BA$300,COLUMN(),FALSE)=0,"",VLOOKUP($A131,貼り付け用!$A$1:$BA$300,COLUMN(),FALSE)),"")</f>
        <v>#N/A</v>
      </c>
      <c r="D131" s="3" t="e">
        <f>IF($A131&lt;&gt;"",IF(VLOOKUP($A131,貼り付け用!$A$1:$BA$300,COLUMN(),FALSE)=0,"",VLOOKUP($A131,貼り付け用!$A$1:$BA$300,COLUMN(),FALSE)),"")</f>
        <v>#N/A</v>
      </c>
      <c r="E131" s="3" t="e">
        <f>IF($A131&lt;&gt;"",IF(VLOOKUP($A131,貼り付け用!$A$1:$BA$300,COLUMN(),FALSE)=0,"",VLOOKUP($A131,貼り付け用!$A$1:$BA$300,COLUMN(),FALSE)),"")</f>
        <v>#N/A</v>
      </c>
      <c r="F131" s="3" t="e">
        <f>IF($A131&lt;&gt;"",IF(VLOOKUP($A131,貼り付け用!$A$1:$BA$300,COLUMN(),FALSE)=0,"",VLOOKUP($A131,貼り付け用!$A$1:$BA$300,COLUMN(),FALSE)),"")</f>
        <v>#N/A</v>
      </c>
      <c r="G131" s="3" t="e">
        <f>IF($A131&lt;&gt;"",IF(VLOOKUP($A131,貼り付け用!$A$1:$BA$300,COLUMN(),FALSE)=0,"",VLOOKUP($A131,貼り付け用!$A$1:$BA$300,COLUMN(),FALSE)),"")</f>
        <v>#N/A</v>
      </c>
      <c r="H131" s="3" t="e">
        <f>IF($A131&lt;&gt;"",IF(VLOOKUP($A131,貼り付け用!$A$1:$BA$300,COLUMN(),FALSE)=0,"",VLOOKUP($A131,貼り付け用!$A$1:$BA$300,COLUMN(),FALSE)),"")</f>
        <v>#N/A</v>
      </c>
      <c r="I131" s="3" t="e">
        <f>IF($A131&lt;&gt;"",IF(VLOOKUP($A131,貼り付け用!$A$1:$BA$300,COLUMN(),FALSE)=0,"",VLOOKUP($A131,貼り付け用!$A$1:$BA$300,COLUMN(),FALSE)),"")</f>
        <v>#N/A</v>
      </c>
      <c r="J131" s="3" t="e">
        <f>IF($A131&lt;&gt;"",IF(VLOOKUP($A131,貼り付け用!$A$1:$BA$300,COLUMN(),FALSE)=0,"",VLOOKUP($A131,貼り付け用!$A$1:$BA$300,COLUMN(),FALSE)),"")</f>
        <v>#N/A</v>
      </c>
      <c r="K131" s="3" t="e">
        <f>IF($A131&lt;&gt;"",IF(VLOOKUP($A131,貼り付け用!$A$1:$BA$300,COLUMN(),FALSE)=0,"",VLOOKUP($A131,貼り付け用!$A$1:$BA$300,COLUMN(),FALSE)),"")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63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IF($A132&lt;&gt;"",IF(VLOOKUP($A132,貼り付け用!$A$1:$BA$300,COLUMN(),FALSE)=0,"",VLOOKUP($A132,貼り付け用!$A$1:$BA$300,COLUMN(),FALSE)),"")</f>
        <v>#N/A</v>
      </c>
      <c r="C132" s="14" t="e">
        <f>IF($A132&lt;&gt;"",IF(VLOOKUP($A132,貼り付け用!$A$1:$BA$300,COLUMN(),FALSE)=0,"",VLOOKUP($A132,貼り付け用!$A$1:$BA$300,COLUMN(),FALSE)),"")</f>
        <v>#N/A</v>
      </c>
      <c r="D132" s="14" t="e">
        <f>IF($A132&lt;&gt;"",IF(VLOOKUP($A132,貼り付け用!$A$1:$BA$300,COLUMN(),FALSE)=0,"",VLOOKUP($A132,貼り付け用!$A$1:$BA$300,COLUMN(),FALSE)),"")</f>
        <v>#N/A</v>
      </c>
      <c r="E132" s="14" t="e">
        <f>IF($A132&lt;&gt;"",IF(VLOOKUP($A132,貼り付け用!$A$1:$BA$300,COLUMN(),FALSE)=0,"",VLOOKUP($A132,貼り付け用!$A$1:$BA$300,COLUMN(),FALSE)),"")</f>
        <v>#N/A</v>
      </c>
      <c r="F132" s="14" t="e">
        <f>IF($A132&lt;&gt;"",IF(VLOOKUP($A132,貼り付け用!$A$1:$BA$300,COLUMN(),FALSE)=0,"",VLOOKUP($A132,貼り付け用!$A$1:$BA$300,COLUMN(),FALSE)),"")</f>
        <v>#N/A</v>
      </c>
      <c r="G132" s="14" t="e">
        <f>IF($A132&lt;&gt;"",IF(VLOOKUP($A132,貼り付け用!$A$1:$BA$300,COLUMN(),FALSE)=0,"",VLOOKUP($A132,貼り付け用!$A$1:$BA$300,COLUMN(),FALSE)),"")</f>
        <v>#N/A</v>
      </c>
      <c r="H132" s="14" t="e">
        <f>IF($A132&lt;&gt;"",IF(VLOOKUP($A132,貼り付け用!$A$1:$BA$300,COLUMN(),FALSE)=0,"",VLOOKUP($A132,貼り付け用!$A$1:$BA$300,COLUMN(),FALSE)),"")</f>
        <v>#N/A</v>
      </c>
      <c r="I132" s="14" t="e">
        <f>IF($A132&lt;&gt;"",IF(VLOOKUP($A132,貼り付け用!$A$1:$BA$300,COLUMN(),FALSE)=0,"",VLOOKUP($A132,貼り付け用!$A$1:$BA$300,COLUMN(),FALSE)),"")</f>
        <v>#N/A</v>
      </c>
      <c r="J132" s="14" t="e">
        <f>IF($A132&lt;&gt;"",IF(VLOOKUP($A132,貼り付け用!$A$1:$BA$300,COLUMN(),FALSE)=0,"",VLOOKUP($A132,貼り付け用!$A$1:$BA$300,COLUMN(),FALSE)),"")</f>
        <v>#N/A</v>
      </c>
      <c r="K132" s="14" t="e">
        <f>IF($A132&lt;&gt;"",IF(VLOOKUP($A132,貼り付け用!$A$1:$BA$300,COLUMN(),FALSE)=0,"",VLOOKUP($A132,貼り付け用!$A$1:$BA$300,COLUMN(),FALSE)),"")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63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IF($A133&lt;&gt;"",IF(VLOOKUP($A133,貼り付け用!$A$1:$BA$300,COLUMN(),FALSE)=0,"",VLOOKUP($A133,貼り付け用!$A$1:$BA$300,COLUMN(),FALSE)),"")</f>
        <v>#N/A</v>
      </c>
      <c r="C133" s="3" t="e">
        <f>IF($A133&lt;&gt;"",IF(VLOOKUP($A133,貼り付け用!$A$1:$BA$300,COLUMN(),FALSE)=0,"",VLOOKUP($A133,貼り付け用!$A$1:$BA$300,COLUMN(),FALSE)),"")</f>
        <v>#N/A</v>
      </c>
      <c r="D133" s="3" t="e">
        <f>IF($A133&lt;&gt;"",IF(VLOOKUP($A133,貼り付け用!$A$1:$BA$300,COLUMN(),FALSE)=0,"",VLOOKUP($A133,貼り付け用!$A$1:$BA$300,COLUMN(),FALSE)),"")</f>
        <v>#N/A</v>
      </c>
      <c r="E133" s="3" t="e">
        <f>IF($A133&lt;&gt;"",IF(VLOOKUP($A133,貼り付け用!$A$1:$BA$300,COLUMN(),FALSE)=0,"",VLOOKUP($A133,貼り付け用!$A$1:$BA$300,COLUMN(),FALSE)),"")</f>
        <v>#N/A</v>
      </c>
      <c r="F133" s="3" t="e">
        <f>IF($A133&lt;&gt;"",IF(VLOOKUP($A133,貼り付け用!$A$1:$BA$300,COLUMN(),FALSE)=0,"",VLOOKUP($A133,貼り付け用!$A$1:$BA$300,COLUMN(),FALSE)),"")</f>
        <v>#N/A</v>
      </c>
      <c r="G133" s="3" t="e">
        <f>IF($A133&lt;&gt;"",IF(VLOOKUP($A133,貼り付け用!$A$1:$BA$300,COLUMN(),FALSE)=0,"",VLOOKUP($A133,貼り付け用!$A$1:$BA$300,COLUMN(),FALSE)),"")</f>
        <v>#N/A</v>
      </c>
      <c r="H133" s="3" t="e">
        <f>IF($A133&lt;&gt;"",IF(VLOOKUP($A133,貼り付け用!$A$1:$BA$300,COLUMN(),FALSE)=0,"",VLOOKUP($A133,貼り付け用!$A$1:$BA$300,COLUMN(),FALSE)),"")</f>
        <v>#N/A</v>
      </c>
      <c r="I133" s="3" t="e">
        <f>IF($A133&lt;&gt;"",IF(VLOOKUP($A133,貼り付け用!$A$1:$BA$300,COLUMN(),FALSE)=0,"",VLOOKUP($A133,貼り付け用!$A$1:$BA$300,COLUMN(),FALSE)),"")</f>
        <v>#N/A</v>
      </c>
      <c r="J133" s="3" t="e">
        <f>IF($A133&lt;&gt;"",IF(VLOOKUP($A133,貼り付け用!$A$1:$BA$300,COLUMN(),FALSE)=0,"",VLOOKUP($A133,貼り付け用!$A$1:$BA$300,COLUMN(),FALSE)),"")</f>
        <v>#N/A</v>
      </c>
      <c r="K133" s="3" t="e">
        <f>IF($A133&lt;&gt;"",IF(VLOOKUP($A133,貼り付け用!$A$1:$BA$300,COLUMN(),FALSE)=0,"",VLOOKUP($A133,貼り付け用!$A$1:$BA$300,COLUMN(),FALSE)),"")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63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IF($A134&lt;&gt;"",IF(VLOOKUP($A134,貼り付け用!$A$1:$BA$300,COLUMN(),FALSE)=0,"",VLOOKUP($A134,貼り付け用!$A$1:$BA$300,COLUMN(),FALSE)),"")</f>
        <v>#N/A</v>
      </c>
      <c r="C134" s="14" t="e">
        <f>IF($A134&lt;&gt;"",IF(VLOOKUP($A134,貼り付け用!$A$1:$BA$300,COLUMN(),FALSE)=0,"",VLOOKUP($A134,貼り付け用!$A$1:$BA$300,COLUMN(),FALSE)),"")</f>
        <v>#N/A</v>
      </c>
      <c r="D134" s="14" t="e">
        <f>IF($A134&lt;&gt;"",IF(VLOOKUP($A134,貼り付け用!$A$1:$BA$300,COLUMN(),FALSE)=0,"",VLOOKUP($A134,貼り付け用!$A$1:$BA$300,COLUMN(),FALSE)),"")</f>
        <v>#N/A</v>
      </c>
      <c r="E134" s="14" t="e">
        <f>IF($A134&lt;&gt;"",IF(VLOOKUP($A134,貼り付け用!$A$1:$BA$300,COLUMN(),FALSE)=0,"",VLOOKUP($A134,貼り付け用!$A$1:$BA$300,COLUMN(),FALSE)),"")</f>
        <v>#N/A</v>
      </c>
      <c r="F134" s="14" t="e">
        <f>IF($A134&lt;&gt;"",IF(VLOOKUP($A134,貼り付け用!$A$1:$BA$300,COLUMN(),FALSE)=0,"",VLOOKUP($A134,貼り付け用!$A$1:$BA$300,COLUMN(),FALSE)),"")</f>
        <v>#N/A</v>
      </c>
      <c r="G134" s="14" t="e">
        <f>IF($A134&lt;&gt;"",IF(VLOOKUP($A134,貼り付け用!$A$1:$BA$300,COLUMN(),FALSE)=0,"",VLOOKUP($A134,貼り付け用!$A$1:$BA$300,COLUMN(),FALSE)),"")</f>
        <v>#N/A</v>
      </c>
      <c r="H134" s="14" t="e">
        <f>IF($A134&lt;&gt;"",IF(VLOOKUP($A134,貼り付け用!$A$1:$BA$300,COLUMN(),FALSE)=0,"",VLOOKUP($A134,貼り付け用!$A$1:$BA$300,COLUMN(),FALSE)),"")</f>
        <v>#N/A</v>
      </c>
      <c r="I134" s="14" t="e">
        <f>IF($A134&lt;&gt;"",IF(VLOOKUP($A134,貼り付け用!$A$1:$BA$300,COLUMN(),FALSE)=0,"",VLOOKUP($A134,貼り付け用!$A$1:$BA$300,COLUMN(),FALSE)),"")</f>
        <v>#N/A</v>
      </c>
      <c r="J134" s="14" t="e">
        <f>IF($A134&lt;&gt;"",IF(VLOOKUP($A134,貼り付け用!$A$1:$BA$300,COLUMN(),FALSE)=0,"",VLOOKUP($A134,貼り付け用!$A$1:$BA$300,COLUMN(),FALSE)),"")</f>
        <v>#N/A</v>
      </c>
      <c r="K134" s="14" t="e">
        <f>IF($A134&lt;&gt;"",IF(VLOOKUP($A134,貼り付け用!$A$1:$BA$300,COLUMN(),FALSE)=0,"",VLOOKUP($A134,貼り付け用!$A$1:$BA$300,COLUMN(),FALSE)),"")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63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IF($A135&lt;&gt;"",IF(VLOOKUP($A135,貼り付け用!$A$1:$BA$300,COLUMN(),FALSE)=0,"",VLOOKUP($A135,貼り付け用!$A$1:$BA$300,COLUMN(),FALSE)),"")</f>
        <v>#N/A</v>
      </c>
      <c r="C135" s="3" t="e">
        <f>IF($A135&lt;&gt;"",IF(VLOOKUP($A135,貼り付け用!$A$1:$BA$300,COLUMN(),FALSE)=0,"",VLOOKUP($A135,貼り付け用!$A$1:$BA$300,COLUMN(),FALSE)),"")</f>
        <v>#N/A</v>
      </c>
      <c r="D135" s="3" t="e">
        <f>IF($A135&lt;&gt;"",IF(VLOOKUP($A135,貼り付け用!$A$1:$BA$300,COLUMN(),FALSE)=0,"",VLOOKUP($A135,貼り付け用!$A$1:$BA$300,COLUMN(),FALSE)),"")</f>
        <v>#N/A</v>
      </c>
      <c r="E135" s="3" t="e">
        <f>IF($A135&lt;&gt;"",IF(VLOOKUP($A135,貼り付け用!$A$1:$BA$300,COLUMN(),FALSE)=0,"",VLOOKUP($A135,貼り付け用!$A$1:$BA$300,COLUMN(),FALSE)),"")</f>
        <v>#N/A</v>
      </c>
      <c r="F135" s="3" t="e">
        <f>IF($A135&lt;&gt;"",IF(VLOOKUP($A135,貼り付け用!$A$1:$BA$300,COLUMN(),FALSE)=0,"",VLOOKUP($A135,貼り付け用!$A$1:$BA$300,COLUMN(),FALSE)),"")</f>
        <v>#N/A</v>
      </c>
      <c r="G135" s="3" t="e">
        <f>IF($A135&lt;&gt;"",IF(VLOOKUP($A135,貼り付け用!$A$1:$BA$300,COLUMN(),FALSE)=0,"",VLOOKUP($A135,貼り付け用!$A$1:$BA$300,COLUMN(),FALSE)),"")</f>
        <v>#N/A</v>
      </c>
      <c r="H135" s="3" t="e">
        <f>IF($A135&lt;&gt;"",IF(VLOOKUP($A135,貼り付け用!$A$1:$BA$300,COLUMN(),FALSE)=0,"",VLOOKUP($A135,貼り付け用!$A$1:$BA$300,COLUMN(),FALSE)),"")</f>
        <v>#N/A</v>
      </c>
      <c r="I135" s="3" t="e">
        <f>IF($A135&lt;&gt;"",IF(VLOOKUP($A135,貼り付け用!$A$1:$BA$300,COLUMN(),FALSE)=0,"",VLOOKUP($A135,貼り付け用!$A$1:$BA$300,COLUMN(),FALSE)),"")</f>
        <v>#N/A</v>
      </c>
      <c r="J135" s="3" t="e">
        <f>IF($A135&lt;&gt;"",IF(VLOOKUP($A135,貼り付け用!$A$1:$BA$300,COLUMN(),FALSE)=0,"",VLOOKUP($A135,貼り付け用!$A$1:$BA$300,COLUMN(),FALSE)),"")</f>
        <v>#N/A</v>
      </c>
      <c r="K135" s="3" t="e">
        <f>IF($A135&lt;&gt;"",IF(VLOOKUP($A135,貼り付け用!$A$1:$BA$300,COLUMN(),FALSE)=0,"",VLOOKUP($A135,貼り付け用!$A$1:$BA$300,COLUMN(),FALSE)),"")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63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IF($A136&lt;&gt;"",IF(VLOOKUP($A136,貼り付け用!$A$1:$BA$300,COLUMN(),FALSE)=0,"",VLOOKUP($A136,貼り付け用!$A$1:$BA$300,COLUMN(),FALSE)),"")</f>
        <v>#N/A</v>
      </c>
      <c r="C136" s="14" t="e">
        <f>IF($A136&lt;&gt;"",IF(VLOOKUP($A136,貼り付け用!$A$1:$BA$300,COLUMN(),FALSE)=0,"",VLOOKUP($A136,貼り付け用!$A$1:$BA$300,COLUMN(),FALSE)),"")</f>
        <v>#N/A</v>
      </c>
      <c r="D136" s="14" t="e">
        <f>IF($A136&lt;&gt;"",IF(VLOOKUP($A136,貼り付け用!$A$1:$BA$300,COLUMN(),FALSE)=0,"",VLOOKUP($A136,貼り付け用!$A$1:$BA$300,COLUMN(),FALSE)),"")</f>
        <v>#N/A</v>
      </c>
      <c r="E136" s="14" t="e">
        <f>IF($A136&lt;&gt;"",IF(VLOOKUP($A136,貼り付け用!$A$1:$BA$300,COLUMN(),FALSE)=0,"",VLOOKUP($A136,貼り付け用!$A$1:$BA$300,COLUMN(),FALSE)),"")</f>
        <v>#N/A</v>
      </c>
      <c r="F136" s="14" t="e">
        <f>IF($A136&lt;&gt;"",IF(VLOOKUP($A136,貼り付け用!$A$1:$BA$300,COLUMN(),FALSE)=0,"",VLOOKUP($A136,貼り付け用!$A$1:$BA$300,COLUMN(),FALSE)),"")</f>
        <v>#N/A</v>
      </c>
      <c r="G136" s="14" t="e">
        <f>IF($A136&lt;&gt;"",IF(VLOOKUP($A136,貼り付け用!$A$1:$BA$300,COLUMN(),FALSE)=0,"",VLOOKUP($A136,貼り付け用!$A$1:$BA$300,COLUMN(),FALSE)),"")</f>
        <v>#N/A</v>
      </c>
      <c r="H136" s="14" t="e">
        <f>IF($A136&lt;&gt;"",IF(VLOOKUP($A136,貼り付け用!$A$1:$BA$300,COLUMN(),FALSE)=0,"",VLOOKUP($A136,貼り付け用!$A$1:$BA$300,COLUMN(),FALSE)),"")</f>
        <v>#N/A</v>
      </c>
      <c r="I136" s="14" t="e">
        <f>IF($A136&lt;&gt;"",IF(VLOOKUP($A136,貼り付け用!$A$1:$BA$300,COLUMN(),FALSE)=0,"",VLOOKUP($A136,貼り付け用!$A$1:$BA$300,COLUMN(),FALSE)),"")</f>
        <v>#N/A</v>
      </c>
      <c r="J136" s="14" t="e">
        <f>IF($A136&lt;&gt;"",IF(VLOOKUP($A136,貼り付け用!$A$1:$BA$300,COLUMN(),FALSE)=0,"",VLOOKUP($A136,貼り付け用!$A$1:$BA$300,COLUMN(),FALSE)),"")</f>
        <v>#N/A</v>
      </c>
      <c r="K136" s="14" t="e">
        <f>IF($A136&lt;&gt;"",IF(VLOOKUP($A136,貼り付け用!$A$1:$BA$300,COLUMN(),FALSE)=0,"",VLOOKUP($A136,貼り付け用!$A$1:$BA$300,COLUMN(),FALSE)),"")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63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IF($A137&lt;&gt;"",IF(VLOOKUP($A137,貼り付け用!$A$1:$BA$300,COLUMN(),FALSE)=0,"",VLOOKUP($A137,貼り付け用!$A$1:$BA$300,COLUMN(),FALSE)),"")</f>
        <v>#N/A</v>
      </c>
      <c r="C137" s="3" t="e">
        <f>IF($A137&lt;&gt;"",IF(VLOOKUP($A137,貼り付け用!$A$1:$BA$300,COLUMN(),FALSE)=0,"",VLOOKUP($A137,貼り付け用!$A$1:$BA$300,COLUMN(),FALSE)),"")</f>
        <v>#N/A</v>
      </c>
      <c r="D137" s="3" t="e">
        <f>IF($A137&lt;&gt;"",IF(VLOOKUP($A137,貼り付け用!$A$1:$BA$300,COLUMN(),FALSE)=0,"",VLOOKUP($A137,貼り付け用!$A$1:$BA$300,COLUMN(),FALSE)),"")</f>
        <v>#N/A</v>
      </c>
      <c r="E137" s="3" t="e">
        <f>IF($A137&lt;&gt;"",IF(VLOOKUP($A137,貼り付け用!$A$1:$BA$300,COLUMN(),FALSE)=0,"",VLOOKUP($A137,貼り付け用!$A$1:$BA$300,COLUMN(),FALSE)),"")</f>
        <v>#N/A</v>
      </c>
      <c r="F137" s="3" t="e">
        <f>IF($A137&lt;&gt;"",IF(VLOOKUP($A137,貼り付け用!$A$1:$BA$300,COLUMN(),FALSE)=0,"",VLOOKUP($A137,貼り付け用!$A$1:$BA$300,COLUMN(),FALSE)),"")</f>
        <v>#N/A</v>
      </c>
      <c r="G137" s="3" t="e">
        <f>IF($A137&lt;&gt;"",IF(VLOOKUP($A137,貼り付け用!$A$1:$BA$300,COLUMN(),FALSE)=0,"",VLOOKUP($A137,貼り付け用!$A$1:$BA$300,COLUMN(),FALSE)),"")</f>
        <v>#N/A</v>
      </c>
      <c r="H137" s="3" t="e">
        <f>IF($A137&lt;&gt;"",IF(VLOOKUP($A137,貼り付け用!$A$1:$BA$300,COLUMN(),FALSE)=0,"",VLOOKUP($A137,貼り付け用!$A$1:$BA$300,COLUMN(),FALSE)),"")</f>
        <v>#N/A</v>
      </c>
      <c r="I137" s="3" t="e">
        <f>IF($A137&lt;&gt;"",IF(VLOOKUP($A137,貼り付け用!$A$1:$BA$300,COLUMN(),FALSE)=0,"",VLOOKUP($A137,貼り付け用!$A$1:$BA$300,COLUMN(),FALSE)),"")</f>
        <v>#N/A</v>
      </c>
      <c r="J137" s="3" t="e">
        <f>IF($A137&lt;&gt;"",IF(VLOOKUP($A137,貼り付け用!$A$1:$BA$300,COLUMN(),FALSE)=0,"",VLOOKUP($A137,貼り付け用!$A$1:$BA$300,COLUMN(),FALSE)),"")</f>
        <v>#N/A</v>
      </c>
      <c r="K137" s="3" t="e">
        <f>IF($A137&lt;&gt;"",IF(VLOOKUP($A137,貼り付け用!$A$1:$BA$300,COLUMN(),FALSE)=0,"",VLOOKUP($A137,貼り付け用!$A$1:$BA$300,COLUMN(),FALSE)),"")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63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IF($A138&lt;&gt;"",IF(VLOOKUP($A138,貼り付け用!$A$1:$BA$300,COLUMN(),FALSE)=0,"",VLOOKUP($A138,貼り付け用!$A$1:$BA$300,COLUMN(),FALSE)),"")</f>
        <v>#N/A</v>
      </c>
      <c r="C138" s="14" t="e">
        <f>IF($A138&lt;&gt;"",IF(VLOOKUP($A138,貼り付け用!$A$1:$BA$300,COLUMN(),FALSE)=0,"",VLOOKUP($A138,貼り付け用!$A$1:$BA$300,COLUMN(),FALSE)),"")</f>
        <v>#N/A</v>
      </c>
      <c r="D138" s="14" t="e">
        <f>IF($A138&lt;&gt;"",IF(VLOOKUP($A138,貼り付け用!$A$1:$BA$300,COLUMN(),FALSE)=0,"",VLOOKUP($A138,貼り付け用!$A$1:$BA$300,COLUMN(),FALSE)),"")</f>
        <v>#N/A</v>
      </c>
      <c r="E138" s="14" t="e">
        <f>IF($A138&lt;&gt;"",IF(VLOOKUP($A138,貼り付け用!$A$1:$BA$300,COLUMN(),FALSE)=0,"",VLOOKUP($A138,貼り付け用!$A$1:$BA$300,COLUMN(),FALSE)),"")</f>
        <v>#N/A</v>
      </c>
      <c r="F138" s="14" t="e">
        <f>IF($A138&lt;&gt;"",IF(VLOOKUP($A138,貼り付け用!$A$1:$BA$300,COLUMN(),FALSE)=0,"",VLOOKUP($A138,貼り付け用!$A$1:$BA$300,COLUMN(),FALSE)),"")</f>
        <v>#N/A</v>
      </c>
      <c r="G138" s="14" t="e">
        <f>IF($A138&lt;&gt;"",IF(VLOOKUP($A138,貼り付け用!$A$1:$BA$300,COLUMN(),FALSE)=0,"",VLOOKUP($A138,貼り付け用!$A$1:$BA$300,COLUMN(),FALSE)),"")</f>
        <v>#N/A</v>
      </c>
      <c r="H138" s="14" t="e">
        <f>IF($A138&lt;&gt;"",IF(VLOOKUP($A138,貼り付け用!$A$1:$BA$300,COLUMN(),FALSE)=0,"",VLOOKUP($A138,貼り付け用!$A$1:$BA$300,COLUMN(),FALSE)),"")</f>
        <v>#N/A</v>
      </c>
      <c r="I138" s="14" t="e">
        <f>IF($A138&lt;&gt;"",IF(VLOOKUP($A138,貼り付け用!$A$1:$BA$300,COLUMN(),FALSE)=0,"",VLOOKUP($A138,貼り付け用!$A$1:$BA$300,COLUMN(),FALSE)),"")</f>
        <v>#N/A</v>
      </c>
      <c r="J138" s="14" t="e">
        <f>IF($A138&lt;&gt;"",IF(VLOOKUP($A138,貼り付け用!$A$1:$BA$300,COLUMN(),FALSE)=0,"",VLOOKUP($A138,貼り付け用!$A$1:$BA$300,COLUMN(),FALSE)),"")</f>
        <v>#N/A</v>
      </c>
      <c r="K138" s="14" t="e">
        <f>IF($A138&lt;&gt;"",IF(VLOOKUP($A138,貼り付け用!$A$1:$BA$300,COLUMN(),FALSE)=0,"",VLOOKUP($A138,貼り付け用!$A$1:$BA$300,COLUMN(),FALSE)),"")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63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IF($A139&lt;&gt;"",IF(VLOOKUP($A139,貼り付け用!$A$1:$BA$300,COLUMN(),FALSE)=0,"",VLOOKUP($A139,貼り付け用!$A$1:$BA$300,COLUMN(),FALSE)),"")</f>
        <v>#N/A</v>
      </c>
      <c r="C139" s="3" t="e">
        <f>IF($A139&lt;&gt;"",IF(VLOOKUP($A139,貼り付け用!$A$1:$BA$300,COLUMN(),FALSE)=0,"",VLOOKUP($A139,貼り付け用!$A$1:$BA$300,COLUMN(),FALSE)),"")</f>
        <v>#N/A</v>
      </c>
      <c r="D139" s="3" t="e">
        <f>IF($A139&lt;&gt;"",IF(VLOOKUP($A139,貼り付け用!$A$1:$BA$300,COLUMN(),FALSE)=0,"",VLOOKUP($A139,貼り付け用!$A$1:$BA$300,COLUMN(),FALSE)),"")</f>
        <v>#N/A</v>
      </c>
      <c r="E139" s="3" t="e">
        <f>IF($A139&lt;&gt;"",IF(VLOOKUP($A139,貼り付け用!$A$1:$BA$300,COLUMN(),FALSE)=0,"",VLOOKUP($A139,貼り付け用!$A$1:$BA$300,COLUMN(),FALSE)),"")</f>
        <v>#N/A</v>
      </c>
      <c r="F139" s="3" t="e">
        <f>IF($A139&lt;&gt;"",IF(VLOOKUP($A139,貼り付け用!$A$1:$BA$300,COLUMN(),FALSE)=0,"",VLOOKUP($A139,貼り付け用!$A$1:$BA$300,COLUMN(),FALSE)),"")</f>
        <v>#N/A</v>
      </c>
      <c r="G139" s="3" t="e">
        <f>IF($A139&lt;&gt;"",IF(VLOOKUP($A139,貼り付け用!$A$1:$BA$300,COLUMN(),FALSE)=0,"",VLOOKUP($A139,貼り付け用!$A$1:$BA$300,COLUMN(),FALSE)),"")</f>
        <v>#N/A</v>
      </c>
      <c r="H139" s="3" t="e">
        <f>IF($A139&lt;&gt;"",IF(VLOOKUP($A139,貼り付け用!$A$1:$BA$300,COLUMN(),FALSE)=0,"",VLOOKUP($A139,貼り付け用!$A$1:$BA$300,COLUMN(),FALSE)),"")</f>
        <v>#N/A</v>
      </c>
      <c r="I139" s="3" t="e">
        <f>IF($A139&lt;&gt;"",IF(VLOOKUP($A139,貼り付け用!$A$1:$BA$300,COLUMN(),FALSE)=0,"",VLOOKUP($A139,貼り付け用!$A$1:$BA$300,COLUMN(),FALSE)),"")</f>
        <v>#N/A</v>
      </c>
      <c r="J139" s="3" t="e">
        <f>IF($A139&lt;&gt;"",IF(VLOOKUP($A139,貼り付け用!$A$1:$BA$300,COLUMN(),FALSE)=0,"",VLOOKUP($A139,貼り付け用!$A$1:$BA$300,COLUMN(),FALSE)),"")</f>
        <v>#N/A</v>
      </c>
      <c r="K139" s="3" t="e">
        <f>IF($A139&lt;&gt;"",IF(VLOOKUP($A139,貼り付け用!$A$1:$BA$300,COLUMN(),FALSE)=0,"",VLOOKUP($A139,貼り付け用!$A$1:$BA$300,COLUMN(),FALSE)),"")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63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IF($A140&lt;&gt;"",IF(VLOOKUP($A140,貼り付け用!$A$1:$BA$300,COLUMN(),FALSE)=0,"",VLOOKUP($A140,貼り付け用!$A$1:$BA$300,COLUMN(),FALSE)),"")</f>
        <v>#N/A</v>
      </c>
      <c r="C140" s="14" t="e">
        <f>IF($A140&lt;&gt;"",IF(VLOOKUP($A140,貼り付け用!$A$1:$BA$300,COLUMN(),FALSE)=0,"",VLOOKUP($A140,貼り付け用!$A$1:$BA$300,COLUMN(),FALSE)),"")</f>
        <v>#N/A</v>
      </c>
      <c r="D140" s="14" t="e">
        <f>IF($A140&lt;&gt;"",IF(VLOOKUP($A140,貼り付け用!$A$1:$BA$300,COLUMN(),FALSE)=0,"",VLOOKUP($A140,貼り付け用!$A$1:$BA$300,COLUMN(),FALSE)),"")</f>
        <v>#N/A</v>
      </c>
      <c r="E140" s="14" t="e">
        <f>IF($A140&lt;&gt;"",IF(VLOOKUP($A140,貼り付け用!$A$1:$BA$300,COLUMN(),FALSE)=0,"",VLOOKUP($A140,貼り付け用!$A$1:$BA$300,COLUMN(),FALSE)),"")</f>
        <v>#N/A</v>
      </c>
      <c r="F140" s="14" t="e">
        <f>IF($A140&lt;&gt;"",IF(VLOOKUP($A140,貼り付け用!$A$1:$BA$300,COLUMN(),FALSE)=0,"",VLOOKUP($A140,貼り付け用!$A$1:$BA$300,COLUMN(),FALSE)),"")</f>
        <v>#N/A</v>
      </c>
      <c r="G140" s="14" t="e">
        <f>IF($A140&lt;&gt;"",IF(VLOOKUP($A140,貼り付け用!$A$1:$BA$300,COLUMN(),FALSE)=0,"",VLOOKUP($A140,貼り付け用!$A$1:$BA$300,COLUMN(),FALSE)),"")</f>
        <v>#N/A</v>
      </c>
      <c r="H140" s="14" t="e">
        <f>IF($A140&lt;&gt;"",IF(VLOOKUP($A140,貼り付け用!$A$1:$BA$300,COLUMN(),FALSE)=0,"",VLOOKUP($A140,貼り付け用!$A$1:$BA$300,COLUMN(),FALSE)),"")</f>
        <v>#N/A</v>
      </c>
      <c r="I140" s="14" t="e">
        <f>IF($A140&lt;&gt;"",IF(VLOOKUP($A140,貼り付け用!$A$1:$BA$300,COLUMN(),FALSE)=0,"",VLOOKUP($A140,貼り付け用!$A$1:$BA$300,COLUMN(),FALSE)),"")</f>
        <v>#N/A</v>
      </c>
      <c r="J140" s="14" t="e">
        <f>IF($A140&lt;&gt;"",IF(VLOOKUP($A140,貼り付け用!$A$1:$BA$300,COLUMN(),FALSE)=0,"",VLOOKUP($A140,貼り付け用!$A$1:$BA$300,COLUMN(),FALSE)),"")</f>
        <v>#N/A</v>
      </c>
      <c r="K140" s="14" t="e">
        <f>IF($A140&lt;&gt;"",IF(VLOOKUP($A140,貼り付け用!$A$1:$BA$300,COLUMN(),FALSE)=0,"",VLOOKUP($A140,貼り付け用!$A$1:$BA$300,COLUMN(),FALSE)),"")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63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IF($A141&lt;&gt;"",IF(VLOOKUP($A141,貼り付け用!$A$1:$BA$300,COLUMN(),FALSE)=0,"",VLOOKUP($A141,貼り付け用!$A$1:$BA$300,COLUMN(),FALSE)),"")</f>
        <v>#N/A</v>
      </c>
      <c r="C141" s="3" t="e">
        <f>IF($A141&lt;&gt;"",IF(VLOOKUP($A141,貼り付け用!$A$1:$BA$300,COLUMN(),FALSE)=0,"",VLOOKUP($A141,貼り付け用!$A$1:$BA$300,COLUMN(),FALSE)),"")</f>
        <v>#N/A</v>
      </c>
      <c r="D141" s="3" t="e">
        <f>IF($A141&lt;&gt;"",IF(VLOOKUP($A141,貼り付け用!$A$1:$BA$300,COLUMN(),FALSE)=0,"",VLOOKUP($A141,貼り付け用!$A$1:$BA$300,COLUMN(),FALSE)),"")</f>
        <v>#N/A</v>
      </c>
      <c r="E141" s="3" t="e">
        <f>IF($A141&lt;&gt;"",IF(VLOOKUP($A141,貼り付け用!$A$1:$BA$300,COLUMN(),FALSE)=0,"",VLOOKUP($A141,貼り付け用!$A$1:$BA$300,COLUMN(),FALSE)),"")</f>
        <v>#N/A</v>
      </c>
      <c r="F141" s="3" t="e">
        <f>IF($A141&lt;&gt;"",IF(VLOOKUP($A141,貼り付け用!$A$1:$BA$300,COLUMN(),FALSE)=0,"",VLOOKUP($A141,貼り付け用!$A$1:$BA$300,COLUMN(),FALSE)),"")</f>
        <v>#N/A</v>
      </c>
      <c r="G141" s="3" t="e">
        <f>IF($A141&lt;&gt;"",IF(VLOOKUP($A141,貼り付け用!$A$1:$BA$300,COLUMN(),FALSE)=0,"",VLOOKUP($A141,貼り付け用!$A$1:$BA$300,COLUMN(),FALSE)),"")</f>
        <v>#N/A</v>
      </c>
      <c r="H141" s="3" t="e">
        <f>IF($A141&lt;&gt;"",IF(VLOOKUP($A141,貼り付け用!$A$1:$BA$300,COLUMN(),FALSE)=0,"",VLOOKUP($A141,貼り付け用!$A$1:$BA$300,COLUMN(),FALSE)),"")</f>
        <v>#N/A</v>
      </c>
      <c r="I141" s="3" t="e">
        <f>IF($A141&lt;&gt;"",IF(VLOOKUP($A141,貼り付け用!$A$1:$BA$300,COLUMN(),FALSE)=0,"",VLOOKUP($A141,貼り付け用!$A$1:$BA$300,COLUMN(),FALSE)),"")</f>
        <v>#N/A</v>
      </c>
      <c r="J141" s="3" t="e">
        <f>IF($A141&lt;&gt;"",IF(VLOOKUP($A141,貼り付け用!$A$1:$BA$300,COLUMN(),FALSE)=0,"",VLOOKUP($A141,貼り付け用!$A$1:$BA$300,COLUMN(),FALSE)),"")</f>
        <v>#N/A</v>
      </c>
      <c r="K141" s="3" t="e">
        <f>IF($A141&lt;&gt;"",IF(VLOOKUP($A141,貼り付け用!$A$1:$BA$300,COLUMN(),FALSE)=0,"",VLOOKUP($A141,貼り付け用!$A$1:$BA$300,COLUMN(),FALSE)),"")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63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IF($A142&lt;&gt;"",IF(VLOOKUP($A142,貼り付け用!$A$1:$BA$300,COLUMN(),FALSE)=0,"",VLOOKUP($A142,貼り付け用!$A$1:$BA$300,COLUMN(),FALSE)),"")</f>
        <v>#N/A</v>
      </c>
      <c r="C142" s="14" t="e">
        <f>IF($A142&lt;&gt;"",IF(VLOOKUP($A142,貼り付け用!$A$1:$BA$300,COLUMN(),FALSE)=0,"",VLOOKUP($A142,貼り付け用!$A$1:$BA$300,COLUMN(),FALSE)),"")</f>
        <v>#N/A</v>
      </c>
      <c r="D142" s="14" t="e">
        <f>IF($A142&lt;&gt;"",IF(VLOOKUP($A142,貼り付け用!$A$1:$BA$300,COLUMN(),FALSE)=0,"",VLOOKUP($A142,貼り付け用!$A$1:$BA$300,COLUMN(),FALSE)),"")</f>
        <v>#N/A</v>
      </c>
      <c r="E142" s="14" t="e">
        <f>IF($A142&lt;&gt;"",IF(VLOOKUP($A142,貼り付け用!$A$1:$BA$300,COLUMN(),FALSE)=0,"",VLOOKUP($A142,貼り付け用!$A$1:$BA$300,COLUMN(),FALSE)),"")</f>
        <v>#N/A</v>
      </c>
      <c r="F142" s="14" t="e">
        <f>IF($A142&lt;&gt;"",IF(VLOOKUP($A142,貼り付け用!$A$1:$BA$300,COLUMN(),FALSE)=0,"",VLOOKUP($A142,貼り付け用!$A$1:$BA$300,COLUMN(),FALSE)),"")</f>
        <v>#N/A</v>
      </c>
      <c r="G142" s="14" t="e">
        <f>IF($A142&lt;&gt;"",IF(VLOOKUP($A142,貼り付け用!$A$1:$BA$300,COLUMN(),FALSE)=0,"",VLOOKUP($A142,貼り付け用!$A$1:$BA$300,COLUMN(),FALSE)),"")</f>
        <v>#N/A</v>
      </c>
      <c r="H142" s="14" t="e">
        <f>IF($A142&lt;&gt;"",IF(VLOOKUP($A142,貼り付け用!$A$1:$BA$300,COLUMN(),FALSE)=0,"",VLOOKUP($A142,貼り付け用!$A$1:$BA$300,COLUMN(),FALSE)),"")</f>
        <v>#N/A</v>
      </c>
      <c r="I142" s="14" t="e">
        <f>IF($A142&lt;&gt;"",IF(VLOOKUP($A142,貼り付け用!$A$1:$BA$300,COLUMN(),FALSE)=0,"",VLOOKUP($A142,貼り付け用!$A$1:$BA$300,COLUMN(),FALSE)),"")</f>
        <v>#N/A</v>
      </c>
      <c r="J142" s="14" t="e">
        <f>IF($A142&lt;&gt;"",IF(VLOOKUP($A142,貼り付け用!$A$1:$BA$300,COLUMN(),FALSE)=0,"",VLOOKUP($A142,貼り付け用!$A$1:$BA$300,COLUMN(),FALSE)),"")</f>
        <v>#N/A</v>
      </c>
      <c r="K142" s="14" t="e">
        <f>IF($A142&lt;&gt;"",IF(VLOOKUP($A142,貼り付け用!$A$1:$BA$300,COLUMN(),FALSE)=0,"",VLOOKUP($A142,貼り付け用!$A$1:$BA$300,COLUMN(),FALSE)),"")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63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IF($A143&lt;&gt;"",IF(VLOOKUP($A143,貼り付け用!$A$1:$BA$300,COLUMN(),FALSE)=0,"",VLOOKUP($A143,貼り付け用!$A$1:$BA$300,COLUMN(),FALSE)),"")</f>
        <v>#N/A</v>
      </c>
      <c r="C143" s="3" t="e">
        <f>IF($A143&lt;&gt;"",IF(VLOOKUP($A143,貼り付け用!$A$1:$BA$300,COLUMN(),FALSE)=0,"",VLOOKUP($A143,貼り付け用!$A$1:$BA$300,COLUMN(),FALSE)),"")</f>
        <v>#N/A</v>
      </c>
      <c r="D143" s="3" t="e">
        <f>IF($A143&lt;&gt;"",IF(VLOOKUP($A143,貼り付け用!$A$1:$BA$300,COLUMN(),FALSE)=0,"",VLOOKUP($A143,貼り付け用!$A$1:$BA$300,COLUMN(),FALSE)),"")</f>
        <v>#N/A</v>
      </c>
      <c r="E143" s="3" t="e">
        <f>IF($A143&lt;&gt;"",IF(VLOOKUP($A143,貼り付け用!$A$1:$BA$300,COLUMN(),FALSE)=0,"",VLOOKUP($A143,貼り付け用!$A$1:$BA$300,COLUMN(),FALSE)),"")</f>
        <v>#N/A</v>
      </c>
      <c r="F143" s="3" t="e">
        <f>IF($A143&lt;&gt;"",IF(VLOOKUP($A143,貼り付け用!$A$1:$BA$300,COLUMN(),FALSE)=0,"",VLOOKUP($A143,貼り付け用!$A$1:$BA$300,COLUMN(),FALSE)),"")</f>
        <v>#N/A</v>
      </c>
      <c r="G143" s="3" t="e">
        <f>IF($A143&lt;&gt;"",IF(VLOOKUP($A143,貼り付け用!$A$1:$BA$300,COLUMN(),FALSE)=0,"",VLOOKUP($A143,貼り付け用!$A$1:$BA$300,COLUMN(),FALSE)),"")</f>
        <v>#N/A</v>
      </c>
      <c r="H143" s="3" t="e">
        <f>IF($A143&lt;&gt;"",IF(VLOOKUP($A143,貼り付け用!$A$1:$BA$300,COLUMN(),FALSE)=0,"",VLOOKUP($A143,貼り付け用!$A$1:$BA$300,COLUMN(),FALSE)),"")</f>
        <v>#N/A</v>
      </c>
      <c r="I143" s="3" t="e">
        <f>IF($A143&lt;&gt;"",IF(VLOOKUP($A143,貼り付け用!$A$1:$BA$300,COLUMN(),FALSE)=0,"",VLOOKUP($A143,貼り付け用!$A$1:$BA$300,COLUMN(),FALSE)),"")</f>
        <v>#N/A</v>
      </c>
      <c r="J143" s="3" t="e">
        <f>IF($A143&lt;&gt;"",IF(VLOOKUP($A143,貼り付け用!$A$1:$BA$300,COLUMN(),FALSE)=0,"",VLOOKUP($A143,貼り付け用!$A$1:$BA$300,COLUMN(),FALSE)),"")</f>
        <v>#N/A</v>
      </c>
      <c r="K143" s="3" t="e">
        <f>IF($A143&lt;&gt;"",IF(VLOOKUP($A143,貼り付け用!$A$1:$BA$300,COLUMN(),FALSE)=0,"",VLOOKUP($A143,貼り付け用!$A$1:$BA$300,COLUMN(),FALSE)),"")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63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IF($A144&lt;&gt;"",IF(VLOOKUP($A144,貼り付け用!$A$1:$BA$300,COLUMN(),FALSE)=0,"",VLOOKUP($A144,貼り付け用!$A$1:$BA$300,COLUMN(),FALSE)),"")</f>
        <v>#N/A</v>
      </c>
      <c r="C144" s="14" t="e">
        <f>IF($A144&lt;&gt;"",IF(VLOOKUP($A144,貼り付け用!$A$1:$BA$300,COLUMN(),FALSE)=0,"",VLOOKUP($A144,貼り付け用!$A$1:$BA$300,COLUMN(),FALSE)),"")</f>
        <v>#N/A</v>
      </c>
      <c r="D144" s="14" t="e">
        <f>IF($A144&lt;&gt;"",IF(VLOOKUP($A144,貼り付け用!$A$1:$BA$300,COLUMN(),FALSE)=0,"",VLOOKUP($A144,貼り付け用!$A$1:$BA$300,COLUMN(),FALSE)),"")</f>
        <v>#N/A</v>
      </c>
      <c r="E144" s="14" t="e">
        <f>IF($A144&lt;&gt;"",IF(VLOOKUP($A144,貼り付け用!$A$1:$BA$300,COLUMN(),FALSE)=0,"",VLOOKUP($A144,貼り付け用!$A$1:$BA$300,COLUMN(),FALSE)),"")</f>
        <v>#N/A</v>
      </c>
      <c r="F144" s="14" t="e">
        <f>IF($A144&lt;&gt;"",IF(VLOOKUP($A144,貼り付け用!$A$1:$BA$300,COLUMN(),FALSE)=0,"",VLOOKUP($A144,貼り付け用!$A$1:$BA$300,COLUMN(),FALSE)),"")</f>
        <v>#N/A</v>
      </c>
      <c r="G144" s="14" t="e">
        <f>IF($A144&lt;&gt;"",IF(VLOOKUP($A144,貼り付け用!$A$1:$BA$300,COLUMN(),FALSE)=0,"",VLOOKUP($A144,貼り付け用!$A$1:$BA$300,COLUMN(),FALSE)),"")</f>
        <v>#N/A</v>
      </c>
      <c r="H144" s="14" t="e">
        <f>IF($A144&lt;&gt;"",IF(VLOOKUP($A144,貼り付け用!$A$1:$BA$300,COLUMN(),FALSE)=0,"",VLOOKUP($A144,貼り付け用!$A$1:$BA$300,COLUMN(),FALSE)),"")</f>
        <v>#N/A</v>
      </c>
      <c r="I144" s="14" t="e">
        <f>IF($A144&lt;&gt;"",IF(VLOOKUP($A144,貼り付け用!$A$1:$BA$300,COLUMN(),FALSE)=0,"",VLOOKUP($A144,貼り付け用!$A$1:$BA$300,COLUMN(),FALSE)),"")</f>
        <v>#N/A</v>
      </c>
      <c r="J144" s="14" t="e">
        <f>IF($A144&lt;&gt;"",IF(VLOOKUP($A144,貼り付け用!$A$1:$BA$300,COLUMN(),FALSE)=0,"",VLOOKUP($A144,貼り付け用!$A$1:$BA$300,COLUMN(),FALSE)),"")</f>
        <v>#N/A</v>
      </c>
      <c r="K144" s="14" t="e">
        <f>IF($A144&lt;&gt;"",IF(VLOOKUP($A144,貼り付け用!$A$1:$BA$300,COLUMN(),FALSE)=0,"",VLOOKUP($A144,貼り付け用!$A$1:$BA$300,COLUMN(),FALSE)),"")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63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IF($A145&lt;&gt;"",IF(VLOOKUP($A145,貼り付け用!$A$1:$BA$300,COLUMN(),FALSE)=0,"",VLOOKUP($A145,貼り付け用!$A$1:$BA$300,COLUMN(),FALSE)),"")</f>
        <v>#N/A</v>
      </c>
      <c r="C145" s="3" t="e">
        <f>IF($A145&lt;&gt;"",IF(VLOOKUP($A145,貼り付け用!$A$1:$BA$300,COLUMN(),FALSE)=0,"",VLOOKUP($A145,貼り付け用!$A$1:$BA$300,COLUMN(),FALSE)),"")</f>
        <v>#N/A</v>
      </c>
      <c r="D145" s="3" t="e">
        <f>IF($A145&lt;&gt;"",IF(VLOOKUP($A145,貼り付け用!$A$1:$BA$300,COLUMN(),FALSE)=0,"",VLOOKUP($A145,貼り付け用!$A$1:$BA$300,COLUMN(),FALSE)),"")</f>
        <v>#N/A</v>
      </c>
      <c r="E145" s="3" t="e">
        <f>IF($A145&lt;&gt;"",IF(VLOOKUP($A145,貼り付け用!$A$1:$BA$300,COLUMN(),FALSE)=0,"",VLOOKUP($A145,貼り付け用!$A$1:$BA$300,COLUMN(),FALSE)),"")</f>
        <v>#N/A</v>
      </c>
      <c r="F145" s="3" t="e">
        <f>IF($A145&lt;&gt;"",IF(VLOOKUP($A145,貼り付け用!$A$1:$BA$300,COLUMN(),FALSE)=0,"",VLOOKUP($A145,貼り付け用!$A$1:$BA$300,COLUMN(),FALSE)),"")</f>
        <v>#N/A</v>
      </c>
      <c r="G145" s="3" t="e">
        <f>IF($A145&lt;&gt;"",IF(VLOOKUP($A145,貼り付け用!$A$1:$BA$300,COLUMN(),FALSE)=0,"",VLOOKUP($A145,貼り付け用!$A$1:$BA$300,COLUMN(),FALSE)),"")</f>
        <v>#N/A</v>
      </c>
      <c r="H145" s="3" t="e">
        <f>IF($A145&lt;&gt;"",IF(VLOOKUP($A145,貼り付け用!$A$1:$BA$300,COLUMN(),FALSE)=0,"",VLOOKUP($A145,貼り付け用!$A$1:$BA$300,COLUMN(),FALSE)),"")</f>
        <v>#N/A</v>
      </c>
      <c r="I145" s="3" t="e">
        <f>IF($A145&lt;&gt;"",IF(VLOOKUP($A145,貼り付け用!$A$1:$BA$300,COLUMN(),FALSE)=0,"",VLOOKUP($A145,貼り付け用!$A$1:$BA$300,COLUMN(),FALSE)),"")</f>
        <v>#N/A</v>
      </c>
      <c r="J145" s="3" t="e">
        <f>IF($A145&lt;&gt;"",IF(VLOOKUP($A145,貼り付け用!$A$1:$BA$300,COLUMN(),FALSE)=0,"",VLOOKUP($A145,貼り付け用!$A$1:$BA$300,COLUMN(),FALSE)),"")</f>
        <v>#N/A</v>
      </c>
      <c r="K145" s="3" t="e">
        <f>IF($A145&lt;&gt;"",IF(VLOOKUP($A145,貼り付け用!$A$1:$BA$300,COLUMN(),FALSE)=0,"",VLOOKUP($A145,貼り付け用!$A$1:$BA$300,COLUMN(),FALSE)),"")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63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56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57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AN154"/>
  <sheetViews>
    <sheetView tabSelected="1" zoomScale="50" zoomScaleNormal="5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M14" sqref="M14"/>
    </sheetView>
  </sheetViews>
  <sheetFormatPr defaultRowHeight="16.2" customHeight="1"/>
  <cols>
    <col min="1" max="1" width="26.69921875" style="128" customWidth="1"/>
    <col min="2" max="2" width="10.59765625" style="67" customWidth="1"/>
    <col min="3" max="3" width="5.09765625" style="67" customWidth="1"/>
    <col min="4" max="4" width="10.59765625" style="67" customWidth="1"/>
    <col min="5" max="5" width="5.09765625" style="67" customWidth="1"/>
    <col min="6" max="6" width="10.8984375" style="68" customWidth="1"/>
    <col min="7" max="7" width="5.09765625" style="67" customWidth="1"/>
    <col min="8" max="8" width="10.59765625" style="67" customWidth="1"/>
    <col min="9" max="9" width="5.09765625" style="67" customWidth="1"/>
    <col min="10" max="10" width="10.59765625" style="67" customWidth="1"/>
    <col min="11" max="11" width="5.09765625" style="67" customWidth="1"/>
    <col min="12" max="12" width="10.59765625" style="68" customWidth="1"/>
    <col min="13" max="13" width="5.09765625" style="67" customWidth="1"/>
    <col min="14" max="14" width="10.59765625" style="67" customWidth="1"/>
    <col min="15" max="15" width="5.09765625" style="67" customWidth="1"/>
    <col min="16" max="16" width="10.59765625" style="67" customWidth="1"/>
    <col min="17" max="17" width="5.09765625" style="67" customWidth="1"/>
    <col min="18" max="18" width="10.59765625" style="67" customWidth="1"/>
    <col min="19" max="19" width="5.09765625" style="67" customWidth="1"/>
    <col min="20" max="20" width="10.59765625" style="67" customWidth="1"/>
    <col min="21" max="21" width="5.09765625" style="67" customWidth="1"/>
    <col min="22" max="22" width="10.59765625" style="71" customWidth="1"/>
    <col min="23" max="23" width="5.09765625" style="69" customWidth="1"/>
    <col min="24" max="24" width="10.59765625" style="111" customWidth="1"/>
    <col min="25" max="25" width="5.09765625" style="67" customWidth="1"/>
    <col min="26" max="26" width="10.59765625" style="71" customWidth="1"/>
    <col min="27" max="27" width="5.09765625" style="69" customWidth="1"/>
    <col min="28" max="28" width="10.59765625" style="111" customWidth="1"/>
    <col min="29" max="29" width="5.09765625" style="67" customWidth="1"/>
    <col min="30" max="30" width="10.59765625" style="71" customWidth="1"/>
    <col min="31" max="31" width="5.09765625" style="69" customWidth="1"/>
    <col min="32" max="32" width="10.59765625" style="111" customWidth="1"/>
    <col min="33" max="33" width="5.09765625" style="67" customWidth="1"/>
    <col min="34" max="34" width="10.59765625" style="71" customWidth="1"/>
    <col min="35" max="35" width="5.09765625" style="69" customWidth="1"/>
    <col min="36" max="36" width="10.59765625" style="111" customWidth="1"/>
    <col min="37" max="37" width="5.09765625" style="67" customWidth="1"/>
    <col min="38" max="38" width="11.3984375" style="72" customWidth="1"/>
    <col min="39" max="39" width="32.796875" style="128" customWidth="1"/>
    <col min="40" max="40" width="27.69921875" style="128" customWidth="1"/>
    <col min="41" max="61" width="8.796875" style="66" customWidth="1"/>
    <col min="62" max="16384" width="8.796875" style="66"/>
  </cols>
  <sheetData>
    <row r="1" spans="1:40" s="122" customFormat="1" ht="16.2" customHeight="1">
      <c r="B1" s="156"/>
      <c r="C1" s="156"/>
      <c r="D1" s="156"/>
      <c r="E1" s="156"/>
      <c r="F1" s="157"/>
      <c r="G1" s="156"/>
      <c r="H1" s="156"/>
      <c r="I1" s="156"/>
      <c r="J1" s="156"/>
      <c r="K1" s="156"/>
      <c r="L1" s="157"/>
      <c r="M1" s="156"/>
      <c r="N1" s="156"/>
      <c r="O1" s="156"/>
      <c r="P1" s="156"/>
      <c r="Q1" s="156"/>
      <c r="R1" s="156"/>
      <c r="S1" s="156"/>
      <c r="T1" s="156"/>
      <c r="U1" s="156"/>
      <c r="V1" s="157"/>
      <c r="W1" s="158"/>
      <c r="X1" s="156"/>
      <c r="Y1" s="156"/>
      <c r="Z1" s="157"/>
      <c r="AA1" s="158"/>
      <c r="AB1" s="156"/>
      <c r="AC1" s="156"/>
      <c r="AD1" s="157"/>
      <c r="AE1" s="158"/>
      <c r="AF1" s="156"/>
      <c r="AG1" s="156"/>
      <c r="AH1" s="157"/>
      <c r="AI1" s="158"/>
      <c r="AJ1" s="156"/>
      <c r="AK1" s="159"/>
      <c r="AL1" s="160"/>
      <c r="AM1" s="161" t="s">
        <v>22</v>
      </c>
    </row>
    <row r="2" spans="1:40" s="122" customFormat="1" ht="16.2" customHeight="1">
      <c r="A2" s="122" t="str">
        <f>貼り付け用!A2&amp;"　"&amp;貼り付け用!B2&amp;"　"&amp;貼り付け用!C2</f>
        <v>　　</v>
      </c>
      <c r="B2" s="156"/>
      <c r="C2" s="156"/>
      <c r="D2" s="156"/>
      <c r="E2" s="156"/>
      <c r="F2" s="157"/>
      <c r="G2" s="156"/>
      <c r="H2" s="156"/>
      <c r="I2" s="156"/>
      <c r="J2" s="156"/>
      <c r="K2" s="156"/>
      <c r="L2" s="157"/>
      <c r="M2" s="156"/>
      <c r="N2" s="156"/>
      <c r="O2" s="156"/>
      <c r="P2" s="156" t="s">
        <v>10</v>
      </c>
      <c r="Q2" s="156"/>
      <c r="R2" s="156"/>
      <c r="S2" s="156"/>
      <c r="T2" s="156" t="s">
        <v>11</v>
      </c>
      <c r="U2" s="156"/>
      <c r="V2" s="157"/>
      <c r="W2" s="158"/>
      <c r="X2" s="156" t="s">
        <v>10</v>
      </c>
      <c r="Y2" s="156"/>
      <c r="Z2" s="157"/>
      <c r="AA2" s="158"/>
      <c r="AB2" s="156" t="s">
        <v>12</v>
      </c>
      <c r="AC2" s="156"/>
      <c r="AD2" s="157"/>
      <c r="AE2" s="158"/>
      <c r="AF2" s="156"/>
      <c r="AG2" s="156"/>
      <c r="AH2" s="162"/>
      <c r="AI2" s="158"/>
      <c r="AJ2" s="156"/>
      <c r="AK2" s="156"/>
      <c r="AL2" s="163" t="s">
        <v>13</v>
      </c>
      <c r="AM2" s="122" t="str">
        <f>貼り付け用!T2&amp;"　"&amp;貼り付け用!U2&amp;"　"&amp;貼り付け用!V2&amp;"　"&amp;貼り付け用!W2</f>
        <v>　　　</v>
      </c>
    </row>
    <row r="3" spans="1:40" s="122" customFormat="1" ht="16.2" customHeight="1">
      <c r="A3" s="123"/>
      <c r="B3" s="133" t="s">
        <v>1</v>
      </c>
      <c r="C3" s="134"/>
      <c r="D3" s="135" t="s">
        <v>1</v>
      </c>
      <c r="E3" s="136"/>
      <c r="F3" s="137" t="s">
        <v>3</v>
      </c>
      <c r="G3" s="138"/>
      <c r="H3" s="138" t="s">
        <v>3</v>
      </c>
      <c r="I3" s="138"/>
      <c r="J3" s="138" t="s">
        <v>3</v>
      </c>
      <c r="K3" s="138"/>
      <c r="L3" s="173" t="s">
        <v>0</v>
      </c>
      <c r="M3" s="138"/>
      <c r="N3" s="138" t="s">
        <v>0</v>
      </c>
      <c r="O3" s="138"/>
      <c r="P3" s="138" t="s">
        <v>0</v>
      </c>
      <c r="Q3" s="138"/>
      <c r="R3" s="138" t="s">
        <v>0</v>
      </c>
      <c r="S3" s="138"/>
      <c r="T3" s="138" t="s">
        <v>0</v>
      </c>
      <c r="U3" s="138"/>
      <c r="V3" s="140">
        <f>数出表_Excel!L3</f>
        <v>0</v>
      </c>
      <c r="W3" s="139">
        <f>IF(V3&lt;&gt;"",0,"")</f>
        <v>0</v>
      </c>
      <c r="X3" s="141">
        <f>数出表_Excel!M3</f>
        <v>0</v>
      </c>
      <c r="Y3" s="139">
        <f>IF(X3&lt;&gt;"",0,"")</f>
        <v>0</v>
      </c>
      <c r="Z3" s="140">
        <f>数出表_Excel!N3</f>
        <v>0</v>
      </c>
      <c r="AA3" s="139">
        <f>IF(Z3&lt;&gt;"",0,"")</f>
        <v>0</v>
      </c>
      <c r="AB3" s="141">
        <f>数出表_Excel!O3</f>
        <v>0</v>
      </c>
      <c r="AC3" s="139">
        <f>IF(AB3&lt;&gt;"",0,"")</f>
        <v>0</v>
      </c>
      <c r="AD3" s="140">
        <f>数出表_Excel!P3</f>
        <v>0</v>
      </c>
      <c r="AE3" s="139">
        <f>IF(AD3&lt;&gt;"",0,"")</f>
        <v>0</v>
      </c>
      <c r="AF3" s="142">
        <f>数出表_Excel!Q3</f>
        <v>0</v>
      </c>
      <c r="AG3" s="143">
        <f>IF(AF3&lt;&gt;"",0,"")</f>
        <v>0</v>
      </c>
      <c r="AH3" s="140">
        <f>数出表_Excel!R3</f>
        <v>0</v>
      </c>
      <c r="AI3" s="139">
        <f>IF(AH3&lt;&gt;"",0,"")</f>
        <v>0</v>
      </c>
      <c r="AJ3" s="142">
        <f>数出表_Excel!S3</f>
        <v>0</v>
      </c>
      <c r="AK3" s="143">
        <f>IF(AJ3&lt;&gt;"",0,"")</f>
        <v>0</v>
      </c>
      <c r="AL3" s="144" t="s">
        <v>15</v>
      </c>
      <c r="AM3" s="145"/>
      <c r="AN3" s="146"/>
    </row>
    <row r="4" spans="1:40" s="122" customFormat="1" ht="16.2" customHeight="1">
      <c r="A4" s="124" t="s">
        <v>16</v>
      </c>
      <c r="B4" s="147" t="s">
        <v>17</v>
      </c>
      <c r="C4" s="147"/>
      <c r="D4" s="147" t="s">
        <v>17</v>
      </c>
      <c r="E4" s="142"/>
      <c r="F4" s="148" t="s">
        <v>17</v>
      </c>
      <c r="G4" s="147"/>
      <c r="H4" s="147" t="s">
        <v>18</v>
      </c>
      <c r="I4" s="147"/>
      <c r="J4" s="147" t="s">
        <v>19</v>
      </c>
      <c r="K4" s="142"/>
      <c r="L4" s="148" t="s">
        <v>17</v>
      </c>
      <c r="M4" s="147"/>
      <c r="N4" s="147" t="s">
        <v>17</v>
      </c>
      <c r="O4" s="147"/>
      <c r="P4" s="147" t="s">
        <v>18</v>
      </c>
      <c r="Q4" s="147"/>
      <c r="R4" s="147" t="s">
        <v>18</v>
      </c>
      <c r="S4" s="147"/>
      <c r="T4" s="147" t="s">
        <v>19</v>
      </c>
      <c r="U4" s="142"/>
      <c r="V4" s="150"/>
      <c r="W4" s="149"/>
      <c r="X4" s="151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142"/>
      <c r="Z4" s="152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149"/>
      <c r="AB4" s="151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142"/>
      <c r="AD4" s="152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149"/>
      <c r="AF4" s="151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142"/>
      <c r="AH4" s="152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149"/>
      <c r="AJ4" s="151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142"/>
      <c r="AL4" s="153"/>
      <c r="AM4" s="154"/>
      <c r="AN4" s="155"/>
    </row>
    <row r="5" spans="1:40" ht="16.2" customHeight="1">
      <c r="A5" s="125"/>
      <c r="B5" s="73">
        <v>100</v>
      </c>
      <c r="C5" s="73"/>
      <c r="D5" s="73">
        <v>150</v>
      </c>
      <c r="E5" s="74"/>
      <c r="F5" s="75">
        <v>120</v>
      </c>
      <c r="G5" s="73"/>
      <c r="H5" s="73" t="s">
        <v>20</v>
      </c>
      <c r="I5" s="73"/>
      <c r="J5" s="73"/>
      <c r="K5" s="74"/>
      <c r="L5" s="75">
        <v>120</v>
      </c>
      <c r="M5" s="73"/>
      <c r="N5" s="73">
        <v>100</v>
      </c>
      <c r="O5" s="73"/>
      <c r="P5" s="73" t="s">
        <v>20</v>
      </c>
      <c r="Q5" s="73"/>
      <c r="R5" s="73" t="s">
        <v>21</v>
      </c>
      <c r="S5" s="73"/>
      <c r="T5" s="73"/>
      <c r="U5" s="74"/>
      <c r="V5" s="75"/>
      <c r="W5" s="76"/>
      <c r="X5" s="73"/>
      <c r="Y5" s="74"/>
      <c r="Z5" s="75"/>
      <c r="AA5" s="76"/>
      <c r="AB5" s="73"/>
      <c r="AC5" s="74"/>
      <c r="AD5" s="75"/>
      <c r="AE5" s="76"/>
      <c r="AF5" s="73"/>
      <c r="AG5" s="74"/>
      <c r="AH5" s="75"/>
      <c r="AI5" s="76"/>
      <c r="AJ5" s="73"/>
      <c r="AK5" s="74"/>
      <c r="AL5" s="77"/>
      <c r="AM5" s="154"/>
      <c r="AN5" s="155"/>
    </row>
    <row r="6" spans="1:40" ht="16.2" customHeight="1">
      <c r="A6" s="126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14" t="str">
        <f ca="1">IFERROR(VALUE(IF(VLOOKUP($A6,数出表_Excel!$A$6:$T$150,COLUMN()/2+1,FALSE)=0,"",VLOOKUP($A6,数出表_Excel!$A$6:$T$150,COLUMN()/2+1,FALSE))),"")</f>
        <v/>
      </c>
      <c r="C6" s="79"/>
      <c r="D6" s="114" t="str">
        <f ca="1">IFERROR(VALUE(IF(VLOOKUP($A6,数出表_Excel!$A$6:$T$150,COLUMN()/2+1,FALSE)=0,"",VLOOKUP($A6,数出表_Excel!$A$6:$T$150,COLUMN()/2+1,FALSE))),"")</f>
        <v/>
      </c>
      <c r="E6" s="79"/>
      <c r="F6" s="116" t="str">
        <f ca="1">IFERROR(VALUE(IF(VLOOKUP($A6,数出表_Excel!$A$6:$T$150,COLUMN()/2+1,FALSE)=0,"",VLOOKUP($A6,数出表_Excel!$A$6:$T$150,COLUMN()/2+1,FALSE))),"")</f>
        <v/>
      </c>
      <c r="G6" s="79"/>
      <c r="H6" s="114" t="str">
        <f ca="1">IFERROR(VALUE(IF(VLOOKUP($A6,数出表_Excel!$A$6:$T$150,COLUMN()/2+1,FALSE)=0,"",VLOOKUP($A6,数出表_Excel!$A$6:$T$150,COLUMN()/2+1,FALSE))),"")</f>
        <v/>
      </c>
      <c r="I6" s="79"/>
      <c r="J6" s="114" t="str">
        <f ca="1">IFERROR(VALUE(IF(VLOOKUP($A6,数出表_Excel!$A$6:$T$150,COLUMN()/2+1,FALSE)=0,"",VLOOKUP($A6,数出表_Excel!$A$6:$T$150,COLUMN()/2+1,FALSE))),"")</f>
        <v/>
      </c>
      <c r="K6" s="79"/>
      <c r="L6" s="116" t="str">
        <f ca="1">IFERROR(VALUE(IF(VLOOKUP($A6,数出表_Excel!$A$6:$T$150,COLUMN()/2+1,FALSE)=0,"",VLOOKUP($A6,数出表_Excel!$A$6:$T$150,COLUMN()/2+1,FALSE))),"")</f>
        <v/>
      </c>
      <c r="M6" s="79"/>
      <c r="N6" s="114" t="str">
        <f ca="1">IFERROR(VALUE(IF(VLOOKUP($A6,数出表_Excel!$A$6:$T$150,COLUMN()/2+1,FALSE)=0,"",VLOOKUP($A6,数出表_Excel!$A$6:$T$150,COLUMN()/2+1,FALSE))),"")</f>
        <v/>
      </c>
      <c r="O6" s="79"/>
      <c r="P6" s="114" t="str">
        <f ca="1">IFERROR(VALUE(IF(VLOOKUP($A6,数出表_Excel!$A$6:$T$150,COLUMN()/2+1,FALSE)=0,"",VLOOKUP($A6,数出表_Excel!$A$6:$T$150,COLUMN()/2+1,FALSE))),"")</f>
        <v/>
      </c>
      <c r="Q6" s="79"/>
      <c r="R6" s="114" t="str">
        <f ca="1">IFERROR(VALUE(IF(VLOOKUP($A6,数出表_Excel!$A$6:$T$150,COLUMN()/2+1,FALSE)=0,"",VLOOKUP($A6,数出表_Excel!$A$6:$T$150,COLUMN()/2+1,FALSE))),"")</f>
        <v/>
      </c>
      <c r="S6" s="79"/>
      <c r="T6" s="114" t="str">
        <f ca="1">IFERROR(VALUE(IF(VLOOKUP($A6,数出表_Excel!$A$6:$T$150,COLUMN()/2+1,FALSE)=0,"",VLOOKUP($A6,数出表_Excel!$A$6:$T$150,COLUMN()/2+1,FALSE))),"")</f>
        <v/>
      </c>
      <c r="U6" s="79"/>
      <c r="V6" s="116" t="str">
        <f ca="1">IFERROR(VALUE(IF(VLOOKUP($A6,数出表_Excel!$A$6:$T$150,COLUMN()/2+1,FALSE)=0,"",VLOOKUP($A6,数出表_Excel!$A$6:$T$150,COLUMN()/2+1,FALSE))),"")</f>
        <v/>
      </c>
      <c r="W6" s="79"/>
      <c r="X6" s="116" t="str">
        <f ca="1">IFERROR(VALUE(IF(VLOOKUP($A6,数出表_Excel!$A$6:$T$150,COLUMN()/2+1,FALSE)=0,"",VLOOKUP($A6,数出表_Excel!$A$6:$T$150,COLUMN()/2+1,FALSE))),"")</f>
        <v/>
      </c>
      <c r="Y6" s="79"/>
      <c r="Z6" s="116" t="str">
        <f ca="1">IFERROR(VALUE(IF(VLOOKUP($A6,数出表_Excel!$A$6:$T$150,COLUMN()/2+1,FALSE)=0,"",VLOOKUP($A6,数出表_Excel!$A$6:$T$150,COLUMN()/2+1,FALSE))),"")</f>
        <v/>
      </c>
      <c r="AA6" s="117"/>
      <c r="AB6" s="115" t="str">
        <f ca="1">IFERROR(VALUE(IF(VLOOKUP($A6,数出表_Excel!$A$6:$T$150,COLUMN()/2+1,FALSE)=0,"",VLOOKUP($A6,数出表_Excel!$A$6:$T$150,COLUMN()/2+1,FALSE))),"")</f>
        <v/>
      </c>
      <c r="AC6" s="79"/>
      <c r="AD6" s="116" t="str">
        <f ca="1">IFERROR(VALUE(IF(VLOOKUP($A6,数出表_Excel!$A$6:$T$150,COLUMN()/2+1,FALSE)=0,"",VLOOKUP($A6,数出表_Excel!$A$6:$T$150,COLUMN()/2+1,FALSE))),"")</f>
        <v/>
      </c>
      <c r="AE6" s="79"/>
      <c r="AF6" s="116" t="str">
        <f ca="1">IFERROR(VALUE(IF(VLOOKUP($A6,数出表_Excel!$A$6:$T$150,COLUMN()/2+1,FALSE)=0,"",VLOOKUP($A6,数出表_Excel!$A$6:$T$150,COLUMN()/2+1,FALSE))),"")</f>
        <v/>
      </c>
      <c r="AG6" s="79"/>
      <c r="AH6" s="116" t="str">
        <f ca="1">IFERROR(VALUE(IF(VLOOKUP($A6,数出表_Excel!$A$6:$T$150,COLUMN()/2+1,FALSE)=0,"",VLOOKUP($A6,数出表_Excel!$A$6:$T$150,COLUMN()/2+1,FALSE))),"")</f>
        <v/>
      </c>
      <c r="AI6" s="117"/>
      <c r="AJ6" s="115" t="str">
        <f ca="1">IFERROR(VALUE(IF(VLOOKUP($A6,数出表_Excel!$A$6:$T$150,COLUMN()/2+1,FALSE)=0,"",VLOOKUP($A6,数出表_Excel!$A$6:$T$150,COLUMN()/2+1,FALSE))),"")</f>
        <v/>
      </c>
      <c r="AK6" s="79"/>
      <c r="AL6" s="83" t="e">
        <f ca="1">IF(A6&lt;&gt;"",
IF(VLOOKUP($A6,数出表_Excel!$A$6:$T$150,COLUMN()/2+1,FALSE)=0,"",VLOOKUP($A6,数出表_Excel!$A$6:$T$150,COLUMN()/2+1,FALSE)),"")</f>
        <v>#N/A</v>
      </c>
      <c r="AM6" s="164" t="e">
        <f ca="1">数出表_Excel!V6</f>
        <v>#N/A</v>
      </c>
      <c r="AN6" s="165" t="e">
        <f ca="1">数出表_Excel!W6</f>
        <v>#N/A</v>
      </c>
    </row>
    <row r="7" spans="1:40" ht="16.2" customHeight="1">
      <c r="A7" s="127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80" t="str">
        <f ca="1">IFERROR(VALUE(IF(VLOOKUP($A7,数出表_Excel!$A$6:$T$150,COLUMN()/2+1,FALSE)=0,"",VLOOKUP($A7,数出表_Excel!$A$6:$T$150,COLUMN()/2+1,FALSE))),"")</f>
        <v/>
      </c>
      <c r="C7" s="80"/>
      <c r="D7" s="80" t="str">
        <f ca="1">IFERROR(VALUE(IF(VLOOKUP($A7,数出表_Excel!$A$6:$T$150,COLUMN()/2+1,FALSE)=0,"",VLOOKUP($A7,数出表_Excel!$A$6:$T$150,COLUMN()/2+1,FALSE))),"")</f>
        <v/>
      </c>
      <c r="E7" s="80"/>
      <c r="F7" s="84" t="str">
        <f ca="1">IFERROR(VALUE(IF(VLOOKUP($A7,数出表_Excel!$A$6:$T$150,COLUMN()/2+1,FALSE)=0,"",VLOOKUP($A7,数出表_Excel!$A$6:$T$150,COLUMN()/2+1,FALSE))),"")</f>
        <v/>
      </c>
      <c r="G7" s="80"/>
      <c r="H7" s="80" t="str">
        <f ca="1">IFERROR(VALUE(IF(VLOOKUP($A7,数出表_Excel!$A$6:$T$150,COLUMN()/2+1,FALSE)=0,"",VLOOKUP($A7,数出表_Excel!$A$6:$T$150,COLUMN()/2+1,FALSE))),"")</f>
        <v/>
      </c>
      <c r="I7" s="80"/>
      <c r="J7" s="80" t="str">
        <f ca="1">IFERROR(VALUE(IF(VLOOKUP($A7,数出表_Excel!$A$6:$T$150,COLUMN()/2+1,FALSE)=0,"",VLOOKUP($A7,数出表_Excel!$A$6:$T$150,COLUMN()/2+1,FALSE))),"")</f>
        <v/>
      </c>
      <c r="K7" s="80"/>
      <c r="L7" s="84" t="str">
        <f ca="1">IFERROR(VALUE(IF(VLOOKUP($A7,数出表_Excel!$A$6:$T$150,COLUMN()/2+1,FALSE)=0,"",VLOOKUP($A7,数出表_Excel!$A$6:$T$150,COLUMN()/2+1,FALSE))),"")</f>
        <v/>
      </c>
      <c r="M7" s="80"/>
      <c r="N7" s="80" t="str">
        <f ca="1">IFERROR(VALUE(IF(VLOOKUP($A7,数出表_Excel!$A$6:$T$150,COLUMN()/2+1,FALSE)=0,"",VLOOKUP($A7,数出表_Excel!$A$6:$T$150,COLUMN()/2+1,FALSE))),"")</f>
        <v/>
      </c>
      <c r="O7" s="80"/>
      <c r="P7" s="80" t="str">
        <f ca="1">IFERROR(VALUE(IF(VLOOKUP($A7,数出表_Excel!$A$6:$T$150,COLUMN()/2+1,FALSE)=0,"",VLOOKUP($A7,数出表_Excel!$A$6:$T$150,COLUMN()/2+1,FALSE))),"")</f>
        <v/>
      </c>
      <c r="Q7" s="80"/>
      <c r="R7" s="80" t="str">
        <f ca="1">IFERROR(VALUE(IF(VLOOKUP($A7,数出表_Excel!$A$6:$T$150,COLUMN()/2+1,FALSE)=0,"",VLOOKUP($A7,数出表_Excel!$A$6:$T$150,COLUMN()/2+1,FALSE))),"")</f>
        <v/>
      </c>
      <c r="S7" s="80"/>
      <c r="T7" s="80" t="str">
        <f ca="1">IFERROR(VALUE(IF(VLOOKUP($A7,数出表_Excel!$A$6:$T$150,COLUMN()/2+1,FALSE)=0,"",VLOOKUP($A7,数出表_Excel!$A$6:$T$150,COLUMN()/2+1,FALSE))),"")</f>
        <v/>
      </c>
      <c r="U7" s="80"/>
      <c r="V7" s="84" t="str">
        <f ca="1">IFERROR(VALUE(IF(VLOOKUP($A7,数出表_Excel!$A$6:$T$150,COLUMN()/2+1,FALSE)=0,"",VLOOKUP($A7,数出表_Excel!$A$6:$T$150,COLUMN()/2+1,FALSE))),"")</f>
        <v/>
      </c>
      <c r="W7" s="80"/>
      <c r="X7" s="84" t="str">
        <f ca="1">IFERROR(VALUE(IF(VLOOKUP($A7,数出表_Excel!$A$6:$T$150,COLUMN()/2+1,FALSE)=0,"",VLOOKUP($A7,数出表_Excel!$A$6:$T$150,COLUMN()/2+1,FALSE))),"")</f>
        <v/>
      </c>
      <c r="Y7" s="80"/>
      <c r="Z7" s="84" t="str">
        <f ca="1">IFERROR(VALUE(IF(VLOOKUP($A7,数出表_Excel!$A$6:$T$150,COLUMN()/2+1,FALSE)=0,"",VLOOKUP($A7,数出表_Excel!$A$6:$T$150,COLUMN()/2+1,FALSE))),"")</f>
        <v/>
      </c>
      <c r="AA7" s="118"/>
      <c r="AB7" s="85" t="str">
        <f ca="1">IFERROR(VALUE(IF(VLOOKUP($A7,数出表_Excel!$A$6:$T$150,COLUMN()/2+1,FALSE)=0,"",VLOOKUP($A7,数出表_Excel!$A$6:$T$150,COLUMN()/2+1,FALSE))),"")</f>
        <v/>
      </c>
      <c r="AC7" s="80"/>
      <c r="AD7" s="84" t="str">
        <f ca="1">IFERROR(VALUE(IF(VLOOKUP($A7,数出表_Excel!$A$6:$T$150,COLUMN()/2+1,FALSE)=0,"",VLOOKUP($A7,数出表_Excel!$A$6:$T$150,COLUMN()/2+1,FALSE))),"")</f>
        <v/>
      </c>
      <c r="AE7" s="80"/>
      <c r="AF7" s="84" t="str">
        <f ca="1">IFERROR(VALUE(IF(VLOOKUP($A7,数出表_Excel!$A$6:$T$150,COLUMN()/2+1,FALSE)=0,"",VLOOKUP($A7,数出表_Excel!$A$6:$T$150,COLUMN()/2+1,FALSE))),"")</f>
        <v/>
      </c>
      <c r="AG7" s="80"/>
      <c r="AH7" s="84" t="str">
        <f ca="1">IFERROR(VALUE(IF(VLOOKUP($A7,数出表_Excel!$A$6:$T$150,COLUMN()/2+1,FALSE)=0,"",VLOOKUP($A7,数出表_Excel!$A$6:$T$150,COLUMN()/2+1,FALSE))),"")</f>
        <v/>
      </c>
      <c r="AI7" s="118"/>
      <c r="AJ7" s="85" t="str">
        <f ca="1">IFERROR(VALUE(IF(VLOOKUP($A7,数出表_Excel!$A$6:$T$150,COLUMN()/2+1,FALSE)=0,"",VLOOKUP($A7,数出表_Excel!$A$6:$T$150,COLUMN()/2+1,FALSE))),"")</f>
        <v/>
      </c>
      <c r="AK7" s="80"/>
      <c r="AL7" s="86" t="e">
        <f ca="1">IF(A7&lt;&gt;"",
IF(VLOOKUP($A7,数出表_Excel!$A$6:$T$150,COLUMN()/2+1,FALSE)=0,"",VLOOKUP($A7,数出表_Excel!$A$6:$T$150,COLUMN()/2+1,FALSE)),"")</f>
        <v>#N/A</v>
      </c>
      <c r="AM7" s="166" t="e">
        <f ca="1">数出表_Excel!V7</f>
        <v>#N/A</v>
      </c>
      <c r="AN7" s="167" t="e">
        <f ca="1">数出表_Excel!W7</f>
        <v>#N/A</v>
      </c>
    </row>
    <row r="8" spans="1:40" ht="16.2" customHeight="1">
      <c r="A8" s="126" t="e">
        <f t="array" aca="1" ref="A8" ca="1">IF(OR(COUNTIF(A6,"*10002*"),COUNTIF(A6,"")),"",INDEX(貼り付け用!$A1:$A200,MATCH(A6,貼り付け用!$A1:$A200,0)+2,0))</f>
        <v>#N/A</v>
      </c>
      <c r="B8" s="114" t="str">
        <f ca="1">IFERROR(VALUE(IF(VLOOKUP($A8,数出表_Excel!$A$6:$T$150,COLUMN()/2+1,FALSE)=0,"",VLOOKUP($A8,数出表_Excel!$A$6:$T$150,COLUMN()/2+1,FALSE))),"")</f>
        <v/>
      </c>
      <c r="C8" s="79"/>
      <c r="D8" s="114" t="str">
        <f ca="1">IFERROR(VALUE(IF(VLOOKUP($A8,数出表_Excel!$A$6:$T$150,COLUMN()/2+1,FALSE)=0,"",VLOOKUP($A8,数出表_Excel!$A$6:$T$150,COLUMN()/2+1,FALSE))),"")</f>
        <v/>
      </c>
      <c r="E8" s="79"/>
      <c r="F8" s="116" t="str">
        <f ca="1">IFERROR(VALUE(IF(VLOOKUP($A8,数出表_Excel!$A$6:$T$150,COLUMN()/2+1,FALSE)=0,"",VLOOKUP($A8,数出表_Excel!$A$6:$T$150,COLUMN()/2+1,FALSE))),"")</f>
        <v/>
      </c>
      <c r="G8" s="79"/>
      <c r="H8" s="114" t="str">
        <f ca="1">IFERROR(VALUE(IF(VLOOKUP($A8,数出表_Excel!$A$6:$T$150,COLUMN()/2+1,FALSE)=0,"",VLOOKUP($A8,数出表_Excel!$A$6:$T$150,COLUMN()/2+1,FALSE))),"")</f>
        <v/>
      </c>
      <c r="I8" s="79"/>
      <c r="J8" s="114" t="str">
        <f ca="1">IFERROR(VALUE(IF(VLOOKUP($A8,数出表_Excel!$A$6:$T$150,COLUMN()/2+1,FALSE)=0,"",VLOOKUP($A8,数出表_Excel!$A$6:$T$150,COLUMN()/2+1,FALSE))),"")</f>
        <v/>
      </c>
      <c r="K8" s="79"/>
      <c r="L8" s="116" t="str">
        <f ca="1">IFERROR(VALUE(IF(VLOOKUP($A8,数出表_Excel!$A$6:$T$150,COLUMN()/2+1,FALSE)=0,"",VLOOKUP($A8,数出表_Excel!$A$6:$T$150,COLUMN()/2+1,FALSE))),"")</f>
        <v/>
      </c>
      <c r="M8" s="79"/>
      <c r="N8" s="114" t="str">
        <f ca="1">IFERROR(VALUE(IF(VLOOKUP($A8,数出表_Excel!$A$6:$T$150,COLUMN()/2+1,FALSE)=0,"",VLOOKUP($A8,数出表_Excel!$A$6:$T$150,COLUMN()/2+1,FALSE))),"")</f>
        <v/>
      </c>
      <c r="O8" s="79"/>
      <c r="P8" s="114" t="str">
        <f ca="1">IFERROR(VALUE(IF(VLOOKUP($A8,数出表_Excel!$A$6:$T$150,COLUMN()/2+1,FALSE)=0,"",VLOOKUP($A8,数出表_Excel!$A$6:$T$150,COLUMN()/2+1,FALSE))),"")</f>
        <v/>
      </c>
      <c r="Q8" s="79"/>
      <c r="R8" s="114" t="str">
        <f ca="1">IFERROR(VALUE(IF(VLOOKUP($A8,数出表_Excel!$A$6:$T$150,COLUMN()/2+1,FALSE)=0,"",VLOOKUP($A8,数出表_Excel!$A$6:$T$150,COLUMN()/2+1,FALSE))),"")</f>
        <v/>
      </c>
      <c r="S8" s="79"/>
      <c r="T8" s="114" t="str">
        <f ca="1">IFERROR(VALUE(IF(VLOOKUP($A8,数出表_Excel!$A$6:$T$150,COLUMN()/2+1,FALSE)=0,"",VLOOKUP($A8,数出表_Excel!$A$6:$T$150,COLUMN()/2+1,FALSE))),"")</f>
        <v/>
      </c>
      <c r="U8" s="79"/>
      <c r="V8" s="116" t="str">
        <f ca="1">IFERROR(VALUE(IF(VLOOKUP($A8,数出表_Excel!$A$6:$T$150,COLUMN()/2+1,FALSE)=0,"",VLOOKUP($A8,数出表_Excel!$A$6:$T$150,COLUMN()/2+1,FALSE))),"")</f>
        <v/>
      </c>
      <c r="W8" s="79"/>
      <c r="X8" s="116" t="str">
        <f ca="1">IFERROR(VALUE(IF(VLOOKUP($A8,数出表_Excel!$A$6:$T$150,COLUMN()/2+1,FALSE)=0,"",VLOOKUP($A8,数出表_Excel!$A$6:$T$150,COLUMN()/2+1,FALSE))),"")</f>
        <v/>
      </c>
      <c r="Y8" s="79"/>
      <c r="Z8" s="116" t="str">
        <f ca="1">IFERROR(VALUE(IF(VLOOKUP($A8,数出表_Excel!$A$6:$T$150,COLUMN()/2+1,FALSE)=0,"",VLOOKUP($A8,数出表_Excel!$A$6:$T$150,COLUMN()/2+1,FALSE))),"")</f>
        <v/>
      </c>
      <c r="AA8" s="117"/>
      <c r="AB8" s="115" t="str">
        <f ca="1">IFERROR(VALUE(IF(VLOOKUP($A8,数出表_Excel!$A$6:$T$150,COLUMN()/2+1,FALSE)=0,"",VLOOKUP($A8,数出表_Excel!$A$6:$T$150,COLUMN()/2+1,FALSE))),"")</f>
        <v/>
      </c>
      <c r="AC8" s="79"/>
      <c r="AD8" s="116" t="str">
        <f ca="1">IFERROR(VALUE(IF(VLOOKUP($A8,数出表_Excel!$A$6:$T$150,COLUMN()/2+1,FALSE)=0,"",VLOOKUP($A8,数出表_Excel!$A$6:$T$150,COLUMN()/2+1,FALSE))),"")</f>
        <v/>
      </c>
      <c r="AE8" s="79"/>
      <c r="AF8" s="116" t="str">
        <f ca="1">IFERROR(VALUE(IF(VLOOKUP($A8,数出表_Excel!$A$6:$T$150,COLUMN()/2+1,FALSE)=0,"",VLOOKUP($A8,数出表_Excel!$A$6:$T$150,COLUMN()/2+1,FALSE))),"")</f>
        <v/>
      </c>
      <c r="AG8" s="79"/>
      <c r="AH8" s="116" t="str">
        <f ca="1">IFERROR(VALUE(IF(VLOOKUP($A8,数出表_Excel!$A$6:$T$150,COLUMN()/2+1,FALSE)=0,"",VLOOKUP($A8,数出表_Excel!$A$6:$T$150,COLUMN()/2+1,FALSE))),"")</f>
        <v/>
      </c>
      <c r="AI8" s="117"/>
      <c r="AJ8" s="115" t="str">
        <f ca="1">IFERROR(VALUE(IF(VLOOKUP($A8,数出表_Excel!$A$6:$T$150,COLUMN()/2+1,FALSE)=0,"",VLOOKUP($A8,数出表_Excel!$A$6:$T$150,COLUMN()/2+1,FALSE))),"")</f>
        <v/>
      </c>
      <c r="AK8" s="79"/>
      <c r="AL8" s="83" t="e">
        <f ca="1">IF(A8&lt;&gt;"",
IF(VLOOKUP($A8,数出表_Excel!$A$6:$T$150,COLUMN()/2+1,FALSE)=0,"",VLOOKUP($A8,数出表_Excel!$A$6:$T$150,COLUMN()/2+1,FALSE)),"")</f>
        <v>#N/A</v>
      </c>
      <c r="AM8" s="164" t="e">
        <f ca="1">数出表_Excel!V8</f>
        <v>#N/A</v>
      </c>
      <c r="AN8" s="165" t="e">
        <f ca="1">数出表_Excel!W8</f>
        <v>#N/A</v>
      </c>
    </row>
    <row r="9" spans="1:40" ht="16.2" customHeight="1">
      <c r="A9" s="127" t="e">
        <f t="array" aca="1" ref="A9" ca="1">IF(OR(COUNTIF(A7,"*1000*"),COUNTIF(A7,"")),"",INDEX(貼り付け用!$A1:$A200,MATCH(A7,貼り付け用!$A1:$A200,0)+2,0))</f>
        <v>#N/A</v>
      </c>
      <c r="B9" s="80" t="str">
        <f ca="1">IFERROR(VALUE(IF(VLOOKUP($A9,数出表_Excel!$A$6:$T$150,COLUMN()/2+1,FALSE)=0,"",VLOOKUP($A9,数出表_Excel!$A$6:$T$150,COLUMN()/2+1,FALSE))),"")</f>
        <v/>
      </c>
      <c r="C9" s="80"/>
      <c r="D9" s="80" t="str">
        <f ca="1">IFERROR(VALUE(IF(VLOOKUP($A9,数出表_Excel!$A$6:$T$150,COLUMN()/2+1,FALSE)=0,"",VLOOKUP($A9,数出表_Excel!$A$6:$T$150,COLUMN()/2+1,FALSE))),"")</f>
        <v/>
      </c>
      <c r="E9" s="80"/>
      <c r="F9" s="84" t="str">
        <f ca="1">IFERROR(VALUE(IF(VLOOKUP($A9,数出表_Excel!$A$6:$T$150,COLUMN()/2+1,FALSE)=0,"",VLOOKUP($A9,数出表_Excel!$A$6:$T$150,COLUMN()/2+1,FALSE))),"")</f>
        <v/>
      </c>
      <c r="G9" s="80"/>
      <c r="H9" s="80" t="str">
        <f ca="1">IFERROR(VALUE(IF(VLOOKUP($A9,数出表_Excel!$A$6:$T$150,COLUMN()/2+1,FALSE)=0,"",VLOOKUP($A9,数出表_Excel!$A$6:$T$150,COLUMN()/2+1,FALSE))),"")</f>
        <v/>
      </c>
      <c r="I9" s="80"/>
      <c r="J9" s="80" t="str">
        <f ca="1">IFERROR(VALUE(IF(VLOOKUP($A9,数出表_Excel!$A$6:$T$150,COLUMN()/2+1,FALSE)=0,"",VLOOKUP($A9,数出表_Excel!$A$6:$T$150,COLUMN()/2+1,FALSE))),"")</f>
        <v/>
      </c>
      <c r="K9" s="80"/>
      <c r="L9" s="84" t="str">
        <f ca="1">IFERROR(VALUE(IF(VLOOKUP($A9,数出表_Excel!$A$6:$T$150,COLUMN()/2+1,FALSE)=0,"",VLOOKUP($A9,数出表_Excel!$A$6:$T$150,COLUMN()/2+1,FALSE))),"")</f>
        <v/>
      </c>
      <c r="M9" s="80"/>
      <c r="N9" s="80" t="str">
        <f ca="1">IFERROR(VALUE(IF(VLOOKUP($A9,数出表_Excel!$A$6:$T$150,COLUMN()/2+1,FALSE)=0,"",VLOOKUP($A9,数出表_Excel!$A$6:$T$150,COLUMN()/2+1,FALSE))),"")</f>
        <v/>
      </c>
      <c r="O9" s="80"/>
      <c r="P9" s="80" t="str">
        <f ca="1">IFERROR(VALUE(IF(VLOOKUP($A9,数出表_Excel!$A$6:$T$150,COLUMN()/2+1,FALSE)=0,"",VLOOKUP($A9,数出表_Excel!$A$6:$T$150,COLUMN()/2+1,FALSE))),"")</f>
        <v/>
      </c>
      <c r="Q9" s="80"/>
      <c r="R9" s="80" t="str">
        <f ca="1">IFERROR(VALUE(IF(VLOOKUP($A9,数出表_Excel!$A$6:$T$150,COLUMN()/2+1,FALSE)=0,"",VLOOKUP($A9,数出表_Excel!$A$6:$T$150,COLUMN()/2+1,FALSE))),"")</f>
        <v/>
      </c>
      <c r="S9" s="80"/>
      <c r="T9" s="80" t="str">
        <f ca="1">IFERROR(VALUE(IF(VLOOKUP($A9,数出表_Excel!$A$6:$T$150,COLUMN()/2+1,FALSE)=0,"",VLOOKUP($A9,数出表_Excel!$A$6:$T$150,COLUMN()/2+1,FALSE))),"")</f>
        <v/>
      </c>
      <c r="U9" s="80"/>
      <c r="V9" s="84" t="str">
        <f ca="1">IFERROR(VALUE(IF(VLOOKUP($A9,数出表_Excel!$A$6:$T$150,COLUMN()/2+1,FALSE)=0,"",VLOOKUP($A9,数出表_Excel!$A$6:$T$150,COLUMN()/2+1,FALSE))),"")</f>
        <v/>
      </c>
      <c r="W9" s="80"/>
      <c r="X9" s="84" t="str">
        <f ca="1">IFERROR(VALUE(IF(VLOOKUP($A9,数出表_Excel!$A$6:$T$150,COLUMN()/2+1,FALSE)=0,"",VLOOKUP($A9,数出表_Excel!$A$6:$T$150,COLUMN()/2+1,FALSE))),"")</f>
        <v/>
      </c>
      <c r="Y9" s="80"/>
      <c r="Z9" s="84" t="str">
        <f ca="1">IFERROR(VALUE(IF(VLOOKUP($A9,数出表_Excel!$A$6:$T$150,COLUMN()/2+1,FALSE)=0,"",VLOOKUP($A9,数出表_Excel!$A$6:$T$150,COLUMN()/2+1,FALSE))),"")</f>
        <v/>
      </c>
      <c r="AA9" s="118"/>
      <c r="AB9" s="85" t="str">
        <f ca="1">IFERROR(VALUE(IF(VLOOKUP($A9,数出表_Excel!$A$6:$T$150,COLUMN()/2+1,FALSE)=0,"",VLOOKUP($A9,数出表_Excel!$A$6:$T$150,COLUMN()/2+1,FALSE))),"")</f>
        <v/>
      </c>
      <c r="AC9" s="80"/>
      <c r="AD9" s="84" t="str">
        <f ca="1">IFERROR(VALUE(IF(VLOOKUP($A9,数出表_Excel!$A$6:$T$150,COLUMN()/2+1,FALSE)=0,"",VLOOKUP($A9,数出表_Excel!$A$6:$T$150,COLUMN()/2+1,FALSE))),"")</f>
        <v/>
      </c>
      <c r="AE9" s="80"/>
      <c r="AF9" s="84" t="str">
        <f ca="1">IFERROR(VALUE(IF(VLOOKUP($A9,数出表_Excel!$A$6:$T$150,COLUMN()/2+1,FALSE)=0,"",VLOOKUP($A9,数出表_Excel!$A$6:$T$150,COLUMN()/2+1,FALSE))),"")</f>
        <v/>
      </c>
      <c r="AG9" s="80"/>
      <c r="AH9" s="84" t="str">
        <f ca="1">IFERROR(VALUE(IF(VLOOKUP($A9,数出表_Excel!$A$6:$T$150,COLUMN()/2+1,FALSE)=0,"",VLOOKUP($A9,数出表_Excel!$A$6:$T$150,COLUMN()/2+1,FALSE))),"")</f>
        <v/>
      </c>
      <c r="AI9" s="118"/>
      <c r="AJ9" s="85" t="str">
        <f ca="1">IFERROR(VALUE(IF(VLOOKUP($A9,数出表_Excel!$A$6:$T$150,COLUMN()/2+1,FALSE)=0,"",VLOOKUP($A9,数出表_Excel!$A$6:$T$150,COLUMN()/2+1,FALSE))),"")</f>
        <v/>
      </c>
      <c r="AK9" s="80"/>
      <c r="AL9" s="86" t="e">
        <f ca="1">IF(A9&lt;&gt;"",
IF(VLOOKUP($A9,数出表_Excel!$A$6:$T$150,COLUMN()/2+1,FALSE)=0,"",VLOOKUP($A9,数出表_Excel!$A$6:$T$150,COLUMN()/2+1,FALSE)),"")</f>
        <v>#N/A</v>
      </c>
      <c r="AM9" s="166" t="e">
        <f ca="1">数出表_Excel!V9</f>
        <v>#N/A</v>
      </c>
      <c r="AN9" s="167" t="e">
        <f ca="1">数出表_Excel!W9</f>
        <v>#N/A</v>
      </c>
    </row>
    <row r="10" spans="1:40" ht="16.2" customHeight="1">
      <c r="A10" s="126" t="e">
        <f t="array" aca="1" ref="A10" ca="1">IF(OR(COUNTIF(A8,"*10002*"),COUNTIF(A8,"")),"",INDEX(貼り付け用!$A1:$A200,MATCH(A8,貼り付け用!$A1:$A200,0)+2,0))</f>
        <v>#N/A</v>
      </c>
      <c r="B10" s="114" t="str">
        <f ca="1">IFERROR(VALUE(IF(VLOOKUP($A10,数出表_Excel!$A$6:$T$150,COLUMN()/2+1,FALSE)=0,"",VLOOKUP($A10,数出表_Excel!$A$6:$T$150,COLUMN()/2+1,FALSE))),"")</f>
        <v/>
      </c>
      <c r="C10" s="79"/>
      <c r="D10" s="114" t="str">
        <f ca="1">IFERROR(VALUE(IF(VLOOKUP($A10,数出表_Excel!$A$6:$T$150,COLUMN()/2+1,FALSE)=0,"",VLOOKUP($A10,数出表_Excel!$A$6:$T$150,COLUMN()/2+1,FALSE))),"")</f>
        <v/>
      </c>
      <c r="E10" s="79"/>
      <c r="F10" s="116" t="str">
        <f ca="1">IFERROR(VALUE(IF(VLOOKUP($A10,数出表_Excel!$A$6:$T$150,COLUMN()/2+1,FALSE)=0,"",VLOOKUP($A10,数出表_Excel!$A$6:$T$150,COLUMN()/2+1,FALSE))),"")</f>
        <v/>
      </c>
      <c r="G10" s="79"/>
      <c r="H10" s="114" t="str">
        <f ca="1">IFERROR(VALUE(IF(VLOOKUP($A10,数出表_Excel!$A$6:$T$150,COLUMN()/2+1,FALSE)=0,"",VLOOKUP($A10,数出表_Excel!$A$6:$T$150,COLUMN()/2+1,FALSE))),"")</f>
        <v/>
      </c>
      <c r="I10" s="79"/>
      <c r="J10" s="114" t="str">
        <f ca="1">IFERROR(VALUE(IF(VLOOKUP($A10,数出表_Excel!$A$6:$T$150,COLUMN()/2+1,FALSE)=0,"",VLOOKUP($A10,数出表_Excel!$A$6:$T$150,COLUMN()/2+1,FALSE))),"")</f>
        <v/>
      </c>
      <c r="K10" s="79"/>
      <c r="L10" s="116" t="str">
        <f ca="1">IFERROR(VALUE(IF(VLOOKUP($A10,数出表_Excel!$A$6:$T$150,COLUMN()/2+1,FALSE)=0,"",VLOOKUP($A10,数出表_Excel!$A$6:$T$150,COLUMN()/2+1,FALSE))),"")</f>
        <v/>
      </c>
      <c r="M10" s="79"/>
      <c r="N10" s="114" t="str">
        <f ca="1">IFERROR(VALUE(IF(VLOOKUP($A10,数出表_Excel!$A$6:$T$150,COLUMN()/2+1,FALSE)=0,"",VLOOKUP($A10,数出表_Excel!$A$6:$T$150,COLUMN()/2+1,FALSE))),"")</f>
        <v/>
      </c>
      <c r="O10" s="79"/>
      <c r="P10" s="114" t="str">
        <f ca="1">IFERROR(VALUE(IF(VLOOKUP($A10,数出表_Excel!$A$6:$T$150,COLUMN()/2+1,FALSE)=0,"",VLOOKUP($A10,数出表_Excel!$A$6:$T$150,COLUMN()/2+1,FALSE))),"")</f>
        <v/>
      </c>
      <c r="Q10" s="79"/>
      <c r="R10" s="114" t="str">
        <f ca="1">IFERROR(VALUE(IF(VLOOKUP($A10,数出表_Excel!$A$6:$T$150,COLUMN()/2+1,FALSE)=0,"",VLOOKUP($A10,数出表_Excel!$A$6:$T$150,COLUMN()/2+1,FALSE))),"")</f>
        <v/>
      </c>
      <c r="S10" s="79"/>
      <c r="T10" s="114" t="str">
        <f ca="1">IFERROR(VALUE(IF(VLOOKUP($A10,数出表_Excel!$A$6:$T$150,COLUMN()/2+1,FALSE)=0,"",VLOOKUP($A10,数出表_Excel!$A$6:$T$150,COLUMN()/2+1,FALSE))),"")</f>
        <v/>
      </c>
      <c r="U10" s="79"/>
      <c r="V10" s="116" t="str">
        <f ca="1">IFERROR(VALUE(IF(VLOOKUP($A10,数出表_Excel!$A$6:$T$150,COLUMN()/2+1,FALSE)=0,"",VLOOKUP($A10,数出表_Excel!$A$6:$T$150,COLUMN()/2+1,FALSE))),"")</f>
        <v/>
      </c>
      <c r="W10" s="79"/>
      <c r="X10" s="116" t="str">
        <f ca="1">IFERROR(VALUE(IF(VLOOKUP($A10,数出表_Excel!$A$6:$T$150,COLUMN()/2+1,FALSE)=0,"",VLOOKUP($A10,数出表_Excel!$A$6:$T$150,COLUMN()/2+1,FALSE))),"")</f>
        <v/>
      </c>
      <c r="Y10" s="79"/>
      <c r="Z10" s="116" t="str">
        <f ca="1">IFERROR(VALUE(IF(VLOOKUP($A10,数出表_Excel!$A$6:$T$150,COLUMN()/2+1,FALSE)=0,"",VLOOKUP($A10,数出表_Excel!$A$6:$T$150,COLUMN()/2+1,FALSE))),"")</f>
        <v/>
      </c>
      <c r="AA10" s="117"/>
      <c r="AB10" s="115" t="str">
        <f ca="1">IFERROR(VALUE(IF(VLOOKUP($A10,数出表_Excel!$A$6:$T$150,COLUMN()/2+1,FALSE)=0,"",VLOOKUP($A10,数出表_Excel!$A$6:$T$150,COLUMN()/2+1,FALSE))),"")</f>
        <v/>
      </c>
      <c r="AC10" s="79"/>
      <c r="AD10" s="116" t="str">
        <f ca="1">IFERROR(VALUE(IF(VLOOKUP($A10,数出表_Excel!$A$6:$T$150,COLUMN()/2+1,FALSE)=0,"",VLOOKUP($A10,数出表_Excel!$A$6:$T$150,COLUMN()/2+1,FALSE))),"")</f>
        <v/>
      </c>
      <c r="AE10" s="79"/>
      <c r="AF10" s="116" t="str">
        <f ca="1">IFERROR(VALUE(IF(VLOOKUP($A10,数出表_Excel!$A$6:$T$150,COLUMN()/2+1,FALSE)=0,"",VLOOKUP($A10,数出表_Excel!$A$6:$T$150,COLUMN()/2+1,FALSE))),"")</f>
        <v/>
      </c>
      <c r="AG10" s="79"/>
      <c r="AH10" s="116" t="str">
        <f ca="1">IFERROR(VALUE(IF(VLOOKUP($A10,数出表_Excel!$A$6:$T$150,COLUMN()/2+1,FALSE)=0,"",VLOOKUP($A10,数出表_Excel!$A$6:$T$150,COLUMN()/2+1,FALSE))),"")</f>
        <v/>
      </c>
      <c r="AI10" s="117"/>
      <c r="AJ10" s="115" t="str">
        <f ca="1">IFERROR(VALUE(IF(VLOOKUP($A10,数出表_Excel!$A$6:$T$150,COLUMN()/2+1,FALSE)=0,"",VLOOKUP($A10,数出表_Excel!$A$6:$T$150,COLUMN()/2+1,FALSE))),"")</f>
        <v/>
      </c>
      <c r="AK10" s="79"/>
      <c r="AL10" s="83" t="e">
        <f ca="1">IF(A10&lt;&gt;"",
IF(VLOOKUP($A10,数出表_Excel!$A$6:$T$150,COLUMN()/2+1,FALSE)=0,"",VLOOKUP($A10,数出表_Excel!$A$6:$T$150,COLUMN()/2+1,FALSE)),"")</f>
        <v>#N/A</v>
      </c>
      <c r="AM10" s="164" t="e">
        <f ca="1">数出表_Excel!V10</f>
        <v>#N/A</v>
      </c>
      <c r="AN10" s="165" t="e">
        <f ca="1">数出表_Excel!W10</f>
        <v>#N/A</v>
      </c>
    </row>
    <row r="11" spans="1:40" ht="16.2" customHeight="1">
      <c r="A11" s="127" t="e">
        <f t="array" aca="1" ref="A11" ca="1">IF(OR(COUNTIF(A9,"*1000*"),COUNTIF(A9,"")),"",INDEX(貼り付け用!$A1:$A200,MATCH(A9,貼り付け用!$A1:$A200,0)+2,0))</f>
        <v>#N/A</v>
      </c>
      <c r="B11" s="80" t="str">
        <f ca="1">IFERROR(VALUE(IF(VLOOKUP($A11,数出表_Excel!$A$6:$T$150,COLUMN()/2+1,FALSE)=0,"",VLOOKUP($A11,数出表_Excel!$A$6:$T$150,COLUMN()/2+1,FALSE))),"")</f>
        <v/>
      </c>
      <c r="C11" s="80"/>
      <c r="D11" s="80" t="str">
        <f ca="1">IFERROR(VALUE(IF(VLOOKUP($A11,数出表_Excel!$A$6:$T$150,COLUMN()/2+1,FALSE)=0,"",VLOOKUP($A11,数出表_Excel!$A$6:$T$150,COLUMN()/2+1,FALSE))),"")</f>
        <v/>
      </c>
      <c r="E11" s="80"/>
      <c r="F11" s="84" t="str">
        <f ca="1">IFERROR(VALUE(IF(VLOOKUP($A11,数出表_Excel!$A$6:$T$150,COLUMN()/2+1,FALSE)=0,"",VLOOKUP($A11,数出表_Excel!$A$6:$T$150,COLUMN()/2+1,FALSE))),"")</f>
        <v/>
      </c>
      <c r="G11" s="80"/>
      <c r="H11" s="80" t="str">
        <f ca="1">IFERROR(VALUE(IF(VLOOKUP($A11,数出表_Excel!$A$6:$T$150,COLUMN()/2+1,FALSE)=0,"",VLOOKUP($A11,数出表_Excel!$A$6:$T$150,COLUMN()/2+1,FALSE))),"")</f>
        <v/>
      </c>
      <c r="I11" s="80"/>
      <c r="J11" s="80" t="str">
        <f ca="1">IFERROR(VALUE(IF(VLOOKUP($A11,数出表_Excel!$A$6:$T$150,COLUMN()/2+1,FALSE)=0,"",VLOOKUP($A11,数出表_Excel!$A$6:$T$150,COLUMN()/2+1,FALSE))),"")</f>
        <v/>
      </c>
      <c r="K11" s="80"/>
      <c r="L11" s="84" t="str">
        <f ca="1">IFERROR(VALUE(IF(VLOOKUP($A11,数出表_Excel!$A$6:$T$150,COLUMN()/2+1,FALSE)=0,"",VLOOKUP($A11,数出表_Excel!$A$6:$T$150,COLUMN()/2+1,FALSE))),"")</f>
        <v/>
      </c>
      <c r="M11" s="80"/>
      <c r="N11" s="80" t="str">
        <f ca="1">IFERROR(VALUE(IF(VLOOKUP($A11,数出表_Excel!$A$6:$T$150,COLUMN()/2+1,FALSE)=0,"",VLOOKUP($A11,数出表_Excel!$A$6:$T$150,COLUMN()/2+1,FALSE))),"")</f>
        <v/>
      </c>
      <c r="O11" s="80"/>
      <c r="P11" s="80" t="str">
        <f ca="1">IFERROR(VALUE(IF(VLOOKUP($A11,数出表_Excel!$A$6:$T$150,COLUMN()/2+1,FALSE)=0,"",VLOOKUP($A11,数出表_Excel!$A$6:$T$150,COLUMN()/2+1,FALSE))),"")</f>
        <v/>
      </c>
      <c r="Q11" s="80"/>
      <c r="R11" s="80" t="str">
        <f ca="1">IFERROR(VALUE(IF(VLOOKUP($A11,数出表_Excel!$A$6:$T$150,COLUMN()/2+1,FALSE)=0,"",VLOOKUP($A11,数出表_Excel!$A$6:$T$150,COLUMN()/2+1,FALSE))),"")</f>
        <v/>
      </c>
      <c r="S11" s="80"/>
      <c r="T11" s="80" t="str">
        <f ca="1">IFERROR(VALUE(IF(VLOOKUP($A11,数出表_Excel!$A$6:$T$150,COLUMN()/2+1,FALSE)=0,"",VLOOKUP($A11,数出表_Excel!$A$6:$T$150,COLUMN()/2+1,FALSE))),"")</f>
        <v/>
      </c>
      <c r="U11" s="80"/>
      <c r="V11" s="84" t="str">
        <f ca="1">IFERROR(VALUE(IF(VLOOKUP($A11,数出表_Excel!$A$6:$T$150,COLUMN()/2+1,FALSE)=0,"",VLOOKUP($A11,数出表_Excel!$A$6:$T$150,COLUMN()/2+1,FALSE))),"")</f>
        <v/>
      </c>
      <c r="W11" s="80"/>
      <c r="X11" s="84" t="str">
        <f ca="1">IFERROR(VALUE(IF(VLOOKUP($A11,数出表_Excel!$A$6:$T$150,COLUMN()/2+1,FALSE)=0,"",VLOOKUP($A11,数出表_Excel!$A$6:$T$150,COLUMN()/2+1,FALSE))),"")</f>
        <v/>
      </c>
      <c r="Y11" s="80"/>
      <c r="Z11" s="84" t="str">
        <f ca="1">IFERROR(VALUE(IF(VLOOKUP($A11,数出表_Excel!$A$6:$T$150,COLUMN()/2+1,FALSE)=0,"",VLOOKUP($A11,数出表_Excel!$A$6:$T$150,COLUMN()/2+1,FALSE))),"")</f>
        <v/>
      </c>
      <c r="AA11" s="118"/>
      <c r="AB11" s="85" t="str">
        <f ca="1">IFERROR(VALUE(IF(VLOOKUP($A11,数出表_Excel!$A$6:$T$150,COLUMN()/2+1,FALSE)=0,"",VLOOKUP($A11,数出表_Excel!$A$6:$T$150,COLUMN()/2+1,FALSE))),"")</f>
        <v/>
      </c>
      <c r="AC11" s="80"/>
      <c r="AD11" s="84" t="str">
        <f ca="1">IFERROR(VALUE(IF(VLOOKUP($A11,数出表_Excel!$A$6:$T$150,COLUMN()/2+1,FALSE)=0,"",VLOOKUP($A11,数出表_Excel!$A$6:$T$150,COLUMN()/2+1,FALSE))),"")</f>
        <v/>
      </c>
      <c r="AE11" s="80"/>
      <c r="AF11" s="84" t="str">
        <f ca="1">IFERROR(VALUE(IF(VLOOKUP($A11,数出表_Excel!$A$6:$T$150,COLUMN()/2+1,FALSE)=0,"",VLOOKUP($A11,数出表_Excel!$A$6:$T$150,COLUMN()/2+1,FALSE))),"")</f>
        <v/>
      </c>
      <c r="AG11" s="80"/>
      <c r="AH11" s="84" t="str">
        <f ca="1">IFERROR(VALUE(IF(VLOOKUP($A11,数出表_Excel!$A$6:$T$150,COLUMN()/2+1,FALSE)=0,"",VLOOKUP($A11,数出表_Excel!$A$6:$T$150,COLUMN()/2+1,FALSE))),"")</f>
        <v/>
      </c>
      <c r="AI11" s="118"/>
      <c r="AJ11" s="85" t="str">
        <f ca="1">IFERROR(VALUE(IF(VLOOKUP($A11,数出表_Excel!$A$6:$T$150,COLUMN()/2+1,FALSE)=0,"",VLOOKUP($A11,数出表_Excel!$A$6:$T$150,COLUMN()/2+1,FALSE))),"")</f>
        <v/>
      </c>
      <c r="AK11" s="80"/>
      <c r="AL11" s="86" t="e">
        <f ca="1">IF(A11&lt;&gt;"",
IF(VLOOKUP($A11,数出表_Excel!$A$6:$T$150,COLUMN()/2+1,FALSE)=0,"",VLOOKUP($A11,数出表_Excel!$A$6:$T$150,COLUMN()/2+1,FALSE)),"")</f>
        <v>#N/A</v>
      </c>
      <c r="AM11" s="166" t="e">
        <f ca="1">数出表_Excel!V11</f>
        <v>#N/A</v>
      </c>
      <c r="AN11" s="167" t="e">
        <f ca="1">数出表_Excel!W11</f>
        <v>#N/A</v>
      </c>
    </row>
    <row r="12" spans="1:40" ht="16.2" customHeight="1">
      <c r="A12" s="126" t="e">
        <f t="array" aca="1" ref="A12" ca="1">IF(OR(COUNTIF(A10,"*10002*"),COUNTIF(A10,"")),"",INDEX(貼り付け用!$A1:$A200,MATCH(A10,貼り付け用!$A1:$A200,0)+2,0))</f>
        <v>#N/A</v>
      </c>
      <c r="B12" s="114" t="str">
        <f ca="1">IFERROR(VALUE(IF(VLOOKUP($A12,数出表_Excel!$A$6:$T$150,COLUMN()/2+1,FALSE)=0,"",VLOOKUP($A12,数出表_Excel!$A$6:$T$150,COLUMN()/2+1,FALSE))),"")</f>
        <v/>
      </c>
      <c r="C12" s="79"/>
      <c r="D12" s="114" t="str">
        <f ca="1">IFERROR(VALUE(IF(VLOOKUP($A12,数出表_Excel!$A$6:$T$150,COLUMN()/2+1,FALSE)=0,"",VLOOKUP($A12,数出表_Excel!$A$6:$T$150,COLUMN()/2+1,FALSE))),"")</f>
        <v/>
      </c>
      <c r="E12" s="79"/>
      <c r="F12" s="116" t="str">
        <f ca="1">IFERROR(VALUE(IF(VLOOKUP($A12,数出表_Excel!$A$6:$T$150,COLUMN()/2+1,FALSE)=0,"",VLOOKUP($A12,数出表_Excel!$A$6:$T$150,COLUMN()/2+1,FALSE))),"")</f>
        <v/>
      </c>
      <c r="G12" s="79"/>
      <c r="H12" s="114" t="str">
        <f ca="1">IFERROR(VALUE(IF(VLOOKUP($A12,数出表_Excel!$A$6:$T$150,COLUMN()/2+1,FALSE)=0,"",VLOOKUP($A12,数出表_Excel!$A$6:$T$150,COLUMN()/2+1,FALSE))),"")</f>
        <v/>
      </c>
      <c r="I12" s="79"/>
      <c r="J12" s="114" t="str">
        <f ca="1">IFERROR(VALUE(IF(VLOOKUP($A12,数出表_Excel!$A$6:$T$150,COLUMN()/2+1,FALSE)=0,"",VLOOKUP($A12,数出表_Excel!$A$6:$T$150,COLUMN()/2+1,FALSE))),"")</f>
        <v/>
      </c>
      <c r="K12" s="79"/>
      <c r="L12" s="116" t="str">
        <f ca="1">IFERROR(VALUE(IF(VLOOKUP($A12,数出表_Excel!$A$6:$T$150,COLUMN()/2+1,FALSE)=0,"",VLOOKUP($A12,数出表_Excel!$A$6:$T$150,COLUMN()/2+1,FALSE))),"")</f>
        <v/>
      </c>
      <c r="M12" s="79"/>
      <c r="N12" s="114" t="str">
        <f ca="1">IFERROR(VALUE(IF(VLOOKUP($A12,数出表_Excel!$A$6:$T$150,COLUMN()/2+1,FALSE)=0,"",VLOOKUP($A12,数出表_Excel!$A$6:$T$150,COLUMN()/2+1,FALSE))),"")</f>
        <v/>
      </c>
      <c r="O12" s="79"/>
      <c r="P12" s="114" t="str">
        <f ca="1">IFERROR(VALUE(IF(VLOOKUP($A12,数出表_Excel!$A$6:$T$150,COLUMN()/2+1,FALSE)=0,"",VLOOKUP($A12,数出表_Excel!$A$6:$T$150,COLUMN()/2+1,FALSE))),"")</f>
        <v/>
      </c>
      <c r="Q12" s="79"/>
      <c r="R12" s="114" t="str">
        <f ca="1">IFERROR(VALUE(IF(VLOOKUP($A12,数出表_Excel!$A$6:$T$150,COLUMN()/2+1,FALSE)=0,"",VLOOKUP($A12,数出表_Excel!$A$6:$T$150,COLUMN()/2+1,FALSE))),"")</f>
        <v/>
      </c>
      <c r="S12" s="79"/>
      <c r="T12" s="114" t="str">
        <f ca="1">IFERROR(VALUE(IF(VLOOKUP($A12,数出表_Excel!$A$6:$T$150,COLUMN()/2+1,FALSE)=0,"",VLOOKUP($A12,数出表_Excel!$A$6:$T$150,COLUMN()/2+1,FALSE))),"")</f>
        <v/>
      </c>
      <c r="U12" s="79"/>
      <c r="V12" s="116" t="str">
        <f ca="1">IFERROR(VALUE(IF(VLOOKUP($A12,数出表_Excel!$A$6:$T$150,COLUMN()/2+1,FALSE)=0,"",VLOOKUP($A12,数出表_Excel!$A$6:$T$150,COLUMN()/2+1,FALSE))),"")</f>
        <v/>
      </c>
      <c r="W12" s="79"/>
      <c r="X12" s="116" t="str">
        <f ca="1">IFERROR(VALUE(IF(VLOOKUP($A12,数出表_Excel!$A$6:$T$150,COLUMN()/2+1,FALSE)=0,"",VLOOKUP($A12,数出表_Excel!$A$6:$T$150,COLUMN()/2+1,FALSE))),"")</f>
        <v/>
      </c>
      <c r="Y12" s="79"/>
      <c r="Z12" s="116" t="str">
        <f ca="1">IFERROR(VALUE(IF(VLOOKUP($A12,数出表_Excel!$A$6:$T$150,COLUMN()/2+1,FALSE)=0,"",VLOOKUP($A12,数出表_Excel!$A$6:$T$150,COLUMN()/2+1,FALSE))),"")</f>
        <v/>
      </c>
      <c r="AA12" s="117"/>
      <c r="AB12" s="115" t="str">
        <f ca="1">IFERROR(VALUE(IF(VLOOKUP($A12,数出表_Excel!$A$6:$T$150,COLUMN()/2+1,FALSE)=0,"",VLOOKUP($A12,数出表_Excel!$A$6:$T$150,COLUMN()/2+1,FALSE))),"")</f>
        <v/>
      </c>
      <c r="AC12" s="79"/>
      <c r="AD12" s="116" t="str">
        <f ca="1">IFERROR(VALUE(IF(VLOOKUP($A12,数出表_Excel!$A$6:$T$150,COLUMN()/2+1,FALSE)=0,"",VLOOKUP($A12,数出表_Excel!$A$6:$T$150,COLUMN()/2+1,FALSE))),"")</f>
        <v/>
      </c>
      <c r="AE12" s="79"/>
      <c r="AF12" s="116" t="str">
        <f ca="1">IFERROR(VALUE(IF(VLOOKUP($A12,数出表_Excel!$A$6:$T$150,COLUMN()/2+1,FALSE)=0,"",VLOOKUP($A12,数出表_Excel!$A$6:$T$150,COLUMN()/2+1,FALSE))),"")</f>
        <v/>
      </c>
      <c r="AG12" s="79"/>
      <c r="AH12" s="116" t="str">
        <f ca="1">IFERROR(VALUE(IF(VLOOKUP($A12,数出表_Excel!$A$6:$T$150,COLUMN()/2+1,FALSE)=0,"",VLOOKUP($A12,数出表_Excel!$A$6:$T$150,COLUMN()/2+1,FALSE))),"")</f>
        <v/>
      </c>
      <c r="AI12" s="117"/>
      <c r="AJ12" s="115" t="str">
        <f ca="1">IFERROR(VALUE(IF(VLOOKUP($A12,数出表_Excel!$A$6:$T$150,COLUMN()/2+1,FALSE)=0,"",VLOOKUP($A12,数出表_Excel!$A$6:$T$150,COLUMN()/2+1,FALSE))),"")</f>
        <v/>
      </c>
      <c r="AK12" s="79"/>
      <c r="AL12" s="83" t="e">
        <f ca="1">IF(A12&lt;&gt;"",
IF(VLOOKUP($A12,数出表_Excel!$A$6:$T$150,COLUMN()/2+1,FALSE)=0,"",VLOOKUP($A12,数出表_Excel!$A$6:$T$150,COLUMN()/2+1,FALSE)),"")</f>
        <v>#N/A</v>
      </c>
      <c r="AM12" s="164" t="e">
        <f ca="1">数出表_Excel!V12</f>
        <v>#N/A</v>
      </c>
      <c r="AN12" s="165" t="e">
        <f ca="1">数出表_Excel!W12</f>
        <v>#N/A</v>
      </c>
    </row>
    <row r="13" spans="1:40" ht="16.2" customHeight="1">
      <c r="A13" s="127" t="e">
        <f t="array" aca="1" ref="A13" ca="1">IF(OR(COUNTIF(A11,"*1000*"),COUNTIF(A11,"")),"",INDEX(貼り付け用!$A1:$A200,MATCH(A11,貼り付け用!$A1:$A200,0)+2,0))</f>
        <v>#N/A</v>
      </c>
      <c r="B13" s="80" t="str">
        <f ca="1">IFERROR(VALUE(IF(VLOOKUP($A13,数出表_Excel!$A$6:$T$150,COLUMN()/2+1,FALSE)=0,"",VLOOKUP($A13,数出表_Excel!$A$6:$T$150,COLUMN()/2+1,FALSE))),"")</f>
        <v/>
      </c>
      <c r="C13" s="80"/>
      <c r="D13" s="80" t="str">
        <f ca="1">IFERROR(VALUE(IF(VLOOKUP($A13,数出表_Excel!$A$6:$T$150,COLUMN()/2+1,FALSE)=0,"",VLOOKUP($A13,数出表_Excel!$A$6:$T$150,COLUMN()/2+1,FALSE))),"")</f>
        <v/>
      </c>
      <c r="E13" s="80"/>
      <c r="F13" s="84" t="str">
        <f ca="1">IFERROR(VALUE(IF(VLOOKUP($A13,数出表_Excel!$A$6:$T$150,COLUMN()/2+1,FALSE)=0,"",VLOOKUP($A13,数出表_Excel!$A$6:$T$150,COLUMN()/2+1,FALSE))),"")</f>
        <v/>
      </c>
      <c r="G13" s="80"/>
      <c r="H13" s="80" t="str">
        <f ca="1">IFERROR(VALUE(IF(VLOOKUP($A13,数出表_Excel!$A$6:$T$150,COLUMN()/2+1,FALSE)=0,"",VLOOKUP($A13,数出表_Excel!$A$6:$T$150,COLUMN()/2+1,FALSE))),"")</f>
        <v/>
      </c>
      <c r="I13" s="80"/>
      <c r="J13" s="80" t="str">
        <f ca="1">IFERROR(VALUE(IF(VLOOKUP($A13,数出表_Excel!$A$6:$T$150,COLUMN()/2+1,FALSE)=0,"",VLOOKUP($A13,数出表_Excel!$A$6:$T$150,COLUMN()/2+1,FALSE))),"")</f>
        <v/>
      </c>
      <c r="K13" s="80"/>
      <c r="L13" s="84" t="str">
        <f ca="1">IFERROR(VALUE(IF(VLOOKUP($A13,数出表_Excel!$A$6:$T$150,COLUMN()/2+1,FALSE)=0,"",VLOOKUP($A13,数出表_Excel!$A$6:$T$150,COLUMN()/2+1,FALSE))),"")</f>
        <v/>
      </c>
      <c r="M13" s="80"/>
      <c r="N13" s="80" t="str">
        <f ca="1">IFERROR(VALUE(IF(VLOOKUP($A13,数出表_Excel!$A$6:$T$150,COLUMN()/2+1,FALSE)=0,"",VLOOKUP($A13,数出表_Excel!$A$6:$T$150,COLUMN()/2+1,FALSE))),"")</f>
        <v/>
      </c>
      <c r="O13" s="80"/>
      <c r="P13" s="80" t="str">
        <f ca="1">IFERROR(VALUE(IF(VLOOKUP($A13,数出表_Excel!$A$6:$T$150,COLUMN()/2+1,FALSE)=0,"",VLOOKUP($A13,数出表_Excel!$A$6:$T$150,COLUMN()/2+1,FALSE))),"")</f>
        <v/>
      </c>
      <c r="Q13" s="80"/>
      <c r="R13" s="80" t="str">
        <f ca="1">IFERROR(VALUE(IF(VLOOKUP($A13,数出表_Excel!$A$6:$T$150,COLUMN()/2+1,FALSE)=0,"",VLOOKUP($A13,数出表_Excel!$A$6:$T$150,COLUMN()/2+1,FALSE))),"")</f>
        <v/>
      </c>
      <c r="S13" s="80"/>
      <c r="T13" s="80" t="str">
        <f ca="1">IFERROR(VALUE(IF(VLOOKUP($A13,数出表_Excel!$A$6:$T$150,COLUMN()/2+1,FALSE)=0,"",VLOOKUP($A13,数出表_Excel!$A$6:$T$150,COLUMN()/2+1,FALSE))),"")</f>
        <v/>
      </c>
      <c r="U13" s="80"/>
      <c r="V13" s="84" t="str">
        <f ca="1">IFERROR(VALUE(IF(VLOOKUP($A13,数出表_Excel!$A$6:$T$150,COLUMN()/2+1,FALSE)=0,"",VLOOKUP($A13,数出表_Excel!$A$6:$T$150,COLUMN()/2+1,FALSE))),"")</f>
        <v/>
      </c>
      <c r="W13" s="80"/>
      <c r="X13" s="84" t="str">
        <f ca="1">IFERROR(VALUE(IF(VLOOKUP($A13,数出表_Excel!$A$6:$T$150,COLUMN()/2+1,FALSE)=0,"",VLOOKUP($A13,数出表_Excel!$A$6:$T$150,COLUMN()/2+1,FALSE))),"")</f>
        <v/>
      </c>
      <c r="Y13" s="80"/>
      <c r="Z13" s="84" t="str">
        <f ca="1">IFERROR(VALUE(IF(VLOOKUP($A13,数出表_Excel!$A$6:$T$150,COLUMN()/2+1,FALSE)=0,"",VLOOKUP($A13,数出表_Excel!$A$6:$T$150,COLUMN()/2+1,FALSE))),"")</f>
        <v/>
      </c>
      <c r="AA13" s="118"/>
      <c r="AB13" s="85" t="str">
        <f ca="1">IFERROR(VALUE(IF(VLOOKUP($A13,数出表_Excel!$A$6:$T$150,COLUMN()/2+1,FALSE)=0,"",VLOOKUP($A13,数出表_Excel!$A$6:$T$150,COLUMN()/2+1,FALSE))),"")</f>
        <v/>
      </c>
      <c r="AC13" s="80"/>
      <c r="AD13" s="84" t="str">
        <f ca="1">IFERROR(VALUE(IF(VLOOKUP($A13,数出表_Excel!$A$6:$T$150,COLUMN()/2+1,FALSE)=0,"",VLOOKUP($A13,数出表_Excel!$A$6:$T$150,COLUMN()/2+1,FALSE))),"")</f>
        <v/>
      </c>
      <c r="AE13" s="80"/>
      <c r="AF13" s="84" t="str">
        <f ca="1">IFERROR(VALUE(IF(VLOOKUP($A13,数出表_Excel!$A$6:$T$150,COLUMN()/2+1,FALSE)=0,"",VLOOKUP($A13,数出表_Excel!$A$6:$T$150,COLUMN()/2+1,FALSE))),"")</f>
        <v/>
      </c>
      <c r="AG13" s="80"/>
      <c r="AH13" s="84" t="str">
        <f ca="1">IFERROR(VALUE(IF(VLOOKUP($A13,数出表_Excel!$A$6:$T$150,COLUMN()/2+1,FALSE)=0,"",VLOOKUP($A13,数出表_Excel!$A$6:$T$150,COLUMN()/2+1,FALSE))),"")</f>
        <v/>
      </c>
      <c r="AI13" s="118"/>
      <c r="AJ13" s="85" t="str">
        <f ca="1">IFERROR(VALUE(IF(VLOOKUP($A13,数出表_Excel!$A$6:$T$150,COLUMN()/2+1,FALSE)=0,"",VLOOKUP($A13,数出表_Excel!$A$6:$T$150,COLUMN()/2+1,FALSE))),"")</f>
        <v/>
      </c>
      <c r="AK13" s="80"/>
      <c r="AL13" s="86" t="e">
        <f ca="1">IF(A13&lt;&gt;"",
IF(VLOOKUP($A13,数出表_Excel!$A$6:$T$150,COLUMN()/2+1,FALSE)=0,"",VLOOKUP($A13,数出表_Excel!$A$6:$T$150,COLUMN()/2+1,FALSE)),"")</f>
        <v>#N/A</v>
      </c>
      <c r="AM13" s="166" t="e">
        <f ca="1">数出表_Excel!V13</f>
        <v>#N/A</v>
      </c>
      <c r="AN13" s="167" t="e">
        <f ca="1">数出表_Excel!W13</f>
        <v>#N/A</v>
      </c>
    </row>
    <row r="14" spans="1:40" ht="16.2" customHeight="1">
      <c r="A14" s="126" t="e">
        <f t="array" aca="1" ref="A14" ca="1">IF(OR(COUNTIF(A12,"*10002*"),COUNTIF(A12,"")),"",INDEX(貼り付け用!$A1:$A200,MATCH(A12,貼り付け用!$A1:$A200,0)+2,0))</f>
        <v>#N/A</v>
      </c>
      <c r="B14" s="114" t="str">
        <f ca="1">IFERROR(VALUE(IF(VLOOKUP($A14,数出表_Excel!$A$6:$T$150,COLUMN()/2+1,FALSE)=0,"",VLOOKUP($A14,数出表_Excel!$A$6:$T$150,COLUMN()/2+1,FALSE))),"")</f>
        <v/>
      </c>
      <c r="C14" s="79"/>
      <c r="D14" s="114" t="str">
        <f ca="1">IFERROR(VALUE(IF(VLOOKUP($A14,数出表_Excel!$A$6:$T$150,COLUMN()/2+1,FALSE)=0,"",VLOOKUP($A14,数出表_Excel!$A$6:$T$150,COLUMN()/2+1,FALSE))),"")</f>
        <v/>
      </c>
      <c r="E14" s="79"/>
      <c r="F14" s="116" t="str">
        <f ca="1">IFERROR(VALUE(IF(VLOOKUP($A14,数出表_Excel!$A$6:$T$150,COLUMN()/2+1,FALSE)=0,"",VLOOKUP($A14,数出表_Excel!$A$6:$T$150,COLUMN()/2+1,FALSE))),"")</f>
        <v/>
      </c>
      <c r="G14" s="79"/>
      <c r="H14" s="114" t="str">
        <f ca="1">IFERROR(VALUE(IF(VLOOKUP($A14,数出表_Excel!$A$6:$T$150,COLUMN()/2+1,FALSE)=0,"",VLOOKUP($A14,数出表_Excel!$A$6:$T$150,COLUMN()/2+1,FALSE))),"")</f>
        <v/>
      </c>
      <c r="I14" s="79"/>
      <c r="J14" s="114" t="str">
        <f ca="1">IFERROR(VALUE(IF(VLOOKUP($A14,数出表_Excel!$A$6:$T$150,COLUMN()/2+1,FALSE)=0,"",VLOOKUP($A14,数出表_Excel!$A$6:$T$150,COLUMN()/2+1,FALSE))),"")</f>
        <v/>
      </c>
      <c r="K14" s="79"/>
      <c r="L14" s="116" t="str">
        <f ca="1">IFERROR(VALUE(IF(VLOOKUP($A14,数出表_Excel!$A$6:$T$150,COLUMN()/2+1,FALSE)=0,"",VLOOKUP($A14,数出表_Excel!$A$6:$T$150,COLUMN()/2+1,FALSE))),"")</f>
        <v/>
      </c>
      <c r="M14" s="79"/>
      <c r="N14" s="114" t="str">
        <f ca="1">IFERROR(VALUE(IF(VLOOKUP($A14,数出表_Excel!$A$6:$T$150,COLUMN()/2+1,FALSE)=0,"",VLOOKUP($A14,数出表_Excel!$A$6:$T$150,COLUMN()/2+1,FALSE))),"")</f>
        <v/>
      </c>
      <c r="O14" s="79"/>
      <c r="P14" s="114" t="str">
        <f ca="1">IFERROR(VALUE(IF(VLOOKUP($A14,数出表_Excel!$A$6:$T$150,COLUMN()/2+1,FALSE)=0,"",VLOOKUP($A14,数出表_Excel!$A$6:$T$150,COLUMN()/2+1,FALSE))),"")</f>
        <v/>
      </c>
      <c r="Q14" s="79"/>
      <c r="R14" s="114" t="str">
        <f ca="1">IFERROR(VALUE(IF(VLOOKUP($A14,数出表_Excel!$A$6:$T$150,COLUMN()/2+1,FALSE)=0,"",VLOOKUP($A14,数出表_Excel!$A$6:$T$150,COLUMN()/2+1,FALSE))),"")</f>
        <v/>
      </c>
      <c r="S14" s="79"/>
      <c r="T14" s="114" t="str">
        <f ca="1">IFERROR(VALUE(IF(VLOOKUP($A14,数出表_Excel!$A$6:$T$150,COLUMN()/2+1,FALSE)=0,"",VLOOKUP($A14,数出表_Excel!$A$6:$T$150,COLUMN()/2+1,FALSE))),"")</f>
        <v/>
      </c>
      <c r="U14" s="79"/>
      <c r="V14" s="116" t="str">
        <f ca="1">IFERROR(VALUE(IF(VLOOKUP($A14,数出表_Excel!$A$6:$T$150,COLUMN()/2+1,FALSE)=0,"",VLOOKUP($A14,数出表_Excel!$A$6:$T$150,COLUMN()/2+1,FALSE))),"")</f>
        <v/>
      </c>
      <c r="W14" s="79"/>
      <c r="X14" s="116" t="str">
        <f ca="1">IFERROR(VALUE(IF(VLOOKUP($A14,数出表_Excel!$A$6:$T$150,COLUMN()/2+1,FALSE)=0,"",VLOOKUP($A14,数出表_Excel!$A$6:$T$150,COLUMN()/2+1,FALSE))),"")</f>
        <v/>
      </c>
      <c r="Y14" s="79"/>
      <c r="Z14" s="116" t="str">
        <f ca="1">IFERROR(VALUE(IF(VLOOKUP($A14,数出表_Excel!$A$6:$T$150,COLUMN()/2+1,FALSE)=0,"",VLOOKUP($A14,数出表_Excel!$A$6:$T$150,COLUMN()/2+1,FALSE))),"")</f>
        <v/>
      </c>
      <c r="AA14" s="117"/>
      <c r="AB14" s="115" t="str">
        <f ca="1">IFERROR(VALUE(IF(VLOOKUP($A14,数出表_Excel!$A$6:$T$150,COLUMN()/2+1,FALSE)=0,"",VLOOKUP($A14,数出表_Excel!$A$6:$T$150,COLUMN()/2+1,FALSE))),"")</f>
        <v/>
      </c>
      <c r="AC14" s="79"/>
      <c r="AD14" s="116" t="str">
        <f ca="1">IFERROR(VALUE(IF(VLOOKUP($A14,数出表_Excel!$A$6:$T$150,COLUMN()/2+1,FALSE)=0,"",VLOOKUP($A14,数出表_Excel!$A$6:$T$150,COLUMN()/2+1,FALSE))),"")</f>
        <v/>
      </c>
      <c r="AE14" s="79"/>
      <c r="AF14" s="116" t="str">
        <f ca="1">IFERROR(VALUE(IF(VLOOKUP($A14,数出表_Excel!$A$6:$T$150,COLUMN()/2+1,FALSE)=0,"",VLOOKUP($A14,数出表_Excel!$A$6:$T$150,COLUMN()/2+1,FALSE))),"")</f>
        <v/>
      </c>
      <c r="AG14" s="79"/>
      <c r="AH14" s="116" t="str">
        <f ca="1">IFERROR(VALUE(IF(VLOOKUP($A14,数出表_Excel!$A$6:$T$150,COLUMN()/2+1,FALSE)=0,"",VLOOKUP($A14,数出表_Excel!$A$6:$T$150,COLUMN()/2+1,FALSE))),"")</f>
        <v/>
      </c>
      <c r="AI14" s="117"/>
      <c r="AJ14" s="115" t="str">
        <f ca="1">IFERROR(VALUE(IF(VLOOKUP($A14,数出表_Excel!$A$6:$T$150,COLUMN()/2+1,FALSE)=0,"",VLOOKUP($A14,数出表_Excel!$A$6:$T$150,COLUMN()/2+1,FALSE))),"")</f>
        <v/>
      </c>
      <c r="AK14" s="79"/>
      <c r="AL14" s="83" t="e">
        <f ca="1">IF(A14&lt;&gt;"",
IF(VLOOKUP($A14,数出表_Excel!$A$6:$T$150,COLUMN()/2+1,FALSE)=0,"",VLOOKUP($A14,数出表_Excel!$A$6:$T$150,COLUMN()/2+1,FALSE)),"")</f>
        <v>#N/A</v>
      </c>
      <c r="AM14" s="164" t="e">
        <f ca="1">数出表_Excel!V14</f>
        <v>#N/A</v>
      </c>
      <c r="AN14" s="165" t="e">
        <f ca="1">数出表_Excel!W14</f>
        <v>#N/A</v>
      </c>
    </row>
    <row r="15" spans="1:40" ht="16.2" customHeight="1">
      <c r="A15" s="127" t="e">
        <f t="array" aca="1" ref="A15" ca="1">IF(OR(COUNTIF(A13,"*1000*"),COUNTIF(A13,"")),"",INDEX(貼り付け用!$A1:$A200,MATCH(A13,貼り付け用!$A1:$A200,0)+2,0))</f>
        <v>#N/A</v>
      </c>
      <c r="B15" s="80" t="str">
        <f ca="1">IFERROR(VALUE(IF(VLOOKUP($A15,数出表_Excel!$A$6:$T$150,COLUMN()/2+1,FALSE)=0,"",VLOOKUP($A15,数出表_Excel!$A$6:$T$150,COLUMN()/2+1,FALSE))),"")</f>
        <v/>
      </c>
      <c r="C15" s="80"/>
      <c r="D15" s="80" t="str">
        <f ca="1">IFERROR(VALUE(IF(VLOOKUP($A15,数出表_Excel!$A$6:$T$150,COLUMN()/2+1,FALSE)=0,"",VLOOKUP($A15,数出表_Excel!$A$6:$T$150,COLUMN()/2+1,FALSE))),"")</f>
        <v/>
      </c>
      <c r="E15" s="80"/>
      <c r="F15" s="84" t="str">
        <f ca="1">IFERROR(VALUE(IF(VLOOKUP($A15,数出表_Excel!$A$6:$T$150,COLUMN()/2+1,FALSE)=0,"",VLOOKUP($A15,数出表_Excel!$A$6:$T$150,COLUMN()/2+1,FALSE))),"")</f>
        <v/>
      </c>
      <c r="G15" s="80"/>
      <c r="H15" s="80" t="str">
        <f ca="1">IFERROR(VALUE(IF(VLOOKUP($A15,数出表_Excel!$A$6:$T$150,COLUMN()/2+1,FALSE)=0,"",VLOOKUP($A15,数出表_Excel!$A$6:$T$150,COLUMN()/2+1,FALSE))),"")</f>
        <v/>
      </c>
      <c r="I15" s="80"/>
      <c r="J15" s="80" t="str">
        <f ca="1">IFERROR(VALUE(IF(VLOOKUP($A15,数出表_Excel!$A$6:$T$150,COLUMN()/2+1,FALSE)=0,"",VLOOKUP($A15,数出表_Excel!$A$6:$T$150,COLUMN()/2+1,FALSE))),"")</f>
        <v/>
      </c>
      <c r="K15" s="80"/>
      <c r="L15" s="84" t="str">
        <f ca="1">IFERROR(VALUE(IF(VLOOKUP($A15,数出表_Excel!$A$6:$T$150,COLUMN()/2+1,FALSE)=0,"",VLOOKUP($A15,数出表_Excel!$A$6:$T$150,COLUMN()/2+1,FALSE))),"")</f>
        <v/>
      </c>
      <c r="M15" s="80"/>
      <c r="N15" s="80" t="str">
        <f ca="1">IFERROR(VALUE(IF(VLOOKUP($A15,数出表_Excel!$A$6:$T$150,COLUMN()/2+1,FALSE)=0,"",VLOOKUP($A15,数出表_Excel!$A$6:$T$150,COLUMN()/2+1,FALSE))),"")</f>
        <v/>
      </c>
      <c r="O15" s="80"/>
      <c r="P15" s="80" t="str">
        <f ca="1">IFERROR(VALUE(IF(VLOOKUP($A15,数出表_Excel!$A$6:$T$150,COLUMN()/2+1,FALSE)=0,"",VLOOKUP($A15,数出表_Excel!$A$6:$T$150,COLUMN()/2+1,FALSE))),"")</f>
        <v/>
      </c>
      <c r="Q15" s="80"/>
      <c r="R15" s="80" t="str">
        <f ca="1">IFERROR(VALUE(IF(VLOOKUP($A15,数出表_Excel!$A$6:$T$150,COLUMN()/2+1,FALSE)=0,"",VLOOKUP($A15,数出表_Excel!$A$6:$T$150,COLUMN()/2+1,FALSE))),"")</f>
        <v/>
      </c>
      <c r="S15" s="80"/>
      <c r="T15" s="80" t="str">
        <f ca="1">IFERROR(VALUE(IF(VLOOKUP($A15,数出表_Excel!$A$6:$T$150,COLUMN()/2+1,FALSE)=0,"",VLOOKUP($A15,数出表_Excel!$A$6:$T$150,COLUMN()/2+1,FALSE))),"")</f>
        <v/>
      </c>
      <c r="U15" s="80"/>
      <c r="V15" s="84" t="str">
        <f ca="1">IFERROR(VALUE(IF(VLOOKUP($A15,数出表_Excel!$A$6:$T$150,COLUMN()/2+1,FALSE)=0,"",VLOOKUP($A15,数出表_Excel!$A$6:$T$150,COLUMN()/2+1,FALSE))),"")</f>
        <v/>
      </c>
      <c r="W15" s="80"/>
      <c r="X15" s="84" t="str">
        <f ca="1">IFERROR(VALUE(IF(VLOOKUP($A15,数出表_Excel!$A$6:$T$150,COLUMN()/2+1,FALSE)=0,"",VLOOKUP($A15,数出表_Excel!$A$6:$T$150,COLUMN()/2+1,FALSE))),"")</f>
        <v/>
      </c>
      <c r="Y15" s="80"/>
      <c r="Z15" s="84" t="str">
        <f ca="1">IFERROR(VALUE(IF(VLOOKUP($A15,数出表_Excel!$A$6:$T$150,COLUMN()/2+1,FALSE)=0,"",VLOOKUP($A15,数出表_Excel!$A$6:$T$150,COLUMN()/2+1,FALSE))),"")</f>
        <v/>
      </c>
      <c r="AA15" s="118"/>
      <c r="AB15" s="85" t="str">
        <f ca="1">IFERROR(VALUE(IF(VLOOKUP($A15,数出表_Excel!$A$6:$T$150,COLUMN()/2+1,FALSE)=0,"",VLOOKUP($A15,数出表_Excel!$A$6:$T$150,COLUMN()/2+1,FALSE))),"")</f>
        <v/>
      </c>
      <c r="AC15" s="80"/>
      <c r="AD15" s="84" t="str">
        <f ca="1">IFERROR(VALUE(IF(VLOOKUP($A15,数出表_Excel!$A$6:$T$150,COLUMN()/2+1,FALSE)=0,"",VLOOKUP($A15,数出表_Excel!$A$6:$T$150,COLUMN()/2+1,FALSE))),"")</f>
        <v/>
      </c>
      <c r="AE15" s="80"/>
      <c r="AF15" s="84" t="str">
        <f ca="1">IFERROR(VALUE(IF(VLOOKUP($A15,数出表_Excel!$A$6:$T$150,COLUMN()/2+1,FALSE)=0,"",VLOOKUP($A15,数出表_Excel!$A$6:$T$150,COLUMN()/2+1,FALSE))),"")</f>
        <v/>
      </c>
      <c r="AG15" s="80"/>
      <c r="AH15" s="84" t="str">
        <f ca="1">IFERROR(VALUE(IF(VLOOKUP($A15,数出表_Excel!$A$6:$T$150,COLUMN()/2+1,FALSE)=0,"",VLOOKUP($A15,数出表_Excel!$A$6:$T$150,COLUMN()/2+1,FALSE))),"")</f>
        <v/>
      </c>
      <c r="AI15" s="118"/>
      <c r="AJ15" s="85" t="str">
        <f ca="1">IFERROR(VALUE(IF(VLOOKUP($A15,数出表_Excel!$A$6:$T$150,COLUMN()/2+1,FALSE)=0,"",VLOOKUP($A15,数出表_Excel!$A$6:$T$150,COLUMN()/2+1,FALSE))),"")</f>
        <v/>
      </c>
      <c r="AK15" s="80"/>
      <c r="AL15" s="86" t="e">
        <f ca="1">IF(A15&lt;&gt;"",
IF(VLOOKUP($A15,数出表_Excel!$A$6:$T$150,COLUMN()/2+1,FALSE)=0,"",VLOOKUP($A15,数出表_Excel!$A$6:$T$150,COLUMN()/2+1,FALSE)),"")</f>
        <v>#N/A</v>
      </c>
      <c r="AM15" s="166" t="e">
        <f ca="1">数出表_Excel!V15</f>
        <v>#N/A</v>
      </c>
      <c r="AN15" s="167" t="e">
        <f ca="1">数出表_Excel!W15</f>
        <v>#N/A</v>
      </c>
    </row>
    <row r="16" spans="1:40" ht="16.2" customHeight="1">
      <c r="A16" s="126" t="e">
        <f t="array" aca="1" ref="A16" ca="1">IF(OR(COUNTIF(A14,"*10002*"),COUNTIF(A14,"")),"",INDEX(貼り付け用!$A1:$A200,MATCH(A14,貼り付け用!$A1:$A200,0)+2,0))</f>
        <v>#N/A</v>
      </c>
      <c r="B16" s="114" t="str">
        <f ca="1">IFERROR(VALUE(IF(VLOOKUP($A16,数出表_Excel!$A$6:$T$150,COLUMN()/2+1,FALSE)=0,"",VLOOKUP($A16,数出表_Excel!$A$6:$T$150,COLUMN()/2+1,FALSE))),"")</f>
        <v/>
      </c>
      <c r="C16" s="79"/>
      <c r="D16" s="114" t="str">
        <f ca="1">IFERROR(VALUE(IF(VLOOKUP($A16,数出表_Excel!$A$6:$T$150,COLUMN()/2+1,FALSE)=0,"",VLOOKUP($A16,数出表_Excel!$A$6:$T$150,COLUMN()/2+1,FALSE))),"")</f>
        <v/>
      </c>
      <c r="E16" s="79"/>
      <c r="F16" s="116" t="str">
        <f ca="1">IFERROR(VALUE(IF(VLOOKUP($A16,数出表_Excel!$A$6:$T$150,COLUMN()/2+1,FALSE)=0,"",VLOOKUP($A16,数出表_Excel!$A$6:$T$150,COLUMN()/2+1,FALSE))),"")</f>
        <v/>
      </c>
      <c r="G16" s="79"/>
      <c r="H16" s="114" t="str">
        <f ca="1">IFERROR(VALUE(IF(VLOOKUP($A16,数出表_Excel!$A$6:$T$150,COLUMN()/2+1,FALSE)=0,"",VLOOKUP($A16,数出表_Excel!$A$6:$T$150,COLUMN()/2+1,FALSE))),"")</f>
        <v/>
      </c>
      <c r="I16" s="79"/>
      <c r="J16" s="114" t="str">
        <f ca="1">IFERROR(VALUE(IF(VLOOKUP($A16,数出表_Excel!$A$6:$T$150,COLUMN()/2+1,FALSE)=0,"",VLOOKUP($A16,数出表_Excel!$A$6:$T$150,COLUMN()/2+1,FALSE))),"")</f>
        <v/>
      </c>
      <c r="K16" s="79"/>
      <c r="L16" s="116" t="str">
        <f ca="1">IFERROR(VALUE(IF(VLOOKUP($A16,数出表_Excel!$A$6:$T$150,COLUMN()/2+1,FALSE)=0,"",VLOOKUP($A16,数出表_Excel!$A$6:$T$150,COLUMN()/2+1,FALSE))),"")</f>
        <v/>
      </c>
      <c r="M16" s="79"/>
      <c r="N16" s="114" t="str">
        <f ca="1">IFERROR(VALUE(IF(VLOOKUP($A16,数出表_Excel!$A$6:$T$150,COLUMN()/2+1,FALSE)=0,"",VLOOKUP($A16,数出表_Excel!$A$6:$T$150,COLUMN()/2+1,FALSE))),"")</f>
        <v/>
      </c>
      <c r="O16" s="79"/>
      <c r="P16" s="114" t="str">
        <f ca="1">IFERROR(VALUE(IF(VLOOKUP($A16,数出表_Excel!$A$6:$T$150,COLUMN()/2+1,FALSE)=0,"",VLOOKUP($A16,数出表_Excel!$A$6:$T$150,COLUMN()/2+1,FALSE))),"")</f>
        <v/>
      </c>
      <c r="Q16" s="79"/>
      <c r="R16" s="114" t="str">
        <f ca="1">IFERROR(VALUE(IF(VLOOKUP($A16,数出表_Excel!$A$6:$T$150,COLUMN()/2+1,FALSE)=0,"",VLOOKUP($A16,数出表_Excel!$A$6:$T$150,COLUMN()/2+1,FALSE))),"")</f>
        <v/>
      </c>
      <c r="S16" s="79"/>
      <c r="T16" s="114" t="str">
        <f ca="1">IFERROR(VALUE(IF(VLOOKUP($A16,数出表_Excel!$A$6:$T$150,COLUMN()/2+1,FALSE)=0,"",VLOOKUP($A16,数出表_Excel!$A$6:$T$150,COLUMN()/2+1,FALSE))),"")</f>
        <v/>
      </c>
      <c r="U16" s="79"/>
      <c r="V16" s="116" t="str">
        <f ca="1">IFERROR(VALUE(IF(VLOOKUP($A16,数出表_Excel!$A$6:$T$150,COLUMN()/2+1,FALSE)=0,"",VLOOKUP($A16,数出表_Excel!$A$6:$T$150,COLUMN()/2+1,FALSE))),"")</f>
        <v/>
      </c>
      <c r="W16" s="79"/>
      <c r="X16" s="116" t="str">
        <f ca="1">IFERROR(VALUE(IF(VLOOKUP($A16,数出表_Excel!$A$6:$T$150,COLUMN()/2+1,FALSE)=0,"",VLOOKUP($A16,数出表_Excel!$A$6:$T$150,COLUMN()/2+1,FALSE))),"")</f>
        <v/>
      </c>
      <c r="Y16" s="79"/>
      <c r="Z16" s="116" t="str">
        <f ca="1">IFERROR(VALUE(IF(VLOOKUP($A16,数出表_Excel!$A$6:$T$150,COLUMN()/2+1,FALSE)=0,"",VLOOKUP($A16,数出表_Excel!$A$6:$T$150,COLUMN()/2+1,FALSE))),"")</f>
        <v/>
      </c>
      <c r="AA16" s="117"/>
      <c r="AB16" s="115" t="str">
        <f ca="1">IFERROR(VALUE(IF(VLOOKUP($A16,数出表_Excel!$A$6:$T$150,COLUMN()/2+1,FALSE)=0,"",VLOOKUP($A16,数出表_Excel!$A$6:$T$150,COLUMN()/2+1,FALSE))),"")</f>
        <v/>
      </c>
      <c r="AC16" s="79"/>
      <c r="AD16" s="116" t="str">
        <f ca="1">IFERROR(VALUE(IF(VLOOKUP($A16,数出表_Excel!$A$6:$T$150,COLUMN()/2+1,FALSE)=0,"",VLOOKUP($A16,数出表_Excel!$A$6:$T$150,COLUMN()/2+1,FALSE))),"")</f>
        <v/>
      </c>
      <c r="AE16" s="79"/>
      <c r="AF16" s="116" t="str">
        <f ca="1">IFERROR(VALUE(IF(VLOOKUP($A16,数出表_Excel!$A$6:$T$150,COLUMN()/2+1,FALSE)=0,"",VLOOKUP($A16,数出表_Excel!$A$6:$T$150,COLUMN()/2+1,FALSE))),"")</f>
        <v/>
      </c>
      <c r="AG16" s="79"/>
      <c r="AH16" s="116" t="str">
        <f ca="1">IFERROR(VALUE(IF(VLOOKUP($A16,数出表_Excel!$A$6:$T$150,COLUMN()/2+1,FALSE)=0,"",VLOOKUP($A16,数出表_Excel!$A$6:$T$150,COLUMN()/2+1,FALSE))),"")</f>
        <v/>
      </c>
      <c r="AI16" s="117"/>
      <c r="AJ16" s="115" t="str">
        <f ca="1">IFERROR(VALUE(IF(VLOOKUP($A16,数出表_Excel!$A$6:$T$150,COLUMN()/2+1,FALSE)=0,"",VLOOKUP($A16,数出表_Excel!$A$6:$T$150,COLUMN()/2+1,FALSE))),"")</f>
        <v/>
      </c>
      <c r="AK16" s="79"/>
      <c r="AL16" s="83" t="e">
        <f ca="1">IF(A16&lt;&gt;"",
IF(VLOOKUP($A16,数出表_Excel!$A$6:$T$150,COLUMN()/2+1,FALSE)=0,"",VLOOKUP($A16,数出表_Excel!$A$6:$T$150,COLUMN()/2+1,FALSE)),"")</f>
        <v>#N/A</v>
      </c>
      <c r="AM16" s="164" t="e">
        <f ca="1">数出表_Excel!V16</f>
        <v>#N/A</v>
      </c>
      <c r="AN16" s="165" t="e">
        <f ca="1">数出表_Excel!W16</f>
        <v>#N/A</v>
      </c>
    </row>
    <row r="17" spans="1:40" ht="16.2" customHeight="1">
      <c r="A17" s="127" t="e">
        <f t="array" aca="1" ref="A17" ca="1">IF(OR(COUNTIF(A15,"*1000*"),COUNTIF(A15,"")),"",INDEX(貼り付け用!$A1:$A200,MATCH(A15,貼り付け用!$A1:$A200,0)+2,0))</f>
        <v>#N/A</v>
      </c>
      <c r="B17" s="80" t="str">
        <f ca="1">IFERROR(VALUE(IF(VLOOKUP($A17,数出表_Excel!$A$6:$T$150,COLUMN()/2+1,FALSE)=0,"",VLOOKUP($A17,数出表_Excel!$A$6:$T$150,COLUMN()/2+1,FALSE))),"")</f>
        <v/>
      </c>
      <c r="C17" s="80"/>
      <c r="D17" s="80" t="str">
        <f ca="1">IFERROR(VALUE(IF(VLOOKUP($A17,数出表_Excel!$A$6:$T$150,COLUMN()/2+1,FALSE)=0,"",VLOOKUP($A17,数出表_Excel!$A$6:$T$150,COLUMN()/2+1,FALSE))),"")</f>
        <v/>
      </c>
      <c r="E17" s="80"/>
      <c r="F17" s="84" t="str">
        <f ca="1">IFERROR(VALUE(IF(VLOOKUP($A17,数出表_Excel!$A$6:$T$150,COLUMN()/2+1,FALSE)=0,"",VLOOKUP($A17,数出表_Excel!$A$6:$T$150,COLUMN()/2+1,FALSE))),"")</f>
        <v/>
      </c>
      <c r="G17" s="80"/>
      <c r="H17" s="80" t="str">
        <f ca="1">IFERROR(VALUE(IF(VLOOKUP($A17,数出表_Excel!$A$6:$T$150,COLUMN()/2+1,FALSE)=0,"",VLOOKUP($A17,数出表_Excel!$A$6:$T$150,COLUMN()/2+1,FALSE))),"")</f>
        <v/>
      </c>
      <c r="I17" s="80"/>
      <c r="J17" s="80" t="str">
        <f ca="1">IFERROR(VALUE(IF(VLOOKUP($A17,数出表_Excel!$A$6:$T$150,COLUMN()/2+1,FALSE)=0,"",VLOOKUP($A17,数出表_Excel!$A$6:$T$150,COLUMN()/2+1,FALSE))),"")</f>
        <v/>
      </c>
      <c r="K17" s="80"/>
      <c r="L17" s="84" t="str">
        <f ca="1">IFERROR(VALUE(IF(VLOOKUP($A17,数出表_Excel!$A$6:$T$150,COLUMN()/2+1,FALSE)=0,"",VLOOKUP($A17,数出表_Excel!$A$6:$T$150,COLUMN()/2+1,FALSE))),"")</f>
        <v/>
      </c>
      <c r="M17" s="80"/>
      <c r="N17" s="80" t="str">
        <f ca="1">IFERROR(VALUE(IF(VLOOKUP($A17,数出表_Excel!$A$6:$T$150,COLUMN()/2+1,FALSE)=0,"",VLOOKUP($A17,数出表_Excel!$A$6:$T$150,COLUMN()/2+1,FALSE))),"")</f>
        <v/>
      </c>
      <c r="O17" s="80"/>
      <c r="P17" s="80" t="str">
        <f ca="1">IFERROR(VALUE(IF(VLOOKUP($A17,数出表_Excel!$A$6:$T$150,COLUMN()/2+1,FALSE)=0,"",VLOOKUP($A17,数出表_Excel!$A$6:$T$150,COLUMN()/2+1,FALSE))),"")</f>
        <v/>
      </c>
      <c r="Q17" s="80"/>
      <c r="R17" s="80" t="str">
        <f ca="1">IFERROR(VALUE(IF(VLOOKUP($A17,数出表_Excel!$A$6:$T$150,COLUMN()/2+1,FALSE)=0,"",VLOOKUP($A17,数出表_Excel!$A$6:$T$150,COLUMN()/2+1,FALSE))),"")</f>
        <v/>
      </c>
      <c r="S17" s="80"/>
      <c r="T17" s="80" t="str">
        <f ca="1">IFERROR(VALUE(IF(VLOOKUP($A17,数出表_Excel!$A$6:$T$150,COLUMN()/2+1,FALSE)=0,"",VLOOKUP($A17,数出表_Excel!$A$6:$T$150,COLUMN()/2+1,FALSE))),"")</f>
        <v/>
      </c>
      <c r="U17" s="80"/>
      <c r="V17" s="84" t="str">
        <f ca="1">IFERROR(VALUE(IF(VLOOKUP($A17,数出表_Excel!$A$6:$T$150,COLUMN()/2+1,FALSE)=0,"",VLOOKUP($A17,数出表_Excel!$A$6:$T$150,COLUMN()/2+1,FALSE))),"")</f>
        <v/>
      </c>
      <c r="W17" s="80"/>
      <c r="X17" s="84" t="str">
        <f ca="1">IFERROR(VALUE(IF(VLOOKUP($A17,数出表_Excel!$A$6:$T$150,COLUMN()/2+1,FALSE)=0,"",VLOOKUP($A17,数出表_Excel!$A$6:$T$150,COLUMN()/2+1,FALSE))),"")</f>
        <v/>
      </c>
      <c r="Y17" s="80"/>
      <c r="Z17" s="84" t="str">
        <f ca="1">IFERROR(VALUE(IF(VLOOKUP($A17,数出表_Excel!$A$6:$T$150,COLUMN()/2+1,FALSE)=0,"",VLOOKUP($A17,数出表_Excel!$A$6:$T$150,COLUMN()/2+1,FALSE))),"")</f>
        <v/>
      </c>
      <c r="AA17" s="118"/>
      <c r="AB17" s="85" t="str">
        <f ca="1">IFERROR(VALUE(IF(VLOOKUP($A17,数出表_Excel!$A$6:$T$150,COLUMN()/2+1,FALSE)=0,"",VLOOKUP($A17,数出表_Excel!$A$6:$T$150,COLUMN()/2+1,FALSE))),"")</f>
        <v/>
      </c>
      <c r="AC17" s="80"/>
      <c r="AD17" s="84" t="str">
        <f ca="1">IFERROR(VALUE(IF(VLOOKUP($A17,数出表_Excel!$A$6:$T$150,COLUMN()/2+1,FALSE)=0,"",VLOOKUP($A17,数出表_Excel!$A$6:$T$150,COLUMN()/2+1,FALSE))),"")</f>
        <v/>
      </c>
      <c r="AE17" s="80"/>
      <c r="AF17" s="84" t="str">
        <f ca="1">IFERROR(VALUE(IF(VLOOKUP($A17,数出表_Excel!$A$6:$T$150,COLUMN()/2+1,FALSE)=0,"",VLOOKUP($A17,数出表_Excel!$A$6:$T$150,COLUMN()/2+1,FALSE))),"")</f>
        <v/>
      </c>
      <c r="AG17" s="80"/>
      <c r="AH17" s="84" t="str">
        <f ca="1">IFERROR(VALUE(IF(VLOOKUP($A17,数出表_Excel!$A$6:$T$150,COLUMN()/2+1,FALSE)=0,"",VLOOKUP($A17,数出表_Excel!$A$6:$T$150,COLUMN()/2+1,FALSE))),"")</f>
        <v/>
      </c>
      <c r="AI17" s="118"/>
      <c r="AJ17" s="85" t="str">
        <f ca="1">IFERROR(VALUE(IF(VLOOKUP($A17,数出表_Excel!$A$6:$T$150,COLUMN()/2+1,FALSE)=0,"",VLOOKUP($A17,数出表_Excel!$A$6:$T$150,COLUMN()/2+1,FALSE))),"")</f>
        <v/>
      </c>
      <c r="AK17" s="80"/>
      <c r="AL17" s="86" t="e">
        <f ca="1">IF(A17&lt;&gt;"",
IF(VLOOKUP($A17,数出表_Excel!$A$6:$T$150,COLUMN()/2+1,FALSE)=0,"",VLOOKUP($A17,数出表_Excel!$A$6:$T$150,COLUMN()/2+1,FALSE)),"")</f>
        <v>#N/A</v>
      </c>
      <c r="AM17" s="166" t="e">
        <f ca="1">数出表_Excel!V17</f>
        <v>#N/A</v>
      </c>
      <c r="AN17" s="167" t="e">
        <f ca="1">数出表_Excel!W17</f>
        <v>#N/A</v>
      </c>
    </row>
    <row r="18" spans="1:40" ht="16.2" customHeight="1">
      <c r="A18" s="126" t="e">
        <f t="array" aca="1" ref="A18" ca="1">IF(OR(COUNTIF(A16,"*10002*"),COUNTIF(A16,"")),"",INDEX(貼り付け用!$A1:$A200,MATCH(A16,貼り付け用!$A1:$A200,0)+2,0))</f>
        <v>#N/A</v>
      </c>
      <c r="B18" s="114" t="str">
        <f ca="1">IFERROR(VALUE(IF(VLOOKUP($A18,数出表_Excel!$A$6:$T$150,COLUMN()/2+1,FALSE)=0,"",VLOOKUP($A18,数出表_Excel!$A$6:$T$150,COLUMN()/2+1,FALSE))),"")</f>
        <v/>
      </c>
      <c r="C18" s="79"/>
      <c r="D18" s="114" t="str">
        <f ca="1">IFERROR(VALUE(IF(VLOOKUP($A18,数出表_Excel!$A$6:$T$150,COLUMN()/2+1,FALSE)=0,"",VLOOKUP($A18,数出表_Excel!$A$6:$T$150,COLUMN()/2+1,FALSE))),"")</f>
        <v/>
      </c>
      <c r="E18" s="79"/>
      <c r="F18" s="116" t="str">
        <f ca="1">IFERROR(VALUE(IF(VLOOKUP($A18,数出表_Excel!$A$6:$T$150,COLUMN()/2+1,FALSE)=0,"",VLOOKUP($A18,数出表_Excel!$A$6:$T$150,COLUMN()/2+1,FALSE))),"")</f>
        <v/>
      </c>
      <c r="G18" s="79"/>
      <c r="H18" s="114" t="str">
        <f ca="1">IFERROR(VALUE(IF(VLOOKUP($A18,数出表_Excel!$A$6:$T$150,COLUMN()/2+1,FALSE)=0,"",VLOOKUP($A18,数出表_Excel!$A$6:$T$150,COLUMN()/2+1,FALSE))),"")</f>
        <v/>
      </c>
      <c r="I18" s="79"/>
      <c r="J18" s="114" t="str">
        <f ca="1">IFERROR(VALUE(IF(VLOOKUP($A18,数出表_Excel!$A$6:$T$150,COLUMN()/2+1,FALSE)=0,"",VLOOKUP($A18,数出表_Excel!$A$6:$T$150,COLUMN()/2+1,FALSE))),"")</f>
        <v/>
      </c>
      <c r="K18" s="79"/>
      <c r="L18" s="116" t="str">
        <f ca="1">IFERROR(VALUE(IF(VLOOKUP($A18,数出表_Excel!$A$6:$T$150,COLUMN()/2+1,FALSE)=0,"",VLOOKUP($A18,数出表_Excel!$A$6:$T$150,COLUMN()/2+1,FALSE))),"")</f>
        <v/>
      </c>
      <c r="M18" s="79"/>
      <c r="N18" s="114" t="str">
        <f ca="1">IFERROR(VALUE(IF(VLOOKUP($A18,数出表_Excel!$A$6:$T$150,COLUMN()/2+1,FALSE)=0,"",VLOOKUP($A18,数出表_Excel!$A$6:$T$150,COLUMN()/2+1,FALSE))),"")</f>
        <v/>
      </c>
      <c r="O18" s="79"/>
      <c r="P18" s="114" t="str">
        <f ca="1">IFERROR(VALUE(IF(VLOOKUP($A18,数出表_Excel!$A$6:$T$150,COLUMN()/2+1,FALSE)=0,"",VLOOKUP($A18,数出表_Excel!$A$6:$T$150,COLUMN()/2+1,FALSE))),"")</f>
        <v/>
      </c>
      <c r="Q18" s="79"/>
      <c r="R18" s="114" t="str">
        <f ca="1">IFERROR(VALUE(IF(VLOOKUP($A18,数出表_Excel!$A$6:$T$150,COLUMN()/2+1,FALSE)=0,"",VLOOKUP($A18,数出表_Excel!$A$6:$T$150,COLUMN()/2+1,FALSE))),"")</f>
        <v/>
      </c>
      <c r="S18" s="79"/>
      <c r="T18" s="114" t="str">
        <f ca="1">IFERROR(VALUE(IF(VLOOKUP($A18,数出表_Excel!$A$6:$T$150,COLUMN()/2+1,FALSE)=0,"",VLOOKUP($A18,数出表_Excel!$A$6:$T$150,COLUMN()/2+1,FALSE))),"")</f>
        <v/>
      </c>
      <c r="U18" s="79"/>
      <c r="V18" s="116" t="str">
        <f ca="1">IFERROR(VALUE(IF(VLOOKUP($A18,数出表_Excel!$A$6:$T$150,COLUMN()/2+1,FALSE)=0,"",VLOOKUP($A18,数出表_Excel!$A$6:$T$150,COLUMN()/2+1,FALSE))),"")</f>
        <v/>
      </c>
      <c r="W18" s="79"/>
      <c r="X18" s="116" t="str">
        <f ca="1">IFERROR(VALUE(IF(VLOOKUP($A18,数出表_Excel!$A$6:$T$150,COLUMN()/2+1,FALSE)=0,"",VLOOKUP($A18,数出表_Excel!$A$6:$T$150,COLUMN()/2+1,FALSE))),"")</f>
        <v/>
      </c>
      <c r="Y18" s="79"/>
      <c r="Z18" s="116" t="str">
        <f ca="1">IFERROR(VALUE(IF(VLOOKUP($A18,数出表_Excel!$A$6:$T$150,COLUMN()/2+1,FALSE)=0,"",VLOOKUP($A18,数出表_Excel!$A$6:$T$150,COLUMN()/2+1,FALSE))),"")</f>
        <v/>
      </c>
      <c r="AA18" s="117"/>
      <c r="AB18" s="115" t="str">
        <f ca="1">IFERROR(VALUE(IF(VLOOKUP($A18,数出表_Excel!$A$6:$T$150,COLUMN()/2+1,FALSE)=0,"",VLOOKUP($A18,数出表_Excel!$A$6:$T$150,COLUMN()/2+1,FALSE))),"")</f>
        <v/>
      </c>
      <c r="AC18" s="79"/>
      <c r="AD18" s="116" t="str">
        <f ca="1">IFERROR(VALUE(IF(VLOOKUP($A18,数出表_Excel!$A$6:$T$150,COLUMN()/2+1,FALSE)=0,"",VLOOKUP($A18,数出表_Excel!$A$6:$T$150,COLUMN()/2+1,FALSE))),"")</f>
        <v/>
      </c>
      <c r="AE18" s="79"/>
      <c r="AF18" s="116" t="str">
        <f ca="1">IFERROR(VALUE(IF(VLOOKUP($A18,数出表_Excel!$A$6:$T$150,COLUMN()/2+1,FALSE)=0,"",VLOOKUP($A18,数出表_Excel!$A$6:$T$150,COLUMN()/2+1,FALSE))),"")</f>
        <v/>
      </c>
      <c r="AG18" s="79"/>
      <c r="AH18" s="116" t="str">
        <f ca="1">IFERROR(VALUE(IF(VLOOKUP($A18,数出表_Excel!$A$6:$T$150,COLUMN()/2+1,FALSE)=0,"",VLOOKUP($A18,数出表_Excel!$A$6:$T$150,COLUMN()/2+1,FALSE))),"")</f>
        <v/>
      </c>
      <c r="AI18" s="117"/>
      <c r="AJ18" s="115" t="str">
        <f ca="1">IFERROR(VALUE(IF(VLOOKUP($A18,数出表_Excel!$A$6:$T$150,COLUMN()/2+1,FALSE)=0,"",VLOOKUP($A18,数出表_Excel!$A$6:$T$150,COLUMN()/2+1,FALSE))),"")</f>
        <v/>
      </c>
      <c r="AK18" s="79"/>
      <c r="AL18" s="83" t="e">
        <f ca="1">IF(A18&lt;&gt;"",
IF(VLOOKUP($A18,数出表_Excel!$A$6:$T$150,COLUMN()/2+1,FALSE)=0,"",VLOOKUP($A18,数出表_Excel!$A$6:$T$150,COLUMN()/2+1,FALSE)),"")</f>
        <v>#N/A</v>
      </c>
      <c r="AM18" s="164" t="e">
        <f ca="1">数出表_Excel!V18</f>
        <v>#N/A</v>
      </c>
      <c r="AN18" s="165" t="e">
        <f ca="1">数出表_Excel!W18</f>
        <v>#N/A</v>
      </c>
    </row>
    <row r="19" spans="1:40" ht="16.2" customHeight="1">
      <c r="A19" s="127" t="e">
        <f t="array" aca="1" ref="A19" ca="1">IF(OR(COUNTIF(A17,"*1000*"),COUNTIF(A17,"")),"",INDEX(貼り付け用!$A1:$A200,MATCH(A17,貼り付け用!$A1:$A200,0)+2,0))</f>
        <v>#N/A</v>
      </c>
      <c r="B19" s="80" t="str">
        <f ca="1">IFERROR(VALUE(IF(VLOOKUP($A19,数出表_Excel!$A$6:$T$150,COLUMN()/2+1,FALSE)=0,"",VLOOKUP($A19,数出表_Excel!$A$6:$T$150,COLUMN()/2+1,FALSE))),"")</f>
        <v/>
      </c>
      <c r="C19" s="80"/>
      <c r="D19" s="80" t="str">
        <f ca="1">IFERROR(VALUE(IF(VLOOKUP($A19,数出表_Excel!$A$6:$T$150,COLUMN()/2+1,FALSE)=0,"",VLOOKUP($A19,数出表_Excel!$A$6:$T$150,COLUMN()/2+1,FALSE))),"")</f>
        <v/>
      </c>
      <c r="E19" s="80"/>
      <c r="F19" s="84" t="str">
        <f ca="1">IFERROR(VALUE(IF(VLOOKUP($A19,数出表_Excel!$A$6:$T$150,COLUMN()/2+1,FALSE)=0,"",VLOOKUP($A19,数出表_Excel!$A$6:$T$150,COLUMN()/2+1,FALSE))),"")</f>
        <v/>
      </c>
      <c r="G19" s="80"/>
      <c r="H19" s="80" t="str">
        <f ca="1">IFERROR(VALUE(IF(VLOOKUP($A19,数出表_Excel!$A$6:$T$150,COLUMN()/2+1,FALSE)=0,"",VLOOKUP($A19,数出表_Excel!$A$6:$T$150,COLUMN()/2+1,FALSE))),"")</f>
        <v/>
      </c>
      <c r="I19" s="80"/>
      <c r="J19" s="80" t="str">
        <f ca="1">IFERROR(VALUE(IF(VLOOKUP($A19,数出表_Excel!$A$6:$T$150,COLUMN()/2+1,FALSE)=0,"",VLOOKUP($A19,数出表_Excel!$A$6:$T$150,COLUMN()/2+1,FALSE))),"")</f>
        <v/>
      </c>
      <c r="K19" s="80"/>
      <c r="L19" s="84" t="str">
        <f ca="1">IFERROR(VALUE(IF(VLOOKUP($A19,数出表_Excel!$A$6:$T$150,COLUMN()/2+1,FALSE)=0,"",VLOOKUP($A19,数出表_Excel!$A$6:$T$150,COLUMN()/2+1,FALSE))),"")</f>
        <v/>
      </c>
      <c r="M19" s="80"/>
      <c r="N19" s="80" t="str">
        <f ca="1">IFERROR(VALUE(IF(VLOOKUP($A19,数出表_Excel!$A$6:$T$150,COLUMN()/2+1,FALSE)=0,"",VLOOKUP($A19,数出表_Excel!$A$6:$T$150,COLUMN()/2+1,FALSE))),"")</f>
        <v/>
      </c>
      <c r="O19" s="80"/>
      <c r="P19" s="80" t="str">
        <f ca="1">IFERROR(VALUE(IF(VLOOKUP($A19,数出表_Excel!$A$6:$T$150,COLUMN()/2+1,FALSE)=0,"",VLOOKUP($A19,数出表_Excel!$A$6:$T$150,COLUMN()/2+1,FALSE))),"")</f>
        <v/>
      </c>
      <c r="Q19" s="80"/>
      <c r="R19" s="80" t="str">
        <f ca="1">IFERROR(VALUE(IF(VLOOKUP($A19,数出表_Excel!$A$6:$T$150,COLUMN()/2+1,FALSE)=0,"",VLOOKUP($A19,数出表_Excel!$A$6:$T$150,COLUMN()/2+1,FALSE))),"")</f>
        <v/>
      </c>
      <c r="S19" s="80"/>
      <c r="T19" s="80" t="str">
        <f ca="1">IFERROR(VALUE(IF(VLOOKUP($A19,数出表_Excel!$A$6:$T$150,COLUMN()/2+1,FALSE)=0,"",VLOOKUP($A19,数出表_Excel!$A$6:$T$150,COLUMN()/2+1,FALSE))),"")</f>
        <v/>
      </c>
      <c r="U19" s="80"/>
      <c r="V19" s="84" t="str">
        <f ca="1">IFERROR(VALUE(IF(VLOOKUP($A19,数出表_Excel!$A$6:$T$150,COLUMN()/2+1,FALSE)=0,"",VLOOKUP($A19,数出表_Excel!$A$6:$T$150,COLUMN()/2+1,FALSE))),"")</f>
        <v/>
      </c>
      <c r="W19" s="80"/>
      <c r="X19" s="84" t="str">
        <f ca="1">IFERROR(VALUE(IF(VLOOKUP($A19,数出表_Excel!$A$6:$T$150,COLUMN()/2+1,FALSE)=0,"",VLOOKUP($A19,数出表_Excel!$A$6:$T$150,COLUMN()/2+1,FALSE))),"")</f>
        <v/>
      </c>
      <c r="Y19" s="80"/>
      <c r="Z19" s="84" t="str">
        <f ca="1">IFERROR(VALUE(IF(VLOOKUP($A19,数出表_Excel!$A$6:$T$150,COLUMN()/2+1,FALSE)=0,"",VLOOKUP($A19,数出表_Excel!$A$6:$T$150,COLUMN()/2+1,FALSE))),"")</f>
        <v/>
      </c>
      <c r="AA19" s="118"/>
      <c r="AB19" s="85" t="str">
        <f ca="1">IFERROR(VALUE(IF(VLOOKUP($A19,数出表_Excel!$A$6:$T$150,COLUMN()/2+1,FALSE)=0,"",VLOOKUP($A19,数出表_Excel!$A$6:$T$150,COLUMN()/2+1,FALSE))),"")</f>
        <v/>
      </c>
      <c r="AC19" s="80"/>
      <c r="AD19" s="84" t="str">
        <f ca="1">IFERROR(VALUE(IF(VLOOKUP($A19,数出表_Excel!$A$6:$T$150,COLUMN()/2+1,FALSE)=0,"",VLOOKUP($A19,数出表_Excel!$A$6:$T$150,COLUMN()/2+1,FALSE))),"")</f>
        <v/>
      </c>
      <c r="AE19" s="80"/>
      <c r="AF19" s="84" t="str">
        <f ca="1">IFERROR(VALUE(IF(VLOOKUP($A19,数出表_Excel!$A$6:$T$150,COLUMN()/2+1,FALSE)=0,"",VLOOKUP($A19,数出表_Excel!$A$6:$T$150,COLUMN()/2+1,FALSE))),"")</f>
        <v/>
      </c>
      <c r="AG19" s="80"/>
      <c r="AH19" s="84" t="str">
        <f ca="1">IFERROR(VALUE(IF(VLOOKUP($A19,数出表_Excel!$A$6:$T$150,COLUMN()/2+1,FALSE)=0,"",VLOOKUP($A19,数出表_Excel!$A$6:$T$150,COLUMN()/2+1,FALSE))),"")</f>
        <v/>
      </c>
      <c r="AI19" s="118"/>
      <c r="AJ19" s="85" t="str">
        <f ca="1">IFERROR(VALUE(IF(VLOOKUP($A19,数出表_Excel!$A$6:$T$150,COLUMN()/2+1,FALSE)=0,"",VLOOKUP($A19,数出表_Excel!$A$6:$T$150,COLUMN()/2+1,FALSE))),"")</f>
        <v/>
      </c>
      <c r="AK19" s="80"/>
      <c r="AL19" s="86" t="e">
        <f ca="1">IF(A19&lt;&gt;"",
IF(VLOOKUP($A19,数出表_Excel!$A$6:$T$150,COLUMN()/2+1,FALSE)=0,"",VLOOKUP($A19,数出表_Excel!$A$6:$T$150,COLUMN()/2+1,FALSE)),"")</f>
        <v>#N/A</v>
      </c>
      <c r="AM19" s="166" t="e">
        <f ca="1">数出表_Excel!V19</f>
        <v>#N/A</v>
      </c>
      <c r="AN19" s="167" t="e">
        <f ca="1">数出表_Excel!W19</f>
        <v>#N/A</v>
      </c>
    </row>
    <row r="20" spans="1:40" ht="16.2" customHeight="1">
      <c r="A20" s="126" t="e">
        <f t="array" aca="1" ref="A20" ca="1">IF(OR(COUNTIF(A18,"*10002*"),COUNTIF(A18,"")),"",INDEX(貼り付け用!$A1:$A200,MATCH(A18,貼り付け用!$A1:$A200,0)+2,0))</f>
        <v>#N/A</v>
      </c>
      <c r="B20" s="114" t="str">
        <f ca="1">IFERROR(VALUE(IF(VLOOKUP($A20,数出表_Excel!$A$6:$T$150,COLUMN()/2+1,FALSE)=0,"",VLOOKUP($A20,数出表_Excel!$A$6:$T$150,COLUMN()/2+1,FALSE))),"")</f>
        <v/>
      </c>
      <c r="C20" s="79"/>
      <c r="D20" s="114" t="str">
        <f ca="1">IFERROR(VALUE(IF(VLOOKUP($A20,数出表_Excel!$A$6:$T$150,COLUMN()/2+1,FALSE)=0,"",VLOOKUP($A20,数出表_Excel!$A$6:$T$150,COLUMN()/2+1,FALSE))),"")</f>
        <v/>
      </c>
      <c r="E20" s="79"/>
      <c r="F20" s="116" t="str">
        <f ca="1">IFERROR(VALUE(IF(VLOOKUP($A20,数出表_Excel!$A$6:$T$150,COLUMN()/2+1,FALSE)=0,"",VLOOKUP($A20,数出表_Excel!$A$6:$T$150,COLUMN()/2+1,FALSE))),"")</f>
        <v/>
      </c>
      <c r="G20" s="79"/>
      <c r="H20" s="114" t="str">
        <f ca="1">IFERROR(VALUE(IF(VLOOKUP($A20,数出表_Excel!$A$6:$T$150,COLUMN()/2+1,FALSE)=0,"",VLOOKUP($A20,数出表_Excel!$A$6:$T$150,COLUMN()/2+1,FALSE))),"")</f>
        <v/>
      </c>
      <c r="I20" s="79"/>
      <c r="J20" s="114" t="str">
        <f ca="1">IFERROR(VALUE(IF(VLOOKUP($A20,数出表_Excel!$A$6:$T$150,COLUMN()/2+1,FALSE)=0,"",VLOOKUP($A20,数出表_Excel!$A$6:$T$150,COLUMN()/2+1,FALSE))),"")</f>
        <v/>
      </c>
      <c r="K20" s="79"/>
      <c r="L20" s="116" t="str">
        <f ca="1">IFERROR(VALUE(IF(VLOOKUP($A20,数出表_Excel!$A$6:$T$150,COLUMN()/2+1,FALSE)=0,"",VLOOKUP($A20,数出表_Excel!$A$6:$T$150,COLUMN()/2+1,FALSE))),"")</f>
        <v/>
      </c>
      <c r="M20" s="79"/>
      <c r="N20" s="114" t="str">
        <f ca="1">IFERROR(VALUE(IF(VLOOKUP($A20,数出表_Excel!$A$6:$T$150,COLUMN()/2+1,FALSE)=0,"",VLOOKUP($A20,数出表_Excel!$A$6:$T$150,COLUMN()/2+1,FALSE))),"")</f>
        <v/>
      </c>
      <c r="O20" s="79"/>
      <c r="P20" s="114" t="str">
        <f ca="1">IFERROR(VALUE(IF(VLOOKUP($A20,数出表_Excel!$A$6:$T$150,COLUMN()/2+1,FALSE)=0,"",VLOOKUP($A20,数出表_Excel!$A$6:$T$150,COLUMN()/2+1,FALSE))),"")</f>
        <v/>
      </c>
      <c r="Q20" s="79"/>
      <c r="R20" s="114" t="str">
        <f ca="1">IFERROR(VALUE(IF(VLOOKUP($A20,数出表_Excel!$A$6:$T$150,COLUMN()/2+1,FALSE)=0,"",VLOOKUP($A20,数出表_Excel!$A$6:$T$150,COLUMN()/2+1,FALSE))),"")</f>
        <v/>
      </c>
      <c r="S20" s="79"/>
      <c r="T20" s="114" t="str">
        <f ca="1">IFERROR(VALUE(IF(VLOOKUP($A20,数出表_Excel!$A$6:$T$150,COLUMN()/2+1,FALSE)=0,"",VLOOKUP($A20,数出表_Excel!$A$6:$T$150,COLUMN()/2+1,FALSE))),"")</f>
        <v/>
      </c>
      <c r="U20" s="79"/>
      <c r="V20" s="116" t="str">
        <f ca="1">IFERROR(VALUE(IF(VLOOKUP($A20,数出表_Excel!$A$6:$T$150,COLUMN()/2+1,FALSE)=0,"",VLOOKUP($A20,数出表_Excel!$A$6:$T$150,COLUMN()/2+1,FALSE))),"")</f>
        <v/>
      </c>
      <c r="W20" s="79"/>
      <c r="X20" s="116" t="str">
        <f ca="1">IFERROR(VALUE(IF(VLOOKUP($A20,数出表_Excel!$A$6:$T$150,COLUMN()/2+1,FALSE)=0,"",VLOOKUP($A20,数出表_Excel!$A$6:$T$150,COLUMN()/2+1,FALSE))),"")</f>
        <v/>
      </c>
      <c r="Y20" s="79"/>
      <c r="Z20" s="116" t="str">
        <f ca="1">IFERROR(VALUE(IF(VLOOKUP($A20,数出表_Excel!$A$6:$T$150,COLUMN()/2+1,FALSE)=0,"",VLOOKUP($A20,数出表_Excel!$A$6:$T$150,COLUMN()/2+1,FALSE))),"")</f>
        <v/>
      </c>
      <c r="AA20" s="117"/>
      <c r="AB20" s="115" t="str">
        <f ca="1">IFERROR(VALUE(IF(VLOOKUP($A20,数出表_Excel!$A$6:$T$150,COLUMN()/2+1,FALSE)=0,"",VLOOKUP($A20,数出表_Excel!$A$6:$T$150,COLUMN()/2+1,FALSE))),"")</f>
        <v/>
      </c>
      <c r="AC20" s="79"/>
      <c r="AD20" s="116" t="str">
        <f ca="1">IFERROR(VALUE(IF(VLOOKUP($A20,数出表_Excel!$A$6:$T$150,COLUMN()/2+1,FALSE)=0,"",VLOOKUP($A20,数出表_Excel!$A$6:$T$150,COLUMN()/2+1,FALSE))),"")</f>
        <v/>
      </c>
      <c r="AE20" s="79"/>
      <c r="AF20" s="116" t="str">
        <f ca="1">IFERROR(VALUE(IF(VLOOKUP($A20,数出表_Excel!$A$6:$T$150,COLUMN()/2+1,FALSE)=0,"",VLOOKUP($A20,数出表_Excel!$A$6:$T$150,COLUMN()/2+1,FALSE))),"")</f>
        <v/>
      </c>
      <c r="AG20" s="79"/>
      <c r="AH20" s="116" t="str">
        <f ca="1">IFERROR(VALUE(IF(VLOOKUP($A20,数出表_Excel!$A$6:$T$150,COLUMN()/2+1,FALSE)=0,"",VLOOKUP($A20,数出表_Excel!$A$6:$T$150,COLUMN()/2+1,FALSE))),"")</f>
        <v/>
      </c>
      <c r="AI20" s="117"/>
      <c r="AJ20" s="115" t="str">
        <f ca="1">IFERROR(VALUE(IF(VLOOKUP($A20,数出表_Excel!$A$6:$T$150,COLUMN()/2+1,FALSE)=0,"",VLOOKUP($A20,数出表_Excel!$A$6:$T$150,COLUMN()/2+1,FALSE))),"")</f>
        <v/>
      </c>
      <c r="AK20" s="79"/>
      <c r="AL20" s="83" t="e">
        <f ca="1">IF(A20&lt;&gt;"",
IF(VLOOKUP($A20,数出表_Excel!$A$6:$T$150,COLUMN()/2+1,FALSE)=0,"",VLOOKUP($A20,数出表_Excel!$A$6:$T$150,COLUMN()/2+1,FALSE)),"")</f>
        <v>#N/A</v>
      </c>
      <c r="AM20" s="164" t="e">
        <f ca="1">数出表_Excel!V20</f>
        <v>#N/A</v>
      </c>
      <c r="AN20" s="165" t="e">
        <f ca="1">数出表_Excel!W20</f>
        <v>#N/A</v>
      </c>
    </row>
    <row r="21" spans="1:40" ht="16.2" customHeight="1">
      <c r="A21" s="127" t="e">
        <f t="array" aca="1" ref="A21" ca="1">IF(OR(COUNTIF(A19,"*1000*"),COUNTIF(A19,"")),"",INDEX(貼り付け用!$A1:$A200,MATCH(A19,貼り付け用!$A1:$A200,0)+2,0))</f>
        <v>#N/A</v>
      </c>
      <c r="B21" s="80" t="str">
        <f ca="1">IFERROR(VALUE(IF(VLOOKUP($A21,数出表_Excel!$A$6:$T$150,COLUMN()/2+1,FALSE)=0,"",VLOOKUP($A21,数出表_Excel!$A$6:$T$150,COLUMN()/2+1,FALSE))),"")</f>
        <v/>
      </c>
      <c r="C21" s="80"/>
      <c r="D21" s="80" t="str">
        <f ca="1">IFERROR(VALUE(IF(VLOOKUP($A21,数出表_Excel!$A$6:$T$150,COLUMN()/2+1,FALSE)=0,"",VLOOKUP($A21,数出表_Excel!$A$6:$T$150,COLUMN()/2+1,FALSE))),"")</f>
        <v/>
      </c>
      <c r="E21" s="80"/>
      <c r="F21" s="84" t="str">
        <f ca="1">IFERROR(VALUE(IF(VLOOKUP($A21,数出表_Excel!$A$6:$T$150,COLUMN()/2+1,FALSE)=0,"",VLOOKUP($A21,数出表_Excel!$A$6:$T$150,COLUMN()/2+1,FALSE))),"")</f>
        <v/>
      </c>
      <c r="G21" s="80"/>
      <c r="H21" s="80" t="str">
        <f ca="1">IFERROR(VALUE(IF(VLOOKUP($A21,数出表_Excel!$A$6:$T$150,COLUMN()/2+1,FALSE)=0,"",VLOOKUP($A21,数出表_Excel!$A$6:$T$150,COLUMN()/2+1,FALSE))),"")</f>
        <v/>
      </c>
      <c r="I21" s="80"/>
      <c r="J21" s="80" t="str">
        <f ca="1">IFERROR(VALUE(IF(VLOOKUP($A21,数出表_Excel!$A$6:$T$150,COLUMN()/2+1,FALSE)=0,"",VLOOKUP($A21,数出表_Excel!$A$6:$T$150,COLUMN()/2+1,FALSE))),"")</f>
        <v/>
      </c>
      <c r="K21" s="80"/>
      <c r="L21" s="84" t="str">
        <f ca="1">IFERROR(VALUE(IF(VLOOKUP($A21,数出表_Excel!$A$6:$T$150,COLUMN()/2+1,FALSE)=0,"",VLOOKUP($A21,数出表_Excel!$A$6:$T$150,COLUMN()/2+1,FALSE))),"")</f>
        <v/>
      </c>
      <c r="M21" s="80"/>
      <c r="N21" s="80" t="str">
        <f ca="1">IFERROR(VALUE(IF(VLOOKUP($A21,数出表_Excel!$A$6:$T$150,COLUMN()/2+1,FALSE)=0,"",VLOOKUP($A21,数出表_Excel!$A$6:$T$150,COLUMN()/2+1,FALSE))),"")</f>
        <v/>
      </c>
      <c r="O21" s="80"/>
      <c r="P21" s="80" t="str">
        <f ca="1">IFERROR(VALUE(IF(VLOOKUP($A21,数出表_Excel!$A$6:$T$150,COLUMN()/2+1,FALSE)=0,"",VLOOKUP($A21,数出表_Excel!$A$6:$T$150,COLUMN()/2+1,FALSE))),"")</f>
        <v/>
      </c>
      <c r="Q21" s="80"/>
      <c r="R21" s="80" t="str">
        <f ca="1">IFERROR(VALUE(IF(VLOOKUP($A21,数出表_Excel!$A$6:$T$150,COLUMN()/2+1,FALSE)=0,"",VLOOKUP($A21,数出表_Excel!$A$6:$T$150,COLUMN()/2+1,FALSE))),"")</f>
        <v/>
      </c>
      <c r="S21" s="80"/>
      <c r="T21" s="80" t="str">
        <f ca="1">IFERROR(VALUE(IF(VLOOKUP($A21,数出表_Excel!$A$6:$T$150,COLUMN()/2+1,FALSE)=0,"",VLOOKUP($A21,数出表_Excel!$A$6:$T$150,COLUMN()/2+1,FALSE))),"")</f>
        <v/>
      </c>
      <c r="U21" s="80"/>
      <c r="V21" s="84" t="str">
        <f ca="1">IFERROR(VALUE(IF(VLOOKUP($A21,数出表_Excel!$A$6:$T$150,COLUMN()/2+1,FALSE)=0,"",VLOOKUP($A21,数出表_Excel!$A$6:$T$150,COLUMN()/2+1,FALSE))),"")</f>
        <v/>
      </c>
      <c r="W21" s="80"/>
      <c r="X21" s="84" t="str">
        <f ca="1">IFERROR(VALUE(IF(VLOOKUP($A21,数出表_Excel!$A$6:$T$150,COLUMN()/2+1,FALSE)=0,"",VLOOKUP($A21,数出表_Excel!$A$6:$T$150,COLUMN()/2+1,FALSE))),"")</f>
        <v/>
      </c>
      <c r="Y21" s="80"/>
      <c r="Z21" s="84" t="str">
        <f ca="1">IFERROR(VALUE(IF(VLOOKUP($A21,数出表_Excel!$A$6:$T$150,COLUMN()/2+1,FALSE)=0,"",VLOOKUP($A21,数出表_Excel!$A$6:$T$150,COLUMN()/2+1,FALSE))),"")</f>
        <v/>
      </c>
      <c r="AA21" s="118"/>
      <c r="AB21" s="85" t="str">
        <f ca="1">IFERROR(VALUE(IF(VLOOKUP($A21,数出表_Excel!$A$6:$T$150,COLUMN()/2+1,FALSE)=0,"",VLOOKUP($A21,数出表_Excel!$A$6:$T$150,COLUMN()/2+1,FALSE))),"")</f>
        <v/>
      </c>
      <c r="AC21" s="80"/>
      <c r="AD21" s="84" t="str">
        <f ca="1">IFERROR(VALUE(IF(VLOOKUP($A21,数出表_Excel!$A$6:$T$150,COLUMN()/2+1,FALSE)=0,"",VLOOKUP($A21,数出表_Excel!$A$6:$T$150,COLUMN()/2+1,FALSE))),"")</f>
        <v/>
      </c>
      <c r="AE21" s="80"/>
      <c r="AF21" s="84" t="str">
        <f ca="1">IFERROR(VALUE(IF(VLOOKUP($A21,数出表_Excel!$A$6:$T$150,COLUMN()/2+1,FALSE)=0,"",VLOOKUP($A21,数出表_Excel!$A$6:$T$150,COLUMN()/2+1,FALSE))),"")</f>
        <v/>
      </c>
      <c r="AG21" s="80"/>
      <c r="AH21" s="84" t="str">
        <f ca="1">IFERROR(VALUE(IF(VLOOKUP($A21,数出表_Excel!$A$6:$T$150,COLUMN()/2+1,FALSE)=0,"",VLOOKUP($A21,数出表_Excel!$A$6:$T$150,COLUMN()/2+1,FALSE))),"")</f>
        <v/>
      </c>
      <c r="AI21" s="118"/>
      <c r="AJ21" s="85" t="str">
        <f ca="1">IFERROR(VALUE(IF(VLOOKUP($A21,数出表_Excel!$A$6:$T$150,COLUMN()/2+1,FALSE)=0,"",VLOOKUP($A21,数出表_Excel!$A$6:$T$150,COLUMN()/2+1,FALSE))),"")</f>
        <v/>
      </c>
      <c r="AK21" s="80"/>
      <c r="AL21" s="86" t="e">
        <f ca="1">IF(A21&lt;&gt;"",
IF(VLOOKUP($A21,数出表_Excel!$A$6:$T$150,COLUMN()/2+1,FALSE)=0,"",VLOOKUP($A21,数出表_Excel!$A$6:$T$150,COLUMN()/2+1,FALSE)),"")</f>
        <v>#N/A</v>
      </c>
      <c r="AM21" s="166" t="e">
        <f ca="1">数出表_Excel!V21</f>
        <v>#N/A</v>
      </c>
      <c r="AN21" s="167" t="e">
        <f ca="1">数出表_Excel!W21</f>
        <v>#N/A</v>
      </c>
    </row>
    <row r="22" spans="1:40" ht="16.2" customHeight="1">
      <c r="A22" s="126" t="e">
        <f t="array" aca="1" ref="A22" ca="1">IF(OR(COUNTIF(A20,"*10002*"),COUNTIF(A20,"")),"",INDEX(貼り付け用!$A1:$A200,MATCH(A20,貼り付け用!$A1:$A200,0)+2,0))</f>
        <v>#N/A</v>
      </c>
      <c r="B22" s="114" t="str">
        <f ca="1">IFERROR(VALUE(IF(VLOOKUP($A22,数出表_Excel!$A$6:$T$150,COLUMN()/2+1,FALSE)=0,"",VLOOKUP($A22,数出表_Excel!$A$6:$T$150,COLUMN()/2+1,FALSE))),"")</f>
        <v/>
      </c>
      <c r="C22" s="79"/>
      <c r="D22" s="114" t="str">
        <f ca="1">IFERROR(VALUE(IF(VLOOKUP($A22,数出表_Excel!$A$6:$T$150,COLUMN()/2+1,FALSE)=0,"",VLOOKUP($A22,数出表_Excel!$A$6:$T$150,COLUMN()/2+1,FALSE))),"")</f>
        <v/>
      </c>
      <c r="E22" s="79"/>
      <c r="F22" s="116" t="str">
        <f ca="1">IFERROR(VALUE(IF(VLOOKUP($A22,数出表_Excel!$A$6:$T$150,COLUMN()/2+1,FALSE)=0,"",VLOOKUP($A22,数出表_Excel!$A$6:$T$150,COLUMN()/2+1,FALSE))),"")</f>
        <v/>
      </c>
      <c r="G22" s="79"/>
      <c r="H22" s="114" t="str">
        <f ca="1">IFERROR(VALUE(IF(VLOOKUP($A22,数出表_Excel!$A$6:$T$150,COLUMN()/2+1,FALSE)=0,"",VLOOKUP($A22,数出表_Excel!$A$6:$T$150,COLUMN()/2+1,FALSE))),"")</f>
        <v/>
      </c>
      <c r="I22" s="79"/>
      <c r="J22" s="114" t="str">
        <f ca="1">IFERROR(VALUE(IF(VLOOKUP($A22,数出表_Excel!$A$6:$T$150,COLUMN()/2+1,FALSE)=0,"",VLOOKUP($A22,数出表_Excel!$A$6:$T$150,COLUMN()/2+1,FALSE))),"")</f>
        <v/>
      </c>
      <c r="K22" s="79"/>
      <c r="L22" s="116" t="str">
        <f ca="1">IFERROR(VALUE(IF(VLOOKUP($A22,数出表_Excel!$A$6:$T$150,COLUMN()/2+1,FALSE)=0,"",VLOOKUP($A22,数出表_Excel!$A$6:$T$150,COLUMN()/2+1,FALSE))),"")</f>
        <v/>
      </c>
      <c r="M22" s="79"/>
      <c r="N22" s="114" t="str">
        <f ca="1">IFERROR(VALUE(IF(VLOOKUP($A22,数出表_Excel!$A$6:$T$150,COLUMN()/2+1,FALSE)=0,"",VLOOKUP($A22,数出表_Excel!$A$6:$T$150,COLUMN()/2+1,FALSE))),"")</f>
        <v/>
      </c>
      <c r="O22" s="79"/>
      <c r="P22" s="114" t="str">
        <f ca="1">IFERROR(VALUE(IF(VLOOKUP($A22,数出表_Excel!$A$6:$T$150,COLUMN()/2+1,FALSE)=0,"",VLOOKUP($A22,数出表_Excel!$A$6:$T$150,COLUMN()/2+1,FALSE))),"")</f>
        <v/>
      </c>
      <c r="Q22" s="79"/>
      <c r="R22" s="114" t="str">
        <f ca="1">IFERROR(VALUE(IF(VLOOKUP($A22,数出表_Excel!$A$6:$T$150,COLUMN()/2+1,FALSE)=0,"",VLOOKUP($A22,数出表_Excel!$A$6:$T$150,COLUMN()/2+1,FALSE))),"")</f>
        <v/>
      </c>
      <c r="S22" s="79"/>
      <c r="T22" s="114" t="str">
        <f ca="1">IFERROR(VALUE(IF(VLOOKUP($A22,数出表_Excel!$A$6:$T$150,COLUMN()/2+1,FALSE)=0,"",VLOOKUP($A22,数出表_Excel!$A$6:$T$150,COLUMN()/2+1,FALSE))),"")</f>
        <v/>
      </c>
      <c r="U22" s="79"/>
      <c r="V22" s="116" t="str">
        <f ca="1">IFERROR(VALUE(IF(VLOOKUP($A22,数出表_Excel!$A$6:$T$150,COLUMN()/2+1,FALSE)=0,"",VLOOKUP($A22,数出表_Excel!$A$6:$T$150,COLUMN()/2+1,FALSE))),"")</f>
        <v/>
      </c>
      <c r="W22" s="79"/>
      <c r="X22" s="116" t="str">
        <f ca="1">IFERROR(VALUE(IF(VLOOKUP($A22,数出表_Excel!$A$6:$T$150,COLUMN()/2+1,FALSE)=0,"",VLOOKUP($A22,数出表_Excel!$A$6:$T$150,COLUMN()/2+1,FALSE))),"")</f>
        <v/>
      </c>
      <c r="Y22" s="79"/>
      <c r="Z22" s="116" t="str">
        <f ca="1">IFERROR(VALUE(IF(VLOOKUP($A22,数出表_Excel!$A$6:$T$150,COLUMN()/2+1,FALSE)=0,"",VLOOKUP($A22,数出表_Excel!$A$6:$T$150,COLUMN()/2+1,FALSE))),"")</f>
        <v/>
      </c>
      <c r="AA22" s="117"/>
      <c r="AB22" s="115" t="str">
        <f ca="1">IFERROR(VALUE(IF(VLOOKUP($A22,数出表_Excel!$A$6:$T$150,COLUMN()/2+1,FALSE)=0,"",VLOOKUP($A22,数出表_Excel!$A$6:$T$150,COLUMN()/2+1,FALSE))),"")</f>
        <v/>
      </c>
      <c r="AC22" s="79"/>
      <c r="AD22" s="116" t="str">
        <f ca="1">IFERROR(VALUE(IF(VLOOKUP($A22,数出表_Excel!$A$6:$T$150,COLUMN()/2+1,FALSE)=0,"",VLOOKUP($A22,数出表_Excel!$A$6:$T$150,COLUMN()/2+1,FALSE))),"")</f>
        <v/>
      </c>
      <c r="AE22" s="79"/>
      <c r="AF22" s="116" t="str">
        <f ca="1">IFERROR(VALUE(IF(VLOOKUP($A22,数出表_Excel!$A$6:$T$150,COLUMN()/2+1,FALSE)=0,"",VLOOKUP($A22,数出表_Excel!$A$6:$T$150,COLUMN()/2+1,FALSE))),"")</f>
        <v/>
      </c>
      <c r="AG22" s="79"/>
      <c r="AH22" s="116" t="str">
        <f ca="1">IFERROR(VALUE(IF(VLOOKUP($A22,数出表_Excel!$A$6:$T$150,COLUMN()/2+1,FALSE)=0,"",VLOOKUP($A22,数出表_Excel!$A$6:$T$150,COLUMN()/2+1,FALSE))),"")</f>
        <v/>
      </c>
      <c r="AI22" s="117"/>
      <c r="AJ22" s="115" t="str">
        <f ca="1">IFERROR(VALUE(IF(VLOOKUP($A22,数出表_Excel!$A$6:$T$150,COLUMN()/2+1,FALSE)=0,"",VLOOKUP($A22,数出表_Excel!$A$6:$T$150,COLUMN()/2+1,FALSE))),"")</f>
        <v/>
      </c>
      <c r="AK22" s="79"/>
      <c r="AL22" s="83" t="e">
        <f ca="1">IF(A22&lt;&gt;"",
IF(VLOOKUP($A22,数出表_Excel!$A$6:$T$150,COLUMN()/2+1,FALSE)=0,"",VLOOKUP($A22,数出表_Excel!$A$6:$T$150,COLUMN()/2+1,FALSE)),"")</f>
        <v>#N/A</v>
      </c>
      <c r="AM22" s="164" t="e">
        <f ca="1">数出表_Excel!V22</f>
        <v>#N/A</v>
      </c>
      <c r="AN22" s="165" t="e">
        <f ca="1">数出表_Excel!W22</f>
        <v>#N/A</v>
      </c>
    </row>
    <row r="23" spans="1:40" ht="16.2" customHeight="1">
      <c r="A23" s="127" t="e">
        <f t="array" aca="1" ref="A23" ca="1">IF(OR(COUNTIF(A21,"*1000*"),COUNTIF(A21,"")),"",INDEX(貼り付け用!$A1:$A200,MATCH(A21,貼り付け用!$A1:$A200,0)+2,0))</f>
        <v>#N/A</v>
      </c>
      <c r="B23" s="80" t="str">
        <f ca="1">IFERROR(VALUE(IF(VLOOKUP($A23,数出表_Excel!$A$6:$T$150,COLUMN()/2+1,FALSE)=0,"",VLOOKUP($A23,数出表_Excel!$A$6:$T$150,COLUMN()/2+1,FALSE))),"")</f>
        <v/>
      </c>
      <c r="C23" s="80"/>
      <c r="D23" s="80" t="str">
        <f ca="1">IFERROR(VALUE(IF(VLOOKUP($A23,数出表_Excel!$A$6:$T$150,COLUMN()/2+1,FALSE)=0,"",VLOOKUP($A23,数出表_Excel!$A$6:$T$150,COLUMN()/2+1,FALSE))),"")</f>
        <v/>
      </c>
      <c r="E23" s="80"/>
      <c r="F23" s="84" t="str">
        <f ca="1">IFERROR(VALUE(IF(VLOOKUP($A23,数出表_Excel!$A$6:$T$150,COLUMN()/2+1,FALSE)=0,"",VLOOKUP($A23,数出表_Excel!$A$6:$T$150,COLUMN()/2+1,FALSE))),"")</f>
        <v/>
      </c>
      <c r="G23" s="80"/>
      <c r="H23" s="80" t="str">
        <f ca="1">IFERROR(VALUE(IF(VLOOKUP($A23,数出表_Excel!$A$6:$T$150,COLUMN()/2+1,FALSE)=0,"",VLOOKUP($A23,数出表_Excel!$A$6:$T$150,COLUMN()/2+1,FALSE))),"")</f>
        <v/>
      </c>
      <c r="I23" s="80"/>
      <c r="J23" s="80" t="str">
        <f ca="1">IFERROR(VALUE(IF(VLOOKUP($A23,数出表_Excel!$A$6:$T$150,COLUMN()/2+1,FALSE)=0,"",VLOOKUP($A23,数出表_Excel!$A$6:$T$150,COLUMN()/2+1,FALSE))),"")</f>
        <v/>
      </c>
      <c r="K23" s="80"/>
      <c r="L23" s="84" t="str">
        <f ca="1">IFERROR(VALUE(IF(VLOOKUP($A23,数出表_Excel!$A$6:$T$150,COLUMN()/2+1,FALSE)=0,"",VLOOKUP($A23,数出表_Excel!$A$6:$T$150,COLUMN()/2+1,FALSE))),"")</f>
        <v/>
      </c>
      <c r="M23" s="80"/>
      <c r="N23" s="80" t="str">
        <f ca="1">IFERROR(VALUE(IF(VLOOKUP($A23,数出表_Excel!$A$6:$T$150,COLUMN()/2+1,FALSE)=0,"",VLOOKUP($A23,数出表_Excel!$A$6:$T$150,COLUMN()/2+1,FALSE))),"")</f>
        <v/>
      </c>
      <c r="O23" s="80"/>
      <c r="P23" s="80" t="str">
        <f ca="1">IFERROR(VALUE(IF(VLOOKUP($A23,数出表_Excel!$A$6:$T$150,COLUMN()/2+1,FALSE)=0,"",VLOOKUP($A23,数出表_Excel!$A$6:$T$150,COLUMN()/2+1,FALSE))),"")</f>
        <v/>
      </c>
      <c r="Q23" s="80"/>
      <c r="R23" s="80" t="str">
        <f ca="1">IFERROR(VALUE(IF(VLOOKUP($A23,数出表_Excel!$A$6:$T$150,COLUMN()/2+1,FALSE)=0,"",VLOOKUP($A23,数出表_Excel!$A$6:$T$150,COLUMN()/2+1,FALSE))),"")</f>
        <v/>
      </c>
      <c r="S23" s="80"/>
      <c r="T23" s="80" t="str">
        <f ca="1">IFERROR(VALUE(IF(VLOOKUP($A23,数出表_Excel!$A$6:$T$150,COLUMN()/2+1,FALSE)=0,"",VLOOKUP($A23,数出表_Excel!$A$6:$T$150,COLUMN()/2+1,FALSE))),"")</f>
        <v/>
      </c>
      <c r="U23" s="80"/>
      <c r="V23" s="84" t="str">
        <f ca="1">IFERROR(VALUE(IF(VLOOKUP($A23,数出表_Excel!$A$6:$T$150,COLUMN()/2+1,FALSE)=0,"",VLOOKUP($A23,数出表_Excel!$A$6:$T$150,COLUMN()/2+1,FALSE))),"")</f>
        <v/>
      </c>
      <c r="W23" s="80"/>
      <c r="X23" s="84" t="str">
        <f ca="1">IFERROR(VALUE(IF(VLOOKUP($A23,数出表_Excel!$A$6:$T$150,COLUMN()/2+1,FALSE)=0,"",VLOOKUP($A23,数出表_Excel!$A$6:$T$150,COLUMN()/2+1,FALSE))),"")</f>
        <v/>
      </c>
      <c r="Y23" s="80"/>
      <c r="Z23" s="84" t="str">
        <f ca="1">IFERROR(VALUE(IF(VLOOKUP($A23,数出表_Excel!$A$6:$T$150,COLUMN()/2+1,FALSE)=0,"",VLOOKUP($A23,数出表_Excel!$A$6:$T$150,COLUMN()/2+1,FALSE))),"")</f>
        <v/>
      </c>
      <c r="AA23" s="118"/>
      <c r="AB23" s="85" t="str">
        <f ca="1">IFERROR(VALUE(IF(VLOOKUP($A23,数出表_Excel!$A$6:$T$150,COLUMN()/2+1,FALSE)=0,"",VLOOKUP($A23,数出表_Excel!$A$6:$T$150,COLUMN()/2+1,FALSE))),"")</f>
        <v/>
      </c>
      <c r="AC23" s="80"/>
      <c r="AD23" s="84" t="str">
        <f ca="1">IFERROR(VALUE(IF(VLOOKUP($A23,数出表_Excel!$A$6:$T$150,COLUMN()/2+1,FALSE)=0,"",VLOOKUP($A23,数出表_Excel!$A$6:$T$150,COLUMN()/2+1,FALSE))),"")</f>
        <v/>
      </c>
      <c r="AE23" s="80"/>
      <c r="AF23" s="84" t="str">
        <f ca="1">IFERROR(VALUE(IF(VLOOKUP($A23,数出表_Excel!$A$6:$T$150,COLUMN()/2+1,FALSE)=0,"",VLOOKUP($A23,数出表_Excel!$A$6:$T$150,COLUMN()/2+1,FALSE))),"")</f>
        <v/>
      </c>
      <c r="AG23" s="80"/>
      <c r="AH23" s="84" t="str">
        <f ca="1">IFERROR(VALUE(IF(VLOOKUP($A23,数出表_Excel!$A$6:$T$150,COLUMN()/2+1,FALSE)=0,"",VLOOKUP($A23,数出表_Excel!$A$6:$T$150,COLUMN()/2+1,FALSE))),"")</f>
        <v/>
      </c>
      <c r="AI23" s="118"/>
      <c r="AJ23" s="85" t="str">
        <f ca="1">IFERROR(VALUE(IF(VLOOKUP($A23,数出表_Excel!$A$6:$T$150,COLUMN()/2+1,FALSE)=0,"",VLOOKUP($A23,数出表_Excel!$A$6:$T$150,COLUMN()/2+1,FALSE))),"")</f>
        <v/>
      </c>
      <c r="AK23" s="80"/>
      <c r="AL23" s="86" t="e">
        <f ca="1">IF(A23&lt;&gt;"",
IF(VLOOKUP($A23,数出表_Excel!$A$6:$T$150,COLUMN()/2+1,FALSE)=0,"",VLOOKUP($A23,数出表_Excel!$A$6:$T$150,COLUMN()/2+1,FALSE)),"")</f>
        <v>#N/A</v>
      </c>
      <c r="AM23" s="166" t="e">
        <f ca="1">数出表_Excel!V23</f>
        <v>#N/A</v>
      </c>
      <c r="AN23" s="167" t="e">
        <f ca="1">数出表_Excel!W23</f>
        <v>#N/A</v>
      </c>
    </row>
    <row r="24" spans="1:40" ht="16.2" customHeight="1">
      <c r="A24" s="126" t="e">
        <f t="array" aca="1" ref="A24" ca="1">IF(OR(COUNTIF(A22,"*10002*"),COUNTIF(A22,"")),"",INDEX(貼り付け用!$A1:$A200,MATCH(A22,貼り付け用!$A1:$A200,0)+2,0))</f>
        <v>#N/A</v>
      </c>
      <c r="B24" s="114" t="str">
        <f ca="1">IFERROR(VALUE(IF(VLOOKUP($A24,数出表_Excel!$A$6:$T$150,COLUMN()/2+1,FALSE)=0,"",VLOOKUP($A24,数出表_Excel!$A$6:$T$150,COLUMN()/2+1,FALSE))),"")</f>
        <v/>
      </c>
      <c r="C24" s="79"/>
      <c r="D24" s="114" t="str">
        <f ca="1">IFERROR(VALUE(IF(VLOOKUP($A24,数出表_Excel!$A$6:$T$150,COLUMN()/2+1,FALSE)=0,"",VLOOKUP($A24,数出表_Excel!$A$6:$T$150,COLUMN()/2+1,FALSE))),"")</f>
        <v/>
      </c>
      <c r="E24" s="79"/>
      <c r="F24" s="116" t="str">
        <f ca="1">IFERROR(VALUE(IF(VLOOKUP($A24,数出表_Excel!$A$6:$T$150,COLUMN()/2+1,FALSE)=0,"",VLOOKUP($A24,数出表_Excel!$A$6:$T$150,COLUMN()/2+1,FALSE))),"")</f>
        <v/>
      </c>
      <c r="G24" s="79"/>
      <c r="H24" s="114" t="str">
        <f ca="1">IFERROR(VALUE(IF(VLOOKUP($A24,数出表_Excel!$A$6:$T$150,COLUMN()/2+1,FALSE)=0,"",VLOOKUP($A24,数出表_Excel!$A$6:$T$150,COLUMN()/2+1,FALSE))),"")</f>
        <v/>
      </c>
      <c r="I24" s="79"/>
      <c r="J24" s="114" t="str">
        <f ca="1">IFERROR(VALUE(IF(VLOOKUP($A24,数出表_Excel!$A$6:$T$150,COLUMN()/2+1,FALSE)=0,"",VLOOKUP($A24,数出表_Excel!$A$6:$T$150,COLUMN()/2+1,FALSE))),"")</f>
        <v/>
      </c>
      <c r="K24" s="79"/>
      <c r="L24" s="116" t="str">
        <f ca="1">IFERROR(VALUE(IF(VLOOKUP($A24,数出表_Excel!$A$6:$T$150,COLUMN()/2+1,FALSE)=0,"",VLOOKUP($A24,数出表_Excel!$A$6:$T$150,COLUMN()/2+1,FALSE))),"")</f>
        <v/>
      </c>
      <c r="M24" s="79"/>
      <c r="N24" s="114" t="str">
        <f ca="1">IFERROR(VALUE(IF(VLOOKUP($A24,数出表_Excel!$A$6:$T$150,COLUMN()/2+1,FALSE)=0,"",VLOOKUP($A24,数出表_Excel!$A$6:$T$150,COLUMN()/2+1,FALSE))),"")</f>
        <v/>
      </c>
      <c r="O24" s="79"/>
      <c r="P24" s="114" t="str">
        <f ca="1">IFERROR(VALUE(IF(VLOOKUP($A24,数出表_Excel!$A$6:$T$150,COLUMN()/2+1,FALSE)=0,"",VLOOKUP($A24,数出表_Excel!$A$6:$T$150,COLUMN()/2+1,FALSE))),"")</f>
        <v/>
      </c>
      <c r="Q24" s="79"/>
      <c r="R24" s="114" t="str">
        <f ca="1">IFERROR(VALUE(IF(VLOOKUP($A24,数出表_Excel!$A$6:$T$150,COLUMN()/2+1,FALSE)=0,"",VLOOKUP($A24,数出表_Excel!$A$6:$T$150,COLUMN()/2+1,FALSE))),"")</f>
        <v/>
      </c>
      <c r="S24" s="79"/>
      <c r="T24" s="114" t="str">
        <f ca="1">IFERROR(VALUE(IF(VLOOKUP($A24,数出表_Excel!$A$6:$T$150,COLUMN()/2+1,FALSE)=0,"",VLOOKUP($A24,数出表_Excel!$A$6:$T$150,COLUMN()/2+1,FALSE))),"")</f>
        <v/>
      </c>
      <c r="U24" s="79"/>
      <c r="V24" s="116" t="str">
        <f ca="1">IFERROR(VALUE(IF(VLOOKUP($A24,数出表_Excel!$A$6:$T$150,COLUMN()/2+1,FALSE)=0,"",VLOOKUP($A24,数出表_Excel!$A$6:$T$150,COLUMN()/2+1,FALSE))),"")</f>
        <v/>
      </c>
      <c r="W24" s="79"/>
      <c r="X24" s="116" t="str">
        <f ca="1">IFERROR(VALUE(IF(VLOOKUP($A24,数出表_Excel!$A$6:$T$150,COLUMN()/2+1,FALSE)=0,"",VLOOKUP($A24,数出表_Excel!$A$6:$T$150,COLUMN()/2+1,FALSE))),"")</f>
        <v/>
      </c>
      <c r="Y24" s="79"/>
      <c r="Z24" s="116" t="str">
        <f ca="1">IFERROR(VALUE(IF(VLOOKUP($A24,数出表_Excel!$A$6:$T$150,COLUMN()/2+1,FALSE)=0,"",VLOOKUP($A24,数出表_Excel!$A$6:$T$150,COLUMN()/2+1,FALSE))),"")</f>
        <v/>
      </c>
      <c r="AA24" s="117"/>
      <c r="AB24" s="115" t="str">
        <f ca="1">IFERROR(VALUE(IF(VLOOKUP($A24,数出表_Excel!$A$6:$T$150,COLUMN()/2+1,FALSE)=0,"",VLOOKUP($A24,数出表_Excel!$A$6:$T$150,COLUMN()/2+1,FALSE))),"")</f>
        <v/>
      </c>
      <c r="AC24" s="79"/>
      <c r="AD24" s="116" t="str">
        <f ca="1">IFERROR(VALUE(IF(VLOOKUP($A24,数出表_Excel!$A$6:$T$150,COLUMN()/2+1,FALSE)=0,"",VLOOKUP($A24,数出表_Excel!$A$6:$T$150,COLUMN()/2+1,FALSE))),"")</f>
        <v/>
      </c>
      <c r="AE24" s="79"/>
      <c r="AF24" s="116" t="str">
        <f ca="1">IFERROR(VALUE(IF(VLOOKUP($A24,数出表_Excel!$A$6:$T$150,COLUMN()/2+1,FALSE)=0,"",VLOOKUP($A24,数出表_Excel!$A$6:$T$150,COLUMN()/2+1,FALSE))),"")</f>
        <v/>
      </c>
      <c r="AG24" s="79"/>
      <c r="AH24" s="116" t="str">
        <f ca="1">IFERROR(VALUE(IF(VLOOKUP($A24,数出表_Excel!$A$6:$T$150,COLUMN()/2+1,FALSE)=0,"",VLOOKUP($A24,数出表_Excel!$A$6:$T$150,COLUMN()/2+1,FALSE))),"")</f>
        <v/>
      </c>
      <c r="AI24" s="117"/>
      <c r="AJ24" s="115" t="str">
        <f ca="1">IFERROR(VALUE(IF(VLOOKUP($A24,数出表_Excel!$A$6:$T$150,COLUMN()/2+1,FALSE)=0,"",VLOOKUP($A24,数出表_Excel!$A$6:$T$150,COLUMN()/2+1,FALSE))),"")</f>
        <v/>
      </c>
      <c r="AK24" s="79"/>
      <c r="AL24" s="83" t="e">
        <f ca="1">IF(A24&lt;&gt;"",
IF(VLOOKUP($A24,数出表_Excel!$A$6:$T$150,COLUMN()/2+1,FALSE)=0,"",VLOOKUP($A24,数出表_Excel!$A$6:$T$150,COLUMN()/2+1,FALSE)),"")</f>
        <v>#N/A</v>
      </c>
      <c r="AM24" s="164" t="e">
        <f ca="1">数出表_Excel!V24</f>
        <v>#N/A</v>
      </c>
      <c r="AN24" s="165" t="e">
        <f ca="1">数出表_Excel!W24</f>
        <v>#N/A</v>
      </c>
    </row>
    <row r="25" spans="1:40" ht="16.2" customHeight="1">
      <c r="A25" s="127" t="e">
        <f t="array" aca="1" ref="A25" ca="1">IF(OR(COUNTIF(A23,"*1000*"),COUNTIF(A23,"")),"",INDEX(貼り付け用!$A1:$A200,MATCH(A23,貼り付け用!$A1:$A200,0)+2,0))</f>
        <v>#N/A</v>
      </c>
      <c r="B25" s="80" t="str">
        <f ca="1">IFERROR(VALUE(IF(VLOOKUP($A25,数出表_Excel!$A$6:$T$150,COLUMN()/2+1,FALSE)=0,"",VLOOKUP($A25,数出表_Excel!$A$6:$T$150,COLUMN()/2+1,FALSE))),"")</f>
        <v/>
      </c>
      <c r="C25" s="80"/>
      <c r="D25" s="80" t="str">
        <f ca="1">IFERROR(VALUE(IF(VLOOKUP($A25,数出表_Excel!$A$6:$T$150,COLUMN()/2+1,FALSE)=0,"",VLOOKUP($A25,数出表_Excel!$A$6:$T$150,COLUMN()/2+1,FALSE))),"")</f>
        <v/>
      </c>
      <c r="E25" s="80"/>
      <c r="F25" s="84" t="str">
        <f ca="1">IFERROR(VALUE(IF(VLOOKUP($A25,数出表_Excel!$A$6:$T$150,COLUMN()/2+1,FALSE)=0,"",VLOOKUP($A25,数出表_Excel!$A$6:$T$150,COLUMN()/2+1,FALSE))),"")</f>
        <v/>
      </c>
      <c r="G25" s="80"/>
      <c r="H25" s="80" t="str">
        <f ca="1">IFERROR(VALUE(IF(VLOOKUP($A25,数出表_Excel!$A$6:$T$150,COLUMN()/2+1,FALSE)=0,"",VLOOKUP($A25,数出表_Excel!$A$6:$T$150,COLUMN()/2+1,FALSE))),"")</f>
        <v/>
      </c>
      <c r="I25" s="80"/>
      <c r="J25" s="80" t="str">
        <f ca="1">IFERROR(VALUE(IF(VLOOKUP($A25,数出表_Excel!$A$6:$T$150,COLUMN()/2+1,FALSE)=0,"",VLOOKUP($A25,数出表_Excel!$A$6:$T$150,COLUMN()/2+1,FALSE))),"")</f>
        <v/>
      </c>
      <c r="K25" s="80"/>
      <c r="L25" s="84" t="str">
        <f ca="1">IFERROR(VALUE(IF(VLOOKUP($A25,数出表_Excel!$A$6:$T$150,COLUMN()/2+1,FALSE)=0,"",VLOOKUP($A25,数出表_Excel!$A$6:$T$150,COLUMN()/2+1,FALSE))),"")</f>
        <v/>
      </c>
      <c r="M25" s="80"/>
      <c r="N25" s="80" t="str">
        <f ca="1">IFERROR(VALUE(IF(VLOOKUP($A25,数出表_Excel!$A$6:$T$150,COLUMN()/2+1,FALSE)=0,"",VLOOKUP($A25,数出表_Excel!$A$6:$T$150,COLUMN()/2+1,FALSE))),"")</f>
        <v/>
      </c>
      <c r="O25" s="80"/>
      <c r="P25" s="80" t="str">
        <f ca="1">IFERROR(VALUE(IF(VLOOKUP($A25,数出表_Excel!$A$6:$T$150,COLUMN()/2+1,FALSE)=0,"",VLOOKUP($A25,数出表_Excel!$A$6:$T$150,COLUMN()/2+1,FALSE))),"")</f>
        <v/>
      </c>
      <c r="Q25" s="80"/>
      <c r="R25" s="80" t="str">
        <f ca="1">IFERROR(VALUE(IF(VLOOKUP($A25,数出表_Excel!$A$6:$T$150,COLUMN()/2+1,FALSE)=0,"",VLOOKUP($A25,数出表_Excel!$A$6:$T$150,COLUMN()/2+1,FALSE))),"")</f>
        <v/>
      </c>
      <c r="S25" s="80"/>
      <c r="T25" s="80" t="str">
        <f ca="1">IFERROR(VALUE(IF(VLOOKUP($A25,数出表_Excel!$A$6:$T$150,COLUMN()/2+1,FALSE)=0,"",VLOOKUP($A25,数出表_Excel!$A$6:$T$150,COLUMN()/2+1,FALSE))),"")</f>
        <v/>
      </c>
      <c r="U25" s="80"/>
      <c r="V25" s="84" t="str">
        <f ca="1">IFERROR(VALUE(IF(VLOOKUP($A25,数出表_Excel!$A$6:$T$150,COLUMN()/2+1,FALSE)=0,"",VLOOKUP($A25,数出表_Excel!$A$6:$T$150,COLUMN()/2+1,FALSE))),"")</f>
        <v/>
      </c>
      <c r="W25" s="80"/>
      <c r="X25" s="84" t="str">
        <f ca="1">IFERROR(VALUE(IF(VLOOKUP($A25,数出表_Excel!$A$6:$T$150,COLUMN()/2+1,FALSE)=0,"",VLOOKUP($A25,数出表_Excel!$A$6:$T$150,COLUMN()/2+1,FALSE))),"")</f>
        <v/>
      </c>
      <c r="Y25" s="80"/>
      <c r="Z25" s="84" t="str">
        <f ca="1">IFERROR(VALUE(IF(VLOOKUP($A25,数出表_Excel!$A$6:$T$150,COLUMN()/2+1,FALSE)=0,"",VLOOKUP($A25,数出表_Excel!$A$6:$T$150,COLUMN()/2+1,FALSE))),"")</f>
        <v/>
      </c>
      <c r="AA25" s="118"/>
      <c r="AB25" s="85" t="str">
        <f ca="1">IFERROR(VALUE(IF(VLOOKUP($A25,数出表_Excel!$A$6:$T$150,COLUMN()/2+1,FALSE)=0,"",VLOOKUP($A25,数出表_Excel!$A$6:$T$150,COLUMN()/2+1,FALSE))),"")</f>
        <v/>
      </c>
      <c r="AC25" s="80"/>
      <c r="AD25" s="84" t="str">
        <f ca="1">IFERROR(VALUE(IF(VLOOKUP($A25,数出表_Excel!$A$6:$T$150,COLUMN()/2+1,FALSE)=0,"",VLOOKUP($A25,数出表_Excel!$A$6:$T$150,COLUMN()/2+1,FALSE))),"")</f>
        <v/>
      </c>
      <c r="AE25" s="80"/>
      <c r="AF25" s="84" t="str">
        <f ca="1">IFERROR(VALUE(IF(VLOOKUP($A25,数出表_Excel!$A$6:$T$150,COLUMN()/2+1,FALSE)=0,"",VLOOKUP($A25,数出表_Excel!$A$6:$T$150,COLUMN()/2+1,FALSE))),"")</f>
        <v/>
      </c>
      <c r="AG25" s="80"/>
      <c r="AH25" s="84" t="str">
        <f ca="1">IFERROR(VALUE(IF(VLOOKUP($A25,数出表_Excel!$A$6:$T$150,COLUMN()/2+1,FALSE)=0,"",VLOOKUP($A25,数出表_Excel!$A$6:$T$150,COLUMN()/2+1,FALSE))),"")</f>
        <v/>
      </c>
      <c r="AI25" s="118"/>
      <c r="AJ25" s="85" t="str">
        <f ca="1">IFERROR(VALUE(IF(VLOOKUP($A25,数出表_Excel!$A$6:$T$150,COLUMN()/2+1,FALSE)=0,"",VLOOKUP($A25,数出表_Excel!$A$6:$T$150,COLUMN()/2+1,FALSE))),"")</f>
        <v/>
      </c>
      <c r="AK25" s="80"/>
      <c r="AL25" s="86" t="e">
        <f ca="1">IF(A25&lt;&gt;"",
IF(VLOOKUP($A25,数出表_Excel!$A$6:$T$150,COLUMN()/2+1,FALSE)=0,"",VLOOKUP($A25,数出表_Excel!$A$6:$T$150,COLUMN()/2+1,FALSE)),"")</f>
        <v>#N/A</v>
      </c>
      <c r="AM25" s="166" t="e">
        <f ca="1">数出表_Excel!V25</f>
        <v>#N/A</v>
      </c>
      <c r="AN25" s="167" t="e">
        <f ca="1">数出表_Excel!W25</f>
        <v>#N/A</v>
      </c>
    </row>
    <row r="26" spans="1:40" ht="16.2" customHeight="1">
      <c r="A26" s="126" t="e">
        <f t="array" aca="1" ref="A26" ca="1">IF(OR(COUNTIF(A24,"*10002*"),COUNTIF(A24,"")),"",INDEX(貼り付け用!$A1:$A200,MATCH(A24,貼り付け用!$A1:$A200,0)+2,0))</f>
        <v>#N/A</v>
      </c>
      <c r="B26" s="114" t="str">
        <f ca="1">IFERROR(VALUE(IF(VLOOKUP($A26,数出表_Excel!$A$6:$T$150,COLUMN()/2+1,FALSE)=0,"",VLOOKUP($A26,数出表_Excel!$A$6:$T$150,COLUMN()/2+1,FALSE))),"")</f>
        <v/>
      </c>
      <c r="C26" s="79"/>
      <c r="D26" s="114" t="str">
        <f ca="1">IFERROR(VALUE(IF(VLOOKUP($A26,数出表_Excel!$A$6:$T$150,COLUMN()/2+1,FALSE)=0,"",VLOOKUP($A26,数出表_Excel!$A$6:$T$150,COLUMN()/2+1,FALSE))),"")</f>
        <v/>
      </c>
      <c r="E26" s="79"/>
      <c r="F26" s="116" t="str">
        <f ca="1">IFERROR(VALUE(IF(VLOOKUP($A26,数出表_Excel!$A$6:$T$150,COLUMN()/2+1,FALSE)=0,"",VLOOKUP($A26,数出表_Excel!$A$6:$T$150,COLUMN()/2+1,FALSE))),"")</f>
        <v/>
      </c>
      <c r="G26" s="79"/>
      <c r="H26" s="114" t="str">
        <f ca="1">IFERROR(VALUE(IF(VLOOKUP($A26,数出表_Excel!$A$6:$T$150,COLUMN()/2+1,FALSE)=0,"",VLOOKUP($A26,数出表_Excel!$A$6:$T$150,COLUMN()/2+1,FALSE))),"")</f>
        <v/>
      </c>
      <c r="I26" s="79"/>
      <c r="J26" s="114" t="str">
        <f ca="1">IFERROR(VALUE(IF(VLOOKUP($A26,数出表_Excel!$A$6:$T$150,COLUMN()/2+1,FALSE)=0,"",VLOOKUP($A26,数出表_Excel!$A$6:$T$150,COLUMN()/2+1,FALSE))),"")</f>
        <v/>
      </c>
      <c r="K26" s="79"/>
      <c r="L26" s="116" t="str">
        <f ca="1">IFERROR(VALUE(IF(VLOOKUP($A26,数出表_Excel!$A$6:$T$150,COLUMN()/2+1,FALSE)=0,"",VLOOKUP($A26,数出表_Excel!$A$6:$T$150,COLUMN()/2+1,FALSE))),"")</f>
        <v/>
      </c>
      <c r="M26" s="79"/>
      <c r="N26" s="114" t="str">
        <f ca="1">IFERROR(VALUE(IF(VLOOKUP($A26,数出表_Excel!$A$6:$T$150,COLUMN()/2+1,FALSE)=0,"",VLOOKUP($A26,数出表_Excel!$A$6:$T$150,COLUMN()/2+1,FALSE))),"")</f>
        <v/>
      </c>
      <c r="O26" s="79"/>
      <c r="P26" s="114" t="str">
        <f ca="1">IFERROR(VALUE(IF(VLOOKUP($A26,数出表_Excel!$A$6:$T$150,COLUMN()/2+1,FALSE)=0,"",VLOOKUP($A26,数出表_Excel!$A$6:$T$150,COLUMN()/2+1,FALSE))),"")</f>
        <v/>
      </c>
      <c r="Q26" s="79"/>
      <c r="R26" s="114" t="str">
        <f ca="1">IFERROR(VALUE(IF(VLOOKUP($A26,数出表_Excel!$A$6:$T$150,COLUMN()/2+1,FALSE)=0,"",VLOOKUP($A26,数出表_Excel!$A$6:$T$150,COLUMN()/2+1,FALSE))),"")</f>
        <v/>
      </c>
      <c r="S26" s="79"/>
      <c r="T26" s="114" t="str">
        <f ca="1">IFERROR(VALUE(IF(VLOOKUP($A26,数出表_Excel!$A$6:$T$150,COLUMN()/2+1,FALSE)=0,"",VLOOKUP($A26,数出表_Excel!$A$6:$T$150,COLUMN()/2+1,FALSE))),"")</f>
        <v/>
      </c>
      <c r="U26" s="79"/>
      <c r="V26" s="116" t="str">
        <f ca="1">IFERROR(VALUE(IF(VLOOKUP($A26,数出表_Excel!$A$6:$T$150,COLUMN()/2+1,FALSE)=0,"",VLOOKUP($A26,数出表_Excel!$A$6:$T$150,COLUMN()/2+1,FALSE))),"")</f>
        <v/>
      </c>
      <c r="W26" s="79"/>
      <c r="X26" s="116" t="str">
        <f ca="1">IFERROR(VALUE(IF(VLOOKUP($A26,数出表_Excel!$A$6:$T$150,COLUMN()/2+1,FALSE)=0,"",VLOOKUP($A26,数出表_Excel!$A$6:$T$150,COLUMN()/2+1,FALSE))),"")</f>
        <v/>
      </c>
      <c r="Y26" s="79"/>
      <c r="Z26" s="116" t="str">
        <f ca="1">IFERROR(VALUE(IF(VLOOKUP($A26,数出表_Excel!$A$6:$T$150,COLUMN()/2+1,FALSE)=0,"",VLOOKUP($A26,数出表_Excel!$A$6:$T$150,COLUMN()/2+1,FALSE))),"")</f>
        <v/>
      </c>
      <c r="AA26" s="117"/>
      <c r="AB26" s="115" t="str">
        <f ca="1">IFERROR(VALUE(IF(VLOOKUP($A26,数出表_Excel!$A$6:$T$150,COLUMN()/2+1,FALSE)=0,"",VLOOKUP($A26,数出表_Excel!$A$6:$T$150,COLUMN()/2+1,FALSE))),"")</f>
        <v/>
      </c>
      <c r="AC26" s="79"/>
      <c r="AD26" s="116" t="str">
        <f ca="1">IFERROR(VALUE(IF(VLOOKUP($A26,数出表_Excel!$A$6:$T$150,COLUMN()/2+1,FALSE)=0,"",VLOOKUP($A26,数出表_Excel!$A$6:$T$150,COLUMN()/2+1,FALSE))),"")</f>
        <v/>
      </c>
      <c r="AE26" s="79"/>
      <c r="AF26" s="116" t="str">
        <f ca="1">IFERROR(VALUE(IF(VLOOKUP($A26,数出表_Excel!$A$6:$T$150,COLUMN()/2+1,FALSE)=0,"",VLOOKUP($A26,数出表_Excel!$A$6:$T$150,COLUMN()/2+1,FALSE))),"")</f>
        <v/>
      </c>
      <c r="AG26" s="79"/>
      <c r="AH26" s="116" t="str">
        <f ca="1">IFERROR(VALUE(IF(VLOOKUP($A26,数出表_Excel!$A$6:$T$150,COLUMN()/2+1,FALSE)=0,"",VLOOKUP($A26,数出表_Excel!$A$6:$T$150,COLUMN()/2+1,FALSE))),"")</f>
        <v/>
      </c>
      <c r="AI26" s="117"/>
      <c r="AJ26" s="115" t="str">
        <f ca="1">IFERROR(VALUE(IF(VLOOKUP($A26,数出表_Excel!$A$6:$T$150,COLUMN()/2+1,FALSE)=0,"",VLOOKUP($A26,数出表_Excel!$A$6:$T$150,COLUMN()/2+1,FALSE))),"")</f>
        <v/>
      </c>
      <c r="AK26" s="79"/>
      <c r="AL26" s="83" t="e">
        <f ca="1">IF(A26&lt;&gt;"",
IF(VLOOKUP($A26,数出表_Excel!$A$6:$T$150,COLUMN()/2+1,FALSE)=0,"",VLOOKUP($A26,数出表_Excel!$A$6:$T$150,COLUMN()/2+1,FALSE)),"")</f>
        <v>#N/A</v>
      </c>
      <c r="AM26" s="164" t="e">
        <f ca="1">数出表_Excel!V26</f>
        <v>#N/A</v>
      </c>
      <c r="AN26" s="165" t="e">
        <f ca="1">数出表_Excel!W26</f>
        <v>#N/A</v>
      </c>
    </row>
    <row r="27" spans="1:40" ht="16.2" customHeight="1">
      <c r="A27" s="127" t="e">
        <f t="array" aca="1" ref="A27" ca="1">IF(OR(COUNTIF(A25,"*1000*"),COUNTIF(A25,"")),"",INDEX(貼り付け用!$A1:$A200,MATCH(A25,貼り付け用!$A1:$A200,0)+2,0))</f>
        <v>#N/A</v>
      </c>
      <c r="B27" s="80" t="str">
        <f ca="1">IFERROR(VALUE(IF(VLOOKUP($A27,数出表_Excel!$A$6:$T$150,COLUMN()/2+1,FALSE)=0,"",VLOOKUP($A27,数出表_Excel!$A$6:$T$150,COLUMN()/2+1,FALSE))),"")</f>
        <v/>
      </c>
      <c r="C27" s="80"/>
      <c r="D27" s="80" t="str">
        <f ca="1">IFERROR(VALUE(IF(VLOOKUP($A27,数出表_Excel!$A$6:$T$150,COLUMN()/2+1,FALSE)=0,"",VLOOKUP($A27,数出表_Excel!$A$6:$T$150,COLUMN()/2+1,FALSE))),"")</f>
        <v/>
      </c>
      <c r="E27" s="80"/>
      <c r="F27" s="84" t="str">
        <f ca="1">IFERROR(VALUE(IF(VLOOKUP($A27,数出表_Excel!$A$6:$T$150,COLUMN()/2+1,FALSE)=0,"",VLOOKUP($A27,数出表_Excel!$A$6:$T$150,COLUMN()/2+1,FALSE))),"")</f>
        <v/>
      </c>
      <c r="G27" s="80"/>
      <c r="H27" s="80" t="str">
        <f ca="1">IFERROR(VALUE(IF(VLOOKUP($A27,数出表_Excel!$A$6:$T$150,COLUMN()/2+1,FALSE)=0,"",VLOOKUP($A27,数出表_Excel!$A$6:$T$150,COLUMN()/2+1,FALSE))),"")</f>
        <v/>
      </c>
      <c r="I27" s="80"/>
      <c r="J27" s="80" t="str">
        <f ca="1">IFERROR(VALUE(IF(VLOOKUP($A27,数出表_Excel!$A$6:$T$150,COLUMN()/2+1,FALSE)=0,"",VLOOKUP($A27,数出表_Excel!$A$6:$T$150,COLUMN()/2+1,FALSE))),"")</f>
        <v/>
      </c>
      <c r="K27" s="80"/>
      <c r="L27" s="84" t="str">
        <f ca="1">IFERROR(VALUE(IF(VLOOKUP($A27,数出表_Excel!$A$6:$T$150,COLUMN()/2+1,FALSE)=0,"",VLOOKUP($A27,数出表_Excel!$A$6:$T$150,COLUMN()/2+1,FALSE))),"")</f>
        <v/>
      </c>
      <c r="M27" s="80"/>
      <c r="N27" s="80" t="str">
        <f ca="1">IFERROR(VALUE(IF(VLOOKUP($A27,数出表_Excel!$A$6:$T$150,COLUMN()/2+1,FALSE)=0,"",VLOOKUP($A27,数出表_Excel!$A$6:$T$150,COLUMN()/2+1,FALSE))),"")</f>
        <v/>
      </c>
      <c r="O27" s="80"/>
      <c r="P27" s="80" t="str">
        <f ca="1">IFERROR(VALUE(IF(VLOOKUP($A27,数出表_Excel!$A$6:$T$150,COLUMN()/2+1,FALSE)=0,"",VLOOKUP($A27,数出表_Excel!$A$6:$T$150,COLUMN()/2+1,FALSE))),"")</f>
        <v/>
      </c>
      <c r="Q27" s="80"/>
      <c r="R27" s="80" t="str">
        <f ca="1">IFERROR(VALUE(IF(VLOOKUP($A27,数出表_Excel!$A$6:$T$150,COLUMN()/2+1,FALSE)=0,"",VLOOKUP($A27,数出表_Excel!$A$6:$T$150,COLUMN()/2+1,FALSE))),"")</f>
        <v/>
      </c>
      <c r="S27" s="80"/>
      <c r="T27" s="80" t="str">
        <f ca="1">IFERROR(VALUE(IF(VLOOKUP($A27,数出表_Excel!$A$6:$T$150,COLUMN()/2+1,FALSE)=0,"",VLOOKUP($A27,数出表_Excel!$A$6:$T$150,COLUMN()/2+1,FALSE))),"")</f>
        <v/>
      </c>
      <c r="U27" s="80"/>
      <c r="V27" s="84" t="str">
        <f ca="1">IFERROR(VALUE(IF(VLOOKUP($A27,数出表_Excel!$A$6:$T$150,COLUMN()/2+1,FALSE)=0,"",VLOOKUP($A27,数出表_Excel!$A$6:$T$150,COLUMN()/2+1,FALSE))),"")</f>
        <v/>
      </c>
      <c r="W27" s="80"/>
      <c r="X27" s="84" t="str">
        <f ca="1">IFERROR(VALUE(IF(VLOOKUP($A27,数出表_Excel!$A$6:$T$150,COLUMN()/2+1,FALSE)=0,"",VLOOKUP($A27,数出表_Excel!$A$6:$T$150,COLUMN()/2+1,FALSE))),"")</f>
        <v/>
      </c>
      <c r="Y27" s="80"/>
      <c r="Z27" s="84" t="str">
        <f ca="1">IFERROR(VALUE(IF(VLOOKUP($A27,数出表_Excel!$A$6:$T$150,COLUMN()/2+1,FALSE)=0,"",VLOOKUP($A27,数出表_Excel!$A$6:$T$150,COLUMN()/2+1,FALSE))),"")</f>
        <v/>
      </c>
      <c r="AA27" s="118"/>
      <c r="AB27" s="85" t="str">
        <f ca="1">IFERROR(VALUE(IF(VLOOKUP($A27,数出表_Excel!$A$6:$T$150,COLUMN()/2+1,FALSE)=0,"",VLOOKUP($A27,数出表_Excel!$A$6:$T$150,COLUMN()/2+1,FALSE))),"")</f>
        <v/>
      </c>
      <c r="AC27" s="80"/>
      <c r="AD27" s="84" t="str">
        <f ca="1">IFERROR(VALUE(IF(VLOOKUP($A27,数出表_Excel!$A$6:$T$150,COLUMN()/2+1,FALSE)=0,"",VLOOKUP($A27,数出表_Excel!$A$6:$T$150,COLUMN()/2+1,FALSE))),"")</f>
        <v/>
      </c>
      <c r="AE27" s="80"/>
      <c r="AF27" s="84" t="str">
        <f ca="1">IFERROR(VALUE(IF(VLOOKUP($A27,数出表_Excel!$A$6:$T$150,COLUMN()/2+1,FALSE)=0,"",VLOOKUP($A27,数出表_Excel!$A$6:$T$150,COLUMN()/2+1,FALSE))),"")</f>
        <v/>
      </c>
      <c r="AG27" s="80"/>
      <c r="AH27" s="84" t="str">
        <f ca="1">IFERROR(VALUE(IF(VLOOKUP($A27,数出表_Excel!$A$6:$T$150,COLUMN()/2+1,FALSE)=0,"",VLOOKUP($A27,数出表_Excel!$A$6:$T$150,COLUMN()/2+1,FALSE))),"")</f>
        <v/>
      </c>
      <c r="AI27" s="118"/>
      <c r="AJ27" s="85" t="str">
        <f ca="1">IFERROR(VALUE(IF(VLOOKUP($A27,数出表_Excel!$A$6:$T$150,COLUMN()/2+1,FALSE)=0,"",VLOOKUP($A27,数出表_Excel!$A$6:$T$150,COLUMN()/2+1,FALSE))),"")</f>
        <v/>
      </c>
      <c r="AK27" s="80"/>
      <c r="AL27" s="86" t="e">
        <f ca="1">IF(A27&lt;&gt;"",
IF(VLOOKUP($A27,数出表_Excel!$A$6:$T$150,COLUMN()/2+1,FALSE)=0,"",VLOOKUP($A27,数出表_Excel!$A$6:$T$150,COLUMN()/2+1,FALSE)),"")</f>
        <v>#N/A</v>
      </c>
      <c r="AM27" s="166" t="e">
        <f ca="1">数出表_Excel!V27</f>
        <v>#N/A</v>
      </c>
      <c r="AN27" s="167" t="e">
        <f ca="1">数出表_Excel!W27</f>
        <v>#N/A</v>
      </c>
    </row>
    <row r="28" spans="1:40" ht="16.2" customHeight="1">
      <c r="A28" s="126" t="e">
        <f t="array" aca="1" ref="A28" ca="1">IF(OR(COUNTIF(A26,"*10002*"),COUNTIF(A26,"")),"",INDEX(貼り付け用!$A1:$A200,MATCH(A26,貼り付け用!$A1:$A200,0)+2,0))</f>
        <v>#N/A</v>
      </c>
      <c r="B28" s="114" t="str">
        <f ca="1">IFERROR(VALUE(IF(VLOOKUP($A28,数出表_Excel!$A$6:$T$150,COLUMN()/2+1,FALSE)=0,"",VLOOKUP($A28,数出表_Excel!$A$6:$T$150,COLUMN()/2+1,FALSE))),"")</f>
        <v/>
      </c>
      <c r="C28" s="79"/>
      <c r="D28" s="114" t="str">
        <f ca="1">IFERROR(VALUE(IF(VLOOKUP($A28,数出表_Excel!$A$6:$T$150,COLUMN()/2+1,FALSE)=0,"",VLOOKUP($A28,数出表_Excel!$A$6:$T$150,COLUMN()/2+1,FALSE))),"")</f>
        <v/>
      </c>
      <c r="E28" s="79"/>
      <c r="F28" s="116" t="str">
        <f ca="1">IFERROR(VALUE(IF(VLOOKUP($A28,数出表_Excel!$A$6:$T$150,COLUMN()/2+1,FALSE)=0,"",VLOOKUP($A28,数出表_Excel!$A$6:$T$150,COLUMN()/2+1,FALSE))),"")</f>
        <v/>
      </c>
      <c r="G28" s="79"/>
      <c r="H28" s="114" t="str">
        <f ca="1">IFERROR(VALUE(IF(VLOOKUP($A28,数出表_Excel!$A$6:$T$150,COLUMN()/2+1,FALSE)=0,"",VLOOKUP($A28,数出表_Excel!$A$6:$T$150,COLUMN()/2+1,FALSE))),"")</f>
        <v/>
      </c>
      <c r="I28" s="79"/>
      <c r="J28" s="114" t="str">
        <f ca="1">IFERROR(VALUE(IF(VLOOKUP($A28,数出表_Excel!$A$6:$T$150,COLUMN()/2+1,FALSE)=0,"",VLOOKUP($A28,数出表_Excel!$A$6:$T$150,COLUMN()/2+1,FALSE))),"")</f>
        <v/>
      </c>
      <c r="K28" s="79"/>
      <c r="L28" s="116" t="str">
        <f ca="1">IFERROR(VALUE(IF(VLOOKUP($A28,数出表_Excel!$A$6:$T$150,COLUMN()/2+1,FALSE)=0,"",VLOOKUP($A28,数出表_Excel!$A$6:$T$150,COLUMN()/2+1,FALSE))),"")</f>
        <v/>
      </c>
      <c r="M28" s="79"/>
      <c r="N28" s="114" t="str">
        <f ca="1">IFERROR(VALUE(IF(VLOOKUP($A28,数出表_Excel!$A$6:$T$150,COLUMN()/2+1,FALSE)=0,"",VLOOKUP($A28,数出表_Excel!$A$6:$T$150,COLUMN()/2+1,FALSE))),"")</f>
        <v/>
      </c>
      <c r="O28" s="79"/>
      <c r="P28" s="114" t="str">
        <f ca="1">IFERROR(VALUE(IF(VLOOKUP($A28,数出表_Excel!$A$6:$T$150,COLUMN()/2+1,FALSE)=0,"",VLOOKUP($A28,数出表_Excel!$A$6:$T$150,COLUMN()/2+1,FALSE))),"")</f>
        <v/>
      </c>
      <c r="Q28" s="79"/>
      <c r="R28" s="114" t="str">
        <f ca="1">IFERROR(VALUE(IF(VLOOKUP($A28,数出表_Excel!$A$6:$T$150,COLUMN()/2+1,FALSE)=0,"",VLOOKUP($A28,数出表_Excel!$A$6:$T$150,COLUMN()/2+1,FALSE))),"")</f>
        <v/>
      </c>
      <c r="S28" s="79"/>
      <c r="T28" s="114" t="str">
        <f ca="1">IFERROR(VALUE(IF(VLOOKUP($A28,数出表_Excel!$A$6:$T$150,COLUMN()/2+1,FALSE)=0,"",VLOOKUP($A28,数出表_Excel!$A$6:$T$150,COLUMN()/2+1,FALSE))),"")</f>
        <v/>
      </c>
      <c r="U28" s="79"/>
      <c r="V28" s="116" t="str">
        <f ca="1">IFERROR(VALUE(IF(VLOOKUP($A28,数出表_Excel!$A$6:$T$150,COLUMN()/2+1,FALSE)=0,"",VLOOKUP($A28,数出表_Excel!$A$6:$T$150,COLUMN()/2+1,FALSE))),"")</f>
        <v/>
      </c>
      <c r="W28" s="79"/>
      <c r="X28" s="116" t="str">
        <f ca="1">IFERROR(VALUE(IF(VLOOKUP($A28,数出表_Excel!$A$6:$T$150,COLUMN()/2+1,FALSE)=0,"",VLOOKUP($A28,数出表_Excel!$A$6:$T$150,COLUMN()/2+1,FALSE))),"")</f>
        <v/>
      </c>
      <c r="Y28" s="79"/>
      <c r="Z28" s="116" t="str">
        <f ca="1">IFERROR(VALUE(IF(VLOOKUP($A28,数出表_Excel!$A$6:$T$150,COLUMN()/2+1,FALSE)=0,"",VLOOKUP($A28,数出表_Excel!$A$6:$T$150,COLUMN()/2+1,FALSE))),"")</f>
        <v/>
      </c>
      <c r="AA28" s="117"/>
      <c r="AB28" s="115" t="str">
        <f ca="1">IFERROR(VALUE(IF(VLOOKUP($A28,数出表_Excel!$A$6:$T$150,COLUMN()/2+1,FALSE)=0,"",VLOOKUP($A28,数出表_Excel!$A$6:$T$150,COLUMN()/2+1,FALSE))),"")</f>
        <v/>
      </c>
      <c r="AC28" s="79"/>
      <c r="AD28" s="116" t="str">
        <f ca="1">IFERROR(VALUE(IF(VLOOKUP($A28,数出表_Excel!$A$6:$T$150,COLUMN()/2+1,FALSE)=0,"",VLOOKUP($A28,数出表_Excel!$A$6:$T$150,COLUMN()/2+1,FALSE))),"")</f>
        <v/>
      </c>
      <c r="AE28" s="79"/>
      <c r="AF28" s="116" t="str">
        <f ca="1">IFERROR(VALUE(IF(VLOOKUP($A28,数出表_Excel!$A$6:$T$150,COLUMN()/2+1,FALSE)=0,"",VLOOKUP($A28,数出表_Excel!$A$6:$T$150,COLUMN()/2+1,FALSE))),"")</f>
        <v/>
      </c>
      <c r="AG28" s="79"/>
      <c r="AH28" s="116" t="str">
        <f ca="1">IFERROR(VALUE(IF(VLOOKUP($A28,数出表_Excel!$A$6:$T$150,COLUMN()/2+1,FALSE)=0,"",VLOOKUP($A28,数出表_Excel!$A$6:$T$150,COLUMN()/2+1,FALSE))),"")</f>
        <v/>
      </c>
      <c r="AI28" s="117"/>
      <c r="AJ28" s="115" t="str">
        <f ca="1">IFERROR(VALUE(IF(VLOOKUP($A28,数出表_Excel!$A$6:$T$150,COLUMN()/2+1,FALSE)=0,"",VLOOKUP($A28,数出表_Excel!$A$6:$T$150,COLUMN()/2+1,FALSE))),"")</f>
        <v/>
      </c>
      <c r="AK28" s="79"/>
      <c r="AL28" s="83" t="e">
        <f ca="1">IF(A28&lt;&gt;"",
IF(VLOOKUP($A28,数出表_Excel!$A$6:$T$150,COLUMN()/2+1,FALSE)=0,"",VLOOKUP($A28,数出表_Excel!$A$6:$T$150,COLUMN()/2+1,FALSE)),"")</f>
        <v>#N/A</v>
      </c>
      <c r="AM28" s="164" t="e">
        <f ca="1">数出表_Excel!V28</f>
        <v>#N/A</v>
      </c>
      <c r="AN28" s="165" t="e">
        <f ca="1">数出表_Excel!W28</f>
        <v>#N/A</v>
      </c>
    </row>
    <row r="29" spans="1:40" ht="16.2" customHeight="1">
      <c r="A29" s="127" t="e">
        <f t="array" aca="1" ref="A29" ca="1">IF(OR(COUNTIF(A27,"*1000*"),COUNTIF(A27,"")),"",INDEX(貼り付け用!$A1:$A200,MATCH(A27,貼り付け用!$A1:$A200,0)+2,0))</f>
        <v>#N/A</v>
      </c>
      <c r="B29" s="80" t="str">
        <f ca="1">IFERROR(VALUE(IF(VLOOKUP($A29,数出表_Excel!$A$6:$T$150,COLUMN()/2+1,FALSE)=0,"",VLOOKUP($A29,数出表_Excel!$A$6:$T$150,COLUMN()/2+1,FALSE))),"")</f>
        <v/>
      </c>
      <c r="C29" s="80"/>
      <c r="D29" s="80" t="str">
        <f ca="1">IFERROR(VALUE(IF(VLOOKUP($A29,数出表_Excel!$A$6:$T$150,COLUMN()/2+1,FALSE)=0,"",VLOOKUP($A29,数出表_Excel!$A$6:$T$150,COLUMN()/2+1,FALSE))),"")</f>
        <v/>
      </c>
      <c r="E29" s="80"/>
      <c r="F29" s="84" t="str">
        <f ca="1">IFERROR(VALUE(IF(VLOOKUP($A29,数出表_Excel!$A$6:$T$150,COLUMN()/2+1,FALSE)=0,"",VLOOKUP($A29,数出表_Excel!$A$6:$T$150,COLUMN()/2+1,FALSE))),"")</f>
        <v/>
      </c>
      <c r="G29" s="80"/>
      <c r="H29" s="80" t="str">
        <f ca="1">IFERROR(VALUE(IF(VLOOKUP($A29,数出表_Excel!$A$6:$T$150,COLUMN()/2+1,FALSE)=0,"",VLOOKUP($A29,数出表_Excel!$A$6:$T$150,COLUMN()/2+1,FALSE))),"")</f>
        <v/>
      </c>
      <c r="I29" s="80"/>
      <c r="J29" s="80" t="str">
        <f ca="1">IFERROR(VALUE(IF(VLOOKUP($A29,数出表_Excel!$A$6:$T$150,COLUMN()/2+1,FALSE)=0,"",VLOOKUP($A29,数出表_Excel!$A$6:$T$150,COLUMN()/2+1,FALSE))),"")</f>
        <v/>
      </c>
      <c r="K29" s="80"/>
      <c r="L29" s="84" t="str">
        <f ca="1">IFERROR(VALUE(IF(VLOOKUP($A29,数出表_Excel!$A$6:$T$150,COLUMN()/2+1,FALSE)=0,"",VLOOKUP($A29,数出表_Excel!$A$6:$T$150,COLUMN()/2+1,FALSE))),"")</f>
        <v/>
      </c>
      <c r="M29" s="80"/>
      <c r="N29" s="80" t="str">
        <f ca="1">IFERROR(VALUE(IF(VLOOKUP($A29,数出表_Excel!$A$6:$T$150,COLUMN()/2+1,FALSE)=0,"",VLOOKUP($A29,数出表_Excel!$A$6:$T$150,COLUMN()/2+1,FALSE))),"")</f>
        <v/>
      </c>
      <c r="O29" s="80"/>
      <c r="P29" s="80" t="str">
        <f ca="1">IFERROR(VALUE(IF(VLOOKUP($A29,数出表_Excel!$A$6:$T$150,COLUMN()/2+1,FALSE)=0,"",VLOOKUP($A29,数出表_Excel!$A$6:$T$150,COLUMN()/2+1,FALSE))),"")</f>
        <v/>
      </c>
      <c r="Q29" s="80"/>
      <c r="R29" s="80" t="str">
        <f ca="1">IFERROR(VALUE(IF(VLOOKUP($A29,数出表_Excel!$A$6:$T$150,COLUMN()/2+1,FALSE)=0,"",VLOOKUP($A29,数出表_Excel!$A$6:$T$150,COLUMN()/2+1,FALSE))),"")</f>
        <v/>
      </c>
      <c r="S29" s="80"/>
      <c r="T29" s="80" t="str">
        <f ca="1">IFERROR(VALUE(IF(VLOOKUP($A29,数出表_Excel!$A$6:$T$150,COLUMN()/2+1,FALSE)=0,"",VLOOKUP($A29,数出表_Excel!$A$6:$T$150,COLUMN()/2+1,FALSE))),"")</f>
        <v/>
      </c>
      <c r="U29" s="80"/>
      <c r="V29" s="84" t="str">
        <f ca="1">IFERROR(VALUE(IF(VLOOKUP($A29,数出表_Excel!$A$6:$T$150,COLUMN()/2+1,FALSE)=0,"",VLOOKUP($A29,数出表_Excel!$A$6:$T$150,COLUMN()/2+1,FALSE))),"")</f>
        <v/>
      </c>
      <c r="W29" s="80"/>
      <c r="X29" s="84" t="str">
        <f ca="1">IFERROR(VALUE(IF(VLOOKUP($A29,数出表_Excel!$A$6:$T$150,COLUMN()/2+1,FALSE)=0,"",VLOOKUP($A29,数出表_Excel!$A$6:$T$150,COLUMN()/2+1,FALSE))),"")</f>
        <v/>
      </c>
      <c r="Y29" s="80"/>
      <c r="Z29" s="84" t="str">
        <f ca="1">IFERROR(VALUE(IF(VLOOKUP($A29,数出表_Excel!$A$6:$T$150,COLUMN()/2+1,FALSE)=0,"",VLOOKUP($A29,数出表_Excel!$A$6:$T$150,COLUMN()/2+1,FALSE))),"")</f>
        <v/>
      </c>
      <c r="AA29" s="118"/>
      <c r="AB29" s="85" t="str">
        <f ca="1">IFERROR(VALUE(IF(VLOOKUP($A29,数出表_Excel!$A$6:$T$150,COLUMN()/2+1,FALSE)=0,"",VLOOKUP($A29,数出表_Excel!$A$6:$T$150,COLUMN()/2+1,FALSE))),"")</f>
        <v/>
      </c>
      <c r="AC29" s="80"/>
      <c r="AD29" s="84" t="str">
        <f ca="1">IFERROR(VALUE(IF(VLOOKUP($A29,数出表_Excel!$A$6:$T$150,COLUMN()/2+1,FALSE)=0,"",VLOOKUP($A29,数出表_Excel!$A$6:$T$150,COLUMN()/2+1,FALSE))),"")</f>
        <v/>
      </c>
      <c r="AE29" s="80"/>
      <c r="AF29" s="84" t="str">
        <f ca="1">IFERROR(VALUE(IF(VLOOKUP($A29,数出表_Excel!$A$6:$T$150,COLUMN()/2+1,FALSE)=0,"",VLOOKUP($A29,数出表_Excel!$A$6:$T$150,COLUMN()/2+1,FALSE))),"")</f>
        <v/>
      </c>
      <c r="AG29" s="80"/>
      <c r="AH29" s="84" t="str">
        <f ca="1">IFERROR(VALUE(IF(VLOOKUP($A29,数出表_Excel!$A$6:$T$150,COLUMN()/2+1,FALSE)=0,"",VLOOKUP($A29,数出表_Excel!$A$6:$T$150,COLUMN()/2+1,FALSE))),"")</f>
        <v/>
      </c>
      <c r="AI29" s="118"/>
      <c r="AJ29" s="85" t="str">
        <f ca="1">IFERROR(VALUE(IF(VLOOKUP($A29,数出表_Excel!$A$6:$T$150,COLUMN()/2+1,FALSE)=0,"",VLOOKUP($A29,数出表_Excel!$A$6:$T$150,COLUMN()/2+1,FALSE))),"")</f>
        <v/>
      </c>
      <c r="AK29" s="80"/>
      <c r="AL29" s="86" t="e">
        <f ca="1">IF(A29&lt;&gt;"",
IF(VLOOKUP($A29,数出表_Excel!$A$6:$T$150,COLUMN()/2+1,FALSE)=0,"",VLOOKUP($A29,数出表_Excel!$A$6:$T$150,COLUMN()/2+1,FALSE)),"")</f>
        <v>#N/A</v>
      </c>
      <c r="AM29" s="166" t="e">
        <f ca="1">数出表_Excel!V29</f>
        <v>#N/A</v>
      </c>
      <c r="AN29" s="167" t="e">
        <f ca="1">数出表_Excel!W29</f>
        <v>#N/A</v>
      </c>
    </row>
    <row r="30" spans="1:40" ht="16.2" customHeight="1">
      <c r="A30" s="126" t="e">
        <f t="array" aca="1" ref="A30" ca="1">IF(OR(COUNTIF(A28,"*10002*"),COUNTIF(A28,"")),"",INDEX(貼り付け用!$A1:$A200,MATCH(A28,貼り付け用!$A1:$A200,0)+2,0))</f>
        <v>#N/A</v>
      </c>
      <c r="B30" s="114" t="str">
        <f ca="1">IFERROR(VALUE(IF(VLOOKUP($A30,数出表_Excel!$A$6:$T$150,COLUMN()/2+1,FALSE)=0,"",VLOOKUP($A30,数出表_Excel!$A$6:$T$150,COLUMN()/2+1,FALSE))),"")</f>
        <v/>
      </c>
      <c r="C30" s="79"/>
      <c r="D30" s="114" t="str">
        <f ca="1">IFERROR(VALUE(IF(VLOOKUP($A30,数出表_Excel!$A$6:$T$150,COLUMN()/2+1,FALSE)=0,"",VLOOKUP($A30,数出表_Excel!$A$6:$T$150,COLUMN()/2+1,FALSE))),"")</f>
        <v/>
      </c>
      <c r="E30" s="79"/>
      <c r="F30" s="116" t="str">
        <f ca="1">IFERROR(VALUE(IF(VLOOKUP($A30,数出表_Excel!$A$6:$T$150,COLUMN()/2+1,FALSE)=0,"",VLOOKUP($A30,数出表_Excel!$A$6:$T$150,COLUMN()/2+1,FALSE))),"")</f>
        <v/>
      </c>
      <c r="G30" s="79"/>
      <c r="H30" s="114" t="str">
        <f ca="1">IFERROR(VALUE(IF(VLOOKUP($A30,数出表_Excel!$A$6:$T$150,COLUMN()/2+1,FALSE)=0,"",VLOOKUP($A30,数出表_Excel!$A$6:$T$150,COLUMN()/2+1,FALSE))),"")</f>
        <v/>
      </c>
      <c r="I30" s="79"/>
      <c r="J30" s="114" t="str">
        <f ca="1">IFERROR(VALUE(IF(VLOOKUP($A30,数出表_Excel!$A$6:$T$150,COLUMN()/2+1,FALSE)=0,"",VLOOKUP($A30,数出表_Excel!$A$6:$T$150,COLUMN()/2+1,FALSE))),"")</f>
        <v/>
      </c>
      <c r="K30" s="79"/>
      <c r="L30" s="116" t="str">
        <f ca="1">IFERROR(VALUE(IF(VLOOKUP($A30,数出表_Excel!$A$6:$T$150,COLUMN()/2+1,FALSE)=0,"",VLOOKUP($A30,数出表_Excel!$A$6:$T$150,COLUMN()/2+1,FALSE))),"")</f>
        <v/>
      </c>
      <c r="M30" s="79"/>
      <c r="N30" s="114" t="str">
        <f ca="1">IFERROR(VALUE(IF(VLOOKUP($A30,数出表_Excel!$A$6:$T$150,COLUMN()/2+1,FALSE)=0,"",VLOOKUP($A30,数出表_Excel!$A$6:$T$150,COLUMN()/2+1,FALSE))),"")</f>
        <v/>
      </c>
      <c r="O30" s="79"/>
      <c r="P30" s="114" t="str">
        <f ca="1">IFERROR(VALUE(IF(VLOOKUP($A30,数出表_Excel!$A$6:$T$150,COLUMN()/2+1,FALSE)=0,"",VLOOKUP($A30,数出表_Excel!$A$6:$T$150,COLUMN()/2+1,FALSE))),"")</f>
        <v/>
      </c>
      <c r="Q30" s="79"/>
      <c r="R30" s="114" t="str">
        <f ca="1">IFERROR(VALUE(IF(VLOOKUP($A30,数出表_Excel!$A$6:$T$150,COLUMN()/2+1,FALSE)=0,"",VLOOKUP($A30,数出表_Excel!$A$6:$T$150,COLUMN()/2+1,FALSE))),"")</f>
        <v/>
      </c>
      <c r="S30" s="79"/>
      <c r="T30" s="114" t="str">
        <f ca="1">IFERROR(VALUE(IF(VLOOKUP($A30,数出表_Excel!$A$6:$T$150,COLUMN()/2+1,FALSE)=0,"",VLOOKUP($A30,数出表_Excel!$A$6:$T$150,COLUMN()/2+1,FALSE))),"")</f>
        <v/>
      </c>
      <c r="U30" s="79"/>
      <c r="V30" s="116" t="str">
        <f ca="1">IFERROR(VALUE(IF(VLOOKUP($A30,数出表_Excel!$A$6:$T$150,COLUMN()/2+1,FALSE)=0,"",VLOOKUP($A30,数出表_Excel!$A$6:$T$150,COLUMN()/2+1,FALSE))),"")</f>
        <v/>
      </c>
      <c r="W30" s="79"/>
      <c r="X30" s="116" t="str">
        <f ca="1">IFERROR(VALUE(IF(VLOOKUP($A30,数出表_Excel!$A$6:$T$150,COLUMN()/2+1,FALSE)=0,"",VLOOKUP($A30,数出表_Excel!$A$6:$T$150,COLUMN()/2+1,FALSE))),"")</f>
        <v/>
      </c>
      <c r="Y30" s="79"/>
      <c r="Z30" s="116" t="str">
        <f ca="1">IFERROR(VALUE(IF(VLOOKUP($A30,数出表_Excel!$A$6:$T$150,COLUMN()/2+1,FALSE)=0,"",VLOOKUP($A30,数出表_Excel!$A$6:$T$150,COLUMN()/2+1,FALSE))),"")</f>
        <v/>
      </c>
      <c r="AA30" s="117"/>
      <c r="AB30" s="115" t="str">
        <f ca="1">IFERROR(VALUE(IF(VLOOKUP($A30,数出表_Excel!$A$6:$T$150,COLUMN()/2+1,FALSE)=0,"",VLOOKUP($A30,数出表_Excel!$A$6:$T$150,COLUMN()/2+1,FALSE))),"")</f>
        <v/>
      </c>
      <c r="AC30" s="79"/>
      <c r="AD30" s="116" t="str">
        <f ca="1">IFERROR(VALUE(IF(VLOOKUP($A30,数出表_Excel!$A$6:$T$150,COLUMN()/2+1,FALSE)=0,"",VLOOKUP($A30,数出表_Excel!$A$6:$T$150,COLUMN()/2+1,FALSE))),"")</f>
        <v/>
      </c>
      <c r="AE30" s="79"/>
      <c r="AF30" s="116" t="str">
        <f ca="1">IFERROR(VALUE(IF(VLOOKUP($A30,数出表_Excel!$A$6:$T$150,COLUMN()/2+1,FALSE)=0,"",VLOOKUP($A30,数出表_Excel!$A$6:$T$150,COLUMN()/2+1,FALSE))),"")</f>
        <v/>
      </c>
      <c r="AG30" s="79"/>
      <c r="AH30" s="116" t="str">
        <f ca="1">IFERROR(VALUE(IF(VLOOKUP($A30,数出表_Excel!$A$6:$T$150,COLUMN()/2+1,FALSE)=0,"",VLOOKUP($A30,数出表_Excel!$A$6:$T$150,COLUMN()/2+1,FALSE))),"")</f>
        <v/>
      </c>
      <c r="AI30" s="117"/>
      <c r="AJ30" s="115" t="str">
        <f ca="1">IFERROR(VALUE(IF(VLOOKUP($A30,数出表_Excel!$A$6:$T$150,COLUMN()/2+1,FALSE)=0,"",VLOOKUP($A30,数出表_Excel!$A$6:$T$150,COLUMN()/2+1,FALSE))),"")</f>
        <v/>
      </c>
      <c r="AK30" s="79"/>
      <c r="AL30" s="83" t="e">
        <f ca="1">IF(A30&lt;&gt;"",
IF(VLOOKUP($A30,数出表_Excel!$A$6:$T$150,COLUMN()/2+1,FALSE)=0,"",VLOOKUP($A30,数出表_Excel!$A$6:$T$150,COLUMN()/2+1,FALSE)),"")</f>
        <v>#N/A</v>
      </c>
      <c r="AM30" s="164" t="e">
        <f ca="1">数出表_Excel!V30</f>
        <v>#N/A</v>
      </c>
      <c r="AN30" s="165" t="e">
        <f ca="1">数出表_Excel!W30</f>
        <v>#N/A</v>
      </c>
    </row>
    <row r="31" spans="1:40" ht="16.2" customHeight="1">
      <c r="A31" s="127" t="e">
        <f t="array" aca="1" ref="A31" ca="1">IF(OR(COUNTIF(A29,"*1000*"),COUNTIF(A29,"")),"",INDEX(貼り付け用!$A1:$A200,MATCH(A29,貼り付け用!$A1:$A200,0)+2,0))</f>
        <v>#N/A</v>
      </c>
      <c r="B31" s="80" t="str">
        <f ca="1">IFERROR(VALUE(IF(VLOOKUP($A31,数出表_Excel!$A$6:$T$150,COLUMN()/2+1,FALSE)=0,"",VLOOKUP($A31,数出表_Excel!$A$6:$T$150,COLUMN()/2+1,FALSE))),"")</f>
        <v/>
      </c>
      <c r="C31" s="80"/>
      <c r="D31" s="80" t="str">
        <f ca="1">IFERROR(VALUE(IF(VLOOKUP($A31,数出表_Excel!$A$6:$T$150,COLUMN()/2+1,FALSE)=0,"",VLOOKUP($A31,数出表_Excel!$A$6:$T$150,COLUMN()/2+1,FALSE))),"")</f>
        <v/>
      </c>
      <c r="E31" s="80"/>
      <c r="F31" s="84" t="str">
        <f ca="1">IFERROR(VALUE(IF(VLOOKUP($A31,数出表_Excel!$A$6:$T$150,COLUMN()/2+1,FALSE)=0,"",VLOOKUP($A31,数出表_Excel!$A$6:$T$150,COLUMN()/2+1,FALSE))),"")</f>
        <v/>
      </c>
      <c r="G31" s="80"/>
      <c r="H31" s="80" t="str">
        <f ca="1">IFERROR(VALUE(IF(VLOOKUP($A31,数出表_Excel!$A$6:$T$150,COLUMN()/2+1,FALSE)=0,"",VLOOKUP($A31,数出表_Excel!$A$6:$T$150,COLUMN()/2+1,FALSE))),"")</f>
        <v/>
      </c>
      <c r="I31" s="80"/>
      <c r="J31" s="80" t="str">
        <f ca="1">IFERROR(VALUE(IF(VLOOKUP($A31,数出表_Excel!$A$6:$T$150,COLUMN()/2+1,FALSE)=0,"",VLOOKUP($A31,数出表_Excel!$A$6:$T$150,COLUMN()/2+1,FALSE))),"")</f>
        <v/>
      </c>
      <c r="K31" s="80"/>
      <c r="L31" s="84" t="str">
        <f ca="1">IFERROR(VALUE(IF(VLOOKUP($A31,数出表_Excel!$A$6:$T$150,COLUMN()/2+1,FALSE)=0,"",VLOOKUP($A31,数出表_Excel!$A$6:$T$150,COLUMN()/2+1,FALSE))),"")</f>
        <v/>
      </c>
      <c r="M31" s="80"/>
      <c r="N31" s="80" t="str">
        <f ca="1">IFERROR(VALUE(IF(VLOOKUP($A31,数出表_Excel!$A$6:$T$150,COLUMN()/2+1,FALSE)=0,"",VLOOKUP($A31,数出表_Excel!$A$6:$T$150,COLUMN()/2+1,FALSE))),"")</f>
        <v/>
      </c>
      <c r="O31" s="80"/>
      <c r="P31" s="80" t="str">
        <f ca="1">IFERROR(VALUE(IF(VLOOKUP($A31,数出表_Excel!$A$6:$T$150,COLUMN()/2+1,FALSE)=0,"",VLOOKUP($A31,数出表_Excel!$A$6:$T$150,COLUMN()/2+1,FALSE))),"")</f>
        <v/>
      </c>
      <c r="Q31" s="80"/>
      <c r="R31" s="80" t="str">
        <f ca="1">IFERROR(VALUE(IF(VLOOKUP($A31,数出表_Excel!$A$6:$T$150,COLUMN()/2+1,FALSE)=0,"",VLOOKUP($A31,数出表_Excel!$A$6:$T$150,COLUMN()/2+1,FALSE))),"")</f>
        <v/>
      </c>
      <c r="S31" s="80"/>
      <c r="T31" s="80" t="str">
        <f ca="1">IFERROR(VALUE(IF(VLOOKUP($A31,数出表_Excel!$A$6:$T$150,COLUMN()/2+1,FALSE)=0,"",VLOOKUP($A31,数出表_Excel!$A$6:$T$150,COLUMN()/2+1,FALSE))),"")</f>
        <v/>
      </c>
      <c r="U31" s="80"/>
      <c r="V31" s="84" t="str">
        <f ca="1">IFERROR(VALUE(IF(VLOOKUP($A31,数出表_Excel!$A$6:$T$150,COLUMN()/2+1,FALSE)=0,"",VLOOKUP($A31,数出表_Excel!$A$6:$T$150,COLUMN()/2+1,FALSE))),"")</f>
        <v/>
      </c>
      <c r="W31" s="80"/>
      <c r="X31" s="84" t="str">
        <f ca="1">IFERROR(VALUE(IF(VLOOKUP($A31,数出表_Excel!$A$6:$T$150,COLUMN()/2+1,FALSE)=0,"",VLOOKUP($A31,数出表_Excel!$A$6:$T$150,COLUMN()/2+1,FALSE))),"")</f>
        <v/>
      </c>
      <c r="Y31" s="80"/>
      <c r="Z31" s="84" t="str">
        <f ca="1">IFERROR(VALUE(IF(VLOOKUP($A31,数出表_Excel!$A$6:$T$150,COLUMN()/2+1,FALSE)=0,"",VLOOKUP($A31,数出表_Excel!$A$6:$T$150,COLUMN()/2+1,FALSE))),"")</f>
        <v/>
      </c>
      <c r="AA31" s="118"/>
      <c r="AB31" s="85" t="str">
        <f ca="1">IFERROR(VALUE(IF(VLOOKUP($A31,数出表_Excel!$A$6:$T$150,COLUMN()/2+1,FALSE)=0,"",VLOOKUP($A31,数出表_Excel!$A$6:$T$150,COLUMN()/2+1,FALSE))),"")</f>
        <v/>
      </c>
      <c r="AC31" s="80"/>
      <c r="AD31" s="84" t="str">
        <f ca="1">IFERROR(VALUE(IF(VLOOKUP($A31,数出表_Excel!$A$6:$T$150,COLUMN()/2+1,FALSE)=0,"",VLOOKUP($A31,数出表_Excel!$A$6:$T$150,COLUMN()/2+1,FALSE))),"")</f>
        <v/>
      </c>
      <c r="AE31" s="80"/>
      <c r="AF31" s="84" t="str">
        <f ca="1">IFERROR(VALUE(IF(VLOOKUP($A31,数出表_Excel!$A$6:$T$150,COLUMN()/2+1,FALSE)=0,"",VLOOKUP($A31,数出表_Excel!$A$6:$T$150,COLUMN()/2+1,FALSE))),"")</f>
        <v/>
      </c>
      <c r="AG31" s="80"/>
      <c r="AH31" s="84" t="str">
        <f ca="1">IFERROR(VALUE(IF(VLOOKUP($A31,数出表_Excel!$A$6:$T$150,COLUMN()/2+1,FALSE)=0,"",VLOOKUP($A31,数出表_Excel!$A$6:$T$150,COLUMN()/2+1,FALSE))),"")</f>
        <v/>
      </c>
      <c r="AI31" s="118"/>
      <c r="AJ31" s="85" t="str">
        <f ca="1">IFERROR(VALUE(IF(VLOOKUP($A31,数出表_Excel!$A$6:$T$150,COLUMN()/2+1,FALSE)=0,"",VLOOKUP($A31,数出表_Excel!$A$6:$T$150,COLUMN()/2+1,FALSE))),"")</f>
        <v/>
      </c>
      <c r="AK31" s="80"/>
      <c r="AL31" s="86" t="e">
        <f ca="1">IF(A31&lt;&gt;"",
IF(VLOOKUP($A31,数出表_Excel!$A$6:$T$150,COLUMN()/2+1,FALSE)=0,"",VLOOKUP($A31,数出表_Excel!$A$6:$T$150,COLUMN()/2+1,FALSE)),"")</f>
        <v>#N/A</v>
      </c>
      <c r="AM31" s="166" t="e">
        <f ca="1">数出表_Excel!V31</f>
        <v>#N/A</v>
      </c>
      <c r="AN31" s="167" t="e">
        <f ca="1">数出表_Excel!W31</f>
        <v>#N/A</v>
      </c>
    </row>
    <row r="32" spans="1:40" ht="16.2" customHeight="1">
      <c r="A32" s="126" t="e">
        <f t="array" aca="1" ref="A32" ca="1">IF(OR(COUNTIF(A30,"*10002*"),COUNTIF(A30,"")),"",INDEX(貼り付け用!$A1:$A200,MATCH(A30,貼り付け用!$A1:$A200,0)+2,0))</f>
        <v>#N/A</v>
      </c>
      <c r="B32" s="114" t="str">
        <f ca="1">IFERROR(VALUE(IF(VLOOKUP($A32,数出表_Excel!$A$6:$T$150,COLUMN()/2+1,FALSE)=0,"",VLOOKUP($A32,数出表_Excel!$A$6:$T$150,COLUMN()/2+1,FALSE))),"")</f>
        <v/>
      </c>
      <c r="C32" s="79"/>
      <c r="D32" s="114" t="str">
        <f ca="1">IFERROR(VALUE(IF(VLOOKUP($A32,数出表_Excel!$A$6:$T$150,COLUMN()/2+1,FALSE)=0,"",VLOOKUP($A32,数出表_Excel!$A$6:$T$150,COLUMN()/2+1,FALSE))),"")</f>
        <v/>
      </c>
      <c r="E32" s="79"/>
      <c r="F32" s="116" t="str">
        <f ca="1">IFERROR(VALUE(IF(VLOOKUP($A32,数出表_Excel!$A$6:$T$150,COLUMN()/2+1,FALSE)=0,"",VLOOKUP($A32,数出表_Excel!$A$6:$T$150,COLUMN()/2+1,FALSE))),"")</f>
        <v/>
      </c>
      <c r="G32" s="79"/>
      <c r="H32" s="114" t="str">
        <f ca="1">IFERROR(VALUE(IF(VLOOKUP($A32,数出表_Excel!$A$6:$T$150,COLUMN()/2+1,FALSE)=0,"",VLOOKUP($A32,数出表_Excel!$A$6:$T$150,COLUMN()/2+1,FALSE))),"")</f>
        <v/>
      </c>
      <c r="I32" s="79"/>
      <c r="J32" s="114" t="str">
        <f ca="1">IFERROR(VALUE(IF(VLOOKUP($A32,数出表_Excel!$A$6:$T$150,COLUMN()/2+1,FALSE)=0,"",VLOOKUP($A32,数出表_Excel!$A$6:$T$150,COLUMN()/2+1,FALSE))),"")</f>
        <v/>
      </c>
      <c r="K32" s="79"/>
      <c r="L32" s="116" t="str">
        <f ca="1">IFERROR(VALUE(IF(VLOOKUP($A32,数出表_Excel!$A$6:$T$150,COLUMN()/2+1,FALSE)=0,"",VLOOKUP($A32,数出表_Excel!$A$6:$T$150,COLUMN()/2+1,FALSE))),"")</f>
        <v/>
      </c>
      <c r="M32" s="79"/>
      <c r="N32" s="114" t="str">
        <f ca="1">IFERROR(VALUE(IF(VLOOKUP($A32,数出表_Excel!$A$6:$T$150,COLUMN()/2+1,FALSE)=0,"",VLOOKUP($A32,数出表_Excel!$A$6:$T$150,COLUMN()/2+1,FALSE))),"")</f>
        <v/>
      </c>
      <c r="O32" s="79"/>
      <c r="P32" s="114" t="str">
        <f ca="1">IFERROR(VALUE(IF(VLOOKUP($A32,数出表_Excel!$A$6:$T$150,COLUMN()/2+1,FALSE)=0,"",VLOOKUP($A32,数出表_Excel!$A$6:$T$150,COLUMN()/2+1,FALSE))),"")</f>
        <v/>
      </c>
      <c r="Q32" s="79"/>
      <c r="R32" s="114" t="str">
        <f ca="1">IFERROR(VALUE(IF(VLOOKUP($A32,数出表_Excel!$A$6:$T$150,COLUMN()/2+1,FALSE)=0,"",VLOOKUP($A32,数出表_Excel!$A$6:$T$150,COLUMN()/2+1,FALSE))),"")</f>
        <v/>
      </c>
      <c r="S32" s="79"/>
      <c r="T32" s="114" t="str">
        <f ca="1">IFERROR(VALUE(IF(VLOOKUP($A32,数出表_Excel!$A$6:$T$150,COLUMN()/2+1,FALSE)=0,"",VLOOKUP($A32,数出表_Excel!$A$6:$T$150,COLUMN()/2+1,FALSE))),"")</f>
        <v/>
      </c>
      <c r="U32" s="79"/>
      <c r="V32" s="116" t="str">
        <f ca="1">IFERROR(VALUE(IF(VLOOKUP($A32,数出表_Excel!$A$6:$T$150,COLUMN()/2+1,FALSE)=0,"",VLOOKUP($A32,数出表_Excel!$A$6:$T$150,COLUMN()/2+1,FALSE))),"")</f>
        <v/>
      </c>
      <c r="W32" s="79"/>
      <c r="X32" s="116" t="str">
        <f ca="1">IFERROR(VALUE(IF(VLOOKUP($A32,数出表_Excel!$A$6:$T$150,COLUMN()/2+1,FALSE)=0,"",VLOOKUP($A32,数出表_Excel!$A$6:$T$150,COLUMN()/2+1,FALSE))),"")</f>
        <v/>
      </c>
      <c r="Y32" s="79"/>
      <c r="Z32" s="116" t="str">
        <f ca="1">IFERROR(VALUE(IF(VLOOKUP($A32,数出表_Excel!$A$6:$T$150,COLUMN()/2+1,FALSE)=0,"",VLOOKUP($A32,数出表_Excel!$A$6:$T$150,COLUMN()/2+1,FALSE))),"")</f>
        <v/>
      </c>
      <c r="AA32" s="117"/>
      <c r="AB32" s="115" t="str">
        <f ca="1">IFERROR(VALUE(IF(VLOOKUP($A32,数出表_Excel!$A$6:$T$150,COLUMN()/2+1,FALSE)=0,"",VLOOKUP($A32,数出表_Excel!$A$6:$T$150,COLUMN()/2+1,FALSE))),"")</f>
        <v/>
      </c>
      <c r="AC32" s="79"/>
      <c r="AD32" s="116" t="str">
        <f ca="1">IFERROR(VALUE(IF(VLOOKUP($A32,数出表_Excel!$A$6:$T$150,COLUMN()/2+1,FALSE)=0,"",VLOOKUP($A32,数出表_Excel!$A$6:$T$150,COLUMN()/2+1,FALSE))),"")</f>
        <v/>
      </c>
      <c r="AE32" s="79"/>
      <c r="AF32" s="116" t="str">
        <f ca="1">IFERROR(VALUE(IF(VLOOKUP($A32,数出表_Excel!$A$6:$T$150,COLUMN()/2+1,FALSE)=0,"",VLOOKUP($A32,数出表_Excel!$A$6:$T$150,COLUMN()/2+1,FALSE))),"")</f>
        <v/>
      </c>
      <c r="AG32" s="79"/>
      <c r="AH32" s="116" t="str">
        <f ca="1">IFERROR(VALUE(IF(VLOOKUP($A32,数出表_Excel!$A$6:$T$150,COLUMN()/2+1,FALSE)=0,"",VLOOKUP($A32,数出表_Excel!$A$6:$T$150,COLUMN()/2+1,FALSE))),"")</f>
        <v/>
      </c>
      <c r="AI32" s="117"/>
      <c r="AJ32" s="115" t="str">
        <f ca="1">IFERROR(VALUE(IF(VLOOKUP($A32,数出表_Excel!$A$6:$T$150,COLUMN()/2+1,FALSE)=0,"",VLOOKUP($A32,数出表_Excel!$A$6:$T$150,COLUMN()/2+1,FALSE))),"")</f>
        <v/>
      </c>
      <c r="AK32" s="79"/>
      <c r="AL32" s="83" t="e">
        <f ca="1">IF(A32&lt;&gt;"",
IF(VLOOKUP($A32,数出表_Excel!$A$6:$T$150,COLUMN()/2+1,FALSE)=0,"",VLOOKUP($A32,数出表_Excel!$A$6:$T$150,COLUMN()/2+1,FALSE)),"")</f>
        <v>#N/A</v>
      </c>
      <c r="AM32" s="164" t="e">
        <f ca="1">数出表_Excel!V32</f>
        <v>#N/A</v>
      </c>
      <c r="AN32" s="165" t="e">
        <f ca="1">数出表_Excel!W32</f>
        <v>#N/A</v>
      </c>
    </row>
    <row r="33" spans="1:40" ht="16.2" customHeight="1">
      <c r="A33" s="127" t="e">
        <f t="array" aca="1" ref="A33" ca="1">IF(OR(COUNTIF(A31,"*1000*"),COUNTIF(A31,"")),"",INDEX(貼り付け用!$A1:$A200,MATCH(A31,貼り付け用!$A1:$A200,0)+2,0))</f>
        <v>#N/A</v>
      </c>
      <c r="B33" s="80" t="str">
        <f ca="1">IFERROR(VALUE(IF(VLOOKUP($A33,数出表_Excel!$A$6:$T$150,COLUMN()/2+1,FALSE)=0,"",VLOOKUP($A33,数出表_Excel!$A$6:$T$150,COLUMN()/2+1,FALSE))),"")</f>
        <v/>
      </c>
      <c r="C33" s="80"/>
      <c r="D33" s="80" t="str">
        <f ca="1">IFERROR(VALUE(IF(VLOOKUP($A33,数出表_Excel!$A$6:$T$150,COLUMN()/2+1,FALSE)=0,"",VLOOKUP($A33,数出表_Excel!$A$6:$T$150,COLUMN()/2+1,FALSE))),"")</f>
        <v/>
      </c>
      <c r="E33" s="80"/>
      <c r="F33" s="84" t="str">
        <f ca="1">IFERROR(VALUE(IF(VLOOKUP($A33,数出表_Excel!$A$6:$T$150,COLUMN()/2+1,FALSE)=0,"",VLOOKUP($A33,数出表_Excel!$A$6:$T$150,COLUMN()/2+1,FALSE))),"")</f>
        <v/>
      </c>
      <c r="G33" s="80"/>
      <c r="H33" s="80" t="str">
        <f ca="1">IFERROR(VALUE(IF(VLOOKUP($A33,数出表_Excel!$A$6:$T$150,COLUMN()/2+1,FALSE)=0,"",VLOOKUP($A33,数出表_Excel!$A$6:$T$150,COLUMN()/2+1,FALSE))),"")</f>
        <v/>
      </c>
      <c r="I33" s="80"/>
      <c r="J33" s="80" t="str">
        <f ca="1">IFERROR(VALUE(IF(VLOOKUP($A33,数出表_Excel!$A$6:$T$150,COLUMN()/2+1,FALSE)=0,"",VLOOKUP($A33,数出表_Excel!$A$6:$T$150,COLUMN()/2+1,FALSE))),"")</f>
        <v/>
      </c>
      <c r="K33" s="80"/>
      <c r="L33" s="84" t="str">
        <f ca="1">IFERROR(VALUE(IF(VLOOKUP($A33,数出表_Excel!$A$6:$T$150,COLUMN()/2+1,FALSE)=0,"",VLOOKUP($A33,数出表_Excel!$A$6:$T$150,COLUMN()/2+1,FALSE))),"")</f>
        <v/>
      </c>
      <c r="M33" s="80"/>
      <c r="N33" s="80" t="str">
        <f ca="1">IFERROR(VALUE(IF(VLOOKUP($A33,数出表_Excel!$A$6:$T$150,COLUMN()/2+1,FALSE)=0,"",VLOOKUP($A33,数出表_Excel!$A$6:$T$150,COLUMN()/2+1,FALSE))),"")</f>
        <v/>
      </c>
      <c r="O33" s="80"/>
      <c r="P33" s="80" t="str">
        <f ca="1">IFERROR(VALUE(IF(VLOOKUP($A33,数出表_Excel!$A$6:$T$150,COLUMN()/2+1,FALSE)=0,"",VLOOKUP($A33,数出表_Excel!$A$6:$T$150,COLUMN()/2+1,FALSE))),"")</f>
        <v/>
      </c>
      <c r="Q33" s="80"/>
      <c r="R33" s="80" t="str">
        <f ca="1">IFERROR(VALUE(IF(VLOOKUP($A33,数出表_Excel!$A$6:$T$150,COLUMN()/2+1,FALSE)=0,"",VLOOKUP($A33,数出表_Excel!$A$6:$T$150,COLUMN()/2+1,FALSE))),"")</f>
        <v/>
      </c>
      <c r="S33" s="80"/>
      <c r="T33" s="80" t="str">
        <f ca="1">IFERROR(VALUE(IF(VLOOKUP($A33,数出表_Excel!$A$6:$T$150,COLUMN()/2+1,FALSE)=0,"",VLOOKUP($A33,数出表_Excel!$A$6:$T$150,COLUMN()/2+1,FALSE))),"")</f>
        <v/>
      </c>
      <c r="U33" s="80"/>
      <c r="V33" s="84" t="str">
        <f ca="1">IFERROR(VALUE(IF(VLOOKUP($A33,数出表_Excel!$A$6:$T$150,COLUMN()/2+1,FALSE)=0,"",VLOOKUP($A33,数出表_Excel!$A$6:$T$150,COLUMN()/2+1,FALSE))),"")</f>
        <v/>
      </c>
      <c r="W33" s="80"/>
      <c r="X33" s="84" t="str">
        <f ca="1">IFERROR(VALUE(IF(VLOOKUP($A33,数出表_Excel!$A$6:$T$150,COLUMN()/2+1,FALSE)=0,"",VLOOKUP($A33,数出表_Excel!$A$6:$T$150,COLUMN()/2+1,FALSE))),"")</f>
        <v/>
      </c>
      <c r="Y33" s="80"/>
      <c r="Z33" s="84" t="str">
        <f ca="1">IFERROR(VALUE(IF(VLOOKUP($A33,数出表_Excel!$A$6:$T$150,COLUMN()/2+1,FALSE)=0,"",VLOOKUP($A33,数出表_Excel!$A$6:$T$150,COLUMN()/2+1,FALSE))),"")</f>
        <v/>
      </c>
      <c r="AA33" s="118"/>
      <c r="AB33" s="85" t="str">
        <f ca="1">IFERROR(VALUE(IF(VLOOKUP($A33,数出表_Excel!$A$6:$T$150,COLUMN()/2+1,FALSE)=0,"",VLOOKUP($A33,数出表_Excel!$A$6:$T$150,COLUMN()/2+1,FALSE))),"")</f>
        <v/>
      </c>
      <c r="AC33" s="80"/>
      <c r="AD33" s="84" t="str">
        <f ca="1">IFERROR(VALUE(IF(VLOOKUP($A33,数出表_Excel!$A$6:$T$150,COLUMN()/2+1,FALSE)=0,"",VLOOKUP($A33,数出表_Excel!$A$6:$T$150,COLUMN()/2+1,FALSE))),"")</f>
        <v/>
      </c>
      <c r="AE33" s="80"/>
      <c r="AF33" s="84" t="str">
        <f ca="1">IFERROR(VALUE(IF(VLOOKUP($A33,数出表_Excel!$A$6:$T$150,COLUMN()/2+1,FALSE)=0,"",VLOOKUP($A33,数出表_Excel!$A$6:$T$150,COLUMN()/2+1,FALSE))),"")</f>
        <v/>
      </c>
      <c r="AG33" s="80"/>
      <c r="AH33" s="84" t="str">
        <f ca="1">IFERROR(VALUE(IF(VLOOKUP($A33,数出表_Excel!$A$6:$T$150,COLUMN()/2+1,FALSE)=0,"",VLOOKUP($A33,数出表_Excel!$A$6:$T$150,COLUMN()/2+1,FALSE))),"")</f>
        <v/>
      </c>
      <c r="AI33" s="118"/>
      <c r="AJ33" s="85" t="str">
        <f ca="1">IFERROR(VALUE(IF(VLOOKUP($A33,数出表_Excel!$A$6:$T$150,COLUMN()/2+1,FALSE)=0,"",VLOOKUP($A33,数出表_Excel!$A$6:$T$150,COLUMN()/2+1,FALSE))),"")</f>
        <v/>
      </c>
      <c r="AK33" s="80"/>
      <c r="AL33" s="86" t="e">
        <f ca="1">IF(A33&lt;&gt;"",
IF(VLOOKUP($A33,数出表_Excel!$A$6:$T$150,COLUMN()/2+1,FALSE)=0,"",VLOOKUP($A33,数出表_Excel!$A$6:$T$150,COLUMN()/2+1,FALSE)),"")</f>
        <v>#N/A</v>
      </c>
      <c r="AM33" s="166" t="e">
        <f ca="1">数出表_Excel!V33</f>
        <v>#N/A</v>
      </c>
      <c r="AN33" s="167" t="e">
        <f ca="1">数出表_Excel!W33</f>
        <v>#N/A</v>
      </c>
    </row>
    <row r="34" spans="1:40" ht="16.2" customHeight="1">
      <c r="A34" s="126" t="e">
        <f t="array" aca="1" ref="A34" ca="1">IF(OR(COUNTIF(A32,"*10002*"),COUNTIF(A32,"")),"",INDEX(貼り付け用!$A1:$A200,MATCH(A32,貼り付け用!$A1:$A200,0)+2,0))</f>
        <v>#N/A</v>
      </c>
      <c r="B34" s="114" t="str">
        <f ca="1">IFERROR(VALUE(IF(VLOOKUP($A34,数出表_Excel!$A$6:$T$150,COLUMN()/2+1,FALSE)=0,"",VLOOKUP($A34,数出表_Excel!$A$6:$T$150,COLUMN()/2+1,FALSE))),"")</f>
        <v/>
      </c>
      <c r="C34" s="79"/>
      <c r="D34" s="114" t="str">
        <f ca="1">IFERROR(VALUE(IF(VLOOKUP($A34,数出表_Excel!$A$6:$T$150,COLUMN()/2+1,FALSE)=0,"",VLOOKUP($A34,数出表_Excel!$A$6:$T$150,COLUMN()/2+1,FALSE))),"")</f>
        <v/>
      </c>
      <c r="E34" s="79"/>
      <c r="F34" s="116" t="str">
        <f ca="1">IFERROR(VALUE(IF(VLOOKUP($A34,数出表_Excel!$A$6:$T$150,COLUMN()/2+1,FALSE)=0,"",VLOOKUP($A34,数出表_Excel!$A$6:$T$150,COLUMN()/2+1,FALSE))),"")</f>
        <v/>
      </c>
      <c r="G34" s="79"/>
      <c r="H34" s="114" t="str">
        <f ca="1">IFERROR(VALUE(IF(VLOOKUP($A34,数出表_Excel!$A$6:$T$150,COLUMN()/2+1,FALSE)=0,"",VLOOKUP($A34,数出表_Excel!$A$6:$T$150,COLUMN()/2+1,FALSE))),"")</f>
        <v/>
      </c>
      <c r="I34" s="79"/>
      <c r="J34" s="114" t="str">
        <f ca="1">IFERROR(VALUE(IF(VLOOKUP($A34,数出表_Excel!$A$6:$T$150,COLUMN()/2+1,FALSE)=0,"",VLOOKUP($A34,数出表_Excel!$A$6:$T$150,COLUMN()/2+1,FALSE))),"")</f>
        <v/>
      </c>
      <c r="K34" s="79"/>
      <c r="L34" s="116" t="str">
        <f ca="1">IFERROR(VALUE(IF(VLOOKUP($A34,数出表_Excel!$A$6:$T$150,COLUMN()/2+1,FALSE)=0,"",VLOOKUP($A34,数出表_Excel!$A$6:$T$150,COLUMN()/2+1,FALSE))),"")</f>
        <v/>
      </c>
      <c r="M34" s="79"/>
      <c r="N34" s="114" t="str">
        <f ca="1">IFERROR(VALUE(IF(VLOOKUP($A34,数出表_Excel!$A$6:$T$150,COLUMN()/2+1,FALSE)=0,"",VLOOKUP($A34,数出表_Excel!$A$6:$T$150,COLUMN()/2+1,FALSE))),"")</f>
        <v/>
      </c>
      <c r="O34" s="79"/>
      <c r="P34" s="114" t="str">
        <f ca="1">IFERROR(VALUE(IF(VLOOKUP($A34,数出表_Excel!$A$6:$T$150,COLUMN()/2+1,FALSE)=0,"",VLOOKUP($A34,数出表_Excel!$A$6:$T$150,COLUMN()/2+1,FALSE))),"")</f>
        <v/>
      </c>
      <c r="Q34" s="79"/>
      <c r="R34" s="114" t="str">
        <f ca="1">IFERROR(VALUE(IF(VLOOKUP($A34,数出表_Excel!$A$6:$T$150,COLUMN()/2+1,FALSE)=0,"",VLOOKUP($A34,数出表_Excel!$A$6:$T$150,COLUMN()/2+1,FALSE))),"")</f>
        <v/>
      </c>
      <c r="S34" s="79"/>
      <c r="T34" s="114" t="str">
        <f ca="1">IFERROR(VALUE(IF(VLOOKUP($A34,数出表_Excel!$A$6:$T$150,COLUMN()/2+1,FALSE)=0,"",VLOOKUP($A34,数出表_Excel!$A$6:$T$150,COLUMN()/2+1,FALSE))),"")</f>
        <v/>
      </c>
      <c r="U34" s="79"/>
      <c r="V34" s="116" t="str">
        <f ca="1">IFERROR(VALUE(IF(VLOOKUP($A34,数出表_Excel!$A$6:$T$150,COLUMN()/2+1,FALSE)=0,"",VLOOKUP($A34,数出表_Excel!$A$6:$T$150,COLUMN()/2+1,FALSE))),"")</f>
        <v/>
      </c>
      <c r="W34" s="79"/>
      <c r="X34" s="116" t="str">
        <f ca="1">IFERROR(VALUE(IF(VLOOKUP($A34,数出表_Excel!$A$6:$T$150,COLUMN()/2+1,FALSE)=0,"",VLOOKUP($A34,数出表_Excel!$A$6:$T$150,COLUMN()/2+1,FALSE))),"")</f>
        <v/>
      </c>
      <c r="Y34" s="79"/>
      <c r="Z34" s="116" t="str">
        <f ca="1">IFERROR(VALUE(IF(VLOOKUP($A34,数出表_Excel!$A$6:$T$150,COLUMN()/2+1,FALSE)=0,"",VLOOKUP($A34,数出表_Excel!$A$6:$T$150,COLUMN()/2+1,FALSE))),"")</f>
        <v/>
      </c>
      <c r="AA34" s="117"/>
      <c r="AB34" s="115" t="str">
        <f ca="1">IFERROR(VALUE(IF(VLOOKUP($A34,数出表_Excel!$A$6:$T$150,COLUMN()/2+1,FALSE)=0,"",VLOOKUP($A34,数出表_Excel!$A$6:$T$150,COLUMN()/2+1,FALSE))),"")</f>
        <v/>
      </c>
      <c r="AC34" s="79"/>
      <c r="AD34" s="116" t="str">
        <f ca="1">IFERROR(VALUE(IF(VLOOKUP($A34,数出表_Excel!$A$6:$T$150,COLUMN()/2+1,FALSE)=0,"",VLOOKUP($A34,数出表_Excel!$A$6:$T$150,COLUMN()/2+1,FALSE))),"")</f>
        <v/>
      </c>
      <c r="AE34" s="79"/>
      <c r="AF34" s="116" t="str">
        <f ca="1">IFERROR(VALUE(IF(VLOOKUP($A34,数出表_Excel!$A$6:$T$150,COLUMN()/2+1,FALSE)=0,"",VLOOKUP($A34,数出表_Excel!$A$6:$T$150,COLUMN()/2+1,FALSE))),"")</f>
        <v/>
      </c>
      <c r="AG34" s="79"/>
      <c r="AH34" s="116" t="str">
        <f ca="1">IFERROR(VALUE(IF(VLOOKUP($A34,数出表_Excel!$A$6:$T$150,COLUMN()/2+1,FALSE)=0,"",VLOOKUP($A34,数出表_Excel!$A$6:$T$150,COLUMN()/2+1,FALSE))),"")</f>
        <v/>
      </c>
      <c r="AI34" s="117"/>
      <c r="AJ34" s="115" t="str">
        <f ca="1">IFERROR(VALUE(IF(VLOOKUP($A34,数出表_Excel!$A$6:$T$150,COLUMN()/2+1,FALSE)=0,"",VLOOKUP($A34,数出表_Excel!$A$6:$T$150,COLUMN()/2+1,FALSE))),"")</f>
        <v/>
      </c>
      <c r="AK34" s="79"/>
      <c r="AL34" s="83" t="e">
        <f ca="1">IF(A34&lt;&gt;"",
IF(VLOOKUP($A34,数出表_Excel!$A$6:$T$150,COLUMN()/2+1,FALSE)=0,"",VLOOKUP($A34,数出表_Excel!$A$6:$T$150,COLUMN()/2+1,FALSE)),"")</f>
        <v>#N/A</v>
      </c>
      <c r="AM34" s="164" t="e">
        <f ca="1">数出表_Excel!V34</f>
        <v>#N/A</v>
      </c>
      <c r="AN34" s="165" t="e">
        <f ca="1">数出表_Excel!W34</f>
        <v>#N/A</v>
      </c>
    </row>
    <row r="35" spans="1:40" ht="16.2" customHeight="1">
      <c r="A35" s="127" t="e">
        <f t="array" aca="1" ref="A35" ca="1">IF(OR(COUNTIF(A33,"*1000*"),COUNTIF(A33,"")),"",INDEX(貼り付け用!$A1:$A200,MATCH(A33,貼り付け用!$A1:$A200,0)+2,0))</f>
        <v>#N/A</v>
      </c>
      <c r="B35" s="80" t="str">
        <f ca="1">IFERROR(VALUE(IF(VLOOKUP($A35,数出表_Excel!$A$6:$T$150,COLUMN()/2+1,FALSE)=0,"",VLOOKUP($A35,数出表_Excel!$A$6:$T$150,COLUMN()/2+1,FALSE))),"")</f>
        <v/>
      </c>
      <c r="C35" s="80"/>
      <c r="D35" s="80" t="str">
        <f ca="1">IFERROR(VALUE(IF(VLOOKUP($A35,数出表_Excel!$A$6:$T$150,COLUMN()/2+1,FALSE)=0,"",VLOOKUP($A35,数出表_Excel!$A$6:$T$150,COLUMN()/2+1,FALSE))),"")</f>
        <v/>
      </c>
      <c r="E35" s="80"/>
      <c r="F35" s="84" t="str">
        <f ca="1">IFERROR(VALUE(IF(VLOOKUP($A35,数出表_Excel!$A$6:$T$150,COLUMN()/2+1,FALSE)=0,"",VLOOKUP($A35,数出表_Excel!$A$6:$T$150,COLUMN()/2+1,FALSE))),"")</f>
        <v/>
      </c>
      <c r="G35" s="80"/>
      <c r="H35" s="80" t="str">
        <f ca="1">IFERROR(VALUE(IF(VLOOKUP($A35,数出表_Excel!$A$6:$T$150,COLUMN()/2+1,FALSE)=0,"",VLOOKUP($A35,数出表_Excel!$A$6:$T$150,COLUMN()/2+1,FALSE))),"")</f>
        <v/>
      </c>
      <c r="I35" s="80"/>
      <c r="J35" s="80" t="str">
        <f ca="1">IFERROR(VALUE(IF(VLOOKUP($A35,数出表_Excel!$A$6:$T$150,COLUMN()/2+1,FALSE)=0,"",VLOOKUP($A35,数出表_Excel!$A$6:$T$150,COLUMN()/2+1,FALSE))),"")</f>
        <v/>
      </c>
      <c r="K35" s="80"/>
      <c r="L35" s="84" t="str">
        <f ca="1">IFERROR(VALUE(IF(VLOOKUP($A35,数出表_Excel!$A$6:$T$150,COLUMN()/2+1,FALSE)=0,"",VLOOKUP($A35,数出表_Excel!$A$6:$T$150,COLUMN()/2+1,FALSE))),"")</f>
        <v/>
      </c>
      <c r="M35" s="80"/>
      <c r="N35" s="80" t="str">
        <f ca="1">IFERROR(VALUE(IF(VLOOKUP($A35,数出表_Excel!$A$6:$T$150,COLUMN()/2+1,FALSE)=0,"",VLOOKUP($A35,数出表_Excel!$A$6:$T$150,COLUMN()/2+1,FALSE))),"")</f>
        <v/>
      </c>
      <c r="O35" s="80"/>
      <c r="P35" s="80" t="str">
        <f ca="1">IFERROR(VALUE(IF(VLOOKUP($A35,数出表_Excel!$A$6:$T$150,COLUMN()/2+1,FALSE)=0,"",VLOOKUP($A35,数出表_Excel!$A$6:$T$150,COLUMN()/2+1,FALSE))),"")</f>
        <v/>
      </c>
      <c r="Q35" s="80"/>
      <c r="R35" s="80" t="str">
        <f ca="1">IFERROR(VALUE(IF(VLOOKUP($A35,数出表_Excel!$A$6:$T$150,COLUMN()/2+1,FALSE)=0,"",VLOOKUP($A35,数出表_Excel!$A$6:$T$150,COLUMN()/2+1,FALSE))),"")</f>
        <v/>
      </c>
      <c r="S35" s="80"/>
      <c r="T35" s="80" t="str">
        <f ca="1">IFERROR(VALUE(IF(VLOOKUP($A35,数出表_Excel!$A$6:$T$150,COLUMN()/2+1,FALSE)=0,"",VLOOKUP($A35,数出表_Excel!$A$6:$T$150,COLUMN()/2+1,FALSE))),"")</f>
        <v/>
      </c>
      <c r="U35" s="80"/>
      <c r="V35" s="84" t="str">
        <f ca="1">IFERROR(VALUE(IF(VLOOKUP($A35,数出表_Excel!$A$6:$T$150,COLUMN()/2+1,FALSE)=0,"",VLOOKUP($A35,数出表_Excel!$A$6:$T$150,COLUMN()/2+1,FALSE))),"")</f>
        <v/>
      </c>
      <c r="W35" s="80"/>
      <c r="X35" s="84" t="str">
        <f ca="1">IFERROR(VALUE(IF(VLOOKUP($A35,数出表_Excel!$A$6:$T$150,COLUMN()/2+1,FALSE)=0,"",VLOOKUP($A35,数出表_Excel!$A$6:$T$150,COLUMN()/2+1,FALSE))),"")</f>
        <v/>
      </c>
      <c r="Y35" s="80"/>
      <c r="Z35" s="84" t="str">
        <f ca="1">IFERROR(VALUE(IF(VLOOKUP($A35,数出表_Excel!$A$6:$T$150,COLUMN()/2+1,FALSE)=0,"",VLOOKUP($A35,数出表_Excel!$A$6:$T$150,COLUMN()/2+1,FALSE))),"")</f>
        <v/>
      </c>
      <c r="AA35" s="118"/>
      <c r="AB35" s="85" t="str">
        <f ca="1">IFERROR(VALUE(IF(VLOOKUP($A35,数出表_Excel!$A$6:$T$150,COLUMN()/2+1,FALSE)=0,"",VLOOKUP($A35,数出表_Excel!$A$6:$T$150,COLUMN()/2+1,FALSE))),"")</f>
        <v/>
      </c>
      <c r="AC35" s="80"/>
      <c r="AD35" s="84" t="str">
        <f ca="1">IFERROR(VALUE(IF(VLOOKUP($A35,数出表_Excel!$A$6:$T$150,COLUMN()/2+1,FALSE)=0,"",VLOOKUP($A35,数出表_Excel!$A$6:$T$150,COLUMN()/2+1,FALSE))),"")</f>
        <v/>
      </c>
      <c r="AE35" s="80"/>
      <c r="AF35" s="84" t="str">
        <f ca="1">IFERROR(VALUE(IF(VLOOKUP($A35,数出表_Excel!$A$6:$T$150,COLUMN()/2+1,FALSE)=0,"",VLOOKUP($A35,数出表_Excel!$A$6:$T$150,COLUMN()/2+1,FALSE))),"")</f>
        <v/>
      </c>
      <c r="AG35" s="80"/>
      <c r="AH35" s="84" t="str">
        <f ca="1">IFERROR(VALUE(IF(VLOOKUP($A35,数出表_Excel!$A$6:$T$150,COLUMN()/2+1,FALSE)=0,"",VLOOKUP($A35,数出表_Excel!$A$6:$T$150,COLUMN()/2+1,FALSE))),"")</f>
        <v/>
      </c>
      <c r="AI35" s="118"/>
      <c r="AJ35" s="85" t="str">
        <f ca="1">IFERROR(VALUE(IF(VLOOKUP($A35,数出表_Excel!$A$6:$T$150,COLUMN()/2+1,FALSE)=0,"",VLOOKUP($A35,数出表_Excel!$A$6:$T$150,COLUMN()/2+1,FALSE))),"")</f>
        <v/>
      </c>
      <c r="AK35" s="80"/>
      <c r="AL35" s="86" t="e">
        <f ca="1">IF(A35&lt;&gt;"",
IF(VLOOKUP($A35,数出表_Excel!$A$6:$T$150,COLUMN()/2+1,FALSE)=0,"",VLOOKUP($A35,数出表_Excel!$A$6:$T$150,COLUMN()/2+1,FALSE)),"")</f>
        <v>#N/A</v>
      </c>
      <c r="AM35" s="166" t="e">
        <f ca="1">数出表_Excel!V35</f>
        <v>#N/A</v>
      </c>
      <c r="AN35" s="167" t="e">
        <f ca="1">数出表_Excel!W35</f>
        <v>#N/A</v>
      </c>
    </row>
    <row r="36" spans="1:40" ht="16.2" customHeight="1">
      <c r="A36" s="126" t="e">
        <f t="array" aca="1" ref="A36" ca="1">IF(OR(COUNTIF(A34,"*10002*"),COUNTIF(A34,"")),"",INDEX(貼り付け用!$A1:$A200,MATCH(A34,貼り付け用!$A1:$A200,0)+2,0))</f>
        <v>#N/A</v>
      </c>
      <c r="B36" s="114" t="str">
        <f ca="1">IFERROR(VALUE(IF(VLOOKUP($A36,数出表_Excel!$A$6:$T$150,COLUMN()/2+1,FALSE)=0,"",VLOOKUP($A36,数出表_Excel!$A$6:$T$150,COLUMN()/2+1,FALSE))),"")</f>
        <v/>
      </c>
      <c r="C36" s="79"/>
      <c r="D36" s="114" t="str">
        <f ca="1">IFERROR(VALUE(IF(VLOOKUP($A36,数出表_Excel!$A$6:$T$150,COLUMN()/2+1,FALSE)=0,"",VLOOKUP($A36,数出表_Excel!$A$6:$T$150,COLUMN()/2+1,FALSE))),"")</f>
        <v/>
      </c>
      <c r="E36" s="79"/>
      <c r="F36" s="116" t="str">
        <f ca="1">IFERROR(VALUE(IF(VLOOKUP($A36,数出表_Excel!$A$6:$T$150,COLUMN()/2+1,FALSE)=0,"",VLOOKUP($A36,数出表_Excel!$A$6:$T$150,COLUMN()/2+1,FALSE))),"")</f>
        <v/>
      </c>
      <c r="G36" s="79"/>
      <c r="H36" s="114" t="str">
        <f ca="1">IFERROR(VALUE(IF(VLOOKUP($A36,数出表_Excel!$A$6:$T$150,COLUMN()/2+1,FALSE)=0,"",VLOOKUP($A36,数出表_Excel!$A$6:$T$150,COLUMN()/2+1,FALSE))),"")</f>
        <v/>
      </c>
      <c r="I36" s="79"/>
      <c r="J36" s="114" t="str">
        <f ca="1">IFERROR(VALUE(IF(VLOOKUP($A36,数出表_Excel!$A$6:$T$150,COLUMN()/2+1,FALSE)=0,"",VLOOKUP($A36,数出表_Excel!$A$6:$T$150,COLUMN()/2+1,FALSE))),"")</f>
        <v/>
      </c>
      <c r="K36" s="79"/>
      <c r="L36" s="116" t="str">
        <f ca="1">IFERROR(VALUE(IF(VLOOKUP($A36,数出表_Excel!$A$6:$T$150,COLUMN()/2+1,FALSE)=0,"",VLOOKUP($A36,数出表_Excel!$A$6:$T$150,COLUMN()/2+1,FALSE))),"")</f>
        <v/>
      </c>
      <c r="M36" s="79"/>
      <c r="N36" s="114" t="str">
        <f ca="1">IFERROR(VALUE(IF(VLOOKUP($A36,数出表_Excel!$A$6:$T$150,COLUMN()/2+1,FALSE)=0,"",VLOOKUP($A36,数出表_Excel!$A$6:$T$150,COLUMN()/2+1,FALSE))),"")</f>
        <v/>
      </c>
      <c r="O36" s="79"/>
      <c r="P36" s="114" t="str">
        <f ca="1">IFERROR(VALUE(IF(VLOOKUP($A36,数出表_Excel!$A$6:$T$150,COLUMN()/2+1,FALSE)=0,"",VLOOKUP($A36,数出表_Excel!$A$6:$T$150,COLUMN()/2+1,FALSE))),"")</f>
        <v/>
      </c>
      <c r="Q36" s="79"/>
      <c r="R36" s="114" t="str">
        <f ca="1">IFERROR(VALUE(IF(VLOOKUP($A36,数出表_Excel!$A$6:$T$150,COLUMN()/2+1,FALSE)=0,"",VLOOKUP($A36,数出表_Excel!$A$6:$T$150,COLUMN()/2+1,FALSE))),"")</f>
        <v/>
      </c>
      <c r="S36" s="79"/>
      <c r="T36" s="114" t="str">
        <f ca="1">IFERROR(VALUE(IF(VLOOKUP($A36,数出表_Excel!$A$6:$T$150,COLUMN()/2+1,FALSE)=0,"",VLOOKUP($A36,数出表_Excel!$A$6:$T$150,COLUMN()/2+1,FALSE))),"")</f>
        <v/>
      </c>
      <c r="U36" s="79"/>
      <c r="V36" s="116" t="str">
        <f ca="1">IFERROR(VALUE(IF(VLOOKUP($A36,数出表_Excel!$A$6:$T$150,COLUMN()/2+1,FALSE)=0,"",VLOOKUP($A36,数出表_Excel!$A$6:$T$150,COLUMN()/2+1,FALSE))),"")</f>
        <v/>
      </c>
      <c r="W36" s="79"/>
      <c r="X36" s="116" t="str">
        <f ca="1">IFERROR(VALUE(IF(VLOOKUP($A36,数出表_Excel!$A$6:$T$150,COLUMN()/2+1,FALSE)=0,"",VLOOKUP($A36,数出表_Excel!$A$6:$T$150,COLUMN()/2+1,FALSE))),"")</f>
        <v/>
      </c>
      <c r="Y36" s="79"/>
      <c r="Z36" s="116" t="str">
        <f ca="1">IFERROR(VALUE(IF(VLOOKUP($A36,数出表_Excel!$A$6:$T$150,COLUMN()/2+1,FALSE)=0,"",VLOOKUP($A36,数出表_Excel!$A$6:$T$150,COLUMN()/2+1,FALSE))),"")</f>
        <v/>
      </c>
      <c r="AA36" s="117"/>
      <c r="AB36" s="115" t="str">
        <f ca="1">IFERROR(VALUE(IF(VLOOKUP($A36,数出表_Excel!$A$6:$T$150,COLUMN()/2+1,FALSE)=0,"",VLOOKUP($A36,数出表_Excel!$A$6:$T$150,COLUMN()/2+1,FALSE))),"")</f>
        <v/>
      </c>
      <c r="AC36" s="79"/>
      <c r="AD36" s="116" t="str">
        <f ca="1">IFERROR(VALUE(IF(VLOOKUP($A36,数出表_Excel!$A$6:$T$150,COLUMN()/2+1,FALSE)=0,"",VLOOKUP($A36,数出表_Excel!$A$6:$T$150,COLUMN()/2+1,FALSE))),"")</f>
        <v/>
      </c>
      <c r="AE36" s="79"/>
      <c r="AF36" s="116" t="str">
        <f ca="1">IFERROR(VALUE(IF(VLOOKUP($A36,数出表_Excel!$A$6:$T$150,COLUMN()/2+1,FALSE)=0,"",VLOOKUP($A36,数出表_Excel!$A$6:$T$150,COLUMN()/2+1,FALSE))),"")</f>
        <v/>
      </c>
      <c r="AG36" s="79"/>
      <c r="AH36" s="116" t="str">
        <f ca="1">IFERROR(VALUE(IF(VLOOKUP($A36,数出表_Excel!$A$6:$T$150,COLUMN()/2+1,FALSE)=0,"",VLOOKUP($A36,数出表_Excel!$A$6:$T$150,COLUMN()/2+1,FALSE))),"")</f>
        <v/>
      </c>
      <c r="AI36" s="117"/>
      <c r="AJ36" s="115" t="str">
        <f ca="1">IFERROR(VALUE(IF(VLOOKUP($A36,数出表_Excel!$A$6:$T$150,COLUMN()/2+1,FALSE)=0,"",VLOOKUP($A36,数出表_Excel!$A$6:$T$150,COLUMN()/2+1,FALSE))),"")</f>
        <v/>
      </c>
      <c r="AK36" s="79"/>
      <c r="AL36" s="83" t="e">
        <f ca="1">IF(A36&lt;&gt;"",
IF(VLOOKUP($A36,数出表_Excel!$A$6:$T$150,COLUMN()/2+1,FALSE)=0,"",VLOOKUP($A36,数出表_Excel!$A$6:$T$150,COLUMN()/2+1,FALSE)),"")</f>
        <v>#N/A</v>
      </c>
      <c r="AM36" s="164" t="e">
        <f ca="1">数出表_Excel!V36</f>
        <v>#N/A</v>
      </c>
      <c r="AN36" s="165" t="e">
        <f ca="1">数出表_Excel!W36</f>
        <v>#N/A</v>
      </c>
    </row>
    <row r="37" spans="1:40" ht="16.2" customHeight="1">
      <c r="A37" s="127" t="e">
        <f t="array" aca="1" ref="A37" ca="1">IF(OR(COUNTIF(A35,"*1000*"),COUNTIF(A35,"")),"",INDEX(貼り付け用!$A1:$A200,MATCH(A35,貼り付け用!$A1:$A200,0)+2,0))</f>
        <v>#N/A</v>
      </c>
      <c r="B37" s="80" t="str">
        <f ca="1">IFERROR(VALUE(IF(VLOOKUP($A37,数出表_Excel!$A$6:$T$150,COLUMN()/2+1,FALSE)=0,"",VLOOKUP($A37,数出表_Excel!$A$6:$T$150,COLUMN()/2+1,FALSE))),"")</f>
        <v/>
      </c>
      <c r="C37" s="80"/>
      <c r="D37" s="80" t="str">
        <f ca="1">IFERROR(VALUE(IF(VLOOKUP($A37,数出表_Excel!$A$6:$T$150,COLUMN()/2+1,FALSE)=0,"",VLOOKUP($A37,数出表_Excel!$A$6:$T$150,COLUMN()/2+1,FALSE))),"")</f>
        <v/>
      </c>
      <c r="E37" s="80"/>
      <c r="F37" s="84" t="str">
        <f ca="1">IFERROR(VALUE(IF(VLOOKUP($A37,数出表_Excel!$A$6:$T$150,COLUMN()/2+1,FALSE)=0,"",VLOOKUP($A37,数出表_Excel!$A$6:$T$150,COLUMN()/2+1,FALSE))),"")</f>
        <v/>
      </c>
      <c r="G37" s="80"/>
      <c r="H37" s="80" t="str">
        <f ca="1">IFERROR(VALUE(IF(VLOOKUP($A37,数出表_Excel!$A$6:$T$150,COLUMN()/2+1,FALSE)=0,"",VLOOKUP($A37,数出表_Excel!$A$6:$T$150,COLUMN()/2+1,FALSE))),"")</f>
        <v/>
      </c>
      <c r="I37" s="80"/>
      <c r="J37" s="80" t="str">
        <f ca="1">IFERROR(VALUE(IF(VLOOKUP($A37,数出表_Excel!$A$6:$T$150,COLUMN()/2+1,FALSE)=0,"",VLOOKUP($A37,数出表_Excel!$A$6:$T$150,COLUMN()/2+1,FALSE))),"")</f>
        <v/>
      </c>
      <c r="K37" s="80"/>
      <c r="L37" s="84" t="str">
        <f ca="1">IFERROR(VALUE(IF(VLOOKUP($A37,数出表_Excel!$A$6:$T$150,COLUMN()/2+1,FALSE)=0,"",VLOOKUP($A37,数出表_Excel!$A$6:$T$150,COLUMN()/2+1,FALSE))),"")</f>
        <v/>
      </c>
      <c r="M37" s="80"/>
      <c r="N37" s="80" t="str">
        <f ca="1">IFERROR(VALUE(IF(VLOOKUP($A37,数出表_Excel!$A$6:$T$150,COLUMN()/2+1,FALSE)=0,"",VLOOKUP($A37,数出表_Excel!$A$6:$T$150,COLUMN()/2+1,FALSE))),"")</f>
        <v/>
      </c>
      <c r="O37" s="80"/>
      <c r="P37" s="80" t="str">
        <f ca="1">IFERROR(VALUE(IF(VLOOKUP($A37,数出表_Excel!$A$6:$T$150,COLUMN()/2+1,FALSE)=0,"",VLOOKUP($A37,数出表_Excel!$A$6:$T$150,COLUMN()/2+1,FALSE))),"")</f>
        <v/>
      </c>
      <c r="Q37" s="80"/>
      <c r="R37" s="80" t="str">
        <f ca="1">IFERROR(VALUE(IF(VLOOKUP($A37,数出表_Excel!$A$6:$T$150,COLUMN()/2+1,FALSE)=0,"",VLOOKUP($A37,数出表_Excel!$A$6:$T$150,COLUMN()/2+1,FALSE))),"")</f>
        <v/>
      </c>
      <c r="S37" s="80"/>
      <c r="T37" s="80" t="str">
        <f ca="1">IFERROR(VALUE(IF(VLOOKUP($A37,数出表_Excel!$A$6:$T$150,COLUMN()/2+1,FALSE)=0,"",VLOOKUP($A37,数出表_Excel!$A$6:$T$150,COLUMN()/2+1,FALSE))),"")</f>
        <v/>
      </c>
      <c r="U37" s="80"/>
      <c r="V37" s="84" t="str">
        <f ca="1">IFERROR(VALUE(IF(VLOOKUP($A37,数出表_Excel!$A$6:$T$150,COLUMN()/2+1,FALSE)=0,"",VLOOKUP($A37,数出表_Excel!$A$6:$T$150,COLUMN()/2+1,FALSE))),"")</f>
        <v/>
      </c>
      <c r="W37" s="80"/>
      <c r="X37" s="84" t="str">
        <f ca="1">IFERROR(VALUE(IF(VLOOKUP($A37,数出表_Excel!$A$6:$T$150,COLUMN()/2+1,FALSE)=0,"",VLOOKUP($A37,数出表_Excel!$A$6:$T$150,COLUMN()/2+1,FALSE))),"")</f>
        <v/>
      </c>
      <c r="Y37" s="80"/>
      <c r="Z37" s="84" t="str">
        <f ca="1">IFERROR(VALUE(IF(VLOOKUP($A37,数出表_Excel!$A$6:$T$150,COLUMN()/2+1,FALSE)=0,"",VLOOKUP($A37,数出表_Excel!$A$6:$T$150,COLUMN()/2+1,FALSE))),"")</f>
        <v/>
      </c>
      <c r="AA37" s="118"/>
      <c r="AB37" s="85" t="str">
        <f ca="1">IFERROR(VALUE(IF(VLOOKUP($A37,数出表_Excel!$A$6:$T$150,COLUMN()/2+1,FALSE)=0,"",VLOOKUP($A37,数出表_Excel!$A$6:$T$150,COLUMN()/2+1,FALSE))),"")</f>
        <v/>
      </c>
      <c r="AC37" s="80"/>
      <c r="AD37" s="84" t="str">
        <f ca="1">IFERROR(VALUE(IF(VLOOKUP($A37,数出表_Excel!$A$6:$T$150,COLUMN()/2+1,FALSE)=0,"",VLOOKUP($A37,数出表_Excel!$A$6:$T$150,COLUMN()/2+1,FALSE))),"")</f>
        <v/>
      </c>
      <c r="AE37" s="80"/>
      <c r="AF37" s="84" t="str">
        <f ca="1">IFERROR(VALUE(IF(VLOOKUP($A37,数出表_Excel!$A$6:$T$150,COLUMN()/2+1,FALSE)=0,"",VLOOKUP($A37,数出表_Excel!$A$6:$T$150,COLUMN()/2+1,FALSE))),"")</f>
        <v/>
      </c>
      <c r="AG37" s="80"/>
      <c r="AH37" s="84" t="str">
        <f ca="1">IFERROR(VALUE(IF(VLOOKUP($A37,数出表_Excel!$A$6:$T$150,COLUMN()/2+1,FALSE)=0,"",VLOOKUP($A37,数出表_Excel!$A$6:$T$150,COLUMN()/2+1,FALSE))),"")</f>
        <v/>
      </c>
      <c r="AI37" s="118"/>
      <c r="AJ37" s="85" t="str">
        <f ca="1">IFERROR(VALUE(IF(VLOOKUP($A37,数出表_Excel!$A$6:$T$150,COLUMN()/2+1,FALSE)=0,"",VLOOKUP($A37,数出表_Excel!$A$6:$T$150,COLUMN()/2+1,FALSE))),"")</f>
        <v/>
      </c>
      <c r="AK37" s="80"/>
      <c r="AL37" s="86" t="e">
        <f ca="1">IF(A37&lt;&gt;"",
IF(VLOOKUP($A37,数出表_Excel!$A$6:$T$150,COLUMN()/2+1,FALSE)=0,"",VLOOKUP($A37,数出表_Excel!$A$6:$T$150,COLUMN()/2+1,FALSE)),"")</f>
        <v>#N/A</v>
      </c>
      <c r="AM37" s="166" t="e">
        <f ca="1">数出表_Excel!V37</f>
        <v>#N/A</v>
      </c>
      <c r="AN37" s="167" t="e">
        <f ca="1">数出表_Excel!W37</f>
        <v>#N/A</v>
      </c>
    </row>
    <row r="38" spans="1:40" ht="16.2" customHeight="1">
      <c r="A38" s="126" t="e">
        <f t="array" aca="1" ref="A38" ca="1">IF(OR(COUNTIF(A36,"*10002*"),COUNTIF(A36,"")),"",INDEX(貼り付け用!$A1:$A200,MATCH(A36,貼り付け用!$A1:$A200,0)+2,0))</f>
        <v>#N/A</v>
      </c>
      <c r="B38" s="114" t="str">
        <f ca="1">IFERROR(VALUE(IF(VLOOKUP($A38,数出表_Excel!$A$6:$T$150,COLUMN()/2+1,FALSE)=0,"",VLOOKUP($A38,数出表_Excel!$A$6:$T$150,COLUMN()/2+1,FALSE))),"")</f>
        <v/>
      </c>
      <c r="C38" s="79"/>
      <c r="D38" s="114" t="str">
        <f ca="1">IFERROR(VALUE(IF(VLOOKUP($A38,数出表_Excel!$A$6:$T$150,COLUMN()/2+1,FALSE)=0,"",VLOOKUP($A38,数出表_Excel!$A$6:$T$150,COLUMN()/2+1,FALSE))),"")</f>
        <v/>
      </c>
      <c r="E38" s="79"/>
      <c r="F38" s="116" t="str">
        <f ca="1">IFERROR(VALUE(IF(VLOOKUP($A38,数出表_Excel!$A$6:$T$150,COLUMN()/2+1,FALSE)=0,"",VLOOKUP($A38,数出表_Excel!$A$6:$T$150,COLUMN()/2+1,FALSE))),"")</f>
        <v/>
      </c>
      <c r="G38" s="79"/>
      <c r="H38" s="114" t="str">
        <f ca="1">IFERROR(VALUE(IF(VLOOKUP($A38,数出表_Excel!$A$6:$T$150,COLUMN()/2+1,FALSE)=0,"",VLOOKUP($A38,数出表_Excel!$A$6:$T$150,COLUMN()/2+1,FALSE))),"")</f>
        <v/>
      </c>
      <c r="I38" s="79"/>
      <c r="J38" s="114" t="str">
        <f ca="1">IFERROR(VALUE(IF(VLOOKUP($A38,数出表_Excel!$A$6:$T$150,COLUMN()/2+1,FALSE)=0,"",VLOOKUP($A38,数出表_Excel!$A$6:$T$150,COLUMN()/2+1,FALSE))),"")</f>
        <v/>
      </c>
      <c r="K38" s="79"/>
      <c r="L38" s="116" t="str">
        <f ca="1">IFERROR(VALUE(IF(VLOOKUP($A38,数出表_Excel!$A$6:$T$150,COLUMN()/2+1,FALSE)=0,"",VLOOKUP($A38,数出表_Excel!$A$6:$T$150,COLUMN()/2+1,FALSE))),"")</f>
        <v/>
      </c>
      <c r="M38" s="79"/>
      <c r="N38" s="114" t="str">
        <f ca="1">IFERROR(VALUE(IF(VLOOKUP($A38,数出表_Excel!$A$6:$T$150,COLUMN()/2+1,FALSE)=0,"",VLOOKUP($A38,数出表_Excel!$A$6:$T$150,COLUMN()/2+1,FALSE))),"")</f>
        <v/>
      </c>
      <c r="O38" s="79"/>
      <c r="P38" s="114" t="str">
        <f ca="1">IFERROR(VALUE(IF(VLOOKUP($A38,数出表_Excel!$A$6:$T$150,COLUMN()/2+1,FALSE)=0,"",VLOOKUP($A38,数出表_Excel!$A$6:$T$150,COLUMN()/2+1,FALSE))),"")</f>
        <v/>
      </c>
      <c r="Q38" s="79"/>
      <c r="R38" s="114" t="str">
        <f ca="1">IFERROR(VALUE(IF(VLOOKUP($A38,数出表_Excel!$A$6:$T$150,COLUMN()/2+1,FALSE)=0,"",VLOOKUP($A38,数出表_Excel!$A$6:$T$150,COLUMN()/2+1,FALSE))),"")</f>
        <v/>
      </c>
      <c r="S38" s="79"/>
      <c r="T38" s="114" t="str">
        <f ca="1">IFERROR(VALUE(IF(VLOOKUP($A38,数出表_Excel!$A$6:$T$150,COLUMN()/2+1,FALSE)=0,"",VLOOKUP($A38,数出表_Excel!$A$6:$T$150,COLUMN()/2+1,FALSE))),"")</f>
        <v/>
      </c>
      <c r="U38" s="79"/>
      <c r="V38" s="116" t="str">
        <f ca="1">IFERROR(VALUE(IF(VLOOKUP($A38,数出表_Excel!$A$6:$T$150,COLUMN()/2+1,FALSE)=0,"",VLOOKUP($A38,数出表_Excel!$A$6:$T$150,COLUMN()/2+1,FALSE))),"")</f>
        <v/>
      </c>
      <c r="W38" s="79"/>
      <c r="X38" s="116" t="str">
        <f ca="1">IFERROR(VALUE(IF(VLOOKUP($A38,数出表_Excel!$A$6:$T$150,COLUMN()/2+1,FALSE)=0,"",VLOOKUP($A38,数出表_Excel!$A$6:$T$150,COLUMN()/2+1,FALSE))),"")</f>
        <v/>
      </c>
      <c r="Y38" s="79"/>
      <c r="Z38" s="116" t="str">
        <f ca="1">IFERROR(VALUE(IF(VLOOKUP($A38,数出表_Excel!$A$6:$T$150,COLUMN()/2+1,FALSE)=0,"",VLOOKUP($A38,数出表_Excel!$A$6:$T$150,COLUMN()/2+1,FALSE))),"")</f>
        <v/>
      </c>
      <c r="AA38" s="117"/>
      <c r="AB38" s="115" t="str">
        <f ca="1">IFERROR(VALUE(IF(VLOOKUP($A38,数出表_Excel!$A$6:$T$150,COLUMN()/2+1,FALSE)=0,"",VLOOKUP($A38,数出表_Excel!$A$6:$T$150,COLUMN()/2+1,FALSE))),"")</f>
        <v/>
      </c>
      <c r="AC38" s="79"/>
      <c r="AD38" s="116" t="str">
        <f ca="1">IFERROR(VALUE(IF(VLOOKUP($A38,数出表_Excel!$A$6:$T$150,COLUMN()/2+1,FALSE)=0,"",VLOOKUP($A38,数出表_Excel!$A$6:$T$150,COLUMN()/2+1,FALSE))),"")</f>
        <v/>
      </c>
      <c r="AE38" s="79"/>
      <c r="AF38" s="116" t="str">
        <f ca="1">IFERROR(VALUE(IF(VLOOKUP($A38,数出表_Excel!$A$6:$T$150,COLUMN()/2+1,FALSE)=0,"",VLOOKUP($A38,数出表_Excel!$A$6:$T$150,COLUMN()/2+1,FALSE))),"")</f>
        <v/>
      </c>
      <c r="AG38" s="79"/>
      <c r="AH38" s="116" t="str">
        <f ca="1">IFERROR(VALUE(IF(VLOOKUP($A38,数出表_Excel!$A$6:$T$150,COLUMN()/2+1,FALSE)=0,"",VLOOKUP($A38,数出表_Excel!$A$6:$T$150,COLUMN()/2+1,FALSE))),"")</f>
        <v/>
      </c>
      <c r="AI38" s="117"/>
      <c r="AJ38" s="115" t="str">
        <f ca="1">IFERROR(VALUE(IF(VLOOKUP($A38,数出表_Excel!$A$6:$T$150,COLUMN()/2+1,FALSE)=0,"",VLOOKUP($A38,数出表_Excel!$A$6:$T$150,COLUMN()/2+1,FALSE))),"")</f>
        <v/>
      </c>
      <c r="AK38" s="79"/>
      <c r="AL38" s="83" t="e">
        <f ca="1">IF(A38&lt;&gt;"",
IF(VLOOKUP($A38,数出表_Excel!$A$6:$T$150,COLUMN()/2+1,FALSE)=0,"",VLOOKUP($A38,数出表_Excel!$A$6:$T$150,COLUMN()/2+1,FALSE)),"")</f>
        <v>#N/A</v>
      </c>
      <c r="AM38" s="164" t="e">
        <f ca="1">数出表_Excel!V38</f>
        <v>#N/A</v>
      </c>
      <c r="AN38" s="165" t="e">
        <f ca="1">数出表_Excel!W38</f>
        <v>#N/A</v>
      </c>
    </row>
    <row r="39" spans="1:40" ht="16.2" customHeight="1">
      <c r="A39" s="127" t="e">
        <f t="array" aca="1" ref="A39" ca="1">IF(OR(COUNTIF(A37,"*1000*"),COUNTIF(A37,"")),"",INDEX(貼り付け用!$A1:$A200,MATCH(A37,貼り付け用!$A1:$A200,0)+2,0))</f>
        <v>#N/A</v>
      </c>
      <c r="B39" s="80" t="str">
        <f ca="1">IFERROR(VALUE(IF(VLOOKUP($A39,数出表_Excel!$A$6:$T$150,COLUMN()/2+1,FALSE)=0,"",VLOOKUP($A39,数出表_Excel!$A$6:$T$150,COLUMN()/2+1,FALSE))),"")</f>
        <v/>
      </c>
      <c r="C39" s="80"/>
      <c r="D39" s="80" t="str">
        <f ca="1">IFERROR(VALUE(IF(VLOOKUP($A39,数出表_Excel!$A$6:$T$150,COLUMN()/2+1,FALSE)=0,"",VLOOKUP($A39,数出表_Excel!$A$6:$T$150,COLUMN()/2+1,FALSE))),"")</f>
        <v/>
      </c>
      <c r="E39" s="80"/>
      <c r="F39" s="84" t="str">
        <f ca="1">IFERROR(VALUE(IF(VLOOKUP($A39,数出表_Excel!$A$6:$T$150,COLUMN()/2+1,FALSE)=0,"",VLOOKUP($A39,数出表_Excel!$A$6:$T$150,COLUMN()/2+1,FALSE))),"")</f>
        <v/>
      </c>
      <c r="G39" s="80"/>
      <c r="H39" s="80" t="str">
        <f ca="1">IFERROR(VALUE(IF(VLOOKUP($A39,数出表_Excel!$A$6:$T$150,COLUMN()/2+1,FALSE)=0,"",VLOOKUP($A39,数出表_Excel!$A$6:$T$150,COLUMN()/2+1,FALSE))),"")</f>
        <v/>
      </c>
      <c r="I39" s="80"/>
      <c r="J39" s="80" t="str">
        <f ca="1">IFERROR(VALUE(IF(VLOOKUP($A39,数出表_Excel!$A$6:$T$150,COLUMN()/2+1,FALSE)=0,"",VLOOKUP($A39,数出表_Excel!$A$6:$T$150,COLUMN()/2+1,FALSE))),"")</f>
        <v/>
      </c>
      <c r="K39" s="80"/>
      <c r="L39" s="84" t="str">
        <f ca="1">IFERROR(VALUE(IF(VLOOKUP($A39,数出表_Excel!$A$6:$T$150,COLUMN()/2+1,FALSE)=0,"",VLOOKUP($A39,数出表_Excel!$A$6:$T$150,COLUMN()/2+1,FALSE))),"")</f>
        <v/>
      </c>
      <c r="M39" s="80"/>
      <c r="N39" s="80" t="str">
        <f ca="1">IFERROR(VALUE(IF(VLOOKUP($A39,数出表_Excel!$A$6:$T$150,COLUMN()/2+1,FALSE)=0,"",VLOOKUP($A39,数出表_Excel!$A$6:$T$150,COLUMN()/2+1,FALSE))),"")</f>
        <v/>
      </c>
      <c r="O39" s="80"/>
      <c r="P39" s="80" t="str">
        <f ca="1">IFERROR(VALUE(IF(VLOOKUP($A39,数出表_Excel!$A$6:$T$150,COLUMN()/2+1,FALSE)=0,"",VLOOKUP($A39,数出表_Excel!$A$6:$T$150,COLUMN()/2+1,FALSE))),"")</f>
        <v/>
      </c>
      <c r="Q39" s="80"/>
      <c r="R39" s="80" t="str">
        <f ca="1">IFERROR(VALUE(IF(VLOOKUP($A39,数出表_Excel!$A$6:$T$150,COLUMN()/2+1,FALSE)=0,"",VLOOKUP($A39,数出表_Excel!$A$6:$T$150,COLUMN()/2+1,FALSE))),"")</f>
        <v/>
      </c>
      <c r="S39" s="80"/>
      <c r="T39" s="80" t="str">
        <f ca="1">IFERROR(VALUE(IF(VLOOKUP($A39,数出表_Excel!$A$6:$T$150,COLUMN()/2+1,FALSE)=0,"",VLOOKUP($A39,数出表_Excel!$A$6:$T$150,COLUMN()/2+1,FALSE))),"")</f>
        <v/>
      </c>
      <c r="U39" s="80"/>
      <c r="V39" s="84" t="str">
        <f ca="1">IFERROR(VALUE(IF(VLOOKUP($A39,数出表_Excel!$A$6:$T$150,COLUMN()/2+1,FALSE)=0,"",VLOOKUP($A39,数出表_Excel!$A$6:$T$150,COLUMN()/2+1,FALSE))),"")</f>
        <v/>
      </c>
      <c r="W39" s="80"/>
      <c r="X39" s="84" t="str">
        <f ca="1">IFERROR(VALUE(IF(VLOOKUP($A39,数出表_Excel!$A$6:$T$150,COLUMN()/2+1,FALSE)=0,"",VLOOKUP($A39,数出表_Excel!$A$6:$T$150,COLUMN()/2+1,FALSE))),"")</f>
        <v/>
      </c>
      <c r="Y39" s="80"/>
      <c r="Z39" s="84" t="str">
        <f ca="1">IFERROR(VALUE(IF(VLOOKUP($A39,数出表_Excel!$A$6:$T$150,COLUMN()/2+1,FALSE)=0,"",VLOOKUP($A39,数出表_Excel!$A$6:$T$150,COLUMN()/2+1,FALSE))),"")</f>
        <v/>
      </c>
      <c r="AA39" s="118"/>
      <c r="AB39" s="85" t="str">
        <f ca="1">IFERROR(VALUE(IF(VLOOKUP($A39,数出表_Excel!$A$6:$T$150,COLUMN()/2+1,FALSE)=0,"",VLOOKUP($A39,数出表_Excel!$A$6:$T$150,COLUMN()/2+1,FALSE))),"")</f>
        <v/>
      </c>
      <c r="AC39" s="80"/>
      <c r="AD39" s="84" t="str">
        <f ca="1">IFERROR(VALUE(IF(VLOOKUP($A39,数出表_Excel!$A$6:$T$150,COLUMN()/2+1,FALSE)=0,"",VLOOKUP($A39,数出表_Excel!$A$6:$T$150,COLUMN()/2+1,FALSE))),"")</f>
        <v/>
      </c>
      <c r="AE39" s="80"/>
      <c r="AF39" s="84" t="str">
        <f ca="1">IFERROR(VALUE(IF(VLOOKUP($A39,数出表_Excel!$A$6:$T$150,COLUMN()/2+1,FALSE)=0,"",VLOOKUP($A39,数出表_Excel!$A$6:$T$150,COLUMN()/2+1,FALSE))),"")</f>
        <v/>
      </c>
      <c r="AG39" s="80"/>
      <c r="AH39" s="84" t="str">
        <f ca="1">IFERROR(VALUE(IF(VLOOKUP($A39,数出表_Excel!$A$6:$T$150,COLUMN()/2+1,FALSE)=0,"",VLOOKUP($A39,数出表_Excel!$A$6:$T$150,COLUMN()/2+1,FALSE))),"")</f>
        <v/>
      </c>
      <c r="AI39" s="118"/>
      <c r="AJ39" s="85" t="str">
        <f ca="1">IFERROR(VALUE(IF(VLOOKUP($A39,数出表_Excel!$A$6:$T$150,COLUMN()/2+1,FALSE)=0,"",VLOOKUP($A39,数出表_Excel!$A$6:$T$150,COLUMN()/2+1,FALSE))),"")</f>
        <v/>
      </c>
      <c r="AK39" s="80"/>
      <c r="AL39" s="86" t="e">
        <f ca="1">IF(A39&lt;&gt;"",
IF(VLOOKUP($A39,数出表_Excel!$A$6:$T$150,COLUMN()/2+1,FALSE)=0,"",VLOOKUP($A39,数出表_Excel!$A$6:$T$150,COLUMN()/2+1,FALSE)),"")</f>
        <v>#N/A</v>
      </c>
      <c r="AM39" s="166" t="e">
        <f ca="1">数出表_Excel!V39</f>
        <v>#N/A</v>
      </c>
      <c r="AN39" s="167" t="e">
        <f ca="1">数出表_Excel!W39</f>
        <v>#N/A</v>
      </c>
    </row>
    <row r="40" spans="1:40" ht="16.2" customHeight="1">
      <c r="A40" s="126" t="e">
        <f t="array" aca="1" ref="A40" ca="1">IF(OR(COUNTIF(A38,"*10002*"),COUNTIF(A38,"")),"",INDEX(貼り付け用!$A1:$A200,MATCH(A38,貼り付け用!$A1:$A200,0)+2,0))</f>
        <v>#N/A</v>
      </c>
      <c r="B40" s="114" t="str">
        <f ca="1">IFERROR(VALUE(IF(VLOOKUP($A40,数出表_Excel!$A$6:$T$150,COLUMN()/2+1,FALSE)=0,"",VLOOKUP($A40,数出表_Excel!$A$6:$T$150,COLUMN()/2+1,FALSE))),"")</f>
        <v/>
      </c>
      <c r="C40" s="79"/>
      <c r="D40" s="114" t="str">
        <f ca="1">IFERROR(VALUE(IF(VLOOKUP($A40,数出表_Excel!$A$6:$T$150,COLUMN()/2+1,FALSE)=0,"",VLOOKUP($A40,数出表_Excel!$A$6:$T$150,COLUMN()/2+1,FALSE))),"")</f>
        <v/>
      </c>
      <c r="E40" s="79"/>
      <c r="F40" s="116" t="str">
        <f ca="1">IFERROR(VALUE(IF(VLOOKUP($A40,数出表_Excel!$A$6:$T$150,COLUMN()/2+1,FALSE)=0,"",VLOOKUP($A40,数出表_Excel!$A$6:$T$150,COLUMN()/2+1,FALSE))),"")</f>
        <v/>
      </c>
      <c r="G40" s="79"/>
      <c r="H40" s="114" t="str">
        <f ca="1">IFERROR(VALUE(IF(VLOOKUP($A40,数出表_Excel!$A$6:$T$150,COLUMN()/2+1,FALSE)=0,"",VLOOKUP($A40,数出表_Excel!$A$6:$T$150,COLUMN()/2+1,FALSE))),"")</f>
        <v/>
      </c>
      <c r="I40" s="79"/>
      <c r="J40" s="114" t="str">
        <f ca="1">IFERROR(VALUE(IF(VLOOKUP($A40,数出表_Excel!$A$6:$T$150,COLUMN()/2+1,FALSE)=0,"",VLOOKUP($A40,数出表_Excel!$A$6:$T$150,COLUMN()/2+1,FALSE))),"")</f>
        <v/>
      </c>
      <c r="K40" s="79"/>
      <c r="L40" s="116" t="str">
        <f ca="1">IFERROR(VALUE(IF(VLOOKUP($A40,数出表_Excel!$A$6:$T$150,COLUMN()/2+1,FALSE)=0,"",VLOOKUP($A40,数出表_Excel!$A$6:$T$150,COLUMN()/2+1,FALSE))),"")</f>
        <v/>
      </c>
      <c r="M40" s="79"/>
      <c r="N40" s="114" t="str">
        <f ca="1">IFERROR(VALUE(IF(VLOOKUP($A40,数出表_Excel!$A$6:$T$150,COLUMN()/2+1,FALSE)=0,"",VLOOKUP($A40,数出表_Excel!$A$6:$T$150,COLUMN()/2+1,FALSE))),"")</f>
        <v/>
      </c>
      <c r="O40" s="79"/>
      <c r="P40" s="114" t="str">
        <f ca="1">IFERROR(VALUE(IF(VLOOKUP($A40,数出表_Excel!$A$6:$T$150,COLUMN()/2+1,FALSE)=0,"",VLOOKUP($A40,数出表_Excel!$A$6:$T$150,COLUMN()/2+1,FALSE))),"")</f>
        <v/>
      </c>
      <c r="Q40" s="79"/>
      <c r="R40" s="114" t="str">
        <f ca="1">IFERROR(VALUE(IF(VLOOKUP($A40,数出表_Excel!$A$6:$T$150,COLUMN()/2+1,FALSE)=0,"",VLOOKUP($A40,数出表_Excel!$A$6:$T$150,COLUMN()/2+1,FALSE))),"")</f>
        <v/>
      </c>
      <c r="S40" s="79"/>
      <c r="T40" s="114" t="str">
        <f ca="1">IFERROR(VALUE(IF(VLOOKUP($A40,数出表_Excel!$A$6:$T$150,COLUMN()/2+1,FALSE)=0,"",VLOOKUP($A40,数出表_Excel!$A$6:$T$150,COLUMN()/2+1,FALSE))),"")</f>
        <v/>
      </c>
      <c r="U40" s="79"/>
      <c r="V40" s="116" t="str">
        <f ca="1">IFERROR(VALUE(IF(VLOOKUP($A40,数出表_Excel!$A$6:$T$150,COLUMN()/2+1,FALSE)=0,"",VLOOKUP($A40,数出表_Excel!$A$6:$T$150,COLUMN()/2+1,FALSE))),"")</f>
        <v/>
      </c>
      <c r="W40" s="79"/>
      <c r="X40" s="116" t="str">
        <f ca="1">IFERROR(VALUE(IF(VLOOKUP($A40,数出表_Excel!$A$6:$T$150,COLUMN()/2+1,FALSE)=0,"",VLOOKUP($A40,数出表_Excel!$A$6:$T$150,COLUMN()/2+1,FALSE))),"")</f>
        <v/>
      </c>
      <c r="Y40" s="79"/>
      <c r="Z40" s="116" t="str">
        <f ca="1">IFERROR(VALUE(IF(VLOOKUP($A40,数出表_Excel!$A$6:$T$150,COLUMN()/2+1,FALSE)=0,"",VLOOKUP($A40,数出表_Excel!$A$6:$T$150,COLUMN()/2+1,FALSE))),"")</f>
        <v/>
      </c>
      <c r="AA40" s="117"/>
      <c r="AB40" s="115" t="str">
        <f ca="1">IFERROR(VALUE(IF(VLOOKUP($A40,数出表_Excel!$A$6:$T$150,COLUMN()/2+1,FALSE)=0,"",VLOOKUP($A40,数出表_Excel!$A$6:$T$150,COLUMN()/2+1,FALSE))),"")</f>
        <v/>
      </c>
      <c r="AC40" s="79"/>
      <c r="AD40" s="116" t="str">
        <f ca="1">IFERROR(VALUE(IF(VLOOKUP($A40,数出表_Excel!$A$6:$T$150,COLUMN()/2+1,FALSE)=0,"",VLOOKUP($A40,数出表_Excel!$A$6:$T$150,COLUMN()/2+1,FALSE))),"")</f>
        <v/>
      </c>
      <c r="AE40" s="79"/>
      <c r="AF40" s="116" t="str">
        <f ca="1">IFERROR(VALUE(IF(VLOOKUP($A40,数出表_Excel!$A$6:$T$150,COLUMN()/2+1,FALSE)=0,"",VLOOKUP($A40,数出表_Excel!$A$6:$T$150,COLUMN()/2+1,FALSE))),"")</f>
        <v/>
      </c>
      <c r="AG40" s="79"/>
      <c r="AH40" s="116" t="str">
        <f ca="1">IFERROR(VALUE(IF(VLOOKUP($A40,数出表_Excel!$A$6:$T$150,COLUMN()/2+1,FALSE)=0,"",VLOOKUP($A40,数出表_Excel!$A$6:$T$150,COLUMN()/2+1,FALSE))),"")</f>
        <v/>
      </c>
      <c r="AI40" s="117"/>
      <c r="AJ40" s="115" t="str">
        <f ca="1">IFERROR(VALUE(IF(VLOOKUP($A40,数出表_Excel!$A$6:$T$150,COLUMN()/2+1,FALSE)=0,"",VLOOKUP($A40,数出表_Excel!$A$6:$T$150,COLUMN()/2+1,FALSE))),"")</f>
        <v/>
      </c>
      <c r="AK40" s="79"/>
      <c r="AL40" s="83" t="e">
        <f ca="1">IF(A40&lt;&gt;"",
IF(VLOOKUP($A40,数出表_Excel!$A$6:$T$150,COLUMN()/2+1,FALSE)=0,"",VLOOKUP($A40,数出表_Excel!$A$6:$T$150,COLUMN()/2+1,FALSE)),"")</f>
        <v>#N/A</v>
      </c>
      <c r="AM40" s="164" t="e">
        <f>数出表_Excel!V40</f>
        <v>#N/A</v>
      </c>
      <c r="AN40" s="165" t="e">
        <f>数出表_Excel!W40</f>
        <v>#N/A</v>
      </c>
    </row>
    <row r="41" spans="1:40" ht="16.2" customHeight="1">
      <c r="A41" s="127" t="e">
        <f t="array" aca="1" ref="A41" ca="1">IF(OR(COUNTIF(A39,"*1000*"),COUNTIF(A39,"")),"",INDEX(貼り付け用!$A1:$A200,MATCH(A39,貼り付け用!$A1:$A200,0)+2,0))</f>
        <v>#N/A</v>
      </c>
      <c r="B41" s="80" t="str">
        <f ca="1">IFERROR(VALUE(IF(VLOOKUP($A41,数出表_Excel!$A$6:$T$150,COLUMN()/2+1,FALSE)=0,"",VLOOKUP($A41,数出表_Excel!$A$6:$T$150,COLUMN()/2+1,FALSE))),"")</f>
        <v/>
      </c>
      <c r="C41" s="80"/>
      <c r="D41" s="80" t="str">
        <f ca="1">IFERROR(VALUE(IF(VLOOKUP($A41,数出表_Excel!$A$6:$T$150,COLUMN()/2+1,FALSE)=0,"",VLOOKUP($A41,数出表_Excel!$A$6:$T$150,COLUMN()/2+1,FALSE))),"")</f>
        <v/>
      </c>
      <c r="E41" s="80"/>
      <c r="F41" s="84" t="str">
        <f ca="1">IFERROR(VALUE(IF(VLOOKUP($A41,数出表_Excel!$A$6:$T$150,COLUMN()/2+1,FALSE)=0,"",VLOOKUP($A41,数出表_Excel!$A$6:$T$150,COLUMN()/2+1,FALSE))),"")</f>
        <v/>
      </c>
      <c r="G41" s="80"/>
      <c r="H41" s="80" t="str">
        <f ca="1">IFERROR(VALUE(IF(VLOOKUP($A41,数出表_Excel!$A$6:$T$150,COLUMN()/2+1,FALSE)=0,"",VLOOKUP($A41,数出表_Excel!$A$6:$T$150,COLUMN()/2+1,FALSE))),"")</f>
        <v/>
      </c>
      <c r="I41" s="80"/>
      <c r="J41" s="80" t="str">
        <f ca="1">IFERROR(VALUE(IF(VLOOKUP($A41,数出表_Excel!$A$6:$T$150,COLUMN()/2+1,FALSE)=0,"",VLOOKUP($A41,数出表_Excel!$A$6:$T$150,COLUMN()/2+1,FALSE))),"")</f>
        <v/>
      </c>
      <c r="K41" s="80"/>
      <c r="L41" s="84" t="str">
        <f ca="1">IFERROR(VALUE(IF(VLOOKUP($A41,数出表_Excel!$A$6:$T$150,COLUMN()/2+1,FALSE)=0,"",VLOOKUP($A41,数出表_Excel!$A$6:$T$150,COLUMN()/2+1,FALSE))),"")</f>
        <v/>
      </c>
      <c r="M41" s="80"/>
      <c r="N41" s="80" t="str">
        <f ca="1">IFERROR(VALUE(IF(VLOOKUP($A41,数出表_Excel!$A$6:$T$150,COLUMN()/2+1,FALSE)=0,"",VLOOKUP($A41,数出表_Excel!$A$6:$T$150,COLUMN()/2+1,FALSE))),"")</f>
        <v/>
      </c>
      <c r="O41" s="80"/>
      <c r="P41" s="80" t="str">
        <f ca="1">IFERROR(VALUE(IF(VLOOKUP($A41,数出表_Excel!$A$6:$T$150,COLUMN()/2+1,FALSE)=0,"",VLOOKUP($A41,数出表_Excel!$A$6:$T$150,COLUMN()/2+1,FALSE))),"")</f>
        <v/>
      </c>
      <c r="Q41" s="80"/>
      <c r="R41" s="80" t="str">
        <f ca="1">IFERROR(VALUE(IF(VLOOKUP($A41,数出表_Excel!$A$6:$T$150,COLUMN()/2+1,FALSE)=0,"",VLOOKUP($A41,数出表_Excel!$A$6:$T$150,COLUMN()/2+1,FALSE))),"")</f>
        <v/>
      </c>
      <c r="S41" s="80"/>
      <c r="T41" s="80" t="str">
        <f ca="1">IFERROR(VALUE(IF(VLOOKUP($A41,数出表_Excel!$A$6:$T$150,COLUMN()/2+1,FALSE)=0,"",VLOOKUP($A41,数出表_Excel!$A$6:$T$150,COLUMN()/2+1,FALSE))),"")</f>
        <v/>
      </c>
      <c r="U41" s="80"/>
      <c r="V41" s="84" t="str">
        <f ca="1">IFERROR(VALUE(IF(VLOOKUP($A41,数出表_Excel!$A$6:$T$150,COLUMN()/2+1,FALSE)=0,"",VLOOKUP($A41,数出表_Excel!$A$6:$T$150,COLUMN()/2+1,FALSE))),"")</f>
        <v/>
      </c>
      <c r="W41" s="80"/>
      <c r="X41" s="84" t="str">
        <f ca="1">IFERROR(VALUE(IF(VLOOKUP($A41,数出表_Excel!$A$6:$T$150,COLUMN()/2+1,FALSE)=0,"",VLOOKUP($A41,数出表_Excel!$A$6:$T$150,COLUMN()/2+1,FALSE))),"")</f>
        <v/>
      </c>
      <c r="Y41" s="80"/>
      <c r="Z41" s="84" t="str">
        <f ca="1">IFERROR(VALUE(IF(VLOOKUP($A41,数出表_Excel!$A$6:$T$150,COLUMN()/2+1,FALSE)=0,"",VLOOKUP($A41,数出表_Excel!$A$6:$T$150,COLUMN()/2+1,FALSE))),"")</f>
        <v/>
      </c>
      <c r="AA41" s="118"/>
      <c r="AB41" s="85" t="str">
        <f ca="1">IFERROR(VALUE(IF(VLOOKUP($A41,数出表_Excel!$A$6:$T$150,COLUMN()/2+1,FALSE)=0,"",VLOOKUP($A41,数出表_Excel!$A$6:$T$150,COLUMN()/2+1,FALSE))),"")</f>
        <v/>
      </c>
      <c r="AC41" s="80"/>
      <c r="AD41" s="84" t="str">
        <f ca="1">IFERROR(VALUE(IF(VLOOKUP($A41,数出表_Excel!$A$6:$T$150,COLUMN()/2+1,FALSE)=0,"",VLOOKUP($A41,数出表_Excel!$A$6:$T$150,COLUMN()/2+1,FALSE))),"")</f>
        <v/>
      </c>
      <c r="AE41" s="80"/>
      <c r="AF41" s="84" t="str">
        <f ca="1">IFERROR(VALUE(IF(VLOOKUP($A41,数出表_Excel!$A$6:$T$150,COLUMN()/2+1,FALSE)=0,"",VLOOKUP($A41,数出表_Excel!$A$6:$T$150,COLUMN()/2+1,FALSE))),"")</f>
        <v/>
      </c>
      <c r="AG41" s="80"/>
      <c r="AH41" s="84" t="str">
        <f ca="1">IFERROR(VALUE(IF(VLOOKUP($A41,数出表_Excel!$A$6:$T$150,COLUMN()/2+1,FALSE)=0,"",VLOOKUP($A41,数出表_Excel!$A$6:$T$150,COLUMN()/2+1,FALSE))),"")</f>
        <v/>
      </c>
      <c r="AI41" s="118"/>
      <c r="AJ41" s="85" t="str">
        <f ca="1">IFERROR(VALUE(IF(VLOOKUP($A41,数出表_Excel!$A$6:$T$150,COLUMN()/2+1,FALSE)=0,"",VLOOKUP($A41,数出表_Excel!$A$6:$T$150,COLUMN()/2+1,FALSE))),"")</f>
        <v/>
      </c>
      <c r="AK41" s="80"/>
      <c r="AL41" s="86" t="e">
        <f ca="1">IF(A41&lt;&gt;"",
IF(VLOOKUP($A41,数出表_Excel!$A$6:$T$150,COLUMN()/2+1,FALSE)=0,"",VLOOKUP($A41,数出表_Excel!$A$6:$T$150,COLUMN()/2+1,FALSE)),"")</f>
        <v>#N/A</v>
      </c>
      <c r="AM41" s="166" t="e">
        <f>数出表_Excel!V41</f>
        <v>#N/A</v>
      </c>
      <c r="AN41" s="167" t="e">
        <f>数出表_Excel!W41</f>
        <v>#N/A</v>
      </c>
    </row>
    <row r="42" spans="1:40" ht="16.2" customHeight="1">
      <c r="A42" s="126" t="e">
        <f t="array" aca="1" ref="A42" ca="1">IF(OR(COUNTIF(A40,"*10002*"),COUNTIF(A40,"")),"",INDEX(貼り付け用!$A1:$A200,MATCH(A40,貼り付け用!$A1:$A200,0)+2,0))</f>
        <v>#N/A</v>
      </c>
      <c r="B42" s="114" t="str">
        <f ca="1">IFERROR(VALUE(IF(VLOOKUP($A42,数出表_Excel!$A$6:$T$150,COLUMN()/2+1,FALSE)=0,"",VLOOKUP($A42,数出表_Excel!$A$6:$T$150,COLUMN()/2+1,FALSE))),"")</f>
        <v/>
      </c>
      <c r="C42" s="79"/>
      <c r="D42" s="114" t="str">
        <f ca="1">IFERROR(VALUE(IF(VLOOKUP($A42,数出表_Excel!$A$6:$T$150,COLUMN()/2+1,FALSE)=0,"",VLOOKUP($A42,数出表_Excel!$A$6:$T$150,COLUMN()/2+1,FALSE))),"")</f>
        <v/>
      </c>
      <c r="E42" s="79"/>
      <c r="F42" s="116" t="str">
        <f ca="1">IFERROR(VALUE(IF(VLOOKUP($A42,数出表_Excel!$A$6:$T$150,COLUMN()/2+1,FALSE)=0,"",VLOOKUP($A42,数出表_Excel!$A$6:$T$150,COLUMN()/2+1,FALSE))),"")</f>
        <v/>
      </c>
      <c r="G42" s="79"/>
      <c r="H42" s="114" t="str">
        <f ca="1">IFERROR(VALUE(IF(VLOOKUP($A42,数出表_Excel!$A$6:$T$150,COLUMN()/2+1,FALSE)=0,"",VLOOKUP($A42,数出表_Excel!$A$6:$T$150,COLUMN()/2+1,FALSE))),"")</f>
        <v/>
      </c>
      <c r="I42" s="79"/>
      <c r="J42" s="114" t="str">
        <f ca="1">IFERROR(VALUE(IF(VLOOKUP($A42,数出表_Excel!$A$6:$T$150,COLUMN()/2+1,FALSE)=0,"",VLOOKUP($A42,数出表_Excel!$A$6:$T$150,COLUMN()/2+1,FALSE))),"")</f>
        <v/>
      </c>
      <c r="K42" s="79"/>
      <c r="L42" s="116" t="str">
        <f ca="1">IFERROR(VALUE(IF(VLOOKUP($A42,数出表_Excel!$A$6:$T$150,COLUMN()/2+1,FALSE)=0,"",VLOOKUP($A42,数出表_Excel!$A$6:$T$150,COLUMN()/2+1,FALSE))),"")</f>
        <v/>
      </c>
      <c r="M42" s="79"/>
      <c r="N42" s="114" t="str">
        <f ca="1">IFERROR(VALUE(IF(VLOOKUP($A42,数出表_Excel!$A$6:$T$150,COLUMN()/2+1,FALSE)=0,"",VLOOKUP($A42,数出表_Excel!$A$6:$T$150,COLUMN()/2+1,FALSE))),"")</f>
        <v/>
      </c>
      <c r="O42" s="79"/>
      <c r="P42" s="114" t="str">
        <f ca="1">IFERROR(VALUE(IF(VLOOKUP($A42,数出表_Excel!$A$6:$T$150,COLUMN()/2+1,FALSE)=0,"",VLOOKUP($A42,数出表_Excel!$A$6:$T$150,COLUMN()/2+1,FALSE))),"")</f>
        <v/>
      </c>
      <c r="Q42" s="79"/>
      <c r="R42" s="114" t="str">
        <f ca="1">IFERROR(VALUE(IF(VLOOKUP($A42,数出表_Excel!$A$6:$T$150,COLUMN()/2+1,FALSE)=0,"",VLOOKUP($A42,数出表_Excel!$A$6:$T$150,COLUMN()/2+1,FALSE))),"")</f>
        <v/>
      </c>
      <c r="S42" s="79"/>
      <c r="T42" s="114" t="str">
        <f ca="1">IFERROR(VALUE(IF(VLOOKUP($A42,数出表_Excel!$A$6:$T$150,COLUMN()/2+1,FALSE)=0,"",VLOOKUP($A42,数出表_Excel!$A$6:$T$150,COLUMN()/2+1,FALSE))),"")</f>
        <v/>
      </c>
      <c r="U42" s="79"/>
      <c r="V42" s="116" t="str">
        <f ca="1">IFERROR(VALUE(IF(VLOOKUP($A42,数出表_Excel!$A$6:$T$150,COLUMN()/2+1,FALSE)=0,"",VLOOKUP($A42,数出表_Excel!$A$6:$T$150,COLUMN()/2+1,FALSE))),"")</f>
        <v/>
      </c>
      <c r="W42" s="79"/>
      <c r="X42" s="116" t="str">
        <f ca="1">IFERROR(VALUE(IF(VLOOKUP($A42,数出表_Excel!$A$6:$T$150,COLUMN()/2+1,FALSE)=0,"",VLOOKUP($A42,数出表_Excel!$A$6:$T$150,COLUMN()/2+1,FALSE))),"")</f>
        <v/>
      </c>
      <c r="Y42" s="79"/>
      <c r="Z42" s="116" t="str">
        <f ca="1">IFERROR(VALUE(IF(VLOOKUP($A42,数出表_Excel!$A$6:$T$150,COLUMN()/2+1,FALSE)=0,"",VLOOKUP($A42,数出表_Excel!$A$6:$T$150,COLUMN()/2+1,FALSE))),"")</f>
        <v/>
      </c>
      <c r="AA42" s="117"/>
      <c r="AB42" s="115" t="str">
        <f ca="1">IFERROR(VALUE(IF(VLOOKUP($A42,数出表_Excel!$A$6:$T$150,COLUMN()/2+1,FALSE)=0,"",VLOOKUP($A42,数出表_Excel!$A$6:$T$150,COLUMN()/2+1,FALSE))),"")</f>
        <v/>
      </c>
      <c r="AC42" s="79"/>
      <c r="AD42" s="116" t="str">
        <f ca="1">IFERROR(VALUE(IF(VLOOKUP($A42,数出表_Excel!$A$6:$T$150,COLUMN()/2+1,FALSE)=0,"",VLOOKUP($A42,数出表_Excel!$A$6:$T$150,COLUMN()/2+1,FALSE))),"")</f>
        <v/>
      </c>
      <c r="AE42" s="79"/>
      <c r="AF42" s="116" t="str">
        <f ca="1">IFERROR(VALUE(IF(VLOOKUP($A42,数出表_Excel!$A$6:$T$150,COLUMN()/2+1,FALSE)=0,"",VLOOKUP($A42,数出表_Excel!$A$6:$T$150,COLUMN()/2+1,FALSE))),"")</f>
        <v/>
      </c>
      <c r="AG42" s="79"/>
      <c r="AH42" s="116" t="str">
        <f ca="1">IFERROR(VALUE(IF(VLOOKUP($A42,数出表_Excel!$A$6:$T$150,COLUMN()/2+1,FALSE)=0,"",VLOOKUP($A42,数出表_Excel!$A$6:$T$150,COLUMN()/2+1,FALSE))),"")</f>
        <v/>
      </c>
      <c r="AI42" s="117"/>
      <c r="AJ42" s="115" t="str">
        <f ca="1">IFERROR(VALUE(IF(VLOOKUP($A42,数出表_Excel!$A$6:$T$150,COLUMN()/2+1,FALSE)=0,"",VLOOKUP($A42,数出表_Excel!$A$6:$T$150,COLUMN()/2+1,FALSE))),"")</f>
        <v/>
      </c>
      <c r="AK42" s="79"/>
      <c r="AL42" s="83" t="e">
        <f ca="1">IF(A42&lt;&gt;"",
IF(VLOOKUP($A42,数出表_Excel!$A$6:$T$150,COLUMN()/2+1,FALSE)=0,"",VLOOKUP($A42,数出表_Excel!$A$6:$T$150,COLUMN()/2+1,FALSE)),"")</f>
        <v>#N/A</v>
      </c>
      <c r="AM42" s="164" t="e">
        <f>数出表_Excel!V42</f>
        <v>#N/A</v>
      </c>
      <c r="AN42" s="165" t="e">
        <f>数出表_Excel!W42</f>
        <v>#N/A</v>
      </c>
    </row>
    <row r="43" spans="1:40" ht="16.2" customHeight="1">
      <c r="A43" s="127" t="e">
        <f t="array" aca="1" ref="A43" ca="1">IF(OR(COUNTIF(A41,"*1000*"),COUNTIF(A41,"")),"",INDEX(貼り付け用!$A1:$A200,MATCH(A41,貼り付け用!$A1:$A200,0)+2,0))</f>
        <v>#N/A</v>
      </c>
      <c r="B43" s="80" t="str">
        <f ca="1">IFERROR(VALUE(IF(VLOOKUP($A43,数出表_Excel!$A$6:$T$150,COLUMN()/2+1,FALSE)=0,"",VLOOKUP($A43,数出表_Excel!$A$6:$T$150,COLUMN()/2+1,FALSE))),"")</f>
        <v/>
      </c>
      <c r="C43" s="80"/>
      <c r="D43" s="80" t="str">
        <f ca="1">IFERROR(VALUE(IF(VLOOKUP($A43,数出表_Excel!$A$6:$T$150,COLUMN()/2+1,FALSE)=0,"",VLOOKUP($A43,数出表_Excel!$A$6:$T$150,COLUMN()/2+1,FALSE))),"")</f>
        <v/>
      </c>
      <c r="E43" s="80"/>
      <c r="F43" s="84" t="str">
        <f ca="1">IFERROR(VALUE(IF(VLOOKUP($A43,数出表_Excel!$A$6:$T$150,COLUMN()/2+1,FALSE)=0,"",VLOOKUP($A43,数出表_Excel!$A$6:$T$150,COLUMN()/2+1,FALSE))),"")</f>
        <v/>
      </c>
      <c r="G43" s="80"/>
      <c r="H43" s="80" t="str">
        <f ca="1">IFERROR(VALUE(IF(VLOOKUP($A43,数出表_Excel!$A$6:$T$150,COLUMN()/2+1,FALSE)=0,"",VLOOKUP($A43,数出表_Excel!$A$6:$T$150,COLUMN()/2+1,FALSE))),"")</f>
        <v/>
      </c>
      <c r="I43" s="80"/>
      <c r="J43" s="80" t="str">
        <f ca="1">IFERROR(VALUE(IF(VLOOKUP($A43,数出表_Excel!$A$6:$T$150,COLUMN()/2+1,FALSE)=0,"",VLOOKUP($A43,数出表_Excel!$A$6:$T$150,COLUMN()/2+1,FALSE))),"")</f>
        <v/>
      </c>
      <c r="K43" s="80"/>
      <c r="L43" s="84" t="str">
        <f ca="1">IFERROR(VALUE(IF(VLOOKUP($A43,数出表_Excel!$A$6:$T$150,COLUMN()/2+1,FALSE)=0,"",VLOOKUP($A43,数出表_Excel!$A$6:$T$150,COLUMN()/2+1,FALSE))),"")</f>
        <v/>
      </c>
      <c r="M43" s="80"/>
      <c r="N43" s="80" t="str">
        <f ca="1">IFERROR(VALUE(IF(VLOOKUP($A43,数出表_Excel!$A$6:$T$150,COLUMN()/2+1,FALSE)=0,"",VLOOKUP($A43,数出表_Excel!$A$6:$T$150,COLUMN()/2+1,FALSE))),"")</f>
        <v/>
      </c>
      <c r="O43" s="80"/>
      <c r="P43" s="80" t="str">
        <f ca="1">IFERROR(VALUE(IF(VLOOKUP($A43,数出表_Excel!$A$6:$T$150,COLUMN()/2+1,FALSE)=0,"",VLOOKUP($A43,数出表_Excel!$A$6:$T$150,COLUMN()/2+1,FALSE))),"")</f>
        <v/>
      </c>
      <c r="Q43" s="80"/>
      <c r="R43" s="80" t="str">
        <f ca="1">IFERROR(VALUE(IF(VLOOKUP($A43,数出表_Excel!$A$6:$T$150,COLUMN()/2+1,FALSE)=0,"",VLOOKUP($A43,数出表_Excel!$A$6:$T$150,COLUMN()/2+1,FALSE))),"")</f>
        <v/>
      </c>
      <c r="S43" s="80"/>
      <c r="T43" s="80" t="str">
        <f ca="1">IFERROR(VALUE(IF(VLOOKUP($A43,数出表_Excel!$A$6:$T$150,COLUMN()/2+1,FALSE)=0,"",VLOOKUP($A43,数出表_Excel!$A$6:$T$150,COLUMN()/2+1,FALSE))),"")</f>
        <v/>
      </c>
      <c r="U43" s="80"/>
      <c r="V43" s="84" t="str">
        <f ca="1">IFERROR(VALUE(IF(VLOOKUP($A43,数出表_Excel!$A$6:$T$150,COLUMN()/2+1,FALSE)=0,"",VLOOKUP($A43,数出表_Excel!$A$6:$T$150,COLUMN()/2+1,FALSE))),"")</f>
        <v/>
      </c>
      <c r="W43" s="80"/>
      <c r="X43" s="84" t="str">
        <f ca="1">IFERROR(VALUE(IF(VLOOKUP($A43,数出表_Excel!$A$6:$T$150,COLUMN()/2+1,FALSE)=0,"",VLOOKUP($A43,数出表_Excel!$A$6:$T$150,COLUMN()/2+1,FALSE))),"")</f>
        <v/>
      </c>
      <c r="Y43" s="80"/>
      <c r="Z43" s="84" t="str">
        <f ca="1">IFERROR(VALUE(IF(VLOOKUP($A43,数出表_Excel!$A$6:$T$150,COLUMN()/2+1,FALSE)=0,"",VLOOKUP($A43,数出表_Excel!$A$6:$T$150,COLUMN()/2+1,FALSE))),"")</f>
        <v/>
      </c>
      <c r="AA43" s="118"/>
      <c r="AB43" s="85" t="str">
        <f ca="1">IFERROR(VALUE(IF(VLOOKUP($A43,数出表_Excel!$A$6:$T$150,COLUMN()/2+1,FALSE)=0,"",VLOOKUP($A43,数出表_Excel!$A$6:$T$150,COLUMN()/2+1,FALSE))),"")</f>
        <v/>
      </c>
      <c r="AC43" s="80"/>
      <c r="AD43" s="84" t="str">
        <f ca="1">IFERROR(VALUE(IF(VLOOKUP($A43,数出表_Excel!$A$6:$T$150,COLUMN()/2+1,FALSE)=0,"",VLOOKUP($A43,数出表_Excel!$A$6:$T$150,COLUMN()/2+1,FALSE))),"")</f>
        <v/>
      </c>
      <c r="AE43" s="80"/>
      <c r="AF43" s="84" t="str">
        <f ca="1">IFERROR(VALUE(IF(VLOOKUP($A43,数出表_Excel!$A$6:$T$150,COLUMN()/2+1,FALSE)=0,"",VLOOKUP($A43,数出表_Excel!$A$6:$T$150,COLUMN()/2+1,FALSE))),"")</f>
        <v/>
      </c>
      <c r="AG43" s="80"/>
      <c r="AH43" s="84" t="str">
        <f ca="1">IFERROR(VALUE(IF(VLOOKUP($A43,数出表_Excel!$A$6:$T$150,COLUMN()/2+1,FALSE)=0,"",VLOOKUP($A43,数出表_Excel!$A$6:$T$150,COLUMN()/2+1,FALSE))),"")</f>
        <v/>
      </c>
      <c r="AI43" s="118"/>
      <c r="AJ43" s="85" t="str">
        <f ca="1">IFERROR(VALUE(IF(VLOOKUP($A43,数出表_Excel!$A$6:$T$150,COLUMN()/2+1,FALSE)=0,"",VLOOKUP($A43,数出表_Excel!$A$6:$T$150,COLUMN()/2+1,FALSE))),"")</f>
        <v/>
      </c>
      <c r="AK43" s="80"/>
      <c r="AL43" s="86" t="e">
        <f ca="1">IF(A43&lt;&gt;"",
IF(VLOOKUP($A43,数出表_Excel!$A$6:$T$150,COLUMN()/2+1,FALSE)=0,"",VLOOKUP($A43,数出表_Excel!$A$6:$T$150,COLUMN()/2+1,FALSE)),"")</f>
        <v>#N/A</v>
      </c>
      <c r="AM43" s="166" t="e">
        <f>数出表_Excel!V43</f>
        <v>#N/A</v>
      </c>
      <c r="AN43" s="167" t="e">
        <f>数出表_Excel!W43</f>
        <v>#N/A</v>
      </c>
    </row>
    <row r="44" spans="1:40" ht="16.2" customHeight="1">
      <c r="A44" s="126" t="e">
        <f t="array" aca="1" ref="A44" ca="1">IF(OR(COUNTIF(A42,"*10002*"),COUNTIF(A42,"")),"",INDEX(貼り付け用!$A1:$A200,MATCH(A42,貼り付け用!$A1:$A200,0)+2,0))</f>
        <v>#N/A</v>
      </c>
      <c r="B44" s="114" t="str">
        <f ca="1">IFERROR(VALUE(IF(VLOOKUP($A44,数出表_Excel!$A$6:$T$150,COLUMN()/2+1,FALSE)=0,"",VLOOKUP($A44,数出表_Excel!$A$6:$T$150,COLUMN()/2+1,FALSE))),"")</f>
        <v/>
      </c>
      <c r="C44" s="79"/>
      <c r="D44" s="114" t="str">
        <f ca="1">IFERROR(VALUE(IF(VLOOKUP($A44,数出表_Excel!$A$6:$T$150,COLUMN()/2+1,FALSE)=0,"",VLOOKUP($A44,数出表_Excel!$A$6:$T$150,COLUMN()/2+1,FALSE))),"")</f>
        <v/>
      </c>
      <c r="E44" s="79"/>
      <c r="F44" s="116" t="str">
        <f ca="1">IFERROR(VALUE(IF(VLOOKUP($A44,数出表_Excel!$A$6:$T$150,COLUMN()/2+1,FALSE)=0,"",VLOOKUP($A44,数出表_Excel!$A$6:$T$150,COLUMN()/2+1,FALSE))),"")</f>
        <v/>
      </c>
      <c r="G44" s="79"/>
      <c r="H44" s="114" t="str">
        <f ca="1">IFERROR(VALUE(IF(VLOOKUP($A44,数出表_Excel!$A$6:$T$150,COLUMN()/2+1,FALSE)=0,"",VLOOKUP($A44,数出表_Excel!$A$6:$T$150,COLUMN()/2+1,FALSE))),"")</f>
        <v/>
      </c>
      <c r="I44" s="79"/>
      <c r="J44" s="114" t="str">
        <f ca="1">IFERROR(VALUE(IF(VLOOKUP($A44,数出表_Excel!$A$6:$T$150,COLUMN()/2+1,FALSE)=0,"",VLOOKUP($A44,数出表_Excel!$A$6:$T$150,COLUMN()/2+1,FALSE))),"")</f>
        <v/>
      </c>
      <c r="K44" s="79"/>
      <c r="L44" s="116" t="str">
        <f ca="1">IFERROR(VALUE(IF(VLOOKUP($A44,数出表_Excel!$A$6:$T$150,COLUMN()/2+1,FALSE)=0,"",VLOOKUP($A44,数出表_Excel!$A$6:$T$150,COLUMN()/2+1,FALSE))),"")</f>
        <v/>
      </c>
      <c r="M44" s="79"/>
      <c r="N44" s="114" t="str">
        <f ca="1">IFERROR(VALUE(IF(VLOOKUP($A44,数出表_Excel!$A$6:$T$150,COLUMN()/2+1,FALSE)=0,"",VLOOKUP($A44,数出表_Excel!$A$6:$T$150,COLUMN()/2+1,FALSE))),"")</f>
        <v/>
      </c>
      <c r="O44" s="79"/>
      <c r="P44" s="114" t="str">
        <f ca="1">IFERROR(VALUE(IF(VLOOKUP($A44,数出表_Excel!$A$6:$T$150,COLUMN()/2+1,FALSE)=0,"",VLOOKUP($A44,数出表_Excel!$A$6:$T$150,COLUMN()/2+1,FALSE))),"")</f>
        <v/>
      </c>
      <c r="Q44" s="79"/>
      <c r="R44" s="114" t="str">
        <f ca="1">IFERROR(VALUE(IF(VLOOKUP($A44,数出表_Excel!$A$6:$T$150,COLUMN()/2+1,FALSE)=0,"",VLOOKUP($A44,数出表_Excel!$A$6:$T$150,COLUMN()/2+1,FALSE))),"")</f>
        <v/>
      </c>
      <c r="S44" s="79"/>
      <c r="T44" s="114" t="str">
        <f ca="1">IFERROR(VALUE(IF(VLOOKUP($A44,数出表_Excel!$A$6:$T$150,COLUMN()/2+1,FALSE)=0,"",VLOOKUP($A44,数出表_Excel!$A$6:$T$150,COLUMN()/2+1,FALSE))),"")</f>
        <v/>
      </c>
      <c r="U44" s="79"/>
      <c r="V44" s="116" t="str">
        <f ca="1">IFERROR(VALUE(IF(VLOOKUP($A44,数出表_Excel!$A$6:$T$150,COLUMN()/2+1,FALSE)=0,"",VLOOKUP($A44,数出表_Excel!$A$6:$T$150,COLUMN()/2+1,FALSE))),"")</f>
        <v/>
      </c>
      <c r="W44" s="79"/>
      <c r="X44" s="116" t="str">
        <f ca="1">IFERROR(VALUE(IF(VLOOKUP($A44,数出表_Excel!$A$6:$T$150,COLUMN()/2+1,FALSE)=0,"",VLOOKUP($A44,数出表_Excel!$A$6:$T$150,COLUMN()/2+1,FALSE))),"")</f>
        <v/>
      </c>
      <c r="Y44" s="79"/>
      <c r="Z44" s="116" t="str">
        <f ca="1">IFERROR(VALUE(IF(VLOOKUP($A44,数出表_Excel!$A$6:$T$150,COLUMN()/2+1,FALSE)=0,"",VLOOKUP($A44,数出表_Excel!$A$6:$T$150,COLUMN()/2+1,FALSE))),"")</f>
        <v/>
      </c>
      <c r="AA44" s="117"/>
      <c r="AB44" s="115" t="str">
        <f ca="1">IFERROR(VALUE(IF(VLOOKUP($A44,数出表_Excel!$A$6:$T$150,COLUMN()/2+1,FALSE)=0,"",VLOOKUP($A44,数出表_Excel!$A$6:$T$150,COLUMN()/2+1,FALSE))),"")</f>
        <v/>
      </c>
      <c r="AC44" s="79"/>
      <c r="AD44" s="116" t="str">
        <f ca="1">IFERROR(VALUE(IF(VLOOKUP($A44,数出表_Excel!$A$6:$T$150,COLUMN()/2+1,FALSE)=0,"",VLOOKUP($A44,数出表_Excel!$A$6:$T$150,COLUMN()/2+1,FALSE))),"")</f>
        <v/>
      </c>
      <c r="AE44" s="79"/>
      <c r="AF44" s="116" t="str">
        <f ca="1">IFERROR(VALUE(IF(VLOOKUP($A44,数出表_Excel!$A$6:$T$150,COLUMN()/2+1,FALSE)=0,"",VLOOKUP($A44,数出表_Excel!$A$6:$T$150,COLUMN()/2+1,FALSE))),"")</f>
        <v/>
      </c>
      <c r="AG44" s="79"/>
      <c r="AH44" s="116" t="str">
        <f ca="1">IFERROR(VALUE(IF(VLOOKUP($A44,数出表_Excel!$A$6:$T$150,COLUMN()/2+1,FALSE)=0,"",VLOOKUP($A44,数出表_Excel!$A$6:$T$150,COLUMN()/2+1,FALSE))),"")</f>
        <v/>
      </c>
      <c r="AI44" s="117"/>
      <c r="AJ44" s="115" t="str">
        <f ca="1">IFERROR(VALUE(IF(VLOOKUP($A44,数出表_Excel!$A$6:$T$150,COLUMN()/2+1,FALSE)=0,"",VLOOKUP($A44,数出表_Excel!$A$6:$T$150,COLUMN()/2+1,FALSE))),"")</f>
        <v/>
      </c>
      <c r="AK44" s="79"/>
      <c r="AL44" s="83" t="e">
        <f ca="1">IF(A44&lt;&gt;"",
IF(VLOOKUP($A44,数出表_Excel!$A$6:$T$150,COLUMN()/2+1,FALSE)=0,"",VLOOKUP($A44,数出表_Excel!$A$6:$T$150,COLUMN()/2+1,FALSE)),"")</f>
        <v>#N/A</v>
      </c>
      <c r="AM44" s="164" t="e">
        <f>数出表_Excel!V44</f>
        <v>#N/A</v>
      </c>
      <c r="AN44" s="165" t="e">
        <f>数出表_Excel!W44</f>
        <v>#N/A</v>
      </c>
    </row>
    <row r="45" spans="1:40" ht="16.2" customHeight="1">
      <c r="A45" s="127" t="e">
        <f t="array" aca="1" ref="A45" ca="1">IF(OR(COUNTIF(A43,"*1000*"),COUNTIF(A43,"")),"",INDEX(貼り付け用!$A1:$A200,MATCH(A43,貼り付け用!$A1:$A200,0)+2,0))</f>
        <v>#N/A</v>
      </c>
      <c r="B45" s="80" t="str">
        <f ca="1">IFERROR(VALUE(IF(VLOOKUP($A45,数出表_Excel!$A$6:$T$150,COLUMN()/2+1,FALSE)=0,"",VLOOKUP($A45,数出表_Excel!$A$6:$T$150,COLUMN()/2+1,FALSE))),"")</f>
        <v/>
      </c>
      <c r="C45" s="80"/>
      <c r="D45" s="80" t="str">
        <f ca="1">IFERROR(VALUE(IF(VLOOKUP($A45,数出表_Excel!$A$6:$T$150,COLUMN()/2+1,FALSE)=0,"",VLOOKUP($A45,数出表_Excel!$A$6:$T$150,COLUMN()/2+1,FALSE))),"")</f>
        <v/>
      </c>
      <c r="E45" s="80"/>
      <c r="F45" s="84" t="str">
        <f ca="1">IFERROR(VALUE(IF(VLOOKUP($A45,数出表_Excel!$A$6:$T$150,COLUMN()/2+1,FALSE)=0,"",VLOOKUP($A45,数出表_Excel!$A$6:$T$150,COLUMN()/2+1,FALSE))),"")</f>
        <v/>
      </c>
      <c r="G45" s="80"/>
      <c r="H45" s="80" t="str">
        <f ca="1">IFERROR(VALUE(IF(VLOOKUP($A45,数出表_Excel!$A$6:$T$150,COLUMN()/2+1,FALSE)=0,"",VLOOKUP($A45,数出表_Excel!$A$6:$T$150,COLUMN()/2+1,FALSE))),"")</f>
        <v/>
      </c>
      <c r="I45" s="80"/>
      <c r="J45" s="80" t="str">
        <f ca="1">IFERROR(VALUE(IF(VLOOKUP($A45,数出表_Excel!$A$6:$T$150,COLUMN()/2+1,FALSE)=0,"",VLOOKUP($A45,数出表_Excel!$A$6:$T$150,COLUMN()/2+1,FALSE))),"")</f>
        <v/>
      </c>
      <c r="K45" s="80"/>
      <c r="L45" s="84" t="str">
        <f ca="1">IFERROR(VALUE(IF(VLOOKUP($A45,数出表_Excel!$A$6:$T$150,COLUMN()/2+1,FALSE)=0,"",VLOOKUP($A45,数出表_Excel!$A$6:$T$150,COLUMN()/2+1,FALSE))),"")</f>
        <v/>
      </c>
      <c r="M45" s="80"/>
      <c r="N45" s="80" t="str">
        <f ca="1">IFERROR(VALUE(IF(VLOOKUP($A45,数出表_Excel!$A$6:$T$150,COLUMN()/2+1,FALSE)=0,"",VLOOKUP($A45,数出表_Excel!$A$6:$T$150,COLUMN()/2+1,FALSE))),"")</f>
        <v/>
      </c>
      <c r="O45" s="80"/>
      <c r="P45" s="80" t="str">
        <f ca="1">IFERROR(VALUE(IF(VLOOKUP($A45,数出表_Excel!$A$6:$T$150,COLUMN()/2+1,FALSE)=0,"",VLOOKUP($A45,数出表_Excel!$A$6:$T$150,COLUMN()/2+1,FALSE))),"")</f>
        <v/>
      </c>
      <c r="Q45" s="80"/>
      <c r="R45" s="80" t="str">
        <f ca="1">IFERROR(VALUE(IF(VLOOKUP($A45,数出表_Excel!$A$6:$T$150,COLUMN()/2+1,FALSE)=0,"",VLOOKUP($A45,数出表_Excel!$A$6:$T$150,COLUMN()/2+1,FALSE))),"")</f>
        <v/>
      </c>
      <c r="S45" s="80"/>
      <c r="T45" s="80" t="str">
        <f ca="1">IFERROR(VALUE(IF(VLOOKUP($A45,数出表_Excel!$A$6:$T$150,COLUMN()/2+1,FALSE)=0,"",VLOOKUP($A45,数出表_Excel!$A$6:$T$150,COLUMN()/2+1,FALSE))),"")</f>
        <v/>
      </c>
      <c r="U45" s="80"/>
      <c r="V45" s="84" t="str">
        <f ca="1">IFERROR(VALUE(IF(VLOOKUP($A45,数出表_Excel!$A$6:$T$150,COLUMN()/2+1,FALSE)=0,"",VLOOKUP($A45,数出表_Excel!$A$6:$T$150,COLUMN()/2+1,FALSE))),"")</f>
        <v/>
      </c>
      <c r="W45" s="80"/>
      <c r="X45" s="84" t="str">
        <f ca="1">IFERROR(VALUE(IF(VLOOKUP($A45,数出表_Excel!$A$6:$T$150,COLUMN()/2+1,FALSE)=0,"",VLOOKUP($A45,数出表_Excel!$A$6:$T$150,COLUMN()/2+1,FALSE))),"")</f>
        <v/>
      </c>
      <c r="Y45" s="80"/>
      <c r="Z45" s="84" t="str">
        <f ca="1">IFERROR(VALUE(IF(VLOOKUP($A45,数出表_Excel!$A$6:$T$150,COLUMN()/2+1,FALSE)=0,"",VLOOKUP($A45,数出表_Excel!$A$6:$T$150,COLUMN()/2+1,FALSE))),"")</f>
        <v/>
      </c>
      <c r="AA45" s="118"/>
      <c r="AB45" s="85" t="str">
        <f ca="1">IFERROR(VALUE(IF(VLOOKUP($A45,数出表_Excel!$A$6:$T$150,COLUMN()/2+1,FALSE)=0,"",VLOOKUP($A45,数出表_Excel!$A$6:$T$150,COLUMN()/2+1,FALSE))),"")</f>
        <v/>
      </c>
      <c r="AC45" s="80"/>
      <c r="AD45" s="84" t="str">
        <f ca="1">IFERROR(VALUE(IF(VLOOKUP($A45,数出表_Excel!$A$6:$T$150,COLUMN()/2+1,FALSE)=0,"",VLOOKUP($A45,数出表_Excel!$A$6:$T$150,COLUMN()/2+1,FALSE))),"")</f>
        <v/>
      </c>
      <c r="AE45" s="80"/>
      <c r="AF45" s="84" t="str">
        <f ca="1">IFERROR(VALUE(IF(VLOOKUP($A45,数出表_Excel!$A$6:$T$150,COLUMN()/2+1,FALSE)=0,"",VLOOKUP($A45,数出表_Excel!$A$6:$T$150,COLUMN()/2+1,FALSE))),"")</f>
        <v/>
      </c>
      <c r="AG45" s="80"/>
      <c r="AH45" s="84" t="str">
        <f ca="1">IFERROR(VALUE(IF(VLOOKUP($A45,数出表_Excel!$A$6:$T$150,COLUMN()/2+1,FALSE)=0,"",VLOOKUP($A45,数出表_Excel!$A$6:$T$150,COLUMN()/2+1,FALSE))),"")</f>
        <v/>
      </c>
      <c r="AI45" s="118"/>
      <c r="AJ45" s="85" t="str">
        <f ca="1">IFERROR(VALUE(IF(VLOOKUP($A45,数出表_Excel!$A$6:$T$150,COLUMN()/2+1,FALSE)=0,"",VLOOKUP($A45,数出表_Excel!$A$6:$T$150,COLUMN()/2+1,FALSE))),"")</f>
        <v/>
      </c>
      <c r="AK45" s="80"/>
      <c r="AL45" s="86" t="e">
        <f ca="1">IF(A45&lt;&gt;"",
IF(VLOOKUP($A45,数出表_Excel!$A$6:$T$150,COLUMN()/2+1,FALSE)=0,"",VLOOKUP($A45,数出表_Excel!$A$6:$T$150,COLUMN()/2+1,FALSE)),"")</f>
        <v>#N/A</v>
      </c>
      <c r="AM45" s="166" t="e">
        <f>数出表_Excel!V45</f>
        <v>#N/A</v>
      </c>
      <c r="AN45" s="167" t="e">
        <f>数出表_Excel!W45</f>
        <v>#N/A</v>
      </c>
    </row>
    <row r="46" spans="1:40" ht="16.2" customHeight="1">
      <c r="A46" s="126" t="e">
        <f t="array" aca="1" ref="A46" ca="1">IF(OR(COUNTIF(A44,"*10002*"),COUNTIF(A44,"")),"",INDEX(貼り付け用!$A1:$A200,MATCH(A44,貼り付け用!$A1:$A200,0)+2,0))</f>
        <v>#N/A</v>
      </c>
      <c r="B46" s="114" t="str">
        <f ca="1">IFERROR(VALUE(IF(VLOOKUP($A46,数出表_Excel!$A$6:$T$150,COLUMN()/2+1,FALSE)=0,"",VLOOKUP($A46,数出表_Excel!$A$6:$T$150,COLUMN()/2+1,FALSE))),"")</f>
        <v/>
      </c>
      <c r="C46" s="79"/>
      <c r="D46" s="114" t="str">
        <f ca="1">IFERROR(VALUE(IF(VLOOKUP($A46,数出表_Excel!$A$6:$T$150,COLUMN()/2+1,FALSE)=0,"",VLOOKUP($A46,数出表_Excel!$A$6:$T$150,COLUMN()/2+1,FALSE))),"")</f>
        <v/>
      </c>
      <c r="E46" s="79"/>
      <c r="F46" s="116" t="str">
        <f ca="1">IFERROR(VALUE(IF(VLOOKUP($A46,数出表_Excel!$A$6:$T$150,COLUMN()/2+1,FALSE)=0,"",VLOOKUP($A46,数出表_Excel!$A$6:$T$150,COLUMN()/2+1,FALSE))),"")</f>
        <v/>
      </c>
      <c r="G46" s="79"/>
      <c r="H46" s="114" t="str">
        <f ca="1">IFERROR(VALUE(IF(VLOOKUP($A46,数出表_Excel!$A$6:$T$150,COLUMN()/2+1,FALSE)=0,"",VLOOKUP($A46,数出表_Excel!$A$6:$T$150,COLUMN()/2+1,FALSE))),"")</f>
        <v/>
      </c>
      <c r="I46" s="79"/>
      <c r="J46" s="114" t="str">
        <f ca="1">IFERROR(VALUE(IF(VLOOKUP($A46,数出表_Excel!$A$6:$T$150,COLUMN()/2+1,FALSE)=0,"",VLOOKUP($A46,数出表_Excel!$A$6:$T$150,COLUMN()/2+1,FALSE))),"")</f>
        <v/>
      </c>
      <c r="K46" s="79"/>
      <c r="L46" s="116" t="str">
        <f ca="1">IFERROR(VALUE(IF(VLOOKUP($A46,数出表_Excel!$A$6:$T$150,COLUMN()/2+1,FALSE)=0,"",VLOOKUP($A46,数出表_Excel!$A$6:$T$150,COLUMN()/2+1,FALSE))),"")</f>
        <v/>
      </c>
      <c r="M46" s="79"/>
      <c r="N46" s="114" t="str">
        <f ca="1">IFERROR(VALUE(IF(VLOOKUP($A46,数出表_Excel!$A$6:$T$150,COLUMN()/2+1,FALSE)=0,"",VLOOKUP($A46,数出表_Excel!$A$6:$T$150,COLUMN()/2+1,FALSE))),"")</f>
        <v/>
      </c>
      <c r="O46" s="79"/>
      <c r="P46" s="114" t="str">
        <f ca="1">IFERROR(VALUE(IF(VLOOKUP($A46,数出表_Excel!$A$6:$T$150,COLUMN()/2+1,FALSE)=0,"",VLOOKUP($A46,数出表_Excel!$A$6:$T$150,COLUMN()/2+1,FALSE))),"")</f>
        <v/>
      </c>
      <c r="Q46" s="79"/>
      <c r="R46" s="114" t="str">
        <f ca="1">IFERROR(VALUE(IF(VLOOKUP($A46,数出表_Excel!$A$6:$T$150,COLUMN()/2+1,FALSE)=0,"",VLOOKUP($A46,数出表_Excel!$A$6:$T$150,COLUMN()/2+1,FALSE))),"")</f>
        <v/>
      </c>
      <c r="S46" s="79"/>
      <c r="T46" s="114" t="str">
        <f ca="1">IFERROR(VALUE(IF(VLOOKUP($A46,数出表_Excel!$A$6:$T$150,COLUMN()/2+1,FALSE)=0,"",VLOOKUP($A46,数出表_Excel!$A$6:$T$150,COLUMN()/2+1,FALSE))),"")</f>
        <v/>
      </c>
      <c r="U46" s="79"/>
      <c r="V46" s="116" t="str">
        <f ca="1">IFERROR(VALUE(IF(VLOOKUP($A46,数出表_Excel!$A$6:$T$150,COLUMN()/2+1,FALSE)=0,"",VLOOKUP($A46,数出表_Excel!$A$6:$T$150,COLUMN()/2+1,FALSE))),"")</f>
        <v/>
      </c>
      <c r="W46" s="79"/>
      <c r="X46" s="116" t="str">
        <f ca="1">IFERROR(VALUE(IF(VLOOKUP($A46,数出表_Excel!$A$6:$T$150,COLUMN()/2+1,FALSE)=0,"",VLOOKUP($A46,数出表_Excel!$A$6:$T$150,COLUMN()/2+1,FALSE))),"")</f>
        <v/>
      </c>
      <c r="Y46" s="79"/>
      <c r="Z46" s="116" t="str">
        <f ca="1">IFERROR(VALUE(IF(VLOOKUP($A46,数出表_Excel!$A$6:$T$150,COLUMN()/2+1,FALSE)=0,"",VLOOKUP($A46,数出表_Excel!$A$6:$T$150,COLUMN()/2+1,FALSE))),"")</f>
        <v/>
      </c>
      <c r="AA46" s="117"/>
      <c r="AB46" s="115" t="str">
        <f ca="1">IFERROR(VALUE(IF(VLOOKUP($A46,数出表_Excel!$A$6:$T$150,COLUMN()/2+1,FALSE)=0,"",VLOOKUP($A46,数出表_Excel!$A$6:$T$150,COLUMN()/2+1,FALSE))),"")</f>
        <v/>
      </c>
      <c r="AC46" s="79"/>
      <c r="AD46" s="116" t="str">
        <f ca="1">IFERROR(VALUE(IF(VLOOKUP($A46,数出表_Excel!$A$6:$T$150,COLUMN()/2+1,FALSE)=0,"",VLOOKUP($A46,数出表_Excel!$A$6:$T$150,COLUMN()/2+1,FALSE))),"")</f>
        <v/>
      </c>
      <c r="AE46" s="79"/>
      <c r="AF46" s="116" t="str">
        <f ca="1">IFERROR(VALUE(IF(VLOOKUP($A46,数出表_Excel!$A$6:$T$150,COLUMN()/2+1,FALSE)=0,"",VLOOKUP($A46,数出表_Excel!$A$6:$T$150,COLUMN()/2+1,FALSE))),"")</f>
        <v/>
      </c>
      <c r="AG46" s="79"/>
      <c r="AH46" s="116" t="str">
        <f ca="1">IFERROR(VALUE(IF(VLOOKUP($A46,数出表_Excel!$A$6:$T$150,COLUMN()/2+1,FALSE)=0,"",VLOOKUP($A46,数出表_Excel!$A$6:$T$150,COLUMN()/2+1,FALSE))),"")</f>
        <v/>
      </c>
      <c r="AI46" s="117"/>
      <c r="AJ46" s="115" t="str">
        <f ca="1">IFERROR(VALUE(IF(VLOOKUP($A46,数出表_Excel!$A$6:$T$150,COLUMN()/2+1,FALSE)=0,"",VLOOKUP($A46,数出表_Excel!$A$6:$T$150,COLUMN()/2+1,FALSE))),"")</f>
        <v/>
      </c>
      <c r="AK46" s="79"/>
      <c r="AL46" s="83" t="e">
        <f ca="1">IF(A46&lt;&gt;"",
IF(VLOOKUP($A46,数出表_Excel!$A$6:$T$150,COLUMN()/2+1,FALSE)=0,"",VLOOKUP($A46,数出表_Excel!$A$6:$T$150,COLUMN()/2+1,FALSE)),"")</f>
        <v>#N/A</v>
      </c>
      <c r="AM46" s="164" t="e">
        <f>数出表_Excel!V46</f>
        <v>#N/A</v>
      </c>
      <c r="AN46" s="165" t="e">
        <f>数出表_Excel!W46</f>
        <v>#N/A</v>
      </c>
    </row>
    <row r="47" spans="1:40" ht="16.2" customHeight="1">
      <c r="A47" s="127" t="e">
        <f t="array" aca="1" ref="A47" ca="1">IF(OR(COUNTIF(A45,"*1000*"),COUNTIF(A45,"")),"",INDEX(貼り付け用!$A1:$A200,MATCH(A45,貼り付け用!$A1:$A200,0)+2,0))</f>
        <v>#N/A</v>
      </c>
      <c r="B47" s="80" t="str">
        <f ca="1">IFERROR(VALUE(IF(VLOOKUP($A47,数出表_Excel!$A$6:$T$150,COLUMN()/2+1,FALSE)=0,"",VLOOKUP($A47,数出表_Excel!$A$6:$T$150,COLUMN()/2+1,FALSE))),"")</f>
        <v/>
      </c>
      <c r="C47" s="80"/>
      <c r="D47" s="80" t="str">
        <f ca="1">IFERROR(VALUE(IF(VLOOKUP($A47,数出表_Excel!$A$6:$T$150,COLUMN()/2+1,FALSE)=0,"",VLOOKUP($A47,数出表_Excel!$A$6:$T$150,COLUMN()/2+1,FALSE))),"")</f>
        <v/>
      </c>
      <c r="E47" s="80"/>
      <c r="F47" s="84" t="str">
        <f ca="1">IFERROR(VALUE(IF(VLOOKUP($A47,数出表_Excel!$A$6:$T$150,COLUMN()/2+1,FALSE)=0,"",VLOOKUP($A47,数出表_Excel!$A$6:$T$150,COLUMN()/2+1,FALSE))),"")</f>
        <v/>
      </c>
      <c r="G47" s="80"/>
      <c r="H47" s="80" t="str">
        <f ca="1">IFERROR(VALUE(IF(VLOOKUP($A47,数出表_Excel!$A$6:$T$150,COLUMN()/2+1,FALSE)=0,"",VLOOKUP($A47,数出表_Excel!$A$6:$T$150,COLUMN()/2+1,FALSE))),"")</f>
        <v/>
      </c>
      <c r="I47" s="80"/>
      <c r="J47" s="80" t="str">
        <f ca="1">IFERROR(VALUE(IF(VLOOKUP($A47,数出表_Excel!$A$6:$T$150,COLUMN()/2+1,FALSE)=0,"",VLOOKUP($A47,数出表_Excel!$A$6:$T$150,COLUMN()/2+1,FALSE))),"")</f>
        <v/>
      </c>
      <c r="K47" s="80"/>
      <c r="L47" s="84" t="str">
        <f ca="1">IFERROR(VALUE(IF(VLOOKUP($A47,数出表_Excel!$A$6:$T$150,COLUMN()/2+1,FALSE)=0,"",VLOOKUP($A47,数出表_Excel!$A$6:$T$150,COLUMN()/2+1,FALSE))),"")</f>
        <v/>
      </c>
      <c r="M47" s="80"/>
      <c r="N47" s="80" t="str">
        <f ca="1">IFERROR(VALUE(IF(VLOOKUP($A47,数出表_Excel!$A$6:$T$150,COLUMN()/2+1,FALSE)=0,"",VLOOKUP($A47,数出表_Excel!$A$6:$T$150,COLUMN()/2+1,FALSE))),"")</f>
        <v/>
      </c>
      <c r="O47" s="80"/>
      <c r="P47" s="80" t="str">
        <f ca="1">IFERROR(VALUE(IF(VLOOKUP($A47,数出表_Excel!$A$6:$T$150,COLUMN()/2+1,FALSE)=0,"",VLOOKUP($A47,数出表_Excel!$A$6:$T$150,COLUMN()/2+1,FALSE))),"")</f>
        <v/>
      </c>
      <c r="Q47" s="80"/>
      <c r="R47" s="80" t="str">
        <f ca="1">IFERROR(VALUE(IF(VLOOKUP($A47,数出表_Excel!$A$6:$T$150,COLUMN()/2+1,FALSE)=0,"",VLOOKUP($A47,数出表_Excel!$A$6:$T$150,COLUMN()/2+1,FALSE))),"")</f>
        <v/>
      </c>
      <c r="S47" s="80"/>
      <c r="T47" s="80" t="str">
        <f ca="1">IFERROR(VALUE(IF(VLOOKUP($A47,数出表_Excel!$A$6:$T$150,COLUMN()/2+1,FALSE)=0,"",VLOOKUP($A47,数出表_Excel!$A$6:$T$150,COLUMN()/2+1,FALSE))),"")</f>
        <v/>
      </c>
      <c r="U47" s="80"/>
      <c r="V47" s="84" t="str">
        <f ca="1">IFERROR(VALUE(IF(VLOOKUP($A47,数出表_Excel!$A$6:$T$150,COLUMN()/2+1,FALSE)=0,"",VLOOKUP($A47,数出表_Excel!$A$6:$T$150,COLUMN()/2+1,FALSE))),"")</f>
        <v/>
      </c>
      <c r="W47" s="80"/>
      <c r="X47" s="84" t="str">
        <f ca="1">IFERROR(VALUE(IF(VLOOKUP($A47,数出表_Excel!$A$6:$T$150,COLUMN()/2+1,FALSE)=0,"",VLOOKUP($A47,数出表_Excel!$A$6:$T$150,COLUMN()/2+1,FALSE))),"")</f>
        <v/>
      </c>
      <c r="Y47" s="80"/>
      <c r="Z47" s="84" t="str">
        <f ca="1">IFERROR(VALUE(IF(VLOOKUP($A47,数出表_Excel!$A$6:$T$150,COLUMN()/2+1,FALSE)=0,"",VLOOKUP($A47,数出表_Excel!$A$6:$T$150,COLUMN()/2+1,FALSE))),"")</f>
        <v/>
      </c>
      <c r="AA47" s="118"/>
      <c r="AB47" s="85" t="str">
        <f ca="1">IFERROR(VALUE(IF(VLOOKUP($A47,数出表_Excel!$A$6:$T$150,COLUMN()/2+1,FALSE)=0,"",VLOOKUP($A47,数出表_Excel!$A$6:$T$150,COLUMN()/2+1,FALSE))),"")</f>
        <v/>
      </c>
      <c r="AC47" s="80"/>
      <c r="AD47" s="84" t="str">
        <f ca="1">IFERROR(VALUE(IF(VLOOKUP($A47,数出表_Excel!$A$6:$T$150,COLUMN()/2+1,FALSE)=0,"",VLOOKUP($A47,数出表_Excel!$A$6:$T$150,COLUMN()/2+1,FALSE))),"")</f>
        <v/>
      </c>
      <c r="AE47" s="80"/>
      <c r="AF47" s="84" t="str">
        <f ca="1">IFERROR(VALUE(IF(VLOOKUP($A47,数出表_Excel!$A$6:$T$150,COLUMN()/2+1,FALSE)=0,"",VLOOKUP($A47,数出表_Excel!$A$6:$T$150,COLUMN()/2+1,FALSE))),"")</f>
        <v/>
      </c>
      <c r="AG47" s="80"/>
      <c r="AH47" s="84" t="str">
        <f ca="1">IFERROR(VALUE(IF(VLOOKUP($A47,数出表_Excel!$A$6:$T$150,COLUMN()/2+1,FALSE)=0,"",VLOOKUP($A47,数出表_Excel!$A$6:$T$150,COLUMN()/2+1,FALSE))),"")</f>
        <v/>
      </c>
      <c r="AI47" s="118"/>
      <c r="AJ47" s="85" t="str">
        <f ca="1">IFERROR(VALUE(IF(VLOOKUP($A47,数出表_Excel!$A$6:$T$150,COLUMN()/2+1,FALSE)=0,"",VLOOKUP($A47,数出表_Excel!$A$6:$T$150,COLUMN()/2+1,FALSE))),"")</f>
        <v/>
      </c>
      <c r="AK47" s="80"/>
      <c r="AL47" s="86" t="e">
        <f ca="1">IF(A47&lt;&gt;"",
IF(VLOOKUP($A47,数出表_Excel!$A$6:$T$150,COLUMN()/2+1,FALSE)=0,"",VLOOKUP($A47,数出表_Excel!$A$6:$T$150,COLUMN()/2+1,FALSE)),"")</f>
        <v>#N/A</v>
      </c>
      <c r="AM47" s="166" t="e">
        <f>数出表_Excel!V47</f>
        <v>#N/A</v>
      </c>
      <c r="AN47" s="167" t="e">
        <f>数出表_Excel!W47</f>
        <v>#N/A</v>
      </c>
    </row>
    <row r="48" spans="1:40" ht="16.2" customHeight="1">
      <c r="A48" s="126" t="e">
        <f t="array" aca="1" ref="A48" ca="1">IF(OR(COUNTIF(A46,"*10002*"),COUNTIF(A46,"")),"",INDEX(貼り付け用!$A1:$A200,MATCH(A46,貼り付け用!$A1:$A200,0)+2,0))</f>
        <v>#N/A</v>
      </c>
      <c r="B48" s="114" t="str">
        <f ca="1">IFERROR(VALUE(IF(VLOOKUP($A48,数出表_Excel!$A$6:$T$150,COLUMN()/2+1,FALSE)=0,"",VLOOKUP($A48,数出表_Excel!$A$6:$T$150,COLUMN()/2+1,FALSE))),"")</f>
        <v/>
      </c>
      <c r="C48" s="79"/>
      <c r="D48" s="114" t="str">
        <f ca="1">IFERROR(VALUE(IF(VLOOKUP($A48,数出表_Excel!$A$6:$T$150,COLUMN()/2+1,FALSE)=0,"",VLOOKUP($A48,数出表_Excel!$A$6:$T$150,COLUMN()/2+1,FALSE))),"")</f>
        <v/>
      </c>
      <c r="E48" s="79"/>
      <c r="F48" s="116" t="str">
        <f ca="1">IFERROR(VALUE(IF(VLOOKUP($A48,数出表_Excel!$A$6:$T$150,COLUMN()/2+1,FALSE)=0,"",VLOOKUP($A48,数出表_Excel!$A$6:$T$150,COLUMN()/2+1,FALSE))),"")</f>
        <v/>
      </c>
      <c r="G48" s="79"/>
      <c r="H48" s="114" t="str">
        <f ca="1">IFERROR(VALUE(IF(VLOOKUP($A48,数出表_Excel!$A$6:$T$150,COLUMN()/2+1,FALSE)=0,"",VLOOKUP($A48,数出表_Excel!$A$6:$T$150,COLUMN()/2+1,FALSE))),"")</f>
        <v/>
      </c>
      <c r="I48" s="79"/>
      <c r="J48" s="114" t="str">
        <f ca="1">IFERROR(VALUE(IF(VLOOKUP($A48,数出表_Excel!$A$6:$T$150,COLUMN()/2+1,FALSE)=0,"",VLOOKUP($A48,数出表_Excel!$A$6:$T$150,COLUMN()/2+1,FALSE))),"")</f>
        <v/>
      </c>
      <c r="K48" s="79"/>
      <c r="L48" s="116" t="str">
        <f ca="1">IFERROR(VALUE(IF(VLOOKUP($A48,数出表_Excel!$A$6:$T$150,COLUMN()/2+1,FALSE)=0,"",VLOOKUP($A48,数出表_Excel!$A$6:$T$150,COLUMN()/2+1,FALSE))),"")</f>
        <v/>
      </c>
      <c r="M48" s="79"/>
      <c r="N48" s="114" t="str">
        <f ca="1">IFERROR(VALUE(IF(VLOOKUP($A48,数出表_Excel!$A$6:$T$150,COLUMN()/2+1,FALSE)=0,"",VLOOKUP($A48,数出表_Excel!$A$6:$T$150,COLUMN()/2+1,FALSE))),"")</f>
        <v/>
      </c>
      <c r="O48" s="79"/>
      <c r="P48" s="114" t="str">
        <f ca="1">IFERROR(VALUE(IF(VLOOKUP($A48,数出表_Excel!$A$6:$T$150,COLUMN()/2+1,FALSE)=0,"",VLOOKUP($A48,数出表_Excel!$A$6:$T$150,COLUMN()/2+1,FALSE))),"")</f>
        <v/>
      </c>
      <c r="Q48" s="79"/>
      <c r="R48" s="114" t="str">
        <f ca="1">IFERROR(VALUE(IF(VLOOKUP($A48,数出表_Excel!$A$6:$T$150,COLUMN()/2+1,FALSE)=0,"",VLOOKUP($A48,数出表_Excel!$A$6:$T$150,COLUMN()/2+1,FALSE))),"")</f>
        <v/>
      </c>
      <c r="S48" s="79"/>
      <c r="T48" s="114" t="str">
        <f ca="1">IFERROR(VALUE(IF(VLOOKUP($A48,数出表_Excel!$A$6:$T$150,COLUMN()/2+1,FALSE)=0,"",VLOOKUP($A48,数出表_Excel!$A$6:$T$150,COLUMN()/2+1,FALSE))),"")</f>
        <v/>
      </c>
      <c r="U48" s="79"/>
      <c r="V48" s="116" t="str">
        <f ca="1">IFERROR(VALUE(IF(VLOOKUP($A48,数出表_Excel!$A$6:$T$150,COLUMN()/2+1,FALSE)=0,"",VLOOKUP($A48,数出表_Excel!$A$6:$T$150,COLUMN()/2+1,FALSE))),"")</f>
        <v/>
      </c>
      <c r="W48" s="79"/>
      <c r="X48" s="116" t="str">
        <f ca="1">IFERROR(VALUE(IF(VLOOKUP($A48,数出表_Excel!$A$6:$T$150,COLUMN()/2+1,FALSE)=0,"",VLOOKUP($A48,数出表_Excel!$A$6:$T$150,COLUMN()/2+1,FALSE))),"")</f>
        <v/>
      </c>
      <c r="Y48" s="79"/>
      <c r="Z48" s="116" t="str">
        <f ca="1">IFERROR(VALUE(IF(VLOOKUP($A48,数出表_Excel!$A$6:$T$150,COLUMN()/2+1,FALSE)=0,"",VLOOKUP($A48,数出表_Excel!$A$6:$T$150,COLUMN()/2+1,FALSE))),"")</f>
        <v/>
      </c>
      <c r="AA48" s="117"/>
      <c r="AB48" s="115" t="str">
        <f ca="1">IFERROR(VALUE(IF(VLOOKUP($A48,数出表_Excel!$A$6:$T$150,COLUMN()/2+1,FALSE)=0,"",VLOOKUP($A48,数出表_Excel!$A$6:$T$150,COLUMN()/2+1,FALSE))),"")</f>
        <v/>
      </c>
      <c r="AC48" s="79"/>
      <c r="AD48" s="116" t="str">
        <f ca="1">IFERROR(VALUE(IF(VLOOKUP($A48,数出表_Excel!$A$6:$T$150,COLUMN()/2+1,FALSE)=0,"",VLOOKUP($A48,数出表_Excel!$A$6:$T$150,COLUMN()/2+1,FALSE))),"")</f>
        <v/>
      </c>
      <c r="AE48" s="79"/>
      <c r="AF48" s="116" t="str">
        <f ca="1">IFERROR(VALUE(IF(VLOOKUP($A48,数出表_Excel!$A$6:$T$150,COLUMN()/2+1,FALSE)=0,"",VLOOKUP($A48,数出表_Excel!$A$6:$T$150,COLUMN()/2+1,FALSE))),"")</f>
        <v/>
      </c>
      <c r="AG48" s="79"/>
      <c r="AH48" s="116" t="str">
        <f ca="1">IFERROR(VALUE(IF(VLOOKUP($A48,数出表_Excel!$A$6:$T$150,COLUMN()/2+1,FALSE)=0,"",VLOOKUP($A48,数出表_Excel!$A$6:$T$150,COLUMN()/2+1,FALSE))),"")</f>
        <v/>
      </c>
      <c r="AI48" s="117"/>
      <c r="AJ48" s="115" t="str">
        <f ca="1">IFERROR(VALUE(IF(VLOOKUP($A48,数出表_Excel!$A$6:$T$150,COLUMN()/2+1,FALSE)=0,"",VLOOKUP($A48,数出表_Excel!$A$6:$T$150,COLUMN()/2+1,FALSE))),"")</f>
        <v/>
      </c>
      <c r="AK48" s="79"/>
      <c r="AL48" s="83" t="e">
        <f ca="1">IF(A48&lt;&gt;"",
IF(VLOOKUP($A48,数出表_Excel!$A$6:$T$150,COLUMN()/2+1,FALSE)=0,"",VLOOKUP($A48,数出表_Excel!$A$6:$T$150,COLUMN()/2+1,FALSE)),"")</f>
        <v>#N/A</v>
      </c>
      <c r="AM48" s="164" t="e">
        <f>数出表_Excel!V48</f>
        <v>#N/A</v>
      </c>
      <c r="AN48" s="165" t="e">
        <f>数出表_Excel!W48</f>
        <v>#N/A</v>
      </c>
    </row>
    <row r="49" spans="1:40" ht="16.2" customHeight="1">
      <c r="A49" s="127" t="e">
        <f t="array" aca="1" ref="A49" ca="1">IF(OR(COUNTIF(A47,"*1000*"),COUNTIF(A47,"")),"",INDEX(貼り付け用!$A1:$A200,MATCH(A47,貼り付け用!$A1:$A200,0)+2,0))</f>
        <v>#N/A</v>
      </c>
      <c r="B49" s="80" t="str">
        <f ca="1">IFERROR(VALUE(IF(VLOOKUP($A49,数出表_Excel!$A$6:$T$150,COLUMN()/2+1,FALSE)=0,"",VLOOKUP($A49,数出表_Excel!$A$6:$T$150,COLUMN()/2+1,FALSE))),"")</f>
        <v/>
      </c>
      <c r="C49" s="80"/>
      <c r="D49" s="80" t="str">
        <f ca="1">IFERROR(VALUE(IF(VLOOKUP($A49,数出表_Excel!$A$6:$T$150,COLUMN()/2+1,FALSE)=0,"",VLOOKUP($A49,数出表_Excel!$A$6:$T$150,COLUMN()/2+1,FALSE))),"")</f>
        <v/>
      </c>
      <c r="E49" s="80"/>
      <c r="F49" s="84" t="str">
        <f ca="1">IFERROR(VALUE(IF(VLOOKUP($A49,数出表_Excel!$A$6:$T$150,COLUMN()/2+1,FALSE)=0,"",VLOOKUP($A49,数出表_Excel!$A$6:$T$150,COLUMN()/2+1,FALSE))),"")</f>
        <v/>
      </c>
      <c r="G49" s="80"/>
      <c r="H49" s="80" t="str">
        <f ca="1">IFERROR(VALUE(IF(VLOOKUP($A49,数出表_Excel!$A$6:$T$150,COLUMN()/2+1,FALSE)=0,"",VLOOKUP($A49,数出表_Excel!$A$6:$T$150,COLUMN()/2+1,FALSE))),"")</f>
        <v/>
      </c>
      <c r="I49" s="80"/>
      <c r="J49" s="80" t="str">
        <f ca="1">IFERROR(VALUE(IF(VLOOKUP($A49,数出表_Excel!$A$6:$T$150,COLUMN()/2+1,FALSE)=0,"",VLOOKUP($A49,数出表_Excel!$A$6:$T$150,COLUMN()/2+1,FALSE))),"")</f>
        <v/>
      </c>
      <c r="K49" s="80"/>
      <c r="L49" s="84" t="str">
        <f ca="1">IFERROR(VALUE(IF(VLOOKUP($A49,数出表_Excel!$A$6:$T$150,COLUMN()/2+1,FALSE)=0,"",VLOOKUP($A49,数出表_Excel!$A$6:$T$150,COLUMN()/2+1,FALSE))),"")</f>
        <v/>
      </c>
      <c r="M49" s="80"/>
      <c r="N49" s="80" t="str">
        <f ca="1">IFERROR(VALUE(IF(VLOOKUP($A49,数出表_Excel!$A$6:$T$150,COLUMN()/2+1,FALSE)=0,"",VLOOKUP($A49,数出表_Excel!$A$6:$T$150,COLUMN()/2+1,FALSE))),"")</f>
        <v/>
      </c>
      <c r="O49" s="80"/>
      <c r="P49" s="80" t="str">
        <f ca="1">IFERROR(VALUE(IF(VLOOKUP($A49,数出表_Excel!$A$6:$T$150,COLUMN()/2+1,FALSE)=0,"",VLOOKUP($A49,数出表_Excel!$A$6:$T$150,COLUMN()/2+1,FALSE))),"")</f>
        <v/>
      </c>
      <c r="Q49" s="80"/>
      <c r="R49" s="80" t="str">
        <f ca="1">IFERROR(VALUE(IF(VLOOKUP($A49,数出表_Excel!$A$6:$T$150,COLUMN()/2+1,FALSE)=0,"",VLOOKUP($A49,数出表_Excel!$A$6:$T$150,COLUMN()/2+1,FALSE))),"")</f>
        <v/>
      </c>
      <c r="S49" s="80"/>
      <c r="T49" s="80" t="str">
        <f ca="1">IFERROR(VALUE(IF(VLOOKUP($A49,数出表_Excel!$A$6:$T$150,COLUMN()/2+1,FALSE)=0,"",VLOOKUP($A49,数出表_Excel!$A$6:$T$150,COLUMN()/2+1,FALSE))),"")</f>
        <v/>
      </c>
      <c r="U49" s="80"/>
      <c r="V49" s="84" t="str">
        <f ca="1">IFERROR(VALUE(IF(VLOOKUP($A49,数出表_Excel!$A$6:$T$150,COLUMN()/2+1,FALSE)=0,"",VLOOKUP($A49,数出表_Excel!$A$6:$T$150,COLUMN()/2+1,FALSE))),"")</f>
        <v/>
      </c>
      <c r="W49" s="80"/>
      <c r="X49" s="84" t="str">
        <f ca="1">IFERROR(VALUE(IF(VLOOKUP($A49,数出表_Excel!$A$6:$T$150,COLUMN()/2+1,FALSE)=0,"",VLOOKUP($A49,数出表_Excel!$A$6:$T$150,COLUMN()/2+1,FALSE))),"")</f>
        <v/>
      </c>
      <c r="Y49" s="80"/>
      <c r="Z49" s="84" t="str">
        <f ca="1">IFERROR(VALUE(IF(VLOOKUP($A49,数出表_Excel!$A$6:$T$150,COLUMN()/2+1,FALSE)=0,"",VLOOKUP($A49,数出表_Excel!$A$6:$T$150,COLUMN()/2+1,FALSE))),"")</f>
        <v/>
      </c>
      <c r="AA49" s="118"/>
      <c r="AB49" s="85" t="str">
        <f ca="1">IFERROR(VALUE(IF(VLOOKUP($A49,数出表_Excel!$A$6:$T$150,COLUMN()/2+1,FALSE)=0,"",VLOOKUP($A49,数出表_Excel!$A$6:$T$150,COLUMN()/2+1,FALSE))),"")</f>
        <v/>
      </c>
      <c r="AC49" s="80"/>
      <c r="AD49" s="84" t="str">
        <f ca="1">IFERROR(VALUE(IF(VLOOKUP($A49,数出表_Excel!$A$6:$T$150,COLUMN()/2+1,FALSE)=0,"",VLOOKUP($A49,数出表_Excel!$A$6:$T$150,COLUMN()/2+1,FALSE))),"")</f>
        <v/>
      </c>
      <c r="AE49" s="80"/>
      <c r="AF49" s="84" t="str">
        <f ca="1">IFERROR(VALUE(IF(VLOOKUP($A49,数出表_Excel!$A$6:$T$150,COLUMN()/2+1,FALSE)=0,"",VLOOKUP($A49,数出表_Excel!$A$6:$T$150,COLUMN()/2+1,FALSE))),"")</f>
        <v/>
      </c>
      <c r="AG49" s="80"/>
      <c r="AH49" s="84" t="str">
        <f ca="1">IFERROR(VALUE(IF(VLOOKUP($A49,数出表_Excel!$A$6:$T$150,COLUMN()/2+1,FALSE)=0,"",VLOOKUP($A49,数出表_Excel!$A$6:$T$150,COLUMN()/2+1,FALSE))),"")</f>
        <v/>
      </c>
      <c r="AI49" s="118"/>
      <c r="AJ49" s="85" t="str">
        <f ca="1">IFERROR(VALUE(IF(VLOOKUP($A49,数出表_Excel!$A$6:$T$150,COLUMN()/2+1,FALSE)=0,"",VLOOKUP($A49,数出表_Excel!$A$6:$T$150,COLUMN()/2+1,FALSE))),"")</f>
        <v/>
      </c>
      <c r="AK49" s="80"/>
      <c r="AL49" s="86" t="e">
        <f ca="1">IF(A49&lt;&gt;"",
IF(VLOOKUP($A49,数出表_Excel!$A$6:$T$150,COLUMN()/2+1,FALSE)=0,"",VLOOKUP($A49,数出表_Excel!$A$6:$T$150,COLUMN()/2+1,FALSE)),"")</f>
        <v>#N/A</v>
      </c>
      <c r="AM49" s="166" t="e">
        <f>数出表_Excel!V49</f>
        <v>#N/A</v>
      </c>
      <c r="AN49" s="167" t="e">
        <f>数出表_Excel!W49</f>
        <v>#N/A</v>
      </c>
    </row>
    <row r="50" spans="1:40" ht="16.2" customHeight="1">
      <c r="A50" s="126" t="e">
        <f t="array" aca="1" ref="A50" ca="1">IF(OR(COUNTIF(A48,"*10002*"),COUNTIF(A48,"")),"",INDEX(貼り付け用!$A1:$A200,MATCH(A48,貼り付け用!$A1:$A200,0)+2,0))</f>
        <v>#N/A</v>
      </c>
      <c r="B50" s="114" t="str">
        <f ca="1">IFERROR(VALUE(IF(VLOOKUP($A50,数出表_Excel!$A$6:$T$150,COLUMN()/2+1,FALSE)=0,"",VLOOKUP($A50,数出表_Excel!$A$6:$T$150,COLUMN()/2+1,FALSE))),"")</f>
        <v/>
      </c>
      <c r="C50" s="79"/>
      <c r="D50" s="114" t="str">
        <f ca="1">IFERROR(VALUE(IF(VLOOKUP($A50,数出表_Excel!$A$6:$T$150,COLUMN()/2+1,FALSE)=0,"",VLOOKUP($A50,数出表_Excel!$A$6:$T$150,COLUMN()/2+1,FALSE))),"")</f>
        <v/>
      </c>
      <c r="E50" s="79"/>
      <c r="F50" s="116" t="str">
        <f ca="1">IFERROR(VALUE(IF(VLOOKUP($A50,数出表_Excel!$A$6:$T$150,COLUMN()/2+1,FALSE)=0,"",VLOOKUP($A50,数出表_Excel!$A$6:$T$150,COLUMN()/2+1,FALSE))),"")</f>
        <v/>
      </c>
      <c r="G50" s="79"/>
      <c r="H50" s="114" t="str">
        <f ca="1">IFERROR(VALUE(IF(VLOOKUP($A50,数出表_Excel!$A$6:$T$150,COLUMN()/2+1,FALSE)=0,"",VLOOKUP($A50,数出表_Excel!$A$6:$T$150,COLUMN()/2+1,FALSE))),"")</f>
        <v/>
      </c>
      <c r="I50" s="79"/>
      <c r="J50" s="114" t="str">
        <f ca="1">IFERROR(VALUE(IF(VLOOKUP($A50,数出表_Excel!$A$6:$T$150,COLUMN()/2+1,FALSE)=0,"",VLOOKUP($A50,数出表_Excel!$A$6:$T$150,COLUMN()/2+1,FALSE))),"")</f>
        <v/>
      </c>
      <c r="K50" s="79"/>
      <c r="L50" s="116" t="str">
        <f ca="1">IFERROR(VALUE(IF(VLOOKUP($A50,数出表_Excel!$A$6:$T$150,COLUMN()/2+1,FALSE)=0,"",VLOOKUP($A50,数出表_Excel!$A$6:$T$150,COLUMN()/2+1,FALSE))),"")</f>
        <v/>
      </c>
      <c r="M50" s="79"/>
      <c r="N50" s="114" t="str">
        <f ca="1">IFERROR(VALUE(IF(VLOOKUP($A50,数出表_Excel!$A$6:$T$150,COLUMN()/2+1,FALSE)=0,"",VLOOKUP($A50,数出表_Excel!$A$6:$T$150,COLUMN()/2+1,FALSE))),"")</f>
        <v/>
      </c>
      <c r="O50" s="79"/>
      <c r="P50" s="114" t="str">
        <f ca="1">IFERROR(VALUE(IF(VLOOKUP($A50,数出表_Excel!$A$6:$T$150,COLUMN()/2+1,FALSE)=0,"",VLOOKUP($A50,数出表_Excel!$A$6:$T$150,COLUMN()/2+1,FALSE))),"")</f>
        <v/>
      </c>
      <c r="Q50" s="79"/>
      <c r="R50" s="114" t="str">
        <f ca="1">IFERROR(VALUE(IF(VLOOKUP($A50,数出表_Excel!$A$6:$T$150,COLUMN()/2+1,FALSE)=0,"",VLOOKUP($A50,数出表_Excel!$A$6:$T$150,COLUMN()/2+1,FALSE))),"")</f>
        <v/>
      </c>
      <c r="S50" s="79"/>
      <c r="T50" s="114" t="str">
        <f ca="1">IFERROR(VALUE(IF(VLOOKUP($A50,数出表_Excel!$A$6:$T$150,COLUMN()/2+1,FALSE)=0,"",VLOOKUP($A50,数出表_Excel!$A$6:$T$150,COLUMN()/2+1,FALSE))),"")</f>
        <v/>
      </c>
      <c r="U50" s="79"/>
      <c r="V50" s="116" t="str">
        <f ca="1">IFERROR(VALUE(IF(VLOOKUP($A50,数出表_Excel!$A$6:$T$150,COLUMN()/2+1,FALSE)=0,"",VLOOKUP($A50,数出表_Excel!$A$6:$T$150,COLUMN()/2+1,FALSE))),"")</f>
        <v/>
      </c>
      <c r="W50" s="79"/>
      <c r="X50" s="116" t="str">
        <f ca="1">IFERROR(VALUE(IF(VLOOKUP($A50,数出表_Excel!$A$6:$T$150,COLUMN()/2+1,FALSE)=0,"",VLOOKUP($A50,数出表_Excel!$A$6:$T$150,COLUMN()/2+1,FALSE))),"")</f>
        <v/>
      </c>
      <c r="Y50" s="79"/>
      <c r="Z50" s="116" t="str">
        <f ca="1">IFERROR(VALUE(IF(VLOOKUP($A50,数出表_Excel!$A$6:$T$150,COLUMN()/2+1,FALSE)=0,"",VLOOKUP($A50,数出表_Excel!$A$6:$T$150,COLUMN()/2+1,FALSE))),"")</f>
        <v/>
      </c>
      <c r="AA50" s="117"/>
      <c r="AB50" s="115" t="str">
        <f ca="1">IFERROR(VALUE(IF(VLOOKUP($A50,数出表_Excel!$A$6:$T$150,COLUMN()/2+1,FALSE)=0,"",VLOOKUP($A50,数出表_Excel!$A$6:$T$150,COLUMN()/2+1,FALSE))),"")</f>
        <v/>
      </c>
      <c r="AC50" s="79"/>
      <c r="AD50" s="116" t="str">
        <f ca="1">IFERROR(VALUE(IF(VLOOKUP($A50,数出表_Excel!$A$6:$T$150,COLUMN()/2+1,FALSE)=0,"",VLOOKUP($A50,数出表_Excel!$A$6:$T$150,COLUMN()/2+1,FALSE))),"")</f>
        <v/>
      </c>
      <c r="AE50" s="79"/>
      <c r="AF50" s="116" t="str">
        <f ca="1">IFERROR(VALUE(IF(VLOOKUP($A50,数出表_Excel!$A$6:$T$150,COLUMN()/2+1,FALSE)=0,"",VLOOKUP($A50,数出表_Excel!$A$6:$T$150,COLUMN()/2+1,FALSE))),"")</f>
        <v/>
      </c>
      <c r="AG50" s="79"/>
      <c r="AH50" s="116" t="str">
        <f ca="1">IFERROR(VALUE(IF(VLOOKUP($A50,数出表_Excel!$A$6:$T$150,COLUMN()/2+1,FALSE)=0,"",VLOOKUP($A50,数出表_Excel!$A$6:$T$150,COLUMN()/2+1,FALSE))),"")</f>
        <v/>
      </c>
      <c r="AI50" s="117"/>
      <c r="AJ50" s="115" t="str">
        <f ca="1">IFERROR(VALUE(IF(VLOOKUP($A50,数出表_Excel!$A$6:$T$150,COLUMN()/2+1,FALSE)=0,"",VLOOKUP($A50,数出表_Excel!$A$6:$T$150,COLUMN()/2+1,FALSE))),"")</f>
        <v/>
      </c>
      <c r="AK50" s="79"/>
      <c r="AL50" s="83" t="e">
        <f ca="1">IF(A50&lt;&gt;"",
IF(VLOOKUP($A50,数出表_Excel!$A$6:$T$150,COLUMN()/2+1,FALSE)=0,"",VLOOKUP($A50,数出表_Excel!$A$6:$T$150,COLUMN()/2+1,FALSE)),"")</f>
        <v>#N/A</v>
      </c>
      <c r="AM50" s="164" t="e">
        <f>数出表_Excel!V50</f>
        <v>#N/A</v>
      </c>
      <c r="AN50" s="165" t="e">
        <f>数出表_Excel!W50</f>
        <v>#N/A</v>
      </c>
    </row>
    <row r="51" spans="1:40" ht="16.2" customHeight="1">
      <c r="A51" s="127" t="e">
        <f t="array" aca="1" ref="A51" ca="1">IF(OR(COUNTIF(A49,"*1000*"),COUNTIF(A49,"")),"",INDEX(貼り付け用!$A1:$A200,MATCH(A49,貼り付け用!$A1:$A200,0)+2,0))</f>
        <v>#N/A</v>
      </c>
      <c r="B51" s="80" t="str">
        <f ca="1">IFERROR(VALUE(IF(VLOOKUP($A51,数出表_Excel!$A$6:$T$150,COLUMN()/2+1,FALSE)=0,"",VLOOKUP($A51,数出表_Excel!$A$6:$T$150,COLUMN()/2+1,FALSE))),"")</f>
        <v/>
      </c>
      <c r="C51" s="80"/>
      <c r="D51" s="80" t="str">
        <f ca="1">IFERROR(VALUE(IF(VLOOKUP($A51,数出表_Excel!$A$6:$T$150,COLUMN()/2+1,FALSE)=0,"",VLOOKUP($A51,数出表_Excel!$A$6:$T$150,COLUMN()/2+1,FALSE))),"")</f>
        <v/>
      </c>
      <c r="E51" s="80"/>
      <c r="F51" s="84" t="str">
        <f ca="1">IFERROR(VALUE(IF(VLOOKUP($A51,数出表_Excel!$A$6:$T$150,COLUMN()/2+1,FALSE)=0,"",VLOOKUP($A51,数出表_Excel!$A$6:$T$150,COLUMN()/2+1,FALSE))),"")</f>
        <v/>
      </c>
      <c r="G51" s="80"/>
      <c r="H51" s="80" t="str">
        <f ca="1">IFERROR(VALUE(IF(VLOOKUP($A51,数出表_Excel!$A$6:$T$150,COLUMN()/2+1,FALSE)=0,"",VLOOKUP($A51,数出表_Excel!$A$6:$T$150,COLUMN()/2+1,FALSE))),"")</f>
        <v/>
      </c>
      <c r="I51" s="80"/>
      <c r="J51" s="80" t="str">
        <f ca="1">IFERROR(VALUE(IF(VLOOKUP($A51,数出表_Excel!$A$6:$T$150,COLUMN()/2+1,FALSE)=0,"",VLOOKUP($A51,数出表_Excel!$A$6:$T$150,COLUMN()/2+1,FALSE))),"")</f>
        <v/>
      </c>
      <c r="K51" s="80"/>
      <c r="L51" s="84" t="str">
        <f ca="1">IFERROR(VALUE(IF(VLOOKUP($A51,数出表_Excel!$A$6:$T$150,COLUMN()/2+1,FALSE)=0,"",VLOOKUP($A51,数出表_Excel!$A$6:$T$150,COLUMN()/2+1,FALSE))),"")</f>
        <v/>
      </c>
      <c r="M51" s="80"/>
      <c r="N51" s="80" t="str">
        <f ca="1">IFERROR(VALUE(IF(VLOOKUP($A51,数出表_Excel!$A$6:$T$150,COLUMN()/2+1,FALSE)=0,"",VLOOKUP($A51,数出表_Excel!$A$6:$T$150,COLUMN()/2+1,FALSE))),"")</f>
        <v/>
      </c>
      <c r="O51" s="80"/>
      <c r="P51" s="80" t="str">
        <f ca="1">IFERROR(VALUE(IF(VLOOKUP($A51,数出表_Excel!$A$6:$T$150,COLUMN()/2+1,FALSE)=0,"",VLOOKUP($A51,数出表_Excel!$A$6:$T$150,COLUMN()/2+1,FALSE))),"")</f>
        <v/>
      </c>
      <c r="Q51" s="80"/>
      <c r="R51" s="80" t="str">
        <f ca="1">IFERROR(VALUE(IF(VLOOKUP($A51,数出表_Excel!$A$6:$T$150,COLUMN()/2+1,FALSE)=0,"",VLOOKUP($A51,数出表_Excel!$A$6:$T$150,COLUMN()/2+1,FALSE))),"")</f>
        <v/>
      </c>
      <c r="S51" s="80"/>
      <c r="T51" s="80" t="str">
        <f ca="1">IFERROR(VALUE(IF(VLOOKUP($A51,数出表_Excel!$A$6:$T$150,COLUMN()/2+1,FALSE)=0,"",VLOOKUP($A51,数出表_Excel!$A$6:$T$150,COLUMN()/2+1,FALSE))),"")</f>
        <v/>
      </c>
      <c r="U51" s="80"/>
      <c r="V51" s="84" t="str">
        <f ca="1">IFERROR(VALUE(IF(VLOOKUP($A51,数出表_Excel!$A$6:$T$150,COLUMN()/2+1,FALSE)=0,"",VLOOKUP($A51,数出表_Excel!$A$6:$T$150,COLUMN()/2+1,FALSE))),"")</f>
        <v/>
      </c>
      <c r="W51" s="80"/>
      <c r="X51" s="84" t="str">
        <f ca="1">IFERROR(VALUE(IF(VLOOKUP($A51,数出表_Excel!$A$6:$T$150,COLUMN()/2+1,FALSE)=0,"",VLOOKUP($A51,数出表_Excel!$A$6:$T$150,COLUMN()/2+1,FALSE))),"")</f>
        <v/>
      </c>
      <c r="Y51" s="80"/>
      <c r="Z51" s="84" t="str">
        <f ca="1">IFERROR(VALUE(IF(VLOOKUP($A51,数出表_Excel!$A$6:$T$150,COLUMN()/2+1,FALSE)=0,"",VLOOKUP($A51,数出表_Excel!$A$6:$T$150,COLUMN()/2+1,FALSE))),"")</f>
        <v/>
      </c>
      <c r="AA51" s="118"/>
      <c r="AB51" s="85" t="str">
        <f ca="1">IFERROR(VALUE(IF(VLOOKUP($A51,数出表_Excel!$A$6:$T$150,COLUMN()/2+1,FALSE)=0,"",VLOOKUP($A51,数出表_Excel!$A$6:$T$150,COLUMN()/2+1,FALSE))),"")</f>
        <v/>
      </c>
      <c r="AC51" s="80"/>
      <c r="AD51" s="84" t="str">
        <f ca="1">IFERROR(VALUE(IF(VLOOKUP($A51,数出表_Excel!$A$6:$T$150,COLUMN()/2+1,FALSE)=0,"",VLOOKUP($A51,数出表_Excel!$A$6:$T$150,COLUMN()/2+1,FALSE))),"")</f>
        <v/>
      </c>
      <c r="AE51" s="80"/>
      <c r="AF51" s="84" t="str">
        <f ca="1">IFERROR(VALUE(IF(VLOOKUP($A51,数出表_Excel!$A$6:$T$150,COLUMN()/2+1,FALSE)=0,"",VLOOKUP($A51,数出表_Excel!$A$6:$T$150,COLUMN()/2+1,FALSE))),"")</f>
        <v/>
      </c>
      <c r="AG51" s="80"/>
      <c r="AH51" s="84" t="str">
        <f ca="1">IFERROR(VALUE(IF(VLOOKUP($A51,数出表_Excel!$A$6:$T$150,COLUMN()/2+1,FALSE)=0,"",VLOOKUP($A51,数出表_Excel!$A$6:$T$150,COLUMN()/2+1,FALSE))),"")</f>
        <v/>
      </c>
      <c r="AI51" s="118"/>
      <c r="AJ51" s="85" t="str">
        <f ca="1">IFERROR(VALUE(IF(VLOOKUP($A51,数出表_Excel!$A$6:$T$150,COLUMN()/2+1,FALSE)=0,"",VLOOKUP($A51,数出表_Excel!$A$6:$T$150,COLUMN()/2+1,FALSE))),"")</f>
        <v/>
      </c>
      <c r="AK51" s="80"/>
      <c r="AL51" s="86" t="e">
        <f ca="1">IF(A51&lt;&gt;"",
IF(VLOOKUP($A51,数出表_Excel!$A$6:$T$150,COLUMN()/2+1,FALSE)=0,"",VLOOKUP($A51,数出表_Excel!$A$6:$T$150,COLUMN()/2+1,FALSE)),"")</f>
        <v>#N/A</v>
      </c>
      <c r="AM51" s="166" t="e">
        <f>数出表_Excel!V51</f>
        <v>#N/A</v>
      </c>
      <c r="AN51" s="167" t="e">
        <f>数出表_Excel!W51</f>
        <v>#N/A</v>
      </c>
    </row>
    <row r="52" spans="1:40" ht="16.2" customHeight="1">
      <c r="A52" s="126" t="e">
        <f t="array" aca="1" ref="A52" ca="1">IF(OR(COUNTIF(A50,"*10002*"),COUNTIF(A50,"")),"",INDEX(貼り付け用!$A1:$A200,MATCH(A50,貼り付け用!$A1:$A200,0)+2,0))</f>
        <v>#N/A</v>
      </c>
      <c r="B52" s="114" t="str">
        <f ca="1">IFERROR(VALUE(IF(VLOOKUP($A52,数出表_Excel!$A$6:$T$150,COLUMN()/2+1,FALSE)=0,"",VLOOKUP($A52,数出表_Excel!$A$6:$T$150,COLUMN()/2+1,FALSE))),"")</f>
        <v/>
      </c>
      <c r="C52" s="79"/>
      <c r="D52" s="114" t="str">
        <f ca="1">IFERROR(VALUE(IF(VLOOKUP($A52,数出表_Excel!$A$6:$T$150,COLUMN()/2+1,FALSE)=0,"",VLOOKUP($A52,数出表_Excel!$A$6:$T$150,COLUMN()/2+1,FALSE))),"")</f>
        <v/>
      </c>
      <c r="E52" s="79"/>
      <c r="F52" s="116" t="str">
        <f ca="1">IFERROR(VALUE(IF(VLOOKUP($A52,数出表_Excel!$A$6:$T$150,COLUMN()/2+1,FALSE)=0,"",VLOOKUP($A52,数出表_Excel!$A$6:$T$150,COLUMN()/2+1,FALSE))),"")</f>
        <v/>
      </c>
      <c r="G52" s="79"/>
      <c r="H52" s="114" t="str">
        <f ca="1">IFERROR(VALUE(IF(VLOOKUP($A52,数出表_Excel!$A$6:$T$150,COLUMN()/2+1,FALSE)=0,"",VLOOKUP($A52,数出表_Excel!$A$6:$T$150,COLUMN()/2+1,FALSE))),"")</f>
        <v/>
      </c>
      <c r="I52" s="79"/>
      <c r="J52" s="114" t="str">
        <f ca="1">IFERROR(VALUE(IF(VLOOKUP($A52,数出表_Excel!$A$6:$T$150,COLUMN()/2+1,FALSE)=0,"",VLOOKUP($A52,数出表_Excel!$A$6:$T$150,COLUMN()/2+1,FALSE))),"")</f>
        <v/>
      </c>
      <c r="K52" s="79"/>
      <c r="L52" s="116" t="str">
        <f ca="1">IFERROR(VALUE(IF(VLOOKUP($A52,数出表_Excel!$A$6:$T$150,COLUMN()/2+1,FALSE)=0,"",VLOOKUP($A52,数出表_Excel!$A$6:$T$150,COLUMN()/2+1,FALSE))),"")</f>
        <v/>
      </c>
      <c r="M52" s="79"/>
      <c r="N52" s="114" t="str">
        <f ca="1">IFERROR(VALUE(IF(VLOOKUP($A52,数出表_Excel!$A$6:$T$150,COLUMN()/2+1,FALSE)=0,"",VLOOKUP($A52,数出表_Excel!$A$6:$T$150,COLUMN()/2+1,FALSE))),"")</f>
        <v/>
      </c>
      <c r="O52" s="79"/>
      <c r="P52" s="114" t="str">
        <f ca="1">IFERROR(VALUE(IF(VLOOKUP($A52,数出表_Excel!$A$6:$T$150,COLUMN()/2+1,FALSE)=0,"",VLOOKUP($A52,数出表_Excel!$A$6:$T$150,COLUMN()/2+1,FALSE))),"")</f>
        <v/>
      </c>
      <c r="Q52" s="79"/>
      <c r="R52" s="114" t="str">
        <f ca="1">IFERROR(VALUE(IF(VLOOKUP($A52,数出表_Excel!$A$6:$T$150,COLUMN()/2+1,FALSE)=0,"",VLOOKUP($A52,数出表_Excel!$A$6:$T$150,COLUMN()/2+1,FALSE))),"")</f>
        <v/>
      </c>
      <c r="S52" s="79"/>
      <c r="T52" s="114" t="str">
        <f ca="1">IFERROR(VALUE(IF(VLOOKUP($A52,数出表_Excel!$A$6:$T$150,COLUMN()/2+1,FALSE)=0,"",VLOOKUP($A52,数出表_Excel!$A$6:$T$150,COLUMN()/2+1,FALSE))),"")</f>
        <v/>
      </c>
      <c r="U52" s="79"/>
      <c r="V52" s="116" t="str">
        <f ca="1">IFERROR(VALUE(IF(VLOOKUP($A52,数出表_Excel!$A$6:$T$150,COLUMN()/2+1,FALSE)=0,"",VLOOKUP($A52,数出表_Excel!$A$6:$T$150,COLUMN()/2+1,FALSE))),"")</f>
        <v/>
      </c>
      <c r="W52" s="79"/>
      <c r="X52" s="116" t="str">
        <f ca="1">IFERROR(VALUE(IF(VLOOKUP($A52,数出表_Excel!$A$6:$T$150,COLUMN()/2+1,FALSE)=0,"",VLOOKUP($A52,数出表_Excel!$A$6:$T$150,COLUMN()/2+1,FALSE))),"")</f>
        <v/>
      </c>
      <c r="Y52" s="79"/>
      <c r="Z52" s="116" t="str">
        <f ca="1">IFERROR(VALUE(IF(VLOOKUP($A52,数出表_Excel!$A$6:$T$150,COLUMN()/2+1,FALSE)=0,"",VLOOKUP($A52,数出表_Excel!$A$6:$T$150,COLUMN()/2+1,FALSE))),"")</f>
        <v/>
      </c>
      <c r="AA52" s="117"/>
      <c r="AB52" s="115" t="str">
        <f ca="1">IFERROR(VALUE(IF(VLOOKUP($A52,数出表_Excel!$A$6:$T$150,COLUMN()/2+1,FALSE)=0,"",VLOOKUP($A52,数出表_Excel!$A$6:$T$150,COLUMN()/2+1,FALSE))),"")</f>
        <v/>
      </c>
      <c r="AC52" s="79"/>
      <c r="AD52" s="116" t="str">
        <f ca="1">IFERROR(VALUE(IF(VLOOKUP($A52,数出表_Excel!$A$6:$T$150,COLUMN()/2+1,FALSE)=0,"",VLOOKUP($A52,数出表_Excel!$A$6:$T$150,COLUMN()/2+1,FALSE))),"")</f>
        <v/>
      </c>
      <c r="AE52" s="79"/>
      <c r="AF52" s="116" t="str">
        <f ca="1">IFERROR(VALUE(IF(VLOOKUP($A52,数出表_Excel!$A$6:$T$150,COLUMN()/2+1,FALSE)=0,"",VLOOKUP($A52,数出表_Excel!$A$6:$T$150,COLUMN()/2+1,FALSE))),"")</f>
        <v/>
      </c>
      <c r="AG52" s="79"/>
      <c r="AH52" s="116" t="str">
        <f ca="1">IFERROR(VALUE(IF(VLOOKUP($A52,数出表_Excel!$A$6:$T$150,COLUMN()/2+1,FALSE)=0,"",VLOOKUP($A52,数出表_Excel!$A$6:$T$150,COLUMN()/2+1,FALSE))),"")</f>
        <v/>
      </c>
      <c r="AI52" s="117"/>
      <c r="AJ52" s="115" t="str">
        <f ca="1">IFERROR(VALUE(IF(VLOOKUP($A52,数出表_Excel!$A$6:$T$150,COLUMN()/2+1,FALSE)=0,"",VLOOKUP($A52,数出表_Excel!$A$6:$T$150,COLUMN()/2+1,FALSE))),"")</f>
        <v/>
      </c>
      <c r="AK52" s="79"/>
      <c r="AL52" s="83" t="e">
        <f ca="1">IF(A52&lt;&gt;"",
IF(VLOOKUP($A52,数出表_Excel!$A$6:$T$150,COLUMN()/2+1,FALSE)=0,"",VLOOKUP($A52,数出表_Excel!$A$6:$T$150,COLUMN()/2+1,FALSE)),"")</f>
        <v>#N/A</v>
      </c>
      <c r="AM52" s="164" t="e">
        <f>数出表_Excel!V52</f>
        <v>#N/A</v>
      </c>
      <c r="AN52" s="165" t="e">
        <f>数出表_Excel!W52</f>
        <v>#N/A</v>
      </c>
    </row>
    <row r="53" spans="1:40" ht="16.2" customHeight="1">
      <c r="A53" s="127" t="e">
        <f t="array" aca="1" ref="A53" ca="1">IF(OR(COUNTIF(A51,"*1000*"),COUNTIF(A51,"")),"",INDEX(貼り付け用!$A1:$A200,MATCH(A51,貼り付け用!$A1:$A200,0)+2,0))</f>
        <v>#N/A</v>
      </c>
      <c r="B53" s="80" t="str">
        <f ca="1">IFERROR(VALUE(IF(VLOOKUP($A53,数出表_Excel!$A$6:$T$150,COLUMN()/2+1,FALSE)=0,"",VLOOKUP($A53,数出表_Excel!$A$6:$T$150,COLUMN()/2+1,FALSE))),"")</f>
        <v/>
      </c>
      <c r="C53" s="80"/>
      <c r="D53" s="80" t="str">
        <f ca="1">IFERROR(VALUE(IF(VLOOKUP($A53,数出表_Excel!$A$6:$T$150,COLUMN()/2+1,FALSE)=0,"",VLOOKUP($A53,数出表_Excel!$A$6:$T$150,COLUMN()/2+1,FALSE))),"")</f>
        <v/>
      </c>
      <c r="E53" s="80"/>
      <c r="F53" s="84" t="str">
        <f ca="1">IFERROR(VALUE(IF(VLOOKUP($A53,数出表_Excel!$A$6:$T$150,COLUMN()/2+1,FALSE)=0,"",VLOOKUP($A53,数出表_Excel!$A$6:$T$150,COLUMN()/2+1,FALSE))),"")</f>
        <v/>
      </c>
      <c r="G53" s="80"/>
      <c r="H53" s="80" t="str">
        <f ca="1">IFERROR(VALUE(IF(VLOOKUP($A53,数出表_Excel!$A$6:$T$150,COLUMN()/2+1,FALSE)=0,"",VLOOKUP($A53,数出表_Excel!$A$6:$T$150,COLUMN()/2+1,FALSE))),"")</f>
        <v/>
      </c>
      <c r="I53" s="80"/>
      <c r="J53" s="80" t="str">
        <f ca="1">IFERROR(VALUE(IF(VLOOKUP($A53,数出表_Excel!$A$6:$T$150,COLUMN()/2+1,FALSE)=0,"",VLOOKUP($A53,数出表_Excel!$A$6:$T$150,COLUMN()/2+1,FALSE))),"")</f>
        <v/>
      </c>
      <c r="K53" s="80"/>
      <c r="L53" s="84" t="str">
        <f ca="1">IFERROR(VALUE(IF(VLOOKUP($A53,数出表_Excel!$A$6:$T$150,COLUMN()/2+1,FALSE)=0,"",VLOOKUP($A53,数出表_Excel!$A$6:$T$150,COLUMN()/2+1,FALSE))),"")</f>
        <v/>
      </c>
      <c r="M53" s="80"/>
      <c r="N53" s="80" t="str">
        <f ca="1">IFERROR(VALUE(IF(VLOOKUP($A53,数出表_Excel!$A$6:$T$150,COLUMN()/2+1,FALSE)=0,"",VLOOKUP($A53,数出表_Excel!$A$6:$T$150,COLUMN()/2+1,FALSE))),"")</f>
        <v/>
      </c>
      <c r="O53" s="80"/>
      <c r="P53" s="80" t="str">
        <f ca="1">IFERROR(VALUE(IF(VLOOKUP($A53,数出表_Excel!$A$6:$T$150,COLUMN()/2+1,FALSE)=0,"",VLOOKUP($A53,数出表_Excel!$A$6:$T$150,COLUMN()/2+1,FALSE))),"")</f>
        <v/>
      </c>
      <c r="Q53" s="80"/>
      <c r="R53" s="80" t="str">
        <f ca="1">IFERROR(VALUE(IF(VLOOKUP($A53,数出表_Excel!$A$6:$T$150,COLUMN()/2+1,FALSE)=0,"",VLOOKUP($A53,数出表_Excel!$A$6:$T$150,COLUMN()/2+1,FALSE))),"")</f>
        <v/>
      </c>
      <c r="S53" s="80"/>
      <c r="T53" s="80" t="str">
        <f ca="1">IFERROR(VALUE(IF(VLOOKUP($A53,数出表_Excel!$A$6:$T$150,COLUMN()/2+1,FALSE)=0,"",VLOOKUP($A53,数出表_Excel!$A$6:$T$150,COLUMN()/2+1,FALSE))),"")</f>
        <v/>
      </c>
      <c r="U53" s="80"/>
      <c r="V53" s="84" t="str">
        <f ca="1">IFERROR(VALUE(IF(VLOOKUP($A53,数出表_Excel!$A$6:$T$150,COLUMN()/2+1,FALSE)=0,"",VLOOKUP($A53,数出表_Excel!$A$6:$T$150,COLUMN()/2+1,FALSE))),"")</f>
        <v/>
      </c>
      <c r="W53" s="80"/>
      <c r="X53" s="84" t="str">
        <f ca="1">IFERROR(VALUE(IF(VLOOKUP($A53,数出表_Excel!$A$6:$T$150,COLUMN()/2+1,FALSE)=0,"",VLOOKUP($A53,数出表_Excel!$A$6:$T$150,COLUMN()/2+1,FALSE))),"")</f>
        <v/>
      </c>
      <c r="Y53" s="80"/>
      <c r="Z53" s="84" t="str">
        <f ca="1">IFERROR(VALUE(IF(VLOOKUP($A53,数出表_Excel!$A$6:$T$150,COLUMN()/2+1,FALSE)=0,"",VLOOKUP($A53,数出表_Excel!$A$6:$T$150,COLUMN()/2+1,FALSE))),"")</f>
        <v/>
      </c>
      <c r="AA53" s="118"/>
      <c r="AB53" s="85" t="str">
        <f ca="1">IFERROR(VALUE(IF(VLOOKUP($A53,数出表_Excel!$A$6:$T$150,COLUMN()/2+1,FALSE)=0,"",VLOOKUP($A53,数出表_Excel!$A$6:$T$150,COLUMN()/2+1,FALSE))),"")</f>
        <v/>
      </c>
      <c r="AC53" s="80"/>
      <c r="AD53" s="84" t="str">
        <f ca="1">IFERROR(VALUE(IF(VLOOKUP($A53,数出表_Excel!$A$6:$T$150,COLUMN()/2+1,FALSE)=0,"",VLOOKUP($A53,数出表_Excel!$A$6:$T$150,COLUMN()/2+1,FALSE))),"")</f>
        <v/>
      </c>
      <c r="AE53" s="80"/>
      <c r="AF53" s="84" t="str">
        <f ca="1">IFERROR(VALUE(IF(VLOOKUP($A53,数出表_Excel!$A$6:$T$150,COLUMN()/2+1,FALSE)=0,"",VLOOKUP($A53,数出表_Excel!$A$6:$T$150,COLUMN()/2+1,FALSE))),"")</f>
        <v/>
      </c>
      <c r="AG53" s="80"/>
      <c r="AH53" s="84" t="str">
        <f ca="1">IFERROR(VALUE(IF(VLOOKUP($A53,数出表_Excel!$A$6:$T$150,COLUMN()/2+1,FALSE)=0,"",VLOOKUP($A53,数出表_Excel!$A$6:$T$150,COLUMN()/2+1,FALSE))),"")</f>
        <v/>
      </c>
      <c r="AI53" s="118"/>
      <c r="AJ53" s="85" t="str">
        <f ca="1">IFERROR(VALUE(IF(VLOOKUP($A53,数出表_Excel!$A$6:$T$150,COLUMN()/2+1,FALSE)=0,"",VLOOKUP($A53,数出表_Excel!$A$6:$T$150,COLUMN()/2+1,FALSE))),"")</f>
        <v/>
      </c>
      <c r="AK53" s="80"/>
      <c r="AL53" s="86" t="e">
        <f ca="1">IF(A53&lt;&gt;"",
IF(VLOOKUP($A53,数出表_Excel!$A$6:$T$150,COLUMN()/2+1,FALSE)=0,"",VLOOKUP($A53,数出表_Excel!$A$6:$T$150,COLUMN()/2+1,FALSE)),"")</f>
        <v>#N/A</v>
      </c>
      <c r="AM53" s="166" t="e">
        <f>数出表_Excel!V53</f>
        <v>#N/A</v>
      </c>
      <c r="AN53" s="167" t="e">
        <f>数出表_Excel!W53</f>
        <v>#N/A</v>
      </c>
    </row>
    <row r="54" spans="1:40" ht="16.2" customHeight="1">
      <c r="A54" s="126" t="e">
        <f t="array" aca="1" ref="A54" ca="1">IF(OR(COUNTIF(A52,"*10002*"),COUNTIF(A52,"")),"",INDEX(貼り付け用!$A1:$A200,MATCH(A52,貼り付け用!$A1:$A200,0)+2,0))</f>
        <v>#N/A</v>
      </c>
      <c r="B54" s="114" t="str">
        <f ca="1">IFERROR(VALUE(IF(VLOOKUP($A54,数出表_Excel!$A$6:$T$150,COLUMN()/2+1,FALSE)=0,"",VLOOKUP($A54,数出表_Excel!$A$6:$T$150,COLUMN()/2+1,FALSE))),"")</f>
        <v/>
      </c>
      <c r="C54" s="79"/>
      <c r="D54" s="114" t="str">
        <f ca="1">IFERROR(VALUE(IF(VLOOKUP($A54,数出表_Excel!$A$6:$T$150,COLUMN()/2+1,FALSE)=0,"",VLOOKUP($A54,数出表_Excel!$A$6:$T$150,COLUMN()/2+1,FALSE))),"")</f>
        <v/>
      </c>
      <c r="E54" s="79"/>
      <c r="F54" s="116" t="str">
        <f ca="1">IFERROR(VALUE(IF(VLOOKUP($A54,数出表_Excel!$A$6:$T$150,COLUMN()/2+1,FALSE)=0,"",VLOOKUP($A54,数出表_Excel!$A$6:$T$150,COLUMN()/2+1,FALSE))),"")</f>
        <v/>
      </c>
      <c r="G54" s="79"/>
      <c r="H54" s="114" t="str">
        <f ca="1">IFERROR(VALUE(IF(VLOOKUP($A54,数出表_Excel!$A$6:$T$150,COLUMN()/2+1,FALSE)=0,"",VLOOKUP($A54,数出表_Excel!$A$6:$T$150,COLUMN()/2+1,FALSE))),"")</f>
        <v/>
      </c>
      <c r="I54" s="79"/>
      <c r="J54" s="114" t="str">
        <f ca="1">IFERROR(VALUE(IF(VLOOKUP($A54,数出表_Excel!$A$6:$T$150,COLUMN()/2+1,FALSE)=0,"",VLOOKUP($A54,数出表_Excel!$A$6:$T$150,COLUMN()/2+1,FALSE))),"")</f>
        <v/>
      </c>
      <c r="K54" s="79"/>
      <c r="L54" s="116" t="str">
        <f ca="1">IFERROR(VALUE(IF(VLOOKUP($A54,数出表_Excel!$A$6:$T$150,COLUMN()/2+1,FALSE)=0,"",VLOOKUP($A54,数出表_Excel!$A$6:$T$150,COLUMN()/2+1,FALSE))),"")</f>
        <v/>
      </c>
      <c r="M54" s="79"/>
      <c r="N54" s="114" t="str">
        <f ca="1">IFERROR(VALUE(IF(VLOOKUP($A54,数出表_Excel!$A$6:$T$150,COLUMN()/2+1,FALSE)=0,"",VLOOKUP($A54,数出表_Excel!$A$6:$T$150,COLUMN()/2+1,FALSE))),"")</f>
        <v/>
      </c>
      <c r="O54" s="79"/>
      <c r="P54" s="114" t="str">
        <f ca="1">IFERROR(VALUE(IF(VLOOKUP($A54,数出表_Excel!$A$6:$T$150,COLUMN()/2+1,FALSE)=0,"",VLOOKUP($A54,数出表_Excel!$A$6:$T$150,COLUMN()/2+1,FALSE))),"")</f>
        <v/>
      </c>
      <c r="Q54" s="79"/>
      <c r="R54" s="114" t="str">
        <f ca="1">IFERROR(VALUE(IF(VLOOKUP($A54,数出表_Excel!$A$6:$T$150,COLUMN()/2+1,FALSE)=0,"",VLOOKUP($A54,数出表_Excel!$A$6:$T$150,COLUMN()/2+1,FALSE))),"")</f>
        <v/>
      </c>
      <c r="S54" s="79"/>
      <c r="T54" s="114" t="str">
        <f ca="1">IFERROR(VALUE(IF(VLOOKUP($A54,数出表_Excel!$A$6:$T$150,COLUMN()/2+1,FALSE)=0,"",VLOOKUP($A54,数出表_Excel!$A$6:$T$150,COLUMN()/2+1,FALSE))),"")</f>
        <v/>
      </c>
      <c r="U54" s="79"/>
      <c r="V54" s="116" t="str">
        <f ca="1">IFERROR(VALUE(IF(VLOOKUP($A54,数出表_Excel!$A$6:$T$150,COLUMN()/2+1,FALSE)=0,"",VLOOKUP($A54,数出表_Excel!$A$6:$T$150,COLUMN()/2+1,FALSE))),"")</f>
        <v/>
      </c>
      <c r="W54" s="79"/>
      <c r="X54" s="116" t="str">
        <f ca="1">IFERROR(VALUE(IF(VLOOKUP($A54,数出表_Excel!$A$6:$T$150,COLUMN()/2+1,FALSE)=0,"",VLOOKUP($A54,数出表_Excel!$A$6:$T$150,COLUMN()/2+1,FALSE))),"")</f>
        <v/>
      </c>
      <c r="Y54" s="79"/>
      <c r="Z54" s="116" t="str">
        <f ca="1">IFERROR(VALUE(IF(VLOOKUP($A54,数出表_Excel!$A$6:$T$150,COLUMN()/2+1,FALSE)=0,"",VLOOKUP($A54,数出表_Excel!$A$6:$T$150,COLUMN()/2+1,FALSE))),"")</f>
        <v/>
      </c>
      <c r="AA54" s="117"/>
      <c r="AB54" s="115" t="str">
        <f ca="1">IFERROR(VALUE(IF(VLOOKUP($A54,数出表_Excel!$A$6:$T$150,COLUMN()/2+1,FALSE)=0,"",VLOOKUP($A54,数出表_Excel!$A$6:$T$150,COLUMN()/2+1,FALSE))),"")</f>
        <v/>
      </c>
      <c r="AC54" s="79"/>
      <c r="AD54" s="116" t="str">
        <f ca="1">IFERROR(VALUE(IF(VLOOKUP($A54,数出表_Excel!$A$6:$T$150,COLUMN()/2+1,FALSE)=0,"",VLOOKUP($A54,数出表_Excel!$A$6:$T$150,COLUMN()/2+1,FALSE))),"")</f>
        <v/>
      </c>
      <c r="AE54" s="79"/>
      <c r="AF54" s="116" t="str">
        <f ca="1">IFERROR(VALUE(IF(VLOOKUP($A54,数出表_Excel!$A$6:$T$150,COLUMN()/2+1,FALSE)=0,"",VLOOKUP($A54,数出表_Excel!$A$6:$T$150,COLUMN()/2+1,FALSE))),"")</f>
        <v/>
      </c>
      <c r="AG54" s="79"/>
      <c r="AH54" s="116" t="str">
        <f ca="1">IFERROR(VALUE(IF(VLOOKUP($A54,数出表_Excel!$A$6:$T$150,COLUMN()/2+1,FALSE)=0,"",VLOOKUP($A54,数出表_Excel!$A$6:$T$150,COLUMN()/2+1,FALSE))),"")</f>
        <v/>
      </c>
      <c r="AI54" s="117"/>
      <c r="AJ54" s="115" t="str">
        <f ca="1">IFERROR(VALUE(IF(VLOOKUP($A54,数出表_Excel!$A$6:$T$150,COLUMN()/2+1,FALSE)=0,"",VLOOKUP($A54,数出表_Excel!$A$6:$T$150,COLUMN()/2+1,FALSE))),"")</f>
        <v/>
      </c>
      <c r="AK54" s="79"/>
      <c r="AL54" s="83" t="e">
        <f ca="1">IF(A54&lt;&gt;"",
IF(VLOOKUP($A54,数出表_Excel!$A$6:$T$150,COLUMN()/2+1,FALSE)=0,"",VLOOKUP($A54,数出表_Excel!$A$6:$T$150,COLUMN()/2+1,FALSE)),"")</f>
        <v>#N/A</v>
      </c>
      <c r="AM54" s="164" t="e">
        <f>数出表_Excel!V54</f>
        <v>#N/A</v>
      </c>
      <c r="AN54" s="165" t="e">
        <f>数出表_Excel!W54</f>
        <v>#N/A</v>
      </c>
    </row>
    <row r="55" spans="1:40" ht="16.2" customHeight="1">
      <c r="A55" s="127" t="e">
        <f t="array" aca="1" ref="A55" ca="1">IF(OR(COUNTIF(A53,"*1000*"),COUNTIF(A53,"")),"",INDEX(貼り付け用!$A1:$A200,MATCH(A53,貼り付け用!$A1:$A200,0)+2,0))</f>
        <v>#N/A</v>
      </c>
      <c r="B55" s="80" t="str">
        <f ca="1">IFERROR(VALUE(IF(VLOOKUP($A55,数出表_Excel!$A$6:$T$150,COLUMN()/2+1,FALSE)=0,"",VLOOKUP($A55,数出表_Excel!$A$6:$T$150,COLUMN()/2+1,FALSE))),"")</f>
        <v/>
      </c>
      <c r="C55" s="80"/>
      <c r="D55" s="80" t="str">
        <f ca="1">IFERROR(VALUE(IF(VLOOKUP($A55,数出表_Excel!$A$6:$T$150,COLUMN()/2+1,FALSE)=0,"",VLOOKUP($A55,数出表_Excel!$A$6:$T$150,COLUMN()/2+1,FALSE))),"")</f>
        <v/>
      </c>
      <c r="E55" s="80"/>
      <c r="F55" s="84" t="str">
        <f ca="1">IFERROR(VALUE(IF(VLOOKUP($A55,数出表_Excel!$A$6:$T$150,COLUMN()/2+1,FALSE)=0,"",VLOOKUP($A55,数出表_Excel!$A$6:$T$150,COLUMN()/2+1,FALSE))),"")</f>
        <v/>
      </c>
      <c r="G55" s="80"/>
      <c r="H55" s="80" t="str">
        <f ca="1">IFERROR(VALUE(IF(VLOOKUP($A55,数出表_Excel!$A$6:$T$150,COLUMN()/2+1,FALSE)=0,"",VLOOKUP($A55,数出表_Excel!$A$6:$T$150,COLUMN()/2+1,FALSE))),"")</f>
        <v/>
      </c>
      <c r="I55" s="80"/>
      <c r="J55" s="80" t="str">
        <f ca="1">IFERROR(VALUE(IF(VLOOKUP($A55,数出表_Excel!$A$6:$T$150,COLUMN()/2+1,FALSE)=0,"",VLOOKUP($A55,数出表_Excel!$A$6:$T$150,COLUMN()/2+1,FALSE))),"")</f>
        <v/>
      </c>
      <c r="K55" s="80"/>
      <c r="L55" s="84" t="str">
        <f ca="1">IFERROR(VALUE(IF(VLOOKUP($A55,数出表_Excel!$A$6:$T$150,COLUMN()/2+1,FALSE)=0,"",VLOOKUP($A55,数出表_Excel!$A$6:$T$150,COLUMN()/2+1,FALSE))),"")</f>
        <v/>
      </c>
      <c r="M55" s="80"/>
      <c r="N55" s="80" t="str">
        <f ca="1">IFERROR(VALUE(IF(VLOOKUP($A55,数出表_Excel!$A$6:$T$150,COLUMN()/2+1,FALSE)=0,"",VLOOKUP($A55,数出表_Excel!$A$6:$T$150,COLUMN()/2+1,FALSE))),"")</f>
        <v/>
      </c>
      <c r="O55" s="80"/>
      <c r="P55" s="80" t="str">
        <f ca="1">IFERROR(VALUE(IF(VLOOKUP($A55,数出表_Excel!$A$6:$T$150,COLUMN()/2+1,FALSE)=0,"",VLOOKUP($A55,数出表_Excel!$A$6:$T$150,COLUMN()/2+1,FALSE))),"")</f>
        <v/>
      </c>
      <c r="Q55" s="80"/>
      <c r="R55" s="80" t="str">
        <f ca="1">IFERROR(VALUE(IF(VLOOKUP($A55,数出表_Excel!$A$6:$T$150,COLUMN()/2+1,FALSE)=0,"",VLOOKUP($A55,数出表_Excel!$A$6:$T$150,COLUMN()/2+1,FALSE))),"")</f>
        <v/>
      </c>
      <c r="S55" s="80"/>
      <c r="T55" s="80" t="str">
        <f ca="1">IFERROR(VALUE(IF(VLOOKUP($A55,数出表_Excel!$A$6:$T$150,COLUMN()/2+1,FALSE)=0,"",VLOOKUP($A55,数出表_Excel!$A$6:$T$150,COLUMN()/2+1,FALSE))),"")</f>
        <v/>
      </c>
      <c r="U55" s="80"/>
      <c r="V55" s="84" t="str">
        <f ca="1">IFERROR(VALUE(IF(VLOOKUP($A55,数出表_Excel!$A$6:$T$150,COLUMN()/2+1,FALSE)=0,"",VLOOKUP($A55,数出表_Excel!$A$6:$T$150,COLUMN()/2+1,FALSE))),"")</f>
        <v/>
      </c>
      <c r="W55" s="80"/>
      <c r="X55" s="84" t="str">
        <f ca="1">IFERROR(VALUE(IF(VLOOKUP($A55,数出表_Excel!$A$6:$T$150,COLUMN()/2+1,FALSE)=0,"",VLOOKUP($A55,数出表_Excel!$A$6:$T$150,COLUMN()/2+1,FALSE))),"")</f>
        <v/>
      </c>
      <c r="Y55" s="80"/>
      <c r="Z55" s="84" t="str">
        <f ca="1">IFERROR(VALUE(IF(VLOOKUP($A55,数出表_Excel!$A$6:$T$150,COLUMN()/2+1,FALSE)=0,"",VLOOKUP($A55,数出表_Excel!$A$6:$T$150,COLUMN()/2+1,FALSE))),"")</f>
        <v/>
      </c>
      <c r="AA55" s="118"/>
      <c r="AB55" s="85" t="str">
        <f ca="1">IFERROR(VALUE(IF(VLOOKUP($A55,数出表_Excel!$A$6:$T$150,COLUMN()/2+1,FALSE)=0,"",VLOOKUP($A55,数出表_Excel!$A$6:$T$150,COLUMN()/2+1,FALSE))),"")</f>
        <v/>
      </c>
      <c r="AC55" s="80"/>
      <c r="AD55" s="84" t="str">
        <f ca="1">IFERROR(VALUE(IF(VLOOKUP($A55,数出表_Excel!$A$6:$T$150,COLUMN()/2+1,FALSE)=0,"",VLOOKUP($A55,数出表_Excel!$A$6:$T$150,COLUMN()/2+1,FALSE))),"")</f>
        <v/>
      </c>
      <c r="AE55" s="80"/>
      <c r="AF55" s="84" t="str">
        <f ca="1">IFERROR(VALUE(IF(VLOOKUP($A55,数出表_Excel!$A$6:$T$150,COLUMN()/2+1,FALSE)=0,"",VLOOKUP($A55,数出表_Excel!$A$6:$T$150,COLUMN()/2+1,FALSE))),"")</f>
        <v/>
      </c>
      <c r="AG55" s="80"/>
      <c r="AH55" s="84" t="str">
        <f ca="1">IFERROR(VALUE(IF(VLOOKUP($A55,数出表_Excel!$A$6:$T$150,COLUMN()/2+1,FALSE)=0,"",VLOOKUP($A55,数出表_Excel!$A$6:$T$150,COLUMN()/2+1,FALSE))),"")</f>
        <v/>
      </c>
      <c r="AI55" s="118"/>
      <c r="AJ55" s="85" t="str">
        <f ca="1">IFERROR(VALUE(IF(VLOOKUP($A55,数出表_Excel!$A$6:$T$150,COLUMN()/2+1,FALSE)=0,"",VLOOKUP($A55,数出表_Excel!$A$6:$T$150,COLUMN()/2+1,FALSE))),"")</f>
        <v/>
      </c>
      <c r="AK55" s="80"/>
      <c r="AL55" s="86" t="e">
        <f ca="1">IF(A55&lt;&gt;"",
IF(VLOOKUP($A55,数出表_Excel!$A$6:$T$150,COLUMN()/2+1,FALSE)=0,"",VLOOKUP($A55,数出表_Excel!$A$6:$T$150,COLUMN()/2+1,FALSE)),"")</f>
        <v>#N/A</v>
      </c>
      <c r="AM55" s="166" t="e">
        <f>数出表_Excel!V55</f>
        <v>#N/A</v>
      </c>
      <c r="AN55" s="167" t="e">
        <f>数出表_Excel!W55</f>
        <v>#N/A</v>
      </c>
    </row>
    <row r="56" spans="1:40" ht="16.2" customHeight="1">
      <c r="A56" s="126" t="e">
        <f t="array" aca="1" ref="A56" ca="1">IF(OR(COUNTIF(A54,"*10002*"),COUNTIF(A54,"")),"",INDEX(貼り付け用!$A1:$A200,MATCH(A54,貼り付け用!$A1:$A200,0)+2,0))</f>
        <v>#N/A</v>
      </c>
      <c r="B56" s="114" t="str">
        <f ca="1">IFERROR(VALUE(IF(VLOOKUP($A56,数出表_Excel!$A$6:$T$150,COLUMN()/2+1,FALSE)=0,"",VLOOKUP($A56,数出表_Excel!$A$6:$T$150,COLUMN()/2+1,FALSE))),"")</f>
        <v/>
      </c>
      <c r="C56" s="79"/>
      <c r="D56" s="114" t="str">
        <f ca="1">IFERROR(VALUE(IF(VLOOKUP($A56,数出表_Excel!$A$6:$T$150,COLUMN()/2+1,FALSE)=0,"",VLOOKUP($A56,数出表_Excel!$A$6:$T$150,COLUMN()/2+1,FALSE))),"")</f>
        <v/>
      </c>
      <c r="E56" s="79"/>
      <c r="F56" s="116" t="str">
        <f ca="1">IFERROR(VALUE(IF(VLOOKUP($A56,数出表_Excel!$A$6:$T$150,COLUMN()/2+1,FALSE)=0,"",VLOOKUP($A56,数出表_Excel!$A$6:$T$150,COLUMN()/2+1,FALSE))),"")</f>
        <v/>
      </c>
      <c r="G56" s="79"/>
      <c r="H56" s="114" t="str">
        <f ca="1">IFERROR(VALUE(IF(VLOOKUP($A56,数出表_Excel!$A$6:$T$150,COLUMN()/2+1,FALSE)=0,"",VLOOKUP($A56,数出表_Excel!$A$6:$T$150,COLUMN()/2+1,FALSE))),"")</f>
        <v/>
      </c>
      <c r="I56" s="79"/>
      <c r="J56" s="114" t="str">
        <f ca="1">IFERROR(VALUE(IF(VLOOKUP($A56,数出表_Excel!$A$6:$T$150,COLUMN()/2+1,FALSE)=0,"",VLOOKUP($A56,数出表_Excel!$A$6:$T$150,COLUMN()/2+1,FALSE))),"")</f>
        <v/>
      </c>
      <c r="K56" s="79"/>
      <c r="L56" s="116" t="str">
        <f ca="1">IFERROR(VALUE(IF(VLOOKUP($A56,数出表_Excel!$A$6:$T$150,COLUMN()/2+1,FALSE)=0,"",VLOOKUP($A56,数出表_Excel!$A$6:$T$150,COLUMN()/2+1,FALSE))),"")</f>
        <v/>
      </c>
      <c r="M56" s="79"/>
      <c r="N56" s="114" t="str">
        <f ca="1">IFERROR(VALUE(IF(VLOOKUP($A56,数出表_Excel!$A$6:$T$150,COLUMN()/2+1,FALSE)=0,"",VLOOKUP($A56,数出表_Excel!$A$6:$T$150,COLUMN()/2+1,FALSE))),"")</f>
        <v/>
      </c>
      <c r="O56" s="79"/>
      <c r="P56" s="114" t="str">
        <f ca="1">IFERROR(VALUE(IF(VLOOKUP($A56,数出表_Excel!$A$6:$T$150,COLUMN()/2+1,FALSE)=0,"",VLOOKUP($A56,数出表_Excel!$A$6:$T$150,COLUMN()/2+1,FALSE))),"")</f>
        <v/>
      </c>
      <c r="Q56" s="79"/>
      <c r="R56" s="114" t="str">
        <f ca="1">IFERROR(VALUE(IF(VLOOKUP($A56,数出表_Excel!$A$6:$T$150,COLUMN()/2+1,FALSE)=0,"",VLOOKUP($A56,数出表_Excel!$A$6:$T$150,COLUMN()/2+1,FALSE))),"")</f>
        <v/>
      </c>
      <c r="S56" s="79"/>
      <c r="T56" s="114" t="str">
        <f ca="1">IFERROR(VALUE(IF(VLOOKUP($A56,数出表_Excel!$A$6:$T$150,COLUMN()/2+1,FALSE)=0,"",VLOOKUP($A56,数出表_Excel!$A$6:$T$150,COLUMN()/2+1,FALSE))),"")</f>
        <v/>
      </c>
      <c r="U56" s="79"/>
      <c r="V56" s="116" t="str">
        <f ca="1">IFERROR(VALUE(IF(VLOOKUP($A56,数出表_Excel!$A$6:$T$150,COLUMN()/2+1,FALSE)=0,"",VLOOKUP($A56,数出表_Excel!$A$6:$T$150,COLUMN()/2+1,FALSE))),"")</f>
        <v/>
      </c>
      <c r="W56" s="79"/>
      <c r="X56" s="116" t="str">
        <f ca="1">IFERROR(VALUE(IF(VLOOKUP($A56,数出表_Excel!$A$6:$T$150,COLUMN()/2+1,FALSE)=0,"",VLOOKUP($A56,数出表_Excel!$A$6:$T$150,COLUMN()/2+1,FALSE))),"")</f>
        <v/>
      </c>
      <c r="Y56" s="79"/>
      <c r="Z56" s="116" t="str">
        <f ca="1">IFERROR(VALUE(IF(VLOOKUP($A56,数出表_Excel!$A$6:$T$150,COLUMN()/2+1,FALSE)=0,"",VLOOKUP($A56,数出表_Excel!$A$6:$T$150,COLUMN()/2+1,FALSE))),"")</f>
        <v/>
      </c>
      <c r="AA56" s="117"/>
      <c r="AB56" s="115" t="str">
        <f ca="1">IFERROR(VALUE(IF(VLOOKUP($A56,数出表_Excel!$A$6:$T$150,COLUMN()/2+1,FALSE)=0,"",VLOOKUP($A56,数出表_Excel!$A$6:$T$150,COLUMN()/2+1,FALSE))),"")</f>
        <v/>
      </c>
      <c r="AC56" s="79"/>
      <c r="AD56" s="116" t="str">
        <f ca="1">IFERROR(VALUE(IF(VLOOKUP($A56,数出表_Excel!$A$6:$T$150,COLUMN()/2+1,FALSE)=0,"",VLOOKUP($A56,数出表_Excel!$A$6:$T$150,COLUMN()/2+1,FALSE))),"")</f>
        <v/>
      </c>
      <c r="AE56" s="79"/>
      <c r="AF56" s="116" t="str">
        <f ca="1">IFERROR(VALUE(IF(VLOOKUP($A56,数出表_Excel!$A$6:$T$150,COLUMN()/2+1,FALSE)=0,"",VLOOKUP($A56,数出表_Excel!$A$6:$T$150,COLUMN()/2+1,FALSE))),"")</f>
        <v/>
      </c>
      <c r="AG56" s="79"/>
      <c r="AH56" s="116" t="str">
        <f ca="1">IFERROR(VALUE(IF(VLOOKUP($A56,数出表_Excel!$A$6:$T$150,COLUMN()/2+1,FALSE)=0,"",VLOOKUP($A56,数出表_Excel!$A$6:$T$150,COLUMN()/2+1,FALSE))),"")</f>
        <v/>
      </c>
      <c r="AI56" s="117"/>
      <c r="AJ56" s="115" t="str">
        <f ca="1">IFERROR(VALUE(IF(VLOOKUP($A56,数出表_Excel!$A$6:$T$150,COLUMN()/2+1,FALSE)=0,"",VLOOKUP($A56,数出表_Excel!$A$6:$T$150,COLUMN()/2+1,FALSE))),"")</f>
        <v/>
      </c>
      <c r="AK56" s="79"/>
      <c r="AL56" s="83" t="e">
        <f ca="1">IF(A56&lt;&gt;"",
IF(VLOOKUP($A56,数出表_Excel!$A$6:$T$150,COLUMN()/2+1,FALSE)=0,"",VLOOKUP($A56,数出表_Excel!$A$6:$T$150,COLUMN()/2+1,FALSE)),"")</f>
        <v>#N/A</v>
      </c>
      <c r="AM56" s="164" t="e">
        <f>数出表_Excel!V56</f>
        <v>#N/A</v>
      </c>
      <c r="AN56" s="165" t="e">
        <f>数出表_Excel!W56</f>
        <v>#N/A</v>
      </c>
    </row>
    <row r="57" spans="1:40" ht="16.2" customHeight="1">
      <c r="A57" s="127" t="e">
        <f t="array" aca="1" ref="A57" ca="1">IF(OR(COUNTIF(A55,"*1000*"),COUNTIF(A55,"")),"",INDEX(貼り付け用!$A1:$A200,MATCH(A55,貼り付け用!$A1:$A200,0)+2,0))</f>
        <v>#N/A</v>
      </c>
      <c r="B57" s="80" t="str">
        <f ca="1">IFERROR(VALUE(IF(VLOOKUP($A57,数出表_Excel!$A$6:$T$150,COLUMN()/2+1,FALSE)=0,"",VLOOKUP($A57,数出表_Excel!$A$6:$T$150,COLUMN()/2+1,FALSE))),"")</f>
        <v/>
      </c>
      <c r="C57" s="80"/>
      <c r="D57" s="80" t="str">
        <f ca="1">IFERROR(VALUE(IF(VLOOKUP($A57,数出表_Excel!$A$6:$T$150,COLUMN()/2+1,FALSE)=0,"",VLOOKUP($A57,数出表_Excel!$A$6:$T$150,COLUMN()/2+1,FALSE))),"")</f>
        <v/>
      </c>
      <c r="E57" s="80"/>
      <c r="F57" s="84" t="str">
        <f ca="1">IFERROR(VALUE(IF(VLOOKUP($A57,数出表_Excel!$A$6:$T$150,COLUMN()/2+1,FALSE)=0,"",VLOOKUP($A57,数出表_Excel!$A$6:$T$150,COLUMN()/2+1,FALSE))),"")</f>
        <v/>
      </c>
      <c r="G57" s="80"/>
      <c r="H57" s="80" t="str">
        <f ca="1">IFERROR(VALUE(IF(VLOOKUP($A57,数出表_Excel!$A$6:$T$150,COLUMN()/2+1,FALSE)=0,"",VLOOKUP($A57,数出表_Excel!$A$6:$T$150,COLUMN()/2+1,FALSE))),"")</f>
        <v/>
      </c>
      <c r="I57" s="80"/>
      <c r="J57" s="80" t="str">
        <f ca="1">IFERROR(VALUE(IF(VLOOKUP($A57,数出表_Excel!$A$6:$T$150,COLUMN()/2+1,FALSE)=0,"",VLOOKUP($A57,数出表_Excel!$A$6:$T$150,COLUMN()/2+1,FALSE))),"")</f>
        <v/>
      </c>
      <c r="K57" s="80"/>
      <c r="L57" s="84" t="str">
        <f ca="1">IFERROR(VALUE(IF(VLOOKUP($A57,数出表_Excel!$A$6:$T$150,COLUMN()/2+1,FALSE)=0,"",VLOOKUP($A57,数出表_Excel!$A$6:$T$150,COLUMN()/2+1,FALSE))),"")</f>
        <v/>
      </c>
      <c r="M57" s="80"/>
      <c r="N57" s="80" t="str">
        <f ca="1">IFERROR(VALUE(IF(VLOOKUP($A57,数出表_Excel!$A$6:$T$150,COLUMN()/2+1,FALSE)=0,"",VLOOKUP($A57,数出表_Excel!$A$6:$T$150,COLUMN()/2+1,FALSE))),"")</f>
        <v/>
      </c>
      <c r="O57" s="80"/>
      <c r="P57" s="80" t="str">
        <f ca="1">IFERROR(VALUE(IF(VLOOKUP($A57,数出表_Excel!$A$6:$T$150,COLUMN()/2+1,FALSE)=0,"",VLOOKUP($A57,数出表_Excel!$A$6:$T$150,COLUMN()/2+1,FALSE))),"")</f>
        <v/>
      </c>
      <c r="Q57" s="80"/>
      <c r="R57" s="80" t="str">
        <f ca="1">IFERROR(VALUE(IF(VLOOKUP($A57,数出表_Excel!$A$6:$T$150,COLUMN()/2+1,FALSE)=0,"",VLOOKUP($A57,数出表_Excel!$A$6:$T$150,COLUMN()/2+1,FALSE))),"")</f>
        <v/>
      </c>
      <c r="S57" s="80"/>
      <c r="T57" s="80" t="str">
        <f ca="1">IFERROR(VALUE(IF(VLOOKUP($A57,数出表_Excel!$A$6:$T$150,COLUMN()/2+1,FALSE)=0,"",VLOOKUP($A57,数出表_Excel!$A$6:$T$150,COLUMN()/2+1,FALSE))),"")</f>
        <v/>
      </c>
      <c r="U57" s="80"/>
      <c r="V57" s="84" t="str">
        <f ca="1">IFERROR(VALUE(IF(VLOOKUP($A57,数出表_Excel!$A$6:$T$150,COLUMN()/2+1,FALSE)=0,"",VLOOKUP($A57,数出表_Excel!$A$6:$T$150,COLUMN()/2+1,FALSE))),"")</f>
        <v/>
      </c>
      <c r="W57" s="80"/>
      <c r="X57" s="84" t="str">
        <f ca="1">IFERROR(VALUE(IF(VLOOKUP($A57,数出表_Excel!$A$6:$T$150,COLUMN()/2+1,FALSE)=0,"",VLOOKUP($A57,数出表_Excel!$A$6:$T$150,COLUMN()/2+1,FALSE))),"")</f>
        <v/>
      </c>
      <c r="Y57" s="80"/>
      <c r="Z57" s="84" t="str">
        <f ca="1">IFERROR(VALUE(IF(VLOOKUP($A57,数出表_Excel!$A$6:$T$150,COLUMN()/2+1,FALSE)=0,"",VLOOKUP($A57,数出表_Excel!$A$6:$T$150,COLUMN()/2+1,FALSE))),"")</f>
        <v/>
      </c>
      <c r="AA57" s="118"/>
      <c r="AB57" s="85" t="str">
        <f ca="1">IFERROR(VALUE(IF(VLOOKUP($A57,数出表_Excel!$A$6:$T$150,COLUMN()/2+1,FALSE)=0,"",VLOOKUP($A57,数出表_Excel!$A$6:$T$150,COLUMN()/2+1,FALSE))),"")</f>
        <v/>
      </c>
      <c r="AC57" s="80"/>
      <c r="AD57" s="84" t="str">
        <f ca="1">IFERROR(VALUE(IF(VLOOKUP($A57,数出表_Excel!$A$6:$T$150,COLUMN()/2+1,FALSE)=0,"",VLOOKUP($A57,数出表_Excel!$A$6:$T$150,COLUMN()/2+1,FALSE))),"")</f>
        <v/>
      </c>
      <c r="AE57" s="80"/>
      <c r="AF57" s="84" t="str">
        <f ca="1">IFERROR(VALUE(IF(VLOOKUP($A57,数出表_Excel!$A$6:$T$150,COLUMN()/2+1,FALSE)=0,"",VLOOKUP($A57,数出表_Excel!$A$6:$T$150,COLUMN()/2+1,FALSE))),"")</f>
        <v/>
      </c>
      <c r="AG57" s="80"/>
      <c r="AH57" s="84" t="str">
        <f ca="1">IFERROR(VALUE(IF(VLOOKUP($A57,数出表_Excel!$A$6:$T$150,COLUMN()/2+1,FALSE)=0,"",VLOOKUP($A57,数出表_Excel!$A$6:$T$150,COLUMN()/2+1,FALSE))),"")</f>
        <v/>
      </c>
      <c r="AI57" s="118"/>
      <c r="AJ57" s="85" t="str">
        <f ca="1">IFERROR(VALUE(IF(VLOOKUP($A57,数出表_Excel!$A$6:$T$150,COLUMN()/2+1,FALSE)=0,"",VLOOKUP($A57,数出表_Excel!$A$6:$T$150,COLUMN()/2+1,FALSE))),"")</f>
        <v/>
      </c>
      <c r="AK57" s="80"/>
      <c r="AL57" s="86" t="e">
        <f ca="1">IF(A57&lt;&gt;"",
IF(VLOOKUP($A57,数出表_Excel!$A$6:$T$150,COLUMN()/2+1,FALSE)=0,"",VLOOKUP($A57,数出表_Excel!$A$6:$T$150,COLUMN()/2+1,FALSE)),"")</f>
        <v>#N/A</v>
      </c>
      <c r="AM57" s="166" t="e">
        <f>数出表_Excel!V57</f>
        <v>#N/A</v>
      </c>
      <c r="AN57" s="167" t="e">
        <f>数出表_Excel!W57</f>
        <v>#N/A</v>
      </c>
    </row>
    <row r="58" spans="1:40" ht="16.2" customHeight="1">
      <c r="A58" s="126" t="e">
        <f t="array" aca="1" ref="A58" ca="1">IF(OR(COUNTIF(A56,"*10002*"),COUNTIF(A56,"")),"",INDEX(貼り付け用!$A1:$A200,MATCH(A56,貼り付け用!$A1:$A200,0)+2,0))</f>
        <v>#N/A</v>
      </c>
      <c r="B58" s="114" t="str">
        <f ca="1">IFERROR(VALUE(IF(VLOOKUP($A58,数出表_Excel!$A$6:$T$150,COLUMN()/2+1,FALSE)=0,"",VLOOKUP($A58,数出表_Excel!$A$6:$T$150,COLUMN()/2+1,FALSE))),"")</f>
        <v/>
      </c>
      <c r="C58" s="79"/>
      <c r="D58" s="114" t="str">
        <f ca="1">IFERROR(VALUE(IF(VLOOKUP($A58,数出表_Excel!$A$6:$T$150,COLUMN()/2+1,FALSE)=0,"",VLOOKUP($A58,数出表_Excel!$A$6:$T$150,COLUMN()/2+1,FALSE))),"")</f>
        <v/>
      </c>
      <c r="E58" s="79"/>
      <c r="F58" s="116" t="str">
        <f ca="1">IFERROR(VALUE(IF(VLOOKUP($A58,数出表_Excel!$A$6:$T$150,COLUMN()/2+1,FALSE)=0,"",VLOOKUP($A58,数出表_Excel!$A$6:$T$150,COLUMN()/2+1,FALSE))),"")</f>
        <v/>
      </c>
      <c r="G58" s="79"/>
      <c r="H58" s="114" t="str">
        <f ca="1">IFERROR(VALUE(IF(VLOOKUP($A58,数出表_Excel!$A$6:$T$150,COLUMN()/2+1,FALSE)=0,"",VLOOKUP($A58,数出表_Excel!$A$6:$T$150,COLUMN()/2+1,FALSE))),"")</f>
        <v/>
      </c>
      <c r="I58" s="79"/>
      <c r="J58" s="114" t="str">
        <f ca="1">IFERROR(VALUE(IF(VLOOKUP($A58,数出表_Excel!$A$6:$T$150,COLUMN()/2+1,FALSE)=0,"",VLOOKUP($A58,数出表_Excel!$A$6:$T$150,COLUMN()/2+1,FALSE))),"")</f>
        <v/>
      </c>
      <c r="K58" s="79"/>
      <c r="L58" s="116" t="str">
        <f ca="1">IFERROR(VALUE(IF(VLOOKUP($A58,数出表_Excel!$A$6:$T$150,COLUMN()/2+1,FALSE)=0,"",VLOOKUP($A58,数出表_Excel!$A$6:$T$150,COLUMN()/2+1,FALSE))),"")</f>
        <v/>
      </c>
      <c r="M58" s="79"/>
      <c r="N58" s="114" t="str">
        <f ca="1">IFERROR(VALUE(IF(VLOOKUP($A58,数出表_Excel!$A$6:$T$150,COLUMN()/2+1,FALSE)=0,"",VLOOKUP($A58,数出表_Excel!$A$6:$T$150,COLUMN()/2+1,FALSE))),"")</f>
        <v/>
      </c>
      <c r="O58" s="79"/>
      <c r="P58" s="114" t="str">
        <f ca="1">IFERROR(VALUE(IF(VLOOKUP($A58,数出表_Excel!$A$6:$T$150,COLUMN()/2+1,FALSE)=0,"",VLOOKUP($A58,数出表_Excel!$A$6:$T$150,COLUMN()/2+1,FALSE))),"")</f>
        <v/>
      </c>
      <c r="Q58" s="79"/>
      <c r="R58" s="114" t="str">
        <f ca="1">IFERROR(VALUE(IF(VLOOKUP($A58,数出表_Excel!$A$6:$T$150,COLUMN()/2+1,FALSE)=0,"",VLOOKUP($A58,数出表_Excel!$A$6:$T$150,COLUMN()/2+1,FALSE))),"")</f>
        <v/>
      </c>
      <c r="S58" s="79"/>
      <c r="T58" s="114" t="str">
        <f ca="1">IFERROR(VALUE(IF(VLOOKUP($A58,数出表_Excel!$A$6:$T$150,COLUMN()/2+1,FALSE)=0,"",VLOOKUP($A58,数出表_Excel!$A$6:$T$150,COLUMN()/2+1,FALSE))),"")</f>
        <v/>
      </c>
      <c r="U58" s="79"/>
      <c r="V58" s="116" t="str">
        <f ca="1">IFERROR(VALUE(IF(VLOOKUP($A58,数出表_Excel!$A$6:$T$150,COLUMN()/2+1,FALSE)=0,"",VLOOKUP($A58,数出表_Excel!$A$6:$T$150,COLUMN()/2+1,FALSE))),"")</f>
        <v/>
      </c>
      <c r="W58" s="79"/>
      <c r="X58" s="116" t="str">
        <f ca="1">IFERROR(VALUE(IF(VLOOKUP($A58,数出表_Excel!$A$6:$T$150,COLUMN()/2+1,FALSE)=0,"",VLOOKUP($A58,数出表_Excel!$A$6:$T$150,COLUMN()/2+1,FALSE))),"")</f>
        <v/>
      </c>
      <c r="Y58" s="79"/>
      <c r="Z58" s="116" t="str">
        <f ca="1">IFERROR(VALUE(IF(VLOOKUP($A58,数出表_Excel!$A$6:$T$150,COLUMN()/2+1,FALSE)=0,"",VLOOKUP($A58,数出表_Excel!$A$6:$T$150,COLUMN()/2+1,FALSE))),"")</f>
        <v/>
      </c>
      <c r="AA58" s="117"/>
      <c r="AB58" s="115" t="str">
        <f ca="1">IFERROR(VALUE(IF(VLOOKUP($A58,数出表_Excel!$A$6:$T$150,COLUMN()/2+1,FALSE)=0,"",VLOOKUP($A58,数出表_Excel!$A$6:$T$150,COLUMN()/2+1,FALSE))),"")</f>
        <v/>
      </c>
      <c r="AC58" s="79"/>
      <c r="AD58" s="116" t="str">
        <f ca="1">IFERROR(VALUE(IF(VLOOKUP($A58,数出表_Excel!$A$6:$T$150,COLUMN()/2+1,FALSE)=0,"",VLOOKUP($A58,数出表_Excel!$A$6:$T$150,COLUMN()/2+1,FALSE))),"")</f>
        <v/>
      </c>
      <c r="AE58" s="79"/>
      <c r="AF58" s="116" t="str">
        <f ca="1">IFERROR(VALUE(IF(VLOOKUP($A58,数出表_Excel!$A$6:$T$150,COLUMN()/2+1,FALSE)=0,"",VLOOKUP($A58,数出表_Excel!$A$6:$T$150,COLUMN()/2+1,FALSE))),"")</f>
        <v/>
      </c>
      <c r="AG58" s="79"/>
      <c r="AH58" s="116" t="str">
        <f ca="1">IFERROR(VALUE(IF(VLOOKUP($A58,数出表_Excel!$A$6:$T$150,COLUMN()/2+1,FALSE)=0,"",VLOOKUP($A58,数出表_Excel!$A$6:$T$150,COLUMN()/2+1,FALSE))),"")</f>
        <v/>
      </c>
      <c r="AI58" s="117"/>
      <c r="AJ58" s="115" t="str">
        <f ca="1">IFERROR(VALUE(IF(VLOOKUP($A58,数出表_Excel!$A$6:$T$150,COLUMN()/2+1,FALSE)=0,"",VLOOKUP($A58,数出表_Excel!$A$6:$T$150,COLUMN()/2+1,FALSE))),"")</f>
        <v/>
      </c>
      <c r="AK58" s="79"/>
      <c r="AL58" s="83" t="e">
        <f ca="1">IF(A58&lt;&gt;"",
IF(VLOOKUP($A58,数出表_Excel!$A$6:$T$150,COLUMN()/2+1,FALSE)=0,"",VLOOKUP($A58,数出表_Excel!$A$6:$T$150,COLUMN()/2+1,FALSE)),"")</f>
        <v>#N/A</v>
      </c>
      <c r="AM58" s="164" t="e">
        <f>数出表_Excel!V58</f>
        <v>#N/A</v>
      </c>
      <c r="AN58" s="165" t="e">
        <f>数出表_Excel!W58</f>
        <v>#N/A</v>
      </c>
    </row>
    <row r="59" spans="1:40" ht="16.2" customHeight="1">
      <c r="A59" s="127" t="e">
        <f t="array" aca="1" ref="A59" ca="1">IF(OR(COUNTIF(A57,"*1000*"),COUNTIF(A57,"")),"",INDEX(貼り付け用!$A1:$A200,MATCH(A57,貼り付け用!$A1:$A200,0)+2,0))</f>
        <v>#N/A</v>
      </c>
      <c r="B59" s="80" t="str">
        <f ca="1">IFERROR(VALUE(IF(VLOOKUP($A59,数出表_Excel!$A$6:$T$150,COLUMN()/2+1,FALSE)=0,"",VLOOKUP($A59,数出表_Excel!$A$6:$T$150,COLUMN()/2+1,FALSE))),"")</f>
        <v/>
      </c>
      <c r="C59" s="80"/>
      <c r="D59" s="80" t="str">
        <f ca="1">IFERROR(VALUE(IF(VLOOKUP($A59,数出表_Excel!$A$6:$T$150,COLUMN()/2+1,FALSE)=0,"",VLOOKUP($A59,数出表_Excel!$A$6:$T$150,COLUMN()/2+1,FALSE))),"")</f>
        <v/>
      </c>
      <c r="E59" s="80"/>
      <c r="F59" s="84" t="str">
        <f ca="1">IFERROR(VALUE(IF(VLOOKUP($A59,数出表_Excel!$A$6:$T$150,COLUMN()/2+1,FALSE)=0,"",VLOOKUP($A59,数出表_Excel!$A$6:$T$150,COLUMN()/2+1,FALSE))),"")</f>
        <v/>
      </c>
      <c r="G59" s="80"/>
      <c r="H59" s="80" t="str">
        <f ca="1">IFERROR(VALUE(IF(VLOOKUP($A59,数出表_Excel!$A$6:$T$150,COLUMN()/2+1,FALSE)=0,"",VLOOKUP($A59,数出表_Excel!$A$6:$T$150,COLUMN()/2+1,FALSE))),"")</f>
        <v/>
      </c>
      <c r="I59" s="80"/>
      <c r="J59" s="80" t="str">
        <f ca="1">IFERROR(VALUE(IF(VLOOKUP($A59,数出表_Excel!$A$6:$T$150,COLUMN()/2+1,FALSE)=0,"",VLOOKUP($A59,数出表_Excel!$A$6:$T$150,COLUMN()/2+1,FALSE))),"")</f>
        <v/>
      </c>
      <c r="K59" s="80"/>
      <c r="L59" s="84" t="str">
        <f ca="1">IFERROR(VALUE(IF(VLOOKUP($A59,数出表_Excel!$A$6:$T$150,COLUMN()/2+1,FALSE)=0,"",VLOOKUP($A59,数出表_Excel!$A$6:$T$150,COLUMN()/2+1,FALSE))),"")</f>
        <v/>
      </c>
      <c r="M59" s="80"/>
      <c r="N59" s="80" t="str">
        <f ca="1">IFERROR(VALUE(IF(VLOOKUP($A59,数出表_Excel!$A$6:$T$150,COLUMN()/2+1,FALSE)=0,"",VLOOKUP($A59,数出表_Excel!$A$6:$T$150,COLUMN()/2+1,FALSE))),"")</f>
        <v/>
      </c>
      <c r="O59" s="80"/>
      <c r="P59" s="80" t="str">
        <f ca="1">IFERROR(VALUE(IF(VLOOKUP($A59,数出表_Excel!$A$6:$T$150,COLUMN()/2+1,FALSE)=0,"",VLOOKUP($A59,数出表_Excel!$A$6:$T$150,COLUMN()/2+1,FALSE))),"")</f>
        <v/>
      </c>
      <c r="Q59" s="80"/>
      <c r="R59" s="80" t="str">
        <f ca="1">IFERROR(VALUE(IF(VLOOKUP($A59,数出表_Excel!$A$6:$T$150,COLUMN()/2+1,FALSE)=0,"",VLOOKUP($A59,数出表_Excel!$A$6:$T$150,COLUMN()/2+1,FALSE))),"")</f>
        <v/>
      </c>
      <c r="S59" s="80"/>
      <c r="T59" s="80" t="str">
        <f ca="1">IFERROR(VALUE(IF(VLOOKUP($A59,数出表_Excel!$A$6:$T$150,COLUMN()/2+1,FALSE)=0,"",VLOOKUP($A59,数出表_Excel!$A$6:$T$150,COLUMN()/2+1,FALSE))),"")</f>
        <v/>
      </c>
      <c r="U59" s="80"/>
      <c r="V59" s="84" t="str">
        <f ca="1">IFERROR(VALUE(IF(VLOOKUP($A59,数出表_Excel!$A$6:$T$150,COLUMN()/2+1,FALSE)=0,"",VLOOKUP($A59,数出表_Excel!$A$6:$T$150,COLUMN()/2+1,FALSE))),"")</f>
        <v/>
      </c>
      <c r="W59" s="80"/>
      <c r="X59" s="84" t="str">
        <f ca="1">IFERROR(VALUE(IF(VLOOKUP($A59,数出表_Excel!$A$6:$T$150,COLUMN()/2+1,FALSE)=0,"",VLOOKUP($A59,数出表_Excel!$A$6:$T$150,COLUMN()/2+1,FALSE))),"")</f>
        <v/>
      </c>
      <c r="Y59" s="80"/>
      <c r="Z59" s="84" t="str">
        <f ca="1">IFERROR(VALUE(IF(VLOOKUP($A59,数出表_Excel!$A$6:$T$150,COLUMN()/2+1,FALSE)=0,"",VLOOKUP($A59,数出表_Excel!$A$6:$T$150,COLUMN()/2+1,FALSE))),"")</f>
        <v/>
      </c>
      <c r="AA59" s="118"/>
      <c r="AB59" s="85" t="str">
        <f ca="1">IFERROR(VALUE(IF(VLOOKUP($A59,数出表_Excel!$A$6:$T$150,COLUMN()/2+1,FALSE)=0,"",VLOOKUP($A59,数出表_Excel!$A$6:$T$150,COLUMN()/2+1,FALSE))),"")</f>
        <v/>
      </c>
      <c r="AC59" s="80"/>
      <c r="AD59" s="84" t="str">
        <f ca="1">IFERROR(VALUE(IF(VLOOKUP($A59,数出表_Excel!$A$6:$T$150,COLUMN()/2+1,FALSE)=0,"",VLOOKUP($A59,数出表_Excel!$A$6:$T$150,COLUMN()/2+1,FALSE))),"")</f>
        <v/>
      </c>
      <c r="AE59" s="80"/>
      <c r="AF59" s="84" t="str">
        <f ca="1">IFERROR(VALUE(IF(VLOOKUP($A59,数出表_Excel!$A$6:$T$150,COLUMN()/2+1,FALSE)=0,"",VLOOKUP($A59,数出表_Excel!$A$6:$T$150,COLUMN()/2+1,FALSE))),"")</f>
        <v/>
      </c>
      <c r="AG59" s="80"/>
      <c r="AH59" s="84" t="str">
        <f ca="1">IFERROR(VALUE(IF(VLOOKUP($A59,数出表_Excel!$A$6:$T$150,COLUMN()/2+1,FALSE)=0,"",VLOOKUP($A59,数出表_Excel!$A$6:$T$150,COLUMN()/2+1,FALSE))),"")</f>
        <v/>
      </c>
      <c r="AI59" s="118"/>
      <c r="AJ59" s="85" t="str">
        <f ca="1">IFERROR(VALUE(IF(VLOOKUP($A59,数出表_Excel!$A$6:$T$150,COLUMN()/2+1,FALSE)=0,"",VLOOKUP($A59,数出表_Excel!$A$6:$T$150,COLUMN()/2+1,FALSE))),"")</f>
        <v/>
      </c>
      <c r="AK59" s="80"/>
      <c r="AL59" s="86" t="e">
        <f ca="1">IF(A59&lt;&gt;"",
IF(VLOOKUP($A59,数出表_Excel!$A$6:$T$150,COLUMN()/2+1,FALSE)=0,"",VLOOKUP($A59,数出表_Excel!$A$6:$T$150,COLUMN()/2+1,FALSE)),"")</f>
        <v>#N/A</v>
      </c>
      <c r="AM59" s="166" t="e">
        <f>数出表_Excel!V59</f>
        <v>#N/A</v>
      </c>
      <c r="AN59" s="167" t="e">
        <f>数出表_Excel!W59</f>
        <v>#N/A</v>
      </c>
    </row>
    <row r="60" spans="1:40" ht="16.2" customHeight="1">
      <c r="A60" s="126" t="e">
        <f t="array" aca="1" ref="A60" ca="1">IF(OR(COUNTIF(A58,"*10002*"),COUNTIF(A58,"")),"",INDEX(貼り付け用!$A1:$A200,MATCH(A58,貼り付け用!$A1:$A200,0)+2,0))</f>
        <v>#N/A</v>
      </c>
      <c r="B60" s="114" t="str">
        <f ca="1">IFERROR(VALUE(IF(VLOOKUP($A60,数出表_Excel!$A$6:$T$150,COLUMN()/2+1,FALSE)=0,"",VLOOKUP($A60,数出表_Excel!$A$6:$T$150,COLUMN()/2+1,FALSE))),"")</f>
        <v/>
      </c>
      <c r="C60" s="79"/>
      <c r="D60" s="114" t="str">
        <f ca="1">IFERROR(VALUE(IF(VLOOKUP($A60,数出表_Excel!$A$6:$T$150,COLUMN()/2+1,FALSE)=0,"",VLOOKUP($A60,数出表_Excel!$A$6:$T$150,COLUMN()/2+1,FALSE))),"")</f>
        <v/>
      </c>
      <c r="E60" s="79"/>
      <c r="F60" s="116" t="str">
        <f ca="1">IFERROR(VALUE(IF(VLOOKUP($A60,数出表_Excel!$A$6:$T$150,COLUMN()/2+1,FALSE)=0,"",VLOOKUP($A60,数出表_Excel!$A$6:$T$150,COLUMN()/2+1,FALSE))),"")</f>
        <v/>
      </c>
      <c r="G60" s="79"/>
      <c r="H60" s="114" t="str">
        <f ca="1">IFERROR(VALUE(IF(VLOOKUP($A60,数出表_Excel!$A$6:$T$150,COLUMN()/2+1,FALSE)=0,"",VLOOKUP($A60,数出表_Excel!$A$6:$T$150,COLUMN()/2+1,FALSE))),"")</f>
        <v/>
      </c>
      <c r="I60" s="79"/>
      <c r="J60" s="114" t="str">
        <f ca="1">IFERROR(VALUE(IF(VLOOKUP($A60,数出表_Excel!$A$6:$T$150,COLUMN()/2+1,FALSE)=0,"",VLOOKUP($A60,数出表_Excel!$A$6:$T$150,COLUMN()/2+1,FALSE))),"")</f>
        <v/>
      </c>
      <c r="K60" s="79"/>
      <c r="L60" s="116" t="str">
        <f ca="1">IFERROR(VALUE(IF(VLOOKUP($A60,数出表_Excel!$A$6:$T$150,COLUMN()/2+1,FALSE)=0,"",VLOOKUP($A60,数出表_Excel!$A$6:$T$150,COLUMN()/2+1,FALSE))),"")</f>
        <v/>
      </c>
      <c r="M60" s="79"/>
      <c r="N60" s="114" t="str">
        <f ca="1">IFERROR(VALUE(IF(VLOOKUP($A60,数出表_Excel!$A$6:$T$150,COLUMN()/2+1,FALSE)=0,"",VLOOKUP($A60,数出表_Excel!$A$6:$T$150,COLUMN()/2+1,FALSE))),"")</f>
        <v/>
      </c>
      <c r="O60" s="79"/>
      <c r="P60" s="114" t="str">
        <f ca="1">IFERROR(VALUE(IF(VLOOKUP($A60,数出表_Excel!$A$6:$T$150,COLUMN()/2+1,FALSE)=0,"",VLOOKUP($A60,数出表_Excel!$A$6:$T$150,COLUMN()/2+1,FALSE))),"")</f>
        <v/>
      </c>
      <c r="Q60" s="79"/>
      <c r="R60" s="114" t="str">
        <f ca="1">IFERROR(VALUE(IF(VLOOKUP($A60,数出表_Excel!$A$6:$T$150,COLUMN()/2+1,FALSE)=0,"",VLOOKUP($A60,数出表_Excel!$A$6:$T$150,COLUMN()/2+1,FALSE))),"")</f>
        <v/>
      </c>
      <c r="S60" s="79"/>
      <c r="T60" s="114" t="str">
        <f ca="1">IFERROR(VALUE(IF(VLOOKUP($A60,数出表_Excel!$A$6:$T$150,COLUMN()/2+1,FALSE)=0,"",VLOOKUP($A60,数出表_Excel!$A$6:$T$150,COLUMN()/2+1,FALSE))),"")</f>
        <v/>
      </c>
      <c r="U60" s="79"/>
      <c r="V60" s="116" t="str">
        <f ca="1">IFERROR(VALUE(IF(VLOOKUP($A60,数出表_Excel!$A$6:$T$150,COLUMN()/2+1,FALSE)=0,"",VLOOKUP($A60,数出表_Excel!$A$6:$T$150,COLUMN()/2+1,FALSE))),"")</f>
        <v/>
      </c>
      <c r="W60" s="79"/>
      <c r="X60" s="116" t="str">
        <f ca="1">IFERROR(VALUE(IF(VLOOKUP($A60,数出表_Excel!$A$6:$T$150,COLUMN()/2+1,FALSE)=0,"",VLOOKUP($A60,数出表_Excel!$A$6:$T$150,COLUMN()/2+1,FALSE))),"")</f>
        <v/>
      </c>
      <c r="Y60" s="79"/>
      <c r="Z60" s="116" t="str">
        <f ca="1">IFERROR(VALUE(IF(VLOOKUP($A60,数出表_Excel!$A$6:$T$150,COLUMN()/2+1,FALSE)=0,"",VLOOKUP($A60,数出表_Excel!$A$6:$T$150,COLUMN()/2+1,FALSE))),"")</f>
        <v/>
      </c>
      <c r="AA60" s="117"/>
      <c r="AB60" s="115" t="str">
        <f ca="1">IFERROR(VALUE(IF(VLOOKUP($A60,数出表_Excel!$A$6:$T$150,COLUMN()/2+1,FALSE)=0,"",VLOOKUP($A60,数出表_Excel!$A$6:$T$150,COLUMN()/2+1,FALSE))),"")</f>
        <v/>
      </c>
      <c r="AC60" s="79"/>
      <c r="AD60" s="116" t="str">
        <f ca="1">IFERROR(VALUE(IF(VLOOKUP($A60,数出表_Excel!$A$6:$T$150,COLUMN()/2+1,FALSE)=0,"",VLOOKUP($A60,数出表_Excel!$A$6:$T$150,COLUMN()/2+1,FALSE))),"")</f>
        <v/>
      </c>
      <c r="AE60" s="79"/>
      <c r="AF60" s="116" t="str">
        <f ca="1">IFERROR(VALUE(IF(VLOOKUP($A60,数出表_Excel!$A$6:$T$150,COLUMN()/2+1,FALSE)=0,"",VLOOKUP($A60,数出表_Excel!$A$6:$T$150,COLUMN()/2+1,FALSE))),"")</f>
        <v/>
      </c>
      <c r="AG60" s="79"/>
      <c r="AH60" s="116" t="str">
        <f ca="1">IFERROR(VALUE(IF(VLOOKUP($A60,数出表_Excel!$A$6:$T$150,COLUMN()/2+1,FALSE)=0,"",VLOOKUP($A60,数出表_Excel!$A$6:$T$150,COLUMN()/2+1,FALSE))),"")</f>
        <v/>
      </c>
      <c r="AI60" s="117"/>
      <c r="AJ60" s="115" t="str">
        <f ca="1">IFERROR(VALUE(IF(VLOOKUP($A60,数出表_Excel!$A$6:$T$150,COLUMN()/2+1,FALSE)=0,"",VLOOKUP($A60,数出表_Excel!$A$6:$T$150,COLUMN()/2+1,FALSE))),"")</f>
        <v/>
      </c>
      <c r="AK60" s="79"/>
      <c r="AL60" s="83" t="e">
        <f ca="1">IF(A60&lt;&gt;"",
IF(VLOOKUP($A60,数出表_Excel!$A$6:$T$150,COLUMN()/2+1,FALSE)=0,"",VLOOKUP($A60,数出表_Excel!$A$6:$T$150,COLUMN()/2+1,FALSE)),"")</f>
        <v>#N/A</v>
      </c>
      <c r="AM60" s="164" t="e">
        <f>数出表_Excel!V60</f>
        <v>#N/A</v>
      </c>
      <c r="AN60" s="165" t="e">
        <f>数出表_Excel!W60</f>
        <v>#N/A</v>
      </c>
    </row>
    <row r="61" spans="1:40" ht="16.2" customHeight="1">
      <c r="A61" s="127" t="e">
        <f t="array" aca="1" ref="A61" ca="1">IF(OR(COUNTIF(A59,"*1000*"),COUNTIF(A59,"")),"",INDEX(貼り付け用!$A1:$A200,MATCH(A59,貼り付け用!$A1:$A200,0)+2,0))</f>
        <v>#N/A</v>
      </c>
      <c r="B61" s="80" t="str">
        <f ca="1">IFERROR(VALUE(IF(VLOOKUP($A61,数出表_Excel!$A$6:$T$150,COLUMN()/2+1,FALSE)=0,"",VLOOKUP($A61,数出表_Excel!$A$6:$T$150,COLUMN()/2+1,FALSE))),"")</f>
        <v/>
      </c>
      <c r="C61" s="80"/>
      <c r="D61" s="80" t="str">
        <f ca="1">IFERROR(VALUE(IF(VLOOKUP($A61,数出表_Excel!$A$6:$T$150,COLUMN()/2+1,FALSE)=0,"",VLOOKUP($A61,数出表_Excel!$A$6:$T$150,COLUMN()/2+1,FALSE))),"")</f>
        <v/>
      </c>
      <c r="E61" s="80"/>
      <c r="F61" s="84" t="str">
        <f ca="1">IFERROR(VALUE(IF(VLOOKUP($A61,数出表_Excel!$A$6:$T$150,COLUMN()/2+1,FALSE)=0,"",VLOOKUP($A61,数出表_Excel!$A$6:$T$150,COLUMN()/2+1,FALSE))),"")</f>
        <v/>
      </c>
      <c r="G61" s="80"/>
      <c r="H61" s="80" t="str">
        <f ca="1">IFERROR(VALUE(IF(VLOOKUP($A61,数出表_Excel!$A$6:$T$150,COLUMN()/2+1,FALSE)=0,"",VLOOKUP($A61,数出表_Excel!$A$6:$T$150,COLUMN()/2+1,FALSE))),"")</f>
        <v/>
      </c>
      <c r="I61" s="80"/>
      <c r="J61" s="80" t="str">
        <f ca="1">IFERROR(VALUE(IF(VLOOKUP($A61,数出表_Excel!$A$6:$T$150,COLUMN()/2+1,FALSE)=0,"",VLOOKUP($A61,数出表_Excel!$A$6:$T$150,COLUMN()/2+1,FALSE))),"")</f>
        <v/>
      </c>
      <c r="K61" s="80"/>
      <c r="L61" s="84" t="str">
        <f ca="1">IFERROR(VALUE(IF(VLOOKUP($A61,数出表_Excel!$A$6:$T$150,COLUMN()/2+1,FALSE)=0,"",VLOOKUP($A61,数出表_Excel!$A$6:$T$150,COLUMN()/2+1,FALSE))),"")</f>
        <v/>
      </c>
      <c r="M61" s="80"/>
      <c r="N61" s="80" t="str">
        <f ca="1">IFERROR(VALUE(IF(VLOOKUP($A61,数出表_Excel!$A$6:$T$150,COLUMN()/2+1,FALSE)=0,"",VLOOKUP($A61,数出表_Excel!$A$6:$T$150,COLUMN()/2+1,FALSE))),"")</f>
        <v/>
      </c>
      <c r="O61" s="80"/>
      <c r="P61" s="80" t="str">
        <f ca="1">IFERROR(VALUE(IF(VLOOKUP($A61,数出表_Excel!$A$6:$T$150,COLUMN()/2+1,FALSE)=0,"",VLOOKUP($A61,数出表_Excel!$A$6:$T$150,COLUMN()/2+1,FALSE))),"")</f>
        <v/>
      </c>
      <c r="Q61" s="80"/>
      <c r="R61" s="80" t="str">
        <f ca="1">IFERROR(VALUE(IF(VLOOKUP($A61,数出表_Excel!$A$6:$T$150,COLUMN()/2+1,FALSE)=0,"",VLOOKUP($A61,数出表_Excel!$A$6:$T$150,COLUMN()/2+1,FALSE))),"")</f>
        <v/>
      </c>
      <c r="S61" s="80"/>
      <c r="T61" s="80" t="str">
        <f ca="1">IFERROR(VALUE(IF(VLOOKUP($A61,数出表_Excel!$A$6:$T$150,COLUMN()/2+1,FALSE)=0,"",VLOOKUP($A61,数出表_Excel!$A$6:$T$150,COLUMN()/2+1,FALSE))),"")</f>
        <v/>
      </c>
      <c r="U61" s="80"/>
      <c r="V61" s="84" t="str">
        <f ca="1">IFERROR(VALUE(IF(VLOOKUP($A61,数出表_Excel!$A$6:$T$150,COLUMN()/2+1,FALSE)=0,"",VLOOKUP($A61,数出表_Excel!$A$6:$T$150,COLUMN()/2+1,FALSE))),"")</f>
        <v/>
      </c>
      <c r="W61" s="80"/>
      <c r="X61" s="84" t="str">
        <f ca="1">IFERROR(VALUE(IF(VLOOKUP($A61,数出表_Excel!$A$6:$T$150,COLUMN()/2+1,FALSE)=0,"",VLOOKUP($A61,数出表_Excel!$A$6:$T$150,COLUMN()/2+1,FALSE))),"")</f>
        <v/>
      </c>
      <c r="Y61" s="80"/>
      <c r="Z61" s="84" t="str">
        <f ca="1">IFERROR(VALUE(IF(VLOOKUP($A61,数出表_Excel!$A$6:$T$150,COLUMN()/2+1,FALSE)=0,"",VLOOKUP($A61,数出表_Excel!$A$6:$T$150,COLUMN()/2+1,FALSE))),"")</f>
        <v/>
      </c>
      <c r="AA61" s="118"/>
      <c r="AB61" s="85" t="str">
        <f ca="1">IFERROR(VALUE(IF(VLOOKUP($A61,数出表_Excel!$A$6:$T$150,COLUMN()/2+1,FALSE)=0,"",VLOOKUP($A61,数出表_Excel!$A$6:$T$150,COLUMN()/2+1,FALSE))),"")</f>
        <v/>
      </c>
      <c r="AC61" s="80"/>
      <c r="AD61" s="84" t="str">
        <f ca="1">IFERROR(VALUE(IF(VLOOKUP($A61,数出表_Excel!$A$6:$T$150,COLUMN()/2+1,FALSE)=0,"",VLOOKUP($A61,数出表_Excel!$A$6:$T$150,COLUMN()/2+1,FALSE))),"")</f>
        <v/>
      </c>
      <c r="AE61" s="80"/>
      <c r="AF61" s="84" t="str">
        <f ca="1">IFERROR(VALUE(IF(VLOOKUP($A61,数出表_Excel!$A$6:$T$150,COLUMN()/2+1,FALSE)=0,"",VLOOKUP($A61,数出表_Excel!$A$6:$T$150,COLUMN()/2+1,FALSE))),"")</f>
        <v/>
      </c>
      <c r="AG61" s="80"/>
      <c r="AH61" s="84" t="str">
        <f ca="1">IFERROR(VALUE(IF(VLOOKUP($A61,数出表_Excel!$A$6:$T$150,COLUMN()/2+1,FALSE)=0,"",VLOOKUP($A61,数出表_Excel!$A$6:$T$150,COLUMN()/2+1,FALSE))),"")</f>
        <v/>
      </c>
      <c r="AI61" s="118"/>
      <c r="AJ61" s="85" t="str">
        <f ca="1">IFERROR(VALUE(IF(VLOOKUP($A61,数出表_Excel!$A$6:$T$150,COLUMN()/2+1,FALSE)=0,"",VLOOKUP($A61,数出表_Excel!$A$6:$T$150,COLUMN()/2+1,FALSE))),"")</f>
        <v/>
      </c>
      <c r="AK61" s="80"/>
      <c r="AL61" s="86" t="e">
        <f ca="1">IF(A61&lt;&gt;"",
IF(VLOOKUP($A61,数出表_Excel!$A$6:$T$150,COLUMN()/2+1,FALSE)=0,"",VLOOKUP($A61,数出表_Excel!$A$6:$T$150,COLUMN()/2+1,FALSE)),"")</f>
        <v>#N/A</v>
      </c>
      <c r="AM61" s="166" t="e">
        <f>数出表_Excel!V61</f>
        <v>#N/A</v>
      </c>
      <c r="AN61" s="167" t="e">
        <f>数出表_Excel!W61</f>
        <v>#N/A</v>
      </c>
    </row>
    <row r="62" spans="1:40" ht="16.2" customHeight="1">
      <c r="A62" s="126" t="e">
        <f t="array" aca="1" ref="A62" ca="1">IF(OR(COUNTIF(A60,"*10002*"),COUNTIF(A60,"")),"",INDEX(貼り付け用!$A1:$A200,MATCH(A60,貼り付け用!$A1:$A200,0)+2,0))</f>
        <v>#N/A</v>
      </c>
      <c r="B62" s="114" t="str">
        <f ca="1">IFERROR(VALUE(IF(VLOOKUP($A62,数出表_Excel!$A$6:$T$150,COLUMN()/2+1,FALSE)=0,"",VLOOKUP($A62,数出表_Excel!$A$6:$T$150,COLUMN()/2+1,FALSE))),"")</f>
        <v/>
      </c>
      <c r="C62" s="79"/>
      <c r="D62" s="114" t="str">
        <f ca="1">IFERROR(VALUE(IF(VLOOKUP($A62,数出表_Excel!$A$6:$T$150,COLUMN()/2+1,FALSE)=0,"",VLOOKUP($A62,数出表_Excel!$A$6:$T$150,COLUMN()/2+1,FALSE))),"")</f>
        <v/>
      </c>
      <c r="E62" s="79"/>
      <c r="F62" s="116" t="str">
        <f ca="1">IFERROR(VALUE(IF(VLOOKUP($A62,数出表_Excel!$A$6:$T$150,COLUMN()/2+1,FALSE)=0,"",VLOOKUP($A62,数出表_Excel!$A$6:$T$150,COLUMN()/2+1,FALSE))),"")</f>
        <v/>
      </c>
      <c r="G62" s="79"/>
      <c r="H62" s="114" t="str">
        <f ca="1">IFERROR(VALUE(IF(VLOOKUP($A62,数出表_Excel!$A$6:$T$150,COLUMN()/2+1,FALSE)=0,"",VLOOKUP($A62,数出表_Excel!$A$6:$T$150,COLUMN()/2+1,FALSE))),"")</f>
        <v/>
      </c>
      <c r="I62" s="79"/>
      <c r="J62" s="114" t="str">
        <f ca="1">IFERROR(VALUE(IF(VLOOKUP($A62,数出表_Excel!$A$6:$T$150,COLUMN()/2+1,FALSE)=0,"",VLOOKUP($A62,数出表_Excel!$A$6:$T$150,COLUMN()/2+1,FALSE))),"")</f>
        <v/>
      </c>
      <c r="K62" s="79"/>
      <c r="L62" s="116" t="str">
        <f ca="1">IFERROR(VALUE(IF(VLOOKUP($A62,数出表_Excel!$A$6:$T$150,COLUMN()/2+1,FALSE)=0,"",VLOOKUP($A62,数出表_Excel!$A$6:$T$150,COLUMN()/2+1,FALSE))),"")</f>
        <v/>
      </c>
      <c r="M62" s="79"/>
      <c r="N62" s="114" t="str">
        <f ca="1">IFERROR(VALUE(IF(VLOOKUP($A62,数出表_Excel!$A$6:$T$150,COLUMN()/2+1,FALSE)=0,"",VLOOKUP($A62,数出表_Excel!$A$6:$T$150,COLUMN()/2+1,FALSE))),"")</f>
        <v/>
      </c>
      <c r="O62" s="79"/>
      <c r="P62" s="114" t="str">
        <f ca="1">IFERROR(VALUE(IF(VLOOKUP($A62,数出表_Excel!$A$6:$T$150,COLUMN()/2+1,FALSE)=0,"",VLOOKUP($A62,数出表_Excel!$A$6:$T$150,COLUMN()/2+1,FALSE))),"")</f>
        <v/>
      </c>
      <c r="Q62" s="79"/>
      <c r="R62" s="114" t="str">
        <f ca="1">IFERROR(VALUE(IF(VLOOKUP($A62,数出表_Excel!$A$6:$T$150,COLUMN()/2+1,FALSE)=0,"",VLOOKUP($A62,数出表_Excel!$A$6:$T$150,COLUMN()/2+1,FALSE))),"")</f>
        <v/>
      </c>
      <c r="S62" s="79"/>
      <c r="T62" s="114" t="str">
        <f ca="1">IFERROR(VALUE(IF(VLOOKUP($A62,数出表_Excel!$A$6:$T$150,COLUMN()/2+1,FALSE)=0,"",VLOOKUP($A62,数出表_Excel!$A$6:$T$150,COLUMN()/2+1,FALSE))),"")</f>
        <v/>
      </c>
      <c r="U62" s="79"/>
      <c r="V62" s="116" t="str">
        <f ca="1">IFERROR(VALUE(IF(VLOOKUP($A62,数出表_Excel!$A$6:$T$150,COLUMN()/2+1,FALSE)=0,"",VLOOKUP($A62,数出表_Excel!$A$6:$T$150,COLUMN()/2+1,FALSE))),"")</f>
        <v/>
      </c>
      <c r="W62" s="79"/>
      <c r="X62" s="116" t="str">
        <f ca="1">IFERROR(VALUE(IF(VLOOKUP($A62,数出表_Excel!$A$6:$T$150,COLUMN()/2+1,FALSE)=0,"",VLOOKUP($A62,数出表_Excel!$A$6:$T$150,COLUMN()/2+1,FALSE))),"")</f>
        <v/>
      </c>
      <c r="Y62" s="79"/>
      <c r="Z62" s="116" t="str">
        <f ca="1">IFERROR(VALUE(IF(VLOOKUP($A62,数出表_Excel!$A$6:$T$150,COLUMN()/2+1,FALSE)=0,"",VLOOKUP($A62,数出表_Excel!$A$6:$T$150,COLUMN()/2+1,FALSE))),"")</f>
        <v/>
      </c>
      <c r="AA62" s="117"/>
      <c r="AB62" s="115" t="str">
        <f ca="1">IFERROR(VALUE(IF(VLOOKUP($A62,数出表_Excel!$A$6:$T$150,COLUMN()/2+1,FALSE)=0,"",VLOOKUP($A62,数出表_Excel!$A$6:$T$150,COLUMN()/2+1,FALSE))),"")</f>
        <v/>
      </c>
      <c r="AC62" s="79"/>
      <c r="AD62" s="116" t="str">
        <f ca="1">IFERROR(VALUE(IF(VLOOKUP($A62,数出表_Excel!$A$6:$T$150,COLUMN()/2+1,FALSE)=0,"",VLOOKUP($A62,数出表_Excel!$A$6:$T$150,COLUMN()/2+1,FALSE))),"")</f>
        <v/>
      </c>
      <c r="AE62" s="79"/>
      <c r="AF62" s="116" t="str">
        <f ca="1">IFERROR(VALUE(IF(VLOOKUP($A62,数出表_Excel!$A$6:$T$150,COLUMN()/2+1,FALSE)=0,"",VLOOKUP($A62,数出表_Excel!$A$6:$T$150,COLUMN()/2+1,FALSE))),"")</f>
        <v/>
      </c>
      <c r="AG62" s="79"/>
      <c r="AH62" s="116" t="str">
        <f ca="1">IFERROR(VALUE(IF(VLOOKUP($A62,数出表_Excel!$A$6:$T$150,COLUMN()/2+1,FALSE)=0,"",VLOOKUP($A62,数出表_Excel!$A$6:$T$150,COLUMN()/2+1,FALSE))),"")</f>
        <v/>
      </c>
      <c r="AI62" s="117"/>
      <c r="AJ62" s="115" t="str">
        <f ca="1">IFERROR(VALUE(IF(VLOOKUP($A62,数出表_Excel!$A$6:$T$150,COLUMN()/2+1,FALSE)=0,"",VLOOKUP($A62,数出表_Excel!$A$6:$T$150,COLUMN()/2+1,FALSE))),"")</f>
        <v/>
      </c>
      <c r="AK62" s="79"/>
      <c r="AL62" s="83" t="e">
        <f ca="1">IF(A62&lt;&gt;"",
IF(VLOOKUP($A62,数出表_Excel!$A$6:$T$150,COLUMN()/2+1,FALSE)=0,"",VLOOKUP($A62,数出表_Excel!$A$6:$T$150,COLUMN()/2+1,FALSE)),"")</f>
        <v>#N/A</v>
      </c>
      <c r="AM62" s="164" t="e">
        <f>数出表_Excel!V62</f>
        <v>#N/A</v>
      </c>
      <c r="AN62" s="165" t="e">
        <f>数出表_Excel!W62</f>
        <v>#N/A</v>
      </c>
    </row>
    <row r="63" spans="1:40" ht="16.2" customHeight="1">
      <c r="A63" s="127" t="e">
        <f t="array" aca="1" ref="A63" ca="1">IF(OR(COUNTIF(A61,"*1000*"),COUNTIF(A61,"")),"",INDEX(貼り付け用!$A1:$A200,MATCH(A61,貼り付け用!$A1:$A200,0)+2,0))</f>
        <v>#N/A</v>
      </c>
      <c r="B63" s="80" t="str">
        <f ca="1">IFERROR(VALUE(IF(VLOOKUP($A63,数出表_Excel!$A$6:$T$150,COLUMN()/2+1,FALSE)=0,"",VLOOKUP($A63,数出表_Excel!$A$6:$T$150,COLUMN()/2+1,FALSE))),"")</f>
        <v/>
      </c>
      <c r="C63" s="80"/>
      <c r="D63" s="80" t="str">
        <f ca="1">IFERROR(VALUE(IF(VLOOKUP($A63,数出表_Excel!$A$6:$T$150,COLUMN()/2+1,FALSE)=0,"",VLOOKUP($A63,数出表_Excel!$A$6:$T$150,COLUMN()/2+1,FALSE))),"")</f>
        <v/>
      </c>
      <c r="E63" s="80"/>
      <c r="F63" s="84" t="str">
        <f ca="1">IFERROR(VALUE(IF(VLOOKUP($A63,数出表_Excel!$A$6:$T$150,COLUMN()/2+1,FALSE)=0,"",VLOOKUP($A63,数出表_Excel!$A$6:$T$150,COLUMN()/2+1,FALSE))),"")</f>
        <v/>
      </c>
      <c r="G63" s="80"/>
      <c r="H63" s="80" t="str">
        <f ca="1">IFERROR(VALUE(IF(VLOOKUP($A63,数出表_Excel!$A$6:$T$150,COLUMN()/2+1,FALSE)=0,"",VLOOKUP($A63,数出表_Excel!$A$6:$T$150,COLUMN()/2+1,FALSE))),"")</f>
        <v/>
      </c>
      <c r="I63" s="80"/>
      <c r="J63" s="80" t="str">
        <f ca="1">IFERROR(VALUE(IF(VLOOKUP($A63,数出表_Excel!$A$6:$T$150,COLUMN()/2+1,FALSE)=0,"",VLOOKUP($A63,数出表_Excel!$A$6:$T$150,COLUMN()/2+1,FALSE))),"")</f>
        <v/>
      </c>
      <c r="K63" s="80"/>
      <c r="L63" s="84" t="str">
        <f ca="1">IFERROR(VALUE(IF(VLOOKUP($A63,数出表_Excel!$A$6:$T$150,COLUMN()/2+1,FALSE)=0,"",VLOOKUP($A63,数出表_Excel!$A$6:$T$150,COLUMN()/2+1,FALSE))),"")</f>
        <v/>
      </c>
      <c r="M63" s="80"/>
      <c r="N63" s="80" t="str">
        <f ca="1">IFERROR(VALUE(IF(VLOOKUP($A63,数出表_Excel!$A$6:$T$150,COLUMN()/2+1,FALSE)=0,"",VLOOKUP($A63,数出表_Excel!$A$6:$T$150,COLUMN()/2+1,FALSE))),"")</f>
        <v/>
      </c>
      <c r="O63" s="80"/>
      <c r="P63" s="80" t="str">
        <f ca="1">IFERROR(VALUE(IF(VLOOKUP($A63,数出表_Excel!$A$6:$T$150,COLUMN()/2+1,FALSE)=0,"",VLOOKUP($A63,数出表_Excel!$A$6:$T$150,COLUMN()/2+1,FALSE))),"")</f>
        <v/>
      </c>
      <c r="Q63" s="80"/>
      <c r="R63" s="80" t="str">
        <f ca="1">IFERROR(VALUE(IF(VLOOKUP($A63,数出表_Excel!$A$6:$T$150,COLUMN()/2+1,FALSE)=0,"",VLOOKUP($A63,数出表_Excel!$A$6:$T$150,COLUMN()/2+1,FALSE))),"")</f>
        <v/>
      </c>
      <c r="S63" s="80"/>
      <c r="T63" s="80" t="str">
        <f ca="1">IFERROR(VALUE(IF(VLOOKUP($A63,数出表_Excel!$A$6:$T$150,COLUMN()/2+1,FALSE)=0,"",VLOOKUP($A63,数出表_Excel!$A$6:$T$150,COLUMN()/2+1,FALSE))),"")</f>
        <v/>
      </c>
      <c r="U63" s="80"/>
      <c r="V63" s="84" t="str">
        <f ca="1">IFERROR(VALUE(IF(VLOOKUP($A63,数出表_Excel!$A$6:$T$150,COLUMN()/2+1,FALSE)=0,"",VLOOKUP($A63,数出表_Excel!$A$6:$T$150,COLUMN()/2+1,FALSE))),"")</f>
        <v/>
      </c>
      <c r="W63" s="80"/>
      <c r="X63" s="84" t="str">
        <f ca="1">IFERROR(VALUE(IF(VLOOKUP($A63,数出表_Excel!$A$6:$T$150,COLUMN()/2+1,FALSE)=0,"",VLOOKUP($A63,数出表_Excel!$A$6:$T$150,COLUMN()/2+1,FALSE))),"")</f>
        <v/>
      </c>
      <c r="Y63" s="80"/>
      <c r="Z63" s="84" t="str">
        <f ca="1">IFERROR(VALUE(IF(VLOOKUP($A63,数出表_Excel!$A$6:$T$150,COLUMN()/2+1,FALSE)=0,"",VLOOKUP($A63,数出表_Excel!$A$6:$T$150,COLUMN()/2+1,FALSE))),"")</f>
        <v/>
      </c>
      <c r="AA63" s="118"/>
      <c r="AB63" s="85" t="str">
        <f ca="1">IFERROR(VALUE(IF(VLOOKUP($A63,数出表_Excel!$A$6:$T$150,COLUMN()/2+1,FALSE)=0,"",VLOOKUP($A63,数出表_Excel!$A$6:$T$150,COLUMN()/2+1,FALSE))),"")</f>
        <v/>
      </c>
      <c r="AC63" s="80"/>
      <c r="AD63" s="84" t="str">
        <f ca="1">IFERROR(VALUE(IF(VLOOKUP($A63,数出表_Excel!$A$6:$T$150,COLUMN()/2+1,FALSE)=0,"",VLOOKUP($A63,数出表_Excel!$A$6:$T$150,COLUMN()/2+1,FALSE))),"")</f>
        <v/>
      </c>
      <c r="AE63" s="80"/>
      <c r="AF63" s="84" t="str">
        <f ca="1">IFERROR(VALUE(IF(VLOOKUP($A63,数出表_Excel!$A$6:$T$150,COLUMN()/2+1,FALSE)=0,"",VLOOKUP($A63,数出表_Excel!$A$6:$T$150,COLUMN()/2+1,FALSE))),"")</f>
        <v/>
      </c>
      <c r="AG63" s="80"/>
      <c r="AH63" s="84" t="str">
        <f ca="1">IFERROR(VALUE(IF(VLOOKUP($A63,数出表_Excel!$A$6:$T$150,COLUMN()/2+1,FALSE)=0,"",VLOOKUP($A63,数出表_Excel!$A$6:$T$150,COLUMN()/2+1,FALSE))),"")</f>
        <v/>
      </c>
      <c r="AI63" s="118"/>
      <c r="AJ63" s="85" t="str">
        <f ca="1">IFERROR(VALUE(IF(VLOOKUP($A63,数出表_Excel!$A$6:$T$150,COLUMN()/2+1,FALSE)=0,"",VLOOKUP($A63,数出表_Excel!$A$6:$T$150,COLUMN()/2+1,FALSE))),"")</f>
        <v/>
      </c>
      <c r="AK63" s="80"/>
      <c r="AL63" s="86" t="e">
        <f ca="1">IF(A63&lt;&gt;"",
IF(VLOOKUP($A63,数出表_Excel!$A$6:$T$150,COLUMN()/2+1,FALSE)=0,"",VLOOKUP($A63,数出表_Excel!$A$6:$T$150,COLUMN()/2+1,FALSE)),"")</f>
        <v>#N/A</v>
      </c>
      <c r="AM63" s="166" t="e">
        <f>数出表_Excel!V63</f>
        <v>#N/A</v>
      </c>
      <c r="AN63" s="167" t="e">
        <f>数出表_Excel!W63</f>
        <v>#N/A</v>
      </c>
    </row>
    <row r="64" spans="1:40" ht="16.2" customHeight="1">
      <c r="A64" s="126" t="e">
        <f t="array" aca="1" ref="A64" ca="1">IF(OR(COUNTIF(A62,"*10002*"),COUNTIF(A62,"")),"",INDEX(貼り付け用!$A1:$A200,MATCH(A62,貼り付け用!$A1:$A200,0)+2,0))</f>
        <v>#N/A</v>
      </c>
      <c r="B64" s="114" t="str">
        <f ca="1">IFERROR(VALUE(IF(VLOOKUP($A64,数出表_Excel!$A$6:$T$150,COLUMN()/2+1,FALSE)=0,"",VLOOKUP($A64,数出表_Excel!$A$6:$T$150,COLUMN()/2+1,FALSE))),"")</f>
        <v/>
      </c>
      <c r="C64" s="79"/>
      <c r="D64" s="114" t="str">
        <f ca="1">IFERROR(VALUE(IF(VLOOKUP($A64,数出表_Excel!$A$6:$T$150,COLUMN()/2+1,FALSE)=0,"",VLOOKUP($A64,数出表_Excel!$A$6:$T$150,COLUMN()/2+1,FALSE))),"")</f>
        <v/>
      </c>
      <c r="E64" s="79"/>
      <c r="F64" s="116" t="str">
        <f ca="1">IFERROR(VALUE(IF(VLOOKUP($A64,数出表_Excel!$A$6:$T$150,COLUMN()/2+1,FALSE)=0,"",VLOOKUP($A64,数出表_Excel!$A$6:$T$150,COLUMN()/2+1,FALSE))),"")</f>
        <v/>
      </c>
      <c r="G64" s="79"/>
      <c r="H64" s="114" t="str">
        <f ca="1">IFERROR(VALUE(IF(VLOOKUP($A64,数出表_Excel!$A$6:$T$150,COLUMN()/2+1,FALSE)=0,"",VLOOKUP($A64,数出表_Excel!$A$6:$T$150,COLUMN()/2+1,FALSE))),"")</f>
        <v/>
      </c>
      <c r="I64" s="79"/>
      <c r="J64" s="114" t="str">
        <f ca="1">IFERROR(VALUE(IF(VLOOKUP($A64,数出表_Excel!$A$6:$T$150,COLUMN()/2+1,FALSE)=0,"",VLOOKUP($A64,数出表_Excel!$A$6:$T$150,COLUMN()/2+1,FALSE))),"")</f>
        <v/>
      </c>
      <c r="K64" s="79"/>
      <c r="L64" s="116" t="str">
        <f ca="1">IFERROR(VALUE(IF(VLOOKUP($A64,数出表_Excel!$A$6:$T$150,COLUMN()/2+1,FALSE)=0,"",VLOOKUP($A64,数出表_Excel!$A$6:$T$150,COLUMN()/2+1,FALSE))),"")</f>
        <v/>
      </c>
      <c r="M64" s="79"/>
      <c r="N64" s="114" t="str">
        <f ca="1">IFERROR(VALUE(IF(VLOOKUP($A64,数出表_Excel!$A$6:$T$150,COLUMN()/2+1,FALSE)=0,"",VLOOKUP($A64,数出表_Excel!$A$6:$T$150,COLUMN()/2+1,FALSE))),"")</f>
        <v/>
      </c>
      <c r="O64" s="79"/>
      <c r="P64" s="114" t="str">
        <f ca="1">IFERROR(VALUE(IF(VLOOKUP($A64,数出表_Excel!$A$6:$T$150,COLUMN()/2+1,FALSE)=0,"",VLOOKUP($A64,数出表_Excel!$A$6:$T$150,COLUMN()/2+1,FALSE))),"")</f>
        <v/>
      </c>
      <c r="Q64" s="79"/>
      <c r="R64" s="114" t="str">
        <f ca="1">IFERROR(VALUE(IF(VLOOKUP($A64,数出表_Excel!$A$6:$T$150,COLUMN()/2+1,FALSE)=0,"",VLOOKUP($A64,数出表_Excel!$A$6:$T$150,COLUMN()/2+1,FALSE))),"")</f>
        <v/>
      </c>
      <c r="S64" s="79"/>
      <c r="T64" s="114" t="str">
        <f ca="1">IFERROR(VALUE(IF(VLOOKUP($A64,数出表_Excel!$A$6:$T$150,COLUMN()/2+1,FALSE)=0,"",VLOOKUP($A64,数出表_Excel!$A$6:$T$150,COLUMN()/2+1,FALSE))),"")</f>
        <v/>
      </c>
      <c r="U64" s="79"/>
      <c r="V64" s="116" t="str">
        <f ca="1">IFERROR(VALUE(IF(VLOOKUP($A64,数出表_Excel!$A$6:$T$150,COLUMN()/2+1,FALSE)=0,"",VLOOKUP($A64,数出表_Excel!$A$6:$T$150,COLUMN()/2+1,FALSE))),"")</f>
        <v/>
      </c>
      <c r="W64" s="79"/>
      <c r="X64" s="116" t="str">
        <f ca="1">IFERROR(VALUE(IF(VLOOKUP($A64,数出表_Excel!$A$6:$T$150,COLUMN()/2+1,FALSE)=0,"",VLOOKUP($A64,数出表_Excel!$A$6:$T$150,COLUMN()/2+1,FALSE))),"")</f>
        <v/>
      </c>
      <c r="Y64" s="79"/>
      <c r="Z64" s="116" t="str">
        <f ca="1">IFERROR(VALUE(IF(VLOOKUP($A64,数出表_Excel!$A$6:$T$150,COLUMN()/2+1,FALSE)=0,"",VLOOKUP($A64,数出表_Excel!$A$6:$T$150,COLUMN()/2+1,FALSE))),"")</f>
        <v/>
      </c>
      <c r="AA64" s="117"/>
      <c r="AB64" s="115" t="str">
        <f ca="1">IFERROR(VALUE(IF(VLOOKUP($A64,数出表_Excel!$A$6:$T$150,COLUMN()/2+1,FALSE)=0,"",VLOOKUP($A64,数出表_Excel!$A$6:$T$150,COLUMN()/2+1,FALSE))),"")</f>
        <v/>
      </c>
      <c r="AC64" s="79"/>
      <c r="AD64" s="116" t="str">
        <f ca="1">IFERROR(VALUE(IF(VLOOKUP($A64,数出表_Excel!$A$6:$T$150,COLUMN()/2+1,FALSE)=0,"",VLOOKUP($A64,数出表_Excel!$A$6:$T$150,COLUMN()/2+1,FALSE))),"")</f>
        <v/>
      </c>
      <c r="AE64" s="79"/>
      <c r="AF64" s="116" t="str">
        <f ca="1">IFERROR(VALUE(IF(VLOOKUP($A64,数出表_Excel!$A$6:$T$150,COLUMN()/2+1,FALSE)=0,"",VLOOKUP($A64,数出表_Excel!$A$6:$T$150,COLUMN()/2+1,FALSE))),"")</f>
        <v/>
      </c>
      <c r="AG64" s="79"/>
      <c r="AH64" s="116" t="str">
        <f ca="1">IFERROR(VALUE(IF(VLOOKUP($A64,数出表_Excel!$A$6:$T$150,COLUMN()/2+1,FALSE)=0,"",VLOOKUP($A64,数出表_Excel!$A$6:$T$150,COLUMN()/2+1,FALSE))),"")</f>
        <v/>
      </c>
      <c r="AI64" s="117"/>
      <c r="AJ64" s="115" t="str">
        <f ca="1">IFERROR(VALUE(IF(VLOOKUP($A64,数出表_Excel!$A$6:$T$150,COLUMN()/2+1,FALSE)=0,"",VLOOKUP($A64,数出表_Excel!$A$6:$T$150,COLUMN()/2+1,FALSE))),"")</f>
        <v/>
      </c>
      <c r="AK64" s="79"/>
      <c r="AL64" s="83" t="e">
        <f ca="1">IF(A64&lt;&gt;"",
IF(VLOOKUP($A64,数出表_Excel!$A$6:$T$150,COLUMN()/2+1,FALSE)=0,"",VLOOKUP($A64,数出表_Excel!$A$6:$T$150,COLUMN()/2+1,FALSE)),"")</f>
        <v>#N/A</v>
      </c>
      <c r="AM64" s="164" t="e">
        <f>数出表_Excel!V64</f>
        <v>#N/A</v>
      </c>
      <c r="AN64" s="165" t="e">
        <f>数出表_Excel!W64</f>
        <v>#N/A</v>
      </c>
    </row>
    <row r="65" spans="1:40" ht="16.2" customHeight="1">
      <c r="A65" s="127" t="e">
        <f t="array" aca="1" ref="A65" ca="1">IF(OR(COUNTIF(A63,"*1000*"),COUNTIF(A63,"")),"",INDEX(貼り付け用!$A1:$A200,MATCH(A63,貼り付け用!$A1:$A200,0)+2,0))</f>
        <v>#N/A</v>
      </c>
      <c r="B65" s="80" t="str">
        <f ca="1">IFERROR(VALUE(IF(VLOOKUP($A65,数出表_Excel!$A$6:$T$150,COLUMN()/2+1,FALSE)=0,"",VLOOKUP($A65,数出表_Excel!$A$6:$T$150,COLUMN()/2+1,FALSE))),"")</f>
        <v/>
      </c>
      <c r="C65" s="80"/>
      <c r="D65" s="80" t="str">
        <f ca="1">IFERROR(VALUE(IF(VLOOKUP($A65,数出表_Excel!$A$6:$T$150,COLUMN()/2+1,FALSE)=0,"",VLOOKUP($A65,数出表_Excel!$A$6:$T$150,COLUMN()/2+1,FALSE))),"")</f>
        <v/>
      </c>
      <c r="E65" s="80"/>
      <c r="F65" s="84" t="str">
        <f ca="1">IFERROR(VALUE(IF(VLOOKUP($A65,数出表_Excel!$A$6:$T$150,COLUMN()/2+1,FALSE)=0,"",VLOOKUP($A65,数出表_Excel!$A$6:$T$150,COLUMN()/2+1,FALSE))),"")</f>
        <v/>
      </c>
      <c r="G65" s="80"/>
      <c r="H65" s="80" t="str">
        <f ca="1">IFERROR(VALUE(IF(VLOOKUP($A65,数出表_Excel!$A$6:$T$150,COLUMN()/2+1,FALSE)=0,"",VLOOKUP($A65,数出表_Excel!$A$6:$T$150,COLUMN()/2+1,FALSE))),"")</f>
        <v/>
      </c>
      <c r="I65" s="80"/>
      <c r="J65" s="80" t="str">
        <f ca="1">IFERROR(VALUE(IF(VLOOKUP($A65,数出表_Excel!$A$6:$T$150,COLUMN()/2+1,FALSE)=0,"",VLOOKUP($A65,数出表_Excel!$A$6:$T$150,COLUMN()/2+1,FALSE))),"")</f>
        <v/>
      </c>
      <c r="K65" s="80"/>
      <c r="L65" s="84" t="str">
        <f ca="1">IFERROR(VALUE(IF(VLOOKUP($A65,数出表_Excel!$A$6:$T$150,COLUMN()/2+1,FALSE)=0,"",VLOOKUP($A65,数出表_Excel!$A$6:$T$150,COLUMN()/2+1,FALSE))),"")</f>
        <v/>
      </c>
      <c r="M65" s="80"/>
      <c r="N65" s="80" t="str">
        <f ca="1">IFERROR(VALUE(IF(VLOOKUP($A65,数出表_Excel!$A$6:$T$150,COLUMN()/2+1,FALSE)=0,"",VLOOKUP($A65,数出表_Excel!$A$6:$T$150,COLUMN()/2+1,FALSE))),"")</f>
        <v/>
      </c>
      <c r="O65" s="80"/>
      <c r="P65" s="80" t="str">
        <f ca="1">IFERROR(VALUE(IF(VLOOKUP($A65,数出表_Excel!$A$6:$T$150,COLUMN()/2+1,FALSE)=0,"",VLOOKUP($A65,数出表_Excel!$A$6:$T$150,COLUMN()/2+1,FALSE))),"")</f>
        <v/>
      </c>
      <c r="Q65" s="80"/>
      <c r="R65" s="80" t="str">
        <f ca="1">IFERROR(VALUE(IF(VLOOKUP($A65,数出表_Excel!$A$6:$T$150,COLUMN()/2+1,FALSE)=0,"",VLOOKUP($A65,数出表_Excel!$A$6:$T$150,COLUMN()/2+1,FALSE))),"")</f>
        <v/>
      </c>
      <c r="S65" s="80"/>
      <c r="T65" s="80" t="str">
        <f ca="1">IFERROR(VALUE(IF(VLOOKUP($A65,数出表_Excel!$A$6:$T$150,COLUMN()/2+1,FALSE)=0,"",VLOOKUP($A65,数出表_Excel!$A$6:$T$150,COLUMN()/2+1,FALSE))),"")</f>
        <v/>
      </c>
      <c r="U65" s="80"/>
      <c r="V65" s="84" t="str">
        <f ca="1">IFERROR(VALUE(IF(VLOOKUP($A65,数出表_Excel!$A$6:$T$150,COLUMN()/2+1,FALSE)=0,"",VLOOKUP($A65,数出表_Excel!$A$6:$T$150,COLUMN()/2+1,FALSE))),"")</f>
        <v/>
      </c>
      <c r="W65" s="80"/>
      <c r="X65" s="84" t="str">
        <f ca="1">IFERROR(VALUE(IF(VLOOKUP($A65,数出表_Excel!$A$6:$T$150,COLUMN()/2+1,FALSE)=0,"",VLOOKUP($A65,数出表_Excel!$A$6:$T$150,COLUMN()/2+1,FALSE))),"")</f>
        <v/>
      </c>
      <c r="Y65" s="80"/>
      <c r="Z65" s="84" t="str">
        <f ca="1">IFERROR(VALUE(IF(VLOOKUP($A65,数出表_Excel!$A$6:$T$150,COLUMN()/2+1,FALSE)=0,"",VLOOKUP($A65,数出表_Excel!$A$6:$T$150,COLUMN()/2+1,FALSE))),"")</f>
        <v/>
      </c>
      <c r="AA65" s="118"/>
      <c r="AB65" s="85" t="str">
        <f ca="1">IFERROR(VALUE(IF(VLOOKUP($A65,数出表_Excel!$A$6:$T$150,COLUMN()/2+1,FALSE)=0,"",VLOOKUP($A65,数出表_Excel!$A$6:$T$150,COLUMN()/2+1,FALSE))),"")</f>
        <v/>
      </c>
      <c r="AC65" s="80"/>
      <c r="AD65" s="84" t="str">
        <f ca="1">IFERROR(VALUE(IF(VLOOKUP($A65,数出表_Excel!$A$6:$T$150,COLUMN()/2+1,FALSE)=0,"",VLOOKUP($A65,数出表_Excel!$A$6:$T$150,COLUMN()/2+1,FALSE))),"")</f>
        <v/>
      </c>
      <c r="AE65" s="80"/>
      <c r="AF65" s="84" t="str">
        <f ca="1">IFERROR(VALUE(IF(VLOOKUP($A65,数出表_Excel!$A$6:$T$150,COLUMN()/2+1,FALSE)=0,"",VLOOKUP($A65,数出表_Excel!$A$6:$T$150,COLUMN()/2+1,FALSE))),"")</f>
        <v/>
      </c>
      <c r="AG65" s="80"/>
      <c r="AH65" s="84" t="str">
        <f ca="1">IFERROR(VALUE(IF(VLOOKUP($A65,数出表_Excel!$A$6:$T$150,COLUMN()/2+1,FALSE)=0,"",VLOOKUP($A65,数出表_Excel!$A$6:$T$150,COLUMN()/2+1,FALSE))),"")</f>
        <v/>
      </c>
      <c r="AI65" s="118"/>
      <c r="AJ65" s="85" t="str">
        <f ca="1">IFERROR(VALUE(IF(VLOOKUP($A65,数出表_Excel!$A$6:$T$150,COLUMN()/2+1,FALSE)=0,"",VLOOKUP($A65,数出表_Excel!$A$6:$T$150,COLUMN()/2+1,FALSE))),"")</f>
        <v/>
      </c>
      <c r="AK65" s="80"/>
      <c r="AL65" s="86" t="e">
        <f ca="1">IF(A65&lt;&gt;"",
IF(VLOOKUP($A65,数出表_Excel!$A$6:$T$150,COLUMN()/2+1,FALSE)=0,"",VLOOKUP($A65,数出表_Excel!$A$6:$T$150,COLUMN()/2+1,FALSE)),"")</f>
        <v>#N/A</v>
      </c>
      <c r="AM65" s="166" t="e">
        <f>数出表_Excel!V65</f>
        <v>#N/A</v>
      </c>
      <c r="AN65" s="167" t="e">
        <f>数出表_Excel!W65</f>
        <v>#N/A</v>
      </c>
    </row>
    <row r="66" spans="1:40" ht="16.2" customHeight="1">
      <c r="A66" s="126" t="e">
        <f t="array" aca="1" ref="A66" ca="1">IF(OR(COUNTIF(A64,"*10002*"),COUNTIF(A64,"")),"",INDEX(貼り付け用!$A1:$A200,MATCH(A64,貼り付け用!$A1:$A200,0)+2,0))</f>
        <v>#N/A</v>
      </c>
      <c r="B66" s="114" t="str">
        <f ca="1">IFERROR(VALUE(IF(VLOOKUP($A66,数出表_Excel!$A$6:$T$150,COLUMN()/2+1,FALSE)=0,"",VLOOKUP($A66,数出表_Excel!$A$6:$T$150,COLUMN()/2+1,FALSE))),"")</f>
        <v/>
      </c>
      <c r="C66" s="79"/>
      <c r="D66" s="114" t="str">
        <f ca="1">IFERROR(VALUE(IF(VLOOKUP($A66,数出表_Excel!$A$6:$T$150,COLUMN()/2+1,FALSE)=0,"",VLOOKUP($A66,数出表_Excel!$A$6:$T$150,COLUMN()/2+1,FALSE))),"")</f>
        <v/>
      </c>
      <c r="E66" s="79"/>
      <c r="F66" s="116" t="str">
        <f ca="1">IFERROR(VALUE(IF(VLOOKUP($A66,数出表_Excel!$A$6:$T$150,COLUMN()/2+1,FALSE)=0,"",VLOOKUP($A66,数出表_Excel!$A$6:$T$150,COLUMN()/2+1,FALSE))),"")</f>
        <v/>
      </c>
      <c r="G66" s="79"/>
      <c r="H66" s="114" t="str">
        <f ca="1">IFERROR(VALUE(IF(VLOOKUP($A66,数出表_Excel!$A$6:$T$150,COLUMN()/2+1,FALSE)=0,"",VLOOKUP($A66,数出表_Excel!$A$6:$T$150,COLUMN()/2+1,FALSE))),"")</f>
        <v/>
      </c>
      <c r="I66" s="79"/>
      <c r="J66" s="114" t="str">
        <f ca="1">IFERROR(VALUE(IF(VLOOKUP($A66,数出表_Excel!$A$6:$T$150,COLUMN()/2+1,FALSE)=0,"",VLOOKUP($A66,数出表_Excel!$A$6:$T$150,COLUMN()/2+1,FALSE))),"")</f>
        <v/>
      </c>
      <c r="K66" s="79"/>
      <c r="L66" s="116" t="str">
        <f ca="1">IFERROR(VALUE(IF(VLOOKUP($A66,数出表_Excel!$A$6:$T$150,COLUMN()/2+1,FALSE)=0,"",VLOOKUP($A66,数出表_Excel!$A$6:$T$150,COLUMN()/2+1,FALSE))),"")</f>
        <v/>
      </c>
      <c r="M66" s="79"/>
      <c r="N66" s="114" t="str">
        <f ca="1">IFERROR(VALUE(IF(VLOOKUP($A66,数出表_Excel!$A$6:$T$150,COLUMN()/2+1,FALSE)=0,"",VLOOKUP($A66,数出表_Excel!$A$6:$T$150,COLUMN()/2+1,FALSE))),"")</f>
        <v/>
      </c>
      <c r="O66" s="79"/>
      <c r="P66" s="114" t="str">
        <f ca="1">IFERROR(VALUE(IF(VLOOKUP($A66,数出表_Excel!$A$6:$T$150,COLUMN()/2+1,FALSE)=0,"",VLOOKUP($A66,数出表_Excel!$A$6:$T$150,COLUMN()/2+1,FALSE))),"")</f>
        <v/>
      </c>
      <c r="Q66" s="79"/>
      <c r="R66" s="114" t="str">
        <f ca="1">IFERROR(VALUE(IF(VLOOKUP($A66,数出表_Excel!$A$6:$T$150,COLUMN()/2+1,FALSE)=0,"",VLOOKUP($A66,数出表_Excel!$A$6:$T$150,COLUMN()/2+1,FALSE))),"")</f>
        <v/>
      </c>
      <c r="S66" s="79"/>
      <c r="T66" s="114" t="str">
        <f ca="1">IFERROR(VALUE(IF(VLOOKUP($A66,数出表_Excel!$A$6:$T$150,COLUMN()/2+1,FALSE)=0,"",VLOOKUP($A66,数出表_Excel!$A$6:$T$150,COLUMN()/2+1,FALSE))),"")</f>
        <v/>
      </c>
      <c r="U66" s="79"/>
      <c r="V66" s="116" t="str">
        <f ca="1">IFERROR(VALUE(IF(VLOOKUP($A66,数出表_Excel!$A$6:$T$150,COLUMN()/2+1,FALSE)=0,"",VLOOKUP($A66,数出表_Excel!$A$6:$T$150,COLUMN()/2+1,FALSE))),"")</f>
        <v/>
      </c>
      <c r="W66" s="79"/>
      <c r="X66" s="116" t="str">
        <f ca="1">IFERROR(VALUE(IF(VLOOKUP($A66,数出表_Excel!$A$6:$T$150,COLUMN()/2+1,FALSE)=0,"",VLOOKUP($A66,数出表_Excel!$A$6:$T$150,COLUMN()/2+1,FALSE))),"")</f>
        <v/>
      </c>
      <c r="Y66" s="79"/>
      <c r="Z66" s="116" t="str">
        <f ca="1">IFERROR(VALUE(IF(VLOOKUP($A66,数出表_Excel!$A$6:$T$150,COLUMN()/2+1,FALSE)=0,"",VLOOKUP($A66,数出表_Excel!$A$6:$T$150,COLUMN()/2+1,FALSE))),"")</f>
        <v/>
      </c>
      <c r="AA66" s="117"/>
      <c r="AB66" s="115" t="str">
        <f ca="1">IFERROR(VALUE(IF(VLOOKUP($A66,数出表_Excel!$A$6:$T$150,COLUMN()/2+1,FALSE)=0,"",VLOOKUP($A66,数出表_Excel!$A$6:$T$150,COLUMN()/2+1,FALSE))),"")</f>
        <v/>
      </c>
      <c r="AC66" s="79"/>
      <c r="AD66" s="116" t="str">
        <f ca="1">IFERROR(VALUE(IF(VLOOKUP($A66,数出表_Excel!$A$6:$T$150,COLUMN()/2+1,FALSE)=0,"",VLOOKUP($A66,数出表_Excel!$A$6:$T$150,COLUMN()/2+1,FALSE))),"")</f>
        <v/>
      </c>
      <c r="AE66" s="79"/>
      <c r="AF66" s="116" t="str">
        <f ca="1">IFERROR(VALUE(IF(VLOOKUP($A66,数出表_Excel!$A$6:$T$150,COLUMN()/2+1,FALSE)=0,"",VLOOKUP($A66,数出表_Excel!$A$6:$T$150,COLUMN()/2+1,FALSE))),"")</f>
        <v/>
      </c>
      <c r="AG66" s="79"/>
      <c r="AH66" s="116" t="str">
        <f ca="1">IFERROR(VALUE(IF(VLOOKUP($A66,数出表_Excel!$A$6:$T$150,COLUMN()/2+1,FALSE)=0,"",VLOOKUP($A66,数出表_Excel!$A$6:$T$150,COLUMN()/2+1,FALSE))),"")</f>
        <v/>
      </c>
      <c r="AI66" s="117"/>
      <c r="AJ66" s="115" t="str">
        <f ca="1">IFERROR(VALUE(IF(VLOOKUP($A66,数出表_Excel!$A$6:$T$150,COLUMN()/2+1,FALSE)=0,"",VLOOKUP($A66,数出表_Excel!$A$6:$T$150,COLUMN()/2+1,FALSE))),"")</f>
        <v/>
      </c>
      <c r="AK66" s="79"/>
      <c r="AL66" s="83" t="e">
        <f ca="1">IF(A66&lt;&gt;"",
IF(VLOOKUP($A66,数出表_Excel!$A$6:$T$150,COLUMN()/2+1,FALSE)=0,"",VLOOKUP($A66,数出表_Excel!$A$6:$T$150,COLUMN()/2+1,FALSE)),"")</f>
        <v>#N/A</v>
      </c>
      <c r="AM66" s="164" t="e">
        <f>数出表_Excel!V66</f>
        <v>#N/A</v>
      </c>
      <c r="AN66" s="165" t="e">
        <f>数出表_Excel!W66</f>
        <v>#N/A</v>
      </c>
    </row>
    <row r="67" spans="1:40" ht="16.2" customHeight="1">
      <c r="A67" s="127" t="e">
        <f t="array" aca="1" ref="A67" ca="1">IF(OR(COUNTIF(A65,"*1000*"),COUNTIF(A65,"")),"",INDEX(貼り付け用!$A1:$A200,MATCH(A65,貼り付け用!$A1:$A200,0)+2,0))</f>
        <v>#N/A</v>
      </c>
      <c r="B67" s="80" t="str">
        <f ca="1">IFERROR(VALUE(IF(VLOOKUP($A67,数出表_Excel!$A$6:$T$150,COLUMN()/2+1,FALSE)=0,"",VLOOKUP($A67,数出表_Excel!$A$6:$T$150,COLUMN()/2+1,FALSE))),"")</f>
        <v/>
      </c>
      <c r="C67" s="80"/>
      <c r="D67" s="80" t="str">
        <f ca="1">IFERROR(VALUE(IF(VLOOKUP($A67,数出表_Excel!$A$6:$T$150,COLUMN()/2+1,FALSE)=0,"",VLOOKUP($A67,数出表_Excel!$A$6:$T$150,COLUMN()/2+1,FALSE))),"")</f>
        <v/>
      </c>
      <c r="E67" s="80"/>
      <c r="F67" s="84" t="str">
        <f ca="1">IFERROR(VALUE(IF(VLOOKUP($A67,数出表_Excel!$A$6:$T$150,COLUMN()/2+1,FALSE)=0,"",VLOOKUP($A67,数出表_Excel!$A$6:$T$150,COLUMN()/2+1,FALSE))),"")</f>
        <v/>
      </c>
      <c r="G67" s="80"/>
      <c r="H67" s="80" t="str">
        <f ca="1">IFERROR(VALUE(IF(VLOOKUP($A67,数出表_Excel!$A$6:$T$150,COLUMN()/2+1,FALSE)=0,"",VLOOKUP($A67,数出表_Excel!$A$6:$T$150,COLUMN()/2+1,FALSE))),"")</f>
        <v/>
      </c>
      <c r="I67" s="80"/>
      <c r="J67" s="80" t="str">
        <f ca="1">IFERROR(VALUE(IF(VLOOKUP($A67,数出表_Excel!$A$6:$T$150,COLUMN()/2+1,FALSE)=0,"",VLOOKUP($A67,数出表_Excel!$A$6:$T$150,COLUMN()/2+1,FALSE))),"")</f>
        <v/>
      </c>
      <c r="K67" s="80"/>
      <c r="L67" s="84" t="str">
        <f ca="1">IFERROR(VALUE(IF(VLOOKUP($A67,数出表_Excel!$A$6:$T$150,COLUMN()/2+1,FALSE)=0,"",VLOOKUP($A67,数出表_Excel!$A$6:$T$150,COLUMN()/2+1,FALSE))),"")</f>
        <v/>
      </c>
      <c r="M67" s="80"/>
      <c r="N67" s="80" t="str">
        <f ca="1">IFERROR(VALUE(IF(VLOOKUP($A67,数出表_Excel!$A$6:$T$150,COLUMN()/2+1,FALSE)=0,"",VLOOKUP($A67,数出表_Excel!$A$6:$T$150,COLUMN()/2+1,FALSE))),"")</f>
        <v/>
      </c>
      <c r="O67" s="80"/>
      <c r="P67" s="80" t="str">
        <f ca="1">IFERROR(VALUE(IF(VLOOKUP($A67,数出表_Excel!$A$6:$T$150,COLUMN()/2+1,FALSE)=0,"",VLOOKUP($A67,数出表_Excel!$A$6:$T$150,COLUMN()/2+1,FALSE))),"")</f>
        <v/>
      </c>
      <c r="Q67" s="80"/>
      <c r="R67" s="80" t="str">
        <f ca="1">IFERROR(VALUE(IF(VLOOKUP($A67,数出表_Excel!$A$6:$T$150,COLUMN()/2+1,FALSE)=0,"",VLOOKUP($A67,数出表_Excel!$A$6:$T$150,COLUMN()/2+1,FALSE))),"")</f>
        <v/>
      </c>
      <c r="S67" s="80"/>
      <c r="T67" s="80" t="str">
        <f ca="1">IFERROR(VALUE(IF(VLOOKUP($A67,数出表_Excel!$A$6:$T$150,COLUMN()/2+1,FALSE)=0,"",VLOOKUP($A67,数出表_Excel!$A$6:$T$150,COLUMN()/2+1,FALSE))),"")</f>
        <v/>
      </c>
      <c r="U67" s="80"/>
      <c r="V67" s="84" t="str">
        <f ca="1">IFERROR(VALUE(IF(VLOOKUP($A67,数出表_Excel!$A$6:$T$150,COLUMN()/2+1,FALSE)=0,"",VLOOKUP($A67,数出表_Excel!$A$6:$T$150,COLUMN()/2+1,FALSE))),"")</f>
        <v/>
      </c>
      <c r="W67" s="80"/>
      <c r="X67" s="84" t="str">
        <f ca="1">IFERROR(VALUE(IF(VLOOKUP($A67,数出表_Excel!$A$6:$T$150,COLUMN()/2+1,FALSE)=0,"",VLOOKUP($A67,数出表_Excel!$A$6:$T$150,COLUMN()/2+1,FALSE))),"")</f>
        <v/>
      </c>
      <c r="Y67" s="80"/>
      <c r="Z67" s="84" t="str">
        <f ca="1">IFERROR(VALUE(IF(VLOOKUP($A67,数出表_Excel!$A$6:$T$150,COLUMN()/2+1,FALSE)=0,"",VLOOKUP($A67,数出表_Excel!$A$6:$T$150,COLUMN()/2+1,FALSE))),"")</f>
        <v/>
      </c>
      <c r="AA67" s="118"/>
      <c r="AB67" s="85" t="str">
        <f ca="1">IFERROR(VALUE(IF(VLOOKUP($A67,数出表_Excel!$A$6:$T$150,COLUMN()/2+1,FALSE)=0,"",VLOOKUP($A67,数出表_Excel!$A$6:$T$150,COLUMN()/2+1,FALSE))),"")</f>
        <v/>
      </c>
      <c r="AC67" s="80"/>
      <c r="AD67" s="84" t="str">
        <f ca="1">IFERROR(VALUE(IF(VLOOKUP($A67,数出表_Excel!$A$6:$T$150,COLUMN()/2+1,FALSE)=0,"",VLOOKUP($A67,数出表_Excel!$A$6:$T$150,COLUMN()/2+1,FALSE))),"")</f>
        <v/>
      </c>
      <c r="AE67" s="80"/>
      <c r="AF67" s="84" t="str">
        <f ca="1">IFERROR(VALUE(IF(VLOOKUP($A67,数出表_Excel!$A$6:$T$150,COLUMN()/2+1,FALSE)=0,"",VLOOKUP($A67,数出表_Excel!$A$6:$T$150,COLUMN()/2+1,FALSE))),"")</f>
        <v/>
      </c>
      <c r="AG67" s="80"/>
      <c r="AH67" s="84" t="str">
        <f ca="1">IFERROR(VALUE(IF(VLOOKUP($A67,数出表_Excel!$A$6:$T$150,COLUMN()/2+1,FALSE)=0,"",VLOOKUP($A67,数出表_Excel!$A$6:$T$150,COLUMN()/2+1,FALSE))),"")</f>
        <v/>
      </c>
      <c r="AI67" s="118"/>
      <c r="AJ67" s="85" t="str">
        <f ca="1">IFERROR(VALUE(IF(VLOOKUP($A67,数出表_Excel!$A$6:$T$150,COLUMN()/2+1,FALSE)=0,"",VLOOKUP($A67,数出表_Excel!$A$6:$T$150,COLUMN()/2+1,FALSE))),"")</f>
        <v/>
      </c>
      <c r="AK67" s="80"/>
      <c r="AL67" s="86" t="e">
        <f ca="1">IF(A67&lt;&gt;"",
IF(VLOOKUP($A67,数出表_Excel!$A$6:$T$150,COLUMN()/2+1,FALSE)=0,"",VLOOKUP($A67,数出表_Excel!$A$6:$T$150,COLUMN()/2+1,FALSE)),"")</f>
        <v>#N/A</v>
      </c>
      <c r="AM67" s="166" t="e">
        <f>数出表_Excel!V67</f>
        <v>#N/A</v>
      </c>
      <c r="AN67" s="167" t="e">
        <f>数出表_Excel!W67</f>
        <v>#N/A</v>
      </c>
    </row>
    <row r="68" spans="1:40" ht="16.2" customHeight="1">
      <c r="A68" s="126" t="e">
        <f t="array" aca="1" ref="A68" ca="1">IF(OR(COUNTIF(A66,"*10002*"),COUNTIF(A66,"")),"",INDEX(貼り付け用!$A1:$A200,MATCH(A66,貼り付け用!$A1:$A200,0)+2,0))</f>
        <v>#N/A</v>
      </c>
      <c r="B68" s="114" t="str">
        <f ca="1">IFERROR(VALUE(IF(VLOOKUP($A68,数出表_Excel!$A$6:$T$150,COLUMN()/2+1,FALSE)=0,"",VLOOKUP($A68,数出表_Excel!$A$6:$T$150,COLUMN()/2+1,FALSE))),"")</f>
        <v/>
      </c>
      <c r="C68" s="79"/>
      <c r="D68" s="114" t="str">
        <f ca="1">IFERROR(VALUE(IF(VLOOKUP($A68,数出表_Excel!$A$6:$T$150,COLUMN()/2+1,FALSE)=0,"",VLOOKUP($A68,数出表_Excel!$A$6:$T$150,COLUMN()/2+1,FALSE))),"")</f>
        <v/>
      </c>
      <c r="E68" s="79"/>
      <c r="F68" s="116" t="str">
        <f ca="1">IFERROR(VALUE(IF(VLOOKUP($A68,数出表_Excel!$A$6:$T$150,COLUMN()/2+1,FALSE)=0,"",VLOOKUP($A68,数出表_Excel!$A$6:$T$150,COLUMN()/2+1,FALSE))),"")</f>
        <v/>
      </c>
      <c r="G68" s="79"/>
      <c r="H68" s="114" t="str">
        <f ca="1">IFERROR(VALUE(IF(VLOOKUP($A68,数出表_Excel!$A$6:$T$150,COLUMN()/2+1,FALSE)=0,"",VLOOKUP($A68,数出表_Excel!$A$6:$T$150,COLUMN()/2+1,FALSE))),"")</f>
        <v/>
      </c>
      <c r="I68" s="79"/>
      <c r="J68" s="114" t="str">
        <f ca="1">IFERROR(VALUE(IF(VLOOKUP($A68,数出表_Excel!$A$6:$T$150,COLUMN()/2+1,FALSE)=0,"",VLOOKUP($A68,数出表_Excel!$A$6:$T$150,COLUMN()/2+1,FALSE))),"")</f>
        <v/>
      </c>
      <c r="K68" s="79"/>
      <c r="L68" s="116" t="str">
        <f ca="1">IFERROR(VALUE(IF(VLOOKUP($A68,数出表_Excel!$A$6:$T$150,COLUMN()/2+1,FALSE)=0,"",VLOOKUP($A68,数出表_Excel!$A$6:$T$150,COLUMN()/2+1,FALSE))),"")</f>
        <v/>
      </c>
      <c r="M68" s="79"/>
      <c r="N68" s="114" t="str">
        <f ca="1">IFERROR(VALUE(IF(VLOOKUP($A68,数出表_Excel!$A$6:$T$150,COLUMN()/2+1,FALSE)=0,"",VLOOKUP($A68,数出表_Excel!$A$6:$T$150,COLUMN()/2+1,FALSE))),"")</f>
        <v/>
      </c>
      <c r="O68" s="79"/>
      <c r="P68" s="114" t="str">
        <f ca="1">IFERROR(VALUE(IF(VLOOKUP($A68,数出表_Excel!$A$6:$T$150,COLUMN()/2+1,FALSE)=0,"",VLOOKUP($A68,数出表_Excel!$A$6:$T$150,COLUMN()/2+1,FALSE))),"")</f>
        <v/>
      </c>
      <c r="Q68" s="79"/>
      <c r="R68" s="114" t="str">
        <f ca="1">IFERROR(VALUE(IF(VLOOKUP($A68,数出表_Excel!$A$6:$T$150,COLUMN()/2+1,FALSE)=0,"",VLOOKUP($A68,数出表_Excel!$A$6:$T$150,COLUMN()/2+1,FALSE))),"")</f>
        <v/>
      </c>
      <c r="S68" s="79"/>
      <c r="T68" s="114" t="str">
        <f ca="1">IFERROR(VALUE(IF(VLOOKUP($A68,数出表_Excel!$A$6:$T$150,COLUMN()/2+1,FALSE)=0,"",VLOOKUP($A68,数出表_Excel!$A$6:$T$150,COLUMN()/2+1,FALSE))),"")</f>
        <v/>
      </c>
      <c r="U68" s="79"/>
      <c r="V68" s="116" t="str">
        <f ca="1">IFERROR(VALUE(IF(VLOOKUP($A68,数出表_Excel!$A$6:$T$150,COLUMN()/2+1,FALSE)=0,"",VLOOKUP($A68,数出表_Excel!$A$6:$T$150,COLUMN()/2+1,FALSE))),"")</f>
        <v/>
      </c>
      <c r="W68" s="79"/>
      <c r="X68" s="116" t="str">
        <f ca="1">IFERROR(VALUE(IF(VLOOKUP($A68,数出表_Excel!$A$6:$T$150,COLUMN()/2+1,FALSE)=0,"",VLOOKUP($A68,数出表_Excel!$A$6:$T$150,COLUMN()/2+1,FALSE))),"")</f>
        <v/>
      </c>
      <c r="Y68" s="79"/>
      <c r="Z68" s="116" t="str">
        <f ca="1">IFERROR(VALUE(IF(VLOOKUP($A68,数出表_Excel!$A$6:$T$150,COLUMN()/2+1,FALSE)=0,"",VLOOKUP($A68,数出表_Excel!$A$6:$T$150,COLUMN()/2+1,FALSE))),"")</f>
        <v/>
      </c>
      <c r="AA68" s="117"/>
      <c r="AB68" s="115" t="str">
        <f ca="1">IFERROR(VALUE(IF(VLOOKUP($A68,数出表_Excel!$A$6:$T$150,COLUMN()/2+1,FALSE)=0,"",VLOOKUP($A68,数出表_Excel!$A$6:$T$150,COLUMN()/2+1,FALSE))),"")</f>
        <v/>
      </c>
      <c r="AC68" s="79"/>
      <c r="AD68" s="116" t="str">
        <f ca="1">IFERROR(VALUE(IF(VLOOKUP($A68,数出表_Excel!$A$6:$T$150,COLUMN()/2+1,FALSE)=0,"",VLOOKUP($A68,数出表_Excel!$A$6:$T$150,COLUMN()/2+1,FALSE))),"")</f>
        <v/>
      </c>
      <c r="AE68" s="79"/>
      <c r="AF68" s="116" t="str">
        <f ca="1">IFERROR(VALUE(IF(VLOOKUP($A68,数出表_Excel!$A$6:$T$150,COLUMN()/2+1,FALSE)=0,"",VLOOKUP($A68,数出表_Excel!$A$6:$T$150,COLUMN()/2+1,FALSE))),"")</f>
        <v/>
      </c>
      <c r="AG68" s="79"/>
      <c r="AH68" s="116" t="str">
        <f ca="1">IFERROR(VALUE(IF(VLOOKUP($A68,数出表_Excel!$A$6:$T$150,COLUMN()/2+1,FALSE)=0,"",VLOOKUP($A68,数出表_Excel!$A$6:$T$150,COLUMN()/2+1,FALSE))),"")</f>
        <v/>
      </c>
      <c r="AI68" s="117"/>
      <c r="AJ68" s="115" t="str">
        <f ca="1">IFERROR(VALUE(IF(VLOOKUP($A68,数出表_Excel!$A$6:$T$150,COLUMN()/2+1,FALSE)=0,"",VLOOKUP($A68,数出表_Excel!$A$6:$T$150,COLUMN()/2+1,FALSE))),"")</f>
        <v/>
      </c>
      <c r="AK68" s="79"/>
      <c r="AL68" s="83" t="e">
        <f ca="1">IF(A68&lt;&gt;"",
IF(VLOOKUP($A68,数出表_Excel!$A$6:$T$150,COLUMN()/2+1,FALSE)=0,"",VLOOKUP($A68,数出表_Excel!$A$6:$T$150,COLUMN()/2+1,FALSE)),"")</f>
        <v>#N/A</v>
      </c>
      <c r="AM68" s="164" t="e">
        <f>数出表_Excel!V68</f>
        <v>#N/A</v>
      </c>
      <c r="AN68" s="165" t="e">
        <f>数出表_Excel!W68</f>
        <v>#N/A</v>
      </c>
    </row>
    <row r="69" spans="1:40" ht="16.2" customHeight="1">
      <c r="A69" s="127" t="e">
        <f t="array" aca="1" ref="A69" ca="1">IF(OR(COUNTIF(A67,"*1000*"),COUNTIF(A67,"")),"",INDEX(貼り付け用!$A1:$A200,MATCH(A67,貼り付け用!$A1:$A200,0)+2,0))</f>
        <v>#N/A</v>
      </c>
      <c r="B69" s="80" t="str">
        <f ca="1">IFERROR(VALUE(IF(VLOOKUP($A69,数出表_Excel!$A$6:$T$150,COLUMN()/2+1,FALSE)=0,"",VLOOKUP($A69,数出表_Excel!$A$6:$T$150,COLUMN()/2+1,FALSE))),"")</f>
        <v/>
      </c>
      <c r="C69" s="80"/>
      <c r="D69" s="80" t="str">
        <f ca="1">IFERROR(VALUE(IF(VLOOKUP($A69,数出表_Excel!$A$6:$T$150,COLUMN()/2+1,FALSE)=0,"",VLOOKUP($A69,数出表_Excel!$A$6:$T$150,COLUMN()/2+1,FALSE))),"")</f>
        <v/>
      </c>
      <c r="E69" s="80"/>
      <c r="F69" s="84" t="str">
        <f ca="1">IFERROR(VALUE(IF(VLOOKUP($A69,数出表_Excel!$A$6:$T$150,COLUMN()/2+1,FALSE)=0,"",VLOOKUP($A69,数出表_Excel!$A$6:$T$150,COLUMN()/2+1,FALSE))),"")</f>
        <v/>
      </c>
      <c r="G69" s="80"/>
      <c r="H69" s="80" t="str">
        <f ca="1">IFERROR(VALUE(IF(VLOOKUP($A69,数出表_Excel!$A$6:$T$150,COLUMN()/2+1,FALSE)=0,"",VLOOKUP($A69,数出表_Excel!$A$6:$T$150,COLUMN()/2+1,FALSE))),"")</f>
        <v/>
      </c>
      <c r="I69" s="80"/>
      <c r="J69" s="80" t="str">
        <f ca="1">IFERROR(VALUE(IF(VLOOKUP($A69,数出表_Excel!$A$6:$T$150,COLUMN()/2+1,FALSE)=0,"",VLOOKUP($A69,数出表_Excel!$A$6:$T$150,COLUMN()/2+1,FALSE))),"")</f>
        <v/>
      </c>
      <c r="K69" s="80"/>
      <c r="L69" s="84" t="str">
        <f ca="1">IFERROR(VALUE(IF(VLOOKUP($A69,数出表_Excel!$A$6:$T$150,COLUMN()/2+1,FALSE)=0,"",VLOOKUP($A69,数出表_Excel!$A$6:$T$150,COLUMN()/2+1,FALSE))),"")</f>
        <v/>
      </c>
      <c r="M69" s="80"/>
      <c r="N69" s="80" t="str">
        <f ca="1">IFERROR(VALUE(IF(VLOOKUP($A69,数出表_Excel!$A$6:$T$150,COLUMN()/2+1,FALSE)=0,"",VLOOKUP($A69,数出表_Excel!$A$6:$T$150,COLUMN()/2+1,FALSE))),"")</f>
        <v/>
      </c>
      <c r="O69" s="80"/>
      <c r="P69" s="80" t="str">
        <f ca="1">IFERROR(VALUE(IF(VLOOKUP($A69,数出表_Excel!$A$6:$T$150,COLUMN()/2+1,FALSE)=0,"",VLOOKUP($A69,数出表_Excel!$A$6:$T$150,COLUMN()/2+1,FALSE))),"")</f>
        <v/>
      </c>
      <c r="Q69" s="80"/>
      <c r="R69" s="80" t="str">
        <f ca="1">IFERROR(VALUE(IF(VLOOKUP($A69,数出表_Excel!$A$6:$T$150,COLUMN()/2+1,FALSE)=0,"",VLOOKUP($A69,数出表_Excel!$A$6:$T$150,COLUMN()/2+1,FALSE))),"")</f>
        <v/>
      </c>
      <c r="S69" s="80"/>
      <c r="T69" s="80" t="str">
        <f ca="1">IFERROR(VALUE(IF(VLOOKUP($A69,数出表_Excel!$A$6:$T$150,COLUMN()/2+1,FALSE)=0,"",VLOOKUP($A69,数出表_Excel!$A$6:$T$150,COLUMN()/2+1,FALSE))),"")</f>
        <v/>
      </c>
      <c r="U69" s="80"/>
      <c r="V69" s="84" t="str">
        <f ca="1">IFERROR(VALUE(IF(VLOOKUP($A69,数出表_Excel!$A$6:$T$150,COLUMN()/2+1,FALSE)=0,"",VLOOKUP($A69,数出表_Excel!$A$6:$T$150,COLUMN()/2+1,FALSE))),"")</f>
        <v/>
      </c>
      <c r="W69" s="80"/>
      <c r="X69" s="84" t="str">
        <f ca="1">IFERROR(VALUE(IF(VLOOKUP($A69,数出表_Excel!$A$6:$T$150,COLUMN()/2+1,FALSE)=0,"",VLOOKUP($A69,数出表_Excel!$A$6:$T$150,COLUMN()/2+1,FALSE))),"")</f>
        <v/>
      </c>
      <c r="Y69" s="80"/>
      <c r="Z69" s="84" t="str">
        <f ca="1">IFERROR(VALUE(IF(VLOOKUP($A69,数出表_Excel!$A$6:$T$150,COLUMN()/2+1,FALSE)=0,"",VLOOKUP($A69,数出表_Excel!$A$6:$T$150,COLUMN()/2+1,FALSE))),"")</f>
        <v/>
      </c>
      <c r="AA69" s="118"/>
      <c r="AB69" s="85" t="str">
        <f ca="1">IFERROR(VALUE(IF(VLOOKUP($A69,数出表_Excel!$A$6:$T$150,COLUMN()/2+1,FALSE)=0,"",VLOOKUP($A69,数出表_Excel!$A$6:$T$150,COLUMN()/2+1,FALSE))),"")</f>
        <v/>
      </c>
      <c r="AC69" s="80"/>
      <c r="AD69" s="84" t="str">
        <f ca="1">IFERROR(VALUE(IF(VLOOKUP($A69,数出表_Excel!$A$6:$T$150,COLUMN()/2+1,FALSE)=0,"",VLOOKUP($A69,数出表_Excel!$A$6:$T$150,COLUMN()/2+1,FALSE))),"")</f>
        <v/>
      </c>
      <c r="AE69" s="80"/>
      <c r="AF69" s="84" t="str">
        <f ca="1">IFERROR(VALUE(IF(VLOOKUP($A69,数出表_Excel!$A$6:$T$150,COLUMN()/2+1,FALSE)=0,"",VLOOKUP($A69,数出表_Excel!$A$6:$T$150,COLUMN()/2+1,FALSE))),"")</f>
        <v/>
      </c>
      <c r="AG69" s="80"/>
      <c r="AH69" s="84" t="str">
        <f ca="1">IFERROR(VALUE(IF(VLOOKUP($A69,数出表_Excel!$A$6:$T$150,COLUMN()/2+1,FALSE)=0,"",VLOOKUP($A69,数出表_Excel!$A$6:$T$150,COLUMN()/2+1,FALSE))),"")</f>
        <v/>
      </c>
      <c r="AI69" s="118"/>
      <c r="AJ69" s="85" t="str">
        <f ca="1">IFERROR(VALUE(IF(VLOOKUP($A69,数出表_Excel!$A$6:$T$150,COLUMN()/2+1,FALSE)=0,"",VLOOKUP($A69,数出表_Excel!$A$6:$T$150,COLUMN()/2+1,FALSE))),"")</f>
        <v/>
      </c>
      <c r="AK69" s="80"/>
      <c r="AL69" s="86" t="e">
        <f ca="1">IF(A69&lt;&gt;"",
IF(VLOOKUP($A69,数出表_Excel!$A$6:$T$150,COLUMN()/2+1,FALSE)=0,"",VLOOKUP($A69,数出表_Excel!$A$6:$T$150,COLUMN()/2+1,FALSE)),"")</f>
        <v>#N/A</v>
      </c>
      <c r="AM69" s="166" t="e">
        <f>数出表_Excel!V69</f>
        <v>#N/A</v>
      </c>
      <c r="AN69" s="167" t="e">
        <f>数出表_Excel!W69</f>
        <v>#N/A</v>
      </c>
    </row>
    <row r="70" spans="1:40" ht="16.2" customHeight="1">
      <c r="A70" s="126" t="e">
        <f t="array" aca="1" ref="A70" ca="1">IF(OR(COUNTIF(A68,"*10002*"),COUNTIF(A68,"")),"",INDEX(貼り付け用!$A1:$A200,MATCH(A68,貼り付け用!$A1:$A200,0)+2,0))</f>
        <v>#N/A</v>
      </c>
      <c r="B70" s="114" t="str">
        <f ca="1">IFERROR(VALUE(IF(VLOOKUP($A70,数出表_Excel!$A$6:$T$150,COLUMN()/2+1,FALSE)=0,"",VLOOKUP($A70,数出表_Excel!$A$6:$T$150,COLUMN()/2+1,FALSE))),"")</f>
        <v/>
      </c>
      <c r="C70" s="79"/>
      <c r="D70" s="114" t="str">
        <f ca="1">IFERROR(VALUE(IF(VLOOKUP($A70,数出表_Excel!$A$6:$T$150,COLUMN()/2+1,FALSE)=0,"",VLOOKUP($A70,数出表_Excel!$A$6:$T$150,COLUMN()/2+1,FALSE))),"")</f>
        <v/>
      </c>
      <c r="E70" s="79"/>
      <c r="F70" s="116" t="str">
        <f ca="1">IFERROR(VALUE(IF(VLOOKUP($A70,数出表_Excel!$A$6:$T$150,COLUMN()/2+1,FALSE)=0,"",VLOOKUP($A70,数出表_Excel!$A$6:$T$150,COLUMN()/2+1,FALSE))),"")</f>
        <v/>
      </c>
      <c r="G70" s="79"/>
      <c r="H70" s="114" t="str">
        <f ca="1">IFERROR(VALUE(IF(VLOOKUP($A70,数出表_Excel!$A$6:$T$150,COLUMN()/2+1,FALSE)=0,"",VLOOKUP($A70,数出表_Excel!$A$6:$T$150,COLUMN()/2+1,FALSE))),"")</f>
        <v/>
      </c>
      <c r="I70" s="79"/>
      <c r="J70" s="114" t="str">
        <f ca="1">IFERROR(VALUE(IF(VLOOKUP($A70,数出表_Excel!$A$6:$T$150,COLUMN()/2+1,FALSE)=0,"",VLOOKUP($A70,数出表_Excel!$A$6:$T$150,COLUMN()/2+1,FALSE))),"")</f>
        <v/>
      </c>
      <c r="K70" s="79"/>
      <c r="L70" s="116" t="str">
        <f ca="1">IFERROR(VALUE(IF(VLOOKUP($A70,数出表_Excel!$A$6:$T$150,COLUMN()/2+1,FALSE)=0,"",VLOOKUP($A70,数出表_Excel!$A$6:$T$150,COLUMN()/2+1,FALSE))),"")</f>
        <v/>
      </c>
      <c r="M70" s="79"/>
      <c r="N70" s="114" t="str">
        <f ca="1">IFERROR(VALUE(IF(VLOOKUP($A70,数出表_Excel!$A$6:$T$150,COLUMN()/2+1,FALSE)=0,"",VLOOKUP($A70,数出表_Excel!$A$6:$T$150,COLUMN()/2+1,FALSE))),"")</f>
        <v/>
      </c>
      <c r="O70" s="79"/>
      <c r="P70" s="114" t="str">
        <f ca="1">IFERROR(VALUE(IF(VLOOKUP($A70,数出表_Excel!$A$6:$T$150,COLUMN()/2+1,FALSE)=0,"",VLOOKUP($A70,数出表_Excel!$A$6:$T$150,COLUMN()/2+1,FALSE))),"")</f>
        <v/>
      </c>
      <c r="Q70" s="79"/>
      <c r="R70" s="114" t="str">
        <f ca="1">IFERROR(VALUE(IF(VLOOKUP($A70,数出表_Excel!$A$6:$T$150,COLUMN()/2+1,FALSE)=0,"",VLOOKUP($A70,数出表_Excel!$A$6:$T$150,COLUMN()/2+1,FALSE))),"")</f>
        <v/>
      </c>
      <c r="S70" s="79"/>
      <c r="T70" s="114" t="str">
        <f ca="1">IFERROR(VALUE(IF(VLOOKUP($A70,数出表_Excel!$A$6:$T$150,COLUMN()/2+1,FALSE)=0,"",VLOOKUP($A70,数出表_Excel!$A$6:$T$150,COLUMN()/2+1,FALSE))),"")</f>
        <v/>
      </c>
      <c r="U70" s="79"/>
      <c r="V70" s="116" t="str">
        <f ca="1">IFERROR(VALUE(IF(VLOOKUP($A70,数出表_Excel!$A$6:$T$150,COLUMN()/2+1,FALSE)=0,"",VLOOKUP($A70,数出表_Excel!$A$6:$T$150,COLUMN()/2+1,FALSE))),"")</f>
        <v/>
      </c>
      <c r="W70" s="79"/>
      <c r="X70" s="116" t="str">
        <f ca="1">IFERROR(VALUE(IF(VLOOKUP($A70,数出表_Excel!$A$6:$T$150,COLUMN()/2+1,FALSE)=0,"",VLOOKUP($A70,数出表_Excel!$A$6:$T$150,COLUMN()/2+1,FALSE))),"")</f>
        <v/>
      </c>
      <c r="Y70" s="79"/>
      <c r="Z70" s="116" t="str">
        <f ca="1">IFERROR(VALUE(IF(VLOOKUP($A70,数出表_Excel!$A$6:$T$150,COLUMN()/2+1,FALSE)=0,"",VLOOKUP($A70,数出表_Excel!$A$6:$T$150,COLUMN()/2+1,FALSE))),"")</f>
        <v/>
      </c>
      <c r="AA70" s="117"/>
      <c r="AB70" s="115" t="str">
        <f ca="1">IFERROR(VALUE(IF(VLOOKUP($A70,数出表_Excel!$A$6:$T$150,COLUMN()/2+1,FALSE)=0,"",VLOOKUP($A70,数出表_Excel!$A$6:$T$150,COLUMN()/2+1,FALSE))),"")</f>
        <v/>
      </c>
      <c r="AC70" s="79"/>
      <c r="AD70" s="116" t="str">
        <f ca="1">IFERROR(VALUE(IF(VLOOKUP($A70,数出表_Excel!$A$6:$T$150,COLUMN()/2+1,FALSE)=0,"",VLOOKUP($A70,数出表_Excel!$A$6:$T$150,COLUMN()/2+1,FALSE))),"")</f>
        <v/>
      </c>
      <c r="AE70" s="79"/>
      <c r="AF70" s="116" t="str">
        <f ca="1">IFERROR(VALUE(IF(VLOOKUP($A70,数出表_Excel!$A$6:$T$150,COLUMN()/2+1,FALSE)=0,"",VLOOKUP($A70,数出表_Excel!$A$6:$T$150,COLUMN()/2+1,FALSE))),"")</f>
        <v/>
      </c>
      <c r="AG70" s="79"/>
      <c r="AH70" s="116" t="str">
        <f ca="1">IFERROR(VALUE(IF(VLOOKUP($A70,数出表_Excel!$A$6:$T$150,COLUMN()/2+1,FALSE)=0,"",VLOOKUP($A70,数出表_Excel!$A$6:$T$150,COLUMN()/2+1,FALSE))),"")</f>
        <v/>
      </c>
      <c r="AI70" s="117"/>
      <c r="AJ70" s="115" t="str">
        <f ca="1">IFERROR(VALUE(IF(VLOOKUP($A70,数出表_Excel!$A$6:$T$150,COLUMN()/2+1,FALSE)=0,"",VLOOKUP($A70,数出表_Excel!$A$6:$T$150,COLUMN()/2+1,FALSE))),"")</f>
        <v/>
      </c>
      <c r="AK70" s="79"/>
      <c r="AL70" s="83" t="e">
        <f ca="1">IF(A70&lt;&gt;"",
IF(VLOOKUP($A70,数出表_Excel!$A$6:$T$150,COLUMN()/2+1,FALSE)=0,"",VLOOKUP($A70,数出表_Excel!$A$6:$T$150,COLUMN()/2+1,FALSE)),"")</f>
        <v>#N/A</v>
      </c>
      <c r="AM70" s="164" t="e">
        <f>数出表_Excel!V70</f>
        <v>#N/A</v>
      </c>
      <c r="AN70" s="165" t="e">
        <f>数出表_Excel!W70</f>
        <v>#N/A</v>
      </c>
    </row>
    <row r="71" spans="1:40" ht="16.2" customHeight="1">
      <c r="A71" s="127" t="e">
        <f t="array" aca="1" ref="A71" ca="1">IF(OR(COUNTIF(A69,"*1000*"),COUNTIF(A69,"")),"",INDEX(貼り付け用!$A1:$A200,MATCH(A69,貼り付け用!$A1:$A200,0)+2,0))</f>
        <v>#N/A</v>
      </c>
      <c r="B71" s="80" t="str">
        <f ca="1">IFERROR(VALUE(IF(VLOOKUP($A71,数出表_Excel!$A$6:$T$150,COLUMN()/2+1,FALSE)=0,"",VLOOKUP($A71,数出表_Excel!$A$6:$T$150,COLUMN()/2+1,FALSE))),"")</f>
        <v/>
      </c>
      <c r="C71" s="80"/>
      <c r="D71" s="80" t="str">
        <f ca="1">IFERROR(VALUE(IF(VLOOKUP($A71,数出表_Excel!$A$6:$T$150,COLUMN()/2+1,FALSE)=0,"",VLOOKUP($A71,数出表_Excel!$A$6:$T$150,COLUMN()/2+1,FALSE))),"")</f>
        <v/>
      </c>
      <c r="E71" s="80"/>
      <c r="F71" s="84" t="str">
        <f ca="1">IFERROR(VALUE(IF(VLOOKUP($A71,数出表_Excel!$A$6:$T$150,COLUMN()/2+1,FALSE)=0,"",VLOOKUP($A71,数出表_Excel!$A$6:$T$150,COLUMN()/2+1,FALSE))),"")</f>
        <v/>
      </c>
      <c r="G71" s="80"/>
      <c r="H71" s="80" t="str">
        <f ca="1">IFERROR(VALUE(IF(VLOOKUP($A71,数出表_Excel!$A$6:$T$150,COLUMN()/2+1,FALSE)=0,"",VLOOKUP($A71,数出表_Excel!$A$6:$T$150,COLUMN()/2+1,FALSE))),"")</f>
        <v/>
      </c>
      <c r="I71" s="80"/>
      <c r="J71" s="80" t="str">
        <f ca="1">IFERROR(VALUE(IF(VLOOKUP($A71,数出表_Excel!$A$6:$T$150,COLUMN()/2+1,FALSE)=0,"",VLOOKUP($A71,数出表_Excel!$A$6:$T$150,COLUMN()/2+1,FALSE))),"")</f>
        <v/>
      </c>
      <c r="K71" s="80"/>
      <c r="L71" s="84" t="str">
        <f ca="1">IFERROR(VALUE(IF(VLOOKUP($A71,数出表_Excel!$A$6:$T$150,COLUMN()/2+1,FALSE)=0,"",VLOOKUP($A71,数出表_Excel!$A$6:$T$150,COLUMN()/2+1,FALSE))),"")</f>
        <v/>
      </c>
      <c r="M71" s="80"/>
      <c r="N71" s="80" t="str">
        <f ca="1">IFERROR(VALUE(IF(VLOOKUP($A71,数出表_Excel!$A$6:$T$150,COLUMN()/2+1,FALSE)=0,"",VLOOKUP($A71,数出表_Excel!$A$6:$T$150,COLUMN()/2+1,FALSE))),"")</f>
        <v/>
      </c>
      <c r="O71" s="80"/>
      <c r="P71" s="80" t="str">
        <f ca="1">IFERROR(VALUE(IF(VLOOKUP($A71,数出表_Excel!$A$6:$T$150,COLUMN()/2+1,FALSE)=0,"",VLOOKUP($A71,数出表_Excel!$A$6:$T$150,COLUMN()/2+1,FALSE))),"")</f>
        <v/>
      </c>
      <c r="Q71" s="80"/>
      <c r="R71" s="80" t="str">
        <f ca="1">IFERROR(VALUE(IF(VLOOKUP($A71,数出表_Excel!$A$6:$T$150,COLUMN()/2+1,FALSE)=0,"",VLOOKUP($A71,数出表_Excel!$A$6:$T$150,COLUMN()/2+1,FALSE))),"")</f>
        <v/>
      </c>
      <c r="S71" s="80"/>
      <c r="T71" s="80" t="str">
        <f ca="1">IFERROR(VALUE(IF(VLOOKUP($A71,数出表_Excel!$A$6:$T$150,COLUMN()/2+1,FALSE)=0,"",VLOOKUP($A71,数出表_Excel!$A$6:$T$150,COLUMN()/2+1,FALSE))),"")</f>
        <v/>
      </c>
      <c r="U71" s="80"/>
      <c r="V71" s="84" t="str">
        <f ca="1">IFERROR(VALUE(IF(VLOOKUP($A71,数出表_Excel!$A$6:$T$150,COLUMN()/2+1,FALSE)=0,"",VLOOKUP($A71,数出表_Excel!$A$6:$T$150,COLUMN()/2+1,FALSE))),"")</f>
        <v/>
      </c>
      <c r="W71" s="80"/>
      <c r="X71" s="84" t="str">
        <f ca="1">IFERROR(VALUE(IF(VLOOKUP($A71,数出表_Excel!$A$6:$T$150,COLUMN()/2+1,FALSE)=0,"",VLOOKUP($A71,数出表_Excel!$A$6:$T$150,COLUMN()/2+1,FALSE))),"")</f>
        <v/>
      </c>
      <c r="Y71" s="80"/>
      <c r="Z71" s="84" t="str">
        <f ca="1">IFERROR(VALUE(IF(VLOOKUP($A71,数出表_Excel!$A$6:$T$150,COLUMN()/2+1,FALSE)=0,"",VLOOKUP($A71,数出表_Excel!$A$6:$T$150,COLUMN()/2+1,FALSE))),"")</f>
        <v/>
      </c>
      <c r="AA71" s="118"/>
      <c r="AB71" s="85" t="str">
        <f ca="1">IFERROR(VALUE(IF(VLOOKUP($A71,数出表_Excel!$A$6:$T$150,COLUMN()/2+1,FALSE)=0,"",VLOOKUP($A71,数出表_Excel!$A$6:$T$150,COLUMN()/2+1,FALSE))),"")</f>
        <v/>
      </c>
      <c r="AC71" s="80"/>
      <c r="AD71" s="84" t="str">
        <f ca="1">IFERROR(VALUE(IF(VLOOKUP($A71,数出表_Excel!$A$6:$T$150,COLUMN()/2+1,FALSE)=0,"",VLOOKUP($A71,数出表_Excel!$A$6:$T$150,COLUMN()/2+1,FALSE))),"")</f>
        <v/>
      </c>
      <c r="AE71" s="80"/>
      <c r="AF71" s="84" t="str">
        <f ca="1">IFERROR(VALUE(IF(VLOOKUP($A71,数出表_Excel!$A$6:$T$150,COLUMN()/2+1,FALSE)=0,"",VLOOKUP($A71,数出表_Excel!$A$6:$T$150,COLUMN()/2+1,FALSE))),"")</f>
        <v/>
      </c>
      <c r="AG71" s="80"/>
      <c r="AH71" s="84" t="str">
        <f ca="1">IFERROR(VALUE(IF(VLOOKUP($A71,数出表_Excel!$A$6:$T$150,COLUMN()/2+1,FALSE)=0,"",VLOOKUP($A71,数出表_Excel!$A$6:$T$150,COLUMN()/2+1,FALSE))),"")</f>
        <v/>
      </c>
      <c r="AI71" s="118"/>
      <c r="AJ71" s="85" t="str">
        <f ca="1">IFERROR(VALUE(IF(VLOOKUP($A71,数出表_Excel!$A$6:$T$150,COLUMN()/2+1,FALSE)=0,"",VLOOKUP($A71,数出表_Excel!$A$6:$T$150,COLUMN()/2+1,FALSE))),"")</f>
        <v/>
      </c>
      <c r="AK71" s="80"/>
      <c r="AL71" s="86" t="e">
        <f ca="1">IF(A71&lt;&gt;"",
IF(VLOOKUP($A71,数出表_Excel!$A$6:$T$150,COLUMN()/2+1,FALSE)=0,"",VLOOKUP($A71,数出表_Excel!$A$6:$T$150,COLUMN()/2+1,FALSE)),"")</f>
        <v>#N/A</v>
      </c>
      <c r="AM71" s="166" t="e">
        <f>数出表_Excel!V71</f>
        <v>#N/A</v>
      </c>
      <c r="AN71" s="167" t="e">
        <f>数出表_Excel!W71</f>
        <v>#N/A</v>
      </c>
    </row>
    <row r="72" spans="1:40" ht="16.2" customHeight="1">
      <c r="A72" s="126" t="e">
        <f t="array" aca="1" ref="A72" ca="1">IF(OR(COUNTIF(A70,"*10002*"),COUNTIF(A70,"")),"",INDEX(貼り付け用!$A1:$A200,MATCH(A70,貼り付け用!$A1:$A200,0)+2,0))</f>
        <v>#N/A</v>
      </c>
      <c r="B72" s="114" t="str">
        <f ca="1">IFERROR(VALUE(IF(VLOOKUP($A72,数出表_Excel!$A$6:$T$150,COLUMN()/2+1,FALSE)=0,"",VLOOKUP($A72,数出表_Excel!$A$6:$T$150,COLUMN()/2+1,FALSE))),"")</f>
        <v/>
      </c>
      <c r="C72" s="79"/>
      <c r="D72" s="114" t="str">
        <f ca="1">IFERROR(VALUE(IF(VLOOKUP($A72,数出表_Excel!$A$6:$T$150,COLUMN()/2+1,FALSE)=0,"",VLOOKUP($A72,数出表_Excel!$A$6:$T$150,COLUMN()/2+1,FALSE))),"")</f>
        <v/>
      </c>
      <c r="E72" s="79"/>
      <c r="F72" s="116" t="str">
        <f ca="1">IFERROR(VALUE(IF(VLOOKUP($A72,数出表_Excel!$A$6:$T$150,COLUMN()/2+1,FALSE)=0,"",VLOOKUP($A72,数出表_Excel!$A$6:$T$150,COLUMN()/2+1,FALSE))),"")</f>
        <v/>
      </c>
      <c r="G72" s="79"/>
      <c r="H72" s="114" t="str">
        <f ca="1">IFERROR(VALUE(IF(VLOOKUP($A72,数出表_Excel!$A$6:$T$150,COLUMN()/2+1,FALSE)=0,"",VLOOKUP($A72,数出表_Excel!$A$6:$T$150,COLUMN()/2+1,FALSE))),"")</f>
        <v/>
      </c>
      <c r="I72" s="79"/>
      <c r="J72" s="114" t="str">
        <f ca="1">IFERROR(VALUE(IF(VLOOKUP($A72,数出表_Excel!$A$6:$T$150,COLUMN()/2+1,FALSE)=0,"",VLOOKUP($A72,数出表_Excel!$A$6:$T$150,COLUMN()/2+1,FALSE))),"")</f>
        <v/>
      </c>
      <c r="K72" s="79"/>
      <c r="L72" s="116" t="str">
        <f ca="1">IFERROR(VALUE(IF(VLOOKUP($A72,数出表_Excel!$A$6:$T$150,COLUMN()/2+1,FALSE)=0,"",VLOOKUP($A72,数出表_Excel!$A$6:$T$150,COLUMN()/2+1,FALSE))),"")</f>
        <v/>
      </c>
      <c r="M72" s="79"/>
      <c r="N72" s="114" t="str">
        <f ca="1">IFERROR(VALUE(IF(VLOOKUP($A72,数出表_Excel!$A$6:$T$150,COLUMN()/2+1,FALSE)=0,"",VLOOKUP($A72,数出表_Excel!$A$6:$T$150,COLUMN()/2+1,FALSE))),"")</f>
        <v/>
      </c>
      <c r="O72" s="79"/>
      <c r="P72" s="114" t="str">
        <f ca="1">IFERROR(VALUE(IF(VLOOKUP($A72,数出表_Excel!$A$6:$T$150,COLUMN()/2+1,FALSE)=0,"",VLOOKUP($A72,数出表_Excel!$A$6:$T$150,COLUMN()/2+1,FALSE))),"")</f>
        <v/>
      </c>
      <c r="Q72" s="79"/>
      <c r="R72" s="114" t="str">
        <f ca="1">IFERROR(VALUE(IF(VLOOKUP($A72,数出表_Excel!$A$6:$T$150,COLUMN()/2+1,FALSE)=0,"",VLOOKUP($A72,数出表_Excel!$A$6:$T$150,COLUMN()/2+1,FALSE))),"")</f>
        <v/>
      </c>
      <c r="S72" s="79"/>
      <c r="T72" s="114" t="str">
        <f ca="1">IFERROR(VALUE(IF(VLOOKUP($A72,数出表_Excel!$A$6:$T$150,COLUMN()/2+1,FALSE)=0,"",VLOOKUP($A72,数出表_Excel!$A$6:$T$150,COLUMN()/2+1,FALSE))),"")</f>
        <v/>
      </c>
      <c r="U72" s="79"/>
      <c r="V72" s="116" t="str">
        <f ca="1">IFERROR(VALUE(IF(VLOOKUP($A72,数出表_Excel!$A$6:$T$150,COLUMN()/2+1,FALSE)=0,"",VLOOKUP($A72,数出表_Excel!$A$6:$T$150,COLUMN()/2+1,FALSE))),"")</f>
        <v/>
      </c>
      <c r="W72" s="79"/>
      <c r="X72" s="116" t="str">
        <f ca="1">IFERROR(VALUE(IF(VLOOKUP($A72,数出表_Excel!$A$6:$T$150,COLUMN()/2+1,FALSE)=0,"",VLOOKUP($A72,数出表_Excel!$A$6:$T$150,COLUMN()/2+1,FALSE))),"")</f>
        <v/>
      </c>
      <c r="Y72" s="79"/>
      <c r="Z72" s="116" t="str">
        <f ca="1">IFERROR(VALUE(IF(VLOOKUP($A72,数出表_Excel!$A$6:$T$150,COLUMN()/2+1,FALSE)=0,"",VLOOKUP($A72,数出表_Excel!$A$6:$T$150,COLUMN()/2+1,FALSE))),"")</f>
        <v/>
      </c>
      <c r="AA72" s="117"/>
      <c r="AB72" s="115" t="str">
        <f ca="1">IFERROR(VALUE(IF(VLOOKUP($A72,数出表_Excel!$A$6:$T$150,COLUMN()/2+1,FALSE)=0,"",VLOOKUP($A72,数出表_Excel!$A$6:$T$150,COLUMN()/2+1,FALSE))),"")</f>
        <v/>
      </c>
      <c r="AC72" s="79"/>
      <c r="AD72" s="116" t="str">
        <f ca="1">IFERROR(VALUE(IF(VLOOKUP($A72,数出表_Excel!$A$6:$T$150,COLUMN()/2+1,FALSE)=0,"",VLOOKUP($A72,数出表_Excel!$A$6:$T$150,COLUMN()/2+1,FALSE))),"")</f>
        <v/>
      </c>
      <c r="AE72" s="79"/>
      <c r="AF72" s="116" t="str">
        <f ca="1">IFERROR(VALUE(IF(VLOOKUP($A72,数出表_Excel!$A$6:$T$150,COLUMN()/2+1,FALSE)=0,"",VLOOKUP($A72,数出表_Excel!$A$6:$T$150,COLUMN()/2+1,FALSE))),"")</f>
        <v/>
      </c>
      <c r="AG72" s="79"/>
      <c r="AH72" s="116" t="str">
        <f ca="1">IFERROR(VALUE(IF(VLOOKUP($A72,数出表_Excel!$A$6:$T$150,COLUMN()/2+1,FALSE)=0,"",VLOOKUP($A72,数出表_Excel!$A$6:$T$150,COLUMN()/2+1,FALSE))),"")</f>
        <v/>
      </c>
      <c r="AI72" s="117"/>
      <c r="AJ72" s="115" t="str">
        <f ca="1">IFERROR(VALUE(IF(VLOOKUP($A72,数出表_Excel!$A$6:$T$150,COLUMN()/2+1,FALSE)=0,"",VLOOKUP($A72,数出表_Excel!$A$6:$T$150,COLUMN()/2+1,FALSE))),"")</f>
        <v/>
      </c>
      <c r="AK72" s="79"/>
      <c r="AL72" s="83" t="e">
        <f ca="1">IF(A72&lt;&gt;"",
IF(VLOOKUP($A72,数出表_Excel!$A$6:$T$150,COLUMN()/2+1,FALSE)=0,"",VLOOKUP($A72,数出表_Excel!$A$6:$T$150,COLUMN()/2+1,FALSE)),"")</f>
        <v>#N/A</v>
      </c>
      <c r="AM72" s="164" t="e">
        <f>数出表_Excel!V72</f>
        <v>#N/A</v>
      </c>
      <c r="AN72" s="165" t="e">
        <f>数出表_Excel!W72</f>
        <v>#N/A</v>
      </c>
    </row>
    <row r="73" spans="1:40" ht="16.2" customHeight="1">
      <c r="A73" s="127" t="e">
        <f t="array" aca="1" ref="A73" ca="1">IF(OR(COUNTIF(A71,"*1000*"),COUNTIF(A71,"")),"",INDEX(貼り付け用!$A1:$A200,MATCH(A71,貼り付け用!$A1:$A200,0)+2,0))</f>
        <v>#N/A</v>
      </c>
      <c r="B73" s="80" t="str">
        <f ca="1">IFERROR(VALUE(IF(VLOOKUP($A73,数出表_Excel!$A$6:$T$150,COLUMN()/2+1,FALSE)=0,"",VLOOKUP($A73,数出表_Excel!$A$6:$T$150,COLUMN()/2+1,FALSE))),"")</f>
        <v/>
      </c>
      <c r="C73" s="80"/>
      <c r="D73" s="80" t="str">
        <f ca="1">IFERROR(VALUE(IF(VLOOKUP($A73,数出表_Excel!$A$6:$T$150,COLUMN()/2+1,FALSE)=0,"",VLOOKUP($A73,数出表_Excel!$A$6:$T$150,COLUMN()/2+1,FALSE))),"")</f>
        <v/>
      </c>
      <c r="E73" s="80"/>
      <c r="F73" s="84" t="str">
        <f ca="1">IFERROR(VALUE(IF(VLOOKUP($A73,数出表_Excel!$A$6:$T$150,COLUMN()/2+1,FALSE)=0,"",VLOOKUP($A73,数出表_Excel!$A$6:$T$150,COLUMN()/2+1,FALSE))),"")</f>
        <v/>
      </c>
      <c r="G73" s="80"/>
      <c r="H73" s="80" t="str">
        <f ca="1">IFERROR(VALUE(IF(VLOOKUP($A73,数出表_Excel!$A$6:$T$150,COLUMN()/2+1,FALSE)=0,"",VLOOKUP($A73,数出表_Excel!$A$6:$T$150,COLUMN()/2+1,FALSE))),"")</f>
        <v/>
      </c>
      <c r="I73" s="80"/>
      <c r="J73" s="80" t="str">
        <f ca="1">IFERROR(VALUE(IF(VLOOKUP($A73,数出表_Excel!$A$6:$T$150,COLUMN()/2+1,FALSE)=0,"",VLOOKUP($A73,数出表_Excel!$A$6:$T$150,COLUMN()/2+1,FALSE))),"")</f>
        <v/>
      </c>
      <c r="K73" s="80"/>
      <c r="L73" s="84" t="str">
        <f ca="1">IFERROR(VALUE(IF(VLOOKUP($A73,数出表_Excel!$A$6:$T$150,COLUMN()/2+1,FALSE)=0,"",VLOOKUP($A73,数出表_Excel!$A$6:$T$150,COLUMN()/2+1,FALSE))),"")</f>
        <v/>
      </c>
      <c r="M73" s="80"/>
      <c r="N73" s="80" t="str">
        <f ca="1">IFERROR(VALUE(IF(VLOOKUP($A73,数出表_Excel!$A$6:$T$150,COLUMN()/2+1,FALSE)=0,"",VLOOKUP($A73,数出表_Excel!$A$6:$T$150,COLUMN()/2+1,FALSE))),"")</f>
        <v/>
      </c>
      <c r="O73" s="80"/>
      <c r="P73" s="80" t="str">
        <f ca="1">IFERROR(VALUE(IF(VLOOKUP($A73,数出表_Excel!$A$6:$T$150,COLUMN()/2+1,FALSE)=0,"",VLOOKUP($A73,数出表_Excel!$A$6:$T$150,COLUMN()/2+1,FALSE))),"")</f>
        <v/>
      </c>
      <c r="Q73" s="80"/>
      <c r="R73" s="80" t="str">
        <f ca="1">IFERROR(VALUE(IF(VLOOKUP($A73,数出表_Excel!$A$6:$T$150,COLUMN()/2+1,FALSE)=0,"",VLOOKUP($A73,数出表_Excel!$A$6:$T$150,COLUMN()/2+1,FALSE))),"")</f>
        <v/>
      </c>
      <c r="S73" s="80"/>
      <c r="T73" s="80" t="str">
        <f ca="1">IFERROR(VALUE(IF(VLOOKUP($A73,数出表_Excel!$A$6:$T$150,COLUMN()/2+1,FALSE)=0,"",VLOOKUP($A73,数出表_Excel!$A$6:$T$150,COLUMN()/2+1,FALSE))),"")</f>
        <v/>
      </c>
      <c r="U73" s="80"/>
      <c r="V73" s="84" t="str">
        <f ca="1">IFERROR(VALUE(IF(VLOOKUP($A73,数出表_Excel!$A$6:$T$150,COLUMN()/2+1,FALSE)=0,"",VLOOKUP($A73,数出表_Excel!$A$6:$T$150,COLUMN()/2+1,FALSE))),"")</f>
        <v/>
      </c>
      <c r="W73" s="80"/>
      <c r="X73" s="84" t="str">
        <f ca="1">IFERROR(VALUE(IF(VLOOKUP($A73,数出表_Excel!$A$6:$T$150,COLUMN()/2+1,FALSE)=0,"",VLOOKUP($A73,数出表_Excel!$A$6:$T$150,COLUMN()/2+1,FALSE))),"")</f>
        <v/>
      </c>
      <c r="Y73" s="80"/>
      <c r="Z73" s="84" t="str">
        <f ca="1">IFERROR(VALUE(IF(VLOOKUP($A73,数出表_Excel!$A$6:$T$150,COLUMN()/2+1,FALSE)=0,"",VLOOKUP($A73,数出表_Excel!$A$6:$T$150,COLUMN()/2+1,FALSE))),"")</f>
        <v/>
      </c>
      <c r="AA73" s="118"/>
      <c r="AB73" s="85" t="str">
        <f ca="1">IFERROR(VALUE(IF(VLOOKUP($A73,数出表_Excel!$A$6:$T$150,COLUMN()/2+1,FALSE)=0,"",VLOOKUP($A73,数出表_Excel!$A$6:$T$150,COLUMN()/2+1,FALSE))),"")</f>
        <v/>
      </c>
      <c r="AC73" s="80"/>
      <c r="AD73" s="84" t="str">
        <f ca="1">IFERROR(VALUE(IF(VLOOKUP($A73,数出表_Excel!$A$6:$T$150,COLUMN()/2+1,FALSE)=0,"",VLOOKUP($A73,数出表_Excel!$A$6:$T$150,COLUMN()/2+1,FALSE))),"")</f>
        <v/>
      </c>
      <c r="AE73" s="80"/>
      <c r="AF73" s="84" t="str">
        <f ca="1">IFERROR(VALUE(IF(VLOOKUP($A73,数出表_Excel!$A$6:$T$150,COLUMN()/2+1,FALSE)=0,"",VLOOKUP($A73,数出表_Excel!$A$6:$T$150,COLUMN()/2+1,FALSE))),"")</f>
        <v/>
      </c>
      <c r="AG73" s="80"/>
      <c r="AH73" s="84" t="str">
        <f ca="1">IFERROR(VALUE(IF(VLOOKUP($A73,数出表_Excel!$A$6:$T$150,COLUMN()/2+1,FALSE)=0,"",VLOOKUP($A73,数出表_Excel!$A$6:$T$150,COLUMN()/2+1,FALSE))),"")</f>
        <v/>
      </c>
      <c r="AI73" s="118"/>
      <c r="AJ73" s="85" t="str">
        <f ca="1">IFERROR(VALUE(IF(VLOOKUP($A73,数出表_Excel!$A$6:$T$150,COLUMN()/2+1,FALSE)=0,"",VLOOKUP($A73,数出表_Excel!$A$6:$T$150,COLUMN()/2+1,FALSE))),"")</f>
        <v/>
      </c>
      <c r="AK73" s="80"/>
      <c r="AL73" s="86" t="e">
        <f ca="1">IF(A73&lt;&gt;"",
IF(VLOOKUP($A73,数出表_Excel!$A$6:$T$150,COLUMN()/2+1,FALSE)=0,"",VLOOKUP($A73,数出表_Excel!$A$6:$T$150,COLUMN()/2+1,FALSE)),"")</f>
        <v>#N/A</v>
      </c>
      <c r="AM73" s="166" t="e">
        <f>数出表_Excel!V73</f>
        <v>#N/A</v>
      </c>
      <c r="AN73" s="167" t="e">
        <f>数出表_Excel!W73</f>
        <v>#N/A</v>
      </c>
    </row>
    <row r="74" spans="1:40" ht="16.2" customHeight="1">
      <c r="A74" s="126" t="e">
        <f t="array" aca="1" ref="A74" ca="1">IF(OR(COUNTIF(A72,"*10002*"),COUNTIF(A72,"")),"",INDEX(貼り付け用!$A1:$A200,MATCH(A72,貼り付け用!$A1:$A200,0)+2,0))</f>
        <v>#N/A</v>
      </c>
      <c r="B74" s="114" t="str">
        <f ca="1">IFERROR(VALUE(IF(VLOOKUP($A74,数出表_Excel!$A$6:$T$150,COLUMN()/2+1,FALSE)=0,"",VLOOKUP($A74,数出表_Excel!$A$6:$T$150,COLUMN()/2+1,FALSE))),"")</f>
        <v/>
      </c>
      <c r="C74" s="79"/>
      <c r="D74" s="114" t="str">
        <f ca="1">IFERROR(VALUE(IF(VLOOKUP($A74,数出表_Excel!$A$6:$T$150,COLUMN()/2+1,FALSE)=0,"",VLOOKUP($A74,数出表_Excel!$A$6:$T$150,COLUMN()/2+1,FALSE))),"")</f>
        <v/>
      </c>
      <c r="E74" s="79"/>
      <c r="F74" s="116" t="str">
        <f ca="1">IFERROR(VALUE(IF(VLOOKUP($A74,数出表_Excel!$A$6:$T$150,COLUMN()/2+1,FALSE)=0,"",VLOOKUP($A74,数出表_Excel!$A$6:$T$150,COLUMN()/2+1,FALSE))),"")</f>
        <v/>
      </c>
      <c r="G74" s="79"/>
      <c r="H74" s="114" t="str">
        <f ca="1">IFERROR(VALUE(IF(VLOOKUP($A74,数出表_Excel!$A$6:$T$150,COLUMN()/2+1,FALSE)=0,"",VLOOKUP($A74,数出表_Excel!$A$6:$T$150,COLUMN()/2+1,FALSE))),"")</f>
        <v/>
      </c>
      <c r="I74" s="79"/>
      <c r="J74" s="114" t="str">
        <f ca="1">IFERROR(VALUE(IF(VLOOKUP($A74,数出表_Excel!$A$6:$T$150,COLUMN()/2+1,FALSE)=0,"",VLOOKUP($A74,数出表_Excel!$A$6:$T$150,COLUMN()/2+1,FALSE))),"")</f>
        <v/>
      </c>
      <c r="K74" s="79"/>
      <c r="L74" s="116" t="str">
        <f ca="1">IFERROR(VALUE(IF(VLOOKUP($A74,数出表_Excel!$A$6:$T$150,COLUMN()/2+1,FALSE)=0,"",VLOOKUP($A74,数出表_Excel!$A$6:$T$150,COLUMN()/2+1,FALSE))),"")</f>
        <v/>
      </c>
      <c r="M74" s="79"/>
      <c r="N74" s="114" t="str">
        <f ca="1">IFERROR(VALUE(IF(VLOOKUP($A74,数出表_Excel!$A$6:$T$150,COLUMN()/2+1,FALSE)=0,"",VLOOKUP($A74,数出表_Excel!$A$6:$T$150,COLUMN()/2+1,FALSE))),"")</f>
        <v/>
      </c>
      <c r="O74" s="79"/>
      <c r="P74" s="114" t="str">
        <f ca="1">IFERROR(VALUE(IF(VLOOKUP($A74,数出表_Excel!$A$6:$T$150,COLUMN()/2+1,FALSE)=0,"",VLOOKUP($A74,数出表_Excel!$A$6:$T$150,COLUMN()/2+1,FALSE))),"")</f>
        <v/>
      </c>
      <c r="Q74" s="79"/>
      <c r="R74" s="114" t="str">
        <f ca="1">IFERROR(VALUE(IF(VLOOKUP($A74,数出表_Excel!$A$6:$T$150,COLUMN()/2+1,FALSE)=0,"",VLOOKUP($A74,数出表_Excel!$A$6:$T$150,COLUMN()/2+1,FALSE))),"")</f>
        <v/>
      </c>
      <c r="S74" s="79"/>
      <c r="T74" s="114" t="str">
        <f ca="1">IFERROR(VALUE(IF(VLOOKUP($A74,数出表_Excel!$A$6:$T$150,COLUMN()/2+1,FALSE)=0,"",VLOOKUP($A74,数出表_Excel!$A$6:$T$150,COLUMN()/2+1,FALSE))),"")</f>
        <v/>
      </c>
      <c r="U74" s="79"/>
      <c r="V74" s="116" t="str">
        <f ca="1">IFERROR(VALUE(IF(VLOOKUP($A74,数出表_Excel!$A$6:$T$150,COLUMN()/2+1,FALSE)=0,"",VLOOKUP($A74,数出表_Excel!$A$6:$T$150,COLUMN()/2+1,FALSE))),"")</f>
        <v/>
      </c>
      <c r="W74" s="79"/>
      <c r="X74" s="116" t="str">
        <f ca="1">IFERROR(VALUE(IF(VLOOKUP($A74,数出表_Excel!$A$6:$T$150,COLUMN()/2+1,FALSE)=0,"",VLOOKUP($A74,数出表_Excel!$A$6:$T$150,COLUMN()/2+1,FALSE))),"")</f>
        <v/>
      </c>
      <c r="Y74" s="79"/>
      <c r="Z74" s="116" t="str">
        <f ca="1">IFERROR(VALUE(IF(VLOOKUP($A74,数出表_Excel!$A$6:$T$150,COLUMN()/2+1,FALSE)=0,"",VLOOKUP($A74,数出表_Excel!$A$6:$T$150,COLUMN()/2+1,FALSE))),"")</f>
        <v/>
      </c>
      <c r="AA74" s="117"/>
      <c r="AB74" s="115" t="str">
        <f ca="1">IFERROR(VALUE(IF(VLOOKUP($A74,数出表_Excel!$A$6:$T$150,COLUMN()/2+1,FALSE)=0,"",VLOOKUP($A74,数出表_Excel!$A$6:$T$150,COLUMN()/2+1,FALSE))),"")</f>
        <v/>
      </c>
      <c r="AC74" s="79"/>
      <c r="AD74" s="116" t="str">
        <f ca="1">IFERROR(VALUE(IF(VLOOKUP($A74,数出表_Excel!$A$6:$T$150,COLUMN()/2+1,FALSE)=0,"",VLOOKUP($A74,数出表_Excel!$A$6:$T$150,COLUMN()/2+1,FALSE))),"")</f>
        <v/>
      </c>
      <c r="AE74" s="79"/>
      <c r="AF74" s="116" t="str">
        <f ca="1">IFERROR(VALUE(IF(VLOOKUP($A74,数出表_Excel!$A$6:$T$150,COLUMN()/2+1,FALSE)=0,"",VLOOKUP($A74,数出表_Excel!$A$6:$T$150,COLUMN()/2+1,FALSE))),"")</f>
        <v/>
      </c>
      <c r="AG74" s="79"/>
      <c r="AH74" s="116" t="str">
        <f ca="1">IFERROR(VALUE(IF(VLOOKUP($A74,数出表_Excel!$A$6:$T$150,COLUMN()/2+1,FALSE)=0,"",VLOOKUP($A74,数出表_Excel!$A$6:$T$150,COLUMN()/2+1,FALSE))),"")</f>
        <v/>
      </c>
      <c r="AI74" s="117"/>
      <c r="AJ74" s="115" t="str">
        <f ca="1">IFERROR(VALUE(IF(VLOOKUP($A74,数出表_Excel!$A$6:$T$150,COLUMN()/2+1,FALSE)=0,"",VLOOKUP($A74,数出表_Excel!$A$6:$T$150,COLUMN()/2+1,FALSE))),"")</f>
        <v/>
      </c>
      <c r="AK74" s="79"/>
      <c r="AL74" s="83" t="e">
        <f ca="1">IF(A74&lt;&gt;"",
IF(VLOOKUP($A74,数出表_Excel!$A$6:$T$150,COLUMN()/2+1,FALSE)=0,"",VLOOKUP($A74,数出表_Excel!$A$6:$T$150,COLUMN()/2+1,FALSE)),"")</f>
        <v>#N/A</v>
      </c>
      <c r="AM74" s="164" t="e">
        <f>数出表_Excel!V74</f>
        <v>#N/A</v>
      </c>
      <c r="AN74" s="165" t="e">
        <f>数出表_Excel!W74</f>
        <v>#N/A</v>
      </c>
    </row>
    <row r="75" spans="1:40" ht="16.2" customHeight="1">
      <c r="A75" s="127" t="e">
        <f t="array" aca="1" ref="A75" ca="1">IF(OR(COUNTIF(A73,"*1000*"),COUNTIF(A73,"")),"",INDEX(貼り付け用!$A1:$A200,MATCH(A73,貼り付け用!$A1:$A200,0)+2,0))</f>
        <v>#N/A</v>
      </c>
      <c r="B75" s="80" t="str">
        <f ca="1">IFERROR(VALUE(IF(VLOOKUP($A75,数出表_Excel!$A$6:$T$150,COLUMN()/2+1,FALSE)=0,"",VLOOKUP($A75,数出表_Excel!$A$6:$T$150,COLUMN()/2+1,FALSE))),"")</f>
        <v/>
      </c>
      <c r="C75" s="80"/>
      <c r="D75" s="80" t="str">
        <f ca="1">IFERROR(VALUE(IF(VLOOKUP($A75,数出表_Excel!$A$6:$T$150,COLUMN()/2+1,FALSE)=0,"",VLOOKUP($A75,数出表_Excel!$A$6:$T$150,COLUMN()/2+1,FALSE))),"")</f>
        <v/>
      </c>
      <c r="E75" s="80"/>
      <c r="F75" s="84" t="str">
        <f ca="1">IFERROR(VALUE(IF(VLOOKUP($A75,数出表_Excel!$A$6:$T$150,COLUMN()/2+1,FALSE)=0,"",VLOOKUP($A75,数出表_Excel!$A$6:$T$150,COLUMN()/2+1,FALSE))),"")</f>
        <v/>
      </c>
      <c r="G75" s="80"/>
      <c r="H75" s="80" t="str">
        <f ca="1">IFERROR(VALUE(IF(VLOOKUP($A75,数出表_Excel!$A$6:$T$150,COLUMN()/2+1,FALSE)=0,"",VLOOKUP($A75,数出表_Excel!$A$6:$T$150,COLUMN()/2+1,FALSE))),"")</f>
        <v/>
      </c>
      <c r="I75" s="80"/>
      <c r="J75" s="80" t="str">
        <f ca="1">IFERROR(VALUE(IF(VLOOKUP($A75,数出表_Excel!$A$6:$T$150,COLUMN()/2+1,FALSE)=0,"",VLOOKUP($A75,数出表_Excel!$A$6:$T$150,COLUMN()/2+1,FALSE))),"")</f>
        <v/>
      </c>
      <c r="K75" s="80"/>
      <c r="L75" s="84" t="str">
        <f ca="1">IFERROR(VALUE(IF(VLOOKUP($A75,数出表_Excel!$A$6:$T$150,COLUMN()/2+1,FALSE)=0,"",VLOOKUP($A75,数出表_Excel!$A$6:$T$150,COLUMN()/2+1,FALSE))),"")</f>
        <v/>
      </c>
      <c r="M75" s="80"/>
      <c r="N75" s="80" t="str">
        <f ca="1">IFERROR(VALUE(IF(VLOOKUP($A75,数出表_Excel!$A$6:$T$150,COLUMN()/2+1,FALSE)=0,"",VLOOKUP($A75,数出表_Excel!$A$6:$T$150,COLUMN()/2+1,FALSE))),"")</f>
        <v/>
      </c>
      <c r="O75" s="80"/>
      <c r="P75" s="80" t="str">
        <f ca="1">IFERROR(VALUE(IF(VLOOKUP($A75,数出表_Excel!$A$6:$T$150,COLUMN()/2+1,FALSE)=0,"",VLOOKUP($A75,数出表_Excel!$A$6:$T$150,COLUMN()/2+1,FALSE))),"")</f>
        <v/>
      </c>
      <c r="Q75" s="80"/>
      <c r="R75" s="80" t="str">
        <f ca="1">IFERROR(VALUE(IF(VLOOKUP($A75,数出表_Excel!$A$6:$T$150,COLUMN()/2+1,FALSE)=0,"",VLOOKUP($A75,数出表_Excel!$A$6:$T$150,COLUMN()/2+1,FALSE))),"")</f>
        <v/>
      </c>
      <c r="S75" s="80"/>
      <c r="T75" s="80" t="str">
        <f ca="1">IFERROR(VALUE(IF(VLOOKUP($A75,数出表_Excel!$A$6:$T$150,COLUMN()/2+1,FALSE)=0,"",VLOOKUP($A75,数出表_Excel!$A$6:$T$150,COLUMN()/2+1,FALSE))),"")</f>
        <v/>
      </c>
      <c r="U75" s="80"/>
      <c r="V75" s="84" t="str">
        <f ca="1">IFERROR(VALUE(IF(VLOOKUP($A75,数出表_Excel!$A$6:$T$150,COLUMN()/2+1,FALSE)=0,"",VLOOKUP($A75,数出表_Excel!$A$6:$T$150,COLUMN()/2+1,FALSE))),"")</f>
        <v/>
      </c>
      <c r="W75" s="80"/>
      <c r="X75" s="84" t="str">
        <f ca="1">IFERROR(VALUE(IF(VLOOKUP($A75,数出表_Excel!$A$6:$T$150,COLUMN()/2+1,FALSE)=0,"",VLOOKUP($A75,数出表_Excel!$A$6:$T$150,COLUMN()/2+1,FALSE))),"")</f>
        <v/>
      </c>
      <c r="Y75" s="80"/>
      <c r="Z75" s="84" t="str">
        <f ca="1">IFERROR(VALUE(IF(VLOOKUP($A75,数出表_Excel!$A$6:$T$150,COLUMN()/2+1,FALSE)=0,"",VLOOKUP($A75,数出表_Excel!$A$6:$T$150,COLUMN()/2+1,FALSE))),"")</f>
        <v/>
      </c>
      <c r="AA75" s="118"/>
      <c r="AB75" s="85" t="str">
        <f ca="1">IFERROR(VALUE(IF(VLOOKUP($A75,数出表_Excel!$A$6:$T$150,COLUMN()/2+1,FALSE)=0,"",VLOOKUP($A75,数出表_Excel!$A$6:$T$150,COLUMN()/2+1,FALSE))),"")</f>
        <v/>
      </c>
      <c r="AC75" s="80"/>
      <c r="AD75" s="84" t="str">
        <f ca="1">IFERROR(VALUE(IF(VLOOKUP($A75,数出表_Excel!$A$6:$T$150,COLUMN()/2+1,FALSE)=0,"",VLOOKUP($A75,数出表_Excel!$A$6:$T$150,COLUMN()/2+1,FALSE))),"")</f>
        <v/>
      </c>
      <c r="AE75" s="80"/>
      <c r="AF75" s="84" t="str">
        <f ca="1">IFERROR(VALUE(IF(VLOOKUP($A75,数出表_Excel!$A$6:$T$150,COLUMN()/2+1,FALSE)=0,"",VLOOKUP($A75,数出表_Excel!$A$6:$T$150,COLUMN()/2+1,FALSE))),"")</f>
        <v/>
      </c>
      <c r="AG75" s="80"/>
      <c r="AH75" s="84" t="str">
        <f ca="1">IFERROR(VALUE(IF(VLOOKUP($A75,数出表_Excel!$A$6:$T$150,COLUMN()/2+1,FALSE)=0,"",VLOOKUP($A75,数出表_Excel!$A$6:$T$150,COLUMN()/2+1,FALSE))),"")</f>
        <v/>
      </c>
      <c r="AI75" s="118"/>
      <c r="AJ75" s="85" t="str">
        <f ca="1">IFERROR(VALUE(IF(VLOOKUP($A75,数出表_Excel!$A$6:$T$150,COLUMN()/2+1,FALSE)=0,"",VLOOKUP($A75,数出表_Excel!$A$6:$T$150,COLUMN()/2+1,FALSE))),"")</f>
        <v/>
      </c>
      <c r="AK75" s="80"/>
      <c r="AL75" s="86" t="e">
        <f ca="1">IF(A75&lt;&gt;"",
IF(VLOOKUP($A75,数出表_Excel!$A$6:$T$150,COLUMN()/2+1,FALSE)=0,"",VLOOKUP($A75,数出表_Excel!$A$6:$T$150,COLUMN()/2+1,FALSE)),"")</f>
        <v>#N/A</v>
      </c>
      <c r="AM75" s="166" t="e">
        <f>数出表_Excel!V75</f>
        <v>#N/A</v>
      </c>
      <c r="AN75" s="167" t="e">
        <f>数出表_Excel!W75</f>
        <v>#N/A</v>
      </c>
    </row>
    <row r="76" spans="1:40" ht="16.2" customHeight="1">
      <c r="A76" s="126" t="e">
        <f t="array" aca="1" ref="A76" ca="1">IF(OR(COUNTIF(A74,"*10002*"),COUNTIF(A74,"")),"",INDEX(貼り付け用!$A1:$A200,MATCH(A74,貼り付け用!$A1:$A200,0)+2,0))</f>
        <v>#N/A</v>
      </c>
      <c r="B76" s="114" t="str">
        <f ca="1">IFERROR(VALUE(IF(VLOOKUP($A76,数出表_Excel!$A$6:$T$150,COLUMN()/2+1,FALSE)=0,"",VLOOKUP($A76,数出表_Excel!$A$6:$T$150,COLUMN()/2+1,FALSE))),"")</f>
        <v/>
      </c>
      <c r="C76" s="79"/>
      <c r="D76" s="114" t="str">
        <f ca="1">IFERROR(VALUE(IF(VLOOKUP($A76,数出表_Excel!$A$6:$T$150,COLUMN()/2+1,FALSE)=0,"",VLOOKUP($A76,数出表_Excel!$A$6:$T$150,COLUMN()/2+1,FALSE))),"")</f>
        <v/>
      </c>
      <c r="E76" s="79"/>
      <c r="F76" s="116" t="str">
        <f ca="1">IFERROR(VALUE(IF(VLOOKUP($A76,数出表_Excel!$A$6:$T$150,COLUMN()/2+1,FALSE)=0,"",VLOOKUP($A76,数出表_Excel!$A$6:$T$150,COLUMN()/2+1,FALSE))),"")</f>
        <v/>
      </c>
      <c r="G76" s="79"/>
      <c r="H76" s="114" t="str">
        <f ca="1">IFERROR(VALUE(IF(VLOOKUP($A76,数出表_Excel!$A$6:$T$150,COLUMN()/2+1,FALSE)=0,"",VLOOKUP($A76,数出表_Excel!$A$6:$T$150,COLUMN()/2+1,FALSE))),"")</f>
        <v/>
      </c>
      <c r="I76" s="79"/>
      <c r="J76" s="114" t="str">
        <f ca="1">IFERROR(VALUE(IF(VLOOKUP($A76,数出表_Excel!$A$6:$T$150,COLUMN()/2+1,FALSE)=0,"",VLOOKUP($A76,数出表_Excel!$A$6:$T$150,COLUMN()/2+1,FALSE))),"")</f>
        <v/>
      </c>
      <c r="K76" s="79"/>
      <c r="L76" s="116" t="str">
        <f ca="1">IFERROR(VALUE(IF(VLOOKUP($A76,数出表_Excel!$A$6:$T$150,COLUMN()/2+1,FALSE)=0,"",VLOOKUP($A76,数出表_Excel!$A$6:$T$150,COLUMN()/2+1,FALSE))),"")</f>
        <v/>
      </c>
      <c r="M76" s="79"/>
      <c r="N76" s="114" t="str">
        <f ca="1">IFERROR(VALUE(IF(VLOOKUP($A76,数出表_Excel!$A$6:$T$150,COLUMN()/2+1,FALSE)=0,"",VLOOKUP($A76,数出表_Excel!$A$6:$T$150,COLUMN()/2+1,FALSE))),"")</f>
        <v/>
      </c>
      <c r="O76" s="79"/>
      <c r="P76" s="114" t="str">
        <f ca="1">IFERROR(VALUE(IF(VLOOKUP($A76,数出表_Excel!$A$6:$T$150,COLUMN()/2+1,FALSE)=0,"",VLOOKUP($A76,数出表_Excel!$A$6:$T$150,COLUMN()/2+1,FALSE))),"")</f>
        <v/>
      </c>
      <c r="Q76" s="79"/>
      <c r="R76" s="114" t="str">
        <f ca="1">IFERROR(VALUE(IF(VLOOKUP($A76,数出表_Excel!$A$6:$T$150,COLUMN()/2+1,FALSE)=0,"",VLOOKUP($A76,数出表_Excel!$A$6:$T$150,COLUMN()/2+1,FALSE))),"")</f>
        <v/>
      </c>
      <c r="S76" s="79"/>
      <c r="T76" s="114" t="str">
        <f ca="1">IFERROR(VALUE(IF(VLOOKUP($A76,数出表_Excel!$A$6:$T$150,COLUMN()/2+1,FALSE)=0,"",VLOOKUP($A76,数出表_Excel!$A$6:$T$150,COLUMN()/2+1,FALSE))),"")</f>
        <v/>
      </c>
      <c r="U76" s="79"/>
      <c r="V76" s="116" t="str">
        <f ca="1">IFERROR(VALUE(IF(VLOOKUP($A76,数出表_Excel!$A$6:$T$150,COLUMN()/2+1,FALSE)=0,"",VLOOKUP($A76,数出表_Excel!$A$6:$T$150,COLUMN()/2+1,FALSE))),"")</f>
        <v/>
      </c>
      <c r="W76" s="79"/>
      <c r="X76" s="116" t="str">
        <f ca="1">IFERROR(VALUE(IF(VLOOKUP($A76,数出表_Excel!$A$6:$T$150,COLUMN()/2+1,FALSE)=0,"",VLOOKUP($A76,数出表_Excel!$A$6:$T$150,COLUMN()/2+1,FALSE))),"")</f>
        <v/>
      </c>
      <c r="Y76" s="79"/>
      <c r="Z76" s="116" t="str">
        <f ca="1">IFERROR(VALUE(IF(VLOOKUP($A76,数出表_Excel!$A$6:$T$150,COLUMN()/2+1,FALSE)=0,"",VLOOKUP($A76,数出表_Excel!$A$6:$T$150,COLUMN()/2+1,FALSE))),"")</f>
        <v/>
      </c>
      <c r="AA76" s="117"/>
      <c r="AB76" s="115" t="str">
        <f ca="1">IFERROR(VALUE(IF(VLOOKUP($A76,数出表_Excel!$A$6:$T$150,COLUMN()/2+1,FALSE)=0,"",VLOOKUP($A76,数出表_Excel!$A$6:$T$150,COLUMN()/2+1,FALSE))),"")</f>
        <v/>
      </c>
      <c r="AC76" s="79"/>
      <c r="AD76" s="116" t="str">
        <f ca="1">IFERROR(VALUE(IF(VLOOKUP($A76,数出表_Excel!$A$6:$T$150,COLUMN()/2+1,FALSE)=0,"",VLOOKUP($A76,数出表_Excel!$A$6:$T$150,COLUMN()/2+1,FALSE))),"")</f>
        <v/>
      </c>
      <c r="AE76" s="79"/>
      <c r="AF76" s="116" t="str">
        <f ca="1">IFERROR(VALUE(IF(VLOOKUP($A76,数出表_Excel!$A$6:$T$150,COLUMN()/2+1,FALSE)=0,"",VLOOKUP($A76,数出表_Excel!$A$6:$T$150,COLUMN()/2+1,FALSE))),"")</f>
        <v/>
      </c>
      <c r="AG76" s="79"/>
      <c r="AH76" s="116" t="str">
        <f ca="1">IFERROR(VALUE(IF(VLOOKUP($A76,数出表_Excel!$A$6:$T$150,COLUMN()/2+1,FALSE)=0,"",VLOOKUP($A76,数出表_Excel!$A$6:$T$150,COLUMN()/2+1,FALSE))),"")</f>
        <v/>
      </c>
      <c r="AI76" s="117"/>
      <c r="AJ76" s="115" t="str">
        <f ca="1">IFERROR(VALUE(IF(VLOOKUP($A76,数出表_Excel!$A$6:$T$150,COLUMN()/2+1,FALSE)=0,"",VLOOKUP($A76,数出表_Excel!$A$6:$T$150,COLUMN()/2+1,FALSE))),"")</f>
        <v/>
      </c>
      <c r="AK76" s="79"/>
      <c r="AL76" s="83" t="e">
        <f ca="1">IF(A76&lt;&gt;"",
IF(VLOOKUP($A76,数出表_Excel!$A$6:$T$150,COLUMN()/2+1,FALSE)=0,"",VLOOKUP($A76,数出表_Excel!$A$6:$T$150,COLUMN()/2+1,FALSE)),"")</f>
        <v>#N/A</v>
      </c>
      <c r="AM76" s="164" t="e">
        <f>数出表_Excel!V76</f>
        <v>#N/A</v>
      </c>
      <c r="AN76" s="165" t="e">
        <f>数出表_Excel!W76</f>
        <v>#N/A</v>
      </c>
    </row>
    <row r="77" spans="1:40" ht="16.2" customHeight="1">
      <c r="A77" s="127" t="e">
        <f t="array" aca="1" ref="A77" ca="1">IF(OR(COUNTIF(A75,"*1000*"),COUNTIF(A75,"")),"",INDEX(貼り付け用!$A1:$A200,MATCH(A75,貼り付け用!$A1:$A200,0)+2,0))</f>
        <v>#N/A</v>
      </c>
      <c r="B77" s="80" t="str">
        <f ca="1">IFERROR(VALUE(IF(VLOOKUP($A77,数出表_Excel!$A$6:$T$150,COLUMN()/2+1,FALSE)=0,"",VLOOKUP($A77,数出表_Excel!$A$6:$T$150,COLUMN()/2+1,FALSE))),"")</f>
        <v/>
      </c>
      <c r="C77" s="80"/>
      <c r="D77" s="80" t="str">
        <f ca="1">IFERROR(VALUE(IF(VLOOKUP($A77,数出表_Excel!$A$6:$T$150,COLUMN()/2+1,FALSE)=0,"",VLOOKUP($A77,数出表_Excel!$A$6:$T$150,COLUMN()/2+1,FALSE))),"")</f>
        <v/>
      </c>
      <c r="E77" s="80"/>
      <c r="F77" s="84" t="str">
        <f ca="1">IFERROR(VALUE(IF(VLOOKUP($A77,数出表_Excel!$A$6:$T$150,COLUMN()/2+1,FALSE)=0,"",VLOOKUP($A77,数出表_Excel!$A$6:$T$150,COLUMN()/2+1,FALSE))),"")</f>
        <v/>
      </c>
      <c r="G77" s="80"/>
      <c r="H77" s="80" t="str">
        <f ca="1">IFERROR(VALUE(IF(VLOOKUP($A77,数出表_Excel!$A$6:$T$150,COLUMN()/2+1,FALSE)=0,"",VLOOKUP($A77,数出表_Excel!$A$6:$T$150,COLUMN()/2+1,FALSE))),"")</f>
        <v/>
      </c>
      <c r="I77" s="80"/>
      <c r="J77" s="80" t="str">
        <f ca="1">IFERROR(VALUE(IF(VLOOKUP($A77,数出表_Excel!$A$6:$T$150,COLUMN()/2+1,FALSE)=0,"",VLOOKUP($A77,数出表_Excel!$A$6:$T$150,COLUMN()/2+1,FALSE))),"")</f>
        <v/>
      </c>
      <c r="K77" s="80"/>
      <c r="L77" s="84" t="str">
        <f ca="1">IFERROR(VALUE(IF(VLOOKUP($A77,数出表_Excel!$A$6:$T$150,COLUMN()/2+1,FALSE)=0,"",VLOOKUP($A77,数出表_Excel!$A$6:$T$150,COLUMN()/2+1,FALSE))),"")</f>
        <v/>
      </c>
      <c r="M77" s="80"/>
      <c r="N77" s="80" t="str">
        <f ca="1">IFERROR(VALUE(IF(VLOOKUP($A77,数出表_Excel!$A$6:$T$150,COLUMN()/2+1,FALSE)=0,"",VLOOKUP($A77,数出表_Excel!$A$6:$T$150,COLUMN()/2+1,FALSE))),"")</f>
        <v/>
      </c>
      <c r="O77" s="80"/>
      <c r="P77" s="80" t="str">
        <f ca="1">IFERROR(VALUE(IF(VLOOKUP($A77,数出表_Excel!$A$6:$T$150,COLUMN()/2+1,FALSE)=0,"",VLOOKUP($A77,数出表_Excel!$A$6:$T$150,COLUMN()/2+1,FALSE))),"")</f>
        <v/>
      </c>
      <c r="Q77" s="80"/>
      <c r="R77" s="80" t="str">
        <f ca="1">IFERROR(VALUE(IF(VLOOKUP($A77,数出表_Excel!$A$6:$T$150,COLUMN()/2+1,FALSE)=0,"",VLOOKUP($A77,数出表_Excel!$A$6:$T$150,COLUMN()/2+1,FALSE))),"")</f>
        <v/>
      </c>
      <c r="S77" s="80"/>
      <c r="T77" s="80" t="str">
        <f ca="1">IFERROR(VALUE(IF(VLOOKUP($A77,数出表_Excel!$A$6:$T$150,COLUMN()/2+1,FALSE)=0,"",VLOOKUP($A77,数出表_Excel!$A$6:$T$150,COLUMN()/2+1,FALSE))),"")</f>
        <v/>
      </c>
      <c r="U77" s="80"/>
      <c r="V77" s="84" t="str">
        <f ca="1">IFERROR(VALUE(IF(VLOOKUP($A77,数出表_Excel!$A$6:$T$150,COLUMN()/2+1,FALSE)=0,"",VLOOKUP($A77,数出表_Excel!$A$6:$T$150,COLUMN()/2+1,FALSE))),"")</f>
        <v/>
      </c>
      <c r="W77" s="80"/>
      <c r="X77" s="84" t="str">
        <f ca="1">IFERROR(VALUE(IF(VLOOKUP($A77,数出表_Excel!$A$6:$T$150,COLUMN()/2+1,FALSE)=0,"",VLOOKUP($A77,数出表_Excel!$A$6:$T$150,COLUMN()/2+1,FALSE))),"")</f>
        <v/>
      </c>
      <c r="Y77" s="80"/>
      <c r="Z77" s="84" t="str">
        <f ca="1">IFERROR(VALUE(IF(VLOOKUP($A77,数出表_Excel!$A$6:$T$150,COLUMN()/2+1,FALSE)=0,"",VLOOKUP($A77,数出表_Excel!$A$6:$T$150,COLUMN()/2+1,FALSE))),"")</f>
        <v/>
      </c>
      <c r="AA77" s="118"/>
      <c r="AB77" s="85" t="str">
        <f ca="1">IFERROR(VALUE(IF(VLOOKUP($A77,数出表_Excel!$A$6:$T$150,COLUMN()/2+1,FALSE)=0,"",VLOOKUP($A77,数出表_Excel!$A$6:$T$150,COLUMN()/2+1,FALSE))),"")</f>
        <v/>
      </c>
      <c r="AC77" s="80"/>
      <c r="AD77" s="84" t="str">
        <f ca="1">IFERROR(VALUE(IF(VLOOKUP($A77,数出表_Excel!$A$6:$T$150,COLUMN()/2+1,FALSE)=0,"",VLOOKUP($A77,数出表_Excel!$A$6:$T$150,COLUMN()/2+1,FALSE))),"")</f>
        <v/>
      </c>
      <c r="AE77" s="80"/>
      <c r="AF77" s="84" t="str">
        <f ca="1">IFERROR(VALUE(IF(VLOOKUP($A77,数出表_Excel!$A$6:$T$150,COLUMN()/2+1,FALSE)=0,"",VLOOKUP($A77,数出表_Excel!$A$6:$T$150,COLUMN()/2+1,FALSE))),"")</f>
        <v/>
      </c>
      <c r="AG77" s="80"/>
      <c r="AH77" s="84" t="str">
        <f ca="1">IFERROR(VALUE(IF(VLOOKUP($A77,数出表_Excel!$A$6:$T$150,COLUMN()/2+1,FALSE)=0,"",VLOOKUP($A77,数出表_Excel!$A$6:$T$150,COLUMN()/2+1,FALSE))),"")</f>
        <v/>
      </c>
      <c r="AI77" s="118"/>
      <c r="AJ77" s="85" t="str">
        <f ca="1">IFERROR(VALUE(IF(VLOOKUP($A77,数出表_Excel!$A$6:$T$150,COLUMN()/2+1,FALSE)=0,"",VLOOKUP($A77,数出表_Excel!$A$6:$T$150,COLUMN()/2+1,FALSE))),"")</f>
        <v/>
      </c>
      <c r="AK77" s="80"/>
      <c r="AL77" s="86" t="e">
        <f ca="1">IF(A77&lt;&gt;"",
IF(VLOOKUP($A77,数出表_Excel!$A$6:$T$150,COLUMN()/2+1,FALSE)=0,"",VLOOKUP($A77,数出表_Excel!$A$6:$T$150,COLUMN()/2+1,FALSE)),"")</f>
        <v>#N/A</v>
      </c>
      <c r="AM77" s="166" t="e">
        <f>数出表_Excel!V77</f>
        <v>#N/A</v>
      </c>
      <c r="AN77" s="167" t="e">
        <f>数出表_Excel!W77</f>
        <v>#N/A</v>
      </c>
    </row>
    <row r="78" spans="1:40" ht="16.2" customHeight="1">
      <c r="A78" s="126" t="e">
        <f t="array" aca="1" ref="A78" ca="1">IF(OR(COUNTIF(A76,"*10002*"),COUNTIF(A76,"")),"",INDEX(貼り付け用!$A1:$A200,MATCH(A76,貼り付け用!$A1:$A200,0)+2,0))</f>
        <v>#N/A</v>
      </c>
      <c r="B78" s="114" t="str">
        <f ca="1">IFERROR(VALUE(IF(VLOOKUP($A78,数出表_Excel!$A$6:$T$150,COLUMN()/2+1,FALSE)=0,"",VLOOKUP($A78,数出表_Excel!$A$6:$T$150,COLUMN()/2+1,FALSE))),"")</f>
        <v/>
      </c>
      <c r="C78" s="79"/>
      <c r="D78" s="114" t="str">
        <f ca="1">IFERROR(VALUE(IF(VLOOKUP($A78,数出表_Excel!$A$6:$T$150,COLUMN()/2+1,FALSE)=0,"",VLOOKUP($A78,数出表_Excel!$A$6:$T$150,COLUMN()/2+1,FALSE))),"")</f>
        <v/>
      </c>
      <c r="E78" s="79"/>
      <c r="F78" s="116" t="str">
        <f ca="1">IFERROR(VALUE(IF(VLOOKUP($A78,数出表_Excel!$A$6:$T$150,COLUMN()/2+1,FALSE)=0,"",VLOOKUP($A78,数出表_Excel!$A$6:$T$150,COLUMN()/2+1,FALSE))),"")</f>
        <v/>
      </c>
      <c r="G78" s="79"/>
      <c r="H78" s="114" t="str">
        <f ca="1">IFERROR(VALUE(IF(VLOOKUP($A78,数出表_Excel!$A$6:$T$150,COLUMN()/2+1,FALSE)=0,"",VLOOKUP($A78,数出表_Excel!$A$6:$T$150,COLUMN()/2+1,FALSE))),"")</f>
        <v/>
      </c>
      <c r="I78" s="79"/>
      <c r="J78" s="114" t="str">
        <f ca="1">IFERROR(VALUE(IF(VLOOKUP($A78,数出表_Excel!$A$6:$T$150,COLUMN()/2+1,FALSE)=0,"",VLOOKUP($A78,数出表_Excel!$A$6:$T$150,COLUMN()/2+1,FALSE))),"")</f>
        <v/>
      </c>
      <c r="K78" s="79"/>
      <c r="L78" s="116" t="str">
        <f ca="1">IFERROR(VALUE(IF(VLOOKUP($A78,数出表_Excel!$A$6:$T$150,COLUMN()/2+1,FALSE)=0,"",VLOOKUP($A78,数出表_Excel!$A$6:$T$150,COLUMN()/2+1,FALSE))),"")</f>
        <v/>
      </c>
      <c r="M78" s="79"/>
      <c r="N78" s="114" t="str">
        <f ca="1">IFERROR(VALUE(IF(VLOOKUP($A78,数出表_Excel!$A$6:$T$150,COLUMN()/2+1,FALSE)=0,"",VLOOKUP($A78,数出表_Excel!$A$6:$T$150,COLUMN()/2+1,FALSE))),"")</f>
        <v/>
      </c>
      <c r="O78" s="79"/>
      <c r="P78" s="114" t="str">
        <f ca="1">IFERROR(VALUE(IF(VLOOKUP($A78,数出表_Excel!$A$6:$T$150,COLUMN()/2+1,FALSE)=0,"",VLOOKUP($A78,数出表_Excel!$A$6:$T$150,COLUMN()/2+1,FALSE))),"")</f>
        <v/>
      </c>
      <c r="Q78" s="79"/>
      <c r="R78" s="114" t="str">
        <f ca="1">IFERROR(VALUE(IF(VLOOKUP($A78,数出表_Excel!$A$6:$T$150,COLUMN()/2+1,FALSE)=0,"",VLOOKUP($A78,数出表_Excel!$A$6:$T$150,COLUMN()/2+1,FALSE))),"")</f>
        <v/>
      </c>
      <c r="S78" s="79"/>
      <c r="T78" s="114" t="str">
        <f ca="1">IFERROR(VALUE(IF(VLOOKUP($A78,数出表_Excel!$A$6:$T$150,COLUMN()/2+1,FALSE)=0,"",VLOOKUP($A78,数出表_Excel!$A$6:$T$150,COLUMN()/2+1,FALSE))),"")</f>
        <v/>
      </c>
      <c r="U78" s="79"/>
      <c r="V78" s="116" t="str">
        <f ca="1">IFERROR(VALUE(IF(VLOOKUP($A78,数出表_Excel!$A$6:$T$150,COLUMN()/2+1,FALSE)=0,"",VLOOKUP($A78,数出表_Excel!$A$6:$T$150,COLUMN()/2+1,FALSE))),"")</f>
        <v/>
      </c>
      <c r="W78" s="79"/>
      <c r="X78" s="116" t="str">
        <f ca="1">IFERROR(VALUE(IF(VLOOKUP($A78,数出表_Excel!$A$6:$T$150,COLUMN()/2+1,FALSE)=0,"",VLOOKUP($A78,数出表_Excel!$A$6:$T$150,COLUMN()/2+1,FALSE))),"")</f>
        <v/>
      </c>
      <c r="Y78" s="79"/>
      <c r="Z78" s="116" t="str">
        <f ca="1">IFERROR(VALUE(IF(VLOOKUP($A78,数出表_Excel!$A$6:$T$150,COLUMN()/2+1,FALSE)=0,"",VLOOKUP($A78,数出表_Excel!$A$6:$T$150,COLUMN()/2+1,FALSE))),"")</f>
        <v/>
      </c>
      <c r="AA78" s="117"/>
      <c r="AB78" s="115" t="str">
        <f ca="1">IFERROR(VALUE(IF(VLOOKUP($A78,数出表_Excel!$A$6:$T$150,COLUMN()/2+1,FALSE)=0,"",VLOOKUP($A78,数出表_Excel!$A$6:$T$150,COLUMN()/2+1,FALSE))),"")</f>
        <v/>
      </c>
      <c r="AC78" s="79"/>
      <c r="AD78" s="116" t="str">
        <f ca="1">IFERROR(VALUE(IF(VLOOKUP($A78,数出表_Excel!$A$6:$T$150,COLUMN()/2+1,FALSE)=0,"",VLOOKUP($A78,数出表_Excel!$A$6:$T$150,COLUMN()/2+1,FALSE))),"")</f>
        <v/>
      </c>
      <c r="AE78" s="79"/>
      <c r="AF78" s="116" t="str">
        <f ca="1">IFERROR(VALUE(IF(VLOOKUP($A78,数出表_Excel!$A$6:$T$150,COLUMN()/2+1,FALSE)=0,"",VLOOKUP($A78,数出表_Excel!$A$6:$T$150,COLUMN()/2+1,FALSE))),"")</f>
        <v/>
      </c>
      <c r="AG78" s="79"/>
      <c r="AH78" s="116" t="str">
        <f ca="1">IFERROR(VALUE(IF(VLOOKUP($A78,数出表_Excel!$A$6:$T$150,COLUMN()/2+1,FALSE)=0,"",VLOOKUP($A78,数出表_Excel!$A$6:$T$150,COLUMN()/2+1,FALSE))),"")</f>
        <v/>
      </c>
      <c r="AI78" s="117"/>
      <c r="AJ78" s="115" t="str">
        <f ca="1">IFERROR(VALUE(IF(VLOOKUP($A78,数出表_Excel!$A$6:$T$150,COLUMN()/2+1,FALSE)=0,"",VLOOKUP($A78,数出表_Excel!$A$6:$T$150,COLUMN()/2+1,FALSE))),"")</f>
        <v/>
      </c>
      <c r="AK78" s="79"/>
      <c r="AL78" s="83" t="e">
        <f ca="1">IF(A78&lt;&gt;"",
IF(VLOOKUP($A78,数出表_Excel!$A$6:$T$150,COLUMN()/2+1,FALSE)=0,"",VLOOKUP($A78,数出表_Excel!$A$6:$T$150,COLUMN()/2+1,FALSE)),"")</f>
        <v>#N/A</v>
      </c>
      <c r="AM78" s="164" t="e">
        <f>数出表_Excel!V78</f>
        <v>#N/A</v>
      </c>
      <c r="AN78" s="165" t="e">
        <f>数出表_Excel!W78</f>
        <v>#N/A</v>
      </c>
    </row>
    <row r="79" spans="1:40" ht="16.2" customHeight="1">
      <c r="A79" s="127" t="e">
        <f t="array" aca="1" ref="A79" ca="1">IF(OR(COUNTIF(A77,"*1000*"),COUNTIF(A77,"")),"",INDEX(貼り付け用!$A1:$A200,MATCH(A77,貼り付け用!$A1:$A200,0)+2,0))</f>
        <v>#N/A</v>
      </c>
      <c r="B79" s="80" t="str">
        <f ca="1">IFERROR(VALUE(IF(VLOOKUP($A79,数出表_Excel!$A$6:$T$150,COLUMN()/2+1,FALSE)=0,"",VLOOKUP($A79,数出表_Excel!$A$6:$T$150,COLUMN()/2+1,FALSE))),"")</f>
        <v/>
      </c>
      <c r="C79" s="80"/>
      <c r="D79" s="80" t="str">
        <f ca="1">IFERROR(VALUE(IF(VLOOKUP($A79,数出表_Excel!$A$6:$T$150,COLUMN()/2+1,FALSE)=0,"",VLOOKUP($A79,数出表_Excel!$A$6:$T$150,COLUMN()/2+1,FALSE))),"")</f>
        <v/>
      </c>
      <c r="E79" s="80"/>
      <c r="F79" s="84" t="str">
        <f ca="1">IFERROR(VALUE(IF(VLOOKUP($A79,数出表_Excel!$A$6:$T$150,COLUMN()/2+1,FALSE)=0,"",VLOOKUP($A79,数出表_Excel!$A$6:$T$150,COLUMN()/2+1,FALSE))),"")</f>
        <v/>
      </c>
      <c r="G79" s="80"/>
      <c r="H79" s="80" t="str">
        <f ca="1">IFERROR(VALUE(IF(VLOOKUP($A79,数出表_Excel!$A$6:$T$150,COLUMN()/2+1,FALSE)=0,"",VLOOKUP($A79,数出表_Excel!$A$6:$T$150,COLUMN()/2+1,FALSE))),"")</f>
        <v/>
      </c>
      <c r="I79" s="80"/>
      <c r="J79" s="80" t="str">
        <f ca="1">IFERROR(VALUE(IF(VLOOKUP($A79,数出表_Excel!$A$6:$T$150,COLUMN()/2+1,FALSE)=0,"",VLOOKUP($A79,数出表_Excel!$A$6:$T$150,COLUMN()/2+1,FALSE))),"")</f>
        <v/>
      </c>
      <c r="K79" s="80"/>
      <c r="L79" s="84" t="str">
        <f ca="1">IFERROR(VALUE(IF(VLOOKUP($A79,数出表_Excel!$A$6:$T$150,COLUMN()/2+1,FALSE)=0,"",VLOOKUP($A79,数出表_Excel!$A$6:$T$150,COLUMN()/2+1,FALSE))),"")</f>
        <v/>
      </c>
      <c r="M79" s="80"/>
      <c r="N79" s="80" t="str">
        <f ca="1">IFERROR(VALUE(IF(VLOOKUP($A79,数出表_Excel!$A$6:$T$150,COLUMN()/2+1,FALSE)=0,"",VLOOKUP($A79,数出表_Excel!$A$6:$T$150,COLUMN()/2+1,FALSE))),"")</f>
        <v/>
      </c>
      <c r="O79" s="80"/>
      <c r="P79" s="80" t="str">
        <f ca="1">IFERROR(VALUE(IF(VLOOKUP($A79,数出表_Excel!$A$6:$T$150,COLUMN()/2+1,FALSE)=0,"",VLOOKUP($A79,数出表_Excel!$A$6:$T$150,COLUMN()/2+1,FALSE))),"")</f>
        <v/>
      </c>
      <c r="Q79" s="80"/>
      <c r="R79" s="80" t="str">
        <f ca="1">IFERROR(VALUE(IF(VLOOKUP($A79,数出表_Excel!$A$6:$T$150,COLUMN()/2+1,FALSE)=0,"",VLOOKUP($A79,数出表_Excel!$A$6:$T$150,COLUMN()/2+1,FALSE))),"")</f>
        <v/>
      </c>
      <c r="S79" s="80"/>
      <c r="T79" s="80" t="str">
        <f ca="1">IFERROR(VALUE(IF(VLOOKUP($A79,数出表_Excel!$A$6:$T$150,COLUMN()/2+1,FALSE)=0,"",VLOOKUP($A79,数出表_Excel!$A$6:$T$150,COLUMN()/2+1,FALSE))),"")</f>
        <v/>
      </c>
      <c r="U79" s="80"/>
      <c r="V79" s="84" t="str">
        <f ca="1">IFERROR(VALUE(IF(VLOOKUP($A79,数出表_Excel!$A$6:$T$150,COLUMN()/2+1,FALSE)=0,"",VLOOKUP($A79,数出表_Excel!$A$6:$T$150,COLUMN()/2+1,FALSE))),"")</f>
        <v/>
      </c>
      <c r="W79" s="80"/>
      <c r="X79" s="84" t="str">
        <f ca="1">IFERROR(VALUE(IF(VLOOKUP($A79,数出表_Excel!$A$6:$T$150,COLUMN()/2+1,FALSE)=0,"",VLOOKUP($A79,数出表_Excel!$A$6:$T$150,COLUMN()/2+1,FALSE))),"")</f>
        <v/>
      </c>
      <c r="Y79" s="80"/>
      <c r="Z79" s="84" t="str">
        <f ca="1">IFERROR(VALUE(IF(VLOOKUP($A79,数出表_Excel!$A$6:$T$150,COLUMN()/2+1,FALSE)=0,"",VLOOKUP($A79,数出表_Excel!$A$6:$T$150,COLUMN()/2+1,FALSE))),"")</f>
        <v/>
      </c>
      <c r="AA79" s="118"/>
      <c r="AB79" s="85" t="str">
        <f ca="1">IFERROR(VALUE(IF(VLOOKUP($A79,数出表_Excel!$A$6:$T$150,COLUMN()/2+1,FALSE)=0,"",VLOOKUP($A79,数出表_Excel!$A$6:$T$150,COLUMN()/2+1,FALSE))),"")</f>
        <v/>
      </c>
      <c r="AC79" s="80"/>
      <c r="AD79" s="84" t="str">
        <f ca="1">IFERROR(VALUE(IF(VLOOKUP($A79,数出表_Excel!$A$6:$T$150,COLUMN()/2+1,FALSE)=0,"",VLOOKUP($A79,数出表_Excel!$A$6:$T$150,COLUMN()/2+1,FALSE))),"")</f>
        <v/>
      </c>
      <c r="AE79" s="80"/>
      <c r="AF79" s="84" t="str">
        <f ca="1">IFERROR(VALUE(IF(VLOOKUP($A79,数出表_Excel!$A$6:$T$150,COLUMN()/2+1,FALSE)=0,"",VLOOKUP($A79,数出表_Excel!$A$6:$T$150,COLUMN()/2+1,FALSE))),"")</f>
        <v/>
      </c>
      <c r="AG79" s="80"/>
      <c r="AH79" s="84" t="str">
        <f ca="1">IFERROR(VALUE(IF(VLOOKUP($A79,数出表_Excel!$A$6:$T$150,COLUMN()/2+1,FALSE)=0,"",VLOOKUP($A79,数出表_Excel!$A$6:$T$150,COLUMN()/2+1,FALSE))),"")</f>
        <v/>
      </c>
      <c r="AI79" s="118"/>
      <c r="AJ79" s="85" t="str">
        <f ca="1">IFERROR(VALUE(IF(VLOOKUP($A79,数出表_Excel!$A$6:$T$150,COLUMN()/2+1,FALSE)=0,"",VLOOKUP($A79,数出表_Excel!$A$6:$T$150,COLUMN()/2+1,FALSE))),"")</f>
        <v/>
      </c>
      <c r="AK79" s="80"/>
      <c r="AL79" s="86" t="e">
        <f ca="1">IF(A79&lt;&gt;"",
IF(VLOOKUP($A79,数出表_Excel!$A$6:$T$150,COLUMN()/2+1,FALSE)=0,"",VLOOKUP($A79,数出表_Excel!$A$6:$T$150,COLUMN()/2+1,FALSE)),"")</f>
        <v>#N/A</v>
      </c>
      <c r="AM79" s="166" t="e">
        <f>数出表_Excel!V79</f>
        <v>#N/A</v>
      </c>
      <c r="AN79" s="167" t="e">
        <f>数出表_Excel!W79</f>
        <v>#N/A</v>
      </c>
    </row>
    <row r="80" spans="1:40" ht="16.2" customHeight="1">
      <c r="A80" s="126" t="e">
        <f t="array" aca="1" ref="A80" ca="1">IF(OR(COUNTIF(A78,"*10002*"),COUNTIF(A78,"")),"",INDEX(貼り付け用!$A1:$A200,MATCH(A78,貼り付け用!$A1:$A200,0)+2,0))</f>
        <v>#N/A</v>
      </c>
      <c r="B80" s="114" t="str">
        <f ca="1">IFERROR(VALUE(IF(VLOOKUP($A80,数出表_Excel!$A$6:$T$150,COLUMN()/2+1,FALSE)=0,"",VLOOKUP($A80,数出表_Excel!$A$6:$T$150,COLUMN()/2+1,FALSE))),"")</f>
        <v/>
      </c>
      <c r="C80" s="79"/>
      <c r="D80" s="114" t="str">
        <f ca="1">IFERROR(VALUE(IF(VLOOKUP($A80,数出表_Excel!$A$6:$T$150,COLUMN()/2+1,FALSE)=0,"",VLOOKUP($A80,数出表_Excel!$A$6:$T$150,COLUMN()/2+1,FALSE))),"")</f>
        <v/>
      </c>
      <c r="E80" s="79"/>
      <c r="F80" s="116" t="str">
        <f ca="1">IFERROR(VALUE(IF(VLOOKUP($A80,数出表_Excel!$A$6:$T$150,COLUMN()/2+1,FALSE)=0,"",VLOOKUP($A80,数出表_Excel!$A$6:$T$150,COLUMN()/2+1,FALSE))),"")</f>
        <v/>
      </c>
      <c r="G80" s="79"/>
      <c r="H80" s="114" t="str">
        <f ca="1">IFERROR(VALUE(IF(VLOOKUP($A80,数出表_Excel!$A$6:$T$150,COLUMN()/2+1,FALSE)=0,"",VLOOKUP($A80,数出表_Excel!$A$6:$T$150,COLUMN()/2+1,FALSE))),"")</f>
        <v/>
      </c>
      <c r="I80" s="79"/>
      <c r="J80" s="114" t="str">
        <f ca="1">IFERROR(VALUE(IF(VLOOKUP($A80,数出表_Excel!$A$6:$T$150,COLUMN()/2+1,FALSE)=0,"",VLOOKUP($A80,数出表_Excel!$A$6:$T$150,COLUMN()/2+1,FALSE))),"")</f>
        <v/>
      </c>
      <c r="K80" s="79"/>
      <c r="L80" s="116" t="str">
        <f ca="1">IFERROR(VALUE(IF(VLOOKUP($A80,数出表_Excel!$A$6:$T$150,COLUMN()/2+1,FALSE)=0,"",VLOOKUP($A80,数出表_Excel!$A$6:$T$150,COLUMN()/2+1,FALSE))),"")</f>
        <v/>
      </c>
      <c r="M80" s="79"/>
      <c r="N80" s="114" t="str">
        <f ca="1">IFERROR(VALUE(IF(VLOOKUP($A80,数出表_Excel!$A$6:$T$150,COLUMN()/2+1,FALSE)=0,"",VLOOKUP($A80,数出表_Excel!$A$6:$T$150,COLUMN()/2+1,FALSE))),"")</f>
        <v/>
      </c>
      <c r="O80" s="79"/>
      <c r="P80" s="114" t="str">
        <f ca="1">IFERROR(VALUE(IF(VLOOKUP($A80,数出表_Excel!$A$6:$T$150,COLUMN()/2+1,FALSE)=0,"",VLOOKUP($A80,数出表_Excel!$A$6:$T$150,COLUMN()/2+1,FALSE))),"")</f>
        <v/>
      </c>
      <c r="Q80" s="79"/>
      <c r="R80" s="114" t="str">
        <f ca="1">IFERROR(VALUE(IF(VLOOKUP($A80,数出表_Excel!$A$6:$T$150,COLUMN()/2+1,FALSE)=0,"",VLOOKUP($A80,数出表_Excel!$A$6:$T$150,COLUMN()/2+1,FALSE))),"")</f>
        <v/>
      </c>
      <c r="S80" s="79"/>
      <c r="T80" s="114" t="str">
        <f ca="1">IFERROR(VALUE(IF(VLOOKUP($A80,数出表_Excel!$A$6:$T$150,COLUMN()/2+1,FALSE)=0,"",VLOOKUP($A80,数出表_Excel!$A$6:$T$150,COLUMN()/2+1,FALSE))),"")</f>
        <v/>
      </c>
      <c r="U80" s="79"/>
      <c r="V80" s="116" t="str">
        <f ca="1">IFERROR(VALUE(IF(VLOOKUP($A80,数出表_Excel!$A$6:$T$150,COLUMN()/2+1,FALSE)=0,"",VLOOKUP($A80,数出表_Excel!$A$6:$T$150,COLUMN()/2+1,FALSE))),"")</f>
        <v/>
      </c>
      <c r="W80" s="79"/>
      <c r="X80" s="116" t="str">
        <f ca="1">IFERROR(VALUE(IF(VLOOKUP($A80,数出表_Excel!$A$6:$T$150,COLUMN()/2+1,FALSE)=0,"",VLOOKUP($A80,数出表_Excel!$A$6:$T$150,COLUMN()/2+1,FALSE))),"")</f>
        <v/>
      </c>
      <c r="Y80" s="79"/>
      <c r="Z80" s="116" t="str">
        <f ca="1">IFERROR(VALUE(IF(VLOOKUP($A80,数出表_Excel!$A$6:$T$150,COLUMN()/2+1,FALSE)=0,"",VLOOKUP($A80,数出表_Excel!$A$6:$T$150,COLUMN()/2+1,FALSE))),"")</f>
        <v/>
      </c>
      <c r="AA80" s="117"/>
      <c r="AB80" s="115" t="str">
        <f ca="1">IFERROR(VALUE(IF(VLOOKUP($A80,数出表_Excel!$A$6:$T$150,COLUMN()/2+1,FALSE)=0,"",VLOOKUP($A80,数出表_Excel!$A$6:$T$150,COLUMN()/2+1,FALSE))),"")</f>
        <v/>
      </c>
      <c r="AC80" s="79"/>
      <c r="AD80" s="116" t="str">
        <f ca="1">IFERROR(VALUE(IF(VLOOKUP($A80,数出表_Excel!$A$6:$T$150,COLUMN()/2+1,FALSE)=0,"",VLOOKUP($A80,数出表_Excel!$A$6:$T$150,COLUMN()/2+1,FALSE))),"")</f>
        <v/>
      </c>
      <c r="AE80" s="79"/>
      <c r="AF80" s="116" t="str">
        <f ca="1">IFERROR(VALUE(IF(VLOOKUP($A80,数出表_Excel!$A$6:$T$150,COLUMN()/2+1,FALSE)=0,"",VLOOKUP($A80,数出表_Excel!$A$6:$T$150,COLUMN()/2+1,FALSE))),"")</f>
        <v/>
      </c>
      <c r="AG80" s="79"/>
      <c r="AH80" s="116" t="str">
        <f ca="1">IFERROR(VALUE(IF(VLOOKUP($A80,数出表_Excel!$A$6:$T$150,COLUMN()/2+1,FALSE)=0,"",VLOOKUP($A80,数出表_Excel!$A$6:$T$150,COLUMN()/2+1,FALSE))),"")</f>
        <v/>
      </c>
      <c r="AI80" s="117"/>
      <c r="AJ80" s="115" t="str">
        <f ca="1">IFERROR(VALUE(IF(VLOOKUP($A80,数出表_Excel!$A$6:$T$150,COLUMN()/2+1,FALSE)=0,"",VLOOKUP($A80,数出表_Excel!$A$6:$T$150,COLUMN()/2+1,FALSE))),"")</f>
        <v/>
      </c>
      <c r="AK80" s="79"/>
      <c r="AL80" s="83" t="e">
        <f ca="1">IF(A80&lt;&gt;"",
IF(VLOOKUP($A80,数出表_Excel!$A$6:$T$150,COLUMN()/2+1,FALSE)=0,"",VLOOKUP($A80,数出表_Excel!$A$6:$T$150,COLUMN()/2+1,FALSE)),"")</f>
        <v>#N/A</v>
      </c>
      <c r="AM80" s="164" t="e">
        <f>数出表_Excel!V80</f>
        <v>#N/A</v>
      </c>
      <c r="AN80" s="165" t="e">
        <f>数出表_Excel!W80</f>
        <v>#N/A</v>
      </c>
    </row>
    <row r="81" spans="1:40" ht="16.2" customHeight="1">
      <c r="A81" s="127" t="e">
        <f t="array" aca="1" ref="A81" ca="1">IF(OR(COUNTIF(A79,"*1000*"),COUNTIF(A79,"")),"",INDEX(貼り付け用!$A1:$A200,MATCH(A79,貼り付け用!$A1:$A200,0)+2,0))</f>
        <v>#N/A</v>
      </c>
      <c r="B81" s="80" t="str">
        <f ca="1">IFERROR(VALUE(IF(VLOOKUP($A81,数出表_Excel!$A$6:$T$150,COLUMN()/2+1,FALSE)=0,"",VLOOKUP($A81,数出表_Excel!$A$6:$T$150,COLUMN()/2+1,FALSE))),"")</f>
        <v/>
      </c>
      <c r="C81" s="80"/>
      <c r="D81" s="80" t="str">
        <f ca="1">IFERROR(VALUE(IF(VLOOKUP($A81,数出表_Excel!$A$6:$T$150,COLUMN()/2+1,FALSE)=0,"",VLOOKUP($A81,数出表_Excel!$A$6:$T$150,COLUMN()/2+1,FALSE))),"")</f>
        <v/>
      </c>
      <c r="E81" s="80"/>
      <c r="F81" s="84" t="str">
        <f ca="1">IFERROR(VALUE(IF(VLOOKUP($A81,数出表_Excel!$A$6:$T$150,COLUMN()/2+1,FALSE)=0,"",VLOOKUP($A81,数出表_Excel!$A$6:$T$150,COLUMN()/2+1,FALSE))),"")</f>
        <v/>
      </c>
      <c r="G81" s="80"/>
      <c r="H81" s="80" t="str">
        <f ca="1">IFERROR(VALUE(IF(VLOOKUP($A81,数出表_Excel!$A$6:$T$150,COLUMN()/2+1,FALSE)=0,"",VLOOKUP($A81,数出表_Excel!$A$6:$T$150,COLUMN()/2+1,FALSE))),"")</f>
        <v/>
      </c>
      <c r="I81" s="80"/>
      <c r="J81" s="80" t="str">
        <f ca="1">IFERROR(VALUE(IF(VLOOKUP($A81,数出表_Excel!$A$6:$T$150,COLUMN()/2+1,FALSE)=0,"",VLOOKUP($A81,数出表_Excel!$A$6:$T$150,COLUMN()/2+1,FALSE))),"")</f>
        <v/>
      </c>
      <c r="K81" s="80"/>
      <c r="L81" s="84" t="str">
        <f ca="1">IFERROR(VALUE(IF(VLOOKUP($A81,数出表_Excel!$A$6:$T$150,COLUMN()/2+1,FALSE)=0,"",VLOOKUP($A81,数出表_Excel!$A$6:$T$150,COLUMN()/2+1,FALSE))),"")</f>
        <v/>
      </c>
      <c r="M81" s="80"/>
      <c r="N81" s="80" t="str">
        <f ca="1">IFERROR(VALUE(IF(VLOOKUP($A81,数出表_Excel!$A$6:$T$150,COLUMN()/2+1,FALSE)=0,"",VLOOKUP($A81,数出表_Excel!$A$6:$T$150,COLUMN()/2+1,FALSE))),"")</f>
        <v/>
      </c>
      <c r="O81" s="80"/>
      <c r="P81" s="80" t="str">
        <f ca="1">IFERROR(VALUE(IF(VLOOKUP($A81,数出表_Excel!$A$6:$T$150,COLUMN()/2+1,FALSE)=0,"",VLOOKUP($A81,数出表_Excel!$A$6:$T$150,COLUMN()/2+1,FALSE))),"")</f>
        <v/>
      </c>
      <c r="Q81" s="80"/>
      <c r="R81" s="80" t="str">
        <f ca="1">IFERROR(VALUE(IF(VLOOKUP($A81,数出表_Excel!$A$6:$T$150,COLUMN()/2+1,FALSE)=0,"",VLOOKUP($A81,数出表_Excel!$A$6:$T$150,COLUMN()/2+1,FALSE))),"")</f>
        <v/>
      </c>
      <c r="S81" s="80"/>
      <c r="T81" s="80" t="str">
        <f ca="1">IFERROR(VALUE(IF(VLOOKUP($A81,数出表_Excel!$A$6:$T$150,COLUMN()/2+1,FALSE)=0,"",VLOOKUP($A81,数出表_Excel!$A$6:$T$150,COLUMN()/2+1,FALSE))),"")</f>
        <v/>
      </c>
      <c r="U81" s="80"/>
      <c r="V81" s="84" t="str">
        <f ca="1">IFERROR(VALUE(IF(VLOOKUP($A81,数出表_Excel!$A$6:$T$150,COLUMN()/2+1,FALSE)=0,"",VLOOKUP($A81,数出表_Excel!$A$6:$T$150,COLUMN()/2+1,FALSE))),"")</f>
        <v/>
      </c>
      <c r="W81" s="80"/>
      <c r="X81" s="84" t="str">
        <f ca="1">IFERROR(VALUE(IF(VLOOKUP($A81,数出表_Excel!$A$6:$T$150,COLUMN()/2+1,FALSE)=0,"",VLOOKUP($A81,数出表_Excel!$A$6:$T$150,COLUMN()/2+1,FALSE))),"")</f>
        <v/>
      </c>
      <c r="Y81" s="80"/>
      <c r="Z81" s="84" t="str">
        <f ca="1">IFERROR(VALUE(IF(VLOOKUP($A81,数出表_Excel!$A$6:$T$150,COLUMN()/2+1,FALSE)=0,"",VLOOKUP($A81,数出表_Excel!$A$6:$T$150,COLUMN()/2+1,FALSE))),"")</f>
        <v/>
      </c>
      <c r="AA81" s="118"/>
      <c r="AB81" s="85" t="str">
        <f ca="1">IFERROR(VALUE(IF(VLOOKUP($A81,数出表_Excel!$A$6:$T$150,COLUMN()/2+1,FALSE)=0,"",VLOOKUP($A81,数出表_Excel!$A$6:$T$150,COLUMN()/2+1,FALSE))),"")</f>
        <v/>
      </c>
      <c r="AC81" s="80"/>
      <c r="AD81" s="84" t="str">
        <f ca="1">IFERROR(VALUE(IF(VLOOKUP($A81,数出表_Excel!$A$6:$T$150,COLUMN()/2+1,FALSE)=0,"",VLOOKUP($A81,数出表_Excel!$A$6:$T$150,COLUMN()/2+1,FALSE))),"")</f>
        <v/>
      </c>
      <c r="AE81" s="80"/>
      <c r="AF81" s="84" t="str">
        <f ca="1">IFERROR(VALUE(IF(VLOOKUP($A81,数出表_Excel!$A$6:$T$150,COLUMN()/2+1,FALSE)=0,"",VLOOKUP($A81,数出表_Excel!$A$6:$T$150,COLUMN()/2+1,FALSE))),"")</f>
        <v/>
      </c>
      <c r="AG81" s="80"/>
      <c r="AH81" s="84" t="str">
        <f ca="1">IFERROR(VALUE(IF(VLOOKUP($A81,数出表_Excel!$A$6:$T$150,COLUMN()/2+1,FALSE)=0,"",VLOOKUP($A81,数出表_Excel!$A$6:$T$150,COLUMN()/2+1,FALSE))),"")</f>
        <v/>
      </c>
      <c r="AI81" s="118"/>
      <c r="AJ81" s="85" t="str">
        <f ca="1">IFERROR(VALUE(IF(VLOOKUP($A81,数出表_Excel!$A$6:$T$150,COLUMN()/2+1,FALSE)=0,"",VLOOKUP($A81,数出表_Excel!$A$6:$T$150,COLUMN()/2+1,FALSE))),"")</f>
        <v/>
      </c>
      <c r="AK81" s="80"/>
      <c r="AL81" s="86" t="e">
        <f ca="1">IF(A81&lt;&gt;"",
IF(VLOOKUP($A81,数出表_Excel!$A$6:$T$150,COLUMN()/2+1,FALSE)=0,"",VLOOKUP($A81,数出表_Excel!$A$6:$T$150,COLUMN()/2+1,FALSE)),"")</f>
        <v>#N/A</v>
      </c>
      <c r="AM81" s="166" t="e">
        <f>数出表_Excel!V81</f>
        <v>#N/A</v>
      </c>
      <c r="AN81" s="167" t="e">
        <f>数出表_Excel!W81</f>
        <v>#N/A</v>
      </c>
    </row>
    <row r="82" spans="1:40" ht="16.2" customHeight="1">
      <c r="A82" s="126" t="e">
        <f t="array" aca="1" ref="A82" ca="1">IF(OR(COUNTIF(A80,"*10002*"),COUNTIF(A80,"")),"",INDEX(貼り付け用!$A1:$A200,MATCH(A80,貼り付け用!$A1:$A200,0)+2,0))</f>
        <v>#N/A</v>
      </c>
      <c r="B82" s="114" t="str">
        <f ca="1">IFERROR(VALUE(IF(VLOOKUP($A82,数出表_Excel!$A$6:$T$150,COLUMN()/2+1,FALSE)=0,"",VLOOKUP($A82,数出表_Excel!$A$6:$T$150,COLUMN()/2+1,FALSE))),"")</f>
        <v/>
      </c>
      <c r="C82" s="79"/>
      <c r="D82" s="114" t="str">
        <f ca="1">IFERROR(VALUE(IF(VLOOKUP($A82,数出表_Excel!$A$6:$T$150,COLUMN()/2+1,FALSE)=0,"",VLOOKUP($A82,数出表_Excel!$A$6:$T$150,COLUMN()/2+1,FALSE))),"")</f>
        <v/>
      </c>
      <c r="E82" s="79"/>
      <c r="F82" s="116" t="str">
        <f ca="1">IFERROR(VALUE(IF(VLOOKUP($A82,数出表_Excel!$A$6:$T$150,COLUMN()/2+1,FALSE)=0,"",VLOOKUP($A82,数出表_Excel!$A$6:$T$150,COLUMN()/2+1,FALSE))),"")</f>
        <v/>
      </c>
      <c r="G82" s="79"/>
      <c r="H82" s="114" t="str">
        <f ca="1">IFERROR(VALUE(IF(VLOOKUP($A82,数出表_Excel!$A$6:$T$150,COLUMN()/2+1,FALSE)=0,"",VLOOKUP($A82,数出表_Excel!$A$6:$T$150,COLUMN()/2+1,FALSE))),"")</f>
        <v/>
      </c>
      <c r="I82" s="79"/>
      <c r="J82" s="114" t="str">
        <f ca="1">IFERROR(VALUE(IF(VLOOKUP($A82,数出表_Excel!$A$6:$T$150,COLUMN()/2+1,FALSE)=0,"",VLOOKUP($A82,数出表_Excel!$A$6:$T$150,COLUMN()/2+1,FALSE))),"")</f>
        <v/>
      </c>
      <c r="K82" s="79"/>
      <c r="L82" s="116" t="str">
        <f ca="1">IFERROR(VALUE(IF(VLOOKUP($A82,数出表_Excel!$A$6:$T$150,COLUMN()/2+1,FALSE)=0,"",VLOOKUP($A82,数出表_Excel!$A$6:$T$150,COLUMN()/2+1,FALSE))),"")</f>
        <v/>
      </c>
      <c r="M82" s="79"/>
      <c r="N82" s="114" t="str">
        <f ca="1">IFERROR(VALUE(IF(VLOOKUP($A82,数出表_Excel!$A$6:$T$150,COLUMN()/2+1,FALSE)=0,"",VLOOKUP($A82,数出表_Excel!$A$6:$T$150,COLUMN()/2+1,FALSE))),"")</f>
        <v/>
      </c>
      <c r="O82" s="79"/>
      <c r="P82" s="114" t="str">
        <f ca="1">IFERROR(VALUE(IF(VLOOKUP($A82,数出表_Excel!$A$6:$T$150,COLUMN()/2+1,FALSE)=0,"",VLOOKUP($A82,数出表_Excel!$A$6:$T$150,COLUMN()/2+1,FALSE))),"")</f>
        <v/>
      </c>
      <c r="Q82" s="79"/>
      <c r="R82" s="114" t="str">
        <f ca="1">IFERROR(VALUE(IF(VLOOKUP($A82,数出表_Excel!$A$6:$T$150,COLUMN()/2+1,FALSE)=0,"",VLOOKUP($A82,数出表_Excel!$A$6:$T$150,COLUMN()/2+1,FALSE))),"")</f>
        <v/>
      </c>
      <c r="S82" s="79"/>
      <c r="T82" s="114" t="str">
        <f ca="1">IFERROR(VALUE(IF(VLOOKUP($A82,数出表_Excel!$A$6:$T$150,COLUMN()/2+1,FALSE)=0,"",VLOOKUP($A82,数出表_Excel!$A$6:$T$150,COLUMN()/2+1,FALSE))),"")</f>
        <v/>
      </c>
      <c r="U82" s="79"/>
      <c r="V82" s="116" t="str">
        <f ca="1">IFERROR(VALUE(IF(VLOOKUP($A82,数出表_Excel!$A$6:$T$150,COLUMN()/2+1,FALSE)=0,"",VLOOKUP($A82,数出表_Excel!$A$6:$T$150,COLUMN()/2+1,FALSE))),"")</f>
        <v/>
      </c>
      <c r="W82" s="79"/>
      <c r="X82" s="116" t="str">
        <f ca="1">IFERROR(VALUE(IF(VLOOKUP($A82,数出表_Excel!$A$6:$T$150,COLUMN()/2+1,FALSE)=0,"",VLOOKUP($A82,数出表_Excel!$A$6:$T$150,COLUMN()/2+1,FALSE))),"")</f>
        <v/>
      </c>
      <c r="Y82" s="79"/>
      <c r="Z82" s="116" t="str">
        <f ca="1">IFERROR(VALUE(IF(VLOOKUP($A82,数出表_Excel!$A$6:$T$150,COLUMN()/2+1,FALSE)=0,"",VLOOKUP($A82,数出表_Excel!$A$6:$T$150,COLUMN()/2+1,FALSE))),"")</f>
        <v/>
      </c>
      <c r="AA82" s="117"/>
      <c r="AB82" s="115" t="str">
        <f ca="1">IFERROR(VALUE(IF(VLOOKUP($A82,数出表_Excel!$A$6:$T$150,COLUMN()/2+1,FALSE)=0,"",VLOOKUP($A82,数出表_Excel!$A$6:$T$150,COLUMN()/2+1,FALSE))),"")</f>
        <v/>
      </c>
      <c r="AC82" s="79"/>
      <c r="AD82" s="116" t="str">
        <f ca="1">IFERROR(VALUE(IF(VLOOKUP($A82,数出表_Excel!$A$6:$T$150,COLUMN()/2+1,FALSE)=0,"",VLOOKUP($A82,数出表_Excel!$A$6:$T$150,COLUMN()/2+1,FALSE))),"")</f>
        <v/>
      </c>
      <c r="AE82" s="79"/>
      <c r="AF82" s="116" t="str">
        <f ca="1">IFERROR(VALUE(IF(VLOOKUP($A82,数出表_Excel!$A$6:$T$150,COLUMN()/2+1,FALSE)=0,"",VLOOKUP($A82,数出表_Excel!$A$6:$T$150,COLUMN()/2+1,FALSE))),"")</f>
        <v/>
      </c>
      <c r="AG82" s="79"/>
      <c r="AH82" s="116" t="str">
        <f ca="1">IFERROR(VALUE(IF(VLOOKUP($A82,数出表_Excel!$A$6:$T$150,COLUMN()/2+1,FALSE)=0,"",VLOOKUP($A82,数出表_Excel!$A$6:$T$150,COLUMN()/2+1,FALSE))),"")</f>
        <v/>
      </c>
      <c r="AI82" s="117"/>
      <c r="AJ82" s="115" t="str">
        <f ca="1">IFERROR(VALUE(IF(VLOOKUP($A82,数出表_Excel!$A$6:$T$150,COLUMN()/2+1,FALSE)=0,"",VLOOKUP($A82,数出表_Excel!$A$6:$T$150,COLUMN()/2+1,FALSE))),"")</f>
        <v/>
      </c>
      <c r="AK82" s="79"/>
      <c r="AL82" s="83" t="e">
        <f ca="1">IF(A82&lt;&gt;"",
IF(VLOOKUP($A82,数出表_Excel!$A$6:$T$150,COLUMN()/2+1,FALSE)=0,"",VLOOKUP($A82,数出表_Excel!$A$6:$T$150,COLUMN()/2+1,FALSE)),"")</f>
        <v>#N/A</v>
      </c>
      <c r="AM82" s="164" t="e">
        <f>数出表_Excel!V82</f>
        <v>#N/A</v>
      </c>
      <c r="AN82" s="165" t="e">
        <f>数出表_Excel!W82</f>
        <v>#N/A</v>
      </c>
    </row>
    <row r="83" spans="1:40" ht="16.2" customHeight="1">
      <c r="A83" s="127" t="e">
        <f t="array" aca="1" ref="A83" ca="1">IF(OR(COUNTIF(A81,"*1000*"),COUNTIF(A81,"")),"",INDEX(貼り付け用!$A1:$A200,MATCH(A81,貼り付け用!$A1:$A200,0)+2,0))</f>
        <v>#N/A</v>
      </c>
      <c r="B83" s="80" t="str">
        <f ca="1">IFERROR(VALUE(IF(VLOOKUP($A83,数出表_Excel!$A$6:$T$150,COLUMN()/2+1,FALSE)=0,"",VLOOKUP($A83,数出表_Excel!$A$6:$T$150,COLUMN()/2+1,FALSE))),"")</f>
        <v/>
      </c>
      <c r="C83" s="80"/>
      <c r="D83" s="80" t="str">
        <f ca="1">IFERROR(VALUE(IF(VLOOKUP($A83,数出表_Excel!$A$6:$T$150,COLUMN()/2+1,FALSE)=0,"",VLOOKUP($A83,数出表_Excel!$A$6:$T$150,COLUMN()/2+1,FALSE))),"")</f>
        <v/>
      </c>
      <c r="E83" s="80"/>
      <c r="F83" s="84" t="str">
        <f ca="1">IFERROR(VALUE(IF(VLOOKUP($A83,数出表_Excel!$A$6:$T$150,COLUMN()/2+1,FALSE)=0,"",VLOOKUP($A83,数出表_Excel!$A$6:$T$150,COLUMN()/2+1,FALSE))),"")</f>
        <v/>
      </c>
      <c r="G83" s="80"/>
      <c r="H83" s="80" t="str">
        <f ca="1">IFERROR(VALUE(IF(VLOOKUP($A83,数出表_Excel!$A$6:$T$150,COLUMN()/2+1,FALSE)=0,"",VLOOKUP($A83,数出表_Excel!$A$6:$T$150,COLUMN()/2+1,FALSE))),"")</f>
        <v/>
      </c>
      <c r="I83" s="80"/>
      <c r="J83" s="80" t="str">
        <f ca="1">IFERROR(VALUE(IF(VLOOKUP($A83,数出表_Excel!$A$6:$T$150,COLUMN()/2+1,FALSE)=0,"",VLOOKUP($A83,数出表_Excel!$A$6:$T$150,COLUMN()/2+1,FALSE))),"")</f>
        <v/>
      </c>
      <c r="K83" s="80"/>
      <c r="L83" s="84" t="str">
        <f ca="1">IFERROR(VALUE(IF(VLOOKUP($A83,数出表_Excel!$A$6:$T$150,COLUMN()/2+1,FALSE)=0,"",VLOOKUP($A83,数出表_Excel!$A$6:$T$150,COLUMN()/2+1,FALSE))),"")</f>
        <v/>
      </c>
      <c r="M83" s="80"/>
      <c r="N83" s="80" t="str">
        <f ca="1">IFERROR(VALUE(IF(VLOOKUP($A83,数出表_Excel!$A$6:$T$150,COLUMN()/2+1,FALSE)=0,"",VLOOKUP($A83,数出表_Excel!$A$6:$T$150,COLUMN()/2+1,FALSE))),"")</f>
        <v/>
      </c>
      <c r="O83" s="80"/>
      <c r="P83" s="80" t="str">
        <f ca="1">IFERROR(VALUE(IF(VLOOKUP($A83,数出表_Excel!$A$6:$T$150,COLUMN()/2+1,FALSE)=0,"",VLOOKUP($A83,数出表_Excel!$A$6:$T$150,COLUMN()/2+1,FALSE))),"")</f>
        <v/>
      </c>
      <c r="Q83" s="80"/>
      <c r="R83" s="80" t="str">
        <f ca="1">IFERROR(VALUE(IF(VLOOKUP($A83,数出表_Excel!$A$6:$T$150,COLUMN()/2+1,FALSE)=0,"",VLOOKUP($A83,数出表_Excel!$A$6:$T$150,COLUMN()/2+1,FALSE))),"")</f>
        <v/>
      </c>
      <c r="S83" s="80"/>
      <c r="T83" s="80" t="str">
        <f ca="1">IFERROR(VALUE(IF(VLOOKUP($A83,数出表_Excel!$A$6:$T$150,COLUMN()/2+1,FALSE)=0,"",VLOOKUP($A83,数出表_Excel!$A$6:$T$150,COLUMN()/2+1,FALSE))),"")</f>
        <v/>
      </c>
      <c r="U83" s="80"/>
      <c r="V83" s="84" t="str">
        <f ca="1">IFERROR(VALUE(IF(VLOOKUP($A83,数出表_Excel!$A$6:$T$150,COLUMN()/2+1,FALSE)=0,"",VLOOKUP($A83,数出表_Excel!$A$6:$T$150,COLUMN()/2+1,FALSE))),"")</f>
        <v/>
      </c>
      <c r="W83" s="80"/>
      <c r="X83" s="84" t="str">
        <f ca="1">IFERROR(VALUE(IF(VLOOKUP($A83,数出表_Excel!$A$6:$T$150,COLUMN()/2+1,FALSE)=0,"",VLOOKUP($A83,数出表_Excel!$A$6:$T$150,COLUMN()/2+1,FALSE))),"")</f>
        <v/>
      </c>
      <c r="Y83" s="80"/>
      <c r="Z83" s="84" t="str">
        <f ca="1">IFERROR(VALUE(IF(VLOOKUP($A83,数出表_Excel!$A$6:$T$150,COLUMN()/2+1,FALSE)=0,"",VLOOKUP($A83,数出表_Excel!$A$6:$T$150,COLUMN()/2+1,FALSE))),"")</f>
        <v/>
      </c>
      <c r="AA83" s="118"/>
      <c r="AB83" s="85" t="str">
        <f ca="1">IFERROR(VALUE(IF(VLOOKUP($A83,数出表_Excel!$A$6:$T$150,COLUMN()/2+1,FALSE)=0,"",VLOOKUP($A83,数出表_Excel!$A$6:$T$150,COLUMN()/2+1,FALSE))),"")</f>
        <v/>
      </c>
      <c r="AC83" s="80"/>
      <c r="AD83" s="84" t="str">
        <f ca="1">IFERROR(VALUE(IF(VLOOKUP($A83,数出表_Excel!$A$6:$T$150,COLUMN()/2+1,FALSE)=0,"",VLOOKUP($A83,数出表_Excel!$A$6:$T$150,COLUMN()/2+1,FALSE))),"")</f>
        <v/>
      </c>
      <c r="AE83" s="80"/>
      <c r="AF83" s="84" t="str">
        <f ca="1">IFERROR(VALUE(IF(VLOOKUP($A83,数出表_Excel!$A$6:$T$150,COLUMN()/2+1,FALSE)=0,"",VLOOKUP($A83,数出表_Excel!$A$6:$T$150,COLUMN()/2+1,FALSE))),"")</f>
        <v/>
      </c>
      <c r="AG83" s="80"/>
      <c r="AH83" s="84" t="str">
        <f ca="1">IFERROR(VALUE(IF(VLOOKUP($A83,数出表_Excel!$A$6:$T$150,COLUMN()/2+1,FALSE)=0,"",VLOOKUP($A83,数出表_Excel!$A$6:$T$150,COLUMN()/2+1,FALSE))),"")</f>
        <v/>
      </c>
      <c r="AI83" s="118"/>
      <c r="AJ83" s="85" t="str">
        <f ca="1">IFERROR(VALUE(IF(VLOOKUP($A83,数出表_Excel!$A$6:$T$150,COLUMN()/2+1,FALSE)=0,"",VLOOKUP($A83,数出表_Excel!$A$6:$T$150,COLUMN()/2+1,FALSE))),"")</f>
        <v/>
      </c>
      <c r="AK83" s="80"/>
      <c r="AL83" s="86" t="e">
        <f ca="1">IF(A83&lt;&gt;"",
IF(VLOOKUP($A83,数出表_Excel!$A$6:$T$150,COLUMN()/2+1,FALSE)=0,"",VLOOKUP($A83,数出表_Excel!$A$6:$T$150,COLUMN()/2+1,FALSE)),"")</f>
        <v>#N/A</v>
      </c>
      <c r="AM83" s="166" t="e">
        <f>数出表_Excel!V83</f>
        <v>#N/A</v>
      </c>
      <c r="AN83" s="167" t="e">
        <f>数出表_Excel!W83</f>
        <v>#N/A</v>
      </c>
    </row>
    <row r="84" spans="1:40" ht="16.2" customHeight="1">
      <c r="A84" s="126" t="e">
        <f t="array" aca="1" ref="A84" ca="1">IF(OR(COUNTIF(A82,"*10002*"),COUNTIF(A82,"")),"",INDEX(貼り付け用!$A1:$A200,MATCH(A82,貼り付け用!$A1:$A200,0)+2,0))</f>
        <v>#N/A</v>
      </c>
      <c r="B84" s="114" t="str">
        <f ca="1">IFERROR(VALUE(IF(VLOOKUP($A84,数出表_Excel!$A$6:$T$150,COLUMN()/2+1,FALSE)=0,"",VLOOKUP($A84,数出表_Excel!$A$6:$T$150,COLUMN()/2+1,FALSE))),"")</f>
        <v/>
      </c>
      <c r="C84" s="79"/>
      <c r="D84" s="114" t="str">
        <f ca="1">IFERROR(VALUE(IF(VLOOKUP($A84,数出表_Excel!$A$6:$T$150,COLUMN()/2+1,FALSE)=0,"",VLOOKUP($A84,数出表_Excel!$A$6:$T$150,COLUMN()/2+1,FALSE))),"")</f>
        <v/>
      </c>
      <c r="E84" s="79"/>
      <c r="F84" s="116" t="str">
        <f ca="1">IFERROR(VALUE(IF(VLOOKUP($A84,数出表_Excel!$A$6:$T$150,COLUMN()/2+1,FALSE)=0,"",VLOOKUP($A84,数出表_Excel!$A$6:$T$150,COLUMN()/2+1,FALSE))),"")</f>
        <v/>
      </c>
      <c r="G84" s="79"/>
      <c r="H84" s="114" t="str">
        <f ca="1">IFERROR(VALUE(IF(VLOOKUP($A84,数出表_Excel!$A$6:$T$150,COLUMN()/2+1,FALSE)=0,"",VLOOKUP($A84,数出表_Excel!$A$6:$T$150,COLUMN()/2+1,FALSE))),"")</f>
        <v/>
      </c>
      <c r="I84" s="79"/>
      <c r="J84" s="114" t="str">
        <f ca="1">IFERROR(VALUE(IF(VLOOKUP($A84,数出表_Excel!$A$6:$T$150,COLUMN()/2+1,FALSE)=0,"",VLOOKUP($A84,数出表_Excel!$A$6:$T$150,COLUMN()/2+1,FALSE))),"")</f>
        <v/>
      </c>
      <c r="K84" s="79"/>
      <c r="L84" s="116" t="str">
        <f ca="1">IFERROR(VALUE(IF(VLOOKUP($A84,数出表_Excel!$A$6:$T$150,COLUMN()/2+1,FALSE)=0,"",VLOOKUP($A84,数出表_Excel!$A$6:$T$150,COLUMN()/2+1,FALSE))),"")</f>
        <v/>
      </c>
      <c r="M84" s="79"/>
      <c r="N84" s="114" t="str">
        <f ca="1">IFERROR(VALUE(IF(VLOOKUP($A84,数出表_Excel!$A$6:$T$150,COLUMN()/2+1,FALSE)=0,"",VLOOKUP($A84,数出表_Excel!$A$6:$T$150,COLUMN()/2+1,FALSE))),"")</f>
        <v/>
      </c>
      <c r="O84" s="79"/>
      <c r="P84" s="114" t="str">
        <f ca="1">IFERROR(VALUE(IF(VLOOKUP($A84,数出表_Excel!$A$6:$T$150,COLUMN()/2+1,FALSE)=0,"",VLOOKUP($A84,数出表_Excel!$A$6:$T$150,COLUMN()/2+1,FALSE))),"")</f>
        <v/>
      </c>
      <c r="Q84" s="79"/>
      <c r="R84" s="114" t="str">
        <f ca="1">IFERROR(VALUE(IF(VLOOKUP($A84,数出表_Excel!$A$6:$T$150,COLUMN()/2+1,FALSE)=0,"",VLOOKUP($A84,数出表_Excel!$A$6:$T$150,COLUMN()/2+1,FALSE))),"")</f>
        <v/>
      </c>
      <c r="S84" s="79"/>
      <c r="T84" s="114" t="str">
        <f ca="1">IFERROR(VALUE(IF(VLOOKUP($A84,数出表_Excel!$A$6:$T$150,COLUMN()/2+1,FALSE)=0,"",VLOOKUP($A84,数出表_Excel!$A$6:$T$150,COLUMN()/2+1,FALSE))),"")</f>
        <v/>
      </c>
      <c r="U84" s="79"/>
      <c r="V84" s="116" t="str">
        <f ca="1">IFERROR(VALUE(IF(VLOOKUP($A84,数出表_Excel!$A$6:$T$150,COLUMN()/2+1,FALSE)=0,"",VLOOKUP($A84,数出表_Excel!$A$6:$T$150,COLUMN()/2+1,FALSE))),"")</f>
        <v/>
      </c>
      <c r="W84" s="79"/>
      <c r="X84" s="116" t="str">
        <f ca="1">IFERROR(VALUE(IF(VLOOKUP($A84,数出表_Excel!$A$6:$T$150,COLUMN()/2+1,FALSE)=0,"",VLOOKUP($A84,数出表_Excel!$A$6:$T$150,COLUMN()/2+1,FALSE))),"")</f>
        <v/>
      </c>
      <c r="Y84" s="79"/>
      <c r="Z84" s="116" t="str">
        <f ca="1">IFERROR(VALUE(IF(VLOOKUP($A84,数出表_Excel!$A$6:$T$150,COLUMN()/2+1,FALSE)=0,"",VLOOKUP($A84,数出表_Excel!$A$6:$T$150,COLUMN()/2+1,FALSE))),"")</f>
        <v/>
      </c>
      <c r="AA84" s="117"/>
      <c r="AB84" s="115" t="str">
        <f ca="1">IFERROR(VALUE(IF(VLOOKUP($A84,数出表_Excel!$A$6:$T$150,COLUMN()/2+1,FALSE)=0,"",VLOOKUP($A84,数出表_Excel!$A$6:$T$150,COLUMN()/2+1,FALSE))),"")</f>
        <v/>
      </c>
      <c r="AC84" s="79"/>
      <c r="AD84" s="116" t="str">
        <f ca="1">IFERROR(VALUE(IF(VLOOKUP($A84,数出表_Excel!$A$6:$T$150,COLUMN()/2+1,FALSE)=0,"",VLOOKUP($A84,数出表_Excel!$A$6:$T$150,COLUMN()/2+1,FALSE))),"")</f>
        <v/>
      </c>
      <c r="AE84" s="79"/>
      <c r="AF84" s="116" t="str">
        <f ca="1">IFERROR(VALUE(IF(VLOOKUP($A84,数出表_Excel!$A$6:$T$150,COLUMN()/2+1,FALSE)=0,"",VLOOKUP($A84,数出表_Excel!$A$6:$T$150,COLUMN()/2+1,FALSE))),"")</f>
        <v/>
      </c>
      <c r="AG84" s="79"/>
      <c r="AH84" s="116" t="str">
        <f ca="1">IFERROR(VALUE(IF(VLOOKUP($A84,数出表_Excel!$A$6:$T$150,COLUMN()/2+1,FALSE)=0,"",VLOOKUP($A84,数出表_Excel!$A$6:$T$150,COLUMN()/2+1,FALSE))),"")</f>
        <v/>
      </c>
      <c r="AI84" s="117"/>
      <c r="AJ84" s="115" t="str">
        <f ca="1">IFERROR(VALUE(IF(VLOOKUP($A84,数出表_Excel!$A$6:$T$150,COLUMN()/2+1,FALSE)=0,"",VLOOKUP($A84,数出表_Excel!$A$6:$T$150,COLUMN()/2+1,FALSE))),"")</f>
        <v/>
      </c>
      <c r="AK84" s="79"/>
      <c r="AL84" s="83" t="e">
        <f ca="1">IF(A84&lt;&gt;"",
IF(VLOOKUP($A84,数出表_Excel!$A$6:$T$150,COLUMN()/2+1,FALSE)=0,"",VLOOKUP($A84,数出表_Excel!$A$6:$T$150,COLUMN()/2+1,FALSE)),"")</f>
        <v>#N/A</v>
      </c>
      <c r="AM84" s="164" t="e">
        <f>数出表_Excel!V84</f>
        <v>#N/A</v>
      </c>
      <c r="AN84" s="165" t="e">
        <f>数出表_Excel!W84</f>
        <v>#N/A</v>
      </c>
    </row>
    <row r="85" spans="1:40" ht="16.2" customHeight="1">
      <c r="A85" s="127" t="e">
        <f t="array" aca="1" ref="A85" ca="1">IF(OR(COUNTIF(A83,"*1000*"),COUNTIF(A83,"")),"",INDEX(貼り付け用!$A1:$A200,MATCH(A83,貼り付け用!$A1:$A200,0)+2,0))</f>
        <v>#N/A</v>
      </c>
      <c r="B85" s="80" t="str">
        <f ca="1">IFERROR(VALUE(IF(VLOOKUP($A85,数出表_Excel!$A$6:$T$150,COLUMN()/2+1,FALSE)=0,"",VLOOKUP($A85,数出表_Excel!$A$6:$T$150,COLUMN()/2+1,FALSE))),"")</f>
        <v/>
      </c>
      <c r="C85" s="80"/>
      <c r="D85" s="80" t="str">
        <f ca="1">IFERROR(VALUE(IF(VLOOKUP($A85,数出表_Excel!$A$6:$T$150,COLUMN()/2+1,FALSE)=0,"",VLOOKUP($A85,数出表_Excel!$A$6:$T$150,COLUMN()/2+1,FALSE))),"")</f>
        <v/>
      </c>
      <c r="E85" s="80"/>
      <c r="F85" s="84" t="str">
        <f ca="1">IFERROR(VALUE(IF(VLOOKUP($A85,数出表_Excel!$A$6:$T$150,COLUMN()/2+1,FALSE)=0,"",VLOOKUP($A85,数出表_Excel!$A$6:$T$150,COLUMN()/2+1,FALSE))),"")</f>
        <v/>
      </c>
      <c r="G85" s="80"/>
      <c r="H85" s="80" t="str">
        <f ca="1">IFERROR(VALUE(IF(VLOOKUP($A85,数出表_Excel!$A$6:$T$150,COLUMN()/2+1,FALSE)=0,"",VLOOKUP($A85,数出表_Excel!$A$6:$T$150,COLUMN()/2+1,FALSE))),"")</f>
        <v/>
      </c>
      <c r="I85" s="80"/>
      <c r="J85" s="80" t="str">
        <f ca="1">IFERROR(VALUE(IF(VLOOKUP($A85,数出表_Excel!$A$6:$T$150,COLUMN()/2+1,FALSE)=0,"",VLOOKUP($A85,数出表_Excel!$A$6:$T$150,COLUMN()/2+1,FALSE))),"")</f>
        <v/>
      </c>
      <c r="K85" s="80"/>
      <c r="L85" s="84" t="str">
        <f ca="1">IFERROR(VALUE(IF(VLOOKUP($A85,数出表_Excel!$A$6:$T$150,COLUMN()/2+1,FALSE)=0,"",VLOOKUP($A85,数出表_Excel!$A$6:$T$150,COLUMN()/2+1,FALSE))),"")</f>
        <v/>
      </c>
      <c r="M85" s="80"/>
      <c r="N85" s="80" t="str">
        <f ca="1">IFERROR(VALUE(IF(VLOOKUP($A85,数出表_Excel!$A$6:$T$150,COLUMN()/2+1,FALSE)=0,"",VLOOKUP($A85,数出表_Excel!$A$6:$T$150,COLUMN()/2+1,FALSE))),"")</f>
        <v/>
      </c>
      <c r="O85" s="80"/>
      <c r="P85" s="80" t="str">
        <f ca="1">IFERROR(VALUE(IF(VLOOKUP($A85,数出表_Excel!$A$6:$T$150,COLUMN()/2+1,FALSE)=0,"",VLOOKUP($A85,数出表_Excel!$A$6:$T$150,COLUMN()/2+1,FALSE))),"")</f>
        <v/>
      </c>
      <c r="Q85" s="80"/>
      <c r="R85" s="80" t="str">
        <f ca="1">IFERROR(VALUE(IF(VLOOKUP($A85,数出表_Excel!$A$6:$T$150,COLUMN()/2+1,FALSE)=0,"",VLOOKUP($A85,数出表_Excel!$A$6:$T$150,COLUMN()/2+1,FALSE))),"")</f>
        <v/>
      </c>
      <c r="S85" s="80"/>
      <c r="T85" s="80" t="str">
        <f ca="1">IFERROR(VALUE(IF(VLOOKUP($A85,数出表_Excel!$A$6:$T$150,COLUMN()/2+1,FALSE)=0,"",VLOOKUP($A85,数出表_Excel!$A$6:$T$150,COLUMN()/2+1,FALSE))),"")</f>
        <v/>
      </c>
      <c r="U85" s="80"/>
      <c r="V85" s="84" t="str">
        <f ca="1">IFERROR(VALUE(IF(VLOOKUP($A85,数出表_Excel!$A$6:$T$150,COLUMN()/2+1,FALSE)=0,"",VLOOKUP($A85,数出表_Excel!$A$6:$T$150,COLUMN()/2+1,FALSE))),"")</f>
        <v/>
      </c>
      <c r="W85" s="80"/>
      <c r="X85" s="84" t="str">
        <f ca="1">IFERROR(VALUE(IF(VLOOKUP($A85,数出表_Excel!$A$6:$T$150,COLUMN()/2+1,FALSE)=0,"",VLOOKUP($A85,数出表_Excel!$A$6:$T$150,COLUMN()/2+1,FALSE))),"")</f>
        <v/>
      </c>
      <c r="Y85" s="80"/>
      <c r="Z85" s="84" t="str">
        <f ca="1">IFERROR(VALUE(IF(VLOOKUP($A85,数出表_Excel!$A$6:$T$150,COLUMN()/2+1,FALSE)=0,"",VLOOKUP($A85,数出表_Excel!$A$6:$T$150,COLUMN()/2+1,FALSE))),"")</f>
        <v/>
      </c>
      <c r="AA85" s="118"/>
      <c r="AB85" s="85" t="str">
        <f ca="1">IFERROR(VALUE(IF(VLOOKUP($A85,数出表_Excel!$A$6:$T$150,COLUMN()/2+1,FALSE)=0,"",VLOOKUP($A85,数出表_Excel!$A$6:$T$150,COLUMN()/2+1,FALSE))),"")</f>
        <v/>
      </c>
      <c r="AC85" s="80"/>
      <c r="AD85" s="84" t="str">
        <f ca="1">IFERROR(VALUE(IF(VLOOKUP($A85,数出表_Excel!$A$6:$T$150,COLUMN()/2+1,FALSE)=0,"",VLOOKUP($A85,数出表_Excel!$A$6:$T$150,COLUMN()/2+1,FALSE))),"")</f>
        <v/>
      </c>
      <c r="AE85" s="80"/>
      <c r="AF85" s="84" t="str">
        <f ca="1">IFERROR(VALUE(IF(VLOOKUP($A85,数出表_Excel!$A$6:$T$150,COLUMN()/2+1,FALSE)=0,"",VLOOKUP($A85,数出表_Excel!$A$6:$T$150,COLUMN()/2+1,FALSE))),"")</f>
        <v/>
      </c>
      <c r="AG85" s="80"/>
      <c r="AH85" s="84" t="str">
        <f ca="1">IFERROR(VALUE(IF(VLOOKUP($A85,数出表_Excel!$A$6:$T$150,COLUMN()/2+1,FALSE)=0,"",VLOOKUP($A85,数出表_Excel!$A$6:$T$150,COLUMN()/2+1,FALSE))),"")</f>
        <v/>
      </c>
      <c r="AI85" s="118"/>
      <c r="AJ85" s="85" t="str">
        <f ca="1">IFERROR(VALUE(IF(VLOOKUP($A85,数出表_Excel!$A$6:$T$150,COLUMN()/2+1,FALSE)=0,"",VLOOKUP($A85,数出表_Excel!$A$6:$T$150,COLUMN()/2+1,FALSE))),"")</f>
        <v/>
      </c>
      <c r="AK85" s="80"/>
      <c r="AL85" s="86" t="e">
        <f ca="1">IF(A85&lt;&gt;"",
IF(VLOOKUP($A85,数出表_Excel!$A$6:$T$150,COLUMN()/2+1,FALSE)=0,"",VLOOKUP($A85,数出表_Excel!$A$6:$T$150,COLUMN()/2+1,FALSE)),"")</f>
        <v>#N/A</v>
      </c>
      <c r="AM85" s="166" t="e">
        <f>数出表_Excel!V85</f>
        <v>#N/A</v>
      </c>
      <c r="AN85" s="167" t="e">
        <f>数出表_Excel!W85</f>
        <v>#N/A</v>
      </c>
    </row>
    <row r="86" spans="1:40" ht="16.2" customHeight="1">
      <c r="A86" s="126" t="e">
        <f t="array" aca="1" ref="A86" ca="1">IF(OR(COUNTIF(A84,"*10002*"),COUNTIF(A84,"")),"",INDEX(貼り付け用!$A1:$A200,MATCH(A84,貼り付け用!$A1:$A200,0)+2,0))</f>
        <v>#N/A</v>
      </c>
      <c r="B86" s="114" t="str">
        <f ca="1">IFERROR(VALUE(IF(VLOOKUP($A86,数出表_Excel!$A$6:$T$150,COLUMN()/2+1,FALSE)=0,"",VLOOKUP($A86,数出表_Excel!$A$6:$T$150,COLUMN()/2+1,FALSE))),"")</f>
        <v/>
      </c>
      <c r="C86" s="79"/>
      <c r="D86" s="114" t="str">
        <f ca="1">IFERROR(VALUE(IF(VLOOKUP($A86,数出表_Excel!$A$6:$T$150,COLUMN()/2+1,FALSE)=0,"",VLOOKUP($A86,数出表_Excel!$A$6:$T$150,COLUMN()/2+1,FALSE))),"")</f>
        <v/>
      </c>
      <c r="E86" s="79"/>
      <c r="F86" s="116" t="str">
        <f ca="1">IFERROR(VALUE(IF(VLOOKUP($A86,数出表_Excel!$A$6:$T$150,COLUMN()/2+1,FALSE)=0,"",VLOOKUP($A86,数出表_Excel!$A$6:$T$150,COLUMN()/2+1,FALSE))),"")</f>
        <v/>
      </c>
      <c r="G86" s="79"/>
      <c r="H86" s="114" t="str">
        <f ca="1">IFERROR(VALUE(IF(VLOOKUP($A86,数出表_Excel!$A$6:$T$150,COLUMN()/2+1,FALSE)=0,"",VLOOKUP($A86,数出表_Excel!$A$6:$T$150,COLUMN()/2+1,FALSE))),"")</f>
        <v/>
      </c>
      <c r="I86" s="79"/>
      <c r="J86" s="114" t="str">
        <f ca="1">IFERROR(VALUE(IF(VLOOKUP($A86,数出表_Excel!$A$6:$T$150,COLUMN()/2+1,FALSE)=0,"",VLOOKUP($A86,数出表_Excel!$A$6:$T$150,COLUMN()/2+1,FALSE))),"")</f>
        <v/>
      </c>
      <c r="K86" s="79"/>
      <c r="L86" s="116" t="str">
        <f ca="1">IFERROR(VALUE(IF(VLOOKUP($A86,数出表_Excel!$A$6:$T$150,COLUMN()/2+1,FALSE)=0,"",VLOOKUP($A86,数出表_Excel!$A$6:$T$150,COLUMN()/2+1,FALSE))),"")</f>
        <v/>
      </c>
      <c r="M86" s="79"/>
      <c r="N86" s="114" t="str">
        <f ca="1">IFERROR(VALUE(IF(VLOOKUP($A86,数出表_Excel!$A$6:$T$150,COLUMN()/2+1,FALSE)=0,"",VLOOKUP($A86,数出表_Excel!$A$6:$T$150,COLUMN()/2+1,FALSE))),"")</f>
        <v/>
      </c>
      <c r="O86" s="79"/>
      <c r="P86" s="114" t="str">
        <f ca="1">IFERROR(VALUE(IF(VLOOKUP($A86,数出表_Excel!$A$6:$T$150,COLUMN()/2+1,FALSE)=0,"",VLOOKUP($A86,数出表_Excel!$A$6:$T$150,COLUMN()/2+1,FALSE))),"")</f>
        <v/>
      </c>
      <c r="Q86" s="79"/>
      <c r="R86" s="114" t="str">
        <f ca="1">IFERROR(VALUE(IF(VLOOKUP($A86,数出表_Excel!$A$6:$T$150,COLUMN()/2+1,FALSE)=0,"",VLOOKUP($A86,数出表_Excel!$A$6:$T$150,COLUMN()/2+1,FALSE))),"")</f>
        <v/>
      </c>
      <c r="S86" s="79"/>
      <c r="T86" s="114" t="str">
        <f ca="1">IFERROR(VALUE(IF(VLOOKUP($A86,数出表_Excel!$A$6:$T$150,COLUMN()/2+1,FALSE)=0,"",VLOOKUP($A86,数出表_Excel!$A$6:$T$150,COLUMN()/2+1,FALSE))),"")</f>
        <v/>
      </c>
      <c r="U86" s="79"/>
      <c r="V86" s="116" t="str">
        <f ca="1">IFERROR(VALUE(IF(VLOOKUP($A86,数出表_Excel!$A$6:$T$150,COLUMN()/2+1,FALSE)=0,"",VLOOKUP($A86,数出表_Excel!$A$6:$T$150,COLUMN()/2+1,FALSE))),"")</f>
        <v/>
      </c>
      <c r="W86" s="79"/>
      <c r="X86" s="116" t="str">
        <f ca="1">IFERROR(VALUE(IF(VLOOKUP($A86,数出表_Excel!$A$6:$T$150,COLUMN()/2+1,FALSE)=0,"",VLOOKUP($A86,数出表_Excel!$A$6:$T$150,COLUMN()/2+1,FALSE))),"")</f>
        <v/>
      </c>
      <c r="Y86" s="79"/>
      <c r="Z86" s="116" t="str">
        <f ca="1">IFERROR(VALUE(IF(VLOOKUP($A86,数出表_Excel!$A$6:$T$150,COLUMN()/2+1,FALSE)=0,"",VLOOKUP($A86,数出表_Excel!$A$6:$T$150,COLUMN()/2+1,FALSE))),"")</f>
        <v/>
      </c>
      <c r="AA86" s="117"/>
      <c r="AB86" s="115" t="str">
        <f ca="1">IFERROR(VALUE(IF(VLOOKUP($A86,数出表_Excel!$A$6:$T$150,COLUMN()/2+1,FALSE)=0,"",VLOOKUP($A86,数出表_Excel!$A$6:$T$150,COLUMN()/2+1,FALSE))),"")</f>
        <v/>
      </c>
      <c r="AC86" s="79"/>
      <c r="AD86" s="116" t="str">
        <f ca="1">IFERROR(VALUE(IF(VLOOKUP($A86,数出表_Excel!$A$6:$T$150,COLUMN()/2+1,FALSE)=0,"",VLOOKUP($A86,数出表_Excel!$A$6:$T$150,COLUMN()/2+1,FALSE))),"")</f>
        <v/>
      </c>
      <c r="AE86" s="79"/>
      <c r="AF86" s="116" t="str">
        <f ca="1">IFERROR(VALUE(IF(VLOOKUP($A86,数出表_Excel!$A$6:$T$150,COLUMN()/2+1,FALSE)=0,"",VLOOKUP($A86,数出表_Excel!$A$6:$T$150,COLUMN()/2+1,FALSE))),"")</f>
        <v/>
      </c>
      <c r="AG86" s="79"/>
      <c r="AH86" s="116" t="str">
        <f ca="1">IFERROR(VALUE(IF(VLOOKUP($A86,数出表_Excel!$A$6:$T$150,COLUMN()/2+1,FALSE)=0,"",VLOOKUP($A86,数出表_Excel!$A$6:$T$150,COLUMN()/2+1,FALSE))),"")</f>
        <v/>
      </c>
      <c r="AI86" s="117"/>
      <c r="AJ86" s="115" t="str">
        <f ca="1">IFERROR(VALUE(IF(VLOOKUP($A86,数出表_Excel!$A$6:$T$150,COLUMN()/2+1,FALSE)=0,"",VLOOKUP($A86,数出表_Excel!$A$6:$T$150,COLUMN()/2+1,FALSE))),"")</f>
        <v/>
      </c>
      <c r="AK86" s="79"/>
      <c r="AL86" s="83" t="e">
        <f ca="1">IF(A86&lt;&gt;"",
IF(VLOOKUP($A86,数出表_Excel!$A$6:$T$150,COLUMN()/2+1,FALSE)=0,"",VLOOKUP($A86,数出表_Excel!$A$6:$T$150,COLUMN()/2+1,FALSE)),"")</f>
        <v>#N/A</v>
      </c>
      <c r="AM86" s="164" t="e">
        <f>数出表_Excel!V86</f>
        <v>#N/A</v>
      </c>
      <c r="AN86" s="165" t="e">
        <f>数出表_Excel!W86</f>
        <v>#N/A</v>
      </c>
    </row>
    <row r="87" spans="1:40" ht="16.2" customHeight="1">
      <c r="A87" s="127" t="e">
        <f t="array" aca="1" ref="A87" ca="1">IF(OR(COUNTIF(A85,"*1000*"),COUNTIF(A85,"")),"",INDEX(貼り付け用!$A1:$A200,MATCH(A85,貼り付け用!$A1:$A200,0)+2,0))</f>
        <v>#N/A</v>
      </c>
      <c r="B87" s="80" t="str">
        <f ca="1">IFERROR(VALUE(IF(VLOOKUP($A87,数出表_Excel!$A$6:$T$150,COLUMN()/2+1,FALSE)=0,"",VLOOKUP($A87,数出表_Excel!$A$6:$T$150,COLUMN()/2+1,FALSE))),"")</f>
        <v/>
      </c>
      <c r="C87" s="80"/>
      <c r="D87" s="80" t="str">
        <f ca="1">IFERROR(VALUE(IF(VLOOKUP($A87,数出表_Excel!$A$6:$T$150,COLUMN()/2+1,FALSE)=0,"",VLOOKUP($A87,数出表_Excel!$A$6:$T$150,COLUMN()/2+1,FALSE))),"")</f>
        <v/>
      </c>
      <c r="E87" s="80"/>
      <c r="F87" s="84" t="str">
        <f ca="1">IFERROR(VALUE(IF(VLOOKUP($A87,数出表_Excel!$A$6:$T$150,COLUMN()/2+1,FALSE)=0,"",VLOOKUP($A87,数出表_Excel!$A$6:$T$150,COLUMN()/2+1,FALSE))),"")</f>
        <v/>
      </c>
      <c r="G87" s="80"/>
      <c r="H87" s="80" t="str">
        <f ca="1">IFERROR(VALUE(IF(VLOOKUP($A87,数出表_Excel!$A$6:$T$150,COLUMN()/2+1,FALSE)=0,"",VLOOKUP($A87,数出表_Excel!$A$6:$T$150,COLUMN()/2+1,FALSE))),"")</f>
        <v/>
      </c>
      <c r="I87" s="80"/>
      <c r="J87" s="80" t="str">
        <f ca="1">IFERROR(VALUE(IF(VLOOKUP($A87,数出表_Excel!$A$6:$T$150,COLUMN()/2+1,FALSE)=0,"",VLOOKUP($A87,数出表_Excel!$A$6:$T$150,COLUMN()/2+1,FALSE))),"")</f>
        <v/>
      </c>
      <c r="K87" s="80"/>
      <c r="L87" s="84" t="str">
        <f ca="1">IFERROR(VALUE(IF(VLOOKUP($A87,数出表_Excel!$A$6:$T$150,COLUMN()/2+1,FALSE)=0,"",VLOOKUP($A87,数出表_Excel!$A$6:$T$150,COLUMN()/2+1,FALSE))),"")</f>
        <v/>
      </c>
      <c r="M87" s="80"/>
      <c r="N87" s="80" t="str">
        <f ca="1">IFERROR(VALUE(IF(VLOOKUP($A87,数出表_Excel!$A$6:$T$150,COLUMN()/2+1,FALSE)=0,"",VLOOKUP($A87,数出表_Excel!$A$6:$T$150,COLUMN()/2+1,FALSE))),"")</f>
        <v/>
      </c>
      <c r="O87" s="80"/>
      <c r="P87" s="80" t="str">
        <f ca="1">IFERROR(VALUE(IF(VLOOKUP($A87,数出表_Excel!$A$6:$T$150,COLUMN()/2+1,FALSE)=0,"",VLOOKUP($A87,数出表_Excel!$A$6:$T$150,COLUMN()/2+1,FALSE))),"")</f>
        <v/>
      </c>
      <c r="Q87" s="80"/>
      <c r="R87" s="80" t="str">
        <f ca="1">IFERROR(VALUE(IF(VLOOKUP($A87,数出表_Excel!$A$6:$T$150,COLUMN()/2+1,FALSE)=0,"",VLOOKUP($A87,数出表_Excel!$A$6:$T$150,COLUMN()/2+1,FALSE))),"")</f>
        <v/>
      </c>
      <c r="S87" s="80"/>
      <c r="T87" s="80" t="str">
        <f ca="1">IFERROR(VALUE(IF(VLOOKUP($A87,数出表_Excel!$A$6:$T$150,COLUMN()/2+1,FALSE)=0,"",VLOOKUP($A87,数出表_Excel!$A$6:$T$150,COLUMN()/2+1,FALSE))),"")</f>
        <v/>
      </c>
      <c r="U87" s="80"/>
      <c r="V87" s="84" t="str">
        <f ca="1">IFERROR(VALUE(IF(VLOOKUP($A87,数出表_Excel!$A$6:$T$150,COLUMN()/2+1,FALSE)=0,"",VLOOKUP($A87,数出表_Excel!$A$6:$T$150,COLUMN()/2+1,FALSE))),"")</f>
        <v/>
      </c>
      <c r="W87" s="80"/>
      <c r="X87" s="84" t="str">
        <f ca="1">IFERROR(VALUE(IF(VLOOKUP($A87,数出表_Excel!$A$6:$T$150,COLUMN()/2+1,FALSE)=0,"",VLOOKUP($A87,数出表_Excel!$A$6:$T$150,COLUMN()/2+1,FALSE))),"")</f>
        <v/>
      </c>
      <c r="Y87" s="80"/>
      <c r="Z87" s="84" t="str">
        <f ca="1">IFERROR(VALUE(IF(VLOOKUP($A87,数出表_Excel!$A$6:$T$150,COLUMN()/2+1,FALSE)=0,"",VLOOKUP($A87,数出表_Excel!$A$6:$T$150,COLUMN()/2+1,FALSE))),"")</f>
        <v/>
      </c>
      <c r="AA87" s="118"/>
      <c r="AB87" s="85" t="str">
        <f ca="1">IFERROR(VALUE(IF(VLOOKUP($A87,数出表_Excel!$A$6:$T$150,COLUMN()/2+1,FALSE)=0,"",VLOOKUP($A87,数出表_Excel!$A$6:$T$150,COLUMN()/2+1,FALSE))),"")</f>
        <v/>
      </c>
      <c r="AC87" s="80"/>
      <c r="AD87" s="84" t="str">
        <f ca="1">IFERROR(VALUE(IF(VLOOKUP($A87,数出表_Excel!$A$6:$T$150,COLUMN()/2+1,FALSE)=0,"",VLOOKUP($A87,数出表_Excel!$A$6:$T$150,COLUMN()/2+1,FALSE))),"")</f>
        <v/>
      </c>
      <c r="AE87" s="80"/>
      <c r="AF87" s="84" t="str">
        <f ca="1">IFERROR(VALUE(IF(VLOOKUP($A87,数出表_Excel!$A$6:$T$150,COLUMN()/2+1,FALSE)=0,"",VLOOKUP($A87,数出表_Excel!$A$6:$T$150,COLUMN()/2+1,FALSE))),"")</f>
        <v/>
      </c>
      <c r="AG87" s="80"/>
      <c r="AH87" s="84" t="str">
        <f ca="1">IFERROR(VALUE(IF(VLOOKUP($A87,数出表_Excel!$A$6:$T$150,COLUMN()/2+1,FALSE)=0,"",VLOOKUP($A87,数出表_Excel!$A$6:$T$150,COLUMN()/2+1,FALSE))),"")</f>
        <v/>
      </c>
      <c r="AI87" s="118"/>
      <c r="AJ87" s="85" t="str">
        <f ca="1">IFERROR(VALUE(IF(VLOOKUP($A87,数出表_Excel!$A$6:$T$150,COLUMN()/2+1,FALSE)=0,"",VLOOKUP($A87,数出表_Excel!$A$6:$T$150,COLUMN()/2+1,FALSE))),"")</f>
        <v/>
      </c>
      <c r="AK87" s="80"/>
      <c r="AL87" s="86" t="e">
        <f ca="1">IF(A87&lt;&gt;"",
IF(VLOOKUP($A87,数出表_Excel!$A$6:$T$150,COLUMN()/2+1,FALSE)=0,"",VLOOKUP($A87,数出表_Excel!$A$6:$T$150,COLUMN()/2+1,FALSE)),"")</f>
        <v>#N/A</v>
      </c>
      <c r="AM87" s="166" t="e">
        <f>数出表_Excel!V87</f>
        <v>#N/A</v>
      </c>
      <c r="AN87" s="167" t="e">
        <f>数出表_Excel!W87</f>
        <v>#N/A</v>
      </c>
    </row>
    <row r="88" spans="1:40" ht="16.2" customHeight="1">
      <c r="A88" s="126" t="e">
        <f t="array" aca="1" ref="A88" ca="1">IF(OR(COUNTIF(A86,"*10002*"),COUNTIF(A86,"")),"",INDEX(貼り付け用!$A1:$A200,MATCH(A86,貼り付け用!$A1:$A200,0)+2,0))</f>
        <v>#N/A</v>
      </c>
      <c r="B88" s="114" t="str">
        <f ca="1">IFERROR(VALUE(IF(VLOOKUP($A88,数出表_Excel!$A$6:$T$150,COLUMN()/2+1,FALSE)=0,"",VLOOKUP($A88,数出表_Excel!$A$6:$T$150,COLUMN()/2+1,FALSE))),"")</f>
        <v/>
      </c>
      <c r="C88" s="79"/>
      <c r="D88" s="114" t="str">
        <f ca="1">IFERROR(VALUE(IF(VLOOKUP($A88,数出表_Excel!$A$6:$T$150,COLUMN()/2+1,FALSE)=0,"",VLOOKUP($A88,数出表_Excel!$A$6:$T$150,COLUMN()/2+1,FALSE))),"")</f>
        <v/>
      </c>
      <c r="E88" s="79"/>
      <c r="F88" s="116" t="str">
        <f ca="1">IFERROR(VALUE(IF(VLOOKUP($A88,数出表_Excel!$A$6:$T$150,COLUMN()/2+1,FALSE)=0,"",VLOOKUP($A88,数出表_Excel!$A$6:$T$150,COLUMN()/2+1,FALSE))),"")</f>
        <v/>
      </c>
      <c r="G88" s="79"/>
      <c r="H88" s="114" t="str">
        <f ca="1">IFERROR(VALUE(IF(VLOOKUP($A88,数出表_Excel!$A$6:$T$150,COLUMN()/2+1,FALSE)=0,"",VLOOKUP($A88,数出表_Excel!$A$6:$T$150,COLUMN()/2+1,FALSE))),"")</f>
        <v/>
      </c>
      <c r="I88" s="79"/>
      <c r="J88" s="114" t="str">
        <f ca="1">IFERROR(VALUE(IF(VLOOKUP($A88,数出表_Excel!$A$6:$T$150,COLUMN()/2+1,FALSE)=0,"",VLOOKUP($A88,数出表_Excel!$A$6:$T$150,COLUMN()/2+1,FALSE))),"")</f>
        <v/>
      </c>
      <c r="K88" s="79"/>
      <c r="L88" s="116" t="str">
        <f ca="1">IFERROR(VALUE(IF(VLOOKUP($A88,数出表_Excel!$A$6:$T$150,COLUMN()/2+1,FALSE)=0,"",VLOOKUP($A88,数出表_Excel!$A$6:$T$150,COLUMN()/2+1,FALSE))),"")</f>
        <v/>
      </c>
      <c r="M88" s="79"/>
      <c r="N88" s="114" t="str">
        <f ca="1">IFERROR(VALUE(IF(VLOOKUP($A88,数出表_Excel!$A$6:$T$150,COLUMN()/2+1,FALSE)=0,"",VLOOKUP($A88,数出表_Excel!$A$6:$T$150,COLUMN()/2+1,FALSE))),"")</f>
        <v/>
      </c>
      <c r="O88" s="79"/>
      <c r="P88" s="114" t="str">
        <f ca="1">IFERROR(VALUE(IF(VLOOKUP($A88,数出表_Excel!$A$6:$T$150,COLUMN()/2+1,FALSE)=0,"",VLOOKUP($A88,数出表_Excel!$A$6:$T$150,COLUMN()/2+1,FALSE))),"")</f>
        <v/>
      </c>
      <c r="Q88" s="79"/>
      <c r="R88" s="114" t="str">
        <f ca="1">IFERROR(VALUE(IF(VLOOKUP($A88,数出表_Excel!$A$6:$T$150,COLUMN()/2+1,FALSE)=0,"",VLOOKUP($A88,数出表_Excel!$A$6:$T$150,COLUMN()/2+1,FALSE))),"")</f>
        <v/>
      </c>
      <c r="S88" s="79"/>
      <c r="T88" s="114" t="str">
        <f ca="1">IFERROR(VALUE(IF(VLOOKUP($A88,数出表_Excel!$A$6:$T$150,COLUMN()/2+1,FALSE)=0,"",VLOOKUP($A88,数出表_Excel!$A$6:$T$150,COLUMN()/2+1,FALSE))),"")</f>
        <v/>
      </c>
      <c r="U88" s="79"/>
      <c r="V88" s="116" t="str">
        <f ca="1">IFERROR(VALUE(IF(VLOOKUP($A88,数出表_Excel!$A$6:$T$150,COLUMN()/2+1,FALSE)=0,"",VLOOKUP($A88,数出表_Excel!$A$6:$T$150,COLUMN()/2+1,FALSE))),"")</f>
        <v/>
      </c>
      <c r="W88" s="79"/>
      <c r="X88" s="116" t="str">
        <f ca="1">IFERROR(VALUE(IF(VLOOKUP($A88,数出表_Excel!$A$6:$T$150,COLUMN()/2+1,FALSE)=0,"",VLOOKUP($A88,数出表_Excel!$A$6:$T$150,COLUMN()/2+1,FALSE))),"")</f>
        <v/>
      </c>
      <c r="Y88" s="79"/>
      <c r="Z88" s="116" t="str">
        <f ca="1">IFERROR(VALUE(IF(VLOOKUP($A88,数出表_Excel!$A$6:$T$150,COLUMN()/2+1,FALSE)=0,"",VLOOKUP($A88,数出表_Excel!$A$6:$T$150,COLUMN()/2+1,FALSE))),"")</f>
        <v/>
      </c>
      <c r="AA88" s="117"/>
      <c r="AB88" s="115" t="str">
        <f ca="1">IFERROR(VALUE(IF(VLOOKUP($A88,数出表_Excel!$A$6:$T$150,COLUMN()/2+1,FALSE)=0,"",VLOOKUP($A88,数出表_Excel!$A$6:$T$150,COLUMN()/2+1,FALSE))),"")</f>
        <v/>
      </c>
      <c r="AC88" s="79"/>
      <c r="AD88" s="116" t="str">
        <f ca="1">IFERROR(VALUE(IF(VLOOKUP($A88,数出表_Excel!$A$6:$T$150,COLUMN()/2+1,FALSE)=0,"",VLOOKUP($A88,数出表_Excel!$A$6:$T$150,COLUMN()/2+1,FALSE))),"")</f>
        <v/>
      </c>
      <c r="AE88" s="79"/>
      <c r="AF88" s="116" t="str">
        <f ca="1">IFERROR(VALUE(IF(VLOOKUP($A88,数出表_Excel!$A$6:$T$150,COLUMN()/2+1,FALSE)=0,"",VLOOKUP($A88,数出表_Excel!$A$6:$T$150,COLUMN()/2+1,FALSE))),"")</f>
        <v/>
      </c>
      <c r="AG88" s="79"/>
      <c r="AH88" s="116" t="str">
        <f ca="1">IFERROR(VALUE(IF(VLOOKUP($A88,数出表_Excel!$A$6:$T$150,COLUMN()/2+1,FALSE)=0,"",VLOOKUP($A88,数出表_Excel!$A$6:$T$150,COLUMN()/2+1,FALSE))),"")</f>
        <v/>
      </c>
      <c r="AI88" s="117"/>
      <c r="AJ88" s="115" t="str">
        <f ca="1">IFERROR(VALUE(IF(VLOOKUP($A88,数出表_Excel!$A$6:$T$150,COLUMN()/2+1,FALSE)=0,"",VLOOKUP($A88,数出表_Excel!$A$6:$T$150,COLUMN()/2+1,FALSE))),"")</f>
        <v/>
      </c>
      <c r="AK88" s="79"/>
      <c r="AL88" s="83" t="e">
        <f ca="1">IF(A88&lt;&gt;"",
IF(VLOOKUP($A88,数出表_Excel!$A$6:$T$150,COLUMN()/2+1,FALSE)=0,"",VLOOKUP($A88,数出表_Excel!$A$6:$T$150,COLUMN()/2+1,FALSE)),"")</f>
        <v>#N/A</v>
      </c>
      <c r="AM88" s="164" t="e">
        <f>数出表_Excel!V88</f>
        <v>#N/A</v>
      </c>
      <c r="AN88" s="165" t="e">
        <f>数出表_Excel!W88</f>
        <v>#N/A</v>
      </c>
    </row>
    <row r="89" spans="1:40" ht="16.2" customHeight="1">
      <c r="A89" s="127" t="e">
        <f t="array" aca="1" ref="A89" ca="1">IF(OR(COUNTIF(A87,"*1000*"),COUNTIF(A87,"")),"",INDEX(貼り付け用!$A1:$A200,MATCH(A87,貼り付け用!$A1:$A200,0)+2,0))</f>
        <v>#N/A</v>
      </c>
      <c r="B89" s="80" t="str">
        <f ca="1">IFERROR(VALUE(IF(VLOOKUP($A89,数出表_Excel!$A$6:$T$150,COLUMN()/2+1,FALSE)=0,"",VLOOKUP($A89,数出表_Excel!$A$6:$T$150,COLUMN()/2+1,FALSE))),"")</f>
        <v/>
      </c>
      <c r="C89" s="80"/>
      <c r="D89" s="80" t="str">
        <f ca="1">IFERROR(VALUE(IF(VLOOKUP($A89,数出表_Excel!$A$6:$T$150,COLUMN()/2+1,FALSE)=0,"",VLOOKUP($A89,数出表_Excel!$A$6:$T$150,COLUMN()/2+1,FALSE))),"")</f>
        <v/>
      </c>
      <c r="E89" s="80"/>
      <c r="F89" s="84" t="str">
        <f ca="1">IFERROR(VALUE(IF(VLOOKUP($A89,数出表_Excel!$A$6:$T$150,COLUMN()/2+1,FALSE)=0,"",VLOOKUP($A89,数出表_Excel!$A$6:$T$150,COLUMN()/2+1,FALSE))),"")</f>
        <v/>
      </c>
      <c r="G89" s="80"/>
      <c r="H89" s="80" t="str">
        <f ca="1">IFERROR(VALUE(IF(VLOOKUP($A89,数出表_Excel!$A$6:$T$150,COLUMN()/2+1,FALSE)=0,"",VLOOKUP($A89,数出表_Excel!$A$6:$T$150,COLUMN()/2+1,FALSE))),"")</f>
        <v/>
      </c>
      <c r="I89" s="80"/>
      <c r="J89" s="80" t="str">
        <f ca="1">IFERROR(VALUE(IF(VLOOKUP($A89,数出表_Excel!$A$6:$T$150,COLUMN()/2+1,FALSE)=0,"",VLOOKUP($A89,数出表_Excel!$A$6:$T$150,COLUMN()/2+1,FALSE))),"")</f>
        <v/>
      </c>
      <c r="K89" s="80"/>
      <c r="L89" s="84" t="str">
        <f ca="1">IFERROR(VALUE(IF(VLOOKUP($A89,数出表_Excel!$A$6:$T$150,COLUMN()/2+1,FALSE)=0,"",VLOOKUP($A89,数出表_Excel!$A$6:$T$150,COLUMN()/2+1,FALSE))),"")</f>
        <v/>
      </c>
      <c r="M89" s="80"/>
      <c r="N89" s="80" t="str">
        <f ca="1">IFERROR(VALUE(IF(VLOOKUP($A89,数出表_Excel!$A$6:$T$150,COLUMN()/2+1,FALSE)=0,"",VLOOKUP($A89,数出表_Excel!$A$6:$T$150,COLUMN()/2+1,FALSE))),"")</f>
        <v/>
      </c>
      <c r="O89" s="80"/>
      <c r="P89" s="80" t="str">
        <f ca="1">IFERROR(VALUE(IF(VLOOKUP($A89,数出表_Excel!$A$6:$T$150,COLUMN()/2+1,FALSE)=0,"",VLOOKUP($A89,数出表_Excel!$A$6:$T$150,COLUMN()/2+1,FALSE))),"")</f>
        <v/>
      </c>
      <c r="Q89" s="80"/>
      <c r="R89" s="80" t="str">
        <f ca="1">IFERROR(VALUE(IF(VLOOKUP($A89,数出表_Excel!$A$6:$T$150,COLUMN()/2+1,FALSE)=0,"",VLOOKUP($A89,数出表_Excel!$A$6:$T$150,COLUMN()/2+1,FALSE))),"")</f>
        <v/>
      </c>
      <c r="S89" s="80"/>
      <c r="T89" s="80" t="str">
        <f ca="1">IFERROR(VALUE(IF(VLOOKUP($A89,数出表_Excel!$A$6:$T$150,COLUMN()/2+1,FALSE)=0,"",VLOOKUP($A89,数出表_Excel!$A$6:$T$150,COLUMN()/2+1,FALSE))),"")</f>
        <v/>
      </c>
      <c r="U89" s="80"/>
      <c r="V89" s="84" t="str">
        <f ca="1">IFERROR(VALUE(IF(VLOOKUP($A89,数出表_Excel!$A$6:$T$150,COLUMN()/2+1,FALSE)=0,"",VLOOKUP($A89,数出表_Excel!$A$6:$T$150,COLUMN()/2+1,FALSE))),"")</f>
        <v/>
      </c>
      <c r="W89" s="80"/>
      <c r="X89" s="84" t="str">
        <f ca="1">IFERROR(VALUE(IF(VLOOKUP($A89,数出表_Excel!$A$6:$T$150,COLUMN()/2+1,FALSE)=0,"",VLOOKUP($A89,数出表_Excel!$A$6:$T$150,COLUMN()/2+1,FALSE))),"")</f>
        <v/>
      </c>
      <c r="Y89" s="80"/>
      <c r="Z89" s="84" t="str">
        <f ca="1">IFERROR(VALUE(IF(VLOOKUP($A89,数出表_Excel!$A$6:$T$150,COLUMN()/2+1,FALSE)=0,"",VLOOKUP($A89,数出表_Excel!$A$6:$T$150,COLUMN()/2+1,FALSE))),"")</f>
        <v/>
      </c>
      <c r="AA89" s="118"/>
      <c r="AB89" s="85" t="str">
        <f ca="1">IFERROR(VALUE(IF(VLOOKUP($A89,数出表_Excel!$A$6:$T$150,COLUMN()/2+1,FALSE)=0,"",VLOOKUP($A89,数出表_Excel!$A$6:$T$150,COLUMN()/2+1,FALSE))),"")</f>
        <v/>
      </c>
      <c r="AC89" s="80"/>
      <c r="AD89" s="84" t="str">
        <f ca="1">IFERROR(VALUE(IF(VLOOKUP($A89,数出表_Excel!$A$6:$T$150,COLUMN()/2+1,FALSE)=0,"",VLOOKUP($A89,数出表_Excel!$A$6:$T$150,COLUMN()/2+1,FALSE))),"")</f>
        <v/>
      </c>
      <c r="AE89" s="80"/>
      <c r="AF89" s="84" t="str">
        <f ca="1">IFERROR(VALUE(IF(VLOOKUP($A89,数出表_Excel!$A$6:$T$150,COLUMN()/2+1,FALSE)=0,"",VLOOKUP($A89,数出表_Excel!$A$6:$T$150,COLUMN()/2+1,FALSE))),"")</f>
        <v/>
      </c>
      <c r="AG89" s="80"/>
      <c r="AH89" s="84" t="str">
        <f ca="1">IFERROR(VALUE(IF(VLOOKUP($A89,数出表_Excel!$A$6:$T$150,COLUMN()/2+1,FALSE)=0,"",VLOOKUP($A89,数出表_Excel!$A$6:$T$150,COLUMN()/2+1,FALSE))),"")</f>
        <v/>
      </c>
      <c r="AI89" s="118"/>
      <c r="AJ89" s="85" t="str">
        <f ca="1">IFERROR(VALUE(IF(VLOOKUP($A89,数出表_Excel!$A$6:$T$150,COLUMN()/2+1,FALSE)=0,"",VLOOKUP($A89,数出表_Excel!$A$6:$T$150,COLUMN()/2+1,FALSE))),"")</f>
        <v/>
      </c>
      <c r="AK89" s="80"/>
      <c r="AL89" s="86" t="e">
        <f ca="1">IF(A89&lt;&gt;"",
IF(VLOOKUP($A89,数出表_Excel!$A$6:$T$150,COLUMN()/2+1,FALSE)=0,"",VLOOKUP($A89,数出表_Excel!$A$6:$T$150,COLUMN()/2+1,FALSE)),"")</f>
        <v>#N/A</v>
      </c>
      <c r="AM89" s="166" t="e">
        <f>数出表_Excel!V89</f>
        <v>#N/A</v>
      </c>
      <c r="AN89" s="167" t="e">
        <f>数出表_Excel!W89</f>
        <v>#N/A</v>
      </c>
    </row>
    <row r="90" spans="1:40" ht="16.2" customHeight="1">
      <c r="A90" s="126" t="e">
        <f t="array" aca="1" ref="A90" ca="1">IF(OR(COUNTIF(A88,"*10002*"),COUNTIF(A88,"")),"",INDEX(貼り付け用!$A1:$A200,MATCH(A88,貼り付け用!$A1:$A200,0)+2,0))</f>
        <v>#N/A</v>
      </c>
      <c r="B90" s="114" t="str">
        <f ca="1">IFERROR(VALUE(IF(VLOOKUP($A90,数出表_Excel!$A$6:$T$150,COLUMN()/2+1,FALSE)=0,"",VLOOKUP($A90,数出表_Excel!$A$6:$T$150,COLUMN()/2+1,FALSE))),"")</f>
        <v/>
      </c>
      <c r="C90" s="79"/>
      <c r="D90" s="114" t="str">
        <f ca="1">IFERROR(VALUE(IF(VLOOKUP($A90,数出表_Excel!$A$6:$T$150,COLUMN()/2+1,FALSE)=0,"",VLOOKUP($A90,数出表_Excel!$A$6:$T$150,COLUMN()/2+1,FALSE))),"")</f>
        <v/>
      </c>
      <c r="E90" s="79"/>
      <c r="F90" s="116" t="str">
        <f ca="1">IFERROR(VALUE(IF(VLOOKUP($A90,数出表_Excel!$A$6:$T$150,COLUMN()/2+1,FALSE)=0,"",VLOOKUP($A90,数出表_Excel!$A$6:$T$150,COLUMN()/2+1,FALSE))),"")</f>
        <v/>
      </c>
      <c r="G90" s="79"/>
      <c r="H90" s="114" t="str">
        <f ca="1">IFERROR(VALUE(IF(VLOOKUP($A90,数出表_Excel!$A$6:$T$150,COLUMN()/2+1,FALSE)=0,"",VLOOKUP($A90,数出表_Excel!$A$6:$T$150,COLUMN()/2+1,FALSE))),"")</f>
        <v/>
      </c>
      <c r="I90" s="79"/>
      <c r="J90" s="114" t="str">
        <f ca="1">IFERROR(VALUE(IF(VLOOKUP($A90,数出表_Excel!$A$6:$T$150,COLUMN()/2+1,FALSE)=0,"",VLOOKUP($A90,数出表_Excel!$A$6:$T$150,COLUMN()/2+1,FALSE))),"")</f>
        <v/>
      </c>
      <c r="K90" s="79"/>
      <c r="L90" s="116" t="str">
        <f ca="1">IFERROR(VALUE(IF(VLOOKUP($A90,数出表_Excel!$A$6:$T$150,COLUMN()/2+1,FALSE)=0,"",VLOOKUP($A90,数出表_Excel!$A$6:$T$150,COLUMN()/2+1,FALSE))),"")</f>
        <v/>
      </c>
      <c r="M90" s="79"/>
      <c r="N90" s="114" t="str">
        <f ca="1">IFERROR(VALUE(IF(VLOOKUP($A90,数出表_Excel!$A$6:$T$150,COLUMN()/2+1,FALSE)=0,"",VLOOKUP($A90,数出表_Excel!$A$6:$T$150,COLUMN()/2+1,FALSE))),"")</f>
        <v/>
      </c>
      <c r="O90" s="79"/>
      <c r="P90" s="114" t="str">
        <f ca="1">IFERROR(VALUE(IF(VLOOKUP($A90,数出表_Excel!$A$6:$T$150,COLUMN()/2+1,FALSE)=0,"",VLOOKUP($A90,数出表_Excel!$A$6:$T$150,COLUMN()/2+1,FALSE))),"")</f>
        <v/>
      </c>
      <c r="Q90" s="79"/>
      <c r="R90" s="114" t="str">
        <f ca="1">IFERROR(VALUE(IF(VLOOKUP($A90,数出表_Excel!$A$6:$T$150,COLUMN()/2+1,FALSE)=0,"",VLOOKUP($A90,数出表_Excel!$A$6:$T$150,COLUMN()/2+1,FALSE))),"")</f>
        <v/>
      </c>
      <c r="S90" s="79"/>
      <c r="T90" s="114" t="str">
        <f ca="1">IFERROR(VALUE(IF(VLOOKUP($A90,数出表_Excel!$A$6:$T$150,COLUMN()/2+1,FALSE)=0,"",VLOOKUP($A90,数出表_Excel!$A$6:$T$150,COLUMN()/2+1,FALSE))),"")</f>
        <v/>
      </c>
      <c r="U90" s="79"/>
      <c r="V90" s="116" t="str">
        <f ca="1">IFERROR(VALUE(IF(VLOOKUP($A90,数出表_Excel!$A$6:$T$150,COLUMN()/2+1,FALSE)=0,"",VLOOKUP($A90,数出表_Excel!$A$6:$T$150,COLUMN()/2+1,FALSE))),"")</f>
        <v/>
      </c>
      <c r="W90" s="79"/>
      <c r="X90" s="116" t="str">
        <f ca="1">IFERROR(VALUE(IF(VLOOKUP($A90,数出表_Excel!$A$6:$T$150,COLUMN()/2+1,FALSE)=0,"",VLOOKUP($A90,数出表_Excel!$A$6:$T$150,COLUMN()/2+1,FALSE))),"")</f>
        <v/>
      </c>
      <c r="Y90" s="79"/>
      <c r="Z90" s="116" t="str">
        <f ca="1">IFERROR(VALUE(IF(VLOOKUP($A90,数出表_Excel!$A$6:$T$150,COLUMN()/2+1,FALSE)=0,"",VLOOKUP($A90,数出表_Excel!$A$6:$T$150,COLUMN()/2+1,FALSE))),"")</f>
        <v/>
      </c>
      <c r="AA90" s="117"/>
      <c r="AB90" s="115" t="str">
        <f ca="1">IFERROR(VALUE(IF(VLOOKUP($A90,数出表_Excel!$A$6:$T$150,COLUMN()/2+1,FALSE)=0,"",VLOOKUP($A90,数出表_Excel!$A$6:$T$150,COLUMN()/2+1,FALSE))),"")</f>
        <v/>
      </c>
      <c r="AC90" s="79"/>
      <c r="AD90" s="116" t="str">
        <f ca="1">IFERROR(VALUE(IF(VLOOKUP($A90,数出表_Excel!$A$6:$T$150,COLUMN()/2+1,FALSE)=0,"",VLOOKUP($A90,数出表_Excel!$A$6:$T$150,COLUMN()/2+1,FALSE))),"")</f>
        <v/>
      </c>
      <c r="AE90" s="79"/>
      <c r="AF90" s="116" t="str">
        <f ca="1">IFERROR(VALUE(IF(VLOOKUP($A90,数出表_Excel!$A$6:$T$150,COLUMN()/2+1,FALSE)=0,"",VLOOKUP($A90,数出表_Excel!$A$6:$T$150,COLUMN()/2+1,FALSE))),"")</f>
        <v/>
      </c>
      <c r="AG90" s="79"/>
      <c r="AH90" s="116" t="str">
        <f ca="1">IFERROR(VALUE(IF(VLOOKUP($A90,数出表_Excel!$A$6:$T$150,COLUMN()/2+1,FALSE)=0,"",VLOOKUP($A90,数出表_Excel!$A$6:$T$150,COLUMN()/2+1,FALSE))),"")</f>
        <v/>
      </c>
      <c r="AI90" s="117"/>
      <c r="AJ90" s="115" t="str">
        <f ca="1">IFERROR(VALUE(IF(VLOOKUP($A90,数出表_Excel!$A$6:$T$150,COLUMN()/2+1,FALSE)=0,"",VLOOKUP($A90,数出表_Excel!$A$6:$T$150,COLUMN()/2+1,FALSE))),"")</f>
        <v/>
      </c>
      <c r="AK90" s="79"/>
      <c r="AL90" s="83" t="e">
        <f ca="1">IF(A90&lt;&gt;"",
IF(VLOOKUP($A90,数出表_Excel!$A$6:$T$150,COLUMN()/2+1,FALSE)=0,"",VLOOKUP($A90,数出表_Excel!$A$6:$T$150,COLUMN()/2+1,FALSE)),"")</f>
        <v>#N/A</v>
      </c>
      <c r="AM90" s="164" t="e">
        <f>数出表_Excel!V90</f>
        <v>#N/A</v>
      </c>
      <c r="AN90" s="165" t="e">
        <f>数出表_Excel!W90</f>
        <v>#N/A</v>
      </c>
    </row>
    <row r="91" spans="1:40" ht="16.2" customHeight="1">
      <c r="A91" s="127" t="e">
        <f t="array" aca="1" ref="A91" ca="1">IF(OR(COUNTIF(A89,"*1000*"),COUNTIF(A89,"")),"",INDEX(貼り付け用!$A1:$A200,MATCH(A89,貼り付け用!$A1:$A200,0)+2,0))</f>
        <v>#N/A</v>
      </c>
      <c r="B91" s="80" t="str">
        <f ca="1">IFERROR(VALUE(IF(VLOOKUP($A91,数出表_Excel!$A$6:$T$150,COLUMN()/2+1,FALSE)=0,"",VLOOKUP($A91,数出表_Excel!$A$6:$T$150,COLUMN()/2+1,FALSE))),"")</f>
        <v/>
      </c>
      <c r="C91" s="80"/>
      <c r="D91" s="80" t="str">
        <f ca="1">IFERROR(VALUE(IF(VLOOKUP($A91,数出表_Excel!$A$6:$T$150,COLUMN()/2+1,FALSE)=0,"",VLOOKUP($A91,数出表_Excel!$A$6:$T$150,COLUMN()/2+1,FALSE))),"")</f>
        <v/>
      </c>
      <c r="E91" s="80"/>
      <c r="F91" s="84" t="str">
        <f ca="1">IFERROR(VALUE(IF(VLOOKUP($A91,数出表_Excel!$A$6:$T$150,COLUMN()/2+1,FALSE)=0,"",VLOOKUP($A91,数出表_Excel!$A$6:$T$150,COLUMN()/2+1,FALSE))),"")</f>
        <v/>
      </c>
      <c r="G91" s="80"/>
      <c r="H91" s="80" t="str">
        <f ca="1">IFERROR(VALUE(IF(VLOOKUP($A91,数出表_Excel!$A$6:$T$150,COLUMN()/2+1,FALSE)=0,"",VLOOKUP($A91,数出表_Excel!$A$6:$T$150,COLUMN()/2+1,FALSE))),"")</f>
        <v/>
      </c>
      <c r="I91" s="80"/>
      <c r="J91" s="80" t="str">
        <f ca="1">IFERROR(VALUE(IF(VLOOKUP($A91,数出表_Excel!$A$6:$T$150,COLUMN()/2+1,FALSE)=0,"",VLOOKUP($A91,数出表_Excel!$A$6:$T$150,COLUMN()/2+1,FALSE))),"")</f>
        <v/>
      </c>
      <c r="K91" s="80"/>
      <c r="L91" s="84" t="str">
        <f ca="1">IFERROR(VALUE(IF(VLOOKUP($A91,数出表_Excel!$A$6:$T$150,COLUMN()/2+1,FALSE)=0,"",VLOOKUP($A91,数出表_Excel!$A$6:$T$150,COLUMN()/2+1,FALSE))),"")</f>
        <v/>
      </c>
      <c r="M91" s="80"/>
      <c r="N91" s="80" t="str">
        <f ca="1">IFERROR(VALUE(IF(VLOOKUP($A91,数出表_Excel!$A$6:$T$150,COLUMN()/2+1,FALSE)=0,"",VLOOKUP($A91,数出表_Excel!$A$6:$T$150,COLUMN()/2+1,FALSE))),"")</f>
        <v/>
      </c>
      <c r="O91" s="80"/>
      <c r="P91" s="80" t="str">
        <f ca="1">IFERROR(VALUE(IF(VLOOKUP($A91,数出表_Excel!$A$6:$T$150,COLUMN()/2+1,FALSE)=0,"",VLOOKUP($A91,数出表_Excel!$A$6:$T$150,COLUMN()/2+1,FALSE))),"")</f>
        <v/>
      </c>
      <c r="Q91" s="80"/>
      <c r="R91" s="80" t="str">
        <f ca="1">IFERROR(VALUE(IF(VLOOKUP($A91,数出表_Excel!$A$6:$T$150,COLUMN()/2+1,FALSE)=0,"",VLOOKUP($A91,数出表_Excel!$A$6:$T$150,COLUMN()/2+1,FALSE))),"")</f>
        <v/>
      </c>
      <c r="S91" s="80"/>
      <c r="T91" s="80" t="str">
        <f ca="1">IFERROR(VALUE(IF(VLOOKUP($A91,数出表_Excel!$A$6:$T$150,COLUMN()/2+1,FALSE)=0,"",VLOOKUP($A91,数出表_Excel!$A$6:$T$150,COLUMN()/2+1,FALSE))),"")</f>
        <v/>
      </c>
      <c r="U91" s="80"/>
      <c r="V91" s="84" t="str">
        <f ca="1">IFERROR(VALUE(IF(VLOOKUP($A91,数出表_Excel!$A$6:$T$150,COLUMN()/2+1,FALSE)=0,"",VLOOKUP($A91,数出表_Excel!$A$6:$T$150,COLUMN()/2+1,FALSE))),"")</f>
        <v/>
      </c>
      <c r="W91" s="80"/>
      <c r="X91" s="84" t="str">
        <f ca="1">IFERROR(VALUE(IF(VLOOKUP($A91,数出表_Excel!$A$6:$T$150,COLUMN()/2+1,FALSE)=0,"",VLOOKUP($A91,数出表_Excel!$A$6:$T$150,COLUMN()/2+1,FALSE))),"")</f>
        <v/>
      </c>
      <c r="Y91" s="80"/>
      <c r="Z91" s="84" t="str">
        <f ca="1">IFERROR(VALUE(IF(VLOOKUP($A91,数出表_Excel!$A$6:$T$150,COLUMN()/2+1,FALSE)=0,"",VLOOKUP($A91,数出表_Excel!$A$6:$T$150,COLUMN()/2+1,FALSE))),"")</f>
        <v/>
      </c>
      <c r="AA91" s="118"/>
      <c r="AB91" s="85" t="str">
        <f ca="1">IFERROR(VALUE(IF(VLOOKUP($A91,数出表_Excel!$A$6:$T$150,COLUMN()/2+1,FALSE)=0,"",VLOOKUP($A91,数出表_Excel!$A$6:$T$150,COLUMN()/2+1,FALSE))),"")</f>
        <v/>
      </c>
      <c r="AC91" s="80"/>
      <c r="AD91" s="84" t="str">
        <f ca="1">IFERROR(VALUE(IF(VLOOKUP($A91,数出表_Excel!$A$6:$T$150,COLUMN()/2+1,FALSE)=0,"",VLOOKUP($A91,数出表_Excel!$A$6:$T$150,COLUMN()/2+1,FALSE))),"")</f>
        <v/>
      </c>
      <c r="AE91" s="80"/>
      <c r="AF91" s="84" t="str">
        <f ca="1">IFERROR(VALUE(IF(VLOOKUP($A91,数出表_Excel!$A$6:$T$150,COLUMN()/2+1,FALSE)=0,"",VLOOKUP($A91,数出表_Excel!$A$6:$T$150,COLUMN()/2+1,FALSE))),"")</f>
        <v/>
      </c>
      <c r="AG91" s="80"/>
      <c r="AH91" s="84" t="str">
        <f ca="1">IFERROR(VALUE(IF(VLOOKUP($A91,数出表_Excel!$A$6:$T$150,COLUMN()/2+1,FALSE)=0,"",VLOOKUP($A91,数出表_Excel!$A$6:$T$150,COLUMN()/2+1,FALSE))),"")</f>
        <v/>
      </c>
      <c r="AI91" s="118"/>
      <c r="AJ91" s="85" t="str">
        <f ca="1">IFERROR(VALUE(IF(VLOOKUP($A91,数出表_Excel!$A$6:$T$150,COLUMN()/2+1,FALSE)=0,"",VLOOKUP($A91,数出表_Excel!$A$6:$T$150,COLUMN()/2+1,FALSE))),"")</f>
        <v/>
      </c>
      <c r="AK91" s="80"/>
      <c r="AL91" s="86" t="e">
        <f ca="1">IF(A91&lt;&gt;"",
IF(VLOOKUP($A91,数出表_Excel!$A$6:$T$150,COLUMN()/2+1,FALSE)=0,"",VLOOKUP($A91,数出表_Excel!$A$6:$T$150,COLUMN()/2+1,FALSE)),"")</f>
        <v>#N/A</v>
      </c>
      <c r="AM91" s="166" t="e">
        <f>数出表_Excel!V91</f>
        <v>#N/A</v>
      </c>
      <c r="AN91" s="167" t="e">
        <f>数出表_Excel!W91</f>
        <v>#N/A</v>
      </c>
    </row>
    <row r="92" spans="1:40" ht="16.2" customHeight="1">
      <c r="A92" s="126" t="e">
        <f t="array" aca="1" ref="A92" ca="1">IF(OR(COUNTIF(A90,"*10002*"),COUNTIF(A90,"")),"",INDEX(貼り付け用!$A1:$A200,MATCH(A90,貼り付け用!$A1:$A200,0)+2,0))</f>
        <v>#N/A</v>
      </c>
      <c r="B92" s="114" t="str">
        <f ca="1">IFERROR(VALUE(IF(VLOOKUP($A92,数出表_Excel!$A$6:$T$150,COLUMN()/2+1,FALSE)=0,"",VLOOKUP($A92,数出表_Excel!$A$6:$T$150,COLUMN()/2+1,FALSE))),"")</f>
        <v/>
      </c>
      <c r="C92" s="79"/>
      <c r="D92" s="114" t="str">
        <f ca="1">IFERROR(VALUE(IF(VLOOKUP($A92,数出表_Excel!$A$6:$T$150,COLUMN()/2+1,FALSE)=0,"",VLOOKUP($A92,数出表_Excel!$A$6:$T$150,COLUMN()/2+1,FALSE))),"")</f>
        <v/>
      </c>
      <c r="E92" s="79"/>
      <c r="F92" s="116" t="str">
        <f ca="1">IFERROR(VALUE(IF(VLOOKUP($A92,数出表_Excel!$A$6:$T$150,COLUMN()/2+1,FALSE)=0,"",VLOOKUP($A92,数出表_Excel!$A$6:$T$150,COLUMN()/2+1,FALSE))),"")</f>
        <v/>
      </c>
      <c r="G92" s="79"/>
      <c r="H92" s="114" t="str">
        <f ca="1">IFERROR(VALUE(IF(VLOOKUP($A92,数出表_Excel!$A$6:$T$150,COLUMN()/2+1,FALSE)=0,"",VLOOKUP($A92,数出表_Excel!$A$6:$T$150,COLUMN()/2+1,FALSE))),"")</f>
        <v/>
      </c>
      <c r="I92" s="79"/>
      <c r="J92" s="114" t="str">
        <f ca="1">IFERROR(VALUE(IF(VLOOKUP($A92,数出表_Excel!$A$6:$T$150,COLUMN()/2+1,FALSE)=0,"",VLOOKUP($A92,数出表_Excel!$A$6:$T$150,COLUMN()/2+1,FALSE))),"")</f>
        <v/>
      </c>
      <c r="K92" s="79"/>
      <c r="L92" s="116" t="str">
        <f ca="1">IFERROR(VALUE(IF(VLOOKUP($A92,数出表_Excel!$A$6:$T$150,COLUMN()/2+1,FALSE)=0,"",VLOOKUP($A92,数出表_Excel!$A$6:$T$150,COLUMN()/2+1,FALSE))),"")</f>
        <v/>
      </c>
      <c r="M92" s="79"/>
      <c r="N92" s="114" t="str">
        <f ca="1">IFERROR(VALUE(IF(VLOOKUP($A92,数出表_Excel!$A$6:$T$150,COLUMN()/2+1,FALSE)=0,"",VLOOKUP($A92,数出表_Excel!$A$6:$T$150,COLUMN()/2+1,FALSE))),"")</f>
        <v/>
      </c>
      <c r="O92" s="79"/>
      <c r="P92" s="114" t="str">
        <f ca="1">IFERROR(VALUE(IF(VLOOKUP($A92,数出表_Excel!$A$6:$T$150,COLUMN()/2+1,FALSE)=0,"",VLOOKUP($A92,数出表_Excel!$A$6:$T$150,COLUMN()/2+1,FALSE))),"")</f>
        <v/>
      </c>
      <c r="Q92" s="79"/>
      <c r="R92" s="114" t="str">
        <f ca="1">IFERROR(VALUE(IF(VLOOKUP($A92,数出表_Excel!$A$6:$T$150,COLUMN()/2+1,FALSE)=0,"",VLOOKUP($A92,数出表_Excel!$A$6:$T$150,COLUMN()/2+1,FALSE))),"")</f>
        <v/>
      </c>
      <c r="S92" s="79"/>
      <c r="T92" s="114" t="str">
        <f ca="1">IFERROR(VALUE(IF(VLOOKUP($A92,数出表_Excel!$A$6:$T$150,COLUMN()/2+1,FALSE)=0,"",VLOOKUP($A92,数出表_Excel!$A$6:$T$150,COLUMN()/2+1,FALSE))),"")</f>
        <v/>
      </c>
      <c r="U92" s="79"/>
      <c r="V92" s="116" t="str">
        <f ca="1">IFERROR(VALUE(IF(VLOOKUP($A92,数出表_Excel!$A$6:$T$150,COLUMN()/2+1,FALSE)=0,"",VLOOKUP($A92,数出表_Excel!$A$6:$T$150,COLUMN()/2+1,FALSE))),"")</f>
        <v/>
      </c>
      <c r="W92" s="79"/>
      <c r="X92" s="116" t="str">
        <f ca="1">IFERROR(VALUE(IF(VLOOKUP($A92,数出表_Excel!$A$6:$T$150,COLUMN()/2+1,FALSE)=0,"",VLOOKUP($A92,数出表_Excel!$A$6:$T$150,COLUMN()/2+1,FALSE))),"")</f>
        <v/>
      </c>
      <c r="Y92" s="79"/>
      <c r="Z92" s="116" t="str">
        <f ca="1">IFERROR(VALUE(IF(VLOOKUP($A92,数出表_Excel!$A$6:$T$150,COLUMN()/2+1,FALSE)=0,"",VLOOKUP($A92,数出表_Excel!$A$6:$T$150,COLUMN()/2+1,FALSE))),"")</f>
        <v/>
      </c>
      <c r="AA92" s="117"/>
      <c r="AB92" s="115" t="str">
        <f ca="1">IFERROR(VALUE(IF(VLOOKUP($A92,数出表_Excel!$A$6:$T$150,COLUMN()/2+1,FALSE)=0,"",VLOOKUP($A92,数出表_Excel!$A$6:$T$150,COLUMN()/2+1,FALSE))),"")</f>
        <v/>
      </c>
      <c r="AC92" s="79"/>
      <c r="AD92" s="116" t="str">
        <f ca="1">IFERROR(VALUE(IF(VLOOKUP($A92,数出表_Excel!$A$6:$T$150,COLUMN()/2+1,FALSE)=0,"",VLOOKUP($A92,数出表_Excel!$A$6:$T$150,COLUMN()/2+1,FALSE))),"")</f>
        <v/>
      </c>
      <c r="AE92" s="79"/>
      <c r="AF92" s="116" t="str">
        <f ca="1">IFERROR(VALUE(IF(VLOOKUP($A92,数出表_Excel!$A$6:$T$150,COLUMN()/2+1,FALSE)=0,"",VLOOKUP($A92,数出表_Excel!$A$6:$T$150,COLUMN()/2+1,FALSE))),"")</f>
        <v/>
      </c>
      <c r="AG92" s="79"/>
      <c r="AH92" s="116" t="str">
        <f ca="1">IFERROR(VALUE(IF(VLOOKUP($A92,数出表_Excel!$A$6:$T$150,COLUMN()/2+1,FALSE)=0,"",VLOOKUP($A92,数出表_Excel!$A$6:$T$150,COLUMN()/2+1,FALSE))),"")</f>
        <v/>
      </c>
      <c r="AI92" s="117"/>
      <c r="AJ92" s="115" t="str">
        <f ca="1">IFERROR(VALUE(IF(VLOOKUP($A92,数出表_Excel!$A$6:$T$150,COLUMN()/2+1,FALSE)=0,"",VLOOKUP($A92,数出表_Excel!$A$6:$T$150,COLUMN()/2+1,FALSE))),"")</f>
        <v/>
      </c>
      <c r="AK92" s="79"/>
      <c r="AL92" s="83" t="e">
        <f ca="1">IF(A92&lt;&gt;"",
IF(VLOOKUP($A92,数出表_Excel!$A$6:$T$150,COLUMN()/2+1,FALSE)=0,"",VLOOKUP($A92,数出表_Excel!$A$6:$T$150,COLUMN()/2+1,FALSE)),"")</f>
        <v>#N/A</v>
      </c>
      <c r="AM92" s="164" t="e">
        <f>数出表_Excel!V92</f>
        <v>#N/A</v>
      </c>
      <c r="AN92" s="165" t="e">
        <f>数出表_Excel!W92</f>
        <v>#N/A</v>
      </c>
    </row>
    <row r="93" spans="1:40" ht="16.2" customHeight="1">
      <c r="A93" s="127" t="e">
        <f t="array" aca="1" ref="A93" ca="1">IF(OR(COUNTIF(A91,"*1000*"),COUNTIF(A91,"")),"",INDEX(貼り付け用!$A1:$A200,MATCH(A91,貼り付け用!$A1:$A200,0)+2,0))</f>
        <v>#N/A</v>
      </c>
      <c r="B93" s="80" t="str">
        <f ca="1">IFERROR(VALUE(IF(VLOOKUP($A93,数出表_Excel!$A$6:$T$150,COLUMN()/2+1,FALSE)=0,"",VLOOKUP($A93,数出表_Excel!$A$6:$T$150,COLUMN()/2+1,FALSE))),"")</f>
        <v/>
      </c>
      <c r="C93" s="80"/>
      <c r="D93" s="80" t="str">
        <f ca="1">IFERROR(VALUE(IF(VLOOKUP($A93,数出表_Excel!$A$6:$T$150,COLUMN()/2+1,FALSE)=0,"",VLOOKUP($A93,数出表_Excel!$A$6:$T$150,COLUMN()/2+1,FALSE))),"")</f>
        <v/>
      </c>
      <c r="E93" s="80"/>
      <c r="F93" s="84" t="str">
        <f ca="1">IFERROR(VALUE(IF(VLOOKUP($A93,数出表_Excel!$A$6:$T$150,COLUMN()/2+1,FALSE)=0,"",VLOOKUP($A93,数出表_Excel!$A$6:$T$150,COLUMN()/2+1,FALSE))),"")</f>
        <v/>
      </c>
      <c r="G93" s="80"/>
      <c r="H93" s="80" t="str">
        <f ca="1">IFERROR(VALUE(IF(VLOOKUP($A93,数出表_Excel!$A$6:$T$150,COLUMN()/2+1,FALSE)=0,"",VLOOKUP($A93,数出表_Excel!$A$6:$T$150,COLUMN()/2+1,FALSE))),"")</f>
        <v/>
      </c>
      <c r="I93" s="80"/>
      <c r="J93" s="80" t="str">
        <f ca="1">IFERROR(VALUE(IF(VLOOKUP($A93,数出表_Excel!$A$6:$T$150,COLUMN()/2+1,FALSE)=0,"",VLOOKUP($A93,数出表_Excel!$A$6:$T$150,COLUMN()/2+1,FALSE))),"")</f>
        <v/>
      </c>
      <c r="K93" s="80"/>
      <c r="L93" s="84" t="str">
        <f ca="1">IFERROR(VALUE(IF(VLOOKUP($A93,数出表_Excel!$A$6:$T$150,COLUMN()/2+1,FALSE)=0,"",VLOOKUP($A93,数出表_Excel!$A$6:$T$150,COLUMN()/2+1,FALSE))),"")</f>
        <v/>
      </c>
      <c r="M93" s="80"/>
      <c r="N93" s="80" t="str">
        <f ca="1">IFERROR(VALUE(IF(VLOOKUP($A93,数出表_Excel!$A$6:$T$150,COLUMN()/2+1,FALSE)=0,"",VLOOKUP($A93,数出表_Excel!$A$6:$T$150,COLUMN()/2+1,FALSE))),"")</f>
        <v/>
      </c>
      <c r="O93" s="80"/>
      <c r="P93" s="80" t="str">
        <f ca="1">IFERROR(VALUE(IF(VLOOKUP($A93,数出表_Excel!$A$6:$T$150,COLUMN()/2+1,FALSE)=0,"",VLOOKUP($A93,数出表_Excel!$A$6:$T$150,COLUMN()/2+1,FALSE))),"")</f>
        <v/>
      </c>
      <c r="Q93" s="80"/>
      <c r="R93" s="80" t="str">
        <f ca="1">IFERROR(VALUE(IF(VLOOKUP($A93,数出表_Excel!$A$6:$T$150,COLUMN()/2+1,FALSE)=0,"",VLOOKUP($A93,数出表_Excel!$A$6:$T$150,COLUMN()/2+1,FALSE))),"")</f>
        <v/>
      </c>
      <c r="S93" s="80"/>
      <c r="T93" s="80" t="str">
        <f ca="1">IFERROR(VALUE(IF(VLOOKUP($A93,数出表_Excel!$A$6:$T$150,COLUMN()/2+1,FALSE)=0,"",VLOOKUP($A93,数出表_Excel!$A$6:$T$150,COLUMN()/2+1,FALSE))),"")</f>
        <v/>
      </c>
      <c r="U93" s="80"/>
      <c r="V93" s="84" t="str">
        <f ca="1">IFERROR(VALUE(IF(VLOOKUP($A93,数出表_Excel!$A$6:$T$150,COLUMN()/2+1,FALSE)=0,"",VLOOKUP($A93,数出表_Excel!$A$6:$T$150,COLUMN()/2+1,FALSE))),"")</f>
        <v/>
      </c>
      <c r="W93" s="80"/>
      <c r="X93" s="84" t="str">
        <f ca="1">IFERROR(VALUE(IF(VLOOKUP($A93,数出表_Excel!$A$6:$T$150,COLUMN()/2+1,FALSE)=0,"",VLOOKUP($A93,数出表_Excel!$A$6:$T$150,COLUMN()/2+1,FALSE))),"")</f>
        <v/>
      </c>
      <c r="Y93" s="80"/>
      <c r="Z93" s="84" t="str">
        <f ca="1">IFERROR(VALUE(IF(VLOOKUP($A93,数出表_Excel!$A$6:$T$150,COLUMN()/2+1,FALSE)=0,"",VLOOKUP($A93,数出表_Excel!$A$6:$T$150,COLUMN()/2+1,FALSE))),"")</f>
        <v/>
      </c>
      <c r="AA93" s="118"/>
      <c r="AB93" s="85" t="str">
        <f ca="1">IFERROR(VALUE(IF(VLOOKUP($A93,数出表_Excel!$A$6:$T$150,COLUMN()/2+1,FALSE)=0,"",VLOOKUP($A93,数出表_Excel!$A$6:$T$150,COLUMN()/2+1,FALSE))),"")</f>
        <v/>
      </c>
      <c r="AC93" s="80"/>
      <c r="AD93" s="84" t="str">
        <f ca="1">IFERROR(VALUE(IF(VLOOKUP($A93,数出表_Excel!$A$6:$T$150,COLUMN()/2+1,FALSE)=0,"",VLOOKUP($A93,数出表_Excel!$A$6:$T$150,COLUMN()/2+1,FALSE))),"")</f>
        <v/>
      </c>
      <c r="AE93" s="80"/>
      <c r="AF93" s="84" t="str">
        <f ca="1">IFERROR(VALUE(IF(VLOOKUP($A93,数出表_Excel!$A$6:$T$150,COLUMN()/2+1,FALSE)=0,"",VLOOKUP($A93,数出表_Excel!$A$6:$T$150,COLUMN()/2+1,FALSE))),"")</f>
        <v/>
      </c>
      <c r="AG93" s="80"/>
      <c r="AH93" s="84" t="str">
        <f ca="1">IFERROR(VALUE(IF(VLOOKUP($A93,数出表_Excel!$A$6:$T$150,COLUMN()/2+1,FALSE)=0,"",VLOOKUP($A93,数出表_Excel!$A$6:$T$150,COLUMN()/2+1,FALSE))),"")</f>
        <v/>
      </c>
      <c r="AI93" s="118"/>
      <c r="AJ93" s="85" t="str">
        <f ca="1">IFERROR(VALUE(IF(VLOOKUP($A93,数出表_Excel!$A$6:$T$150,COLUMN()/2+1,FALSE)=0,"",VLOOKUP($A93,数出表_Excel!$A$6:$T$150,COLUMN()/2+1,FALSE))),"")</f>
        <v/>
      </c>
      <c r="AK93" s="80"/>
      <c r="AL93" s="86" t="e">
        <f ca="1">IF(A93&lt;&gt;"",
IF(VLOOKUP($A93,数出表_Excel!$A$6:$T$150,COLUMN()/2+1,FALSE)=0,"",VLOOKUP($A93,数出表_Excel!$A$6:$T$150,COLUMN()/2+1,FALSE)),"")</f>
        <v>#N/A</v>
      </c>
      <c r="AM93" s="166" t="e">
        <f>数出表_Excel!V93</f>
        <v>#N/A</v>
      </c>
      <c r="AN93" s="167" t="e">
        <f>数出表_Excel!W93</f>
        <v>#N/A</v>
      </c>
    </row>
    <row r="94" spans="1:40" ht="16.2" customHeight="1">
      <c r="A94" s="126" t="e">
        <f t="array" aca="1" ref="A94" ca="1">IF(OR(COUNTIF(A92,"*10002*"),COUNTIF(A92,"")),"",INDEX(貼り付け用!$A1:$A200,MATCH(A92,貼り付け用!$A1:$A200,0)+2,0))</f>
        <v>#N/A</v>
      </c>
      <c r="B94" s="114" t="str">
        <f ca="1">IFERROR(VALUE(IF(VLOOKUP($A94,数出表_Excel!$A$6:$T$150,COLUMN()/2+1,FALSE)=0,"",VLOOKUP($A94,数出表_Excel!$A$6:$T$150,COLUMN()/2+1,FALSE))),"")</f>
        <v/>
      </c>
      <c r="C94" s="79"/>
      <c r="D94" s="114" t="str">
        <f ca="1">IFERROR(VALUE(IF(VLOOKUP($A94,数出表_Excel!$A$6:$T$150,COLUMN()/2+1,FALSE)=0,"",VLOOKUP($A94,数出表_Excel!$A$6:$T$150,COLUMN()/2+1,FALSE))),"")</f>
        <v/>
      </c>
      <c r="E94" s="79"/>
      <c r="F94" s="116" t="str">
        <f ca="1">IFERROR(VALUE(IF(VLOOKUP($A94,数出表_Excel!$A$6:$T$150,COLUMN()/2+1,FALSE)=0,"",VLOOKUP($A94,数出表_Excel!$A$6:$T$150,COLUMN()/2+1,FALSE))),"")</f>
        <v/>
      </c>
      <c r="G94" s="79"/>
      <c r="H94" s="114" t="str">
        <f ca="1">IFERROR(VALUE(IF(VLOOKUP($A94,数出表_Excel!$A$6:$T$150,COLUMN()/2+1,FALSE)=0,"",VLOOKUP($A94,数出表_Excel!$A$6:$T$150,COLUMN()/2+1,FALSE))),"")</f>
        <v/>
      </c>
      <c r="I94" s="79"/>
      <c r="J94" s="114" t="str">
        <f ca="1">IFERROR(VALUE(IF(VLOOKUP($A94,数出表_Excel!$A$6:$T$150,COLUMN()/2+1,FALSE)=0,"",VLOOKUP($A94,数出表_Excel!$A$6:$T$150,COLUMN()/2+1,FALSE))),"")</f>
        <v/>
      </c>
      <c r="K94" s="79"/>
      <c r="L94" s="116" t="str">
        <f ca="1">IFERROR(VALUE(IF(VLOOKUP($A94,数出表_Excel!$A$6:$T$150,COLUMN()/2+1,FALSE)=0,"",VLOOKUP($A94,数出表_Excel!$A$6:$T$150,COLUMN()/2+1,FALSE))),"")</f>
        <v/>
      </c>
      <c r="M94" s="79"/>
      <c r="N94" s="114" t="str">
        <f ca="1">IFERROR(VALUE(IF(VLOOKUP($A94,数出表_Excel!$A$6:$T$150,COLUMN()/2+1,FALSE)=0,"",VLOOKUP($A94,数出表_Excel!$A$6:$T$150,COLUMN()/2+1,FALSE))),"")</f>
        <v/>
      </c>
      <c r="O94" s="79"/>
      <c r="P94" s="114" t="str">
        <f ca="1">IFERROR(VALUE(IF(VLOOKUP($A94,数出表_Excel!$A$6:$T$150,COLUMN()/2+1,FALSE)=0,"",VLOOKUP($A94,数出表_Excel!$A$6:$T$150,COLUMN()/2+1,FALSE))),"")</f>
        <v/>
      </c>
      <c r="Q94" s="79"/>
      <c r="R94" s="114" t="str">
        <f ca="1">IFERROR(VALUE(IF(VLOOKUP($A94,数出表_Excel!$A$6:$T$150,COLUMN()/2+1,FALSE)=0,"",VLOOKUP($A94,数出表_Excel!$A$6:$T$150,COLUMN()/2+1,FALSE))),"")</f>
        <v/>
      </c>
      <c r="S94" s="79"/>
      <c r="T94" s="114" t="str">
        <f ca="1">IFERROR(VALUE(IF(VLOOKUP($A94,数出表_Excel!$A$6:$T$150,COLUMN()/2+1,FALSE)=0,"",VLOOKUP($A94,数出表_Excel!$A$6:$T$150,COLUMN()/2+1,FALSE))),"")</f>
        <v/>
      </c>
      <c r="U94" s="79"/>
      <c r="V94" s="116" t="str">
        <f ca="1">IFERROR(VALUE(IF(VLOOKUP($A94,数出表_Excel!$A$6:$T$150,COLUMN()/2+1,FALSE)=0,"",VLOOKUP($A94,数出表_Excel!$A$6:$T$150,COLUMN()/2+1,FALSE))),"")</f>
        <v/>
      </c>
      <c r="W94" s="79"/>
      <c r="X94" s="116" t="str">
        <f ca="1">IFERROR(VALUE(IF(VLOOKUP($A94,数出表_Excel!$A$6:$T$150,COLUMN()/2+1,FALSE)=0,"",VLOOKUP($A94,数出表_Excel!$A$6:$T$150,COLUMN()/2+1,FALSE))),"")</f>
        <v/>
      </c>
      <c r="Y94" s="79"/>
      <c r="Z94" s="116" t="str">
        <f ca="1">IFERROR(VALUE(IF(VLOOKUP($A94,数出表_Excel!$A$6:$T$150,COLUMN()/2+1,FALSE)=0,"",VLOOKUP($A94,数出表_Excel!$A$6:$T$150,COLUMN()/2+1,FALSE))),"")</f>
        <v/>
      </c>
      <c r="AA94" s="117"/>
      <c r="AB94" s="115" t="str">
        <f ca="1">IFERROR(VALUE(IF(VLOOKUP($A94,数出表_Excel!$A$6:$T$150,COLUMN()/2+1,FALSE)=0,"",VLOOKUP($A94,数出表_Excel!$A$6:$T$150,COLUMN()/2+1,FALSE))),"")</f>
        <v/>
      </c>
      <c r="AC94" s="79"/>
      <c r="AD94" s="116" t="str">
        <f ca="1">IFERROR(VALUE(IF(VLOOKUP($A94,数出表_Excel!$A$6:$T$150,COLUMN()/2+1,FALSE)=0,"",VLOOKUP($A94,数出表_Excel!$A$6:$T$150,COLUMN()/2+1,FALSE))),"")</f>
        <v/>
      </c>
      <c r="AE94" s="79"/>
      <c r="AF94" s="116" t="str">
        <f ca="1">IFERROR(VALUE(IF(VLOOKUP($A94,数出表_Excel!$A$6:$T$150,COLUMN()/2+1,FALSE)=0,"",VLOOKUP($A94,数出表_Excel!$A$6:$T$150,COLUMN()/2+1,FALSE))),"")</f>
        <v/>
      </c>
      <c r="AG94" s="79"/>
      <c r="AH94" s="116" t="str">
        <f ca="1">IFERROR(VALUE(IF(VLOOKUP($A94,数出表_Excel!$A$6:$T$150,COLUMN()/2+1,FALSE)=0,"",VLOOKUP($A94,数出表_Excel!$A$6:$T$150,COLUMN()/2+1,FALSE))),"")</f>
        <v/>
      </c>
      <c r="AI94" s="117"/>
      <c r="AJ94" s="115" t="str">
        <f ca="1">IFERROR(VALUE(IF(VLOOKUP($A94,数出表_Excel!$A$6:$T$150,COLUMN()/2+1,FALSE)=0,"",VLOOKUP($A94,数出表_Excel!$A$6:$T$150,COLUMN()/2+1,FALSE))),"")</f>
        <v/>
      </c>
      <c r="AK94" s="79"/>
      <c r="AL94" s="83" t="e">
        <f ca="1">IF(A94&lt;&gt;"",
IF(VLOOKUP($A94,数出表_Excel!$A$6:$T$150,COLUMN()/2+1,FALSE)=0,"",VLOOKUP($A94,数出表_Excel!$A$6:$T$150,COLUMN()/2+1,FALSE)),"")</f>
        <v>#N/A</v>
      </c>
      <c r="AM94" s="164" t="e">
        <f>数出表_Excel!V94</f>
        <v>#N/A</v>
      </c>
      <c r="AN94" s="165" t="e">
        <f>数出表_Excel!W94</f>
        <v>#N/A</v>
      </c>
    </row>
    <row r="95" spans="1:40" ht="16.2" customHeight="1">
      <c r="A95" s="127" t="e">
        <f t="array" aca="1" ref="A95" ca="1">IF(OR(COUNTIF(A93,"*1000*"),COUNTIF(A93,"")),"",INDEX(貼り付け用!$A1:$A200,MATCH(A93,貼り付け用!$A1:$A200,0)+2,0))</f>
        <v>#N/A</v>
      </c>
      <c r="B95" s="80" t="str">
        <f ca="1">IFERROR(VALUE(IF(VLOOKUP($A95,数出表_Excel!$A$6:$T$150,COLUMN()/2+1,FALSE)=0,"",VLOOKUP($A95,数出表_Excel!$A$6:$T$150,COLUMN()/2+1,FALSE))),"")</f>
        <v/>
      </c>
      <c r="C95" s="80"/>
      <c r="D95" s="80" t="str">
        <f ca="1">IFERROR(VALUE(IF(VLOOKUP($A95,数出表_Excel!$A$6:$T$150,COLUMN()/2+1,FALSE)=0,"",VLOOKUP($A95,数出表_Excel!$A$6:$T$150,COLUMN()/2+1,FALSE))),"")</f>
        <v/>
      </c>
      <c r="E95" s="80"/>
      <c r="F95" s="84" t="str">
        <f ca="1">IFERROR(VALUE(IF(VLOOKUP($A95,数出表_Excel!$A$6:$T$150,COLUMN()/2+1,FALSE)=0,"",VLOOKUP($A95,数出表_Excel!$A$6:$T$150,COLUMN()/2+1,FALSE))),"")</f>
        <v/>
      </c>
      <c r="G95" s="80"/>
      <c r="H95" s="80" t="str">
        <f ca="1">IFERROR(VALUE(IF(VLOOKUP($A95,数出表_Excel!$A$6:$T$150,COLUMN()/2+1,FALSE)=0,"",VLOOKUP($A95,数出表_Excel!$A$6:$T$150,COLUMN()/2+1,FALSE))),"")</f>
        <v/>
      </c>
      <c r="I95" s="80"/>
      <c r="J95" s="80" t="str">
        <f ca="1">IFERROR(VALUE(IF(VLOOKUP($A95,数出表_Excel!$A$6:$T$150,COLUMN()/2+1,FALSE)=0,"",VLOOKUP($A95,数出表_Excel!$A$6:$T$150,COLUMN()/2+1,FALSE))),"")</f>
        <v/>
      </c>
      <c r="K95" s="80"/>
      <c r="L95" s="84" t="str">
        <f ca="1">IFERROR(VALUE(IF(VLOOKUP($A95,数出表_Excel!$A$6:$T$150,COLUMN()/2+1,FALSE)=0,"",VLOOKUP($A95,数出表_Excel!$A$6:$T$150,COLUMN()/2+1,FALSE))),"")</f>
        <v/>
      </c>
      <c r="M95" s="80"/>
      <c r="N95" s="80" t="str">
        <f ca="1">IFERROR(VALUE(IF(VLOOKUP($A95,数出表_Excel!$A$6:$T$150,COLUMN()/2+1,FALSE)=0,"",VLOOKUP($A95,数出表_Excel!$A$6:$T$150,COLUMN()/2+1,FALSE))),"")</f>
        <v/>
      </c>
      <c r="O95" s="80"/>
      <c r="P95" s="80" t="str">
        <f ca="1">IFERROR(VALUE(IF(VLOOKUP($A95,数出表_Excel!$A$6:$T$150,COLUMN()/2+1,FALSE)=0,"",VLOOKUP($A95,数出表_Excel!$A$6:$T$150,COLUMN()/2+1,FALSE))),"")</f>
        <v/>
      </c>
      <c r="Q95" s="80"/>
      <c r="R95" s="80" t="str">
        <f ca="1">IFERROR(VALUE(IF(VLOOKUP($A95,数出表_Excel!$A$6:$T$150,COLUMN()/2+1,FALSE)=0,"",VLOOKUP($A95,数出表_Excel!$A$6:$T$150,COLUMN()/2+1,FALSE))),"")</f>
        <v/>
      </c>
      <c r="S95" s="80"/>
      <c r="T95" s="80" t="str">
        <f ca="1">IFERROR(VALUE(IF(VLOOKUP($A95,数出表_Excel!$A$6:$T$150,COLUMN()/2+1,FALSE)=0,"",VLOOKUP($A95,数出表_Excel!$A$6:$T$150,COLUMN()/2+1,FALSE))),"")</f>
        <v/>
      </c>
      <c r="U95" s="80"/>
      <c r="V95" s="84" t="str">
        <f ca="1">IFERROR(VALUE(IF(VLOOKUP($A95,数出表_Excel!$A$6:$T$150,COLUMN()/2+1,FALSE)=0,"",VLOOKUP($A95,数出表_Excel!$A$6:$T$150,COLUMN()/2+1,FALSE))),"")</f>
        <v/>
      </c>
      <c r="W95" s="80"/>
      <c r="X95" s="84" t="str">
        <f ca="1">IFERROR(VALUE(IF(VLOOKUP($A95,数出表_Excel!$A$6:$T$150,COLUMN()/2+1,FALSE)=0,"",VLOOKUP($A95,数出表_Excel!$A$6:$T$150,COLUMN()/2+1,FALSE))),"")</f>
        <v/>
      </c>
      <c r="Y95" s="80"/>
      <c r="Z95" s="84" t="str">
        <f ca="1">IFERROR(VALUE(IF(VLOOKUP($A95,数出表_Excel!$A$6:$T$150,COLUMN()/2+1,FALSE)=0,"",VLOOKUP($A95,数出表_Excel!$A$6:$T$150,COLUMN()/2+1,FALSE))),"")</f>
        <v/>
      </c>
      <c r="AA95" s="118"/>
      <c r="AB95" s="85" t="str">
        <f ca="1">IFERROR(VALUE(IF(VLOOKUP($A95,数出表_Excel!$A$6:$T$150,COLUMN()/2+1,FALSE)=0,"",VLOOKUP($A95,数出表_Excel!$A$6:$T$150,COLUMN()/2+1,FALSE))),"")</f>
        <v/>
      </c>
      <c r="AC95" s="80"/>
      <c r="AD95" s="84" t="str">
        <f ca="1">IFERROR(VALUE(IF(VLOOKUP($A95,数出表_Excel!$A$6:$T$150,COLUMN()/2+1,FALSE)=0,"",VLOOKUP($A95,数出表_Excel!$A$6:$T$150,COLUMN()/2+1,FALSE))),"")</f>
        <v/>
      </c>
      <c r="AE95" s="80"/>
      <c r="AF95" s="84" t="str">
        <f ca="1">IFERROR(VALUE(IF(VLOOKUP($A95,数出表_Excel!$A$6:$T$150,COLUMN()/2+1,FALSE)=0,"",VLOOKUP($A95,数出表_Excel!$A$6:$T$150,COLUMN()/2+1,FALSE))),"")</f>
        <v/>
      </c>
      <c r="AG95" s="80"/>
      <c r="AH95" s="84" t="str">
        <f ca="1">IFERROR(VALUE(IF(VLOOKUP($A95,数出表_Excel!$A$6:$T$150,COLUMN()/2+1,FALSE)=0,"",VLOOKUP($A95,数出表_Excel!$A$6:$T$150,COLUMN()/2+1,FALSE))),"")</f>
        <v/>
      </c>
      <c r="AI95" s="118"/>
      <c r="AJ95" s="85" t="str">
        <f ca="1">IFERROR(VALUE(IF(VLOOKUP($A95,数出表_Excel!$A$6:$T$150,COLUMN()/2+1,FALSE)=0,"",VLOOKUP($A95,数出表_Excel!$A$6:$T$150,COLUMN()/2+1,FALSE))),"")</f>
        <v/>
      </c>
      <c r="AK95" s="80"/>
      <c r="AL95" s="86" t="e">
        <f ca="1">IF(A95&lt;&gt;"",
IF(VLOOKUP($A95,数出表_Excel!$A$6:$T$150,COLUMN()/2+1,FALSE)=0,"",VLOOKUP($A95,数出表_Excel!$A$6:$T$150,COLUMN()/2+1,FALSE)),"")</f>
        <v>#N/A</v>
      </c>
      <c r="AM95" s="166" t="e">
        <f>数出表_Excel!V95</f>
        <v>#N/A</v>
      </c>
      <c r="AN95" s="167" t="e">
        <f>数出表_Excel!W95</f>
        <v>#N/A</v>
      </c>
    </row>
    <row r="96" spans="1:40" ht="16.2" customHeight="1">
      <c r="A96" s="126" t="e">
        <f t="array" aca="1" ref="A96" ca="1">IF(OR(COUNTIF(A94,"*10002*"),COUNTIF(A94,"")),"",INDEX(貼り付け用!$A1:$A200,MATCH(A94,貼り付け用!$A1:$A200,0)+2,0))</f>
        <v>#N/A</v>
      </c>
      <c r="B96" s="114" t="str">
        <f ca="1">IFERROR(VALUE(IF(VLOOKUP($A96,数出表_Excel!$A$6:$T$150,COLUMN()/2+1,FALSE)=0,"",VLOOKUP($A96,数出表_Excel!$A$6:$T$150,COLUMN()/2+1,FALSE))),"")</f>
        <v/>
      </c>
      <c r="C96" s="79"/>
      <c r="D96" s="114" t="str">
        <f ca="1">IFERROR(VALUE(IF(VLOOKUP($A96,数出表_Excel!$A$6:$T$150,COLUMN()/2+1,FALSE)=0,"",VLOOKUP($A96,数出表_Excel!$A$6:$T$150,COLUMN()/2+1,FALSE))),"")</f>
        <v/>
      </c>
      <c r="E96" s="79"/>
      <c r="F96" s="116" t="str">
        <f ca="1">IFERROR(VALUE(IF(VLOOKUP($A96,数出表_Excel!$A$6:$T$150,COLUMN()/2+1,FALSE)=0,"",VLOOKUP($A96,数出表_Excel!$A$6:$T$150,COLUMN()/2+1,FALSE))),"")</f>
        <v/>
      </c>
      <c r="G96" s="79"/>
      <c r="H96" s="114" t="str">
        <f ca="1">IFERROR(VALUE(IF(VLOOKUP($A96,数出表_Excel!$A$6:$T$150,COLUMN()/2+1,FALSE)=0,"",VLOOKUP($A96,数出表_Excel!$A$6:$T$150,COLUMN()/2+1,FALSE))),"")</f>
        <v/>
      </c>
      <c r="I96" s="79"/>
      <c r="J96" s="114" t="str">
        <f ca="1">IFERROR(VALUE(IF(VLOOKUP($A96,数出表_Excel!$A$6:$T$150,COLUMN()/2+1,FALSE)=0,"",VLOOKUP($A96,数出表_Excel!$A$6:$T$150,COLUMN()/2+1,FALSE))),"")</f>
        <v/>
      </c>
      <c r="K96" s="79"/>
      <c r="L96" s="116" t="str">
        <f ca="1">IFERROR(VALUE(IF(VLOOKUP($A96,数出表_Excel!$A$6:$T$150,COLUMN()/2+1,FALSE)=0,"",VLOOKUP($A96,数出表_Excel!$A$6:$T$150,COLUMN()/2+1,FALSE))),"")</f>
        <v/>
      </c>
      <c r="M96" s="79"/>
      <c r="N96" s="114" t="str">
        <f ca="1">IFERROR(VALUE(IF(VLOOKUP($A96,数出表_Excel!$A$6:$T$150,COLUMN()/2+1,FALSE)=0,"",VLOOKUP($A96,数出表_Excel!$A$6:$T$150,COLUMN()/2+1,FALSE))),"")</f>
        <v/>
      </c>
      <c r="O96" s="79"/>
      <c r="P96" s="114" t="str">
        <f ca="1">IFERROR(VALUE(IF(VLOOKUP($A96,数出表_Excel!$A$6:$T$150,COLUMN()/2+1,FALSE)=0,"",VLOOKUP($A96,数出表_Excel!$A$6:$T$150,COLUMN()/2+1,FALSE))),"")</f>
        <v/>
      </c>
      <c r="Q96" s="79"/>
      <c r="R96" s="114" t="str">
        <f ca="1">IFERROR(VALUE(IF(VLOOKUP($A96,数出表_Excel!$A$6:$T$150,COLUMN()/2+1,FALSE)=0,"",VLOOKUP($A96,数出表_Excel!$A$6:$T$150,COLUMN()/2+1,FALSE))),"")</f>
        <v/>
      </c>
      <c r="S96" s="79"/>
      <c r="T96" s="114" t="str">
        <f ca="1">IFERROR(VALUE(IF(VLOOKUP($A96,数出表_Excel!$A$6:$T$150,COLUMN()/2+1,FALSE)=0,"",VLOOKUP($A96,数出表_Excel!$A$6:$T$150,COLUMN()/2+1,FALSE))),"")</f>
        <v/>
      </c>
      <c r="U96" s="79"/>
      <c r="V96" s="116" t="str">
        <f ca="1">IFERROR(VALUE(IF(VLOOKUP($A96,数出表_Excel!$A$6:$T$150,COLUMN()/2+1,FALSE)=0,"",VLOOKUP($A96,数出表_Excel!$A$6:$T$150,COLUMN()/2+1,FALSE))),"")</f>
        <v/>
      </c>
      <c r="W96" s="79"/>
      <c r="X96" s="116" t="str">
        <f ca="1">IFERROR(VALUE(IF(VLOOKUP($A96,数出表_Excel!$A$6:$T$150,COLUMN()/2+1,FALSE)=0,"",VLOOKUP($A96,数出表_Excel!$A$6:$T$150,COLUMN()/2+1,FALSE))),"")</f>
        <v/>
      </c>
      <c r="Y96" s="79"/>
      <c r="Z96" s="116" t="str">
        <f ca="1">IFERROR(VALUE(IF(VLOOKUP($A96,数出表_Excel!$A$6:$T$150,COLUMN()/2+1,FALSE)=0,"",VLOOKUP($A96,数出表_Excel!$A$6:$T$150,COLUMN()/2+1,FALSE))),"")</f>
        <v/>
      </c>
      <c r="AA96" s="117"/>
      <c r="AB96" s="115" t="str">
        <f ca="1">IFERROR(VALUE(IF(VLOOKUP($A96,数出表_Excel!$A$6:$T$150,COLUMN()/2+1,FALSE)=0,"",VLOOKUP($A96,数出表_Excel!$A$6:$T$150,COLUMN()/2+1,FALSE))),"")</f>
        <v/>
      </c>
      <c r="AC96" s="79"/>
      <c r="AD96" s="116" t="str">
        <f ca="1">IFERROR(VALUE(IF(VLOOKUP($A96,数出表_Excel!$A$6:$T$150,COLUMN()/2+1,FALSE)=0,"",VLOOKUP($A96,数出表_Excel!$A$6:$T$150,COLUMN()/2+1,FALSE))),"")</f>
        <v/>
      </c>
      <c r="AE96" s="79"/>
      <c r="AF96" s="116" t="str">
        <f ca="1">IFERROR(VALUE(IF(VLOOKUP($A96,数出表_Excel!$A$6:$T$150,COLUMN()/2+1,FALSE)=0,"",VLOOKUP($A96,数出表_Excel!$A$6:$T$150,COLUMN()/2+1,FALSE))),"")</f>
        <v/>
      </c>
      <c r="AG96" s="79"/>
      <c r="AH96" s="116" t="str">
        <f ca="1">IFERROR(VALUE(IF(VLOOKUP($A96,数出表_Excel!$A$6:$T$150,COLUMN()/2+1,FALSE)=0,"",VLOOKUP($A96,数出表_Excel!$A$6:$T$150,COLUMN()/2+1,FALSE))),"")</f>
        <v/>
      </c>
      <c r="AI96" s="117"/>
      <c r="AJ96" s="115" t="str">
        <f ca="1">IFERROR(VALUE(IF(VLOOKUP($A96,数出表_Excel!$A$6:$T$150,COLUMN()/2+1,FALSE)=0,"",VLOOKUP($A96,数出表_Excel!$A$6:$T$150,COLUMN()/2+1,FALSE))),"")</f>
        <v/>
      </c>
      <c r="AK96" s="79"/>
      <c r="AL96" s="83" t="e">
        <f ca="1">IF(A96&lt;&gt;"",
IF(VLOOKUP($A96,数出表_Excel!$A$6:$T$150,COLUMN()/2+1,FALSE)=0,"",VLOOKUP($A96,数出表_Excel!$A$6:$T$150,COLUMN()/2+1,FALSE)),"")</f>
        <v>#N/A</v>
      </c>
      <c r="AM96" s="164" t="e">
        <f>数出表_Excel!V96</f>
        <v>#N/A</v>
      </c>
      <c r="AN96" s="165" t="e">
        <f>数出表_Excel!W96</f>
        <v>#N/A</v>
      </c>
    </row>
    <row r="97" spans="1:40" ht="16.2" customHeight="1">
      <c r="A97" s="127" t="e">
        <f t="array" aca="1" ref="A97" ca="1">IF(OR(COUNTIF(A95,"*1000*"),COUNTIF(A95,"")),"",INDEX(貼り付け用!$A1:$A200,MATCH(A95,貼り付け用!$A1:$A200,0)+2,0))</f>
        <v>#N/A</v>
      </c>
      <c r="B97" s="80" t="str">
        <f ca="1">IFERROR(VALUE(IF(VLOOKUP($A97,数出表_Excel!$A$6:$T$150,COLUMN()/2+1,FALSE)=0,"",VLOOKUP($A97,数出表_Excel!$A$6:$T$150,COLUMN()/2+1,FALSE))),"")</f>
        <v/>
      </c>
      <c r="C97" s="80"/>
      <c r="D97" s="80" t="str">
        <f ca="1">IFERROR(VALUE(IF(VLOOKUP($A97,数出表_Excel!$A$6:$T$150,COLUMN()/2+1,FALSE)=0,"",VLOOKUP($A97,数出表_Excel!$A$6:$T$150,COLUMN()/2+1,FALSE))),"")</f>
        <v/>
      </c>
      <c r="E97" s="80"/>
      <c r="F97" s="84" t="str">
        <f ca="1">IFERROR(VALUE(IF(VLOOKUP($A97,数出表_Excel!$A$6:$T$150,COLUMN()/2+1,FALSE)=0,"",VLOOKUP($A97,数出表_Excel!$A$6:$T$150,COLUMN()/2+1,FALSE))),"")</f>
        <v/>
      </c>
      <c r="G97" s="80"/>
      <c r="H97" s="80" t="str">
        <f ca="1">IFERROR(VALUE(IF(VLOOKUP($A97,数出表_Excel!$A$6:$T$150,COLUMN()/2+1,FALSE)=0,"",VLOOKUP($A97,数出表_Excel!$A$6:$T$150,COLUMN()/2+1,FALSE))),"")</f>
        <v/>
      </c>
      <c r="I97" s="80"/>
      <c r="J97" s="80" t="str">
        <f ca="1">IFERROR(VALUE(IF(VLOOKUP($A97,数出表_Excel!$A$6:$T$150,COLUMN()/2+1,FALSE)=0,"",VLOOKUP($A97,数出表_Excel!$A$6:$T$150,COLUMN()/2+1,FALSE))),"")</f>
        <v/>
      </c>
      <c r="K97" s="80"/>
      <c r="L97" s="84" t="str">
        <f ca="1">IFERROR(VALUE(IF(VLOOKUP($A97,数出表_Excel!$A$6:$T$150,COLUMN()/2+1,FALSE)=0,"",VLOOKUP($A97,数出表_Excel!$A$6:$T$150,COLUMN()/2+1,FALSE))),"")</f>
        <v/>
      </c>
      <c r="M97" s="80"/>
      <c r="N97" s="80" t="str">
        <f ca="1">IFERROR(VALUE(IF(VLOOKUP($A97,数出表_Excel!$A$6:$T$150,COLUMN()/2+1,FALSE)=0,"",VLOOKUP($A97,数出表_Excel!$A$6:$T$150,COLUMN()/2+1,FALSE))),"")</f>
        <v/>
      </c>
      <c r="O97" s="80"/>
      <c r="P97" s="80" t="str">
        <f ca="1">IFERROR(VALUE(IF(VLOOKUP($A97,数出表_Excel!$A$6:$T$150,COLUMN()/2+1,FALSE)=0,"",VLOOKUP($A97,数出表_Excel!$A$6:$T$150,COLUMN()/2+1,FALSE))),"")</f>
        <v/>
      </c>
      <c r="Q97" s="80"/>
      <c r="R97" s="80" t="str">
        <f ca="1">IFERROR(VALUE(IF(VLOOKUP($A97,数出表_Excel!$A$6:$T$150,COLUMN()/2+1,FALSE)=0,"",VLOOKUP($A97,数出表_Excel!$A$6:$T$150,COLUMN()/2+1,FALSE))),"")</f>
        <v/>
      </c>
      <c r="S97" s="80"/>
      <c r="T97" s="80" t="str">
        <f ca="1">IFERROR(VALUE(IF(VLOOKUP($A97,数出表_Excel!$A$6:$T$150,COLUMN()/2+1,FALSE)=0,"",VLOOKUP($A97,数出表_Excel!$A$6:$T$150,COLUMN()/2+1,FALSE))),"")</f>
        <v/>
      </c>
      <c r="U97" s="80"/>
      <c r="V97" s="84" t="str">
        <f ca="1">IFERROR(VALUE(IF(VLOOKUP($A97,数出表_Excel!$A$6:$T$150,COLUMN()/2+1,FALSE)=0,"",VLOOKUP($A97,数出表_Excel!$A$6:$T$150,COLUMN()/2+1,FALSE))),"")</f>
        <v/>
      </c>
      <c r="W97" s="80"/>
      <c r="X97" s="84" t="str">
        <f ca="1">IFERROR(VALUE(IF(VLOOKUP($A97,数出表_Excel!$A$6:$T$150,COLUMN()/2+1,FALSE)=0,"",VLOOKUP($A97,数出表_Excel!$A$6:$T$150,COLUMN()/2+1,FALSE))),"")</f>
        <v/>
      </c>
      <c r="Y97" s="80"/>
      <c r="Z97" s="84" t="str">
        <f ca="1">IFERROR(VALUE(IF(VLOOKUP($A97,数出表_Excel!$A$6:$T$150,COLUMN()/2+1,FALSE)=0,"",VLOOKUP($A97,数出表_Excel!$A$6:$T$150,COLUMN()/2+1,FALSE))),"")</f>
        <v/>
      </c>
      <c r="AA97" s="118"/>
      <c r="AB97" s="85" t="str">
        <f ca="1">IFERROR(VALUE(IF(VLOOKUP($A97,数出表_Excel!$A$6:$T$150,COLUMN()/2+1,FALSE)=0,"",VLOOKUP($A97,数出表_Excel!$A$6:$T$150,COLUMN()/2+1,FALSE))),"")</f>
        <v/>
      </c>
      <c r="AC97" s="80"/>
      <c r="AD97" s="84" t="str">
        <f ca="1">IFERROR(VALUE(IF(VLOOKUP($A97,数出表_Excel!$A$6:$T$150,COLUMN()/2+1,FALSE)=0,"",VLOOKUP($A97,数出表_Excel!$A$6:$T$150,COLUMN()/2+1,FALSE))),"")</f>
        <v/>
      </c>
      <c r="AE97" s="80"/>
      <c r="AF97" s="84" t="str">
        <f ca="1">IFERROR(VALUE(IF(VLOOKUP($A97,数出表_Excel!$A$6:$T$150,COLUMN()/2+1,FALSE)=0,"",VLOOKUP($A97,数出表_Excel!$A$6:$T$150,COLUMN()/2+1,FALSE))),"")</f>
        <v/>
      </c>
      <c r="AG97" s="80"/>
      <c r="AH97" s="84" t="str">
        <f ca="1">IFERROR(VALUE(IF(VLOOKUP($A97,数出表_Excel!$A$6:$T$150,COLUMN()/2+1,FALSE)=0,"",VLOOKUP($A97,数出表_Excel!$A$6:$T$150,COLUMN()/2+1,FALSE))),"")</f>
        <v/>
      </c>
      <c r="AI97" s="118"/>
      <c r="AJ97" s="85" t="str">
        <f ca="1">IFERROR(VALUE(IF(VLOOKUP($A97,数出表_Excel!$A$6:$T$150,COLUMN()/2+1,FALSE)=0,"",VLOOKUP($A97,数出表_Excel!$A$6:$T$150,COLUMN()/2+1,FALSE))),"")</f>
        <v/>
      </c>
      <c r="AK97" s="80"/>
      <c r="AL97" s="86" t="e">
        <f ca="1">IF(A97&lt;&gt;"",
IF(VLOOKUP($A97,数出表_Excel!$A$6:$T$150,COLUMN()/2+1,FALSE)=0,"",VLOOKUP($A97,数出表_Excel!$A$6:$T$150,COLUMN()/2+1,FALSE)),"")</f>
        <v>#N/A</v>
      </c>
      <c r="AM97" s="166" t="e">
        <f>数出表_Excel!V97</f>
        <v>#N/A</v>
      </c>
      <c r="AN97" s="167" t="e">
        <f>数出表_Excel!W97</f>
        <v>#N/A</v>
      </c>
    </row>
    <row r="98" spans="1:40" ht="16.2" customHeight="1">
      <c r="A98" s="126" t="e">
        <f t="array" aca="1" ref="A98" ca="1">IF(OR(COUNTIF(A96,"*10002*"),COUNTIF(A96,"")),"",INDEX(貼り付け用!$A1:$A200,MATCH(A96,貼り付け用!$A1:$A200,0)+2,0))</f>
        <v>#N/A</v>
      </c>
      <c r="B98" s="114" t="str">
        <f ca="1">IFERROR(VALUE(IF(VLOOKUP($A98,数出表_Excel!$A$6:$T$150,COLUMN()/2+1,FALSE)=0,"",VLOOKUP($A98,数出表_Excel!$A$6:$T$150,COLUMN()/2+1,FALSE))),"")</f>
        <v/>
      </c>
      <c r="C98" s="79"/>
      <c r="D98" s="114" t="str">
        <f ca="1">IFERROR(VALUE(IF(VLOOKUP($A98,数出表_Excel!$A$6:$T$150,COLUMN()/2+1,FALSE)=0,"",VLOOKUP($A98,数出表_Excel!$A$6:$T$150,COLUMN()/2+1,FALSE))),"")</f>
        <v/>
      </c>
      <c r="E98" s="79"/>
      <c r="F98" s="116" t="str">
        <f ca="1">IFERROR(VALUE(IF(VLOOKUP($A98,数出表_Excel!$A$6:$T$150,COLUMN()/2+1,FALSE)=0,"",VLOOKUP($A98,数出表_Excel!$A$6:$T$150,COLUMN()/2+1,FALSE))),"")</f>
        <v/>
      </c>
      <c r="G98" s="79"/>
      <c r="H98" s="114" t="str">
        <f ca="1">IFERROR(VALUE(IF(VLOOKUP($A98,数出表_Excel!$A$6:$T$150,COLUMN()/2+1,FALSE)=0,"",VLOOKUP($A98,数出表_Excel!$A$6:$T$150,COLUMN()/2+1,FALSE))),"")</f>
        <v/>
      </c>
      <c r="I98" s="79"/>
      <c r="J98" s="114" t="str">
        <f ca="1">IFERROR(VALUE(IF(VLOOKUP($A98,数出表_Excel!$A$6:$T$150,COLUMN()/2+1,FALSE)=0,"",VLOOKUP($A98,数出表_Excel!$A$6:$T$150,COLUMN()/2+1,FALSE))),"")</f>
        <v/>
      </c>
      <c r="K98" s="79"/>
      <c r="L98" s="116" t="str">
        <f ca="1">IFERROR(VALUE(IF(VLOOKUP($A98,数出表_Excel!$A$6:$T$150,COLUMN()/2+1,FALSE)=0,"",VLOOKUP($A98,数出表_Excel!$A$6:$T$150,COLUMN()/2+1,FALSE))),"")</f>
        <v/>
      </c>
      <c r="M98" s="79"/>
      <c r="N98" s="114" t="str">
        <f ca="1">IFERROR(VALUE(IF(VLOOKUP($A98,数出表_Excel!$A$6:$T$150,COLUMN()/2+1,FALSE)=0,"",VLOOKUP($A98,数出表_Excel!$A$6:$T$150,COLUMN()/2+1,FALSE))),"")</f>
        <v/>
      </c>
      <c r="O98" s="79"/>
      <c r="P98" s="114" t="str">
        <f ca="1">IFERROR(VALUE(IF(VLOOKUP($A98,数出表_Excel!$A$6:$T$150,COLUMN()/2+1,FALSE)=0,"",VLOOKUP($A98,数出表_Excel!$A$6:$T$150,COLUMN()/2+1,FALSE))),"")</f>
        <v/>
      </c>
      <c r="Q98" s="79"/>
      <c r="R98" s="114" t="str">
        <f ca="1">IFERROR(VALUE(IF(VLOOKUP($A98,数出表_Excel!$A$6:$T$150,COLUMN()/2+1,FALSE)=0,"",VLOOKUP($A98,数出表_Excel!$A$6:$T$150,COLUMN()/2+1,FALSE))),"")</f>
        <v/>
      </c>
      <c r="S98" s="79"/>
      <c r="T98" s="114" t="str">
        <f ca="1">IFERROR(VALUE(IF(VLOOKUP($A98,数出表_Excel!$A$6:$T$150,COLUMN()/2+1,FALSE)=0,"",VLOOKUP($A98,数出表_Excel!$A$6:$T$150,COLUMN()/2+1,FALSE))),"")</f>
        <v/>
      </c>
      <c r="U98" s="79"/>
      <c r="V98" s="116" t="str">
        <f ca="1">IFERROR(VALUE(IF(VLOOKUP($A98,数出表_Excel!$A$6:$T$150,COLUMN()/2+1,FALSE)=0,"",VLOOKUP($A98,数出表_Excel!$A$6:$T$150,COLUMN()/2+1,FALSE))),"")</f>
        <v/>
      </c>
      <c r="W98" s="79"/>
      <c r="X98" s="116" t="str">
        <f ca="1">IFERROR(VALUE(IF(VLOOKUP($A98,数出表_Excel!$A$6:$T$150,COLUMN()/2+1,FALSE)=0,"",VLOOKUP($A98,数出表_Excel!$A$6:$T$150,COLUMN()/2+1,FALSE))),"")</f>
        <v/>
      </c>
      <c r="Y98" s="79"/>
      <c r="Z98" s="116" t="str">
        <f ca="1">IFERROR(VALUE(IF(VLOOKUP($A98,数出表_Excel!$A$6:$T$150,COLUMN()/2+1,FALSE)=0,"",VLOOKUP($A98,数出表_Excel!$A$6:$T$150,COLUMN()/2+1,FALSE))),"")</f>
        <v/>
      </c>
      <c r="AA98" s="117"/>
      <c r="AB98" s="115" t="str">
        <f ca="1">IFERROR(VALUE(IF(VLOOKUP($A98,数出表_Excel!$A$6:$T$150,COLUMN()/2+1,FALSE)=0,"",VLOOKUP($A98,数出表_Excel!$A$6:$T$150,COLUMN()/2+1,FALSE))),"")</f>
        <v/>
      </c>
      <c r="AC98" s="79"/>
      <c r="AD98" s="116" t="str">
        <f ca="1">IFERROR(VALUE(IF(VLOOKUP($A98,数出表_Excel!$A$6:$T$150,COLUMN()/2+1,FALSE)=0,"",VLOOKUP($A98,数出表_Excel!$A$6:$T$150,COLUMN()/2+1,FALSE))),"")</f>
        <v/>
      </c>
      <c r="AE98" s="79"/>
      <c r="AF98" s="116" t="str">
        <f ca="1">IFERROR(VALUE(IF(VLOOKUP($A98,数出表_Excel!$A$6:$T$150,COLUMN()/2+1,FALSE)=0,"",VLOOKUP($A98,数出表_Excel!$A$6:$T$150,COLUMN()/2+1,FALSE))),"")</f>
        <v/>
      </c>
      <c r="AG98" s="79"/>
      <c r="AH98" s="116" t="str">
        <f ca="1">IFERROR(VALUE(IF(VLOOKUP($A98,数出表_Excel!$A$6:$T$150,COLUMN()/2+1,FALSE)=0,"",VLOOKUP($A98,数出表_Excel!$A$6:$T$150,COLUMN()/2+1,FALSE))),"")</f>
        <v/>
      </c>
      <c r="AI98" s="117"/>
      <c r="AJ98" s="115" t="str">
        <f ca="1">IFERROR(VALUE(IF(VLOOKUP($A98,数出表_Excel!$A$6:$T$150,COLUMN()/2+1,FALSE)=0,"",VLOOKUP($A98,数出表_Excel!$A$6:$T$150,COLUMN()/2+1,FALSE))),"")</f>
        <v/>
      </c>
      <c r="AK98" s="79"/>
      <c r="AL98" s="83" t="e">
        <f ca="1">IF(A98&lt;&gt;"",
IF(VLOOKUP($A98,数出表_Excel!$A$6:$T$150,COLUMN()/2+1,FALSE)=0,"",VLOOKUP($A98,数出表_Excel!$A$6:$T$150,COLUMN()/2+1,FALSE)),"")</f>
        <v>#N/A</v>
      </c>
      <c r="AM98" s="164" t="e">
        <f>数出表_Excel!V98</f>
        <v>#N/A</v>
      </c>
      <c r="AN98" s="165" t="e">
        <f>数出表_Excel!W98</f>
        <v>#N/A</v>
      </c>
    </row>
    <row r="99" spans="1:40" ht="16.2" customHeight="1">
      <c r="A99" s="127" t="e">
        <f t="array" aca="1" ref="A99" ca="1">IF(OR(COUNTIF(A97,"*1000*"),COUNTIF(A97,"")),"",INDEX(貼り付け用!$A1:$A200,MATCH(A97,貼り付け用!$A1:$A200,0)+2,0))</f>
        <v>#N/A</v>
      </c>
      <c r="B99" s="80" t="str">
        <f ca="1">IFERROR(VALUE(IF(VLOOKUP($A99,数出表_Excel!$A$6:$T$150,COLUMN()/2+1,FALSE)=0,"",VLOOKUP($A99,数出表_Excel!$A$6:$T$150,COLUMN()/2+1,FALSE))),"")</f>
        <v/>
      </c>
      <c r="C99" s="80"/>
      <c r="D99" s="80" t="str">
        <f ca="1">IFERROR(VALUE(IF(VLOOKUP($A99,数出表_Excel!$A$6:$T$150,COLUMN()/2+1,FALSE)=0,"",VLOOKUP($A99,数出表_Excel!$A$6:$T$150,COLUMN()/2+1,FALSE))),"")</f>
        <v/>
      </c>
      <c r="E99" s="80"/>
      <c r="F99" s="84" t="str">
        <f ca="1">IFERROR(VALUE(IF(VLOOKUP($A99,数出表_Excel!$A$6:$T$150,COLUMN()/2+1,FALSE)=0,"",VLOOKUP($A99,数出表_Excel!$A$6:$T$150,COLUMN()/2+1,FALSE))),"")</f>
        <v/>
      </c>
      <c r="G99" s="80"/>
      <c r="H99" s="80" t="str">
        <f ca="1">IFERROR(VALUE(IF(VLOOKUP($A99,数出表_Excel!$A$6:$T$150,COLUMN()/2+1,FALSE)=0,"",VLOOKUP($A99,数出表_Excel!$A$6:$T$150,COLUMN()/2+1,FALSE))),"")</f>
        <v/>
      </c>
      <c r="I99" s="80"/>
      <c r="J99" s="80" t="str">
        <f ca="1">IFERROR(VALUE(IF(VLOOKUP($A99,数出表_Excel!$A$6:$T$150,COLUMN()/2+1,FALSE)=0,"",VLOOKUP($A99,数出表_Excel!$A$6:$T$150,COLUMN()/2+1,FALSE))),"")</f>
        <v/>
      </c>
      <c r="K99" s="80"/>
      <c r="L99" s="84" t="str">
        <f ca="1">IFERROR(VALUE(IF(VLOOKUP($A99,数出表_Excel!$A$6:$T$150,COLUMN()/2+1,FALSE)=0,"",VLOOKUP($A99,数出表_Excel!$A$6:$T$150,COLUMN()/2+1,FALSE))),"")</f>
        <v/>
      </c>
      <c r="M99" s="80"/>
      <c r="N99" s="80" t="str">
        <f ca="1">IFERROR(VALUE(IF(VLOOKUP($A99,数出表_Excel!$A$6:$T$150,COLUMN()/2+1,FALSE)=0,"",VLOOKUP($A99,数出表_Excel!$A$6:$T$150,COLUMN()/2+1,FALSE))),"")</f>
        <v/>
      </c>
      <c r="O99" s="80"/>
      <c r="P99" s="80" t="str">
        <f ca="1">IFERROR(VALUE(IF(VLOOKUP($A99,数出表_Excel!$A$6:$T$150,COLUMN()/2+1,FALSE)=0,"",VLOOKUP($A99,数出表_Excel!$A$6:$T$150,COLUMN()/2+1,FALSE))),"")</f>
        <v/>
      </c>
      <c r="Q99" s="80"/>
      <c r="R99" s="80" t="str">
        <f ca="1">IFERROR(VALUE(IF(VLOOKUP($A99,数出表_Excel!$A$6:$T$150,COLUMN()/2+1,FALSE)=0,"",VLOOKUP($A99,数出表_Excel!$A$6:$T$150,COLUMN()/2+1,FALSE))),"")</f>
        <v/>
      </c>
      <c r="S99" s="80"/>
      <c r="T99" s="80" t="str">
        <f ca="1">IFERROR(VALUE(IF(VLOOKUP($A99,数出表_Excel!$A$6:$T$150,COLUMN()/2+1,FALSE)=0,"",VLOOKUP($A99,数出表_Excel!$A$6:$T$150,COLUMN()/2+1,FALSE))),"")</f>
        <v/>
      </c>
      <c r="U99" s="80"/>
      <c r="V99" s="84" t="str">
        <f ca="1">IFERROR(VALUE(IF(VLOOKUP($A99,数出表_Excel!$A$6:$T$150,COLUMN()/2+1,FALSE)=0,"",VLOOKUP($A99,数出表_Excel!$A$6:$T$150,COLUMN()/2+1,FALSE))),"")</f>
        <v/>
      </c>
      <c r="W99" s="80"/>
      <c r="X99" s="84" t="str">
        <f ca="1">IFERROR(VALUE(IF(VLOOKUP($A99,数出表_Excel!$A$6:$T$150,COLUMN()/2+1,FALSE)=0,"",VLOOKUP($A99,数出表_Excel!$A$6:$T$150,COLUMN()/2+1,FALSE))),"")</f>
        <v/>
      </c>
      <c r="Y99" s="80"/>
      <c r="Z99" s="84" t="str">
        <f ca="1">IFERROR(VALUE(IF(VLOOKUP($A99,数出表_Excel!$A$6:$T$150,COLUMN()/2+1,FALSE)=0,"",VLOOKUP($A99,数出表_Excel!$A$6:$T$150,COLUMN()/2+1,FALSE))),"")</f>
        <v/>
      </c>
      <c r="AA99" s="118"/>
      <c r="AB99" s="85" t="str">
        <f ca="1">IFERROR(VALUE(IF(VLOOKUP($A99,数出表_Excel!$A$6:$T$150,COLUMN()/2+1,FALSE)=0,"",VLOOKUP($A99,数出表_Excel!$A$6:$T$150,COLUMN()/2+1,FALSE))),"")</f>
        <v/>
      </c>
      <c r="AC99" s="80"/>
      <c r="AD99" s="84" t="str">
        <f ca="1">IFERROR(VALUE(IF(VLOOKUP($A99,数出表_Excel!$A$6:$T$150,COLUMN()/2+1,FALSE)=0,"",VLOOKUP($A99,数出表_Excel!$A$6:$T$150,COLUMN()/2+1,FALSE))),"")</f>
        <v/>
      </c>
      <c r="AE99" s="80"/>
      <c r="AF99" s="84" t="str">
        <f ca="1">IFERROR(VALUE(IF(VLOOKUP($A99,数出表_Excel!$A$6:$T$150,COLUMN()/2+1,FALSE)=0,"",VLOOKUP($A99,数出表_Excel!$A$6:$T$150,COLUMN()/2+1,FALSE))),"")</f>
        <v/>
      </c>
      <c r="AG99" s="80"/>
      <c r="AH99" s="84" t="str">
        <f ca="1">IFERROR(VALUE(IF(VLOOKUP($A99,数出表_Excel!$A$6:$T$150,COLUMN()/2+1,FALSE)=0,"",VLOOKUP($A99,数出表_Excel!$A$6:$T$150,COLUMN()/2+1,FALSE))),"")</f>
        <v/>
      </c>
      <c r="AI99" s="118"/>
      <c r="AJ99" s="85" t="str">
        <f ca="1">IFERROR(VALUE(IF(VLOOKUP($A99,数出表_Excel!$A$6:$T$150,COLUMN()/2+1,FALSE)=0,"",VLOOKUP($A99,数出表_Excel!$A$6:$T$150,COLUMN()/2+1,FALSE))),"")</f>
        <v/>
      </c>
      <c r="AK99" s="80"/>
      <c r="AL99" s="86" t="e">
        <f ca="1">IF(A99&lt;&gt;"",
IF(VLOOKUP($A99,数出表_Excel!$A$6:$T$150,COLUMN()/2+1,FALSE)=0,"",VLOOKUP($A99,数出表_Excel!$A$6:$T$150,COLUMN()/2+1,FALSE)),"")</f>
        <v>#N/A</v>
      </c>
      <c r="AM99" s="166" t="e">
        <f>数出表_Excel!V99</f>
        <v>#N/A</v>
      </c>
      <c r="AN99" s="167" t="e">
        <f>数出表_Excel!W99</f>
        <v>#N/A</v>
      </c>
    </row>
    <row r="100" spans="1:40" ht="16.2" customHeight="1">
      <c r="A100" s="126" t="e">
        <f t="array" aca="1" ref="A100" ca="1">IF(OR(COUNTIF(A98,"*10002*"),COUNTIF(A98,"")),"",INDEX(貼り付け用!$A1:$A200,MATCH(A98,貼り付け用!$A1:$A200,0)+2,0))</f>
        <v>#N/A</v>
      </c>
      <c r="B100" s="114" t="str">
        <f ca="1">IFERROR(VALUE(IF(VLOOKUP($A100,数出表_Excel!$A$6:$T$150,COLUMN()/2+1,FALSE)=0,"",VLOOKUP($A100,数出表_Excel!$A$6:$T$150,COLUMN()/2+1,FALSE))),"")</f>
        <v/>
      </c>
      <c r="C100" s="79"/>
      <c r="D100" s="114" t="str">
        <f ca="1">IFERROR(VALUE(IF(VLOOKUP($A100,数出表_Excel!$A$6:$T$150,COLUMN()/2+1,FALSE)=0,"",VLOOKUP($A100,数出表_Excel!$A$6:$T$150,COLUMN()/2+1,FALSE))),"")</f>
        <v/>
      </c>
      <c r="E100" s="79"/>
      <c r="F100" s="116" t="str">
        <f ca="1">IFERROR(VALUE(IF(VLOOKUP($A100,数出表_Excel!$A$6:$T$150,COLUMN()/2+1,FALSE)=0,"",VLOOKUP($A100,数出表_Excel!$A$6:$T$150,COLUMN()/2+1,FALSE))),"")</f>
        <v/>
      </c>
      <c r="G100" s="79"/>
      <c r="H100" s="114" t="str">
        <f ca="1">IFERROR(VALUE(IF(VLOOKUP($A100,数出表_Excel!$A$6:$T$150,COLUMN()/2+1,FALSE)=0,"",VLOOKUP($A100,数出表_Excel!$A$6:$T$150,COLUMN()/2+1,FALSE))),"")</f>
        <v/>
      </c>
      <c r="I100" s="79"/>
      <c r="J100" s="114" t="str">
        <f ca="1">IFERROR(VALUE(IF(VLOOKUP($A100,数出表_Excel!$A$6:$T$150,COLUMN()/2+1,FALSE)=0,"",VLOOKUP($A100,数出表_Excel!$A$6:$T$150,COLUMN()/2+1,FALSE))),"")</f>
        <v/>
      </c>
      <c r="K100" s="79"/>
      <c r="L100" s="116" t="str">
        <f ca="1">IFERROR(VALUE(IF(VLOOKUP($A100,数出表_Excel!$A$6:$T$150,COLUMN()/2+1,FALSE)=0,"",VLOOKUP($A100,数出表_Excel!$A$6:$T$150,COLUMN()/2+1,FALSE))),"")</f>
        <v/>
      </c>
      <c r="M100" s="79"/>
      <c r="N100" s="114" t="str">
        <f ca="1">IFERROR(VALUE(IF(VLOOKUP($A100,数出表_Excel!$A$6:$T$150,COLUMN()/2+1,FALSE)=0,"",VLOOKUP($A100,数出表_Excel!$A$6:$T$150,COLUMN()/2+1,FALSE))),"")</f>
        <v/>
      </c>
      <c r="O100" s="79"/>
      <c r="P100" s="114" t="str">
        <f ca="1">IFERROR(VALUE(IF(VLOOKUP($A100,数出表_Excel!$A$6:$T$150,COLUMN()/2+1,FALSE)=0,"",VLOOKUP($A100,数出表_Excel!$A$6:$T$150,COLUMN()/2+1,FALSE))),"")</f>
        <v/>
      </c>
      <c r="Q100" s="79"/>
      <c r="R100" s="114" t="str">
        <f ca="1">IFERROR(VALUE(IF(VLOOKUP($A100,数出表_Excel!$A$6:$T$150,COLUMN()/2+1,FALSE)=0,"",VLOOKUP($A100,数出表_Excel!$A$6:$T$150,COLUMN()/2+1,FALSE))),"")</f>
        <v/>
      </c>
      <c r="S100" s="79"/>
      <c r="T100" s="114" t="str">
        <f ca="1">IFERROR(VALUE(IF(VLOOKUP($A100,数出表_Excel!$A$6:$T$150,COLUMN()/2+1,FALSE)=0,"",VLOOKUP($A100,数出表_Excel!$A$6:$T$150,COLUMN()/2+1,FALSE))),"")</f>
        <v/>
      </c>
      <c r="U100" s="79"/>
      <c r="V100" s="116" t="str">
        <f ca="1">IFERROR(VALUE(IF(VLOOKUP($A100,数出表_Excel!$A$6:$T$150,COLUMN()/2+1,FALSE)=0,"",VLOOKUP($A100,数出表_Excel!$A$6:$T$150,COLUMN()/2+1,FALSE))),"")</f>
        <v/>
      </c>
      <c r="W100" s="79"/>
      <c r="X100" s="116" t="str">
        <f ca="1">IFERROR(VALUE(IF(VLOOKUP($A100,数出表_Excel!$A$6:$T$150,COLUMN()/2+1,FALSE)=0,"",VLOOKUP($A100,数出表_Excel!$A$6:$T$150,COLUMN()/2+1,FALSE))),"")</f>
        <v/>
      </c>
      <c r="Y100" s="79"/>
      <c r="Z100" s="116" t="str">
        <f ca="1">IFERROR(VALUE(IF(VLOOKUP($A100,数出表_Excel!$A$6:$T$150,COLUMN()/2+1,FALSE)=0,"",VLOOKUP($A100,数出表_Excel!$A$6:$T$150,COLUMN()/2+1,FALSE))),"")</f>
        <v/>
      </c>
      <c r="AA100" s="117"/>
      <c r="AB100" s="115" t="str">
        <f ca="1">IFERROR(VALUE(IF(VLOOKUP($A100,数出表_Excel!$A$6:$T$150,COLUMN()/2+1,FALSE)=0,"",VLOOKUP($A100,数出表_Excel!$A$6:$T$150,COLUMN()/2+1,FALSE))),"")</f>
        <v/>
      </c>
      <c r="AC100" s="79"/>
      <c r="AD100" s="116" t="str">
        <f ca="1">IFERROR(VALUE(IF(VLOOKUP($A100,数出表_Excel!$A$6:$T$150,COLUMN()/2+1,FALSE)=0,"",VLOOKUP($A100,数出表_Excel!$A$6:$T$150,COLUMN()/2+1,FALSE))),"")</f>
        <v/>
      </c>
      <c r="AE100" s="79"/>
      <c r="AF100" s="116" t="str">
        <f ca="1">IFERROR(VALUE(IF(VLOOKUP($A100,数出表_Excel!$A$6:$T$150,COLUMN()/2+1,FALSE)=0,"",VLOOKUP($A100,数出表_Excel!$A$6:$T$150,COLUMN()/2+1,FALSE))),"")</f>
        <v/>
      </c>
      <c r="AG100" s="79"/>
      <c r="AH100" s="116" t="str">
        <f ca="1">IFERROR(VALUE(IF(VLOOKUP($A100,数出表_Excel!$A$6:$T$150,COLUMN()/2+1,FALSE)=0,"",VLOOKUP($A100,数出表_Excel!$A$6:$T$150,COLUMN()/2+1,FALSE))),"")</f>
        <v/>
      </c>
      <c r="AI100" s="117"/>
      <c r="AJ100" s="115" t="str">
        <f ca="1">IFERROR(VALUE(IF(VLOOKUP($A100,数出表_Excel!$A$6:$T$150,COLUMN()/2+1,FALSE)=0,"",VLOOKUP($A100,数出表_Excel!$A$6:$T$150,COLUMN()/2+1,FALSE))),"")</f>
        <v/>
      </c>
      <c r="AK100" s="79"/>
      <c r="AL100" s="83" t="e">
        <f ca="1">IF(A100&lt;&gt;"",
IF(VLOOKUP($A100,数出表_Excel!$A$6:$T$150,COLUMN()/2+1,FALSE)=0,"",VLOOKUP($A100,数出表_Excel!$A$6:$T$150,COLUMN()/2+1,FALSE)),"")</f>
        <v>#N/A</v>
      </c>
      <c r="AM100" s="164" t="e">
        <f>数出表_Excel!V100</f>
        <v>#N/A</v>
      </c>
      <c r="AN100" s="165" t="e">
        <f>数出表_Excel!W100</f>
        <v>#N/A</v>
      </c>
    </row>
    <row r="101" spans="1:40" ht="16.2" customHeight="1">
      <c r="A101" s="127" t="e">
        <f t="array" aca="1" ref="A101" ca="1">IF(OR(COUNTIF(A99,"*1000*"),COUNTIF(A99,"")),"",INDEX(貼り付け用!$A1:$A200,MATCH(A99,貼り付け用!$A1:$A200,0)+2,0))</f>
        <v>#N/A</v>
      </c>
      <c r="B101" s="80" t="str">
        <f ca="1">IFERROR(VALUE(IF(VLOOKUP($A101,数出表_Excel!$A$6:$T$150,COLUMN()/2+1,FALSE)=0,"",VLOOKUP($A101,数出表_Excel!$A$6:$T$150,COLUMN()/2+1,FALSE))),"")</f>
        <v/>
      </c>
      <c r="C101" s="80"/>
      <c r="D101" s="80" t="str">
        <f ca="1">IFERROR(VALUE(IF(VLOOKUP($A101,数出表_Excel!$A$6:$T$150,COLUMN()/2+1,FALSE)=0,"",VLOOKUP($A101,数出表_Excel!$A$6:$T$150,COLUMN()/2+1,FALSE))),"")</f>
        <v/>
      </c>
      <c r="E101" s="80"/>
      <c r="F101" s="84" t="str">
        <f ca="1">IFERROR(VALUE(IF(VLOOKUP($A101,数出表_Excel!$A$6:$T$150,COLUMN()/2+1,FALSE)=0,"",VLOOKUP($A101,数出表_Excel!$A$6:$T$150,COLUMN()/2+1,FALSE))),"")</f>
        <v/>
      </c>
      <c r="G101" s="80"/>
      <c r="H101" s="80" t="str">
        <f ca="1">IFERROR(VALUE(IF(VLOOKUP($A101,数出表_Excel!$A$6:$T$150,COLUMN()/2+1,FALSE)=0,"",VLOOKUP($A101,数出表_Excel!$A$6:$T$150,COLUMN()/2+1,FALSE))),"")</f>
        <v/>
      </c>
      <c r="I101" s="80"/>
      <c r="J101" s="80" t="str">
        <f ca="1">IFERROR(VALUE(IF(VLOOKUP($A101,数出表_Excel!$A$6:$T$150,COLUMN()/2+1,FALSE)=0,"",VLOOKUP($A101,数出表_Excel!$A$6:$T$150,COLUMN()/2+1,FALSE))),"")</f>
        <v/>
      </c>
      <c r="K101" s="80"/>
      <c r="L101" s="84" t="str">
        <f ca="1">IFERROR(VALUE(IF(VLOOKUP($A101,数出表_Excel!$A$6:$T$150,COLUMN()/2+1,FALSE)=0,"",VLOOKUP($A101,数出表_Excel!$A$6:$T$150,COLUMN()/2+1,FALSE))),"")</f>
        <v/>
      </c>
      <c r="M101" s="80"/>
      <c r="N101" s="80" t="str">
        <f ca="1">IFERROR(VALUE(IF(VLOOKUP($A101,数出表_Excel!$A$6:$T$150,COLUMN()/2+1,FALSE)=0,"",VLOOKUP($A101,数出表_Excel!$A$6:$T$150,COLUMN()/2+1,FALSE))),"")</f>
        <v/>
      </c>
      <c r="O101" s="80"/>
      <c r="P101" s="80" t="str">
        <f ca="1">IFERROR(VALUE(IF(VLOOKUP($A101,数出表_Excel!$A$6:$T$150,COLUMN()/2+1,FALSE)=0,"",VLOOKUP($A101,数出表_Excel!$A$6:$T$150,COLUMN()/2+1,FALSE))),"")</f>
        <v/>
      </c>
      <c r="Q101" s="80"/>
      <c r="R101" s="80" t="str">
        <f ca="1">IFERROR(VALUE(IF(VLOOKUP($A101,数出表_Excel!$A$6:$T$150,COLUMN()/2+1,FALSE)=0,"",VLOOKUP($A101,数出表_Excel!$A$6:$T$150,COLUMN()/2+1,FALSE))),"")</f>
        <v/>
      </c>
      <c r="S101" s="80"/>
      <c r="T101" s="80" t="str">
        <f ca="1">IFERROR(VALUE(IF(VLOOKUP($A101,数出表_Excel!$A$6:$T$150,COLUMN()/2+1,FALSE)=0,"",VLOOKUP($A101,数出表_Excel!$A$6:$T$150,COLUMN()/2+1,FALSE))),"")</f>
        <v/>
      </c>
      <c r="U101" s="80"/>
      <c r="V101" s="84" t="str">
        <f ca="1">IFERROR(VALUE(IF(VLOOKUP($A101,数出表_Excel!$A$6:$T$150,COLUMN()/2+1,FALSE)=0,"",VLOOKUP($A101,数出表_Excel!$A$6:$T$150,COLUMN()/2+1,FALSE))),"")</f>
        <v/>
      </c>
      <c r="W101" s="80"/>
      <c r="X101" s="84" t="str">
        <f ca="1">IFERROR(VALUE(IF(VLOOKUP($A101,数出表_Excel!$A$6:$T$150,COLUMN()/2+1,FALSE)=0,"",VLOOKUP($A101,数出表_Excel!$A$6:$T$150,COLUMN()/2+1,FALSE))),"")</f>
        <v/>
      </c>
      <c r="Y101" s="80"/>
      <c r="Z101" s="84" t="str">
        <f ca="1">IFERROR(VALUE(IF(VLOOKUP($A101,数出表_Excel!$A$6:$T$150,COLUMN()/2+1,FALSE)=0,"",VLOOKUP($A101,数出表_Excel!$A$6:$T$150,COLUMN()/2+1,FALSE))),"")</f>
        <v/>
      </c>
      <c r="AA101" s="118"/>
      <c r="AB101" s="85" t="str">
        <f ca="1">IFERROR(VALUE(IF(VLOOKUP($A101,数出表_Excel!$A$6:$T$150,COLUMN()/2+1,FALSE)=0,"",VLOOKUP($A101,数出表_Excel!$A$6:$T$150,COLUMN()/2+1,FALSE))),"")</f>
        <v/>
      </c>
      <c r="AC101" s="80"/>
      <c r="AD101" s="84" t="str">
        <f ca="1">IFERROR(VALUE(IF(VLOOKUP($A101,数出表_Excel!$A$6:$T$150,COLUMN()/2+1,FALSE)=0,"",VLOOKUP($A101,数出表_Excel!$A$6:$T$150,COLUMN()/2+1,FALSE))),"")</f>
        <v/>
      </c>
      <c r="AE101" s="80"/>
      <c r="AF101" s="84" t="str">
        <f ca="1">IFERROR(VALUE(IF(VLOOKUP($A101,数出表_Excel!$A$6:$T$150,COLUMN()/2+1,FALSE)=0,"",VLOOKUP($A101,数出表_Excel!$A$6:$T$150,COLUMN()/2+1,FALSE))),"")</f>
        <v/>
      </c>
      <c r="AG101" s="80"/>
      <c r="AH101" s="84" t="str">
        <f ca="1">IFERROR(VALUE(IF(VLOOKUP($A101,数出表_Excel!$A$6:$T$150,COLUMN()/2+1,FALSE)=0,"",VLOOKUP($A101,数出表_Excel!$A$6:$T$150,COLUMN()/2+1,FALSE))),"")</f>
        <v/>
      </c>
      <c r="AI101" s="118"/>
      <c r="AJ101" s="85" t="str">
        <f ca="1">IFERROR(VALUE(IF(VLOOKUP($A101,数出表_Excel!$A$6:$T$150,COLUMN()/2+1,FALSE)=0,"",VLOOKUP($A101,数出表_Excel!$A$6:$T$150,COLUMN()/2+1,FALSE))),"")</f>
        <v/>
      </c>
      <c r="AK101" s="80"/>
      <c r="AL101" s="86" t="e">
        <f ca="1">IF(A101&lt;&gt;"",
IF(VLOOKUP($A101,数出表_Excel!$A$6:$T$150,COLUMN()/2+1,FALSE)=0,"",VLOOKUP($A101,数出表_Excel!$A$6:$T$150,COLUMN()/2+1,FALSE)),"")</f>
        <v>#N/A</v>
      </c>
      <c r="AM101" s="166" t="e">
        <f>数出表_Excel!V101</f>
        <v>#N/A</v>
      </c>
      <c r="AN101" s="167" t="e">
        <f>数出表_Excel!W101</f>
        <v>#N/A</v>
      </c>
    </row>
    <row r="102" spans="1:40" ht="16.2" customHeight="1">
      <c r="A102" s="126" t="e">
        <f t="array" aca="1" ref="A102" ca="1">IF(OR(COUNTIF(A100,"*10002*"),COUNTIF(A100,"")),"",INDEX(貼り付け用!$A1:$A200,MATCH(A100,貼り付け用!$A1:$A200,0)+2,0))</f>
        <v>#N/A</v>
      </c>
      <c r="B102" s="114" t="str">
        <f ca="1">IFERROR(VALUE(IF(VLOOKUP($A102,数出表_Excel!$A$6:$T$150,COLUMN()/2+1,FALSE)=0,"",VLOOKUP($A102,数出表_Excel!$A$6:$T$150,COLUMN()/2+1,FALSE))),"")</f>
        <v/>
      </c>
      <c r="C102" s="79"/>
      <c r="D102" s="114" t="str">
        <f ca="1">IFERROR(VALUE(IF(VLOOKUP($A102,数出表_Excel!$A$6:$T$150,COLUMN()/2+1,FALSE)=0,"",VLOOKUP($A102,数出表_Excel!$A$6:$T$150,COLUMN()/2+1,FALSE))),"")</f>
        <v/>
      </c>
      <c r="E102" s="79"/>
      <c r="F102" s="116" t="str">
        <f ca="1">IFERROR(VALUE(IF(VLOOKUP($A102,数出表_Excel!$A$6:$T$150,COLUMN()/2+1,FALSE)=0,"",VLOOKUP($A102,数出表_Excel!$A$6:$T$150,COLUMN()/2+1,FALSE))),"")</f>
        <v/>
      </c>
      <c r="G102" s="79"/>
      <c r="H102" s="114" t="str">
        <f ca="1">IFERROR(VALUE(IF(VLOOKUP($A102,数出表_Excel!$A$6:$T$150,COLUMN()/2+1,FALSE)=0,"",VLOOKUP($A102,数出表_Excel!$A$6:$T$150,COLUMN()/2+1,FALSE))),"")</f>
        <v/>
      </c>
      <c r="I102" s="79"/>
      <c r="J102" s="114" t="str">
        <f ca="1">IFERROR(VALUE(IF(VLOOKUP($A102,数出表_Excel!$A$6:$T$150,COLUMN()/2+1,FALSE)=0,"",VLOOKUP($A102,数出表_Excel!$A$6:$T$150,COLUMN()/2+1,FALSE))),"")</f>
        <v/>
      </c>
      <c r="K102" s="79"/>
      <c r="L102" s="116" t="str">
        <f ca="1">IFERROR(VALUE(IF(VLOOKUP($A102,数出表_Excel!$A$6:$T$150,COLUMN()/2+1,FALSE)=0,"",VLOOKUP($A102,数出表_Excel!$A$6:$T$150,COLUMN()/2+1,FALSE))),"")</f>
        <v/>
      </c>
      <c r="M102" s="79"/>
      <c r="N102" s="114" t="str">
        <f ca="1">IFERROR(VALUE(IF(VLOOKUP($A102,数出表_Excel!$A$6:$T$150,COLUMN()/2+1,FALSE)=0,"",VLOOKUP($A102,数出表_Excel!$A$6:$T$150,COLUMN()/2+1,FALSE))),"")</f>
        <v/>
      </c>
      <c r="O102" s="79"/>
      <c r="P102" s="114" t="str">
        <f ca="1">IFERROR(VALUE(IF(VLOOKUP($A102,数出表_Excel!$A$6:$T$150,COLUMN()/2+1,FALSE)=0,"",VLOOKUP($A102,数出表_Excel!$A$6:$T$150,COLUMN()/2+1,FALSE))),"")</f>
        <v/>
      </c>
      <c r="Q102" s="79"/>
      <c r="R102" s="114" t="str">
        <f ca="1">IFERROR(VALUE(IF(VLOOKUP($A102,数出表_Excel!$A$6:$T$150,COLUMN()/2+1,FALSE)=0,"",VLOOKUP($A102,数出表_Excel!$A$6:$T$150,COLUMN()/2+1,FALSE))),"")</f>
        <v/>
      </c>
      <c r="S102" s="79"/>
      <c r="T102" s="114" t="str">
        <f ca="1">IFERROR(VALUE(IF(VLOOKUP($A102,数出表_Excel!$A$6:$T$150,COLUMN()/2+1,FALSE)=0,"",VLOOKUP($A102,数出表_Excel!$A$6:$T$150,COLUMN()/2+1,FALSE))),"")</f>
        <v/>
      </c>
      <c r="U102" s="79"/>
      <c r="V102" s="116" t="str">
        <f ca="1">IFERROR(VALUE(IF(VLOOKUP($A102,数出表_Excel!$A$6:$T$150,COLUMN()/2+1,FALSE)=0,"",VLOOKUP($A102,数出表_Excel!$A$6:$T$150,COLUMN()/2+1,FALSE))),"")</f>
        <v/>
      </c>
      <c r="W102" s="79"/>
      <c r="X102" s="116" t="str">
        <f ca="1">IFERROR(VALUE(IF(VLOOKUP($A102,数出表_Excel!$A$6:$T$150,COLUMN()/2+1,FALSE)=0,"",VLOOKUP($A102,数出表_Excel!$A$6:$T$150,COLUMN()/2+1,FALSE))),"")</f>
        <v/>
      </c>
      <c r="Y102" s="79"/>
      <c r="Z102" s="116" t="str">
        <f ca="1">IFERROR(VALUE(IF(VLOOKUP($A102,数出表_Excel!$A$6:$T$150,COLUMN()/2+1,FALSE)=0,"",VLOOKUP($A102,数出表_Excel!$A$6:$T$150,COLUMN()/2+1,FALSE))),"")</f>
        <v/>
      </c>
      <c r="AA102" s="117"/>
      <c r="AB102" s="115" t="str">
        <f ca="1">IFERROR(VALUE(IF(VLOOKUP($A102,数出表_Excel!$A$6:$T$150,COLUMN()/2+1,FALSE)=0,"",VLOOKUP($A102,数出表_Excel!$A$6:$T$150,COLUMN()/2+1,FALSE))),"")</f>
        <v/>
      </c>
      <c r="AC102" s="79"/>
      <c r="AD102" s="116" t="str">
        <f ca="1">IFERROR(VALUE(IF(VLOOKUP($A102,数出表_Excel!$A$6:$T$150,COLUMN()/2+1,FALSE)=0,"",VLOOKUP($A102,数出表_Excel!$A$6:$T$150,COLUMN()/2+1,FALSE))),"")</f>
        <v/>
      </c>
      <c r="AE102" s="79"/>
      <c r="AF102" s="116" t="str">
        <f ca="1">IFERROR(VALUE(IF(VLOOKUP($A102,数出表_Excel!$A$6:$T$150,COLUMN()/2+1,FALSE)=0,"",VLOOKUP($A102,数出表_Excel!$A$6:$T$150,COLUMN()/2+1,FALSE))),"")</f>
        <v/>
      </c>
      <c r="AG102" s="79"/>
      <c r="AH102" s="116" t="str">
        <f ca="1">IFERROR(VALUE(IF(VLOOKUP($A102,数出表_Excel!$A$6:$T$150,COLUMN()/2+1,FALSE)=0,"",VLOOKUP($A102,数出表_Excel!$A$6:$T$150,COLUMN()/2+1,FALSE))),"")</f>
        <v/>
      </c>
      <c r="AI102" s="117"/>
      <c r="AJ102" s="115" t="str">
        <f ca="1">IFERROR(VALUE(IF(VLOOKUP($A102,数出表_Excel!$A$6:$T$150,COLUMN()/2+1,FALSE)=0,"",VLOOKUP($A102,数出表_Excel!$A$6:$T$150,COLUMN()/2+1,FALSE))),"")</f>
        <v/>
      </c>
      <c r="AK102" s="79"/>
      <c r="AL102" s="83" t="e">
        <f ca="1">IF(A102&lt;&gt;"",
IF(VLOOKUP($A102,数出表_Excel!$A$6:$T$150,COLUMN()/2+1,FALSE)=0,"",VLOOKUP($A102,数出表_Excel!$A$6:$T$150,COLUMN()/2+1,FALSE)),"")</f>
        <v>#N/A</v>
      </c>
      <c r="AM102" s="164" t="e">
        <f>数出表_Excel!V102</f>
        <v>#N/A</v>
      </c>
      <c r="AN102" s="165" t="e">
        <f>数出表_Excel!W102</f>
        <v>#N/A</v>
      </c>
    </row>
    <row r="103" spans="1:40" ht="16.2" customHeight="1">
      <c r="A103" s="127" t="e">
        <f t="array" aca="1" ref="A103" ca="1">IF(OR(COUNTIF(A101,"*1000*"),COUNTIF(A101,"")),"",INDEX(貼り付け用!$A1:$A200,MATCH(A101,貼り付け用!$A1:$A200,0)+2,0))</f>
        <v>#N/A</v>
      </c>
      <c r="B103" s="80" t="str">
        <f ca="1">IFERROR(VALUE(IF(VLOOKUP($A103,数出表_Excel!$A$6:$T$150,COLUMN()/2+1,FALSE)=0,"",VLOOKUP($A103,数出表_Excel!$A$6:$T$150,COLUMN()/2+1,FALSE))),"")</f>
        <v/>
      </c>
      <c r="C103" s="80"/>
      <c r="D103" s="80" t="str">
        <f ca="1">IFERROR(VALUE(IF(VLOOKUP($A103,数出表_Excel!$A$6:$T$150,COLUMN()/2+1,FALSE)=0,"",VLOOKUP($A103,数出表_Excel!$A$6:$T$150,COLUMN()/2+1,FALSE))),"")</f>
        <v/>
      </c>
      <c r="E103" s="80"/>
      <c r="F103" s="84" t="str">
        <f ca="1">IFERROR(VALUE(IF(VLOOKUP($A103,数出表_Excel!$A$6:$T$150,COLUMN()/2+1,FALSE)=0,"",VLOOKUP($A103,数出表_Excel!$A$6:$T$150,COLUMN()/2+1,FALSE))),"")</f>
        <v/>
      </c>
      <c r="G103" s="80"/>
      <c r="H103" s="80" t="str">
        <f ca="1">IFERROR(VALUE(IF(VLOOKUP($A103,数出表_Excel!$A$6:$T$150,COLUMN()/2+1,FALSE)=0,"",VLOOKUP($A103,数出表_Excel!$A$6:$T$150,COLUMN()/2+1,FALSE))),"")</f>
        <v/>
      </c>
      <c r="I103" s="80"/>
      <c r="J103" s="80" t="str">
        <f ca="1">IFERROR(VALUE(IF(VLOOKUP($A103,数出表_Excel!$A$6:$T$150,COLUMN()/2+1,FALSE)=0,"",VLOOKUP($A103,数出表_Excel!$A$6:$T$150,COLUMN()/2+1,FALSE))),"")</f>
        <v/>
      </c>
      <c r="K103" s="80"/>
      <c r="L103" s="84" t="str">
        <f ca="1">IFERROR(VALUE(IF(VLOOKUP($A103,数出表_Excel!$A$6:$T$150,COLUMN()/2+1,FALSE)=0,"",VLOOKUP($A103,数出表_Excel!$A$6:$T$150,COLUMN()/2+1,FALSE))),"")</f>
        <v/>
      </c>
      <c r="M103" s="80"/>
      <c r="N103" s="80" t="str">
        <f ca="1">IFERROR(VALUE(IF(VLOOKUP($A103,数出表_Excel!$A$6:$T$150,COLUMN()/2+1,FALSE)=0,"",VLOOKUP($A103,数出表_Excel!$A$6:$T$150,COLUMN()/2+1,FALSE))),"")</f>
        <v/>
      </c>
      <c r="O103" s="80"/>
      <c r="P103" s="80" t="str">
        <f ca="1">IFERROR(VALUE(IF(VLOOKUP($A103,数出表_Excel!$A$6:$T$150,COLUMN()/2+1,FALSE)=0,"",VLOOKUP($A103,数出表_Excel!$A$6:$T$150,COLUMN()/2+1,FALSE))),"")</f>
        <v/>
      </c>
      <c r="Q103" s="80"/>
      <c r="R103" s="80" t="str">
        <f ca="1">IFERROR(VALUE(IF(VLOOKUP($A103,数出表_Excel!$A$6:$T$150,COLUMN()/2+1,FALSE)=0,"",VLOOKUP($A103,数出表_Excel!$A$6:$T$150,COLUMN()/2+1,FALSE))),"")</f>
        <v/>
      </c>
      <c r="S103" s="80"/>
      <c r="T103" s="80" t="str">
        <f ca="1">IFERROR(VALUE(IF(VLOOKUP($A103,数出表_Excel!$A$6:$T$150,COLUMN()/2+1,FALSE)=0,"",VLOOKUP($A103,数出表_Excel!$A$6:$T$150,COLUMN()/2+1,FALSE))),"")</f>
        <v/>
      </c>
      <c r="U103" s="80"/>
      <c r="V103" s="84" t="str">
        <f ca="1">IFERROR(VALUE(IF(VLOOKUP($A103,数出表_Excel!$A$6:$T$150,COLUMN()/2+1,FALSE)=0,"",VLOOKUP($A103,数出表_Excel!$A$6:$T$150,COLUMN()/2+1,FALSE))),"")</f>
        <v/>
      </c>
      <c r="W103" s="80"/>
      <c r="X103" s="84" t="str">
        <f ca="1">IFERROR(VALUE(IF(VLOOKUP($A103,数出表_Excel!$A$6:$T$150,COLUMN()/2+1,FALSE)=0,"",VLOOKUP($A103,数出表_Excel!$A$6:$T$150,COLUMN()/2+1,FALSE))),"")</f>
        <v/>
      </c>
      <c r="Y103" s="80"/>
      <c r="Z103" s="84" t="str">
        <f ca="1">IFERROR(VALUE(IF(VLOOKUP($A103,数出表_Excel!$A$6:$T$150,COLUMN()/2+1,FALSE)=0,"",VLOOKUP($A103,数出表_Excel!$A$6:$T$150,COLUMN()/2+1,FALSE))),"")</f>
        <v/>
      </c>
      <c r="AA103" s="118"/>
      <c r="AB103" s="85" t="str">
        <f ca="1">IFERROR(VALUE(IF(VLOOKUP($A103,数出表_Excel!$A$6:$T$150,COLUMN()/2+1,FALSE)=0,"",VLOOKUP($A103,数出表_Excel!$A$6:$T$150,COLUMN()/2+1,FALSE))),"")</f>
        <v/>
      </c>
      <c r="AC103" s="80"/>
      <c r="AD103" s="84" t="str">
        <f ca="1">IFERROR(VALUE(IF(VLOOKUP($A103,数出表_Excel!$A$6:$T$150,COLUMN()/2+1,FALSE)=0,"",VLOOKUP($A103,数出表_Excel!$A$6:$T$150,COLUMN()/2+1,FALSE))),"")</f>
        <v/>
      </c>
      <c r="AE103" s="80"/>
      <c r="AF103" s="84" t="str">
        <f ca="1">IFERROR(VALUE(IF(VLOOKUP($A103,数出表_Excel!$A$6:$T$150,COLUMN()/2+1,FALSE)=0,"",VLOOKUP($A103,数出表_Excel!$A$6:$T$150,COLUMN()/2+1,FALSE))),"")</f>
        <v/>
      </c>
      <c r="AG103" s="80"/>
      <c r="AH103" s="84" t="str">
        <f ca="1">IFERROR(VALUE(IF(VLOOKUP($A103,数出表_Excel!$A$6:$T$150,COLUMN()/2+1,FALSE)=0,"",VLOOKUP($A103,数出表_Excel!$A$6:$T$150,COLUMN()/2+1,FALSE))),"")</f>
        <v/>
      </c>
      <c r="AI103" s="118"/>
      <c r="AJ103" s="85" t="str">
        <f ca="1">IFERROR(VALUE(IF(VLOOKUP($A103,数出表_Excel!$A$6:$T$150,COLUMN()/2+1,FALSE)=0,"",VLOOKUP($A103,数出表_Excel!$A$6:$T$150,COLUMN()/2+1,FALSE))),"")</f>
        <v/>
      </c>
      <c r="AK103" s="80"/>
      <c r="AL103" s="86" t="e">
        <f ca="1">IF(A103&lt;&gt;"",
IF(VLOOKUP($A103,数出表_Excel!$A$6:$T$150,COLUMN()/2+1,FALSE)=0,"",VLOOKUP($A103,数出表_Excel!$A$6:$T$150,COLUMN()/2+1,FALSE)),"")</f>
        <v>#N/A</v>
      </c>
      <c r="AM103" s="166" t="e">
        <f>数出表_Excel!V103</f>
        <v>#N/A</v>
      </c>
      <c r="AN103" s="167" t="e">
        <f>数出表_Excel!W103</f>
        <v>#N/A</v>
      </c>
    </row>
    <row r="104" spans="1:40" ht="16.2" customHeight="1">
      <c r="A104" s="126" t="e">
        <f t="array" aca="1" ref="A104" ca="1">IF(OR(COUNTIF(A102,"*10002*"),COUNTIF(A102,"")),"",INDEX(貼り付け用!$A1:$A200,MATCH(A102,貼り付け用!$A1:$A200,0)+2,0))</f>
        <v>#N/A</v>
      </c>
      <c r="B104" s="114" t="str">
        <f ca="1">IFERROR(VALUE(IF(VLOOKUP($A104,数出表_Excel!$A$6:$T$150,COLUMN()/2+1,FALSE)=0,"",VLOOKUP($A104,数出表_Excel!$A$6:$T$150,COLUMN()/2+1,FALSE))),"")</f>
        <v/>
      </c>
      <c r="C104" s="79"/>
      <c r="D104" s="114" t="str">
        <f ca="1">IFERROR(VALUE(IF(VLOOKUP($A104,数出表_Excel!$A$6:$T$150,COLUMN()/2+1,FALSE)=0,"",VLOOKUP($A104,数出表_Excel!$A$6:$T$150,COLUMN()/2+1,FALSE))),"")</f>
        <v/>
      </c>
      <c r="E104" s="79"/>
      <c r="F104" s="116" t="str">
        <f ca="1">IFERROR(VALUE(IF(VLOOKUP($A104,数出表_Excel!$A$6:$T$150,COLUMN()/2+1,FALSE)=0,"",VLOOKUP($A104,数出表_Excel!$A$6:$T$150,COLUMN()/2+1,FALSE))),"")</f>
        <v/>
      </c>
      <c r="G104" s="79"/>
      <c r="H104" s="114" t="str">
        <f ca="1">IFERROR(VALUE(IF(VLOOKUP($A104,数出表_Excel!$A$6:$T$150,COLUMN()/2+1,FALSE)=0,"",VLOOKUP($A104,数出表_Excel!$A$6:$T$150,COLUMN()/2+1,FALSE))),"")</f>
        <v/>
      </c>
      <c r="I104" s="79"/>
      <c r="J104" s="114" t="str">
        <f ca="1">IFERROR(VALUE(IF(VLOOKUP($A104,数出表_Excel!$A$6:$T$150,COLUMN()/2+1,FALSE)=0,"",VLOOKUP($A104,数出表_Excel!$A$6:$T$150,COLUMN()/2+1,FALSE))),"")</f>
        <v/>
      </c>
      <c r="K104" s="79"/>
      <c r="L104" s="116" t="str">
        <f ca="1">IFERROR(VALUE(IF(VLOOKUP($A104,数出表_Excel!$A$6:$T$150,COLUMN()/2+1,FALSE)=0,"",VLOOKUP($A104,数出表_Excel!$A$6:$T$150,COLUMN()/2+1,FALSE))),"")</f>
        <v/>
      </c>
      <c r="M104" s="79"/>
      <c r="N104" s="114" t="str">
        <f ca="1">IFERROR(VALUE(IF(VLOOKUP($A104,数出表_Excel!$A$6:$T$150,COLUMN()/2+1,FALSE)=0,"",VLOOKUP($A104,数出表_Excel!$A$6:$T$150,COLUMN()/2+1,FALSE))),"")</f>
        <v/>
      </c>
      <c r="O104" s="79"/>
      <c r="P104" s="114" t="str">
        <f ca="1">IFERROR(VALUE(IF(VLOOKUP($A104,数出表_Excel!$A$6:$T$150,COLUMN()/2+1,FALSE)=0,"",VLOOKUP($A104,数出表_Excel!$A$6:$T$150,COLUMN()/2+1,FALSE))),"")</f>
        <v/>
      </c>
      <c r="Q104" s="79"/>
      <c r="R104" s="114" t="str">
        <f ca="1">IFERROR(VALUE(IF(VLOOKUP($A104,数出表_Excel!$A$6:$T$150,COLUMN()/2+1,FALSE)=0,"",VLOOKUP($A104,数出表_Excel!$A$6:$T$150,COLUMN()/2+1,FALSE))),"")</f>
        <v/>
      </c>
      <c r="S104" s="79"/>
      <c r="T104" s="114" t="str">
        <f ca="1">IFERROR(VALUE(IF(VLOOKUP($A104,数出表_Excel!$A$6:$T$150,COLUMN()/2+1,FALSE)=0,"",VLOOKUP($A104,数出表_Excel!$A$6:$T$150,COLUMN()/2+1,FALSE))),"")</f>
        <v/>
      </c>
      <c r="U104" s="79"/>
      <c r="V104" s="116" t="str">
        <f ca="1">IFERROR(VALUE(IF(VLOOKUP($A104,数出表_Excel!$A$6:$T$150,COLUMN()/2+1,FALSE)=0,"",VLOOKUP($A104,数出表_Excel!$A$6:$T$150,COLUMN()/2+1,FALSE))),"")</f>
        <v/>
      </c>
      <c r="W104" s="79"/>
      <c r="X104" s="116" t="str">
        <f ca="1">IFERROR(VALUE(IF(VLOOKUP($A104,数出表_Excel!$A$6:$T$150,COLUMN()/2+1,FALSE)=0,"",VLOOKUP($A104,数出表_Excel!$A$6:$T$150,COLUMN()/2+1,FALSE))),"")</f>
        <v/>
      </c>
      <c r="Y104" s="79"/>
      <c r="Z104" s="116" t="str">
        <f ca="1">IFERROR(VALUE(IF(VLOOKUP($A104,数出表_Excel!$A$6:$T$150,COLUMN()/2+1,FALSE)=0,"",VLOOKUP($A104,数出表_Excel!$A$6:$T$150,COLUMN()/2+1,FALSE))),"")</f>
        <v/>
      </c>
      <c r="AA104" s="117"/>
      <c r="AB104" s="115" t="str">
        <f ca="1">IFERROR(VALUE(IF(VLOOKUP($A104,数出表_Excel!$A$6:$T$150,COLUMN()/2+1,FALSE)=0,"",VLOOKUP($A104,数出表_Excel!$A$6:$T$150,COLUMN()/2+1,FALSE))),"")</f>
        <v/>
      </c>
      <c r="AC104" s="79"/>
      <c r="AD104" s="116" t="str">
        <f ca="1">IFERROR(VALUE(IF(VLOOKUP($A104,数出表_Excel!$A$6:$T$150,COLUMN()/2+1,FALSE)=0,"",VLOOKUP($A104,数出表_Excel!$A$6:$T$150,COLUMN()/2+1,FALSE))),"")</f>
        <v/>
      </c>
      <c r="AE104" s="79"/>
      <c r="AF104" s="116" t="str">
        <f ca="1">IFERROR(VALUE(IF(VLOOKUP($A104,数出表_Excel!$A$6:$T$150,COLUMN()/2+1,FALSE)=0,"",VLOOKUP($A104,数出表_Excel!$A$6:$T$150,COLUMN()/2+1,FALSE))),"")</f>
        <v/>
      </c>
      <c r="AG104" s="79"/>
      <c r="AH104" s="116" t="str">
        <f ca="1">IFERROR(VALUE(IF(VLOOKUP($A104,数出表_Excel!$A$6:$T$150,COLUMN()/2+1,FALSE)=0,"",VLOOKUP($A104,数出表_Excel!$A$6:$T$150,COLUMN()/2+1,FALSE))),"")</f>
        <v/>
      </c>
      <c r="AI104" s="117"/>
      <c r="AJ104" s="115" t="str">
        <f ca="1">IFERROR(VALUE(IF(VLOOKUP($A104,数出表_Excel!$A$6:$T$150,COLUMN()/2+1,FALSE)=0,"",VLOOKUP($A104,数出表_Excel!$A$6:$T$150,COLUMN()/2+1,FALSE))),"")</f>
        <v/>
      </c>
      <c r="AK104" s="79"/>
      <c r="AL104" s="83" t="e">
        <f ca="1">IF(A104&lt;&gt;"",
IF(VLOOKUP($A104,数出表_Excel!$A$6:$T$150,COLUMN()/2+1,FALSE)=0,"",VLOOKUP($A104,数出表_Excel!$A$6:$T$150,COLUMN()/2+1,FALSE)),"")</f>
        <v>#N/A</v>
      </c>
      <c r="AM104" s="164" t="e">
        <f>数出表_Excel!V104</f>
        <v>#N/A</v>
      </c>
      <c r="AN104" s="165" t="e">
        <f>数出表_Excel!W104</f>
        <v>#N/A</v>
      </c>
    </row>
    <row r="105" spans="1:40" ht="16.2" customHeight="1">
      <c r="A105" s="127" t="e">
        <f t="array" aca="1" ref="A105" ca="1">IF(OR(COUNTIF(A103,"*1000*"),COUNTIF(A103,"")),"",INDEX(貼り付け用!$A1:$A200,MATCH(A103,貼り付け用!$A1:$A200,0)+2,0))</f>
        <v>#N/A</v>
      </c>
      <c r="B105" s="80" t="str">
        <f ca="1">IFERROR(VALUE(IF(VLOOKUP($A105,数出表_Excel!$A$6:$T$150,COLUMN()/2+1,FALSE)=0,"",VLOOKUP($A105,数出表_Excel!$A$6:$T$150,COLUMN()/2+1,FALSE))),"")</f>
        <v/>
      </c>
      <c r="C105" s="80"/>
      <c r="D105" s="80" t="str">
        <f ca="1">IFERROR(VALUE(IF(VLOOKUP($A105,数出表_Excel!$A$6:$T$150,COLUMN()/2+1,FALSE)=0,"",VLOOKUP($A105,数出表_Excel!$A$6:$T$150,COLUMN()/2+1,FALSE))),"")</f>
        <v/>
      </c>
      <c r="E105" s="80"/>
      <c r="F105" s="84" t="str">
        <f ca="1">IFERROR(VALUE(IF(VLOOKUP($A105,数出表_Excel!$A$6:$T$150,COLUMN()/2+1,FALSE)=0,"",VLOOKUP($A105,数出表_Excel!$A$6:$T$150,COLUMN()/2+1,FALSE))),"")</f>
        <v/>
      </c>
      <c r="G105" s="80"/>
      <c r="H105" s="80" t="str">
        <f ca="1">IFERROR(VALUE(IF(VLOOKUP($A105,数出表_Excel!$A$6:$T$150,COLUMN()/2+1,FALSE)=0,"",VLOOKUP($A105,数出表_Excel!$A$6:$T$150,COLUMN()/2+1,FALSE))),"")</f>
        <v/>
      </c>
      <c r="I105" s="80"/>
      <c r="J105" s="80" t="str">
        <f ca="1">IFERROR(VALUE(IF(VLOOKUP($A105,数出表_Excel!$A$6:$T$150,COLUMN()/2+1,FALSE)=0,"",VLOOKUP($A105,数出表_Excel!$A$6:$T$150,COLUMN()/2+1,FALSE))),"")</f>
        <v/>
      </c>
      <c r="K105" s="80"/>
      <c r="L105" s="84" t="str">
        <f ca="1">IFERROR(VALUE(IF(VLOOKUP($A105,数出表_Excel!$A$6:$T$150,COLUMN()/2+1,FALSE)=0,"",VLOOKUP($A105,数出表_Excel!$A$6:$T$150,COLUMN()/2+1,FALSE))),"")</f>
        <v/>
      </c>
      <c r="M105" s="80"/>
      <c r="N105" s="80" t="str">
        <f ca="1">IFERROR(VALUE(IF(VLOOKUP($A105,数出表_Excel!$A$6:$T$150,COLUMN()/2+1,FALSE)=0,"",VLOOKUP($A105,数出表_Excel!$A$6:$T$150,COLUMN()/2+1,FALSE))),"")</f>
        <v/>
      </c>
      <c r="O105" s="80"/>
      <c r="P105" s="80" t="str">
        <f ca="1">IFERROR(VALUE(IF(VLOOKUP($A105,数出表_Excel!$A$6:$T$150,COLUMN()/2+1,FALSE)=0,"",VLOOKUP($A105,数出表_Excel!$A$6:$T$150,COLUMN()/2+1,FALSE))),"")</f>
        <v/>
      </c>
      <c r="Q105" s="80"/>
      <c r="R105" s="80" t="str">
        <f ca="1">IFERROR(VALUE(IF(VLOOKUP($A105,数出表_Excel!$A$6:$T$150,COLUMN()/2+1,FALSE)=0,"",VLOOKUP($A105,数出表_Excel!$A$6:$T$150,COLUMN()/2+1,FALSE))),"")</f>
        <v/>
      </c>
      <c r="S105" s="80"/>
      <c r="T105" s="80" t="str">
        <f ca="1">IFERROR(VALUE(IF(VLOOKUP($A105,数出表_Excel!$A$6:$T$150,COLUMN()/2+1,FALSE)=0,"",VLOOKUP($A105,数出表_Excel!$A$6:$T$150,COLUMN()/2+1,FALSE))),"")</f>
        <v/>
      </c>
      <c r="U105" s="80"/>
      <c r="V105" s="84" t="str">
        <f ca="1">IFERROR(VALUE(IF(VLOOKUP($A105,数出表_Excel!$A$6:$T$150,COLUMN()/2+1,FALSE)=0,"",VLOOKUP($A105,数出表_Excel!$A$6:$T$150,COLUMN()/2+1,FALSE))),"")</f>
        <v/>
      </c>
      <c r="W105" s="80"/>
      <c r="X105" s="84" t="str">
        <f ca="1">IFERROR(VALUE(IF(VLOOKUP($A105,数出表_Excel!$A$6:$T$150,COLUMN()/2+1,FALSE)=0,"",VLOOKUP($A105,数出表_Excel!$A$6:$T$150,COLUMN()/2+1,FALSE))),"")</f>
        <v/>
      </c>
      <c r="Y105" s="80"/>
      <c r="Z105" s="84" t="str">
        <f ca="1">IFERROR(VALUE(IF(VLOOKUP($A105,数出表_Excel!$A$6:$T$150,COLUMN()/2+1,FALSE)=0,"",VLOOKUP($A105,数出表_Excel!$A$6:$T$150,COLUMN()/2+1,FALSE))),"")</f>
        <v/>
      </c>
      <c r="AA105" s="118"/>
      <c r="AB105" s="85" t="str">
        <f ca="1">IFERROR(VALUE(IF(VLOOKUP($A105,数出表_Excel!$A$6:$T$150,COLUMN()/2+1,FALSE)=0,"",VLOOKUP($A105,数出表_Excel!$A$6:$T$150,COLUMN()/2+1,FALSE))),"")</f>
        <v/>
      </c>
      <c r="AC105" s="80"/>
      <c r="AD105" s="84" t="str">
        <f ca="1">IFERROR(VALUE(IF(VLOOKUP($A105,数出表_Excel!$A$6:$T$150,COLUMN()/2+1,FALSE)=0,"",VLOOKUP($A105,数出表_Excel!$A$6:$T$150,COLUMN()/2+1,FALSE))),"")</f>
        <v/>
      </c>
      <c r="AE105" s="80"/>
      <c r="AF105" s="84" t="str">
        <f ca="1">IFERROR(VALUE(IF(VLOOKUP($A105,数出表_Excel!$A$6:$T$150,COLUMN()/2+1,FALSE)=0,"",VLOOKUP($A105,数出表_Excel!$A$6:$T$150,COLUMN()/2+1,FALSE))),"")</f>
        <v/>
      </c>
      <c r="AG105" s="80"/>
      <c r="AH105" s="84" t="str">
        <f ca="1">IFERROR(VALUE(IF(VLOOKUP($A105,数出表_Excel!$A$6:$T$150,COLUMN()/2+1,FALSE)=0,"",VLOOKUP($A105,数出表_Excel!$A$6:$T$150,COLUMN()/2+1,FALSE))),"")</f>
        <v/>
      </c>
      <c r="AI105" s="118"/>
      <c r="AJ105" s="85" t="str">
        <f ca="1">IFERROR(VALUE(IF(VLOOKUP($A105,数出表_Excel!$A$6:$T$150,COLUMN()/2+1,FALSE)=0,"",VLOOKUP($A105,数出表_Excel!$A$6:$T$150,COLUMN()/2+1,FALSE))),"")</f>
        <v/>
      </c>
      <c r="AK105" s="80"/>
      <c r="AL105" s="86" t="e">
        <f ca="1">IF(A105&lt;&gt;"",
IF(VLOOKUP($A105,数出表_Excel!$A$6:$T$150,COLUMN()/2+1,FALSE)=0,"",VLOOKUP($A105,数出表_Excel!$A$6:$T$150,COLUMN()/2+1,FALSE)),"")</f>
        <v>#N/A</v>
      </c>
      <c r="AM105" s="166" t="e">
        <f>数出表_Excel!V105</f>
        <v>#N/A</v>
      </c>
      <c r="AN105" s="167" t="e">
        <f>数出表_Excel!W105</f>
        <v>#N/A</v>
      </c>
    </row>
    <row r="106" spans="1:40" ht="16.2" customHeight="1">
      <c r="A106" s="126" t="e">
        <f t="array" aca="1" ref="A106" ca="1">IF(OR(COUNTIF(A104,"*10002*"),COUNTIF(A104,"")),"",INDEX(貼り付け用!$A1:$A200,MATCH(A104,貼り付け用!$A1:$A200,0)+2,0))</f>
        <v>#N/A</v>
      </c>
      <c r="B106" s="114" t="str">
        <f ca="1">IFERROR(VALUE(IF(VLOOKUP($A106,数出表_Excel!$A$6:$T$150,COLUMN()/2+1,FALSE)=0,"",VLOOKUP($A106,数出表_Excel!$A$6:$T$150,COLUMN()/2+1,FALSE))),"")</f>
        <v/>
      </c>
      <c r="C106" s="79"/>
      <c r="D106" s="114" t="str">
        <f ca="1">IFERROR(VALUE(IF(VLOOKUP($A106,数出表_Excel!$A$6:$T$150,COLUMN()/2+1,FALSE)=0,"",VLOOKUP($A106,数出表_Excel!$A$6:$T$150,COLUMN()/2+1,FALSE))),"")</f>
        <v/>
      </c>
      <c r="E106" s="79"/>
      <c r="F106" s="116" t="str">
        <f ca="1">IFERROR(VALUE(IF(VLOOKUP($A106,数出表_Excel!$A$6:$T$150,COLUMN()/2+1,FALSE)=0,"",VLOOKUP($A106,数出表_Excel!$A$6:$T$150,COLUMN()/2+1,FALSE))),"")</f>
        <v/>
      </c>
      <c r="G106" s="79"/>
      <c r="H106" s="114" t="str">
        <f ca="1">IFERROR(VALUE(IF(VLOOKUP($A106,数出表_Excel!$A$6:$T$150,COLUMN()/2+1,FALSE)=0,"",VLOOKUP($A106,数出表_Excel!$A$6:$T$150,COLUMN()/2+1,FALSE))),"")</f>
        <v/>
      </c>
      <c r="I106" s="79"/>
      <c r="J106" s="114" t="str">
        <f ca="1">IFERROR(VALUE(IF(VLOOKUP($A106,数出表_Excel!$A$6:$T$150,COLUMN()/2+1,FALSE)=0,"",VLOOKUP($A106,数出表_Excel!$A$6:$T$150,COLUMN()/2+1,FALSE))),"")</f>
        <v/>
      </c>
      <c r="K106" s="79"/>
      <c r="L106" s="116" t="str">
        <f ca="1">IFERROR(VALUE(IF(VLOOKUP($A106,数出表_Excel!$A$6:$T$150,COLUMN()/2+1,FALSE)=0,"",VLOOKUP($A106,数出表_Excel!$A$6:$T$150,COLUMN()/2+1,FALSE))),"")</f>
        <v/>
      </c>
      <c r="M106" s="79"/>
      <c r="N106" s="114" t="str">
        <f ca="1">IFERROR(VALUE(IF(VLOOKUP($A106,数出表_Excel!$A$6:$T$150,COLUMN()/2+1,FALSE)=0,"",VLOOKUP($A106,数出表_Excel!$A$6:$T$150,COLUMN()/2+1,FALSE))),"")</f>
        <v/>
      </c>
      <c r="O106" s="79"/>
      <c r="P106" s="114" t="str">
        <f ca="1">IFERROR(VALUE(IF(VLOOKUP($A106,数出表_Excel!$A$6:$T$150,COLUMN()/2+1,FALSE)=0,"",VLOOKUP($A106,数出表_Excel!$A$6:$T$150,COLUMN()/2+1,FALSE))),"")</f>
        <v/>
      </c>
      <c r="Q106" s="79"/>
      <c r="R106" s="114" t="str">
        <f ca="1">IFERROR(VALUE(IF(VLOOKUP($A106,数出表_Excel!$A$6:$T$150,COLUMN()/2+1,FALSE)=0,"",VLOOKUP($A106,数出表_Excel!$A$6:$T$150,COLUMN()/2+1,FALSE))),"")</f>
        <v/>
      </c>
      <c r="S106" s="79"/>
      <c r="T106" s="114" t="str">
        <f ca="1">IFERROR(VALUE(IF(VLOOKUP($A106,数出表_Excel!$A$6:$T$150,COLUMN()/2+1,FALSE)=0,"",VLOOKUP($A106,数出表_Excel!$A$6:$T$150,COLUMN()/2+1,FALSE))),"")</f>
        <v/>
      </c>
      <c r="U106" s="79"/>
      <c r="V106" s="116" t="str">
        <f ca="1">IFERROR(VALUE(IF(VLOOKUP($A106,数出表_Excel!$A$6:$T$150,COLUMN()/2+1,FALSE)=0,"",VLOOKUP($A106,数出表_Excel!$A$6:$T$150,COLUMN()/2+1,FALSE))),"")</f>
        <v/>
      </c>
      <c r="W106" s="79"/>
      <c r="X106" s="116" t="str">
        <f ca="1">IFERROR(VALUE(IF(VLOOKUP($A106,数出表_Excel!$A$6:$T$150,COLUMN()/2+1,FALSE)=0,"",VLOOKUP($A106,数出表_Excel!$A$6:$T$150,COLUMN()/2+1,FALSE))),"")</f>
        <v/>
      </c>
      <c r="Y106" s="79"/>
      <c r="Z106" s="116" t="str">
        <f ca="1">IFERROR(VALUE(IF(VLOOKUP($A106,数出表_Excel!$A$6:$T$150,COLUMN()/2+1,FALSE)=0,"",VLOOKUP($A106,数出表_Excel!$A$6:$T$150,COLUMN()/2+1,FALSE))),"")</f>
        <v/>
      </c>
      <c r="AA106" s="117"/>
      <c r="AB106" s="115" t="str">
        <f ca="1">IFERROR(VALUE(IF(VLOOKUP($A106,数出表_Excel!$A$6:$T$150,COLUMN()/2+1,FALSE)=0,"",VLOOKUP($A106,数出表_Excel!$A$6:$T$150,COLUMN()/2+1,FALSE))),"")</f>
        <v/>
      </c>
      <c r="AC106" s="79"/>
      <c r="AD106" s="116" t="str">
        <f ca="1">IFERROR(VALUE(IF(VLOOKUP($A106,数出表_Excel!$A$6:$T$150,COLUMN()/2+1,FALSE)=0,"",VLOOKUP($A106,数出表_Excel!$A$6:$T$150,COLUMN()/2+1,FALSE))),"")</f>
        <v/>
      </c>
      <c r="AE106" s="79"/>
      <c r="AF106" s="116" t="str">
        <f ca="1">IFERROR(VALUE(IF(VLOOKUP($A106,数出表_Excel!$A$6:$T$150,COLUMN()/2+1,FALSE)=0,"",VLOOKUP($A106,数出表_Excel!$A$6:$T$150,COLUMN()/2+1,FALSE))),"")</f>
        <v/>
      </c>
      <c r="AG106" s="79"/>
      <c r="AH106" s="116" t="str">
        <f ca="1">IFERROR(VALUE(IF(VLOOKUP($A106,数出表_Excel!$A$6:$T$150,COLUMN()/2+1,FALSE)=0,"",VLOOKUP($A106,数出表_Excel!$A$6:$T$150,COLUMN()/2+1,FALSE))),"")</f>
        <v/>
      </c>
      <c r="AI106" s="117"/>
      <c r="AJ106" s="115" t="str">
        <f ca="1">IFERROR(VALUE(IF(VLOOKUP($A106,数出表_Excel!$A$6:$T$150,COLUMN()/2+1,FALSE)=0,"",VLOOKUP($A106,数出表_Excel!$A$6:$T$150,COLUMN()/2+1,FALSE))),"")</f>
        <v/>
      </c>
      <c r="AK106" s="79"/>
      <c r="AL106" s="83" t="e">
        <f ca="1">IF(A106&lt;&gt;"",
IF(VLOOKUP($A106,数出表_Excel!$A$6:$T$150,COLUMN()/2+1,FALSE)=0,"",VLOOKUP($A106,数出表_Excel!$A$6:$T$150,COLUMN()/2+1,FALSE)),"")</f>
        <v>#N/A</v>
      </c>
      <c r="AM106" s="164" t="e">
        <f>数出表_Excel!V106</f>
        <v>#N/A</v>
      </c>
      <c r="AN106" s="165" t="e">
        <f>数出表_Excel!W106</f>
        <v>#N/A</v>
      </c>
    </row>
    <row r="107" spans="1:40" ht="16.2" customHeight="1">
      <c r="A107" s="127" t="e">
        <f t="array" aca="1" ref="A107" ca="1">IF(OR(COUNTIF(A105,"*1000*"),COUNTIF(A105,"")),"",INDEX(貼り付け用!$A1:$A200,MATCH(A105,貼り付け用!$A1:$A200,0)+2,0))</f>
        <v>#N/A</v>
      </c>
      <c r="B107" s="80" t="str">
        <f ca="1">IFERROR(VALUE(IF(VLOOKUP($A107,数出表_Excel!$A$6:$T$150,COLUMN()/2+1,FALSE)=0,"",VLOOKUP($A107,数出表_Excel!$A$6:$T$150,COLUMN()/2+1,FALSE))),"")</f>
        <v/>
      </c>
      <c r="C107" s="80"/>
      <c r="D107" s="80" t="str">
        <f ca="1">IFERROR(VALUE(IF(VLOOKUP($A107,数出表_Excel!$A$6:$T$150,COLUMN()/2+1,FALSE)=0,"",VLOOKUP($A107,数出表_Excel!$A$6:$T$150,COLUMN()/2+1,FALSE))),"")</f>
        <v/>
      </c>
      <c r="E107" s="80"/>
      <c r="F107" s="84" t="str">
        <f ca="1">IFERROR(VALUE(IF(VLOOKUP($A107,数出表_Excel!$A$6:$T$150,COLUMN()/2+1,FALSE)=0,"",VLOOKUP($A107,数出表_Excel!$A$6:$T$150,COLUMN()/2+1,FALSE))),"")</f>
        <v/>
      </c>
      <c r="G107" s="80"/>
      <c r="H107" s="80" t="str">
        <f ca="1">IFERROR(VALUE(IF(VLOOKUP($A107,数出表_Excel!$A$6:$T$150,COLUMN()/2+1,FALSE)=0,"",VLOOKUP($A107,数出表_Excel!$A$6:$T$150,COLUMN()/2+1,FALSE))),"")</f>
        <v/>
      </c>
      <c r="I107" s="80"/>
      <c r="J107" s="80" t="str">
        <f ca="1">IFERROR(VALUE(IF(VLOOKUP($A107,数出表_Excel!$A$6:$T$150,COLUMN()/2+1,FALSE)=0,"",VLOOKUP($A107,数出表_Excel!$A$6:$T$150,COLUMN()/2+1,FALSE))),"")</f>
        <v/>
      </c>
      <c r="K107" s="80"/>
      <c r="L107" s="84" t="str">
        <f ca="1">IFERROR(VALUE(IF(VLOOKUP($A107,数出表_Excel!$A$6:$T$150,COLUMN()/2+1,FALSE)=0,"",VLOOKUP($A107,数出表_Excel!$A$6:$T$150,COLUMN()/2+1,FALSE))),"")</f>
        <v/>
      </c>
      <c r="M107" s="80"/>
      <c r="N107" s="80" t="str">
        <f ca="1">IFERROR(VALUE(IF(VLOOKUP($A107,数出表_Excel!$A$6:$T$150,COLUMN()/2+1,FALSE)=0,"",VLOOKUP($A107,数出表_Excel!$A$6:$T$150,COLUMN()/2+1,FALSE))),"")</f>
        <v/>
      </c>
      <c r="O107" s="80"/>
      <c r="P107" s="80" t="str">
        <f ca="1">IFERROR(VALUE(IF(VLOOKUP($A107,数出表_Excel!$A$6:$T$150,COLUMN()/2+1,FALSE)=0,"",VLOOKUP($A107,数出表_Excel!$A$6:$T$150,COLUMN()/2+1,FALSE))),"")</f>
        <v/>
      </c>
      <c r="Q107" s="80"/>
      <c r="R107" s="80" t="str">
        <f ca="1">IFERROR(VALUE(IF(VLOOKUP($A107,数出表_Excel!$A$6:$T$150,COLUMN()/2+1,FALSE)=0,"",VLOOKUP($A107,数出表_Excel!$A$6:$T$150,COLUMN()/2+1,FALSE))),"")</f>
        <v/>
      </c>
      <c r="S107" s="80"/>
      <c r="T107" s="80" t="str">
        <f ca="1">IFERROR(VALUE(IF(VLOOKUP($A107,数出表_Excel!$A$6:$T$150,COLUMN()/2+1,FALSE)=0,"",VLOOKUP($A107,数出表_Excel!$A$6:$T$150,COLUMN()/2+1,FALSE))),"")</f>
        <v/>
      </c>
      <c r="U107" s="80"/>
      <c r="V107" s="84" t="str">
        <f ca="1">IFERROR(VALUE(IF(VLOOKUP($A107,数出表_Excel!$A$6:$T$150,COLUMN()/2+1,FALSE)=0,"",VLOOKUP($A107,数出表_Excel!$A$6:$T$150,COLUMN()/2+1,FALSE))),"")</f>
        <v/>
      </c>
      <c r="W107" s="80"/>
      <c r="X107" s="84" t="str">
        <f ca="1">IFERROR(VALUE(IF(VLOOKUP($A107,数出表_Excel!$A$6:$T$150,COLUMN()/2+1,FALSE)=0,"",VLOOKUP($A107,数出表_Excel!$A$6:$T$150,COLUMN()/2+1,FALSE))),"")</f>
        <v/>
      </c>
      <c r="Y107" s="80"/>
      <c r="Z107" s="84" t="str">
        <f ca="1">IFERROR(VALUE(IF(VLOOKUP($A107,数出表_Excel!$A$6:$T$150,COLUMN()/2+1,FALSE)=0,"",VLOOKUP($A107,数出表_Excel!$A$6:$T$150,COLUMN()/2+1,FALSE))),"")</f>
        <v/>
      </c>
      <c r="AA107" s="118"/>
      <c r="AB107" s="85" t="str">
        <f ca="1">IFERROR(VALUE(IF(VLOOKUP($A107,数出表_Excel!$A$6:$T$150,COLUMN()/2+1,FALSE)=0,"",VLOOKUP($A107,数出表_Excel!$A$6:$T$150,COLUMN()/2+1,FALSE))),"")</f>
        <v/>
      </c>
      <c r="AC107" s="80"/>
      <c r="AD107" s="84" t="str">
        <f ca="1">IFERROR(VALUE(IF(VLOOKUP($A107,数出表_Excel!$A$6:$T$150,COLUMN()/2+1,FALSE)=0,"",VLOOKUP($A107,数出表_Excel!$A$6:$T$150,COLUMN()/2+1,FALSE))),"")</f>
        <v/>
      </c>
      <c r="AE107" s="80"/>
      <c r="AF107" s="84" t="str">
        <f ca="1">IFERROR(VALUE(IF(VLOOKUP($A107,数出表_Excel!$A$6:$T$150,COLUMN()/2+1,FALSE)=0,"",VLOOKUP($A107,数出表_Excel!$A$6:$T$150,COLUMN()/2+1,FALSE))),"")</f>
        <v/>
      </c>
      <c r="AG107" s="80"/>
      <c r="AH107" s="84" t="str">
        <f ca="1">IFERROR(VALUE(IF(VLOOKUP($A107,数出表_Excel!$A$6:$T$150,COLUMN()/2+1,FALSE)=0,"",VLOOKUP($A107,数出表_Excel!$A$6:$T$150,COLUMN()/2+1,FALSE))),"")</f>
        <v/>
      </c>
      <c r="AI107" s="118"/>
      <c r="AJ107" s="85" t="str">
        <f ca="1">IFERROR(VALUE(IF(VLOOKUP($A107,数出表_Excel!$A$6:$T$150,COLUMN()/2+1,FALSE)=0,"",VLOOKUP($A107,数出表_Excel!$A$6:$T$150,COLUMN()/2+1,FALSE))),"")</f>
        <v/>
      </c>
      <c r="AK107" s="80"/>
      <c r="AL107" s="86" t="e">
        <f ca="1">IF(A107&lt;&gt;"",
IF(VLOOKUP($A107,数出表_Excel!$A$6:$T$150,COLUMN()/2+1,FALSE)=0,"",VLOOKUP($A107,数出表_Excel!$A$6:$T$150,COLUMN()/2+1,FALSE)),"")</f>
        <v>#N/A</v>
      </c>
      <c r="AM107" s="166" t="e">
        <f>数出表_Excel!V107</f>
        <v>#N/A</v>
      </c>
      <c r="AN107" s="167" t="e">
        <f>数出表_Excel!W107</f>
        <v>#N/A</v>
      </c>
    </row>
    <row r="108" spans="1:40" ht="16.2" customHeight="1">
      <c r="A108" s="126" t="e">
        <f t="array" aca="1" ref="A108" ca="1">IF(OR(COUNTIF(A106,"*10002*"),COUNTIF(A106,"")),"",INDEX(貼り付け用!$A1:$A200,MATCH(A106,貼り付け用!$A1:$A200,0)+2,0))</f>
        <v>#N/A</v>
      </c>
      <c r="B108" s="114" t="str">
        <f ca="1">IFERROR(VALUE(IF(VLOOKUP($A108,数出表_Excel!$A$6:$T$150,COLUMN()/2+1,FALSE)=0,"",VLOOKUP($A108,数出表_Excel!$A$6:$T$150,COLUMN()/2+1,FALSE))),"")</f>
        <v/>
      </c>
      <c r="C108" s="79"/>
      <c r="D108" s="114" t="str">
        <f ca="1">IFERROR(VALUE(IF(VLOOKUP($A108,数出表_Excel!$A$6:$T$150,COLUMN()/2+1,FALSE)=0,"",VLOOKUP($A108,数出表_Excel!$A$6:$T$150,COLUMN()/2+1,FALSE))),"")</f>
        <v/>
      </c>
      <c r="E108" s="79"/>
      <c r="F108" s="116" t="str">
        <f ca="1">IFERROR(VALUE(IF(VLOOKUP($A108,数出表_Excel!$A$6:$T$150,COLUMN()/2+1,FALSE)=0,"",VLOOKUP($A108,数出表_Excel!$A$6:$T$150,COLUMN()/2+1,FALSE))),"")</f>
        <v/>
      </c>
      <c r="G108" s="79"/>
      <c r="H108" s="114" t="str">
        <f ca="1">IFERROR(VALUE(IF(VLOOKUP($A108,数出表_Excel!$A$6:$T$150,COLUMN()/2+1,FALSE)=0,"",VLOOKUP($A108,数出表_Excel!$A$6:$T$150,COLUMN()/2+1,FALSE))),"")</f>
        <v/>
      </c>
      <c r="I108" s="79"/>
      <c r="J108" s="114" t="str">
        <f ca="1">IFERROR(VALUE(IF(VLOOKUP($A108,数出表_Excel!$A$6:$T$150,COLUMN()/2+1,FALSE)=0,"",VLOOKUP($A108,数出表_Excel!$A$6:$T$150,COLUMN()/2+1,FALSE))),"")</f>
        <v/>
      </c>
      <c r="K108" s="79"/>
      <c r="L108" s="116" t="str">
        <f ca="1">IFERROR(VALUE(IF(VLOOKUP($A108,数出表_Excel!$A$6:$T$150,COLUMN()/2+1,FALSE)=0,"",VLOOKUP($A108,数出表_Excel!$A$6:$T$150,COLUMN()/2+1,FALSE))),"")</f>
        <v/>
      </c>
      <c r="M108" s="79"/>
      <c r="N108" s="114" t="str">
        <f ca="1">IFERROR(VALUE(IF(VLOOKUP($A108,数出表_Excel!$A$6:$T$150,COLUMN()/2+1,FALSE)=0,"",VLOOKUP($A108,数出表_Excel!$A$6:$T$150,COLUMN()/2+1,FALSE))),"")</f>
        <v/>
      </c>
      <c r="O108" s="79"/>
      <c r="P108" s="114" t="str">
        <f ca="1">IFERROR(VALUE(IF(VLOOKUP($A108,数出表_Excel!$A$6:$T$150,COLUMN()/2+1,FALSE)=0,"",VLOOKUP($A108,数出表_Excel!$A$6:$T$150,COLUMN()/2+1,FALSE))),"")</f>
        <v/>
      </c>
      <c r="Q108" s="79"/>
      <c r="R108" s="114" t="str">
        <f ca="1">IFERROR(VALUE(IF(VLOOKUP($A108,数出表_Excel!$A$6:$T$150,COLUMN()/2+1,FALSE)=0,"",VLOOKUP($A108,数出表_Excel!$A$6:$T$150,COLUMN()/2+1,FALSE))),"")</f>
        <v/>
      </c>
      <c r="S108" s="79"/>
      <c r="T108" s="114" t="str">
        <f ca="1">IFERROR(VALUE(IF(VLOOKUP($A108,数出表_Excel!$A$6:$T$150,COLUMN()/2+1,FALSE)=0,"",VLOOKUP($A108,数出表_Excel!$A$6:$T$150,COLUMN()/2+1,FALSE))),"")</f>
        <v/>
      </c>
      <c r="U108" s="79"/>
      <c r="V108" s="116" t="str">
        <f ca="1">IFERROR(VALUE(IF(VLOOKUP($A108,数出表_Excel!$A$6:$T$150,COLUMN()/2+1,FALSE)=0,"",VLOOKUP($A108,数出表_Excel!$A$6:$T$150,COLUMN()/2+1,FALSE))),"")</f>
        <v/>
      </c>
      <c r="W108" s="79"/>
      <c r="X108" s="116" t="str">
        <f ca="1">IFERROR(VALUE(IF(VLOOKUP($A108,数出表_Excel!$A$6:$T$150,COLUMN()/2+1,FALSE)=0,"",VLOOKUP($A108,数出表_Excel!$A$6:$T$150,COLUMN()/2+1,FALSE))),"")</f>
        <v/>
      </c>
      <c r="Y108" s="79"/>
      <c r="Z108" s="116" t="str">
        <f ca="1">IFERROR(VALUE(IF(VLOOKUP($A108,数出表_Excel!$A$6:$T$150,COLUMN()/2+1,FALSE)=0,"",VLOOKUP($A108,数出表_Excel!$A$6:$T$150,COLUMN()/2+1,FALSE))),"")</f>
        <v/>
      </c>
      <c r="AA108" s="117"/>
      <c r="AB108" s="115" t="str">
        <f ca="1">IFERROR(VALUE(IF(VLOOKUP($A108,数出表_Excel!$A$6:$T$150,COLUMN()/2+1,FALSE)=0,"",VLOOKUP($A108,数出表_Excel!$A$6:$T$150,COLUMN()/2+1,FALSE))),"")</f>
        <v/>
      </c>
      <c r="AC108" s="79"/>
      <c r="AD108" s="116" t="str">
        <f ca="1">IFERROR(VALUE(IF(VLOOKUP($A108,数出表_Excel!$A$6:$T$150,COLUMN()/2+1,FALSE)=0,"",VLOOKUP($A108,数出表_Excel!$A$6:$T$150,COLUMN()/2+1,FALSE))),"")</f>
        <v/>
      </c>
      <c r="AE108" s="79"/>
      <c r="AF108" s="116" t="str">
        <f ca="1">IFERROR(VALUE(IF(VLOOKUP($A108,数出表_Excel!$A$6:$T$150,COLUMN()/2+1,FALSE)=0,"",VLOOKUP($A108,数出表_Excel!$A$6:$T$150,COLUMN()/2+1,FALSE))),"")</f>
        <v/>
      </c>
      <c r="AG108" s="79"/>
      <c r="AH108" s="116" t="str">
        <f ca="1">IFERROR(VALUE(IF(VLOOKUP($A108,数出表_Excel!$A$6:$T$150,COLUMN()/2+1,FALSE)=0,"",VLOOKUP($A108,数出表_Excel!$A$6:$T$150,COLUMN()/2+1,FALSE))),"")</f>
        <v/>
      </c>
      <c r="AI108" s="117"/>
      <c r="AJ108" s="115" t="str">
        <f ca="1">IFERROR(VALUE(IF(VLOOKUP($A108,数出表_Excel!$A$6:$T$150,COLUMN()/2+1,FALSE)=0,"",VLOOKUP($A108,数出表_Excel!$A$6:$T$150,COLUMN()/2+1,FALSE))),"")</f>
        <v/>
      </c>
      <c r="AK108" s="79"/>
      <c r="AL108" s="83" t="e">
        <f ca="1">IF(A108&lt;&gt;"",
IF(VLOOKUP($A108,数出表_Excel!$A$6:$T$150,COLUMN()/2+1,FALSE)=0,"",VLOOKUP($A108,数出表_Excel!$A$6:$T$150,COLUMN()/2+1,FALSE)),"")</f>
        <v>#N/A</v>
      </c>
      <c r="AM108" s="164" t="e">
        <f>数出表_Excel!V108</f>
        <v>#N/A</v>
      </c>
      <c r="AN108" s="165" t="e">
        <f>数出表_Excel!W108</f>
        <v>#N/A</v>
      </c>
    </row>
    <row r="109" spans="1:40" ht="16.2" customHeight="1">
      <c r="A109" s="127" t="e">
        <f t="array" aca="1" ref="A109" ca="1">IF(OR(COUNTIF(A107,"*1000*"),COUNTIF(A107,"")),"",INDEX(貼り付け用!$A1:$A200,MATCH(A107,貼り付け用!$A1:$A200,0)+2,0))</f>
        <v>#N/A</v>
      </c>
      <c r="B109" s="80" t="str">
        <f ca="1">IFERROR(VALUE(IF(VLOOKUP($A109,数出表_Excel!$A$6:$T$150,COLUMN()/2+1,FALSE)=0,"",VLOOKUP($A109,数出表_Excel!$A$6:$T$150,COLUMN()/2+1,FALSE))),"")</f>
        <v/>
      </c>
      <c r="C109" s="80"/>
      <c r="D109" s="80" t="str">
        <f ca="1">IFERROR(VALUE(IF(VLOOKUP($A109,数出表_Excel!$A$6:$T$150,COLUMN()/2+1,FALSE)=0,"",VLOOKUP($A109,数出表_Excel!$A$6:$T$150,COLUMN()/2+1,FALSE))),"")</f>
        <v/>
      </c>
      <c r="E109" s="80"/>
      <c r="F109" s="84" t="str">
        <f ca="1">IFERROR(VALUE(IF(VLOOKUP($A109,数出表_Excel!$A$6:$T$150,COLUMN()/2+1,FALSE)=0,"",VLOOKUP($A109,数出表_Excel!$A$6:$T$150,COLUMN()/2+1,FALSE))),"")</f>
        <v/>
      </c>
      <c r="G109" s="80"/>
      <c r="H109" s="80" t="str">
        <f ca="1">IFERROR(VALUE(IF(VLOOKUP($A109,数出表_Excel!$A$6:$T$150,COLUMN()/2+1,FALSE)=0,"",VLOOKUP($A109,数出表_Excel!$A$6:$T$150,COLUMN()/2+1,FALSE))),"")</f>
        <v/>
      </c>
      <c r="I109" s="80"/>
      <c r="J109" s="80" t="str">
        <f ca="1">IFERROR(VALUE(IF(VLOOKUP($A109,数出表_Excel!$A$6:$T$150,COLUMN()/2+1,FALSE)=0,"",VLOOKUP($A109,数出表_Excel!$A$6:$T$150,COLUMN()/2+1,FALSE))),"")</f>
        <v/>
      </c>
      <c r="K109" s="80"/>
      <c r="L109" s="84" t="str">
        <f ca="1">IFERROR(VALUE(IF(VLOOKUP($A109,数出表_Excel!$A$6:$T$150,COLUMN()/2+1,FALSE)=0,"",VLOOKUP($A109,数出表_Excel!$A$6:$T$150,COLUMN()/2+1,FALSE))),"")</f>
        <v/>
      </c>
      <c r="M109" s="80"/>
      <c r="N109" s="80" t="str">
        <f ca="1">IFERROR(VALUE(IF(VLOOKUP($A109,数出表_Excel!$A$6:$T$150,COLUMN()/2+1,FALSE)=0,"",VLOOKUP($A109,数出表_Excel!$A$6:$T$150,COLUMN()/2+1,FALSE))),"")</f>
        <v/>
      </c>
      <c r="O109" s="80"/>
      <c r="P109" s="80" t="str">
        <f ca="1">IFERROR(VALUE(IF(VLOOKUP($A109,数出表_Excel!$A$6:$T$150,COLUMN()/2+1,FALSE)=0,"",VLOOKUP($A109,数出表_Excel!$A$6:$T$150,COLUMN()/2+1,FALSE))),"")</f>
        <v/>
      </c>
      <c r="Q109" s="80"/>
      <c r="R109" s="80" t="str">
        <f ca="1">IFERROR(VALUE(IF(VLOOKUP($A109,数出表_Excel!$A$6:$T$150,COLUMN()/2+1,FALSE)=0,"",VLOOKUP($A109,数出表_Excel!$A$6:$T$150,COLUMN()/2+1,FALSE))),"")</f>
        <v/>
      </c>
      <c r="S109" s="80"/>
      <c r="T109" s="80" t="str">
        <f ca="1">IFERROR(VALUE(IF(VLOOKUP($A109,数出表_Excel!$A$6:$T$150,COLUMN()/2+1,FALSE)=0,"",VLOOKUP($A109,数出表_Excel!$A$6:$T$150,COLUMN()/2+1,FALSE))),"")</f>
        <v/>
      </c>
      <c r="U109" s="80"/>
      <c r="V109" s="84" t="str">
        <f ca="1">IFERROR(VALUE(IF(VLOOKUP($A109,数出表_Excel!$A$6:$T$150,COLUMN()/2+1,FALSE)=0,"",VLOOKUP($A109,数出表_Excel!$A$6:$T$150,COLUMN()/2+1,FALSE))),"")</f>
        <v/>
      </c>
      <c r="W109" s="80"/>
      <c r="X109" s="84" t="str">
        <f ca="1">IFERROR(VALUE(IF(VLOOKUP($A109,数出表_Excel!$A$6:$T$150,COLUMN()/2+1,FALSE)=0,"",VLOOKUP($A109,数出表_Excel!$A$6:$T$150,COLUMN()/2+1,FALSE))),"")</f>
        <v/>
      </c>
      <c r="Y109" s="80"/>
      <c r="Z109" s="84" t="str">
        <f ca="1">IFERROR(VALUE(IF(VLOOKUP($A109,数出表_Excel!$A$6:$T$150,COLUMN()/2+1,FALSE)=0,"",VLOOKUP($A109,数出表_Excel!$A$6:$T$150,COLUMN()/2+1,FALSE))),"")</f>
        <v/>
      </c>
      <c r="AA109" s="118"/>
      <c r="AB109" s="85" t="str">
        <f ca="1">IFERROR(VALUE(IF(VLOOKUP($A109,数出表_Excel!$A$6:$T$150,COLUMN()/2+1,FALSE)=0,"",VLOOKUP($A109,数出表_Excel!$A$6:$T$150,COLUMN()/2+1,FALSE))),"")</f>
        <v/>
      </c>
      <c r="AC109" s="80"/>
      <c r="AD109" s="84" t="str">
        <f ca="1">IFERROR(VALUE(IF(VLOOKUP($A109,数出表_Excel!$A$6:$T$150,COLUMN()/2+1,FALSE)=0,"",VLOOKUP($A109,数出表_Excel!$A$6:$T$150,COLUMN()/2+1,FALSE))),"")</f>
        <v/>
      </c>
      <c r="AE109" s="80"/>
      <c r="AF109" s="84" t="str">
        <f ca="1">IFERROR(VALUE(IF(VLOOKUP($A109,数出表_Excel!$A$6:$T$150,COLUMN()/2+1,FALSE)=0,"",VLOOKUP($A109,数出表_Excel!$A$6:$T$150,COLUMN()/2+1,FALSE))),"")</f>
        <v/>
      </c>
      <c r="AG109" s="80"/>
      <c r="AH109" s="84" t="str">
        <f ca="1">IFERROR(VALUE(IF(VLOOKUP($A109,数出表_Excel!$A$6:$T$150,COLUMN()/2+1,FALSE)=0,"",VLOOKUP($A109,数出表_Excel!$A$6:$T$150,COLUMN()/2+1,FALSE))),"")</f>
        <v/>
      </c>
      <c r="AI109" s="118"/>
      <c r="AJ109" s="85" t="str">
        <f ca="1">IFERROR(VALUE(IF(VLOOKUP($A109,数出表_Excel!$A$6:$T$150,COLUMN()/2+1,FALSE)=0,"",VLOOKUP($A109,数出表_Excel!$A$6:$T$150,COLUMN()/2+1,FALSE))),"")</f>
        <v/>
      </c>
      <c r="AK109" s="80"/>
      <c r="AL109" s="86" t="e">
        <f ca="1">IF(A109&lt;&gt;"",
IF(VLOOKUP($A109,数出表_Excel!$A$6:$T$150,COLUMN()/2+1,FALSE)=0,"",VLOOKUP($A109,数出表_Excel!$A$6:$T$150,COLUMN()/2+1,FALSE)),"")</f>
        <v>#N/A</v>
      </c>
      <c r="AM109" s="166" t="e">
        <f>数出表_Excel!V109</f>
        <v>#N/A</v>
      </c>
      <c r="AN109" s="167" t="e">
        <f>数出表_Excel!W109</f>
        <v>#N/A</v>
      </c>
    </row>
    <row r="110" spans="1:40" ht="16.2" customHeight="1">
      <c r="A110" s="126" t="e">
        <f t="array" aca="1" ref="A110" ca="1">IF(OR(COUNTIF(A108,"*10002*"),COUNTIF(A108,"")),"",INDEX(貼り付け用!$A1:$A200,MATCH(A108,貼り付け用!$A1:$A200,0)+2,0))</f>
        <v>#N/A</v>
      </c>
      <c r="B110" s="114" t="str">
        <f ca="1">IFERROR(VALUE(IF(VLOOKUP($A110,数出表_Excel!$A$6:$T$150,COLUMN()/2+1,FALSE)=0,"",VLOOKUP($A110,数出表_Excel!$A$6:$T$150,COLUMN()/2+1,FALSE))),"")</f>
        <v/>
      </c>
      <c r="C110" s="79"/>
      <c r="D110" s="114" t="str">
        <f ca="1">IFERROR(VALUE(IF(VLOOKUP($A110,数出表_Excel!$A$6:$T$150,COLUMN()/2+1,FALSE)=0,"",VLOOKUP($A110,数出表_Excel!$A$6:$T$150,COLUMN()/2+1,FALSE))),"")</f>
        <v/>
      </c>
      <c r="E110" s="79"/>
      <c r="F110" s="116" t="str">
        <f ca="1">IFERROR(VALUE(IF(VLOOKUP($A110,数出表_Excel!$A$6:$T$150,COLUMN()/2+1,FALSE)=0,"",VLOOKUP($A110,数出表_Excel!$A$6:$T$150,COLUMN()/2+1,FALSE))),"")</f>
        <v/>
      </c>
      <c r="G110" s="79"/>
      <c r="H110" s="114" t="str">
        <f ca="1">IFERROR(VALUE(IF(VLOOKUP($A110,数出表_Excel!$A$6:$T$150,COLUMN()/2+1,FALSE)=0,"",VLOOKUP($A110,数出表_Excel!$A$6:$T$150,COLUMN()/2+1,FALSE))),"")</f>
        <v/>
      </c>
      <c r="I110" s="79"/>
      <c r="J110" s="114" t="str">
        <f ca="1">IFERROR(VALUE(IF(VLOOKUP($A110,数出表_Excel!$A$6:$T$150,COLUMN()/2+1,FALSE)=0,"",VLOOKUP($A110,数出表_Excel!$A$6:$T$150,COLUMN()/2+1,FALSE))),"")</f>
        <v/>
      </c>
      <c r="K110" s="79"/>
      <c r="L110" s="116" t="str">
        <f ca="1">IFERROR(VALUE(IF(VLOOKUP($A110,数出表_Excel!$A$6:$T$150,COLUMN()/2+1,FALSE)=0,"",VLOOKUP($A110,数出表_Excel!$A$6:$T$150,COLUMN()/2+1,FALSE))),"")</f>
        <v/>
      </c>
      <c r="M110" s="79"/>
      <c r="N110" s="114" t="str">
        <f ca="1">IFERROR(VALUE(IF(VLOOKUP($A110,数出表_Excel!$A$6:$T$150,COLUMN()/2+1,FALSE)=0,"",VLOOKUP($A110,数出表_Excel!$A$6:$T$150,COLUMN()/2+1,FALSE))),"")</f>
        <v/>
      </c>
      <c r="O110" s="79"/>
      <c r="P110" s="114" t="str">
        <f ca="1">IFERROR(VALUE(IF(VLOOKUP($A110,数出表_Excel!$A$6:$T$150,COLUMN()/2+1,FALSE)=0,"",VLOOKUP($A110,数出表_Excel!$A$6:$T$150,COLUMN()/2+1,FALSE))),"")</f>
        <v/>
      </c>
      <c r="Q110" s="79"/>
      <c r="R110" s="114" t="str">
        <f ca="1">IFERROR(VALUE(IF(VLOOKUP($A110,数出表_Excel!$A$6:$T$150,COLUMN()/2+1,FALSE)=0,"",VLOOKUP($A110,数出表_Excel!$A$6:$T$150,COLUMN()/2+1,FALSE))),"")</f>
        <v/>
      </c>
      <c r="S110" s="79"/>
      <c r="T110" s="114" t="str">
        <f ca="1">IFERROR(VALUE(IF(VLOOKUP($A110,数出表_Excel!$A$6:$T$150,COLUMN()/2+1,FALSE)=0,"",VLOOKUP($A110,数出表_Excel!$A$6:$T$150,COLUMN()/2+1,FALSE))),"")</f>
        <v/>
      </c>
      <c r="U110" s="79"/>
      <c r="V110" s="116" t="str">
        <f ca="1">IFERROR(VALUE(IF(VLOOKUP($A110,数出表_Excel!$A$6:$T$150,COLUMN()/2+1,FALSE)=0,"",VLOOKUP($A110,数出表_Excel!$A$6:$T$150,COLUMN()/2+1,FALSE))),"")</f>
        <v/>
      </c>
      <c r="W110" s="79"/>
      <c r="X110" s="116" t="str">
        <f ca="1">IFERROR(VALUE(IF(VLOOKUP($A110,数出表_Excel!$A$6:$T$150,COLUMN()/2+1,FALSE)=0,"",VLOOKUP($A110,数出表_Excel!$A$6:$T$150,COLUMN()/2+1,FALSE))),"")</f>
        <v/>
      </c>
      <c r="Y110" s="79"/>
      <c r="Z110" s="116" t="str">
        <f ca="1">IFERROR(VALUE(IF(VLOOKUP($A110,数出表_Excel!$A$6:$T$150,COLUMN()/2+1,FALSE)=0,"",VLOOKUP($A110,数出表_Excel!$A$6:$T$150,COLUMN()/2+1,FALSE))),"")</f>
        <v/>
      </c>
      <c r="AA110" s="117"/>
      <c r="AB110" s="115" t="str">
        <f ca="1">IFERROR(VALUE(IF(VLOOKUP($A110,数出表_Excel!$A$6:$T$150,COLUMN()/2+1,FALSE)=0,"",VLOOKUP($A110,数出表_Excel!$A$6:$T$150,COLUMN()/2+1,FALSE))),"")</f>
        <v/>
      </c>
      <c r="AC110" s="79"/>
      <c r="AD110" s="116" t="str">
        <f ca="1">IFERROR(VALUE(IF(VLOOKUP($A110,数出表_Excel!$A$6:$T$150,COLUMN()/2+1,FALSE)=0,"",VLOOKUP($A110,数出表_Excel!$A$6:$T$150,COLUMN()/2+1,FALSE))),"")</f>
        <v/>
      </c>
      <c r="AE110" s="79"/>
      <c r="AF110" s="116" t="str">
        <f ca="1">IFERROR(VALUE(IF(VLOOKUP($A110,数出表_Excel!$A$6:$T$150,COLUMN()/2+1,FALSE)=0,"",VLOOKUP($A110,数出表_Excel!$A$6:$T$150,COLUMN()/2+1,FALSE))),"")</f>
        <v/>
      </c>
      <c r="AG110" s="79"/>
      <c r="AH110" s="116" t="str">
        <f ca="1">IFERROR(VALUE(IF(VLOOKUP($A110,数出表_Excel!$A$6:$T$150,COLUMN()/2+1,FALSE)=0,"",VLOOKUP($A110,数出表_Excel!$A$6:$T$150,COLUMN()/2+1,FALSE))),"")</f>
        <v/>
      </c>
      <c r="AI110" s="117"/>
      <c r="AJ110" s="115" t="str">
        <f ca="1">IFERROR(VALUE(IF(VLOOKUP($A110,数出表_Excel!$A$6:$T$150,COLUMN()/2+1,FALSE)=0,"",VLOOKUP($A110,数出表_Excel!$A$6:$T$150,COLUMN()/2+1,FALSE))),"")</f>
        <v/>
      </c>
      <c r="AK110" s="79"/>
      <c r="AL110" s="83" t="e">
        <f ca="1">IF(A110&lt;&gt;"",
IF(VLOOKUP($A110,数出表_Excel!$A$6:$T$150,COLUMN()/2+1,FALSE)=0,"",VLOOKUP($A110,数出表_Excel!$A$6:$T$150,COLUMN()/2+1,FALSE)),"")</f>
        <v>#N/A</v>
      </c>
      <c r="AM110" s="164" t="e">
        <f>数出表_Excel!V110</f>
        <v>#N/A</v>
      </c>
      <c r="AN110" s="165" t="e">
        <f>数出表_Excel!W110</f>
        <v>#N/A</v>
      </c>
    </row>
    <row r="111" spans="1:40" ht="16.2" customHeight="1">
      <c r="A111" s="127" t="e">
        <f t="array" aca="1" ref="A111" ca="1">IF(OR(COUNTIF(A109,"*1000*"),COUNTIF(A109,"")),"",INDEX(貼り付け用!$A1:$A200,MATCH(A109,貼り付け用!$A1:$A200,0)+2,0))</f>
        <v>#N/A</v>
      </c>
      <c r="B111" s="80" t="str">
        <f ca="1">IFERROR(VALUE(IF(VLOOKUP($A111,数出表_Excel!$A$6:$T$150,COLUMN()/2+1,FALSE)=0,"",VLOOKUP($A111,数出表_Excel!$A$6:$T$150,COLUMN()/2+1,FALSE))),"")</f>
        <v/>
      </c>
      <c r="C111" s="80"/>
      <c r="D111" s="80" t="str">
        <f ca="1">IFERROR(VALUE(IF(VLOOKUP($A111,数出表_Excel!$A$6:$T$150,COLUMN()/2+1,FALSE)=0,"",VLOOKUP($A111,数出表_Excel!$A$6:$T$150,COLUMN()/2+1,FALSE))),"")</f>
        <v/>
      </c>
      <c r="E111" s="80"/>
      <c r="F111" s="84" t="str">
        <f ca="1">IFERROR(VALUE(IF(VLOOKUP($A111,数出表_Excel!$A$6:$T$150,COLUMN()/2+1,FALSE)=0,"",VLOOKUP($A111,数出表_Excel!$A$6:$T$150,COLUMN()/2+1,FALSE))),"")</f>
        <v/>
      </c>
      <c r="G111" s="80"/>
      <c r="H111" s="80" t="str">
        <f ca="1">IFERROR(VALUE(IF(VLOOKUP($A111,数出表_Excel!$A$6:$T$150,COLUMN()/2+1,FALSE)=0,"",VLOOKUP($A111,数出表_Excel!$A$6:$T$150,COLUMN()/2+1,FALSE))),"")</f>
        <v/>
      </c>
      <c r="I111" s="80"/>
      <c r="J111" s="80" t="str">
        <f ca="1">IFERROR(VALUE(IF(VLOOKUP($A111,数出表_Excel!$A$6:$T$150,COLUMN()/2+1,FALSE)=0,"",VLOOKUP($A111,数出表_Excel!$A$6:$T$150,COLUMN()/2+1,FALSE))),"")</f>
        <v/>
      </c>
      <c r="K111" s="80"/>
      <c r="L111" s="84" t="str">
        <f ca="1">IFERROR(VALUE(IF(VLOOKUP($A111,数出表_Excel!$A$6:$T$150,COLUMN()/2+1,FALSE)=0,"",VLOOKUP($A111,数出表_Excel!$A$6:$T$150,COLUMN()/2+1,FALSE))),"")</f>
        <v/>
      </c>
      <c r="M111" s="80"/>
      <c r="N111" s="80" t="str">
        <f ca="1">IFERROR(VALUE(IF(VLOOKUP($A111,数出表_Excel!$A$6:$T$150,COLUMN()/2+1,FALSE)=0,"",VLOOKUP($A111,数出表_Excel!$A$6:$T$150,COLUMN()/2+1,FALSE))),"")</f>
        <v/>
      </c>
      <c r="O111" s="80"/>
      <c r="P111" s="80" t="str">
        <f ca="1">IFERROR(VALUE(IF(VLOOKUP($A111,数出表_Excel!$A$6:$T$150,COLUMN()/2+1,FALSE)=0,"",VLOOKUP($A111,数出表_Excel!$A$6:$T$150,COLUMN()/2+1,FALSE))),"")</f>
        <v/>
      </c>
      <c r="Q111" s="80"/>
      <c r="R111" s="80" t="str">
        <f ca="1">IFERROR(VALUE(IF(VLOOKUP($A111,数出表_Excel!$A$6:$T$150,COLUMN()/2+1,FALSE)=0,"",VLOOKUP($A111,数出表_Excel!$A$6:$T$150,COLUMN()/2+1,FALSE))),"")</f>
        <v/>
      </c>
      <c r="S111" s="80"/>
      <c r="T111" s="80" t="str">
        <f ca="1">IFERROR(VALUE(IF(VLOOKUP($A111,数出表_Excel!$A$6:$T$150,COLUMN()/2+1,FALSE)=0,"",VLOOKUP($A111,数出表_Excel!$A$6:$T$150,COLUMN()/2+1,FALSE))),"")</f>
        <v/>
      </c>
      <c r="U111" s="80"/>
      <c r="V111" s="84" t="str">
        <f ca="1">IFERROR(VALUE(IF(VLOOKUP($A111,数出表_Excel!$A$6:$T$150,COLUMN()/2+1,FALSE)=0,"",VLOOKUP($A111,数出表_Excel!$A$6:$T$150,COLUMN()/2+1,FALSE))),"")</f>
        <v/>
      </c>
      <c r="W111" s="80"/>
      <c r="X111" s="84" t="str">
        <f ca="1">IFERROR(VALUE(IF(VLOOKUP($A111,数出表_Excel!$A$6:$T$150,COLUMN()/2+1,FALSE)=0,"",VLOOKUP($A111,数出表_Excel!$A$6:$T$150,COLUMN()/2+1,FALSE))),"")</f>
        <v/>
      </c>
      <c r="Y111" s="80"/>
      <c r="Z111" s="84" t="str">
        <f ca="1">IFERROR(VALUE(IF(VLOOKUP($A111,数出表_Excel!$A$6:$T$150,COLUMN()/2+1,FALSE)=0,"",VLOOKUP($A111,数出表_Excel!$A$6:$T$150,COLUMN()/2+1,FALSE))),"")</f>
        <v/>
      </c>
      <c r="AA111" s="118"/>
      <c r="AB111" s="85" t="str">
        <f ca="1">IFERROR(VALUE(IF(VLOOKUP($A111,数出表_Excel!$A$6:$T$150,COLUMN()/2+1,FALSE)=0,"",VLOOKUP($A111,数出表_Excel!$A$6:$T$150,COLUMN()/2+1,FALSE))),"")</f>
        <v/>
      </c>
      <c r="AC111" s="80"/>
      <c r="AD111" s="84" t="str">
        <f ca="1">IFERROR(VALUE(IF(VLOOKUP($A111,数出表_Excel!$A$6:$T$150,COLUMN()/2+1,FALSE)=0,"",VLOOKUP($A111,数出表_Excel!$A$6:$T$150,COLUMN()/2+1,FALSE))),"")</f>
        <v/>
      </c>
      <c r="AE111" s="80"/>
      <c r="AF111" s="84" t="str">
        <f ca="1">IFERROR(VALUE(IF(VLOOKUP($A111,数出表_Excel!$A$6:$T$150,COLUMN()/2+1,FALSE)=0,"",VLOOKUP($A111,数出表_Excel!$A$6:$T$150,COLUMN()/2+1,FALSE))),"")</f>
        <v/>
      </c>
      <c r="AG111" s="80"/>
      <c r="AH111" s="84" t="str">
        <f ca="1">IFERROR(VALUE(IF(VLOOKUP($A111,数出表_Excel!$A$6:$T$150,COLUMN()/2+1,FALSE)=0,"",VLOOKUP($A111,数出表_Excel!$A$6:$T$150,COLUMN()/2+1,FALSE))),"")</f>
        <v/>
      </c>
      <c r="AI111" s="118"/>
      <c r="AJ111" s="85" t="str">
        <f ca="1">IFERROR(VALUE(IF(VLOOKUP($A111,数出表_Excel!$A$6:$T$150,COLUMN()/2+1,FALSE)=0,"",VLOOKUP($A111,数出表_Excel!$A$6:$T$150,COLUMN()/2+1,FALSE))),"")</f>
        <v/>
      </c>
      <c r="AK111" s="80"/>
      <c r="AL111" s="86" t="e">
        <f ca="1">IF(A111&lt;&gt;"",
IF(VLOOKUP($A111,数出表_Excel!$A$6:$T$150,COLUMN()/2+1,FALSE)=0,"",VLOOKUP($A111,数出表_Excel!$A$6:$T$150,COLUMN()/2+1,FALSE)),"")</f>
        <v>#N/A</v>
      </c>
      <c r="AM111" s="166" t="e">
        <f>数出表_Excel!V111</f>
        <v>#N/A</v>
      </c>
      <c r="AN111" s="167" t="e">
        <f>数出表_Excel!W111</f>
        <v>#N/A</v>
      </c>
    </row>
    <row r="112" spans="1:40" ht="16.2" customHeight="1">
      <c r="A112" s="126" t="e">
        <f t="array" aca="1" ref="A112" ca="1">IF(OR(COUNTIF(A110,"*10002*"),COUNTIF(A110,"")),"",INDEX(貼り付け用!$A1:$A200,MATCH(A110,貼り付け用!$A1:$A200,0)+2,0))</f>
        <v>#N/A</v>
      </c>
      <c r="B112" s="114" t="str">
        <f ca="1">IFERROR(VALUE(IF(VLOOKUP($A112,数出表_Excel!$A$6:$T$150,COLUMN()/2+1,FALSE)=0,"",VLOOKUP($A112,数出表_Excel!$A$6:$T$150,COLUMN()/2+1,FALSE))),"")</f>
        <v/>
      </c>
      <c r="C112" s="79"/>
      <c r="D112" s="114" t="str">
        <f ca="1">IFERROR(VALUE(IF(VLOOKUP($A112,数出表_Excel!$A$6:$T$150,COLUMN()/2+1,FALSE)=0,"",VLOOKUP($A112,数出表_Excel!$A$6:$T$150,COLUMN()/2+1,FALSE))),"")</f>
        <v/>
      </c>
      <c r="E112" s="79"/>
      <c r="F112" s="116" t="str">
        <f ca="1">IFERROR(VALUE(IF(VLOOKUP($A112,数出表_Excel!$A$6:$T$150,COLUMN()/2+1,FALSE)=0,"",VLOOKUP($A112,数出表_Excel!$A$6:$T$150,COLUMN()/2+1,FALSE))),"")</f>
        <v/>
      </c>
      <c r="G112" s="79"/>
      <c r="H112" s="114" t="str">
        <f ca="1">IFERROR(VALUE(IF(VLOOKUP($A112,数出表_Excel!$A$6:$T$150,COLUMN()/2+1,FALSE)=0,"",VLOOKUP($A112,数出表_Excel!$A$6:$T$150,COLUMN()/2+1,FALSE))),"")</f>
        <v/>
      </c>
      <c r="I112" s="79"/>
      <c r="J112" s="114" t="str">
        <f ca="1">IFERROR(VALUE(IF(VLOOKUP($A112,数出表_Excel!$A$6:$T$150,COLUMN()/2+1,FALSE)=0,"",VLOOKUP($A112,数出表_Excel!$A$6:$T$150,COLUMN()/2+1,FALSE))),"")</f>
        <v/>
      </c>
      <c r="K112" s="79"/>
      <c r="L112" s="116" t="str">
        <f ca="1">IFERROR(VALUE(IF(VLOOKUP($A112,数出表_Excel!$A$6:$T$150,COLUMN()/2+1,FALSE)=0,"",VLOOKUP($A112,数出表_Excel!$A$6:$T$150,COLUMN()/2+1,FALSE))),"")</f>
        <v/>
      </c>
      <c r="M112" s="79"/>
      <c r="N112" s="114" t="str">
        <f ca="1">IFERROR(VALUE(IF(VLOOKUP($A112,数出表_Excel!$A$6:$T$150,COLUMN()/2+1,FALSE)=0,"",VLOOKUP($A112,数出表_Excel!$A$6:$T$150,COLUMN()/2+1,FALSE))),"")</f>
        <v/>
      </c>
      <c r="O112" s="79"/>
      <c r="P112" s="114" t="str">
        <f ca="1">IFERROR(VALUE(IF(VLOOKUP($A112,数出表_Excel!$A$6:$T$150,COLUMN()/2+1,FALSE)=0,"",VLOOKUP($A112,数出表_Excel!$A$6:$T$150,COLUMN()/2+1,FALSE))),"")</f>
        <v/>
      </c>
      <c r="Q112" s="79"/>
      <c r="R112" s="114" t="str">
        <f ca="1">IFERROR(VALUE(IF(VLOOKUP($A112,数出表_Excel!$A$6:$T$150,COLUMN()/2+1,FALSE)=0,"",VLOOKUP($A112,数出表_Excel!$A$6:$T$150,COLUMN()/2+1,FALSE))),"")</f>
        <v/>
      </c>
      <c r="S112" s="79"/>
      <c r="T112" s="114" t="str">
        <f ca="1">IFERROR(VALUE(IF(VLOOKUP($A112,数出表_Excel!$A$6:$T$150,COLUMN()/2+1,FALSE)=0,"",VLOOKUP($A112,数出表_Excel!$A$6:$T$150,COLUMN()/2+1,FALSE))),"")</f>
        <v/>
      </c>
      <c r="U112" s="79"/>
      <c r="V112" s="116" t="str">
        <f ca="1">IFERROR(VALUE(IF(VLOOKUP($A112,数出表_Excel!$A$6:$T$150,COLUMN()/2+1,FALSE)=0,"",VLOOKUP($A112,数出表_Excel!$A$6:$T$150,COLUMN()/2+1,FALSE))),"")</f>
        <v/>
      </c>
      <c r="W112" s="79"/>
      <c r="X112" s="116" t="str">
        <f ca="1">IFERROR(VALUE(IF(VLOOKUP($A112,数出表_Excel!$A$6:$T$150,COLUMN()/2+1,FALSE)=0,"",VLOOKUP($A112,数出表_Excel!$A$6:$T$150,COLUMN()/2+1,FALSE))),"")</f>
        <v/>
      </c>
      <c r="Y112" s="79"/>
      <c r="Z112" s="116" t="str">
        <f ca="1">IFERROR(VALUE(IF(VLOOKUP($A112,数出表_Excel!$A$6:$T$150,COLUMN()/2+1,FALSE)=0,"",VLOOKUP($A112,数出表_Excel!$A$6:$T$150,COLUMN()/2+1,FALSE))),"")</f>
        <v/>
      </c>
      <c r="AA112" s="117"/>
      <c r="AB112" s="115" t="str">
        <f ca="1">IFERROR(VALUE(IF(VLOOKUP($A112,数出表_Excel!$A$6:$T$150,COLUMN()/2+1,FALSE)=0,"",VLOOKUP($A112,数出表_Excel!$A$6:$T$150,COLUMN()/2+1,FALSE))),"")</f>
        <v/>
      </c>
      <c r="AC112" s="79"/>
      <c r="AD112" s="116" t="str">
        <f ca="1">IFERROR(VALUE(IF(VLOOKUP($A112,数出表_Excel!$A$6:$T$150,COLUMN()/2+1,FALSE)=0,"",VLOOKUP($A112,数出表_Excel!$A$6:$T$150,COLUMN()/2+1,FALSE))),"")</f>
        <v/>
      </c>
      <c r="AE112" s="79"/>
      <c r="AF112" s="116" t="str">
        <f ca="1">IFERROR(VALUE(IF(VLOOKUP($A112,数出表_Excel!$A$6:$T$150,COLUMN()/2+1,FALSE)=0,"",VLOOKUP($A112,数出表_Excel!$A$6:$T$150,COLUMN()/2+1,FALSE))),"")</f>
        <v/>
      </c>
      <c r="AG112" s="79"/>
      <c r="AH112" s="116" t="str">
        <f ca="1">IFERROR(VALUE(IF(VLOOKUP($A112,数出表_Excel!$A$6:$T$150,COLUMN()/2+1,FALSE)=0,"",VLOOKUP($A112,数出表_Excel!$A$6:$T$150,COLUMN()/2+1,FALSE))),"")</f>
        <v/>
      </c>
      <c r="AI112" s="117"/>
      <c r="AJ112" s="115" t="str">
        <f ca="1">IFERROR(VALUE(IF(VLOOKUP($A112,数出表_Excel!$A$6:$T$150,COLUMN()/2+1,FALSE)=0,"",VLOOKUP($A112,数出表_Excel!$A$6:$T$150,COLUMN()/2+1,FALSE))),"")</f>
        <v/>
      </c>
      <c r="AK112" s="79"/>
      <c r="AL112" s="83" t="e">
        <f ca="1">IF(A112&lt;&gt;"",
IF(VLOOKUP($A112,数出表_Excel!$A$6:$T$150,COLUMN()/2+1,FALSE)=0,"",VLOOKUP($A112,数出表_Excel!$A$6:$T$150,COLUMN()/2+1,FALSE)),"")</f>
        <v>#N/A</v>
      </c>
      <c r="AM112" s="164" t="e">
        <f>数出表_Excel!V112</f>
        <v>#N/A</v>
      </c>
      <c r="AN112" s="165" t="e">
        <f>数出表_Excel!W112</f>
        <v>#N/A</v>
      </c>
    </row>
    <row r="113" spans="1:40" ht="16.2" customHeight="1">
      <c r="A113" s="127" t="e">
        <f t="array" aca="1" ref="A113" ca="1">IF(OR(COUNTIF(A111,"*1000*"),COUNTIF(A111,"")),"",INDEX(貼り付け用!$A1:$A200,MATCH(A111,貼り付け用!$A1:$A200,0)+2,0))</f>
        <v>#N/A</v>
      </c>
      <c r="B113" s="80" t="str">
        <f ca="1">IFERROR(VALUE(IF(VLOOKUP($A113,数出表_Excel!$A$6:$T$150,COLUMN()/2+1,FALSE)=0,"",VLOOKUP($A113,数出表_Excel!$A$6:$T$150,COLUMN()/2+1,FALSE))),"")</f>
        <v/>
      </c>
      <c r="C113" s="80"/>
      <c r="D113" s="80" t="str">
        <f ca="1">IFERROR(VALUE(IF(VLOOKUP($A113,数出表_Excel!$A$6:$T$150,COLUMN()/2+1,FALSE)=0,"",VLOOKUP($A113,数出表_Excel!$A$6:$T$150,COLUMN()/2+1,FALSE))),"")</f>
        <v/>
      </c>
      <c r="E113" s="80"/>
      <c r="F113" s="84" t="str">
        <f ca="1">IFERROR(VALUE(IF(VLOOKUP($A113,数出表_Excel!$A$6:$T$150,COLUMN()/2+1,FALSE)=0,"",VLOOKUP($A113,数出表_Excel!$A$6:$T$150,COLUMN()/2+1,FALSE))),"")</f>
        <v/>
      </c>
      <c r="G113" s="80"/>
      <c r="H113" s="80" t="str">
        <f ca="1">IFERROR(VALUE(IF(VLOOKUP($A113,数出表_Excel!$A$6:$T$150,COLUMN()/2+1,FALSE)=0,"",VLOOKUP($A113,数出表_Excel!$A$6:$T$150,COLUMN()/2+1,FALSE))),"")</f>
        <v/>
      </c>
      <c r="I113" s="80"/>
      <c r="J113" s="80" t="str">
        <f ca="1">IFERROR(VALUE(IF(VLOOKUP($A113,数出表_Excel!$A$6:$T$150,COLUMN()/2+1,FALSE)=0,"",VLOOKUP($A113,数出表_Excel!$A$6:$T$150,COLUMN()/2+1,FALSE))),"")</f>
        <v/>
      </c>
      <c r="K113" s="80"/>
      <c r="L113" s="84" t="str">
        <f ca="1">IFERROR(VALUE(IF(VLOOKUP($A113,数出表_Excel!$A$6:$T$150,COLUMN()/2+1,FALSE)=0,"",VLOOKUP($A113,数出表_Excel!$A$6:$T$150,COLUMN()/2+1,FALSE))),"")</f>
        <v/>
      </c>
      <c r="M113" s="80"/>
      <c r="N113" s="80" t="str">
        <f ca="1">IFERROR(VALUE(IF(VLOOKUP($A113,数出表_Excel!$A$6:$T$150,COLUMN()/2+1,FALSE)=0,"",VLOOKUP($A113,数出表_Excel!$A$6:$T$150,COLUMN()/2+1,FALSE))),"")</f>
        <v/>
      </c>
      <c r="O113" s="80"/>
      <c r="P113" s="80" t="str">
        <f ca="1">IFERROR(VALUE(IF(VLOOKUP($A113,数出表_Excel!$A$6:$T$150,COLUMN()/2+1,FALSE)=0,"",VLOOKUP($A113,数出表_Excel!$A$6:$T$150,COLUMN()/2+1,FALSE))),"")</f>
        <v/>
      </c>
      <c r="Q113" s="80"/>
      <c r="R113" s="80" t="str">
        <f ca="1">IFERROR(VALUE(IF(VLOOKUP($A113,数出表_Excel!$A$6:$T$150,COLUMN()/2+1,FALSE)=0,"",VLOOKUP($A113,数出表_Excel!$A$6:$T$150,COLUMN()/2+1,FALSE))),"")</f>
        <v/>
      </c>
      <c r="S113" s="80"/>
      <c r="T113" s="80" t="str">
        <f ca="1">IFERROR(VALUE(IF(VLOOKUP($A113,数出表_Excel!$A$6:$T$150,COLUMN()/2+1,FALSE)=0,"",VLOOKUP($A113,数出表_Excel!$A$6:$T$150,COLUMN()/2+1,FALSE))),"")</f>
        <v/>
      </c>
      <c r="U113" s="80"/>
      <c r="V113" s="84" t="str">
        <f ca="1">IFERROR(VALUE(IF(VLOOKUP($A113,数出表_Excel!$A$6:$T$150,COLUMN()/2+1,FALSE)=0,"",VLOOKUP($A113,数出表_Excel!$A$6:$T$150,COLUMN()/2+1,FALSE))),"")</f>
        <v/>
      </c>
      <c r="W113" s="80"/>
      <c r="X113" s="84" t="str">
        <f ca="1">IFERROR(VALUE(IF(VLOOKUP($A113,数出表_Excel!$A$6:$T$150,COLUMN()/2+1,FALSE)=0,"",VLOOKUP($A113,数出表_Excel!$A$6:$T$150,COLUMN()/2+1,FALSE))),"")</f>
        <v/>
      </c>
      <c r="Y113" s="80"/>
      <c r="Z113" s="84" t="str">
        <f ca="1">IFERROR(VALUE(IF(VLOOKUP($A113,数出表_Excel!$A$6:$T$150,COLUMN()/2+1,FALSE)=0,"",VLOOKUP($A113,数出表_Excel!$A$6:$T$150,COLUMN()/2+1,FALSE))),"")</f>
        <v/>
      </c>
      <c r="AA113" s="118"/>
      <c r="AB113" s="85" t="str">
        <f ca="1">IFERROR(VALUE(IF(VLOOKUP($A113,数出表_Excel!$A$6:$T$150,COLUMN()/2+1,FALSE)=0,"",VLOOKUP($A113,数出表_Excel!$A$6:$T$150,COLUMN()/2+1,FALSE))),"")</f>
        <v/>
      </c>
      <c r="AC113" s="80"/>
      <c r="AD113" s="84" t="str">
        <f ca="1">IFERROR(VALUE(IF(VLOOKUP($A113,数出表_Excel!$A$6:$T$150,COLUMN()/2+1,FALSE)=0,"",VLOOKUP($A113,数出表_Excel!$A$6:$T$150,COLUMN()/2+1,FALSE))),"")</f>
        <v/>
      </c>
      <c r="AE113" s="80"/>
      <c r="AF113" s="84" t="str">
        <f ca="1">IFERROR(VALUE(IF(VLOOKUP($A113,数出表_Excel!$A$6:$T$150,COLUMN()/2+1,FALSE)=0,"",VLOOKUP($A113,数出表_Excel!$A$6:$T$150,COLUMN()/2+1,FALSE))),"")</f>
        <v/>
      </c>
      <c r="AG113" s="80"/>
      <c r="AH113" s="84" t="str">
        <f ca="1">IFERROR(VALUE(IF(VLOOKUP($A113,数出表_Excel!$A$6:$T$150,COLUMN()/2+1,FALSE)=0,"",VLOOKUP($A113,数出表_Excel!$A$6:$T$150,COLUMN()/2+1,FALSE))),"")</f>
        <v/>
      </c>
      <c r="AI113" s="118"/>
      <c r="AJ113" s="85" t="str">
        <f ca="1">IFERROR(VALUE(IF(VLOOKUP($A113,数出表_Excel!$A$6:$T$150,COLUMN()/2+1,FALSE)=0,"",VLOOKUP($A113,数出表_Excel!$A$6:$T$150,COLUMN()/2+1,FALSE))),"")</f>
        <v/>
      </c>
      <c r="AK113" s="80"/>
      <c r="AL113" s="86" t="e">
        <f ca="1">IF(A113&lt;&gt;"",
IF(VLOOKUP($A113,数出表_Excel!$A$6:$T$150,COLUMN()/2+1,FALSE)=0,"",VLOOKUP($A113,数出表_Excel!$A$6:$T$150,COLUMN()/2+1,FALSE)),"")</f>
        <v>#N/A</v>
      </c>
      <c r="AM113" s="166" t="e">
        <f>数出表_Excel!V113</f>
        <v>#N/A</v>
      </c>
      <c r="AN113" s="167" t="e">
        <f>数出表_Excel!W113</f>
        <v>#N/A</v>
      </c>
    </row>
    <row r="114" spans="1:40" ht="16.2" customHeight="1">
      <c r="A114" s="126" t="e">
        <f t="array" aca="1" ref="A114" ca="1">IF(OR(COUNTIF(A112,"*10002*"),COUNTIF(A112,"")),"",INDEX(貼り付け用!$A1:$A200,MATCH(A112,貼り付け用!$A1:$A200,0)+2,0))</f>
        <v>#N/A</v>
      </c>
      <c r="B114" s="114" t="str">
        <f ca="1">IFERROR(VALUE(IF(VLOOKUP($A114,数出表_Excel!$A$6:$T$150,COLUMN()/2+1,FALSE)=0,"",VLOOKUP($A114,数出表_Excel!$A$6:$T$150,COLUMN()/2+1,FALSE))),"")</f>
        <v/>
      </c>
      <c r="C114" s="79"/>
      <c r="D114" s="114" t="str">
        <f ca="1">IFERROR(VALUE(IF(VLOOKUP($A114,数出表_Excel!$A$6:$T$150,COLUMN()/2+1,FALSE)=0,"",VLOOKUP($A114,数出表_Excel!$A$6:$T$150,COLUMN()/2+1,FALSE))),"")</f>
        <v/>
      </c>
      <c r="E114" s="79"/>
      <c r="F114" s="116" t="str">
        <f ca="1">IFERROR(VALUE(IF(VLOOKUP($A114,数出表_Excel!$A$6:$T$150,COLUMN()/2+1,FALSE)=0,"",VLOOKUP($A114,数出表_Excel!$A$6:$T$150,COLUMN()/2+1,FALSE))),"")</f>
        <v/>
      </c>
      <c r="G114" s="79"/>
      <c r="H114" s="114" t="str">
        <f ca="1">IFERROR(VALUE(IF(VLOOKUP($A114,数出表_Excel!$A$6:$T$150,COLUMN()/2+1,FALSE)=0,"",VLOOKUP($A114,数出表_Excel!$A$6:$T$150,COLUMN()/2+1,FALSE))),"")</f>
        <v/>
      </c>
      <c r="I114" s="79"/>
      <c r="J114" s="114" t="str">
        <f ca="1">IFERROR(VALUE(IF(VLOOKUP($A114,数出表_Excel!$A$6:$T$150,COLUMN()/2+1,FALSE)=0,"",VLOOKUP($A114,数出表_Excel!$A$6:$T$150,COLUMN()/2+1,FALSE))),"")</f>
        <v/>
      </c>
      <c r="K114" s="79"/>
      <c r="L114" s="116" t="str">
        <f ca="1">IFERROR(VALUE(IF(VLOOKUP($A114,数出表_Excel!$A$6:$T$150,COLUMN()/2+1,FALSE)=0,"",VLOOKUP($A114,数出表_Excel!$A$6:$T$150,COLUMN()/2+1,FALSE))),"")</f>
        <v/>
      </c>
      <c r="M114" s="79"/>
      <c r="N114" s="114" t="str">
        <f ca="1">IFERROR(VALUE(IF(VLOOKUP($A114,数出表_Excel!$A$6:$T$150,COLUMN()/2+1,FALSE)=0,"",VLOOKUP($A114,数出表_Excel!$A$6:$T$150,COLUMN()/2+1,FALSE))),"")</f>
        <v/>
      </c>
      <c r="O114" s="79"/>
      <c r="P114" s="114" t="str">
        <f ca="1">IFERROR(VALUE(IF(VLOOKUP($A114,数出表_Excel!$A$6:$T$150,COLUMN()/2+1,FALSE)=0,"",VLOOKUP($A114,数出表_Excel!$A$6:$T$150,COLUMN()/2+1,FALSE))),"")</f>
        <v/>
      </c>
      <c r="Q114" s="79"/>
      <c r="R114" s="114" t="str">
        <f ca="1">IFERROR(VALUE(IF(VLOOKUP($A114,数出表_Excel!$A$6:$T$150,COLUMN()/2+1,FALSE)=0,"",VLOOKUP($A114,数出表_Excel!$A$6:$T$150,COLUMN()/2+1,FALSE))),"")</f>
        <v/>
      </c>
      <c r="S114" s="79"/>
      <c r="T114" s="114" t="str">
        <f ca="1">IFERROR(VALUE(IF(VLOOKUP($A114,数出表_Excel!$A$6:$T$150,COLUMN()/2+1,FALSE)=0,"",VLOOKUP($A114,数出表_Excel!$A$6:$T$150,COLUMN()/2+1,FALSE))),"")</f>
        <v/>
      </c>
      <c r="U114" s="79"/>
      <c r="V114" s="116" t="str">
        <f ca="1">IFERROR(VALUE(IF(VLOOKUP($A114,数出表_Excel!$A$6:$T$150,COLUMN()/2+1,FALSE)=0,"",VLOOKUP($A114,数出表_Excel!$A$6:$T$150,COLUMN()/2+1,FALSE))),"")</f>
        <v/>
      </c>
      <c r="W114" s="79"/>
      <c r="X114" s="116" t="str">
        <f ca="1">IFERROR(VALUE(IF(VLOOKUP($A114,数出表_Excel!$A$6:$T$150,COLUMN()/2+1,FALSE)=0,"",VLOOKUP($A114,数出表_Excel!$A$6:$T$150,COLUMN()/2+1,FALSE))),"")</f>
        <v/>
      </c>
      <c r="Y114" s="79"/>
      <c r="Z114" s="116" t="str">
        <f ca="1">IFERROR(VALUE(IF(VLOOKUP($A114,数出表_Excel!$A$6:$T$150,COLUMN()/2+1,FALSE)=0,"",VLOOKUP($A114,数出表_Excel!$A$6:$T$150,COLUMN()/2+1,FALSE))),"")</f>
        <v/>
      </c>
      <c r="AA114" s="117"/>
      <c r="AB114" s="115" t="str">
        <f ca="1">IFERROR(VALUE(IF(VLOOKUP($A114,数出表_Excel!$A$6:$T$150,COLUMN()/2+1,FALSE)=0,"",VLOOKUP($A114,数出表_Excel!$A$6:$T$150,COLUMN()/2+1,FALSE))),"")</f>
        <v/>
      </c>
      <c r="AC114" s="79"/>
      <c r="AD114" s="116" t="str">
        <f ca="1">IFERROR(VALUE(IF(VLOOKUP($A114,数出表_Excel!$A$6:$T$150,COLUMN()/2+1,FALSE)=0,"",VLOOKUP($A114,数出表_Excel!$A$6:$T$150,COLUMN()/2+1,FALSE))),"")</f>
        <v/>
      </c>
      <c r="AE114" s="79"/>
      <c r="AF114" s="116" t="str">
        <f ca="1">IFERROR(VALUE(IF(VLOOKUP($A114,数出表_Excel!$A$6:$T$150,COLUMN()/2+1,FALSE)=0,"",VLOOKUP($A114,数出表_Excel!$A$6:$T$150,COLUMN()/2+1,FALSE))),"")</f>
        <v/>
      </c>
      <c r="AG114" s="79"/>
      <c r="AH114" s="116" t="str">
        <f ca="1">IFERROR(VALUE(IF(VLOOKUP($A114,数出表_Excel!$A$6:$T$150,COLUMN()/2+1,FALSE)=0,"",VLOOKUP($A114,数出表_Excel!$A$6:$T$150,COLUMN()/2+1,FALSE))),"")</f>
        <v/>
      </c>
      <c r="AI114" s="117"/>
      <c r="AJ114" s="115" t="str">
        <f ca="1">IFERROR(VALUE(IF(VLOOKUP($A114,数出表_Excel!$A$6:$T$150,COLUMN()/2+1,FALSE)=0,"",VLOOKUP($A114,数出表_Excel!$A$6:$T$150,COLUMN()/2+1,FALSE))),"")</f>
        <v/>
      </c>
      <c r="AK114" s="79"/>
      <c r="AL114" s="83" t="e">
        <f ca="1">IF(A114&lt;&gt;"",
IF(VLOOKUP($A114,数出表_Excel!$A$6:$T$150,COLUMN()/2+1,FALSE)=0,"",VLOOKUP($A114,数出表_Excel!$A$6:$T$150,COLUMN()/2+1,FALSE)),"")</f>
        <v>#N/A</v>
      </c>
      <c r="AM114" s="164" t="e">
        <f>数出表_Excel!V114</f>
        <v>#N/A</v>
      </c>
      <c r="AN114" s="165" t="e">
        <f>数出表_Excel!W114</f>
        <v>#N/A</v>
      </c>
    </row>
    <row r="115" spans="1:40" ht="16.2" customHeight="1">
      <c r="A115" s="127" t="e">
        <f t="array" aca="1" ref="A115" ca="1">IF(OR(COUNTIF(A113,"*1000*"),COUNTIF(A113,"")),"",INDEX(貼り付け用!$A1:$A200,MATCH(A113,貼り付け用!$A1:$A200,0)+2,0))</f>
        <v>#N/A</v>
      </c>
      <c r="B115" s="80" t="str">
        <f ca="1">IFERROR(VALUE(IF(VLOOKUP($A115,数出表_Excel!$A$6:$T$150,COLUMN()/2+1,FALSE)=0,"",VLOOKUP($A115,数出表_Excel!$A$6:$T$150,COLUMN()/2+1,FALSE))),"")</f>
        <v/>
      </c>
      <c r="C115" s="80"/>
      <c r="D115" s="80" t="str">
        <f ca="1">IFERROR(VALUE(IF(VLOOKUP($A115,数出表_Excel!$A$6:$T$150,COLUMN()/2+1,FALSE)=0,"",VLOOKUP($A115,数出表_Excel!$A$6:$T$150,COLUMN()/2+1,FALSE))),"")</f>
        <v/>
      </c>
      <c r="E115" s="80"/>
      <c r="F115" s="84" t="str">
        <f ca="1">IFERROR(VALUE(IF(VLOOKUP($A115,数出表_Excel!$A$6:$T$150,COLUMN()/2+1,FALSE)=0,"",VLOOKUP($A115,数出表_Excel!$A$6:$T$150,COLUMN()/2+1,FALSE))),"")</f>
        <v/>
      </c>
      <c r="G115" s="80"/>
      <c r="H115" s="80" t="str">
        <f ca="1">IFERROR(VALUE(IF(VLOOKUP($A115,数出表_Excel!$A$6:$T$150,COLUMN()/2+1,FALSE)=0,"",VLOOKUP($A115,数出表_Excel!$A$6:$T$150,COLUMN()/2+1,FALSE))),"")</f>
        <v/>
      </c>
      <c r="I115" s="80"/>
      <c r="J115" s="80" t="str">
        <f ca="1">IFERROR(VALUE(IF(VLOOKUP($A115,数出表_Excel!$A$6:$T$150,COLUMN()/2+1,FALSE)=0,"",VLOOKUP($A115,数出表_Excel!$A$6:$T$150,COLUMN()/2+1,FALSE))),"")</f>
        <v/>
      </c>
      <c r="K115" s="80"/>
      <c r="L115" s="84" t="str">
        <f ca="1">IFERROR(VALUE(IF(VLOOKUP($A115,数出表_Excel!$A$6:$T$150,COLUMN()/2+1,FALSE)=0,"",VLOOKUP($A115,数出表_Excel!$A$6:$T$150,COLUMN()/2+1,FALSE))),"")</f>
        <v/>
      </c>
      <c r="M115" s="80"/>
      <c r="N115" s="80" t="str">
        <f ca="1">IFERROR(VALUE(IF(VLOOKUP($A115,数出表_Excel!$A$6:$T$150,COLUMN()/2+1,FALSE)=0,"",VLOOKUP($A115,数出表_Excel!$A$6:$T$150,COLUMN()/2+1,FALSE))),"")</f>
        <v/>
      </c>
      <c r="O115" s="80"/>
      <c r="P115" s="80" t="str">
        <f ca="1">IFERROR(VALUE(IF(VLOOKUP($A115,数出表_Excel!$A$6:$T$150,COLUMN()/2+1,FALSE)=0,"",VLOOKUP($A115,数出表_Excel!$A$6:$T$150,COLUMN()/2+1,FALSE))),"")</f>
        <v/>
      </c>
      <c r="Q115" s="80"/>
      <c r="R115" s="80" t="str">
        <f ca="1">IFERROR(VALUE(IF(VLOOKUP($A115,数出表_Excel!$A$6:$T$150,COLUMN()/2+1,FALSE)=0,"",VLOOKUP($A115,数出表_Excel!$A$6:$T$150,COLUMN()/2+1,FALSE))),"")</f>
        <v/>
      </c>
      <c r="S115" s="80"/>
      <c r="T115" s="80" t="str">
        <f ca="1">IFERROR(VALUE(IF(VLOOKUP($A115,数出表_Excel!$A$6:$T$150,COLUMN()/2+1,FALSE)=0,"",VLOOKUP($A115,数出表_Excel!$A$6:$T$150,COLUMN()/2+1,FALSE))),"")</f>
        <v/>
      </c>
      <c r="U115" s="80"/>
      <c r="V115" s="84" t="str">
        <f ca="1">IFERROR(VALUE(IF(VLOOKUP($A115,数出表_Excel!$A$6:$T$150,COLUMN()/2+1,FALSE)=0,"",VLOOKUP($A115,数出表_Excel!$A$6:$T$150,COLUMN()/2+1,FALSE))),"")</f>
        <v/>
      </c>
      <c r="W115" s="80"/>
      <c r="X115" s="84" t="str">
        <f ca="1">IFERROR(VALUE(IF(VLOOKUP($A115,数出表_Excel!$A$6:$T$150,COLUMN()/2+1,FALSE)=0,"",VLOOKUP($A115,数出表_Excel!$A$6:$T$150,COLUMN()/2+1,FALSE))),"")</f>
        <v/>
      </c>
      <c r="Y115" s="80"/>
      <c r="Z115" s="84" t="str">
        <f ca="1">IFERROR(VALUE(IF(VLOOKUP($A115,数出表_Excel!$A$6:$T$150,COLUMN()/2+1,FALSE)=0,"",VLOOKUP($A115,数出表_Excel!$A$6:$T$150,COLUMN()/2+1,FALSE))),"")</f>
        <v/>
      </c>
      <c r="AA115" s="118"/>
      <c r="AB115" s="85" t="str">
        <f ca="1">IFERROR(VALUE(IF(VLOOKUP($A115,数出表_Excel!$A$6:$T$150,COLUMN()/2+1,FALSE)=0,"",VLOOKUP($A115,数出表_Excel!$A$6:$T$150,COLUMN()/2+1,FALSE))),"")</f>
        <v/>
      </c>
      <c r="AC115" s="80"/>
      <c r="AD115" s="84" t="str">
        <f ca="1">IFERROR(VALUE(IF(VLOOKUP($A115,数出表_Excel!$A$6:$T$150,COLUMN()/2+1,FALSE)=0,"",VLOOKUP($A115,数出表_Excel!$A$6:$T$150,COLUMN()/2+1,FALSE))),"")</f>
        <v/>
      </c>
      <c r="AE115" s="80"/>
      <c r="AF115" s="84" t="str">
        <f ca="1">IFERROR(VALUE(IF(VLOOKUP($A115,数出表_Excel!$A$6:$T$150,COLUMN()/2+1,FALSE)=0,"",VLOOKUP($A115,数出表_Excel!$A$6:$T$150,COLUMN()/2+1,FALSE))),"")</f>
        <v/>
      </c>
      <c r="AG115" s="80"/>
      <c r="AH115" s="84" t="str">
        <f ca="1">IFERROR(VALUE(IF(VLOOKUP($A115,数出表_Excel!$A$6:$T$150,COLUMN()/2+1,FALSE)=0,"",VLOOKUP($A115,数出表_Excel!$A$6:$T$150,COLUMN()/2+1,FALSE))),"")</f>
        <v/>
      </c>
      <c r="AI115" s="118"/>
      <c r="AJ115" s="85" t="str">
        <f ca="1">IFERROR(VALUE(IF(VLOOKUP($A115,数出表_Excel!$A$6:$T$150,COLUMN()/2+1,FALSE)=0,"",VLOOKUP($A115,数出表_Excel!$A$6:$T$150,COLUMN()/2+1,FALSE))),"")</f>
        <v/>
      </c>
      <c r="AK115" s="80"/>
      <c r="AL115" s="86" t="e">
        <f ca="1">IF(A115&lt;&gt;"",
IF(VLOOKUP($A115,数出表_Excel!$A$6:$T$150,COLUMN()/2+1,FALSE)=0,"",VLOOKUP($A115,数出表_Excel!$A$6:$T$150,COLUMN()/2+1,FALSE)),"")</f>
        <v>#N/A</v>
      </c>
      <c r="AM115" s="166" t="e">
        <f>数出表_Excel!V115</f>
        <v>#N/A</v>
      </c>
      <c r="AN115" s="167" t="e">
        <f>数出表_Excel!W115</f>
        <v>#N/A</v>
      </c>
    </row>
    <row r="116" spans="1:40" ht="16.2" customHeight="1">
      <c r="A116" s="126" t="e">
        <f t="array" aca="1" ref="A116" ca="1">IF(OR(COUNTIF(A114,"*10002*"),COUNTIF(A114,"")),"",INDEX(貼り付け用!$A1:$A200,MATCH(A114,貼り付け用!$A1:$A200,0)+2,0))</f>
        <v>#N/A</v>
      </c>
      <c r="B116" s="114" t="str">
        <f ca="1">IFERROR(VALUE(IF(VLOOKUP($A116,数出表_Excel!$A$6:$T$150,COLUMN()/2+1,FALSE)=0,"",VLOOKUP($A116,数出表_Excel!$A$6:$T$150,COLUMN()/2+1,FALSE))),"")</f>
        <v/>
      </c>
      <c r="C116" s="79"/>
      <c r="D116" s="114" t="str">
        <f ca="1">IFERROR(VALUE(IF(VLOOKUP($A116,数出表_Excel!$A$6:$T$150,COLUMN()/2+1,FALSE)=0,"",VLOOKUP($A116,数出表_Excel!$A$6:$T$150,COLUMN()/2+1,FALSE))),"")</f>
        <v/>
      </c>
      <c r="E116" s="79"/>
      <c r="F116" s="116" t="str">
        <f ca="1">IFERROR(VALUE(IF(VLOOKUP($A116,数出表_Excel!$A$6:$T$150,COLUMN()/2+1,FALSE)=0,"",VLOOKUP($A116,数出表_Excel!$A$6:$T$150,COLUMN()/2+1,FALSE))),"")</f>
        <v/>
      </c>
      <c r="G116" s="79"/>
      <c r="H116" s="114" t="str">
        <f ca="1">IFERROR(VALUE(IF(VLOOKUP($A116,数出表_Excel!$A$6:$T$150,COLUMN()/2+1,FALSE)=0,"",VLOOKUP($A116,数出表_Excel!$A$6:$T$150,COLUMN()/2+1,FALSE))),"")</f>
        <v/>
      </c>
      <c r="I116" s="79"/>
      <c r="J116" s="114" t="str">
        <f ca="1">IFERROR(VALUE(IF(VLOOKUP($A116,数出表_Excel!$A$6:$T$150,COLUMN()/2+1,FALSE)=0,"",VLOOKUP($A116,数出表_Excel!$A$6:$T$150,COLUMN()/2+1,FALSE))),"")</f>
        <v/>
      </c>
      <c r="K116" s="79"/>
      <c r="L116" s="116" t="str">
        <f ca="1">IFERROR(VALUE(IF(VLOOKUP($A116,数出表_Excel!$A$6:$T$150,COLUMN()/2+1,FALSE)=0,"",VLOOKUP($A116,数出表_Excel!$A$6:$T$150,COLUMN()/2+1,FALSE))),"")</f>
        <v/>
      </c>
      <c r="M116" s="79"/>
      <c r="N116" s="114" t="str">
        <f ca="1">IFERROR(VALUE(IF(VLOOKUP($A116,数出表_Excel!$A$6:$T$150,COLUMN()/2+1,FALSE)=0,"",VLOOKUP($A116,数出表_Excel!$A$6:$T$150,COLUMN()/2+1,FALSE))),"")</f>
        <v/>
      </c>
      <c r="O116" s="79"/>
      <c r="P116" s="114" t="str">
        <f ca="1">IFERROR(VALUE(IF(VLOOKUP($A116,数出表_Excel!$A$6:$T$150,COLUMN()/2+1,FALSE)=0,"",VLOOKUP($A116,数出表_Excel!$A$6:$T$150,COLUMN()/2+1,FALSE))),"")</f>
        <v/>
      </c>
      <c r="Q116" s="79"/>
      <c r="R116" s="114" t="str">
        <f ca="1">IFERROR(VALUE(IF(VLOOKUP($A116,数出表_Excel!$A$6:$T$150,COLUMN()/2+1,FALSE)=0,"",VLOOKUP($A116,数出表_Excel!$A$6:$T$150,COLUMN()/2+1,FALSE))),"")</f>
        <v/>
      </c>
      <c r="S116" s="79"/>
      <c r="T116" s="114" t="str">
        <f ca="1">IFERROR(VALUE(IF(VLOOKUP($A116,数出表_Excel!$A$6:$T$150,COLUMN()/2+1,FALSE)=0,"",VLOOKUP($A116,数出表_Excel!$A$6:$T$150,COLUMN()/2+1,FALSE))),"")</f>
        <v/>
      </c>
      <c r="U116" s="79"/>
      <c r="V116" s="116" t="str">
        <f ca="1">IFERROR(VALUE(IF(VLOOKUP($A116,数出表_Excel!$A$6:$T$150,COLUMN()/2+1,FALSE)=0,"",VLOOKUP($A116,数出表_Excel!$A$6:$T$150,COLUMN()/2+1,FALSE))),"")</f>
        <v/>
      </c>
      <c r="W116" s="79"/>
      <c r="X116" s="116" t="str">
        <f ca="1">IFERROR(VALUE(IF(VLOOKUP($A116,数出表_Excel!$A$6:$T$150,COLUMN()/2+1,FALSE)=0,"",VLOOKUP($A116,数出表_Excel!$A$6:$T$150,COLUMN()/2+1,FALSE))),"")</f>
        <v/>
      </c>
      <c r="Y116" s="79"/>
      <c r="Z116" s="116" t="str">
        <f ca="1">IFERROR(VALUE(IF(VLOOKUP($A116,数出表_Excel!$A$6:$T$150,COLUMN()/2+1,FALSE)=0,"",VLOOKUP($A116,数出表_Excel!$A$6:$T$150,COLUMN()/2+1,FALSE))),"")</f>
        <v/>
      </c>
      <c r="AA116" s="117"/>
      <c r="AB116" s="115" t="str">
        <f ca="1">IFERROR(VALUE(IF(VLOOKUP($A116,数出表_Excel!$A$6:$T$150,COLUMN()/2+1,FALSE)=0,"",VLOOKUP($A116,数出表_Excel!$A$6:$T$150,COLUMN()/2+1,FALSE))),"")</f>
        <v/>
      </c>
      <c r="AC116" s="79"/>
      <c r="AD116" s="116" t="str">
        <f ca="1">IFERROR(VALUE(IF(VLOOKUP($A116,数出表_Excel!$A$6:$T$150,COLUMN()/2+1,FALSE)=0,"",VLOOKUP($A116,数出表_Excel!$A$6:$T$150,COLUMN()/2+1,FALSE))),"")</f>
        <v/>
      </c>
      <c r="AE116" s="79"/>
      <c r="AF116" s="116" t="str">
        <f ca="1">IFERROR(VALUE(IF(VLOOKUP($A116,数出表_Excel!$A$6:$T$150,COLUMN()/2+1,FALSE)=0,"",VLOOKUP($A116,数出表_Excel!$A$6:$T$150,COLUMN()/2+1,FALSE))),"")</f>
        <v/>
      </c>
      <c r="AG116" s="79"/>
      <c r="AH116" s="116" t="str">
        <f ca="1">IFERROR(VALUE(IF(VLOOKUP($A116,数出表_Excel!$A$6:$T$150,COLUMN()/2+1,FALSE)=0,"",VLOOKUP($A116,数出表_Excel!$A$6:$T$150,COLUMN()/2+1,FALSE))),"")</f>
        <v/>
      </c>
      <c r="AI116" s="117"/>
      <c r="AJ116" s="115" t="str">
        <f ca="1">IFERROR(VALUE(IF(VLOOKUP($A116,数出表_Excel!$A$6:$T$150,COLUMN()/2+1,FALSE)=0,"",VLOOKUP($A116,数出表_Excel!$A$6:$T$150,COLUMN()/2+1,FALSE))),"")</f>
        <v/>
      </c>
      <c r="AK116" s="79"/>
      <c r="AL116" s="83" t="e">
        <f ca="1">IF(A116&lt;&gt;"",
IF(VLOOKUP($A116,数出表_Excel!$A$6:$T$150,COLUMN()/2+1,FALSE)=0,"",VLOOKUP($A116,数出表_Excel!$A$6:$T$150,COLUMN()/2+1,FALSE)),"")</f>
        <v>#N/A</v>
      </c>
      <c r="AM116" s="164" t="e">
        <f>数出表_Excel!V116</f>
        <v>#N/A</v>
      </c>
      <c r="AN116" s="165" t="e">
        <f>数出表_Excel!W116</f>
        <v>#N/A</v>
      </c>
    </row>
    <row r="117" spans="1:40" ht="16.2" customHeight="1">
      <c r="A117" s="127" t="e">
        <f t="array" aca="1" ref="A117" ca="1">IF(OR(COUNTIF(A115,"*1000*"),COUNTIF(A115,"")),"",INDEX(貼り付け用!$A1:$A200,MATCH(A115,貼り付け用!$A1:$A200,0)+2,0))</f>
        <v>#N/A</v>
      </c>
      <c r="B117" s="80" t="str">
        <f ca="1">IFERROR(VALUE(IF(VLOOKUP($A117,数出表_Excel!$A$6:$T$150,COLUMN()/2+1,FALSE)=0,"",VLOOKUP($A117,数出表_Excel!$A$6:$T$150,COLUMN()/2+1,FALSE))),"")</f>
        <v/>
      </c>
      <c r="C117" s="80"/>
      <c r="D117" s="80" t="str">
        <f ca="1">IFERROR(VALUE(IF(VLOOKUP($A117,数出表_Excel!$A$6:$T$150,COLUMN()/2+1,FALSE)=0,"",VLOOKUP($A117,数出表_Excel!$A$6:$T$150,COLUMN()/2+1,FALSE))),"")</f>
        <v/>
      </c>
      <c r="E117" s="80"/>
      <c r="F117" s="84" t="str">
        <f ca="1">IFERROR(VALUE(IF(VLOOKUP($A117,数出表_Excel!$A$6:$T$150,COLUMN()/2+1,FALSE)=0,"",VLOOKUP($A117,数出表_Excel!$A$6:$T$150,COLUMN()/2+1,FALSE))),"")</f>
        <v/>
      </c>
      <c r="G117" s="80"/>
      <c r="H117" s="80" t="str">
        <f ca="1">IFERROR(VALUE(IF(VLOOKUP($A117,数出表_Excel!$A$6:$T$150,COLUMN()/2+1,FALSE)=0,"",VLOOKUP($A117,数出表_Excel!$A$6:$T$150,COLUMN()/2+1,FALSE))),"")</f>
        <v/>
      </c>
      <c r="I117" s="80"/>
      <c r="J117" s="80" t="str">
        <f ca="1">IFERROR(VALUE(IF(VLOOKUP($A117,数出表_Excel!$A$6:$T$150,COLUMN()/2+1,FALSE)=0,"",VLOOKUP($A117,数出表_Excel!$A$6:$T$150,COLUMN()/2+1,FALSE))),"")</f>
        <v/>
      </c>
      <c r="K117" s="80"/>
      <c r="L117" s="84" t="str">
        <f ca="1">IFERROR(VALUE(IF(VLOOKUP($A117,数出表_Excel!$A$6:$T$150,COLUMN()/2+1,FALSE)=0,"",VLOOKUP($A117,数出表_Excel!$A$6:$T$150,COLUMN()/2+1,FALSE))),"")</f>
        <v/>
      </c>
      <c r="M117" s="80"/>
      <c r="N117" s="80" t="str">
        <f ca="1">IFERROR(VALUE(IF(VLOOKUP($A117,数出表_Excel!$A$6:$T$150,COLUMN()/2+1,FALSE)=0,"",VLOOKUP($A117,数出表_Excel!$A$6:$T$150,COLUMN()/2+1,FALSE))),"")</f>
        <v/>
      </c>
      <c r="O117" s="80"/>
      <c r="P117" s="80" t="str">
        <f ca="1">IFERROR(VALUE(IF(VLOOKUP($A117,数出表_Excel!$A$6:$T$150,COLUMN()/2+1,FALSE)=0,"",VLOOKUP($A117,数出表_Excel!$A$6:$T$150,COLUMN()/2+1,FALSE))),"")</f>
        <v/>
      </c>
      <c r="Q117" s="80"/>
      <c r="R117" s="80" t="str">
        <f ca="1">IFERROR(VALUE(IF(VLOOKUP($A117,数出表_Excel!$A$6:$T$150,COLUMN()/2+1,FALSE)=0,"",VLOOKUP($A117,数出表_Excel!$A$6:$T$150,COLUMN()/2+1,FALSE))),"")</f>
        <v/>
      </c>
      <c r="S117" s="80"/>
      <c r="T117" s="80" t="str">
        <f ca="1">IFERROR(VALUE(IF(VLOOKUP($A117,数出表_Excel!$A$6:$T$150,COLUMN()/2+1,FALSE)=0,"",VLOOKUP($A117,数出表_Excel!$A$6:$T$150,COLUMN()/2+1,FALSE))),"")</f>
        <v/>
      </c>
      <c r="U117" s="80"/>
      <c r="V117" s="84" t="str">
        <f ca="1">IFERROR(VALUE(IF(VLOOKUP($A117,数出表_Excel!$A$6:$T$150,COLUMN()/2+1,FALSE)=0,"",VLOOKUP($A117,数出表_Excel!$A$6:$T$150,COLUMN()/2+1,FALSE))),"")</f>
        <v/>
      </c>
      <c r="W117" s="80"/>
      <c r="X117" s="84" t="str">
        <f ca="1">IFERROR(VALUE(IF(VLOOKUP($A117,数出表_Excel!$A$6:$T$150,COLUMN()/2+1,FALSE)=0,"",VLOOKUP($A117,数出表_Excel!$A$6:$T$150,COLUMN()/2+1,FALSE))),"")</f>
        <v/>
      </c>
      <c r="Y117" s="80"/>
      <c r="Z117" s="84" t="str">
        <f ca="1">IFERROR(VALUE(IF(VLOOKUP($A117,数出表_Excel!$A$6:$T$150,COLUMN()/2+1,FALSE)=0,"",VLOOKUP($A117,数出表_Excel!$A$6:$T$150,COLUMN()/2+1,FALSE))),"")</f>
        <v/>
      </c>
      <c r="AA117" s="118"/>
      <c r="AB117" s="85" t="str">
        <f ca="1">IFERROR(VALUE(IF(VLOOKUP($A117,数出表_Excel!$A$6:$T$150,COLUMN()/2+1,FALSE)=0,"",VLOOKUP($A117,数出表_Excel!$A$6:$T$150,COLUMN()/2+1,FALSE))),"")</f>
        <v/>
      </c>
      <c r="AC117" s="80"/>
      <c r="AD117" s="84" t="str">
        <f ca="1">IFERROR(VALUE(IF(VLOOKUP($A117,数出表_Excel!$A$6:$T$150,COLUMN()/2+1,FALSE)=0,"",VLOOKUP($A117,数出表_Excel!$A$6:$T$150,COLUMN()/2+1,FALSE))),"")</f>
        <v/>
      </c>
      <c r="AE117" s="80"/>
      <c r="AF117" s="84" t="str">
        <f ca="1">IFERROR(VALUE(IF(VLOOKUP($A117,数出表_Excel!$A$6:$T$150,COLUMN()/2+1,FALSE)=0,"",VLOOKUP($A117,数出表_Excel!$A$6:$T$150,COLUMN()/2+1,FALSE))),"")</f>
        <v/>
      </c>
      <c r="AG117" s="80"/>
      <c r="AH117" s="84" t="str">
        <f ca="1">IFERROR(VALUE(IF(VLOOKUP($A117,数出表_Excel!$A$6:$T$150,COLUMN()/2+1,FALSE)=0,"",VLOOKUP($A117,数出表_Excel!$A$6:$T$150,COLUMN()/2+1,FALSE))),"")</f>
        <v/>
      </c>
      <c r="AI117" s="118"/>
      <c r="AJ117" s="85" t="str">
        <f ca="1">IFERROR(VALUE(IF(VLOOKUP($A117,数出表_Excel!$A$6:$T$150,COLUMN()/2+1,FALSE)=0,"",VLOOKUP($A117,数出表_Excel!$A$6:$T$150,COLUMN()/2+1,FALSE))),"")</f>
        <v/>
      </c>
      <c r="AK117" s="80"/>
      <c r="AL117" s="86" t="e">
        <f ca="1">IF(A117&lt;&gt;"",
IF(VLOOKUP($A117,数出表_Excel!$A$6:$T$150,COLUMN()/2+1,FALSE)=0,"",VLOOKUP($A117,数出表_Excel!$A$6:$T$150,COLUMN()/2+1,FALSE)),"")</f>
        <v>#N/A</v>
      </c>
      <c r="AM117" s="166" t="e">
        <f>数出表_Excel!V117</f>
        <v>#N/A</v>
      </c>
      <c r="AN117" s="167" t="e">
        <f>数出表_Excel!W117</f>
        <v>#N/A</v>
      </c>
    </row>
    <row r="118" spans="1:40" ht="16.2" customHeight="1">
      <c r="A118" s="126" t="e">
        <f t="array" aca="1" ref="A118" ca="1">IF(OR(COUNTIF(A116,"*10002*"),COUNTIF(A116,"")),"",INDEX(貼り付け用!$A1:$A200,MATCH(A116,貼り付け用!$A1:$A200,0)+2,0))</f>
        <v>#N/A</v>
      </c>
      <c r="B118" s="114" t="str">
        <f ca="1">IFERROR(VALUE(IF(VLOOKUP($A118,数出表_Excel!$A$6:$T$150,COLUMN()/2+1,FALSE)=0,"",VLOOKUP($A118,数出表_Excel!$A$6:$T$150,COLUMN()/2+1,FALSE))),"")</f>
        <v/>
      </c>
      <c r="C118" s="79"/>
      <c r="D118" s="114" t="str">
        <f ca="1">IFERROR(VALUE(IF(VLOOKUP($A118,数出表_Excel!$A$6:$T$150,COLUMN()/2+1,FALSE)=0,"",VLOOKUP($A118,数出表_Excel!$A$6:$T$150,COLUMN()/2+1,FALSE))),"")</f>
        <v/>
      </c>
      <c r="E118" s="79"/>
      <c r="F118" s="116" t="str">
        <f ca="1">IFERROR(VALUE(IF(VLOOKUP($A118,数出表_Excel!$A$6:$T$150,COLUMN()/2+1,FALSE)=0,"",VLOOKUP($A118,数出表_Excel!$A$6:$T$150,COLUMN()/2+1,FALSE))),"")</f>
        <v/>
      </c>
      <c r="G118" s="79"/>
      <c r="H118" s="114" t="str">
        <f ca="1">IFERROR(VALUE(IF(VLOOKUP($A118,数出表_Excel!$A$6:$T$150,COLUMN()/2+1,FALSE)=0,"",VLOOKUP($A118,数出表_Excel!$A$6:$T$150,COLUMN()/2+1,FALSE))),"")</f>
        <v/>
      </c>
      <c r="I118" s="79"/>
      <c r="J118" s="114" t="str">
        <f ca="1">IFERROR(VALUE(IF(VLOOKUP($A118,数出表_Excel!$A$6:$T$150,COLUMN()/2+1,FALSE)=0,"",VLOOKUP($A118,数出表_Excel!$A$6:$T$150,COLUMN()/2+1,FALSE))),"")</f>
        <v/>
      </c>
      <c r="K118" s="79"/>
      <c r="L118" s="116" t="str">
        <f ca="1">IFERROR(VALUE(IF(VLOOKUP($A118,数出表_Excel!$A$6:$T$150,COLUMN()/2+1,FALSE)=0,"",VLOOKUP($A118,数出表_Excel!$A$6:$T$150,COLUMN()/2+1,FALSE))),"")</f>
        <v/>
      </c>
      <c r="M118" s="79"/>
      <c r="N118" s="114" t="str">
        <f ca="1">IFERROR(VALUE(IF(VLOOKUP($A118,数出表_Excel!$A$6:$T$150,COLUMN()/2+1,FALSE)=0,"",VLOOKUP($A118,数出表_Excel!$A$6:$T$150,COLUMN()/2+1,FALSE))),"")</f>
        <v/>
      </c>
      <c r="O118" s="79"/>
      <c r="P118" s="114" t="str">
        <f ca="1">IFERROR(VALUE(IF(VLOOKUP($A118,数出表_Excel!$A$6:$T$150,COLUMN()/2+1,FALSE)=0,"",VLOOKUP($A118,数出表_Excel!$A$6:$T$150,COLUMN()/2+1,FALSE))),"")</f>
        <v/>
      </c>
      <c r="Q118" s="79"/>
      <c r="R118" s="114" t="str">
        <f ca="1">IFERROR(VALUE(IF(VLOOKUP($A118,数出表_Excel!$A$6:$T$150,COLUMN()/2+1,FALSE)=0,"",VLOOKUP($A118,数出表_Excel!$A$6:$T$150,COLUMN()/2+1,FALSE))),"")</f>
        <v/>
      </c>
      <c r="S118" s="79"/>
      <c r="T118" s="114" t="str">
        <f ca="1">IFERROR(VALUE(IF(VLOOKUP($A118,数出表_Excel!$A$6:$T$150,COLUMN()/2+1,FALSE)=0,"",VLOOKUP($A118,数出表_Excel!$A$6:$T$150,COLUMN()/2+1,FALSE))),"")</f>
        <v/>
      </c>
      <c r="U118" s="79"/>
      <c r="V118" s="116" t="str">
        <f ca="1">IFERROR(VALUE(IF(VLOOKUP($A118,数出表_Excel!$A$6:$T$150,COLUMN()/2+1,FALSE)=0,"",VLOOKUP($A118,数出表_Excel!$A$6:$T$150,COLUMN()/2+1,FALSE))),"")</f>
        <v/>
      </c>
      <c r="W118" s="79"/>
      <c r="X118" s="116" t="str">
        <f ca="1">IFERROR(VALUE(IF(VLOOKUP($A118,数出表_Excel!$A$6:$T$150,COLUMN()/2+1,FALSE)=0,"",VLOOKUP($A118,数出表_Excel!$A$6:$T$150,COLUMN()/2+1,FALSE))),"")</f>
        <v/>
      </c>
      <c r="Y118" s="79"/>
      <c r="Z118" s="116" t="str">
        <f ca="1">IFERROR(VALUE(IF(VLOOKUP($A118,数出表_Excel!$A$6:$T$150,COLUMN()/2+1,FALSE)=0,"",VLOOKUP($A118,数出表_Excel!$A$6:$T$150,COLUMN()/2+1,FALSE))),"")</f>
        <v/>
      </c>
      <c r="AA118" s="117"/>
      <c r="AB118" s="115" t="str">
        <f ca="1">IFERROR(VALUE(IF(VLOOKUP($A118,数出表_Excel!$A$6:$T$150,COLUMN()/2+1,FALSE)=0,"",VLOOKUP($A118,数出表_Excel!$A$6:$T$150,COLUMN()/2+1,FALSE))),"")</f>
        <v/>
      </c>
      <c r="AC118" s="79"/>
      <c r="AD118" s="116" t="str">
        <f ca="1">IFERROR(VALUE(IF(VLOOKUP($A118,数出表_Excel!$A$6:$T$150,COLUMN()/2+1,FALSE)=0,"",VLOOKUP($A118,数出表_Excel!$A$6:$T$150,COLUMN()/2+1,FALSE))),"")</f>
        <v/>
      </c>
      <c r="AE118" s="79"/>
      <c r="AF118" s="116" t="str">
        <f ca="1">IFERROR(VALUE(IF(VLOOKUP($A118,数出表_Excel!$A$6:$T$150,COLUMN()/2+1,FALSE)=0,"",VLOOKUP($A118,数出表_Excel!$A$6:$T$150,COLUMN()/2+1,FALSE))),"")</f>
        <v/>
      </c>
      <c r="AG118" s="79"/>
      <c r="AH118" s="116" t="str">
        <f ca="1">IFERROR(VALUE(IF(VLOOKUP($A118,数出表_Excel!$A$6:$T$150,COLUMN()/2+1,FALSE)=0,"",VLOOKUP($A118,数出表_Excel!$A$6:$T$150,COLUMN()/2+1,FALSE))),"")</f>
        <v/>
      </c>
      <c r="AI118" s="117"/>
      <c r="AJ118" s="115" t="str">
        <f ca="1">IFERROR(VALUE(IF(VLOOKUP($A118,数出表_Excel!$A$6:$T$150,COLUMN()/2+1,FALSE)=0,"",VLOOKUP($A118,数出表_Excel!$A$6:$T$150,COLUMN()/2+1,FALSE))),"")</f>
        <v/>
      </c>
      <c r="AK118" s="79"/>
      <c r="AL118" s="83" t="e">
        <f ca="1">IF(A118&lt;&gt;"",
IF(VLOOKUP($A118,数出表_Excel!$A$6:$T$150,COLUMN()/2+1,FALSE)=0,"",VLOOKUP($A118,数出表_Excel!$A$6:$T$150,COLUMN()/2+1,FALSE)),"")</f>
        <v>#N/A</v>
      </c>
      <c r="AM118" s="164" t="e">
        <f>数出表_Excel!V118</f>
        <v>#N/A</v>
      </c>
      <c r="AN118" s="165" t="e">
        <f>数出表_Excel!W118</f>
        <v>#N/A</v>
      </c>
    </row>
    <row r="119" spans="1:40" ht="16.2" customHeight="1">
      <c r="A119" s="127" t="e">
        <f t="array" aca="1" ref="A119" ca="1">IF(OR(COUNTIF(A117,"*1000*"),COUNTIF(A117,"")),"",INDEX(貼り付け用!$A1:$A200,MATCH(A117,貼り付け用!$A1:$A200,0)+2,0))</f>
        <v>#N/A</v>
      </c>
      <c r="B119" s="80" t="str">
        <f ca="1">IFERROR(VALUE(IF(VLOOKUP($A119,数出表_Excel!$A$6:$T$150,COLUMN()/2+1,FALSE)=0,"",VLOOKUP($A119,数出表_Excel!$A$6:$T$150,COLUMN()/2+1,FALSE))),"")</f>
        <v/>
      </c>
      <c r="C119" s="80"/>
      <c r="D119" s="80" t="str">
        <f ca="1">IFERROR(VALUE(IF(VLOOKUP($A119,数出表_Excel!$A$6:$T$150,COLUMN()/2+1,FALSE)=0,"",VLOOKUP($A119,数出表_Excel!$A$6:$T$150,COLUMN()/2+1,FALSE))),"")</f>
        <v/>
      </c>
      <c r="E119" s="80"/>
      <c r="F119" s="84" t="str">
        <f ca="1">IFERROR(VALUE(IF(VLOOKUP($A119,数出表_Excel!$A$6:$T$150,COLUMN()/2+1,FALSE)=0,"",VLOOKUP($A119,数出表_Excel!$A$6:$T$150,COLUMN()/2+1,FALSE))),"")</f>
        <v/>
      </c>
      <c r="G119" s="80"/>
      <c r="H119" s="80" t="str">
        <f ca="1">IFERROR(VALUE(IF(VLOOKUP($A119,数出表_Excel!$A$6:$T$150,COLUMN()/2+1,FALSE)=0,"",VLOOKUP($A119,数出表_Excel!$A$6:$T$150,COLUMN()/2+1,FALSE))),"")</f>
        <v/>
      </c>
      <c r="I119" s="80"/>
      <c r="J119" s="80" t="str">
        <f ca="1">IFERROR(VALUE(IF(VLOOKUP($A119,数出表_Excel!$A$6:$T$150,COLUMN()/2+1,FALSE)=0,"",VLOOKUP($A119,数出表_Excel!$A$6:$T$150,COLUMN()/2+1,FALSE))),"")</f>
        <v/>
      </c>
      <c r="K119" s="80"/>
      <c r="L119" s="84" t="str">
        <f ca="1">IFERROR(VALUE(IF(VLOOKUP($A119,数出表_Excel!$A$6:$T$150,COLUMN()/2+1,FALSE)=0,"",VLOOKUP($A119,数出表_Excel!$A$6:$T$150,COLUMN()/2+1,FALSE))),"")</f>
        <v/>
      </c>
      <c r="M119" s="80"/>
      <c r="N119" s="80" t="str">
        <f ca="1">IFERROR(VALUE(IF(VLOOKUP($A119,数出表_Excel!$A$6:$T$150,COLUMN()/2+1,FALSE)=0,"",VLOOKUP($A119,数出表_Excel!$A$6:$T$150,COLUMN()/2+1,FALSE))),"")</f>
        <v/>
      </c>
      <c r="O119" s="80"/>
      <c r="P119" s="80" t="str">
        <f ca="1">IFERROR(VALUE(IF(VLOOKUP($A119,数出表_Excel!$A$6:$T$150,COLUMN()/2+1,FALSE)=0,"",VLOOKUP($A119,数出表_Excel!$A$6:$T$150,COLUMN()/2+1,FALSE))),"")</f>
        <v/>
      </c>
      <c r="Q119" s="80"/>
      <c r="R119" s="80" t="str">
        <f ca="1">IFERROR(VALUE(IF(VLOOKUP($A119,数出表_Excel!$A$6:$T$150,COLUMN()/2+1,FALSE)=0,"",VLOOKUP($A119,数出表_Excel!$A$6:$T$150,COLUMN()/2+1,FALSE))),"")</f>
        <v/>
      </c>
      <c r="S119" s="80"/>
      <c r="T119" s="80" t="str">
        <f ca="1">IFERROR(VALUE(IF(VLOOKUP($A119,数出表_Excel!$A$6:$T$150,COLUMN()/2+1,FALSE)=0,"",VLOOKUP($A119,数出表_Excel!$A$6:$T$150,COLUMN()/2+1,FALSE))),"")</f>
        <v/>
      </c>
      <c r="U119" s="80"/>
      <c r="V119" s="84" t="str">
        <f ca="1">IFERROR(VALUE(IF(VLOOKUP($A119,数出表_Excel!$A$6:$T$150,COLUMN()/2+1,FALSE)=0,"",VLOOKUP($A119,数出表_Excel!$A$6:$T$150,COLUMN()/2+1,FALSE))),"")</f>
        <v/>
      </c>
      <c r="W119" s="80"/>
      <c r="X119" s="84" t="str">
        <f ca="1">IFERROR(VALUE(IF(VLOOKUP($A119,数出表_Excel!$A$6:$T$150,COLUMN()/2+1,FALSE)=0,"",VLOOKUP($A119,数出表_Excel!$A$6:$T$150,COLUMN()/2+1,FALSE))),"")</f>
        <v/>
      </c>
      <c r="Y119" s="80"/>
      <c r="Z119" s="84" t="str">
        <f ca="1">IFERROR(VALUE(IF(VLOOKUP($A119,数出表_Excel!$A$6:$T$150,COLUMN()/2+1,FALSE)=0,"",VLOOKUP($A119,数出表_Excel!$A$6:$T$150,COLUMN()/2+1,FALSE))),"")</f>
        <v/>
      </c>
      <c r="AA119" s="118"/>
      <c r="AB119" s="85" t="str">
        <f ca="1">IFERROR(VALUE(IF(VLOOKUP($A119,数出表_Excel!$A$6:$T$150,COLUMN()/2+1,FALSE)=0,"",VLOOKUP($A119,数出表_Excel!$A$6:$T$150,COLUMN()/2+1,FALSE))),"")</f>
        <v/>
      </c>
      <c r="AC119" s="80"/>
      <c r="AD119" s="84" t="str">
        <f ca="1">IFERROR(VALUE(IF(VLOOKUP($A119,数出表_Excel!$A$6:$T$150,COLUMN()/2+1,FALSE)=0,"",VLOOKUP($A119,数出表_Excel!$A$6:$T$150,COLUMN()/2+1,FALSE))),"")</f>
        <v/>
      </c>
      <c r="AE119" s="80"/>
      <c r="AF119" s="84" t="str">
        <f ca="1">IFERROR(VALUE(IF(VLOOKUP($A119,数出表_Excel!$A$6:$T$150,COLUMN()/2+1,FALSE)=0,"",VLOOKUP($A119,数出表_Excel!$A$6:$T$150,COLUMN()/2+1,FALSE))),"")</f>
        <v/>
      </c>
      <c r="AG119" s="80"/>
      <c r="AH119" s="84" t="str">
        <f ca="1">IFERROR(VALUE(IF(VLOOKUP($A119,数出表_Excel!$A$6:$T$150,COLUMN()/2+1,FALSE)=0,"",VLOOKUP($A119,数出表_Excel!$A$6:$T$150,COLUMN()/2+1,FALSE))),"")</f>
        <v/>
      </c>
      <c r="AI119" s="118"/>
      <c r="AJ119" s="85" t="str">
        <f ca="1">IFERROR(VALUE(IF(VLOOKUP($A119,数出表_Excel!$A$6:$T$150,COLUMN()/2+1,FALSE)=0,"",VLOOKUP($A119,数出表_Excel!$A$6:$T$150,COLUMN()/2+1,FALSE))),"")</f>
        <v/>
      </c>
      <c r="AK119" s="80"/>
      <c r="AL119" s="86" t="e">
        <f ca="1">IF(A119&lt;&gt;"",
IF(VLOOKUP($A119,数出表_Excel!$A$6:$T$150,COLUMN()/2+1,FALSE)=0,"",VLOOKUP($A119,数出表_Excel!$A$6:$T$150,COLUMN()/2+1,FALSE)),"")</f>
        <v>#N/A</v>
      </c>
      <c r="AM119" s="166" t="e">
        <f>数出表_Excel!V119</f>
        <v>#N/A</v>
      </c>
      <c r="AN119" s="167" t="e">
        <f>数出表_Excel!W119</f>
        <v>#N/A</v>
      </c>
    </row>
    <row r="120" spans="1:40" ht="16.2" customHeight="1">
      <c r="A120" s="126" t="e">
        <f t="array" aca="1" ref="A120" ca="1">IF(OR(COUNTIF(A118,"*10002*"),COUNTIF(A118,"")),"",INDEX(貼り付け用!$A1:$A200,MATCH(A118,貼り付け用!$A1:$A200,0)+2,0))</f>
        <v>#N/A</v>
      </c>
      <c r="B120" s="114" t="str">
        <f ca="1">IFERROR(VALUE(IF(VLOOKUP($A120,数出表_Excel!$A$6:$T$150,COLUMN()/2+1,FALSE)=0,"",VLOOKUP($A120,数出表_Excel!$A$6:$T$150,COLUMN()/2+1,FALSE))),"")</f>
        <v/>
      </c>
      <c r="C120" s="79"/>
      <c r="D120" s="114" t="str">
        <f ca="1">IFERROR(VALUE(IF(VLOOKUP($A120,数出表_Excel!$A$6:$T$150,COLUMN()/2+1,FALSE)=0,"",VLOOKUP($A120,数出表_Excel!$A$6:$T$150,COLUMN()/2+1,FALSE))),"")</f>
        <v/>
      </c>
      <c r="E120" s="79"/>
      <c r="F120" s="116" t="str">
        <f ca="1">IFERROR(VALUE(IF(VLOOKUP($A120,数出表_Excel!$A$6:$T$150,COLUMN()/2+1,FALSE)=0,"",VLOOKUP($A120,数出表_Excel!$A$6:$T$150,COLUMN()/2+1,FALSE))),"")</f>
        <v/>
      </c>
      <c r="G120" s="79"/>
      <c r="H120" s="114" t="str">
        <f ca="1">IFERROR(VALUE(IF(VLOOKUP($A120,数出表_Excel!$A$6:$T$150,COLUMN()/2+1,FALSE)=0,"",VLOOKUP($A120,数出表_Excel!$A$6:$T$150,COLUMN()/2+1,FALSE))),"")</f>
        <v/>
      </c>
      <c r="I120" s="79"/>
      <c r="J120" s="114" t="str">
        <f ca="1">IFERROR(VALUE(IF(VLOOKUP($A120,数出表_Excel!$A$6:$T$150,COLUMN()/2+1,FALSE)=0,"",VLOOKUP($A120,数出表_Excel!$A$6:$T$150,COLUMN()/2+1,FALSE))),"")</f>
        <v/>
      </c>
      <c r="K120" s="79"/>
      <c r="L120" s="116" t="str">
        <f ca="1">IFERROR(VALUE(IF(VLOOKUP($A120,数出表_Excel!$A$6:$T$150,COLUMN()/2+1,FALSE)=0,"",VLOOKUP($A120,数出表_Excel!$A$6:$T$150,COLUMN()/2+1,FALSE))),"")</f>
        <v/>
      </c>
      <c r="M120" s="79"/>
      <c r="N120" s="114" t="str">
        <f ca="1">IFERROR(VALUE(IF(VLOOKUP($A120,数出表_Excel!$A$6:$T$150,COLUMN()/2+1,FALSE)=0,"",VLOOKUP($A120,数出表_Excel!$A$6:$T$150,COLUMN()/2+1,FALSE))),"")</f>
        <v/>
      </c>
      <c r="O120" s="79"/>
      <c r="P120" s="114" t="str">
        <f ca="1">IFERROR(VALUE(IF(VLOOKUP($A120,数出表_Excel!$A$6:$T$150,COLUMN()/2+1,FALSE)=0,"",VLOOKUP($A120,数出表_Excel!$A$6:$T$150,COLUMN()/2+1,FALSE))),"")</f>
        <v/>
      </c>
      <c r="Q120" s="79"/>
      <c r="R120" s="114" t="str">
        <f ca="1">IFERROR(VALUE(IF(VLOOKUP($A120,数出表_Excel!$A$6:$T$150,COLUMN()/2+1,FALSE)=0,"",VLOOKUP($A120,数出表_Excel!$A$6:$T$150,COLUMN()/2+1,FALSE))),"")</f>
        <v/>
      </c>
      <c r="S120" s="79"/>
      <c r="T120" s="114" t="str">
        <f ca="1">IFERROR(VALUE(IF(VLOOKUP($A120,数出表_Excel!$A$6:$T$150,COLUMN()/2+1,FALSE)=0,"",VLOOKUP($A120,数出表_Excel!$A$6:$T$150,COLUMN()/2+1,FALSE))),"")</f>
        <v/>
      </c>
      <c r="U120" s="79"/>
      <c r="V120" s="116" t="str">
        <f ca="1">IFERROR(VALUE(IF(VLOOKUP($A120,数出表_Excel!$A$6:$T$150,COLUMN()/2+1,FALSE)=0,"",VLOOKUP($A120,数出表_Excel!$A$6:$T$150,COLUMN()/2+1,FALSE))),"")</f>
        <v/>
      </c>
      <c r="W120" s="79"/>
      <c r="X120" s="116" t="str">
        <f ca="1">IFERROR(VALUE(IF(VLOOKUP($A120,数出表_Excel!$A$6:$T$150,COLUMN()/2+1,FALSE)=0,"",VLOOKUP($A120,数出表_Excel!$A$6:$T$150,COLUMN()/2+1,FALSE))),"")</f>
        <v/>
      </c>
      <c r="Y120" s="79"/>
      <c r="Z120" s="116" t="str">
        <f ca="1">IFERROR(VALUE(IF(VLOOKUP($A120,数出表_Excel!$A$6:$T$150,COLUMN()/2+1,FALSE)=0,"",VLOOKUP($A120,数出表_Excel!$A$6:$T$150,COLUMN()/2+1,FALSE))),"")</f>
        <v/>
      </c>
      <c r="AA120" s="117"/>
      <c r="AB120" s="115" t="str">
        <f ca="1">IFERROR(VALUE(IF(VLOOKUP($A120,数出表_Excel!$A$6:$T$150,COLUMN()/2+1,FALSE)=0,"",VLOOKUP($A120,数出表_Excel!$A$6:$T$150,COLUMN()/2+1,FALSE))),"")</f>
        <v/>
      </c>
      <c r="AC120" s="79"/>
      <c r="AD120" s="116" t="str">
        <f ca="1">IFERROR(VALUE(IF(VLOOKUP($A120,数出表_Excel!$A$6:$T$150,COLUMN()/2+1,FALSE)=0,"",VLOOKUP($A120,数出表_Excel!$A$6:$T$150,COLUMN()/2+1,FALSE))),"")</f>
        <v/>
      </c>
      <c r="AE120" s="79"/>
      <c r="AF120" s="116" t="str">
        <f ca="1">IFERROR(VALUE(IF(VLOOKUP($A120,数出表_Excel!$A$6:$T$150,COLUMN()/2+1,FALSE)=0,"",VLOOKUP($A120,数出表_Excel!$A$6:$T$150,COLUMN()/2+1,FALSE))),"")</f>
        <v/>
      </c>
      <c r="AG120" s="79"/>
      <c r="AH120" s="116" t="str">
        <f ca="1">IFERROR(VALUE(IF(VLOOKUP($A120,数出表_Excel!$A$6:$T$150,COLUMN()/2+1,FALSE)=0,"",VLOOKUP($A120,数出表_Excel!$A$6:$T$150,COLUMN()/2+1,FALSE))),"")</f>
        <v/>
      </c>
      <c r="AI120" s="117"/>
      <c r="AJ120" s="115" t="str">
        <f ca="1">IFERROR(VALUE(IF(VLOOKUP($A120,数出表_Excel!$A$6:$T$150,COLUMN()/2+1,FALSE)=0,"",VLOOKUP($A120,数出表_Excel!$A$6:$T$150,COLUMN()/2+1,FALSE))),"")</f>
        <v/>
      </c>
      <c r="AK120" s="79"/>
      <c r="AL120" s="83" t="e">
        <f ca="1">IF(A120&lt;&gt;"",
IF(VLOOKUP($A120,数出表_Excel!$A$6:$T$150,COLUMN()/2+1,FALSE)=0,"",VLOOKUP($A120,数出表_Excel!$A$6:$T$150,COLUMN()/2+1,FALSE)),"")</f>
        <v>#N/A</v>
      </c>
      <c r="AM120" s="164" t="e">
        <f>数出表_Excel!V120</f>
        <v>#N/A</v>
      </c>
      <c r="AN120" s="165" t="e">
        <f>数出表_Excel!W120</f>
        <v>#N/A</v>
      </c>
    </row>
    <row r="121" spans="1:40" ht="16.2" customHeight="1">
      <c r="A121" s="127" t="e">
        <f t="array" aca="1" ref="A121" ca="1">IF(OR(COUNTIF(A119,"*1000*"),COUNTIF(A119,"")),"",INDEX(貼り付け用!$A1:$A200,MATCH(A119,貼り付け用!$A1:$A200,0)+2,0))</f>
        <v>#N/A</v>
      </c>
      <c r="B121" s="80" t="str">
        <f ca="1">IFERROR(VALUE(IF(VLOOKUP($A121,数出表_Excel!$A$6:$T$150,COLUMN()/2+1,FALSE)=0,"",VLOOKUP($A121,数出表_Excel!$A$6:$T$150,COLUMN()/2+1,FALSE))),"")</f>
        <v/>
      </c>
      <c r="C121" s="80"/>
      <c r="D121" s="80" t="str">
        <f ca="1">IFERROR(VALUE(IF(VLOOKUP($A121,数出表_Excel!$A$6:$T$150,COLUMN()/2+1,FALSE)=0,"",VLOOKUP($A121,数出表_Excel!$A$6:$T$150,COLUMN()/2+1,FALSE))),"")</f>
        <v/>
      </c>
      <c r="E121" s="80"/>
      <c r="F121" s="84" t="str">
        <f ca="1">IFERROR(VALUE(IF(VLOOKUP($A121,数出表_Excel!$A$6:$T$150,COLUMN()/2+1,FALSE)=0,"",VLOOKUP($A121,数出表_Excel!$A$6:$T$150,COLUMN()/2+1,FALSE))),"")</f>
        <v/>
      </c>
      <c r="G121" s="80"/>
      <c r="H121" s="80" t="str">
        <f ca="1">IFERROR(VALUE(IF(VLOOKUP($A121,数出表_Excel!$A$6:$T$150,COLUMN()/2+1,FALSE)=0,"",VLOOKUP($A121,数出表_Excel!$A$6:$T$150,COLUMN()/2+1,FALSE))),"")</f>
        <v/>
      </c>
      <c r="I121" s="80"/>
      <c r="J121" s="80" t="str">
        <f ca="1">IFERROR(VALUE(IF(VLOOKUP($A121,数出表_Excel!$A$6:$T$150,COLUMN()/2+1,FALSE)=0,"",VLOOKUP($A121,数出表_Excel!$A$6:$T$150,COLUMN()/2+1,FALSE))),"")</f>
        <v/>
      </c>
      <c r="K121" s="80"/>
      <c r="L121" s="84" t="str">
        <f ca="1">IFERROR(VALUE(IF(VLOOKUP($A121,数出表_Excel!$A$6:$T$150,COLUMN()/2+1,FALSE)=0,"",VLOOKUP($A121,数出表_Excel!$A$6:$T$150,COLUMN()/2+1,FALSE))),"")</f>
        <v/>
      </c>
      <c r="M121" s="80"/>
      <c r="N121" s="80" t="str">
        <f ca="1">IFERROR(VALUE(IF(VLOOKUP($A121,数出表_Excel!$A$6:$T$150,COLUMN()/2+1,FALSE)=0,"",VLOOKUP($A121,数出表_Excel!$A$6:$T$150,COLUMN()/2+1,FALSE))),"")</f>
        <v/>
      </c>
      <c r="O121" s="80"/>
      <c r="P121" s="80" t="str">
        <f ca="1">IFERROR(VALUE(IF(VLOOKUP($A121,数出表_Excel!$A$6:$T$150,COLUMN()/2+1,FALSE)=0,"",VLOOKUP($A121,数出表_Excel!$A$6:$T$150,COLUMN()/2+1,FALSE))),"")</f>
        <v/>
      </c>
      <c r="Q121" s="80"/>
      <c r="R121" s="80" t="str">
        <f ca="1">IFERROR(VALUE(IF(VLOOKUP($A121,数出表_Excel!$A$6:$T$150,COLUMN()/2+1,FALSE)=0,"",VLOOKUP($A121,数出表_Excel!$A$6:$T$150,COLUMN()/2+1,FALSE))),"")</f>
        <v/>
      </c>
      <c r="S121" s="80"/>
      <c r="T121" s="80" t="str">
        <f ca="1">IFERROR(VALUE(IF(VLOOKUP($A121,数出表_Excel!$A$6:$T$150,COLUMN()/2+1,FALSE)=0,"",VLOOKUP($A121,数出表_Excel!$A$6:$T$150,COLUMN()/2+1,FALSE))),"")</f>
        <v/>
      </c>
      <c r="U121" s="80"/>
      <c r="V121" s="84" t="str">
        <f ca="1">IFERROR(VALUE(IF(VLOOKUP($A121,数出表_Excel!$A$6:$T$150,COLUMN()/2+1,FALSE)=0,"",VLOOKUP($A121,数出表_Excel!$A$6:$T$150,COLUMN()/2+1,FALSE))),"")</f>
        <v/>
      </c>
      <c r="W121" s="80"/>
      <c r="X121" s="84" t="str">
        <f ca="1">IFERROR(VALUE(IF(VLOOKUP($A121,数出表_Excel!$A$6:$T$150,COLUMN()/2+1,FALSE)=0,"",VLOOKUP($A121,数出表_Excel!$A$6:$T$150,COLUMN()/2+1,FALSE))),"")</f>
        <v/>
      </c>
      <c r="Y121" s="80"/>
      <c r="Z121" s="84" t="str">
        <f ca="1">IFERROR(VALUE(IF(VLOOKUP($A121,数出表_Excel!$A$6:$T$150,COLUMN()/2+1,FALSE)=0,"",VLOOKUP($A121,数出表_Excel!$A$6:$T$150,COLUMN()/2+1,FALSE))),"")</f>
        <v/>
      </c>
      <c r="AA121" s="118"/>
      <c r="AB121" s="85" t="str">
        <f ca="1">IFERROR(VALUE(IF(VLOOKUP($A121,数出表_Excel!$A$6:$T$150,COLUMN()/2+1,FALSE)=0,"",VLOOKUP($A121,数出表_Excel!$A$6:$T$150,COLUMN()/2+1,FALSE))),"")</f>
        <v/>
      </c>
      <c r="AC121" s="80"/>
      <c r="AD121" s="84" t="str">
        <f ca="1">IFERROR(VALUE(IF(VLOOKUP($A121,数出表_Excel!$A$6:$T$150,COLUMN()/2+1,FALSE)=0,"",VLOOKUP($A121,数出表_Excel!$A$6:$T$150,COLUMN()/2+1,FALSE))),"")</f>
        <v/>
      </c>
      <c r="AE121" s="80"/>
      <c r="AF121" s="84" t="str">
        <f ca="1">IFERROR(VALUE(IF(VLOOKUP($A121,数出表_Excel!$A$6:$T$150,COLUMN()/2+1,FALSE)=0,"",VLOOKUP($A121,数出表_Excel!$A$6:$T$150,COLUMN()/2+1,FALSE))),"")</f>
        <v/>
      </c>
      <c r="AG121" s="80"/>
      <c r="AH121" s="84" t="str">
        <f ca="1">IFERROR(VALUE(IF(VLOOKUP($A121,数出表_Excel!$A$6:$T$150,COLUMN()/2+1,FALSE)=0,"",VLOOKUP($A121,数出表_Excel!$A$6:$T$150,COLUMN()/2+1,FALSE))),"")</f>
        <v/>
      </c>
      <c r="AI121" s="118"/>
      <c r="AJ121" s="85" t="str">
        <f ca="1">IFERROR(VALUE(IF(VLOOKUP($A121,数出表_Excel!$A$6:$T$150,COLUMN()/2+1,FALSE)=0,"",VLOOKUP($A121,数出表_Excel!$A$6:$T$150,COLUMN()/2+1,FALSE))),"")</f>
        <v/>
      </c>
      <c r="AK121" s="80"/>
      <c r="AL121" s="86" t="e">
        <f ca="1">IF(A121&lt;&gt;"",
IF(VLOOKUP($A121,数出表_Excel!$A$6:$T$150,COLUMN()/2+1,FALSE)=0,"",VLOOKUP($A121,数出表_Excel!$A$6:$T$150,COLUMN()/2+1,FALSE)),"")</f>
        <v>#N/A</v>
      </c>
      <c r="AM121" s="166" t="e">
        <f>数出表_Excel!V121</f>
        <v>#N/A</v>
      </c>
      <c r="AN121" s="167" t="e">
        <f>数出表_Excel!W121</f>
        <v>#N/A</v>
      </c>
    </row>
    <row r="122" spans="1:40" ht="16.2" customHeight="1">
      <c r="A122" s="126" t="e">
        <f t="array" aca="1" ref="A122" ca="1">IF(OR(COUNTIF(A120,"*10002*"),COUNTIF(A120,"")),"",INDEX(貼り付け用!$A1:$A200,MATCH(A120,貼り付け用!$A1:$A200,0)+2,0))</f>
        <v>#N/A</v>
      </c>
      <c r="B122" s="114" t="str">
        <f ca="1">IFERROR(VALUE(IF(VLOOKUP($A122,数出表_Excel!$A$6:$T$150,COLUMN()/2+1,FALSE)=0,"",VLOOKUP($A122,数出表_Excel!$A$6:$T$150,COLUMN()/2+1,FALSE))),"")</f>
        <v/>
      </c>
      <c r="C122" s="79"/>
      <c r="D122" s="114" t="str">
        <f ca="1">IFERROR(VALUE(IF(VLOOKUP($A122,数出表_Excel!$A$6:$T$150,COLUMN()/2+1,FALSE)=0,"",VLOOKUP($A122,数出表_Excel!$A$6:$T$150,COLUMN()/2+1,FALSE))),"")</f>
        <v/>
      </c>
      <c r="E122" s="79"/>
      <c r="F122" s="116" t="str">
        <f ca="1">IFERROR(VALUE(IF(VLOOKUP($A122,数出表_Excel!$A$6:$T$150,COLUMN()/2+1,FALSE)=0,"",VLOOKUP($A122,数出表_Excel!$A$6:$T$150,COLUMN()/2+1,FALSE))),"")</f>
        <v/>
      </c>
      <c r="G122" s="79"/>
      <c r="H122" s="114" t="str">
        <f ca="1">IFERROR(VALUE(IF(VLOOKUP($A122,数出表_Excel!$A$6:$T$150,COLUMN()/2+1,FALSE)=0,"",VLOOKUP($A122,数出表_Excel!$A$6:$T$150,COLUMN()/2+1,FALSE))),"")</f>
        <v/>
      </c>
      <c r="I122" s="79"/>
      <c r="J122" s="114" t="str">
        <f ca="1">IFERROR(VALUE(IF(VLOOKUP($A122,数出表_Excel!$A$6:$T$150,COLUMN()/2+1,FALSE)=0,"",VLOOKUP($A122,数出表_Excel!$A$6:$T$150,COLUMN()/2+1,FALSE))),"")</f>
        <v/>
      </c>
      <c r="K122" s="79"/>
      <c r="L122" s="116" t="str">
        <f ca="1">IFERROR(VALUE(IF(VLOOKUP($A122,数出表_Excel!$A$6:$T$150,COLUMN()/2+1,FALSE)=0,"",VLOOKUP($A122,数出表_Excel!$A$6:$T$150,COLUMN()/2+1,FALSE))),"")</f>
        <v/>
      </c>
      <c r="M122" s="79"/>
      <c r="N122" s="114" t="str">
        <f ca="1">IFERROR(VALUE(IF(VLOOKUP($A122,数出表_Excel!$A$6:$T$150,COLUMN()/2+1,FALSE)=0,"",VLOOKUP($A122,数出表_Excel!$A$6:$T$150,COLUMN()/2+1,FALSE))),"")</f>
        <v/>
      </c>
      <c r="O122" s="79"/>
      <c r="P122" s="114" t="str">
        <f ca="1">IFERROR(VALUE(IF(VLOOKUP($A122,数出表_Excel!$A$6:$T$150,COLUMN()/2+1,FALSE)=0,"",VLOOKUP($A122,数出表_Excel!$A$6:$T$150,COLUMN()/2+1,FALSE))),"")</f>
        <v/>
      </c>
      <c r="Q122" s="79"/>
      <c r="R122" s="114" t="str">
        <f ca="1">IFERROR(VALUE(IF(VLOOKUP($A122,数出表_Excel!$A$6:$T$150,COLUMN()/2+1,FALSE)=0,"",VLOOKUP($A122,数出表_Excel!$A$6:$T$150,COLUMN()/2+1,FALSE))),"")</f>
        <v/>
      </c>
      <c r="S122" s="79"/>
      <c r="T122" s="114" t="str">
        <f ca="1">IFERROR(VALUE(IF(VLOOKUP($A122,数出表_Excel!$A$6:$T$150,COLUMN()/2+1,FALSE)=0,"",VLOOKUP($A122,数出表_Excel!$A$6:$T$150,COLUMN()/2+1,FALSE))),"")</f>
        <v/>
      </c>
      <c r="U122" s="79"/>
      <c r="V122" s="116" t="str">
        <f ca="1">IFERROR(VALUE(IF(VLOOKUP($A122,数出表_Excel!$A$6:$T$150,COLUMN()/2+1,FALSE)=0,"",VLOOKUP($A122,数出表_Excel!$A$6:$T$150,COLUMN()/2+1,FALSE))),"")</f>
        <v/>
      </c>
      <c r="W122" s="79"/>
      <c r="X122" s="116" t="str">
        <f ca="1">IFERROR(VALUE(IF(VLOOKUP($A122,数出表_Excel!$A$6:$T$150,COLUMN()/2+1,FALSE)=0,"",VLOOKUP($A122,数出表_Excel!$A$6:$T$150,COLUMN()/2+1,FALSE))),"")</f>
        <v/>
      </c>
      <c r="Y122" s="79"/>
      <c r="Z122" s="116" t="str">
        <f ca="1">IFERROR(VALUE(IF(VLOOKUP($A122,数出表_Excel!$A$6:$T$150,COLUMN()/2+1,FALSE)=0,"",VLOOKUP($A122,数出表_Excel!$A$6:$T$150,COLUMN()/2+1,FALSE))),"")</f>
        <v/>
      </c>
      <c r="AA122" s="117"/>
      <c r="AB122" s="115" t="str">
        <f ca="1">IFERROR(VALUE(IF(VLOOKUP($A122,数出表_Excel!$A$6:$T$150,COLUMN()/2+1,FALSE)=0,"",VLOOKUP($A122,数出表_Excel!$A$6:$T$150,COLUMN()/2+1,FALSE))),"")</f>
        <v/>
      </c>
      <c r="AC122" s="79"/>
      <c r="AD122" s="116" t="str">
        <f ca="1">IFERROR(VALUE(IF(VLOOKUP($A122,数出表_Excel!$A$6:$T$150,COLUMN()/2+1,FALSE)=0,"",VLOOKUP($A122,数出表_Excel!$A$6:$T$150,COLUMN()/2+1,FALSE))),"")</f>
        <v/>
      </c>
      <c r="AE122" s="79"/>
      <c r="AF122" s="116" t="str">
        <f ca="1">IFERROR(VALUE(IF(VLOOKUP($A122,数出表_Excel!$A$6:$T$150,COLUMN()/2+1,FALSE)=0,"",VLOOKUP($A122,数出表_Excel!$A$6:$T$150,COLUMN()/2+1,FALSE))),"")</f>
        <v/>
      </c>
      <c r="AG122" s="79"/>
      <c r="AH122" s="116" t="str">
        <f ca="1">IFERROR(VALUE(IF(VLOOKUP($A122,数出表_Excel!$A$6:$T$150,COLUMN()/2+1,FALSE)=0,"",VLOOKUP($A122,数出表_Excel!$A$6:$T$150,COLUMN()/2+1,FALSE))),"")</f>
        <v/>
      </c>
      <c r="AI122" s="117"/>
      <c r="AJ122" s="115" t="str">
        <f ca="1">IFERROR(VALUE(IF(VLOOKUP($A122,数出表_Excel!$A$6:$T$150,COLUMN()/2+1,FALSE)=0,"",VLOOKUP($A122,数出表_Excel!$A$6:$T$150,COLUMN()/2+1,FALSE))),"")</f>
        <v/>
      </c>
      <c r="AK122" s="79"/>
      <c r="AL122" s="83" t="e">
        <f ca="1">IF(A122&lt;&gt;"",
IF(VLOOKUP($A122,数出表_Excel!$A$6:$T$150,COLUMN()/2+1,FALSE)=0,"",VLOOKUP($A122,数出表_Excel!$A$6:$T$150,COLUMN()/2+1,FALSE)),"")</f>
        <v>#N/A</v>
      </c>
      <c r="AM122" s="164" t="e">
        <f>数出表_Excel!V122</f>
        <v>#N/A</v>
      </c>
      <c r="AN122" s="165" t="e">
        <f>数出表_Excel!W122</f>
        <v>#N/A</v>
      </c>
    </row>
    <row r="123" spans="1:40" ht="16.2" customHeight="1">
      <c r="A123" s="127" t="e">
        <f t="array" aca="1" ref="A123" ca="1">IF(OR(COUNTIF(A121,"*1000*"),COUNTIF(A121,"")),"",INDEX(貼り付け用!$A1:$A200,MATCH(A121,貼り付け用!$A1:$A200,0)+2,0))</f>
        <v>#N/A</v>
      </c>
      <c r="B123" s="80" t="str">
        <f ca="1">IFERROR(VALUE(IF(VLOOKUP($A123,数出表_Excel!$A$6:$T$150,COLUMN()/2+1,FALSE)=0,"",VLOOKUP($A123,数出表_Excel!$A$6:$T$150,COLUMN()/2+1,FALSE))),"")</f>
        <v/>
      </c>
      <c r="C123" s="80"/>
      <c r="D123" s="80" t="str">
        <f ca="1">IFERROR(VALUE(IF(VLOOKUP($A123,数出表_Excel!$A$6:$T$150,COLUMN()/2+1,FALSE)=0,"",VLOOKUP($A123,数出表_Excel!$A$6:$T$150,COLUMN()/2+1,FALSE))),"")</f>
        <v/>
      </c>
      <c r="E123" s="80"/>
      <c r="F123" s="84" t="str">
        <f ca="1">IFERROR(VALUE(IF(VLOOKUP($A123,数出表_Excel!$A$6:$T$150,COLUMN()/2+1,FALSE)=0,"",VLOOKUP($A123,数出表_Excel!$A$6:$T$150,COLUMN()/2+1,FALSE))),"")</f>
        <v/>
      </c>
      <c r="G123" s="80"/>
      <c r="H123" s="80" t="str">
        <f ca="1">IFERROR(VALUE(IF(VLOOKUP($A123,数出表_Excel!$A$6:$T$150,COLUMN()/2+1,FALSE)=0,"",VLOOKUP($A123,数出表_Excel!$A$6:$T$150,COLUMN()/2+1,FALSE))),"")</f>
        <v/>
      </c>
      <c r="I123" s="80"/>
      <c r="J123" s="80" t="str">
        <f ca="1">IFERROR(VALUE(IF(VLOOKUP($A123,数出表_Excel!$A$6:$T$150,COLUMN()/2+1,FALSE)=0,"",VLOOKUP($A123,数出表_Excel!$A$6:$T$150,COLUMN()/2+1,FALSE))),"")</f>
        <v/>
      </c>
      <c r="K123" s="80"/>
      <c r="L123" s="84" t="str">
        <f ca="1">IFERROR(VALUE(IF(VLOOKUP($A123,数出表_Excel!$A$6:$T$150,COLUMN()/2+1,FALSE)=0,"",VLOOKUP($A123,数出表_Excel!$A$6:$T$150,COLUMN()/2+1,FALSE))),"")</f>
        <v/>
      </c>
      <c r="M123" s="80"/>
      <c r="N123" s="80" t="str">
        <f ca="1">IFERROR(VALUE(IF(VLOOKUP($A123,数出表_Excel!$A$6:$T$150,COLUMN()/2+1,FALSE)=0,"",VLOOKUP($A123,数出表_Excel!$A$6:$T$150,COLUMN()/2+1,FALSE))),"")</f>
        <v/>
      </c>
      <c r="O123" s="80"/>
      <c r="P123" s="80" t="str">
        <f ca="1">IFERROR(VALUE(IF(VLOOKUP($A123,数出表_Excel!$A$6:$T$150,COLUMN()/2+1,FALSE)=0,"",VLOOKUP($A123,数出表_Excel!$A$6:$T$150,COLUMN()/2+1,FALSE))),"")</f>
        <v/>
      </c>
      <c r="Q123" s="80"/>
      <c r="R123" s="80" t="str">
        <f ca="1">IFERROR(VALUE(IF(VLOOKUP($A123,数出表_Excel!$A$6:$T$150,COLUMN()/2+1,FALSE)=0,"",VLOOKUP($A123,数出表_Excel!$A$6:$T$150,COLUMN()/2+1,FALSE))),"")</f>
        <v/>
      </c>
      <c r="S123" s="80"/>
      <c r="T123" s="80" t="str">
        <f ca="1">IFERROR(VALUE(IF(VLOOKUP($A123,数出表_Excel!$A$6:$T$150,COLUMN()/2+1,FALSE)=0,"",VLOOKUP($A123,数出表_Excel!$A$6:$T$150,COLUMN()/2+1,FALSE))),"")</f>
        <v/>
      </c>
      <c r="U123" s="80"/>
      <c r="V123" s="84" t="str">
        <f ca="1">IFERROR(VALUE(IF(VLOOKUP($A123,数出表_Excel!$A$6:$T$150,COLUMN()/2+1,FALSE)=0,"",VLOOKUP($A123,数出表_Excel!$A$6:$T$150,COLUMN()/2+1,FALSE))),"")</f>
        <v/>
      </c>
      <c r="W123" s="80"/>
      <c r="X123" s="84" t="str">
        <f ca="1">IFERROR(VALUE(IF(VLOOKUP($A123,数出表_Excel!$A$6:$T$150,COLUMN()/2+1,FALSE)=0,"",VLOOKUP($A123,数出表_Excel!$A$6:$T$150,COLUMN()/2+1,FALSE))),"")</f>
        <v/>
      </c>
      <c r="Y123" s="80"/>
      <c r="Z123" s="84" t="str">
        <f ca="1">IFERROR(VALUE(IF(VLOOKUP($A123,数出表_Excel!$A$6:$T$150,COLUMN()/2+1,FALSE)=0,"",VLOOKUP($A123,数出表_Excel!$A$6:$T$150,COLUMN()/2+1,FALSE))),"")</f>
        <v/>
      </c>
      <c r="AA123" s="118"/>
      <c r="AB123" s="85" t="str">
        <f ca="1">IFERROR(VALUE(IF(VLOOKUP($A123,数出表_Excel!$A$6:$T$150,COLUMN()/2+1,FALSE)=0,"",VLOOKUP($A123,数出表_Excel!$A$6:$T$150,COLUMN()/2+1,FALSE))),"")</f>
        <v/>
      </c>
      <c r="AC123" s="80"/>
      <c r="AD123" s="84" t="str">
        <f ca="1">IFERROR(VALUE(IF(VLOOKUP($A123,数出表_Excel!$A$6:$T$150,COLUMN()/2+1,FALSE)=0,"",VLOOKUP($A123,数出表_Excel!$A$6:$T$150,COLUMN()/2+1,FALSE))),"")</f>
        <v/>
      </c>
      <c r="AE123" s="80"/>
      <c r="AF123" s="84" t="str">
        <f ca="1">IFERROR(VALUE(IF(VLOOKUP($A123,数出表_Excel!$A$6:$T$150,COLUMN()/2+1,FALSE)=0,"",VLOOKUP($A123,数出表_Excel!$A$6:$T$150,COLUMN()/2+1,FALSE))),"")</f>
        <v/>
      </c>
      <c r="AG123" s="80"/>
      <c r="AH123" s="84" t="str">
        <f ca="1">IFERROR(VALUE(IF(VLOOKUP($A123,数出表_Excel!$A$6:$T$150,COLUMN()/2+1,FALSE)=0,"",VLOOKUP($A123,数出表_Excel!$A$6:$T$150,COLUMN()/2+1,FALSE))),"")</f>
        <v/>
      </c>
      <c r="AI123" s="118"/>
      <c r="AJ123" s="85" t="str">
        <f ca="1">IFERROR(VALUE(IF(VLOOKUP($A123,数出表_Excel!$A$6:$T$150,COLUMN()/2+1,FALSE)=0,"",VLOOKUP($A123,数出表_Excel!$A$6:$T$150,COLUMN()/2+1,FALSE))),"")</f>
        <v/>
      </c>
      <c r="AK123" s="80"/>
      <c r="AL123" s="86" t="e">
        <f ca="1">IF(A123&lt;&gt;"",
IF(VLOOKUP($A123,数出表_Excel!$A$6:$T$150,COLUMN()/2+1,FALSE)=0,"",VLOOKUP($A123,数出表_Excel!$A$6:$T$150,COLUMN()/2+1,FALSE)),"")</f>
        <v>#N/A</v>
      </c>
      <c r="AM123" s="166" t="e">
        <f>数出表_Excel!V123</f>
        <v>#N/A</v>
      </c>
      <c r="AN123" s="167" t="e">
        <f>数出表_Excel!W123</f>
        <v>#N/A</v>
      </c>
    </row>
    <row r="124" spans="1:40" ht="16.2" customHeight="1">
      <c r="A124" s="126" t="e">
        <f t="array" aca="1" ref="A124" ca="1">IF(OR(COUNTIF(A122,"*10002*"),COUNTIF(A122,"")),"",INDEX(貼り付け用!$A1:$A200,MATCH(A122,貼り付け用!$A1:$A200,0)+2,0))</f>
        <v>#N/A</v>
      </c>
      <c r="B124" s="114" t="str">
        <f ca="1">IFERROR(VALUE(IF(VLOOKUP($A124,数出表_Excel!$A$6:$T$150,COLUMN()/2+1,FALSE)=0,"",VLOOKUP($A124,数出表_Excel!$A$6:$T$150,COLUMN()/2+1,FALSE))),"")</f>
        <v/>
      </c>
      <c r="C124" s="79"/>
      <c r="D124" s="114" t="str">
        <f ca="1">IFERROR(VALUE(IF(VLOOKUP($A124,数出表_Excel!$A$6:$T$150,COLUMN()/2+1,FALSE)=0,"",VLOOKUP($A124,数出表_Excel!$A$6:$T$150,COLUMN()/2+1,FALSE))),"")</f>
        <v/>
      </c>
      <c r="E124" s="79"/>
      <c r="F124" s="116" t="str">
        <f ca="1">IFERROR(VALUE(IF(VLOOKUP($A124,数出表_Excel!$A$6:$T$150,COLUMN()/2+1,FALSE)=0,"",VLOOKUP($A124,数出表_Excel!$A$6:$T$150,COLUMN()/2+1,FALSE))),"")</f>
        <v/>
      </c>
      <c r="G124" s="79"/>
      <c r="H124" s="114" t="str">
        <f ca="1">IFERROR(VALUE(IF(VLOOKUP($A124,数出表_Excel!$A$6:$T$150,COLUMN()/2+1,FALSE)=0,"",VLOOKUP($A124,数出表_Excel!$A$6:$T$150,COLUMN()/2+1,FALSE))),"")</f>
        <v/>
      </c>
      <c r="I124" s="79"/>
      <c r="J124" s="114" t="str">
        <f ca="1">IFERROR(VALUE(IF(VLOOKUP($A124,数出表_Excel!$A$6:$T$150,COLUMN()/2+1,FALSE)=0,"",VLOOKUP($A124,数出表_Excel!$A$6:$T$150,COLUMN()/2+1,FALSE))),"")</f>
        <v/>
      </c>
      <c r="K124" s="79"/>
      <c r="L124" s="116" t="str">
        <f ca="1">IFERROR(VALUE(IF(VLOOKUP($A124,数出表_Excel!$A$6:$T$150,COLUMN()/2+1,FALSE)=0,"",VLOOKUP($A124,数出表_Excel!$A$6:$T$150,COLUMN()/2+1,FALSE))),"")</f>
        <v/>
      </c>
      <c r="M124" s="79"/>
      <c r="N124" s="114" t="str">
        <f ca="1">IFERROR(VALUE(IF(VLOOKUP($A124,数出表_Excel!$A$6:$T$150,COLUMN()/2+1,FALSE)=0,"",VLOOKUP($A124,数出表_Excel!$A$6:$T$150,COLUMN()/2+1,FALSE))),"")</f>
        <v/>
      </c>
      <c r="O124" s="79"/>
      <c r="P124" s="114" t="str">
        <f ca="1">IFERROR(VALUE(IF(VLOOKUP($A124,数出表_Excel!$A$6:$T$150,COLUMN()/2+1,FALSE)=0,"",VLOOKUP($A124,数出表_Excel!$A$6:$T$150,COLUMN()/2+1,FALSE))),"")</f>
        <v/>
      </c>
      <c r="Q124" s="79"/>
      <c r="R124" s="114" t="str">
        <f ca="1">IFERROR(VALUE(IF(VLOOKUP($A124,数出表_Excel!$A$6:$T$150,COLUMN()/2+1,FALSE)=0,"",VLOOKUP($A124,数出表_Excel!$A$6:$T$150,COLUMN()/2+1,FALSE))),"")</f>
        <v/>
      </c>
      <c r="S124" s="79"/>
      <c r="T124" s="114" t="str">
        <f ca="1">IFERROR(VALUE(IF(VLOOKUP($A124,数出表_Excel!$A$6:$T$150,COLUMN()/2+1,FALSE)=0,"",VLOOKUP($A124,数出表_Excel!$A$6:$T$150,COLUMN()/2+1,FALSE))),"")</f>
        <v/>
      </c>
      <c r="U124" s="79"/>
      <c r="V124" s="116" t="str">
        <f ca="1">IFERROR(VALUE(IF(VLOOKUP($A124,数出表_Excel!$A$6:$T$150,COLUMN()/2+1,FALSE)=0,"",VLOOKUP($A124,数出表_Excel!$A$6:$T$150,COLUMN()/2+1,FALSE))),"")</f>
        <v/>
      </c>
      <c r="W124" s="79"/>
      <c r="X124" s="116" t="str">
        <f ca="1">IFERROR(VALUE(IF(VLOOKUP($A124,数出表_Excel!$A$6:$T$150,COLUMN()/2+1,FALSE)=0,"",VLOOKUP($A124,数出表_Excel!$A$6:$T$150,COLUMN()/2+1,FALSE))),"")</f>
        <v/>
      </c>
      <c r="Y124" s="79"/>
      <c r="Z124" s="116" t="str">
        <f ca="1">IFERROR(VALUE(IF(VLOOKUP($A124,数出表_Excel!$A$6:$T$150,COLUMN()/2+1,FALSE)=0,"",VLOOKUP($A124,数出表_Excel!$A$6:$T$150,COLUMN()/2+1,FALSE))),"")</f>
        <v/>
      </c>
      <c r="AA124" s="117"/>
      <c r="AB124" s="115" t="str">
        <f ca="1">IFERROR(VALUE(IF(VLOOKUP($A124,数出表_Excel!$A$6:$T$150,COLUMN()/2+1,FALSE)=0,"",VLOOKUP($A124,数出表_Excel!$A$6:$T$150,COLUMN()/2+1,FALSE))),"")</f>
        <v/>
      </c>
      <c r="AC124" s="79"/>
      <c r="AD124" s="116" t="str">
        <f ca="1">IFERROR(VALUE(IF(VLOOKUP($A124,数出表_Excel!$A$6:$T$150,COLUMN()/2+1,FALSE)=0,"",VLOOKUP($A124,数出表_Excel!$A$6:$T$150,COLUMN()/2+1,FALSE))),"")</f>
        <v/>
      </c>
      <c r="AE124" s="79"/>
      <c r="AF124" s="116" t="str">
        <f ca="1">IFERROR(VALUE(IF(VLOOKUP($A124,数出表_Excel!$A$6:$T$150,COLUMN()/2+1,FALSE)=0,"",VLOOKUP($A124,数出表_Excel!$A$6:$T$150,COLUMN()/2+1,FALSE))),"")</f>
        <v/>
      </c>
      <c r="AG124" s="79"/>
      <c r="AH124" s="116" t="str">
        <f ca="1">IFERROR(VALUE(IF(VLOOKUP($A124,数出表_Excel!$A$6:$T$150,COLUMN()/2+1,FALSE)=0,"",VLOOKUP($A124,数出表_Excel!$A$6:$T$150,COLUMN()/2+1,FALSE))),"")</f>
        <v/>
      </c>
      <c r="AI124" s="117"/>
      <c r="AJ124" s="115" t="str">
        <f ca="1">IFERROR(VALUE(IF(VLOOKUP($A124,数出表_Excel!$A$6:$T$150,COLUMN()/2+1,FALSE)=0,"",VLOOKUP($A124,数出表_Excel!$A$6:$T$150,COLUMN()/2+1,FALSE))),"")</f>
        <v/>
      </c>
      <c r="AK124" s="79"/>
      <c r="AL124" s="83" t="e">
        <f ca="1">IF(A124&lt;&gt;"",
IF(VLOOKUP($A124,数出表_Excel!$A$6:$T$150,COLUMN()/2+1,FALSE)=0,"",VLOOKUP($A124,数出表_Excel!$A$6:$T$150,COLUMN()/2+1,FALSE)),"")</f>
        <v>#N/A</v>
      </c>
      <c r="AM124" s="164" t="e">
        <f>数出表_Excel!V124</f>
        <v>#N/A</v>
      </c>
      <c r="AN124" s="165" t="e">
        <f>数出表_Excel!W124</f>
        <v>#N/A</v>
      </c>
    </row>
    <row r="125" spans="1:40" ht="16.2" customHeight="1">
      <c r="A125" s="127" t="e">
        <f t="array" aca="1" ref="A125" ca="1">IF(OR(COUNTIF(A123,"*1000*"),COUNTIF(A123,"")),"",INDEX(貼り付け用!$A1:$A200,MATCH(A123,貼り付け用!$A1:$A200,0)+2,0))</f>
        <v>#N/A</v>
      </c>
      <c r="B125" s="80" t="str">
        <f ca="1">IFERROR(VALUE(IF(VLOOKUP($A125,数出表_Excel!$A$6:$T$150,COLUMN()/2+1,FALSE)=0,"",VLOOKUP($A125,数出表_Excel!$A$6:$T$150,COLUMN()/2+1,FALSE))),"")</f>
        <v/>
      </c>
      <c r="C125" s="80"/>
      <c r="D125" s="80" t="str">
        <f ca="1">IFERROR(VALUE(IF(VLOOKUP($A125,数出表_Excel!$A$6:$T$150,COLUMN()/2+1,FALSE)=0,"",VLOOKUP($A125,数出表_Excel!$A$6:$T$150,COLUMN()/2+1,FALSE))),"")</f>
        <v/>
      </c>
      <c r="E125" s="80"/>
      <c r="F125" s="84" t="str">
        <f ca="1">IFERROR(VALUE(IF(VLOOKUP($A125,数出表_Excel!$A$6:$T$150,COLUMN()/2+1,FALSE)=0,"",VLOOKUP($A125,数出表_Excel!$A$6:$T$150,COLUMN()/2+1,FALSE))),"")</f>
        <v/>
      </c>
      <c r="G125" s="80"/>
      <c r="H125" s="80" t="str">
        <f ca="1">IFERROR(VALUE(IF(VLOOKUP($A125,数出表_Excel!$A$6:$T$150,COLUMN()/2+1,FALSE)=0,"",VLOOKUP($A125,数出表_Excel!$A$6:$T$150,COLUMN()/2+1,FALSE))),"")</f>
        <v/>
      </c>
      <c r="I125" s="80"/>
      <c r="J125" s="80" t="str">
        <f ca="1">IFERROR(VALUE(IF(VLOOKUP($A125,数出表_Excel!$A$6:$T$150,COLUMN()/2+1,FALSE)=0,"",VLOOKUP($A125,数出表_Excel!$A$6:$T$150,COLUMN()/2+1,FALSE))),"")</f>
        <v/>
      </c>
      <c r="K125" s="80"/>
      <c r="L125" s="84" t="str">
        <f ca="1">IFERROR(VALUE(IF(VLOOKUP($A125,数出表_Excel!$A$6:$T$150,COLUMN()/2+1,FALSE)=0,"",VLOOKUP($A125,数出表_Excel!$A$6:$T$150,COLUMN()/2+1,FALSE))),"")</f>
        <v/>
      </c>
      <c r="M125" s="80"/>
      <c r="N125" s="80" t="str">
        <f ca="1">IFERROR(VALUE(IF(VLOOKUP($A125,数出表_Excel!$A$6:$T$150,COLUMN()/2+1,FALSE)=0,"",VLOOKUP($A125,数出表_Excel!$A$6:$T$150,COLUMN()/2+1,FALSE))),"")</f>
        <v/>
      </c>
      <c r="O125" s="80"/>
      <c r="P125" s="80" t="str">
        <f ca="1">IFERROR(VALUE(IF(VLOOKUP($A125,数出表_Excel!$A$6:$T$150,COLUMN()/2+1,FALSE)=0,"",VLOOKUP($A125,数出表_Excel!$A$6:$T$150,COLUMN()/2+1,FALSE))),"")</f>
        <v/>
      </c>
      <c r="Q125" s="80"/>
      <c r="R125" s="80" t="str">
        <f ca="1">IFERROR(VALUE(IF(VLOOKUP($A125,数出表_Excel!$A$6:$T$150,COLUMN()/2+1,FALSE)=0,"",VLOOKUP($A125,数出表_Excel!$A$6:$T$150,COLUMN()/2+1,FALSE))),"")</f>
        <v/>
      </c>
      <c r="S125" s="80"/>
      <c r="T125" s="80" t="str">
        <f ca="1">IFERROR(VALUE(IF(VLOOKUP($A125,数出表_Excel!$A$6:$T$150,COLUMN()/2+1,FALSE)=0,"",VLOOKUP($A125,数出表_Excel!$A$6:$T$150,COLUMN()/2+1,FALSE))),"")</f>
        <v/>
      </c>
      <c r="U125" s="80"/>
      <c r="V125" s="84" t="str">
        <f ca="1">IFERROR(VALUE(IF(VLOOKUP($A125,数出表_Excel!$A$6:$T$150,COLUMN()/2+1,FALSE)=0,"",VLOOKUP($A125,数出表_Excel!$A$6:$T$150,COLUMN()/2+1,FALSE))),"")</f>
        <v/>
      </c>
      <c r="W125" s="80"/>
      <c r="X125" s="84" t="str">
        <f ca="1">IFERROR(VALUE(IF(VLOOKUP($A125,数出表_Excel!$A$6:$T$150,COLUMN()/2+1,FALSE)=0,"",VLOOKUP($A125,数出表_Excel!$A$6:$T$150,COLUMN()/2+1,FALSE))),"")</f>
        <v/>
      </c>
      <c r="Y125" s="80"/>
      <c r="Z125" s="84" t="str">
        <f ca="1">IFERROR(VALUE(IF(VLOOKUP($A125,数出表_Excel!$A$6:$T$150,COLUMN()/2+1,FALSE)=0,"",VLOOKUP($A125,数出表_Excel!$A$6:$T$150,COLUMN()/2+1,FALSE))),"")</f>
        <v/>
      </c>
      <c r="AA125" s="118"/>
      <c r="AB125" s="85" t="str">
        <f ca="1">IFERROR(VALUE(IF(VLOOKUP($A125,数出表_Excel!$A$6:$T$150,COLUMN()/2+1,FALSE)=0,"",VLOOKUP($A125,数出表_Excel!$A$6:$T$150,COLUMN()/2+1,FALSE))),"")</f>
        <v/>
      </c>
      <c r="AC125" s="80"/>
      <c r="AD125" s="84" t="str">
        <f ca="1">IFERROR(VALUE(IF(VLOOKUP($A125,数出表_Excel!$A$6:$T$150,COLUMN()/2+1,FALSE)=0,"",VLOOKUP($A125,数出表_Excel!$A$6:$T$150,COLUMN()/2+1,FALSE))),"")</f>
        <v/>
      </c>
      <c r="AE125" s="80"/>
      <c r="AF125" s="84" t="str">
        <f ca="1">IFERROR(VALUE(IF(VLOOKUP($A125,数出表_Excel!$A$6:$T$150,COLUMN()/2+1,FALSE)=0,"",VLOOKUP($A125,数出表_Excel!$A$6:$T$150,COLUMN()/2+1,FALSE))),"")</f>
        <v/>
      </c>
      <c r="AG125" s="80"/>
      <c r="AH125" s="84" t="str">
        <f ca="1">IFERROR(VALUE(IF(VLOOKUP($A125,数出表_Excel!$A$6:$T$150,COLUMN()/2+1,FALSE)=0,"",VLOOKUP($A125,数出表_Excel!$A$6:$T$150,COLUMN()/2+1,FALSE))),"")</f>
        <v/>
      </c>
      <c r="AI125" s="118"/>
      <c r="AJ125" s="85" t="str">
        <f ca="1">IFERROR(VALUE(IF(VLOOKUP($A125,数出表_Excel!$A$6:$T$150,COLUMN()/2+1,FALSE)=0,"",VLOOKUP($A125,数出表_Excel!$A$6:$T$150,COLUMN()/2+1,FALSE))),"")</f>
        <v/>
      </c>
      <c r="AK125" s="80"/>
      <c r="AL125" s="86" t="e">
        <f ca="1">IF(A125&lt;&gt;"",
IF(VLOOKUP($A125,数出表_Excel!$A$6:$T$150,COLUMN()/2+1,FALSE)=0,"",VLOOKUP($A125,数出表_Excel!$A$6:$T$150,COLUMN()/2+1,FALSE)),"")</f>
        <v>#N/A</v>
      </c>
      <c r="AM125" s="166" t="e">
        <f>数出表_Excel!V125</f>
        <v>#N/A</v>
      </c>
      <c r="AN125" s="167" t="e">
        <f>数出表_Excel!W125</f>
        <v>#N/A</v>
      </c>
    </row>
    <row r="126" spans="1:40" ht="16.2" customHeight="1">
      <c r="A126" s="126" t="e">
        <f t="array" aca="1" ref="A126" ca="1">IF(OR(COUNTIF(A124,"*10002*"),COUNTIF(A124,"")),"",INDEX(貼り付け用!$A1:$A200,MATCH(A124,貼り付け用!$A1:$A200,0)+2,0))</f>
        <v>#N/A</v>
      </c>
      <c r="B126" s="114" t="str">
        <f ca="1">IFERROR(VALUE(IF(VLOOKUP($A126,数出表_Excel!$A$6:$T$150,COLUMN()/2+1,FALSE)=0,"",VLOOKUP($A126,数出表_Excel!$A$6:$T$150,COLUMN()/2+1,FALSE))),"")</f>
        <v/>
      </c>
      <c r="C126" s="79"/>
      <c r="D126" s="114" t="str">
        <f ca="1">IFERROR(VALUE(IF(VLOOKUP($A126,数出表_Excel!$A$6:$T$150,COLUMN()/2+1,FALSE)=0,"",VLOOKUP($A126,数出表_Excel!$A$6:$T$150,COLUMN()/2+1,FALSE))),"")</f>
        <v/>
      </c>
      <c r="E126" s="79"/>
      <c r="F126" s="116" t="str">
        <f ca="1">IFERROR(VALUE(IF(VLOOKUP($A126,数出表_Excel!$A$6:$T$150,COLUMN()/2+1,FALSE)=0,"",VLOOKUP($A126,数出表_Excel!$A$6:$T$150,COLUMN()/2+1,FALSE))),"")</f>
        <v/>
      </c>
      <c r="G126" s="79"/>
      <c r="H126" s="114" t="str">
        <f ca="1">IFERROR(VALUE(IF(VLOOKUP($A126,数出表_Excel!$A$6:$T$150,COLUMN()/2+1,FALSE)=0,"",VLOOKUP($A126,数出表_Excel!$A$6:$T$150,COLUMN()/2+1,FALSE))),"")</f>
        <v/>
      </c>
      <c r="I126" s="79"/>
      <c r="J126" s="114" t="str">
        <f ca="1">IFERROR(VALUE(IF(VLOOKUP($A126,数出表_Excel!$A$6:$T$150,COLUMN()/2+1,FALSE)=0,"",VLOOKUP($A126,数出表_Excel!$A$6:$T$150,COLUMN()/2+1,FALSE))),"")</f>
        <v/>
      </c>
      <c r="K126" s="79"/>
      <c r="L126" s="116" t="str">
        <f ca="1">IFERROR(VALUE(IF(VLOOKUP($A126,数出表_Excel!$A$6:$T$150,COLUMN()/2+1,FALSE)=0,"",VLOOKUP($A126,数出表_Excel!$A$6:$T$150,COLUMN()/2+1,FALSE))),"")</f>
        <v/>
      </c>
      <c r="M126" s="79"/>
      <c r="N126" s="114" t="str">
        <f ca="1">IFERROR(VALUE(IF(VLOOKUP($A126,数出表_Excel!$A$6:$T$150,COLUMN()/2+1,FALSE)=0,"",VLOOKUP($A126,数出表_Excel!$A$6:$T$150,COLUMN()/2+1,FALSE))),"")</f>
        <v/>
      </c>
      <c r="O126" s="79"/>
      <c r="P126" s="114" t="str">
        <f ca="1">IFERROR(VALUE(IF(VLOOKUP($A126,数出表_Excel!$A$6:$T$150,COLUMN()/2+1,FALSE)=0,"",VLOOKUP($A126,数出表_Excel!$A$6:$T$150,COLUMN()/2+1,FALSE))),"")</f>
        <v/>
      </c>
      <c r="Q126" s="79"/>
      <c r="R126" s="114" t="str">
        <f ca="1">IFERROR(VALUE(IF(VLOOKUP($A126,数出表_Excel!$A$6:$T$150,COLUMN()/2+1,FALSE)=0,"",VLOOKUP($A126,数出表_Excel!$A$6:$T$150,COLUMN()/2+1,FALSE))),"")</f>
        <v/>
      </c>
      <c r="S126" s="79"/>
      <c r="T126" s="114" t="str">
        <f ca="1">IFERROR(VALUE(IF(VLOOKUP($A126,数出表_Excel!$A$6:$T$150,COLUMN()/2+1,FALSE)=0,"",VLOOKUP($A126,数出表_Excel!$A$6:$T$150,COLUMN()/2+1,FALSE))),"")</f>
        <v/>
      </c>
      <c r="U126" s="79"/>
      <c r="V126" s="116" t="str">
        <f ca="1">IFERROR(VALUE(IF(VLOOKUP($A126,数出表_Excel!$A$6:$T$150,COLUMN()/2+1,FALSE)=0,"",VLOOKUP($A126,数出表_Excel!$A$6:$T$150,COLUMN()/2+1,FALSE))),"")</f>
        <v/>
      </c>
      <c r="W126" s="79"/>
      <c r="X126" s="116" t="str">
        <f ca="1">IFERROR(VALUE(IF(VLOOKUP($A126,数出表_Excel!$A$6:$T$150,COLUMN()/2+1,FALSE)=0,"",VLOOKUP($A126,数出表_Excel!$A$6:$T$150,COLUMN()/2+1,FALSE))),"")</f>
        <v/>
      </c>
      <c r="Y126" s="79"/>
      <c r="Z126" s="116" t="str">
        <f ca="1">IFERROR(VALUE(IF(VLOOKUP($A126,数出表_Excel!$A$6:$T$150,COLUMN()/2+1,FALSE)=0,"",VLOOKUP($A126,数出表_Excel!$A$6:$T$150,COLUMN()/2+1,FALSE))),"")</f>
        <v/>
      </c>
      <c r="AA126" s="117"/>
      <c r="AB126" s="115" t="str">
        <f ca="1">IFERROR(VALUE(IF(VLOOKUP($A126,数出表_Excel!$A$6:$T$150,COLUMN()/2+1,FALSE)=0,"",VLOOKUP($A126,数出表_Excel!$A$6:$T$150,COLUMN()/2+1,FALSE))),"")</f>
        <v/>
      </c>
      <c r="AC126" s="79"/>
      <c r="AD126" s="116" t="str">
        <f ca="1">IFERROR(VALUE(IF(VLOOKUP($A126,数出表_Excel!$A$6:$T$150,COLUMN()/2+1,FALSE)=0,"",VLOOKUP($A126,数出表_Excel!$A$6:$T$150,COLUMN()/2+1,FALSE))),"")</f>
        <v/>
      </c>
      <c r="AE126" s="79"/>
      <c r="AF126" s="116" t="str">
        <f ca="1">IFERROR(VALUE(IF(VLOOKUP($A126,数出表_Excel!$A$6:$T$150,COLUMN()/2+1,FALSE)=0,"",VLOOKUP($A126,数出表_Excel!$A$6:$T$150,COLUMN()/2+1,FALSE))),"")</f>
        <v/>
      </c>
      <c r="AG126" s="79"/>
      <c r="AH126" s="116" t="str">
        <f ca="1">IFERROR(VALUE(IF(VLOOKUP($A126,数出表_Excel!$A$6:$T$150,COLUMN()/2+1,FALSE)=0,"",VLOOKUP($A126,数出表_Excel!$A$6:$T$150,COLUMN()/2+1,FALSE))),"")</f>
        <v/>
      </c>
      <c r="AI126" s="117"/>
      <c r="AJ126" s="115" t="str">
        <f ca="1">IFERROR(VALUE(IF(VLOOKUP($A126,数出表_Excel!$A$6:$T$150,COLUMN()/2+1,FALSE)=0,"",VLOOKUP($A126,数出表_Excel!$A$6:$T$150,COLUMN()/2+1,FALSE))),"")</f>
        <v/>
      </c>
      <c r="AK126" s="79"/>
      <c r="AL126" s="83" t="e">
        <f ca="1">IF(A126&lt;&gt;"",
IF(VLOOKUP($A126,数出表_Excel!$A$6:$T$150,COLUMN()/2+1,FALSE)=0,"",VLOOKUP($A126,数出表_Excel!$A$6:$T$150,COLUMN()/2+1,FALSE)),"")</f>
        <v>#N/A</v>
      </c>
      <c r="AM126" s="164" t="e">
        <f>数出表_Excel!V126</f>
        <v>#N/A</v>
      </c>
      <c r="AN126" s="165" t="e">
        <f>数出表_Excel!W126</f>
        <v>#N/A</v>
      </c>
    </row>
    <row r="127" spans="1:40" ht="16.2" customHeight="1">
      <c r="A127" s="127" t="e">
        <f t="array" aca="1" ref="A127" ca="1">IF(OR(COUNTIF(A125,"*1000*"),COUNTIF(A125,"")),"",INDEX(貼り付け用!$A1:$A200,MATCH(A125,貼り付け用!$A1:$A200,0)+2,0))</f>
        <v>#N/A</v>
      </c>
      <c r="B127" s="80" t="str">
        <f ca="1">IFERROR(VALUE(IF(VLOOKUP($A127,数出表_Excel!$A$6:$T$150,COLUMN()/2+1,FALSE)=0,"",VLOOKUP($A127,数出表_Excel!$A$6:$T$150,COLUMN()/2+1,FALSE))),"")</f>
        <v/>
      </c>
      <c r="C127" s="80"/>
      <c r="D127" s="80" t="str">
        <f ca="1">IFERROR(VALUE(IF(VLOOKUP($A127,数出表_Excel!$A$6:$T$150,COLUMN()/2+1,FALSE)=0,"",VLOOKUP($A127,数出表_Excel!$A$6:$T$150,COLUMN()/2+1,FALSE))),"")</f>
        <v/>
      </c>
      <c r="E127" s="80"/>
      <c r="F127" s="84" t="str">
        <f ca="1">IFERROR(VALUE(IF(VLOOKUP($A127,数出表_Excel!$A$6:$T$150,COLUMN()/2+1,FALSE)=0,"",VLOOKUP($A127,数出表_Excel!$A$6:$T$150,COLUMN()/2+1,FALSE))),"")</f>
        <v/>
      </c>
      <c r="G127" s="80"/>
      <c r="H127" s="80" t="str">
        <f ca="1">IFERROR(VALUE(IF(VLOOKUP($A127,数出表_Excel!$A$6:$T$150,COLUMN()/2+1,FALSE)=0,"",VLOOKUP($A127,数出表_Excel!$A$6:$T$150,COLUMN()/2+1,FALSE))),"")</f>
        <v/>
      </c>
      <c r="I127" s="80"/>
      <c r="J127" s="80" t="str">
        <f ca="1">IFERROR(VALUE(IF(VLOOKUP($A127,数出表_Excel!$A$6:$T$150,COLUMN()/2+1,FALSE)=0,"",VLOOKUP($A127,数出表_Excel!$A$6:$T$150,COLUMN()/2+1,FALSE))),"")</f>
        <v/>
      </c>
      <c r="K127" s="80"/>
      <c r="L127" s="84" t="str">
        <f ca="1">IFERROR(VALUE(IF(VLOOKUP($A127,数出表_Excel!$A$6:$T$150,COLUMN()/2+1,FALSE)=0,"",VLOOKUP($A127,数出表_Excel!$A$6:$T$150,COLUMN()/2+1,FALSE))),"")</f>
        <v/>
      </c>
      <c r="M127" s="80"/>
      <c r="N127" s="80" t="str">
        <f ca="1">IFERROR(VALUE(IF(VLOOKUP($A127,数出表_Excel!$A$6:$T$150,COLUMN()/2+1,FALSE)=0,"",VLOOKUP($A127,数出表_Excel!$A$6:$T$150,COLUMN()/2+1,FALSE))),"")</f>
        <v/>
      </c>
      <c r="O127" s="80"/>
      <c r="P127" s="80" t="str">
        <f ca="1">IFERROR(VALUE(IF(VLOOKUP($A127,数出表_Excel!$A$6:$T$150,COLUMN()/2+1,FALSE)=0,"",VLOOKUP($A127,数出表_Excel!$A$6:$T$150,COLUMN()/2+1,FALSE))),"")</f>
        <v/>
      </c>
      <c r="Q127" s="80"/>
      <c r="R127" s="80" t="str">
        <f ca="1">IFERROR(VALUE(IF(VLOOKUP($A127,数出表_Excel!$A$6:$T$150,COLUMN()/2+1,FALSE)=0,"",VLOOKUP($A127,数出表_Excel!$A$6:$T$150,COLUMN()/2+1,FALSE))),"")</f>
        <v/>
      </c>
      <c r="S127" s="80"/>
      <c r="T127" s="80" t="str">
        <f ca="1">IFERROR(VALUE(IF(VLOOKUP($A127,数出表_Excel!$A$6:$T$150,COLUMN()/2+1,FALSE)=0,"",VLOOKUP($A127,数出表_Excel!$A$6:$T$150,COLUMN()/2+1,FALSE))),"")</f>
        <v/>
      </c>
      <c r="U127" s="80"/>
      <c r="V127" s="84" t="str">
        <f ca="1">IFERROR(VALUE(IF(VLOOKUP($A127,数出表_Excel!$A$6:$T$150,COLUMN()/2+1,FALSE)=0,"",VLOOKUP($A127,数出表_Excel!$A$6:$T$150,COLUMN()/2+1,FALSE))),"")</f>
        <v/>
      </c>
      <c r="W127" s="80"/>
      <c r="X127" s="84" t="str">
        <f ca="1">IFERROR(VALUE(IF(VLOOKUP($A127,数出表_Excel!$A$6:$T$150,COLUMN()/2+1,FALSE)=0,"",VLOOKUP($A127,数出表_Excel!$A$6:$T$150,COLUMN()/2+1,FALSE))),"")</f>
        <v/>
      </c>
      <c r="Y127" s="80"/>
      <c r="Z127" s="84" t="str">
        <f ca="1">IFERROR(VALUE(IF(VLOOKUP($A127,数出表_Excel!$A$6:$T$150,COLUMN()/2+1,FALSE)=0,"",VLOOKUP($A127,数出表_Excel!$A$6:$T$150,COLUMN()/2+1,FALSE))),"")</f>
        <v/>
      </c>
      <c r="AA127" s="118"/>
      <c r="AB127" s="85" t="str">
        <f ca="1">IFERROR(VALUE(IF(VLOOKUP($A127,数出表_Excel!$A$6:$T$150,COLUMN()/2+1,FALSE)=0,"",VLOOKUP($A127,数出表_Excel!$A$6:$T$150,COLUMN()/2+1,FALSE))),"")</f>
        <v/>
      </c>
      <c r="AC127" s="80"/>
      <c r="AD127" s="84" t="str">
        <f ca="1">IFERROR(VALUE(IF(VLOOKUP($A127,数出表_Excel!$A$6:$T$150,COLUMN()/2+1,FALSE)=0,"",VLOOKUP($A127,数出表_Excel!$A$6:$T$150,COLUMN()/2+1,FALSE))),"")</f>
        <v/>
      </c>
      <c r="AE127" s="80"/>
      <c r="AF127" s="84" t="str">
        <f ca="1">IFERROR(VALUE(IF(VLOOKUP($A127,数出表_Excel!$A$6:$T$150,COLUMN()/2+1,FALSE)=0,"",VLOOKUP($A127,数出表_Excel!$A$6:$T$150,COLUMN()/2+1,FALSE))),"")</f>
        <v/>
      </c>
      <c r="AG127" s="80"/>
      <c r="AH127" s="84" t="str">
        <f ca="1">IFERROR(VALUE(IF(VLOOKUP($A127,数出表_Excel!$A$6:$T$150,COLUMN()/2+1,FALSE)=0,"",VLOOKUP($A127,数出表_Excel!$A$6:$T$150,COLUMN()/2+1,FALSE))),"")</f>
        <v/>
      </c>
      <c r="AI127" s="118"/>
      <c r="AJ127" s="85" t="str">
        <f ca="1">IFERROR(VALUE(IF(VLOOKUP($A127,数出表_Excel!$A$6:$T$150,COLUMN()/2+1,FALSE)=0,"",VLOOKUP($A127,数出表_Excel!$A$6:$T$150,COLUMN()/2+1,FALSE))),"")</f>
        <v/>
      </c>
      <c r="AK127" s="80"/>
      <c r="AL127" s="86" t="e">
        <f ca="1">IF(A127&lt;&gt;"",
IF(VLOOKUP($A127,数出表_Excel!$A$6:$T$150,COLUMN()/2+1,FALSE)=0,"",VLOOKUP($A127,数出表_Excel!$A$6:$T$150,COLUMN()/2+1,FALSE)),"")</f>
        <v>#N/A</v>
      </c>
      <c r="AM127" s="166" t="e">
        <f>数出表_Excel!V127</f>
        <v>#N/A</v>
      </c>
      <c r="AN127" s="167" t="e">
        <f>数出表_Excel!W127</f>
        <v>#N/A</v>
      </c>
    </row>
    <row r="128" spans="1:40" ht="16.2" customHeight="1">
      <c r="A128" s="126" t="e">
        <f t="array" aca="1" ref="A128" ca="1">IF(OR(COUNTIF(A126,"*10002*"),COUNTIF(A126,"")),"",INDEX(貼り付け用!$A1:$A200,MATCH(A126,貼り付け用!$A1:$A200,0)+2,0))</f>
        <v>#N/A</v>
      </c>
      <c r="B128" s="114" t="str">
        <f ca="1">IFERROR(VALUE(IF(VLOOKUP($A128,数出表_Excel!$A$6:$T$150,COLUMN()/2+1,FALSE)=0,"",VLOOKUP($A128,数出表_Excel!$A$6:$T$150,COLUMN()/2+1,FALSE))),"")</f>
        <v/>
      </c>
      <c r="C128" s="79"/>
      <c r="D128" s="114" t="str">
        <f ca="1">IFERROR(VALUE(IF(VLOOKUP($A128,数出表_Excel!$A$6:$T$150,COLUMN()/2+1,FALSE)=0,"",VLOOKUP($A128,数出表_Excel!$A$6:$T$150,COLUMN()/2+1,FALSE))),"")</f>
        <v/>
      </c>
      <c r="E128" s="79"/>
      <c r="F128" s="116" t="str">
        <f ca="1">IFERROR(VALUE(IF(VLOOKUP($A128,数出表_Excel!$A$6:$T$150,COLUMN()/2+1,FALSE)=0,"",VLOOKUP($A128,数出表_Excel!$A$6:$T$150,COLUMN()/2+1,FALSE))),"")</f>
        <v/>
      </c>
      <c r="G128" s="79"/>
      <c r="H128" s="114" t="str">
        <f ca="1">IFERROR(VALUE(IF(VLOOKUP($A128,数出表_Excel!$A$6:$T$150,COLUMN()/2+1,FALSE)=0,"",VLOOKUP($A128,数出表_Excel!$A$6:$T$150,COLUMN()/2+1,FALSE))),"")</f>
        <v/>
      </c>
      <c r="I128" s="79"/>
      <c r="J128" s="114" t="str">
        <f ca="1">IFERROR(VALUE(IF(VLOOKUP($A128,数出表_Excel!$A$6:$T$150,COLUMN()/2+1,FALSE)=0,"",VLOOKUP($A128,数出表_Excel!$A$6:$T$150,COLUMN()/2+1,FALSE))),"")</f>
        <v/>
      </c>
      <c r="K128" s="79"/>
      <c r="L128" s="116" t="str">
        <f ca="1">IFERROR(VALUE(IF(VLOOKUP($A128,数出表_Excel!$A$6:$T$150,COLUMN()/2+1,FALSE)=0,"",VLOOKUP($A128,数出表_Excel!$A$6:$T$150,COLUMN()/2+1,FALSE))),"")</f>
        <v/>
      </c>
      <c r="M128" s="79"/>
      <c r="N128" s="114" t="str">
        <f ca="1">IFERROR(VALUE(IF(VLOOKUP($A128,数出表_Excel!$A$6:$T$150,COLUMN()/2+1,FALSE)=0,"",VLOOKUP($A128,数出表_Excel!$A$6:$T$150,COLUMN()/2+1,FALSE))),"")</f>
        <v/>
      </c>
      <c r="O128" s="79"/>
      <c r="P128" s="114" t="str">
        <f ca="1">IFERROR(VALUE(IF(VLOOKUP($A128,数出表_Excel!$A$6:$T$150,COLUMN()/2+1,FALSE)=0,"",VLOOKUP($A128,数出表_Excel!$A$6:$T$150,COLUMN()/2+1,FALSE))),"")</f>
        <v/>
      </c>
      <c r="Q128" s="79"/>
      <c r="R128" s="114" t="str">
        <f ca="1">IFERROR(VALUE(IF(VLOOKUP($A128,数出表_Excel!$A$6:$T$150,COLUMN()/2+1,FALSE)=0,"",VLOOKUP($A128,数出表_Excel!$A$6:$T$150,COLUMN()/2+1,FALSE))),"")</f>
        <v/>
      </c>
      <c r="S128" s="79"/>
      <c r="T128" s="114" t="str">
        <f ca="1">IFERROR(VALUE(IF(VLOOKUP($A128,数出表_Excel!$A$6:$T$150,COLUMN()/2+1,FALSE)=0,"",VLOOKUP($A128,数出表_Excel!$A$6:$T$150,COLUMN()/2+1,FALSE))),"")</f>
        <v/>
      </c>
      <c r="U128" s="79"/>
      <c r="V128" s="116" t="str">
        <f ca="1">IFERROR(VALUE(IF(VLOOKUP($A128,数出表_Excel!$A$6:$T$150,COLUMN()/2+1,FALSE)=0,"",VLOOKUP($A128,数出表_Excel!$A$6:$T$150,COLUMN()/2+1,FALSE))),"")</f>
        <v/>
      </c>
      <c r="W128" s="79"/>
      <c r="X128" s="116" t="str">
        <f ca="1">IFERROR(VALUE(IF(VLOOKUP($A128,数出表_Excel!$A$6:$T$150,COLUMN()/2+1,FALSE)=0,"",VLOOKUP($A128,数出表_Excel!$A$6:$T$150,COLUMN()/2+1,FALSE))),"")</f>
        <v/>
      </c>
      <c r="Y128" s="79"/>
      <c r="Z128" s="116" t="str">
        <f ca="1">IFERROR(VALUE(IF(VLOOKUP($A128,数出表_Excel!$A$6:$T$150,COLUMN()/2+1,FALSE)=0,"",VLOOKUP($A128,数出表_Excel!$A$6:$T$150,COLUMN()/2+1,FALSE))),"")</f>
        <v/>
      </c>
      <c r="AA128" s="117"/>
      <c r="AB128" s="115" t="str">
        <f ca="1">IFERROR(VALUE(IF(VLOOKUP($A128,数出表_Excel!$A$6:$T$150,COLUMN()/2+1,FALSE)=0,"",VLOOKUP($A128,数出表_Excel!$A$6:$T$150,COLUMN()/2+1,FALSE))),"")</f>
        <v/>
      </c>
      <c r="AC128" s="79"/>
      <c r="AD128" s="116" t="str">
        <f ca="1">IFERROR(VALUE(IF(VLOOKUP($A128,数出表_Excel!$A$6:$T$150,COLUMN()/2+1,FALSE)=0,"",VLOOKUP($A128,数出表_Excel!$A$6:$T$150,COLUMN()/2+1,FALSE))),"")</f>
        <v/>
      </c>
      <c r="AE128" s="79"/>
      <c r="AF128" s="116" t="str">
        <f ca="1">IFERROR(VALUE(IF(VLOOKUP($A128,数出表_Excel!$A$6:$T$150,COLUMN()/2+1,FALSE)=0,"",VLOOKUP($A128,数出表_Excel!$A$6:$T$150,COLUMN()/2+1,FALSE))),"")</f>
        <v/>
      </c>
      <c r="AG128" s="79"/>
      <c r="AH128" s="116" t="str">
        <f ca="1">IFERROR(VALUE(IF(VLOOKUP($A128,数出表_Excel!$A$6:$T$150,COLUMN()/2+1,FALSE)=0,"",VLOOKUP($A128,数出表_Excel!$A$6:$T$150,COLUMN()/2+1,FALSE))),"")</f>
        <v/>
      </c>
      <c r="AI128" s="117"/>
      <c r="AJ128" s="115" t="str">
        <f ca="1">IFERROR(VALUE(IF(VLOOKUP($A128,数出表_Excel!$A$6:$T$150,COLUMN()/2+1,FALSE)=0,"",VLOOKUP($A128,数出表_Excel!$A$6:$T$150,COLUMN()/2+1,FALSE))),"")</f>
        <v/>
      </c>
      <c r="AK128" s="79"/>
      <c r="AL128" s="83" t="e">
        <f ca="1">IF(A128&lt;&gt;"",
IF(VLOOKUP($A128,数出表_Excel!$A$6:$T$150,COLUMN()/2+1,FALSE)=0,"",VLOOKUP($A128,数出表_Excel!$A$6:$T$150,COLUMN()/2+1,FALSE)),"")</f>
        <v>#N/A</v>
      </c>
      <c r="AM128" s="164" t="e">
        <f>数出表_Excel!V128</f>
        <v>#N/A</v>
      </c>
      <c r="AN128" s="165" t="e">
        <f>数出表_Excel!W128</f>
        <v>#N/A</v>
      </c>
    </row>
    <row r="129" spans="1:40" ht="16.2" customHeight="1">
      <c r="A129" s="127" t="e">
        <f t="array" aca="1" ref="A129" ca="1">IF(OR(COUNTIF(A127,"*1000*"),COUNTIF(A127,"")),"",INDEX(貼り付け用!$A1:$A200,MATCH(A127,貼り付け用!$A1:$A200,0)+2,0))</f>
        <v>#N/A</v>
      </c>
      <c r="B129" s="80" t="str">
        <f ca="1">IFERROR(VALUE(IF(VLOOKUP($A129,数出表_Excel!$A$6:$T$150,COLUMN()/2+1,FALSE)=0,"",VLOOKUP($A129,数出表_Excel!$A$6:$T$150,COLUMN()/2+1,FALSE))),"")</f>
        <v/>
      </c>
      <c r="C129" s="80"/>
      <c r="D129" s="80" t="str">
        <f ca="1">IFERROR(VALUE(IF(VLOOKUP($A129,数出表_Excel!$A$6:$T$150,COLUMN()/2+1,FALSE)=0,"",VLOOKUP($A129,数出表_Excel!$A$6:$T$150,COLUMN()/2+1,FALSE))),"")</f>
        <v/>
      </c>
      <c r="E129" s="80"/>
      <c r="F129" s="84" t="str">
        <f ca="1">IFERROR(VALUE(IF(VLOOKUP($A129,数出表_Excel!$A$6:$T$150,COLUMN()/2+1,FALSE)=0,"",VLOOKUP($A129,数出表_Excel!$A$6:$T$150,COLUMN()/2+1,FALSE))),"")</f>
        <v/>
      </c>
      <c r="G129" s="80"/>
      <c r="H129" s="80" t="str">
        <f ca="1">IFERROR(VALUE(IF(VLOOKUP($A129,数出表_Excel!$A$6:$T$150,COLUMN()/2+1,FALSE)=0,"",VLOOKUP($A129,数出表_Excel!$A$6:$T$150,COLUMN()/2+1,FALSE))),"")</f>
        <v/>
      </c>
      <c r="I129" s="80"/>
      <c r="J129" s="80" t="str">
        <f ca="1">IFERROR(VALUE(IF(VLOOKUP($A129,数出表_Excel!$A$6:$T$150,COLUMN()/2+1,FALSE)=0,"",VLOOKUP($A129,数出表_Excel!$A$6:$T$150,COLUMN()/2+1,FALSE))),"")</f>
        <v/>
      </c>
      <c r="K129" s="80"/>
      <c r="L129" s="84" t="str">
        <f ca="1">IFERROR(VALUE(IF(VLOOKUP($A129,数出表_Excel!$A$6:$T$150,COLUMN()/2+1,FALSE)=0,"",VLOOKUP($A129,数出表_Excel!$A$6:$T$150,COLUMN()/2+1,FALSE))),"")</f>
        <v/>
      </c>
      <c r="M129" s="80"/>
      <c r="N129" s="80" t="str">
        <f ca="1">IFERROR(VALUE(IF(VLOOKUP($A129,数出表_Excel!$A$6:$T$150,COLUMN()/2+1,FALSE)=0,"",VLOOKUP($A129,数出表_Excel!$A$6:$T$150,COLUMN()/2+1,FALSE))),"")</f>
        <v/>
      </c>
      <c r="O129" s="80"/>
      <c r="P129" s="80" t="str">
        <f ca="1">IFERROR(VALUE(IF(VLOOKUP($A129,数出表_Excel!$A$6:$T$150,COLUMN()/2+1,FALSE)=0,"",VLOOKUP($A129,数出表_Excel!$A$6:$T$150,COLUMN()/2+1,FALSE))),"")</f>
        <v/>
      </c>
      <c r="Q129" s="80"/>
      <c r="R129" s="80" t="str">
        <f ca="1">IFERROR(VALUE(IF(VLOOKUP($A129,数出表_Excel!$A$6:$T$150,COLUMN()/2+1,FALSE)=0,"",VLOOKUP($A129,数出表_Excel!$A$6:$T$150,COLUMN()/2+1,FALSE))),"")</f>
        <v/>
      </c>
      <c r="S129" s="80"/>
      <c r="T129" s="80" t="str">
        <f ca="1">IFERROR(VALUE(IF(VLOOKUP($A129,数出表_Excel!$A$6:$T$150,COLUMN()/2+1,FALSE)=0,"",VLOOKUP($A129,数出表_Excel!$A$6:$T$150,COLUMN()/2+1,FALSE))),"")</f>
        <v/>
      </c>
      <c r="U129" s="80"/>
      <c r="V129" s="84" t="str">
        <f ca="1">IFERROR(VALUE(IF(VLOOKUP($A129,数出表_Excel!$A$6:$T$150,COLUMN()/2+1,FALSE)=0,"",VLOOKUP($A129,数出表_Excel!$A$6:$T$150,COLUMN()/2+1,FALSE))),"")</f>
        <v/>
      </c>
      <c r="W129" s="80"/>
      <c r="X129" s="84" t="str">
        <f ca="1">IFERROR(VALUE(IF(VLOOKUP($A129,数出表_Excel!$A$6:$T$150,COLUMN()/2+1,FALSE)=0,"",VLOOKUP($A129,数出表_Excel!$A$6:$T$150,COLUMN()/2+1,FALSE))),"")</f>
        <v/>
      </c>
      <c r="Y129" s="80"/>
      <c r="Z129" s="84" t="str">
        <f ca="1">IFERROR(VALUE(IF(VLOOKUP($A129,数出表_Excel!$A$6:$T$150,COLUMN()/2+1,FALSE)=0,"",VLOOKUP($A129,数出表_Excel!$A$6:$T$150,COLUMN()/2+1,FALSE))),"")</f>
        <v/>
      </c>
      <c r="AA129" s="118"/>
      <c r="AB129" s="85" t="str">
        <f ca="1">IFERROR(VALUE(IF(VLOOKUP($A129,数出表_Excel!$A$6:$T$150,COLUMN()/2+1,FALSE)=0,"",VLOOKUP($A129,数出表_Excel!$A$6:$T$150,COLUMN()/2+1,FALSE))),"")</f>
        <v/>
      </c>
      <c r="AC129" s="80"/>
      <c r="AD129" s="84" t="str">
        <f ca="1">IFERROR(VALUE(IF(VLOOKUP($A129,数出表_Excel!$A$6:$T$150,COLUMN()/2+1,FALSE)=0,"",VLOOKUP($A129,数出表_Excel!$A$6:$T$150,COLUMN()/2+1,FALSE))),"")</f>
        <v/>
      </c>
      <c r="AE129" s="80"/>
      <c r="AF129" s="84" t="str">
        <f ca="1">IFERROR(VALUE(IF(VLOOKUP($A129,数出表_Excel!$A$6:$T$150,COLUMN()/2+1,FALSE)=0,"",VLOOKUP($A129,数出表_Excel!$A$6:$T$150,COLUMN()/2+1,FALSE))),"")</f>
        <v/>
      </c>
      <c r="AG129" s="80"/>
      <c r="AH129" s="84" t="str">
        <f ca="1">IFERROR(VALUE(IF(VLOOKUP($A129,数出表_Excel!$A$6:$T$150,COLUMN()/2+1,FALSE)=0,"",VLOOKUP($A129,数出表_Excel!$A$6:$T$150,COLUMN()/2+1,FALSE))),"")</f>
        <v/>
      </c>
      <c r="AI129" s="118"/>
      <c r="AJ129" s="85" t="str">
        <f ca="1">IFERROR(VALUE(IF(VLOOKUP($A129,数出表_Excel!$A$6:$T$150,COLUMN()/2+1,FALSE)=0,"",VLOOKUP($A129,数出表_Excel!$A$6:$T$150,COLUMN()/2+1,FALSE))),"")</f>
        <v/>
      </c>
      <c r="AK129" s="80"/>
      <c r="AL129" s="86" t="e">
        <f ca="1">IF(A129&lt;&gt;"",
IF(VLOOKUP($A129,数出表_Excel!$A$6:$T$150,COLUMN()/2+1,FALSE)=0,"",VLOOKUP($A129,数出表_Excel!$A$6:$T$150,COLUMN()/2+1,FALSE)),"")</f>
        <v>#N/A</v>
      </c>
      <c r="AM129" s="166" t="e">
        <f>数出表_Excel!V129</f>
        <v>#N/A</v>
      </c>
      <c r="AN129" s="167" t="e">
        <f>数出表_Excel!W129</f>
        <v>#N/A</v>
      </c>
    </row>
    <row r="130" spans="1:40" ht="16.2" customHeight="1">
      <c r="A130" s="126" t="e">
        <f t="array" aca="1" ref="A130" ca="1">IF(OR(COUNTIF(A128,"*10002*"),COUNTIF(A128,"")),"",INDEX(貼り付け用!$A1:$A200,MATCH(A128,貼り付け用!$A1:$A200,0)+2,0))</f>
        <v>#N/A</v>
      </c>
      <c r="B130" s="114" t="str">
        <f ca="1">IFERROR(VALUE(IF(VLOOKUP($A130,数出表_Excel!$A$6:$T$150,COLUMN()/2+1,FALSE)=0,"",VLOOKUP($A130,数出表_Excel!$A$6:$T$150,COLUMN()/2+1,FALSE))),"")</f>
        <v/>
      </c>
      <c r="C130" s="79"/>
      <c r="D130" s="114" t="str">
        <f ca="1">IFERROR(VALUE(IF(VLOOKUP($A130,数出表_Excel!$A$6:$T$150,COLUMN()/2+1,FALSE)=0,"",VLOOKUP($A130,数出表_Excel!$A$6:$T$150,COLUMN()/2+1,FALSE))),"")</f>
        <v/>
      </c>
      <c r="E130" s="79"/>
      <c r="F130" s="116" t="str">
        <f ca="1">IFERROR(VALUE(IF(VLOOKUP($A130,数出表_Excel!$A$6:$T$150,COLUMN()/2+1,FALSE)=0,"",VLOOKUP($A130,数出表_Excel!$A$6:$T$150,COLUMN()/2+1,FALSE))),"")</f>
        <v/>
      </c>
      <c r="G130" s="79"/>
      <c r="H130" s="114" t="str">
        <f ca="1">IFERROR(VALUE(IF(VLOOKUP($A130,数出表_Excel!$A$6:$T$150,COLUMN()/2+1,FALSE)=0,"",VLOOKUP($A130,数出表_Excel!$A$6:$T$150,COLUMN()/2+1,FALSE))),"")</f>
        <v/>
      </c>
      <c r="I130" s="79"/>
      <c r="J130" s="114" t="str">
        <f ca="1">IFERROR(VALUE(IF(VLOOKUP($A130,数出表_Excel!$A$6:$T$150,COLUMN()/2+1,FALSE)=0,"",VLOOKUP($A130,数出表_Excel!$A$6:$T$150,COLUMN()/2+1,FALSE))),"")</f>
        <v/>
      </c>
      <c r="K130" s="79"/>
      <c r="L130" s="116" t="str">
        <f ca="1">IFERROR(VALUE(IF(VLOOKUP($A130,数出表_Excel!$A$6:$T$150,COLUMN()/2+1,FALSE)=0,"",VLOOKUP($A130,数出表_Excel!$A$6:$T$150,COLUMN()/2+1,FALSE))),"")</f>
        <v/>
      </c>
      <c r="M130" s="79"/>
      <c r="N130" s="114" t="str">
        <f ca="1">IFERROR(VALUE(IF(VLOOKUP($A130,数出表_Excel!$A$6:$T$150,COLUMN()/2+1,FALSE)=0,"",VLOOKUP($A130,数出表_Excel!$A$6:$T$150,COLUMN()/2+1,FALSE))),"")</f>
        <v/>
      </c>
      <c r="O130" s="79"/>
      <c r="P130" s="114" t="str">
        <f ca="1">IFERROR(VALUE(IF(VLOOKUP($A130,数出表_Excel!$A$6:$T$150,COLUMN()/2+1,FALSE)=0,"",VLOOKUP($A130,数出表_Excel!$A$6:$T$150,COLUMN()/2+1,FALSE))),"")</f>
        <v/>
      </c>
      <c r="Q130" s="79"/>
      <c r="R130" s="114" t="str">
        <f ca="1">IFERROR(VALUE(IF(VLOOKUP($A130,数出表_Excel!$A$6:$T$150,COLUMN()/2+1,FALSE)=0,"",VLOOKUP($A130,数出表_Excel!$A$6:$T$150,COLUMN()/2+1,FALSE))),"")</f>
        <v/>
      </c>
      <c r="S130" s="79"/>
      <c r="T130" s="114" t="str">
        <f ca="1">IFERROR(VALUE(IF(VLOOKUP($A130,数出表_Excel!$A$6:$T$150,COLUMN()/2+1,FALSE)=0,"",VLOOKUP($A130,数出表_Excel!$A$6:$T$150,COLUMN()/2+1,FALSE))),"")</f>
        <v/>
      </c>
      <c r="U130" s="79"/>
      <c r="V130" s="116" t="str">
        <f ca="1">IFERROR(VALUE(IF(VLOOKUP($A130,数出表_Excel!$A$6:$T$150,COLUMN()/2+1,FALSE)=0,"",VLOOKUP($A130,数出表_Excel!$A$6:$T$150,COLUMN()/2+1,FALSE))),"")</f>
        <v/>
      </c>
      <c r="W130" s="79"/>
      <c r="X130" s="116" t="str">
        <f ca="1">IFERROR(VALUE(IF(VLOOKUP($A130,数出表_Excel!$A$6:$T$150,COLUMN()/2+1,FALSE)=0,"",VLOOKUP($A130,数出表_Excel!$A$6:$T$150,COLUMN()/2+1,FALSE))),"")</f>
        <v/>
      </c>
      <c r="Y130" s="79"/>
      <c r="Z130" s="116" t="str">
        <f ca="1">IFERROR(VALUE(IF(VLOOKUP($A130,数出表_Excel!$A$6:$T$150,COLUMN()/2+1,FALSE)=0,"",VLOOKUP($A130,数出表_Excel!$A$6:$T$150,COLUMN()/2+1,FALSE))),"")</f>
        <v/>
      </c>
      <c r="AA130" s="117"/>
      <c r="AB130" s="115" t="str">
        <f ca="1">IFERROR(VALUE(IF(VLOOKUP($A130,数出表_Excel!$A$6:$T$150,COLUMN()/2+1,FALSE)=0,"",VLOOKUP($A130,数出表_Excel!$A$6:$T$150,COLUMN()/2+1,FALSE))),"")</f>
        <v/>
      </c>
      <c r="AC130" s="79"/>
      <c r="AD130" s="116" t="str">
        <f ca="1">IFERROR(VALUE(IF(VLOOKUP($A130,数出表_Excel!$A$6:$T$150,COLUMN()/2+1,FALSE)=0,"",VLOOKUP($A130,数出表_Excel!$A$6:$T$150,COLUMN()/2+1,FALSE))),"")</f>
        <v/>
      </c>
      <c r="AE130" s="79"/>
      <c r="AF130" s="116" t="str">
        <f ca="1">IFERROR(VALUE(IF(VLOOKUP($A130,数出表_Excel!$A$6:$T$150,COLUMN()/2+1,FALSE)=0,"",VLOOKUP($A130,数出表_Excel!$A$6:$T$150,COLUMN()/2+1,FALSE))),"")</f>
        <v/>
      </c>
      <c r="AG130" s="79"/>
      <c r="AH130" s="116" t="str">
        <f ca="1">IFERROR(VALUE(IF(VLOOKUP($A130,数出表_Excel!$A$6:$T$150,COLUMN()/2+1,FALSE)=0,"",VLOOKUP($A130,数出表_Excel!$A$6:$T$150,COLUMN()/2+1,FALSE))),"")</f>
        <v/>
      </c>
      <c r="AI130" s="117"/>
      <c r="AJ130" s="115" t="str">
        <f ca="1">IFERROR(VALUE(IF(VLOOKUP($A130,数出表_Excel!$A$6:$T$150,COLUMN()/2+1,FALSE)=0,"",VLOOKUP($A130,数出表_Excel!$A$6:$T$150,COLUMN()/2+1,FALSE))),"")</f>
        <v/>
      </c>
      <c r="AK130" s="79"/>
      <c r="AL130" s="83" t="e">
        <f ca="1">IF(A130&lt;&gt;"",
IF(VLOOKUP($A130,数出表_Excel!$A$6:$T$150,COLUMN()/2+1,FALSE)=0,"",VLOOKUP($A130,数出表_Excel!$A$6:$T$150,COLUMN()/2+1,FALSE)),"")</f>
        <v>#N/A</v>
      </c>
      <c r="AM130" s="164" t="e">
        <f>数出表_Excel!V130</f>
        <v>#N/A</v>
      </c>
      <c r="AN130" s="165" t="e">
        <f>数出表_Excel!W130</f>
        <v>#N/A</v>
      </c>
    </row>
    <row r="131" spans="1:40" ht="16.2" customHeight="1">
      <c r="A131" s="127" t="e">
        <f t="array" aca="1" ref="A131" ca="1">IF(OR(COUNTIF(A129,"*1000*"),COUNTIF(A129,"")),"",INDEX(貼り付け用!$A1:$A200,MATCH(A129,貼り付け用!$A1:$A200,0)+2,0))</f>
        <v>#N/A</v>
      </c>
      <c r="B131" s="80" t="str">
        <f ca="1">IFERROR(VALUE(IF(VLOOKUP($A131,数出表_Excel!$A$6:$T$150,COLUMN()/2+1,FALSE)=0,"",VLOOKUP($A131,数出表_Excel!$A$6:$T$150,COLUMN()/2+1,FALSE))),"")</f>
        <v/>
      </c>
      <c r="C131" s="80"/>
      <c r="D131" s="80" t="str">
        <f ca="1">IFERROR(VALUE(IF(VLOOKUP($A131,数出表_Excel!$A$6:$T$150,COLUMN()/2+1,FALSE)=0,"",VLOOKUP($A131,数出表_Excel!$A$6:$T$150,COLUMN()/2+1,FALSE))),"")</f>
        <v/>
      </c>
      <c r="E131" s="80"/>
      <c r="F131" s="84" t="str">
        <f ca="1">IFERROR(VALUE(IF(VLOOKUP($A131,数出表_Excel!$A$6:$T$150,COLUMN()/2+1,FALSE)=0,"",VLOOKUP($A131,数出表_Excel!$A$6:$T$150,COLUMN()/2+1,FALSE))),"")</f>
        <v/>
      </c>
      <c r="G131" s="80"/>
      <c r="H131" s="80" t="str">
        <f ca="1">IFERROR(VALUE(IF(VLOOKUP($A131,数出表_Excel!$A$6:$T$150,COLUMN()/2+1,FALSE)=0,"",VLOOKUP($A131,数出表_Excel!$A$6:$T$150,COLUMN()/2+1,FALSE))),"")</f>
        <v/>
      </c>
      <c r="I131" s="80"/>
      <c r="J131" s="80" t="str">
        <f ca="1">IFERROR(VALUE(IF(VLOOKUP($A131,数出表_Excel!$A$6:$T$150,COLUMN()/2+1,FALSE)=0,"",VLOOKUP($A131,数出表_Excel!$A$6:$T$150,COLUMN()/2+1,FALSE))),"")</f>
        <v/>
      </c>
      <c r="K131" s="80"/>
      <c r="L131" s="84" t="str">
        <f ca="1">IFERROR(VALUE(IF(VLOOKUP($A131,数出表_Excel!$A$6:$T$150,COLUMN()/2+1,FALSE)=0,"",VLOOKUP($A131,数出表_Excel!$A$6:$T$150,COLUMN()/2+1,FALSE))),"")</f>
        <v/>
      </c>
      <c r="M131" s="80"/>
      <c r="N131" s="80" t="str">
        <f ca="1">IFERROR(VALUE(IF(VLOOKUP($A131,数出表_Excel!$A$6:$T$150,COLUMN()/2+1,FALSE)=0,"",VLOOKUP($A131,数出表_Excel!$A$6:$T$150,COLUMN()/2+1,FALSE))),"")</f>
        <v/>
      </c>
      <c r="O131" s="80"/>
      <c r="P131" s="80" t="str">
        <f ca="1">IFERROR(VALUE(IF(VLOOKUP($A131,数出表_Excel!$A$6:$T$150,COLUMN()/2+1,FALSE)=0,"",VLOOKUP($A131,数出表_Excel!$A$6:$T$150,COLUMN()/2+1,FALSE))),"")</f>
        <v/>
      </c>
      <c r="Q131" s="80"/>
      <c r="R131" s="80" t="str">
        <f ca="1">IFERROR(VALUE(IF(VLOOKUP($A131,数出表_Excel!$A$6:$T$150,COLUMN()/2+1,FALSE)=0,"",VLOOKUP($A131,数出表_Excel!$A$6:$T$150,COLUMN()/2+1,FALSE))),"")</f>
        <v/>
      </c>
      <c r="S131" s="80"/>
      <c r="T131" s="80" t="str">
        <f ca="1">IFERROR(VALUE(IF(VLOOKUP($A131,数出表_Excel!$A$6:$T$150,COLUMN()/2+1,FALSE)=0,"",VLOOKUP($A131,数出表_Excel!$A$6:$T$150,COLUMN()/2+1,FALSE))),"")</f>
        <v/>
      </c>
      <c r="U131" s="80"/>
      <c r="V131" s="84" t="str">
        <f ca="1">IFERROR(VALUE(IF(VLOOKUP($A131,数出表_Excel!$A$6:$T$150,COLUMN()/2+1,FALSE)=0,"",VLOOKUP($A131,数出表_Excel!$A$6:$T$150,COLUMN()/2+1,FALSE))),"")</f>
        <v/>
      </c>
      <c r="W131" s="80"/>
      <c r="X131" s="84" t="str">
        <f ca="1">IFERROR(VALUE(IF(VLOOKUP($A131,数出表_Excel!$A$6:$T$150,COLUMN()/2+1,FALSE)=0,"",VLOOKUP($A131,数出表_Excel!$A$6:$T$150,COLUMN()/2+1,FALSE))),"")</f>
        <v/>
      </c>
      <c r="Y131" s="80"/>
      <c r="Z131" s="84" t="str">
        <f ca="1">IFERROR(VALUE(IF(VLOOKUP($A131,数出表_Excel!$A$6:$T$150,COLUMN()/2+1,FALSE)=0,"",VLOOKUP($A131,数出表_Excel!$A$6:$T$150,COLUMN()/2+1,FALSE))),"")</f>
        <v/>
      </c>
      <c r="AA131" s="118"/>
      <c r="AB131" s="85" t="str">
        <f ca="1">IFERROR(VALUE(IF(VLOOKUP($A131,数出表_Excel!$A$6:$T$150,COLUMN()/2+1,FALSE)=0,"",VLOOKUP($A131,数出表_Excel!$A$6:$T$150,COLUMN()/2+1,FALSE))),"")</f>
        <v/>
      </c>
      <c r="AC131" s="80"/>
      <c r="AD131" s="84" t="str">
        <f ca="1">IFERROR(VALUE(IF(VLOOKUP($A131,数出表_Excel!$A$6:$T$150,COLUMN()/2+1,FALSE)=0,"",VLOOKUP($A131,数出表_Excel!$A$6:$T$150,COLUMN()/2+1,FALSE))),"")</f>
        <v/>
      </c>
      <c r="AE131" s="80"/>
      <c r="AF131" s="84" t="str">
        <f ca="1">IFERROR(VALUE(IF(VLOOKUP($A131,数出表_Excel!$A$6:$T$150,COLUMN()/2+1,FALSE)=0,"",VLOOKUP($A131,数出表_Excel!$A$6:$T$150,COLUMN()/2+1,FALSE))),"")</f>
        <v/>
      </c>
      <c r="AG131" s="80"/>
      <c r="AH131" s="84" t="str">
        <f ca="1">IFERROR(VALUE(IF(VLOOKUP($A131,数出表_Excel!$A$6:$T$150,COLUMN()/2+1,FALSE)=0,"",VLOOKUP($A131,数出表_Excel!$A$6:$T$150,COLUMN()/2+1,FALSE))),"")</f>
        <v/>
      </c>
      <c r="AI131" s="118"/>
      <c r="AJ131" s="85" t="str">
        <f ca="1">IFERROR(VALUE(IF(VLOOKUP($A131,数出表_Excel!$A$6:$T$150,COLUMN()/2+1,FALSE)=0,"",VLOOKUP($A131,数出表_Excel!$A$6:$T$150,COLUMN()/2+1,FALSE))),"")</f>
        <v/>
      </c>
      <c r="AK131" s="80"/>
      <c r="AL131" s="86" t="e">
        <f ca="1">IF(A131&lt;&gt;"",
IF(VLOOKUP($A131,数出表_Excel!$A$6:$T$150,COLUMN()/2+1,FALSE)=0,"",VLOOKUP($A131,数出表_Excel!$A$6:$T$150,COLUMN()/2+1,FALSE)),"")</f>
        <v>#N/A</v>
      </c>
      <c r="AM131" s="166" t="e">
        <f>数出表_Excel!V131</f>
        <v>#N/A</v>
      </c>
      <c r="AN131" s="167" t="e">
        <f>数出表_Excel!W131</f>
        <v>#N/A</v>
      </c>
    </row>
    <row r="132" spans="1:40" ht="16.2" customHeight="1">
      <c r="A132" s="126" t="e">
        <f t="array" aca="1" ref="A132" ca="1">IF(OR(COUNTIF(A130,"*10002*"),COUNTIF(A130,"")),"",INDEX(貼り付け用!$A1:$A200,MATCH(A130,貼り付け用!$A1:$A200,0)+2,0))</f>
        <v>#N/A</v>
      </c>
      <c r="B132" s="114" t="str">
        <f ca="1">IFERROR(VALUE(IF(VLOOKUP($A132,数出表_Excel!$A$6:$T$150,COLUMN()/2+1,FALSE)=0,"",VLOOKUP($A132,数出表_Excel!$A$6:$T$150,COLUMN()/2+1,FALSE))),"")</f>
        <v/>
      </c>
      <c r="C132" s="79"/>
      <c r="D132" s="114" t="str">
        <f ca="1">IFERROR(VALUE(IF(VLOOKUP($A132,数出表_Excel!$A$6:$T$150,COLUMN()/2+1,FALSE)=0,"",VLOOKUP($A132,数出表_Excel!$A$6:$T$150,COLUMN()/2+1,FALSE))),"")</f>
        <v/>
      </c>
      <c r="E132" s="79"/>
      <c r="F132" s="116" t="str">
        <f ca="1">IFERROR(VALUE(IF(VLOOKUP($A132,数出表_Excel!$A$6:$T$150,COLUMN()/2+1,FALSE)=0,"",VLOOKUP($A132,数出表_Excel!$A$6:$T$150,COLUMN()/2+1,FALSE))),"")</f>
        <v/>
      </c>
      <c r="G132" s="79"/>
      <c r="H132" s="114" t="str">
        <f ca="1">IFERROR(VALUE(IF(VLOOKUP($A132,数出表_Excel!$A$6:$T$150,COLUMN()/2+1,FALSE)=0,"",VLOOKUP($A132,数出表_Excel!$A$6:$T$150,COLUMN()/2+1,FALSE))),"")</f>
        <v/>
      </c>
      <c r="I132" s="79"/>
      <c r="J132" s="114" t="str">
        <f ca="1">IFERROR(VALUE(IF(VLOOKUP($A132,数出表_Excel!$A$6:$T$150,COLUMN()/2+1,FALSE)=0,"",VLOOKUP($A132,数出表_Excel!$A$6:$T$150,COLUMN()/2+1,FALSE))),"")</f>
        <v/>
      </c>
      <c r="K132" s="79"/>
      <c r="L132" s="116" t="str">
        <f ca="1">IFERROR(VALUE(IF(VLOOKUP($A132,数出表_Excel!$A$6:$T$150,COLUMN()/2+1,FALSE)=0,"",VLOOKUP($A132,数出表_Excel!$A$6:$T$150,COLUMN()/2+1,FALSE))),"")</f>
        <v/>
      </c>
      <c r="M132" s="79"/>
      <c r="N132" s="114" t="str">
        <f ca="1">IFERROR(VALUE(IF(VLOOKUP($A132,数出表_Excel!$A$6:$T$150,COLUMN()/2+1,FALSE)=0,"",VLOOKUP($A132,数出表_Excel!$A$6:$T$150,COLUMN()/2+1,FALSE))),"")</f>
        <v/>
      </c>
      <c r="O132" s="79"/>
      <c r="P132" s="114" t="str">
        <f ca="1">IFERROR(VALUE(IF(VLOOKUP($A132,数出表_Excel!$A$6:$T$150,COLUMN()/2+1,FALSE)=0,"",VLOOKUP($A132,数出表_Excel!$A$6:$T$150,COLUMN()/2+1,FALSE))),"")</f>
        <v/>
      </c>
      <c r="Q132" s="79"/>
      <c r="R132" s="114" t="str">
        <f ca="1">IFERROR(VALUE(IF(VLOOKUP($A132,数出表_Excel!$A$6:$T$150,COLUMN()/2+1,FALSE)=0,"",VLOOKUP($A132,数出表_Excel!$A$6:$T$150,COLUMN()/2+1,FALSE))),"")</f>
        <v/>
      </c>
      <c r="S132" s="79"/>
      <c r="T132" s="114" t="str">
        <f ca="1">IFERROR(VALUE(IF(VLOOKUP($A132,数出表_Excel!$A$6:$T$150,COLUMN()/2+1,FALSE)=0,"",VLOOKUP($A132,数出表_Excel!$A$6:$T$150,COLUMN()/2+1,FALSE))),"")</f>
        <v/>
      </c>
      <c r="U132" s="79"/>
      <c r="V132" s="116" t="str">
        <f ca="1">IFERROR(VALUE(IF(VLOOKUP($A132,数出表_Excel!$A$6:$T$150,COLUMN()/2+1,FALSE)=0,"",VLOOKUP($A132,数出表_Excel!$A$6:$T$150,COLUMN()/2+1,FALSE))),"")</f>
        <v/>
      </c>
      <c r="W132" s="79"/>
      <c r="X132" s="116" t="str">
        <f ca="1">IFERROR(VALUE(IF(VLOOKUP($A132,数出表_Excel!$A$6:$T$150,COLUMN()/2+1,FALSE)=0,"",VLOOKUP($A132,数出表_Excel!$A$6:$T$150,COLUMN()/2+1,FALSE))),"")</f>
        <v/>
      </c>
      <c r="Y132" s="79"/>
      <c r="Z132" s="116" t="str">
        <f ca="1">IFERROR(VALUE(IF(VLOOKUP($A132,数出表_Excel!$A$6:$T$150,COLUMN()/2+1,FALSE)=0,"",VLOOKUP($A132,数出表_Excel!$A$6:$T$150,COLUMN()/2+1,FALSE))),"")</f>
        <v/>
      </c>
      <c r="AA132" s="117"/>
      <c r="AB132" s="115" t="str">
        <f ca="1">IFERROR(VALUE(IF(VLOOKUP($A132,数出表_Excel!$A$6:$T$150,COLUMN()/2+1,FALSE)=0,"",VLOOKUP($A132,数出表_Excel!$A$6:$T$150,COLUMN()/2+1,FALSE))),"")</f>
        <v/>
      </c>
      <c r="AC132" s="79"/>
      <c r="AD132" s="116" t="str">
        <f ca="1">IFERROR(VALUE(IF(VLOOKUP($A132,数出表_Excel!$A$6:$T$150,COLUMN()/2+1,FALSE)=0,"",VLOOKUP($A132,数出表_Excel!$A$6:$T$150,COLUMN()/2+1,FALSE))),"")</f>
        <v/>
      </c>
      <c r="AE132" s="79"/>
      <c r="AF132" s="116" t="str">
        <f ca="1">IFERROR(VALUE(IF(VLOOKUP($A132,数出表_Excel!$A$6:$T$150,COLUMN()/2+1,FALSE)=0,"",VLOOKUP($A132,数出表_Excel!$A$6:$T$150,COLUMN()/2+1,FALSE))),"")</f>
        <v/>
      </c>
      <c r="AG132" s="79"/>
      <c r="AH132" s="116" t="str">
        <f ca="1">IFERROR(VALUE(IF(VLOOKUP($A132,数出表_Excel!$A$6:$T$150,COLUMN()/2+1,FALSE)=0,"",VLOOKUP($A132,数出表_Excel!$A$6:$T$150,COLUMN()/2+1,FALSE))),"")</f>
        <v/>
      </c>
      <c r="AI132" s="117"/>
      <c r="AJ132" s="115" t="str">
        <f ca="1">IFERROR(VALUE(IF(VLOOKUP($A132,数出表_Excel!$A$6:$T$150,COLUMN()/2+1,FALSE)=0,"",VLOOKUP($A132,数出表_Excel!$A$6:$T$150,COLUMN()/2+1,FALSE))),"")</f>
        <v/>
      </c>
      <c r="AK132" s="79"/>
      <c r="AL132" s="83" t="e">
        <f ca="1">IF(A132&lt;&gt;"",
IF(VLOOKUP($A132,数出表_Excel!$A$6:$T$150,COLUMN()/2+1,FALSE)=0,"",VLOOKUP($A132,数出表_Excel!$A$6:$T$150,COLUMN()/2+1,FALSE)),"")</f>
        <v>#N/A</v>
      </c>
      <c r="AM132" s="164" t="e">
        <f>数出表_Excel!V132</f>
        <v>#N/A</v>
      </c>
      <c r="AN132" s="165" t="e">
        <f>数出表_Excel!W132</f>
        <v>#N/A</v>
      </c>
    </row>
    <row r="133" spans="1:40" ht="16.2" customHeight="1">
      <c r="A133" s="127" t="e">
        <f t="array" aca="1" ref="A133" ca="1">IF(OR(COUNTIF(A131,"*1000*"),COUNTIF(A131,"")),"",INDEX(貼り付け用!$A1:$A200,MATCH(A131,貼り付け用!$A1:$A200,0)+2,0))</f>
        <v>#N/A</v>
      </c>
      <c r="B133" s="80" t="str">
        <f ca="1">IFERROR(VALUE(IF(VLOOKUP($A133,数出表_Excel!$A$6:$T$150,COLUMN()/2+1,FALSE)=0,"",VLOOKUP($A133,数出表_Excel!$A$6:$T$150,COLUMN()/2+1,FALSE))),"")</f>
        <v/>
      </c>
      <c r="C133" s="80"/>
      <c r="D133" s="80" t="str">
        <f ca="1">IFERROR(VALUE(IF(VLOOKUP($A133,数出表_Excel!$A$6:$T$150,COLUMN()/2+1,FALSE)=0,"",VLOOKUP($A133,数出表_Excel!$A$6:$T$150,COLUMN()/2+1,FALSE))),"")</f>
        <v/>
      </c>
      <c r="E133" s="80"/>
      <c r="F133" s="84" t="str">
        <f ca="1">IFERROR(VALUE(IF(VLOOKUP($A133,数出表_Excel!$A$6:$T$150,COLUMN()/2+1,FALSE)=0,"",VLOOKUP($A133,数出表_Excel!$A$6:$T$150,COLUMN()/2+1,FALSE))),"")</f>
        <v/>
      </c>
      <c r="G133" s="80"/>
      <c r="H133" s="80" t="str">
        <f ca="1">IFERROR(VALUE(IF(VLOOKUP($A133,数出表_Excel!$A$6:$T$150,COLUMN()/2+1,FALSE)=0,"",VLOOKUP($A133,数出表_Excel!$A$6:$T$150,COLUMN()/2+1,FALSE))),"")</f>
        <v/>
      </c>
      <c r="I133" s="80"/>
      <c r="J133" s="80" t="str">
        <f ca="1">IFERROR(VALUE(IF(VLOOKUP($A133,数出表_Excel!$A$6:$T$150,COLUMN()/2+1,FALSE)=0,"",VLOOKUP($A133,数出表_Excel!$A$6:$T$150,COLUMN()/2+1,FALSE))),"")</f>
        <v/>
      </c>
      <c r="K133" s="80"/>
      <c r="L133" s="84" t="str">
        <f ca="1">IFERROR(VALUE(IF(VLOOKUP($A133,数出表_Excel!$A$6:$T$150,COLUMN()/2+1,FALSE)=0,"",VLOOKUP($A133,数出表_Excel!$A$6:$T$150,COLUMN()/2+1,FALSE))),"")</f>
        <v/>
      </c>
      <c r="M133" s="80"/>
      <c r="N133" s="80" t="str">
        <f ca="1">IFERROR(VALUE(IF(VLOOKUP($A133,数出表_Excel!$A$6:$T$150,COLUMN()/2+1,FALSE)=0,"",VLOOKUP($A133,数出表_Excel!$A$6:$T$150,COLUMN()/2+1,FALSE))),"")</f>
        <v/>
      </c>
      <c r="O133" s="80"/>
      <c r="P133" s="80" t="str">
        <f ca="1">IFERROR(VALUE(IF(VLOOKUP($A133,数出表_Excel!$A$6:$T$150,COLUMN()/2+1,FALSE)=0,"",VLOOKUP($A133,数出表_Excel!$A$6:$T$150,COLUMN()/2+1,FALSE))),"")</f>
        <v/>
      </c>
      <c r="Q133" s="80"/>
      <c r="R133" s="80" t="str">
        <f ca="1">IFERROR(VALUE(IF(VLOOKUP($A133,数出表_Excel!$A$6:$T$150,COLUMN()/2+1,FALSE)=0,"",VLOOKUP($A133,数出表_Excel!$A$6:$T$150,COLUMN()/2+1,FALSE))),"")</f>
        <v/>
      </c>
      <c r="S133" s="80"/>
      <c r="T133" s="80" t="str">
        <f ca="1">IFERROR(VALUE(IF(VLOOKUP($A133,数出表_Excel!$A$6:$T$150,COLUMN()/2+1,FALSE)=0,"",VLOOKUP($A133,数出表_Excel!$A$6:$T$150,COLUMN()/2+1,FALSE))),"")</f>
        <v/>
      </c>
      <c r="U133" s="80"/>
      <c r="V133" s="84" t="str">
        <f ca="1">IFERROR(VALUE(IF(VLOOKUP($A133,数出表_Excel!$A$6:$T$150,COLUMN()/2+1,FALSE)=0,"",VLOOKUP($A133,数出表_Excel!$A$6:$T$150,COLUMN()/2+1,FALSE))),"")</f>
        <v/>
      </c>
      <c r="W133" s="80"/>
      <c r="X133" s="84" t="str">
        <f ca="1">IFERROR(VALUE(IF(VLOOKUP($A133,数出表_Excel!$A$6:$T$150,COLUMN()/2+1,FALSE)=0,"",VLOOKUP($A133,数出表_Excel!$A$6:$T$150,COLUMN()/2+1,FALSE))),"")</f>
        <v/>
      </c>
      <c r="Y133" s="80"/>
      <c r="Z133" s="84" t="str">
        <f ca="1">IFERROR(VALUE(IF(VLOOKUP($A133,数出表_Excel!$A$6:$T$150,COLUMN()/2+1,FALSE)=0,"",VLOOKUP($A133,数出表_Excel!$A$6:$T$150,COLUMN()/2+1,FALSE))),"")</f>
        <v/>
      </c>
      <c r="AA133" s="118"/>
      <c r="AB133" s="85" t="str">
        <f ca="1">IFERROR(VALUE(IF(VLOOKUP($A133,数出表_Excel!$A$6:$T$150,COLUMN()/2+1,FALSE)=0,"",VLOOKUP($A133,数出表_Excel!$A$6:$T$150,COLUMN()/2+1,FALSE))),"")</f>
        <v/>
      </c>
      <c r="AC133" s="80"/>
      <c r="AD133" s="84" t="str">
        <f ca="1">IFERROR(VALUE(IF(VLOOKUP($A133,数出表_Excel!$A$6:$T$150,COLUMN()/2+1,FALSE)=0,"",VLOOKUP($A133,数出表_Excel!$A$6:$T$150,COLUMN()/2+1,FALSE))),"")</f>
        <v/>
      </c>
      <c r="AE133" s="80"/>
      <c r="AF133" s="84" t="str">
        <f ca="1">IFERROR(VALUE(IF(VLOOKUP($A133,数出表_Excel!$A$6:$T$150,COLUMN()/2+1,FALSE)=0,"",VLOOKUP($A133,数出表_Excel!$A$6:$T$150,COLUMN()/2+1,FALSE))),"")</f>
        <v/>
      </c>
      <c r="AG133" s="80"/>
      <c r="AH133" s="84" t="str">
        <f ca="1">IFERROR(VALUE(IF(VLOOKUP($A133,数出表_Excel!$A$6:$T$150,COLUMN()/2+1,FALSE)=0,"",VLOOKUP($A133,数出表_Excel!$A$6:$T$150,COLUMN()/2+1,FALSE))),"")</f>
        <v/>
      </c>
      <c r="AI133" s="118"/>
      <c r="AJ133" s="85" t="str">
        <f ca="1">IFERROR(VALUE(IF(VLOOKUP($A133,数出表_Excel!$A$6:$T$150,COLUMN()/2+1,FALSE)=0,"",VLOOKUP($A133,数出表_Excel!$A$6:$T$150,COLUMN()/2+1,FALSE))),"")</f>
        <v/>
      </c>
      <c r="AK133" s="80"/>
      <c r="AL133" s="86" t="e">
        <f ca="1">IF(A133&lt;&gt;"",
IF(VLOOKUP($A133,数出表_Excel!$A$6:$T$150,COLUMN()/2+1,FALSE)=0,"",VLOOKUP($A133,数出表_Excel!$A$6:$T$150,COLUMN()/2+1,FALSE)),"")</f>
        <v>#N/A</v>
      </c>
      <c r="AM133" s="166" t="e">
        <f>数出表_Excel!V133</f>
        <v>#N/A</v>
      </c>
      <c r="AN133" s="167" t="e">
        <f>数出表_Excel!W133</f>
        <v>#N/A</v>
      </c>
    </row>
    <row r="134" spans="1:40" ht="16.2" customHeight="1">
      <c r="A134" s="126" t="e">
        <f t="array" aca="1" ref="A134" ca="1">IF(OR(COUNTIF(A132,"*10002*"),COUNTIF(A132,"")),"",INDEX(貼り付け用!$A1:$A200,MATCH(A132,貼り付け用!$A1:$A200,0)+2,0))</f>
        <v>#N/A</v>
      </c>
      <c r="B134" s="114" t="str">
        <f ca="1">IFERROR(VALUE(IF(VLOOKUP($A134,数出表_Excel!$A$6:$T$150,COLUMN()/2+1,FALSE)=0,"",VLOOKUP($A134,数出表_Excel!$A$6:$T$150,COLUMN()/2+1,FALSE))),"")</f>
        <v/>
      </c>
      <c r="C134" s="79"/>
      <c r="D134" s="114" t="str">
        <f ca="1">IFERROR(VALUE(IF(VLOOKUP($A134,数出表_Excel!$A$6:$T$150,COLUMN()/2+1,FALSE)=0,"",VLOOKUP($A134,数出表_Excel!$A$6:$T$150,COLUMN()/2+1,FALSE))),"")</f>
        <v/>
      </c>
      <c r="E134" s="79"/>
      <c r="F134" s="116" t="str">
        <f ca="1">IFERROR(VALUE(IF(VLOOKUP($A134,数出表_Excel!$A$6:$T$150,COLUMN()/2+1,FALSE)=0,"",VLOOKUP($A134,数出表_Excel!$A$6:$T$150,COLUMN()/2+1,FALSE))),"")</f>
        <v/>
      </c>
      <c r="G134" s="79"/>
      <c r="H134" s="114" t="str">
        <f ca="1">IFERROR(VALUE(IF(VLOOKUP($A134,数出表_Excel!$A$6:$T$150,COLUMN()/2+1,FALSE)=0,"",VLOOKUP($A134,数出表_Excel!$A$6:$T$150,COLUMN()/2+1,FALSE))),"")</f>
        <v/>
      </c>
      <c r="I134" s="79"/>
      <c r="J134" s="114" t="str">
        <f ca="1">IFERROR(VALUE(IF(VLOOKUP($A134,数出表_Excel!$A$6:$T$150,COLUMN()/2+1,FALSE)=0,"",VLOOKUP($A134,数出表_Excel!$A$6:$T$150,COLUMN()/2+1,FALSE))),"")</f>
        <v/>
      </c>
      <c r="K134" s="79"/>
      <c r="L134" s="116" t="str">
        <f ca="1">IFERROR(VALUE(IF(VLOOKUP($A134,数出表_Excel!$A$6:$T$150,COLUMN()/2+1,FALSE)=0,"",VLOOKUP($A134,数出表_Excel!$A$6:$T$150,COLUMN()/2+1,FALSE))),"")</f>
        <v/>
      </c>
      <c r="M134" s="79"/>
      <c r="N134" s="114" t="str">
        <f ca="1">IFERROR(VALUE(IF(VLOOKUP($A134,数出表_Excel!$A$6:$T$150,COLUMN()/2+1,FALSE)=0,"",VLOOKUP($A134,数出表_Excel!$A$6:$T$150,COLUMN()/2+1,FALSE))),"")</f>
        <v/>
      </c>
      <c r="O134" s="79"/>
      <c r="P134" s="114" t="str">
        <f ca="1">IFERROR(VALUE(IF(VLOOKUP($A134,数出表_Excel!$A$6:$T$150,COLUMN()/2+1,FALSE)=0,"",VLOOKUP($A134,数出表_Excel!$A$6:$T$150,COLUMN()/2+1,FALSE))),"")</f>
        <v/>
      </c>
      <c r="Q134" s="79"/>
      <c r="R134" s="114" t="str">
        <f ca="1">IFERROR(VALUE(IF(VLOOKUP($A134,数出表_Excel!$A$6:$T$150,COLUMN()/2+1,FALSE)=0,"",VLOOKUP($A134,数出表_Excel!$A$6:$T$150,COLUMN()/2+1,FALSE))),"")</f>
        <v/>
      </c>
      <c r="S134" s="79"/>
      <c r="T134" s="114" t="str">
        <f ca="1">IFERROR(VALUE(IF(VLOOKUP($A134,数出表_Excel!$A$6:$T$150,COLUMN()/2+1,FALSE)=0,"",VLOOKUP($A134,数出表_Excel!$A$6:$T$150,COLUMN()/2+1,FALSE))),"")</f>
        <v/>
      </c>
      <c r="U134" s="79"/>
      <c r="V134" s="116" t="str">
        <f ca="1">IFERROR(VALUE(IF(VLOOKUP($A134,数出表_Excel!$A$6:$T$150,COLUMN()/2+1,FALSE)=0,"",VLOOKUP($A134,数出表_Excel!$A$6:$T$150,COLUMN()/2+1,FALSE))),"")</f>
        <v/>
      </c>
      <c r="W134" s="79"/>
      <c r="X134" s="116" t="str">
        <f ca="1">IFERROR(VALUE(IF(VLOOKUP($A134,数出表_Excel!$A$6:$T$150,COLUMN()/2+1,FALSE)=0,"",VLOOKUP($A134,数出表_Excel!$A$6:$T$150,COLUMN()/2+1,FALSE))),"")</f>
        <v/>
      </c>
      <c r="Y134" s="79"/>
      <c r="Z134" s="116" t="str">
        <f ca="1">IFERROR(VALUE(IF(VLOOKUP($A134,数出表_Excel!$A$6:$T$150,COLUMN()/2+1,FALSE)=0,"",VLOOKUP($A134,数出表_Excel!$A$6:$T$150,COLUMN()/2+1,FALSE))),"")</f>
        <v/>
      </c>
      <c r="AA134" s="117"/>
      <c r="AB134" s="115" t="str">
        <f ca="1">IFERROR(VALUE(IF(VLOOKUP($A134,数出表_Excel!$A$6:$T$150,COLUMN()/2+1,FALSE)=0,"",VLOOKUP($A134,数出表_Excel!$A$6:$T$150,COLUMN()/2+1,FALSE))),"")</f>
        <v/>
      </c>
      <c r="AC134" s="79"/>
      <c r="AD134" s="116" t="str">
        <f ca="1">IFERROR(VALUE(IF(VLOOKUP($A134,数出表_Excel!$A$6:$T$150,COLUMN()/2+1,FALSE)=0,"",VLOOKUP($A134,数出表_Excel!$A$6:$T$150,COLUMN()/2+1,FALSE))),"")</f>
        <v/>
      </c>
      <c r="AE134" s="79"/>
      <c r="AF134" s="116" t="str">
        <f ca="1">IFERROR(VALUE(IF(VLOOKUP($A134,数出表_Excel!$A$6:$T$150,COLUMN()/2+1,FALSE)=0,"",VLOOKUP($A134,数出表_Excel!$A$6:$T$150,COLUMN()/2+1,FALSE))),"")</f>
        <v/>
      </c>
      <c r="AG134" s="79"/>
      <c r="AH134" s="116" t="str">
        <f ca="1">IFERROR(VALUE(IF(VLOOKUP($A134,数出表_Excel!$A$6:$T$150,COLUMN()/2+1,FALSE)=0,"",VLOOKUP($A134,数出表_Excel!$A$6:$T$150,COLUMN()/2+1,FALSE))),"")</f>
        <v/>
      </c>
      <c r="AI134" s="117"/>
      <c r="AJ134" s="115" t="str">
        <f ca="1">IFERROR(VALUE(IF(VLOOKUP($A134,数出表_Excel!$A$6:$T$150,COLUMN()/2+1,FALSE)=0,"",VLOOKUP($A134,数出表_Excel!$A$6:$T$150,COLUMN()/2+1,FALSE))),"")</f>
        <v/>
      </c>
      <c r="AK134" s="79"/>
      <c r="AL134" s="83" t="e">
        <f ca="1">IF(A134&lt;&gt;"",
IF(VLOOKUP($A134,数出表_Excel!$A$6:$T$150,COLUMN()/2+1,FALSE)=0,"",VLOOKUP($A134,数出表_Excel!$A$6:$T$150,COLUMN()/2+1,FALSE)),"")</f>
        <v>#N/A</v>
      </c>
      <c r="AM134" s="164" t="e">
        <f>数出表_Excel!V134</f>
        <v>#N/A</v>
      </c>
      <c r="AN134" s="165" t="e">
        <f>数出表_Excel!W134</f>
        <v>#N/A</v>
      </c>
    </row>
    <row r="135" spans="1:40" ht="16.2" customHeight="1">
      <c r="A135" s="127" t="e">
        <f t="array" aca="1" ref="A135" ca="1">IF(OR(COUNTIF(A133,"*1000*"),COUNTIF(A133,"")),"",INDEX(貼り付け用!$A1:$A200,MATCH(A133,貼り付け用!$A1:$A200,0)+2,0))</f>
        <v>#N/A</v>
      </c>
      <c r="B135" s="80" t="str">
        <f ca="1">IFERROR(VALUE(IF(VLOOKUP($A135,数出表_Excel!$A$6:$T$150,COLUMN()/2+1,FALSE)=0,"",VLOOKUP($A135,数出表_Excel!$A$6:$T$150,COLUMN()/2+1,FALSE))),"")</f>
        <v/>
      </c>
      <c r="C135" s="80"/>
      <c r="D135" s="80" t="str">
        <f ca="1">IFERROR(VALUE(IF(VLOOKUP($A135,数出表_Excel!$A$6:$T$150,COLUMN()/2+1,FALSE)=0,"",VLOOKUP($A135,数出表_Excel!$A$6:$T$150,COLUMN()/2+1,FALSE))),"")</f>
        <v/>
      </c>
      <c r="E135" s="80"/>
      <c r="F135" s="84" t="str">
        <f ca="1">IFERROR(VALUE(IF(VLOOKUP($A135,数出表_Excel!$A$6:$T$150,COLUMN()/2+1,FALSE)=0,"",VLOOKUP($A135,数出表_Excel!$A$6:$T$150,COLUMN()/2+1,FALSE))),"")</f>
        <v/>
      </c>
      <c r="G135" s="80"/>
      <c r="H135" s="80" t="str">
        <f ca="1">IFERROR(VALUE(IF(VLOOKUP($A135,数出表_Excel!$A$6:$T$150,COLUMN()/2+1,FALSE)=0,"",VLOOKUP($A135,数出表_Excel!$A$6:$T$150,COLUMN()/2+1,FALSE))),"")</f>
        <v/>
      </c>
      <c r="I135" s="80"/>
      <c r="J135" s="80" t="str">
        <f ca="1">IFERROR(VALUE(IF(VLOOKUP($A135,数出表_Excel!$A$6:$T$150,COLUMN()/2+1,FALSE)=0,"",VLOOKUP($A135,数出表_Excel!$A$6:$T$150,COLUMN()/2+1,FALSE))),"")</f>
        <v/>
      </c>
      <c r="K135" s="80"/>
      <c r="L135" s="84" t="str">
        <f ca="1">IFERROR(VALUE(IF(VLOOKUP($A135,数出表_Excel!$A$6:$T$150,COLUMN()/2+1,FALSE)=0,"",VLOOKUP($A135,数出表_Excel!$A$6:$T$150,COLUMN()/2+1,FALSE))),"")</f>
        <v/>
      </c>
      <c r="M135" s="80"/>
      <c r="N135" s="80" t="str">
        <f ca="1">IFERROR(VALUE(IF(VLOOKUP($A135,数出表_Excel!$A$6:$T$150,COLUMN()/2+1,FALSE)=0,"",VLOOKUP($A135,数出表_Excel!$A$6:$T$150,COLUMN()/2+1,FALSE))),"")</f>
        <v/>
      </c>
      <c r="O135" s="80"/>
      <c r="P135" s="80" t="str">
        <f ca="1">IFERROR(VALUE(IF(VLOOKUP($A135,数出表_Excel!$A$6:$T$150,COLUMN()/2+1,FALSE)=0,"",VLOOKUP($A135,数出表_Excel!$A$6:$T$150,COLUMN()/2+1,FALSE))),"")</f>
        <v/>
      </c>
      <c r="Q135" s="80"/>
      <c r="R135" s="80" t="str">
        <f ca="1">IFERROR(VALUE(IF(VLOOKUP($A135,数出表_Excel!$A$6:$T$150,COLUMN()/2+1,FALSE)=0,"",VLOOKUP($A135,数出表_Excel!$A$6:$T$150,COLUMN()/2+1,FALSE))),"")</f>
        <v/>
      </c>
      <c r="S135" s="80"/>
      <c r="T135" s="80" t="str">
        <f ca="1">IFERROR(VALUE(IF(VLOOKUP($A135,数出表_Excel!$A$6:$T$150,COLUMN()/2+1,FALSE)=0,"",VLOOKUP($A135,数出表_Excel!$A$6:$T$150,COLUMN()/2+1,FALSE))),"")</f>
        <v/>
      </c>
      <c r="U135" s="80"/>
      <c r="V135" s="84" t="str">
        <f ca="1">IFERROR(VALUE(IF(VLOOKUP($A135,数出表_Excel!$A$6:$T$150,COLUMN()/2+1,FALSE)=0,"",VLOOKUP($A135,数出表_Excel!$A$6:$T$150,COLUMN()/2+1,FALSE))),"")</f>
        <v/>
      </c>
      <c r="W135" s="80"/>
      <c r="X135" s="84" t="str">
        <f ca="1">IFERROR(VALUE(IF(VLOOKUP($A135,数出表_Excel!$A$6:$T$150,COLUMN()/2+1,FALSE)=0,"",VLOOKUP($A135,数出表_Excel!$A$6:$T$150,COLUMN()/2+1,FALSE))),"")</f>
        <v/>
      </c>
      <c r="Y135" s="80"/>
      <c r="Z135" s="84" t="str">
        <f ca="1">IFERROR(VALUE(IF(VLOOKUP($A135,数出表_Excel!$A$6:$T$150,COLUMN()/2+1,FALSE)=0,"",VLOOKUP($A135,数出表_Excel!$A$6:$T$150,COLUMN()/2+1,FALSE))),"")</f>
        <v/>
      </c>
      <c r="AA135" s="118"/>
      <c r="AB135" s="85" t="str">
        <f ca="1">IFERROR(VALUE(IF(VLOOKUP($A135,数出表_Excel!$A$6:$T$150,COLUMN()/2+1,FALSE)=0,"",VLOOKUP($A135,数出表_Excel!$A$6:$T$150,COLUMN()/2+1,FALSE))),"")</f>
        <v/>
      </c>
      <c r="AC135" s="80"/>
      <c r="AD135" s="84" t="str">
        <f ca="1">IFERROR(VALUE(IF(VLOOKUP($A135,数出表_Excel!$A$6:$T$150,COLUMN()/2+1,FALSE)=0,"",VLOOKUP($A135,数出表_Excel!$A$6:$T$150,COLUMN()/2+1,FALSE))),"")</f>
        <v/>
      </c>
      <c r="AE135" s="80"/>
      <c r="AF135" s="84" t="str">
        <f ca="1">IFERROR(VALUE(IF(VLOOKUP($A135,数出表_Excel!$A$6:$T$150,COLUMN()/2+1,FALSE)=0,"",VLOOKUP($A135,数出表_Excel!$A$6:$T$150,COLUMN()/2+1,FALSE))),"")</f>
        <v/>
      </c>
      <c r="AG135" s="80"/>
      <c r="AH135" s="84" t="str">
        <f ca="1">IFERROR(VALUE(IF(VLOOKUP($A135,数出表_Excel!$A$6:$T$150,COLUMN()/2+1,FALSE)=0,"",VLOOKUP($A135,数出表_Excel!$A$6:$T$150,COLUMN()/2+1,FALSE))),"")</f>
        <v/>
      </c>
      <c r="AI135" s="118"/>
      <c r="AJ135" s="85" t="str">
        <f ca="1">IFERROR(VALUE(IF(VLOOKUP($A135,数出表_Excel!$A$6:$T$150,COLUMN()/2+1,FALSE)=0,"",VLOOKUP($A135,数出表_Excel!$A$6:$T$150,COLUMN()/2+1,FALSE))),"")</f>
        <v/>
      </c>
      <c r="AK135" s="80"/>
      <c r="AL135" s="86" t="e">
        <f ca="1">IF(A135&lt;&gt;"",
IF(VLOOKUP($A135,数出表_Excel!$A$6:$T$150,COLUMN()/2+1,FALSE)=0,"",VLOOKUP($A135,数出表_Excel!$A$6:$T$150,COLUMN()/2+1,FALSE)),"")</f>
        <v>#N/A</v>
      </c>
      <c r="AM135" s="166" t="e">
        <f>数出表_Excel!V135</f>
        <v>#N/A</v>
      </c>
      <c r="AN135" s="167" t="e">
        <f>数出表_Excel!W135</f>
        <v>#N/A</v>
      </c>
    </row>
    <row r="136" spans="1:40" ht="16.2" customHeight="1">
      <c r="A136" s="126" t="e">
        <f t="array" aca="1" ref="A136" ca="1">IF(OR(COUNTIF(A134,"*10002*"),COUNTIF(A134,"")),"",INDEX(貼り付け用!$A1:$A200,MATCH(A134,貼り付け用!$A1:$A200,0)+2,0))</f>
        <v>#N/A</v>
      </c>
      <c r="B136" s="114" t="str">
        <f ca="1">IFERROR(VALUE(IF(VLOOKUP($A136,数出表_Excel!$A$6:$T$150,COLUMN()/2+1,FALSE)=0,"",VLOOKUP($A136,数出表_Excel!$A$6:$T$150,COLUMN()/2+1,FALSE))),"")</f>
        <v/>
      </c>
      <c r="C136" s="79"/>
      <c r="D136" s="114" t="str">
        <f ca="1">IFERROR(VALUE(IF(VLOOKUP($A136,数出表_Excel!$A$6:$T$150,COLUMN()/2+1,FALSE)=0,"",VLOOKUP($A136,数出表_Excel!$A$6:$T$150,COLUMN()/2+1,FALSE))),"")</f>
        <v/>
      </c>
      <c r="E136" s="79"/>
      <c r="F136" s="116" t="str">
        <f ca="1">IFERROR(VALUE(IF(VLOOKUP($A136,数出表_Excel!$A$6:$T$150,COLUMN()/2+1,FALSE)=0,"",VLOOKUP($A136,数出表_Excel!$A$6:$T$150,COLUMN()/2+1,FALSE))),"")</f>
        <v/>
      </c>
      <c r="G136" s="79"/>
      <c r="H136" s="114" t="str">
        <f ca="1">IFERROR(VALUE(IF(VLOOKUP($A136,数出表_Excel!$A$6:$T$150,COLUMN()/2+1,FALSE)=0,"",VLOOKUP($A136,数出表_Excel!$A$6:$T$150,COLUMN()/2+1,FALSE))),"")</f>
        <v/>
      </c>
      <c r="I136" s="79"/>
      <c r="J136" s="114" t="str">
        <f ca="1">IFERROR(VALUE(IF(VLOOKUP($A136,数出表_Excel!$A$6:$T$150,COLUMN()/2+1,FALSE)=0,"",VLOOKUP($A136,数出表_Excel!$A$6:$T$150,COLUMN()/2+1,FALSE))),"")</f>
        <v/>
      </c>
      <c r="K136" s="79"/>
      <c r="L136" s="116" t="str">
        <f ca="1">IFERROR(VALUE(IF(VLOOKUP($A136,数出表_Excel!$A$6:$T$150,COLUMN()/2+1,FALSE)=0,"",VLOOKUP($A136,数出表_Excel!$A$6:$T$150,COLUMN()/2+1,FALSE))),"")</f>
        <v/>
      </c>
      <c r="M136" s="79"/>
      <c r="N136" s="114" t="str">
        <f ca="1">IFERROR(VALUE(IF(VLOOKUP($A136,数出表_Excel!$A$6:$T$150,COLUMN()/2+1,FALSE)=0,"",VLOOKUP($A136,数出表_Excel!$A$6:$T$150,COLUMN()/2+1,FALSE))),"")</f>
        <v/>
      </c>
      <c r="O136" s="79"/>
      <c r="P136" s="114" t="str">
        <f ca="1">IFERROR(VALUE(IF(VLOOKUP($A136,数出表_Excel!$A$6:$T$150,COLUMN()/2+1,FALSE)=0,"",VLOOKUP($A136,数出表_Excel!$A$6:$T$150,COLUMN()/2+1,FALSE))),"")</f>
        <v/>
      </c>
      <c r="Q136" s="79"/>
      <c r="R136" s="114" t="str">
        <f ca="1">IFERROR(VALUE(IF(VLOOKUP($A136,数出表_Excel!$A$6:$T$150,COLUMN()/2+1,FALSE)=0,"",VLOOKUP($A136,数出表_Excel!$A$6:$T$150,COLUMN()/2+1,FALSE))),"")</f>
        <v/>
      </c>
      <c r="S136" s="79"/>
      <c r="T136" s="114" t="str">
        <f ca="1">IFERROR(VALUE(IF(VLOOKUP($A136,数出表_Excel!$A$6:$T$150,COLUMN()/2+1,FALSE)=0,"",VLOOKUP($A136,数出表_Excel!$A$6:$T$150,COLUMN()/2+1,FALSE))),"")</f>
        <v/>
      </c>
      <c r="U136" s="79"/>
      <c r="V136" s="116" t="str">
        <f ca="1">IFERROR(VALUE(IF(VLOOKUP($A136,数出表_Excel!$A$6:$T$150,COLUMN()/2+1,FALSE)=0,"",VLOOKUP($A136,数出表_Excel!$A$6:$T$150,COLUMN()/2+1,FALSE))),"")</f>
        <v/>
      </c>
      <c r="W136" s="79"/>
      <c r="X136" s="116" t="str">
        <f ca="1">IFERROR(VALUE(IF(VLOOKUP($A136,数出表_Excel!$A$6:$T$150,COLUMN()/2+1,FALSE)=0,"",VLOOKUP($A136,数出表_Excel!$A$6:$T$150,COLUMN()/2+1,FALSE))),"")</f>
        <v/>
      </c>
      <c r="Y136" s="79"/>
      <c r="Z136" s="116" t="str">
        <f ca="1">IFERROR(VALUE(IF(VLOOKUP($A136,数出表_Excel!$A$6:$T$150,COLUMN()/2+1,FALSE)=0,"",VLOOKUP($A136,数出表_Excel!$A$6:$T$150,COLUMN()/2+1,FALSE))),"")</f>
        <v/>
      </c>
      <c r="AA136" s="117"/>
      <c r="AB136" s="115" t="str">
        <f ca="1">IFERROR(VALUE(IF(VLOOKUP($A136,数出表_Excel!$A$6:$T$150,COLUMN()/2+1,FALSE)=0,"",VLOOKUP($A136,数出表_Excel!$A$6:$T$150,COLUMN()/2+1,FALSE))),"")</f>
        <v/>
      </c>
      <c r="AC136" s="79"/>
      <c r="AD136" s="116" t="str">
        <f ca="1">IFERROR(VALUE(IF(VLOOKUP($A136,数出表_Excel!$A$6:$T$150,COLUMN()/2+1,FALSE)=0,"",VLOOKUP($A136,数出表_Excel!$A$6:$T$150,COLUMN()/2+1,FALSE))),"")</f>
        <v/>
      </c>
      <c r="AE136" s="79"/>
      <c r="AF136" s="116" t="str">
        <f ca="1">IFERROR(VALUE(IF(VLOOKUP($A136,数出表_Excel!$A$6:$T$150,COLUMN()/2+1,FALSE)=0,"",VLOOKUP($A136,数出表_Excel!$A$6:$T$150,COLUMN()/2+1,FALSE))),"")</f>
        <v/>
      </c>
      <c r="AG136" s="79"/>
      <c r="AH136" s="116" t="str">
        <f ca="1">IFERROR(VALUE(IF(VLOOKUP($A136,数出表_Excel!$A$6:$T$150,COLUMN()/2+1,FALSE)=0,"",VLOOKUP($A136,数出表_Excel!$A$6:$T$150,COLUMN()/2+1,FALSE))),"")</f>
        <v/>
      </c>
      <c r="AI136" s="117"/>
      <c r="AJ136" s="115" t="str">
        <f ca="1">IFERROR(VALUE(IF(VLOOKUP($A136,数出表_Excel!$A$6:$T$150,COLUMN()/2+1,FALSE)=0,"",VLOOKUP($A136,数出表_Excel!$A$6:$T$150,COLUMN()/2+1,FALSE))),"")</f>
        <v/>
      </c>
      <c r="AK136" s="79"/>
      <c r="AL136" s="83" t="e">
        <f ca="1">IF(A136&lt;&gt;"",
IF(VLOOKUP($A136,数出表_Excel!$A$6:$T$150,COLUMN()/2+1,FALSE)=0,"",VLOOKUP($A136,数出表_Excel!$A$6:$T$150,COLUMN()/2+1,FALSE)),"")</f>
        <v>#N/A</v>
      </c>
      <c r="AM136" s="164" t="e">
        <f>数出表_Excel!V136</f>
        <v>#N/A</v>
      </c>
      <c r="AN136" s="165" t="e">
        <f>数出表_Excel!W136</f>
        <v>#N/A</v>
      </c>
    </row>
    <row r="137" spans="1:40" ht="16.2" customHeight="1">
      <c r="A137" s="127" t="e">
        <f t="array" aca="1" ref="A137" ca="1">IF(OR(COUNTIF(A135,"*1000*"),COUNTIF(A135,"")),"",INDEX(貼り付け用!$A1:$A200,MATCH(A135,貼り付け用!$A1:$A200,0)+2,0))</f>
        <v>#N/A</v>
      </c>
      <c r="B137" s="80" t="str">
        <f ca="1">IFERROR(VALUE(IF(VLOOKUP($A137,数出表_Excel!$A$6:$T$150,COLUMN()/2+1,FALSE)=0,"",VLOOKUP($A137,数出表_Excel!$A$6:$T$150,COLUMN()/2+1,FALSE))),"")</f>
        <v/>
      </c>
      <c r="C137" s="80"/>
      <c r="D137" s="80" t="str">
        <f ca="1">IFERROR(VALUE(IF(VLOOKUP($A137,数出表_Excel!$A$6:$T$150,COLUMN()/2+1,FALSE)=0,"",VLOOKUP($A137,数出表_Excel!$A$6:$T$150,COLUMN()/2+1,FALSE))),"")</f>
        <v/>
      </c>
      <c r="E137" s="80"/>
      <c r="F137" s="84" t="str">
        <f ca="1">IFERROR(VALUE(IF(VLOOKUP($A137,数出表_Excel!$A$6:$T$150,COLUMN()/2+1,FALSE)=0,"",VLOOKUP($A137,数出表_Excel!$A$6:$T$150,COLUMN()/2+1,FALSE))),"")</f>
        <v/>
      </c>
      <c r="G137" s="80"/>
      <c r="H137" s="80" t="str">
        <f ca="1">IFERROR(VALUE(IF(VLOOKUP($A137,数出表_Excel!$A$6:$T$150,COLUMN()/2+1,FALSE)=0,"",VLOOKUP($A137,数出表_Excel!$A$6:$T$150,COLUMN()/2+1,FALSE))),"")</f>
        <v/>
      </c>
      <c r="I137" s="80"/>
      <c r="J137" s="80" t="str">
        <f ca="1">IFERROR(VALUE(IF(VLOOKUP($A137,数出表_Excel!$A$6:$T$150,COLUMN()/2+1,FALSE)=0,"",VLOOKUP($A137,数出表_Excel!$A$6:$T$150,COLUMN()/2+1,FALSE))),"")</f>
        <v/>
      </c>
      <c r="K137" s="80"/>
      <c r="L137" s="84" t="str">
        <f ca="1">IFERROR(VALUE(IF(VLOOKUP($A137,数出表_Excel!$A$6:$T$150,COLUMN()/2+1,FALSE)=0,"",VLOOKUP($A137,数出表_Excel!$A$6:$T$150,COLUMN()/2+1,FALSE))),"")</f>
        <v/>
      </c>
      <c r="M137" s="80"/>
      <c r="N137" s="80" t="str">
        <f ca="1">IFERROR(VALUE(IF(VLOOKUP($A137,数出表_Excel!$A$6:$T$150,COLUMN()/2+1,FALSE)=0,"",VLOOKUP($A137,数出表_Excel!$A$6:$T$150,COLUMN()/2+1,FALSE))),"")</f>
        <v/>
      </c>
      <c r="O137" s="80"/>
      <c r="P137" s="80" t="str">
        <f ca="1">IFERROR(VALUE(IF(VLOOKUP($A137,数出表_Excel!$A$6:$T$150,COLUMN()/2+1,FALSE)=0,"",VLOOKUP($A137,数出表_Excel!$A$6:$T$150,COLUMN()/2+1,FALSE))),"")</f>
        <v/>
      </c>
      <c r="Q137" s="80"/>
      <c r="R137" s="80" t="str">
        <f ca="1">IFERROR(VALUE(IF(VLOOKUP($A137,数出表_Excel!$A$6:$T$150,COLUMN()/2+1,FALSE)=0,"",VLOOKUP($A137,数出表_Excel!$A$6:$T$150,COLUMN()/2+1,FALSE))),"")</f>
        <v/>
      </c>
      <c r="S137" s="80"/>
      <c r="T137" s="80" t="str">
        <f ca="1">IFERROR(VALUE(IF(VLOOKUP($A137,数出表_Excel!$A$6:$T$150,COLUMN()/2+1,FALSE)=0,"",VLOOKUP($A137,数出表_Excel!$A$6:$T$150,COLUMN()/2+1,FALSE))),"")</f>
        <v/>
      </c>
      <c r="U137" s="80"/>
      <c r="V137" s="84" t="str">
        <f ca="1">IFERROR(VALUE(IF(VLOOKUP($A137,数出表_Excel!$A$6:$T$150,COLUMN()/2+1,FALSE)=0,"",VLOOKUP($A137,数出表_Excel!$A$6:$T$150,COLUMN()/2+1,FALSE))),"")</f>
        <v/>
      </c>
      <c r="W137" s="80"/>
      <c r="X137" s="84" t="str">
        <f ca="1">IFERROR(VALUE(IF(VLOOKUP($A137,数出表_Excel!$A$6:$T$150,COLUMN()/2+1,FALSE)=0,"",VLOOKUP($A137,数出表_Excel!$A$6:$T$150,COLUMN()/2+1,FALSE))),"")</f>
        <v/>
      </c>
      <c r="Y137" s="80"/>
      <c r="Z137" s="84" t="str">
        <f ca="1">IFERROR(VALUE(IF(VLOOKUP($A137,数出表_Excel!$A$6:$T$150,COLUMN()/2+1,FALSE)=0,"",VLOOKUP($A137,数出表_Excel!$A$6:$T$150,COLUMN()/2+1,FALSE))),"")</f>
        <v/>
      </c>
      <c r="AA137" s="118"/>
      <c r="AB137" s="85" t="str">
        <f ca="1">IFERROR(VALUE(IF(VLOOKUP($A137,数出表_Excel!$A$6:$T$150,COLUMN()/2+1,FALSE)=0,"",VLOOKUP($A137,数出表_Excel!$A$6:$T$150,COLUMN()/2+1,FALSE))),"")</f>
        <v/>
      </c>
      <c r="AC137" s="80"/>
      <c r="AD137" s="84" t="str">
        <f ca="1">IFERROR(VALUE(IF(VLOOKUP($A137,数出表_Excel!$A$6:$T$150,COLUMN()/2+1,FALSE)=0,"",VLOOKUP($A137,数出表_Excel!$A$6:$T$150,COLUMN()/2+1,FALSE))),"")</f>
        <v/>
      </c>
      <c r="AE137" s="80"/>
      <c r="AF137" s="84" t="str">
        <f ca="1">IFERROR(VALUE(IF(VLOOKUP($A137,数出表_Excel!$A$6:$T$150,COLUMN()/2+1,FALSE)=0,"",VLOOKUP($A137,数出表_Excel!$A$6:$T$150,COLUMN()/2+1,FALSE))),"")</f>
        <v/>
      </c>
      <c r="AG137" s="80"/>
      <c r="AH137" s="84" t="str">
        <f ca="1">IFERROR(VALUE(IF(VLOOKUP($A137,数出表_Excel!$A$6:$T$150,COLUMN()/2+1,FALSE)=0,"",VLOOKUP($A137,数出表_Excel!$A$6:$T$150,COLUMN()/2+1,FALSE))),"")</f>
        <v/>
      </c>
      <c r="AI137" s="118"/>
      <c r="AJ137" s="85" t="str">
        <f ca="1">IFERROR(VALUE(IF(VLOOKUP($A137,数出表_Excel!$A$6:$T$150,COLUMN()/2+1,FALSE)=0,"",VLOOKUP($A137,数出表_Excel!$A$6:$T$150,COLUMN()/2+1,FALSE))),"")</f>
        <v/>
      </c>
      <c r="AK137" s="80"/>
      <c r="AL137" s="86" t="e">
        <f ca="1">IF(A137&lt;&gt;"",
IF(VLOOKUP($A137,数出表_Excel!$A$6:$T$150,COLUMN()/2+1,FALSE)=0,"",VLOOKUP($A137,数出表_Excel!$A$6:$T$150,COLUMN()/2+1,FALSE)),"")</f>
        <v>#N/A</v>
      </c>
      <c r="AM137" s="166" t="e">
        <f>数出表_Excel!V137</f>
        <v>#N/A</v>
      </c>
      <c r="AN137" s="167" t="e">
        <f>数出表_Excel!W137</f>
        <v>#N/A</v>
      </c>
    </row>
    <row r="138" spans="1:40" ht="16.2" customHeight="1">
      <c r="A138" s="126" t="e">
        <f t="array" aca="1" ref="A138" ca="1">IF(OR(COUNTIF(A136,"*10002*"),COUNTIF(A136,"")),"",INDEX(貼り付け用!$A1:$A200,MATCH(A136,貼り付け用!$A1:$A200,0)+2,0))</f>
        <v>#N/A</v>
      </c>
      <c r="B138" s="114" t="str">
        <f ca="1">IFERROR(VALUE(IF(VLOOKUP($A138,数出表_Excel!$A$6:$T$150,COLUMN()/2+1,FALSE)=0,"",VLOOKUP($A138,数出表_Excel!$A$6:$T$150,COLUMN()/2+1,FALSE))),"")</f>
        <v/>
      </c>
      <c r="C138" s="79"/>
      <c r="D138" s="114" t="str">
        <f ca="1">IFERROR(VALUE(IF(VLOOKUP($A138,数出表_Excel!$A$6:$T$150,COLUMN()/2+1,FALSE)=0,"",VLOOKUP($A138,数出表_Excel!$A$6:$T$150,COLUMN()/2+1,FALSE))),"")</f>
        <v/>
      </c>
      <c r="E138" s="79"/>
      <c r="F138" s="116" t="str">
        <f ca="1">IFERROR(VALUE(IF(VLOOKUP($A138,数出表_Excel!$A$6:$T$150,COLUMN()/2+1,FALSE)=0,"",VLOOKUP($A138,数出表_Excel!$A$6:$T$150,COLUMN()/2+1,FALSE))),"")</f>
        <v/>
      </c>
      <c r="G138" s="79"/>
      <c r="H138" s="114" t="str">
        <f ca="1">IFERROR(VALUE(IF(VLOOKUP($A138,数出表_Excel!$A$6:$T$150,COLUMN()/2+1,FALSE)=0,"",VLOOKUP($A138,数出表_Excel!$A$6:$T$150,COLUMN()/2+1,FALSE))),"")</f>
        <v/>
      </c>
      <c r="I138" s="79"/>
      <c r="J138" s="114" t="str">
        <f ca="1">IFERROR(VALUE(IF(VLOOKUP($A138,数出表_Excel!$A$6:$T$150,COLUMN()/2+1,FALSE)=0,"",VLOOKUP($A138,数出表_Excel!$A$6:$T$150,COLUMN()/2+1,FALSE))),"")</f>
        <v/>
      </c>
      <c r="K138" s="79"/>
      <c r="L138" s="116" t="str">
        <f ca="1">IFERROR(VALUE(IF(VLOOKUP($A138,数出表_Excel!$A$6:$T$150,COLUMN()/2+1,FALSE)=0,"",VLOOKUP($A138,数出表_Excel!$A$6:$T$150,COLUMN()/2+1,FALSE))),"")</f>
        <v/>
      </c>
      <c r="M138" s="79"/>
      <c r="N138" s="114" t="str">
        <f ca="1">IFERROR(VALUE(IF(VLOOKUP($A138,数出表_Excel!$A$6:$T$150,COLUMN()/2+1,FALSE)=0,"",VLOOKUP($A138,数出表_Excel!$A$6:$T$150,COLUMN()/2+1,FALSE))),"")</f>
        <v/>
      </c>
      <c r="O138" s="79"/>
      <c r="P138" s="114" t="str">
        <f ca="1">IFERROR(VALUE(IF(VLOOKUP($A138,数出表_Excel!$A$6:$T$150,COLUMN()/2+1,FALSE)=0,"",VLOOKUP($A138,数出表_Excel!$A$6:$T$150,COLUMN()/2+1,FALSE))),"")</f>
        <v/>
      </c>
      <c r="Q138" s="79"/>
      <c r="R138" s="114" t="str">
        <f ca="1">IFERROR(VALUE(IF(VLOOKUP($A138,数出表_Excel!$A$6:$T$150,COLUMN()/2+1,FALSE)=0,"",VLOOKUP($A138,数出表_Excel!$A$6:$T$150,COLUMN()/2+1,FALSE))),"")</f>
        <v/>
      </c>
      <c r="S138" s="79"/>
      <c r="T138" s="114" t="str">
        <f ca="1">IFERROR(VALUE(IF(VLOOKUP($A138,数出表_Excel!$A$6:$T$150,COLUMN()/2+1,FALSE)=0,"",VLOOKUP($A138,数出表_Excel!$A$6:$T$150,COLUMN()/2+1,FALSE))),"")</f>
        <v/>
      </c>
      <c r="U138" s="79"/>
      <c r="V138" s="116" t="str">
        <f ca="1">IFERROR(VALUE(IF(VLOOKUP($A138,数出表_Excel!$A$6:$T$150,COLUMN()/2+1,FALSE)=0,"",VLOOKUP($A138,数出表_Excel!$A$6:$T$150,COLUMN()/2+1,FALSE))),"")</f>
        <v/>
      </c>
      <c r="W138" s="79"/>
      <c r="X138" s="116" t="str">
        <f ca="1">IFERROR(VALUE(IF(VLOOKUP($A138,数出表_Excel!$A$6:$T$150,COLUMN()/2+1,FALSE)=0,"",VLOOKUP($A138,数出表_Excel!$A$6:$T$150,COLUMN()/2+1,FALSE))),"")</f>
        <v/>
      </c>
      <c r="Y138" s="79"/>
      <c r="Z138" s="116" t="str">
        <f ca="1">IFERROR(VALUE(IF(VLOOKUP($A138,数出表_Excel!$A$6:$T$150,COLUMN()/2+1,FALSE)=0,"",VLOOKUP($A138,数出表_Excel!$A$6:$T$150,COLUMN()/2+1,FALSE))),"")</f>
        <v/>
      </c>
      <c r="AA138" s="117"/>
      <c r="AB138" s="115" t="str">
        <f ca="1">IFERROR(VALUE(IF(VLOOKUP($A138,数出表_Excel!$A$6:$T$150,COLUMN()/2+1,FALSE)=0,"",VLOOKUP($A138,数出表_Excel!$A$6:$T$150,COLUMN()/2+1,FALSE))),"")</f>
        <v/>
      </c>
      <c r="AC138" s="79"/>
      <c r="AD138" s="116" t="str">
        <f ca="1">IFERROR(VALUE(IF(VLOOKUP($A138,数出表_Excel!$A$6:$T$150,COLUMN()/2+1,FALSE)=0,"",VLOOKUP($A138,数出表_Excel!$A$6:$T$150,COLUMN()/2+1,FALSE))),"")</f>
        <v/>
      </c>
      <c r="AE138" s="79"/>
      <c r="AF138" s="116" t="str">
        <f ca="1">IFERROR(VALUE(IF(VLOOKUP($A138,数出表_Excel!$A$6:$T$150,COLUMN()/2+1,FALSE)=0,"",VLOOKUP($A138,数出表_Excel!$A$6:$T$150,COLUMN()/2+1,FALSE))),"")</f>
        <v/>
      </c>
      <c r="AG138" s="79"/>
      <c r="AH138" s="116" t="str">
        <f ca="1">IFERROR(VALUE(IF(VLOOKUP($A138,数出表_Excel!$A$6:$T$150,COLUMN()/2+1,FALSE)=0,"",VLOOKUP($A138,数出表_Excel!$A$6:$T$150,COLUMN()/2+1,FALSE))),"")</f>
        <v/>
      </c>
      <c r="AI138" s="117"/>
      <c r="AJ138" s="115" t="str">
        <f ca="1">IFERROR(VALUE(IF(VLOOKUP($A138,数出表_Excel!$A$6:$T$150,COLUMN()/2+1,FALSE)=0,"",VLOOKUP($A138,数出表_Excel!$A$6:$T$150,COLUMN()/2+1,FALSE))),"")</f>
        <v/>
      </c>
      <c r="AK138" s="79"/>
      <c r="AL138" s="83" t="e">
        <f ca="1">IF(A138&lt;&gt;"",
IF(VLOOKUP($A138,数出表_Excel!$A$6:$T$150,COLUMN()/2+1,FALSE)=0,"",VLOOKUP($A138,数出表_Excel!$A$6:$T$150,COLUMN()/2+1,FALSE)),"")</f>
        <v>#N/A</v>
      </c>
      <c r="AM138" s="164" t="e">
        <f>数出表_Excel!V138</f>
        <v>#N/A</v>
      </c>
      <c r="AN138" s="165" t="e">
        <f>数出表_Excel!W138</f>
        <v>#N/A</v>
      </c>
    </row>
    <row r="139" spans="1:40" ht="16.2" customHeight="1">
      <c r="A139" s="127" t="e">
        <f t="array" aca="1" ref="A139" ca="1">IF(OR(COUNTIF(A137,"*1000*"),COUNTIF(A137,"")),"",INDEX(貼り付け用!$A1:$A200,MATCH(A137,貼り付け用!$A1:$A200,0)+2,0))</f>
        <v>#N/A</v>
      </c>
      <c r="B139" s="80" t="str">
        <f ca="1">IFERROR(VALUE(IF(VLOOKUP($A139,数出表_Excel!$A$6:$T$150,COLUMN()/2+1,FALSE)=0,"",VLOOKUP($A139,数出表_Excel!$A$6:$T$150,COLUMN()/2+1,FALSE))),"")</f>
        <v/>
      </c>
      <c r="C139" s="80"/>
      <c r="D139" s="80" t="str">
        <f ca="1">IFERROR(VALUE(IF(VLOOKUP($A139,数出表_Excel!$A$6:$T$150,COLUMN()/2+1,FALSE)=0,"",VLOOKUP($A139,数出表_Excel!$A$6:$T$150,COLUMN()/2+1,FALSE))),"")</f>
        <v/>
      </c>
      <c r="E139" s="80"/>
      <c r="F139" s="84" t="str">
        <f ca="1">IFERROR(VALUE(IF(VLOOKUP($A139,数出表_Excel!$A$6:$T$150,COLUMN()/2+1,FALSE)=0,"",VLOOKUP($A139,数出表_Excel!$A$6:$T$150,COLUMN()/2+1,FALSE))),"")</f>
        <v/>
      </c>
      <c r="G139" s="80"/>
      <c r="H139" s="80" t="str">
        <f ca="1">IFERROR(VALUE(IF(VLOOKUP($A139,数出表_Excel!$A$6:$T$150,COLUMN()/2+1,FALSE)=0,"",VLOOKUP($A139,数出表_Excel!$A$6:$T$150,COLUMN()/2+1,FALSE))),"")</f>
        <v/>
      </c>
      <c r="I139" s="80"/>
      <c r="J139" s="80" t="str">
        <f ca="1">IFERROR(VALUE(IF(VLOOKUP($A139,数出表_Excel!$A$6:$T$150,COLUMN()/2+1,FALSE)=0,"",VLOOKUP($A139,数出表_Excel!$A$6:$T$150,COLUMN()/2+1,FALSE))),"")</f>
        <v/>
      </c>
      <c r="K139" s="80"/>
      <c r="L139" s="84" t="str">
        <f ca="1">IFERROR(VALUE(IF(VLOOKUP($A139,数出表_Excel!$A$6:$T$150,COLUMN()/2+1,FALSE)=0,"",VLOOKUP($A139,数出表_Excel!$A$6:$T$150,COLUMN()/2+1,FALSE))),"")</f>
        <v/>
      </c>
      <c r="M139" s="80"/>
      <c r="N139" s="80" t="str">
        <f ca="1">IFERROR(VALUE(IF(VLOOKUP($A139,数出表_Excel!$A$6:$T$150,COLUMN()/2+1,FALSE)=0,"",VLOOKUP($A139,数出表_Excel!$A$6:$T$150,COLUMN()/2+1,FALSE))),"")</f>
        <v/>
      </c>
      <c r="O139" s="80"/>
      <c r="P139" s="80" t="str">
        <f ca="1">IFERROR(VALUE(IF(VLOOKUP($A139,数出表_Excel!$A$6:$T$150,COLUMN()/2+1,FALSE)=0,"",VLOOKUP($A139,数出表_Excel!$A$6:$T$150,COLUMN()/2+1,FALSE))),"")</f>
        <v/>
      </c>
      <c r="Q139" s="80"/>
      <c r="R139" s="80" t="str">
        <f ca="1">IFERROR(VALUE(IF(VLOOKUP($A139,数出表_Excel!$A$6:$T$150,COLUMN()/2+1,FALSE)=0,"",VLOOKUP($A139,数出表_Excel!$A$6:$T$150,COLUMN()/2+1,FALSE))),"")</f>
        <v/>
      </c>
      <c r="S139" s="80"/>
      <c r="T139" s="80" t="str">
        <f ca="1">IFERROR(VALUE(IF(VLOOKUP($A139,数出表_Excel!$A$6:$T$150,COLUMN()/2+1,FALSE)=0,"",VLOOKUP($A139,数出表_Excel!$A$6:$T$150,COLUMN()/2+1,FALSE))),"")</f>
        <v/>
      </c>
      <c r="U139" s="80"/>
      <c r="V139" s="84" t="str">
        <f ca="1">IFERROR(VALUE(IF(VLOOKUP($A139,数出表_Excel!$A$6:$T$150,COLUMN()/2+1,FALSE)=0,"",VLOOKUP($A139,数出表_Excel!$A$6:$T$150,COLUMN()/2+1,FALSE))),"")</f>
        <v/>
      </c>
      <c r="W139" s="80"/>
      <c r="X139" s="84" t="str">
        <f ca="1">IFERROR(VALUE(IF(VLOOKUP($A139,数出表_Excel!$A$6:$T$150,COLUMN()/2+1,FALSE)=0,"",VLOOKUP($A139,数出表_Excel!$A$6:$T$150,COLUMN()/2+1,FALSE))),"")</f>
        <v/>
      </c>
      <c r="Y139" s="80"/>
      <c r="Z139" s="84" t="str">
        <f ca="1">IFERROR(VALUE(IF(VLOOKUP($A139,数出表_Excel!$A$6:$T$150,COLUMN()/2+1,FALSE)=0,"",VLOOKUP($A139,数出表_Excel!$A$6:$T$150,COLUMN()/2+1,FALSE))),"")</f>
        <v/>
      </c>
      <c r="AA139" s="118"/>
      <c r="AB139" s="85" t="str">
        <f ca="1">IFERROR(VALUE(IF(VLOOKUP($A139,数出表_Excel!$A$6:$T$150,COLUMN()/2+1,FALSE)=0,"",VLOOKUP($A139,数出表_Excel!$A$6:$T$150,COLUMN()/2+1,FALSE))),"")</f>
        <v/>
      </c>
      <c r="AC139" s="80"/>
      <c r="AD139" s="84" t="str">
        <f ca="1">IFERROR(VALUE(IF(VLOOKUP($A139,数出表_Excel!$A$6:$T$150,COLUMN()/2+1,FALSE)=0,"",VLOOKUP($A139,数出表_Excel!$A$6:$T$150,COLUMN()/2+1,FALSE))),"")</f>
        <v/>
      </c>
      <c r="AE139" s="80"/>
      <c r="AF139" s="84" t="str">
        <f ca="1">IFERROR(VALUE(IF(VLOOKUP($A139,数出表_Excel!$A$6:$T$150,COLUMN()/2+1,FALSE)=0,"",VLOOKUP($A139,数出表_Excel!$A$6:$T$150,COLUMN()/2+1,FALSE))),"")</f>
        <v/>
      </c>
      <c r="AG139" s="80"/>
      <c r="AH139" s="84" t="str">
        <f ca="1">IFERROR(VALUE(IF(VLOOKUP($A139,数出表_Excel!$A$6:$T$150,COLUMN()/2+1,FALSE)=0,"",VLOOKUP($A139,数出表_Excel!$A$6:$T$150,COLUMN()/2+1,FALSE))),"")</f>
        <v/>
      </c>
      <c r="AI139" s="118"/>
      <c r="AJ139" s="85" t="str">
        <f ca="1">IFERROR(VALUE(IF(VLOOKUP($A139,数出表_Excel!$A$6:$T$150,COLUMN()/2+1,FALSE)=0,"",VLOOKUP($A139,数出表_Excel!$A$6:$T$150,COLUMN()/2+1,FALSE))),"")</f>
        <v/>
      </c>
      <c r="AK139" s="80"/>
      <c r="AL139" s="86" t="e">
        <f ca="1">IF(A139&lt;&gt;"",
IF(VLOOKUP($A139,数出表_Excel!$A$6:$T$150,COLUMN()/2+1,FALSE)=0,"",VLOOKUP($A139,数出表_Excel!$A$6:$T$150,COLUMN()/2+1,FALSE)),"")</f>
        <v>#N/A</v>
      </c>
      <c r="AM139" s="166" t="e">
        <f>数出表_Excel!V139</f>
        <v>#N/A</v>
      </c>
      <c r="AN139" s="167" t="e">
        <f>数出表_Excel!W139</f>
        <v>#N/A</v>
      </c>
    </row>
    <row r="140" spans="1:40" ht="16.2" customHeight="1">
      <c r="A140" s="126" t="e">
        <f t="array" aca="1" ref="A140" ca="1">IF(OR(COUNTIF(A138,"*10002*"),COUNTIF(A138,"")),"",INDEX(貼り付け用!$A1:$A200,MATCH(A138,貼り付け用!$A1:$A200,0)+2,0))</f>
        <v>#N/A</v>
      </c>
      <c r="B140" s="114" t="str">
        <f ca="1">IFERROR(VALUE(IF(VLOOKUP($A140,数出表_Excel!$A$6:$T$150,COLUMN()/2+1,FALSE)=0,"",VLOOKUP($A140,数出表_Excel!$A$6:$T$150,COLUMN()/2+1,FALSE))),"")</f>
        <v/>
      </c>
      <c r="C140" s="79"/>
      <c r="D140" s="114" t="str">
        <f ca="1">IFERROR(VALUE(IF(VLOOKUP($A140,数出表_Excel!$A$6:$T$150,COLUMN()/2+1,FALSE)=0,"",VLOOKUP($A140,数出表_Excel!$A$6:$T$150,COLUMN()/2+1,FALSE))),"")</f>
        <v/>
      </c>
      <c r="E140" s="79"/>
      <c r="F140" s="116" t="str">
        <f ca="1">IFERROR(VALUE(IF(VLOOKUP($A140,数出表_Excel!$A$6:$T$150,COLUMN()/2+1,FALSE)=0,"",VLOOKUP($A140,数出表_Excel!$A$6:$T$150,COLUMN()/2+1,FALSE))),"")</f>
        <v/>
      </c>
      <c r="G140" s="79"/>
      <c r="H140" s="114" t="str">
        <f ca="1">IFERROR(VALUE(IF(VLOOKUP($A140,数出表_Excel!$A$6:$T$150,COLUMN()/2+1,FALSE)=0,"",VLOOKUP($A140,数出表_Excel!$A$6:$T$150,COLUMN()/2+1,FALSE))),"")</f>
        <v/>
      </c>
      <c r="I140" s="79"/>
      <c r="J140" s="114" t="str">
        <f ca="1">IFERROR(VALUE(IF(VLOOKUP($A140,数出表_Excel!$A$6:$T$150,COLUMN()/2+1,FALSE)=0,"",VLOOKUP($A140,数出表_Excel!$A$6:$T$150,COLUMN()/2+1,FALSE))),"")</f>
        <v/>
      </c>
      <c r="K140" s="79"/>
      <c r="L140" s="116" t="str">
        <f ca="1">IFERROR(VALUE(IF(VLOOKUP($A140,数出表_Excel!$A$6:$T$150,COLUMN()/2+1,FALSE)=0,"",VLOOKUP($A140,数出表_Excel!$A$6:$T$150,COLUMN()/2+1,FALSE))),"")</f>
        <v/>
      </c>
      <c r="M140" s="79"/>
      <c r="N140" s="114" t="str">
        <f ca="1">IFERROR(VALUE(IF(VLOOKUP($A140,数出表_Excel!$A$6:$T$150,COLUMN()/2+1,FALSE)=0,"",VLOOKUP($A140,数出表_Excel!$A$6:$T$150,COLUMN()/2+1,FALSE))),"")</f>
        <v/>
      </c>
      <c r="O140" s="79"/>
      <c r="P140" s="114" t="str">
        <f ca="1">IFERROR(VALUE(IF(VLOOKUP($A140,数出表_Excel!$A$6:$T$150,COLUMN()/2+1,FALSE)=0,"",VLOOKUP($A140,数出表_Excel!$A$6:$T$150,COLUMN()/2+1,FALSE))),"")</f>
        <v/>
      </c>
      <c r="Q140" s="79"/>
      <c r="R140" s="114" t="str">
        <f ca="1">IFERROR(VALUE(IF(VLOOKUP($A140,数出表_Excel!$A$6:$T$150,COLUMN()/2+1,FALSE)=0,"",VLOOKUP($A140,数出表_Excel!$A$6:$T$150,COLUMN()/2+1,FALSE))),"")</f>
        <v/>
      </c>
      <c r="S140" s="79"/>
      <c r="T140" s="114" t="str">
        <f ca="1">IFERROR(VALUE(IF(VLOOKUP($A140,数出表_Excel!$A$6:$T$150,COLUMN()/2+1,FALSE)=0,"",VLOOKUP($A140,数出表_Excel!$A$6:$T$150,COLUMN()/2+1,FALSE))),"")</f>
        <v/>
      </c>
      <c r="U140" s="79"/>
      <c r="V140" s="116" t="str">
        <f ca="1">IFERROR(VALUE(IF(VLOOKUP($A140,数出表_Excel!$A$6:$T$150,COLUMN()/2+1,FALSE)=0,"",VLOOKUP($A140,数出表_Excel!$A$6:$T$150,COLUMN()/2+1,FALSE))),"")</f>
        <v/>
      </c>
      <c r="W140" s="79"/>
      <c r="X140" s="116" t="str">
        <f ca="1">IFERROR(VALUE(IF(VLOOKUP($A140,数出表_Excel!$A$6:$T$150,COLUMN()/2+1,FALSE)=0,"",VLOOKUP($A140,数出表_Excel!$A$6:$T$150,COLUMN()/2+1,FALSE))),"")</f>
        <v/>
      </c>
      <c r="Y140" s="79"/>
      <c r="Z140" s="116" t="str">
        <f ca="1">IFERROR(VALUE(IF(VLOOKUP($A140,数出表_Excel!$A$6:$T$150,COLUMN()/2+1,FALSE)=0,"",VLOOKUP($A140,数出表_Excel!$A$6:$T$150,COLUMN()/2+1,FALSE))),"")</f>
        <v/>
      </c>
      <c r="AA140" s="117"/>
      <c r="AB140" s="115" t="str">
        <f ca="1">IFERROR(VALUE(IF(VLOOKUP($A140,数出表_Excel!$A$6:$T$150,COLUMN()/2+1,FALSE)=0,"",VLOOKUP($A140,数出表_Excel!$A$6:$T$150,COLUMN()/2+1,FALSE))),"")</f>
        <v/>
      </c>
      <c r="AC140" s="79"/>
      <c r="AD140" s="116" t="str">
        <f ca="1">IFERROR(VALUE(IF(VLOOKUP($A140,数出表_Excel!$A$6:$T$150,COLUMN()/2+1,FALSE)=0,"",VLOOKUP($A140,数出表_Excel!$A$6:$T$150,COLUMN()/2+1,FALSE))),"")</f>
        <v/>
      </c>
      <c r="AE140" s="79"/>
      <c r="AF140" s="116" t="str">
        <f ca="1">IFERROR(VALUE(IF(VLOOKUP($A140,数出表_Excel!$A$6:$T$150,COLUMN()/2+1,FALSE)=0,"",VLOOKUP($A140,数出表_Excel!$A$6:$T$150,COLUMN()/2+1,FALSE))),"")</f>
        <v/>
      </c>
      <c r="AG140" s="79"/>
      <c r="AH140" s="116" t="str">
        <f ca="1">IFERROR(VALUE(IF(VLOOKUP($A140,数出表_Excel!$A$6:$T$150,COLUMN()/2+1,FALSE)=0,"",VLOOKUP($A140,数出表_Excel!$A$6:$T$150,COLUMN()/2+1,FALSE))),"")</f>
        <v/>
      </c>
      <c r="AI140" s="117"/>
      <c r="AJ140" s="115" t="str">
        <f ca="1">IFERROR(VALUE(IF(VLOOKUP($A140,数出表_Excel!$A$6:$T$150,COLUMN()/2+1,FALSE)=0,"",VLOOKUP($A140,数出表_Excel!$A$6:$T$150,COLUMN()/2+1,FALSE))),"")</f>
        <v/>
      </c>
      <c r="AK140" s="79"/>
      <c r="AL140" s="83" t="e">
        <f ca="1">IF(A140&lt;&gt;"",
IF(VLOOKUP($A140,数出表_Excel!$A$6:$T$150,COLUMN()/2+1,FALSE)=0,"",VLOOKUP($A140,数出表_Excel!$A$6:$T$150,COLUMN()/2+1,FALSE)),"")</f>
        <v>#N/A</v>
      </c>
      <c r="AM140" s="164" t="e">
        <f>数出表_Excel!V140</f>
        <v>#N/A</v>
      </c>
      <c r="AN140" s="165" t="e">
        <f>数出表_Excel!W140</f>
        <v>#N/A</v>
      </c>
    </row>
    <row r="141" spans="1:40" ht="16.2" customHeight="1">
      <c r="A141" s="127" t="e">
        <f t="array" aca="1" ref="A141" ca="1">IF(OR(COUNTIF(A139,"*1000*"),COUNTIF(A139,"")),"",INDEX(貼り付け用!$A1:$A200,MATCH(A139,貼り付け用!$A1:$A200,0)+2,0))</f>
        <v>#N/A</v>
      </c>
      <c r="B141" s="80" t="str">
        <f ca="1">IFERROR(VALUE(IF(VLOOKUP($A141,数出表_Excel!$A$6:$T$150,COLUMN()/2+1,FALSE)=0,"",VLOOKUP($A141,数出表_Excel!$A$6:$T$150,COLUMN()/2+1,FALSE))),"")</f>
        <v/>
      </c>
      <c r="C141" s="80"/>
      <c r="D141" s="80" t="str">
        <f ca="1">IFERROR(VALUE(IF(VLOOKUP($A141,数出表_Excel!$A$6:$T$150,COLUMN()/2+1,FALSE)=0,"",VLOOKUP($A141,数出表_Excel!$A$6:$T$150,COLUMN()/2+1,FALSE))),"")</f>
        <v/>
      </c>
      <c r="E141" s="80"/>
      <c r="F141" s="84" t="str">
        <f ca="1">IFERROR(VALUE(IF(VLOOKUP($A141,数出表_Excel!$A$6:$T$150,COLUMN()/2+1,FALSE)=0,"",VLOOKUP($A141,数出表_Excel!$A$6:$T$150,COLUMN()/2+1,FALSE))),"")</f>
        <v/>
      </c>
      <c r="G141" s="80"/>
      <c r="H141" s="80" t="str">
        <f ca="1">IFERROR(VALUE(IF(VLOOKUP($A141,数出表_Excel!$A$6:$T$150,COLUMN()/2+1,FALSE)=0,"",VLOOKUP($A141,数出表_Excel!$A$6:$T$150,COLUMN()/2+1,FALSE))),"")</f>
        <v/>
      </c>
      <c r="I141" s="80"/>
      <c r="J141" s="80" t="str">
        <f ca="1">IFERROR(VALUE(IF(VLOOKUP($A141,数出表_Excel!$A$6:$T$150,COLUMN()/2+1,FALSE)=0,"",VLOOKUP($A141,数出表_Excel!$A$6:$T$150,COLUMN()/2+1,FALSE))),"")</f>
        <v/>
      </c>
      <c r="K141" s="80"/>
      <c r="L141" s="84" t="str">
        <f ca="1">IFERROR(VALUE(IF(VLOOKUP($A141,数出表_Excel!$A$6:$T$150,COLUMN()/2+1,FALSE)=0,"",VLOOKUP($A141,数出表_Excel!$A$6:$T$150,COLUMN()/2+1,FALSE))),"")</f>
        <v/>
      </c>
      <c r="M141" s="80"/>
      <c r="N141" s="80" t="str">
        <f ca="1">IFERROR(VALUE(IF(VLOOKUP($A141,数出表_Excel!$A$6:$T$150,COLUMN()/2+1,FALSE)=0,"",VLOOKUP($A141,数出表_Excel!$A$6:$T$150,COLUMN()/2+1,FALSE))),"")</f>
        <v/>
      </c>
      <c r="O141" s="80"/>
      <c r="P141" s="80" t="str">
        <f ca="1">IFERROR(VALUE(IF(VLOOKUP($A141,数出表_Excel!$A$6:$T$150,COLUMN()/2+1,FALSE)=0,"",VLOOKUP($A141,数出表_Excel!$A$6:$T$150,COLUMN()/2+1,FALSE))),"")</f>
        <v/>
      </c>
      <c r="Q141" s="80"/>
      <c r="R141" s="80" t="str">
        <f ca="1">IFERROR(VALUE(IF(VLOOKUP($A141,数出表_Excel!$A$6:$T$150,COLUMN()/2+1,FALSE)=0,"",VLOOKUP($A141,数出表_Excel!$A$6:$T$150,COLUMN()/2+1,FALSE))),"")</f>
        <v/>
      </c>
      <c r="S141" s="80"/>
      <c r="T141" s="80" t="str">
        <f ca="1">IFERROR(VALUE(IF(VLOOKUP($A141,数出表_Excel!$A$6:$T$150,COLUMN()/2+1,FALSE)=0,"",VLOOKUP($A141,数出表_Excel!$A$6:$T$150,COLUMN()/2+1,FALSE))),"")</f>
        <v/>
      </c>
      <c r="U141" s="80"/>
      <c r="V141" s="84" t="str">
        <f ca="1">IFERROR(VALUE(IF(VLOOKUP($A141,数出表_Excel!$A$6:$T$150,COLUMN()/2+1,FALSE)=0,"",VLOOKUP($A141,数出表_Excel!$A$6:$T$150,COLUMN()/2+1,FALSE))),"")</f>
        <v/>
      </c>
      <c r="W141" s="80"/>
      <c r="X141" s="84" t="str">
        <f ca="1">IFERROR(VALUE(IF(VLOOKUP($A141,数出表_Excel!$A$6:$T$150,COLUMN()/2+1,FALSE)=0,"",VLOOKUP($A141,数出表_Excel!$A$6:$T$150,COLUMN()/2+1,FALSE))),"")</f>
        <v/>
      </c>
      <c r="Y141" s="80"/>
      <c r="Z141" s="84" t="str">
        <f ca="1">IFERROR(VALUE(IF(VLOOKUP($A141,数出表_Excel!$A$6:$T$150,COLUMN()/2+1,FALSE)=0,"",VLOOKUP($A141,数出表_Excel!$A$6:$T$150,COLUMN()/2+1,FALSE))),"")</f>
        <v/>
      </c>
      <c r="AA141" s="118"/>
      <c r="AB141" s="85" t="str">
        <f ca="1">IFERROR(VALUE(IF(VLOOKUP($A141,数出表_Excel!$A$6:$T$150,COLUMN()/2+1,FALSE)=0,"",VLOOKUP($A141,数出表_Excel!$A$6:$T$150,COLUMN()/2+1,FALSE))),"")</f>
        <v/>
      </c>
      <c r="AC141" s="80"/>
      <c r="AD141" s="84" t="str">
        <f ca="1">IFERROR(VALUE(IF(VLOOKUP($A141,数出表_Excel!$A$6:$T$150,COLUMN()/2+1,FALSE)=0,"",VLOOKUP($A141,数出表_Excel!$A$6:$T$150,COLUMN()/2+1,FALSE))),"")</f>
        <v/>
      </c>
      <c r="AE141" s="80"/>
      <c r="AF141" s="84" t="str">
        <f ca="1">IFERROR(VALUE(IF(VLOOKUP($A141,数出表_Excel!$A$6:$T$150,COLUMN()/2+1,FALSE)=0,"",VLOOKUP($A141,数出表_Excel!$A$6:$T$150,COLUMN()/2+1,FALSE))),"")</f>
        <v/>
      </c>
      <c r="AG141" s="80"/>
      <c r="AH141" s="84" t="str">
        <f ca="1">IFERROR(VALUE(IF(VLOOKUP($A141,数出表_Excel!$A$6:$T$150,COLUMN()/2+1,FALSE)=0,"",VLOOKUP($A141,数出表_Excel!$A$6:$T$150,COLUMN()/2+1,FALSE))),"")</f>
        <v/>
      </c>
      <c r="AI141" s="118"/>
      <c r="AJ141" s="85" t="str">
        <f ca="1">IFERROR(VALUE(IF(VLOOKUP($A141,数出表_Excel!$A$6:$T$150,COLUMN()/2+1,FALSE)=0,"",VLOOKUP($A141,数出表_Excel!$A$6:$T$150,COLUMN()/2+1,FALSE))),"")</f>
        <v/>
      </c>
      <c r="AK141" s="80"/>
      <c r="AL141" s="86" t="e">
        <f ca="1">IF(A141&lt;&gt;"",
IF(VLOOKUP($A141,数出表_Excel!$A$6:$T$150,COLUMN()/2+1,FALSE)=0,"",VLOOKUP($A141,数出表_Excel!$A$6:$T$150,COLUMN()/2+1,FALSE)),"")</f>
        <v>#N/A</v>
      </c>
      <c r="AM141" s="166" t="e">
        <f>数出表_Excel!V141</f>
        <v>#N/A</v>
      </c>
      <c r="AN141" s="167" t="e">
        <f>数出表_Excel!W141</f>
        <v>#N/A</v>
      </c>
    </row>
    <row r="142" spans="1:40" ht="16.2" customHeight="1">
      <c r="A142" s="126" t="e">
        <f t="array" aca="1" ref="A142" ca="1">IF(OR(COUNTIF(A140,"*10002*"),COUNTIF(A140,"")),"",INDEX(貼り付け用!$A1:$A200,MATCH(A140,貼り付け用!$A1:$A200,0)+2,0))</f>
        <v>#N/A</v>
      </c>
      <c r="B142" s="114" t="str">
        <f ca="1">IFERROR(VALUE(IF(VLOOKUP($A142,数出表_Excel!$A$6:$T$150,COLUMN()/2+1,FALSE)=0,"",VLOOKUP($A142,数出表_Excel!$A$6:$T$150,COLUMN()/2+1,FALSE))),"")</f>
        <v/>
      </c>
      <c r="C142" s="79"/>
      <c r="D142" s="114" t="str">
        <f ca="1">IFERROR(VALUE(IF(VLOOKUP($A142,数出表_Excel!$A$6:$T$150,COLUMN()/2+1,FALSE)=0,"",VLOOKUP($A142,数出表_Excel!$A$6:$T$150,COLUMN()/2+1,FALSE))),"")</f>
        <v/>
      </c>
      <c r="E142" s="79"/>
      <c r="F142" s="116" t="str">
        <f ca="1">IFERROR(VALUE(IF(VLOOKUP($A142,数出表_Excel!$A$6:$T$150,COLUMN()/2+1,FALSE)=0,"",VLOOKUP($A142,数出表_Excel!$A$6:$T$150,COLUMN()/2+1,FALSE))),"")</f>
        <v/>
      </c>
      <c r="G142" s="79"/>
      <c r="H142" s="114" t="str">
        <f ca="1">IFERROR(VALUE(IF(VLOOKUP($A142,数出表_Excel!$A$6:$T$150,COLUMN()/2+1,FALSE)=0,"",VLOOKUP($A142,数出表_Excel!$A$6:$T$150,COLUMN()/2+1,FALSE))),"")</f>
        <v/>
      </c>
      <c r="I142" s="79"/>
      <c r="J142" s="114" t="str">
        <f ca="1">IFERROR(VALUE(IF(VLOOKUP($A142,数出表_Excel!$A$6:$T$150,COLUMN()/2+1,FALSE)=0,"",VLOOKUP($A142,数出表_Excel!$A$6:$T$150,COLUMN()/2+1,FALSE))),"")</f>
        <v/>
      </c>
      <c r="K142" s="79"/>
      <c r="L142" s="116" t="str">
        <f ca="1">IFERROR(VALUE(IF(VLOOKUP($A142,数出表_Excel!$A$6:$T$150,COLUMN()/2+1,FALSE)=0,"",VLOOKUP($A142,数出表_Excel!$A$6:$T$150,COLUMN()/2+1,FALSE))),"")</f>
        <v/>
      </c>
      <c r="M142" s="79"/>
      <c r="N142" s="114" t="str">
        <f ca="1">IFERROR(VALUE(IF(VLOOKUP($A142,数出表_Excel!$A$6:$T$150,COLUMN()/2+1,FALSE)=0,"",VLOOKUP($A142,数出表_Excel!$A$6:$T$150,COLUMN()/2+1,FALSE))),"")</f>
        <v/>
      </c>
      <c r="O142" s="79"/>
      <c r="P142" s="114" t="str">
        <f ca="1">IFERROR(VALUE(IF(VLOOKUP($A142,数出表_Excel!$A$6:$T$150,COLUMN()/2+1,FALSE)=0,"",VLOOKUP($A142,数出表_Excel!$A$6:$T$150,COLUMN()/2+1,FALSE))),"")</f>
        <v/>
      </c>
      <c r="Q142" s="79"/>
      <c r="R142" s="114" t="str">
        <f ca="1">IFERROR(VALUE(IF(VLOOKUP($A142,数出表_Excel!$A$6:$T$150,COLUMN()/2+1,FALSE)=0,"",VLOOKUP($A142,数出表_Excel!$A$6:$T$150,COLUMN()/2+1,FALSE))),"")</f>
        <v/>
      </c>
      <c r="S142" s="79"/>
      <c r="T142" s="114" t="str">
        <f ca="1">IFERROR(VALUE(IF(VLOOKUP($A142,数出表_Excel!$A$6:$T$150,COLUMN()/2+1,FALSE)=0,"",VLOOKUP($A142,数出表_Excel!$A$6:$T$150,COLUMN()/2+1,FALSE))),"")</f>
        <v/>
      </c>
      <c r="U142" s="79"/>
      <c r="V142" s="116" t="str">
        <f ca="1">IFERROR(VALUE(IF(VLOOKUP($A142,数出表_Excel!$A$6:$T$150,COLUMN()/2+1,FALSE)=0,"",VLOOKUP($A142,数出表_Excel!$A$6:$T$150,COLUMN()/2+1,FALSE))),"")</f>
        <v/>
      </c>
      <c r="W142" s="79"/>
      <c r="X142" s="116" t="str">
        <f ca="1">IFERROR(VALUE(IF(VLOOKUP($A142,数出表_Excel!$A$6:$T$150,COLUMN()/2+1,FALSE)=0,"",VLOOKUP($A142,数出表_Excel!$A$6:$T$150,COLUMN()/2+1,FALSE))),"")</f>
        <v/>
      </c>
      <c r="Y142" s="79"/>
      <c r="Z142" s="116" t="str">
        <f ca="1">IFERROR(VALUE(IF(VLOOKUP($A142,数出表_Excel!$A$6:$T$150,COLUMN()/2+1,FALSE)=0,"",VLOOKUP($A142,数出表_Excel!$A$6:$T$150,COLUMN()/2+1,FALSE))),"")</f>
        <v/>
      </c>
      <c r="AA142" s="117"/>
      <c r="AB142" s="115" t="str">
        <f ca="1">IFERROR(VALUE(IF(VLOOKUP($A142,数出表_Excel!$A$6:$T$150,COLUMN()/2+1,FALSE)=0,"",VLOOKUP($A142,数出表_Excel!$A$6:$T$150,COLUMN()/2+1,FALSE))),"")</f>
        <v/>
      </c>
      <c r="AC142" s="79"/>
      <c r="AD142" s="116" t="str">
        <f ca="1">IFERROR(VALUE(IF(VLOOKUP($A142,数出表_Excel!$A$6:$T$150,COLUMN()/2+1,FALSE)=0,"",VLOOKUP($A142,数出表_Excel!$A$6:$T$150,COLUMN()/2+1,FALSE))),"")</f>
        <v/>
      </c>
      <c r="AE142" s="79"/>
      <c r="AF142" s="116" t="str">
        <f ca="1">IFERROR(VALUE(IF(VLOOKUP($A142,数出表_Excel!$A$6:$T$150,COLUMN()/2+1,FALSE)=0,"",VLOOKUP($A142,数出表_Excel!$A$6:$T$150,COLUMN()/2+1,FALSE))),"")</f>
        <v/>
      </c>
      <c r="AG142" s="79"/>
      <c r="AH142" s="116" t="str">
        <f ca="1">IFERROR(VALUE(IF(VLOOKUP($A142,数出表_Excel!$A$6:$T$150,COLUMN()/2+1,FALSE)=0,"",VLOOKUP($A142,数出表_Excel!$A$6:$T$150,COLUMN()/2+1,FALSE))),"")</f>
        <v/>
      </c>
      <c r="AI142" s="117"/>
      <c r="AJ142" s="115" t="str">
        <f ca="1">IFERROR(VALUE(IF(VLOOKUP($A142,数出表_Excel!$A$6:$T$150,COLUMN()/2+1,FALSE)=0,"",VLOOKUP($A142,数出表_Excel!$A$6:$T$150,COLUMN()/2+1,FALSE))),"")</f>
        <v/>
      </c>
      <c r="AK142" s="79"/>
      <c r="AL142" s="83" t="e">
        <f ca="1">IF(A142&lt;&gt;"",
IF(VLOOKUP($A142,数出表_Excel!$A$6:$T$150,COLUMN()/2+1,FALSE)=0,"",VLOOKUP($A142,数出表_Excel!$A$6:$T$150,COLUMN()/2+1,FALSE)),"")</f>
        <v>#N/A</v>
      </c>
      <c r="AM142" s="164" t="e">
        <f>数出表_Excel!V142</f>
        <v>#N/A</v>
      </c>
      <c r="AN142" s="165" t="e">
        <f>数出表_Excel!W142</f>
        <v>#N/A</v>
      </c>
    </row>
    <row r="143" spans="1:40" ht="16.2" customHeight="1">
      <c r="A143" s="127" t="e">
        <f t="array" aca="1" ref="A143" ca="1">IF(OR(COUNTIF(A141,"*1000*"),COUNTIF(A141,"")),"",INDEX(貼り付け用!$A1:$A200,MATCH(A141,貼り付け用!$A1:$A200,0)+2,0))</f>
        <v>#N/A</v>
      </c>
      <c r="B143" s="80" t="str">
        <f ca="1">IFERROR(VALUE(IF(VLOOKUP($A143,数出表_Excel!$A$6:$T$150,COLUMN()/2+1,FALSE)=0,"",VLOOKUP($A143,数出表_Excel!$A$6:$T$150,COLUMN()/2+1,FALSE))),"")</f>
        <v/>
      </c>
      <c r="C143" s="80"/>
      <c r="D143" s="80" t="str">
        <f ca="1">IFERROR(VALUE(IF(VLOOKUP($A143,数出表_Excel!$A$6:$T$150,COLUMN()/2+1,FALSE)=0,"",VLOOKUP($A143,数出表_Excel!$A$6:$T$150,COLUMN()/2+1,FALSE))),"")</f>
        <v/>
      </c>
      <c r="E143" s="80"/>
      <c r="F143" s="84" t="str">
        <f ca="1">IFERROR(VALUE(IF(VLOOKUP($A143,数出表_Excel!$A$6:$T$150,COLUMN()/2+1,FALSE)=0,"",VLOOKUP($A143,数出表_Excel!$A$6:$T$150,COLUMN()/2+1,FALSE))),"")</f>
        <v/>
      </c>
      <c r="G143" s="80"/>
      <c r="H143" s="80" t="str">
        <f ca="1">IFERROR(VALUE(IF(VLOOKUP($A143,数出表_Excel!$A$6:$T$150,COLUMN()/2+1,FALSE)=0,"",VLOOKUP($A143,数出表_Excel!$A$6:$T$150,COLUMN()/2+1,FALSE))),"")</f>
        <v/>
      </c>
      <c r="I143" s="80"/>
      <c r="J143" s="80" t="str">
        <f ca="1">IFERROR(VALUE(IF(VLOOKUP($A143,数出表_Excel!$A$6:$T$150,COLUMN()/2+1,FALSE)=0,"",VLOOKUP($A143,数出表_Excel!$A$6:$T$150,COLUMN()/2+1,FALSE))),"")</f>
        <v/>
      </c>
      <c r="K143" s="80"/>
      <c r="L143" s="84" t="str">
        <f ca="1">IFERROR(VALUE(IF(VLOOKUP($A143,数出表_Excel!$A$6:$T$150,COLUMN()/2+1,FALSE)=0,"",VLOOKUP($A143,数出表_Excel!$A$6:$T$150,COLUMN()/2+1,FALSE))),"")</f>
        <v/>
      </c>
      <c r="M143" s="80"/>
      <c r="N143" s="80" t="str">
        <f ca="1">IFERROR(VALUE(IF(VLOOKUP($A143,数出表_Excel!$A$6:$T$150,COLUMN()/2+1,FALSE)=0,"",VLOOKUP($A143,数出表_Excel!$A$6:$T$150,COLUMN()/2+1,FALSE))),"")</f>
        <v/>
      </c>
      <c r="O143" s="80"/>
      <c r="P143" s="80" t="str">
        <f ca="1">IFERROR(VALUE(IF(VLOOKUP($A143,数出表_Excel!$A$6:$T$150,COLUMN()/2+1,FALSE)=0,"",VLOOKUP($A143,数出表_Excel!$A$6:$T$150,COLUMN()/2+1,FALSE))),"")</f>
        <v/>
      </c>
      <c r="Q143" s="80"/>
      <c r="R143" s="80" t="str">
        <f ca="1">IFERROR(VALUE(IF(VLOOKUP($A143,数出表_Excel!$A$6:$T$150,COLUMN()/2+1,FALSE)=0,"",VLOOKUP($A143,数出表_Excel!$A$6:$T$150,COLUMN()/2+1,FALSE))),"")</f>
        <v/>
      </c>
      <c r="S143" s="80"/>
      <c r="T143" s="80" t="str">
        <f ca="1">IFERROR(VALUE(IF(VLOOKUP($A143,数出表_Excel!$A$6:$T$150,COLUMN()/2+1,FALSE)=0,"",VLOOKUP($A143,数出表_Excel!$A$6:$T$150,COLUMN()/2+1,FALSE))),"")</f>
        <v/>
      </c>
      <c r="U143" s="80"/>
      <c r="V143" s="84" t="str">
        <f ca="1">IFERROR(VALUE(IF(VLOOKUP($A143,数出表_Excel!$A$6:$T$150,COLUMN()/2+1,FALSE)=0,"",VLOOKUP($A143,数出表_Excel!$A$6:$T$150,COLUMN()/2+1,FALSE))),"")</f>
        <v/>
      </c>
      <c r="W143" s="80"/>
      <c r="X143" s="84" t="str">
        <f ca="1">IFERROR(VALUE(IF(VLOOKUP($A143,数出表_Excel!$A$6:$T$150,COLUMN()/2+1,FALSE)=0,"",VLOOKUP($A143,数出表_Excel!$A$6:$T$150,COLUMN()/2+1,FALSE))),"")</f>
        <v/>
      </c>
      <c r="Y143" s="80"/>
      <c r="Z143" s="84" t="str">
        <f ca="1">IFERROR(VALUE(IF(VLOOKUP($A143,数出表_Excel!$A$6:$T$150,COLUMN()/2+1,FALSE)=0,"",VLOOKUP($A143,数出表_Excel!$A$6:$T$150,COLUMN()/2+1,FALSE))),"")</f>
        <v/>
      </c>
      <c r="AA143" s="118"/>
      <c r="AB143" s="85" t="str">
        <f ca="1">IFERROR(VALUE(IF(VLOOKUP($A143,数出表_Excel!$A$6:$T$150,COLUMN()/2+1,FALSE)=0,"",VLOOKUP($A143,数出表_Excel!$A$6:$T$150,COLUMN()/2+1,FALSE))),"")</f>
        <v/>
      </c>
      <c r="AC143" s="80"/>
      <c r="AD143" s="84" t="str">
        <f ca="1">IFERROR(VALUE(IF(VLOOKUP($A143,数出表_Excel!$A$6:$T$150,COLUMN()/2+1,FALSE)=0,"",VLOOKUP($A143,数出表_Excel!$A$6:$T$150,COLUMN()/2+1,FALSE))),"")</f>
        <v/>
      </c>
      <c r="AE143" s="80"/>
      <c r="AF143" s="84" t="str">
        <f ca="1">IFERROR(VALUE(IF(VLOOKUP($A143,数出表_Excel!$A$6:$T$150,COLUMN()/2+1,FALSE)=0,"",VLOOKUP($A143,数出表_Excel!$A$6:$T$150,COLUMN()/2+1,FALSE))),"")</f>
        <v/>
      </c>
      <c r="AG143" s="80"/>
      <c r="AH143" s="84" t="str">
        <f ca="1">IFERROR(VALUE(IF(VLOOKUP($A143,数出表_Excel!$A$6:$T$150,COLUMN()/2+1,FALSE)=0,"",VLOOKUP($A143,数出表_Excel!$A$6:$T$150,COLUMN()/2+1,FALSE))),"")</f>
        <v/>
      </c>
      <c r="AI143" s="118"/>
      <c r="AJ143" s="85" t="str">
        <f ca="1">IFERROR(VALUE(IF(VLOOKUP($A143,数出表_Excel!$A$6:$T$150,COLUMN()/2+1,FALSE)=0,"",VLOOKUP($A143,数出表_Excel!$A$6:$T$150,COLUMN()/2+1,FALSE))),"")</f>
        <v/>
      </c>
      <c r="AK143" s="80"/>
      <c r="AL143" s="86" t="e">
        <f ca="1">IF(A143&lt;&gt;"",
IF(VLOOKUP($A143,数出表_Excel!$A$6:$T$150,COLUMN()/2+1,FALSE)=0,"",VLOOKUP($A143,数出表_Excel!$A$6:$T$150,COLUMN()/2+1,FALSE)),"")</f>
        <v>#N/A</v>
      </c>
      <c r="AM143" s="166" t="e">
        <f>数出表_Excel!V143</f>
        <v>#N/A</v>
      </c>
      <c r="AN143" s="167" t="e">
        <f>数出表_Excel!W143</f>
        <v>#N/A</v>
      </c>
    </row>
    <row r="144" spans="1:40" ht="16.2" customHeight="1">
      <c r="A144" s="126" t="e">
        <f t="array" aca="1" ref="A144" ca="1">IF(OR(COUNTIF(A142,"*10002*"),COUNTIF(A142,"")),"",INDEX(貼り付け用!$A1:$A200,MATCH(A142,貼り付け用!$A1:$A200,0)+2,0))</f>
        <v>#N/A</v>
      </c>
      <c r="B144" s="114" t="str">
        <f ca="1">IFERROR(VALUE(IF(VLOOKUP($A144,数出表_Excel!$A$6:$T$150,COLUMN()/2+1,FALSE)=0,"",VLOOKUP($A144,数出表_Excel!$A$6:$T$150,COLUMN()/2+1,FALSE))),"")</f>
        <v/>
      </c>
      <c r="C144" s="79"/>
      <c r="D144" s="114" t="str">
        <f ca="1">IFERROR(VALUE(IF(VLOOKUP($A144,数出表_Excel!$A$6:$T$150,COLUMN()/2+1,FALSE)=0,"",VLOOKUP($A144,数出表_Excel!$A$6:$T$150,COLUMN()/2+1,FALSE))),"")</f>
        <v/>
      </c>
      <c r="E144" s="79"/>
      <c r="F144" s="116" t="str">
        <f ca="1">IFERROR(VALUE(IF(VLOOKUP($A144,数出表_Excel!$A$6:$T$150,COLUMN()/2+1,FALSE)=0,"",VLOOKUP($A144,数出表_Excel!$A$6:$T$150,COLUMN()/2+1,FALSE))),"")</f>
        <v/>
      </c>
      <c r="G144" s="79"/>
      <c r="H144" s="114" t="str">
        <f ca="1">IFERROR(VALUE(IF(VLOOKUP($A144,数出表_Excel!$A$6:$T$150,COLUMN()/2+1,FALSE)=0,"",VLOOKUP($A144,数出表_Excel!$A$6:$T$150,COLUMN()/2+1,FALSE))),"")</f>
        <v/>
      </c>
      <c r="I144" s="79"/>
      <c r="J144" s="114" t="str">
        <f ca="1">IFERROR(VALUE(IF(VLOOKUP($A144,数出表_Excel!$A$6:$T$150,COLUMN()/2+1,FALSE)=0,"",VLOOKUP($A144,数出表_Excel!$A$6:$T$150,COLUMN()/2+1,FALSE))),"")</f>
        <v/>
      </c>
      <c r="K144" s="79"/>
      <c r="L144" s="116" t="str">
        <f ca="1">IFERROR(VALUE(IF(VLOOKUP($A144,数出表_Excel!$A$6:$T$150,COLUMN()/2+1,FALSE)=0,"",VLOOKUP($A144,数出表_Excel!$A$6:$T$150,COLUMN()/2+1,FALSE))),"")</f>
        <v/>
      </c>
      <c r="M144" s="79"/>
      <c r="N144" s="114" t="str">
        <f ca="1">IFERROR(VALUE(IF(VLOOKUP($A144,数出表_Excel!$A$6:$T$150,COLUMN()/2+1,FALSE)=0,"",VLOOKUP($A144,数出表_Excel!$A$6:$T$150,COLUMN()/2+1,FALSE))),"")</f>
        <v/>
      </c>
      <c r="O144" s="79"/>
      <c r="P144" s="114" t="str">
        <f ca="1">IFERROR(VALUE(IF(VLOOKUP($A144,数出表_Excel!$A$6:$T$150,COLUMN()/2+1,FALSE)=0,"",VLOOKUP($A144,数出表_Excel!$A$6:$T$150,COLUMN()/2+1,FALSE))),"")</f>
        <v/>
      </c>
      <c r="Q144" s="79"/>
      <c r="R144" s="114" t="str">
        <f ca="1">IFERROR(VALUE(IF(VLOOKUP($A144,数出表_Excel!$A$6:$T$150,COLUMN()/2+1,FALSE)=0,"",VLOOKUP($A144,数出表_Excel!$A$6:$T$150,COLUMN()/2+1,FALSE))),"")</f>
        <v/>
      </c>
      <c r="S144" s="79"/>
      <c r="T144" s="114" t="str">
        <f ca="1">IFERROR(VALUE(IF(VLOOKUP($A144,数出表_Excel!$A$6:$T$150,COLUMN()/2+1,FALSE)=0,"",VLOOKUP($A144,数出表_Excel!$A$6:$T$150,COLUMN()/2+1,FALSE))),"")</f>
        <v/>
      </c>
      <c r="U144" s="79"/>
      <c r="V144" s="116" t="str">
        <f ca="1">IFERROR(VALUE(IF(VLOOKUP($A144,数出表_Excel!$A$6:$T$150,COLUMN()/2+1,FALSE)=0,"",VLOOKUP($A144,数出表_Excel!$A$6:$T$150,COLUMN()/2+1,FALSE))),"")</f>
        <v/>
      </c>
      <c r="W144" s="79"/>
      <c r="X144" s="116" t="str">
        <f ca="1">IFERROR(VALUE(IF(VLOOKUP($A144,数出表_Excel!$A$6:$T$150,COLUMN()/2+1,FALSE)=0,"",VLOOKUP($A144,数出表_Excel!$A$6:$T$150,COLUMN()/2+1,FALSE))),"")</f>
        <v/>
      </c>
      <c r="Y144" s="79"/>
      <c r="Z144" s="116" t="str">
        <f ca="1">IFERROR(VALUE(IF(VLOOKUP($A144,数出表_Excel!$A$6:$T$150,COLUMN()/2+1,FALSE)=0,"",VLOOKUP($A144,数出表_Excel!$A$6:$T$150,COLUMN()/2+1,FALSE))),"")</f>
        <v/>
      </c>
      <c r="AA144" s="117"/>
      <c r="AB144" s="115" t="str">
        <f ca="1">IFERROR(VALUE(IF(VLOOKUP($A144,数出表_Excel!$A$6:$T$150,COLUMN()/2+1,FALSE)=0,"",VLOOKUP($A144,数出表_Excel!$A$6:$T$150,COLUMN()/2+1,FALSE))),"")</f>
        <v/>
      </c>
      <c r="AC144" s="79"/>
      <c r="AD144" s="116" t="str">
        <f ca="1">IFERROR(VALUE(IF(VLOOKUP($A144,数出表_Excel!$A$6:$T$150,COLUMN()/2+1,FALSE)=0,"",VLOOKUP($A144,数出表_Excel!$A$6:$T$150,COLUMN()/2+1,FALSE))),"")</f>
        <v/>
      </c>
      <c r="AE144" s="79"/>
      <c r="AF144" s="116" t="str">
        <f ca="1">IFERROR(VALUE(IF(VLOOKUP($A144,数出表_Excel!$A$6:$T$150,COLUMN()/2+1,FALSE)=0,"",VLOOKUP($A144,数出表_Excel!$A$6:$T$150,COLUMN()/2+1,FALSE))),"")</f>
        <v/>
      </c>
      <c r="AG144" s="79"/>
      <c r="AH144" s="116" t="str">
        <f ca="1">IFERROR(VALUE(IF(VLOOKUP($A144,数出表_Excel!$A$6:$T$150,COLUMN()/2+1,FALSE)=0,"",VLOOKUP($A144,数出表_Excel!$A$6:$T$150,COLUMN()/2+1,FALSE))),"")</f>
        <v/>
      </c>
      <c r="AI144" s="117"/>
      <c r="AJ144" s="115" t="str">
        <f ca="1">IFERROR(VALUE(IF(VLOOKUP($A144,数出表_Excel!$A$6:$T$150,COLUMN()/2+1,FALSE)=0,"",VLOOKUP($A144,数出表_Excel!$A$6:$T$150,COLUMN()/2+1,FALSE))),"")</f>
        <v/>
      </c>
      <c r="AK144" s="79"/>
      <c r="AL144" s="83" t="e">
        <f ca="1">IF(A144&lt;&gt;"",
IF(VLOOKUP($A144,数出表_Excel!$A$6:$T$150,COLUMN()/2+1,FALSE)=0,"",VLOOKUP($A144,数出表_Excel!$A$6:$T$150,COLUMN()/2+1,FALSE)),"")</f>
        <v>#N/A</v>
      </c>
      <c r="AM144" s="164" t="e">
        <f>数出表_Excel!V144</f>
        <v>#N/A</v>
      </c>
      <c r="AN144" s="165" t="e">
        <f>数出表_Excel!W144</f>
        <v>#N/A</v>
      </c>
    </row>
    <row r="145" spans="1:40" ht="16.2" customHeight="1">
      <c r="A145" s="127" t="e">
        <f t="array" aca="1" ref="A145" ca="1">IF(OR(COUNTIF(A143,"*1000*"),COUNTIF(A143,"")),"",INDEX(貼り付け用!$A1:$A200,MATCH(A143,貼り付け用!$A1:$A200,0)+2,0))</f>
        <v>#N/A</v>
      </c>
      <c r="B145" s="80" t="str">
        <f ca="1">IFERROR(VALUE(IF(VLOOKUP($A145,数出表_Excel!$A$6:$T$150,COLUMN()/2+1,FALSE)=0,"",VLOOKUP($A145,数出表_Excel!$A$6:$T$150,COLUMN()/2+1,FALSE))),"")</f>
        <v/>
      </c>
      <c r="C145" s="80"/>
      <c r="D145" s="80" t="str">
        <f ca="1">IFERROR(VALUE(IF(VLOOKUP($A145,数出表_Excel!$A$6:$T$150,COLUMN()/2+1,FALSE)=0,"",VLOOKUP($A145,数出表_Excel!$A$6:$T$150,COLUMN()/2+1,FALSE))),"")</f>
        <v/>
      </c>
      <c r="E145" s="80"/>
      <c r="F145" s="84" t="str">
        <f ca="1">IFERROR(VALUE(IF(VLOOKUP($A145,数出表_Excel!$A$6:$T$150,COLUMN()/2+1,FALSE)=0,"",VLOOKUP($A145,数出表_Excel!$A$6:$T$150,COLUMN()/2+1,FALSE))),"")</f>
        <v/>
      </c>
      <c r="G145" s="80"/>
      <c r="H145" s="80" t="str">
        <f ca="1">IFERROR(VALUE(IF(VLOOKUP($A145,数出表_Excel!$A$6:$T$150,COLUMN()/2+1,FALSE)=0,"",VLOOKUP($A145,数出表_Excel!$A$6:$T$150,COLUMN()/2+1,FALSE))),"")</f>
        <v/>
      </c>
      <c r="I145" s="80"/>
      <c r="J145" s="80" t="str">
        <f ca="1">IFERROR(VALUE(IF(VLOOKUP($A145,数出表_Excel!$A$6:$T$150,COLUMN()/2+1,FALSE)=0,"",VLOOKUP($A145,数出表_Excel!$A$6:$T$150,COLUMN()/2+1,FALSE))),"")</f>
        <v/>
      </c>
      <c r="K145" s="80"/>
      <c r="L145" s="84" t="str">
        <f ca="1">IFERROR(VALUE(IF(VLOOKUP($A145,数出表_Excel!$A$6:$T$150,COLUMN()/2+1,FALSE)=0,"",VLOOKUP($A145,数出表_Excel!$A$6:$T$150,COLUMN()/2+1,FALSE))),"")</f>
        <v/>
      </c>
      <c r="M145" s="80"/>
      <c r="N145" s="80" t="str">
        <f ca="1">IFERROR(VALUE(IF(VLOOKUP($A145,数出表_Excel!$A$6:$T$150,COLUMN()/2+1,FALSE)=0,"",VLOOKUP($A145,数出表_Excel!$A$6:$T$150,COLUMN()/2+1,FALSE))),"")</f>
        <v/>
      </c>
      <c r="O145" s="80"/>
      <c r="P145" s="80" t="str">
        <f ca="1">IFERROR(VALUE(IF(VLOOKUP($A145,数出表_Excel!$A$6:$T$150,COLUMN()/2+1,FALSE)=0,"",VLOOKUP($A145,数出表_Excel!$A$6:$T$150,COLUMN()/2+1,FALSE))),"")</f>
        <v/>
      </c>
      <c r="Q145" s="80"/>
      <c r="R145" s="80" t="str">
        <f ca="1">IFERROR(VALUE(IF(VLOOKUP($A145,数出表_Excel!$A$6:$T$150,COLUMN()/2+1,FALSE)=0,"",VLOOKUP($A145,数出表_Excel!$A$6:$T$150,COLUMN()/2+1,FALSE))),"")</f>
        <v/>
      </c>
      <c r="S145" s="80"/>
      <c r="T145" s="80" t="str">
        <f ca="1">IFERROR(VALUE(IF(VLOOKUP($A145,数出表_Excel!$A$6:$T$150,COLUMN()/2+1,FALSE)=0,"",VLOOKUP($A145,数出表_Excel!$A$6:$T$150,COLUMN()/2+1,FALSE))),"")</f>
        <v/>
      </c>
      <c r="U145" s="80"/>
      <c r="V145" s="84" t="str">
        <f ca="1">IFERROR(VALUE(IF(VLOOKUP($A145,数出表_Excel!$A$6:$T$150,COLUMN()/2+1,FALSE)=0,"",VLOOKUP($A145,数出表_Excel!$A$6:$T$150,COLUMN()/2+1,FALSE))),"")</f>
        <v/>
      </c>
      <c r="W145" s="80"/>
      <c r="X145" s="84" t="str">
        <f ca="1">IFERROR(VALUE(IF(VLOOKUP($A145,数出表_Excel!$A$6:$T$150,COLUMN()/2+1,FALSE)=0,"",VLOOKUP($A145,数出表_Excel!$A$6:$T$150,COLUMN()/2+1,FALSE))),"")</f>
        <v/>
      </c>
      <c r="Y145" s="80"/>
      <c r="Z145" s="84" t="str">
        <f ca="1">IFERROR(VALUE(IF(VLOOKUP($A145,数出表_Excel!$A$6:$T$150,COLUMN()/2+1,FALSE)=0,"",VLOOKUP($A145,数出表_Excel!$A$6:$T$150,COLUMN()/2+1,FALSE))),"")</f>
        <v/>
      </c>
      <c r="AA145" s="118"/>
      <c r="AB145" s="85" t="str">
        <f ca="1">IFERROR(VALUE(IF(VLOOKUP($A145,数出表_Excel!$A$6:$T$150,COLUMN()/2+1,FALSE)=0,"",VLOOKUP($A145,数出表_Excel!$A$6:$T$150,COLUMN()/2+1,FALSE))),"")</f>
        <v/>
      </c>
      <c r="AC145" s="80"/>
      <c r="AD145" s="84" t="str">
        <f ca="1">IFERROR(VALUE(IF(VLOOKUP($A145,数出表_Excel!$A$6:$T$150,COLUMN()/2+1,FALSE)=0,"",VLOOKUP($A145,数出表_Excel!$A$6:$T$150,COLUMN()/2+1,FALSE))),"")</f>
        <v/>
      </c>
      <c r="AE145" s="80"/>
      <c r="AF145" s="84" t="str">
        <f ca="1">IFERROR(VALUE(IF(VLOOKUP($A145,数出表_Excel!$A$6:$T$150,COLUMN()/2+1,FALSE)=0,"",VLOOKUP($A145,数出表_Excel!$A$6:$T$150,COLUMN()/2+1,FALSE))),"")</f>
        <v/>
      </c>
      <c r="AG145" s="80"/>
      <c r="AH145" s="84" t="str">
        <f ca="1">IFERROR(VALUE(IF(VLOOKUP($A145,数出表_Excel!$A$6:$T$150,COLUMN()/2+1,FALSE)=0,"",VLOOKUP($A145,数出表_Excel!$A$6:$T$150,COLUMN()/2+1,FALSE))),"")</f>
        <v/>
      </c>
      <c r="AI145" s="118"/>
      <c r="AJ145" s="85" t="str">
        <f ca="1">IFERROR(VALUE(IF(VLOOKUP($A145,数出表_Excel!$A$6:$T$150,COLUMN()/2+1,FALSE)=0,"",VLOOKUP($A145,数出表_Excel!$A$6:$T$150,COLUMN()/2+1,FALSE))),"")</f>
        <v/>
      </c>
      <c r="AK145" s="80"/>
      <c r="AL145" s="86" t="e">
        <f ca="1">IF(A145&lt;&gt;"",
IF(VLOOKUP($A145,数出表_Excel!$A$6:$T$150,COLUMN()/2+1,FALSE)=0,"",VLOOKUP($A145,数出表_Excel!$A$6:$T$150,COLUMN()/2+1,FALSE)),"")</f>
        <v>#N/A</v>
      </c>
      <c r="AM145" s="166" t="e">
        <f>数出表_Excel!V145</f>
        <v>#N/A</v>
      </c>
      <c r="AN145" s="167" t="e">
        <f>数出表_Excel!W145</f>
        <v>#N/A</v>
      </c>
    </row>
    <row r="146" spans="1:40" ht="16.2" customHeight="1">
      <c r="A146" s="126" t="e">
        <f>数出表_Excel!A146</f>
        <v>#N/A</v>
      </c>
      <c r="B146" s="78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13"/>
      <c r="D146" s="78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13"/>
      <c r="F146" s="81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13"/>
      <c r="H146" s="78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13"/>
      <c r="J146" s="78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13"/>
      <c r="L146" s="81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13"/>
      <c r="N146" s="78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13"/>
      <c r="P146" s="78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13"/>
      <c r="R146" s="78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13"/>
      <c r="T146" s="78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13"/>
      <c r="V146" s="81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13"/>
      <c r="X146" s="82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13"/>
      <c r="Z146" s="81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19"/>
      <c r="AB146" s="82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13"/>
      <c r="AD146" s="81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13"/>
      <c r="AF146" s="82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13"/>
      <c r="AH146" s="81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19"/>
      <c r="AJ146" s="82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13"/>
      <c r="AL146" s="83" t="e">
        <f>数出表_Excel!T146</f>
        <v>#N/A</v>
      </c>
      <c r="AM146" s="145" t="e">
        <f>数出表_Excel!V146</f>
        <v>#N/A</v>
      </c>
      <c r="AN146" s="146" t="e">
        <f>数出表_Excel!W146</f>
        <v>#N/A</v>
      </c>
    </row>
    <row r="147" spans="1:40" ht="16.2" customHeight="1">
      <c r="A147" s="127" t="e">
        <f>数出表_Excel!A147</f>
        <v>#N/A</v>
      </c>
      <c r="B147" s="80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80"/>
      <c r="D147" s="80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80"/>
      <c r="F147" s="8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80"/>
      <c r="H147" s="80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80"/>
      <c r="J147" s="80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80"/>
      <c r="L147" s="84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80"/>
      <c r="N147" s="80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80"/>
      <c r="P147" s="80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80"/>
      <c r="R147" s="80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80"/>
      <c r="T147" s="80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80"/>
      <c r="V147" s="8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80"/>
      <c r="X147" s="85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80"/>
      <c r="Z147" s="8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118"/>
      <c r="AB147" s="85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80"/>
      <c r="AD147" s="8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80"/>
      <c r="AF147" s="85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80"/>
      <c r="AH147" s="8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118"/>
      <c r="AJ147" s="85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80"/>
      <c r="AL147" s="86" t="e">
        <f>数出表_Excel!T147</f>
        <v>#N/A</v>
      </c>
      <c r="AM147" s="168" t="e">
        <f>数出表_Excel!V147</f>
        <v>#N/A</v>
      </c>
      <c r="AN147" s="169" t="e">
        <f>数出表_Excel!W147</f>
        <v>#N/A</v>
      </c>
    </row>
    <row r="148" spans="1:40" ht="16.2" customHeight="1">
      <c r="B148" s="87"/>
      <c r="C148" s="87"/>
      <c r="D148" s="87"/>
      <c r="E148" s="87"/>
      <c r="F148" s="88"/>
      <c r="G148" s="87"/>
      <c r="H148" s="87"/>
      <c r="I148" s="87"/>
      <c r="J148" s="87"/>
      <c r="K148" s="87"/>
      <c r="L148" s="88"/>
      <c r="M148" s="87"/>
      <c r="N148" s="87"/>
      <c r="O148" s="87"/>
      <c r="P148" s="87"/>
      <c r="Q148" s="87"/>
      <c r="R148" s="87"/>
      <c r="S148" s="87"/>
      <c r="T148" s="87"/>
      <c r="U148" s="87"/>
      <c r="V148" s="89"/>
      <c r="W148" s="90"/>
      <c r="X148" s="110"/>
      <c r="Y148" s="87"/>
      <c r="Z148" s="89"/>
      <c r="AA148" s="90"/>
      <c r="AB148" s="110"/>
      <c r="AC148" s="87"/>
      <c r="AD148" s="89"/>
      <c r="AE148" s="90"/>
      <c r="AF148" s="110"/>
      <c r="AG148" s="87"/>
      <c r="AH148" s="89"/>
      <c r="AI148" s="90"/>
      <c r="AJ148" s="110"/>
      <c r="AK148" s="87"/>
      <c r="AL148" s="91"/>
    </row>
    <row r="149" spans="1:40" ht="23.4" customHeight="1">
      <c r="A149" s="129" t="s">
        <v>23</v>
      </c>
      <c r="B149" s="92"/>
      <c r="C149" s="92"/>
      <c r="D149" s="92"/>
      <c r="E149" s="92"/>
      <c r="F149" s="93" t="str">
        <f>IF(OR(F150&lt;&gt;"",F153&lt;&gt;""),F146-F150-F151-F152-F153,"")</f>
        <v/>
      </c>
      <c r="G149" s="94"/>
      <c r="H149" s="92" t="str">
        <f>IF(OR(H150&lt;&gt;"",H153&lt;&gt;""),H146-H150-H151-H152-H153,"")</f>
        <v/>
      </c>
      <c r="I149" s="94"/>
      <c r="J149" s="92" t="str">
        <f>IF(OR(J150&lt;&gt;"",J153&lt;&gt;""),J146-J150-J151-J152-J153,"")</f>
        <v/>
      </c>
      <c r="K149" s="92"/>
      <c r="L149" s="93" t="str">
        <f>IF(OR(L150&lt;&gt;"",L153&lt;&gt;""),L146-L150-L151-L152-L153,"")</f>
        <v/>
      </c>
      <c r="M149" s="94"/>
      <c r="N149" s="92" t="str">
        <f>IF(OR(N150&lt;&gt;"",N153&lt;&gt;""),N146-N150-N151-N152-N153,"")</f>
        <v/>
      </c>
      <c r="O149" s="94"/>
      <c r="P149" s="92" t="str">
        <f>IF(OR(P150&lt;&gt;"",P153&lt;&gt;""),P146-P150-P151-P152-P153,"")</f>
        <v/>
      </c>
      <c r="Q149" s="94"/>
      <c r="R149" s="92" t="str">
        <f>IF(OR(R150&lt;&gt;"",R153&lt;&gt;""),R146-R150-R151-R152-R153,"")</f>
        <v/>
      </c>
      <c r="S149" s="94"/>
      <c r="T149" s="92" t="str">
        <f>IF(OR(T150&lt;&gt;"",T153&lt;&gt;""),T146-T150-T151-T152-T153,"")</f>
        <v/>
      </c>
      <c r="U149" s="92"/>
      <c r="V149" s="93" t="str">
        <f>IF(OR(V150&lt;&gt;"",V153&lt;&gt;""),V146-V150-V151-V152-V153,"")</f>
        <v/>
      </c>
      <c r="W149" s="95"/>
      <c r="X149" s="92" t="str">
        <f>IF(OR(X150&lt;&gt;"",X153&lt;&gt;""),X146-X150-X151-X152-X153,"")</f>
        <v/>
      </c>
      <c r="Y149" s="92"/>
      <c r="Z149" s="93" t="str">
        <f>IF(OR(Z150&lt;&gt;"",Z153&lt;&gt;""),Z146-Z150-Z151-Z152-Z153,"")</f>
        <v/>
      </c>
      <c r="AA149" s="95"/>
      <c r="AB149" s="92" t="str">
        <f>IF(OR(AB150&lt;&gt;"",AB153&lt;&gt;""),AB146-AB150-AB151-AB152-AB153,"")</f>
        <v/>
      </c>
      <c r="AC149" s="92"/>
      <c r="AD149" s="93" t="str">
        <f>IF(OR(AD150&lt;&gt;"",AD153&lt;&gt;""),AD146-AD150-AD151-AD152-AD153,"")</f>
        <v/>
      </c>
      <c r="AE149" s="95"/>
      <c r="AF149" s="92" t="str">
        <f>IF(OR(AF150&lt;&gt;"",AF153&lt;&gt;""),AF146-AF150-AF151-AF152-AF153,"")</f>
        <v/>
      </c>
      <c r="AG149" s="92"/>
      <c r="AH149" s="93" t="str">
        <f>IF(OR(AH150&lt;&gt;"",AH153&lt;&gt;""),AH146-AH150-AH151-AH152-AH153,"")</f>
        <v/>
      </c>
      <c r="AI149" s="95"/>
      <c r="AJ149" s="92" t="str">
        <f>IF(OR(AJ150&lt;&gt;"",AJ153&lt;&gt;""),AJ146-AJ150-AJ151-AJ152-AJ153,"")</f>
        <v/>
      </c>
      <c r="AK149" s="92"/>
      <c r="AL149" s="112" t="str">
        <f>IF(OR(AL150&lt;&gt;"",AL153&lt;&gt;""),AL146-AL150-AL151-AL152-AL153,"")</f>
        <v/>
      </c>
    </row>
    <row r="150" spans="1:40" ht="16.2" customHeight="1">
      <c r="A150" s="130" t="s">
        <v>24</v>
      </c>
      <c r="B150" s="96"/>
      <c r="C150" s="239">
        <f>SUM(C6:C145)</f>
        <v>0</v>
      </c>
      <c r="D150" s="96"/>
      <c r="E150" s="242">
        <f>SUM(E6:E145)</f>
        <v>0</v>
      </c>
      <c r="F150" s="97"/>
      <c r="G150" s="239">
        <f>SUM(G6:G145)</f>
        <v>0</v>
      </c>
      <c r="H150" s="98"/>
      <c r="I150" s="239">
        <f>SUM(I6:I145)</f>
        <v>0</v>
      </c>
      <c r="J150" s="98"/>
      <c r="K150" s="242">
        <f>SUM(K6:K145)</f>
        <v>0</v>
      </c>
      <c r="L150" s="97"/>
      <c r="M150" s="239">
        <f>SUM(M6:M145)</f>
        <v>0</v>
      </c>
      <c r="N150" s="96"/>
      <c r="O150" s="239">
        <f>SUM(O6:O145)</f>
        <v>0</v>
      </c>
      <c r="P150" s="98"/>
      <c r="Q150" s="239">
        <f>SUM(Q6:Q145)</f>
        <v>0</v>
      </c>
      <c r="R150" s="98"/>
      <c r="S150" s="239">
        <f>SUM(S6:S145)</f>
        <v>0</v>
      </c>
      <c r="T150" s="98"/>
      <c r="U150" s="242">
        <f>SUM(U6:U145)</f>
        <v>0</v>
      </c>
      <c r="V150" s="97"/>
      <c r="W150" s="245">
        <f>SUM(W6:W145)</f>
        <v>0</v>
      </c>
      <c r="X150" s="99"/>
      <c r="Y150" s="242">
        <f>SUM(Y6:Y145)</f>
        <v>0</v>
      </c>
      <c r="Z150" s="97"/>
      <c r="AA150" s="245">
        <f>SUM(AA6:AA145)</f>
        <v>0</v>
      </c>
      <c r="AB150" s="99"/>
      <c r="AC150" s="242">
        <f>SUM(AC6:AC145)</f>
        <v>0</v>
      </c>
      <c r="AD150" s="97"/>
      <c r="AE150" s="245">
        <f>SUM(AE6:AE145)</f>
        <v>0</v>
      </c>
      <c r="AF150" s="101"/>
      <c r="AG150" s="242">
        <f>SUM(AG6:AG145)</f>
        <v>0</v>
      </c>
      <c r="AH150" s="100"/>
      <c r="AI150" s="245">
        <f>SUM(AI6:AI145)</f>
        <v>0</v>
      </c>
      <c r="AJ150" s="101"/>
      <c r="AK150" s="242">
        <f>SUM(AK6:AK145)</f>
        <v>0</v>
      </c>
      <c r="AL150" s="102"/>
      <c r="AM150" s="170"/>
      <c r="AN150" s="171"/>
    </row>
    <row r="151" spans="1:40" ht="16.2" customHeight="1">
      <c r="A151" s="130" t="s">
        <v>25</v>
      </c>
      <c r="B151" s="96"/>
      <c r="C151" s="240"/>
      <c r="D151" s="96"/>
      <c r="E151" s="243"/>
      <c r="F151" s="97"/>
      <c r="G151" s="240"/>
      <c r="H151" s="98"/>
      <c r="I151" s="240"/>
      <c r="J151" s="98"/>
      <c r="K151" s="243"/>
      <c r="L151" s="97"/>
      <c r="M151" s="240"/>
      <c r="N151" s="96"/>
      <c r="O151" s="240"/>
      <c r="P151" s="98"/>
      <c r="Q151" s="240"/>
      <c r="R151" s="98"/>
      <c r="S151" s="240"/>
      <c r="T151" s="98"/>
      <c r="U151" s="243"/>
      <c r="V151" s="97"/>
      <c r="W151" s="246"/>
      <c r="X151" s="99"/>
      <c r="Y151" s="243"/>
      <c r="Z151" s="97"/>
      <c r="AA151" s="246"/>
      <c r="AB151" s="99"/>
      <c r="AC151" s="243"/>
      <c r="AD151" s="97"/>
      <c r="AE151" s="246"/>
      <c r="AF151" s="101"/>
      <c r="AG151" s="243"/>
      <c r="AH151" s="100"/>
      <c r="AI151" s="246"/>
      <c r="AJ151" s="101"/>
      <c r="AK151" s="243"/>
      <c r="AL151" s="102"/>
      <c r="AM151" s="170"/>
      <c r="AN151" s="171"/>
    </row>
    <row r="152" spans="1:40" ht="16.2" customHeight="1">
      <c r="A152" s="130" t="s">
        <v>26</v>
      </c>
      <c r="B152" s="96"/>
      <c r="C152" s="240"/>
      <c r="D152" s="96"/>
      <c r="E152" s="243"/>
      <c r="F152" s="97"/>
      <c r="G152" s="240"/>
      <c r="H152" s="98"/>
      <c r="I152" s="240"/>
      <c r="J152" s="98"/>
      <c r="K152" s="243"/>
      <c r="L152" s="97"/>
      <c r="M152" s="240"/>
      <c r="N152" s="96"/>
      <c r="O152" s="240"/>
      <c r="P152" s="98"/>
      <c r="Q152" s="240"/>
      <c r="R152" s="98"/>
      <c r="S152" s="240"/>
      <c r="T152" s="98"/>
      <c r="U152" s="243"/>
      <c r="V152" s="97"/>
      <c r="W152" s="246"/>
      <c r="X152" s="99"/>
      <c r="Y152" s="243"/>
      <c r="Z152" s="97"/>
      <c r="AA152" s="246"/>
      <c r="AB152" s="99"/>
      <c r="AC152" s="243"/>
      <c r="AD152" s="97"/>
      <c r="AE152" s="246"/>
      <c r="AF152" s="101"/>
      <c r="AG152" s="243"/>
      <c r="AH152" s="100"/>
      <c r="AI152" s="246"/>
      <c r="AJ152" s="101"/>
      <c r="AK152" s="243"/>
      <c r="AL152" s="102"/>
    </row>
    <row r="153" spans="1:40" s="70" customFormat="1" ht="16.2" customHeight="1">
      <c r="A153" s="131" t="s">
        <v>27</v>
      </c>
      <c r="B153" s="103"/>
      <c r="C153" s="241"/>
      <c r="D153" s="103"/>
      <c r="E153" s="244"/>
      <c r="F153" s="104"/>
      <c r="G153" s="241"/>
      <c r="H153" s="105"/>
      <c r="I153" s="241"/>
      <c r="J153" s="105"/>
      <c r="K153" s="244"/>
      <c r="L153" s="104"/>
      <c r="M153" s="241"/>
      <c r="N153" s="103"/>
      <c r="O153" s="241"/>
      <c r="P153" s="105"/>
      <c r="Q153" s="241"/>
      <c r="R153" s="105"/>
      <c r="S153" s="241"/>
      <c r="T153" s="105"/>
      <c r="U153" s="244"/>
      <c r="V153" s="104"/>
      <c r="W153" s="247"/>
      <c r="X153" s="106"/>
      <c r="Y153" s="244"/>
      <c r="Z153" s="104"/>
      <c r="AA153" s="247"/>
      <c r="AB153" s="106"/>
      <c r="AC153" s="244"/>
      <c r="AD153" s="104"/>
      <c r="AE153" s="247"/>
      <c r="AF153" s="108"/>
      <c r="AG153" s="244"/>
      <c r="AH153" s="107"/>
      <c r="AI153" s="247"/>
      <c r="AJ153" s="108"/>
      <c r="AK153" s="244"/>
      <c r="AL153" s="109"/>
      <c r="AM153" s="172"/>
      <c r="AN153" s="172"/>
    </row>
    <row r="154" spans="1:40" ht="16.2" customHeight="1">
      <c r="A154" s="132" t="s">
        <v>28</v>
      </c>
    </row>
  </sheetData>
  <mergeCells count="18">
    <mergeCell ref="AK150:AK153"/>
    <mergeCell ref="AI150:AI153"/>
    <mergeCell ref="AG150:AG153"/>
    <mergeCell ref="U150:U153"/>
    <mergeCell ref="E150:E153"/>
    <mergeCell ref="Y150:Y153"/>
    <mergeCell ref="G150:G153"/>
    <mergeCell ref="M150:M153"/>
    <mergeCell ref="K150:K153"/>
    <mergeCell ref="Q150:Q153"/>
    <mergeCell ref="O150:O153"/>
    <mergeCell ref="C150:C153"/>
    <mergeCell ref="AC150:AC153"/>
    <mergeCell ref="AA150:AA153"/>
    <mergeCell ref="AE150:AE153"/>
    <mergeCell ref="S150:S153"/>
    <mergeCell ref="W150:W153"/>
    <mergeCell ref="I150:I153"/>
  </mergeCells>
  <phoneticPr fontId="1"/>
  <pageMargins left="0.7" right="0.7" top="0.75" bottom="0.75" header="0.3" footer="0.3"/>
  <pageSetup paperSize="8" scale="31" orientation="portrait" horizontalDpi="1200" verticalDpi="12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N9"/>
  <sheetViews>
    <sheetView zoomScaleNormal="100" workbookViewId="0">
      <selection activeCell="E6" sqref="E6"/>
    </sheetView>
  </sheetViews>
  <sheetFormatPr defaultRowHeight="18"/>
  <cols>
    <col min="1" max="1" width="23.8984375" style="29" customWidth="1"/>
    <col min="10" max="10" width="8.796875" style="65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>
        <f ca="1">IF('数出表_Excel（アレルギー入力）'!F150=0,
IF(AND(K2&lt;&gt;0,K2&gt;-10,K2&lt;10),0,
IF(AND(L2&lt;&gt;0,L2&gt;-13,L2&lt;13),
K2+L2,K2)),'数出表_Excel（アレルギー入力）'!F150)</f>
        <v>0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ca="1">IF('数出表_Excel（アレルギー入力）'!H150=0,
IF(AND(K3&lt;&gt;0,K3&gt;-10,K3&lt;10),0,
IF(AND(L3&lt;&gt;0,L3&gt;-13,L3&lt;13),
K3+L3,K3)),'数出表_Excel（アレルギー入力）'!H150)</f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ca="1">IF('数出表_Excel（アレルギー入力）'!J150=0,
IF(AND(K4&lt;&gt;0,K4&gt;-10,K4&lt;10),0,
IF(AND(L4&lt;&gt;0,L4&gt;-13,L4&lt;13),
K4+L4,K4)),'数出表_Excel（アレルギー入力）'!J150)</f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>
        <f ca="1">IF('数出表_Excel（アレルギー入力）'!L150=0,
IF(AND(K5&lt;&gt;0,K5&gt;-10,K5&lt;10),0,
IF(AND(L5&lt;&gt;0,L5&gt;-13,L5&lt;13),
K5+L5,K5)),'数出表_Excel（アレルギー入力）'!L150)</f>
        <v>0</v>
      </c>
      <c r="G5" t="str">
        <f t="shared" si="0"/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0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ca="1">IF('数出表_Excel（アレルギー入力）'!P150=0,
IF(AND(K6&lt;&gt;0,K6&gt;-10,K6&lt;10),0,
IF(AND(L6&lt;&gt;0,L6&gt;-13,L6&lt;13),
K6+L6,K6)),'数出表_Excel（アレルギー入力）'!P150)</f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ca="1">IF('数出表_Excel（アレルギー入力）'!R150=0,
IF(AND(K7&lt;&gt;0,K7&gt;-10,K7&lt;10),0,
IF(AND(L7&lt;&gt;0,L7&gt;-13,L7&lt;13),
K7+L7,K7)),'数出表_Excel（アレルギー入力）'!R150)</f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ca="1">IF('数出表_Excel（アレルギー入力）'!T150=0,
IF(AND(K8&lt;&gt;0,K8&gt;-10,K8&lt;10),0,
IF(AND(L8&lt;&gt;0,L8&gt;-13,L8&lt;13),
K8+L8,K8)),'数出表_Excel（アレルギー入力）'!T150)</f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T64"/>
  <sheetViews>
    <sheetView topLeftCell="K1" workbookViewId="0">
      <selection activeCell="R4" sqref="R4:T15"/>
    </sheetView>
  </sheetViews>
  <sheetFormatPr defaultRowHeight="18"/>
  <cols>
    <col min="1" max="1" width="17.3984375" style="29" customWidth="1"/>
  </cols>
  <sheetData>
    <row r="1" spans="1:20">
      <c r="A1" s="65" t="str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/>
      </c>
      <c r="B1" s="65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65"/>
      <c r="D1" s="65"/>
      <c r="E1" s="65"/>
      <c r="F1" s="65" t="str">
        <f t="array" aca="1" ref="F1" ca="1">IFERROR(IF(B1&lt;&gt;"",
INDIRECT("'数出表_Excel（アレルギー入力）'!"&amp;P1&amp;O1&amp;""),""),"")</f>
        <v/>
      </c>
      <c r="G1" s="65"/>
      <c r="H1" s="65"/>
      <c r="I1" s="65"/>
      <c r="J1" s="65"/>
      <c r="K1" s="65"/>
      <c r="L1" s="65"/>
      <c r="M1" s="65"/>
      <c r="N1" s="65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29</v>
      </c>
      <c r="R1" s="208" t="str">
        <f t="array" aca="1" ref="R1" ca="1">IFERROR(INDEX($A:$A,SMALL(IF($A$1:$A$64&lt;&gt;"",ROW($A$1:$A$64)),ROW(A1))),"")</f>
        <v/>
      </c>
      <c r="S1" s="208">
        <f t="shared" ref="S1:S15" ca="1" si="0">VLOOKUP(R1,A1:N8,2,FALSE)</f>
        <v>0</v>
      </c>
      <c r="T1" s="208" t="str">
        <f t="shared" ref="T1:T15" ca="1" si="1">VLOOKUP(R1,A1:N8,6,FALSE)</f>
        <v/>
      </c>
    </row>
    <row r="2" spans="1:20">
      <c r="A2" s="65" t="str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/>
      </c>
      <c r="B2" s="65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65"/>
      <c r="D2" s="65"/>
      <c r="E2" s="65"/>
      <c r="F2" s="65" t="str">
        <f t="array" aca="1" ref="F2" ca="1">IFERROR(IF(B2&lt;&gt;"",
INDIRECT("'数出表_Excel（アレルギー入力）'!"&amp;P2&amp;O2&amp;""),""),"")</f>
        <v/>
      </c>
      <c r="G2" s="65"/>
      <c r="H2" s="65"/>
      <c r="I2" s="65"/>
      <c r="J2" s="65"/>
      <c r="K2" s="65"/>
      <c r="L2" s="65"/>
      <c r="M2" s="65"/>
      <c r="N2" s="65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30</v>
      </c>
      <c r="R2" s="208" t="str">
        <f t="array" aca="1" ref="R2" ca="1">IFERROR(INDEX($A:$A,SMALL(IF($A$1:$A$64&lt;&gt;"",ROW($A$1:$A$64)),ROW(A2))),"")</f>
        <v/>
      </c>
      <c r="S2" s="208">
        <f t="shared" ca="1" si="0"/>
        <v>0</v>
      </c>
      <c r="T2" s="208" t="str">
        <f t="shared" ca="1" si="1"/>
        <v/>
      </c>
    </row>
    <row r="3" spans="1:20">
      <c r="A3" s="65" t="str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/>
      </c>
      <c r="B3" s="65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65"/>
      <c r="D3" s="65"/>
      <c r="E3" s="65"/>
      <c r="F3" s="65" t="str">
        <f t="array" aca="1" ref="F3" ca="1">IFERROR(IF(B3&lt;&gt;"",
INDIRECT("'数出表_Excel（アレルギー入力）'!"&amp;P3&amp;O3&amp;""),""),"")</f>
        <v/>
      </c>
      <c r="G3" s="65"/>
      <c r="H3" s="65"/>
      <c r="I3" s="65"/>
      <c r="J3" s="65"/>
      <c r="K3" s="65"/>
      <c r="L3" s="65"/>
      <c r="M3" s="65"/>
      <c r="N3" s="65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31</v>
      </c>
      <c r="R3" s="208" t="str">
        <f t="array" aca="1" ref="R3" ca="1">IFERROR(INDEX($A:$A,SMALL(IF($A$1:$A$64&lt;&gt;"",ROW($A$1:$A$64)),ROW(A3))),"")</f>
        <v/>
      </c>
      <c r="S3" s="208">
        <f t="shared" ca="1" si="0"/>
        <v>0</v>
      </c>
      <c r="T3" s="208" t="str">
        <f t="shared" ca="1" si="1"/>
        <v/>
      </c>
    </row>
    <row r="4" spans="1:20">
      <c r="A4" s="65" t="str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/>
      </c>
      <c r="B4" s="65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65"/>
      <c r="D4" s="65"/>
      <c r="E4" s="65"/>
      <c r="F4" s="65" t="str">
        <f t="array" aca="1" ref="F4" ca="1">IFERROR(IF(B4&lt;&gt;"",
INDIRECT("'数出表_Excel（アレルギー入力）'!"&amp;P4&amp;O4&amp;""),""),"")</f>
        <v/>
      </c>
      <c r="G4" s="65"/>
      <c r="H4" s="65"/>
      <c r="I4" s="65"/>
      <c r="J4" s="65"/>
      <c r="K4" s="65"/>
      <c r="L4" s="65"/>
      <c r="M4" s="65"/>
      <c r="N4" s="65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32</v>
      </c>
      <c r="R4" s="208" t="str">
        <f t="array" aca="1" ref="R4" ca="1">IFERROR(INDEX($A:$A,SMALL(IF($A$1:$A$64&lt;&gt;"",ROW($A$1:$A$64)),ROW(A4))),"")</f>
        <v/>
      </c>
      <c r="S4" s="208">
        <f t="shared" ca="1" si="0"/>
        <v>0</v>
      </c>
      <c r="T4" s="208" t="str">
        <f t="shared" ca="1" si="1"/>
        <v/>
      </c>
    </row>
    <row r="5" spans="1:20">
      <c r="A5" s="65" t="str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/>
      </c>
      <c r="B5" s="65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65"/>
      <c r="D5" s="65"/>
      <c r="E5" s="65"/>
      <c r="F5" s="65" t="str">
        <f t="array" aca="1" ref="F5" ca="1">IFERROR(IF(B5&lt;&gt;"",
INDIRECT("'数出表_Excel（アレルギー入力）'!"&amp;P5&amp;O5&amp;""),""),"")</f>
        <v/>
      </c>
      <c r="G5" s="65"/>
      <c r="H5" s="65"/>
      <c r="I5" s="65"/>
      <c r="J5" s="65"/>
      <c r="K5" s="65"/>
      <c r="L5" s="65"/>
      <c r="M5" s="65"/>
      <c r="N5" s="65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33</v>
      </c>
      <c r="R5" s="208" t="str">
        <f t="array" aca="1" ref="R5" ca="1">IFERROR(INDEX($A:$A,SMALL(IF($A$1:$A$64&lt;&gt;"",ROW($A$1:$A$64)),ROW(A5))),"")</f>
        <v/>
      </c>
      <c r="S5" s="208">
        <f t="shared" ca="1" si="0"/>
        <v>0</v>
      </c>
      <c r="T5" s="208" t="str">
        <f t="shared" ca="1" si="1"/>
        <v/>
      </c>
    </row>
    <row r="6" spans="1:20">
      <c r="A6" s="65" t="str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/>
      </c>
      <c r="B6" s="65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65"/>
      <c r="D6" s="65"/>
      <c r="E6" s="65"/>
      <c r="F6" s="65" t="str">
        <f t="array" aca="1" ref="F6" ca="1">IFERROR(IF(B6&lt;&gt;"",
INDIRECT("'数出表_Excel（アレルギー入力）'!"&amp;P6&amp;O6&amp;""),""),"")</f>
        <v/>
      </c>
      <c r="G6" s="65"/>
      <c r="H6" s="65"/>
      <c r="I6" s="65"/>
      <c r="J6" s="65"/>
      <c r="K6" s="65"/>
      <c r="L6" s="65"/>
      <c r="M6" s="65"/>
      <c r="N6" s="65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34</v>
      </c>
      <c r="R6" s="208" t="str">
        <f t="array" aca="1" ref="R6" ca="1">IFERROR(INDEX($A:$A,SMALL(IF($A$1:$A$64&lt;&gt;"",ROW($A$1:$A$64)),ROW(A6))),"")</f>
        <v/>
      </c>
      <c r="S6" s="208">
        <f t="shared" ca="1" si="0"/>
        <v>0</v>
      </c>
      <c r="T6" s="208" t="str">
        <f t="shared" ca="1" si="1"/>
        <v/>
      </c>
    </row>
    <row r="7" spans="1:20">
      <c r="A7" s="65" t="str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/>
      </c>
      <c r="B7" s="65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65"/>
      <c r="D7" s="65"/>
      <c r="E7" s="65"/>
      <c r="F7" s="65" t="str">
        <f t="array" aca="1" ref="F7" ca="1">IFERROR(IF(B7&lt;&gt;"",
INDIRECT("'数出表_Excel（アレルギー入力）'!"&amp;P7&amp;O7&amp;""),""),"")</f>
        <v/>
      </c>
      <c r="G7" s="65"/>
      <c r="H7" s="65"/>
      <c r="I7" s="65"/>
      <c r="J7" s="65"/>
      <c r="K7" s="65"/>
      <c r="L7" s="65"/>
      <c r="M7" s="65"/>
      <c r="N7" s="65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35</v>
      </c>
      <c r="R7" s="208" t="str">
        <f t="array" aca="1" ref="R7" ca="1">IFERROR(INDEX($A:$A,SMALL(IF($A$1:$A$64&lt;&gt;"",ROW($A$1:$A$64)),ROW(A7))),"")</f>
        <v/>
      </c>
      <c r="S7" s="208">
        <f t="shared" ca="1" si="0"/>
        <v>0</v>
      </c>
      <c r="T7" s="208" t="str">
        <f t="shared" ca="1" si="1"/>
        <v/>
      </c>
    </row>
    <row r="8" spans="1:20">
      <c r="A8" s="65" t="str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/>
      </c>
      <c r="B8" s="65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65"/>
      <c r="D8" s="65"/>
      <c r="E8" s="65"/>
      <c r="F8" s="65" t="str">
        <f t="array" aca="1" ref="F8" ca="1">IFERROR(IF(B8&lt;&gt;"",
INDIRECT("'数出表_Excel（アレルギー入力）'!"&amp;P8&amp;O8&amp;""),""),"")</f>
        <v/>
      </c>
      <c r="G8" s="65"/>
      <c r="H8" s="65"/>
      <c r="I8" s="65"/>
      <c r="J8" s="65"/>
      <c r="K8" s="65"/>
      <c r="L8" s="65"/>
      <c r="M8" s="65"/>
      <c r="N8" s="65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36</v>
      </c>
      <c r="R8" s="208" t="str">
        <f t="array" aca="1" ref="R8" ca="1">IFERROR(INDEX($A:$A,SMALL(IF($A$1:$A$64&lt;&gt;"",ROW($A$1:$A$64)),ROW(A8))),"")</f>
        <v/>
      </c>
      <c r="S8" s="208">
        <f t="shared" ca="1" si="0"/>
        <v>0</v>
      </c>
      <c r="T8" s="208" t="str">
        <f t="shared" ca="1" si="1"/>
        <v/>
      </c>
    </row>
    <row r="9" spans="1:20">
      <c r="A9" s="120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120" t="str">
        <f t="array" aca="1" ref="B9" ca="1">IF(AND(B1&lt;&gt;"",O9&lt;&gt;0),
IF(INDIRECT("'数出表_Excel（アレルギー入力）'!"&amp;P9&amp;"147")&lt;&gt;F1,B1,""),"")</f>
        <v/>
      </c>
      <c r="C9" s="120"/>
      <c r="D9" s="120"/>
      <c r="E9" s="120"/>
      <c r="F9" s="120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120"/>
      <c r="H9" s="120"/>
      <c r="I9" s="120"/>
      <c r="J9" s="120"/>
      <c r="K9" s="120"/>
      <c r="L9" s="120"/>
      <c r="M9" s="120"/>
      <c r="N9" s="120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29</v>
      </c>
      <c r="R9" s="208" t="str">
        <f t="array" aca="1" ref="R9" ca="1">IFERROR(INDEX($A:$A,SMALL(IF($A$1:$A$64&lt;&gt;"",ROW($A$1:$A$64)),ROW(A9))),"")</f>
        <v/>
      </c>
      <c r="S9" s="208" t="str">
        <f t="shared" ca="1" si="0"/>
        <v/>
      </c>
      <c r="T9" s="208" t="str">
        <f t="shared" ca="1" si="1"/>
        <v/>
      </c>
    </row>
    <row r="10" spans="1:20">
      <c r="A10" s="120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120" t="str">
        <f t="array" aca="1" ref="B10" ca="1">IF(AND(B2&lt;&gt;"",O10&lt;&gt;0),
IF(INDIRECT("'数出表_Excel（アレルギー入力）'!"&amp;P10&amp;"147")&lt;&gt;F2,B2,""),"")</f>
        <v/>
      </c>
      <c r="C10" s="120"/>
      <c r="D10" s="120"/>
      <c r="E10" s="120"/>
      <c r="F10" s="120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120"/>
      <c r="H10" s="120"/>
      <c r="I10" s="120"/>
      <c r="J10" s="120"/>
      <c r="K10" s="120"/>
      <c r="L10" s="120"/>
      <c r="M10" s="120"/>
      <c r="N10" s="120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30</v>
      </c>
      <c r="R10" s="208" t="str">
        <f t="array" aca="1" ref="R10" ca="1">IFERROR(INDEX($A:$A,SMALL(IF($A$1:$A$64&lt;&gt;"",ROW($A$1:$A$64)),ROW(A10))),"")</f>
        <v/>
      </c>
      <c r="S10" s="208" t="str">
        <f t="shared" ca="1" si="0"/>
        <v/>
      </c>
      <c r="T10" s="208" t="str">
        <f t="shared" ca="1" si="1"/>
        <v/>
      </c>
    </row>
    <row r="11" spans="1:20">
      <c r="A11" s="120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120" t="str">
        <f t="array" aca="1" ref="B11" ca="1">IF(AND(B3&lt;&gt;"",O11&lt;&gt;0),
IF(INDIRECT("'数出表_Excel（アレルギー入力）'!"&amp;P11&amp;"147")&lt;&gt;F3,B3,""),"")</f>
        <v/>
      </c>
      <c r="C11" s="120"/>
      <c r="D11" s="120"/>
      <c r="E11" s="120"/>
      <c r="F11" s="120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120"/>
      <c r="H11" s="120"/>
      <c r="I11" s="120"/>
      <c r="J11" s="120"/>
      <c r="K11" s="120"/>
      <c r="L11" s="120"/>
      <c r="M11" s="120"/>
      <c r="N11" s="120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31</v>
      </c>
      <c r="R11" s="208" t="str">
        <f t="array" aca="1" ref="R11" ca="1">IFERROR(INDEX($A:$A,SMALL(IF($A$1:$A$64&lt;&gt;"",ROW($A$1:$A$64)),ROW(A11))),"")</f>
        <v/>
      </c>
      <c r="S11" s="208" t="str">
        <f t="shared" ca="1" si="0"/>
        <v/>
      </c>
      <c r="T11" s="208" t="str">
        <f t="shared" ca="1" si="1"/>
        <v/>
      </c>
    </row>
    <row r="12" spans="1:20">
      <c r="A12" s="120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120" t="str">
        <f t="array" aca="1" ref="B12" ca="1">IF(AND(B4&lt;&gt;"",O12&lt;&gt;0),
IF(INDIRECT("'数出表_Excel（アレルギー入力）'!"&amp;P12&amp;"147")&lt;&gt;F4,B4,""),"")</f>
        <v/>
      </c>
      <c r="C12" s="120"/>
      <c r="D12" s="120"/>
      <c r="E12" s="120"/>
      <c r="F12" s="120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120"/>
      <c r="H12" s="120"/>
      <c r="I12" s="120"/>
      <c r="J12" s="120"/>
      <c r="K12" s="120"/>
      <c r="L12" s="120"/>
      <c r="M12" s="120"/>
      <c r="N12" s="120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32</v>
      </c>
      <c r="R12" s="208" t="str">
        <f t="array" aca="1" ref="R12" ca="1">IFERROR(INDEX($A:$A,SMALL(IF($A$1:$A$64&lt;&gt;"",ROW($A$1:$A$64)),ROW(A12))),"")</f>
        <v/>
      </c>
      <c r="S12" s="208" t="str">
        <f t="shared" ca="1" si="0"/>
        <v/>
      </c>
      <c r="T12" s="208" t="str">
        <f t="shared" ca="1" si="1"/>
        <v/>
      </c>
    </row>
    <row r="13" spans="1:20">
      <c r="A13" s="120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120" t="str">
        <f t="array" aca="1" ref="B13" ca="1">IF(AND(B5&lt;&gt;"",O13&lt;&gt;0),
IF(INDIRECT("'数出表_Excel（アレルギー入力）'!"&amp;P13&amp;"147")&lt;&gt;F5,B5,""),"")</f>
        <v/>
      </c>
      <c r="C13" s="120"/>
      <c r="D13" s="120"/>
      <c r="E13" s="120"/>
      <c r="F13" s="120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120"/>
      <c r="H13" s="120"/>
      <c r="I13" s="120"/>
      <c r="J13" s="120"/>
      <c r="K13" s="120"/>
      <c r="L13" s="120"/>
      <c r="M13" s="120"/>
      <c r="N13" s="120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33</v>
      </c>
      <c r="R13" s="208" t="str">
        <f t="array" aca="1" ref="R13" ca="1">IFERROR(INDEX($A:$A,SMALL(IF($A$1:$A$64&lt;&gt;"",ROW($A$1:$A$64)),ROW(A13))),"")</f>
        <v/>
      </c>
      <c r="S13" s="208" t="str">
        <f t="shared" ca="1" si="0"/>
        <v/>
      </c>
      <c r="T13" s="208" t="str">
        <f t="shared" ca="1" si="1"/>
        <v/>
      </c>
    </row>
    <row r="14" spans="1:20">
      <c r="A14" s="120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120" t="str">
        <f t="array" aca="1" ref="B14" ca="1">IF(AND(B6&lt;&gt;"",O14&lt;&gt;0),
IF(INDIRECT("'数出表_Excel（アレルギー入力）'!"&amp;P14&amp;"147")&lt;&gt;F6,B6,""),"")</f>
        <v/>
      </c>
      <c r="C14" s="120"/>
      <c r="D14" s="120"/>
      <c r="E14" s="120"/>
      <c r="F14" s="120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120"/>
      <c r="H14" s="120"/>
      <c r="I14" s="120"/>
      <c r="J14" s="120"/>
      <c r="K14" s="120"/>
      <c r="L14" s="120"/>
      <c r="M14" s="120"/>
      <c r="N14" s="120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34</v>
      </c>
      <c r="R14" s="208" t="str">
        <f t="array" aca="1" ref="R14" ca="1">IFERROR(INDEX($A:$A,SMALL(IF($A$1:$A$64&lt;&gt;"",ROW($A$1:$A$64)),ROW(A14))),"")</f>
        <v/>
      </c>
      <c r="S14" s="208" t="str">
        <f t="shared" ca="1" si="0"/>
        <v/>
      </c>
      <c r="T14" s="208" t="str">
        <f t="shared" ca="1" si="1"/>
        <v/>
      </c>
    </row>
    <row r="15" spans="1:20">
      <c r="A15" s="120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120" t="str">
        <f t="array" aca="1" ref="B15" ca="1">IF(AND(B7&lt;&gt;"",O15&lt;&gt;0),
IF(INDIRECT("'数出表_Excel（アレルギー入力）'!"&amp;P15&amp;"147")&lt;&gt;F7,B7,""),"")</f>
        <v/>
      </c>
      <c r="C15" s="120"/>
      <c r="D15" s="120"/>
      <c r="E15" s="120"/>
      <c r="F15" s="120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120"/>
      <c r="H15" s="120"/>
      <c r="I15" s="120"/>
      <c r="J15" s="120"/>
      <c r="K15" s="120"/>
      <c r="L15" s="120"/>
      <c r="M15" s="120"/>
      <c r="N15" s="120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35</v>
      </c>
      <c r="R15" s="208" t="str">
        <f t="array" aca="1" ref="R15" ca="1">IFERROR(INDEX($A:$A,SMALL(IF($A$1:$A$64&lt;&gt;"",ROW($A$1:$A$64)),ROW(A15))),"")</f>
        <v/>
      </c>
      <c r="S15" s="208" t="str">
        <f t="shared" ca="1" si="0"/>
        <v/>
      </c>
      <c r="T15" s="208" t="str">
        <f t="shared" ca="1" si="1"/>
        <v/>
      </c>
    </row>
    <row r="16" spans="1:20">
      <c r="A16" s="120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120" t="str">
        <f t="array" aca="1" ref="B16" ca="1">IF(AND(B8&lt;&gt;"",O16&lt;&gt;0),
IF(INDIRECT("'数出表_Excel（アレルギー入力）'!"&amp;P16&amp;"147")&lt;&gt;F8,B8,""),"")</f>
        <v/>
      </c>
      <c r="C16" s="120"/>
      <c r="D16" s="120"/>
      <c r="E16" s="120"/>
      <c r="F16" s="120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120"/>
      <c r="H16" s="120"/>
      <c r="I16" s="120"/>
      <c r="J16" s="120"/>
      <c r="K16" s="120"/>
      <c r="L16" s="120"/>
      <c r="M16" s="120"/>
      <c r="N16" s="120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36</v>
      </c>
    </row>
    <row r="17" spans="1:16">
      <c r="A17" s="121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121" t="str">
        <f t="array" aca="1" ref="B17" ca="1">IF(AND(B9&lt;&gt;"",O17&lt;&gt;0),
IF(INDIRECT("'数出表_Excel（アレルギー入力）'!"&amp;P17&amp;"147")&lt;&gt;F9,B9,""),"")</f>
        <v/>
      </c>
      <c r="C17" s="121"/>
      <c r="D17" s="121"/>
      <c r="E17" s="121"/>
      <c r="F17" s="121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121"/>
      <c r="H17" s="121"/>
      <c r="I17" s="121"/>
      <c r="J17" s="121"/>
      <c r="K17" s="121"/>
      <c r="L17" s="121"/>
      <c r="M17" s="121"/>
      <c r="N17" s="121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29</v>
      </c>
    </row>
    <row r="18" spans="1:16">
      <c r="A18" s="121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121" t="str">
        <f t="array" aca="1" ref="B18" ca="1">IF(AND(B10&lt;&gt;"",O18&lt;&gt;0),
IF(INDIRECT("'数出表_Excel（アレルギー入力）'!"&amp;P18&amp;"147")&lt;&gt;F10,B10,""),"")</f>
        <v/>
      </c>
      <c r="C18" s="121"/>
      <c r="D18" s="121"/>
      <c r="E18" s="121"/>
      <c r="F18" s="121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121"/>
      <c r="H18" s="121"/>
      <c r="I18" s="121"/>
      <c r="J18" s="121"/>
      <c r="K18" s="121"/>
      <c r="L18" s="121"/>
      <c r="M18" s="121"/>
      <c r="N18" s="121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30</v>
      </c>
    </row>
    <row r="19" spans="1:16">
      <c r="A19" s="121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121" t="str">
        <f t="array" aca="1" ref="B19" ca="1">IF(AND(B11&lt;&gt;"",O19&lt;&gt;0),
IF(INDIRECT("'数出表_Excel（アレルギー入力）'!"&amp;P19&amp;"147")&lt;&gt;F11,B11,""),"")</f>
        <v/>
      </c>
      <c r="C19" s="121"/>
      <c r="D19" s="121"/>
      <c r="E19" s="121"/>
      <c r="F19" s="121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121"/>
      <c r="H19" s="121"/>
      <c r="I19" s="121"/>
      <c r="J19" s="121"/>
      <c r="K19" s="121"/>
      <c r="L19" s="121"/>
      <c r="M19" s="121"/>
      <c r="N19" s="121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31</v>
      </c>
    </row>
    <row r="20" spans="1:16">
      <c r="A20" s="121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121" t="str">
        <f t="array" aca="1" ref="B20" ca="1">IF(AND(B12&lt;&gt;"",O20&lt;&gt;0),
IF(INDIRECT("'数出表_Excel（アレルギー入力）'!"&amp;P20&amp;"147")&lt;&gt;F12,B12,""),"")</f>
        <v/>
      </c>
      <c r="C20" s="121"/>
      <c r="D20" s="121"/>
      <c r="E20" s="121"/>
      <c r="F20" s="121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121"/>
      <c r="H20" s="121"/>
      <c r="I20" s="121"/>
      <c r="J20" s="121"/>
      <c r="K20" s="121"/>
      <c r="L20" s="121"/>
      <c r="M20" s="121"/>
      <c r="N20" s="121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32</v>
      </c>
    </row>
    <row r="21" spans="1:16">
      <c r="A21" s="121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121" t="str">
        <f t="array" aca="1" ref="B21" ca="1">IF(AND(B13&lt;&gt;"",O21&lt;&gt;0),
IF(INDIRECT("'数出表_Excel（アレルギー入力）'!"&amp;P21&amp;"147")&lt;&gt;F13,B13,""),"")</f>
        <v/>
      </c>
      <c r="C21" s="121"/>
      <c r="D21" s="121"/>
      <c r="E21" s="121"/>
      <c r="F21" s="121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121"/>
      <c r="H21" s="121"/>
      <c r="I21" s="121"/>
      <c r="J21" s="121"/>
      <c r="K21" s="121"/>
      <c r="L21" s="121"/>
      <c r="M21" s="121"/>
      <c r="N21" s="121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33</v>
      </c>
    </row>
    <row r="22" spans="1:16">
      <c r="A22" s="121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121" t="str">
        <f t="array" aca="1" ref="B22" ca="1">IF(AND(B14&lt;&gt;"",O22&lt;&gt;0),
IF(INDIRECT("'数出表_Excel（アレルギー入力）'!"&amp;P22&amp;"147")&lt;&gt;F14,B14,""),"")</f>
        <v/>
      </c>
      <c r="C22" s="121"/>
      <c r="D22" s="121"/>
      <c r="E22" s="121"/>
      <c r="F22" s="121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121"/>
      <c r="H22" s="121"/>
      <c r="I22" s="121"/>
      <c r="J22" s="121"/>
      <c r="K22" s="121"/>
      <c r="L22" s="121"/>
      <c r="M22" s="121"/>
      <c r="N22" s="121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34</v>
      </c>
    </row>
    <row r="23" spans="1:16">
      <c r="A23" s="121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121" t="str">
        <f t="array" aca="1" ref="B23" ca="1">IF(AND(B15&lt;&gt;"",O23&lt;&gt;0),
IF(INDIRECT("'数出表_Excel（アレルギー入力）'!"&amp;P23&amp;"147")&lt;&gt;F15,B15,""),"")</f>
        <v/>
      </c>
      <c r="C23" s="121"/>
      <c r="D23" s="121"/>
      <c r="E23" s="121"/>
      <c r="F23" s="121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121"/>
      <c r="H23" s="121"/>
      <c r="I23" s="121"/>
      <c r="J23" s="121"/>
      <c r="K23" s="121"/>
      <c r="L23" s="121"/>
      <c r="M23" s="121"/>
      <c r="N23" s="121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35</v>
      </c>
    </row>
    <row r="24" spans="1:16">
      <c r="A24" s="121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121" t="str">
        <f t="array" aca="1" ref="B24" ca="1">IF(AND(B16&lt;&gt;"",O24&lt;&gt;0),
IF(INDIRECT("'数出表_Excel（アレルギー入力）'!"&amp;P24&amp;"147")&lt;&gt;F16,B16,""),"")</f>
        <v/>
      </c>
      <c r="C24" s="121"/>
      <c r="D24" s="121"/>
      <c r="E24" s="121"/>
      <c r="F24" s="121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121"/>
      <c r="H24" s="121"/>
      <c r="I24" s="121"/>
      <c r="J24" s="121"/>
      <c r="K24" s="121"/>
      <c r="L24" s="121"/>
      <c r="M24" s="121"/>
      <c r="N24" s="121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36</v>
      </c>
    </row>
    <row r="25" spans="1:16">
      <c r="A25" s="192" t="str">
        <f t="array" aca="1" ref="A25" ca="1">IF(F25&lt;&gt;"",
IF(LEFT(INDIRECT("'数出表_Excel（アレルギー入力）'!A"&amp;MATCH(F25,INDIRECT("'数出表_Excel（アレルギー入力）'!"&amp;P25&amp;":"&amp;P25&amp;""),0)),2)="博多",
LEFT(INDIRECT("'数出表_Excel（アレルギー入力）'!A"&amp;MATCH(F25,INDIRECT("'数出表_Excel（アレルギー入力）'!"&amp;P25&amp;":"&amp;P25&amp;""),0)),FIND("週",INDIRECT("'数出表_Excel（アレルギー入力）'!A"&amp;MATCH(F25,INDIRECT("'数出表_Excel（アレルギー入力）'!"&amp;P25&amp;":"&amp;P25&amp;""),0)))-1),
INDIRECT("'数出表_Excel（アレルギー入力）'!A"&amp;MATCH(F25,INDIRECT("'数出表_Excel（アレルギー入力）'!"&amp;P25&amp;":"&amp;P25&amp;""),0))),"")</f>
        <v/>
      </c>
      <c r="B25" s="192" t="str">
        <f t="array" aca="1" ref="B25" ca="1">IF(AND(B17&lt;&gt;"",O25&lt;&gt;0),
IF(INDIRECT("'数出表_Excel（アレルギー入力）'!"&amp;P25&amp;"147")&lt;&gt;F17,B17,""),"")</f>
        <v/>
      </c>
      <c r="C25" s="192"/>
      <c r="D25" s="192"/>
      <c r="E25" s="192"/>
      <c r="F25" s="192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192"/>
      <c r="H25" s="192"/>
      <c r="I25" s="192"/>
      <c r="J25" s="192"/>
      <c r="K25" s="192"/>
      <c r="L25" s="192"/>
      <c r="M25" s="192"/>
      <c r="N25" s="192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29</v>
      </c>
    </row>
    <row r="26" spans="1:16">
      <c r="A26" s="192" t="str">
        <f t="array" aca="1" ref="A26" ca="1">IF(F26&lt;&gt;"",
IF(LEFT(INDIRECT("'数出表_Excel（アレルギー入力）'!A"&amp;MATCH(F26,INDIRECT("'数出表_Excel（アレルギー入力）'!"&amp;P26&amp;":"&amp;P26&amp;""),0)),2)="博多",
LEFT(INDIRECT("'数出表_Excel（アレルギー入力）'!A"&amp;MATCH(F26,INDIRECT("'数出表_Excel（アレルギー入力）'!"&amp;P26&amp;":"&amp;P26&amp;""),0)),FIND("週",INDIRECT("'数出表_Excel（アレルギー入力）'!A"&amp;MATCH(F26,INDIRECT("'数出表_Excel（アレルギー入力）'!"&amp;P26&amp;":"&amp;P26&amp;""),0)))-1),
INDIRECT("'数出表_Excel（アレルギー入力）'!A"&amp;MATCH(F26,INDIRECT("'数出表_Excel（アレルギー入力）'!"&amp;P26&amp;":"&amp;P26&amp;""),0))),"")</f>
        <v/>
      </c>
      <c r="B26" s="192" t="str">
        <f t="array" aca="1" ref="B26" ca="1">IF(AND(B18&lt;&gt;"",O26&lt;&gt;0),
IF(INDIRECT("'数出表_Excel（アレルギー入力）'!"&amp;P26&amp;"147")&lt;&gt;F18,B18,""),"")</f>
        <v/>
      </c>
      <c r="C26" s="192"/>
      <c r="D26" s="192"/>
      <c r="E26" s="192"/>
      <c r="F26" s="192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192"/>
      <c r="H26" s="192"/>
      <c r="I26" s="192"/>
      <c r="J26" s="192"/>
      <c r="K26" s="192"/>
      <c r="L26" s="192"/>
      <c r="M26" s="192"/>
      <c r="N26" s="192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30</v>
      </c>
    </row>
    <row r="27" spans="1:16">
      <c r="A27" s="192" t="str">
        <f t="array" aca="1" ref="A27" ca="1">IF(F27&lt;&gt;"",
IF(LEFT(INDIRECT("'数出表_Excel（アレルギー入力）'!A"&amp;MATCH(F27,INDIRECT("'数出表_Excel（アレルギー入力）'!"&amp;P27&amp;":"&amp;P27&amp;""),0)),2)="博多",
LEFT(INDIRECT("'数出表_Excel（アレルギー入力）'!A"&amp;MATCH(F27,INDIRECT("'数出表_Excel（アレルギー入力）'!"&amp;P27&amp;":"&amp;P27&amp;""),0)),FIND("週",INDIRECT("'数出表_Excel（アレルギー入力）'!A"&amp;MATCH(F27,INDIRECT("'数出表_Excel（アレルギー入力）'!"&amp;P27&amp;":"&amp;P27&amp;""),0)))-1),
INDIRECT("'数出表_Excel（アレルギー入力）'!A"&amp;MATCH(F27,INDIRECT("'数出表_Excel（アレルギー入力）'!"&amp;P27&amp;":"&amp;P27&amp;""),0))),"")</f>
        <v/>
      </c>
      <c r="B27" s="192" t="str">
        <f t="array" aca="1" ref="B27" ca="1">IF(AND(B19&lt;&gt;"",O27&lt;&gt;0),
IF(INDIRECT("'数出表_Excel（アレルギー入力）'!"&amp;P27&amp;"147")&lt;&gt;F19,B19,""),"")</f>
        <v/>
      </c>
      <c r="C27" s="192"/>
      <c r="D27" s="192"/>
      <c r="E27" s="192"/>
      <c r="F27" s="192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192"/>
      <c r="H27" s="192"/>
      <c r="I27" s="192"/>
      <c r="J27" s="192"/>
      <c r="K27" s="192"/>
      <c r="L27" s="192"/>
      <c r="M27" s="192"/>
      <c r="N27" s="192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31</v>
      </c>
    </row>
    <row r="28" spans="1:16">
      <c r="A28" s="192" t="str">
        <f t="array" aca="1" ref="A28" ca="1">IF(F28&lt;&gt;"",
IF(LEFT(INDIRECT("'数出表_Excel（アレルギー入力）'!A"&amp;MATCH(F28,INDIRECT("'数出表_Excel（アレルギー入力）'!"&amp;P28&amp;":"&amp;P28&amp;""),0)),2)="博多",
LEFT(INDIRECT("'数出表_Excel（アレルギー入力）'!A"&amp;MATCH(F28,INDIRECT("'数出表_Excel（アレルギー入力）'!"&amp;P28&amp;":"&amp;P28&amp;""),0)),FIND("週",INDIRECT("'数出表_Excel（アレルギー入力）'!A"&amp;MATCH(F28,INDIRECT("'数出表_Excel（アレルギー入力）'!"&amp;P28&amp;":"&amp;P28&amp;""),0)))-1),
INDIRECT("'数出表_Excel（アレルギー入力）'!A"&amp;MATCH(F28,INDIRECT("'数出表_Excel（アレルギー入力）'!"&amp;P28&amp;":"&amp;P28&amp;""),0))),"")</f>
        <v/>
      </c>
      <c r="B28" s="192" t="str">
        <f t="array" aca="1" ref="B28" ca="1">IF(AND(B20&lt;&gt;"",O28&lt;&gt;0),
IF(INDIRECT("'数出表_Excel（アレルギー入力）'!"&amp;P28&amp;"147")&lt;&gt;F20,B20,""),"")</f>
        <v/>
      </c>
      <c r="C28" s="192"/>
      <c r="D28" s="192"/>
      <c r="E28" s="192"/>
      <c r="F28" s="192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192"/>
      <c r="H28" s="192"/>
      <c r="I28" s="192"/>
      <c r="J28" s="192"/>
      <c r="K28" s="192"/>
      <c r="L28" s="192"/>
      <c r="M28" s="192"/>
      <c r="N28" s="192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32</v>
      </c>
    </row>
    <row r="29" spans="1:16">
      <c r="A29" s="192" t="str">
        <f t="array" aca="1" ref="A29" ca="1">IF(F29&lt;&gt;"",
IF(LEFT(INDIRECT("'数出表_Excel（アレルギー入力）'!A"&amp;MATCH(F29,INDIRECT("'数出表_Excel（アレルギー入力）'!"&amp;P29&amp;":"&amp;P29&amp;""),0)),2)="博多",
LEFT(INDIRECT("'数出表_Excel（アレルギー入力）'!A"&amp;MATCH(F29,INDIRECT("'数出表_Excel（アレルギー入力）'!"&amp;P29&amp;":"&amp;P29&amp;""),0)),FIND("週",INDIRECT("'数出表_Excel（アレルギー入力）'!A"&amp;MATCH(F29,INDIRECT("'数出表_Excel（アレルギー入力）'!"&amp;P29&amp;":"&amp;P29&amp;""),0)))-1),
INDIRECT("'数出表_Excel（アレルギー入力）'!A"&amp;MATCH(F29,INDIRECT("'数出表_Excel（アレルギー入力）'!"&amp;P29&amp;":"&amp;P29&amp;""),0))),"")</f>
        <v/>
      </c>
      <c r="B29" s="192" t="str">
        <f t="array" aca="1" ref="B29" ca="1">IF(AND(B21&lt;&gt;"",O29&lt;&gt;0),
IF(INDIRECT("'数出表_Excel（アレルギー入力）'!"&amp;P29&amp;"147")&lt;&gt;F21,B21,""),"")</f>
        <v/>
      </c>
      <c r="C29" s="192"/>
      <c r="D29" s="192"/>
      <c r="E29" s="192"/>
      <c r="F29" s="192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192"/>
      <c r="H29" s="192"/>
      <c r="I29" s="192"/>
      <c r="J29" s="192"/>
      <c r="K29" s="192"/>
      <c r="L29" s="192"/>
      <c r="M29" s="192"/>
      <c r="N29" s="192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33</v>
      </c>
    </row>
    <row r="30" spans="1:16">
      <c r="A30" s="192" t="str">
        <f t="array" aca="1" ref="A30" ca="1">IF(F30&lt;&gt;"",
IF(LEFT(INDIRECT("'数出表_Excel（アレルギー入力）'!A"&amp;MATCH(F30,INDIRECT("'数出表_Excel（アレルギー入力）'!"&amp;P30&amp;":"&amp;P30&amp;""),0)),2)="博多",
LEFT(INDIRECT("'数出表_Excel（アレルギー入力）'!A"&amp;MATCH(F30,INDIRECT("'数出表_Excel（アレルギー入力）'!"&amp;P30&amp;":"&amp;P30&amp;""),0)),FIND("週",INDIRECT("'数出表_Excel（アレルギー入力）'!A"&amp;MATCH(F30,INDIRECT("'数出表_Excel（アレルギー入力）'!"&amp;P30&amp;":"&amp;P30&amp;""),0)))-1),
INDIRECT("'数出表_Excel（アレルギー入力）'!A"&amp;MATCH(F30,INDIRECT("'数出表_Excel（アレルギー入力）'!"&amp;P30&amp;":"&amp;P30&amp;""),0))),"")</f>
        <v/>
      </c>
      <c r="B30" s="192" t="str">
        <f t="array" aca="1" ref="B30" ca="1">IF(AND(B22&lt;&gt;"",O30&lt;&gt;0),
IF(INDIRECT("'数出表_Excel（アレルギー入力）'!"&amp;P30&amp;"147")&lt;&gt;F22,B22,""),"")</f>
        <v/>
      </c>
      <c r="C30" s="192"/>
      <c r="D30" s="192"/>
      <c r="E30" s="192"/>
      <c r="F30" s="192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192"/>
      <c r="H30" s="192"/>
      <c r="I30" s="192"/>
      <c r="J30" s="192"/>
      <c r="K30" s="192"/>
      <c r="L30" s="192"/>
      <c r="M30" s="192"/>
      <c r="N30" s="192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34</v>
      </c>
    </row>
    <row r="31" spans="1:16">
      <c r="A31" s="192" t="str">
        <f t="array" aca="1" ref="A31" ca="1">IF(F31&lt;&gt;"",
IF(LEFT(INDIRECT("'数出表_Excel（アレルギー入力）'!A"&amp;MATCH(F31,INDIRECT("'数出表_Excel（アレルギー入力）'!"&amp;P31&amp;":"&amp;P31&amp;""),0)),2)="博多",
LEFT(INDIRECT("'数出表_Excel（アレルギー入力）'!A"&amp;MATCH(F31,INDIRECT("'数出表_Excel（アレルギー入力）'!"&amp;P31&amp;":"&amp;P31&amp;""),0)),FIND("週",INDIRECT("'数出表_Excel（アレルギー入力）'!A"&amp;MATCH(F31,INDIRECT("'数出表_Excel（アレルギー入力）'!"&amp;P31&amp;":"&amp;P31&amp;""),0)))-1),
INDIRECT("'数出表_Excel（アレルギー入力）'!A"&amp;MATCH(F31,INDIRECT("'数出表_Excel（アレルギー入力）'!"&amp;P31&amp;":"&amp;P31&amp;""),0))),"")</f>
        <v/>
      </c>
      <c r="B31" s="192" t="str">
        <f t="array" aca="1" ref="B31" ca="1">IF(AND(B23&lt;&gt;"",O31&lt;&gt;0),
IF(INDIRECT("'数出表_Excel（アレルギー入力）'!"&amp;P31&amp;"147")&lt;&gt;F23,B23,""),"")</f>
        <v/>
      </c>
      <c r="C31" s="192"/>
      <c r="D31" s="192"/>
      <c r="E31" s="192"/>
      <c r="F31" s="192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192"/>
      <c r="H31" s="192"/>
      <c r="I31" s="192"/>
      <c r="J31" s="192"/>
      <c r="K31" s="192"/>
      <c r="L31" s="192"/>
      <c r="M31" s="192"/>
      <c r="N31" s="192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35</v>
      </c>
    </row>
    <row r="32" spans="1:16">
      <c r="A32" s="192" t="str">
        <f t="array" aca="1" ref="A32" ca="1">IF(F32&lt;&gt;"",
IF(LEFT(INDIRECT("'数出表_Excel（アレルギー入力）'!A"&amp;MATCH(F32,INDIRECT("'数出表_Excel（アレルギー入力）'!"&amp;P32&amp;":"&amp;P32&amp;""),0)),2)="博多",
LEFT(INDIRECT("'数出表_Excel（アレルギー入力）'!A"&amp;MATCH(F32,INDIRECT("'数出表_Excel（アレルギー入力）'!"&amp;P32&amp;":"&amp;P32&amp;""),0)),FIND("週",INDIRECT("'数出表_Excel（アレルギー入力）'!A"&amp;MATCH(F32,INDIRECT("'数出表_Excel（アレルギー入力）'!"&amp;P32&amp;":"&amp;P32&amp;""),0)))-1),
INDIRECT("'数出表_Excel（アレルギー入力）'!A"&amp;MATCH(F32,INDIRECT("'数出表_Excel（アレルギー入力）'!"&amp;P32&amp;":"&amp;P32&amp;""),0))),"")</f>
        <v/>
      </c>
      <c r="B32" s="192" t="str">
        <f t="array" aca="1" ref="B32" ca="1">IF(AND(B24&lt;&gt;"",O32&lt;&gt;0),
IF(INDIRECT("'数出表_Excel（アレルギー入力）'!"&amp;P32&amp;"147")&lt;&gt;F24,B24,""),"")</f>
        <v/>
      </c>
      <c r="C32" s="192"/>
      <c r="D32" s="192"/>
      <c r="E32" s="192"/>
      <c r="F32" s="192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192"/>
      <c r="H32" s="192"/>
      <c r="I32" s="192"/>
      <c r="J32" s="192"/>
      <c r="K32" s="192"/>
      <c r="L32" s="192"/>
      <c r="M32" s="192"/>
      <c r="N32" s="192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36</v>
      </c>
    </row>
    <row r="33" spans="1:16">
      <c r="A33" s="205" t="str">
        <f t="array" aca="1" ref="A33" ca="1">IF(F33&lt;&gt;"",
IF(LEFT(INDIRECT("'数出表_Excel（アレルギー入力）'!A"&amp;MATCH(F33,INDIRECT("'数出表_Excel（アレルギー入力）'!"&amp;P33&amp;":"&amp;P33&amp;""),0)),2)="博多",
LEFT(INDIRECT("'数出表_Excel（アレルギー入力）'!A"&amp;MATCH(F33,INDIRECT("'数出表_Excel（アレルギー入力）'!"&amp;P33&amp;":"&amp;P33&amp;""),0)),FIND("週",INDIRECT("'数出表_Excel（アレルギー入力）'!A"&amp;MATCH(F33,INDIRECT("'数出表_Excel（アレルギー入力）'!"&amp;P33&amp;":"&amp;P33&amp;""),0)))-1),
INDIRECT("'数出表_Excel（アレルギー入力）'!A"&amp;MATCH(F33,INDIRECT("'数出表_Excel（アレルギー入力）'!"&amp;P33&amp;":"&amp;P33&amp;""),0))),"")</f>
        <v/>
      </c>
      <c r="B33" s="205" t="str">
        <f t="array" aca="1" ref="B33" ca="1">IF(AND(B25&lt;&gt;"",O33&lt;&gt;0),
IF(INDIRECT("'数出表_Excel（アレルギー入力）'!"&amp;P33&amp;"147")&lt;&gt;F25,B25,""),"")</f>
        <v/>
      </c>
      <c r="C33" s="205"/>
      <c r="D33" s="205"/>
      <c r="E33" s="205"/>
      <c r="F33" s="205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205"/>
      <c r="H33" s="205"/>
      <c r="I33" s="205"/>
      <c r="J33" s="205"/>
      <c r="K33" s="205"/>
      <c r="L33" s="205"/>
      <c r="M33" s="205"/>
      <c r="N33" s="205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29</v>
      </c>
    </row>
    <row r="34" spans="1:16">
      <c r="A34" s="205" t="str">
        <f t="array" aca="1" ref="A34" ca="1">IF(F34&lt;&gt;"",
IF(LEFT(INDIRECT("'数出表_Excel（アレルギー入力）'!A"&amp;MATCH(F34,INDIRECT("'数出表_Excel（アレルギー入力）'!"&amp;P34&amp;":"&amp;P34&amp;""),0)),2)="博多",
LEFT(INDIRECT("'数出表_Excel（アレルギー入力）'!A"&amp;MATCH(F34,INDIRECT("'数出表_Excel（アレルギー入力）'!"&amp;P34&amp;":"&amp;P34&amp;""),0)),FIND("週",INDIRECT("'数出表_Excel（アレルギー入力）'!A"&amp;MATCH(F34,INDIRECT("'数出表_Excel（アレルギー入力）'!"&amp;P34&amp;":"&amp;P34&amp;""),0)))-1),
INDIRECT("'数出表_Excel（アレルギー入力）'!A"&amp;MATCH(F34,INDIRECT("'数出表_Excel（アレルギー入力）'!"&amp;P34&amp;":"&amp;P34&amp;""),0))),"")</f>
        <v/>
      </c>
      <c r="B34" s="205" t="str">
        <f t="array" aca="1" ref="B34" ca="1">IF(AND(B26&lt;&gt;"",O34&lt;&gt;0),
IF(INDIRECT("'数出表_Excel（アレルギー入力）'!"&amp;P34&amp;"147")&lt;&gt;F26,B26,""),"")</f>
        <v/>
      </c>
      <c r="C34" s="205"/>
      <c r="D34" s="205"/>
      <c r="E34" s="205"/>
      <c r="F34" s="205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205"/>
      <c r="H34" s="205"/>
      <c r="I34" s="205"/>
      <c r="J34" s="205"/>
      <c r="K34" s="205"/>
      <c r="L34" s="205"/>
      <c r="M34" s="205"/>
      <c r="N34" s="205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30</v>
      </c>
    </row>
    <row r="35" spans="1:16">
      <c r="A35" s="205" t="str">
        <f t="array" aca="1" ref="A35" ca="1">IF(F35&lt;&gt;"",
IF(LEFT(INDIRECT("'数出表_Excel（アレルギー入力）'!A"&amp;MATCH(F35,INDIRECT("'数出表_Excel（アレルギー入力）'!"&amp;P35&amp;":"&amp;P35&amp;""),0)),2)="博多",
LEFT(INDIRECT("'数出表_Excel（アレルギー入力）'!A"&amp;MATCH(F35,INDIRECT("'数出表_Excel（アレルギー入力）'!"&amp;P35&amp;":"&amp;P35&amp;""),0)),FIND("週",INDIRECT("'数出表_Excel（アレルギー入力）'!A"&amp;MATCH(F35,INDIRECT("'数出表_Excel（アレルギー入力）'!"&amp;P35&amp;":"&amp;P35&amp;""),0)))-1),
INDIRECT("'数出表_Excel（アレルギー入力）'!A"&amp;MATCH(F35,INDIRECT("'数出表_Excel（アレルギー入力）'!"&amp;P35&amp;":"&amp;P35&amp;""),0))),"")</f>
        <v/>
      </c>
      <c r="B35" s="205" t="str">
        <f t="array" aca="1" ref="B35" ca="1">IF(AND(B27&lt;&gt;"",O35&lt;&gt;0),
IF(INDIRECT("'数出表_Excel（アレルギー入力）'!"&amp;P35&amp;"147")&lt;&gt;F27,B27,""),"")</f>
        <v/>
      </c>
      <c r="C35" s="205"/>
      <c r="D35" s="205"/>
      <c r="E35" s="205"/>
      <c r="F35" s="205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205"/>
      <c r="H35" s="205"/>
      <c r="I35" s="205"/>
      <c r="J35" s="205"/>
      <c r="K35" s="205"/>
      <c r="L35" s="205"/>
      <c r="M35" s="205"/>
      <c r="N35" s="205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31</v>
      </c>
    </row>
    <row r="36" spans="1:16">
      <c r="A36" s="205" t="str">
        <f t="array" aca="1" ref="A36" ca="1">IF(F36&lt;&gt;"",
IF(LEFT(INDIRECT("'数出表_Excel（アレルギー入力）'!A"&amp;MATCH(F36,INDIRECT("'数出表_Excel（アレルギー入力）'!"&amp;P36&amp;":"&amp;P36&amp;""),0)),2)="博多",
LEFT(INDIRECT("'数出表_Excel（アレルギー入力）'!A"&amp;MATCH(F36,INDIRECT("'数出表_Excel（アレルギー入力）'!"&amp;P36&amp;":"&amp;P36&amp;""),0)),FIND("週",INDIRECT("'数出表_Excel（アレルギー入力）'!A"&amp;MATCH(F36,INDIRECT("'数出表_Excel（アレルギー入力）'!"&amp;P36&amp;":"&amp;P36&amp;""),0)))-1),
INDIRECT("'数出表_Excel（アレルギー入力）'!A"&amp;MATCH(F36,INDIRECT("'数出表_Excel（アレルギー入力）'!"&amp;P36&amp;":"&amp;P36&amp;""),0))),"")</f>
        <v/>
      </c>
      <c r="B36" s="205" t="str">
        <f t="array" aca="1" ref="B36" ca="1">IF(AND(B28&lt;&gt;"",O36&lt;&gt;0),
IF(INDIRECT("'数出表_Excel（アレルギー入力）'!"&amp;P36&amp;"147")&lt;&gt;F28,B28,""),"")</f>
        <v/>
      </c>
      <c r="C36" s="205"/>
      <c r="D36" s="205"/>
      <c r="E36" s="205"/>
      <c r="F36" s="205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205"/>
      <c r="H36" s="205"/>
      <c r="I36" s="205"/>
      <c r="J36" s="205"/>
      <c r="K36" s="205"/>
      <c r="L36" s="205"/>
      <c r="M36" s="205"/>
      <c r="N36" s="205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32</v>
      </c>
    </row>
    <row r="37" spans="1:16">
      <c r="A37" s="205" t="str">
        <f t="array" aca="1" ref="A37" ca="1">IF(F37&lt;&gt;"",
IF(LEFT(INDIRECT("'数出表_Excel（アレルギー入力）'!A"&amp;MATCH(F37,INDIRECT("'数出表_Excel（アレルギー入力）'!"&amp;P37&amp;":"&amp;P37&amp;""),0)),2)="博多",
LEFT(INDIRECT("'数出表_Excel（アレルギー入力）'!A"&amp;MATCH(F37,INDIRECT("'数出表_Excel（アレルギー入力）'!"&amp;P37&amp;":"&amp;P37&amp;""),0)),FIND("週",INDIRECT("'数出表_Excel（アレルギー入力）'!A"&amp;MATCH(F37,INDIRECT("'数出表_Excel（アレルギー入力）'!"&amp;P37&amp;":"&amp;P37&amp;""),0)))-1),
INDIRECT("'数出表_Excel（アレルギー入力）'!A"&amp;MATCH(F37,INDIRECT("'数出表_Excel（アレルギー入力）'!"&amp;P37&amp;":"&amp;P37&amp;""),0))),"")</f>
        <v/>
      </c>
      <c r="B37" s="205" t="str">
        <f t="array" aca="1" ref="B37" ca="1">IF(AND(B29&lt;&gt;"",O37&lt;&gt;0),
IF(INDIRECT("'数出表_Excel（アレルギー入力）'!"&amp;P37&amp;"147")&lt;&gt;F29,B29,""),"")</f>
        <v/>
      </c>
      <c r="C37" s="205"/>
      <c r="D37" s="205"/>
      <c r="E37" s="205"/>
      <c r="F37" s="205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205"/>
      <c r="H37" s="205"/>
      <c r="I37" s="205"/>
      <c r="J37" s="205"/>
      <c r="K37" s="205"/>
      <c r="L37" s="205"/>
      <c r="M37" s="205"/>
      <c r="N37" s="205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33</v>
      </c>
    </row>
    <row r="38" spans="1:16">
      <c r="A38" s="205" t="str">
        <f t="array" aca="1" ref="A38" ca="1">IF(F38&lt;&gt;"",
IF(LEFT(INDIRECT("'数出表_Excel（アレルギー入力）'!A"&amp;MATCH(F38,INDIRECT("'数出表_Excel（アレルギー入力）'!"&amp;P38&amp;":"&amp;P38&amp;""),0)),2)="博多",
LEFT(INDIRECT("'数出表_Excel（アレルギー入力）'!A"&amp;MATCH(F38,INDIRECT("'数出表_Excel（アレルギー入力）'!"&amp;P38&amp;":"&amp;P38&amp;""),0)),FIND("週",INDIRECT("'数出表_Excel（アレルギー入力）'!A"&amp;MATCH(F38,INDIRECT("'数出表_Excel（アレルギー入力）'!"&amp;P38&amp;":"&amp;P38&amp;""),0)))-1),
INDIRECT("'数出表_Excel（アレルギー入力）'!A"&amp;MATCH(F38,INDIRECT("'数出表_Excel（アレルギー入力）'!"&amp;P38&amp;":"&amp;P38&amp;""),0))),"")</f>
        <v/>
      </c>
      <c r="B38" s="205" t="str">
        <f t="array" aca="1" ref="B38" ca="1">IF(AND(B30&lt;&gt;"",O38&lt;&gt;0),
IF(INDIRECT("'数出表_Excel（アレルギー入力）'!"&amp;P38&amp;"147")&lt;&gt;F30,B30,""),"")</f>
        <v/>
      </c>
      <c r="C38" s="205"/>
      <c r="D38" s="205"/>
      <c r="E38" s="205"/>
      <c r="F38" s="205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205"/>
      <c r="H38" s="205"/>
      <c r="I38" s="205"/>
      <c r="J38" s="205"/>
      <c r="K38" s="205"/>
      <c r="L38" s="205"/>
      <c r="M38" s="205"/>
      <c r="N38" s="205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34</v>
      </c>
    </row>
    <row r="39" spans="1:16">
      <c r="A39" s="205" t="str">
        <f t="array" aca="1" ref="A39" ca="1">IF(F39&lt;&gt;"",
IF(LEFT(INDIRECT("'数出表_Excel（アレルギー入力）'!A"&amp;MATCH(F39,INDIRECT("'数出表_Excel（アレルギー入力）'!"&amp;P39&amp;":"&amp;P39&amp;""),0)),2)="博多",
LEFT(INDIRECT("'数出表_Excel（アレルギー入力）'!A"&amp;MATCH(F39,INDIRECT("'数出表_Excel（アレルギー入力）'!"&amp;P39&amp;":"&amp;P39&amp;""),0)),FIND("週",INDIRECT("'数出表_Excel（アレルギー入力）'!A"&amp;MATCH(F39,INDIRECT("'数出表_Excel（アレルギー入力）'!"&amp;P39&amp;":"&amp;P39&amp;""),0)))-1),
INDIRECT("'数出表_Excel（アレルギー入力）'!A"&amp;MATCH(F39,INDIRECT("'数出表_Excel（アレルギー入力）'!"&amp;P39&amp;":"&amp;P39&amp;""),0))),"")</f>
        <v/>
      </c>
      <c r="B39" s="205" t="str">
        <f t="array" aca="1" ref="B39" ca="1">IF(AND(B31&lt;&gt;"",O39&lt;&gt;0),
IF(INDIRECT("'数出表_Excel（アレルギー入力）'!"&amp;P39&amp;"147")&lt;&gt;F31,B31,""),"")</f>
        <v/>
      </c>
      <c r="C39" s="205"/>
      <c r="D39" s="205"/>
      <c r="E39" s="205"/>
      <c r="F39" s="205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205"/>
      <c r="H39" s="205"/>
      <c r="I39" s="205"/>
      <c r="J39" s="205"/>
      <c r="K39" s="205"/>
      <c r="L39" s="205"/>
      <c r="M39" s="205"/>
      <c r="N39" s="205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35</v>
      </c>
    </row>
    <row r="40" spans="1:16">
      <c r="A40" s="205" t="str">
        <f t="array" aca="1" ref="A40" ca="1">IF(F40&lt;&gt;"",
IF(LEFT(INDIRECT("'数出表_Excel（アレルギー入力）'!A"&amp;MATCH(F40,INDIRECT("'数出表_Excel（アレルギー入力）'!"&amp;P40&amp;":"&amp;P40&amp;""),0)),2)="博多",
LEFT(INDIRECT("'数出表_Excel（アレルギー入力）'!A"&amp;MATCH(F40,INDIRECT("'数出表_Excel（アレルギー入力）'!"&amp;P40&amp;":"&amp;P40&amp;""),0)),FIND("週",INDIRECT("'数出表_Excel（アレルギー入力）'!A"&amp;MATCH(F40,INDIRECT("'数出表_Excel（アレルギー入力）'!"&amp;P40&amp;":"&amp;P40&amp;""),0)))-1),
INDIRECT("'数出表_Excel（アレルギー入力）'!A"&amp;MATCH(F40,INDIRECT("'数出表_Excel（アレルギー入力）'!"&amp;P40&amp;":"&amp;P40&amp;""),0))),"")</f>
        <v/>
      </c>
      <c r="B40" s="205" t="str">
        <f t="array" aca="1" ref="B40" ca="1">IF(AND(B32&lt;&gt;"",O40&lt;&gt;0),
IF(INDIRECT("'数出表_Excel（アレルギー入力）'!"&amp;P40&amp;"147")&lt;&gt;F32,B32,""),"")</f>
        <v/>
      </c>
      <c r="C40" s="205"/>
      <c r="D40" s="205"/>
      <c r="E40" s="205"/>
      <c r="F40" s="205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205"/>
      <c r="H40" s="205"/>
      <c r="I40" s="205"/>
      <c r="J40" s="205"/>
      <c r="K40" s="205"/>
      <c r="L40" s="205"/>
      <c r="M40" s="205"/>
      <c r="N40" s="205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36</v>
      </c>
    </row>
    <row r="41" spans="1:16">
      <c r="A41" s="206" t="str">
        <f t="array" aca="1" ref="A41" ca="1">IF(F41&lt;&gt;"",
IF(LEFT(INDIRECT("'数出表_Excel（アレルギー入力）'!A"&amp;MATCH(F41,INDIRECT("'数出表_Excel（アレルギー入力）'!"&amp;P41&amp;":"&amp;P41&amp;""),0)),2)="博多",
LEFT(INDIRECT("'数出表_Excel（アレルギー入力）'!A"&amp;MATCH(F41,INDIRECT("'数出表_Excel（アレルギー入力）'!"&amp;P41&amp;":"&amp;P41&amp;""),0)),FIND("週",INDIRECT("'数出表_Excel（アレルギー入力）'!A"&amp;MATCH(F41,INDIRECT("'数出表_Excel（アレルギー入力）'!"&amp;P41&amp;":"&amp;P41&amp;""),0)))-1),
INDIRECT("'数出表_Excel（アレルギー入力）'!A"&amp;MATCH(F41,INDIRECT("'数出表_Excel（アレルギー入力）'!"&amp;P41&amp;":"&amp;P41&amp;""),0))),"")</f>
        <v/>
      </c>
      <c r="B41" s="206" t="str">
        <f t="array" aca="1" ref="B41" ca="1">IF(AND(B33&lt;&gt;"",O41&lt;&gt;0),
IF(INDIRECT("'数出表_Excel（アレルギー入力）'!"&amp;P41&amp;"147")&lt;&gt;F33,B33,""),"")</f>
        <v/>
      </c>
      <c r="C41" s="206"/>
      <c r="D41" s="206"/>
      <c r="E41" s="206"/>
      <c r="F41" s="206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206"/>
      <c r="H41" s="206"/>
      <c r="I41" s="206"/>
      <c r="J41" s="206"/>
      <c r="K41" s="206"/>
      <c r="L41" s="206"/>
      <c r="M41" s="206"/>
      <c r="N41" s="206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29</v>
      </c>
    </row>
    <row r="42" spans="1:16">
      <c r="A42" s="206" t="str">
        <f t="array" aca="1" ref="A42" ca="1">IF(F42&lt;&gt;"",
IF(LEFT(INDIRECT("'数出表_Excel（アレルギー入力）'!A"&amp;MATCH(F42,INDIRECT("'数出表_Excel（アレルギー入力）'!"&amp;P42&amp;":"&amp;P42&amp;""),0)),2)="博多",
LEFT(INDIRECT("'数出表_Excel（アレルギー入力）'!A"&amp;MATCH(F42,INDIRECT("'数出表_Excel（アレルギー入力）'!"&amp;P42&amp;":"&amp;P42&amp;""),0)),FIND("週",INDIRECT("'数出表_Excel（アレルギー入力）'!A"&amp;MATCH(F42,INDIRECT("'数出表_Excel（アレルギー入力）'!"&amp;P42&amp;":"&amp;P42&amp;""),0)))-1),
INDIRECT("'数出表_Excel（アレルギー入力）'!A"&amp;MATCH(F42,INDIRECT("'数出表_Excel（アレルギー入力）'!"&amp;P42&amp;":"&amp;P42&amp;""),0))),"")</f>
        <v/>
      </c>
      <c r="B42" s="206" t="str">
        <f t="array" aca="1" ref="B42" ca="1">IF(AND(B34&lt;&gt;"",O42&lt;&gt;0),
IF(INDIRECT("'数出表_Excel（アレルギー入力）'!"&amp;P42&amp;"147")&lt;&gt;F34,B34,""),"")</f>
        <v/>
      </c>
      <c r="C42" s="206"/>
      <c r="D42" s="206"/>
      <c r="E42" s="206"/>
      <c r="F42" s="206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206"/>
      <c r="H42" s="206"/>
      <c r="I42" s="206"/>
      <c r="J42" s="206"/>
      <c r="K42" s="206"/>
      <c r="L42" s="206"/>
      <c r="M42" s="206"/>
      <c r="N42" s="206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30</v>
      </c>
    </row>
    <row r="43" spans="1:16">
      <c r="A43" s="206" t="str">
        <f t="array" aca="1" ref="A43" ca="1">IF(F43&lt;&gt;"",
IF(LEFT(INDIRECT("'数出表_Excel（アレルギー入力）'!A"&amp;MATCH(F43,INDIRECT("'数出表_Excel（アレルギー入力）'!"&amp;P43&amp;":"&amp;P43&amp;""),0)),2)="博多",
LEFT(INDIRECT("'数出表_Excel（アレルギー入力）'!A"&amp;MATCH(F43,INDIRECT("'数出表_Excel（アレルギー入力）'!"&amp;P43&amp;":"&amp;P43&amp;""),0)),FIND("週",INDIRECT("'数出表_Excel（アレルギー入力）'!A"&amp;MATCH(F43,INDIRECT("'数出表_Excel（アレルギー入力）'!"&amp;P43&amp;":"&amp;P43&amp;""),0)))-1),
INDIRECT("'数出表_Excel（アレルギー入力）'!A"&amp;MATCH(F43,INDIRECT("'数出表_Excel（アレルギー入力）'!"&amp;P43&amp;":"&amp;P43&amp;""),0))),"")</f>
        <v/>
      </c>
      <c r="B43" s="206" t="str">
        <f t="array" aca="1" ref="B43" ca="1">IF(AND(B35&lt;&gt;"",O43&lt;&gt;0),
IF(INDIRECT("'数出表_Excel（アレルギー入力）'!"&amp;P43&amp;"147")&lt;&gt;F35,B35,""),"")</f>
        <v/>
      </c>
      <c r="C43" s="206"/>
      <c r="D43" s="206"/>
      <c r="E43" s="206"/>
      <c r="F43" s="206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206"/>
      <c r="H43" s="206"/>
      <c r="I43" s="206"/>
      <c r="J43" s="206"/>
      <c r="K43" s="206"/>
      <c r="L43" s="206"/>
      <c r="M43" s="206"/>
      <c r="N43" s="206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31</v>
      </c>
    </row>
    <row r="44" spans="1:16">
      <c r="A44" s="206" t="str">
        <f t="array" aca="1" ref="A44" ca="1">IF(F44&lt;&gt;"",
IF(LEFT(INDIRECT("'数出表_Excel（アレルギー入力）'!A"&amp;MATCH(F44,INDIRECT("'数出表_Excel（アレルギー入力）'!"&amp;P44&amp;":"&amp;P44&amp;""),0)),2)="博多",
LEFT(INDIRECT("'数出表_Excel（アレルギー入力）'!A"&amp;MATCH(F44,INDIRECT("'数出表_Excel（アレルギー入力）'!"&amp;P44&amp;":"&amp;P44&amp;""),0)),FIND("週",INDIRECT("'数出表_Excel（アレルギー入力）'!A"&amp;MATCH(F44,INDIRECT("'数出表_Excel（アレルギー入力）'!"&amp;P44&amp;":"&amp;P44&amp;""),0)))-1),
INDIRECT("'数出表_Excel（アレルギー入力）'!A"&amp;MATCH(F44,INDIRECT("'数出表_Excel（アレルギー入力）'!"&amp;P44&amp;":"&amp;P44&amp;""),0))),"")</f>
        <v/>
      </c>
      <c r="B44" s="206" t="str">
        <f t="array" aca="1" ref="B44" ca="1">IF(AND(B36&lt;&gt;"",O44&lt;&gt;0),
IF(INDIRECT("'数出表_Excel（アレルギー入力）'!"&amp;P44&amp;"147")&lt;&gt;F36,B36,""),"")</f>
        <v/>
      </c>
      <c r="C44" s="206"/>
      <c r="D44" s="206"/>
      <c r="E44" s="206"/>
      <c r="F44" s="206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206"/>
      <c r="H44" s="206"/>
      <c r="I44" s="206"/>
      <c r="J44" s="206"/>
      <c r="K44" s="206"/>
      <c r="L44" s="206"/>
      <c r="M44" s="206"/>
      <c r="N44" s="206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32</v>
      </c>
    </row>
    <row r="45" spans="1:16">
      <c r="A45" s="206" t="str">
        <f t="array" aca="1" ref="A45" ca="1">IF(F45&lt;&gt;"",
IF(LEFT(INDIRECT("'数出表_Excel（アレルギー入力）'!A"&amp;MATCH(F45,INDIRECT("'数出表_Excel（アレルギー入力）'!"&amp;P45&amp;":"&amp;P45&amp;""),0)),2)="博多",
LEFT(INDIRECT("'数出表_Excel（アレルギー入力）'!A"&amp;MATCH(F45,INDIRECT("'数出表_Excel（アレルギー入力）'!"&amp;P45&amp;":"&amp;P45&amp;""),0)),FIND("週",INDIRECT("'数出表_Excel（アレルギー入力）'!A"&amp;MATCH(F45,INDIRECT("'数出表_Excel（アレルギー入力）'!"&amp;P45&amp;":"&amp;P45&amp;""),0)))-1),
INDIRECT("'数出表_Excel（アレルギー入力）'!A"&amp;MATCH(F45,INDIRECT("'数出表_Excel（アレルギー入力）'!"&amp;P45&amp;":"&amp;P45&amp;""),0))),"")</f>
        <v/>
      </c>
      <c r="B45" s="206" t="str">
        <f t="array" aca="1" ref="B45" ca="1">IF(AND(B37&lt;&gt;"",O45&lt;&gt;0),
IF(INDIRECT("'数出表_Excel（アレルギー入力）'!"&amp;P45&amp;"147")&lt;&gt;F37,B37,""),"")</f>
        <v/>
      </c>
      <c r="C45" s="206"/>
      <c r="D45" s="206"/>
      <c r="E45" s="206"/>
      <c r="F45" s="206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206"/>
      <c r="H45" s="206"/>
      <c r="I45" s="206"/>
      <c r="J45" s="206"/>
      <c r="K45" s="206"/>
      <c r="L45" s="206"/>
      <c r="M45" s="206"/>
      <c r="N45" s="206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33</v>
      </c>
    </row>
    <row r="46" spans="1:16">
      <c r="A46" s="206" t="str">
        <f t="array" aca="1" ref="A46" ca="1">IF(F46&lt;&gt;"",
IF(LEFT(INDIRECT("'数出表_Excel（アレルギー入力）'!A"&amp;MATCH(F46,INDIRECT("'数出表_Excel（アレルギー入力）'!"&amp;P46&amp;":"&amp;P46&amp;""),0)),2)="博多",
LEFT(INDIRECT("'数出表_Excel（アレルギー入力）'!A"&amp;MATCH(F46,INDIRECT("'数出表_Excel（アレルギー入力）'!"&amp;P46&amp;":"&amp;P46&amp;""),0)),FIND("週",INDIRECT("'数出表_Excel（アレルギー入力）'!A"&amp;MATCH(F46,INDIRECT("'数出表_Excel（アレルギー入力）'!"&amp;P46&amp;":"&amp;P46&amp;""),0)))-1),
INDIRECT("'数出表_Excel（アレルギー入力）'!A"&amp;MATCH(F46,INDIRECT("'数出表_Excel（アレルギー入力）'!"&amp;P46&amp;":"&amp;P46&amp;""),0))),"")</f>
        <v/>
      </c>
      <c r="B46" s="206" t="str">
        <f t="array" aca="1" ref="B46" ca="1">IF(AND(B38&lt;&gt;"",O46&lt;&gt;0),
IF(INDIRECT("'数出表_Excel（アレルギー入力）'!"&amp;P46&amp;"147")&lt;&gt;F38,B38,""),"")</f>
        <v/>
      </c>
      <c r="C46" s="206"/>
      <c r="D46" s="206"/>
      <c r="E46" s="206"/>
      <c r="F46" s="206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206"/>
      <c r="H46" s="206"/>
      <c r="I46" s="206"/>
      <c r="J46" s="206"/>
      <c r="K46" s="206"/>
      <c r="L46" s="206"/>
      <c r="M46" s="206"/>
      <c r="N46" s="206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34</v>
      </c>
    </row>
    <row r="47" spans="1:16">
      <c r="A47" s="206" t="str">
        <f t="array" aca="1" ref="A47" ca="1">IF(F47&lt;&gt;"",
IF(LEFT(INDIRECT("'数出表_Excel（アレルギー入力）'!A"&amp;MATCH(F47,INDIRECT("'数出表_Excel（アレルギー入力）'!"&amp;P47&amp;":"&amp;P47&amp;""),0)),2)="博多",
LEFT(INDIRECT("'数出表_Excel（アレルギー入力）'!A"&amp;MATCH(F47,INDIRECT("'数出表_Excel（アレルギー入力）'!"&amp;P47&amp;":"&amp;P47&amp;""),0)),FIND("週",INDIRECT("'数出表_Excel（アレルギー入力）'!A"&amp;MATCH(F47,INDIRECT("'数出表_Excel（アレルギー入力）'!"&amp;P47&amp;":"&amp;P47&amp;""),0)))-1),
INDIRECT("'数出表_Excel（アレルギー入力）'!A"&amp;MATCH(F47,INDIRECT("'数出表_Excel（アレルギー入力）'!"&amp;P47&amp;":"&amp;P47&amp;""),0))),"")</f>
        <v/>
      </c>
      <c r="B47" s="206" t="str">
        <f t="array" aca="1" ref="B47" ca="1">IF(AND(B39&lt;&gt;"",O47&lt;&gt;0),
IF(INDIRECT("'数出表_Excel（アレルギー入力）'!"&amp;P47&amp;"147")&lt;&gt;F39,B39,""),"")</f>
        <v/>
      </c>
      <c r="C47" s="206"/>
      <c r="D47" s="206"/>
      <c r="E47" s="206"/>
      <c r="F47" s="206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206"/>
      <c r="H47" s="206"/>
      <c r="I47" s="206"/>
      <c r="J47" s="206"/>
      <c r="K47" s="206"/>
      <c r="L47" s="206"/>
      <c r="M47" s="206"/>
      <c r="N47" s="206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35</v>
      </c>
    </row>
    <row r="48" spans="1:16">
      <c r="A48" s="206" t="str">
        <f t="array" aca="1" ref="A48" ca="1">IF(F48&lt;&gt;"",
IF(LEFT(INDIRECT("'数出表_Excel（アレルギー入力）'!A"&amp;MATCH(F48,INDIRECT("'数出表_Excel（アレルギー入力）'!"&amp;P48&amp;":"&amp;P48&amp;""),0)),2)="博多",
LEFT(INDIRECT("'数出表_Excel（アレルギー入力）'!A"&amp;MATCH(F48,INDIRECT("'数出表_Excel（アレルギー入力）'!"&amp;P48&amp;":"&amp;P48&amp;""),0)),FIND("週",INDIRECT("'数出表_Excel（アレルギー入力）'!A"&amp;MATCH(F48,INDIRECT("'数出表_Excel（アレルギー入力）'!"&amp;P48&amp;":"&amp;P48&amp;""),0)))-1),
INDIRECT("'数出表_Excel（アレルギー入力）'!A"&amp;MATCH(F48,INDIRECT("'数出表_Excel（アレルギー入力）'!"&amp;P48&amp;":"&amp;P48&amp;""),0))),"")</f>
        <v/>
      </c>
      <c r="B48" s="206" t="str">
        <f t="array" aca="1" ref="B48" ca="1">IF(AND(B40&lt;&gt;"",O48&lt;&gt;0),
IF(INDIRECT("'数出表_Excel（アレルギー入力）'!"&amp;P48&amp;"147")&lt;&gt;F40,B40,""),"")</f>
        <v/>
      </c>
      <c r="C48" s="206"/>
      <c r="D48" s="206"/>
      <c r="E48" s="206"/>
      <c r="F48" s="206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206"/>
      <c r="H48" s="206"/>
      <c r="I48" s="206"/>
      <c r="J48" s="206"/>
      <c r="K48" s="206"/>
      <c r="L48" s="206"/>
      <c r="M48" s="206"/>
      <c r="N48" s="206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36</v>
      </c>
    </row>
    <row r="49" spans="1:16">
      <c r="A49" s="207" t="str">
        <f t="array" aca="1" ref="A49" ca="1">IF(F49&lt;&gt;"",
IF(LEFT(INDIRECT("'数出表_Excel（アレルギー入力）'!A"&amp;MATCH(F49,INDIRECT("'数出表_Excel（アレルギー入力）'!"&amp;P49&amp;":"&amp;P49&amp;""),0)),2)="博多",
LEFT(INDIRECT("'数出表_Excel（アレルギー入力）'!A"&amp;MATCH(F49,INDIRECT("'数出表_Excel（アレルギー入力）'!"&amp;P49&amp;":"&amp;P49&amp;""),0)),FIND("週",INDIRECT("'数出表_Excel（アレルギー入力）'!A"&amp;MATCH(F49,INDIRECT("'数出表_Excel（アレルギー入力）'!"&amp;P49&amp;":"&amp;P49&amp;""),0)))-1),
INDIRECT("'数出表_Excel（アレルギー入力）'!A"&amp;MATCH(F49,INDIRECT("'数出表_Excel（アレルギー入力）'!"&amp;P49&amp;":"&amp;P49&amp;""),0))),"")</f>
        <v/>
      </c>
      <c r="B49" s="207" t="str">
        <f t="array" aca="1" ref="B49" ca="1">IF(AND(B41&lt;&gt;"",O49&lt;&gt;0),
IF(INDIRECT("'数出表_Excel（アレルギー入力）'!"&amp;P49&amp;"147")&lt;&gt;F41,B41,""),"")</f>
        <v/>
      </c>
      <c r="C49" s="207"/>
      <c r="D49" s="207"/>
      <c r="E49" s="207"/>
      <c r="F49" s="207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207"/>
      <c r="H49" s="207"/>
      <c r="I49" s="207"/>
      <c r="J49" s="207"/>
      <c r="K49" s="207"/>
      <c r="L49" s="207"/>
      <c r="M49" s="207"/>
      <c r="N49" s="207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29</v>
      </c>
    </row>
    <row r="50" spans="1:16">
      <c r="A50" s="207" t="str">
        <f t="array" aca="1" ref="A50" ca="1">IF(F50&lt;&gt;"",
IF(LEFT(INDIRECT("'数出表_Excel（アレルギー入力）'!A"&amp;MATCH(F50,INDIRECT("'数出表_Excel（アレルギー入力）'!"&amp;P50&amp;":"&amp;P50&amp;""),0)),2)="博多",
LEFT(INDIRECT("'数出表_Excel（アレルギー入力）'!A"&amp;MATCH(F50,INDIRECT("'数出表_Excel（アレルギー入力）'!"&amp;P50&amp;":"&amp;P50&amp;""),0)),FIND("週",INDIRECT("'数出表_Excel（アレルギー入力）'!A"&amp;MATCH(F50,INDIRECT("'数出表_Excel（アレルギー入力）'!"&amp;P50&amp;":"&amp;P50&amp;""),0)))-1),
INDIRECT("'数出表_Excel（アレルギー入力）'!A"&amp;MATCH(F50,INDIRECT("'数出表_Excel（アレルギー入力）'!"&amp;P50&amp;":"&amp;P50&amp;""),0))),"")</f>
        <v/>
      </c>
      <c r="B50" s="207" t="str">
        <f t="array" aca="1" ref="B50" ca="1">IF(AND(B42&lt;&gt;"",O50&lt;&gt;0),
IF(INDIRECT("'数出表_Excel（アレルギー入力）'!"&amp;P50&amp;"147")&lt;&gt;F42,B42,""),"")</f>
        <v/>
      </c>
      <c r="C50" s="207"/>
      <c r="D50" s="207"/>
      <c r="E50" s="207"/>
      <c r="F50" s="207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207"/>
      <c r="H50" s="207"/>
      <c r="I50" s="207"/>
      <c r="J50" s="207"/>
      <c r="K50" s="207"/>
      <c r="L50" s="207"/>
      <c r="M50" s="207"/>
      <c r="N50" s="207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30</v>
      </c>
    </row>
    <row r="51" spans="1:16">
      <c r="A51" s="207" t="str">
        <f t="array" aca="1" ref="A51" ca="1">IF(F51&lt;&gt;"",
IF(LEFT(INDIRECT("'数出表_Excel（アレルギー入力）'!A"&amp;MATCH(F51,INDIRECT("'数出表_Excel（アレルギー入力）'!"&amp;P51&amp;":"&amp;P51&amp;""),0)),2)="博多",
LEFT(INDIRECT("'数出表_Excel（アレルギー入力）'!A"&amp;MATCH(F51,INDIRECT("'数出表_Excel（アレルギー入力）'!"&amp;P51&amp;":"&amp;P51&amp;""),0)),FIND("週",INDIRECT("'数出表_Excel（アレルギー入力）'!A"&amp;MATCH(F51,INDIRECT("'数出表_Excel（アレルギー入力）'!"&amp;P51&amp;":"&amp;P51&amp;""),0)))-1),
INDIRECT("'数出表_Excel（アレルギー入力）'!A"&amp;MATCH(F51,INDIRECT("'数出表_Excel（アレルギー入力）'!"&amp;P51&amp;":"&amp;P51&amp;""),0))),"")</f>
        <v/>
      </c>
      <c r="B51" s="207" t="str">
        <f t="array" aca="1" ref="B51" ca="1">IF(AND(B43&lt;&gt;"",O51&lt;&gt;0),
IF(INDIRECT("'数出表_Excel（アレルギー入力）'!"&amp;P51&amp;"147")&lt;&gt;F43,B43,""),"")</f>
        <v/>
      </c>
      <c r="C51" s="207"/>
      <c r="D51" s="207"/>
      <c r="E51" s="207"/>
      <c r="F51" s="207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207"/>
      <c r="H51" s="207"/>
      <c r="I51" s="207"/>
      <c r="J51" s="207"/>
      <c r="K51" s="207"/>
      <c r="L51" s="207"/>
      <c r="M51" s="207"/>
      <c r="N51" s="207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31</v>
      </c>
    </row>
    <row r="52" spans="1:16">
      <c r="A52" s="207" t="str">
        <f t="array" aca="1" ref="A52" ca="1">IF(F52&lt;&gt;"",
IF(LEFT(INDIRECT("'数出表_Excel（アレルギー入力）'!A"&amp;MATCH(F52,INDIRECT("'数出表_Excel（アレルギー入力）'!"&amp;P52&amp;":"&amp;P52&amp;""),0)),2)="博多",
LEFT(INDIRECT("'数出表_Excel（アレルギー入力）'!A"&amp;MATCH(F52,INDIRECT("'数出表_Excel（アレルギー入力）'!"&amp;P52&amp;":"&amp;P52&amp;""),0)),FIND("週",INDIRECT("'数出表_Excel（アレルギー入力）'!A"&amp;MATCH(F52,INDIRECT("'数出表_Excel（アレルギー入力）'!"&amp;P52&amp;":"&amp;P52&amp;""),0)))-1),
INDIRECT("'数出表_Excel（アレルギー入力）'!A"&amp;MATCH(F52,INDIRECT("'数出表_Excel（アレルギー入力）'!"&amp;P52&amp;":"&amp;P52&amp;""),0))),"")</f>
        <v/>
      </c>
      <c r="B52" s="207" t="str">
        <f t="array" aca="1" ref="B52" ca="1">IF(AND(B44&lt;&gt;"",O52&lt;&gt;0),
IF(INDIRECT("'数出表_Excel（アレルギー入力）'!"&amp;P52&amp;"147")&lt;&gt;F44,B44,""),"")</f>
        <v/>
      </c>
      <c r="C52" s="207"/>
      <c r="D52" s="207"/>
      <c r="E52" s="207"/>
      <c r="F52" s="207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207"/>
      <c r="H52" s="207"/>
      <c r="I52" s="207"/>
      <c r="J52" s="207"/>
      <c r="K52" s="207"/>
      <c r="L52" s="207"/>
      <c r="M52" s="207"/>
      <c r="N52" s="207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32</v>
      </c>
    </row>
    <row r="53" spans="1:16">
      <c r="A53" s="207" t="str">
        <f t="array" aca="1" ref="A53" ca="1">IF(F53&lt;&gt;"",
IF(LEFT(INDIRECT("'数出表_Excel（アレルギー入力）'!A"&amp;MATCH(F53,INDIRECT("'数出表_Excel（アレルギー入力）'!"&amp;P53&amp;":"&amp;P53&amp;""),0)),2)="博多",
LEFT(INDIRECT("'数出表_Excel（アレルギー入力）'!A"&amp;MATCH(F53,INDIRECT("'数出表_Excel（アレルギー入力）'!"&amp;P53&amp;":"&amp;P53&amp;""),0)),FIND("週",INDIRECT("'数出表_Excel（アレルギー入力）'!A"&amp;MATCH(F53,INDIRECT("'数出表_Excel（アレルギー入力）'!"&amp;P53&amp;":"&amp;P53&amp;""),0)))-1),
INDIRECT("'数出表_Excel（アレルギー入力）'!A"&amp;MATCH(F53,INDIRECT("'数出表_Excel（アレルギー入力）'!"&amp;P53&amp;":"&amp;P53&amp;""),0))),"")</f>
        <v/>
      </c>
      <c r="B53" s="207" t="str">
        <f t="array" aca="1" ref="B53" ca="1">IF(AND(B45&lt;&gt;"",O53&lt;&gt;0),
IF(INDIRECT("'数出表_Excel（アレルギー入力）'!"&amp;P53&amp;"147")&lt;&gt;F45,B45,""),"")</f>
        <v/>
      </c>
      <c r="C53" s="207"/>
      <c r="D53" s="207"/>
      <c r="E53" s="207"/>
      <c r="F53" s="207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207"/>
      <c r="H53" s="207"/>
      <c r="I53" s="207"/>
      <c r="J53" s="207"/>
      <c r="K53" s="207"/>
      <c r="L53" s="207"/>
      <c r="M53" s="207"/>
      <c r="N53" s="207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33</v>
      </c>
    </row>
    <row r="54" spans="1:16">
      <c r="A54" s="207" t="str">
        <f t="array" aca="1" ref="A54" ca="1">IF(F54&lt;&gt;"",
IF(LEFT(INDIRECT("'数出表_Excel（アレルギー入力）'!A"&amp;MATCH(F54,INDIRECT("'数出表_Excel（アレルギー入力）'!"&amp;P54&amp;":"&amp;P54&amp;""),0)),2)="博多",
LEFT(INDIRECT("'数出表_Excel（アレルギー入力）'!A"&amp;MATCH(F54,INDIRECT("'数出表_Excel（アレルギー入力）'!"&amp;P54&amp;":"&amp;P54&amp;""),0)),FIND("週",INDIRECT("'数出表_Excel（アレルギー入力）'!A"&amp;MATCH(F54,INDIRECT("'数出表_Excel（アレルギー入力）'!"&amp;P54&amp;":"&amp;P54&amp;""),0)))-1),
INDIRECT("'数出表_Excel（アレルギー入力）'!A"&amp;MATCH(F54,INDIRECT("'数出表_Excel（アレルギー入力）'!"&amp;P54&amp;":"&amp;P54&amp;""),0))),"")</f>
        <v/>
      </c>
      <c r="B54" s="207" t="str">
        <f t="array" aca="1" ref="B54" ca="1">IF(AND(B46&lt;&gt;"",O54&lt;&gt;0),
IF(INDIRECT("'数出表_Excel（アレルギー入力）'!"&amp;P54&amp;"147")&lt;&gt;F46,B46,""),"")</f>
        <v/>
      </c>
      <c r="C54" s="207"/>
      <c r="D54" s="207"/>
      <c r="E54" s="207"/>
      <c r="F54" s="207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207"/>
      <c r="H54" s="207"/>
      <c r="I54" s="207"/>
      <c r="J54" s="207"/>
      <c r="K54" s="207"/>
      <c r="L54" s="207"/>
      <c r="M54" s="207"/>
      <c r="N54" s="207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34</v>
      </c>
    </row>
    <row r="55" spans="1:16">
      <c r="A55" s="207" t="str">
        <f t="array" aca="1" ref="A55" ca="1">IF(F55&lt;&gt;"",
IF(LEFT(INDIRECT("'数出表_Excel（アレルギー入力）'!A"&amp;MATCH(F55,INDIRECT("'数出表_Excel（アレルギー入力）'!"&amp;P55&amp;":"&amp;P55&amp;""),0)),2)="博多",
LEFT(INDIRECT("'数出表_Excel（アレルギー入力）'!A"&amp;MATCH(F55,INDIRECT("'数出表_Excel（アレルギー入力）'!"&amp;P55&amp;":"&amp;P55&amp;""),0)),FIND("週",INDIRECT("'数出表_Excel（アレルギー入力）'!A"&amp;MATCH(F55,INDIRECT("'数出表_Excel（アレルギー入力）'!"&amp;P55&amp;":"&amp;P55&amp;""),0)))-1),
INDIRECT("'数出表_Excel（アレルギー入力）'!A"&amp;MATCH(F55,INDIRECT("'数出表_Excel（アレルギー入力）'!"&amp;P55&amp;":"&amp;P55&amp;""),0))),"")</f>
        <v/>
      </c>
      <c r="B55" s="207" t="str">
        <f t="array" aca="1" ref="B55" ca="1">IF(AND(B47&lt;&gt;"",O55&lt;&gt;0),
IF(INDIRECT("'数出表_Excel（アレルギー入力）'!"&amp;P55&amp;"147")&lt;&gt;F47,B47,""),"")</f>
        <v/>
      </c>
      <c r="C55" s="207"/>
      <c r="D55" s="207"/>
      <c r="E55" s="207"/>
      <c r="F55" s="207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207"/>
      <c r="H55" s="207"/>
      <c r="I55" s="207"/>
      <c r="J55" s="207"/>
      <c r="K55" s="207"/>
      <c r="L55" s="207"/>
      <c r="M55" s="207"/>
      <c r="N55" s="207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35</v>
      </c>
    </row>
    <row r="56" spans="1:16">
      <c r="A56" s="207" t="str">
        <f t="array" aca="1" ref="A56" ca="1">IF(F56&lt;&gt;"",
IF(LEFT(INDIRECT("'数出表_Excel（アレルギー入力）'!A"&amp;MATCH(F56,INDIRECT("'数出表_Excel（アレルギー入力）'!"&amp;P56&amp;":"&amp;P56&amp;""),0)),2)="博多",
LEFT(INDIRECT("'数出表_Excel（アレルギー入力）'!A"&amp;MATCH(F56,INDIRECT("'数出表_Excel（アレルギー入力）'!"&amp;P56&amp;":"&amp;P56&amp;""),0)),FIND("週",INDIRECT("'数出表_Excel（アレルギー入力）'!A"&amp;MATCH(F56,INDIRECT("'数出表_Excel（アレルギー入力）'!"&amp;P56&amp;":"&amp;P56&amp;""),0)))-1),
INDIRECT("'数出表_Excel（アレルギー入力）'!A"&amp;MATCH(F56,INDIRECT("'数出表_Excel（アレルギー入力）'!"&amp;P56&amp;":"&amp;P56&amp;""),0))),"")</f>
        <v/>
      </c>
      <c r="B56" s="207" t="str">
        <f t="array" aca="1" ref="B56" ca="1">IF(AND(B48&lt;&gt;"",O56&lt;&gt;0),
IF(INDIRECT("'数出表_Excel（アレルギー入力）'!"&amp;P56&amp;"147")&lt;&gt;F48,B48,""),"")</f>
        <v/>
      </c>
      <c r="C56" s="207"/>
      <c r="D56" s="207"/>
      <c r="E56" s="207"/>
      <c r="F56" s="207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207"/>
      <c r="H56" s="207"/>
      <c r="I56" s="207"/>
      <c r="J56" s="207"/>
      <c r="K56" s="207"/>
      <c r="L56" s="207"/>
      <c r="M56" s="207"/>
      <c r="N56" s="207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36</v>
      </c>
    </row>
    <row r="57" spans="1:16">
      <c r="A57" s="192" t="str">
        <f t="array" aca="1" ref="A57" ca="1">IF(F57&lt;&gt;"",
IF(LEFT(INDIRECT("'数出表_Excel（アレルギー入力）'!A"&amp;MATCH(F57,INDIRECT("'数出表_Excel（アレルギー入力）'!"&amp;P57&amp;":"&amp;P57&amp;""),0)),2)="博多",
LEFT(INDIRECT("'数出表_Excel（アレルギー入力）'!A"&amp;MATCH(F57,INDIRECT("'数出表_Excel（アレルギー入力）'!"&amp;P57&amp;":"&amp;P57&amp;""),0)),FIND("週",INDIRECT("'数出表_Excel（アレルギー入力）'!A"&amp;MATCH(F57,INDIRECT("'数出表_Excel（アレルギー入力）'!"&amp;P57&amp;":"&amp;P57&amp;""),0)))-1),
INDIRECT("'数出表_Excel（アレルギー入力）'!A"&amp;MATCH(F57,INDIRECT("'数出表_Excel（アレルギー入力）'!"&amp;P57&amp;":"&amp;P57&amp;""),0))),"")</f>
        <v/>
      </c>
      <c r="B57" s="192" t="str">
        <f t="array" aca="1" ref="B57" ca="1">IF(AND(B49&lt;&gt;"",O57&lt;&gt;0),
IF(INDIRECT("'数出表_Excel（アレルギー入力）'!"&amp;P57&amp;"147")&lt;&gt;F49,B49,""),"")</f>
        <v/>
      </c>
      <c r="C57" s="192"/>
      <c r="D57" s="192"/>
      <c r="E57" s="192"/>
      <c r="F57" s="192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192"/>
      <c r="H57" s="192"/>
      <c r="I57" s="192"/>
      <c r="J57" s="192"/>
      <c r="K57" s="192"/>
      <c r="L57" s="192"/>
      <c r="M57" s="192"/>
      <c r="N57" s="192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29</v>
      </c>
    </row>
    <row r="58" spans="1:16">
      <c r="A58" s="192" t="str">
        <f t="array" aca="1" ref="A58" ca="1">IF(F58&lt;&gt;"",
IF(LEFT(INDIRECT("'数出表_Excel（アレルギー入力）'!A"&amp;MATCH(F58,INDIRECT("'数出表_Excel（アレルギー入力）'!"&amp;P58&amp;":"&amp;P58&amp;""),0)),2)="博多",
LEFT(INDIRECT("'数出表_Excel（アレルギー入力）'!A"&amp;MATCH(F58,INDIRECT("'数出表_Excel（アレルギー入力）'!"&amp;P58&amp;":"&amp;P58&amp;""),0)),FIND("週",INDIRECT("'数出表_Excel（アレルギー入力）'!A"&amp;MATCH(F58,INDIRECT("'数出表_Excel（アレルギー入力）'!"&amp;P58&amp;":"&amp;P58&amp;""),0)))-1),
INDIRECT("'数出表_Excel（アレルギー入力）'!A"&amp;MATCH(F58,INDIRECT("'数出表_Excel（アレルギー入力）'!"&amp;P58&amp;":"&amp;P58&amp;""),0))),"")</f>
        <v/>
      </c>
      <c r="B58" s="192" t="str">
        <f t="array" aca="1" ref="B58" ca="1">IF(AND(B50&lt;&gt;"",O58&lt;&gt;0),
IF(INDIRECT("'数出表_Excel（アレルギー入力）'!"&amp;P58&amp;"147")&lt;&gt;F50,B50,""),"")</f>
        <v/>
      </c>
      <c r="C58" s="192"/>
      <c r="D58" s="192"/>
      <c r="E58" s="192"/>
      <c r="F58" s="192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192"/>
      <c r="H58" s="192"/>
      <c r="I58" s="192"/>
      <c r="J58" s="192"/>
      <c r="K58" s="192"/>
      <c r="L58" s="192"/>
      <c r="M58" s="192"/>
      <c r="N58" s="192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30</v>
      </c>
    </row>
    <row r="59" spans="1:16">
      <c r="A59" s="192" t="str">
        <f t="array" aca="1" ref="A59" ca="1">IF(F59&lt;&gt;"",
IF(LEFT(INDIRECT("'数出表_Excel（アレルギー入力）'!A"&amp;MATCH(F59,INDIRECT("'数出表_Excel（アレルギー入力）'!"&amp;P59&amp;":"&amp;P59&amp;""),0)),2)="博多",
LEFT(INDIRECT("'数出表_Excel（アレルギー入力）'!A"&amp;MATCH(F59,INDIRECT("'数出表_Excel（アレルギー入力）'!"&amp;P59&amp;":"&amp;P59&amp;""),0)),FIND("週",INDIRECT("'数出表_Excel（アレルギー入力）'!A"&amp;MATCH(F59,INDIRECT("'数出表_Excel（アレルギー入力）'!"&amp;P59&amp;":"&amp;P59&amp;""),0)))-1),
INDIRECT("'数出表_Excel（アレルギー入力）'!A"&amp;MATCH(F59,INDIRECT("'数出表_Excel（アレルギー入力）'!"&amp;P59&amp;":"&amp;P59&amp;""),0))),"")</f>
        <v/>
      </c>
      <c r="B59" s="192" t="str">
        <f t="array" aca="1" ref="B59" ca="1">IF(AND(B51&lt;&gt;"",O59&lt;&gt;0),
IF(INDIRECT("'数出表_Excel（アレルギー入力）'!"&amp;P59&amp;"147")&lt;&gt;F51,B51,""),"")</f>
        <v/>
      </c>
      <c r="C59" s="192"/>
      <c r="D59" s="192"/>
      <c r="E59" s="192"/>
      <c r="F59" s="192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192"/>
      <c r="H59" s="192"/>
      <c r="I59" s="192"/>
      <c r="J59" s="192"/>
      <c r="K59" s="192"/>
      <c r="L59" s="192"/>
      <c r="M59" s="192"/>
      <c r="N59" s="192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31</v>
      </c>
    </row>
    <row r="60" spans="1:16">
      <c r="A60" s="192" t="str">
        <f t="array" aca="1" ref="A60" ca="1">IF(F60&lt;&gt;"",
IF(LEFT(INDIRECT("'数出表_Excel（アレルギー入力）'!A"&amp;MATCH(F60,INDIRECT("'数出表_Excel（アレルギー入力）'!"&amp;P60&amp;":"&amp;P60&amp;""),0)),2)="博多",
LEFT(INDIRECT("'数出表_Excel（アレルギー入力）'!A"&amp;MATCH(F60,INDIRECT("'数出表_Excel（アレルギー入力）'!"&amp;P60&amp;":"&amp;P60&amp;""),0)),FIND("週",INDIRECT("'数出表_Excel（アレルギー入力）'!A"&amp;MATCH(F60,INDIRECT("'数出表_Excel（アレルギー入力）'!"&amp;P60&amp;":"&amp;P60&amp;""),0)))-1),
INDIRECT("'数出表_Excel（アレルギー入力）'!A"&amp;MATCH(F60,INDIRECT("'数出表_Excel（アレルギー入力）'!"&amp;P60&amp;":"&amp;P60&amp;""),0))),"")</f>
        <v/>
      </c>
      <c r="B60" s="192" t="str">
        <f t="array" aca="1" ref="B60" ca="1">IF(AND(B52&lt;&gt;"",O60&lt;&gt;0),
IF(INDIRECT("'数出表_Excel（アレルギー入力）'!"&amp;P60&amp;"147")&lt;&gt;F52,B52,""),"")</f>
        <v/>
      </c>
      <c r="C60" s="192"/>
      <c r="D60" s="192"/>
      <c r="E60" s="192"/>
      <c r="F60" s="192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192"/>
      <c r="H60" s="192"/>
      <c r="I60" s="192"/>
      <c r="J60" s="192"/>
      <c r="K60" s="192"/>
      <c r="L60" s="192"/>
      <c r="M60" s="192"/>
      <c r="N60" s="192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32</v>
      </c>
    </row>
    <row r="61" spans="1:16">
      <c r="A61" s="192" t="str">
        <f t="array" aca="1" ref="A61" ca="1">IF(F61&lt;&gt;"",
IF(LEFT(INDIRECT("'数出表_Excel（アレルギー入力）'!A"&amp;MATCH(F61,INDIRECT("'数出表_Excel（アレルギー入力）'!"&amp;P61&amp;":"&amp;P61&amp;""),0)),2)="博多",
LEFT(INDIRECT("'数出表_Excel（アレルギー入力）'!A"&amp;MATCH(F61,INDIRECT("'数出表_Excel（アレルギー入力）'!"&amp;P61&amp;":"&amp;P61&amp;""),0)),FIND("週",INDIRECT("'数出表_Excel（アレルギー入力）'!A"&amp;MATCH(F61,INDIRECT("'数出表_Excel（アレルギー入力）'!"&amp;P61&amp;":"&amp;P61&amp;""),0)))-1),
INDIRECT("'数出表_Excel（アレルギー入力）'!A"&amp;MATCH(F61,INDIRECT("'数出表_Excel（アレルギー入力）'!"&amp;P61&amp;":"&amp;P61&amp;""),0))),"")</f>
        <v/>
      </c>
      <c r="B61" s="192" t="str">
        <f t="array" aca="1" ref="B61" ca="1">IF(AND(B53&lt;&gt;"",O61&lt;&gt;0),
IF(INDIRECT("'数出表_Excel（アレルギー入力）'!"&amp;P61&amp;"147")&lt;&gt;F53,B53,""),"")</f>
        <v/>
      </c>
      <c r="C61" s="192"/>
      <c r="D61" s="192"/>
      <c r="E61" s="192"/>
      <c r="F61" s="192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192"/>
      <c r="H61" s="192"/>
      <c r="I61" s="192"/>
      <c r="J61" s="192"/>
      <c r="K61" s="192"/>
      <c r="L61" s="192"/>
      <c r="M61" s="192"/>
      <c r="N61" s="192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33</v>
      </c>
    </row>
    <row r="62" spans="1:16">
      <c r="A62" s="192" t="str">
        <f t="array" aca="1" ref="A62" ca="1">IF(F62&lt;&gt;"",
IF(LEFT(INDIRECT("'数出表_Excel（アレルギー入力）'!A"&amp;MATCH(F62,INDIRECT("'数出表_Excel（アレルギー入力）'!"&amp;P62&amp;":"&amp;P62&amp;""),0)),2)="博多",
LEFT(INDIRECT("'数出表_Excel（アレルギー入力）'!A"&amp;MATCH(F62,INDIRECT("'数出表_Excel（アレルギー入力）'!"&amp;P62&amp;":"&amp;P62&amp;""),0)),FIND("週",INDIRECT("'数出表_Excel（アレルギー入力）'!A"&amp;MATCH(F62,INDIRECT("'数出表_Excel（アレルギー入力）'!"&amp;P62&amp;":"&amp;P62&amp;""),0)))-1),
INDIRECT("'数出表_Excel（アレルギー入力）'!A"&amp;MATCH(F62,INDIRECT("'数出表_Excel（アレルギー入力）'!"&amp;P62&amp;":"&amp;P62&amp;""),0))),"")</f>
        <v/>
      </c>
      <c r="B62" s="192" t="str">
        <f t="array" aca="1" ref="B62" ca="1">IF(AND(B54&lt;&gt;"",O62&lt;&gt;0),
IF(INDIRECT("'数出表_Excel（アレルギー入力）'!"&amp;P62&amp;"147")&lt;&gt;F54,B54,""),"")</f>
        <v/>
      </c>
      <c r="C62" s="192"/>
      <c r="D62" s="192"/>
      <c r="E62" s="192"/>
      <c r="F62" s="192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192"/>
      <c r="H62" s="192"/>
      <c r="I62" s="192"/>
      <c r="J62" s="192"/>
      <c r="K62" s="192"/>
      <c r="L62" s="192"/>
      <c r="M62" s="192"/>
      <c r="N62" s="192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34</v>
      </c>
    </row>
    <row r="63" spans="1:16">
      <c r="A63" s="192" t="str">
        <f t="array" aca="1" ref="A63" ca="1">IF(F63&lt;&gt;"",
IF(LEFT(INDIRECT("'数出表_Excel（アレルギー入力）'!A"&amp;MATCH(F63,INDIRECT("'数出表_Excel（アレルギー入力）'!"&amp;P63&amp;":"&amp;P63&amp;""),0)),2)="博多",
LEFT(INDIRECT("'数出表_Excel（アレルギー入力）'!A"&amp;MATCH(F63,INDIRECT("'数出表_Excel（アレルギー入力）'!"&amp;P63&amp;":"&amp;P63&amp;""),0)),FIND("週",INDIRECT("'数出表_Excel（アレルギー入力）'!A"&amp;MATCH(F63,INDIRECT("'数出表_Excel（アレルギー入力）'!"&amp;P63&amp;":"&amp;P63&amp;""),0)))-1),
INDIRECT("'数出表_Excel（アレルギー入力）'!A"&amp;MATCH(F63,INDIRECT("'数出表_Excel（アレルギー入力）'!"&amp;P63&amp;":"&amp;P63&amp;""),0))),"")</f>
        <v/>
      </c>
      <c r="B63" s="192" t="str">
        <f t="array" aca="1" ref="B63" ca="1">IF(AND(B55&lt;&gt;"",O63&lt;&gt;0),
IF(INDIRECT("'数出表_Excel（アレルギー入力）'!"&amp;P63&amp;"147")&lt;&gt;F55,B55,""),"")</f>
        <v/>
      </c>
      <c r="C63" s="192"/>
      <c r="D63" s="192"/>
      <c r="E63" s="192"/>
      <c r="F63" s="192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192"/>
      <c r="H63" s="192"/>
      <c r="I63" s="192"/>
      <c r="J63" s="192"/>
      <c r="K63" s="192"/>
      <c r="L63" s="192"/>
      <c r="M63" s="192"/>
      <c r="N63" s="192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35</v>
      </c>
    </row>
    <row r="64" spans="1:16">
      <c r="A64" s="192" t="str">
        <f t="array" aca="1" ref="A64" ca="1">IF(F64&lt;&gt;"",
IF(LEFT(INDIRECT("'数出表_Excel（アレルギー入力）'!A"&amp;MATCH(F64,INDIRECT("'数出表_Excel（アレルギー入力）'!"&amp;P64&amp;":"&amp;P64&amp;""),0)),2)="博多",
LEFT(INDIRECT("'数出表_Excel（アレルギー入力）'!A"&amp;MATCH(F64,INDIRECT("'数出表_Excel（アレルギー入力）'!"&amp;P64&amp;":"&amp;P64&amp;""),0)),FIND("週",INDIRECT("'数出表_Excel（アレルギー入力）'!A"&amp;MATCH(F64,INDIRECT("'数出表_Excel（アレルギー入力）'!"&amp;P64&amp;":"&amp;P64&amp;""),0)))-1),
INDIRECT("'数出表_Excel（アレルギー入力）'!A"&amp;MATCH(F64,INDIRECT("'数出表_Excel（アレルギー入力）'!"&amp;P64&amp;":"&amp;P64&amp;""),0))),"")</f>
        <v/>
      </c>
      <c r="B64" s="192" t="str">
        <f t="array" aca="1" ref="B64" ca="1">IF(AND(B56&lt;&gt;"",O64&lt;&gt;0),
IF(INDIRECT("'数出表_Excel（アレルギー入力）'!"&amp;P64&amp;"147")&lt;&gt;F56,B56,""),"")</f>
        <v/>
      </c>
      <c r="C64" s="192"/>
      <c r="D64" s="192"/>
      <c r="E64" s="192"/>
      <c r="F64" s="192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192"/>
      <c r="H64" s="192"/>
      <c r="I64" s="192"/>
      <c r="J64" s="192"/>
      <c r="K64" s="192"/>
      <c r="L64" s="192"/>
      <c r="M64" s="192"/>
      <c r="N64" s="192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36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J8"/>
  <sheetViews>
    <sheetView workbookViewId="0">
      <selection activeCell="J2" sqref="J2"/>
    </sheetView>
  </sheetViews>
  <sheetFormatPr defaultRowHeight="18"/>
  <cols>
    <col min="1" max="1" width="15.8984375" style="29" customWidth="1"/>
  </cols>
  <sheetData>
    <row r="1" spans="1:10">
      <c r="A1" t="s">
        <v>9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9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>
      <c r="A3" t="s">
        <v>37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>
      <c r="A4" t="s">
        <v>38</v>
      </c>
      <c r="E4" t="e">
        <f ca="1">MID(B3,FIND("新日本",B3)+3,FIND("ニシム",B3)-1-(FIND("新日本",B3)+3))</f>
        <v>#N/A</v>
      </c>
    </row>
    <row r="5" spans="1:10">
      <c r="A5" t="s">
        <v>39</v>
      </c>
      <c r="E5">
        <v>2</v>
      </c>
    </row>
    <row r="6" spans="1:10">
      <c r="A6" t="s">
        <v>40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U370"/>
  <sheetViews>
    <sheetView zoomScale="40" zoomScaleNormal="40" zoomScalePageLayoutView="55" workbookViewId="0">
      <selection activeCell="R2" sqref="R2"/>
    </sheetView>
  </sheetViews>
  <sheetFormatPr defaultRowHeight="22.2"/>
  <cols>
    <col min="1" max="1" width="7.19921875" style="176" customWidth="1"/>
    <col min="2" max="2" width="14.09765625" style="51" customWidth="1"/>
    <col min="3" max="3" width="31.69921875" style="176" customWidth="1"/>
    <col min="4" max="4" width="37.8984375" style="176" customWidth="1"/>
    <col min="5" max="5" width="5.09765625" style="176" customWidth="1"/>
    <col min="6" max="7" width="11.69921875" style="176" customWidth="1"/>
    <col min="8" max="9" width="8.796875" style="51" customWidth="1"/>
    <col min="10" max="10" width="6.796875" style="51" customWidth="1"/>
    <col min="11" max="18" width="8.796875" style="51" customWidth="1"/>
    <col min="19" max="19" width="36.3984375" style="176" customWidth="1"/>
    <col min="20" max="20" width="38" style="51" customWidth="1"/>
    <col min="21" max="21" width="8.796875" style="191" customWidth="1"/>
    <col min="22" max="22" width="17.69921875" style="51" customWidth="1"/>
    <col min="23" max="29" width="8.796875" style="51" customWidth="1"/>
    <col min="30" max="30" width="8.19921875" style="51" customWidth="1"/>
    <col min="31" max="31" width="8" style="51" customWidth="1"/>
    <col min="32" max="32" width="20.296875" style="51" customWidth="1"/>
    <col min="33" max="33" width="17.59765625" style="51" customWidth="1"/>
    <col min="34" max="34" width="8.796875" style="191" customWidth="1"/>
    <col min="35" max="57" width="8.796875" style="51" customWidth="1"/>
    <col min="58" max="16384" width="8.796875" style="51"/>
  </cols>
  <sheetData>
    <row r="1" spans="1:47" ht="18" customHeight="1">
      <c r="A1" s="52">
        <v>7</v>
      </c>
      <c r="B1" s="52" t="str">
        <f>IF(COUNTIF(C1,"*雙葉*"),
IF(COUNTIF(C1,"*先生*"),"雙葉先生","雙葉"),
IF(COUNTIF(C1,"*社食*"),"社食'",
IF(LEFT(C1,2)="博多",
IF(IFERROR(TRIM(LEFT(C1,FIND("幼",C1)-1)),TRIM(C1))=IFERROR(TRIM(LEFT(C1,FIND("幼",C1)-1)),TRIM(C1)),
IFERROR(TRIM(LEFT(C1,FIND("幼",C1)-1)),TRIM(C1))&amp;"'",IFERROR(TRIM(LEFT(C1,FIND("幼",C1)-1)),TRIM(C1))),
IF(LEFT(C1,3)="奈良屋",
IF(TRIM(LEFT(C1,FIND("幼",C1)-1))=TRIM(LEFT(C1,FIND("幼",C1)-1)),
"奈良屋'","奈良屋"),""))))</f>
        <v/>
      </c>
      <c r="C1" s="52" t="str">
        <f>IF(OR(クライアント抽出!B1&lt;&gt;"",クライアント抽出!E1&lt;&gt;""),クライアント抽出!A1,"")</f>
        <v/>
      </c>
      <c r="D1" s="52" t="str">
        <f t="array" aca="1" ref="D1" ca="1">IF(C1&lt;&gt;"",INDIRECT("クライアント抽出!"&amp;E1&amp;MATCH(C1,クライアント抽出!A:A,0)&amp;""),"")</f>
        <v/>
      </c>
      <c r="E1" s="52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53" t="str">
        <f ca="1">IF(D1&lt;&gt;"",
IF(COUNTIF(C1,"*雙葉*"),
IF(ROUND((H1-M1)
/IF(COUNTIF(D1,"*キャラ*"),
VLOOKUP("*キャラ*",商品マスタ一覧!$D:$E,2,FALSE),
IF(COUNTIF(D1,"*赤*"),
VLOOKUP("*赤*",商品マスタ一覧!$D:$E,2,FALSE),
VLOOKUP("*"&amp;D1&amp;"*",商品マスタ一覧!$D:$E,2,FALSE))),0)&lt;=0,1,
ROUND((H1-M1)
/IF(COUNTIF(D1,"*キャラ*"),
VLOOKUP("*キャラ*",商品マスタ一覧!$D:$E,2,FALSE),
IF(COUNTIF(D1,"*赤*"),
VLOOKUP("*赤*",商品マスタ一覧!$D:$E,2,FALSE),
VLOOKUP("*"&amp;D1&amp;"*",商品マスタ一覧!$D:$E,2,FALSE))),0)),
IF(OR(COUNTIF(D1,"*キャラ*"),COUNTIF(D1,"*赤*")),"",
IF(VLOOKUP("*"&amp;D1&amp;"*",商品マスタ一覧!$D:$E,2,FALSE)=0,"",
IF(ROUND((H1-M1)
/VLOOKUP("*"&amp;D1&amp;"*",商品マスタ一覧!$D:$E,2,FALSE),0)&lt;=0,1,
ROUND((H1-M1)
/VLOOKUP("*"&amp;D1&amp;"*",商品マスタ一覧!$D:$E,2,FALSE),0))))),"")</f>
        <v/>
      </c>
      <c r="G1" s="52" t="str">
        <f ca="1">IF(F1&lt;&gt;"",
IF(VALUE(H1-M1)&gt;VALUE(IF(COUNTIF(D1,"*キャラ*"),
VLOOKUP("*キャラ*",商品マスタ一覧!$D:$E,2,FALSE),
IF(COUNTIF(D1,"*赤*"),
VLOOKUP("*赤*",商品マスタ一覧!$D:$E,2,FALSE),
VLOOKUP("*"&amp;D1&amp;"*",商品マスタ一覧!$D:$E,2,FALSE)))*F1),
"+"&amp;(H1-M1)-IF(COUNTIF(D1,"*キャラ*"),
VLOOKUP("*キャラ*",商品マスタ一覧!$D:$E,2,FALSE),
IF(COUNTIF(D1,"*赤*"),
VLOOKUP("*赤*",商品マスタ一覧!$D:$E,2,FALSE),
VLOOKUP("*"&amp;D1&amp;"*",商品マスタ一覧!$D:$E,2,FALSE)))*F1,
(H1-M1)-IF(COUNTIF(D1,"*キャラ*"),
VLOOKUP("*キャラ*",商品マスタ一覧!$D:$E,2,FALSE),
IF(COUNTIF(D1,"*赤*"),
VLOOKUP("*赤*",商品マスタ一覧!$D:$E,2,FALSE),
VLOOKUP("*"&amp;D1&amp;"*",商品マスタ一覧!$D:$E,2,FALSE)))*F1),"")</f>
        <v/>
      </c>
      <c r="H1" s="175" t="str">
        <f>IF(C1&lt;&gt;"",
クライアント抽出!B1,"")</f>
        <v/>
      </c>
      <c r="I1" s="52" t="str">
        <f t="array" aca="1" ref="I1" ca="1">IF(C1&lt;&gt;"",
IF(O1=1,
IF(SUMPRODUCT(COUNTIF(クライアント抽出!P1:U1,クライアント抽出!P1:U1))&gt;COUNTA(クライアント抽出!P1:U1),
INDIRECT("数出表_Excel!"&amp;INDEX(_xlfn.UNIQUE(_xlfn._xlws.FILTER(クライアント抽出!P1:U1,COUNTIF(クライアント抽出!P1:U1,クライアント抽出!P1:U1)&gt;1)),1)&amp;L1&amp;""),0),クライアント抽出!E1),"")</f>
        <v/>
      </c>
      <c r="J1" s="52" t="str">
        <f>IF(C1&lt;&gt;"",
VLOOKUP(
"*"&amp;LEFT(IF(COUNTIF(D1,"*学食*"),"キャラ弁（学食）",
IF(COUNTIF(D1,"*赤*"),"赤",
IF(COUNTIF(D1,"*キャラ弁当*"),"キャラ弁当",D1))),4)&amp;"*",注文弁当の抽出!$E$1:$F$15,2,FALSE),"")</f>
        <v/>
      </c>
      <c r="K1" s="52" t="str">
        <f ca="1">IF(クライアント抽出!P1&lt;&gt;"",SUBSTITUTE(ADDRESS(1,(CODE(クライアント抽出!P1)-64)*2-1,4),"1",""),"")</f>
        <v/>
      </c>
      <c r="L1" s="52" t="str">
        <f>IF(C1&lt;&gt;"",クライアント抽出!I1,"")</f>
        <v/>
      </c>
      <c r="M1" s="52">
        <f t="array" aca="1" ref="M1" ca="1">IF(C1&lt;&gt;"",
IF(K1&lt;&gt;"",INDIRECT("'数出表_Excel（アレルギー入力）'!"&amp;K1&amp;L1-1&amp;""),),)</f>
        <v>0</v>
      </c>
      <c r="N1" s="52" t="str">
        <f>IF(C1&lt;&gt;"",IF(OR(COUNTIF('盛付札（関数）'!D1,"*赤*"),COUNTIF('盛付札（関数）'!D1,"*キャラ*")),1,
VLOOKUP("*"&amp;D1&amp;"*",商品マスタ一覧!D:H,5,FALSE)),"")</f>
        <v/>
      </c>
      <c r="O1" s="52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52">
        <f t="shared" ref="P1:P64" si="0">IF(COUNTIF(Q1,"TRUE"),
IF(OR(COUNTIF(B1,"*'*"),H1=0),0,ROW()),0)</f>
        <v>0</v>
      </c>
      <c r="Q1" s="52" t="b">
        <f t="shared" ref="Q1:Q64" si="1">IF(C1&lt;&gt;"",
IF(OR(N1=1,COUNTIF(D1,"*朝食*"),COUNTIF(D1,"*夕食*")),TRUE,FALSE),FALSE)</f>
        <v>0</v>
      </c>
      <c r="R1" s="203">
        <f t="array" aca="1" ref="R1" ca="1">IFERROR(SMALL(IF(P$1:P$307&lt;&gt;0,P$1:P$307),ROW(A1)),"")</f>
        <v>211</v>
      </c>
      <c r="S1" s="203" t="str">
        <f t="array" aca="1" ref="S1" ca="1">IF($R1&lt;&gt;"",
SUBSTITUTE(SUBSTITUTE(INDIRECT("C"&amp;$R1&amp;"")," 週3ｺｰｽ","")," 週5ｺｰｽ",""),"")</f>
        <v>ニシム</v>
      </c>
      <c r="T1" s="203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204">
        <f t="array" aca="1" ref="U1" ca="1">IF($R1&lt;&gt;"",
INDIRECT("F"&amp;$R1&amp;""),"")</f>
        <v>0</v>
      </c>
      <c r="V1" s="203">
        <f t="array" aca="1" ref="V1" ca="1">IF($R1&lt;&gt;"",
INDIRECT("G"&amp;$R1&amp;""),"")</f>
        <v>0</v>
      </c>
      <c r="W1" s="203" t="e">
        <f t="array" aca="1" ref="W1" ca="1">IF($R1&lt;&gt;"",
IF(AND(COUNTIF(INDIRECT("B"&amp;R1&amp;""),"*雙葉*"),COUNTIF($B$71:$B$210,"*雙葉*")&gt;=1),
IF(COUNTIF(INDIRECT("B"&amp;R1&amp;""),"*雙葉先生*"),INDIRECT("H"&amp;R1&amp;""),INDIRECT("H"&amp;R1&amp;"")+INDIRECT("H"&amp;MATCH("雙葉'",INDIRECT("B"&amp;R1+3&amp;":B210"),0)+2+R1&amp;"")),
IF(AND(LEFT(INDIRECT("B"&amp;R1&amp;""),2)="博多",COUNTIF(B:B,"*博多*")&gt;=2),
INDIRECT("H"&amp;R1&amp;"")+INDIRECT("H"&amp;MATCH("*"&amp;INDIRECT("B"&amp;R1&amp;"")&amp;"*",INDIRECT("B"&amp;R1+1&amp;":B210"),0)+R1&amp;""),
IF(AND(LEFT(INDIRECT("B"&amp;R1&amp;""),3)="奈良屋",COUNTIF(B:B,"*奈良屋*")&gt;=2),
INDIRECT("H"&amp;R1&amp;"")+INDIRECT("H"&amp;MATCH("*"&amp;INDIRECT("B"&amp;R1&amp;"")&amp;"*",INDIRECT("B"&amp;R1+1&amp;":B210"),0)+R1&amp;"")
+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INDIRECT("H"&amp;R1&amp;"")))),"")</f>
        <v>#N/A</v>
      </c>
      <c r="X1" s="203">
        <f t="array" aca="1" ref="X1" ca="1">IF($R1&lt;&gt;"",
INDIRECT(""&amp;IF(COLUMN(I1)&lt;=26,CHAR(COLUMN(I1)+64),CHAR(INT((COLUMN(I1)-1)/26)+64)&amp;CHAR(MOD(COLUMN(I1)-1,26)+65))&amp;$R1&amp;""),"")</f>
        <v>0</v>
      </c>
      <c r="Y1" s="203">
        <f t="array" aca="1" ref="Y1" ca="1">IF($R1&lt;&gt;"",
INDIRECT(""&amp;IF(COLUMN(J1)&lt;=26,CHAR(COLUMN(J1)+64),CHAR(INT((COLUMN(J1)-1)/26)+64)&amp;CHAR(MOD(COLUMN(J1)-1,26)+65))&amp;$R1&amp;""),"")</f>
        <v>0</v>
      </c>
      <c r="Z1" s="203" t="str">
        <f t="shared" ref="Z1:Z64" ca="1" si="2">IF(R1&lt;&gt;"",
IFERROR(INT(W1/Y1),""),"")</f>
        <v/>
      </c>
      <c r="AA1" s="203" t="str">
        <f t="shared" ref="AA1:AA64" ca="1" si="3">IFERROR(MOD(W1,Y1),"")</f>
        <v/>
      </c>
      <c r="AB1" s="203">
        <f t="array" aca="1" ref="AB1" ca="1">IF($R1&lt;&gt;"",
IF(AND(COUNTIF(INDIRECT("B"&amp;R1&amp;""),"*雙葉*"),COUNTIF(B:B,"*雙葉*")&gt;=2),
INDIRECT("M"&amp;R1&amp;"")+INDIRECT("M"&amp;MATCH("雙葉'",INDIRECT("B"&amp;R1+1&amp;":B210"),0)+R1&amp;""),
IF(AND(LEFT(INDIRECT("B"&amp;R1&amp;""),2)="博多",COUNTIF(B:B,"*博多*")&gt;=2),
INDIRECT("M"&amp;R1&amp;"")+INDIRECT("M"&amp;MATCH("*"&amp;INDIRECT("B"&amp;R1&amp;"")&amp;"*",INDIRECT("B"&amp;R1+1&amp;":B210"),0)+R1&amp;""),
IF(AND(LEFT(INDIRECT("B"&amp;R1&amp;""),3)="奈良屋",COUNTIF(B:B,"*奈良屋*")&gt;=2),
INDIRECT("M"&amp;R1&amp;"")+INDIRECT("M"&amp;MATCH("*"&amp;INDIRECT("B"&amp;R1&amp;"")&amp;"*",INDIRECT("B"&amp;R1+1&amp;":B210"),0)+R1&amp;"")
+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INDIRECT("M"&amp;R1&amp;"")))),"")</f>
        <v>0</v>
      </c>
      <c r="AC1" s="203" t="e">
        <f t="shared" ref="AC1:AC64" ca="1" si="4">IF(S1&lt;&gt;"",INDEX(A:A, MATCH("*"&amp;LEFT(S1,4)&amp;"*", C:C, 0)),"")</f>
        <v>#N/A</v>
      </c>
      <c r="AD1" s="51">
        <f t="shared" ref="AD1:AD64" ca="1" si="5">IFERROR(INDEX(AC:AC,MATCH(SMALL($AU:$AU,ROW()+3),$AU:$AU,0)),"")</f>
        <v>146</v>
      </c>
      <c r="AE1" s="51">
        <f t="shared" ref="AE1:AE64" ca="1" si="6">IFERROR(INDEX(R:R,MATCH(SMALL($AU:$AU,ROW()+3),$AU:$AU,0)),"")</f>
        <v>214</v>
      </c>
      <c r="AF1" s="51" t="str">
        <f t="shared" ref="AF1:AF64" ca="1" si="7">IFERROR(INDEX(S:S,MATCH(SMALL($AU:$AU,ROW()+3),$AU:$AU,0)),"")</f>
        <v>先生用</v>
      </c>
      <c r="AG1" s="51" t="str">
        <f t="shared" ref="AG1:AG64" ca="1" si="8">IFERROR(INDEX(T:T,MATCH(SMALL($AU:$AU,ROW()+3),$AU:$AU,0)),"")</f>
        <v/>
      </c>
      <c r="AH1" s="191" t="str">
        <f t="shared" ref="AH1:AH64" ca="1" si="9">IFERROR(INDEX(U:U,MATCH(SMALL($AU:$AU,ROW()+3),$AU:$AU,0)),"")</f>
        <v/>
      </c>
      <c r="AI1" s="51" t="str">
        <f t="shared" ref="AI1:AI64" ca="1" si="10">IFERROR(INDEX(V:V,MATCH(SMALL($AU:$AU,ROW()+3),$AU:$AU,0)),"")</f>
        <v/>
      </c>
      <c r="AJ1" s="51" t="str">
        <f t="shared" ref="AJ1:AJ64" ca="1" si="11">IFERROR(INDEX(W:W,MATCH(SMALL($AU:$AU,ROW()+3),$AU:$AU,0)),"")</f>
        <v/>
      </c>
      <c r="AK1" s="51">
        <f t="shared" ref="AK1:AK64" ca="1" si="12">IFERROR(INDEX(X:X,MATCH(SMALL($AU:$AU,ROW()+3),$AU:$AU,0)),"")</f>
        <v>0</v>
      </c>
      <c r="AL1" s="51">
        <f t="shared" ref="AL1:AL64" ca="1" si="13">IFERROR(INDEX(Y:Y,MATCH(SMALL($AU:$AU,ROW()+3),$AU:$AU,0)),"")</f>
        <v>12</v>
      </c>
      <c r="AM1" s="51" t="str">
        <f t="shared" ref="AM1:AM64" ca="1" si="14">IFERROR(INDEX(Z:Z,MATCH(SMALL($AU:$AU,ROW()+3),$AU:$AU,0)),"")</f>
        <v/>
      </c>
      <c r="AN1" s="51" t="str">
        <f t="shared" ref="AN1:AN64" ca="1" si="15">IFERROR(INDEX(AA:AA,MATCH(SMALL($AU:$AU,ROW()+3),$AU:$AU,0)),"")</f>
        <v/>
      </c>
      <c r="AO1" s="51">
        <f t="shared" ref="AO1:AO64" ca="1" si="16">IFERROR(INDEX(AB:AB,MATCH(SMALL($AU:$AU,ROW()+3),$AU:$AU,0)),"")</f>
        <v>0</v>
      </c>
      <c r="AP1" s="51">
        <f t="shared" ref="AP1:AP64" ca="1" si="17">IFERROR(INDEX(AC:AC,MATCH(SMALL($AU:$AU,ROW()+3),$AU:$AU,0)),"")</f>
        <v>146</v>
      </c>
      <c r="AU1" s="51" t="str">
        <f t="shared" ref="AU1:AU64" ca="1" si="18">IFERROR(IF(R1&gt;=215, 1000000+R1, AC1*1000+R1),"")</f>
        <v/>
      </c>
    </row>
    <row r="2" spans="1:47" ht="18" customHeight="1">
      <c r="A2" s="177">
        <f t="shared" ref="A2:A33" si="19">A1+2</f>
        <v>9</v>
      </c>
      <c r="B2" s="52" t="str">
        <f t="shared" ref="B2:B33" si="20">IF(COUNTIF(C2,"*雙葉*"),
IF(COUNTIF(C2,"*先生*"),"雙葉先生","雙葉"),
IF(COUNTIF(C2,"*社食*"),"社食'",
IF(LEFT(C2,2)="博多",
IF(IFERROR(TRIM(LEFT(C1,FIND("幼",C1)-1)),TRIM(C1))=IFERROR(TRIM(LEFT(C2,FIND("幼",C2)-1)),TRIM(C2)),
IFERROR(TRIM(LEFT(C2,FIND("幼",C2)-1)),TRIM(C2))&amp;"'",IFERROR(TRIM(LEFT(C2,FIND("幼",C2)-1)),TRIM(C2))),
IF(LEFT(C2,3)="奈良屋",
IF(TRIM(LEFT(C1,FIND("幼",C1)-1))=TRIM(LEFT(C2,FIND("幼",C2)-1)),
"奈良屋'","奈良屋"),""))))</f>
        <v/>
      </c>
      <c r="C2" s="52" t="str">
        <f>IF(OR(クライアント抽出!B2&lt;&gt;"",クライアント抽出!E2&lt;&gt;""),クライアント抽出!A2,"")</f>
        <v/>
      </c>
      <c r="D2" s="52" t="str">
        <f t="array" aca="1" ref="D2" ca="1">IF(C2&lt;&gt;"",INDIRECT("クライアント抽出!"&amp;E2&amp;MATCH(C2,クライアント抽出!A:A,0)&amp;""),"")</f>
        <v/>
      </c>
      <c r="E2" s="52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53" t="str">
        <f ca="1">IF(D2&lt;&gt;"",
IF(COUNTIF(C2,"*雙葉*"),
IF(ROUND((H2-M2)
/IF(COUNTIF(D2,"*キャラ*"),
VLOOKUP("*キャラ*",商品マスタ一覧!$D:$E,2,FALSE),
IF(COUNTIF(D2,"*赤*"),
VLOOKUP("*赤*",商品マスタ一覧!$D:$E,2,FALSE),
VLOOKUP("*"&amp;D2&amp;"*",商品マスタ一覧!$D:$E,2,FALSE))),0)&lt;=0,1,
ROUND((H2-M2)
/IF(COUNTIF(D2,"*キャラ*"),
VLOOKUP("*キャラ*",商品マスタ一覧!$D:$E,2,FALSE),
IF(COUNTIF(D2,"*赤*"),
VLOOKUP("*赤*",商品マスタ一覧!$D:$E,2,FALSE),
VLOOKUP("*"&amp;D2&amp;"*",商品マスタ一覧!$D:$E,2,FALSE))),0)),
IF(OR(COUNTIF(D2,"*キャラ*"),COUNTIF(D2,"*赤*")),"",
IF(VLOOKUP("*"&amp;D2&amp;"*",商品マスタ一覧!$D:$E,2,FALSE)=0,"",
IF(ROUND((H2-M2)
/VLOOKUP("*"&amp;D2&amp;"*",商品マスタ一覧!$D:$E,2,FALSE),0)&lt;=0,1,
ROUND((H2-M2)
/VLOOKUP("*"&amp;D2&amp;"*",商品マスタ一覧!$D:$E,2,FALSE),0))))),"")</f>
        <v/>
      </c>
      <c r="G2" s="52" t="str">
        <f ca="1">IF(F2&lt;&gt;"",
IF(VALUE(H2-M2)&gt;VALUE(IF(COUNTIF(D2,"*キャラ*"),
VLOOKUP("*キャラ*",商品マスタ一覧!$D:$E,2,FALSE),
IF(COUNTIF(D2,"*赤*"),
VLOOKUP("*赤*",商品マスタ一覧!$D:$E,2,FALSE),
VLOOKUP("*"&amp;D2&amp;"*",商品マスタ一覧!$D:$E,2,FALSE)))*F2),
"+"&amp;(H2-M2)-IF(COUNTIF(D2,"*キャラ*"),
VLOOKUP("*キャラ*",商品マスタ一覧!$D:$E,2,FALSE),
IF(COUNTIF(D2,"*赤*"),
VLOOKUP("*赤*",商品マスタ一覧!$D:$E,2,FALSE),
VLOOKUP("*"&amp;D2&amp;"*",商品マスタ一覧!$D:$E,2,FALSE)))*F2,
(H2-M2)-IF(COUNTIF(D2,"*キャラ*"),
VLOOKUP("*キャラ*",商品マスタ一覧!$D:$E,2,FALSE),
IF(COUNTIF(D2,"*赤*"),
VLOOKUP("*赤*",商品マスタ一覧!$D:$E,2,FALSE),
VLOOKUP("*"&amp;D2&amp;"*",商品マスタ一覧!$D:$E,2,FALSE)))*F2),"")</f>
        <v/>
      </c>
      <c r="H2" s="175" t="str">
        <f>IF(C2&lt;&gt;"",
クライアント抽出!B2,"")</f>
        <v/>
      </c>
      <c r="I2" s="52" t="str">
        <f t="array" aca="1" ref="I2" ca="1">IF(C2&lt;&gt;"",
IF(O2=1,
IF(SUMPRODUCT(COUNTIF(クライアント抽出!P2:U2,クライアント抽出!P2:U2))&gt;COUNTA(クライアント抽出!P2:U2),
INDIRECT("数出表_Excel!"&amp;INDEX(_xlfn.UNIQUE(_xlfn._xlws.FILTER(クライアント抽出!P2:U2,COUNTIF(クライアント抽出!P2:U2,クライアント抽出!P2:U2)&gt;1)),1)&amp;L2&amp;""),0),クライアント抽出!E2),"")</f>
        <v/>
      </c>
      <c r="J2" s="52" t="str">
        <f>IF(C2&lt;&gt;"",
VLOOKUP(
"*"&amp;LEFT(IF(COUNTIF(D2,"*学食*"),"キャラ弁（学食）",
IF(COUNTIF(D2,"*赤*"),"赤",
IF(COUNTIF(D2,"*キャラ弁当*"),"キャラ弁当",D2))),4)&amp;"*",注文弁当の抽出!$E$1:$F$15,2,FALSE),"")</f>
        <v/>
      </c>
      <c r="K2" s="52" t="str">
        <f ca="1">IF(クライアント抽出!P2&lt;&gt;"",SUBSTITUTE(ADDRESS(1,(CODE(クライアント抽出!P2)-64)*2-1,4),"1",""),"")</f>
        <v/>
      </c>
      <c r="L2" s="52" t="str">
        <f>IF(C2&lt;&gt;"",クライアント抽出!I2,"")</f>
        <v/>
      </c>
      <c r="M2" s="52">
        <f t="array" aca="1" ref="M2" ca="1">IF(C2&lt;&gt;"",
IF(K2&lt;&gt;"",INDIRECT("'数出表_Excel（アレルギー入力）'!"&amp;K2&amp;L2-1&amp;""),),)</f>
        <v>0</v>
      </c>
      <c r="N2" s="52" t="str">
        <f>IF(C2&lt;&gt;"",IF(OR(COUNTIF('盛付札（関数）'!D2,"*赤*"),COUNTIF('盛付札（関数）'!D2,"*キャラ*")),1,
VLOOKUP("*"&amp;D2&amp;"*",商品マスタ一覧!D:H,5,FALSE)),"")</f>
        <v/>
      </c>
      <c r="O2" s="52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52">
        <f t="shared" si="0"/>
        <v>0</v>
      </c>
      <c r="Q2" s="52" t="b">
        <f t="shared" si="1"/>
        <v>0</v>
      </c>
      <c r="R2" s="203">
        <f t="array" aca="1" ref="R2" ca="1">IFERROR(SMALL(IF(P$1:P$307&lt;&gt;0,P$1:P$307),ROW(A2)),"")</f>
        <v>212</v>
      </c>
      <c r="S2" s="203" t="str">
        <f t="array" aca="1" ref="S2" ca="1">IF($R2&lt;&gt;"",
SUBSTITUTE(SUBSTITUTE(INDIRECT("C"&amp;$R2&amp;"")," 週3ｺｰｽ","")," 週5ｺｰｽ",""),"")</f>
        <v>新日本製薬</v>
      </c>
      <c r="T2" s="203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204">
        <f t="array" aca="1" ref="U2" ca="1">IF($R2&lt;&gt;"",
INDIRECT("F"&amp;$R2&amp;""),"")</f>
        <v>0</v>
      </c>
      <c r="V2" s="203">
        <f t="array" aca="1" ref="V2" ca="1">IF($R2&lt;&gt;"",
INDIRECT("G"&amp;$R2&amp;""),"")</f>
        <v>0</v>
      </c>
      <c r="W2" s="203" t="e">
        <f t="array" aca="1" ref="W2" ca="1">IF($R2&lt;&gt;"",
IF(AND(COUNTIF(INDIRECT("B"&amp;R2&amp;""),"*雙葉*"),COUNTIF($B$71:$B$210,"*雙葉*")&gt;=1),
IF(OR(COUNTIF(INDIRECT("B"&amp;R2&amp;""),"*雙葉先生*"),COUNTIF(INDIRECT("B"&amp;R2-1&amp;""),"*雙葉*")),INDIRECT("H"&amp;R2&amp;""),INDIRECT("H"&amp;R2&amp;"")+INDIRECT("H"&amp;MATCH("雙葉'",INDIRECT("B"&amp;R2+3&amp;":B210"),0)+2+R2&amp;"")),
IF(AND(LEFT(INDIRECT("B"&amp;R2&amp;""),2)="博多",COUNTIF(B:B,"*博多*")&gt;=2),
INDIRECT("H"&amp;R2&amp;"")+INDIRECT("H"&amp;MATCH("*"&amp;INDIRECT("B"&amp;R2&amp;"")&amp;"*",INDIRECT("B"&amp;R2+1&amp;":B210"),0)+R2&amp;""),
IF(AND(LEFT(INDIRECT("B"&amp;R2&amp;""),3)="奈良屋",COUNTIF(B:B,"*奈良屋*")&gt;=2),
INDIRECT("H"&amp;R2&amp;"")+INDIRECT("H"&amp;MATCH("*"&amp;INDIRECT("B"&amp;R2&amp;"")&amp;"*",INDIRECT("B"&amp;R2+1&amp;":B210"),0)+R2&amp;"")
+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INDIRECT("H"&amp;R2&amp;"")))),"")</f>
        <v>#N/A</v>
      </c>
      <c r="X2" s="203">
        <f t="array" aca="1" ref="X2" ca="1">IF($R2&lt;&gt;"",
INDIRECT(""&amp;IF(COLUMN(I2)&lt;=26,CHAR(COLUMN(I2)+64),CHAR(INT((COLUMN(I2)-1)/26)+64)&amp;CHAR(MOD(COLUMN(I2)-1,26)+65))&amp;$R2&amp;""),"")</f>
        <v>0</v>
      </c>
      <c r="Y2" s="203">
        <f t="array" aca="1" ref="Y2" ca="1">IF($R2&lt;&gt;"",
INDIRECT(""&amp;IF(COLUMN(J2)&lt;=26,CHAR(COLUMN(J2)+64),CHAR(INT((COLUMN(J2)-1)/26)+64)&amp;CHAR(MOD(COLUMN(J2)-1,26)+65))&amp;$R2&amp;""),"")</f>
        <v>0</v>
      </c>
      <c r="Z2" s="203" t="str">
        <f t="shared" ca="1" si="2"/>
        <v/>
      </c>
      <c r="AA2" s="203" t="str">
        <f t="shared" ca="1" si="3"/>
        <v/>
      </c>
      <c r="AB2" s="203">
        <f t="array" aca="1" ref="AB2" ca="1">IF($R2&lt;&gt;"",
IF(AND(COUNTIF(INDIRECT("B"&amp;R2&amp;""),"*雙葉*"),COUNTIF(B:B,"*雙葉*")&gt;=2),
INDIRECT("M"&amp;R2&amp;"")+INDIRECT("M"&amp;MATCH("雙葉'",INDIRECT("B"&amp;R2+1&amp;":B210"),0)+R2&amp;""),
IF(AND(LEFT(INDIRECT("B"&amp;R2&amp;""),2)="博多",COUNTIF(B:B,"*博多*")&gt;=2),
INDIRECT("M"&amp;R2&amp;"")+INDIRECT("M"&amp;MATCH("*"&amp;INDIRECT("B"&amp;R2&amp;"")&amp;"*",INDIRECT("B"&amp;R2+1&amp;":B210"),0)+R2&amp;""),
IF(AND(LEFT(INDIRECT("B"&amp;R2&amp;""),3)="奈良屋",COUNTIF(B:B,"*奈良屋*")&gt;=2),
INDIRECT("M"&amp;R2&amp;"")+INDIRECT("M"&amp;MATCH("*"&amp;INDIRECT("B"&amp;R2&amp;"")&amp;"*",INDIRECT("B"&amp;R2+1&amp;":B210"),0)+R2&amp;"")
+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INDIRECT("M"&amp;R2&amp;"")))),"")</f>
        <v>0</v>
      </c>
      <c r="AC2" s="203" t="e">
        <f t="shared" ca="1" si="4"/>
        <v>#N/A</v>
      </c>
      <c r="AD2" s="51">
        <f t="shared" ca="1" si="5"/>
        <v>154</v>
      </c>
      <c r="AE2" s="51">
        <f t="shared" ca="1" si="6"/>
        <v>262</v>
      </c>
      <c r="AF2" s="51" t="str">
        <f t="shared" ca="1" si="7"/>
        <v>社食</v>
      </c>
      <c r="AG2" s="51" t="str">
        <f t="shared" ca="1" si="8"/>
        <v/>
      </c>
      <c r="AH2" s="191">
        <f t="shared" ca="1" si="9"/>
        <v>0</v>
      </c>
      <c r="AI2" s="51">
        <f t="shared" ca="1" si="10"/>
        <v>0</v>
      </c>
      <c r="AJ2" s="51" t="str">
        <f t="shared" ca="1" si="11"/>
        <v/>
      </c>
      <c r="AK2" s="51" t="str">
        <f t="shared" ca="1" si="12"/>
        <v/>
      </c>
      <c r="AL2" s="51">
        <f t="shared" ca="1" si="13"/>
        <v>0</v>
      </c>
      <c r="AM2" s="51" t="str">
        <f t="shared" ca="1" si="14"/>
        <v/>
      </c>
      <c r="AN2" s="51" t="str">
        <f t="shared" ca="1" si="15"/>
        <v/>
      </c>
      <c r="AO2" s="51">
        <f t="shared" ca="1" si="16"/>
        <v>0</v>
      </c>
      <c r="AP2" s="51">
        <f t="shared" ca="1" si="17"/>
        <v>154</v>
      </c>
      <c r="AU2" s="51" t="str">
        <f t="shared" ca="1" si="18"/>
        <v/>
      </c>
    </row>
    <row r="3" spans="1:47" ht="22.2" customHeight="1">
      <c r="A3" s="177">
        <f t="shared" si="19"/>
        <v>11</v>
      </c>
      <c r="B3" s="52" t="str">
        <f t="shared" si="20"/>
        <v/>
      </c>
      <c r="C3" s="52" t="str">
        <f>IF(OR(クライアント抽出!B3&lt;&gt;"",クライアント抽出!E3&lt;&gt;""),クライアント抽出!A3,"")</f>
        <v/>
      </c>
      <c r="D3" s="52" t="str">
        <f t="array" aca="1" ref="D3" ca="1">IF(C3&lt;&gt;"",INDIRECT("クライアント抽出!"&amp;E3&amp;MATCH(C3,クライアント抽出!A:A,0)&amp;""),"")</f>
        <v/>
      </c>
      <c r="E3" s="52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53" t="str">
        <f ca="1">IF(D3&lt;&gt;"",
IF(COUNTIF(C3,"*雙葉*"),
IF(ROUND((H3-M3)
/IF(COUNTIF(D3,"*キャラ*"),
VLOOKUP("*キャラ*",商品マスタ一覧!$D:$E,2,FALSE),
IF(COUNTIF(D3,"*赤*"),
VLOOKUP("*赤*",商品マスタ一覧!$D:$E,2,FALSE),
VLOOKUP("*"&amp;D3&amp;"*",商品マスタ一覧!$D:$E,2,FALSE))),0)&lt;=0,1,
ROUND((H3-M3)
/IF(COUNTIF(D3,"*キャラ*"),
VLOOKUP("*キャラ*",商品マスタ一覧!$D:$E,2,FALSE),
IF(COUNTIF(D3,"*赤*"),
VLOOKUP("*赤*",商品マスタ一覧!$D:$E,2,FALSE),
VLOOKUP("*"&amp;D3&amp;"*",商品マスタ一覧!$D:$E,2,FALSE))),0)),
IF(OR(COUNTIF(D3,"*キャラ*"),COUNTIF(D3,"*赤*")),"",
IF(VLOOKUP("*"&amp;D3&amp;"*",商品マスタ一覧!$D:$E,2,FALSE)=0,"",
IF(ROUND((H3-M3)
/VLOOKUP("*"&amp;D3&amp;"*",商品マスタ一覧!$D:$E,2,FALSE),0)&lt;=0,1,
ROUND((H3-M3)
/VLOOKUP("*"&amp;D3&amp;"*",商品マスタ一覧!$D:$E,2,FALSE),0))))),"")</f>
        <v/>
      </c>
      <c r="G3" s="52" t="str">
        <f ca="1">IF(F3&lt;&gt;"",
IF(VALUE(H3-M3)&gt;VALUE(IF(COUNTIF(D3,"*キャラ*"),
VLOOKUP("*キャラ*",商品マスタ一覧!$D:$E,2,FALSE),
IF(COUNTIF(D3,"*赤*"),
VLOOKUP("*赤*",商品マスタ一覧!$D:$E,2,FALSE),
VLOOKUP("*"&amp;D3&amp;"*",商品マスタ一覧!$D:$E,2,FALSE)))*F3),
"+"&amp;(H3-M3)-IF(COUNTIF(D3,"*キャラ*"),
VLOOKUP("*キャラ*",商品マスタ一覧!$D:$E,2,FALSE),
IF(COUNTIF(D3,"*赤*"),
VLOOKUP("*赤*",商品マスタ一覧!$D:$E,2,FALSE),
VLOOKUP("*"&amp;D3&amp;"*",商品マスタ一覧!$D:$E,2,FALSE)))*F3,
(H3-M3)-IF(COUNTIF(D3,"*キャラ*"),
VLOOKUP("*キャラ*",商品マスタ一覧!$D:$E,2,FALSE),
IF(COUNTIF(D3,"*赤*"),
VLOOKUP("*赤*",商品マスタ一覧!$D:$E,2,FALSE),
VLOOKUP("*"&amp;D3&amp;"*",商品マスタ一覧!$D:$E,2,FALSE)))*F3),"")</f>
        <v/>
      </c>
      <c r="H3" s="175" t="str">
        <f>IF(C3&lt;&gt;"",
クライアント抽出!B3,"")</f>
        <v/>
      </c>
      <c r="I3" s="52" t="str">
        <f t="array" aca="1" ref="I3" ca="1">IF(C3&lt;&gt;"",
IF(O3=1,
IF(SUMPRODUCT(COUNTIF(クライアント抽出!P3:U3,クライアント抽出!P3:U3))&gt;COUNTA(クライアント抽出!P3:U3),
INDIRECT("数出表_Excel!"&amp;INDEX(_xlfn.UNIQUE(_xlfn._xlws.FILTER(クライアント抽出!P3:U3,COUNTIF(クライアント抽出!P3:U3,クライアント抽出!P3:U3)&gt;1)),1)&amp;L3&amp;""),0),クライアント抽出!E3),"")</f>
        <v/>
      </c>
      <c r="J3" s="52" t="str">
        <f>IF(C3&lt;&gt;"",
VLOOKUP(
"*"&amp;LEFT(IF(COUNTIF(D3,"*学食*"),"キャラ弁（学食）",
IF(COUNTIF(D3,"*赤*"),"赤",
IF(COUNTIF(D3,"*キャラ弁当*"),"キャラ弁当",D3))),4)&amp;"*",注文弁当の抽出!$E$1:$F$15,2,FALSE),"")</f>
        <v/>
      </c>
      <c r="K3" s="52" t="str">
        <f ca="1">IF(クライアント抽出!P3&lt;&gt;"",SUBSTITUTE(ADDRESS(1,(CODE(クライアント抽出!P3)-64)*2-1,4),"1",""),"")</f>
        <v/>
      </c>
      <c r="L3" s="52" t="str">
        <f>IF(C3&lt;&gt;"",クライアント抽出!I3,"")</f>
        <v/>
      </c>
      <c r="M3" s="52">
        <f t="array" aca="1" ref="M3" ca="1">IF(C3&lt;&gt;"",
IF(K3&lt;&gt;"",INDIRECT("'数出表_Excel（アレルギー入力）'!"&amp;K3&amp;L3-1&amp;""),),)</f>
        <v>0</v>
      </c>
      <c r="N3" s="52" t="str">
        <f>IF(C3&lt;&gt;"",IF(OR(COUNTIF('盛付札（関数）'!D3,"*赤*"),COUNTIF('盛付札（関数）'!D3,"*キャラ*")),1,
VLOOKUP("*"&amp;D3&amp;"*",商品マスタ一覧!D:H,5,FALSE)),"")</f>
        <v/>
      </c>
      <c r="O3" s="52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52">
        <f t="shared" si="0"/>
        <v>0</v>
      </c>
      <c r="Q3" s="52" t="b">
        <f t="shared" si="1"/>
        <v>0</v>
      </c>
      <c r="R3" s="203">
        <f t="array" aca="1" ref="R3" ca="1">IFERROR(SMALL(IF(P$1:P$307&lt;&gt;0,P$1:P$307),ROW(A3)),"")</f>
        <v>213</v>
      </c>
      <c r="S3" s="203" t="str">
        <f t="array" aca="1" ref="S3" ca="1">IF($R3&lt;&gt;"",
SUBSTITUTE(SUBSTITUTE(INDIRECT("C"&amp;$R3&amp;"")," 週3ｺｰｽ","")," 週5ｺｰｽ",""),"")</f>
        <v>配送</v>
      </c>
      <c r="T3" s="203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204">
        <f t="array" aca="1" ref="U3" ca="1">IF($R3&lt;&gt;"",
INDIRECT("F"&amp;$R3&amp;""),"")</f>
        <v>0</v>
      </c>
      <c r="V3" s="203">
        <f t="array" aca="1" ref="V3" ca="1">IF($R3&lt;&gt;"",
INDIRECT("G"&amp;$R3&amp;""),"")</f>
        <v>0</v>
      </c>
      <c r="W3" s="203">
        <f t="array" aca="1" ref="W3" ca="1">IF($R3&lt;&gt;"",
IF(AND(COUNTIF(INDIRECT("B"&amp;R3&amp;""),"*雙葉*"),COUNTIF($B$71:$B$210,"*雙葉*")&gt;=1),
IF(OR(COUNTIF(INDIRECT("B"&amp;R3&amp;""),"*雙葉先生*"),COUNTIF(INDIRECT("B"&amp;R3-1&amp;""),"*雙葉*")),INDIRECT("H"&amp;R3&amp;""),INDIRECT("H"&amp;R3&amp;"")+INDIRECT("H"&amp;MATCH("雙葉'",INDIRECT("B"&amp;R3+3&amp;":B210"),0)+2+R3&amp;"")),
IF(AND(LEFT(INDIRECT("B"&amp;R3&amp;""),2)="博多",COUNTIF(B:B,"*博多*")&gt;=2),
INDIRECT("H"&amp;R3&amp;"")+INDIRECT("H"&amp;MATCH("*"&amp;INDIRECT("B"&amp;R3&amp;"")&amp;"*",INDIRECT("B"&amp;R3+1&amp;":B210"),0)+R3&amp;""),
IF(AND(LEFT(INDIRECT("B"&amp;R3&amp;""),3)="奈良屋",COUNTIF(B:B,"*奈良屋*")&gt;=2),
INDIRECT("H"&amp;R3&amp;"")+INDIRECT("H"&amp;MATCH("*"&amp;INDIRECT("B"&amp;R3&amp;"")&amp;"*",INDIRECT("B"&amp;R3+1&amp;":B210"),0)+R3&amp;"")
+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INDIRECT("H"&amp;R3&amp;"")))),"")</f>
        <v>2</v>
      </c>
      <c r="X3" s="203">
        <f t="array" aca="1" ref="X3" ca="1">IF($R3&lt;&gt;"",
INDIRECT(""&amp;IF(COLUMN(I3)&lt;=26,CHAR(COLUMN(I3)+64),CHAR(INT((COLUMN(I3)-1)/26)+64)&amp;CHAR(MOD(COLUMN(I3)-1,26)+65))&amp;$R3&amp;""),"")</f>
        <v>0</v>
      </c>
      <c r="Y3" s="203">
        <f t="array" aca="1" ref="Y3" ca="1">IF($R3&lt;&gt;"",
INDIRECT(""&amp;IF(COLUMN(J3)&lt;=26,CHAR(COLUMN(J3)+64),CHAR(INT((COLUMN(J3)-1)/26)+64)&amp;CHAR(MOD(COLUMN(J3)-1,26)+65))&amp;$R3&amp;""),"")</f>
        <v>0</v>
      </c>
      <c r="Z3" s="203" t="str">
        <f t="shared" ca="1" si="2"/>
        <v/>
      </c>
      <c r="AA3" s="203" t="str">
        <f t="shared" ca="1" si="3"/>
        <v/>
      </c>
      <c r="AB3" s="203">
        <f t="array" aca="1" ref="AB3" ca="1">IF($R3&lt;&gt;"",
IF(AND(COUNTIF(INDIRECT("B"&amp;R3&amp;""),"*雙葉*"),COUNTIF(B:B,"*雙葉*")&gt;=2),
INDIRECT("M"&amp;R3&amp;"")+INDIRECT("M"&amp;MATCH("雙葉'",INDIRECT("B"&amp;R3+1&amp;":B210"),0)+R3&amp;""),
IF(AND(LEFT(INDIRECT("B"&amp;R3&amp;""),2)="博多",COUNTIF(B:B,"*博多*")&gt;=2),
INDIRECT("M"&amp;R3&amp;"")+INDIRECT("M"&amp;MATCH("*"&amp;INDIRECT("B"&amp;R3&amp;"")&amp;"*",INDIRECT("B"&amp;R3+1&amp;":B210"),0)+R3&amp;""),
IF(AND(LEFT(INDIRECT("B"&amp;R3&amp;""),3)="奈良屋",COUNTIF(B:B,"*奈良屋*")&gt;=2),
INDIRECT("M"&amp;R3&amp;"")+INDIRECT("M"&amp;MATCH("*"&amp;INDIRECT("B"&amp;R3&amp;"")&amp;"*",INDIRECT("B"&amp;R3+1&amp;":B210"),0)+R3&amp;"")
+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INDIRECT("M"&amp;R3&amp;"")))),"")</f>
        <v>0</v>
      </c>
      <c r="AC3" s="203" t="e">
        <f t="shared" ca="1" si="4"/>
        <v>#N/A</v>
      </c>
      <c r="AD3" s="51">
        <f t="shared" ca="1" si="5"/>
        <v>154</v>
      </c>
      <c r="AE3" s="51">
        <f t="shared" ca="1" si="6"/>
        <v>263</v>
      </c>
      <c r="AF3" s="51" t="str">
        <f t="shared" ca="1" si="7"/>
        <v>社食</v>
      </c>
      <c r="AG3" s="51" t="str">
        <f t="shared" ca="1" si="8"/>
        <v/>
      </c>
      <c r="AH3" s="191">
        <f t="shared" ca="1" si="9"/>
        <v>0</v>
      </c>
      <c r="AI3" s="51">
        <f t="shared" ca="1" si="10"/>
        <v>0</v>
      </c>
      <c r="AJ3" s="51" t="str">
        <f t="shared" ca="1" si="11"/>
        <v/>
      </c>
      <c r="AK3" s="51" t="str">
        <f t="shared" ca="1" si="12"/>
        <v/>
      </c>
      <c r="AL3" s="51">
        <f t="shared" ca="1" si="13"/>
        <v>0</v>
      </c>
      <c r="AM3" s="51" t="str">
        <f t="shared" ca="1" si="14"/>
        <v/>
      </c>
      <c r="AN3" s="51" t="str">
        <f t="shared" ca="1" si="15"/>
        <v/>
      </c>
      <c r="AO3" s="51">
        <f t="shared" ca="1" si="16"/>
        <v>0</v>
      </c>
      <c r="AP3" s="51">
        <f t="shared" ca="1" si="17"/>
        <v>154</v>
      </c>
      <c r="AU3" s="51" t="str">
        <f t="shared" ca="1" si="18"/>
        <v/>
      </c>
    </row>
    <row r="4" spans="1:47" ht="18" customHeight="1">
      <c r="A4" s="177">
        <f t="shared" si="19"/>
        <v>13</v>
      </c>
      <c r="B4" s="52" t="str">
        <f t="shared" si="20"/>
        <v/>
      </c>
      <c r="C4" s="52" t="str">
        <f>IF(OR(クライアント抽出!B4&lt;&gt;"",クライアント抽出!E4&lt;&gt;""),クライアント抽出!A4,"")</f>
        <v/>
      </c>
      <c r="D4" s="52" t="str">
        <f t="array" aca="1" ref="D4" ca="1">IF(C4&lt;&gt;"",INDIRECT("クライアント抽出!"&amp;E4&amp;MATCH(C4,クライアント抽出!A:A,0)&amp;""),"")</f>
        <v/>
      </c>
      <c r="E4" s="52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53" t="str">
        <f ca="1">IF(D4&lt;&gt;"",
IF(COUNTIF(C4,"*雙葉*"),
IF(ROUND((H4-M4)
/IF(COUNTIF(D4,"*キャラ*"),
VLOOKUP("*キャラ*",商品マスタ一覧!$D:$E,2,FALSE),
IF(COUNTIF(D4,"*赤*"),
VLOOKUP("*赤*",商品マスタ一覧!$D:$E,2,FALSE),
VLOOKUP("*"&amp;D4&amp;"*",商品マスタ一覧!$D:$E,2,FALSE))),0)&lt;=0,1,
ROUND((H4-M4)
/IF(COUNTIF(D4,"*キャラ*"),
VLOOKUP("*キャラ*",商品マスタ一覧!$D:$E,2,FALSE),
IF(COUNTIF(D4,"*赤*"),
VLOOKUP("*赤*",商品マスタ一覧!$D:$E,2,FALSE),
VLOOKUP("*"&amp;D4&amp;"*",商品マスタ一覧!$D:$E,2,FALSE))),0)),
IF(OR(COUNTIF(D4,"*キャラ*"),COUNTIF(D4,"*赤*")),"",
IF(VLOOKUP("*"&amp;D4&amp;"*",商品マスタ一覧!$D:$E,2,FALSE)=0,"",
IF(ROUND((H4-M4)
/VLOOKUP("*"&amp;D4&amp;"*",商品マスタ一覧!$D:$E,2,FALSE),0)&lt;=0,1,
ROUND((H4-M4)
/VLOOKUP("*"&amp;D4&amp;"*",商品マスタ一覧!$D:$E,2,FALSE),0))))),"")</f>
        <v/>
      </c>
      <c r="G4" s="52" t="str">
        <f ca="1">IF(F4&lt;&gt;"",
IF(VALUE(H4-M4)&gt;VALUE(IF(COUNTIF(D4,"*キャラ*"),
VLOOKUP("*キャラ*",商品マスタ一覧!$D:$E,2,FALSE),
IF(COUNTIF(D4,"*赤*"),
VLOOKUP("*赤*",商品マスタ一覧!$D:$E,2,FALSE),
VLOOKUP("*"&amp;D4&amp;"*",商品マスタ一覧!$D:$E,2,FALSE)))*F4),
"+"&amp;(H4-M4)-IF(COUNTIF(D4,"*キャラ*"),
VLOOKUP("*キャラ*",商品マスタ一覧!$D:$E,2,FALSE),
IF(COUNTIF(D4,"*赤*"),
VLOOKUP("*赤*",商品マスタ一覧!$D:$E,2,FALSE),
VLOOKUP("*"&amp;D4&amp;"*",商品マスタ一覧!$D:$E,2,FALSE)))*F4,
(H4-M4)-IF(COUNTIF(D4,"*キャラ*"),
VLOOKUP("*キャラ*",商品マスタ一覧!$D:$E,2,FALSE),
IF(COUNTIF(D4,"*赤*"),
VLOOKUP("*赤*",商品マスタ一覧!$D:$E,2,FALSE),
VLOOKUP("*"&amp;D4&amp;"*",商品マスタ一覧!$D:$E,2,FALSE)))*F4),"")</f>
        <v/>
      </c>
      <c r="H4" s="175" t="str">
        <f>IF(C4&lt;&gt;"",
クライアント抽出!B4,"")</f>
        <v/>
      </c>
      <c r="I4" s="52" t="str">
        <f t="array" aca="1" ref="I4" ca="1">IF(C4&lt;&gt;"",
IF(O4=1,
IF(SUMPRODUCT(COUNTIF(クライアント抽出!P4:U4,クライアント抽出!P4:U4))&gt;COUNTA(クライアント抽出!P4:U4),
INDIRECT("数出表_Excel!"&amp;INDEX(_xlfn.UNIQUE(_xlfn._xlws.FILTER(クライアント抽出!P4:U4,COUNTIF(クライアント抽出!P4:U4,クライアント抽出!P4:U4)&gt;1)),1)&amp;L4&amp;""),0),クライアント抽出!E4),"")</f>
        <v/>
      </c>
      <c r="J4" s="52" t="str">
        <f>IF(C4&lt;&gt;"",
VLOOKUP(
"*"&amp;LEFT(IF(COUNTIF(D4,"*学食*"),"キャラ弁（学食）",
IF(COUNTIF(D4,"*赤*"),"赤",
IF(COUNTIF(D4,"*キャラ弁当*"),"キャラ弁当",D4))),4)&amp;"*",注文弁当の抽出!$E$1:$F$15,2,FALSE),"")</f>
        <v/>
      </c>
      <c r="K4" s="52" t="str">
        <f ca="1">IF(クライアント抽出!P4&lt;&gt;"",SUBSTITUTE(ADDRESS(1,(CODE(クライアント抽出!P4)-64)*2-1,4),"1",""),"")</f>
        <v/>
      </c>
      <c r="L4" s="52" t="str">
        <f>IF(C4&lt;&gt;"",クライアント抽出!I4,"")</f>
        <v/>
      </c>
      <c r="M4" s="52">
        <f t="array" aca="1" ref="M4" ca="1">IF(C4&lt;&gt;"",
IF(K4&lt;&gt;"",INDIRECT("'数出表_Excel（アレルギー入力）'!"&amp;K4&amp;L4-1&amp;""),),)</f>
        <v>0</v>
      </c>
      <c r="N4" s="52" t="str">
        <f>IF(C4&lt;&gt;"",IF(OR(COUNTIF('盛付札（関数）'!D4,"*赤*"),COUNTIF('盛付札（関数）'!D4,"*キャラ*")),1,
VLOOKUP("*"&amp;D4&amp;"*",商品マスタ一覧!D:H,5,FALSE)),"")</f>
        <v/>
      </c>
      <c r="O4" s="52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52">
        <f t="shared" si="0"/>
        <v>0</v>
      </c>
      <c r="Q4" s="52" t="b">
        <f t="shared" si="1"/>
        <v>0</v>
      </c>
      <c r="R4" s="203">
        <f t="array" aca="1" ref="R4" ca="1">IFERROR(SMALL(IF(P$1:P$307&lt;&gt;0,P$1:P$307),ROW(A4)),"")</f>
        <v>214</v>
      </c>
      <c r="S4" s="203" t="str">
        <f t="array" aca="1" ref="S4" ca="1">IF($R4&lt;&gt;"",
SUBSTITUTE(SUBSTITUTE(INDIRECT("C"&amp;$R4&amp;"")," 週3ｺｰｽ","")," 週5ｺｰｽ",""),"")</f>
        <v>先生用</v>
      </c>
      <c r="T4" s="203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204" t="e">
        <f t="array" aca="1" ref="U4" ca="1">IF($R4&lt;&gt;"",
INDIRECT("F"&amp;$R4&amp;""),"")</f>
        <v>#N/A</v>
      </c>
      <c r="V4" s="203" t="e">
        <f t="array" aca="1" ref="V4" ca="1">IF($R4&lt;&gt;"",
INDIRECT("G"&amp;$R4&amp;""),"")</f>
        <v>#N/A</v>
      </c>
      <c r="W4" s="203" t="e">
        <f t="array" aca="1" ref="W4" ca="1">IF($R4&lt;&gt;"",
IF(AND(COUNTIF(INDIRECT("B"&amp;R4&amp;""),"*雙葉*"),COUNTIF($B$71:$B$210,"*雙葉*")&gt;=1),
IF(OR(COUNTIF(INDIRECT("B"&amp;R4&amp;""),"*雙葉先生*"),COUNTIF(INDIRECT("B"&amp;R4-1&amp;""),"*雙葉*")),INDIRECT("H"&amp;R4&amp;""),INDIRECT("H"&amp;R4&amp;"")+INDIRECT("H"&amp;MATCH("雙葉'",INDIRECT("B"&amp;R4+3&amp;":B210"),0)+2+R4&amp;"")),
IF(AND(LEFT(INDIRECT("B"&amp;R4&amp;""),2)="博多",COUNTIF(B:B,"*博多*")&gt;=2),
INDIRECT("H"&amp;R4&amp;"")+INDIRECT("H"&amp;MATCH("*"&amp;INDIRECT("B"&amp;R4&amp;"")&amp;"*",INDIRECT("B"&amp;R4+1&amp;":B210"),0)+R4&amp;""),
IF(AND(LEFT(INDIRECT("B"&amp;R4&amp;""),3)="奈良屋",COUNTIF(B:B,"*奈良屋*")&gt;=2),
INDIRECT("H"&amp;R4&amp;"")+INDIRECT("H"&amp;MATCH("*"&amp;INDIRECT("B"&amp;R4&amp;"")&amp;"*",INDIRECT("B"&amp;R4+1&amp;":B210"),0)+R4&amp;"")
+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INDIRECT("H"&amp;R4&amp;"")))),"")</f>
        <v>#N/A</v>
      </c>
      <c r="X4" s="203">
        <f t="array" aca="1" ref="X4" ca="1">IF($R4&lt;&gt;"",
INDIRECT(""&amp;IF(COLUMN(I4)&lt;=26,CHAR(COLUMN(I4)+64),CHAR(INT((COLUMN(I4)-1)/26)+64)&amp;CHAR(MOD(COLUMN(I4)-1,26)+65))&amp;$R4&amp;""),"")</f>
        <v>0</v>
      </c>
      <c r="Y4" s="203">
        <f t="array" aca="1" ref="Y4" ca="1">IF($R4&lt;&gt;"",
INDIRECT(""&amp;IF(COLUMN(J4)&lt;=26,CHAR(COLUMN(J4)+64),CHAR(INT((COLUMN(J4)-1)/26)+64)&amp;CHAR(MOD(COLUMN(J4)-1,26)+65))&amp;$R4&amp;""),"")</f>
        <v>12</v>
      </c>
      <c r="Z4" s="203" t="str">
        <f t="shared" ca="1" si="2"/>
        <v/>
      </c>
      <c r="AA4" s="203" t="str">
        <f t="shared" ca="1" si="3"/>
        <v/>
      </c>
      <c r="AB4" s="203">
        <f t="array" aca="1" ref="AB4" ca="1">IF($R4&lt;&gt;"",
IF(AND(COUNTIF(INDIRECT("B"&amp;R4&amp;""),"*雙葉*"),COUNTIF(B:B,"*雙葉*")&gt;=2),
INDIRECT("M"&amp;R4&amp;"")+INDIRECT("M"&amp;MATCH("雙葉'",INDIRECT("B"&amp;R4+1&amp;":B210"),0)+R4&amp;""),
IF(AND(LEFT(INDIRECT("B"&amp;R4&amp;""),2)="博多",COUNTIF(B:B,"*博多*")&gt;=2),
INDIRECT("M"&amp;R4&amp;"")+INDIRECT("M"&amp;MATCH("*"&amp;INDIRECT("B"&amp;R4&amp;"")&amp;"*",INDIRECT("B"&amp;R4+1&amp;":B210"),0)+R4&amp;""),
IF(AND(LEFT(INDIRECT("B"&amp;R4&amp;""),3)="奈良屋",COUNTIF(B:B,"*奈良屋*")&gt;=2),
INDIRECT("M"&amp;R4&amp;"")+INDIRECT("M"&amp;MATCH("*"&amp;INDIRECT("B"&amp;R4&amp;"")&amp;"*",INDIRECT("B"&amp;R4+1&amp;":B210"),0)+R4&amp;"")
+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INDIRECT("M"&amp;R4&amp;"")))),"")</f>
        <v>0</v>
      </c>
      <c r="AC4" s="203">
        <f t="shared" ca="1" si="4"/>
        <v>146</v>
      </c>
      <c r="AD4" s="51" t="str">
        <f t="shared" ca="1" si="5"/>
        <v/>
      </c>
      <c r="AE4" s="51" t="str">
        <f t="shared" ca="1" si="6"/>
        <v/>
      </c>
      <c r="AF4" s="51" t="str">
        <f t="shared" ca="1" si="7"/>
        <v/>
      </c>
      <c r="AG4" s="51" t="str">
        <f t="shared" ca="1" si="8"/>
        <v/>
      </c>
      <c r="AH4" s="191" t="str">
        <f t="shared" ca="1" si="9"/>
        <v/>
      </c>
      <c r="AI4" s="51" t="str">
        <f t="shared" ca="1" si="10"/>
        <v/>
      </c>
      <c r="AJ4" s="51" t="str">
        <f t="shared" ca="1" si="11"/>
        <v/>
      </c>
      <c r="AK4" s="51" t="str">
        <f t="shared" ca="1" si="12"/>
        <v/>
      </c>
      <c r="AL4" s="51" t="str">
        <f t="shared" ca="1" si="13"/>
        <v/>
      </c>
      <c r="AM4" s="51" t="str">
        <f t="shared" ca="1" si="14"/>
        <v/>
      </c>
      <c r="AN4" s="51" t="str">
        <f t="shared" ca="1" si="15"/>
        <v/>
      </c>
      <c r="AO4" s="51" t="str">
        <f t="shared" ca="1" si="16"/>
        <v/>
      </c>
      <c r="AP4" s="51" t="str">
        <f t="shared" ca="1" si="17"/>
        <v/>
      </c>
      <c r="AU4" s="51">
        <f t="shared" ca="1" si="18"/>
        <v>146214</v>
      </c>
    </row>
    <row r="5" spans="1:47" ht="18" customHeight="1">
      <c r="A5" s="177">
        <f t="shared" si="19"/>
        <v>15</v>
      </c>
      <c r="B5" s="52" t="str">
        <f t="shared" si="20"/>
        <v/>
      </c>
      <c r="C5" s="52" t="str">
        <f>IF(OR(クライアント抽出!B5&lt;&gt;"",クライアント抽出!E5&lt;&gt;""),クライアント抽出!A5,"")</f>
        <v/>
      </c>
      <c r="D5" s="52" t="str">
        <f t="array" aca="1" ref="D5" ca="1">IF(C5&lt;&gt;"",INDIRECT("クライアント抽出!"&amp;E5&amp;MATCH(C5,クライアント抽出!A:A,0)&amp;""),"")</f>
        <v/>
      </c>
      <c r="E5" s="52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53" t="str">
        <f ca="1">IF(D5&lt;&gt;"",
IF(COUNTIF(C5,"*雙葉*"),
IF(ROUND((H5-M5)
/IF(COUNTIF(D5,"*キャラ*"),
VLOOKUP("*キャラ*",商品マスタ一覧!$D:$E,2,FALSE),
IF(COUNTIF(D5,"*赤*"),
VLOOKUP("*赤*",商品マスタ一覧!$D:$E,2,FALSE),
VLOOKUP("*"&amp;D5&amp;"*",商品マスタ一覧!$D:$E,2,FALSE))),0)&lt;=0,1,
ROUND((H5-M5)
/IF(COUNTIF(D5,"*キャラ*"),
VLOOKUP("*キャラ*",商品マスタ一覧!$D:$E,2,FALSE),
IF(COUNTIF(D5,"*赤*"),
VLOOKUP("*赤*",商品マスタ一覧!$D:$E,2,FALSE),
VLOOKUP("*"&amp;D5&amp;"*",商品マスタ一覧!$D:$E,2,FALSE))),0)),
IF(OR(COUNTIF(D5,"*キャラ*"),COUNTIF(D5,"*赤*")),"",
IF(VLOOKUP("*"&amp;D5&amp;"*",商品マスタ一覧!$D:$E,2,FALSE)=0,"",
IF(ROUND((H5-M5)
/VLOOKUP("*"&amp;D5&amp;"*",商品マスタ一覧!$D:$E,2,FALSE),0)&lt;=0,1,
ROUND((H5-M5)
/VLOOKUP("*"&amp;D5&amp;"*",商品マスタ一覧!$D:$E,2,FALSE),0))))),"")</f>
        <v/>
      </c>
      <c r="G5" s="52" t="str">
        <f ca="1">IF(F5&lt;&gt;"",
IF(VALUE(H5-M5)&gt;VALUE(IF(COUNTIF(D5,"*キャラ*"),
VLOOKUP("*キャラ*",商品マスタ一覧!$D:$E,2,FALSE),
IF(COUNTIF(D5,"*赤*"),
VLOOKUP("*赤*",商品マスタ一覧!$D:$E,2,FALSE),
VLOOKUP("*"&amp;D5&amp;"*",商品マスタ一覧!$D:$E,2,FALSE)))*F5),
"+"&amp;(H5-M5)-IF(COUNTIF(D5,"*キャラ*"),
VLOOKUP("*キャラ*",商品マスタ一覧!$D:$E,2,FALSE),
IF(COUNTIF(D5,"*赤*"),
VLOOKUP("*赤*",商品マスタ一覧!$D:$E,2,FALSE),
VLOOKUP("*"&amp;D5&amp;"*",商品マスタ一覧!$D:$E,2,FALSE)))*F5,
(H5-M5)-IF(COUNTIF(D5,"*キャラ*"),
VLOOKUP("*キャラ*",商品マスタ一覧!$D:$E,2,FALSE),
IF(COUNTIF(D5,"*赤*"),
VLOOKUP("*赤*",商品マスタ一覧!$D:$E,2,FALSE),
VLOOKUP("*"&amp;D5&amp;"*",商品マスタ一覧!$D:$E,2,FALSE)))*F5),"")</f>
        <v/>
      </c>
      <c r="H5" s="175" t="str">
        <f>IF(C5&lt;&gt;"",
クライアント抽出!B5,"")</f>
        <v/>
      </c>
      <c r="I5" s="52" t="str">
        <f t="array" aca="1" ref="I5" ca="1">IF(C5&lt;&gt;"",
IF(O5=1,
IF(SUMPRODUCT(COUNTIF(クライアント抽出!P5:U5,クライアント抽出!P5:U5))&gt;COUNTA(クライアント抽出!P5:U5),
INDIRECT("数出表_Excel!"&amp;INDEX(_xlfn.UNIQUE(_xlfn._xlws.FILTER(クライアント抽出!P5:U5,COUNTIF(クライアント抽出!P5:U5,クライアント抽出!P5:U5)&gt;1)),1)&amp;L5&amp;""),0),クライアント抽出!E5),"")</f>
        <v/>
      </c>
      <c r="J5" s="52" t="str">
        <f>IF(C5&lt;&gt;"",
VLOOKUP(
"*"&amp;LEFT(IF(COUNTIF(D5,"*学食*"),"キャラ弁（学食）",
IF(COUNTIF(D5,"*赤*"),"赤",
IF(COUNTIF(D5,"*キャラ弁当*"),"キャラ弁当",D5))),4)&amp;"*",注文弁当の抽出!$E$1:$F$15,2,FALSE),"")</f>
        <v/>
      </c>
      <c r="K5" s="52" t="str">
        <f ca="1">IF(クライアント抽出!P5&lt;&gt;"",SUBSTITUTE(ADDRESS(1,(CODE(クライアント抽出!P5)-64)*2-1,4),"1",""),"")</f>
        <v/>
      </c>
      <c r="L5" s="52" t="str">
        <f>IF(C5&lt;&gt;"",クライアント抽出!I5,"")</f>
        <v/>
      </c>
      <c r="M5" s="52">
        <f t="array" aca="1" ref="M5" ca="1">IF(C5&lt;&gt;"",
IF(K5&lt;&gt;"",INDIRECT("'数出表_Excel（アレルギー入力）'!"&amp;K5&amp;L5-1&amp;""),),)</f>
        <v>0</v>
      </c>
      <c r="N5" s="52" t="str">
        <f>IF(C5&lt;&gt;"",IF(OR(COUNTIF('盛付札（関数）'!D5,"*赤*"),COUNTIF('盛付札（関数）'!D5,"*キャラ*")),1,
VLOOKUP("*"&amp;D5&amp;"*",商品マスタ一覧!D:H,5,FALSE)),"")</f>
        <v/>
      </c>
      <c r="O5" s="52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52">
        <f t="shared" si="0"/>
        <v>0</v>
      </c>
      <c r="Q5" s="52" t="b">
        <f t="shared" si="1"/>
        <v>0</v>
      </c>
      <c r="R5" s="203">
        <f t="array" aca="1" ref="R5" ca="1">IFERROR(SMALL(IF(P$1:P$307&lt;&gt;0,P$1:P$307),ROW(A5)),"")</f>
        <v>262</v>
      </c>
      <c r="S5" s="203" t="str">
        <f t="array" aca="1" ref="S5" ca="1">IF($R5&lt;&gt;"",
SUBSTITUTE(SUBSTITUTE(INDIRECT("C"&amp;$R5&amp;"")," 週3ｺｰｽ","")," 週5ｺｰｽ",""),"")</f>
        <v>社食</v>
      </c>
      <c r="T5" s="203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/>
      </c>
      <c r="U5" s="204">
        <f t="array" aca="1" ref="U5" ca="1">IF($R5&lt;&gt;"",
INDIRECT("F"&amp;$R5&amp;""),"")</f>
        <v>0</v>
      </c>
      <c r="V5" s="203">
        <f t="array" aca="1" ref="V5" ca="1">IF($R5&lt;&gt;"",
INDIRECT("G"&amp;$R5&amp;""),"")</f>
        <v>0</v>
      </c>
      <c r="W5" s="203" t="e">
        <f t="array" aca="1" ref="W5" ca="1">IF($R5&lt;&gt;"",
IF(AND(COUNTIF(INDIRECT("B"&amp;R5&amp;""),"*雙葉*"),COUNTIF($B$71:$B$210,"*雙葉*")&gt;=1),
IF(OR(COUNTIF(INDIRECT("B"&amp;R5&amp;""),"*雙葉先生*"),COUNTIF(INDIRECT("B"&amp;R5-1&amp;""),"*雙葉*")),INDIRECT("H"&amp;R5&amp;""),INDIRECT("H"&amp;R5&amp;"")+INDIRECT("H"&amp;MATCH("雙葉'",INDIRECT("B"&amp;R5+3&amp;":B210"),0)+2+R5&amp;"")),
IF(AND(LEFT(INDIRECT("B"&amp;R5&amp;""),2)="博多",COUNTIF(B:B,"*博多*")&gt;=2),
INDIRECT("H"&amp;R5&amp;"")+INDIRECT("H"&amp;MATCH("*"&amp;INDIRECT("B"&amp;R5&amp;"")&amp;"*",INDIRECT("B"&amp;R5+1&amp;":B210"),0)+R5&amp;""),
IF(AND(LEFT(INDIRECT("B"&amp;R5&amp;""),3)="奈良屋",COUNTIF(B:B,"*奈良屋*")&gt;=2),
INDIRECT("H"&amp;R5&amp;"")+INDIRECT("H"&amp;MATCH("*"&amp;INDIRECT("B"&amp;R5&amp;"")&amp;"*",INDIRECT("B"&amp;R5+1&amp;":B210"),0)+R5&amp;"")
+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INDIRECT("H"&amp;R5&amp;"")))),"")</f>
        <v>#N/A</v>
      </c>
      <c r="X5" s="203" t="str">
        <f t="array" aca="1" ref="X5" ca="1">IF($R5&lt;&gt;"",
INDIRECT(""&amp;IF(COLUMN(I5)&lt;=26,CHAR(COLUMN(I5)+64),CHAR(INT((COLUMN(I5)-1)/26)+64)&amp;CHAR(MOD(COLUMN(I5)-1,26)+65))&amp;$R5&amp;""),"")</f>
        <v/>
      </c>
      <c r="Y5" s="203">
        <f t="array" aca="1" ref="Y5" ca="1">IF($R5&lt;&gt;"",
INDIRECT(""&amp;IF(COLUMN(J5)&lt;=26,CHAR(COLUMN(J5)+64),CHAR(INT((COLUMN(J5)-1)/26)+64)&amp;CHAR(MOD(COLUMN(J5)-1,26)+65))&amp;$R5&amp;""),"")</f>
        <v>0</v>
      </c>
      <c r="Z5" s="203" t="str">
        <f t="shared" ca="1" si="2"/>
        <v/>
      </c>
      <c r="AA5" s="203" t="str">
        <f t="shared" ca="1" si="3"/>
        <v/>
      </c>
      <c r="AB5" s="203">
        <f t="array" aca="1" ref="AB5" ca="1">IF($R5&lt;&gt;"",
IF(AND(COUNTIF(INDIRECT("B"&amp;R5&amp;""),"*雙葉*"),COUNTIF(B:B,"*雙葉*")&gt;=2),
INDIRECT("M"&amp;R5&amp;"")+INDIRECT("M"&amp;MATCH("雙葉'",INDIRECT("B"&amp;R5+1&amp;":B210"),0)+R5&amp;""),
IF(AND(LEFT(INDIRECT("B"&amp;R5&amp;""),2)="博多",COUNTIF(B:B,"*博多*")&gt;=2),
INDIRECT("M"&amp;R5&amp;"")+INDIRECT("M"&amp;MATCH("*"&amp;INDIRECT("B"&amp;R5&amp;"")&amp;"*",INDIRECT("B"&amp;R5+1&amp;":B210"),0)+R5&amp;""),
IF(AND(LEFT(INDIRECT("B"&amp;R5&amp;""),3)="奈良屋",COUNTIF(B:B,"*奈良屋*")&gt;=2),
INDIRECT("M"&amp;R5&amp;"")+INDIRECT("M"&amp;MATCH("*"&amp;INDIRECT("B"&amp;R5&amp;"")&amp;"*",INDIRECT("B"&amp;R5+1&amp;":B210"),0)+R5&amp;"")
+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INDIRECT("M"&amp;R5&amp;"")))),"")</f>
        <v>0</v>
      </c>
      <c r="AC5" s="203">
        <f t="shared" ca="1" si="4"/>
        <v>154</v>
      </c>
      <c r="AD5" s="51" t="str">
        <f t="shared" ca="1" si="5"/>
        <v/>
      </c>
      <c r="AE5" s="51" t="str">
        <f t="shared" ca="1" si="6"/>
        <v/>
      </c>
      <c r="AF5" s="51" t="str">
        <f t="shared" ca="1" si="7"/>
        <v/>
      </c>
      <c r="AG5" s="51" t="str">
        <f t="shared" ca="1" si="8"/>
        <v/>
      </c>
      <c r="AH5" s="191" t="str">
        <f t="shared" ca="1" si="9"/>
        <v/>
      </c>
      <c r="AI5" s="51" t="str">
        <f t="shared" ca="1" si="10"/>
        <v/>
      </c>
      <c r="AJ5" s="51" t="str">
        <f t="shared" ca="1" si="11"/>
        <v/>
      </c>
      <c r="AK5" s="51" t="str">
        <f t="shared" ca="1" si="12"/>
        <v/>
      </c>
      <c r="AL5" s="51" t="str">
        <f t="shared" ca="1" si="13"/>
        <v/>
      </c>
      <c r="AM5" s="51" t="str">
        <f t="shared" ca="1" si="14"/>
        <v/>
      </c>
      <c r="AN5" s="51" t="str">
        <f t="shared" ca="1" si="15"/>
        <v/>
      </c>
      <c r="AO5" s="51" t="str">
        <f t="shared" ca="1" si="16"/>
        <v/>
      </c>
      <c r="AP5" s="51" t="str">
        <f t="shared" ca="1" si="17"/>
        <v/>
      </c>
      <c r="AU5" s="51">
        <f t="shared" ca="1" si="18"/>
        <v>1000262</v>
      </c>
    </row>
    <row r="6" spans="1:47" ht="22.2" customHeight="1">
      <c r="A6" s="177">
        <f t="shared" si="19"/>
        <v>17</v>
      </c>
      <c r="B6" s="52" t="str">
        <f t="shared" si="20"/>
        <v/>
      </c>
      <c r="C6" s="52" t="str">
        <f>IF(OR(クライアント抽出!B6&lt;&gt;"",クライアント抽出!E6&lt;&gt;""),クライアント抽出!A6,"")</f>
        <v/>
      </c>
      <c r="D6" s="52" t="str">
        <f t="array" aca="1" ref="D6" ca="1">IF(C6&lt;&gt;"",INDIRECT("クライアント抽出!"&amp;E6&amp;MATCH(C6,クライアント抽出!A:A,0)&amp;""),"")</f>
        <v/>
      </c>
      <c r="E6" s="52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53" t="str">
        <f ca="1">IF(D6&lt;&gt;"",
IF(COUNTIF(C6,"*雙葉*"),
IF(ROUND((H6-M6)
/IF(COUNTIF(D6,"*キャラ*"),
VLOOKUP("*キャラ*",商品マスタ一覧!$D:$E,2,FALSE),
IF(COUNTIF(D6,"*赤*"),
VLOOKUP("*赤*",商品マスタ一覧!$D:$E,2,FALSE),
VLOOKUP("*"&amp;D6&amp;"*",商品マスタ一覧!$D:$E,2,FALSE))),0)&lt;=0,1,
ROUND((H6-M6)
/IF(COUNTIF(D6,"*キャラ*"),
VLOOKUP("*キャラ*",商品マスタ一覧!$D:$E,2,FALSE),
IF(COUNTIF(D6,"*赤*"),
VLOOKUP("*赤*",商品マスタ一覧!$D:$E,2,FALSE),
VLOOKUP("*"&amp;D6&amp;"*",商品マスタ一覧!$D:$E,2,FALSE))),0)),
IF(OR(COUNTIF(D6,"*キャラ*"),COUNTIF(D6,"*赤*")),"",
IF(VLOOKUP("*"&amp;D6&amp;"*",商品マスタ一覧!$D:$E,2,FALSE)=0,"",
IF(ROUND((H6-M6)
/VLOOKUP("*"&amp;D6&amp;"*",商品マスタ一覧!$D:$E,2,FALSE),0)&lt;=0,1,
ROUND((H6-M6)
/VLOOKUP("*"&amp;D6&amp;"*",商品マスタ一覧!$D:$E,2,FALSE),0))))),"")</f>
        <v/>
      </c>
      <c r="G6" s="52" t="str">
        <f ca="1">IF(F6&lt;&gt;"",
IF(VALUE(H6-M6)&gt;VALUE(IF(COUNTIF(D6,"*キャラ*"),
VLOOKUP("*キャラ*",商品マスタ一覧!$D:$E,2,FALSE),
IF(COUNTIF(D6,"*赤*"),
VLOOKUP("*赤*",商品マスタ一覧!$D:$E,2,FALSE),
VLOOKUP("*"&amp;D6&amp;"*",商品マスタ一覧!$D:$E,2,FALSE)))*F6),
"+"&amp;(H6-M6)-IF(COUNTIF(D6,"*キャラ*"),
VLOOKUP("*キャラ*",商品マスタ一覧!$D:$E,2,FALSE),
IF(COUNTIF(D6,"*赤*"),
VLOOKUP("*赤*",商品マスタ一覧!$D:$E,2,FALSE),
VLOOKUP("*"&amp;D6&amp;"*",商品マスタ一覧!$D:$E,2,FALSE)))*F6,
(H6-M6)-IF(COUNTIF(D6,"*キャラ*"),
VLOOKUP("*キャラ*",商品マスタ一覧!$D:$E,2,FALSE),
IF(COUNTIF(D6,"*赤*"),
VLOOKUP("*赤*",商品マスタ一覧!$D:$E,2,FALSE),
VLOOKUP("*"&amp;D6&amp;"*",商品マスタ一覧!$D:$E,2,FALSE)))*F6),"")</f>
        <v/>
      </c>
      <c r="H6" s="175" t="str">
        <f>IF(C6&lt;&gt;"",
クライアント抽出!B6,"")</f>
        <v/>
      </c>
      <c r="I6" s="52" t="str">
        <f t="array" aca="1" ref="I6" ca="1">IF(C6&lt;&gt;"",
IF(O6=1,
IF(SUMPRODUCT(COUNTIF(クライアント抽出!P6:U6,クライアント抽出!P6:U6))&gt;COUNTA(クライアント抽出!P6:U6),
INDIRECT("数出表_Excel!"&amp;INDEX(_xlfn.UNIQUE(_xlfn._xlws.FILTER(クライアント抽出!P6:U6,COUNTIF(クライアント抽出!P6:U6,クライアント抽出!P6:U6)&gt;1)),1)&amp;L6&amp;""),0),クライアント抽出!E6),"")</f>
        <v/>
      </c>
      <c r="J6" s="52" t="str">
        <f>IF(C6&lt;&gt;"",
VLOOKUP(
"*"&amp;LEFT(IF(COUNTIF(D6,"*学食*"),"キャラ弁（学食）",
IF(COUNTIF(D6,"*赤*"),"赤",
IF(COUNTIF(D6,"*キャラ弁当*"),"キャラ弁当",D6))),4)&amp;"*",注文弁当の抽出!$E$1:$F$15,2,FALSE),"")</f>
        <v/>
      </c>
      <c r="K6" s="52" t="str">
        <f ca="1">IF(クライアント抽出!P6&lt;&gt;"",SUBSTITUTE(ADDRESS(1,(CODE(クライアント抽出!P6)-64)*2-1,4),"1",""),"")</f>
        <v/>
      </c>
      <c r="L6" s="52" t="str">
        <f>IF(C6&lt;&gt;"",クライアント抽出!I6,"")</f>
        <v/>
      </c>
      <c r="M6" s="52">
        <f t="array" aca="1" ref="M6" ca="1">IF(C6&lt;&gt;"",
IF(K6&lt;&gt;"",INDIRECT("'数出表_Excel（アレルギー入力）'!"&amp;K6&amp;L6-1&amp;""),),)</f>
        <v>0</v>
      </c>
      <c r="N6" s="52" t="str">
        <f>IF(C6&lt;&gt;"",IF(OR(COUNTIF('盛付札（関数）'!D6,"*赤*"),COUNTIF('盛付札（関数）'!D6,"*キャラ*")),1,
VLOOKUP("*"&amp;D6&amp;"*",商品マスタ一覧!D:H,5,FALSE)),"")</f>
        <v/>
      </c>
      <c r="O6" s="52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52">
        <f t="shared" si="0"/>
        <v>0</v>
      </c>
      <c r="Q6" s="52" t="b">
        <f t="shared" si="1"/>
        <v>0</v>
      </c>
      <c r="R6" s="203">
        <f t="array" aca="1" ref="R6" ca="1">IFERROR(SMALL(IF(P$1:P$307&lt;&gt;0,P$1:P$307),ROW(A6)),"")</f>
        <v>263</v>
      </c>
      <c r="S6" s="203" t="str">
        <f t="array" aca="1" ref="S6" ca="1">IF($R6&lt;&gt;"",
SUBSTITUTE(SUBSTITUTE(INDIRECT("C"&amp;$R6&amp;"")," 週3ｺｰｽ","")," 週5ｺｰｽ",""),"")</f>
        <v>社食</v>
      </c>
      <c r="T6" s="203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/>
      </c>
      <c r="U6" s="204">
        <f t="array" aca="1" ref="U6" ca="1">IF($R6&lt;&gt;"",
INDIRECT("F"&amp;$R6&amp;""),"")</f>
        <v>0</v>
      </c>
      <c r="V6" s="203">
        <f t="array" aca="1" ref="V6" ca="1">IF($R6&lt;&gt;"",
INDIRECT("G"&amp;$R6&amp;""),"")</f>
        <v>0</v>
      </c>
      <c r="W6" s="203" t="e">
        <f t="array" aca="1" ref="W6" ca="1">IF($R6&lt;&gt;"",
IF(AND(COUNTIF(INDIRECT("B"&amp;R6&amp;""),"*雙葉*"),COUNTIF($B$71:$B$210,"*雙葉*")&gt;=1),
IF(OR(COUNTIF(INDIRECT("B"&amp;R6&amp;""),"*雙葉先生*"),COUNTIF(INDIRECT("B"&amp;R6-1&amp;""),"*雙葉*")),INDIRECT("H"&amp;R6&amp;""),INDIRECT("H"&amp;R6&amp;"")+INDIRECT("H"&amp;MATCH("雙葉'",INDIRECT("B"&amp;R6+3&amp;":B210"),0)+2+R6&amp;"")),
IF(AND(LEFT(INDIRECT("B"&amp;R6&amp;""),2)="博多",COUNTIF(B:B,"*博多*")&gt;=2),
INDIRECT("H"&amp;R6&amp;"")+INDIRECT("H"&amp;MATCH("*"&amp;INDIRECT("B"&amp;R6&amp;"")&amp;"*",INDIRECT("B"&amp;R6+1&amp;":B210"),0)+R6&amp;""),
IF(AND(LEFT(INDIRECT("B"&amp;R6&amp;""),3)="奈良屋",COUNTIF(B:B,"*奈良屋*")&gt;=2),
INDIRECT("H"&amp;R6&amp;"")+INDIRECT("H"&amp;MATCH("*"&amp;INDIRECT("B"&amp;R6&amp;"")&amp;"*",INDIRECT("B"&amp;R6+1&amp;":B210"),0)+R6&amp;"")
+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INDIRECT("H"&amp;R6&amp;"")))),"")</f>
        <v>#N/A</v>
      </c>
      <c r="X6" s="203" t="str">
        <f t="array" aca="1" ref="X6" ca="1">IF($R6&lt;&gt;"",
INDIRECT(""&amp;IF(COLUMN(I6)&lt;=26,CHAR(COLUMN(I6)+64),CHAR(INT((COLUMN(I6)-1)/26)+64)&amp;CHAR(MOD(COLUMN(I6)-1,26)+65))&amp;$R6&amp;""),"")</f>
        <v/>
      </c>
      <c r="Y6" s="203">
        <f t="array" aca="1" ref="Y6" ca="1">IF($R6&lt;&gt;"",
INDIRECT(""&amp;IF(COLUMN(J6)&lt;=26,CHAR(COLUMN(J6)+64),CHAR(INT((COLUMN(J6)-1)/26)+64)&amp;CHAR(MOD(COLUMN(J6)-1,26)+65))&amp;$R6&amp;""),"")</f>
        <v>0</v>
      </c>
      <c r="Z6" s="203" t="str">
        <f t="shared" ca="1" si="2"/>
        <v/>
      </c>
      <c r="AA6" s="203" t="str">
        <f t="shared" ca="1" si="3"/>
        <v/>
      </c>
      <c r="AB6" s="203">
        <f t="array" aca="1" ref="AB6" ca="1">IF($R6&lt;&gt;"",
IF(AND(COUNTIF(INDIRECT("B"&amp;R6&amp;""),"*雙葉*"),COUNTIF(B:B,"*雙葉*")&gt;=2),
INDIRECT("M"&amp;R6&amp;"")+INDIRECT("M"&amp;MATCH("雙葉'",INDIRECT("B"&amp;R6+1&amp;":B210"),0)+R6&amp;""),
IF(AND(LEFT(INDIRECT("B"&amp;R6&amp;""),2)="博多",COUNTIF(B:B,"*博多*")&gt;=2),
INDIRECT("M"&amp;R6&amp;"")+INDIRECT("M"&amp;MATCH("*"&amp;INDIRECT("B"&amp;R6&amp;"")&amp;"*",INDIRECT("B"&amp;R6+1&amp;":B210"),0)+R6&amp;""),
IF(AND(LEFT(INDIRECT("B"&amp;R6&amp;""),3)="奈良屋",COUNTIF(B:B,"*奈良屋*")&gt;=2),
INDIRECT("M"&amp;R6&amp;"")+INDIRECT("M"&amp;MATCH("*"&amp;INDIRECT("B"&amp;R6&amp;"")&amp;"*",INDIRECT("B"&amp;R6+1&amp;":B210"),0)+R6&amp;"")
+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INDIRECT("M"&amp;R6&amp;"")))),"")</f>
        <v>0</v>
      </c>
      <c r="AC6" s="203">
        <f t="shared" ca="1" si="4"/>
        <v>154</v>
      </c>
      <c r="AD6" s="51" t="str">
        <f t="shared" ca="1" si="5"/>
        <v/>
      </c>
      <c r="AE6" s="51" t="str">
        <f t="shared" ca="1" si="6"/>
        <v/>
      </c>
      <c r="AF6" s="51" t="str">
        <f t="shared" ca="1" si="7"/>
        <v/>
      </c>
      <c r="AG6" s="51" t="str">
        <f t="shared" ca="1" si="8"/>
        <v/>
      </c>
      <c r="AH6" s="191" t="str">
        <f t="shared" ca="1" si="9"/>
        <v/>
      </c>
      <c r="AI6" s="51" t="str">
        <f t="shared" ca="1" si="10"/>
        <v/>
      </c>
      <c r="AJ6" s="51" t="str">
        <f t="shared" ca="1" si="11"/>
        <v/>
      </c>
      <c r="AK6" s="51" t="str">
        <f t="shared" ca="1" si="12"/>
        <v/>
      </c>
      <c r="AL6" s="51" t="str">
        <f t="shared" ca="1" si="13"/>
        <v/>
      </c>
      <c r="AM6" s="51" t="str">
        <f t="shared" ca="1" si="14"/>
        <v/>
      </c>
      <c r="AN6" s="51" t="str">
        <f t="shared" ca="1" si="15"/>
        <v/>
      </c>
      <c r="AO6" s="51" t="str">
        <f t="shared" ca="1" si="16"/>
        <v/>
      </c>
      <c r="AP6" s="51" t="str">
        <f t="shared" ca="1" si="17"/>
        <v/>
      </c>
      <c r="AU6" s="51">
        <f t="shared" ca="1" si="18"/>
        <v>1000263</v>
      </c>
    </row>
    <row r="7" spans="1:47" ht="21" customHeight="1">
      <c r="A7" s="177">
        <f t="shared" si="19"/>
        <v>19</v>
      </c>
      <c r="B7" s="52" t="str">
        <f t="shared" si="20"/>
        <v/>
      </c>
      <c r="C7" s="52" t="str">
        <f>IF(OR(クライアント抽出!B7&lt;&gt;"",クライアント抽出!E7&lt;&gt;""),クライアント抽出!A7,"")</f>
        <v/>
      </c>
      <c r="D7" s="52" t="str">
        <f t="array" aca="1" ref="D7" ca="1">IF(C7&lt;&gt;"",INDIRECT("クライアント抽出!"&amp;E7&amp;MATCH(C7,クライアント抽出!A:A,0)&amp;""),"")</f>
        <v/>
      </c>
      <c r="E7" s="52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53" t="str">
        <f ca="1">IF(D7&lt;&gt;"",
IF(COUNTIF(C7,"*雙葉*"),
IF(ROUND((H7-M7)
/IF(COUNTIF(D7,"*キャラ*"),
VLOOKUP("*キャラ*",商品マスタ一覧!$D:$E,2,FALSE),
IF(COUNTIF(D7,"*赤*"),
VLOOKUP("*赤*",商品マスタ一覧!$D:$E,2,FALSE),
VLOOKUP("*"&amp;D7&amp;"*",商品マスタ一覧!$D:$E,2,FALSE))),0)&lt;=0,1,
ROUND((H7-M7)
/IF(COUNTIF(D7,"*キャラ*"),
VLOOKUP("*キャラ*",商品マスタ一覧!$D:$E,2,FALSE),
IF(COUNTIF(D7,"*赤*"),
VLOOKUP("*赤*",商品マスタ一覧!$D:$E,2,FALSE),
VLOOKUP("*"&amp;D7&amp;"*",商品マスタ一覧!$D:$E,2,FALSE))),0)),
IF(OR(COUNTIF(D7,"*キャラ*"),COUNTIF(D7,"*赤*")),"",
IF(VLOOKUP("*"&amp;D7&amp;"*",商品マスタ一覧!$D:$E,2,FALSE)=0,"",
IF(ROUND((H7-M7)
/VLOOKUP("*"&amp;D7&amp;"*",商品マスタ一覧!$D:$E,2,FALSE),0)&lt;=0,1,
ROUND((H7-M7)
/VLOOKUP("*"&amp;D7&amp;"*",商品マスタ一覧!$D:$E,2,FALSE),0))))),"")</f>
        <v/>
      </c>
      <c r="G7" s="52" t="str">
        <f ca="1">IF(F7&lt;&gt;"",
IF(VALUE(H7-M7)&gt;VALUE(IF(COUNTIF(D7,"*キャラ*"),
VLOOKUP("*キャラ*",商品マスタ一覧!$D:$E,2,FALSE),
IF(COUNTIF(D7,"*赤*"),
VLOOKUP("*赤*",商品マスタ一覧!$D:$E,2,FALSE),
VLOOKUP("*"&amp;D7&amp;"*",商品マスタ一覧!$D:$E,2,FALSE)))*F7),
"+"&amp;(H7-M7)-IF(COUNTIF(D7,"*キャラ*"),
VLOOKUP("*キャラ*",商品マスタ一覧!$D:$E,2,FALSE),
IF(COUNTIF(D7,"*赤*"),
VLOOKUP("*赤*",商品マスタ一覧!$D:$E,2,FALSE),
VLOOKUP("*"&amp;D7&amp;"*",商品マスタ一覧!$D:$E,2,FALSE)))*F7,
(H7-M7)-IF(COUNTIF(D7,"*キャラ*"),
VLOOKUP("*キャラ*",商品マスタ一覧!$D:$E,2,FALSE),
IF(COUNTIF(D7,"*赤*"),
VLOOKUP("*赤*",商品マスタ一覧!$D:$E,2,FALSE),
VLOOKUP("*"&amp;D7&amp;"*",商品マスタ一覧!$D:$E,2,FALSE)))*F7),"")</f>
        <v/>
      </c>
      <c r="H7" s="175" t="str">
        <f>IF(C7&lt;&gt;"",
クライアント抽出!B7,"")</f>
        <v/>
      </c>
      <c r="I7" s="52" t="str">
        <f t="array" aca="1" ref="I7" ca="1">IF(C7&lt;&gt;"",
IF(O7=1,
IF(SUMPRODUCT(COUNTIF(クライアント抽出!P7:U7,クライアント抽出!P7:U7))&gt;COUNTA(クライアント抽出!P7:U7),
INDIRECT("数出表_Excel!"&amp;INDEX(_xlfn.UNIQUE(_xlfn._xlws.FILTER(クライアント抽出!P7:U7,COUNTIF(クライアント抽出!P7:U7,クライアント抽出!P7:U7)&gt;1)),1)&amp;L7&amp;""),0),クライアント抽出!E7),"")</f>
        <v/>
      </c>
      <c r="J7" s="52" t="str">
        <f>IF(C7&lt;&gt;"",
VLOOKUP(
"*"&amp;LEFT(IF(COUNTIF(D7,"*学食*"),"キャラ弁（学食）",
IF(COUNTIF(D7,"*赤*"),"赤",
IF(COUNTIF(D7,"*キャラ弁当*"),"キャラ弁当",D7))),4)&amp;"*",注文弁当の抽出!$E$1:$F$15,2,FALSE),"")</f>
        <v/>
      </c>
      <c r="K7" s="52" t="str">
        <f ca="1">IF(クライアント抽出!P7&lt;&gt;"",SUBSTITUTE(ADDRESS(1,(CODE(クライアント抽出!P7)-64)*2-1,4),"1",""),"")</f>
        <v/>
      </c>
      <c r="L7" s="52" t="str">
        <f>IF(C7&lt;&gt;"",クライアント抽出!I7,"")</f>
        <v/>
      </c>
      <c r="M7" s="52">
        <f t="array" aca="1" ref="M7" ca="1">IF(C7&lt;&gt;"",
IF(K7&lt;&gt;"",INDIRECT("'数出表_Excel（アレルギー入力）'!"&amp;K7&amp;L7-1&amp;""),),)</f>
        <v>0</v>
      </c>
      <c r="N7" s="52" t="str">
        <f>IF(C7&lt;&gt;"",IF(OR(COUNTIF('盛付札（関数）'!D7,"*赤*"),COUNTIF('盛付札（関数）'!D7,"*キャラ*")),1,
VLOOKUP("*"&amp;D7&amp;"*",商品マスタ一覧!D:H,5,FALSE)),"")</f>
        <v/>
      </c>
      <c r="O7" s="52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52">
        <f t="shared" si="0"/>
        <v>0</v>
      </c>
      <c r="Q7" s="52" t="b">
        <f t="shared" si="1"/>
        <v>0</v>
      </c>
      <c r="R7" s="203" t="str">
        <f t="array" aca="1" ref="R7" ca="1">IFERROR(SMALL(IF(P$1:P$307&lt;&gt;0,P$1:P$307),ROW(A7)),"")</f>
        <v/>
      </c>
      <c r="S7" s="203" t="str">
        <f t="array" aca="1" ref="S7" ca="1">IF($R7&lt;&gt;"",
SUBSTITUTE(SUBSTITUTE(INDIRECT("C"&amp;$R7&amp;"")," 週3ｺｰｽ","")," 週5ｺｰｽ",""),"")</f>
        <v/>
      </c>
      <c r="T7" s="203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204" t="str">
        <f t="array" aca="1" ref="U7" ca="1">IF($R7&lt;&gt;"",
INDIRECT("F"&amp;$R7&amp;""),"")</f>
        <v/>
      </c>
      <c r="V7" s="203" t="str">
        <f t="array" aca="1" ref="V7" ca="1">IF($R7&lt;&gt;"",
INDIRECT("G"&amp;$R7&amp;""),"")</f>
        <v/>
      </c>
      <c r="W7" s="203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IF(OR(COUNTIF(INDIRECT("B"&amp;R7&amp;""),"*雙葉先生*"),COUNTIF(INDIRECT("B"&amp;R7-1&amp;""),"*雙葉*")),INDIRECT("H"&amp;R7&amp;""),INDIRECT("H"&amp;R7&amp;"")+INDIRECT("H"&amp;MATCH("雙葉'",INDIRECT("B"&amp;R7+3&amp;":B210"),0)+2+R7&amp;"")),
IF(AND(LEFT(INDIRECT("B"&amp;R7&amp;""),2)="博多",COUNTIF(B:B,"*博多*")&gt;=2),
INDIRECT("H"&amp;R7&amp;"")+INDIRECT("H"&amp;MATCH("*"&amp;INDIRECT("B"&amp;R7&amp;"")&amp;"*",INDIRECT("B"&amp;R7+1&amp;":B210"),0)+R7&amp;""),
IF(AND(LEFT(INDIRECT("B"&amp;R7&amp;""),3)="奈良屋",COUNTIF(B:B,"*奈良屋*")&gt;=2),
INDIRECT("H"&amp;R7&amp;"")+INDIRECT("H"&amp;MATCH("*"&amp;INDIRECT("B"&amp;R7&amp;"")&amp;"*",INDIRECT("B"&amp;R7+1&amp;":B210"),0)+R7&amp;"")
+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INDIRECT("H"&amp;R7&amp;"")))),"")</f>
        <v/>
      </c>
      <c r="X7" s="203" t="str">
        <f t="array" aca="1" ref="X7" ca="1">IF($R7&lt;&gt;"",
INDIRECT(""&amp;IF(COLUMN(I7)&lt;=26,CHAR(COLUMN(I7)+64),CHAR(INT((COLUMN(I7)-1)/26)+64)&amp;CHAR(MOD(COLUMN(I7)-1,26)+65))&amp;$R7&amp;""),"")</f>
        <v/>
      </c>
      <c r="Y7" s="203" t="str">
        <f t="array" aca="1" ref="Y7" ca="1">IF($R7&lt;&gt;"",
INDIRECT(""&amp;IF(COLUMN(J7)&lt;=26,CHAR(COLUMN(J7)+64),CHAR(INT((COLUMN(J7)-1)/26)+64)&amp;CHAR(MOD(COLUMN(J7)-1,26)+65))&amp;$R7&amp;""),"")</f>
        <v/>
      </c>
      <c r="Z7" s="203" t="str">
        <f t="shared" ca="1" si="2"/>
        <v/>
      </c>
      <c r="AA7" s="203" t="str">
        <f t="shared" ca="1" si="3"/>
        <v/>
      </c>
      <c r="AB7" s="203" t="str">
        <f t="array" aca="1" ref="AB7" ca="1">IF($R7&lt;&gt;"",
IF(AND(COUNTIF(INDIRECT("B"&amp;R7&amp;""),"*雙葉*"),COUNTIF(B:B,"*雙葉*")&gt;=2),
INDIRECT("M"&amp;R7&amp;"")+INDIRECT("M"&amp;MATCH("雙葉'",INDIRECT("B"&amp;R7+1&amp;":B210"),0)+R7&amp;""),
IF(AND(LEFT(INDIRECT("B"&amp;R7&amp;""),2)="博多",COUNTIF(B:B,"*博多*")&gt;=2),
INDIRECT("M"&amp;R7&amp;"")+INDIRECT("M"&amp;MATCH("*"&amp;INDIRECT("B"&amp;R7&amp;"")&amp;"*",INDIRECT("B"&amp;R7+1&amp;":B210"),0)+R7&amp;""),
IF(AND(LEFT(INDIRECT("B"&amp;R7&amp;""),3)="奈良屋",COUNTIF(B:B,"*奈良屋*")&gt;=2),
INDIRECT("M"&amp;R7&amp;"")+INDIRECT("M"&amp;MATCH("*"&amp;INDIRECT("B"&amp;R7&amp;"")&amp;"*",INDIRECT("B"&amp;R7+1&amp;":B210"),0)+R7&amp;"")
+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INDIRECT("M"&amp;R7&amp;"")))),"")</f>
        <v/>
      </c>
      <c r="AC7" s="203" t="str">
        <f t="shared" ca="1" si="4"/>
        <v/>
      </c>
      <c r="AD7" s="51" t="str">
        <f t="shared" ca="1" si="5"/>
        <v/>
      </c>
      <c r="AE7" s="51" t="str">
        <f t="shared" ca="1" si="6"/>
        <v/>
      </c>
      <c r="AF7" s="51" t="str">
        <f t="shared" ca="1" si="7"/>
        <v/>
      </c>
      <c r="AG7" s="51" t="str">
        <f t="shared" ca="1" si="8"/>
        <v/>
      </c>
      <c r="AH7" s="191" t="str">
        <f t="shared" ca="1" si="9"/>
        <v/>
      </c>
      <c r="AI7" s="51" t="str">
        <f t="shared" ca="1" si="10"/>
        <v/>
      </c>
      <c r="AJ7" s="51" t="str">
        <f t="shared" ca="1" si="11"/>
        <v/>
      </c>
      <c r="AK7" s="51" t="str">
        <f t="shared" ca="1" si="12"/>
        <v/>
      </c>
      <c r="AL7" s="51" t="str">
        <f t="shared" ca="1" si="13"/>
        <v/>
      </c>
      <c r="AM7" s="51" t="str">
        <f t="shared" ca="1" si="14"/>
        <v/>
      </c>
      <c r="AN7" s="51" t="str">
        <f t="shared" ca="1" si="15"/>
        <v/>
      </c>
      <c r="AO7" s="51" t="str">
        <f t="shared" ca="1" si="16"/>
        <v/>
      </c>
      <c r="AP7" s="51" t="str">
        <f t="shared" ca="1" si="17"/>
        <v/>
      </c>
      <c r="AU7" s="51" t="str">
        <f t="shared" ca="1" si="18"/>
        <v/>
      </c>
    </row>
    <row r="8" spans="1:47" ht="18" customHeight="1">
      <c r="A8" s="177">
        <f t="shared" si="19"/>
        <v>21</v>
      </c>
      <c r="B8" s="52" t="str">
        <f t="shared" si="20"/>
        <v/>
      </c>
      <c r="C8" s="52" t="str">
        <f>IF(OR(クライアント抽出!B8&lt;&gt;"",クライアント抽出!E8&lt;&gt;""),クライアント抽出!A8,"")</f>
        <v/>
      </c>
      <c r="D8" s="52" t="str">
        <f t="array" aca="1" ref="D8" ca="1">IF(C8&lt;&gt;"",INDIRECT("クライアント抽出!"&amp;E8&amp;MATCH(C8,クライアント抽出!A:A,0)&amp;""),"")</f>
        <v/>
      </c>
      <c r="E8" s="52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53" t="str">
        <f ca="1">IF(D8&lt;&gt;"",
IF(COUNTIF(C8,"*雙葉*"),
IF(ROUND((H8-M8)
/IF(COUNTIF(D8,"*キャラ*"),
VLOOKUP("*キャラ*",商品マスタ一覧!$D:$E,2,FALSE),
IF(COUNTIF(D8,"*赤*"),
VLOOKUP("*赤*",商品マスタ一覧!$D:$E,2,FALSE),
VLOOKUP("*"&amp;D8&amp;"*",商品マスタ一覧!$D:$E,2,FALSE))),0)&lt;=0,1,
ROUND((H8-M8)
/IF(COUNTIF(D8,"*キャラ*"),
VLOOKUP("*キャラ*",商品マスタ一覧!$D:$E,2,FALSE),
IF(COUNTIF(D8,"*赤*"),
VLOOKUP("*赤*",商品マスタ一覧!$D:$E,2,FALSE),
VLOOKUP("*"&amp;D8&amp;"*",商品マスタ一覧!$D:$E,2,FALSE))),0)),
IF(OR(COUNTIF(D8,"*キャラ*"),COUNTIF(D8,"*赤*")),"",
IF(VLOOKUP("*"&amp;D8&amp;"*",商品マスタ一覧!$D:$E,2,FALSE)=0,"",
IF(ROUND((H8-M8)
/VLOOKUP("*"&amp;D8&amp;"*",商品マスタ一覧!$D:$E,2,FALSE),0)&lt;=0,1,
ROUND((H8-M8)
/VLOOKUP("*"&amp;D8&amp;"*",商品マスタ一覧!$D:$E,2,FALSE),0))))),"")</f>
        <v/>
      </c>
      <c r="G8" s="52" t="str">
        <f ca="1">IF(F8&lt;&gt;"",
IF(VALUE(H8-M8)&gt;VALUE(IF(COUNTIF(D8,"*キャラ*"),
VLOOKUP("*キャラ*",商品マスタ一覧!$D:$E,2,FALSE),
IF(COUNTIF(D8,"*赤*"),
VLOOKUP("*赤*",商品マスタ一覧!$D:$E,2,FALSE),
VLOOKUP("*"&amp;D8&amp;"*",商品マスタ一覧!$D:$E,2,FALSE)))*F8),
"+"&amp;(H8-M8)-IF(COUNTIF(D8,"*キャラ*"),
VLOOKUP("*キャラ*",商品マスタ一覧!$D:$E,2,FALSE),
IF(COUNTIF(D8,"*赤*"),
VLOOKUP("*赤*",商品マスタ一覧!$D:$E,2,FALSE),
VLOOKUP("*"&amp;D8&amp;"*",商品マスタ一覧!$D:$E,2,FALSE)))*F8,
(H8-M8)-IF(COUNTIF(D8,"*キャラ*"),
VLOOKUP("*キャラ*",商品マスタ一覧!$D:$E,2,FALSE),
IF(COUNTIF(D8,"*赤*"),
VLOOKUP("*赤*",商品マスタ一覧!$D:$E,2,FALSE),
VLOOKUP("*"&amp;D8&amp;"*",商品マスタ一覧!$D:$E,2,FALSE)))*F8),"")</f>
        <v/>
      </c>
      <c r="H8" s="175" t="str">
        <f>IF(C8&lt;&gt;"",
クライアント抽出!B8,"")</f>
        <v/>
      </c>
      <c r="I8" s="52" t="str">
        <f t="array" aca="1" ref="I8" ca="1">IF(C8&lt;&gt;"",
IF(O8=1,
IF(SUMPRODUCT(COUNTIF(クライアント抽出!P8:U8,クライアント抽出!P8:U8))&gt;COUNTA(クライアント抽出!P8:U8),
INDIRECT("数出表_Excel!"&amp;INDEX(_xlfn.UNIQUE(_xlfn._xlws.FILTER(クライアント抽出!P8:U8,COUNTIF(クライアント抽出!P8:U8,クライアント抽出!P8:U8)&gt;1)),1)&amp;L8&amp;""),0),クライアント抽出!E8),"")</f>
        <v/>
      </c>
      <c r="J8" s="52" t="str">
        <f>IF(C8&lt;&gt;"",
VLOOKUP(
"*"&amp;LEFT(IF(COUNTIF(D8,"*学食*"),"キャラ弁（学食）",
IF(COUNTIF(D8,"*赤*"),"赤",
IF(COUNTIF(D8,"*キャラ弁当*"),"キャラ弁当",D8))),4)&amp;"*",注文弁当の抽出!$E$1:$F$15,2,FALSE),"")</f>
        <v/>
      </c>
      <c r="K8" s="52" t="str">
        <f ca="1">IF(クライアント抽出!P8&lt;&gt;"",SUBSTITUTE(ADDRESS(1,(CODE(クライアント抽出!P8)-64)*2-1,4),"1",""),"")</f>
        <v/>
      </c>
      <c r="L8" s="52" t="str">
        <f>IF(C8&lt;&gt;"",クライアント抽出!I8,"")</f>
        <v/>
      </c>
      <c r="M8" s="52">
        <f t="array" aca="1" ref="M8" ca="1">IF(C8&lt;&gt;"",
IF(K8&lt;&gt;"",INDIRECT("'数出表_Excel（アレルギー入力）'!"&amp;K8&amp;L8-1&amp;""),),)</f>
        <v>0</v>
      </c>
      <c r="N8" s="52" t="str">
        <f>IF(C8&lt;&gt;"",IF(OR(COUNTIF('盛付札（関数）'!D8,"*赤*"),COUNTIF('盛付札（関数）'!D8,"*キャラ*")),1,
VLOOKUP("*"&amp;D8&amp;"*",商品マスタ一覧!D:H,5,FALSE)),"")</f>
        <v/>
      </c>
      <c r="O8" s="52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52">
        <f t="shared" si="0"/>
        <v>0</v>
      </c>
      <c r="Q8" s="52" t="b">
        <f t="shared" si="1"/>
        <v>0</v>
      </c>
      <c r="R8" s="203" t="str">
        <f t="array" aca="1" ref="R8" ca="1">IFERROR(SMALL(IF(P$1:P$307&lt;&gt;0,P$1:P$307),ROW(A8)),"")</f>
        <v/>
      </c>
      <c r="S8" s="203" t="str">
        <f t="array" aca="1" ref="S8" ca="1">IF($R8&lt;&gt;"",
SUBSTITUTE(SUBSTITUTE(INDIRECT("C"&amp;$R8&amp;"")," 週3ｺｰｽ","")," 週5ｺｰｽ",""),"")</f>
        <v/>
      </c>
      <c r="T8" s="203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204" t="str">
        <f t="array" aca="1" ref="U8" ca="1">IF($R8&lt;&gt;"",
INDIRECT("F"&amp;$R8&amp;""),"")</f>
        <v/>
      </c>
      <c r="V8" s="203" t="str">
        <f t="array" aca="1" ref="V8" ca="1">IF($R8&lt;&gt;"",
INDIRECT("G"&amp;$R8&amp;""),"")</f>
        <v/>
      </c>
      <c r="W8" s="203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IF(OR(COUNTIF(INDIRECT("B"&amp;R8&amp;""),"*雙葉先生*"),COUNTIF(INDIRECT("B"&amp;R8-1&amp;""),"*雙葉*")),INDIRECT("H"&amp;R8&amp;""),INDIRECT("H"&amp;R8&amp;"")+INDIRECT("H"&amp;MATCH("雙葉'",INDIRECT("B"&amp;R8+3&amp;":B210"),0)+2+R8&amp;"")),
IF(AND(LEFT(INDIRECT("B"&amp;R8&amp;""),2)="博多",COUNTIF(B:B,"*博多*")&gt;=2),
INDIRECT("H"&amp;R8&amp;"")+INDIRECT("H"&amp;MATCH("*"&amp;INDIRECT("B"&amp;R8&amp;"")&amp;"*",INDIRECT("B"&amp;R8+1&amp;":B210"),0)+R8&amp;""),
IF(AND(LEFT(INDIRECT("B"&amp;R8&amp;""),3)="奈良屋",COUNTIF(B:B,"*奈良屋*")&gt;=2),
INDIRECT("H"&amp;R8&amp;"")+INDIRECT("H"&amp;MATCH("*"&amp;INDIRECT("B"&amp;R8&amp;"")&amp;"*",INDIRECT("B"&amp;R8+1&amp;":B210"),0)+R8&amp;"")
+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INDIRECT("H"&amp;R8&amp;"")))),"")</f>
        <v/>
      </c>
      <c r="X8" s="203" t="str">
        <f t="array" aca="1" ref="X8" ca="1">IF($R8&lt;&gt;"",
INDIRECT(""&amp;IF(COLUMN(I8)&lt;=26,CHAR(COLUMN(I8)+64),CHAR(INT((COLUMN(I8)-1)/26)+64)&amp;CHAR(MOD(COLUMN(I8)-1,26)+65))&amp;$R8&amp;""),"")</f>
        <v/>
      </c>
      <c r="Y8" s="203" t="str">
        <f t="array" aca="1" ref="Y8" ca="1">IF($R8&lt;&gt;"",
INDIRECT(""&amp;IF(COLUMN(J8)&lt;=26,CHAR(COLUMN(J8)+64),CHAR(INT((COLUMN(J8)-1)/26)+64)&amp;CHAR(MOD(COLUMN(J8)-1,26)+65))&amp;$R8&amp;""),"")</f>
        <v/>
      </c>
      <c r="Z8" s="203" t="str">
        <f t="shared" ca="1" si="2"/>
        <v/>
      </c>
      <c r="AA8" s="203" t="str">
        <f t="shared" ca="1" si="3"/>
        <v/>
      </c>
      <c r="AB8" s="203" t="str">
        <f t="array" aca="1" ref="AB8" ca="1">IF($R8&lt;&gt;"",
IF(AND(COUNTIF(INDIRECT("B"&amp;R8&amp;""),"*雙葉*"),COUNTIF(B:B,"*雙葉*")&gt;=2),
INDIRECT("M"&amp;R8&amp;"")+INDIRECT("M"&amp;MATCH("雙葉'",INDIRECT("B"&amp;R8+1&amp;":B210"),0)+R8&amp;""),
IF(AND(LEFT(INDIRECT("B"&amp;R8&amp;""),2)="博多",COUNTIF(B:B,"*博多*")&gt;=2),
INDIRECT("M"&amp;R8&amp;"")+INDIRECT("M"&amp;MATCH("*"&amp;INDIRECT("B"&amp;R8&amp;"")&amp;"*",INDIRECT("B"&amp;R8+1&amp;":B210"),0)+R8&amp;""),
IF(AND(LEFT(INDIRECT("B"&amp;R8&amp;""),3)="奈良屋",COUNTIF(B:B,"*奈良屋*")&gt;=2),
INDIRECT("M"&amp;R8&amp;"")+INDIRECT("M"&amp;MATCH("*"&amp;INDIRECT("B"&amp;R8&amp;"")&amp;"*",INDIRECT("B"&amp;R8+1&amp;":B210"),0)+R8&amp;"")
+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INDIRECT("M"&amp;R8&amp;"")))),"")</f>
        <v/>
      </c>
      <c r="AC8" s="203" t="str">
        <f t="shared" ca="1" si="4"/>
        <v/>
      </c>
      <c r="AD8" s="51" t="str">
        <f t="shared" ca="1" si="5"/>
        <v/>
      </c>
      <c r="AE8" s="51" t="str">
        <f t="shared" ca="1" si="6"/>
        <v/>
      </c>
      <c r="AF8" s="51" t="str">
        <f t="shared" ca="1" si="7"/>
        <v/>
      </c>
      <c r="AG8" s="51" t="str">
        <f t="shared" ca="1" si="8"/>
        <v/>
      </c>
      <c r="AH8" s="191" t="str">
        <f t="shared" ca="1" si="9"/>
        <v/>
      </c>
      <c r="AI8" s="51" t="str">
        <f t="shared" ca="1" si="10"/>
        <v/>
      </c>
      <c r="AJ8" s="51" t="str">
        <f t="shared" ca="1" si="11"/>
        <v/>
      </c>
      <c r="AK8" s="51" t="str">
        <f t="shared" ca="1" si="12"/>
        <v/>
      </c>
      <c r="AL8" s="51" t="str">
        <f t="shared" ca="1" si="13"/>
        <v/>
      </c>
      <c r="AM8" s="51" t="str">
        <f t="shared" ca="1" si="14"/>
        <v/>
      </c>
      <c r="AN8" s="51" t="str">
        <f t="shared" ca="1" si="15"/>
        <v/>
      </c>
      <c r="AO8" s="51" t="str">
        <f t="shared" ca="1" si="16"/>
        <v/>
      </c>
      <c r="AP8" s="51" t="str">
        <f t="shared" ca="1" si="17"/>
        <v/>
      </c>
      <c r="AU8" s="51" t="str">
        <f t="shared" ca="1" si="18"/>
        <v/>
      </c>
    </row>
    <row r="9" spans="1:47" ht="18" customHeight="1">
      <c r="A9" s="177">
        <f t="shared" si="19"/>
        <v>23</v>
      </c>
      <c r="B9" s="52" t="str">
        <f t="shared" si="20"/>
        <v/>
      </c>
      <c r="C9" s="52" t="str">
        <f>IF(OR(クライアント抽出!B9&lt;&gt;"",クライアント抽出!E9&lt;&gt;""),クライアント抽出!A9,"")</f>
        <v/>
      </c>
      <c r="D9" s="52" t="str">
        <f t="array" aca="1" ref="D9" ca="1">IF(C9&lt;&gt;"",INDIRECT("クライアント抽出!"&amp;E9&amp;MATCH(C9,クライアント抽出!A:A,0)&amp;""),"")</f>
        <v/>
      </c>
      <c r="E9" s="52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53" t="str">
        <f ca="1">IF(D9&lt;&gt;"",
IF(COUNTIF(C9,"*雙葉*"),
IF(ROUND((H9-M9)
/IF(COUNTIF(D9,"*キャラ*"),
VLOOKUP("*キャラ*",商品マスタ一覧!$D:$E,2,FALSE),
IF(COUNTIF(D9,"*赤*"),
VLOOKUP("*赤*",商品マスタ一覧!$D:$E,2,FALSE),
VLOOKUP("*"&amp;D9&amp;"*",商品マスタ一覧!$D:$E,2,FALSE))),0)&lt;=0,1,
ROUND((H9-M9)
/IF(COUNTIF(D9,"*キャラ*"),
VLOOKUP("*キャラ*",商品マスタ一覧!$D:$E,2,FALSE),
IF(COUNTIF(D9,"*赤*"),
VLOOKUP("*赤*",商品マスタ一覧!$D:$E,2,FALSE),
VLOOKUP("*"&amp;D9&amp;"*",商品マスタ一覧!$D:$E,2,FALSE))),0)),
IF(OR(COUNTIF(D9,"*キャラ*"),COUNTIF(D9,"*赤*")),"",
IF(VLOOKUP("*"&amp;D9&amp;"*",商品マスタ一覧!$D:$E,2,FALSE)=0,"",
IF(ROUND((H9-M9)
/VLOOKUP("*"&amp;D9&amp;"*",商品マスタ一覧!$D:$E,2,FALSE),0)&lt;=0,1,
ROUND((H9-M9)
/VLOOKUP("*"&amp;D9&amp;"*",商品マスタ一覧!$D:$E,2,FALSE),0))))),"")</f>
        <v/>
      </c>
      <c r="G9" s="52" t="str">
        <f ca="1">IF(F9&lt;&gt;"",
IF(VALUE(H9-M9)&gt;VALUE(IF(COUNTIF(D9,"*キャラ*"),
VLOOKUP("*キャラ*",商品マスタ一覧!$D:$E,2,FALSE),
IF(COUNTIF(D9,"*赤*"),
VLOOKUP("*赤*",商品マスタ一覧!$D:$E,2,FALSE),
VLOOKUP("*"&amp;D9&amp;"*",商品マスタ一覧!$D:$E,2,FALSE)))*F9),
"+"&amp;(H9-M9)-IF(COUNTIF(D9,"*キャラ*"),
VLOOKUP("*キャラ*",商品マスタ一覧!$D:$E,2,FALSE),
IF(COUNTIF(D9,"*赤*"),
VLOOKUP("*赤*",商品マスタ一覧!$D:$E,2,FALSE),
VLOOKUP("*"&amp;D9&amp;"*",商品マスタ一覧!$D:$E,2,FALSE)))*F9,
(H9-M9)-IF(COUNTIF(D9,"*キャラ*"),
VLOOKUP("*キャラ*",商品マスタ一覧!$D:$E,2,FALSE),
IF(COUNTIF(D9,"*赤*"),
VLOOKUP("*赤*",商品マスタ一覧!$D:$E,2,FALSE),
VLOOKUP("*"&amp;D9&amp;"*",商品マスタ一覧!$D:$E,2,FALSE)))*F9),"")</f>
        <v/>
      </c>
      <c r="H9" s="175" t="str">
        <f>IF(C9&lt;&gt;"",
クライアント抽出!B9,"")</f>
        <v/>
      </c>
      <c r="I9" s="52" t="str">
        <f t="array" aca="1" ref="I9" ca="1">IF(C9&lt;&gt;"",
IF(O9=1,
IF(SUMPRODUCT(COUNTIF(クライアント抽出!P9:U9,クライアント抽出!P9:U9))&gt;COUNTA(クライアント抽出!P9:U9),
INDIRECT("数出表_Excel!"&amp;INDEX(_xlfn.UNIQUE(_xlfn._xlws.FILTER(クライアント抽出!P9:U9,COUNTIF(クライアント抽出!P9:U9,クライアント抽出!P9:U9)&gt;1)),1)&amp;L9&amp;""),0),クライアント抽出!E9),"")</f>
        <v/>
      </c>
      <c r="J9" s="52" t="str">
        <f>IF(C9&lt;&gt;"",
VLOOKUP(
"*"&amp;LEFT(IF(COUNTIF(D9,"*学食*"),"キャラ弁（学食）",
IF(COUNTIF(D9,"*赤*"),"赤",
IF(COUNTIF(D9,"*キャラ弁当*"),"キャラ弁当",D9))),4)&amp;"*",注文弁当の抽出!$E$1:$F$15,2,FALSE),"")</f>
        <v/>
      </c>
      <c r="K9" s="52" t="str">
        <f ca="1">IF(クライアント抽出!P9&lt;&gt;"",SUBSTITUTE(ADDRESS(1,(CODE(クライアント抽出!P9)-64)*2-1,4),"1",""),"")</f>
        <v/>
      </c>
      <c r="L9" s="52" t="str">
        <f>IF(C9&lt;&gt;"",クライアント抽出!I9,"")</f>
        <v/>
      </c>
      <c r="M9" s="52">
        <f t="array" aca="1" ref="M9" ca="1">IF(C9&lt;&gt;"",
IF(K9&lt;&gt;"",INDIRECT("'数出表_Excel（アレルギー入力）'!"&amp;K9&amp;L9-1&amp;""),),)</f>
        <v>0</v>
      </c>
      <c r="N9" s="52" t="str">
        <f>IF(C9&lt;&gt;"",IF(OR(COUNTIF('盛付札（関数）'!D9,"*赤*"),COUNTIF('盛付札（関数）'!D9,"*キャラ*")),1,
VLOOKUP("*"&amp;D9&amp;"*",商品マスタ一覧!D:H,5,FALSE)),"")</f>
        <v/>
      </c>
      <c r="O9" s="52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52">
        <f t="shared" si="0"/>
        <v>0</v>
      </c>
      <c r="Q9" s="52" t="b">
        <f t="shared" si="1"/>
        <v>0</v>
      </c>
      <c r="R9" s="203" t="str">
        <f t="array" aca="1" ref="R9" ca="1">IFERROR(SMALL(IF(P$1:P$307&lt;&gt;0,P$1:P$307),ROW(A9)),"")</f>
        <v/>
      </c>
      <c r="S9" s="203" t="str">
        <f t="array" aca="1" ref="S9" ca="1">IF($R9&lt;&gt;"",
SUBSTITUTE(SUBSTITUTE(INDIRECT("C"&amp;$R9&amp;"")," 週3ｺｰｽ","")," 週5ｺｰｽ",""),"")</f>
        <v/>
      </c>
      <c r="T9" s="203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204" t="str">
        <f t="array" aca="1" ref="U9" ca="1">IF($R9&lt;&gt;"",
INDIRECT("F"&amp;$R9&amp;""),"")</f>
        <v/>
      </c>
      <c r="V9" s="203" t="str">
        <f t="array" aca="1" ref="V9" ca="1">IF($R9&lt;&gt;"",
INDIRECT("G"&amp;$R9&amp;""),"")</f>
        <v/>
      </c>
      <c r="W9" s="203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IF(OR(COUNTIF(INDIRECT("B"&amp;R9&amp;""),"*雙葉先生*"),COUNTIF(INDIRECT("B"&amp;R9-1&amp;""),"*雙葉*")),INDIRECT("H"&amp;R9&amp;""),INDIRECT("H"&amp;R9&amp;"")+INDIRECT("H"&amp;MATCH("雙葉'",INDIRECT("B"&amp;R9+3&amp;":B210"),0)+2+R9&amp;"")),
IF(AND(LEFT(INDIRECT("B"&amp;R9&amp;""),2)="博多",COUNTIF(B:B,"*博多*")&gt;=2),
INDIRECT("H"&amp;R9&amp;"")+INDIRECT("H"&amp;MATCH("*"&amp;INDIRECT("B"&amp;R9&amp;"")&amp;"*",INDIRECT("B"&amp;R9+1&amp;":B210"),0)+R9&amp;""),
IF(AND(LEFT(INDIRECT("B"&amp;R9&amp;""),3)="奈良屋",COUNTIF(B:B,"*奈良屋*")&gt;=2),
INDIRECT("H"&amp;R9&amp;"")+INDIRECT("H"&amp;MATCH("*"&amp;INDIRECT("B"&amp;R9&amp;"")&amp;"*",INDIRECT("B"&amp;R9+1&amp;":B210"),0)+R9&amp;"")
+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INDIRECT("H"&amp;R9&amp;"")))),"")</f>
        <v/>
      </c>
      <c r="X9" s="203" t="str">
        <f t="array" aca="1" ref="X9" ca="1">IF($R9&lt;&gt;"",
INDIRECT(""&amp;IF(COLUMN(I9)&lt;=26,CHAR(COLUMN(I9)+64),CHAR(INT((COLUMN(I9)-1)/26)+64)&amp;CHAR(MOD(COLUMN(I9)-1,26)+65))&amp;$R9&amp;""),"")</f>
        <v/>
      </c>
      <c r="Y9" s="203" t="str">
        <f t="array" aca="1" ref="Y9" ca="1">IF($R9&lt;&gt;"",
INDIRECT(""&amp;IF(COLUMN(J9)&lt;=26,CHAR(COLUMN(J9)+64),CHAR(INT((COLUMN(J9)-1)/26)+64)&amp;CHAR(MOD(COLUMN(J9)-1,26)+65))&amp;$R9&amp;""),"")</f>
        <v/>
      </c>
      <c r="Z9" s="203" t="str">
        <f t="shared" ca="1" si="2"/>
        <v/>
      </c>
      <c r="AA9" s="203" t="str">
        <f t="shared" ca="1" si="3"/>
        <v/>
      </c>
      <c r="AB9" s="203" t="str">
        <f t="array" aca="1" ref="AB9" ca="1">IF($R9&lt;&gt;"",
IF(AND(COUNTIF(INDIRECT("B"&amp;R9&amp;""),"*雙葉*"),COUNTIF(B:B,"*雙葉*")&gt;=2),
INDIRECT("M"&amp;R9&amp;"")+INDIRECT("M"&amp;MATCH("雙葉'",INDIRECT("B"&amp;R9+1&amp;":B210"),0)+R9&amp;""),
IF(AND(LEFT(INDIRECT("B"&amp;R9&amp;""),2)="博多",COUNTIF(B:B,"*博多*")&gt;=2),
INDIRECT("M"&amp;R9&amp;"")+INDIRECT("M"&amp;MATCH("*"&amp;INDIRECT("B"&amp;R9&amp;"")&amp;"*",INDIRECT("B"&amp;R9+1&amp;":B210"),0)+R9&amp;""),
IF(AND(LEFT(INDIRECT("B"&amp;R9&amp;""),3)="奈良屋",COUNTIF(B:B,"*奈良屋*")&gt;=2),
INDIRECT("M"&amp;R9&amp;"")+INDIRECT("M"&amp;MATCH("*"&amp;INDIRECT("B"&amp;R9&amp;"")&amp;"*",INDIRECT("B"&amp;R9+1&amp;":B210"),0)+R9&amp;"")
+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INDIRECT("M"&amp;R9&amp;"")))),"")</f>
        <v/>
      </c>
      <c r="AC9" s="203" t="str">
        <f t="shared" ca="1" si="4"/>
        <v/>
      </c>
      <c r="AD9" s="51" t="str">
        <f t="shared" ca="1" si="5"/>
        <v/>
      </c>
      <c r="AE9" s="51" t="str">
        <f t="shared" ca="1" si="6"/>
        <v/>
      </c>
      <c r="AF9" s="51" t="str">
        <f t="shared" ca="1" si="7"/>
        <v/>
      </c>
      <c r="AG9" s="51" t="str">
        <f t="shared" ca="1" si="8"/>
        <v/>
      </c>
      <c r="AH9" s="191" t="str">
        <f t="shared" ca="1" si="9"/>
        <v/>
      </c>
      <c r="AI9" s="51" t="str">
        <f t="shared" ca="1" si="10"/>
        <v/>
      </c>
      <c r="AJ9" s="51" t="str">
        <f t="shared" ca="1" si="11"/>
        <v/>
      </c>
      <c r="AK9" s="51" t="str">
        <f t="shared" ca="1" si="12"/>
        <v/>
      </c>
      <c r="AL9" s="51" t="str">
        <f t="shared" ca="1" si="13"/>
        <v/>
      </c>
      <c r="AM9" s="51" t="str">
        <f t="shared" ca="1" si="14"/>
        <v/>
      </c>
      <c r="AN9" s="51" t="str">
        <f t="shared" ca="1" si="15"/>
        <v/>
      </c>
      <c r="AO9" s="51" t="str">
        <f t="shared" ca="1" si="16"/>
        <v/>
      </c>
      <c r="AP9" s="51" t="str">
        <f t="shared" ca="1" si="17"/>
        <v/>
      </c>
      <c r="AU9" s="51" t="str">
        <f t="shared" ca="1" si="18"/>
        <v/>
      </c>
    </row>
    <row r="10" spans="1:47" ht="22.2" customHeight="1">
      <c r="A10" s="177">
        <f t="shared" si="19"/>
        <v>25</v>
      </c>
      <c r="B10" s="52" t="str">
        <f t="shared" si="20"/>
        <v/>
      </c>
      <c r="C10" s="52" t="str">
        <f>IF(OR(クライアント抽出!B10&lt;&gt;"",クライアント抽出!E10&lt;&gt;""),クライアント抽出!A10,"")</f>
        <v/>
      </c>
      <c r="D10" s="52" t="str">
        <f t="array" aca="1" ref="D10" ca="1">IF(C10&lt;&gt;"",INDIRECT("クライアント抽出!"&amp;E10&amp;MATCH(C10,クライアント抽出!A:A,0)&amp;""),"")</f>
        <v/>
      </c>
      <c r="E10" s="52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53" t="str">
        <f ca="1">IF(D10&lt;&gt;"",
IF(COUNTIF(C10,"*雙葉*"),
IF(ROUND((H10-M10)
/IF(COUNTIF(D10,"*キャラ*"),
VLOOKUP("*キャラ*",商品マスタ一覧!$D:$E,2,FALSE),
IF(COUNTIF(D10,"*赤*"),
VLOOKUP("*赤*",商品マスタ一覧!$D:$E,2,FALSE),
VLOOKUP("*"&amp;D10&amp;"*",商品マスタ一覧!$D:$E,2,FALSE))),0)&lt;=0,1,
ROUND((H10-M10)
/IF(COUNTIF(D10,"*キャラ*"),
VLOOKUP("*キャラ*",商品マスタ一覧!$D:$E,2,FALSE),
IF(COUNTIF(D10,"*赤*"),
VLOOKUP("*赤*",商品マスタ一覧!$D:$E,2,FALSE),
VLOOKUP("*"&amp;D10&amp;"*",商品マスタ一覧!$D:$E,2,FALSE))),0)),
IF(OR(COUNTIF(D10,"*キャラ*"),COUNTIF(D10,"*赤*")),"",
IF(VLOOKUP("*"&amp;D10&amp;"*",商品マスタ一覧!$D:$E,2,FALSE)=0,"",
IF(ROUND((H10-M10)
/VLOOKUP("*"&amp;D10&amp;"*",商品マスタ一覧!$D:$E,2,FALSE),0)&lt;=0,1,
ROUND((H10-M10)
/VLOOKUP("*"&amp;D10&amp;"*",商品マスタ一覧!$D:$E,2,FALSE),0))))),"")</f>
        <v/>
      </c>
      <c r="G10" s="52" t="str">
        <f ca="1">IF(F10&lt;&gt;"",
IF(VALUE(H10-M10)&gt;VALUE(IF(COUNTIF(D10,"*キャラ*"),
VLOOKUP("*キャラ*",商品マスタ一覧!$D:$E,2,FALSE),
IF(COUNTIF(D10,"*赤*"),
VLOOKUP("*赤*",商品マスタ一覧!$D:$E,2,FALSE),
VLOOKUP("*"&amp;D10&amp;"*",商品マスタ一覧!$D:$E,2,FALSE)))*F10),
"+"&amp;(H10-M10)-IF(COUNTIF(D10,"*キャラ*"),
VLOOKUP("*キャラ*",商品マスタ一覧!$D:$E,2,FALSE),
IF(COUNTIF(D10,"*赤*"),
VLOOKUP("*赤*",商品マスタ一覧!$D:$E,2,FALSE),
VLOOKUP("*"&amp;D10&amp;"*",商品マスタ一覧!$D:$E,2,FALSE)))*F10,
(H10-M10)-IF(COUNTIF(D10,"*キャラ*"),
VLOOKUP("*キャラ*",商品マスタ一覧!$D:$E,2,FALSE),
IF(COUNTIF(D10,"*赤*"),
VLOOKUP("*赤*",商品マスタ一覧!$D:$E,2,FALSE),
VLOOKUP("*"&amp;D10&amp;"*",商品マスタ一覧!$D:$E,2,FALSE)))*F10),"")</f>
        <v/>
      </c>
      <c r="H10" s="175" t="str">
        <f>IF(C10&lt;&gt;"",
クライアント抽出!B10,"")</f>
        <v/>
      </c>
      <c r="I10" s="52" t="str">
        <f t="array" aca="1" ref="I10" ca="1">IF(C10&lt;&gt;"",
IF(O10=1,
IF(SUMPRODUCT(COUNTIF(クライアント抽出!P10:U10,クライアント抽出!P10:U10))&gt;COUNTA(クライアント抽出!P10:U10),
INDIRECT("数出表_Excel!"&amp;INDEX(_xlfn.UNIQUE(_xlfn._xlws.FILTER(クライアント抽出!P10:U10,COUNTIF(クライアント抽出!P10:U10,クライアント抽出!P10:U10)&gt;1)),1)&amp;L10&amp;""),0),クライアント抽出!E10),"")</f>
        <v/>
      </c>
      <c r="J10" s="52" t="str">
        <f>IF(C10&lt;&gt;"",
VLOOKUP(
"*"&amp;LEFT(IF(COUNTIF(D10,"*学食*"),"キャラ弁（学食）",
IF(COUNTIF(D10,"*赤*"),"赤",
IF(COUNTIF(D10,"*キャラ弁当*"),"キャラ弁当",D10))),4)&amp;"*",注文弁当の抽出!$E$1:$F$15,2,FALSE),"")</f>
        <v/>
      </c>
      <c r="K10" s="52" t="str">
        <f ca="1">IF(クライアント抽出!P10&lt;&gt;"",SUBSTITUTE(ADDRESS(1,(CODE(クライアント抽出!P10)-64)*2-1,4),"1",""),"")</f>
        <v/>
      </c>
      <c r="L10" s="52" t="str">
        <f>IF(C10&lt;&gt;"",クライアント抽出!I10,"")</f>
        <v/>
      </c>
      <c r="M10" s="52">
        <f t="array" aca="1" ref="M10" ca="1">IF(C10&lt;&gt;"",
IF(K10&lt;&gt;"",INDIRECT("'数出表_Excel（アレルギー入力）'!"&amp;K10&amp;L10-1&amp;""),),)</f>
        <v>0</v>
      </c>
      <c r="N10" s="52" t="str">
        <f>IF(C10&lt;&gt;"",IF(OR(COUNTIF('盛付札（関数）'!D10,"*赤*"),COUNTIF('盛付札（関数）'!D10,"*キャラ*")),1,
VLOOKUP("*"&amp;D10&amp;"*",商品マスタ一覧!D:H,5,FALSE)),"")</f>
        <v/>
      </c>
      <c r="O10" s="52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52">
        <f t="shared" si="0"/>
        <v>0</v>
      </c>
      <c r="Q10" s="52" t="b">
        <f t="shared" si="1"/>
        <v>0</v>
      </c>
      <c r="R10" s="203" t="str">
        <f t="array" aca="1" ref="R10" ca="1">IFERROR(SMALL(IF(P$1:P$307&lt;&gt;0,P$1:P$307),ROW(A10)),"")</f>
        <v/>
      </c>
      <c r="S10" s="203" t="str">
        <f t="array" aca="1" ref="S10" ca="1">IF($R10&lt;&gt;"",
SUBSTITUTE(SUBSTITUTE(INDIRECT("C"&amp;$R10&amp;"")," 週3ｺｰｽ","")," 週5ｺｰｽ",""),"")</f>
        <v/>
      </c>
      <c r="T10" s="203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204" t="str">
        <f t="array" aca="1" ref="U10" ca="1">IF($R10&lt;&gt;"",
INDIRECT("F"&amp;$R10&amp;""),"")</f>
        <v/>
      </c>
      <c r="V10" s="203" t="str">
        <f t="array" aca="1" ref="V10" ca="1">IF($R10&lt;&gt;"",
INDIRECT("G"&amp;$R10&amp;""),"")</f>
        <v/>
      </c>
      <c r="W10" s="203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IF(OR(COUNTIF(INDIRECT("B"&amp;R10&amp;""),"*雙葉先生*"),COUNTIF(INDIRECT("B"&amp;R10-1&amp;""),"*雙葉*")),INDIRECT("H"&amp;R10&amp;""),INDIRECT("H"&amp;R10&amp;"")+INDIRECT("H"&amp;MATCH("雙葉'",INDIRECT("B"&amp;R10+3&amp;":B210"),0)+2+R10&amp;"")),
IF(AND(LEFT(INDIRECT("B"&amp;R10&amp;""),2)="博多",COUNTIF(B:B,"*博多*")&gt;=2),
INDIRECT("H"&amp;R10&amp;"")+INDIRECT("H"&amp;MATCH("*"&amp;INDIRECT("B"&amp;R10&amp;"")&amp;"*",INDIRECT("B"&amp;R10+1&amp;":B210"),0)+R10&amp;""),
IF(AND(LEFT(INDIRECT("B"&amp;R10&amp;""),3)="奈良屋",COUNTIF(B:B,"*奈良屋*")&gt;=2),
INDIRECT("H"&amp;R10&amp;"")+INDIRECT("H"&amp;MATCH("*"&amp;INDIRECT("B"&amp;R10&amp;"")&amp;"*",INDIRECT("B"&amp;R10+1&amp;":B210"),0)+R10&amp;"")
+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INDIRECT("H"&amp;R10&amp;"")))),"")</f>
        <v/>
      </c>
      <c r="X10" s="203" t="str">
        <f t="array" aca="1" ref="X10" ca="1">IF($R10&lt;&gt;"",
INDIRECT(""&amp;IF(COLUMN(I10)&lt;=26,CHAR(COLUMN(I10)+64),CHAR(INT((COLUMN(I10)-1)/26)+64)&amp;CHAR(MOD(COLUMN(I10)-1,26)+65))&amp;$R10&amp;""),"")</f>
        <v/>
      </c>
      <c r="Y10" s="203" t="str">
        <f t="array" aca="1" ref="Y10" ca="1">IF($R10&lt;&gt;"",
INDIRECT(""&amp;IF(COLUMN(J10)&lt;=26,CHAR(COLUMN(J10)+64),CHAR(INT((COLUMN(J10)-1)/26)+64)&amp;CHAR(MOD(COLUMN(J10)-1,26)+65))&amp;$R10&amp;""),"")</f>
        <v/>
      </c>
      <c r="Z10" s="203" t="str">
        <f t="shared" ca="1" si="2"/>
        <v/>
      </c>
      <c r="AA10" s="203" t="str">
        <f t="shared" ca="1" si="3"/>
        <v/>
      </c>
      <c r="AB10" s="203" t="str">
        <f t="array" aca="1" ref="AB10" ca="1">IF($R10&lt;&gt;"",
IF(AND(COUNTIF(INDIRECT("B"&amp;R10&amp;""),"*雙葉*"),COUNTIF(B:B,"*雙葉*")&gt;=2),
INDIRECT("M"&amp;R10&amp;"")+INDIRECT("M"&amp;MATCH("雙葉'",INDIRECT("B"&amp;R10+1&amp;":B210"),0)+R10&amp;""),
IF(AND(LEFT(INDIRECT("B"&amp;R10&amp;""),2)="博多",COUNTIF(B:B,"*博多*")&gt;=2),
INDIRECT("M"&amp;R10&amp;"")+INDIRECT("M"&amp;MATCH("*"&amp;INDIRECT("B"&amp;R10&amp;"")&amp;"*",INDIRECT("B"&amp;R10+1&amp;":B210"),0)+R10&amp;""),
IF(AND(LEFT(INDIRECT("B"&amp;R10&amp;""),3)="奈良屋",COUNTIF(B:B,"*奈良屋*")&gt;=2),
INDIRECT("M"&amp;R10&amp;"")+INDIRECT("M"&amp;MATCH("*"&amp;INDIRECT("B"&amp;R10&amp;"")&amp;"*",INDIRECT("B"&amp;R10+1&amp;":B210"),0)+R10&amp;"")
+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INDIRECT("M"&amp;R10&amp;"")))),"")</f>
        <v/>
      </c>
      <c r="AC10" s="203" t="str">
        <f t="shared" ca="1" si="4"/>
        <v/>
      </c>
      <c r="AD10" s="51" t="str">
        <f t="shared" ca="1" si="5"/>
        <v/>
      </c>
      <c r="AE10" s="51" t="str">
        <f t="shared" ca="1" si="6"/>
        <v/>
      </c>
      <c r="AF10" s="51" t="str">
        <f t="shared" ca="1" si="7"/>
        <v/>
      </c>
      <c r="AG10" s="51" t="str">
        <f t="shared" ca="1" si="8"/>
        <v/>
      </c>
      <c r="AH10" s="191" t="str">
        <f t="shared" ca="1" si="9"/>
        <v/>
      </c>
      <c r="AI10" s="51" t="str">
        <f t="shared" ca="1" si="10"/>
        <v/>
      </c>
      <c r="AJ10" s="51" t="str">
        <f t="shared" ca="1" si="11"/>
        <v/>
      </c>
      <c r="AK10" s="51" t="str">
        <f t="shared" ca="1" si="12"/>
        <v/>
      </c>
      <c r="AL10" s="51" t="str">
        <f t="shared" ca="1" si="13"/>
        <v/>
      </c>
      <c r="AM10" s="51" t="str">
        <f t="shared" ca="1" si="14"/>
        <v/>
      </c>
      <c r="AN10" s="51" t="str">
        <f t="shared" ca="1" si="15"/>
        <v/>
      </c>
      <c r="AO10" s="51" t="str">
        <f t="shared" ca="1" si="16"/>
        <v/>
      </c>
      <c r="AP10" s="51" t="str">
        <f t="shared" ca="1" si="17"/>
        <v/>
      </c>
      <c r="AU10" s="51" t="str">
        <f t="shared" ca="1" si="18"/>
        <v/>
      </c>
    </row>
    <row r="11" spans="1:47" ht="18" customHeight="1">
      <c r="A11" s="177">
        <f t="shared" si="19"/>
        <v>27</v>
      </c>
      <c r="B11" s="52" t="str">
        <f t="shared" si="20"/>
        <v/>
      </c>
      <c r="C11" s="52" t="str">
        <f>IF(OR(クライアント抽出!B11&lt;&gt;"",クライアント抽出!E11&lt;&gt;""),クライアント抽出!A11,"")</f>
        <v/>
      </c>
      <c r="D11" s="52" t="str">
        <f t="array" aca="1" ref="D11" ca="1">IF(C11&lt;&gt;"",INDIRECT("クライアント抽出!"&amp;E11&amp;MATCH(C11,クライアント抽出!A:A,0)&amp;""),"")</f>
        <v/>
      </c>
      <c r="E11" s="52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53" t="str">
        <f ca="1">IF(D11&lt;&gt;"",
IF(COUNTIF(C11,"*雙葉*"),
IF(ROUND((H11-M11)
/IF(COUNTIF(D11,"*キャラ*"),
VLOOKUP("*キャラ*",商品マスタ一覧!$D:$E,2,FALSE),
IF(COUNTIF(D11,"*赤*"),
VLOOKUP("*赤*",商品マスタ一覧!$D:$E,2,FALSE),
VLOOKUP("*"&amp;D11&amp;"*",商品マスタ一覧!$D:$E,2,FALSE))),0)&lt;=0,1,
ROUND((H11-M11)
/IF(COUNTIF(D11,"*キャラ*"),
VLOOKUP("*キャラ*",商品マスタ一覧!$D:$E,2,FALSE),
IF(COUNTIF(D11,"*赤*"),
VLOOKUP("*赤*",商品マスタ一覧!$D:$E,2,FALSE),
VLOOKUP("*"&amp;D11&amp;"*",商品マスタ一覧!$D:$E,2,FALSE))),0)),
IF(OR(COUNTIF(D11,"*キャラ*"),COUNTIF(D11,"*赤*")),"",
IF(VLOOKUP("*"&amp;D11&amp;"*",商品マスタ一覧!$D:$E,2,FALSE)=0,"",
IF(ROUND((H11-M11)
/VLOOKUP("*"&amp;D11&amp;"*",商品マスタ一覧!$D:$E,2,FALSE),0)&lt;=0,1,
ROUND((H11-M11)
/VLOOKUP("*"&amp;D11&amp;"*",商品マスタ一覧!$D:$E,2,FALSE),0))))),"")</f>
        <v/>
      </c>
      <c r="G11" s="52" t="str">
        <f ca="1">IF(F11&lt;&gt;"",
IF(VALUE(H11-M11)&gt;VALUE(IF(COUNTIF(D11,"*キャラ*"),
VLOOKUP("*キャラ*",商品マスタ一覧!$D:$E,2,FALSE),
IF(COUNTIF(D11,"*赤*"),
VLOOKUP("*赤*",商品マスタ一覧!$D:$E,2,FALSE),
VLOOKUP("*"&amp;D11&amp;"*",商品マスタ一覧!$D:$E,2,FALSE)))*F11),
"+"&amp;(H11-M11)-IF(COUNTIF(D11,"*キャラ*"),
VLOOKUP("*キャラ*",商品マスタ一覧!$D:$E,2,FALSE),
IF(COUNTIF(D11,"*赤*"),
VLOOKUP("*赤*",商品マスタ一覧!$D:$E,2,FALSE),
VLOOKUP("*"&amp;D11&amp;"*",商品マスタ一覧!$D:$E,2,FALSE)))*F11,
(H11-M11)-IF(COUNTIF(D11,"*キャラ*"),
VLOOKUP("*キャラ*",商品マスタ一覧!$D:$E,2,FALSE),
IF(COUNTIF(D11,"*赤*"),
VLOOKUP("*赤*",商品マスタ一覧!$D:$E,2,FALSE),
VLOOKUP("*"&amp;D11&amp;"*",商品マスタ一覧!$D:$E,2,FALSE)))*F11),"")</f>
        <v/>
      </c>
      <c r="H11" s="175" t="str">
        <f>IF(C11&lt;&gt;"",
クライアント抽出!B11,"")</f>
        <v/>
      </c>
      <c r="I11" s="52" t="str">
        <f t="array" aca="1" ref="I11" ca="1">IF(C11&lt;&gt;"",
IF(O11=1,
IF(SUMPRODUCT(COUNTIF(クライアント抽出!P11:U11,クライアント抽出!P11:U11))&gt;COUNTA(クライアント抽出!P11:U11),
INDIRECT("数出表_Excel!"&amp;INDEX(_xlfn.UNIQUE(_xlfn._xlws.FILTER(クライアント抽出!P11:U11,COUNTIF(クライアント抽出!P11:U11,クライアント抽出!P11:U11)&gt;1)),1)&amp;L11&amp;""),0),クライアント抽出!E11),"")</f>
        <v/>
      </c>
      <c r="J11" s="52" t="str">
        <f>IF(C11&lt;&gt;"",
VLOOKUP(
"*"&amp;LEFT(IF(COUNTIF(D11,"*学食*"),"キャラ弁（学食）",
IF(COUNTIF(D11,"*赤*"),"赤",
IF(COUNTIF(D11,"*キャラ弁当*"),"キャラ弁当",D11))),4)&amp;"*",注文弁当の抽出!$E$1:$F$15,2,FALSE),"")</f>
        <v/>
      </c>
      <c r="K11" s="52" t="str">
        <f ca="1">IF(クライアント抽出!P11&lt;&gt;"",SUBSTITUTE(ADDRESS(1,(CODE(クライアント抽出!P11)-64)*2-1,4),"1",""),"")</f>
        <v/>
      </c>
      <c r="L11" s="52" t="str">
        <f>IF(C11&lt;&gt;"",クライアント抽出!I11,"")</f>
        <v/>
      </c>
      <c r="M11" s="52">
        <f t="array" aca="1" ref="M11" ca="1">IF(C11&lt;&gt;"",
IF(K11&lt;&gt;"",INDIRECT("'数出表_Excel（アレルギー入力）'!"&amp;K11&amp;L11-1&amp;""),),)</f>
        <v>0</v>
      </c>
      <c r="N11" s="52" t="str">
        <f>IF(C11&lt;&gt;"",IF(OR(COUNTIF('盛付札（関数）'!D11,"*赤*"),COUNTIF('盛付札（関数）'!D11,"*キャラ*")),1,
VLOOKUP("*"&amp;D11&amp;"*",商品マスタ一覧!D:H,5,FALSE)),"")</f>
        <v/>
      </c>
      <c r="O11" s="52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52">
        <f t="shared" si="0"/>
        <v>0</v>
      </c>
      <c r="Q11" s="52" t="b">
        <f t="shared" si="1"/>
        <v>0</v>
      </c>
      <c r="R11" s="203" t="str">
        <f t="array" aca="1" ref="R11" ca="1">IFERROR(SMALL(IF(P$1:P$307&lt;&gt;0,P$1:P$307),ROW(A11)),"")</f>
        <v/>
      </c>
      <c r="S11" s="203" t="str">
        <f t="array" aca="1" ref="S11" ca="1">IF($R11&lt;&gt;"",
SUBSTITUTE(SUBSTITUTE(INDIRECT("C"&amp;$R11&amp;"")," 週3ｺｰｽ","")," 週5ｺｰｽ",""),"")</f>
        <v/>
      </c>
      <c r="T11" s="203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204" t="str">
        <f t="array" aca="1" ref="U11" ca="1">IF($R11&lt;&gt;"",
INDIRECT("F"&amp;$R11&amp;""),"")</f>
        <v/>
      </c>
      <c r="V11" s="203" t="str">
        <f t="array" aca="1" ref="V11" ca="1">IF($R11&lt;&gt;"",
INDIRECT("G"&amp;$R11&amp;""),"")</f>
        <v/>
      </c>
      <c r="W11" s="203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IF(OR(COUNTIF(INDIRECT("B"&amp;R11&amp;""),"*雙葉先生*"),COUNTIF(INDIRECT("B"&amp;R11-1&amp;""),"*雙葉*")),INDIRECT("H"&amp;R11&amp;""),INDIRECT("H"&amp;R11&amp;"")+INDIRECT("H"&amp;MATCH("雙葉'",INDIRECT("B"&amp;R11+3&amp;":B210"),0)+2+R11&amp;"")),
IF(AND(LEFT(INDIRECT("B"&amp;R11&amp;""),2)="博多",COUNTIF(B:B,"*博多*")&gt;=2),
INDIRECT("H"&amp;R11&amp;"")+INDIRECT("H"&amp;MATCH("*"&amp;INDIRECT("B"&amp;R11&amp;"")&amp;"*",INDIRECT("B"&amp;R11+1&amp;":B210"),0)+R11&amp;""),
IF(AND(LEFT(INDIRECT("B"&amp;R11&amp;""),3)="奈良屋",COUNTIF(B:B,"*奈良屋*")&gt;=2),
INDIRECT("H"&amp;R11&amp;"")+INDIRECT("H"&amp;MATCH("*"&amp;INDIRECT("B"&amp;R11&amp;"")&amp;"*",INDIRECT("B"&amp;R11+1&amp;":B210"),0)+R11&amp;"")
+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INDIRECT("H"&amp;R11&amp;"")))),"")</f>
        <v/>
      </c>
      <c r="X11" s="203" t="str">
        <f t="array" aca="1" ref="X11" ca="1">IF($R11&lt;&gt;"",
INDIRECT(""&amp;IF(COLUMN(I11)&lt;=26,CHAR(COLUMN(I11)+64),CHAR(INT((COLUMN(I11)-1)/26)+64)&amp;CHAR(MOD(COLUMN(I11)-1,26)+65))&amp;$R11&amp;""),"")</f>
        <v/>
      </c>
      <c r="Y11" s="203" t="str">
        <f t="array" aca="1" ref="Y11" ca="1">IF($R11&lt;&gt;"",
INDIRECT(""&amp;IF(COLUMN(J11)&lt;=26,CHAR(COLUMN(J11)+64),CHAR(INT((COLUMN(J11)-1)/26)+64)&amp;CHAR(MOD(COLUMN(J11)-1,26)+65))&amp;$R11&amp;""),"")</f>
        <v/>
      </c>
      <c r="Z11" s="203" t="str">
        <f t="shared" ca="1" si="2"/>
        <v/>
      </c>
      <c r="AA11" s="203" t="str">
        <f t="shared" ca="1" si="3"/>
        <v/>
      </c>
      <c r="AB11" s="203" t="str">
        <f t="array" aca="1" ref="AB11" ca="1">IF($R11&lt;&gt;"",
IF(AND(COUNTIF(INDIRECT("B"&amp;R11&amp;""),"*雙葉*"),COUNTIF(B:B,"*雙葉*")&gt;=2),
INDIRECT("M"&amp;R11&amp;"")+INDIRECT("M"&amp;MATCH("雙葉'",INDIRECT("B"&amp;R11+1&amp;":B210"),0)+R11&amp;""),
IF(AND(LEFT(INDIRECT("B"&amp;R11&amp;""),2)="博多",COUNTIF(B:B,"*博多*")&gt;=2),
INDIRECT("M"&amp;R11&amp;"")+INDIRECT("M"&amp;MATCH("*"&amp;INDIRECT("B"&amp;R11&amp;"")&amp;"*",INDIRECT("B"&amp;R11+1&amp;":B210"),0)+R11&amp;""),
IF(AND(LEFT(INDIRECT("B"&amp;R11&amp;""),3)="奈良屋",COUNTIF(B:B,"*奈良屋*")&gt;=2),
INDIRECT("M"&amp;R11&amp;"")+INDIRECT("M"&amp;MATCH("*"&amp;INDIRECT("B"&amp;R11&amp;"")&amp;"*",INDIRECT("B"&amp;R11+1&amp;":B210"),0)+R11&amp;"")
+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INDIRECT("M"&amp;R11&amp;"")))),"")</f>
        <v/>
      </c>
      <c r="AC11" s="203" t="str">
        <f t="shared" ca="1" si="4"/>
        <v/>
      </c>
      <c r="AD11" s="51" t="str">
        <f t="shared" ca="1" si="5"/>
        <v/>
      </c>
      <c r="AE11" s="51" t="str">
        <f t="shared" ca="1" si="6"/>
        <v/>
      </c>
      <c r="AF11" s="51" t="str">
        <f t="shared" ca="1" si="7"/>
        <v/>
      </c>
      <c r="AG11" s="51" t="str">
        <f t="shared" ca="1" si="8"/>
        <v/>
      </c>
      <c r="AH11" s="191" t="str">
        <f t="shared" ca="1" si="9"/>
        <v/>
      </c>
      <c r="AI11" s="51" t="str">
        <f t="shared" ca="1" si="10"/>
        <v/>
      </c>
      <c r="AJ11" s="51" t="str">
        <f t="shared" ca="1" si="11"/>
        <v/>
      </c>
      <c r="AK11" s="51" t="str">
        <f t="shared" ca="1" si="12"/>
        <v/>
      </c>
      <c r="AL11" s="51" t="str">
        <f t="shared" ca="1" si="13"/>
        <v/>
      </c>
      <c r="AM11" s="51" t="str">
        <f t="shared" ca="1" si="14"/>
        <v/>
      </c>
      <c r="AN11" s="51" t="str">
        <f t="shared" ca="1" si="15"/>
        <v/>
      </c>
      <c r="AO11" s="51" t="str">
        <f t="shared" ca="1" si="16"/>
        <v/>
      </c>
      <c r="AP11" s="51" t="str">
        <f t="shared" ca="1" si="17"/>
        <v/>
      </c>
      <c r="AU11" s="51" t="str">
        <f t="shared" ca="1" si="18"/>
        <v/>
      </c>
    </row>
    <row r="12" spans="1:47" ht="18" customHeight="1">
      <c r="A12" s="177">
        <f t="shared" si="19"/>
        <v>29</v>
      </c>
      <c r="B12" s="52" t="str">
        <f t="shared" si="20"/>
        <v/>
      </c>
      <c r="C12" s="52" t="str">
        <f>IF(OR(クライアント抽出!B12&lt;&gt;"",クライアント抽出!E12&lt;&gt;""),クライアント抽出!A12,"")</f>
        <v/>
      </c>
      <c r="D12" s="52" t="str">
        <f t="array" aca="1" ref="D12" ca="1">IF(C12&lt;&gt;"",INDIRECT("クライアント抽出!"&amp;E12&amp;MATCH(C12,クライアント抽出!A:A,0)&amp;""),"")</f>
        <v/>
      </c>
      <c r="E12" s="52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53" t="str">
        <f ca="1">IF(D12&lt;&gt;"",
IF(COUNTIF(C12,"*雙葉*"),
IF(ROUND((H12-M12)
/IF(COUNTIF(D12,"*キャラ*"),
VLOOKUP("*キャラ*",商品マスタ一覧!$D:$E,2,FALSE),
IF(COUNTIF(D12,"*赤*"),
VLOOKUP("*赤*",商品マスタ一覧!$D:$E,2,FALSE),
VLOOKUP("*"&amp;D12&amp;"*",商品マスタ一覧!$D:$E,2,FALSE))),0)&lt;=0,1,
ROUND((H12-M12)
/IF(COUNTIF(D12,"*キャラ*"),
VLOOKUP("*キャラ*",商品マスタ一覧!$D:$E,2,FALSE),
IF(COUNTIF(D12,"*赤*"),
VLOOKUP("*赤*",商品マスタ一覧!$D:$E,2,FALSE),
VLOOKUP("*"&amp;D12&amp;"*",商品マスタ一覧!$D:$E,2,FALSE))),0)),
IF(OR(COUNTIF(D12,"*キャラ*"),COUNTIF(D12,"*赤*")),"",
IF(VLOOKUP("*"&amp;D12&amp;"*",商品マスタ一覧!$D:$E,2,FALSE)=0,"",
IF(ROUND((H12-M12)
/VLOOKUP("*"&amp;D12&amp;"*",商品マスタ一覧!$D:$E,2,FALSE),0)&lt;=0,1,
ROUND((H12-M12)
/VLOOKUP("*"&amp;D12&amp;"*",商品マスタ一覧!$D:$E,2,FALSE),0))))),"")</f>
        <v/>
      </c>
      <c r="G12" s="52" t="str">
        <f ca="1">IF(F12&lt;&gt;"",
IF(VALUE(H12-M12)&gt;VALUE(IF(COUNTIF(D12,"*キャラ*"),
VLOOKUP("*キャラ*",商品マスタ一覧!$D:$E,2,FALSE),
IF(COUNTIF(D12,"*赤*"),
VLOOKUP("*赤*",商品マスタ一覧!$D:$E,2,FALSE),
VLOOKUP("*"&amp;D12&amp;"*",商品マスタ一覧!$D:$E,2,FALSE)))*F12),
"+"&amp;(H12-M12)-IF(COUNTIF(D12,"*キャラ*"),
VLOOKUP("*キャラ*",商品マスタ一覧!$D:$E,2,FALSE),
IF(COUNTIF(D12,"*赤*"),
VLOOKUP("*赤*",商品マスタ一覧!$D:$E,2,FALSE),
VLOOKUP("*"&amp;D12&amp;"*",商品マスタ一覧!$D:$E,2,FALSE)))*F12,
(H12-M12)-IF(COUNTIF(D12,"*キャラ*"),
VLOOKUP("*キャラ*",商品マスタ一覧!$D:$E,2,FALSE),
IF(COUNTIF(D12,"*赤*"),
VLOOKUP("*赤*",商品マスタ一覧!$D:$E,2,FALSE),
VLOOKUP("*"&amp;D12&amp;"*",商品マスタ一覧!$D:$E,2,FALSE)))*F12),"")</f>
        <v/>
      </c>
      <c r="H12" s="175" t="str">
        <f>IF(C12&lt;&gt;"",
クライアント抽出!B12,"")</f>
        <v/>
      </c>
      <c r="I12" s="52" t="str">
        <f t="array" aca="1" ref="I12" ca="1">IF(C12&lt;&gt;"",
IF(O12=1,
IF(SUMPRODUCT(COUNTIF(クライアント抽出!P12:U12,クライアント抽出!P12:U12))&gt;COUNTA(クライアント抽出!P12:U12),
INDIRECT("数出表_Excel!"&amp;INDEX(_xlfn.UNIQUE(_xlfn._xlws.FILTER(クライアント抽出!P12:U12,COUNTIF(クライアント抽出!P12:U12,クライアント抽出!P12:U12)&gt;1)),1)&amp;L12&amp;""),0),クライアント抽出!E12),"")</f>
        <v/>
      </c>
      <c r="J12" s="52" t="str">
        <f>IF(C12&lt;&gt;"",
VLOOKUP(
"*"&amp;LEFT(IF(COUNTIF(D12,"*学食*"),"キャラ弁（学食）",
IF(COUNTIF(D12,"*赤*"),"赤",
IF(COUNTIF(D12,"*キャラ弁当*"),"キャラ弁当",D12))),4)&amp;"*",注文弁当の抽出!$E$1:$F$15,2,FALSE),"")</f>
        <v/>
      </c>
      <c r="K12" s="52" t="str">
        <f ca="1">IF(クライアント抽出!P12&lt;&gt;"",SUBSTITUTE(ADDRESS(1,(CODE(クライアント抽出!P12)-64)*2-1,4),"1",""),"")</f>
        <v/>
      </c>
      <c r="L12" s="52" t="str">
        <f>IF(C12&lt;&gt;"",クライアント抽出!I12,"")</f>
        <v/>
      </c>
      <c r="M12" s="52">
        <f t="array" aca="1" ref="M12" ca="1">IF(C12&lt;&gt;"",
IF(K12&lt;&gt;"",INDIRECT("'数出表_Excel（アレルギー入力）'!"&amp;K12&amp;L12-1&amp;""),),)</f>
        <v>0</v>
      </c>
      <c r="N12" s="52" t="str">
        <f>IF(C12&lt;&gt;"",IF(OR(COUNTIF('盛付札（関数）'!D12,"*赤*"),COUNTIF('盛付札（関数）'!D12,"*キャラ*")),1,
VLOOKUP("*"&amp;D12&amp;"*",商品マスタ一覧!D:H,5,FALSE)),"")</f>
        <v/>
      </c>
      <c r="O12" s="52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52">
        <f t="shared" si="0"/>
        <v>0</v>
      </c>
      <c r="Q12" s="52" t="b">
        <f t="shared" si="1"/>
        <v>0</v>
      </c>
      <c r="R12" s="203" t="str">
        <f t="array" aca="1" ref="R12" ca="1">IFERROR(SMALL(IF(P$1:P$307&lt;&gt;0,P$1:P$307),ROW(A12)),"")</f>
        <v/>
      </c>
      <c r="S12" s="203" t="str">
        <f t="array" aca="1" ref="S12" ca="1">IF($R12&lt;&gt;"",
SUBSTITUTE(SUBSTITUTE(INDIRECT("C"&amp;$R12&amp;"")," 週3ｺｰｽ","")," 週5ｺｰｽ",""),"")</f>
        <v/>
      </c>
      <c r="T12" s="203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204" t="str">
        <f t="array" aca="1" ref="U12" ca="1">IF($R12&lt;&gt;"",
INDIRECT("F"&amp;$R12&amp;""),"")</f>
        <v/>
      </c>
      <c r="V12" s="203" t="str">
        <f t="array" aca="1" ref="V12" ca="1">IF($R12&lt;&gt;"",
INDIRECT("G"&amp;$R12&amp;""),"")</f>
        <v/>
      </c>
      <c r="W12" s="203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IF(OR(COUNTIF(INDIRECT("B"&amp;R12&amp;""),"*雙葉先生*"),COUNTIF(INDIRECT("B"&amp;R12-1&amp;""),"*雙葉*")),INDIRECT("H"&amp;R12&amp;""),INDIRECT("H"&amp;R12&amp;"")+INDIRECT("H"&amp;MATCH("雙葉'",INDIRECT("B"&amp;R12+3&amp;":B210"),0)+2+R12&amp;"")),
IF(AND(LEFT(INDIRECT("B"&amp;R12&amp;""),2)="博多",COUNTIF(B:B,"*博多*")&gt;=2),
INDIRECT("H"&amp;R12&amp;"")+INDIRECT("H"&amp;MATCH("*"&amp;INDIRECT("B"&amp;R12&amp;"")&amp;"*",INDIRECT("B"&amp;R12+1&amp;":B210"),0)+R12&amp;""),
IF(AND(LEFT(INDIRECT("B"&amp;R12&amp;""),3)="奈良屋",COUNTIF(B:B,"*奈良屋*")&gt;=2),
INDIRECT("H"&amp;R12&amp;"")+INDIRECT("H"&amp;MATCH("*"&amp;INDIRECT("B"&amp;R12&amp;"")&amp;"*",INDIRECT("B"&amp;R12+1&amp;":B210"),0)+R12&amp;"")
+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INDIRECT("H"&amp;R12&amp;"")))),"")</f>
        <v/>
      </c>
      <c r="X12" s="203" t="str">
        <f t="array" aca="1" ref="X12" ca="1">IF($R12&lt;&gt;"",
INDIRECT(""&amp;IF(COLUMN(I12)&lt;=26,CHAR(COLUMN(I12)+64),CHAR(INT((COLUMN(I12)-1)/26)+64)&amp;CHAR(MOD(COLUMN(I12)-1,26)+65))&amp;$R12&amp;""),"")</f>
        <v/>
      </c>
      <c r="Y12" s="203" t="str">
        <f t="array" aca="1" ref="Y12" ca="1">IF($R12&lt;&gt;"",
INDIRECT(""&amp;IF(COLUMN(J12)&lt;=26,CHAR(COLUMN(J12)+64),CHAR(INT((COLUMN(J12)-1)/26)+64)&amp;CHAR(MOD(COLUMN(J12)-1,26)+65))&amp;$R12&amp;""),"")</f>
        <v/>
      </c>
      <c r="Z12" s="203" t="str">
        <f t="shared" ca="1" si="2"/>
        <v/>
      </c>
      <c r="AA12" s="203" t="str">
        <f t="shared" ca="1" si="3"/>
        <v/>
      </c>
      <c r="AB12" s="203" t="str">
        <f t="array" aca="1" ref="AB12" ca="1">IF($R12&lt;&gt;"",
IF(AND(COUNTIF(INDIRECT("B"&amp;R12&amp;""),"*雙葉*"),COUNTIF(B:B,"*雙葉*")&gt;=2),
INDIRECT("M"&amp;R12&amp;"")+INDIRECT("M"&amp;MATCH("雙葉'",INDIRECT("B"&amp;R12+1&amp;":B210"),0)+R12&amp;""),
IF(AND(LEFT(INDIRECT("B"&amp;R12&amp;""),2)="博多",COUNTIF(B:B,"*博多*")&gt;=2),
INDIRECT("M"&amp;R12&amp;"")+INDIRECT("M"&amp;MATCH("*"&amp;INDIRECT("B"&amp;R12&amp;"")&amp;"*",INDIRECT("B"&amp;R12+1&amp;":B210"),0)+R12&amp;""),
IF(AND(LEFT(INDIRECT("B"&amp;R12&amp;""),3)="奈良屋",COUNTIF(B:B,"*奈良屋*")&gt;=2),
INDIRECT("M"&amp;R12&amp;"")+INDIRECT("M"&amp;MATCH("*"&amp;INDIRECT("B"&amp;R12&amp;"")&amp;"*",INDIRECT("B"&amp;R12+1&amp;":B210"),0)+R12&amp;"")
+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INDIRECT("M"&amp;R12&amp;"")))),"")</f>
        <v/>
      </c>
      <c r="AC12" s="203" t="str">
        <f t="shared" ca="1" si="4"/>
        <v/>
      </c>
      <c r="AD12" s="51" t="str">
        <f t="shared" ca="1" si="5"/>
        <v/>
      </c>
      <c r="AE12" s="51" t="str">
        <f t="shared" ca="1" si="6"/>
        <v/>
      </c>
      <c r="AF12" s="51" t="str">
        <f t="shared" ca="1" si="7"/>
        <v/>
      </c>
      <c r="AG12" s="51" t="str">
        <f t="shared" ca="1" si="8"/>
        <v/>
      </c>
      <c r="AH12" s="191" t="str">
        <f t="shared" ca="1" si="9"/>
        <v/>
      </c>
      <c r="AI12" s="51" t="str">
        <f t="shared" ca="1" si="10"/>
        <v/>
      </c>
      <c r="AJ12" s="51" t="str">
        <f t="shared" ca="1" si="11"/>
        <v/>
      </c>
      <c r="AK12" s="51" t="str">
        <f t="shared" ca="1" si="12"/>
        <v/>
      </c>
      <c r="AL12" s="51" t="str">
        <f t="shared" ca="1" si="13"/>
        <v/>
      </c>
      <c r="AM12" s="51" t="str">
        <f t="shared" ca="1" si="14"/>
        <v/>
      </c>
      <c r="AN12" s="51" t="str">
        <f t="shared" ca="1" si="15"/>
        <v/>
      </c>
      <c r="AO12" s="51" t="str">
        <f t="shared" ca="1" si="16"/>
        <v/>
      </c>
      <c r="AP12" s="51" t="str">
        <f t="shared" ca="1" si="17"/>
        <v/>
      </c>
      <c r="AU12" s="51" t="str">
        <f t="shared" ca="1" si="18"/>
        <v/>
      </c>
    </row>
    <row r="13" spans="1:47" ht="22.2" customHeight="1">
      <c r="A13" s="177">
        <f t="shared" si="19"/>
        <v>31</v>
      </c>
      <c r="B13" s="52" t="str">
        <f t="shared" si="20"/>
        <v/>
      </c>
      <c r="C13" s="52" t="str">
        <f>IF(OR(クライアント抽出!B13&lt;&gt;"",クライアント抽出!E13&lt;&gt;""),クライアント抽出!A13,"")</f>
        <v/>
      </c>
      <c r="D13" s="52" t="str">
        <f t="array" aca="1" ref="D13" ca="1">IF(C13&lt;&gt;"",INDIRECT("クライアント抽出!"&amp;E13&amp;MATCH(C13,クライアント抽出!A:A,0)&amp;""),"")</f>
        <v/>
      </c>
      <c r="E13" s="52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53" t="str">
        <f ca="1">IF(D13&lt;&gt;"",
IF(COUNTIF(C13,"*雙葉*"),
IF(ROUND((H13-M13)
/IF(COUNTIF(D13,"*キャラ*"),
VLOOKUP("*キャラ*",商品マスタ一覧!$D:$E,2,FALSE),
IF(COUNTIF(D13,"*赤*"),
VLOOKUP("*赤*",商品マスタ一覧!$D:$E,2,FALSE),
VLOOKUP("*"&amp;D13&amp;"*",商品マスタ一覧!$D:$E,2,FALSE))),0)&lt;=0,1,
ROUND((H13-M13)
/IF(COUNTIF(D13,"*キャラ*"),
VLOOKUP("*キャラ*",商品マスタ一覧!$D:$E,2,FALSE),
IF(COUNTIF(D13,"*赤*"),
VLOOKUP("*赤*",商品マスタ一覧!$D:$E,2,FALSE),
VLOOKUP("*"&amp;D13&amp;"*",商品マスタ一覧!$D:$E,2,FALSE))),0)),
IF(OR(COUNTIF(D13,"*キャラ*"),COUNTIF(D13,"*赤*")),"",
IF(VLOOKUP("*"&amp;D13&amp;"*",商品マスタ一覧!$D:$E,2,FALSE)=0,"",
IF(ROUND((H13-M13)
/VLOOKUP("*"&amp;D13&amp;"*",商品マスタ一覧!$D:$E,2,FALSE),0)&lt;=0,1,
ROUND((H13-M13)
/VLOOKUP("*"&amp;D13&amp;"*",商品マスタ一覧!$D:$E,2,FALSE),0))))),"")</f>
        <v/>
      </c>
      <c r="G13" s="52" t="str">
        <f ca="1">IF(F13&lt;&gt;"",
IF(VALUE(H13-M13)&gt;VALUE(IF(COUNTIF(D13,"*キャラ*"),
VLOOKUP("*キャラ*",商品マスタ一覧!$D:$E,2,FALSE),
IF(COUNTIF(D13,"*赤*"),
VLOOKUP("*赤*",商品マスタ一覧!$D:$E,2,FALSE),
VLOOKUP("*"&amp;D13&amp;"*",商品マスタ一覧!$D:$E,2,FALSE)))*F13),
"+"&amp;(H13-M13)-IF(COUNTIF(D13,"*キャラ*"),
VLOOKUP("*キャラ*",商品マスタ一覧!$D:$E,2,FALSE),
IF(COUNTIF(D13,"*赤*"),
VLOOKUP("*赤*",商品マスタ一覧!$D:$E,2,FALSE),
VLOOKUP("*"&amp;D13&amp;"*",商品マスタ一覧!$D:$E,2,FALSE)))*F13,
(H13-M13)-IF(COUNTIF(D13,"*キャラ*"),
VLOOKUP("*キャラ*",商品マスタ一覧!$D:$E,2,FALSE),
IF(COUNTIF(D13,"*赤*"),
VLOOKUP("*赤*",商品マスタ一覧!$D:$E,2,FALSE),
VLOOKUP("*"&amp;D13&amp;"*",商品マスタ一覧!$D:$E,2,FALSE)))*F13),"")</f>
        <v/>
      </c>
      <c r="H13" s="175" t="str">
        <f>IF(C13&lt;&gt;"",
クライアント抽出!B13,"")</f>
        <v/>
      </c>
      <c r="I13" s="52" t="str">
        <f t="array" aca="1" ref="I13" ca="1">IF(C13&lt;&gt;"",
IF(O13=1,
IF(SUMPRODUCT(COUNTIF(クライアント抽出!P13:U13,クライアント抽出!P13:U13))&gt;COUNTA(クライアント抽出!P13:U13),
INDIRECT("数出表_Excel!"&amp;INDEX(_xlfn.UNIQUE(_xlfn._xlws.FILTER(クライアント抽出!P13:U13,COUNTIF(クライアント抽出!P13:U13,クライアント抽出!P13:U13)&gt;1)),1)&amp;L13&amp;""),0),クライアント抽出!E13),"")</f>
        <v/>
      </c>
      <c r="J13" s="52" t="str">
        <f>IF(C13&lt;&gt;"",
VLOOKUP(
"*"&amp;LEFT(IF(COUNTIF(D13,"*学食*"),"キャラ弁（学食）",
IF(COUNTIF(D13,"*赤*"),"赤",
IF(COUNTIF(D13,"*キャラ弁当*"),"キャラ弁当",D13))),4)&amp;"*",注文弁当の抽出!$E$1:$F$15,2,FALSE),"")</f>
        <v/>
      </c>
      <c r="K13" s="52" t="str">
        <f ca="1">IF(クライアント抽出!P13&lt;&gt;"",SUBSTITUTE(ADDRESS(1,(CODE(クライアント抽出!P13)-64)*2-1,4),"1",""),"")</f>
        <v/>
      </c>
      <c r="L13" s="52" t="str">
        <f>IF(C13&lt;&gt;"",クライアント抽出!I13,"")</f>
        <v/>
      </c>
      <c r="M13" s="52">
        <f t="array" aca="1" ref="M13" ca="1">IF(C13&lt;&gt;"",
IF(K13&lt;&gt;"",INDIRECT("'数出表_Excel（アレルギー入力）'!"&amp;K13&amp;L13-1&amp;""),),)</f>
        <v>0</v>
      </c>
      <c r="N13" s="52" t="str">
        <f>IF(C13&lt;&gt;"",IF(OR(COUNTIF('盛付札（関数）'!D13,"*赤*"),COUNTIF('盛付札（関数）'!D13,"*キャラ*")),1,
VLOOKUP("*"&amp;D13&amp;"*",商品マスタ一覧!D:H,5,FALSE)),"")</f>
        <v/>
      </c>
      <c r="O13" s="52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52">
        <f t="shared" si="0"/>
        <v>0</v>
      </c>
      <c r="Q13" s="52" t="b">
        <f t="shared" si="1"/>
        <v>0</v>
      </c>
      <c r="R13" s="203" t="str">
        <f t="array" aca="1" ref="R13" ca="1">IFERROR(SMALL(IF(P$1:P$307&lt;&gt;0,P$1:P$307),ROW(A13)),"")</f>
        <v/>
      </c>
      <c r="S13" s="203" t="str">
        <f t="array" aca="1" ref="S13" ca="1">IF($R13&lt;&gt;"",
SUBSTITUTE(SUBSTITUTE(INDIRECT("C"&amp;$R13&amp;"")," 週3ｺｰｽ","")," 週5ｺｰｽ",""),"")</f>
        <v/>
      </c>
      <c r="T13" s="203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204" t="str">
        <f t="array" aca="1" ref="U13" ca="1">IF($R13&lt;&gt;"",
INDIRECT("F"&amp;$R13&amp;""),"")</f>
        <v/>
      </c>
      <c r="V13" s="203" t="str">
        <f t="array" aca="1" ref="V13" ca="1">IF($R13&lt;&gt;"",
INDIRECT("G"&amp;$R13&amp;""),"")</f>
        <v/>
      </c>
      <c r="W13" s="203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IF(OR(COUNTIF(INDIRECT("B"&amp;R13&amp;""),"*雙葉先生*"),COUNTIF(INDIRECT("B"&amp;R13-1&amp;""),"*雙葉*")),INDIRECT("H"&amp;R13&amp;""),INDIRECT("H"&amp;R13&amp;"")+INDIRECT("H"&amp;MATCH("雙葉'",INDIRECT("B"&amp;R13+3&amp;":B210"),0)+2+R13&amp;"")),
IF(AND(LEFT(INDIRECT("B"&amp;R13&amp;""),2)="博多",COUNTIF(B:B,"*博多*")&gt;=2),
INDIRECT("H"&amp;R13&amp;"")+INDIRECT("H"&amp;MATCH("*"&amp;INDIRECT("B"&amp;R13&amp;"")&amp;"*",INDIRECT("B"&amp;R13+1&amp;":B210"),0)+R13&amp;""),
IF(AND(LEFT(INDIRECT("B"&amp;R13&amp;""),3)="奈良屋",COUNTIF(B:B,"*奈良屋*")&gt;=2),
INDIRECT("H"&amp;R13&amp;"")+INDIRECT("H"&amp;MATCH("*"&amp;INDIRECT("B"&amp;R13&amp;"")&amp;"*",INDIRECT("B"&amp;R13+1&amp;":B210"),0)+R13&amp;"")
+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INDIRECT("H"&amp;R13&amp;"")))),"")</f>
        <v/>
      </c>
      <c r="X13" s="203" t="str">
        <f t="array" aca="1" ref="X13" ca="1">IF($R13&lt;&gt;"",
INDIRECT(""&amp;IF(COLUMN(I13)&lt;=26,CHAR(COLUMN(I13)+64),CHAR(INT((COLUMN(I13)-1)/26)+64)&amp;CHAR(MOD(COLUMN(I13)-1,26)+65))&amp;$R13&amp;""),"")</f>
        <v/>
      </c>
      <c r="Y13" s="203" t="str">
        <f t="array" aca="1" ref="Y13" ca="1">IF($R13&lt;&gt;"",
INDIRECT(""&amp;IF(COLUMN(J13)&lt;=26,CHAR(COLUMN(J13)+64),CHAR(INT((COLUMN(J13)-1)/26)+64)&amp;CHAR(MOD(COLUMN(J13)-1,26)+65))&amp;$R13&amp;""),"")</f>
        <v/>
      </c>
      <c r="Z13" s="203" t="str">
        <f t="shared" ca="1" si="2"/>
        <v/>
      </c>
      <c r="AA13" s="203" t="str">
        <f t="shared" ca="1" si="3"/>
        <v/>
      </c>
      <c r="AB13" s="203" t="str">
        <f t="array" aca="1" ref="AB13" ca="1">IF($R13&lt;&gt;"",
IF(AND(COUNTIF(INDIRECT("B"&amp;R13&amp;""),"*雙葉*"),COUNTIF(B:B,"*雙葉*")&gt;=2),
INDIRECT("M"&amp;R13&amp;"")+INDIRECT("M"&amp;MATCH("雙葉'",INDIRECT("B"&amp;R13+1&amp;":B210"),0)+R13&amp;""),
IF(AND(LEFT(INDIRECT("B"&amp;R13&amp;""),2)="博多",COUNTIF(B:B,"*博多*")&gt;=2),
INDIRECT("M"&amp;R13&amp;"")+INDIRECT("M"&amp;MATCH("*"&amp;INDIRECT("B"&amp;R13&amp;"")&amp;"*",INDIRECT("B"&amp;R13+1&amp;":B210"),0)+R13&amp;""),
IF(AND(LEFT(INDIRECT("B"&amp;R13&amp;""),3)="奈良屋",COUNTIF(B:B,"*奈良屋*")&gt;=2),
INDIRECT("M"&amp;R13&amp;"")+INDIRECT("M"&amp;MATCH("*"&amp;INDIRECT("B"&amp;R13&amp;"")&amp;"*",INDIRECT("B"&amp;R13+1&amp;":B210"),0)+R13&amp;"")
+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INDIRECT("M"&amp;R13&amp;"")))),"")</f>
        <v/>
      </c>
      <c r="AC13" s="203" t="str">
        <f t="shared" ca="1" si="4"/>
        <v/>
      </c>
      <c r="AD13" s="51" t="str">
        <f t="shared" ca="1" si="5"/>
        <v/>
      </c>
      <c r="AE13" s="51" t="str">
        <f t="shared" ca="1" si="6"/>
        <v/>
      </c>
      <c r="AF13" s="51" t="str">
        <f t="shared" ca="1" si="7"/>
        <v/>
      </c>
      <c r="AG13" s="51" t="str">
        <f t="shared" ca="1" si="8"/>
        <v/>
      </c>
      <c r="AH13" s="191" t="str">
        <f t="shared" ca="1" si="9"/>
        <v/>
      </c>
      <c r="AI13" s="51" t="str">
        <f t="shared" ca="1" si="10"/>
        <v/>
      </c>
      <c r="AJ13" s="51" t="str">
        <f t="shared" ca="1" si="11"/>
        <v/>
      </c>
      <c r="AK13" s="51" t="str">
        <f t="shared" ca="1" si="12"/>
        <v/>
      </c>
      <c r="AL13" s="51" t="str">
        <f t="shared" ca="1" si="13"/>
        <v/>
      </c>
      <c r="AM13" s="51" t="str">
        <f t="shared" ca="1" si="14"/>
        <v/>
      </c>
      <c r="AN13" s="51" t="str">
        <f t="shared" ca="1" si="15"/>
        <v/>
      </c>
      <c r="AO13" s="51" t="str">
        <f t="shared" ca="1" si="16"/>
        <v/>
      </c>
      <c r="AP13" s="51" t="str">
        <f t="shared" ca="1" si="17"/>
        <v/>
      </c>
      <c r="AU13" s="51" t="str">
        <f t="shared" ca="1" si="18"/>
        <v/>
      </c>
    </row>
    <row r="14" spans="1:47" ht="21" customHeight="1">
      <c r="A14" s="177">
        <f t="shared" si="19"/>
        <v>33</v>
      </c>
      <c r="B14" s="52" t="str">
        <f t="shared" si="20"/>
        <v/>
      </c>
      <c r="C14" s="52" t="str">
        <f>IF(OR(クライアント抽出!B14&lt;&gt;"",クライアント抽出!E14&lt;&gt;""),クライアント抽出!A14,"")</f>
        <v/>
      </c>
      <c r="D14" s="52" t="str">
        <f t="array" aca="1" ref="D14" ca="1">IF(C14&lt;&gt;"",INDIRECT("クライアント抽出!"&amp;E14&amp;MATCH(C14,クライアント抽出!A:A,0)&amp;""),"")</f>
        <v/>
      </c>
      <c r="E14" s="52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53" t="str">
        <f ca="1">IF(D14&lt;&gt;"",
IF(COUNTIF(C14,"*雙葉*"),
IF(ROUND((H14-M14)
/IF(COUNTIF(D14,"*キャラ*"),
VLOOKUP("*キャラ*",商品マスタ一覧!$D:$E,2,FALSE),
IF(COUNTIF(D14,"*赤*"),
VLOOKUP("*赤*",商品マスタ一覧!$D:$E,2,FALSE),
VLOOKUP("*"&amp;D14&amp;"*",商品マスタ一覧!$D:$E,2,FALSE))),0)&lt;=0,1,
ROUND((H14-M14)
/IF(COUNTIF(D14,"*キャラ*"),
VLOOKUP("*キャラ*",商品マスタ一覧!$D:$E,2,FALSE),
IF(COUNTIF(D14,"*赤*"),
VLOOKUP("*赤*",商品マスタ一覧!$D:$E,2,FALSE),
VLOOKUP("*"&amp;D14&amp;"*",商品マスタ一覧!$D:$E,2,FALSE))),0)),
IF(OR(COUNTIF(D14,"*キャラ*"),COUNTIF(D14,"*赤*")),"",
IF(VLOOKUP("*"&amp;D14&amp;"*",商品マスタ一覧!$D:$E,2,FALSE)=0,"",
IF(ROUND((H14-M14)
/VLOOKUP("*"&amp;D14&amp;"*",商品マスタ一覧!$D:$E,2,FALSE),0)&lt;=0,1,
ROUND((H14-M14)
/VLOOKUP("*"&amp;D14&amp;"*",商品マスタ一覧!$D:$E,2,FALSE),0))))),"")</f>
        <v/>
      </c>
      <c r="G14" s="52" t="str">
        <f ca="1">IF(F14&lt;&gt;"",
IF(VALUE(H14-M14)&gt;VALUE(IF(COUNTIF(D14,"*キャラ*"),
VLOOKUP("*キャラ*",商品マスタ一覧!$D:$E,2,FALSE),
IF(COUNTIF(D14,"*赤*"),
VLOOKUP("*赤*",商品マスタ一覧!$D:$E,2,FALSE),
VLOOKUP("*"&amp;D14&amp;"*",商品マスタ一覧!$D:$E,2,FALSE)))*F14),
"+"&amp;(H14-M14)-IF(COUNTIF(D14,"*キャラ*"),
VLOOKUP("*キャラ*",商品マスタ一覧!$D:$E,2,FALSE),
IF(COUNTIF(D14,"*赤*"),
VLOOKUP("*赤*",商品マスタ一覧!$D:$E,2,FALSE),
VLOOKUP("*"&amp;D14&amp;"*",商品マスタ一覧!$D:$E,2,FALSE)))*F14,
(H14-M14)-IF(COUNTIF(D14,"*キャラ*"),
VLOOKUP("*キャラ*",商品マスタ一覧!$D:$E,2,FALSE),
IF(COUNTIF(D14,"*赤*"),
VLOOKUP("*赤*",商品マスタ一覧!$D:$E,2,FALSE),
VLOOKUP("*"&amp;D14&amp;"*",商品マスタ一覧!$D:$E,2,FALSE)))*F14),"")</f>
        <v/>
      </c>
      <c r="H14" s="175" t="str">
        <f>IF(C14&lt;&gt;"",
クライアント抽出!B14,"")</f>
        <v/>
      </c>
      <c r="I14" s="52" t="str">
        <f t="array" aca="1" ref="I14" ca="1">IF(C14&lt;&gt;"",
IF(O14=1,
IF(SUMPRODUCT(COUNTIF(クライアント抽出!P14:U14,クライアント抽出!P14:U14))&gt;COUNTA(クライアント抽出!P14:U14),
INDIRECT("数出表_Excel!"&amp;INDEX(_xlfn.UNIQUE(_xlfn._xlws.FILTER(クライアント抽出!P14:U14,COUNTIF(クライアント抽出!P14:U14,クライアント抽出!P14:U14)&gt;1)),1)&amp;L14&amp;""),0),クライアント抽出!E14),"")</f>
        <v/>
      </c>
      <c r="J14" s="52" t="str">
        <f>IF(C14&lt;&gt;"",
VLOOKUP(
"*"&amp;LEFT(IF(COUNTIF(D14,"*学食*"),"キャラ弁（学食）",
IF(COUNTIF(D14,"*赤*"),"赤",
IF(COUNTIF(D14,"*キャラ弁当*"),"キャラ弁当",D14))),4)&amp;"*",注文弁当の抽出!$E$1:$F$15,2,FALSE),"")</f>
        <v/>
      </c>
      <c r="K14" s="52" t="str">
        <f ca="1">IF(クライアント抽出!P14&lt;&gt;"",SUBSTITUTE(ADDRESS(1,(CODE(クライアント抽出!P14)-64)*2-1,4),"1",""),"")</f>
        <v/>
      </c>
      <c r="L14" s="52" t="str">
        <f>IF(C14&lt;&gt;"",クライアント抽出!I14,"")</f>
        <v/>
      </c>
      <c r="M14" s="52">
        <f t="array" aca="1" ref="M14" ca="1">IF(C14&lt;&gt;"",
IF(K14&lt;&gt;"",INDIRECT("'数出表_Excel（アレルギー入力）'!"&amp;K14&amp;L14-1&amp;""),),)</f>
        <v>0</v>
      </c>
      <c r="N14" s="52" t="str">
        <f>IF(C14&lt;&gt;"",IF(OR(COUNTIF('盛付札（関数）'!D14,"*赤*"),COUNTIF('盛付札（関数）'!D14,"*キャラ*")),1,
VLOOKUP("*"&amp;D14&amp;"*",商品マスタ一覧!D:H,5,FALSE)),"")</f>
        <v/>
      </c>
      <c r="O14" s="52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52">
        <f t="shared" si="0"/>
        <v>0</v>
      </c>
      <c r="Q14" s="52" t="b">
        <f t="shared" si="1"/>
        <v>0</v>
      </c>
      <c r="R14" s="203" t="str">
        <f t="array" aca="1" ref="R14" ca="1">IFERROR(SMALL(IF(P$1:P$307&lt;&gt;0,P$1:P$307),ROW(A14)),"")</f>
        <v/>
      </c>
      <c r="S14" s="203" t="str">
        <f t="array" aca="1" ref="S14" ca="1">IF($R14&lt;&gt;"",
SUBSTITUTE(SUBSTITUTE(INDIRECT("C"&amp;$R14&amp;"")," 週3ｺｰｽ","")," 週5ｺｰｽ",""),"")</f>
        <v/>
      </c>
      <c r="T14" s="203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204" t="str">
        <f t="array" aca="1" ref="U14" ca="1">IF($R14&lt;&gt;"",
INDIRECT("F"&amp;$R14&amp;""),"")</f>
        <v/>
      </c>
      <c r="V14" s="203" t="str">
        <f t="array" aca="1" ref="V14" ca="1">IF($R14&lt;&gt;"",
INDIRECT("G"&amp;$R14&amp;""),"")</f>
        <v/>
      </c>
      <c r="W14" s="203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IF(OR(COUNTIF(INDIRECT("B"&amp;R14&amp;""),"*雙葉先生*"),COUNTIF(INDIRECT("B"&amp;R14-1&amp;""),"*雙葉*")),INDIRECT("H"&amp;R14&amp;""),INDIRECT("H"&amp;R14&amp;"")+INDIRECT("H"&amp;MATCH("雙葉'",INDIRECT("B"&amp;R14+3&amp;":B210"),0)+2+R14&amp;"")),
IF(AND(LEFT(INDIRECT("B"&amp;R14&amp;""),2)="博多",COUNTIF(B:B,"*博多*")&gt;=2),
INDIRECT("H"&amp;R14&amp;"")+INDIRECT("H"&amp;MATCH("*"&amp;INDIRECT("B"&amp;R14&amp;"")&amp;"*",INDIRECT("B"&amp;R14+1&amp;":B210"),0)+R14&amp;""),
IF(AND(LEFT(INDIRECT("B"&amp;R14&amp;""),3)="奈良屋",COUNTIF(B:B,"*奈良屋*")&gt;=2),
INDIRECT("H"&amp;R14&amp;"")+INDIRECT("H"&amp;MATCH("*"&amp;INDIRECT("B"&amp;R14&amp;"")&amp;"*",INDIRECT("B"&amp;R14+1&amp;":B210"),0)+R14&amp;"")
+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INDIRECT("H"&amp;R14&amp;"")))),"")</f>
        <v/>
      </c>
      <c r="X14" s="203" t="str">
        <f t="array" aca="1" ref="X14" ca="1">IF($R14&lt;&gt;"",
INDIRECT(""&amp;IF(COLUMN(I14)&lt;=26,CHAR(COLUMN(I14)+64),CHAR(INT((COLUMN(I14)-1)/26)+64)&amp;CHAR(MOD(COLUMN(I14)-1,26)+65))&amp;$R14&amp;""),"")</f>
        <v/>
      </c>
      <c r="Y14" s="203" t="str">
        <f t="array" aca="1" ref="Y14" ca="1">IF($R14&lt;&gt;"",
INDIRECT(""&amp;IF(COLUMN(J14)&lt;=26,CHAR(COLUMN(J14)+64),CHAR(INT((COLUMN(J14)-1)/26)+64)&amp;CHAR(MOD(COLUMN(J14)-1,26)+65))&amp;$R14&amp;""),"")</f>
        <v/>
      </c>
      <c r="Z14" s="203" t="str">
        <f t="shared" ca="1" si="2"/>
        <v/>
      </c>
      <c r="AA14" s="203" t="str">
        <f t="shared" ca="1" si="3"/>
        <v/>
      </c>
      <c r="AB14" s="203" t="str">
        <f t="array" aca="1" ref="AB14" ca="1">IF($R14&lt;&gt;"",
IF(AND(COUNTIF(INDIRECT("B"&amp;R14&amp;""),"*雙葉*"),COUNTIF(B:B,"*雙葉*")&gt;=2),
INDIRECT("M"&amp;R14&amp;"")+INDIRECT("M"&amp;MATCH("雙葉'",INDIRECT("B"&amp;R14+1&amp;":B210"),0)+R14&amp;""),
IF(AND(LEFT(INDIRECT("B"&amp;R14&amp;""),2)="博多",COUNTIF(B:B,"*博多*")&gt;=2),
INDIRECT("M"&amp;R14&amp;"")+INDIRECT("M"&amp;MATCH("*"&amp;INDIRECT("B"&amp;R14&amp;"")&amp;"*",INDIRECT("B"&amp;R14+1&amp;":B210"),0)+R14&amp;""),
IF(AND(LEFT(INDIRECT("B"&amp;R14&amp;""),3)="奈良屋",COUNTIF(B:B,"*奈良屋*")&gt;=2),
INDIRECT("M"&amp;R14&amp;"")+INDIRECT("M"&amp;MATCH("*"&amp;INDIRECT("B"&amp;R14&amp;"")&amp;"*",INDIRECT("B"&amp;R14+1&amp;":B210"),0)+R14&amp;"")
+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INDIRECT("M"&amp;R14&amp;"")))),"")</f>
        <v/>
      </c>
      <c r="AC14" s="203" t="str">
        <f t="shared" ca="1" si="4"/>
        <v/>
      </c>
      <c r="AD14" s="51" t="str">
        <f t="shared" ca="1" si="5"/>
        <v/>
      </c>
      <c r="AE14" s="51" t="str">
        <f t="shared" ca="1" si="6"/>
        <v/>
      </c>
      <c r="AF14" s="51" t="str">
        <f t="shared" ca="1" si="7"/>
        <v/>
      </c>
      <c r="AG14" s="51" t="str">
        <f t="shared" ca="1" si="8"/>
        <v/>
      </c>
      <c r="AH14" s="191" t="str">
        <f t="shared" ca="1" si="9"/>
        <v/>
      </c>
      <c r="AI14" s="51" t="str">
        <f t="shared" ca="1" si="10"/>
        <v/>
      </c>
      <c r="AJ14" s="51" t="str">
        <f t="shared" ca="1" si="11"/>
        <v/>
      </c>
      <c r="AK14" s="51" t="str">
        <f t="shared" ca="1" si="12"/>
        <v/>
      </c>
      <c r="AL14" s="51" t="str">
        <f t="shared" ca="1" si="13"/>
        <v/>
      </c>
      <c r="AM14" s="51" t="str">
        <f t="shared" ca="1" si="14"/>
        <v/>
      </c>
      <c r="AN14" s="51" t="str">
        <f t="shared" ca="1" si="15"/>
        <v/>
      </c>
      <c r="AO14" s="51" t="str">
        <f t="shared" ca="1" si="16"/>
        <v/>
      </c>
      <c r="AP14" s="51" t="str">
        <f t="shared" ca="1" si="17"/>
        <v/>
      </c>
      <c r="AU14" s="51" t="str">
        <f t="shared" ca="1" si="18"/>
        <v/>
      </c>
    </row>
    <row r="15" spans="1:47" ht="18" customHeight="1">
      <c r="A15" s="177">
        <f t="shared" si="19"/>
        <v>35</v>
      </c>
      <c r="B15" s="52" t="str">
        <f t="shared" si="20"/>
        <v/>
      </c>
      <c r="C15" s="52" t="str">
        <f>IF(OR(クライアント抽出!B15&lt;&gt;"",クライアント抽出!E15&lt;&gt;""),クライアント抽出!A15,"")</f>
        <v/>
      </c>
      <c r="D15" s="52" t="str">
        <f t="array" aca="1" ref="D15" ca="1">IF(C15&lt;&gt;"",INDIRECT("クライアント抽出!"&amp;E15&amp;MATCH(C15,クライアント抽出!A:A,0)&amp;""),"")</f>
        <v/>
      </c>
      <c r="E15" s="52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53" t="str">
        <f ca="1">IF(D15&lt;&gt;"",
IF(COUNTIF(C15,"*雙葉*"),
IF(ROUND((H15-M15)
/IF(COUNTIF(D15,"*キャラ*"),
VLOOKUP("*キャラ*",商品マスタ一覧!$D:$E,2,FALSE),
IF(COUNTIF(D15,"*赤*"),
VLOOKUP("*赤*",商品マスタ一覧!$D:$E,2,FALSE),
VLOOKUP("*"&amp;D15&amp;"*",商品マスタ一覧!$D:$E,2,FALSE))),0)&lt;=0,1,
ROUND((H15-M15)
/IF(COUNTIF(D15,"*キャラ*"),
VLOOKUP("*キャラ*",商品マスタ一覧!$D:$E,2,FALSE),
IF(COUNTIF(D15,"*赤*"),
VLOOKUP("*赤*",商品マスタ一覧!$D:$E,2,FALSE),
VLOOKUP("*"&amp;D15&amp;"*",商品マスタ一覧!$D:$E,2,FALSE))),0)),
IF(OR(COUNTIF(D15,"*キャラ*"),COUNTIF(D15,"*赤*")),"",
IF(VLOOKUP("*"&amp;D15&amp;"*",商品マスタ一覧!$D:$E,2,FALSE)=0,"",
IF(ROUND((H15-M15)
/VLOOKUP("*"&amp;D15&amp;"*",商品マスタ一覧!$D:$E,2,FALSE),0)&lt;=0,1,
ROUND((H15-M15)
/VLOOKUP("*"&amp;D15&amp;"*",商品マスタ一覧!$D:$E,2,FALSE),0))))),"")</f>
        <v/>
      </c>
      <c r="G15" s="52" t="str">
        <f ca="1">IF(F15&lt;&gt;"",
IF(VALUE(H15-M15)&gt;VALUE(IF(COUNTIF(D15,"*キャラ*"),
VLOOKUP("*キャラ*",商品マスタ一覧!$D:$E,2,FALSE),
IF(COUNTIF(D15,"*赤*"),
VLOOKUP("*赤*",商品マスタ一覧!$D:$E,2,FALSE),
VLOOKUP("*"&amp;D15&amp;"*",商品マスタ一覧!$D:$E,2,FALSE)))*F15),
"+"&amp;(H15-M15)-IF(COUNTIF(D15,"*キャラ*"),
VLOOKUP("*キャラ*",商品マスタ一覧!$D:$E,2,FALSE),
IF(COUNTIF(D15,"*赤*"),
VLOOKUP("*赤*",商品マスタ一覧!$D:$E,2,FALSE),
VLOOKUP("*"&amp;D15&amp;"*",商品マスタ一覧!$D:$E,2,FALSE)))*F15,
(H15-M15)-IF(COUNTIF(D15,"*キャラ*"),
VLOOKUP("*キャラ*",商品マスタ一覧!$D:$E,2,FALSE),
IF(COUNTIF(D15,"*赤*"),
VLOOKUP("*赤*",商品マスタ一覧!$D:$E,2,FALSE),
VLOOKUP("*"&amp;D15&amp;"*",商品マスタ一覧!$D:$E,2,FALSE)))*F15),"")</f>
        <v/>
      </c>
      <c r="H15" s="175" t="str">
        <f>IF(C15&lt;&gt;"",
クライアント抽出!B15,"")</f>
        <v/>
      </c>
      <c r="I15" s="52" t="str">
        <f t="array" aca="1" ref="I15" ca="1">IF(C15&lt;&gt;"",
IF(O15=1,
IF(SUMPRODUCT(COUNTIF(クライアント抽出!P15:U15,クライアント抽出!P15:U15))&gt;COUNTA(クライアント抽出!P15:U15),
INDIRECT("数出表_Excel!"&amp;INDEX(_xlfn.UNIQUE(_xlfn._xlws.FILTER(クライアント抽出!P15:U15,COUNTIF(クライアント抽出!P15:U15,クライアント抽出!P15:U15)&gt;1)),1)&amp;L15&amp;""),0),クライアント抽出!E15),"")</f>
        <v/>
      </c>
      <c r="J15" s="52" t="str">
        <f>IF(C15&lt;&gt;"",
VLOOKUP(
"*"&amp;LEFT(IF(COUNTIF(D15,"*学食*"),"キャラ弁（学食）",
IF(COUNTIF(D15,"*赤*"),"赤",
IF(COUNTIF(D15,"*キャラ弁当*"),"キャラ弁当",D15))),4)&amp;"*",注文弁当の抽出!$E$1:$F$15,2,FALSE),"")</f>
        <v/>
      </c>
      <c r="K15" s="52" t="str">
        <f ca="1">IF(クライアント抽出!P15&lt;&gt;"",SUBSTITUTE(ADDRESS(1,(CODE(クライアント抽出!P15)-64)*2-1,4),"1",""),"")</f>
        <v/>
      </c>
      <c r="L15" s="52" t="str">
        <f>IF(C15&lt;&gt;"",クライアント抽出!I15,"")</f>
        <v/>
      </c>
      <c r="M15" s="52">
        <f t="array" aca="1" ref="M15" ca="1">IF(C15&lt;&gt;"",
IF(K15&lt;&gt;"",INDIRECT("'数出表_Excel（アレルギー入力）'!"&amp;K15&amp;L15-1&amp;""),),)</f>
        <v>0</v>
      </c>
      <c r="N15" s="52" t="str">
        <f>IF(C15&lt;&gt;"",IF(OR(COUNTIF('盛付札（関数）'!D15,"*赤*"),COUNTIF('盛付札（関数）'!D15,"*キャラ*")),1,
VLOOKUP("*"&amp;D15&amp;"*",商品マスタ一覧!D:H,5,FALSE)),"")</f>
        <v/>
      </c>
      <c r="O15" s="52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52">
        <f t="shared" si="0"/>
        <v>0</v>
      </c>
      <c r="Q15" s="52" t="b">
        <f t="shared" si="1"/>
        <v>0</v>
      </c>
      <c r="R15" s="203" t="str">
        <f t="array" aca="1" ref="R15" ca="1">IFERROR(SMALL(IF(P$1:P$307&lt;&gt;0,P$1:P$307),ROW(A15)),"")</f>
        <v/>
      </c>
      <c r="S15" s="203" t="str">
        <f t="array" aca="1" ref="S15" ca="1">IF($R15&lt;&gt;"",
SUBSTITUTE(SUBSTITUTE(INDIRECT("C"&amp;$R15&amp;"")," 週3ｺｰｽ","")," 週5ｺｰｽ",""),"")</f>
        <v/>
      </c>
      <c r="T15" s="203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204" t="str">
        <f t="array" aca="1" ref="U15" ca="1">IF($R15&lt;&gt;"",
INDIRECT("F"&amp;$R15&amp;""),"")</f>
        <v/>
      </c>
      <c r="V15" s="203" t="str">
        <f t="array" aca="1" ref="V15" ca="1">IF($R15&lt;&gt;"",
INDIRECT("G"&amp;$R15&amp;""),"")</f>
        <v/>
      </c>
      <c r="W15" s="203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IF(OR(COUNTIF(INDIRECT("B"&amp;R15&amp;""),"*雙葉先生*"),COUNTIF(INDIRECT("B"&amp;R15-1&amp;""),"*雙葉*")),INDIRECT("H"&amp;R15&amp;""),INDIRECT("H"&amp;R15&amp;"")+INDIRECT("H"&amp;MATCH("雙葉'",INDIRECT("B"&amp;R15+3&amp;":B210"),0)+2+R15&amp;"")),
IF(AND(LEFT(INDIRECT("B"&amp;R15&amp;""),2)="博多",COUNTIF(B:B,"*博多*")&gt;=2),
INDIRECT("H"&amp;R15&amp;"")+INDIRECT("H"&amp;MATCH("*"&amp;INDIRECT("B"&amp;R15&amp;"")&amp;"*",INDIRECT("B"&amp;R15+1&amp;":B210"),0)+R15&amp;""),
IF(AND(LEFT(INDIRECT("B"&amp;R15&amp;""),3)="奈良屋",COUNTIF(B:B,"*奈良屋*")&gt;=2),
INDIRECT("H"&amp;R15&amp;"")+INDIRECT("H"&amp;MATCH("*"&amp;INDIRECT("B"&amp;R15&amp;"")&amp;"*",INDIRECT("B"&amp;R15+1&amp;":B210"),0)+R15&amp;"")
+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INDIRECT("H"&amp;R15&amp;"")))),"")</f>
        <v/>
      </c>
      <c r="X15" s="203" t="str">
        <f t="array" aca="1" ref="X15" ca="1">IF($R15&lt;&gt;"",
INDIRECT(""&amp;IF(COLUMN(I15)&lt;=26,CHAR(COLUMN(I15)+64),CHAR(INT((COLUMN(I15)-1)/26)+64)&amp;CHAR(MOD(COLUMN(I15)-1,26)+65))&amp;$R15&amp;""),"")</f>
        <v/>
      </c>
      <c r="Y15" s="203" t="str">
        <f t="array" aca="1" ref="Y15" ca="1">IF($R15&lt;&gt;"",
INDIRECT(""&amp;IF(COLUMN(J15)&lt;=26,CHAR(COLUMN(J15)+64),CHAR(INT((COLUMN(J15)-1)/26)+64)&amp;CHAR(MOD(COLUMN(J15)-1,26)+65))&amp;$R15&amp;""),"")</f>
        <v/>
      </c>
      <c r="Z15" s="203" t="str">
        <f t="shared" ca="1" si="2"/>
        <v/>
      </c>
      <c r="AA15" s="203" t="str">
        <f t="shared" ca="1" si="3"/>
        <v/>
      </c>
      <c r="AB15" s="203" t="str">
        <f t="array" aca="1" ref="AB15" ca="1">IF($R15&lt;&gt;"",
IF(AND(COUNTIF(INDIRECT("B"&amp;R15&amp;""),"*雙葉*"),COUNTIF(B:B,"*雙葉*")&gt;=2),
INDIRECT("M"&amp;R15&amp;"")+INDIRECT("M"&amp;MATCH("雙葉'",INDIRECT("B"&amp;R15+1&amp;":B210"),0)+R15&amp;""),
IF(AND(LEFT(INDIRECT("B"&amp;R15&amp;""),2)="博多",COUNTIF(B:B,"*博多*")&gt;=2),
INDIRECT("M"&amp;R15&amp;"")+INDIRECT("M"&amp;MATCH("*"&amp;INDIRECT("B"&amp;R15&amp;"")&amp;"*",INDIRECT("B"&amp;R15+1&amp;":B210"),0)+R15&amp;""),
IF(AND(LEFT(INDIRECT("B"&amp;R15&amp;""),3)="奈良屋",COUNTIF(B:B,"*奈良屋*")&gt;=2),
INDIRECT("M"&amp;R15&amp;"")+INDIRECT("M"&amp;MATCH("*"&amp;INDIRECT("B"&amp;R15&amp;"")&amp;"*",INDIRECT("B"&amp;R15+1&amp;":B210"),0)+R15&amp;"")
+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INDIRECT("M"&amp;R15&amp;"")))),"")</f>
        <v/>
      </c>
      <c r="AC15" s="203" t="str">
        <f t="shared" ca="1" si="4"/>
        <v/>
      </c>
      <c r="AD15" s="51" t="str">
        <f t="shared" ca="1" si="5"/>
        <v/>
      </c>
      <c r="AE15" s="51" t="str">
        <f t="shared" ca="1" si="6"/>
        <v/>
      </c>
      <c r="AF15" s="51" t="str">
        <f t="shared" ca="1" si="7"/>
        <v/>
      </c>
      <c r="AG15" s="51" t="str">
        <f t="shared" ca="1" si="8"/>
        <v/>
      </c>
      <c r="AH15" s="191" t="str">
        <f t="shared" ca="1" si="9"/>
        <v/>
      </c>
      <c r="AI15" s="51" t="str">
        <f t="shared" ca="1" si="10"/>
        <v/>
      </c>
      <c r="AJ15" s="51" t="str">
        <f t="shared" ca="1" si="11"/>
        <v/>
      </c>
      <c r="AK15" s="51" t="str">
        <f t="shared" ca="1" si="12"/>
        <v/>
      </c>
      <c r="AL15" s="51" t="str">
        <f t="shared" ca="1" si="13"/>
        <v/>
      </c>
      <c r="AM15" s="51" t="str">
        <f t="shared" ca="1" si="14"/>
        <v/>
      </c>
      <c r="AN15" s="51" t="str">
        <f t="shared" ca="1" si="15"/>
        <v/>
      </c>
      <c r="AO15" s="51" t="str">
        <f t="shared" ca="1" si="16"/>
        <v/>
      </c>
      <c r="AP15" s="51" t="str">
        <f t="shared" ca="1" si="17"/>
        <v/>
      </c>
      <c r="AU15" s="51" t="str">
        <f t="shared" ca="1" si="18"/>
        <v/>
      </c>
    </row>
    <row r="16" spans="1:47" ht="18" customHeight="1">
      <c r="A16" s="177">
        <f t="shared" si="19"/>
        <v>37</v>
      </c>
      <c r="B16" s="52" t="str">
        <f t="shared" si="20"/>
        <v/>
      </c>
      <c r="C16" s="52" t="str">
        <f>IF(OR(クライアント抽出!B16&lt;&gt;"",クライアント抽出!E16&lt;&gt;""),クライアント抽出!A16,"")</f>
        <v/>
      </c>
      <c r="D16" s="52" t="str">
        <f t="array" aca="1" ref="D16" ca="1">IF(C16&lt;&gt;"",INDIRECT("クライアント抽出!"&amp;E16&amp;MATCH(C16,クライアント抽出!A:A,0)&amp;""),"")</f>
        <v/>
      </c>
      <c r="E16" s="52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53" t="str">
        <f ca="1">IF(D16&lt;&gt;"",
IF(COUNTIF(C16,"*雙葉*"),
IF(ROUND((H16-M16)
/IF(COUNTIF(D16,"*キャラ*"),
VLOOKUP("*キャラ*",商品マスタ一覧!$D:$E,2,FALSE),
IF(COUNTIF(D16,"*赤*"),
VLOOKUP("*赤*",商品マスタ一覧!$D:$E,2,FALSE),
VLOOKUP("*"&amp;D16&amp;"*",商品マスタ一覧!$D:$E,2,FALSE))),0)&lt;=0,1,
ROUND((H16-M16)
/IF(COUNTIF(D16,"*キャラ*"),
VLOOKUP("*キャラ*",商品マスタ一覧!$D:$E,2,FALSE),
IF(COUNTIF(D16,"*赤*"),
VLOOKUP("*赤*",商品マスタ一覧!$D:$E,2,FALSE),
VLOOKUP("*"&amp;D16&amp;"*",商品マスタ一覧!$D:$E,2,FALSE))),0)),
IF(OR(COUNTIF(D16,"*キャラ*"),COUNTIF(D16,"*赤*")),"",
IF(VLOOKUP("*"&amp;D16&amp;"*",商品マスタ一覧!$D:$E,2,FALSE)=0,"",
IF(ROUND((H16-M16)
/VLOOKUP("*"&amp;D16&amp;"*",商品マスタ一覧!$D:$E,2,FALSE),0)&lt;=0,1,
ROUND((H16-M16)
/VLOOKUP("*"&amp;D16&amp;"*",商品マスタ一覧!$D:$E,2,FALSE),0))))),"")</f>
        <v/>
      </c>
      <c r="G16" s="52" t="str">
        <f ca="1">IF(F16&lt;&gt;"",
IF(VALUE(H16-M16)&gt;VALUE(IF(COUNTIF(D16,"*キャラ*"),
VLOOKUP("*キャラ*",商品マスタ一覧!$D:$E,2,FALSE),
IF(COUNTIF(D16,"*赤*"),
VLOOKUP("*赤*",商品マスタ一覧!$D:$E,2,FALSE),
VLOOKUP("*"&amp;D16&amp;"*",商品マスタ一覧!$D:$E,2,FALSE)))*F16),
"+"&amp;(H16-M16)-IF(COUNTIF(D16,"*キャラ*"),
VLOOKUP("*キャラ*",商品マスタ一覧!$D:$E,2,FALSE),
IF(COUNTIF(D16,"*赤*"),
VLOOKUP("*赤*",商品マスタ一覧!$D:$E,2,FALSE),
VLOOKUP("*"&amp;D16&amp;"*",商品マスタ一覧!$D:$E,2,FALSE)))*F16,
(H16-M16)-IF(COUNTIF(D16,"*キャラ*"),
VLOOKUP("*キャラ*",商品マスタ一覧!$D:$E,2,FALSE),
IF(COUNTIF(D16,"*赤*"),
VLOOKUP("*赤*",商品マスタ一覧!$D:$E,2,FALSE),
VLOOKUP("*"&amp;D16&amp;"*",商品マスタ一覧!$D:$E,2,FALSE)))*F16),"")</f>
        <v/>
      </c>
      <c r="H16" s="175" t="str">
        <f>IF(C16&lt;&gt;"",
クライアント抽出!B16,"")</f>
        <v/>
      </c>
      <c r="I16" s="52" t="str">
        <f t="array" aca="1" ref="I16" ca="1">IF(C16&lt;&gt;"",
IF(O16=1,
IF(SUMPRODUCT(COUNTIF(クライアント抽出!P16:U16,クライアント抽出!P16:U16))&gt;COUNTA(クライアント抽出!P16:U16),
INDIRECT("数出表_Excel!"&amp;INDEX(_xlfn.UNIQUE(_xlfn._xlws.FILTER(クライアント抽出!P16:U16,COUNTIF(クライアント抽出!P16:U16,クライアント抽出!P16:U16)&gt;1)),1)&amp;L16&amp;""),0),クライアント抽出!E16),"")</f>
        <v/>
      </c>
      <c r="J16" s="52" t="str">
        <f>IF(C16&lt;&gt;"",
VLOOKUP(
"*"&amp;LEFT(IF(COUNTIF(D16,"*学食*"),"キャラ弁（学食）",
IF(COUNTIF(D16,"*赤*"),"赤",
IF(COUNTIF(D16,"*キャラ弁当*"),"キャラ弁当",D16))),4)&amp;"*",注文弁当の抽出!$E$1:$F$15,2,FALSE),"")</f>
        <v/>
      </c>
      <c r="K16" s="52" t="str">
        <f ca="1">IF(クライアント抽出!P16&lt;&gt;"",SUBSTITUTE(ADDRESS(1,(CODE(クライアント抽出!P16)-64)*2-1,4),"1",""),"")</f>
        <v/>
      </c>
      <c r="L16" s="52" t="str">
        <f>IF(C16&lt;&gt;"",クライアント抽出!I16,"")</f>
        <v/>
      </c>
      <c r="M16" s="52">
        <f t="array" aca="1" ref="M16" ca="1">IF(C16&lt;&gt;"",
IF(K16&lt;&gt;"",INDIRECT("'数出表_Excel（アレルギー入力）'!"&amp;K16&amp;L16-1&amp;""),),)</f>
        <v>0</v>
      </c>
      <c r="N16" s="52" t="str">
        <f>IF(C16&lt;&gt;"",IF(OR(COUNTIF('盛付札（関数）'!D16,"*赤*"),COUNTIF('盛付札（関数）'!D16,"*キャラ*")),1,
VLOOKUP("*"&amp;D16&amp;"*",商品マスタ一覧!D:H,5,FALSE)),"")</f>
        <v/>
      </c>
      <c r="O16" s="52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52">
        <f t="shared" si="0"/>
        <v>0</v>
      </c>
      <c r="Q16" s="52" t="b">
        <f t="shared" si="1"/>
        <v>0</v>
      </c>
      <c r="R16" s="203" t="str">
        <f t="array" aca="1" ref="R16" ca="1">IFERROR(SMALL(IF(P$1:P$307&lt;&gt;0,P$1:P$307),ROW(A16)),"")</f>
        <v/>
      </c>
      <c r="S16" s="203" t="str">
        <f t="array" aca="1" ref="S16" ca="1">IF($R16&lt;&gt;"",
SUBSTITUTE(SUBSTITUTE(INDIRECT("C"&amp;$R16&amp;"")," 週3ｺｰｽ","")," 週5ｺｰｽ",""),"")</f>
        <v/>
      </c>
      <c r="T16" s="203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204" t="str">
        <f t="array" aca="1" ref="U16" ca="1">IF($R16&lt;&gt;"",
INDIRECT("F"&amp;$R16&amp;""),"")</f>
        <v/>
      </c>
      <c r="V16" s="203" t="str">
        <f t="array" aca="1" ref="V16" ca="1">IF($R16&lt;&gt;"",
INDIRECT("G"&amp;$R16&amp;""),"")</f>
        <v/>
      </c>
      <c r="W16" s="203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IF(OR(COUNTIF(INDIRECT("B"&amp;R16&amp;""),"*雙葉先生*"),COUNTIF(INDIRECT("B"&amp;R16-1&amp;""),"*雙葉*")),INDIRECT("H"&amp;R16&amp;""),INDIRECT("H"&amp;R16&amp;"")+INDIRECT("H"&amp;MATCH("雙葉'",INDIRECT("B"&amp;R16+3&amp;":B210"),0)+2+R16&amp;"")),
IF(AND(LEFT(INDIRECT("B"&amp;R16&amp;""),2)="博多",COUNTIF(B:B,"*博多*")&gt;=2),
INDIRECT("H"&amp;R16&amp;"")+INDIRECT("H"&amp;MATCH("*"&amp;INDIRECT("B"&amp;R16&amp;"")&amp;"*",INDIRECT("B"&amp;R16+1&amp;":B210"),0)+R16&amp;""),
IF(AND(LEFT(INDIRECT("B"&amp;R16&amp;""),3)="奈良屋",COUNTIF(B:B,"*奈良屋*")&gt;=2),
INDIRECT("H"&amp;R16&amp;"")+INDIRECT("H"&amp;MATCH("*"&amp;INDIRECT("B"&amp;R16&amp;"")&amp;"*",INDIRECT("B"&amp;R16+1&amp;":B210"),0)+R16&amp;"")
+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INDIRECT("H"&amp;R16&amp;"")))),"")</f>
        <v/>
      </c>
      <c r="X16" s="203" t="str">
        <f t="array" aca="1" ref="X16" ca="1">IF($R16&lt;&gt;"",
INDIRECT(""&amp;IF(COLUMN(I16)&lt;=26,CHAR(COLUMN(I16)+64),CHAR(INT((COLUMN(I16)-1)/26)+64)&amp;CHAR(MOD(COLUMN(I16)-1,26)+65))&amp;$R16&amp;""),"")</f>
        <v/>
      </c>
      <c r="Y16" s="203" t="str">
        <f t="array" aca="1" ref="Y16" ca="1">IF($R16&lt;&gt;"",
INDIRECT(""&amp;IF(COLUMN(J16)&lt;=26,CHAR(COLUMN(J16)+64),CHAR(INT((COLUMN(J16)-1)/26)+64)&amp;CHAR(MOD(COLUMN(J16)-1,26)+65))&amp;$R16&amp;""),"")</f>
        <v/>
      </c>
      <c r="Z16" s="203" t="str">
        <f t="shared" ca="1" si="2"/>
        <v/>
      </c>
      <c r="AA16" s="203" t="str">
        <f t="shared" ca="1" si="3"/>
        <v/>
      </c>
      <c r="AB16" s="203" t="str">
        <f t="array" aca="1" ref="AB16" ca="1">IF($R16&lt;&gt;"",
IF(AND(COUNTIF(INDIRECT("B"&amp;R16&amp;""),"*雙葉*"),COUNTIF(B:B,"*雙葉*")&gt;=2),
INDIRECT("M"&amp;R16&amp;"")+INDIRECT("M"&amp;MATCH("雙葉'",INDIRECT("B"&amp;R16+1&amp;":B210"),0)+R16&amp;""),
IF(AND(LEFT(INDIRECT("B"&amp;R16&amp;""),2)="博多",COUNTIF(B:B,"*博多*")&gt;=2),
INDIRECT("M"&amp;R16&amp;"")+INDIRECT("M"&amp;MATCH("*"&amp;INDIRECT("B"&amp;R16&amp;"")&amp;"*",INDIRECT("B"&amp;R16+1&amp;":B210"),0)+R16&amp;""),
IF(AND(LEFT(INDIRECT("B"&amp;R16&amp;""),3)="奈良屋",COUNTIF(B:B,"*奈良屋*")&gt;=2),
INDIRECT("M"&amp;R16&amp;"")+INDIRECT("M"&amp;MATCH("*"&amp;INDIRECT("B"&amp;R16&amp;"")&amp;"*",INDIRECT("B"&amp;R16+1&amp;":B210"),0)+R16&amp;"")
+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INDIRECT("M"&amp;R16&amp;"")))),"")</f>
        <v/>
      </c>
      <c r="AC16" s="203" t="str">
        <f t="shared" ca="1" si="4"/>
        <v/>
      </c>
      <c r="AD16" s="51" t="str">
        <f t="shared" ca="1" si="5"/>
        <v/>
      </c>
      <c r="AE16" s="51" t="str">
        <f t="shared" ca="1" si="6"/>
        <v/>
      </c>
      <c r="AF16" s="51" t="str">
        <f t="shared" ca="1" si="7"/>
        <v/>
      </c>
      <c r="AG16" s="51" t="str">
        <f t="shared" ca="1" si="8"/>
        <v/>
      </c>
      <c r="AH16" s="191" t="str">
        <f t="shared" ca="1" si="9"/>
        <v/>
      </c>
      <c r="AI16" s="51" t="str">
        <f t="shared" ca="1" si="10"/>
        <v/>
      </c>
      <c r="AJ16" s="51" t="str">
        <f t="shared" ca="1" si="11"/>
        <v/>
      </c>
      <c r="AK16" s="51" t="str">
        <f t="shared" ca="1" si="12"/>
        <v/>
      </c>
      <c r="AL16" s="51" t="str">
        <f t="shared" ca="1" si="13"/>
        <v/>
      </c>
      <c r="AM16" s="51" t="str">
        <f t="shared" ca="1" si="14"/>
        <v/>
      </c>
      <c r="AN16" s="51" t="str">
        <f t="shared" ca="1" si="15"/>
        <v/>
      </c>
      <c r="AO16" s="51" t="str">
        <f t="shared" ca="1" si="16"/>
        <v/>
      </c>
      <c r="AP16" s="51" t="str">
        <f t="shared" ca="1" si="17"/>
        <v/>
      </c>
      <c r="AU16" s="51" t="str">
        <f t="shared" ca="1" si="18"/>
        <v/>
      </c>
    </row>
    <row r="17" spans="1:47" ht="22.2" customHeight="1">
      <c r="A17" s="177">
        <f t="shared" si="19"/>
        <v>39</v>
      </c>
      <c r="B17" s="52" t="str">
        <f t="shared" si="20"/>
        <v/>
      </c>
      <c r="C17" s="52" t="str">
        <f>IF(OR(クライアント抽出!B17&lt;&gt;"",クライアント抽出!E17&lt;&gt;""),クライアント抽出!A17,"")</f>
        <v/>
      </c>
      <c r="D17" s="52" t="str">
        <f t="array" aca="1" ref="D17" ca="1">IF(C17&lt;&gt;"",INDIRECT("クライアント抽出!"&amp;E17&amp;MATCH(C17,クライアント抽出!A:A,0)&amp;""),"")</f>
        <v/>
      </c>
      <c r="E17" s="52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53" t="str">
        <f ca="1">IF(D17&lt;&gt;"",
IF(COUNTIF(C17,"*雙葉*"),
IF(ROUND((H17-M17)
/IF(COUNTIF(D17,"*キャラ*"),
VLOOKUP("*キャラ*",商品マスタ一覧!$D:$E,2,FALSE),
IF(COUNTIF(D17,"*赤*"),
VLOOKUP("*赤*",商品マスタ一覧!$D:$E,2,FALSE),
VLOOKUP("*"&amp;D17&amp;"*",商品マスタ一覧!$D:$E,2,FALSE))),0)&lt;=0,1,
ROUND((H17-M17)
/IF(COUNTIF(D17,"*キャラ*"),
VLOOKUP("*キャラ*",商品マスタ一覧!$D:$E,2,FALSE),
IF(COUNTIF(D17,"*赤*"),
VLOOKUP("*赤*",商品マスタ一覧!$D:$E,2,FALSE),
VLOOKUP("*"&amp;D17&amp;"*",商品マスタ一覧!$D:$E,2,FALSE))),0)),
IF(OR(COUNTIF(D17,"*キャラ*"),COUNTIF(D17,"*赤*")),"",
IF(VLOOKUP("*"&amp;D17&amp;"*",商品マスタ一覧!$D:$E,2,FALSE)=0,"",
IF(ROUND((H17-M17)
/VLOOKUP("*"&amp;D17&amp;"*",商品マスタ一覧!$D:$E,2,FALSE),0)&lt;=0,1,
ROUND((H17-M17)
/VLOOKUP("*"&amp;D17&amp;"*",商品マスタ一覧!$D:$E,2,FALSE),0))))),"")</f>
        <v/>
      </c>
      <c r="G17" s="52" t="str">
        <f ca="1">IF(F17&lt;&gt;"",
IF(VALUE(H17-M17)&gt;VALUE(IF(COUNTIF(D17,"*キャラ*"),
VLOOKUP("*キャラ*",商品マスタ一覧!$D:$E,2,FALSE),
IF(COUNTIF(D17,"*赤*"),
VLOOKUP("*赤*",商品マスタ一覧!$D:$E,2,FALSE),
VLOOKUP("*"&amp;D17&amp;"*",商品マスタ一覧!$D:$E,2,FALSE)))*F17),
"+"&amp;(H17-M17)-IF(COUNTIF(D17,"*キャラ*"),
VLOOKUP("*キャラ*",商品マスタ一覧!$D:$E,2,FALSE),
IF(COUNTIF(D17,"*赤*"),
VLOOKUP("*赤*",商品マスタ一覧!$D:$E,2,FALSE),
VLOOKUP("*"&amp;D17&amp;"*",商品マスタ一覧!$D:$E,2,FALSE)))*F17,
(H17-M17)-IF(COUNTIF(D17,"*キャラ*"),
VLOOKUP("*キャラ*",商品マスタ一覧!$D:$E,2,FALSE),
IF(COUNTIF(D17,"*赤*"),
VLOOKUP("*赤*",商品マスタ一覧!$D:$E,2,FALSE),
VLOOKUP("*"&amp;D17&amp;"*",商品マスタ一覧!$D:$E,2,FALSE)))*F17),"")</f>
        <v/>
      </c>
      <c r="H17" s="175" t="str">
        <f>IF(C17&lt;&gt;"",
クライアント抽出!B17,"")</f>
        <v/>
      </c>
      <c r="I17" s="52" t="str">
        <f t="array" aca="1" ref="I17" ca="1">IF(C17&lt;&gt;"",
IF(O17=1,
IF(SUMPRODUCT(COUNTIF(クライアント抽出!P17:U17,クライアント抽出!P17:U17))&gt;COUNTA(クライアント抽出!P17:U17),
INDIRECT("数出表_Excel!"&amp;INDEX(_xlfn.UNIQUE(_xlfn._xlws.FILTER(クライアント抽出!P17:U17,COUNTIF(クライアント抽出!P17:U17,クライアント抽出!P17:U17)&gt;1)),1)&amp;L17&amp;""),0),クライアント抽出!E17),"")</f>
        <v/>
      </c>
      <c r="J17" s="52" t="str">
        <f>IF(C17&lt;&gt;"",
VLOOKUP(
"*"&amp;LEFT(IF(COUNTIF(D17,"*学食*"),"キャラ弁（学食）",
IF(COUNTIF(D17,"*赤*"),"赤",
IF(COUNTIF(D17,"*キャラ弁当*"),"キャラ弁当",D17))),4)&amp;"*",注文弁当の抽出!$E$1:$F$15,2,FALSE),"")</f>
        <v/>
      </c>
      <c r="K17" s="52" t="str">
        <f ca="1">IF(クライアント抽出!P17&lt;&gt;"",SUBSTITUTE(ADDRESS(1,(CODE(クライアント抽出!P17)-64)*2-1,4),"1",""),"")</f>
        <v/>
      </c>
      <c r="L17" s="52" t="str">
        <f>IF(C17&lt;&gt;"",クライアント抽出!I17,"")</f>
        <v/>
      </c>
      <c r="M17" s="52">
        <f t="array" aca="1" ref="M17" ca="1">IF(C17&lt;&gt;"",
IF(K17&lt;&gt;"",INDIRECT("'数出表_Excel（アレルギー入力）'!"&amp;K17&amp;L17-1&amp;""),),)</f>
        <v>0</v>
      </c>
      <c r="N17" s="52" t="str">
        <f>IF(C17&lt;&gt;"",IF(OR(COUNTIF('盛付札（関数）'!D17,"*赤*"),COUNTIF('盛付札（関数）'!D17,"*キャラ*")),1,
VLOOKUP("*"&amp;D17&amp;"*",商品マスタ一覧!D:H,5,FALSE)),"")</f>
        <v/>
      </c>
      <c r="O17" s="52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52">
        <f t="shared" si="0"/>
        <v>0</v>
      </c>
      <c r="Q17" s="52" t="b">
        <f t="shared" si="1"/>
        <v>0</v>
      </c>
      <c r="R17" s="203" t="str">
        <f t="array" aca="1" ref="R17" ca="1">IFERROR(SMALL(IF(P$1:P$307&lt;&gt;0,P$1:P$307),ROW(A17)),"")</f>
        <v/>
      </c>
      <c r="S17" s="203" t="str">
        <f t="array" aca="1" ref="S17" ca="1">IF($R17&lt;&gt;"",
SUBSTITUTE(SUBSTITUTE(INDIRECT("C"&amp;$R17&amp;"")," 週3ｺｰｽ","")," 週5ｺｰｽ",""),"")</f>
        <v/>
      </c>
      <c r="T17" s="203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204" t="str">
        <f t="array" aca="1" ref="U17" ca="1">IF($R17&lt;&gt;"",
INDIRECT("F"&amp;$R17&amp;""),"")</f>
        <v/>
      </c>
      <c r="V17" s="203" t="str">
        <f t="array" aca="1" ref="V17" ca="1">IF($R17&lt;&gt;"",
INDIRECT("G"&amp;$R17&amp;""),"")</f>
        <v/>
      </c>
      <c r="W17" s="203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IF(OR(COUNTIF(INDIRECT("B"&amp;R17&amp;""),"*雙葉先生*"),COUNTIF(INDIRECT("B"&amp;R17-1&amp;""),"*雙葉*")),INDIRECT("H"&amp;R17&amp;""),INDIRECT("H"&amp;R17&amp;"")+INDIRECT("H"&amp;MATCH("雙葉'",INDIRECT("B"&amp;R17+3&amp;":B210"),0)+2+R17&amp;"")),
IF(AND(LEFT(INDIRECT("B"&amp;R17&amp;""),2)="博多",COUNTIF(B:B,"*博多*")&gt;=2),
INDIRECT("H"&amp;R17&amp;"")+INDIRECT("H"&amp;MATCH("*"&amp;INDIRECT("B"&amp;R17&amp;"")&amp;"*",INDIRECT("B"&amp;R17+1&amp;":B210"),0)+R17&amp;""),
IF(AND(LEFT(INDIRECT("B"&amp;R17&amp;""),3)="奈良屋",COUNTIF(B:B,"*奈良屋*")&gt;=2),
INDIRECT("H"&amp;R17&amp;"")+INDIRECT("H"&amp;MATCH("*"&amp;INDIRECT("B"&amp;R17&amp;"")&amp;"*",INDIRECT("B"&amp;R17+1&amp;":B210"),0)+R17&amp;"")
+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INDIRECT("H"&amp;R17&amp;"")))),"")</f>
        <v/>
      </c>
      <c r="X17" s="203" t="str">
        <f t="array" aca="1" ref="X17" ca="1">IF($R17&lt;&gt;"",
INDIRECT(""&amp;IF(COLUMN(I17)&lt;=26,CHAR(COLUMN(I17)+64),CHAR(INT((COLUMN(I17)-1)/26)+64)&amp;CHAR(MOD(COLUMN(I17)-1,26)+65))&amp;$R17&amp;""),"")</f>
        <v/>
      </c>
      <c r="Y17" s="203" t="str">
        <f t="array" aca="1" ref="Y17" ca="1">IF($R17&lt;&gt;"",
INDIRECT(""&amp;IF(COLUMN(J17)&lt;=26,CHAR(COLUMN(J17)+64),CHAR(INT((COLUMN(J17)-1)/26)+64)&amp;CHAR(MOD(COLUMN(J17)-1,26)+65))&amp;$R17&amp;""),"")</f>
        <v/>
      </c>
      <c r="Z17" s="203" t="str">
        <f t="shared" ca="1" si="2"/>
        <v/>
      </c>
      <c r="AA17" s="203" t="str">
        <f t="shared" ca="1" si="3"/>
        <v/>
      </c>
      <c r="AB17" s="203" t="str">
        <f t="array" aca="1" ref="AB17" ca="1">IF($R17&lt;&gt;"",
IF(AND(COUNTIF(INDIRECT("B"&amp;R17&amp;""),"*雙葉*"),COUNTIF(B:B,"*雙葉*")&gt;=2),
INDIRECT("M"&amp;R17&amp;"")+INDIRECT("M"&amp;MATCH("雙葉'",INDIRECT("B"&amp;R17+1&amp;":B210"),0)+R17&amp;""),
IF(AND(LEFT(INDIRECT("B"&amp;R17&amp;""),2)="博多",COUNTIF(B:B,"*博多*")&gt;=2),
INDIRECT("M"&amp;R17&amp;"")+INDIRECT("M"&amp;MATCH("*"&amp;INDIRECT("B"&amp;R17&amp;"")&amp;"*",INDIRECT("B"&amp;R17+1&amp;":B210"),0)+R17&amp;""),
IF(AND(LEFT(INDIRECT("B"&amp;R17&amp;""),3)="奈良屋",COUNTIF(B:B,"*奈良屋*")&gt;=2),
INDIRECT("M"&amp;R17&amp;"")+INDIRECT("M"&amp;MATCH("*"&amp;INDIRECT("B"&amp;R17&amp;"")&amp;"*",INDIRECT("B"&amp;R17+1&amp;":B210"),0)+R17&amp;"")
+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INDIRECT("M"&amp;R17&amp;"")))),"")</f>
        <v/>
      </c>
      <c r="AC17" s="203" t="str">
        <f t="shared" ca="1" si="4"/>
        <v/>
      </c>
      <c r="AD17" s="51" t="str">
        <f t="shared" ca="1" si="5"/>
        <v/>
      </c>
      <c r="AE17" s="51" t="str">
        <f t="shared" ca="1" si="6"/>
        <v/>
      </c>
      <c r="AF17" s="51" t="str">
        <f t="shared" ca="1" si="7"/>
        <v/>
      </c>
      <c r="AG17" s="51" t="str">
        <f t="shared" ca="1" si="8"/>
        <v/>
      </c>
      <c r="AH17" s="191" t="str">
        <f t="shared" ca="1" si="9"/>
        <v/>
      </c>
      <c r="AI17" s="51" t="str">
        <f t="shared" ca="1" si="10"/>
        <v/>
      </c>
      <c r="AJ17" s="51" t="str">
        <f t="shared" ca="1" si="11"/>
        <v/>
      </c>
      <c r="AK17" s="51" t="str">
        <f t="shared" ca="1" si="12"/>
        <v/>
      </c>
      <c r="AL17" s="51" t="str">
        <f t="shared" ca="1" si="13"/>
        <v/>
      </c>
      <c r="AM17" s="51" t="str">
        <f t="shared" ca="1" si="14"/>
        <v/>
      </c>
      <c r="AN17" s="51" t="str">
        <f t="shared" ca="1" si="15"/>
        <v/>
      </c>
      <c r="AO17" s="51" t="str">
        <f t="shared" ca="1" si="16"/>
        <v/>
      </c>
      <c r="AP17" s="51" t="str">
        <f t="shared" ca="1" si="17"/>
        <v/>
      </c>
      <c r="AU17" s="51" t="str">
        <f t="shared" ca="1" si="18"/>
        <v/>
      </c>
    </row>
    <row r="18" spans="1:47" ht="18" customHeight="1">
      <c r="A18" s="177">
        <f t="shared" si="19"/>
        <v>41</v>
      </c>
      <c r="B18" s="52" t="str">
        <f t="shared" si="20"/>
        <v/>
      </c>
      <c r="C18" s="52" t="str">
        <f>IF(OR(クライアント抽出!B18&lt;&gt;"",クライアント抽出!E18&lt;&gt;""),クライアント抽出!A18,"")</f>
        <v/>
      </c>
      <c r="D18" s="52" t="str">
        <f t="array" aca="1" ref="D18" ca="1">IF(C18&lt;&gt;"",INDIRECT("クライアント抽出!"&amp;E18&amp;MATCH(C18,クライアント抽出!A:A,0)&amp;""),"")</f>
        <v/>
      </c>
      <c r="E18" s="52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53" t="str">
        <f ca="1">IF(D18&lt;&gt;"",
IF(COUNTIF(C18,"*雙葉*"),
IF(ROUND((H18-M18)
/IF(COUNTIF(D18,"*キャラ*"),
VLOOKUP("*キャラ*",商品マスタ一覧!$D:$E,2,FALSE),
IF(COUNTIF(D18,"*赤*"),
VLOOKUP("*赤*",商品マスタ一覧!$D:$E,2,FALSE),
VLOOKUP("*"&amp;D18&amp;"*",商品マスタ一覧!$D:$E,2,FALSE))),0)&lt;=0,1,
ROUND((H18-M18)
/IF(COUNTIF(D18,"*キャラ*"),
VLOOKUP("*キャラ*",商品マスタ一覧!$D:$E,2,FALSE),
IF(COUNTIF(D18,"*赤*"),
VLOOKUP("*赤*",商品マスタ一覧!$D:$E,2,FALSE),
VLOOKUP("*"&amp;D18&amp;"*",商品マスタ一覧!$D:$E,2,FALSE))),0)),
IF(OR(COUNTIF(D18,"*キャラ*"),COUNTIF(D18,"*赤*")),"",
IF(VLOOKUP("*"&amp;D18&amp;"*",商品マスタ一覧!$D:$E,2,FALSE)=0,"",
IF(ROUND((H18-M18)
/VLOOKUP("*"&amp;D18&amp;"*",商品マスタ一覧!$D:$E,2,FALSE),0)&lt;=0,1,
ROUND((H18-M18)
/VLOOKUP("*"&amp;D18&amp;"*",商品マスタ一覧!$D:$E,2,FALSE),0))))),"")</f>
        <v/>
      </c>
      <c r="G18" s="52" t="str">
        <f ca="1">IF(F18&lt;&gt;"",
IF(VALUE(H18-M18)&gt;VALUE(IF(COUNTIF(D18,"*キャラ*"),
VLOOKUP("*キャラ*",商品マスタ一覧!$D:$E,2,FALSE),
IF(COUNTIF(D18,"*赤*"),
VLOOKUP("*赤*",商品マスタ一覧!$D:$E,2,FALSE),
VLOOKUP("*"&amp;D18&amp;"*",商品マスタ一覧!$D:$E,2,FALSE)))*F18),
"+"&amp;(H18-M18)-IF(COUNTIF(D18,"*キャラ*"),
VLOOKUP("*キャラ*",商品マスタ一覧!$D:$E,2,FALSE),
IF(COUNTIF(D18,"*赤*"),
VLOOKUP("*赤*",商品マスタ一覧!$D:$E,2,FALSE),
VLOOKUP("*"&amp;D18&amp;"*",商品マスタ一覧!$D:$E,2,FALSE)))*F18,
(H18-M18)-IF(COUNTIF(D18,"*キャラ*"),
VLOOKUP("*キャラ*",商品マスタ一覧!$D:$E,2,FALSE),
IF(COUNTIF(D18,"*赤*"),
VLOOKUP("*赤*",商品マスタ一覧!$D:$E,2,FALSE),
VLOOKUP("*"&amp;D18&amp;"*",商品マスタ一覧!$D:$E,2,FALSE)))*F18),"")</f>
        <v/>
      </c>
      <c r="H18" s="175" t="str">
        <f>IF(C18&lt;&gt;"",
クライアント抽出!B18,"")</f>
        <v/>
      </c>
      <c r="I18" s="52" t="str">
        <f t="array" aca="1" ref="I18" ca="1">IF(C18&lt;&gt;"",
IF(O18=1,
IF(SUMPRODUCT(COUNTIF(クライアント抽出!P18:U18,クライアント抽出!P18:U18))&gt;COUNTA(クライアント抽出!P18:U18),
INDIRECT("数出表_Excel!"&amp;INDEX(_xlfn.UNIQUE(_xlfn._xlws.FILTER(クライアント抽出!P18:U18,COUNTIF(クライアント抽出!P18:U18,クライアント抽出!P18:U18)&gt;1)),1)&amp;L18&amp;""),0),クライアント抽出!E18),"")</f>
        <v/>
      </c>
      <c r="J18" s="52" t="str">
        <f>IF(C18&lt;&gt;"",
VLOOKUP(
"*"&amp;LEFT(IF(COUNTIF(D18,"*学食*"),"キャラ弁（学食）",
IF(COUNTIF(D18,"*赤*"),"赤",
IF(COUNTIF(D18,"*キャラ弁当*"),"キャラ弁当",D18))),4)&amp;"*",注文弁当の抽出!$E$1:$F$15,2,FALSE),"")</f>
        <v/>
      </c>
      <c r="K18" s="52" t="str">
        <f ca="1">IF(クライアント抽出!P18&lt;&gt;"",SUBSTITUTE(ADDRESS(1,(CODE(クライアント抽出!P18)-64)*2-1,4),"1",""),"")</f>
        <v/>
      </c>
      <c r="L18" s="52" t="str">
        <f>IF(C18&lt;&gt;"",クライアント抽出!I18,"")</f>
        <v/>
      </c>
      <c r="M18" s="52">
        <f t="array" aca="1" ref="M18" ca="1">IF(C18&lt;&gt;"",
IF(K18&lt;&gt;"",INDIRECT("'数出表_Excel（アレルギー入力）'!"&amp;K18&amp;L18-1&amp;""),),)</f>
        <v>0</v>
      </c>
      <c r="N18" s="52" t="str">
        <f>IF(C18&lt;&gt;"",IF(OR(COUNTIF('盛付札（関数）'!D18,"*赤*"),COUNTIF('盛付札（関数）'!D18,"*キャラ*")),1,
VLOOKUP("*"&amp;D18&amp;"*",商品マスタ一覧!D:H,5,FALSE)),"")</f>
        <v/>
      </c>
      <c r="O18" s="52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52">
        <f t="shared" si="0"/>
        <v>0</v>
      </c>
      <c r="Q18" s="52" t="b">
        <f t="shared" si="1"/>
        <v>0</v>
      </c>
      <c r="R18" s="203" t="str">
        <f t="array" aca="1" ref="R18" ca="1">IFERROR(SMALL(IF(P$1:P$307&lt;&gt;0,P$1:P$307),ROW(A18)),"")</f>
        <v/>
      </c>
      <c r="S18" s="203" t="str">
        <f t="array" aca="1" ref="S18" ca="1">IF($R18&lt;&gt;"",
SUBSTITUTE(SUBSTITUTE(INDIRECT("C"&amp;$R18&amp;"")," 週3ｺｰｽ","")," 週5ｺｰｽ",""),"")</f>
        <v/>
      </c>
      <c r="T18" s="203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204" t="str">
        <f t="array" aca="1" ref="U18" ca="1">IF($R18&lt;&gt;"",
INDIRECT("F"&amp;$R18&amp;""),"")</f>
        <v/>
      </c>
      <c r="V18" s="203" t="str">
        <f t="array" aca="1" ref="V18" ca="1">IF($R18&lt;&gt;"",
INDIRECT("G"&amp;$R18&amp;""),"")</f>
        <v/>
      </c>
      <c r="W18" s="203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IF(OR(COUNTIF(INDIRECT("B"&amp;R18&amp;""),"*雙葉先生*"),COUNTIF(INDIRECT("B"&amp;R18-1&amp;""),"*雙葉*")),INDIRECT("H"&amp;R18&amp;""),INDIRECT("H"&amp;R18&amp;"")+INDIRECT("H"&amp;MATCH("雙葉'",INDIRECT("B"&amp;R18+3&amp;":B210"),0)+2+R18&amp;"")),
IF(AND(LEFT(INDIRECT("B"&amp;R18&amp;""),2)="博多",COUNTIF(B:B,"*博多*")&gt;=2),
INDIRECT("H"&amp;R18&amp;"")+INDIRECT("H"&amp;MATCH("*"&amp;INDIRECT("B"&amp;R18&amp;"")&amp;"*",INDIRECT("B"&amp;R18+1&amp;":B210"),0)+R18&amp;""),
IF(AND(LEFT(INDIRECT("B"&amp;R18&amp;""),3)="奈良屋",COUNTIF(B:B,"*奈良屋*")&gt;=2),
INDIRECT("H"&amp;R18&amp;"")+INDIRECT("H"&amp;MATCH("*"&amp;INDIRECT("B"&amp;R18&amp;"")&amp;"*",INDIRECT("B"&amp;R18+1&amp;":B210"),0)+R18&amp;"")
+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INDIRECT("H"&amp;R18&amp;"")))),"")</f>
        <v/>
      </c>
      <c r="X18" s="203" t="str">
        <f t="array" aca="1" ref="X18" ca="1">IF($R18&lt;&gt;"",
INDIRECT(""&amp;IF(COLUMN(I18)&lt;=26,CHAR(COLUMN(I18)+64),CHAR(INT((COLUMN(I18)-1)/26)+64)&amp;CHAR(MOD(COLUMN(I18)-1,26)+65))&amp;$R18&amp;""),"")</f>
        <v/>
      </c>
      <c r="Y18" s="203" t="str">
        <f t="array" aca="1" ref="Y18" ca="1">IF($R18&lt;&gt;"",
INDIRECT(""&amp;IF(COLUMN(J18)&lt;=26,CHAR(COLUMN(J18)+64),CHAR(INT((COLUMN(J18)-1)/26)+64)&amp;CHAR(MOD(COLUMN(J18)-1,26)+65))&amp;$R18&amp;""),"")</f>
        <v/>
      </c>
      <c r="Z18" s="203" t="str">
        <f t="shared" ca="1" si="2"/>
        <v/>
      </c>
      <c r="AA18" s="203" t="str">
        <f t="shared" ca="1" si="3"/>
        <v/>
      </c>
      <c r="AB18" s="203" t="str">
        <f t="array" aca="1" ref="AB18" ca="1">IF($R18&lt;&gt;"",
IF(AND(COUNTIF(INDIRECT("B"&amp;R18&amp;""),"*雙葉*"),COUNTIF(B:B,"*雙葉*")&gt;=2),
INDIRECT("M"&amp;R18&amp;"")+INDIRECT("M"&amp;MATCH("雙葉'",INDIRECT("B"&amp;R18+1&amp;":B210"),0)+R18&amp;""),
IF(AND(LEFT(INDIRECT("B"&amp;R18&amp;""),2)="博多",COUNTIF(B:B,"*博多*")&gt;=2),
INDIRECT("M"&amp;R18&amp;"")+INDIRECT("M"&amp;MATCH("*"&amp;INDIRECT("B"&amp;R18&amp;"")&amp;"*",INDIRECT("B"&amp;R18+1&amp;":B210"),0)+R18&amp;""),
IF(AND(LEFT(INDIRECT("B"&amp;R18&amp;""),3)="奈良屋",COUNTIF(B:B,"*奈良屋*")&gt;=2),
INDIRECT("M"&amp;R18&amp;"")+INDIRECT("M"&amp;MATCH("*"&amp;INDIRECT("B"&amp;R18&amp;"")&amp;"*",INDIRECT("B"&amp;R18+1&amp;":B210"),0)+R18&amp;"")
+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INDIRECT("M"&amp;R18&amp;"")))),"")</f>
        <v/>
      </c>
      <c r="AC18" s="203" t="str">
        <f t="shared" ca="1" si="4"/>
        <v/>
      </c>
      <c r="AD18" s="51" t="str">
        <f t="shared" ca="1" si="5"/>
        <v/>
      </c>
      <c r="AE18" s="51" t="str">
        <f t="shared" ca="1" si="6"/>
        <v/>
      </c>
      <c r="AF18" s="51" t="str">
        <f t="shared" ca="1" si="7"/>
        <v/>
      </c>
      <c r="AG18" s="51" t="str">
        <f t="shared" ca="1" si="8"/>
        <v/>
      </c>
      <c r="AH18" s="191" t="str">
        <f t="shared" ca="1" si="9"/>
        <v/>
      </c>
      <c r="AI18" s="51" t="str">
        <f t="shared" ca="1" si="10"/>
        <v/>
      </c>
      <c r="AJ18" s="51" t="str">
        <f t="shared" ca="1" si="11"/>
        <v/>
      </c>
      <c r="AK18" s="51" t="str">
        <f t="shared" ca="1" si="12"/>
        <v/>
      </c>
      <c r="AL18" s="51" t="str">
        <f t="shared" ca="1" si="13"/>
        <v/>
      </c>
      <c r="AM18" s="51" t="str">
        <f t="shared" ca="1" si="14"/>
        <v/>
      </c>
      <c r="AN18" s="51" t="str">
        <f t="shared" ca="1" si="15"/>
        <v/>
      </c>
      <c r="AO18" s="51" t="str">
        <f t="shared" ca="1" si="16"/>
        <v/>
      </c>
      <c r="AP18" s="51" t="str">
        <f t="shared" ca="1" si="17"/>
        <v/>
      </c>
      <c r="AU18" s="51" t="str">
        <f t="shared" ca="1" si="18"/>
        <v/>
      </c>
    </row>
    <row r="19" spans="1:47" ht="18" customHeight="1">
      <c r="A19" s="177">
        <f t="shared" si="19"/>
        <v>43</v>
      </c>
      <c r="B19" s="52" t="str">
        <f t="shared" si="20"/>
        <v/>
      </c>
      <c r="C19" s="52" t="str">
        <f>IF(OR(クライアント抽出!B19&lt;&gt;"",クライアント抽出!E19&lt;&gt;""),クライアント抽出!A19,"")</f>
        <v/>
      </c>
      <c r="D19" s="52" t="str">
        <f t="array" aca="1" ref="D19" ca="1">IF(C19&lt;&gt;"",INDIRECT("クライアント抽出!"&amp;E19&amp;MATCH(C19,クライアント抽出!A:A,0)&amp;""),"")</f>
        <v/>
      </c>
      <c r="E19" s="52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53" t="str">
        <f ca="1">IF(D19&lt;&gt;"",
IF(COUNTIF(C19,"*雙葉*"),
IF(ROUND((H19-M19)
/IF(COUNTIF(D19,"*キャラ*"),
VLOOKUP("*キャラ*",商品マスタ一覧!$D:$E,2,FALSE),
IF(COUNTIF(D19,"*赤*"),
VLOOKUP("*赤*",商品マスタ一覧!$D:$E,2,FALSE),
VLOOKUP("*"&amp;D19&amp;"*",商品マスタ一覧!$D:$E,2,FALSE))),0)&lt;=0,1,
ROUND((H19-M19)
/IF(COUNTIF(D19,"*キャラ*"),
VLOOKUP("*キャラ*",商品マスタ一覧!$D:$E,2,FALSE),
IF(COUNTIF(D19,"*赤*"),
VLOOKUP("*赤*",商品マスタ一覧!$D:$E,2,FALSE),
VLOOKUP("*"&amp;D19&amp;"*",商品マスタ一覧!$D:$E,2,FALSE))),0)),
IF(OR(COUNTIF(D19,"*キャラ*"),COUNTIF(D19,"*赤*")),"",
IF(VLOOKUP("*"&amp;D19&amp;"*",商品マスタ一覧!$D:$E,2,FALSE)=0,"",
IF(ROUND((H19-M19)
/VLOOKUP("*"&amp;D19&amp;"*",商品マスタ一覧!$D:$E,2,FALSE),0)&lt;=0,1,
ROUND((H19-M19)
/VLOOKUP("*"&amp;D19&amp;"*",商品マスタ一覧!$D:$E,2,FALSE),0))))),"")</f>
        <v/>
      </c>
      <c r="G19" s="52" t="str">
        <f ca="1">IF(F19&lt;&gt;"",
IF(VALUE(H19-M19)&gt;VALUE(IF(COUNTIF(D19,"*キャラ*"),
VLOOKUP("*キャラ*",商品マスタ一覧!$D:$E,2,FALSE),
IF(COUNTIF(D19,"*赤*"),
VLOOKUP("*赤*",商品マスタ一覧!$D:$E,2,FALSE),
VLOOKUP("*"&amp;D19&amp;"*",商品マスタ一覧!$D:$E,2,FALSE)))*F19),
"+"&amp;(H19-M19)-IF(COUNTIF(D19,"*キャラ*"),
VLOOKUP("*キャラ*",商品マスタ一覧!$D:$E,2,FALSE),
IF(COUNTIF(D19,"*赤*"),
VLOOKUP("*赤*",商品マスタ一覧!$D:$E,2,FALSE),
VLOOKUP("*"&amp;D19&amp;"*",商品マスタ一覧!$D:$E,2,FALSE)))*F19,
(H19-M19)-IF(COUNTIF(D19,"*キャラ*"),
VLOOKUP("*キャラ*",商品マスタ一覧!$D:$E,2,FALSE),
IF(COUNTIF(D19,"*赤*"),
VLOOKUP("*赤*",商品マスタ一覧!$D:$E,2,FALSE),
VLOOKUP("*"&amp;D19&amp;"*",商品マスタ一覧!$D:$E,2,FALSE)))*F19),"")</f>
        <v/>
      </c>
      <c r="H19" s="175" t="str">
        <f>IF(C19&lt;&gt;"",
クライアント抽出!B19,"")</f>
        <v/>
      </c>
      <c r="I19" s="52" t="str">
        <f t="array" aca="1" ref="I19" ca="1">IF(C19&lt;&gt;"",
IF(O19=1,
IF(SUMPRODUCT(COUNTIF(クライアント抽出!P19:U19,クライアント抽出!P19:U19))&gt;COUNTA(クライアント抽出!P19:U19),
INDIRECT("数出表_Excel!"&amp;INDEX(_xlfn.UNIQUE(_xlfn._xlws.FILTER(クライアント抽出!P19:U19,COUNTIF(クライアント抽出!P19:U19,クライアント抽出!P19:U19)&gt;1)),1)&amp;L19&amp;""),0),クライアント抽出!E19),"")</f>
        <v/>
      </c>
      <c r="J19" s="52" t="str">
        <f>IF(C19&lt;&gt;"",
VLOOKUP(
"*"&amp;LEFT(IF(COUNTIF(D19,"*学食*"),"キャラ弁（学食）",
IF(COUNTIF(D19,"*赤*"),"赤",
IF(COUNTIF(D19,"*キャラ弁当*"),"キャラ弁当",D19))),4)&amp;"*",注文弁当の抽出!$E$1:$F$15,2,FALSE),"")</f>
        <v/>
      </c>
      <c r="K19" s="52" t="str">
        <f ca="1">IF(クライアント抽出!P19&lt;&gt;"",SUBSTITUTE(ADDRESS(1,(CODE(クライアント抽出!P19)-64)*2-1,4),"1",""),"")</f>
        <v/>
      </c>
      <c r="L19" s="52" t="str">
        <f>IF(C19&lt;&gt;"",クライアント抽出!I19,"")</f>
        <v/>
      </c>
      <c r="M19" s="52">
        <f t="array" aca="1" ref="M19" ca="1">IF(C19&lt;&gt;"",
IF(K19&lt;&gt;"",INDIRECT("'数出表_Excel（アレルギー入力）'!"&amp;K19&amp;L19-1&amp;""),),)</f>
        <v>0</v>
      </c>
      <c r="N19" s="52" t="str">
        <f>IF(C19&lt;&gt;"",IF(OR(COUNTIF('盛付札（関数）'!D19,"*赤*"),COUNTIF('盛付札（関数）'!D19,"*キャラ*")),1,
VLOOKUP("*"&amp;D19&amp;"*",商品マスタ一覧!D:H,5,FALSE)),"")</f>
        <v/>
      </c>
      <c r="O19" s="52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52">
        <f t="shared" si="0"/>
        <v>0</v>
      </c>
      <c r="Q19" s="52" t="b">
        <f t="shared" si="1"/>
        <v>0</v>
      </c>
      <c r="R19" s="203" t="str">
        <f t="array" aca="1" ref="R19" ca="1">IFERROR(SMALL(IF(P$1:P$307&lt;&gt;0,P$1:P$307),ROW(A19)),"")</f>
        <v/>
      </c>
      <c r="S19" s="203" t="str">
        <f t="array" aca="1" ref="S19" ca="1">IF($R19&lt;&gt;"",
SUBSTITUTE(SUBSTITUTE(INDIRECT("C"&amp;$R19&amp;"")," 週3ｺｰｽ","")," 週5ｺｰｽ",""),"")</f>
        <v/>
      </c>
      <c r="T19" s="203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204" t="str">
        <f t="array" aca="1" ref="U19" ca="1">IF($R19&lt;&gt;"",
INDIRECT("F"&amp;$R19&amp;""),"")</f>
        <v/>
      </c>
      <c r="V19" s="203" t="str">
        <f t="array" aca="1" ref="V19" ca="1">IF($R19&lt;&gt;"",
INDIRECT("G"&amp;$R19&amp;""),"")</f>
        <v/>
      </c>
      <c r="W19" s="203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IF(OR(COUNTIF(INDIRECT("B"&amp;R19&amp;""),"*雙葉先生*"),COUNTIF(INDIRECT("B"&amp;R19-1&amp;""),"*雙葉*")),INDIRECT("H"&amp;R19&amp;""),INDIRECT("H"&amp;R19&amp;"")+INDIRECT("H"&amp;MATCH("雙葉'",INDIRECT("B"&amp;R19+3&amp;":B210"),0)+2+R19&amp;"")),
IF(AND(LEFT(INDIRECT("B"&amp;R19&amp;""),2)="博多",COUNTIF(B:B,"*博多*")&gt;=2),
INDIRECT("H"&amp;R19&amp;"")+INDIRECT("H"&amp;MATCH("*"&amp;INDIRECT("B"&amp;R19&amp;"")&amp;"*",INDIRECT("B"&amp;R19+1&amp;":B210"),0)+R19&amp;""),
IF(AND(LEFT(INDIRECT("B"&amp;R19&amp;""),3)="奈良屋",COUNTIF(B:B,"*奈良屋*")&gt;=2),
INDIRECT("H"&amp;R19&amp;"")+INDIRECT("H"&amp;MATCH("*"&amp;INDIRECT("B"&amp;R19&amp;"")&amp;"*",INDIRECT("B"&amp;R19+1&amp;":B210"),0)+R19&amp;"")
+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INDIRECT("H"&amp;R19&amp;"")))),"")</f>
        <v/>
      </c>
      <c r="X19" s="203" t="str">
        <f t="array" aca="1" ref="X19" ca="1">IF($R19&lt;&gt;"",
INDIRECT(""&amp;IF(COLUMN(I19)&lt;=26,CHAR(COLUMN(I19)+64),CHAR(INT((COLUMN(I19)-1)/26)+64)&amp;CHAR(MOD(COLUMN(I19)-1,26)+65))&amp;$R19&amp;""),"")</f>
        <v/>
      </c>
      <c r="Y19" s="203" t="str">
        <f t="array" aca="1" ref="Y19" ca="1">IF($R19&lt;&gt;"",
INDIRECT(""&amp;IF(COLUMN(J19)&lt;=26,CHAR(COLUMN(J19)+64),CHAR(INT((COLUMN(J19)-1)/26)+64)&amp;CHAR(MOD(COLUMN(J19)-1,26)+65))&amp;$R19&amp;""),"")</f>
        <v/>
      </c>
      <c r="Z19" s="203" t="str">
        <f t="shared" ca="1" si="2"/>
        <v/>
      </c>
      <c r="AA19" s="203" t="str">
        <f t="shared" ca="1" si="3"/>
        <v/>
      </c>
      <c r="AB19" s="203" t="str">
        <f t="array" aca="1" ref="AB19" ca="1">IF($R19&lt;&gt;"",
IF(AND(COUNTIF(INDIRECT("B"&amp;R19&amp;""),"*雙葉*"),COUNTIF(B:B,"*雙葉*")&gt;=2),
INDIRECT("M"&amp;R19&amp;"")+INDIRECT("M"&amp;MATCH("雙葉'",INDIRECT("B"&amp;R19+1&amp;":B210"),0)+R19&amp;""),
IF(AND(LEFT(INDIRECT("B"&amp;R19&amp;""),2)="博多",COUNTIF(B:B,"*博多*")&gt;=2),
INDIRECT("M"&amp;R19&amp;"")+INDIRECT("M"&amp;MATCH("*"&amp;INDIRECT("B"&amp;R19&amp;"")&amp;"*",INDIRECT("B"&amp;R19+1&amp;":B210"),0)+R19&amp;""),
IF(AND(LEFT(INDIRECT("B"&amp;R19&amp;""),3)="奈良屋",COUNTIF(B:B,"*奈良屋*")&gt;=2),
INDIRECT("M"&amp;R19&amp;"")+INDIRECT("M"&amp;MATCH("*"&amp;INDIRECT("B"&amp;R19&amp;"")&amp;"*",INDIRECT("B"&amp;R19+1&amp;":B210"),0)+R19&amp;"")
+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INDIRECT("M"&amp;R19&amp;"")))),"")</f>
        <v/>
      </c>
      <c r="AC19" s="203" t="str">
        <f t="shared" ca="1" si="4"/>
        <v/>
      </c>
      <c r="AD19" s="51" t="str">
        <f t="shared" ca="1" si="5"/>
        <v/>
      </c>
      <c r="AE19" s="51" t="str">
        <f t="shared" ca="1" si="6"/>
        <v/>
      </c>
      <c r="AF19" s="51" t="str">
        <f t="shared" ca="1" si="7"/>
        <v/>
      </c>
      <c r="AG19" s="51" t="str">
        <f t="shared" ca="1" si="8"/>
        <v/>
      </c>
      <c r="AH19" s="191" t="str">
        <f t="shared" ca="1" si="9"/>
        <v/>
      </c>
      <c r="AI19" s="51" t="str">
        <f t="shared" ca="1" si="10"/>
        <v/>
      </c>
      <c r="AJ19" s="51" t="str">
        <f t="shared" ca="1" si="11"/>
        <v/>
      </c>
      <c r="AK19" s="51" t="str">
        <f t="shared" ca="1" si="12"/>
        <v/>
      </c>
      <c r="AL19" s="51" t="str">
        <f t="shared" ca="1" si="13"/>
        <v/>
      </c>
      <c r="AM19" s="51" t="str">
        <f t="shared" ca="1" si="14"/>
        <v/>
      </c>
      <c r="AN19" s="51" t="str">
        <f t="shared" ca="1" si="15"/>
        <v/>
      </c>
      <c r="AO19" s="51" t="str">
        <f t="shared" ca="1" si="16"/>
        <v/>
      </c>
      <c r="AP19" s="51" t="str">
        <f t="shared" ca="1" si="17"/>
        <v/>
      </c>
      <c r="AU19" s="51" t="str">
        <f t="shared" ca="1" si="18"/>
        <v/>
      </c>
    </row>
    <row r="20" spans="1:47" ht="22.2" customHeight="1">
      <c r="A20" s="177">
        <f t="shared" si="19"/>
        <v>45</v>
      </c>
      <c r="B20" s="52" t="str">
        <f t="shared" si="20"/>
        <v/>
      </c>
      <c r="C20" s="52" t="str">
        <f>IF(OR(クライアント抽出!B20&lt;&gt;"",クライアント抽出!E20&lt;&gt;""),クライアント抽出!A20,"")</f>
        <v/>
      </c>
      <c r="D20" s="52" t="str">
        <f t="array" aca="1" ref="D20" ca="1">IF(C20&lt;&gt;"",INDIRECT("クライアント抽出!"&amp;E20&amp;MATCH(C20,クライアント抽出!A:A,0)&amp;""),"")</f>
        <v/>
      </c>
      <c r="E20" s="52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53" t="str">
        <f ca="1">IF(D20&lt;&gt;"",
IF(COUNTIF(C20,"*雙葉*"),
IF(ROUND((H20-M20)
/IF(COUNTIF(D20,"*キャラ*"),
VLOOKUP("*キャラ*",商品マスタ一覧!$D:$E,2,FALSE),
IF(COUNTIF(D20,"*赤*"),
VLOOKUP("*赤*",商品マスタ一覧!$D:$E,2,FALSE),
VLOOKUP("*"&amp;D20&amp;"*",商品マスタ一覧!$D:$E,2,FALSE))),0)&lt;=0,1,
ROUND((H20-M20)
/IF(COUNTIF(D20,"*キャラ*"),
VLOOKUP("*キャラ*",商品マスタ一覧!$D:$E,2,FALSE),
IF(COUNTIF(D20,"*赤*"),
VLOOKUP("*赤*",商品マスタ一覧!$D:$E,2,FALSE),
VLOOKUP("*"&amp;D20&amp;"*",商品マスタ一覧!$D:$E,2,FALSE))),0)),
IF(OR(COUNTIF(D20,"*キャラ*"),COUNTIF(D20,"*赤*")),"",
IF(VLOOKUP("*"&amp;D20&amp;"*",商品マスタ一覧!$D:$E,2,FALSE)=0,"",
IF(ROUND((H20-M20)
/VLOOKUP("*"&amp;D20&amp;"*",商品マスタ一覧!$D:$E,2,FALSE),0)&lt;=0,1,
ROUND((H20-M20)
/VLOOKUP("*"&amp;D20&amp;"*",商品マスタ一覧!$D:$E,2,FALSE),0))))),"")</f>
        <v/>
      </c>
      <c r="G20" s="52" t="str">
        <f ca="1">IF(F20&lt;&gt;"",
IF(VALUE(H20-M20)&gt;VALUE(IF(COUNTIF(D20,"*キャラ*"),
VLOOKUP("*キャラ*",商品マスタ一覧!$D:$E,2,FALSE),
IF(COUNTIF(D20,"*赤*"),
VLOOKUP("*赤*",商品マスタ一覧!$D:$E,2,FALSE),
VLOOKUP("*"&amp;D20&amp;"*",商品マスタ一覧!$D:$E,2,FALSE)))*F20),
"+"&amp;(H20-M20)-IF(COUNTIF(D20,"*キャラ*"),
VLOOKUP("*キャラ*",商品マスタ一覧!$D:$E,2,FALSE),
IF(COUNTIF(D20,"*赤*"),
VLOOKUP("*赤*",商品マスタ一覧!$D:$E,2,FALSE),
VLOOKUP("*"&amp;D20&amp;"*",商品マスタ一覧!$D:$E,2,FALSE)))*F20,
(H20-M20)-IF(COUNTIF(D20,"*キャラ*"),
VLOOKUP("*キャラ*",商品マスタ一覧!$D:$E,2,FALSE),
IF(COUNTIF(D20,"*赤*"),
VLOOKUP("*赤*",商品マスタ一覧!$D:$E,2,FALSE),
VLOOKUP("*"&amp;D20&amp;"*",商品マスタ一覧!$D:$E,2,FALSE)))*F20),"")</f>
        <v/>
      </c>
      <c r="H20" s="175" t="str">
        <f>IF(C20&lt;&gt;"",
クライアント抽出!B20,"")</f>
        <v/>
      </c>
      <c r="I20" s="52" t="str">
        <f t="array" aca="1" ref="I20" ca="1">IF(C20&lt;&gt;"",
IF(O20=1,
IF(SUMPRODUCT(COUNTIF(クライアント抽出!P20:U20,クライアント抽出!P20:U20))&gt;COUNTA(クライアント抽出!P20:U20),
INDIRECT("数出表_Excel!"&amp;INDEX(_xlfn.UNIQUE(_xlfn._xlws.FILTER(クライアント抽出!P20:U20,COUNTIF(クライアント抽出!P20:U20,クライアント抽出!P20:U20)&gt;1)),1)&amp;L20&amp;""),0),クライアント抽出!E20),"")</f>
        <v/>
      </c>
      <c r="J20" s="52" t="str">
        <f>IF(C20&lt;&gt;"",
VLOOKUP(
"*"&amp;LEFT(IF(COUNTIF(D20,"*学食*"),"キャラ弁（学食）",
IF(COUNTIF(D20,"*赤*"),"赤",
IF(COUNTIF(D20,"*キャラ弁当*"),"キャラ弁当",D20))),4)&amp;"*",注文弁当の抽出!$E$1:$F$15,2,FALSE),"")</f>
        <v/>
      </c>
      <c r="K20" s="52" t="str">
        <f ca="1">IF(クライアント抽出!P20&lt;&gt;"",SUBSTITUTE(ADDRESS(1,(CODE(クライアント抽出!P20)-64)*2-1,4),"1",""),"")</f>
        <v/>
      </c>
      <c r="L20" s="52" t="str">
        <f>IF(C20&lt;&gt;"",クライアント抽出!I20,"")</f>
        <v/>
      </c>
      <c r="M20" s="52">
        <f t="array" aca="1" ref="M20" ca="1">IF(C20&lt;&gt;"",
IF(K20&lt;&gt;"",INDIRECT("'数出表_Excel（アレルギー入力）'!"&amp;K20&amp;L20-1&amp;""),),)</f>
        <v>0</v>
      </c>
      <c r="N20" s="52" t="str">
        <f>IF(C20&lt;&gt;"",IF(OR(COUNTIF('盛付札（関数）'!D20,"*赤*"),COUNTIF('盛付札（関数）'!D20,"*キャラ*")),1,
VLOOKUP("*"&amp;D20&amp;"*",商品マスタ一覧!D:H,5,FALSE)),"")</f>
        <v/>
      </c>
      <c r="O20" s="52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52">
        <f t="shared" si="0"/>
        <v>0</v>
      </c>
      <c r="Q20" s="52" t="b">
        <f t="shared" si="1"/>
        <v>0</v>
      </c>
      <c r="R20" s="203" t="str">
        <f t="array" aca="1" ref="R20" ca="1">IFERROR(SMALL(IF(P$1:P$307&lt;&gt;0,P$1:P$307),ROW(A20)),"")</f>
        <v/>
      </c>
      <c r="S20" s="203" t="str">
        <f t="array" aca="1" ref="S20" ca="1">IF($R20&lt;&gt;"",
SUBSTITUTE(SUBSTITUTE(INDIRECT("C"&amp;$R20&amp;"")," 週3ｺｰｽ","")," 週5ｺｰｽ",""),"")</f>
        <v/>
      </c>
      <c r="T20" s="203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204" t="str">
        <f t="array" aca="1" ref="U20" ca="1">IF($R20&lt;&gt;"",
INDIRECT("F"&amp;$R20&amp;""),"")</f>
        <v/>
      </c>
      <c r="V20" s="203" t="str">
        <f t="array" aca="1" ref="V20" ca="1">IF($R20&lt;&gt;"",
INDIRECT("G"&amp;$R20&amp;""),"")</f>
        <v/>
      </c>
      <c r="W20" s="203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IF(OR(COUNTIF(INDIRECT("B"&amp;R20&amp;""),"*雙葉先生*"),COUNTIF(INDIRECT("B"&amp;R20-1&amp;""),"*雙葉*")),INDIRECT("H"&amp;R20&amp;""),INDIRECT("H"&amp;R20&amp;"")+INDIRECT("H"&amp;MATCH("雙葉'",INDIRECT("B"&amp;R20+3&amp;":B210"),0)+2+R20&amp;"")),
IF(AND(LEFT(INDIRECT("B"&amp;R20&amp;""),2)="博多",COUNTIF(B:B,"*博多*")&gt;=2),
INDIRECT("H"&amp;R20&amp;"")+INDIRECT("H"&amp;MATCH("*"&amp;INDIRECT("B"&amp;R20&amp;"")&amp;"*",INDIRECT("B"&amp;R20+1&amp;":B210"),0)+R20&amp;""),
IF(AND(LEFT(INDIRECT("B"&amp;R20&amp;""),3)="奈良屋",COUNTIF(B:B,"*奈良屋*")&gt;=2),
INDIRECT("H"&amp;R20&amp;"")+INDIRECT("H"&amp;MATCH("*"&amp;INDIRECT("B"&amp;R20&amp;"")&amp;"*",INDIRECT("B"&amp;R20+1&amp;":B210"),0)+R20&amp;"")
+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INDIRECT("H"&amp;R20&amp;"")))),"")</f>
        <v/>
      </c>
      <c r="X20" s="203" t="str">
        <f t="array" aca="1" ref="X20" ca="1">IF($R20&lt;&gt;"",
INDIRECT(""&amp;IF(COLUMN(I20)&lt;=26,CHAR(COLUMN(I20)+64),CHAR(INT((COLUMN(I20)-1)/26)+64)&amp;CHAR(MOD(COLUMN(I20)-1,26)+65))&amp;$R20&amp;""),"")</f>
        <v/>
      </c>
      <c r="Y20" s="203" t="str">
        <f t="array" aca="1" ref="Y20" ca="1">IF($R20&lt;&gt;"",
INDIRECT(""&amp;IF(COLUMN(J20)&lt;=26,CHAR(COLUMN(J20)+64),CHAR(INT((COLUMN(J20)-1)/26)+64)&amp;CHAR(MOD(COLUMN(J20)-1,26)+65))&amp;$R20&amp;""),"")</f>
        <v/>
      </c>
      <c r="Z20" s="203" t="str">
        <f t="shared" ca="1" si="2"/>
        <v/>
      </c>
      <c r="AA20" s="203" t="str">
        <f t="shared" ca="1" si="3"/>
        <v/>
      </c>
      <c r="AB20" s="203" t="str">
        <f t="array" aca="1" ref="AB20" ca="1">IF($R20&lt;&gt;"",
IF(AND(COUNTIF(INDIRECT("B"&amp;R20&amp;""),"*雙葉*"),COUNTIF(B:B,"*雙葉*")&gt;=2),
INDIRECT("M"&amp;R20&amp;"")+INDIRECT("M"&amp;MATCH("雙葉'",INDIRECT("B"&amp;R20+1&amp;":B210"),0)+R20&amp;""),
IF(AND(LEFT(INDIRECT("B"&amp;R20&amp;""),2)="博多",COUNTIF(B:B,"*博多*")&gt;=2),
INDIRECT("M"&amp;R20&amp;"")+INDIRECT("M"&amp;MATCH("*"&amp;INDIRECT("B"&amp;R20&amp;"")&amp;"*",INDIRECT("B"&amp;R20+1&amp;":B210"),0)+R20&amp;""),
IF(AND(LEFT(INDIRECT("B"&amp;R20&amp;""),3)="奈良屋",COUNTIF(B:B,"*奈良屋*")&gt;=2),
INDIRECT("M"&amp;R20&amp;"")+INDIRECT("M"&amp;MATCH("*"&amp;INDIRECT("B"&amp;R20&amp;"")&amp;"*",INDIRECT("B"&amp;R20+1&amp;":B210"),0)+R20&amp;"")
+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INDIRECT("M"&amp;R20&amp;"")))),"")</f>
        <v/>
      </c>
      <c r="AC20" s="203" t="str">
        <f t="shared" ca="1" si="4"/>
        <v/>
      </c>
      <c r="AD20" s="51" t="str">
        <f t="shared" ca="1" si="5"/>
        <v/>
      </c>
      <c r="AE20" s="51" t="str">
        <f t="shared" ca="1" si="6"/>
        <v/>
      </c>
      <c r="AF20" s="51" t="str">
        <f t="shared" ca="1" si="7"/>
        <v/>
      </c>
      <c r="AG20" s="51" t="str">
        <f t="shared" ca="1" si="8"/>
        <v/>
      </c>
      <c r="AH20" s="191" t="str">
        <f t="shared" ca="1" si="9"/>
        <v/>
      </c>
      <c r="AI20" s="51" t="str">
        <f t="shared" ca="1" si="10"/>
        <v/>
      </c>
      <c r="AJ20" s="51" t="str">
        <f t="shared" ca="1" si="11"/>
        <v/>
      </c>
      <c r="AK20" s="51" t="str">
        <f t="shared" ca="1" si="12"/>
        <v/>
      </c>
      <c r="AL20" s="51" t="str">
        <f t="shared" ca="1" si="13"/>
        <v/>
      </c>
      <c r="AM20" s="51" t="str">
        <f t="shared" ca="1" si="14"/>
        <v/>
      </c>
      <c r="AN20" s="51" t="str">
        <f t="shared" ca="1" si="15"/>
        <v/>
      </c>
      <c r="AO20" s="51" t="str">
        <f t="shared" ca="1" si="16"/>
        <v/>
      </c>
      <c r="AP20" s="51" t="str">
        <f t="shared" ca="1" si="17"/>
        <v/>
      </c>
      <c r="AU20" s="51" t="str">
        <f t="shared" ca="1" si="18"/>
        <v/>
      </c>
    </row>
    <row r="21" spans="1:47" ht="21" customHeight="1">
      <c r="A21" s="177">
        <f t="shared" si="19"/>
        <v>47</v>
      </c>
      <c r="B21" s="52" t="str">
        <f t="shared" si="20"/>
        <v/>
      </c>
      <c r="C21" s="52" t="str">
        <f>IF(OR(クライアント抽出!B21&lt;&gt;"",クライアント抽出!E21&lt;&gt;""),クライアント抽出!A21,"")</f>
        <v/>
      </c>
      <c r="D21" s="52" t="str">
        <f t="array" aca="1" ref="D21" ca="1">IF(C21&lt;&gt;"",INDIRECT("クライアント抽出!"&amp;E21&amp;MATCH(C21,クライアント抽出!A:A,0)&amp;""),"")</f>
        <v/>
      </c>
      <c r="E21" s="52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53" t="str">
        <f ca="1">IF(D21&lt;&gt;"",
IF(COUNTIF(C21,"*雙葉*"),
IF(ROUND((H21-M21)
/IF(COUNTIF(D21,"*キャラ*"),
VLOOKUP("*キャラ*",商品マスタ一覧!$D:$E,2,FALSE),
IF(COUNTIF(D21,"*赤*"),
VLOOKUP("*赤*",商品マスタ一覧!$D:$E,2,FALSE),
VLOOKUP("*"&amp;D21&amp;"*",商品マスタ一覧!$D:$E,2,FALSE))),0)&lt;=0,1,
ROUND((H21-M21)
/IF(COUNTIF(D21,"*キャラ*"),
VLOOKUP("*キャラ*",商品マスタ一覧!$D:$E,2,FALSE),
IF(COUNTIF(D21,"*赤*"),
VLOOKUP("*赤*",商品マスタ一覧!$D:$E,2,FALSE),
VLOOKUP("*"&amp;D21&amp;"*",商品マスタ一覧!$D:$E,2,FALSE))),0)),
IF(OR(COUNTIF(D21,"*キャラ*"),COUNTIF(D21,"*赤*")),"",
IF(VLOOKUP("*"&amp;D21&amp;"*",商品マスタ一覧!$D:$E,2,FALSE)=0,"",
IF(ROUND((H21-M21)
/VLOOKUP("*"&amp;D21&amp;"*",商品マスタ一覧!$D:$E,2,FALSE),0)&lt;=0,1,
ROUND((H21-M21)
/VLOOKUP("*"&amp;D21&amp;"*",商品マスタ一覧!$D:$E,2,FALSE),0))))),"")</f>
        <v/>
      </c>
      <c r="G21" s="52" t="str">
        <f ca="1">IF(F21&lt;&gt;"",
IF(VALUE(H21-M21)&gt;VALUE(IF(COUNTIF(D21,"*キャラ*"),
VLOOKUP("*キャラ*",商品マスタ一覧!$D:$E,2,FALSE),
IF(COUNTIF(D21,"*赤*"),
VLOOKUP("*赤*",商品マスタ一覧!$D:$E,2,FALSE),
VLOOKUP("*"&amp;D21&amp;"*",商品マスタ一覧!$D:$E,2,FALSE)))*F21),
"+"&amp;(H21-M21)-IF(COUNTIF(D21,"*キャラ*"),
VLOOKUP("*キャラ*",商品マスタ一覧!$D:$E,2,FALSE),
IF(COUNTIF(D21,"*赤*"),
VLOOKUP("*赤*",商品マスタ一覧!$D:$E,2,FALSE),
VLOOKUP("*"&amp;D21&amp;"*",商品マスタ一覧!$D:$E,2,FALSE)))*F21,
(H21-M21)-IF(COUNTIF(D21,"*キャラ*"),
VLOOKUP("*キャラ*",商品マスタ一覧!$D:$E,2,FALSE),
IF(COUNTIF(D21,"*赤*"),
VLOOKUP("*赤*",商品マスタ一覧!$D:$E,2,FALSE),
VLOOKUP("*"&amp;D21&amp;"*",商品マスタ一覧!$D:$E,2,FALSE)))*F21),"")</f>
        <v/>
      </c>
      <c r="H21" s="175" t="str">
        <f>IF(C21&lt;&gt;"",
クライアント抽出!B21,"")</f>
        <v/>
      </c>
      <c r="I21" s="52" t="str">
        <f t="array" aca="1" ref="I21" ca="1">IF(C21&lt;&gt;"",
IF(O21=1,
IF(SUMPRODUCT(COUNTIF(クライアント抽出!P21:U21,クライアント抽出!P21:U21))&gt;COUNTA(クライアント抽出!P21:U21),
INDIRECT("数出表_Excel!"&amp;INDEX(_xlfn.UNIQUE(_xlfn._xlws.FILTER(クライアント抽出!P21:U21,COUNTIF(クライアント抽出!P21:U21,クライアント抽出!P21:U21)&gt;1)),1)&amp;L21&amp;""),0),クライアント抽出!E21),"")</f>
        <v/>
      </c>
      <c r="J21" s="52" t="str">
        <f>IF(C21&lt;&gt;"",
VLOOKUP(
"*"&amp;LEFT(IF(COUNTIF(D21,"*学食*"),"キャラ弁（学食）",
IF(COUNTIF(D21,"*赤*"),"赤",
IF(COUNTIF(D21,"*キャラ弁当*"),"キャラ弁当",D21))),4)&amp;"*",注文弁当の抽出!$E$1:$F$15,2,FALSE),"")</f>
        <v/>
      </c>
      <c r="K21" s="52" t="str">
        <f ca="1">IF(クライアント抽出!P21&lt;&gt;"",SUBSTITUTE(ADDRESS(1,(CODE(クライアント抽出!P21)-64)*2-1,4),"1",""),"")</f>
        <v/>
      </c>
      <c r="L21" s="52" t="str">
        <f>IF(C21&lt;&gt;"",クライアント抽出!I21,"")</f>
        <v/>
      </c>
      <c r="M21" s="52">
        <f t="array" aca="1" ref="M21" ca="1">IF(C21&lt;&gt;"",
IF(K21&lt;&gt;"",INDIRECT("'数出表_Excel（アレルギー入力）'!"&amp;K21&amp;L21-1&amp;""),),)</f>
        <v>0</v>
      </c>
      <c r="N21" s="52" t="str">
        <f>IF(C21&lt;&gt;"",IF(OR(COUNTIF('盛付札（関数）'!D21,"*赤*"),COUNTIF('盛付札（関数）'!D21,"*キャラ*")),1,
VLOOKUP("*"&amp;D21&amp;"*",商品マスタ一覧!D:H,5,FALSE)),"")</f>
        <v/>
      </c>
      <c r="O21" s="52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52">
        <f t="shared" si="0"/>
        <v>0</v>
      </c>
      <c r="Q21" s="52" t="b">
        <f t="shared" si="1"/>
        <v>0</v>
      </c>
      <c r="R21" s="203" t="str">
        <f t="array" aca="1" ref="R21" ca="1">IFERROR(SMALL(IF(P$1:P$307&lt;&gt;0,P$1:P$307),ROW(A21)),"")</f>
        <v/>
      </c>
      <c r="S21" s="203" t="str">
        <f t="array" aca="1" ref="S21" ca="1">IF($R21&lt;&gt;"",
SUBSTITUTE(SUBSTITUTE(INDIRECT("C"&amp;$R21&amp;"")," 週3ｺｰｽ","")," 週5ｺｰｽ",""),"")</f>
        <v/>
      </c>
      <c r="T21" s="203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204" t="str">
        <f t="array" aca="1" ref="U21" ca="1">IF($R21&lt;&gt;"",
INDIRECT("F"&amp;$R21&amp;""),"")</f>
        <v/>
      </c>
      <c r="V21" s="203" t="str">
        <f t="array" aca="1" ref="V21" ca="1">IF($R21&lt;&gt;"",
INDIRECT("G"&amp;$R21&amp;""),"")</f>
        <v/>
      </c>
      <c r="W21" s="203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IF(OR(COUNTIF(INDIRECT("B"&amp;R21&amp;""),"*雙葉先生*"),COUNTIF(INDIRECT("B"&amp;R21-1&amp;""),"*雙葉*")),INDIRECT("H"&amp;R21&amp;""),INDIRECT("H"&amp;R21&amp;"")+INDIRECT("H"&amp;MATCH("雙葉'",INDIRECT("B"&amp;R21+3&amp;":B210"),0)+2+R21&amp;"")),
IF(AND(LEFT(INDIRECT("B"&amp;R21&amp;""),2)="博多",COUNTIF(B:B,"*博多*")&gt;=2),
INDIRECT("H"&amp;R21&amp;"")+INDIRECT("H"&amp;MATCH("*"&amp;INDIRECT("B"&amp;R21&amp;"")&amp;"*",INDIRECT("B"&amp;R21+1&amp;":B210"),0)+R21&amp;""),
IF(AND(LEFT(INDIRECT("B"&amp;R21&amp;""),3)="奈良屋",COUNTIF(B:B,"*奈良屋*")&gt;=2),
INDIRECT("H"&amp;R21&amp;"")+INDIRECT("H"&amp;MATCH("*"&amp;INDIRECT("B"&amp;R21&amp;"")&amp;"*",INDIRECT("B"&amp;R21+1&amp;":B210"),0)+R21&amp;"")
+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INDIRECT("H"&amp;R21&amp;"")))),"")</f>
        <v/>
      </c>
      <c r="X21" s="203" t="str">
        <f t="array" aca="1" ref="X21" ca="1">IF($R21&lt;&gt;"",
INDIRECT(""&amp;IF(COLUMN(I21)&lt;=26,CHAR(COLUMN(I21)+64),CHAR(INT((COLUMN(I21)-1)/26)+64)&amp;CHAR(MOD(COLUMN(I21)-1,26)+65))&amp;$R21&amp;""),"")</f>
        <v/>
      </c>
      <c r="Y21" s="203" t="str">
        <f t="array" aca="1" ref="Y21" ca="1">IF($R21&lt;&gt;"",
INDIRECT(""&amp;IF(COLUMN(J21)&lt;=26,CHAR(COLUMN(J21)+64),CHAR(INT((COLUMN(J21)-1)/26)+64)&amp;CHAR(MOD(COLUMN(J21)-1,26)+65))&amp;$R21&amp;""),"")</f>
        <v/>
      </c>
      <c r="Z21" s="203" t="str">
        <f t="shared" ca="1" si="2"/>
        <v/>
      </c>
      <c r="AA21" s="203" t="str">
        <f t="shared" ca="1" si="3"/>
        <v/>
      </c>
      <c r="AB21" s="203" t="str">
        <f t="array" aca="1" ref="AB21" ca="1">IF($R21&lt;&gt;"",
IF(AND(COUNTIF(INDIRECT("B"&amp;R21&amp;""),"*雙葉*"),COUNTIF(B:B,"*雙葉*")&gt;=2),
INDIRECT("M"&amp;R21&amp;"")+INDIRECT("M"&amp;MATCH("雙葉'",INDIRECT("B"&amp;R21+1&amp;":B210"),0)+R21&amp;""),
IF(AND(LEFT(INDIRECT("B"&amp;R21&amp;""),2)="博多",COUNTIF(B:B,"*博多*")&gt;=2),
INDIRECT("M"&amp;R21&amp;"")+INDIRECT("M"&amp;MATCH("*"&amp;INDIRECT("B"&amp;R21&amp;"")&amp;"*",INDIRECT("B"&amp;R21+1&amp;":B210"),0)+R21&amp;""),
IF(AND(LEFT(INDIRECT("B"&amp;R21&amp;""),3)="奈良屋",COUNTIF(B:B,"*奈良屋*")&gt;=2),
INDIRECT("M"&amp;R21&amp;"")+INDIRECT("M"&amp;MATCH("*"&amp;INDIRECT("B"&amp;R21&amp;"")&amp;"*",INDIRECT("B"&amp;R21+1&amp;":B210"),0)+R21&amp;"")
+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INDIRECT("M"&amp;R21&amp;"")))),"")</f>
        <v/>
      </c>
      <c r="AC21" s="203" t="str">
        <f t="shared" ca="1" si="4"/>
        <v/>
      </c>
      <c r="AD21" s="51" t="str">
        <f t="shared" ca="1" si="5"/>
        <v/>
      </c>
      <c r="AE21" s="51" t="str">
        <f t="shared" ca="1" si="6"/>
        <v/>
      </c>
      <c r="AF21" s="51" t="str">
        <f t="shared" ca="1" si="7"/>
        <v/>
      </c>
      <c r="AG21" s="51" t="str">
        <f t="shared" ca="1" si="8"/>
        <v/>
      </c>
      <c r="AH21" s="191" t="str">
        <f t="shared" ca="1" si="9"/>
        <v/>
      </c>
      <c r="AI21" s="51" t="str">
        <f t="shared" ca="1" si="10"/>
        <v/>
      </c>
      <c r="AJ21" s="51" t="str">
        <f t="shared" ca="1" si="11"/>
        <v/>
      </c>
      <c r="AK21" s="51" t="str">
        <f t="shared" ca="1" si="12"/>
        <v/>
      </c>
      <c r="AL21" s="51" t="str">
        <f t="shared" ca="1" si="13"/>
        <v/>
      </c>
      <c r="AM21" s="51" t="str">
        <f t="shared" ca="1" si="14"/>
        <v/>
      </c>
      <c r="AN21" s="51" t="str">
        <f t="shared" ca="1" si="15"/>
        <v/>
      </c>
      <c r="AO21" s="51" t="str">
        <f t="shared" ca="1" si="16"/>
        <v/>
      </c>
      <c r="AP21" s="51" t="str">
        <f t="shared" ca="1" si="17"/>
        <v/>
      </c>
      <c r="AU21" s="51" t="str">
        <f t="shared" ca="1" si="18"/>
        <v/>
      </c>
    </row>
    <row r="22" spans="1:47" ht="18" customHeight="1">
      <c r="A22" s="177">
        <f t="shared" si="19"/>
        <v>49</v>
      </c>
      <c r="B22" s="52" t="str">
        <f t="shared" si="20"/>
        <v/>
      </c>
      <c r="C22" s="52" t="str">
        <f>IF(OR(クライアント抽出!B22&lt;&gt;"",クライアント抽出!E22&lt;&gt;""),クライアント抽出!A22,"")</f>
        <v/>
      </c>
      <c r="D22" s="52" t="str">
        <f t="array" aca="1" ref="D22" ca="1">IF(C22&lt;&gt;"",INDIRECT("クライアント抽出!"&amp;E22&amp;MATCH(C22,クライアント抽出!A:A,0)&amp;""),"")</f>
        <v/>
      </c>
      <c r="E22" s="52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53" t="str">
        <f ca="1">IF(D22&lt;&gt;"",
IF(COUNTIF(C22,"*雙葉*"),
IF(ROUND((H22-M22)
/IF(COUNTIF(D22,"*キャラ*"),
VLOOKUP("*キャラ*",商品マスタ一覧!$D:$E,2,FALSE),
IF(COUNTIF(D22,"*赤*"),
VLOOKUP("*赤*",商品マスタ一覧!$D:$E,2,FALSE),
VLOOKUP("*"&amp;D22&amp;"*",商品マスタ一覧!$D:$E,2,FALSE))),0)&lt;=0,1,
ROUND((H22-M22)
/IF(COUNTIF(D22,"*キャラ*"),
VLOOKUP("*キャラ*",商品マスタ一覧!$D:$E,2,FALSE),
IF(COUNTIF(D22,"*赤*"),
VLOOKUP("*赤*",商品マスタ一覧!$D:$E,2,FALSE),
VLOOKUP("*"&amp;D22&amp;"*",商品マスタ一覧!$D:$E,2,FALSE))),0)),
IF(OR(COUNTIF(D22,"*キャラ*"),COUNTIF(D22,"*赤*")),"",
IF(VLOOKUP("*"&amp;D22&amp;"*",商品マスタ一覧!$D:$E,2,FALSE)=0,"",
IF(ROUND((H22-M22)
/VLOOKUP("*"&amp;D22&amp;"*",商品マスタ一覧!$D:$E,2,FALSE),0)&lt;=0,1,
ROUND((H22-M22)
/VLOOKUP("*"&amp;D22&amp;"*",商品マスタ一覧!$D:$E,2,FALSE),0))))),"")</f>
        <v/>
      </c>
      <c r="G22" s="52" t="str">
        <f ca="1">IF(F22&lt;&gt;"",
IF(VALUE(H22-M22)&gt;VALUE(IF(COUNTIF(D22,"*キャラ*"),
VLOOKUP("*キャラ*",商品マスタ一覧!$D:$E,2,FALSE),
IF(COUNTIF(D22,"*赤*"),
VLOOKUP("*赤*",商品マスタ一覧!$D:$E,2,FALSE),
VLOOKUP("*"&amp;D22&amp;"*",商品マスタ一覧!$D:$E,2,FALSE)))*F22),
"+"&amp;(H22-M22)-IF(COUNTIF(D22,"*キャラ*"),
VLOOKUP("*キャラ*",商品マスタ一覧!$D:$E,2,FALSE),
IF(COUNTIF(D22,"*赤*"),
VLOOKUP("*赤*",商品マスタ一覧!$D:$E,2,FALSE),
VLOOKUP("*"&amp;D22&amp;"*",商品マスタ一覧!$D:$E,2,FALSE)))*F22,
(H22-M22)-IF(COUNTIF(D22,"*キャラ*"),
VLOOKUP("*キャラ*",商品マスタ一覧!$D:$E,2,FALSE),
IF(COUNTIF(D22,"*赤*"),
VLOOKUP("*赤*",商品マスタ一覧!$D:$E,2,FALSE),
VLOOKUP("*"&amp;D22&amp;"*",商品マスタ一覧!$D:$E,2,FALSE)))*F22),"")</f>
        <v/>
      </c>
      <c r="H22" s="175" t="str">
        <f>IF(C22&lt;&gt;"",
クライアント抽出!B22,"")</f>
        <v/>
      </c>
      <c r="I22" s="52" t="str">
        <f t="array" aca="1" ref="I22" ca="1">IF(C22&lt;&gt;"",
IF(O22=1,
IF(SUMPRODUCT(COUNTIF(クライアント抽出!P22:U22,クライアント抽出!P22:U22))&gt;COUNTA(クライアント抽出!P22:U22),
INDIRECT("数出表_Excel!"&amp;INDEX(_xlfn.UNIQUE(_xlfn._xlws.FILTER(クライアント抽出!P22:U22,COUNTIF(クライアント抽出!P22:U22,クライアント抽出!P22:U22)&gt;1)),1)&amp;L22&amp;""),0),クライアント抽出!E22),"")</f>
        <v/>
      </c>
      <c r="J22" s="52" t="str">
        <f>IF(C22&lt;&gt;"",
VLOOKUP(
"*"&amp;LEFT(IF(COUNTIF(D22,"*学食*"),"キャラ弁（学食）",
IF(COUNTIF(D22,"*赤*"),"赤",
IF(COUNTIF(D22,"*キャラ弁当*"),"キャラ弁当",D22))),4)&amp;"*",注文弁当の抽出!$E$1:$F$15,2,FALSE),"")</f>
        <v/>
      </c>
      <c r="K22" s="52" t="str">
        <f ca="1">IF(クライアント抽出!P22&lt;&gt;"",SUBSTITUTE(ADDRESS(1,(CODE(クライアント抽出!P22)-64)*2-1,4),"1",""),"")</f>
        <v/>
      </c>
      <c r="L22" s="52" t="str">
        <f>IF(C22&lt;&gt;"",クライアント抽出!I22,"")</f>
        <v/>
      </c>
      <c r="M22" s="52">
        <f t="array" aca="1" ref="M22" ca="1">IF(C22&lt;&gt;"",
IF(K22&lt;&gt;"",INDIRECT("'数出表_Excel（アレルギー入力）'!"&amp;K22&amp;L22-1&amp;""),),)</f>
        <v>0</v>
      </c>
      <c r="N22" s="52" t="str">
        <f>IF(C22&lt;&gt;"",IF(OR(COUNTIF('盛付札（関数）'!D22,"*赤*"),COUNTIF('盛付札（関数）'!D22,"*キャラ*")),1,
VLOOKUP("*"&amp;D22&amp;"*",商品マスタ一覧!D:H,5,FALSE)),"")</f>
        <v/>
      </c>
      <c r="O22" s="52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52">
        <f t="shared" si="0"/>
        <v>0</v>
      </c>
      <c r="Q22" s="52" t="b">
        <f t="shared" si="1"/>
        <v>0</v>
      </c>
      <c r="R22" s="203" t="str">
        <f t="array" aca="1" ref="R22" ca="1">IFERROR(SMALL(IF(P$1:P$307&lt;&gt;0,P$1:P$307),ROW(A22)),"")</f>
        <v/>
      </c>
      <c r="S22" s="203" t="str">
        <f t="array" aca="1" ref="S22" ca="1">IF($R22&lt;&gt;"",
SUBSTITUTE(SUBSTITUTE(INDIRECT("C"&amp;$R22&amp;"")," 週3ｺｰｽ","")," 週5ｺｰｽ",""),"")</f>
        <v/>
      </c>
      <c r="T22" s="203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204" t="str">
        <f t="array" aca="1" ref="U22" ca="1">IF($R22&lt;&gt;"",
INDIRECT("F"&amp;$R22&amp;""),"")</f>
        <v/>
      </c>
      <c r="V22" s="203" t="str">
        <f t="array" aca="1" ref="V22" ca="1">IF($R22&lt;&gt;"",
INDIRECT("G"&amp;$R22&amp;""),"")</f>
        <v/>
      </c>
      <c r="W22" s="203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IF(OR(COUNTIF(INDIRECT("B"&amp;R22&amp;""),"*雙葉先生*"),COUNTIF(INDIRECT("B"&amp;R22-1&amp;""),"*雙葉*")),INDIRECT("H"&amp;R22&amp;""),INDIRECT("H"&amp;R22&amp;"")+INDIRECT("H"&amp;MATCH("雙葉'",INDIRECT("B"&amp;R22+3&amp;":B210"),0)+2+R22&amp;"")),
IF(AND(LEFT(INDIRECT("B"&amp;R22&amp;""),2)="博多",COUNTIF(B:B,"*博多*")&gt;=2),
INDIRECT("H"&amp;R22&amp;"")+INDIRECT("H"&amp;MATCH("*"&amp;INDIRECT("B"&amp;R22&amp;"")&amp;"*",INDIRECT("B"&amp;R22+1&amp;":B210"),0)+R22&amp;""),
IF(AND(LEFT(INDIRECT("B"&amp;R22&amp;""),3)="奈良屋",COUNTIF(B:B,"*奈良屋*")&gt;=2),
INDIRECT("H"&amp;R22&amp;"")+INDIRECT("H"&amp;MATCH("*"&amp;INDIRECT("B"&amp;R22&amp;"")&amp;"*",INDIRECT("B"&amp;R22+1&amp;":B210"),0)+R22&amp;"")
+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INDIRECT("H"&amp;R22&amp;"")))),"")</f>
        <v/>
      </c>
      <c r="X22" s="203" t="str">
        <f t="array" aca="1" ref="X22" ca="1">IF($R22&lt;&gt;"",
INDIRECT(""&amp;IF(COLUMN(I22)&lt;=26,CHAR(COLUMN(I22)+64),CHAR(INT((COLUMN(I22)-1)/26)+64)&amp;CHAR(MOD(COLUMN(I22)-1,26)+65))&amp;$R22&amp;""),"")</f>
        <v/>
      </c>
      <c r="Y22" s="203" t="str">
        <f t="array" aca="1" ref="Y22" ca="1">IF($R22&lt;&gt;"",
INDIRECT(""&amp;IF(COLUMN(J22)&lt;=26,CHAR(COLUMN(J22)+64),CHAR(INT((COLUMN(J22)-1)/26)+64)&amp;CHAR(MOD(COLUMN(J22)-1,26)+65))&amp;$R22&amp;""),"")</f>
        <v/>
      </c>
      <c r="Z22" s="203" t="str">
        <f t="shared" ca="1" si="2"/>
        <v/>
      </c>
      <c r="AA22" s="203" t="str">
        <f t="shared" ca="1" si="3"/>
        <v/>
      </c>
      <c r="AB22" s="203" t="str">
        <f t="array" aca="1" ref="AB22" ca="1">IF($R22&lt;&gt;"",
IF(AND(COUNTIF(INDIRECT("B"&amp;R22&amp;""),"*雙葉*"),COUNTIF(B:B,"*雙葉*")&gt;=2),
INDIRECT("M"&amp;R22&amp;"")+INDIRECT("M"&amp;MATCH("雙葉'",INDIRECT("B"&amp;R22+1&amp;":B210"),0)+R22&amp;""),
IF(AND(LEFT(INDIRECT("B"&amp;R22&amp;""),2)="博多",COUNTIF(B:B,"*博多*")&gt;=2),
INDIRECT("M"&amp;R22&amp;"")+INDIRECT("M"&amp;MATCH("*"&amp;INDIRECT("B"&amp;R22&amp;"")&amp;"*",INDIRECT("B"&amp;R22+1&amp;":B210"),0)+R22&amp;""),
IF(AND(LEFT(INDIRECT("B"&amp;R22&amp;""),3)="奈良屋",COUNTIF(B:B,"*奈良屋*")&gt;=2),
INDIRECT("M"&amp;R22&amp;"")+INDIRECT("M"&amp;MATCH("*"&amp;INDIRECT("B"&amp;R22&amp;"")&amp;"*",INDIRECT("B"&amp;R22+1&amp;":B210"),0)+R22&amp;"")
+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INDIRECT("M"&amp;R22&amp;"")))),"")</f>
        <v/>
      </c>
      <c r="AC22" s="203" t="str">
        <f t="shared" ca="1" si="4"/>
        <v/>
      </c>
      <c r="AD22" s="51" t="str">
        <f t="shared" ca="1" si="5"/>
        <v/>
      </c>
      <c r="AE22" s="51" t="str">
        <f t="shared" ca="1" si="6"/>
        <v/>
      </c>
      <c r="AF22" s="51" t="str">
        <f t="shared" ca="1" si="7"/>
        <v/>
      </c>
      <c r="AG22" s="51" t="str">
        <f t="shared" ca="1" si="8"/>
        <v/>
      </c>
      <c r="AH22" s="191" t="str">
        <f t="shared" ca="1" si="9"/>
        <v/>
      </c>
      <c r="AI22" s="51" t="str">
        <f t="shared" ca="1" si="10"/>
        <v/>
      </c>
      <c r="AJ22" s="51" t="str">
        <f t="shared" ca="1" si="11"/>
        <v/>
      </c>
      <c r="AK22" s="51" t="str">
        <f t="shared" ca="1" si="12"/>
        <v/>
      </c>
      <c r="AL22" s="51" t="str">
        <f t="shared" ca="1" si="13"/>
        <v/>
      </c>
      <c r="AM22" s="51" t="str">
        <f t="shared" ca="1" si="14"/>
        <v/>
      </c>
      <c r="AN22" s="51" t="str">
        <f t="shared" ca="1" si="15"/>
        <v/>
      </c>
      <c r="AO22" s="51" t="str">
        <f t="shared" ca="1" si="16"/>
        <v/>
      </c>
      <c r="AP22" s="51" t="str">
        <f t="shared" ca="1" si="17"/>
        <v/>
      </c>
      <c r="AU22" s="51" t="str">
        <f t="shared" ca="1" si="18"/>
        <v/>
      </c>
    </row>
    <row r="23" spans="1:47" ht="18" customHeight="1">
      <c r="A23" s="177">
        <f t="shared" si="19"/>
        <v>51</v>
      </c>
      <c r="B23" s="52" t="str">
        <f t="shared" si="20"/>
        <v/>
      </c>
      <c r="C23" s="52" t="str">
        <f>IF(OR(クライアント抽出!B23&lt;&gt;"",クライアント抽出!E23&lt;&gt;""),クライアント抽出!A23,"")</f>
        <v/>
      </c>
      <c r="D23" s="52" t="str">
        <f t="array" aca="1" ref="D23" ca="1">IF(C23&lt;&gt;"",INDIRECT("クライアント抽出!"&amp;E23&amp;MATCH(C23,クライアント抽出!A:A,0)&amp;""),"")</f>
        <v/>
      </c>
      <c r="E23" s="52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53" t="str">
        <f ca="1">IF(D23&lt;&gt;"",
IF(COUNTIF(C23,"*雙葉*"),
IF(ROUND((H23-M23)
/IF(COUNTIF(D23,"*キャラ*"),
VLOOKUP("*キャラ*",商品マスタ一覧!$D:$E,2,FALSE),
IF(COUNTIF(D23,"*赤*"),
VLOOKUP("*赤*",商品マスタ一覧!$D:$E,2,FALSE),
VLOOKUP("*"&amp;D23&amp;"*",商品マスタ一覧!$D:$E,2,FALSE))),0)&lt;=0,1,
ROUND((H23-M23)
/IF(COUNTIF(D23,"*キャラ*"),
VLOOKUP("*キャラ*",商品マスタ一覧!$D:$E,2,FALSE),
IF(COUNTIF(D23,"*赤*"),
VLOOKUP("*赤*",商品マスタ一覧!$D:$E,2,FALSE),
VLOOKUP("*"&amp;D23&amp;"*",商品マスタ一覧!$D:$E,2,FALSE))),0)),
IF(OR(COUNTIF(D23,"*キャラ*"),COUNTIF(D23,"*赤*")),"",
IF(VLOOKUP("*"&amp;D23&amp;"*",商品マスタ一覧!$D:$E,2,FALSE)=0,"",
IF(ROUND((H23-M23)
/VLOOKUP("*"&amp;D23&amp;"*",商品マスタ一覧!$D:$E,2,FALSE),0)&lt;=0,1,
ROUND((H23-M23)
/VLOOKUP("*"&amp;D23&amp;"*",商品マスタ一覧!$D:$E,2,FALSE),0))))),"")</f>
        <v/>
      </c>
      <c r="G23" s="52" t="str">
        <f ca="1">IF(F23&lt;&gt;"",
IF(VALUE(H23-M23)&gt;VALUE(IF(COUNTIF(D23,"*キャラ*"),
VLOOKUP("*キャラ*",商品マスタ一覧!$D:$E,2,FALSE),
IF(COUNTIF(D23,"*赤*"),
VLOOKUP("*赤*",商品マスタ一覧!$D:$E,2,FALSE),
VLOOKUP("*"&amp;D23&amp;"*",商品マスタ一覧!$D:$E,2,FALSE)))*F23),
"+"&amp;(H23-M23)-IF(COUNTIF(D23,"*キャラ*"),
VLOOKUP("*キャラ*",商品マスタ一覧!$D:$E,2,FALSE),
IF(COUNTIF(D23,"*赤*"),
VLOOKUP("*赤*",商品マスタ一覧!$D:$E,2,FALSE),
VLOOKUP("*"&amp;D23&amp;"*",商品マスタ一覧!$D:$E,2,FALSE)))*F23,
(H23-M23)-IF(COUNTIF(D23,"*キャラ*"),
VLOOKUP("*キャラ*",商品マスタ一覧!$D:$E,2,FALSE),
IF(COUNTIF(D23,"*赤*"),
VLOOKUP("*赤*",商品マスタ一覧!$D:$E,2,FALSE),
VLOOKUP("*"&amp;D23&amp;"*",商品マスタ一覧!$D:$E,2,FALSE)))*F23),"")</f>
        <v/>
      </c>
      <c r="H23" s="175" t="str">
        <f>IF(C23&lt;&gt;"",
クライアント抽出!B23,"")</f>
        <v/>
      </c>
      <c r="I23" s="52" t="str">
        <f t="array" aca="1" ref="I23" ca="1">IF(C23&lt;&gt;"",
IF(O23=1,
IF(SUMPRODUCT(COUNTIF(クライアント抽出!P23:U23,クライアント抽出!P23:U23))&gt;COUNTA(クライアント抽出!P23:U23),
INDIRECT("数出表_Excel!"&amp;INDEX(_xlfn.UNIQUE(_xlfn._xlws.FILTER(クライアント抽出!P23:U23,COUNTIF(クライアント抽出!P23:U23,クライアント抽出!P23:U23)&gt;1)),1)&amp;L23&amp;""),0),クライアント抽出!E23),"")</f>
        <v/>
      </c>
      <c r="J23" s="52" t="str">
        <f>IF(C23&lt;&gt;"",
VLOOKUP(
"*"&amp;LEFT(IF(COUNTIF(D23,"*学食*"),"キャラ弁（学食）",
IF(COUNTIF(D23,"*赤*"),"赤",
IF(COUNTIF(D23,"*キャラ弁当*"),"キャラ弁当",D23))),4)&amp;"*",注文弁当の抽出!$E$1:$F$15,2,FALSE),"")</f>
        <v/>
      </c>
      <c r="K23" s="52" t="str">
        <f ca="1">IF(クライアント抽出!P23&lt;&gt;"",SUBSTITUTE(ADDRESS(1,(CODE(クライアント抽出!P23)-64)*2-1,4),"1",""),"")</f>
        <v/>
      </c>
      <c r="L23" s="52" t="str">
        <f>IF(C23&lt;&gt;"",クライアント抽出!I23,"")</f>
        <v/>
      </c>
      <c r="M23" s="52">
        <f t="array" aca="1" ref="M23" ca="1">IF(C23&lt;&gt;"",
IF(K23&lt;&gt;"",INDIRECT("'数出表_Excel（アレルギー入力）'!"&amp;K23&amp;L23-1&amp;""),),)</f>
        <v>0</v>
      </c>
      <c r="N23" s="52" t="str">
        <f>IF(C23&lt;&gt;"",IF(OR(COUNTIF('盛付札（関数）'!D23,"*赤*"),COUNTIF('盛付札（関数）'!D23,"*キャラ*")),1,
VLOOKUP("*"&amp;D23&amp;"*",商品マスタ一覧!D:H,5,FALSE)),"")</f>
        <v/>
      </c>
      <c r="O23" s="52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52">
        <f t="shared" si="0"/>
        <v>0</v>
      </c>
      <c r="Q23" s="52" t="b">
        <f t="shared" si="1"/>
        <v>0</v>
      </c>
      <c r="R23" s="203" t="str">
        <f t="array" aca="1" ref="R23" ca="1">IFERROR(SMALL(IF(P$1:P$307&lt;&gt;0,P$1:P$307),ROW(A23)),"")</f>
        <v/>
      </c>
      <c r="S23" s="203" t="str">
        <f t="array" aca="1" ref="S23" ca="1">IF($R23&lt;&gt;"",
SUBSTITUTE(SUBSTITUTE(INDIRECT("C"&amp;$R23&amp;"")," 週3ｺｰｽ","")," 週5ｺｰｽ",""),"")</f>
        <v/>
      </c>
      <c r="T23" s="203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204" t="str">
        <f t="array" aca="1" ref="U23" ca="1">IF($R23&lt;&gt;"",
INDIRECT("F"&amp;$R23&amp;""),"")</f>
        <v/>
      </c>
      <c r="V23" s="203" t="str">
        <f t="array" aca="1" ref="V23" ca="1">IF($R23&lt;&gt;"",
INDIRECT("G"&amp;$R23&amp;""),"")</f>
        <v/>
      </c>
      <c r="W23" s="203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IF(OR(COUNTIF(INDIRECT("B"&amp;R23&amp;""),"*雙葉先生*"),COUNTIF(INDIRECT("B"&amp;R23-1&amp;""),"*雙葉*")),INDIRECT("H"&amp;R23&amp;""),INDIRECT("H"&amp;R23&amp;"")+INDIRECT("H"&amp;MATCH("雙葉'",INDIRECT("B"&amp;R23+3&amp;":B210"),0)+2+R23&amp;"")),
IF(AND(LEFT(INDIRECT("B"&amp;R23&amp;""),2)="博多",COUNTIF(B:B,"*博多*")&gt;=2),
INDIRECT("H"&amp;R23&amp;"")+INDIRECT("H"&amp;MATCH("*"&amp;INDIRECT("B"&amp;R23&amp;"")&amp;"*",INDIRECT("B"&amp;R23+1&amp;":B210"),0)+R23&amp;""),
IF(AND(LEFT(INDIRECT("B"&amp;R23&amp;""),3)="奈良屋",COUNTIF(B:B,"*奈良屋*")&gt;=2),
INDIRECT("H"&amp;R23&amp;"")+INDIRECT("H"&amp;MATCH("*"&amp;INDIRECT("B"&amp;R23&amp;"")&amp;"*",INDIRECT("B"&amp;R23+1&amp;":B210"),0)+R23&amp;"")
+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INDIRECT("H"&amp;R23&amp;"")))),"")</f>
        <v/>
      </c>
      <c r="X23" s="203" t="str">
        <f t="array" aca="1" ref="X23" ca="1">IF($R23&lt;&gt;"",
INDIRECT(""&amp;IF(COLUMN(I23)&lt;=26,CHAR(COLUMN(I23)+64),CHAR(INT((COLUMN(I23)-1)/26)+64)&amp;CHAR(MOD(COLUMN(I23)-1,26)+65))&amp;$R23&amp;""),"")</f>
        <v/>
      </c>
      <c r="Y23" s="203" t="str">
        <f t="array" aca="1" ref="Y23" ca="1">IF($R23&lt;&gt;"",
INDIRECT(""&amp;IF(COLUMN(J23)&lt;=26,CHAR(COLUMN(J23)+64),CHAR(INT((COLUMN(J23)-1)/26)+64)&amp;CHAR(MOD(COLUMN(J23)-1,26)+65))&amp;$R23&amp;""),"")</f>
        <v/>
      </c>
      <c r="Z23" s="203" t="str">
        <f t="shared" ca="1" si="2"/>
        <v/>
      </c>
      <c r="AA23" s="203" t="str">
        <f t="shared" ca="1" si="3"/>
        <v/>
      </c>
      <c r="AB23" s="203" t="str">
        <f t="array" aca="1" ref="AB23" ca="1">IF($R23&lt;&gt;"",
IF(AND(COUNTIF(INDIRECT("B"&amp;R23&amp;""),"*雙葉*"),COUNTIF(B:B,"*雙葉*")&gt;=2),
INDIRECT("M"&amp;R23&amp;"")+INDIRECT("M"&amp;MATCH("雙葉'",INDIRECT("B"&amp;R23+1&amp;":B210"),0)+R23&amp;""),
IF(AND(LEFT(INDIRECT("B"&amp;R23&amp;""),2)="博多",COUNTIF(B:B,"*博多*")&gt;=2),
INDIRECT("M"&amp;R23&amp;"")+INDIRECT("M"&amp;MATCH("*"&amp;INDIRECT("B"&amp;R23&amp;"")&amp;"*",INDIRECT("B"&amp;R23+1&amp;":B210"),0)+R23&amp;""),
IF(AND(LEFT(INDIRECT("B"&amp;R23&amp;""),3)="奈良屋",COUNTIF(B:B,"*奈良屋*")&gt;=2),
INDIRECT("M"&amp;R23&amp;"")+INDIRECT("M"&amp;MATCH("*"&amp;INDIRECT("B"&amp;R23&amp;"")&amp;"*",INDIRECT("B"&amp;R23+1&amp;":B210"),0)+R23&amp;"")
+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INDIRECT("M"&amp;R23&amp;"")))),"")</f>
        <v/>
      </c>
      <c r="AC23" s="203" t="str">
        <f t="shared" ca="1" si="4"/>
        <v/>
      </c>
      <c r="AD23" s="51" t="str">
        <f t="shared" ca="1" si="5"/>
        <v/>
      </c>
      <c r="AE23" s="51" t="str">
        <f t="shared" ca="1" si="6"/>
        <v/>
      </c>
      <c r="AF23" s="51" t="str">
        <f t="shared" ca="1" si="7"/>
        <v/>
      </c>
      <c r="AG23" s="51" t="str">
        <f t="shared" ca="1" si="8"/>
        <v/>
      </c>
      <c r="AH23" s="191" t="str">
        <f t="shared" ca="1" si="9"/>
        <v/>
      </c>
      <c r="AI23" s="51" t="str">
        <f t="shared" ca="1" si="10"/>
        <v/>
      </c>
      <c r="AJ23" s="51" t="str">
        <f t="shared" ca="1" si="11"/>
        <v/>
      </c>
      <c r="AK23" s="51" t="str">
        <f t="shared" ca="1" si="12"/>
        <v/>
      </c>
      <c r="AL23" s="51" t="str">
        <f t="shared" ca="1" si="13"/>
        <v/>
      </c>
      <c r="AM23" s="51" t="str">
        <f t="shared" ca="1" si="14"/>
        <v/>
      </c>
      <c r="AN23" s="51" t="str">
        <f t="shared" ca="1" si="15"/>
        <v/>
      </c>
      <c r="AO23" s="51" t="str">
        <f t="shared" ca="1" si="16"/>
        <v/>
      </c>
      <c r="AP23" s="51" t="str">
        <f t="shared" ca="1" si="17"/>
        <v/>
      </c>
      <c r="AU23" s="51" t="str">
        <f t="shared" ca="1" si="18"/>
        <v/>
      </c>
    </row>
    <row r="24" spans="1:47" ht="22.2" customHeight="1">
      <c r="A24" s="177">
        <f t="shared" si="19"/>
        <v>53</v>
      </c>
      <c r="B24" s="52" t="str">
        <f t="shared" si="20"/>
        <v/>
      </c>
      <c r="C24" s="52" t="str">
        <f>IF(OR(クライアント抽出!B24&lt;&gt;"",クライアント抽出!E24&lt;&gt;""),クライアント抽出!A24,"")</f>
        <v/>
      </c>
      <c r="D24" s="52" t="str">
        <f t="array" aca="1" ref="D24" ca="1">IF(C24&lt;&gt;"",INDIRECT("クライアント抽出!"&amp;E24&amp;MATCH(C24,クライアント抽出!A:A,0)&amp;""),"")</f>
        <v/>
      </c>
      <c r="E24" s="52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53" t="str">
        <f ca="1">IF(D24&lt;&gt;"",
IF(COUNTIF(C24,"*雙葉*"),
IF(ROUND((H24-M24)
/IF(COUNTIF(D24,"*キャラ*"),
VLOOKUP("*キャラ*",商品マスタ一覧!$D:$E,2,FALSE),
IF(COUNTIF(D24,"*赤*"),
VLOOKUP("*赤*",商品マスタ一覧!$D:$E,2,FALSE),
VLOOKUP("*"&amp;D24&amp;"*",商品マスタ一覧!$D:$E,2,FALSE))),0)&lt;=0,1,
ROUND((H24-M24)
/IF(COUNTIF(D24,"*キャラ*"),
VLOOKUP("*キャラ*",商品マスタ一覧!$D:$E,2,FALSE),
IF(COUNTIF(D24,"*赤*"),
VLOOKUP("*赤*",商品マスタ一覧!$D:$E,2,FALSE),
VLOOKUP("*"&amp;D24&amp;"*",商品マスタ一覧!$D:$E,2,FALSE))),0)),
IF(OR(COUNTIF(D24,"*キャラ*"),COUNTIF(D24,"*赤*")),"",
IF(VLOOKUP("*"&amp;D24&amp;"*",商品マスタ一覧!$D:$E,2,FALSE)=0,"",
IF(ROUND((H24-M24)
/VLOOKUP("*"&amp;D24&amp;"*",商品マスタ一覧!$D:$E,2,FALSE),0)&lt;=0,1,
ROUND((H24-M24)
/VLOOKUP("*"&amp;D24&amp;"*",商品マスタ一覧!$D:$E,2,FALSE),0))))),"")</f>
        <v/>
      </c>
      <c r="G24" s="52" t="str">
        <f ca="1">IF(F24&lt;&gt;"",
IF(VALUE(H24-M24)&gt;VALUE(IF(COUNTIF(D24,"*キャラ*"),
VLOOKUP("*キャラ*",商品マスタ一覧!$D:$E,2,FALSE),
IF(COUNTIF(D24,"*赤*"),
VLOOKUP("*赤*",商品マスタ一覧!$D:$E,2,FALSE),
VLOOKUP("*"&amp;D24&amp;"*",商品マスタ一覧!$D:$E,2,FALSE)))*F24),
"+"&amp;(H24-M24)-IF(COUNTIF(D24,"*キャラ*"),
VLOOKUP("*キャラ*",商品マスタ一覧!$D:$E,2,FALSE),
IF(COUNTIF(D24,"*赤*"),
VLOOKUP("*赤*",商品マスタ一覧!$D:$E,2,FALSE),
VLOOKUP("*"&amp;D24&amp;"*",商品マスタ一覧!$D:$E,2,FALSE)))*F24,
(H24-M24)-IF(COUNTIF(D24,"*キャラ*"),
VLOOKUP("*キャラ*",商品マスタ一覧!$D:$E,2,FALSE),
IF(COUNTIF(D24,"*赤*"),
VLOOKUP("*赤*",商品マスタ一覧!$D:$E,2,FALSE),
VLOOKUP("*"&amp;D24&amp;"*",商品マスタ一覧!$D:$E,2,FALSE)))*F24),"")</f>
        <v/>
      </c>
      <c r="H24" s="175" t="str">
        <f>IF(C24&lt;&gt;"",
クライアント抽出!B24,"")</f>
        <v/>
      </c>
      <c r="I24" s="52" t="str">
        <f t="array" aca="1" ref="I24" ca="1">IF(C24&lt;&gt;"",
IF(O24=1,
IF(SUMPRODUCT(COUNTIF(クライアント抽出!P24:U24,クライアント抽出!P24:U24))&gt;COUNTA(クライアント抽出!P24:U24),
INDIRECT("数出表_Excel!"&amp;INDEX(_xlfn.UNIQUE(_xlfn._xlws.FILTER(クライアント抽出!P24:U24,COUNTIF(クライアント抽出!P24:U24,クライアント抽出!P24:U24)&gt;1)),1)&amp;L24&amp;""),0),クライアント抽出!E24),"")</f>
        <v/>
      </c>
      <c r="J24" s="52" t="str">
        <f>IF(C24&lt;&gt;"",
VLOOKUP(
"*"&amp;LEFT(IF(COUNTIF(D24,"*学食*"),"キャラ弁（学食）",
IF(COUNTIF(D24,"*赤*"),"赤",
IF(COUNTIF(D24,"*キャラ弁当*"),"キャラ弁当",D24))),4)&amp;"*",注文弁当の抽出!$E$1:$F$15,2,FALSE),"")</f>
        <v/>
      </c>
      <c r="K24" s="52" t="str">
        <f ca="1">IF(クライアント抽出!P24&lt;&gt;"",SUBSTITUTE(ADDRESS(1,(CODE(クライアント抽出!P24)-64)*2-1,4),"1",""),"")</f>
        <v/>
      </c>
      <c r="L24" s="52" t="str">
        <f>IF(C24&lt;&gt;"",クライアント抽出!I24,"")</f>
        <v/>
      </c>
      <c r="M24" s="52">
        <f t="array" aca="1" ref="M24" ca="1">IF(C24&lt;&gt;"",
IF(K24&lt;&gt;"",INDIRECT("'数出表_Excel（アレルギー入力）'!"&amp;K24&amp;L24-1&amp;""),),)</f>
        <v>0</v>
      </c>
      <c r="N24" s="52" t="str">
        <f>IF(C24&lt;&gt;"",IF(OR(COUNTIF('盛付札（関数）'!D24,"*赤*"),COUNTIF('盛付札（関数）'!D24,"*キャラ*")),1,
VLOOKUP("*"&amp;D24&amp;"*",商品マスタ一覧!D:H,5,FALSE)),"")</f>
        <v/>
      </c>
      <c r="O24" s="52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52">
        <f t="shared" si="0"/>
        <v>0</v>
      </c>
      <c r="Q24" s="52" t="b">
        <f t="shared" si="1"/>
        <v>0</v>
      </c>
      <c r="R24" s="203" t="str">
        <f t="array" aca="1" ref="R24" ca="1">IFERROR(SMALL(IF(P$1:P$307&lt;&gt;0,P$1:P$307),ROW(A24)),"")</f>
        <v/>
      </c>
      <c r="S24" s="203" t="str">
        <f t="array" aca="1" ref="S24" ca="1">IF($R24&lt;&gt;"",
SUBSTITUTE(SUBSTITUTE(INDIRECT("C"&amp;$R24&amp;"")," 週3ｺｰｽ","")," 週5ｺｰｽ",""),"")</f>
        <v/>
      </c>
      <c r="T24" s="203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204" t="str">
        <f t="array" aca="1" ref="U24" ca="1">IF($R24&lt;&gt;"",
INDIRECT("F"&amp;$R24&amp;""),"")</f>
        <v/>
      </c>
      <c r="V24" s="203" t="str">
        <f t="array" aca="1" ref="V24" ca="1">IF($R24&lt;&gt;"",
INDIRECT("G"&amp;$R24&amp;""),"")</f>
        <v/>
      </c>
      <c r="W24" s="203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IF(OR(COUNTIF(INDIRECT("B"&amp;R24&amp;""),"*雙葉先生*"),COUNTIF(INDIRECT("B"&amp;R24-1&amp;""),"*雙葉*")),INDIRECT("H"&amp;R24&amp;""),INDIRECT("H"&amp;R24&amp;"")+INDIRECT("H"&amp;MATCH("雙葉'",INDIRECT("B"&amp;R24+3&amp;":B210"),0)+2+R24&amp;"")),
IF(AND(LEFT(INDIRECT("B"&amp;R24&amp;""),2)="博多",COUNTIF(B:B,"*博多*")&gt;=2),
INDIRECT("H"&amp;R24&amp;"")+INDIRECT("H"&amp;MATCH("*"&amp;INDIRECT("B"&amp;R24&amp;"")&amp;"*",INDIRECT("B"&amp;R24+1&amp;":B210"),0)+R24&amp;""),
IF(AND(LEFT(INDIRECT("B"&amp;R24&amp;""),3)="奈良屋",COUNTIF(B:B,"*奈良屋*")&gt;=2),
INDIRECT("H"&amp;R24&amp;"")+INDIRECT("H"&amp;MATCH("*"&amp;INDIRECT("B"&amp;R24&amp;"")&amp;"*",INDIRECT("B"&amp;R24+1&amp;":B210"),0)+R24&amp;"")
+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INDIRECT("H"&amp;R24&amp;"")))),"")</f>
        <v/>
      </c>
      <c r="X24" s="203" t="str">
        <f t="array" aca="1" ref="X24" ca="1">IF($R24&lt;&gt;"",
INDIRECT(""&amp;IF(COLUMN(I24)&lt;=26,CHAR(COLUMN(I24)+64),CHAR(INT((COLUMN(I24)-1)/26)+64)&amp;CHAR(MOD(COLUMN(I24)-1,26)+65))&amp;$R24&amp;""),"")</f>
        <v/>
      </c>
      <c r="Y24" s="203" t="str">
        <f t="array" aca="1" ref="Y24" ca="1">IF($R24&lt;&gt;"",
INDIRECT(""&amp;IF(COLUMN(J24)&lt;=26,CHAR(COLUMN(J24)+64),CHAR(INT((COLUMN(J24)-1)/26)+64)&amp;CHAR(MOD(COLUMN(J24)-1,26)+65))&amp;$R24&amp;""),"")</f>
        <v/>
      </c>
      <c r="Z24" s="203" t="str">
        <f t="shared" ca="1" si="2"/>
        <v/>
      </c>
      <c r="AA24" s="203" t="str">
        <f t="shared" ca="1" si="3"/>
        <v/>
      </c>
      <c r="AB24" s="203" t="str">
        <f t="array" aca="1" ref="AB24" ca="1">IF($R24&lt;&gt;"",
IF(AND(COUNTIF(INDIRECT("B"&amp;R24&amp;""),"*雙葉*"),COUNTIF(B:B,"*雙葉*")&gt;=2),
INDIRECT("M"&amp;R24&amp;"")+INDIRECT("M"&amp;MATCH("雙葉'",INDIRECT("B"&amp;R24+1&amp;":B210"),0)+R24&amp;""),
IF(AND(LEFT(INDIRECT("B"&amp;R24&amp;""),2)="博多",COUNTIF(B:B,"*博多*")&gt;=2),
INDIRECT("M"&amp;R24&amp;"")+INDIRECT("M"&amp;MATCH("*"&amp;INDIRECT("B"&amp;R24&amp;"")&amp;"*",INDIRECT("B"&amp;R24+1&amp;":B210"),0)+R24&amp;""),
IF(AND(LEFT(INDIRECT("B"&amp;R24&amp;""),3)="奈良屋",COUNTIF(B:B,"*奈良屋*")&gt;=2),
INDIRECT("M"&amp;R24&amp;"")+INDIRECT("M"&amp;MATCH("*"&amp;INDIRECT("B"&amp;R24&amp;"")&amp;"*",INDIRECT("B"&amp;R24+1&amp;":B210"),0)+R24&amp;"")
+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INDIRECT("M"&amp;R24&amp;"")))),"")</f>
        <v/>
      </c>
      <c r="AC24" s="203" t="str">
        <f t="shared" ca="1" si="4"/>
        <v/>
      </c>
      <c r="AD24" s="51" t="str">
        <f t="shared" ca="1" si="5"/>
        <v/>
      </c>
      <c r="AE24" s="51" t="str">
        <f t="shared" ca="1" si="6"/>
        <v/>
      </c>
      <c r="AF24" s="51" t="str">
        <f t="shared" ca="1" si="7"/>
        <v/>
      </c>
      <c r="AG24" s="51" t="str">
        <f t="shared" ca="1" si="8"/>
        <v/>
      </c>
      <c r="AH24" s="191" t="str">
        <f t="shared" ca="1" si="9"/>
        <v/>
      </c>
      <c r="AI24" s="51" t="str">
        <f t="shared" ca="1" si="10"/>
        <v/>
      </c>
      <c r="AJ24" s="51" t="str">
        <f t="shared" ca="1" si="11"/>
        <v/>
      </c>
      <c r="AK24" s="51" t="str">
        <f t="shared" ca="1" si="12"/>
        <v/>
      </c>
      <c r="AL24" s="51" t="str">
        <f t="shared" ca="1" si="13"/>
        <v/>
      </c>
      <c r="AM24" s="51" t="str">
        <f t="shared" ca="1" si="14"/>
        <v/>
      </c>
      <c r="AN24" s="51" t="str">
        <f t="shared" ca="1" si="15"/>
        <v/>
      </c>
      <c r="AO24" s="51" t="str">
        <f t="shared" ca="1" si="16"/>
        <v/>
      </c>
      <c r="AP24" s="51" t="str">
        <f t="shared" ca="1" si="17"/>
        <v/>
      </c>
      <c r="AU24" s="51" t="str">
        <f t="shared" ca="1" si="18"/>
        <v/>
      </c>
    </row>
    <row r="25" spans="1:47" ht="18" customHeight="1">
      <c r="A25" s="177">
        <f t="shared" si="19"/>
        <v>55</v>
      </c>
      <c r="B25" s="52" t="str">
        <f t="shared" si="20"/>
        <v/>
      </c>
      <c r="C25" s="52" t="str">
        <f>IF(OR(クライアント抽出!B25&lt;&gt;"",クライアント抽出!E25&lt;&gt;""),クライアント抽出!A25,"")</f>
        <v/>
      </c>
      <c r="D25" s="52" t="str">
        <f t="array" aca="1" ref="D25" ca="1">IF(C25&lt;&gt;"",INDIRECT("クライアント抽出!"&amp;E25&amp;MATCH(C25,クライアント抽出!A:A,0)&amp;""),"")</f>
        <v/>
      </c>
      <c r="E25" s="52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53" t="str">
        <f ca="1">IF(D25&lt;&gt;"",
IF(COUNTIF(C25,"*雙葉*"),
IF(ROUND((H25-M25)
/IF(COUNTIF(D25,"*キャラ*"),
VLOOKUP("*キャラ*",商品マスタ一覧!$D:$E,2,FALSE),
IF(COUNTIF(D25,"*赤*"),
VLOOKUP("*赤*",商品マスタ一覧!$D:$E,2,FALSE),
VLOOKUP("*"&amp;D25&amp;"*",商品マスタ一覧!$D:$E,2,FALSE))),0)&lt;=0,1,
ROUND((H25-M25)
/IF(COUNTIF(D25,"*キャラ*"),
VLOOKUP("*キャラ*",商品マスタ一覧!$D:$E,2,FALSE),
IF(COUNTIF(D25,"*赤*"),
VLOOKUP("*赤*",商品マスタ一覧!$D:$E,2,FALSE),
VLOOKUP("*"&amp;D25&amp;"*",商品マスタ一覧!$D:$E,2,FALSE))),0)),
IF(OR(COUNTIF(D25,"*キャラ*"),COUNTIF(D25,"*赤*")),"",
IF(VLOOKUP("*"&amp;D25&amp;"*",商品マスタ一覧!$D:$E,2,FALSE)=0,"",
IF(ROUND((H25-M25)
/VLOOKUP("*"&amp;D25&amp;"*",商品マスタ一覧!$D:$E,2,FALSE),0)&lt;=0,1,
ROUND((H25-M25)
/VLOOKUP("*"&amp;D25&amp;"*",商品マスタ一覧!$D:$E,2,FALSE),0))))),"")</f>
        <v/>
      </c>
      <c r="G25" s="52" t="str">
        <f ca="1">IF(F25&lt;&gt;"",
IF(VALUE(H25-M25)&gt;VALUE(IF(COUNTIF(D25,"*キャラ*"),
VLOOKUP("*キャラ*",商品マスタ一覧!$D:$E,2,FALSE),
IF(COUNTIF(D25,"*赤*"),
VLOOKUP("*赤*",商品マスタ一覧!$D:$E,2,FALSE),
VLOOKUP("*"&amp;D25&amp;"*",商品マスタ一覧!$D:$E,2,FALSE)))*F25),
"+"&amp;(H25-M25)-IF(COUNTIF(D25,"*キャラ*"),
VLOOKUP("*キャラ*",商品マスタ一覧!$D:$E,2,FALSE),
IF(COUNTIF(D25,"*赤*"),
VLOOKUP("*赤*",商品マスタ一覧!$D:$E,2,FALSE),
VLOOKUP("*"&amp;D25&amp;"*",商品マスタ一覧!$D:$E,2,FALSE)))*F25,
(H25-M25)-IF(COUNTIF(D25,"*キャラ*"),
VLOOKUP("*キャラ*",商品マスタ一覧!$D:$E,2,FALSE),
IF(COUNTIF(D25,"*赤*"),
VLOOKUP("*赤*",商品マスタ一覧!$D:$E,2,FALSE),
VLOOKUP("*"&amp;D25&amp;"*",商品マスタ一覧!$D:$E,2,FALSE)))*F25),"")</f>
        <v/>
      </c>
      <c r="H25" s="175" t="str">
        <f>IF(C25&lt;&gt;"",
クライアント抽出!B25,"")</f>
        <v/>
      </c>
      <c r="I25" s="52" t="str">
        <f t="array" aca="1" ref="I25" ca="1">IF(C25&lt;&gt;"",
IF(O25=1,
IF(SUMPRODUCT(COUNTIF(クライアント抽出!P25:U25,クライアント抽出!P25:U25))&gt;COUNTA(クライアント抽出!P25:U25),
INDIRECT("数出表_Excel!"&amp;INDEX(_xlfn.UNIQUE(_xlfn._xlws.FILTER(クライアント抽出!P25:U25,COUNTIF(クライアント抽出!P25:U25,クライアント抽出!P25:U25)&gt;1)),1)&amp;L25&amp;""),0),クライアント抽出!E25),"")</f>
        <v/>
      </c>
      <c r="J25" s="52" t="str">
        <f>IF(C25&lt;&gt;"",
VLOOKUP(
"*"&amp;LEFT(IF(COUNTIF(D25,"*学食*"),"キャラ弁（学食）",
IF(COUNTIF(D25,"*赤*"),"赤",
IF(COUNTIF(D25,"*キャラ弁当*"),"キャラ弁当",D25))),4)&amp;"*",注文弁当の抽出!$E$1:$F$15,2,FALSE),"")</f>
        <v/>
      </c>
      <c r="K25" s="52" t="str">
        <f ca="1">IF(クライアント抽出!P25&lt;&gt;"",SUBSTITUTE(ADDRESS(1,(CODE(クライアント抽出!P25)-64)*2-1,4),"1",""),"")</f>
        <v/>
      </c>
      <c r="L25" s="52" t="str">
        <f>IF(C25&lt;&gt;"",クライアント抽出!I25,"")</f>
        <v/>
      </c>
      <c r="M25" s="52">
        <f t="array" aca="1" ref="M25" ca="1">IF(C25&lt;&gt;"",
IF(K25&lt;&gt;"",INDIRECT("'数出表_Excel（アレルギー入力）'!"&amp;K25&amp;L25-1&amp;""),),)</f>
        <v>0</v>
      </c>
      <c r="N25" s="52" t="str">
        <f>IF(C25&lt;&gt;"",IF(OR(COUNTIF('盛付札（関数）'!D25,"*赤*"),COUNTIF('盛付札（関数）'!D25,"*キャラ*")),1,
VLOOKUP("*"&amp;D25&amp;"*",商品マスタ一覧!D:H,5,FALSE)),"")</f>
        <v/>
      </c>
      <c r="O25" s="52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52">
        <f t="shared" si="0"/>
        <v>0</v>
      </c>
      <c r="Q25" s="52" t="b">
        <f t="shared" si="1"/>
        <v>0</v>
      </c>
      <c r="R25" s="203" t="str">
        <f t="array" aca="1" ref="R25" ca="1">IFERROR(SMALL(IF(P$1:P$307&lt;&gt;0,P$1:P$307),ROW(A25)),"")</f>
        <v/>
      </c>
      <c r="S25" s="203" t="str">
        <f t="array" aca="1" ref="S25" ca="1">IF($R25&lt;&gt;"",
SUBSTITUTE(SUBSTITUTE(INDIRECT("C"&amp;$R25&amp;"")," 週3ｺｰｽ","")," 週5ｺｰｽ",""),"")</f>
        <v/>
      </c>
      <c r="T25" s="203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204" t="str">
        <f t="array" aca="1" ref="U25" ca="1">IF($R25&lt;&gt;"",
INDIRECT("F"&amp;$R25&amp;""),"")</f>
        <v/>
      </c>
      <c r="V25" s="203" t="str">
        <f t="array" aca="1" ref="V25" ca="1">IF($R25&lt;&gt;"",
INDIRECT("G"&amp;$R25&amp;""),"")</f>
        <v/>
      </c>
      <c r="W25" s="203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IF(OR(COUNTIF(INDIRECT("B"&amp;R25&amp;""),"*雙葉先生*"),COUNTIF(INDIRECT("B"&amp;R25-1&amp;""),"*雙葉*")),INDIRECT("H"&amp;R25&amp;""),INDIRECT("H"&amp;R25&amp;"")+INDIRECT("H"&amp;MATCH("雙葉'",INDIRECT("B"&amp;R25+3&amp;":B210"),0)+2+R25&amp;"")),
IF(AND(LEFT(INDIRECT("B"&amp;R25&amp;""),2)="博多",COUNTIF(B:B,"*博多*")&gt;=2),
INDIRECT("H"&amp;R25&amp;"")+INDIRECT("H"&amp;MATCH("*"&amp;INDIRECT("B"&amp;R25&amp;"")&amp;"*",INDIRECT("B"&amp;R25+1&amp;":B210"),0)+R25&amp;""),
IF(AND(LEFT(INDIRECT("B"&amp;R25&amp;""),3)="奈良屋",COUNTIF(B:B,"*奈良屋*")&gt;=2),
INDIRECT("H"&amp;R25&amp;"")+INDIRECT("H"&amp;MATCH("*"&amp;INDIRECT("B"&amp;R25&amp;"")&amp;"*",INDIRECT("B"&amp;R25+1&amp;":B210"),0)+R25&amp;"")
+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INDIRECT("H"&amp;R25&amp;"")))),"")</f>
        <v/>
      </c>
      <c r="X25" s="203" t="str">
        <f t="array" aca="1" ref="X25" ca="1">IF($R25&lt;&gt;"",
INDIRECT(""&amp;IF(COLUMN(I25)&lt;=26,CHAR(COLUMN(I25)+64),CHAR(INT((COLUMN(I25)-1)/26)+64)&amp;CHAR(MOD(COLUMN(I25)-1,26)+65))&amp;$R25&amp;""),"")</f>
        <v/>
      </c>
      <c r="Y25" s="203" t="str">
        <f t="array" aca="1" ref="Y25" ca="1">IF($R25&lt;&gt;"",
INDIRECT(""&amp;IF(COLUMN(J25)&lt;=26,CHAR(COLUMN(J25)+64),CHAR(INT((COLUMN(J25)-1)/26)+64)&amp;CHAR(MOD(COLUMN(J25)-1,26)+65))&amp;$R25&amp;""),"")</f>
        <v/>
      </c>
      <c r="Z25" s="203" t="str">
        <f t="shared" ca="1" si="2"/>
        <v/>
      </c>
      <c r="AA25" s="203" t="str">
        <f t="shared" ca="1" si="3"/>
        <v/>
      </c>
      <c r="AB25" s="203" t="str">
        <f t="array" aca="1" ref="AB25" ca="1">IF($R25&lt;&gt;"",
IF(AND(COUNTIF(INDIRECT("B"&amp;R25&amp;""),"*雙葉*"),COUNTIF(B:B,"*雙葉*")&gt;=2),
INDIRECT("M"&amp;R25&amp;"")+INDIRECT("M"&amp;MATCH("雙葉'",INDIRECT("B"&amp;R25+1&amp;":B210"),0)+R25&amp;""),
IF(AND(LEFT(INDIRECT("B"&amp;R25&amp;""),2)="博多",COUNTIF(B:B,"*博多*")&gt;=2),
INDIRECT("M"&amp;R25&amp;"")+INDIRECT("M"&amp;MATCH("*"&amp;INDIRECT("B"&amp;R25&amp;"")&amp;"*",INDIRECT("B"&amp;R25+1&amp;":B210"),0)+R25&amp;""),
IF(AND(LEFT(INDIRECT("B"&amp;R25&amp;""),3)="奈良屋",COUNTIF(B:B,"*奈良屋*")&gt;=2),
INDIRECT("M"&amp;R25&amp;"")+INDIRECT("M"&amp;MATCH("*"&amp;INDIRECT("B"&amp;R25&amp;"")&amp;"*",INDIRECT("B"&amp;R25+1&amp;":B210"),0)+R25&amp;"")
+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INDIRECT("M"&amp;R25&amp;"")))),"")</f>
        <v/>
      </c>
      <c r="AC25" s="203" t="str">
        <f t="shared" ca="1" si="4"/>
        <v/>
      </c>
      <c r="AD25" s="51" t="str">
        <f t="shared" ca="1" si="5"/>
        <v/>
      </c>
      <c r="AE25" s="51" t="str">
        <f t="shared" ca="1" si="6"/>
        <v/>
      </c>
      <c r="AF25" s="51" t="str">
        <f t="shared" ca="1" si="7"/>
        <v/>
      </c>
      <c r="AG25" s="51" t="str">
        <f t="shared" ca="1" si="8"/>
        <v/>
      </c>
      <c r="AH25" s="191" t="str">
        <f t="shared" ca="1" si="9"/>
        <v/>
      </c>
      <c r="AI25" s="51" t="str">
        <f t="shared" ca="1" si="10"/>
        <v/>
      </c>
      <c r="AJ25" s="51" t="str">
        <f t="shared" ca="1" si="11"/>
        <v/>
      </c>
      <c r="AK25" s="51" t="str">
        <f t="shared" ca="1" si="12"/>
        <v/>
      </c>
      <c r="AL25" s="51" t="str">
        <f t="shared" ca="1" si="13"/>
        <v/>
      </c>
      <c r="AM25" s="51" t="str">
        <f t="shared" ca="1" si="14"/>
        <v/>
      </c>
      <c r="AN25" s="51" t="str">
        <f t="shared" ca="1" si="15"/>
        <v/>
      </c>
      <c r="AO25" s="51" t="str">
        <f t="shared" ca="1" si="16"/>
        <v/>
      </c>
      <c r="AP25" s="51" t="str">
        <f t="shared" ca="1" si="17"/>
        <v/>
      </c>
      <c r="AU25" s="51" t="str">
        <f t="shared" ca="1" si="18"/>
        <v/>
      </c>
    </row>
    <row r="26" spans="1:47" ht="18" customHeight="1">
      <c r="A26" s="177">
        <f t="shared" si="19"/>
        <v>57</v>
      </c>
      <c r="B26" s="52" t="str">
        <f t="shared" si="20"/>
        <v/>
      </c>
      <c r="C26" s="52" t="str">
        <f>IF(OR(クライアント抽出!B26&lt;&gt;"",クライアント抽出!E26&lt;&gt;""),クライアント抽出!A26,"")</f>
        <v/>
      </c>
      <c r="D26" s="52" t="str">
        <f t="array" aca="1" ref="D26" ca="1">IF(C26&lt;&gt;"",INDIRECT("クライアント抽出!"&amp;E26&amp;MATCH(C26,クライアント抽出!A:A,0)&amp;""),"")</f>
        <v/>
      </c>
      <c r="E26" s="52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53" t="str">
        <f ca="1">IF(D26&lt;&gt;"",
IF(COUNTIF(C26,"*雙葉*"),
IF(ROUND((H26-M26)
/IF(COUNTIF(D26,"*キャラ*"),
VLOOKUP("*キャラ*",商品マスタ一覧!$D:$E,2,FALSE),
IF(COUNTIF(D26,"*赤*"),
VLOOKUP("*赤*",商品マスタ一覧!$D:$E,2,FALSE),
VLOOKUP("*"&amp;D26&amp;"*",商品マスタ一覧!$D:$E,2,FALSE))),0)&lt;=0,1,
ROUND((H26-M26)
/IF(COUNTIF(D26,"*キャラ*"),
VLOOKUP("*キャラ*",商品マスタ一覧!$D:$E,2,FALSE),
IF(COUNTIF(D26,"*赤*"),
VLOOKUP("*赤*",商品マスタ一覧!$D:$E,2,FALSE),
VLOOKUP("*"&amp;D26&amp;"*",商品マスタ一覧!$D:$E,2,FALSE))),0)),
IF(OR(COUNTIF(D26,"*キャラ*"),COUNTIF(D26,"*赤*")),"",
IF(VLOOKUP("*"&amp;D26&amp;"*",商品マスタ一覧!$D:$E,2,FALSE)=0,"",
IF(ROUND((H26-M26)
/VLOOKUP("*"&amp;D26&amp;"*",商品マスタ一覧!$D:$E,2,FALSE),0)&lt;=0,1,
ROUND((H26-M26)
/VLOOKUP("*"&amp;D26&amp;"*",商品マスタ一覧!$D:$E,2,FALSE),0))))),"")</f>
        <v/>
      </c>
      <c r="G26" s="52" t="str">
        <f ca="1">IF(F26&lt;&gt;"",
IF(VALUE(H26-M26)&gt;VALUE(IF(COUNTIF(D26,"*キャラ*"),
VLOOKUP("*キャラ*",商品マスタ一覧!$D:$E,2,FALSE),
IF(COUNTIF(D26,"*赤*"),
VLOOKUP("*赤*",商品マスタ一覧!$D:$E,2,FALSE),
VLOOKUP("*"&amp;D26&amp;"*",商品マスタ一覧!$D:$E,2,FALSE)))*F26),
"+"&amp;(H26-M26)-IF(COUNTIF(D26,"*キャラ*"),
VLOOKUP("*キャラ*",商品マスタ一覧!$D:$E,2,FALSE),
IF(COUNTIF(D26,"*赤*"),
VLOOKUP("*赤*",商品マスタ一覧!$D:$E,2,FALSE),
VLOOKUP("*"&amp;D26&amp;"*",商品マスタ一覧!$D:$E,2,FALSE)))*F26,
(H26-M26)-IF(COUNTIF(D26,"*キャラ*"),
VLOOKUP("*キャラ*",商品マスタ一覧!$D:$E,2,FALSE),
IF(COUNTIF(D26,"*赤*"),
VLOOKUP("*赤*",商品マスタ一覧!$D:$E,2,FALSE),
VLOOKUP("*"&amp;D26&amp;"*",商品マスタ一覧!$D:$E,2,FALSE)))*F26),"")</f>
        <v/>
      </c>
      <c r="H26" s="175" t="str">
        <f>IF(C26&lt;&gt;"",
クライアント抽出!B26,"")</f>
        <v/>
      </c>
      <c r="I26" s="52" t="str">
        <f t="array" aca="1" ref="I26" ca="1">IF(C26&lt;&gt;"",
IF(O26=1,
IF(SUMPRODUCT(COUNTIF(クライアント抽出!P26:U26,クライアント抽出!P26:U26))&gt;COUNTA(クライアント抽出!P26:U26),
INDIRECT("数出表_Excel!"&amp;INDEX(_xlfn.UNIQUE(_xlfn._xlws.FILTER(クライアント抽出!P26:U26,COUNTIF(クライアント抽出!P26:U26,クライアント抽出!P26:U26)&gt;1)),1)&amp;L26&amp;""),0),クライアント抽出!E26),"")</f>
        <v/>
      </c>
      <c r="J26" s="52" t="str">
        <f>IF(C26&lt;&gt;"",
VLOOKUP(
"*"&amp;LEFT(IF(COUNTIF(D26,"*学食*"),"キャラ弁（学食）",
IF(COUNTIF(D26,"*赤*"),"赤",
IF(COUNTIF(D26,"*キャラ弁当*"),"キャラ弁当",D26))),4)&amp;"*",注文弁当の抽出!$E$1:$F$15,2,FALSE),"")</f>
        <v/>
      </c>
      <c r="K26" s="52" t="str">
        <f ca="1">IF(クライアント抽出!P26&lt;&gt;"",SUBSTITUTE(ADDRESS(1,(CODE(クライアント抽出!P26)-64)*2-1,4),"1",""),"")</f>
        <v/>
      </c>
      <c r="L26" s="52" t="str">
        <f>IF(C26&lt;&gt;"",クライアント抽出!I26,"")</f>
        <v/>
      </c>
      <c r="M26" s="52">
        <f t="array" aca="1" ref="M26" ca="1">IF(C26&lt;&gt;"",
IF(K26&lt;&gt;"",INDIRECT("'数出表_Excel（アレルギー入力）'!"&amp;K26&amp;L26-1&amp;""),),)</f>
        <v>0</v>
      </c>
      <c r="N26" s="52" t="str">
        <f>IF(C26&lt;&gt;"",IF(OR(COUNTIF('盛付札（関数）'!D26,"*赤*"),COUNTIF('盛付札（関数）'!D26,"*キャラ*")),1,
VLOOKUP("*"&amp;D26&amp;"*",商品マスタ一覧!D:H,5,FALSE)),"")</f>
        <v/>
      </c>
      <c r="O26" s="52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52">
        <f t="shared" si="0"/>
        <v>0</v>
      </c>
      <c r="Q26" s="52" t="b">
        <f t="shared" si="1"/>
        <v>0</v>
      </c>
      <c r="R26" s="203" t="str">
        <f t="array" aca="1" ref="R26" ca="1">IFERROR(SMALL(IF(P$1:P$307&lt;&gt;0,P$1:P$307),ROW(A26)),"")</f>
        <v/>
      </c>
      <c r="S26" s="203" t="str">
        <f t="array" aca="1" ref="S26" ca="1">IF($R26&lt;&gt;"",
SUBSTITUTE(SUBSTITUTE(INDIRECT("C"&amp;$R26&amp;"")," 週3ｺｰｽ","")," 週5ｺｰｽ",""),"")</f>
        <v/>
      </c>
      <c r="T26" s="203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204" t="str">
        <f t="array" aca="1" ref="U26" ca="1">IF($R26&lt;&gt;"",
INDIRECT("F"&amp;$R26&amp;""),"")</f>
        <v/>
      </c>
      <c r="V26" s="203" t="str">
        <f t="array" aca="1" ref="V26" ca="1">IF($R26&lt;&gt;"",
INDIRECT("G"&amp;$R26&amp;""),"")</f>
        <v/>
      </c>
      <c r="W26" s="203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IF(OR(COUNTIF(INDIRECT("B"&amp;R26&amp;""),"*雙葉先生*"),COUNTIF(INDIRECT("B"&amp;R26-1&amp;""),"*雙葉*")),INDIRECT("H"&amp;R26&amp;""),INDIRECT("H"&amp;R26&amp;"")+INDIRECT("H"&amp;MATCH("雙葉'",INDIRECT("B"&amp;R26+3&amp;":B210"),0)+2+R26&amp;"")),
IF(AND(LEFT(INDIRECT("B"&amp;R26&amp;""),2)="博多",COUNTIF(B:B,"*博多*")&gt;=2),
INDIRECT("H"&amp;R26&amp;"")+INDIRECT("H"&amp;MATCH("*"&amp;INDIRECT("B"&amp;R26&amp;"")&amp;"*",INDIRECT("B"&amp;R26+1&amp;":B210"),0)+R26&amp;""),
IF(AND(LEFT(INDIRECT("B"&amp;R26&amp;""),3)="奈良屋",COUNTIF(B:B,"*奈良屋*")&gt;=2),
INDIRECT("H"&amp;R26&amp;"")+INDIRECT("H"&amp;MATCH("*"&amp;INDIRECT("B"&amp;R26&amp;"")&amp;"*",INDIRECT("B"&amp;R26+1&amp;":B210"),0)+R26&amp;"")
+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INDIRECT("H"&amp;R26&amp;"")))),"")</f>
        <v/>
      </c>
      <c r="X26" s="203" t="str">
        <f t="array" aca="1" ref="X26" ca="1">IF($R26&lt;&gt;"",
INDIRECT(""&amp;IF(COLUMN(I26)&lt;=26,CHAR(COLUMN(I26)+64),CHAR(INT((COLUMN(I26)-1)/26)+64)&amp;CHAR(MOD(COLUMN(I26)-1,26)+65))&amp;$R26&amp;""),"")</f>
        <v/>
      </c>
      <c r="Y26" s="203" t="str">
        <f t="array" aca="1" ref="Y26" ca="1">IF($R26&lt;&gt;"",
INDIRECT(""&amp;IF(COLUMN(J26)&lt;=26,CHAR(COLUMN(J26)+64),CHAR(INT((COLUMN(J26)-1)/26)+64)&amp;CHAR(MOD(COLUMN(J26)-1,26)+65))&amp;$R26&amp;""),"")</f>
        <v/>
      </c>
      <c r="Z26" s="203" t="str">
        <f t="shared" ca="1" si="2"/>
        <v/>
      </c>
      <c r="AA26" s="203" t="str">
        <f t="shared" ca="1" si="3"/>
        <v/>
      </c>
      <c r="AB26" s="203" t="str">
        <f t="array" aca="1" ref="AB26" ca="1">IF($R26&lt;&gt;"",
IF(AND(COUNTIF(INDIRECT("B"&amp;R26&amp;""),"*雙葉*"),COUNTIF(B:B,"*雙葉*")&gt;=2),
INDIRECT("M"&amp;R26&amp;"")+INDIRECT("M"&amp;MATCH("雙葉'",INDIRECT("B"&amp;R26+1&amp;":B210"),0)+R26&amp;""),
IF(AND(LEFT(INDIRECT("B"&amp;R26&amp;""),2)="博多",COUNTIF(B:B,"*博多*")&gt;=2),
INDIRECT("M"&amp;R26&amp;"")+INDIRECT("M"&amp;MATCH("*"&amp;INDIRECT("B"&amp;R26&amp;"")&amp;"*",INDIRECT("B"&amp;R26+1&amp;":B210"),0)+R26&amp;""),
IF(AND(LEFT(INDIRECT("B"&amp;R26&amp;""),3)="奈良屋",COUNTIF(B:B,"*奈良屋*")&gt;=2),
INDIRECT("M"&amp;R26&amp;"")+INDIRECT("M"&amp;MATCH("*"&amp;INDIRECT("B"&amp;R26&amp;"")&amp;"*",INDIRECT("B"&amp;R26+1&amp;":B210"),0)+R26&amp;"")
+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INDIRECT("M"&amp;R26&amp;"")))),"")</f>
        <v/>
      </c>
      <c r="AC26" s="203" t="str">
        <f t="shared" ca="1" si="4"/>
        <v/>
      </c>
      <c r="AD26" s="51" t="str">
        <f t="shared" ca="1" si="5"/>
        <v/>
      </c>
      <c r="AE26" s="51" t="str">
        <f t="shared" ca="1" si="6"/>
        <v/>
      </c>
      <c r="AF26" s="51" t="str">
        <f t="shared" ca="1" si="7"/>
        <v/>
      </c>
      <c r="AG26" s="51" t="str">
        <f t="shared" ca="1" si="8"/>
        <v/>
      </c>
      <c r="AH26" s="191" t="str">
        <f t="shared" ca="1" si="9"/>
        <v/>
      </c>
      <c r="AI26" s="51" t="str">
        <f t="shared" ca="1" si="10"/>
        <v/>
      </c>
      <c r="AJ26" s="51" t="str">
        <f t="shared" ca="1" si="11"/>
        <v/>
      </c>
      <c r="AK26" s="51" t="str">
        <f t="shared" ca="1" si="12"/>
        <v/>
      </c>
      <c r="AL26" s="51" t="str">
        <f t="shared" ca="1" si="13"/>
        <v/>
      </c>
      <c r="AM26" s="51" t="str">
        <f t="shared" ca="1" si="14"/>
        <v/>
      </c>
      <c r="AN26" s="51" t="str">
        <f t="shared" ca="1" si="15"/>
        <v/>
      </c>
      <c r="AO26" s="51" t="str">
        <f t="shared" ca="1" si="16"/>
        <v/>
      </c>
      <c r="AP26" s="51" t="str">
        <f t="shared" ca="1" si="17"/>
        <v/>
      </c>
      <c r="AU26" s="51" t="str">
        <f t="shared" ca="1" si="18"/>
        <v/>
      </c>
    </row>
    <row r="27" spans="1:47" ht="22.2" customHeight="1">
      <c r="A27" s="177">
        <f t="shared" si="19"/>
        <v>59</v>
      </c>
      <c r="B27" s="52" t="str">
        <f t="shared" si="20"/>
        <v/>
      </c>
      <c r="C27" s="52" t="str">
        <f>IF(OR(クライアント抽出!B27&lt;&gt;"",クライアント抽出!E27&lt;&gt;""),クライアント抽出!A27,"")</f>
        <v/>
      </c>
      <c r="D27" s="52" t="str">
        <f t="array" aca="1" ref="D27" ca="1">IF(C27&lt;&gt;"",INDIRECT("クライアント抽出!"&amp;E27&amp;MATCH(C27,クライアント抽出!A:A,0)&amp;""),"")</f>
        <v/>
      </c>
      <c r="E27" s="52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53" t="str">
        <f ca="1">IF(D27&lt;&gt;"",
IF(COUNTIF(C27,"*雙葉*"),
IF(ROUND((H27-M27)
/IF(COUNTIF(D27,"*キャラ*"),
VLOOKUP("*キャラ*",商品マスタ一覧!$D:$E,2,FALSE),
IF(COUNTIF(D27,"*赤*"),
VLOOKUP("*赤*",商品マスタ一覧!$D:$E,2,FALSE),
VLOOKUP("*"&amp;D27&amp;"*",商品マスタ一覧!$D:$E,2,FALSE))),0)&lt;=0,1,
ROUND((H27-M27)
/IF(COUNTIF(D27,"*キャラ*"),
VLOOKUP("*キャラ*",商品マスタ一覧!$D:$E,2,FALSE),
IF(COUNTIF(D27,"*赤*"),
VLOOKUP("*赤*",商品マスタ一覧!$D:$E,2,FALSE),
VLOOKUP("*"&amp;D27&amp;"*",商品マスタ一覧!$D:$E,2,FALSE))),0)),
IF(OR(COUNTIF(D27,"*キャラ*"),COUNTIF(D27,"*赤*")),"",
IF(VLOOKUP("*"&amp;D27&amp;"*",商品マスタ一覧!$D:$E,2,FALSE)=0,"",
IF(ROUND((H27-M27)
/VLOOKUP("*"&amp;D27&amp;"*",商品マスタ一覧!$D:$E,2,FALSE),0)&lt;=0,1,
ROUND((H27-M27)
/VLOOKUP("*"&amp;D27&amp;"*",商品マスタ一覧!$D:$E,2,FALSE),0))))),"")</f>
        <v/>
      </c>
      <c r="G27" s="52" t="str">
        <f ca="1">IF(F27&lt;&gt;"",
IF(VALUE(H27-M27)&gt;VALUE(IF(COUNTIF(D27,"*キャラ*"),
VLOOKUP("*キャラ*",商品マスタ一覧!$D:$E,2,FALSE),
IF(COUNTIF(D27,"*赤*"),
VLOOKUP("*赤*",商品マスタ一覧!$D:$E,2,FALSE),
VLOOKUP("*"&amp;D27&amp;"*",商品マスタ一覧!$D:$E,2,FALSE)))*F27),
"+"&amp;(H27-M27)-IF(COUNTIF(D27,"*キャラ*"),
VLOOKUP("*キャラ*",商品マスタ一覧!$D:$E,2,FALSE),
IF(COUNTIF(D27,"*赤*"),
VLOOKUP("*赤*",商品マスタ一覧!$D:$E,2,FALSE),
VLOOKUP("*"&amp;D27&amp;"*",商品マスタ一覧!$D:$E,2,FALSE)))*F27,
(H27-M27)-IF(COUNTIF(D27,"*キャラ*"),
VLOOKUP("*キャラ*",商品マスタ一覧!$D:$E,2,FALSE),
IF(COUNTIF(D27,"*赤*"),
VLOOKUP("*赤*",商品マスタ一覧!$D:$E,2,FALSE),
VLOOKUP("*"&amp;D27&amp;"*",商品マスタ一覧!$D:$E,2,FALSE)))*F27),"")</f>
        <v/>
      </c>
      <c r="H27" s="175" t="str">
        <f>IF(C27&lt;&gt;"",
クライアント抽出!B27,"")</f>
        <v/>
      </c>
      <c r="I27" s="52" t="str">
        <f t="array" aca="1" ref="I27" ca="1">IF(C27&lt;&gt;"",
IF(O27=1,
IF(SUMPRODUCT(COUNTIF(クライアント抽出!P27:U27,クライアント抽出!P27:U27))&gt;COUNTA(クライアント抽出!P27:U27),
INDIRECT("数出表_Excel!"&amp;INDEX(_xlfn.UNIQUE(_xlfn._xlws.FILTER(クライアント抽出!P27:U27,COUNTIF(クライアント抽出!P27:U27,クライアント抽出!P27:U27)&gt;1)),1)&amp;L27&amp;""),0),クライアント抽出!E27),"")</f>
        <v/>
      </c>
      <c r="J27" s="52" t="str">
        <f>IF(C27&lt;&gt;"",
VLOOKUP(
"*"&amp;LEFT(IF(COUNTIF(D27,"*学食*"),"キャラ弁（学食）",
IF(COUNTIF(D27,"*赤*"),"赤",
IF(COUNTIF(D27,"*キャラ弁当*"),"キャラ弁当",D27))),4)&amp;"*",注文弁当の抽出!$E$1:$F$15,2,FALSE),"")</f>
        <v/>
      </c>
      <c r="K27" s="52" t="str">
        <f ca="1">IF(クライアント抽出!P27&lt;&gt;"",SUBSTITUTE(ADDRESS(1,(CODE(クライアント抽出!P27)-64)*2-1,4),"1",""),"")</f>
        <v/>
      </c>
      <c r="L27" s="52" t="str">
        <f>IF(C27&lt;&gt;"",クライアント抽出!I27,"")</f>
        <v/>
      </c>
      <c r="M27" s="52">
        <f t="array" aca="1" ref="M27" ca="1">IF(C27&lt;&gt;"",
IF(K27&lt;&gt;"",INDIRECT("'数出表_Excel（アレルギー入力）'!"&amp;K27&amp;L27-1&amp;""),),)</f>
        <v>0</v>
      </c>
      <c r="N27" s="52" t="str">
        <f>IF(C27&lt;&gt;"",IF(OR(COUNTIF('盛付札（関数）'!D27,"*赤*"),COUNTIF('盛付札（関数）'!D27,"*キャラ*")),1,
VLOOKUP("*"&amp;D27&amp;"*",商品マスタ一覧!D:H,5,FALSE)),"")</f>
        <v/>
      </c>
      <c r="O27" s="52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52">
        <f t="shared" si="0"/>
        <v>0</v>
      </c>
      <c r="Q27" s="52" t="b">
        <f t="shared" si="1"/>
        <v>0</v>
      </c>
      <c r="R27" s="203" t="str">
        <f t="array" aca="1" ref="R27" ca="1">IFERROR(SMALL(IF(P$1:P$307&lt;&gt;0,P$1:P$307),ROW(A27)),"")</f>
        <v/>
      </c>
      <c r="S27" s="203" t="str">
        <f t="array" aca="1" ref="S27" ca="1">IF($R27&lt;&gt;"",
SUBSTITUTE(SUBSTITUTE(INDIRECT("C"&amp;$R27&amp;"")," 週3ｺｰｽ","")," 週5ｺｰｽ",""),"")</f>
        <v/>
      </c>
      <c r="T27" s="203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204" t="str">
        <f t="array" aca="1" ref="U27" ca="1">IF($R27&lt;&gt;"",
INDIRECT("F"&amp;$R27&amp;""),"")</f>
        <v/>
      </c>
      <c r="V27" s="203" t="str">
        <f t="array" aca="1" ref="V27" ca="1">IF($R27&lt;&gt;"",
INDIRECT("G"&amp;$R27&amp;""),"")</f>
        <v/>
      </c>
      <c r="W27" s="203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IF(OR(COUNTIF(INDIRECT("B"&amp;R27&amp;""),"*雙葉先生*"),COUNTIF(INDIRECT("B"&amp;R27-1&amp;""),"*雙葉*")),INDIRECT("H"&amp;R27&amp;""),INDIRECT("H"&amp;R27&amp;"")+INDIRECT("H"&amp;MATCH("雙葉'",INDIRECT("B"&amp;R27+3&amp;":B210"),0)+2+R27&amp;"")),
IF(AND(LEFT(INDIRECT("B"&amp;R27&amp;""),2)="博多",COUNTIF(B:B,"*博多*")&gt;=2),
INDIRECT("H"&amp;R27&amp;"")+INDIRECT("H"&amp;MATCH("*"&amp;INDIRECT("B"&amp;R27&amp;"")&amp;"*",INDIRECT("B"&amp;R27+1&amp;":B210"),0)+R27&amp;""),
IF(AND(LEFT(INDIRECT("B"&amp;R27&amp;""),3)="奈良屋",COUNTIF(B:B,"*奈良屋*")&gt;=2),
INDIRECT("H"&amp;R27&amp;"")+INDIRECT("H"&amp;MATCH("*"&amp;INDIRECT("B"&amp;R27&amp;"")&amp;"*",INDIRECT("B"&amp;R27+1&amp;":B210"),0)+R27&amp;"")
+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INDIRECT("H"&amp;R27&amp;"")))),"")</f>
        <v/>
      </c>
      <c r="X27" s="203" t="str">
        <f t="array" aca="1" ref="X27" ca="1">IF($R27&lt;&gt;"",
INDIRECT(""&amp;IF(COLUMN(I27)&lt;=26,CHAR(COLUMN(I27)+64),CHAR(INT((COLUMN(I27)-1)/26)+64)&amp;CHAR(MOD(COLUMN(I27)-1,26)+65))&amp;$R27&amp;""),"")</f>
        <v/>
      </c>
      <c r="Y27" s="203" t="str">
        <f t="array" aca="1" ref="Y27" ca="1">IF($R27&lt;&gt;"",
INDIRECT(""&amp;IF(COLUMN(J27)&lt;=26,CHAR(COLUMN(J27)+64),CHAR(INT((COLUMN(J27)-1)/26)+64)&amp;CHAR(MOD(COLUMN(J27)-1,26)+65))&amp;$R27&amp;""),"")</f>
        <v/>
      </c>
      <c r="Z27" s="203" t="str">
        <f t="shared" ca="1" si="2"/>
        <v/>
      </c>
      <c r="AA27" s="203" t="str">
        <f t="shared" ca="1" si="3"/>
        <v/>
      </c>
      <c r="AB27" s="203" t="str">
        <f t="array" aca="1" ref="AB27" ca="1">IF($R27&lt;&gt;"",
IF(AND(COUNTIF(INDIRECT("B"&amp;R27&amp;""),"*雙葉*"),COUNTIF(B:B,"*雙葉*")&gt;=2),
INDIRECT("M"&amp;R27&amp;"")+INDIRECT("M"&amp;MATCH("雙葉'",INDIRECT("B"&amp;R27+1&amp;":B210"),0)+R27&amp;""),
IF(AND(LEFT(INDIRECT("B"&amp;R27&amp;""),2)="博多",COUNTIF(B:B,"*博多*")&gt;=2),
INDIRECT("M"&amp;R27&amp;"")+INDIRECT("M"&amp;MATCH("*"&amp;INDIRECT("B"&amp;R27&amp;"")&amp;"*",INDIRECT("B"&amp;R27+1&amp;":B210"),0)+R27&amp;""),
IF(AND(LEFT(INDIRECT("B"&amp;R27&amp;""),3)="奈良屋",COUNTIF(B:B,"*奈良屋*")&gt;=2),
INDIRECT("M"&amp;R27&amp;"")+INDIRECT("M"&amp;MATCH("*"&amp;INDIRECT("B"&amp;R27&amp;"")&amp;"*",INDIRECT("B"&amp;R27+1&amp;":B210"),0)+R27&amp;"")
+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INDIRECT("M"&amp;R27&amp;"")))),"")</f>
        <v/>
      </c>
      <c r="AC27" s="203" t="str">
        <f t="shared" ca="1" si="4"/>
        <v/>
      </c>
      <c r="AD27" s="51" t="str">
        <f t="shared" ca="1" si="5"/>
        <v/>
      </c>
      <c r="AE27" s="51" t="str">
        <f t="shared" ca="1" si="6"/>
        <v/>
      </c>
      <c r="AF27" s="51" t="str">
        <f t="shared" ca="1" si="7"/>
        <v/>
      </c>
      <c r="AG27" s="51" t="str">
        <f t="shared" ca="1" si="8"/>
        <v/>
      </c>
      <c r="AH27" s="191" t="str">
        <f t="shared" ca="1" si="9"/>
        <v/>
      </c>
      <c r="AI27" s="51" t="str">
        <f t="shared" ca="1" si="10"/>
        <v/>
      </c>
      <c r="AJ27" s="51" t="str">
        <f t="shared" ca="1" si="11"/>
        <v/>
      </c>
      <c r="AK27" s="51" t="str">
        <f t="shared" ca="1" si="12"/>
        <v/>
      </c>
      <c r="AL27" s="51" t="str">
        <f t="shared" ca="1" si="13"/>
        <v/>
      </c>
      <c r="AM27" s="51" t="str">
        <f t="shared" ca="1" si="14"/>
        <v/>
      </c>
      <c r="AN27" s="51" t="str">
        <f t="shared" ca="1" si="15"/>
        <v/>
      </c>
      <c r="AO27" s="51" t="str">
        <f t="shared" ca="1" si="16"/>
        <v/>
      </c>
      <c r="AP27" s="51" t="str">
        <f t="shared" ca="1" si="17"/>
        <v/>
      </c>
      <c r="AU27" s="51" t="str">
        <f t="shared" ca="1" si="18"/>
        <v/>
      </c>
    </row>
    <row r="28" spans="1:47" ht="21" customHeight="1">
      <c r="A28" s="177">
        <f t="shared" si="19"/>
        <v>61</v>
      </c>
      <c r="B28" s="52" t="str">
        <f t="shared" si="20"/>
        <v/>
      </c>
      <c r="C28" s="52" t="str">
        <f>IF(OR(クライアント抽出!B28&lt;&gt;"",クライアント抽出!E28&lt;&gt;""),クライアント抽出!A28,"")</f>
        <v/>
      </c>
      <c r="D28" s="52" t="str">
        <f t="array" aca="1" ref="D28" ca="1">IF(C28&lt;&gt;"",INDIRECT("クライアント抽出!"&amp;E28&amp;MATCH(C28,クライアント抽出!A:A,0)&amp;""),"")</f>
        <v/>
      </c>
      <c r="E28" s="52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53" t="str">
        <f ca="1">IF(D28&lt;&gt;"",
IF(COUNTIF(C28,"*雙葉*"),
IF(ROUND((H28-M28)
/IF(COUNTIF(D28,"*キャラ*"),
VLOOKUP("*キャラ*",商品マスタ一覧!$D:$E,2,FALSE),
IF(COUNTIF(D28,"*赤*"),
VLOOKUP("*赤*",商品マスタ一覧!$D:$E,2,FALSE),
VLOOKUP("*"&amp;D28&amp;"*",商品マスタ一覧!$D:$E,2,FALSE))),0)&lt;=0,1,
ROUND((H28-M28)
/IF(COUNTIF(D28,"*キャラ*"),
VLOOKUP("*キャラ*",商品マスタ一覧!$D:$E,2,FALSE),
IF(COUNTIF(D28,"*赤*"),
VLOOKUP("*赤*",商品マスタ一覧!$D:$E,2,FALSE),
VLOOKUP("*"&amp;D28&amp;"*",商品マスタ一覧!$D:$E,2,FALSE))),0)),
IF(OR(COUNTIF(D28,"*キャラ*"),COUNTIF(D28,"*赤*")),"",
IF(VLOOKUP("*"&amp;D28&amp;"*",商品マスタ一覧!$D:$E,2,FALSE)=0,"",
IF(ROUND((H28-M28)
/VLOOKUP("*"&amp;D28&amp;"*",商品マスタ一覧!$D:$E,2,FALSE),0)&lt;=0,1,
ROUND((H28-M28)
/VLOOKUP("*"&amp;D28&amp;"*",商品マスタ一覧!$D:$E,2,FALSE),0))))),"")</f>
        <v/>
      </c>
      <c r="G28" s="52" t="str">
        <f ca="1">IF(F28&lt;&gt;"",
IF(VALUE(H28-M28)&gt;VALUE(IF(COUNTIF(D28,"*キャラ*"),
VLOOKUP("*キャラ*",商品マスタ一覧!$D:$E,2,FALSE),
IF(COUNTIF(D28,"*赤*"),
VLOOKUP("*赤*",商品マスタ一覧!$D:$E,2,FALSE),
VLOOKUP("*"&amp;D28&amp;"*",商品マスタ一覧!$D:$E,2,FALSE)))*F28),
"+"&amp;(H28-M28)-IF(COUNTIF(D28,"*キャラ*"),
VLOOKUP("*キャラ*",商品マスタ一覧!$D:$E,2,FALSE),
IF(COUNTIF(D28,"*赤*"),
VLOOKUP("*赤*",商品マスタ一覧!$D:$E,2,FALSE),
VLOOKUP("*"&amp;D28&amp;"*",商品マスタ一覧!$D:$E,2,FALSE)))*F28,
(H28-M28)-IF(COUNTIF(D28,"*キャラ*"),
VLOOKUP("*キャラ*",商品マスタ一覧!$D:$E,2,FALSE),
IF(COUNTIF(D28,"*赤*"),
VLOOKUP("*赤*",商品マスタ一覧!$D:$E,2,FALSE),
VLOOKUP("*"&amp;D28&amp;"*",商品マスタ一覧!$D:$E,2,FALSE)))*F28),"")</f>
        <v/>
      </c>
      <c r="H28" s="175" t="str">
        <f>IF(C28&lt;&gt;"",
クライアント抽出!B28,"")</f>
        <v/>
      </c>
      <c r="I28" s="52" t="str">
        <f t="array" aca="1" ref="I28" ca="1">IF(C28&lt;&gt;"",
IF(O28=1,
IF(SUMPRODUCT(COUNTIF(クライアント抽出!P28:U28,クライアント抽出!P28:U28))&gt;COUNTA(クライアント抽出!P28:U28),
INDIRECT("数出表_Excel!"&amp;INDEX(_xlfn.UNIQUE(_xlfn._xlws.FILTER(クライアント抽出!P28:U28,COUNTIF(クライアント抽出!P28:U28,クライアント抽出!P28:U28)&gt;1)),1)&amp;L28&amp;""),0),クライアント抽出!E28),"")</f>
        <v/>
      </c>
      <c r="J28" s="52" t="str">
        <f>IF(C28&lt;&gt;"",
VLOOKUP(
"*"&amp;LEFT(IF(COUNTIF(D28,"*学食*"),"キャラ弁（学食）",
IF(COUNTIF(D28,"*赤*"),"赤",
IF(COUNTIF(D28,"*キャラ弁当*"),"キャラ弁当",D28))),4)&amp;"*",注文弁当の抽出!$E$1:$F$15,2,FALSE),"")</f>
        <v/>
      </c>
      <c r="K28" s="52" t="str">
        <f ca="1">IF(クライアント抽出!P28&lt;&gt;"",SUBSTITUTE(ADDRESS(1,(CODE(クライアント抽出!P28)-64)*2-1,4),"1",""),"")</f>
        <v/>
      </c>
      <c r="L28" s="52" t="str">
        <f>IF(C28&lt;&gt;"",クライアント抽出!I28,"")</f>
        <v/>
      </c>
      <c r="M28" s="52">
        <f t="array" aca="1" ref="M28" ca="1">IF(C28&lt;&gt;"",
IF(K28&lt;&gt;"",INDIRECT("'数出表_Excel（アレルギー入力）'!"&amp;K28&amp;L28-1&amp;""),),)</f>
        <v>0</v>
      </c>
      <c r="N28" s="52" t="str">
        <f>IF(C28&lt;&gt;"",IF(OR(COUNTIF('盛付札（関数）'!D28,"*赤*"),COUNTIF('盛付札（関数）'!D28,"*キャラ*")),1,
VLOOKUP("*"&amp;D28&amp;"*",商品マスタ一覧!D:H,5,FALSE)),"")</f>
        <v/>
      </c>
      <c r="O28" s="52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52">
        <f t="shared" si="0"/>
        <v>0</v>
      </c>
      <c r="Q28" s="52" t="b">
        <f t="shared" si="1"/>
        <v>0</v>
      </c>
      <c r="R28" s="203" t="str">
        <f t="array" aca="1" ref="R28" ca="1">IFERROR(SMALL(IF(P$1:P$307&lt;&gt;0,P$1:P$307),ROW(A28)),"")</f>
        <v/>
      </c>
      <c r="S28" s="203" t="str">
        <f t="array" aca="1" ref="S28" ca="1">IF($R28&lt;&gt;"",
SUBSTITUTE(SUBSTITUTE(INDIRECT("C"&amp;$R28&amp;"")," 週3ｺｰｽ","")," 週5ｺｰｽ",""),"")</f>
        <v/>
      </c>
      <c r="T28" s="203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204" t="str">
        <f t="array" aca="1" ref="U28" ca="1">IF($R28&lt;&gt;"",
INDIRECT("F"&amp;$R28&amp;""),"")</f>
        <v/>
      </c>
      <c r="V28" s="203" t="str">
        <f t="array" aca="1" ref="V28" ca="1">IF($R28&lt;&gt;"",
INDIRECT("G"&amp;$R28&amp;""),"")</f>
        <v/>
      </c>
      <c r="W28" s="203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IF(OR(COUNTIF(INDIRECT("B"&amp;R28&amp;""),"*雙葉先生*"),COUNTIF(INDIRECT("B"&amp;R28-1&amp;""),"*雙葉*")),INDIRECT("H"&amp;R28&amp;""),INDIRECT("H"&amp;R28&amp;"")+INDIRECT("H"&amp;MATCH("雙葉'",INDIRECT("B"&amp;R28+3&amp;":B210"),0)+2+R28&amp;"")),
IF(AND(LEFT(INDIRECT("B"&amp;R28&amp;""),2)="博多",COUNTIF(B:B,"*博多*")&gt;=2),
INDIRECT("H"&amp;R28&amp;"")+INDIRECT("H"&amp;MATCH("*"&amp;INDIRECT("B"&amp;R28&amp;"")&amp;"*",INDIRECT("B"&amp;R28+1&amp;":B210"),0)+R28&amp;""),
IF(AND(LEFT(INDIRECT("B"&amp;R28&amp;""),3)="奈良屋",COUNTIF(B:B,"*奈良屋*")&gt;=2),
INDIRECT("H"&amp;R28&amp;"")+INDIRECT("H"&amp;MATCH("*"&amp;INDIRECT("B"&amp;R28&amp;"")&amp;"*",INDIRECT("B"&amp;R28+1&amp;":B210"),0)+R28&amp;"")
+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INDIRECT("H"&amp;R28&amp;"")))),"")</f>
        <v/>
      </c>
      <c r="X28" s="203" t="str">
        <f t="array" aca="1" ref="X28" ca="1">IF($R28&lt;&gt;"",
INDIRECT(""&amp;IF(COLUMN(I28)&lt;=26,CHAR(COLUMN(I28)+64),CHAR(INT((COLUMN(I28)-1)/26)+64)&amp;CHAR(MOD(COLUMN(I28)-1,26)+65))&amp;$R28&amp;""),"")</f>
        <v/>
      </c>
      <c r="Y28" s="203" t="str">
        <f t="array" aca="1" ref="Y28" ca="1">IF($R28&lt;&gt;"",
INDIRECT(""&amp;IF(COLUMN(J28)&lt;=26,CHAR(COLUMN(J28)+64),CHAR(INT((COLUMN(J28)-1)/26)+64)&amp;CHAR(MOD(COLUMN(J28)-1,26)+65))&amp;$R28&amp;""),"")</f>
        <v/>
      </c>
      <c r="Z28" s="203" t="str">
        <f t="shared" ca="1" si="2"/>
        <v/>
      </c>
      <c r="AA28" s="203" t="str">
        <f t="shared" ca="1" si="3"/>
        <v/>
      </c>
      <c r="AB28" s="203" t="str">
        <f t="array" aca="1" ref="AB28" ca="1">IF($R28&lt;&gt;"",
IF(AND(COUNTIF(INDIRECT("B"&amp;R28&amp;""),"*雙葉*"),COUNTIF(B:B,"*雙葉*")&gt;=2),
INDIRECT("M"&amp;R28&amp;"")+INDIRECT("M"&amp;MATCH("雙葉'",INDIRECT("B"&amp;R28+1&amp;":B210"),0)+R28&amp;""),
IF(AND(LEFT(INDIRECT("B"&amp;R28&amp;""),2)="博多",COUNTIF(B:B,"*博多*")&gt;=2),
INDIRECT("M"&amp;R28&amp;"")+INDIRECT("M"&amp;MATCH("*"&amp;INDIRECT("B"&amp;R28&amp;"")&amp;"*",INDIRECT("B"&amp;R28+1&amp;":B210"),0)+R28&amp;""),
IF(AND(LEFT(INDIRECT("B"&amp;R28&amp;""),3)="奈良屋",COUNTIF(B:B,"*奈良屋*")&gt;=2),
INDIRECT("M"&amp;R28&amp;"")+INDIRECT("M"&amp;MATCH("*"&amp;INDIRECT("B"&amp;R28&amp;"")&amp;"*",INDIRECT("B"&amp;R28+1&amp;":B210"),0)+R28&amp;"")
+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INDIRECT("M"&amp;R28&amp;"")))),"")</f>
        <v/>
      </c>
      <c r="AC28" s="203" t="str">
        <f t="shared" ca="1" si="4"/>
        <v/>
      </c>
      <c r="AD28" s="51" t="str">
        <f t="shared" ca="1" si="5"/>
        <v/>
      </c>
      <c r="AE28" s="51" t="str">
        <f t="shared" ca="1" si="6"/>
        <v/>
      </c>
      <c r="AF28" s="51" t="str">
        <f t="shared" ca="1" si="7"/>
        <v/>
      </c>
      <c r="AG28" s="51" t="str">
        <f t="shared" ca="1" si="8"/>
        <v/>
      </c>
      <c r="AH28" s="191" t="str">
        <f t="shared" ca="1" si="9"/>
        <v/>
      </c>
      <c r="AI28" s="51" t="str">
        <f t="shared" ca="1" si="10"/>
        <v/>
      </c>
      <c r="AJ28" s="51" t="str">
        <f t="shared" ca="1" si="11"/>
        <v/>
      </c>
      <c r="AK28" s="51" t="str">
        <f t="shared" ca="1" si="12"/>
        <v/>
      </c>
      <c r="AL28" s="51" t="str">
        <f t="shared" ca="1" si="13"/>
        <v/>
      </c>
      <c r="AM28" s="51" t="str">
        <f t="shared" ca="1" si="14"/>
        <v/>
      </c>
      <c r="AN28" s="51" t="str">
        <f t="shared" ca="1" si="15"/>
        <v/>
      </c>
      <c r="AO28" s="51" t="str">
        <f t="shared" ca="1" si="16"/>
        <v/>
      </c>
      <c r="AP28" s="51" t="str">
        <f t="shared" ca="1" si="17"/>
        <v/>
      </c>
      <c r="AU28" s="51" t="str">
        <f t="shared" ca="1" si="18"/>
        <v/>
      </c>
    </row>
    <row r="29" spans="1:47" ht="18" customHeight="1">
      <c r="A29" s="177">
        <f t="shared" si="19"/>
        <v>63</v>
      </c>
      <c r="B29" s="52" t="str">
        <f t="shared" si="20"/>
        <v/>
      </c>
      <c r="C29" s="52" t="str">
        <f>IF(OR(クライアント抽出!B29&lt;&gt;"",クライアント抽出!E29&lt;&gt;""),クライアント抽出!A29,"")</f>
        <v/>
      </c>
      <c r="D29" s="52" t="str">
        <f t="array" aca="1" ref="D29" ca="1">IF(C29&lt;&gt;"",INDIRECT("クライアント抽出!"&amp;E29&amp;MATCH(C29,クライアント抽出!A:A,0)&amp;""),"")</f>
        <v/>
      </c>
      <c r="E29" s="52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53" t="str">
        <f ca="1">IF(D29&lt;&gt;"",
IF(COUNTIF(C29,"*雙葉*"),
IF(ROUND((H29-M29)
/IF(COUNTIF(D29,"*キャラ*"),
VLOOKUP("*キャラ*",商品マスタ一覧!$D:$E,2,FALSE),
IF(COUNTIF(D29,"*赤*"),
VLOOKUP("*赤*",商品マスタ一覧!$D:$E,2,FALSE),
VLOOKUP("*"&amp;D29&amp;"*",商品マスタ一覧!$D:$E,2,FALSE))),0)&lt;=0,1,
ROUND((H29-M29)
/IF(COUNTIF(D29,"*キャラ*"),
VLOOKUP("*キャラ*",商品マスタ一覧!$D:$E,2,FALSE),
IF(COUNTIF(D29,"*赤*"),
VLOOKUP("*赤*",商品マスタ一覧!$D:$E,2,FALSE),
VLOOKUP("*"&amp;D29&amp;"*",商品マスタ一覧!$D:$E,2,FALSE))),0)),
IF(OR(COUNTIF(D29,"*キャラ*"),COUNTIF(D29,"*赤*")),"",
IF(VLOOKUP("*"&amp;D29&amp;"*",商品マスタ一覧!$D:$E,2,FALSE)=0,"",
IF(ROUND((H29-M29)
/VLOOKUP("*"&amp;D29&amp;"*",商品マスタ一覧!$D:$E,2,FALSE),0)&lt;=0,1,
ROUND((H29-M29)
/VLOOKUP("*"&amp;D29&amp;"*",商品マスタ一覧!$D:$E,2,FALSE),0))))),"")</f>
        <v/>
      </c>
      <c r="G29" s="52" t="str">
        <f ca="1">IF(F29&lt;&gt;"",
IF(VALUE(H29-M29)&gt;VALUE(IF(COUNTIF(D29,"*キャラ*"),
VLOOKUP("*キャラ*",商品マスタ一覧!$D:$E,2,FALSE),
IF(COUNTIF(D29,"*赤*"),
VLOOKUP("*赤*",商品マスタ一覧!$D:$E,2,FALSE),
VLOOKUP("*"&amp;D29&amp;"*",商品マスタ一覧!$D:$E,2,FALSE)))*F29),
"+"&amp;(H29-M29)-IF(COUNTIF(D29,"*キャラ*"),
VLOOKUP("*キャラ*",商品マスタ一覧!$D:$E,2,FALSE),
IF(COUNTIF(D29,"*赤*"),
VLOOKUP("*赤*",商品マスタ一覧!$D:$E,2,FALSE),
VLOOKUP("*"&amp;D29&amp;"*",商品マスタ一覧!$D:$E,2,FALSE)))*F29,
(H29-M29)-IF(COUNTIF(D29,"*キャラ*"),
VLOOKUP("*キャラ*",商品マスタ一覧!$D:$E,2,FALSE),
IF(COUNTIF(D29,"*赤*"),
VLOOKUP("*赤*",商品マスタ一覧!$D:$E,2,FALSE),
VLOOKUP("*"&amp;D29&amp;"*",商品マスタ一覧!$D:$E,2,FALSE)))*F29),"")</f>
        <v/>
      </c>
      <c r="H29" s="175" t="str">
        <f>IF(C29&lt;&gt;"",
クライアント抽出!B29,"")</f>
        <v/>
      </c>
      <c r="I29" s="52" t="str">
        <f t="array" aca="1" ref="I29" ca="1">IF(C29&lt;&gt;"",
IF(O29=1,
IF(SUMPRODUCT(COUNTIF(クライアント抽出!P29:U29,クライアント抽出!P29:U29))&gt;COUNTA(クライアント抽出!P29:U29),
INDIRECT("数出表_Excel!"&amp;INDEX(_xlfn.UNIQUE(_xlfn._xlws.FILTER(クライアント抽出!P29:U29,COUNTIF(クライアント抽出!P29:U29,クライアント抽出!P29:U29)&gt;1)),1)&amp;L29&amp;""),0),クライアント抽出!E29),"")</f>
        <v/>
      </c>
      <c r="J29" s="52" t="str">
        <f>IF(C29&lt;&gt;"",
VLOOKUP(
"*"&amp;LEFT(IF(COUNTIF(D29,"*学食*"),"キャラ弁（学食）",
IF(COUNTIF(D29,"*赤*"),"赤",
IF(COUNTIF(D29,"*キャラ弁当*"),"キャラ弁当",D29))),4)&amp;"*",注文弁当の抽出!$E$1:$F$15,2,FALSE),"")</f>
        <v/>
      </c>
      <c r="K29" s="52" t="str">
        <f ca="1">IF(クライアント抽出!P29&lt;&gt;"",SUBSTITUTE(ADDRESS(1,(CODE(クライアント抽出!P29)-64)*2-1,4),"1",""),"")</f>
        <v/>
      </c>
      <c r="L29" s="52" t="str">
        <f>IF(C29&lt;&gt;"",クライアント抽出!I29,"")</f>
        <v/>
      </c>
      <c r="M29" s="52">
        <f t="array" aca="1" ref="M29" ca="1">IF(C29&lt;&gt;"",
IF(K29&lt;&gt;"",INDIRECT("'数出表_Excel（アレルギー入力）'!"&amp;K29&amp;L29-1&amp;""),),)</f>
        <v>0</v>
      </c>
      <c r="N29" s="52" t="str">
        <f>IF(C29&lt;&gt;"",IF(OR(COUNTIF('盛付札（関数）'!D29,"*赤*"),COUNTIF('盛付札（関数）'!D29,"*キャラ*")),1,
VLOOKUP("*"&amp;D29&amp;"*",商品マスタ一覧!D:H,5,FALSE)),"")</f>
        <v/>
      </c>
      <c r="O29" s="52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52">
        <f t="shared" si="0"/>
        <v>0</v>
      </c>
      <c r="Q29" s="52" t="b">
        <f t="shared" si="1"/>
        <v>0</v>
      </c>
      <c r="R29" s="203" t="str">
        <f t="array" aca="1" ref="R29" ca="1">IFERROR(SMALL(IF(P$1:P$307&lt;&gt;0,P$1:P$307),ROW(A29)),"")</f>
        <v/>
      </c>
      <c r="S29" s="203" t="str">
        <f t="array" aca="1" ref="S29" ca="1">IF($R29&lt;&gt;"",
SUBSTITUTE(SUBSTITUTE(INDIRECT("C"&amp;$R29&amp;"")," 週3ｺｰｽ","")," 週5ｺｰｽ",""),"")</f>
        <v/>
      </c>
      <c r="T29" s="203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204" t="str">
        <f t="array" aca="1" ref="U29" ca="1">IF($R29&lt;&gt;"",
INDIRECT("F"&amp;$R29&amp;""),"")</f>
        <v/>
      </c>
      <c r="V29" s="203" t="str">
        <f t="array" aca="1" ref="V29" ca="1">IF($R29&lt;&gt;"",
INDIRECT("G"&amp;$R29&amp;""),"")</f>
        <v/>
      </c>
      <c r="W29" s="203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IF(OR(COUNTIF(INDIRECT("B"&amp;R29&amp;""),"*雙葉先生*"),COUNTIF(INDIRECT("B"&amp;R29-1&amp;""),"*雙葉*")),INDIRECT("H"&amp;R29&amp;""),INDIRECT("H"&amp;R29&amp;"")+INDIRECT("H"&amp;MATCH("雙葉'",INDIRECT("B"&amp;R29+3&amp;":B210"),0)+2+R29&amp;"")),
IF(AND(LEFT(INDIRECT("B"&amp;R29&amp;""),2)="博多",COUNTIF(B:B,"*博多*")&gt;=2),
INDIRECT("H"&amp;R29&amp;"")+INDIRECT("H"&amp;MATCH("*"&amp;INDIRECT("B"&amp;R29&amp;"")&amp;"*",INDIRECT("B"&amp;R29+1&amp;":B210"),0)+R29&amp;""),
IF(AND(LEFT(INDIRECT("B"&amp;R29&amp;""),3)="奈良屋",COUNTIF(B:B,"*奈良屋*")&gt;=2),
INDIRECT("H"&amp;R29&amp;"")+INDIRECT("H"&amp;MATCH("*"&amp;INDIRECT("B"&amp;R29&amp;"")&amp;"*",INDIRECT("B"&amp;R29+1&amp;":B210"),0)+R29&amp;"")
+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INDIRECT("H"&amp;R29&amp;"")))),"")</f>
        <v/>
      </c>
      <c r="X29" s="203" t="str">
        <f t="array" aca="1" ref="X29" ca="1">IF($R29&lt;&gt;"",
INDIRECT(""&amp;IF(COLUMN(I29)&lt;=26,CHAR(COLUMN(I29)+64),CHAR(INT((COLUMN(I29)-1)/26)+64)&amp;CHAR(MOD(COLUMN(I29)-1,26)+65))&amp;$R29&amp;""),"")</f>
        <v/>
      </c>
      <c r="Y29" s="203" t="str">
        <f t="array" aca="1" ref="Y29" ca="1">IF($R29&lt;&gt;"",
INDIRECT(""&amp;IF(COLUMN(J29)&lt;=26,CHAR(COLUMN(J29)+64),CHAR(INT((COLUMN(J29)-1)/26)+64)&amp;CHAR(MOD(COLUMN(J29)-1,26)+65))&amp;$R29&amp;""),"")</f>
        <v/>
      </c>
      <c r="Z29" s="203" t="str">
        <f t="shared" ca="1" si="2"/>
        <v/>
      </c>
      <c r="AA29" s="203" t="str">
        <f t="shared" ca="1" si="3"/>
        <v/>
      </c>
      <c r="AB29" s="203" t="str">
        <f t="array" aca="1" ref="AB29" ca="1">IF($R29&lt;&gt;"",
IF(AND(COUNTIF(INDIRECT("B"&amp;R29&amp;""),"*雙葉*"),COUNTIF(B:B,"*雙葉*")&gt;=2),
INDIRECT("M"&amp;R29&amp;"")+INDIRECT("M"&amp;MATCH("雙葉'",INDIRECT("B"&amp;R29+1&amp;":B210"),0)+R29&amp;""),
IF(AND(LEFT(INDIRECT("B"&amp;R29&amp;""),2)="博多",COUNTIF(B:B,"*博多*")&gt;=2),
INDIRECT("M"&amp;R29&amp;"")+INDIRECT("M"&amp;MATCH("*"&amp;INDIRECT("B"&amp;R29&amp;"")&amp;"*",INDIRECT("B"&amp;R29+1&amp;":B210"),0)+R29&amp;""),
IF(AND(LEFT(INDIRECT("B"&amp;R29&amp;""),3)="奈良屋",COUNTIF(B:B,"*奈良屋*")&gt;=2),
INDIRECT("M"&amp;R29&amp;"")+INDIRECT("M"&amp;MATCH("*"&amp;INDIRECT("B"&amp;R29&amp;"")&amp;"*",INDIRECT("B"&amp;R29+1&amp;":B210"),0)+R29&amp;"")
+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INDIRECT("M"&amp;R29&amp;"")))),"")</f>
        <v/>
      </c>
      <c r="AC29" s="203" t="str">
        <f t="shared" ca="1" si="4"/>
        <v/>
      </c>
      <c r="AD29" s="51" t="str">
        <f t="shared" ca="1" si="5"/>
        <v/>
      </c>
      <c r="AE29" s="51" t="str">
        <f t="shared" ca="1" si="6"/>
        <v/>
      </c>
      <c r="AF29" s="51" t="str">
        <f t="shared" ca="1" si="7"/>
        <v/>
      </c>
      <c r="AG29" s="51" t="str">
        <f t="shared" ca="1" si="8"/>
        <v/>
      </c>
      <c r="AH29" s="191" t="str">
        <f t="shared" ca="1" si="9"/>
        <v/>
      </c>
      <c r="AI29" s="51" t="str">
        <f t="shared" ca="1" si="10"/>
        <v/>
      </c>
      <c r="AJ29" s="51" t="str">
        <f t="shared" ca="1" si="11"/>
        <v/>
      </c>
      <c r="AK29" s="51" t="str">
        <f t="shared" ca="1" si="12"/>
        <v/>
      </c>
      <c r="AL29" s="51" t="str">
        <f t="shared" ca="1" si="13"/>
        <v/>
      </c>
      <c r="AM29" s="51" t="str">
        <f t="shared" ca="1" si="14"/>
        <v/>
      </c>
      <c r="AN29" s="51" t="str">
        <f t="shared" ca="1" si="15"/>
        <v/>
      </c>
      <c r="AO29" s="51" t="str">
        <f t="shared" ca="1" si="16"/>
        <v/>
      </c>
      <c r="AP29" s="51" t="str">
        <f t="shared" ca="1" si="17"/>
        <v/>
      </c>
      <c r="AU29" s="51" t="str">
        <f t="shared" ca="1" si="18"/>
        <v/>
      </c>
    </row>
    <row r="30" spans="1:47" ht="18" customHeight="1">
      <c r="A30" s="177">
        <f t="shared" si="19"/>
        <v>65</v>
      </c>
      <c r="B30" s="52" t="str">
        <f t="shared" si="20"/>
        <v/>
      </c>
      <c r="C30" s="52" t="str">
        <f>IF(OR(クライアント抽出!B30&lt;&gt;"",クライアント抽出!E30&lt;&gt;""),クライアント抽出!A30,"")</f>
        <v/>
      </c>
      <c r="D30" s="52" t="str">
        <f t="array" aca="1" ref="D30" ca="1">IF(C30&lt;&gt;"",INDIRECT("クライアント抽出!"&amp;E30&amp;MATCH(C30,クライアント抽出!A:A,0)&amp;""),"")</f>
        <v/>
      </c>
      <c r="E30" s="52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53" t="str">
        <f ca="1">IF(D30&lt;&gt;"",
IF(COUNTIF(C30,"*雙葉*"),
IF(ROUND((H30-M30)
/IF(COUNTIF(D30,"*キャラ*"),
VLOOKUP("*キャラ*",商品マスタ一覧!$D:$E,2,FALSE),
IF(COUNTIF(D30,"*赤*"),
VLOOKUP("*赤*",商品マスタ一覧!$D:$E,2,FALSE),
VLOOKUP("*"&amp;D30&amp;"*",商品マスタ一覧!$D:$E,2,FALSE))),0)&lt;=0,1,
ROUND((H30-M30)
/IF(COUNTIF(D30,"*キャラ*"),
VLOOKUP("*キャラ*",商品マスタ一覧!$D:$E,2,FALSE),
IF(COUNTIF(D30,"*赤*"),
VLOOKUP("*赤*",商品マスタ一覧!$D:$E,2,FALSE),
VLOOKUP("*"&amp;D30&amp;"*",商品マスタ一覧!$D:$E,2,FALSE))),0)),
IF(OR(COUNTIF(D30,"*キャラ*"),COUNTIF(D30,"*赤*")),"",
IF(VLOOKUP("*"&amp;D30&amp;"*",商品マスタ一覧!$D:$E,2,FALSE)=0,"",
IF(ROUND((H30-M30)
/VLOOKUP("*"&amp;D30&amp;"*",商品マスタ一覧!$D:$E,2,FALSE),0)&lt;=0,1,
ROUND((H30-M30)
/VLOOKUP("*"&amp;D30&amp;"*",商品マスタ一覧!$D:$E,2,FALSE),0))))),"")</f>
        <v/>
      </c>
      <c r="G30" s="52" t="str">
        <f ca="1">IF(F30&lt;&gt;"",
IF(VALUE(H30-M30)&gt;VALUE(IF(COUNTIF(D30,"*キャラ*"),
VLOOKUP("*キャラ*",商品マスタ一覧!$D:$E,2,FALSE),
IF(COUNTIF(D30,"*赤*"),
VLOOKUP("*赤*",商品マスタ一覧!$D:$E,2,FALSE),
VLOOKUP("*"&amp;D30&amp;"*",商品マスタ一覧!$D:$E,2,FALSE)))*F30),
"+"&amp;(H30-M30)-IF(COUNTIF(D30,"*キャラ*"),
VLOOKUP("*キャラ*",商品マスタ一覧!$D:$E,2,FALSE),
IF(COUNTIF(D30,"*赤*"),
VLOOKUP("*赤*",商品マスタ一覧!$D:$E,2,FALSE),
VLOOKUP("*"&amp;D30&amp;"*",商品マスタ一覧!$D:$E,2,FALSE)))*F30,
(H30-M30)-IF(COUNTIF(D30,"*キャラ*"),
VLOOKUP("*キャラ*",商品マスタ一覧!$D:$E,2,FALSE),
IF(COUNTIF(D30,"*赤*"),
VLOOKUP("*赤*",商品マスタ一覧!$D:$E,2,FALSE),
VLOOKUP("*"&amp;D30&amp;"*",商品マスタ一覧!$D:$E,2,FALSE)))*F30),"")</f>
        <v/>
      </c>
      <c r="H30" s="175" t="str">
        <f>IF(C30&lt;&gt;"",
クライアント抽出!B30,"")</f>
        <v/>
      </c>
      <c r="I30" s="52" t="str">
        <f t="array" aca="1" ref="I30" ca="1">IF(C30&lt;&gt;"",
IF(O30=1,
IF(SUMPRODUCT(COUNTIF(クライアント抽出!P30:U30,クライアント抽出!P30:U30))&gt;COUNTA(クライアント抽出!P30:U30),
INDIRECT("数出表_Excel!"&amp;INDEX(_xlfn.UNIQUE(_xlfn._xlws.FILTER(クライアント抽出!P30:U30,COUNTIF(クライアント抽出!P30:U30,クライアント抽出!P30:U30)&gt;1)),1)&amp;L30&amp;""),0),クライアント抽出!E30),"")</f>
        <v/>
      </c>
      <c r="J30" s="52" t="str">
        <f>IF(C30&lt;&gt;"",
VLOOKUP(
"*"&amp;LEFT(IF(COUNTIF(D30,"*学食*"),"キャラ弁（学食）",
IF(COUNTIF(D30,"*赤*"),"赤",
IF(COUNTIF(D30,"*キャラ弁当*"),"キャラ弁当",D30))),4)&amp;"*",注文弁当の抽出!$E$1:$F$15,2,FALSE),"")</f>
        <v/>
      </c>
      <c r="K30" s="52" t="str">
        <f ca="1">IF(クライアント抽出!P30&lt;&gt;"",SUBSTITUTE(ADDRESS(1,(CODE(クライアント抽出!P30)-64)*2-1,4),"1",""),"")</f>
        <v/>
      </c>
      <c r="L30" s="52" t="str">
        <f>IF(C30&lt;&gt;"",クライアント抽出!I30,"")</f>
        <v/>
      </c>
      <c r="M30" s="52">
        <f t="array" aca="1" ref="M30" ca="1">IF(C30&lt;&gt;"",
IF(K30&lt;&gt;"",INDIRECT("'数出表_Excel（アレルギー入力）'!"&amp;K30&amp;L30-1&amp;""),),)</f>
        <v>0</v>
      </c>
      <c r="N30" s="52" t="str">
        <f>IF(C30&lt;&gt;"",IF(OR(COUNTIF('盛付札（関数）'!D30,"*赤*"),COUNTIF('盛付札（関数）'!D30,"*キャラ*")),1,
VLOOKUP("*"&amp;D30&amp;"*",商品マスタ一覧!D:H,5,FALSE)),"")</f>
        <v/>
      </c>
      <c r="O30" s="52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52">
        <f t="shared" si="0"/>
        <v>0</v>
      </c>
      <c r="Q30" s="52" t="b">
        <f t="shared" si="1"/>
        <v>0</v>
      </c>
      <c r="R30" s="203" t="str">
        <f t="array" aca="1" ref="R30" ca="1">IFERROR(SMALL(IF(P$1:P$307&lt;&gt;0,P$1:P$307),ROW(A30)),"")</f>
        <v/>
      </c>
      <c r="S30" s="203" t="str">
        <f t="array" aca="1" ref="S30" ca="1">IF($R30&lt;&gt;"",
SUBSTITUTE(SUBSTITUTE(INDIRECT("C"&amp;$R30&amp;"")," 週3ｺｰｽ","")," 週5ｺｰｽ",""),"")</f>
        <v/>
      </c>
      <c r="T30" s="203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204" t="str">
        <f t="array" aca="1" ref="U30" ca="1">IF($R30&lt;&gt;"",
INDIRECT("F"&amp;$R30&amp;""),"")</f>
        <v/>
      </c>
      <c r="V30" s="203" t="str">
        <f t="array" aca="1" ref="V30" ca="1">IF($R30&lt;&gt;"",
INDIRECT("G"&amp;$R30&amp;""),"")</f>
        <v/>
      </c>
      <c r="W30" s="203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IF(OR(COUNTIF(INDIRECT("B"&amp;R30&amp;""),"*雙葉先生*"),COUNTIF(INDIRECT("B"&amp;R30-1&amp;""),"*雙葉*")),INDIRECT("H"&amp;R30&amp;""),INDIRECT("H"&amp;R30&amp;"")+INDIRECT("H"&amp;MATCH("雙葉'",INDIRECT("B"&amp;R30+3&amp;":B210"),0)+2+R30&amp;"")),
IF(AND(LEFT(INDIRECT("B"&amp;R30&amp;""),2)="博多",COUNTIF(B:B,"*博多*")&gt;=2),
INDIRECT("H"&amp;R30&amp;"")+INDIRECT("H"&amp;MATCH("*"&amp;INDIRECT("B"&amp;R30&amp;"")&amp;"*",INDIRECT("B"&amp;R30+1&amp;":B210"),0)+R30&amp;""),
IF(AND(LEFT(INDIRECT("B"&amp;R30&amp;""),3)="奈良屋",COUNTIF(B:B,"*奈良屋*")&gt;=2),
INDIRECT("H"&amp;R30&amp;"")+INDIRECT("H"&amp;MATCH("*"&amp;INDIRECT("B"&amp;R30&amp;"")&amp;"*",INDIRECT("B"&amp;R30+1&amp;":B210"),0)+R30&amp;"")
+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INDIRECT("H"&amp;R30&amp;"")))),"")</f>
        <v/>
      </c>
      <c r="X30" s="203" t="str">
        <f t="array" aca="1" ref="X30" ca="1">IF($R30&lt;&gt;"",
INDIRECT(""&amp;IF(COLUMN(I30)&lt;=26,CHAR(COLUMN(I30)+64),CHAR(INT((COLUMN(I30)-1)/26)+64)&amp;CHAR(MOD(COLUMN(I30)-1,26)+65))&amp;$R30&amp;""),"")</f>
        <v/>
      </c>
      <c r="Y30" s="203" t="str">
        <f t="array" aca="1" ref="Y30" ca="1">IF($R30&lt;&gt;"",
INDIRECT(""&amp;IF(COLUMN(J30)&lt;=26,CHAR(COLUMN(J30)+64),CHAR(INT((COLUMN(J30)-1)/26)+64)&amp;CHAR(MOD(COLUMN(J30)-1,26)+65))&amp;$R30&amp;""),"")</f>
        <v/>
      </c>
      <c r="Z30" s="203" t="str">
        <f t="shared" ca="1" si="2"/>
        <v/>
      </c>
      <c r="AA30" s="203" t="str">
        <f t="shared" ca="1" si="3"/>
        <v/>
      </c>
      <c r="AB30" s="203" t="str">
        <f t="array" aca="1" ref="AB30" ca="1">IF($R30&lt;&gt;"",
IF(AND(COUNTIF(INDIRECT("B"&amp;R30&amp;""),"*雙葉*"),COUNTIF(B:B,"*雙葉*")&gt;=2),
INDIRECT("M"&amp;R30&amp;"")+INDIRECT("M"&amp;MATCH("雙葉'",INDIRECT("B"&amp;R30+1&amp;":B210"),0)+R30&amp;""),
IF(AND(LEFT(INDIRECT("B"&amp;R30&amp;""),2)="博多",COUNTIF(B:B,"*博多*")&gt;=2),
INDIRECT("M"&amp;R30&amp;"")+INDIRECT("M"&amp;MATCH("*"&amp;INDIRECT("B"&amp;R30&amp;"")&amp;"*",INDIRECT("B"&amp;R30+1&amp;":B210"),0)+R30&amp;""),
IF(AND(LEFT(INDIRECT("B"&amp;R30&amp;""),3)="奈良屋",COUNTIF(B:B,"*奈良屋*")&gt;=2),
INDIRECT("M"&amp;R30&amp;"")+INDIRECT("M"&amp;MATCH("*"&amp;INDIRECT("B"&amp;R30&amp;"")&amp;"*",INDIRECT("B"&amp;R30+1&amp;":B210"),0)+R30&amp;"")
+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INDIRECT("M"&amp;R30&amp;"")))),"")</f>
        <v/>
      </c>
      <c r="AC30" s="203" t="str">
        <f t="shared" ca="1" si="4"/>
        <v/>
      </c>
      <c r="AD30" s="51" t="str">
        <f t="shared" ca="1" si="5"/>
        <v/>
      </c>
      <c r="AE30" s="51" t="str">
        <f t="shared" ca="1" si="6"/>
        <v/>
      </c>
      <c r="AF30" s="51" t="str">
        <f t="shared" ca="1" si="7"/>
        <v/>
      </c>
      <c r="AG30" s="51" t="str">
        <f t="shared" ca="1" si="8"/>
        <v/>
      </c>
      <c r="AH30" s="191" t="str">
        <f t="shared" ca="1" si="9"/>
        <v/>
      </c>
      <c r="AI30" s="51" t="str">
        <f t="shared" ca="1" si="10"/>
        <v/>
      </c>
      <c r="AJ30" s="51" t="str">
        <f t="shared" ca="1" si="11"/>
        <v/>
      </c>
      <c r="AK30" s="51" t="str">
        <f t="shared" ca="1" si="12"/>
        <v/>
      </c>
      <c r="AL30" s="51" t="str">
        <f t="shared" ca="1" si="13"/>
        <v/>
      </c>
      <c r="AM30" s="51" t="str">
        <f t="shared" ca="1" si="14"/>
        <v/>
      </c>
      <c r="AN30" s="51" t="str">
        <f t="shared" ca="1" si="15"/>
        <v/>
      </c>
      <c r="AO30" s="51" t="str">
        <f t="shared" ca="1" si="16"/>
        <v/>
      </c>
      <c r="AP30" s="51" t="str">
        <f t="shared" ca="1" si="17"/>
        <v/>
      </c>
      <c r="AU30" s="51" t="str">
        <f t="shared" ca="1" si="18"/>
        <v/>
      </c>
    </row>
    <row r="31" spans="1:47" ht="22.2" customHeight="1">
      <c r="A31" s="177">
        <f t="shared" si="19"/>
        <v>67</v>
      </c>
      <c r="B31" s="52" t="str">
        <f t="shared" si="20"/>
        <v/>
      </c>
      <c r="C31" s="52" t="str">
        <f>IF(OR(クライアント抽出!B31&lt;&gt;"",クライアント抽出!E31&lt;&gt;""),クライアント抽出!A31,"")</f>
        <v/>
      </c>
      <c r="D31" s="52" t="str">
        <f t="array" aca="1" ref="D31" ca="1">IF(C31&lt;&gt;"",INDIRECT("クライアント抽出!"&amp;E31&amp;MATCH(C31,クライアント抽出!A:A,0)&amp;""),"")</f>
        <v/>
      </c>
      <c r="E31" s="52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53" t="str">
        <f ca="1">IF(D31&lt;&gt;"",
IF(COUNTIF(C31,"*雙葉*"),
IF(ROUND((H31-M31)
/IF(COUNTIF(D31,"*キャラ*"),
VLOOKUP("*キャラ*",商品マスタ一覧!$D:$E,2,FALSE),
IF(COUNTIF(D31,"*赤*"),
VLOOKUP("*赤*",商品マスタ一覧!$D:$E,2,FALSE),
VLOOKUP("*"&amp;D31&amp;"*",商品マスタ一覧!$D:$E,2,FALSE))),0)&lt;=0,1,
ROUND((H31-M31)
/IF(COUNTIF(D31,"*キャラ*"),
VLOOKUP("*キャラ*",商品マスタ一覧!$D:$E,2,FALSE),
IF(COUNTIF(D31,"*赤*"),
VLOOKUP("*赤*",商品マスタ一覧!$D:$E,2,FALSE),
VLOOKUP("*"&amp;D31&amp;"*",商品マスタ一覧!$D:$E,2,FALSE))),0)),
IF(OR(COUNTIF(D31,"*キャラ*"),COUNTIF(D31,"*赤*")),"",
IF(VLOOKUP("*"&amp;D31&amp;"*",商品マスタ一覧!$D:$E,2,FALSE)=0,"",
IF(ROUND((H31-M31)
/VLOOKUP("*"&amp;D31&amp;"*",商品マスタ一覧!$D:$E,2,FALSE),0)&lt;=0,1,
ROUND((H31-M31)
/VLOOKUP("*"&amp;D31&amp;"*",商品マスタ一覧!$D:$E,2,FALSE),0))))),"")</f>
        <v/>
      </c>
      <c r="G31" s="52" t="str">
        <f ca="1">IF(F31&lt;&gt;"",
IF(VALUE(H31-M31)&gt;VALUE(IF(COUNTIF(D31,"*キャラ*"),
VLOOKUP("*キャラ*",商品マスタ一覧!$D:$E,2,FALSE),
IF(COUNTIF(D31,"*赤*"),
VLOOKUP("*赤*",商品マスタ一覧!$D:$E,2,FALSE),
VLOOKUP("*"&amp;D31&amp;"*",商品マスタ一覧!$D:$E,2,FALSE)))*F31),
"+"&amp;(H31-M31)-IF(COUNTIF(D31,"*キャラ*"),
VLOOKUP("*キャラ*",商品マスタ一覧!$D:$E,2,FALSE),
IF(COUNTIF(D31,"*赤*"),
VLOOKUP("*赤*",商品マスタ一覧!$D:$E,2,FALSE),
VLOOKUP("*"&amp;D31&amp;"*",商品マスタ一覧!$D:$E,2,FALSE)))*F31,
(H31-M31)-IF(COUNTIF(D31,"*キャラ*"),
VLOOKUP("*キャラ*",商品マスタ一覧!$D:$E,2,FALSE),
IF(COUNTIF(D31,"*赤*"),
VLOOKUP("*赤*",商品マスタ一覧!$D:$E,2,FALSE),
VLOOKUP("*"&amp;D31&amp;"*",商品マスタ一覧!$D:$E,2,FALSE)))*F31),"")</f>
        <v/>
      </c>
      <c r="H31" s="175" t="str">
        <f>IF(C31&lt;&gt;"",
クライアント抽出!B31,"")</f>
        <v/>
      </c>
      <c r="I31" s="52" t="str">
        <f t="array" aca="1" ref="I31" ca="1">IF(C31&lt;&gt;"",
IF(O31=1,
IF(SUMPRODUCT(COUNTIF(クライアント抽出!P31:U31,クライアント抽出!P31:U31))&gt;COUNTA(クライアント抽出!P31:U31),
INDIRECT("数出表_Excel!"&amp;INDEX(_xlfn.UNIQUE(_xlfn._xlws.FILTER(クライアント抽出!P31:U31,COUNTIF(クライアント抽出!P31:U31,クライアント抽出!P31:U31)&gt;1)),1)&amp;L31&amp;""),0),クライアント抽出!E31),"")</f>
        <v/>
      </c>
      <c r="J31" s="52" t="str">
        <f>IF(C31&lt;&gt;"",
VLOOKUP(
"*"&amp;LEFT(IF(COUNTIF(D31,"*学食*"),"キャラ弁（学食）",
IF(COUNTIF(D31,"*赤*"),"赤",
IF(COUNTIF(D31,"*キャラ弁当*"),"キャラ弁当",D31))),4)&amp;"*",注文弁当の抽出!$E$1:$F$15,2,FALSE),"")</f>
        <v/>
      </c>
      <c r="K31" s="52" t="str">
        <f ca="1">IF(クライアント抽出!P31&lt;&gt;"",SUBSTITUTE(ADDRESS(1,(CODE(クライアント抽出!P31)-64)*2-1,4),"1",""),"")</f>
        <v/>
      </c>
      <c r="L31" s="52" t="str">
        <f>IF(C31&lt;&gt;"",クライアント抽出!I31,"")</f>
        <v/>
      </c>
      <c r="M31" s="52">
        <f t="array" aca="1" ref="M31" ca="1">IF(C31&lt;&gt;"",
IF(K31&lt;&gt;"",INDIRECT("'数出表_Excel（アレルギー入力）'!"&amp;K31&amp;L31-1&amp;""),),)</f>
        <v>0</v>
      </c>
      <c r="N31" s="52" t="str">
        <f>IF(C31&lt;&gt;"",IF(OR(COUNTIF('盛付札（関数）'!D31,"*赤*"),COUNTIF('盛付札（関数）'!D31,"*キャラ*")),1,
VLOOKUP("*"&amp;D31&amp;"*",商品マスタ一覧!D:H,5,FALSE)),"")</f>
        <v/>
      </c>
      <c r="O31" s="52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52">
        <f t="shared" si="0"/>
        <v>0</v>
      </c>
      <c r="Q31" s="52" t="b">
        <f t="shared" si="1"/>
        <v>0</v>
      </c>
      <c r="R31" s="203" t="str">
        <f t="array" aca="1" ref="R31" ca="1">IFERROR(SMALL(IF(P$1:P$307&lt;&gt;0,P$1:P$307),ROW(A31)),"")</f>
        <v/>
      </c>
      <c r="S31" s="203" t="str">
        <f t="array" aca="1" ref="S31" ca="1">IF($R31&lt;&gt;"",
SUBSTITUTE(SUBSTITUTE(INDIRECT("C"&amp;$R31&amp;"")," 週3ｺｰｽ","")," 週5ｺｰｽ",""),"")</f>
        <v/>
      </c>
      <c r="T31" s="203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204" t="str">
        <f t="array" aca="1" ref="U31" ca="1">IF($R31&lt;&gt;"",
INDIRECT("F"&amp;$R31&amp;""),"")</f>
        <v/>
      </c>
      <c r="V31" s="203" t="str">
        <f t="array" aca="1" ref="V31" ca="1">IF($R31&lt;&gt;"",
INDIRECT("G"&amp;$R31&amp;""),"")</f>
        <v/>
      </c>
      <c r="W31" s="203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IF(OR(COUNTIF(INDIRECT("B"&amp;R31&amp;""),"*雙葉先生*"),COUNTIF(INDIRECT("B"&amp;R31-1&amp;""),"*雙葉*")),INDIRECT("H"&amp;R31&amp;""),INDIRECT("H"&amp;R31&amp;"")+INDIRECT("H"&amp;MATCH("雙葉'",INDIRECT("B"&amp;R31+3&amp;":B210"),0)+2+R31&amp;"")),
IF(AND(LEFT(INDIRECT("B"&amp;R31&amp;""),2)="博多",COUNTIF(B:B,"*博多*")&gt;=2),
INDIRECT("H"&amp;R31&amp;"")+INDIRECT("H"&amp;MATCH("*"&amp;INDIRECT("B"&amp;R31&amp;"")&amp;"*",INDIRECT("B"&amp;R31+1&amp;":B210"),0)+R31&amp;""),
IF(AND(LEFT(INDIRECT("B"&amp;R31&amp;""),3)="奈良屋",COUNTIF(B:B,"*奈良屋*")&gt;=2),
INDIRECT("H"&amp;R31&amp;"")+INDIRECT("H"&amp;MATCH("*"&amp;INDIRECT("B"&amp;R31&amp;"")&amp;"*",INDIRECT("B"&amp;R31+1&amp;":B210"),0)+R31&amp;"")
+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INDIRECT("H"&amp;R31&amp;"")))),"")</f>
        <v/>
      </c>
      <c r="X31" s="203" t="str">
        <f t="array" aca="1" ref="X31" ca="1">IF($R31&lt;&gt;"",
INDIRECT(""&amp;IF(COLUMN(I31)&lt;=26,CHAR(COLUMN(I31)+64),CHAR(INT((COLUMN(I31)-1)/26)+64)&amp;CHAR(MOD(COLUMN(I31)-1,26)+65))&amp;$R31&amp;""),"")</f>
        <v/>
      </c>
      <c r="Y31" s="203" t="str">
        <f t="array" aca="1" ref="Y31" ca="1">IF($R31&lt;&gt;"",
INDIRECT(""&amp;IF(COLUMN(J31)&lt;=26,CHAR(COLUMN(J31)+64),CHAR(INT((COLUMN(J31)-1)/26)+64)&amp;CHAR(MOD(COLUMN(J31)-1,26)+65))&amp;$R31&amp;""),"")</f>
        <v/>
      </c>
      <c r="Z31" s="203" t="str">
        <f t="shared" ca="1" si="2"/>
        <v/>
      </c>
      <c r="AA31" s="203" t="str">
        <f t="shared" ca="1" si="3"/>
        <v/>
      </c>
      <c r="AB31" s="203" t="str">
        <f t="array" aca="1" ref="AB31" ca="1">IF($R31&lt;&gt;"",
IF(AND(COUNTIF(INDIRECT("B"&amp;R31&amp;""),"*雙葉*"),COUNTIF(B:B,"*雙葉*")&gt;=2),
INDIRECT("M"&amp;R31&amp;"")+INDIRECT("M"&amp;MATCH("雙葉'",INDIRECT("B"&amp;R31+1&amp;":B210"),0)+R31&amp;""),
IF(AND(LEFT(INDIRECT("B"&amp;R31&amp;""),2)="博多",COUNTIF(B:B,"*博多*")&gt;=2),
INDIRECT("M"&amp;R31&amp;"")+INDIRECT("M"&amp;MATCH("*"&amp;INDIRECT("B"&amp;R31&amp;"")&amp;"*",INDIRECT("B"&amp;R31+1&amp;":B210"),0)+R31&amp;""),
IF(AND(LEFT(INDIRECT("B"&amp;R31&amp;""),3)="奈良屋",COUNTIF(B:B,"*奈良屋*")&gt;=2),
INDIRECT("M"&amp;R31&amp;"")+INDIRECT("M"&amp;MATCH("*"&amp;INDIRECT("B"&amp;R31&amp;"")&amp;"*",INDIRECT("B"&amp;R31+1&amp;":B210"),0)+R31&amp;"")
+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INDIRECT("M"&amp;R31&amp;"")))),"")</f>
        <v/>
      </c>
      <c r="AC31" s="203" t="str">
        <f t="shared" ca="1" si="4"/>
        <v/>
      </c>
      <c r="AD31" s="51" t="str">
        <f t="shared" ca="1" si="5"/>
        <v/>
      </c>
      <c r="AE31" s="51" t="str">
        <f t="shared" ca="1" si="6"/>
        <v/>
      </c>
      <c r="AF31" s="51" t="str">
        <f t="shared" ca="1" si="7"/>
        <v/>
      </c>
      <c r="AG31" s="51" t="str">
        <f t="shared" ca="1" si="8"/>
        <v/>
      </c>
      <c r="AH31" s="191" t="str">
        <f t="shared" ca="1" si="9"/>
        <v/>
      </c>
      <c r="AI31" s="51" t="str">
        <f t="shared" ca="1" si="10"/>
        <v/>
      </c>
      <c r="AJ31" s="51" t="str">
        <f t="shared" ca="1" si="11"/>
        <v/>
      </c>
      <c r="AK31" s="51" t="str">
        <f t="shared" ca="1" si="12"/>
        <v/>
      </c>
      <c r="AL31" s="51" t="str">
        <f t="shared" ca="1" si="13"/>
        <v/>
      </c>
      <c r="AM31" s="51" t="str">
        <f t="shared" ca="1" si="14"/>
        <v/>
      </c>
      <c r="AN31" s="51" t="str">
        <f t="shared" ca="1" si="15"/>
        <v/>
      </c>
      <c r="AO31" s="51" t="str">
        <f t="shared" ca="1" si="16"/>
        <v/>
      </c>
      <c r="AP31" s="51" t="str">
        <f t="shared" ca="1" si="17"/>
        <v/>
      </c>
      <c r="AU31" s="51" t="str">
        <f t="shared" ca="1" si="18"/>
        <v/>
      </c>
    </row>
    <row r="32" spans="1:47" ht="18" customHeight="1">
      <c r="A32" s="177">
        <f t="shared" si="19"/>
        <v>69</v>
      </c>
      <c r="B32" s="52" t="str">
        <f t="shared" si="20"/>
        <v/>
      </c>
      <c r="C32" s="52" t="str">
        <f>IF(OR(クライアント抽出!B32&lt;&gt;"",クライアント抽出!E32&lt;&gt;""),クライアント抽出!A32,"")</f>
        <v/>
      </c>
      <c r="D32" s="52" t="str">
        <f t="array" aca="1" ref="D32" ca="1">IF(C32&lt;&gt;"",INDIRECT("クライアント抽出!"&amp;E32&amp;MATCH(C32,クライアント抽出!A:A,0)&amp;""),"")</f>
        <v/>
      </c>
      <c r="E32" s="52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53" t="str">
        <f ca="1">IF(D32&lt;&gt;"",
IF(COUNTIF(C32,"*雙葉*"),
IF(ROUND((H32-M32)
/IF(COUNTIF(D32,"*キャラ*"),
VLOOKUP("*キャラ*",商品マスタ一覧!$D:$E,2,FALSE),
IF(COUNTIF(D32,"*赤*"),
VLOOKUP("*赤*",商品マスタ一覧!$D:$E,2,FALSE),
VLOOKUP("*"&amp;D32&amp;"*",商品マスタ一覧!$D:$E,2,FALSE))),0)&lt;=0,1,
ROUND((H32-M32)
/IF(COUNTIF(D32,"*キャラ*"),
VLOOKUP("*キャラ*",商品マスタ一覧!$D:$E,2,FALSE),
IF(COUNTIF(D32,"*赤*"),
VLOOKUP("*赤*",商品マスタ一覧!$D:$E,2,FALSE),
VLOOKUP("*"&amp;D32&amp;"*",商品マスタ一覧!$D:$E,2,FALSE))),0)),
IF(OR(COUNTIF(D32,"*キャラ*"),COUNTIF(D32,"*赤*")),"",
IF(VLOOKUP("*"&amp;D32&amp;"*",商品マスタ一覧!$D:$E,2,FALSE)=0,"",
IF(ROUND((H32-M32)
/VLOOKUP("*"&amp;D32&amp;"*",商品マスタ一覧!$D:$E,2,FALSE),0)&lt;=0,1,
ROUND((H32-M32)
/VLOOKUP("*"&amp;D32&amp;"*",商品マスタ一覧!$D:$E,2,FALSE),0))))),"")</f>
        <v/>
      </c>
      <c r="G32" s="52" t="str">
        <f ca="1">IF(F32&lt;&gt;"",
IF(VALUE(H32-M32)&gt;VALUE(IF(COUNTIF(D32,"*キャラ*"),
VLOOKUP("*キャラ*",商品マスタ一覧!$D:$E,2,FALSE),
IF(COUNTIF(D32,"*赤*"),
VLOOKUP("*赤*",商品マスタ一覧!$D:$E,2,FALSE),
VLOOKUP("*"&amp;D32&amp;"*",商品マスタ一覧!$D:$E,2,FALSE)))*F32),
"+"&amp;(H32-M32)-IF(COUNTIF(D32,"*キャラ*"),
VLOOKUP("*キャラ*",商品マスタ一覧!$D:$E,2,FALSE),
IF(COUNTIF(D32,"*赤*"),
VLOOKUP("*赤*",商品マスタ一覧!$D:$E,2,FALSE),
VLOOKUP("*"&amp;D32&amp;"*",商品マスタ一覧!$D:$E,2,FALSE)))*F32,
(H32-M32)-IF(COUNTIF(D32,"*キャラ*"),
VLOOKUP("*キャラ*",商品マスタ一覧!$D:$E,2,FALSE),
IF(COUNTIF(D32,"*赤*"),
VLOOKUP("*赤*",商品マスタ一覧!$D:$E,2,FALSE),
VLOOKUP("*"&amp;D32&amp;"*",商品マスタ一覧!$D:$E,2,FALSE)))*F32),"")</f>
        <v/>
      </c>
      <c r="H32" s="175" t="str">
        <f>IF(C32&lt;&gt;"",
クライアント抽出!B32,"")</f>
        <v/>
      </c>
      <c r="I32" s="52" t="str">
        <f t="array" aca="1" ref="I32" ca="1">IF(C32&lt;&gt;"",
IF(O32=1,
IF(SUMPRODUCT(COUNTIF(クライアント抽出!P32:U32,クライアント抽出!P32:U32))&gt;COUNTA(クライアント抽出!P32:U32),
INDIRECT("数出表_Excel!"&amp;INDEX(_xlfn.UNIQUE(_xlfn._xlws.FILTER(クライアント抽出!P32:U32,COUNTIF(クライアント抽出!P32:U32,クライアント抽出!P32:U32)&gt;1)),1)&amp;L32&amp;""),0),クライアント抽出!E32),"")</f>
        <v/>
      </c>
      <c r="J32" s="52" t="str">
        <f>IF(C32&lt;&gt;"",
VLOOKUP(
"*"&amp;LEFT(IF(COUNTIF(D32,"*学食*"),"キャラ弁（学食）",
IF(COUNTIF(D32,"*赤*"),"赤",
IF(COUNTIF(D32,"*キャラ弁当*"),"キャラ弁当",D32))),4)&amp;"*",注文弁当の抽出!$E$1:$F$15,2,FALSE),"")</f>
        <v/>
      </c>
      <c r="K32" s="52" t="str">
        <f ca="1">IF(クライアント抽出!P32&lt;&gt;"",SUBSTITUTE(ADDRESS(1,(CODE(クライアント抽出!P32)-64)*2-1,4),"1",""),"")</f>
        <v/>
      </c>
      <c r="L32" s="52" t="str">
        <f>IF(C32&lt;&gt;"",クライアント抽出!I32,"")</f>
        <v/>
      </c>
      <c r="M32" s="52">
        <f t="array" aca="1" ref="M32" ca="1">IF(C32&lt;&gt;"",
IF(K32&lt;&gt;"",INDIRECT("'数出表_Excel（アレルギー入力）'!"&amp;K32&amp;L32-1&amp;""),),)</f>
        <v>0</v>
      </c>
      <c r="N32" s="52" t="str">
        <f>IF(C32&lt;&gt;"",IF(OR(COUNTIF('盛付札（関数）'!D32,"*赤*"),COUNTIF('盛付札（関数）'!D32,"*キャラ*")),1,
VLOOKUP("*"&amp;D32&amp;"*",商品マスタ一覧!D:H,5,FALSE)),"")</f>
        <v/>
      </c>
      <c r="O32" s="52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52">
        <f t="shared" si="0"/>
        <v>0</v>
      </c>
      <c r="Q32" s="52" t="b">
        <f t="shared" si="1"/>
        <v>0</v>
      </c>
      <c r="R32" s="203" t="str">
        <f t="array" aca="1" ref="R32" ca="1">IFERROR(SMALL(IF(P$1:P$307&lt;&gt;0,P$1:P$307),ROW(A32)),"")</f>
        <v/>
      </c>
      <c r="S32" s="203" t="str">
        <f t="array" aca="1" ref="S32" ca="1">IF($R32&lt;&gt;"",
SUBSTITUTE(SUBSTITUTE(INDIRECT("C"&amp;$R32&amp;"")," 週3ｺｰｽ","")," 週5ｺｰｽ",""),"")</f>
        <v/>
      </c>
      <c r="T32" s="203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204" t="str">
        <f t="array" aca="1" ref="U32" ca="1">IF($R32&lt;&gt;"",
INDIRECT("F"&amp;$R32&amp;""),"")</f>
        <v/>
      </c>
      <c r="V32" s="203" t="str">
        <f t="array" aca="1" ref="V32" ca="1">IF($R32&lt;&gt;"",
INDIRECT("G"&amp;$R32&amp;""),"")</f>
        <v/>
      </c>
      <c r="W32" s="203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IF(OR(COUNTIF(INDIRECT("B"&amp;R32&amp;""),"*雙葉先生*"),COUNTIF(INDIRECT("B"&amp;R32-1&amp;""),"*雙葉*")),INDIRECT("H"&amp;R32&amp;""),INDIRECT("H"&amp;R32&amp;"")+INDIRECT("H"&amp;MATCH("雙葉'",INDIRECT("B"&amp;R32+3&amp;":B210"),0)+2+R32&amp;"")),
IF(AND(LEFT(INDIRECT("B"&amp;R32&amp;""),2)="博多",COUNTIF(B:B,"*博多*")&gt;=2),
INDIRECT("H"&amp;R32&amp;"")+INDIRECT("H"&amp;MATCH("*"&amp;INDIRECT("B"&amp;R32&amp;"")&amp;"*",INDIRECT("B"&amp;R32+1&amp;":B210"),0)+R32&amp;""),
IF(AND(LEFT(INDIRECT("B"&amp;R32&amp;""),3)="奈良屋",COUNTIF(B:B,"*奈良屋*")&gt;=2),
INDIRECT("H"&amp;R32&amp;"")+INDIRECT("H"&amp;MATCH("*"&amp;INDIRECT("B"&amp;R32&amp;"")&amp;"*",INDIRECT("B"&amp;R32+1&amp;":B210"),0)+R32&amp;"")
+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INDIRECT("H"&amp;R32&amp;"")))),"")</f>
        <v/>
      </c>
      <c r="X32" s="203" t="str">
        <f t="array" aca="1" ref="X32" ca="1">IF($R32&lt;&gt;"",
INDIRECT(""&amp;IF(COLUMN(I32)&lt;=26,CHAR(COLUMN(I32)+64),CHAR(INT((COLUMN(I32)-1)/26)+64)&amp;CHAR(MOD(COLUMN(I32)-1,26)+65))&amp;$R32&amp;""),"")</f>
        <v/>
      </c>
      <c r="Y32" s="203" t="str">
        <f t="array" aca="1" ref="Y32" ca="1">IF($R32&lt;&gt;"",
INDIRECT(""&amp;IF(COLUMN(J32)&lt;=26,CHAR(COLUMN(J32)+64),CHAR(INT((COLUMN(J32)-1)/26)+64)&amp;CHAR(MOD(COLUMN(J32)-1,26)+65))&amp;$R32&amp;""),"")</f>
        <v/>
      </c>
      <c r="Z32" s="203" t="str">
        <f t="shared" ca="1" si="2"/>
        <v/>
      </c>
      <c r="AA32" s="203" t="str">
        <f t="shared" ca="1" si="3"/>
        <v/>
      </c>
      <c r="AB32" s="203" t="str">
        <f t="array" aca="1" ref="AB32" ca="1">IF($R32&lt;&gt;"",
IF(AND(COUNTIF(INDIRECT("B"&amp;R32&amp;""),"*雙葉*"),COUNTIF(B:B,"*雙葉*")&gt;=2),
INDIRECT("M"&amp;R32&amp;"")+INDIRECT("M"&amp;MATCH("雙葉'",INDIRECT("B"&amp;R32+1&amp;":B210"),0)+R32&amp;""),
IF(AND(LEFT(INDIRECT("B"&amp;R32&amp;""),2)="博多",COUNTIF(B:B,"*博多*")&gt;=2),
INDIRECT("M"&amp;R32&amp;"")+INDIRECT("M"&amp;MATCH("*"&amp;INDIRECT("B"&amp;R32&amp;"")&amp;"*",INDIRECT("B"&amp;R32+1&amp;":B210"),0)+R32&amp;""),
IF(AND(LEFT(INDIRECT("B"&amp;R32&amp;""),3)="奈良屋",COUNTIF(B:B,"*奈良屋*")&gt;=2),
INDIRECT("M"&amp;R32&amp;"")+INDIRECT("M"&amp;MATCH("*"&amp;INDIRECT("B"&amp;R32&amp;"")&amp;"*",INDIRECT("B"&amp;R32+1&amp;":B210"),0)+R32&amp;"")
+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INDIRECT("M"&amp;R32&amp;"")))),"")</f>
        <v/>
      </c>
      <c r="AC32" s="203" t="str">
        <f t="shared" ca="1" si="4"/>
        <v/>
      </c>
      <c r="AD32" s="51" t="str">
        <f t="shared" ca="1" si="5"/>
        <v/>
      </c>
      <c r="AE32" s="51" t="str">
        <f t="shared" ca="1" si="6"/>
        <v/>
      </c>
      <c r="AF32" s="51" t="str">
        <f t="shared" ca="1" si="7"/>
        <v/>
      </c>
      <c r="AG32" s="51" t="str">
        <f t="shared" ca="1" si="8"/>
        <v/>
      </c>
      <c r="AH32" s="191" t="str">
        <f t="shared" ca="1" si="9"/>
        <v/>
      </c>
      <c r="AI32" s="51" t="str">
        <f t="shared" ca="1" si="10"/>
        <v/>
      </c>
      <c r="AJ32" s="51" t="str">
        <f t="shared" ca="1" si="11"/>
        <v/>
      </c>
      <c r="AK32" s="51" t="str">
        <f t="shared" ca="1" si="12"/>
        <v/>
      </c>
      <c r="AL32" s="51" t="str">
        <f t="shared" ca="1" si="13"/>
        <v/>
      </c>
      <c r="AM32" s="51" t="str">
        <f t="shared" ca="1" si="14"/>
        <v/>
      </c>
      <c r="AN32" s="51" t="str">
        <f t="shared" ca="1" si="15"/>
        <v/>
      </c>
      <c r="AO32" s="51" t="str">
        <f t="shared" ca="1" si="16"/>
        <v/>
      </c>
      <c r="AP32" s="51" t="str">
        <f t="shared" ca="1" si="17"/>
        <v/>
      </c>
      <c r="AU32" s="51" t="str">
        <f t="shared" ca="1" si="18"/>
        <v/>
      </c>
    </row>
    <row r="33" spans="1:47" ht="18" customHeight="1">
      <c r="A33" s="177">
        <f t="shared" si="19"/>
        <v>71</v>
      </c>
      <c r="B33" s="52" t="str">
        <f t="shared" si="20"/>
        <v/>
      </c>
      <c r="C33" s="52" t="str">
        <f>IF(OR(クライアント抽出!B33&lt;&gt;"",クライアント抽出!E33&lt;&gt;""),クライアント抽出!A33,"")</f>
        <v/>
      </c>
      <c r="D33" s="52" t="str">
        <f t="array" aca="1" ref="D33" ca="1">IF(C33&lt;&gt;"",INDIRECT("クライアント抽出!"&amp;E33&amp;MATCH(C33,クライアント抽出!A:A,0)&amp;""),"")</f>
        <v/>
      </c>
      <c r="E33" s="52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53" t="str">
        <f ca="1">IF(D33&lt;&gt;"",
IF(COUNTIF(C33,"*雙葉*"),
IF(ROUND((H33-M33)
/IF(COUNTIF(D33,"*キャラ*"),
VLOOKUP("*キャラ*",商品マスタ一覧!$D:$E,2,FALSE),
IF(COUNTIF(D33,"*赤*"),
VLOOKUP("*赤*",商品マスタ一覧!$D:$E,2,FALSE),
VLOOKUP("*"&amp;D33&amp;"*",商品マスタ一覧!$D:$E,2,FALSE))),0)&lt;=0,1,
ROUND((H33-M33)
/IF(COUNTIF(D33,"*キャラ*"),
VLOOKUP("*キャラ*",商品マスタ一覧!$D:$E,2,FALSE),
IF(COUNTIF(D33,"*赤*"),
VLOOKUP("*赤*",商品マスタ一覧!$D:$E,2,FALSE),
VLOOKUP("*"&amp;D33&amp;"*",商品マスタ一覧!$D:$E,2,FALSE))),0)),
IF(OR(COUNTIF(D33,"*キャラ*"),COUNTIF(D33,"*赤*")),"",
IF(VLOOKUP("*"&amp;D33&amp;"*",商品マスタ一覧!$D:$E,2,FALSE)=0,"",
IF(ROUND((H33-M33)
/VLOOKUP("*"&amp;D33&amp;"*",商品マスタ一覧!$D:$E,2,FALSE),0)&lt;=0,1,
ROUND((H33-M33)
/VLOOKUP("*"&amp;D33&amp;"*",商品マスタ一覧!$D:$E,2,FALSE),0))))),"")</f>
        <v/>
      </c>
      <c r="G33" s="52" t="str">
        <f ca="1">IF(F33&lt;&gt;"",
IF(VALUE(H33-M33)&gt;VALUE(IF(COUNTIF(D33,"*キャラ*"),
VLOOKUP("*キャラ*",商品マスタ一覧!$D:$E,2,FALSE),
IF(COUNTIF(D33,"*赤*"),
VLOOKUP("*赤*",商品マスタ一覧!$D:$E,2,FALSE),
VLOOKUP("*"&amp;D33&amp;"*",商品マスタ一覧!$D:$E,2,FALSE)))*F33),
"+"&amp;(H33-M33)-IF(COUNTIF(D33,"*キャラ*"),
VLOOKUP("*キャラ*",商品マスタ一覧!$D:$E,2,FALSE),
IF(COUNTIF(D33,"*赤*"),
VLOOKUP("*赤*",商品マスタ一覧!$D:$E,2,FALSE),
VLOOKUP("*"&amp;D33&amp;"*",商品マスタ一覧!$D:$E,2,FALSE)))*F33,
(H33-M33)-IF(COUNTIF(D33,"*キャラ*"),
VLOOKUP("*キャラ*",商品マスタ一覧!$D:$E,2,FALSE),
IF(COUNTIF(D33,"*赤*"),
VLOOKUP("*赤*",商品マスタ一覧!$D:$E,2,FALSE),
VLOOKUP("*"&amp;D33&amp;"*",商品マスタ一覧!$D:$E,2,FALSE)))*F33),"")</f>
        <v/>
      </c>
      <c r="H33" s="175" t="str">
        <f>IF(C33&lt;&gt;"",
クライアント抽出!B33,"")</f>
        <v/>
      </c>
      <c r="I33" s="52" t="str">
        <f t="array" aca="1" ref="I33" ca="1">IF(C33&lt;&gt;"",
IF(O33=1,
IF(SUMPRODUCT(COUNTIF(クライアント抽出!P33:U33,クライアント抽出!P33:U33))&gt;COUNTA(クライアント抽出!P33:U33),
INDIRECT("数出表_Excel!"&amp;INDEX(_xlfn.UNIQUE(_xlfn._xlws.FILTER(クライアント抽出!P33:U33,COUNTIF(クライアント抽出!P33:U33,クライアント抽出!P33:U33)&gt;1)),1)&amp;L33&amp;""),0),クライアント抽出!E33),"")</f>
        <v/>
      </c>
      <c r="J33" s="52" t="str">
        <f>IF(C33&lt;&gt;"",
VLOOKUP(
"*"&amp;LEFT(IF(COUNTIF(D33,"*学食*"),"キャラ弁（学食）",
IF(COUNTIF(D33,"*赤*"),"赤",
IF(COUNTIF(D33,"*キャラ弁当*"),"キャラ弁当",D33))),4)&amp;"*",注文弁当の抽出!$E$1:$F$15,2,FALSE),"")</f>
        <v/>
      </c>
      <c r="K33" s="52" t="str">
        <f ca="1">IF(クライアント抽出!P33&lt;&gt;"",SUBSTITUTE(ADDRESS(1,(CODE(クライアント抽出!P33)-64)*2-1,4),"1",""),"")</f>
        <v/>
      </c>
      <c r="L33" s="52" t="str">
        <f>IF(C33&lt;&gt;"",クライアント抽出!I33,"")</f>
        <v/>
      </c>
      <c r="M33" s="52">
        <f t="array" aca="1" ref="M33" ca="1">IF(C33&lt;&gt;"",
IF(K33&lt;&gt;"",INDIRECT("'数出表_Excel（アレルギー入力）'!"&amp;K33&amp;L33-1&amp;""),),)</f>
        <v>0</v>
      </c>
      <c r="N33" s="52" t="str">
        <f>IF(C33&lt;&gt;"",IF(OR(COUNTIF('盛付札（関数）'!D33,"*赤*"),COUNTIF('盛付札（関数）'!D33,"*キャラ*")),1,
VLOOKUP("*"&amp;D33&amp;"*",商品マスタ一覧!D:H,5,FALSE)),"")</f>
        <v/>
      </c>
      <c r="O33" s="52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52">
        <f t="shared" si="0"/>
        <v>0</v>
      </c>
      <c r="Q33" s="52" t="b">
        <f t="shared" si="1"/>
        <v>0</v>
      </c>
      <c r="R33" s="203" t="str">
        <f t="array" aca="1" ref="R33" ca="1">IFERROR(SMALL(IF(P$1:P$307&lt;&gt;0,P$1:P$307),ROW(A33)),"")</f>
        <v/>
      </c>
      <c r="S33" s="203" t="str">
        <f t="array" aca="1" ref="S33" ca="1">IF($R33&lt;&gt;"",
SUBSTITUTE(SUBSTITUTE(INDIRECT("C"&amp;$R33&amp;"")," 週3ｺｰｽ","")," 週5ｺｰｽ",""),"")</f>
        <v/>
      </c>
      <c r="T33" s="203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204" t="str">
        <f t="array" aca="1" ref="U33" ca="1">IF($R33&lt;&gt;"",
INDIRECT("F"&amp;$R33&amp;""),"")</f>
        <v/>
      </c>
      <c r="V33" s="203" t="str">
        <f t="array" aca="1" ref="V33" ca="1">IF($R33&lt;&gt;"",
INDIRECT("G"&amp;$R33&amp;""),"")</f>
        <v/>
      </c>
      <c r="W33" s="203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IF(OR(COUNTIF(INDIRECT("B"&amp;R33&amp;""),"*雙葉先生*"),COUNTIF(INDIRECT("B"&amp;R33-1&amp;""),"*雙葉*")),INDIRECT("H"&amp;R33&amp;""),INDIRECT("H"&amp;R33&amp;"")+INDIRECT("H"&amp;MATCH("雙葉'",INDIRECT("B"&amp;R33+3&amp;":B210"),0)+2+R33&amp;"")),
IF(AND(LEFT(INDIRECT("B"&amp;R33&amp;""),2)="博多",COUNTIF(B:B,"*博多*")&gt;=2),
INDIRECT("H"&amp;R33&amp;"")+INDIRECT("H"&amp;MATCH("*"&amp;INDIRECT("B"&amp;R33&amp;"")&amp;"*",INDIRECT("B"&amp;R33+1&amp;":B210"),0)+R33&amp;""),
IF(AND(LEFT(INDIRECT("B"&amp;R33&amp;""),3)="奈良屋",COUNTIF(B:B,"*奈良屋*")&gt;=2),
INDIRECT("H"&amp;R33&amp;"")+INDIRECT("H"&amp;MATCH("*"&amp;INDIRECT("B"&amp;R33&amp;"")&amp;"*",INDIRECT("B"&amp;R33+1&amp;":B210"),0)+R33&amp;"")
+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INDIRECT("H"&amp;R33&amp;"")))),"")</f>
        <v/>
      </c>
      <c r="X33" s="203" t="str">
        <f t="array" aca="1" ref="X33" ca="1">IF($R33&lt;&gt;"",
INDIRECT(""&amp;IF(COLUMN(I33)&lt;=26,CHAR(COLUMN(I33)+64),CHAR(INT((COLUMN(I33)-1)/26)+64)&amp;CHAR(MOD(COLUMN(I33)-1,26)+65))&amp;$R33&amp;""),"")</f>
        <v/>
      </c>
      <c r="Y33" s="203" t="str">
        <f t="array" aca="1" ref="Y33" ca="1">IF($R33&lt;&gt;"",
INDIRECT(""&amp;IF(COLUMN(J33)&lt;=26,CHAR(COLUMN(J33)+64),CHAR(INT((COLUMN(J33)-1)/26)+64)&amp;CHAR(MOD(COLUMN(J33)-1,26)+65))&amp;$R33&amp;""),"")</f>
        <v/>
      </c>
      <c r="Z33" s="203" t="str">
        <f t="shared" ca="1" si="2"/>
        <v/>
      </c>
      <c r="AA33" s="203" t="str">
        <f t="shared" ca="1" si="3"/>
        <v/>
      </c>
      <c r="AB33" s="203" t="str">
        <f t="array" aca="1" ref="AB33" ca="1">IF($R33&lt;&gt;"",
IF(AND(COUNTIF(INDIRECT("B"&amp;R33&amp;""),"*雙葉*"),COUNTIF(B:B,"*雙葉*")&gt;=2),
INDIRECT("M"&amp;R33&amp;"")+INDIRECT("M"&amp;MATCH("雙葉'",INDIRECT("B"&amp;R33+1&amp;":B210"),0)+R33&amp;""),
IF(AND(LEFT(INDIRECT("B"&amp;R33&amp;""),2)="博多",COUNTIF(B:B,"*博多*")&gt;=2),
INDIRECT("M"&amp;R33&amp;"")+INDIRECT("M"&amp;MATCH("*"&amp;INDIRECT("B"&amp;R33&amp;"")&amp;"*",INDIRECT("B"&amp;R33+1&amp;":B210"),0)+R33&amp;""),
IF(AND(LEFT(INDIRECT("B"&amp;R33&amp;""),3)="奈良屋",COUNTIF(B:B,"*奈良屋*")&gt;=2),
INDIRECT("M"&amp;R33&amp;"")+INDIRECT("M"&amp;MATCH("*"&amp;INDIRECT("B"&amp;R33&amp;"")&amp;"*",INDIRECT("B"&amp;R33+1&amp;":B210"),0)+R33&amp;"")
+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INDIRECT("M"&amp;R33&amp;"")))),"")</f>
        <v/>
      </c>
      <c r="AC33" s="203" t="str">
        <f t="shared" ca="1" si="4"/>
        <v/>
      </c>
      <c r="AD33" s="51" t="str">
        <f t="shared" ca="1" si="5"/>
        <v/>
      </c>
      <c r="AE33" s="51" t="str">
        <f t="shared" ca="1" si="6"/>
        <v/>
      </c>
      <c r="AF33" s="51" t="str">
        <f t="shared" ca="1" si="7"/>
        <v/>
      </c>
      <c r="AG33" s="51" t="str">
        <f t="shared" ca="1" si="8"/>
        <v/>
      </c>
      <c r="AH33" s="191" t="str">
        <f t="shared" ca="1" si="9"/>
        <v/>
      </c>
      <c r="AI33" s="51" t="str">
        <f t="shared" ca="1" si="10"/>
        <v/>
      </c>
      <c r="AJ33" s="51" t="str">
        <f t="shared" ca="1" si="11"/>
        <v/>
      </c>
      <c r="AK33" s="51" t="str">
        <f t="shared" ca="1" si="12"/>
        <v/>
      </c>
      <c r="AL33" s="51" t="str">
        <f t="shared" ca="1" si="13"/>
        <v/>
      </c>
      <c r="AM33" s="51" t="str">
        <f t="shared" ca="1" si="14"/>
        <v/>
      </c>
      <c r="AN33" s="51" t="str">
        <f t="shared" ca="1" si="15"/>
        <v/>
      </c>
      <c r="AO33" s="51" t="str">
        <f t="shared" ca="1" si="16"/>
        <v/>
      </c>
      <c r="AP33" s="51" t="str">
        <f t="shared" ca="1" si="17"/>
        <v/>
      </c>
      <c r="AU33" s="51" t="str">
        <f t="shared" ca="1" si="18"/>
        <v/>
      </c>
    </row>
    <row r="34" spans="1:47" ht="22.2" customHeight="1">
      <c r="A34" s="177">
        <f t="shared" ref="A34:A70" si="21">A33+2</f>
        <v>73</v>
      </c>
      <c r="B34" s="52" t="str">
        <f t="shared" ref="B34:B65" si="22">IF(COUNTIF(C34,"*雙葉*"),
IF(COUNTIF(C34,"*先生*"),"雙葉先生","雙葉"),
IF(COUNTIF(C34,"*社食*"),"社食'",
IF(LEFT(C34,2)="博多",
IF(IFERROR(TRIM(LEFT(C33,FIND("幼",C33)-1)),TRIM(C33))=IFERROR(TRIM(LEFT(C34,FIND("幼",C34)-1)),TRIM(C34)),
IFERROR(TRIM(LEFT(C34,FIND("幼",C34)-1)),TRIM(C34))&amp;"'",IFERROR(TRIM(LEFT(C34,FIND("幼",C34)-1)),TRIM(C34))),
IF(LEFT(C34,3)="奈良屋",
IF(TRIM(LEFT(C33,FIND("幼",C33)-1))=TRIM(LEFT(C34,FIND("幼",C34)-1)),
"奈良屋'","奈良屋"),""))))</f>
        <v/>
      </c>
      <c r="C34" s="52" t="str">
        <f>IF(OR(クライアント抽出!B34&lt;&gt;"",クライアント抽出!E34&lt;&gt;""),クライアント抽出!A34,"")</f>
        <v/>
      </c>
      <c r="D34" s="52" t="str">
        <f t="array" aca="1" ref="D34" ca="1">IF(C34&lt;&gt;"",INDIRECT("クライアント抽出!"&amp;E34&amp;MATCH(C34,クライアント抽出!A:A,0)&amp;""),"")</f>
        <v/>
      </c>
      <c r="E34" s="52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53" t="str">
        <f ca="1">IF(D34&lt;&gt;"",
IF(COUNTIF(C34,"*雙葉*"),
IF(ROUND((H34-M34)
/IF(COUNTIF(D34,"*キャラ*"),
VLOOKUP("*キャラ*",商品マスタ一覧!$D:$E,2,FALSE),
IF(COUNTIF(D34,"*赤*"),
VLOOKUP("*赤*",商品マスタ一覧!$D:$E,2,FALSE),
VLOOKUP("*"&amp;D34&amp;"*",商品マスタ一覧!$D:$E,2,FALSE))),0)&lt;=0,1,
ROUND((H34-M34)
/IF(COUNTIF(D34,"*キャラ*"),
VLOOKUP("*キャラ*",商品マスタ一覧!$D:$E,2,FALSE),
IF(COUNTIF(D34,"*赤*"),
VLOOKUP("*赤*",商品マスタ一覧!$D:$E,2,FALSE),
VLOOKUP("*"&amp;D34&amp;"*",商品マスタ一覧!$D:$E,2,FALSE))),0)),
IF(OR(COUNTIF(D34,"*キャラ*"),COUNTIF(D34,"*赤*")),"",
IF(VLOOKUP("*"&amp;D34&amp;"*",商品マスタ一覧!$D:$E,2,FALSE)=0,"",
IF(ROUND((H34-M34)
/VLOOKUP("*"&amp;D34&amp;"*",商品マスタ一覧!$D:$E,2,FALSE),0)&lt;=0,1,
ROUND((H34-M34)
/VLOOKUP("*"&amp;D34&amp;"*",商品マスタ一覧!$D:$E,2,FALSE),0))))),"")</f>
        <v/>
      </c>
      <c r="G34" s="52" t="str">
        <f ca="1">IF(F34&lt;&gt;"",
IF(VALUE(H34-M34)&gt;VALUE(IF(COUNTIF(D34,"*キャラ*"),
VLOOKUP("*キャラ*",商品マスタ一覧!$D:$E,2,FALSE),
IF(COUNTIF(D34,"*赤*"),
VLOOKUP("*赤*",商品マスタ一覧!$D:$E,2,FALSE),
VLOOKUP("*"&amp;D34&amp;"*",商品マスタ一覧!$D:$E,2,FALSE)))*F34),
"+"&amp;(H34-M34)-IF(COUNTIF(D34,"*キャラ*"),
VLOOKUP("*キャラ*",商品マスタ一覧!$D:$E,2,FALSE),
IF(COUNTIF(D34,"*赤*"),
VLOOKUP("*赤*",商品マスタ一覧!$D:$E,2,FALSE),
VLOOKUP("*"&amp;D34&amp;"*",商品マスタ一覧!$D:$E,2,FALSE)))*F34,
(H34-M34)-IF(COUNTIF(D34,"*キャラ*"),
VLOOKUP("*キャラ*",商品マスタ一覧!$D:$E,2,FALSE),
IF(COUNTIF(D34,"*赤*"),
VLOOKUP("*赤*",商品マスタ一覧!$D:$E,2,FALSE),
VLOOKUP("*"&amp;D34&amp;"*",商品マスタ一覧!$D:$E,2,FALSE)))*F34),"")</f>
        <v/>
      </c>
      <c r="H34" s="175" t="str">
        <f>IF(C34&lt;&gt;"",
クライアント抽出!B34,"")</f>
        <v/>
      </c>
      <c r="I34" s="52" t="str">
        <f t="array" aca="1" ref="I34" ca="1">IF(C34&lt;&gt;"",
IF(O34=1,
IF(SUMPRODUCT(COUNTIF(クライアント抽出!P34:U34,クライアント抽出!P34:U34))&gt;COUNTA(クライアント抽出!P34:U34),
INDIRECT("数出表_Excel!"&amp;INDEX(_xlfn.UNIQUE(_xlfn._xlws.FILTER(クライアント抽出!P34:U34,COUNTIF(クライアント抽出!P34:U34,クライアント抽出!P34:U34)&gt;1)),1)&amp;L34&amp;""),0),クライアント抽出!E34),"")</f>
        <v/>
      </c>
      <c r="J34" s="52" t="str">
        <f>IF(C34&lt;&gt;"",
VLOOKUP(
"*"&amp;LEFT(IF(COUNTIF(D34,"*学食*"),"キャラ弁（学食）",
IF(COUNTIF(D34,"*赤*"),"赤",
IF(COUNTIF(D34,"*キャラ弁当*"),"キャラ弁当",D34))),4)&amp;"*",注文弁当の抽出!$E$1:$F$15,2,FALSE),"")</f>
        <v/>
      </c>
      <c r="K34" s="52" t="str">
        <f ca="1">IF(クライアント抽出!P34&lt;&gt;"",SUBSTITUTE(ADDRESS(1,(CODE(クライアント抽出!P34)-64)*2-1,4),"1",""),"")</f>
        <v/>
      </c>
      <c r="L34" s="52" t="str">
        <f>IF(C34&lt;&gt;"",クライアント抽出!I34,"")</f>
        <v/>
      </c>
      <c r="M34" s="52">
        <f t="array" aca="1" ref="M34" ca="1">IF(C34&lt;&gt;"",
IF(K34&lt;&gt;"",INDIRECT("'数出表_Excel（アレルギー入力）'!"&amp;K34&amp;L34-1&amp;""),),)</f>
        <v>0</v>
      </c>
      <c r="N34" s="52" t="str">
        <f>IF(C34&lt;&gt;"",IF(OR(COUNTIF('盛付札（関数）'!D34,"*赤*"),COUNTIF('盛付札（関数）'!D34,"*キャラ*")),1,
VLOOKUP("*"&amp;D34&amp;"*",商品マスタ一覧!D:H,5,FALSE)),"")</f>
        <v/>
      </c>
      <c r="O34" s="52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52">
        <f t="shared" si="0"/>
        <v>0</v>
      </c>
      <c r="Q34" s="52" t="b">
        <f t="shared" si="1"/>
        <v>0</v>
      </c>
      <c r="R34" s="203" t="str">
        <f t="array" aca="1" ref="R34" ca="1">IFERROR(SMALL(IF(P$1:P$307&lt;&gt;0,P$1:P$307),ROW(A34)),"")</f>
        <v/>
      </c>
      <c r="S34" s="203" t="str">
        <f t="array" aca="1" ref="S34" ca="1">IF($R34&lt;&gt;"",
SUBSTITUTE(SUBSTITUTE(INDIRECT("C"&amp;$R34&amp;"")," 週3ｺｰｽ","")," 週5ｺｰｽ",""),"")</f>
        <v/>
      </c>
      <c r="T34" s="203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204" t="str">
        <f t="array" aca="1" ref="U34" ca="1">IF($R34&lt;&gt;"",
INDIRECT("F"&amp;$R34&amp;""),"")</f>
        <v/>
      </c>
      <c r="V34" s="203" t="str">
        <f t="array" aca="1" ref="V34" ca="1">IF($R34&lt;&gt;"",
INDIRECT("G"&amp;$R34&amp;""),"")</f>
        <v/>
      </c>
      <c r="W34" s="203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IF(OR(COUNTIF(INDIRECT("B"&amp;R34&amp;""),"*雙葉先生*"),COUNTIF(INDIRECT("B"&amp;R34-1&amp;""),"*雙葉*")),INDIRECT("H"&amp;R34&amp;""),INDIRECT("H"&amp;R34&amp;"")+INDIRECT("H"&amp;MATCH("雙葉'",INDIRECT("B"&amp;R34+3&amp;":B210"),0)+2+R34&amp;"")),
IF(AND(LEFT(INDIRECT("B"&amp;R34&amp;""),2)="博多",COUNTIF(B:B,"*博多*")&gt;=2),
INDIRECT("H"&amp;R34&amp;"")+INDIRECT("H"&amp;MATCH("*"&amp;INDIRECT("B"&amp;R34&amp;"")&amp;"*",INDIRECT("B"&amp;R34+1&amp;":B210"),0)+R34&amp;""),
IF(AND(LEFT(INDIRECT("B"&amp;R34&amp;""),3)="奈良屋",COUNTIF(B:B,"*奈良屋*")&gt;=2),
INDIRECT("H"&amp;R34&amp;"")+INDIRECT("H"&amp;MATCH("*"&amp;INDIRECT("B"&amp;R34&amp;"")&amp;"*",INDIRECT("B"&amp;R34+1&amp;":B210"),0)+R34&amp;"")
+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INDIRECT("H"&amp;R34&amp;"")))),"")</f>
        <v/>
      </c>
      <c r="X34" s="203" t="str">
        <f t="array" aca="1" ref="X34" ca="1">IF($R34&lt;&gt;"",
INDIRECT(""&amp;IF(COLUMN(I34)&lt;=26,CHAR(COLUMN(I34)+64),CHAR(INT((COLUMN(I34)-1)/26)+64)&amp;CHAR(MOD(COLUMN(I34)-1,26)+65))&amp;$R34&amp;""),"")</f>
        <v/>
      </c>
      <c r="Y34" s="203" t="str">
        <f t="array" aca="1" ref="Y34" ca="1">IF($R34&lt;&gt;"",
INDIRECT(""&amp;IF(COLUMN(J34)&lt;=26,CHAR(COLUMN(J34)+64),CHAR(INT((COLUMN(J34)-1)/26)+64)&amp;CHAR(MOD(COLUMN(J34)-1,26)+65))&amp;$R34&amp;""),"")</f>
        <v/>
      </c>
      <c r="Z34" s="203" t="str">
        <f t="shared" ca="1" si="2"/>
        <v/>
      </c>
      <c r="AA34" s="203" t="str">
        <f t="shared" ca="1" si="3"/>
        <v/>
      </c>
      <c r="AB34" s="203" t="str">
        <f t="array" aca="1" ref="AB34" ca="1">IF($R34&lt;&gt;"",
IF(AND(COUNTIF(INDIRECT("B"&amp;R34&amp;""),"*雙葉*"),COUNTIF(B:B,"*雙葉*")&gt;=2),
INDIRECT("M"&amp;R34&amp;"")+INDIRECT("M"&amp;MATCH("雙葉'",INDIRECT("B"&amp;R34+1&amp;":B210"),0)+R34&amp;""),
IF(AND(LEFT(INDIRECT("B"&amp;R34&amp;""),2)="博多",COUNTIF(B:B,"*博多*")&gt;=2),
INDIRECT("M"&amp;R34&amp;"")+INDIRECT("M"&amp;MATCH("*"&amp;INDIRECT("B"&amp;R34&amp;"")&amp;"*",INDIRECT("B"&amp;R34+1&amp;":B210"),0)+R34&amp;""),
IF(AND(LEFT(INDIRECT("B"&amp;R34&amp;""),3)="奈良屋",COUNTIF(B:B,"*奈良屋*")&gt;=2),
INDIRECT("M"&amp;R34&amp;"")+INDIRECT("M"&amp;MATCH("*"&amp;INDIRECT("B"&amp;R34&amp;"")&amp;"*",INDIRECT("B"&amp;R34+1&amp;":B210"),0)+R34&amp;"")
+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INDIRECT("M"&amp;R34&amp;"")))),"")</f>
        <v/>
      </c>
      <c r="AC34" s="203" t="str">
        <f t="shared" ca="1" si="4"/>
        <v/>
      </c>
      <c r="AD34" s="51" t="str">
        <f t="shared" ca="1" si="5"/>
        <v/>
      </c>
      <c r="AE34" s="51" t="str">
        <f t="shared" ca="1" si="6"/>
        <v/>
      </c>
      <c r="AF34" s="51" t="str">
        <f t="shared" ca="1" si="7"/>
        <v/>
      </c>
      <c r="AG34" s="51" t="str">
        <f t="shared" ca="1" si="8"/>
        <v/>
      </c>
      <c r="AH34" s="191" t="str">
        <f t="shared" ca="1" si="9"/>
        <v/>
      </c>
      <c r="AI34" s="51" t="str">
        <f t="shared" ca="1" si="10"/>
        <v/>
      </c>
      <c r="AJ34" s="51" t="str">
        <f t="shared" ca="1" si="11"/>
        <v/>
      </c>
      <c r="AK34" s="51" t="str">
        <f t="shared" ca="1" si="12"/>
        <v/>
      </c>
      <c r="AL34" s="51" t="str">
        <f t="shared" ca="1" si="13"/>
        <v/>
      </c>
      <c r="AM34" s="51" t="str">
        <f t="shared" ca="1" si="14"/>
        <v/>
      </c>
      <c r="AN34" s="51" t="str">
        <f t="shared" ca="1" si="15"/>
        <v/>
      </c>
      <c r="AO34" s="51" t="str">
        <f t="shared" ca="1" si="16"/>
        <v/>
      </c>
      <c r="AP34" s="51" t="str">
        <f t="shared" ca="1" si="17"/>
        <v/>
      </c>
      <c r="AU34" s="51" t="str">
        <f t="shared" ca="1" si="18"/>
        <v/>
      </c>
    </row>
    <row r="35" spans="1:47" ht="21" customHeight="1">
      <c r="A35" s="177">
        <f t="shared" si="21"/>
        <v>75</v>
      </c>
      <c r="B35" s="52" t="str">
        <f t="shared" si="22"/>
        <v/>
      </c>
      <c r="C35" s="52" t="str">
        <f>IF(OR(クライアント抽出!B35&lt;&gt;"",クライアント抽出!E35&lt;&gt;""),クライアント抽出!A35,"")</f>
        <v/>
      </c>
      <c r="D35" s="52" t="str">
        <f t="array" aca="1" ref="D35" ca="1">IF(C35&lt;&gt;"",INDIRECT("クライアント抽出!"&amp;E35&amp;MATCH(C35,クライアント抽出!A:A,0)&amp;""),"")</f>
        <v/>
      </c>
      <c r="E35" s="52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53" t="str">
        <f ca="1">IF(D35&lt;&gt;"",
IF(COUNTIF(C35,"*雙葉*"),
IF(ROUND((H35-M35)
/IF(COUNTIF(D35,"*キャラ*"),
VLOOKUP("*キャラ*",商品マスタ一覧!$D:$E,2,FALSE),
IF(COUNTIF(D35,"*赤*"),
VLOOKUP("*赤*",商品マスタ一覧!$D:$E,2,FALSE),
VLOOKUP("*"&amp;D35&amp;"*",商品マスタ一覧!$D:$E,2,FALSE))),0)&lt;=0,1,
ROUND((H35-M35)
/IF(COUNTIF(D35,"*キャラ*"),
VLOOKUP("*キャラ*",商品マスタ一覧!$D:$E,2,FALSE),
IF(COUNTIF(D35,"*赤*"),
VLOOKUP("*赤*",商品マスタ一覧!$D:$E,2,FALSE),
VLOOKUP("*"&amp;D35&amp;"*",商品マスタ一覧!$D:$E,2,FALSE))),0)),
IF(OR(COUNTIF(D35,"*キャラ*"),COUNTIF(D35,"*赤*")),"",
IF(VLOOKUP("*"&amp;D35&amp;"*",商品マスタ一覧!$D:$E,2,FALSE)=0,"",
IF(ROUND((H35-M35)
/VLOOKUP("*"&amp;D35&amp;"*",商品マスタ一覧!$D:$E,2,FALSE),0)&lt;=0,1,
ROUND((H35-M35)
/VLOOKUP("*"&amp;D35&amp;"*",商品マスタ一覧!$D:$E,2,FALSE),0))))),"")</f>
        <v/>
      </c>
      <c r="G35" s="52" t="str">
        <f ca="1">IF(F35&lt;&gt;"",
IF(VALUE(H35-M35)&gt;VALUE(IF(COUNTIF(D35,"*キャラ*"),
VLOOKUP("*キャラ*",商品マスタ一覧!$D:$E,2,FALSE),
IF(COUNTIF(D35,"*赤*"),
VLOOKUP("*赤*",商品マスタ一覧!$D:$E,2,FALSE),
VLOOKUP("*"&amp;D35&amp;"*",商品マスタ一覧!$D:$E,2,FALSE)))*F35),
"+"&amp;(H35-M35)-IF(COUNTIF(D35,"*キャラ*"),
VLOOKUP("*キャラ*",商品マスタ一覧!$D:$E,2,FALSE),
IF(COUNTIF(D35,"*赤*"),
VLOOKUP("*赤*",商品マスタ一覧!$D:$E,2,FALSE),
VLOOKUP("*"&amp;D35&amp;"*",商品マスタ一覧!$D:$E,2,FALSE)))*F35,
(H35-M35)-IF(COUNTIF(D35,"*キャラ*"),
VLOOKUP("*キャラ*",商品マスタ一覧!$D:$E,2,FALSE),
IF(COUNTIF(D35,"*赤*"),
VLOOKUP("*赤*",商品マスタ一覧!$D:$E,2,FALSE),
VLOOKUP("*"&amp;D35&amp;"*",商品マスタ一覧!$D:$E,2,FALSE)))*F35),"")</f>
        <v/>
      </c>
      <c r="H35" s="175" t="str">
        <f>IF(C35&lt;&gt;"",
クライアント抽出!B35,"")</f>
        <v/>
      </c>
      <c r="I35" s="52" t="str">
        <f t="array" aca="1" ref="I35" ca="1">IF(C35&lt;&gt;"",
IF(O35=1,
IF(SUMPRODUCT(COUNTIF(クライアント抽出!P35:U35,クライアント抽出!P35:U35))&gt;COUNTA(クライアント抽出!P35:U35),
INDIRECT("数出表_Excel!"&amp;INDEX(_xlfn.UNIQUE(_xlfn._xlws.FILTER(クライアント抽出!P35:U35,COUNTIF(クライアント抽出!P35:U35,クライアント抽出!P35:U35)&gt;1)),1)&amp;L35&amp;""),0),クライアント抽出!E35),"")</f>
        <v/>
      </c>
      <c r="J35" s="52" t="str">
        <f>IF(C35&lt;&gt;"",
VLOOKUP(
"*"&amp;LEFT(IF(COUNTIF(D35,"*学食*"),"キャラ弁（学食）",
IF(COUNTIF(D35,"*赤*"),"赤",
IF(COUNTIF(D35,"*キャラ弁当*"),"キャラ弁当",D35))),4)&amp;"*",注文弁当の抽出!$E$1:$F$15,2,FALSE),"")</f>
        <v/>
      </c>
      <c r="K35" s="52" t="str">
        <f ca="1">IF(クライアント抽出!P35&lt;&gt;"",SUBSTITUTE(ADDRESS(1,(CODE(クライアント抽出!P35)-64)*2-1,4),"1",""),"")</f>
        <v/>
      </c>
      <c r="L35" s="52" t="str">
        <f>IF(C35&lt;&gt;"",クライアント抽出!I35,"")</f>
        <v/>
      </c>
      <c r="M35" s="52">
        <f t="array" aca="1" ref="M35" ca="1">IF(C35&lt;&gt;"",
IF(K35&lt;&gt;"",INDIRECT("'数出表_Excel（アレルギー入力）'!"&amp;K35&amp;L35-1&amp;""),),)</f>
        <v>0</v>
      </c>
      <c r="N35" s="52" t="str">
        <f>IF(C35&lt;&gt;"",IF(OR(COUNTIF('盛付札（関数）'!D35,"*赤*"),COUNTIF('盛付札（関数）'!D35,"*キャラ*")),1,
VLOOKUP("*"&amp;D35&amp;"*",商品マスタ一覧!D:H,5,FALSE)),"")</f>
        <v/>
      </c>
      <c r="O35" s="52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52">
        <f t="shared" si="0"/>
        <v>0</v>
      </c>
      <c r="Q35" s="52" t="b">
        <f t="shared" si="1"/>
        <v>0</v>
      </c>
      <c r="R35" s="203" t="str">
        <f t="array" aca="1" ref="R35" ca="1">IFERROR(SMALL(IF(P$1:P$307&lt;&gt;0,P$1:P$307),ROW(A35)),"")</f>
        <v/>
      </c>
      <c r="S35" s="203" t="str">
        <f t="array" aca="1" ref="S35" ca="1">IF($R35&lt;&gt;"",
SUBSTITUTE(SUBSTITUTE(INDIRECT("C"&amp;$R35&amp;"")," 週3ｺｰｽ","")," 週5ｺｰｽ",""),"")</f>
        <v/>
      </c>
      <c r="T35" s="203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204" t="str">
        <f t="array" aca="1" ref="U35" ca="1">IF($R35&lt;&gt;"",
INDIRECT("F"&amp;$R35&amp;""),"")</f>
        <v/>
      </c>
      <c r="V35" s="203" t="str">
        <f t="array" aca="1" ref="V35" ca="1">IF($R35&lt;&gt;"",
INDIRECT("G"&amp;$R35&amp;""),"")</f>
        <v/>
      </c>
      <c r="W35" s="203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IF(OR(COUNTIF(INDIRECT("B"&amp;R35&amp;""),"*雙葉先生*"),COUNTIF(INDIRECT("B"&amp;R35-1&amp;""),"*雙葉*")),INDIRECT("H"&amp;R35&amp;""),INDIRECT("H"&amp;R35&amp;"")+INDIRECT("H"&amp;MATCH("雙葉'",INDIRECT("B"&amp;R35+3&amp;":B210"),0)+2+R35&amp;"")),
IF(AND(LEFT(INDIRECT("B"&amp;R35&amp;""),2)="博多",COUNTIF(B:B,"*博多*")&gt;=2),
INDIRECT("H"&amp;R35&amp;"")+INDIRECT("H"&amp;MATCH("*"&amp;INDIRECT("B"&amp;R35&amp;"")&amp;"*",INDIRECT("B"&amp;R35+1&amp;":B210"),0)+R35&amp;""),
IF(AND(LEFT(INDIRECT("B"&amp;R35&amp;""),3)="奈良屋",COUNTIF(B:B,"*奈良屋*")&gt;=2),
INDIRECT("H"&amp;R35&amp;"")+INDIRECT("H"&amp;MATCH("*"&amp;INDIRECT("B"&amp;R35&amp;"")&amp;"*",INDIRECT("B"&amp;R35+1&amp;":B210"),0)+R35&amp;"")
+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INDIRECT("H"&amp;R35&amp;"")))),"")</f>
        <v/>
      </c>
      <c r="X35" s="203" t="str">
        <f t="array" aca="1" ref="X35" ca="1">IF($R35&lt;&gt;"",
INDIRECT(""&amp;IF(COLUMN(I35)&lt;=26,CHAR(COLUMN(I35)+64),CHAR(INT((COLUMN(I35)-1)/26)+64)&amp;CHAR(MOD(COLUMN(I35)-1,26)+65))&amp;$R35&amp;""),"")</f>
        <v/>
      </c>
      <c r="Y35" s="203" t="str">
        <f t="array" aca="1" ref="Y35" ca="1">IF($R35&lt;&gt;"",
INDIRECT(""&amp;IF(COLUMN(J35)&lt;=26,CHAR(COLUMN(J35)+64),CHAR(INT((COLUMN(J35)-1)/26)+64)&amp;CHAR(MOD(COLUMN(J35)-1,26)+65))&amp;$R35&amp;""),"")</f>
        <v/>
      </c>
      <c r="Z35" s="203" t="str">
        <f t="shared" ca="1" si="2"/>
        <v/>
      </c>
      <c r="AA35" s="203" t="str">
        <f t="shared" ca="1" si="3"/>
        <v/>
      </c>
      <c r="AB35" s="203" t="str">
        <f t="array" aca="1" ref="AB35" ca="1">IF($R35&lt;&gt;"",
IF(AND(COUNTIF(INDIRECT("B"&amp;R35&amp;""),"*雙葉*"),COUNTIF(B:B,"*雙葉*")&gt;=2),
INDIRECT("M"&amp;R35&amp;"")+INDIRECT("M"&amp;MATCH("雙葉'",INDIRECT("B"&amp;R35+1&amp;":B210"),0)+R35&amp;""),
IF(AND(LEFT(INDIRECT("B"&amp;R35&amp;""),2)="博多",COUNTIF(B:B,"*博多*")&gt;=2),
INDIRECT("M"&amp;R35&amp;"")+INDIRECT("M"&amp;MATCH("*"&amp;INDIRECT("B"&amp;R35&amp;"")&amp;"*",INDIRECT("B"&amp;R35+1&amp;":B210"),0)+R35&amp;""),
IF(AND(LEFT(INDIRECT("B"&amp;R35&amp;""),3)="奈良屋",COUNTIF(B:B,"*奈良屋*")&gt;=2),
INDIRECT("M"&amp;R35&amp;"")+INDIRECT("M"&amp;MATCH("*"&amp;INDIRECT("B"&amp;R35&amp;"")&amp;"*",INDIRECT("B"&amp;R35+1&amp;":B210"),0)+R35&amp;"")
+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INDIRECT("M"&amp;R35&amp;"")))),"")</f>
        <v/>
      </c>
      <c r="AC35" s="203" t="str">
        <f t="shared" ca="1" si="4"/>
        <v/>
      </c>
      <c r="AD35" s="51" t="str">
        <f t="shared" ca="1" si="5"/>
        <v/>
      </c>
      <c r="AE35" s="51" t="str">
        <f t="shared" ca="1" si="6"/>
        <v/>
      </c>
      <c r="AF35" s="51" t="str">
        <f t="shared" ca="1" si="7"/>
        <v/>
      </c>
      <c r="AG35" s="51" t="str">
        <f t="shared" ca="1" si="8"/>
        <v/>
      </c>
      <c r="AH35" s="191" t="str">
        <f t="shared" ca="1" si="9"/>
        <v/>
      </c>
      <c r="AI35" s="51" t="str">
        <f t="shared" ca="1" si="10"/>
        <v/>
      </c>
      <c r="AJ35" s="51" t="str">
        <f t="shared" ca="1" si="11"/>
        <v/>
      </c>
      <c r="AK35" s="51" t="str">
        <f t="shared" ca="1" si="12"/>
        <v/>
      </c>
      <c r="AL35" s="51" t="str">
        <f t="shared" ca="1" si="13"/>
        <v/>
      </c>
      <c r="AM35" s="51" t="str">
        <f t="shared" ca="1" si="14"/>
        <v/>
      </c>
      <c r="AN35" s="51" t="str">
        <f t="shared" ca="1" si="15"/>
        <v/>
      </c>
      <c r="AO35" s="51" t="str">
        <f t="shared" ca="1" si="16"/>
        <v/>
      </c>
      <c r="AP35" s="51" t="str">
        <f t="shared" ca="1" si="17"/>
        <v/>
      </c>
      <c r="AU35" s="51" t="str">
        <f t="shared" ca="1" si="18"/>
        <v/>
      </c>
    </row>
    <row r="36" spans="1:47" ht="19.2" customHeight="1">
      <c r="A36" s="177">
        <f t="shared" si="21"/>
        <v>77</v>
      </c>
      <c r="B36" s="52" t="str">
        <f t="shared" si="22"/>
        <v/>
      </c>
      <c r="C36" s="52" t="str">
        <f>IF(OR(クライアント抽出!B36&lt;&gt;"",クライアント抽出!E36&lt;&gt;""),クライアント抽出!A36,"")</f>
        <v/>
      </c>
      <c r="D36" s="52" t="str">
        <f t="array" aca="1" ref="D36" ca="1">IF(C36&lt;&gt;"",INDIRECT("クライアント抽出!"&amp;E36&amp;MATCH(C36,クライアント抽出!A:A,0)&amp;""),"")</f>
        <v/>
      </c>
      <c r="E36" s="52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53" t="str">
        <f ca="1">IF(D36&lt;&gt;"",
IF(COUNTIF(C36,"*雙葉*"),
IF(ROUND((H36-M36)
/IF(COUNTIF(D36,"*キャラ*"),
VLOOKUP("*キャラ*",商品マスタ一覧!$D:$E,2,FALSE),
IF(COUNTIF(D36,"*赤*"),
VLOOKUP("*赤*",商品マスタ一覧!$D:$E,2,FALSE),
VLOOKUP("*"&amp;D36&amp;"*",商品マスタ一覧!$D:$E,2,FALSE))),0)&lt;=0,1,
ROUND((H36-M36)
/IF(COUNTIF(D36,"*キャラ*"),
VLOOKUP("*キャラ*",商品マスタ一覧!$D:$E,2,FALSE),
IF(COUNTIF(D36,"*赤*"),
VLOOKUP("*赤*",商品マスタ一覧!$D:$E,2,FALSE),
VLOOKUP("*"&amp;D36&amp;"*",商品マスタ一覧!$D:$E,2,FALSE))),0)),
IF(OR(COUNTIF(D36,"*キャラ*"),COUNTIF(D36,"*赤*")),"",
IF(VLOOKUP("*"&amp;D36&amp;"*",商品マスタ一覧!$D:$E,2,FALSE)=0,"",
IF(ROUND((H36-M36)
/VLOOKUP("*"&amp;D36&amp;"*",商品マスタ一覧!$D:$E,2,FALSE),0)&lt;=0,1,
ROUND((H36-M36)
/VLOOKUP("*"&amp;D36&amp;"*",商品マスタ一覧!$D:$E,2,FALSE),0))))),"")</f>
        <v/>
      </c>
      <c r="G36" s="52" t="str">
        <f ca="1">IF(F36&lt;&gt;"",
IF(VALUE(H36-M36)&gt;VALUE(IF(COUNTIF(D36,"*キャラ*"),
VLOOKUP("*キャラ*",商品マスタ一覧!$D:$E,2,FALSE),
IF(COUNTIF(D36,"*赤*"),
VLOOKUP("*赤*",商品マスタ一覧!$D:$E,2,FALSE),
VLOOKUP("*"&amp;D36&amp;"*",商品マスタ一覧!$D:$E,2,FALSE)))*F36),
"+"&amp;(H36-M36)-IF(COUNTIF(D36,"*キャラ*"),
VLOOKUP("*キャラ*",商品マスタ一覧!$D:$E,2,FALSE),
IF(COUNTIF(D36,"*赤*"),
VLOOKUP("*赤*",商品マスタ一覧!$D:$E,2,FALSE),
VLOOKUP("*"&amp;D36&amp;"*",商品マスタ一覧!$D:$E,2,FALSE)))*F36,
(H36-M36)-IF(COUNTIF(D36,"*キャラ*"),
VLOOKUP("*キャラ*",商品マスタ一覧!$D:$E,2,FALSE),
IF(COUNTIF(D36,"*赤*"),
VLOOKUP("*赤*",商品マスタ一覧!$D:$E,2,FALSE),
VLOOKUP("*"&amp;D36&amp;"*",商品マスタ一覧!$D:$E,2,FALSE)))*F36),"")</f>
        <v/>
      </c>
      <c r="H36" s="175" t="str">
        <f>IF(C36&lt;&gt;"",
クライアント抽出!B36,"")</f>
        <v/>
      </c>
      <c r="I36" s="52" t="str">
        <f t="array" aca="1" ref="I36" ca="1">IF(C36&lt;&gt;"",
IF(O36=1,
IF(SUMPRODUCT(COUNTIF(クライアント抽出!P36:U36,クライアント抽出!P36:U36))&gt;COUNTA(クライアント抽出!P36:U36),
INDIRECT("数出表_Excel!"&amp;INDEX(_xlfn.UNIQUE(_xlfn._xlws.FILTER(クライアント抽出!P36:U36,COUNTIF(クライアント抽出!P36:U36,クライアント抽出!P36:U36)&gt;1)),1)&amp;L36&amp;""),0),クライアント抽出!E36),"")</f>
        <v/>
      </c>
      <c r="J36" s="52" t="str">
        <f>IF(C36&lt;&gt;"",
VLOOKUP(
"*"&amp;LEFT(IF(COUNTIF(D36,"*学食*"),"キャラ弁（学食）",
IF(COUNTIF(D36,"*赤*"),"赤",
IF(COUNTIF(D36,"*キャラ弁当*"),"キャラ弁当",D36))),4)&amp;"*",注文弁当の抽出!$E$1:$F$15,2,FALSE),"")</f>
        <v/>
      </c>
      <c r="K36" s="52" t="str">
        <f ca="1">IF(クライアント抽出!P36&lt;&gt;"",SUBSTITUTE(ADDRESS(1,(CODE(クライアント抽出!P36)-64)*2-1,4),"1",""),"")</f>
        <v/>
      </c>
      <c r="L36" s="52" t="str">
        <f>IF(C36&lt;&gt;"",クライアント抽出!I36,"")</f>
        <v/>
      </c>
      <c r="M36" s="52">
        <f t="array" aca="1" ref="M36" ca="1">IF(C36&lt;&gt;"",
IF(K36&lt;&gt;"",INDIRECT("'数出表_Excel（アレルギー入力）'!"&amp;K36&amp;L36-1&amp;""),),)</f>
        <v>0</v>
      </c>
      <c r="N36" s="52" t="str">
        <f>IF(C36&lt;&gt;"",IF(OR(COUNTIF('盛付札（関数）'!D36,"*赤*"),COUNTIF('盛付札（関数）'!D36,"*キャラ*")),1,
VLOOKUP("*"&amp;D36&amp;"*",商品マスタ一覧!D:H,5,FALSE)),"")</f>
        <v/>
      </c>
      <c r="O36" s="52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52">
        <f t="shared" si="0"/>
        <v>0</v>
      </c>
      <c r="Q36" s="52" t="b">
        <f t="shared" si="1"/>
        <v>0</v>
      </c>
      <c r="R36" s="203" t="str">
        <f t="array" aca="1" ref="R36" ca="1">IFERROR(SMALL(IF(P$1:P$307&lt;&gt;0,P$1:P$307),ROW(A36)),"")</f>
        <v/>
      </c>
      <c r="S36" s="203" t="str">
        <f t="array" aca="1" ref="S36" ca="1">IF($R36&lt;&gt;"",
SUBSTITUTE(SUBSTITUTE(INDIRECT("C"&amp;$R36&amp;"")," 週3ｺｰｽ","")," 週5ｺｰｽ",""),"")</f>
        <v/>
      </c>
      <c r="T36" s="203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204" t="str">
        <f t="array" aca="1" ref="U36" ca="1">IF($R36&lt;&gt;"",
INDIRECT("F"&amp;$R36&amp;""),"")</f>
        <v/>
      </c>
      <c r="V36" s="203" t="str">
        <f t="array" aca="1" ref="V36" ca="1">IF($R36&lt;&gt;"",
INDIRECT("G"&amp;$R36&amp;""),"")</f>
        <v/>
      </c>
      <c r="W36" s="203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IF(OR(COUNTIF(INDIRECT("B"&amp;R36&amp;""),"*雙葉先生*"),COUNTIF(INDIRECT("B"&amp;R36-1&amp;""),"*雙葉*")),INDIRECT("H"&amp;R36&amp;""),INDIRECT("H"&amp;R36&amp;"")+INDIRECT("H"&amp;MATCH("雙葉'",INDIRECT("B"&amp;R36+3&amp;":B210"),0)+2+R36&amp;"")),
IF(AND(LEFT(INDIRECT("B"&amp;R36&amp;""),2)="博多",COUNTIF(B:B,"*博多*")&gt;=2),
INDIRECT("H"&amp;R36&amp;"")+INDIRECT("H"&amp;MATCH("*"&amp;INDIRECT("B"&amp;R36&amp;"")&amp;"*",INDIRECT("B"&amp;R36+1&amp;":B210"),0)+R36&amp;""),
IF(AND(LEFT(INDIRECT("B"&amp;R36&amp;""),3)="奈良屋",COUNTIF(B:B,"*奈良屋*")&gt;=2),
INDIRECT("H"&amp;R36&amp;"")+INDIRECT("H"&amp;MATCH("*"&amp;INDIRECT("B"&amp;R36&amp;"")&amp;"*",INDIRECT("B"&amp;R36+1&amp;":B210"),0)+R36&amp;"")
+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INDIRECT("H"&amp;R36&amp;"")))),"")</f>
        <v/>
      </c>
      <c r="X36" s="203" t="str">
        <f t="array" aca="1" ref="X36" ca="1">IF($R36&lt;&gt;"",
INDIRECT(""&amp;IF(COLUMN(I36)&lt;=26,CHAR(COLUMN(I36)+64),CHAR(INT((COLUMN(I36)-1)/26)+64)&amp;CHAR(MOD(COLUMN(I36)-1,26)+65))&amp;$R36&amp;""),"")</f>
        <v/>
      </c>
      <c r="Y36" s="203" t="str">
        <f t="array" aca="1" ref="Y36" ca="1">IF($R36&lt;&gt;"",
INDIRECT(""&amp;IF(COLUMN(J36)&lt;=26,CHAR(COLUMN(J36)+64),CHAR(INT((COLUMN(J36)-1)/26)+64)&amp;CHAR(MOD(COLUMN(J36)-1,26)+65))&amp;$R36&amp;""),"")</f>
        <v/>
      </c>
      <c r="Z36" s="203" t="str">
        <f t="shared" ca="1" si="2"/>
        <v/>
      </c>
      <c r="AA36" s="203" t="str">
        <f t="shared" ca="1" si="3"/>
        <v/>
      </c>
      <c r="AB36" s="203" t="str">
        <f t="array" aca="1" ref="AB36" ca="1">IF($R36&lt;&gt;"",
IF(AND(COUNTIF(INDIRECT("B"&amp;R36&amp;""),"*雙葉*"),COUNTIF(B:B,"*雙葉*")&gt;=2),
INDIRECT("M"&amp;R36&amp;"")+INDIRECT("M"&amp;MATCH("雙葉'",INDIRECT("B"&amp;R36+1&amp;":B210"),0)+R36&amp;""),
IF(AND(LEFT(INDIRECT("B"&amp;R36&amp;""),2)="博多",COUNTIF(B:B,"*博多*")&gt;=2),
INDIRECT("M"&amp;R36&amp;"")+INDIRECT("M"&amp;MATCH("*"&amp;INDIRECT("B"&amp;R36&amp;"")&amp;"*",INDIRECT("B"&amp;R36+1&amp;":B210"),0)+R36&amp;""),
IF(AND(LEFT(INDIRECT("B"&amp;R36&amp;""),3)="奈良屋",COUNTIF(B:B,"*奈良屋*")&gt;=2),
INDIRECT("M"&amp;R36&amp;"")+INDIRECT("M"&amp;MATCH("*"&amp;INDIRECT("B"&amp;R36&amp;"")&amp;"*",INDIRECT("B"&amp;R36+1&amp;":B210"),0)+R36&amp;"")
+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INDIRECT("M"&amp;R36&amp;"")))),"")</f>
        <v/>
      </c>
      <c r="AC36" s="203" t="str">
        <f t="shared" ca="1" si="4"/>
        <v/>
      </c>
      <c r="AD36" s="51" t="str">
        <f t="shared" ca="1" si="5"/>
        <v/>
      </c>
      <c r="AE36" s="51" t="str">
        <f t="shared" ca="1" si="6"/>
        <v/>
      </c>
      <c r="AF36" s="51" t="str">
        <f t="shared" ca="1" si="7"/>
        <v/>
      </c>
      <c r="AG36" s="51" t="str">
        <f t="shared" ca="1" si="8"/>
        <v/>
      </c>
      <c r="AH36" s="191" t="str">
        <f t="shared" ca="1" si="9"/>
        <v/>
      </c>
      <c r="AI36" s="51" t="str">
        <f t="shared" ca="1" si="10"/>
        <v/>
      </c>
      <c r="AJ36" s="51" t="str">
        <f t="shared" ca="1" si="11"/>
        <v/>
      </c>
      <c r="AK36" s="51" t="str">
        <f t="shared" ca="1" si="12"/>
        <v/>
      </c>
      <c r="AL36" s="51" t="str">
        <f t="shared" ca="1" si="13"/>
        <v/>
      </c>
      <c r="AM36" s="51" t="str">
        <f t="shared" ca="1" si="14"/>
        <v/>
      </c>
      <c r="AN36" s="51" t="str">
        <f t="shared" ca="1" si="15"/>
        <v/>
      </c>
      <c r="AO36" s="51" t="str">
        <f t="shared" ca="1" si="16"/>
        <v/>
      </c>
      <c r="AP36" s="51" t="str">
        <f t="shared" ca="1" si="17"/>
        <v/>
      </c>
      <c r="AU36" s="51" t="str">
        <f t="shared" ca="1" si="18"/>
        <v/>
      </c>
    </row>
    <row r="37" spans="1:47" ht="19.2" customHeight="1">
      <c r="A37" s="177">
        <f t="shared" si="21"/>
        <v>79</v>
      </c>
      <c r="B37" s="52" t="str">
        <f t="shared" si="22"/>
        <v/>
      </c>
      <c r="C37" s="52" t="str">
        <f>IF(OR(クライアント抽出!B37&lt;&gt;"",クライアント抽出!E37&lt;&gt;""),クライアント抽出!A37,"")</f>
        <v/>
      </c>
      <c r="D37" s="52" t="str">
        <f t="array" aca="1" ref="D37" ca="1">IF(C37&lt;&gt;"",INDIRECT("クライアント抽出!"&amp;E37&amp;MATCH(C37,クライアント抽出!A:A,0)&amp;""),"")</f>
        <v/>
      </c>
      <c r="E37" s="52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53" t="str">
        <f ca="1">IF(D37&lt;&gt;"",
IF(COUNTIF(C37,"*雙葉*"),
IF(ROUND((H37-M37)
/IF(COUNTIF(D37,"*キャラ*"),
VLOOKUP("*キャラ*",商品マスタ一覧!$D:$E,2,FALSE),
IF(COUNTIF(D37,"*赤*"),
VLOOKUP("*赤*",商品マスタ一覧!$D:$E,2,FALSE),
VLOOKUP("*"&amp;D37&amp;"*",商品マスタ一覧!$D:$E,2,FALSE))),0)&lt;=0,1,
ROUND((H37-M37)
/IF(COUNTIF(D37,"*キャラ*"),
VLOOKUP("*キャラ*",商品マスタ一覧!$D:$E,2,FALSE),
IF(COUNTIF(D37,"*赤*"),
VLOOKUP("*赤*",商品マスタ一覧!$D:$E,2,FALSE),
VLOOKUP("*"&amp;D37&amp;"*",商品マスタ一覧!$D:$E,2,FALSE))),0)),
IF(OR(COUNTIF(D37,"*キャラ*"),COUNTIF(D37,"*赤*")),"",
IF(VLOOKUP("*"&amp;D37&amp;"*",商品マスタ一覧!$D:$E,2,FALSE)=0,"",
IF(ROUND((H37-M37)
/VLOOKUP("*"&amp;D37&amp;"*",商品マスタ一覧!$D:$E,2,FALSE),0)&lt;=0,1,
ROUND((H37-M37)
/VLOOKUP("*"&amp;D37&amp;"*",商品マスタ一覧!$D:$E,2,FALSE),0))))),"")</f>
        <v/>
      </c>
      <c r="G37" s="52" t="str">
        <f ca="1">IF(F37&lt;&gt;"",
IF(VALUE(H37-M37)&gt;VALUE(IF(COUNTIF(D37,"*キャラ*"),
VLOOKUP("*キャラ*",商品マスタ一覧!$D:$E,2,FALSE),
IF(COUNTIF(D37,"*赤*"),
VLOOKUP("*赤*",商品マスタ一覧!$D:$E,2,FALSE),
VLOOKUP("*"&amp;D37&amp;"*",商品マスタ一覧!$D:$E,2,FALSE)))*F37),
"+"&amp;(H37-M37)-IF(COUNTIF(D37,"*キャラ*"),
VLOOKUP("*キャラ*",商品マスタ一覧!$D:$E,2,FALSE),
IF(COUNTIF(D37,"*赤*"),
VLOOKUP("*赤*",商品マスタ一覧!$D:$E,2,FALSE),
VLOOKUP("*"&amp;D37&amp;"*",商品マスタ一覧!$D:$E,2,FALSE)))*F37,
(H37-M37)-IF(COUNTIF(D37,"*キャラ*"),
VLOOKUP("*キャラ*",商品マスタ一覧!$D:$E,2,FALSE),
IF(COUNTIF(D37,"*赤*"),
VLOOKUP("*赤*",商品マスタ一覧!$D:$E,2,FALSE),
VLOOKUP("*"&amp;D37&amp;"*",商品マスタ一覧!$D:$E,2,FALSE)))*F37),"")</f>
        <v/>
      </c>
      <c r="H37" s="175" t="str">
        <f>IF(C37&lt;&gt;"",
クライアント抽出!B37,"")</f>
        <v/>
      </c>
      <c r="I37" s="52" t="str">
        <f t="array" aca="1" ref="I37" ca="1">IF(C37&lt;&gt;"",
IF(O37=1,
IF(SUMPRODUCT(COUNTIF(クライアント抽出!P37:U37,クライアント抽出!P37:U37))&gt;COUNTA(クライアント抽出!P37:U37),
INDIRECT("数出表_Excel!"&amp;INDEX(_xlfn.UNIQUE(_xlfn._xlws.FILTER(クライアント抽出!P37:U37,COUNTIF(クライアント抽出!P37:U37,クライアント抽出!P37:U37)&gt;1)),1)&amp;L37&amp;""),0),クライアント抽出!E37),"")</f>
        <v/>
      </c>
      <c r="J37" s="52" t="str">
        <f>IF(C37&lt;&gt;"",
VLOOKUP(
"*"&amp;LEFT(IF(COUNTIF(D37,"*学食*"),"キャラ弁（学食）",
IF(COUNTIF(D37,"*赤*"),"赤",
IF(COUNTIF(D37,"*キャラ弁当*"),"キャラ弁当",D37))),4)&amp;"*",注文弁当の抽出!$E$1:$F$15,2,FALSE),"")</f>
        <v/>
      </c>
      <c r="K37" s="52" t="str">
        <f ca="1">IF(クライアント抽出!P37&lt;&gt;"",SUBSTITUTE(ADDRESS(1,(CODE(クライアント抽出!P37)-64)*2-1,4),"1",""),"")</f>
        <v/>
      </c>
      <c r="L37" s="52" t="str">
        <f>IF(C37&lt;&gt;"",クライアント抽出!I37,"")</f>
        <v/>
      </c>
      <c r="M37" s="52">
        <f t="array" aca="1" ref="M37" ca="1">IF(C37&lt;&gt;"",
IF(K37&lt;&gt;"",INDIRECT("'数出表_Excel（アレルギー入力）'!"&amp;K37&amp;L37-1&amp;""),),)</f>
        <v>0</v>
      </c>
      <c r="N37" s="52" t="str">
        <f>IF(C37&lt;&gt;"",IF(OR(COUNTIF('盛付札（関数）'!D37,"*赤*"),COUNTIF('盛付札（関数）'!D37,"*キャラ*")),1,
VLOOKUP("*"&amp;D37&amp;"*",商品マスタ一覧!D:H,5,FALSE)),"")</f>
        <v/>
      </c>
      <c r="O37" s="52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52">
        <f t="shared" si="0"/>
        <v>0</v>
      </c>
      <c r="Q37" s="52" t="b">
        <f t="shared" si="1"/>
        <v>0</v>
      </c>
      <c r="R37" s="203" t="str">
        <f t="array" aca="1" ref="R37" ca="1">IFERROR(SMALL(IF(P$1:P$307&lt;&gt;0,P$1:P$307),ROW(A37)),"")</f>
        <v/>
      </c>
      <c r="S37" s="203" t="str">
        <f t="array" aca="1" ref="S37" ca="1">IF($R37&lt;&gt;"",
SUBSTITUTE(SUBSTITUTE(INDIRECT("C"&amp;$R37&amp;"")," 週3ｺｰｽ","")," 週5ｺｰｽ",""),"")</f>
        <v/>
      </c>
      <c r="T37" s="203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204" t="str">
        <f t="array" aca="1" ref="U37" ca="1">IF($R37&lt;&gt;"",
INDIRECT("F"&amp;$R37&amp;""),"")</f>
        <v/>
      </c>
      <c r="V37" s="203" t="str">
        <f t="array" aca="1" ref="V37" ca="1">IF($R37&lt;&gt;"",
INDIRECT("G"&amp;$R37&amp;""),"")</f>
        <v/>
      </c>
      <c r="W37" s="203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IF(OR(COUNTIF(INDIRECT("B"&amp;R37&amp;""),"*雙葉先生*"),COUNTIF(INDIRECT("B"&amp;R37-1&amp;""),"*雙葉*")),INDIRECT("H"&amp;R37&amp;""),INDIRECT("H"&amp;R37&amp;"")+INDIRECT("H"&amp;MATCH("雙葉'",INDIRECT("B"&amp;R37+3&amp;":B210"),0)+2+R37&amp;"")),
IF(AND(LEFT(INDIRECT("B"&amp;R37&amp;""),2)="博多",COUNTIF(B:B,"*博多*")&gt;=2),
INDIRECT("H"&amp;R37&amp;"")+INDIRECT("H"&amp;MATCH("*"&amp;INDIRECT("B"&amp;R37&amp;"")&amp;"*",INDIRECT("B"&amp;R37+1&amp;":B210"),0)+R37&amp;""),
IF(AND(LEFT(INDIRECT("B"&amp;R37&amp;""),3)="奈良屋",COUNTIF(B:B,"*奈良屋*")&gt;=2),
INDIRECT("H"&amp;R37&amp;"")+INDIRECT("H"&amp;MATCH("*"&amp;INDIRECT("B"&amp;R37&amp;"")&amp;"*",INDIRECT("B"&amp;R37+1&amp;":B210"),0)+R37&amp;"")
+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INDIRECT("H"&amp;R37&amp;"")))),"")</f>
        <v/>
      </c>
      <c r="X37" s="203" t="str">
        <f t="array" aca="1" ref="X37" ca="1">IF($R37&lt;&gt;"",
INDIRECT(""&amp;IF(COLUMN(I37)&lt;=26,CHAR(COLUMN(I37)+64),CHAR(INT((COLUMN(I37)-1)/26)+64)&amp;CHAR(MOD(COLUMN(I37)-1,26)+65))&amp;$R37&amp;""),"")</f>
        <v/>
      </c>
      <c r="Y37" s="203" t="str">
        <f t="array" aca="1" ref="Y37" ca="1">IF($R37&lt;&gt;"",
INDIRECT(""&amp;IF(COLUMN(J37)&lt;=26,CHAR(COLUMN(J37)+64),CHAR(INT((COLUMN(J37)-1)/26)+64)&amp;CHAR(MOD(COLUMN(J37)-1,26)+65))&amp;$R37&amp;""),"")</f>
        <v/>
      </c>
      <c r="Z37" s="203" t="str">
        <f t="shared" ca="1" si="2"/>
        <v/>
      </c>
      <c r="AA37" s="203" t="str">
        <f t="shared" ca="1" si="3"/>
        <v/>
      </c>
      <c r="AB37" s="203" t="str">
        <f t="array" aca="1" ref="AB37" ca="1">IF($R37&lt;&gt;"",
IF(AND(COUNTIF(INDIRECT("B"&amp;R37&amp;""),"*雙葉*"),COUNTIF(B:B,"*雙葉*")&gt;=2),
INDIRECT("M"&amp;R37&amp;"")+INDIRECT("M"&amp;MATCH("雙葉'",INDIRECT("B"&amp;R37+1&amp;":B210"),0)+R37&amp;""),
IF(AND(LEFT(INDIRECT("B"&amp;R37&amp;""),2)="博多",COUNTIF(B:B,"*博多*")&gt;=2),
INDIRECT("M"&amp;R37&amp;"")+INDIRECT("M"&amp;MATCH("*"&amp;INDIRECT("B"&amp;R37&amp;"")&amp;"*",INDIRECT("B"&amp;R37+1&amp;":B210"),0)+R37&amp;""),
IF(AND(LEFT(INDIRECT("B"&amp;R37&amp;""),3)="奈良屋",COUNTIF(B:B,"*奈良屋*")&gt;=2),
INDIRECT("M"&amp;R37&amp;"")+INDIRECT("M"&amp;MATCH("*"&amp;INDIRECT("B"&amp;R37&amp;"")&amp;"*",INDIRECT("B"&amp;R37+1&amp;":B210"),0)+R37&amp;"")
+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INDIRECT("M"&amp;R37&amp;"")))),"")</f>
        <v/>
      </c>
      <c r="AC37" s="203" t="str">
        <f t="shared" ca="1" si="4"/>
        <v/>
      </c>
      <c r="AD37" s="51" t="str">
        <f t="shared" ca="1" si="5"/>
        <v/>
      </c>
      <c r="AE37" s="51" t="str">
        <f t="shared" ca="1" si="6"/>
        <v/>
      </c>
      <c r="AF37" s="51" t="str">
        <f t="shared" ca="1" si="7"/>
        <v/>
      </c>
      <c r="AG37" s="51" t="str">
        <f t="shared" ca="1" si="8"/>
        <v/>
      </c>
      <c r="AH37" s="191" t="str">
        <f t="shared" ca="1" si="9"/>
        <v/>
      </c>
      <c r="AI37" s="51" t="str">
        <f t="shared" ca="1" si="10"/>
        <v/>
      </c>
      <c r="AJ37" s="51" t="str">
        <f t="shared" ca="1" si="11"/>
        <v/>
      </c>
      <c r="AK37" s="51" t="str">
        <f t="shared" ca="1" si="12"/>
        <v/>
      </c>
      <c r="AL37" s="51" t="str">
        <f t="shared" ca="1" si="13"/>
        <v/>
      </c>
      <c r="AM37" s="51" t="str">
        <f t="shared" ca="1" si="14"/>
        <v/>
      </c>
      <c r="AN37" s="51" t="str">
        <f t="shared" ca="1" si="15"/>
        <v/>
      </c>
      <c r="AO37" s="51" t="str">
        <f t="shared" ca="1" si="16"/>
        <v/>
      </c>
      <c r="AP37" s="51" t="str">
        <f t="shared" ca="1" si="17"/>
        <v/>
      </c>
      <c r="AU37" s="51" t="str">
        <f t="shared" ca="1" si="18"/>
        <v/>
      </c>
    </row>
    <row r="38" spans="1:47" ht="22.2" customHeight="1">
      <c r="A38" s="177">
        <f t="shared" si="21"/>
        <v>81</v>
      </c>
      <c r="B38" s="52" t="str">
        <f t="shared" si="22"/>
        <v/>
      </c>
      <c r="C38" s="52" t="str">
        <f>IF(OR(クライアント抽出!B38&lt;&gt;"",クライアント抽出!E38&lt;&gt;""),クライアント抽出!A38,"")</f>
        <v/>
      </c>
      <c r="D38" s="52" t="str">
        <f t="array" aca="1" ref="D38" ca="1">IF(C38&lt;&gt;"",INDIRECT("クライアント抽出!"&amp;E38&amp;MATCH(C38,クライアント抽出!A:A,0)&amp;""),"")</f>
        <v/>
      </c>
      <c r="E38" s="52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53" t="str">
        <f ca="1">IF(D38&lt;&gt;"",
IF(COUNTIF(C38,"*雙葉*"),
IF(ROUND((H38-M38)
/IF(COUNTIF(D38,"*キャラ*"),
VLOOKUP("*キャラ*",商品マスタ一覧!$D:$E,2,FALSE),
IF(COUNTIF(D38,"*赤*"),
VLOOKUP("*赤*",商品マスタ一覧!$D:$E,2,FALSE),
VLOOKUP("*"&amp;D38&amp;"*",商品マスタ一覧!$D:$E,2,FALSE))),0)&lt;=0,1,
ROUND((H38-M38)
/IF(COUNTIF(D38,"*キャラ*"),
VLOOKUP("*キャラ*",商品マスタ一覧!$D:$E,2,FALSE),
IF(COUNTIF(D38,"*赤*"),
VLOOKUP("*赤*",商品マスタ一覧!$D:$E,2,FALSE),
VLOOKUP("*"&amp;D38&amp;"*",商品マスタ一覧!$D:$E,2,FALSE))),0)),
IF(OR(COUNTIF(D38,"*キャラ*"),COUNTIF(D38,"*赤*")),"",
IF(VLOOKUP("*"&amp;D38&amp;"*",商品マスタ一覧!$D:$E,2,FALSE)=0,"",
IF(ROUND((H38-M38)
/VLOOKUP("*"&amp;D38&amp;"*",商品マスタ一覧!$D:$E,2,FALSE),0)&lt;=0,1,
ROUND((H38-M38)
/VLOOKUP("*"&amp;D38&amp;"*",商品マスタ一覧!$D:$E,2,FALSE),0))))),"")</f>
        <v/>
      </c>
      <c r="G38" s="52" t="str">
        <f ca="1">IF(F38&lt;&gt;"",
IF(VALUE(H38-M38)&gt;VALUE(IF(COUNTIF(D38,"*キャラ*"),
VLOOKUP("*キャラ*",商品マスタ一覧!$D:$E,2,FALSE),
IF(COUNTIF(D38,"*赤*"),
VLOOKUP("*赤*",商品マスタ一覧!$D:$E,2,FALSE),
VLOOKUP("*"&amp;D38&amp;"*",商品マスタ一覧!$D:$E,2,FALSE)))*F38),
"+"&amp;(H38-M38)-IF(COUNTIF(D38,"*キャラ*"),
VLOOKUP("*キャラ*",商品マスタ一覧!$D:$E,2,FALSE),
IF(COUNTIF(D38,"*赤*"),
VLOOKUP("*赤*",商品マスタ一覧!$D:$E,2,FALSE),
VLOOKUP("*"&amp;D38&amp;"*",商品マスタ一覧!$D:$E,2,FALSE)))*F38,
(H38-M38)-IF(COUNTIF(D38,"*キャラ*"),
VLOOKUP("*キャラ*",商品マスタ一覧!$D:$E,2,FALSE),
IF(COUNTIF(D38,"*赤*"),
VLOOKUP("*赤*",商品マスタ一覧!$D:$E,2,FALSE),
VLOOKUP("*"&amp;D38&amp;"*",商品マスタ一覧!$D:$E,2,FALSE)))*F38),"")</f>
        <v/>
      </c>
      <c r="H38" s="175" t="str">
        <f>IF(C38&lt;&gt;"",
クライアント抽出!B38,"")</f>
        <v/>
      </c>
      <c r="I38" s="52" t="str">
        <f t="array" aca="1" ref="I38" ca="1">IF(C38&lt;&gt;"",
IF(O38=1,
IF(SUMPRODUCT(COUNTIF(クライアント抽出!P38:U38,クライアント抽出!P38:U38))&gt;COUNTA(クライアント抽出!P38:U38),
INDIRECT("数出表_Excel!"&amp;INDEX(_xlfn.UNIQUE(_xlfn._xlws.FILTER(クライアント抽出!P38:U38,COUNTIF(クライアント抽出!P38:U38,クライアント抽出!P38:U38)&gt;1)),1)&amp;L38&amp;""),0),クライアント抽出!E38),"")</f>
        <v/>
      </c>
      <c r="J38" s="52" t="str">
        <f>IF(C38&lt;&gt;"",
VLOOKUP(
"*"&amp;LEFT(IF(COUNTIF(D38,"*学食*"),"キャラ弁（学食）",
IF(COUNTIF(D38,"*赤*"),"赤",
IF(COUNTIF(D38,"*キャラ弁当*"),"キャラ弁当",D38))),4)&amp;"*",注文弁当の抽出!$E$1:$F$15,2,FALSE),"")</f>
        <v/>
      </c>
      <c r="K38" s="52" t="str">
        <f ca="1">IF(クライアント抽出!P38&lt;&gt;"",SUBSTITUTE(ADDRESS(1,(CODE(クライアント抽出!P38)-64)*2-1,4),"1",""),"")</f>
        <v/>
      </c>
      <c r="L38" s="52" t="str">
        <f>IF(C38&lt;&gt;"",クライアント抽出!I38,"")</f>
        <v/>
      </c>
      <c r="M38" s="52">
        <f t="array" aca="1" ref="M38" ca="1">IF(C38&lt;&gt;"",
IF(K38&lt;&gt;"",INDIRECT("'数出表_Excel（アレルギー入力）'!"&amp;K38&amp;L38-1&amp;""),),)</f>
        <v>0</v>
      </c>
      <c r="N38" s="52" t="str">
        <f>IF(C38&lt;&gt;"",IF(OR(COUNTIF('盛付札（関数）'!D38,"*赤*"),COUNTIF('盛付札（関数）'!D38,"*キャラ*")),1,
VLOOKUP("*"&amp;D38&amp;"*",商品マスタ一覧!D:H,5,FALSE)),"")</f>
        <v/>
      </c>
      <c r="O38" s="52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52">
        <f t="shared" si="0"/>
        <v>0</v>
      </c>
      <c r="Q38" s="52" t="b">
        <f t="shared" si="1"/>
        <v>0</v>
      </c>
      <c r="R38" s="203" t="str">
        <f t="array" aca="1" ref="R38" ca="1">IFERROR(SMALL(IF(P$1:P$307&lt;&gt;0,P$1:P$307),ROW(A38)),"")</f>
        <v/>
      </c>
      <c r="S38" s="203" t="str">
        <f t="array" aca="1" ref="S38" ca="1">IF($R38&lt;&gt;"",
SUBSTITUTE(SUBSTITUTE(INDIRECT("C"&amp;$R38&amp;"")," 週3ｺｰｽ","")," 週5ｺｰｽ",""),"")</f>
        <v/>
      </c>
      <c r="T38" s="203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204" t="str">
        <f t="array" aca="1" ref="U38" ca="1">IF($R38&lt;&gt;"",
INDIRECT("F"&amp;$R38&amp;""),"")</f>
        <v/>
      </c>
      <c r="V38" s="203" t="str">
        <f t="array" aca="1" ref="V38" ca="1">IF($R38&lt;&gt;"",
INDIRECT("G"&amp;$R38&amp;""),"")</f>
        <v/>
      </c>
      <c r="W38" s="203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IF(OR(COUNTIF(INDIRECT("B"&amp;R38&amp;""),"*雙葉先生*"),COUNTIF(INDIRECT("B"&amp;R38-1&amp;""),"*雙葉*")),INDIRECT("H"&amp;R38&amp;""),INDIRECT("H"&amp;R38&amp;"")+INDIRECT("H"&amp;MATCH("雙葉'",INDIRECT("B"&amp;R38+3&amp;":B210"),0)+2+R38&amp;"")),
IF(AND(LEFT(INDIRECT("B"&amp;R38&amp;""),2)="博多",COUNTIF(B:B,"*博多*")&gt;=2),
INDIRECT("H"&amp;R38&amp;"")+INDIRECT("H"&amp;MATCH("*"&amp;INDIRECT("B"&amp;R38&amp;"")&amp;"*",INDIRECT("B"&amp;R38+1&amp;":B210"),0)+R38&amp;""),
IF(AND(LEFT(INDIRECT("B"&amp;R38&amp;""),3)="奈良屋",COUNTIF(B:B,"*奈良屋*")&gt;=2),
INDIRECT("H"&amp;R38&amp;"")+INDIRECT("H"&amp;MATCH("*"&amp;INDIRECT("B"&amp;R38&amp;"")&amp;"*",INDIRECT("B"&amp;R38+1&amp;":B210"),0)+R38&amp;"")
+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INDIRECT("H"&amp;R38&amp;"")))),"")</f>
        <v/>
      </c>
      <c r="X38" s="203" t="str">
        <f t="array" aca="1" ref="X38" ca="1">IF($R38&lt;&gt;"",
INDIRECT(""&amp;IF(COLUMN(I38)&lt;=26,CHAR(COLUMN(I38)+64),CHAR(INT((COLUMN(I38)-1)/26)+64)&amp;CHAR(MOD(COLUMN(I38)-1,26)+65))&amp;$R38&amp;""),"")</f>
        <v/>
      </c>
      <c r="Y38" s="203" t="str">
        <f t="array" aca="1" ref="Y38" ca="1">IF($R38&lt;&gt;"",
INDIRECT(""&amp;IF(COLUMN(J38)&lt;=26,CHAR(COLUMN(J38)+64),CHAR(INT((COLUMN(J38)-1)/26)+64)&amp;CHAR(MOD(COLUMN(J38)-1,26)+65))&amp;$R38&amp;""),"")</f>
        <v/>
      </c>
      <c r="Z38" s="203" t="str">
        <f t="shared" ca="1" si="2"/>
        <v/>
      </c>
      <c r="AA38" s="203" t="str">
        <f t="shared" ca="1" si="3"/>
        <v/>
      </c>
      <c r="AB38" s="203" t="str">
        <f t="array" aca="1" ref="AB38" ca="1">IF($R38&lt;&gt;"",
IF(AND(COUNTIF(INDIRECT("B"&amp;R38&amp;""),"*雙葉*"),COUNTIF(B:B,"*雙葉*")&gt;=2),
INDIRECT("M"&amp;R38&amp;"")+INDIRECT("M"&amp;MATCH("雙葉'",INDIRECT("B"&amp;R38+1&amp;":B210"),0)+R38&amp;""),
IF(AND(LEFT(INDIRECT("B"&amp;R38&amp;""),2)="博多",COUNTIF(B:B,"*博多*")&gt;=2),
INDIRECT("M"&amp;R38&amp;"")+INDIRECT("M"&amp;MATCH("*"&amp;INDIRECT("B"&amp;R38&amp;"")&amp;"*",INDIRECT("B"&amp;R38+1&amp;":B210"),0)+R38&amp;""),
IF(AND(LEFT(INDIRECT("B"&amp;R38&amp;""),3)="奈良屋",COUNTIF(B:B,"*奈良屋*")&gt;=2),
INDIRECT("M"&amp;R38&amp;"")+INDIRECT("M"&amp;MATCH("*"&amp;INDIRECT("B"&amp;R38&amp;"")&amp;"*",INDIRECT("B"&amp;R38+1&amp;":B210"),0)+R38&amp;"")
+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INDIRECT("M"&amp;R38&amp;"")))),"")</f>
        <v/>
      </c>
      <c r="AC38" s="203" t="str">
        <f t="shared" ca="1" si="4"/>
        <v/>
      </c>
      <c r="AD38" s="51" t="str">
        <f t="shared" ca="1" si="5"/>
        <v/>
      </c>
      <c r="AE38" s="51" t="str">
        <f t="shared" ca="1" si="6"/>
        <v/>
      </c>
      <c r="AF38" s="51" t="str">
        <f t="shared" ca="1" si="7"/>
        <v/>
      </c>
      <c r="AG38" s="51" t="str">
        <f t="shared" ca="1" si="8"/>
        <v/>
      </c>
      <c r="AH38" s="191" t="str">
        <f t="shared" ca="1" si="9"/>
        <v/>
      </c>
      <c r="AI38" s="51" t="str">
        <f t="shared" ca="1" si="10"/>
        <v/>
      </c>
      <c r="AJ38" s="51" t="str">
        <f t="shared" ca="1" si="11"/>
        <v/>
      </c>
      <c r="AK38" s="51" t="str">
        <f t="shared" ca="1" si="12"/>
        <v/>
      </c>
      <c r="AL38" s="51" t="str">
        <f t="shared" ca="1" si="13"/>
        <v/>
      </c>
      <c r="AM38" s="51" t="str">
        <f t="shared" ca="1" si="14"/>
        <v/>
      </c>
      <c r="AN38" s="51" t="str">
        <f t="shared" ca="1" si="15"/>
        <v/>
      </c>
      <c r="AO38" s="51" t="str">
        <f t="shared" ca="1" si="16"/>
        <v/>
      </c>
      <c r="AP38" s="51" t="str">
        <f t="shared" ca="1" si="17"/>
        <v/>
      </c>
      <c r="AU38" s="51" t="str">
        <f t="shared" ca="1" si="18"/>
        <v/>
      </c>
    </row>
    <row r="39" spans="1:47" ht="18" customHeight="1">
      <c r="A39" s="177">
        <f t="shared" si="21"/>
        <v>83</v>
      </c>
      <c r="B39" s="52" t="str">
        <f t="shared" si="22"/>
        <v/>
      </c>
      <c r="C39" s="52" t="str">
        <f>IF(OR(クライアント抽出!B39&lt;&gt;"",クライアント抽出!E39&lt;&gt;""),クライアント抽出!A39,"")</f>
        <v/>
      </c>
      <c r="D39" s="52" t="str">
        <f t="array" aca="1" ref="D39" ca="1">IF(C39&lt;&gt;"",INDIRECT("クライアント抽出!"&amp;E39&amp;MATCH(C39,クライアント抽出!A:A,0)&amp;""),"")</f>
        <v/>
      </c>
      <c r="E39" s="52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53" t="str">
        <f ca="1">IF(D39&lt;&gt;"",
IF(COUNTIF(C39,"*雙葉*"),
IF(ROUND((H39-M39)
/IF(COUNTIF(D39,"*キャラ*"),
VLOOKUP("*キャラ*",商品マスタ一覧!$D:$E,2,FALSE),
IF(COUNTIF(D39,"*赤*"),
VLOOKUP("*赤*",商品マスタ一覧!$D:$E,2,FALSE),
VLOOKUP("*"&amp;D39&amp;"*",商品マスタ一覧!$D:$E,2,FALSE))),0)&lt;=0,1,
ROUND((H39-M39)
/IF(COUNTIF(D39,"*キャラ*"),
VLOOKUP("*キャラ*",商品マスタ一覧!$D:$E,2,FALSE),
IF(COUNTIF(D39,"*赤*"),
VLOOKUP("*赤*",商品マスタ一覧!$D:$E,2,FALSE),
VLOOKUP("*"&amp;D39&amp;"*",商品マスタ一覧!$D:$E,2,FALSE))),0)),
IF(OR(COUNTIF(D39,"*キャラ*"),COUNTIF(D39,"*赤*")),"",
IF(VLOOKUP("*"&amp;D39&amp;"*",商品マスタ一覧!$D:$E,2,FALSE)=0,"",
IF(ROUND((H39-M39)
/VLOOKUP("*"&amp;D39&amp;"*",商品マスタ一覧!$D:$E,2,FALSE),0)&lt;=0,1,
ROUND((H39-M39)
/VLOOKUP("*"&amp;D39&amp;"*",商品マスタ一覧!$D:$E,2,FALSE),0))))),"")</f>
        <v/>
      </c>
      <c r="G39" s="52" t="str">
        <f ca="1">IF(F39&lt;&gt;"",
IF(VALUE(H39-M39)&gt;VALUE(IF(COUNTIF(D39,"*キャラ*"),
VLOOKUP("*キャラ*",商品マスタ一覧!$D:$E,2,FALSE),
IF(COUNTIF(D39,"*赤*"),
VLOOKUP("*赤*",商品マスタ一覧!$D:$E,2,FALSE),
VLOOKUP("*"&amp;D39&amp;"*",商品マスタ一覧!$D:$E,2,FALSE)))*F39),
"+"&amp;(H39-M39)-IF(COUNTIF(D39,"*キャラ*"),
VLOOKUP("*キャラ*",商品マスタ一覧!$D:$E,2,FALSE),
IF(COUNTIF(D39,"*赤*"),
VLOOKUP("*赤*",商品マスタ一覧!$D:$E,2,FALSE),
VLOOKUP("*"&amp;D39&amp;"*",商品マスタ一覧!$D:$E,2,FALSE)))*F39,
(H39-M39)-IF(COUNTIF(D39,"*キャラ*"),
VLOOKUP("*キャラ*",商品マスタ一覧!$D:$E,2,FALSE),
IF(COUNTIF(D39,"*赤*"),
VLOOKUP("*赤*",商品マスタ一覧!$D:$E,2,FALSE),
VLOOKUP("*"&amp;D39&amp;"*",商品マスタ一覧!$D:$E,2,FALSE)))*F39),"")</f>
        <v/>
      </c>
      <c r="H39" s="175" t="str">
        <f>IF(C39&lt;&gt;"",
クライアント抽出!B39,"")</f>
        <v/>
      </c>
      <c r="I39" s="52" t="str">
        <f t="array" aca="1" ref="I39" ca="1">IF(C39&lt;&gt;"",
IF(O39=1,
IF(SUMPRODUCT(COUNTIF(クライアント抽出!P39:U39,クライアント抽出!P39:U39))&gt;COUNTA(クライアント抽出!P39:U39),
INDIRECT("数出表_Excel!"&amp;INDEX(_xlfn.UNIQUE(_xlfn._xlws.FILTER(クライアント抽出!P39:U39,COUNTIF(クライアント抽出!P39:U39,クライアント抽出!P39:U39)&gt;1)),1)&amp;L39&amp;""),0),クライアント抽出!E39),"")</f>
        <v/>
      </c>
      <c r="J39" s="52" t="str">
        <f>IF(C39&lt;&gt;"",
VLOOKUP(
"*"&amp;LEFT(IF(COUNTIF(D39,"*学食*"),"キャラ弁（学食）",
IF(COUNTIF(D39,"*赤*"),"赤",
IF(COUNTIF(D39,"*キャラ弁当*"),"キャラ弁当",D39))),4)&amp;"*",注文弁当の抽出!$E$1:$F$15,2,FALSE),"")</f>
        <v/>
      </c>
      <c r="K39" s="52" t="str">
        <f ca="1">IF(クライアント抽出!P39&lt;&gt;"",SUBSTITUTE(ADDRESS(1,(CODE(クライアント抽出!P39)-64)*2-1,4),"1",""),"")</f>
        <v/>
      </c>
      <c r="L39" s="52" t="str">
        <f>IF(C39&lt;&gt;"",クライアント抽出!I39,"")</f>
        <v/>
      </c>
      <c r="M39" s="52">
        <f t="array" aca="1" ref="M39" ca="1">IF(C39&lt;&gt;"",
IF(K39&lt;&gt;"",INDIRECT("'数出表_Excel（アレルギー入力）'!"&amp;K39&amp;L39-1&amp;""),),)</f>
        <v>0</v>
      </c>
      <c r="N39" s="52" t="str">
        <f>IF(C39&lt;&gt;"",IF(OR(COUNTIF('盛付札（関数）'!D39,"*赤*"),COUNTIF('盛付札（関数）'!D39,"*キャラ*")),1,
VLOOKUP("*"&amp;D39&amp;"*",商品マスタ一覧!D:H,5,FALSE)),"")</f>
        <v/>
      </c>
      <c r="O39" s="52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52">
        <f t="shared" si="0"/>
        <v>0</v>
      </c>
      <c r="Q39" s="52" t="b">
        <f t="shared" si="1"/>
        <v>0</v>
      </c>
      <c r="R39" s="203" t="str">
        <f t="array" aca="1" ref="R39" ca="1">IFERROR(SMALL(IF(P$1:P$307&lt;&gt;0,P$1:P$307),ROW(A39)),"")</f>
        <v/>
      </c>
      <c r="S39" s="203" t="str">
        <f t="array" aca="1" ref="S39" ca="1">IF($R39&lt;&gt;"",
SUBSTITUTE(SUBSTITUTE(INDIRECT("C"&amp;$R39&amp;"")," 週3ｺｰｽ","")," 週5ｺｰｽ",""),"")</f>
        <v/>
      </c>
      <c r="T39" s="203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204" t="str">
        <f t="array" aca="1" ref="U39" ca="1">IF($R39&lt;&gt;"",
INDIRECT("F"&amp;$R39&amp;""),"")</f>
        <v/>
      </c>
      <c r="V39" s="203" t="str">
        <f t="array" aca="1" ref="V39" ca="1">IF($R39&lt;&gt;"",
INDIRECT("G"&amp;$R39&amp;""),"")</f>
        <v/>
      </c>
      <c r="W39" s="203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IF(OR(COUNTIF(INDIRECT("B"&amp;R39&amp;""),"*雙葉先生*"),COUNTIF(INDIRECT("B"&amp;R39-1&amp;""),"*雙葉*")),INDIRECT("H"&amp;R39&amp;""),INDIRECT("H"&amp;R39&amp;"")+INDIRECT("H"&amp;MATCH("雙葉'",INDIRECT("B"&amp;R39+3&amp;":B210"),0)+2+R39&amp;"")),
IF(AND(LEFT(INDIRECT("B"&amp;R39&amp;""),2)="博多",COUNTIF(B:B,"*博多*")&gt;=2),
INDIRECT("H"&amp;R39&amp;"")+INDIRECT("H"&amp;MATCH("*"&amp;INDIRECT("B"&amp;R39&amp;"")&amp;"*",INDIRECT("B"&amp;R39+1&amp;":B210"),0)+R39&amp;""),
IF(AND(LEFT(INDIRECT("B"&amp;R39&amp;""),3)="奈良屋",COUNTIF(B:B,"*奈良屋*")&gt;=2),
INDIRECT("H"&amp;R39&amp;"")+INDIRECT("H"&amp;MATCH("*"&amp;INDIRECT("B"&amp;R39&amp;"")&amp;"*",INDIRECT("B"&amp;R39+1&amp;":B210"),0)+R39&amp;"")
+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INDIRECT("H"&amp;R39&amp;"")))),"")</f>
        <v/>
      </c>
      <c r="X39" s="203" t="str">
        <f t="array" aca="1" ref="X39" ca="1">IF($R39&lt;&gt;"",
INDIRECT(""&amp;IF(COLUMN(I39)&lt;=26,CHAR(COLUMN(I39)+64),CHAR(INT((COLUMN(I39)-1)/26)+64)&amp;CHAR(MOD(COLUMN(I39)-1,26)+65))&amp;$R39&amp;""),"")</f>
        <v/>
      </c>
      <c r="Y39" s="203" t="str">
        <f t="array" aca="1" ref="Y39" ca="1">IF($R39&lt;&gt;"",
INDIRECT(""&amp;IF(COLUMN(J39)&lt;=26,CHAR(COLUMN(J39)+64),CHAR(INT((COLUMN(J39)-1)/26)+64)&amp;CHAR(MOD(COLUMN(J39)-1,26)+65))&amp;$R39&amp;""),"")</f>
        <v/>
      </c>
      <c r="Z39" s="203" t="str">
        <f t="shared" ca="1" si="2"/>
        <v/>
      </c>
      <c r="AA39" s="203" t="str">
        <f t="shared" ca="1" si="3"/>
        <v/>
      </c>
      <c r="AB39" s="203" t="str">
        <f t="array" aca="1" ref="AB39" ca="1">IF($R39&lt;&gt;"",
IF(AND(COUNTIF(INDIRECT("B"&amp;R39&amp;""),"*雙葉*"),COUNTIF(B:B,"*雙葉*")&gt;=2),
INDIRECT("M"&amp;R39&amp;"")+INDIRECT("M"&amp;MATCH("雙葉'",INDIRECT("B"&amp;R39+1&amp;":B210"),0)+R39&amp;""),
IF(AND(LEFT(INDIRECT("B"&amp;R39&amp;""),2)="博多",COUNTIF(B:B,"*博多*")&gt;=2),
INDIRECT("M"&amp;R39&amp;"")+INDIRECT("M"&amp;MATCH("*"&amp;INDIRECT("B"&amp;R39&amp;"")&amp;"*",INDIRECT("B"&amp;R39+1&amp;":B210"),0)+R39&amp;""),
IF(AND(LEFT(INDIRECT("B"&amp;R39&amp;""),3)="奈良屋",COUNTIF(B:B,"*奈良屋*")&gt;=2),
INDIRECT("M"&amp;R39&amp;"")+INDIRECT("M"&amp;MATCH("*"&amp;INDIRECT("B"&amp;R39&amp;"")&amp;"*",INDIRECT("B"&amp;R39+1&amp;":B210"),0)+R39&amp;"")
+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INDIRECT("M"&amp;R39&amp;"")))),"")</f>
        <v/>
      </c>
      <c r="AC39" s="203" t="str">
        <f t="shared" ca="1" si="4"/>
        <v/>
      </c>
      <c r="AD39" s="51" t="str">
        <f t="shared" ca="1" si="5"/>
        <v/>
      </c>
      <c r="AE39" s="51" t="str">
        <f t="shared" ca="1" si="6"/>
        <v/>
      </c>
      <c r="AF39" s="51" t="str">
        <f t="shared" ca="1" si="7"/>
        <v/>
      </c>
      <c r="AG39" s="51" t="str">
        <f t="shared" ca="1" si="8"/>
        <v/>
      </c>
      <c r="AH39" s="191" t="str">
        <f t="shared" ca="1" si="9"/>
        <v/>
      </c>
      <c r="AI39" s="51" t="str">
        <f t="shared" ca="1" si="10"/>
        <v/>
      </c>
      <c r="AJ39" s="51" t="str">
        <f t="shared" ca="1" si="11"/>
        <v/>
      </c>
      <c r="AK39" s="51" t="str">
        <f t="shared" ca="1" si="12"/>
        <v/>
      </c>
      <c r="AL39" s="51" t="str">
        <f t="shared" ca="1" si="13"/>
        <v/>
      </c>
      <c r="AM39" s="51" t="str">
        <f t="shared" ca="1" si="14"/>
        <v/>
      </c>
      <c r="AN39" s="51" t="str">
        <f t="shared" ca="1" si="15"/>
        <v/>
      </c>
      <c r="AO39" s="51" t="str">
        <f t="shared" ca="1" si="16"/>
        <v/>
      </c>
      <c r="AP39" s="51" t="str">
        <f t="shared" ca="1" si="17"/>
        <v/>
      </c>
      <c r="AU39" s="51" t="str">
        <f t="shared" ca="1" si="18"/>
        <v/>
      </c>
    </row>
    <row r="40" spans="1:47" ht="18" customHeight="1">
      <c r="A40" s="177">
        <f t="shared" si="21"/>
        <v>85</v>
      </c>
      <c r="B40" s="52" t="str">
        <f t="shared" si="22"/>
        <v/>
      </c>
      <c r="C40" s="52" t="str">
        <f>IF(OR(クライアント抽出!B40&lt;&gt;"",クライアント抽出!E40&lt;&gt;""),クライアント抽出!A40,"")</f>
        <v/>
      </c>
      <c r="D40" s="52" t="str">
        <f t="array" aca="1" ref="D40" ca="1">IF(C40&lt;&gt;"",INDIRECT("クライアント抽出!"&amp;E40&amp;MATCH(C40,クライアント抽出!A:A,0)&amp;""),"")</f>
        <v/>
      </c>
      <c r="E40" s="52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53" t="str">
        <f ca="1">IF(D40&lt;&gt;"",
IF(COUNTIF(C40,"*雙葉*"),
IF(ROUND((H40-M40)
/IF(COUNTIF(D40,"*キャラ*"),
VLOOKUP("*キャラ*",商品マスタ一覧!$D:$E,2,FALSE),
IF(COUNTIF(D40,"*赤*"),
VLOOKUP("*赤*",商品マスタ一覧!$D:$E,2,FALSE),
VLOOKUP("*"&amp;D40&amp;"*",商品マスタ一覧!$D:$E,2,FALSE))),0)&lt;=0,1,
ROUND((H40-M40)
/IF(COUNTIF(D40,"*キャラ*"),
VLOOKUP("*キャラ*",商品マスタ一覧!$D:$E,2,FALSE),
IF(COUNTIF(D40,"*赤*"),
VLOOKUP("*赤*",商品マスタ一覧!$D:$E,2,FALSE),
VLOOKUP("*"&amp;D40&amp;"*",商品マスタ一覧!$D:$E,2,FALSE))),0)),
IF(OR(COUNTIF(D40,"*キャラ*"),COUNTIF(D40,"*赤*")),"",
IF(VLOOKUP("*"&amp;D40&amp;"*",商品マスタ一覧!$D:$E,2,FALSE)=0,"",
IF(ROUND((H40-M40)
/VLOOKUP("*"&amp;D40&amp;"*",商品マスタ一覧!$D:$E,2,FALSE),0)&lt;=0,1,
ROUND((H40-M40)
/VLOOKUP("*"&amp;D40&amp;"*",商品マスタ一覧!$D:$E,2,FALSE),0))))),"")</f>
        <v/>
      </c>
      <c r="G40" s="52" t="str">
        <f ca="1">IF(F40&lt;&gt;"",
IF(VALUE(H40-M40)&gt;VALUE(IF(COUNTIF(D40,"*キャラ*"),
VLOOKUP("*キャラ*",商品マスタ一覧!$D:$E,2,FALSE),
IF(COUNTIF(D40,"*赤*"),
VLOOKUP("*赤*",商品マスタ一覧!$D:$E,2,FALSE),
VLOOKUP("*"&amp;D40&amp;"*",商品マスタ一覧!$D:$E,2,FALSE)))*F40),
"+"&amp;(H40-M40)-IF(COUNTIF(D40,"*キャラ*"),
VLOOKUP("*キャラ*",商品マスタ一覧!$D:$E,2,FALSE),
IF(COUNTIF(D40,"*赤*"),
VLOOKUP("*赤*",商品マスタ一覧!$D:$E,2,FALSE),
VLOOKUP("*"&amp;D40&amp;"*",商品マスタ一覧!$D:$E,2,FALSE)))*F40,
(H40-M40)-IF(COUNTIF(D40,"*キャラ*"),
VLOOKUP("*キャラ*",商品マスタ一覧!$D:$E,2,FALSE),
IF(COUNTIF(D40,"*赤*"),
VLOOKUP("*赤*",商品マスタ一覧!$D:$E,2,FALSE),
VLOOKUP("*"&amp;D40&amp;"*",商品マスタ一覧!$D:$E,2,FALSE)))*F40),"")</f>
        <v/>
      </c>
      <c r="H40" s="175" t="str">
        <f>IF(C40&lt;&gt;"",
クライアント抽出!B40,"")</f>
        <v/>
      </c>
      <c r="I40" s="52" t="str">
        <f t="array" aca="1" ref="I40" ca="1">IF(C40&lt;&gt;"",
IF(O40=1,
IF(SUMPRODUCT(COUNTIF(クライアント抽出!P40:U40,クライアント抽出!P40:U40))&gt;COUNTA(クライアント抽出!P40:U40),
INDIRECT("数出表_Excel!"&amp;INDEX(_xlfn.UNIQUE(_xlfn._xlws.FILTER(クライアント抽出!P40:U40,COUNTIF(クライアント抽出!P40:U40,クライアント抽出!P40:U40)&gt;1)),1)&amp;L40&amp;""),0),クライアント抽出!E40),"")</f>
        <v/>
      </c>
      <c r="J40" s="52" t="str">
        <f>IF(C40&lt;&gt;"",
VLOOKUP(
"*"&amp;LEFT(IF(COUNTIF(D40,"*学食*"),"キャラ弁（学食）",
IF(COUNTIF(D40,"*赤*"),"赤",
IF(COUNTIF(D40,"*キャラ弁当*"),"キャラ弁当",D40))),4)&amp;"*",注文弁当の抽出!$E$1:$F$15,2,FALSE),"")</f>
        <v/>
      </c>
      <c r="K40" s="52" t="str">
        <f ca="1">IF(クライアント抽出!P40&lt;&gt;"",SUBSTITUTE(ADDRESS(1,(CODE(クライアント抽出!P40)-64)*2-1,4),"1",""),"")</f>
        <v/>
      </c>
      <c r="L40" s="52" t="str">
        <f>IF(C40&lt;&gt;"",クライアント抽出!I40,"")</f>
        <v/>
      </c>
      <c r="M40" s="52">
        <f t="array" aca="1" ref="M40" ca="1">IF(C40&lt;&gt;"",
IF(K40&lt;&gt;"",INDIRECT("'数出表_Excel（アレルギー入力）'!"&amp;K40&amp;L40-1&amp;""),),)</f>
        <v>0</v>
      </c>
      <c r="N40" s="52" t="str">
        <f>IF(C40&lt;&gt;"",IF(OR(COUNTIF('盛付札（関数）'!D40,"*赤*"),COUNTIF('盛付札（関数）'!D40,"*キャラ*")),1,
VLOOKUP("*"&amp;D40&amp;"*",商品マスタ一覧!D:H,5,FALSE)),"")</f>
        <v/>
      </c>
      <c r="O40" s="52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52">
        <f t="shared" si="0"/>
        <v>0</v>
      </c>
      <c r="Q40" s="52" t="b">
        <f t="shared" si="1"/>
        <v>0</v>
      </c>
      <c r="R40" s="203" t="str">
        <f t="array" aca="1" ref="R40" ca="1">IFERROR(SMALL(IF(P$1:P$307&lt;&gt;0,P$1:P$307),ROW(A40)),"")</f>
        <v/>
      </c>
      <c r="S40" s="203" t="str">
        <f t="array" aca="1" ref="S40" ca="1">IF($R40&lt;&gt;"",
SUBSTITUTE(SUBSTITUTE(INDIRECT("C"&amp;$R40&amp;"")," 週3ｺｰｽ","")," 週5ｺｰｽ",""),"")</f>
        <v/>
      </c>
      <c r="T40" s="203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204" t="str">
        <f t="array" aca="1" ref="U40" ca="1">IF($R40&lt;&gt;"",
INDIRECT("F"&amp;$R40&amp;""),"")</f>
        <v/>
      </c>
      <c r="V40" s="203" t="str">
        <f t="array" aca="1" ref="V40" ca="1">IF($R40&lt;&gt;"",
INDIRECT("G"&amp;$R40&amp;""),"")</f>
        <v/>
      </c>
      <c r="W40" s="203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IF(OR(COUNTIF(INDIRECT("B"&amp;R40&amp;""),"*雙葉先生*"),COUNTIF(INDIRECT("B"&amp;R40-1&amp;""),"*雙葉*")),INDIRECT("H"&amp;R40&amp;""),INDIRECT("H"&amp;R40&amp;"")+INDIRECT("H"&amp;MATCH("雙葉'",INDIRECT("B"&amp;R40+3&amp;":B210"),0)+2+R40&amp;"")),
IF(AND(LEFT(INDIRECT("B"&amp;R40&amp;""),2)="博多",COUNTIF(B:B,"*博多*")&gt;=2),
INDIRECT("H"&amp;R40&amp;"")+INDIRECT("H"&amp;MATCH("*"&amp;INDIRECT("B"&amp;R40&amp;"")&amp;"*",INDIRECT("B"&amp;R40+1&amp;":B210"),0)+R40&amp;""),
IF(AND(LEFT(INDIRECT("B"&amp;R40&amp;""),3)="奈良屋",COUNTIF(B:B,"*奈良屋*")&gt;=2),
INDIRECT("H"&amp;R40&amp;"")+INDIRECT("H"&amp;MATCH("*"&amp;INDIRECT("B"&amp;R40&amp;"")&amp;"*",INDIRECT("B"&amp;R40+1&amp;":B210"),0)+R40&amp;"")
+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INDIRECT("H"&amp;R40&amp;"")))),"")</f>
        <v/>
      </c>
      <c r="X40" s="203" t="str">
        <f t="array" aca="1" ref="X40" ca="1">IF($R40&lt;&gt;"",
INDIRECT(""&amp;IF(COLUMN(I40)&lt;=26,CHAR(COLUMN(I40)+64),CHAR(INT((COLUMN(I40)-1)/26)+64)&amp;CHAR(MOD(COLUMN(I40)-1,26)+65))&amp;$R40&amp;""),"")</f>
        <v/>
      </c>
      <c r="Y40" s="203" t="str">
        <f t="array" aca="1" ref="Y40" ca="1">IF($R40&lt;&gt;"",
INDIRECT(""&amp;IF(COLUMN(J40)&lt;=26,CHAR(COLUMN(J40)+64),CHAR(INT((COLUMN(J40)-1)/26)+64)&amp;CHAR(MOD(COLUMN(J40)-1,26)+65))&amp;$R40&amp;""),"")</f>
        <v/>
      </c>
      <c r="Z40" s="203" t="str">
        <f t="shared" ca="1" si="2"/>
        <v/>
      </c>
      <c r="AA40" s="203" t="str">
        <f t="shared" ca="1" si="3"/>
        <v/>
      </c>
      <c r="AB40" s="203" t="str">
        <f t="array" aca="1" ref="AB40" ca="1">IF($R40&lt;&gt;"",
IF(AND(COUNTIF(INDIRECT("B"&amp;R40&amp;""),"*雙葉*"),COUNTIF(B:B,"*雙葉*")&gt;=2),
INDIRECT("M"&amp;R40&amp;"")+INDIRECT("M"&amp;MATCH("雙葉'",INDIRECT("B"&amp;R40+1&amp;":B210"),0)+R40&amp;""),
IF(AND(LEFT(INDIRECT("B"&amp;R40&amp;""),2)="博多",COUNTIF(B:B,"*博多*")&gt;=2),
INDIRECT("M"&amp;R40&amp;"")+INDIRECT("M"&amp;MATCH("*"&amp;INDIRECT("B"&amp;R40&amp;"")&amp;"*",INDIRECT("B"&amp;R40+1&amp;":B210"),0)+R40&amp;""),
IF(AND(LEFT(INDIRECT("B"&amp;R40&amp;""),3)="奈良屋",COUNTIF(B:B,"*奈良屋*")&gt;=2),
INDIRECT("M"&amp;R40&amp;"")+INDIRECT("M"&amp;MATCH("*"&amp;INDIRECT("B"&amp;R40&amp;"")&amp;"*",INDIRECT("B"&amp;R40+1&amp;":B210"),0)+R40&amp;"")
+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INDIRECT("M"&amp;R40&amp;"")))),"")</f>
        <v/>
      </c>
      <c r="AC40" s="203" t="str">
        <f t="shared" ca="1" si="4"/>
        <v/>
      </c>
      <c r="AD40" s="51" t="str">
        <f t="shared" ca="1" si="5"/>
        <v/>
      </c>
      <c r="AE40" s="51" t="str">
        <f t="shared" ca="1" si="6"/>
        <v/>
      </c>
      <c r="AF40" s="51" t="str">
        <f t="shared" ca="1" si="7"/>
        <v/>
      </c>
      <c r="AG40" s="51" t="str">
        <f t="shared" ca="1" si="8"/>
        <v/>
      </c>
      <c r="AH40" s="191" t="str">
        <f t="shared" ca="1" si="9"/>
        <v/>
      </c>
      <c r="AI40" s="51" t="str">
        <f t="shared" ca="1" si="10"/>
        <v/>
      </c>
      <c r="AJ40" s="51" t="str">
        <f t="shared" ca="1" si="11"/>
        <v/>
      </c>
      <c r="AK40" s="51" t="str">
        <f t="shared" ca="1" si="12"/>
        <v/>
      </c>
      <c r="AL40" s="51" t="str">
        <f t="shared" ca="1" si="13"/>
        <v/>
      </c>
      <c r="AM40" s="51" t="str">
        <f t="shared" ca="1" si="14"/>
        <v/>
      </c>
      <c r="AN40" s="51" t="str">
        <f t="shared" ca="1" si="15"/>
        <v/>
      </c>
      <c r="AO40" s="51" t="str">
        <f t="shared" ca="1" si="16"/>
        <v/>
      </c>
      <c r="AP40" s="51" t="str">
        <f t="shared" ca="1" si="17"/>
        <v/>
      </c>
      <c r="AU40" s="51" t="str">
        <f t="shared" ca="1" si="18"/>
        <v/>
      </c>
    </row>
    <row r="41" spans="1:47" ht="22.2" customHeight="1">
      <c r="A41" s="177">
        <f t="shared" si="21"/>
        <v>87</v>
      </c>
      <c r="B41" s="52" t="str">
        <f t="shared" si="22"/>
        <v/>
      </c>
      <c r="C41" s="52" t="str">
        <f>IF(OR(クライアント抽出!B41&lt;&gt;"",クライアント抽出!E41&lt;&gt;""),クライアント抽出!A41,"")</f>
        <v/>
      </c>
      <c r="D41" s="52" t="str">
        <f t="array" aca="1" ref="D41" ca="1">IF(C41&lt;&gt;"",INDIRECT("クライアント抽出!"&amp;E41&amp;MATCH(C41,クライアント抽出!A:A,0)&amp;""),"")</f>
        <v/>
      </c>
      <c r="E41" s="52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53" t="str">
        <f ca="1">IF(D41&lt;&gt;"",
IF(COUNTIF(C41,"*雙葉*"),
IF(ROUND((H41-M41)
/IF(COUNTIF(D41,"*キャラ*"),
VLOOKUP("*キャラ*",商品マスタ一覧!$D:$E,2,FALSE),
IF(COUNTIF(D41,"*赤*"),
VLOOKUP("*赤*",商品マスタ一覧!$D:$E,2,FALSE),
VLOOKUP("*"&amp;D41&amp;"*",商品マスタ一覧!$D:$E,2,FALSE))),0)&lt;=0,1,
ROUND((H41-M41)
/IF(COUNTIF(D41,"*キャラ*"),
VLOOKUP("*キャラ*",商品マスタ一覧!$D:$E,2,FALSE),
IF(COUNTIF(D41,"*赤*"),
VLOOKUP("*赤*",商品マスタ一覧!$D:$E,2,FALSE),
VLOOKUP("*"&amp;D41&amp;"*",商品マスタ一覧!$D:$E,2,FALSE))),0)),
IF(OR(COUNTIF(D41,"*キャラ*"),COUNTIF(D41,"*赤*")),"",
IF(VLOOKUP("*"&amp;D41&amp;"*",商品マスタ一覧!$D:$E,2,FALSE)=0,"",
IF(ROUND((H41-M41)
/VLOOKUP("*"&amp;D41&amp;"*",商品マスタ一覧!$D:$E,2,FALSE),0)&lt;=0,1,
ROUND((H41-M41)
/VLOOKUP("*"&amp;D41&amp;"*",商品マスタ一覧!$D:$E,2,FALSE),0))))),"")</f>
        <v/>
      </c>
      <c r="G41" s="52" t="str">
        <f ca="1">IF(F41&lt;&gt;"",
IF(VALUE(H41-M41)&gt;VALUE(IF(COUNTIF(D41,"*キャラ*"),
VLOOKUP("*キャラ*",商品マスタ一覧!$D:$E,2,FALSE),
IF(COUNTIF(D41,"*赤*"),
VLOOKUP("*赤*",商品マスタ一覧!$D:$E,2,FALSE),
VLOOKUP("*"&amp;D41&amp;"*",商品マスタ一覧!$D:$E,2,FALSE)))*F41),
"+"&amp;(H41-M41)-IF(COUNTIF(D41,"*キャラ*"),
VLOOKUP("*キャラ*",商品マスタ一覧!$D:$E,2,FALSE),
IF(COUNTIF(D41,"*赤*"),
VLOOKUP("*赤*",商品マスタ一覧!$D:$E,2,FALSE),
VLOOKUP("*"&amp;D41&amp;"*",商品マスタ一覧!$D:$E,2,FALSE)))*F41,
(H41-M41)-IF(COUNTIF(D41,"*キャラ*"),
VLOOKUP("*キャラ*",商品マスタ一覧!$D:$E,2,FALSE),
IF(COUNTIF(D41,"*赤*"),
VLOOKUP("*赤*",商品マスタ一覧!$D:$E,2,FALSE),
VLOOKUP("*"&amp;D41&amp;"*",商品マスタ一覧!$D:$E,2,FALSE)))*F41),"")</f>
        <v/>
      </c>
      <c r="H41" s="175" t="str">
        <f>IF(C41&lt;&gt;"",
クライアント抽出!B41,"")</f>
        <v/>
      </c>
      <c r="I41" s="52" t="str">
        <f t="array" aca="1" ref="I41" ca="1">IF(C41&lt;&gt;"",
IF(O41=1,
IF(SUMPRODUCT(COUNTIF(クライアント抽出!P41:U41,クライアント抽出!P41:U41))&gt;COUNTA(クライアント抽出!P41:U41),
INDIRECT("数出表_Excel!"&amp;INDEX(_xlfn.UNIQUE(_xlfn._xlws.FILTER(クライアント抽出!P41:U41,COUNTIF(クライアント抽出!P41:U41,クライアント抽出!P41:U41)&gt;1)),1)&amp;L41&amp;""),0),クライアント抽出!E41),"")</f>
        <v/>
      </c>
      <c r="J41" s="52" t="str">
        <f>IF(C41&lt;&gt;"",
VLOOKUP(
"*"&amp;LEFT(IF(COUNTIF(D41,"*学食*"),"キャラ弁（学食）",
IF(COUNTIF(D41,"*赤*"),"赤",
IF(COUNTIF(D41,"*キャラ弁当*"),"キャラ弁当",D41))),4)&amp;"*",注文弁当の抽出!$E$1:$F$15,2,FALSE),"")</f>
        <v/>
      </c>
      <c r="K41" s="52" t="str">
        <f ca="1">IF(クライアント抽出!P41&lt;&gt;"",SUBSTITUTE(ADDRESS(1,(CODE(クライアント抽出!P41)-64)*2-1,4),"1",""),"")</f>
        <v/>
      </c>
      <c r="L41" s="52" t="str">
        <f>IF(C41&lt;&gt;"",クライアント抽出!I41,"")</f>
        <v/>
      </c>
      <c r="M41" s="52">
        <f t="array" aca="1" ref="M41" ca="1">IF(C41&lt;&gt;"",
IF(K41&lt;&gt;"",INDIRECT("'数出表_Excel（アレルギー入力）'!"&amp;K41&amp;L41-1&amp;""),),)</f>
        <v>0</v>
      </c>
      <c r="N41" s="52" t="str">
        <f>IF(C41&lt;&gt;"",IF(OR(COUNTIF('盛付札（関数）'!D41,"*赤*"),COUNTIF('盛付札（関数）'!D41,"*キャラ*")),1,
VLOOKUP("*"&amp;D41&amp;"*",商品マスタ一覧!D:H,5,FALSE)),"")</f>
        <v/>
      </c>
      <c r="O41" s="52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52">
        <f t="shared" si="0"/>
        <v>0</v>
      </c>
      <c r="Q41" s="52" t="b">
        <f t="shared" si="1"/>
        <v>0</v>
      </c>
      <c r="R41" s="203" t="str">
        <f t="array" aca="1" ref="R41" ca="1">IFERROR(SMALL(IF(P$1:P$307&lt;&gt;0,P$1:P$307),ROW(A41)),"")</f>
        <v/>
      </c>
      <c r="S41" s="203" t="str">
        <f t="array" aca="1" ref="S41" ca="1">IF($R41&lt;&gt;"",
SUBSTITUTE(SUBSTITUTE(INDIRECT("C"&amp;$R41&amp;"")," 週3ｺｰｽ","")," 週5ｺｰｽ",""),"")</f>
        <v/>
      </c>
      <c r="T41" s="203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204" t="str">
        <f t="array" aca="1" ref="U41" ca="1">IF($R41&lt;&gt;"",
INDIRECT("F"&amp;$R41&amp;""),"")</f>
        <v/>
      </c>
      <c r="V41" s="203" t="str">
        <f t="array" aca="1" ref="V41" ca="1">IF($R41&lt;&gt;"",
INDIRECT("G"&amp;$R41&amp;""),"")</f>
        <v/>
      </c>
      <c r="W41" s="203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IF(OR(COUNTIF(INDIRECT("B"&amp;R41&amp;""),"*雙葉先生*"),COUNTIF(INDIRECT("B"&amp;R41-1&amp;""),"*雙葉*")),INDIRECT("H"&amp;R41&amp;""),INDIRECT("H"&amp;R41&amp;"")+INDIRECT("H"&amp;MATCH("雙葉'",INDIRECT("B"&amp;R41+3&amp;":B210"),0)+2+R41&amp;"")),
IF(AND(LEFT(INDIRECT("B"&amp;R41&amp;""),2)="博多",COUNTIF(B:B,"*博多*")&gt;=2),
INDIRECT("H"&amp;R41&amp;"")+INDIRECT("H"&amp;MATCH("*"&amp;INDIRECT("B"&amp;R41&amp;"")&amp;"*",INDIRECT("B"&amp;R41+1&amp;":B210"),0)+R41&amp;""),
IF(AND(LEFT(INDIRECT("B"&amp;R41&amp;""),3)="奈良屋",COUNTIF(B:B,"*奈良屋*")&gt;=2),
INDIRECT("H"&amp;R41&amp;"")+INDIRECT("H"&amp;MATCH("*"&amp;INDIRECT("B"&amp;R41&amp;"")&amp;"*",INDIRECT("B"&amp;R41+1&amp;":B210"),0)+R41&amp;"")
+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INDIRECT("H"&amp;R41&amp;"")))),"")</f>
        <v/>
      </c>
      <c r="X41" s="203" t="str">
        <f t="array" aca="1" ref="X41" ca="1">IF($R41&lt;&gt;"",
INDIRECT(""&amp;IF(COLUMN(I41)&lt;=26,CHAR(COLUMN(I41)+64),CHAR(INT((COLUMN(I41)-1)/26)+64)&amp;CHAR(MOD(COLUMN(I41)-1,26)+65))&amp;$R41&amp;""),"")</f>
        <v/>
      </c>
      <c r="Y41" s="203" t="str">
        <f t="array" aca="1" ref="Y41" ca="1">IF($R41&lt;&gt;"",
INDIRECT(""&amp;IF(COLUMN(J41)&lt;=26,CHAR(COLUMN(J41)+64),CHAR(INT((COLUMN(J41)-1)/26)+64)&amp;CHAR(MOD(COLUMN(J41)-1,26)+65))&amp;$R41&amp;""),"")</f>
        <v/>
      </c>
      <c r="Z41" s="203" t="str">
        <f t="shared" ca="1" si="2"/>
        <v/>
      </c>
      <c r="AA41" s="203" t="str">
        <f t="shared" ca="1" si="3"/>
        <v/>
      </c>
      <c r="AB41" s="203" t="str">
        <f t="array" aca="1" ref="AB41" ca="1">IF($R41&lt;&gt;"",
IF(AND(COUNTIF(INDIRECT("B"&amp;R41&amp;""),"*雙葉*"),COUNTIF(B:B,"*雙葉*")&gt;=2),
INDIRECT("M"&amp;R41&amp;"")+INDIRECT("M"&amp;MATCH("雙葉'",INDIRECT("B"&amp;R41+1&amp;":B210"),0)+R41&amp;""),
IF(AND(LEFT(INDIRECT("B"&amp;R41&amp;""),2)="博多",COUNTIF(B:B,"*博多*")&gt;=2),
INDIRECT("M"&amp;R41&amp;"")+INDIRECT("M"&amp;MATCH("*"&amp;INDIRECT("B"&amp;R41&amp;"")&amp;"*",INDIRECT("B"&amp;R41+1&amp;":B210"),0)+R41&amp;""),
IF(AND(LEFT(INDIRECT("B"&amp;R41&amp;""),3)="奈良屋",COUNTIF(B:B,"*奈良屋*")&gt;=2),
INDIRECT("M"&amp;R41&amp;"")+INDIRECT("M"&amp;MATCH("*"&amp;INDIRECT("B"&amp;R41&amp;"")&amp;"*",INDIRECT("B"&amp;R41+1&amp;":B210"),0)+R41&amp;"")
+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INDIRECT("M"&amp;R41&amp;"")))),"")</f>
        <v/>
      </c>
      <c r="AC41" s="203" t="str">
        <f t="shared" ca="1" si="4"/>
        <v/>
      </c>
      <c r="AD41" s="51" t="str">
        <f t="shared" ca="1" si="5"/>
        <v/>
      </c>
      <c r="AE41" s="51" t="str">
        <f t="shared" ca="1" si="6"/>
        <v/>
      </c>
      <c r="AF41" s="51" t="str">
        <f t="shared" ca="1" si="7"/>
        <v/>
      </c>
      <c r="AG41" s="51" t="str">
        <f t="shared" ca="1" si="8"/>
        <v/>
      </c>
      <c r="AH41" s="191" t="str">
        <f t="shared" ca="1" si="9"/>
        <v/>
      </c>
      <c r="AI41" s="51" t="str">
        <f t="shared" ca="1" si="10"/>
        <v/>
      </c>
      <c r="AJ41" s="51" t="str">
        <f t="shared" ca="1" si="11"/>
        <v/>
      </c>
      <c r="AK41" s="51" t="str">
        <f t="shared" ca="1" si="12"/>
        <v/>
      </c>
      <c r="AL41" s="51" t="str">
        <f t="shared" ca="1" si="13"/>
        <v/>
      </c>
      <c r="AM41" s="51" t="str">
        <f t="shared" ca="1" si="14"/>
        <v/>
      </c>
      <c r="AN41" s="51" t="str">
        <f t="shared" ca="1" si="15"/>
        <v/>
      </c>
      <c r="AO41" s="51" t="str">
        <f t="shared" ca="1" si="16"/>
        <v/>
      </c>
      <c r="AP41" s="51" t="str">
        <f t="shared" ca="1" si="17"/>
        <v/>
      </c>
      <c r="AU41" s="51" t="str">
        <f t="shared" ca="1" si="18"/>
        <v/>
      </c>
    </row>
    <row r="42" spans="1:47" ht="21" customHeight="1">
      <c r="A42" s="177">
        <f t="shared" si="21"/>
        <v>89</v>
      </c>
      <c r="B42" s="52" t="str">
        <f t="shared" si="22"/>
        <v/>
      </c>
      <c r="C42" s="52" t="str">
        <f>IF(OR(クライアント抽出!B42&lt;&gt;"",クライアント抽出!E42&lt;&gt;""),クライアント抽出!A42,"")</f>
        <v/>
      </c>
      <c r="D42" s="52" t="str">
        <f t="array" aca="1" ref="D42" ca="1">IF(C42&lt;&gt;"",INDIRECT("クライアント抽出!"&amp;E42&amp;MATCH(C42,クライアント抽出!A:A,0)&amp;""),"")</f>
        <v/>
      </c>
      <c r="E42" s="52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53" t="str">
        <f ca="1">IF(D42&lt;&gt;"",
IF(COUNTIF(C42,"*雙葉*"),
IF(ROUND((H42-M42)
/IF(COUNTIF(D42,"*キャラ*"),
VLOOKUP("*キャラ*",商品マスタ一覧!$D:$E,2,FALSE),
IF(COUNTIF(D42,"*赤*"),
VLOOKUP("*赤*",商品マスタ一覧!$D:$E,2,FALSE),
VLOOKUP("*"&amp;D42&amp;"*",商品マスタ一覧!$D:$E,2,FALSE))),0)&lt;=0,1,
ROUND((H42-M42)
/IF(COUNTIF(D42,"*キャラ*"),
VLOOKUP("*キャラ*",商品マスタ一覧!$D:$E,2,FALSE),
IF(COUNTIF(D42,"*赤*"),
VLOOKUP("*赤*",商品マスタ一覧!$D:$E,2,FALSE),
VLOOKUP("*"&amp;D42&amp;"*",商品マスタ一覧!$D:$E,2,FALSE))),0)),
IF(OR(COUNTIF(D42,"*キャラ*"),COUNTIF(D42,"*赤*")),"",
IF(VLOOKUP("*"&amp;D42&amp;"*",商品マスタ一覧!$D:$E,2,FALSE)=0,"",
IF(ROUND((H42-M42)
/VLOOKUP("*"&amp;D42&amp;"*",商品マスタ一覧!$D:$E,2,FALSE),0)&lt;=0,1,
ROUND((H42-M42)
/VLOOKUP("*"&amp;D42&amp;"*",商品マスタ一覧!$D:$E,2,FALSE),0))))),"")</f>
        <v/>
      </c>
      <c r="G42" s="52" t="str">
        <f ca="1">IF(F42&lt;&gt;"",
IF(VALUE(H42-M42)&gt;VALUE(IF(COUNTIF(D42,"*キャラ*"),
VLOOKUP("*キャラ*",商品マスタ一覧!$D:$E,2,FALSE),
IF(COUNTIF(D42,"*赤*"),
VLOOKUP("*赤*",商品マスタ一覧!$D:$E,2,FALSE),
VLOOKUP("*"&amp;D42&amp;"*",商品マスタ一覧!$D:$E,2,FALSE)))*F42),
"+"&amp;(H42-M42)-IF(COUNTIF(D42,"*キャラ*"),
VLOOKUP("*キャラ*",商品マスタ一覧!$D:$E,2,FALSE),
IF(COUNTIF(D42,"*赤*"),
VLOOKUP("*赤*",商品マスタ一覧!$D:$E,2,FALSE),
VLOOKUP("*"&amp;D42&amp;"*",商品マスタ一覧!$D:$E,2,FALSE)))*F42,
(H42-M42)-IF(COUNTIF(D42,"*キャラ*"),
VLOOKUP("*キャラ*",商品マスタ一覧!$D:$E,2,FALSE),
IF(COUNTIF(D42,"*赤*"),
VLOOKUP("*赤*",商品マスタ一覧!$D:$E,2,FALSE),
VLOOKUP("*"&amp;D42&amp;"*",商品マスタ一覧!$D:$E,2,FALSE)))*F42),"")</f>
        <v/>
      </c>
      <c r="H42" s="175" t="str">
        <f>IF(C42&lt;&gt;"",
クライアント抽出!B42,"")</f>
        <v/>
      </c>
      <c r="I42" s="52" t="str">
        <f t="array" aca="1" ref="I42" ca="1">IF(C42&lt;&gt;"",
IF(O42=1,
IF(SUMPRODUCT(COUNTIF(クライアント抽出!P42:U42,クライアント抽出!P42:U42))&gt;COUNTA(クライアント抽出!P42:U42),
INDIRECT("数出表_Excel!"&amp;INDEX(_xlfn.UNIQUE(_xlfn._xlws.FILTER(クライアント抽出!P42:U42,COUNTIF(クライアント抽出!P42:U42,クライアント抽出!P42:U42)&gt;1)),1)&amp;L42&amp;""),0),クライアント抽出!E42),"")</f>
        <v/>
      </c>
      <c r="J42" s="52" t="str">
        <f>IF(C42&lt;&gt;"",
VLOOKUP(
"*"&amp;LEFT(IF(COUNTIF(D42,"*学食*"),"キャラ弁（学食）",
IF(COUNTIF(D42,"*赤*"),"赤",
IF(COUNTIF(D42,"*キャラ弁当*"),"キャラ弁当",D42))),4)&amp;"*",注文弁当の抽出!$E$1:$F$15,2,FALSE),"")</f>
        <v/>
      </c>
      <c r="K42" s="52" t="str">
        <f ca="1">IF(クライアント抽出!P42&lt;&gt;"",SUBSTITUTE(ADDRESS(1,(CODE(クライアント抽出!P42)-64)*2-1,4),"1",""),"")</f>
        <v/>
      </c>
      <c r="L42" s="52" t="str">
        <f>IF(C42&lt;&gt;"",クライアント抽出!I42,"")</f>
        <v/>
      </c>
      <c r="M42" s="52">
        <f t="array" aca="1" ref="M42" ca="1">IF(C42&lt;&gt;"",
IF(K42&lt;&gt;"",INDIRECT("'数出表_Excel（アレルギー入力）'!"&amp;K42&amp;L42-1&amp;""),),)</f>
        <v>0</v>
      </c>
      <c r="N42" s="52" t="str">
        <f>IF(C42&lt;&gt;"",IF(OR(COUNTIF('盛付札（関数）'!D42,"*赤*"),COUNTIF('盛付札（関数）'!D42,"*キャラ*")),1,
VLOOKUP("*"&amp;D42&amp;"*",商品マスタ一覧!D:H,5,FALSE)),"")</f>
        <v/>
      </c>
      <c r="O42" s="52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52">
        <f t="shared" si="0"/>
        <v>0</v>
      </c>
      <c r="Q42" s="52" t="b">
        <f t="shared" si="1"/>
        <v>0</v>
      </c>
      <c r="R42" s="203" t="str">
        <f t="array" aca="1" ref="R42" ca="1">IFERROR(SMALL(IF(P$1:P$307&lt;&gt;0,P$1:P$307),ROW(A42)),"")</f>
        <v/>
      </c>
      <c r="S42" s="203" t="str">
        <f t="array" aca="1" ref="S42" ca="1">IF($R42&lt;&gt;"",
SUBSTITUTE(SUBSTITUTE(INDIRECT("C"&amp;$R42&amp;"")," 週3ｺｰｽ","")," 週5ｺｰｽ",""),"")</f>
        <v/>
      </c>
      <c r="T42" s="203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204" t="str">
        <f t="array" aca="1" ref="U42" ca="1">IF($R42&lt;&gt;"",
INDIRECT("F"&amp;$R42&amp;""),"")</f>
        <v/>
      </c>
      <c r="V42" s="203" t="str">
        <f t="array" aca="1" ref="V42" ca="1">IF($R42&lt;&gt;"",
INDIRECT("G"&amp;$R42&amp;""),"")</f>
        <v/>
      </c>
      <c r="W42" s="203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IF(OR(COUNTIF(INDIRECT("B"&amp;R42&amp;""),"*雙葉先生*"),COUNTIF(INDIRECT("B"&amp;R42-1&amp;""),"*雙葉*")),INDIRECT("H"&amp;R42&amp;""),INDIRECT("H"&amp;R42&amp;"")+INDIRECT("H"&amp;MATCH("雙葉'",INDIRECT("B"&amp;R42+3&amp;":B210"),0)+2+R42&amp;"")),
IF(AND(LEFT(INDIRECT("B"&amp;R42&amp;""),2)="博多",COUNTIF(B:B,"*博多*")&gt;=2),
INDIRECT("H"&amp;R42&amp;"")+INDIRECT("H"&amp;MATCH("*"&amp;INDIRECT("B"&amp;R42&amp;"")&amp;"*",INDIRECT("B"&amp;R42+1&amp;":B210"),0)+R42&amp;""),
IF(AND(LEFT(INDIRECT("B"&amp;R42&amp;""),3)="奈良屋",COUNTIF(B:B,"*奈良屋*")&gt;=2),
INDIRECT("H"&amp;R42&amp;"")+INDIRECT("H"&amp;MATCH("*"&amp;INDIRECT("B"&amp;R42&amp;"")&amp;"*",INDIRECT("B"&amp;R42+1&amp;":B210"),0)+R42&amp;"")
+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INDIRECT("H"&amp;R42&amp;"")))),"")</f>
        <v/>
      </c>
      <c r="X42" s="203" t="str">
        <f t="array" aca="1" ref="X42" ca="1">IF($R42&lt;&gt;"",
INDIRECT(""&amp;IF(COLUMN(I42)&lt;=26,CHAR(COLUMN(I42)+64),CHAR(INT((COLUMN(I42)-1)/26)+64)&amp;CHAR(MOD(COLUMN(I42)-1,26)+65))&amp;$R42&amp;""),"")</f>
        <v/>
      </c>
      <c r="Y42" s="203" t="str">
        <f t="array" aca="1" ref="Y42" ca="1">IF($R42&lt;&gt;"",
INDIRECT(""&amp;IF(COLUMN(J42)&lt;=26,CHAR(COLUMN(J42)+64),CHAR(INT((COLUMN(J42)-1)/26)+64)&amp;CHAR(MOD(COLUMN(J42)-1,26)+65))&amp;$R42&amp;""),"")</f>
        <v/>
      </c>
      <c r="Z42" s="203" t="str">
        <f t="shared" ca="1" si="2"/>
        <v/>
      </c>
      <c r="AA42" s="203" t="str">
        <f t="shared" ca="1" si="3"/>
        <v/>
      </c>
      <c r="AB42" s="203" t="str">
        <f t="array" aca="1" ref="AB42" ca="1">IF($R42&lt;&gt;"",
IF(AND(COUNTIF(INDIRECT("B"&amp;R42&amp;""),"*雙葉*"),COUNTIF(B:B,"*雙葉*")&gt;=2),
INDIRECT("M"&amp;R42&amp;"")+INDIRECT("M"&amp;MATCH("雙葉'",INDIRECT("B"&amp;R42+1&amp;":B210"),0)+R42&amp;""),
IF(AND(LEFT(INDIRECT("B"&amp;R42&amp;""),2)="博多",COUNTIF(B:B,"*博多*")&gt;=2),
INDIRECT("M"&amp;R42&amp;"")+INDIRECT("M"&amp;MATCH("*"&amp;INDIRECT("B"&amp;R42&amp;"")&amp;"*",INDIRECT("B"&amp;R42+1&amp;":B210"),0)+R42&amp;""),
IF(AND(LEFT(INDIRECT("B"&amp;R42&amp;""),3)="奈良屋",COUNTIF(B:B,"*奈良屋*")&gt;=2),
INDIRECT("M"&amp;R42&amp;"")+INDIRECT("M"&amp;MATCH("*"&amp;INDIRECT("B"&amp;R42&amp;"")&amp;"*",INDIRECT("B"&amp;R42+1&amp;":B210"),0)+R42&amp;"")
+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INDIRECT("M"&amp;R42&amp;"")))),"")</f>
        <v/>
      </c>
      <c r="AC42" s="203" t="str">
        <f t="shared" ca="1" si="4"/>
        <v/>
      </c>
      <c r="AD42" s="51" t="str">
        <f t="shared" ca="1" si="5"/>
        <v/>
      </c>
      <c r="AE42" s="51" t="str">
        <f t="shared" ca="1" si="6"/>
        <v/>
      </c>
      <c r="AF42" s="51" t="str">
        <f t="shared" ca="1" si="7"/>
        <v/>
      </c>
      <c r="AG42" s="51" t="str">
        <f t="shared" ca="1" si="8"/>
        <v/>
      </c>
      <c r="AH42" s="191" t="str">
        <f t="shared" ca="1" si="9"/>
        <v/>
      </c>
      <c r="AI42" s="51" t="str">
        <f t="shared" ca="1" si="10"/>
        <v/>
      </c>
      <c r="AJ42" s="51" t="str">
        <f t="shared" ca="1" si="11"/>
        <v/>
      </c>
      <c r="AK42" s="51" t="str">
        <f t="shared" ca="1" si="12"/>
        <v/>
      </c>
      <c r="AL42" s="51" t="str">
        <f t="shared" ca="1" si="13"/>
        <v/>
      </c>
      <c r="AM42" s="51" t="str">
        <f t="shared" ca="1" si="14"/>
        <v/>
      </c>
      <c r="AN42" s="51" t="str">
        <f t="shared" ca="1" si="15"/>
        <v/>
      </c>
      <c r="AO42" s="51" t="str">
        <f t="shared" ca="1" si="16"/>
        <v/>
      </c>
      <c r="AP42" s="51" t="str">
        <f t="shared" ca="1" si="17"/>
        <v/>
      </c>
      <c r="AU42" s="51" t="str">
        <f t="shared" ca="1" si="18"/>
        <v/>
      </c>
    </row>
    <row r="43" spans="1:47" ht="18" customHeight="1">
      <c r="A43" s="177">
        <f t="shared" si="21"/>
        <v>91</v>
      </c>
      <c r="B43" s="52" t="str">
        <f t="shared" si="22"/>
        <v/>
      </c>
      <c r="C43" s="52" t="str">
        <f>IF(OR(クライアント抽出!B43&lt;&gt;"",クライアント抽出!E43&lt;&gt;""),クライアント抽出!A43,"")</f>
        <v/>
      </c>
      <c r="D43" s="52" t="str">
        <f t="array" aca="1" ref="D43" ca="1">IF(C43&lt;&gt;"",INDIRECT("クライアント抽出!"&amp;E43&amp;MATCH(C43,クライアント抽出!A:A,0)&amp;""),"")</f>
        <v/>
      </c>
      <c r="E43" s="52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53" t="str">
        <f ca="1">IF(D43&lt;&gt;"",
IF(COUNTIF(C43,"*雙葉*"),
IF(ROUND((H43-M43)
/IF(COUNTIF(D43,"*キャラ*"),
VLOOKUP("*キャラ*",商品マスタ一覧!$D:$E,2,FALSE),
IF(COUNTIF(D43,"*赤*"),
VLOOKUP("*赤*",商品マスタ一覧!$D:$E,2,FALSE),
VLOOKUP("*"&amp;D43&amp;"*",商品マスタ一覧!$D:$E,2,FALSE))),0)&lt;=0,1,
ROUND((H43-M43)
/IF(COUNTIF(D43,"*キャラ*"),
VLOOKUP("*キャラ*",商品マスタ一覧!$D:$E,2,FALSE),
IF(COUNTIF(D43,"*赤*"),
VLOOKUP("*赤*",商品マスタ一覧!$D:$E,2,FALSE),
VLOOKUP("*"&amp;D43&amp;"*",商品マスタ一覧!$D:$E,2,FALSE))),0)),
IF(OR(COUNTIF(D43,"*キャラ*"),COUNTIF(D43,"*赤*")),"",
IF(VLOOKUP("*"&amp;D43&amp;"*",商品マスタ一覧!$D:$E,2,FALSE)=0,"",
IF(ROUND((H43-M43)
/VLOOKUP("*"&amp;D43&amp;"*",商品マスタ一覧!$D:$E,2,FALSE),0)&lt;=0,1,
ROUND((H43-M43)
/VLOOKUP("*"&amp;D43&amp;"*",商品マスタ一覧!$D:$E,2,FALSE),0))))),"")</f>
        <v/>
      </c>
      <c r="G43" s="52" t="str">
        <f ca="1">IF(F43&lt;&gt;"",
IF(VALUE(H43-M43)&gt;VALUE(IF(COUNTIF(D43,"*キャラ*"),
VLOOKUP("*キャラ*",商品マスタ一覧!$D:$E,2,FALSE),
IF(COUNTIF(D43,"*赤*"),
VLOOKUP("*赤*",商品マスタ一覧!$D:$E,2,FALSE),
VLOOKUP("*"&amp;D43&amp;"*",商品マスタ一覧!$D:$E,2,FALSE)))*F43),
"+"&amp;(H43-M43)-IF(COUNTIF(D43,"*キャラ*"),
VLOOKUP("*キャラ*",商品マスタ一覧!$D:$E,2,FALSE),
IF(COUNTIF(D43,"*赤*"),
VLOOKUP("*赤*",商品マスタ一覧!$D:$E,2,FALSE),
VLOOKUP("*"&amp;D43&amp;"*",商品マスタ一覧!$D:$E,2,FALSE)))*F43,
(H43-M43)-IF(COUNTIF(D43,"*キャラ*"),
VLOOKUP("*キャラ*",商品マスタ一覧!$D:$E,2,FALSE),
IF(COUNTIF(D43,"*赤*"),
VLOOKUP("*赤*",商品マスタ一覧!$D:$E,2,FALSE),
VLOOKUP("*"&amp;D43&amp;"*",商品マスタ一覧!$D:$E,2,FALSE)))*F43),"")</f>
        <v/>
      </c>
      <c r="H43" s="175" t="str">
        <f>IF(C43&lt;&gt;"",
クライアント抽出!B43,"")</f>
        <v/>
      </c>
      <c r="I43" s="52" t="str">
        <f t="array" aca="1" ref="I43" ca="1">IF(C43&lt;&gt;"",
IF(O43=1,
IF(SUMPRODUCT(COUNTIF(クライアント抽出!P43:U43,クライアント抽出!P43:U43))&gt;COUNTA(クライアント抽出!P43:U43),
INDIRECT("数出表_Excel!"&amp;INDEX(_xlfn.UNIQUE(_xlfn._xlws.FILTER(クライアント抽出!P43:U43,COUNTIF(クライアント抽出!P43:U43,クライアント抽出!P43:U43)&gt;1)),1)&amp;L43&amp;""),0),クライアント抽出!E43),"")</f>
        <v/>
      </c>
      <c r="J43" s="52" t="str">
        <f>IF(C43&lt;&gt;"",
VLOOKUP(
"*"&amp;LEFT(IF(COUNTIF(D43,"*学食*"),"キャラ弁（学食）",
IF(COUNTIF(D43,"*赤*"),"赤",
IF(COUNTIF(D43,"*キャラ弁当*"),"キャラ弁当",D43))),4)&amp;"*",注文弁当の抽出!$E$1:$F$15,2,FALSE),"")</f>
        <v/>
      </c>
      <c r="K43" s="52" t="str">
        <f ca="1">IF(クライアント抽出!P43&lt;&gt;"",SUBSTITUTE(ADDRESS(1,(CODE(クライアント抽出!P43)-64)*2-1,4),"1",""),"")</f>
        <v/>
      </c>
      <c r="L43" s="52" t="str">
        <f>IF(C43&lt;&gt;"",クライアント抽出!I43,"")</f>
        <v/>
      </c>
      <c r="M43" s="52">
        <f t="array" aca="1" ref="M43" ca="1">IF(C43&lt;&gt;"",
IF(K43&lt;&gt;"",INDIRECT("'数出表_Excel（アレルギー入力）'!"&amp;K43&amp;L43-1&amp;""),),)</f>
        <v>0</v>
      </c>
      <c r="N43" s="52" t="str">
        <f>IF(C43&lt;&gt;"",IF(OR(COUNTIF('盛付札（関数）'!D43,"*赤*"),COUNTIF('盛付札（関数）'!D43,"*キャラ*")),1,
VLOOKUP("*"&amp;D43&amp;"*",商品マスタ一覧!D:H,5,FALSE)),"")</f>
        <v/>
      </c>
      <c r="O43" s="52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52">
        <f t="shared" si="0"/>
        <v>0</v>
      </c>
      <c r="Q43" s="52" t="b">
        <f t="shared" si="1"/>
        <v>0</v>
      </c>
      <c r="R43" s="203" t="str">
        <f t="array" aca="1" ref="R43" ca="1">IFERROR(SMALL(IF(P$1:P$307&lt;&gt;0,P$1:P$307),ROW(A43)),"")</f>
        <v/>
      </c>
      <c r="S43" s="203" t="str">
        <f t="array" aca="1" ref="S43" ca="1">IF($R43&lt;&gt;"",
SUBSTITUTE(SUBSTITUTE(INDIRECT("C"&amp;$R43&amp;"")," 週3ｺｰｽ","")," 週5ｺｰｽ",""),"")</f>
        <v/>
      </c>
      <c r="T43" s="203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204" t="str">
        <f t="array" aca="1" ref="U43" ca="1">IF($R43&lt;&gt;"",
INDIRECT("F"&amp;$R43&amp;""),"")</f>
        <v/>
      </c>
      <c r="V43" s="203" t="str">
        <f t="array" aca="1" ref="V43" ca="1">IF($R43&lt;&gt;"",
INDIRECT("G"&amp;$R43&amp;""),"")</f>
        <v/>
      </c>
      <c r="W43" s="203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IF(OR(COUNTIF(INDIRECT("B"&amp;R43&amp;""),"*雙葉先生*"),COUNTIF(INDIRECT("B"&amp;R43-1&amp;""),"*雙葉*")),INDIRECT("H"&amp;R43&amp;""),INDIRECT("H"&amp;R43&amp;"")+INDIRECT("H"&amp;MATCH("雙葉'",INDIRECT("B"&amp;R43+3&amp;":B210"),0)+2+R43&amp;"")),
IF(AND(LEFT(INDIRECT("B"&amp;R43&amp;""),2)="博多",COUNTIF(B:B,"*博多*")&gt;=2),
INDIRECT("H"&amp;R43&amp;"")+INDIRECT("H"&amp;MATCH("*"&amp;INDIRECT("B"&amp;R43&amp;"")&amp;"*",INDIRECT("B"&amp;R43+1&amp;":B210"),0)+R43&amp;""),
IF(AND(LEFT(INDIRECT("B"&amp;R43&amp;""),3)="奈良屋",COUNTIF(B:B,"*奈良屋*")&gt;=2),
INDIRECT("H"&amp;R43&amp;"")+INDIRECT("H"&amp;MATCH("*"&amp;INDIRECT("B"&amp;R43&amp;"")&amp;"*",INDIRECT("B"&amp;R43+1&amp;":B210"),0)+R43&amp;"")
+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INDIRECT("H"&amp;R43&amp;"")))),"")</f>
        <v/>
      </c>
      <c r="X43" s="203" t="str">
        <f t="array" aca="1" ref="X43" ca="1">IF($R43&lt;&gt;"",
INDIRECT(""&amp;IF(COLUMN(I43)&lt;=26,CHAR(COLUMN(I43)+64),CHAR(INT((COLUMN(I43)-1)/26)+64)&amp;CHAR(MOD(COLUMN(I43)-1,26)+65))&amp;$R43&amp;""),"")</f>
        <v/>
      </c>
      <c r="Y43" s="203" t="str">
        <f t="array" aca="1" ref="Y43" ca="1">IF($R43&lt;&gt;"",
INDIRECT(""&amp;IF(COLUMN(J43)&lt;=26,CHAR(COLUMN(J43)+64),CHAR(INT((COLUMN(J43)-1)/26)+64)&amp;CHAR(MOD(COLUMN(J43)-1,26)+65))&amp;$R43&amp;""),"")</f>
        <v/>
      </c>
      <c r="Z43" s="203" t="str">
        <f t="shared" ca="1" si="2"/>
        <v/>
      </c>
      <c r="AA43" s="203" t="str">
        <f t="shared" ca="1" si="3"/>
        <v/>
      </c>
      <c r="AB43" s="203" t="str">
        <f t="array" aca="1" ref="AB43" ca="1">IF($R43&lt;&gt;"",
IF(AND(COUNTIF(INDIRECT("B"&amp;R43&amp;""),"*雙葉*"),COUNTIF(B:B,"*雙葉*")&gt;=2),
INDIRECT("M"&amp;R43&amp;"")+INDIRECT("M"&amp;MATCH("雙葉'",INDIRECT("B"&amp;R43+1&amp;":B210"),0)+R43&amp;""),
IF(AND(LEFT(INDIRECT("B"&amp;R43&amp;""),2)="博多",COUNTIF(B:B,"*博多*")&gt;=2),
INDIRECT("M"&amp;R43&amp;"")+INDIRECT("M"&amp;MATCH("*"&amp;INDIRECT("B"&amp;R43&amp;"")&amp;"*",INDIRECT("B"&amp;R43+1&amp;":B210"),0)+R43&amp;""),
IF(AND(LEFT(INDIRECT("B"&amp;R43&amp;""),3)="奈良屋",COUNTIF(B:B,"*奈良屋*")&gt;=2),
INDIRECT("M"&amp;R43&amp;"")+INDIRECT("M"&amp;MATCH("*"&amp;INDIRECT("B"&amp;R43&amp;"")&amp;"*",INDIRECT("B"&amp;R43+1&amp;":B210"),0)+R43&amp;"")
+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INDIRECT("M"&amp;R43&amp;"")))),"")</f>
        <v/>
      </c>
      <c r="AC43" s="203" t="str">
        <f t="shared" ca="1" si="4"/>
        <v/>
      </c>
      <c r="AD43" s="51" t="str">
        <f t="shared" ca="1" si="5"/>
        <v/>
      </c>
      <c r="AE43" s="51" t="str">
        <f t="shared" ca="1" si="6"/>
        <v/>
      </c>
      <c r="AF43" s="51" t="str">
        <f t="shared" ca="1" si="7"/>
        <v/>
      </c>
      <c r="AG43" s="51" t="str">
        <f t="shared" ca="1" si="8"/>
        <v/>
      </c>
      <c r="AH43" s="191" t="str">
        <f t="shared" ca="1" si="9"/>
        <v/>
      </c>
      <c r="AI43" s="51" t="str">
        <f t="shared" ca="1" si="10"/>
        <v/>
      </c>
      <c r="AJ43" s="51" t="str">
        <f t="shared" ca="1" si="11"/>
        <v/>
      </c>
      <c r="AK43" s="51" t="str">
        <f t="shared" ca="1" si="12"/>
        <v/>
      </c>
      <c r="AL43" s="51" t="str">
        <f t="shared" ca="1" si="13"/>
        <v/>
      </c>
      <c r="AM43" s="51" t="str">
        <f t="shared" ca="1" si="14"/>
        <v/>
      </c>
      <c r="AN43" s="51" t="str">
        <f t="shared" ca="1" si="15"/>
        <v/>
      </c>
      <c r="AO43" s="51" t="str">
        <f t="shared" ca="1" si="16"/>
        <v/>
      </c>
      <c r="AP43" s="51" t="str">
        <f t="shared" ca="1" si="17"/>
        <v/>
      </c>
      <c r="AU43" s="51" t="str">
        <f t="shared" ca="1" si="18"/>
        <v/>
      </c>
    </row>
    <row r="44" spans="1:47" ht="18" customHeight="1">
      <c r="A44" s="177">
        <f t="shared" si="21"/>
        <v>93</v>
      </c>
      <c r="B44" s="52" t="str">
        <f t="shared" si="22"/>
        <v/>
      </c>
      <c r="C44" s="52" t="str">
        <f>IF(OR(クライアント抽出!B44&lt;&gt;"",クライアント抽出!E44&lt;&gt;""),クライアント抽出!A44,"")</f>
        <v/>
      </c>
      <c r="D44" s="52" t="str">
        <f t="array" aca="1" ref="D44" ca="1">IF(C44&lt;&gt;"",INDIRECT("クライアント抽出!"&amp;E44&amp;MATCH(C44,クライアント抽出!A:A,0)&amp;""),"")</f>
        <v/>
      </c>
      <c r="E44" s="52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53" t="str">
        <f ca="1">IF(D44&lt;&gt;"",
IF(COUNTIF(C44,"*雙葉*"),
IF(ROUND((H44-M44)
/IF(COUNTIF(D44,"*キャラ*"),
VLOOKUP("*キャラ*",商品マスタ一覧!$D:$E,2,FALSE),
IF(COUNTIF(D44,"*赤*"),
VLOOKUP("*赤*",商品マスタ一覧!$D:$E,2,FALSE),
VLOOKUP("*"&amp;D44&amp;"*",商品マスタ一覧!$D:$E,2,FALSE))),0)&lt;=0,1,
ROUND((H44-M44)
/IF(COUNTIF(D44,"*キャラ*"),
VLOOKUP("*キャラ*",商品マスタ一覧!$D:$E,2,FALSE),
IF(COUNTIF(D44,"*赤*"),
VLOOKUP("*赤*",商品マスタ一覧!$D:$E,2,FALSE),
VLOOKUP("*"&amp;D44&amp;"*",商品マスタ一覧!$D:$E,2,FALSE))),0)),
IF(OR(COUNTIF(D44,"*キャラ*"),COUNTIF(D44,"*赤*")),"",
IF(VLOOKUP("*"&amp;D44&amp;"*",商品マスタ一覧!$D:$E,2,FALSE)=0,"",
IF(ROUND((H44-M44)
/VLOOKUP("*"&amp;D44&amp;"*",商品マスタ一覧!$D:$E,2,FALSE),0)&lt;=0,1,
ROUND((H44-M44)
/VLOOKUP("*"&amp;D44&amp;"*",商品マスタ一覧!$D:$E,2,FALSE),0))))),"")</f>
        <v/>
      </c>
      <c r="G44" s="52" t="str">
        <f ca="1">IF(F44&lt;&gt;"",
IF(VALUE(H44-M44)&gt;VALUE(IF(COUNTIF(D44,"*キャラ*"),
VLOOKUP("*キャラ*",商品マスタ一覧!$D:$E,2,FALSE),
IF(COUNTIF(D44,"*赤*"),
VLOOKUP("*赤*",商品マスタ一覧!$D:$E,2,FALSE),
VLOOKUP("*"&amp;D44&amp;"*",商品マスタ一覧!$D:$E,2,FALSE)))*F44),
"+"&amp;(H44-M44)-IF(COUNTIF(D44,"*キャラ*"),
VLOOKUP("*キャラ*",商品マスタ一覧!$D:$E,2,FALSE),
IF(COUNTIF(D44,"*赤*"),
VLOOKUP("*赤*",商品マスタ一覧!$D:$E,2,FALSE),
VLOOKUP("*"&amp;D44&amp;"*",商品マスタ一覧!$D:$E,2,FALSE)))*F44,
(H44-M44)-IF(COUNTIF(D44,"*キャラ*"),
VLOOKUP("*キャラ*",商品マスタ一覧!$D:$E,2,FALSE),
IF(COUNTIF(D44,"*赤*"),
VLOOKUP("*赤*",商品マスタ一覧!$D:$E,2,FALSE),
VLOOKUP("*"&amp;D44&amp;"*",商品マスタ一覧!$D:$E,2,FALSE)))*F44),"")</f>
        <v/>
      </c>
      <c r="H44" s="175" t="str">
        <f>IF(C44&lt;&gt;"",
クライアント抽出!B44,"")</f>
        <v/>
      </c>
      <c r="I44" s="52" t="str">
        <f t="array" aca="1" ref="I44" ca="1">IF(C44&lt;&gt;"",
IF(O44=1,
IF(SUMPRODUCT(COUNTIF(クライアント抽出!P44:U44,クライアント抽出!P44:U44))&gt;COUNTA(クライアント抽出!P44:U44),
INDIRECT("数出表_Excel!"&amp;INDEX(_xlfn.UNIQUE(_xlfn._xlws.FILTER(クライアント抽出!P44:U44,COUNTIF(クライアント抽出!P44:U44,クライアント抽出!P44:U44)&gt;1)),1)&amp;L44&amp;""),0),クライアント抽出!E44),"")</f>
        <v/>
      </c>
      <c r="J44" s="52" t="str">
        <f>IF(C44&lt;&gt;"",
VLOOKUP(
"*"&amp;LEFT(IF(COUNTIF(D44,"*学食*"),"キャラ弁（学食）",
IF(COUNTIF(D44,"*赤*"),"赤",
IF(COUNTIF(D44,"*キャラ弁当*"),"キャラ弁当",D44))),4)&amp;"*",注文弁当の抽出!$E$1:$F$15,2,FALSE),"")</f>
        <v/>
      </c>
      <c r="K44" s="52" t="str">
        <f ca="1">IF(クライアント抽出!P44&lt;&gt;"",SUBSTITUTE(ADDRESS(1,(CODE(クライアント抽出!P44)-64)*2-1,4),"1",""),"")</f>
        <v/>
      </c>
      <c r="L44" s="52" t="str">
        <f>IF(C44&lt;&gt;"",クライアント抽出!I44,"")</f>
        <v/>
      </c>
      <c r="M44" s="52">
        <f t="array" aca="1" ref="M44" ca="1">IF(C44&lt;&gt;"",
IF(K44&lt;&gt;"",INDIRECT("'数出表_Excel（アレルギー入力）'!"&amp;K44&amp;L44-1&amp;""),),)</f>
        <v>0</v>
      </c>
      <c r="N44" s="52" t="str">
        <f>IF(C44&lt;&gt;"",IF(OR(COUNTIF('盛付札（関数）'!D44,"*赤*"),COUNTIF('盛付札（関数）'!D44,"*キャラ*")),1,
VLOOKUP("*"&amp;D44&amp;"*",商品マスタ一覧!D:H,5,FALSE)),"")</f>
        <v/>
      </c>
      <c r="O44" s="52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52">
        <f t="shared" si="0"/>
        <v>0</v>
      </c>
      <c r="Q44" s="52" t="b">
        <f t="shared" si="1"/>
        <v>0</v>
      </c>
      <c r="R44" s="203" t="str">
        <f t="array" aca="1" ref="R44" ca="1">IFERROR(SMALL(IF(P$1:P$307&lt;&gt;0,P$1:P$307),ROW(A44)),"")</f>
        <v/>
      </c>
      <c r="S44" s="203" t="str">
        <f t="array" aca="1" ref="S44" ca="1">IF($R44&lt;&gt;"",
SUBSTITUTE(SUBSTITUTE(INDIRECT("C"&amp;$R44&amp;"")," 週3ｺｰｽ","")," 週5ｺｰｽ",""),"")</f>
        <v/>
      </c>
      <c r="T44" s="203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204" t="str">
        <f t="array" aca="1" ref="U44" ca="1">IF($R44&lt;&gt;"",
INDIRECT("F"&amp;$R44&amp;""),"")</f>
        <v/>
      </c>
      <c r="V44" s="203" t="str">
        <f t="array" aca="1" ref="V44" ca="1">IF($R44&lt;&gt;"",
INDIRECT("G"&amp;$R44&amp;""),"")</f>
        <v/>
      </c>
      <c r="W44" s="203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IF(OR(COUNTIF(INDIRECT("B"&amp;R44&amp;""),"*雙葉先生*"),COUNTIF(INDIRECT("B"&amp;R44-1&amp;""),"*雙葉*")),INDIRECT("H"&amp;R44&amp;""),INDIRECT("H"&amp;R44&amp;"")+INDIRECT("H"&amp;MATCH("雙葉'",INDIRECT("B"&amp;R44+3&amp;":B210"),0)+2+R44&amp;"")),
IF(AND(LEFT(INDIRECT("B"&amp;R44&amp;""),2)="博多",COUNTIF(B:B,"*博多*")&gt;=2),
INDIRECT("H"&amp;R44&amp;"")+INDIRECT("H"&amp;MATCH("*"&amp;INDIRECT("B"&amp;R44&amp;"")&amp;"*",INDIRECT("B"&amp;R44+1&amp;":B210"),0)+R44&amp;""),
IF(AND(LEFT(INDIRECT("B"&amp;R44&amp;""),3)="奈良屋",COUNTIF(B:B,"*奈良屋*")&gt;=2),
INDIRECT("H"&amp;R44&amp;"")+INDIRECT("H"&amp;MATCH("*"&amp;INDIRECT("B"&amp;R44&amp;"")&amp;"*",INDIRECT("B"&amp;R44+1&amp;":B210"),0)+R44&amp;"")
+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INDIRECT("H"&amp;R44&amp;"")))),"")</f>
        <v/>
      </c>
      <c r="X44" s="203" t="str">
        <f t="array" aca="1" ref="X44" ca="1">IF($R44&lt;&gt;"",
INDIRECT(""&amp;IF(COLUMN(I44)&lt;=26,CHAR(COLUMN(I44)+64),CHAR(INT((COLUMN(I44)-1)/26)+64)&amp;CHAR(MOD(COLUMN(I44)-1,26)+65))&amp;$R44&amp;""),"")</f>
        <v/>
      </c>
      <c r="Y44" s="203" t="str">
        <f t="array" aca="1" ref="Y44" ca="1">IF($R44&lt;&gt;"",
INDIRECT(""&amp;IF(COLUMN(J44)&lt;=26,CHAR(COLUMN(J44)+64),CHAR(INT((COLUMN(J44)-1)/26)+64)&amp;CHAR(MOD(COLUMN(J44)-1,26)+65))&amp;$R44&amp;""),"")</f>
        <v/>
      </c>
      <c r="Z44" s="203" t="str">
        <f t="shared" ca="1" si="2"/>
        <v/>
      </c>
      <c r="AA44" s="203" t="str">
        <f t="shared" ca="1" si="3"/>
        <v/>
      </c>
      <c r="AB44" s="203" t="str">
        <f t="array" aca="1" ref="AB44" ca="1">IF($R44&lt;&gt;"",
IF(AND(COUNTIF(INDIRECT("B"&amp;R44&amp;""),"*雙葉*"),COUNTIF(B:B,"*雙葉*")&gt;=2),
INDIRECT("M"&amp;R44&amp;"")+INDIRECT("M"&amp;MATCH("雙葉'",INDIRECT("B"&amp;R44+1&amp;":B210"),0)+R44&amp;""),
IF(AND(LEFT(INDIRECT("B"&amp;R44&amp;""),2)="博多",COUNTIF(B:B,"*博多*")&gt;=2),
INDIRECT("M"&amp;R44&amp;"")+INDIRECT("M"&amp;MATCH("*"&amp;INDIRECT("B"&amp;R44&amp;"")&amp;"*",INDIRECT("B"&amp;R44+1&amp;":B210"),0)+R44&amp;""),
IF(AND(LEFT(INDIRECT("B"&amp;R44&amp;""),3)="奈良屋",COUNTIF(B:B,"*奈良屋*")&gt;=2),
INDIRECT("M"&amp;R44&amp;"")+INDIRECT("M"&amp;MATCH("*"&amp;INDIRECT("B"&amp;R44&amp;"")&amp;"*",INDIRECT("B"&amp;R44+1&amp;":B210"),0)+R44&amp;"")
+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INDIRECT("M"&amp;R44&amp;"")))),"")</f>
        <v/>
      </c>
      <c r="AC44" s="203" t="str">
        <f t="shared" ca="1" si="4"/>
        <v/>
      </c>
      <c r="AD44" s="51" t="str">
        <f t="shared" ca="1" si="5"/>
        <v/>
      </c>
      <c r="AE44" s="51" t="str">
        <f t="shared" ca="1" si="6"/>
        <v/>
      </c>
      <c r="AF44" s="51" t="str">
        <f t="shared" ca="1" si="7"/>
        <v/>
      </c>
      <c r="AG44" s="51" t="str">
        <f t="shared" ca="1" si="8"/>
        <v/>
      </c>
      <c r="AH44" s="191" t="str">
        <f t="shared" ca="1" si="9"/>
        <v/>
      </c>
      <c r="AI44" s="51" t="str">
        <f t="shared" ca="1" si="10"/>
        <v/>
      </c>
      <c r="AJ44" s="51" t="str">
        <f t="shared" ca="1" si="11"/>
        <v/>
      </c>
      <c r="AK44" s="51" t="str">
        <f t="shared" ca="1" si="12"/>
        <v/>
      </c>
      <c r="AL44" s="51" t="str">
        <f t="shared" ca="1" si="13"/>
        <v/>
      </c>
      <c r="AM44" s="51" t="str">
        <f t="shared" ca="1" si="14"/>
        <v/>
      </c>
      <c r="AN44" s="51" t="str">
        <f t="shared" ca="1" si="15"/>
        <v/>
      </c>
      <c r="AO44" s="51" t="str">
        <f t="shared" ca="1" si="16"/>
        <v/>
      </c>
      <c r="AP44" s="51" t="str">
        <f t="shared" ca="1" si="17"/>
        <v/>
      </c>
      <c r="AU44" s="51" t="str">
        <f t="shared" ca="1" si="18"/>
        <v/>
      </c>
    </row>
    <row r="45" spans="1:47" ht="22.2" customHeight="1">
      <c r="A45" s="177">
        <f t="shared" si="21"/>
        <v>95</v>
      </c>
      <c r="B45" s="52" t="str">
        <f t="shared" si="22"/>
        <v/>
      </c>
      <c r="C45" s="52" t="str">
        <f>IF(OR(クライアント抽出!B45&lt;&gt;"",クライアント抽出!E45&lt;&gt;""),クライアント抽出!A45,"")</f>
        <v/>
      </c>
      <c r="D45" s="52" t="str">
        <f t="array" aca="1" ref="D45" ca="1">IF(C45&lt;&gt;"",INDIRECT("クライアント抽出!"&amp;E45&amp;MATCH(C45,クライアント抽出!A:A,0)&amp;""),"")</f>
        <v/>
      </c>
      <c r="E45" s="52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53" t="str">
        <f ca="1">IF(D45&lt;&gt;"",
IF(COUNTIF(C45,"*雙葉*"),
IF(ROUND((H45-M45)
/IF(COUNTIF(D45,"*キャラ*"),
VLOOKUP("*キャラ*",商品マスタ一覧!$D:$E,2,FALSE),
IF(COUNTIF(D45,"*赤*"),
VLOOKUP("*赤*",商品マスタ一覧!$D:$E,2,FALSE),
VLOOKUP("*"&amp;D45&amp;"*",商品マスタ一覧!$D:$E,2,FALSE))),0)&lt;=0,1,
ROUND((H45-M45)
/IF(COUNTIF(D45,"*キャラ*"),
VLOOKUP("*キャラ*",商品マスタ一覧!$D:$E,2,FALSE),
IF(COUNTIF(D45,"*赤*"),
VLOOKUP("*赤*",商品マスタ一覧!$D:$E,2,FALSE),
VLOOKUP("*"&amp;D45&amp;"*",商品マスタ一覧!$D:$E,2,FALSE))),0)),
IF(OR(COUNTIF(D45,"*キャラ*"),COUNTIF(D45,"*赤*")),"",
IF(VLOOKUP("*"&amp;D45&amp;"*",商品マスタ一覧!$D:$E,2,FALSE)=0,"",
IF(ROUND((H45-M45)
/VLOOKUP("*"&amp;D45&amp;"*",商品マスタ一覧!$D:$E,2,FALSE),0)&lt;=0,1,
ROUND((H45-M45)
/VLOOKUP("*"&amp;D45&amp;"*",商品マスタ一覧!$D:$E,2,FALSE),0))))),"")</f>
        <v/>
      </c>
      <c r="G45" s="52" t="str">
        <f ca="1">IF(F45&lt;&gt;"",
IF(VALUE(H45-M45)&gt;VALUE(IF(COUNTIF(D45,"*キャラ*"),
VLOOKUP("*キャラ*",商品マスタ一覧!$D:$E,2,FALSE),
IF(COUNTIF(D45,"*赤*"),
VLOOKUP("*赤*",商品マスタ一覧!$D:$E,2,FALSE),
VLOOKUP("*"&amp;D45&amp;"*",商品マスタ一覧!$D:$E,2,FALSE)))*F45),
"+"&amp;(H45-M45)-IF(COUNTIF(D45,"*キャラ*"),
VLOOKUP("*キャラ*",商品マスタ一覧!$D:$E,2,FALSE),
IF(COUNTIF(D45,"*赤*"),
VLOOKUP("*赤*",商品マスタ一覧!$D:$E,2,FALSE),
VLOOKUP("*"&amp;D45&amp;"*",商品マスタ一覧!$D:$E,2,FALSE)))*F45,
(H45-M45)-IF(COUNTIF(D45,"*キャラ*"),
VLOOKUP("*キャラ*",商品マスタ一覧!$D:$E,2,FALSE),
IF(COUNTIF(D45,"*赤*"),
VLOOKUP("*赤*",商品マスタ一覧!$D:$E,2,FALSE),
VLOOKUP("*"&amp;D45&amp;"*",商品マスタ一覧!$D:$E,2,FALSE)))*F45),"")</f>
        <v/>
      </c>
      <c r="H45" s="175" t="str">
        <f>IF(C45&lt;&gt;"",
クライアント抽出!B45,"")</f>
        <v/>
      </c>
      <c r="I45" s="52" t="str">
        <f t="array" aca="1" ref="I45" ca="1">IF(C45&lt;&gt;"",
IF(O45=1,
IF(SUMPRODUCT(COUNTIF(クライアント抽出!P45:U45,クライアント抽出!P45:U45))&gt;COUNTA(クライアント抽出!P45:U45),
INDIRECT("数出表_Excel!"&amp;INDEX(_xlfn.UNIQUE(_xlfn._xlws.FILTER(クライアント抽出!P45:U45,COUNTIF(クライアント抽出!P45:U45,クライアント抽出!P45:U45)&gt;1)),1)&amp;L45&amp;""),0),クライアント抽出!E45),"")</f>
        <v/>
      </c>
      <c r="J45" s="52" t="str">
        <f>IF(C45&lt;&gt;"",
VLOOKUP(
"*"&amp;LEFT(IF(COUNTIF(D45,"*学食*"),"キャラ弁（学食）",
IF(COUNTIF(D45,"*赤*"),"赤",
IF(COUNTIF(D45,"*キャラ弁当*"),"キャラ弁当",D45))),4)&amp;"*",注文弁当の抽出!$E$1:$F$15,2,FALSE),"")</f>
        <v/>
      </c>
      <c r="K45" s="52" t="str">
        <f ca="1">IF(クライアント抽出!P45&lt;&gt;"",SUBSTITUTE(ADDRESS(1,(CODE(クライアント抽出!P45)-64)*2-1,4),"1",""),"")</f>
        <v/>
      </c>
      <c r="L45" s="52" t="str">
        <f>IF(C45&lt;&gt;"",クライアント抽出!I45,"")</f>
        <v/>
      </c>
      <c r="M45" s="52">
        <f t="array" aca="1" ref="M45" ca="1">IF(C45&lt;&gt;"",
IF(K45&lt;&gt;"",INDIRECT("'数出表_Excel（アレルギー入力）'!"&amp;K45&amp;L45-1&amp;""),),)</f>
        <v>0</v>
      </c>
      <c r="N45" s="52" t="str">
        <f>IF(C45&lt;&gt;"",IF(OR(COUNTIF('盛付札（関数）'!D45,"*赤*"),COUNTIF('盛付札（関数）'!D45,"*キャラ*")),1,
VLOOKUP("*"&amp;D45&amp;"*",商品マスタ一覧!D:H,5,FALSE)),"")</f>
        <v/>
      </c>
      <c r="O45" s="52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52">
        <f t="shared" si="0"/>
        <v>0</v>
      </c>
      <c r="Q45" s="52" t="b">
        <f t="shared" si="1"/>
        <v>0</v>
      </c>
      <c r="R45" s="203" t="str">
        <f t="array" aca="1" ref="R45" ca="1">IFERROR(SMALL(IF(P$1:P$307&lt;&gt;0,P$1:P$307),ROW(A45)),"")</f>
        <v/>
      </c>
      <c r="S45" s="203" t="str">
        <f t="array" aca="1" ref="S45" ca="1">IF($R45&lt;&gt;"",
SUBSTITUTE(SUBSTITUTE(INDIRECT("C"&amp;$R45&amp;"")," 週3ｺｰｽ","")," 週5ｺｰｽ",""),"")</f>
        <v/>
      </c>
      <c r="T45" s="203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204" t="str">
        <f t="array" aca="1" ref="U45" ca="1">IF($R45&lt;&gt;"",
INDIRECT("F"&amp;$R45&amp;""),"")</f>
        <v/>
      </c>
      <c r="V45" s="203" t="str">
        <f t="array" aca="1" ref="V45" ca="1">IF($R45&lt;&gt;"",
INDIRECT("G"&amp;$R45&amp;""),"")</f>
        <v/>
      </c>
      <c r="W45" s="203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IF(OR(COUNTIF(INDIRECT("B"&amp;R45&amp;""),"*雙葉先生*"),COUNTIF(INDIRECT("B"&amp;R45-1&amp;""),"*雙葉*")),INDIRECT("H"&amp;R45&amp;""),INDIRECT("H"&amp;R45&amp;"")+INDIRECT("H"&amp;MATCH("雙葉'",INDIRECT("B"&amp;R45+3&amp;":B210"),0)+2+R45&amp;"")),
IF(AND(LEFT(INDIRECT("B"&amp;R45&amp;""),2)="博多",COUNTIF(B:B,"*博多*")&gt;=2),
INDIRECT("H"&amp;R45&amp;"")+INDIRECT("H"&amp;MATCH("*"&amp;INDIRECT("B"&amp;R45&amp;"")&amp;"*",INDIRECT("B"&amp;R45+1&amp;":B210"),0)+R45&amp;""),
IF(AND(LEFT(INDIRECT("B"&amp;R45&amp;""),3)="奈良屋",COUNTIF(B:B,"*奈良屋*")&gt;=2),
INDIRECT("H"&amp;R45&amp;"")+INDIRECT("H"&amp;MATCH("*"&amp;INDIRECT("B"&amp;R45&amp;"")&amp;"*",INDIRECT("B"&amp;R45+1&amp;":B210"),0)+R45&amp;"")
+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INDIRECT("H"&amp;R45&amp;"")))),"")</f>
        <v/>
      </c>
      <c r="X45" s="203" t="str">
        <f t="array" aca="1" ref="X45" ca="1">IF($R45&lt;&gt;"",
INDIRECT(""&amp;IF(COLUMN(I45)&lt;=26,CHAR(COLUMN(I45)+64),CHAR(INT((COLUMN(I45)-1)/26)+64)&amp;CHAR(MOD(COLUMN(I45)-1,26)+65))&amp;$R45&amp;""),"")</f>
        <v/>
      </c>
      <c r="Y45" s="203" t="str">
        <f t="array" aca="1" ref="Y45" ca="1">IF($R45&lt;&gt;"",
INDIRECT(""&amp;IF(COLUMN(J45)&lt;=26,CHAR(COLUMN(J45)+64),CHAR(INT((COLUMN(J45)-1)/26)+64)&amp;CHAR(MOD(COLUMN(J45)-1,26)+65))&amp;$R45&amp;""),"")</f>
        <v/>
      </c>
      <c r="Z45" s="203" t="str">
        <f t="shared" ca="1" si="2"/>
        <v/>
      </c>
      <c r="AA45" s="203" t="str">
        <f t="shared" ca="1" si="3"/>
        <v/>
      </c>
      <c r="AB45" s="203" t="str">
        <f t="array" aca="1" ref="AB45" ca="1">IF($R45&lt;&gt;"",
IF(AND(COUNTIF(INDIRECT("B"&amp;R45&amp;""),"*雙葉*"),COUNTIF(B:B,"*雙葉*")&gt;=2),
INDIRECT("M"&amp;R45&amp;"")+INDIRECT("M"&amp;MATCH("雙葉'",INDIRECT("B"&amp;R45+1&amp;":B210"),0)+R45&amp;""),
IF(AND(LEFT(INDIRECT("B"&amp;R45&amp;""),2)="博多",COUNTIF(B:B,"*博多*")&gt;=2),
INDIRECT("M"&amp;R45&amp;"")+INDIRECT("M"&amp;MATCH("*"&amp;INDIRECT("B"&amp;R45&amp;"")&amp;"*",INDIRECT("B"&amp;R45+1&amp;":B210"),0)+R45&amp;""),
IF(AND(LEFT(INDIRECT("B"&amp;R45&amp;""),3)="奈良屋",COUNTIF(B:B,"*奈良屋*")&gt;=2),
INDIRECT("M"&amp;R45&amp;"")+INDIRECT("M"&amp;MATCH("*"&amp;INDIRECT("B"&amp;R45&amp;"")&amp;"*",INDIRECT("B"&amp;R45+1&amp;":B210"),0)+R45&amp;"")
+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INDIRECT("M"&amp;R45&amp;"")))),"")</f>
        <v/>
      </c>
      <c r="AC45" s="203" t="str">
        <f t="shared" ca="1" si="4"/>
        <v/>
      </c>
      <c r="AD45" s="51" t="str">
        <f t="shared" ca="1" si="5"/>
        <v/>
      </c>
      <c r="AE45" s="51" t="str">
        <f t="shared" ca="1" si="6"/>
        <v/>
      </c>
      <c r="AF45" s="51" t="str">
        <f t="shared" ca="1" si="7"/>
        <v/>
      </c>
      <c r="AG45" s="51" t="str">
        <f t="shared" ca="1" si="8"/>
        <v/>
      </c>
      <c r="AH45" s="191" t="str">
        <f t="shared" ca="1" si="9"/>
        <v/>
      </c>
      <c r="AI45" s="51" t="str">
        <f t="shared" ca="1" si="10"/>
        <v/>
      </c>
      <c r="AJ45" s="51" t="str">
        <f t="shared" ca="1" si="11"/>
        <v/>
      </c>
      <c r="AK45" s="51" t="str">
        <f t="shared" ca="1" si="12"/>
        <v/>
      </c>
      <c r="AL45" s="51" t="str">
        <f t="shared" ca="1" si="13"/>
        <v/>
      </c>
      <c r="AM45" s="51" t="str">
        <f t="shared" ca="1" si="14"/>
        <v/>
      </c>
      <c r="AN45" s="51" t="str">
        <f t="shared" ca="1" si="15"/>
        <v/>
      </c>
      <c r="AO45" s="51" t="str">
        <f t="shared" ca="1" si="16"/>
        <v/>
      </c>
      <c r="AP45" s="51" t="str">
        <f t="shared" ca="1" si="17"/>
        <v/>
      </c>
      <c r="AU45" s="51" t="str">
        <f t="shared" ca="1" si="18"/>
        <v/>
      </c>
    </row>
    <row r="46" spans="1:47" ht="18" customHeight="1">
      <c r="A46" s="177">
        <f t="shared" si="21"/>
        <v>97</v>
      </c>
      <c r="B46" s="52" t="str">
        <f t="shared" si="22"/>
        <v/>
      </c>
      <c r="C46" s="52" t="str">
        <f>IF(OR(クライアント抽出!B46&lt;&gt;"",クライアント抽出!E46&lt;&gt;""),クライアント抽出!A46,"")</f>
        <v/>
      </c>
      <c r="D46" s="52" t="str">
        <f t="array" aca="1" ref="D46" ca="1">IF(C46&lt;&gt;"",INDIRECT("クライアント抽出!"&amp;E46&amp;MATCH(C46,クライアント抽出!A:A,0)&amp;""),"")</f>
        <v/>
      </c>
      <c r="E46" s="52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53" t="str">
        <f ca="1">IF(D46&lt;&gt;"",
IF(COUNTIF(C46,"*雙葉*"),
IF(ROUND((H46-M46)
/IF(COUNTIF(D46,"*キャラ*"),
VLOOKUP("*キャラ*",商品マスタ一覧!$D:$E,2,FALSE),
IF(COUNTIF(D46,"*赤*"),
VLOOKUP("*赤*",商品マスタ一覧!$D:$E,2,FALSE),
VLOOKUP("*"&amp;D46&amp;"*",商品マスタ一覧!$D:$E,2,FALSE))),0)&lt;=0,1,
ROUND((H46-M46)
/IF(COUNTIF(D46,"*キャラ*"),
VLOOKUP("*キャラ*",商品マスタ一覧!$D:$E,2,FALSE),
IF(COUNTIF(D46,"*赤*"),
VLOOKUP("*赤*",商品マスタ一覧!$D:$E,2,FALSE),
VLOOKUP("*"&amp;D46&amp;"*",商品マスタ一覧!$D:$E,2,FALSE))),0)),
IF(OR(COUNTIF(D46,"*キャラ*"),COUNTIF(D46,"*赤*")),"",
IF(VLOOKUP("*"&amp;D46&amp;"*",商品マスタ一覧!$D:$E,2,FALSE)=0,"",
IF(ROUND((H46-M46)
/VLOOKUP("*"&amp;D46&amp;"*",商品マスタ一覧!$D:$E,2,FALSE),0)&lt;=0,1,
ROUND((H46-M46)
/VLOOKUP("*"&amp;D46&amp;"*",商品マスタ一覧!$D:$E,2,FALSE),0))))),"")</f>
        <v/>
      </c>
      <c r="G46" s="52" t="str">
        <f ca="1">IF(F46&lt;&gt;"",
IF(VALUE(H46-M46)&gt;VALUE(IF(COUNTIF(D46,"*キャラ*"),
VLOOKUP("*キャラ*",商品マスタ一覧!$D:$E,2,FALSE),
IF(COUNTIF(D46,"*赤*"),
VLOOKUP("*赤*",商品マスタ一覧!$D:$E,2,FALSE),
VLOOKUP("*"&amp;D46&amp;"*",商品マスタ一覧!$D:$E,2,FALSE)))*F46),
"+"&amp;(H46-M46)-IF(COUNTIF(D46,"*キャラ*"),
VLOOKUP("*キャラ*",商品マスタ一覧!$D:$E,2,FALSE),
IF(COUNTIF(D46,"*赤*"),
VLOOKUP("*赤*",商品マスタ一覧!$D:$E,2,FALSE),
VLOOKUP("*"&amp;D46&amp;"*",商品マスタ一覧!$D:$E,2,FALSE)))*F46,
(H46-M46)-IF(COUNTIF(D46,"*キャラ*"),
VLOOKUP("*キャラ*",商品マスタ一覧!$D:$E,2,FALSE),
IF(COUNTIF(D46,"*赤*"),
VLOOKUP("*赤*",商品マスタ一覧!$D:$E,2,FALSE),
VLOOKUP("*"&amp;D46&amp;"*",商品マスタ一覧!$D:$E,2,FALSE)))*F46),"")</f>
        <v/>
      </c>
      <c r="H46" s="175" t="str">
        <f>IF(C46&lt;&gt;"",
クライアント抽出!B46,"")</f>
        <v/>
      </c>
      <c r="I46" s="52" t="str">
        <f t="array" aca="1" ref="I46" ca="1">IF(C46&lt;&gt;"",
IF(O46=1,
IF(SUMPRODUCT(COUNTIF(クライアント抽出!P46:U46,クライアント抽出!P46:U46))&gt;COUNTA(クライアント抽出!P46:U46),
INDIRECT("数出表_Excel!"&amp;INDEX(_xlfn.UNIQUE(_xlfn._xlws.FILTER(クライアント抽出!P46:U46,COUNTIF(クライアント抽出!P46:U46,クライアント抽出!P46:U46)&gt;1)),1)&amp;L46&amp;""),0),クライアント抽出!E46),"")</f>
        <v/>
      </c>
      <c r="J46" s="52" t="str">
        <f>IF(C46&lt;&gt;"",
VLOOKUP(
"*"&amp;LEFT(IF(COUNTIF(D46,"*学食*"),"キャラ弁（学食）",
IF(COUNTIF(D46,"*赤*"),"赤",
IF(COUNTIF(D46,"*キャラ弁当*"),"キャラ弁当",D46))),4)&amp;"*",注文弁当の抽出!$E$1:$F$15,2,FALSE),"")</f>
        <v/>
      </c>
      <c r="K46" s="52" t="str">
        <f ca="1">IF(クライアント抽出!P46&lt;&gt;"",SUBSTITUTE(ADDRESS(1,(CODE(クライアント抽出!P46)-64)*2-1,4),"1",""),"")</f>
        <v/>
      </c>
      <c r="L46" s="52" t="str">
        <f>IF(C46&lt;&gt;"",クライアント抽出!I46,"")</f>
        <v/>
      </c>
      <c r="M46" s="52">
        <f t="array" aca="1" ref="M46" ca="1">IF(C46&lt;&gt;"",
IF(K46&lt;&gt;"",INDIRECT("'数出表_Excel（アレルギー入力）'!"&amp;K46&amp;L46-1&amp;""),),)</f>
        <v>0</v>
      </c>
      <c r="N46" s="52" t="str">
        <f>IF(C46&lt;&gt;"",IF(OR(COUNTIF('盛付札（関数）'!D46,"*赤*"),COUNTIF('盛付札（関数）'!D46,"*キャラ*")),1,
VLOOKUP("*"&amp;D46&amp;"*",商品マスタ一覧!D:H,5,FALSE)),"")</f>
        <v/>
      </c>
      <c r="O46" s="52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52">
        <f t="shared" si="0"/>
        <v>0</v>
      </c>
      <c r="Q46" s="52" t="b">
        <f t="shared" si="1"/>
        <v>0</v>
      </c>
      <c r="R46" s="203" t="str">
        <f t="array" aca="1" ref="R46" ca="1">IFERROR(SMALL(IF(P$1:P$307&lt;&gt;0,P$1:P$307),ROW(A46)),"")</f>
        <v/>
      </c>
      <c r="S46" s="203" t="str">
        <f t="array" aca="1" ref="S46" ca="1">IF($R46&lt;&gt;"",
SUBSTITUTE(SUBSTITUTE(INDIRECT("C"&amp;$R46&amp;"")," 週3ｺｰｽ","")," 週5ｺｰｽ",""),"")</f>
        <v/>
      </c>
      <c r="T46" s="203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204" t="str">
        <f t="array" aca="1" ref="U46" ca="1">IF($R46&lt;&gt;"",
INDIRECT("F"&amp;$R46&amp;""),"")</f>
        <v/>
      </c>
      <c r="V46" s="203" t="str">
        <f t="array" aca="1" ref="V46" ca="1">IF($R46&lt;&gt;"",
INDIRECT("G"&amp;$R46&amp;""),"")</f>
        <v/>
      </c>
      <c r="W46" s="203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IF(OR(COUNTIF(INDIRECT("B"&amp;R46&amp;""),"*雙葉先生*"),COUNTIF(INDIRECT("B"&amp;R46-1&amp;""),"*雙葉*")),INDIRECT("H"&amp;R46&amp;""),INDIRECT("H"&amp;R46&amp;"")+INDIRECT("H"&amp;MATCH("雙葉'",INDIRECT("B"&amp;R46+3&amp;":B210"),0)+2+R46&amp;"")),
IF(AND(LEFT(INDIRECT("B"&amp;R46&amp;""),2)="博多",COUNTIF(B:B,"*博多*")&gt;=2),
INDIRECT("H"&amp;R46&amp;"")+INDIRECT("H"&amp;MATCH("*"&amp;INDIRECT("B"&amp;R46&amp;"")&amp;"*",INDIRECT("B"&amp;R46+1&amp;":B210"),0)+R46&amp;""),
IF(AND(LEFT(INDIRECT("B"&amp;R46&amp;""),3)="奈良屋",COUNTIF(B:B,"*奈良屋*")&gt;=2),
INDIRECT("H"&amp;R46&amp;"")+INDIRECT("H"&amp;MATCH("*"&amp;INDIRECT("B"&amp;R46&amp;"")&amp;"*",INDIRECT("B"&amp;R46+1&amp;":B210"),0)+R46&amp;"")
+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INDIRECT("H"&amp;R46&amp;"")))),"")</f>
        <v/>
      </c>
      <c r="X46" s="203" t="str">
        <f t="array" aca="1" ref="X46" ca="1">IF($R46&lt;&gt;"",
INDIRECT(""&amp;IF(COLUMN(I46)&lt;=26,CHAR(COLUMN(I46)+64),CHAR(INT((COLUMN(I46)-1)/26)+64)&amp;CHAR(MOD(COLUMN(I46)-1,26)+65))&amp;$R46&amp;""),"")</f>
        <v/>
      </c>
      <c r="Y46" s="203" t="str">
        <f t="array" aca="1" ref="Y46" ca="1">IF($R46&lt;&gt;"",
INDIRECT(""&amp;IF(COLUMN(J46)&lt;=26,CHAR(COLUMN(J46)+64),CHAR(INT((COLUMN(J46)-1)/26)+64)&amp;CHAR(MOD(COLUMN(J46)-1,26)+65))&amp;$R46&amp;""),"")</f>
        <v/>
      </c>
      <c r="Z46" s="203" t="str">
        <f t="shared" ca="1" si="2"/>
        <v/>
      </c>
      <c r="AA46" s="203" t="str">
        <f t="shared" ca="1" si="3"/>
        <v/>
      </c>
      <c r="AB46" s="203" t="str">
        <f t="array" aca="1" ref="AB46" ca="1">IF($R46&lt;&gt;"",
IF(AND(COUNTIF(INDIRECT("B"&amp;R46&amp;""),"*雙葉*"),COUNTIF(B:B,"*雙葉*")&gt;=2),
INDIRECT("M"&amp;R46&amp;"")+INDIRECT("M"&amp;MATCH("雙葉'",INDIRECT("B"&amp;R46+1&amp;":B210"),0)+R46&amp;""),
IF(AND(LEFT(INDIRECT("B"&amp;R46&amp;""),2)="博多",COUNTIF(B:B,"*博多*")&gt;=2),
INDIRECT("M"&amp;R46&amp;"")+INDIRECT("M"&amp;MATCH("*"&amp;INDIRECT("B"&amp;R46&amp;"")&amp;"*",INDIRECT("B"&amp;R46+1&amp;":B210"),0)+R46&amp;""),
IF(AND(LEFT(INDIRECT("B"&amp;R46&amp;""),3)="奈良屋",COUNTIF(B:B,"*奈良屋*")&gt;=2),
INDIRECT("M"&amp;R46&amp;"")+INDIRECT("M"&amp;MATCH("*"&amp;INDIRECT("B"&amp;R46&amp;"")&amp;"*",INDIRECT("B"&amp;R46+1&amp;":B210"),0)+R46&amp;"")
+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INDIRECT("M"&amp;R46&amp;"")))),"")</f>
        <v/>
      </c>
      <c r="AC46" s="203" t="str">
        <f t="shared" ca="1" si="4"/>
        <v/>
      </c>
      <c r="AD46" s="51" t="str">
        <f t="shared" ca="1" si="5"/>
        <v/>
      </c>
      <c r="AE46" s="51" t="str">
        <f t="shared" ca="1" si="6"/>
        <v/>
      </c>
      <c r="AF46" s="51" t="str">
        <f t="shared" ca="1" si="7"/>
        <v/>
      </c>
      <c r="AG46" s="51" t="str">
        <f t="shared" ca="1" si="8"/>
        <v/>
      </c>
      <c r="AH46" s="191" t="str">
        <f t="shared" ca="1" si="9"/>
        <v/>
      </c>
      <c r="AI46" s="51" t="str">
        <f t="shared" ca="1" si="10"/>
        <v/>
      </c>
      <c r="AJ46" s="51" t="str">
        <f t="shared" ca="1" si="11"/>
        <v/>
      </c>
      <c r="AK46" s="51" t="str">
        <f t="shared" ca="1" si="12"/>
        <v/>
      </c>
      <c r="AL46" s="51" t="str">
        <f t="shared" ca="1" si="13"/>
        <v/>
      </c>
      <c r="AM46" s="51" t="str">
        <f t="shared" ca="1" si="14"/>
        <v/>
      </c>
      <c r="AN46" s="51" t="str">
        <f t="shared" ca="1" si="15"/>
        <v/>
      </c>
      <c r="AO46" s="51" t="str">
        <f t="shared" ca="1" si="16"/>
        <v/>
      </c>
      <c r="AP46" s="51" t="str">
        <f t="shared" ca="1" si="17"/>
        <v/>
      </c>
      <c r="AU46" s="51" t="str">
        <f t="shared" ca="1" si="18"/>
        <v/>
      </c>
    </row>
    <row r="47" spans="1:47" ht="18" customHeight="1">
      <c r="A47" s="177">
        <f t="shared" si="21"/>
        <v>99</v>
      </c>
      <c r="B47" s="52" t="str">
        <f t="shared" si="22"/>
        <v/>
      </c>
      <c r="C47" s="52" t="str">
        <f>IF(OR(クライアント抽出!B47&lt;&gt;"",クライアント抽出!E47&lt;&gt;""),クライアント抽出!A47,"")</f>
        <v/>
      </c>
      <c r="D47" s="52" t="str">
        <f t="array" aca="1" ref="D47" ca="1">IF(C47&lt;&gt;"",INDIRECT("クライアント抽出!"&amp;E47&amp;MATCH(C47,クライアント抽出!A:A,0)&amp;""),"")</f>
        <v/>
      </c>
      <c r="E47" s="52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53" t="str">
        <f ca="1">IF(D47&lt;&gt;"",
IF(COUNTIF(C47,"*雙葉*"),
IF(ROUND((H47-M47)
/IF(COUNTIF(D47,"*キャラ*"),
VLOOKUP("*キャラ*",商品マスタ一覧!$D:$E,2,FALSE),
IF(COUNTIF(D47,"*赤*"),
VLOOKUP("*赤*",商品マスタ一覧!$D:$E,2,FALSE),
VLOOKUP("*"&amp;D47&amp;"*",商品マスタ一覧!$D:$E,2,FALSE))),0)&lt;=0,1,
ROUND((H47-M47)
/IF(COUNTIF(D47,"*キャラ*"),
VLOOKUP("*キャラ*",商品マスタ一覧!$D:$E,2,FALSE),
IF(COUNTIF(D47,"*赤*"),
VLOOKUP("*赤*",商品マスタ一覧!$D:$E,2,FALSE),
VLOOKUP("*"&amp;D47&amp;"*",商品マスタ一覧!$D:$E,2,FALSE))),0)),
IF(OR(COUNTIF(D47,"*キャラ*"),COUNTIF(D47,"*赤*")),"",
IF(VLOOKUP("*"&amp;D47&amp;"*",商品マスタ一覧!$D:$E,2,FALSE)=0,"",
IF(ROUND((H47-M47)
/VLOOKUP("*"&amp;D47&amp;"*",商品マスタ一覧!$D:$E,2,FALSE),0)&lt;=0,1,
ROUND((H47-M47)
/VLOOKUP("*"&amp;D47&amp;"*",商品マスタ一覧!$D:$E,2,FALSE),0))))),"")</f>
        <v/>
      </c>
      <c r="G47" s="52" t="str">
        <f ca="1">IF(F47&lt;&gt;"",
IF(VALUE(H47-M47)&gt;VALUE(IF(COUNTIF(D47,"*キャラ*"),
VLOOKUP("*キャラ*",商品マスタ一覧!$D:$E,2,FALSE),
IF(COUNTIF(D47,"*赤*"),
VLOOKUP("*赤*",商品マスタ一覧!$D:$E,2,FALSE),
VLOOKUP("*"&amp;D47&amp;"*",商品マスタ一覧!$D:$E,2,FALSE)))*F47),
"+"&amp;(H47-M47)-IF(COUNTIF(D47,"*キャラ*"),
VLOOKUP("*キャラ*",商品マスタ一覧!$D:$E,2,FALSE),
IF(COUNTIF(D47,"*赤*"),
VLOOKUP("*赤*",商品マスタ一覧!$D:$E,2,FALSE),
VLOOKUP("*"&amp;D47&amp;"*",商品マスタ一覧!$D:$E,2,FALSE)))*F47,
(H47-M47)-IF(COUNTIF(D47,"*キャラ*"),
VLOOKUP("*キャラ*",商品マスタ一覧!$D:$E,2,FALSE),
IF(COUNTIF(D47,"*赤*"),
VLOOKUP("*赤*",商品マスタ一覧!$D:$E,2,FALSE),
VLOOKUP("*"&amp;D47&amp;"*",商品マスタ一覧!$D:$E,2,FALSE)))*F47),"")</f>
        <v/>
      </c>
      <c r="H47" s="175" t="str">
        <f>IF(C47&lt;&gt;"",
クライアント抽出!B47,"")</f>
        <v/>
      </c>
      <c r="I47" s="52" t="str">
        <f t="array" aca="1" ref="I47" ca="1">IF(C47&lt;&gt;"",
IF(O47=1,
IF(SUMPRODUCT(COUNTIF(クライアント抽出!P47:U47,クライアント抽出!P47:U47))&gt;COUNTA(クライアント抽出!P47:U47),
INDIRECT("数出表_Excel!"&amp;INDEX(_xlfn.UNIQUE(_xlfn._xlws.FILTER(クライアント抽出!P47:U47,COUNTIF(クライアント抽出!P47:U47,クライアント抽出!P47:U47)&gt;1)),1)&amp;L47&amp;""),0),クライアント抽出!E47),"")</f>
        <v/>
      </c>
      <c r="J47" s="52" t="str">
        <f>IF(C47&lt;&gt;"",
VLOOKUP(
"*"&amp;LEFT(IF(COUNTIF(D47,"*学食*"),"キャラ弁（学食）",
IF(COUNTIF(D47,"*赤*"),"赤",
IF(COUNTIF(D47,"*キャラ弁当*"),"キャラ弁当",D47))),4)&amp;"*",注文弁当の抽出!$E$1:$F$15,2,FALSE),"")</f>
        <v/>
      </c>
      <c r="K47" s="52" t="str">
        <f ca="1">IF(クライアント抽出!P47&lt;&gt;"",SUBSTITUTE(ADDRESS(1,(CODE(クライアント抽出!P47)-64)*2-1,4),"1",""),"")</f>
        <v/>
      </c>
      <c r="L47" s="52" t="str">
        <f>IF(C47&lt;&gt;"",クライアント抽出!I47,"")</f>
        <v/>
      </c>
      <c r="M47" s="52">
        <f t="array" aca="1" ref="M47" ca="1">IF(C47&lt;&gt;"",
IF(K47&lt;&gt;"",INDIRECT("'数出表_Excel（アレルギー入力）'!"&amp;K47&amp;L47-1&amp;""),),)</f>
        <v>0</v>
      </c>
      <c r="N47" s="52" t="str">
        <f>IF(C47&lt;&gt;"",IF(OR(COUNTIF('盛付札（関数）'!D47,"*赤*"),COUNTIF('盛付札（関数）'!D47,"*キャラ*")),1,
VLOOKUP("*"&amp;D47&amp;"*",商品マスタ一覧!D:H,5,FALSE)),"")</f>
        <v/>
      </c>
      <c r="O47" s="52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52">
        <f t="shared" si="0"/>
        <v>0</v>
      </c>
      <c r="Q47" s="52" t="b">
        <f t="shared" si="1"/>
        <v>0</v>
      </c>
      <c r="R47" s="203" t="str">
        <f t="array" aca="1" ref="R47" ca="1">IFERROR(SMALL(IF(P$1:P$307&lt;&gt;0,P$1:P$307),ROW(A47)),"")</f>
        <v/>
      </c>
      <c r="S47" s="203" t="str">
        <f t="array" aca="1" ref="S47" ca="1">IF($R47&lt;&gt;"",
SUBSTITUTE(SUBSTITUTE(INDIRECT("C"&amp;$R47&amp;"")," 週3ｺｰｽ","")," 週5ｺｰｽ",""),"")</f>
        <v/>
      </c>
      <c r="T47" s="203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204" t="str">
        <f t="array" aca="1" ref="U47" ca="1">IF($R47&lt;&gt;"",
INDIRECT("F"&amp;$R47&amp;""),"")</f>
        <v/>
      </c>
      <c r="V47" s="203" t="str">
        <f t="array" aca="1" ref="V47" ca="1">IF($R47&lt;&gt;"",
INDIRECT("G"&amp;$R47&amp;""),"")</f>
        <v/>
      </c>
      <c r="W47" s="203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IF(OR(COUNTIF(INDIRECT("B"&amp;R47&amp;""),"*雙葉先生*"),COUNTIF(INDIRECT("B"&amp;R47-1&amp;""),"*雙葉*")),INDIRECT("H"&amp;R47&amp;""),INDIRECT("H"&amp;R47&amp;"")+INDIRECT("H"&amp;MATCH("雙葉'",INDIRECT("B"&amp;R47+3&amp;":B210"),0)+2+R47&amp;"")),
IF(AND(LEFT(INDIRECT("B"&amp;R47&amp;""),2)="博多",COUNTIF(B:B,"*博多*")&gt;=2),
INDIRECT("H"&amp;R47&amp;"")+INDIRECT("H"&amp;MATCH("*"&amp;INDIRECT("B"&amp;R47&amp;"")&amp;"*",INDIRECT("B"&amp;R47+1&amp;":B210"),0)+R47&amp;""),
IF(AND(LEFT(INDIRECT("B"&amp;R47&amp;""),3)="奈良屋",COUNTIF(B:B,"*奈良屋*")&gt;=2),
INDIRECT("H"&amp;R47&amp;"")+INDIRECT("H"&amp;MATCH("*"&amp;INDIRECT("B"&amp;R47&amp;"")&amp;"*",INDIRECT("B"&amp;R47+1&amp;":B210"),0)+R47&amp;"")
+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INDIRECT("H"&amp;R47&amp;"")))),"")</f>
        <v/>
      </c>
      <c r="X47" s="203" t="str">
        <f t="array" aca="1" ref="X47" ca="1">IF($R47&lt;&gt;"",
INDIRECT(""&amp;IF(COLUMN(I47)&lt;=26,CHAR(COLUMN(I47)+64),CHAR(INT((COLUMN(I47)-1)/26)+64)&amp;CHAR(MOD(COLUMN(I47)-1,26)+65))&amp;$R47&amp;""),"")</f>
        <v/>
      </c>
      <c r="Y47" s="203" t="str">
        <f t="array" aca="1" ref="Y47" ca="1">IF($R47&lt;&gt;"",
INDIRECT(""&amp;IF(COLUMN(J47)&lt;=26,CHAR(COLUMN(J47)+64),CHAR(INT((COLUMN(J47)-1)/26)+64)&amp;CHAR(MOD(COLUMN(J47)-1,26)+65))&amp;$R47&amp;""),"")</f>
        <v/>
      </c>
      <c r="Z47" s="203" t="str">
        <f t="shared" ca="1" si="2"/>
        <v/>
      </c>
      <c r="AA47" s="203" t="str">
        <f t="shared" ca="1" si="3"/>
        <v/>
      </c>
      <c r="AB47" s="203" t="str">
        <f t="array" aca="1" ref="AB47" ca="1">IF($R47&lt;&gt;"",
IF(AND(COUNTIF(INDIRECT("B"&amp;R47&amp;""),"*雙葉*"),COUNTIF(B:B,"*雙葉*")&gt;=2),
INDIRECT("M"&amp;R47&amp;"")+INDIRECT("M"&amp;MATCH("雙葉'",INDIRECT("B"&amp;R47+1&amp;":B210"),0)+R47&amp;""),
IF(AND(LEFT(INDIRECT("B"&amp;R47&amp;""),2)="博多",COUNTIF(B:B,"*博多*")&gt;=2),
INDIRECT("M"&amp;R47&amp;"")+INDIRECT("M"&amp;MATCH("*"&amp;INDIRECT("B"&amp;R47&amp;"")&amp;"*",INDIRECT("B"&amp;R47+1&amp;":B210"),0)+R47&amp;""),
IF(AND(LEFT(INDIRECT("B"&amp;R47&amp;""),3)="奈良屋",COUNTIF(B:B,"*奈良屋*")&gt;=2),
INDIRECT("M"&amp;R47&amp;"")+INDIRECT("M"&amp;MATCH("*"&amp;INDIRECT("B"&amp;R47&amp;"")&amp;"*",INDIRECT("B"&amp;R47+1&amp;":B210"),0)+R47&amp;"")
+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INDIRECT("M"&amp;R47&amp;"")))),"")</f>
        <v/>
      </c>
      <c r="AC47" s="203" t="str">
        <f t="shared" ca="1" si="4"/>
        <v/>
      </c>
      <c r="AD47" s="51" t="str">
        <f t="shared" ca="1" si="5"/>
        <v/>
      </c>
      <c r="AE47" s="51" t="str">
        <f t="shared" ca="1" si="6"/>
        <v/>
      </c>
      <c r="AF47" s="51" t="str">
        <f t="shared" ca="1" si="7"/>
        <v/>
      </c>
      <c r="AG47" s="51" t="str">
        <f t="shared" ca="1" si="8"/>
        <v/>
      </c>
      <c r="AH47" s="191" t="str">
        <f t="shared" ca="1" si="9"/>
        <v/>
      </c>
      <c r="AI47" s="51" t="str">
        <f t="shared" ca="1" si="10"/>
        <v/>
      </c>
      <c r="AJ47" s="51" t="str">
        <f t="shared" ca="1" si="11"/>
        <v/>
      </c>
      <c r="AK47" s="51" t="str">
        <f t="shared" ca="1" si="12"/>
        <v/>
      </c>
      <c r="AL47" s="51" t="str">
        <f t="shared" ca="1" si="13"/>
        <v/>
      </c>
      <c r="AM47" s="51" t="str">
        <f t="shared" ca="1" si="14"/>
        <v/>
      </c>
      <c r="AN47" s="51" t="str">
        <f t="shared" ca="1" si="15"/>
        <v/>
      </c>
      <c r="AO47" s="51" t="str">
        <f t="shared" ca="1" si="16"/>
        <v/>
      </c>
      <c r="AP47" s="51" t="str">
        <f t="shared" ca="1" si="17"/>
        <v/>
      </c>
      <c r="AU47" s="51" t="str">
        <f t="shared" ca="1" si="18"/>
        <v/>
      </c>
    </row>
    <row r="48" spans="1:47" ht="22.2" customHeight="1">
      <c r="A48" s="177">
        <f t="shared" si="21"/>
        <v>101</v>
      </c>
      <c r="B48" s="52" t="str">
        <f t="shared" si="22"/>
        <v/>
      </c>
      <c r="C48" s="52" t="str">
        <f>IF(OR(クライアント抽出!B48&lt;&gt;"",クライアント抽出!E48&lt;&gt;""),クライアント抽出!A48,"")</f>
        <v/>
      </c>
      <c r="D48" s="52" t="str">
        <f t="array" aca="1" ref="D48" ca="1">IF(C48&lt;&gt;"",INDIRECT("クライアント抽出!"&amp;E48&amp;MATCH(C48,クライアント抽出!A:A,0)&amp;""),"")</f>
        <v/>
      </c>
      <c r="E48" s="52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53" t="str">
        <f ca="1">IF(D48&lt;&gt;"",
IF(COUNTIF(C48,"*雙葉*"),
IF(ROUND((H48-M48)
/IF(COUNTIF(D48,"*キャラ*"),
VLOOKUP("*キャラ*",商品マスタ一覧!$D:$E,2,FALSE),
IF(COUNTIF(D48,"*赤*"),
VLOOKUP("*赤*",商品マスタ一覧!$D:$E,2,FALSE),
VLOOKUP("*"&amp;D48&amp;"*",商品マスタ一覧!$D:$E,2,FALSE))),0)&lt;=0,1,
ROUND((H48-M48)
/IF(COUNTIF(D48,"*キャラ*"),
VLOOKUP("*キャラ*",商品マスタ一覧!$D:$E,2,FALSE),
IF(COUNTIF(D48,"*赤*"),
VLOOKUP("*赤*",商品マスタ一覧!$D:$E,2,FALSE),
VLOOKUP("*"&amp;D48&amp;"*",商品マスタ一覧!$D:$E,2,FALSE))),0)),
IF(OR(COUNTIF(D48,"*キャラ*"),COUNTIF(D48,"*赤*")),"",
IF(VLOOKUP("*"&amp;D48&amp;"*",商品マスタ一覧!$D:$E,2,FALSE)=0,"",
IF(ROUND((H48-M48)
/VLOOKUP("*"&amp;D48&amp;"*",商品マスタ一覧!$D:$E,2,FALSE),0)&lt;=0,1,
ROUND((H48-M48)
/VLOOKUP("*"&amp;D48&amp;"*",商品マスタ一覧!$D:$E,2,FALSE),0))))),"")</f>
        <v/>
      </c>
      <c r="G48" s="52" t="str">
        <f ca="1">IF(F48&lt;&gt;"",
IF(VALUE(H48-M48)&gt;VALUE(IF(COUNTIF(D48,"*キャラ*"),
VLOOKUP("*キャラ*",商品マスタ一覧!$D:$E,2,FALSE),
IF(COUNTIF(D48,"*赤*"),
VLOOKUP("*赤*",商品マスタ一覧!$D:$E,2,FALSE),
VLOOKUP("*"&amp;D48&amp;"*",商品マスタ一覧!$D:$E,2,FALSE)))*F48),
"+"&amp;(H48-M48)-IF(COUNTIF(D48,"*キャラ*"),
VLOOKUP("*キャラ*",商品マスタ一覧!$D:$E,2,FALSE),
IF(COUNTIF(D48,"*赤*"),
VLOOKUP("*赤*",商品マスタ一覧!$D:$E,2,FALSE),
VLOOKUP("*"&amp;D48&amp;"*",商品マスタ一覧!$D:$E,2,FALSE)))*F48,
(H48-M48)-IF(COUNTIF(D48,"*キャラ*"),
VLOOKUP("*キャラ*",商品マスタ一覧!$D:$E,2,FALSE),
IF(COUNTIF(D48,"*赤*"),
VLOOKUP("*赤*",商品マスタ一覧!$D:$E,2,FALSE),
VLOOKUP("*"&amp;D48&amp;"*",商品マスタ一覧!$D:$E,2,FALSE)))*F48),"")</f>
        <v/>
      </c>
      <c r="H48" s="175" t="str">
        <f>IF(C48&lt;&gt;"",
クライアント抽出!B48,"")</f>
        <v/>
      </c>
      <c r="I48" s="52" t="str">
        <f t="array" aca="1" ref="I48" ca="1">IF(C48&lt;&gt;"",
IF(O48=1,
IF(SUMPRODUCT(COUNTIF(クライアント抽出!P48:U48,クライアント抽出!P48:U48))&gt;COUNTA(クライアント抽出!P48:U48),
INDIRECT("数出表_Excel!"&amp;INDEX(_xlfn.UNIQUE(_xlfn._xlws.FILTER(クライアント抽出!P48:U48,COUNTIF(クライアント抽出!P48:U48,クライアント抽出!P48:U48)&gt;1)),1)&amp;L48&amp;""),0),クライアント抽出!E48),"")</f>
        <v/>
      </c>
      <c r="J48" s="52" t="str">
        <f>IF(C48&lt;&gt;"",
VLOOKUP(
"*"&amp;LEFT(IF(COUNTIF(D48,"*学食*"),"キャラ弁（学食）",
IF(COUNTIF(D48,"*赤*"),"赤",
IF(COUNTIF(D48,"*キャラ弁当*"),"キャラ弁当",D48))),4)&amp;"*",注文弁当の抽出!$E$1:$F$15,2,FALSE),"")</f>
        <v/>
      </c>
      <c r="K48" s="52" t="str">
        <f ca="1">IF(クライアント抽出!P48&lt;&gt;"",SUBSTITUTE(ADDRESS(1,(CODE(クライアント抽出!P48)-64)*2-1,4),"1",""),"")</f>
        <v/>
      </c>
      <c r="L48" s="52" t="str">
        <f>IF(C48&lt;&gt;"",クライアント抽出!I48,"")</f>
        <v/>
      </c>
      <c r="M48" s="52">
        <f t="array" aca="1" ref="M48" ca="1">IF(C48&lt;&gt;"",
IF(K48&lt;&gt;"",INDIRECT("'数出表_Excel（アレルギー入力）'!"&amp;K48&amp;L48-1&amp;""),),)</f>
        <v>0</v>
      </c>
      <c r="N48" s="52" t="str">
        <f>IF(C48&lt;&gt;"",IF(OR(COUNTIF('盛付札（関数）'!D48,"*赤*"),COUNTIF('盛付札（関数）'!D48,"*キャラ*")),1,
VLOOKUP("*"&amp;D48&amp;"*",商品マスタ一覧!D:H,5,FALSE)),"")</f>
        <v/>
      </c>
      <c r="O48" s="52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52">
        <f t="shared" si="0"/>
        <v>0</v>
      </c>
      <c r="Q48" s="52" t="b">
        <f t="shared" si="1"/>
        <v>0</v>
      </c>
      <c r="R48" s="51" t="str">
        <f t="array" aca="1" ref="R48" ca="1">IFERROR(SMALL(IF(P$1:P$307&lt;&gt;0,P$1:P$307),ROW(A48)),"")</f>
        <v/>
      </c>
      <c r="S48" s="51" t="str">
        <f t="array" aca="1" ref="S48" ca="1">IF($R48&lt;&gt;"",
SUBSTITUTE(SUBSTITUTE(INDIRECT("C"&amp;$R48&amp;"")," 週3ｺｰｽ","")," 週5ｺｰｽ",""),"")</f>
        <v/>
      </c>
      <c r="T48" s="51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191" t="str">
        <f t="array" aca="1" ref="U48" ca="1">IF($R48&lt;&gt;"",
INDIRECT("F"&amp;$R48&amp;""),"")</f>
        <v/>
      </c>
      <c r="V48" s="51" t="str">
        <f t="array" aca="1" ref="V48" ca="1">IF($R48&lt;&gt;"",
INDIRECT("G"&amp;$R48&amp;""),"")</f>
        <v/>
      </c>
      <c r="W48" s="51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IF(OR(COUNTIF(INDIRECT("B"&amp;R48&amp;""),"*雙葉先生*"),COUNTIF(INDIRECT("B"&amp;R48-1&amp;""),"*雙葉*")),INDIRECT("H"&amp;R48&amp;""),INDIRECT("H"&amp;R48&amp;"")+INDIRECT("H"&amp;MATCH("雙葉'",INDIRECT("B"&amp;R48+3&amp;":B210"),0)+2+R48&amp;"")),
IF(AND(LEFT(INDIRECT("B"&amp;R48&amp;""),2)="博多",COUNTIF(B:B,"*博多*")&gt;=2),
INDIRECT("H"&amp;R48&amp;"")+INDIRECT("H"&amp;MATCH("*"&amp;INDIRECT("B"&amp;R48&amp;"")&amp;"*",INDIRECT("B"&amp;R48+1&amp;":B210"),0)+R48&amp;""),
IF(AND(LEFT(INDIRECT("B"&amp;R48&amp;""),3)="奈良屋",COUNTIF(B:B,"*奈良屋*")&gt;=2),
INDIRECT("H"&amp;R48&amp;"")+INDIRECT("H"&amp;MATCH("*"&amp;INDIRECT("B"&amp;R48&amp;"")&amp;"*",INDIRECT("B"&amp;R48+1&amp;":B210"),0)+R48&amp;"")
+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INDIRECT("H"&amp;R48&amp;"")))),"")</f>
        <v/>
      </c>
      <c r="X48" s="51" t="str">
        <f t="array" aca="1" ref="X48" ca="1">IF($R48&lt;&gt;"",
INDIRECT(""&amp;IF(COLUMN(I48)&lt;=26,CHAR(COLUMN(I48)+64),CHAR(INT((COLUMN(I48)-1)/26)+64)&amp;CHAR(MOD(COLUMN(I48)-1,26)+65))&amp;$R48&amp;""),"")</f>
        <v/>
      </c>
      <c r="Y48" s="51" t="str">
        <f t="array" aca="1" ref="Y48" ca="1">IF($R48&lt;&gt;"",
INDIRECT(""&amp;IF(COLUMN(J48)&lt;=26,CHAR(COLUMN(J48)+64),CHAR(INT((COLUMN(J48)-1)/26)+64)&amp;CHAR(MOD(COLUMN(J48)-1,26)+65))&amp;$R48&amp;""),"")</f>
        <v/>
      </c>
      <c r="Z48" s="51" t="str">
        <f t="shared" ca="1" si="2"/>
        <v/>
      </c>
      <c r="AA48" s="51" t="str">
        <f t="shared" ca="1" si="3"/>
        <v/>
      </c>
      <c r="AB48" s="51" t="str">
        <f t="array" aca="1" ref="AB48" ca="1">IF($R48&lt;&gt;"",
IF(AND(COUNTIF(INDIRECT("B"&amp;R48&amp;""),"*雙葉*"),COUNTIF(B:B,"*雙葉*")&gt;=2),
INDIRECT("M"&amp;R48&amp;"")+INDIRECT("M"&amp;MATCH("雙葉'",INDIRECT("B"&amp;R48+1&amp;":B210"),0)+R48&amp;""),
IF(AND(LEFT(INDIRECT("B"&amp;R48&amp;""),2)="博多",COUNTIF(B:B,"*博多*")&gt;=2),
INDIRECT("M"&amp;R48&amp;"")+INDIRECT("M"&amp;MATCH("*"&amp;INDIRECT("B"&amp;R48&amp;"")&amp;"*",INDIRECT("B"&amp;R48+1&amp;":B210"),0)+R48&amp;""),
IF(AND(LEFT(INDIRECT("B"&amp;R48&amp;""),3)="奈良屋",COUNTIF(B:B,"*奈良屋*")&gt;=2),
INDIRECT("M"&amp;R48&amp;"")+INDIRECT("M"&amp;MATCH("*"&amp;INDIRECT("B"&amp;R48&amp;"")&amp;"*",INDIRECT("B"&amp;R48+1&amp;":B210"),0)+R48&amp;"")
+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INDIRECT("M"&amp;R48&amp;"")))),"")</f>
        <v/>
      </c>
      <c r="AC48" s="51" t="str">
        <f t="shared" ca="1" si="4"/>
        <v/>
      </c>
      <c r="AD48" s="51" t="str">
        <f t="shared" ca="1" si="5"/>
        <v/>
      </c>
      <c r="AE48" s="51" t="str">
        <f t="shared" ca="1" si="6"/>
        <v/>
      </c>
      <c r="AF48" s="51" t="str">
        <f t="shared" ca="1" si="7"/>
        <v/>
      </c>
      <c r="AG48" s="51" t="str">
        <f t="shared" ca="1" si="8"/>
        <v/>
      </c>
      <c r="AH48" s="191" t="str">
        <f t="shared" ca="1" si="9"/>
        <v/>
      </c>
      <c r="AI48" s="51" t="str">
        <f t="shared" ca="1" si="10"/>
        <v/>
      </c>
      <c r="AJ48" s="51" t="str">
        <f t="shared" ca="1" si="11"/>
        <v/>
      </c>
      <c r="AK48" s="51" t="str">
        <f t="shared" ca="1" si="12"/>
        <v/>
      </c>
      <c r="AL48" s="51" t="str">
        <f t="shared" ca="1" si="13"/>
        <v/>
      </c>
      <c r="AM48" s="51" t="str">
        <f t="shared" ca="1" si="14"/>
        <v/>
      </c>
      <c r="AN48" s="51" t="str">
        <f t="shared" ca="1" si="15"/>
        <v/>
      </c>
      <c r="AO48" s="51" t="str">
        <f t="shared" ca="1" si="16"/>
        <v/>
      </c>
      <c r="AP48" s="51" t="str">
        <f t="shared" ca="1" si="17"/>
        <v/>
      </c>
      <c r="AU48" s="51" t="str">
        <f t="shared" ca="1" si="18"/>
        <v/>
      </c>
    </row>
    <row r="49" spans="1:47" ht="21" customHeight="1">
      <c r="A49" s="177">
        <f t="shared" si="21"/>
        <v>103</v>
      </c>
      <c r="B49" s="52" t="str">
        <f t="shared" si="22"/>
        <v/>
      </c>
      <c r="C49" s="52" t="str">
        <f>IF(OR(クライアント抽出!B49&lt;&gt;"",クライアント抽出!E49&lt;&gt;""),クライアント抽出!A49,"")</f>
        <v/>
      </c>
      <c r="D49" s="52" t="str">
        <f t="array" aca="1" ref="D49" ca="1">IF(C49&lt;&gt;"",INDIRECT("クライアント抽出!"&amp;E49&amp;MATCH(C49,クライアント抽出!A:A,0)&amp;""),"")</f>
        <v/>
      </c>
      <c r="E49" s="52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53" t="str">
        <f ca="1">IF(D49&lt;&gt;"",
IF(COUNTIF(C49,"*雙葉*"),
IF(ROUND((H49-M49)
/IF(COUNTIF(D49,"*キャラ*"),
VLOOKUP("*キャラ*",商品マスタ一覧!$D:$E,2,FALSE),
IF(COUNTIF(D49,"*赤*"),
VLOOKUP("*赤*",商品マスタ一覧!$D:$E,2,FALSE),
VLOOKUP("*"&amp;D49&amp;"*",商品マスタ一覧!$D:$E,2,FALSE))),0)&lt;=0,1,
ROUND((H49-M49)
/IF(COUNTIF(D49,"*キャラ*"),
VLOOKUP("*キャラ*",商品マスタ一覧!$D:$E,2,FALSE),
IF(COUNTIF(D49,"*赤*"),
VLOOKUP("*赤*",商品マスタ一覧!$D:$E,2,FALSE),
VLOOKUP("*"&amp;D49&amp;"*",商品マスタ一覧!$D:$E,2,FALSE))),0)),
IF(OR(COUNTIF(D49,"*キャラ*"),COUNTIF(D49,"*赤*")),"",
IF(VLOOKUP("*"&amp;D49&amp;"*",商品マスタ一覧!$D:$E,2,FALSE)=0,"",
IF(ROUND((H49-M49)
/VLOOKUP("*"&amp;D49&amp;"*",商品マスタ一覧!$D:$E,2,FALSE),0)&lt;=0,1,
ROUND((H49-M49)
/VLOOKUP("*"&amp;D49&amp;"*",商品マスタ一覧!$D:$E,2,FALSE),0))))),"")</f>
        <v/>
      </c>
      <c r="G49" s="52" t="str">
        <f ca="1">IF(F49&lt;&gt;"",
IF(VALUE(H49-M49)&gt;VALUE(IF(COUNTIF(D49,"*キャラ*"),
VLOOKUP("*キャラ*",商品マスタ一覧!$D:$E,2,FALSE),
IF(COUNTIF(D49,"*赤*"),
VLOOKUP("*赤*",商品マスタ一覧!$D:$E,2,FALSE),
VLOOKUP("*"&amp;D49&amp;"*",商品マスタ一覧!$D:$E,2,FALSE)))*F49),
"+"&amp;(H49-M49)-IF(COUNTIF(D49,"*キャラ*"),
VLOOKUP("*キャラ*",商品マスタ一覧!$D:$E,2,FALSE),
IF(COUNTIF(D49,"*赤*"),
VLOOKUP("*赤*",商品マスタ一覧!$D:$E,2,FALSE),
VLOOKUP("*"&amp;D49&amp;"*",商品マスタ一覧!$D:$E,2,FALSE)))*F49,
(H49-M49)-IF(COUNTIF(D49,"*キャラ*"),
VLOOKUP("*キャラ*",商品マスタ一覧!$D:$E,2,FALSE),
IF(COUNTIF(D49,"*赤*"),
VLOOKUP("*赤*",商品マスタ一覧!$D:$E,2,FALSE),
VLOOKUP("*"&amp;D49&amp;"*",商品マスタ一覧!$D:$E,2,FALSE)))*F49),"")</f>
        <v/>
      </c>
      <c r="H49" s="175" t="str">
        <f>IF(C49&lt;&gt;"",
クライアント抽出!B49,"")</f>
        <v/>
      </c>
      <c r="I49" s="52" t="str">
        <f t="array" aca="1" ref="I49" ca="1">IF(C49&lt;&gt;"",
IF(O49=1,
IF(SUMPRODUCT(COUNTIF(クライアント抽出!P49:U49,クライアント抽出!P49:U49))&gt;COUNTA(クライアント抽出!P49:U49),
INDIRECT("数出表_Excel!"&amp;INDEX(_xlfn.UNIQUE(_xlfn._xlws.FILTER(クライアント抽出!P49:U49,COUNTIF(クライアント抽出!P49:U49,クライアント抽出!P49:U49)&gt;1)),1)&amp;L49&amp;""),0),クライアント抽出!E49),"")</f>
        <v/>
      </c>
      <c r="J49" s="52" t="str">
        <f>IF(C49&lt;&gt;"",
VLOOKUP(
"*"&amp;LEFT(IF(COUNTIF(D49,"*学食*"),"キャラ弁（学食）",
IF(COUNTIF(D49,"*赤*"),"赤",
IF(COUNTIF(D49,"*キャラ弁当*"),"キャラ弁当",D49))),4)&amp;"*",注文弁当の抽出!$E$1:$F$15,2,FALSE),"")</f>
        <v/>
      </c>
      <c r="K49" s="52" t="str">
        <f ca="1">IF(クライアント抽出!P49&lt;&gt;"",SUBSTITUTE(ADDRESS(1,(CODE(クライアント抽出!P49)-64)*2-1,4),"1",""),"")</f>
        <v/>
      </c>
      <c r="L49" s="52" t="str">
        <f>IF(C49&lt;&gt;"",クライアント抽出!I49,"")</f>
        <v/>
      </c>
      <c r="M49" s="52">
        <f t="array" aca="1" ref="M49" ca="1">IF(C49&lt;&gt;"",
IF(K49&lt;&gt;"",INDIRECT("'数出表_Excel（アレルギー入力）'!"&amp;K49&amp;L49-1&amp;""),),)</f>
        <v>0</v>
      </c>
      <c r="N49" s="52" t="str">
        <f>IF(C49&lt;&gt;"",IF(OR(COUNTIF('盛付札（関数）'!D49,"*赤*"),COUNTIF('盛付札（関数）'!D49,"*キャラ*")),1,
VLOOKUP("*"&amp;D49&amp;"*",商品マスタ一覧!D:H,5,FALSE)),"")</f>
        <v/>
      </c>
      <c r="O49" s="52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52">
        <f t="shared" si="0"/>
        <v>0</v>
      </c>
      <c r="Q49" s="52" t="b">
        <f t="shared" si="1"/>
        <v>0</v>
      </c>
      <c r="R49" s="51" t="str">
        <f t="array" aca="1" ref="R49" ca="1">IFERROR(SMALL(IF(P$1:P$307&lt;&gt;0,P$1:P$307),ROW(A49)),"")</f>
        <v/>
      </c>
      <c r="S49" s="51" t="str">
        <f t="array" aca="1" ref="S49" ca="1">IF($R49&lt;&gt;"",
SUBSTITUTE(SUBSTITUTE(INDIRECT("C"&amp;$R49&amp;"")," 週3ｺｰｽ","")," 週5ｺｰｽ",""),"")</f>
        <v/>
      </c>
      <c r="T49" s="51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91" t="str">
        <f t="array" aca="1" ref="U49" ca="1">IF($R49&lt;&gt;"",
INDIRECT("F"&amp;$R49&amp;""),"")</f>
        <v/>
      </c>
      <c r="V49" s="51" t="str">
        <f t="array" aca="1" ref="V49" ca="1">IF($R49&lt;&gt;"",
INDIRECT("G"&amp;$R49&amp;""),"")</f>
        <v/>
      </c>
      <c r="W49" s="51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IF(OR(COUNTIF(INDIRECT("B"&amp;R49&amp;""),"*雙葉先生*"),COUNTIF(INDIRECT("B"&amp;R49-1&amp;""),"*雙葉*")),INDIRECT("H"&amp;R49&amp;""),INDIRECT("H"&amp;R49&amp;"")+INDIRECT("H"&amp;MATCH("雙葉'",INDIRECT("B"&amp;R49+3&amp;":B210"),0)+2+R49&amp;"")),
IF(AND(LEFT(INDIRECT("B"&amp;R49&amp;""),2)="博多",COUNTIF(B:B,"*博多*")&gt;=2),
INDIRECT("H"&amp;R49&amp;"")+INDIRECT("H"&amp;MATCH("*"&amp;INDIRECT("B"&amp;R49&amp;"")&amp;"*",INDIRECT("B"&amp;R49+1&amp;":B210"),0)+R49&amp;""),
IF(AND(LEFT(INDIRECT("B"&amp;R49&amp;""),3)="奈良屋",COUNTIF(B:B,"*奈良屋*")&gt;=2),
INDIRECT("H"&amp;R49&amp;"")+INDIRECT("H"&amp;MATCH("*"&amp;INDIRECT("B"&amp;R49&amp;"")&amp;"*",INDIRECT("B"&amp;R49+1&amp;":B210"),0)+R49&amp;"")
+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INDIRECT("H"&amp;R49&amp;"")))),"")</f>
        <v/>
      </c>
      <c r="X49" s="51" t="str">
        <f t="array" aca="1" ref="X49" ca="1">IF($R49&lt;&gt;"",
INDIRECT(""&amp;IF(COLUMN(I49)&lt;=26,CHAR(COLUMN(I49)+64),CHAR(INT((COLUMN(I49)-1)/26)+64)&amp;CHAR(MOD(COLUMN(I49)-1,26)+65))&amp;$R49&amp;""),"")</f>
        <v/>
      </c>
      <c r="Y49" s="51" t="str">
        <f t="array" aca="1" ref="Y49" ca="1">IF($R49&lt;&gt;"",
INDIRECT(""&amp;IF(COLUMN(J49)&lt;=26,CHAR(COLUMN(J49)+64),CHAR(INT((COLUMN(J49)-1)/26)+64)&amp;CHAR(MOD(COLUMN(J49)-1,26)+65))&amp;$R49&amp;""),"")</f>
        <v/>
      </c>
      <c r="Z49" s="51" t="str">
        <f t="shared" ca="1" si="2"/>
        <v/>
      </c>
      <c r="AA49" s="51" t="str">
        <f t="shared" ca="1" si="3"/>
        <v/>
      </c>
      <c r="AB49" s="51" t="str">
        <f t="array" aca="1" ref="AB49" ca="1">IF($R49&lt;&gt;"",
IF(AND(COUNTIF(INDIRECT("B"&amp;R49&amp;""),"*雙葉*"),COUNTIF(B:B,"*雙葉*")&gt;=2),
INDIRECT("M"&amp;R49&amp;"")+INDIRECT("M"&amp;MATCH("雙葉'",INDIRECT("B"&amp;R49+1&amp;":B210"),0)+R49&amp;""),
IF(AND(LEFT(INDIRECT("B"&amp;R49&amp;""),2)="博多",COUNTIF(B:B,"*博多*")&gt;=2),
INDIRECT("M"&amp;R49&amp;"")+INDIRECT("M"&amp;MATCH("*"&amp;INDIRECT("B"&amp;R49&amp;"")&amp;"*",INDIRECT("B"&amp;R49+1&amp;":B210"),0)+R49&amp;""),
IF(AND(LEFT(INDIRECT("B"&amp;R49&amp;""),3)="奈良屋",COUNTIF(B:B,"*奈良屋*")&gt;=2),
INDIRECT("M"&amp;R49&amp;"")+INDIRECT("M"&amp;MATCH("*"&amp;INDIRECT("B"&amp;R49&amp;"")&amp;"*",INDIRECT("B"&amp;R49+1&amp;":B210"),0)+R49&amp;"")
+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INDIRECT("M"&amp;R49&amp;"")))),"")</f>
        <v/>
      </c>
      <c r="AC49" s="51" t="str">
        <f t="shared" ca="1" si="4"/>
        <v/>
      </c>
      <c r="AD49" s="51" t="str">
        <f t="shared" ca="1" si="5"/>
        <v/>
      </c>
      <c r="AE49" s="51" t="str">
        <f t="shared" ca="1" si="6"/>
        <v/>
      </c>
      <c r="AF49" s="51" t="str">
        <f t="shared" ca="1" si="7"/>
        <v/>
      </c>
      <c r="AG49" s="51" t="str">
        <f t="shared" ca="1" si="8"/>
        <v/>
      </c>
      <c r="AH49" s="191" t="str">
        <f t="shared" ca="1" si="9"/>
        <v/>
      </c>
      <c r="AI49" s="51" t="str">
        <f t="shared" ca="1" si="10"/>
        <v/>
      </c>
      <c r="AJ49" s="51" t="str">
        <f t="shared" ca="1" si="11"/>
        <v/>
      </c>
      <c r="AK49" s="51" t="str">
        <f t="shared" ca="1" si="12"/>
        <v/>
      </c>
      <c r="AL49" s="51" t="str">
        <f t="shared" ca="1" si="13"/>
        <v/>
      </c>
      <c r="AM49" s="51" t="str">
        <f t="shared" ca="1" si="14"/>
        <v/>
      </c>
      <c r="AN49" s="51" t="str">
        <f t="shared" ca="1" si="15"/>
        <v/>
      </c>
      <c r="AO49" s="51" t="str">
        <f t="shared" ca="1" si="16"/>
        <v/>
      </c>
      <c r="AP49" s="51" t="str">
        <f t="shared" ca="1" si="17"/>
        <v/>
      </c>
      <c r="AU49" s="51" t="str">
        <f t="shared" ca="1" si="18"/>
        <v/>
      </c>
    </row>
    <row r="50" spans="1:47" ht="18" customHeight="1">
      <c r="A50" s="177">
        <f t="shared" si="21"/>
        <v>105</v>
      </c>
      <c r="B50" s="52" t="str">
        <f t="shared" si="22"/>
        <v/>
      </c>
      <c r="C50" s="52" t="str">
        <f>IF(OR(クライアント抽出!B50&lt;&gt;"",クライアント抽出!E50&lt;&gt;""),クライアント抽出!A50,"")</f>
        <v/>
      </c>
      <c r="D50" s="52" t="str">
        <f t="array" aca="1" ref="D50" ca="1">IF(C50&lt;&gt;"",INDIRECT("クライアント抽出!"&amp;E50&amp;MATCH(C50,クライアント抽出!A:A,0)&amp;""),"")</f>
        <v/>
      </c>
      <c r="E50" s="52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53" t="str">
        <f ca="1">IF(D50&lt;&gt;"",
IF(COUNTIF(C50,"*雙葉*"),
IF(ROUND((H50-M50)
/IF(COUNTIF(D50,"*キャラ*"),
VLOOKUP("*キャラ*",商品マスタ一覧!$D:$E,2,FALSE),
IF(COUNTIF(D50,"*赤*"),
VLOOKUP("*赤*",商品マスタ一覧!$D:$E,2,FALSE),
VLOOKUP("*"&amp;D50&amp;"*",商品マスタ一覧!$D:$E,2,FALSE))),0)&lt;=0,1,
ROUND((H50-M50)
/IF(COUNTIF(D50,"*キャラ*"),
VLOOKUP("*キャラ*",商品マスタ一覧!$D:$E,2,FALSE),
IF(COUNTIF(D50,"*赤*"),
VLOOKUP("*赤*",商品マスタ一覧!$D:$E,2,FALSE),
VLOOKUP("*"&amp;D50&amp;"*",商品マスタ一覧!$D:$E,2,FALSE))),0)),
IF(OR(COUNTIF(D50,"*キャラ*"),COUNTIF(D50,"*赤*")),"",
IF(VLOOKUP("*"&amp;D50&amp;"*",商品マスタ一覧!$D:$E,2,FALSE)=0,"",
IF(ROUND((H50-M50)
/VLOOKUP("*"&amp;D50&amp;"*",商品マスタ一覧!$D:$E,2,FALSE),0)&lt;=0,1,
ROUND((H50-M50)
/VLOOKUP("*"&amp;D50&amp;"*",商品マスタ一覧!$D:$E,2,FALSE),0))))),"")</f>
        <v/>
      </c>
      <c r="G50" s="52" t="str">
        <f ca="1">IF(F50&lt;&gt;"",
IF(VALUE(H50-M50)&gt;VALUE(IF(COUNTIF(D50,"*キャラ*"),
VLOOKUP("*キャラ*",商品マスタ一覧!$D:$E,2,FALSE),
IF(COUNTIF(D50,"*赤*"),
VLOOKUP("*赤*",商品マスタ一覧!$D:$E,2,FALSE),
VLOOKUP("*"&amp;D50&amp;"*",商品マスタ一覧!$D:$E,2,FALSE)))*F50),
"+"&amp;(H50-M50)-IF(COUNTIF(D50,"*キャラ*"),
VLOOKUP("*キャラ*",商品マスタ一覧!$D:$E,2,FALSE),
IF(COUNTIF(D50,"*赤*"),
VLOOKUP("*赤*",商品マスタ一覧!$D:$E,2,FALSE),
VLOOKUP("*"&amp;D50&amp;"*",商品マスタ一覧!$D:$E,2,FALSE)))*F50,
(H50-M50)-IF(COUNTIF(D50,"*キャラ*"),
VLOOKUP("*キャラ*",商品マスタ一覧!$D:$E,2,FALSE),
IF(COUNTIF(D50,"*赤*"),
VLOOKUP("*赤*",商品マスタ一覧!$D:$E,2,FALSE),
VLOOKUP("*"&amp;D50&amp;"*",商品マスタ一覧!$D:$E,2,FALSE)))*F50),"")</f>
        <v/>
      </c>
      <c r="H50" s="175" t="str">
        <f>IF(C50&lt;&gt;"",
クライアント抽出!B50,"")</f>
        <v/>
      </c>
      <c r="I50" s="52" t="str">
        <f t="array" aca="1" ref="I50" ca="1">IF(C50&lt;&gt;"",
IF(O50=1,
IF(SUMPRODUCT(COUNTIF(クライアント抽出!P50:U50,クライアント抽出!P50:U50))&gt;COUNTA(クライアント抽出!P50:U50),
INDIRECT("数出表_Excel!"&amp;INDEX(_xlfn.UNIQUE(_xlfn._xlws.FILTER(クライアント抽出!P50:U50,COUNTIF(クライアント抽出!P50:U50,クライアント抽出!P50:U50)&gt;1)),1)&amp;L50&amp;""),0),クライアント抽出!E50),"")</f>
        <v/>
      </c>
      <c r="J50" s="52" t="str">
        <f>IF(C50&lt;&gt;"",
VLOOKUP(
"*"&amp;LEFT(IF(COUNTIF(D50,"*学食*"),"キャラ弁（学食）",
IF(COUNTIF(D50,"*赤*"),"赤",
IF(COUNTIF(D50,"*キャラ弁当*"),"キャラ弁当",D50))),4)&amp;"*",注文弁当の抽出!$E$1:$F$15,2,FALSE),"")</f>
        <v/>
      </c>
      <c r="K50" s="52" t="str">
        <f ca="1">IF(クライアント抽出!P50&lt;&gt;"",SUBSTITUTE(ADDRESS(1,(CODE(クライアント抽出!P50)-64)*2-1,4),"1",""),"")</f>
        <v/>
      </c>
      <c r="L50" s="52" t="str">
        <f>IF(C50&lt;&gt;"",クライアント抽出!I50,"")</f>
        <v/>
      </c>
      <c r="M50" s="52">
        <f t="array" aca="1" ref="M50" ca="1">IF(C50&lt;&gt;"",
IF(K50&lt;&gt;"",INDIRECT("'数出表_Excel（アレルギー入力）'!"&amp;K50&amp;L50-1&amp;""),),)</f>
        <v>0</v>
      </c>
      <c r="N50" s="52" t="str">
        <f>IF(C50&lt;&gt;"",IF(OR(COUNTIF('盛付札（関数）'!D50,"*赤*"),COUNTIF('盛付札（関数）'!D50,"*キャラ*")),1,
VLOOKUP("*"&amp;D50&amp;"*",商品マスタ一覧!D:H,5,FALSE)),"")</f>
        <v/>
      </c>
      <c r="O50" s="52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52">
        <f t="shared" si="0"/>
        <v>0</v>
      </c>
      <c r="Q50" s="52" t="b">
        <f t="shared" si="1"/>
        <v>0</v>
      </c>
      <c r="R50" s="51" t="str">
        <f t="array" aca="1" ref="R50" ca="1">IFERROR(SMALL(IF(P$1:P$307&lt;&gt;0,P$1:P$307),ROW(A50)),"")</f>
        <v/>
      </c>
      <c r="S50" s="51" t="str">
        <f t="array" aca="1" ref="S50" ca="1">IF($R50&lt;&gt;"",
SUBSTITUTE(SUBSTITUTE(INDIRECT("C"&amp;$R50&amp;"")," 週3ｺｰｽ","")," 週5ｺｰｽ",""),"")</f>
        <v/>
      </c>
      <c r="T50" s="51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91" t="str">
        <f t="array" aca="1" ref="U50" ca="1">IF($R50&lt;&gt;"",
INDIRECT("F"&amp;$R50&amp;""),"")</f>
        <v/>
      </c>
      <c r="V50" s="51" t="str">
        <f t="array" aca="1" ref="V50" ca="1">IF($R50&lt;&gt;"",
INDIRECT("G"&amp;$R50&amp;""),"")</f>
        <v/>
      </c>
      <c r="W50" s="51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IF(OR(COUNTIF(INDIRECT("B"&amp;R50&amp;""),"*雙葉先生*"),COUNTIF(INDIRECT("B"&amp;R50-1&amp;""),"*雙葉*")),INDIRECT("H"&amp;R50&amp;""),INDIRECT("H"&amp;R50&amp;"")+INDIRECT("H"&amp;MATCH("雙葉'",INDIRECT("B"&amp;R50+3&amp;":B210"),0)+2+R50&amp;"")),
IF(AND(LEFT(INDIRECT("B"&amp;R50&amp;""),2)="博多",COUNTIF(B:B,"*博多*")&gt;=2),
INDIRECT("H"&amp;R50&amp;"")+INDIRECT("H"&amp;MATCH("*"&amp;INDIRECT("B"&amp;R50&amp;"")&amp;"*",INDIRECT("B"&amp;R50+1&amp;":B210"),0)+R50&amp;""),
IF(AND(LEFT(INDIRECT("B"&amp;R50&amp;""),3)="奈良屋",COUNTIF(B:B,"*奈良屋*")&gt;=2),
INDIRECT("H"&amp;R50&amp;"")+INDIRECT("H"&amp;MATCH("*"&amp;INDIRECT("B"&amp;R50&amp;"")&amp;"*",INDIRECT("B"&amp;R50+1&amp;":B210"),0)+R50&amp;"")
+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INDIRECT("H"&amp;R50&amp;"")))),"")</f>
        <v/>
      </c>
      <c r="X50" s="51" t="str">
        <f t="array" aca="1" ref="X50" ca="1">IF($R50&lt;&gt;"",
INDIRECT(""&amp;IF(COLUMN(I50)&lt;=26,CHAR(COLUMN(I50)+64),CHAR(INT((COLUMN(I50)-1)/26)+64)&amp;CHAR(MOD(COLUMN(I50)-1,26)+65))&amp;$R50&amp;""),"")</f>
        <v/>
      </c>
      <c r="Y50" s="51" t="str">
        <f t="array" aca="1" ref="Y50" ca="1">IF($R50&lt;&gt;"",
INDIRECT(""&amp;IF(COLUMN(J50)&lt;=26,CHAR(COLUMN(J50)+64),CHAR(INT((COLUMN(J50)-1)/26)+64)&amp;CHAR(MOD(COLUMN(J50)-1,26)+65))&amp;$R50&amp;""),"")</f>
        <v/>
      </c>
      <c r="Z50" s="51" t="str">
        <f t="shared" ca="1" si="2"/>
        <v/>
      </c>
      <c r="AA50" s="51" t="str">
        <f t="shared" ca="1" si="3"/>
        <v/>
      </c>
      <c r="AB50" s="51" t="str">
        <f t="array" aca="1" ref="AB50" ca="1">IF($R50&lt;&gt;"",
IF(AND(COUNTIF(INDIRECT("B"&amp;R50&amp;""),"*雙葉*"),COUNTIF(B:B,"*雙葉*")&gt;=2),
INDIRECT("M"&amp;R50&amp;"")+INDIRECT("M"&amp;MATCH("雙葉'",INDIRECT("B"&amp;R50+1&amp;":B210"),0)+R50&amp;""),
IF(AND(LEFT(INDIRECT("B"&amp;R50&amp;""),2)="博多",COUNTIF(B:B,"*博多*")&gt;=2),
INDIRECT("M"&amp;R50&amp;"")+INDIRECT("M"&amp;MATCH("*"&amp;INDIRECT("B"&amp;R50&amp;"")&amp;"*",INDIRECT("B"&amp;R50+1&amp;":B210"),0)+R50&amp;""),
IF(AND(LEFT(INDIRECT("B"&amp;R50&amp;""),3)="奈良屋",COUNTIF(B:B,"*奈良屋*")&gt;=2),
INDIRECT("M"&amp;R50&amp;"")+INDIRECT("M"&amp;MATCH("*"&amp;INDIRECT("B"&amp;R50&amp;"")&amp;"*",INDIRECT("B"&amp;R50+1&amp;":B210"),0)+R50&amp;"")
+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INDIRECT("M"&amp;R50&amp;"")))),"")</f>
        <v/>
      </c>
      <c r="AC50" s="51" t="str">
        <f t="shared" ca="1" si="4"/>
        <v/>
      </c>
      <c r="AD50" s="51" t="str">
        <f t="shared" ca="1" si="5"/>
        <v/>
      </c>
      <c r="AE50" s="51" t="str">
        <f t="shared" ca="1" si="6"/>
        <v/>
      </c>
      <c r="AF50" s="51" t="str">
        <f t="shared" ca="1" si="7"/>
        <v/>
      </c>
      <c r="AG50" s="51" t="str">
        <f t="shared" ca="1" si="8"/>
        <v/>
      </c>
      <c r="AH50" s="191" t="str">
        <f t="shared" ca="1" si="9"/>
        <v/>
      </c>
      <c r="AI50" s="51" t="str">
        <f t="shared" ca="1" si="10"/>
        <v/>
      </c>
      <c r="AJ50" s="51" t="str">
        <f t="shared" ca="1" si="11"/>
        <v/>
      </c>
      <c r="AK50" s="51" t="str">
        <f t="shared" ca="1" si="12"/>
        <v/>
      </c>
      <c r="AL50" s="51" t="str">
        <f t="shared" ca="1" si="13"/>
        <v/>
      </c>
      <c r="AM50" s="51" t="str">
        <f t="shared" ca="1" si="14"/>
        <v/>
      </c>
      <c r="AN50" s="51" t="str">
        <f t="shared" ca="1" si="15"/>
        <v/>
      </c>
      <c r="AO50" s="51" t="str">
        <f t="shared" ca="1" si="16"/>
        <v/>
      </c>
      <c r="AP50" s="51" t="str">
        <f t="shared" ca="1" si="17"/>
        <v/>
      </c>
      <c r="AU50" s="51" t="str">
        <f t="shared" ca="1" si="18"/>
        <v/>
      </c>
    </row>
    <row r="51" spans="1:47" ht="18" customHeight="1">
      <c r="A51" s="177">
        <f t="shared" si="21"/>
        <v>107</v>
      </c>
      <c r="B51" s="52" t="str">
        <f t="shared" si="22"/>
        <v/>
      </c>
      <c r="C51" s="52" t="str">
        <f>IF(OR(クライアント抽出!B51&lt;&gt;"",クライアント抽出!E51&lt;&gt;""),クライアント抽出!A51,"")</f>
        <v/>
      </c>
      <c r="D51" s="52" t="str">
        <f t="array" aca="1" ref="D51" ca="1">IF(C51&lt;&gt;"",INDIRECT("クライアント抽出!"&amp;E51&amp;MATCH(C51,クライアント抽出!A:A,0)&amp;""),"")</f>
        <v/>
      </c>
      <c r="E51" s="52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53" t="str">
        <f ca="1">IF(D51&lt;&gt;"",
IF(COUNTIF(C51,"*雙葉*"),
IF(ROUND((H51-M51)
/IF(COUNTIF(D51,"*キャラ*"),
VLOOKUP("*キャラ*",商品マスタ一覧!$D:$E,2,FALSE),
IF(COUNTIF(D51,"*赤*"),
VLOOKUP("*赤*",商品マスタ一覧!$D:$E,2,FALSE),
VLOOKUP("*"&amp;D51&amp;"*",商品マスタ一覧!$D:$E,2,FALSE))),0)&lt;=0,1,
ROUND((H51-M51)
/IF(COUNTIF(D51,"*キャラ*"),
VLOOKUP("*キャラ*",商品マスタ一覧!$D:$E,2,FALSE),
IF(COUNTIF(D51,"*赤*"),
VLOOKUP("*赤*",商品マスタ一覧!$D:$E,2,FALSE),
VLOOKUP("*"&amp;D51&amp;"*",商品マスタ一覧!$D:$E,2,FALSE))),0)),
IF(OR(COUNTIF(D51,"*キャラ*"),COUNTIF(D51,"*赤*")),"",
IF(VLOOKUP("*"&amp;D51&amp;"*",商品マスタ一覧!$D:$E,2,FALSE)=0,"",
IF(ROUND((H51-M51)
/VLOOKUP("*"&amp;D51&amp;"*",商品マスタ一覧!$D:$E,2,FALSE),0)&lt;=0,1,
ROUND((H51-M51)
/VLOOKUP("*"&amp;D51&amp;"*",商品マスタ一覧!$D:$E,2,FALSE),0))))),"")</f>
        <v/>
      </c>
      <c r="G51" s="52" t="str">
        <f ca="1">IF(F51&lt;&gt;"",
IF(VALUE(H51-M51)&gt;VALUE(IF(COUNTIF(D51,"*キャラ*"),
VLOOKUP("*キャラ*",商品マスタ一覧!$D:$E,2,FALSE),
IF(COUNTIF(D51,"*赤*"),
VLOOKUP("*赤*",商品マスタ一覧!$D:$E,2,FALSE),
VLOOKUP("*"&amp;D51&amp;"*",商品マスタ一覧!$D:$E,2,FALSE)))*F51),
"+"&amp;(H51-M51)-IF(COUNTIF(D51,"*キャラ*"),
VLOOKUP("*キャラ*",商品マスタ一覧!$D:$E,2,FALSE),
IF(COUNTIF(D51,"*赤*"),
VLOOKUP("*赤*",商品マスタ一覧!$D:$E,2,FALSE),
VLOOKUP("*"&amp;D51&amp;"*",商品マスタ一覧!$D:$E,2,FALSE)))*F51,
(H51-M51)-IF(COUNTIF(D51,"*キャラ*"),
VLOOKUP("*キャラ*",商品マスタ一覧!$D:$E,2,FALSE),
IF(COUNTIF(D51,"*赤*"),
VLOOKUP("*赤*",商品マスタ一覧!$D:$E,2,FALSE),
VLOOKUP("*"&amp;D51&amp;"*",商品マスタ一覧!$D:$E,2,FALSE)))*F51),"")</f>
        <v/>
      </c>
      <c r="H51" s="175" t="str">
        <f>IF(C51&lt;&gt;"",
クライアント抽出!B51,"")</f>
        <v/>
      </c>
      <c r="I51" s="52" t="str">
        <f t="array" aca="1" ref="I51" ca="1">IF(C51&lt;&gt;"",
IF(O51=1,
IF(SUMPRODUCT(COUNTIF(クライアント抽出!P51:U51,クライアント抽出!P51:U51))&gt;COUNTA(クライアント抽出!P51:U51),
INDIRECT("数出表_Excel!"&amp;INDEX(_xlfn.UNIQUE(_xlfn._xlws.FILTER(クライアント抽出!P51:U51,COUNTIF(クライアント抽出!P51:U51,クライアント抽出!P51:U51)&gt;1)),1)&amp;L51&amp;""),0),クライアント抽出!E51),"")</f>
        <v/>
      </c>
      <c r="J51" s="52" t="str">
        <f>IF(C51&lt;&gt;"",
VLOOKUP(
"*"&amp;LEFT(IF(COUNTIF(D51,"*学食*"),"キャラ弁（学食）",
IF(COUNTIF(D51,"*赤*"),"赤",
IF(COUNTIF(D51,"*キャラ弁当*"),"キャラ弁当",D51))),4)&amp;"*",注文弁当の抽出!$E$1:$F$15,2,FALSE),"")</f>
        <v/>
      </c>
      <c r="K51" s="52" t="str">
        <f ca="1">IF(クライアント抽出!P51&lt;&gt;"",SUBSTITUTE(ADDRESS(1,(CODE(クライアント抽出!P51)-64)*2-1,4),"1",""),"")</f>
        <v/>
      </c>
      <c r="L51" s="52" t="str">
        <f>IF(C51&lt;&gt;"",クライアント抽出!I51,"")</f>
        <v/>
      </c>
      <c r="M51" s="52">
        <f t="array" aca="1" ref="M51" ca="1">IF(C51&lt;&gt;"",
IF(K51&lt;&gt;"",INDIRECT("'数出表_Excel（アレルギー入力）'!"&amp;K51&amp;L51-1&amp;""),),)</f>
        <v>0</v>
      </c>
      <c r="N51" s="52" t="str">
        <f>IF(C51&lt;&gt;"",IF(OR(COUNTIF('盛付札（関数）'!D51,"*赤*"),COUNTIF('盛付札（関数）'!D51,"*キャラ*")),1,
VLOOKUP("*"&amp;D51&amp;"*",商品マスタ一覧!D:H,5,FALSE)),"")</f>
        <v/>
      </c>
      <c r="O51" s="52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52">
        <f t="shared" si="0"/>
        <v>0</v>
      </c>
      <c r="Q51" s="52" t="b">
        <f t="shared" si="1"/>
        <v>0</v>
      </c>
      <c r="R51" s="51" t="str">
        <f t="array" aca="1" ref="R51" ca="1">IFERROR(SMALL(IF(P$1:P$307&lt;&gt;0,P$1:P$307),ROW(A51)),"")</f>
        <v/>
      </c>
      <c r="S51" s="51" t="str">
        <f t="array" aca="1" ref="S51" ca="1">IF($R51&lt;&gt;"",
SUBSTITUTE(SUBSTITUTE(INDIRECT("C"&amp;$R51&amp;"")," 週3ｺｰｽ","")," 週5ｺｰｽ",""),"")</f>
        <v/>
      </c>
      <c r="T51" s="51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91" t="str">
        <f t="array" aca="1" ref="U51" ca="1">IF($R51&lt;&gt;"",
INDIRECT("F"&amp;$R51&amp;""),"")</f>
        <v/>
      </c>
      <c r="V51" s="51" t="str">
        <f t="array" aca="1" ref="V51" ca="1">IF($R51&lt;&gt;"",
INDIRECT("G"&amp;$R51&amp;""),"")</f>
        <v/>
      </c>
      <c r="W51" s="51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IF(OR(COUNTIF(INDIRECT("B"&amp;R51&amp;""),"*雙葉先生*"),COUNTIF(INDIRECT("B"&amp;R51-1&amp;""),"*雙葉*")),INDIRECT("H"&amp;R51&amp;""),INDIRECT("H"&amp;R51&amp;"")+INDIRECT("H"&amp;MATCH("雙葉'",INDIRECT("B"&amp;R51+3&amp;":B210"),0)+2+R51&amp;"")),
IF(AND(LEFT(INDIRECT("B"&amp;R51&amp;""),2)="博多",COUNTIF(B:B,"*博多*")&gt;=2),
INDIRECT("H"&amp;R51&amp;"")+INDIRECT("H"&amp;MATCH("*"&amp;INDIRECT("B"&amp;R51&amp;"")&amp;"*",INDIRECT("B"&amp;R51+1&amp;":B210"),0)+R51&amp;""),
IF(AND(LEFT(INDIRECT("B"&amp;R51&amp;""),3)="奈良屋",COUNTIF(B:B,"*奈良屋*")&gt;=2),
INDIRECT("H"&amp;R51&amp;"")+INDIRECT("H"&amp;MATCH("*"&amp;INDIRECT("B"&amp;R51&amp;"")&amp;"*",INDIRECT("B"&amp;R51+1&amp;":B210"),0)+R51&amp;"")
+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INDIRECT("H"&amp;R51&amp;"")))),"")</f>
        <v/>
      </c>
      <c r="X51" s="51" t="str">
        <f t="array" aca="1" ref="X51" ca="1">IF($R51&lt;&gt;"",
INDIRECT(""&amp;IF(COLUMN(I51)&lt;=26,CHAR(COLUMN(I51)+64),CHAR(INT((COLUMN(I51)-1)/26)+64)&amp;CHAR(MOD(COLUMN(I51)-1,26)+65))&amp;$R51&amp;""),"")</f>
        <v/>
      </c>
      <c r="Y51" s="51" t="str">
        <f t="array" aca="1" ref="Y51" ca="1">IF($R51&lt;&gt;"",
INDIRECT(""&amp;IF(COLUMN(J51)&lt;=26,CHAR(COLUMN(J51)+64),CHAR(INT((COLUMN(J51)-1)/26)+64)&amp;CHAR(MOD(COLUMN(J51)-1,26)+65))&amp;$R51&amp;""),"")</f>
        <v/>
      </c>
      <c r="Z51" s="51" t="str">
        <f t="shared" ca="1" si="2"/>
        <v/>
      </c>
      <c r="AA51" s="51" t="str">
        <f t="shared" ca="1" si="3"/>
        <v/>
      </c>
      <c r="AB51" s="51" t="str">
        <f t="array" aca="1" ref="AB51" ca="1">IF($R51&lt;&gt;"",
IF(AND(COUNTIF(INDIRECT("B"&amp;R51&amp;""),"*雙葉*"),COUNTIF(B:B,"*雙葉*")&gt;=2),
INDIRECT("M"&amp;R51&amp;"")+INDIRECT("M"&amp;MATCH("雙葉'",INDIRECT("B"&amp;R51+1&amp;":B210"),0)+R51&amp;""),
IF(AND(LEFT(INDIRECT("B"&amp;R51&amp;""),2)="博多",COUNTIF(B:B,"*博多*")&gt;=2),
INDIRECT("M"&amp;R51&amp;"")+INDIRECT("M"&amp;MATCH("*"&amp;INDIRECT("B"&amp;R51&amp;"")&amp;"*",INDIRECT("B"&amp;R51+1&amp;":B210"),0)+R51&amp;""),
IF(AND(LEFT(INDIRECT("B"&amp;R51&amp;""),3)="奈良屋",COUNTIF(B:B,"*奈良屋*")&gt;=2),
INDIRECT("M"&amp;R51&amp;"")+INDIRECT("M"&amp;MATCH("*"&amp;INDIRECT("B"&amp;R51&amp;"")&amp;"*",INDIRECT("B"&amp;R51+1&amp;":B210"),0)+R51&amp;"")
+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INDIRECT("M"&amp;R51&amp;"")))),"")</f>
        <v/>
      </c>
      <c r="AC51" s="51" t="str">
        <f t="shared" ca="1" si="4"/>
        <v/>
      </c>
      <c r="AD51" s="51" t="str">
        <f t="shared" ca="1" si="5"/>
        <v/>
      </c>
      <c r="AE51" s="51" t="str">
        <f t="shared" ca="1" si="6"/>
        <v/>
      </c>
      <c r="AF51" s="51" t="str">
        <f t="shared" ca="1" si="7"/>
        <v/>
      </c>
      <c r="AG51" s="51" t="str">
        <f t="shared" ca="1" si="8"/>
        <v/>
      </c>
      <c r="AH51" s="191" t="str">
        <f t="shared" ca="1" si="9"/>
        <v/>
      </c>
      <c r="AI51" s="51" t="str">
        <f t="shared" ca="1" si="10"/>
        <v/>
      </c>
      <c r="AJ51" s="51" t="str">
        <f t="shared" ca="1" si="11"/>
        <v/>
      </c>
      <c r="AK51" s="51" t="str">
        <f t="shared" ca="1" si="12"/>
        <v/>
      </c>
      <c r="AL51" s="51" t="str">
        <f t="shared" ca="1" si="13"/>
        <v/>
      </c>
      <c r="AM51" s="51" t="str">
        <f t="shared" ca="1" si="14"/>
        <v/>
      </c>
      <c r="AN51" s="51" t="str">
        <f t="shared" ca="1" si="15"/>
        <v/>
      </c>
      <c r="AO51" s="51" t="str">
        <f t="shared" ca="1" si="16"/>
        <v/>
      </c>
      <c r="AP51" s="51" t="str">
        <f t="shared" ca="1" si="17"/>
        <v/>
      </c>
      <c r="AU51" s="51" t="str">
        <f t="shared" ca="1" si="18"/>
        <v/>
      </c>
    </row>
    <row r="52" spans="1:47" ht="22.2" customHeight="1">
      <c r="A52" s="177">
        <f t="shared" si="21"/>
        <v>109</v>
      </c>
      <c r="B52" s="52" t="str">
        <f t="shared" si="22"/>
        <v/>
      </c>
      <c r="C52" s="52" t="str">
        <f>IF(OR(クライアント抽出!B52&lt;&gt;"",クライアント抽出!E52&lt;&gt;""),クライアント抽出!A52,"")</f>
        <v/>
      </c>
      <c r="D52" s="52" t="str">
        <f t="array" aca="1" ref="D52" ca="1">IF(C52&lt;&gt;"",INDIRECT("クライアント抽出!"&amp;E52&amp;MATCH(C52,クライアント抽出!A:A,0)&amp;""),"")</f>
        <v/>
      </c>
      <c r="E52" s="52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53" t="str">
        <f ca="1">IF(D52&lt;&gt;"",
IF(COUNTIF(C52,"*雙葉*"),
IF(ROUND((H52-M52)
/IF(COUNTIF(D52,"*キャラ*"),
VLOOKUP("*キャラ*",商品マスタ一覧!$D:$E,2,FALSE),
IF(COUNTIF(D52,"*赤*"),
VLOOKUP("*赤*",商品マスタ一覧!$D:$E,2,FALSE),
VLOOKUP("*"&amp;D52&amp;"*",商品マスタ一覧!$D:$E,2,FALSE))),0)&lt;=0,1,
ROUND((H52-M52)
/IF(COUNTIF(D52,"*キャラ*"),
VLOOKUP("*キャラ*",商品マスタ一覧!$D:$E,2,FALSE),
IF(COUNTIF(D52,"*赤*"),
VLOOKUP("*赤*",商品マスタ一覧!$D:$E,2,FALSE),
VLOOKUP("*"&amp;D52&amp;"*",商品マスタ一覧!$D:$E,2,FALSE))),0)),
IF(OR(COUNTIF(D52,"*キャラ*"),COUNTIF(D52,"*赤*")),"",
IF(VLOOKUP("*"&amp;D52&amp;"*",商品マスタ一覧!$D:$E,2,FALSE)=0,"",
IF(ROUND((H52-M52)
/VLOOKUP("*"&amp;D52&amp;"*",商品マスタ一覧!$D:$E,2,FALSE),0)&lt;=0,1,
ROUND((H52-M52)
/VLOOKUP("*"&amp;D52&amp;"*",商品マスタ一覧!$D:$E,2,FALSE),0))))),"")</f>
        <v/>
      </c>
      <c r="G52" s="52" t="str">
        <f ca="1">IF(F52&lt;&gt;"",
IF(VALUE(H52-M52)&gt;VALUE(IF(COUNTIF(D52,"*キャラ*"),
VLOOKUP("*キャラ*",商品マスタ一覧!$D:$E,2,FALSE),
IF(COUNTIF(D52,"*赤*"),
VLOOKUP("*赤*",商品マスタ一覧!$D:$E,2,FALSE),
VLOOKUP("*"&amp;D52&amp;"*",商品マスタ一覧!$D:$E,2,FALSE)))*F52),
"+"&amp;(H52-M52)-IF(COUNTIF(D52,"*キャラ*"),
VLOOKUP("*キャラ*",商品マスタ一覧!$D:$E,2,FALSE),
IF(COUNTIF(D52,"*赤*"),
VLOOKUP("*赤*",商品マスタ一覧!$D:$E,2,FALSE),
VLOOKUP("*"&amp;D52&amp;"*",商品マスタ一覧!$D:$E,2,FALSE)))*F52,
(H52-M52)-IF(COUNTIF(D52,"*キャラ*"),
VLOOKUP("*キャラ*",商品マスタ一覧!$D:$E,2,FALSE),
IF(COUNTIF(D52,"*赤*"),
VLOOKUP("*赤*",商品マスタ一覧!$D:$E,2,FALSE),
VLOOKUP("*"&amp;D52&amp;"*",商品マスタ一覧!$D:$E,2,FALSE)))*F52),"")</f>
        <v/>
      </c>
      <c r="H52" s="175" t="str">
        <f>IF(C52&lt;&gt;"",
クライアント抽出!B52,"")</f>
        <v/>
      </c>
      <c r="I52" s="52" t="str">
        <f t="array" aca="1" ref="I52" ca="1">IF(C52&lt;&gt;"",
IF(O52=1,
IF(SUMPRODUCT(COUNTIF(クライアント抽出!P52:U52,クライアント抽出!P52:U52))&gt;COUNTA(クライアント抽出!P52:U52),
INDIRECT("数出表_Excel!"&amp;INDEX(_xlfn.UNIQUE(_xlfn._xlws.FILTER(クライアント抽出!P52:U52,COUNTIF(クライアント抽出!P52:U52,クライアント抽出!P52:U52)&gt;1)),1)&amp;L52&amp;""),0),クライアント抽出!E52),"")</f>
        <v/>
      </c>
      <c r="J52" s="52" t="str">
        <f>IF(C52&lt;&gt;"",
VLOOKUP(
"*"&amp;LEFT(IF(COUNTIF(D52,"*学食*"),"キャラ弁（学食）",
IF(COUNTIF(D52,"*赤*"),"赤",
IF(COUNTIF(D52,"*キャラ弁当*"),"キャラ弁当",D52))),4)&amp;"*",注文弁当の抽出!$E$1:$F$15,2,FALSE),"")</f>
        <v/>
      </c>
      <c r="K52" s="52" t="str">
        <f ca="1">IF(クライアント抽出!P52&lt;&gt;"",SUBSTITUTE(ADDRESS(1,(CODE(クライアント抽出!P52)-64)*2-1,4),"1",""),"")</f>
        <v/>
      </c>
      <c r="L52" s="52" t="str">
        <f>IF(C52&lt;&gt;"",クライアント抽出!I52,"")</f>
        <v/>
      </c>
      <c r="M52" s="52">
        <f t="array" aca="1" ref="M52" ca="1">IF(C52&lt;&gt;"",
IF(K52&lt;&gt;"",INDIRECT("'数出表_Excel（アレルギー入力）'!"&amp;K52&amp;L52-1&amp;""),),)</f>
        <v>0</v>
      </c>
      <c r="N52" s="52" t="str">
        <f>IF(C52&lt;&gt;"",IF(OR(COUNTIF('盛付札（関数）'!D52,"*赤*"),COUNTIF('盛付札（関数）'!D52,"*キャラ*")),1,
VLOOKUP("*"&amp;D52&amp;"*",商品マスタ一覧!D:H,5,FALSE)),"")</f>
        <v/>
      </c>
      <c r="O52" s="52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52">
        <f t="shared" si="0"/>
        <v>0</v>
      </c>
      <c r="Q52" s="52" t="b">
        <f t="shared" si="1"/>
        <v>0</v>
      </c>
      <c r="R52" s="51" t="str">
        <f t="array" aca="1" ref="R52" ca="1">IFERROR(SMALL(IF(P$1:P$307&lt;&gt;0,P$1:P$307),ROW(A52)),"")</f>
        <v/>
      </c>
      <c r="S52" s="51" t="str">
        <f t="array" aca="1" ref="S52" ca="1">IF($R52&lt;&gt;"",
SUBSTITUTE(SUBSTITUTE(INDIRECT("C"&amp;$R52&amp;"")," 週3ｺｰｽ","")," 週5ｺｰｽ",""),"")</f>
        <v/>
      </c>
      <c r="T52" s="51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91" t="str">
        <f t="array" aca="1" ref="U52" ca="1">IF($R52&lt;&gt;"",
INDIRECT("F"&amp;$R52&amp;""),"")</f>
        <v/>
      </c>
      <c r="V52" s="51" t="str">
        <f t="array" aca="1" ref="V52" ca="1">IF($R52&lt;&gt;"",
INDIRECT("G"&amp;$R52&amp;""),"")</f>
        <v/>
      </c>
      <c r="W52" s="51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IF(OR(COUNTIF(INDIRECT("B"&amp;R52&amp;""),"*雙葉先生*"),COUNTIF(INDIRECT("B"&amp;R52-1&amp;""),"*雙葉*")),INDIRECT("H"&amp;R52&amp;""),INDIRECT("H"&amp;R52&amp;"")+INDIRECT("H"&amp;MATCH("雙葉'",INDIRECT("B"&amp;R52+3&amp;":B210"),0)+2+R52&amp;"")),
IF(AND(LEFT(INDIRECT("B"&amp;R52&amp;""),2)="博多",COUNTIF(B:B,"*博多*")&gt;=2),
INDIRECT("H"&amp;R52&amp;"")+INDIRECT("H"&amp;MATCH("*"&amp;INDIRECT("B"&amp;R52&amp;"")&amp;"*",INDIRECT("B"&amp;R52+1&amp;":B210"),0)+R52&amp;""),
IF(AND(LEFT(INDIRECT("B"&amp;R52&amp;""),3)="奈良屋",COUNTIF(B:B,"*奈良屋*")&gt;=2),
INDIRECT("H"&amp;R52&amp;"")+INDIRECT("H"&amp;MATCH("*"&amp;INDIRECT("B"&amp;R52&amp;"")&amp;"*",INDIRECT("B"&amp;R52+1&amp;":B210"),0)+R52&amp;"")
+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INDIRECT("H"&amp;R52&amp;"")))),"")</f>
        <v/>
      </c>
      <c r="X52" s="51" t="str">
        <f t="array" aca="1" ref="X52" ca="1">IF($R52&lt;&gt;"",
INDIRECT(""&amp;IF(COLUMN(I52)&lt;=26,CHAR(COLUMN(I52)+64),CHAR(INT((COLUMN(I52)-1)/26)+64)&amp;CHAR(MOD(COLUMN(I52)-1,26)+65))&amp;$R52&amp;""),"")</f>
        <v/>
      </c>
      <c r="Y52" s="51" t="str">
        <f t="array" aca="1" ref="Y52" ca="1">IF($R52&lt;&gt;"",
INDIRECT(""&amp;IF(COLUMN(J52)&lt;=26,CHAR(COLUMN(J52)+64),CHAR(INT((COLUMN(J52)-1)/26)+64)&amp;CHAR(MOD(COLUMN(J52)-1,26)+65))&amp;$R52&amp;""),"")</f>
        <v/>
      </c>
      <c r="Z52" s="51" t="str">
        <f t="shared" ca="1" si="2"/>
        <v/>
      </c>
      <c r="AA52" s="51" t="str">
        <f t="shared" ca="1" si="3"/>
        <v/>
      </c>
      <c r="AB52" s="51" t="str">
        <f t="array" aca="1" ref="AB52" ca="1">IF($R52&lt;&gt;"",
IF(AND(COUNTIF(INDIRECT("B"&amp;R52&amp;""),"*雙葉*"),COUNTIF(B:B,"*雙葉*")&gt;=2),
INDIRECT("M"&amp;R52&amp;"")+INDIRECT("M"&amp;MATCH("雙葉'",INDIRECT("B"&amp;R52+1&amp;":B210"),0)+R52&amp;""),
IF(AND(LEFT(INDIRECT("B"&amp;R52&amp;""),2)="博多",COUNTIF(B:B,"*博多*")&gt;=2),
INDIRECT("M"&amp;R52&amp;"")+INDIRECT("M"&amp;MATCH("*"&amp;INDIRECT("B"&amp;R52&amp;"")&amp;"*",INDIRECT("B"&amp;R52+1&amp;":B210"),0)+R52&amp;""),
IF(AND(LEFT(INDIRECT("B"&amp;R52&amp;""),3)="奈良屋",COUNTIF(B:B,"*奈良屋*")&gt;=2),
INDIRECT("M"&amp;R52&amp;"")+INDIRECT("M"&amp;MATCH("*"&amp;INDIRECT("B"&amp;R52&amp;"")&amp;"*",INDIRECT("B"&amp;R52+1&amp;":B210"),0)+R52&amp;"")
+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INDIRECT("M"&amp;R52&amp;"")))),"")</f>
        <v/>
      </c>
      <c r="AC52" s="51" t="str">
        <f t="shared" ca="1" si="4"/>
        <v/>
      </c>
      <c r="AD52" s="51" t="str">
        <f t="shared" ca="1" si="5"/>
        <v/>
      </c>
      <c r="AE52" s="51" t="str">
        <f t="shared" ca="1" si="6"/>
        <v/>
      </c>
      <c r="AF52" s="51" t="str">
        <f t="shared" ca="1" si="7"/>
        <v/>
      </c>
      <c r="AG52" s="51" t="str">
        <f t="shared" ca="1" si="8"/>
        <v/>
      </c>
      <c r="AH52" s="191" t="str">
        <f t="shared" ca="1" si="9"/>
        <v/>
      </c>
      <c r="AI52" s="51" t="str">
        <f t="shared" ca="1" si="10"/>
        <v/>
      </c>
      <c r="AJ52" s="51" t="str">
        <f t="shared" ca="1" si="11"/>
        <v/>
      </c>
      <c r="AK52" s="51" t="str">
        <f t="shared" ca="1" si="12"/>
        <v/>
      </c>
      <c r="AL52" s="51" t="str">
        <f t="shared" ca="1" si="13"/>
        <v/>
      </c>
      <c r="AM52" s="51" t="str">
        <f t="shared" ca="1" si="14"/>
        <v/>
      </c>
      <c r="AN52" s="51" t="str">
        <f t="shared" ca="1" si="15"/>
        <v/>
      </c>
      <c r="AO52" s="51" t="str">
        <f t="shared" ca="1" si="16"/>
        <v/>
      </c>
      <c r="AP52" s="51" t="str">
        <f t="shared" ca="1" si="17"/>
        <v/>
      </c>
      <c r="AU52" s="51" t="str">
        <f t="shared" ca="1" si="18"/>
        <v/>
      </c>
    </row>
    <row r="53" spans="1:47" ht="18" customHeight="1">
      <c r="A53" s="177">
        <f t="shared" si="21"/>
        <v>111</v>
      </c>
      <c r="B53" s="52" t="str">
        <f t="shared" si="22"/>
        <v/>
      </c>
      <c r="C53" s="52" t="str">
        <f>IF(OR(クライアント抽出!B53&lt;&gt;"",クライアント抽出!E53&lt;&gt;""),クライアント抽出!A53,"")</f>
        <v/>
      </c>
      <c r="D53" s="52" t="str">
        <f t="array" aca="1" ref="D53" ca="1">IF(C53&lt;&gt;"",INDIRECT("クライアント抽出!"&amp;E53&amp;MATCH(C53,クライアント抽出!A:A,0)&amp;""),"")</f>
        <v/>
      </c>
      <c r="E53" s="52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53" t="str">
        <f ca="1">IF(D53&lt;&gt;"",
IF(COUNTIF(C53,"*雙葉*"),
IF(ROUND((H53-M53)
/IF(COUNTIF(D53,"*キャラ*"),
VLOOKUP("*キャラ*",商品マスタ一覧!$D:$E,2,FALSE),
IF(COUNTIF(D53,"*赤*"),
VLOOKUP("*赤*",商品マスタ一覧!$D:$E,2,FALSE),
VLOOKUP("*"&amp;D53&amp;"*",商品マスタ一覧!$D:$E,2,FALSE))),0)&lt;=0,1,
ROUND((H53-M53)
/IF(COUNTIF(D53,"*キャラ*"),
VLOOKUP("*キャラ*",商品マスタ一覧!$D:$E,2,FALSE),
IF(COUNTIF(D53,"*赤*"),
VLOOKUP("*赤*",商品マスタ一覧!$D:$E,2,FALSE),
VLOOKUP("*"&amp;D53&amp;"*",商品マスタ一覧!$D:$E,2,FALSE))),0)),
IF(OR(COUNTIF(D53,"*キャラ*"),COUNTIF(D53,"*赤*")),"",
IF(VLOOKUP("*"&amp;D53&amp;"*",商品マスタ一覧!$D:$E,2,FALSE)=0,"",
IF(ROUND((H53-M53)
/VLOOKUP("*"&amp;D53&amp;"*",商品マスタ一覧!$D:$E,2,FALSE),0)&lt;=0,1,
ROUND((H53-M53)
/VLOOKUP("*"&amp;D53&amp;"*",商品マスタ一覧!$D:$E,2,FALSE),0))))),"")</f>
        <v/>
      </c>
      <c r="G53" s="52" t="str">
        <f ca="1">IF(F53&lt;&gt;"",
IF(VALUE(H53-M53)&gt;VALUE(IF(COUNTIF(D53,"*キャラ*"),
VLOOKUP("*キャラ*",商品マスタ一覧!$D:$E,2,FALSE),
IF(COUNTIF(D53,"*赤*"),
VLOOKUP("*赤*",商品マスタ一覧!$D:$E,2,FALSE),
VLOOKUP("*"&amp;D53&amp;"*",商品マスタ一覧!$D:$E,2,FALSE)))*F53),
"+"&amp;(H53-M53)-IF(COUNTIF(D53,"*キャラ*"),
VLOOKUP("*キャラ*",商品マスタ一覧!$D:$E,2,FALSE),
IF(COUNTIF(D53,"*赤*"),
VLOOKUP("*赤*",商品マスタ一覧!$D:$E,2,FALSE),
VLOOKUP("*"&amp;D53&amp;"*",商品マスタ一覧!$D:$E,2,FALSE)))*F53,
(H53-M53)-IF(COUNTIF(D53,"*キャラ*"),
VLOOKUP("*キャラ*",商品マスタ一覧!$D:$E,2,FALSE),
IF(COUNTIF(D53,"*赤*"),
VLOOKUP("*赤*",商品マスタ一覧!$D:$E,2,FALSE),
VLOOKUP("*"&amp;D53&amp;"*",商品マスタ一覧!$D:$E,2,FALSE)))*F53),"")</f>
        <v/>
      </c>
      <c r="H53" s="175" t="str">
        <f>IF(C53&lt;&gt;"",
クライアント抽出!B53,"")</f>
        <v/>
      </c>
      <c r="I53" s="52" t="str">
        <f t="array" aca="1" ref="I53" ca="1">IF(C53&lt;&gt;"",
IF(O53=1,
IF(SUMPRODUCT(COUNTIF(クライアント抽出!P53:U53,クライアント抽出!P53:U53))&gt;COUNTA(クライアント抽出!P53:U53),
INDIRECT("数出表_Excel!"&amp;INDEX(_xlfn.UNIQUE(_xlfn._xlws.FILTER(クライアント抽出!P53:U53,COUNTIF(クライアント抽出!P53:U53,クライアント抽出!P53:U53)&gt;1)),1)&amp;L53&amp;""),0),クライアント抽出!E53),"")</f>
        <v/>
      </c>
      <c r="J53" s="52" t="str">
        <f>IF(C53&lt;&gt;"",
VLOOKUP(
"*"&amp;LEFT(IF(COUNTIF(D53,"*学食*"),"キャラ弁（学食）",
IF(COUNTIF(D53,"*赤*"),"赤",
IF(COUNTIF(D53,"*キャラ弁当*"),"キャラ弁当",D53))),4)&amp;"*",注文弁当の抽出!$E$1:$F$15,2,FALSE),"")</f>
        <v/>
      </c>
      <c r="K53" s="52" t="str">
        <f ca="1">IF(クライアント抽出!P53&lt;&gt;"",SUBSTITUTE(ADDRESS(1,(CODE(クライアント抽出!P53)-64)*2-1,4),"1",""),"")</f>
        <v/>
      </c>
      <c r="L53" s="52" t="str">
        <f>IF(C53&lt;&gt;"",クライアント抽出!I53,"")</f>
        <v/>
      </c>
      <c r="M53" s="52">
        <f t="array" aca="1" ref="M53" ca="1">IF(C53&lt;&gt;"",
IF(K53&lt;&gt;"",INDIRECT("'数出表_Excel（アレルギー入力）'!"&amp;K53&amp;L53-1&amp;""),),)</f>
        <v>0</v>
      </c>
      <c r="N53" s="52" t="str">
        <f>IF(C53&lt;&gt;"",IF(OR(COUNTIF('盛付札（関数）'!D53,"*赤*"),COUNTIF('盛付札（関数）'!D53,"*キャラ*")),1,
VLOOKUP("*"&amp;D53&amp;"*",商品マスタ一覧!D:H,5,FALSE)),"")</f>
        <v/>
      </c>
      <c r="O53" s="52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52">
        <f t="shared" si="0"/>
        <v>0</v>
      </c>
      <c r="Q53" s="52" t="b">
        <f t="shared" si="1"/>
        <v>0</v>
      </c>
      <c r="R53" s="51" t="str">
        <f t="array" aca="1" ref="R53" ca="1">IFERROR(SMALL(IF(P$1:P$307&lt;&gt;0,P$1:P$307),ROW(A53)),"")</f>
        <v/>
      </c>
      <c r="S53" s="51" t="str">
        <f t="array" aca="1" ref="S53" ca="1">IF($R53&lt;&gt;"",
SUBSTITUTE(SUBSTITUTE(INDIRECT("C"&amp;$R53&amp;"")," 週3ｺｰｽ","")," 週5ｺｰｽ",""),"")</f>
        <v/>
      </c>
      <c r="T53" s="51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91" t="str">
        <f t="array" aca="1" ref="U53" ca="1">IF($R53&lt;&gt;"",
INDIRECT("F"&amp;$R53&amp;""),"")</f>
        <v/>
      </c>
      <c r="V53" s="51" t="str">
        <f t="array" aca="1" ref="V53" ca="1">IF($R53&lt;&gt;"",
INDIRECT("G"&amp;$R53&amp;""),"")</f>
        <v/>
      </c>
      <c r="W53" s="51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IF(OR(COUNTIF(INDIRECT("B"&amp;R53&amp;""),"*雙葉先生*"),COUNTIF(INDIRECT("B"&amp;R53-1&amp;""),"*雙葉*")),INDIRECT("H"&amp;R53&amp;""),INDIRECT("H"&amp;R53&amp;"")+INDIRECT("H"&amp;MATCH("雙葉'",INDIRECT("B"&amp;R53+3&amp;":B210"),0)+2+R53&amp;"")),
IF(AND(LEFT(INDIRECT("B"&amp;R53&amp;""),2)="博多",COUNTIF(B:B,"*博多*")&gt;=2),
INDIRECT("H"&amp;R53&amp;"")+INDIRECT("H"&amp;MATCH("*"&amp;INDIRECT("B"&amp;R53&amp;"")&amp;"*",INDIRECT("B"&amp;R53+1&amp;":B210"),0)+R53&amp;""),
IF(AND(LEFT(INDIRECT("B"&amp;R53&amp;""),3)="奈良屋",COUNTIF(B:B,"*奈良屋*")&gt;=2),
INDIRECT("H"&amp;R53&amp;"")+INDIRECT("H"&amp;MATCH("*"&amp;INDIRECT("B"&amp;R53&amp;"")&amp;"*",INDIRECT("B"&amp;R53+1&amp;":B210"),0)+R53&amp;"")
+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INDIRECT("H"&amp;R53&amp;"")))),"")</f>
        <v/>
      </c>
      <c r="X53" s="51" t="str">
        <f t="array" aca="1" ref="X53" ca="1">IF($R53&lt;&gt;"",
INDIRECT(""&amp;IF(COLUMN(I53)&lt;=26,CHAR(COLUMN(I53)+64),CHAR(INT((COLUMN(I53)-1)/26)+64)&amp;CHAR(MOD(COLUMN(I53)-1,26)+65))&amp;$R53&amp;""),"")</f>
        <v/>
      </c>
      <c r="Y53" s="51" t="str">
        <f t="array" aca="1" ref="Y53" ca="1">IF($R53&lt;&gt;"",
INDIRECT(""&amp;IF(COLUMN(J53)&lt;=26,CHAR(COLUMN(J53)+64),CHAR(INT((COLUMN(J53)-1)/26)+64)&amp;CHAR(MOD(COLUMN(J53)-1,26)+65))&amp;$R53&amp;""),"")</f>
        <v/>
      </c>
      <c r="Z53" s="51" t="str">
        <f t="shared" ca="1" si="2"/>
        <v/>
      </c>
      <c r="AA53" s="51" t="str">
        <f t="shared" ca="1" si="3"/>
        <v/>
      </c>
      <c r="AB53" s="51" t="str">
        <f t="array" aca="1" ref="AB53" ca="1">IF($R53&lt;&gt;"",
IF(AND(COUNTIF(INDIRECT("B"&amp;R53&amp;""),"*雙葉*"),COUNTIF(B:B,"*雙葉*")&gt;=2),
INDIRECT("M"&amp;R53&amp;"")+INDIRECT("M"&amp;MATCH("雙葉'",INDIRECT("B"&amp;R53+1&amp;":B210"),0)+R53&amp;""),
IF(AND(LEFT(INDIRECT("B"&amp;R53&amp;""),2)="博多",COUNTIF(B:B,"*博多*")&gt;=2),
INDIRECT("M"&amp;R53&amp;"")+INDIRECT("M"&amp;MATCH("*"&amp;INDIRECT("B"&amp;R53&amp;"")&amp;"*",INDIRECT("B"&amp;R53+1&amp;":B210"),0)+R53&amp;""),
IF(AND(LEFT(INDIRECT("B"&amp;R53&amp;""),3)="奈良屋",COUNTIF(B:B,"*奈良屋*")&gt;=2),
INDIRECT("M"&amp;R53&amp;"")+INDIRECT("M"&amp;MATCH("*"&amp;INDIRECT("B"&amp;R53&amp;"")&amp;"*",INDIRECT("B"&amp;R53+1&amp;":B210"),0)+R53&amp;"")
+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INDIRECT("M"&amp;R53&amp;"")))),"")</f>
        <v/>
      </c>
      <c r="AC53" s="51" t="str">
        <f t="shared" ca="1" si="4"/>
        <v/>
      </c>
      <c r="AD53" s="51" t="str">
        <f t="shared" ca="1" si="5"/>
        <v/>
      </c>
      <c r="AE53" s="51" t="str">
        <f t="shared" ca="1" si="6"/>
        <v/>
      </c>
      <c r="AF53" s="51" t="str">
        <f t="shared" ca="1" si="7"/>
        <v/>
      </c>
      <c r="AG53" s="51" t="str">
        <f t="shared" ca="1" si="8"/>
        <v/>
      </c>
      <c r="AH53" s="191" t="str">
        <f t="shared" ca="1" si="9"/>
        <v/>
      </c>
      <c r="AI53" s="51" t="str">
        <f t="shared" ca="1" si="10"/>
        <v/>
      </c>
      <c r="AJ53" s="51" t="str">
        <f t="shared" ca="1" si="11"/>
        <v/>
      </c>
      <c r="AK53" s="51" t="str">
        <f t="shared" ca="1" si="12"/>
        <v/>
      </c>
      <c r="AL53" s="51" t="str">
        <f t="shared" ca="1" si="13"/>
        <v/>
      </c>
      <c r="AM53" s="51" t="str">
        <f t="shared" ca="1" si="14"/>
        <v/>
      </c>
      <c r="AN53" s="51" t="str">
        <f t="shared" ca="1" si="15"/>
        <v/>
      </c>
      <c r="AO53" s="51" t="str">
        <f t="shared" ca="1" si="16"/>
        <v/>
      </c>
      <c r="AP53" s="51" t="str">
        <f t="shared" ca="1" si="17"/>
        <v/>
      </c>
      <c r="AU53" s="51" t="str">
        <f t="shared" ca="1" si="18"/>
        <v/>
      </c>
    </row>
    <row r="54" spans="1:47" ht="18" customHeight="1">
      <c r="A54" s="177">
        <f t="shared" si="21"/>
        <v>113</v>
      </c>
      <c r="B54" s="52" t="str">
        <f t="shared" si="22"/>
        <v/>
      </c>
      <c r="C54" s="52" t="str">
        <f>IF(OR(クライアント抽出!B54&lt;&gt;"",クライアント抽出!E54&lt;&gt;""),クライアント抽出!A54,"")</f>
        <v/>
      </c>
      <c r="D54" s="52" t="str">
        <f t="array" aca="1" ref="D54" ca="1">IF(C54&lt;&gt;"",INDIRECT("クライアント抽出!"&amp;E54&amp;MATCH(C54,クライアント抽出!A:A,0)&amp;""),"")</f>
        <v/>
      </c>
      <c r="E54" s="52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53" t="str">
        <f ca="1">IF(D54&lt;&gt;"",
IF(COUNTIF(C54,"*雙葉*"),
IF(ROUND((H54-M54)
/IF(COUNTIF(D54,"*キャラ*"),
VLOOKUP("*キャラ*",商品マスタ一覧!$D:$E,2,FALSE),
IF(COUNTIF(D54,"*赤*"),
VLOOKUP("*赤*",商品マスタ一覧!$D:$E,2,FALSE),
VLOOKUP("*"&amp;D54&amp;"*",商品マスタ一覧!$D:$E,2,FALSE))),0)&lt;=0,1,
ROUND((H54-M54)
/IF(COUNTIF(D54,"*キャラ*"),
VLOOKUP("*キャラ*",商品マスタ一覧!$D:$E,2,FALSE),
IF(COUNTIF(D54,"*赤*"),
VLOOKUP("*赤*",商品マスタ一覧!$D:$E,2,FALSE),
VLOOKUP("*"&amp;D54&amp;"*",商品マスタ一覧!$D:$E,2,FALSE))),0)),
IF(OR(COUNTIF(D54,"*キャラ*"),COUNTIF(D54,"*赤*")),"",
IF(VLOOKUP("*"&amp;D54&amp;"*",商品マスタ一覧!$D:$E,2,FALSE)=0,"",
IF(ROUND((H54-M54)
/VLOOKUP("*"&amp;D54&amp;"*",商品マスタ一覧!$D:$E,2,FALSE),0)&lt;=0,1,
ROUND((H54-M54)
/VLOOKUP("*"&amp;D54&amp;"*",商品マスタ一覧!$D:$E,2,FALSE),0))))),"")</f>
        <v/>
      </c>
      <c r="G54" s="52" t="str">
        <f ca="1">IF(F54&lt;&gt;"",
IF(VALUE(H54-M54)&gt;VALUE(IF(COUNTIF(D54,"*キャラ*"),
VLOOKUP("*キャラ*",商品マスタ一覧!$D:$E,2,FALSE),
IF(COUNTIF(D54,"*赤*"),
VLOOKUP("*赤*",商品マスタ一覧!$D:$E,2,FALSE),
VLOOKUP("*"&amp;D54&amp;"*",商品マスタ一覧!$D:$E,2,FALSE)))*F54),
"+"&amp;(H54-M54)-IF(COUNTIF(D54,"*キャラ*"),
VLOOKUP("*キャラ*",商品マスタ一覧!$D:$E,2,FALSE),
IF(COUNTIF(D54,"*赤*"),
VLOOKUP("*赤*",商品マスタ一覧!$D:$E,2,FALSE),
VLOOKUP("*"&amp;D54&amp;"*",商品マスタ一覧!$D:$E,2,FALSE)))*F54,
(H54-M54)-IF(COUNTIF(D54,"*キャラ*"),
VLOOKUP("*キャラ*",商品マスタ一覧!$D:$E,2,FALSE),
IF(COUNTIF(D54,"*赤*"),
VLOOKUP("*赤*",商品マスタ一覧!$D:$E,2,FALSE),
VLOOKUP("*"&amp;D54&amp;"*",商品マスタ一覧!$D:$E,2,FALSE)))*F54),"")</f>
        <v/>
      </c>
      <c r="H54" s="175" t="str">
        <f>IF(C54&lt;&gt;"",
クライアント抽出!B54,"")</f>
        <v/>
      </c>
      <c r="I54" s="52" t="str">
        <f t="array" aca="1" ref="I54" ca="1">IF(C54&lt;&gt;"",
IF(O54=1,
IF(SUMPRODUCT(COUNTIF(クライアント抽出!P54:U54,クライアント抽出!P54:U54))&gt;COUNTA(クライアント抽出!P54:U54),
INDIRECT("数出表_Excel!"&amp;INDEX(_xlfn.UNIQUE(_xlfn._xlws.FILTER(クライアント抽出!P54:U54,COUNTIF(クライアント抽出!P54:U54,クライアント抽出!P54:U54)&gt;1)),1)&amp;L54&amp;""),0),クライアント抽出!E54),"")</f>
        <v/>
      </c>
      <c r="J54" s="52" t="str">
        <f>IF(C54&lt;&gt;"",
VLOOKUP(
"*"&amp;LEFT(IF(COUNTIF(D54,"*学食*"),"キャラ弁（学食）",
IF(COUNTIF(D54,"*赤*"),"赤",
IF(COUNTIF(D54,"*キャラ弁当*"),"キャラ弁当",D54))),4)&amp;"*",注文弁当の抽出!$E$1:$F$15,2,FALSE),"")</f>
        <v/>
      </c>
      <c r="K54" s="52" t="str">
        <f ca="1">IF(クライアント抽出!P54&lt;&gt;"",SUBSTITUTE(ADDRESS(1,(CODE(クライアント抽出!P54)-64)*2-1,4),"1",""),"")</f>
        <v/>
      </c>
      <c r="L54" s="52" t="str">
        <f>IF(C54&lt;&gt;"",クライアント抽出!I54,"")</f>
        <v/>
      </c>
      <c r="M54" s="52">
        <f t="array" aca="1" ref="M54" ca="1">IF(C54&lt;&gt;"",
IF(K54&lt;&gt;"",INDIRECT("'数出表_Excel（アレルギー入力）'!"&amp;K54&amp;L54-1&amp;""),),)</f>
        <v>0</v>
      </c>
      <c r="N54" s="52" t="str">
        <f>IF(C54&lt;&gt;"",IF(OR(COUNTIF('盛付札（関数）'!D54,"*赤*"),COUNTIF('盛付札（関数）'!D54,"*キャラ*")),1,
VLOOKUP("*"&amp;D54&amp;"*",商品マスタ一覧!D:H,5,FALSE)),"")</f>
        <v/>
      </c>
      <c r="O54" s="52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52">
        <f t="shared" si="0"/>
        <v>0</v>
      </c>
      <c r="Q54" s="52" t="b">
        <f t="shared" si="1"/>
        <v>0</v>
      </c>
      <c r="R54" s="51" t="str">
        <f t="array" aca="1" ref="R54" ca="1">IFERROR(SMALL(IF(P$1:P$307&lt;&gt;0,P$1:P$307),ROW(A54)),"")</f>
        <v/>
      </c>
      <c r="S54" s="51" t="str">
        <f t="array" aca="1" ref="S54" ca="1">IF($R54&lt;&gt;"",
SUBSTITUTE(SUBSTITUTE(INDIRECT("C"&amp;$R54&amp;"")," 週3ｺｰｽ","")," 週5ｺｰｽ",""),"")</f>
        <v/>
      </c>
      <c r="T54" s="51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91" t="str">
        <f t="array" aca="1" ref="U54" ca="1">IF($R54&lt;&gt;"",
INDIRECT("F"&amp;$R54&amp;""),"")</f>
        <v/>
      </c>
      <c r="V54" s="51" t="str">
        <f t="array" aca="1" ref="V54" ca="1">IF($R54&lt;&gt;"",
INDIRECT("G"&amp;$R54&amp;""),"")</f>
        <v/>
      </c>
      <c r="W54" s="51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IF(OR(COUNTIF(INDIRECT("B"&amp;R54&amp;""),"*雙葉先生*"),COUNTIF(INDIRECT("B"&amp;R54-1&amp;""),"*雙葉*")),INDIRECT("H"&amp;R54&amp;""),INDIRECT("H"&amp;R54&amp;"")+INDIRECT("H"&amp;MATCH("雙葉'",INDIRECT("B"&amp;R54+3&amp;":B210"),0)+2+R54&amp;"")),
IF(AND(LEFT(INDIRECT("B"&amp;R54&amp;""),2)="博多",COUNTIF(B:B,"*博多*")&gt;=2),
INDIRECT("H"&amp;R54&amp;"")+INDIRECT("H"&amp;MATCH("*"&amp;INDIRECT("B"&amp;R54&amp;"")&amp;"*",INDIRECT("B"&amp;R54+1&amp;":B210"),0)+R54&amp;""),
IF(AND(LEFT(INDIRECT("B"&amp;R54&amp;""),3)="奈良屋",COUNTIF(B:B,"*奈良屋*")&gt;=2),
INDIRECT("H"&amp;R54&amp;"")+INDIRECT("H"&amp;MATCH("*"&amp;INDIRECT("B"&amp;R54&amp;"")&amp;"*",INDIRECT("B"&amp;R54+1&amp;":B210"),0)+R54&amp;"")
+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INDIRECT("H"&amp;R54&amp;"")))),"")</f>
        <v/>
      </c>
      <c r="X54" s="51" t="str">
        <f t="array" aca="1" ref="X54" ca="1">IF($R54&lt;&gt;"",
INDIRECT(""&amp;IF(COLUMN(I54)&lt;=26,CHAR(COLUMN(I54)+64),CHAR(INT((COLUMN(I54)-1)/26)+64)&amp;CHAR(MOD(COLUMN(I54)-1,26)+65))&amp;$R54&amp;""),"")</f>
        <v/>
      </c>
      <c r="Y54" s="51" t="str">
        <f t="array" aca="1" ref="Y54" ca="1">IF($R54&lt;&gt;"",
INDIRECT(""&amp;IF(COLUMN(J54)&lt;=26,CHAR(COLUMN(J54)+64),CHAR(INT((COLUMN(J54)-1)/26)+64)&amp;CHAR(MOD(COLUMN(J54)-1,26)+65))&amp;$R54&amp;""),"")</f>
        <v/>
      </c>
      <c r="Z54" s="51" t="str">
        <f t="shared" ca="1" si="2"/>
        <v/>
      </c>
      <c r="AA54" s="51" t="str">
        <f t="shared" ca="1" si="3"/>
        <v/>
      </c>
      <c r="AB54" s="51" t="str">
        <f t="array" aca="1" ref="AB54" ca="1">IF($R54&lt;&gt;"",
IF(AND(COUNTIF(INDIRECT("B"&amp;R54&amp;""),"*雙葉*"),COUNTIF(B:B,"*雙葉*")&gt;=2),
INDIRECT("M"&amp;R54&amp;"")+INDIRECT("M"&amp;MATCH("雙葉'",INDIRECT("B"&amp;R54+1&amp;":B210"),0)+R54&amp;""),
IF(AND(LEFT(INDIRECT("B"&amp;R54&amp;""),2)="博多",COUNTIF(B:B,"*博多*")&gt;=2),
INDIRECT("M"&amp;R54&amp;"")+INDIRECT("M"&amp;MATCH("*"&amp;INDIRECT("B"&amp;R54&amp;"")&amp;"*",INDIRECT("B"&amp;R54+1&amp;":B210"),0)+R54&amp;""),
IF(AND(LEFT(INDIRECT("B"&amp;R54&amp;""),3)="奈良屋",COUNTIF(B:B,"*奈良屋*")&gt;=2),
INDIRECT("M"&amp;R54&amp;"")+INDIRECT("M"&amp;MATCH("*"&amp;INDIRECT("B"&amp;R54&amp;"")&amp;"*",INDIRECT("B"&amp;R54+1&amp;":B210"),0)+R54&amp;"")
+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INDIRECT("M"&amp;R54&amp;"")))),"")</f>
        <v/>
      </c>
      <c r="AC54" s="51" t="str">
        <f t="shared" ca="1" si="4"/>
        <v/>
      </c>
      <c r="AD54" s="51" t="str">
        <f t="shared" ca="1" si="5"/>
        <v/>
      </c>
      <c r="AE54" s="51" t="str">
        <f t="shared" ca="1" si="6"/>
        <v/>
      </c>
      <c r="AF54" s="51" t="str">
        <f t="shared" ca="1" si="7"/>
        <v/>
      </c>
      <c r="AG54" s="51" t="str">
        <f t="shared" ca="1" si="8"/>
        <v/>
      </c>
      <c r="AH54" s="191" t="str">
        <f t="shared" ca="1" si="9"/>
        <v/>
      </c>
      <c r="AI54" s="51" t="str">
        <f t="shared" ca="1" si="10"/>
        <v/>
      </c>
      <c r="AJ54" s="51" t="str">
        <f t="shared" ca="1" si="11"/>
        <v/>
      </c>
      <c r="AK54" s="51" t="str">
        <f t="shared" ca="1" si="12"/>
        <v/>
      </c>
      <c r="AL54" s="51" t="str">
        <f t="shared" ca="1" si="13"/>
        <v/>
      </c>
      <c r="AM54" s="51" t="str">
        <f t="shared" ca="1" si="14"/>
        <v/>
      </c>
      <c r="AN54" s="51" t="str">
        <f t="shared" ca="1" si="15"/>
        <v/>
      </c>
      <c r="AO54" s="51" t="str">
        <f t="shared" ca="1" si="16"/>
        <v/>
      </c>
      <c r="AP54" s="51" t="str">
        <f t="shared" ca="1" si="17"/>
        <v/>
      </c>
      <c r="AU54" s="51" t="str">
        <f t="shared" ca="1" si="18"/>
        <v/>
      </c>
    </row>
    <row r="55" spans="1:47" ht="22.2" customHeight="1">
      <c r="A55" s="177">
        <f t="shared" si="21"/>
        <v>115</v>
      </c>
      <c r="B55" s="52" t="str">
        <f t="shared" si="22"/>
        <v/>
      </c>
      <c r="C55" s="52" t="str">
        <f>IF(OR(クライアント抽出!B55&lt;&gt;"",クライアント抽出!E55&lt;&gt;""),クライアント抽出!A55,"")</f>
        <v/>
      </c>
      <c r="D55" s="52" t="str">
        <f t="array" aca="1" ref="D55" ca="1">IF(C55&lt;&gt;"",INDIRECT("クライアント抽出!"&amp;E55&amp;MATCH(C55,クライアント抽出!A:A,0)&amp;""),"")</f>
        <v/>
      </c>
      <c r="E55" s="52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53" t="str">
        <f ca="1">IF(D55&lt;&gt;"",
IF(COUNTIF(C55,"*雙葉*"),
IF(ROUND((H55-M55)
/IF(COUNTIF(D55,"*キャラ*"),
VLOOKUP("*キャラ*",商品マスタ一覧!$D:$E,2,FALSE),
IF(COUNTIF(D55,"*赤*"),
VLOOKUP("*赤*",商品マスタ一覧!$D:$E,2,FALSE),
VLOOKUP("*"&amp;D55&amp;"*",商品マスタ一覧!$D:$E,2,FALSE))),0)&lt;=0,1,
ROUND((H55-M55)
/IF(COUNTIF(D55,"*キャラ*"),
VLOOKUP("*キャラ*",商品マスタ一覧!$D:$E,2,FALSE),
IF(COUNTIF(D55,"*赤*"),
VLOOKUP("*赤*",商品マスタ一覧!$D:$E,2,FALSE),
VLOOKUP("*"&amp;D55&amp;"*",商品マスタ一覧!$D:$E,2,FALSE))),0)),
IF(OR(COUNTIF(D55,"*キャラ*"),COUNTIF(D55,"*赤*")),"",
IF(VLOOKUP("*"&amp;D55&amp;"*",商品マスタ一覧!$D:$E,2,FALSE)=0,"",
IF(ROUND((H55-M55)
/VLOOKUP("*"&amp;D55&amp;"*",商品マスタ一覧!$D:$E,2,FALSE),0)&lt;=0,1,
ROUND((H55-M55)
/VLOOKUP("*"&amp;D55&amp;"*",商品マスタ一覧!$D:$E,2,FALSE),0))))),"")</f>
        <v/>
      </c>
      <c r="G55" s="52" t="str">
        <f ca="1">IF(F55&lt;&gt;"",
IF(VALUE(H55-M55)&gt;VALUE(IF(COUNTIF(D55,"*キャラ*"),
VLOOKUP("*キャラ*",商品マスタ一覧!$D:$E,2,FALSE),
IF(COUNTIF(D55,"*赤*"),
VLOOKUP("*赤*",商品マスタ一覧!$D:$E,2,FALSE),
VLOOKUP("*"&amp;D55&amp;"*",商品マスタ一覧!$D:$E,2,FALSE)))*F55),
"+"&amp;(H55-M55)-IF(COUNTIF(D55,"*キャラ*"),
VLOOKUP("*キャラ*",商品マスタ一覧!$D:$E,2,FALSE),
IF(COUNTIF(D55,"*赤*"),
VLOOKUP("*赤*",商品マスタ一覧!$D:$E,2,FALSE),
VLOOKUP("*"&amp;D55&amp;"*",商品マスタ一覧!$D:$E,2,FALSE)))*F55,
(H55-M55)-IF(COUNTIF(D55,"*キャラ*"),
VLOOKUP("*キャラ*",商品マスタ一覧!$D:$E,2,FALSE),
IF(COUNTIF(D55,"*赤*"),
VLOOKUP("*赤*",商品マスタ一覧!$D:$E,2,FALSE),
VLOOKUP("*"&amp;D55&amp;"*",商品マスタ一覧!$D:$E,2,FALSE)))*F55),"")</f>
        <v/>
      </c>
      <c r="H55" s="175" t="str">
        <f>IF(C55&lt;&gt;"",
クライアント抽出!B55,"")</f>
        <v/>
      </c>
      <c r="I55" s="52" t="str">
        <f t="array" aca="1" ref="I55" ca="1">IF(C55&lt;&gt;"",
IF(O55=1,
IF(SUMPRODUCT(COUNTIF(クライアント抽出!P55:U55,クライアント抽出!P55:U55))&gt;COUNTA(クライアント抽出!P55:U55),
INDIRECT("数出表_Excel!"&amp;INDEX(_xlfn.UNIQUE(_xlfn._xlws.FILTER(クライアント抽出!P55:U55,COUNTIF(クライアント抽出!P55:U55,クライアント抽出!P55:U55)&gt;1)),1)&amp;L55&amp;""),0),クライアント抽出!E55),"")</f>
        <v/>
      </c>
      <c r="J55" s="52" t="str">
        <f>IF(C55&lt;&gt;"",
VLOOKUP(
"*"&amp;LEFT(IF(COUNTIF(D55,"*学食*"),"キャラ弁（学食）",
IF(COUNTIF(D55,"*赤*"),"赤",
IF(COUNTIF(D55,"*キャラ弁当*"),"キャラ弁当",D55))),4)&amp;"*",注文弁当の抽出!$E$1:$F$15,2,FALSE),"")</f>
        <v/>
      </c>
      <c r="K55" s="52" t="str">
        <f ca="1">IF(クライアント抽出!P55&lt;&gt;"",SUBSTITUTE(ADDRESS(1,(CODE(クライアント抽出!P55)-64)*2-1,4),"1",""),"")</f>
        <v/>
      </c>
      <c r="L55" s="52" t="str">
        <f>IF(C55&lt;&gt;"",クライアント抽出!I55,"")</f>
        <v/>
      </c>
      <c r="M55" s="52">
        <f t="array" aca="1" ref="M55" ca="1">IF(C55&lt;&gt;"",
IF(K55&lt;&gt;"",INDIRECT("'数出表_Excel（アレルギー入力）'!"&amp;K55&amp;L55-1&amp;""),),)</f>
        <v>0</v>
      </c>
      <c r="N55" s="52" t="str">
        <f>IF(C55&lt;&gt;"",IF(OR(COUNTIF('盛付札（関数）'!D55,"*赤*"),COUNTIF('盛付札（関数）'!D55,"*キャラ*")),1,
VLOOKUP("*"&amp;D55&amp;"*",商品マスタ一覧!D:H,5,FALSE)),"")</f>
        <v/>
      </c>
      <c r="O55" s="52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52">
        <f t="shared" si="0"/>
        <v>0</v>
      </c>
      <c r="Q55" s="52" t="b">
        <f t="shared" si="1"/>
        <v>0</v>
      </c>
      <c r="R55" s="51" t="str">
        <f t="array" aca="1" ref="R55" ca="1">IFERROR(SMALL(IF(P$1:P$307&lt;&gt;0,P$1:P$307),ROW(A55)),"")</f>
        <v/>
      </c>
      <c r="S55" s="51" t="str">
        <f t="array" aca="1" ref="S55" ca="1">IF($R55&lt;&gt;"",
SUBSTITUTE(SUBSTITUTE(INDIRECT("C"&amp;$R55&amp;"")," 週3ｺｰｽ","")," 週5ｺｰｽ",""),"")</f>
        <v/>
      </c>
      <c r="T55" s="51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91" t="str">
        <f t="array" aca="1" ref="U55" ca="1">IF($R55&lt;&gt;"",
INDIRECT("F"&amp;$R55&amp;""),"")</f>
        <v/>
      </c>
      <c r="V55" s="51" t="str">
        <f t="array" aca="1" ref="V55" ca="1">IF($R55&lt;&gt;"",
INDIRECT("G"&amp;$R55&amp;""),"")</f>
        <v/>
      </c>
      <c r="W55" s="51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IF(OR(COUNTIF(INDIRECT("B"&amp;R55&amp;""),"*雙葉先生*"),COUNTIF(INDIRECT("B"&amp;R55-1&amp;""),"*雙葉*")),INDIRECT("H"&amp;R55&amp;""),INDIRECT("H"&amp;R55&amp;"")+INDIRECT("H"&amp;MATCH("雙葉'",INDIRECT("B"&amp;R55+3&amp;":B210"),0)+2+R55&amp;"")),
IF(AND(LEFT(INDIRECT("B"&amp;R55&amp;""),2)="博多",COUNTIF(B:B,"*博多*")&gt;=2),
INDIRECT("H"&amp;R55&amp;"")+INDIRECT("H"&amp;MATCH("*"&amp;INDIRECT("B"&amp;R55&amp;"")&amp;"*",INDIRECT("B"&amp;R55+1&amp;":B210"),0)+R55&amp;""),
IF(AND(LEFT(INDIRECT("B"&amp;R55&amp;""),3)="奈良屋",COUNTIF(B:B,"*奈良屋*")&gt;=2),
INDIRECT("H"&amp;R55&amp;"")+INDIRECT("H"&amp;MATCH("*"&amp;INDIRECT("B"&amp;R55&amp;"")&amp;"*",INDIRECT("B"&amp;R55+1&amp;":B210"),0)+R55&amp;"")
+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INDIRECT("H"&amp;R55&amp;"")))),"")</f>
        <v/>
      </c>
      <c r="X55" s="51" t="str">
        <f t="array" aca="1" ref="X55" ca="1">IF($R55&lt;&gt;"",
INDIRECT(""&amp;IF(COLUMN(I55)&lt;=26,CHAR(COLUMN(I55)+64),CHAR(INT((COLUMN(I55)-1)/26)+64)&amp;CHAR(MOD(COLUMN(I55)-1,26)+65))&amp;$R55&amp;""),"")</f>
        <v/>
      </c>
      <c r="Y55" s="51" t="str">
        <f t="array" aca="1" ref="Y55" ca="1">IF($R55&lt;&gt;"",
INDIRECT(""&amp;IF(COLUMN(J55)&lt;=26,CHAR(COLUMN(J55)+64),CHAR(INT((COLUMN(J55)-1)/26)+64)&amp;CHAR(MOD(COLUMN(J55)-1,26)+65))&amp;$R55&amp;""),"")</f>
        <v/>
      </c>
      <c r="Z55" s="51" t="str">
        <f t="shared" ca="1" si="2"/>
        <v/>
      </c>
      <c r="AA55" s="51" t="str">
        <f t="shared" ca="1" si="3"/>
        <v/>
      </c>
      <c r="AB55" s="51" t="str">
        <f t="array" aca="1" ref="AB55" ca="1">IF($R55&lt;&gt;"",
IF(AND(COUNTIF(INDIRECT("B"&amp;R55&amp;""),"*雙葉*"),COUNTIF(B:B,"*雙葉*")&gt;=2),
INDIRECT("M"&amp;R55&amp;"")+INDIRECT("M"&amp;MATCH("雙葉'",INDIRECT("B"&amp;R55+1&amp;":B210"),0)+R55&amp;""),
IF(AND(LEFT(INDIRECT("B"&amp;R55&amp;""),2)="博多",COUNTIF(B:B,"*博多*")&gt;=2),
INDIRECT("M"&amp;R55&amp;"")+INDIRECT("M"&amp;MATCH("*"&amp;INDIRECT("B"&amp;R55&amp;"")&amp;"*",INDIRECT("B"&amp;R55+1&amp;":B210"),0)+R55&amp;""),
IF(AND(LEFT(INDIRECT("B"&amp;R55&amp;""),3)="奈良屋",COUNTIF(B:B,"*奈良屋*")&gt;=2),
INDIRECT("M"&amp;R55&amp;"")+INDIRECT("M"&amp;MATCH("*"&amp;INDIRECT("B"&amp;R55&amp;"")&amp;"*",INDIRECT("B"&amp;R55+1&amp;":B210"),0)+R55&amp;"")
+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INDIRECT("M"&amp;R55&amp;"")))),"")</f>
        <v/>
      </c>
      <c r="AC55" s="51" t="str">
        <f t="shared" ca="1" si="4"/>
        <v/>
      </c>
      <c r="AD55" s="51" t="str">
        <f t="shared" ca="1" si="5"/>
        <v/>
      </c>
      <c r="AE55" s="51" t="str">
        <f t="shared" ca="1" si="6"/>
        <v/>
      </c>
      <c r="AF55" s="51" t="str">
        <f t="shared" ca="1" si="7"/>
        <v/>
      </c>
      <c r="AG55" s="51" t="str">
        <f t="shared" ca="1" si="8"/>
        <v/>
      </c>
      <c r="AH55" s="191" t="str">
        <f t="shared" ca="1" si="9"/>
        <v/>
      </c>
      <c r="AI55" s="51" t="str">
        <f t="shared" ca="1" si="10"/>
        <v/>
      </c>
      <c r="AJ55" s="51" t="str">
        <f t="shared" ca="1" si="11"/>
        <v/>
      </c>
      <c r="AK55" s="51" t="str">
        <f t="shared" ca="1" si="12"/>
        <v/>
      </c>
      <c r="AL55" s="51" t="str">
        <f t="shared" ca="1" si="13"/>
        <v/>
      </c>
      <c r="AM55" s="51" t="str">
        <f t="shared" ca="1" si="14"/>
        <v/>
      </c>
      <c r="AN55" s="51" t="str">
        <f t="shared" ca="1" si="15"/>
        <v/>
      </c>
      <c r="AO55" s="51" t="str">
        <f t="shared" ca="1" si="16"/>
        <v/>
      </c>
      <c r="AP55" s="51" t="str">
        <f t="shared" ca="1" si="17"/>
        <v/>
      </c>
      <c r="AU55" s="51" t="str">
        <f t="shared" ca="1" si="18"/>
        <v/>
      </c>
    </row>
    <row r="56" spans="1:47" ht="21" customHeight="1">
      <c r="A56" s="177">
        <f t="shared" si="21"/>
        <v>117</v>
      </c>
      <c r="B56" s="52" t="str">
        <f t="shared" si="22"/>
        <v/>
      </c>
      <c r="C56" s="52" t="str">
        <f>IF(OR(クライアント抽出!B56&lt;&gt;"",クライアント抽出!E56&lt;&gt;""),クライアント抽出!A56,"")</f>
        <v/>
      </c>
      <c r="D56" s="52" t="str">
        <f t="array" aca="1" ref="D56" ca="1">IF(C56&lt;&gt;"",INDIRECT("クライアント抽出!"&amp;E56&amp;MATCH(C56,クライアント抽出!A:A,0)&amp;""),"")</f>
        <v/>
      </c>
      <c r="E56" s="52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53" t="str">
        <f ca="1">IF(D56&lt;&gt;"",
IF(COUNTIF(C56,"*雙葉*"),
IF(ROUND((H56-M56)
/IF(COUNTIF(D56,"*キャラ*"),
VLOOKUP("*キャラ*",商品マスタ一覧!$D:$E,2,FALSE),
IF(COUNTIF(D56,"*赤*"),
VLOOKUP("*赤*",商品マスタ一覧!$D:$E,2,FALSE),
VLOOKUP("*"&amp;D56&amp;"*",商品マスタ一覧!$D:$E,2,FALSE))),0)&lt;=0,1,
ROUND((H56-M56)
/IF(COUNTIF(D56,"*キャラ*"),
VLOOKUP("*キャラ*",商品マスタ一覧!$D:$E,2,FALSE),
IF(COUNTIF(D56,"*赤*"),
VLOOKUP("*赤*",商品マスタ一覧!$D:$E,2,FALSE),
VLOOKUP("*"&amp;D56&amp;"*",商品マスタ一覧!$D:$E,2,FALSE))),0)),
IF(OR(COUNTIF(D56,"*キャラ*"),COUNTIF(D56,"*赤*")),"",
IF(VLOOKUP("*"&amp;D56&amp;"*",商品マスタ一覧!$D:$E,2,FALSE)=0,"",
IF(ROUND((H56-M56)
/VLOOKUP("*"&amp;D56&amp;"*",商品マスタ一覧!$D:$E,2,FALSE),0)&lt;=0,1,
ROUND((H56-M56)
/VLOOKUP("*"&amp;D56&amp;"*",商品マスタ一覧!$D:$E,2,FALSE),0))))),"")</f>
        <v/>
      </c>
      <c r="G56" s="52" t="str">
        <f ca="1">IF(F56&lt;&gt;"",
IF(VALUE(H56-M56)&gt;VALUE(IF(COUNTIF(D56,"*キャラ*"),
VLOOKUP("*キャラ*",商品マスタ一覧!$D:$E,2,FALSE),
IF(COUNTIF(D56,"*赤*"),
VLOOKUP("*赤*",商品マスタ一覧!$D:$E,2,FALSE),
VLOOKUP("*"&amp;D56&amp;"*",商品マスタ一覧!$D:$E,2,FALSE)))*F56),
"+"&amp;(H56-M56)-IF(COUNTIF(D56,"*キャラ*"),
VLOOKUP("*キャラ*",商品マスタ一覧!$D:$E,2,FALSE),
IF(COUNTIF(D56,"*赤*"),
VLOOKUP("*赤*",商品マスタ一覧!$D:$E,2,FALSE),
VLOOKUP("*"&amp;D56&amp;"*",商品マスタ一覧!$D:$E,2,FALSE)))*F56,
(H56-M56)-IF(COUNTIF(D56,"*キャラ*"),
VLOOKUP("*キャラ*",商品マスタ一覧!$D:$E,2,FALSE),
IF(COUNTIF(D56,"*赤*"),
VLOOKUP("*赤*",商品マスタ一覧!$D:$E,2,FALSE),
VLOOKUP("*"&amp;D56&amp;"*",商品マスタ一覧!$D:$E,2,FALSE)))*F56),"")</f>
        <v/>
      </c>
      <c r="H56" s="175" t="str">
        <f>IF(C56&lt;&gt;"",
クライアント抽出!B56,"")</f>
        <v/>
      </c>
      <c r="I56" s="52" t="str">
        <f t="array" aca="1" ref="I56" ca="1">IF(C56&lt;&gt;"",
IF(O56=1,
IF(SUMPRODUCT(COUNTIF(クライアント抽出!P56:U56,クライアント抽出!P56:U56))&gt;COUNTA(クライアント抽出!P56:U56),
INDIRECT("数出表_Excel!"&amp;INDEX(_xlfn.UNIQUE(_xlfn._xlws.FILTER(クライアント抽出!P56:U56,COUNTIF(クライアント抽出!P56:U56,クライアント抽出!P56:U56)&gt;1)),1)&amp;L56&amp;""),0),クライアント抽出!E56),"")</f>
        <v/>
      </c>
      <c r="J56" s="52" t="str">
        <f>IF(C56&lt;&gt;"",
VLOOKUP(
"*"&amp;LEFT(IF(COUNTIF(D56,"*学食*"),"キャラ弁（学食）",
IF(COUNTIF(D56,"*赤*"),"赤",
IF(COUNTIF(D56,"*キャラ弁当*"),"キャラ弁当",D56))),4)&amp;"*",注文弁当の抽出!$E$1:$F$15,2,FALSE),"")</f>
        <v/>
      </c>
      <c r="K56" s="52" t="str">
        <f ca="1">IF(クライアント抽出!P56&lt;&gt;"",SUBSTITUTE(ADDRESS(1,(CODE(クライアント抽出!P56)-64)*2-1,4),"1",""),"")</f>
        <v/>
      </c>
      <c r="L56" s="52" t="str">
        <f>IF(C56&lt;&gt;"",クライアント抽出!I56,"")</f>
        <v/>
      </c>
      <c r="M56" s="52">
        <f t="array" aca="1" ref="M56" ca="1">IF(C56&lt;&gt;"",
IF(K56&lt;&gt;"",INDIRECT("'数出表_Excel（アレルギー入力）'!"&amp;K56&amp;L56-1&amp;""),),)</f>
        <v>0</v>
      </c>
      <c r="N56" s="52" t="str">
        <f>IF(C56&lt;&gt;"",IF(OR(COUNTIF('盛付札（関数）'!D56,"*赤*"),COUNTIF('盛付札（関数）'!D56,"*キャラ*")),1,
VLOOKUP("*"&amp;D56&amp;"*",商品マスタ一覧!D:H,5,FALSE)),"")</f>
        <v/>
      </c>
      <c r="O56" s="52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52">
        <f t="shared" si="0"/>
        <v>0</v>
      </c>
      <c r="Q56" s="52" t="b">
        <f t="shared" si="1"/>
        <v>0</v>
      </c>
      <c r="R56" s="51" t="str">
        <f t="array" aca="1" ref="R56" ca="1">IFERROR(SMALL(IF(P$1:P$307&lt;&gt;0,P$1:P$307),ROW(A56)),"")</f>
        <v/>
      </c>
      <c r="S56" s="51" t="str">
        <f t="array" aca="1" ref="S56" ca="1">IF($R56&lt;&gt;"",
SUBSTITUTE(SUBSTITUTE(INDIRECT("C"&amp;$R56&amp;"")," 週3ｺｰｽ","")," 週5ｺｰｽ",""),"")</f>
        <v/>
      </c>
      <c r="T56" s="51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91" t="str">
        <f t="array" aca="1" ref="U56" ca="1">IF($R56&lt;&gt;"",
INDIRECT("F"&amp;$R56&amp;""),"")</f>
        <v/>
      </c>
      <c r="V56" s="51" t="str">
        <f t="array" aca="1" ref="V56" ca="1">IF($R56&lt;&gt;"",
INDIRECT("G"&amp;$R56&amp;""),"")</f>
        <v/>
      </c>
      <c r="W56" s="51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IF(OR(COUNTIF(INDIRECT("B"&amp;R56&amp;""),"*雙葉先生*"),COUNTIF(INDIRECT("B"&amp;R56-1&amp;""),"*雙葉*")),INDIRECT("H"&amp;R56&amp;""),INDIRECT("H"&amp;R56&amp;"")+INDIRECT("H"&amp;MATCH("雙葉'",INDIRECT("B"&amp;R56+3&amp;":B210"),0)+2+R56&amp;"")),
IF(AND(LEFT(INDIRECT("B"&amp;R56&amp;""),2)="博多",COUNTIF(B:B,"*博多*")&gt;=2),
INDIRECT("H"&amp;R56&amp;"")+INDIRECT("H"&amp;MATCH("*"&amp;INDIRECT("B"&amp;R56&amp;"")&amp;"*",INDIRECT("B"&amp;R56+1&amp;":B210"),0)+R56&amp;""),
IF(AND(LEFT(INDIRECT("B"&amp;R56&amp;""),3)="奈良屋",COUNTIF(B:B,"*奈良屋*")&gt;=2),
INDIRECT("H"&amp;R56&amp;"")+INDIRECT("H"&amp;MATCH("*"&amp;INDIRECT("B"&amp;R56&amp;"")&amp;"*",INDIRECT("B"&amp;R56+1&amp;":B210"),0)+R56&amp;"")
+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INDIRECT("H"&amp;R56&amp;"")))),"")</f>
        <v/>
      </c>
      <c r="X56" s="51" t="str">
        <f t="array" aca="1" ref="X56" ca="1">IF($R56&lt;&gt;"",
INDIRECT(""&amp;IF(COLUMN(I56)&lt;=26,CHAR(COLUMN(I56)+64),CHAR(INT((COLUMN(I56)-1)/26)+64)&amp;CHAR(MOD(COLUMN(I56)-1,26)+65))&amp;$R56&amp;""),"")</f>
        <v/>
      </c>
      <c r="Y56" s="51" t="str">
        <f t="array" aca="1" ref="Y56" ca="1">IF($R56&lt;&gt;"",
INDIRECT(""&amp;IF(COLUMN(J56)&lt;=26,CHAR(COLUMN(J56)+64),CHAR(INT((COLUMN(J56)-1)/26)+64)&amp;CHAR(MOD(COLUMN(J56)-1,26)+65))&amp;$R56&amp;""),"")</f>
        <v/>
      </c>
      <c r="Z56" s="51" t="str">
        <f t="shared" ca="1" si="2"/>
        <v/>
      </c>
      <c r="AA56" s="51" t="str">
        <f t="shared" ca="1" si="3"/>
        <v/>
      </c>
      <c r="AB56" s="51" t="str">
        <f t="array" aca="1" ref="AB56" ca="1">IF($R56&lt;&gt;"",
IF(AND(COUNTIF(INDIRECT("B"&amp;R56&amp;""),"*雙葉*"),COUNTIF(B:B,"*雙葉*")&gt;=2),
INDIRECT("M"&amp;R56&amp;"")+INDIRECT("M"&amp;MATCH("雙葉'",INDIRECT("B"&amp;R56+1&amp;":B210"),0)+R56&amp;""),
IF(AND(LEFT(INDIRECT("B"&amp;R56&amp;""),2)="博多",COUNTIF(B:B,"*博多*")&gt;=2),
INDIRECT("M"&amp;R56&amp;"")+INDIRECT("M"&amp;MATCH("*"&amp;INDIRECT("B"&amp;R56&amp;"")&amp;"*",INDIRECT("B"&amp;R56+1&amp;":B210"),0)+R56&amp;""),
IF(AND(LEFT(INDIRECT("B"&amp;R56&amp;""),3)="奈良屋",COUNTIF(B:B,"*奈良屋*")&gt;=2),
INDIRECT("M"&amp;R56&amp;"")+INDIRECT("M"&amp;MATCH("*"&amp;INDIRECT("B"&amp;R56&amp;"")&amp;"*",INDIRECT("B"&amp;R56+1&amp;":B210"),0)+R56&amp;"")
+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INDIRECT("M"&amp;R56&amp;"")))),"")</f>
        <v/>
      </c>
      <c r="AC56" s="51" t="str">
        <f t="shared" ca="1" si="4"/>
        <v/>
      </c>
      <c r="AD56" s="51" t="str">
        <f t="shared" ca="1" si="5"/>
        <v/>
      </c>
      <c r="AE56" s="51" t="str">
        <f t="shared" ca="1" si="6"/>
        <v/>
      </c>
      <c r="AF56" s="51" t="str">
        <f t="shared" ca="1" si="7"/>
        <v/>
      </c>
      <c r="AG56" s="51" t="str">
        <f t="shared" ca="1" si="8"/>
        <v/>
      </c>
      <c r="AH56" s="191" t="str">
        <f t="shared" ca="1" si="9"/>
        <v/>
      </c>
      <c r="AI56" s="51" t="str">
        <f t="shared" ca="1" si="10"/>
        <v/>
      </c>
      <c r="AJ56" s="51" t="str">
        <f t="shared" ca="1" si="11"/>
        <v/>
      </c>
      <c r="AK56" s="51" t="str">
        <f t="shared" ca="1" si="12"/>
        <v/>
      </c>
      <c r="AL56" s="51" t="str">
        <f t="shared" ca="1" si="13"/>
        <v/>
      </c>
      <c r="AM56" s="51" t="str">
        <f t="shared" ca="1" si="14"/>
        <v/>
      </c>
      <c r="AN56" s="51" t="str">
        <f t="shared" ca="1" si="15"/>
        <v/>
      </c>
      <c r="AO56" s="51" t="str">
        <f t="shared" ca="1" si="16"/>
        <v/>
      </c>
      <c r="AP56" s="51" t="str">
        <f t="shared" ca="1" si="17"/>
        <v/>
      </c>
      <c r="AU56" s="51" t="str">
        <f t="shared" ca="1" si="18"/>
        <v/>
      </c>
    </row>
    <row r="57" spans="1:47" ht="18" customHeight="1">
      <c r="A57" s="177">
        <f t="shared" si="21"/>
        <v>119</v>
      </c>
      <c r="B57" s="52" t="str">
        <f t="shared" si="22"/>
        <v/>
      </c>
      <c r="C57" s="52" t="str">
        <f>IF(OR(クライアント抽出!B57&lt;&gt;"",クライアント抽出!E57&lt;&gt;""),クライアント抽出!A57,"")</f>
        <v/>
      </c>
      <c r="D57" s="52" t="str">
        <f t="array" aca="1" ref="D57" ca="1">IF(C57&lt;&gt;"",INDIRECT("クライアント抽出!"&amp;E57&amp;MATCH(C57,クライアント抽出!A:A,0)&amp;""),"")</f>
        <v/>
      </c>
      <c r="E57" s="52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53" t="str">
        <f ca="1">IF(D57&lt;&gt;"",
IF(COUNTIF(C57,"*雙葉*"),
IF(ROUND((H57-M57)
/IF(COUNTIF(D57,"*キャラ*"),
VLOOKUP("*キャラ*",商品マスタ一覧!$D:$E,2,FALSE),
IF(COUNTIF(D57,"*赤*"),
VLOOKUP("*赤*",商品マスタ一覧!$D:$E,2,FALSE),
VLOOKUP("*"&amp;D57&amp;"*",商品マスタ一覧!$D:$E,2,FALSE))),0)&lt;=0,1,
ROUND((H57-M57)
/IF(COUNTIF(D57,"*キャラ*"),
VLOOKUP("*キャラ*",商品マスタ一覧!$D:$E,2,FALSE),
IF(COUNTIF(D57,"*赤*"),
VLOOKUP("*赤*",商品マスタ一覧!$D:$E,2,FALSE),
VLOOKUP("*"&amp;D57&amp;"*",商品マスタ一覧!$D:$E,2,FALSE))),0)),
IF(OR(COUNTIF(D57,"*キャラ*"),COUNTIF(D57,"*赤*")),"",
IF(VLOOKUP("*"&amp;D57&amp;"*",商品マスタ一覧!$D:$E,2,FALSE)=0,"",
IF(ROUND((H57-M57)
/VLOOKUP("*"&amp;D57&amp;"*",商品マスタ一覧!$D:$E,2,FALSE),0)&lt;=0,1,
ROUND((H57-M57)
/VLOOKUP("*"&amp;D57&amp;"*",商品マスタ一覧!$D:$E,2,FALSE),0))))),"")</f>
        <v/>
      </c>
      <c r="G57" s="52" t="str">
        <f ca="1">IF(F57&lt;&gt;"",
IF(VALUE(H57-M57)&gt;VALUE(IF(COUNTIF(D57,"*キャラ*"),
VLOOKUP("*キャラ*",商品マスタ一覧!$D:$E,2,FALSE),
IF(COUNTIF(D57,"*赤*"),
VLOOKUP("*赤*",商品マスタ一覧!$D:$E,2,FALSE),
VLOOKUP("*"&amp;D57&amp;"*",商品マスタ一覧!$D:$E,2,FALSE)))*F57),
"+"&amp;(H57-M57)-IF(COUNTIF(D57,"*キャラ*"),
VLOOKUP("*キャラ*",商品マスタ一覧!$D:$E,2,FALSE),
IF(COUNTIF(D57,"*赤*"),
VLOOKUP("*赤*",商品マスタ一覧!$D:$E,2,FALSE),
VLOOKUP("*"&amp;D57&amp;"*",商品マスタ一覧!$D:$E,2,FALSE)))*F57,
(H57-M57)-IF(COUNTIF(D57,"*キャラ*"),
VLOOKUP("*キャラ*",商品マスタ一覧!$D:$E,2,FALSE),
IF(COUNTIF(D57,"*赤*"),
VLOOKUP("*赤*",商品マスタ一覧!$D:$E,2,FALSE),
VLOOKUP("*"&amp;D57&amp;"*",商品マスタ一覧!$D:$E,2,FALSE)))*F57),"")</f>
        <v/>
      </c>
      <c r="H57" s="175" t="str">
        <f>IF(C57&lt;&gt;"",
クライアント抽出!B57,"")</f>
        <v/>
      </c>
      <c r="I57" s="52" t="str">
        <f t="array" aca="1" ref="I57" ca="1">IF(C57&lt;&gt;"",
IF(O57=1,
IF(SUMPRODUCT(COUNTIF(クライアント抽出!P57:U57,クライアント抽出!P57:U57))&gt;COUNTA(クライアント抽出!P57:U57),
INDIRECT("数出表_Excel!"&amp;INDEX(_xlfn.UNIQUE(_xlfn._xlws.FILTER(クライアント抽出!P57:U57,COUNTIF(クライアント抽出!P57:U57,クライアント抽出!P57:U57)&gt;1)),1)&amp;L57&amp;""),0),クライアント抽出!E57),"")</f>
        <v/>
      </c>
      <c r="J57" s="52" t="str">
        <f>IF(C57&lt;&gt;"",
VLOOKUP(
"*"&amp;LEFT(IF(COUNTIF(D57,"*学食*"),"キャラ弁（学食）",
IF(COUNTIF(D57,"*赤*"),"赤",
IF(COUNTIF(D57,"*キャラ弁当*"),"キャラ弁当",D57))),4)&amp;"*",注文弁当の抽出!$E$1:$F$15,2,FALSE),"")</f>
        <v/>
      </c>
      <c r="K57" s="52" t="str">
        <f ca="1">IF(クライアント抽出!P57&lt;&gt;"",SUBSTITUTE(ADDRESS(1,(CODE(クライアント抽出!P57)-64)*2-1,4),"1",""),"")</f>
        <v/>
      </c>
      <c r="L57" s="52" t="str">
        <f>IF(C57&lt;&gt;"",クライアント抽出!I57,"")</f>
        <v/>
      </c>
      <c r="M57" s="52">
        <f t="array" aca="1" ref="M57" ca="1">IF(C57&lt;&gt;"",
IF(K57&lt;&gt;"",INDIRECT("'数出表_Excel（アレルギー入力）'!"&amp;K57&amp;L57-1&amp;""),),)</f>
        <v>0</v>
      </c>
      <c r="N57" s="52" t="str">
        <f>IF(C57&lt;&gt;"",IF(OR(COUNTIF('盛付札（関数）'!D57,"*赤*"),COUNTIF('盛付札（関数）'!D57,"*キャラ*")),1,
VLOOKUP("*"&amp;D57&amp;"*",商品マスタ一覧!D:H,5,FALSE)),"")</f>
        <v/>
      </c>
      <c r="O57" s="52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52">
        <f t="shared" si="0"/>
        <v>0</v>
      </c>
      <c r="Q57" s="52" t="b">
        <f t="shared" si="1"/>
        <v>0</v>
      </c>
      <c r="R57" s="51" t="str">
        <f t="array" aca="1" ref="R57" ca="1">IFERROR(SMALL(IF(P$1:P$307&lt;&gt;0,P$1:P$307),ROW(A57)),"")</f>
        <v/>
      </c>
      <c r="S57" s="51" t="str">
        <f t="array" aca="1" ref="S57" ca="1">IF($R57&lt;&gt;"",
SUBSTITUTE(SUBSTITUTE(INDIRECT("C"&amp;$R57&amp;"")," 週3ｺｰｽ","")," 週5ｺｰｽ",""),"")</f>
        <v/>
      </c>
      <c r="T57" s="51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91" t="str">
        <f t="array" aca="1" ref="U57" ca="1">IF($R57&lt;&gt;"",
INDIRECT("F"&amp;$R57&amp;""),"")</f>
        <v/>
      </c>
      <c r="V57" s="51" t="str">
        <f t="array" aca="1" ref="V57" ca="1">IF($R57&lt;&gt;"",
INDIRECT("G"&amp;$R57&amp;""),"")</f>
        <v/>
      </c>
      <c r="W57" s="51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IF(OR(COUNTIF(INDIRECT("B"&amp;R57&amp;""),"*雙葉先生*"),COUNTIF(INDIRECT("B"&amp;R57-1&amp;""),"*雙葉*")),INDIRECT("H"&amp;R57&amp;""),INDIRECT("H"&amp;R57&amp;"")+INDIRECT("H"&amp;MATCH("雙葉'",INDIRECT("B"&amp;R57+3&amp;":B210"),0)+2+R57&amp;"")),
IF(AND(LEFT(INDIRECT("B"&amp;R57&amp;""),2)="博多",COUNTIF(B:B,"*博多*")&gt;=2),
INDIRECT("H"&amp;R57&amp;"")+INDIRECT("H"&amp;MATCH("*"&amp;INDIRECT("B"&amp;R57&amp;"")&amp;"*",INDIRECT("B"&amp;R57+1&amp;":B210"),0)+R57&amp;""),
IF(AND(LEFT(INDIRECT("B"&amp;R57&amp;""),3)="奈良屋",COUNTIF(B:B,"*奈良屋*")&gt;=2),
INDIRECT("H"&amp;R57&amp;"")+INDIRECT("H"&amp;MATCH("*"&amp;INDIRECT("B"&amp;R57&amp;"")&amp;"*",INDIRECT("B"&amp;R57+1&amp;":B210"),0)+R57&amp;"")
+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INDIRECT("H"&amp;R57&amp;"")))),"")</f>
        <v/>
      </c>
      <c r="X57" s="51" t="str">
        <f t="array" aca="1" ref="X57" ca="1">IF($R57&lt;&gt;"",
INDIRECT(""&amp;IF(COLUMN(I57)&lt;=26,CHAR(COLUMN(I57)+64),CHAR(INT((COLUMN(I57)-1)/26)+64)&amp;CHAR(MOD(COLUMN(I57)-1,26)+65))&amp;$R57&amp;""),"")</f>
        <v/>
      </c>
      <c r="Y57" s="51" t="str">
        <f t="array" aca="1" ref="Y57" ca="1">IF($R57&lt;&gt;"",
INDIRECT(""&amp;IF(COLUMN(J57)&lt;=26,CHAR(COLUMN(J57)+64),CHAR(INT((COLUMN(J57)-1)/26)+64)&amp;CHAR(MOD(COLUMN(J57)-1,26)+65))&amp;$R57&amp;""),"")</f>
        <v/>
      </c>
      <c r="Z57" s="51" t="str">
        <f t="shared" ca="1" si="2"/>
        <v/>
      </c>
      <c r="AA57" s="51" t="str">
        <f t="shared" ca="1" si="3"/>
        <v/>
      </c>
      <c r="AB57" s="51" t="str">
        <f t="array" aca="1" ref="AB57" ca="1">IF($R57&lt;&gt;"",
IF(AND(COUNTIF(INDIRECT("B"&amp;R57&amp;""),"*雙葉*"),COUNTIF(B:B,"*雙葉*")&gt;=2),
INDIRECT("M"&amp;R57&amp;"")+INDIRECT("M"&amp;MATCH("雙葉'",INDIRECT("B"&amp;R57+1&amp;":B210"),0)+R57&amp;""),
IF(AND(LEFT(INDIRECT("B"&amp;R57&amp;""),2)="博多",COUNTIF(B:B,"*博多*")&gt;=2),
INDIRECT("M"&amp;R57&amp;"")+INDIRECT("M"&amp;MATCH("*"&amp;INDIRECT("B"&amp;R57&amp;"")&amp;"*",INDIRECT("B"&amp;R57+1&amp;":B210"),0)+R57&amp;""),
IF(AND(LEFT(INDIRECT("B"&amp;R57&amp;""),3)="奈良屋",COUNTIF(B:B,"*奈良屋*")&gt;=2),
INDIRECT("M"&amp;R57&amp;"")+INDIRECT("M"&amp;MATCH("*"&amp;INDIRECT("B"&amp;R57&amp;"")&amp;"*",INDIRECT("B"&amp;R57+1&amp;":B210"),0)+R57&amp;"")
+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INDIRECT("M"&amp;R57&amp;"")))),"")</f>
        <v/>
      </c>
      <c r="AC57" s="51" t="str">
        <f t="shared" ca="1" si="4"/>
        <v/>
      </c>
      <c r="AD57" s="51" t="str">
        <f t="shared" ca="1" si="5"/>
        <v/>
      </c>
      <c r="AE57" s="51" t="str">
        <f t="shared" ca="1" si="6"/>
        <v/>
      </c>
      <c r="AF57" s="51" t="str">
        <f t="shared" ca="1" si="7"/>
        <v/>
      </c>
      <c r="AG57" s="51" t="str">
        <f t="shared" ca="1" si="8"/>
        <v/>
      </c>
      <c r="AH57" s="191" t="str">
        <f t="shared" ca="1" si="9"/>
        <v/>
      </c>
      <c r="AI57" s="51" t="str">
        <f t="shared" ca="1" si="10"/>
        <v/>
      </c>
      <c r="AJ57" s="51" t="str">
        <f t="shared" ca="1" si="11"/>
        <v/>
      </c>
      <c r="AK57" s="51" t="str">
        <f t="shared" ca="1" si="12"/>
        <v/>
      </c>
      <c r="AL57" s="51" t="str">
        <f t="shared" ca="1" si="13"/>
        <v/>
      </c>
      <c r="AM57" s="51" t="str">
        <f t="shared" ca="1" si="14"/>
        <v/>
      </c>
      <c r="AN57" s="51" t="str">
        <f t="shared" ca="1" si="15"/>
        <v/>
      </c>
      <c r="AO57" s="51" t="str">
        <f t="shared" ca="1" si="16"/>
        <v/>
      </c>
      <c r="AP57" s="51" t="str">
        <f t="shared" ca="1" si="17"/>
        <v/>
      </c>
      <c r="AU57" s="51" t="str">
        <f t="shared" ca="1" si="18"/>
        <v/>
      </c>
    </row>
    <row r="58" spans="1:47" ht="18" customHeight="1">
      <c r="A58" s="177">
        <f t="shared" si="21"/>
        <v>121</v>
      </c>
      <c r="B58" s="52" t="str">
        <f t="shared" si="22"/>
        <v/>
      </c>
      <c r="C58" s="52" t="str">
        <f>IF(OR(クライアント抽出!B58&lt;&gt;"",クライアント抽出!E58&lt;&gt;""),クライアント抽出!A58,"")</f>
        <v/>
      </c>
      <c r="D58" s="52" t="str">
        <f t="array" aca="1" ref="D58" ca="1">IF(C58&lt;&gt;"",INDIRECT("クライアント抽出!"&amp;E58&amp;MATCH(C58,クライアント抽出!A:A,0)&amp;""),"")</f>
        <v/>
      </c>
      <c r="E58" s="52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53" t="str">
        <f ca="1">IF(D58&lt;&gt;"",
IF(COUNTIF(C58,"*雙葉*"),
IF(ROUND((H58-M58)
/IF(COUNTIF(D58,"*キャラ*"),
VLOOKUP("*キャラ*",商品マスタ一覧!$D:$E,2,FALSE),
IF(COUNTIF(D58,"*赤*"),
VLOOKUP("*赤*",商品マスタ一覧!$D:$E,2,FALSE),
VLOOKUP("*"&amp;D58&amp;"*",商品マスタ一覧!$D:$E,2,FALSE))),0)&lt;=0,1,
ROUND((H58-M58)
/IF(COUNTIF(D58,"*キャラ*"),
VLOOKUP("*キャラ*",商品マスタ一覧!$D:$E,2,FALSE),
IF(COUNTIF(D58,"*赤*"),
VLOOKUP("*赤*",商品マスタ一覧!$D:$E,2,FALSE),
VLOOKUP("*"&amp;D58&amp;"*",商品マスタ一覧!$D:$E,2,FALSE))),0)),
IF(OR(COUNTIF(D58,"*キャラ*"),COUNTIF(D58,"*赤*")),"",
IF(VLOOKUP("*"&amp;D58&amp;"*",商品マスタ一覧!$D:$E,2,FALSE)=0,"",
IF(ROUND((H58-M58)
/VLOOKUP("*"&amp;D58&amp;"*",商品マスタ一覧!$D:$E,2,FALSE),0)&lt;=0,1,
ROUND((H58-M58)
/VLOOKUP("*"&amp;D58&amp;"*",商品マスタ一覧!$D:$E,2,FALSE),0))))),"")</f>
        <v/>
      </c>
      <c r="G58" s="52" t="str">
        <f ca="1">IF(F58&lt;&gt;"",
IF(VALUE(H58-M58)&gt;VALUE(IF(COUNTIF(D58,"*キャラ*"),
VLOOKUP("*キャラ*",商品マスタ一覧!$D:$E,2,FALSE),
IF(COUNTIF(D58,"*赤*"),
VLOOKUP("*赤*",商品マスタ一覧!$D:$E,2,FALSE),
VLOOKUP("*"&amp;D58&amp;"*",商品マスタ一覧!$D:$E,2,FALSE)))*F58),
"+"&amp;(H58-M58)-IF(COUNTIF(D58,"*キャラ*"),
VLOOKUP("*キャラ*",商品マスタ一覧!$D:$E,2,FALSE),
IF(COUNTIF(D58,"*赤*"),
VLOOKUP("*赤*",商品マスタ一覧!$D:$E,2,FALSE),
VLOOKUP("*"&amp;D58&amp;"*",商品マスタ一覧!$D:$E,2,FALSE)))*F58,
(H58-M58)-IF(COUNTIF(D58,"*キャラ*"),
VLOOKUP("*キャラ*",商品マスタ一覧!$D:$E,2,FALSE),
IF(COUNTIF(D58,"*赤*"),
VLOOKUP("*赤*",商品マスタ一覧!$D:$E,2,FALSE),
VLOOKUP("*"&amp;D58&amp;"*",商品マスタ一覧!$D:$E,2,FALSE)))*F58),"")</f>
        <v/>
      </c>
      <c r="H58" s="175" t="str">
        <f>IF(C58&lt;&gt;"",
クライアント抽出!B58,"")</f>
        <v/>
      </c>
      <c r="I58" s="52" t="str">
        <f t="array" aca="1" ref="I58" ca="1">IF(C58&lt;&gt;"",
IF(O58=1,
IF(SUMPRODUCT(COUNTIF(クライアント抽出!P58:U58,クライアント抽出!P58:U58))&gt;COUNTA(クライアント抽出!P58:U58),
INDIRECT("数出表_Excel!"&amp;INDEX(_xlfn.UNIQUE(_xlfn._xlws.FILTER(クライアント抽出!P58:U58,COUNTIF(クライアント抽出!P58:U58,クライアント抽出!P58:U58)&gt;1)),1)&amp;L58&amp;""),0),クライアント抽出!E58),"")</f>
        <v/>
      </c>
      <c r="J58" s="52" t="str">
        <f>IF(C58&lt;&gt;"",
VLOOKUP(
"*"&amp;LEFT(IF(COUNTIF(D58,"*学食*"),"キャラ弁（学食）",
IF(COUNTIF(D58,"*赤*"),"赤",
IF(COUNTIF(D58,"*キャラ弁当*"),"キャラ弁当",D58))),4)&amp;"*",注文弁当の抽出!$E$1:$F$15,2,FALSE),"")</f>
        <v/>
      </c>
      <c r="K58" s="52" t="str">
        <f ca="1">IF(クライアント抽出!P58&lt;&gt;"",SUBSTITUTE(ADDRESS(1,(CODE(クライアント抽出!P58)-64)*2-1,4),"1",""),"")</f>
        <v/>
      </c>
      <c r="L58" s="52" t="str">
        <f>IF(C58&lt;&gt;"",クライアント抽出!I58,"")</f>
        <v/>
      </c>
      <c r="M58" s="52">
        <f t="array" aca="1" ref="M58" ca="1">IF(C58&lt;&gt;"",
IF(K58&lt;&gt;"",INDIRECT("'数出表_Excel（アレルギー入力）'!"&amp;K58&amp;L58-1&amp;""),),)</f>
        <v>0</v>
      </c>
      <c r="N58" s="52" t="str">
        <f>IF(C58&lt;&gt;"",IF(OR(COUNTIF('盛付札（関数）'!D58,"*赤*"),COUNTIF('盛付札（関数）'!D58,"*キャラ*")),1,
VLOOKUP("*"&amp;D58&amp;"*",商品マスタ一覧!D:H,5,FALSE)),"")</f>
        <v/>
      </c>
      <c r="O58" s="52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52">
        <f t="shared" si="0"/>
        <v>0</v>
      </c>
      <c r="Q58" s="52" t="b">
        <f t="shared" si="1"/>
        <v>0</v>
      </c>
      <c r="R58" s="51" t="str">
        <f t="array" aca="1" ref="R58" ca="1">IFERROR(SMALL(IF(P$1:P$307&lt;&gt;0,P$1:P$307),ROW(A58)),"")</f>
        <v/>
      </c>
      <c r="S58" s="51" t="str">
        <f t="array" aca="1" ref="S58" ca="1">IF($R58&lt;&gt;"",
SUBSTITUTE(SUBSTITUTE(INDIRECT("C"&amp;$R58&amp;"")," 週3ｺｰｽ","")," 週5ｺｰｽ",""),"")</f>
        <v/>
      </c>
      <c r="T58" s="51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91" t="str">
        <f t="array" aca="1" ref="U58" ca="1">IF($R58&lt;&gt;"",
INDIRECT("F"&amp;$R58&amp;""),"")</f>
        <v/>
      </c>
      <c r="V58" s="51" t="str">
        <f t="array" aca="1" ref="V58" ca="1">IF($R58&lt;&gt;"",
INDIRECT("G"&amp;$R58&amp;""),"")</f>
        <v/>
      </c>
      <c r="W58" s="51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IF(OR(COUNTIF(INDIRECT("B"&amp;R58&amp;""),"*雙葉先生*"),COUNTIF(INDIRECT("B"&amp;R58-1&amp;""),"*雙葉*")),INDIRECT("H"&amp;R58&amp;""),INDIRECT("H"&amp;R58&amp;"")+INDIRECT("H"&amp;MATCH("雙葉'",INDIRECT("B"&amp;R58+3&amp;":B210"),0)+2+R58&amp;"")),
IF(AND(LEFT(INDIRECT("B"&amp;R58&amp;""),2)="博多",COUNTIF(B:B,"*博多*")&gt;=2),
INDIRECT("H"&amp;R58&amp;"")+INDIRECT("H"&amp;MATCH("*"&amp;INDIRECT("B"&amp;R58&amp;"")&amp;"*",INDIRECT("B"&amp;R58+1&amp;":B210"),0)+R58&amp;""),
IF(AND(LEFT(INDIRECT("B"&amp;R58&amp;""),3)="奈良屋",COUNTIF(B:B,"*奈良屋*")&gt;=2),
INDIRECT("H"&amp;R58&amp;"")+INDIRECT("H"&amp;MATCH("*"&amp;INDIRECT("B"&amp;R58&amp;"")&amp;"*",INDIRECT("B"&amp;R58+1&amp;":B210"),0)+R58&amp;"")
+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INDIRECT("H"&amp;R58&amp;"")))),"")</f>
        <v/>
      </c>
      <c r="X58" s="51" t="str">
        <f t="array" aca="1" ref="X58" ca="1">IF($R58&lt;&gt;"",
INDIRECT(""&amp;IF(COLUMN(I58)&lt;=26,CHAR(COLUMN(I58)+64),CHAR(INT((COLUMN(I58)-1)/26)+64)&amp;CHAR(MOD(COLUMN(I58)-1,26)+65))&amp;$R58&amp;""),"")</f>
        <v/>
      </c>
      <c r="Y58" s="51" t="str">
        <f t="array" aca="1" ref="Y58" ca="1">IF($R58&lt;&gt;"",
INDIRECT(""&amp;IF(COLUMN(J58)&lt;=26,CHAR(COLUMN(J58)+64),CHAR(INT((COLUMN(J58)-1)/26)+64)&amp;CHAR(MOD(COLUMN(J58)-1,26)+65))&amp;$R58&amp;""),"")</f>
        <v/>
      </c>
      <c r="Z58" s="51" t="str">
        <f t="shared" ca="1" si="2"/>
        <v/>
      </c>
      <c r="AA58" s="51" t="str">
        <f t="shared" ca="1" si="3"/>
        <v/>
      </c>
      <c r="AB58" s="51" t="str">
        <f t="array" aca="1" ref="AB58" ca="1">IF($R58&lt;&gt;"",
IF(AND(COUNTIF(INDIRECT("B"&amp;R58&amp;""),"*雙葉*"),COUNTIF(B:B,"*雙葉*")&gt;=2),
INDIRECT("M"&amp;R58&amp;"")+INDIRECT("M"&amp;MATCH("雙葉'",INDIRECT("B"&amp;R58+1&amp;":B210"),0)+R58&amp;""),
IF(AND(LEFT(INDIRECT("B"&amp;R58&amp;""),2)="博多",COUNTIF(B:B,"*博多*")&gt;=2),
INDIRECT("M"&amp;R58&amp;"")+INDIRECT("M"&amp;MATCH("*"&amp;INDIRECT("B"&amp;R58&amp;"")&amp;"*",INDIRECT("B"&amp;R58+1&amp;":B210"),0)+R58&amp;""),
IF(AND(LEFT(INDIRECT("B"&amp;R58&amp;""),3)="奈良屋",COUNTIF(B:B,"*奈良屋*")&gt;=2),
INDIRECT("M"&amp;R58&amp;"")+INDIRECT("M"&amp;MATCH("*"&amp;INDIRECT("B"&amp;R58&amp;"")&amp;"*",INDIRECT("B"&amp;R58+1&amp;":B210"),0)+R58&amp;"")
+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INDIRECT("M"&amp;R58&amp;"")))),"")</f>
        <v/>
      </c>
      <c r="AC58" s="51" t="str">
        <f t="shared" ca="1" si="4"/>
        <v/>
      </c>
      <c r="AD58" s="51" t="str">
        <f t="shared" ca="1" si="5"/>
        <v/>
      </c>
      <c r="AE58" s="51" t="str">
        <f t="shared" ca="1" si="6"/>
        <v/>
      </c>
      <c r="AF58" s="51" t="str">
        <f t="shared" ca="1" si="7"/>
        <v/>
      </c>
      <c r="AG58" s="51" t="str">
        <f t="shared" ca="1" si="8"/>
        <v/>
      </c>
      <c r="AH58" s="191" t="str">
        <f t="shared" ca="1" si="9"/>
        <v/>
      </c>
      <c r="AI58" s="51" t="str">
        <f t="shared" ca="1" si="10"/>
        <v/>
      </c>
      <c r="AJ58" s="51" t="str">
        <f t="shared" ca="1" si="11"/>
        <v/>
      </c>
      <c r="AK58" s="51" t="str">
        <f t="shared" ca="1" si="12"/>
        <v/>
      </c>
      <c r="AL58" s="51" t="str">
        <f t="shared" ca="1" si="13"/>
        <v/>
      </c>
      <c r="AM58" s="51" t="str">
        <f t="shared" ca="1" si="14"/>
        <v/>
      </c>
      <c r="AN58" s="51" t="str">
        <f t="shared" ca="1" si="15"/>
        <v/>
      </c>
      <c r="AO58" s="51" t="str">
        <f t="shared" ca="1" si="16"/>
        <v/>
      </c>
      <c r="AP58" s="51" t="str">
        <f t="shared" ca="1" si="17"/>
        <v/>
      </c>
      <c r="AU58" s="51" t="str">
        <f t="shared" ca="1" si="18"/>
        <v/>
      </c>
    </row>
    <row r="59" spans="1:47" ht="22.2" customHeight="1">
      <c r="A59" s="177">
        <f t="shared" si="21"/>
        <v>123</v>
      </c>
      <c r="B59" s="52" t="str">
        <f t="shared" si="22"/>
        <v/>
      </c>
      <c r="C59" s="52" t="str">
        <f>IF(OR(クライアント抽出!B59&lt;&gt;"",クライアント抽出!E59&lt;&gt;""),クライアント抽出!A59,"")</f>
        <v/>
      </c>
      <c r="D59" s="52" t="str">
        <f t="array" aca="1" ref="D59" ca="1">IF(C59&lt;&gt;"",INDIRECT("クライアント抽出!"&amp;E59&amp;MATCH(C59,クライアント抽出!A:A,0)&amp;""),"")</f>
        <v/>
      </c>
      <c r="E59" s="52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53" t="str">
        <f ca="1">IF(D59&lt;&gt;"",
IF(COUNTIF(C59,"*雙葉*"),
IF(ROUND((H59-M59)
/IF(COUNTIF(D59,"*キャラ*"),
VLOOKUP("*キャラ*",商品マスタ一覧!$D:$E,2,FALSE),
IF(COUNTIF(D59,"*赤*"),
VLOOKUP("*赤*",商品マスタ一覧!$D:$E,2,FALSE),
VLOOKUP("*"&amp;D59&amp;"*",商品マスタ一覧!$D:$E,2,FALSE))),0)&lt;=0,1,
ROUND((H59-M59)
/IF(COUNTIF(D59,"*キャラ*"),
VLOOKUP("*キャラ*",商品マスタ一覧!$D:$E,2,FALSE),
IF(COUNTIF(D59,"*赤*"),
VLOOKUP("*赤*",商品マスタ一覧!$D:$E,2,FALSE),
VLOOKUP("*"&amp;D59&amp;"*",商品マスタ一覧!$D:$E,2,FALSE))),0)),
IF(OR(COUNTIF(D59,"*キャラ*"),COUNTIF(D59,"*赤*")),"",
IF(VLOOKUP("*"&amp;D59&amp;"*",商品マスタ一覧!$D:$E,2,FALSE)=0,"",
IF(ROUND((H59-M59)
/VLOOKUP("*"&amp;D59&amp;"*",商品マスタ一覧!$D:$E,2,FALSE),0)&lt;=0,1,
ROUND((H59-M59)
/VLOOKUP("*"&amp;D59&amp;"*",商品マスタ一覧!$D:$E,2,FALSE),0))))),"")</f>
        <v/>
      </c>
      <c r="G59" s="52" t="str">
        <f ca="1">IF(F59&lt;&gt;"",
IF(VALUE(H59-M59)&gt;VALUE(IF(COUNTIF(D59,"*キャラ*"),
VLOOKUP("*キャラ*",商品マスタ一覧!$D:$E,2,FALSE),
IF(COUNTIF(D59,"*赤*"),
VLOOKUP("*赤*",商品マスタ一覧!$D:$E,2,FALSE),
VLOOKUP("*"&amp;D59&amp;"*",商品マスタ一覧!$D:$E,2,FALSE)))*F59),
"+"&amp;(H59-M59)-IF(COUNTIF(D59,"*キャラ*"),
VLOOKUP("*キャラ*",商品マスタ一覧!$D:$E,2,FALSE),
IF(COUNTIF(D59,"*赤*"),
VLOOKUP("*赤*",商品マスタ一覧!$D:$E,2,FALSE),
VLOOKUP("*"&amp;D59&amp;"*",商品マスタ一覧!$D:$E,2,FALSE)))*F59,
(H59-M59)-IF(COUNTIF(D59,"*キャラ*"),
VLOOKUP("*キャラ*",商品マスタ一覧!$D:$E,2,FALSE),
IF(COUNTIF(D59,"*赤*"),
VLOOKUP("*赤*",商品マスタ一覧!$D:$E,2,FALSE),
VLOOKUP("*"&amp;D59&amp;"*",商品マスタ一覧!$D:$E,2,FALSE)))*F59),"")</f>
        <v/>
      </c>
      <c r="H59" s="175" t="str">
        <f>IF(C59&lt;&gt;"",
クライアント抽出!B59,"")</f>
        <v/>
      </c>
      <c r="I59" s="52" t="str">
        <f t="array" aca="1" ref="I59" ca="1">IF(C59&lt;&gt;"",
IF(O59=1,
IF(SUMPRODUCT(COUNTIF(クライアント抽出!P59:U59,クライアント抽出!P59:U59))&gt;COUNTA(クライアント抽出!P59:U59),
INDIRECT("数出表_Excel!"&amp;INDEX(_xlfn.UNIQUE(_xlfn._xlws.FILTER(クライアント抽出!P59:U59,COUNTIF(クライアント抽出!P59:U59,クライアント抽出!P59:U59)&gt;1)),1)&amp;L59&amp;""),0),クライアント抽出!E59),"")</f>
        <v/>
      </c>
      <c r="J59" s="52" t="str">
        <f>IF(C59&lt;&gt;"",
VLOOKUP(
"*"&amp;LEFT(IF(COUNTIF(D59,"*学食*"),"キャラ弁（学食）",
IF(COUNTIF(D59,"*赤*"),"赤",
IF(COUNTIF(D59,"*キャラ弁当*"),"キャラ弁当",D59))),4)&amp;"*",注文弁当の抽出!$E$1:$F$15,2,FALSE),"")</f>
        <v/>
      </c>
      <c r="K59" s="52" t="str">
        <f ca="1">IF(クライアント抽出!P59&lt;&gt;"",SUBSTITUTE(ADDRESS(1,(CODE(クライアント抽出!P59)-64)*2-1,4),"1",""),"")</f>
        <v/>
      </c>
      <c r="L59" s="52" t="str">
        <f>IF(C59&lt;&gt;"",クライアント抽出!I59,"")</f>
        <v/>
      </c>
      <c r="M59" s="52">
        <f t="array" aca="1" ref="M59" ca="1">IF(C59&lt;&gt;"",
IF(K59&lt;&gt;"",INDIRECT("'数出表_Excel（アレルギー入力）'!"&amp;K59&amp;L59-1&amp;""),),)</f>
        <v>0</v>
      </c>
      <c r="N59" s="52" t="str">
        <f>IF(C59&lt;&gt;"",IF(OR(COUNTIF('盛付札（関数）'!D59,"*赤*"),COUNTIF('盛付札（関数）'!D59,"*キャラ*")),1,
VLOOKUP("*"&amp;D59&amp;"*",商品マスタ一覧!D:H,5,FALSE)),"")</f>
        <v/>
      </c>
      <c r="O59" s="52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52">
        <f t="shared" si="0"/>
        <v>0</v>
      </c>
      <c r="Q59" s="52" t="b">
        <f t="shared" si="1"/>
        <v>0</v>
      </c>
      <c r="R59" s="51" t="str">
        <f t="array" aca="1" ref="R59" ca="1">IFERROR(SMALL(IF(P$1:P$307&lt;&gt;0,P$1:P$307),ROW(A59)),"")</f>
        <v/>
      </c>
      <c r="S59" s="51" t="str">
        <f t="array" aca="1" ref="S59" ca="1">IF($R59&lt;&gt;"",
SUBSTITUTE(SUBSTITUTE(INDIRECT("C"&amp;$R59&amp;"")," 週3ｺｰｽ","")," 週5ｺｰｽ",""),"")</f>
        <v/>
      </c>
      <c r="T59" s="51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91" t="str">
        <f t="array" aca="1" ref="U59" ca="1">IF($R59&lt;&gt;"",
INDIRECT("F"&amp;$R59&amp;""),"")</f>
        <v/>
      </c>
      <c r="V59" s="51" t="str">
        <f t="array" aca="1" ref="V59" ca="1">IF($R59&lt;&gt;"",
INDIRECT("G"&amp;$R59&amp;""),"")</f>
        <v/>
      </c>
      <c r="W59" s="51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IF(OR(COUNTIF(INDIRECT("B"&amp;R59&amp;""),"*雙葉先生*"),COUNTIF(INDIRECT("B"&amp;R59-1&amp;""),"*雙葉*")),INDIRECT("H"&amp;R59&amp;""),INDIRECT("H"&amp;R59&amp;"")+INDIRECT("H"&amp;MATCH("雙葉'",INDIRECT("B"&amp;R59+3&amp;":B210"),0)+2+R59&amp;"")),
IF(AND(LEFT(INDIRECT("B"&amp;R59&amp;""),2)="博多",COUNTIF(B:B,"*博多*")&gt;=2),
INDIRECT("H"&amp;R59&amp;"")+INDIRECT("H"&amp;MATCH("*"&amp;INDIRECT("B"&amp;R59&amp;"")&amp;"*",INDIRECT("B"&amp;R59+1&amp;":B210"),0)+R59&amp;""),
IF(AND(LEFT(INDIRECT("B"&amp;R59&amp;""),3)="奈良屋",COUNTIF(B:B,"*奈良屋*")&gt;=2),
INDIRECT("H"&amp;R59&amp;"")+INDIRECT("H"&amp;MATCH("*"&amp;INDIRECT("B"&amp;R59&amp;"")&amp;"*",INDIRECT("B"&amp;R59+1&amp;":B210"),0)+R59&amp;"")
+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INDIRECT("H"&amp;R59&amp;"")))),"")</f>
        <v/>
      </c>
      <c r="X59" s="51" t="str">
        <f t="array" aca="1" ref="X59" ca="1">IF($R59&lt;&gt;"",
INDIRECT(""&amp;IF(COLUMN(I59)&lt;=26,CHAR(COLUMN(I59)+64),CHAR(INT((COLUMN(I59)-1)/26)+64)&amp;CHAR(MOD(COLUMN(I59)-1,26)+65))&amp;$R59&amp;""),"")</f>
        <v/>
      </c>
      <c r="Y59" s="51" t="str">
        <f t="array" aca="1" ref="Y59" ca="1">IF($R59&lt;&gt;"",
INDIRECT(""&amp;IF(COLUMN(J59)&lt;=26,CHAR(COLUMN(J59)+64),CHAR(INT((COLUMN(J59)-1)/26)+64)&amp;CHAR(MOD(COLUMN(J59)-1,26)+65))&amp;$R59&amp;""),"")</f>
        <v/>
      </c>
      <c r="Z59" s="51" t="str">
        <f t="shared" ca="1" si="2"/>
        <v/>
      </c>
      <c r="AA59" s="51" t="str">
        <f t="shared" ca="1" si="3"/>
        <v/>
      </c>
      <c r="AB59" s="51" t="str">
        <f t="array" aca="1" ref="AB59" ca="1">IF($R59&lt;&gt;"",
IF(AND(COUNTIF(INDIRECT("B"&amp;R59&amp;""),"*雙葉*"),COUNTIF(B:B,"*雙葉*")&gt;=2),
INDIRECT("M"&amp;R59&amp;"")+INDIRECT("M"&amp;MATCH("雙葉'",INDIRECT("B"&amp;R59+1&amp;":B210"),0)+R59&amp;""),
IF(AND(LEFT(INDIRECT("B"&amp;R59&amp;""),2)="博多",COUNTIF(B:B,"*博多*")&gt;=2),
INDIRECT("M"&amp;R59&amp;"")+INDIRECT("M"&amp;MATCH("*"&amp;INDIRECT("B"&amp;R59&amp;"")&amp;"*",INDIRECT("B"&amp;R59+1&amp;":B210"),0)+R59&amp;""),
IF(AND(LEFT(INDIRECT("B"&amp;R59&amp;""),3)="奈良屋",COUNTIF(B:B,"*奈良屋*")&gt;=2),
INDIRECT("M"&amp;R59&amp;"")+INDIRECT("M"&amp;MATCH("*"&amp;INDIRECT("B"&amp;R59&amp;"")&amp;"*",INDIRECT("B"&amp;R59+1&amp;":B210"),0)+R59&amp;"")
+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INDIRECT("M"&amp;R59&amp;"")))),"")</f>
        <v/>
      </c>
      <c r="AC59" s="51" t="str">
        <f t="shared" ca="1" si="4"/>
        <v/>
      </c>
      <c r="AD59" s="51" t="str">
        <f t="shared" ca="1" si="5"/>
        <v/>
      </c>
      <c r="AE59" s="51" t="str">
        <f t="shared" ca="1" si="6"/>
        <v/>
      </c>
      <c r="AF59" s="51" t="str">
        <f t="shared" ca="1" si="7"/>
        <v/>
      </c>
      <c r="AG59" s="51" t="str">
        <f t="shared" ca="1" si="8"/>
        <v/>
      </c>
      <c r="AH59" s="191" t="str">
        <f t="shared" ca="1" si="9"/>
        <v/>
      </c>
      <c r="AI59" s="51" t="str">
        <f t="shared" ca="1" si="10"/>
        <v/>
      </c>
      <c r="AJ59" s="51" t="str">
        <f t="shared" ca="1" si="11"/>
        <v/>
      </c>
      <c r="AK59" s="51" t="str">
        <f t="shared" ca="1" si="12"/>
        <v/>
      </c>
      <c r="AL59" s="51" t="str">
        <f t="shared" ca="1" si="13"/>
        <v/>
      </c>
      <c r="AM59" s="51" t="str">
        <f t="shared" ca="1" si="14"/>
        <v/>
      </c>
      <c r="AN59" s="51" t="str">
        <f t="shared" ca="1" si="15"/>
        <v/>
      </c>
      <c r="AO59" s="51" t="str">
        <f t="shared" ca="1" si="16"/>
        <v/>
      </c>
      <c r="AP59" s="51" t="str">
        <f t="shared" ca="1" si="17"/>
        <v/>
      </c>
      <c r="AU59" s="51" t="str">
        <f t="shared" ca="1" si="18"/>
        <v/>
      </c>
    </row>
    <row r="60" spans="1:47" ht="18" customHeight="1">
      <c r="A60" s="177">
        <f t="shared" si="21"/>
        <v>125</v>
      </c>
      <c r="B60" s="52" t="str">
        <f t="shared" si="22"/>
        <v/>
      </c>
      <c r="C60" s="52" t="str">
        <f>IF(OR(クライアント抽出!B60&lt;&gt;"",クライアント抽出!E60&lt;&gt;""),クライアント抽出!A60,"")</f>
        <v/>
      </c>
      <c r="D60" s="52" t="str">
        <f t="array" aca="1" ref="D60" ca="1">IF(C60&lt;&gt;"",INDIRECT("クライアント抽出!"&amp;E60&amp;MATCH(C60,クライアント抽出!A:A,0)&amp;""),"")</f>
        <v/>
      </c>
      <c r="E60" s="52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53" t="str">
        <f ca="1">IF(D60&lt;&gt;"",
IF(COUNTIF(C60,"*雙葉*"),
IF(ROUND((H60-M60)
/IF(COUNTIF(D60,"*キャラ*"),
VLOOKUP("*キャラ*",商品マスタ一覧!$D:$E,2,FALSE),
IF(COUNTIF(D60,"*赤*"),
VLOOKUP("*赤*",商品マスタ一覧!$D:$E,2,FALSE),
VLOOKUP("*"&amp;D60&amp;"*",商品マスタ一覧!$D:$E,2,FALSE))),0)&lt;=0,1,
ROUND((H60-M60)
/IF(COUNTIF(D60,"*キャラ*"),
VLOOKUP("*キャラ*",商品マスタ一覧!$D:$E,2,FALSE),
IF(COUNTIF(D60,"*赤*"),
VLOOKUP("*赤*",商品マスタ一覧!$D:$E,2,FALSE),
VLOOKUP("*"&amp;D60&amp;"*",商品マスタ一覧!$D:$E,2,FALSE))),0)),
IF(OR(COUNTIF(D60,"*キャラ*"),COUNTIF(D60,"*赤*")),"",
IF(VLOOKUP("*"&amp;D60&amp;"*",商品マスタ一覧!$D:$E,2,FALSE)=0,"",
IF(ROUND((H60-M60)
/VLOOKUP("*"&amp;D60&amp;"*",商品マスタ一覧!$D:$E,2,FALSE),0)&lt;=0,1,
ROUND((H60-M60)
/VLOOKUP("*"&amp;D60&amp;"*",商品マスタ一覧!$D:$E,2,FALSE),0))))),"")</f>
        <v/>
      </c>
      <c r="G60" s="52" t="str">
        <f ca="1">IF(F60&lt;&gt;"",
IF(VALUE(H60-M60)&gt;VALUE(IF(COUNTIF(D60,"*キャラ*"),
VLOOKUP("*キャラ*",商品マスタ一覧!$D:$E,2,FALSE),
IF(COUNTIF(D60,"*赤*"),
VLOOKUP("*赤*",商品マスタ一覧!$D:$E,2,FALSE),
VLOOKUP("*"&amp;D60&amp;"*",商品マスタ一覧!$D:$E,2,FALSE)))*F60),
"+"&amp;(H60-M60)-IF(COUNTIF(D60,"*キャラ*"),
VLOOKUP("*キャラ*",商品マスタ一覧!$D:$E,2,FALSE),
IF(COUNTIF(D60,"*赤*"),
VLOOKUP("*赤*",商品マスタ一覧!$D:$E,2,FALSE),
VLOOKUP("*"&amp;D60&amp;"*",商品マスタ一覧!$D:$E,2,FALSE)))*F60,
(H60-M60)-IF(COUNTIF(D60,"*キャラ*"),
VLOOKUP("*キャラ*",商品マスタ一覧!$D:$E,2,FALSE),
IF(COUNTIF(D60,"*赤*"),
VLOOKUP("*赤*",商品マスタ一覧!$D:$E,2,FALSE),
VLOOKUP("*"&amp;D60&amp;"*",商品マスタ一覧!$D:$E,2,FALSE)))*F60),"")</f>
        <v/>
      </c>
      <c r="H60" s="175" t="str">
        <f>IF(C60&lt;&gt;"",
クライアント抽出!B60,"")</f>
        <v/>
      </c>
      <c r="I60" s="52" t="str">
        <f t="array" aca="1" ref="I60" ca="1">IF(C60&lt;&gt;"",
IF(O60=1,
IF(SUMPRODUCT(COUNTIF(クライアント抽出!P60:U60,クライアント抽出!P60:U60))&gt;COUNTA(クライアント抽出!P60:U60),
INDIRECT("数出表_Excel!"&amp;INDEX(_xlfn.UNIQUE(_xlfn._xlws.FILTER(クライアント抽出!P60:U60,COUNTIF(クライアント抽出!P60:U60,クライアント抽出!P60:U60)&gt;1)),1)&amp;L60&amp;""),0),クライアント抽出!E60),"")</f>
        <v/>
      </c>
      <c r="J60" s="52" t="str">
        <f>IF(C60&lt;&gt;"",
VLOOKUP(
"*"&amp;LEFT(IF(COUNTIF(D60,"*学食*"),"キャラ弁（学食）",
IF(COUNTIF(D60,"*赤*"),"赤",
IF(COUNTIF(D60,"*キャラ弁当*"),"キャラ弁当",D60))),4)&amp;"*",注文弁当の抽出!$E$1:$F$15,2,FALSE),"")</f>
        <v/>
      </c>
      <c r="K60" s="52" t="str">
        <f ca="1">IF(クライアント抽出!P60&lt;&gt;"",SUBSTITUTE(ADDRESS(1,(CODE(クライアント抽出!P60)-64)*2-1,4),"1",""),"")</f>
        <v/>
      </c>
      <c r="L60" s="52" t="str">
        <f>IF(C60&lt;&gt;"",クライアント抽出!I60,"")</f>
        <v/>
      </c>
      <c r="M60" s="52">
        <f t="array" aca="1" ref="M60" ca="1">IF(C60&lt;&gt;"",
IF(K60&lt;&gt;"",INDIRECT("'数出表_Excel（アレルギー入力）'!"&amp;K60&amp;L60-1&amp;""),),)</f>
        <v>0</v>
      </c>
      <c r="N60" s="52" t="str">
        <f>IF(C60&lt;&gt;"",IF(OR(COUNTIF('盛付札（関数）'!D60,"*赤*"),COUNTIF('盛付札（関数）'!D60,"*キャラ*")),1,
VLOOKUP("*"&amp;D60&amp;"*",商品マスタ一覧!D:H,5,FALSE)),"")</f>
        <v/>
      </c>
      <c r="O60" s="52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52">
        <f t="shared" si="0"/>
        <v>0</v>
      </c>
      <c r="Q60" s="52" t="b">
        <f t="shared" si="1"/>
        <v>0</v>
      </c>
      <c r="R60" s="51" t="str">
        <f t="array" aca="1" ref="R60" ca="1">IFERROR(SMALL(IF(P$1:P$307&lt;&gt;0,P$1:P$307),ROW(A60)),"")</f>
        <v/>
      </c>
      <c r="S60" s="51" t="str">
        <f t="array" aca="1" ref="S60" ca="1">IF($R60&lt;&gt;"",
SUBSTITUTE(SUBSTITUTE(INDIRECT("C"&amp;$R60&amp;"")," 週3ｺｰｽ","")," 週5ｺｰｽ",""),"")</f>
        <v/>
      </c>
      <c r="T60" s="51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91" t="str">
        <f t="array" aca="1" ref="U60" ca="1">IF($R60&lt;&gt;"",
INDIRECT("F"&amp;$R60&amp;""),"")</f>
        <v/>
      </c>
      <c r="V60" s="51" t="str">
        <f t="array" aca="1" ref="V60" ca="1">IF($R60&lt;&gt;"",
INDIRECT("G"&amp;$R60&amp;""),"")</f>
        <v/>
      </c>
      <c r="W60" s="51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IF(OR(COUNTIF(INDIRECT("B"&amp;R60&amp;""),"*雙葉先生*"),COUNTIF(INDIRECT("B"&amp;R60-1&amp;""),"*雙葉*")),INDIRECT("H"&amp;R60&amp;""),INDIRECT("H"&amp;R60&amp;"")+INDIRECT("H"&amp;MATCH("雙葉'",INDIRECT("B"&amp;R60+3&amp;":B210"),0)+2+R60&amp;"")),
IF(AND(LEFT(INDIRECT("B"&amp;R60&amp;""),2)="博多",COUNTIF(B:B,"*博多*")&gt;=2),
INDIRECT("H"&amp;R60&amp;"")+INDIRECT("H"&amp;MATCH("*"&amp;INDIRECT("B"&amp;R60&amp;"")&amp;"*",INDIRECT("B"&amp;R60+1&amp;":B210"),0)+R60&amp;""),
IF(AND(LEFT(INDIRECT("B"&amp;R60&amp;""),3)="奈良屋",COUNTIF(B:B,"*奈良屋*")&gt;=2),
INDIRECT("H"&amp;R60&amp;"")+INDIRECT("H"&amp;MATCH("*"&amp;INDIRECT("B"&amp;R60&amp;"")&amp;"*",INDIRECT("B"&amp;R60+1&amp;":B210"),0)+R60&amp;"")
+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INDIRECT("H"&amp;R60&amp;"")))),"")</f>
        <v/>
      </c>
      <c r="X60" s="51" t="str">
        <f t="array" aca="1" ref="X60" ca="1">IF($R60&lt;&gt;"",
INDIRECT(""&amp;IF(COLUMN(I60)&lt;=26,CHAR(COLUMN(I60)+64),CHAR(INT((COLUMN(I60)-1)/26)+64)&amp;CHAR(MOD(COLUMN(I60)-1,26)+65))&amp;$R60&amp;""),"")</f>
        <v/>
      </c>
      <c r="Y60" s="51" t="str">
        <f t="array" aca="1" ref="Y60" ca="1">IF($R60&lt;&gt;"",
INDIRECT(""&amp;IF(COLUMN(J60)&lt;=26,CHAR(COLUMN(J60)+64),CHAR(INT((COLUMN(J60)-1)/26)+64)&amp;CHAR(MOD(COLUMN(J60)-1,26)+65))&amp;$R60&amp;""),"")</f>
        <v/>
      </c>
      <c r="Z60" s="51" t="str">
        <f t="shared" ca="1" si="2"/>
        <v/>
      </c>
      <c r="AA60" s="51" t="str">
        <f t="shared" ca="1" si="3"/>
        <v/>
      </c>
      <c r="AB60" s="51" t="str">
        <f t="array" aca="1" ref="AB60" ca="1">IF($R60&lt;&gt;"",
IF(AND(COUNTIF(INDIRECT("B"&amp;R60&amp;""),"*雙葉*"),COUNTIF(B:B,"*雙葉*")&gt;=2),
INDIRECT("M"&amp;R60&amp;"")+INDIRECT("M"&amp;MATCH("雙葉'",INDIRECT("B"&amp;R60+1&amp;":B210"),0)+R60&amp;""),
IF(AND(LEFT(INDIRECT("B"&amp;R60&amp;""),2)="博多",COUNTIF(B:B,"*博多*")&gt;=2),
INDIRECT("M"&amp;R60&amp;"")+INDIRECT("M"&amp;MATCH("*"&amp;INDIRECT("B"&amp;R60&amp;"")&amp;"*",INDIRECT("B"&amp;R60+1&amp;":B210"),0)+R60&amp;""),
IF(AND(LEFT(INDIRECT("B"&amp;R60&amp;""),3)="奈良屋",COUNTIF(B:B,"*奈良屋*")&gt;=2),
INDIRECT("M"&amp;R60&amp;"")+INDIRECT("M"&amp;MATCH("*"&amp;INDIRECT("B"&amp;R60&amp;"")&amp;"*",INDIRECT("B"&amp;R60+1&amp;":B210"),0)+R60&amp;"")
+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INDIRECT("M"&amp;R60&amp;"")))),"")</f>
        <v/>
      </c>
      <c r="AC60" s="51" t="str">
        <f t="shared" ca="1" si="4"/>
        <v/>
      </c>
      <c r="AD60" s="51" t="str">
        <f t="shared" ca="1" si="5"/>
        <v/>
      </c>
      <c r="AE60" s="51" t="str">
        <f t="shared" ca="1" si="6"/>
        <v/>
      </c>
      <c r="AF60" s="51" t="str">
        <f t="shared" ca="1" si="7"/>
        <v/>
      </c>
      <c r="AG60" s="51" t="str">
        <f t="shared" ca="1" si="8"/>
        <v/>
      </c>
      <c r="AH60" s="191" t="str">
        <f t="shared" ca="1" si="9"/>
        <v/>
      </c>
      <c r="AI60" s="51" t="str">
        <f t="shared" ca="1" si="10"/>
        <v/>
      </c>
      <c r="AJ60" s="51" t="str">
        <f t="shared" ca="1" si="11"/>
        <v/>
      </c>
      <c r="AK60" s="51" t="str">
        <f t="shared" ca="1" si="12"/>
        <v/>
      </c>
      <c r="AL60" s="51" t="str">
        <f t="shared" ca="1" si="13"/>
        <v/>
      </c>
      <c r="AM60" s="51" t="str">
        <f t="shared" ca="1" si="14"/>
        <v/>
      </c>
      <c r="AN60" s="51" t="str">
        <f t="shared" ca="1" si="15"/>
        <v/>
      </c>
      <c r="AO60" s="51" t="str">
        <f t="shared" ca="1" si="16"/>
        <v/>
      </c>
      <c r="AP60" s="51" t="str">
        <f t="shared" ca="1" si="17"/>
        <v/>
      </c>
      <c r="AU60" s="51" t="str">
        <f t="shared" ca="1" si="18"/>
        <v/>
      </c>
    </row>
    <row r="61" spans="1:47" ht="18" customHeight="1">
      <c r="A61" s="177">
        <f t="shared" si="21"/>
        <v>127</v>
      </c>
      <c r="B61" s="52" t="str">
        <f t="shared" si="22"/>
        <v/>
      </c>
      <c r="C61" s="52" t="str">
        <f>IF(OR(クライアント抽出!B61&lt;&gt;"",クライアント抽出!E61&lt;&gt;""),クライアント抽出!A61,"")</f>
        <v/>
      </c>
      <c r="D61" s="52" t="str">
        <f t="array" aca="1" ref="D61" ca="1">IF(C61&lt;&gt;"",INDIRECT("クライアント抽出!"&amp;E61&amp;MATCH(C61,クライアント抽出!A:A,0)&amp;""),"")</f>
        <v/>
      </c>
      <c r="E61" s="52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53" t="str">
        <f ca="1">IF(D61&lt;&gt;"",
IF(COUNTIF(C61,"*雙葉*"),
IF(ROUND((H61-M61)
/IF(COUNTIF(D61,"*キャラ*"),
VLOOKUP("*キャラ*",商品マスタ一覧!$D:$E,2,FALSE),
IF(COUNTIF(D61,"*赤*"),
VLOOKUP("*赤*",商品マスタ一覧!$D:$E,2,FALSE),
VLOOKUP("*"&amp;D61&amp;"*",商品マスタ一覧!$D:$E,2,FALSE))),0)&lt;=0,1,
ROUND((H61-M61)
/IF(COUNTIF(D61,"*キャラ*"),
VLOOKUP("*キャラ*",商品マスタ一覧!$D:$E,2,FALSE),
IF(COUNTIF(D61,"*赤*"),
VLOOKUP("*赤*",商品マスタ一覧!$D:$E,2,FALSE),
VLOOKUP("*"&amp;D61&amp;"*",商品マスタ一覧!$D:$E,2,FALSE))),0)),
IF(OR(COUNTIF(D61,"*キャラ*"),COUNTIF(D61,"*赤*")),"",
IF(VLOOKUP("*"&amp;D61&amp;"*",商品マスタ一覧!$D:$E,2,FALSE)=0,"",
IF(ROUND((H61-M61)
/VLOOKUP("*"&amp;D61&amp;"*",商品マスタ一覧!$D:$E,2,FALSE),0)&lt;=0,1,
ROUND((H61-M61)
/VLOOKUP("*"&amp;D61&amp;"*",商品マスタ一覧!$D:$E,2,FALSE),0))))),"")</f>
        <v/>
      </c>
      <c r="G61" s="52" t="str">
        <f ca="1">IF(F61&lt;&gt;"",
IF(VALUE(H61-M61)&gt;VALUE(IF(COUNTIF(D61,"*キャラ*"),
VLOOKUP("*キャラ*",商品マスタ一覧!$D:$E,2,FALSE),
IF(COUNTIF(D61,"*赤*"),
VLOOKUP("*赤*",商品マスタ一覧!$D:$E,2,FALSE),
VLOOKUP("*"&amp;D61&amp;"*",商品マスタ一覧!$D:$E,2,FALSE)))*F61),
"+"&amp;(H61-M61)-IF(COUNTIF(D61,"*キャラ*"),
VLOOKUP("*キャラ*",商品マスタ一覧!$D:$E,2,FALSE),
IF(COUNTIF(D61,"*赤*"),
VLOOKUP("*赤*",商品マスタ一覧!$D:$E,2,FALSE),
VLOOKUP("*"&amp;D61&amp;"*",商品マスタ一覧!$D:$E,2,FALSE)))*F61,
(H61-M61)-IF(COUNTIF(D61,"*キャラ*"),
VLOOKUP("*キャラ*",商品マスタ一覧!$D:$E,2,FALSE),
IF(COUNTIF(D61,"*赤*"),
VLOOKUP("*赤*",商品マスタ一覧!$D:$E,2,FALSE),
VLOOKUP("*"&amp;D61&amp;"*",商品マスタ一覧!$D:$E,2,FALSE)))*F61),"")</f>
        <v/>
      </c>
      <c r="H61" s="175" t="str">
        <f>IF(C61&lt;&gt;"",
クライアント抽出!B61,"")</f>
        <v/>
      </c>
      <c r="I61" s="52" t="str">
        <f t="array" aca="1" ref="I61" ca="1">IF(C61&lt;&gt;"",
IF(O61=1,
IF(SUMPRODUCT(COUNTIF(クライアント抽出!P61:U61,クライアント抽出!P61:U61))&gt;COUNTA(クライアント抽出!P61:U61),
INDIRECT("数出表_Excel!"&amp;INDEX(_xlfn.UNIQUE(_xlfn._xlws.FILTER(クライアント抽出!P61:U61,COUNTIF(クライアント抽出!P61:U61,クライアント抽出!P61:U61)&gt;1)),1)&amp;L61&amp;""),0),クライアント抽出!E61),"")</f>
        <v/>
      </c>
      <c r="J61" s="52" t="str">
        <f>IF(C61&lt;&gt;"",
VLOOKUP(
"*"&amp;LEFT(IF(COUNTIF(D61,"*学食*"),"キャラ弁（学食）",
IF(COUNTIF(D61,"*赤*"),"赤",
IF(COUNTIF(D61,"*キャラ弁当*"),"キャラ弁当",D61))),4)&amp;"*",注文弁当の抽出!$E$1:$F$15,2,FALSE),"")</f>
        <v/>
      </c>
      <c r="K61" s="52" t="str">
        <f ca="1">IF(クライアント抽出!P61&lt;&gt;"",SUBSTITUTE(ADDRESS(1,(CODE(クライアント抽出!P61)-64)*2-1,4),"1",""),"")</f>
        <v/>
      </c>
      <c r="L61" s="52" t="str">
        <f>IF(C61&lt;&gt;"",クライアント抽出!I61,"")</f>
        <v/>
      </c>
      <c r="M61" s="52">
        <f t="array" aca="1" ref="M61" ca="1">IF(C61&lt;&gt;"",
IF(K61&lt;&gt;"",INDIRECT("'数出表_Excel（アレルギー入力）'!"&amp;K61&amp;L61-1&amp;""),),)</f>
        <v>0</v>
      </c>
      <c r="N61" s="52" t="str">
        <f>IF(C61&lt;&gt;"",IF(OR(COUNTIF('盛付札（関数）'!D61,"*赤*"),COUNTIF('盛付札（関数）'!D61,"*キャラ*")),1,
VLOOKUP("*"&amp;D61&amp;"*",商品マスタ一覧!D:H,5,FALSE)),"")</f>
        <v/>
      </c>
      <c r="O61" s="52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52">
        <f t="shared" si="0"/>
        <v>0</v>
      </c>
      <c r="Q61" s="52" t="b">
        <f t="shared" si="1"/>
        <v>0</v>
      </c>
      <c r="R61" s="51" t="str">
        <f t="array" aca="1" ref="R61" ca="1">IFERROR(SMALL(IF(P$1:P$307&lt;&gt;0,P$1:P$307),ROW(A61)),"")</f>
        <v/>
      </c>
      <c r="S61" s="51" t="str">
        <f t="array" aca="1" ref="S61" ca="1">IF($R61&lt;&gt;"",
SUBSTITUTE(SUBSTITUTE(INDIRECT("C"&amp;$R61&amp;"")," 週3ｺｰｽ","")," 週5ｺｰｽ",""),"")</f>
        <v/>
      </c>
      <c r="T61" s="51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91" t="str">
        <f t="array" aca="1" ref="U61" ca="1">IF($R61&lt;&gt;"",
INDIRECT("F"&amp;$R61&amp;""),"")</f>
        <v/>
      </c>
      <c r="V61" s="51" t="str">
        <f t="array" aca="1" ref="V61" ca="1">IF($R61&lt;&gt;"",
INDIRECT("G"&amp;$R61&amp;""),"")</f>
        <v/>
      </c>
      <c r="W61" s="51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IF(OR(COUNTIF(INDIRECT("B"&amp;R61&amp;""),"*雙葉先生*"),COUNTIF(INDIRECT("B"&amp;R61-1&amp;""),"*雙葉*")),INDIRECT("H"&amp;R61&amp;""),INDIRECT("H"&amp;R61&amp;"")+INDIRECT("H"&amp;MATCH("雙葉'",INDIRECT("B"&amp;R61+3&amp;":B210"),0)+2+R61&amp;"")),
IF(AND(LEFT(INDIRECT("B"&amp;R61&amp;""),2)="博多",COUNTIF(B:B,"*博多*")&gt;=2),
INDIRECT("H"&amp;R61&amp;"")+INDIRECT("H"&amp;MATCH("*"&amp;INDIRECT("B"&amp;R61&amp;"")&amp;"*",INDIRECT("B"&amp;R61+1&amp;":B210"),0)+R61&amp;""),
IF(AND(LEFT(INDIRECT("B"&amp;R61&amp;""),3)="奈良屋",COUNTIF(B:B,"*奈良屋*")&gt;=2),
INDIRECT("H"&amp;R61&amp;"")+INDIRECT("H"&amp;MATCH("*"&amp;INDIRECT("B"&amp;R61&amp;"")&amp;"*",INDIRECT("B"&amp;R61+1&amp;":B210"),0)+R61&amp;"")
+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INDIRECT("H"&amp;R61&amp;"")))),"")</f>
        <v/>
      </c>
      <c r="X61" s="51" t="str">
        <f t="array" aca="1" ref="X61" ca="1">IF($R61&lt;&gt;"",
INDIRECT(""&amp;IF(COLUMN(I61)&lt;=26,CHAR(COLUMN(I61)+64),CHAR(INT((COLUMN(I61)-1)/26)+64)&amp;CHAR(MOD(COLUMN(I61)-1,26)+65))&amp;$R61&amp;""),"")</f>
        <v/>
      </c>
      <c r="Y61" s="51" t="str">
        <f t="array" aca="1" ref="Y61" ca="1">IF($R61&lt;&gt;"",
INDIRECT(""&amp;IF(COLUMN(J61)&lt;=26,CHAR(COLUMN(J61)+64),CHAR(INT((COLUMN(J61)-1)/26)+64)&amp;CHAR(MOD(COLUMN(J61)-1,26)+65))&amp;$R61&amp;""),"")</f>
        <v/>
      </c>
      <c r="Z61" s="51" t="str">
        <f t="shared" ca="1" si="2"/>
        <v/>
      </c>
      <c r="AA61" s="51" t="str">
        <f t="shared" ca="1" si="3"/>
        <v/>
      </c>
      <c r="AB61" s="51" t="str">
        <f t="array" aca="1" ref="AB61" ca="1">IF($R61&lt;&gt;"",
IF(AND(COUNTIF(INDIRECT("B"&amp;R61&amp;""),"*雙葉*"),COUNTIF(B:B,"*雙葉*")&gt;=2),
INDIRECT("M"&amp;R61&amp;"")+INDIRECT("M"&amp;MATCH("雙葉'",INDIRECT("B"&amp;R61+1&amp;":B210"),0)+R61&amp;""),
IF(AND(LEFT(INDIRECT("B"&amp;R61&amp;""),2)="博多",COUNTIF(B:B,"*博多*")&gt;=2),
INDIRECT("M"&amp;R61&amp;"")+INDIRECT("M"&amp;MATCH("*"&amp;INDIRECT("B"&amp;R61&amp;"")&amp;"*",INDIRECT("B"&amp;R61+1&amp;":B210"),0)+R61&amp;""),
IF(AND(LEFT(INDIRECT("B"&amp;R61&amp;""),3)="奈良屋",COUNTIF(B:B,"*奈良屋*")&gt;=2),
INDIRECT("M"&amp;R61&amp;"")+INDIRECT("M"&amp;MATCH("*"&amp;INDIRECT("B"&amp;R61&amp;"")&amp;"*",INDIRECT("B"&amp;R61+1&amp;":B210"),0)+R61&amp;"")
+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INDIRECT("M"&amp;R61&amp;"")))),"")</f>
        <v/>
      </c>
      <c r="AC61" s="51" t="str">
        <f t="shared" ca="1" si="4"/>
        <v/>
      </c>
      <c r="AD61" s="51" t="str">
        <f t="shared" ca="1" si="5"/>
        <v/>
      </c>
      <c r="AE61" s="51" t="str">
        <f t="shared" ca="1" si="6"/>
        <v/>
      </c>
      <c r="AF61" s="51" t="str">
        <f t="shared" ca="1" si="7"/>
        <v/>
      </c>
      <c r="AG61" s="51" t="str">
        <f t="shared" ca="1" si="8"/>
        <v/>
      </c>
      <c r="AH61" s="191" t="str">
        <f t="shared" ca="1" si="9"/>
        <v/>
      </c>
      <c r="AI61" s="51" t="str">
        <f t="shared" ca="1" si="10"/>
        <v/>
      </c>
      <c r="AJ61" s="51" t="str">
        <f t="shared" ca="1" si="11"/>
        <v/>
      </c>
      <c r="AK61" s="51" t="str">
        <f t="shared" ca="1" si="12"/>
        <v/>
      </c>
      <c r="AL61" s="51" t="str">
        <f t="shared" ca="1" si="13"/>
        <v/>
      </c>
      <c r="AM61" s="51" t="str">
        <f t="shared" ca="1" si="14"/>
        <v/>
      </c>
      <c r="AN61" s="51" t="str">
        <f t="shared" ca="1" si="15"/>
        <v/>
      </c>
      <c r="AO61" s="51" t="str">
        <f t="shared" ca="1" si="16"/>
        <v/>
      </c>
      <c r="AP61" s="51" t="str">
        <f t="shared" ca="1" si="17"/>
        <v/>
      </c>
      <c r="AU61" s="51" t="str">
        <f t="shared" ca="1" si="18"/>
        <v/>
      </c>
    </row>
    <row r="62" spans="1:47" ht="22.2" customHeight="1">
      <c r="A62" s="177">
        <f t="shared" si="21"/>
        <v>129</v>
      </c>
      <c r="B62" s="52" t="str">
        <f t="shared" si="22"/>
        <v/>
      </c>
      <c r="C62" s="52" t="str">
        <f>IF(OR(クライアント抽出!B62&lt;&gt;"",クライアント抽出!E62&lt;&gt;""),クライアント抽出!A62,"")</f>
        <v/>
      </c>
      <c r="D62" s="52" t="str">
        <f t="array" aca="1" ref="D62" ca="1">IF(C62&lt;&gt;"",INDIRECT("クライアント抽出!"&amp;E62&amp;MATCH(C62,クライアント抽出!A:A,0)&amp;""),"")</f>
        <v/>
      </c>
      <c r="E62" s="52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53" t="str">
        <f ca="1">IF(D62&lt;&gt;"",
IF(COUNTIF(C62,"*雙葉*"),
IF(ROUND((H62-M62)
/IF(COUNTIF(D62,"*キャラ*"),
VLOOKUP("*キャラ*",商品マスタ一覧!$D:$E,2,FALSE),
IF(COUNTIF(D62,"*赤*"),
VLOOKUP("*赤*",商品マスタ一覧!$D:$E,2,FALSE),
VLOOKUP("*"&amp;D62&amp;"*",商品マスタ一覧!$D:$E,2,FALSE))),0)&lt;=0,1,
ROUND((H62-M62)
/IF(COUNTIF(D62,"*キャラ*"),
VLOOKUP("*キャラ*",商品マスタ一覧!$D:$E,2,FALSE),
IF(COUNTIF(D62,"*赤*"),
VLOOKUP("*赤*",商品マスタ一覧!$D:$E,2,FALSE),
VLOOKUP("*"&amp;D62&amp;"*",商品マスタ一覧!$D:$E,2,FALSE))),0)),
IF(OR(COUNTIF(D62,"*キャラ*"),COUNTIF(D62,"*赤*")),"",
IF(VLOOKUP("*"&amp;D62&amp;"*",商品マスタ一覧!$D:$E,2,FALSE)=0,"",
IF(ROUND((H62-M62)
/VLOOKUP("*"&amp;D62&amp;"*",商品マスタ一覧!$D:$E,2,FALSE),0)&lt;=0,1,
ROUND((H62-M62)
/VLOOKUP("*"&amp;D62&amp;"*",商品マスタ一覧!$D:$E,2,FALSE),0))))),"")</f>
        <v/>
      </c>
      <c r="G62" s="52" t="str">
        <f ca="1">IF(F62&lt;&gt;"",
IF(VALUE(H62-M62)&gt;VALUE(IF(COUNTIF(D62,"*キャラ*"),
VLOOKUP("*キャラ*",商品マスタ一覧!$D:$E,2,FALSE),
IF(COUNTIF(D62,"*赤*"),
VLOOKUP("*赤*",商品マスタ一覧!$D:$E,2,FALSE),
VLOOKUP("*"&amp;D62&amp;"*",商品マスタ一覧!$D:$E,2,FALSE)))*F62),
"+"&amp;(H62-M62)-IF(COUNTIF(D62,"*キャラ*"),
VLOOKUP("*キャラ*",商品マスタ一覧!$D:$E,2,FALSE),
IF(COUNTIF(D62,"*赤*"),
VLOOKUP("*赤*",商品マスタ一覧!$D:$E,2,FALSE),
VLOOKUP("*"&amp;D62&amp;"*",商品マスタ一覧!$D:$E,2,FALSE)))*F62,
(H62-M62)-IF(COUNTIF(D62,"*キャラ*"),
VLOOKUP("*キャラ*",商品マスタ一覧!$D:$E,2,FALSE),
IF(COUNTIF(D62,"*赤*"),
VLOOKUP("*赤*",商品マスタ一覧!$D:$E,2,FALSE),
VLOOKUP("*"&amp;D62&amp;"*",商品マスタ一覧!$D:$E,2,FALSE)))*F62),"")</f>
        <v/>
      </c>
      <c r="H62" s="175" t="str">
        <f>IF(C62&lt;&gt;"",
クライアント抽出!B62,"")</f>
        <v/>
      </c>
      <c r="I62" s="52" t="str">
        <f t="array" aca="1" ref="I62" ca="1">IF(C62&lt;&gt;"",
IF(O62=1,
IF(SUMPRODUCT(COUNTIF(クライアント抽出!P62:U62,クライアント抽出!P62:U62))&gt;COUNTA(クライアント抽出!P62:U62),
INDIRECT("数出表_Excel!"&amp;INDEX(_xlfn.UNIQUE(_xlfn._xlws.FILTER(クライアント抽出!P62:U62,COUNTIF(クライアント抽出!P62:U62,クライアント抽出!P62:U62)&gt;1)),1)&amp;L62&amp;""),0),クライアント抽出!E62),"")</f>
        <v/>
      </c>
      <c r="J62" s="52" t="str">
        <f>IF(C62&lt;&gt;"",
VLOOKUP(
"*"&amp;LEFT(IF(COUNTIF(D62,"*学食*"),"キャラ弁（学食）",
IF(COUNTIF(D62,"*赤*"),"赤",
IF(COUNTIF(D62,"*キャラ弁当*"),"キャラ弁当",D62))),4)&amp;"*",注文弁当の抽出!$E$1:$F$15,2,FALSE),"")</f>
        <v/>
      </c>
      <c r="K62" s="52" t="str">
        <f ca="1">IF(クライアント抽出!P62&lt;&gt;"",SUBSTITUTE(ADDRESS(1,(CODE(クライアント抽出!P62)-64)*2-1,4),"1",""),"")</f>
        <v/>
      </c>
      <c r="L62" s="52" t="str">
        <f>IF(C62&lt;&gt;"",クライアント抽出!I62,"")</f>
        <v/>
      </c>
      <c r="M62" s="52">
        <f t="array" aca="1" ref="M62" ca="1">IF(C62&lt;&gt;"",
IF(K62&lt;&gt;"",INDIRECT("'数出表_Excel（アレルギー入力）'!"&amp;K62&amp;L62-1&amp;""),),)</f>
        <v>0</v>
      </c>
      <c r="N62" s="52" t="str">
        <f>IF(C62&lt;&gt;"",IF(OR(COUNTIF('盛付札（関数）'!D62,"*赤*"),COUNTIF('盛付札（関数）'!D62,"*キャラ*")),1,
VLOOKUP("*"&amp;D62&amp;"*",商品マスタ一覧!D:H,5,FALSE)),"")</f>
        <v/>
      </c>
      <c r="O62" s="52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52">
        <f t="shared" si="0"/>
        <v>0</v>
      </c>
      <c r="Q62" s="52" t="b">
        <f t="shared" si="1"/>
        <v>0</v>
      </c>
      <c r="R62" s="51" t="str">
        <f t="array" aca="1" ref="R62" ca="1">IFERROR(SMALL(IF(P$1:P$307&lt;&gt;0,P$1:P$307),ROW(A62)),"")</f>
        <v/>
      </c>
      <c r="S62" s="51" t="str">
        <f t="array" aca="1" ref="S62" ca="1">IF($R62&lt;&gt;"",
SUBSTITUTE(SUBSTITUTE(INDIRECT("C"&amp;$R62&amp;"")," 週3ｺｰｽ","")," 週5ｺｰｽ",""),"")</f>
        <v/>
      </c>
      <c r="T62" s="51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91" t="str">
        <f t="array" aca="1" ref="U62" ca="1">IF($R62&lt;&gt;"",
INDIRECT("F"&amp;$R62&amp;""),"")</f>
        <v/>
      </c>
      <c r="V62" s="51" t="str">
        <f t="array" aca="1" ref="V62" ca="1">IF($R62&lt;&gt;"",
INDIRECT("G"&amp;$R62&amp;""),"")</f>
        <v/>
      </c>
      <c r="W62" s="51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IF(OR(COUNTIF(INDIRECT("B"&amp;R62&amp;""),"*雙葉先生*"),COUNTIF(INDIRECT("B"&amp;R62-1&amp;""),"*雙葉*")),INDIRECT("H"&amp;R62&amp;""),INDIRECT("H"&amp;R62&amp;"")+INDIRECT("H"&amp;MATCH("雙葉'",INDIRECT("B"&amp;R62+3&amp;":B210"),0)+2+R62&amp;"")),
IF(AND(LEFT(INDIRECT("B"&amp;R62&amp;""),2)="博多",COUNTIF(B:B,"*博多*")&gt;=2),
INDIRECT("H"&amp;R62&amp;"")+INDIRECT("H"&amp;MATCH("*"&amp;INDIRECT("B"&amp;R62&amp;"")&amp;"*",INDIRECT("B"&amp;R62+1&amp;":B210"),0)+R62&amp;""),
IF(AND(LEFT(INDIRECT("B"&amp;R62&amp;""),3)="奈良屋",COUNTIF(B:B,"*奈良屋*")&gt;=2),
INDIRECT("H"&amp;R62&amp;"")+INDIRECT("H"&amp;MATCH("*"&amp;INDIRECT("B"&amp;R62&amp;"")&amp;"*",INDIRECT("B"&amp;R62+1&amp;":B210"),0)+R62&amp;"")
+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INDIRECT("H"&amp;R62&amp;"")))),"")</f>
        <v/>
      </c>
      <c r="X62" s="51" t="str">
        <f t="array" aca="1" ref="X62" ca="1">IF($R62&lt;&gt;"",
INDIRECT(""&amp;IF(COLUMN(I62)&lt;=26,CHAR(COLUMN(I62)+64),CHAR(INT((COLUMN(I62)-1)/26)+64)&amp;CHAR(MOD(COLUMN(I62)-1,26)+65))&amp;$R62&amp;""),"")</f>
        <v/>
      </c>
      <c r="Y62" s="51" t="str">
        <f t="array" aca="1" ref="Y62" ca="1">IF($R62&lt;&gt;"",
INDIRECT(""&amp;IF(COLUMN(J62)&lt;=26,CHAR(COLUMN(J62)+64),CHAR(INT((COLUMN(J62)-1)/26)+64)&amp;CHAR(MOD(COLUMN(J62)-1,26)+65))&amp;$R62&amp;""),"")</f>
        <v/>
      </c>
      <c r="Z62" s="51" t="str">
        <f t="shared" ca="1" si="2"/>
        <v/>
      </c>
      <c r="AA62" s="51" t="str">
        <f t="shared" ca="1" si="3"/>
        <v/>
      </c>
      <c r="AB62" s="51" t="str">
        <f t="array" aca="1" ref="AB62" ca="1">IF($R62&lt;&gt;"",
IF(AND(COUNTIF(INDIRECT("B"&amp;R62&amp;""),"*雙葉*"),COUNTIF(B:B,"*雙葉*")&gt;=2),
INDIRECT("M"&amp;R62&amp;"")+INDIRECT("M"&amp;MATCH("雙葉'",INDIRECT("B"&amp;R62+1&amp;":B210"),0)+R62&amp;""),
IF(AND(LEFT(INDIRECT("B"&amp;R62&amp;""),2)="博多",COUNTIF(B:B,"*博多*")&gt;=2),
INDIRECT("M"&amp;R62&amp;"")+INDIRECT("M"&amp;MATCH("*"&amp;INDIRECT("B"&amp;R62&amp;"")&amp;"*",INDIRECT("B"&amp;R62+1&amp;":B210"),0)+R62&amp;""),
IF(AND(LEFT(INDIRECT("B"&amp;R62&amp;""),3)="奈良屋",COUNTIF(B:B,"*奈良屋*")&gt;=2),
INDIRECT("M"&amp;R62&amp;"")+INDIRECT("M"&amp;MATCH("*"&amp;INDIRECT("B"&amp;R62&amp;"")&amp;"*",INDIRECT("B"&amp;R62+1&amp;":B210"),0)+R62&amp;"")
+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INDIRECT("M"&amp;R62&amp;"")))),"")</f>
        <v/>
      </c>
      <c r="AC62" s="51" t="str">
        <f t="shared" ca="1" si="4"/>
        <v/>
      </c>
      <c r="AD62" s="51" t="str">
        <f t="shared" ca="1" si="5"/>
        <v/>
      </c>
      <c r="AE62" s="51" t="str">
        <f t="shared" ca="1" si="6"/>
        <v/>
      </c>
      <c r="AF62" s="51" t="str">
        <f t="shared" ca="1" si="7"/>
        <v/>
      </c>
      <c r="AG62" s="51" t="str">
        <f t="shared" ca="1" si="8"/>
        <v/>
      </c>
      <c r="AH62" s="191" t="str">
        <f t="shared" ca="1" si="9"/>
        <v/>
      </c>
      <c r="AI62" s="51" t="str">
        <f t="shared" ca="1" si="10"/>
        <v/>
      </c>
      <c r="AJ62" s="51" t="str">
        <f t="shared" ca="1" si="11"/>
        <v/>
      </c>
      <c r="AK62" s="51" t="str">
        <f t="shared" ca="1" si="12"/>
        <v/>
      </c>
      <c r="AL62" s="51" t="str">
        <f t="shared" ca="1" si="13"/>
        <v/>
      </c>
      <c r="AM62" s="51" t="str">
        <f t="shared" ca="1" si="14"/>
        <v/>
      </c>
      <c r="AN62" s="51" t="str">
        <f t="shared" ca="1" si="15"/>
        <v/>
      </c>
      <c r="AO62" s="51" t="str">
        <f t="shared" ca="1" si="16"/>
        <v/>
      </c>
      <c r="AP62" s="51" t="str">
        <f t="shared" ca="1" si="17"/>
        <v/>
      </c>
      <c r="AU62" s="51" t="str">
        <f t="shared" ca="1" si="18"/>
        <v/>
      </c>
    </row>
    <row r="63" spans="1:47" ht="21" customHeight="1">
      <c r="A63" s="177">
        <f t="shared" si="21"/>
        <v>131</v>
      </c>
      <c r="B63" s="52" t="str">
        <f t="shared" si="22"/>
        <v/>
      </c>
      <c r="C63" s="52" t="str">
        <f>IF(OR(クライアント抽出!B63&lt;&gt;"",クライアント抽出!E63&lt;&gt;""),クライアント抽出!A63,"")</f>
        <v/>
      </c>
      <c r="D63" s="52" t="str">
        <f t="array" aca="1" ref="D63" ca="1">IF(C63&lt;&gt;"",INDIRECT("クライアント抽出!"&amp;E63&amp;MATCH(C63,クライアント抽出!A:A,0)&amp;""),"")</f>
        <v/>
      </c>
      <c r="E63" s="52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53" t="str">
        <f ca="1">IF(D63&lt;&gt;"",
IF(COUNTIF(C63,"*雙葉*"),
IF(ROUND((H63-M63)
/IF(COUNTIF(D63,"*キャラ*"),
VLOOKUP("*キャラ*",商品マスタ一覧!$D:$E,2,FALSE),
IF(COUNTIF(D63,"*赤*"),
VLOOKUP("*赤*",商品マスタ一覧!$D:$E,2,FALSE),
VLOOKUP("*"&amp;D63&amp;"*",商品マスタ一覧!$D:$E,2,FALSE))),0)&lt;=0,1,
ROUND((H63-M63)
/IF(COUNTIF(D63,"*キャラ*"),
VLOOKUP("*キャラ*",商品マスタ一覧!$D:$E,2,FALSE),
IF(COUNTIF(D63,"*赤*"),
VLOOKUP("*赤*",商品マスタ一覧!$D:$E,2,FALSE),
VLOOKUP("*"&amp;D63&amp;"*",商品マスタ一覧!$D:$E,2,FALSE))),0)),
IF(OR(COUNTIF(D63,"*キャラ*"),COUNTIF(D63,"*赤*")),"",
IF(VLOOKUP("*"&amp;D63&amp;"*",商品マスタ一覧!$D:$E,2,FALSE)=0,"",
IF(ROUND((H63-M63)
/VLOOKUP("*"&amp;D63&amp;"*",商品マスタ一覧!$D:$E,2,FALSE),0)&lt;=0,1,
ROUND((H63-M63)
/VLOOKUP("*"&amp;D63&amp;"*",商品マスタ一覧!$D:$E,2,FALSE),0))))),"")</f>
        <v/>
      </c>
      <c r="G63" s="52" t="str">
        <f ca="1">IF(F63&lt;&gt;"",
IF(VALUE(H63-M63)&gt;VALUE(IF(COUNTIF(D63,"*キャラ*"),
VLOOKUP("*キャラ*",商品マスタ一覧!$D:$E,2,FALSE),
IF(COUNTIF(D63,"*赤*"),
VLOOKUP("*赤*",商品マスタ一覧!$D:$E,2,FALSE),
VLOOKUP("*"&amp;D63&amp;"*",商品マスタ一覧!$D:$E,2,FALSE)))*F63),
"+"&amp;(H63-M63)-IF(COUNTIF(D63,"*キャラ*"),
VLOOKUP("*キャラ*",商品マスタ一覧!$D:$E,2,FALSE),
IF(COUNTIF(D63,"*赤*"),
VLOOKUP("*赤*",商品マスタ一覧!$D:$E,2,FALSE),
VLOOKUP("*"&amp;D63&amp;"*",商品マスタ一覧!$D:$E,2,FALSE)))*F63,
(H63-M63)-IF(COUNTIF(D63,"*キャラ*"),
VLOOKUP("*キャラ*",商品マスタ一覧!$D:$E,2,FALSE),
IF(COUNTIF(D63,"*赤*"),
VLOOKUP("*赤*",商品マスタ一覧!$D:$E,2,FALSE),
VLOOKUP("*"&amp;D63&amp;"*",商品マスタ一覧!$D:$E,2,FALSE)))*F63),"")</f>
        <v/>
      </c>
      <c r="H63" s="175" t="str">
        <f>IF(C63&lt;&gt;"",
クライアント抽出!B63,"")</f>
        <v/>
      </c>
      <c r="I63" s="52" t="str">
        <f t="array" aca="1" ref="I63" ca="1">IF(C63&lt;&gt;"",
IF(O63=1,
IF(SUMPRODUCT(COUNTIF(クライアント抽出!P63:U63,クライアント抽出!P63:U63))&gt;COUNTA(クライアント抽出!P63:U63),
INDIRECT("数出表_Excel!"&amp;INDEX(_xlfn.UNIQUE(_xlfn._xlws.FILTER(クライアント抽出!P63:U63,COUNTIF(クライアント抽出!P63:U63,クライアント抽出!P63:U63)&gt;1)),1)&amp;L63&amp;""),0),クライアント抽出!E63),"")</f>
        <v/>
      </c>
      <c r="J63" s="52" t="str">
        <f>IF(C63&lt;&gt;"",
VLOOKUP(
"*"&amp;LEFT(IF(COUNTIF(D63,"*学食*"),"キャラ弁（学食）",
IF(COUNTIF(D63,"*赤*"),"赤",
IF(COUNTIF(D63,"*キャラ弁当*"),"キャラ弁当",D63))),4)&amp;"*",注文弁当の抽出!$E$1:$F$15,2,FALSE),"")</f>
        <v/>
      </c>
      <c r="K63" s="52" t="str">
        <f ca="1">IF(クライアント抽出!P63&lt;&gt;"",SUBSTITUTE(ADDRESS(1,(CODE(クライアント抽出!P63)-64)*2-1,4),"1",""),"")</f>
        <v/>
      </c>
      <c r="L63" s="52" t="str">
        <f>IF(C63&lt;&gt;"",クライアント抽出!I63,"")</f>
        <v/>
      </c>
      <c r="M63" s="52">
        <f t="array" aca="1" ref="M63" ca="1">IF(C63&lt;&gt;"",
IF(K63&lt;&gt;"",INDIRECT("'数出表_Excel（アレルギー入力）'!"&amp;K63&amp;L63-1&amp;""),),)</f>
        <v>0</v>
      </c>
      <c r="N63" s="52" t="str">
        <f>IF(C63&lt;&gt;"",IF(OR(COUNTIF('盛付札（関数）'!D63,"*赤*"),COUNTIF('盛付札（関数）'!D63,"*キャラ*")),1,
VLOOKUP("*"&amp;D63&amp;"*",商品マスタ一覧!D:H,5,FALSE)),"")</f>
        <v/>
      </c>
      <c r="O63" s="52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52">
        <f t="shared" si="0"/>
        <v>0</v>
      </c>
      <c r="Q63" s="52" t="b">
        <f t="shared" si="1"/>
        <v>0</v>
      </c>
      <c r="R63" s="51" t="str">
        <f t="array" aca="1" ref="R63" ca="1">IFERROR(SMALL(IF(P$1:P$307&lt;&gt;0,P$1:P$307),ROW(A63)),"")</f>
        <v/>
      </c>
      <c r="S63" s="51" t="str">
        <f t="array" aca="1" ref="S63" ca="1">IF($R63&lt;&gt;"",
SUBSTITUTE(SUBSTITUTE(INDIRECT("C"&amp;$R63&amp;"")," 週3ｺｰｽ","")," 週5ｺｰｽ",""),"")</f>
        <v/>
      </c>
      <c r="T63" s="51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91" t="str">
        <f t="array" aca="1" ref="U63" ca="1">IF($R63&lt;&gt;"",
INDIRECT("F"&amp;$R63&amp;""),"")</f>
        <v/>
      </c>
      <c r="V63" s="51" t="str">
        <f t="array" aca="1" ref="V63" ca="1">IF($R63&lt;&gt;"",
INDIRECT("G"&amp;$R63&amp;""),"")</f>
        <v/>
      </c>
      <c r="W63" s="51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IF(OR(COUNTIF(INDIRECT("B"&amp;R63&amp;""),"*雙葉先生*"),COUNTIF(INDIRECT("B"&amp;R63-1&amp;""),"*雙葉*")),INDIRECT("H"&amp;R63&amp;""),INDIRECT("H"&amp;R63&amp;"")+INDIRECT("H"&amp;MATCH("雙葉'",INDIRECT("B"&amp;R63+3&amp;":B210"),0)+2+R63&amp;"")),
IF(AND(LEFT(INDIRECT("B"&amp;R63&amp;""),2)="博多",COUNTIF(B:B,"*博多*")&gt;=2),
INDIRECT("H"&amp;R63&amp;"")+INDIRECT("H"&amp;MATCH("*"&amp;INDIRECT("B"&amp;R63&amp;"")&amp;"*",INDIRECT("B"&amp;R63+1&amp;":B210"),0)+R63&amp;""),
IF(AND(LEFT(INDIRECT("B"&amp;R63&amp;""),3)="奈良屋",COUNTIF(B:B,"*奈良屋*")&gt;=2),
INDIRECT("H"&amp;R63&amp;"")+INDIRECT("H"&amp;MATCH("*"&amp;INDIRECT("B"&amp;R63&amp;"")&amp;"*",INDIRECT("B"&amp;R63+1&amp;":B210"),0)+R63&amp;"")
+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INDIRECT("H"&amp;R63&amp;"")))),"")</f>
        <v/>
      </c>
      <c r="X63" s="51" t="str">
        <f t="array" aca="1" ref="X63" ca="1">IF($R63&lt;&gt;"",
INDIRECT(""&amp;IF(COLUMN(I63)&lt;=26,CHAR(COLUMN(I63)+64),CHAR(INT((COLUMN(I63)-1)/26)+64)&amp;CHAR(MOD(COLUMN(I63)-1,26)+65))&amp;$R63&amp;""),"")</f>
        <v/>
      </c>
      <c r="Y63" s="51" t="str">
        <f t="array" aca="1" ref="Y63" ca="1">IF($R63&lt;&gt;"",
INDIRECT(""&amp;IF(COLUMN(J63)&lt;=26,CHAR(COLUMN(J63)+64),CHAR(INT((COLUMN(J63)-1)/26)+64)&amp;CHAR(MOD(COLUMN(J63)-1,26)+65))&amp;$R63&amp;""),"")</f>
        <v/>
      </c>
      <c r="Z63" s="51" t="str">
        <f t="shared" ca="1" si="2"/>
        <v/>
      </c>
      <c r="AA63" s="51" t="str">
        <f t="shared" ca="1" si="3"/>
        <v/>
      </c>
      <c r="AB63" s="51" t="str">
        <f t="array" aca="1" ref="AB63" ca="1">IF($R63&lt;&gt;"",
IF(AND(COUNTIF(INDIRECT("B"&amp;R63&amp;""),"*雙葉*"),COUNTIF(B:B,"*雙葉*")&gt;=2),
INDIRECT("M"&amp;R63&amp;"")+INDIRECT("M"&amp;MATCH("雙葉'",INDIRECT("B"&amp;R63+1&amp;":B210"),0)+R63&amp;""),
IF(AND(LEFT(INDIRECT("B"&amp;R63&amp;""),2)="博多",COUNTIF(B:B,"*博多*")&gt;=2),
INDIRECT("M"&amp;R63&amp;"")+INDIRECT("M"&amp;MATCH("*"&amp;INDIRECT("B"&amp;R63&amp;"")&amp;"*",INDIRECT("B"&amp;R63+1&amp;":B210"),0)+R63&amp;""),
IF(AND(LEFT(INDIRECT("B"&amp;R63&amp;""),3)="奈良屋",COUNTIF(B:B,"*奈良屋*")&gt;=2),
INDIRECT("M"&amp;R63&amp;"")+INDIRECT("M"&amp;MATCH("*"&amp;INDIRECT("B"&amp;R63&amp;"")&amp;"*",INDIRECT("B"&amp;R63+1&amp;":B210"),0)+R63&amp;"")
+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INDIRECT("M"&amp;R63&amp;"")))),"")</f>
        <v/>
      </c>
      <c r="AC63" s="51" t="str">
        <f t="shared" ca="1" si="4"/>
        <v/>
      </c>
      <c r="AD63" s="51" t="str">
        <f t="shared" ca="1" si="5"/>
        <v/>
      </c>
      <c r="AE63" s="51" t="str">
        <f t="shared" ca="1" si="6"/>
        <v/>
      </c>
      <c r="AF63" s="51" t="str">
        <f t="shared" ca="1" si="7"/>
        <v/>
      </c>
      <c r="AG63" s="51" t="str">
        <f t="shared" ca="1" si="8"/>
        <v/>
      </c>
      <c r="AH63" s="191" t="str">
        <f t="shared" ca="1" si="9"/>
        <v/>
      </c>
      <c r="AI63" s="51" t="str">
        <f t="shared" ca="1" si="10"/>
        <v/>
      </c>
      <c r="AJ63" s="51" t="str">
        <f t="shared" ca="1" si="11"/>
        <v/>
      </c>
      <c r="AK63" s="51" t="str">
        <f t="shared" ca="1" si="12"/>
        <v/>
      </c>
      <c r="AL63" s="51" t="str">
        <f t="shared" ca="1" si="13"/>
        <v/>
      </c>
      <c r="AM63" s="51" t="str">
        <f t="shared" ca="1" si="14"/>
        <v/>
      </c>
      <c r="AN63" s="51" t="str">
        <f t="shared" ca="1" si="15"/>
        <v/>
      </c>
      <c r="AO63" s="51" t="str">
        <f t="shared" ca="1" si="16"/>
        <v/>
      </c>
      <c r="AP63" s="51" t="str">
        <f t="shared" ca="1" si="17"/>
        <v/>
      </c>
      <c r="AU63" s="51" t="str">
        <f t="shared" ca="1" si="18"/>
        <v/>
      </c>
    </row>
    <row r="64" spans="1:47" ht="18" customHeight="1">
      <c r="A64" s="177">
        <f t="shared" si="21"/>
        <v>133</v>
      </c>
      <c r="B64" s="52" t="str">
        <f t="shared" si="22"/>
        <v/>
      </c>
      <c r="C64" s="52" t="str">
        <f>IF(OR(クライアント抽出!B64&lt;&gt;"",クライアント抽出!E64&lt;&gt;""),クライアント抽出!A64,"")</f>
        <v/>
      </c>
      <c r="D64" s="52" t="str">
        <f t="array" aca="1" ref="D64" ca="1">IF(C64&lt;&gt;"",INDIRECT("クライアント抽出!"&amp;E64&amp;MATCH(C64,クライアント抽出!A:A,0)&amp;""),"")</f>
        <v/>
      </c>
      <c r="E64" s="52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53" t="str">
        <f ca="1">IF(D64&lt;&gt;"",
IF(COUNTIF(C64,"*雙葉*"),
IF(ROUND((H64-M64)
/IF(COUNTIF(D64,"*キャラ*"),
VLOOKUP("*キャラ*",商品マスタ一覧!$D:$E,2,FALSE),
IF(COUNTIF(D64,"*赤*"),
VLOOKUP("*赤*",商品マスタ一覧!$D:$E,2,FALSE),
VLOOKUP("*"&amp;D64&amp;"*",商品マスタ一覧!$D:$E,2,FALSE))),0)&lt;=0,1,
ROUND((H64-M64)
/IF(COUNTIF(D64,"*キャラ*"),
VLOOKUP("*キャラ*",商品マスタ一覧!$D:$E,2,FALSE),
IF(COUNTIF(D64,"*赤*"),
VLOOKUP("*赤*",商品マスタ一覧!$D:$E,2,FALSE),
VLOOKUP("*"&amp;D64&amp;"*",商品マスタ一覧!$D:$E,2,FALSE))),0)),
IF(OR(COUNTIF(D64,"*キャラ*"),COUNTIF(D64,"*赤*")),"",
IF(VLOOKUP("*"&amp;D64&amp;"*",商品マスタ一覧!$D:$E,2,FALSE)=0,"",
IF(ROUND((H64-M64)
/VLOOKUP("*"&amp;D64&amp;"*",商品マスタ一覧!$D:$E,2,FALSE),0)&lt;=0,1,
ROUND((H64-M64)
/VLOOKUP("*"&amp;D64&amp;"*",商品マスタ一覧!$D:$E,2,FALSE),0))))),"")</f>
        <v/>
      </c>
      <c r="G64" s="52" t="str">
        <f ca="1">IF(F64&lt;&gt;"",
IF(VALUE(H64-M64)&gt;VALUE(IF(COUNTIF(D64,"*キャラ*"),
VLOOKUP("*キャラ*",商品マスタ一覧!$D:$E,2,FALSE),
IF(COUNTIF(D64,"*赤*"),
VLOOKUP("*赤*",商品マスタ一覧!$D:$E,2,FALSE),
VLOOKUP("*"&amp;D64&amp;"*",商品マスタ一覧!$D:$E,2,FALSE)))*F64),
"+"&amp;(H64-M64)-IF(COUNTIF(D64,"*キャラ*"),
VLOOKUP("*キャラ*",商品マスタ一覧!$D:$E,2,FALSE),
IF(COUNTIF(D64,"*赤*"),
VLOOKUP("*赤*",商品マスタ一覧!$D:$E,2,FALSE),
VLOOKUP("*"&amp;D64&amp;"*",商品マスタ一覧!$D:$E,2,FALSE)))*F64,
(H64-M64)-IF(COUNTIF(D64,"*キャラ*"),
VLOOKUP("*キャラ*",商品マスタ一覧!$D:$E,2,FALSE),
IF(COUNTIF(D64,"*赤*"),
VLOOKUP("*赤*",商品マスタ一覧!$D:$E,2,FALSE),
VLOOKUP("*"&amp;D64&amp;"*",商品マスタ一覧!$D:$E,2,FALSE)))*F64),"")</f>
        <v/>
      </c>
      <c r="H64" s="175" t="str">
        <f>IF(C64&lt;&gt;"",
クライアント抽出!B64,"")</f>
        <v/>
      </c>
      <c r="I64" s="52" t="str">
        <f t="array" aca="1" ref="I64" ca="1">IF(C64&lt;&gt;"",
IF(O64=1,
IF(SUMPRODUCT(COUNTIF(クライアント抽出!P64:U64,クライアント抽出!P64:U64))&gt;COUNTA(クライアント抽出!P64:U64),
INDIRECT("数出表_Excel!"&amp;INDEX(_xlfn.UNIQUE(_xlfn._xlws.FILTER(クライアント抽出!P64:U64,COUNTIF(クライアント抽出!P64:U64,クライアント抽出!P64:U64)&gt;1)),1)&amp;L64&amp;""),0),クライアント抽出!E64),"")</f>
        <v/>
      </c>
      <c r="J64" s="52" t="str">
        <f>IF(C64&lt;&gt;"",
VLOOKUP(
"*"&amp;LEFT(IF(COUNTIF(D64,"*学食*"),"キャラ弁（学食）",
IF(COUNTIF(D64,"*赤*"),"赤",
IF(COUNTIF(D64,"*キャラ弁当*"),"キャラ弁当",D64))),4)&amp;"*",注文弁当の抽出!$E$1:$F$15,2,FALSE),"")</f>
        <v/>
      </c>
      <c r="K64" s="52" t="str">
        <f ca="1">IF(クライアント抽出!P64&lt;&gt;"",SUBSTITUTE(ADDRESS(1,(CODE(クライアント抽出!P64)-64)*2-1,4),"1",""),"")</f>
        <v/>
      </c>
      <c r="L64" s="52" t="str">
        <f>IF(C64&lt;&gt;"",クライアント抽出!I64,"")</f>
        <v/>
      </c>
      <c r="M64" s="52">
        <f t="array" aca="1" ref="M64" ca="1">IF(C64&lt;&gt;"",
IF(K64&lt;&gt;"",INDIRECT("'数出表_Excel（アレルギー入力）'!"&amp;K64&amp;L64-1&amp;""),),)</f>
        <v>0</v>
      </c>
      <c r="N64" s="52" t="str">
        <f>IF(C64&lt;&gt;"",IF(OR(COUNTIF('盛付札（関数）'!D64,"*赤*"),COUNTIF('盛付札（関数）'!D64,"*キャラ*")),1,
VLOOKUP("*"&amp;D64&amp;"*",商品マスタ一覧!D:H,5,FALSE)),"")</f>
        <v/>
      </c>
      <c r="O64" s="52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52">
        <f t="shared" si="0"/>
        <v>0</v>
      </c>
      <c r="Q64" s="52" t="b">
        <f t="shared" si="1"/>
        <v>0</v>
      </c>
      <c r="R64" s="51" t="str">
        <f t="array" aca="1" ref="R64" ca="1">IFERROR(SMALL(IF(P$1:P$307&lt;&gt;0,P$1:P$307),ROW(A64)),"")</f>
        <v/>
      </c>
      <c r="S64" s="51" t="str">
        <f t="array" aca="1" ref="S64" ca="1">IF($R64&lt;&gt;"",
SUBSTITUTE(SUBSTITUTE(INDIRECT("C"&amp;$R64&amp;"")," 週3ｺｰｽ","")," 週5ｺｰｽ",""),"")</f>
        <v/>
      </c>
      <c r="T64" s="51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91" t="str">
        <f t="array" aca="1" ref="U64" ca="1">IF($R64&lt;&gt;"",
INDIRECT("F"&amp;$R64&amp;""),"")</f>
        <v/>
      </c>
      <c r="V64" s="51" t="str">
        <f t="array" aca="1" ref="V64" ca="1">IF($R64&lt;&gt;"",
INDIRECT("G"&amp;$R64&amp;""),"")</f>
        <v/>
      </c>
      <c r="W64" s="51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IF(OR(COUNTIF(INDIRECT("B"&amp;R64&amp;""),"*雙葉先生*"),COUNTIF(INDIRECT("B"&amp;R64-1&amp;""),"*雙葉*")),INDIRECT("H"&amp;R64&amp;""),INDIRECT("H"&amp;R64&amp;"")+INDIRECT("H"&amp;MATCH("雙葉'",INDIRECT("B"&amp;R64+3&amp;":B210"),0)+2+R64&amp;"")),
IF(AND(LEFT(INDIRECT("B"&amp;R64&amp;""),2)="博多",COUNTIF(B:B,"*博多*")&gt;=2),
INDIRECT("H"&amp;R64&amp;"")+INDIRECT("H"&amp;MATCH("*"&amp;INDIRECT("B"&amp;R64&amp;"")&amp;"*",INDIRECT("B"&amp;R64+1&amp;":B210"),0)+R64&amp;""),
IF(AND(LEFT(INDIRECT("B"&amp;R64&amp;""),3)="奈良屋",COUNTIF(B:B,"*奈良屋*")&gt;=2),
INDIRECT("H"&amp;R64&amp;"")+INDIRECT("H"&amp;MATCH("*"&amp;INDIRECT("B"&amp;R64&amp;"")&amp;"*",INDIRECT("B"&amp;R64+1&amp;":B210"),0)+R64&amp;"")
+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INDIRECT("H"&amp;R64&amp;"")))),"")</f>
        <v/>
      </c>
      <c r="X64" s="51" t="str">
        <f t="array" aca="1" ref="X64" ca="1">IF($R64&lt;&gt;"",
INDIRECT(""&amp;IF(COLUMN(I64)&lt;=26,CHAR(COLUMN(I64)+64),CHAR(INT((COLUMN(I64)-1)/26)+64)&amp;CHAR(MOD(COLUMN(I64)-1,26)+65))&amp;$R64&amp;""),"")</f>
        <v/>
      </c>
      <c r="Y64" s="51" t="str">
        <f t="array" aca="1" ref="Y64" ca="1">IF($R64&lt;&gt;"",
INDIRECT(""&amp;IF(COLUMN(J64)&lt;=26,CHAR(COLUMN(J64)+64),CHAR(INT((COLUMN(J64)-1)/26)+64)&amp;CHAR(MOD(COLUMN(J64)-1,26)+65))&amp;$R64&amp;""),"")</f>
        <v/>
      </c>
      <c r="Z64" s="51" t="str">
        <f t="shared" ca="1" si="2"/>
        <v/>
      </c>
      <c r="AA64" s="51" t="str">
        <f t="shared" ca="1" si="3"/>
        <v/>
      </c>
      <c r="AB64" s="51" t="str">
        <f t="array" aca="1" ref="AB64" ca="1">IF($R64&lt;&gt;"",
IF(AND(COUNTIF(INDIRECT("B"&amp;R64&amp;""),"*雙葉*"),COUNTIF(B:B,"*雙葉*")&gt;=2),
INDIRECT("M"&amp;R64&amp;"")+INDIRECT("M"&amp;MATCH("雙葉'",INDIRECT("B"&amp;R64+1&amp;":B210"),0)+R64&amp;""),
IF(AND(LEFT(INDIRECT("B"&amp;R64&amp;""),2)="博多",COUNTIF(B:B,"*博多*")&gt;=2),
INDIRECT("M"&amp;R64&amp;"")+INDIRECT("M"&amp;MATCH("*"&amp;INDIRECT("B"&amp;R64&amp;"")&amp;"*",INDIRECT("B"&amp;R64+1&amp;":B210"),0)+R64&amp;""),
IF(AND(LEFT(INDIRECT("B"&amp;R64&amp;""),3)="奈良屋",COUNTIF(B:B,"*奈良屋*")&gt;=2),
INDIRECT("M"&amp;R64&amp;"")+INDIRECT("M"&amp;MATCH("*"&amp;INDIRECT("B"&amp;R64&amp;"")&amp;"*",INDIRECT("B"&amp;R64+1&amp;":B210"),0)+R64&amp;"")
+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INDIRECT("M"&amp;R64&amp;"")))),"")</f>
        <v/>
      </c>
      <c r="AC64" s="51" t="str">
        <f t="shared" ca="1" si="4"/>
        <v/>
      </c>
      <c r="AD64" s="51" t="str">
        <f t="shared" ca="1" si="5"/>
        <v/>
      </c>
      <c r="AE64" s="51" t="str">
        <f t="shared" ca="1" si="6"/>
        <v/>
      </c>
      <c r="AF64" s="51" t="str">
        <f t="shared" ca="1" si="7"/>
        <v/>
      </c>
      <c r="AG64" s="51" t="str">
        <f t="shared" ca="1" si="8"/>
        <v/>
      </c>
      <c r="AH64" s="191" t="str">
        <f t="shared" ca="1" si="9"/>
        <v/>
      </c>
      <c r="AI64" s="51" t="str">
        <f t="shared" ca="1" si="10"/>
        <v/>
      </c>
      <c r="AJ64" s="51" t="str">
        <f t="shared" ca="1" si="11"/>
        <v/>
      </c>
      <c r="AK64" s="51" t="str">
        <f t="shared" ca="1" si="12"/>
        <v/>
      </c>
      <c r="AL64" s="51" t="str">
        <f t="shared" ca="1" si="13"/>
        <v/>
      </c>
      <c r="AM64" s="51" t="str">
        <f t="shared" ca="1" si="14"/>
        <v/>
      </c>
      <c r="AN64" s="51" t="str">
        <f t="shared" ca="1" si="15"/>
        <v/>
      </c>
      <c r="AO64" s="51" t="str">
        <f t="shared" ca="1" si="16"/>
        <v/>
      </c>
      <c r="AP64" s="51" t="str">
        <f t="shared" ca="1" si="17"/>
        <v/>
      </c>
      <c r="AU64" s="51" t="str">
        <f t="shared" ca="1" si="18"/>
        <v/>
      </c>
    </row>
    <row r="65" spans="1:47" ht="18" customHeight="1">
      <c r="A65" s="177">
        <f t="shared" si="21"/>
        <v>135</v>
      </c>
      <c r="B65" s="52" t="str">
        <f t="shared" si="22"/>
        <v/>
      </c>
      <c r="C65" s="52" t="str">
        <f>IF(OR(クライアント抽出!B65&lt;&gt;"",クライアント抽出!E65&lt;&gt;""),クライアント抽出!A65,"")</f>
        <v/>
      </c>
      <c r="D65" s="52" t="str">
        <f t="array" aca="1" ref="D65" ca="1">IF(C65&lt;&gt;"",INDIRECT("クライアント抽出!"&amp;E65&amp;MATCH(C65,クライアント抽出!A:A,0)&amp;""),"")</f>
        <v/>
      </c>
      <c r="E65" s="52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53" t="str">
        <f ca="1">IF(D65&lt;&gt;"",
IF(COUNTIF(C65,"*雙葉*"),
IF(ROUND((H65-M65)
/IF(COUNTIF(D65,"*キャラ*"),
VLOOKUP("*キャラ*",商品マスタ一覧!$D:$E,2,FALSE),
IF(COUNTIF(D65,"*赤*"),
VLOOKUP("*赤*",商品マスタ一覧!$D:$E,2,FALSE),
VLOOKUP("*"&amp;D65&amp;"*",商品マスタ一覧!$D:$E,2,FALSE))),0)&lt;=0,1,
ROUND((H65-M65)
/IF(COUNTIF(D65,"*キャラ*"),
VLOOKUP("*キャラ*",商品マスタ一覧!$D:$E,2,FALSE),
IF(COUNTIF(D65,"*赤*"),
VLOOKUP("*赤*",商品マスタ一覧!$D:$E,2,FALSE),
VLOOKUP("*"&amp;D65&amp;"*",商品マスタ一覧!$D:$E,2,FALSE))),0)),
IF(OR(COUNTIF(D65,"*キャラ*"),COUNTIF(D65,"*赤*")),"",
IF(VLOOKUP("*"&amp;D65&amp;"*",商品マスタ一覧!$D:$E,2,FALSE)=0,"",
IF(ROUND((H65-M65)
/VLOOKUP("*"&amp;D65&amp;"*",商品マスタ一覧!$D:$E,2,FALSE),0)&lt;=0,1,
ROUND((H65-M65)
/VLOOKUP("*"&amp;D65&amp;"*",商品マスタ一覧!$D:$E,2,FALSE),0))))),"")</f>
        <v/>
      </c>
      <c r="G65" s="52" t="str">
        <f ca="1">IF(F65&lt;&gt;"",
IF(VALUE(H65-M65)&gt;VALUE(IF(COUNTIF(D65,"*キャラ*"),
VLOOKUP("*キャラ*",商品マスタ一覧!$D:$E,2,FALSE),
IF(COUNTIF(D65,"*赤*"),
VLOOKUP("*赤*",商品マスタ一覧!$D:$E,2,FALSE),
VLOOKUP("*"&amp;D65&amp;"*",商品マスタ一覧!$D:$E,2,FALSE)))*F65),
"+"&amp;(H65-M65)-IF(COUNTIF(D65,"*キャラ*"),
VLOOKUP("*キャラ*",商品マスタ一覧!$D:$E,2,FALSE),
IF(COUNTIF(D65,"*赤*"),
VLOOKUP("*赤*",商品マスタ一覧!$D:$E,2,FALSE),
VLOOKUP("*"&amp;D65&amp;"*",商品マスタ一覧!$D:$E,2,FALSE)))*F65,
(H65-M65)-IF(COUNTIF(D65,"*キャラ*"),
VLOOKUP("*キャラ*",商品マスタ一覧!$D:$E,2,FALSE),
IF(COUNTIF(D65,"*赤*"),
VLOOKUP("*赤*",商品マスタ一覧!$D:$E,2,FALSE),
VLOOKUP("*"&amp;D65&amp;"*",商品マスタ一覧!$D:$E,2,FALSE)))*F65),"")</f>
        <v/>
      </c>
      <c r="H65" s="175" t="str">
        <f>IF(C65&lt;&gt;"",
クライアント抽出!B65,"")</f>
        <v/>
      </c>
      <c r="I65" s="52" t="str">
        <f t="array" aca="1" ref="I65" ca="1">IF(C65&lt;&gt;"",
IF(O65=1,
IF(SUMPRODUCT(COUNTIF(クライアント抽出!P65:U65,クライアント抽出!P65:U65))&gt;COUNTA(クライアント抽出!P65:U65),
INDIRECT("数出表_Excel!"&amp;INDEX(_xlfn.UNIQUE(_xlfn._xlws.FILTER(クライアント抽出!P65:U65,COUNTIF(クライアント抽出!P65:U65,クライアント抽出!P65:U65)&gt;1)),1)&amp;L65&amp;""),0),クライアント抽出!E65),"")</f>
        <v/>
      </c>
      <c r="J65" s="52" t="str">
        <f>IF(C65&lt;&gt;"",
VLOOKUP(
"*"&amp;LEFT(IF(COUNTIF(D65,"*学食*"),"キャラ弁（学食）",
IF(COUNTIF(D65,"*赤*"),"赤",
IF(COUNTIF(D65,"*キャラ弁当*"),"キャラ弁当",D65))),4)&amp;"*",注文弁当の抽出!$E$1:$F$15,2,FALSE),"")</f>
        <v/>
      </c>
      <c r="K65" s="52" t="str">
        <f ca="1">IF(クライアント抽出!P65&lt;&gt;"",SUBSTITUTE(ADDRESS(1,(CODE(クライアント抽出!P65)-64)*2-1,4),"1",""),"")</f>
        <v/>
      </c>
      <c r="L65" s="52" t="str">
        <f>IF(C65&lt;&gt;"",クライアント抽出!I65,"")</f>
        <v/>
      </c>
      <c r="M65" s="52">
        <f t="array" aca="1" ref="M65" ca="1">IF(C65&lt;&gt;"",
IF(K65&lt;&gt;"",INDIRECT("'数出表_Excel（アレルギー入力）'!"&amp;K65&amp;L65-1&amp;""),),)</f>
        <v>0</v>
      </c>
      <c r="N65" s="52" t="str">
        <f>IF(C65&lt;&gt;"",IF(OR(COUNTIF('盛付札（関数）'!D65,"*赤*"),COUNTIF('盛付札（関数）'!D65,"*キャラ*")),1,
VLOOKUP("*"&amp;D65&amp;"*",商品マスタ一覧!D:H,5,FALSE)),"")</f>
        <v/>
      </c>
      <c r="O65" s="52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52">
        <f t="shared" ref="P65:P128" si="23">IF(COUNTIF(Q65,"TRUE"),
IF(OR(COUNTIF(B65,"*'*"),H65=0),0,ROW()),0)</f>
        <v>0</v>
      </c>
      <c r="Q65" s="52" t="b">
        <f t="shared" ref="Q65:Q128" si="24">IF(C65&lt;&gt;"",
IF(OR(N65=1,COUNTIF(D65,"*朝食*"),COUNTIF(D65,"*夕食*")),TRUE,FALSE),FALSE)</f>
        <v>0</v>
      </c>
      <c r="R65" s="51" t="str">
        <f t="array" aca="1" ref="R65" ca="1">IFERROR(SMALL(IF(P$1:P$307&lt;&gt;0,P$1:P$307),ROW(A65)),"")</f>
        <v/>
      </c>
      <c r="S65" s="51" t="str">
        <f t="array" aca="1" ref="S65" ca="1">IF($R65&lt;&gt;"",
SUBSTITUTE(SUBSTITUTE(INDIRECT("C"&amp;$R65&amp;"")," 週3ｺｰｽ","")," 週5ｺｰｽ",""),"")</f>
        <v/>
      </c>
      <c r="T65" s="51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91" t="str">
        <f t="array" aca="1" ref="U65" ca="1">IF($R65&lt;&gt;"",
INDIRECT("F"&amp;$R65&amp;""),"")</f>
        <v/>
      </c>
      <c r="V65" s="51" t="str">
        <f t="array" aca="1" ref="V65" ca="1">IF($R65&lt;&gt;"",
INDIRECT("G"&amp;$R65&amp;""),"")</f>
        <v/>
      </c>
      <c r="W65" s="51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IF(OR(COUNTIF(INDIRECT("B"&amp;R65&amp;""),"*雙葉先生*"),COUNTIF(INDIRECT("B"&amp;R65-1&amp;""),"*雙葉*")),INDIRECT("H"&amp;R65&amp;""),INDIRECT("H"&amp;R65&amp;"")+INDIRECT("H"&amp;MATCH("雙葉'",INDIRECT("B"&amp;R65+3&amp;":B210"),0)+2+R65&amp;"")),
IF(AND(LEFT(INDIRECT("B"&amp;R65&amp;""),2)="博多",COUNTIF(B:B,"*博多*")&gt;=2),
INDIRECT("H"&amp;R65&amp;"")+INDIRECT("H"&amp;MATCH("*"&amp;INDIRECT("B"&amp;R65&amp;"")&amp;"*",INDIRECT("B"&amp;R65+1&amp;":B210"),0)+R65&amp;""),
IF(AND(LEFT(INDIRECT("B"&amp;R65&amp;""),3)="奈良屋",COUNTIF(B:B,"*奈良屋*")&gt;=2),
INDIRECT("H"&amp;R65&amp;"")+INDIRECT("H"&amp;MATCH("*"&amp;INDIRECT("B"&amp;R65&amp;"")&amp;"*",INDIRECT("B"&amp;R65+1&amp;":B210"),0)+R65&amp;"")
+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INDIRECT("H"&amp;R65&amp;"")))),"")</f>
        <v/>
      </c>
      <c r="X65" s="51" t="str">
        <f t="array" aca="1" ref="X65" ca="1">IF($R65&lt;&gt;"",
INDIRECT(""&amp;IF(COLUMN(I65)&lt;=26,CHAR(COLUMN(I65)+64),CHAR(INT((COLUMN(I65)-1)/26)+64)&amp;CHAR(MOD(COLUMN(I65)-1,26)+65))&amp;$R65&amp;""),"")</f>
        <v/>
      </c>
      <c r="Y65" s="51" t="str">
        <f t="array" aca="1" ref="Y65" ca="1">IF($R65&lt;&gt;"",
INDIRECT(""&amp;IF(COLUMN(J65)&lt;=26,CHAR(COLUMN(J65)+64),CHAR(INT((COLUMN(J65)-1)/26)+64)&amp;CHAR(MOD(COLUMN(J65)-1,26)+65))&amp;$R65&amp;""),"")</f>
        <v/>
      </c>
      <c r="Z65" s="51" t="str">
        <f t="shared" ref="Z65:Z128" ca="1" si="25">IF(R65&lt;&gt;"",
IFERROR(INT(W65/Y65),""),"")</f>
        <v/>
      </c>
      <c r="AA65" s="51" t="str">
        <f t="shared" ref="AA65:AA128" ca="1" si="26">IFERROR(MOD(W65,Y65),"")</f>
        <v/>
      </c>
      <c r="AB65" s="51" t="str">
        <f t="array" aca="1" ref="AB65" ca="1">IF($R65&lt;&gt;"",
IF(AND(COUNTIF(INDIRECT("B"&amp;R65&amp;""),"*雙葉*"),COUNTIF(B:B,"*雙葉*")&gt;=2),
INDIRECT("M"&amp;R65&amp;"")+INDIRECT("M"&amp;MATCH("雙葉'",INDIRECT("B"&amp;R65+1&amp;":B210"),0)+R65&amp;""),
IF(AND(LEFT(INDIRECT("B"&amp;R65&amp;""),2)="博多",COUNTIF(B:B,"*博多*")&gt;=2),
INDIRECT("M"&amp;R65&amp;"")+INDIRECT("M"&amp;MATCH("*"&amp;INDIRECT("B"&amp;R65&amp;"")&amp;"*",INDIRECT("B"&amp;R65+1&amp;":B210"),0)+R65&amp;""),
IF(AND(LEFT(INDIRECT("B"&amp;R65&amp;""),3)="奈良屋",COUNTIF(B:B,"*奈良屋*")&gt;=2),
INDIRECT("M"&amp;R65&amp;"")+INDIRECT("M"&amp;MATCH("*"&amp;INDIRECT("B"&amp;R65&amp;"")&amp;"*",INDIRECT("B"&amp;R65+1&amp;":B210"),0)+R65&amp;"")
+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INDIRECT("M"&amp;R65&amp;"")))),"")</f>
        <v/>
      </c>
      <c r="AC65" s="51" t="str">
        <f t="shared" ref="AC65:AC128" ca="1" si="27">IF(S65&lt;&gt;"",INDEX(A:A, MATCH("*"&amp;LEFT(S65,4)&amp;"*", C:C, 0)),"")</f>
        <v/>
      </c>
      <c r="AD65" s="51" t="str">
        <f t="shared" ref="AD65:AD128" ca="1" si="28">IFERROR(INDEX(AC:AC,MATCH(SMALL($AU:$AU,ROW()+3),$AU:$AU,0)),"")</f>
        <v/>
      </c>
      <c r="AE65" s="51" t="str">
        <f t="shared" ref="AE65:AE128" ca="1" si="29">IFERROR(INDEX(R:R,MATCH(SMALL($AU:$AU,ROW()+3),$AU:$AU,0)),"")</f>
        <v/>
      </c>
      <c r="AF65" s="51" t="str">
        <f t="shared" ref="AF65:AF128" ca="1" si="30">IFERROR(INDEX(S:S,MATCH(SMALL($AU:$AU,ROW()+3),$AU:$AU,0)),"")</f>
        <v/>
      </c>
      <c r="AG65" s="51" t="str">
        <f t="shared" ref="AG65:AG128" ca="1" si="31">IFERROR(INDEX(T:T,MATCH(SMALL($AU:$AU,ROW()+3),$AU:$AU,0)),"")</f>
        <v/>
      </c>
      <c r="AH65" s="191" t="str">
        <f t="shared" ref="AH65:AH128" ca="1" si="32">IFERROR(INDEX(U:U,MATCH(SMALL($AU:$AU,ROW()+3),$AU:$AU,0)),"")</f>
        <v/>
      </c>
      <c r="AI65" s="51" t="str">
        <f t="shared" ref="AI65:AI128" ca="1" si="33">IFERROR(INDEX(V:V,MATCH(SMALL($AU:$AU,ROW()+3),$AU:$AU,0)),"")</f>
        <v/>
      </c>
      <c r="AJ65" s="51" t="str">
        <f t="shared" ref="AJ65:AJ128" ca="1" si="34">IFERROR(INDEX(W:W,MATCH(SMALL($AU:$AU,ROW()+3),$AU:$AU,0)),"")</f>
        <v/>
      </c>
      <c r="AK65" s="51" t="str">
        <f t="shared" ref="AK65:AK128" ca="1" si="35">IFERROR(INDEX(X:X,MATCH(SMALL($AU:$AU,ROW()+3),$AU:$AU,0)),"")</f>
        <v/>
      </c>
      <c r="AL65" s="51" t="str">
        <f t="shared" ref="AL65:AL128" ca="1" si="36">IFERROR(INDEX(Y:Y,MATCH(SMALL($AU:$AU,ROW()+3),$AU:$AU,0)),"")</f>
        <v/>
      </c>
      <c r="AM65" s="51" t="str">
        <f t="shared" ref="AM65:AM128" ca="1" si="37">IFERROR(INDEX(Z:Z,MATCH(SMALL($AU:$AU,ROW()+3),$AU:$AU,0)),"")</f>
        <v/>
      </c>
      <c r="AN65" s="51" t="str">
        <f t="shared" ref="AN65:AN128" ca="1" si="38">IFERROR(INDEX(AA:AA,MATCH(SMALL($AU:$AU,ROW()+3),$AU:$AU,0)),"")</f>
        <v/>
      </c>
      <c r="AO65" s="51" t="str">
        <f t="shared" ref="AO65:AO128" ca="1" si="39">IFERROR(INDEX(AB:AB,MATCH(SMALL($AU:$AU,ROW()+3),$AU:$AU,0)),"")</f>
        <v/>
      </c>
      <c r="AP65" s="51" t="str">
        <f t="shared" ref="AP65:AP128" ca="1" si="40">IFERROR(INDEX(AC:AC,MATCH(SMALL($AU:$AU,ROW()+3),$AU:$AU,0)),"")</f>
        <v/>
      </c>
      <c r="AU65" s="51" t="str">
        <f t="shared" ref="AU65:AU128" ca="1" si="41">IFERROR(IF(R65&gt;=215, 1000000+R65, AC65*1000+R65),"")</f>
        <v/>
      </c>
    </row>
    <row r="66" spans="1:47" ht="22.2" customHeight="1">
      <c r="A66" s="177">
        <f t="shared" si="21"/>
        <v>137</v>
      </c>
      <c r="B66" s="52" t="str">
        <f t="shared" ref="B66:B70" si="42">IF(COUNTIF(C66,"*雙葉*"),
IF(COUNTIF(C66,"*先生*"),"雙葉先生","雙葉"),
IF(COUNTIF(C66,"*社食*"),"社食'",
IF(LEFT(C66,2)="博多",
IF(IFERROR(TRIM(LEFT(C65,FIND("幼",C65)-1)),TRIM(C65))=IFERROR(TRIM(LEFT(C66,FIND("幼",C66)-1)),TRIM(C66)),
IFERROR(TRIM(LEFT(C66,FIND("幼",C66)-1)),TRIM(C66))&amp;"'",IFERROR(TRIM(LEFT(C66,FIND("幼",C66)-1)),TRIM(C66))),
IF(LEFT(C66,3)="奈良屋",
IF(TRIM(LEFT(C65,FIND("幼",C65)-1))=TRIM(LEFT(C66,FIND("幼",C66)-1)),
"奈良屋'","奈良屋"),""))))</f>
        <v/>
      </c>
      <c r="C66" s="52" t="str">
        <f>IF(OR(クライアント抽出!B66&lt;&gt;"",クライアント抽出!E66&lt;&gt;""),クライアント抽出!A66,"")</f>
        <v/>
      </c>
      <c r="D66" s="52" t="str">
        <f t="array" aca="1" ref="D66" ca="1">IF(C66&lt;&gt;"",INDIRECT("クライアント抽出!"&amp;E66&amp;MATCH(C66,クライアント抽出!A:A,0)&amp;""),"")</f>
        <v/>
      </c>
      <c r="E66" s="52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53" t="str">
        <f ca="1">IF(D66&lt;&gt;"",
IF(COUNTIF(C66,"*雙葉*"),
IF(ROUND((H66-M66)
/IF(COUNTIF(D66,"*キャラ*"),
VLOOKUP("*キャラ*",商品マスタ一覧!$D:$E,2,FALSE),
IF(COUNTIF(D66,"*赤*"),
VLOOKUP("*赤*",商品マスタ一覧!$D:$E,2,FALSE),
VLOOKUP("*"&amp;D66&amp;"*",商品マスタ一覧!$D:$E,2,FALSE))),0)&lt;=0,1,
ROUND((H66-M66)
/IF(COUNTIF(D66,"*キャラ*"),
VLOOKUP("*キャラ*",商品マスタ一覧!$D:$E,2,FALSE),
IF(COUNTIF(D66,"*赤*"),
VLOOKUP("*赤*",商品マスタ一覧!$D:$E,2,FALSE),
VLOOKUP("*"&amp;D66&amp;"*",商品マスタ一覧!$D:$E,2,FALSE))),0)),
IF(OR(COUNTIF(D66,"*キャラ*"),COUNTIF(D66,"*赤*")),"",
IF(VLOOKUP("*"&amp;D66&amp;"*",商品マスタ一覧!$D:$E,2,FALSE)=0,"",
IF(ROUND((H66-M66)
/VLOOKUP("*"&amp;D66&amp;"*",商品マスタ一覧!$D:$E,2,FALSE),0)&lt;=0,1,
ROUND((H66-M66)
/VLOOKUP("*"&amp;D66&amp;"*",商品マスタ一覧!$D:$E,2,FALSE),0))))),"")</f>
        <v/>
      </c>
      <c r="G66" s="52" t="str">
        <f ca="1">IF(F66&lt;&gt;"",
IF(VALUE(H66-M66)&gt;VALUE(IF(COUNTIF(D66,"*キャラ*"),
VLOOKUP("*キャラ*",商品マスタ一覧!$D:$E,2,FALSE),
IF(COUNTIF(D66,"*赤*"),
VLOOKUP("*赤*",商品マスタ一覧!$D:$E,2,FALSE),
VLOOKUP("*"&amp;D66&amp;"*",商品マスタ一覧!$D:$E,2,FALSE)))*F66),
"+"&amp;(H66-M66)-IF(COUNTIF(D66,"*キャラ*"),
VLOOKUP("*キャラ*",商品マスタ一覧!$D:$E,2,FALSE),
IF(COUNTIF(D66,"*赤*"),
VLOOKUP("*赤*",商品マスタ一覧!$D:$E,2,FALSE),
VLOOKUP("*"&amp;D66&amp;"*",商品マスタ一覧!$D:$E,2,FALSE)))*F66,
(H66-M66)-IF(COUNTIF(D66,"*キャラ*"),
VLOOKUP("*キャラ*",商品マスタ一覧!$D:$E,2,FALSE),
IF(COUNTIF(D66,"*赤*"),
VLOOKUP("*赤*",商品マスタ一覧!$D:$E,2,FALSE),
VLOOKUP("*"&amp;D66&amp;"*",商品マスタ一覧!$D:$E,2,FALSE)))*F66),"")</f>
        <v/>
      </c>
      <c r="H66" s="175" t="str">
        <f>IF(C66&lt;&gt;"",
クライアント抽出!B66,"")</f>
        <v/>
      </c>
      <c r="I66" s="52" t="str">
        <f t="array" aca="1" ref="I66" ca="1">IF(C66&lt;&gt;"",
IF(O66=1,
IF(SUMPRODUCT(COUNTIF(クライアント抽出!P66:U66,クライアント抽出!P66:U66))&gt;COUNTA(クライアント抽出!P66:U66),
INDIRECT("数出表_Excel!"&amp;INDEX(_xlfn.UNIQUE(_xlfn._xlws.FILTER(クライアント抽出!P66:U66,COUNTIF(クライアント抽出!P66:U66,クライアント抽出!P66:U66)&gt;1)),1)&amp;L66&amp;""),0),クライアント抽出!E66),"")</f>
        <v/>
      </c>
      <c r="J66" s="52" t="str">
        <f>IF(C66&lt;&gt;"",
VLOOKUP(
"*"&amp;LEFT(IF(COUNTIF(D66,"*学食*"),"キャラ弁（学食）",
IF(COUNTIF(D66,"*赤*"),"赤",
IF(COUNTIF(D66,"*キャラ弁当*"),"キャラ弁当",D66))),4)&amp;"*",注文弁当の抽出!$E$1:$F$15,2,FALSE),"")</f>
        <v/>
      </c>
      <c r="K66" s="52" t="str">
        <f ca="1">IF(クライアント抽出!P66&lt;&gt;"",SUBSTITUTE(ADDRESS(1,(CODE(クライアント抽出!P66)-64)*2-1,4),"1",""),"")</f>
        <v/>
      </c>
      <c r="L66" s="52" t="str">
        <f>IF(C66&lt;&gt;"",クライアント抽出!I66,"")</f>
        <v/>
      </c>
      <c r="M66" s="52">
        <f t="array" aca="1" ref="M66" ca="1">IF(C66&lt;&gt;"",
IF(K66&lt;&gt;"",INDIRECT("'数出表_Excel（アレルギー入力）'!"&amp;K66&amp;L66-1&amp;""),),)</f>
        <v>0</v>
      </c>
      <c r="N66" s="52" t="str">
        <f>IF(C66&lt;&gt;"",IF(OR(COUNTIF('盛付札（関数）'!D66,"*赤*"),COUNTIF('盛付札（関数）'!D66,"*キャラ*")),1,
VLOOKUP("*"&amp;D66&amp;"*",商品マスタ一覧!D:H,5,FALSE)),"")</f>
        <v/>
      </c>
      <c r="O66" s="52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52">
        <f t="shared" si="23"/>
        <v>0</v>
      </c>
      <c r="Q66" s="52" t="b">
        <f t="shared" si="24"/>
        <v>0</v>
      </c>
      <c r="R66" s="51" t="str">
        <f t="array" aca="1" ref="R66" ca="1">IFERROR(SMALL(IF(P$1:P$307&lt;&gt;0,P$1:P$307),ROW(A66)),"")</f>
        <v/>
      </c>
      <c r="S66" s="51" t="str">
        <f t="array" aca="1" ref="S66" ca="1">IF($R66&lt;&gt;"",
SUBSTITUTE(SUBSTITUTE(INDIRECT("C"&amp;$R66&amp;"")," 週3ｺｰｽ","")," 週5ｺｰｽ",""),"")</f>
        <v/>
      </c>
      <c r="T66" s="51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91" t="str">
        <f t="array" aca="1" ref="U66" ca="1">IF($R66&lt;&gt;"",
INDIRECT("F"&amp;$R66&amp;""),"")</f>
        <v/>
      </c>
      <c r="V66" s="51" t="str">
        <f t="array" aca="1" ref="V66" ca="1">IF($R66&lt;&gt;"",
INDIRECT("G"&amp;$R66&amp;""),"")</f>
        <v/>
      </c>
      <c r="W66" s="51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IF(OR(COUNTIF(INDIRECT("B"&amp;R66&amp;""),"*雙葉先生*"),COUNTIF(INDIRECT("B"&amp;R66-1&amp;""),"*雙葉*")),INDIRECT("H"&amp;R66&amp;""),INDIRECT("H"&amp;R66&amp;"")+INDIRECT("H"&amp;MATCH("雙葉'",INDIRECT("B"&amp;R66+3&amp;":B210"),0)+2+R66&amp;"")),
IF(AND(LEFT(INDIRECT("B"&amp;R66&amp;""),2)="博多",COUNTIF(B:B,"*博多*")&gt;=2),
INDIRECT("H"&amp;R66&amp;"")+INDIRECT("H"&amp;MATCH("*"&amp;INDIRECT("B"&amp;R66&amp;"")&amp;"*",INDIRECT("B"&amp;R66+1&amp;":B210"),0)+R66&amp;""),
IF(AND(LEFT(INDIRECT("B"&amp;R66&amp;""),3)="奈良屋",COUNTIF(B:B,"*奈良屋*")&gt;=2),
INDIRECT("H"&amp;R66&amp;"")+INDIRECT("H"&amp;MATCH("*"&amp;INDIRECT("B"&amp;R66&amp;"")&amp;"*",INDIRECT("B"&amp;R66+1&amp;":B210"),0)+R66&amp;"")
+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INDIRECT("H"&amp;R66&amp;"")))),"")</f>
        <v/>
      </c>
      <c r="X66" s="51" t="str">
        <f t="array" aca="1" ref="X66" ca="1">IF($R66&lt;&gt;"",
INDIRECT(""&amp;IF(COLUMN(I66)&lt;=26,CHAR(COLUMN(I66)+64),CHAR(INT((COLUMN(I66)-1)/26)+64)&amp;CHAR(MOD(COLUMN(I66)-1,26)+65))&amp;$R66&amp;""),"")</f>
        <v/>
      </c>
      <c r="Y66" s="51" t="str">
        <f t="array" aca="1" ref="Y66" ca="1">IF($R66&lt;&gt;"",
INDIRECT(""&amp;IF(COLUMN(J66)&lt;=26,CHAR(COLUMN(J66)+64),CHAR(INT((COLUMN(J66)-1)/26)+64)&amp;CHAR(MOD(COLUMN(J66)-1,26)+65))&amp;$R66&amp;""),"")</f>
        <v/>
      </c>
      <c r="Z66" s="51" t="str">
        <f t="shared" ca="1" si="25"/>
        <v/>
      </c>
      <c r="AA66" s="51" t="str">
        <f t="shared" ca="1" si="26"/>
        <v/>
      </c>
      <c r="AB66" s="51" t="str">
        <f t="array" aca="1" ref="AB66" ca="1">IF($R66&lt;&gt;"",
IF(AND(COUNTIF(INDIRECT("B"&amp;R66&amp;""),"*雙葉*"),COUNTIF(B:B,"*雙葉*")&gt;=2),
INDIRECT("M"&amp;R66&amp;"")+INDIRECT("M"&amp;MATCH("雙葉'",INDIRECT("B"&amp;R66+1&amp;":B210"),0)+R66&amp;""),
IF(AND(LEFT(INDIRECT("B"&amp;R66&amp;""),2)="博多",COUNTIF(B:B,"*博多*")&gt;=2),
INDIRECT("M"&amp;R66&amp;"")+INDIRECT("M"&amp;MATCH("*"&amp;INDIRECT("B"&amp;R66&amp;"")&amp;"*",INDIRECT("B"&amp;R66+1&amp;":B210"),0)+R66&amp;""),
IF(AND(LEFT(INDIRECT("B"&amp;R66&amp;""),3)="奈良屋",COUNTIF(B:B,"*奈良屋*")&gt;=2),
INDIRECT("M"&amp;R66&amp;"")+INDIRECT("M"&amp;MATCH("*"&amp;INDIRECT("B"&amp;R66&amp;"")&amp;"*",INDIRECT("B"&amp;R66+1&amp;":B210"),0)+R66&amp;"")
+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INDIRECT("M"&amp;R66&amp;"")))),"")</f>
        <v/>
      </c>
      <c r="AC66" s="51" t="str">
        <f t="shared" ca="1" si="27"/>
        <v/>
      </c>
      <c r="AD66" s="51" t="str">
        <f t="shared" ca="1" si="28"/>
        <v/>
      </c>
      <c r="AE66" s="51" t="str">
        <f t="shared" ca="1" si="29"/>
        <v/>
      </c>
      <c r="AF66" s="51" t="str">
        <f t="shared" ca="1" si="30"/>
        <v/>
      </c>
      <c r="AG66" s="51" t="str">
        <f t="shared" ca="1" si="31"/>
        <v/>
      </c>
      <c r="AH66" s="191" t="str">
        <f t="shared" ca="1" si="32"/>
        <v/>
      </c>
      <c r="AI66" s="51" t="str">
        <f t="shared" ca="1" si="33"/>
        <v/>
      </c>
      <c r="AJ66" s="51" t="str">
        <f t="shared" ca="1" si="34"/>
        <v/>
      </c>
      <c r="AK66" s="51" t="str">
        <f t="shared" ca="1" si="35"/>
        <v/>
      </c>
      <c r="AL66" s="51" t="str">
        <f t="shared" ca="1" si="36"/>
        <v/>
      </c>
      <c r="AM66" s="51" t="str">
        <f t="shared" ca="1" si="37"/>
        <v/>
      </c>
      <c r="AN66" s="51" t="str">
        <f t="shared" ca="1" si="38"/>
        <v/>
      </c>
      <c r="AO66" s="51" t="str">
        <f t="shared" ca="1" si="39"/>
        <v/>
      </c>
      <c r="AP66" s="51" t="str">
        <f t="shared" ca="1" si="40"/>
        <v/>
      </c>
      <c r="AU66" s="51" t="str">
        <f t="shared" ca="1" si="41"/>
        <v/>
      </c>
    </row>
    <row r="67" spans="1:47" ht="18" customHeight="1">
      <c r="A67" s="177">
        <f t="shared" si="21"/>
        <v>139</v>
      </c>
      <c r="B67" s="52" t="str">
        <f t="shared" si="42"/>
        <v/>
      </c>
      <c r="C67" s="52" t="str">
        <f>IF(OR(クライアント抽出!B67&lt;&gt;"",クライアント抽出!E67&lt;&gt;""),クライアント抽出!A67,"")</f>
        <v/>
      </c>
      <c r="D67" s="52" t="str">
        <f t="array" aca="1" ref="D67" ca="1">IF(C67&lt;&gt;"",INDIRECT("クライアント抽出!"&amp;E67&amp;MATCH(C67,クライアント抽出!A:A,0)&amp;""),"")</f>
        <v/>
      </c>
      <c r="E67" s="52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53" t="str">
        <f ca="1">IF(D67&lt;&gt;"",
IF(COUNTIF(C67,"*雙葉*"),
IF(ROUND((H67-M67)
/IF(COUNTIF(D67,"*キャラ*"),
VLOOKUP("*キャラ*",商品マスタ一覧!$D:$E,2,FALSE),
IF(COUNTIF(D67,"*赤*"),
VLOOKUP("*赤*",商品マスタ一覧!$D:$E,2,FALSE),
VLOOKUP("*"&amp;D67&amp;"*",商品マスタ一覧!$D:$E,2,FALSE))),0)&lt;=0,1,
ROUND((H67-M67)
/IF(COUNTIF(D67,"*キャラ*"),
VLOOKUP("*キャラ*",商品マスタ一覧!$D:$E,2,FALSE),
IF(COUNTIF(D67,"*赤*"),
VLOOKUP("*赤*",商品マスタ一覧!$D:$E,2,FALSE),
VLOOKUP("*"&amp;D67&amp;"*",商品マスタ一覧!$D:$E,2,FALSE))),0)),
IF(OR(COUNTIF(D67,"*キャラ*"),COUNTIF(D67,"*赤*")),"",
IF(VLOOKUP("*"&amp;D67&amp;"*",商品マスタ一覧!$D:$E,2,FALSE)=0,"",
IF(ROUND((H67-M67)
/VLOOKUP("*"&amp;D67&amp;"*",商品マスタ一覧!$D:$E,2,FALSE),0)&lt;=0,1,
ROUND((H67-M67)
/VLOOKUP("*"&amp;D67&amp;"*",商品マスタ一覧!$D:$E,2,FALSE),0))))),"")</f>
        <v/>
      </c>
      <c r="G67" s="52" t="str">
        <f ca="1">IF(F67&lt;&gt;"",
IF(VALUE(H67-M67)&gt;VALUE(IF(COUNTIF(D67,"*キャラ*"),
VLOOKUP("*キャラ*",商品マスタ一覧!$D:$E,2,FALSE),
IF(COUNTIF(D67,"*赤*"),
VLOOKUP("*赤*",商品マスタ一覧!$D:$E,2,FALSE),
VLOOKUP("*"&amp;D67&amp;"*",商品マスタ一覧!$D:$E,2,FALSE)))*F67),
"+"&amp;(H67-M67)-IF(COUNTIF(D67,"*キャラ*"),
VLOOKUP("*キャラ*",商品マスタ一覧!$D:$E,2,FALSE),
IF(COUNTIF(D67,"*赤*"),
VLOOKUP("*赤*",商品マスタ一覧!$D:$E,2,FALSE),
VLOOKUP("*"&amp;D67&amp;"*",商品マスタ一覧!$D:$E,2,FALSE)))*F67,
(H67-M67)-IF(COUNTIF(D67,"*キャラ*"),
VLOOKUP("*キャラ*",商品マスタ一覧!$D:$E,2,FALSE),
IF(COUNTIF(D67,"*赤*"),
VLOOKUP("*赤*",商品マスタ一覧!$D:$E,2,FALSE),
VLOOKUP("*"&amp;D67&amp;"*",商品マスタ一覧!$D:$E,2,FALSE)))*F67),"")</f>
        <v/>
      </c>
      <c r="H67" s="175" t="str">
        <f>IF(C67&lt;&gt;"",
クライアント抽出!B67,"")</f>
        <v/>
      </c>
      <c r="I67" s="52" t="str">
        <f t="array" aca="1" ref="I67" ca="1">IF(C67&lt;&gt;"",
IF(O67=1,
IF(SUMPRODUCT(COUNTIF(クライアント抽出!P67:U67,クライアント抽出!P67:U67))&gt;COUNTA(クライアント抽出!P67:U67),
INDIRECT("数出表_Excel!"&amp;INDEX(_xlfn.UNIQUE(_xlfn._xlws.FILTER(クライアント抽出!P67:U67,COUNTIF(クライアント抽出!P67:U67,クライアント抽出!P67:U67)&gt;1)),1)&amp;L67&amp;""),0),クライアント抽出!E67),"")</f>
        <v/>
      </c>
      <c r="J67" s="52" t="str">
        <f>IF(C67&lt;&gt;"",
VLOOKUP(
"*"&amp;LEFT(IF(COUNTIF(D67,"*学食*"),"キャラ弁（学食）",
IF(COUNTIF(D67,"*赤*"),"赤",
IF(COUNTIF(D67,"*キャラ弁当*"),"キャラ弁当",D67))),4)&amp;"*",注文弁当の抽出!$E$1:$F$15,2,FALSE),"")</f>
        <v/>
      </c>
      <c r="K67" s="52" t="str">
        <f ca="1">IF(クライアント抽出!P67&lt;&gt;"",SUBSTITUTE(ADDRESS(1,(CODE(クライアント抽出!P67)-64)*2-1,4),"1",""),"")</f>
        <v/>
      </c>
      <c r="L67" s="52" t="str">
        <f>IF(C67&lt;&gt;"",クライアント抽出!I67,"")</f>
        <v/>
      </c>
      <c r="M67" s="52">
        <f t="array" aca="1" ref="M67" ca="1">IF(C67&lt;&gt;"",
IF(K67&lt;&gt;"",INDIRECT("'数出表_Excel（アレルギー入力）'!"&amp;K67&amp;L67-1&amp;""),),)</f>
        <v>0</v>
      </c>
      <c r="N67" s="52" t="str">
        <f>IF(C67&lt;&gt;"",IF(OR(COUNTIF('盛付札（関数）'!D67,"*赤*"),COUNTIF('盛付札（関数）'!D67,"*キャラ*")),1,
VLOOKUP("*"&amp;D67&amp;"*",商品マスタ一覧!D:H,5,FALSE)),"")</f>
        <v/>
      </c>
      <c r="O67" s="52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52">
        <f t="shared" si="23"/>
        <v>0</v>
      </c>
      <c r="Q67" s="52" t="b">
        <f t="shared" si="24"/>
        <v>0</v>
      </c>
      <c r="R67" s="51" t="str">
        <f t="array" aca="1" ref="R67" ca="1">IFERROR(SMALL(IF(P$1:P$307&lt;&gt;0,P$1:P$307),ROW(A67)),"")</f>
        <v/>
      </c>
      <c r="S67" s="51" t="str">
        <f t="array" aca="1" ref="S67" ca="1">IF($R67&lt;&gt;"",
SUBSTITUTE(SUBSTITUTE(INDIRECT("C"&amp;$R67&amp;"")," 週3ｺｰｽ","")," 週5ｺｰｽ",""),"")</f>
        <v/>
      </c>
      <c r="T67" s="51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91" t="str">
        <f t="array" aca="1" ref="U67" ca="1">IF($R67&lt;&gt;"",
INDIRECT("F"&amp;$R67&amp;""),"")</f>
        <v/>
      </c>
      <c r="V67" s="51" t="str">
        <f t="array" aca="1" ref="V67" ca="1">IF($R67&lt;&gt;"",
INDIRECT("G"&amp;$R67&amp;""),"")</f>
        <v/>
      </c>
      <c r="W67" s="51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IF(OR(COUNTIF(INDIRECT("B"&amp;R67&amp;""),"*雙葉先生*"),COUNTIF(INDIRECT("B"&amp;R67-1&amp;""),"*雙葉*")),INDIRECT("H"&amp;R67&amp;""),INDIRECT("H"&amp;R67&amp;"")+INDIRECT("H"&amp;MATCH("雙葉'",INDIRECT("B"&amp;R67+3&amp;":B210"),0)+2+R67&amp;"")),
IF(AND(LEFT(INDIRECT("B"&amp;R67&amp;""),2)="博多",COUNTIF(B:B,"*博多*")&gt;=2),
INDIRECT("H"&amp;R67&amp;"")+INDIRECT("H"&amp;MATCH("*"&amp;INDIRECT("B"&amp;R67&amp;"")&amp;"*",INDIRECT("B"&amp;R67+1&amp;":B210"),0)+R67&amp;""),
IF(AND(LEFT(INDIRECT("B"&amp;R67&amp;""),3)="奈良屋",COUNTIF(B:B,"*奈良屋*")&gt;=2),
INDIRECT("H"&amp;R67&amp;"")+INDIRECT("H"&amp;MATCH("*"&amp;INDIRECT("B"&amp;R67&amp;"")&amp;"*",INDIRECT("B"&amp;R67+1&amp;":B210"),0)+R67&amp;"")
+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INDIRECT("H"&amp;R67&amp;"")))),"")</f>
        <v/>
      </c>
      <c r="X67" s="51" t="str">
        <f t="array" aca="1" ref="X67" ca="1">IF($R67&lt;&gt;"",
INDIRECT(""&amp;IF(COLUMN(I67)&lt;=26,CHAR(COLUMN(I67)+64),CHAR(INT((COLUMN(I67)-1)/26)+64)&amp;CHAR(MOD(COLUMN(I67)-1,26)+65))&amp;$R67&amp;""),"")</f>
        <v/>
      </c>
      <c r="Y67" s="51" t="str">
        <f t="array" aca="1" ref="Y67" ca="1">IF($R67&lt;&gt;"",
INDIRECT(""&amp;IF(COLUMN(J67)&lt;=26,CHAR(COLUMN(J67)+64),CHAR(INT((COLUMN(J67)-1)/26)+64)&amp;CHAR(MOD(COLUMN(J67)-1,26)+65))&amp;$R67&amp;""),"")</f>
        <v/>
      </c>
      <c r="Z67" s="51" t="str">
        <f t="shared" ca="1" si="25"/>
        <v/>
      </c>
      <c r="AA67" s="51" t="str">
        <f t="shared" ca="1" si="26"/>
        <v/>
      </c>
      <c r="AB67" s="51" t="str">
        <f t="array" aca="1" ref="AB67" ca="1">IF($R67&lt;&gt;"",
IF(AND(COUNTIF(INDIRECT("B"&amp;R67&amp;""),"*雙葉*"),COUNTIF(B:B,"*雙葉*")&gt;=2),
INDIRECT("M"&amp;R67&amp;"")+INDIRECT("M"&amp;MATCH("雙葉'",INDIRECT("B"&amp;R67+1&amp;":B210"),0)+R67&amp;""),
IF(AND(LEFT(INDIRECT("B"&amp;R67&amp;""),2)="博多",COUNTIF(B:B,"*博多*")&gt;=2),
INDIRECT("M"&amp;R67&amp;"")+INDIRECT("M"&amp;MATCH("*"&amp;INDIRECT("B"&amp;R67&amp;"")&amp;"*",INDIRECT("B"&amp;R67+1&amp;":B210"),0)+R67&amp;""),
IF(AND(LEFT(INDIRECT("B"&amp;R67&amp;""),3)="奈良屋",COUNTIF(B:B,"*奈良屋*")&gt;=2),
INDIRECT("M"&amp;R67&amp;"")+INDIRECT("M"&amp;MATCH("*"&amp;INDIRECT("B"&amp;R67&amp;"")&amp;"*",INDIRECT("B"&amp;R67+1&amp;":B210"),0)+R67&amp;"")
+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INDIRECT("M"&amp;R67&amp;"")))),"")</f>
        <v/>
      </c>
      <c r="AC67" s="51" t="str">
        <f t="shared" ca="1" si="27"/>
        <v/>
      </c>
      <c r="AD67" s="51" t="str">
        <f t="shared" ca="1" si="28"/>
        <v/>
      </c>
      <c r="AE67" s="51" t="str">
        <f t="shared" ca="1" si="29"/>
        <v/>
      </c>
      <c r="AF67" s="51" t="str">
        <f t="shared" ca="1" si="30"/>
        <v/>
      </c>
      <c r="AG67" s="51" t="str">
        <f t="shared" ca="1" si="31"/>
        <v/>
      </c>
      <c r="AH67" s="191" t="str">
        <f t="shared" ca="1" si="32"/>
        <v/>
      </c>
      <c r="AI67" s="51" t="str">
        <f t="shared" ca="1" si="33"/>
        <v/>
      </c>
      <c r="AJ67" s="51" t="str">
        <f t="shared" ca="1" si="34"/>
        <v/>
      </c>
      <c r="AK67" s="51" t="str">
        <f t="shared" ca="1" si="35"/>
        <v/>
      </c>
      <c r="AL67" s="51" t="str">
        <f t="shared" ca="1" si="36"/>
        <v/>
      </c>
      <c r="AM67" s="51" t="str">
        <f t="shared" ca="1" si="37"/>
        <v/>
      </c>
      <c r="AN67" s="51" t="str">
        <f t="shared" ca="1" si="38"/>
        <v/>
      </c>
      <c r="AO67" s="51" t="str">
        <f t="shared" ca="1" si="39"/>
        <v/>
      </c>
      <c r="AP67" s="51" t="str">
        <f t="shared" ca="1" si="40"/>
        <v/>
      </c>
      <c r="AU67" s="51" t="str">
        <f t="shared" ca="1" si="41"/>
        <v/>
      </c>
    </row>
    <row r="68" spans="1:47" ht="18" customHeight="1">
      <c r="A68" s="177">
        <f t="shared" si="21"/>
        <v>141</v>
      </c>
      <c r="B68" s="52" t="str">
        <f t="shared" si="42"/>
        <v/>
      </c>
      <c r="C68" s="52" t="str">
        <f>IF(OR(クライアント抽出!B68&lt;&gt;"",クライアント抽出!E68&lt;&gt;""),クライアント抽出!A68,"")</f>
        <v/>
      </c>
      <c r="D68" s="52" t="str">
        <f t="array" aca="1" ref="D68" ca="1">IF(C68&lt;&gt;"",INDIRECT("クライアント抽出!"&amp;E68&amp;MATCH(C68,クライアント抽出!A:A,0)&amp;""),"")</f>
        <v/>
      </c>
      <c r="E68" s="52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53" t="str">
        <f ca="1">IF(D68&lt;&gt;"",
IF(COUNTIF(C68,"*雙葉*"),
IF(ROUND((H68-M68)
/IF(COUNTIF(D68,"*キャラ*"),
VLOOKUP("*キャラ*",商品マスタ一覧!$D:$E,2,FALSE),
IF(COUNTIF(D68,"*赤*"),
VLOOKUP("*赤*",商品マスタ一覧!$D:$E,2,FALSE),
VLOOKUP("*"&amp;D68&amp;"*",商品マスタ一覧!$D:$E,2,FALSE))),0)&lt;=0,1,
ROUND((H68-M68)
/IF(COUNTIF(D68,"*キャラ*"),
VLOOKUP("*キャラ*",商品マスタ一覧!$D:$E,2,FALSE),
IF(COUNTIF(D68,"*赤*"),
VLOOKUP("*赤*",商品マスタ一覧!$D:$E,2,FALSE),
VLOOKUP("*"&amp;D68&amp;"*",商品マスタ一覧!$D:$E,2,FALSE))),0)),
IF(OR(COUNTIF(D68,"*キャラ*"),COUNTIF(D68,"*赤*")),"",
IF(VLOOKUP("*"&amp;D68&amp;"*",商品マスタ一覧!$D:$E,2,FALSE)=0,"",
IF(ROUND((H68-M68)
/VLOOKUP("*"&amp;D68&amp;"*",商品マスタ一覧!$D:$E,2,FALSE),0)&lt;=0,1,
ROUND((H68-M68)
/VLOOKUP("*"&amp;D68&amp;"*",商品マスタ一覧!$D:$E,2,FALSE),0))))),"")</f>
        <v/>
      </c>
      <c r="G68" s="52" t="str">
        <f ca="1">IF(F68&lt;&gt;"",
IF(VALUE(H68-M68)&gt;VALUE(IF(COUNTIF(D68,"*キャラ*"),
VLOOKUP("*キャラ*",商品マスタ一覧!$D:$E,2,FALSE),
IF(COUNTIF(D68,"*赤*"),
VLOOKUP("*赤*",商品マスタ一覧!$D:$E,2,FALSE),
VLOOKUP("*"&amp;D68&amp;"*",商品マスタ一覧!$D:$E,2,FALSE)))*F68),
"+"&amp;(H68-M68)-IF(COUNTIF(D68,"*キャラ*"),
VLOOKUP("*キャラ*",商品マスタ一覧!$D:$E,2,FALSE),
IF(COUNTIF(D68,"*赤*"),
VLOOKUP("*赤*",商品マスタ一覧!$D:$E,2,FALSE),
VLOOKUP("*"&amp;D68&amp;"*",商品マスタ一覧!$D:$E,2,FALSE)))*F68,
(H68-M68)-IF(COUNTIF(D68,"*キャラ*"),
VLOOKUP("*キャラ*",商品マスタ一覧!$D:$E,2,FALSE),
IF(COUNTIF(D68,"*赤*"),
VLOOKUP("*赤*",商品マスタ一覧!$D:$E,2,FALSE),
VLOOKUP("*"&amp;D68&amp;"*",商品マスタ一覧!$D:$E,2,FALSE)))*F68),"")</f>
        <v/>
      </c>
      <c r="H68" s="175" t="str">
        <f>IF(C68&lt;&gt;"",
クライアント抽出!B68,"")</f>
        <v/>
      </c>
      <c r="I68" s="52" t="str">
        <f t="array" aca="1" ref="I68" ca="1">IF(C68&lt;&gt;"",
IF(O68=1,
IF(SUMPRODUCT(COUNTIF(クライアント抽出!P68:U68,クライアント抽出!P68:U68))&gt;COUNTA(クライアント抽出!P68:U68),
INDIRECT("数出表_Excel!"&amp;INDEX(_xlfn.UNIQUE(_xlfn._xlws.FILTER(クライアント抽出!P68:U68,COUNTIF(クライアント抽出!P68:U68,クライアント抽出!P68:U68)&gt;1)),1)&amp;L68&amp;""),0),クライアント抽出!E68),"")</f>
        <v/>
      </c>
      <c r="J68" s="52" t="str">
        <f>IF(C68&lt;&gt;"",
VLOOKUP(
"*"&amp;LEFT(IF(COUNTIF(D68,"*学食*"),"キャラ弁（学食）",
IF(COUNTIF(D68,"*赤*"),"赤",
IF(COUNTIF(D68,"*キャラ弁当*"),"キャラ弁当",D68))),4)&amp;"*",注文弁当の抽出!$E$1:$F$15,2,FALSE),"")</f>
        <v/>
      </c>
      <c r="K68" s="52" t="str">
        <f ca="1">IF(クライアント抽出!P68&lt;&gt;"",SUBSTITUTE(ADDRESS(1,(CODE(クライアント抽出!P68)-64)*2-1,4),"1",""),"")</f>
        <v/>
      </c>
      <c r="L68" s="52" t="str">
        <f>IF(C68&lt;&gt;"",クライアント抽出!I68,"")</f>
        <v/>
      </c>
      <c r="M68" s="52">
        <f t="array" aca="1" ref="M68" ca="1">IF(C68&lt;&gt;"",
IF(K68&lt;&gt;"",INDIRECT("'数出表_Excel（アレルギー入力）'!"&amp;K68&amp;L68-1&amp;""),),)</f>
        <v>0</v>
      </c>
      <c r="N68" s="52" t="str">
        <f>IF(C68&lt;&gt;"",IF(OR(COUNTIF('盛付札（関数）'!D68,"*赤*"),COUNTIF('盛付札（関数）'!D68,"*キャラ*")),1,
VLOOKUP("*"&amp;D68&amp;"*",商品マスタ一覧!D:H,5,FALSE)),"")</f>
        <v/>
      </c>
      <c r="O68" s="52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52">
        <f t="shared" si="23"/>
        <v>0</v>
      </c>
      <c r="Q68" s="52" t="b">
        <f t="shared" si="24"/>
        <v>0</v>
      </c>
      <c r="R68" s="51" t="str">
        <f t="array" aca="1" ref="R68" ca="1">IFERROR(SMALL(IF(P$1:P$307&lt;&gt;0,P$1:P$307),ROW(A68)),"")</f>
        <v/>
      </c>
      <c r="S68" s="51" t="str">
        <f t="array" aca="1" ref="S68" ca="1">IF($R68&lt;&gt;"",
SUBSTITUTE(SUBSTITUTE(INDIRECT("C"&amp;$R68&amp;"")," 週3ｺｰｽ","")," 週5ｺｰｽ",""),"")</f>
        <v/>
      </c>
      <c r="T68" s="51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91" t="str">
        <f t="array" aca="1" ref="U68" ca="1">IF($R68&lt;&gt;"",
INDIRECT("F"&amp;$R68&amp;""),"")</f>
        <v/>
      </c>
      <c r="V68" s="51" t="str">
        <f t="array" aca="1" ref="V68" ca="1">IF($R68&lt;&gt;"",
INDIRECT("G"&amp;$R68&amp;""),"")</f>
        <v/>
      </c>
      <c r="W68" s="51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IF(OR(COUNTIF(INDIRECT("B"&amp;R68&amp;""),"*雙葉先生*"),COUNTIF(INDIRECT("B"&amp;R68-1&amp;""),"*雙葉*")),INDIRECT("H"&amp;R68&amp;""),INDIRECT("H"&amp;R68&amp;"")+INDIRECT("H"&amp;MATCH("雙葉'",INDIRECT("B"&amp;R68+3&amp;":B210"),0)+2+R68&amp;"")),
IF(AND(LEFT(INDIRECT("B"&amp;R68&amp;""),2)="博多",COUNTIF(B:B,"*博多*")&gt;=2),
INDIRECT("H"&amp;R68&amp;"")+INDIRECT("H"&amp;MATCH("*"&amp;INDIRECT("B"&amp;R68&amp;"")&amp;"*",INDIRECT("B"&amp;R68+1&amp;":B210"),0)+R68&amp;""),
IF(AND(LEFT(INDIRECT("B"&amp;R68&amp;""),3)="奈良屋",COUNTIF(B:B,"*奈良屋*")&gt;=2),
INDIRECT("H"&amp;R68&amp;"")+INDIRECT("H"&amp;MATCH("*"&amp;INDIRECT("B"&amp;R68&amp;"")&amp;"*",INDIRECT("B"&amp;R68+1&amp;":B210"),0)+R68&amp;"")
+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INDIRECT("H"&amp;R68&amp;"")))),"")</f>
        <v/>
      </c>
      <c r="X68" s="51" t="str">
        <f t="array" aca="1" ref="X68" ca="1">IF($R68&lt;&gt;"",
INDIRECT(""&amp;IF(COLUMN(I68)&lt;=26,CHAR(COLUMN(I68)+64),CHAR(INT((COLUMN(I68)-1)/26)+64)&amp;CHAR(MOD(COLUMN(I68)-1,26)+65))&amp;$R68&amp;""),"")</f>
        <v/>
      </c>
      <c r="Y68" s="51" t="str">
        <f t="array" aca="1" ref="Y68" ca="1">IF($R68&lt;&gt;"",
INDIRECT(""&amp;IF(COLUMN(J68)&lt;=26,CHAR(COLUMN(J68)+64),CHAR(INT((COLUMN(J68)-1)/26)+64)&amp;CHAR(MOD(COLUMN(J68)-1,26)+65))&amp;$R68&amp;""),"")</f>
        <v/>
      </c>
      <c r="Z68" s="51" t="str">
        <f t="shared" ca="1" si="25"/>
        <v/>
      </c>
      <c r="AA68" s="51" t="str">
        <f t="shared" ca="1" si="26"/>
        <v/>
      </c>
      <c r="AB68" s="51" t="str">
        <f t="array" aca="1" ref="AB68" ca="1">IF($R68&lt;&gt;"",
IF(AND(COUNTIF(INDIRECT("B"&amp;R68&amp;""),"*雙葉*"),COUNTIF(B:B,"*雙葉*")&gt;=2),
INDIRECT("M"&amp;R68&amp;"")+INDIRECT("M"&amp;MATCH("雙葉'",INDIRECT("B"&amp;R68+1&amp;":B210"),0)+R68&amp;""),
IF(AND(LEFT(INDIRECT("B"&amp;R68&amp;""),2)="博多",COUNTIF(B:B,"*博多*")&gt;=2),
INDIRECT("M"&amp;R68&amp;"")+INDIRECT("M"&amp;MATCH("*"&amp;INDIRECT("B"&amp;R68&amp;"")&amp;"*",INDIRECT("B"&amp;R68+1&amp;":B210"),0)+R68&amp;""),
IF(AND(LEFT(INDIRECT("B"&amp;R68&amp;""),3)="奈良屋",COUNTIF(B:B,"*奈良屋*")&gt;=2),
INDIRECT("M"&amp;R68&amp;"")+INDIRECT("M"&amp;MATCH("*"&amp;INDIRECT("B"&amp;R68&amp;"")&amp;"*",INDIRECT("B"&amp;R68+1&amp;":B210"),0)+R68&amp;"")
+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INDIRECT("M"&amp;R68&amp;"")))),"")</f>
        <v/>
      </c>
      <c r="AC68" s="51" t="str">
        <f t="shared" ca="1" si="27"/>
        <v/>
      </c>
      <c r="AD68" s="51" t="str">
        <f t="shared" ca="1" si="28"/>
        <v/>
      </c>
      <c r="AE68" s="51" t="str">
        <f t="shared" ca="1" si="29"/>
        <v/>
      </c>
      <c r="AF68" s="51" t="str">
        <f t="shared" ca="1" si="30"/>
        <v/>
      </c>
      <c r="AG68" s="51" t="str">
        <f t="shared" ca="1" si="31"/>
        <v/>
      </c>
      <c r="AH68" s="191" t="str">
        <f t="shared" ca="1" si="32"/>
        <v/>
      </c>
      <c r="AI68" s="51" t="str">
        <f t="shared" ca="1" si="33"/>
        <v/>
      </c>
      <c r="AJ68" s="51" t="str">
        <f t="shared" ca="1" si="34"/>
        <v/>
      </c>
      <c r="AK68" s="51" t="str">
        <f t="shared" ca="1" si="35"/>
        <v/>
      </c>
      <c r="AL68" s="51" t="str">
        <f t="shared" ca="1" si="36"/>
        <v/>
      </c>
      <c r="AM68" s="51" t="str">
        <f t="shared" ca="1" si="37"/>
        <v/>
      </c>
      <c r="AN68" s="51" t="str">
        <f t="shared" ca="1" si="38"/>
        <v/>
      </c>
      <c r="AO68" s="51" t="str">
        <f t="shared" ca="1" si="39"/>
        <v/>
      </c>
      <c r="AP68" s="51" t="str">
        <f t="shared" ca="1" si="40"/>
        <v/>
      </c>
      <c r="AU68" s="51" t="str">
        <f t="shared" ca="1" si="41"/>
        <v/>
      </c>
    </row>
    <row r="69" spans="1:47" ht="22.2" customHeight="1">
      <c r="A69" s="177">
        <f t="shared" si="21"/>
        <v>143</v>
      </c>
      <c r="B69" s="52" t="str">
        <f t="shared" si="42"/>
        <v/>
      </c>
      <c r="C69" s="52" t="str">
        <f>IF(OR(クライアント抽出!B69&lt;&gt;"",クライアント抽出!E69&lt;&gt;""),クライアント抽出!A69,"")</f>
        <v/>
      </c>
      <c r="D69" s="52" t="str">
        <f t="array" aca="1" ref="D69" ca="1">IF(C69&lt;&gt;"",INDIRECT("クライアント抽出!"&amp;E69&amp;MATCH(C69,クライアント抽出!A:A,0)&amp;""),"")</f>
        <v/>
      </c>
      <c r="E69" s="52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53" t="str">
        <f ca="1">IF(D69&lt;&gt;"",
IF(COUNTIF(C69,"*雙葉*"),
IF(ROUND((H69-M69)
/IF(COUNTIF(D69,"*キャラ*"),
VLOOKUP("*キャラ*",商品マスタ一覧!$D:$E,2,FALSE),
IF(COUNTIF(D69,"*赤*"),
VLOOKUP("*赤*",商品マスタ一覧!$D:$E,2,FALSE),
VLOOKUP("*"&amp;D69&amp;"*",商品マスタ一覧!$D:$E,2,FALSE))),0)&lt;=0,1,
ROUND((H69-M69)
/IF(COUNTIF(D69,"*キャラ*"),
VLOOKUP("*キャラ*",商品マスタ一覧!$D:$E,2,FALSE),
IF(COUNTIF(D69,"*赤*"),
VLOOKUP("*赤*",商品マスタ一覧!$D:$E,2,FALSE),
VLOOKUP("*"&amp;D69&amp;"*",商品マスタ一覧!$D:$E,2,FALSE))),0)),
IF(OR(COUNTIF(D69,"*キャラ*"),COUNTIF(D69,"*赤*")),"",
IF(VLOOKUP("*"&amp;D69&amp;"*",商品マスタ一覧!$D:$E,2,FALSE)=0,"",
IF(ROUND((H69-M69)
/VLOOKUP("*"&amp;D69&amp;"*",商品マスタ一覧!$D:$E,2,FALSE),0)&lt;=0,1,
ROUND((H69-M69)
/VLOOKUP("*"&amp;D69&amp;"*",商品マスタ一覧!$D:$E,2,FALSE),0))))),"")</f>
        <v/>
      </c>
      <c r="G69" s="52" t="str">
        <f ca="1">IF(F69&lt;&gt;"",
IF(VALUE(H69-M69)&gt;VALUE(IF(COUNTIF(D69,"*キャラ*"),
VLOOKUP("*キャラ*",商品マスタ一覧!$D:$E,2,FALSE),
IF(COUNTIF(D69,"*赤*"),
VLOOKUP("*赤*",商品マスタ一覧!$D:$E,2,FALSE),
VLOOKUP("*"&amp;D69&amp;"*",商品マスタ一覧!$D:$E,2,FALSE)))*F69),
"+"&amp;(H69-M69)-IF(COUNTIF(D69,"*キャラ*"),
VLOOKUP("*キャラ*",商品マスタ一覧!$D:$E,2,FALSE),
IF(COUNTIF(D69,"*赤*"),
VLOOKUP("*赤*",商品マスタ一覧!$D:$E,2,FALSE),
VLOOKUP("*"&amp;D69&amp;"*",商品マスタ一覧!$D:$E,2,FALSE)))*F69,
(H69-M69)-IF(COUNTIF(D69,"*キャラ*"),
VLOOKUP("*キャラ*",商品マスタ一覧!$D:$E,2,FALSE),
IF(COUNTIF(D69,"*赤*"),
VLOOKUP("*赤*",商品マスタ一覧!$D:$E,2,FALSE),
VLOOKUP("*"&amp;D69&amp;"*",商品マスタ一覧!$D:$E,2,FALSE)))*F69),"")</f>
        <v/>
      </c>
      <c r="H69" s="175" t="str">
        <f>IF(C69&lt;&gt;"",
クライアント抽出!B69,"")</f>
        <v/>
      </c>
      <c r="I69" s="52" t="str">
        <f t="array" aca="1" ref="I69" ca="1">IF(C69&lt;&gt;"",
IF(O69=1,
IF(SUMPRODUCT(COUNTIF(クライアント抽出!P69:U69,クライアント抽出!P69:U69))&gt;COUNTA(クライアント抽出!P69:U69),
INDIRECT("数出表_Excel!"&amp;INDEX(_xlfn.UNIQUE(_xlfn._xlws.FILTER(クライアント抽出!P69:U69,COUNTIF(クライアント抽出!P69:U69,クライアント抽出!P69:U69)&gt;1)),1)&amp;L69&amp;""),0),クライアント抽出!E69),"")</f>
        <v/>
      </c>
      <c r="J69" s="52" t="str">
        <f>IF(C69&lt;&gt;"",
VLOOKUP(
"*"&amp;LEFT(IF(COUNTIF(D69,"*学食*"),"キャラ弁（学食）",
IF(COUNTIF(D69,"*赤*"),"赤",
IF(COUNTIF(D69,"*キャラ弁当*"),"キャラ弁当",D69))),4)&amp;"*",注文弁当の抽出!$E$1:$F$15,2,FALSE),"")</f>
        <v/>
      </c>
      <c r="K69" s="52" t="str">
        <f ca="1">IF(クライアント抽出!P69&lt;&gt;"",SUBSTITUTE(ADDRESS(1,(CODE(クライアント抽出!P69)-64)*2-1,4),"1",""),"")</f>
        <v/>
      </c>
      <c r="L69" s="52" t="str">
        <f>IF(C69&lt;&gt;"",クライアント抽出!I69,"")</f>
        <v/>
      </c>
      <c r="M69" s="52">
        <f t="array" aca="1" ref="M69" ca="1">IF(C69&lt;&gt;"",
IF(K69&lt;&gt;"",INDIRECT("'数出表_Excel（アレルギー入力）'!"&amp;K69&amp;L69-1&amp;""),),)</f>
        <v>0</v>
      </c>
      <c r="N69" s="52" t="str">
        <f>IF(C69&lt;&gt;"",IF(OR(COUNTIF('盛付札（関数）'!D69,"*赤*"),COUNTIF('盛付札（関数）'!D69,"*キャラ*")),1,
VLOOKUP("*"&amp;D69&amp;"*",商品マスタ一覧!D:H,5,FALSE)),"")</f>
        <v/>
      </c>
      <c r="O69" s="52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52">
        <f t="shared" si="23"/>
        <v>0</v>
      </c>
      <c r="Q69" s="52" t="b">
        <f t="shared" si="24"/>
        <v>0</v>
      </c>
      <c r="R69" s="51" t="str">
        <f t="array" aca="1" ref="R69" ca="1">IFERROR(SMALL(IF(P$1:P$307&lt;&gt;0,P$1:P$307),ROW(A69)),"")</f>
        <v/>
      </c>
      <c r="S69" s="51" t="str">
        <f t="array" aca="1" ref="S69" ca="1">IF($R69&lt;&gt;"",
SUBSTITUTE(SUBSTITUTE(INDIRECT("C"&amp;$R69&amp;"")," 週3ｺｰｽ","")," 週5ｺｰｽ",""),"")</f>
        <v/>
      </c>
      <c r="T69" s="51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91" t="str">
        <f t="array" aca="1" ref="U69" ca="1">IF($R69&lt;&gt;"",
INDIRECT("F"&amp;$R69&amp;""),"")</f>
        <v/>
      </c>
      <c r="V69" s="51" t="str">
        <f t="array" aca="1" ref="V69" ca="1">IF($R69&lt;&gt;"",
INDIRECT("G"&amp;$R69&amp;""),"")</f>
        <v/>
      </c>
      <c r="W69" s="51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IF(OR(COUNTIF(INDIRECT("B"&amp;R69&amp;""),"*雙葉先生*"),COUNTIF(INDIRECT("B"&amp;R69-1&amp;""),"*雙葉*")),INDIRECT("H"&amp;R69&amp;""),INDIRECT("H"&amp;R69&amp;"")+INDIRECT("H"&amp;MATCH("雙葉'",INDIRECT("B"&amp;R69+3&amp;":B210"),0)+2+R69&amp;"")),
IF(AND(LEFT(INDIRECT("B"&amp;R69&amp;""),2)="博多",COUNTIF(B:B,"*博多*")&gt;=2),
INDIRECT("H"&amp;R69&amp;"")+INDIRECT("H"&amp;MATCH("*"&amp;INDIRECT("B"&amp;R69&amp;"")&amp;"*",INDIRECT("B"&amp;R69+1&amp;":B210"),0)+R69&amp;""),
IF(AND(LEFT(INDIRECT("B"&amp;R69&amp;""),3)="奈良屋",COUNTIF(B:B,"*奈良屋*")&gt;=2),
INDIRECT("H"&amp;R69&amp;"")+INDIRECT("H"&amp;MATCH("*"&amp;INDIRECT("B"&amp;R69&amp;"")&amp;"*",INDIRECT("B"&amp;R69+1&amp;":B210"),0)+R69&amp;"")
+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INDIRECT("H"&amp;R69&amp;"")))),"")</f>
        <v/>
      </c>
      <c r="X69" s="51" t="str">
        <f t="array" aca="1" ref="X69" ca="1">IF($R69&lt;&gt;"",
INDIRECT(""&amp;IF(COLUMN(I69)&lt;=26,CHAR(COLUMN(I69)+64),CHAR(INT((COLUMN(I69)-1)/26)+64)&amp;CHAR(MOD(COLUMN(I69)-1,26)+65))&amp;$R69&amp;""),"")</f>
        <v/>
      </c>
      <c r="Y69" s="51" t="str">
        <f t="array" aca="1" ref="Y69" ca="1">IF($R69&lt;&gt;"",
INDIRECT(""&amp;IF(COLUMN(J69)&lt;=26,CHAR(COLUMN(J69)+64),CHAR(INT((COLUMN(J69)-1)/26)+64)&amp;CHAR(MOD(COLUMN(J69)-1,26)+65))&amp;$R69&amp;""),"")</f>
        <v/>
      </c>
      <c r="Z69" s="51" t="str">
        <f t="shared" ca="1" si="25"/>
        <v/>
      </c>
      <c r="AA69" s="51" t="str">
        <f t="shared" ca="1" si="26"/>
        <v/>
      </c>
      <c r="AB69" s="51" t="str">
        <f t="array" aca="1" ref="AB69" ca="1">IF($R69&lt;&gt;"",
IF(AND(COUNTIF(INDIRECT("B"&amp;R69&amp;""),"*雙葉*"),COUNTIF(B:B,"*雙葉*")&gt;=2),
INDIRECT("M"&amp;R69&amp;"")+INDIRECT("M"&amp;MATCH("雙葉'",INDIRECT("B"&amp;R69+1&amp;":B210"),0)+R69&amp;""),
IF(AND(LEFT(INDIRECT("B"&amp;R69&amp;""),2)="博多",COUNTIF(B:B,"*博多*")&gt;=2),
INDIRECT("M"&amp;R69&amp;"")+INDIRECT("M"&amp;MATCH("*"&amp;INDIRECT("B"&amp;R69&amp;"")&amp;"*",INDIRECT("B"&amp;R69+1&amp;":B210"),0)+R69&amp;""),
IF(AND(LEFT(INDIRECT("B"&amp;R69&amp;""),3)="奈良屋",COUNTIF(B:B,"*奈良屋*")&gt;=2),
INDIRECT("M"&amp;R69&amp;"")+INDIRECT("M"&amp;MATCH("*"&amp;INDIRECT("B"&amp;R69&amp;"")&amp;"*",INDIRECT("B"&amp;R69+1&amp;":B210"),0)+R69&amp;"")
+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INDIRECT("M"&amp;R69&amp;"")))),"")</f>
        <v/>
      </c>
      <c r="AC69" s="51" t="str">
        <f t="shared" ca="1" si="27"/>
        <v/>
      </c>
      <c r="AD69" s="51" t="str">
        <f t="shared" ca="1" si="28"/>
        <v/>
      </c>
      <c r="AE69" s="51" t="str">
        <f t="shared" ca="1" si="29"/>
        <v/>
      </c>
      <c r="AF69" s="51" t="str">
        <f t="shared" ca="1" si="30"/>
        <v/>
      </c>
      <c r="AG69" s="51" t="str">
        <f t="shared" ca="1" si="31"/>
        <v/>
      </c>
      <c r="AH69" s="191" t="str">
        <f t="shared" ca="1" si="32"/>
        <v/>
      </c>
      <c r="AI69" s="51" t="str">
        <f t="shared" ca="1" si="33"/>
        <v/>
      </c>
      <c r="AJ69" s="51" t="str">
        <f t="shared" ca="1" si="34"/>
        <v/>
      </c>
      <c r="AK69" s="51" t="str">
        <f t="shared" ca="1" si="35"/>
        <v/>
      </c>
      <c r="AL69" s="51" t="str">
        <f t="shared" ca="1" si="36"/>
        <v/>
      </c>
      <c r="AM69" s="51" t="str">
        <f t="shared" ca="1" si="37"/>
        <v/>
      </c>
      <c r="AN69" s="51" t="str">
        <f t="shared" ca="1" si="38"/>
        <v/>
      </c>
      <c r="AO69" s="51" t="str">
        <f t="shared" ca="1" si="39"/>
        <v/>
      </c>
      <c r="AP69" s="51" t="str">
        <f t="shared" ca="1" si="40"/>
        <v/>
      </c>
      <c r="AU69" s="51" t="str">
        <f t="shared" ca="1" si="41"/>
        <v/>
      </c>
    </row>
    <row r="70" spans="1:47" ht="21" customHeight="1">
      <c r="A70" s="177">
        <f t="shared" si="21"/>
        <v>145</v>
      </c>
      <c r="B70" s="52" t="str">
        <f t="shared" si="42"/>
        <v/>
      </c>
      <c r="C70" s="52" t="str">
        <f>IF(OR(クライアント抽出!B70&lt;&gt;"",クライアント抽出!E70&lt;&gt;""),クライアント抽出!A70,"")</f>
        <v/>
      </c>
      <c r="D70" s="52" t="str">
        <f t="array" aca="1" ref="D70" ca="1">IF(C70&lt;&gt;"",INDIRECT("クライアント抽出!"&amp;E70&amp;MATCH(C70,クライアント抽出!A:A,0)&amp;""),"")</f>
        <v/>
      </c>
      <c r="E70" s="52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53" t="str">
        <f ca="1">IF(D70&lt;&gt;"",
IF(COUNTIF(C70,"*雙葉*"),
IF(ROUND((H70-M70)
/IF(COUNTIF(D70,"*キャラ*"),
VLOOKUP("*キャラ*",商品マスタ一覧!$D:$E,2,FALSE),
IF(COUNTIF(D70,"*赤*"),
VLOOKUP("*赤*",商品マスタ一覧!$D:$E,2,FALSE),
VLOOKUP("*"&amp;D70&amp;"*",商品マスタ一覧!$D:$E,2,FALSE))),0)&lt;=0,1,
ROUND((H70-M70)
/IF(COUNTIF(D70,"*キャラ*"),
VLOOKUP("*キャラ*",商品マスタ一覧!$D:$E,2,FALSE),
IF(COUNTIF(D70,"*赤*"),
VLOOKUP("*赤*",商品マスタ一覧!$D:$E,2,FALSE),
VLOOKUP("*"&amp;D70&amp;"*",商品マスタ一覧!$D:$E,2,FALSE))),0)),
IF(OR(COUNTIF(D70,"*キャラ*"),COUNTIF(D70,"*赤*")),"",
IF(VLOOKUP("*"&amp;D70&amp;"*",商品マスタ一覧!$D:$E,2,FALSE)=0,"",
IF(ROUND((H70-M70)
/VLOOKUP("*"&amp;D70&amp;"*",商品マスタ一覧!$D:$E,2,FALSE),0)&lt;=0,1,
ROUND((H70-M70)
/VLOOKUP("*"&amp;D70&amp;"*",商品マスタ一覧!$D:$E,2,FALSE),0))))),"")</f>
        <v/>
      </c>
      <c r="G70" s="52" t="str">
        <f ca="1">IF(F70&lt;&gt;"",
IF(VALUE(H70-M70)&gt;VALUE(IF(COUNTIF(D70,"*キャラ*"),
VLOOKUP("*キャラ*",商品マスタ一覧!$D:$E,2,FALSE),
IF(COUNTIF(D70,"*赤*"),
VLOOKUP("*赤*",商品マスタ一覧!$D:$E,2,FALSE),
VLOOKUP("*"&amp;D70&amp;"*",商品マスタ一覧!$D:$E,2,FALSE)))*F70),
"+"&amp;(H70-M70)-IF(COUNTIF(D70,"*キャラ*"),
VLOOKUP("*キャラ*",商品マスタ一覧!$D:$E,2,FALSE),
IF(COUNTIF(D70,"*赤*"),
VLOOKUP("*赤*",商品マスタ一覧!$D:$E,2,FALSE),
VLOOKUP("*"&amp;D70&amp;"*",商品マスタ一覧!$D:$E,2,FALSE)))*F70,
(H70-M70)-IF(COUNTIF(D70,"*キャラ*"),
VLOOKUP("*キャラ*",商品マスタ一覧!$D:$E,2,FALSE),
IF(COUNTIF(D70,"*赤*"),
VLOOKUP("*赤*",商品マスタ一覧!$D:$E,2,FALSE),
VLOOKUP("*"&amp;D70&amp;"*",商品マスタ一覧!$D:$E,2,FALSE)))*F70),"")</f>
        <v/>
      </c>
      <c r="H70" s="175" t="str">
        <f>IF(C70&lt;&gt;"",
クライアント抽出!B70,"")</f>
        <v/>
      </c>
      <c r="I70" s="52" t="str">
        <f t="array" aca="1" ref="I70" ca="1">IF(C70&lt;&gt;"",
IF(O70=1,
IF(SUMPRODUCT(COUNTIF(クライアント抽出!P70:U70,クライアント抽出!P70:U70))&gt;COUNTA(クライアント抽出!P70:U70),
INDIRECT("数出表_Excel!"&amp;INDEX(_xlfn.UNIQUE(_xlfn._xlws.FILTER(クライアント抽出!P70:U70,COUNTIF(クライアント抽出!P70:U70,クライアント抽出!P70:U70)&gt;1)),1)&amp;L70&amp;""),0),
クライアント抽出!E70),"")</f>
        <v/>
      </c>
      <c r="J70" s="52" t="str">
        <f>IF(C70&lt;&gt;"",
VLOOKUP(
"*"&amp;LEFT(IF(COUNTIF(D70,"*学食*"),"キャラ弁（学食）",
IF(COUNTIF(D70,"*赤*"),"赤",
IF(COUNTIF(D70,"*キャラ弁当*"),"キャラ弁当",D70))),4)&amp;"*",注文弁当の抽出!$E$1:$F$15,2,FALSE),"")</f>
        <v/>
      </c>
      <c r="K70" s="52" t="str">
        <f ca="1">IF(クライアント抽出!P70&lt;&gt;"",SUBSTITUTE(ADDRESS(1,(CODE(クライアント抽出!P70)-64)*2-1,4),"1",""),"")</f>
        <v/>
      </c>
      <c r="L70" s="52" t="str">
        <f>IF(C70&lt;&gt;"",クライアント抽出!I70,"")</f>
        <v/>
      </c>
      <c r="M70" s="52">
        <f t="array" aca="1" ref="M70" ca="1">IF(C70&lt;&gt;"",
IF(K70&lt;&gt;"",INDIRECT("'数出表_Excel（アレルギー入力）'!"&amp;K70&amp;L70-1&amp;""),),)</f>
        <v>0</v>
      </c>
      <c r="N70" s="52" t="str">
        <f>IF(C70&lt;&gt;"",IF(OR(COUNTIF('盛付札（関数）'!D70,"*赤*"),COUNTIF('盛付札（関数）'!D70,"*キャラ*")),1,
VLOOKUP("*"&amp;D70&amp;"*",商品マスタ一覧!D:H,5,FALSE)),"")</f>
        <v/>
      </c>
      <c r="O70" s="52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52">
        <f t="shared" si="23"/>
        <v>0</v>
      </c>
      <c r="Q70" s="52" t="b">
        <f t="shared" si="24"/>
        <v>0</v>
      </c>
      <c r="R70" s="51" t="str">
        <f t="array" aca="1" ref="R70" ca="1">IFERROR(SMALL(IF(P$1:P$307&lt;&gt;0,P$1:P$307),ROW(A70)),"")</f>
        <v/>
      </c>
      <c r="S70" s="51" t="str">
        <f t="array" aca="1" ref="S70" ca="1">IF($R70&lt;&gt;"",
SUBSTITUTE(SUBSTITUTE(INDIRECT("C"&amp;$R70&amp;"")," 週3ｺｰｽ","")," 週5ｺｰｽ",""),"")</f>
        <v/>
      </c>
      <c r="T70" s="51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91" t="str">
        <f t="array" aca="1" ref="U70" ca="1">IF($R70&lt;&gt;"",
INDIRECT("F"&amp;$R70&amp;""),"")</f>
        <v/>
      </c>
      <c r="V70" s="51" t="str">
        <f t="array" aca="1" ref="V70" ca="1">IF($R70&lt;&gt;"",
INDIRECT("G"&amp;$R70&amp;""),"")</f>
        <v/>
      </c>
      <c r="W70" s="51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IF(OR(COUNTIF(INDIRECT("B"&amp;R70&amp;""),"*雙葉先生*"),COUNTIF(INDIRECT("B"&amp;R70-1&amp;""),"*雙葉*")),INDIRECT("H"&amp;R70&amp;""),INDIRECT("H"&amp;R70&amp;"")+INDIRECT("H"&amp;MATCH("雙葉'",INDIRECT("B"&amp;R70+3&amp;":B210"),0)+2+R70&amp;"")),
IF(AND(LEFT(INDIRECT("B"&amp;R70&amp;""),2)="博多",COUNTIF(B:B,"*博多*")&gt;=2),
INDIRECT("H"&amp;R70&amp;"")+INDIRECT("H"&amp;MATCH("*"&amp;INDIRECT("B"&amp;R70&amp;"")&amp;"*",INDIRECT("B"&amp;R70+1&amp;":B210"),0)+R70&amp;""),
IF(AND(LEFT(INDIRECT("B"&amp;R70&amp;""),3)="奈良屋",COUNTIF(B:B,"*奈良屋*")&gt;=2),
INDIRECT("H"&amp;R70&amp;"")+INDIRECT("H"&amp;MATCH("*"&amp;INDIRECT("B"&amp;R70&amp;"")&amp;"*",INDIRECT("B"&amp;R70+1&amp;":B210"),0)+R70&amp;"")
+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INDIRECT("H"&amp;R70&amp;"")))),"")</f>
        <v/>
      </c>
      <c r="X70" s="51" t="str">
        <f t="array" aca="1" ref="X70" ca="1">IF($R70&lt;&gt;"",
INDIRECT(""&amp;IF(COLUMN(I70)&lt;=26,CHAR(COLUMN(I70)+64),CHAR(INT((COLUMN(I70)-1)/26)+64)&amp;CHAR(MOD(COLUMN(I70)-1,26)+65))&amp;$R70&amp;""),"")</f>
        <v/>
      </c>
      <c r="Y70" s="51" t="str">
        <f t="array" aca="1" ref="Y70" ca="1">IF($R70&lt;&gt;"",
INDIRECT(""&amp;IF(COLUMN(J70)&lt;=26,CHAR(COLUMN(J70)+64),CHAR(INT((COLUMN(J70)-1)/26)+64)&amp;CHAR(MOD(COLUMN(J70)-1,26)+65))&amp;$R70&amp;""),"")</f>
        <v/>
      </c>
      <c r="Z70" s="51" t="str">
        <f t="shared" ca="1" si="25"/>
        <v/>
      </c>
      <c r="AA70" s="51" t="str">
        <f t="shared" ca="1" si="26"/>
        <v/>
      </c>
      <c r="AB70" s="51" t="str">
        <f t="array" aca="1" ref="AB70" ca="1">IF($R70&lt;&gt;"",
IF(AND(COUNTIF(INDIRECT("B"&amp;R70&amp;""),"*雙葉*"),COUNTIF(B:B,"*雙葉*")&gt;=2),
INDIRECT("M"&amp;R70&amp;"")+INDIRECT("M"&amp;MATCH("雙葉'",INDIRECT("B"&amp;R70+1&amp;":B210"),0)+R70&amp;""),
IF(AND(LEFT(INDIRECT("B"&amp;R70&amp;""),2)="博多",COUNTIF(B:B,"*博多*")&gt;=2),
INDIRECT("M"&amp;R70&amp;"")+INDIRECT("M"&amp;MATCH("*"&amp;INDIRECT("B"&amp;R70&amp;"")&amp;"*",INDIRECT("B"&amp;R70+1&amp;":B210"),0)+R70&amp;""),
IF(AND(LEFT(INDIRECT("B"&amp;R70&amp;""),3)="奈良屋",COUNTIF(B:B,"*奈良屋*")&gt;=2),
INDIRECT("M"&amp;R70&amp;"")+INDIRECT("M"&amp;MATCH("*"&amp;INDIRECT("B"&amp;R70&amp;"")&amp;"*",INDIRECT("B"&amp;R70+1&amp;":B210"),0)+R70&amp;"")
+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INDIRECT("M"&amp;R70&amp;"")))),"")</f>
        <v/>
      </c>
      <c r="AC70" s="51" t="str">
        <f t="shared" ca="1" si="27"/>
        <v/>
      </c>
      <c r="AD70" s="51" t="str">
        <f t="shared" ca="1" si="28"/>
        <v/>
      </c>
      <c r="AE70" s="51" t="str">
        <f t="shared" ca="1" si="29"/>
        <v/>
      </c>
      <c r="AF70" s="51" t="str">
        <f t="shared" ca="1" si="30"/>
        <v/>
      </c>
      <c r="AG70" s="51" t="str">
        <f t="shared" ca="1" si="31"/>
        <v/>
      </c>
      <c r="AH70" s="191" t="str">
        <f t="shared" ca="1" si="32"/>
        <v/>
      </c>
      <c r="AI70" s="51" t="str">
        <f t="shared" ca="1" si="33"/>
        <v/>
      </c>
      <c r="AJ70" s="51" t="str">
        <f t="shared" ca="1" si="34"/>
        <v/>
      </c>
      <c r="AK70" s="51" t="str">
        <f t="shared" ca="1" si="35"/>
        <v/>
      </c>
      <c r="AL70" s="51" t="str">
        <f t="shared" ca="1" si="36"/>
        <v/>
      </c>
      <c r="AM70" s="51" t="str">
        <f t="shared" ca="1" si="37"/>
        <v/>
      </c>
      <c r="AN70" s="51" t="str">
        <f t="shared" ca="1" si="38"/>
        <v/>
      </c>
      <c r="AO70" s="51" t="str">
        <f t="shared" ca="1" si="39"/>
        <v/>
      </c>
      <c r="AP70" s="51" t="str">
        <f t="shared" ca="1" si="40"/>
        <v/>
      </c>
      <c r="AU70" s="51" t="str">
        <f t="shared" ca="1" si="41"/>
        <v/>
      </c>
    </row>
    <row r="71" spans="1:47" ht="22.2" customHeight="1">
      <c r="A71" s="180">
        <v>7</v>
      </c>
      <c r="B71" s="180" t="str">
        <f t="shared" ref="B71:B102" ca="1" si="43">IF(COUNTIF(C71,"*雙葉*"),
IF(COUNTIF(INDIRECT("B1:B"&amp;ROW()-1&amp;""),"雙葉"),
IF(COUNTIF(C71,"*先生*"),"雙葉先生","雙葉'"),"雙葉"),
IF(COUNTIF(C71,"*社食*"),"社食'",
IF(LEFT(C71,2)="博多",
IF(IFERROR(TRIM(LEFT(C70,FIND("幼",C70)-1)),TRIM(C70))=IFERROR(TRIM(LEFT(C71,FIND("幼",C71)-1)),TRIM(C71)),
IFERROR(TRIM(LEFT(C71,FIND("幼",C71)-1)),TRIM(C71))&amp;"'",IFERROR(TRIM(LEFT(C71,FIND("幼",C71)-1)),TRIM(C71))),
IF(LEFT(C71,3)="奈良屋",
IF(TRIM(LEFT(C70,FIND("幼",C70)-1))=TRIM(LEFT(C71,FIND("幼",C71)-1)),
"奈良屋'","奈良屋"),""))))</f>
        <v/>
      </c>
      <c r="C71" s="180" t="str">
        <f>IF(OR(クライアント抽出!C1&lt;&gt;"",クライアント抽出!F1&lt;&gt;""),クライアント抽出!A1,"")</f>
        <v/>
      </c>
      <c r="D71" s="180" t="str">
        <f t="array" aca="1" ref="D71" ca="1">IF(C71&lt;&gt;"",INDIRECT("クライアント抽出!"&amp;E71&amp;MATCH(C71,クライアント抽出!A:A,0)&amp;""),"")</f>
        <v/>
      </c>
      <c r="E71" s="180" t="str">
        <f>IF(H71&lt;&gt;0,
IFERROR(
SUBSTITUTE(ADDRESS(1,
MATCH(VALUE(H71),クライアント抽出!A1:G1,0)+8,4),"1",""),
""),
IFERROR(
SUBSTITUTE(ADDRESS(1,
MATCH(VALUE(I71),クライアント抽出!A1:G1,0)+8,4),"1",""),
""))</f>
        <v/>
      </c>
      <c r="F71" s="181" t="str">
        <f ca="1">IF(D71&lt;&gt;"",
IF(COUNTIF(C71,"*雙葉*"),
IF(ROUND((H71-M71)
/IF(COUNTIF(D71,"*キャラ*"),
VLOOKUP("*キャラ*",商品マスタ一覧!$D:$E,2,FALSE),
IF(COUNTIF(D71,"*赤*"),
VLOOKUP("*赤*",商品マスタ一覧!$D:$E,2,FALSE),
VLOOKUP("*"&amp;D71&amp;"*",商品マスタ一覧!$D:$E,2,FALSE))),0)&lt;=0,1,
ROUND((H71-M71)
/IF(COUNTIF(D71,"*キャラ*"),
VLOOKUP("*キャラ*",商品マスタ一覧!$D:$E,2,FALSE),
IF(COUNTIF(D71,"*赤*"),
VLOOKUP("*赤*",商品マスタ一覧!$D:$E,2,FALSE),
VLOOKUP("*"&amp;D71&amp;"*",商品マスタ一覧!$D:$E,2,FALSE))),0)),
IF(OR(COUNTIF(D71,"*キャラ*"),COUNTIF(D71,"*赤*")),"",
IF(VLOOKUP("*"&amp;D71&amp;"*",商品マスタ一覧!$D:$E,2,FALSE)=0,"",
IF(ROUND((H71-M71)
/VLOOKUP("*"&amp;D71&amp;"*",商品マスタ一覧!$D:$E,2,FALSE),0)&lt;=0,1,
ROUND((H71-M71)
/VLOOKUP("*"&amp;D71&amp;"*",商品マスタ一覧!$D:$E,2,FALSE),0))))),"")</f>
        <v/>
      </c>
      <c r="G71" s="180" t="str">
        <f ca="1">IF(F71&lt;&gt;"",
IF(VALUE(H71-M71)&gt;VALUE(IF(COUNTIF(D71,"*キャラ*"),
VLOOKUP("*キャラ*",商品マスタ一覧!$D:$E,2,FALSE),
IF(COUNTIF(D71,"*赤*"),
VLOOKUP("*赤*",商品マスタ一覧!$D:$E,2,FALSE),
VLOOKUP("*"&amp;D71&amp;"*",商品マスタ一覧!$D:$E,2,FALSE)))*F71),
"+"&amp;(H71-M71)-IF(COUNTIF(D71,"*キャラ*"),
VLOOKUP("*キャラ*",商品マスタ一覧!$D:$E,2,FALSE),
IF(COUNTIF(D71,"*赤*"),
VLOOKUP("*赤*",商品マスタ一覧!$D:$E,2,FALSE),
VLOOKUP("*"&amp;D71&amp;"*",商品マスタ一覧!$D:$E,2,FALSE)))*F71,
(H71-M71)-IF(COUNTIF(D71,"*キャラ*"),
VLOOKUP("*キャラ*",商品マスタ一覧!$D:$E,2,FALSE),
IF(COUNTIF(D71,"*赤*"),
VLOOKUP("*赤*",商品マスタ一覧!$D:$E,2,FALSE),
VLOOKUP("*"&amp;D71&amp;"*",商品マスタ一覧!$D:$E,2,FALSE)))*F71),"")</f>
        <v/>
      </c>
      <c r="H71" s="182" t="str">
        <f>IF(C71&lt;&gt;"",
クライアント抽出!C1,"")</f>
        <v/>
      </c>
      <c r="I71" s="180" t="str">
        <f t="array" aca="1" ref="I71" ca="1">IF(C71&lt;&gt;"",
IF(O71=1,
IF(SUMPRODUCT(COUNTIF(クライアント抽出!P1:U1,クライアント抽出!P1:U1))&gt;COUNTA(クライアント抽出!P1:U1),
INDIRECT("数出表_Excel!"&amp;INDEX(_xlfn.UNIQUE(_xlfn._xlws.FILTER(クライアント抽出!P1:U1,COUNTIF(クライアント抽出!P1:U1,クライアント抽出!P1:U1)=1)),1)&amp;L71&amp;""),
0),クライアント抽出!F1),"")</f>
        <v/>
      </c>
      <c r="J71" s="180" t="str">
        <f>IF(C71&lt;&gt;"",
VLOOKUP(
"*"&amp;LEFT(IF(COUNTIF(D71,"*学食*"),"キャラ弁（学食）",
IF(COUNTIF(D71,"*赤*"),"赤",
IF(COUNTIF(D71,"*キャラ弁当*"),"キャラ弁当",D71))),4)&amp;"*",注文弁当の抽出!$E$1:$F$15,2,FALSE),"")</f>
        <v/>
      </c>
      <c r="K71" s="180" t="str">
        <f ca="1">IF(クライアント抽出!Q1&lt;&gt;"",SUBSTITUTE(ADDRESS(1,(CODE(クライアント抽出!Q1)-64)*2-1,4),"1",""),"")</f>
        <v/>
      </c>
      <c r="L71" s="180" t="str">
        <f>IF(C1&lt;&gt;"",クライアント抽出!I1,"")</f>
        <v/>
      </c>
      <c r="M71" s="180">
        <f t="array" aca="1" ref="M71" ca="1">IF(C71&lt;&gt;"",
IF(K71&lt;&gt;"",INDIRECT("'数出表_Excel（アレルギー入力）'!"&amp;K71&amp;L71-1&amp;""),),)</f>
        <v>0</v>
      </c>
      <c r="N71" s="180" t="str">
        <f>IF(C71&lt;&gt;"",IF(OR(COUNTIF('盛付札（関数）'!D71,"*赤*"),COUNTIF('盛付札（関数）'!D71,"*キャラ*")),1,
VLOOKUP("*"&amp;D71&amp;"*",商品マスタ一覧!D:H,5,FALSE)),"")</f>
        <v/>
      </c>
      <c r="O71" s="180">
        <f t="shared" ref="O71:O102" ca="1" si="44">O1</f>
        <v>0</v>
      </c>
      <c r="P71" s="180">
        <f t="shared" si="23"/>
        <v>0</v>
      </c>
      <c r="Q71" s="180" t="b">
        <f t="shared" si="24"/>
        <v>0</v>
      </c>
      <c r="R71" s="51" t="str">
        <f t="array" aca="1" ref="R71" ca="1">IFERROR(SMALL(IF(P$1:P$307&lt;&gt;0,P$1:P$307),ROW(A71)),"")</f>
        <v/>
      </c>
      <c r="S71" s="51" t="str">
        <f t="array" aca="1" ref="S71" ca="1">IF($R71&lt;&gt;"",
SUBSTITUTE(SUBSTITUTE(INDIRECT("C"&amp;$R71&amp;"")," 週3ｺｰｽ","")," 週5ｺｰｽ",""),"")</f>
        <v/>
      </c>
      <c r="T71" s="51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91" t="str">
        <f t="array" aca="1" ref="U71" ca="1">IF($R71&lt;&gt;"",
INDIRECT("F"&amp;$R71&amp;""),"")</f>
        <v/>
      </c>
      <c r="V71" s="51" t="str">
        <f t="array" aca="1" ref="V71" ca="1">IF($R71&lt;&gt;"",
INDIRECT("G"&amp;$R71&amp;""),"")</f>
        <v/>
      </c>
      <c r="W71" s="51" t="str">
        <f t="array" aca="1" ref="W71" ca="1">IF($R71&lt;&gt;"",
IF(AND(COUNTIF(INDIRECT("B"&amp;R71&amp;""),"*雙葉*"),COUNTIF(B:B,"*雙葉*")&gt;=2),
IF(OR(COUNTIF(INDIRECT("B"&amp;R71&amp;""),"*雙葉先生*"),COUNTIF($B$1:$B$70,"*雙葉*")&gt;=2),INDIRECT("H"&amp;R71&amp;""),INDIRECT("H"&amp;R71&amp;"")+INDIRECT("H"&amp;MATCH("雙葉'",INDIRECT("B"&amp;R71+3&amp;":B210"),0)+2+R71&amp;"")),
IF(AND(LEFT(INDIRECT("B"&amp;R71&amp;""),2)="博多",COUNTIF(B:B,"*博多*")&gt;=2),
INDIRECT("H"&amp;R71&amp;"")+INDIRECT("H"&amp;MATCH("*"&amp;INDIRECT("B"&amp;R71&amp;"")&amp;"*",INDIRECT("B"&amp;R71+1&amp;":B210"),0)+R71&amp;""),
IF(AND(LEFT(INDIRECT("B"&amp;R71&amp;""),3)="奈良屋",COUNTIF(B:B,"*奈良屋*")&gt;=2),
INDIRECT("H"&amp;R71&amp;"")+INDIRECT("H"&amp;MATCH("*"&amp;INDIRECT("B"&amp;R71&amp;"")&amp;"*",INDIRECT("B"&amp;R71+1&amp;":B210"),0)+R71&amp;"")
+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INDIRECT("H"&amp;R71&amp;"")))),"")</f>
        <v/>
      </c>
      <c r="X71" s="51" t="str">
        <f t="array" aca="1" ref="X71" ca="1">IF($R71&lt;&gt;"",
INDIRECT(""&amp;IF(COLUMN(I71)&lt;=26,CHAR(COLUMN(I71)+64),CHAR(INT((COLUMN(I71)-1)/26)+64)&amp;CHAR(MOD(COLUMN(I71)-1,26)+65))&amp;$R71&amp;""),"")</f>
        <v/>
      </c>
      <c r="Y71" s="51" t="str">
        <f t="array" aca="1" ref="Y71" ca="1">IF($R71&lt;&gt;"",
INDIRECT(""&amp;IF(COLUMN(J71)&lt;=26,CHAR(COLUMN(J71)+64),CHAR(INT((COLUMN(J71)-1)/26)+64)&amp;CHAR(MOD(COLUMN(J71)-1,26)+65))&amp;$R71&amp;""),"")</f>
        <v/>
      </c>
      <c r="Z71" s="51" t="str">
        <f t="shared" ca="1" si="25"/>
        <v/>
      </c>
      <c r="AA71" s="51" t="str">
        <f t="shared" ca="1" si="26"/>
        <v/>
      </c>
      <c r="AB71" s="51" t="str">
        <f t="array" aca="1" ref="AB71" ca="1">IF($R71&lt;&gt;"",
IF(AND(COUNTIF(INDIRECT("B"&amp;R71&amp;""),"*雙葉*"),COUNTIF(B:B,"*雙葉*")&gt;=2),
INDIRECT("M"&amp;R71&amp;"")+INDIRECT("M"&amp;MATCH("雙葉'",INDIRECT("B"&amp;R71+1&amp;":B210"),0)+R71&amp;""),
IF(AND(LEFT(INDIRECT("B"&amp;R71&amp;""),2)="博多",COUNTIF(B:B,"*博多*")&gt;=2),
INDIRECT("M"&amp;R71&amp;"")+INDIRECT("M"&amp;MATCH("*"&amp;INDIRECT("B"&amp;R71&amp;"")&amp;"*",INDIRECT("B"&amp;R71+1&amp;":B210"),0)+R71&amp;""),
IF(AND(LEFT(INDIRECT("B"&amp;R71&amp;""),3)="奈良屋",COUNTIF(B:B,"*奈良屋*")&gt;=2),
INDIRECT("M"&amp;R71&amp;"")+INDIRECT("M"&amp;MATCH("*"&amp;INDIRECT("B"&amp;R71&amp;"")&amp;"*",INDIRECT("B"&amp;R71+1&amp;":B210"),0)+R71&amp;"")
+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INDIRECT("M"&amp;R71&amp;"")))),"")</f>
        <v/>
      </c>
      <c r="AC71" s="51" t="str">
        <f t="shared" ca="1" si="27"/>
        <v/>
      </c>
      <c r="AD71" s="51" t="str">
        <f t="shared" ca="1" si="28"/>
        <v/>
      </c>
      <c r="AE71" s="51" t="str">
        <f t="shared" ca="1" si="29"/>
        <v/>
      </c>
      <c r="AF71" s="51" t="str">
        <f t="shared" ca="1" si="30"/>
        <v/>
      </c>
      <c r="AG71" s="51" t="str">
        <f t="shared" ca="1" si="31"/>
        <v/>
      </c>
      <c r="AH71" s="191" t="str">
        <f t="shared" ca="1" si="32"/>
        <v/>
      </c>
      <c r="AI71" s="51" t="str">
        <f t="shared" ca="1" si="33"/>
        <v/>
      </c>
      <c r="AJ71" s="51" t="str">
        <f t="shared" ca="1" si="34"/>
        <v/>
      </c>
      <c r="AK71" s="51" t="str">
        <f t="shared" ca="1" si="35"/>
        <v/>
      </c>
      <c r="AL71" s="51" t="str">
        <f t="shared" ca="1" si="36"/>
        <v/>
      </c>
      <c r="AM71" s="51" t="str">
        <f t="shared" ca="1" si="37"/>
        <v/>
      </c>
      <c r="AN71" s="51" t="str">
        <f t="shared" ca="1" si="38"/>
        <v/>
      </c>
      <c r="AO71" s="51" t="str">
        <f t="shared" ca="1" si="39"/>
        <v/>
      </c>
      <c r="AP71" s="51" t="str">
        <f t="shared" ca="1" si="40"/>
        <v/>
      </c>
      <c r="AU71" s="51" t="str">
        <f t="shared" ca="1" si="41"/>
        <v/>
      </c>
    </row>
    <row r="72" spans="1:47" ht="21" customHeight="1">
      <c r="A72" s="179">
        <f t="shared" ref="A72:A103" si="45">A71+2</f>
        <v>9</v>
      </c>
      <c r="B72" s="180" t="str">
        <f t="shared" ca="1" si="43"/>
        <v/>
      </c>
      <c r="C72" s="180" t="str">
        <f>IF(OR(クライアント抽出!C2&lt;&gt;"",クライアント抽出!F2&lt;&gt;""),クライアント抽出!A2,"")</f>
        <v/>
      </c>
      <c r="D72" s="180" t="str">
        <f t="array" aca="1" ref="D72" ca="1">IF(C72&lt;&gt;"",INDIRECT("クライアント抽出!"&amp;E72&amp;MATCH(C72,クライアント抽出!A:A,0)&amp;""),"")</f>
        <v/>
      </c>
      <c r="E72" s="180" t="str">
        <f>IF(H72&lt;&gt;0,
IFERROR(
SUBSTITUTE(ADDRESS(1,
MATCH(VALUE(H72),クライアント抽出!A2:G2,0)+8,4),"1",""),
""),
IFERROR(
SUBSTITUTE(ADDRESS(1,
MATCH(VALUE(I72),クライアント抽出!A2:G2,0)+8,4),"1",""),
""))</f>
        <v/>
      </c>
      <c r="F72" s="181" t="str">
        <f ca="1">IF(D72&lt;&gt;"",
IF(COUNTIF(C72,"*雙葉*"),
IF(ROUND((H72-M72)
/IF(COUNTIF(D72,"*キャラ*"),
VLOOKUP("*キャラ*",商品マスタ一覧!$D:$E,2,FALSE),
IF(COUNTIF(D72,"*赤*"),
VLOOKUP("*赤*",商品マスタ一覧!$D:$E,2,FALSE),
VLOOKUP("*"&amp;D72&amp;"*",商品マスタ一覧!$D:$E,2,FALSE))),0)&lt;=0,1,
ROUND((H72-M72)
/IF(COUNTIF(D72,"*キャラ*"),
VLOOKUP("*キャラ*",商品マスタ一覧!$D:$E,2,FALSE),
IF(COUNTIF(D72,"*赤*"),
VLOOKUP("*赤*",商品マスタ一覧!$D:$E,2,FALSE),
VLOOKUP("*"&amp;D72&amp;"*",商品マスタ一覧!$D:$E,2,FALSE))),0)),
IF(OR(COUNTIF(D72,"*キャラ*"),COUNTIF(D72,"*赤*")),"",
IF(VLOOKUP("*"&amp;D72&amp;"*",商品マスタ一覧!$D:$E,2,FALSE)=0,"",
IF(ROUND((H72-M72)
/VLOOKUP("*"&amp;D72&amp;"*",商品マスタ一覧!$D:$E,2,FALSE),0)&lt;=0,1,
ROUND((H72-M72)
/VLOOKUP("*"&amp;D72&amp;"*",商品マスタ一覧!$D:$E,2,FALSE),0))))),"")</f>
        <v/>
      </c>
      <c r="G72" s="180" t="str">
        <f ca="1">IF(F72&lt;&gt;"",
IF(VALUE(H72-M72)&gt;VALUE(IF(COUNTIF(D72,"*キャラ*"),
VLOOKUP("*キャラ*",商品マスタ一覧!$D:$E,2,FALSE),
IF(COUNTIF(D72,"*赤*"),
VLOOKUP("*赤*",商品マスタ一覧!$D:$E,2,FALSE),
VLOOKUP("*"&amp;D72&amp;"*",商品マスタ一覧!$D:$E,2,FALSE)))*F72),
"+"&amp;(H72-M72)-IF(COUNTIF(D72,"*キャラ*"),
VLOOKUP("*キャラ*",商品マスタ一覧!$D:$E,2,FALSE),
IF(COUNTIF(D72,"*赤*"),
VLOOKUP("*赤*",商品マスタ一覧!$D:$E,2,FALSE),
VLOOKUP("*"&amp;D72&amp;"*",商品マスタ一覧!$D:$E,2,FALSE)))*F72,
(H72-M72)-IF(COUNTIF(D72,"*キャラ*"),
VLOOKUP("*キャラ*",商品マスタ一覧!$D:$E,2,FALSE),
IF(COUNTIF(D72,"*赤*"),
VLOOKUP("*赤*",商品マスタ一覧!$D:$E,2,FALSE),
VLOOKUP("*"&amp;D72&amp;"*",商品マスタ一覧!$D:$E,2,FALSE)))*F72),"")</f>
        <v/>
      </c>
      <c r="H72" s="182" t="str">
        <f>IF(C72&lt;&gt;"",
クライアント抽出!C2,"")</f>
        <v/>
      </c>
      <c r="I72" s="180" t="str">
        <f t="array" aca="1" ref="I72" ca="1">IF(C72&lt;&gt;"",
IF(O72=1,
IF(SUMPRODUCT(COUNTIF(クライアント抽出!P2:U2,クライアント抽出!P2:U2))&gt;COUNTA(クライアント抽出!P2:U2),
INDIRECT("数出表_Excel!"&amp;INDEX(_xlfn.UNIQUE(_xlfn._xlws.FILTER(クライアント抽出!P2:U2,COUNTIF(クライアント抽出!P2:U2,クライアント抽出!P2:U2)=1)),1)&amp;L72&amp;""),
0),クライアント抽出!F2),"")</f>
        <v/>
      </c>
      <c r="J72" s="180" t="str">
        <f>IF(C72&lt;&gt;"",
VLOOKUP(
"*"&amp;LEFT(IF(COUNTIF(D72,"*学食*"),"キャラ弁（学食）",
IF(COUNTIF(D72,"*赤*"),"赤",
IF(COUNTIF(D72,"*キャラ弁当*"),"キャラ弁当",D72))),4)&amp;"*",注文弁当の抽出!$E$1:$F$15,2,FALSE),"")</f>
        <v/>
      </c>
      <c r="K72" s="180" t="str">
        <f ca="1">IF(クライアント抽出!Q2&lt;&gt;"",SUBSTITUTE(ADDRESS(1,(CODE(クライアント抽出!Q2)-64)*2-1,4),"1",""),"")</f>
        <v/>
      </c>
      <c r="L72" s="180" t="str">
        <f>IF(C2&lt;&gt;"",クライアント抽出!I2,"")</f>
        <v/>
      </c>
      <c r="M72" s="180">
        <f t="array" aca="1" ref="M72" ca="1">IF(C72&lt;&gt;"",
IF(K72&lt;&gt;"",INDIRECT("'数出表_Excel（アレルギー入力）'!"&amp;K72&amp;L72-1&amp;""),),)</f>
        <v>0</v>
      </c>
      <c r="N72" s="180" t="str">
        <f>IF(C72&lt;&gt;"",IF(OR(COUNTIF('盛付札（関数）'!D72,"*赤*"),COUNTIF('盛付札（関数）'!D72,"*キャラ*")),1,
VLOOKUP("*"&amp;D72&amp;"*",商品マスタ一覧!D:H,5,FALSE)),"")</f>
        <v/>
      </c>
      <c r="O72" s="180">
        <f t="shared" ca="1" si="44"/>
        <v>0</v>
      </c>
      <c r="P72" s="180">
        <f t="shared" si="23"/>
        <v>0</v>
      </c>
      <c r="Q72" s="180" t="b">
        <f t="shared" si="24"/>
        <v>0</v>
      </c>
      <c r="R72" s="51" t="str">
        <f t="array" aca="1" ref="R72" ca="1">IFERROR(SMALL(IF(P$1:P$307&lt;&gt;0,P$1:P$307),ROW(A72)),"")</f>
        <v/>
      </c>
      <c r="S72" s="51" t="str">
        <f t="array" aca="1" ref="S72" ca="1">IF($R72&lt;&gt;"",
SUBSTITUTE(SUBSTITUTE(INDIRECT("C"&amp;$R72&amp;"")," 週3ｺｰｽ","")," 週5ｺｰｽ",""),"")</f>
        <v/>
      </c>
      <c r="T72" s="51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91" t="str">
        <f t="array" aca="1" ref="U72" ca="1">IF($R72&lt;&gt;"",
INDIRECT("F"&amp;$R72&amp;""),"")</f>
        <v/>
      </c>
      <c r="V72" s="51" t="str">
        <f t="array" aca="1" ref="V72" ca="1">IF($R72&lt;&gt;"",
INDIRECT("G"&amp;$R72&amp;""),"")</f>
        <v/>
      </c>
      <c r="W72" s="51" t="str">
        <f t="array" aca="1" ref="W72" ca="1">IF($R72&lt;&gt;"",
IF(AND(COUNTIF(INDIRECT("B"&amp;R72&amp;""),"*雙葉*"),COUNTIF(B:B,"*雙葉*")&gt;=2),
IF(OR(COUNTIF(INDIRECT("B"&amp;R72&amp;""),"*雙葉先生*"),COUNTIF($B$1:$B$70,"*雙葉*")&gt;=2),INDIRECT("H"&amp;R72&amp;""),INDIRECT("H"&amp;R72&amp;"")+INDIRECT("H"&amp;MATCH("雙葉'",INDIRECT("B"&amp;R72+3&amp;":B210"),0)+2+R72&amp;"")),
IF(AND(LEFT(INDIRECT("B"&amp;R72&amp;""),2)="博多",COUNTIF(B:B,"*博多*")&gt;=2),
INDIRECT("H"&amp;R72&amp;"")+INDIRECT("H"&amp;MATCH("*"&amp;INDIRECT("B"&amp;R72&amp;"")&amp;"*",INDIRECT("B"&amp;R72+1&amp;":B210"),0)+R72&amp;""),
IF(AND(LEFT(INDIRECT("B"&amp;R72&amp;""),3)="奈良屋",COUNTIF(B:B,"*奈良屋*")&gt;=2),
INDIRECT("H"&amp;R72&amp;"")+INDIRECT("H"&amp;MATCH("*"&amp;INDIRECT("B"&amp;R72&amp;"")&amp;"*",INDIRECT("B"&amp;R72+1&amp;":B210"),0)+R72&amp;"")
+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INDIRECT("H"&amp;R72&amp;"")))),"")</f>
        <v/>
      </c>
      <c r="X72" s="51" t="str">
        <f t="array" aca="1" ref="X72" ca="1">IF($R72&lt;&gt;"",
INDIRECT(""&amp;IF(COLUMN(I72)&lt;=26,CHAR(COLUMN(I72)+64),CHAR(INT((COLUMN(I72)-1)/26)+64)&amp;CHAR(MOD(COLUMN(I72)-1,26)+65))&amp;$R72&amp;""),"")</f>
        <v/>
      </c>
      <c r="Y72" s="51" t="str">
        <f t="array" aca="1" ref="Y72" ca="1">IF($R72&lt;&gt;"",
INDIRECT(""&amp;IF(COLUMN(J72)&lt;=26,CHAR(COLUMN(J72)+64),CHAR(INT((COLUMN(J72)-1)/26)+64)&amp;CHAR(MOD(COLUMN(J72)-1,26)+65))&amp;$R72&amp;""),"")</f>
        <v/>
      </c>
      <c r="Z72" s="51" t="str">
        <f t="shared" ca="1" si="25"/>
        <v/>
      </c>
      <c r="AA72" s="51" t="str">
        <f t="shared" ca="1" si="26"/>
        <v/>
      </c>
      <c r="AB72" s="51" t="str">
        <f t="array" aca="1" ref="AB72" ca="1">IF($R72&lt;&gt;"",
IF(AND(COUNTIF(INDIRECT("B"&amp;R72&amp;""),"*雙葉*"),COUNTIF(B:B,"*雙葉*")&gt;=2),
INDIRECT("M"&amp;R72&amp;"")+INDIRECT("M"&amp;MATCH("雙葉'",INDIRECT("B"&amp;R72+1&amp;":B210"),0)+R72&amp;""),
IF(AND(LEFT(INDIRECT("B"&amp;R72&amp;""),2)="博多",COUNTIF(B:B,"*博多*")&gt;=2),
INDIRECT("M"&amp;R72&amp;"")+INDIRECT("M"&amp;MATCH("*"&amp;INDIRECT("B"&amp;R72&amp;"")&amp;"*",INDIRECT("B"&amp;R72+1&amp;":B210"),0)+R72&amp;""),
IF(AND(LEFT(INDIRECT("B"&amp;R72&amp;""),3)="奈良屋",COUNTIF(B:B,"*奈良屋*")&gt;=2),
INDIRECT("M"&amp;R72&amp;"")+INDIRECT("M"&amp;MATCH("*"&amp;INDIRECT("B"&amp;R72&amp;"")&amp;"*",INDIRECT("B"&amp;R72+1&amp;":B210"),0)+R72&amp;"")
+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INDIRECT("M"&amp;R72&amp;"")))),"")</f>
        <v/>
      </c>
      <c r="AC72" s="51" t="str">
        <f t="shared" ca="1" si="27"/>
        <v/>
      </c>
      <c r="AD72" s="51" t="str">
        <f t="shared" ca="1" si="28"/>
        <v/>
      </c>
      <c r="AE72" s="51" t="str">
        <f t="shared" ca="1" si="29"/>
        <v/>
      </c>
      <c r="AF72" s="51" t="str">
        <f t="shared" ca="1" si="30"/>
        <v/>
      </c>
      <c r="AG72" s="51" t="str">
        <f t="shared" ca="1" si="31"/>
        <v/>
      </c>
      <c r="AH72" s="191" t="str">
        <f t="shared" ca="1" si="32"/>
        <v/>
      </c>
      <c r="AI72" s="51" t="str">
        <f t="shared" ca="1" si="33"/>
        <v/>
      </c>
      <c r="AJ72" s="51" t="str">
        <f t="shared" ca="1" si="34"/>
        <v/>
      </c>
      <c r="AK72" s="51" t="str">
        <f t="shared" ca="1" si="35"/>
        <v/>
      </c>
      <c r="AL72" s="51" t="str">
        <f t="shared" ca="1" si="36"/>
        <v/>
      </c>
      <c r="AM72" s="51" t="str">
        <f t="shared" ca="1" si="37"/>
        <v/>
      </c>
      <c r="AN72" s="51" t="str">
        <f t="shared" ca="1" si="38"/>
        <v/>
      </c>
      <c r="AO72" s="51" t="str">
        <f t="shared" ca="1" si="39"/>
        <v/>
      </c>
      <c r="AP72" s="51" t="str">
        <f t="shared" ca="1" si="40"/>
        <v/>
      </c>
      <c r="AU72" s="51" t="str">
        <f t="shared" ca="1" si="41"/>
        <v/>
      </c>
    </row>
    <row r="73" spans="1:47" ht="19.2" customHeight="1">
      <c r="A73" s="179">
        <f t="shared" si="45"/>
        <v>11</v>
      </c>
      <c r="B73" s="180" t="str">
        <f t="shared" ca="1" si="43"/>
        <v/>
      </c>
      <c r="C73" s="180" t="str">
        <f>IF(OR(クライアント抽出!C3&lt;&gt;"",クライアント抽出!F3&lt;&gt;""),クライアント抽出!A3,"")</f>
        <v/>
      </c>
      <c r="D73" s="180" t="str">
        <f t="array" aca="1" ref="D73" ca="1">IF(C73&lt;&gt;"",INDIRECT("クライアント抽出!"&amp;E73&amp;MATCH(C73,クライアント抽出!A:A,0)&amp;""),"")</f>
        <v/>
      </c>
      <c r="E73" s="180" t="str">
        <f>IF(H73&lt;&gt;0,
IFERROR(
SUBSTITUTE(ADDRESS(1,
MATCH(VALUE(H73),クライアント抽出!A3:G3,0)+8,4),"1",""),
""),
IFERROR(
SUBSTITUTE(ADDRESS(1,
MATCH(VALUE(I73),クライアント抽出!A3:G3,0)+8,4),"1",""),
""))</f>
        <v/>
      </c>
      <c r="F73" s="181" t="str">
        <f ca="1">IF(D73&lt;&gt;"",
IF(COUNTIF(C73,"*雙葉*"),
IF(ROUND((H73-M73)
/IF(COUNTIF(D73,"*キャラ*"),
VLOOKUP("*キャラ*",商品マスタ一覧!$D:$E,2,FALSE),
IF(COUNTIF(D73,"*赤*"),
VLOOKUP("*赤*",商品マスタ一覧!$D:$E,2,FALSE),
VLOOKUP("*"&amp;D73&amp;"*",商品マスタ一覧!$D:$E,2,FALSE))),0)&lt;=0,1,
ROUND((H73-M73)
/IF(COUNTIF(D73,"*キャラ*"),
VLOOKUP("*キャラ*",商品マスタ一覧!$D:$E,2,FALSE),
IF(COUNTIF(D73,"*赤*"),
VLOOKUP("*赤*",商品マスタ一覧!$D:$E,2,FALSE),
VLOOKUP("*"&amp;D73&amp;"*",商品マスタ一覧!$D:$E,2,FALSE))),0)),
IF(OR(COUNTIF(D73,"*キャラ*"),COUNTIF(D73,"*赤*")),"",
IF(VLOOKUP("*"&amp;D73&amp;"*",商品マスタ一覧!$D:$E,2,FALSE)=0,"",
IF(ROUND((H73-M73)
/VLOOKUP("*"&amp;D73&amp;"*",商品マスタ一覧!$D:$E,2,FALSE),0)&lt;=0,1,
ROUND((H73-M73)
/VLOOKUP("*"&amp;D73&amp;"*",商品マスタ一覧!$D:$E,2,FALSE),0))))),"")</f>
        <v/>
      </c>
      <c r="G73" s="180" t="str">
        <f ca="1">IF(F73&lt;&gt;"",
IF(VALUE(H73-M73)&gt;VALUE(IF(COUNTIF(D73,"*キャラ*"),
VLOOKUP("*キャラ*",商品マスタ一覧!$D:$E,2,FALSE),
IF(COUNTIF(D73,"*赤*"),
VLOOKUP("*赤*",商品マスタ一覧!$D:$E,2,FALSE),
VLOOKUP("*"&amp;D73&amp;"*",商品マスタ一覧!$D:$E,2,FALSE)))*F73),
"+"&amp;(H73-M73)-IF(COUNTIF(D73,"*キャラ*"),
VLOOKUP("*キャラ*",商品マスタ一覧!$D:$E,2,FALSE),
IF(COUNTIF(D73,"*赤*"),
VLOOKUP("*赤*",商品マスタ一覧!$D:$E,2,FALSE),
VLOOKUP("*"&amp;D73&amp;"*",商品マスタ一覧!$D:$E,2,FALSE)))*F73,
(H73-M73)-IF(COUNTIF(D73,"*キャラ*"),
VLOOKUP("*キャラ*",商品マスタ一覧!$D:$E,2,FALSE),
IF(COUNTIF(D73,"*赤*"),
VLOOKUP("*赤*",商品マスタ一覧!$D:$E,2,FALSE),
VLOOKUP("*"&amp;D73&amp;"*",商品マスタ一覧!$D:$E,2,FALSE)))*F73),"")</f>
        <v/>
      </c>
      <c r="H73" s="182" t="str">
        <f>IF(C73&lt;&gt;"",
クライアント抽出!C3,"")</f>
        <v/>
      </c>
      <c r="I73" s="180" t="str">
        <f t="array" aca="1" ref="I73" ca="1">IF(C73&lt;&gt;"",
IF(O73=1,
IF(SUMPRODUCT(COUNTIF(クライアント抽出!P3:U3,クライアント抽出!P3:U3))&gt;COUNTA(クライアント抽出!P3:U3),
INDIRECT("数出表_Excel!"&amp;INDEX(_xlfn.UNIQUE(_xlfn._xlws.FILTER(クライアント抽出!P3:U3,COUNTIF(クライアント抽出!P3:U3,クライアント抽出!P3:U3)=1)),1)&amp;L73&amp;""),
0),クライアント抽出!F3),"")</f>
        <v/>
      </c>
      <c r="J73" s="180" t="str">
        <f>IF(C73&lt;&gt;"",
VLOOKUP(
"*"&amp;LEFT(IF(COUNTIF(D73,"*学食*"),"キャラ弁（学食）",
IF(COUNTIF(D73,"*赤*"),"赤",
IF(COUNTIF(D73,"*キャラ弁当*"),"キャラ弁当",D73))),4)&amp;"*",注文弁当の抽出!$E$1:$F$15,2,FALSE),"")</f>
        <v/>
      </c>
      <c r="K73" s="180" t="str">
        <f ca="1">IF(クライアント抽出!Q3&lt;&gt;"",SUBSTITUTE(ADDRESS(1,(CODE(クライアント抽出!Q3)-64)*2-1,4),"1",""),"")</f>
        <v/>
      </c>
      <c r="L73" s="180" t="str">
        <f>IF(C3&lt;&gt;"",クライアント抽出!I3,"")</f>
        <v/>
      </c>
      <c r="M73" s="180">
        <f t="array" aca="1" ref="M73" ca="1">IF(C73&lt;&gt;"",
IF(K73&lt;&gt;"",INDIRECT("'数出表_Excel（アレルギー入力）'!"&amp;K73&amp;L73-1&amp;""),),)</f>
        <v>0</v>
      </c>
      <c r="N73" s="180" t="str">
        <f>IF(C73&lt;&gt;"",IF(OR(COUNTIF('盛付札（関数）'!D73,"*赤*"),COUNTIF('盛付札（関数）'!D73,"*キャラ*")),1,
VLOOKUP("*"&amp;D73&amp;"*",商品マスタ一覧!D:H,5,FALSE)),"")</f>
        <v/>
      </c>
      <c r="O73" s="180">
        <f t="shared" ca="1" si="44"/>
        <v>0</v>
      </c>
      <c r="P73" s="180">
        <f t="shared" si="23"/>
        <v>0</v>
      </c>
      <c r="Q73" s="180" t="b">
        <f t="shared" si="24"/>
        <v>0</v>
      </c>
      <c r="R73" s="51" t="str">
        <f t="array" aca="1" ref="R73" ca="1">IFERROR(SMALL(IF(P$1:P$307&lt;&gt;0,P$1:P$307),ROW(A73)),"")</f>
        <v/>
      </c>
      <c r="S73" s="51" t="str">
        <f t="array" aca="1" ref="S73" ca="1">IF($R73&lt;&gt;"",
SUBSTITUTE(SUBSTITUTE(INDIRECT("C"&amp;$R73&amp;"")," 週3ｺｰｽ","")," 週5ｺｰｽ",""),"")</f>
        <v/>
      </c>
      <c r="T73" s="51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91" t="str">
        <f t="array" aca="1" ref="U73" ca="1">IF($R73&lt;&gt;"",
INDIRECT("F"&amp;$R73&amp;""),"")</f>
        <v/>
      </c>
      <c r="V73" s="51" t="str">
        <f t="array" aca="1" ref="V73" ca="1">IF($R73&lt;&gt;"",
INDIRECT("G"&amp;$R73&amp;""),"")</f>
        <v/>
      </c>
      <c r="W73" s="51" t="str">
        <f t="array" aca="1" ref="W73" ca="1">IF($R73&lt;&gt;"",
IF(AND(COUNTIF(INDIRECT("B"&amp;R73&amp;""),"*雙葉*"),COUNTIF(B:B,"*雙葉*")&gt;=2),
IF(OR(COUNTIF(INDIRECT("B"&amp;R73&amp;""),"*雙葉先生*"),COUNTIF($B$1:$B$70,"*雙葉*")&gt;=2),INDIRECT("H"&amp;R73&amp;""),INDIRECT("H"&amp;R73&amp;"")+INDIRECT("H"&amp;MATCH("雙葉'",INDIRECT("B"&amp;R73+3&amp;":B210"),0)+2+R73&amp;"")),
IF(AND(LEFT(INDIRECT("B"&amp;R73&amp;""),2)="博多",COUNTIF(B:B,"*博多*")&gt;=2),
INDIRECT("H"&amp;R73&amp;"")+INDIRECT("H"&amp;MATCH("*"&amp;INDIRECT("B"&amp;R73&amp;"")&amp;"*",INDIRECT("B"&amp;R73+1&amp;":B210"),0)+R73&amp;""),
IF(AND(LEFT(INDIRECT("B"&amp;R73&amp;""),3)="奈良屋",COUNTIF(B:B,"*奈良屋*")&gt;=2),
INDIRECT("H"&amp;R73&amp;"")+INDIRECT("H"&amp;MATCH("*"&amp;INDIRECT("B"&amp;R73&amp;"")&amp;"*",INDIRECT("B"&amp;R73+1&amp;":B210"),0)+R73&amp;"")
+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INDIRECT("H"&amp;R73&amp;"")))),"")</f>
        <v/>
      </c>
      <c r="X73" s="51" t="str">
        <f t="array" aca="1" ref="X73" ca="1">IF($R73&lt;&gt;"",
INDIRECT(""&amp;IF(COLUMN(I73)&lt;=26,CHAR(COLUMN(I73)+64),CHAR(INT((COLUMN(I73)-1)/26)+64)&amp;CHAR(MOD(COLUMN(I73)-1,26)+65))&amp;$R73&amp;""),"")</f>
        <v/>
      </c>
      <c r="Y73" s="51" t="str">
        <f t="array" aca="1" ref="Y73" ca="1">IF($R73&lt;&gt;"",
INDIRECT(""&amp;IF(COLUMN(J73)&lt;=26,CHAR(COLUMN(J73)+64),CHAR(INT((COLUMN(J73)-1)/26)+64)&amp;CHAR(MOD(COLUMN(J73)-1,26)+65))&amp;$R73&amp;""),"")</f>
        <v/>
      </c>
      <c r="Z73" s="51" t="str">
        <f t="shared" ca="1" si="25"/>
        <v/>
      </c>
      <c r="AA73" s="51" t="str">
        <f t="shared" ca="1" si="26"/>
        <v/>
      </c>
      <c r="AB73" s="51" t="str">
        <f t="array" aca="1" ref="AB73" ca="1">IF($R73&lt;&gt;"",
IF(AND(COUNTIF(INDIRECT("B"&amp;R73&amp;""),"*雙葉*"),COUNTIF(B:B,"*雙葉*")&gt;=2),
INDIRECT("M"&amp;R73&amp;"")+INDIRECT("M"&amp;MATCH("雙葉'",INDIRECT("B"&amp;R73+1&amp;":B210"),0)+R73&amp;""),
IF(AND(LEFT(INDIRECT("B"&amp;R73&amp;""),2)="博多",COUNTIF(B:B,"*博多*")&gt;=2),
INDIRECT("M"&amp;R73&amp;"")+INDIRECT("M"&amp;MATCH("*"&amp;INDIRECT("B"&amp;R73&amp;"")&amp;"*",INDIRECT("B"&amp;R73+1&amp;":B210"),0)+R73&amp;""),
IF(AND(LEFT(INDIRECT("B"&amp;R73&amp;""),3)="奈良屋",COUNTIF(B:B,"*奈良屋*")&gt;=2),
INDIRECT("M"&amp;R73&amp;"")+INDIRECT("M"&amp;MATCH("*"&amp;INDIRECT("B"&amp;R73&amp;"")&amp;"*",INDIRECT("B"&amp;R73+1&amp;":B210"),0)+R73&amp;"")
+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INDIRECT("M"&amp;R73&amp;"")))),"")</f>
        <v/>
      </c>
      <c r="AC73" s="51" t="str">
        <f t="shared" ca="1" si="27"/>
        <v/>
      </c>
      <c r="AD73" s="51" t="str">
        <f t="shared" ca="1" si="28"/>
        <v/>
      </c>
      <c r="AE73" s="51" t="str">
        <f t="shared" ca="1" si="29"/>
        <v/>
      </c>
      <c r="AF73" s="51" t="str">
        <f t="shared" ca="1" si="30"/>
        <v/>
      </c>
      <c r="AG73" s="51" t="str">
        <f t="shared" ca="1" si="31"/>
        <v/>
      </c>
      <c r="AH73" s="191" t="str">
        <f t="shared" ca="1" si="32"/>
        <v/>
      </c>
      <c r="AI73" s="51" t="str">
        <f t="shared" ca="1" si="33"/>
        <v/>
      </c>
      <c r="AJ73" s="51" t="str">
        <f t="shared" ca="1" si="34"/>
        <v/>
      </c>
      <c r="AK73" s="51" t="str">
        <f t="shared" ca="1" si="35"/>
        <v/>
      </c>
      <c r="AL73" s="51" t="str">
        <f t="shared" ca="1" si="36"/>
        <v/>
      </c>
      <c r="AM73" s="51" t="str">
        <f t="shared" ca="1" si="37"/>
        <v/>
      </c>
      <c r="AN73" s="51" t="str">
        <f t="shared" ca="1" si="38"/>
        <v/>
      </c>
      <c r="AO73" s="51" t="str">
        <f t="shared" ca="1" si="39"/>
        <v/>
      </c>
      <c r="AP73" s="51" t="str">
        <f t="shared" ca="1" si="40"/>
        <v/>
      </c>
      <c r="AU73" s="51" t="str">
        <f t="shared" ca="1" si="41"/>
        <v/>
      </c>
    </row>
    <row r="74" spans="1:47" ht="19.2" customHeight="1">
      <c r="A74" s="179">
        <f t="shared" si="45"/>
        <v>13</v>
      </c>
      <c r="B74" s="180" t="str">
        <f t="shared" ca="1" si="43"/>
        <v/>
      </c>
      <c r="C74" s="180" t="str">
        <f>IF(OR(クライアント抽出!C4&lt;&gt;"",クライアント抽出!F4&lt;&gt;""),クライアント抽出!A4,"")</f>
        <v/>
      </c>
      <c r="D74" s="180" t="str">
        <f t="array" aca="1" ref="D74" ca="1">IF(C74&lt;&gt;"",INDIRECT("クライアント抽出!"&amp;E74&amp;MATCH(C74,クライアント抽出!A:A,0)&amp;""),"")</f>
        <v/>
      </c>
      <c r="E74" s="180" t="str">
        <f>IF(H74&lt;&gt;0,
IFERROR(
SUBSTITUTE(ADDRESS(1,
MATCH(VALUE(H74),クライアント抽出!A4:G4,0)+8,4),"1",""),
""),
IFERROR(
SUBSTITUTE(ADDRESS(1,
MATCH(VALUE(I74),クライアント抽出!A4:G4,0)+8,4),"1",""),
""))</f>
        <v/>
      </c>
      <c r="F74" s="181" t="str">
        <f ca="1">IF(D74&lt;&gt;"",
IF(COUNTIF(C74,"*雙葉*"),
IF(ROUND((H74-M74)
/IF(COUNTIF(D74,"*キャラ*"),
VLOOKUP("*キャラ*",商品マスタ一覧!$D:$E,2,FALSE),
IF(COUNTIF(D74,"*赤*"),
VLOOKUP("*赤*",商品マスタ一覧!$D:$E,2,FALSE),
VLOOKUP("*"&amp;D74&amp;"*",商品マスタ一覧!$D:$E,2,FALSE))),0)&lt;=0,1,
ROUND((H74-M74)
/IF(COUNTIF(D74,"*キャラ*"),
VLOOKUP("*キャラ*",商品マスタ一覧!$D:$E,2,FALSE),
IF(COUNTIF(D74,"*赤*"),
VLOOKUP("*赤*",商品マスタ一覧!$D:$E,2,FALSE),
VLOOKUP("*"&amp;D74&amp;"*",商品マスタ一覧!$D:$E,2,FALSE))),0)),
IF(OR(COUNTIF(D74,"*キャラ*"),COUNTIF(D74,"*赤*")),"",
IF(VLOOKUP("*"&amp;D74&amp;"*",商品マスタ一覧!$D:$E,2,FALSE)=0,"",
IF(ROUND((H74-M74)
/VLOOKUP("*"&amp;D74&amp;"*",商品マスタ一覧!$D:$E,2,FALSE),0)&lt;=0,1,
ROUND((H74-M74)
/VLOOKUP("*"&amp;D74&amp;"*",商品マスタ一覧!$D:$E,2,FALSE),0))))),"")</f>
        <v/>
      </c>
      <c r="G74" s="180" t="str">
        <f ca="1">IF(F74&lt;&gt;"",
IF(VALUE(H74-M74)&gt;VALUE(IF(COUNTIF(D74,"*キャラ*"),
VLOOKUP("*キャラ*",商品マスタ一覧!$D:$E,2,FALSE),
IF(COUNTIF(D74,"*赤*"),
VLOOKUP("*赤*",商品マスタ一覧!$D:$E,2,FALSE),
VLOOKUP("*"&amp;D74&amp;"*",商品マスタ一覧!$D:$E,2,FALSE)))*F74),
"+"&amp;(H74-M74)-IF(COUNTIF(D74,"*キャラ*"),
VLOOKUP("*キャラ*",商品マスタ一覧!$D:$E,2,FALSE),
IF(COUNTIF(D74,"*赤*"),
VLOOKUP("*赤*",商品マスタ一覧!$D:$E,2,FALSE),
VLOOKUP("*"&amp;D74&amp;"*",商品マスタ一覧!$D:$E,2,FALSE)))*F74,
(H74-M74)-IF(COUNTIF(D74,"*キャラ*"),
VLOOKUP("*キャラ*",商品マスタ一覧!$D:$E,2,FALSE),
IF(COUNTIF(D74,"*赤*"),
VLOOKUP("*赤*",商品マスタ一覧!$D:$E,2,FALSE),
VLOOKUP("*"&amp;D74&amp;"*",商品マスタ一覧!$D:$E,2,FALSE)))*F74),"")</f>
        <v/>
      </c>
      <c r="H74" s="182" t="str">
        <f>IF(C74&lt;&gt;"",
クライアント抽出!C4,"")</f>
        <v/>
      </c>
      <c r="I74" s="180" t="str">
        <f t="array" aca="1" ref="I74" ca="1">IF(C74&lt;&gt;"",
IF(O74=1,
IF(SUMPRODUCT(COUNTIF(クライアント抽出!P4:U4,クライアント抽出!P4:U4))&gt;COUNTA(クライアント抽出!P4:U4),
INDIRECT("数出表_Excel!"&amp;INDEX(_xlfn.UNIQUE(_xlfn._xlws.FILTER(クライアント抽出!P4:U4,COUNTIF(クライアント抽出!P4:U4,クライアント抽出!P4:U4)=1)),1)&amp;L74&amp;""),
0),クライアント抽出!F4),"")</f>
        <v/>
      </c>
      <c r="J74" s="180" t="str">
        <f>IF(C74&lt;&gt;"",
VLOOKUP(
"*"&amp;LEFT(IF(COUNTIF(D74,"*学食*"),"キャラ弁（学食）",
IF(COUNTIF(D74,"*赤*"),"赤",
IF(COUNTIF(D74,"*キャラ弁当*"),"キャラ弁当",D74))),4)&amp;"*",注文弁当の抽出!$E$1:$F$15,2,FALSE),"")</f>
        <v/>
      </c>
      <c r="K74" s="180" t="str">
        <f ca="1">IF(クライアント抽出!Q4&lt;&gt;"",SUBSTITUTE(ADDRESS(1,(CODE(クライアント抽出!Q4)-64)*2-1,4),"1",""),"")</f>
        <v/>
      </c>
      <c r="L74" s="180" t="str">
        <f>IF(C4&lt;&gt;"",クライアント抽出!I4,"")</f>
        <v/>
      </c>
      <c r="M74" s="180">
        <f t="array" aca="1" ref="M74" ca="1">IF(C74&lt;&gt;"",
IF(K74&lt;&gt;"",INDIRECT("'数出表_Excel（アレルギー入力）'!"&amp;K74&amp;L74-1&amp;""),),)</f>
        <v>0</v>
      </c>
      <c r="N74" s="180" t="str">
        <f>IF(C74&lt;&gt;"",IF(OR(COUNTIF('盛付札（関数）'!D74,"*赤*"),COUNTIF('盛付札（関数）'!D74,"*キャラ*")),1,
VLOOKUP("*"&amp;D74&amp;"*",商品マスタ一覧!D:H,5,FALSE)),"")</f>
        <v/>
      </c>
      <c r="O74" s="180">
        <f t="shared" ca="1" si="44"/>
        <v>0</v>
      </c>
      <c r="P74" s="180">
        <f t="shared" si="23"/>
        <v>0</v>
      </c>
      <c r="Q74" s="180" t="b">
        <f t="shared" si="24"/>
        <v>0</v>
      </c>
      <c r="R74" s="51" t="str">
        <f t="array" aca="1" ref="R74" ca="1">IFERROR(SMALL(IF(P$1:P$307&lt;&gt;0,P$1:P$307),ROW(A74)),"")</f>
        <v/>
      </c>
      <c r="S74" s="51"/>
      <c r="T74" s="51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91" t="str">
        <f t="array" aca="1" ref="U74" ca="1">IF($R74&lt;&gt;"",
INDIRECT("F"&amp;$R74&amp;""),"")</f>
        <v/>
      </c>
      <c r="V74" s="51" t="str">
        <f t="array" aca="1" ref="V74" ca="1">IF($R74&lt;&gt;"",
INDIRECT("G"&amp;$R74&amp;""),"")</f>
        <v/>
      </c>
      <c r="W74" s="51" t="str">
        <f t="array" aca="1" ref="W74" ca="1">IF($R74&lt;&gt;"",
IF(AND(COUNTIF(INDIRECT("B"&amp;R74&amp;""),"*雙葉*"),COUNTIF(B:B,"*雙葉*")&gt;=2),
IF(OR(COUNTIF(INDIRECT("B"&amp;R74&amp;""),"*雙葉先生*"),COUNTIF($B$1:$B$70,"*雙葉*")&gt;=2),INDIRECT("H"&amp;R74&amp;""),INDIRECT("H"&amp;R74&amp;"")+INDIRECT("H"&amp;MATCH("雙葉'",INDIRECT("B"&amp;R74+3&amp;":B210"),0)+2+R74&amp;"")),
IF(AND(LEFT(INDIRECT("B"&amp;R74&amp;""),2)="博多",COUNTIF(B:B,"*博多*")&gt;=2),
INDIRECT("H"&amp;R74&amp;"")+INDIRECT("H"&amp;MATCH("*"&amp;INDIRECT("B"&amp;R74&amp;"")&amp;"*",INDIRECT("B"&amp;R74+1&amp;":B210"),0)+R74&amp;""),
IF(AND(LEFT(INDIRECT("B"&amp;R74&amp;""),3)="奈良屋",COUNTIF(B:B,"*奈良屋*")&gt;=2),
INDIRECT("H"&amp;R74&amp;"")+INDIRECT("H"&amp;MATCH("*"&amp;INDIRECT("B"&amp;R74&amp;"")&amp;"*",INDIRECT("B"&amp;R74+1&amp;":B210"),0)+R74&amp;"")
+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INDIRECT("H"&amp;R74&amp;"")))),"")</f>
        <v/>
      </c>
      <c r="X74" s="51" t="str">
        <f t="array" aca="1" ref="X74" ca="1">IF($R74&lt;&gt;"",
INDIRECT(""&amp;IF(COLUMN(I74)&lt;=26,CHAR(COLUMN(I74)+64),CHAR(INT((COLUMN(I74)-1)/26)+64)&amp;CHAR(MOD(COLUMN(I74)-1,26)+65))&amp;$R74&amp;""),"")</f>
        <v/>
      </c>
      <c r="Y74" s="51" t="str">
        <f t="array" aca="1" ref="Y74" ca="1">IF($R74&lt;&gt;"",
INDIRECT(""&amp;IF(COLUMN(J74)&lt;=26,CHAR(COLUMN(J74)+64),CHAR(INT((COLUMN(J74)-1)/26)+64)&amp;CHAR(MOD(COLUMN(J74)-1,26)+65))&amp;$R74&amp;""),"")</f>
        <v/>
      </c>
      <c r="Z74" s="51" t="str">
        <f t="shared" ca="1" si="25"/>
        <v/>
      </c>
      <c r="AA74" s="51" t="str">
        <f t="shared" ca="1" si="26"/>
        <v/>
      </c>
      <c r="AB74" s="51" t="str">
        <f t="array" aca="1" ref="AB74" ca="1">IF($R74&lt;&gt;"",
IF(AND(COUNTIF(INDIRECT("B"&amp;R74&amp;""),"*雙葉*"),COUNTIF(B:B,"*雙葉*")&gt;=2),
INDIRECT("M"&amp;R74&amp;"")+INDIRECT("M"&amp;MATCH("雙葉'",INDIRECT("B"&amp;R74+1&amp;":B210"),0)+R74&amp;""),
IF(AND(LEFT(INDIRECT("B"&amp;R74&amp;""),2)="博多",COUNTIF(B:B,"*博多*")&gt;=2),
INDIRECT("M"&amp;R74&amp;"")+INDIRECT("M"&amp;MATCH("*"&amp;INDIRECT("B"&amp;R74&amp;"")&amp;"*",INDIRECT("B"&amp;R74+1&amp;":B210"),0)+R74&amp;""),
IF(AND(LEFT(INDIRECT("B"&amp;R74&amp;""),3)="奈良屋",COUNTIF(B:B,"*奈良屋*")&gt;=2),
INDIRECT("M"&amp;R74&amp;"")+INDIRECT("M"&amp;MATCH("*"&amp;INDIRECT("B"&amp;R74&amp;"")&amp;"*",INDIRECT("B"&amp;R74+1&amp;":B210"),0)+R74&amp;"")
+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INDIRECT("M"&amp;R74&amp;"")))),"")</f>
        <v/>
      </c>
      <c r="AC74" s="51" t="str">
        <f t="shared" si="27"/>
        <v/>
      </c>
      <c r="AD74" s="51" t="str">
        <f t="shared" ca="1" si="28"/>
        <v/>
      </c>
      <c r="AE74" s="51" t="str">
        <f t="shared" ca="1" si="29"/>
        <v/>
      </c>
      <c r="AF74" s="51" t="str">
        <f t="shared" ca="1" si="30"/>
        <v/>
      </c>
      <c r="AG74" s="51" t="str">
        <f t="shared" ca="1" si="31"/>
        <v/>
      </c>
      <c r="AH74" s="191" t="str">
        <f t="shared" ca="1" si="32"/>
        <v/>
      </c>
      <c r="AI74" s="51" t="str">
        <f t="shared" ca="1" si="33"/>
        <v/>
      </c>
      <c r="AJ74" s="51" t="str">
        <f t="shared" ca="1" si="34"/>
        <v/>
      </c>
      <c r="AK74" s="51" t="str">
        <f t="shared" ca="1" si="35"/>
        <v/>
      </c>
      <c r="AL74" s="51" t="str">
        <f t="shared" ca="1" si="36"/>
        <v/>
      </c>
      <c r="AM74" s="51" t="str">
        <f t="shared" ca="1" si="37"/>
        <v/>
      </c>
      <c r="AN74" s="51" t="str">
        <f t="shared" ca="1" si="38"/>
        <v/>
      </c>
      <c r="AO74" s="51" t="str">
        <f t="shared" ca="1" si="39"/>
        <v/>
      </c>
      <c r="AP74" s="51" t="str">
        <f t="shared" ca="1" si="40"/>
        <v/>
      </c>
      <c r="AU74" s="51" t="str">
        <f t="shared" ca="1" si="41"/>
        <v/>
      </c>
    </row>
    <row r="75" spans="1:47" ht="22.2" customHeight="1">
      <c r="A75" s="179">
        <f t="shared" si="45"/>
        <v>15</v>
      </c>
      <c r="B75" s="180" t="str">
        <f t="shared" ca="1" si="43"/>
        <v/>
      </c>
      <c r="C75" s="180" t="str">
        <f>IF(OR(クライアント抽出!C5&lt;&gt;"",クライアント抽出!F5&lt;&gt;""),クライアント抽出!A5,"")</f>
        <v/>
      </c>
      <c r="D75" s="180" t="str">
        <f t="array" aca="1" ref="D75" ca="1">IF(C75&lt;&gt;"",INDIRECT("クライアント抽出!"&amp;E75&amp;MATCH(C75,クライアント抽出!A:A,0)&amp;""),"")</f>
        <v/>
      </c>
      <c r="E75" s="180" t="str">
        <f>IF(H75&lt;&gt;0,
IFERROR(
SUBSTITUTE(ADDRESS(1,
MATCH(VALUE(H75),クライアント抽出!A5:G5,0)+8,4),"1",""),
""),
IFERROR(
SUBSTITUTE(ADDRESS(1,
MATCH(VALUE(I75),クライアント抽出!A5:G5,0)+8,4),"1",""),
""))</f>
        <v/>
      </c>
      <c r="F75" s="181" t="str">
        <f ca="1">IF(D75&lt;&gt;"",
IF(COUNTIF(C75,"*雙葉*"),
IF(ROUND((H75-M75)
/IF(COUNTIF(D75,"*キャラ*"),
VLOOKUP("*キャラ*",商品マスタ一覧!$D:$E,2,FALSE),
IF(COUNTIF(D75,"*赤*"),
VLOOKUP("*赤*",商品マスタ一覧!$D:$E,2,FALSE),
VLOOKUP("*"&amp;D75&amp;"*",商品マスタ一覧!$D:$E,2,FALSE))),0)&lt;=0,1,
ROUND((H75-M75)
/IF(COUNTIF(D75,"*キャラ*"),
VLOOKUP("*キャラ*",商品マスタ一覧!$D:$E,2,FALSE),
IF(COUNTIF(D75,"*赤*"),
VLOOKUP("*赤*",商品マスタ一覧!$D:$E,2,FALSE),
VLOOKUP("*"&amp;D75&amp;"*",商品マスタ一覧!$D:$E,2,FALSE))),0)),
IF(OR(COUNTIF(D75,"*キャラ*"),COUNTIF(D75,"*赤*")),"",
IF(VLOOKUP("*"&amp;D75&amp;"*",商品マスタ一覧!$D:$E,2,FALSE)=0,"",
IF(ROUND((H75-M75)
/VLOOKUP("*"&amp;D75&amp;"*",商品マスタ一覧!$D:$E,2,FALSE),0)&lt;=0,1,
ROUND((H75-M75)
/VLOOKUP("*"&amp;D75&amp;"*",商品マスタ一覧!$D:$E,2,FALSE),0))))),"")</f>
        <v/>
      </c>
      <c r="G75" s="180" t="str">
        <f ca="1">IF(F75&lt;&gt;"",
IF(VALUE(H75-M75)&gt;VALUE(IF(COUNTIF(D75,"*キャラ*"),
VLOOKUP("*キャラ*",商品マスタ一覧!$D:$E,2,FALSE),
IF(COUNTIF(D75,"*赤*"),
VLOOKUP("*赤*",商品マスタ一覧!$D:$E,2,FALSE),
VLOOKUP("*"&amp;D75&amp;"*",商品マスタ一覧!$D:$E,2,FALSE)))*F75),
"+"&amp;(H75-M75)-IF(COUNTIF(D75,"*キャラ*"),
VLOOKUP("*キャラ*",商品マスタ一覧!$D:$E,2,FALSE),
IF(COUNTIF(D75,"*赤*"),
VLOOKUP("*赤*",商品マスタ一覧!$D:$E,2,FALSE),
VLOOKUP("*"&amp;D75&amp;"*",商品マスタ一覧!$D:$E,2,FALSE)))*F75,
(H75-M75)-IF(COUNTIF(D75,"*キャラ*"),
VLOOKUP("*キャラ*",商品マスタ一覧!$D:$E,2,FALSE),
IF(COUNTIF(D75,"*赤*"),
VLOOKUP("*赤*",商品マスタ一覧!$D:$E,2,FALSE),
VLOOKUP("*"&amp;D75&amp;"*",商品マスタ一覧!$D:$E,2,FALSE)))*F75),"")</f>
        <v/>
      </c>
      <c r="H75" s="182" t="str">
        <f>IF(C75&lt;&gt;"",
クライアント抽出!C5,"")</f>
        <v/>
      </c>
      <c r="I75" s="180" t="str">
        <f t="array" aca="1" ref="I75" ca="1">IF(C75&lt;&gt;"",
IF(O75=1,
IF(SUMPRODUCT(COUNTIF(クライアント抽出!P5:U5,クライアント抽出!P5:U5))&gt;COUNTA(クライアント抽出!P5:U5),
INDIRECT("数出表_Excel!"&amp;INDEX(_xlfn.UNIQUE(_xlfn._xlws.FILTER(クライアント抽出!P5:U5,COUNTIF(クライアント抽出!P5:U5,クライアント抽出!P5:U5)=1)),1)&amp;L75&amp;""),
0),クライアント抽出!F5),"")</f>
        <v/>
      </c>
      <c r="J75" s="180" t="str">
        <f>IF(C75&lt;&gt;"",
VLOOKUP(
"*"&amp;LEFT(IF(COUNTIF(D75,"*学食*"),"キャラ弁（学食）",
IF(COUNTIF(D75,"*赤*"),"赤",
IF(COUNTIF(D75,"*キャラ弁当*"),"キャラ弁当",D75))),4)&amp;"*",注文弁当の抽出!$E$1:$F$15,2,FALSE),"")</f>
        <v/>
      </c>
      <c r="K75" s="180" t="str">
        <f ca="1">IF(クライアント抽出!Q5&lt;&gt;"",SUBSTITUTE(ADDRESS(1,(CODE(クライアント抽出!Q5)-64)*2-1,4),"1",""),"")</f>
        <v/>
      </c>
      <c r="L75" s="180" t="str">
        <f>IF(C5&lt;&gt;"",クライアント抽出!I5,"")</f>
        <v/>
      </c>
      <c r="M75" s="180">
        <f t="array" aca="1" ref="M75" ca="1">IF(C75&lt;&gt;"",
IF(K75&lt;&gt;"",INDIRECT("'数出表_Excel（アレルギー入力）'!"&amp;K75&amp;L75-1&amp;""),),)</f>
        <v>0</v>
      </c>
      <c r="N75" s="180" t="str">
        <f>IF(C75&lt;&gt;"",IF(OR(COUNTIF('盛付札（関数）'!D75,"*赤*"),COUNTIF('盛付札（関数）'!D75,"*キャラ*")),1,
VLOOKUP("*"&amp;D75&amp;"*",商品マスタ一覧!D:H,5,FALSE)),"")</f>
        <v/>
      </c>
      <c r="O75" s="180">
        <f t="shared" ca="1" si="44"/>
        <v>0</v>
      </c>
      <c r="P75" s="180">
        <f t="shared" si="23"/>
        <v>0</v>
      </c>
      <c r="Q75" s="180" t="b">
        <f t="shared" si="24"/>
        <v>0</v>
      </c>
      <c r="R75" s="51" t="str">
        <f t="array" aca="1" ref="R75" ca="1">IFERROR(SMALL(IF(P$1:P$307&lt;&gt;0,P$1:P$307),ROW(A75)),"")</f>
        <v/>
      </c>
      <c r="S75" s="51" t="str">
        <f t="array" aca="1" ref="S75" ca="1">IF($R75&lt;&gt;"",
SUBSTITUTE(SUBSTITUTE(INDIRECT("C"&amp;$R75&amp;"")," 週3ｺｰｽ","")," 週5ｺｰｽ",""),"")</f>
        <v/>
      </c>
      <c r="T75" s="51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91" t="str">
        <f t="array" aca="1" ref="U75" ca="1">IF($R75&lt;&gt;"",
INDIRECT("F"&amp;$R75&amp;""),"")</f>
        <v/>
      </c>
      <c r="V75" s="51" t="str">
        <f t="array" aca="1" ref="V75" ca="1">IF($R75&lt;&gt;"",
INDIRECT("G"&amp;$R75&amp;""),"")</f>
        <v/>
      </c>
      <c r="W75" s="51" t="str">
        <f t="array" aca="1" ref="W75" ca="1">IF($R75&lt;&gt;"",
IF(AND(COUNTIF(INDIRECT("B"&amp;R75&amp;""),"*雙葉*"),COUNTIF(B:B,"*雙葉*")&gt;=2),
IF(OR(COUNTIF(INDIRECT("B"&amp;R75&amp;""),"*雙葉先生*"),COUNTIF($B$1:$B$70,"*雙葉*")&gt;=2),INDIRECT("H"&amp;R75&amp;""),INDIRECT("H"&amp;R75&amp;"")+INDIRECT("H"&amp;MATCH("雙葉'",INDIRECT("B"&amp;R75+3&amp;":B210"),0)+2+R75&amp;"")),
IF(AND(LEFT(INDIRECT("B"&amp;R75&amp;""),2)="博多",COUNTIF(B:B,"*博多*")&gt;=2),
INDIRECT("H"&amp;R75&amp;"")+INDIRECT("H"&amp;MATCH("*"&amp;INDIRECT("B"&amp;R75&amp;"")&amp;"*",INDIRECT("B"&amp;R75+1&amp;":B210"),0)+R75&amp;""),
IF(AND(LEFT(INDIRECT("B"&amp;R75&amp;""),3)="奈良屋",COUNTIF(B:B,"*奈良屋*")&gt;=2),
INDIRECT("H"&amp;R75&amp;"")+INDIRECT("H"&amp;MATCH("*"&amp;INDIRECT("B"&amp;R75&amp;"")&amp;"*",INDIRECT("B"&amp;R75+1&amp;":B210"),0)+R75&amp;"")
+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INDIRECT("H"&amp;R75&amp;"")))),"")</f>
        <v/>
      </c>
      <c r="X75" s="51" t="str">
        <f t="array" aca="1" ref="X75" ca="1">IF($R75&lt;&gt;"",
INDIRECT(""&amp;IF(COLUMN(I75)&lt;=26,CHAR(COLUMN(I75)+64),CHAR(INT((COLUMN(I75)-1)/26)+64)&amp;CHAR(MOD(COLUMN(I75)-1,26)+65))&amp;$R75&amp;""),"")</f>
        <v/>
      </c>
      <c r="Y75" s="51" t="str">
        <f t="array" aca="1" ref="Y75" ca="1">IF($R75&lt;&gt;"",
INDIRECT(""&amp;IF(COLUMN(J75)&lt;=26,CHAR(COLUMN(J75)+64),CHAR(INT((COLUMN(J75)-1)/26)+64)&amp;CHAR(MOD(COLUMN(J75)-1,26)+65))&amp;$R75&amp;""),"")</f>
        <v/>
      </c>
      <c r="Z75" s="51" t="str">
        <f t="shared" ca="1" si="25"/>
        <v/>
      </c>
      <c r="AA75" s="51" t="str">
        <f t="shared" ca="1" si="26"/>
        <v/>
      </c>
      <c r="AB75" s="51" t="str">
        <f t="array" aca="1" ref="AB75" ca="1">IF($R75&lt;&gt;"",
IF(AND(COUNTIF(INDIRECT("B"&amp;R75&amp;""),"*雙葉*"),COUNTIF(B:B,"*雙葉*")&gt;=2),
INDIRECT("M"&amp;R75&amp;"")+INDIRECT("M"&amp;MATCH("雙葉'",INDIRECT("B"&amp;R75+1&amp;":B210"),0)+R75&amp;""),
IF(AND(LEFT(INDIRECT("B"&amp;R75&amp;""),2)="博多",COUNTIF(B:B,"*博多*")&gt;=2),
INDIRECT("M"&amp;R75&amp;"")+INDIRECT("M"&amp;MATCH("*"&amp;INDIRECT("B"&amp;R75&amp;"")&amp;"*",INDIRECT("B"&amp;R75+1&amp;":B210"),0)+R75&amp;""),
IF(AND(LEFT(INDIRECT("B"&amp;R75&amp;""),3)="奈良屋",COUNTIF(B:B,"*奈良屋*")&gt;=2),
INDIRECT("M"&amp;R75&amp;"")+INDIRECT("M"&amp;MATCH("*"&amp;INDIRECT("B"&amp;R75&amp;"")&amp;"*",INDIRECT("B"&amp;R75+1&amp;":B210"),0)+R75&amp;"")
+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INDIRECT("M"&amp;R75&amp;"")))),"")</f>
        <v/>
      </c>
      <c r="AC75" s="51" t="str">
        <f t="shared" ca="1" si="27"/>
        <v/>
      </c>
      <c r="AD75" s="51" t="str">
        <f t="shared" ca="1" si="28"/>
        <v/>
      </c>
      <c r="AE75" s="51" t="str">
        <f t="shared" ca="1" si="29"/>
        <v/>
      </c>
      <c r="AF75" s="51" t="str">
        <f t="shared" ca="1" si="30"/>
        <v/>
      </c>
      <c r="AG75" s="51" t="str">
        <f t="shared" ca="1" si="31"/>
        <v/>
      </c>
      <c r="AH75" s="191" t="str">
        <f t="shared" ca="1" si="32"/>
        <v/>
      </c>
      <c r="AI75" s="51" t="str">
        <f t="shared" ca="1" si="33"/>
        <v/>
      </c>
      <c r="AJ75" s="51" t="str">
        <f t="shared" ca="1" si="34"/>
        <v/>
      </c>
      <c r="AK75" s="51" t="str">
        <f t="shared" ca="1" si="35"/>
        <v/>
      </c>
      <c r="AL75" s="51" t="str">
        <f t="shared" ca="1" si="36"/>
        <v/>
      </c>
      <c r="AM75" s="51" t="str">
        <f t="shared" ca="1" si="37"/>
        <v/>
      </c>
      <c r="AN75" s="51" t="str">
        <f t="shared" ca="1" si="38"/>
        <v/>
      </c>
      <c r="AO75" s="51" t="str">
        <f t="shared" ca="1" si="39"/>
        <v/>
      </c>
      <c r="AP75" s="51" t="str">
        <f t="shared" ca="1" si="40"/>
        <v/>
      </c>
      <c r="AU75" s="51" t="str">
        <f t="shared" ca="1" si="41"/>
        <v/>
      </c>
    </row>
    <row r="76" spans="1:47" ht="18" customHeight="1">
      <c r="A76" s="179">
        <f t="shared" si="45"/>
        <v>17</v>
      </c>
      <c r="B76" s="180" t="str">
        <f t="shared" ca="1" si="43"/>
        <v/>
      </c>
      <c r="C76" s="180" t="str">
        <f>IF(OR(クライアント抽出!C6&lt;&gt;"",クライアント抽出!F6&lt;&gt;""),クライアント抽出!A6,"")</f>
        <v/>
      </c>
      <c r="D76" s="180" t="str">
        <f t="array" aca="1" ref="D76" ca="1">IF(C76&lt;&gt;"",INDIRECT("クライアント抽出!"&amp;E76&amp;MATCH(C76,クライアント抽出!A:A,0)&amp;""),"")</f>
        <v/>
      </c>
      <c r="E76" s="180" t="str">
        <f>IF(H76&lt;&gt;0,
IFERROR(
SUBSTITUTE(ADDRESS(1,
MATCH(VALUE(H76),クライアント抽出!A6:G6,0)+8,4),"1",""),
""),
IFERROR(
SUBSTITUTE(ADDRESS(1,
MATCH(VALUE(I76),クライアント抽出!A6:G6,0)+8,4),"1",""),
""))</f>
        <v/>
      </c>
      <c r="F76" s="181" t="str">
        <f ca="1">IF(D76&lt;&gt;"",
IF(COUNTIF(C76,"*雙葉*"),
IF(ROUND((H76-M76)
/IF(COUNTIF(D76,"*キャラ*"),
VLOOKUP("*キャラ*",商品マスタ一覧!$D:$E,2,FALSE),
IF(COUNTIF(D76,"*赤*"),
VLOOKUP("*赤*",商品マスタ一覧!$D:$E,2,FALSE),
VLOOKUP("*"&amp;D76&amp;"*",商品マスタ一覧!$D:$E,2,FALSE))),0)&lt;=0,1,
ROUND((H76-M76)
/IF(COUNTIF(D76,"*キャラ*"),
VLOOKUP("*キャラ*",商品マスタ一覧!$D:$E,2,FALSE),
IF(COUNTIF(D76,"*赤*"),
VLOOKUP("*赤*",商品マスタ一覧!$D:$E,2,FALSE),
VLOOKUP("*"&amp;D76&amp;"*",商品マスタ一覧!$D:$E,2,FALSE))),0)),
IF(OR(COUNTIF(D76,"*キャラ*"),COUNTIF(D76,"*赤*")),"",
IF(VLOOKUP("*"&amp;D76&amp;"*",商品マスタ一覧!$D:$E,2,FALSE)=0,"",
IF(ROUND((H76-M76)
/VLOOKUP("*"&amp;D76&amp;"*",商品マスタ一覧!$D:$E,2,FALSE),0)&lt;=0,1,
ROUND((H76-M76)
/VLOOKUP("*"&amp;D76&amp;"*",商品マスタ一覧!$D:$E,2,FALSE),0))))),"")</f>
        <v/>
      </c>
      <c r="G76" s="180" t="str">
        <f ca="1">IF(F76&lt;&gt;"",
IF(VALUE(H76-M76)&gt;VALUE(IF(COUNTIF(D76,"*キャラ*"),
VLOOKUP("*キャラ*",商品マスタ一覧!$D:$E,2,FALSE),
IF(COUNTIF(D76,"*赤*"),
VLOOKUP("*赤*",商品マスタ一覧!$D:$E,2,FALSE),
VLOOKUP("*"&amp;D76&amp;"*",商品マスタ一覧!$D:$E,2,FALSE)))*F76),
"+"&amp;(H76-M76)-IF(COUNTIF(D76,"*キャラ*"),
VLOOKUP("*キャラ*",商品マスタ一覧!$D:$E,2,FALSE),
IF(COUNTIF(D76,"*赤*"),
VLOOKUP("*赤*",商品マスタ一覧!$D:$E,2,FALSE),
VLOOKUP("*"&amp;D76&amp;"*",商品マスタ一覧!$D:$E,2,FALSE)))*F76,
(H76-M76)-IF(COUNTIF(D76,"*キャラ*"),
VLOOKUP("*キャラ*",商品マスタ一覧!$D:$E,2,FALSE),
IF(COUNTIF(D76,"*赤*"),
VLOOKUP("*赤*",商品マスタ一覧!$D:$E,2,FALSE),
VLOOKUP("*"&amp;D76&amp;"*",商品マスタ一覧!$D:$E,2,FALSE)))*F76),"")</f>
        <v/>
      </c>
      <c r="H76" s="182" t="str">
        <f>IF(C76&lt;&gt;"",
クライアント抽出!C6,"")</f>
        <v/>
      </c>
      <c r="I76" s="180" t="str">
        <f t="array" aca="1" ref="I76" ca="1">IF(C76&lt;&gt;"",
IF(O76=1,
IF(SUMPRODUCT(COUNTIF(クライアント抽出!P6:U6,クライアント抽出!P6:U6))&gt;COUNTA(クライアント抽出!P6:U6),
INDIRECT("数出表_Excel!"&amp;INDEX(_xlfn.UNIQUE(_xlfn._xlws.FILTER(クライアント抽出!P6:U6,COUNTIF(クライアント抽出!P6:U6,クライアント抽出!P6:U6)=1)),1)&amp;L76&amp;""),
0),クライアント抽出!F6),"")</f>
        <v/>
      </c>
      <c r="J76" s="180" t="str">
        <f>IF(C76&lt;&gt;"",
VLOOKUP(
"*"&amp;LEFT(IF(COUNTIF(D76,"*学食*"),"キャラ弁（学食）",
IF(COUNTIF(D76,"*赤*"),"赤",
IF(COUNTIF(D76,"*キャラ弁当*"),"キャラ弁当",D76))),4)&amp;"*",注文弁当の抽出!$E$1:$F$15,2,FALSE),"")</f>
        <v/>
      </c>
      <c r="K76" s="180" t="str">
        <f ca="1">IF(クライアント抽出!Q6&lt;&gt;"",SUBSTITUTE(ADDRESS(1,(CODE(クライアント抽出!Q6)-64)*2-1,4),"1",""),"")</f>
        <v/>
      </c>
      <c r="L76" s="180" t="str">
        <f>IF(C6&lt;&gt;"",クライアント抽出!I6,"")</f>
        <v/>
      </c>
      <c r="M76" s="180">
        <f t="array" aca="1" ref="M76" ca="1">IF(C76&lt;&gt;"",
IF(K76&lt;&gt;"",INDIRECT("'数出表_Excel（アレルギー入力）'!"&amp;K76&amp;L76-1&amp;""),),)</f>
        <v>0</v>
      </c>
      <c r="N76" s="180" t="str">
        <f>IF(C76&lt;&gt;"",IF(OR(COUNTIF('盛付札（関数）'!D76,"*赤*"),COUNTIF('盛付札（関数）'!D76,"*キャラ*")),1,
VLOOKUP("*"&amp;D76&amp;"*",商品マスタ一覧!D:H,5,FALSE)),"")</f>
        <v/>
      </c>
      <c r="O76" s="180">
        <f t="shared" ca="1" si="44"/>
        <v>0</v>
      </c>
      <c r="P76" s="180">
        <f t="shared" si="23"/>
        <v>0</v>
      </c>
      <c r="Q76" s="180" t="b">
        <f t="shared" si="24"/>
        <v>0</v>
      </c>
      <c r="R76" s="51" t="str">
        <f t="array" aca="1" ref="R76" ca="1">IFERROR(SMALL(IF(P$1:P$307&lt;&gt;0,P$1:P$307),ROW(A76)),"")</f>
        <v/>
      </c>
      <c r="S76" s="51" t="str">
        <f t="array" aca="1" ref="S76" ca="1">IF($R76&lt;&gt;"",
SUBSTITUTE(SUBSTITUTE(INDIRECT("C"&amp;$R76&amp;"")," 週3ｺｰｽ","")," 週5ｺｰｽ",""),"")</f>
        <v/>
      </c>
      <c r="T76" s="51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91" t="str">
        <f t="array" aca="1" ref="U76" ca="1">IF($R76&lt;&gt;"",
INDIRECT("F"&amp;$R76&amp;""),"")</f>
        <v/>
      </c>
      <c r="V76" s="51" t="str">
        <f t="array" aca="1" ref="V76" ca="1">IF($R76&lt;&gt;"",
INDIRECT("G"&amp;$R76&amp;""),"")</f>
        <v/>
      </c>
      <c r="W76" s="51" t="str">
        <f t="array" aca="1" ref="W76" ca="1">IF($R76&lt;&gt;"",
IF(AND(COUNTIF(INDIRECT("B"&amp;R76&amp;""),"*雙葉*"),COUNTIF(B:B,"*雙葉*")&gt;=2),
IF(OR(COUNTIF(INDIRECT("B"&amp;R76&amp;""),"*雙葉先生*"),COUNTIF($B$1:$B$70,"*雙葉*")&gt;=2),INDIRECT("H"&amp;R76&amp;""),INDIRECT("H"&amp;R76&amp;"")+INDIRECT("H"&amp;MATCH("雙葉'",INDIRECT("B"&amp;R76+3&amp;":B210"),0)+2+R76&amp;"")),
IF(AND(LEFT(INDIRECT("B"&amp;R76&amp;""),2)="博多",COUNTIF(B:B,"*博多*")&gt;=2),
INDIRECT("H"&amp;R76&amp;"")+INDIRECT("H"&amp;MATCH("*"&amp;INDIRECT("B"&amp;R76&amp;"")&amp;"*",INDIRECT("B"&amp;R76+1&amp;":B210"),0)+R76&amp;""),
IF(AND(LEFT(INDIRECT("B"&amp;R76&amp;""),3)="奈良屋",COUNTIF(B:B,"*奈良屋*")&gt;=2),
INDIRECT("H"&amp;R76&amp;"")+INDIRECT("H"&amp;MATCH("*"&amp;INDIRECT("B"&amp;R76&amp;"")&amp;"*",INDIRECT("B"&amp;R76+1&amp;":B210"),0)+R76&amp;"")
+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INDIRECT("H"&amp;R76&amp;"")))),"")</f>
        <v/>
      </c>
      <c r="X76" s="51" t="str">
        <f t="array" aca="1" ref="X76" ca="1">IF($R76&lt;&gt;"",
INDIRECT(""&amp;IF(COLUMN(I76)&lt;=26,CHAR(COLUMN(I76)+64),CHAR(INT((COLUMN(I76)-1)/26)+64)&amp;CHAR(MOD(COLUMN(I76)-1,26)+65))&amp;$R76&amp;""),"")</f>
        <v/>
      </c>
      <c r="Y76" s="51" t="str">
        <f t="array" aca="1" ref="Y76" ca="1">IF($R76&lt;&gt;"",
INDIRECT(""&amp;IF(COLUMN(J76)&lt;=26,CHAR(COLUMN(J76)+64),CHAR(INT((COLUMN(J76)-1)/26)+64)&amp;CHAR(MOD(COLUMN(J76)-1,26)+65))&amp;$R76&amp;""),"")</f>
        <v/>
      </c>
      <c r="Z76" s="51" t="str">
        <f t="shared" ca="1" si="25"/>
        <v/>
      </c>
      <c r="AA76" s="51" t="str">
        <f t="shared" ca="1" si="26"/>
        <v/>
      </c>
      <c r="AB76" s="51" t="str">
        <f t="array" aca="1" ref="AB76" ca="1">IF($R76&lt;&gt;"",
IF(AND(COUNTIF(INDIRECT("B"&amp;R76&amp;""),"*雙葉*"),COUNTIF(B:B,"*雙葉*")&gt;=2),
INDIRECT("M"&amp;R76&amp;"")+INDIRECT("M"&amp;MATCH("雙葉'",INDIRECT("B"&amp;R76+1&amp;":B210"),0)+R76&amp;""),
IF(AND(LEFT(INDIRECT("B"&amp;R76&amp;""),2)="博多",COUNTIF(B:B,"*博多*")&gt;=2),
INDIRECT("M"&amp;R76&amp;"")+INDIRECT("M"&amp;MATCH("*"&amp;INDIRECT("B"&amp;R76&amp;"")&amp;"*",INDIRECT("B"&amp;R76+1&amp;":B210"),0)+R76&amp;""),
IF(AND(LEFT(INDIRECT("B"&amp;R76&amp;""),3)="奈良屋",COUNTIF(B:B,"*奈良屋*")&gt;=2),
INDIRECT("M"&amp;R76&amp;"")+INDIRECT("M"&amp;MATCH("*"&amp;INDIRECT("B"&amp;R76&amp;"")&amp;"*",INDIRECT("B"&amp;R76+1&amp;":B210"),0)+R76&amp;"")
+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INDIRECT("M"&amp;R76&amp;"")))),"")</f>
        <v/>
      </c>
      <c r="AC76" s="51" t="str">
        <f t="shared" ca="1" si="27"/>
        <v/>
      </c>
      <c r="AD76" s="51" t="str">
        <f t="shared" ca="1" si="28"/>
        <v/>
      </c>
      <c r="AE76" s="51" t="str">
        <f t="shared" ca="1" si="29"/>
        <v/>
      </c>
      <c r="AF76" s="51" t="str">
        <f t="shared" ca="1" si="30"/>
        <v/>
      </c>
      <c r="AG76" s="51" t="str">
        <f t="shared" ca="1" si="31"/>
        <v/>
      </c>
      <c r="AH76" s="191" t="str">
        <f t="shared" ca="1" si="32"/>
        <v/>
      </c>
      <c r="AI76" s="51" t="str">
        <f t="shared" ca="1" si="33"/>
        <v/>
      </c>
      <c r="AJ76" s="51" t="str">
        <f t="shared" ca="1" si="34"/>
        <v/>
      </c>
      <c r="AK76" s="51" t="str">
        <f t="shared" ca="1" si="35"/>
        <v/>
      </c>
      <c r="AL76" s="51" t="str">
        <f t="shared" ca="1" si="36"/>
        <v/>
      </c>
      <c r="AM76" s="51" t="str">
        <f t="shared" ca="1" si="37"/>
        <v/>
      </c>
      <c r="AN76" s="51" t="str">
        <f t="shared" ca="1" si="38"/>
        <v/>
      </c>
      <c r="AO76" s="51" t="str">
        <f t="shared" ca="1" si="39"/>
        <v/>
      </c>
      <c r="AP76" s="51" t="str">
        <f t="shared" ca="1" si="40"/>
        <v/>
      </c>
      <c r="AU76" s="51" t="str">
        <f t="shared" ca="1" si="41"/>
        <v/>
      </c>
    </row>
    <row r="77" spans="1:47" ht="18" customHeight="1">
      <c r="A77" s="179">
        <f t="shared" si="45"/>
        <v>19</v>
      </c>
      <c r="B77" s="180" t="str">
        <f t="shared" ca="1" si="43"/>
        <v/>
      </c>
      <c r="C77" s="180" t="str">
        <f>IF(OR(クライアント抽出!C7&lt;&gt;"",クライアント抽出!F7&lt;&gt;""),クライアント抽出!A7,"")</f>
        <v/>
      </c>
      <c r="D77" s="180" t="str">
        <f t="array" aca="1" ref="D77" ca="1">IF(C77&lt;&gt;"",INDIRECT("クライアント抽出!"&amp;E77&amp;MATCH(C77,クライアント抽出!A:A,0)&amp;""),"")</f>
        <v/>
      </c>
      <c r="E77" s="180" t="str">
        <f>IF(H77&lt;&gt;0,
IFERROR(
SUBSTITUTE(ADDRESS(1,
MATCH(VALUE(H77),クライアント抽出!A7:G7,0)+8,4),"1",""),
""),
IFERROR(
SUBSTITUTE(ADDRESS(1,
MATCH(VALUE(I77),クライアント抽出!A7:G7,0)+8,4),"1",""),
""))</f>
        <v/>
      </c>
      <c r="F77" s="181" t="str">
        <f ca="1">IF(D77&lt;&gt;"",
IF(COUNTIF(C77,"*雙葉*"),
IF(ROUND((H77-M77)
/IF(COUNTIF(D77,"*キャラ*"),
VLOOKUP("*キャラ*",商品マスタ一覧!$D:$E,2,FALSE),
IF(COUNTIF(D77,"*赤*"),
VLOOKUP("*赤*",商品マスタ一覧!$D:$E,2,FALSE),
VLOOKUP("*"&amp;D77&amp;"*",商品マスタ一覧!$D:$E,2,FALSE))),0)&lt;=0,1,
ROUND((H77-M77)
/IF(COUNTIF(D77,"*キャラ*"),
VLOOKUP("*キャラ*",商品マスタ一覧!$D:$E,2,FALSE),
IF(COUNTIF(D77,"*赤*"),
VLOOKUP("*赤*",商品マスタ一覧!$D:$E,2,FALSE),
VLOOKUP("*"&amp;D77&amp;"*",商品マスタ一覧!$D:$E,2,FALSE))),0)),
IF(OR(COUNTIF(D77,"*キャラ*"),COUNTIF(D77,"*赤*")),"",
IF(VLOOKUP("*"&amp;D77&amp;"*",商品マスタ一覧!$D:$E,2,FALSE)=0,"",
IF(ROUND((H77-M77)
/VLOOKUP("*"&amp;D77&amp;"*",商品マスタ一覧!$D:$E,2,FALSE),0)&lt;=0,1,
ROUND((H77-M77)
/VLOOKUP("*"&amp;D77&amp;"*",商品マスタ一覧!$D:$E,2,FALSE),0))))),"")</f>
        <v/>
      </c>
      <c r="G77" s="180" t="str">
        <f ca="1">IF(F77&lt;&gt;"",
IF(VALUE(H77-M77)&gt;VALUE(IF(COUNTIF(D77,"*キャラ*"),
VLOOKUP("*キャラ*",商品マスタ一覧!$D:$E,2,FALSE),
IF(COUNTIF(D77,"*赤*"),
VLOOKUP("*赤*",商品マスタ一覧!$D:$E,2,FALSE),
VLOOKUP("*"&amp;D77&amp;"*",商品マスタ一覧!$D:$E,2,FALSE)))*F77),
"+"&amp;(H77-M77)-IF(COUNTIF(D77,"*キャラ*"),
VLOOKUP("*キャラ*",商品マスタ一覧!$D:$E,2,FALSE),
IF(COUNTIF(D77,"*赤*"),
VLOOKUP("*赤*",商品マスタ一覧!$D:$E,2,FALSE),
VLOOKUP("*"&amp;D77&amp;"*",商品マスタ一覧!$D:$E,2,FALSE)))*F77,
(H77-M77)-IF(COUNTIF(D77,"*キャラ*"),
VLOOKUP("*キャラ*",商品マスタ一覧!$D:$E,2,FALSE),
IF(COUNTIF(D77,"*赤*"),
VLOOKUP("*赤*",商品マスタ一覧!$D:$E,2,FALSE),
VLOOKUP("*"&amp;D77&amp;"*",商品マスタ一覧!$D:$E,2,FALSE)))*F77),"")</f>
        <v/>
      </c>
      <c r="H77" s="182" t="str">
        <f>IF(C77&lt;&gt;"",
クライアント抽出!C7,"")</f>
        <v/>
      </c>
      <c r="I77" s="180" t="str">
        <f t="array" aca="1" ref="I77" ca="1">IF(C77&lt;&gt;"",
IF(O77=1,
IF(SUMPRODUCT(COUNTIF(クライアント抽出!P7:U7,クライアント抽出!P7:U7))&gt;COUNTA(クライアント抽出!P7:U7),
INDIRECT("数出表_Excel!"&amp;INDEX(_xlfn.UNIQUE(_xlfn._xlws.FILTER(クライアント抽出!P7:U7,COUNTIF(クライアント抽出!P7:U7,クライアント抽出!P7:U7)=1)),1)&amp;L77&amp;""),
0),クライアント抽出!F7),"")</f>
        <v/>
      </c>
      <c r="J77" s="180" t="str">
        <f>IF(C77&lt;&gt;"",
VLOOKUP(
"*"&amp;LEFT(IF(COUNTIF(D77,"*学食*"),"キャラ弁（学食）",
IF(COUNTIF(D77,"*赤*"),"赤",
IF(COUNTIF(D77,"*キャラ弁当*"),"キャラ弁当",D77))),4)&amp;"*",注文弁当の抽出!$E$1:$F$15,2,FALSE),"")</f>
        <v/>
      </c>
      <c r="K77" s="180" t="str">
        <f ca="1">IF(クライアント抽出!Q7&lt;&gt;"",SUBSTITUTE(ADDRESS(1,(CODE(クライアント抽出!Q7)-64)*2-1,4),"1",""),"")</f>
        <v/>
      </c>
      <c r="L77" s="180" t="str">
        <f>IF(C7&lt;&gt;"",クライアント抽出!I7,"")</f>
        <v/>
      </c>
      <c r="M77" s="180">
        <f t="array" aca="1" ref="M77" ca="1">IF(C77&lt;&gt;"",
IF(K77&lt;&gt;"",INDIRECT("'数出表_Excel（アレルギー入力）'!"&amp;K77&amp;L77-1&amp;""),),)</f>
        <v>0</v>
      </c>
      <c r="N77" s="180" t="str">
        <f>IF(C77&lt;&gt;"",IF(OR(COUNTIF('盛付札（関数）'!D77,"*赤*"),COUNTIF('盛付札（関数）'!D77,"*キャラ*")),1,
VLOOKUP("*"&amp;D77&amp;"*",商品マスタ一覧!D:H,5,FALSE)),"")</f>
        <v/>
      </c>
      <c r="O77" s="180">
        <f t="shared" ca="1" si="44"/>
        <v>0</v>
      </c>
      <c r="P77" s="180">
        <f t="shared" si="23"/>
        <v>0</v>
      </c>
      <c r="Q77" s="180" t="b">
        <f t="shared" si="24"/>
        <v>0</v>
      </c>
      <c r="R77" s="51" t="str">
        <f t="array" aca="1" ref="R77" ca="1">IFERROR(SMALL(IF(P$1:P$307&lt;&gt;0,P$1:P$307),ROW(A77)),"")</f>
        <v/>
      </c>
      <c r="S77" s="51" t="str">
        <f t="array" aca="1" ref="S77" ca="1">IF($R77&lt;&gt;"",
SUBSTITUTE(SUBSTITUTE(INDIRECT("C"&amp;$R77&amp;"")," 週3ｺｰｽ","")," 週5ｺｰｽ",""),"")</f>
        <v/>
      </c>
      <c r="T77" s="51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91" t="str">
        <f t="array" aca="1" ref="U77" ca="1">IF($R77&lt;&gt;"",
INDIRECT("F"&amp;$R77&amp;""),"")</f>
        <v/>
      </c>
      <c r="V77" s="51" t="str">
        <f t="array" aca="1" ref="V77" ca="1">IF($R77&lt;&gt;"",
INDIRECT("G"&amp;$R77&amp;""),"")</f>
        <v/>
      </c>
      <c r="W77" s="51" t="str">
        <f t="array" aca="1" ref="W77" ca="1">IF($R77&lt;&gt;"",
IF(AND(COUNTIF(INDIRECT("B"&amp;R77&amp;""),"*雙葉*"),COUNTIF(B:B,"*雙葉*")&gt;=2),
IF(OR(COUNTIF(INDIRECT("B"&amp;R77&amp;""),"*雙葉先生*"),COUNTIF($B$1:$B$70,"*雙葉*")&gt;=2),INDIRECT("H"&amp;R77&amp;""),INDIRECT("H"&amp;R77&amp;"")+INDIRECT("H"&amp;MATCH("雙葉'",INDIRECT("B"&amp;R77+3&amp;":B210"),0)+2+R77&amp;"")),
IF(AND(LEFT(INDIRECT("B"&amp;R77&amp;""),2)="博多",COUNTIF(B:B,"*博多*")&gt;=2),
INDIRECT("H"&amp;R77&amp;"")+INDIRECT("H"&amp;MATCH("*"&amp;INDIRECT("B"&amp;R77&amp;"")&amp;"*",INDIRECT("B"&amp;R77+1&amp;":B210"),0)+R77&amp;""),
IF(AND(LEFT(INDIRECT("B"&amp;R77&amp;""),3)="奈良屋",COUNTIF(B:B,"*奈良屋*")&gt;=2),
INDIRECT("H"&amp;R77&amp;"")+INDIRECT("H"&amp;MATCH("*"&amp;INDIRECT("B"&amp;R77&amp;"")&amp;"*",INDIRECT("B"&amp;R77+1&amp;":B210"),0)+R77&amp;"")
+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INDIRECT("H"&amp;R77&amp;"")))),"")</f>
        <v/>
      </c>
      <c r="X77" s="51" t="str">
        <f t="array" aca="1" ref="X77" ca="1">IF($R77&lt;&gt;"",
INDIRECT(""&amp;IF(COLUMN(I77)&lt;=26,CHAR(COLUMN(I77)+64),CHAR(INT((COLUMN(I77)-1)/26)+64)&amp;CHAR(MOD(COLUMN(I77)-1,26)+65))&amp;$R77&amp;""),"")</f>
        <v/>
      </c>
      <c r="Y77" s="51" t="str">
        <f t="array" aca="1" ref="Y77" ca="1">IF($R77&lt;&gt;"",
INDIRECT(""&amp;IF(COLUMN(J77)&lt;=26,CHAR(COLUMN(J77)+64),CHAR(INT((COLUMN(J77)-1)/26)+64)&amp;CHAR(MOD(COLUMN(J77)-1,26)+65))&amp;$R77&amp;""),"")</f>
        <v/>
      </c>
      <c r="Z77" s="51" t="str">
        <f t="shared" ca="1" si="25"/>
        <v/>
      </c>
      <c r="AA77" s="51" t="str">
        <f t="shared" ca="1" si="26"/>
        <v/>
      </c>
      <c r="AB77" s="51" t="str">
        <f t="array" aca="1" ref="AB77" ca="1">IF($R77&lt;&gt;"",
IF(AND(COUNTIF(INDIRECT("B"&amp;R77&amp;""),"*雙葉*"),COUNTIF(B:B,"*雙葉*")&gt;=2),
INDIRECT("M"&amp;R77&amp;"")+INDIRECT("M"&amp;MATCH("雙葉'",INDIRECT("B"&amp;R77+1&amp;":B210"),0)+R77&amp;""),
IF(AND(LEFT(INDIRECT("B"&amp;R77&amp;""),2)="博多",COUNTIF(B:B,"*博多*")&gt;=2),
INDIRECT("M"&amp;R77&amp;"")+INDIRECT("M"&amp;MATCH("*"&amp;INDIRECT("B"&amp;R77&amp;"")&amp;"*",INDIRECT("B"&amp;R77+1&amp;":B210"),0)+R77&amp;""),
IF(AND(LEFT(INDIRECT("B"&amp;R77&amp;""),3)="奈良屋",COUNTIF(B:B,"*奈良屋*")&gt;=2),
INDIRECT("M"&amp;R77&amp;"")+INDIRECT("M"&amp;MATCH("*"&amp;INDIRECT("B"&amp;R77&amp;"")&amp;"*",INDIRECT("B"&amp;R77+1&amp;":B210"),0)+R77&amp;"")
+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INDIRECT("M"&amp;R77&amp;"")))),"")</f>
        <v/>
      </c>
      <c r="AC77" s="51" t="str">
        <f t="shared" ca="1" si="27"/>
        <v/>
      </c>
      <c r="AD77" s="51" t="str">
        <f t="shared" ca="1" si="28"/>
        <v/>
      </c>
      <c r="AE77" s="51" t="str">
        <f t="shared" ca="1" si="29"/>
        <v/>
      </c>
      <c r="AF77" s="51" t="str">
        <f t="shared" ca="1" si="30"/>
        <v/>
      </c>
      <c r="AG77" s="51" t="str">
        <f t="shared" ca="1" si="31"/>
        <v/>
      </c>
      <c r="AH77" s="191" t="str">
        <f t="shared" ca="1" si="32"/>
        <v/>
      </c>
      <c r="AI77" s="51" t="str">
        <f t="shared" ca="1" si="33"/>
        <v/>
      </c>
      <c r="AJ77" s="51" t="str">
        <f t="shared" ca="1" si="34"/>
        <v/>
      </c>
      <c r="AK77" s="51" t="str">
        <f t="shared" ca="1" si="35"/>
        <v/>
      </c>
      <c r="AL77" s="51" t="str">
        <f t="shared" ca="1" si="36"/>
        <v/>
      </c>
      <c r="AM77" s="51" t="str">
        <f t="shared" ca="1" si="37"/>
        <v/>
      </c>
      <c r="AN77" s="51" t="str">
        <f t="shared" ca="1" si="38"/>
        <v/>
      </c>
      <c r="AO77" s="51" t="str">
        <f t="shared" ca="1" si="39"/>
        <v/>
      </c>
      <c r="AP77" s="51" t="str">
        <f t="shared" ca="1" si="40"/>
        <v/>
      </c>
      <c r="AU77" s="51" t="str">
        <f t="shared" ca="1" si="41"/>
        <v/>
      </c>
    </row>
    <row r="78" spans="1:47" ht="22.2" customHeight="1">
      <c r="A78" s="179">
        <f t="shared" si="45"/>
        <v>21</v>
      </c>
      <c r="B78" s="180" t="str">
        <f t="shared" ca="1" si="43"/>
        <v/>
      </c>
      <c r="C78" s="180" t="str">
        <f>IF(OR(クライアント抽出!C8&lt;&gt;"",クライアント抽出!F8&lt;&gt;""),クライアント抽出!A8,"")</f>
        <v/>
      </c>
      <c r="D78" s="180" t="str">
        <f t="array" aca="1" ref="D78" ca="1">IF(C78&lt;&gt;"",INDIRECT("クライアント抽出!"&amp;E78&amp;MATCH(C78,クライアント抽出!A:A,0)&amp;""),"")</f>
        <v/>
      </c>
      <c r="E78" s="180" t="str">
        <f>IF(H78&lt;&gt;0,
IFERROR(
SUBSTITUTE(ADDRESS(1,
MATCH(VALUE(H78),クライアント抽出!A8:G8,0)+8,4),"1",""),
""),
IFERROR(
SUBSTITUTE(ADDRESS(1,
MATCH(VALUE(I78),クライアント抽出!A8:G8,0)+8,4),"1",""),
""))</f>
        <v/>
      </c>
      <c r="F78" s="181" t="str">
        <f ca="1">IF(D78&lt;&gt;"",
IF(COUNTIF(C78,"*雙葉*"),
IF(ROUND((H78-M78)
/IF(COUNTIF(D78,"*キャラ*"),
VLOOKUP("*キャラ*",商品マスタ一覧!$D:$E,2,FALSE),
IF(COUNTIF(D78,"*赤*"),
VLOOKUP("*赤*",商品マスタ一覧!$D:$E,2,FALSE),
VLOOKUP("*"&amp;D78&amp;"*",商品マスタ一覧!$D:$E,2,FALSE))),0)&lt;=0,1,
ROUND((H78-M78)
/IF(COUNTIF(D78,"*キャラ*"),
VLOOKUP("*キャラ*",商品マスタ一覧!$D:$E,2,FALSE),
IF(COUNTIF(D78,"*赤*"),
VLOOKUP("*赤*",商品マスタ一覧!$D:$E,2,FALSE),
VLOOKUP("*"&amp;D78&amp;"*",商品マスタ一覧!$D:$E,2,FALSE))),0)),
IF(OR(COUNTIF(D78,"*キャラ*"),COUNTIF(D78,"*赤*")),"",
IF(VLOOKUP("*"&amp;D78&amp;"*",商品マスタ一覧!$D:$E,2,FALSE)=0,"",
IF(ROUND((H78-M78)
/VLOOKUP("*"&amp;D78&amp;"*",商品マスタ一覧!$D:$E,2,FALSE),0)&lt;=0,1,
ROUND((H78-M78)
/VLOOKUP("*"&amp;D78&amp;"*",商品マスタ一覧!$D:$E,2,FALSE),0))))),"")</f>
        <v/>
      </c>
      <c r="G78" s="180" t="str">
        <f ca="1">IF(F78&lt;&gt;"",
IF(VALUE(H78-M78)&gt;VALUE(IF(COUNTIF(D78,"*キャラ*"),
VLOOKUP("*キャラ*",商品マスタ一覧!$D:$E,2,FALSE),
IF(COUNTIF(D78,"*赤*"),
VLOOKUP("*赤*",商品マスタ一覧!$D:$E,2,FALSE),
VLOOKUP("*"&amp;D78&amp;"*",商品マスタ一覧!$D:$E,2,FALSE)))*F78),
"+"&amp;(H78-M78)-IF(COUNTIF(D78,"*キャラ*"),
VLOOKUP("*キャラ*",商品マスタ一覧!$D:$E,2,FALSE),
IF(COUNTIF(D78,"*赤*"),
VLOOKUP("*赤*",商品マスタ一覧!$D:$E,2,FALSE),
VLOOKUP("*"&amp;D78&amp;"*",商品マスタ一覧!$D:$E,2,FALSE)))*F78,
(H78-M78)-IF(COUNTIF(D78,"*キャラ*"),
VLOOKUP("*キャラ*",商品マスタ一覧!$D:$E,2,FALSE),
IF(COUNTIF(D78,"*赤*"),
VLOOKUP("*赤*",商品マスタ一覧!$D:$E,2,FALSE),
VLOOKUP("*"&amp;D78&amp;"*",商品マスタ一覧!$D:$E,2,FALSE)))*F78),"")</f>
        <v/>
      </c>
      <c r="H78" s="182" t="str">
        <f>IF(C78&lt;&gt;"",
クライアント抽出!C8,"")</f>
        <v/>
      </c>
      <c r="I78" s="180" t="str">
        <f t="array" aca="1" ref="I78" ca="1">IF(C78&lt;&gt;"",
IF(O78=1,
IF(SUMPRODUCT(COUNTIF(クライアント抽出!P8:U8,クライアント抽出!P8:U8))&gt;COUNTA(クライアント抽出!P8:U8),
INDIRECT("数出表_Excel!"&amp;INDEX(_xlfn.UNIQUE(_xlfn._xlws.FILTER(クライアント抽出!P8:U8,COUNTIF(クライアント抽出!P8:U8,クライアント抽出!P8:U8)=1)),1)&amp;L78&amp;""),
0),クライアント抽出!F8),"")</f>
        <v/>
      </c>
      <c r="J78" s="180" t="str">
        <f>IF(C78&lt;&gt;"",
VLOOKUP(
"*"&amp;LEFT(IF(COUNTIF(D78,"*学食*"),"キャラ弁（学食）",
IF(COUNTIF(D78,"*赤*"),"赤",
IF(COUNTIF(D78,"*キャラ弁当*"),"キャラ弁当",D78))),4)&amp;"*",注文弁当の抽出!$E$1:$F$15,2,FALSE),"")</f>
        <v/>
      </c>
      <c r="K78" s="180" t="str">
        <f ca="1">IF(クライアント抽出!Q8&lt;&gt;"",SUBSTITUTE(ADDRESS(1,(CODE(クライアント抽出!Q8)-64)*2-1,4),"1",""),"")</f>
        <v/>
      </c>
      <c r="L78" s="180" t="str">
        <f>IF(C8&lt;&gt;"",クライアント抽出!I8,"")</f>
        <v/>
      </c>
      <c r="M78" s="180">
        <f t="array" aca="1" ref="M78" ca="1">IF(C78&lt;&gt;"",
IF(K78&lt;&gt;"",INDIRECT("'数出表_Excel（アレルギー入力）'!"&amp;K78&amp;L78-1&amp;""),),)</f>
        <v>0</v>
      </c>
      <c r="N78" s="180" t="str">
        <f>IF(C78&lt;&gt;"",IF(OR(COUNTIF('盛付札（関数）'!D78,"*赤*"),COUNTIF('盛付札（関数）'!D78,"*キャラ*")),1,
VLOOKUP("*"&amp;D78&amp;"*",商品マスタ一覧!D:H,5,FALSE)),"")</f>
        <v/>
      </c>
      <c r="O78" s="180">
        <f t="shared" ca="1" si="44"/>
        <v>0</v>
      </c>
      <c r="P78" s="180">
        <f t="shared" si="23"/>
        <v>0</v>
      </c>
      <c r="Q78" s="180" t="b">
        <f t="shared" si="24"/>
        <v>0</v>
      </c>
      <c r="R78" s="51" t="str">
        <f t="array" aca="1" ref="R78" ca="1">IFERROR(SMALL(IF(P$1:P$307&lt;&gt;0,P$1:P$307),ROW(A78)),"")</f>
        <v/>
      </c>
      <c r="S78" s="51" t="str">
        <f t="array" aca="1" ref="S78" ca="1">IF($R78&lt;&gt;"",
SUBSTITUTE(SUBSTITUTE(INDIRECT("C"&amp;$R78&amp;"")," 週3ｺｰｽ","")," 週5ｺｰｽ",""),"")</f>
        <v/>
      </c>
      <c r="T78" s="51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91" t="str">
        <f t="array" aca="1" ref="U78" ca="1">IF($R78&lt;&gt;"",
INDIRECT("F"&amp;$R78&amp;""),"")</f>
        <v/>
      </c>
      <c r="V78" s="51" t="str">
        <f t="array" aca="1" ref="V78" ca="1">IF($R78&lt;&gt;"",
INDIRECT("G"&amp;$R78&amp;""),"")</f>
        <v/>
      </c>
      <c r="W78" s="51" t="str">
        <f t="array" aca="1" ref="W78" ca="1">IF($R78&lt;&gt;"",
IF(AND(COUNTIF(INDIRECT("B"&amp;R78&amp;""),"*雙葉*"),COUNTIF(B:B,"*雙葉*")&gt;=2),
IF(OR(COUNTIF(INDIRECT("B"&amp;R78&amp;""),"*雙葉先生*"),COUNTIF($B$1:$B$70,"*雙葉*")&gt;=2),INDIRECT("H"&amp;R78&amp;""),INDIRECT("H"&amp;R78&amp;"")+INDIRECT("H"&amp;MATCH("雙葉'",INDIRECT("B"&amp;R78+3&amp;":B210"),0)+2+R78&amp;"")),
IF(AND(LEFT(INDIRECT("B"&amp;R78&amp;""),2)="博多",COUNTIF(B:B,"*博多*")&gt;=2),
INDIRECT("H"&amp;R78&amp;"")+INDIRECT("H"&amp;MATCH("*"&amp;INDIRECT("B"&amp;R78&amp;"")&amp;"*",INDIRECT("B"&amp;R78+1&amp;":B210"),0)+R78&amp;""),
IF(AND(LEFT(INDIRECT("B"&amp;R78&amp;""),3)="奈良屋",COUNTIF(B:B,"*奈良屋*")&gt;=2),
INDIRECT("H"&amp;R78&amp;"")+INDIRECT("H"&amp;MATCH("*"&amp;INDIRECT("B"&amp;R78&amp;"")&amp;"*",INDIRECT("B"&amp;R78+1&amp;":B210"),0)+R78&amp;"")
+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INDIRECT("H"&amp;R78&amp;"")))),"")</f>
        <v/>
      </c>
      <c r="X78" s="51" t="str">
        <f t="array" aca="1" ref="X78" ca="1">IF($R78&lt;&gt;"",
INDIRECT(""&amp;IF(COLUMN(I78)&lt;=26,CHAR(COLUMN(I78)+64),CHAR(INT((COLUMN(I78)-1)/26)+64)&amp;CHAR(MOD(COLUMN(I78)-1,26)+65))&amp;$R78&amp;""),"")</f>
        <v/>
      </c>
      <c r="Y78" s="51" t="str">
        <f t="array" aca="1" ref="Y78" ca="1">IF($R78&lt;&gt;"",
INDIRECT(""&amp;IF(COLUMN(J78)&lt;=26,CHAR(COLUMN(J78)+64),CHAR(INT((COLUMN(J78)-1)/26)+64)&amp;CHAR(MOD(COLUMN(J78)-1,26)+65))&amp;$R78&amp;""),"")</f>
        <v/>
      </c>
      <c r="Z78" s="51" t="str">
        <f t="shared" ca="1" si="25"/>
        <v/>
      </c>
      <c r="AA78" s="51" t="str">
        <f t="shared" ca="1" si="26"/>
        <v/>
      </c>
      <c r="AB78" s="51" t="str">
        <f t="array" aca="1" ref="AB78" ca="1">IF($R78&lt;&gt;"",
IF(AND(COUNTIF(INDIRECT("B"&amp;R78&amp;""),"*雙葉*"),COUNTIF(B:B,"*雙葉*")&gt;=2),
INDIRECT("M"&amp;R78&amp;"")+INDIRECT("M"&amp;MATCH("雙葉'",INDIRECT("B"&amp;R78+1&amp;":B210"),0)+R78&amp;""),
IF(AND(LEFT(INDIRECT("B"&amp;R78&amp;""),2)="博多",COUNTIF(B:B,"*博多*")&gt;=2),
INDIRECT("M"&amp;R78&amp;"")+INDIRECT("M"&amp;MATCH("*"&amp;INDIRECT("B"&amp;R78&amp;"")&amp;"*",INDIRECT("B"&amp;R78+1&amp;":B210"),0)+R78&amp;""),
IF(AND(LEFT(INDIRECT("B"&amp;R78&amp;""),3)="奈良屋",COUNTIF(B:B,"*奈良屋*")&gt;=2),
INDIRECT("M"&amp;R78&amp;"")+INDIRECT("M"&amp;MATCH("*"&amp;INDIRECT("B"&amp;R78&amp;"")&amp;"*",INDIRECT("B"&amp;R78+1&amp;":B210"),0)+R78&amp;"")
+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INDIRECT("M"&amp;R78&amp;"")))),"")</f>
        <v/>
      </c>
      <c r="AC78" s="51" t="str">
        <f t="shared" ca="1" si="27"/>
        <v/>
      </c>
      <c r="AD78" s="51" t="str">
        <f t="shared" ca="1" si="28"/>
        <v/>
      </c>
      <c r="AE78" s="51" t="str">
        <f t="shared" ca="1" si="29"/>
        <v/>
      </c>
      <c r="AF78" s="51" t="str">
        <f t="shared" ca="1" si="30"/>
        <v/>
      </c>
      <c r="AG78" s="51" t="str">
        <f t="shared" ca="1" si="31"/>
        <v/>
      </c>
      <c r="AH78" s="191" t="str">
        <f t="shared" ca="1" si="32"/>
        <v/>
      </c>
      <c r="AI78" s="51" t="str">
        <f t="shared" ca="1" si="33"/>
        <v/>
      </c>
      <c r="AJ78" s="51" t="str">
        <f t="shared" ca="1" si="34"/>
        <v/>
      </c>
      <c r="AK78" s="51" t="str">
        <f t="shared" ca="1" si="35"/>
        <v/>
      </c>
      <c r="AL78" s="51" t="str">
        <f t="shared" ca="1" si="36"/>
        <v/>
      </c>
      <c r="AM78" s="51" t="str">
        <f t="shared" ca="1" si="37"/>
        <v/>
      </c>
      <c r="AN78" s="51" t="str">
        <f t="shared" ca="1" si="38"/>
        <v/>
      </c>
      <c r="AO78" s="51" t="str">
        <f t="shared" ca="1" si="39"/>
        <v/>
      </c>
      <c r="AP78" s="51" t="str">
        <f t="shared" ca="1" si="40"/>
        <v/>
      </c>
      <c r="AU78" s="51" t="str">
        <f t="shared" ca="1" si="41"/>
        <v/>
      </c>
    </row>
    <row r="79" spans="1:47" ht="21" customHeight="1">
      <c r="A79" s="179">
        <f t="shared" si="45"/>
        <v>23</v>
      </c>
      <c r="B79" s="180" t="str">
        <f t="shared" ca="1" si="43"/>
        <v/>
      </c>
      <c r="C79" s="180" t="str">
        <f>IF(OR(クライアント抽出!C9&lt;&gt;"",クライアント抽出!F9&lt;&gt;""),クライアント抽出!A9,"")</f>
        <v/>
      </c>
      <c r="D79" s="180" t="str">
        <f t="array" aca="1" ref="D79" ca="1">IF(C79&lt;&gt;"",INDIRECT("クライアント抽出!"&amp;E79&amp;MATCH(C79,クライアント抽出!A:A,0)&amp;""),"")</f>
        <v/>
      </c>
      <c r="E79" s="180" t="str">
        <f>IF(H79&lt;&gt;0,
IFERROR(
SUBSTITUTE(ADDRESS(1,
MATCH(VALUE(H79),クライアント抽出!A9:G9,0)+8,4),"1",""),
""),
IFERROR(
SUBSTITUTE(ADDRESS(1,
MATCH(VALUE(I79),クライアント抽出!A9:G9,0)+8,4),"1",""),
""))</f>
        <v/>
      </c>
      <c r="F79" s="181" t="str">
        <f ca="1">IF(D79&lt;&gt;"",
IF(COUNTIF(C79,"*雙葉*"),
IF(ROUND((H79-M79)
/IF(COUNTIF(D79,"*キャラ*"),
VLOOKUP("*キャラ*",商品マスタ一覧!$D:$E,2,FALSE),
IF(COUNTIF(D79,"*赤*"),
VLOOKUP("*赤*",商品マスタ一覧!$D:$E,2,FALSE),
VLOOKUP("*"&amp;D79&amp;"*",商品マスタ一覧!$D:$E,2,FALSE))),0)&lt;=0,1,
ROUND((H79-M79)
/IF(COUNTIF(D79,"*キャラ*"),
VLOOKUP("*キャラ*",商品マスタ一覧!$D:$E,2,FALSE),
IF(COUNTIF(D79,"*赤*"),
VLOOKUP("*赤*",商品マスタ一覧!$D:$E,2,FALSE),
VLOOKUP("*"&amp;D79&amp;"*",商品マスタ一覧!$D:$E,2,FALSE))),0)),
IF(OR(COUNTIF(D79,"*キャラ*"),COUNTIF(D79,"*赤*")),"",
IF(VLOOKUP("*"&amp;D79&amp;"*",商品マスタ一覧!$D:$E,2,FALSE)=0,"",
IF(ROUND((H79-M79)
/VLOOKUP("*"&amp;D79&amp;"*",商品マスタ一覧!$D:$E,2,FALSE),0)&lt;=0,1,
ROUND((H79-M79)
/VLOOKUP("*"&amp;D79&amp;"*",商品マスタ一覧!$D:$E,2,FALSE),0))))),"")</f>
        <v/>
      </c>
      <c r="G79" s="180" t="str">
        <f ca="1">IF(F79&lt;&gt;"",
IF(VALUE(H79-M79)&gt;VALUE(IF(COUNTIF(D79,"*キャラ*"),
VLOOKUP("*キャラ*",商品マスタ一覧!$D:$E,2,FALSE),
IF(COUNTIF(D79,"*赤*"),
VLOOKUP("*赤*",商品マスタ一覧!$D:$E,2,FALSE),
VLOOKUP("*"&amp;D79&amp;"*",商品マスタ一覧!$D:$E,2,FALSE)))*F79),
"+"&amp;(H79-M79)-IF(COUNTIF(D79,"*キャラ*"),
VLOOKUP("*キャラ*",商品マスタ一覧!$D:$E,2,FALSE),
IF(COUNTIF(D79,"*赤*"),
VLOOKUP("*赤*",商品マスタ一覧!$D:$E,2,FALSE),
VLOOKUP("*"&amp;D79&amp;"*",商品マスタ一覧!$D:$E,2,FALSE)))*F79,
(H79-M79)-IF(COUNTIF(D79,"*キャラ*"),
VLOOKUP("*キャラ*",商品マスタ一覧!$D:$E,2,FALSE),
IF(COUNTIF(D79,"*赤*"),
VLOOKUP("*赤*",商品マスタ一覧!$D:$E,2,FALSE),
VLOOKUP("*"&amp;D79&amp;"*",商品マスタ一覧!$D:$E,2,FALSE)))*F79),"")</f>
        <v/>
      </c>
      <c r="H79" s="182" t="str">
        <f>IF(C79&lt;&gt;"",
クライアント抽出!C9,"")</f>
        <v/>
      </c>
      <c r="I79" s="180" t="str">
        <f t="array" aca="1" ref="I79" ca="1">IF(C79&lt;&gt;"",
IF(O79=1,
IF(SUMPRODUCT(COUNTIF(クライアント抽出!P9:U9,クライアント抽出!P9:U9))&gt;COUNTA(クライアント抽出!P9:U9),
INDIRECT("数出表_Excel!"&amp;INDEX(_xlfn.UNIQUE(_xlfn._xlws.FILTER(クライアント抽出!P9:U9,COUNTIF(クライアント抽出!P9:U9,クライアント抽出!P9:U9)=1)),1)&amp;L79&amp;""),
0),クライアント抽出!F9),"")</f>
        <v/>
      </c>
      <c r="J79" s="180" t="str">
        <f>IF(C79&lt;&gt;"",
VLOOKUP(
"*"&amp;LEFT(IF(COUNTIF(D79,"*学食*"),"キャラ弁（学食）",
IF(COUNTIF(D79,"*赤*"),"赤",
IF(COUNTIF(D79,"*キャラ弁当*"),"キャラ弁当",D79))),4)&amp;"*",注文弁当の抽出!$E$1:$F$15,2,FALSE),"")</f>
        <v/>
      </c>
      <c r="K79" s="180" t="str">
        <f ca="1">IF(クライアント抽出!Q9&lt;&gt;"",SUBSTITUTE(ADDRESS(1,(CODE(クライアント抽出!Q9)-64)*2-1,4),"1",""),"")</f>
        <v/>
      </c>
      <c r="L79" s="180" t="str">
        <f>IF(C9&lt;&gt;"",クライアント抽出!I9,"")</f>
        <v/>
      </c>
      <c r="M79" s="180">
        <f t="array" aca="1" ref="M79" ca="1">IF(C79&lt;&gt;"",
IF(K79&lt;&gt;"",INDIRECT("'数出表_Excel（アレルギー入力）'!"&amp;K79&amp;L79-1&amp;""),),)</f>
        <v>0</v>
      </c>
      <c r="N79" s="180" t="str">
        <f>IF(C79&lt;&gt;"",IF(OR(COUNTIF('盛付札（関数）'!D79,"*赤*"),COUNTIF('盛付札（関数）'!D79,"*キャラ*")),1,
VLOOKUP("*"&amp;D79&amp;"*",商品マスタ一覧!D:H,5,FALSE)),"")</f>
        <v/>
      </c>
      <c r="O79" s="180">
        <f t="shared" ca="1" si="44"/>
        <v>0</v>
      </c>
      <c r="P79" s="180">
        <f t="shared" si="23"/>
        <v>0</v>
      </c>
      <c r="Q79" s="180" t="b">
        <f t="shared" si="24"/>
        <v>0</v>
      </c>
      <c r="R79" s="51" t="str">
        <f t="array" aca="1" ref="R79" ca="1">IFERROR(SMALL(IF(P$1:P$307&lt;&gt;0,P$1:P$307),ROW(A79)),"")</f>
        <v/>
      </c>
      <c r="S79" s="51" t="str">
        <f t="array" aca="1" ref="S79" ca="1">IF($R79&lt;&gt;"",
SUBSTITUTE(SUBSTITUTE(INDIRECT("C"&amp;$R79&amp;"")," 週3ｺｰｽ","")," 週5ｺｰｽ",""),"")</f>
        <v/>
      </c>
      <c r="T79" s="51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91" t="str">
        <f t="array" aca="1" ref="U79" ca="1">IF($R79&lt;&gt;"",
INDIRECT("F"&amp;$R79&amp;""),"")</f>
        <v/>
      </c>
      <c r="V79" s="51" t="str">
        <f t="array" aca="1" ref="V79" ca="1">IF($R79&lt;&gt;"",
INDIRECT("G"&amp;$R79&amp;""),"")</f>
        <v/>
      </c>
      <c r="W79" s="51" t="str">
        <f t="array" aca="1" ref="W79" ca="1">IF($R79&lt;&gt;"",
IF(AND(COUNTIF(INDIRECT("B"&amp;R79&amp;""),"*雙葉*"),COUNTIF(B:B,"*雙葉*")&gt;=2),
IF(OR(COUNTIF(INDIRECT("B"&amp;R79&amp;""),"*雙葉先生*"),COUNTIF($B$1:$B$70,"*雙葉*")&gt;=2),INDIRECT("H"&amp;R79&amp;""),INDIRECT("H"&amp;R79&amp;"")+INDIRECT("H"&amp;MATCH("雙葉'",INDIRECT("B"&amp;R79+3&amp;":B210"),0)+2+R79&amp;"")),
IF(AND(LEFT(INDIRECT("B"&amp;R79&amp;""),2)="博多",COUNTIF(B:B,"*博多*")&gt;=2),
INDIRECT("H"&amp;R79&amp;"")+INDIRECT("H"&amp;MATCH("*"&amp;INDIRECT("B"&amp;R79&amp;"")&amp;"*",INDIRECT("B"&amp;R79+1&amp;":B210"),0)+R79&amp;""),
IF(AND(LEFT(INDIRECT("B"&amp;R79&amp;""),3)="奈良屋",COUNTIF(B:B,"*奈良屋*")&gt;=2),
INDIRECT("H"&amp;R79&amp;"")+INDIRECT("H"&amp;MATCH("*"&amp;INDIRECT("B"&amp;R79&amp;"")&amp;"*",INDIRECT("B"&amp;R79+1&amp;":B210"),0)+R79&amp;"")
+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INDIRECT("H"&amp;R79&amp;"")))),"")</f>
        <v/>
      </c>
      <c r="X79" s="51" t="str">
        <f t="array" aca="1" ref="X79" ca="1">IF($R79&lt;&gt;"",
INDIRECT(""&amp;IF(COLUMN(I79)&lt;=26,CHAR(COLUMN(I79)+64),CHAR(INT((COLUMN(I79)-1)/26)+64)&amp;CHAR(MOD(COLUMN(I79)-1,26)+65))&amp;$R79&amp;""),"")</f>
        <v/>
      </c>
      <c r="Y79" s="51" t="str">
        <f t="array" aca="1" ref="Y79" ca="1">IF($R79&lt;&gt;"",
INDIRECT(""&amp;IF(COLUMN(J79)&lt;=26,CHAR(COLUMN(J79)+64),CHAR(INT((COLUMN(J79)-1)/26)+64)&amp;CHAR(MOD(COLUMN(J79)-1,26)+65))&amp;$R79&amp;""),"")</f>
        <v/>
      </c>
      <c r="Z79" s="51" t="str">
        <f t="shared" ca="1" si="25"/>
        <v/>
      </c>
      <c r="AA79" s="51" t="str">
        <f t="shared" ca="1" si="26"/>
        <v/>
      </c>
      <c r="AB79" s="51" t="str">
        <f t="array" aca="1" ref="AB79" ca="1">IF($R79&lt;&gt;"",
IF(AND(COUNTIF(INDIRECT("B"&amp;R79&amp;""),"*雙葉*"),COUNTIF(B:B,"*雙葉*")&gt;=2),
INDIRECT("M"&amp;R79&amp;"")+INDIRECT("M"&amp;MATCH("雙葉'",INDIRECT("B"&amp;R79+1&amp;":B210"),0)+R79&amp;""),
IF(AND(LEFT(INDIRECT("B"&amp;R79&amp;""),2)="博多",COUNTIF(B:B,"*博多*")&gt;=2),
INDIRECT("M"&amp;R79&amp;"")+INDIRECT("M"&amp;MATCH("*"&amp;INDIRECT("B"&amp;R79&amp;"")&amp;"*",INDIRECT("B"&amp;R79+1&amp;":B210"),0)+R79&amp;""),
IF(AND(LEFT(INDIRECT("B"&amp;R79&amp;""),3)="奈良屋",COUNTIF(B:B,"*奈良屋*")&gt;=2),
INDIRECT("M"&amp;R79&amp;"")+INDIRECT("M"&amp;MATCH("*"&amp;INDIRECT("B"&amp;R79&amp;"")&amp;"*",INDIRECT("B"&amp;R79+1&amp;":B210"),0)+R79&amp;"")
+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INDIRECT("M"&amp;R79&amp;"")))),"")</f>
        <v/>
      </c>
      <c r="AC79" s="51" t="str">
        <f t="shared" ca="1" si="27"/>
        <v/>
      </c>
      <c r="AD79" s="51" t="str">
        <f t="shared" ca="1" si="28"/>
        <v/>
      </c>
      <c r="AE79" s="51" t="str">
        <f t="shared" ca="1" si="29"/>
        <v/>
      </c>
      <c r="AF79" s="51" t="str">
        <f t="shared" ca="1" si="30"/>
        <v/>
      </c>
      <c r="AG79" s="51" t="str">
        <f t="shared" ca="1" si="31"/>
        <v/>
      </c>
      <c r="AH79" s="191" t="str">
        <f t="shared" ca="1" si="32"/>
        <v/>
      </c>
      <c r="AI79" s="51" t="str">
        <f t="shared" ca="1" si="33"/>
        <v/>
      </c>
      <c r="AJ79" s="51" t="str">
        <f t="shared" ca="1" si="34"/>
        <v/>
      </c>
      <c r="AK79" s="51" t="str">
        <f t="shared" ca="1" si="35"/>
        <v/>
      </c>
      <c r="AL79" s="51" t="str">
        <f t="shared" ca="1" si="36"/>
        <v/>
      </c>
      <c r="AM79" s="51" t="str">
        <f t="shared" ca="1" si="37"/>
        <v/>
      </c>
      <c r="AN79" s="51" t="str">
        <f t="shared" ca="1" si="38"/>
        <v/>
      </c>
      <c r="AO79" s="51" t="str">
        <f t="shared" ca="1" si="39"/>
        <v/>
      </c>
      <c r="AP79" s="51" t="str">
        <f t="shared" ca="1" si="40"/>
        <v/>
      </c>
      <c r="AU79" s="51" t="str">
        <f t="shared" ca="1" si="41"/>
        <v/>
      </c>
    </row>
    <row r="80" spans="1:47" ht="22.2" customHeight="1">
      <c r="A80" s="179">
        <f t="shared" si="45"/>
        <v>25</v>
      </c>
      <c r="B80" s="180" t="str">
        <f t="shared" ca="1" si="43"/>
        <v/>
      </c>
      <c r="C80" s="180" t="str">
        <f>IF(OR(クライアント抽出!C10&lt;&gt;"",クライアント抽出!F10&lt;&gt;""),クライアント抽出!A10,"")</f>
        <v/>
      </c>
      <c r="D80" s="180" t="str">
        <f t="array" aca="1" ref="D80" ca="1">IF(C80&lt;&gt;"",INDIRECT("クライアント抽出!"&amp;E80&amp;MATCH(C80,クライアント抽出!A:A,0)&amp;""),"")</f>
        <v/>
      </c>
      <c r="E80" s="180" t="str">
        <f>IF(H80&lt;&gt;0,
IFERROR(
SUBSTITUTE(ADDRESS(1,
MATCH(VALUE(H80),クライアント抽出!A10:G10,0)+8,4),"1",""),
""),
IFERROR(
SUBSTITUTE(ADDRESS(1,
MATCH(VALUE(I80),クライアント抽出!A10:G10,0)+8,4),"1",""),
""))</f>
        <v/>
      </c>
      <c r="F80" s="181" t="str">
        <f ca="1">IF(D80&lt;&gt;"",
IF(COUNTIF(C80,"*雙葉*"),
IF(ROUND((H80-M80)
/IF(COUNTIF(D80,"*キャラ*"),
VLOOKUP("*キャラ*",商品マスタ一覧!$D:$E,2,FALSE),
IF(COUNTIF(D80,"*赤*"),
VLOOKUP("*赤*",商品マスタ一覧!$D:$E,2,FALSE),
VLOOKUP("*"&amp;D80&amp;"*",商品マスタ一覧!$D:$E,2,FALSE))),0)&lt;=0,1,
ROUND((H80-M80)
/IF(COUNTIF(D80,"*キャラ*"),
VLOOKUP("*キャラ*",商品マスタ一覧!$D:$E,2,FALSE),
IF(COUNTIF(D80,"*赤*"),
VLOOKUP("*赤*",商品マスタ一覧!$D:$E,2,FALSE),
VLOOKUP("*"&amp;D80&amp;"*",商品マスタ一覧!$D:$E,2,FALSE))),0)),
IF(OR(COUNTIF(D80,"*キャラ*"),COUNTIF(D80,"*赤*")),"",
IF(VLOOKUP("*"&amp;D80&amp;"*",商品マスタ一覧!$D:$E,2,FALSE)=0,"",
IF(ROUND((H80-M80)
/VLOOKUP("*"&amp;D80&amp;"*",商品マスタ一覧!$D:$E,2,FALSE),0)&lt;=0,1,
ROUND((H80-M80)
/VLOOKUP("*"&amp;D80&amp;"*",商品マスタ一覧!$D:$E,2,FALSE),0))))),"")</f>
        <v/>
      </c>
      <c r="G80" s="180" t="str">
        <f ca="1">IF(F80&lt;&gt;"",
IF(VALUE(H80-M80)&gt;VALUE(IF(COUNTIF(D80,"*キャラ*"),
VLOOKUP("*キャラ*",商品マスタ一覧!$D:$E,2,FALSE),
IF(COUNTIF(D80,"*赤*"),
VLOOKUP("*赤*",商品マスタ一覧!$D:$E,2,FALSE),
VLOOKUP("*"&amp;D80&amp;"*",商品マスタ一覧!$D:$E,2,FALSE)))*F80),
"+"&amp;(H80-M80)-IF(COUNTIF(D80,"*キャラ*"),
VLOOKUP("*キャラ*",商品マスタ一覧!$D:$E,2,FALSE),
IF(COUNTIF(D80,"*赤*"),
VLOOKUP("*赤*",商品マスタ一覧!$D:$E,2,FALSE),
VLOOKUP("*"&amp;D80&amp;"*",商品マスタ一覧!$D:$E,2,FALSE)))*F80,
(H80-M80)-IF(COUNTIF(D80,"*キャラ*"),
VLOOKUP("*キャラ*",商品マスタ一覧!$D:$E,2,FALSE),
IF(COUNTIF(D80,"*赤*"),
VLOOKUP("*赤*",商品マスタ一覧!$D:$E,2,FALSE),
VLOOKUP("*"&amp;D80&amp;"*",商品マスタ一覧!$D:$E,2,FALSE)))*F80),"")</f>
        <v/>
      </c>
      <c r="H80" s="182" t="str">
        <f>IF(C80&lt;&gt;"",
クライアント抽出!C10,"")</f>
        <v/>
      </c>
      <c r="I80" s="180" t="str">
        <f t="array" aca="1" ref="I80" ca="1">IF(C80&lt;&gt;"",
IF(O80=1,
IF(SUMPRODUCT(COUNTIF(クライアント抽出!P10:U10,クライアント抽出!P10:U10))&gt;COUNTA(クライアント抽出!P10:U10),
INDIRECT("数出表_Excel!"&amp;INDEX(_xlfn.UNIQUE(_xlfn._xlws.FILTER(クライアント抽出!P10:U10,COUNTIF(クライアント抽出!P10:U10,クライアント抽出!P10:U10)=1)),1)&amp;L80&amp;""),
0),クライアント抽出!F10),"")</f>
        <v/>
      </c>
      <c r="J80" s="180" t="str">
        <f>IF(C80&lt;&gt;"",
VLOOKUP(
"*"&amp;LEFT(IF(COUNTIF(D80,"*学食*"),"キャラ弁（学食）",
IF(COUNTIF(D80,"*赤*"),"赤",
IF(COUNTIF(D80,"*キャラ弁当*"),"キャラ弁当",D80))),4)&amp;"*",注文弁当の抽出!$E$1:$F$15,2,FALSE),"")</f>
        <v/>
      </c>
      <c r="K80" s="180" t="str">
        <f ca="1">IF(クライアント抽出!Q10&lt;&gt;"",SUBSTITUTE(ADDRESS(1,(CODE(クライアント抽出!Q10)-64)*2-1,4),"1",""),"")</f>
        <v/>
      </c>
      <c r="L80" s="180" t="str">
        <f>IF(C10&lt;&gt;"",クライアント抽出!I10,"")</f>
        <v/>
      </c>
      <c r="M80" s="180">
        <f t="array" aca="1" ref="M80" ca="1">IF(C80&lt;&gt;"",
IF(K80&lt;&gt;"",INDIRECT("'数出表_Excel（アレルギー入力）'!"&amp;K80&amp;L80-1&amp;""),),)</f>
        <v>0</v>
      </c>
      <c r="N80" s="180" t="str">
        <f>IF(C80&lt;&gt;"",IF(OR(COUNTIF('盛付札（関数）'!D80,"*赤*"),COUNTIF('盛付札（関数）'!D80,"*キャラ*")),1,
VLOOKUP("*"&amp;D80&amp;"*",商品マスタ一覧!D:H,5,FALSE)),"")</f>
        <v/>
      </c>
      <c r="O80" s="180">
        <f t="shared" ca="1" si="44"/>
        <v>0</v>
      </c>
      <c r="P80" s="180">
        <f t="shared" si="23"/>
        <v>0</v>
      </c>
      <c r="Q80" s="180" t="b">
        <f t="shared" si="24"/>
        <v>0</v>
      </c>
      <c r="R80" s="51" t="str">
        <f t="array" aca="1" ref="R80" ca="1">IFERROR(SMALL(IF(P$1:P$307&lt;&gt;0,P$1:P$307),ROW(A80)),"")</f>
        <v/>
      </c>
      <c r="S80" s="51" t="str">
        <f t="array" aca="1" ref="S80" ca="1">IF($R80&lt;&gt;"",
SUBSTITUTE(SUBSTITUTE(INDIRECT("C"&amp;$R80&amp;"")," 週3ｺｰｽ","")," 週5ｺｰｽ",""),"")</f>
        <v/>
      </c>
      <c r="T80" s="51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91" t="str">
        <f t="array" aca="1" ref="U80" ca="1">IF($R80&lt;&gt;"",
INDIRECT("F"&amp;$R80&amp;""),"")</f>
        <v/>
      </c>
      <c r="V80" s="51" t="str">
        <f t="array" aca="1" ref="V80" ca="1">IF($R80&lt;&gt;"",
INDIRECT("G"&amp;$R80&amp;""),"")</f>
        <v/>
      </c>
      <c r="W80" s="51" t="str">
        <f t="array" aca="1" ref="W80" ca="1">IF($R80&lt;&gt;"",
IF(AND(COUNTIF(INDIRECT("B"&amp;R80&amp;""),"*雙葉*"),COUNTIF(B:B,"*雙葉*")&gt;=2),
IF(OR(COUNTIF(INDIRECT("B"&amp;R80&amp;""),"*雙葉先生*"),COUNTIF($B$1:$B$70,"*雙葉*")&gt;=2),INDIRECT("H"&amp;R80&amp;""),INDIRECT("H"&amp;R80&amp;"")+INDIRECT("H"&amp;MATCH("雙葉'",INDIRECT("B"&amp;R80+3&amp;":B210"),0)+2+R80&amp;"")),
IF(AND(LEFT(INDIRECT("B"&amp;R80&amp;""),2)="博多",COUNTIF(B:B,"*博多*")&gt;=2),
INDIRECT("H"&amp;R80&amp;"")+INDIRECT("H"&amp;MATCH("*"&amp;INDIRECT("B"&amp;R80&amp;"")&amp;"*",INDIRECT("B"&amp;R80+1&amp;":B210"),0)+R80&amp;""),
IF(AND(LEFT(INDIRECT("B"&amp;R80&amp;""),3)="奈良屋",COUNTIF(B:B,"*奈良屋*")&gt;=2),
INDIRECT("H"&amp;R80&amp;"")+INDIRECT("H"&amp;MATCH("*"&amp;INDIRECT("B"&amp;R80&amp;"")&amp;"*",INDIRECT("B"&amp;R80+1&amp;":B210"),0)+R80&amp;"")
+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INDIRECT("H"&amp;R80&amp;"")))),"")</f>
        <v/>
      </c>
      <c r="X80" s="51" t="str">
        <f t="array" aca="1" ref="X80" ca="1">IF($R80&lt;&gt;"",
INDIRECT(""&amp;IF(COLUMN(I80)&lt;=26,CHAR(COLUMN(I80)+64),CHAR(INT((COLUMN(I80)-1)/26)+64)&amp;CHAR(MOD(COLUMN(I80)-1,26)+65))&amp;$R80&amp;""),"")</f>
        <v/>
      </c>
      <c r="Y80" s="51" t="str">
        <f t="array" aca="1" ref="Y80" ca="1">IF($R80&lt;&gt;"",
INDIRECT(""&amp;IF(COLUMN(J80)&lt;=26,CHAR(COLUMN(J80)+64),CHAR(INT((COLUMN(J80)-1)/26)+64)&amp;CHAR(MOD(COLUMN(J80)-1,26)+65))&amp;$R80&amp;""),"")</f>
        <v/>
      </c>
      <c r="Z80" s="51" t="str">
        <f t="shared" ca="1" si="25"/>
        <v/>
      </c>
      <c r="AA80" s="51" t="str">
        <f t="shared" ca="1" si="26"/>
        <v/>
      </c>
      <c r="AB80" s="51" t="str">
        <f t="array" aca="1" ref="AB80" ca="1">IF($R80&lt;&gt;"",
IF(AND(COUNTIF(INDIRECT("B"&amp;R80&amp;""),"*雙葉*"),COUNTIF(B:B,"*雙葉*")&gt;=2),
INDIRECT("M"&amp;R80&amp;"")+INDIRECT("M"&amp;MATCH("雙葉'",INDIRECT("B"&amp;R80+1&amp;":B210"),0)+R80&amp;""),
IF(AND(LEFT(INDIRECT("B"&amp;R80&amp;""),2)="博多",COUNTIF(B:B,"*博多*")&gt;=2),
INDIRECT("M"&amp;R80&amp;"")+INDIRECT("M"&amp;MATCH("*"&amp;INDIRECT("B"&amp;R80&amp;"")&amp;"*",INDIRECT("B"&amp;R80+1&amp;":B210"),0)+R80&amp;""),
IF(AND(LEFT(INDIRECT("B"&amp;R80&amp;""),3)="奈良屋",COUNTIF(B:B,"*奈良屋*")&gt;=2),
INDIRECT("M"&amp;R80&amp;"")+INDIRECT("M"&amp;MATCH("*"&amp;INDIRECT("B"&amp;R80&amp;"")&amp;"*",INDIRECT("B"&amp;R80+1&amp;":B210"),0)+R80&amp;"")
+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INDIRECT("M"&amp;R80&amp;"")))),"")</f>
        <v/>
      </c>
      <c r="AC80" s="51" t="str">
        <f t="shared" ca="1" si="27"/>
        <v/>
      </c>
      <c r="AD80" s="51" t="str">
        <f t="shared" ca="1" si="28"/>
        <v/>
      </c>
      <c r="AE80" s="51" t="str">
        <f t="shared" ca="1" si="29"/>
        <v/>
      </c>
      <c r="AF80" s="51" t="str">
        <f t="shared" ca="1" si="30"/>
        <v/>
      </c>
      <c r="AG80" s="51" t="str">
        <f t="shared" ca="1" si="31"/>
        <v/>
      </c>
      <c r="AH80" s="191" t="str">
        <f t="shared" ca="1" si="32"/>
        <v/>
      </c>
      <c r="AI80" s="51" t="str">
        <f t="shared" ca="1" si="33"/>
        <v/>
      </c>
      <c r="AJ80" s="51" t="str">
        <f t="shared" ca="1" si="34"/>
        <v/>
      </c>
      <c r="AK80" s="51" t="str">
        <f t="shared" ca="1" si="35"/>
        <v/>
      </c>
      <c r="AL80" s="51" t="str">
        <f t="shared" ca="1" si="36"/>
        <v/>
      </c>
      <c r="AM80" s="51" t="str">
        <f t="shared" ca="1" si="37"/>
        <v/>
      </c>
      <c r="AN80" s="51" t="str">
        <f t="shared" ca="1" si="38"/>
        <v/>
      </c>
      <c r="AO80" s="51" t="str">
        <f t="shared" ca="1" si="39"/>
        <v/>
      </c>
      <c r="AP80" s="51" t="str">
        <f t="shared" ca="1" si="40"/>
        <v/>
      </c>
      <c r="AU80" s="51" t="str">
        <f t="shared" ca="1" si="41"/>
        <v/>
      </c>
    </row>
    <row r="81" spans="1:47" ht="22.2" customHeight="1">
      <c r="A81" s="179">
        <f t="shared" si="45"/>
        <v>27</v>
      </c>
      <c r="B81" s="180" t="str">
        <f t="shared" ca="1" si="43"/>
        <v/>
      </c>
      <c r="C81" s="180" t="str">
        <f>IF(OR(クライアント抽出!C11&lt;&gt;"",クライアント抽出!F11&lt;&gt;""),クライアント抽出!A11,"")</f>
        <v/>
      </c>
      <c r="D81" s="180" t="str">
        <f t="array" aca="1" ref="D81" ca="1">IF(C81&lt;&gt;"",INDIRECT("クライアント抽出!"&amp;E81&amp;MATCH(C81,クライアント抽出!A:A,0)&amp;""),"")</f>
        <v/>
      </c>
      <c r="E81" s="180" t="str">
        <f>IF(H81&lt;&gt;0,
IFERROR(
SUBSTITUTE(ADDRESS(1,
MATCH(VALUE(H81),クライアント抽出!A11:G11,0)+8,4),"1",""),
""),
IFERROR(
SUBSTITUTE(ADDRESS(1,
MATCH(VALUE(I81),クライアント抽出!A11:G11,0)+8,4),"1",""),
""))</f>
        <v/>
      </c>
      <c r="F81" s="181" t="str">
        <f ca="1">IF(D81&lt;&gt;"",
IF(COUNTIF(C81,"*雙葉*"),
IF(ROUND((H81-M81)
/IF(COUNTIF(D81,"*キャラ*"),
VLOOKUP("*キャラ*",商品マスタ一覧!$D:$E,2,FALSE),
IF(COUNTIF(D81,"*赤*"),
VLOOKUP("*赤*",商品マスタ一覧!$D:$E,2,FALSE),
VLOOKUP("*"&amp;D81&amp;"*",商品マスタ一覧!$D:$E,2,FALSE))),0)&lt;=0,1,
ROUND((H81-M81)
/IF(COUNTIF(D81,"*キャラ*"),
VLOOKUP("*キャラ*",商品マスタ一覧!$D:$E,2,FALSE),
IF(COUNTIF(D81,"*赤*"),
VLOOKUP("*赤*",商品マスタ一覧!$D:$E,2,FALSE),
VLOOKUP("*"&amp;D81&amp;"*",商品マスタ一覧!$D:$E,2,FALSE))),0)),
IF(OR(COUNTIF(D81,"*キャラ*"),COUNTIF(D81,"*赤*")),"",
IF(VLOOKUP("*"&amp;D81&amp;"*",商品マスタ一覧!$D:$E,2,FALSE)=0,"",
IF(ROUND((H81-M81)
/VLOOKUP("*"&amp;D81&amp;"*",商品マスタ一覧!$D:$E,2,FALSE),0)&lt;=0,1,
ROUND((H81-M81)
/VLOOKUP("*"&amp;D81&amp;"*",商品マスタ一覧!$D:$E,2,FALSE),0))))),"")</f>
        <v/>
      </c>
      <c r="G81" s="180" t="str">
        <f ca="1">IF(F81&lt;&gt;"",
IF(VALUE(H81-M81)&gt;VALUE(IF(COUNTIF(D81,"*キャラ*"),
VLOOKUP("*キャラ*",商品マスタ一覧!$D:$E,2,FALSE),
IF(COUNTIF(D81,"*赤*"),
VLOOKUP("*赤*",商品マスタ一覧!$D:$E,2,FALSE),
VLOOKUP("*"&amp;D81&amp;"*",商品マスタ一覧!$D:$E,2,FALSE)))*F81),
"+"&amp;(H81-M81)-IF(COUNTIF(D81,"*キャラ*"),
VLOOKUP("*キャラ*",商品マスタ一覧!$D:$E,2,FALSE),
IF(COUNTIF(D81,"*赤*"),
VLOOKUP("*赤*",商品マスタ一覧!$D:$E,2,FALSE),
VLOOKUP("*"&amp;D81&amp;"*",商品マスタ一覧!$D:$E,2,FALSE)))*F81,
(H81-M81)-IF(COUNTIF(D81,"*キャラ*"),
VLOOKUP("*キャラ*",商品マスタ一覧!$D:$E,2,FALSE),
IF(COUNTIF(D81,"*赤*"),
VLOOKUP("*赤*",商品マスタ一覧!$D:$E,2,FALSE),
VLOOKUP("*"&amp;D81&amp;"*",商品マスタ一覧!$D:$E,2,FALSE)))*F81),"")</f>
        <v/>
      </c>
      <c r="H81" s="182" t="str">
        <f>IF(C81&lt;&gt;"",
クライアント抽出!C11,"")</f>
        <v/>
      </c>
      <c r="I81" s="180" t="str">
        <f t="array" aca="1" ref="I81" ca="1">IF(C81&lt;&gt;"",
IF(O81=1,
IF(SUMPRODUCT(COUNTIF(クライアント抽出!P11:U11,クライアント抽出!P11:U11))&gt;COUNTA(クライアント抽出!P11:U11),
INDIRECT("数出表_Excel!"&amp;INDEX(_xlfn.UNIQUE(_xlfn._xlws.FILTER(クライアント抽出!P11:U11,COUNTIF(クライアント抽出!P11:U11,クライアント抽出!P11:U11)=1)),1)&amp;L81&amp;""),
0),クライアント抽出!F11),"")</f>
        <v/>
      </c>
      <c r="J81" s="180" t="str">
        <f>IF(C81&lt;&gt;"",
VLOOKUP(
"*"&amp;LEFT(IF(COUNTIF(D81,"*学食*"),"キャラ弁（学食）",
IF(COUNTIF(D81,"*赤*"),"赤",
IF(COUNTIF(D81,"*キャラ弁当*"),"キャラ弁当",D81))),4)&amp;"*",注文弁当の抽出!$E$1:$F$15,2,FALSE),"")</f>
        <v/>
      </c>
      <c r="K81" s="180" t="str">
        <f ca="1">IF(クライアント抽出!Q11&lt;&gt;"",SUBSTITUTE(ADDRESS(1,(CODE(クライアント抽出!Q11)-64)*2-1,4),"1",""),"")</f>
        <v/>
      </c>
      <c r="L81" s="180" t="str">
        <f>IF(C11&lt;&gt;"",クライアント抽出!I11,"")</f>
        <v/>
      </c>
      <c r="M81" s="180">
        <f t="array" aca="1" ref="M81" ca="1">IF(C81&lt;&gt;"",
IF(K81&lt;&gt;"",INDIRECT("'数出表_Excel（アレルギー入力）'!"&amp;K81&amp;L81-1&amp;""),),)</f>
        <v>0</v>
      </c>
      <c r="N81" s="180" t="str">
        <f>IF(C81&lt;&gt;"",IF(OR(COUNTIF('盛付札（関数）'!D81,"*赤*"),COUNTIF('盛付札（関数）'!D81,"*キャラ*")),1,
VLOOKUP("*"&amp;D81&amp;"*",商品マスタ一覧!D:H,5,FALSE)),"")</f>
        <v/>
      </c>
      <c r="O81" s="180">
        <f t="shared" ca="1" si="44"/>
        <v>0</v>
      </c>
      <c r="P81" s="180">
        <f t="shared" si="23"/>
        <v>0</v>
      </c>
      <c r="Q81" s="180" t="b">
        <f t="shared" si="24"/>
        <v>0</v>
      </c>
      <c r="R81" s="51" t="str">
        <f t="array" aca="1" ref="R81" ca="1">IFERROR(SMALL(IF(P$1:P$307&lt;&gt;0,P$1:P$307),ROW(A81)),"")</f>
        <v/>
      </c>
      <c r="S81" s="51" t="str">
        <f t="array" aca="1" ref="S81" ca="1">IF($R81&lt;&gt;"",
SUBSTITUTE(SUBSTITUTE(INDIRECT("C"&amp;$R81&amp;"")," 週3ｺｰｽ","")," 週5ｺｰｽ",""),"")</f>
        <v/>
      </c>
      <c r="T81" s="51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91" t="str">
        <f t="array" aca="1" ref="U81" ca="1">IF($R81&lt;&gt;"",
INDIRECT("F"&amp;$R81&amp;""),"")</f>
        <v/>
      </c>
      <c r="V81" s="51" t="str">
        <f t="array" aca="1" ref="V81" ca="1">IF($R81&lt;&gt;"",
INDIRECT("G"&amp;$R81&amp;""),"")</f>
        <v/>
      </c>
      <c r="W81" s="51" t="str">
        <f t="array" aca="1" ref="W81" ca="1">IF($R81&lt;&gt;"",
IF(AND(COUNTIF(INDIRECT("B"&amp;R81&amp;""),"*雙葉*"),COUNTIF(B:B,"*雙葉*")&gt;=2),
IF(OR(COUNTIF(INDIRECT("B"&amp;R81&amp;""),"*雙葉先生*"),COUNTIF($B$1:$B$70,"*雙葉*")&gt;=2),INDIRECT("H"&amp;R81&amp;""),INDIRECT("H"&amp;R81&amp;"")+INDIRECT("H"&amp;MATCH("雙葉'",INDIRECT("B"&amp;R81+3&amp;":B210"),0)+2+R81&amp;"")),
IF(AND(LEFT(INDIRECT("B"&amp;R81&amp;""),2)="博多",COUNTIF(B:B,"*博多*")&gt;=2),
INDIRECT("H"&amp;R81&amp;"")+INDIRECT("H"&amp;MATCH("*"&amp;INDIRECT("B"&amp;R81&amp;"")&amp;"*",INDIRECT("B"&amp;R81+1&amp;":B210"),0)+R81&amp;""),
IF(AND(LEFT(INDIRECT("B"&amp;R81&amp;""),3)="奈良屋",COUNTIF(B:B,"*奈良屋*")&gt;=2),
INDIRECT("H"&amp;R81&amp;"")+INDIRECT("H"&amp;MATCH("*"&amp;INDIRECT("B"&amp;R81&amp;"")&amp;"*",INDIRECT("B"&amp;R81+1&amp;":B210"),0)+R81&amp;"")
+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INDIRECT("H"&amp;R81&amp;"")))),"")</f>
        <v/>
      </c>
      <c r="X81" s="51" t="str">
        <f t="array" aca="1" ref="X81" ca="1">IF($R81&lt;&gt;"",
INDIRECT(""&amp;IF(COLUMN(I81)&lt;=26,CHAR(COLUMN(I81)+64),CHAR(INT((COLUMN(I81)-1)/26)+64)&amp;CHAR(MOD(COLUMN(I81)-1,26)+65))&amp;$R81&amp;""),"")</f>
        <v/>
      </c>
      <c r="Y81" s="51" t="str">
        <f t="array" aca="1" ref="Y81" ca="1">IF($R81&lt;&gt;"",
INDIRECT(""&amp;IF(COLUMN(J81)&lt;=26,CHAR(COLUMN(J81)+64),CHAR(INT((COLUMN(J81)-1)/26)+64)&amp;CHAR(MOD(COLUMN(J81)-1,26)+65))&amp;$R81&amp;""),"")</f>
        <v/>
      </c>
      <c r="Z81" s="51" t="str">
        <f t="shared" ca="1" si="25"/>
        <v/>
      </c>
      <c r="AA81" s="51" t="str">
        <f t="shared" ca="1" si="26"/>
        <v/>
      </c>
      <c r="AB81" s="51" t="str">
        <f t="array" aca="1" ref="AB81" ca="1">IF($R81&lt;&gt;"",
IF(AND(COUNTIF(INDIRECT("B"&amp;R81&amp;""),"*雙葉*"),COUNTIF(B:B,"*雙葉*")&gt;=2),
INDIRECT("M"&amp;R81&amp;"")+INDIRECT("M"&amp;MATCH("雙葉'",INDIRECT("B"&amp;R81+1&amp;":B210"),0)+R81&amp;""),
IF(AND(LEFT(INDIRECT("B"&amp;R81&amp;""),2)="博多",COUNTIF(B:B,"*博多*")&gt;=2),
INDIRECT("M"&amp;R81&amp;"")+INDIRECT("M"&amp;MATCH("*"&amp;INDIRECT("B"&amp;R81&amp;"")&amp;"*",INDIRECT("B"&amp;R81+1&amp;":B210"),0)+R81&amp;""),
IF(AND(LEFT(INDIRECT("B"&amp;R81&amp;""),3)="奈良屋",COUNTIF(B:B,"*奈良屋*")&gt;=2),
INDIRECT("M"&amp;R81&amp;"")+INDIRECT("M"&amp;MATCH("*"&amp;INDIRECT("B"&amp;R81&amp;"")&amp;"*",INDIRECT("B"&amp;R81+1&amp;":B210"),0)+R81&amp;"")
+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INDIRECT("M"&amp;R81&amp;"")))),"")</f>
        <v/>
      </c>
      <c r="AC81" s="51" t="str">
        <f t="shared" ca="1" si="27"/>
        <v/>
      </c>
      <c r="AD81" s="51" t="str">
        <f t="shared" ca="1" si="28"/>
        <v/>
      </c>
      <c r="AE81" s="51" t="str">
        <f t="shared" ca="1" si="29"/>
        <v/>
      </c>
      <c r="AF81" s="51" t="str">
        <f t="shared" ca="1" si="30"/>
        <v/>
      </c>
      <c r="AG81" s="51" t="str">
        <f t="shared" ca="1" si="31"/>
        <v/>
      </c>
      <c r="AH81" s="191" t="str">
        <f t="shared" ca="1" si="32"/>
        <v/>
      </c>
      <c r="AI81" s="51" t="str">
        <f t="shared" ca="1" si="33"/>
        <v/>
      </c>
      <c r="AJ81" s="51" t="str">
        <f t="shared" ca="1" si="34"/>
        <v/>
      </c>
      <c r="AK81" s="51" t="str">
        <f t="shared" ca="1" si="35"/>
        <v/>
      </c>
      <c r="AL81" s="51" t="str">
        <f t="shared" ca="1" si="36"/>
        <v/>
      </c>
      <c r="AM81" s="51" t="str">
        <f t="shared" ca="1" si="37"/>
        <v/>
      </c>
      <c r="AN81" s="51" t="str">
        <f t="shared" ca="1" si="38"/>
        <v/>
      </c>
      <c r="AO81" s="51" t="str">
        <f t="shared" ca="1" si="39"/>
        <v/>
      </c>
      <c r="AP81" s="51" t="str">
        <f t="shared" ca="1" si="40"/>
        <v/>
      </c>
      <c r="AU81" s="51" t="str">
        <f t="shared" ca="1" si="41"/>
        <v/>
      </c>
    </row>
    <row r="82" spans="1:47" ht="22.2" customHeight="1">
      <c r="A82" s="179">
        <f t="shared" si="45"/>
        <v>29</v>
      </c>
      <c r="B82" s="180" t="str">
        <f t="shared" ca="1" si="43"/>
        <v/>
      </c>
      <c r="C82" s="180" t="str">
        <f>IF(OR(クライアント抽出!C12&lt;&gt;"",クライアント抽出!F12&lt;&gt;""),クライアント抽出!A12,"")</f>
        <v/>
      </c>
      <c r="D82" s="180" t="str">
        <f t="array" aca="1" ref="D82" ca="1">IF(C82&lt;&gt;"",INDIRECT("クライアント抽出!"&amp;E82&amp;MATCH(C82,クライアント抽出!A:A,0)&amp;""),"")</f>
        <v/>
      </c>
      <c r="E82" s="180" t="str">
        <f>IF(H82&lt;&gt;0,
IFERROR(
SUBSTITUTE(ADDRESS(1,
MATCH(VALUE(H82),クライアント抽出!A12:G12,0)+8,4),"1",""),
""),
IFERROR(
SUBSTITUTE(ADDRESS(1,
MATCH(VALUE(I82),クライアント抽出!A12:G12,0)+8,4),"1",""),
""))</f>
        <v/>
      </c>
      <c r="F82" s="181" t="str">
        <f ca="1">IF(D82&lt;&gt;"",
IF(COUNTIF(C82,"*雙葉*"),
IF(ROUND((H82-M82)
/IF(COUNTIF(D82,"*キャラ*"),
VLOOKUP("*キャラ*",商品マスタ一覧!$D:$E,2,FALSE),
IF(COUNTIF(D82,"*赤*"),
VLOOKUP("*赤*",商品マスタ一覧!$D:$E,2,FALSE),
VLOOKUP("*"&amp;D82&amp;"*",商品マスタ一覧!$D:$E,2,FALSE))),0)&lt;=0,1,
ROUND((H82-M82)
/IF(COUNTIF(D82,"*キャラ*"),
VLOOKUP("*キャラ*",商品マスタ一覧!$D:$E,2,FALSE),
IF(COUNTIF(D82,"*赤*"),
VLOOKUP("*赤*",商品マスタ一覧!$D:$E,2,FALSE),
VLOOKUP("*"&amp;D82&amp;"*",商品マスタ一覧!$D:$E,2,FALSE))),0)),
IF(OR(COUNTIF(D82,"*キャラ*"),COUNTIF(D82,"*赤*")),"",
IF(VLOOKUP("*"&amp;D82&amp;"*",商品マスタ一覧!$D:$E,2,FALSE)=0,"",
IF(ROUND((H82-M82)
/VLOOKUP("*"&amp;D82&amp;"*",商品マスタ一覧!$D:$E,2,FALSE),0)&lt;=0,1,
ROUND((H82-M82)
/VLOOKUP("*"&amp;D82&amp;"*",商品マスタ一覧!$D:$E,2,FALSE),0))))),"")</f>
        <v/>
      </c>
      <c r="G82" s="180" t="str">
        <f ca="1">IF(F82&lt;&gt;"",
IF(VALUE(H82-M82)&gt;VALUE(IF(COUNTIF(D82,"*キャラ*"),
VLOOKUP("*キャラ*",商品マスタ一覧!$D:$E,2,FALSE),
IF(COUNTIF(D82,"*赤*"),
VLOOKUP("*赤*",商品マスタ一覧!$D:$E,2,FALSE),
VLOOKUP("*"&amp;D82&amp;"*",商品マスタ一覧!$D:$E,2,FALSE)))*F82),
"+"&amp;(H82-M82)-IF(COUNTIF(D82,"*キャラ*"),
VLOOKUP("*キャラ*",商品マスタ一覧!$D:$E,2,FALSE),
IF(COUNTIF(D82,"*赤*"),
VLOOKUP("*赤*",商品マスタ一覧!$D:$E,2,FALSE),
VLOOKUP("*"&amp;D82&amp;"*",商品マスタ一覧!$D:$E,2,FALSE)))*F82,
(H82-M82)-IF(COUNTIF(D82,"*キャラ*"),
VLOOKUP("*キャラ*",商品マスタ一覧!$D:$E,2,FALSE),
IF(COUNTIF(D82,"*赤*"),
VLOOKUP("*赤*",商品マスタ一覧!$D:$E,2,FALSE),
VLOOKUP("*"&amp;D82&amp;"*",商品マスタ一覧!$D:$E,2,FALSE)))*F82),"")</f>
        <v/>
      </c>
      <c r="H82" s="182" t="str">
        <f>IF(C82&lt;&gt;"",
クライアント抽出!C12,"")</f>
        <v/>
      </c>
      <c r="I82" s="180" t="str">
        <f t="array" aca="1" ref="I82" ca="1">IF(C82&lt;&gt;"",
IF(O82=1,
IF(SUMPRODUCT(COUNTIF(クライアント抽出!P12:U12,クライアント抽出!P12:U12))&gt;COUNTA(クライアント抽出!P12:U12),
INDIRECT("数出表_Excel!"&amp;INDEX(_xlfn.UNIQUE(_xlfn._xlws.FILTER(クライアント抽出!P12:U12,COUNTIF(クライアント抽出!P12:U12,クライアント抽出!P12:U12)=1)),1)&amp;L82&amp;""),
0),クライアント抽出!F12),"")</f>
        <v/>
      </c>
      <c r="J82" s="180" t="str">
        <f>IF(C82&lt;&gt;"",
VLOOKUP(
"*"&amp;LEFT(IF(COUNTIF(D82,"*学食*"),"キャラ弁（学食）",
IF(COUNTIF(D82,"*赤*"),"赤",
IF(COUNTIF(D82,"*キャラ弁当*"),"キャラ弁当",D82))),4)&amp;"*",注文弁当の抽出!$E$1:$F$15,2,FALSE),"")</f>
        <v/>
      </c>
      <c r="K82" s="180" t="str">
        <f ca="1">IF(クライアント抽出!Q12&lt;&gt;"",SUBSTITUTE(ADDRESS(1,(CODE(クライアント抽出!Q12)-64)*2-1,4),"1",""),"")</f>
        <v/>
      </c>
      <c r="L82" s="180" t="str">
        <f>IF(C12&lt;&gt;"",クライアント抽出!I12,"")</f>
        <v/>
      </c>
      <c r="M82" s="180">
        <f t="array" aca="1" ref="M82" ca="1">IF(C82&lt;&gt;"",
IF(K82&lt;&gt;"",INDIRECT("'数出表_Excel（アレルギー入力）'!"&amp;K82&amp;L82-1&amp;""),),)</f>
        <v>0</v>
      </c>
      <c r="N82" s="180" t="str">
        <f>IF(C82&lt;&gt;"",IF(OR(COUNTIF('盛付札（関数）'!D82,"*赤*"),COUNTIF('盛付札（関数）'!D82,"*キャラ*")),1,
VLOOKUP("*"&amp;D82&amp;"*",商品マスタ一覧!D:H,5,FALSE)),"")</f>
        <v/>
      </c>
      <c r="O82" s="180">
        <f t="shared" ca="1" si="44"/>
        <v>0</v>
      </c>
      <c r="P82" s="180">
        <f t="shared" si="23"/>
        <v>0</v>
      </c>
      <c r="Q82" s="180" t="b">
        <f t="shared" si="24"/>
        <v>0</v>
      </c>
      <c r="R82" s="51" t="str">
        <f t="array" aca="1" ref="R82" ca="1">IFERROR(SMALL(IF(P$1:P$307&lt;&gt;0,P$1:P$307),ROW(A82)),"")</f>
        <v/>
      </c>
      <c r="S82" s="51" t="str">
        <f t="array" aca="1" ref="S82" ca="1">IF($R82&lt;&gt;"",
SUBSTITUTE(SUBSTITUTE(INDIRECT("C"&amp;$R82&amp;"")," 週3ｺｰｽ","")," 週5ｺｰｽ",""),"")</f>
        <v/>
      </c>
      <c r="T82" s="51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91" t="str">
        <f t="array" aca="1" ref="U82" ca="1">IF($R82&lt;&gt;"",
INDIRECT("F"&amp;$R82&amp;""),"")</f>
        <v/>
      </c>
      <c r="V82" s="51" t="str">
        <f t="array" aca="1" ref="V82" ca="1">IF($R82&lt;&gt;"",
INDIRECT("G"&amp;$R82&amp;""),"")</f>
        <v/>
      </c>
      <c r="W82" s="51" t="str">
        <f t="array" aca="1" ref="W82" ca="1">IF($R82&lt;&gt;"",
IF(AND(COUNTIF(INDIRECT("B"&amp;R82&amp;""),"*雙葉*"),COUNTIF(B:B,"*雙葉*")&gt;=2),
IF(OR(COUNTIF(INDIRECT("B"&amp;R82&amp;""),"*雙葉先生*"),COUNTIF($B$1:$B$70,"*雙葉*")&gt;=2),INDIRECT("H"&amp;R82&amp;""),INDIRECT("H"&amp;R82&amp;"")+INDIRECT("H"&amp;MATCH("雙葉'",INDIRECT("B"&amp;R82+3&amp;":B210"),0)+2+R82&amp;"")),
IF(AND(LEFT(INDIRECT("B"&amp;R82&amp;""),2)="博多",COUNTIF(B:B,"*博多*")&gt;=2),
INDIRECT("H"&amp;R82&amp;"")+INDIRECT("H"&amp;MATCH("*"&amp;INDIRECT("B"&amp;R82&amp;"")&amp;"*",INDIRECT("B"&amp;R82+1&amp;":B210"),0)+R82&amp;""),
IF(AND(LEFT(INDIRECT("B"&amp;R82&amp;""),3)="奈良屋",COUNTIF(B:B,"*奈良屋*")&gt;=2),
INDIRECT("H"&amp;R82&amp;"")+INDIRECT("H"&amp;MATCH("*"&amp;INDIRECT("B"&amp;R82&amp;"")&amp;"*",INDIRECT("B"&amp;R82+1&amp;":B210"),0)+R82&amp;"")
+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INDIRECT("H"&amp;R82&amp;"")))),"")</f>
        <v/>
      </c>
      <c r="X82" s="51" t="str">
        <f t="array" aca="1" ref="X82" ca="1">IF($R82&lt;&gt;"",
INDIRECT(""&amp;IF(COLUMN(I82)&lt;=26,CHAR(COLUMN(I82)+64),CHAR(INT((COLUMN(I82)-1)/26)+64)&amp;CHAR(MOD(COLUMN(I82)-1,26)+65))&amp;$R82&amp;""),"")</f>
        <v/>
      </c>
      <c r="Y82" s="51" t="str">
        <f t="array" aca="1" ref="Y82" ca="1">IF($R82&lt;&gt;"",
INDIRECT(""&amp;IF(COLUMN(J82)&lt;=26,CHAR(COLUMN(J82)+64),CHAR(INT((COLUMN(J82)-1)/26)+64)&amp;CHAR(MOD(COLUMN(J82)-1,26)+65))&amp;$R82&amp;""),"")</f>
        <v/>
      </c>
      <c r="Z82" s="51" t="str">
        <f t="shared" ca="1" si="25"/>
        <v/>
      </c>
      <c r="AA82" s="51" t="str">
        <f t="shared" ca="1" si="26"/>
        <v/>
      </c>
      <c r="AB82" s="51" t="str">
        <f t="array" aca="1" ref="AB82" ca="1">IF($R82&lt;&gt;"",
IF(AND(COUNTIF(INDIRECT("B"&amp;R82&amp;""),"*雙葉*"),COUNTIF(B:B,"*雙葉*")&gt;=2),
INDIRECT("M"&amp;R82&amp;"")+INDIRECT("M"&amp;MATCH("雙葉'",INDIRECT("B"&amp;R82+1&amp;":B210"),0)+R82&amp;""),
IF(AND(LEFT(INDIRECT("B"&amp;R82&amp;""),2)="博多",COUNTIF(B:B,"*博多*")&gt;=2),
INDIRECT("M"&amp;R82&amp;"")+INDIRECT("M"&amp;MATCH("*"&amp;INDIRECT("B"&amp;R82&amp;"")&amp;"*",INDIRECT("B"&amp;R82+1&amp;":B210"),0)+R82&amp;""),
IF(AND(LEFT(INDIRECT("B"&amp;R82&amp;""),3)="奈良屋",COUNTIF(B:B,"*奈良屋*")&gt;=2),
INDIRECT("M"&amp;R82&amp;"")+INDIRECT("M"&amp;MATCH("*"&amp;INDIRECT("B"&amp;R82&amp;"")&amp;"*",INDIRECT("B"&amp;R82+1&amp;":B210"),0)+R82&amp;"")
+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INDIRECT("M"&amp;R82&amp;"")))),"")</f>
        <v/>
      </c>
      <c r="AC82" s="51" t="str">
        <f t="shared" ca="1" si="27"/>
        <v/>
      </c>
      <c r="AD82" s="51" t="str">
        <f t="shared" ca="1" si="28"/>
        <v/>
      </c>
      <c r="AE82" s="51" t="str">
        <f t="shared" ca="1" si="29"/>
        <v/>
      </c>
      <c r="AF82" s="51" t="str">
        <f t="shared" ca="1" si="30"/>
        <v/>
      </c>
      <c r="AG82" s="51" t="str">
        <f t="shared" ca="1" si="31"/>
        <v/>
      </c>
      <c r="AH82" s="191" t="str">
        <f t="shared" ca="1" si="32"/>
        <v/>
      </c>
      <c r="AI82" s="51" t="str">
        <f t="shared" ca="1" si="33"/>
        <v/>
      </c>
      <c r="AJ82" s="51" t="str">
        <f t="shared" ca="1" si="34"/>
        <v/>
      </c>
      <c r="AK82" s="51" t="str">
        <f t="shared" ca="1" si="35"/>
        <v/>
      </c>
      <c r="AL82" s="51" t="str">
        <f t="shared" ca="1" si="36"/>
        <v/>
      </c>
      <c r="AM82" s="51" t="str">
        <f t="shared" ca="1" si="37"/>
        <v/>
      </c>
      <c r="AN82" s="51" t="str">
        <f t="shared" ca="1" si="38"/>
        <v/>
      </c>
      <c r="AO82" s="51" t="str">
        <f t="shared" ca="1" si="39"/>
        <v/>
      </c>
      <c r="AP82" s="51" t="str">
        <f t="shared" ca="1" si="40"/>
        <v/>
      </c>
      <c r="AU82" s="51" t="str">
        <f t="shared" ca="1" si="41"/>
        <v/>
      </c>
    </row>
    <row r="83" spans="1:47" ht="22.2" customHeight="1">
      <c r="A83" s="179">
        <f t="shared" si="45"/>
        <v>31</v>
      </c>
      <c r="B83" s="180" t="str">
        <f t="shared" ca="1" si="43"/>
        <v/>
      </c>
      <c r="C83" s="180" t="str">
        <f>IF(OR(クライアント抽出!C13&lt;&gt;"",クライアント抽出!F13&lt;&gt;""),クライアント抽出!A13,"")</f>
        <v/>
      </c>
      <c r="D83" s="180" t="str">
        <f t="array" aca="1" ref="D83" ca="1">IF(C83&lt;&gt;"",INDIRECT("クライアント抽出!"&amp;E83&amp;MATCH(C83,クライアント抽出!A:A,0)&amp;""),"")</f>
        <v/>
      </c>
      <c r="E83" s="180" t="str">
        <f>IF(H83&lt;&gt;0,
IFERROR(
SUBSTITUTE(ADDRESS(1,
MATCH(VALUE(H83),クライアント抽出!A13:G13,0)+8,4),"1",""),
""),
IFERROR(
SUBSTITUTE(ADDRESS(1,
MATCH(VALUE(I83),クライアント抽出!A13:G13,0)+8,4),"1",""),
""))</f>
        <v/>
      </c>
      <c r="F83" s="181" t="str">
        <f ca="1">IF(D83&lt;&gt;"",
IF(COUNTIF(C83,"*雙葉*"),
IF(ROUND((H83-M83)
/IF(COUNTIF(D83,"*キャラ*"),
VLOOKUP("*キャラ*",商品マスタ一覧!$D:$E,2,FALSE),
IF(COUNTIF(D83,"*赤*"),
VLOOKUP("*赤*",商品マスタ一覧!$D:$E,2,FALSE),
VLOOKUP("*"&amp;D83&amp;"*",商品マスタ一覧!$D:$E,2,FALSE))),0)&lt;=0,1,
ROUND((H83-M83)
/IF(COUNTIF(D83,"*キャラ*"),
VLOOKUP("*キャラ*",商品マスタ一覧!$D:$E,2,FALSE),
IF(COUNTIF(D83,"*赤*"),
VLOOKUP("*赤*",商品マスタ一覧!$D:$E,2,FALSE),
VLOOKUP("*"&amp;D83&amp;"*",商品マスタ一覧!$D:$E,2,FALSE))),0)),
IF(OR(COUNTIF(D83,"*キャラ*"),COUNTIF(D83,"*赤*")),"",
IF(VLOOKUP("*"&amp;D83&amp;"*",商品マスタ一覧!$D:$E,2,FALSE)=0,"",
IF(ROUND((H83-M83)
/VLOOKUP("*"&amp;D83&amp;"*",商品マスタ一覧!$D:$E,2,FALSE),0)&lt;=0,1,
ROUND((H83-M83)
/VLOOKUP("*"&amp;D83&amp;"*",商品マスタ一覧!$D:$E,2,FALSE),0))))),"")</f>
        <v/>
      </c>
      <c r="G83" s="180" t="str">
        <f ca="1">IF(F83&lt;&gt;"",
IF(VALUE(H83-M83)&gt;VALUE(IF(COUNTIF(D83,"*キャラ*"),
VLOOKUP("*キャラ*",商品マスタ一覧!$D:$E,2,FALSE),
IF(COUNTIF(D83,"*赤*"),
VLOOKUP("*赤*",商品マスタ一覧!$D:$E,2,FALSE),
VLOOKUP("*"&amp;D83&amp;"*",商品マスタ一覧!$D:$E,2,FALSE)))*F83),
"+"&amp;(H83-M83)-IF(COUNTIF(D83,"*キャラ*"),
VLOOKUP("*キャラ*",商品マスタ一覧!$D:$E,2,FALSE),
IF(COUNTIF(D83,"*赤*"),
VLOOKUP("*赤*",商品マスタ一覧!$D:$E,2,FALSE),
VLOOKUP("*"&amp;D83&amp;"*",商品マスタ一覧!$D:$E,2,FALSE)))*F83,
(H83-M83)-IF(COUNTIF(D83,"*キャラ*"),
VLOOKUP("*キャラ*",商品マスタ一覧!$D:$E,2,FALSE),
IF(COUNTIF(D83,"*赤*"),
VLOOKUP("*赤*",商品マスタ一覧!$D:$E,2,FALSE),
VLOOKUP("*"&amp;D83&amp;"*",商品マスタ一覧!$D:$E,2,FALSE)))*F83),"")</f>
        <v/>
      </c>
      <c r="H83" s="182" t="str">
        <f>IF(C83&lt;&gt;"",
クライアント抽出!C13,"")</f>
        <v/>
      </c>
      <c r="I83" s="180" t="str">
        <f t="array" aca="1" ref="I83" ca="1">IF(C83&lt;&gt;"",
IF(O83=1,
IF(SUMPRODUCT(COUNTIF(クライアント抽出!P13:U13,クライアント抽出!P13:U13))&gt;COUNTA(クライアント抽出!P13:U13),
INDIRECT("数出表_Excel!"&amp;INDEX(_xlfn.UNIQUE(_xlfn._xlws.FILTER(クライアント抽出!P13:U13,COUNTIF(クライアント抽出!P13:U13,クライアント抽出!P13:U13)=1)),1)&amp;L83&amp;""),
0),クライアント抽出!F13),"")</f>
        <v/>
      </c>
      <c r="J83" s="180" t="str">
        <f>IF(C83&lt;&gt;"",
VLOOKUP(
"*"&amp;LEFT(IF(COUNTIF(D83,"*学食*"),"キャラ弁（学食）",
IF(COUNTIF(D83,"*赤*"),"赤",
IF(COUNTIF(D83,"*キャラ弁当*"),"キャラ弁当",D83))),4)&amp;"*",注文弁当の抽出!$E$1:$F$15,2,FALSE),"")</f>
        <v/>
      </c>
      <c r="K83" s="180" t="str">
        <f ca="1">IF(クライアント抽出!Q13&lt;&gt;"",SUBSTITUTE(ADDRESS(1,(CODE(クライアント抽出!Q13)-64)*2-1,4),"1",""),"")</f>
        <v/>
      </c>
      <c r="L83" s="180" t="str">
        <f>IF(C13&lt;&gt;"",クライアント抽出!I13,"")</f>
        <v/>
      </c>
      <c r="M83" s="180">
        <f t="array" aca="1" ref="M83" ca="1">IF(C83&lt;&gt;"",
IF(K83&lt;&gt;"",INDIRECT("'数出表_Excel（アレルギー入力）'!"&amp;K83&amp;L83-1&amp;""),),)</f>
        <v>0</v>
      </c>
      <c r="N83" s="180" t="str">
        <f>IF(C83&lt;&gt;"",IF(OR(COUNTIF('盛付札（関数）'!D83,"*赤*"),COUNTIF('盛付札（関数）'!D83,"*キャラ*")),1,
VLOOKUP("*"&amp;D83&amp;"*",商品マスタ一覧!D:H,5,FALSE)),"")</f>
        <v/>
      </c>
      <c r="O83" s="180">
        <f t="shared" ca="1" si="44"/>
        <v>0</v>
      </c>
      <c r="P83" s="180">
        <f t="shared" si="23"/>
        <v>0</v>
      </c>
      <c r="Q83" s="180" t="b">
        <f t="shared" si="24"/>
        <v>0</v>
      </c>
      <c r="R83" s="51" t="str">
        <f t="array" aca="1" ref="R83" ca="1">IFERROR(SMALL(IF(P$1:P$307&lt;&gt;0,P$1:P$307),ROW(A83)),"")</f>
        <v/>
      </c>
      <c r="S83" s="51" t="str">
        <f t="array" aca="1" ref="S83" ca="1">IF($R83&lt;&gt;"",
SUBSTITUTE(SUBSTITUTE(INDIRECT("C"&amp;$R83&amp;"")," 週3ｺｰｽ","")," 週5ｺｰｽ",""),"")</f>
        <v/>
      </c>
      <c r="T83" s="51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91" t="str">
        <f t="array" aca="1" ref="U83" ca="1">IF($R83&lt;&gt;"",
INDIRECT("F"&amp;$R83&amp;""),"")</f>
        <v/>
      </c>
      <c r="V83" s="51" t="str">
        <f t="array" aca="1" ref="V83" ca="1">IF($R83&lt;&gt;"",
INDIRECT("G"&amp;$R83&amp;""),"")</f>
        <v/>
      </c>
      <c r="W83" s="51" t="str">
        <f t="array" aca="1" ref="W83" ca="1">IF($R83&lt;&gt;"",
IF(AND(COUNTIF(INDIRECT("B"&amp;R83&amp;""),"*雙葉*"),COUNTIF(B:B,"*雙葉*")&gt;=2),
IF(OR(COUNTIF(INDIRECT("B"&amp;R83&amp;""),"*雙葉先生*"),COUNTIF($B$1:$B$70,"*雙葉*")&gt;=2),INDIRECT("H"&amp;R83&amp;""),INDIRECT("H"&amp;R83&amp;"")+INDIRECT("H"&amp;MATCH("雙葉'",INDIRECT("B"&amp;R83+3&amp;":B210"),0)+2+R83&amp;"")),
IF(AND(LEFT(INDIRECT("B"&amp;R83&amp;""),2)="博多",COUNTIF(B:B,"*博多*")&gt;=2),
INDIRECT("H"&amp;R83&amp;"")+INDIRECT("H"&amp;MATCH("*"&amp;INDIRECT("B"&amp;R83&amp;"")&amp;"*",INDIRECT("B"&amp;R83+1&amp;":B210"),0)+R83&amp;""),
IF(AND(LEFT(INDIRECT("B"&amp;R83&amp;""),3)="奈良屋",COUNTIF(B:B,"*奈良屋*")&gt;=2),
INDIRECT("H"&amp;R83&amp;"")+INDIRECT("H"&amp;MATCH("*"&amp;INDIRECT("B"&amp;R83&amp;"")&amp;"*",INDIRECT("B"&amp;R83+1&amp;":B210"),0)+R83&amp;"")
+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INDIRECT("H"&amp;R83&amp;"")))),"")</f>
        <v/>
      </c>
      <c r="X83" s="51" t="str">
        <f t="array" aca="1" ref="X83" ca="1">IF($R83&lt;&gt;"",
INDIRECT(""&amp;IF(COLUMN(I83)&lt;=26,CHAR(COLUMN(I83)+64),CHAR(INT((COLUMN(I83)-1)/26)+64)&amp;CHAR(MOD(COLUMN(I83)-1,26)+65))&amp;$R83&amp;""),"")</f>
        <v/>
      </c>
      <c r="Y83" s="51" t="str">
        <f t="array" aca="1" ref="Y83" ca="1">IF($R83&lt;&gt;"",
INDIRECT(""&amp;IF(COLUMN(J83)&lt;=26,CHAR(COLUMN(J83)+64),CHAR(INT((COLUMN(J83)-1)/26)+64)&amp;CHAR(MOD(COLUMN(J83)-1,26)+65))&amp;$R83&amp;""),"")</f>
        <v/>
      </c>
      <c r="Z83" s="51" t="str">
        <f t="shared" ca="1" si="25"/>
        <v/>
      </c>
      <c r="AA83" s="51" t="str">
        <f t="shared" ca="1" si="26"/>
        <v/>
      </c>
      <c r="AB83" s="51" t="str">
        <f t="array" aca="1" ref="AB83" ca="1">IF($R83&lt;&gt;"",
IF(AND(COUNTIF(INDIRECT("B"&amp;R83&amp;""),"*雙葉*"),COUNTIF(B:B,"*雙葉*")&gt;=2),
INDIRECT("M"&amp;R83&amp;"")+INDIRECT("M"&amp;MATCH("雙葉'",INDIRECT("B"&amp;R83+1&amp;":B210"),0)+R83&amp;""),
IF(AND(LEFT(INDIRECT("B"&amp;R83&amp;""),2)="博多",COUNTIF(B:B,"*博多*")&gt;=2),
INDIRECT("M"&amp;R83&amp;"")+INDIRECT("M"&amp;MATCH("*"&amp;INDIRECT("B"&amp;R83&amp;"")&amp;"*",INDIRECT("B"&amp;R83+1&amp;":B210"),0)+R83&amp;""),
IF(AND(LEFT(INDIRECT("B"&amp;R83&amp;""),3)="奈良屋",COUNTIF(B:B,"*奈良屋*")&gt;=2),
INDIRECT("M"&amp;R83&amp;"")+INDIRECT("M"&amp;MATCH("*"&amp;INDIRECT("B"&amp;R83&amp;"")&amp;"*",INDIRECT("B"&amp;R83+1&amp;":B210"),0)+R83&amp;"")
+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INDIRECT("M"&amp;R83&amp;"")))),"")</f>
        <v/>
      </c>
      <c r="AC83" s="51" t="str">
        <f t="shared" ca="1" si="27"/>
        <v/>
      </c>
      <c r="AD83" s="51" t="str">
        <f t="shared" ca="1" si="28"/>
        <v/>
      </c>
      <c r="AE83" s="51" t="str">
        <f t="shared" ca="1" si="29"/>
        <v/>
      </c>
      <c r="AF83" s="51" t="str">
        <f t="shared" ca="1" si="30"/>
        <v/>
      </c>
      <c r="AG83" s="51" t="str">
        <f t="shared" ca="1" si="31"/>
        <v/>
      </c>
      <c r="AH83" s="191" t="str">
        <f t="shared" ca="1" si="32"/>
        <v/>
      </c>
      <c r="AI83" s="51" t="str">
        <f t="shared" ca="1" si="33"/>
        <v/>
      </c>
      <c r="AJ83" s="51" t="str">
        <f t="shared" ca="1" si="34"/>
        <v/>
      </c>
      <c r="AK83" s="51" t="str">
        <f t="shared" ca="1" si="35"/>
        <v/>
      </c>
      <c r="AL83" s="51" t="str">
        <f t="shared" ca="1" si="36"/>
        <v/>
      </c>
      <c r="AM83" s="51" t="str">
        <f t="shared" ca="1" si="37"/>
        <v/>
      </c>
      <c r="AN83" s="51" t="str">
        <f t="shared" ca="1" si="38"/>
        <v/>
      </c>
      <c r="AO83" s="51" t="str">
        <f t="shared" ca="1" si="39"/>
        <v/>
      </c>
      <c r="AP83" s="51" t="str">
        <f t="shared" ca="1" si="40"/>
        <v/>
      </c>
      <c r="AU83" s="51" t="str">
        <f t="shared" ca="1" si="41"/>
        <v/>
      </c>
    </row>
    <row r="84" spans="1:47" ht="22.2" customHeight="1">
      <c r="A84" s="179">
        <f t="shared" si="45"/>
        <v>33</v>
      </c>
      <c r="B84" s="180" t="str">
        <f t="shared" ca="1" si="43"/>
        <v/>
      </c>
      <c r="C84" s="180" t="str">
        <f>IF(OR(クライアント抽出!C14&lt;&gt;"",クライアント抽出!F14&lt;&gt;""),クライアント抽出!A14,"")</f>
        <v/>
      </c>
      <c r="D84" s="180" t="str">
        <f t="array" aca="1" ref="D84" ca="1">IF(C84&lt;&gt;"",INDIRECT("クライアント抽出!"&amp;E84&amp;MATCH(C84,クライアント抽出!A:A,0)&amp;""),"")</f>
        <v/>
      </c>
      <c r="E84" s="180" t="str">
        <f>IF(H84&lt;&gt;0,
IFERROR(
SUBSTITUTE(ADDRESS(1,
MATCH(VALUE(H84),クライアント抽出!A14:G14,0)+8,4),"1",""),
""),
IFERROR(
SUBSTITUTE(ADDRESS(1,
MATCH(VALUE(I84),クライアント抽出!A14:G14,0)+8,4),"1",""),
""))</f>
        <v/>
      </c>
      <c r="F84" s="181" t="str">
        <f ca="1">IF(D84&lt;&gt;"",
IF(COUNTIF(C84,"*雙葉*"),
IF(ROUND((H84-M84)
/IF(COUNTIF(D84,"*キャラ*"),
VLOOKUP("*キャラ*",商品マスタ一覧!$D:$E,2,FALSE),
IF(COUNTIF(D84,"*赤*"),
VLOOKUP("*赤*",商品マスタ一覧!$D:$E,2,FALSE),
VLOOKUP("*"&amp;D84&amp;"*",商品マスタ一覧!$D:$E,2,FALSE))),0)&lt;=0,1,
ROUND((H84-M84)
/IF(COUNTIF(D84,"*キャラ*"),
VLOOKUP("*キャラ*",商品マスタ一覧!$D:$E,2,FALSE),
IF(COUNTIF(D84,"*赤*"),
VLOOKUP("*赤*",商品マスタ一覧!$D:$E,2,FALSE),
VLOOKUP("*"&amp;D84&amp;"*",商品マスタ一覧!$D:$E,2,FALSE))),0)),
IF(OR(COUNTIF(D84,"*キャラ*"),COUNTIF(D84,"*赤*")),"",
IF(VLOOKUP("*"&amp;D84&amp;"*",商品マスタ一覧!$D:$E,2,FALSE)=0,"",
IF(ROUND((H84-M84)
/VLOOKUP("*"&amp;D84&amp;"*",商品マスタ一覧!$D:$E,2,FALSE),0)&lt;=0,1,
ROUND((H84-M84)
/VLOOKUP("*"&amp;D84&amp;"*",商品マスタ一覧!$D:$E,2,FALSE),0))))),"")</f>
        <v/>
      </c>
      <c r="G84" s="180" t="str">
        <f ca="1">IF(F84&lt;&gt;"",
IF(VALUE(H84-M84)&gt;VALUE(IF(COUNTIF(D84,"*キャラ*"),
VLOOKUP("*キャラ*",商品マスタ一覧!$D:$E,2,FALSE),
IF(COUNTIF(D84,"*赤*"),
VLOOKUP("*赤*",商品マスタ一覧!$D:$E,2,FALSE),
VLOOKUP("*"&amp;D84&amp;"*",商品マスタ一覧!$D:$E,2,FALSE)))*F84),
"+"&amp;(H84-M84)-IF(COUNTIF(D84,"*キャラ*"),
VLOOKUP("*キャラ*",商品マスタ一覧!$D:$E,2,FALSE),
IF(COUNTIF(D84,"*赤*"),
VLOOKUP("*赤*",商品マスタ一覧!$D:$E,2,FALSE),
VLOOKUP("*"&amp;D84&amp;"*",商品マスタ一覧!$D:$E,2,FALSE)))*F84,
(H84-M84)-IF(COUNTIF(D84,"*キャラ*"),
VLOOKUP("*キャラ*",商品マスタ一覧!$D:$E,2,FALSE),
IF(COUNTIF(D84,"*赤*"),
VLOOKUP("*赤*",商品マスタ一覧!$D:$E,2,FALSE),
VLOOKUP("*"&amp;D84&amp;"*",商品マスタ一覧!$D:$E,2,FALSE)))*F84),"")</f>
        <v/>
      </c>
      <c r="H84" s="182" t="str">
        <f>IF(C84&lt;&gt;"",
クライアント抽出!C14,"")</f>
        <v/>
      </c>
      <c r="I84" s="180" t="str">
        <f t="array" aca="1" ref="I84" ca="1">IF(C84&lt;&gt;"",
IF(O84=1,
IF(SUMPRODUCT(COUNTIF(クライアント抽出!P14:U14,クライアント抽出!P14:U14))&gt;COUNTA(クライアント抽出!P14:U14),
INDIRECT("数出表_Excel!"&amp;INDEX(_xlfn.UNIQUE(_xlfn._xlws.FILTER(クライアント抽出!P14:U14,COUNTIF(クライアント抽出!P14:U14,クライアント抽出!P14:U14)=1)),1)&amp;L84&amp;""),
0),クライアント抽出!F14),"")</f>
        <v/>
      </c>
      <c r="J84" s="180" t="str">
        <f>IF(C84&lt;&gt;"",
VLOOKUP(
"*"&amp;LEFT(IF(COUNTIF(D84,"*学食*"),"キャラ弁（学食）",
IF(COUNTIF(D84,"*赤*"),"赤",
IF(COUNTIF(D84,"*キャラ弁当*"),"キャラ弁当",D84))),4)&amp;"*",注文弁当の抽出!$E$1:$F$15,2,FALSE),"")</f>
        <v/>
      </c>
      <c r="K84" s="180" t="str">
        <f ca="1">IF(クライアント抽出!Q14&lt;&gt;"",SUBSTITUTE(ADDRESS(1,(CODE(クライアント抽出!Q14)-64)*2-1,4),"1",""),"")</f>
        <v/>
      </c>
      <c r="L84" s="180" t="str">
        <f>IF(C14&lt;&gt;"",クライアント抽出!I14,"")</f>
        <v/>
      </c>
      <c r="M84" s="180">
        <f t="array" aca="1" ref="M84" ca="1">IF(C84&lt;&gt;"",
IF(K84&lt;&gt;"",INDIRECT("'数出表_Excel（アレルギー入力）'!"&amp;K84&amp;L84-1&amp;""),),)</f>
        <v>0</v>
      </c>
      <c r="N84" s="180" t="str">
        <f>IF(C84&lt;&gt;"",IF(OR(COUNTIF('盛付札（関数）'!D84,"*赤*"),COUNTIF('盛付札（関数）'!D84,"*キャラ*")),1,
VLOOKUP("*"&amp;D84&amp;"*",商品マスタ一覧!D:H,5,FALSE)),"")</f>
        <v/>
      </c>
      <c r="O84" s="180">
        <f t="shared" ca="1" si="44"/>
        <v>0</v>
      </c>
      <c r="P84" s="180">
        <f t="shared" si="23"/>
        <v>0</v>
      </c>
      <c r="Q84" s="180" t="b">
        <f t="shared" si="24"/>
        <v>0</v>
      </c>
      <c r="R84" s="51" t="str">
        <f t="array" aca="1" ref="R84" ca="1">IFERROR(SMALL(IF(P$1:P$307&lt;&gt;0,P$1:P$307),ROW(A84)),"")</f>
        <v/>
      </c>
      <c r="S84" s="51" t="str">
        <f t="array" aca="1" ref="S84" ca="1">IF($R84&lt;&gt;"",
SUBSTITUTE(SUBSTITUTE(INDIRECT("C"&amp;$R84&amp;"")," 週3ｺｰｽ","")," 週5ｺｰｽ",""),"")</f>
        <v/>
      </c>
      <c r="T84" s="51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91" t="str">
        <f t="array" aca="1" ref="U84" ca="1">IF($R84&lt;&gt;"",
INDIRECT("F"&amp;$R84&amp;""),"")</f>
        <v/>
      </c>
      <c r="V84" s="51" t="str">
        <f t="array" aca="1" ref="V84" ca="1">IF($R84&lt;&gt;"",
INDIRECT("G"&amp;$R84&amp;""),"")</f>
        <v/>
      </c>
      <c r="W84" s="51" t="str">
        <f t="array" aca="1" ref="W84" ca="1">IF($R84&lt;&gt;"",
IF(AND(COUNTIF(INDIRECT("B"&amp;R84&amp;""),"*雙葉*"),COUNTIF(B:B,"*雙葉*")&gt;=2),
IF(OR(COUNTIF(INDIRECT("B"&amp;R84&amp;""),"*雙葉先生*"),COUNTIF($B$1:$B$70,"*雙葉*")&gt;=2),INDIRECT("H"&amp;R84&amp;""),INDIRECT("H"&amp;R84&amp;"")+INDIRECT("H"&amp;MATCH("雙葉'",INDIRECT("B"&amp;R84+3&amp;":B210"),0)+2+R84&amp;"")),
IF(AND(LEFT(INDIRECT("B"&amp;R84&amp;""),2)="博多",COUNTIF(B:B,"*博多*")&gt;=2),
INDIRECT("H"&amp;R84&amp;"")+INDIRECT("H"&amp;MATCH("*"&amp;INDIRECT("B"&amp;R84&amp;"")&amp;"*",INDIRECT("B"&amp;R84+1&amp;":B210"),0)+R84&amp;""),
IF(AND(LEFT(INDIRECT("B"&amp;R84&amp;""),3)="奈良屋",COUNTIF(B:B,"*奈良屋*")&gt;=2),
INDIRECT("H"&amp;R84&amp;"")+INDIRECT("H"&amp;MATCH("*"&amp;INDIRECT("B"&amp;R84&amp;"")&amp;"*",INDIRECT("B"&amp;R84+1&amp;":B210"),0)+R84&amp;"")
+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INDIRECT("H"&amp;R84&amp;"")))),"")</f>
        <v/>
      </c>
      <c r="X84" s="51" t="str">
        <f t="array" aca="1" ref="X84" ca="1">IF($R84&lt;&gt;"",
INDIRECT(""&amp;IF(COLUMN(I84)&lt;=26,CHAR(COLUMN(I84)+64),CHAR(INT((COLUMN(I84)-1)/26)+64)&amp;CHAR(MOD(COLUMN(I84)-1,26)+65))&amp;$R84&amp;""),"")</f>
        <v/>
      </c>
      <c r="Y84" s="51" t="str">
        <f t="array" aca="1" ref="Y84" ca="1">IF($R84&lt;&gt;"",
INDIRECT(""&amp;IF(COLUMN(J84)&lt;=26,CHAR(COLUMN(J84)+64),CHAR(INT((COLUMN(J84)-1)/26)+64)&amp;CHAR(MOD(COLUMN(J84)-1,26)+65))&amp;$R84&amp;""),"")</f>
        <v/>
      </c>
      <c r="Z84" s="51" t="str">
        <f t="shared" ca="1" si="25"/>
        <v/>
      </c>
      <c r="AA84" s="51" t="str">
        <f t="shared" ca="1" si="26"/>
        <v/>
      </c>
      <c r="AB84" s="51" t="str">
        <f t="array" aca="1" ref="AB84" ca="1">IF($R84&lt;&gt;"",
IF(AND(COUNTIF(INDIRECT("B"&amp;R84&amp;""),"*雙葉*"),COUNTIF(B:B,"*雙葉*")&gt;=2),
INDIRECT("M"&amp;R84&amp;"")+INDIRECT("M"&amp;MATCH("雙葉'",INDIRECT("B"&amp;R84+1&amp;":B210"),0)+R84&amp;""),
IF(AND(LEFT(INDIRECT("B"&amp;R84&amp;""),2)="博多",COUNTIF(B:B,"*博多*")&gt;=2),
INDIRECT("M"&amp;R84&amp;"")+INDIRECT("M"&amp;MATCH("*"&amp;INDIRECT("B"&amp;R84&amp;"")&amp;"*",INDIRECT("B"&amp;R84+1&amp;":B210"),0)+R84&amp;""),
IF(AND(LEFT(INDIRECT("B"&amp;R84&amp;""),3)="奈良屋",COUNTIF(B:B,"*奈良屋*")&gt;=2),
INDIRECT("M"&amp;R84&amp;"")+INDIRECT("M"&amp;MATCH("*"&amp;INDIRECT("B"&amp;R84&amp;"")&amp;"*",INDIRECT("B"&amp;R84+1&amp;":B210"),0)+R84&amp;"")
+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INDIRECT("M"&amp;R84&amp;"")))),"")</f>
        <v/>
      </c>
      <c r="AC84" s="51" t="str">
        <f t="shared" ca="1" si="27"/>
        <v/>
      </c>
      <c r="AD84" s="51" t="str">
        <f t="shared" ca="1" si="28"/>
        <v/>
      </c>
      <c r="AE84" s="51" t="str">
        <f t="shared" ca="1" si="29"/>
        <v/>
      </c>
      <c r="AF84" s="51" t="str">
        <f t="shared" ca="1" si="30"/>
        <v/>
      </c>
      <c r="AG84" s="51" t="str">
        <f t="shared" ca="1" si="31"/>
        <v/>
      </c>
      <c r="AH84" s="191" t="str">
        <f t="shared" ca="1" si="32"/>
        <v/>
      </c>
      <c r="AI84" s="51" t="str">
        <f t="shared" ca="1" si="33"/>
        <v/>
      </c>
      <c r="AJ84" s="51" t="str">
        <f t="shared" ca="1" si="34"/>
        <v/>
      </c>
      <c r="AK84" s="51" t="str">
        <f t="shared" ca="1" si="35"/>
        <v/>
      </c>
      <c r="AL84" s="51" t="str">
        <f t="shared" ca="1" si="36"/>
        <v/>
      </c>
      <c r="AM84" s="51" t="str">
        <f t="shared" ca="1" si="37"/>
        <v/>
      </c>
      <c r="AN84" s="51" t="str">
        <f t="shared" ca="1" si="38"/>
        <v/>
      </c>
      <c r="AO84" s="51" t="str">
        <f t="shared" ca="1" si="39"/>
        <v/>
      </c>
      <c r="AP84" s="51" t="str">
        <f t="shared" ca="1" si="40"/>
        <v/>
      </c>
      <c r="AU84" s="51" t="str">
        <f t="shared" ca="1" si="41"/>
        <v/>
      </c>
    </row>
    <row r="85" spans="1:47" ht="22.2" customHeight="1">
      <c r="A85" s="179">
        <f t="shared" si="45"/>
        <v>35</v>
      </c>
      <c r="B85" s="180" t="str">
        <f t="shared" ca="1" si="43"/>
        <v/>
      </c>
      <c r="C85" s="180" t="str">
        <f>IF(OR(クライアント抽出!C15&lt;&gt;"",クライアント抽出!F15&lt;&gt;""),クライアント抽出!A15,"")</f>
        <v/>
      </c>
      <c r="D85" s="180" t="str">
        <f t="array" aca="1" ref="D85" ca="1">IF(C85&lt;&gt;"",INDIRECT("クライアント抽出!"&amp;E85&amp;MATCH(C85,クライアント抽出!A:A,0)&amp;""),"")</f>
        <v/>
      </c>
      <c r="E85" s="180" t="str">
        <f>IF(H85&lt;&gt;0,
IFERROR(
SUBSTITUTE(ADDRESS(1,
MATCH(VALUE(H85),クライアント抽出!A15:G15,0)+8,4),"1",""),
""),
IFERROR(
SUBSTITUTE(ADDRESS(1,
MATCH(VALUE(I85),クライアント抽出!A15:G15,0)+8,4),"1",""),
""))</f>
        <v/>
      </c>
      <c r="F85" s="181" t="str">
        <f ca="1">IF(D85&lt;&gt;"",
IF(COUNTIF(C85,"*雙葉*"),
IF(ROUND((H85-M85)
/IF(COUNTIF(D85,"*キャラ*"),
VLOOKUP("*キャラ*",商品マスタ一覧!$D:$E,2,FALSE),
IF(COUNTIF(D85,"*赤*"),
VLOOKUP("*赤*",商品マスタ一覧!$D:$E,2,FALSE),
VLOOKUP("*"&amp;D85&amp;"*",商品マスタ一覧!$D:$E,2,FALSE))),0)&lt;=0,1,
ROUND((H85-M85)
/IF(COUNTIF(D85,"*キャラ*"),
VLOOKUP("*キャラ*",商品マスタ一覧!$D:$E,2,FALSE),
IF(COUNTIF(D85,"*赤*"),
VLOOKUP("*赤*",商品マスタ一覧!$D:$E,2,FALSE),
VLOOKUP("*"&amp;D85&amp;"*",商品マスタ一覧!$D:$E,2,FALSE))),0)),
IF(OR(COUNTIF(D85,"*キャラ*"),COUNTIF(D85,"*赤*")),"",
IF(VLOOKUP("*"&amp;D85&amp;"*",商品マスタ一覧!$D:$E,2,FALSE)=0,"",
IF(ROUND((H85-M85)
/VLOOKUP("*"&amp;D85&amp;"*",商品マスタ一覧!$D:$E,2,FALSE),0)&lt;=0,1,
ROUND((H85-M85)
/VLOOKUP("*"&amp;D85&amp;"*",商品マスタ一覧!$D:$E,2,FALSE),0))))),"")</f>
        <v/>
      </c>
      <c r="G85" s="180" t="str">
        <f ca="1">IF(F85&lt;&gt;"",
IF(VALUE(H85-M85)&gt;VALUE(IF(COUNTIF(D85,"*キャラ*"),
VLOOKUP("*キャラ*",商品マスタ一覧!$D:$E,2,FALSE),
IF(COUNTIF(D85,"*赤*"),
VLOOKUP("*赤*",商品マスタ一覧!$D:$E,2,FALSE),
VLOOKUP("*"&amp;D85&amp;"*",商品マスタ一覧!$D:$E,2,FALSE)))*F85),
"+"&amp;(H85-M85)-IF(COUNTIF(D85,"*キャラ*"),
VLOOKUP("*キャラ*",商品マスタ一覧!$D:$E,2,FALSE),
IF(COUNTIF(D85,"*赤*"),
VLOOKUP("*赤*",商品マスタ一覧!$D:$E,2,FALSE),
VLOOKUP("*"&amp;D85&amp;"*",商品マスタ一覧!$D:$E,2,FALSE)))*F85,
(H85-M85)-IF(COUNTIF(D85,"*キャラ*"),
VLOOKUP("*キャラ*",商品マスタ一覧!$D:$E,2,FALSE),
IF(COUNTIF(D85,"*赤*"),
VLOOKUP("*赤*",商品マスタ一覧!$D:$E,2,FALSE),
VLOOKUP("*"&amp;D85&amp;"*",商品マスタ一覧!$D:$E,2,FALSE)))*F85),"")</f>
        <v/>
      </c>
      <c r="H85" s="182" t="str">
        <f>IF(C85&lt;&gt;"",
クライアント抽出!C15,"")</f>
        <v/>
      </c>
      <c r="I85" s="180" t="str">
        <f t="array" aca="1" ref="I85" ca="1">IF(C85&lt;&gt;"",
IF(O85=1,
IF(SUMPRODUCT(COUNTIF(クライアント抽出!P15:U15,クライアント抽出!P15:U15))&gt;COUNTA(クライアント抽出!P15:U15),
INDIRECT("数出表_Excel!"&amp;INDEX(_xlfn.UNIQUE(_xlfn._xlws.FILTER(クライアント抽出!P15:U15,COUNTIF(クライアント抽出!P15:U15,クライアント抽出!P15:U15)=1)),1)&amp;L85&amp;""),
0),クライアント抽出!F15),"")</f>
        <v/>
      </c>
      <c r="J85" s="180" t="str">
        <f>IF(C85&lt;&gt;"",
VLOOKUP(
"*"&amp;LEFT(IF(COUNTIF(D85,"*学食*"),"キャラ弁（学食）",
IF(COUNTIF(D85,"*赤*"),"赤",
IF(COUNTIF(D85,"*キャラ弁当*"),"キャラ弁当",D85))),4)&amp;"*",注文弁当の抽出!$E$1:$F$15,2,FALSE),"")</f>
        <v/>
      </c>
      <c r="K85" s="180" t="str">
        <f ca="1">IF(クライアント抽出!Q15&lt;&gt;"",SUBSTITUTE(ADDRESS(1,(CODE(クライアント抽出!Q15)-64)*2-1,4),"1",""),"")</f>
        <v/>
      </c>
      <c r="L85" s="180" t="str">
        <f>IF(C15&lt;&gt;"",クライアント抽出!I15,"")</f>
        <v/>
      </c>
      <c r="M85" s="180">
        <f t="array" aca="1" ref="M85" ca="1">IF(C85&lt;&gt;"",
IF(K85&lt;&gt;"",INDIRECT("'数出表_Excel（アレルギー入力）'!"&amp;K85&amp;L85-1&amp;""),),)</f>
        <v>0</v>
      </c>
      <c r="N85" s="180" t="str">
        <f>IF(C85&lt;&gt;"",IF(OR(COUNTIF('盛付札（関数）'!D85,"*赤*"),COUNTIF('盛付札（関数）'!D85,"*キャラ*")),1,
VLOOKUP("*"&amp;D85&amp;"*",商品マスタ一覧!D:H,5,FALSE)),"")</f>
        <v/>
      </c>
      <c r="O85" s="180">
        <f t="shared" ca="1" si="44"/>
        <v>0</v>
      </c>
      <c r="P85" s="180">
        <f t="shared" si="23"/>
        <v>0</v>
      </c>
      <c r="Q85" s="180" t="b">
        <f t="shared" si="24"/>
        <v>0</v>
      </c>
      <c r="R85" s="51" t="str">
        <f t="array" aca="1" ref="R85" ca="1">IFERROR(SMALL(IF(P$1:P$307&lt;&gt;0,P$1:P$307),ROW(A85)),"")</f>
        <v/>
      </c>
      <c r="S85" s="51" t="str">
        <f t="array" aca="1" ref="S85" ca="1">IF($R85&lt;&gt;"",
SUBSTITUTE(SUBSTITUTE(INDIRECT("C"&amp;$R85&amp;"")," 週3ｺｰｽ","")," 週5ｺｰｽ",""),"")</f>
        <v/>
      </c>
      <c r="T85" s="51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91" t="str">
        <f t="array" aca="1" ref="U85" ca="1">IF($R85&lt;&gt;"",
INDIRECT("F"&amp;$R85&amp;""),"")</f>
        <v/>
      </c>
      <c r="V85" s="51" t="str">
        <f t="array" aca="1" ref="V85" ca="1">IF($R85&lt;&gt;"",
INDIRECT("G"&amp;$R85&amp;""),"")</f>
        <v/>
      </c>
      <c r="W85" s="51" t="str">
        <f t="array" aca="1" ref="W85" ca="1">IF($R85&lt;&gt;"",
IF(AND(COUNTIF(INDIRECT("B"&amp;R85&amp;""),"*雙葉*"),COUNTIF(B:B,"*雙葉*")&gt;=2),
IF(OR(COUNTIF(INDIRECT("B"&amp;R85&amp;""),"*雙葉先生*"),COUNTIF($B$1:$B$70,"*雙葉*")&gt;=2),INDIRECT("H"&amp;R85&amp;""),INDIRECT("H"&amp;R85&amp;"")+INDIRECT("H"&amp;MATCH("雙葉'",INDIRECT("B"&amp;R85+3&amp;":B210"),0)+2+R85&amp;"")),
IF(AND(LEFT(INDIRECT("B"&amp;R85&amp;""),2)="博多",COUNTIF(B:B,"*博多*")&gt;=2),
INDIRECT("H"&amp;R85&amp;"")+INDIRECT("H"&amp;MATCH("*"&amp;INDIRECT("B"&amp;R85&amp;"")&amp;"*",INDIRECT("B"&amp;R85+1&amp;":B210"),0)+R85&amp;""),
IF(AND(LEFT(INDIRECT("B"&amp;R85&amp;""),3)="奈良屋",COUNTIF(B:B,"*奈良屋*")&gt;=2),
INDIRECT("H"&amp;R85&amp;"")+INDIRECT("H"&amp;MATCH("*"&amp;INDIRECT("B"&amp;R85&amp;"")&amp;"*",INDIRECT("B"&amp;R85+1&amp;":B210"),0)+R85&amp;"")
+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INDIRECT("H"&amp;R85&amp;"")))),"")</f>
        <v/>
      </c>
      <c r="X85" s="51" t="str">
        <f t="array" aca="1" ref="X85" ca="1">IF($R85&lt;&gt;"",
INDIRECT(""&amp;IF(COLUMN(I85)&lt;=26,CHAR(COLUMN(I85)+64),CHAR(INT((COLUMN(I85)-1)/26)+64)&amp;CHAR(MOD(COLUMN(I85)-1,26)+65))&amp;$R85&amp;""),"")</f>
        <v/>
      </c>
      <c r="Y85" s="51" t="str">
        <f t="array" aca="1" ref="Y85" ca="1">IF($R85&lt;&gt;"",
INDIRECT(""&amp;IF(COLUMN(J85)&lt;=26,CHAR(COLUMN(J85)+64),CHAR(INT((COLUMN(J85)-1)/26)+64)&amp;CHAR(MOD(COLUMN(J85)-1,26)+65))&amp;$R85&amp;""),"")</f>
        <v/>
      </c>
      <c r="Z85" s="51" t="str">
        <f t="shared" ca="1" si="25"/>
        <v/>
      </c>
      <c r="AA85" s="51" t="str">
        <f t="shared" ca="1" si="26"/>
        <v/>
      </c>
      <c r="AB85" s="51" t="str">
        <f t="array" aca="1" ref="AB85" ca="1">IF($R85&lt;&gt;"",
IF(AND(COUNTIF(INDIRECT("B"&amp;R85&amp;""),"*雙葉*"),COUNTIF(B:B,"*雙葉*")&gt;=2),
INDIRECT("M"&amp;R85&amp;"")+INDIRECT("M"&amp;MATCH("雙葉'",INDIRECT("B"&amp;R85+1&amp;":B210"),0)+R85&amp;""),
IF(AND(LEFT(INDIRECT("B"&amp;R85&amp;""),2)="博多",COUNTIF(B:B,"*博多*")&gt;=2),
INDIRECT("M"&amp;R85&amp;"")+INDIRECT("M"&amp;MATCH("*"&amp;INDIRECT("B"&amp;R85&amp;"")&amp;"*",INDIRECT("B"&amp;R85+1&amp;":B210"),0)+R85&amp;""),
IF(AND(LEFT(INDIRECT("B"&amp;R85&amp;""),3)="奈良屋",COUNTIF(B:B,"*奈良屋*")&gt;=2),
INDIRECT("M"&amp;R85&amp;"")+INDIRECT("M"&amp;MATCH("*"&amp;INDIRECT("B"&amp;R85&amp;"")&amp;"*",INDIRECT("B"&amp;R85+1&amp;":B210"),0)+R85&amp;"")
+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INDIRECT("M"&amp;R85&amp;"")))),"")</f>
        <v/>
      </c>
      <c r="AC85" s="51" t="str">
        <f t="shared" ca="1" si="27"/>
        <v/>
      </c>
      <c r="AD85" s="51" t="str">
        <f t="shared" ca="1" si="28"/>
        <v/>
      </c>
      <c r="AE85" s="51" t="str">
        <f t="shared" ca="1" si="29"/>
        <v/>
      </c>
      <c r="AF85" s="51" t="str">
        <f t="shared" ca="1" si="30"/>
        <v/>
      </c>
      <c r="AG85" s="51" t="str">
        <f t="shared" ca="1" si="31"/>
        <v/>
      </c>
      <c r="AH85" s="191" t="str">
        <f t="shared" ca="1" si="32"/>
        <v/>
      </c>
      <c r="AI85" s="51" t="str">
        <f t="shared" ca="1" si="33"/>
        <v/>
      </c>
      <c r="AJ85" s="51" t="str">
        <f t="shared" ca="1" si="34"/>
        <v/>
      </c>
      <c r="AK85" s="51" t="str">
        <f t="shared" ca="1" si="35"/>
        <v/>
      </c>
      <c r="AL85" s="51" t="str">
        <f t="shared" ca="1" si="36"/>
        <v/>
      </c>
      <c r="AM85" s="51" t="str">
        <f t="shared" ca="1" si="37"/>
        <v/>
      </c>
      <c r="AN85" s="51" t="str">
        <f t="shared" ca="1" si="38"/>
        <v/>
      </c>
      <c r="AO85" s="51" t="str">
        <f t="shared" ca="1" si="39"/>
        <v/>
      </c>
      <c r="AP85" s="51" t="str">
        <f t="shared" ca="1" si="40"/>
        <v/>
      </c>
      <c r="AU85" s="51" t="str">
        <f t="shared" ca="1" si="41"/>
        <v/>
      </c>
    </row>
    <row r="86" spans="1:47" ht="22.2" customHeight="1">
      <c r="A86" s="179">
        <f t="shared" si="45"/>
        <v>37</v>
      </c>
      <c r="B86" s="180" t="str">
        <f t="shared" ca="1" si="43"/>
        <v/>
      </c>
      <c r="C86" s="180" t="str">
        <f>IF(OR(クライアント抽出!C16&lt;&gt;"",クライアント抽出!F16&lt;&gt;""),クライアント抽出!A16,"")</f>
        <v/>
      </c>
      <c r="D86" s="180" t="str">
        <f t="array" aca="1" ref="D86" ca="1">IF(C86&lt;&gt;"",INDIRECT("クライアント抽出!"&amp;E86&amp;MATCH(C86,クライアント抽出!A:A,0)&amp;""),"")</f>
        <v/>
      </c>
      <c r="E86" s="180" t="str">
        <f>IF(H86&lt;&gt;0,
IFERROR(
SUBSTITUTE(ADDRESS(1,
MATCH(VALUE(H86),クライアント抽出!A16:G16,0)+8,4),"1",""),
""),
IFERROR(
SUBSTITUTE(ADDRESS(1,
MATCH(VALUE(I86),クライアント抽出!A16:G16,0)+8,4),"1",""),
""))</f>
        <v/>
      </c>
      <c r="F86" s="181" t="str">
        <f ca="1">IF(D86&lt;&gt;"",
IF(COUNTIF(C86,"*雙葉*"),
IF(ROUND((H86-M86)
/IF(COUNTIF(D86,"*キャラ*"),
VLOOKUP("*キャラ*",商品マスタ一覧!$D:$E,2,FALSE),
IF(COUNTIF(D86,"*赤*"),
VLOOKUP("*赤*",商品マスタ一覧!$D:$E,2,FALSE),
VLOOKUP("*"&amp;D86&amp;"*",商品マスタ一覧!$D:$E,2,FALSE))),0)&lt;=0,1,
ROUND((H86-M86)
/IF(COUNTIF(D86,"*キャラ*"),
VLOOKUP("*キャラ*",商品マスタ一覧!$D:$E,2,FALSE),
IF(COUNTIF(D86,"*赤*"),
VLOOKUP("*赤*",商品マスタ一覧!$D:$E,2,FALSE),
VLOOKUP("*"&amp;D86&amp;"*",商品マスタ一覧!$D:$E,2,FALSE))),0)),
IF(OR(COUNTIF(D86,"*キャラ*"),COUNTIF(D86,"*赤*")),"",
IF(VLOOKUP("*"&amp;D86&amp;"*",商品マスタ一覧!$D:$E,2,FALSE)=0,"",
IF(ROUND((H86-M86)
/VLOOKUP("*"&amp;D86&amp;"*",商品マスタ一覧!$D:$E,2,FALSE),0)&lt;=0,1,
ROUND((H86-M86)
/VLOOKUP("*"&amp;D86&amp;"*",商品マスタ一覧!$D:$E,2,FALSE),0))))),"")</f>
        <v/>
      </c>
      <c r="G86" s="180" t="str">
        <f ca="1">IF(F86&lt;&gt;"",
IF(VALUE(H86-M86)&gt;VALUE(IF(COUNTIF(D86,"*キャラ*"),
VLOOKUP("*キャラ*",商品マスタ一覧!$D:$E,2,FALSE),
IF(COUNTIF(D86,"*赤*"),
VLOOKUP("*赤*",商品マスタ一覧!$D:$E,2,FALSE),
VLOOKUP("*"&amp;D86&amp;"*",商品マスタ一覧!$D:$E,2,FALSE)))*F86),
"+"&amp;(H86-M86)-IF(COUNTIF(D86,"*キャラ*"),
VLOOKUP("*キャラ*",商品マスタ一覧!$D:$E,2,FALSE),
IF(COUNTIF(D86,"*赤*"),
VLOOKUP("*赤*",商品マスタ一覧!$D:$E,2,FALSE),
VLOOKUP("*"&amp;D86&amp;"*",商品マスタ一覧!$D:$E,2,FALSE)))*F86,
(H86-M86)-IF(COUNTIF(D86,"*キャラ*"),
VLOOKUP("*キャラ*",商品マスタ一覧!$D:$E,2,FALSE),
IF(COUNTIF(D86,"*赤*"),
VLOOKUP("*赤*",商品マスタ一覧!$D:$E,2,FALSE),
VLOOKUP("*"&amp;D86&amp;"*",商品マスタ一覧!$D:$E,2,FALSE)))*F86),"")</f>
        <v/>
      </c>
      <c r="H86" s="182" t="str">
        <f>IF(C86&lt;&gt;"",
クライアント抽出!C16,"")</f>
        <v/>
      </c>
      <c r="I86" s="180" t="str">
        <f t="array" aca="1" ref="I86" ca="1">IF(C86&lt;&gt;"",
IF(O86=1,
IF(SUMPRODUCT(COUNTIF(クライアント抽出!P16:U16,クライアント抽出!P16:U16))&gt;COUNTA(クライアント抽出!P16:U16),
INDIRECT("数出表_Excel!"&amp;INDEX(_xlfn.UNIQUE(_xlfn._xlws.FILTER(クライアント抽出!P16:U16,COUNTIF(クライアント抽出!P16:U16,クライアント抽出!P16:U16)=1)),1)&amp;L86&amp;""),
0),クライアント抽出!F16),"")</f>
        <v/>
      </c>
      <c r="J86" s="180" t="str">
        <f>IF(C86&lt;&gt;"",
VLOOKUP(
"*"&amp;LEFT(IF(COUNTIF(D86,"*学食*"),"キャラ弁（学食）",
IF(COUNTIF(D86,"*赤*"),"赤",
IF(COUNTIF(D86,"*キャラ弁当*"),"キャラ弁当",D86))),4)&amp;"*",注文弁当の抽出!$E$1:$F$15,2,FALSE),"")</f>
        <v/>
      </c>
      <c r="K86" s="180" t="str">
        <f ca="1">IF(クライアント抽出!Q16&lt;&gt;"",SUBSTITUTE(ADDRESS(1,(CODE(クライアント抽出!Q16)-64)*2-1,4),"1",""),"")</f>
        <v/>
      </c>
      <c r="L86" s="180" t="str">
        <f>IF(C16&lt;&gt;"",クライアント抽出!I16,"")</f>
        <v/>
      </c>
      <c r="M86" s="180">
        <f t="array" aca="1" ref="M86" ca="1">IF(C86&lt;&gt;"",
IF(K86&lt;&gt;"",INDIRECT("'数出表_Excel（アレルギー入力）'!"&amp;K86&amp;L86-1&amp;""),),)</f>
        <v>0</v>
      </c>
      <c r="N86" s="180" t="str">
        <f>IF(C86&lt;&gt;"",IF(OR(COUNTIF('盛付札（関数）'!D86,"*赤*"),COUNTIF('盛付札（関数）'!D86,"*キャラ*")),1,
VLOOKUP("*"&amp;D86&amp;"*",商品マスタ一覧!D:H,5,FALSE)),"")</f>
        <v/>
      </c>
      <c r="O86" s="180">
        <f t="shared" ca="1" si="44"/>
        <v>0</v>
      </c>
      <c r="P86" s="180">
        <f t="shared" si="23"/>
        <v>0</v>
      </c>
      <c r="Q86" s="180" t="b">
        <f t="shared" si="24"/>
        <v>0</v>
      </c>
      <c r="R86" s="51" t="str">
        <f t="array" aca="1" ref="R86" ca="1">IFERROR(SMALL(IF(P$1:P$307&lt;&gt;0,P$1:P$307),ROW(A86)),"")</f>
        <v/>
      </c>
      <c r="S86" s="51" t="str">
        <f t="array" aca="1" ref="S86" ca="1">IF($R86&lt;&gt;"",
SUBSTITUTE(SUBSTITUTE(INDIRECT("C"&amp;$R86&amp;"")," 週3ｺｰｽ","")," 週5ｺｰｽ",""),"")</f>
        <v/>
      </c>
      <c r="T86" s="51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91" t="str">
        <f t="array" aca="1" ref="U86" ca="1">IF($R86&lt;&gt;"",
INDIRECT("F"&amp;$R86&amp;""),"")</f>
        <v/>
      </c>
      <c r="V86" s="51" t="str">
        <f t="array" aca="1" ref="V86" ca="1">IF($R86&lt;&gt;"",
INDIRECT("G"&amp;$R86&amp;""),"")</f>
        <v/>
      </c>
      <c r="W86" s="51" t="str">
        <f t="array" aca="1" ref="W86" ca="1">IF($R86&lt;&gt;"",
IF(AND(COUNTIF(INDIRECT("B"&amp;R86&amp;""),"*雙葉*"),COUNTIF(B:B,"*雙葉*")&gt;=2),
IF(OR(COUNTIF(INDIRECT("B"&amp;R86&amp;""),"*雙葉先生*"),COUNTIF($B$1:$B$70,"*雙葉*")&gt;=2),INDIRECT("H"&amp;R86&amp;""),INDIRECT("H"&amp;R86&amp;"")+INDIRECT("H"&amp;MATCH("雙葉'",INDIRECT("B"&amp;R86+3&amp;":B210"),0)+2+R86&amp;"")),
IF(AND(LEFT(INDIRECT("B"&amp;R86&amp;""),2)="博多",COUNTIF(B:B,"*博多*")&gt;=2),
INDIRECT("H"&amp;R86&amp;"")+INDIRECT("H"&amp;MATCH("*"&amp;INDIRECT("B"&amp;R86&amp;"")&amp;"*",INDIRECT("B"&amp;R86+1&amp;":B210"),0)+R86&amp;""),
IF(AND(LEFT(INDIRECT("B"&amp;R86&amp;""),3)="奈良屋",COUNTIF(B:B,"*奈良屋*")&gt;=2),
INDIRECT("H"&amp;R86&amp;"")+INDIRECT("H"&amp;MATCH("*"&amp;INDIRECT("B"&amp;R86&amp;"")&amp;"*",INDIRECT("B"&amp;R86+1&amp;":B210"),0)+R86&amp;"")
+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INDIRECT("H"&amp;R86&amp;"")))),"")</f>
        <v/>
      </c>
      <c r="X86" s="51" t="str">
        <f t="array" aca="1" ref="X86" ca="1">IF($R86&lt;&gt;"",
INDIRECT(""&amp;IF(COLUMN(I86)&lt;=26,CHAR(COLUMN(I86)+64),CHAR(INT((COLUMN(I86)-1)/26)+64)&amp;CHAR(MOD(COLUMN(I86)-1,26)+65))&amp;$R86&amp;""),"")</f>
        <v/>
      </c>
      <c r="Y86" s="51" t="str">
        <f t="array" aca="1" ref="Y86" ca="1">IF($R86&lt;&gt;"",
INDIRECT(""&amp;IF(COLUMN(J86)&lt;=26,CHAR(COLUMN(J86)+64),CHAR(INT((COLUMN(J86)-1)/26)+64)&amp;CHAR(MOD(COLUMN(J86)-1,26)+65))&amp;$R86&amp;""),"")</f>
        <v/>
      </c>
      <c r="Z86" s="51" t="str">
        <f t="shared" ca="1" si="25"/>
        <v/>
      </c>
      <c r="AA86" s="51" t="str">
        <f t="shared" ca="1" si="26"/>
        <v/>
      </c>
      <c r="AB86" s="51" t="str">
        <f t="array" aca="1" ref="AB86" ca="1">IF($R86&lt;&gt;"",
IF(AND(COUNTIF(INDIRECT("B"&amp;R86&amp;""),"*雙葉*"),COUNTIF(B:B,"*雙葉*")&gt;=2),
INDIRECT("M"&amp;R86&amp;"")+INDIRECT("M"&amp;MATCH("雙葉'",INDIRECT("B"&amp;R86+1&amp;":B210"),0)+R86&amp;""),
IF(AND(LEFT(INDIRECT("B"&amp;R86&amp;""),2)="博多",COUNTIF(B:B,"*博多*")&gt;=2),
INDIRECT("M"&amp;R86&amp;"")+INDIRECT("M"&amp;MATCH("*"&amp;INDIRECT("B"&amp;R86&amp;"")&amp;"*",INDIRECT("B"&amp;R86+1&amp;":B210"),0)+R86&amp;""),
IF(AND(LEFT(INDIRECT("B"&amp;R86&amp;""),3)="奈良屋",COUNTIF(B:B,"*奈良屋*")&gt;=2),
INDIRECT("M"&amp;R86&amp;"")+INDIRECT("M"&amp;MATCH("*"&amp;INDIRECT("B"&amp;R86&amp;"")&amp;"*",INDIRECT("B"&amp;R86+1&amp;":B210"),0)+R86&amp;"")
+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INDIRECT("M"&amp;R86&amp;"")))),"")</f>
        <v/>
      </c>
      <c r="AC86" s="51" t="str">
        <f t="shared" ca="1" si="27"/>
        <v/>
      </c>
      <c r="AD86" s="51" t="str">
        <f t="shared" ca="1" si="28"/>
        <v/>
      </c>
      <c r="AE86" s="51" t="str">
        <f t="shared" ca="1" si="29"/>
        <v/>
      </c>
      <c r="AF86" s="51" t="str">
        <f t="shared" ca="1" si="30"/>
        <v/>
      </c>
      <c r="AG86" s="51" t="str">
        <f t="shared" ca="1" si="31"/>
        <v/>
      </c>
      <c r="AH86" s="191" t="str">
        <f t="shared" ca="1" si="32"/>
        <v/>
      </c>
      <c r="AI86" s="51" t="str">
        <f t="shared" ca="1" si="33"/>
        <v/>
      </c>
      <c r="AJ86" s="51" t="str">
        <f t="shared" ca="1" si="34"/>
        <v/>
      </c>
      <c r="AK86" s="51" t="str">
        <f t="shared" ca="1" si="35"/>
        <v/>
      </c>
      <c r="AL86" s="51" t="str">
        <f t="shared" ca="1" si="36"/>
        <v/>
      </c>
      <c r="AM86" s="51" t="str">
        <f t="shared" ca="1" si="37"/>
        <v/>
      </c>
      <c r="AN86" s="51" t="str">
        <f t="shared" ca="1" si="38"/>
        <v/>
      </c>
      <c r="AO86" s="51" t="str">
        <f t="shared" ca="1" si="39"/>
        <v/>
      </c>
      <c r="AP86" s="51" t="str">
        <f t="shared" ca="1" si="40"/>
        <v/>
      </c>
      <c r="AU86" s="51" t="str">
        <f t="shared" ca="1" si="41"/>
        <v/>
      </c>
    </row>
    <row r="87" spans="1:47" ht="22.2" customHeight="1">
      <c r="A87" s="179">
        <f t="shared" si="45"/>
        <v>39</v>
      </c>
      <c r="B87" s="180" t="str">
        <f t="shared" ca="1" si="43"/>
        <v/>
      </c>
      <c r="C87" s="180" t="str">
        <f>IF(OR(クライアント抽出!C17&lt;&gt;"",クライアント抽出!F17&lt;&gt;""),クライアント抽出!A17,"")</f>
        <v/>
      </c>
      <c r="D87" s="180" t="str">
        <f t="array" aca="1" ref="D87" ca="1">IF(C87&lt;&gt;"",INDIRECT("クライアント抽出!"&amp;E87&amp;MATCH(C87,クライアント抽出!A:A,0)&amp;""),"")</f>
        <v/>
      </c>
      <c r="E87" s="180" t="str">
        <f>IF(H87&lt;&gt;0,
IFERROR(
SUBSTITUTE(ADDRESS(1,
MATCH(VALUE(H87),クライアント抽出!A17:G17,0)+8,4),"1",""),
""),
IFERROR(
SUBSTITUTE(ADDRESS(1,
MATCH(VALUE(I87),クライアント抽出!A17:G17,0)+8,4),"1",""),
""))</f>
        <v/>
      </c>
      <c r="F87" s="181" t="str">
        <f ca="1">IF(D87&lt;&gt;"",
IF(COUNTIF(C87,"*雙葉*"),
IF(ROUND((H87-M87)
/IF(COUNTIF(D87,"*キャラ*"),
VLOOKUP("*キャラ*",商品マスタ一覧!$D:$E,2,FALSE),
IF(COUNTIF(D87,"*赤*"),
VLOOKUP("*赤*",商品マスタ一覧!$D:$E,2,FALSE),
VLOOKUP("*"&amp;D87&amp;"*",商品マスタ一覧!$D:$E,2,FALSE))),0)&lt;=0,1,
ROUND((H87-M87)
/IF(COUNTIF(D87,"*キャラ*"),
VLOOKUP("*キャラ*",商品マスタ一覧!$D:$E,2,FALSE),
IF(COUNTIF(D87,"*赤*"),
VLOOKUP("*赤*",商品マスタ一覧!$D:$E,2,FALSE),
VLOOKUP("*"&amp;D87&amp;"*",商品マスタ一覧!$D:$E,2,FALSE))),0)),
IF(OR(COUNTIF(D87,"*キャラ*"),COUNTIF(D87,"*赤*")),"",
IF(VLOOKUP("*"&amp;D87&amp;"*",商品マスタ一覧!$D:$E,2,FALSE)=0,"",
IF(ROUND((H87-M87)
/VLOOKUP("*"&amp;D87&amp;"*",商品マスタ一覧!$D:$E,2,FALSE),0)&lt;=0,1,
ROUND((H87-M87)
/VLOOKUP("*"&amp;D87&amp;"*",商品マスタ一覧!$D:$E,2,FALSE),0))))),"")</f>
        <v/>
      </c>
      <c r="G87" s="180" t="str">
        <f ca="1">IF(F87&lt;&gt;"",
IF(VALUE(H87-M87)&gt;VALUE(IF(COUNTIF(D87,"*キャラ*"),
VLOOKUP("*キャラ*",商品マスタ一覧!$D:$E,2,FALSE),
IF(COUNTIF(D87,"*赤*"),
VLOOKUP("*赤*",商品マスタ一覧!$D:$E,2,FALSE),
VLOOKUP("*"&amp;D87&amp;"*",商品マスタ一覧!$D:$E,2,FALSE)))*F87),
"+"&amp;(H87-M87)-IF(COUNTIF(D87,"*キャラ*"),
VLOOKUP("*キャラ*",商品マスタ一覧!$D:$E,2,FALSE),
IF(COUNTIF(D87,"*赤*"),
VLOOKUP("*赤*",商品マスタ一覧!$D:$E,2,FALSE),
VLOOKUP("*"&amp;D87&amp;"*",商品マスタ一覧!$D:$E,2,FALSE)))*F87,
(H87-M87)-IF(COUNTIF(D87,"*キャラ*"),
VLOOKUP("*キャラ*",商品マスタ一覧!$D:$E,2,FALSE),
IF(COUNTIF(D87,"*赤*"),
VLOOKUP("*赤*",商品マスタ一覧!$D:$E,2,FALSE),
VLOOKUP("*"&amp;D87&amp;"*",商品マスタ一覧!$D:$E,2,FALSE)))*F87),"")</f>
        <v/>
      </c>
      <c r="H87" s="182" t="str">
        <f>IF(C87&lt;&gt;"",
クライアント抽出!C17,"")</f>
        <v/>
      </c>
      <c r="I87" s="180" t="str">
        <f t="array" aca="1" ref="I87" ca="1">IF(C87&lt;&gt;"",
IF(O87=1,
IF(SUMPRODUCT(COUNTIF(クライアント抽出!P17:U17,クライアント抽出!P17:U17))&gt;COUNTA(クライアント抽出!P17:U17),
INDIRECT("数出表_Excel!"&amp;INDEX(_xlfn.UNIQUE(_xlfn._xlws.FILTER(クライアント抽出!P17:U17,COUNTIF(クライアント抽出!P17:U17,クライアント抽出!P17:U17)=1)),1)&amp;L87&amp;""),
0),クライアント抽出!F17),"")</f>
        <v/>
      </c>
      <c r="J87" s="180" t="str">
        <f>IF(C87&lt;&gt;"",
VLOOKUP(
"*"&amp;LEFT(IF(COUNTIF(D87,"*学食*"),"キャラ弁（学食）",
IF(COUNTIF(D87,"*赤*"),"赤",
IF(COUNTIF(D87,"*キャラ弁当*"),"キャラ弁当",D87))),4)&amp;"*",注文弁当の抽出!$E$1:$F$15,2,FALSE),"")</f>
        <v/>
      </c>
      <c r="K87" s="180" t="str">
        <f ca="1">IF(クライアント抽出!Q17&lt;&gt;"",SUBSTITUTE(ADDRESS(1,(CODE(クライアント抽出!Q17)-64)*2-1,4),"1",""),"")</f>
        <v/>
      </c>
      <c r="L87" s="180" t="str">
        <f>IF(C17&lt;&gt;"",クライアント抽出!I17,"")</f>
        <v/>
      </c>
      <c r="M87" s="180">
        <f t="array" aca="1" ref="M87" ca="1">IF(C87&lt;&gt;"",
IF(K87&lt;&gt;"",INDIRECT("'数出表_Excel（アレルギー入力）'!"&amp;K87&amp;L87-1&amp;""),),)</f>
        <v>0</v>
      </c>
      <c r="N87" s="180" t="str">
        <f>IF(C87&lt;&gt;"",IF(OR(COUNTIF('盛付札（関数）'!D87,"*赤*"),COUNTIF('盛付札（関数）'!D87,"*キャラ*")),1,
VLOOKUP("*"&amp;D87&amp;"*",商品マスタ一覧!D:H,5,FALSE)),"")</f>
        <v/>
      </c>
      <c r="O87" s="180">
        <f t="shared" ca="1" si="44"/>
        <v>0</v>
      </c>
      <c r="P87" s="180">
        <f t="shared" si="23"/>
        <v>0</v>
      </c>
      <c r="Q87" s="180" t="b">
        <f t="shared" si="24"/>
        <v>0</v>
      </c>
      <c r="R87" s="51" t="str">
        <f t="array" aca="1" ref="R87" ca="1">IFERROR(SMALL(IF(P$1:P$307&lt;&gt;0,P$1:P$307),ROW(A87)),"")</f>
        <v/>
      </c>
      <c r="S87" s="51" t="str">
        <f t="array" aca="1" ref="S87" ca="1">IF($R87&lt;&gt;"",
SUBSTITUTE(SUBSTITUTE(INDIRECT("C"&amp;$R87&amp;"")," 週3ｺｰｽ","")," 週5ｺｰｽ",""),"")</f>
        <v/>
      </c>
      <c r="T87" s="51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91" t="str">
        <f t="array" aca="1" ref="U87" ca="1">IF($R87&lt;&gt;"",
INDIRECT("F"&amp;$R87&amp;""),"")</f>
        <v/>
      </c>
      <c r="V87" s="51" t="str">
        <f t="array" aca="1" ref="V87" ca="1">IF($R87&lt;&gt;"",
INDIRECT("G"&amp;$R87&amp;""),"")</f>
        <v/>
      </c>
      <c r="W87" s="51" t="str">
        <f t="array" aca="1" ref="W87" ca="1">IF($R87&lt;&gt;"",
IF(AND(COUNTIF(INDIRECT("B"&amp;R87&amp;""),"*雙葉*"),COUNTIF(B:B,"*雙葉*")&gt;=2),
IF(OR(COUNTIF(INDIRECT("B"&amp;R87&amp;""),"*雙葉先生*"),COUNTIF($B$1:$B$70,"*雙葉*")&gt;=2),INDIRECT("H"&amp;R87&amp;""),INDIRECT("H"&amp;R87&amp;"")+INDIRECT("H"&amp;MATCH("雙葉'",INDIRECT("B"&amp;R87+3&amp;":B210"),0)+2+R87&amp;"")),
IF(AND(LEFT(INDIRECT("B"&amp;R87&amp;""),2)="博多",COUNTIF(B:B,"*博多*")&gt;=2),
INDIRECT("H"&amp;R87&amp;"")+INDIRECT("H"&amp;MATCH("*"&amp;INDIRECT("B"&amp;R87&amp;"")&amp;"*",INDIRECT("B"&amp;R87+1&amp;":B210"),0)+R87&amp;""),
IF(AND(LEFT(INDIRECT("B"&amp;R87&amp;""),3)="奈良屋",COUNTIF(B:B,"*奈良屋*")&gt;=2),
INDIRECT("H"&amp;R87&amp;"")+INDIRECT("H"&amp;MATCH("*"&amp;INDIRECT("B"&amp;R87&amp;"")&amp;"*",INDIRECT("B"&amp;R87+1&amp;":B210"),0)+R87&amp;"")
+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INDIRECT("H"&amp;R87&amp;"")))),"")</f>
        <v/>
      </c>
      <c r="X87" s="51" t="str">
        <f t="array" aca="1" ref="X87" ca="1">IF($R87&lt;&gt;"",
INDIRECT(""&amp;IF(COLUMN(I87)&lt;=26,CHAR(COLUMN(I87)+64),CHAR(INT((COLUMN(I87)-1)/26)+64)&amp;CHAR(MOD(COLUMN(I87)-1,26)+65))&amp;$R87&amp;""),"")</f>
        <v/>
      </c>
      <c r="Y87" s="51" t="str">
        <f t="array" aca="1" ref="Y87" ca="1">IF($R87&lt;&gt;"",
INDIRECT(""&amp;IF(COLUMN(J87)&lt;=26,CHAR(COLUMN(J87)+64),CHAR(INT((COLUMN(J87)-1)/26)+64)&amp;CHAR(MOD(COLUMN(J87)-1,26)+65))&amp;$R87&amp;""),"")</f>
        <v/>
      </c>
      <c r="Z87" s="51" t="str">
        <f t="shared" ca="1" si="25"/>
        <v/>
      </c>
      <c r="AA87" s="51" t="str">
        <f t="shared" ca="1" si="26"/>
        <v/>
      </c>
      <c r="AB87" s="51" t="str">
        <f t="array" aca="1" ref="AB87" ca="1">IF($R87&lt;&gt;"",
IF(AND(COUNTIF(INDIRECT("B"&amp;R87&amp;""),"*雙葉*"),COUNTIF(B:B,"*雙葉*")&gt;=2),
INDIRECT("M"&amp;R87&amp;"")+INDIRECT("M"&amp;MATCH("雙葉'",INDIRECT("B"&amp;R87+1&amp;":B210"),0)+R87&amp;""),
IF(AND(LEFT(INDIRECT("B"&amp;R87&amp;""),2)="博多",COUNTIF(B:B,"*博多*")&gt;=2),
INDIRECT("M"&amp;R87&amp;"")+INDIRECT("M"&amp;MATCH("*"&amp;INDIRECT("B"&amp;R87&amp;"")&amp;"*",INDIRECT("B"&amp;R87+1&amp;":B210"),0)+R87&amp;""),
IF(AND(LEFT(INDIRECT("B"&amp;R87&amp;""),3)="奈良屋",COUNTIF(B:B,"*奈良屋*")&gt;=2),
INDIRECT("M"&amp;R87&amp;"")+INDIRECT("M"&amp;MATCH("*"&amp;INDIRECT("B"&amp;R87&amp;"")&amp;"*",INDIRECT("B"&amp;R87+1&amp;":B210"),0)+R87&amp;"")
+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INDIRECT("M"&amp;R87&amp;"")))),"")</f>
        <v/>
      </c>
      <c r="AC87" s="51" t="str">
        <f t="shared" ca="1" si="27"/>
        <v/>
      </c>
      <c r="AD87" s="51" t="str">
        <f t="shared" ca="1" si="28"/>
        <v/>
      </c>
      <c r="AE87" s="51" t="str">
        <f t="shared" ca="1" si="29"/>
        <v/>
      </c>
      <c r="AF87" s="51" t="str">
        <f t="shared" ca="1" si="30"/>
        <v/>
      </c>
      <c r="AG87" s="51" t="str">
        <f t="shared" ca="1" si="31"/>
        <v/>
      </c>
      <c r="AH87" s="191" t="str">
        <f t="shared" ca="1" si="32"/>
        <v/>
      </c>
      <c r="AI87" s="51" t="str">
        <f t="shared" ca="1" si="33"/>
        <v/>
      </c>
      <c r="AJ87" s="51" t="str">
        <f t="shared" ca="1" si="34"/>
        <v/>
      </c>
      <c r="AK87" s="51" t="str">
        <f t="shared" ca="1" si="35"/>
        <v/>
      </c>
      <c r="AL87" s="51" t="str">
        <f t="shared" ca="1" si="36"/>
        <v/>
      </c>
      <c r="AM87" s="51" t="str">
        <f t="shared" ca="1" si="37"/>
        <v/>
      </c>
      <c r="AN87" s="51" t="str">
        <f t="shared" ca="1" si="38"/>
        <v/>
      </c>
      <c r="AO87" s="51" t="str">
        <f t="shared" ca="1" si="39"/>
        <v/>
      </c>
      <c r="AP87" s="51" t="str">
        <f t="shared" ca="1" si="40"/>
        <v/>
      </c>
      <c r="AU87" s="51" t="str">
        <f t="shared" ca="1" si="41"/>
        <v/>
      </c>
    </row>
    <row r="88" spans="1:47" ht="22.2" customHeight="1">
      <c r="A88" s="179">
        <f t="shared" si="45"/>
        <v>41</v>
      </c>
      <c r="B88" s="180" t="str">
        <f t="shared" ca="1" si="43"/>
        <v/>
      </c>
      <c r="C88" s="180" t="str">
        <f>IF(OR(クライアント抽出!C18&lt;&gt;"",クライアント抽出!F18&lt;&gt;""),クライアント抽出!A18,"")</f>
        <v/>
      </c>
      <c r="D88" s="180" t="str">
        <f t="array" aca="1" ref="D88" ca="1">IF(C88&lt;&gt;"",INDIRECT("クライアント抽出!"&amp;E88&amp;MATCH(C88,クライアント抽出!A:A,0)&amp;""),"")</f>
        <v/>
      </c>
      <c r="E88" s="180" t="str">
        <f>IF(H88&lt;&gt;0,
IFERROR(
SUBSTITUTE(ADDRESS(1,
MATCH(VALUE(H88),クライアント抽出!A18:G18,0)+8,4),"1",""),
""),
IFERROR(
SUBSTITUTE(ADDRESS(1,
MATCH(VALUE(I88),クライアント抽出!A18:G18,0)+8,4),"1",""),
""))</f>
        <v/>
      </c>
      <c r="F88" s="181" t="str">
        <f ca="1">IF(D88&lt;&gt;"",
IF(COUNTIF(C88,"*雙葉*"),
IF(ROUND((H88-M88)
/IF(COUNTIF(D88,"*キャラ*"),
VLOOKUP("*キャラ*",商品マスタ一覧!$D:$E,2,FALSE),
IF(COUNTIF(D88,"*赤*"),
VLOOKUP("*赤*",商品マスタ一覧!$D:$E,2,FALSE),
VLOOKUP("*"&amp;D88&amp;"*",商品マスタ一覧!$D:$E,2,FALSE))),0)&lt;=0,1,
ROUND((H88-M88)
/IF(COUNTIF(D88,"*キャラ*"),
VLOOKUP("*キャラ*",商品マスタ一覧!$D:$E,2,FALSE),
IF(COUNTIF(D88,"*赤*"),
VLOOKUP("*赤*",商品マスタ一覧!$D:$E,2,FALSE),
VLOOKUP("*"&amp;D88&amp;"*",商品マスタ一覧!$D:$E,2,FALSE))),0)),
IF(OR(COUNTIF(D88,"*キャラ*"),COUNTIF(D88,"*赤*")),"",
IF(VLOOKUP("*"&amp;D88&amp;"*",商品マスタ一覧!$D:$E,2,FALSE)=0,"",
IF(ROUND((H88-M88)
/VLOOKUP("*"&amp;D88&amp;"*",商品マスタ一覧!$D:$E,2,FALSE),0)&lt;=0,1,
ROUND((H88-M88)
/VLOOKUP("*"&amp;D88&amp;"*",商品マスタ一覧!$D:$E,2,FALSE),0))))),"")</f>
        <v/>
      </c>
      <c r="G88" s="180" t="str">
        <f ca="1">IF(F88&lt;&gt;"",
IF(VALUE(H88-M88)&gt;VALUE(IF(COUNTIF(D88,"*キャラ*"),
VLOOKUP("*キャラ*",商品マスタ一覧!$D:$E,2,FALSE),
IF(COUNTIF(D88,"*赤*"),
VLOOKUP("*赤*",商品マスタ一覧!$D:$E,2,FALSE),
VLOOKUP("*"&amp;D88&amp;"*",商品マスタ一覧!$D:$E,2,FALSE)))*F88),
"+"&amp;(H88-M88)-IF(COUNTIF(D88,"*キャラ*"),
VLOOKUP("*キャラ*",商品マスタ一覧!$D:$E,2,FALSE),
IF(COUNTIF(D88,"*赤*"),
VLOOKUP("*赤*",商品マスタ一覧!$D:$E,2,FALSE),
VLOOKUP("*"&amp;D88&amp;"*",商品マスタ一覧!$D:$E,2,FALSE)))*F88,
(H88-M88)-IF(COUNTIF(D88,"*キャラ*"),
VLOOKUP("*キャラ*",商品マスタ一覧!$D:$E,2,FALSE),
IF(COUNTIF(D88,"*赤*"),
VLOOKUP("*赤*",商品マスタ一覧!$D:$E,2,FALSE),
VLOOKUP("*"&amp;D88&amp;"*",商品マスタ一覧!$D:$E,2,FALSE)))*F88),"")</f>
        <v/>
      </c>
      <c r="H88" s="182" t="str">
        <f>IF(C88&lt;&gt;"",
クライアント抽出!C18,"")</f>
        <v/>
      </c>
      <c r="I88" s="180" t="str">
        <f t="array" aca="1" ref="I88" ca="1">IF(C88&lt;&gt;"",
IF(O88=1,
IF(SUMPRODUCT(COUNTIF(クライアント抽出!P18:U18,クライアント抽出!P18:U18))&gt;COUNTA(クライアント抽出!P18:U18),
INDIRECT("数出表_Excel!"&amp;INDEX(_xlfn.UNIQUE(_xlfn._xlws.FILTER(クライアント抽出!P18:U18,COUNTIF(クライアント抽出!P18:U18,クライアント抽出!P18:U18)=1)),1)&amp;L88&amp;""),
0),クライアント抽出!F18),"")</f>
        <v/>
      </c>
      <c r="J88" s="180" t="str">
        <f>IF(C88&lt;&gt;"",
VLOOKUP(
"*"&amp;LEFT(IF(COUNTIF(D88,"*学食*"),"キャラ弁（学食）",
IF(COUNTIF(D88,"*赤*"),"赤",
IF(COUNTIF(D88,"*キャラ弁当*"),"キャラ弁当",D88))),4)&amp;"*",注文弁当の抽出!$E$1:$F$15,2,FALSE),"")</f>
        <v/>
      </c>
      <c r="K88" s="180" t="str">
        <f ca="1">IF(クライアント抽出!Q18&lt;&gt;"",SUBSTITUTE(ADDRESS(1,(CODE(クライアント抽出!Q18)-64)*2-1,4),"1",""),"")</f>
        <v/>
      </c>
      <c r="L88" s="180" t="str">
        <f>IF(C18&lt;&gt;"",クライアント抽出!I18,"")</f>
        <v/>
      </c>
      <c r="M88" s="180">
        <f t="array" aca="1" ref="M88" ca="1">IF(C88&lt;&gt;"",
IF(K88&lt;&gt;"",INDIRECT("'数出表_Excel（アレルギー入力）'!"&amp;K88&amp;L88-1&amp;""),),)</f>
        <v>0</v>
      </c>
      <c r="N88" s="180" t="str">
        <f>IF(C88&lt;&gt;"",IF(OR(COUNTIF('盛付札（関数）'!D88,"*赤*"),COUNTIF('盛付札（関数）'!D88,"*キャラ*")),1,
VLOOKUP("*"&amp;D88&amp;"*",商品マスタ一覧!D:H,5,FALSE)),"")</f>
        <v/>
      </c>
      <c r="O88" s="180">
        <f t="shared" ca="1" si="44"/>
        <v>0</v>
      </c>
      <c r="P88" s="180">
        <f t="shared" si="23"/>
        <v>0</v>
      </c>
      <c r="Q88" s="180" t="b">
        <f t="shared" si="24"/>
        <v>0</v>
      </c>
      <c r="R88" s="51" t="str">
        <f t="array" aca="1" ref="R88" ca="1">IFERROR(SMALL(IF(P$1:P$307&lt;&gt;0,P$1:P$307),ROW(A88)),"")</f>
        <v/>
      </c>
      <c r="S88" s="51" t="str">
        <f t="array" aca="1" ref="S88" ca="1">IF($R88&lt;&gt;"",
SUBSTITUTE(SUBSTITUTE(INDIRECT("C"&amp;$R88&amp;"")," 週3ｺｰｽ","")," 週5ｺｰｽ",""),"")</f>
        <v/>
      </c>
      <c r="T88" s="51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91" t="str">
        <f t="array" aca="1" ref="U88" ca="1">IF($R88&lt;&gt;"",
INDIRECT("F"&amp;$R88&amp;""),"")</f>
        <v/>
      </c>
      <c r="V88" s="51" t="str">
        <f t="array" aca="1" ref="V88" ca="1">IF($R88&lt;&gt;"",
INDIRECT("G"&amp;$R88&amp;""),"")</f>
        <v/>
      </c>
      <c r="W88" s="51" t="str">
        <f t="array" aca="1" ref="W88" ca="1">IF($R88&lt;&gt;"",
IF(AND(COUNTIF(INDIRECT("B"&amp;R88&amp;""),"*雙葉*"),COUNTIF(B:B,"*雙葉*")&gt;=2),
IF(OR(COUNTIF(INDIRECT("B"&amp;R88&amp;""),"*雙葉先生*"),COUNTIF($B$1:$B$70,"*雙葉*")&gt;=2),INDIRECT("H"&amp;R88&amp;""),INDIRECT("H"&amp;R88&amp;"")+INDIRECT("H"&amp;MATCH("雙葉'",INDIRECT("B"&amp;R88+3&amp;":B210"),0)+2+R88&amp;"")),
IF(AND(LEFT(INDIRECT("B"&amp;R88&amp;""),2)="博多",COUNTIF(B:B,"*博多*")&gt;=2),
INDIRECT("H"&amp;R88&amp;"")+INDIRECT("H"&amp;MATCH("*"&amp;INDIRECT("B"&amp;R88&amp;"")&amp;"*",INDIRECT("B"&amp;R88+1&amp;":B210"),0)+R88&amp;""),
IF(AND(LEFT(INDIRECT("B"&amp;R88&amp;""),3)="奈良屋",COUNTIF(B:B,"*奈良屋*")&gt;=2),
INDIRECT("H"&amp;R88&amp;"")+INDIRECT("H"&amp;MATCH("*"&amp;INDIRECT("B"&amp;R88&amp;"")&amp;"*",INDIRECT("B"&amp;R88+1&amp;":B210"),0)+R88&amp;"")
+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INDIRECT("H"&amp;R88&amp;"")))),"")</f>
        <v/>
      </c>
      <c r="X88" s="51" t="str">
        <f t="array" aca="1" ref="X88" ca="1">IF($R88&lt;&gt;"",
INDIRECT(""&amp;IF(COLUMN(I88)&lt;=26,CHAR(COLUMN(I88)+64),CHAR(INT((COLUMN(I88)-1)/26)+64)&amp;CHAR(MOD(COLUMN(I88)-1,26)+65))&amp;$R88&amp;""),"")</f>
        <v/>
      </c>
      <c r="Y88" s="51" t="str">
        <f t="array" aca="1" ref="Y88" ca="1">IF($R88&lt;&gt;"",
INDIRECT(""&amp;IF(COLUMN(J88)&lt;=26,CHAR(COLUMN(J88)+64),CHAR(INT((COLUMN(J88)-1)/26)+64)&amp;CHAR(MOD(COLUMN(J88)-1,26)+65))&amp;$R88&amp;""),"")</f>
        <v/>
      </c>
      <c r="Z88" s="51" t="str">
        <f t="shared" ca="1" si="25"/>
        <v/>
      </c>
      <c r="AA88" s="51" t="str">
        <f t="shared" ca="1" si="26"/>
        <v/>
      </c>
      <c r="AB88" s="51" t="str">
        <f t="array" aca="1" ref="AB88" ca="1">IF($R88&lt;&gt;"",
IF(AND(COUNTIF(INDIRECT("B"&amp;R88&amp;""),"*雙葉*"),COUNTIF(B:B,"*雙葉*")&gt;=2),
INDIRECT("M"&amp;R88&amp;"")+INDIRECT("M"&amp;MATCH("雙葉'",INDIRECT("B"&amp;R88+1&amp;":B210"),0)+R88&amp;""),
IF(AND(LEFT(INDIRECT("B"&amp;R88&amp;""),2)="博多",COUNTIF(B:B,"*博多*")&gt;=2),
INDIRECT("M"&amp;R88&amp;"")+INDIRECT("M"&amp;MATCH("*"&amp;INDIRECT("B"&amp;R88&amp;"")&amp;"*",INDIRECT("B"&amp;R88+1&amp;":B210"),0)+R88&amp;""),
IF(AND(LEFT(INDIRECT("B"&amp;R88&amp;""),3)="奈良屋",COUNTIF(B:B,"*奈良屋*")&gt;=2),
INDIRECT("M"&amp;R88&amp;"")+INDIRECT("M"&amp;MATCH("*"&amp;INDIRECT("B"&amp;R88&amp;"")&amp;"*",INDIRECT("B"&amp;R88+1&amp;":B210"),0)+R88&amp;"")
+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INDIRECT("M"&amp;R88&amp;"")))),"")</f>
        <v/>
      </c>
      <c r="AC88" s="51" t="str">
        <f t="shared" ca="1" si="27"/>
        <v/>
      </c>
      <c r="AD88" s="51" t="str">
        <f t="shared" ca="1" si="28"/>
        <v/>
      </c>
      <c r="AE88" s="51" t="str">
        <f t="shared" ca="1" si="29"/>
        <v/>
      </c>
      <c r="AF88" s="51" t="str">
        <f t="shared" ca="1" si="30"/>
        <v/>
      </c>
      <c r="AG88" s="51" t="str">
        <f t="shared" ca="1" si="31"/>
        <v/>
      </c>
      <c r="AH88" s="191" t="str">
        <f t="shared" ca="1" si="32"/>
        <v/>
      </c>
      <c r="AI88" s="51" t="str">
        <f t="shared" ca="1" si="33"/>
        <v/>
      </c>
      <c r="AJ88" s="51" t="str">
        <f t="shared" ca="1" si="34"/>
        <v/>
      </c>
      <c r="AK88" s="51" t="str">
        <f t="shared" ca="1" si="35"/>
        <v/>
      </c>
      <c r="AL88" s="51" t="str">
        <f t="shared" ca="1" si="36"/>
        <v/>
      </c>
      <c r="AM88" s="51" t="str">
        <f t="shared" ca="1" si="37"/>
        <v/>
      </c>
      <c r="AN88" s="51" t="str">
        <f t="shared" ca="1" si="38"/>
        <v/>
      </c>
      <c r="AO88" s="51" t="str">
        <f t="shared" ca="1" si="39"/>
        <v/>
      </c>
      <c r="AP88" s="51" t="str">
        <f t="shared" ca="1" si="40"/>
        <v/>
      </c>
      <c r="AU88" s="51" t="str">
        <f t="shared" ca="1" si="41"/>
        <v/>
      </c>
    </row>
    <row r="89" spans="1:47" ht="22.2" customHeight="1">
      <c r="A89" s="179">
        <f t="shared" si="45"/>
        <v>43</v>
      </c>
      <c r="B89" s="180" t="str">
        <f t="shared" ca="1" si="43"/>
        <v/>
      </c>
      <c r="C89" s="180" t="str">
        <f>IF(OR(クライアント抽出!C19&lt;&gt;"",クライアント抽出!F19&lt;&gt;""),クライアント抽出!A19,"")</f>
        <v/>
      </c>
      <c r="D89" s="180" t="str">
        <f t="array" aca="1" ref="D89" ca="1">IF(C89&lt;&gt;"",INDIRECT("クライアント抽出!"&amp;E89&amp;MATCH(C89,クライアント抽出!A:A,0)&amp;""),"")</f>
        <v/>
      </c>
      <c r="E89" s="180" t="str">
        <f>IF(H89&lt;&gt;0,
IFERROR(
SUBSTITUTE(ADDRESS(1,
MATCH(VALUE(H89),クライアント抽出!A19:G19,0)+8,4),"1",""),
""),
IFERROR(
SUBSTITUTE(ADDRESS(1,
MATCH(VALUE(I89),クライアント抽出!A19:G19,0)+8,4),"1",""),
""))</f>
        <v/>
      </c>
      <c r="F89" s="181" t="str">
        <f ca="1">IF(D89&lt;&gt;"",
IF(COUNTIF(C89,"*雙葉*"),
IF(ROUND((H89-M89)
/IF(COUNTIF(D89,"*キャラ*"),
VLOOKUP("*キャラ*",商品マスタ一覧!$D:$E,2,FALSE),
IF(COUNTIF(D89,"*赤*"),
VLOOKUP("*赤*",商品マスタ一覧!$D:$E,2,FALSE),
VLOOKUP("*"&amp;D89&amp;"*",商品マスタ一覧!$D:$E,2,FALSE))),0)&lt;=0,1,
ROUND((H89-M89)
/IF(COUNTIF(D89,"*キャラ*"),
VLOOKUP("*キャラ*",商品マスタ一覧!$D:$E,2,FALSE),
IF(COUNTIF(D89,"*赤*"),
VLOOKUP("*赤*",商品マスタ一覧!$D:$E,2,FALSE),
VLOOKUP("*"&amp;D89&amp;"*",商品マスタ一覧!$D:$E,2,FALSE))),0)),
IF(OR(COUNTIF(D89,"*キャラ*"),COUNTIF(D89,"*赤*")),"",
IF(VLOOKUP("*"&amp;D89&amp;"*",商品マスタ一覧!$D:$E,2,FALSE)=0,"",
IF(ROUND((H89-M89)
/VLOOKUP("*"&amp;D89&amp;"*",商品マスタ一覧!$D:$E,2,FALSE),0)&lt;=0,1,
ROUND((H89-M89)
/VLOOKUP("*"&amp;D89&amp;"*",商品マスタ一覧!$D:$E,2,FALSE),0))))),"")</f>
        <v/>
      </c>
      <c r="G89" s="180" t="str">
        <f ca="1">IF(F89&lt;&gt;"",
IF(VALUE(H89-M89)&gt;VALUE(IF(COUNTIF(D89,"*キャラ*"),
VLOOKUP("*キャラ*",商品マスタ一覧!$D:$E,2,FALSE),
IF(COUNTIF(D89,"*赤*"),
VLOOKUP("*赤*",商品マスタ一覧!$D:$E,2,FALSE),
VLOOKUP("*"&amp;D89&amp;"*",商品マスタ一覧!$D:$E,2,FALSE)))*F89),
"+"&amp;(H89-M89)-IF(COUNTIF(D89,"*キャラ*"),
VLOOKUP("*キャラ*",商品マスタ一覧!$D:$E,2,FALSE),
IF(COUNTIF(D89,"*赤*"),
VLOOKUP("*赤*",商品マスタ一覧!$D:$E,2,FALSE),
VLOOKUP("*"&amp;D89&amp;"*",商品マスタ一覧!$D:$E,2,FALSE)))*F89,
(H89-M89)-IF(COUNTIF(D89,"*キャラ*"),
VLOOKUP("*キャラ*",商品マスタ一覧!$D:$E,2,FALSE),
IF(COUNTIF(D89,"*赤*"),
VLOOKUP("*赤*",商品マスタ一覧!$D:$E,2,FALSE),
VLOOKUP("*"&amp;D89&amp;"*",商品マスタ一覧!$D:$E,2,FALSE)))*F89),"")</f>
        <v/>
      </c>
      <c r="H89" s="182" t="str">
        <f>IF(C89&lt;&gt;"",
クライアント抽出!C19,"")</f>
        <v/>
      </c>
      <c r="I89" s="180" t="str">
        <f t="array" aca="1" ref="I89" ca="1">IF(C89&lt;&gt;"",
IF(O89=1,
IF(SUMPRODUCT(COUNTIF(クライアント抽出!P19:U19,クライアント抽出!P19:U19))&gt;COUNTA(クライアント抽出!P19:U19),
INDIRECT("数出表_Excel!"&amp;INDEX(_xlfn.UNIQUE(_xlfn._xlws.FILTER(クライアント抽出!P19:U19,COUNTIF(クライアント抽出!P19:U19,クライアント抽出!P19:U19)=1)),1)&amp;L89&amp;""),
0),クライアント抽出!F19),"")</f>
        <v/>
      </c>
      <c r="J89" s="180" t="str">
        <f>IF(C89&lt;&gt;"",
VLOOKUP(
"*"&amp;LEFT(IF(COUNTIF(D89,"*学食*"),"キャラ弁（学食）",
IF(COUNTIF(D89,"*赤*"),"赤",
IF(COUNTIF(D89,"*キャラ弁当*"),"キャラ弁当",D89))),4)&amp;"*",注文弁当の抽出!$E$1:$F$15,2,FALSE),"")</f>
        <v/>
      </c>
      <c r="K89" s="180" t="str">
        <f ca="1">IF(クライアント抽出!Q19&lt;&gt;"",SUBSTITUTE(ADDRESS(1,(CODE(クライアント抽出!Q19)-64)*2-1,4),"1",""),"")</f>
        <v/>
      </c>
      <c r="L89" s="180" t="str">
        <f>IF(C19&lt;&gt;"",クライアント抽出!I19,"")</f>
        <v/>
      </c>
      <c r="M89" s="180">
        <f t="array" aca="1" ref="M89" ca="1">IF(C89&lt;&gt;"",
IF(K89&lt;&gt;"",INDIRECT("'数出表_Excel（アレルギー入力）'!"&amp;K89&amp;L89-1&amp;""),),)</f>
        <v>0</v>
      </c>
      <c r="N89" s="180" t="str">
        <f>IF(C89&lt;&gt;"",IF(OR(COUNTIF('盛付札（関数）'!D89,"*赤*"),COUNTIF('盛付札（関数）'!D89,"*キャラ*")),1,
VLOOKUP("*"&amp;D89&amp;"*",商品マスタ一覧!D:H,5,FALSE)),"")</f>
        <v/>
      </c>
      <c r="O89" s="180">
        <f t="shared" ca="1" si="44"/>
        <v>0</v>
      </c>
      <c r="P89" s="180">
        <f t="shared" si="23"/>
        <v>0</v>
      </c>
      <c r="Q89" s="180" t="b">
        <f t="shared" si="24"/>
        <v>0</v>
      </c>
      <c r="R89" s="51" t="str">
        <f t="array" aca="1" ref="R89" ca="1">IFERROR(SMALL(IF(P$1:P$307&lt;&gt;0,P$1:P$307),ROW(A89)),"")</f>
        <v/>
      </c>
      <c r="S89" s="51" t="str">
        <f t="array" aca="1" ref="S89" ca="1">IF($R89&lt;&gt;"",
SUBSTITUTE(SUBSTITUTE(INDIRECT("C"&amp;$R89&amp;"")," 週3ｺｰｽ","")," 週5ｺｰｽ",""),"")</f>
        <v/>
      </c>
      <c r="T89" s="51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91" t="str">
        <f t="array" aca="1" ref="U89" ca="1">IF($R89&lt;&gt;"",
INDIRECT("F"&amp;$R89&amp;""),"")</f>
        <v/>
      </c>
      <c r="V89" s="51" t="str">
        <f t="array" aca="1" ref="V89" ca="1">IF($R89&lt;&gt;"",
INDIRECT("G"&amp;$R89&amp;""),"")</f>
        <v/>
      </c>
      <c r="W89" s="51" t="str">
        <f t="array" aca="1" ref="W89" ca="1">IF($R89&lt;&gt;"",
IF(AND(COUNTIF(INDIRECT("B"&amp;R89&amp;""),"*雙葉*"),COUNTIF(B:B,"*雙葉*")&gt;=2),
IF(OR(COUNTIF(INDIRECT("B"&amp;R89&amp;""),"*雙葉先生*"),COUNTIF($B$1:$B$70,"*雙葉*")&gt;=2),INDIRECT("H"&amp;R89&amp;""),INDIRECT("H"&amp;R89&amp;"")+INDIRECT("H"&amp;MATCH("雙葉'",INDIRECT("B"&amp;R89+3&amp;":B210"),0)+2+R89&amp;"")),
IF(AND(LEFT(INDIRECT("B"&amp;R89&amp;""),2)="博多",COUNTIF(B:B,"*博多*")&gt;=2),
INDIRECT("H"&amp;R89&amp;"")+INDIRECT("H"&amp;MATCH("*"&amp;INDIRECT("B"&amp;R89&amp;"")&amp;"*",INDIRECT("B"&amp;R89+1&amp;":B210"),0)+R89&amp;""),
IF(AND(LEFT(INDIRECT("B"&amp;R89&amp;""),3)="奈良屋",COUNTIF(B:B,"*奈良屋*")&gt;=2),
INDIRECT("H"&amp;R89&amp;"")+INDIRECT("H"&amp;MATCH("*"&amp;INDIRECT("B"&amp;R89&amp;"")&amp;"*",INDIRECT("B"&amp;R89+1&amp;":B210"),0)+R89&amp;"")
+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INDIRECT("H"&amp;R89&amp;"")))),"")</f>
        <v/>
      </c>
      <c r="X89" s="51" t="str">
        <f t="array" aca="1" ref="X89" ca="1">IF($R89&lt;&gt;"",
INDIRECT(""&amp;IF(COLUMN(I89)&lt;=26,CHAR(COLUMN(I89)+64),CHAR(INT((COLUMN(I89)-1)/26)+64)&amp;CHAR(MOD(COLUMN(I89)-1,26)+65))&amp;$R89&amp;""),"")</f>
        <v/>
      </c>
      <c r="Y89" s="51" t="str">
        <f t="array" aca="1" ref="Y89" ca="1">IF($R89&lt;&gt;"",
INDIRECT(""&amp;IF(COLUMN(J89)&lt;=26,CHAR(COLUMN(J89)+64),CHAR(INT((COLUMN(J89)-1)/26)+64)&amp;CHAR(MOD(COLUMN(J89)-1,26)+65))&amp;$R89&amp;""),"")</f>
        <v/>
      </c>
      <c r="Z89" s="51" t="str">
        <f t="shared" ca="1" si="25"/>
        <v/>
      </c>
      <c r="AA89" s="51" t="str">
        <f t="shared" ca="1" si="26"/>
        <v/>
      </c>
      <c r="AB89" s="51" t="str">
        <f t="array" aca="1" ref="AB89" ca="1">IF($R89&lt;&gt;"",
IF(AND(COUNTIF(INDIRECT("B"&amp;R89&amp;""),"*雙葉*"),COUNTIF(B:B,"*雙葉*")&gt;=2),
INDIRECT("M"&amp;R89&amp;"")+INDIRECT("M"&amp;MATCH("雙葉'",INDIRECT("B"&amp;R89+1&amp;":B210"),0)+R89&amp;""),
IF(AND(LEFT(INDIRECT("B"&amp;R89&amp;""),2)="博多",COUNTIF(B:B,"*博多*")&gt;=2),
INDIRECT("M"&amp;R89&amp;"")+INDIRECT("M"&amp;MATCH("*"&amp;INDIRECT("B"&amp;R89&amp;"")&amp;"*",INDIRECT("B"&amp;R89+1&amp;":B210"),0)+R89&amp;""),
IF(AND(LEFT(INDIRECT("B"&amp;R89&amp;""),3)="奈良屋",COUNTIF(B:B,"*奈良屋*")&gt;=2),
INDIRECT("M"&amp;R89&amp;"")+INDIRECT("M"&amp;MATCH("*"&amp;INDIRECT("B"&amp;R89&amp;"")&amp;"*",INDIRECT("B"&amp;R89+1&amp;":B210"),0)+R89&amp;"")
+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INDIRECT("M"&amp;R89&amp;"")))),"")</f>
        <v/>
      </c>
      <c r="AC89" s="51" t="str">
        <f t="shared" ca="1" si="27"/>
        <v/>
      </c>
      <c r="AD89" s="51" t="str">
        <f t="shared" ca="1" si="28"/>
        <v/>
      </c>
      <c r="AE89" s="51" t="str">
        <f t="shared" ca="1" si="29"/>
        <v/>
      </c>
      <c r="AF89" s="51" t="str">
        <f t="shared" ca="1" si="30"/>
        <v/>
      </c>
      <c r="AG89" s="51" t="str">
        <f t="shared" ca="1" si="31"/>
        <v/>
      </c>
      <c r="AH89" s="191" t="str">
        <f t="shared" ca="1" si="32"/>
        <v/>
      </c>
      <c r="AI89" s="51" t="str">
        <f t="shared" ca="1" si="33"/>
        <v/>
      </c>
      <c r="AJ89" s="51" t="str">
        <f t="shared" ca="1" si="34"/>
        <v/>
      </c>
      <c r="AK89" s="51" t="str">
        <f t="shared" ca="1" si="35"/>
        <v/>
      </c>
      <c r="AL89" s="51" t="str">
        <f t="shared" ca="1" si="36"/>
        <v/>
      </c>
      <c r="AM89" s="51" t="str">
        <f t="shared" ca="1" si="37"/>
        <v/>
      </c>
      <c r="AN89" s="51" t="str">
        <f t="shared" ca="1" si="38"/>
        <v/>
      </c>
      <c r="AO89" s="51" t="str">
        <f t="shared" ca="1" si="39"/>
        <v/>
      </c>
      <c r="AP89" s="51" t="str">
        <f t="shared" ca="1" si="40"/>
        <v/>
      </c>
      <c r="AU89" s="51" t="str">
        <f t="shared" ca="1" si="41"/>
        <v/>
      </c>
    </row>
    <row r="90" spans="1:47" ht="22.2" customHeight="1">
      <c r="A90" s="179">
        <f t="shared" si="45"/>
        <v>45</v>
      </c>
      <c r="B90" s="180" t="str">
        <f t="shared" ca="1" si="43"/>
        <v/>
      </c>
      <c r="C90" s="180" t="str">
        <f>IF(OR(クライアント抽出!C20&lt;&gt;"",クライアント抽出!F20&lt;&gt;""),クライアント抽出!A20,"")</f>
        <v/>
      </c>
      <c r="D90" s="180" t="str">
        <f t="array" aca="1" ref="D90" ca="1">IF(C90&lt;&gt;"",INDIRECT("クライアント抽出!"&amp;E90&amp;MATCH(C90,クライアント抽出!A:A,0)&amp;""),"")</f>
        <v/>
      </c>
      <c r="E90" s="180" t="str">
        <f>IF(H90&lt;&gt;0,
IFERROR(
SUBSTITUTE(ADDRESS(1,
MATCH(VALUE(H90),クライアント抽出!A20:G20,0)+8,4),"1",""),
""),
IFERROR(
SUBSTITUTE(ADDRESS(1,
MATCH(VALUE(I90),クライアント抽出!A20:G20,0)+8,4),"1",""),
""))</f>
        <v/>
      </c>
      <c r="F90" s="181" t="str">
        <f ca="1">IF(D90&lt;&gt;"",
IF(COUNTIF(C90,"*雙葉*"),
IF(ROUND((H90-M90)
/IF(COUNTIF(D90,"*キャラ*"),
VLOOKUP("*キャラ*",商品マスタ一覧!$D:$E,2,FALSE),
IF(COUNTIF(D90,"*赤*"),
VLOOKUP("*赤*",商品マスタ一覧!$D:$E,2,FALSE),
VLOOKUP("*"&amp;D90&amp;"*",商品マスタ一覧!$D:$E,2,FALSE))),0)&lt;=0,1,
ROUND((H90-M90)
/IF(COUNTIF(D90,"*キャラ*"),
VLOOKUP("*キャラ*",商品マスタ一覧!$D:$E,2,FALSE),
IF(COUNTIF(D90,"*赤*"),
VLOOKUP("*赤*",商品マスタ一覧!$D:$E,2,FALSE),
VLOOKUP("*"&amp;D90&amp;"*",商品マスタ一覧!$D:$E,2,FALSE))),0)),
IF(OR(COUNTIF(D90,"*キャラ*"),COUNTIF(D90,"*赤*")),"",
IF(VLOOKUP("*"&amp;D90&amp;"*",商品マスタ一覧!$D:$E,2,FALSE)=0,"",
IF(ROUND((H90-M90)
/VLOOKUP("*"&amp;D90&amp;"*",商品マスタ一覧!$D:$E,2,FALSE),0)&lt;=0,1,
ROUND((H90-M90)
/VLOOKUP("*"&amp;D90&amp;"*",商品マスタ一覧!$D:$E,2,FALSE),0))))),"")</f>
        <v/>
      </c>
      <c r="G90" s="180" t="str">
        <f ca="1">IF(F90&lt;&gt;"",
IF(VALUE(H90-M90)&gt;VALUE(IF(COUNTIF(D90,"*キャラ*"),
VLOOKUP("*キャラ*",商品マスタ一覧!$D:$E,2,FALSE),
IF(COUNTIF(D90,"*赤*"),
VLOOKUP("*赤*",商品マスタ一覧!$D:$E,2,FALSE),
VLOOKUP("*"&amp;D90&amp;"*",商品マスタ一覧!$D:$E,2,FALSE)))*F90),
"+"&amp;(H90-M90)-IF(COUNTIF(D90,"*キャラ*"),
VLOOKUP("*キャラ*",商品マスタ一覧!$D:$E,2,FALSE),
IF(COUNTIF(D90,"*赤*"),
VLOOKUP("*赤*",商品マスタ一覧!$D:$E,2,FALSE),
VLOOKUP("*"&amp;D90&amp;"*",商品マスタ一覧!$D:$E,2,FALSE)))*F90,
(H90-M90)-IF(COUNTIF(D90,"*キャラ*"),
VLOOKUP("*キャラ*",商品マスタ一覧!$D:$E,2,FALSE),
IF(COUNTIF(D90,"*赤*"),
VLOOKUP("*赤*",商品マスタ一覧!$D:$E,2,FALSE),
VLOOKUP("*"&amp;D90&amp;"*",商品マスタ一覧!$D:$E,2,FALSE)))*F90),"")</f>
        <v/>
      </c>
      <c r="H90" s="182" t="str">
        <f>IF(C90&lt;&gt;"",
クライアント抽出!C20,"")</f>
        <v/>
      </c>
      <c r="I90" s="180" t="str">
        <f t="array" aca="1" ref="I90" ca="1">IF(C90&lt;&gt;"",
IF(O90=1,
IF(SUMPRODUCT(COUNTIF(クライアント抽出!P20:U20,クライアント抽出!P20:U20))&gt;COUNTA(クライアント抽出!P20:U20),
INDIRECT("数出表_Excel!"&amp;INDEX(_xlfn.UNIQUE(_xlfn._xlws.FILTER(クライアント抽出!P20:U20,COUNTIF(クライアント抽出!P20:U20,クライアント抽出!P20:U20)=1)),1)&amp;L90&amp;""),
0),クライアント抽出!F20),"")</f>
        <v/>
      </c>
      <c r="J90" s="180" t="str">
        <f>IF(C90&lt;&gt;"",
VLOOKUP(
"*"&amp;LEFT(IF(COUNTIF(D90,"*学食*"),"キャラ弁（学食）",
IF(COUNTIF(D90,"*赤*"),"赤",
IF(COUNTIF(D90,"*キャラ弁当*"),"キャラ弁当",D90))),4)&amp;"*",注文弁当の抽出!$E$1:$F$15,2,FALSE),"")</f>
        <v/>
      </c>
      <c r="K90" s="180" t="str">
        <f ca="1">IF(クライアント抽出!Q20&lt;&gt;"",SUBSTITUTE(ADDRESS(1,(CODE(クライアント抽出!Q20)-64)*2-1,4),"1",""),"")</f>
        <v/>
      </c>
      <c r="L90" s="180" t="str">
        <f>IF(C20&lt;&gt;"",クライアント抽出!I20,"")</f>
        <v/>
      </c>
      <c r="M90" s="180">
        <f t="array" aca="1" ref="M90" ca="1">IF(C90&lt;&gt;"",
IF(K90&lt;&gt;"",INDIRECT("'数出表_Excel（アレルギー入力）'!"&amp;K90&amp;L90-1&amp;""),),)</f>
        <v>0</v>
      </c>
      <c r="N90" s="180" t="str">
        <f>IF(C90&lt;&gt;"",IF(OR(COUNTIF('盛付札（関数）'!D90,"*赤*"),COUNTIF('盛付札（関数）'!D90,"*キャラ*")),1,
VLOOKUP("*"&amp;D90&amp;"*",商品マスタ一覧!D:H,5,FALSE)),"")</f>
        <v/>
      </c>
      <c r="O90" s="180">
        <f t="shared" ca="1" si="44"/>
        <v>0</v>
      </c>
      <c r="P90" s="180">
        <f t="shared" si="23"/>
        <v>0</v>
      </c>
      <c r="Q90" s="180" t="b">
        <f t="shared" si="24"/>
        <v>0</v>
      </c>
      <c r="R90" s="51" t="str">
        <f t="array" aca="1" ref="R90" ca="1">IFERROR(SMALL(IF(P$1:P$307&lt;&gt;0,P$1:P$307),ROW(A90)),"")</f>
        <v/>
      </c>
      <c r="S90" s="51" t="str">
        <f t="array" aca="1" ref="S90" ca="1">IF($R90&lt;&gt;"",
SUBSTITUTE(SUBSTITUTE(INDIRECT("C"&amp;$R90&amp;"")," 週3ｺｰｽ","")," 週5ｺｰｽ",""),"")</f>
        <v/>
      </c>
      <c r="T90" s="51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91" t="str">
        <f t="array" aca="1" ref="U90" ca="1">IF($R90&lt;&gt;"",
INDIRECT("F"&amp;$R90&amp;""),"")</f>
        <v/>
      </c>
      <c r="V90" s="51" t="str">
        <f t="array" aca="1" ref="V90" ca="1">IF($R90&lt;&gt;"",
INDIRECT("G"&amp;$R90&amp;""),"")</f>
        <v/>
      </c>
      <c r="W90" s="51" t="str">
        <f t="array" aca="1" ref="W90" ca="1">IF($R90&lt;&gt;"",
IF(AND(COUNTIF(INDIRECT("B"&amp;R90&amp;""),"*雙葉*"),COUNTIF(B:B,"*雙葉*")&gt;=2),
IF(OR(COUNTIF(INDIRECT("B"&amp;R90&amp;""),"*雙葉先生*"),COUNTIF($B$1:$B$70,"*雙葉*")&gt;=2),INDIRECT("H"&amp;R90&amp;""),INDIRECT("H"&amp;R90&amp;"")+INDIRECT("H"&amp;MATCH("雙葉'",INDIRECT("B"&amp;R90+3&amp;":B210"),0)+2+R90&amp;"")),
IF(AND(LEFT(INDIRECT("B"&amp;R90&amp;""),2)="博多",COUNTIF(B:B,"*博多*")&gt;=2),
INDIRECT("H"&amp;R90&amp;"")+INDIRECT("H"&amp;MATCH("*"&amp;INDIRECT("B"&amp;R90&amp;"")&amp;"*",INDIRECT("B"&amp;R90+1&amp;":B210"),0)+R90&amp;""),
IF(AND(LEFT(INDIRECT("B"&amp;R90&amp;""),3)="奈良屋",COUNTIF(B:B,"*奈良屋*")&gt;=2),
INDIRECT("H"&amp;R90&amp;"")+INDIRECT("H"&amp;MATCH("*"&amp;INDIRECT("B"&amp;R90&amp;"")&amp;"*",INDIRECT("B"&amp;R90+1&amp;":B210"),0)+R90&amp;"")
+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INDIRECT("H"&amp;R90&amp;"")))),"")</f>
        <v/>
      </c>
      <c r="X90" s="51" t="str">
        <f t="array" aca="1" ref="X90" ca="1">IF($R90&lt;&gt;"",
INDIRECT(""&amp;IF(COLUMN(I90)&lt;=26,CHAR(COLUMN(I90)+64),CHAR(INT((COLUMN(I90)-1)/26)+64)&amp;CHAR(MOD(COLUMN(I90)-1,26)+65))&amp;$R90&amp;""),"")</f>
        <v/>
      </c>
      <c r="Y90" s="51" t="str">
        <f t="array" aca="1" ref="Y90" ca="1">IF($R90&lt;&gt;"",
INDIRECT(""&amp;IF(COLUMN(J90)&lt;=26,CHAR(COLUMN(J90)+64),CHAR(INT((COLUMN(J90)-1)/26)+64)&amp;CHAR(MOD(COLUMN(J90)-1,26)+65))&amp;$R90&amp;""),"")</f>
        <v/>
      </c>
      <c r="Z90" s="51" t="str">
        <f t="shared" ca="1" si="25"/>
        <v/>
      </c>
      <c r="AA90" s="51" t="str">
        <f t="shared" ca="1" si="26"/>
        <v/>
      </c>
      <c r="AB90" s="51" t="str">
        <f t="array" aca="1" ref="AB90" ca="1">IF($R90&lt;&gt;"",
IF(AND(COUNTIF(INDIRECT("B"&amp;R90&amp;""),"*雙葉*"),COUNTIF(B:B,"*雙葉*")&gt;=2),
INDIRECT("M"&amp;R90&amp;"")+INDIRECT("M"&amp;MATCH("雙葉'",INDIRECT("B"&amp;R90+1&amp;":B210"),0)+R90&amp;""),
IF(AND(LEFT(INDIRECT("B"&amp;R90&amp;""),2)="博多",COUNTIF(B:B,"*博多*")&gt;=2),
INDIRECT("M"&amp;R90&amp;"")+INDIRECT("M"&amp;MATCH("*"&amp;INDIRECT("B"&amp;R90&amp;"")&amp;"*",INDIRECT("B"&amp;R90+1&amp;":B210"),0)+R90&amp;""),
IF(AND(LEFT(INDIRECT("B"&amp;R90&amp;""),3)="奈良屋",COUNTIF(B:B,"*奈良屋*")&gt;=2),
INDIRECT("M"&amp;R90&amp;"")+INDIRECT("M"&amp;MATCH("*"&amp;INDIRECT("B"&amp;R90&amp;"")&amp;"*",INDIRECT("B"&amp;R90+1&amp;":B210"),0)+R90&amp;"")
+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INDIRECT("M"&amp;R90&amp;"")))),"")</f>
        <v/>
      </c>
      <c r="AC90" s="51" t="str">
        <f t="shared" ca="1" si="27"/>
        <v/>
      </c>
      <c r="AD90" s="51" t="str">
        <f t="shared" ca="1" si="28"/>
        <v/>
      </c>
      <c r="AE90" s="51" t="str">
        <f t="shared" ca="1" si="29"/>
        <v/>
      </c>
      <c r="AF90" s="51" t="str">
        <f t="shared" ca="1" si="30"/>
        <v/>
      </c>
      <c r="AG90" s="51" t="str">
        <f t="shared" ca="1" si="31"/>
        <v/>
      </c>
      <c r="AH90" s="191" t="str">
        <f t="shared" ca="1" si="32"/>
        <v/>
      </c>
      <c r="AI90" s="51" t="str">
        <f t="shared" ca="1" si="33"/>
        <v/>
      </c>
      <c r="AJ90" s="51" t="str">
        <f t="shared" ca="1" si="34"/>
        <v/>
      </c>
      <c r="AK90" s="51" t="str">
        <f t="shared" ca="1" si="35"/>
        <v/>
      </c>
      <c r="AL90" s="51" t="str">
        <f t="shared" ca="1" si="36"/>
        <v/>
      </c>
      <c r="AM90" s="51" t="str">
        <f t="shared" ca="1" si="37"/>
        <v/>
      </c>
      <c r="AN90" s="51" t="str">
        <f t="shared" ca="1" si="38"/>
        <v/>
      </c>
      <c r="AO90" s="51" t="str">
        <f t="shared" ca="1" si="39"/>
        <v/>
      </c>
      <c r="AP90" s="51" t="str">
        <f t="shared" ca="1" si="40"/>
        <v/>
      </c>
      <c r="AU90" s="51" t="str">
        <f t="shared" ca="1" si="41"/>
        <v/>
      </c>
    </row>
    <row r="91" spans="1:47" ht="22.2" customHeight="1">
      <c r="A91" s="179">
        <f t="shared" si="45"/>
        <v>47</v>
      </c>
      <c r="B91" s="180" t="str">
        <f t="shared" ca="1" si="43"/>
        <v/>
      </c>
      <c r="C91" s="180" t="str">
        <f>IF(OR(クライアント抽出!C21&lt;&gt;"",クライアント抽出!F21&lt;&gt;""),クライアント抽出!A21,"")</f>
        <v/>
      </c>
      <c r="D91" s="180" t="str">
        <f t="array" aca="1" ref="D91" ca="1">IF(C91&lt;&gt;"",INDIRECT("クライアント抽出!"&amp;E91&amp;MATCH(C91,クライアント抽出!A:A,0)&amp;""),"")</f>
        <v/>
      </c>
      <c r="E91" s="180" t="str">
        <f>IF(H91&lt;&gt;0,
IFERROR(
SUBSTITUTE(ADDRESS(1,
MATCH(VALUE(H91),クライアント抽出!A21:G21,0)+8,4),"1",""),
""),
IFERROR(
SUBSTITUTE(ADDRESS(1,
MATCH(VALUE(I91),クライアント抽出!A21:G21,0)+8,4),"1",""),
""))</f>
        <v/>
      </c>
      <c r="F91" s="181" t="str">
        <f ca="1">IF(D91&lt;&gt;"",
IF(COUNTIF(C91,"*雙葉*"),
IF(ROUND((H91-M91)
/IF(COUNTIF(D91,"*キャラ*"),
VLOOKUP("*キャラ*",商品マスタ一覧!$D:$E,2,FALSE),
IF(COUNTIF(D91,"*赤*"),
VLOOKUP("*赤*",商品マスタ一覧!$D:$E,2,FALSE),
VLOOKUP("*"&amp;D91&amp;"*",商品マスタ一覧!$D:$E,2,FALSE))),0)&lt;=0,1,
ROUND((H91-M91)
/IF(COUNTIF(D91,"*キャラ*"),
VLOOKUP("*キャラ*",商品マスタ一覧!$D:$E,2,FALSE),
IF(COUNTIF(D91,"*赤*"),
VLOOKUP("*赤*",商品マスタ一覧!$D:$E,2,FALSE),
VLOOKUP("*"&amp;D91&amp;"*",商品マスタ一覧!$D:$E,2,FALSE))),0)),
IF(OR(COUNTIF(D91,"*キャラ*"),COUNTIF(D91,"*赤*")),"",
IF(VLOOKUP("*"&amp;D91&amp;"*",商品マスタ一覧!$D:$E,2,FALSE)=0,"",
IF(ROUND((H91-M91)
/VLOOKUP("*"&amp;D91&amp;"*",商品マスタ一覧!$D:$E,2,FALSE),0)&lt;=0,1,
ROUND((H91-M91)
/VLOOKUP("*"&amp;D91&amp;"*",商品マスタ一覧!$D:$E,2,FALSE),0))))),"")</f>
        <v/>
      </c>
      <c r="G91" s="180" t="str">
        <f ca="1">IF(F91&lt;&gt;"",
IF(VALUE(H91-M91)&gt;VALUE(IF(COUNTIF(D91,"*キャラ*"),
VLOOKUP("*キャラ*",商品マスタ一覧!$D:$E,2,FALSE),
IF(COUNTIF(D91,"*赤*"),
VLOOKUP("*赤*",商品マスタ一覧!$D:$E,2,FALSE),
VLOOKUP("*"&amp;D91&amp;"*",商品マスタ一覧!$D:$E,2,FALSE)))*F91),
"+"&amp;(H91-M91)-IF(COUNTIF(D91,"*キャラ*"),
VLOOKUP("*キャラ*",商品マスタ一覧!$D:$E,2,FALSE),
IF(COUNTIF(D91,"*赤*"),
VLOOKUP("*赤*",商品マスタ一覧!$D:$E,2,FALSE),
VLOOKUP("*"&amp;D91&amp;"*",商品マスタ一覧!$D:$E,2,FALSE)))*F91,
(H91-M91)-IF(COUNTIF(D91,"*キャラ*"),
VLOOKUP("*キャラ*",商品マスタ一覧!$D:$E,2,FALSE),
IF(COUNTIF(D91,"*赤*"),
VLOOKUP("*赤*",商品マスタ一覧!$D:$E,2,FALSE),
VLOOKUP("*"&amp;D91&amp;"*",商品マスタ一覧!$D:$E,2,FALSE)))*F91),"")</f>
        <v/>
      </c>
      <c r="H91" s="182" t="str">
        <f>IF(C91&lt;&gt;"",
クライアント抽出!C21,"")</f>
        <v/>
      </c>
      <c r="I91" s="180" t="str">
        <f t="array" aca="1" ref="I91" ca="1">IF(C91&lt;&gt;"",
IF(O91=1,
IF(SUMPRODUCT(COUNTIF(クライアント抽出!P21:U21,クライアント抽出!P21:U21))&gt;COUNTA(クライアント抽出!P21:U21),
INDIRECT("数出表_Excel!"&amp;INDEX(_xlfn.UNIQUE(_xlfn._xlws.FILTER(クライアント抽出!P21:U21,COUNTIF(クライアント抽出!P21:U21,クライアント抽出!P21:U21)=1)),1)&amp;L91&amp;""),
0),クライアント抽出!F21),"")</f>
        <v/>
      </c>
      <c r="J91" s="180" t="str">
        <f>IF(C91&lt;&gt;"",
VLOOKUP(
"*"&amp;LEFT(IF(COUNTIF(D91,"*学食*"),"キャラ弁（学食）",
IF(COUNTIF(D91,"*赤*"),"赤",
IF(COUNTIF(D91,"*キャラ弁当*"),"キャラ弁当",D91))),4)&amp;"*",注文弁当の抽出!$E$1:$F$15,2,FALSE),"")</f>
        <v/>
      </c>
      <c r="K91" s="180" t="str">
        <f ca="1">IF(クライアント抽出!Q21&lt;&gt;"",SUBSTITUTE(ADDRESS(1,(CODE(クライアント抽出!Q21)-64)*2-1,4),"1",""),"")</f>
        <v/>
      </c>
      <c r="L91" s="180" t="str">
        <f>IF(C21&lt;&gt;"",クライアント抽出!I21,"")</f>
        <v/>
      </c>
      <c r="M91" s="180">
        <f t="array" aca="1" ref="M91" ca="1">IF(C91&lt;&gt;"",
IF(K91&lt;&gt;"",INDIRECT("'数出表_Excel（アレルギー入力）'!"&amp;K91&amp;L91-1&amp;""),),)</f>
        <v>0</v>
      </c>
      <c r="N91" s="180" t="str">
        <f>IF(C91&lt;&gt;"",IF(OR(COUNTIF('盛付札（関数）'!D91,"*赤*"),COUNTIF('盛付札（関数）'!D91,"*キャラ*")),1,
VLOOKUP("*"&amp;D91&amp;"*",商品マスタ一覧!D:H,5,FALSE)),"")</f>
        <v/>
      </c>
      <c r="O91" s="180">
        <f t="shared" ca="1" si="44"/>
        <v>0</v>
      </c>
      <c r="P91" s="180">
        <f t="shared" si="23"/>
        <v>0</v>
      </c>
      <c r="Q91" s="180" t="b">
        <f t="shared" si="24"/>
        <v>0</v>
      </c>
      <c r="R91" s="51" t="str">
        <f t="array" aca="1" ref="R91" ca="1">IFERROR(SMALL(IF(P$1:P$307&lt;&gt;0,P$1:P$307),ROW(A91)),"")</f>
        <v/>
      </c>
      <c r="S91" s="51" t="str">
        <f t="array" aca="1" ref="S91" ca="1">IF($R91&lt;&gt;"",
SUBSTITUTE(SUBSTITUTE(INDIRECT("C"&amp;$R91&amp;"")," 週3ｺｰｽ","")," 週5ｺｰｽ",""),"")</f>
        <v/>
      </c>
      <c r="T91" s="51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91" t="str">
        <f t="array" aca="1" ref="U91" ca="1">IF($R91&lt;&gt;"",
INDIRECT("F"&amp;$R91&amp;""),"")</f>
        <v/>
      </c>
      <c r="V91" s="51" t="str">
        <f t="array" aca="1" ref="V91" ca="1">IF($R91&lt;&gt;"",
INDIRECT("G"&amp;$R91&amp;""),"")</f>
        <v/>
      </c>
      <c r="W91" s="51" t="str">
        <f t="array" aca="1" ref="W91" ca="1">IF($R91&lt;&gt;"",
IF(AND(COUNTIF(INDIRECT("B"&amp;R91&amp;""),"*雙葉*"),COUNTIF(B:B,"*雙葉*")&gt;=2),
IF(OR(COUNTIF(INDIRECT("B"&amp;R91&amp;""),"*雙葉先生*"),COUNTIF($B$1:$B$70,"*雙葉*")&gt;=2),INDIRECT("H"&amp;R91&amp;""),INDIRECT("H"&amp;R91&amp;"")+INDIRECT("H"&amp;MATCH("雙葉'",INDIRECT("B"&amp;R91+3&amp;":B210"),0)+2+R91&amp;"")),
IF(AND(LEFT(INDIRECT("B"&amp;R91&amp;""),2)="博多",COUNTIF(B:B,"*博多*")&gt;=2),
INDIRECT("H"&amp;R91&amp;"")+INDIRECT("H"&amp;MATCH("*"&amp;INDIRECT("B"&amp;R91&amp;"")&amp;"*",INDIRECT("B"&amp;R91+1&amp;":B210"),0)+R91&amp;""),
IF(AND(LEFT(INDIRECT("B"&amp;R91&amp;""),3)="奈良屋",COUNTIF(B:B,"*奈良屋*")&gt;=2),
INDIRECT("H"&amp;R91&amp;"")+INDIRECT("H"&amp;MATCH("*"&amp;INDIRECT("B"&amp;R91&amp;"")&amp;"*",INDIRECT("B"&amp;R91+1&amp;":B210"),0)+R91&amp;"")
+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INDIRECT("H"&amp;R91&amp;"")))),"")</f>
        <v/>
      </c>
      <c r="X91" s="51" t="str">
        <f t="array" aca="1" ref="X91" ca="1">IF($R91&lt;&gt;"",
INDIRECT(""&amp;IF(COLUMN(I91)&lt;=26,CHAR(COLUMN(I91)+64),CHAR(INT((COLUMN(I91)-1)/26)+64)&amp;CHAR(MOD(COLUMN(I91)-1,26)+65))&amp;$R91&amp;""),"")</f>
        <v/>
      </c>
      <c r="Y91" s="51" t="str">
        <f t="array" aca="1" ref="Y91" ca="1">IF($R91&lt;&gt;"",
INDIRECT(""&amp;IF(COLUMN(J91)&lt;=26,CHAR(COLUMN(J91)+64),CHAR(INT((COLUMN(J91)-1)/26)+64)&amp;CHAR(MOD(COLUMN(J91)-1,26)+65))&amp;$R91&amp;""),"")</f>
        <v/>
      </c>
      <c r="Z91" s="51" t="str">
        <f t="shared" ca="1" si="25"/>
        <v/>
      </c>
      <c r="AA91" s="51" t="str">
        <f t="shared" ca="1" si="26"/>
        <v/>
      </c>
      <c r="AB91" s="51" t="str">
        <f t="array" aca="1" ref="AB91" ca="1">IF($R91&lt;&gt;"",
IF(AND(COUNTIF(INDIRECT("B"&amp;R91&amp;""),"*雙葉*"),COUNTIF(B:B,"*雙葉*")&gt;=2),
INDIRECT("M"&amp;R91&amp;"")+INDIRECT("M"&amp;MATCH("雙葉'",INDIRECT("B"&amp;R91+1&amp;":B210"),0)+R91&amp;""),
IF(AND(LEFT(INDIRECT("B"&amp;R91&amp;""),2)="博多",COUNTIF(B:B,"*博多*")&gt;=2),
INDIRECT("M"&amp;R91&amp;"")+INDIRECT("M"&amp;MATCH("*"&amp;INDIRECT("B"&amp;R91&amp;"")&amp;"*",INDIRECT("B"&amp;R91+1&amp;":B210"),0)+R91&amp;""),
IF(AND(LEFT(INDIRECT("B"&amp;R91&amp;""),3)="奈良屋",COUNTIF(B:B,"*奈良屋*")&gt;=2),
INDIRECT("M"&amp;R91&amp;"")+INDIRECT("M"&amp;MATCH("*"&amp;INDIRECT("B"&amp;R91&amp;"")&amp;"*",INDIRECT("B"&amp;R91+1&amp;":B210"),0)+R91&amp;"")
+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INDIRECT("M"&amp;R91&amp;"")))),"")</f>
        <v/>
      </c>
      <c r="AC91" s="51" t="str">
        <f t="shared" ca="1" si="27"/>
        <v/>
      </c>
      <c r="AD91" s="51" t="str">
        <f t="shared" ca="1" si="28"/>
        <v/>
      </c>
      <c r="AE91" s="51" t="str">
        <f t="shared" ca="1" si="29"/>
        <v/>
      </c>
      <c r="AF91" s="51" t="str">
        <f t="shared" ca="1" si="30"/>
        <v/>
      </c>
      <c r="AG91" s="51" t="str">
        <f t="shared" ca="1" si="31"/>
        <v/>
      </c>
      <c r="AH91" s="191" t="str">
        <f t="shared" ca="1" si="32"/>
        <v/>
      </c>
      <c r="AI91" s="51" t="str">
        <f t="shared" ca="1" si="33"/>
        <v/>
      </c>
      <c r="AJ91" s="51" t="str">
        <f t="shared" ca="1" si="34"/>
        <v/>
      </c>
      <c r="AK91" s="51" t="str">
        <f t="shared" ca="1" si="35"/>
        <v/>
      </c>
      <c r="AL91" s="51" t="str">
        <f t="shared" ca="1" si="36"/>
        <v/>
      </c>
      <c r="AM91" s="51" t="str">
        <f t="shared" ca="1" si="37"/>
        <v/>
      </c>
      <c r="AN91" s="51" t="str">
        <f t="shared" ca="1" si="38"/>
        <v/>
      </c>
      <c r="AO91" s="51" t="str">
        <f t="shared" ca="1" si="39"/>
        <v/>
      </c>
      <c r="AP91" s="51" t="str">
        <f t="shared" ca="1" si="40"/>
        <v/>
      </c>
      <c r="AU91" s="51" t="str">
        <f t="shared" ca="1" si="41"/>
        <v/>
      </c>
    </row>
    <row r="92" spans="1:47" ht="22.2" customHeight="1">
      <c r="A92" s="179">
        <f t="shared" si="45"/>
        <v>49</v>
      </c>
      <c r="B92" s="180" t="str">
        <f t="shared" ca="1" si="43"/>
        <v/>
      </c>
      <c r="C92" s="180" t="str">
        <f>IF(OR(クライアント抽出!C22&lt;&gt;"",クライアント抽出!F22&lt;&gt;""),クライアント抽出!A22,"")</f>
        <v/>
      </c>
      <c r="D92" s="180" t="str">
        <f t="array" aca="1" ref="D92" ca="1">IF(C92&lt;&gt;"",INDIRECT("クライアント抽出!"&amp;E92&amp;MATCH(C92,クライアント抽出!A:A,0)&amp;""),"")</f>
        <v/>
      </c>
      <c r="E92" s="180" t="str">
        <f>IF(H92&lt;&gt;0,
IFERROR(
SUBSTITUTE(ADDRESS(1,
MATCH(VALUE(H92),クライアント抽出!A22:G22,0)+8,4),"1",""),
""),
IFERROR(
SUBSTITUTE(ADDRESS(1,
MATCH(VALUE(I92),クライアント抽出!A22:G22,0)+8,4),"1",""),
""))</f>
        <v/>
      </c>
      <c r="F92" s="181" t="str">
        <f ca="1">IF(D92&lt;&gt;"",
IF(COUNTIF(C92,"*雙葉*"),
IF(ROUND((H92-M92)
/IF(COUNTIF(D92,"*キャラ*"),
VLOOKUP("*キャラ*",商品マスタ一覧!$D:$E,2,FALSE),
IF(COUNTIF(D92,"*赤*"),
VLOOKUP("*赤*",商品マスタ一覧!$D:$E,2,FALSE),
VLOOKUP("*"&amp;D92&amp;"*",商品マスタ一覧!$D:$E,2,FALSE))),0)&lt;=0,1,
ROUND((H92-M92)
/IF(COUNTIF(D92,"*キャラ*"),
VLOOKUP("*キャラ*",商品マスタ一覧!$D:$E,2,FALSE),
IF(COUNTIF(D92,"*赤*"),
VLOOKUP("*赤*",商品マスタ一覧!$D:$E,2,FALSE),
VLOOKUP("*"&amp;D92&amp;"*",商品マスタ一覧!$D:$E,2,FALSE))),0)),
IF(OR(COUNTIF(D92,"*キャラ*"),COUNTIF(D92,"*赤*")),"",
IF(VLOOKUP("*"&amp;D92&amp;"*",商品マスタ一覧!$D:$E,2,FALSE)=0,"",
IF(ROUND((H92-M92)
/VLOOKUP("*"&amp;D92&amp;"*",商品マスタ一覧!$D:$E,2,FALSE),0)&lt;=0,1,
ROUND((H92-M92)
/VLOOKUP("*"&amp;D92&amp;"*",商品マスタ一覧!$D:$E,2,FALSE),0))))),"")</f>
        <v/>
      </c>
      <c r="G92" s="180" t="str">
        <f ca="1">IF(F92&lt;&gt;"",
IF(VALUE(H92-M92)&gt;VALUE(IF(COUNTIF(D92,"*キャラ*"),
VLOOKUP("*キャラ*",商品マスタ一覧!$D:$E,2,FALSE),
IF(COUNTIF(D92,"*赤*"),
VLOOKUP("*赤*",商品マスタ一覧!$D:$E,2,FALSE),
VLOOKUP("*"&amp;D92&amp;"*",商品マスタ一覧!$D:$E,2,FALSE)))*F92),
"+"&amp;(H92-M92)-IF(COUNTIF(D92,"*キャラ*"),
VLOOKUP("*キャラ*",商品マスタ一覧!$D:$E,2,FALSE),
IF(COUNTIF(D92,"*赤*"),
VLOOKUP("*赤*",商品マスタ一覧!$D:$E,2,FALSE),
VLOOKUP("*"&amp;D92&amp;"*",商品マスタ一覧!$D:$E,2,FALSE)))*F92,
(H92-M92)-IF(COUNTIF(D92,"*キャラ*"),
VLOOKUP("*キャラ*",商品マスタ一覧!$D:$E,2,FALSE),
IF(COUNTIF(D92,"*赤*"),
VLOOKUP("*赤*",商品マスタ一覧!$D:$E,2,FALSE),
VLOOKUP("*"&amp;D92&amp;"*",商品マスタ一覧!$D:$E,2,FALSE)))*F92),"")</f>
        <v/>
      </c>
      <c r="H92" s="182" t="str">
        <f>IF(C92&lt;&gt;"",
クライアント抽出!C22,"")</f>
        <v/>
      </c>
      <c r="I92" s="180" t="str">
        <f t="array" aca="1" ref="I92" ca="1">IF(C92&lt;&gt;"",
IF(O92=1,
IF(SUMPRODUCT(COUNTIF(クライアント抽出!P22:U22,クライアント抽出!P22:U22))&gt;COUNTA(クライアント抽出!P22:U22),
INDIRECT("数出表_Excel!"&amp;INDEX(_xlfn.UNIQUE(_xlfn._xlws.FILTER(クライアント抽出!P22:U22,COUNTIF(クライアント抽出!P22:U22,クライアント抽出!P22:U22)=1)),1)&amp;L92&amp;""),
0),クライアント抽出!F22),"")</f>
        <v/>
      </c>
      <c r="J92" s="180" t="str">
        <f>IF(C92&lt;&gt;"",
VLOOKUP(
"*"&amp;LEFT(IF(COUNTIF(D92,"*学食*"),"キャラ弁（学食）",
IF(COUNTIF(D92,"*赤*"),"赤",
IF(COUNTIF(D92,"*キャラ弁当*"),"キャラ弁当",D92))),4)&amp;"*",注文弁当の抽出!$E$1:$F$15,2,FALSE),"")</f>
        <v/>
      </c>
      <c r="K92" s="180" t="str">
        <f ca="1">IF(クライアント抽出!Q22&lt;&gt;"",SUBSTITUTE(ADDRESS(1,(CODE(クライアント抽出!Q22)-64)*2-1,4),"1",""),"")</f>
        <v/>
      </c>
      <c r="L92" s="180" t="str">
        <f>IF(C22&lt;&gt;"",クライアント抽出!I22,"")</f>
        <v/>
      </c>
      <c r="M92" s="180">
        <f t="array" aca="1" ref="M92" ca="1">IF(C92&lt;&gt;"",
IF(K92&lt;&gt;"",INDIRECT("'数出表_Excel（アレルギー入力）'!"&amp;K92&amp;L92-1&amp;""),),)</f>
        <v>0</v>
      </c>
      <c r="N92" s="180" t="str">
        <f>IF(C92&lt;&gt;"",IF(OR(COUNTIF('盛付札（関数）'!D92,"*赤*"),COUNTIF('盛付札（関数）'!D92,"*キャラ*")),1,
VLOOKUP("*"&amp;D92&amp;"*",商品マスタ一覧!D:H,5,FALSE)),"")</f>
        <v/>
      </c>
      <c r="O92" s="180">
        <f t="shared" ca="1" si="44"/>
        <v>0</v>
      </c>
      <c r="P92" s="180">
        <f t="shared" si="23"/>
        <v>0</v>
      </c>
      <c r="Q92" s="180" t="b">
        <f t="shared" si="24"/>
        <v>0</v>
      </c>
      <c r="R92" s="51" t="str">
        <f t="array" aca="1" ref="R92" ca="1">IFERROR(SMALL(IF(P$1:P$307&lt;&gt;0,P$1:P$307),ROW(A92)),"")</f>
        <v/>
      </c>
      <c r="S92" s="51" t="str">
        <f t="array" aca="1" ref="S92" ca="1">IF($R92&lt;&gt;"",
SUBSTITUTE(SUBSTITUTE(INDIRECT("C"&amp;$R92&amp;"")," 週3ｺｰｽ","")," 週5ｺｰｽ",""),"")</f>
        <v/>
      </c>
      <c r="T92" s="51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91" t="str">
        <f t="array" aca="1" ref="U92" ca="1">IF($R92&lt;&gt;"",
INDIRECT("F"&amp;$R92&amp;""),"")</f>
        <v/>
      </c>
      <c r="V92" s="51" t="str">
        <f t="array" aca="1" ref="V92" ca="1">IF($R92&lt;&gt;"",
INDIRECT("G"&amp;$R92&amp;""),"")</f>
        <v/>
      </c>
      <c r="W92" s="51" t="str">
        <f t="array" aca="1" ref="W92" ca="1">IF($R92&lt;&gt;"",
IF(AND(COUNTIF(INDIRECT("B"&amp;R92&amp;""),"*雙葉*"),COUNTIF(B:B,"*雙葉*")&gt;=2),
IF(OR(COUNTIF(INDIRECT("B"&amp;R92&amp;""),"*雙葉先生*"),COUNTIF($B$1:$B$70,"*雙葉*")&gt;=2),INDIRECT("H"&amp;R92&amp;""),INDIRECT("H"&amp;R92&amp;"")+INDIRECT("H"&amp;MATCH("雙葉'",INDIRECT("B"&amp;R92+3&amp;":B210"),0)+2+R92&amp;"")),
IF(AND(LEFT(INDIRECT("B"&amp;R92&amp;""),2)="博多",COUNTIF(B:B,"*博多*")&gt;=2),
INDIRECT("H"&amp;R92&amp;"")+INDIRECT("H"&amp;MATCH("*"&amp;INDIRECT("B"&amp;R92&amp;"")&amp;"*",INDIRECT("B"&amp;R92+1&amp;":B210"),0)+R92&amp;""),
IF(AND(LEFT(INDIRECT("B"&amp;R92&amp;""),3)="奈良屋",COUNTIF(B:B,"*奈良屋*")&gt;=2),
INDIRECT("H"&amp;R92&amp;"")+INDIRECT("H"&amp;MATCH("*"&amp;INDIRECT("B"&amp;R92&amp;"")&amp;"*",INDIRECT("B"&amp;R92+1&amp;":B210"),0)+R92&amp;"")
+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INDIRECT("H"&amp;R92&amp;"")))),"")</f>
        <v/>
      </c>
      <c r="X92" s="51" t="str">
        <f t="array" aca="1" ref="X92" ca="1">IF($R92&lt;&gt;"",
INDIRECT(""&amp;IF(COLUMN(I92)&lt;=26,CHAR(COLUMN(I92)+64),CHAR(INT((COLUMN(I92)-1)/26)+64)&amp;CHAR(MOD(COLUMN(I92)-1,26)+65))&amp;$R92&amp;""),"")</f>
        <v/>
      </c>
      <c r="Y92" s="51" t="str">
        <f t="array" aca="1" ref="Y92" ca="1">IF($R92&lt;&gt;"",
INDIRECT(""&amp;IF(COLUMN(J92)&lt;=26,CHAR(COLUMN(J92)+64),CHAR(INT((COLUMN(J92)-1)/26)+64)&amp;CHAR(MOD(COLUMN(J92)-1,26)+65))&amp;$R92&amp;""),"")</f>
        <v/>
      </c>
      <c r="Z92" s="51" t="str">
        <f t="shared" ca="1" si="25"/>
        <v/>
      </c>
      <c r="AA92" s="51" t="str">
        <f t="shared" ca="1" si="26"/>
        <v/>
      </c>
      <c r="AB92" s="51" t="str">
        <f t="array" aca="1" ref="AB92" ca="1">IF($R92&lt;&gt;"",
IF(AND(COUNTIF(INDIRECT("B"&amp;R92&amp;""),"*雙葉*"),COUNTIF(B:B,"*雙葉*")&gt;=2),
INDIRECT("M"&amp;R92&amp;"")+INDIRECT("M"&amp;MATCH("雙葉'",INDIRECT("B"&amp;R92+1&amp;":B210"),0)+R92&amp;""),
IF(AND(LEFT(INDIRECT("B"&amp;R92&amp;""),2)="博多",COUNTIF(B:B,"*博多*")&gt;=2),
INDIRECT("M"&amp;R92&amp;"")+INDIRECT("M"&amp;MATCH("*"&amp;INDIRECT("B"&amp;R92&amp;"")&amp;"*",INDIRECT("B"&amp;R92+1&amp;":B210"),0)+R92&amp;""),
IF(AND(LEFT(INDIRECT("B"&amp;R92&amp;""),3)="奈良屋",COUNTIF(B:B,"*奈良屋*")&gt;=2),
INDIRECT("M"&amp;R92&amp;"")+INDIRECT("M"&amp;MATCH("*"&amp;INDIRECT("B"&amp;R92&amp;"")&amp;"*",INDIRECT("B"&amp;R92+1&amp;":B210"),0)+R92&amp;"")
+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INDIRECT("M"&amp;R92&amp;"")))),"")</f>
        <v/>
      </c>
      <c r="AC92" s="51" t="str">
        <f t="shared" ca="1" si="27"/>
        <v/>
      </c>
      <c r="AD92" s="51" t="str">
        <f t="shared" ca="1" si="28"/>
        <v/>
      </c>
      <c r="AE92" s="51" t="str">
        <f t="shared" ca="1" si="29"/>
        <v/>
      </c>
      <c r="AF92" s="51" t="str">
        <f t="shared" ca="1" si="30"/>
        <v/>
      </c>
      <c r="AG92" s="51" t="str">
        <f t="shared" ca="1" si="31"/>
        <v/>
      </c>
      <c r="AH92" s="191" t="str">
        <f t="shared" ca="1" si="32"/>
        <v/>
      </c>
      <c r="AI92" s="51" t="str">
        <f t="shared" ca="1" si="33"/>
        <v/>
      </c>
      <c r="AJ92" s="51" t="str">
        <f t="shared" ca="1" si="34"/>
        <v/>
      </c>
      <c r="AK92" s="51" t="str">
        <f t="shared" ca="1" si="35"/>
        <v/>
      </c>
      <c r="AL92" s="51" t="str">
        <f t="shared" ca="1" si="36"/>
        <v/>
      </c>
      <c r="AM92" s="51" t="str">
        <f t="shared" ca="1" si="37"/>
        <v/>
      </c>
      <c r="AN92" s="51" t="str">
        <f t="shared" ca="1" si="38"/>
        <v/>
      </c>
      <c r="AO92" s="51" t="str">
        <f t="shared" ca="1" si="39"/>
        <v/>
      </c>
      <c r="AP92" s="51" t="str">
        <f t="shared" ca="1" si="40"/>
        <v/>
      </c>
      <c r="AU92" s="51" t="str">
        <f t="shared" ca="1" si="41"/>
        <v/>
      </c>
    </row>
    <row r="93" spans="1:47" ht="22.2" customHeight="1">
      <c r="A93" s="179">
        <f t="shared" si="45"/>
        <v>51</v>
      </c>
      <c r="B93" s="180" t="str">
        <f t="shared" ca="1" si="43"/>
        <v/>
      </c>
      <c r="C93" s="180" t="str">
        <f>IF(OR(クライアント抽出!C23&lt;&gt;"",クライアント抽出!F23&lt;&gt;""),クライアント抽出!A23,"")</f>
        <v/>
      </c>
      <c r="D93" s="180" t="str">
        <f t="array" aca="1" ref="D93" ca="1">IF(C93&lt;&gt;"",INDIRECT("クライアント抽出!"&amp;E93&amp;MATCH(C93,クライアント抽出!A:A,0)&amp;""),"")</f>
        <v/>
      </c>
      <c r="E93" s="180" t="str">
        <f>IF(H93&lt;&gt;0,
IFERROR(
SUBSTITUTE(ADDRESS(1,
MATCH(VALUE(H93),クライアント抽出!A23:G23,0)+8,4),"1",""),
""),
IFERROR(
SUBSTITUTE(ADDRESS(1,
MATCH(VALUE(I93),クライアント抽出!A23:G23,0)+8,4),"1",""),
""))</f>
        <v/>
      </c>
      <c r="F93" s="181" t="str">
        <f ca="1">IF(D93&lt;&gt;"",
IF(COUNTIF(C93,"*雙葉*"),
IF(ROUND((H93-M93)
/IF(COUNTIF(D93,"*キャラ*"),
VLOOKUP("*キャラ*",商品マスタ一覧!$D:$E,2,FALSE),
IF(COUNTIF(D93,"*赤*"),
VLOOKUP("*赤*",商品マスタ一覧!$D:$E,2,FALSE),
VLOOKUP("*"&amp;D93&amp;"*",商品マスタ一覧!$D:$E,2,FALSE))),0)&lt;=0,1,
ROUND((H93-M93)
/IF(COUNTIF(D93,"*キャラ*"),
VLOOKUP("*キャラ*",商品マスタ一覧!$D:$E,2,FALSE),
IF(COUNTIF(D93,"*赤*"),
VLOOKUP("*赤*",商品マスタ一覧!$D:$E,2,FALSE),
VLOOKUP("*"&amp;D93&amp;"*",商品マスタ一覧!$D:$E,2,FALSE))),0)),
IF(OR(COUNTIF(D93,"*キャラ*"),COUNTIF(D93,"*赤*")),"",
IF(VLOOKUP("*"&amp;D93&amp;"*",商品マスタ一覧!$D:$E,2,FALSE)=0,"",
IF(ROUND((H93-M93)
/VLOOKUP("*"&amp;D93&amp;"*",商品マスタ一覧!$D:$E,2,FALSE),0)&lt;=0,1,
ROUND((H93-M93)
/VLOOKUP("*"&amp;D93&amp;"*",商品マスタ一覧!$D:$E,2,FALSE),0))))),"")</f>
        <v/>
      </c>
      <c r="G93" s="180" t="str">
        <f ca="1">IF(F93&lt;&gt;"",
IF(VALUE(H93-M93)&gt;VALUE(IF(COUNTIF(D93,"*キャラ*"),
VLOOKUP("*キャラ*",商品マスタ一覧!$D:$E,2,FALSE),
IF(COUNTIF(D93,"*赤*"),
VLOOKUP("*赤*",商品マスタ一覧!$D:$E,2,FALSE),
VLOOKUP("*"&amp;D93&amp;"*",商品マスタ一覧!$D:$E,2,FALSE)))*F93),
"+"&amp;(H93-M93)-IF(COUNTIF(D93,"*キャラ*"),
VLOOKUP("*キャラ*",商品マスタ一覧!$D:$E,2,FALSE),
IF(COUNTIF(D93,"*赤*"),
VLOOKUP("*赤*",商品マスタ一覧!$D:$E,2,FALSE),
VLOOKUP("*"&amp;D93&amp;"*",商品マスタ一覧!$D:$E,2,FALSE)))*F93,
(H93-M93)-IF(COUNTIF(D93,"*キャラ*"),
VLOOKUP("*キャラ*",商品マスタ一覧!$D:$E,2,FALSE),
IF(COUNTIF(D93,"*赤*"),
VLOOKUP("*赤*",商品マスタ一覧!$D:$E,2,FALSE),
VLOOKUP("*"&amp;D93&amp;"*",商品マスタ一覧!$D:$E,2,FALSE)))*F93),"")</f>
        <v/>
      </c>
      <c r="H93" s="182" t="str">
        <f>IF(C93&lt;&gt;"",
クライアント抽出!C23,"")</f>
        <v/>
      </c>
      <c r="I93" s="180" t="str">
        <f t="array" aca="1" ref="I93" ca="1">IF(C93&lt;&gt;"",
IF(O93=1,
IF(SUMPRODUCT(COUNTIF(クライアント抽出!P23:U23,クライアント抽出!P23:U23))&gt;COUNTA(クライアント抽出!P23:U23),
INDIRECT("数出表_Excel!"&amp;INDEX(_xlfn.UNIQUE(_xlfn._xlws.FILTER(クライアント抽出!P23:U23,COUNTIF(クライアント抽出!P23:U23,クライアント抽出!P23:U23)=1)),1)&amp;L93&amp;""),
0),クライアント抽出!F23),"")</f>
        <v/>
      </c>
      <c r="J93" s="180" t="str">
        <f>IF(C93&lt;&gt;"",
VLOOKUP(
"*"&amp;LEFT(IF(COUNTIF(D93,"*学食*"),"キャラ弁（学食）",
IF(COUNTIF(D93,"*赤*"),"赤",
IF(COUNTIF(D93,"*キャラ弁当*"),"キャラ弁当",D93))),4)&amp;"*",注文弁当の抽出!$E$1:$F$15,2,FALSE),"")</f>
        <v/>
      </c>
      <c r="K93" s="180" t="str">
        <f ca="1">IF(クライアント抽出!Q23&lt;&gt;"",SUBSTITUTE(ADDRESS(1,(CODE(クライアント抽出!Q23)-64)*2-1,4),"1",""),"")</f>
        <v/>
      </c>
      <c r="L93" s="180" t="str">
        <f>IF(C23&lt;&gt;"",クライアント抽出!I23,"")</f>
        <v/>
      </c>
      <c r="M93" s="180">
        <f t="array" aca="1" ref="M93" ca="1">IF(C93&lt;&gt;"",
IF(K93&lt;&gt;"",INDIRECT("'数出表_Excel（アレルギー入力）'!"&amp;K93&amp;L93-1&amp;""),),)</f>
        <v>0</v>
      </c>
      <c r="N93" s="180" t="str">
        <f>IF(C93&lt;&gt;"",IF(OR(COUNTIF('盛付札（関数）'!D93,"*赤*"),COUNTIF('盛付札（関数）'!D93,"*キャラ*")),1,
VLOOKUP("*"&amp;D93&amp;"*",商品マスタ一覧!D:H,5,FALSE)),"")</f>
        <v/>
      </c>
      <c r="O93" s="180">
        <f t="shared" ca="1" si="44"/>
        <v>0</v>
      </c>
      <c r="P93" s="180">
        <f t="shared" si="23"/>
        <v>0</v>
      </c>
      <c r="Q93" s="180" t="b">
        <f t="shared" si="24"/>
        <v>0</v>
      </c>
      <c r="R93" s="51" t="str">
        <f t="array" aca="1" ref="R93" ca="1">IFERROR(SMALL(IF(P$1:P$307&lt;&gt;0,P$1:P$307),ROW(A93)),"")</f>
        <v/>
      </c>
      <c r="S93" s="51" t="str">
        <f t="array" aca="1" ref="S93" ca="1">IF($R93&lt;&gt;"",
SUBSTITUTE(SUBSTITUTE(INDIRECT("C"&amp;$R93&amp;"")," 週3ｺｰｽ","")," 週5ｺｰｽ",""),"")</f>
        <v/>
      </c>
      <c r="T93" s="51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91" t="str">
        <f t="array" aca="1" ref="U93" ca="1">IF($R93&lt;&gt;"",
INDIRECT("F"&amp;$R93&amp;""),"")</f>
        <v/>
      </c>
      <c r="V93" s="51" t="str">
        <f t="array" aca="1" ref="V93" ca="1">IF($R93&lt;&gt;"",
INDIRECT("G"&amp;$R93&amp;""),"")</f>
        <v/>
      </c>
      <c r="W93" s="51" t="str">
        <f t="array" aca="1" ref="W93" ca="1">IF($R93&lt;&gt;"",
IF(AND(COUNTIF(INDIRECT("B"&amp;R93&amp;""),"*雙葉*"),COUNTIF(B:B,"*雙葉*")&gt;=2),
IF(OR(COUNTIF(INDIRECT("B"&amp;R93&amp;""),"*雙葉先生*"),COUNTIF($B$1:$B$70,"*雙葉*")&gt;=2),INDIRECT("H"&amp;R93&amp;""),INDIRECT("H"&amp;R93&amp;"")+INDIRECT("H"&amp;MATCH("雙葉'",INDIRECT("B"&amp;R93+3&amp;":B210"),0)+2+R93&amp;"")),
IF(AND(LEFT(INDIRECT("B"&amp;R93&amp;""),2)="博多",COUNTIF(B:B,"*博多*")&gt;=2),
INDIRECT("H"&amp;R93&amp;"")+INDIRECT("H"&amp;MATCH("*"&amp;INDIRECT("B"&amp;R93&amp;"")&amp;"*",INDIRECT("B"&amp;R93+1&amp;":B210"),0)+R93&amp;""),
IF(AND(LEFT(INDIRECT("B"&amp;R93&amp;""),3)="奈良屋",COUNTIF(B:B,"*奈良屋*")&gt;=2),
INDIRECT("H"&amp;R93&amp;"")+INDIRECT("H"&amp;MATCH("*"&amp;INDIRECT("B"&amp;R93&amp;"")&amp;"*",INDIRECT("B"&amp;R93+1&amp;":B210"),0)+R93&amp;"")
+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INDIRECT("H"&amp;R93&amp;"")))),"")</f>
        <v/>
      </c>
      <c r="X93" s="51" t="str">
        <f t="array" aca="1" ref="X93" ca="1">IF($R93&lt;&gt;"",
INDIRECT(""&amp;IF(COLUMN(I93)&lt;=26,CHAR(COLUMN(I93)+64),CHAR(INT((COLUMN(I93)-1)/26)+64)&amp;CHAR(MOD(COLUMN(I93)-1,26)+65))&amp;$R93&amp;""),"")</f>
        <v/>
      </c>
      <c r="Y93" s="51" t="str">
        <f t="array" aca="1" ref="Y93" ca="1">IF($R93&lt;&gt;"",
INDIRECT(""&amp;IF(COLUMN(J93)&lt;=26,CHAR(COLUMN(J93)+64),CHAR(INT((COLUMN(J93)-1)/26)+64)&amp;CHAR(MOD(COLUMN(J93)-1,26)+65))&amp;$R93&amp;""),"")</f>
        <v/>
      </c>
      <c r="Z93" s="51" t="str">
        <f t="shared" ca="1" si="25"/>
        <v/>
      </c>
      <c r="AA93" s="51" t="str">
        <f t="shared" ca="1" si="26"/>
        <v/>
      </c>
      <c r="AB93" s="51" t="str">
        <f t="array" aca="1" ref="AB93" ca="1">IF($R93&lt;&gt;"",
IF(AND(COUNTIF(INDIRECT("B"&amp;R93&amp;""),"*雙葉*"),COUNTIF(B:B,"*雙葉*")&gt;=2),
INDIRECT("M"&amp;R93&amp;"")+INDIRECT("M"&amp;MATCH("雙葉'",INDIRECT("B"&amp;R93+1&amp;":B210"),0)+R93&amp;""),
IF(AND(LEFT(INDIRECT("B"&amp;R93&amp;""),2)="博多",COUNTIF(B:B,"*博多*")&gt;=2),
INDIRECT("M"&amp;R93&amp;"")+INDIRECT("M"&amp;MATCH("*"&amp;INDIRECT("B"&amp;R93&amp;"")&amp;"*",INDIRECT("B"&amp;R93+1&amp;":B210"),0)+R93&amp;""),
IF(AND(LEFT(INDIRECT("B"&amp;R93&amp;""),3)="奈良屋",COUNTIF(B:B,"*奈良屋*")&gt;=2),
INDIRECT("M"&amp;R93&amp;"")+INDIRECT("M"&amp;MATCH("*"&amp;INDIRECT("B"&amp;R93&amp;"")&amp;"*",INDIRECT("B"&amp;R93+1&amp;":B210"),0)+R93&amp;"")
+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INDIRECT("M"&amp;R93&amp;"")))),"")</f>
        <v/>
      </c>
      <c r="AC93" s="51" t="str">
        <f t="shared" ca="1" si="27"/>
        <v/>
      </c>
      <c r="AD93" s="51" t="str">
        <f t="shared" ca="1" si="28"/>
        <v/>
      </c>
      <c r="AE93" s="51" t="str">
        <f t="shared" ca="1" si="29"/>
        <v/>
      </c>
      <c r="AF93" s="51" t="str">
        <f t="shared" ca="1" si="30"/>
        <v/>
      </c>
      <c r="AG93" s="51" t="str">
        <f t="shared" ca="1" si="31"/>
        <v/>
      </c>
      <c r="AH93" s="191" t="str">
        <f t="shared" ca="1" si="32"/>
        <v/>
      </c>
      <c r="AI93" s="51" t="str">
        <f t="shared" ca="1" si="33"/>
        <v/>
      </c>
      <c r="AJ93" s="51" t="str">
        <f t="shared" ca="1" si="34"/>
        <v/>
      </c>
      <c r="AK93" s="51" t="str">
        <f t="shared" ca="1" si="35"/>
        <v/>
      </c>
      <c r="AL93" s="51" t="str">
        <f t="shared" ca="1" si="36"/>
        <v/>
      </c>
      <c r="AM93" s="51" t="str">
        <f t="shared" ca="1" si="37"/>
        <v/>
      </c>
      <c r="AN93" s="51" t="str">
        <f t="shared" ca="1" si="38"/>
        <v/>
      </c>
      <c r="AO93" s="51" t="str">
        <f t="shared" ca="1" si="39"/>
        <v/>
      </c>
      <c r="AP93" s="51" t="str">
        <f t="shared" ca="1" si="40"/>
        <v/>
      </c>
      <c r="AU93" s="51" t="str">
        <f t="shared" ca="1" si="41"/>
        <v/>
      </c>
    </row>
    <row r="94" spans="1:47" ht="22.2" customHeight="1">
      <c r="A94" s="179">
        <f t="shared" si="45"/>
        <v>53</v>
      </c>
      <c r="B94" s="180" t="str">
        <f t="shared" ca="1" si="43"/>
        <v/>
      </c>
      <c r="C94" s="180" t="str">
        <f>IF(OR(クライアント抽出!C24&lt;&gt;"",クライアント抽出!F24&lt;&gt;""),クライアント抽出!A24,"")</f>
        <v/>
      </c>
      <c r="D94" s="180" t="str">
        <f t="array" aca="1" ref="D94" ca="1">IF(C94&lt;&gt;"",INDIRECT("クライアント抽出!"&amp;E94&amp;MATCH(C94,クライアント抽出!A:A,0)&amp;""),"")</f>
        <v/>
      </c>
      <c r="E94" s="180" t="str">
        <f>IF(H94&lt;&gt;0,
IFERROR(
SUBSTITUTE(ADDRESS(1,
MATCH(VALUE(H94),クライアント抽出!A24:G24,0)+8,4),"1",""),
""),
IFERROR(
SUBSTITUTE(ADDRESS(1,
MATCH(VALUE(I94),クライアント抽出!A24:G24,0)+8,4),"1",""),
""))</f>
        <v/>
      </c>
      <c r="F94" s="181" t="str">
        <f ca="1">IF(D94&lt;&gt;"",
IF(COUNTIF(C94,"*雙葉*"),
IF(ROUND((H94-M94)
/IF(COUNTIF(D94,"*キャラ*"),
VLOOKUP("*キャラ*",商品マスタ一覧!$D:$E,2,FALSE),
IF(COUNTIF(D94,"*赤*"),
VLOOKUP("*赤*",商品マスタ一覧!$D:$E,2,FALSE),
VLOOKUP("*"&amp;D94&amp;"*",商品マスタ一覧!$D:$E,2,FALSE))),0)&lt;=0,1,
ROUND((H94-M94)
/IF(COUNTIF(D94,"*キャラ*"),
VLOOKUP("*キャラ*",商品マスタ一覧!$D:$E,2,FALSE),
IF(COUNTIF(D94,"*赤*"),
VLOOKUP("*赤*",商品マスタ一覧!$D:$E,2,FALSE),
VLOOKUP("*"&amp;D94&amp;"*",商品マスタ一覧!$D:$E,2,FALSE))),0)),
IF(OR(COUNTIF(D94,"*キャラ*"),COUNTIF(D94,"*赤*")),"",
IF(VLOOKUP("*"&amp;D94&amp;"*",商品マスタ一覧!$D:$E,2,FALSE)=0,"",
IF(ROUND((H94-M94)
/VLOOKUP("*"&amp;D94&amp;"*",商品マスタ一覧!$D:$E,2,FALSE),0)&lt;=0,1,
ROUND((H94-M94)
/VLOOKUP("*"&amp;D94&amp;"*",商品マスタ一覧!$D:$E,2,FALSE),0))))),"")</f>
        <v/>
      </c>
      <c r="G94" s="180" t="str">
        <f ca="1">IF(F94&lt;&gt;"",
IF(VALUE(H94-M94)&gt;VALUE(IF(COUNTIF(D94,"*キャラ*"),
VLOOKUP("*キャラ*",商品マスタ一覧!$D:$E,2,FALSE),
IF(COUNTIF(D94,"*赤*"),
VLOOKUP("*赤*",商品マスタ一覧!$D:$E,2,FALSE),
VLOOKUP("*"&amp;D94&amp;"*",商品マスタ一覧!$D:$E,2,FALSE)))*F94),
"+"&amp;(H94-M94)-IF(COUNTIF(D94,"*キャラ*"),
VLOOKUP("*キャラ*",商品マスタ一覧!$D:$E,2,FALSE),
IF(COUNTIF(D94,"*赤*"),
VLOOKUP("*赤*",商品マスタ一覧!$D:$E,2,FALSE),
VLOOKUP("*"&amp;D94&amp;"*",商品マスタ一覧!$D:$E,2,FALSE)))*F94,
(H94-M94)-IF(COUNTIF(D94,"*キャラ*"),
VLOOKUP("*キャラ*",商品マスタ一覧!$D:$E,2,FALSE),
IF(COUNTIF(D94,"*赤*"),
VLOOKUP("*赤*",商品マスタ一覧!$D:$E,2,FALSE),
VLOOKUP("*"&amp;D94&amp;"*",商品マスタ一覧!$D:$E,2,FALSE)))*F94),"")</f>
        <v/>
      </c>
      <c r="H94" s="182" t="str">
        <f>IF(C94&lt;&gt;"",
クライアント抽出!C24,"")</f>
        <v/>
      </c>
      <c r="I94" s="180" t="str">
        <f t="array" aca="1" ref="I94" ca="1">IF(C94&lt;&gt;"",
IF(O94=1,
IF(SUMPRODUCT(COUNTIF(クライアント抽出!P24:U24,クライアント抽出!P24:U24))&gt;COUNTA(クライアント抽出!P24:U24),
INDIRECT("数出表_Excel!"&amp;INDEX(_xlfn.UNIQUE(_xlfn._xlws.FILTER(クライアント抽出!P24:U24,COUNTIF(クライアント抽出!P24:U24,クライアント抽出!P24:U24)=1)),1)&amp;L94&amp;""),
0),クライアント抽出!F24),"")</f>
        <v/>
      </c>
      <c r="J94" s="180" t="str">
        <f>IF(C94&lt;&gt;"",
VLOOKUP(
"*"&amp;LEFT(IF(COUNTIF(D94,"*学食*"),"キャラ弁（学食）",
IF(COUNTIF(D94,"*赤*"),"赤",
IF(COUNTIF(D94,"*キャラ弁当*"),"キャラ弁当",D94))),4)&amp;"*",注文弁当の抽出!$E$1:$F$15,2,FALSE),"")</f>
        <v/>
      </c>
      <c r="K94" s="180" t="str">
        <f ca="1">IF(クライアント抽出!Q24&lt;&gt;"",SUBSTITUTE(ADDRESS(1,(CODE(クライアント抽出!Q24)-64)*2-1,4),"1",""),"")</f>
        <v/>
      </c>
      <c r="L94" s="180" t="str">
        <f>IF(C24&lt;&gt;"",クライアント抽出!I24,"")</f>
        <v/>
      </c>
      <c r="M94" s="180">
        <f t="array" aca="1" ref="M94" ca="1">IF(C94&lt;&gt;"",
IF(K94&lt;&gt;"",INDIRECT("'数出表_Excel（アレルギー入力）'!"&amp;K94&amp;L94-1&amp;""),),)</f>
        <v>0</v>
      </c>
      <c r="N94" s="180" t="str">
        <f>IF(C94&lt;&gt;"",IF(OR(COUNTIF('盛付札（関数）'!D94,"*赤*"),COUNTIF('盛付札（関数）'!D94,"*キャラ*")),1,
VLOOKUP("*"&amp;D94&amp;"*",商品マスタ一覧!D:H,5,FALSE)),"")</f>
        <v/>
      </c>
      <c r="O94" s="180">
        <f t="shared" ca="1" si="44"/>
        <v>0</v>
      </c>
      <c r="P94" s="180">
        <f t="shared" si="23"/>
        <v>0</v>
      </c>
      <c r="Q94" s="180" t="b">
        <f t="shared" si="24"/>
        <v>0</v>
      </c>
      <c r="R94" s="51" t="str">
        <f t="array" aca="1" ref="R94" ca="1">IFERROR(SMALL(IF(P$1:P$307&lt;&gt;0,P$1:P$307),ROW(A94)),"")</f>
        <v/>
      </c>
      <c r="S94" s="51" t="str">
        <f t="array" aca="1" ref="S94" ca="1">IF($R94&lt;&gt;"",
SUBSTITUTE(SUBSTITUTE(INDIRECT("C"&amp;$R94&amp;"")," 週3ｺｰｽ","")," 週5ｺｰｽ",""),"")</f>
        <v/>
      </c>
      <c r="T94" s="51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91" t="str">
        <f t="array" aca="1" ref="U94" ca="1">IF($R94&lt;&gt;"",
INDIRECT("F"&amp;$R94&amp;""),"")</f>
        <v/>
      </c>
      <c r="V94" s="51" t="str">
        <f t="array" aca="1" ref="V94" ca="1">IF($R94&lt;&gt;"",
INDIRECT("G"&amp;$R94&amp;""),"")</f>
        <v/>
      </c>
      <c r="W94" s="51" t="str">
        <f t="array" aca="1" ref="W94" ca="1">IF($R94&lt;&gt;"",
IF(AND(COUNTIF(INDIRECT("B"&amp;R94&amp;""),"*雙葉*"),COUNTIF(B:B,"*雙葉*")&gt;=2),
IF(OR(COUNTIF(INDIRECT("B"&amp;R94&amp;""),"*雙葉先生*"),COUNTIF($B$1:$B$70,"*雙葉*")&gt;=2),INDIRECT("H"&amp;R94&amp;""),INDIRECT("H"&amp;R94&amp;"")+INDIRECT("H"&amp;MATCH("雙葉'",INDIRECT("B"&amp;R94+3&amp;":B210"),0)+2+R94&amp;"")),
IF(AND(LEFT(INDIRECT("B"&amp;R94&amp;""),2)="博多",COUNTIF(B:B,"*博多*")&gt;=2),
INDIRECT("H"&amp;R94&amp;"")+INDIRECT("H"&amp;MATCH("*"&amp;INDIRECT("B"&amp;R94&amp;"")&amp;"*",INDIRECT("B"&amp;R94+1&amp;":B210"),0)+R94&amp;""),
IF(AND(LEFT(INDIRECT("B"&amp;R94&amp;""),3)="奈良屋",COUNTIF(B:B,"*奈良屋*")&gt;=2),
INDIRECT("H"&amp;R94&amp;"")+INDIRECT("H"&amp;MATCH("*"&amp;INDIRECT("B"&amp;R94&amp;"")&amp;"*",INDIRECT("B"&amp;R94+1&amp;":B210"),0)+R94&amp;"")
+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INDIRECT("H"&amp;R94&amp;"")))),"")</f>
        <v/>
      </c>
      <c r="X94" s="51" t="str">
        <f t="array" aca="1" ref="X94" ca="1">IF($R94&lt;&gt;"",
INDIRECT(""&amp;IF(COLUMN(I94)&lt;=26,CHAR(COLUMN(I94)+64),CHAR(INT((COLUMN(I94)-1)/26)+64)&amp;CHAR(MOD(COLUMN(I94)-1,26)+65))&amp;$R94&amp;""),"")</f>
        <v/>
      </c>
      <c r="Y94" s="51" t="str">
        <f t="array" aca="1" ref="Y94" ca="1">IF($R94&lt;&gt;"",
INDIRECT(""&amp;IF(COLUMN(J94)&lt;=26,CHAR(COLUMN(J94)+64),CHAR(INT((COLUMN(J94)-1)/26)+64)&amp;CHAR(MOD(COLUMN(J94)-1,26)+65))&amp;$R94&amp;""),"")</f>
        <v/>
      </c>
      <c r="Z94" s="51" t="str">
        <f t="shared" ca="1" si="25"/>
        <v/>
      </c>
      <c r="AA94" s="51" t="str">
        <f t="shared" ca="1" si="26"/>
        <v/>
      </c>
      <c r="AB94" s="51" t="str">
        <f t="array" aca="1" ref="AB94" ca="1">IF($R94&lt;&gt;"",
IF(AND(COUNTIF(INDIRECT("B"&amp;R94&amp;""),"*雙葉*"),COUNTIF(B:B,"*雙葉*")&gt;=2),
INDIRECT("M"&amp;R94&amp;"")+INDIRECT("M"&amp;MATCH("雙葉'",INDIRECT("B"&amp;R94+1&amp;":B210"),0)+R94&amp;""),
IF(AND(LEFT(INDIRECT("B"&amp;R94&amp;""),2)="博多",COUNTIF(B:B,"*博多*")&gt;=2),
INDIRECT("M"&amp;R94&amp;"")+INDIRECT("M"&amp;MATCH("*"&amp;INDIRECT("B"&amp;R94&amp;"")&amp;"*",INDIRECT("B"&amp;R94+1&amp;":B210"),0)+R94&amp;""),
IF(AND(LEFT(INDIRECT("B"&amp;R94&amp;""),3)="奈良屋",COUNTIF(B:B,"*奈良屋*")&gt;=2),
INDIRECT("M"&amp;R94&amp;"")+INDIRECT("M"&amp;MATCH("*"&amp;INDIRECT("B"&amp;R94&amp;"")&amp;"*",INDIRECT("B"&amp;R94+1&amp;":B210"),0)+R94&amp;"")
+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INDIRECT("M"&amp;R94&amp;"")))),"")</f>
        <v/>
      </c>
      <c r="AC94" s="51" t="str">
        <f t="shared" ca="1" si="27"/>
        <v/>
      </c>
      <c r="AD94" s="51" t="str">
        <f t="shared" ca="1" si="28"/>
        <v/>
      </c>
      <c r="AE94" s="51" t="str">
        <f t="shared" ca="1" si="29"/>
        <v/>
      </c>
      <c r="AF94" s="51" t="str">
        <f t="shared" ca="1" si="30"/>
        <v/>
      </c>
      <c r="AG94" s="51" t="str">
        <f t="shared" ca="1" si="31"/>
        <v/>
      </c>
      <c r="AH94" s="191" t="str">
        <f t="shared" ca="1" si="32"/>
        <v/>
      </c>
      <c r="AI94" s="51" t="str">
        <f t="shared" ca="1" si="33"/>
        <v/>
      </c>
      <c r="AJ94" s="51" t="str">
        <f t="shared" ca="1" si="34"/>
        <v/>
      </c>
      <c r="AK94" s="51" t="str">
        <f t="shared" ca="1" si="35"/>
        <v/>
      </c>
      <c r="AL94" s="51" t="str">
        <f t="shared" ca="1" si="36"/>
        <v/>
      </c>
      <c r="AM94" s="51" t="str">
        <f t="shared" ca="1" si="37"/>
        <v/>
      </c>
      <c r="AN94" s="51" t="str">
        <f t="shared" ca="1" si="38"/>
        <v/>
      </c>
      <c r="AO94" s="51" t="str">
        <f t="shared" ca="1" si="39"/>
        <v/>
      </c>
      <c r="AP94" s="51" t="str">
        <f t="shared" ca="1" si="40"/>
        <v/>
      </c>
      <c r="AU94" s="51" t="str">
        <f t="shared" ca="1" si="41"/>
        <v/>
      </c>
    </row>
    <row r="95" spans="1:47" ht="22.2" customHeight="1">
      <c r="A95" s="179">
        <f t="shared" si="45"/>
        <v>55</v>
      </c>
      <c r="B95" s="180" t="str">
        <f t="shared" ca="1" si="43"/>
        <v/>
      </c>
      <c r="C95" s="180" t="str">
        <f>IF(OR(クライアント抽出!C25&lt;&gt;"",クライアント抽出!F25&lt;&gt;""),クライアント抽出!A25,"")</f>
        <v/>
      </c>
      <c r="D95" s="180" t="str">
        <f t="array" aca="1" ref="D95" ca="1">IF(C95&lt;&gt;"",INDIRECT("クライアント抽出!"&amp;E95&amp;MATCH(C95,クライアント抽出!A:A,0)&amp;""),"")</f>
        <v/>
      </c>
      <c r="E95" s="180" t="str">
        <f>IF(H95&lt;&gt;0,
IFERROR(
SUBSTITUTE(ADDRESS(1,
MATCH(VALUE(H95),クライアント抽出!A25:G25,0)+8,4),"1",""),
""),
IFERROR(
SUBSTITUTE(ADDRESS(1,
MATCH(VALUE(I95),クライアント抽出!A25:G25,0)+8,4),"1",""),
""))</f>
        <v/>
      </c>
      <c r="F95" s="181" t="str">
        <f ca="1">IF(D95&lt;&gt;"",
IF(COUNTIF(C95,"*雙葉*"),
IF(ROUND((H95-M95)
/IF(COUNTIF(D95,"*キャラ*"),
VLOOKUP("*キャラ*",商品マスタ一覧!$D:$E,2,FALSE),
IF(COUNTIF(D95,"*赤*"),
VLOOKUP("*赤*",商品マスタ一覧!$D:$E,2,FALSE),
VLOOKUP("*"&amp;D95&amp;"*",商品マスタ一覧!$D:$E,2,FALSE))),0)&lt;=0,1,
ROUND((H95-M95)
/IF(COUNTIF(D95,"*キャラ*"),
VLOOKUP("*キャラ*",商品マスタ一覧!$D:$E,2,FALSE),
IF(COUNTIF(D95,"*赤*"),
VLOOKUP("*赤*",商品マスタ一覧!$D:$E,2,FALSE),
VLOOKUP("*"&amp;D95&amp;"*",商品マスタ一覧!$D:$E,2,FALSE))),0)),
IF(OR(COUNTIF(D95,"*キャラ*"),COUNTIF(D95,"*赤*")),"",
IF(VLOOKUP("*"&amp;D95&amp;"*",商品マスタ一覧!$D:$E,2,FALSE)=0,"",
IF(ROUND((H95-M95)
/VLOOKUP("*"&amp;D95&amp;"*",商品マスタ一覧!$D:$E,2,FALSE),0)&lt;=0,1,
ROUND((H95-M95)
/VLOOKUP("*"&amp;D95&amp;"*",商品マスタ一覧!$D:$E,2,FALSE),0))))),"")</f>
        <v/>
      </c>
      <c r="G95" s="180" t="str">
        <f ca="1">IF(F95&lt;&gt;"",
IF(VALUE(H95-M95)&gt;VALUE(IF(COUNTIF(D95,"*キャラ*"),
VLOOKUP("*キャラ*",商品マスタ一覧!$D:$E,2,FALSE),
IF(COUNTIF(D95,"*赤*"),
VLOOKUP("*赤*",商品マスタ一覧!$D:$E,2,FALSE),
VLOOKUP("*"&amp;D95&amp;"*",商品マスタ一覧!$D:$E,2,FALSE)))*F95),
"+"&amp;(H95-M95)-IF(COUNTIF(D95,"*キャラ*"),
VLOOKUP("*キャラ*",商品マスタ一覧!$D:$E,2,FALSE),
IF(COUNTIF(D95,"*赤*"),
VLOOKUP("*赤*",商品マスタ一覧!$D:$E,2,FALSE),
VLOOKUP("*"&amp;D95&amp;"*",商品マスタ一覧!$D:$E,2,FALSE)))*F95,
(H95-M95)-IF(COUNTIF(D95,"*キャラ*"),
VLOOKUP("*キャラ*",商品マスタ一覧!$D:$E,2,FALSE),
IF(COUNTIF(D95,"*赤*"),
VLOOKUP("*赤*",商品マスタ一覧!$D:$E,2,FALSE),
VLOOKUP("*"&amp;D95&amp;"*",商品マスタ一覧!$D:$E,2,FALSE)))*F95),"")</f>
        <v/>
      </c>
      <c r="H95" s="182" t="str">
        <f>IF(C95&lt;&gt;"",
クライアント抽出!C25,"")</f>
        <v/>
      </c>
      <c r="I95" s="180" t="str">
        <f t="array" aca="1" ref="I95" ca="1">IF(C95&lt;&gt;"",
IF(O95=1,
IF(SUMPRODUCT(COUNTIF(クライアント抽出!P25:U25,クライアント抽出!P25:U25))&gt;COUNTA(クライアント抽出!P25:U25),
INDIRECT("数出表_Excel!"&amp;INDEX(_xlfn.UNIQUE(_xlfn._xlws.FILTER(クライアント抽出!P25:U25,COUNTIF(クライアント抽出!P25:U25,クライアント抽出!P25:U25)=1)),1)&amp;L95&amp;""),
0),クライアント抽出!F25),"")</f>
        <v/>
      </c>
      <c r="J95" s="180" t="str">
        <f>IF(C95&lt;&gt;"",
VLOOKUP(
"*"&amp;LEFT(IF(COUNTIF(D95,"*学食*"),"キャラ弁（学食）",
IF(COUNTIF(D95,"*赤*"),"赤",
IF(COUNTIF(D95,"*キャラ弁当*"),"キャラ弁当",D95))),4)&amp;"*",注文弁当の抽出!$E$1:$F$15,2,FALSE),"")</f>
        <v/>
      </c>
      <c r="K95" s="180" t="str">
        <f ca="1">IF(クライアント抽出!Q25&lt;&gt;"",SUBSTITUTE(ADDRESS(1,(CODE(クライアント抽出!Q25)-64)*2-1,4),"1",""),"")</f>
        <v/>
      </c>
      <c r="L95" s="180" t="str">
        <f>IF(C25&lt;&gt;"",クライアント抽出!I25,"")</f>
        <v/>
      </c>
      <c r="M95" s="180">
        <f t="array" aca="1" ref="M95" ca="1">IF(C95&lt;&gt;"",
IF(K95&lt;&gt;"",INDIRECT("'数出表_Excel（アレルギー入力）'!"&amp;K95&amp;L95-1&amp;""),),)</f>
        <v>0</v>
      </c>
      <c r="N95" s="180" t="str">
        <f>IF(C95&lt;&gt;"",IF(OR(COUNTIF('盛付札（関数）'!D95,"*赤*"),COUNTIF('盛付札（関数）'!D95,"*キャラ*")),1,
VLOOKUP("*"&amp;D95&amp;"*",商品マスタ一覧!D:H,5,FALSE)),"")</f>
        <v/>
      </c>
      <c r="O95" s="180">
        <f t="shared" ca="1" si="44"/>
        <v>0</v>
      </c>
      <c r="P95" s="180">
        <f t="shared" si="23"/>
        <v>0</v>
      </c>
      <c r="Q95" s="180" t="b">
        <f t="shared" si="24"/>
        <v>0</v>
      </c>
      <c r="R95" s="51" t="str">
        <f t="array" aca="1" ref="R95" ca="1">IFERROR(SMALL(IF(P$1:P$307&lt;&gt;0,P$1:P$307),ROW(A95)),"")</f>
        <v/>
      </c>
      <c r="S95" s="51" t="str">
        <f t="array" aca="1" ref="S95" ca="1">IF($R95&lt;&gt;"",
SUBSTITUTE(SUBSTITUTE(INDIRECT("C"&amp;$R95&amp;"")," 週3ｺｰｽ","")," 週5ｺｰｽ",""),"")</f>
        <v/>
      </c>
      <c r="T95" s="51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91" t="str">
        <f t="array" aca="1" ref="U95" ca="1">IF($R95&lt;&gt;"",
INDIRECT("F"&amp;$R95&amp;""),"")</f>
        <v/>
      </c>
      <c r="V95" s="51" t="str">
        <f t="array" aca="1" ref="V95" ca="1">IF($R95&lt;&gt;"",
INDIRECT("G"&amp;$R95&amp;""),"")</f>
        <v/>
      </c>
      <c r="W95" s="51" t="str">
        <f t="array" aca="1" ref="W95" ca="1">IF($R95&lt;&gt;"",
IF(AND(COUNTIF(INDIRECT("B"&amp;R95&amp;""),"*雙葉*"),COUNTIF(B:B,"*雙葉*")&gt;=2),
IF(OR(COUNTIF(INDIRECT("B"&amp;R95&amp;""),"*雙葉先生*"),COUNTIF($B$1:$B$70,"*雙葉*")&gt;=2),INDIRECT("H"&amp;R95&amp;""),INDIRECT("H"&amp;R95&amp;"")+INDIRECT("H"&amp;MATCH("雙葉'",INDIRECT("B"&amp;R95+3&amp;":B210"),0)+2+R95&amp;"")),
IF(AND(LEFT(INDIRECT("B"&amp;R95&amp;""),2)="博多",COUNTIF(B:B,"*博多*")&gt;=2),
INDIRECT("H"&amp;R95&amp;"")+INDIRECT("H"&amp;MATCH("*"&amp;INDIRECT("B"&amp;R95&amp;"")&amp;"*",INDIRECT("B"&amp;R95+1&amp;":B210"),0)+R95&amp;""),
IF(AND(LEFT(INDIRECT("B"&amp;R95&amp;""),3)="奈良屋",COUNTIF(B:B,"*奈良屋*")&gt;=2),
INDIRECT("H"&amp;R95&amp;"")+INDIRECT("H"&amp;MATCH("*"&amp;INDIRECT("B"&amp;R95&amp;"")&amp;"*",INDIRECT("B"&amp;R95+1&amp;":B210"),0)+R95&amp;"")
+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INDIRECT("H"&amp;R95&amp;"")))),"")</f>
        <v/>
      </c>
      <c r="X95" s="51" t="str">
        <f t="array" aca="1" ref="X95" ca="1">IF($R95&lt;&gt;"",
INDIRECT(""&amp;IF(COLUMN(I95)&lt;=26,CHAR(COLUMN(I95)+64),CHAR(INT((COLUMN(I95)-1)/26)+64)&amp;CHAR(MOD(COLUMN(I95)-1,26)+65))&amp;$R95&amp;""),"")</f>
        <v/>
      </c>
      <c r="Y95" s="51" t="str">
        <f t="array" aca="1" ref="Y95" ca="1">IF($R95&lt;&gt;"",
INDIRECT(""&amp;IF(COLUMN(J95)&lt;=26,CHAR(COLUMN(J95)+64),CHAR(INT((COLUMN(J95)-1)/26)+64)&amp;CHAR(MOD(COLUMN(J95)-1,26)+65))&amp;$R95&amp;""),"")</f>
        <v/>
      </c>
      <c r="Z95" s="51" t="str">
        <f t="shared" ca="1" si="25"/>
        <v/>
      </c>
      <c r="AA95" s="51" t="str">
        <f t="shared" ca="1" si="26"/>
        <v/>
      </c>
      <c r="AB95" s="51" t="str">
        <f t="array" aca="1" ref="AB95" ca="1">IF($R95&lt;&gt;"",
IF(AND(COUNTIF(INDIRECT("B"&amp;R95&amp;""),"*雙葉*"),COUNTIF(B:B,"*雙葉*")&gt;=2),
INDIRECT("M"&amp;R95&amp;"")+INDIRECT("M"&amp;MATCH("雙葉'",INDIRECT("B"&amp;R95+1&amp;":B210"),0)+R95&amp;""),
IF(AND(LEFT(INDIRECT("B"&amp;R95&amp;""),2)="博多",COUNTIF(B:B,"*博多*")&gt;=2),
INDIRECT("M"&amp;R95&amp;"")+INDIRECT("M"&amp;MATCH("*"&amp;INDIRECT("B"&amp;R95&amp;"")&amp;"*",INDIRECT("B"&amp;R95+1&amp;":B210"),0)+R95&amp;""),
IF(AND(LEFT(INDIRECT("B"&amp;R95&amp;""),3)="奈良屋",COUNTIF(B:B,"*奈良屋*")&gt;=2),
INDIRECT("M"&amp;R95&amp;"")+INDIRECT("M"&amp;MATCH("*"&amp;INDIRECT("B"&amp;R95&amp;"")&amp;"*",INDIRECT("B"&amp;R95+1&amp;":B210"),0)+R95&amp;"")
+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INDIRECT("M"&amp;R95&amp;"")))),"")</f>
        <v/>
      </c>
      <c r="AC95" s="51" t="str">
        <f t="shared" ca="1" si="27"/>
        <v/>
      </c>
      <c r="AD95" s="51" t="str">
        <f t="shared" ca="1" si="28"/>
        <v/>
      </c>
      <c r="AE95" s="51" t="str">
        <f t="shared" ca="1" si="29"/>
        <v/>
      </c>
      <c r="AF95" s="51" t="str">
        <f t="shared" ca="1" si="30"/>
        <v/>
      </c>
      <c r="AG95" s="51" t="str">
        <f t="shared" ca="1" si="31"/>
        <v/>
      </c>
      <c r="AH95" s="191" t="str">
        <f t="shared" ca="1" si="32"/>
        <v/>
      </c>
      <c r="AI95" s="51" t="str">
        <f t="shared" ca="1" si="33"/>
        <v/>
      </c>
      <c r="AJ95" s="51" t="str">
        <f t="shared" ca="1" si="34"/>
        <v/>
      </c>
      <c r="AK95" s="51" t="str">
        <f t="shared" ca="1" si="35"/>
        <v/>
      </c>
      <c r="AL95" s="51" t="str">
        <f t="shared" ca="1" si="36"/>
        <v/>
      </c>
      <c r="AM95" s="51" t="str">
        <f t="shared" ca="1" si="37"/>
        <v/>
      </c>
      <c r="AN95" s="51" t="str">
        <f t="shared" ca="1" si="38"/>
        <v/>
      </c>
      <c r="AO95" s="51" t="str">
        <f t="shared" ca="1" si="39"/>
        <v/>
      </c>
      <c r="AP95" s="51" t="str">
        <f t="shared" ca="1" si="40"/>
        <v/>
      </c>
      <c r="AU95" s="51" t="str">
        <f t="shared" ca="1" si="41"/>
        <v/>
      </c>
    </row>
    <row r="96" spans="1:47" ht="22.2" customHeight="1">
      <c r="A96" s="179">
        <f t="shared" si="45"/>
        <v>57</v>
      </c>
      <c r="B96" s="180" t="str">
        <f t="shared" ca="1" si="43"/>
        <v/>
      </c>
      <c r="C96" s="180" t="str">
        <f>IF(OR(クライアント抽出!C26&lt;&gt;"",クライアント抽出!F26&lt;&gt;""),クライアント抽出!A26,"")</f>
        <v/>
      </c>
      <c r="D96" s="180" t="str">
        <f t="array" aca="1" ref="D96" ca="1">IF(C96&lt;&gt;"",INDIRECT("クライアント抽出!"&amp;E96&amp;MATCH(C96,クライアント抽出!A:A,0)&amp;""),"")</f>
        <v/>
      </c>
      <c r="E96" s="180" t="str">
        <f>IF(H96&lt;&gt;0,
IFERROR(
SUBSTITUTE(ADDRESS(1,
MATCH(VALUE(H96),クライアント抽出!A26:G26,0)+8,4),"1",""),
""),
IFERROR(
SUBSTITUTE(ADDRESS(1,
MATCH(VALUE(I96),クライアント抽出!A26:G26,0)+8,4),"1",""),
""))</f>
        <v/>
      </c>
      <c r="F96" s="181" t="str">
        <f ca="1">IF(D96&lt;&gt;"",
IF(COUNTIF(C96,"*雙葉*"),
IF(ROUND((H96-M96)
/IF(COUNTIF(D96,"*キャラ*"),
VLOOKUP("*キャラ*",商品マスタ一覧!$D:$E,2,FALSE),
IF(COUNTIF(D96,"*赤*"),
VLOOKUP("*赤*",商品マスタ一覧!$D:$E,2,FALSE),
VLOOKUP("*"&amp;D96&amp;"*",商品マスタ一覧!$D:$E,2,FALSE))),0)&lt;=0,1,
ROUND((H96-M96)
/IF(COUNTIF(D96,"*キャラ*"),
VLOOKUP("*キャラ*",商品マスタ一覧!$D:$E,2,FALSE),
IF(COUNTIF(D96,"*赤*"),
VLOOKUP("*赤*",商品マスタ一覧!$D:$E,2,FALSE),
VLOOKUP("*"&amp;D96&amp;"*",商品マスタ一覧!$D:$E,2,FALSE))),0)),
IF(OR(COUNTIF(D96,"*キャラ*"),COUNTIF(D96,"*赤*")),"",
IF(VLOOKUP("*"&amp;D96&amp;"*",商品マスタ一覧!$D:$E,2,FALSE)=0,"",
IF(ROUND((H96-M96)
/VLOOKUP("*"&amp;D96&amp;"*",商品マスタ一覧!$D:$E,2,FALSE),0)&lt;=0,1,
ROUND((H96-M96)
/VLOOKUP("*"&amp;D96&amp;"*",商品マスタ一覧!$D:$E,2,FALSE),0))))),"")</f>
        <v/>
      </c>
      <c r="G96" s="180" t="str">
        <f ca="1">IF(F96&lt;&gt;"",
IF(VALUE(H96-M96)&gt;VALUE(IF(COUNTIF(D96,"*キャラ*"),
VLOOKUP("*キャラ*",商品マスタ一覧!$D:$E,2,FALSE),
IF(COUNTIF(D96,"*赤*"),
VLOOKUP("*赤*",商品マスタ一覧!$D:$E,2,FALSE),
VLOOKUP("*"&amp;D96&amp;"*",商品マスタ一覧!$D:$E,2,FALSE)))*F96),
"+"&amp;(H96-M96)-IF(COUNTIF(D96,"*キャラ*"),
VLOOKUP("*キャラ*",商品マスタ一覧!$D:$E,2,FALSE),
IF(COUNTIF(D96,"*赤*"),
VLOOKUP("*赤*",商品マスタ一覧!$D:$E,2,FALSE),
VLOOKUP("*"&amp;D96&amp;"*",商品マスタ一覧!$D:$E,2,FALSE)))*F96,
(H96-M96)-IF(COUNTIF(D96,"*キャラ*"),
VLOOKUP("*キャラ*",商品マスタ一覧!$D:$E,2,FALSE),
IF(COUNTIF(D96,"*赤*"),
VLOOKUP("*赤*",商品マスタ一覧!$D:$E,2,FALSE),
VLOOKUP("*"&amp;D96&amp;"*",商品マスタ一覧!$D:$E,2,FALSE)))*F96),"")</f>
        <v/>
      </c>
      <c r="H96" s="182" t="str">
        <f>IF(C96&lt;&gt;"",
クライアント抽出!C26,"")</f>
        <v/>
      </c>
      <c r="I96" s="180" t="str">
        <f t="array" aca="1" ref="I96" ca="1">IF(C96&lt;&gt;"",
IF(O96=1,
IF(SUMPRODUCT(COUNTIF(クライアント抽出!P26:U26,クライアント抽出!P26:U26))&gt;COUNTA(クライアント抽出!P26:U26),
INDIRECT("数出表_Excel!"&amp;INDEX(_xlfn.UNIQUE(_xlfn._xlws.FILTER(クライアント抽出!P26:U26,COUNTIF(クライアント抽出!P26:U26,クライアント抽出!P26:U26)=1)),1)&amp;L96&amp;""),
0),クライアント抽出!F26),"")</f>
        <v/>
      </c>
      <c r="J96" s="180" t="str">
        <f>IF(C96&lt;&gt;"",
VLOOKUP(
"*"&amp;LEFT(IF(COUNTIF(D96,"*学食*"),"キャラ弁（学食）",
IF(COUNTIF(D96,"*赤*"),"赤",
IF(COUNTIF(D96,"*キャラ弁当*"),"キャラ弁当",D96))),4)&amp;"*",注文弁当の抽出!$E$1:$F$15,2,FALSE),"")</f>
        <v/>
      </c>
      <c r="K96" s="180" t="str">
        <f ca="1">IF(クライアント抽出!Q26&lt;&gt;"",SUBSTITUTE(ADDRESS(1,(CODE(クライアント抽出!Q26)-64)*2-1,4),"1",""),"")</f>
        <v/>
      </c>
      <c r="L96" s="180" t="str">
        <f>IF(C26&lt;&gt;"",クライアント抽出!I26,"")</f>
        <v/>
      </c>
      <c r="M96" s="180">
        <f t="array" aca="1" ref="M96" ca="1">IF(C96&lt;&gt;"",
IF(K96&lt;&gt;"",INDIRECT("'数出表_Excel（アレルギー入力）'!"&amp;K96&amp;L96-1&amp;""),),)</f>
        <v>0</v>
      </c>
      <c r="N96" s="180" t="str">
        <f>IF(C96&lt;&gt;"",IF(OR(COUNTIF('盛付札（関数）'!D96,"*赤*"),COUNTIF('盛付札（関数）'!D96,"*キャラ*")),1,
VLOOKUP("*"&amp;D96&amp;"*",商品マスタ一覧!D:H,5,FALSE)),"")</f>
        <v/>
      </c>
      <c r="O96" s="180">
        <f t="shared" ca="1" si="44"/>
        <v>0</v>
      </c>
      <c r="P96" s="180">
        <f t="shared" si="23"/>
        <v>0</v>
      </c>
      <c r="Q96" s="180" t="b">
        <f t="shared" si="24"/>
        <v>0</v>
      </c>
      <c r="R96" s="51" t="str">
        <f t="array" aca="1" ref="R96" ca="1">IFERROR(SMALL(IF(P$1:P$307&lt;&gt;0,P$1:P$307),ROW(A96)),"")</f>
        <v/>
      </c>
      <c r="S96" s="51" t="str">
        <f t="array" aca="1" ref="S96" ca="1">IF($R96&lt;&gt;"",
SUBSTITUTE(SUBSTITUTE(INDIRECT("C"&amp;$R96&amp;"")," 週3ｺｰｽ","")," 週5ｺｰｽ",""),"")</f>
        <v/>
      </c>
      <c r="T96" s="51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91" t="str">
        <f t="array" aca="1" ref="U96" ca="1">IF($R96&lt;&gt;"",
INDIRECT("F"&amp;$R96&amp;""),"")</f>
        <v/>
      </c>
      <c r="V96" s="51" t="str">
        <f t="array" aca="1" ref="V96" ca="1">IF($R96&lt;&gt;"",
INDIRECT("G"&amp;$R96&amp;""),"")</f>
        <v/>
      </c>
      <c r="W96" s="51" t="str">
        <f t="array" aca="1" ref="W96" ca="1">IF($R96&lt;&gt;"",
IF(AND(COUNTIF(INDIRECT("B"&amp;R96&amp;""),"*雙葉*"),COUNTIF(B:B,"*雙葉*")&gt;=2),
IF(OR(COUNTIF(INDIRECT("B"&amp;R96&amp;""),"*雙葉先生*"),COUNTIF($B$1:$B$70,"*雙葉*")&gt;=2),INDIRECT("H"&amp;R96&amp;""),INDIRECT("H"&amp;R96&amp;"")+INDIRECT("H"&amp;MATCH("雙葉'",INDIRECT("B"&amp;R96+3&amp;":B210"),0)+2+R96&amp;"")),
IF(AND(LEFT(INDIRECT("B"&amp;R96&amp;""),2)="博多",COUNTIF(B:B,"*博多*")&gt;=2),
INDIRECT("H"&amp;R96&amp;"")+INDIRECT("H"&amp;MATCH("*"&amp;INDIRECT("B"&amp;R96&amp;"")&amp;"*",INDIRECT("B"&amp;R96+1&amp;":B210"),0)+R96&amp;""),
IF(AND(LEFT(INDIRECT("B"&amp;R96&amp;""),3)="奈良屋",COUNTIF(B:B,"*奈良屋*")&gt;=2),
INDIRECT("H"&amp;R96&amp;"")+INDIRECT("H"&amp;MATCH("*"&amp;INDIRECT("B"&amp;R96&amp;"")&amp;"*",INDIRECT("B"&amp;R96+1&amp;":B210"),0)+R96&amp;"")
+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INDIRECT("H"&amp;R96&amp;"")))),"")</f>
        <v/>
      </c>
      <c r="X96" s="51" t="str">
        <f t="array" aca="1" ref="X96" ca="1">IF($R96&lt;&gt;"",
INDIRECT(""&amp;IF(COLUMN(I96)&lt;=26,CHAR(COLUMN(I96)+64),CHAR(INT((COLUMN(I96)-1)/26)+64)&amp;CHAR(MOD(COLUMN(I96)-1,26)+65))&amp;$R96&amp;""),"")</f>
        <v/>
      </c>
      <c r="Y96" s="51" t="str">
        <f t="array" aca="1" ref="Y96" ca="1">IF($R96&lt;&gt;"",
INDIRECT(""&amp;IF(COLUMN(J96)&lt;=26,CHAR(COLUMN(J96)+64),CHAR(INT((COLUMN(J96)-1)/26)+64)&amp;CHAR(MOD(COLUMN(J96)-1,26)+65))&amp;$R96&amp;""),"")</f>
        <v/>
      </c>
      <c r="Z96" s="51" t="str">
        <f t="shared" ca="1" si="25"/>
        <v/>
      </c>
      <c r="AA96" s="51" t="str">
        <f t="shared" ca="1" si="26"/>
        <v/>
      </c>
      <c r="AB96" s="51" t="str">
        <f t="array" aca="1" ref="AB96" ca="1">IF($R96&lt;&gt;"",
IF(AND(COUNTIF(INDIRECT("B"&amp;R96&amp;""),"*雙葉*"),COUNTIF(B:B,"*雙葉*")&gt;=2),
INDIRECT("M"&amp;R96&amp;"")+INDIRECT("M"&amp;MATCH("雙葉'",INDIRECT("B"&amp;R96+1&amp;":B210"),0)+R96&amp;""),
IF(AND(LEFT(INDIRECT("B"&amp;R96&amp;""),2)="博多",COUNTIF(B:B,"*博多*")&gt;=2),
INDIRECT("M"&amp;R96&amp;"")+INDIRECT("M"&amp;MATCH("*"&amp;INDIRECT("B"&amp;R96&amp;"")&amp;"*",INDIRECT("B"&amp;R96+1&amp;":B210"),0)+R96&amp;""),
IF(AND(LEFT(INDIRECT("B"&amp;R96&amp;""),3)="奈良屋",COUNTIF(B:B,"*奈良屋*")&gt;=2),
INDIRECT("M"&amp;R96&amp;"")+INDIRECT("M"&amp;MATCH("*"&amp;INDIRECT("B"&amp;R96&amp;"")&amp;"*",INDIRECT("B"&amp;R96+1&amp;":B210"),0)+R96&amp;"")
+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INDIRECT("M"&amp;R96&amp;"")))),"")</f>
        <v/>
      </c>
      <c r="AC96" s="51" t="str">
        <f t="shared" ca="1" si="27"/>
        <v/>
      </c>
      <c r="AD96" s="51" t="str">
        <f t="shared" ca="1" si="28"/>
        <v/>
      </c>
      <c r="AE96" s="51" t="str">
        <f t="shared" ca="1" si="29"/>
        <v/>
      </c>
      <c r="AF96" s="51" t="str">
        <f t="shared" ca="1" si="30"/>
        <v/>
      </c>
      <c r="AG96" s="51" t="str">
        <f t="shared" ca="1" si="31"/>
        <v/>
      </c>
      <c r="AH96" s="191" t="str">
        <f t="shared" ca="1" si="32"/>
        <v/>
      </c>
      <c r="AI96" s="51" t="str">
        <f t="shared" ca="1" si="33"/>
        <v/>
      </c>
      <c r="AJ96" s="51" t="str">
        <f t="shared" ca="1" si="34"/>
        <v/>
      </c>
      <c r="AK96" s="51" t="str">
        <f t="shared" ca="1" si="35"/>
        <v/>
      </c>
      <c r="AL96" s="51" t="str">
        <f t="shared" ca="1" si="36"/>
        <v/>
      </c>
      <c r="AM96" s="51" t="str">
        <f t="shared" ca="1" si="37"/>
        <v/>
      </c>
      <c r="AN96" s="51" t="str">
        <f t="shared" ca="1" si="38"/>
        <v/>
      </c>
      <c r="AO96" s="51" t="str">
        <f t="shared" ca="1" si="39"/>
        <v/>
      </c>
      <c r="AP96" s="51" t="str">
        <f t="shared" ca="1" si="40"/>
        <v/>
      </c>
      <c r="AU96" s="51" t="str">
        <f t="shared" ca="1" si="41"/>
        <v/>
      </c>
    </row>
    <row r="97" spans="1:47" ht="22.2" customHeight="1">
      <c r="A97" s="179">
        <f t="shared" si="45"/>
        <v>59</v>
      </c>
      <c r="B97" s="180" t="str">
        <f t="shared" ca="1" si="43"/>
        <v/>
      </c>
      <c r="C97" s="180" t="str">
        <f>IF(OR(クライアント抽出!C27&lt;&gt;"",クライアント抽出!F27&lt;&gt;""),クライアント抽出!A27,"")</f>
        <v/>
      </c>
      <c r="D97" s="180" t="str">
        <f t="array" aca="1" ref="D97" ca="1">IF(C97&lt;&gt;"",INDIRECT("クライアント抽出!"&amp;E97&amp;MATCH(C97,クライアント抽出!A:A,0)&amp;""),"")</f>
        <v/>
      </c>
      <c r="E97" s="180" t="str">
        <f>IF(H97&lt;&gt;0,
IFERROR(
SUBSTITUTE(ADDRESS(1,
MATCH(VALUE(H97),クライアント抽出!A27:G27,0)+8,4),"1",""),
""),
IFERROR(
SUBSTITUTE(ADDRESS(1,
MATCH(VALUE(I97),クライアント抽出!A27:G27,0)+8,4),"1",""),
""))</f>
        <v/>
      </c>
      <c r="F97" s="181" t="str">
        <f ca="1">IF(D97&lt;&gt;"",
IF(COUNTIF(C97,"*雙葉*"),
IF(ROUND((H97-M97)
/IF(COUNTIF(D97,"*キャラ*"),
VLOOKUP("*キャラ*",商品マスタ一覧!$D:$E,2,FALSE),
IF(COUNTIF(D97,"*赤*"),
VLOOKUP("*赤*",商品マスタ一覧!$D:$E,2,FALSE),
VLOOKUP("*"&amp;D97&amp;"*",商品マスタ一覧!$D:$E,2,FALSE))),0)&lt;=0,1,
ROUND((H97-M97)
/IF(COUNTIF(D97,"*キャラ*"),
VLOOKUP("*キャラ*",商品マスタ一覧!$D:$E,2,FALSE),
IF(COUNTIF(D97,"*赤*"),
VLOOKUP("*赤*",商品マスタ一覧!$D:$E,2,FALSE),
VLOOKUP("*"&amp;D97&amp;"*",商品マスタ一覧!$D:$E,2,FALSE))),0)),
IF(OR(COUNTIF(D97,"*キャラ*"),COUNTIF(D97,"*赤*")),"",
IF(VLOOKUP("*"&amp;D97&amp;"*",商品マスタ一覧!$D:$E,2,FALSE)=0,"",
IF(ROUND((H97-M97)
/VLOOKUP("*"&amp;D97&amp;"*",商品マスタ一覧!$D:$E,2,FALSE),0)&lt;=0,1,
ROUND((H97-M97)
/VLOOKUP("*"&amp;D97&amp;"*",商品マスタ一覧!$D:$E,2,FALSE),0))))),"")</f>
        <v/>
      </c>
      <c r="G97" s="180" t="str">
        <f ca="1">IF(F97&lt;&gt;"",
IF(VALUE(H97-M97)&gt;VALUE(IF(COUNTIF(D97,"*キャラ*"),
VLOOKUP("*キャラ*",商品マスタ一覧!$D:$E,2,FALSE),
IF(COUNTIF(D97,"*赤*"),
VLOOKUP("*赤*",商品マスタ一覧!$D:$E,2,FALSE),
VLOOKUP("*"&amp;D97&amp;"*",商品マスタ一覧!$D:$E,2,FALSE)))*F97),
"+"&amp;(H97-M97)-IF(COUNTIF(D97,"*キャラ*"),
VLOOKUP("*キャラ*",商品マスタ一覧!$D:$E,2,FALSE),
IF(COUNTIF(D97,"*赤*"),
VLOOKUP("*赤*",商品マスタ一覧!$D:$E,2,FALSE),
VLOOKUP("*"&amp;D97&amp;"*",商品マスタ一覧!$D:$E,2,FALSE)))*F97,
(H97-M97)-IF(COUNTIF(D97,"*キャラ*"),
VLOOKUP("*キャラ*",商品マスタ一覧!$D:$E,2,FALSE),
IF(COUNTIF(D97,"*赤*"),
VLOOKUP("*赤*",商品マスタ一覧!$D:$E,2,FALSE),
VLOOKUP("*"&amp;D97&amp;"*",商品マスタ一覧!$D:$E,2,FALSE)))*F97),"")</f>
        <v/>
      </c>
      <c r="H97" s="182" t="str">
        <f>IF(C97&lt;&gt;"",
クライアント抽出!C27,"")</f>
        <v/>
      </c>
      <c r="I97" s="180" t="str">
        <f t="array" aca="1" ref="I97" ca="1">IF(C97&lt;&gt;"",
IF(O97=1,
IF(SUMPRODUCT(COUNTIF(クライアント抽出!P27:U27,クライアント抽出!P27:U27))&gt;COUNTA(クライアント抽出!P27:U27),
INDIRECT("数出表_Excel!"&amp;INDEX(_xlfn.UNIQUE(_xlfn._xlws.FILTER(クライアント抽出!P27:U27,COUNTIF(クライアント抽出!P27:U27,クライアント抽出!P27:U27)=1)),1)&amp;L97&amp;""),
0),クライアント抽出!F27),"")</f>
        <v/>
      </c>
      <c r="J97" s="180" t="str">
        <f>IF(C97&lt;&gt;"",
VLOOKUP(
"*"&amp;LEFT(IF(COUNTIF(D97,"*学食*"),"キャラ弁（学食）",
IF(COUNTIF(D97,"*赤*"),"赤",
IF(COUNTIF(D97,"*キャラ弁当*"),"キャラ弁当",D97))),4)&amp;"*",注文弁当の抽出!$E$1:$F$15,2,FALSE),"")</f>
        <v/>
      </c>
      <c r="K97" s="180" t="str">
        <f ca="1">IF(クライアント抽出!Q27&lt;&gt;"",SUBSTITUTE(ADDRESS(1,(CODE(クライアント抽出!Q27)-64)*2-1,4),"1",""),"")</f>
        <v/>
      </c>
      <c r="L97" s="180" t="str">
        <f>IF(C27&lt;&gt;"",クライアント抽出!I27,"")</f>
        <v/>
      </c>
      <c r="M97" s="180">
        <f t="array" aca="1" ref="M97" ca="1">IF(C97&lt;&gt;"",
IF(K97&lt;&gt;"",INDIRECT("'数出表_Excel（アレルギー入力）'!"&amp;K97&amp;L97-1&amp;""),),)</f>
        <v>0</v>
      </c>
      <c r="N97" s="180" t="str">
        <f>IF(C97&lt;&gt;"",IF(OR(COUNTIF('盛付札（関数）'!D97,"*赤*"),COUNTIF('盛付札（関数）'!D97,"*キャラ*")),1,
VLOOKUP("*"&amp;D97&amp;"*",商品マスタ一覧!D:H,5,FALSE)),"")</f>
        <v/>
      </c>
      <c r="O97" s="180">
        <f t="shared" ca="1" si="44"/>
        <v>0</v>
      </c>
      <c r="P97" s="180">
        <f t="shared" si="23"/>
        <v>0</v>
      </c>
      <c r="Q97" s="180" t="b">
        <f t="shared" si="24"/>
        <v>0</v>
      </c>
      <c r="R97" s="51" t="str">
        <f t="array" aca="1" ref="R97" ca="1">IFERROR(SMALL(IF(P$1:P$307&lt;&gt;0,P$1:P$307),ROW(A97)),"")</f>
        <v/>
      </c>
      <c r="S97" s="51" t="str">
        <f t="array" aca="1" ref="S97" ca="1">IF($R97&lt;&gt;"",
SUBSTITUTE(SUBSTITUTE(INDIRECT("C"&amp;$R97&amp;"")," 週3ｺｰｽ","")," 週5ｺｰｽ",""),"")</f>
        <v/>
      </c>
      <c r="T97" s="51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91" t="str">
        <f t="array" aca="1" ref="U97" ca="1">IF($R97&lt;&gt;"",
INDIRECT("F"&amp;$R97&amp;""),"")</f>
        <v/>
      </c>
      <c r="V97" s="51" t="str">
        <f t="array" aca="1" ref="V97" ca="1">IF($R97&lt;&gt;"",
INDIRECT("G"&amp;$R97&amp;""),"")</f>
        <v/>
      </c>
      <c r="W97" s="51" t="str">
        <f t="array" aca="1" ref="W97" ca="1">IF($R97&lt;&gt;"",
IF(AND(COUNTIF(INDIRECT("B"&amp;R97&amp;""),"*雙葉*"),COUNTIF(B:B,"*雙葉*")&gt;=2),
IF(OR(COUNTIF(INDIRECT("B"&amp;R97&amp;""),"*雙葉先生*"),COUNTIF($B$1:$B$70,"*雙葉*")&gt;=2),INDIRECT("H"&amp;R97&amp;""),INDIRECT("H"&amp;R97&amp;"")+INDIRECT("H"&amp;MATCH("雙葉'",INDIRECT("B"&amp;R97+3&amp;":B210"),0)+2+R97&amp;"")),
IF(AND(LEFT(INDIRECT("B"&amp;R97&amp;""),2)="博多",COUNTIF(B:B,"*博多*")&gt;=2),
INDIRECT("H"&amp;R97&amp;"")+INDIRECT("H"&amp;MATCH("*"&amp;INDIRECT("B"&amp;R97&amp;"")&amp;"*",INDIRECT("B"&amp;R97+1&amp;":B210"),0)+R97&amp;""),
IF(AND(LEFT(INDIRECT("B"&amp;R97&amp;""),3)="奈良屋",COUNTIF(B:B,"*奈良屋*")&gt;=2),
INDIRECT("H"&amp;R97&amp;"")+INDIRECT("H"&amp;MATCH("*"&amp;INDIRECT("B"&amp;R97&amp;"")&amp;"*",INDIRECT("B"&amp;R97+1&amp;":B210"),0)+R97&amp;"")
+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INDIRECT("H"&amp;R97&amp;"")))),"")</f>
        <v/>
      </c>
      <c r="X97" s="51" t="str">
        <f t="array" aca="1" ref="X97" ca="1">IF($R97&lt;&gt;"",
INDIRECT(""&amp;IF(COLUMN(I97)&lt;=26,CHAR(COLUMN(I97)+64),CHAR(INT((COLUMN(I97)-1)/26)+64)&amp;CHAR(MOD(COLUMN(I97)-1,26)+65))&amp;$R97&amp;""),"")</f>
        <v/>
      </c>
      <c r="Y97" s="51" t="str">
        <f t="array" aca="1" ref="Y97" ca="1">IF($R97&lt;&gt;"",
INDIRECT(""&amp;IF(COLUMN(J97)&lt;=26,CHAR(COLUMN(J97)+64),CHAR(INT((COLUMN(J97)-1)/26)+64)&amp;CHAR(MOD(COLUMN(J97)-1,26)+65))&amp;$R97&amp;""),"")</f>
        <v/>
      </c>
      <c r="Z97" s="51" t="str">
        <f t="shared" ca="1" si="25"/>
        <v/>
      </c>
      <c r="AA97" s="51" t="str">
        <f t="shared" ca="1" si="26"/>
        <v/>
      </c>
      <c r="AB97" s="51" t="str">
        <f t="array" aca="1" ref="AB97" ca="1">IF($R97&lt;&gt;"",
IF(AND(COUNTIF(INDIRECT("B"&amp;R97&amp;""),"*雙葉*"),COUNTIF(B:B,"*雙葉*")&gt;=2),
INDIRECT("M"&amp;R97&amp;"")+INDIRECT("M"&amp;MATCH("雙葉'",INDIRECT("B"&amp;R97+1&amp;":B210"),0)+R97&amp;""),
IF(AND(LEFT(INDIRECT("B"&amp;R97&amp;""),2)="博多",COUNTIF(B:B,"*博多*")&gt;=2),
INDIRECT("M"&amp;R97&amp;"")+INDIRECT("M"&amp;MATCH("*"&amp;INDIRECT("B"&amp;R97&amp;"")&amp;"*",INDIRECT("B"&amp;R97+1&amp;":B210"),0)+R97&amp;""),
IF(AND(LEFT(INDIRECT("B"&amp;R97&amp;""),3)="奈良屋",COUNTIF(B:B,"*奈良屋*")&gt;=2),
INDIRECT("M"&amp;R97&amp;"")+INDIRECT("M"&amp;MATCH("*"&amp;INDIRECT("B"&amp;R97&amp;"")&amp;"*",INDIRECT("B"&amp;R97+1&amp;":B210"),0)+R97&amp;"")
+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INDIRECT("M"&amp;R97&amp;"")))),"")</f>
        <v/>
      </c>
      <c r="AC97" s="51" t="str">
        <f t="shared" ca="1" si="27"/>
        <v/>
      </c>
      <c r="AD97" s="51" t="str">
        <f t="shared" ca="1" si="28"/>
        <v/>
      </c>
      <c r="AE97" s="51" t="str">
        <f t="shared" ca="1" si="29"/>
        <v/>
      </c>
      <c r="AF97" s="51" t="str">
        <f t="shared" ca="1" si="30"/>
        <v/>
      </c>
      <c r="AG97" s="51" t="str">
        <f t="shared" ca="1" si="31"/>
        <v/>
      </c>
      <c r="AH97" s="191" t="str">
        <f t="shared" ca="1" si="32"/>
        <v/>
      </c>
      <c r="AI97" s="51" t="str">
        <f t="shared" ca="1" si="33"/>
        <v/>
      </c>
      <c r="AJ97" s="51" t="str">
        <f t="shared" ca="1" si="34"/>
        <v/>
      </c>
      <c r="AK97" s="51" t="str">
        <f t="shared" ca="1" si="35"/>
        <v/>
      </c>
      <c r="AL97" s="51" t="str">
        <f t="shared" ca="1" si="36"/>
        <v/>
      </c>
      <c r="AM97" s="51" t="str">
        <f t="shared" ca="1" si="37"/>
        <v/>
      </c>
      <c r="AN97" s="51" t="str">
        <f t="shared" ca="1" si="38"/>
        <v/>
      </c>
      <c r="AO97" s="51" t="str">
        <f t="shared" ca="1" si="39"/>
        <v/>
      </c>
      <c r="AP97" s="51" t="str">
        <f t="shared" ca="1" si="40"/>
        <v/>
      </c>
      <c r="AU97" s="51" t="str">
        <f t="shared" ca="1" si="41"/>
        <v/>
      </c>
    </row>
    <row r="98" spans="1:47" ht="22.2" customHeight="1">
      <c r="A98" s="179">
        <f t="shared" si="45"/>
        <v>61</v>
      </c>
      <c r="B98" s="180" t="str">
        <f t="shared" ca="1" si="43"/>
        <v/>
      </c>
      <c r="C98" s="180" t="str">
        <f>IF(OR(クライアント抽出!C28&lt;&gt;"",クライアント抽出!F28&lt;&gt;""),クライアント抽出!A28,"")</f>
        <v/>
      </c>
      <c r="D98" s="180" t="str">
        <f t="array" aca="1" ref="D98" ca="1">IF(C98&lt;&gt;"",INDIRECT("クライアント抽出!"&amp;E98&amp;MATCH(C98,クライアント抽出!A:A,0)&amp;""),"")</f>
        <v/>
      </c>
      <c r="E98" s="180" t="str">
        <f>IF(H98&lt;&gt;0,
IFERROR(
SUBSTITUTE(ADDRESS(1,
MATCH(VALUE(H98),クライアント抽出!A28:G28,0)+8,4),"1",""),
""),
IFERROR(
SUBSTITUTE(ADDRESS(1,
MATCH(VALUE(I98),クライアント抽出!A28:G28,0)+8,4),"1",""),
""))</f>
        <v/>
      </c>
      <c r="F98" s="181" t="str">
        <f ca="1">IF(D98&lt;&gt;"",
IF(COUNTIF(C98,"*雙葉*"),
IF(ROUND((H98-M98)
/IF(COUNTIF(D98,"*キャラ*"),
VLOOKUP("*キャラ*",商品マスタ一覧!$D:$E,2,FALSE),
IF(COUNTIF(D98,"*赤*"),
VLOOKUP("*赤*",商品マスタ一覧!$D:$E,2,FALSE),
VLOOKUP("*"&amp;D98&amp;"*",商品マスタ一覧!$D:$E,2,FALSE))),0)&lt;=0,1,
ROUND((H98-M98)
/IF(COUNTIF(D98,"*キャラ*"),
VLOOKUP("*キャラ*",商品マスタ一覧!$D:$E,2,FALSE),
IF(COUNTIF(D98,"*赤*"),
VLOOKUP("*赤*",商品マスタ一覧!$D:$E,2,FALSE),
VLOOKUP("*"&amp;D98&amp;"*",商品マスタ一覧!$D:$E,2,FALSE))),0)),
IF(OR(COUNTIF(D98,"*キャラ*"),COUNTIF(D98,"*赤*")),"",
IF(VLOOKUP("*"&amp;D98&amp;"*",商品マスタ一覧!$D:$E,2,FALSE)=0,"",
IF(ROUND((H98-M98)
/VLOOKUP("*"&amp;D98&amp;"*",商品マスタ一覧!$D:$E,2,FALSE),0)&lt;=0,1,
ROUND((H98-M98)
/VLOOKUP("*"&amp;D98&amp;"*",商品マスタ一覧!$D:$E,2,FALSE),0))))),"")</f>
        <v/>
      </c>
      <c r="G98" s="180" t="str">
        <f ca="1">IF(F98&lt;&gt;"",
IF(VALUE(H98-M98)&gt;VALUE(IF(COUNTIF(D98,"*キャラ*"),
VLOOKUP("*キャラ*",商品マスタ一覧!$D:$E,2,FALSE),
IF(COUNTIF(D98,"*赤*"),
VLOOKUP("*赤*",商品マスタ一覧!$D:$E,2,FALSE),
VLOOKUP("*"&amp;D98&amp;"*",商品マスタ一覧!$D:$E,2,FALSE)))*F98),
"+"&amp;(H98-M98)-IF(COUNTIF(D98,"*キャラ*"),
VLOOKUP("*キャラ*",商品マスタ一覧!$D:$E,2,FALSE),
IF(COUNTIF(D98,"*赤*"),
VLOOKUP("*赤*",商品マスタ一覧!$D:$E,2,FALSE),
VLOOKUP("*"&amp;D98&amp;"*",商品マスタ一覧!$D:$E,2,FALSE)))*F98,
(H98-M98)-IF(COUNTIF(D98,"*キャラ*"),
VLOOKUP("*キャラ*",商品マスタ一覧!$D:$E,2,FALSE),
IF(COUNTIF(D98,"*赤*"),
VLOOKUP("*赤*",商品マスタ一覧!$D:$E,2,FALSE),
VLOOKUP("*"&amp;D98&amp;"*",商品マスタ一覧!$D:$E,2,FALSE)))*F98),"")</f>
        <v/>
      </c>
      <c r="H98" s="182" t="str">
        <f>IF(C98&lt;&gt;"",
クライアント抽出!C28,"")</f>
        <v/>
      </c>
      <c r="I98" s="180" t="str">
        <f t="array" aca="1" ref="I98" ca="1">IF(C98&lt;&gt;"",
IF(O98=1,
IF(SUMPRODUCT(COUNTIF(クライアント抽出!P28:U28,クライアント抽出!P28:U28))&gt;COUNTA(クライアント抽出!P28:U28),
INDIRECT("数出表_Excel!"&amp;INDEX(_xlfn.UNIQUE(_xlfn._xlws.FILTER(クライアント抽出!P28:U28,COUNTIF(クライアント抽出!P28:U28,クライアント抽出!P28:U28)=1)),1)&amp;L98&amp;""),
0),クライアント抽出!F28),"")</f>
        <v/>
      </c>
      <c r="J98" s="180" t="str">
        <f>IF(C98&lt;&gt;"",
VLOOKUP(
"*"&amp;LEFT(IF(COUNTIF(D98,"*学食*"),"キャラ弁（学食）",
IF(COUNTIF(D98,"*赤*"),"赤",
IF(COUNTIF(D98,"*キャラ弁当*"),"キャラ弁当",D98))),4)&amp;"*",注文弁当の抽出!$E$1:$F$15,2,FALSE),"")</f>
        <v/>
      </c>
      <c r="K98" s="180" t="str">
        <f ca="1">IF(クライアント抽出!Q28&lt;&gt;"",SUBSTITUTE(ADDRESS(1,(CODE(クライアント抽出!Q28)-64)*2-1,4),"1",""),"")</f>
        <v/>
      </c>
      <c r="L98" s="180" t="str">
        <f>IF(C28&lt;&gt;"",クライアント抽出!I28,"")</f>
        <v/>
      </c>
      <c r="M98" s="180">
        <f t="array" aca="1" ref="M98" ca="1">IF(C98&lt;&gt;"",
IF(K98&lt;&gt;"",INDIRECT("'数出表_Excel（アレルギー入力）'!"&amp;K98&amp;L98-1&amp;""),),)</f>
        <v>0</v>
      </c>
      <c r="N98" s="180" t="str">
        <f>IF(C98&lt;&gt;"",IF(OR(COUNTIF('盛付札（関数）'!D98,"*赤*"),COUNTIF('盛付札（関数）'!D98,"*キャラ*")),1,
VLOOKUP("*"&amp;D98&amp;"*",商品マスタ一覧!D:H,5,FALSE)),"")</f>
        <v/>
      </c>
      <c r="O98" s="180">
        <f t="shared" ca="1" si="44"/>
        <v>0</v>
      </c>
      <c r="P98" s="180">
        <f t="shared" si="23"/>
        <v>0</v>
      </c>
      <c r="Q98" s="180" t="b">
        <f t="shared" si="24"/>
        <v>0</v>
      </c>
      <c r="R98" s="51" t="str">
        <f t="array" aca="1" ref="R98" ca="1">IFERROR(SMALL(IF(P$1:P$307&lt;&gt;0,P$1:P$307),ROW(A98)),"")</f>
        <v/>
      </c>
      <c r="S98" s="51" t="str">
        <f t="array" aca="1" ref="S98" ca="1">IF($R98&lt;&gt;"",
SUBSTITUTE(SUBSTITUTE(INDIRECT("C"&amp;$R98&amp;"")," 週3ｺｰｽ","")," 週5ｺｰｽ",""),"")</f>
        <v/>
      </c>
      <c r="T98" s="51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91" t="str">
        <f t="array" aca="1" ref="U98" ca="1">IF($R98&lt;&gt;"",
INDIRECT("F"&amp;$R98&amp;""),"")</f>
        <v/>
      </c>
      <c r="V98" s="51" t="str">
        <f t="array" aca="1" ref="V98" ca="1">IF($R98&lt;&gt;"",
INDIRECT("G"&amp;$R98&amp;""),"")</f>
        <v/>
      </c>
      <c r="W98" s="51" t="str">
        <f t="array" aca="1" ref="W98" ca="1">IF($R98&lt;&gt;"",
IF(AND(COUNTIF(INDIRECT("B"&amp;R98&amp;""),"*雙葉*"),COUNTIF(B:B,"*雙葉*")&gt;=2),
IF(OR(COUNTIF(INDIRECT("B"&amp;R98&amp;""),"*雙葉先生*"),COUNTIF($B$1:$B$70,"*雙葉*")&gt;=2),INDIRECT("H"&amp;R98&amp;""),INDIRECT("H"&amp;R98&amp;"")+INDIRECT("H"&amp;MATCH("雙葉'",INDIRECT("B"&amp;R98+3&amp;":B210"),0)+2+R98&amp;"")),
IF(AND(LEFT(INDIRECT("B"&amp;R98&amp;""),2)="博多",COUNTIF(B:B,"*博多*")&gt;=2),
INDIRECT("H"&amp;R98&amp;"")+INDIRECT("H"&amp;MATCH("*"&amp;INDIRECT("B"&amp;R98&amp;"")&amp;"*",INDIRECT("B"&amp;R98+1&amp;":B210"),0)+R98&amp;""),
IF(AND(LEFT(INDIRECT("B"&amp;R98&amp;""),3)="奈良屋",COUNTIF(B:B,"*奈良屋*")&gt;=2),
INDIRECT("H"&amp;R98&amp;"")+INDIRECT("H"&amp;MATCH("*"&amp;INDIRECT("B"&amp;R98&amp;"")&amp;"*",INDIRECT("B"&amp;R98+1&amp;":B210"),0)+R98&amp;"")
+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INDIRECT("H"&amp;R98&amp;"")))),"")</f>
        <v/>
      </c>
      <c r="X98" s="51" t="str">
        <f t="array" aca="1" ref="X98" ca="1">IF($R98&lt;&gt;"",
INDIRECT(""&amp;IF(COLUMN(I98)&lt;=26,CHAR(COLUMN(I98)+64),CHAR(INT((COLUMN(I98)-1)/26)+64)&amp;CHAR(MOD(COLUMN(I98)-1,26)+65))&amp;$R98&amp;""),"")</f>
        <v/>
      </c>
      <c r="Y98" s="51" t="str">
        <f t="array" aca="1" ref="Y98" ca="1">IF($R98&lt;&gt;"",
INDIRECT(""&amp;IF(COLUMN(J98)&lt;=26,CHAR(COLUMN(J98)+64),CHAR(INT((COLUMN(J98)-1)/26)+64)&amp;CHAR(MOD(COLUMN(J98)-1,26)+65))&amp;$R98&amp;""),"")</f>
        <v/>
      </c>
      <c r="Z98" s="51" t="str">
        <f t="shared" ca="1" si="25"/>
        <v/>
      </c>
      <c r="AA98" s="51" t="str">
        <f t="shared" ca="1" si="26"/>
        <v/>
      </c>
      <c r="AB98" s="51" t="str">
        <f t="array" aca="1" ref="AB98" ca="1">IF($R98&lt;&gt;"",
IF(AND(COUNTIF(INDIRECT("B"&amp;R98&amp;""),"*雙葉*"),COUNTIF(B:B,"*雙葉*")&gt;=2),
INDIRECT("M"&amp;R98&amp;"")+INDIRECT("M"&amp;MATCH("雙葉'",INDIRECT("B"&amp;R98+1&amp;":B210"),0)+R98&amp;""),
IF(AND(LEFT(INDIRECT("B"&amp;R98&amp;""),2)="博多",COUNTIF(B:B,"*博多*")&gt;=2),
INDIRECT("M"&amp;R98&amp;"")+INDIRECT("M"&amp;MATCH("*"&amp;INDIRECT("B"&amp;R98&amp;"")&amp;"*",INDIRECT("B"&amp;R98+1&amp;":B210"),0)+R98&amp;""),
IF(AND(LEFT(INDIRECT("B"&amp;R98&amp;""),3)="奈良屋",COUNTIF(B:B,"*奈良屋*")&gt;=2),
INDIRECT("M"&amp;R98&amp;"")+INDIRECT("M"&amp;MATCH("*"&amp;INDIRECT("B"&amp;R98&amp;"")&amp;"*",INDIRECT("B"&amp;R98+1&amp;":B210"),0)+R98&amp;"")
+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INDIRECT("M"&amp;R98&amp;"")))),"")</f>
        <v/>
      </c>
      <c r="AC98" s="51" t="str">
        <f t="shared" ca="1" si="27"/>
        <v/>
      </c>
      <c r="AD98" s="51" t="str">
        <f t="shared" ca="1" si="28"/>
        <v/>
      </c>
      <c r="AE98" s="51" t="str">
        <f t="shared" ca="1" si="29"/>
        <v/>
      </c>
      <c r="AF98" s="51" t="str">
        <f t="shared" ca="1" si="30"/>
        <v/>
      </c>
      <c r="AG98" s="51" t="str">
        <f t="shared" ca="1" si="31"/>
        <v/>
      </c>
      <c r="AH98" s="191" t="str">
        <f t="shared" ca="1" si="32"/>
        <v/>
      </c>
      <c r="AI98" s="51" t="str">
        <f t="shared" ca="1" si="33"/>
        <v/>
      </c>
      <c r="AJ98" s="51" t="str">
        <f t="shared" ca="1" si="34"/>
        <v/>
      </c>
      <c r="AK98" s="51" t="str">
        <f t="shared" ca="1" si="35"/>
        <v/>
      </c>
      <c r="AL98" s="51" t="str">
        <f t="shared" ca="1" si="36"/>
        <v/>
      </c>
      <c r="AM98" s="51" t="str">
        <f t="shared" ca="1" si="37"/>
        <v/>
      </c>
      <c r="AN98" s="51" t="str">
        <f t="shared" ca="1" si="38"/>
        <v/>
      </c>
      <c r="AO98" s="51" t="str">
        <f t="shared" ca="1" si="39"/>
        <v/>
      </c>
      <c r="AP98" s="51" t="str">
        <f t="shared" ca="1" si="40"/>
        <v/>
      </c>
      <c r="AU98" s="51" t="str">
        <f t="shared" ca="1" si="41"/>
        <v/>
      </c>
    </row>
    <row r="99" spans="1:47" ht="22.2" customHeight="1">
      <c r="A99" s="179">
        <f t="shared" si="45"/>
        <v>63</v>
      </c>
      <c r="B99" s="180" t="str">
        <f t="shared" ca="1" si="43"/>
        <v/>
      </c>
      <c r="C99" s="180" t="str">
        <f>IF(OR(クライアント抽出!C29&lt;&gt;"",クライアント抽出!F29&lt;&gt;""),クライアント抽出!A29,"")</f>
        <v/>
      </c>
      <c r="D99" s="180" t="str">
        <f t="array" aca="1" ref="D99" ca="1">IF(C99&lt;&gt;"",INDIRECT("クライアント抽出!"&amp;E99&amp;MATCH(C99,クライアント抽出!A:A,0)&amp;""),"")</f>
        <v/>
      </c>
      <c r="E99" s="180" t="str">
        <f>IF(H99&lt;&gt;0,
IFERROR(
SUBSTITUTE(ADDRESS(1,
MATCH(VALUE(H99),クライアント抽出!A29:G29,0)+8,4),"1",""),
""),
IFERROR(
SUBSTITUTE(ADDRESS(1,
MATCH(VALUE(I99),クライアント抽出!A29:G29,0)+8,4),"1",""),
""))</f>
        <v/>
      </c>
      <c r="F99" s="181" t="str">
        <f ca="1">IF(D99&lt;&gt;"",
IF(COUNTIF(C99,"*雙葉*"),
IF(ROUND((H99-M99)
/IF(COUNTIF(D99,"*キャラ*"),
VLOOKUP("*キャラ*",商品マスタ一覧!$D:$E,2,FALSE),
IF(COUNTIF(D99,"*赤*"),
VLOOKUP("*赤*",商品マスタ一覧!$D:$E,2,FALSE),
VLOOKUP("*"&amp;D99&amp;"*",商品マスタ一覧!$D:$E,2,FALSE))),0)&lt;=0,1,
ROUND((H99-M99)
/IF(COUNTIF(D99,"*キャラ*"),
VLOOKUP("*キャラ*",商品マスタ一覧!$D:$E,2,FALSE),
IF(COUNTIF(D99,"*赤*"),
VLOOKUP("*赤*",商品マスタ一覧!$D:$E,2,FALSE),
VLOOKUP("*"&amp;D99&amp;"*",商品マスタ一覧!$D:$E,2,FALSE))),0)),
IF(OR(COUNTIF(D99,"*キャラ*"),COUNTIF(D99,"*赤*")),"",
IF(VLOOKUP("*"&amp;D99&amp;"*",商品マスタ一覧!$D:$E,2,FALSE)=0,"",
IF(ROUND((H99-M99)
/VLOOKUP("*"&amp;D99&amp;"*",商品マスタ一覧!$D:$E,2,FALSE),0)&lt;=0,1,
ROUND((H99-M99)
/VLOOKUP("*"&amp;D99&amp;"*",商品マスタ一覧!$D:$E,2,FALSE),0))))),"")</f>
        <v/>
      </c>
      <c r="G99" s="180" t="str">
        <f ca="1">IF(F99&lt;&gt;"",
IF(VALUE(H99-M99)&gt;VALUE(IF(COUNTIF(D99,"*キャラ*"),
VLOOKUP("*キャラ*",商品マスタ一覧!$D:$E,2,FALSE),
IF(COUNTIF(D99,"*赤*"),
VLOOKUP("*赤*",商品マスタ一覧!$D:$E,2,FALSE),
VLOOKUP("*"&amp;D99&amp;"*",商品マスタ一覧!$D:$E,2,FALSE)))*F99),
"+"&amp;(H99-M99)-IF(COUNTIF(D99,"*キャラ*"),
VLOOKUP("*キャラ*",商品マスタ一覧!$D:$E,2,FALSE),
IF(COUNTIF(D99,"*赤*"),
VLOOKUP("*赤*",商品マスタ一覧!$D:$E,2,FALSE),
VLOOKUP("*"&amp;D99&amp;"*",商品マスタ一覧!$D:$E,2,FALSE)))*F99,
(H99-M99)-IF(COUNTIF(D99,"*キャラ*"),
VLOOKUP("*キャラ*",商品マスタ一覧!$D:$E,2,FALSE),
IF(COUNTIF(D99,"*赤*"),
VLOOKUP("*赤*",商品マスタ一覧!$D:$E,2,FALSE),
VLOOKUP("*"&amp;D99&amp;"*",商品マスタ一覧!$D:$E,2,FALSE)))*F99),"")</f>
        <v/>
      </c>
      <c r="H99" s="182" t="str">
        <f>IF(C99&lt;&gt;"",
クライアント抽出!C29,"")</f>
        <v/>
      </c>
      <c r="I99" s="180" t="str">
        <f t="array" aca="1" ref="I99" ca="1">IF(C99&lt;&gt;"",
IF(O99=1,
IF(SUMPRODUCT(COUNTIF(クライアント抽出!P29:U29,クライアント抽出!P29:U29))&gt;COUNTA(クライアント抽出!P29:U29),
INDIRECT("数出表_Excel!"&amp;INDEX(_xlfn.UNIQUE(_xlfn._xlws.FILTER(クライアント抽出!P29:U29,COUNTIF(クライアント抽出!P29:U29,クライアント抽出!P29:U29)=1)),1)&amp;L99&amp;""),
0),クライアント抽出!F29),"")</f>
        <v/>
      </c>
      <c r="J99" s="180" t="str">
        <f>IF(C99&lt;&gt;"",
VLOOKUP(
"*"&amp;LEFT(IF(COUNTIF(D99,"*学食*"),"キャラ弁（学食）",
IF(COUNTIF(D99,"*赤*"),"赤",
IF(COUNTIF(D99,"*キャラ弁当*"),"キャラ弁当",D99))),4)&amp;"*",注文弁当の抽出!$E$1:$F$15,2,FALSE),"")</f>
        <v/>
      </c>
      <c r="K99" s="180" t="str">
        <f ca="1">IF(クライアント抽出!Q29&lt;&gt;"",SUBSTITUTE(ADDRESS(1,(CODE(クライアント抽出!Q29)-64)*2-1,4),"1",""),"")</f>
        <v/>
      </c>
      <c r="L99" s="180" t="str">
        <f>IF(C29&lt;&gt;"",クライアント抽出!I29,"")</f>
        <v/>
      </c>
      <c r="M99" s="180">
        <f t="array" aca="1" ref="M99" ca="1">IF(C99&lt;&gt;"",
IF(K99&lt;&gt;"",INDIRECT("'数出表_Excel（アレルギー入力）'!"&amp;K99&amp;L99-1&amp;""),),)</f>
        <v>0</v>
      </c>
      <c r="N99" s="180" t="str">
        <f>IF(C99&lt;&gt;"",IF(OR(COUNTIF('盛付札（関数）'!D99,"*赤*"),COUNTIF('盛付札（関数）'!D99,"*キャラ*")),1,
VLOOKUP("*"&amp;D99&amp;"*",商品マスタ一覧!D:H,5,FALSE)),"")</f>
        <v/>
      </c>
      <c r="O99" s="180">
        <f t="shared" ca="1" si="44"/>
        <v>0</v>
      </c>
      <c r="P99" s="180">
        <f t="shared" si="23"/>
        <v>0</v>
      </c>
      <c r="Q99" s="180" t="b">
        <f t="shared" si="24"/>
        <v>0</v>
      </c>
      <c r="R99" s="51" t="str">
        <f t="array" aca="1" ref="R99" ca="1">IFERROR(SMALL(IF(P$1:P$307&lt;&gt;0,P$1:P$307),ROW(A99)),"")</f>
        <v/>
      </c>
      <c r="S99" s="51" t="str">
        <f t="array" aca="1" ref="S99" ca="1">IF($R99&lt;&gt;"",
SUBSTITUTE(SUBSTITUTE(INDIRECT("C"&amp;$R99&amp;"")," 週3ｺｰｽ","")," 週5ｺｰｽ",""),"")</f>
        <v/>
      </c>
      <c r="T99" s="51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91" t="str">
        <f t="array" aca="1" ref="U99" ca="1">IF($R99&lt;&gt;"",
INDIRECT("F"&amp;$R99&amp;""),"")</f>
        <v/>
      </c>
      <c r="V99" s="51" t="str">
        <f t="array" aca="1" ref="V99" ca="1">IF($R99&lt;&gt;"",
INDIRECT("G"&amp;$R99&amp;""),"")</f>
        <v/>
      </c>
      <c r="W99" s="51" t="str">
        <f t="array" aca="1" ref="W99" ca="1">IF($R99&lt;&gt;"",
IF(AND(COUNTIF(INDIRECT("B"&amp;R99&amp;""),"*雙葉*"),COUNTIF(B:B,"*雙葉*")&gt;=2),
IF(OR(COUNTIF(INDIRECT("B"&amp;R99&amp;""),"*雙葉先生*"),COUNTIF($B$1:$B$70,"*雙葉*")&gt;=2),INDIRECT("H"&amp;R99&amp;""),INDIRECT("H"&amp;R99&amp;"")+INDIRECT("H"&amp;MATCH("雙葉'",INDIRECT("B"&amp;R99+3&amp;":B210"),0)+2+R99&amp;"")),
IF(AND(LEFT(INDIRECT("B"&amp;R99&amp;""),2)="博多",COUNTIF(B:B,"*博多*")&gt;=2),
INDIRECT("H"&amp;R99&amp;"")+INDIRECT("H"&amp;MATCH("*"&amp;INDIRECT("B"&amp;R99&amp;"")&amp;"*",INDIRECT("B"&amp;R99+1&amp;":B210"),0)+R99&amp;""),
IF(AND(LEFT(INDIRECT("B"&amp;R99&amp;""),3)="奈良屋",COUNTIF(B:B,"*奈良屋*")&gt;=2),
INDIRECT("H"&amp;R99&amp;"")+INDIRECT("H"&amp;MATCH("*"&amp;INDIRECT("B"&amp;R99&amp;"")&amp;"*",INDIRECT("B"&amp;R99+1&amp;":B210"),0)+R99&amp;"")
+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INDIRECT("H"&amp;R99&amp;"")))),"")</f>
        <v/>
      </c>
      <c r="X99" s="51" t="str">
        <f t="array" aca="1" ref="X99" ca="1">IF($R99&lt;&gt;"",
INDIRECT(""&amp;IF(COLUMN(I99)&lt;=26,CHAR(COLUMN(I99)+64),CHAR(INT((COLUMN(I99)-1)/26)+64)&amp;CHAR(MOD(COLUMN(I99)-1,26)+65))&amp;$R99&amp;""),"")</f>
        <v/>
      </c>
      <c r="Y99" s="51" t="str">
        <f t="array" aca="1" ref="Y99" ca="1">IF($R99&lt;&gt;"",
INDIRECT(""&amp;IF(COLUMN(J99)&lt;=26,CHAR(COLUMN(J99)+64),CHAR(INT((COLUMN(J99)-1)/26)+64)&amp;CHAR(MOD(COLUMN(J99)-1,26)+65))&amp;$R99&amp;""),"")</f>
        <v/>
      </c>
      <c r="Z99" s="51" t="str">
        <f t="shared" ca="1" si="25"/>
        <v/>
      </c>
      <c r="AA99" s="51" t="str">
        <f t="shared" ca="1" si="26"/>
        <v/>
      </c>
      <c r="AB99" s="51" t="str">
        <f t="array" aca="1" ref="AB99" ca="1">IF($R99&lt;&gt;"",
IF(AND(COUNTIF(INDIRECT("B"&amp;R99&amp;""),"*雙葉*"),COUNTIF(B:B,"*雙葉*")&gt;=2),
INDIRECT("M"&amp;R99&amp;"")+INDIRECT("M"&amp;MATCH("雙葉'",INDIRECT("B"&amp;R99+1&amp;":B210"),0)+R99&amp;""),
IF(AND(LEFT(INDIRECT("B"&amp;R99&amp;""),2)="博多",COUNTIF(B:B,"*博多*")&gt;=2),
INDIRECT("M"&amp;R99&amp;"")+INDIRECT("M"&amp;MATCH("*"&amp;INDIRECT("B"&amp;R99&amp;"")&amp;"*",INDIRECT("B"&amp;R99+1&amp;":B210"),0)+R99&amp;""),
IF(AND(LEFT(INDIRECT("B"&amp;R99&amp;""),3)="奈良屋",COUNTIF(B:B,"*奈良屋*")&gt;=2),
INDIRECT("M"&amp;R99&amp;"")+INDIRECT("M"&amp;MATCH("*"&amp;INDIRECT("B"&amp;R99&amp;"")&amp;"*",INDIRECT("B"&amp;R99+1&amp;":B210"),0)+R99&amp;"")
+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INDIRECT("M"&amp;R99&amp;"")))),"")</f>
        <v/>
      </c>
      <c r="AC99" s="51" t="str">
        <f t="shared" ca="1" si="27"/>
        <v/>
      </c>
      <c r="AD99" s="51" t="str">
        <f t="shared" ca="1" si="28"/>
        <v/>
      </c>
      <c r="AE99" s="51" t="str">
        <f t="shared" ca="1" si="29"/>
        <v/>
      </c>
      <c r="AF99" s="51" t="str">
        <f t="shared" ca="1" si="30"/>
        <v/>
      </c>
      <c r="AG99" s="51" t="str">
        <f t="shared" ca="1" si="31"/>
        <v/>
      </c>
      <c r="AH99" s="191" t="str">
        <f t="shared" ca="1" si="32"/>
        <v/>
      </c>
      <c r="AI99" s="51" t="str">
        <f t="shared" ca="1" si="33"/>
        <v/>
      </c>
      <c r="AJ99" s="51" t="str">
        <f t="shared" ca="1" si="34"/>
        <v/>
      </c>
      <c r="AK99" s="51" t="str">
        <f t="shared" ca="1" si="35"/>
        <v/>
      </c>
      <c r="AL99" s="51" t="str">
        <f t="shared" ca="1" si="36"/>
        <v/>
      </c>
      <c r="AM99" s="51" t="str">
        <f t="shared" ca="1" si="37"/>
        <v/>
      </c>
      <c r="AN99" s="51" t="str">
        <f t="shared" ca="1" si="38"/>
        <v/>
      </c>
      <c r="AO99" s="51" t="str">
        <f t="shared" ca="1" si="39"/>
        <v/>
      </c>
      <c r="AP99" s="51" t="str">
        <f t="shared" ca="1" si="40"/>
        <v/>
      </c>
      <c r="AU99" s="51" t="str">
        <f t="shared" ca="1" si="41"/>
        <v/>
      </c>
    </row>
    <row r="100" spans="1:47" ht="22.2" customHeight="1">
      <c r="A100" s="179">
        <f t="shared" si="45"/>
        <v>65</v>
      </c>
      <c r="B100" s="180" t="str">
        <f t="shared" ca="1" si="43"/>
        <v/>
      </c>
      <c r="C100" s="180" t="str">
        <f>IF(OR(クライアント抽出!C30&lt;&gt;"",クライアント抽出!F30&lt;&gt;""),クライアント抽出!A30,"")</f>
        <v/>
      </c>
      <c r="D100" s="180" t="str">
        <f t="array" aca="1" ref="D100" ca="1">IF(C100&lt;&gt;"",INDIRECT("クライアント抽出!"&amp;E100&amp;MATCH(C100,クライアント抽出!A:A,0)&amp;""),"")</f>
        <v/>
      </c>
      <c r="E100" s="180" t="str">
        <f>IF(H100&lt;&gt;0,
IFERROR(
SUBSTITUTE(ADDRESS(1,
MATCH(VALUE(H100),クライアント抽出!A30:G30,0)+8,4),"1",""),
""),
IFERROR(
SUBSTITUTE(ADDRESS(1,
MATCH(VALUE(I100),クライアント抽出!A30:G30,0)+8,4),"1",""),
""))</f>
        <v/>
      </c>
      <c r="F100" s="181" t="str">
        <f ca="1">IF(D100&lt;&gt;"",
IF(COUNTIF(C100,"*雙葉*"),
IF(ROUND((H100-M100)
/IF(COUNTIF(D100,"*キャラ*"),
VLOOKUP("*キャラ*",商品マスタ一覧!$D:$E,2,FALSE),
IF(COUNTIF(D100,"*赤*"),
VLOOKUP("*赤*",商品マスタ一覧!$D:$E,2,FALSE),
VLOOKUP("*"&amp;D100&amp;"*",商品マスタ一覧!$D:$E,2,FALSE))),0)&lt;=0,1,
ROUND((H100-M100)
/IF(COUNTIF(D100,"*キャラ*"),
VLOOKUP("*キャラ*",商品マスタ一覧!$D:$E,2,FALSE),
IF(COUNTIF(D100,"*赤*"),
VLOOKUP("*赤*",商品マスタ一覧!$D:$E,2,FALSE),
VLOOKUP("*"&amp;D100&amp;"*",商品マスタ一覧!$D:$E,2,FALSE))),0)),
IF(OR(COUNTIF(D100,"*キャラ*"),COUNTIF(D100,"*赤*")),"",
IF(VLOOKUP("*"&amp;D100&amp;"*",商品マスタ一覧!$D:$E,2,FALSE)=0,"",
IF(ROUND((H100-M100)
/VLOOKUP("*"&amp;D100&amp;"*",商品マスタ一覧!$D:$E,2,FALSE),0)&lt;=0,1,
ROUND((H100-M100)
/VLOOKUP("*"&amp;D100&amp;"*",商品マスタ一覧!$D:$E,2,FALSE),0))))),"")</f>
        <v/>
      </c>
      <c r="G100" s="180" t="str">
        <f ca="1">IF(F100&lt;&gt;"",
IF(VALUE(H100-M100)&gt;VALUE(IF(COUNTIF(D100,"*キャラ*"),
VLOOKUP("*キャラ*",商品マスタ一覧!$D:$E,2,FALSE),
IF(COUNTIF(D100,"*赤*"),
VLOOKUP("*赤*",商品マスタ一覧!$D:$E,2,FALSE),
VLOOKUP("*"&amp;D100&amp;"*",商品マスタ一覧!$D:$E,2,FALSE)))*F100),
"+"&amp;(H100-M100)-IF(COUNTIF(D100,"*キャラ*"),
VLOOKUP("*キャラ*",商品マスタ一覧!$D:$E,2,FALSE),
IF(COUNTIF(D100,"*赤*"),
VLOOKUP("*赤*",商品マスタ一覧!$D:$E,2,FALSE),
VLOOKUP("*"&amp;D100&amp;"*",商品マスタ一覧!$D:$E,2,FALSE)))*F100,
(H100-M100)-IF(COUNTIF(D100,"*キャラ*"),
VLOOKUP("*キャラ*",商品マスタ一覧!$D:$E,2,FALSE),
IF(COUNTIF(D100,"*赤*"),
VLOOKUP("*赤*",商品マスタ一覧!$D:$E,2,FALSE),
VLOOKUP("*"&amp;D100&amp;"*",商品マスタ一覧!$D:$E,2,FALSE)))*F100),"")</f>
        <v/>
      </c>
      <c r="H100" s="182" t="str">
        <f>IF(C100&lt;&gt;"",
クライアント抽出!C30,"")</f>
        <v/>
      </c>
      <c r="I100" s="180" t="str">
        <f t="array" aca="1" ref="I100" ca="1">IF(C100&lt;&gt;"",
IF(O100=1,
IF(SUMPRODUCT(COUNTIF(クライアント抽出!P30:U30,クライアント抽出!P30:U30))&gt;COUNTA(クライアント抽出!P30:U30),
INDIRECT("数出表_Excel!"&amp;INDEX(_xlfn.UNIQUE(_xlfn._xlws.FILTER(クライアント抽出!P30:U30,COUNTIF(クライアント抽出!P30:U30,クライアント抽出!P30:U30)=1)),1)&amp;L100&amp;""),
0),クライアント抽出!F30),"")</f>
        <v/>
      </c>
      <c r="J100" s="180" t="str">
        <f>IF(C100&lt;&gt;"",
VLOOKUP(
"*"&amp;LEFT(IF(COUNTIF(D100,"*学食*"),"キャラ弁（学食）",
IF(COUNTIF(D100,"*赤*"),"赤",
IF(COUNTIF(D100,"*キャラ弁当*"),"キャラ弁当",D100))),4)&amp;"*",注文弁当の抽出!$E$1:$F$15,2,FALSE),"")</f>
        <v/>
      </c>
      <c r="K100" s="180" t="str">
        <f ca="1">IF(クライアント抽出!Q30&lt;&gt;"",SUBSTITUTE(ADDRESS(1,(CODE(クライアント抽出!Q30)-64)*2-1,4),"1",""),"")</f>
        <v/>
      </c>
      <c r="L100" s="180" t="str">
        <f>IF(C30&lt;&gt;"",クライアント抽出!I30,"")</f>
        <v/>
      </c>
      <c r="M100" s="180">
        <f t="array" aca="1" ref="M100" ca="1">IF(C100&lt;&gt;"",
IF(K100&lt;&gt;"",INDIRECT("'数出表_Excel（アレルギー入力）'!"&amp;K100&amp;L100-1&amp;""),),)</f>
        <v>0</v>
      </c>
      <c r="N100" s="180" t="str">
        <f>IF(C100&lt;&gt;"",IF(OR(COUNTIF('盛付札（関数）'!D100,"*赤*"),COUNTIF('盛付札（関数）'!D100,"*キャラ*")),1,
VLOOKUP("*"&amp;D100&amp;"*",商品マスタ一覧!D:H,5,FALSE)),"")</f>
        <v/>
      </c>
      <c r="O100" s="180">
        <f t="shared" ca="1" si="44"/>
        <v>0</v>
      </c>
      <c r="P100" s="180">
        <f t="shared" si="23"/>
        <v>0</v>
      </c>
      <c r="Q100" s="180" t="b">
        <f t="shared" si="24"/>
        <v>0</v>
      </c>
      <c r="R100" s="51" t="str">
        <f t="array" aca="1" ref="R100" ca="1">IFERROR(SMALL(IF(P$1:P$307&lt;&gt;0,P$1:P$307),ROW(A100)),"")</f>
        <v/>
      </c>
      <c r="S100" s="51" t="str">
        <f t="array" aca="1" ref="S100" ca="1">IF($R100&lt;&gt;"",
SUBSTITUTE(SUBSTITUTE(INDIRECT("C"&amp;$R100&amp;"")," 週3ｺｰｽ","")," 週5ｺｰｽ",""),"")</f>
        <v/>
      </c>
      <c r="T100" s="51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91" t="str">
        <f t="array" aca="1" ref="U100" ca="1">IF($R100&lt;&gt;"",
INDIRECT("F"&amp;$R100&amp;""),"")</f>
        <v/>
      </c>
      <c r="V100" s="51" t="str">
        <f t="array" aca="1" ref="V100" ca="1">IF($R100&lt;&gt;"",
INDIRECT("G"&amp;$R100&amp;""),"")</f>
        <v/>
      </c>
      <c r="W100" s="51" t="str">
        <f t="array" aca="1" ref="W100" ca="1">IF($R100&lt;&gt;"",
IF(AND(COUNTIF(INDIRECT("B"&amp;R100&amp;""),"*雙葉*"),COUNTIF(B:B,"*雙葉*")&gt;=2),
IF(OR(COUNTIF(INDIRECT("B"&amp;R100&amp;""),"*雙葉先生*"),COUNTIF($B$1:$B$70,"*雙葉*")&gt;=2),INDIRECT("H"&amp;R100&amp;""),INDIRECT("H"&amp;R100&amp;"")+INDIRECT("H"&amp;MATCH("雙葉'",INDIRECT("B"&amp;R100+3&amp;":B210"),0)+2+R100&amp;"")),
IF(AND(LEFT(INDIRECT("B"&amp;R100&amp;""),2)="博多",COUNTIF(B:B,"*博多*")&gt;=2),
INDIRECT("H"&amp;R100&amp;"")+INDIRECT("H"&amp;MATCH("*"&amp;INDIRECT("B"&amp;R100&amp;"")&amp;"*",INDIRECT("B"&amp;R100+1&amp;":B210"),0)+R100&amp;""),
IF(AND(LEFT(INDIRECT("B"&amp;R100&amp;""),3)="奈良屋",COUNTIF(B:B,"*奈良屋*")&gt;=2),
INDIRECT("H"&amp;R100&amp;"")+INDIRECT("H"&amp;MATCH("*"&amp;INDIRECT("B"&amp;R100&amp;"")&amp;"*",INDIRECT("B"&amp;R100+1&amp;":B210"),0)+R100&amp;"")
+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INDIRECT("H"&amp;R100&amp;"")))),"")</f>
        <v/>
      </c>
      <c r="X100" s="51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51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51" t="str">
        <f t="shared" ca="1" si="25"/>
        <v/>
      </c>
      <c r="AA100" s="51" t="str">
        <f t="shared" ca="1" si="26"/>
        <v/>
      </c>
      <c r="AB100" s="51" t="str">
        <f t="array" aca="1" ref="AB100" ca="1">IF($R100&lt;&gt;"",
IF(AND(COUNTIF(INDIRECT("B"&amp;R100&amp;""),"*雙葉*"),COUNTIF(B:B,"*雙葉*")&gt;=2),
INDIRECT("M"&amp;R100&amp;"")+INDIRECT("M"&amp;MATCH("雙葉'",INDIRECT("B"&amp;R100+1&amp;":B210"),0)+R100&amp;""),
IF(AND(LEFT(INDIRECT("B"&amp;R100&amp;""),2)="博多",COUNTIF(B:B,"*博多*")&gt;=2),
INDIRECT("M"&amp;R100&amp;"")+INDIRECT("M"&amp;MATCH("*"&amp;INDIRECT("B"&amp;R100&amp;"")&amp;"*",INDIRECT("B"&amp;R100+1&amp;":B210"),0)+R100&amp;""),
IF(AND(LEFT(INDIRECT("B"&amp;R100&amp;""),3)="奈良屋",COUNTIF(B:B,"*奈良屋*")&gt;=2),
INDIRECT("M"&amp;R100&amp;"")+INDIRECT("M"&amp;MATCH("*"&amp;INDIRECT("B"&amp;R100&amp;"")&amp;"*",INDIRECT("B"&amp;R100+1&amp;":B210"),0)+R100&amp;"")
+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INDIRECT("M"&amp;R100&amp;"")))),"")</f>
        <v/>
      </c>
      <c r="AC100" s="51" t="str">
        <f t="shared" ca="1" si="27"/>
        <v/>
      </c>
      <c r="AD100" s="51" t="str">
        <f t="shared" ca="1" si="28"/>
        <v/>
      </c>
      <c r="AE100" s="51" t="str">
        <f t="shared" ca="1" si="29"/>
        <v/>
      </c>
      <c r="AF100" s="51" t="str">
        <f t="shared" ca="1" si="30"/>
        <v/>
      </c>
      <c r="AG100" s="51" t="str">
        <f t="shared" ca="1" si="31"/>
        <v/>
      </c>
      <c r="AH100" s="191" t="str">
        <f t="shared" ca="1" si="32"/>
        <v/>
      </c>
      <c r="AI100" s="51" t="str">
        <f t="shared" ca="1" si="33"/>
        <v/>
      </c>
      <c r="AJ100" s="51" t="str">
        <f t="shared" ca="1" si="34"/>
        <v/>
      </c>
      <c r="AK100" s="51" t="str">
        <f t="shared" ca="1" si="35"/>
        <v/>
      </c>
      <c r="AL100" s="51" t="str">
        <f t="shared" ca="1" si="36"/>
        <v/>
      </c>
      <c r="AM100" s="51" t="str">
        <f t="shared" ca="1" si="37"/>
        <v/>
      </c>
      <c r="AN100" s="51" t="str">
        <f t="shared" ca="1" si="38"/>
        <v/>
      </c>
      <c r="AO100" s="51" t="str">
        <f t="shared" ca="1" si="39"/>
        <v/>
      </c>
      <c r="AP100" s="51" t="str">
        <f t="shared" ca="1" si="40"/>
        <v/>
      </c>
      <c r="AU100" s="51" t="str">
        <f t="shared" ca="1" si="41"/>
        <v/>
      </c>
    </row>
    <row r="101" spans="1:47" ht="22.2" customHeight="1">
      <c r="A101" s="179">
        <f t="shared" si="45"/>
        <v>67</v>
      </c>
      <c r="B101" s="180" t="str">
        <f t="shared" ca="1" si="43"/>
        <v/>
      </c>
      <c r="C101" s="180" t="str">
        <f>IF(OR(クライアント抽出!C31&lt;&gt;"",クライアント抽出!F31&lt;&gt;""),クライアント抽出!A31,"")</f>
        <v/>
      </c>
      <c r="D101" s="180" t="str">
        <f t="array" aca="1" ref="D101" ca="1">IF(C101&lt;&gt;"",INDIRECT("クライアント抽出!"&amp;E101&amp;MATCH(C101,クライアント抽出!A:A,0)&amp;""),"")</f>
        <v/>
      </c>
      <c r="E101" s="180" t="str">
        <f>IF(H101&lt;&gt;0,
IFERROR(
SUBSTITUTE(ADDRESS(1,
MATCH(VALUE(H101),クライアント抽出!A31:G31,0)+8,4),"1",""),
""),
IFERROR(
SUBSTITUTE(ADDRESS(1,
MATCH(VALUE(I101),クライアント抽出!A31:G31,0)+8,4),"1",""),
""))</f>
        <v/>
      </c>
      <c r="F101" s="181" t="str">
        <f ca="1">IF(D101&lt;&gt;"",
IF(COUNTIF(C101,"*雙葉*"),
IF(ROUND((H101-M101)
/IF(COUNTIF(D101,"*キャラ*"),
VLOOKUP("*キャラ*",商品マスタ一覧!$D:$E,2,FALSE),
IF(COUNTIF(D101,"*赤*"),
VLOOKUP("*赤*",商品マスタ一覧!$D:$E,2,FALSE),
VLOOKUP("*"&amp;D101&amp;"*",商品マスタ一覧!$D:$E,2,FALSE))),0)&lt;=0,1,
ROUND((H101-M101)
/IF(COUNTIF(D101,"*キャラ*"),
VLOOKUP("*キャラ*",商品マスタ一覧!$D:$E,2,FALSE),
IF(COUNTIF(D101,"*赤*"),
VLOOKUP("*赤*",商品マスタ一覧!$D:$E,2,FALSE),
VLOOKUP("*"&amp;D101&amp;"*",商品マスタ一覧!$D:$E,2,FALSE))),0)),
IF(OR(COUNTIF(D101,"*キャラ*"),COUNTIF(D101,"*赤*")),"",
IF(VLOOKUP("*"&amp;D101&amp;"*",商品マスタ一覧!$D:$E,2,FALSE)=0,"",
IF(ROUND((H101-M101)
/VLOOKUP("*"&amp;D101&amp;"*",商品マスタ一覧!$D:$E,2,FALSE),0)&lt;=0,1,
ROUND((H101-M101)
/VLOOKUP("*"&amp;D101&amp;"*",商品マスタ一覧!$D:$E,2,FALSE),0))))),"")</f>
        <v/>
      </c>
      <c r="G101" s="180" t="str">
        <f ca="1">IF(F101&lt;&gt;"",
IF(VALUE(H101-M101)&gt;VALUE(IF(COUNTIF(D101,"*キャラ*"),
VLOOKUP("*キャラ*",商品マスタ一覧!$D:$E,2,FALSE),
IF(COUNTIF(D101,"*赤*"),
VLOOKUP("*赤*",商品マスタ一覧!$D:$E,2,FALSE),
VLOOKUP("*"&amp;D101&amp;"*",商品マスタ一覧!$D:$E,2,FALSE)))*F101),
"+"&amp;(H101-M101)-IF(COUNTIF(D101,"*キャラ*"),
VLOOKUP("*キャラ*",商品マスタ一覧!$D:$E,2,FALSE),
IF(COUNTIF(D101,"*赤*"),
VLOOKUP("*赤*",商品マスタ一覧!$D:$E,2,FALSE),
VLOOKUP("*"&amp;D101&amp;"*",商品マスタ一覧!$D:$E,2,FALSE)))*F101,
(H101-M101)-IF(COUNTIF(D101,"*キャラ*"),
VLOOKUP("*キャラ*",商品マスタ一覧!$D:$E,2,FALSE),
IF(COUNTIF(D101,"*赤*"),
VLOOKUP("*赤*",商品マスタ一覧!$D:$E,2,FALSE),
VLOOKUP("*"&amp;D101&amp;"*",商品マスタ一覧!$D:$E,2,FALSE)))*F101),"")</f>
        <v/>
      </c>
      <c r="H101" s="182" t="str">
        <f>IF(C101&lt;&gt;"",
クライアント抽出!C31,"")</f>
        <v/>
      </c>
      <c r="I101" s="180" t="str">
        <f t="array" aca="1" ref="I101" ca="1">IF(C101&lt;&gt;"",
IF(O101=1,
IF(SUMPRODUCT(COUNTIF(クライアント抽出!P31:U31,クライアント抽出!P31:U31))&gt;COUNTA(クライアント抽出!P31:U31),
INDIRECT("数出表_Excel!"&amp;INDEX(_xlfn.UNIQUE(_xlfn._xlws.FILTER(クライアント抽出!P31:U31,COUNTIF(クライアント抽出!P31:U31,クライアント抽出!P31:U31)=1)),1)&amp;L101&amp;""),
0),クライアント抽出!F31),"")</f>
        <v/>
      </c>
      <c r="J101" s="180" t="str">
        <f>IF(C101&lt;&gt;"",
VLOOKUP(
"*"&amp;LEFT(IF(COUNTIF(D101,"*学食*"),"キャラ弁（学食）",
IF(COUNTIF(D101,"*赤*"),"赤",
IF(COUNTIF(D101,"*キャラ弁当*"),"キャラ弁当",D101))),4)&amp;"*",注文弁当の抽出!$E$1:$F$15,2,FALSE),"")</f>
        <v/>
      </c>
      <c r="K101" s="180" t="str">
        <f ca="1">IF(クライアント抽出!Q31&lt;&gt;"",SUBSTITUTE(ADDRESS(1,(CODE(クライアント抽出!Q31)-64)*2-1,4),"1",""),"")</f>
        <v/>
      </c>
      <c r="L101" s="180" t="str">
        <f>IF(C31&lt;&gt;"",クライアント抽出!I31,"")</f>
        <v/>
      </c>
      <c r="M101" s="180">
        <f t="array" aca="1" ref="M101" ca="1">IF(C101&lt;&gt;"",
IF(K101&lt;&gt;"",INDIRECT("'数出表_Excel（アレルギー入力）'!"&amp;K101&amp;L101-1&amp;""),),)</f>
        <v>0</v>
      </c>
      <c r="N101" s="180" t="str">
        <f>IF(C101&lt;&gt;"",IF(OR(COUNTIF('盛付札（関数）'!D101,"*赤*"),COUNTIF('盛付札（関数）'!D101,"*キャラ*")),1,
VLOOKUP("*"&amp;D101&amp;"*",商品マスタ一覧!D:H,5,FALSE)),"")</f>
        <v/>
      </c>
      <c r="O101" s="180">
        <f t="shared" ca="1" si="44"/>
        <v>0</v>
      </c>
      <c r="P101" s="180">
        <f t="shared" si="23"/>
        <v>0</v>
      </c>
      <c r="Q101" s="180" t="b">
        <f t="shared" si="24"/>
        <v>0</v>
      </c>
      <c r="R101" s="51" t="str">
        <f t="array" aca="1" ref="R101" ca="1">IFERROR(SMALL(IF(P$1:P$307&lt;&gt;0,P$1:P$307),ROW(A101)),"")</f>
        <v/>
      </c>
      <c r="S101" s="51" t="str">
        <f t="array" aca="1" ref="S101" ca="1">IF($R101&lt;&gt;"",
SUBSTITUTE(SUBSTITUTE(INDIRECT("C"&amp;$R101&amp;"")," 週3ｺｰｽ","")," 週5ｺｰｽ",""),"")</f>
        <v/>
      </c>
      <c r="T101" s="51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91" t="str">
        <f t="array" aca="1" ref="U101" ca="1">IF($R101&lt;&gt;"",
INDIRECT("F"&amp;$R101&amp;""),"")</f>
        <v/>
      </c>
      <c r="V101" s="51" t="str">
        <f t="array" aca="1" ref="V101" ca="1">IF($R101&lt;&gt;"",
INDIRECT("G"&amp;$R101&amp;""),"")</f>
        <v/>
      </c>
      <c r="W101" s="51" t="str">
        <f t="array" aca="1" ref="W101" ca="1">IF($R101&lt;&gt;"",
IF(AND(COUNTIF(INDIRECT("B"&amp;R101&amp;""),"*雙葉*"),COUNTIF(B:B,"*雙葉*")&gt;=2),
IF(OR(COUNTIF(INDIRECT("B"&amp;R101&amp;""),"*雙葉先生*"),COUNTIF($B$1:$B$70,"*雙葉*")&gt;=2),INDIRECT("H"&amp;R101&amp;""),INDIRECT("H"&amp;R101&amp;"")+INDIRECT("H"&amp;MATCH("雙葉'",INDIRECT("B"&amp;R101+3&amp;":B210"),0)+2+R101&amp;"")),
IF(AND(LEFT(INDIRECT("B"&amp;R101&amp;""),2)="博多",COUNTIF(B:B,"*博多*")&gt;=2),
INDIRECT("H"&amp;R101&amp;"")+INDIRECT("H"&amp;MATCH("*"&amp;INDIRECT("B"&amp;R101&amp;"")&amp;"*",INDIRECT("B"&amp;R101+1&amp;":B210"),0)+R101&amp;""),
IF(AND(LEFT(INDIRECT("B"&amp;R101&amp;""),3)="奈良屋",COUNTIF(B:B,"*奈良屋*")&gt;=2),
INDIRECT("H"&amp;R101&amp;"")+INDIRECT("H"&amp;MATCH("*"&amp;INDIRECT("B"&amp;R101&amp;"")&amp;"*",INDIRECT("B"&amp;R101+1&amp;":B210"),0)+R101&amp;"")
+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INDIRECT("H"&amp;R101&amp;"")))),"")</f>
        <v/>
      </c>
      <c r="X101" s="51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51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51" t="str">
        <f t="shared" ca="1" si="25"/>
        <v/>
      </c>
      <c r="AA101" s="51" t="str">
        <f t="shared" ca="1" si="26"/>
        <v/>
      </c>
      <c r="AB101" s="51" t="str">
        <f t="array" aca="1" ref="AB101" ca="1">IF($R101&lt;&gt;"",
IF(AND(COUNTIF(INDIRECT("B"&amp;R101&amp;""),"*雙葉*"),COUNTIF(B:B,"*雙葉*")&gt;=2),
INDIRECT("M"&amp;R101&amp;"")+INDIRECT("M"&amp;MATCH("雙葉'",INDIRECT("B"&amp;R101+1&amp;":B210"),0)+R101&amp;""),
IF(AND(LEFT(INDIRECT("B"&amp;R101&amp;""),2)="博多",COUNTIF(B:B,"*博多*")&gt;=2),
INDIRECT("M"&amp;R101&amp;"")+INDIRECT("M"&amp;MATCH("*"&amp;INDIRECT("B"&amp;R101&amp;"")&amp;"*",INDIRECT("B"&amp;R101+1&amp;":B210"),0)+R101&amp;""),
IF(AND(LEFT(INDIRECT("B"&amp;R101&amp;""),3)="奈良屋",COUNTIF(B:B,"*奈良屋*")&gt;=2),
INDIRECT("M"&amp;R101&amp;"")+INDIRECT("M"&amp;MATCH("*"&amp;INDIRECT("B"&amp;R101&amp;"")&amp;"*",INDIRECT("B"&amp;R101+1&amp;":B210"),0)+R101&amp;"")
+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INDIRECT("M"&amp;R101&amp;"")))),"")</f>
        <v/>
      </c>
      <c r="AC101" s="51" t="str">
        <f t="shared" ca="1" si="27"/>
        <v/>
      </c>
      <c r="AD101" s="51" t="str">
        <f t="shared" ca="1" si="28"/>
        <v/>
      </c>
      <c r="AE101" s="51" t="str">
        <f t="shared" ca="1" si="29"/>
        <v/>
      </c>
      <c r="AF101" s="51" t="str">
        <f t="shared" ca="1" si="30"/>
        <v/>
      </c>
      <c r="AG101" s="51" t="str">
        <f t="shared" ca="1" si="31"/>
        <v/>
      </c>
      <c r="AH101" s="191" t="str">
        <f t="shared" ca="1" si="32"/>
        <v/>
      </c>
      <c r="AI101" s="51" t="str">
        <f t="shared" ca="1" si="33"/>
        <v/>
      </c>
      <c r="AJ101" s="51" t="str">
        <f t="shared" ca="1" si="34"/>
        <v/>
      </c>
      <c r="AK101" s="51" t="str">
        <f t="shared" ca="1" si="35"/>
        <v/>
      </c>
      <c r="AL101" s="51" t="str">
        <f t="shared" ca="1" si="36"/>
        <v/>
      </c>
      <c r="AM101" s="51" t="str">
        <f t="shared" ca="1" si="37"/>
        <v/>
      </c>
      <c r="AN101" s="51" t="str">
        <f t="shared" ca="1" si="38"/>
        <v/>
      </c>
      <c r="AO101" s="51" t="str">
        <f t="shared" ca="1" si="39"/>
        <v/>
      </c>
      <c r="AP101" s="51" t="str">
        <f t="shared" ca="1" si="40"/>
        <v/>
      </c>
      <c r="AU101" s="51" t="str">
        <f t="shared" ca="1" si="41"/>
        <v/>
      </c>
    </row>
    <row r="102" spans="1:47" ht="22.2" customHeight="1">
      <c r="A102" s="179">
        <f t="shared" si="45"/>
        <v>69</v>
      </c>
      <c r="B102" s="180" t="str">
        <f t="shared" ca="1" si="43"/>
        <v/>
      </c>
      <c r="C102" s="180" t="str">
        <f>IF(OR(クライアント抽出!C32&lt;&gt;"",クライアント抽出!F32&lt;&gt;""),クライアント抽出!A32,"")</f>
        <v/>
      </c>
      <c r="D102" s="180" t="str">
        <f t="array" aca="1" ref="D102" ca="1">IF(C102&lt;&gt;"",INDIRECT("クライアント抽出!"&amp;E102&amp;MATCH(C102,クライアント抽出!A:A,0)&amp;""),"")</f>
        <v/>
      </c>
      <c r="E102" s="180" t="str">
        <f>IF(H102&lt;&gt;0,
IFERROR(
SUBSTITUTE(ADDRESS(1,
MATCH(VALUE(H102),クライアント抽出!A32:G32,0)+8,4),"1",""),
""),
IFERROR(
SUBSTITUTE(ADDRESS(1,
MATCH(VALUE(I102),クライアント抽出!A32:G32,0)+8,4),"1",""),
""))</f>
        <v/>
      </c>
      <c r="F102" s="181" t="str">
        <f ca="1">IF(D102&lt;&gt;"",
IF(COUNTIF(C102,"*雙葉*"),
IF(ROUND((H102-M102)
/IF(COUNTIF(D102,"*キャラ*"),
VLOOKUP("*キャラ*",商品マスタ一覧!$D:$E,2,FALSE),
IF(COUNTIF(D102,"*赤*"),
VLOOKUP("*赤*",商品マスタ一覧!$D:$E,2,FALSE),
VLOOKUP("*"&amp;D102&amp;"*",商品マスタ一覧!$D:$E,2,FALSE))),0)&lt;=0,1,
ROUND((H102-M102)
/IF(COUNTIF(D102,"*キャラ*"),
VLOOKUP("*キャラ*",商品マスタ一覧!$D:$E,2,FALSE),
IF(COUNTIF(D102,"*赤*"),
VLOOKUP("*赤*",商品マスタ一覧!$D:$E,2,FALSE),
VLOOKUP("*"&amp;D102&amp;"*",商品マスタ一覧!$D:$E,2,FALSE))),0)),
IF(OR(COUNTIF(D102,"*キャラ*"),COUNTIF(D102,"*赤*")),"",
IF(VLOOKUP("*"&amp;D102&amp;"*",商品マスタ一覧!$D:$E,2,FALSE)=0,"",
IF(ROUND((H102-M102)
/VLOOKUP("*"&amp;D102&amp;"*",商品マスタ一覧!$D:$E,2,FALSE),0)&lt;=0,1,
ROUND((H102-M102)
/VLOOKUP("*"&amp;D102&amp;"*",商品マスタ一覧!$D:$E,2,FALSE),0))))),"")</f>
        <v/>
      </c>
      <c r="G102" s="180" t="str">
        <f ca="1">IF(F102&lt;&gt;"",
IF(VALUE(H102-M102)&gt;VALUE(IF(COUNTIF(D102,"*キャラ*"),
VLOOKUP("*キャラ*",商品マスタ一覧!$D:$E,2,FALSE),
IF(COUNTIF(D102,"*赤*"),
VLOOKUP("*赤*",商品マスタ一覧!$D:$E,2,FALSE),
VLOOKUP("*"&amp;D102&amp;"*",商品マスタ一覧!$D:$E,2,FALSE)))*F102),
"+"&amp;(H102-M102)-IF(COUNTIF(D102,"*キャラ*"),
VLOOKUP("*キャラ*",商品マスタ一覧!$D:$E,2,FALSE),
IF(COUNTIF(D102,"*赤*"),
VLOOKUP("*赤*",商品マスタ一覧!$D:$E,2,FALSE),
VLOOKUP("*"&amp;D102&amp;"*",商品マスタ一覧!$D:$E,2,FALSE)))*F102,
(H102-M102)-IF(COUNTIF(D102,"*キャラ*"),
VLOOKUP("*キャラ*",商品マスタ一覧!$D:$E,2,FALSE),
IF(COUNTIF(D102,"*赤*"),
VLOOKUP("*赤*",商品マスタ一覧!$D:$E,2,FALSE),
VLOOKUP("*"&amp;D102&amp;"*",商品マスタ一覧!$D:$E,2,FALSE)))*F102),"")</f>
        <v/>
      </c>
      <c r="H102" s="182" t="str">
        <f>IF(C102&lt;&gt;"",
クライアント抽出!C32,"")</f>
        <v/>
      </c>
      <c r="I102" s="180" t="str">
        <f t="array" aca="1" ref="I102" ca="1">IF(C102&lt;&gt;"",
IF(O102=1,
IF(SUMPRODUCT(COUNTIF(クライアント抽出!P32:U32,クライアント抽出!P32:U32))&gt;COUNTA(クライアント抽出!P32:U32),
INDIRECT("数出表_Excel!"&amp;INDEX(_xlfn.UNIQUE(_xlfn._xlws.FILTER(クライアント抽出!P32:U32,COUNTIF(クライアント抽出!P32:U32,クライアント抽出!P32:U32)=1)),1)&amp;L102&amp;""),
0),クライアント抽出!F32),"")</f>
        <v/>
      </c>
      <c r="J102" s="180" t="str">
        <f>IF(C102&lt;&gt;"",
VLOOKUP(
"*"&amp;LEFT(IF(COUNTIF(D102,"*学食*"),"キャラ弁（学食）",
IF(COUNTIF(D102,"*赤*"),"赤",
IF(COUNTIF(D102,"*キャラ弁当*"),"キャラ弁当",D102))),4)&amp;"*",注文弁当の抽出!$E$1:$F$15,2,FALSE),"")</f>
        <v/>
      </c>
      <c r="K102" s="180" t="str">
        <f ca="1">IF(クライアント抽出!Q32&lt;&gt;"",SUBSTITUTE(ADDRESS(1,(CODE(クライアント抽出!Q32)-64)*2-1,4),"1",""),"")</f>
        <v/>
      </c>
      <c r="L102" s="180" t="str">
        <f>IF(C32&lt;&gt;"",クライアント抽出!I32,"")</f>
        <v/>
      </c>
      <c r="M102" s="180">
        <f t="array" aca="1" ref="M102" ca="1">IF(C102&lt;&gt;"",
IF(K102&lt;&gt;"",INDIRECT("'数出表_Excel（アレルギー入力）'!"&amp;K102&amp;L102-1&amp;""),),)</f>
        <v>0</v>
      </c>
      <c r="N102" s="180" t="str">
        <f>IF(C102&lt;&gt;"",IF(OR(COUNTIF('盛付札（関数）'!D102,"*赤*"),COUNTIF('盛付札（関数）'!D102,"*キャラ*")),1,
VLOOKUP("*"&amp;D102&amp;"*",商品マスタ一覧!D:H,5,FALSE)),"")</f>
        <v/>
      </c>
      <c r="O102" s="180">
        <f t="shared" ca="1" si="44"/>
        <v>0</v>
      </c>
      <c r="P102" s="180">
        <f t="shared" si="23"/>
        <v>0</v>
      </c>
      <c r="Q102" s="180" t="b">
        <f t="shared" si="24"/>
        <v>0</v>
      </c>
      <c r="R102" s="51" t="str">
        <f t="array" aca="1" ref="R102" ca="1">IFERROR(SMALL(IF(P$1:P$307&lt;&gt;0,P$1:P$307),ROW(A102)),"")</f>
        <v/>
      </c>
      <c r="S102" s="51" t="str">
        <f t="array" aca="1" ref="S102" ca="1">IF($R102&lt;&gt;"",
SUBSTITUTE(SUBSTITUTE(INDIRECT("C"&amp;$R102&amp;"")," 週3ｺｰｽ","")," 週5ｺｰｽ",""),"")</f>
        <v/>
      </c>
      <c r="T102" s="51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91" t="str">
        <f t="array" aca="1" ref="U102" ca="1">IF($R102&lt;&gt;"",
INDIRECT("F"&amp;$R102&amp;""),"")</f>
        <v/>
      </c>
      <c r="V102" s="51" t="str">
        <f t="array" aca="1" ref="V102" ca="1">IF($R102&lt;&gt;"",
INDIRECT("G"&amp;$R102&amp;""),"")</f>
        <v/>
      </c>
      <c r="W102" s="51" t="str">
        <f t="array" aca="1" ref="W102" ca="1">IF($R102&lt;&gt;"",
IF(AND(COUNTIF(INDIRECT("B"&amp;R102&amp;""),"*雙葉*"),COUNTIF(B:B,"*雙葉*")&gt;=2),
IF(OR(COUNTIF(INDIRECT("B"&amp;R102&amp;""),"*雙葉先生*"),COUNTIF($B$1:$B$70,"*雙葉*")&gt;=2),INDIRECT("H"&amp;R102&amp;""),INDIRECT("H"&amp;R102&amp;"")+INDIRECT("H"&amp;MATCH("雙葉'",INDIRECT("B"&amp;R102+3&amp;":B210"),0)+2+R102&amp;"")),
IF(AND(LEFT(INDIRECT("B"&amp;R102&amp;""),2)="博多",COUNTIF(B:B,"*博多*")&gt;=2),
INDIRECT("H"&amp;R102&amp;"")+INDIRECT("H"&amp;MATCH("*"&amp;INDIRECT("B"&amp;R102&amp;"")&amp;"*",INDIRECT("B"&amp;R102+1&amp;":B210"),0)+R102&amp;""),
IF(AND(LEFT(INDIRECT("B"&amp;R102&amp;""),3)="奈良屋",COUNTIF(B:B,"*奈良屋*")&gt;=2),
INDIRECT("H"&amp;R102&amp;"")+INDIRECT("H"&amp;MATCH("*"&amp;INDIRECT("B"&amp;R102&amp;"")&amp;"*",INDIRECT("B"&amp;R102+1&amp;":B210"),0)+R102&amp;"")
+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INDIRECT("H"&amp;R102&amp;"")))),"")</f>
        <v/>
      </c>
      <c r="X102" s="51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51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51" t="str">
        <f t="shared" ca="1" si="25"/>
        <v/>
      </c>
      <c r="AA102" s="51" t="str">
        <f t="shared" ca="1" si="26"/>
        <v/>
      </c>
      <c r="AB102" s="51" t="str">
        <f t="array" aca="1" ref="AB102" ca="1">IF($R102&lt;&gt;"",
IF(AND(COUNTIF(INDIRECT("B"&amp;R102&amp;""),"*雙葉*"),COUNTIF(B:B,"*雙葉*")&gt;=2),
INDIRECT("M"&amp;R102&amp;"")+INDIRECT("M"&amp;MATCH("雙葉'",INDIRECT("B"&amp;R102+1&amp;":B210"),0)+R102&amp;""),
IF(AND(LEFT(INDIRECT("B"&amp;R102&amp;""),2)="博多",COUNTIF(B:B,"*博多*")&gt;=2),
INDIRECT("M"&amp;R102&amp;"")+INDIRECT("M"&amp;MATCH("*"&amp;INDIRECT("B"&amp;R102&amp;"")&amp;"*",INDIRECT("B"&amp;R102+1&amp;":B210"),0)+R102&amp;""),
IF(AND(LEFT(INDIRECT("B"&amp;R102&amp;""),3)="奈良屋",COUNTIF(B:B,"*奈良屋*")&gt;=2),
INDIRECT("M"&amp;R102&amp;"")+INDIRECT("M"&amp;MATCH("*"&amp;INDIRECT("B"&amp;R102&amp;"")&amp;"*",INDIRECT("B"&amp;R102+1&amp;":B210"),0)+R102&amp;"")
+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INDIRECT("M"&amp;R102&amp;"")))),"")</f>
        <v/>
      </c>
      <c r="AC102" s="51" t="str">
        <f t="shared" ca="1" si="27"/>
        <v/>
      </c>
      <c r="AD102" s="51" t="str">
        <f t="shared" ca="1" si="28"/>
        <v/>
      </c>
      <c r="AE102" s="51" t="str">
        <f t="shared" ca="1" si="29"/>
        <v/>
      </c>
      <c r="AF102" s="51" t="str">
        <f t="shared" ca="1" si="30"/>
        <v/>
      </c>
      <c r="AG102" s="51" t="str">
        <f t="shared" ca="1" si="31"/>
        <v/>
      </c>
      <c r="AH102" s="191" t="str">
        <f t="shared" ca="1" si="32"/>
        <v/>
      </c>
      <c r="AI102" s="51" t="str">
        <f t="shared" ca="1" si="33"/>
        <v/>
      </c>
      <c r="AJ102" s="51" t="str">
        <f t="shared" ca="1" si="34"/>
        <v/>
      </c>
      <c r="AK102" s="51" t="str">
        <f t="shared" ca="1" si="35"/>
        <v/>
      </c>
      <c r="AL102" s="51" t="str">
        <f t="shared" ca="1" si="36"/>
        <v/>
      </c>
      <c r="AM102" s="51" t="str">
        <f t="shared" ca="1" si="37"/>
        <v/>
      </c>
      <c r="AN102" s="51" t="str">
        <f t="shared" ca="1" si="38"/>
        <v/>
      </c>
      <c r="AO102" s="51" t="str">
        <f t="shared" ca="1" si="39"/>
        <v/>
      </c>
      <c r="AP102" s="51" t="str">
        <f t="shared" ca="1" si="40"/>
        <v/>
      </c>
      <c r="AU102" s="51" t="str">
        <f t="shared" ca="1" si="41"/>
        <v/>
      </c>
    </row>
    <row r="103" spans="1:47" ht="22.2" customHeight="1">
      <c r="A103" s="179">
        <f t="shared" si="45"/>
        <v>71</v>
      </c>
      <c r="B103" s="180" t="str">
        <f t="shared" ref="B103:B134" ca="1" si="46">IF(COUNTIF(C103,"*雙葉*"),
IF(COUNTIF(INDIRECT("B1:B"&amp;ROW()-1&amp;""),"雙葉"),
IF(COUNTIF(C103,"*先生*"),"雙葉先生","雙葉'"),"雙葉"),
IF(COUNTIF(C103,"*社食*"),"社食'",
IF(LEFT(C103,2)="博多",
IF(IFERROR(TRIM(LEFT(C102,FIND("幼",C102)-1)),TRIM(C102))=IFERROR(TRIM(LEFT(C103,FIND("幼",C103)-1)),TRIM(C103)),
IFERROR(TRIM(LEFT(C103,FIND("幼",C103)-1)),TRIM(C103))&amp;"'",IFERROR(TRIM(LEFT(C103,FIND("幼",C103)-1)),TRIM(C103))),
IF(LEFT(C103,3)="奈良屋",
IF(TRIM(LEFT(C102,FIND("幼",C102)-1))=TRIM(LEFT(C103,FIND("幼",C103)-1)),
"奈良屋'","奈良屋"),""))))</f>
        <v/>
      </c>
      <c r="C103" s="180" t="str">
        <f>IF(OR(クライアント抽出!C33&lt;&gt;"",クライアント抽出!F33&lt;&gt;""),クライアント抽出!A33,"")</f>
        <v/>
      </c>
      <c r="D103" s="180" t="str">
        <f t="array" aca="1" ref="D103" ca="1">IF(C103&lt;&gt;"",INDIRECT("クライアント抽出!"&amp;E103&amp;MATCH(C103,クライアント抽出!A:A,0)&amp;""),"")</f>
        <v/>
      </c>
      <c r="E103" s="180" t="str">
        <f>IF(H103&lt;&gt;0,
IFERROR(
SUBSTITUTE(ADDRESS(1,
MATCH(VALUE(H103),クライアント抽出!A33:G33,0)+8,4),"1",""),
""),
IFERROR(
SUBSTITUTE(ADDRESS(1,
MATCH(VALUE(I103),クライアント抽出!A33:G33,0)+8,4),"1",""),
""))</f>
        <v/>
      </c>
      <c r="F103" s="181" t="str">
        <f ca="1">IF(D103&lt;&gt;"",
IF(COUNTIF(C103,"*雙葉*"),
IF(ROUND((H103-M103)
/IF(COUNTIF(D103,"*キャラ*"),
VLOOKUP("*キャラ*",商品マスタ一覧!$D:$E,2,FALSE),
IF(COUNTIF(D103,"*赤*"),
VLOOKUP("*赤*",商品マスタ一覧!$D:$E,2,FALSE),
VLOOKUP("*"&amp;D103&amp;"*",商品マスタ一覧!$D:$E,2,FALSE))),0)&lt;=0,1,
ROUND((H103-M103)
/IF(COUNTIF(D103,"*キャラ*"),
VLOOKUP("*キャラ*",商品マスタ一覧!$D:$E,2,FALSE),
IF(COUNTIF(D103,"*赤*"),
VLOOKUP("*赤*",商品マスタ一覧!$D:$E,2,FALSE),
VLOOKUP("*"&amp;D103&amp;"*",商品マスタ一覧!$D:$E,2,FALSE))),0)),
IF(OR(COUNTIF(D103,"*キャラ*"),COUNTIF(D103,"*赤*")),"",
IF(VLOOKUP("*"&amp;D103&amp;"*",商品マスタ一覧!$D:$E,2,FALSE)=0,"",
IF(ROUND((H103-M103)
/VLOOKUP("*"&amp;D103&amp;"*",商品マスタ一覧!$D:$E,2,FALSE),0)&lt;=0,1,
ROUND((H103-M103)
/VLOOKUP("*"&amp;D103&amp;"*",商品マスタ一覧!$D:$E,2,FALSE),0))))),"")</f>
        <v/>
      </c>
      <c r="G103" s="180" t="str">
        <f ca="1">IF(F103&lt;&gt;"",
IF(VALUE(H103-M103)&gt;VALUE(IF(COUNTIF(D103,"*キャラ*"),
VLOOKUP("*キャラ*",商品マスタ一覧!$D:$E,2,FALSE),
IF(COUNTIF(D103,"*赤*"),
VLOOKUP("*赤*",商品マスタ一覧!$D:$E,2,FALSE),
VLOOKUP("*"&amp;D103&amp;"*",商品マスタ一覧!$D:$E,2,FALSE)))*F103),
"+"&amp;(H103-M103)-IF(COUNTIF(D103,"*キャラ*"),
VLOOKUP("*キャラ*",商品マスタ一覧!$D:$E,2,FALSE),
IF(COUNTIF(D103,"*赤*"),
VLOOKUP("*赤*",商品マスタ一覧!$D:$E,2,FALSE),
VLOOKUP("*"&amp;D103&amp;"*",商品マスタ一覧!$D:$E,2,FALSE)))*F103,
(H103-M103)-IF(COUNTIF(D103,"*キャラ*"),
VLOOKUP("*キャラ*",商品マスタ一覧!$D:$E,2,FALSE),
IF(COUNTIF(D103,"*赤*"),
VLOOKUP("*赤*",商品マスタ一覧!$D:$E,2,FALSE),
VLOOKUP("*"&amp;D103&amp;"*",商品マスタ一覧!$D:$E,2,FALSE)))*F103),"")</f>
        <v/>
      </c>
      <c r="H103" s="182" t="str">
        <f>IF(C103&lt;&gt;"",
クライアント抽出!C33,"")</f>
        <v/>
      </c>
      <c r="I103" s="180" t="str">
        <f t="array" aca="1" ref="I103" ca="1">IF(C103&lt;&gt;"",
IF(O103=1,
IF(SUMPRODUCT(COUNTIF(クライアント抽出!P33:U33,クライアント抽出!P33:U33))&gt;COUNTA(クライアント抽出!P33:U33),
INDIRECT("数出表_Excel!"&amp;INDEX(_xlfn.UNIQUE(_xlfn._xlws.FILTER(クライアント抽出!P33:U33,COUNTIF(クライアント抽出!P33:U33,クライアント抽出!P33:U33)=1)),1)&amp;L103&amp;""),
0),クライアント抽出!F33),"")</f>
        <v/>
      </c>
      <c r="J103" s="180" t="str">
        <f>IF(C103&lt;&gt;"",
VLOOKUP(
"*"&amp;LEFT(IF(COUNTIF(D103,"*学食*"),"キャラ弁（学食）",
IF(COUNTIF(D103,"*赤*"),"赤",
IF(COUNTIF(D103,"*キャラ弁当*"),"キャラ弁当",D103))),4)&amp;"*",注文弁当の抽出!$E$1:$F$15,2,FALSE),"")</f>
        <v/>
      </c>
      <c r="K103" s="180" t="str">
        <f ca="1">IF(クライアント抽出!Q33&lt;&gt;"",SUBSTITUTE(ADDRESS(1,(CODE(クライアント抽出!Q33)-64)*2-1,4),"1",""),"")</f>
        <v/>
      </c>
      <c r="L103" s="180" t="str">
        <f>IF(C33&lt;&gt;"",クライアント抽出!I33,"")</f>
        <v/>
      </c>
      <c r="M103" s="180">
        <f t="array" aca="1" ref="M103" ca="1">IF(C103&lt;&gt;"",
IF(K103&lt;&gt;"",INDIRECT("'数出表_Excel（アレルギー入力）'!"&amp;K103&amp;L103-1&amp;""),),)</f>
        <v>0</v>
      </c>
      <c r="N103" s="180" t="str">
        <f>IF(C103&lt;&gt;"",IF(OR(COUNTIF('盛付札（関数）'!D103,"*赤*"),COUNTIF('盛付札（関数）'!D103,"*キャラ*")),1,
VLOOKUP("*"&amp;D103&amp;"*",商品マスタ一覧!D:H,5,FALSE)),"")</f>
        <v/>
      </c>
      <c r="O103" s="180">
        <f t="shared" ref="O103:O134" ca="1" si="47">O33</f>
        <v>0</v>
      </c>
      <c r="P103" s="180">
        <f t="shared" si="23"/>
        <v>0</v>
      </c>
      <c r="Q103" s="180" t="b">
        <f t="shared" si="24"/>
        <v>0</v>
      </c>
      <c r="R103" s="51" t="str">
        <f t="array" aca="1" ref="R103" ca="1">IFERROR(SMALL(IF(P$1:P$307&lt;&gt;0,P$1:P$307),ROW(A103)),"")</f>
        <v/>
      </c>
      <c r="S103" s="51" t="str">
        <f t="array" aca="1" ref="S103" ca="1">IF($R103&lt;&gt;"",
SUBSTITUTE(SUBSTITUTE(INDIRECT("C"&amp;$R103&amp;"")," 週3ｺｰｽ","")," 週5ｺｰｽ",""),"")</f>
        <v/>
      </c>
      <c r="T103" s="51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91" t="str">
        <f t="array" aca="1" ref="U103" ca="1">IF($R103&lt;&gt;"",
INDIRECT("F"&amp;$R103&amp;""),"")</f>
        <v/>
      </c>
      <c r="V103" s="51" t="str">
        <f t="array" aca="1" ref="V103" ca="1">IF($R103&lt;&gt;"",
INDIRECT("G"&amp;$R103&amp;""),"")</f>
        <v/>
      </c>
      <c r="W103" s="51" t="str">
        <f t="array" aca="1" ref="W103" ca="1">IF($R103&lt;&gt;"",
IF(AND(COUNTIF(INDIRECT("B"&amp;R103&amp;""),"*雙葉*"),COUNTIF(B:B,"*雙葉*")&gt;=2),
IF(OR(COUNTIF(INDIRECT("B"&amp;R103&amp;""),"*雙葉先生*"),COUNTIF($B$1:$B$70,"*雙葉*")&gt;=2),INDIRECT("H"&amp;R103&amp;""),INDIRECT("H"&amp;R103&amp;"")+INDIRECT("H"&amp;MATCH("雙葉'",INDIRECT("B"&amp;R103+3&amp;":B210"),0)+2+R103&amp;"")),
IF(AND(LEFT(INDIRECT("B"&amp;R103&amp;""),2)="博多",COUNTIF(B:B,"*博多*")&gt;=2),
INDIRECT("H"&amp;R103&amp;"")+INDIRECT("H"&amp;MATCH("*"&amp;INDIRECT("B"&amp;R103&amp;"")&amp;"*",INDIRECT("B"&amp;R103+1&amp;":B210"),0)+R103&amp;""),
IF(AND(LEFT(INDIRECT("B"&amp;R103&amp;""),3)="奈良屋",COUNTIF(B:B,"*奈良屋*")&gt;=2),
INDIRECT("H"&amp;R103&amp;"")+INDIRECT("H"&amp;MATCH("*"&amp;INDIRECT("B"&amp;R103&amp;"")&amp;"*",INDIRECT("B"&amp;R103+1&amp;":B210"),0)+R103&amp;"")
+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INDIRECT("H"&amp;R103&amp;"")))),"")</f>
        <v/>
      </c>
      <c r="X103" s="51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51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51" t="str">
        <f t="shared" ca="1" si="25"/>
        <v/>
      </c>
      <c r="AA103" s="51" t="str">
        <f t="shared" ca="1" si="26"/>
        <v/>
      </c>
      <c r="AB103" s="51" t="str">
        <f t="array" aca="1" ref="AB103" ca="1">IF($R103&lt;&gt;"",
IF(AND(COUNTIF(INDIRECT("B"&amp;R103&amp;""),"*雙葉*"),COUNTIF(B:B,"*雙葉*")&gt;=2),
INDIRECT("M"&amp;R103&amp;"")+INDIRECT("M"&amp;MATCH("雙葉'",INDIRECT("B"&amp;R103+1&amp;":B210"),0)+R103&amp;""),
IF(AND(LEFT(INDIRECT("B"&amp;R103&amp;""),2)="博多",COUNTIF(B:B,"*博多*")&gt;=2),
INDIRECT("M"&amp;R103&amp;"")+INDIRECT("M"&amp;MATCH("*"&amp;INDIRECT("B"&amp;R103&amp;"")&amp;"*",INDIRECT("B"&amp;R103+1&amp;":B210"),0)+R103&amp;""),
IF(AND(LEFT(INDIRECT("B"&amp;R103&amp;""),3)="奈良屋",COUNTIF(B:B,"*奈良屋*")&gt;=2),
INDIRECT("M"&amp;R103&amp;"")+INDIRECT("M"&amp;MATCH("*"&amp;INDIRECT("B"&amp;R103&amp;"")&amp;"*",INDIRECT("B"&amp;R103+1&amp;":B210"),0)+R103&amp;"")
+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INDIRECT("M"&amp;R103&amp;"")))),"")</f>
        <v/>
      </c>
      <c r="AC103" s="51" t="str">
        <f t="shared" ca="1" si="27"/>
        <v/>
      </c>
      <c r="AD103" s="51" t="str">
        <f t="shared" ca="1" si="28"/>
        <v/>
      </c>
      <c r="AE103" s="51" t="str">
        <f t="shared" ca="1" si="29"/>
        <v/>
      </c>
      <c r="AF103" s="51" t="str">
        <f t="shared" ca="1" si="30"/>
        <v/>
      </c>
      <c r="AG103" s="51" t="str">
        <f t="shared" ca="1" si="31"/>
        <v/>
      </c>
      <c r="AH103" s="191" t="str">
        <f t="shared" ca="1" si="32"/>
        <v/>
      </c>
      <c r="AI103" s="51" t="str">
        <f t="shared" ca="1" si="33"/>
        <v/>
      </c>
      <c r="AJ103" s="51" t="str">
        <f t="shared" ca="1" si="34"/>
        <v/>
      </c>
      <c r="AK103" s="51" t="str">
        <f t="shared" ca="1" si="35"/>
        <v/>
      </c>
      <c r="AL103" s="51" t="str">
        <f t="shared" ca="1" si="36"/>
        <v/>
      </c>
      <c r="AM103" s="51" t="str">
        <f t="shared" ca="1" si="37"/>
        <v/>
      </c>
      <c r="AN103" s="51" t="str">
        <f t="shared" ca="1" si="38"/>
        <v/>
      </c>
      <c r="AO103" s="51" t="str">
        <f t="shared" ca="1" si="39"/>
        <v/>
      </c>
      <c r="AP103" s="51" t="str">
        <f t="shared" ca="1" si="40"/>
        <v/>
      </c>
      <c r="AU103" s="51" t="str">
        <f t="shared" ca="1" si="41"/>
        <v/>
      </c>
    </row>
    <row r="104" spans="1:47" ht="22.2" customHeight="1">
      <c r="A104" s="179">
        <f t="shared" ref="A104:A140" si="48">A103+2</f>
        <v>73</v>
      </c>
      <c r="B104" s="180" t="str">
        <f t="shared" ca="1" si="46"/>
        <v/>
      </c>
      <c r="C104" s="180" t="str">
        <f>IF(OR(クライアント抽出!C34&lt;&gt;"",クライアント抽出!F34&lt;&gt;""),クライアント抽出!A34,"")</f>
        <v/>
      </c>
      <c r="D104" s="180" t="str">
        <f t="array" aca="1" ref="D104" ca="1">IF(C104&lt;&gt;"",INDIRECT("クライアント抽出!"&amp;E104&amp;MATCH(C104,クライアント抽出!A:A,0)&amp;""),"")</f>
        <v/>
      </c>
      <c r="E104" s="180" t="str">
        <f>IF(H104&lt;&gt;0,
IFERROR(
SUBSTITUTE(ADDRESS(1,
MATCH(VALUE(H104),クライアント抽出!A34:G34,0)+8,4),"1",""),
""),
IFERROR(
SUBSTITUTE(ADDRESS(1,
MATCH(VALUE(I104),クライアント抽出!A34:G34,0)+8,4),"1",""),
""))</f>
        <v/>
      </c>
      <c r="F104" s="181" t="str">
        <f ca="1">IF(D104&lt;&gt;"",
IF(COUNTIF(C104,"*雙葉*"),
IF(ROUND((H104-M104)
/IF(COUNTIF(D104,"*キャラ*"),
VLOOKUP("*キャラ*",商品マスタ一覧!$D:$E,2,FALSE),
IF(COUNTIF(D104,"*赤*"),
VLOOKUP("*赤*",商品マスタ一覧!$D:$E,2,FALSE),
VLOOKUP("*"&amp;D104&amp;"*",商品マスタ一覧!$D:$E,2,FALSE))),0)&lt;=0,1,
ROUND((H104-M104)
/IF(COUNTIF(D104,"*キャラ*"),
VLOOKUP("*キャラ*",商品マスタ一覧!$D:$E,2,FALSE),
IF(COUNTIF(D104,"*赤*"),
VLOOKUP("*赤*",商品マスタ一覧!$D:$E,2,FALSE),
VLOOKUP("*"&amp;D104&amp;"*",商品マスタ一覧!$D:$E,2,FALSE))),0)),
IF(OR(COUNTIF(D104,"*キャラ*"),COUNTIF(D104,"*赤*")),"",
IF(VLOOKUP("*"&amp;D104&amp;"*",商品マスタ一覧!$D:$E,2,FALSE)=0,"",
IF(ROUND((H104-M104)
/VLOOKUP("*"&amp;D104&amp;"*",商品マスタ一覧!$D:$E,2,FALSE),0)&lt;=0,1,
ROUND((H104-M104)
/VLOOKUP("*"&amp;D104&amp;"*",商品マスタ一覧!$D:$E,2,FALSE),0))))),"")</f>
        <v/>
      </c>
      <c r="G104" s="180" t="str">
        <f ca="1">IF(F104&lt;&gt;"",
IF(VALUE(H104-M104)&gt;VALUE(IF(COUNTIF(D104,"*キャラ*"),
VLOOKUP("*キャラ*",商品マスタ一覧!$D:$E,2,FALSE),
IF(COUNTIF(D104,"*赤*"),
VLOOKUP("*赤*",商品マスタ一覧!$D:$E,2,FALSE),
VLOOKUP("*"&amp;D104&amp;"*",商品マスタ一覧!$D:$E,2,FALSE)))*F104),
"+"&amp;(H104-M104)-IF(COUNTIF(D104,"*キャラ*"),
VLOOKUP("*キャラ*",商品マスタ一覧!$D:$E,2,FALSE),
IF(COUNTIF(D104,"*赤*"),
VLOOKUP("*赤*",商品マスタ一覧!$D:$E,2,FALSE),
VLOOKUP("*"&amp;D104&amp;"*",商品マスタ一覧!$D:$E,2,FALSE)))*F104,
(H104-M104)-IF(COUNTIF(D104,"*キャラ*"),
VLOOKUP("*キャラ*",商品マスタ一覧!$D:$E,2,FALSE),
IF(COUNTIF(D104,"*赤*"),
VLOOKUP("*赤*",商品マスタ一覧!$D:$E,2,FALSE),
VLOOKUP("*"&amp;D104&amp;"*",商品マスタ一覧!$D:$E,2,FALSE)))*F104),"")</f>
        <v/>
      </c>
      <c r="H104" s="182" t="str">
        <f>IF(C104&lt;&gt;"",
クライアント抽出!C34,"")</f>
        <v/>
      </c>
      <c r="I104" s="180" t="str">
        <f t="array" aca="1" ref="I104" ca="1">IF(C104&lt;&gt;"",
IF(O104=1,
IF(SUMPRODUCT(COUNTIF(クライアント抽出!P34:U34,クライアント抽出!P34:U34))&gt;COUNTA(クライアント抽出!P34:U34),
INDIRECT("数出表_Excel!"&amp;INDEX(_xlfn.UNIQUE(_xlfn._xlws.FILTER(クライアント抽出!P34:U34,COUNTIF(クライアント抽出!P34:U34,クライアント抽出!P34:U34)=1)),1)&amp;L104&amp;""),
0),クライアント抽出!F34),"")</f>
        <v/>
      </c>
      <c r="J104" s="180" t="str">
        <f>IF(C104&lt;&gt;"",
VLOOKUP(
"*"&amp;LEFT(IF(COUNTIF(D104,"*学食*"),"キャラ弁（学食）",
IF(COUNTIF(D104,"*赤*"),"赤",
IF(COUNTIF(D104,"*キャラ弁当*"),"キャラ弁当",D104))),4)&amp;"*",注文弁当の抽出!$E$1:$F$15,2,FALSE),"")</f>
        <v/>
      </c>
      <c r="K104" s="180" t="str">
        <f ca="1">IF(クライアント抽出!Q34&lt;&gt;"",SUBSTITUTE(ADDRESS(1,(CODE(クライアント抽出!Q34)-64)*2-1,4),"1",""),"")</f>
        <v/>
      </c>
      <c r="L104" s="180" t="str">
        <f>IF(C34&lt;&gt;"",クライアント抽出!I34,"")</f>
        <v/>
      </c>
      <c r="M104" s="180">
        <f t="array" aca="1" ref="M104" ca="1">IF(C104&lt;&gt;"",
IF(K104&lt;&gt;"",INDIRECT("'数出表_Excel（アレルギー入力）'!"&amp;K104&amp;L104-1&amp;""),),)</f>
        <v>0</v>
      </c>
      <c r="N104" s="180" t="str">
        <f>IF(C104&lt;&gt;"",IF(OR(COUNTIF('盛付札（関数）'!D104,"*赤*"),COUNTIF('盛付札（関数）'!D104,"*キャラ*")),1,
VLOOKUP("*"&amp;D104&amp;"*",商品マスタ一覧!D:H,5,FALSE)),"")</f>
        <v/>
      </c>
      <c r="O104" s="180">
        <f t="shared" ca="1" si="47"/>
        <v>0</v>
      </c>
      <c r="P104" s="180">
        <f t="shared" si="23"/>
        <v>0</v>
      </c>
      <c r="Q104" s="180" t="b">
        <f t="shared" si="24"/>
        <v>0</v>
      </c>
      <c r="R104" s="51" t="str">
        <f t="array" aca="1" ref="R104" ca="1">IFERROR(SMALL(IF(P$1:P$307&lt;&gt;0,P$1:P$307),ROW(A104)),"")</f>
        <v/>
      </c>
      <c r="S104" s="51" t="str">
        <f t="array" aca="1" ref="S104" ca="1">IF($R104&lt;&gt;"",
SUBSTITUTE(SUBSTITUTE(INDIRECT("C"&amp;$R104&amp;"")," 週3ｺｰｽ","")," 週5ｺｰｽ",""),"")</f>
        <v/>
      </c>
      <c r="T104" s="51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91" t="str">
        <f t="array" aca="1" ref="U104" ca="1">IF($R104&lt;&gt;"",
INDIRECT("F"&amp;$R104&amp;""),"")</f>
        <v/>
      </c>
      <c r="V104" s="51" t="str">
        <f t="array" aca="1" ref="V104" ca="1">IF($R104&lt;&gt;"",
INDIRECT("G"&amp;$R104&amp;""),"")</f>
        <v/>
      </c>
      <c r="W104" s="51" t="str">
        <f t="array" aca="1" ref="W104" ca="1">IF($R104&lt;&gt;"",
IF(AND(COUNTIF(INDIRECT("B"&amp;R104&amp;""),"*雙葉*"),COUNTIF(B:B,"*雙葉*")&gt;=2),
IF(OR(COUNTIF(INDIRECT("B"&amp;R104&amp;""),"*雙葉先生*"),COUNTIF($B$1:$B$70,"*雙葉*")&gt;=2),INDIRECT("H"&amp;R104&amp;""),INDIRECT("H"&amp;R104&amp;"")+INDIRECT("H"&amp;MATCH("雙葉'",INDIRECT("B"&amp;R104+3&amp;":B210"),0)+2+R104&amp;"")),
IF(AND(LEFT(INDIRECT("B"&amp;R104&amp;""),2)="博多",COUNTIF(B:B,"*博多*")&gt;=2),
INDIRECT("H"&amp;R104&amp;"")+INDIRECT("H"&amp;MATCH("*"&amp;INDIRECT("B"&amp;R104&amp;"")&amp;"*",INDIRECT("B"&amp;R104+1&amp;":B210"),0)+R104&amp;""),
IF(AND(LEFT(INDIRECT("B"&amp;R104&amp;""),3)="奈良屋",COUNTIF(B:B,"*奈良屋*")&gt;=2),
INDIRECT("H"&amp;R104&amp;"")+INDIRECT("H"&amp;MATCH("*"&amp;INDIRECT("B"&amp;R104&amp;"")&amp;"*",INDIRECT("B"&amp;R104+1&amp;":B210"),0)+R104&amp;"")
+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INDIRECT("H"&amp;R104&amp;"")))),"")</f>
        <v/>
      </c>
      <c r="X104" s="51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51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51" t="str">
        <f t="shared" ca="1" si="25"/>
        <v/>
      </c>
      <c r="AA104" s="51" t="str">
        <f t="shared" ca="1" si="26"/>
        <v/>
      </c>
      <c r="AB104" s="51" t="str">
        <f t="array" aca="1" ref="AB104" ca="1">IF($R104&lt;&gt;"",
IF(AND(COUNTIF(INDIRECT("B"&amp;R104&amp;""),"*雙葉*"),COUNTIF(B:B,"*雙葉*")&gt;=2),
INDIRECT("M"&amp;R104&amp;"")+INDIRECT("M"&amp;MATCH("雙葉'",INDIRECT("B"&amp;R104+1&amp;":B210"),0)+R104&amp;""),
IF(AND(LEFT(INDIRECT("B"&amp;R104&amp;""),2)="博多",COUNTIF(B:B,"*博多*")&gt;=2),
INDIRECT("M"&amp;R104&amp;"")+INDIRECT("M"&amp;MATCH("*"&amp;INDIRECT("B"&amp;R104&amp;"")&amp;"*",INDIRECT("B"&amp;R104+1&amp;":B210"),0)+R104&amp;""),
IF(AND(LEFT(INDIRECT("B"&amp;R104&amp;""),3)="奈良屋",COUNTIF(B:B,"*奈良屋*")&gt;=2),
INDIRECT("M"&amp;R104&amp;"")+INDIRECT("M"&amp;MATCH("*"&amp;INDIRECT("B"&amp;R104&amp;"")&amp;"*",INDIRECT("B"&amp;R104+1&amp;":B210"),0)+R104&amp;"")
+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INDIRECT("M"&amp;R104&amp;"")))),"")</f>
        <v/>
      </c>
      <c r="AC104" s="51" t="str">
        <f t="shared" ca="1" si="27"/>
        <v/>
      </c>
      <c r="AD104" s="51" t="str">
        <f t="shared" ca="1" si="28"/>
        <v/>
      </c>
      <c r="AE104" s="51" t="str">
        <f t="shared" ca="1" si="29"/>
        <v/>
      </c>
      <c r="AF104" s="51" t="str">
        <f t="shared" ca="1" si="30"/>
        <v/>
      </c>
      <c r="AG104" s="51" t="str">
        <f t="shared" ca="1" si="31"/>
        <v/>
      </c>
      <c r="AH104" s="191" t="str">
        <f t="shared" ca="1" si="32"/>
        <v/>
      </c>
      <c r="AI104" s="51" t="str">
        <f t="shared" ca="1" si="33"/>
        <v/>
      </c>
      <c r="AJ104" s="51" t="str">
        <f t="shared" ca="1" si="34"/>
        <v/>
      </c>
      <c r="AK104" s="51" t="str">
        <f t="shared" ca="1" si="35"/>
        <v/>
      </c>
      <c r="AL104" s="51" t="str">
        <f t="shared" ca="1" si="36"/>
        <v/>
      </c>
      <c r="AM104" s="51" t="str">
        <f t="shared" ca="1" si="37"/>
        <v/>
      </c>
      <c r="AN104" s="51" t="str">
        <f t="shared" ca="1" si="38"/>
        <v/>
      </c>
      <c r="AO104" s="51" t="str">
        <f t="shared" ca="1" si="39"/>
        <v/>
      </c>
      <c r="AP104" s="51" t="str">
        <f t="shared" ca="1" si="40"/>
        <v/>
      </c>
      <c r="AU104" s="51" t="str">
        <f t="shared" ca="1" si="41"/>
        <v/>
      </c>
    </row>
    <row r="105" spans="1:47" ht="22.2" customHeight="1">
      <c r="A105" s="179">
        <f t="shared" si="48"/>
        <v>75</v>
      </c>
      <c r="B105" s="180" t="str">
        <f t="shared" ca="1" si="46"/>
        <v/>
      </c>
      <c r="C105" s="180" t="str">
        <f>IF(OR(クライアント抽出!C35&lt;&gt;"",クライアント抽出!F35&lt;&gt;""),クライアント抽出!A35,"")</f>
        <v/>
      </c>
      <c r="D105" s="180" t="str">
        <f t="array" aca="1" ref="D105" ca="1">IF(C105&lt;&gt;"",INDIRECT("クライアント抽出!"&amp;E105&amp;MATCH(C105,クライアント抽出!A:A,0)&amp;""),"")</f>
        <v/>
      </c>
      <c r="E105" s="180" t="str">
        <f>IF(H105&lt;&gt;0,
IFERROR(
SUBSTITUTE(ADDRESS(1,
MATCH(VALUE(H105),クライアント抽出!A35:G35,0)+8,4),"1",""),
""),
IFERROR(
SUBSTITUTE(ADDRESS(1,
MATCH(VALUE(I105),クライアント抽出!A35:G35,0)+8,4),"1",""),
""))</f>
        <v/>
      </c>
      <c r="F105" s="181" t="str">
        <f ca="1">IF(D105&lt;&gt;"",
IF(COUNTIF(C105,"*雙葉*"),
IF(ROUND((H105-M105)
/IF(COUNTIF(D105,"*キャラ*"),
VLOOKUP("*キャラ*",商品マスタ一覧!$D:$E,2,FALSE),
IF(COUNTIF(D105,"*赤*"),
VLOOKUP("*赤*",商品マスタ一覧!$D:$E,2,FALSE),
VLOOKUP("*"&amp;D105&amp;"*",商品マスタ一覧!$D:$E,2,FALSE))),0)&lt;=0,1,
ROUND((H105-M105)
/IF(COUNTIF(D105,"*キャラ*"),
VLOOKUP("*キャラ*",商品マスタ一覧!$D:$E,2,FALSE),
IF(COUNTIF(D105,"*赤*"),
VLOOKUP("*赤*",商品マスタ一覧!$D:$E,2,FALSE),
VLOOKUP("*"&amp;D105&amp;"*",商品マスタ一覧!$D:$E,2,FALSE))),0)),
IF(OR(COUNTIF(D105,"*キャラ*"),COUNTIF(D105,"*赤*")),"",
IF(VLOOKUP("*"&amp;D105&amp;"*",商品マスタ一覧!$D:$E,2,FALSE)=0,"",
IF(ROUND((H105-M105)
/VLOOKUP("*"&amp;D105&amp;"*",商品マスタ一覧!$D:$E,2,FALSE),0)&lt;=0,1,
ROUND((H105-M105)
/VLOOKUP("*"&amp;D105&amp;"*",商品マスタ一覧!$D:$E,2,FALSE),0))))),"")</f>
        <v/>
      </c>
      <c r="G105" s="180" t="str">
        <f ca="1">IF(F105&lt;&gt;"",
IF(VALUE(H105-M105)&gt;VALUE(IF(COUNTIF(D105,"*キャラ*"),
VLOOKUP("*キャラ*",商品マスタ一覧!$D:$E,2,FALSE),
IF(COUNTIF(D105,"*赤*"),
VLOOKUP("*赤*",商品マスタ一覧!$D:$E,2,FALSE),
VLOOKUP("*"&amp;D105&amp;"*",商品マスタ一覧!$D:$E,2,FALSE)))*F105),
"+"&amp;(H105-M105)-IF(COUNTIF(D105,"*キャラ*"),
VLOOKUP("*キャラ*",商品マスタ一覧!$D:$E,2,FALSE),
IF(COUNTIF(D105,"*赤*"),
VLOOKUP("*赤*",商品マスタ一覧!$D:$E,2,FALSE),
VLOOKUP("*"&amp;D105&amp;"*",商品マスタ一覧!$D:$E,2,FALSE)))*F105,
(H105-M105)-IF(COUNTIF(D105,"*キャラ*"),
VLOOKUP("*キャラ*",商品マスタ一覧!$D:$E,2,FALSE),
IF(COUNTIF(D105,"*赤*"),
VLOOKUP("*赤*",商品マスタ一覧!$D:$E,2,FALSE),
VLOOKUP("*"&amp;D105&amp;"*",商品マスタ一覧!$D:$E,2,FALSE)))*F105),"")</f>
        <v/>
      </c>
      <c r="H105" s="182" t="str">
        <f>IF(C105&lt;&gt;"",
クライアント抽出!C35,"")</f>
        <v/>
      </c>
      <c r="I105" s="180" t="str">
        <f t="array" aca="1" ref="I105" ca="1">IF(C105&lt;&gt;"",
IF(O105=1,
IF(SUMPRODUCT(COUNTIF(クライアント抽出!P35:U35,クライアント抽出!P35:U35))&gt;COUNTA(クライアント抽出!P35:U35),
INDIRECT("数出表_Excel!"&amp;INDEX(_xlfn.UNIQUE(_xlfn._xlws.FILTER(クライアント抽出!P35:U35,COUNTIF(クライアント抽出!P35:U35,クライアント抽出!P35:U35)=1)),1)&amp;L105&amp;""),
0),クライアント抽出!F35),"")</f>
        <v/>
      </c>
      <c r="J105" s="180" t="str">
        <f>IF(C105&lt;&gt;"",
VLOOKUP(
"*"&amp;LEFT(IF(COUNTIF(D105,"*学食*"),"キャラ弁（学食）",
IF(COUNTIF(D105,"*赤*"),"赤",
IF(COUNTIF(D105,"*キャラ弁当*"),"キャラ弁当",D105))),4)&amp;"*",注文弁当の抽出!$E$1:$F$15,2,FALSE),"")</f>
        <v/>
      </c>
      <c r="K105" s="180" t="str">
        <f ca="1">IF(クライアント抽出!Q35&lt;&gt;"",SUBSTITUTE(ADDRESS(1,(CODE(クライアント抽出!Q35)-64)*2-1,4),"1",""),"")</f>
        <v/>
      </c>
      <c r="L105" s="180" t="str">
        <f>IF(C35&lt;&gt;"",クライアント抽出!I35,"")</f>
        <v/>
      </c>
      <c r="M105" s="180">
        <f t="array" aca="1" ref="M105" ca="1">IF(C105&lt;&gt;"",
IF(K105&lt;&gt;"",INDIRECT("'数出表_Excel（アレルギー入力）'!"&amp;K105&amp;L105-1&amp;""),),)</f>
        <v>0</v>
      </c>
      <c r="N105" s="180" t="str">
        <f>IF(C105&lt;&gt;"",IF(OR(COUNTIF('盛付札（関数）'!D105,"*赤*"),COUNTIF('盛付札（関数）'!D105,"*キャラ*")),1,
VLOOKUP("*"&amp;D105&amp;"*",商品マスタ一覧!D:H,5,FALSE)),"")</f>
        <v/>
      </c>
      <c r="O105" s="180">
        <f t="shared" ca="1" si="47"/>
        <v>0</v>
      </c>
      <c r="P105" s="180">
        <f t="shared" si="23"/>
        <v>0</v>
      </c>
      <c r="Q105" s="180" t="b">
        <f t="shared" si="24"/>
        <v>0</v>
      </c>
      <c r="R105" s="51" t="str">
        <f t="array" aca="1" ref="R105" ca="1">IFERROR(SMALL(IF(P$1:P$307&lt;&gt;0,P$1:P$307),ROW(A105)),"")</f>
        <v/>
      </c>
      <c r="S105" s="51" t="str">
        <f t="array" aca="1" ref="S105" ca="1">IF($R105&lt;&gt;"",
SUBSTITUTE(SUBSTITUTE(INDIRECT("C"&amp;$R105&amp;"")," 週3ｺｰｽ","")," 週5ｺｰｽ",""),"")</f>
        <v/>
      </c>
      <c r="T105" s="51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91" t="str">
        <f t="array" aca="1" ref="U105" ca="1">IF($R105&lt;&gt;"",
INDIRECT("F"&amp;$R105&amp;""),"")</f>
        <v/>
      </c>
      <c r="V105" s="51" t="str">
        <f t="array" aca="1" ref="V105" ca="1">IF($R105&lt;&gt;"",
INDIRECT("G"&amp;$R105&amp;""),"")</f>
        <v/>
      </c>
      <c r="W105" s="51" t="str">
        <f t="array" aca="1" ref="W105" ca="1">IF($R105&lt;&gt;"",
IF(AND(COUNTIF(INDIRECT("B"&amp;R105&amp;""),"*雙葉*"),COUNTIF(B:B,"*雙葉*")&gt;=2),
IF(OR(COUNTIF(INDIRECT("B"&amp;R105&amp;""),"*雙葉先生*"),COUNTIF($B$1:$B$70,"*雙葉*")&gt;=2),INDIRECT("H"&amp;R105&amp;""),INDIRECT("H"&amp;R105&amp;"")+INDIRECT("H"&amp;MATCH("雙葉'",INDIRECT("B"&amp;R105+3&amp;":B210"),0)+2+R105&amp;"")),
IF(AND(LEFT(INDIRECT("B"&amp;R105&amp;""),2)="博多",COUNTIF(B:B,"*博多*")&gt;=2),
INDIRECT("H"&amp;R105&amp;"")+INDIRECT("H"&amp;MATCH("*"&amp;INDIRECT("B"&amp;R105&amp;"")&amp;"*",INDIRECT("B"&amp;R105+1&amp;":B210"),0)+R105&amp;""),
IF(AND(LEFT(INDIRECT("B"&amp;R105&amp;""),3)="奈良屋",COUNTIF(B:B,"*奈良屋*")&gt;=2),
INDIRECT("H"&amp;R105&amp;"")+INDIRECT("H"&amp;MATCH("*"&amp;INDIRECT("B"&amp;R105&amp;"")&amp;"*",INDIRECT("B"&amp;R105+1&amp;":B210"),0)+R105&amp;"")
+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INDIRECT("H"&amp;R105&amp;"")))),"")</f>
        <v/>
      </c>
      <c r="X105" s="51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51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51" t="str">
        <f t="shared" ca="1" si="25"/>
        <v/>
      </c>
      <c r="AA105" s="51" t="str">
        <f t="shared" ca="1" si="26"/>
        <v/>
      </c>
      <c r="AB105" s="51" t="str">
        <f t="array" aca="1" ref="AB105" ca="1">IF($R105&lt;&gt;"",
IF(AND(COUNTIF(INDIRECT("B"&amp;R105&amp;""),"*雙葉*"),COUNTIF(B:B,"*雙葉*")&gt;=2),
INDIRECT("M"&amp;R105&amp;"")+INDIRECT("M"&amp;MATCH("雙葉'",INDIRECT("B"&amp;R105+1&amp;":B210"),0)+R105&amp;""),
IF(AND(LEFT(INDIRECT("B"&amp;R105&amp;""),2)="博多",COUNTIF(B:B,"*博多*")&gt;=2),
INDIRECT("M"&amp;R105&amp;"")+INDIRECT("M"&amp;MATCH("*"&amp;INDIRECT("B"&amp;R105&amp;"")&amp;"*",INDIRECT("B"&amp;R105+1&amp;":B210"),0)+R105&amp;""),
IF(AND(LEFT(INDIRECT("B"&amp;R105&amp;""),3)="奈良屋",COUNTIF(B:B,"*奈良屋*")&gt;=2),
INDIRECT("M"&amp;R105&amp;"")+INDIRECT("M"&amp;MATCH("*"&amp;INDIRECT("B"&amp;R105&amp;"")&amp;"*",INDIRECT("B"&amp;R105+1&amp;":B210"),0)+R105&amp;"")
+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INDIRECT("M"&amp;R105&amp;"")))),"")</f>
        <v/>
      </c>
      <c r="AC105" s="51" t="str">
        <f t="shared" ca="1" si="27"/>
        <v/>
      </c>
      <c r="AD105" s="51" t="str">
        <f t="shared" ca="1" si="28"/>
        <v/>
      </c>
      <c r="AE105" s="51" t="str">
        <f t="shared" ca="1" si="29"/>
        <v/>
      </c>
      <c r="AF105" s="51" t="str">
        <f t="shared" ca="1" si="30"/>
        <v/>
      </c>
      <c r="AG105" s="51" t="str">
        <f t="shared" ca="1" si="31"/>
        <v/>
      </c>
      <c r="AH105" s="191" t="str">
        <f t="shared" ca="1" si="32"/>
        <v/>
      </c>
      <c r="AI105" s="51" t="str">
        <f t="shared" ca="1" si="33"/>
        <v/>
      </c>
      <c r="AJ105" s="51" t="str">
        <f t="shared" ca="1" si="34"/>
        <v/>
      </c>
      <c r="AK105" s="51" t="str">
        <f t="shared" ca="1" si="35"/>
        <v/>
      </c>
      <c r="AL105" s="51" t="str">
        <f t="shared" ca="1" si="36"/>
        <v/>
      </c>
      <c r="AM105" s="51" t="str">
        <f t="shared" ca="1" si="37"/>
        <v/>
      </c>
      <c r="AN105" s="51" t="str">
        <f t="shared" ca="1" si="38"/>
        <v/>
      </c>
      <c r="AO105" s="51" t="str">
        <f t="shared" ca="1" si="39"/>
        <v/>
      </c>
      <c r="AP105" s="51" t="str">
        <f t="shared" ca="1" si="40"/>
        <v/>
      </c>
      <c r="AU105" s="51" t="str">
        <f t="shared" ca="1" si="41"/>
        <v/>
      </c>
    </row>
    <row r="106" spans="1:47" ht="22.2" customHeight="1">
      <c r="A106" s="179">
        <f t="shared" si="48"/>
        <v>77</v>
      </c>
      <c r="B106" s="180" t="str">
        <f t="shared" ca="1" si="46"/>
        <v/>
      </c>
      <c r="C106" s="180" t="str">
        <f>IF(OR(クライアント抽出!C36&lt;&gt;"",クライアント抽出!F36&lt;&gt;""),クライアント抽出!A36,"")</f>
        <v/>
      </c>
      <c r="D106" s="180" t="str">
        <f t="array" aca="1" ref="D106" ca="1">IF(C106&lt;&gt;"",INDIRECT("クライアント抽出!"&amp;E106&amp;MATCH(C106,クライアント抽出!A:A,0)&amp;""),"")</f>
        <v/>
      </c>
      <c r="E106" s="180" t="str">
        <f>IF(H106&lt;&gt;0,
IFERROR(
SUBSTITUTE(ADDRESS(1,
MATCH(VALUE(H106),クライアント抽出!A36:G36,0)+8,4),"1",""),
""),
IFERROR(
SUBSTITUTE(ADDRESS(1,
MATCH(VALUE(I106),クライアント抽出!A36:G36,0)+8,4),"1",""),
""))</f>
        <v/>
      </c>
      <c r="F106" s="181" t="str">
        <f ca="1">IF(D106&lt;&gt;"",
IF(COUNTIF(C106,"*雙葉*"),
IF(ROUND((H106-M106)
/IF(COUNTIF(D106,"*キャラ*"),
VLOOKUP("*キャラ*",商品マスタ一覧!$D:$E,2,FALSE),
IF(COUNTIF(D106,"*赤*"),
VLOOKUP("*赤*",商品マスタ一覧!$D:$E,2,FALSE),
VLOOKUP("*"&amp;D106&amp;"*",商品マスタ一覧!$D:$E,2,FALSE))),0)&lt;=0,1,
ROUND((H106-M106)
/IF(COUNTIF(D106,"*キャラ*"),
VLOOKUP("*キャラ*",商品マスタ一覧!$D:$E,2,FALSE),
IF(COUNTIF(D106,"*赤*"),
VLOOKUP("*赤*",商品マスタ一覧!$D:$E,2,FALSE),
VLOOKUP("*"&amp;D106&amp;"*",商品マスタ一覧!$D:$E,2,FALSE))),0)),
IF(OR(COUNTIF(D106,"*キャラ*"),COUNTIF(D106,"*赤*")),"",
IF(VLOOKUP("*"&amp;D106&amp;"*",商品マスタ一覧!$D:$E,2,FALSE)=0,"",
IF(ROUND((H106-M106)
/VLOOKUP("*"&amp;D106&amp;"*",商品マスタ一覧!$D:$E,2,FALSE),0)&lt;=0,1,
ROUND((H106-M106)
/VLOOKUP("*"&amp;D106&amp;"*",商品マスタ一覧!$D:$E,2,FALSE),0))))),"")</f>
        <v/>
      </c>
      <c r="G106" s="180" t="str">
        <f ca="1">IF(F106&lt;&gt;"",
IF(VALUE(H106-M106)&gt;VALUE(IF(COUNTIF(D106,"*キャラ*"),
VLOOKUP("*キャラ*",商品マスタ一覧!$D:$E,2,FALSE),
IF(COUNTIF(D106,"*赤*"),
VLOOKUP("*赤*",商品マスタ一覧!$D:$E,2,FALSE),
VLOOKUP("*"&amp;D106&amp;"*",商品マスタ一覧!$D:$E,2,FALSE)))*F106),
"+"&amp;(H106-M106)-IF(COUNTIF(D106,"*キャラ*"),
VLOOKUP("*キャラ*",商品マスタ一覧!$D:$E,2,FALSE),
IF(COUNTIF(D106,"*赤*"),
VLOOKUP("*赤*",商品マスタ一覧!$D:$E,2,FALSE),
VLOOKUP("*"&amp;D106&amp;"*",商品マスタ一覧!$D:$E,2,FALSE)))*F106,
(H106-M106)-IF(COUNTIF(D106,"*キャラ*"),
VLOOKUP("*キャラ*",商品マスタ一覧!$D:$E,2,FALSE),
IF(COUNTIF(D106,"*赤*"),
VLOOKUP("*赤*",商品マスタ一覧!$D:$E,2,FALSE),
VLOOKUP("*"&amp;D106&amp;"*",商品マスタ一覧!$D:$E,2,FALSE)))*F106),"")</f>
        <v/>
      </c>
      <c r="H106" s="182" t="str">
        <f>IF(C106&lt;&gt;"",
クライアント抽出!C36,"")</f>
        <v/>
      </c>
      <c r="I106" s="180" t="str">
        <f t="array" aca="1" ref="I106" ca="1">IF(C106&lt;&gt;"",
IF(O106=1,
IF(SUMPRODUCT(COUNTIF(クライアント抽出!P36:U36,クライアント抽出!P36:U36))&gt;COUNTA(クライアント抽出!P36:U36),
INDIRECT("数出表_Excel!"&amp;INDEX(_xlfn.UNIQUE(_xlfn._xlws.FILTER(クライアント抽出!P36:U36,COUNTIF(クライアント抽出!P36:U36,クライアント抽出!P36:U36)=1)),1)&amp;L106&amp;""),
0),クライアント抽出!F36),"")</f>
        <v/>
      </c>
      <c r="J106" s="180" t="str">
        <f>IF(C106&lt;&gt;"",
VLOOKUP(
"*"&amp;LEFT(IF(COUNTIF(D106,"*学食*"),"キャラ弁（学食）",
IF(COUNTIF(D106,"*赤*"),"赤",
IF(COUNTIF(D106,"*キャラ弁当*"),"キャラ弁当",D106))),4)&amp;"*",注文弁当の抽出!$E$1:$F$15,2,FALSE),"")</f>
        <v/>
      </c>
      <c r="K106" s="180" t="str">
        <f ca="1">IF(クライアント抽出!Q36&lt;&gt;"",SUBSTITUTE(ADDRESS(1,(CODE(クライアント抽出!Q36)-64)*2-1,4),"1",""),"")</f>
        <v/>
      </c>
      <c r="L106" s="180" t="str">
        <f>IF(C36&lt;&gt;"",クライアント抽出!I36,"")</f>
        <v/>
      </c>
      <c r="M106" s="180">
        <f t="array" aca="1" ref="M106" ca="1">IF(C106&lt;&gt;"",
IF(K106&lt;&gt;"",INDIRECT("'数出表_Excel（アレルギー入力）'!"&amp;K106&amp;L106-1&amp;""),),)</f>
        <v>0</v>
      </c>
      <c r="N106" s="180" t="str">
        <f>IF(C106&lt;&gt;"",IF(OR(COUNTIF('盛付札（関数）'!D106,"*赤*"),COUNTIF('盛付札（関数）'!D106,"*キャラ*")),1,
VLOOKUP("*"&amp;D106&amp;"*",商品マスタ一覧!D:H,5,FALSE)),"")</f>
        <v/>
      </c>
      <c r="O106" s="180">
        <f t="shared" ca="1" si="47"/>
        <v>0</v>
      </c>
      <c r="P106" s="180">
        <f t="shared" si="23"/>
        <v>0</v>
      </c>
      <c r="Q106" s="180" t="b">
        <f t="shared" si="24"/>
        <v>0</v>
      </c>
      <c r="R106" s="51" t="str">
        <f t="array" aca="1" ref="R106" ca="1">IFERROR(SMALL(IF(P$1:P$307&lt;&gt;0,P$1:P$307),ROW(A106)),"")</f>
        <v/>
      </c>
      <c r="S106" s="51" t="str">
        <f t="array" aca="1" ref="S106" ca="1">IF($R106&lt;&gt;"",
SUBSTITUTE(SUBSTITUTE(INDIRECT("C"&amp;$R106&amp;"")," 週3ｺｰｽ","")," 週5ｺｰｽ",""),"")</f>
        <v/>
      </c>
      <c r="T106" s="51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91" t="str">
        <f t="array" aca="1" ref="U106" ca="1">IF($R106&lt;&gt;"",
INDIRECT("F"&amp;$R106&amp;""),"")</f>
        <v/>
      </c>
      <c r="V106" s="51" t="str">
        <f t="array" aca="1" ref="V106" ca="1">IF($R106&lt;&gt;"",
INDIRECT("G"&amp;$R106&amp;""),"")</f>
        <v/>
      </c>
      <c r="W106" s="51" t="str">
        <f t="array" aca="1" ref="W106" ca="1">IF($R106&lt;&gt;"",
IF(AND(COUNTIF(INDIRECT("B"&amp;R106&amp;""),"*雙葉*"),COUNTIF(B:B,"*雙葉*")&gt;=2),
IF(OR(COUNTIF(INDIRECT("B"&amp;R106&amp;""),"*雙葉先生*"),COUNTIF($B$1:$B$70,"*雙葉*")&gt;=2),INDIRECT("H"&amp;R106&amp;""),INDIRECT("H"&amp;R106&amp;"")+INDIRECT("H"&amp;MATCH("雙葉'",INDIRECT("B"&amp;R106+3&amp;":B210"),0)+2+R106&amp;"")),
IF(AND(LEFT(INDIRECT("B"&amp;R106&amp;""),2)="博多",COUNTIF(B:B,"*博多*")&gt;=2),
INDIRECT("H"&amp;R106&amp;"")+INDIRECT("H"&amp;MATCH("*"&amp;INDIRECT("B"&amp;R106&amp;"")&amp;"*",INDIRECT("B"&amp;R106+1&amp;":B210"),0)+R106&amp;""),
IF(AND(LEFT(INDIRECT("B"&amp;R106&amp;""),3)="奈良屋",COUNTIF(B:B,"*奈良屋*")&gt;=2),
INDIRECT("H"&amp;R106&amp;"")+INDIRECT("H"&amp;MATCH("*"&amp;INDIRECT("B"&amp;R106&amp;"")&amp;"*",INDIRECT("B"&amp;R106+1&amp;":B210"),0)+R106&amp;"")
+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INDIRECT("H"&amp;R106&amp;"")))),"")</f>
        <v/>
      </c>
      <c r="X106" s="51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51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51" t="str">
        <f t="shared" ca="1" si="25"/>
        <v/>
      </c>
      <c r="AA106" s="51" t="str">
        <f t="shared" ca="1" si="26"/>
        <v/>
      </c>
      <c r="AB106" s="51" t="str">
        <f t="array" aca="1" ref="AB106" ca="1">IF($R106&lt;&gt;"",
IF(AND(COUNTIF(INDIRECT("B"&amp;R106&amp;""),"*雙葉*"),COUNTIF(B:B,"*雙葉*")&gt;=2),
INDIRECT("M"&amp;R106&amp;"")+INDIRECT("M"&amp;MATCH("雙葉'",INDIRECT("B"&amp;R106+1&amp;":B210"),0)+R106&amp;""),
IF(AND(LEFT(INDIRECT("B"&amp;R106&amp;""),2)="博多",COUNTIF(B:B,"*博多*")&gt;=2),
INDIRECT("M"&amp;R106&amp;"")+INDIRECT("M"&amp;MATCH("*"&amp;INDIRECT("B"&amp;R106&amp;"")&amp;"*",INDIRECT("B"&amp;R106+1&amp;":B210"),0)+R106&amp;""),
IF(AND(LEFT(INDIRECT("B"&amp;R106&amp;""),3)="奈良屋",COUNTIF(B:B,"*奈良屋*")&gt;=2),
INDIRECT("M"&amp;R106&amp;"")+INDIRECT("M"&amp;MATCH("*"&amp;INDIRECT("B"&amp;R106&amp;"")&amp;"*",INDIRECT("B"&amp;R106+1&amp;":B210"),0)+R106&amp;"")
+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INDIRECT("M"&amp;R106&amp;"")))),"")</f>
        <v/>
      </c>
      <c r="AC106" s="51" t="str">
        <f t="shared" ca="1" si="27"/>
        <v/>
      </c>
      <c r="AD106" s="51" t="str">
        <f t="shared" ca="1" si="28"/>
        <v/>
      </c>
      <c r="AE106" s="51" t="str">
        <f t="shared" ca="1" si="29"/>
        <v/>
      </c>
      <c r="AF106" s="51" t="str">
        <f t="shared" ca="1" si="30"/>
        <v/>
      </c>
      <c r="AG106" s="51" t="str">
        <f t="shared" ca="1" si="31"/>
        <v/>
      </c>
      <c r="AH106" s="191" t="str">
        <f t="shared" ca="1" si="32"/>
        <v/>
      </c>
      <c r="AI106" s="51" t="str">
        <f t="shared" ca="1" si="33"/>
        <v/>
      </c>
      <c r="AJ106" s="51" t="str">
        <f t="shared" ca="1" si="34"/>
        <v/>
      </c>
      <c r="AK106" s="51" t="str">
        <f t="shared" ca="1" si="35"/>
        <v/>
      </c>
      <c r="AL106" s="51" t="str">
        <f t="shared" ca="1" si="36"/>
        <v/>
      </c>
      <c r="AM106" s="51" t="str">
        <f t="shared" ca="1" si="37"/>
        <v/>
      </c>
      <c r="AN106" s="51" t="str">
        <f t="shared" ca="1" si="38"/>
        <v/>
      </c>
      <c r="AO106" s="51" t="str">
        <f t="shared" ca="1" si="39"/>
        <v/>
      </c>
      <c r="AP106" s="51" t="str">
        <f t="shared" ca="1" si="40"/>
        <v/>
      </c>
      <c r="AU106" s="51" t="str">
        <f t="shared" ca="1" si="41"/>
        <v/>
      </c>
    </row>
    <row r="107" spans="1:47" ht="22.2" customHeight="1">
      <c r="A107" s="179">
        <f t="shared" si="48"/>
        <v>79</v>
      </c>
      <c r="B107" s="180" t="str">
        <f t="shared" ca="1" si="46"/>
        <v/>
      </c>
      <c r="C107" s="180" t="str">
        <f>IF(OR(クライアント抽出!C37&lt;&gt;"",クライアント抽出!F37&lt;&gt;""),クライアント抽出!A37,"")</f>
        <v/>
      </c>
      <c r="D107" s="180" t="str">
        <f t="array" aca="1" ref="D107" ca="1">IF(C107&lt;&gt;"",INDIRECT("クライアント抽出!"&amp;E107&amp;MATCH(C107,クライアント抽出!A:A,0)&amp;""),"")</f>
        <v/>
      </c>
      <c r="E107" s="180" t="str">
        <f>IF(H107&lt;&gt;0,
IFERROR(
SUBSTITUTE(ADDRESS(1,
MATCH(VALUE(H107),クライアント抽出!A37:G37,0)+8,4),"1",""),
""),
IFERROR(
SUBSTITUTE(ADDRESS(1,
MATCH(VALUE(I107),クライアント抽出!A37:G37,0)+8,4),"1",""),
""))</f>
        <v/>
      </c>
      <c r="F107" s="181" t="str">
        <f ca="1">IF(D107&lt;&gt;"",
IF(COUNTIF(C107,"*雙葉*"),
IF(ROUND((H107-M107)
/IF(COUNTIF(D107,"*キャラ*"),
VLOOKUP("*キャラ*",商品マスタ一覧!$D:$E,2,FALSE),
IF(COUNTIF(D107,"*赤*"),
VLOOKUP("*赤*",商品マスタ一覧!$D:$E,2,FALSE),
VLOOKUP("*"&amp;D107&amp;"*",商品マスタ一覧!$D:$E,2,FALSE))),0)&lt;=0,1,
ROUND((H107-M107)
/IF(COUNTIF(D107,"*キャラ*"),
VLOOKUP("*キャラ*",商品マスタ一覧!$D:$E,2,FALSE),
IF(COUNTIF(D107,"*赤*"),
VLOOKUP("*赤*",商品マスタ一覧!$D:$E,2,FALSE),
VLOOKUP("*"&amp;D107&amp;"*",商品マスタ一覧!$D:$E,2,FALSE))),0)),
IF(OR(COUNTIF(D107,"*キャラ*"),COUNTIF(D107,"*赤*")),"",
IF(VLOOKUP("*"&amp;D107&amp;"*",商品マスタ一覧!$D:$E,2,FALSE)=0,"",
IF(ROUND((H107-M107)
/VLOOKUP("*"&amp;D107&amp;"*",商品マスタ一覧!$D:$E,2,FALSE),0)&lt;=0,1,
ROUND((H107-M107)
/VLOOKUP("*"&amp;D107&amp;"*",商品マスタ一覧!$D:$E,2,FALSE),0))))),"")</f>
        <v/>
      </c>
      <c r="G107" s="180" t="str">
        <f ca="1">IF(F107&lt;&gt;"",
IF(VALUE(H107-M107)&gt;VALUE(IF(COUNTIF(D107,"*キャラ*"),
VLOOKUP("*キャラ*",商品マスタ一覧!$D:$E,2,FALSE),
IF(COUNTIF(D107,"*赤*"),
VLOOKUP("*赤*",商品マスタ一覧!$D:$E,2,FALSE),
VLOOKUP("*"&amp;D107&amp;"*",商品マスタ一覧!$D:$E,2,FALSE)))*F107),
"+"&amp;(H107-M107)-IF(COUNTIF(D107,"*キャラ*"),
VLOOKUP("*キャラ*",商品マスタ一覧!$D:$E,2,FALSE),
IF(COUNTIF(D107,"*赤*"),
VLOOKUP("*赤*",商品マスタ一覧!$D:$E,2,FALSE),
VLOOKUP("*"&amp;D107&amp;"*",商品マスタ一覧!$D:$E,2,FALSE)))*F107,
(H107-M107)-IF(COUNTIF(D107,"*キャラ*"),
VLOOKUP("*キャラ*",商品マスタ一覧!$D:$E,2,FALSE),
IF(COUNTIF(D107,"*赤*"),
VLOOKUP("*赤*",商品マスタ一覧!$D:$E,2,FALSE),
VLOOKUP("*"&amp;D107&amp;"*",商品マスタ一覧!$D:$E,2,FALSE)))*F107),"")</f>
        <v/>
      </c>
      <c r="H107" s="182" t="str">
        <f>IF(C107&lt;&gt;"",
クライアント抽出!C37,"")</f>
        <v/>
      </c>
      <c r="I107" s="180" t="str">
        <f t="array" aca="1" ref="I107" ca="1">IF(C107&lt;&gt;"",
IF(O107=1,
IF(SUMPRODUCT(COUNTIF(クライアント抽出!P37:U37,クライアント抽出!P37:U37))&gt;COUNTA(クライアント抽出!P37:U37),
INDIRECT("数出表_Excel!"&amp;INDEX(_xlfn.UNIQUE(_xlfn._xlws.FILTER(クライアント抽出!P37:U37,COUNTIF(クライアント抽出!P37:U37,クライアント抽出!P37:U37)=1)),1)&amp;L107&amp;""),
0),クライアント抽出!F37),"")</f>
        <v/>
      </c>
      <c r="J107" s="180" t="str">
        <f>IF(C107&lt;&gt;"",
VLOOKUP(
"*"&amp;LEFT(IF(COUNTIF(D107,"*学食*"),"キャラ弁（学食）",
IF(COUNTIF(D107,"*赤*"),"赤",
IF(COUNTIF(D107,"*キャラ弁当*"),"キャラ弁当",D107))),4)&amp;"*",注文弁当の抽出!$E$1:$F$15,2,FALSE),"")</f>
        <v/>
      </c>
      <c r="K107" s="180" t="str">
        <f ca="1">IF(クライアント抽出!Q37&lt;&gt;"",SUBSTITUTE(ADDRESS(1,(CODE(クライアント抽出!Q37)-64)*2-1,4),"1",""),"")</f>
        <v/>
      </c>
      <c r="L107" s="180" t="str">
        <f>IF(C37&lt;&gt;"",クライアント抽出!I37,"")</f>
        <v/>
      </c>
      <c r="M107" s="180">
        <f t="array" aca="1" ref="M107" ca="1">IF(C107&lt;&gt;"",
IF(K107&lt;&gt;"",INDIRECT("'数出表_Excel（アレルギー入力）'!"&amp;K107&amp;L107-1&amp;""),),)</f>
        <v>0</v>
      </c>
      <c r="N107" s="180" t="str">
        <f>IF(C107&lt;&gt;"",IF(OR(COUNTIF('盛付札（関数）'!D107,"*赤*"),COUNTIF('盛付札（関数）'!D107,"*キャラ*")),1,
VLOOKUP("*"&amp;D107&amp;"*",商品マスタ一覧!D:H,5,FALSE)),"")</f>
        <v/>
      </c>
      <c r="O107" s="180">
        <f t="shared" ca="1" si="47"/>
        <v>0</v>
      </c>
      <c r="P107" s="180">
        <f t="shared" si="23"/>
        <v>0</v>
      </c>
      <c r="Q107" s="180" t="b">
        <f t="shared" si="24"/>
        <v>0</v>
      </c>
      <c r="R107" s="51" t="str">
        <f t="array" aca="1" ref="R107" ca="1">IFERROR(SMALL(IF(P$1:P$307&lt;&gt;0,P$1:P$307),ROW(A107)),"")</f>
        <v/>
      </c>
      <c r="S107" s="51" t="str">
        <f t="array" aca="1" ref="S107" ca="1">IF($R107&lt;&gt;"",
SUBSTITUTE(SUBSTITUTE(INDIRECT("C"&amp;$R107&amp;"")," 週3ｺｰｽ","")," 週5ｺｰｽ",""),"")</f>
        <v/>
      </c>
      <c r="T107" s="51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91" t="str">
        <f t="array" aca="1" ref="U107" ca="1">IF($R107&lt;&gt;"",
INDIRECT("F"&amp;$R107&amp;""),"")</f>
        <v/>
      </c>
      <c r="V107" s="51" t="str">
        <f t="array" aca="1" ref="V107" ca="1">IF($R107&lt;&gt;"",
INDIRECT("G"&amp;$R107&amp;""),"")</f>
        <v/>
      </c>
      <c r="W107" s="51" t="str">
        <f t="array" aca="1" ref="W107" ca="1">IF($R107&lt;&gt;"",
IF(AND(COUNTIF(INDIRECT("B"&amp;R107&amp;""),"*雙葉*"),COUNTIF(B:B,"*雙葉*")&gt;=2),
IF(OR(COUNTIF(INDIRECT("B"&amp;R107&amp;""),"*雙葉先生*"),COUNTIF($B$1:$B$70,"*雙葉*")&gt;=2),INDIRECT("H"&amp;R107&amp;""),INDIRECT("H"&amp;R107&amp;"")+INDIRECT("H"&amp;MATCH("雙葉'",INDIRECT("B"&amp;R107+3&amp;":B210"),0)+2+R107&amp;"")),
IF(AND(LEFT(INDIRECT("B"&amp;R107&amp;""),2)="博多",COUNTIF(B:B,"*博多*")&gt;=2),
INDIRECT("H"&amp;R107&amp;"")+INDIRECT("H"&amp;MATCH("*"&amp;INDIRECT("B"&amp;R107&amp;"")&amp;"*",INDIRECT("B"&amp;R107+1&amp;":B210"),0)+R107&amp;""),
IF(AND(LEFT(INDIRECT("B"&amp;R107&amp;""),3)="奈良屋",COUNTIF(B:B,"*奈良屋*")&gt;=2),
INDIRECT("H"&amp;R107&amp;"")+INDIRECT("H"&amp;MATCH("*"&amp;INDIRECT("B"&amp;R107&amp;"")&amp;"*",INDIRECT("B"&amp;R107+1&amp;":B210"),0)+R107&amp;"")
+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INDIRECT("H"&amp;R107&amp;"")))),"")</f>
        <v/>
      </c>
      <c r="X107" s="51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51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51" t="str">
        <f t="shared" ca="1" si="25"/>
        <v/>
      </c>
      <c r="AA107" s="51" t="str">
        <f t="shared" ca="1" si="26"/>
        <v/>
      </c>
      <c r="AB107" s="51" t="str">
        <f t="array" aca="1" ref="AB107" ca="1">IF($R107&lt;&gt;"",
IF(AND(COUNTIF(INDIRECT("B"&amp;R107&amp;""),"*雙葉*"),COUNTIF(B:B,"*雙葉*")&gt;=2),
INDIRECT("M"&amp;R107&amp;"")+INDIRECT("M"&amp;MATCH("雙葉'",INDIRECT("B"&amp;R107+1&amp;":B210"),0)+R107&amp;""),
IF(AND(LEFT(INDIRECT("B"&amp;R107&amp;""),2)="博多",COUNTIF(B:B,"*博多*")&gt;=2),
INDIRECT("M"&amp;R107&amp;"")+INDIRECT("M"&amp;MATCH("*"&amp;INDIRECT("B"&amp;R107&amp;"")&amp;"*",INDIRECT("B"&amp;R107+1&amp;":B210"),0)+R107&amp;""),
IF(AND(LEFT(INDIRECT("B"&amp;R107&amp;""),3)="奈良屋",COUNTIF(B:B,"*奈良屋*")&gt;=2),
INDIRECT("M"&amp;R107&amp;"")+INDIRECT("M"&amp;MATCH("*"&amp;INDIRECT("B"&amp;R107&amp;"")&amp;"*",INDIRECT("B"&amp;R107+1&amp;":B210"),0)+R107&amp;"")
+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INDIRECT("M"&amp;R107&amp;"")))),"")</f>
        <v/>
      </c>
      <c r="AC107" s="51" t="str">
        <f t="shared" ca="1" si="27"/>
        <v/>
      </c>
      <c r="AD107" s="51" t="str">
        <f t="shared" ca="1" si="28"/>
        <v/>
      </c>
      <c r="AE107" s="51" t="str">
        <f t="shared" ca="1" si="29"/>
        <v/>
      </c>
      <c r="AF107" s="51" t="str">
        <f t="shared" ca="1" si="30"/>
        <v/>
      </c>
      <c r="AG107" s="51" t="str">
        <f t="shared" ca="1" si="31"/>
        <v/>
      </c>
      <c r="AH107" s="191" t="str">
        <f t="shared" ca="1" si="32"/>
        <v/>
      </c>
      <c r="AI107" s="51" t="str">
        <f t="shared" ca="1" si="33"/>
        <v/>
      </c>
      <c r="AJ107" s="51" t="str">
        <f t="shared" ca="1" si="34"/>
        <v/>
      </c>
      <c r="AK107" s="51" t="str">
        <f t="shared" ca="1" si="35"/>
        <v/>
      </c>
      <c r="AL107" s="51" t="str">
        <f t="shared" ca="1" si="36"/>
        <v/>
      </c>
      <c r="AM107" s="51" t="str">
        <f t="shared" ca="1" si="37"/>
        <v/>
      </c>
      <c r="AN107" s="51" t="str">
        <f t="shared" ca="1" si="38"/>
        <v/>
      </c>
      <c r="AO107" s="51" t="str">
        <f t="shared" ca="1" si="39"/>
        <v/>
      </c>
      <c r="AP107" s="51" t="str">
        <f t="shared" ca="1" si="40"/>
        <v/>
      </c>
      <c r="AU107" s="51" t="str">
        <f t="shared" ca="1" si="41"/>
        <v/>
      </c>
    </row>
    <row r="108" spans="1:47" ht="22.2" customHeight="1">
      <c r="A108" s="179">
        <f t="shared" si="48"/>
        <v>81</v>
      </c>
      <c r="B108" s="180" t="str">
        <f t="shared" ca="1" si="46"/>
        <v/>
      </c>
      <c r="C108" s="180" t="str">
        <f>IF(OR(クライアント抽出!C38&lt;&gt;"",クライアント抽出!F38&lt;&gt;""),クライアント抽出!A38,"")</f>
        <v/>
      </c>
      <c r="D108" s="180" t="str">
        <f t="array" aca="1" ref="D108" ca="1">IF(C108&lt;&gt;"",INDIRECT("クライアント抽出!"&amp;E108&amp;MATCH(C108,クライアント抽出!A:A,0)&amp;""),"")</f>
        <v/>
      </c>
      <c r="E108" s="180" t="str">
        <f>IF(H108&lt;&gt;0,
IFERROR(
SUBSTITUTE(ADDRESS(1,
MATCH(VALUE(H108),クライアント抽出!A38:G38,0)+8,4),"1",""),
""),
IFERROR(
SUBSTITUTE(ADDRESS(1,
MATCH(VALUE(I108),クライアント抽出!A38:G38,0)+8,4),"1",""),
""))</f>
        <v/>
      </c>
      <c r="F108" s="181" t="str">
        <f ca="1">IF(D108&lt;&gt;"",
IF(COUNTIF(C108,"*雙葉*"),
IF(ROUND((H108-M108)
/IF(COUNTIF(D108,"*キャラ*"),
VLOOKUP("*キャラ*",商品マスタ一覧!$D:$E,2,FALSE),
IF(COUNTIF(D108,"*赤*"),
VLOOKUP("*赤*",商品マスタ一覧!$D:$E,2,FALSE),
VLOOKUP("*"&amp;D108&amp;"*",商品マスタ一覧!$D:$E,2,FALSE))),0)&lt;=0,1,
ROUND((H108-M108)
/IF(COUNTIF(D108,"*キャラ*"),
VLOOKUP("*キャラ*",商品マスタ一覧!$D:$E,2,FALSE),
IF(COUNTIF(D108,"*赤*"),
VLOOKUP("*赤*",商品マスタ一覧!$D:$E,2,FALSE),
VLOOKUP("*"&amp;D108&amp;"*",商品マスタ一覧!$D:$E,2,FALSE))),0)),
IF(OR(COUNTIF(D108,"*キャラ*"),COUNTIF(D108,"*赤*")),"",
IF(VLOOKUP("*"&amp;D108&amp;"*",商品マスタ一覧!$D:$E,2,FALSE)=0,"",
IF(ROUND((H108-M108)
/VLOOKUP("*"&amp;D108&amp;"*",商品マスタ一覧!$D:$E,2,FALSE),0)&lt;=0,1,
ROUND((H108-M108)
/VLOOKUP("*"&amp;D108&amp;"*",商品マスタ一覧!$D:$E,2,FALSE),0))))),"")</f>
        <v/>
      </c>
      <c r="G108" s="180" t="str">
        <f ca="1">IF(F108&lt;&gt;"",
IF(VALUE(H108-M108)&gt;VALUE(IF(COUNTIF(D108,"*キャラ*"),
VLOOKUP("*キャラ*",商品マスタ一覧!$D:$E,2,FALSE),
IF(COUNTIF(D108,"*赤*"),
VLOOKUP("*赤*",商品マスタ一覧!$D:$E,2,FALSE),
VLOOKUP("*"&amp;D108&amp;"*",商品マスタ一覧!$D:$E,2,FALSE)))*F108),
"+"&amp;(H108-M108)-IF(COUNTIF(D108,"*キャラ*"),
VLOOKUP("*キャラ*",商品マスタ一覧!$D:$E,2,FALSE),
IF(COUNTIF(D108,"*赤*"),
VLOOKUP("*赤*",商品マスタ一覧!$D:$E,2,FALSE),
VLOOKUP("*"&amp;D108&amp;"*",商品マスタ一覧!$D:$E,2,FALSE)))*F108,
(H108-M108)-IF(COUNTIF(D108,"*キャラ*"),
VLOOKUP("*キャラ*",商品マスタ一覧!$D:$E,2,FALSE),
IF(COUNTIF(D108,"*赤*"),
VLOOKUP("*赤*",商品マスタ一覧!$D:$E,2,FALSE),
VLOOKUP("*"&amp;D108&amp;"*",商品マスタ一覧!$D:$E,2,FALSE)))*F108),"")</f>
        <v/>
      </c>
      <c r="H108" s="182" t="str">
        <f>IF(C108&lt;&gt;"",
クライアント抽出!C38,"")</f>
        <v/>
      </c>
      <c r="I108" s="180" t="str">
        <f t="array" aca="1" ref="I108" ca="1">IF(C108&lt;&gt;"",
IF(O108=1,
IF(SUMPRODUCT(COUNTIF(クライアント抽出!P38:U38,クライアント抽出!P38:U38))&gt;COUNTA(クライアント抽出!P38:U38),
INDIRECT("数出表_Excel!"&amp;INDEX(_xlfn.UNIQUE(_xlfn._xlws.FILTER(クライアント抽出!P38:U38,COUNTIF(クライアント抽出!P38:U38,クライアント抽出!P38:U38)=1)),1)&amp;L108&amp;""),
0),クライアント抽出!F38),"")</f>
        <v/>
      </c>
      <c r="J108" s="180" t="str">
        <f>IF(C108&lt;&gt;"",
VLOOKUP(
"*"&amp;LEFT(IF(COUNTIF(D108,"*学食*"),"キャラ弁（学食）",
IF(COUNTIF(D108,"*赤*"),"赤",
IF(COUNTIF(D108,"*キャラ弁当*"),"キャラ弁当",D108))),4)&amp;"*",注文弁当の抽出!$E$1:$F$15,2,FALSE),"")</f>
        <v/>
      </c>
      <c r="K108" s="180" t="str">
        <f ca="1">IF(クライアント抽出!Q38&lt;&gt;"",SUBSTITUTE(ADDRESS(1,(CODE(クライアント抽出!Q38)-64)*2-1,4),"1",""),"")</f>
        <v/>
      </c>
      <c r="L108" s="180" t="str">
        <f>IF(C38&lt;&gt;"",クライアント抽出!I38,"")</f>
        <v/>
      </c>
      <c r="M108" s="180">
        <f t="array" aca="1" ref="M108" ca="1">IF(C108&lt;&gt;"",
IF(K108&lt;&gt;"",INDIRECT("'数出表_Excel（アレルギー入力）'!"&amp;K108&amp;L108-1&amp;""),),)</f>
        <v>0</v>
      </c>
      <c r="N108" s="180" t="str">
        <f>IF(C108&lt;&gt;"",IF(OR(COUNTIF('盛付札（関数）'!D108,"*赤*"),COUNTIF('盛付札（関数）'!D108,"*キャラ*")),1,
VLOOKUP("*"&amp;D108&amp;"*",商品マスタ一覧!D:H,5,FALSE)),"")</f>
        <v/>
      </c>
      <c r="O108" s="180">
        <f t="shared" ca="1" si="47"/>
        <v>0</v>
      </c>
      <c r="P108" s="180">
        <f t="shared" si="23"/>
        <v>0</v>
      </c>
      <c r="Q108" s="180" t="b">
        <f t="shared" si="24"/>
        <v>0</v>
      </c>
      <c r="R108" s="51" t="str">
        <f t="array" aca="1" ref="R108" ca="1">IFERROR(SMALL(IF(P$1:P$307&lt;&gt;0,P$1:P$307),ROW(A108)),"")</f>
        <v/>
      </c>
      <c r="S108" s="51" t="str">
        <f t="array" aca="1" ref="S108" ca="1">IF($R108&lt;&gt;"",
SUBSTITUTE(SUBSTITUTE(INDIRECT("C"&amp;$R108&amp;"")," 週3ｺｰｽ","")," 週5ｺｰｽ",""),"")</f>
        <v/>
      </c>
      <c r="T108" s="51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91" t="str">
        <f t="array" aca="1" ref="U108" ca="1">IF($R108&lt;&gt;"",
INDIRECT("F"&amp;$R108&amp;""),"")</f>
        <v/>
      </c>
      <c r="V108" s="51" t="str">
        <f t="array" aca="1" ref="V108" ca="1">IF($R108&lt;&gt;"",
INDIRECT("G"&amp;$R108&amp;""),"")</f>
        <v/>
      </c>
      <c r="W108" s="51" t="str">
        <f t="array" aca="1" ref="W108" ca="1">IF($R108&lt;&gt;"",
IF(AND(COUNTIF(INDIRECT("B"&amp;R108&amp;""),"*雙葉*"),COUNTIF(B:B,"*雙葉*")&gt;=2),
IF(OR(COUNTIF(INDIRECT("B"&amp;R108&amp;""),"*雙葉先生*"),COUNTIF($B$1:$B$70,"*雙葉*")&gt;=2),INDIRECT("H"&amp;R108&amp;""),INDIRECT("H"&amp;R108&amp;"")+INDIRECT("H"&amp;MATCH("雙葉'",INDIRECT("B"&amp;R108+3&amp;":B210"),0)+2+R108&amp;"")),
IF(AND(LEFT(INDIRECT("B"&amp;R108&amp;""),2)="博多",COUNTIF(B:B,"*博多*")&gt;=2),
INDIRECT("H"&amp;R108&amp;"")+INDIRECT("H"&amp;MATCH("*"&amp;INDIRECT("B"&amp;R108&amp;"")&amp;"*",INDIRECT("B"&amp;R108+1&amp;":B210"),0)+R108&amp;""),
IF(AND(LEFT(INDIRECT("B"&amp;R108&amp;""),3)="奈良屋",COUNTIF(B:B,"*奈良屋*")&gt;=2),
INDIRECT("H"&amp;R108&amp;"")+INDIRECT("H"&amp;MATCH("*"&amp;INDIRECT("B"&amp;R108&amp;"")&amp;"*",INDIRECT("B"&amp;R108+1&amp;":B210"),0)+R108&amp;"")
+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INDIRECT("H"&amp;R108&amp;"")))),"")</f>
        <v/>
      </c>
      <c r="X108" s="51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51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51" t="str">
        <f t="shared" ca="1" si="25"/>
        <v/>
      </c>
      <c r="AA108" s="51" t="str">
        <f t="shared" ca="1" si="26"/>
        <v/>
      </c>
      <c r="AB108" s="51" t="str">
        <f t="array" aca="1" ref="AB108" ca="1">IF($R108&lt;&gt;"",
IF(AND(COUNTIF(INDIRECT("B"&amp;R108&amp;""),"*雙葉*"),COUNTIF(B:B,"*雙葉*")&gt;=2),
INDIRECT("M"&amp;R108&amp;"")+INDIRECT("M"&amp;MATCH("雙葉'",INDIRECT("B"&amp;R108+1&amp;":B210"),0)+R108&amp;""),
IF(AND(LEFT(INDIRECT("B"&amp;R108&amp;""),2)="博多",COUNTIF(B:B,"*博多*")&gt;=2),
INDIRECT("M"&amp;R108&amp;"")+INDIRECT("M"&amp;MATCH("*"&amp;INDIRECT("B"&amp;R108&amp;"")&amp;"*",INDIRECT("B"&amp;R108+1&amp;":B210"),0)+R108&amp;""),
IF(AND(LEFT(INDIRECT("B"&amp;R108&amp;""),3)="奈良屋",COUNTIF(B:B,"*奈良屋*")&gt;=2),
INDIRECT("M"&amp;R108&amp;"")+INDIRECT("M"&amp;MATCH("*"&amp;INDIRECT("B"&amp;R108&amp;"")&amp;"*",INDIRECT("B"&amp;R108+1&amp;":B210"),0)+R108&amp;"")
+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INDIRECT("M"&amp;R108&amp;"")))),"")</f>
        <v/>
      </c>
      <c r="AC108" s="51" t="str">
        <f t="shared" ca="1" si="27"/>
        <v/>
      </c>
      <c r="AD108" s="51" t="str">
        <f t="shared" ca="1" si="28"/>
        <v/>
      </c>
      <c r="AE108" s="51" t="str">
        <f t="shared" ca="1" si="29"/>
        <v/>
      </c>
      <c r="AF108" s="51" t="str">
        <f t="shared" ca="1" si="30"/>
        <v/>
      </c>
      <c r="AG108" s="51" t="str">
        <f t="shared" ca="1" si="31"/>
        <v/>
      </c>
      <c r="AH108" s="191" t="str">
        <f t="shared" ca="1" si="32"/>
        <v/>
      </c>
      <c r="AI108" s="51" t="str">
        <f t="shared" ca="1" si="33"/>
        <v/>
      </c>
      <c r="AJ108" s="51" t="str">
        <f t="shared" ca="1" si="34"/>
        <v/>
      </c>
      <c r="AK108" s="51" t="str">
        <f t="shared" ca="1" si="35"/>
        <v/>
      </c>
      <c r="AL108" s="51" t="str">
        <f t="shared" ca="1" si="36"/>
        <v/>
      </c>
      <c r="AM108" s="51" t="str">
        <f t="shared" ca="1" si="37"/>
        <v/>
      </c>
      <c r="AN108" s="51" t="str">
        <f t="shared" ca="1" si="38"/>
        <v/>
      </c>
      <c r="AO108" s="51" t="str">
        <f t="shared" ca="1" si="39"/>
        <v/>
      </c>
      <c r="AP108" s="51" t="str">
        <f t="shared" ca="1" si="40"/>
        <v/>
      </c>
      <c r="AU108" s="51" t="str">
        <f t="shared" ca="1" si="41"/>
        <v/>
      </c>
    </row>
    <row r="109" spans="1:47" ht="22.2" customHeight="1">
      <c r="A109" s="179">
        <f t="shared" si="48"/>
        <v>83</v>
      </c>
      <c r="B109" s="180" t="str">
        <f t="shared" ca="1" si="46"/>
        <v/>
      </c>
      <c r="C109" s="180" t="str">
        <f ca="1">IF(OR(クライアント抽出!C39&lt;&gt;"",クライアント抽出!F39&lt;&gt;""),
"",IF(O109=1,クライアント抽出!A39,""))</f>
        <v/>
      </c>
      <c r="D109" s="180" t="str">
        <f t="array" aca="1" ref="D109" ca="1">IF(C109&lt;&gt;"",INDIRECT("クライアント抽出!"&amp;E109&amp;MATCH(C109,クライアント抽出!A:A,0)&amp;""),"")</f>
        <v/>
      </c>
      <c r="E109" s="180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81" t="str">
        <f ca="1">IF(D109&lt;&gt;"",
IF(COUNTIF(C109,"*雙葉*"),
IF(ROUND((H109-M109)
/IF(COUNTIF(D109,"*キャラ*"),
VLOOKUP("*キャラ*",商品マスタ一覧!$D:$E,2,FALSE),
IF(COUNTIF(D109,"*赤*"),
VLOOKUP("*赤*",商品マスタ一覧!$D:$E,2,FALSE),
VLOOKUP("*"&amp;D109&amp;"*",商品マスタ一覧!$D:$E,2,FALSE))),0)&lt;=0,1,
ROUND((H109-M109)
/IF(COUNTIF(D109,"*キャラ*"),
VLOOKUP("*キャラ*",商品マスタ一覧!$D:$E,2,FALSE),
IF(COUNTIF(D109,"*赤*"),
VLOOKUP("*赤*",商品マスタ一覧!$D:$E,2,FALSE),
VLOOKUP("*"&amp;D109&amp;"*",商品マスタ一覧!$D:$E,2,FALSE))),0)),
IF(OR(COUNTIF(D109,"*キャラ*"),COUNTIF(D109,"*赤*")),"",
IF(VLOOKUP("*"&amp;D109&amp;"*",商品マスタ一覧!$D:$E,2,FALSE)=0,"",
IF(ROUND((H109-M109)
/VLOOKUP("*"&amp;D109&amp;"*",商品マスタ一覧!$D:$E,2,FALSE),0)&lt;=0,1,
ROUND((H109-M109)
/VLOOKUP("*"&amp;D109&amp;"*",商品マスタ一覧!$D:$E,2,FALSE),0))))),"")</f>
        <v/>
      </c>
      <c r="G109" s="180" t="str">
        <f ca="1">IF(F109&lt;&gt;"",
IF(VALUE(H109-M109)&gt;VALUE(IF(COUNTIF(D109,"*キャラ*"),
VLOOKUP("*キャラ*",商品マスタ一覧!$D:$E,2,FALSE),
IF(COUNTIF(D109,"*赤*"),
VLOOKUP("*赤*",商品マスタ一覧!$D:$E,2,FALSE),
VLOOKUP("*"&amp;D109&amp;"*",商品マスタ一覧!$D:$E,2,FALSE)))*F109),
"+"&amp;(H109-M109)-IF(COUNTIF(D109,"*キャラ*"),
VLOOKUP("*キャラ*",商品マスタ一覧!$D:$E,2,FALSE),
IF(COUNTIF(D109,"*赤*"),
VLOOKUP("*赤*",商品マスタ一覧!$D:$E,2,FALSE),
VLOOKUP("*"&amp;D109&amp;"*",商品マスタ一覧!$D:$E,2,FALSE)))*F109,
(H109-M109)-IF(COUNTIF(D109,"*キャラ*"),
VLOOKUP("*キャラ*",商品マスタ一覧!$D:$E,2,FALSE),
IF(COUNTIF(D109,"*赤*"),
VLOOKUP("*赤*",商品マスタ一覧!$D:$E,2,FALSE),
VLOOKUP("*"&amp;D109&amp;"*",商品マスタ一覧!$D:$E,2,FALSE)))*F109),"")</f>
        <v/>
      </c>
      <c r="H109" s="182" t="str">
        <f ca="1">IF(C109&lt;&gt;"",
クライアント抽出!C39,"")</f>
        <v/>
      </c>
      <c r="I109" s="180" t="str">
        <f t="array" aca="1" ref="I109" ca="1">IF(C109&lt;&gt;"",
IF(O109=1,
IF(SUMPRODUCT(COUNTIF(クライアント抽出!P39:U39,クライアント抽出!P39:U39))&gt;COUNTA(クライアント抽出!P39:U39),
INDIRECT("数出表_Excel!"&amp;INDEX(_xlfn.UNIQUE(_xlfn._xlws.FILTER(クライアント抽出!P39:U39,COUNTIF(クライアント抽出!P39:U39,クライアント抽出!P39:U39)=1)),1)&amp;L109&amp;""),
0),クライアント抽出!F39),"")</f>
        <v/>
      </c>
      <c r="J109" s="180" t="str">
        <f ca="1">IF(C109&lt;&gt;"",
VLOOKUP(
"*"&amp;LEFT(IF(COUNTIF(D109,"*学食*"),"キャラ弁（学食）",
IF(COUNTIF(D109,"*赤*"),"赤",
IF(COUNTIF(D109,"*キャラ弁当*"),"キャラ弁当",D109))),4)&amp;"*",注文弁当の抽出!$E$1:$F$15,2,FALSE),"")</f>
        <v/>
      </c>
      <c r="K109" s="180" t="str">
        <f ca="1">IF(クライアント抽出!Q39&lt;&gt;"",SUBSTITUTE(ADDRESS(1,(CODE(クライアント抽出!Q39)-64)*2-1,4),"1",""),"")</f>
        <v/>
      </c>
      <c r="L109" s="180" t="str">
        <f>IF(C39&lt;&gt;"",クライアント抽出!I39,"")</f>
        <v/>
      </c>
      <c r="M109" s="180">
        <f t="array" aca="1" ref="M109" ca="1">IF(C109&lt;&gt;"",
IF(K109&lt;&gt;"",INDIRECT("'数出表_Excel（アレルギー入力）'!"&amp;K109&amp;L109-1&amp;""),),)</f>
        <v>0</v>
      </c>
      <c r="N109" s="180" t="str">
        <f ca="1">IF(C109&lt;&gt;"",IF(OR(COUNTIF('盛付札（関数）'!D109,"*赤*"),COUNTIF('盛付札（関数）'!D109,"*キャラ*")),1,
VLOOKUP("*"&amp;D109&amp;"*",商品マスタ一覧!D:H,5,FALSE)),"")</f>
        <v/>
      </c>
      <c r="O109" s="180">
        <f t="shared" ca="1" si="47"/>
        <v>0</v>
      </c>
      <c r="P109" s="180">
        <f t="shared" ca="1" si="23"/>
        <v>0</v>
      </c>
      <c r="Q109" s="180" t="b">
        <f t="shared" ca="1" si="24"/>
        <v>0</v>
      </c>
      <c r="R109" s="51" t="str">
        <f t="array" aca="1" ref="R109" ca="1">IFERROR(SMALL(IF(P$1:P$307&lt;&gt;0,P$1:P$307),ROW(A109)),"")</f>
        <v/>
      </c>
      <c r="S109" s="51" t="str">
        <f t="array" aca="1" ref="S109" ca="1">IF($R109&lt;&gt;"",
SUBSTITUTE(SUBSTITUTE(INDIRECT("C"&amp;$R109&amp;"")," 週3ｺｰｽ","")," 週5ｺｰｽ",""),"")</f>
        <v/>
      </c>
      <c r="T109" s="51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91" t="str">
        <f t="array" aca="1" ref="U109" ca="1">IF($R109&lt;&gt;"",
INDIRECT("F"&amp;$R109&amp;""),"")</f>
        <v/>
      </c>
      <c r="V109" s="51" t="str">
        <f t="array" aca="1" ref="V109" ca="1">IF($R109&lt;&gt;"",
INDIRECT("G"&amp;$R109&amp;""),"")</f>
        <v/>
      </c>
      <c r="W109" s="51" t="str">
        <f t="array" aca="1" ref="W109" ca="1">IF($R109&lt;&gt;"",
IF(AND(COUNTIF(INDIRECT("B"&amp;R109&amp;""),"*雙葉*"),COUNTIF(B:B,"*雙葉*")&gt;=2),
IF(OR(COUNTIF(INDIRECT("B"&amp;R109&amp;""),"*雙葉先生*"),COUNTIF($B$1:$B$70,"*雙葉*")&gt;=2),INDIRECT("H"&amp;R109&amp;""),INDIRECT("H"&amp;R109&amp;"")+INDIRECT("H"&amp;MATCH("雙葉'",INDIRECT("B"&amp;R109+3&amp;":B210"),0)+2+R109&amp;"")),
IF(AND(LEFT(INDIRECT("B"&amp;R109&amp;""),2)="博多",COUNTIF(B:B,"*博多*")&gt;=2),
INDIRECT("H"&amp;R109&amp;"")+INDIRECT("H"&amp;MATCH("*"&amp;INDIRECT("B"&amp;R109&amp;"")&amp;"*",INDIRECT("B"&amp;R109+1&amp;":B210"),0)+R109&amp;""),
IF(AND(LEFT(INDIRECT("B"&amp;R109&amp;""),3)="奈良屋",COUNTIF(B:B,"*奈良屋*")&gt;=2),
INDIRECT("H"&amp;R109&amp;"")+INDIRECT("H"&amp;MATCH("*"&amp;INDIRECT("B"&amp;R109&amp;"")&amp;"*",INDIRECT("B"&amp;R109+1&amp;":B210"),0)+R109&amp;"")
+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INDIRECT("H"&amp;R109&amp;"")))),"")</f>
        <v/>
      </c>
      <c r="X109" s="51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51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51" t="str">
        <f t="shared" ca="1" si="25"/>
        <v/>
      </c>
      <c r="AA109" s="51" t="str">
        <f t="shared" ca="1" si="26"/>
        <v/>
      </c>
      <c r="AB109" s="51" t="str">
        <f t="array" aca="1" ref="AB109" ca="1">IF($R109&lt;&gt;"",
IF(AND(COUNTIF(INDIRECT("B"&amp;R109&amp;""),"*雙葉*"),COUNTIF(B:B,"*雙葉*")&gt;=2),
INDIRECT("M"&amp;R109&amp;"")+INDIRECT("M"&amp;MATCH("雙葉'",INDIRECT("B"&amp;R109+1&amp;":B210"),0)+R109&amp;""),
IF(AND(LEFT(INDIRECT("B"&amp;R109&amp;""),2)="博多",COUNTIF(B:B,"*博多*")&gt;=2),
INDIRECT("M"&amp;R109&amp;"")+INDIRECT("M"&amp;MATCH("*"&amp;INDIRECT("B"&amp;R109&amp;"")&amp;"*",INDIRECT("B"&amp;R109+1&amp;":B210"),0)+R109&amp;""),
IF(AND(LEFT(INDIRECT("B"&amp;R109&amp;""),3)="奈良屋",COUNTIF(B:B,"*奈良屋*")&gt;=2),
INDIRECT("M"&amp;R109&amp;"")+INDIRECT("M"&amp;MATCH("*"&amp;INDIRECT("B"&amp;R109&amp;"")&amp;"*",INDIRECT("B"&amp;R109+1&amp;":B210"),0)+R109&amp;"")
+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INDIRECT("M"&amp;R109&amp;"")))),"")</f>
        <v/>
      </c>
      <c r="AC109" s="51" t="str">
        <f t="shared" ca="1" si="27"/>
        <v/>
      </c>
      <c r="AD109" s="51" t="str">
        <f t="shared" ca="1" si="28"/>
        <v/>
      </c>
      <c r="AE109" s="51" t="str">
        <f t="shared" ca="1" si="29"/>
        <v/>
      </c>
      <c r="AF109" s="51" t="str">
        <f t="shared" ca="1" si="30"/>
        <v/>
      </c>
      <c r="AG109" s="51" t="str">
        <f t="shared" ca="1" si="31"/>
        <v/>
      </c>
      <c r="AH109" s="191" t="str">
        <f t="shared" ca="1" si="32"/>
        <v/>
      </c>
      <c r="AI109" s="51" t="str">
        <f t="shared" ca="1" si="33"/>
        <v/>
      </c>
      <c r="AJ109" s="51" t="str">
        <f t="shared" ca="1" si="34"/>
        <v/>
      </c>
      <c r="AK109" s="51" t="str">
        <f t="shared" ca="1" si="35"/>
        <v/>
      </c>
      <c r="AL109" s="51" t="str">
        <f t="shared" ca="1" si="36"/>
        <v/>
      </c>
      <c r="AM109" s="51" t="str">
        <f t="shared" ca="1" si="37"/>
        <v/>
      </c>
      <c r="AN109" s="51" t="str">
        <f t="shared" ca="1" si="38"/>
        <v/>
      </c>
      <c r="AO109" s="51" t="str">
        <f t="shared" ca="1" si="39"/>
        <v/>
      </c>
      <c r="AP109" s="51" t="str">
        <f t="shared" ca="1" si="40"/>
        <v/>
      </c>
      <c r="AU109" s="51" t="str">
        <f t="shared" ca="1" si="41"/>
        <v/>
      </c>
    </row>
    <row r="110" spans="1:47" ht="22.2" customHeight="1">
      <c r="A110" s="179">
        <f t="shared" si="48"/>
        <v>85</v>
      </c>
      <c r="B110" s="180" t="str">
        <f t="shared" ca="1" si="46"/>
        <v/>
      </c>
      <c r="C110" s="180" t="str">
        <f>IF(OR(クライアント抽出!C40&lt;&gt;"",クライアント抽出!F40&lt;&gt;""),クライアント抽出!A40,"")</f>
        <v/>
      </c>
      <c r="D110" s="180" t="str">
        <f t="array" aca="1" ref="D110" ca="1">IF(C110&lt;&gt;"",INDIRECT("クライアント抽出!"&amp;E110&amp;MATCH(C110,クライアント抽出!A:A,0)&amp;""),"")</f>
        <v/>
      </c>
      <c r="E110" s="180" t="str">
        <f>IF(H110&lt;&gt;0,
IFERROR(
SUBSTITUTE(ADDRESS(1,
MATCH(VALUE(H110),クライアント抽出!A40:G40,0)+8,4),"1",""),
""),
IFERROR(
SUBSTITUTE(ADDRESS(1,
MATCH(VALUE(I110),クライアント抽出!A40:G40,0)+8,4),"1",""),
""))</f>
        <v/>
      </c>
      <c r="F110" s="181" t="str">
        <f ca="1">IF(D110&lt;&gt;"",
IF(COUNTIF(C110,"*雙葉*"),
IF(ROUND((H110-M110)
/IF(COUNTIF(D110,"*キャラ*"),
VLOOKUP("*キャラ*",商品マスタ一覧!$D:$E,2,FALSE),
IF(COUNTIF(D110,"*赤*"),
VLOOKUP("*赤*",商品マスタ一覧!$D:$E,2,FALSE),
VLOOKUP("*"&amp;D110&amp;"*",商品マスタ一覧!$D:$E,2,FALSE))),0)&lt;=0,1,
ROUND((H110-M110)
/IF(COUNTIF(D110,"*キャラ*"),
VLOOKUP("*キャラ*",商品マスタ一覧!$D:$E,2,FALSE),
IF(COUNTIF(D110,"*赤*"),
VLOOKUP("*赤*",商品マスタ一覧!$D:$E,2,FALSE),
VLOOKUP("*"&amp;D110&amp;"*",商品マスタ一覧!$D:$E,2,FALSE))),0)),
IF(OR(COUNTIF(D110,"*キャラ*"),COUNTIF(D110,"*赤*")),"",
IF(VLOOKUP("*"&amp;D110&amp;"*",商品マスタ一覧!$D:$E,2,FALSE)=0,"",
IF(ROUND((H110-M110)
/VLOOKUP("*"&amp;D110&amp;"*",商品マスタ一覧!$D:$E,2,FALSE),0)&lt;=0,1,
ROUND((H110-M110)
/VLOOKUP("*"&amp;D110&amp;"*",商品マスタ一覧!$D:$E,2,FALSE),0))))),"")</f>
        <v/>
      </c>
      <c r="G110" s="180" t="str">
        <f ca="1">IF(F110&lt;&gt;"",
IF(VALUE(H110-M110)&gt;VALUE(IF(COUNTIF(D110,"*キャラ*"),
VLOOKUP("*キャラ*",商品マスタ一覧!$D:$E,2,FALSE),
IF(COUNTIF(D110,"*赤*"),
VLOOKUP("*赤*",商品マスタ一覧!$D:$E,2,FALSE),
VLOOKUP("*"&amp;D110&amp;"*",商品マスタ一覧!$D:$E,2,FALSE)))*F110),
"+"&amp;(H110-M110)-IF(COUNTIF(D110,"*キャラ*"),
VLOOKUP("*キャラ*",商品マスタ一覧!$D:$E,2,FALSE),
IF(COUNTIF(D110,"*赤*"),
VLOOKUP("*赤*",商品マスタ一覧!$D:$E,2,FALSE),
VLOOKUP("*"&amp;D110&amp;"*",商品マスタ一覧!$D:$E,2,FALSE)))*F110,
(H110-M110)-IF(COUNTIF(D110,"*キャラ*"),
VLOOKUP("*キャラ*",商品マスタ一覧!$D:$E,2,FALSE),
IF(COUNTIF(D110,"*赤*"),
VLOOKUP("*赤*",商品マスタ一覧!$D:$E,2,FALSE),
VLOOKUP("*"&amp;D110&amp;"*",商品マスタ一覧!$D:$E,2,FALSE)))*F110),"")</f>
        <v/>
      </c>
      <c r="H110" s="182" t="str">
        <f>IF(C110&lt;&gt;"",
クライアント抽出!C40,"")</f>
        <v/>
      </c>
      <c r="I110" s="180" t="str">
        <f t="array" aca="1" ref="I110" ca="1">IF(C110&lt;&gt;"",
IF(O110=1,
IF(SUMPRODUCT(COUNTIF(クライアント抽出!P40:U40,クライアント抽出!P40:U40))&gt;COUNTA(クライアント抽出!P40:U40),
INDIRECT("数出表_Excel!"&amp;INDEX(_xlfn.UNIQUE(_xlfn._xlws.FILTER(クライアント抽出!P40:U40,COUNTIF(クライアント抽出!P40:U40,クライアント抽出!P40:U40)=1)),1)&amp;L110&amp;""),
0),クライアント抽出!F40),"")</f>
        <v/>
      </c>
      <c r="J110" s="180" t="str">
        <f>IF(C110&lt;&gt;"",
VLOOKUP(
"*"&amp;LEFT(IF(COUNTIF(D110,"*学食*"),"キャラ弁（学食）",
IF(COUNTIF(D110,"*赤*"),"赤",
IF(COUNTIF(D110,"*キャラ弁当*"),"キャラ弁当",D110))),4)&amp;"*",注文弁当の抽出!$E$1:$F$15,2,FALSE),"")</f>
        <v/>
      </c>
      <c r="K110" s="180" t="str">
        <f ca="1">IF(クライアント抽出!Q40&lt;&gt;"",SUBSTITUTE(ADDRESS(1,(CODE(クライアント抽出!Q40)-64)*2-1,4),"1",""),"")</f>
        <v/>
      </c>
      <c r="L110" s="180" t="str">
        <f>IF(C40&lt;&gt;"",クライアント抽出!I40,"")</f>
        <v/>
      </c>
      <c r="M110" s="180">
        <f t="array" aca="1" ref="M110" ca="1">IF(C110&lt;&gt;"",
IF(K110&lt;&gt;"",INDIRECT("'数出表_Excel（アレルギー入力）'!"&amp;K110&amp;L110-1&amp;""),),)</f>
        <v>0</v>
      </c>
      <c r="N110" s="180" t="str">
        <f>IF(C110&lt;&gt;"",IF(OR(COUNTIF('盛付札（関数）'!D110,"*赤*"),COUNTIF('盛付札（関数）'!D110,"*キャラ*")),1,
VLOOKUP("*"&amp;D110&amp;"*",商品マスタ一覧!D:H,5,FALSE)),"")</f>
        <v/>
      </c>
      <c r="O110" s="180">
        <f t="shared" ca="1" si="47"/>
        <v>0</v>
      </c>
      <c r="P110" s="180">
        <f t="shared" si="23"/>
        <v>0</v>
      </c>
      <c r="Q110" s="180" t="b">
        <f t="shared" si="24"/>
        <v>0</v>
      </c>
      <c r="R110" s="51" t="str">
        <f t="array" aca="1" ref="R110" ca="1">IFERROR(SMALL(IF(P$1:P$307&lt;&gt;0,P$1:P$307),ROW(A110)),"")</f>
        <v/>
      </c>
      <c r="S110" s="51" t="str">
        <f t="array" aca="1" ref="S110" ca="1">IF($R110&lt;&gt;"",
SUBSTITUTE(SUBSTITUTE(INDIRECT("C"&amp;$R110&amp;"")," 週3ｺｰｽ","")," 週5ｺｰｽ",""),"")</f>
        <v/>
      </c>
      <c r="T110" s="51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91" t="str">
        <f t="array" aca="1" ref="U110" ca="1">IF($R110&lt;&gt;"",
INDIRECT("F"&amp;$R110&amp;""),"")</f>
        <v/>
      </c>
      <c r="V110" s="51" t="str">
        <f t="array" aca="1" ref="V110" ca="1">IF($R110&lt;&gt;"",
INDIRECT("G"&amp;$R110&amp;""),"")</f>
        <v/>
      </c>
      <c r="W110" s="51" t="str">
        <f t="array" aca="1" ref="W110" ca="1">IF($R110&lt;&gt;"",
IF(AND(COUNTIF(INDIRECT("B"&amp;R110&amp;""),"*雙葉*"),COUNTIF(B:B,"*雙葉*")&gt;=2),
IF(OR(COUNTIF(INDIRECT("B"&amp;R110&amp;""),"*雙葉先生*"),COUNTIF($B$1:$B$70,"*雙葉*")&gt;=2),INDIRECT("H"&amp;R110&amp;""),INDIRECT("H"&amp;R110&amp;"")+INDIRECT("H"&amp;MATCH("雙葉'",INDIRECT("B"&amp;R110+3&amp;":B210"),0)+2+R110&amp;"")),
IF(AND(LEFT(INDIRECT("B"&amp;R110&amp;""),2)="博多",COUNTIF(B:B,"*博多*")&gt;=2),
INDIRECT("H"&amp;R110&amp;"")+INDIRECT("H"&amp;MATCH("*"&amp;INDIRECT("B"&amp;R110&amp;"")&amp;"*",INDIRECT("B"&amp;R110+1&amp;":B210"),0)+R110&amp;""),
IF(AND(LEFT(INDIRECT("B"&amp;R110&amp;""),3)="奈良屋",COUNTIF(B:B,"*奈良屋*")&gt;=2),
INDIRECT("H"&amp;R110&amp;"")+INDIRECT("H"&amp;MATCH("*"&amp;INDIRECT("B"&amp;R110&amp;"")&amp;"*",INDIRECT("B"&amp;R110+1&amp;":B210"),0)+R110&amp;"")
+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INDIRECT("H"&amp;R110&amp;"")))),"")</f>
        <v/>
      </c>
      <c r="X110" s="51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51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51" t="str">
        <f t="shared" ca="1" si="25"/>
        <v/>
      </c>
      <c r="AA110" s="51" t="str">
        <f t="shared" ca="1" si="26"/>
        <v/>
      </c>
      <c r="AB110" s="51" t="str">
        <f t="array" aca="1" ref="AB110" ca="1">IF($R110&lt;&gt;"",
IF(AND(COUNTIF(INDIRECT("B"&amp;R110&amp;""),"*雙葉*"),COUNTIF(B:B,"*雙葉*")&gt;=2),
INDIRECT("M"&amp;R110&amp;"")+INDIRECT("M"&amp;MATCH("雙葉'",INDIRECT("B"&amp;R110+1&amp;":B210"),0)+R110&amp;""),
IF(AND(LEFT(INDIRECT("B"&amp;R110&amp;""),2)="博多",COUNTIF(B:B,"*博多*")&gt;=2),
INDIRECT("M"&amp;R110&amp;"")+INDIRECT("M"&amp;MATCH("*"&amp;INDIRECT("B"&amp;R110&amp;"")&amp;"*",INDIRECT("B"&amp;R110+1&amp;":B210"),0)+R110&amp;""),
IF(AND(LEFT(INDIRECT("B"&amp;R110&amp;""),3)="奈良屋",COUNTIF(B:B,"*奈良屋*")&gt;=2),
INDIRECT("M"&amp;R110&amp;"")+INDIRECT("M"&amp;MATCH("*"&amp;INDIRECT("B"&amp;R110&amp;"")&amp;"*",INDIRECT("B"&amp;R110+1&amp;":B210"),0)+R110&amp;"")
+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INDIRECT("M"&amp;R110&amp;"")))),"")</f>
        <v/>
      </c>
      <c r="AC110" s="51" t="str">
        <f t="shared" ca="1" si="27"/>
        <v/>
      </c>
      <c r="AD110" s="51" t="str">
        <f t="shared" ca="1" si="28"/>
        <v/>
      </c>
      <c r="AE110" s="51" t="str">
        <f t="shared" ca="1" si="29"/>
        <v/>
      </c>
      <c r="AF110" s="51" t="str">
        <f t="shared" ca="1" si="30"/>
        <v/>
      </c>
      <c r="AG110" s="51" t="str">
        <f t="shared" ca="1" si="31"/>
        <v/>
      </c>
      <c r="AH110" s="191" t="str">
        <f t="shared" ca="1" si="32"/>
        <v/>
      </c>
      <c r="AI110" s="51" t="str">
        <f t="shared" ca="1" si="33"/>
        <v/>
      </c>
      <c r="AJ110" s="51" t="str">
        <f t="shared" ca="1" si="34"/>
        <v/>
      </c>
      <c r="AK110" s="51" t="str">
        <f t="shared" ca="1" si="35"/>
        <v/>
      </c>
      <c r="AL110" s="51" t="str">
        <f t="shared" ca="1" si="36"/>
        <v/>
      </c>
      <c r="AM110" s="51" t="str">
        <f t="shared" ca="1" si="37"/>
        <v/>
      </c>
      <c r="AN110" s="51" t="str">
        <f t="shared" ca="1" si="38"/>
        <v/>
      </c>
      <c r="AO110" s="51" t="str">
        <f t="shared" ca="1" si="39"/>
        <v/>
      </c>
      <c r="AP110" s="51" t="str">
        <f t="shared" ca="1" si="40"/>
        <v/>
      </c>
      <c r="AU110" s="51" t="str">
        <f t="shared" ca="1" si="41"/>
        <v/>
      </c>
    </row>
    <row r="111" spans="1:47" ht="22.2" customHeight="1">
      <c r="A111" s="179">
        <f t="shared" si="48"/>
        <v>87</v>
      </c>
      <c r="B111" s="180" t="str">
        <f t="shared" ca="1" si="46"/>
        <v/>
      </c>
      <c r="C111" s="180" t="str">
        <f>IF(OR(クライアント抽出!C41&lt;&gt;"",クライアント抽出!F41&lt;&gt;""),クライアント抽出!A41,"")</f>
        <v/>
      </c>
      <c r="D111" s="180" t="str">
        <f t="array" aca="1" ref="D111" ca="1">IF(C111&lt;&gt;"",INDIRECT("クライアント抽出!"&amp;E111&amp;MATCH(C111,クライアント抽出!A:A,0)&amp;""),"")</f>
        <v/>
      </c>
      <c r="E111" s="180" t="str">
        <f>IF(H111&lt;&gt;0,
IFERROR(
SUBSTITUTE(ADDRESS(1,
MATCH(VALUE(H111),クライアント抽出!A41:G41,0)+8,4),"1",""),
""),
IFERROR(
SUBSTITUTE(ADDRESS(1,
MATCH(VALUE(I111),クライアント抽出!A41:G41,0)+8,4),"1",""),
""))</f>
        <v/>
      </c>
      <c r="F111" s="181" t="str">
        <f ca="1">IF(D111&lt;&gt;"",
IF(COUNTIF(C111,"*雙葉*"),
IF(ROUND((H111-M111)
/IF(COUNTIF(D111,"*キャラ*"),
VLOOKUP("*キャラ*",商品マスタ一覧!$D:$E,2,FALSE),
IF(COUNTIF(D111,"*赤*"),
VLOOKUP("*赤*",商品マスタ一覧!$D:$E,2,FALSE),
VLOOKUP("*"&amp;D111&amp;"*",商品マスタ一覧!$D:$E,2,FALSE))),0)&lt;=0,1,
ROUND((H111-M111)
/IF(COUNTIF(D111,"*キャラ*"),
VLOOKUP("*キャラ*",商品マスタ一覧!$D:$E,2,FALSE),
IF(COUNTIF(D111,"*赤*"),
VLOOKUP("*赤*",商品マスタ一覧!$D:$E,2,FALSE),
VLOOKUP("*"&amp;D111&amp;"*",商品マスタ一覧!$D:$E,2,FALSE))),0)),
IF(OR(COUNTIF(D111,"*キャラ*"),COUNTIF(D111,"*赤*")),"",
IF(VLOOKUP("*"&amp;D111&amp;"*",商品マスタ一覧!$D:$E,2,FALSE)=0,"",
IF(ROUND((H111-M111)
/VLOOKUP("*"&amp;D111&amp;"*",商品マスタ一覧!$D:$E,2,FALSE),0)&lt;=0,1,
ROUND((H111-M111)
/VLOOKUP("*"&amp;D111&amp;"*",商品マスタ一覧!$D:$E,2,FALSE),0))))),"")</f>
        <v/>
      </c>
      <c r="G111" s="180" t="str">
        <f ca="1">IF(F111&lt;&gt;"",
IF(VALUE(H111-M111)&gt;VALUE(IF(COUNTIF(D111,"*キャラ*"),
VLOOKUP("*キャラ*",商品マスタ一覧!$D:$E,2,FALSE),
IF(COUNTIF(D111,"*赤*"),
VLOOKUP("*赤*",商品マスタ一覧!$D:$E,2,FALSE),
VLOOKUP("*"&amp;D111&amp;"*",商品マスタ一覧!$D:$E,2,FALSE)))*F111),
"+"&amp;(H111-M111)-IF(COUNTIF(D111,"*キャラ*"),
VLOOKUP("*キャラ*",商品マスタ一覧!$D:$E,2,FALSE),
IF(COUNTIF(D111,"*赤*"),
VLOOKUP("*赤*",商品マスタ一覧!$D:$E,2,FALSE),
VLOOKUP("*"&amp;D111&amp;"*",商品マスタ一覧!$D:$E,2,FALSE)))*F111,
(H111-M111)-IF(COUNTIF(D111,"*キャラ*"),
VLOOKUP("*キャラ*",商品マスタ一覧!$D:$E,2,FALSE),
IF(COUNTIF(D111,"*赤*"),
VLOOKUP("*赤*",商品マスタ一覧!$D:$E,2,FALSE),
VLOOKUP("*"&amp;D111&amp;"*",商品マスタ一覧!$D:$E,2,FALSE)))*F111),"")</f>
        <v/>
      </c>
      <c r="H111" s="182" t="str">
        <f>IF(C111&lt;&gt;"",
クライアント抽出!C41,"")</f>
        <v/>
      </c>
      <c r="I111" s="180" t="str">
        <f t="array" aca="1" ref="I111" ca="1">IF(C111&lt;&gt;"",
IF(O111=1,
IF(SUMPRODUCT(COUNTIF(クライアント抽出!P41:U41,クライアント抽出!P41:U41))&gt;COUNTA(クライアント抽出!P41:U41),
INDIRECT("数出表_Excel!"&amp;INDEX(_xlfn.UNIQUE(_xlfn._xlws.FILTER(クライアント抽出!P41:U41,COUNTIF(クライアント抽出!P41:U41,クライアント抽出!P41:U41)=1)),1)&amp;L111&amp;""),
0),クライアント抽出!F41),"")</f>
        <v/>
      </c>
      <c r="J111" s="180" t="str">
        <f>IF(C111&lt;&gt;"",
VLOOKUP(
"*"&amp;LEFT(IF(COUNTIF(D111,"*学食*"),"キャラ弁（学食）",
IF(COUNTIF(D111,"*赤*"),"赤",
IF(COUNTIF(D111,"*キャラ弁当*"),"キャラ弁当",D111))),4)&amp;"*",注文弁当の抽出!$E$1:$F$15,2,FALSE),"")</f>
        <v/>
      </c>
      <c r="K111" s="180" t="str">
        <f ca="1">IF(クライアント抽出!Q41&lt;&gt;"",SUBSTITUTE(ADDRESS(1,(CODE(クライアント抽出!Q41)-64)*2-1,4),"1",""),"")</f>
        <v/>
      </c>
      <c r="L111" s="180" t="str">
        <f>IF(C41&lt;&gt;"",クライアント抽出!I41,"")</f>
        <v/>
      </c>
      <c r="M111" s="180">
        <f t="array" aca="1" ref="M111" ca="1">IF(C111&lt;&gt;"",
IF(K111&lt;&gt;"",INDIRECT("'数出表_Excel（アレルギー入力）'!"&amp;K111&amp;L111-1&amp;""),),)</f>
        <v>0</v>
      </c>
      <c r="N111" s="180" t="str">
        <f>IF(C111&lt;&gt;"",IF(OR(COUNTIF('盛付札（関数）'!D111,"*赤*"),COUNTIF('盛付札（関数）'!D111,"*キャラ*")),1,
VLOOKUP("*"&amp;D111&amp;"*",商品マスタ一覧!D:H,5,FALSE)),"")</f>
        <v/>
      </c>
      <c r="O111" s="180">
        <f t="shared" ca="1" si="47"/>
        <v>0</v>
      </c>
      <c r="P111" s="180">
        <f t="shared" si="23"/>
        <v>0</v>
      </c>
      <c r="Q111" s="180" t="b">
        <f t="shared" si="24"/>
        <v>0</v>
      </c>
      <c r="R111" s="51" t="str">
        <f t="array" aca="1" ref="R111" ca="1">IFERROR(SMALL(IF(P$1:P$307&lt;&gt;0,P$1:P$307),ROW(A111)),"")</f>
        <v/>
      </c>
      <c r="S111" s="51" t="str">
        <f t="array" aca="1" ref="S111" ca="1">IF($R111&lt;&gt;"",
SUBSTITUTE(SUBSTITUTE(INDIRECT("C"&amp;$R111&amp;"")," 週3ｺｰｽ","")," 週5ｺｰｽ",""),"")</f>
        <v/>
      </c>
      <c r="T111" s="51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91" t="str">
        <f t="array" aca="1" ref="U111" ca="1">IF($R111&lt;&gt;"",
INDIRECT("F"&amp;$R111&amp;""),"")</f>
        <v/>
      </c>
      <c r="V111" s="51" t="str">
        <f t="array" aca="1" ref="V111" ca="1">IF($R111&lt;&gt;"",
INDIRECT("G"&amp;$R111&amp;""),"")</f>
        <v/>
      </c>
      <c r="W111" s="51" t="str">
        <f t="array" aca="1" ref="W111" ca="1">IF($R111&lt;&gt;"",
IF(AND(COUNTIF(INDIRECT("B"&amp;R111&amp;""),"*雙葉*"),COUNTIF(B:B,"*雙葉*")&gt;=2),
IF(OR(COUNTIF(INDIRECT("B"&amp;R111&amp;""),"*雙葉先生*"),COUNTIF($B$1:$B$70,"*雙葉*")&gt;=2),INDIRECT("H"&amp;R111&amp;""),INDIRECT("H"&amp;R111&amp;"")+INDIRECT("H"&amp;MATCH("雙葉'",INDIRECT("B"&amp;R111+3&amp;":B210"),0)+2+R111&amp;"")),
IF(AND(LEFT(INDIRECT("B"&amp;R111&amp;""),2)="博多",COUNTIF(B:B,"*博多*")&gt;=2),
INDIRECT("H"&amp;R111&amp;"")+INDIRECT("H"&amp;MATCH("*"&amp;INDIRECT("B"&amp;R111&amp;"")&amp;"*",INDIRECT("B"&amp;R111+1&amp;":B210"),0)+R111&amp;""),
IF(AND(LEFT(INDIRECT("B"&amp;R111&amp;""),3)="奈良屋",COUNTIF(B:B,"*奈良屋*")&gt;=2),
INDIRECT("H"&amp;R111&amp;"")+INDIRECT("H"&amp;MATCH("*"&amp;INDIRECT("B"&amp;R111&amp;"")&amp;"*",INDIRECT("B"&amp;R111+1&amp;":B210"),0)+R111&amp;"")
+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INDIRECT("H"&amp;R111&amp;"")))),"")</f>
        <v/>
      </c>
      <c r="X111" s="51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51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51" t="str">
        <f t="shared" ca="1" si="25"/>
        <v/>
      </c>
      <c r="AA111" s="51" t="str">
        <f t="shared" ca="1" si="26"/>
        <v/>
      </c>
      <c r="AB111" s="51" t="str">
        <f t="array" aca="1" ref="AB111" ca="1">IF($R111&lt;&gt;"",
IF(AND(COUNTIF(INDIRECT("B"&amp;R111&amp;""),"*雙葉*"),COUNTIF(B:B,"*雙葉*")&gt;=2),
INDIRECT("M"&amp;R111&amp;"")+INDIRECT("M"&amp;MATCH("雙葉'",INDIRECT("B"&amp;R111+1&amp;":B210"),0)+R111&amp;""),
IF(AND(LEFT(INDIRECT("B"&amp;R111&amp;""),2)="博多",COUNTIF(B:B,"*博多*")&gt;=2),
INDIRECT("M"&amp;R111&amp;"")+INDIRECT("M"&amp;MATCH("*"&amp;INDIRECT("B"&amp;R111&amp;"")&amp;"*",INDIRECT("B"&amp;R111+1&amp;":B210"),0)+R111&amp;""),
IF(AND(LEFT(INDIRECT("B"&amp;R111&amp;""),3)="奈良屋",COUNTIF(B:B,"*奈良屋*")&gt;=2),
INDIRECT("M"&amp;R111&amp;"")+INDIRECT("M"&amp;MATCH("*"&amp;INDIRECT("B"&amp;R111&amp;"")&amp;"*",INDIRECT("B"&amp;R111+1&amp;":B210"),0)+R111&amp;"")
+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INDIRECT("M"&amp;R111&amp;"")))),"")</f>
        <v/>
      </c>
      <c r="AC111" s="51" t="str">
        <f t="shared" ca="1" si="27"/>
        <v/>
      </c>
      <c r="AD111" s="51" t="str">
        <f t="shared" ca="1" si="28"/>
        <v/>
      </c>
      <c r="AE111" s="51" t="str">
        <f t="shared" ca="1" si="29"/>
        <v/>
      </c>
      <c r="AF111" s="51" t="str">
        <f t="shared" ca="1" si="30"/>
        <v/>
      </c>
      <c r="AG111" s="51" t="str">
        <f t="shared" ca="1" si="31"/>
        <v/>
      </c>
      <c r="AH111" s="191" t="str">
        <f t="shared" ca="1" si="32"/>
        <v/>
      </c>
      <c r="AI111" s="51" t="str">
        <f t="shared" ca="1" si="33"/>
        <v/>
      </c>
      <c r="AJ111" s="51" t="str">
        <f t="shared" ca="1" si="34"/>
        <v/>
      </c>
      <c r="AK111" s="51" t="str">
        <f t="shared" ca="1" si="35"/>
        <v/>
      </c>
      <c r="AL111" s="51" t="str">
        <f t="shared" ca="1" si="36"/>
        <v/>
      </c>
      <c r="AM111" s="51" t="str">
        <f t="shared" ca="1" si="37"/>
        <v/>
      </c>
      <c r="AN111" s="51" t="str">
        <f t="shared" ca="1" si="38"/>
        <v/>
      </c>
      <c r="AO111" s="51" t="str">
        <f t="shared" ca="1" si="39"/>
        <v/>
      </c>
      <c r="AP111" s="51" t="str">
        <f t="shared" ca="1" si="40"/>
        <v/>
      </c>
      <c r="AU111" s="51" t="str">
        <f t="shared" ca="1" si="41"/>
        <v/>
      </c>
    </row>
    <row r="112" spans="1:47" ht="22.2" customHeight="1">
      <c r="A112" s="179">
        <f t="shared" si="48"/>
        <v>89</v>
      </c>
      <c r="B112" s="180" t="str">
        <f t="shared" ca="1" si="46"/>
        <v/>
      </c>
      <c r="C112" s="180" t="str">
        <f>IF(OR(クライアント抽出!C42&lt;&gt;"",クライアント抽出!F42&lt;&gt;""),クライアント抽出!A42,"")</f>
        <v/>
      </c>
      <c r="D112" s="180" t="str">
        <f t="array" aca="1" ref="D112" ca="1">IF(C112&lt;&gt;"",INDIRECT("クライアント抽出!"&amp;E112&amp;MATCH(C112,クライアント抽出!A:A,0)&amp;""),"")</f>
        <v/>
      </c>
      <c r="E112" s="180" t="str">
        <f>IF(H112&lt;&gt;0,
IFERROR(
SUBSTITUTE(ADDRESS(1,
MATCH(VALUE(H112),クライアント抽出!A42:G42,0)+8,4),"1",""),
""),
IFERROR(
SUBSTITUTE(ADDRESS(1,
MATCH(VALUE(I112),クライアント抽出!A42:G42,0)+8,4),"1",""),
""))</f>
        <v/>
      </c>
      <c r="F112" s="181" t="str">
        <f ca="1">IF(D112&lt;&gt;"",
IF(COUNTIF(C112,"*雙葉*"),
IF(ROUND((H112-M112)
/IF(COUNTIF(D112,"*キャラ*"),
VLOOKUP("*キャラ*",商品マスタ一覧!$D:$E,2,FALSE),
IF(COUNTIF(D112,"*赤*"),
VLOOKUP("*赤*",商品マスタ一覧!$D:$E,2,FALSE),
VLOOKUP("*"&amp;D112&amp;"*",商品マスタ一覧!$D:$E,2,FALSE))),0)&lt;=0,1,
ROUND((H112-M112)
/IF(COUNTIF(D112,"*キャラ*"),
VLOOKUP("*キャラ*",商品マスタ一覧!$D:$E,2,FALSE),
IF(COUNTIF(D112,"*赤*"),
VLOOKUP("*赤*",商品マスタ一覧!$D:$E,2,FALSE),
VLOOKUP("*"&amp;D112&amp;"*",商品マスタ一覧!$D:$E,2,FALSE))),0)),
IF(OR(COUNTIF(D112,"*キャラ*"),COUNTIF(D112,"*赤*")),"",
IF(VLOOKUP("*"&amp;D112&amp;"*",商品マスタ一覧!$D:$E,2,FALSE)=0,"",
IF(ROUND((H112-M112)
/VLOOKUP("*"&amp;D112&amp;"*",商品マスタ一覧!$D:$E,2,FALSE),0)&lt;=0,1,
ROUND((H112-M112)
/VLOOKUP("*"&amp;D112&amp;"*",商品マスタ一覧!$D:$E,2,FALSE),0))))),"")</f>
        <v/>
      </c>
      <c r="G112" s="180" t="str">
        <f ca="1">IF(F112&lt;&gt;"",
IF(VALUE(H112-M112)&gt;VALUE(IF(COUNTIF(D112,"*キャラ*"),
VLOOKUP("*キャラ*",商品マスタ一覧!$D:$E,2,FALSE),
IF(COUNTIF(D112,"*赤*"),
VLOOKUP("*赤*",商品マスタ一覧!$D:$E,2,FALSE),
VLOOKUP("*"&amp;D112&amp;"*",商品マスタ一覧!$D:$E,2,FALSE)))*F112),
"+"&amp;(H112-M112)-IF(COUNTIF(D112,"*キャラ*"),
VLOOKUP("*キャラ*",商品マスタ一覧!$D:$E,2,FALSE),
IF(COUNTIF(D112,"*赤*"),
VLOOKUP("*赤*",商品マスタ一覧!$D:$E,2,FALSE),
VLOOKUP("*"&amp;D112&amp;"*",商品マスタ一覧!$D:$E,2,FALSE)))*F112,
(H112-M112)-IF(COUNTIF(D112,"*キャラ*"),
VLOOKUP("*キャラ*",商品マスタ一覧!$D:$E,2,FALSE),
IF(COUNTIF(D112,"*赤*"),
VLOOKUP("*赤*",商品マスタ一覧!$D:$E,2,FALSE),
VLOOKUP("*"&amp;D112&amp;"*",商品マスタ一覧!$D:$E,2,FALSE)))*F112),"")</f>
        <v/>
      </c>
      <c r="H112" s="182" t="str">
        <f>IF(C112&lt;&gt;"",
クライアント抽出!C42,"")</f>
        <v/>
      </c>
      <c r="I112" s="180" t="str">
        <f t="array" aca="1" ref="I112" ca="1">IF(C112&lt;&gt;"",
IF(O112=1,
IF(SUMPRODUCT(COUNTIF(クライアント抽出!P42:U42,クライアント抽出!P42:U42))&gt;COUNTA(クライアント抽出!P42:U42),
INDIRECT("数出表_Excel!"&amp;INDEX(_xlfn.UNIQUE(_xlfn._xlws.FILTER(クライアント抽出!P42:U42,COUNTIF(クライアント抽出!P42:U42,クライアント抽出!P42:U42)=1)),1)&amp;L112&amp;""),
0),クライアント抽出!F42),"")</f>
        <v/>
      </c>
      <c r="J112" s="180" t="str">
        <f>IF(C112&lt;&gt;"",
VLOOKUP(
"*"&amp;LEFT(IF(COUNTIF(D112,"*学食*"),"キャラ弁（学食）",
IF(COUNTIF(D112,"*赤*"),"赤",
IF(COUNTIF(D112,"*キャラ弁当*"),"キャラ弁当",D112))),4)&amp;"*",注文弁当の抽出!$E$1:$F$15,2,FALSE),"")</f>
        <v/>
      </c>
      <c r="K112" s="180" t="str">
        <f ca="1">IF(クライアント抽出!Q42&lt;&gt;"",SUBSTITUTE(ADDRESS(1,(CODE(クライアント抽出!Q42)-64)*2-1,4),"1",""),"")</f>
        <v/>
      </c>
      <c r="L112" s="180" t="str">
        <f>IF(C42&lt;&gt;"",クライアント抽出!I42,"")</f>
        <v/>
      </c>
      <c r="M112" s="180">
        <f t="array" aca="1" ref="M112" ca="1">IF(C112&lt;&gt;"",
IF(K112&lt;&gt;"",INDIRECT("'数出表_Excel（アレルギー入力）'!"&amp;K112&amp;L112-1&amp;""),),)</f>
        <v>0</v>
      </c>
      <c r="N112" s="180" t="str">
        <f>IF(C112&lt;&gt;"",IF(OR(COUNTIF('盛付札（関数）'!D112,"*赤*"),COUNTIF('盛付札（関数）'!D112,"*キャラ*")),1,
VLOOKUP("*"&amp;D112&amp;"*",商品マスタ一覧!D:H,5,FALSE)),"")</f>
        <v/>
      </c>
      <c r="O112" s="180">
        <f t="shared" ca="1" si="47"/>
        <v>0</v>
      </c>
      <c r="P112" s="180">
        <f t="shared" si="23"/>
        <v>0</v>
      </c>
      <c r="Q112" s="180" t="b">
        <f t="shared" si="24"/>
        <v>0</v>
      </c>
      <c r="R112" s="51" t="str">
        <f t="array" aca="1" ref="R112" ca="1">IFERROR(SMALL(IF(P$1:P$307&lt;&gt;0,P$1:P$307),ROW(A112)),"")</f>
        <v/>
      </c>
      <c r="S112" s="51" t="str">
        <f t="array" aca="1" ref="S112" ca="1">IF($R112&lt;&gt;"",
SUBSTITUTE(SUBSTITUTE(INDIRECT("C"&amp;$R112&amp;"")," 週3ｺｰｽ","")," 週5ｺｰｽ",""),"")</f>
        <v/>
      </c>
      <c r="T112" s="51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91" t="str">
        <f t="array" aca="1" ref="U112" ca="1">IF($R112&lt;&gt;"",
INDIRECT("F"&amp;$R112&amp;""),"")</f>
        <v/>
      </c>
      <c r="V112" s="51" t="str">
        <f t="array" aca="1" ref="V112" ca="1">IF($R112&lt;&gt;"",
INDIRECT("G"&amp;$R112&amp;""),"")</f>
        <v/>
      </c>
      <c r="W112" s="51" t="str">
        <f t="array" aca="1" ref="W112" ca="1">IF($R112&lt;&gt;"",
IF(AND(COUNTIF(INDIRECT("B"&amp;R112&amp;""),"*雙葉*"),COUNTIF(B:B,"*雙葉*")&gt;=2),
IF(OR(COUNTIF(INDIRECT("B"&amp;R112&amp;""),"*雙葉先生*"),COUNTIF($B$1:$B$70,"*雙葉*")&gt;=2),INDIRECT("H"&amp;R112&amp;""),INDIRECT("H"&amp;R112&amp;"")+INDIRECT("H"&amp;MATCH("雙葉'",INDIRECT("B"&amp;R112+3&amp;":B210"),0)+2+R112&amp;"")),
IF(AND(LEFT(INDIRECT("B"&amp;R112&amp;""),2)="博多",COUNTIF(B:B,"*博多*")&gt;=2),
INDIRECT("H"&amp;R112&amp;"")+INDIRECT("H"&amp;MATCH("*"&amp;INDIRECT("B"&amp;R112&amp;"")&amp;"*",INDIRECT("B"&amp;R112+1&amp;":B210"),0)+R112&amp;""),
IF(AND(LEFT(INDIRECT("B"&amp;R112&amp;""),3)="奈良屋",COUNTIF(B:B,"*奈良屋*")&gt;=2),
INDIRECT("H"&amp;R112&amp;"")+INDIRECT("H"&amp;MATCH("*"&amp;INDIRECT("B"&amp;R112&amp;"")&amp;"*",INDIRECT("B"&amp;R112+1&amp;":B210"),0)+R112&amp;"")
+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INDIRECT("H"&amp;R112&amp;"")))),"")</f>
        <v/>
      </c>
      <c r="X112" s="51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51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51" t="str">
        <f t="shared" ca="1" si="25"/>
        <v/>
      </c>
      <c r="AA112" s="51" t="str">
        <f t="shared" ca="1" si="26"/>
        <v/>
      </c>
      <c r="AB112" s="51" t="str">
        <f t="array" aca="1" ref="AB112" ca="1">IF($R112&lt;&gt;"",
IF(AND(COUNTIF(INDIRECT("B"&amp;R112&amp;""),"*雙葉*"),COUNTIF(B:B,"*雙葉*")&gt;=2),
INDIRECT("M"&amp;R112&amp;"")+INDIRECT("M"&amp;MATCH("雙葉'",INDIRECT("B"&amp;R112+1&amp;":B210"),0)+R112&amp;""),
IF(AND(LEFT(INDIRECT("B"&amp;R112&amp;""),2)="博多",COUNTIF(B:B,"*博多*")&gt;=2),
INDIRECT("M"&amp;R112&amp;"")+INDIRECT("M"&amp;MATCH("*"&amp;INDIRECT("B"&amp;R112&amp;"")&amp;"*",INDIRECT("B"&amp;R112+1&amp;":B210"),0)+R112&amp;""),
IF(AND(LEFT(INDIRECT("B"&amp;R112&amp;""),3)="奈良屋",COUNTIF(B:B,"*奈良屋*")&gt;=2),
INDIRECT("M"&amp;R112&amp;"")+INDIRECT("M"&amp;MATCH("*"&amp;INDIRECT("B"&amp;R112&amp;"")&amp;"*",INDIRECT("B"&amp;R112+1&amp;":B210"),0)+R112&amp;"")
+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INDIRECT("M"&amp;R112&amp;"")))),"")</f>
        <v/>
      </c>
      <c r="AC112" s="51" t="str">
        <f t="shared" ca="1" si="27"/>
        <v/>
      </c>
      <c r="AD112" s="51" t="str">
        <f t="shared" ca="1" si="28"/>
        <v/>
      </c>
      <c r="AE112" s="51" t="str">
        <f t="shared" ca="1" si="29"/>
        <v/>
      </c>
      <c r="AF112" s="51" t="str">
        <f t="shared" ca="1" si="30"/>
        <v/>
      </c>
      <c r="AG112" s="51" t="str">
        <f t="shared" ca="1" si="31"/>
        <v/>
      </c>
      <c r="AH112" s="191" t="str">
        <f t="shared" ca="1" si="32"/>
        <v/>
      </c>
      <c r="AI112" s="51" t="str">
        <f t="shared" ca="1" si="33"/>
        <v/>
      </c>
      <c r="AJ112" s="51" t="str">
        <f t="shared" ca="1" si="34"/>
        <v/>
      </c>
      <c r="AK112" s="51" t="str">
        <f t="shared" ca="1" si="35"/>
        <v/>
      </c>
      <c r="AL112" s="51" t="str">
        <f t="shared" ca="1" si="36"/>
        <v/>
      </c>
      <c r="AM112" s="51" t="str">
        <f t="shared" ca="1" si="37"/>
        <v/>
      </c>
      <c r="AN112" s="51" t="str">
        <f t="shared" ca="1" si="38"/>
        <v/>
      </c>
      <c r="AO112" s="51" t="str">
        <f t="shared" ca="1" si="39"/>
        <v/>
      </c>
      <c r="AP112" s="51" t="str">
        <f t="shared" ca="1" si="40"/>
        <v/>
      </c>
      <c r="AU112" s="51" t="str">
        <f t="shared" ca="1" si="41"/>
        <v/>
      </c>
    </row>
    <row r="113" spans="1:47" ht="22.2" customHeight="1">
      <c r="A113" s="179">
        <f t="shared" si="48"/>
        <v>91</v>
      </c>
      <c r="B113" s="180" t="str">
        <f t="shared" ca="1" si="46"/>
        <v/>
      </c>
      <c r="C113" s="180" t="str">
        <f>IF(OR(クライアント抽出!C43&lt;&gt;"",クライアント抽出!F43&lt;&gt;""),クライアント抽出!A43,"")</f>
        <v/>
      </c>
      <c r="D113" s="180" t="str">
        <f t="array" aca="1" ref="D113" ca="1">IF(C113&lt;&gt;"",INDIRECT("クライアント抽出!"&amp;E113&amp;MATCH(C113,クライアント抽出!A:A,0)&amp;""),"")</f>
        <v/>
      </c>
      <c r="E113" s="180" t="str">
        <f>IF(H113&lt;&gt;0,
IFERROR(
SUBSTITUTE(ADDRESS(1,
MATCH(VALUE(H113),クライアント抽出!A43:G43,0)+8,4),"1",""),
""),
IFERROR(
SUBSTITUTE(ADDRESS(1,
MATCH(VALUE(I113),クライアント抽出!A43:G43,0)+8,4),"1",""),
""))</f>
        <v/>
      </c>
      <c r="F113" s="181" t="str">
        <f ca="1">IF(D113&lt;&gt;"",
IF(COUNTIF(C113,"*雙葉*"),
IF(ROUND((H113-M113)
/IF(COUNTIF(D113,"*キャラ*"),
VLOOKUP("*キャラ*",商品マスタ一覧!$D:$E,2,FALSE),
IF(COUNTIF(D113,"*赤*"),
VLOOKUP("*赤*",商品マスタ一覧!$D:$E,2,FALSE),
VLOOKUP("*"&amp;D113&amp;"*",商品マスタ一覧!$D:$E,2,FALSE))),0)&lt;=0,1,
ROUND((H113-M113)
/IF(COUNTIF(D113,"*キャラ*"),
VLOOKUP("*キャラ*",商品マスタ一覧!$D:$E,2,FALSE),
IF(COUNTIF(D113,"*赤*"),
VLOOKUP("*赤*",商品マスタ一覧!$D:$E,2,FALSE),
VLOOKUP("*"&amp;D113&amp;"*",商品マスタ一覧!$D:$E,2,FALSE))),0)),
IF(OR(COUNTIF(D113,"*キャラ*"),COUNTIF(D113,"*赤*")),"",
IF(VLOOKUP("*"&amp;D113&amp;"*",商品マスタ一覧!$D:$E,2,FALSE)=0,"",
IF(ROUND((H113-M113)
/VLOOKUP("*"&amp;D113&amp;"*",商品マスタ一覧!$D:$E,2,FALSE),0)&lt;=0,1,
ROUND((H113-M113)
/VLOOKUP("*"&amp;D113&amp;"*",商品マスタ一覧!$D:$E,2,FALSE),0))))),"")</f>
        <v/>
      </c>
      <c r="G113" s="180" t="str">
        <f ca="1">IF(F113&lt;&gt;"",
IF(VALUE(H113-M113)&gt;VALUE(IF(COUNTIF(D113,"*キャラ*"),
VLOOKUP("*キャラ*",商品マスタ一覧!$D:$E,2,FALSE),
IF(COUNTIF(D113,"*赤*"),
VLOOKUP("*赤*",商品マスタ一覧!$D:$E,2,FALSE),
VLOOKUP("*"&amp;D113&amp;"*",商品マスタ一覧!$D:$E,2,FALSE)))*F113),
"+"&amp;(H113-M113)-IF(COUNTIF(D113,"*キャラ*"),
VLOOKUP("*キャラ*",商品マスタ一覧!$D:$E,2,FALSE),
IF(COUNTIF(D113,"*赤*"),
VLOOKUP("*赤*",商品マスタ一覧!$D:$E,2,FALSE),
VLOOKUP("*"&amp;D113&amp;"*",商品マスタ一覧!$D:$E,2,FALSE)))*F113,
(H113-M113)-IF(COUNTIF(D113,"*キャラ*"),
VLOOKUP("*キャラ*",商品マスタ一覧!$D:$E,2,FALSE),
IF(COUNTIF(D113,"*赤*"),
VLOOKUP("*赤*",商品マスタ一覧!$D:$E,2,FALSE),
VLOOKUP("*"&amp;D113&amp;"*",商品マスタ一覧!$D:$E,2,FALSE)))*F113),"")</f>
        <v/>
      </c>
      <c r="H113" s="182" t="str">
        <f>IF(C113&lt;&gt;"",
クライアント抽出!C43,"")</f>
        <v/>
      </c>
      <c r="I113" s="180" t="str">
        <f t="array" aca="1" ref="I113" ca="1">IF(C113&lt;&gt;"",
IF(O113=1,
IF(SUMPRODUCT(COUNTIF(クライアント抽出!P43:U43,クライアント抽出!P43:U43))&gt;COUNTA(クライアント抽出!P43:U43),
INDIRECT("数出表_Excel!"&amp;INDEX(_xlfn.UNIQUE(_xlfn._xlws.FILTER(クライアント抽出!P43:U43,COUNTIF(クライアント抽出!P43:U43,クライアント抽出!P43:U43)=1)),1)&amp;L113&amp;""),
0),クライアント抽出!F43),"")</f>
        <v/>
      </c>
      <c r="J113" s="180" t="str">
        <f>IF(C113&lt;&gt;"",
VLOOKUP(
"*"&amp;LEFT(IF(COUNTIF(D113,"*学食*"),"キャラ弁（学食）",
IF(COUNTIF(D113,"*赤*"),"赤",
IF(COUNTIF(D113,"*キャラ弁当*"),"キャラ弁当",D113))),4)&amp;"*",注文弁当の抽出!$E$1:$F$15,2,FALSE),"")</f>
        <v/>
      </c>
      <c r="K113" s="180" t="str">
        <f ca="1">IF(クライアント抽出!Q43&lt;&gt;"",SUBSTITUTE(ADDRESS(1,(CODE(クライアント抽出!Q43)-64)*2-1,4),"1",""),"")</f>
        <v/>
      </c>
      <c r="L113" s="180" t="str">
        <f>IF(C43&lt;&gt;"",クライアント抽出!I43,"")</f>
        <v/>
      </c>
      <c r="M113" s="180">
        <f t="array" aca="1" ref="M113" ca="1">IF(C113&lt;&gt;"",
IF(K113&lt;&gt;"",INDIRECT("'数出表_Excel（アレルギー入力）'!"&amp;K113&amp;L113-1&amp;""),),)</f>
        <v>0</v>
      </c>
      <c r="N113" s="180" t="str">
        <f>IF(C113&lt;&gt;"",IF(OR(COUNTIF('盛付札（関数）'!D113,"*赤*"),COUNTIF('盛付札（関数）'!D113,"*キャラ*")),1,
VLOOKUP("*"&amp;D113&amp;"*",商品マスタ一覧!D:H,5,FALSE)),"")</f>
        <v/>
      </c>
      <c r="O113" s="180">
        <f t="shared" ca="1" si="47"/>
        <v>0</v>
      </c>
      <c r="P113" s="180">
        <f t="shared" si="23"/>
        <v>0</v>
      </c>
      <c r="Q113" s="180" t="b">
        <f t="shared" si="24"/>
        <v>0</v>
      </c>
      <c r="R113" s="51" t="str">
        <f t="array" aca="1" ref="R113" ca="1">IFERROR(SMALL(IF(P$1:P$307&lt;&gt;0,P$1:P$307),ROW(A113)),"")</f>
        <v/>
      </c>
      <c r="S113" s="51" t="str">
        <f t="array" aca="1" ref="S113" ca="1">IF($R113&lt;&gt;"",
SUBSTITUTE(SUBSTITUTE(INDIRECT("C"&amp;$R113&amp;"")," 週3ｺｰｽ","")," 週5ｺｰｽ",""),"")</f>
        <v/>
      </c>
      <c r="T113" s="51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91" t="str">
        <f t="array" aca="1" ref="U113" ca="1">IF($R113&lt;&gt;"",
INDIRECT("F"&amp;$R113&amp;""),"")</f>
        <v/>
      </c>
      <c r="V113" s="51" t="str">
        <f t="array" aca="1" ref="V113" ca="1">IF($R113&lt;&gt;"",
INDIRECT("G"&amp;$R113&amp;""),"")</f>
        <v/>
      </c>
      <c r="W113" s="51" t="str">
        <f t="array" aca="1" ref="W113" ca="1">IF($R113&lt;&gt;"",
IF(AND(COUNTIF(INDIRECT("B"&amp;R113&amp;""),"*雙葉*"),COUNTIF(B:B,"*雙葉*")&gt;=2),
IF(OR(COUNTIF(INDIRECT("B"&amp;R113&amp;""),"*雙葉先生*"),COUNTIF($B$1:$B$70,"*雙葉*")&gt;=2),INDIRECT("H"&amp;R113&amp;""),INDIRECT("H"&amp;R113&amp;"")+INDIRECT("H"&amp;MATCH("雙葉'",INDIRECT("B"&amp;R113+3&amp;":B210"),0)+2+R113&amp;"")),
IF(AND(LEFT(INDIRECT("B"&amp;R113&amp;""),2)="博多",COUNTIF(B:B,"*博多*")&gt;=2),
INDIRECT("H"&amp;R113&amp;"")+INDIRECT("H"&amp;MATCH("*"&amp;INDIRECT("B"&amp;R113&amp;"")&amp;"*",INDIRECT("B"&amp;R113+1&amp;":B210"),0)+R113&amp;""),
IF(AND(LEFT(INDIRECT("B"&amp;R113&amp;""),3)="奈良屋",COUNTIF(B:B,"*奈良屋*")&gt;=2),
INDIRECT("H"&amp;R113&amp;"")+INDIRECT("H"&amp;MATCH("*"&amp;INDIRECT("B"&amp;R113&amp;"")&amp;"*",INDIRECT("B"&amp;R113+1&amp;":B210"),0)+R113&amp;"")
+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INDIRECT("H"&amp;R113&amp;"")))),"")</f>
        <v/>
      </c>
      <c r="X113" s="51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51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51" t="str">
        <f t="shared" ca="1" si="25"/>
        <v/>
      </c>
      <c r="AA113" s="51" t="str">
        <f t="shared" ca="1" si="26"/>
        <v/>
      </c>
      <c r="AB113" s="51" t="str">
        <f t="array" aca="1" ref="AB113" ca="1">IF($R113&lt;&gt;"",
IF(AND(COUNTIF(INDIRECT("B"&amp;R113&amp;""),"*雙葉*"),COUNTIF(B:B,"*雙葉*")&gt;=2),
INDIRECT("M"&amp;R113&amp;"")+INDIRECT("M"&amp;MATCH("雙葉'",INDIRECT("B"&amp;R113+1&amp;":B210"),0)+R113&amp;""),
IF(AND(LEFT(INDIRECT("B"&amp;R113&amp;""),2)="博多",COUNTIF(B:B,"*博多*")&gt;=2),
INDIRECT("M"&amp;R113&amp;"")+INDIRECT("M"&amp;MATCH("*"&amp;INDIRECT("B"&amp;R113&amp;"")&amp;"*",INDIRECT("B"&amp;R113+1&amp;":B210"),0)+R113&amp;""),
IF(AND(LEFT(INDIRECT("B"&amp;R113&amp;""),3)="奈良屋",COUNTIF(B:B,"*奈良屋*")&gt;=2),
INDIRECT("M"&amp;R113&amp;"")+INDIRECT("M"&amp;MATCH("*"&amp;INDIRECT("B"&amp;R113&amp;"")&amp;"*",INDIRECT("B"&amp;R113+1&amp;":B210"),0)+R113&amp;"")
+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INDIRECT("M"&amp;R113&amp;"")))),"")</f>
        <v/>
      </c>
      <c r="AC113" s="51" t="str">
        <f t="shared" ca="1" si="27"/>
        <v/>
      </c>
      <c r="AD113" s="51" t="str">
        <f t="shared" ca="1" si="28"/>
        <v/>
      </c>
      <c r="AE113" s="51" t="str">
        <f t="shared" ca="1" si="29"/>
        <v/>
      </c>
      <c r="AF113" s="51" t="str">
        <f t="shared" ca="1" si="30"/>
        <v/>
      </c>
      <c r="AG113" s="51" t="str">
        <f t="shared" ca="1" si="31"/>
        <v/>
      </c>
      <c r="AH113" s="191" t="str">
        <f t="shared" ca="1" si="32"/>
        <v/>
      </c>
      <c r="AI113" s="51" t="str">
        <f t="shared" ca="1" si="33"/>
        <v/>
      </c>
      <c r="AJ113" s="51" t="str">
        <f t="shared" ca="1" si="34"/>
        <v/>
      </c>
      <c r="AK113" s="51" t="str">
        <f t="shared" ca="1" si="35"/>
        <v/>
      </c>
      <c r="AL113" s="51" t="str">
        <f t="shared" ca="1" si="36"/>
        <v/>
      </c>
      <c r="AM113" s="51" t="str">
        <f t="shared" ca="1" si="37"/>
        <v/>
      </c>
      <c r="AN113" s="51" t="str">
        <f t="shared" ca="1" si="38"/>
        <v/>
      </c>
      <c r="AO113" s="51" t="str">
        <f t="shared" ca="1" si="39"/>
        <v/>
      </c>
      <c r="AP113" s="51" t="str">
        <f t="shared" ca="1" si="40"/>
        <v/>
      </c>
      <c r="AU113" s="51" t="str">
        <f t="shared" ca="1" si="41"/>
        <v/>
      </c>
    </row>
    <row r="114" spans="1:47" ht="22.2" customHeight="1">
      <c r="A114" s="179">
        <f t="shared" si="48"/>
        <v>93</v>
      </c>
      <c r="B114" s="180" t="str">
        <f t="shared" ca="1" si="46"/>
        <v/>
      </c>
      <c r="C114" s="180" t="str">
        <f>IF(OR(クライアント抽出!C44&lt;&gt;"",クライアント抽出!F44&lt;&gt;""),クライアント抽出!A44,"")</f>
        <v/>
      </c>
      <c r="D114" s="180" t="str">
        <f t="array" aca="1" ref="D114" ca="1">IF(C114&lt;&gt;"",INDIRECT("クライアント抽出!"&amp;E114&amp;MATCH(C114,クライアント抽出!A:A,0)&amp;""),"")</f>
        <v/>
      </c>
      <c r="E114" s="180" t="str">
        <f>IF(H114&lt;&gt;0,
IFERROR(
SUBSTITUTE(ADDRESS(1,
MATCH(VALUE(H114),クライアント抽出!A44:G44,0)+8,4),"1",""),
""),
IFERROR(
SUBSTITUTE(ADDRESS(1,
MATCH(VALUE(I114),クライアント抽出!A44:G44,0)+8,4),"1",""),
""))</f>
        <v/>
      </c>
      <c r="F114" s="181" t="str">
        <f ca="1">IF(D114&lt;&gt;"",
IF(COUNTIF(C114,"*雙葉*"),
IF(ROUND((H114-M114)
/IF(COUNTIF(D114,"*キャラ*"),
VLOOKUP("*キャラ*",商品マスタ一覧!$D:$E,2,FALSE),
IF(COUNTIF(D114,"*赤*"),
VLOOKUP("*赤*",商品マスタ一覧!$D:$E,2,FALSE),
VLOOKUP("*"&amp;D114&amp;"*",商品マスタ一覧!$D:$E,2,FALSE))),0)&lt;=0,1,
ROUND((H114-M114)
/IF(COUNTIF(D114,"*キャラ*"),
VLOOKUP("*キャラ*",商品マスタ一覧!$D:$E,2,FALSE),
IF(COUNTIF(D114,"*赤*"),
VLOOKUP("*赤*",商品マスタ一覧!$D:$E,2,FALSE),
VLOOKUP("*"&amp;D114&amp;"*",商品マスタ一覧!$D:$E,2,FALSE))),0)),
IF(OR(COUNTIF(D114,"*キャラ*"),COUNTIF(D114,"*赤*")),"",
IF(VLOOKUP("*"&amp;D114&amp;"*",商品マスタ一覧!$D:$E,2,FALSE)=0,"",
IF(ROUND((H114-M114)
/VLOOKUP("*"&amp;D114&amp;"*",商品マスタ一覧!$D:$E,2,FALSE),0)&lt;=0,1,
ROUND((H114-M114)
/VLOOKUP("*"&amp;D114&amp;"*",商品マスタ一覧!$D:$E,2,FALSE),0))))),"")</f>
        <v/>
      </c>
      <c r="G114" s="180" t="str">
        <f ca="1">IF(F114&lt;&gt;"",
IF(VALUE(H114-M114)&gt;VALUE(IF(COUNTIF(D114,"*キャラ*"),
VLOOKUP("*キャラ*",商品マスタ一覧!$D:$E,2,FALSE),
IF(COUNTIF(D114,"*赤*"),
VLOOKUP("*赤*",商品マスタ一覧!$D:$E,2,FALSE),
VLOOKUP("*"&amp;D114&amp;"*",商品マスタ一覧!$D:$E,2,FALSE)))*F114),
"+"&amp;(H114-M114)-IF(COUNTIF(D114,"*キャラ*"),
VLOOKUP("*キャラ*",商品マスタ一覧!$D:$E,2,FALSE),
IF(COUNTIF(D114,"*赤*"),
VLOOKUP("*赤*",商品マスタ一覧!$D:$E,2,FALSE),
VLOOKUP("*"&amp;D114&amp;"*",商品マスタ一覧!$D:$E,2,FALSE)))*F114,
(H114-M114)-IF(COUNTIF(D114,"*キャラ*"),
VLOOKUP("*キャラ*",商品マスタ一覧!$D:$E,2,FALSE),
IF(COUNTIF(D114,"*赤*"),
VLOOKUP("*赤*",商品マスタ一覧!$D:$E,2,FALSE),
VLOOKUP("*"&amp;D114&amp;"*",商品マスタ一覧!$D:$E,2,FALSE)))*F114),"")</f>
        <v/>
      </c>
      <c r="H114" s="182" t="str">
        <f>IF(C114&lt;&gt;"",
クライアント抽出!C44,"")</f>
        <v/>
      </c>
      <c r="I114" s="180" t="str">
        <f t="array" aca="1" ref="I114" ca="1">IF(C114&lt;&gt;"",
IF(O114=1,
IF(SUMPRODUCT(COUNTIF(クライアント抽出!P44:U44,クライアント抽出!P44:U44))&gt;COUNTA(クライアント抽出!P44:U44),
INDIRECT("数出表_Excel!"&amp;INDEX(_xlfn.UNIQUE(_xlfn._xlws.FILTER(クライアント抽出!P44:U44,COUNTIF(クライアント抽出!P44:U44,クライアント抽出!P44:U44)=1)),1)&amp;L114&amp;""),
0),クライアント抽出!F44),"")</f>
        <v/>
      </c>
      <c r="J114" s="180" t="str">
        <f>IF(C114&lt;&gt;"",
VLOOKUP(
"*"&amp;LEFT(IF(COUNTIF(D114,"*学食*"),"キャラ弁（学食）",
IF(COUNTIF(D114,"*赤*"),"赤",
IF(COUNTIF(D114,"*キャラ弁当*"),"キャラ弁当",D114))),4)&amp;"*",注文弁当の抽出!$E$1:$F$15,2,FALSE),"")</f>
        <v/>
      </c>
      <c r="K114" s="180" t="str">
        <f ca="1">IF(クライアント抽出!Q44&lt;&gt;"",SUBSTITUTE(ADDRESS(1,(CODE(クライアント抽出!Q44)-64)*2-1,4),"1",""),"")</f>
        <v/>
      </c>
      <c r="L114" s="180" t="str">
        <f>IF(C44&lt;&gt;"",クライアント抽出!I44,"")</f>
        <v/>
      </c>
      <c r="M114" s="180">
        <f t="array" aca="1" ref="M114" ca="1">IF(C114&lt;&gt;"",
IF(K114&lt;&gt;"",INDIRECT("'数出表_Excel（アレルギー入力）'!"&amp;K114&amp;L114-1&amp;""),),)</f>
        <v>0</v>
      </c>
      <c r="N114" s="180" t="str">
        <f>IF(C114&lt;&gt;"",IF(OR(COUNTIF('盛付札（関数）'!D114,"*赤*"),COUNTIF('盛付札（関数）'!D114,"*キャラ*")),1,
VLOOKUP("*"&amp;D114&amp;"*",商品マスタ一覧!D:H,5,FALSE)),"")</f>
        <v/>
      </c>
      <c r="O114" s="180">
        <f t="shared" ca="1" si="47"/>
        <v>0</v>
      </c>
      <c r="P114" s="180">
        <f t="shared" si="23"/>
        <v>0</v>
      </c>
      <c r="Q114" s="180" t="b">
        <f t="shared" si="24"/>
        <v>0</v>
      </c>
      <c r="R114" s="51" t="str">
        <f t="array" aca="1" ref="R114" ca="1">IFERROR(SMALL(IF(P$1:P$307&lt;&gt;0,P$1:P$307),ROW(A114)),"")</f>
        <v/>
      </c>
      <c r="S114" s="51" t="str">
        <f t="array" aca="1" ref="S114" ca="1">IF($R114&lt;&gt;"",
SUBSTITUTE(SUBSTITUTE(INDIRECT("C"&amp;$R114&amp;"")," 週3ｺｰｽ","")," 週5ｺｰｽ",""),"")</f>
        <v/>
      </c>
      <c r="T114" s="51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91" t="str">
        <f t="array" aca="1" ref="U114" ca="1">IF($R114&lt;&gt;"",
INDIRECT("F"&amp;$R114&amp;""),"")</f>
        <v/>
      </c>
      <c r="V114" s="51" t="str">
        <f t="array" aca="1" ref="V114" ca="1">IF($R114&lt;&gt;"",
INDIRECT("G"&amp;$R114&amp;""),"")</f>
        <v/>
      </c>
      <c r="W114" s="51" t="str">
        <f t="array" aca="1" ref="W114" ca="1">IF($R114&lt;&gt;"",
IF(AND(COUNTIF(INDIRECT("B"&amp;R114&amp;""),"*雙葉*"),COUNTIF(B:B,"*雙葉*")&gt;=2),
IF(OR(COUNTIF(INDIRECT("B"&amp;R114&amp;""),"*雙葉先生*"),COUNTIF($B$1:$B$70,"*雙葉*")&gt;=2),INDIRECT("H"&amp;R114&amp;""),INDIRECT("H"&amp;R114&amp;"")+INDIRECT("H"&amp;MATCH("雙葉'",INDIRECT("B"&amp;R114+3&amp;":B210"),0)+2+R114&amp;"")),
IF(AND(LEFT(INDIRECT("B"&amp;R114&amp;""),2)="博多",COUNTIF(B:B,"*博多*")&gt;=2),
INDIRECT("H"&amp;R114&amp;"")+INDIRECT("H"&amp;MATCH("*"&amp;INDIRECT("B"&amp;R114&amp;"")&amp;"*",INDIRECT("B"&amp;R114+1&amp;":B210"),0)+R114&amp;""),
IF(AND(LEFT(INDIRECT("B"&amp;R114&amp;""),3)="奈良屋",COUNTIF(B:B,"*奈良屋*")&gt;=2),
INDIRECT("H"&amp;R114&amp;"")+INDIRECT("H"&amp;MATCH("*"&amp;INDIRECT("B"&amp;R114&amp;"")&amp;"*",INDIRECT("B"&amp;R114+1&amp;":B210"),0)+R114&amp;"")
+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INDIRECT("H"&amp;R114&amp;"")))),"")</f>
        <v/>
      </c>
      <c r="X114" s="51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51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51" t="str">
        <f t="shared" ca="1" si="25"/>
        <v/>
      </c>
      <c r="AA114" s="51" t="str">
        <f t="shared" ca="1" si="26"/>
        <v/>
      </c>
      <c r="AB114" s="51" t="str">
        <f t="array" aca="1" ref="AB114" ca="1">IF($R114&lt;&gt;"",
IF(AND(COUNTIF(INDIRECT("B"&amp;R114&amp;""),"*雙葉*"),COUNTIF(B:B,"*雙葉*")&gt;=2),
INDIRECT("M"&amp;R114&amp;"")+INDIRECT("M"&amp;MATCH("雙葉'",INDIRECT("B"&amp;R114+1&amp;":B210"),0)+R114&amp;""),
IF(AND(LEFT(INDIRECT("B"&amp;R114&amp;""),2)="博多",COUNTIF(B:B,"*博多*")&gt;=2),
INDIRECT("M"&amp;R114&amp;"")+INDIRECT("M"&amp;MATCH("*"&amp;INDIRECT("B"&amp;R114&amp;"")&amp;"*",INDIRECT("B"&amp;R114+1&amp;":B210"),0)+R114&amp;""),
IF(AND(LEFT(INDIRECT("B"&amp;R114&amp;""),3)="奈良屋",COUNTIF(B:B,"*奈良屋*")&gt;=2),
INDIRECT("M"&amp;R114&amp;"")+INDIRECT("M"&amp;MATCH("*"&amp;INDIRECT("B"&amp;R114&amp;"")&amp;"*",INDIRECT("B"&amp;R114+1&amp;":B210"),0)+R114&amp;"")
+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INDIRECT("M"&amp;R114&amp;"")))),"")</f>
        <v/>
      </c>
      <c r="AC114" s="51" t="str">
        <f t="shared" ca="1" si="27"/>
        <v/>
      </c>
      <c r="AD114" s="51" t="str">
        <f t="shared" ca="1" si="28"/>
        <v/>
      </c>
      <c r="AE114" s="51" t="str">
        <f t="shared" ca="1" si="29"/>
        <v/>
      </c>
      <c r="AF114" s="51" t="str">
        <f t="shared" ca="1" si="30"/>
        <v/>
      </c>
      <c r="AG114" s="51" t="str">
        <f t="shared" ca="1" si="31"/>
        <v/>
      </c>
      <c r="AH114" s="191" t="str">
        <f t="shared" ca="1" si="32"/>
        <v/>
      </c>
      <c r="AI114" s="51" t="str">
        <f t="shared" ca="1" si="33"/>
        <v/>
      </c>
      <c r="AJ114" s="51" t="str">
        <f t="shared" ca="1" si="34"/>
        <v/>
      </c>
      <c r="AK114" s="51" t="str">
        <f t="shared" ca="1" si="35"/>
        <v/>
      </c>
      <c r="AL114" s="51" t="str">
        <f t="shared" ca="1" si="36"/>
        <v/>
      </c>
      <c r="AM114" s="51" t="str">
        <f t="shared" ca="1" si="37"/>
        <v/>
      </c>
      <c r="AN114" s="51" t="str">
        <f t="shared" ca="1" si="38"/>
        <v/>
      </c>
      <c r="AO114" s="51" t="str">
        <f t="shared" ca="1" si="39"/>
        <v/>
      </c>
      <c r="AP114" s="51" t="str">
        <f t="shared" ca="1" si="40"/>
        <v/>
      </c>
      <c r="AU114" s="51" t="str">
        <f t="shared" ca="1" si="41"/>
        <v/>
      </c>
    </row>
    <row r="115" spans="1:47" ht="22.2" customHeight="1">
      <c r="A115" s="179">
        <f t="shared" si="48"/>
        <v>95</v>
      </c>
      <c r="B115" s="180" t="str">
        <f t="shared" ca="1" si="46"/>
        <v/>
      </c>
      <c r="C115" s="180" t="str">
        <f>IF(OR(クライアント抽出!C45&lt;&gt;"",クライアント抽出!F45&lt;&gt;""),クライアント抽出!A45,"")</f>
        <v/>
      </c>
      <c r="D115" s="180" t="str">
        <f t="array" aca="1" ref="D115" ca="1">IF(C115&lt;&gt;"",INDIRECT("クライアント抽出!"&amp;E115&amp;MATCH(C115,クライアント抽出!A:A,0)&amp;""),"")</f>
        <v/>
      </c>
      <c r="E115" s="180" t="str">
        <f>IF(H115&lt;&gt;0,
IFERROR(
SUBSTITUTE(ADDRESS(1,
MATCH(VALUE(H115),クライアント抽出!A45:G45,0)+8,4),"1",""),
""),
IFERROR(
SUBSTITUTE(ADDRESS(1,
MATCH(VALUE(I115),クライアント抽出!A45:G45,0)+8,4),"1",""),
""))</f>
        <v/>
      </c>
      <c r="F115" s="181" t="str">
        <f ca="1">IF(D115&lt;&gt;"",
IF(COUNTIF(C115,"*雙葉*"),
IF(ROUND((H115-M115)
/IF(COUNTIF(D115,"*キャラ*"),
VLOOKUP("*キャラ*",商品マスタ一覧!$D:$E,2,FALSE),
IF(COUNTIF(D115,"*赤*"),
VLOOKUP("*赤*",商品マスタ一覧!$D:$E,2,FALSE),
VLOOKUP("*"&amp;D115&amp;"*",商品マスタ一覧!$D:$E,2,FALSE))),0)&lt;=0,1,
ROUND((H115-M115)
/IF(COUNTIF(D115,"*キャラ*"),
VLOOKUP("*キャラ*",商品マスタ一覧!$D:$E,2,FALSE),
IF(COUNTIF(D115,"*赤*"),
VLOOKUP("*赤*",商品マスタ一覧!$D:$E,2,FALSE),
VLOOKUP("*"&amp;D115&amp;"*",商品マスタ一覧!$D:$E,2,FALSE))),0)),
IF(OR(COUNTIF(D115,"*キャラ*"),COUNTIF(D115,"*赤*")),"",
IF(VLOOKUP("*"&amp;D115&amp;"*",商品マスタ一覧!$D:$E,2,FALSE)=0,"",
IF(ROUND((H115-M115)
/VLOOKUP("*"&amp;D115&amp;"*",商品マスタ一覧!$D:$E,2,FALSE),0)&lt;=0,1,
ROUND((H115-M115)
/VLOOKUP("*"&amp;D115&amp;"*",商品マスタ一覧!$D:$E,2,FALSE),0))))),"")</f>
        <v/>
      </c>
      <c r="G115" s="180" t="str">
        <f ca="1">IF(F115&lt;&gt;"",
IF(VALUE(H115-M115)&gt;VALUE(IF(COUNTIF(D115,"*キャラ*"),
VLOOKUP("*キャラ*",商品マスタ一覧!$D:$E,2,FALSE),
IF(COUNTIF(D115,"*赤*"),
VLOOKUP("*赤*",商品マスタ一覧!$D:$E,2,FALSE),
VLOOKUP("*"&amp;D115&amp;"*",商品マスタ一覧!$D:$E,2,FALSE)))*F115),
"+"&amp;(H115-M115)-IF(COUNTIF(D115,"*キャラ*"),
VLOOKUP("*キャラ*",商品マスタ一覧!$D:$E,2,FALSE),
IF(COUNTIF(D115,"*赤*"),
VLOOKUP("*赤*",商品マスタ一覧!$D:$E,2,FALSE),
VLOOKUP("*"&amp;D115&amp;"*",商品マスタ一覧!$D:$E,2,FALSE)))*F115,
(H115-M115)-IF(COUNTIF(D115,"*キャラ*"),
VLOOKUP("*キャラ*",商品マスタ一覧!$D:$E,2,FALSE),
IF(COUNTIF(D115,"*赤*"),
VLOOKUP("*赤*",商品マスタ一覧!$D:$E,2,FALSE),
VLOOKUP("*"&amp;D115&amp;"*",商品マスタ一覧!$D:$E,2,FALSE)))*F115),"")</f>
        <v/>
      </c>
      <c r="H115" s="182" t="str">
        <f>IF(C115&lt;&gt;"",
クライアント抽出!C45,"")</f>
        <v/>
      </c>
      <c r="I115" s="180" t="str">
        <f t="array" aca="1" ref="I115" ca="1">IF(C115&lt;&gt;"",
IF(O115=1,
IF(SUMPRODUCT(COUNTIF(クライアント抽出!P45:U45,クライアント抽出!P45:U45))&gt;COUNTA(クライアント抽出!P45:U45),
INDIRECT("数出表_Excel!"&amp;INDEX(_xlfn.UNIQUE(_xlfn._xlws.FILTER(クライアント抽出!P45:U45,COUNTIF(クライアント抽出!P45:U45,クライアント抽出!P45:U45)=1)),1)&amp;L115&amp;""),
0),クライアント抽出!F45),"")</f>
        <v/>
      </c>
      <c r="J115" s="180" t="str">
        <f>IF(C115&lt;&gt;"",
VLOOKUP(
"*"&amp;LEFT(IF(COUNTIF(D115,"*学食*"),"キャラ弁（学食）",
IF(COUNTIF(D115,"*赤*"),"赤",
IF(COUNTIF(D115,"*キャラ弁当*"),"キャラ弁当",D115))),4)&amp;"*",注文弁当の抽出!$E$1:$F$15,2,FALSE),"")</f>
        <v/>
      </c>
      <c r="K115" s="180" t="str">
        <f ca="1">IF(クライアント抽出!Q45&lt;&gt;"",SUBSTITUTE(ADDRESS(1,(CODE(クライアント抽出!Q45)-64)*2-1,4),"1",""),"")</f>
        <v/>
      </c>
      <c r="L115" s="180" t="str">
        <f>IF(C45&lt;&gt;"",クライアント抽出!I45,"")</f>
        <v/>
      </c>
      <c r="M115" s="180">
        <f t="array" aca="1" ref="M115" ca="1">IF(C115&lt;&gt;"",
IF(K115&lt;&gt;"",INDIRECT("'数出表_Excel（アレルギー入力）'!"&amp;K115&amp;L115-1&amp;""),),)</f>
        <v>0</v>
      </c>
      <c r="N115" s="180" t="str">
        <f>IF(C115&lt;&gt;"",IF(OR(COUNTIF('盛付札（関数）'!D115,"*赤*"),COUNTIF('盛付札（関数）'!D115,"*キャラ*")),1,
VLOOKUP("*"&amp;D115&amp;"*",商品マスタ一覧!D:H,5,FALSE)),"")</f>
        <v/>
      </c>
      <c r="O115" s="180">
        <f t="shared" ca="1" si="47"/>
        <v>0</v>
      </c>
      <c r="P115" s="180">
        <f t="shared" si="23"/>
        <v>0</v>
      </c>
      <c r="Q115" s="180" t="b">
        <f t="shared" si="24"/>
        <v>0</v>
      </c>
      <c r="R115" s="51" t="str">
        <f t="array" aca="1" ref="R115" ca="1">IFERROR(SMALL(IF(P$1:P$307&lt;&gt;0,P$1:P$307),ROW(A115)),"")</f>
        <v/>
      </c>
      <c r="S115" s="51" t="str">
        <f t="array" aca="1" ref="S115" ca="1">IF($R115&lt;&gt;"",
SUBSTITUTE(SUBSTITUTE(INDIRECT("C"&amp;$R115&amp;"")," 週3ｺｰｽ","")," 週5ｺｰｽ",""),"")</f>
        <v/>
      </c>
      <c r="T115" s="51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91" t="str">
        <f t="array" aca="1" ref="U115" ca="1">IF($R115&lt;&gt;"",
INDIRECT("F"&amp;$R115&amp;""),"")</f>
        <v/>
      </c>
      <c r="V115" s="51" t="str">
        <f t="array" aca="1" ref="V115" ca="1">IF($R115&lt;&gt;"",
INDIRECT("G"&amp;$R115&amp;""),"")</f>
        <v/>
      </c>
      <c r="W115" s="51" t="str">
        <f t="array" aca="1" ref="W115" ca="1">IF($R115&lt;&gt;"",
IF(AND(COUNTIF(INDIRECT("B"&amp;R115&amp;""),"*雙葉*"),COUNTIF(B:B,"*雙葉*")&gt;=2),
IF(OR(COUNTIF(INDIRECT("B"&amp;R115&amp;""),"*雙葉先生*"),COUNTIF($B$1:$B$70,"*雙葉*")&gt;=2),INDIRECT("H"&amp;R115&amp;""),INDIRECT("H"&amp;R115&amp;"")+INDIRECT("H"&amp;MATCH("雙葉'",INDIRECT("B"&amp;R115+3&amp;":B210"),0)+2+R115&amp;"")),
IF(AND(LEFT(INDIRECT("B"&amp;R115&amp;""),2)="博多",COUNTIF(B:B,"*博多*")&gt;=2),
INDIRECT("H"&amp;R115&amp;"")+INDIRECT("H"&amp;MATCH("*"&amp;INDIRECT("B"&amp;R115&amp;"")&amp;"*",INDIRECT("B"&amp;R115+1&amp;":B210"),0)+R115&amp;""),
IF(AND(LEFT(INDIRECT("B"&amp;R115&amp;""),3)="奈良屋",COUNTIF(B:B,"*奈良屋*")&gt;=2),
INDIRECT("H"&amp;R115&amp;"")+INDIRECT("H"&amp;MATCH("*"&amp;INDIRECT("B"&amp;R115&amp;"")&amp;"*",INDIRECT("B"&amp;R115+1&amp;":B210"),0)+R115&amp;"")
+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INDIRECT("H"&amp;R115&amp;"")))),"")</f>
        <v/>
      </c>
      <c r="X115" s="51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51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51" t="str">
        <f t="shared" ca="1" si="25"/>
        <v/>
      </c>
      <c r="AA115" s="51" t="str">
        <f t="shared" ca="1" si="26"/>
        <v/>
      </c>
      <c r="AB115" s="51" t="str">
        <f t="array" aca="1" ref="AB115" ca="1">IF($R115&lt;&gt;"",
IF(AND(COUNTIF(INDIRECT("B"&amp;R115&amp;""),"*雙葉*"),COUNTIF(B:B,"*雙葉*")&gt;=2),
INDIRECT("M"&amp;R115&amp;"")+INDIRECT("M"&amp;MATCH("雙葉'",INDIRECT("B"&amp;R115+1&amp;":B210"),0)+R115&amp;""),
IF(AND(LEFT(INDIRECT("B"&amp;R115&amp;""),2)="博多",COUNTIF(B:B,"*博多*")&gt;=2),
INDIRECT("M"&amp;R115&amp;"")+INDIRECT("M"&amp;MATCH("*"&amp;INDIRECT("B"&amp;R115&amp;"")&amp;"*",INDIRECT("B"&amp;R115+1&amp;":B210"),0)+R115&amp;""),
IF(AND(LEFT(INDIRECT("B"&amp;R115&amp;""),3)="奈良屋",COUNTIF(B:B,"*奈良屋*")&gt;=2),
INDIRECT("M"&amp;R115&amp;"")+INDIRECT("M"&amp;MATCH("*"&amp;INDIRECT("B"&amp;R115&amp;"")&amp;"*",INDIRECT("B"&amp;R115+1&amp;":B210"),0)+R115&amp;"")
+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INDIRECT("M"&amp;R115&amp;"")))),"")</f>
        <v/>
      </c>
      <c r="AC115" s="51" t="str">
        <f t="shared" ca="1" si="27"/>
        <v/>
      </c>
      <c r="AD115" s="51" t="str">
        <f t="shared" ca="1" si="28"/>
        <v/>
      </c>
      <c r="AE115" s="51" t="str">
        <f t="shared" ca="1" si="29"/>
        <v/>
      </c>
      <c r="AF115" s="51" t="str">
        <f t="shared" ca="1" si="30"/>
        <v/>
      </c>
      <c r="AG115" s="51" t="str">
        <f t="shared" ca="1" si="31"/>
        <v/>
      </c>
      <c r="AH115" s="191" t="str">
        <f t="shared" ca="1" si="32"/>
        <v/>
      </c>
      <c r="AI115" s="51" t="str">
        <f t="shared" ca="1" si="33"/>
        <v/>
      </c>
      <c r="AJ115" s="51" t="str">
        <f t="shared" ca="1" si="34"/>
        <v/>
      </c>
      <c r="AK115" s="51" t="str">
        <f t="shared" ca="1" si="35"/>
        <v/>
      </c>
      <c r="AL115" s="51" t="str">
        <f t="shared" ca="1" si="36"/>
        <v/>
      </c>
      <c r="AM115" s="51" t="str">
        <f t="shared" ca="1" si="37"/>
        <v/>
      </c>
      <c r="AN115" s="51" t="str">
        <f t="shared" ca="1" si="38"/>
        <v/>
      </c>
      <c r="AO115" s="51" t="str">
        <f t="shared" ca="1" si="39"/>
        <v/>
      </c>
      <c r="AP115" s="51" t="str">
        <f t="shared" ca="1" si="40"/>
        <v/>
      </c>
      <c r="AU115" s="51" t="str">
        <f t="shared" ca="1" si="41"/>
        <v/>
      </c>
    </row>
    <row r="116" spans="1:47" ht="22.2" customHeight="1">
      <c r="A116" s="179">
        <f t="shared" si="48"/>
        <v>97</v>
      </c>
      <c r="B116" s="180" t="str">
        <f t="shared" ca="1" si="46"/>
        <v/>
      </c>
      <c r="C116" s="180" t="str">
        <f>IF(OR(クライアント抽出!C46&lt;&gt;"",クライアント抽出!F46&lt;&gt;""),クライアント抽出!A46,"")</f>
        <v/>
      </c>
      <c r="D116" s="180" t="str">
        <f t="array" aca="1" ref="D116" ca="1">IF(C116&lt;&gt;"",INDIRECT("クライアント抽出!"&amp;E116&amp;MATCH(C116,クライアント抽出!A:A,0)&amp;""),"")</f>
        <v/>
      </c>
      <c r="E116" s="180" t="str">
        <f>IF(H116&lt;&gt;0,
IFERROR(
SUBSTITUTE(ADDRESS(1,
MATCH(VALUE(H116),クライアント抽出!A46:G46,0)+8,4),"1",""),
""),
IFERROR(
SUBSTITUTE(ADDRESS(1,
MATCH(VALUE(I116),クライアント抽出!A46:G46,0)+8,4),"1",""),
""))</f>
        <v/>
      </c>
      <c r="F116" s="181" t="str">
        <f ca="1">IF(D116&lt;&gt;"",
IF(COUNTIF(C116,"*雙葉*"),
IF(ROUND((H116-M116)
/IF(COUNTIF(D116,"*キャラ*"),
VLOOKUP("*キャラ*",商品マスタ一覧!$D:$E,2,FALSE),
IF(COUNTIF(D116,"*赤*"),
VLOOKUP("*赤*",商品マスタ一覧!$D:$E,2,FALSE),
VLOOKUP("*"&amp;D116&amp;"*",商品マスタ一覧!$D:$E,2,FALSE))),0)&lt;=0,1,
ROUND((H116-M116)
/IF(COUNTIF(D116,"*キャラ*"),
VLOOKUP("*キャラ*",商品マスタ一覧!$D:$E,2,FALSE),
IF(COUNTIF(D116,"*赤*"),
VLOOKUP("*赤*",商品マスタ一覧!$D:$E,2,FALSE),
VLOOKUP("*"&amp;D116&amp;"*",商品マスタ一覧!$D:$E,2,FALSE))),0)),
IF(OR(COUNTIF(D116,"*キャラ*"),COUNTIF(D116,"*赤*")),"",
IF(VLOOKUP("*"&amp;D116&amp;"*",商品マスタ一覧!$D:$E,2,FALSE)=0,"",
IF(ROUND((H116-M116)
/VLOOKUP("*"&amp;D116&amp;"*",商品マスタ一覧!$D:$E,2,FALSE),0)&lt;=0,1,
ROUND((H116-M116)
/VLOOKUP("*"&amp;D116&amp;"*",商品マスタ一覧!$D:$E,2,FALSE),0))))),"")</f>
        <v/>
      </c>
      <c r="G116" s="180" t="str">
        <f ca="1">IF(F116&lt;&gt;"",
IF(VALUE(H116-M116)&gt;VALUE(IF(COUNTIF(D116,"*キャラ*"),
VLOOKUP("*キャラ*",商品マスタ一覧!$D:$E,2,FALSE),
IF(COUNTIF(D116,"*赤*"),
VLOOKUP("*赤*",商品マスタ一覧!$D:$E,2,FALSE),
VLOOKUP("*"&amp;D116&amp;"*",商品マスタ一覧!$D:$E,2,FALSE)))*F116),
"+"&amp;(H116-M116)-IF(COUNTIF(D116,"*キャラ*"),
VLOOKUP("*キャラ*",商品マスタ一覧!$D:$E,2,FALSE),
IF(COUNTIF(D116,"*赤*"),
VLOOKUP("*赤*",商品マスタ一覧!$D:$E,2,FALSE),
VLOOKUP("*"&amp;D116&amp;"*",商品マスタ一覧!$D:$E,2,FALSE)))*F116,
(H116-M116)-IF(COUNTIF(D116,"*キャラ*"),
VLOOKUP("*キャラ*",商品マスタ一覧!$D:$E,2,FALSE),
IF(COUNTIF(D116,"*赤*"),
VLOOKUP("*赤*",商品マスタ一覧!$D:$E,2,FALSE),
VLOOKUP("*"&amp;D116&amp;"*",商品マスタ一覧!$D:$E,2,FALSE)))*F116),"")</f>
        <v/>
      </c>
      <c r="H116" s="182" t="str">
        <f>IF(C116&lt;&gt;"",
クライアント抽出!C46,"")</f>
        <v/>
      </c>
      <c r="I116" s="180" t="str">
        <f t="array" aca="1" ref="I116" ca="1">IF(C116&lt;&gt;"",
IF(O116=1,
IF(SUMPRODUCT(COUNTIF(クライアント抽出!P46:U46,クライアント抽出!P46:U46))&gt;COUNTA(クライアント抽出!P46:U46),
INDIRECT("数出表_Excel!"&amp;INDEX(_xlfn.UNIQUE(_xlfn._xlws.FILTER(クライアント抽出!P46:U46,COUNTIF(クライアント抽出!P46:U46,クライアント抽出!P46:U46)=1)),1)&amp;L116&amp;""),
0),クライアント抽出!F46),"")</f>
        <v/>
      </c>
      <c r="J116" s="180" t="str">
        <f>IF(C116&lt;&gt;"",
VLOOKUP(
"*"&amp;LEFT(IF(COUNTIF(D116,"*学食*"),"キャラ弁（学食）",
IF(COUNTIF(D116,"*赤*"),"赤",
IF(COUNTIF(D116,"*キャラ弁当*"),"キャラ弁当",D116))),4)&amp;"*",注文弁当の抽出!$E$1:$F$15,2,FALSE),"")</f>
        <v/>
      </c>
      <c r="K116" s="180" t="str">
        <f ca="1">IF(クライアント抽出!Q46&lt;&gt;"",SUBSTITUTE(ADDRESS(1,(CODE(クライアント抽出!Q46)-64)*2-1,4),"1",""),"")</f>
        <v/>
      </c>
      <c r="L116" s="180" t="str">
        <f>IF(C46&lt;&gt;"",クライアント抽出!I46,"")</f>
        <v/>
      </c>
      <c r="M116" s="180">
        <f t="array" aca="1" ref="M116" ca="1">IF(C116&lt;&gt;"",
IF(K116&lt;&gt;"",INDIRECT("'数出表_Excel（アレルギー入力）'!"&amp;K116&amp;L116-1&amp;""),),)</f>
        <v>0</v>
      </c>
      <c r="N116" s="180" t="str">
        <f>IF(C116&lt;&gt;"",IF(OR(COUNTIF('盛付札（関数）'!D116,"*赤*"),COUNTIF('盛付札（関数）'!D116,"*キャラ*")),1,
VLOOKUP("*"&amp;D116&amp;"*",商品マスタ一覧!D:H,5,FALSE)),"")</f>
        <v/>
      </c>
      <c r="O116" s="180">
        <f t="shared" ca="1" si="47"/>
        <v>0</v>
      </c>
      <c r="P116" s="180">
        <f t="shared" si="23"/>
        <v>0</v>
      </c>
      <c r="Q116" s="180" t="b">
        <f t="shared" si="24"/>
        <v>0</v>
      </c>
      <c r="R116" s="51" t="str">
        <f t="array" aca="1" ref="R116" ca="1">IFERROR(SMALL(IF(P$1:P$307&lt;&gt;0,P$1:P$307),ROW(A116)),"")</f>
        <v/>
      </c>
      <c r="S116" s="51" t="str">
        <f t="array" aca="1" ref="S116" ca="1">IF($R116&lt;&gt;"",
SUBSTITUTE(SUBSTITUTE(INDIRECT("C"&amp;$R116&amp;"")," 週3ｺｰｽ","")," 週5ｺｰｽ",""),"")</f>
        <v/>
      </c>
      <c r="T116" s="51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91" t="str">
        <f t="array" aca="1" ref="U116" ca="1">IF($R116&lt;&gt;"",
INDIRECT("F"&amp;$R116&amp;""),"")</f>
        <v/>
      </c>
      <c r="V116" s="51" t="str">
        <f t="array" aca="1" ref="V116" ca="1">IF($R116&lt;&gt;"",
INDIRECT("G"&amp;$R116&amp;""),"")</f>
        <v/>
      </c>
      <c r="W116" s="51" t="str">
        <f t="array" aca="1" ref="W116" ca="1">IF($R116&lt;&gt;"",
IF(AND(COUNTIF(INDIRECT("B"&amp;R116&amp;""),"*雙葉*"),COUNTIF(B:B,"*雙葉*")&gt;=2),
IF(OR(COUNTIF(INDIRECT("B"&amp;R116&amp;""),"*雙葉先生*"),COUNTIF($B$1:$B$70,"*雙葉*")&gt;=2),INDIRECT("H"&amp;R116&amp;""),INDIRECT("H"&amp;R116&amp;"")+INDIRECT("H"&amp;MATCH("雙葉'",INDIRECT("B"&amp;R116+3&amp;":B210"),0)+2+R116&amp;"")),
IF(AND(LEFT(INDIRECT("B"&amp;R116&amp;""),2)="博多",COUNTIF(B:B,"*博多*")&gt;=2),
INDIRECT("H"&amp;R116&amp;"")+INDIRECT("H"&amp;MATCH("*"&amp;INDIRECT("B"&amp;R116&amp;"")&amp;"*",INDIRECT("B"&amp;R116+1&amp;":B210"),0)+R116&amp;""),
IF(AND(LEFT(INDIRECT("B"&amp;R116&amp;""),3)="奈良屋",COUNTIF(B:B,"*奈良屋*")&gt;=2),
INDIRECT("H"&amp;R116&amp;"")+INDIRECT("H"&amp;MATCH("*"&amp;INDIRECT("B"&amp;R116&amp;"")&amp;"*",INDIRECT("B"&amp;R116+1&amp;":B210"),0)+R116&amp;"")
+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INDIRECT("H"&amp;R116&amp;"")))),"")</f>
        <v/>
      </c>
      <c r="X116" s="51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51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51" t="str">
        <f t="shared" ca="1" si="25"/>
        <v/>
      </c>
      <c r="AA116" s="51" t="str">
        <f t="shared" ca="1" si="26"/>
        <v/>
      </c>
      <c r="AB116" s="51" t="str">
        <f t="array" aca="1" ref="AB116" ca="1">IF($R116&lt;&gt;"",
IF(AND(COUNTIF(INDIRECT("B"&amp;R116&amp;""),"*雙葉*"),COUNTIF(B:B,"*雙葉*")&gt;=2),
INDIRECT("M"&amp;R116&amp;"")+INDIRECT("M"&amp;MATCH("雙葉'",INDIRECT("B"&amp;R116+1&amp;":B210"),0)+R116&amp;""),
IF(AND(LEFT(INDIRECT("B"&amp;R116&amp;""),2)="博多",COUNTIF(B:B,"*博多*")&gt;=2),
INDIRECT("M"&amp;R116&amp;"")+INDIRECT("M"&amp;MATCH("*"&amp;INDIRECT("B"&amp;R116&amp;"")&amp;"*",INDIRECT("B"&amp;R116+1&amp;":B210"),0)+R116&amp;""),
IF(AND(LEFT(INDIRECT("B"&amp;R116&amp;""),3)="奈良屋",COUNTIF(B:B,"*奈良屋*")&gt;=2),
INDIRECT("M"&amp;R116&amp;"")+INDIRECT("M"&amp;MATCH("*"&amp;INDIRECT("B"&amp;R116&amp;"")&amp;"*",INDIRECT("B"&amp;R116+1&amp;":B210"),0)+R116&amp;"")
+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INDIRECT("M"&amp;R116&amp;"")))),"")</f>
        <v/>
      </c>
      <c r="AC116" s="51" t="str">
        <f t="shared" ca="1" si="27"/>
        <v/>
      </c>
      <c r="AD116" s="51" t="str">
        <f t="shared" ca="1" si="28"/>
        <v/>
      </c>
      <c r="AE116" s="51" t="str">
        <f t="shared" ca="1" si="29"/>
        <v/>
      </c>
      <c r="AF116" s="51" t="str">
        <f t="shared" ca="1" si="30"/>
        <v/>
      </c>
      <c r="AG116" s="51" t="str">
        <f t="shared" ca="1" si="31"/>
        <v/>
      </c>
      <c r="AH116" s="191" t="str">
        <f t="shared" ca="1" si="32"/>
        <v/>
      </c>
      <c r="AI116" s="51" t="str">
        <f t="shared" ca="1" si="33"/>
        <v/>
      </c>
      <c r="AJ116" s="51" t="str">
        <f t="shared" ca="1" si="34"/>
        <v/>
      </c>
      <c r="AK116" s="51" t="str">
        <f t="shared" ca="1" si="35"/>
        <v/>
      </c>
      <c r="AL116" s="51" t="str">
        <f t="shared" ca="1" si="36"/>
        <v/>
      </c>
      <c r="AM116" s="51" t="str">
        <f t="shared" ca="1" si="37"/>
        <v/>
      </c>
      <c r="AN116" s="51" t="str">
        <f t="shared" ca="1" si="38"/>
        <v/>
      </c>
      <c r="AO116" s="51" t="str">
        <f t="shared" ca="1" si="39"/>
        <v/>
      </c>
      <c r="AP116" s="51" t="str">
        <f t="shared" ca="1" si="40"/>
        <v/>
      </c>
      <c r="AU116" s="51" t="str">
        <f t="shared" ca="1" si="41"/>
        <v/>
      </c>
    </row>
    <row r="117" spans="1:47" ht="22.2" customHeight="1">
      <c r="A117" s="179">
        <f t="shared" si="48"/>
        <v>99</v>
      </c>
      <c r="B117" s="180" t="str">
        <f t="shared" ca="1" si="46"/>
        <v/>
      </c>
      <c r="C117" s="180" t="str">
        <f>IF(OR(クライアント抽出!C47&lt;&gt;"",クライアント抽出!F47&lt;&gt;""),クライアント抽出!A47,"")</f>
        <v/>
      </c>
      <c r="D117" s="180" t="str">
        <f t="array" aca="1" ref="D117" ca="1">IF(C117&lt;&gt;"",INDIRECT("クライアント抽出!"&amp;E117&amp;MATCH(C117,クライアント抽出!A:A,0)&amp;""),"")</f>
        <v/>
      </c>
      <c r="E117" s="180" t="str">
        <f>IF(H117&lt;&gt;0,
IFERROR(
SUBSTITUTE(ADDRESS(1,
MATCH(VALUE(H117),クライアント抽出!A47:G47,0)+8,4),"1",""),
""),
IFERROR(
SUBSTITUTE(ADDRESS(1,
MATCH(VALUE(I117),クライアント抽出!A47:G47,0)+8,4),"1",""),
""))</f>
        <v/>
      </c>
      <c r="F117" s="181" t="str">
        <f ca="1">IF(D117&lt;&gt;"",
IF(COUNTIF(C117,"*雙葉*"),
IF(ROUND((H117-M117)
/IF(COUNTIF(D117,"*キャラ*"),
VLOOKUP("*キャラ*",商品マスタ一覧!$D:$E,2,FALSE),
IF(COUNTIF(D117,"*赤*"),
VLOOKUP("*赤*",商品マスタ一覧!$D:$E,2,FALSE),
VLOOKUP("*"&amp;D117&amp;"*",商品マスタ一覧!$D:$E,2,FALSE))),0)&lt;=0,1,
ROUND((H117-M117)
/IF(COUNTIF(D117,"*キャラ*"),
VLOOKUP("*キャラ*",商品マスタ一覧!$D:$E,2,FALSE),
IF(COUNTIF(D117,"*赤*"),
VLOOKUP("*赤*",商品マスタ一覧!$D:$E,2,FALSE),
VLOOKUP("*"&amp;D117&amp;"*",商品マスタ一覧!$D:$E,2,FALSE))),0)),
IF(OR(COUNTIF(D117,"*キャラ*"),COUNTIF(D117,"*赤*")),"",
IF(VLOOKUP("*"&amp;D117&amp;"*",商品マスタ一覧!$D:$E,2,FALSE)=0,"",
IF(ROUND((H117-M117)
/VLOOKUP("*"&amp;D117&amp;"*",商品マスタ一覧!$D:$E,2,FALSE),0)&lt;=0,1,
ROUND((H117-M117)
/VLOOKUP("*"&amp;D117&amp;"*",商品マスタ一覧!$D:$E,2,FALSE),0))))),"")</f>
        <v/>
      </c>
      <c r="G117" s="180" t="str">
        <f ca="1">IF(F117&lt;&gt;"",
IF(VALUE(H117-M117)&gt;VALUE(IF(COUNTIF(D117,"*キャラ*"),
VLOOKUP("*キャラ*",商品マスタ一覧!$D:$E,2,FALSE),
IF(COUNTIF(D117,"*赤*"),
VLOOKUP("*赤*",商品マスタ一覧!$D:$E,2,FALSE),
VLOOKUP("*"&amp;D117&amp;"*",商品マスタ一覧!$D:$E,2,FALSE)))*F117),
"+"&amp;(H117-M117)-IF(COUNTIF(D117,"*キャラ*"),
VLOOKUP("*キャラ*",商品マスタ一覧!$D:$E,2,FALSE),
IF(COUNTIF(D117,"*赤*"),
VLOOKUP("*赤*",商品マスタ一覧!$D:$E,2,FALSE),
VLOOKUP("*"&amp;D117&amp;"*",商品マスタ一覧!$D:$E,2,FALSE)))*F117,
(H117-M117)-IF(COUNTIF(D117,"*キャラ*"),
VLOOKUP("*キャラ*",商品マスタ一覧!$D:$E,2,FALSE),
IF(COUNTIF(D117,"*赤*"),
VLOOKUP("*赤*",商品マスタ一覧!$D:$E,2,FALSE),
VLOOKUP("*"&amp;D117&amp;"*",商品マスタ一覧!$D:$E,2,FALSE)))*F117),"")</f>
        <v/>
      </c>
      <c r="H117" s="182" t="str">
        <f>IF(C117&lt;&gt;"",
クライアント抽出!C47,"")</f>
        <v/>
      </c>
      <c r="I117" s="180" t="str">
        <f t="array" aca="1" ref="I117" ca="1">IF(C117&lt;&gt;"",
IF(O117=1,
IF(SUMPRODUCT(COUNTIF(クライアント抽出!P47:U47,クライアント抽出!P47:U47))&gt;COUNTA(クライアント抽出!P47:U47),
INDIRECT("数出表_Excel!"&amp;INDEX(_xlfn.UNIQUE(_xlfn._xlws.FILTER(クライアント抽出!P47:U47,COUNTIF(クライアント抽出!P47:U47,クライアント抽出!P47:U47)=1)),1)&amp;L117&amp;""),
0),クライアント抽出!F47),"")</f>
        <v/>
      </c>
      <c r="J117" s="180" t="str">
        <f>IF(C117&lt;&gt;"",
VLOOKUP(
"*"&amp;LEFT(IF(COUNTIF(D117,"*学食*"),"キャラ弁（学食）",
IF(COUNTIF(D117,"*赤*"),"赤",
IF(COUNTIF(D117,"*キャラ弁当*"),"キャラ弁当",D117))),4)&amp;"*",注文弁当の抽出!$E$1:$F$15,2,FALSE),"")</f>
        <v/>
      </c>
      <c r="K117" s="180" t="str">
        <f ca="1">IF(クライアント抽出!Q47&lt;&gt;"",SUBSTITUTE(ADDRESS(1,(CODE(クライアント抽出!Q47)-64)*2-1,4),"1",""),"")</f>
        <v/>
      </c>
      <c r="L117" s="180" t="str">
        <f>IF(C47&lt;&gt;"",クライアント抽出!I47,"")</f>
        <v/>
      </c>
      <c r="M117" s="180">
        <f t="array" aca="1" ref="M117" ca="1">IF(C117&lt;&gt;"",
IF(K117&lt;&gt;"",INDIRECT("'数出表_Excel（アレルギー入力）'!"&amp;K117&amp;L117-1&amp;""),),)</f>
        <v>0</v>
      </c>
      <c r="N117" s="180" t="str">
        <f>IF(C117&lt;&gt;"",IF(OR(COUNTIF('盛付札（関数）'!D117,"*赤*"),COUNTIF('盛付札（関数）'!D117,"*キャラ*")),1,
VLOOKUP("*"&amp;D117&amp;"*",商品マスタ一覧!D:H,5,FALSE)),"")</f>
        <v/>
      </c>
      <c r="O117" s="180">
        <f t="shared" ca="1" si="47"/>
        <v>0</v>
      </c>
      <c r="P117" s="180">
        <f t="shared" si="23"/>
        <v>0</v>
      </c>
      <c r="Q117" s="180" t="b">
        <f t="shared" si="24"/>
        <v>0</v>
      </c>
      <c r="R117" s="51" t="str">
        <f t="array" aca="1" ref="R117" ca="1">IFERROR(SMALL(IF(P$1:P$307&lt;&gt;0,P$1:P$307),ROW(A117)),"")</f>
        <v/>
      </c>
      <c r="S117" s="51" t="str">
        <f t="array" aca="1" ref="S117" ca="1">IF($R117&lt;&gt;"",
SUBSTITUTE(SUBSTITUTE(INDIRECT("C"&amp;$R117&amp;"")," 週3ｺｰｽ","")," 週5ｺｰｽ",""),"")</f>
        <v/>
      </c>
      <c r="T117" s="51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91" t="str">
        <f t="array" aca="1" ref="U117" ca="1">IF($R117&lt;&gt;"",
INDIRECT("F"&amp;$R117&amp;""),"")</f>
        <v/>
      </c>
      <c r="V117" s="51" t="str">
        <f t="array" aca="1" ref="V117" ca="1">IF($R117&lt;&gt;"",
INDIRECT("G"&amp;$R117&amp;""),"")</f>
        <v/>
      </c>
      <c r="W117" s="51" t="str">
        <f t="array" aca="1" ref="W117" ca="1">IF($R117&lt;&gt;"",
IF(AND(COUNTIF(INDIRECT("B"&amp;R117&amp;""),"*雙葉*"),COUNTIF(B:B,"*雙葉*")&gt;=2),
IF(OR(COUNTIF(INDIRECT("B"&amp;R117&amp;""),"*雙葉先生*"),COUNTIF($B$1:$B$70,"*雙葉*")&gt;=2),INDIRECT("H"&amp;R117&amp;""),INDIRECT("H"&amp;R117&amp;"")+INDIRECT("H"&amp;MATCH("雙葉'",INDIRECT("B"&amp;R117+3&amp;":B210"),0)+2+R117&amp;"")),
IF(AND(LEFT(INDIRECT("B"&amp;R117&amp;""),2)="博多",COUNTIF(B:B,"*博多*")&gt;=2),
INDIRECT("H"&amp;R117&amp;"")+INDIRECT("H"&amp;MATCH("*"&amp;INDIRECT("B"&amp;R117&amp;"")&amp;"*",INDIRECT("B"&amp;R117+1&amp;":B210"),0)+R117&amp;""),
IF(AND(LEFT(INDIRECT("B"&amp;R117&amp;""),3)="奈良屋",COUNTIF(B:B,"*奈良屋*")&gt;=2),
INDIRECT("H"&amp;R117&amp;"")+INDIRECT("H"&amp;MATCH("*"&amp;INDIRECT("B"&amp;R117&amp;"")&amp;"*",INDIRECT("B"&amp;R117+1&amp;":B210"),0)+R117&amp;"")
+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INDIRECT("H"&amp;R117&amp;"")))),"")</f>
        <v/>
      </c>
      <c r="X117" s="51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51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51" t="str">
        <f t="shared" ca="1" si="25"/>
        <v/>
      </c>
      <c r="AA117" s="51" t="str">
        <f t="shared" ca="1" si="26"/>
        <v/>
      </c>
      <c r="AB117" s="51" t="str">
        <f t="array" aca="1" ref="AB117" ca="1">IF($R117&lt;&gt;"",
IF(AND(COUNTIF(INDIRECT("B"&amp;R117&amp;""),"*雙葉*"),COUNTIF(B:B,"*雙葉*")&gt;=2),
INDIRECT("M"&amp;R117&amp;"")+INDIRECT("M"&amp;MATCH("雙葉'",INDIRECT("B"&amp;R117+1&amp;":B210"),0)+R117&amp;""),
IF(AND(LEFT(INDIRECT("B"&amp;R117&amp;""),2)="博多",COUNTIF(B:B,"*博多*")&gt;=2),
INDIRECT("M"&amp;R117&amp;"")+INDIRECT("M"&amp;MATCH("*"&amp;INDIRECT("B"&amp;R117&amp;"")&amp;"*",INDIRECT("B"&amp;R117+1&amp;":B210"),0)+R117&amp;""),
IF(AND(LEFT(INDIRECT("B"&amp;R117&amp;""),3)="奈良屋",COUNTIF(B:B,"*奈良屋*")&gt;=2),
INDIRECT("M"&amp;R117&amp;"")+INDIRECT("M"&amp;MATCH("*"&amp;INDIRECT("B"&amp;R117&amp;"")&amp;"*",INDIRECT("B"&amp;R117+1&amp;":B210"),0)+R117&amp;"")
+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INDIRECT("M"&amp;R117&amp;"")))),"")</f>
        <v/>
      </c>
      <c r="AC117" s="51" t="str">
        <f t="shared" ca="1" si="27"/>
        <v/>
      </c>
      <c r="AD117" s="51" t="str">
        <f t="shared" ca="1" si="28"/>
        <v/>
      </c>
      <c r="AE117" s="51" t="str">
        <f t="shared" ca="1" si="29"/>
        <v/>
      </c>
      <c r="AF117" s="51" t="str">
        <f t="shared" ca="1" si="30"/>
        <v/>
      </c>
      <c r="AG117" s="51" t="str">
        <f t="shared" ca="1" si="31"/>
        <v/>
      </c>
      <c r="AH117" s="191" t="str">
        <f t="shared" ca="1" si="32"/>
        <v/>
      </c>
      <c r="AI117" s="51" t="str">
        <f t="shared" ca="1" si="33"/>
        <v/>
      </c>
      <c r="AJ117" s="51" t="str">
        <f t="shared" ca="1" si="34"/>
        <v/>
      </c>
      <c r="AK117" s="51" t="str">
        <f t="shared" ca="1" si="35"/>
        <v/>
      </c>
      <c r="AL117" s="51" t="str">
        <f t="shared" ca="1" si="36"/>
        <v/>
      </c>
      <c r="AM117" s="51" t="str">
        <f t="shared" ca="1" si="37"/>
        <v/>
      </c>
      <c r="AN117" s="51" t="str">
        <f t="shared" ca="1" si="38"/>
        <v/>
      </c>
      <c r="AO117" s="51" t="str">
        <f t="shared" ca="1" si="39"/>
        <v/>
      </c>
      <c r="AP117" s="51" t="str">
        <f t="shared" ca="1" si="40"/>
        <v/>
      </c>
      <c r="AU117" s="51" t="str">
        <f t="shared" ca="1" si="41"/>
        <v/>
      </c>
    </row>
    <row r="118" spans="1:47" ht="22.2" customHeight="1">
      <c r="A118" s="179">
        <f t="shared" si="48"/>
        <v>101</v>
      </c>
      <c r="B118" s="180" t="str">
        <f t="shared" ca="1" si="46"/>
        <v/>
      </c>
      <c r="C118" s="180" t="str">
        <f>IF(OR(クライアント抽出!C48&lt;&gt;"",クライアント抽出!F48&lt;&gt;""),クライアント抽出!A48,"")</f>
        <v/>
      </c>
      <c r="D118" s="180" t="str">
        <f t="array" aca="1" ref="D118" ca="1">IF(C118&lt;&gt;"",INDIRECT("クライアント抽出!"&amp;E118&amp;MATCH(C118,クライアント抽出!A:A,0)&amp;""),"")</f>
        <v/>
      </c>
      <c r="E118" s="180" t="str">
        <f>IF(H118&lt;&gt;0,
IFERROR(
SUBSTITUTE(ADDRESS(1,
MATCH(VALUE(H118),クライアント抽出!A48:G48,0)+8,4),"1",""),
""),
IFERROR(
SUBSTITUTE(ADDRESS(1,
MATCH(VALUE(I118),クライアント抽出!A48:G48,0)+8,4),"1",""),
""))</f>
        <v/>
      </c>
      <c r="F118" s="181" t="str">
        <f ca="1">IF(D118&lt;&gt;"",
IF(COUNTIF(C118,"*雙葉*"),
IF(ROUND((H118-M118)
/IF(COUNTIF(D118,"*キャラ*"),
VLOOKUP("*キャラ*",商品マスタ一覧!$D:$E,2,FALSE),
IF(COUNTIF(D118,"*赤*"),
VLOOKUP("*赤*",商品マスタ一覧!$D:$E,2,FALSE),
VLOOKUP("*"&amp;D118&amp;"*",商品マスタ一覧!$D:$E,2,FALSE))),0)&lt;=0,1,
ROUND((H118-M118)
/IF(COUNTIF(D118,"*キャラ*"),
VLOOKUP("*キャラ*",商品マスタ一覧!$D:$E,2,FALSE),
IF(COUNTIF(D118,"*赤*"),
VLOOKUP("*赤*",商品マスタ一覧!$D:$E,2,FALSE),
VLOOKUP("*"&amp;D118&amp;"*",商品マスタ一覧!$D:$E,2,FALSE))),0)),
IF(OR(COUNTIF(D118,"*キャラ*"),COUNTIF(D118,"*赤*")),"",
IF(VLOOKUP("*"&amp;D118&amp;"*",商品マスタ一覧!$D:$E,2,FALSE)=0,"",
IF(ROUND((H118-M118)
/VLOOKUP("*"&amp;D118&amp;"*",商品マスタ一覧!$D:$E,2,FALSE),0)&lt;=0,1,
ROUND((H118-M118)
/VLOOKUP("*"&amp;D118&amp;"*",商品マスタ一覧!$D:$E,2,FALSE),0))))),"")</f>
        <v/>
      </c>
      <c r="G118" s="180" t="str">
        <f ca="1">IF(F118&lt;&gt;"",
IF(VALUE(H118-M118)&gt;VALUE(IF(COUNTIF(D118,"*キャラ*"),
VLOOKUP("*キャラ*",商品マスタ一覧!$D:$E,2,FALSE),
IF(COUNTIF(D118,"*赤*"),
VLOOKUP("*赤*",商品マスタ一覧!$D:$E,2,FALSE),
VLOOKUP("*"&amp;D118&amp;"*",商品マスタ一覧!$D:$E,2,FALSE)))*F118),
"+"&amp;(H118-M118)-IF(COUNTIF(D118,"*キャラ*"),
VLOOKUP("*キャラ*",商品マスタ一覧!$D:$E,2,FALSE),
IF(COUNTIF(D118,"*赤*"),
VLOOKUP("*赤*",商品マスタ一覧!$D:$E,2,FALSE),
VLOOKUP("*"&amp;D118&amp;"*",商品マスタ一覧!$D:$E,2,FALSE)))*F118,
(H118-M118)-IF(COUNTIF(D118,"*キャラ*"),
VLOOKUP("*キャラ*",商品マスタ一覧!$D:$E,2,FALSE),
IF(COUNTIF(D118,"*赤*"),
VLOOKUP("*赤*",商品マスタ一覧!$D:$E,2,FALSE),
VLOOKUP("*"&amp;D118&amp;"*",商品マスタ一覧!$D:$E,2,FALSE)))*F118),"")</f>
        <v/>
      </c>
      <c r="H118" s="182" t="str">
        <f>IF(C118&lt;&gt;"",
クライアント抽出!C48,"")</f>
        <v/>
      </c>
      <c r="I118" s="180" t="str">
        <f t="array" aca="1" ref="I118" ca="1">IF(C118&lt;&gt;"",
IF(O118=1,
IF(SUMPRODUCT(COUNTIF(クライアント抽出!P48:U48,クライアント抽出!P48:U48))&gt;COUNTA(クライアント抽出!P48:U48),
INDIRECT("数出表_Excel!"&amp;INDEX(_xlfn.UNIQUE(_xlfn._xlws.FILTER(クライアント抽出!P48:U48,COUNTIF(クライアント抽出!P48:U48,クライアント抽出!P48:U48)=1)),1)&amp;L118&amp;""),
0),クライアント抽出!F48),"")</f>
        <v/>
      </c>
      <c r="J118" s="180" t="str">
        <f>IF(C118&lt;&gt;"",
VLOOKUP(
"*"&amp;LEFT(IF(COUNTIF(D118,"*学食*"),"キャラ弁（学食）",
IF(COUNTIF(D118,"*赤*"),"赤",
IF(COUNTIF(D118,"*キャラ弁当*"),"キャラ弁当",D118))),4)&amp;"*",注文弁当の抽出!$E$1:$F$15,2,FALSE),"")</f>
        <v/>
      </c>
      <c r="K118" s="180" t="str">
        <f ca="1">IF(クライアント抽出!Q48&lt;&gt;"",SUBSTITUTE(ADDRESS(1,(CODE(クライアント抽出!Q48)-64)*2-1,4),"1",""),"")</f>
        <v/>
      </c>
      <c r="L118" s="180" t="str">
        <f>IF(C48&lt;&gt;"",クライアント抽出!I48,"")</f>
        <v/>
      </c>
      <c r="M118" s="180">
        <f t="array" aca="1" ref="M118" ca="1">IF(C118&lt;&gt;"",
IF(K118&lt;&gt;"",INDIRECT("'数出表_Excel（アレルギー入力）'!"&amp;K118&amp;L118-1&amp;""),),)</f>
        <v>0</v>
      </c>
      <c r="N118" s="180" t="str">
        <f>IF(C118&lt;&gt;"",IF(OR(COUNTIF('盛付札（関数）'!D118,"*赤*"),COUNTIF('盛付札（関数）'!D118,"*キャラ*")),1,
VLOOKUP("*"&amp;D118&amp;"*",商品マスタ一覧!D:H,5,FALSE)),"")</f>
        <v/>
      </c>
      <c r="O118" s="180">
        <f t="shared" ca="1" si="47"/>
        <v>0</v>
      </c>
      <c r="P118" s="180">
        <f t="shared" si="23"/>
        <v>0</v>
      </c>
      <c r="Q118" s="180" t="b">
        <f t="shared" si="24"/>
        <v>0</v>
      </c>
      <c r="R118" s="51" t="str">
        <f t="array" aca="1" ref="R118" ca="1">IFERROR(SMALL(IF(P$1:P$307&lt;&gt;0,P$1:P$307),ROW(A118)),"")</f>
        <v/>
      </c>
      <c r="S118" s="51" t="str">
        <f t="array" aca="1" ref="S118" ca="1">IF($R118&lt;&gt;"",
SUBSTITUTE(SUBSTITUTE(INDIRECT("C"&amp;$R118&amp;"")," 週3ｺｰｽ","")," 週5ｺｰｽ",""),"")</f>
        <v/>
      </c>
      <c r="T118" s="51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91" t="str">
        <f t="array" aca="1" ref="U118" ca="1">IF($R118&lt;&gt;"",
INDIRECT("F"&amp;$R118&amp;""),"")</f>
        <v/>
      </c>
      <c r="V118" s="51" t="str">
        <f t="array" aca="1" ref="V118" ca="1">IF($R118&lt;&gt;"",
INDIRECT("G"&amp;$R118&amp;""),"")</f>
        <v/>
      </c>
      <c r="W118" s="51" t="str">
        <f t="array" aca="1" ref="W118" ca="1">IF($R118&lt;&gt;"",
IF(AND(COUNTIF(INDIRECT("B"&amp;R118&amp;""),"*雙葉*"),COUNTIF(B:B,"*雙葉*")&gt;=2),
IF(OR(COUNTIF(INDIRECT("B"&amp;R118&amp;""),"*雙葉先生*"),COUNTIF($B$1:$B$70,"*雙葉*")&gt;=2),INDIRECT("H"&amp;R118&amp;""),INDIRECT("H"&amp;R118&amp;"")+INDIRECT("H"&amp;MATCH("雙葉'",INDIRECT("B"&amp;R118+3&amp;":B210"),0)+2+R118&amp;"")),
IF(AND(LEFT(INDIRECT("B"&amp;R118&amp;""),2)="博多",COUNTIF(B:B,"*博多*")&gt;=2),
INDIRECT("H"&amp;R118&amp;"")+INDIRECT("H"&amp;MATCH("*"&amp;INDIRECT("B"&amp;R118&amp;"")&amp;"*",INDIRECT("B"&amp;R118+1&amp;":B210"),0)+R118&amp;""),
IF(AND(LEFT(INDIRECT("B"&amp;R118&amp;""),3)="奈良屋",COUNTIF(B:B,"*奈良屋*")&gt;=2),
INDIRECT("H"&amp;R118&amp;"")+INDIRECT("H"&amp;MATCH("*"&amp;INDIRECT("B"&amp;R118&amp;"")&amp;"*",INDIRECT("B"&amp;R118+1&amp;":B210"),0)+R118&amp;"")
+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INDIRECT("H"&amp;R118&amp;"")))),"")</f>
        <v/>
      </c>
      <c r="X118" s="51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51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51" t="str">
        <f t="shared" ca="1" si="25"/>
        <v/>
      </c>
      <c r="AA118" s="51" t="str">
        <f t="shared" ca="1" si="26"/>
        <v/>
      </c>
      <c r="AB118" s="51" t="str">
        <f t="array" aca="1" ref="AB118" ca="1">IF($R118&lt;&gt;"",
IF(AND(COUNTIF(INDIRECT("B"&amp;R118&amp;""),"*雙葉*"),COUNTIF(B:B,"*雙葉*")&gt;=2),
INDIRECT("M"&amp;R118&amp;"")+INDIRECT("M"&amp;MATCH("雙葉'",INDIRECT("B"&amp;R118+1&amp;":B210"),0)+R118&amp;""),
IF(AND(LEFT(INDIRECT("B"&amp;R118&amp;""),2)="博多",COUNTIF(B:B,"*博多*")&gt;=2),
INDIRECT("M"&amp;R118&amp;"")+INDIRECT("M"&amp;MATCH("*"&amp;INDIRECT("B"&amp;R118&amp;"")&amp;"*",INDIRECT("B"&amp;R118+1&amp;":B210"),0)+R118&amp;""),
IF(AND(LEFT(INDIRECT("B"&amp;R118&amp;""),3)="奈良屋",COUNTIF(B:B,"*奈良屋*")&gt;=2),
INDIRECT("M"&amp;R118&amp;"")+INDIRECT("M"&amp;MATCH("*"&amp;INDIRECT("B"&amp;R118&amp;"")&amp;"*",INDIRECT("B"&amp;R118+1&amp;":B210"),0)+R118&amp;"")
+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INDIRECT("M"&amp;R118&amp;"")))),"")</f>
        <v/>
      </c>
      <c r="AC118" s="51" t="str">
        <f t="shared" ca="1" si="27"/>
        <v/>
      </c>
      <c r="AD118" s="51" t="str">
        <f t="shared" ca="1" si="28"/>
        <v/>
      </c>
      <c r="AE118" s="51" t="str">
        <f t="shared" ca="1" si="29"/>
        <v/>
      </c>
      <c r="AF118" s="51" t="str">
        <f t="shared" ca="1" si="30"/>
        <v/>
      </c>
      <c r="AG118" s="51" t="str">
        <f t="shared" ca="1" si="31"/>
        <v/>
      </c>
      <c r="AH118" s="191" t="str">
        <f t="shared" ca="1" si="32"/>
        <v/>
      </c>
      <c r="AI118" s="51" t="str">
        <f t="shared" ca="1" si="33"/>
        <v/>
      </c>
      <c r="AJ118" s="51" t="str">
        <f t="shared" ca="1" si="34"/>
        <v/>
      </c>
      <c r="AK118" s="51" t="str">
        <f t="shared" ca="1" si="35"/>
        <v/>
      </c>
      <c r="AL118" s="51" t="str">
        <f t="shared" ca="1" si="36"/>
        <v/>
      </c>
      <c r="AM118" s="51" t="str">
        <f t="shared" ca="1" si="37"/>
        <v/>
      </c>
      <c r="AN118" s="51" t="str">
        <f t="shared" ca="1" si="38"/>
        <v/>
      </c>
      <c r="AO118" s="51" t="str">
        <f t="shared" ca="1" si="39"/>
        <v/>
      </c>
      <c r="AP118" s="51" t="str">
        <f t="shared" ca="1" si="40"/>
        <v/>
      </c>
      <c r="AU118" s="51" t="str">
        <f t="shared" ca="1" si="41"/>
        <v/>
      </c>
    </row>
    <row r="119" spans="1:47" ht="22.2" customHeight="1">
      <c r="A119" s="179">
        <f t="shared" si="48"/>
        <v>103</v>
      </c>
      <c r="B119" s="180" t="str">
        <f t="shared" ca="1" si="46"/>
        <v/>
      </c>
      <c r="C119" s="180" t="str">
        <f>IF(OR(クライアント抽出!C49&lt;&gt;"",クライアント抽出!F49&lt;&gt;""),クライアント抽出!A49,"")</f>
        <v/>
      </c>
      <c r="D119" s="180" t="str">
        <f t="array" aca="1" ref="D119" ca="1">IF(C119&lt;&gt;"",INDIRECT("クライアント抽出!"&amp;E119&amp;MATCH(C119,クライアント抽出!A:A,0)&amp;""),"")</f>
        <v/>
      </c>
      <c r="E119" s="180" t="str">
        <f>IF(H119&lt;&gt;0,
IFERROR(
SUBSTITUTE(ADDRESS(1,
MATCH(VALUE(H119),クライアント抽出!A49:G49,0)+8,4),"1",""),
""),
IFERROR(
SUBSTITUTE(ADDRESS(1,
MATCH(VALUE(I119),クライアント抽出!A49:G49,0)+8,4),"1",""),
""))</f>
        <v/>
      </c>
      <c r="F119" s="181" t="str">
        <f ca="1">IF(D119&lt;&gt;"",
IF(COUNTIF(C119,"*雙葉*"),
IF(ROUND((H119-M119)
/IF(COUNTIF(D119,"*キャラ*"),
VLOOKUP("*キャラ*",商品マスタ一覧!$D:$E,2,FALSE),
IF(COUNTIF(D119,"*赤*"),
VLOOKUP("*赤*",商品マスタ一覧!$D:$E,2,FALSE),
VLOOKUP("*"&amp;D119&amp;"*",商品マスタ一覧!$D:$E,2,FALSE))),0)&lt;=0,1,
ROUND((H119-M119)
/IF(COUNTIF(D119,"*キャラ*"),
VLOOKUP("*キャラ*",商品マスタ一覧!$D:$E,2,FALSE),
IF(COUNTIF(D119,"*赤*"),
VLOOKUP("*赤*",商品マスタ一覧!$D:$E,2,FALSE),
VLOOKUP("*"&amp;D119&amp;"*",商品マスタ一覧!$D:$E,2,FALSE))),0)),
IF(OR(COUNTIF(D119,"*キャラ*"),COUNTIF(D119,"*赤*")),"",
IF(VLOOKUP("*"&amp;D119&amp;"*",商品マスタ一覧!$D:$E,2,FALSE)=0,"",
IF(ROUND((H119-M119)
/VLOOKUP("*"&amp;D119&amp;"*",商品マスタ一覧!$D:$E,2,FALSE),0)&lt;=0,1,
ROUND((H119-M119)
/VLOOKUP("*"&amp;D119&amp;"*",商品マスタ一覧!$D:$E,2,FALSE),0))))),"")</f>
        <v/>
      </c>
      <c r="G119" s="180" t="str">
        <f ca="1">IF(F119&lt;&gt;"",
IF(VALUE(H119-M119)&gt;VALUE(IF(COUNTIF(D119,"*キャラ*"),
VLOOKUP("*キャラ*",商品マスタ一覧!$D:$E,2,FALSE),
IF(COUNTIF(D119,"*赤*"),
VLOOKUP("*赤*",商品マスタ一覧!$D:$E,2,FALSE),
VLOOKUP("*"&amp;D119&amp;"*",商品マスタ一覧!$D:$E,2,FALSE)))*F119),
"+"&amp;(H119-M119)-IF(COUNTIF(D119,"*キャラ*"),
VLOOKUP("*キャラ*",商品マスタ一覧!$D:$E,2,FALSE),
IF(COUNTIF(D119,"*赤*"),
VLOOKUP("*赤*",商品マスタ一覧!$D:$E,2,FALSE),
VLOOKUP("*"&amp;D119&amp;"*",商品マスタ一覧!$D:$E,2,FALSE)))*F119,
(H119-M119)-IF(COUNTIF(D119,"*キャラ*"),
VLOOKUP("*キャラ*",商品マスタ一覧!$D:$E,2,FALSE),
IF(COUNTIF(D119,"*赤*"),
VLOOKUP("*赤*",商品マスタ一覧!$D:$E,2,FALSE),
VLOOKUP("*"&amp;D119&amp;"*",商品マスタ一覧!$D:$E,2,FALSE)))*F119),"")</f>
        <v/>
      </c>
      <c r="H119" s="182" t="str">
        <f>IF(C119&lt;&gt;"",
クライアント抽出!C49,"")</f>
        <v/>
      </c>
      <c r="I119" s="180" t="str">
        <f t="array" aca="1" ref="I119" ca="1">IF(C119&lt;&gt;"",
IF(O119=1,
IF(SUMPRODUCT(COUNTIF(クライアント抽出!P49:U49,クライアント抽出!P49:U49))&gt;COUNTA(クライアント抽出!P49:U49),
INDIRECT("数出表_Excel!"&amp;INDEX(_xlfn.UNIQUE(_xlfn._xlws.FILTER(クライアント抽出!P49:U49,COUNTIF(クライアント抽出!P49:U49,クライアント抽出!P49:U49)=1)),1)&amp;L119&amp;""),
0),クライアント抽出!F49),"")</f>
        <v/>
      </c>
      <c r="J119" s="180" t="str">
        <f>IF(C119&lt;&gt;"",
VLOOKUP(
"*"&amp;LEFT(IF(COUNTIF(D119,"*学食*"),"キャラ弁（学食）",
IF(COUNTIF(D119,"*赤*"),"赤",
IF(COUNTIF(D119,"*キャラ弁当*"),"キャラ弁当",D119))),4)&amp;"*",注文弁当の抽出!$E$1:$F$15,2,FALSE),"")</f>
        <v/>
      </c>
      <c r="K119" s="180" t="str">
        <f ca="1">IF(クライアント抽出!Q49&lt;&gt;"",SUBSTITUTE(ADDRESS(1,(CODE(クライアント抽出!Q49)-64)*2-1,4),"1",""),"")</f>
        <v/>
      </c>
      <c r="L119" s="180" t="str">
        <f>IF(C49&lt;&gt;"",クライアント抽出!I49,"")</f>
        <v/>
      </c>
      <c r="M119" s="180">
        <f t="array" aca="1" ref="M119" ca="1">IF(C119&lt;&gt;"",
IF(K119&lt;&gt;"",INDIRECT("'数出表_Excel（アレルギー入力）'!"&amp;K119&amp;L119-1&amp;""),),)</f>
        <v>0</v>
      </c>
      <c r="N119" s="180" t="str">
        <f>IF(C119&lt;&gt;"",IF(OR(COUNTIF('盛付札（関数）'!D119,"*赤*"),COUNTIF('盛付札（関数）'!D119,"*キャラ*")),1,
VLOOKUP("*"&amp;D119&amp;"*",商品マスタ一覧!D:H,5,FALSE)),"")</f>
        <v/>
      </c>
      <c r="O119" s="180">
        <f t="shared" ca="1" si="47"/>
        <v>0</v>
      </c>
      <c r="P119" s="180">
        <f t="shared" si="23"/>
        <v>0</v>
      </c>
      <c r="Q119" s="180" t="b">
        <f t="shared" si="24"/>
        <v>0</v>
      </c>
      <c r="R119" s="51" t="str">
        <f t="array" aca="1" ref="R119" ca="1">IFERROR(SMALL(IF(P$1:P$307&lt;&gt;0,P$1:P$307),ROW(A119)),"")</f>
        <v/>
      </c>
      <c r="S119" s="51" t="str">
        <f t="array" aca="1" ref="S119" ca="1">IF($R119&lt;&gt;"",
SUBSTITUTE(SUBSTITUTE(INDIRECT("C"&amp;$R119&amp;"")," 週3ｺｰｽ","")," 週5ｺｰｽ",""),"")</f>
        <v/>
      </c>
      <c r="T119" s="51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91" t="str">
        <f t="array" aca="1" ref="U119" ca="1">IF($R119&lt;&gt;"",
INDIRECT("F"&amp;$R119&amp;""),"")</f>
        <v/>
      </c>
      <c r="V119" s="51" t="str">
        <f t="array" aca="1" ref="V119" ca="1">IF($R119&lt;&gt;"",
INDIRECT("G"&amp;$R119&amp;""),"")</f>
        <v/>
      </c>
      <c r="W119" s="51" t="str">
        <f t="array" aca="1" ref="W119" ca="1">IF($R119&lt;&gt;"",
IF(AND(COUNTIF(INDIRECT("B"&amp;R119&amp;""),"*雙葉*"),COUNTIF(B:B,"*雙葉*")&gt;=2),
IF(OR(COUNTIF(INDIRECT("B"&amp;R119&amp;""),"*雙葉先生*"),COUNTIF($B$1:$B$70,"*雙葉*")&gt;=2),INDIRECT("H"&amp;R119&amp;""),INDIRECT("H"&amp;R119&amp;"")+INDIRECT("H"&amp;MATCH("雙葉'",INDIRECT("B"&amp;R119+3&amp;":B210"),0)+2+R119&amp;"")),
IF(AND(LEFT(INDIRECT("B"&amp;R119&amp;""),2)="博多",COUNTIF(B:B,"*博多*")&gt;=2),
INDIRECT("H"&amp;R119&amp;"")+INDIRECT("H"&amp;MATCH("*"&amp;INDIRECT("B"&amp;R119&amp;"")&amp;"*",INDIRECT("B"&amp;R119+1&amp;":B210"),0)+R119&amp;""),
IF(AND(LEFT(INDIRECT("B"&amp;R119&amp;""),3)="奈良屋",COUNTIF(B:B,"*奈良屋*")&gt;=2),
INDIRECT("H"&amp;R119&amp;"")+INDIRECT("H"&amp;MATCH("*"&amp;INDIRECT("B"&amp;R119&amp;"")&amp;"*",INDIRECT("B"&amp;R119+1&amp;":B210"),0)+R119&amp;"")
+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INDIRECT("H"&amp;R119&amp;"")))),"")</f>
        <v/>
      </c>
      <c r="X119" s="51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51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51" t="str">
        <f t="shared" ca="1" si="25"/>
        <v/>
      </c>
      <c r="AA119" s="51" t="str">
        <f t="shared" ca="1" si="26"/>
        <v/>
      </c>
      <c r="AB119" s="51" t="str">
        <f t="array" aca="1" ref="AB119" ca="1">IF($R119&lt;&gt;"",
IF(AND(COUNTIF(INDIRECT("B"&amp;R119&amp;""),"*雙葉*"),COUNTIF(B:B,"*雙葉*")&gt;=2),
INDIRECT("M"&amp;R119&amp;"")+INDIRECT("M"&amp;MATCH("雙葉'",INDIRECT("B"&amp;R119+1&amp;":B210"),0)+R119&amp;""),
IF(AND(LEFT(INDIRECT("B"&amp;R119&amp;""),2)="博多",COUNTIF(B:B,"*博多*")&gt;=2),
INDIRECT("M"&amp;R119&amp;"")+INDIRECT("M"&amp;MATCH("*"&amp;INDIRECT("B"&amp;R119&amp;"")&amp;"*",INDIRECT("B"&amp;R119+1&amp;":B210"),0)+R119&amp;""),
IF(AND(LEFT(INDIRECT("B"&amp;R119&amp;""),3)="奈良屋",COUNTIF(B:B,"*奈良屋*")&gt;=2),
INDIRECT("M"&amp;R119&amp;"")+INDIRECT("M"&amp;MATCH("*"&amp;INDIRECT("B"&amp;R119&amp;"")&amp;"*",INDIRECT("B"&amp;R119+1&amp;":B210"),0)+R119&amp;"")
+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INDIRECT("M"&amp;R119&amp;"")))),"")</f>
        <v/>
      </c>
      <c r="AC119" s="51" t="str">
        <f t="shared" ca="1" si="27"/>
        <v/>
      </c>
      <c r="AD119" s="51" t="str">
        <f t="shared" ca="1" si="28"/>
        <v/>
      </c>
      <c r="AE119" s="51" t="str">
        <f t="shared" ca="1" si="29"/>
        <v/>
      </c>
      <c r="AF119" s="51" t="str">
        <f t="shared" ca="1" si="30"/>
        <v/>
      </c>
      <c r="AG119" s="51" t="str">
        <f t="shared" ca="1" si="31"/>
        <v/>
      </c>
      <c r="AH119" s="191" t="str">
        <f t="shared" ca="1" si="32"/>
        <v/>
      </c>
      <c r="AI119" s="51" t="str">
        <f t="shared" ca="1" si="33"/>
        <v/>
      </c>
      <c r="AJ119" s="51" t="str">
        <f t="shared" ca="1" si="34"/>
        <v/>
      </c>
      <c r="AK119" s="51" t="str">
        <f t="shared" ca="1" si="35"/>
        <v/>
      </c>
      <c r="AL119" s="51" t="str">
        <f t="shared" ca="1" si="36"/>
        <v/>
      </c>
      <c r="AM119" s="51" t="str">
        <f t="shared" ca="1" si="37"/>
        <v/>
      </c>
      <c r="AN119" s="51" t="str">
        <f t="shared" ca="1" si="38"/>
        <v/>
      </c>
      <c r="AO119" s="51" t="str">
        <f t="shared" ca="1" si="39"/>
        <v/>
      </c>
      <c r="AP119" s="51" t="str">
        <f t="shared" ca="1" si="40"/>
        <v/>
      </c>
      <c r="AU119" s="51" t="str">
        <f t="shared" ca="1" si="41"/>
        <v/>
      </c>
    </row>
    <row r="120" spans="1:47" ht="22.2" customHeight="1">
      <c r="A120" s="179">
        <f t="shared" si="48"/>
        <v>105</v>
      </c>
      <c r="B120" s="180" t="str">
        <f t="shared" ca="1" si="46"/>
        <v/>
      </c>
      <c r="C120" s="180" t="str">
        <f>IF(OR(クライアント抽出!C50&lt;&gt;"",クライアント抽出!F50&lt;&gt;""),クライアント抽出!A50,"")</f>
        <v/>
      </c>
      <c r="D120" s="180" t="str">
        <f t="array" aca="1" ref="D120" ca="1">IF(C120&lt;&gt;"",INDIRECT("クライアント抽出!"&amp;E120&amp;MATCH(C120,クライアント抽出!A:A,0)&amp;""),"")</f>
        <v/>
      </c>
      <c r="E120" s="180" t="str">
        <f>IF(H120&lt;&gt;0,
IFERROR(
SUBSTITUTE(ADDRESS(1,
MATCH(VALUE(H120),クライアント抽出!A50:G50,0)+8,4),"1",""),
""),
IFERROR(
SUBSTITUTE(ADDRESS(1,
MATCH(VALUE(I120),クライアント抽出!A50:G50,0)+8,4),"1",""),
""))</f>
        <v/>
      </c>
      <c r="F120" s="181" t="str">
        <f ca="1">IF(D120&lt;&gt;"",
IF(COUNTIF(C120,"*雙葉*"),
IF(ROUND((H120-M120)
/IF(COUNTIF(D120,"*キャラ*"),
VLOOKUP("*キャラ*",商品マスタ一覧!$D:$E,2,FALSE),
IF(COUNTIF(D120,"*赤*"),
VLOOKUP("*赤*",商品マスタ一覧!$D:$E,2,FALSE),
VLOOKUP("*"&amp;D120&amp;"*",商品マスタ一覧!$D:$E,2,FALSE))),0)&lt;=0,1,
ROUND((H120-M120)
/IF(COUNTIF(D120,"*キャラ*"),
VLOOKUP("*キャラ*",商品マスタ一覧!$D:$E,2,FALSE),
IF(COUNTIF(D120,"*赤*"),
VLOOKUP("*赤*",商品マスタ一覧!$D:$E,2,FALSE),
VLOOKUP("*"&amp;D120&amp;"*",商品マスタ一覧!$D:$E,2,FALSE))),0)),
IF(OR(COUNTIF(D120,"*キャラ*"),COUNTIF(D120,"*赤*")),"",
IF(VLOOKUP("*"&amp;D120&amp;"*",商品マスタ一覧!$D:$E,2,FALSE)=0,"",
IF(ROUND((H120-M120)
/VLOOKUP("*"&amp;D120&amp;"*",商品マスタ一覧!$D:$E,2,FALSE),0)&lt;=0,1,
ROUND((H120-M120)
/VLOOKUP("*"&amp;D120&amp;"*",商品マスタ一覧!$D:$E,2,FALSE),0))))),"")</f>
        <v/>
      </c>
      <c r="G120" s="180" t="str">
        <f ca="1">IF(F120&lt;&gt;"",
IF(VALUE(H120-M120)&gt;VALUE(IF(COUNTIF(D120,"*キャラ*"),
VLOOKUP("*キャラ*",商品マスタ一覧!$D:$E,2,FALSE),
IF(COUNTIF(D120,"*赤*"),
VLOOKUP("*赤*",商品マスタ一覧!$D:$E,2,FALSE),
VLOOKUP("*"&amp;D120&amp;"*",商品マスタ一覧!$D:$E,2,FALSE)))*F120),
"+"&amp;(H120-M120)-IF(COUNTIF(D120,"*キャラ*"),
VLOOKUP("*キャラ*",商品マスタ一覧!$D:$E,2,FALSE),
IF(COUNTIF(D120,"*赤*"),
VLOOKUP("*赤*",商品マスタ一覧!$D:$E,2,FALSE),
VLOOKUP("*"&amp;D120&amp;"*",商品マスタ一覧!$D:$E,2,FALSE)))*F120,
(H120-M120)-IF(COUNTIF(D120,"*キャラ*"),
VLOOKUP("*キャラ*",商品マスタ一覧!$D:$E,2,FALSE),
IF(COUNTIF(D120,"*赤*"),
VLOOKUP("*赤*",商品マスタ一覧!$D:$E,2,FALSE),
VLOOKUP("*"&amp;D120&amp;"*",商品マスタ一覧!$D:$E,2,FALSE)))*F120),"")</f>
        <v/>
      </c>
      <c r="H120" s="182" t="str">
        <f>IF(C120&lt;&gt;"",
クライアント抽出!C50,"")</f>
        <v/>
      </c>
      <c r="I120" s="180" t="str">
        <f t="array" aca="1" ref="I120" ca="1">IF(C120&lt;&gt;"",
IF(O120=1,
IF(SUMPRODUCT(COUNTIF(クライアント抽出!P50:U50,クライアント抽出!P50:U50))&gt;COUNTA(クライアント抽出!P50:U50),
INDIRECT("数出表_Excel!"&amp;INDEX(_xlfn.UNIQUE(_xlfn._xlws.FILTER(クライアント抽出!P50:U50,COUNTIF(クライアント抽出!P50:U50,クライアント抽出!P50:U50)=1)),1)&amp;L120&amp;""),
0),クライアント抽出!F50),"")</f>
        <v/>
      </c>
      <c r="J120" s="180" t="str">
        <f>IF(C120&lt;&gt;"",
VLOOKUP(
"*"&amp;LEFT(IF(COUNTIF(D120,"*学食*"),"キャラ弁（学食）",
IF(COUNTIF(D120,"*赤*"),"赤",
IF(COUNTIF(D120,"*キャラ弁当*"),"キャラ弁当",D120))),4)&amp;"*",注文弁当の抽出!$E$1:$F$15,2,FALSE),"")</f>
        <v/>
      </c>
      <c r="K120" s="180" t="str">
        <f ca="1">IF(クライアント抽出!Q50&lt;&gt;"",SUBSTITUTE(ADDRESS(1,(CODE(クライアント抽出!Q50)-64)*2-1,4),"1",""),"")</f>
        <v/>
      </c>
      <c r="L120" s="180" t="str">
        <f>IF(C50&lt;&gt;"",クライアント抽出!I50,"")</f>
        <v/>
      </c>
      <c r="M120" s="180">
        <f t="array" aca="1" ref="M120" ca="1">IF(C120&lt;&gt;"",
IF(K120&lt;&gt;"",INDIRECT("'数出表_Excel（アレルギー入力）'!"&amp;K120&amp;L120-1&amp;""),),)</f>
        <v>0</v>
      </c>
      <c r="N120" s="180" t="str">
        <f>IF(C120&lt;&gt;"",IF(OR(COUNTIF('盛付札（関数）'!D120,"*赤*"),COUNTIF('盛付札（関数）'!D120,"*キャラ*")),1,
VLOOKUP("*"&amp;D120&amp;"*",商品マスタ一覧!D:H,5,FALSE)),"")</f>
        <v/>
      </c>
      <c r="O120" s="180">
        <f t="shared" ca="1" si="47"/>
        <v>0</v>
      </c>
      <c r="P120" s="180">
        <f t="shared" si="23"/>
        <v>0</v>
      </c>
      <c r="Q120" s="180" t="b">
        <f t="shared" si="24"/>
        <v>0</v>
      </c>
      <c r="R120" s="51" t="str">
        <f t="array" aca="1" ref="R120" ca="1">IFERROR(SMALL(IF(P$1:P$307&lt;&gt;0,P$1:P$307),ROW(A120)),"")</f>
        <v/>
      </c>
      <c r="S120" s="51" t="str">
        <f t="array" aca="1" ref="S120" ca="1">IF($R120&lt;&gt;"",
SUBSTITUTE(SUBSTITUTE(INDIRECT("C"&amp;$R120&amp;"")," 週3ｺｰｽ","")," 週5ｺｰｽ",""),"")</f>
        <v/>
      </c>
      <c r="T120" s="51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91" t="str">
        <f t="array" aca="1" ref="U120" ca="1">IF($R120&lt;&gt;"",
INDIRECT("F"&amp;$R120&amp;""),"")</f>
        <v/>
      </c>
      <c r="V120" s="51" t="str">
        <f t="array" aca="1" ref="V120" ca="1">IF($R120&lt;&gt;"",
INDIRECT("G"&amp;$R120&amp;""),"")</f>
        <v/>
      </c>
      <c r="W120" s="51" t="str">
        <f t="array" aca="1" ref="W120" ca="1">IF($R120&lt;&gt;"",
IF(AND(COUNTIF(INDIRECT("B"&amp;R120&amp;""),"*雙葉*"),COUNTIF(B:B,"*雙葉*")&gt;=2),
IF(OR(COUNTIF(INDIRECT("B"&amp;R120&amp;""),"*雙葉先生*"),COUNTIF($B$1:$B$70,"*雙葉*")&gt;=2),INDIRECT("H"&amp;R120&amp;""),INDIRECT("H"&amp;R120&amp;"")+INDIRECT("H"&amp;MATCH("雙葉'",INDIRECT("B"&amp;R120+3&amp;":B210"),0)+2+R120&amp;"")),
IF(AND(LEFT(INDIRECT("B"&amp;R120&amp;""),2)="博多",COUNTIF(B:B,"*博多*")&gt;=2),
INDIRECT("H"&amp;R120&amp;"")+INDIRECT("H"&amp;MATCH("*"&amp;INDIRECT("B"&amp;R120&amp;"")&amp;"*",INDIRECT("B"&amp;R120+1&amp;":B210"),0)+R120&amp;""),
IF(AND(LEFT(INDIRECT("B"&amp;R120&amp;""),3)="奈良屋",COUNTIF(B:B,"*奈良屋*")&gt;=2),
INDIRECT("H"&amp;R120&amp;"")+INDIRECT("H"&amp;MATCH("*"&amp;INDIRECT("B"&amp;R120&amp;"")&amp;"*",INDIRECT("B"&amp;R120+1&amp;":B210"),0)+R120&amp;"")
+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INDIRECT("H"&amp;R120&amp;"")))),"")</f>
        <v/>
      </c>
      <c r="X120" s="51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51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51" t="str">
        <f t="shared" ca="1" si="25"/>
        <v/>
      </c>
      <c r="AA120" s="51" t="str">
        <f t="shared" ca="1" si="26"/>
        <v/>
      </c>
      <c r="AB120" s="51" t="str">
        <f t="array" aca="1" ref="AB120" ca="1">IF($R120&lt;&gt;"",
IF(AND(COUNTIF(INDIRECT("B"&amp;R120&amp;""),"*雙葉*"),COUNTIF(B:B,"*雙葉*")&gt;=2),
INDIRECT("M"&amp;R120&amp;"")+INDIRECT("M"&amp;MATCH("雙葉'",INDIRECT("B"&amp;R120+1&amp;":B210"),0)+R120&amp;""),
IF(AND(LEFT(INDIRECT("B"&amp;R120&amp;""),2)="博多",COUNTIF(B:B,"*博多*")&gt;=2),
INDIRECT("M"&amp;R120&amp;"")+INDIRECT("M"&amp;MATCH("*"&amp;INDIRECT("B"&amp;R120&amp;"")&amp;"*",INDIRECT("B"&amp;R120+1&amp;":B210"),0)+R120&amp;""),
IF(AND(LEFT(INDIRECT("B"&amp;R120&amp;""),3)="奈良屋",COUNTIF(B:B,"*奈良屋*")&gt;=2),
INDIRECT("M"&amp;R120&amp;"")+INDIRECT("M"&amp;MATCH("*"&amp;INDIRECT("B"&amp;R120&amp;"")&amp;"*",INDIRECT("B"&amp;R120+1&amp;":B210"),0)+R120&amp;"")
+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INDIRECT("M"&amp;R120&amp;"")))),"")</f>
        <v/>
      </c>
      <c r="AC120" s="51" t="str">
        <f t="shared" ca="1" si="27"/>
        <v/>
      </c>
      <c r="AD120" s="51" t="str">
        <f t="shared" ca="1" si="28"/>
        <v/>
      </c>
      <c r="AE120" s="51" t="str">
        <f t="shared" ca="1" si="29"/>
        <v/>
      </c>
      <c r="AF120" s="51" t="str">
        <f t="shared" ca="1" si="30"/>
        <v/>
      </c>
      <c r="AG120" s="51" t="str">
        <f t="shared" ca="1" si="31"/>
        <v/>
      </c>
      <c r="AH120" s="191" t="str">
        <f t="shared" ca="1" si="32"/>
        <v/>
      </c>
      <c r="AI120" s="51" t="str">
        <f t="shared" ca="1" si="33"/>
        <v/>
      </c>
      <c r="AJ120" s="51" t="str">
        <f t="shared" ca="1" si="34"/>
        <v/>
      </c>
      <c r="AK120" s="51" t="str">
        <f t="shared" ca="1" si="35"/>
        <v/>
      </c>
      <c r="AL120" s="51" t="str">
        <f t="shared" ca="1" si="36"/>
        <v/>
      </c>
      <c r="AM120" s="51" t="str">
        <f t="shared" ca="1" si="37"/>
        <v/>
      </c>
      <c r="AN120" s="51" t="str">
        <f t="shared" ca="1" si="38"/>
        <v/>
      </c>
      <c r="AO120" s="51" t="str">
        <f t="shared" ca="1" si="39"/>
        <v/>
      </c>
      <c r="AP120" s="51" t="str">
        <f t="shared" ca="1" si="40"/>
        <v/>
      </c>
      <c r="AU120" s="51" t="str">
        <f t="shared" ca="1" si="41"/>
        <v/>
      </c>
    </row>
    <row r="121" spans="1:47" ht="27.6" customHeight="1">
      <c r="A121" s="179">
        <f t="shared" si="48"/>
        <v>107</v>
      </c>
      <c r="B121" s="180" t="str">
        <f t="shared" ca="1" si="46"/>
        <v/>
      </c>
      <c r="C121" s="180" t="str">
        <f>IF(OR(クライアント抽出!C51&lt;&gt;"",クライアント抽出!F51&lt;&gt;""),クライアント抽出!A51,"")</f>
        <v/>
      </c>
      <c r="D121" s="180" t="str">
        <f t="array" aca="1" ref="D121" ca="1">IF(C121&lt;&gt;"",INDIRECT("クライアント抽出!"&amp;E121&amp;MATCH(C121,クライアント抽出!A:A,0)&amp;""),"")</f>
        <v/>
      </c>
      <c r="E121" s="180" t="str">
        <f>IF(H121&lt;&gt;0,
IFERROR(
SUBSTITUTE(ADDRESS(1,
MATCH(VALUE(H121),クライアント抽出!A51:G51,0)+8,4),"1",""),
""),
IFERROR(
SUBSTITUTE(ADDRESS(1,
MATCH(VALUE(I121),クライアント抽出!A51:G51,0)+8,4),"1",""),
""))</f>
        <v/>
      </c>
      <c r="F121" s="181" t="str">
        <f ca="1">IF(D121&lt;&gt;"",
IF(COUNTIF(C121,"*雙葉*"),
IF(ROUND((H121-M121)
/IF(COUNTIF(D121,"*キャラ*"),
VLOOKUP("*キャラ*",商品マスタ一覧!$D:$E,2,FALSE),
IF(COUNTIF(D121,"*赤*"),
VLOOKUP("*赤*",商品マスタ一覧!$D:$E,2,FALSE),
VLOOKUP("*"&amp;D121&amp;"*",商品マスタ一覧!$D:$E,2,FALSE))),0)&lt;=0,1,
ROUND((H121-M121)
/IF(COUNTIF(D121,"*キャラ*"),
VLOOKUP("*キャラ*",商品マスタ一覧!$D:$E,2,FALSE),
IF(COUNTIF(D121,"*赤*"),
VLOOKUP("*赤*",商品マスタ一覧!$D:$E,2,FALSE),
VLOOKUP("*"&amp;D121&amp;"*",商品マスタ一覧!$D:$E,2,FALSE))),0)),
IF(OR(COUNTIF(D121,"*キャラ*"),COUNTIF(D121,"*赤*")),"",
IF(VLOOKUP("*"&amp;D121&amp;"*",商品マスタ一覧!$D:$E,2,FALSE)=0,"",
IF(ROUND((H121-M121)
/VLOOKUP("*"&amp;D121&amp;"*",商品マスタ一覧!$D:$E,2,FALSE),0)&lt;=0,1,
ROUND((H121-M121)
/VLOOKUP("*"&amp;D121&amp;"*",商品マスタ一覧!$D:$E,2,FALSE),0))))),"")</f>
        <v/>
      </c>
      <c r="G121" s="180" t="str">
        <f ca="1">IF(F121&lt;&gt;"",
IF(VALUE(H121-M121)&gt;VALUE(IF(COUNTIF(D121,"*キャラ*"),
VLOOKUP("*キャラ*",商品マスタ一覧!$D:$E,2,FALSE),
IF(COUNTIF(D121,"*赤*"),
VLOOKUP("*赤*",商品マスタ一覧!$D:$E,2,FALSE),
VLOOKUP("*"&amp;D121&amp;"*",商品マスタ一覧!$D:$E,2,FALSE)))*F121),
"+"&amp;(H121-M121)-IF(COUNTIF(D121,"*キャラ*"),
VLOOKUP("*キャラ*",商品マスタ一覧!$D:$E,2,FALSE),
IF(COUNTIF(D121,"*赤*"),
VLOOKUP("*赤*",商品マスタ一覧!$D:$E,2,FALSE),
VLOOKUP("*"&amp;D121&amp;"*",商品マスタ一覧!$D:$E,2,FALSE)))*F121,
(H121-M121)-IF(COUNTIF(D121,"*キャラ*"),
VLOOKUP("*キャラ*",商品マスタ一覧!$D:$E,2,FALSE),
IF(COUNTIF(D121,"*赤*"),
VLOOKUP("*赤*",商品マスタ一覧!$D:$E,2,FALSE),
VLOOKUP("*"&amp;D121&amp;"*",商品マスタ一覧!$D:$E,2,FALSE)))*F121),"")</f>
        <v/>
      </c>
      <c r="H121" s="182" t="str">
        <f>IF(C121&lt;&gt;"",
クライアント抽出!C51,"")</f>
        <v/>
      </c>
      <c r="I121" s="180" t="str">
        <f t="array" aca="1" ref="I121" ca="1">IF(C121&lt;&gt;"",
IF(O121=1,
IF(SUMPRODUCT(COUNTIF(クライアント抽出!P51:U51,クライアント抽出!P51:U51))&gt;COUNTA(クライアント抽出!P51:U51),
INDIRECT("数出表_Excel!"&amp;INDEX(_xlfn.UNIQUE(_xlfn._xlws.FILTER(クライアント抽出!P51:U51,COUNTIF(クライアント抽出!P51:U51,クライアント抽出!P51:U51)=1)),1)&amp;L121&amp;""),
0),クライアント抽出!F51),"")</f>
        <v/>
      </c>
      <c r="J121" s="180" t="str">
        <f>IF(C121&lt;&gt;"",
VLOOKUP(
"*"&amp;LEFT(IF(COUNTIF(D121,"*学食*"),"キャラ弁（学食）",
IF(COUNTIF(D121,"*赤*"),"赤",
IF(COUNTIF(D121,"*キャラ弁当*"),"キャラ弁当",D121))),4)&amp;"*",注文弁当の抽出!$E$1:$F$15,2,FALSE),"")</f>
        <v/>
      </c>
      <c r="K121" s="180" t="str">
        <f ca="1">IF(クライアント抽出!Q51&lt;&gt;"",SUBSTITUTE(ADDRESS(1,(CODE(クライアント抽出!Q51)-64)*2-1,4),"1",""),"")</f>
        <v/>
      </c>
      <c r="L121" s="180" t="str">
        <f>IF(C51&lt;&gt;"",クライアント抽出!I51,"")</f>
        <v/>
      </c>
      <c r="M121" s="180">
        <f t="array" aca="1" ref="M121" ca="1">IF(C121&lt;&gt;"",
IF(K121&lt;&gt;"",INDIRECT("'数出表_Excel（アレルギー入力）'!"&amp;K121&amp;L121-1&amp;""),),)</f>
        <v>0</v>
      </c>
      <c r="N121" s="180" t="str">
        <f>IF(C121&lt;&gt;"",IF(OR(COUNTIF('盛付札（関数）'!D121,"*赤*"),COUNTIF('盛付札（関数）'!D121,"*キャラ*")),1,
VLOOKUP("*"&amp;D121&amp;"*",商品マスタ一覧!D:H,5,FALSE)),"")</f>
        <v/>
      </c>
      <c r="O121" s="180">
        <f t="shared" ca="1" si="47"/>
        <v>0</v>
      </c>
      <c r="P121" s="180">
        <f t="shared" si="23"/>
        <v>0</v>
      </c>
      <c r="Q121" s="180" t="b">
        <f t="shared" si="24"/>
        <v>0</v>
      </c>
      <c r="R121" s="51" t="str">
        <f t="array" aca="1" ref="R121" ca="1">IFERROR(SMALL(IF(P$1:P$307&lt;&gt;0,P$1:P$307),ROW(A121)),"")</f>
        <v/>
      </c>
      <c r="S121" s="51" t="str">
        <f t="array" aca="1" ref="S121" ca="1">IF($R121&lt;&gt;"",
SUBSTITUTE(SUBSTITUTE(INDIRECT("C"&amp;$R121&amp;"")," 週3ｺｰｽ","")," 週5ｺｰｽ",""),"")</f>
        <v/>
      </c>
      <c r="T121" s="51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91" t="str">
        <f t="array" aca="1" ref="U121" ca="1">IF($R121&lt;&gt;"",
INDIRECT("F"&amp;$R121&amp;""),"")</f>
        <v/>
      </c>
      <c r="V121" s="51" t="str">
        <f t="array" aca="1" ref="V121" ca="1">IF($R121&lt;&gt;"",
INDIRECT("G"&amp;$R121&amp;""),"")</f>
        <v/>
      </c>
      <c r="W121" s="51" t="str">
        <f t="array" aca="1" ref="W121" ca="1">IF($R121&lt;&gt;"",
IF(AND(COUNTIF(INDIRECT("B"&amp;R121&amp;""),"*雙葉*"),COUNTIF(B:B,"*雙葉*")&gt;=2),
IF(OR(COUNTIF(INDIRECT("B"&amp;R121&amp;""),"*雙葉先生*"),COUNTIF($B$1:$B$70,"*雙葉*")&gt;=2),INDIRECT("H"&amp;R121&amp;""),INDIRECT("H"&amp;R121&amp;"")+INDIRECT("H"&amp;MATCH("雙葉'",INDIRECT("B"&amp;R121+3&amp;":B210"),0)+2+R121&amp;"")),
IF(AND(LEFT(INDIRECT("B"&amp;R121&amp;""),2)="博多",COUNTIF(B:B,"*博多*")&gt;=2),
INDIRECT("H"&amp;R121&amp;"")+INDIRECT("H"&amp;MATCH("*"&amp;INDIRECT("B"&amp;R121&amp;"")&amp;"*",INDIRECT("B"&amp;R121+1&amp;":B210"),0)+R121&amp;""),
IF(AND(LEFT(INDIRECT("B"&amp;R121&amp;""),3)="奈良屋",COUNTIF(B:B,"*奈良屋*")&gt;=2),
INDIRECT("H"&amp;R121&amp;"")+INDIRECT("H"&amp;MATCH("*"&amp;INDIRECT("B"&amp;R121&amp;"")&amp;"*",INDIRECT("B"&amp;R121+1&amp;":B210"),0)+R121&amp;"")
+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INDIRECT("H"&amp;R121&amp;"")))),"")</f>
        <v/>
      </c>
      <c r="X121" s="51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51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51" t="str">
        <f t="shared" ca="1" si="25"/>
        <v/>
      </c>
      <c r="AA121" s="51" t="str">
        <f t="shared" ca="1" si="26"/>
        <v/>
      </c>
      <c r="AB121" s="51" t="str">
        <f t="array" aca="1" ref="AB121" ca="1">IF($R121&lt;&gt;"",
IF(AND(COUNTIF(INDIRECT("B"&amp;R121&amp;""),"*雙葉*"),COUNTIF(B:B,"*雙葉*")&gt;=2),
INDIRECT("M"&amp;R121&amp;"")+INDIRECT("M"&amp;MATCH("雙葉'",INDIRECT("B"&amp;R121+1&amp;":B210"),0)+R121&amp;""),
IF(AND(LEFT(INDIRECT("B"&amp;R121&amp;""),2)="博多",COUNTIF(B:B,"*博多*")&gt;=2),
INDIRECT("M"&amp;R121&amp;"")+INDIRECT("M"&amp;MATCH("*"&amp;INDIRECT("B"&amp;R121&amp;"")&amp;"*",INDIRECT("B"&amp;R121+1&amp;":B210"),0)+R121&amp;""),
IF(AND(LEFT(INDIRECT("B"&amp;R121&amp;""),3)="奈良屋",COUNTIF(B:B,"*奈良屋*")&gt;=2),
INDIRECT("M"&amp;R121&amp;"")+INDIRECT("M"&amp;MATCH("*"&amp;INDIRECT("B"&amp;R121&amp;"")&amp;"*",INDIRECT("B"&amp;R121+1&amp;":B210"),0)+R121&amp;"")
+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INDIRECT("M"&amp;R121&amp;"")))),"")</f>
        <v/>
      </c>
      <c r="AC121" s="51" t="str">
        <f t="shared" ca="1" si="27"/>
        <v/>
      </c>
      <c r="AD121" s="51" t="str">
        <f t="shared" ca="1" si="28"/>
        <v/>
      </c>
      <c r="AE121" s="51" t="str">
        <f t="shared" ca="1" si="29"/>
        <v/>
      </c>
      <c r="AF121" s="51" t="str">
        <f t="shared" ca="1" si="30"/>
        <v/>
      </c>
      <c r="AG121" s="51" t="str">
        <f t="shared" ca="1" si="31"/>
        <v/>
      </c>
      <c r="AH121" s="191" t="str">
        <f t="shared" ca="1" si="32"/>
        <v/>
      </c>
      <c r="AI121" s="51" t="str">
        <f t="shared" ca="1" si="33"/>
        <v/>
      </c>
      <c r="AJ121" s="51" t="str">
        <f t="shared" ca="1" si="34"/>
        <v/>
      </c>
      <c r="AK121" s="51" t="str">
        <f t="shared" ca="1" si="35"/>
        <v/>
      </c>
      <c r="AL121" s="51" t="str">
        <f t="shared" ca="1" si="36"/>
        <v/>
      </c>
      <c r="AM121" s="51" t="str">
        <f t="shared" ca="1" si="37"/>
        <v/>
      </c>
      <c r="AN121" s="51" t="str">
        <f t="shared" ca="1" si="38"/>
        <v/>
      </c>
      <c r="AO121" s="51" t="str">
        <f t="shared" ca="1" si="39"/>
        <v/>
      </c>
      <c r="AP121" s="51" t="str">
        <f t="shared" ca="1" si="40"/>
        <v/>
      </c>
      <c r="AU121" s="51" t="str">
        <f t="shared" ca="1" si="41"/>
        <v/>
      </c>
    </row>
    <row r="122" spans="1:47" ht="22.2" customHeight="1">
      <c r="A122" s="179">
        <f t="shared" si="48"/>
        <v>109</v>
      </c>
      <c r="B122" s="180" t="str">
        <f t="shared" ca="1" si="46"/>
        <v/>
      </c>
      <c r="C122" s="180" t="str">
        <f>IF(OR(クライアント抽出!C52&lt;&gt;"",クライアント抽出!F52&lt;&gt;""),クライアント抽出!A52,"")</f>
        <v/>
      </c>
      <c r="D122" s="180" t="str">
        <f t="array" aca="1" ref="D122" ca="1">IF(C122&lt;&gt;"",INDIRECT("クライアント抽出!"&amp;E122&amp;MATCH(C122,クライアント抽出!A:A,0)&amp;""),"")</f>
        <v/>
      </c>
      <c r="E122" s="180" t="str">
        <f>IF(H122&lt;&gt;0,
IFERROR(
SUBSTITUTE(ADDRESS(1,
MATCH(VALUE(H122),クライアント抽出!A52:G52,0)+8,4),"1",""),
""),
IFERROR(
SUBSTITUTE(ADDRESS(1,
MATCH(VALUE(I122),クライアント抽出!A52:G52,0)+8,4),"1",""),
""))</f>
        <v/>
      </c>
      <c r="F122" s="181" t="str">
        <f ca="1">IF(D122&lt;&gt;"",
IF(COUNTIF(C122,"*雙葉*"),
IF(ROUND((H122-M122)
/IF(COUNTIF(D122,"*キャラ*"),
VLOOKUP("*キャラ*",商品マスタ一覧!$D:$E,2,FALSE),
IF(COUNTIF(D122,"*赤*"),
VLOOKUP("*赤*",商品マスタ一覧!$D:$E,2,FALSE),
VLOOKUP("*"&amp;D122&amp;"*",商品マスタ一覧!$D:$E,2,FALSE))),0)&lt;=0,1,
ROUND((H122-M122)
/IF(COUNTIF(D122,"*キャラ*"),
VLOOKUP("*キャラ*",商品マスタ一覧!$D:$E,2,FALSE),
IF(COUNTIF(D122,"*赤*"),
VLOOKUP("*赤*",商品マスタ一覧!$D:$E,2,FALSE),
VLOOKUP("*"&amp;D122&amp;"*",商品マスタ一覧!$D:$E,2,FALSE))),0)),
IF(OR(COUNTIF(D122,"*キャラ*"),COUNTIF(D122,"*赤*")),"",
IF(VLOOKUP("*"&amp;D122&amp;"*",商品マスタ一覧!$D:$E,2,FALSE)=0,"",
IF(ROUND((H122-M122)
/VLOOKUP("*"&amp;D122&amp;"*",商品マスタ一覧!$D:$E,2,FALSE),0)&lt;=0,1,
ROUND((H122-M122)
/VLOOKUP("*"&amp;D122&amp;"*",商品マスタ一覧!$D:$E,2,FALSE),0))))),"")</f>
        <v/>
      </c>
      <c r="G122" s="180" t="str">
        <f ca="1">IF(F122&lt;&gt;"",
IF(VALUE(H122-M122)&gt;VALUE(IF(COUNTIF(D122,"*キャラ*"),
VLOOKUP("*キャラ*",商品マスタ一覧!$D:$E,2,FALSE),
IF(COUNTIF(D122,"*赤*"),
VLOOKUP("*赤*",商品マスタ一覧!$D:$E,2,FALSE),
VLOOKUP("*"&amp;D122&amp;"*",商品マスタ一覧!$D:$E,2,FALSE)))*F122),
"+"&amp;(H122-M122)-IF(COUNTIF(D122,"*キャラ*"),
VLOOKUP("*キャラ*",商品マスタ一覧!$D:$E,2,FALSE),
IF(COUNTIF(D122,"*赤*"),
VLOOKUP("*赤*",商品マスタ一覧!$D:$E,2,FALSE),
VLOOKUP("*"&amp;D122&amp;"*",商品マスタ一覧!$D:$E,2,FALSE)))*F122,
(H122-M122)-IF(COUNTIF(D122,"*キャラ*"),
VLOOKUP("*キャラ*",商品マスタ一覧!$D:$E,2,FALSE),
IF(COUNTIF(D122,"*赤*"),
VLOOKUP("*赤*",商品マスタ一覧!$D:$E,2,FALSE),
VLOOKUP("*"&amp;D122&amp;"*",商品マスタ一覧!$D:$E,2,FALSE)))*F122),"")</f>
        <v/>
      </c>
      <c r="H122" s="182" t="str">
        <f>IF(C122&lt;&gt;"",
クライアント抽出!C52,"")</f>
        <v/>
      </c>
      <c r="I122" s="180" t="str">
        <f t="array" aca="1" ref="I122" ca="1">IF(C122&lt;&gt;"",
IF(O122=1,
IF(SUMPRODUCT(COUNTIF(クライアント抽出!P52:U52,クライアント抽出!P52:U52))&gt;COUNTA(クライアント抽出!P52:U52),
INDIRECT("数出表_Excel!"&amp;INDEX(_xlfn.UNIQUE(_xlfn._xlws.FILTER(クライアント抽出!P52:U52,COUNTIF(クライアント抽出!P52:U52,クライアント抽出!P52:U52)=1)),1)&amp;L122&amp;""),
0),クライアント抽出!F52),"")</f>
        <v/>
      </c>
      <c r="J122" s="180" t="str">
        <f>IF(C122&lt;&gt;"",
VLOOKUP(
"*"&amp;LEFT(IF(COUNTIF(D122,"*学食*"),"キャラ弁（学食）",
IF(COUNTIF(D122,"*赤*"),"赤",
IF(COUNTIF(D122,"*キャラ弁当*"),"キャラ弁当",D122))),4)&amp;"*",注文弁当の抽出!$E$1:$F$15,2,FALSE),"")</f>
        <v/>
      </c>
      <c r="K122" s="180" t="str">
        <f ca="1">IF(クライアント抽出!Q52&lt;&gt;"",SUBSTITUTE(ADDRESS(1,(CODE(クライアント抽出!Q52)-64)*2-1,4),"1",""),"")</f>
        <v/>
      </c>
      <c r="L122" s="180" t="str">
        <f>IF(C52&lt;&gt;"",クライアント抽出!I52,"")</f>
        <v/>
      </c>
      <c r="M122" s="180">
        <f t="array" aca="1" ref="M122" ca="1">IF(C122&lt;&gt;"",
IF(K122&lt;&gt;"",INDIRECT("'数出表_Excel（アレルギー入力）'!"&amp;K122&amp;L122-1&amp;""),),)</f>
        <v>0</v>
      </c>
      <c r="N122" s="180" t="str">
        <f>IF(C122&lt;&gt;"",IF(OR(COUNTIF('盛付札（関数）'!D122,"*赤*"),COUNTIF('盛付札（関数）'!D122,"*キャラ*")),1,
VLOOKUP("*"&amp;D122&amp;"*",商品マスタ一覧!D:H,5,FALSE)),"")</f>
        <v/>
      </c>
      <c r="O122" s="180">
        <f t="shared" ca="1" si="47"/>
        <v>0</v>
      </c>
      <c r="P122" s="180">
        <f t="shared" si="23"/>
        <v>0</v>
      </c>
      <c r="Q122" s="180" t="b">
        <f t="shared" si="24"/>
        <v>0</v>
      </c>
      <c r="R122" s="51" t="str">
        <f t="array" aca="1" ref="R122" ca="1">IFERROR(SMALL(IF(P$1:P$307&lt;&gt;0,P$1:P$307),ROW(A122)),"")</f>
        <v/>
      </c>
      <c r="S122" s="51" t="str">
        <f t="array" aca="1" ref="S122" ca="1">IF($R122&lt;&gt;"",
SUBSTITUTE(SUBSTITUTE(INDIRECT("C"&amp;$R122&amp;"")," 週3ｺｰｽ","")," 週5ｺｰｽ",""),"")</f>
        <v/>
      </c>
      <c r="T122" s="51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91" t="str">
        <f t="array" aca="1" ref="U122" ca="1">IF($R122&lt;&gt;"",
INDIRECT("F"&amp;$R122&amp;""),"")</f>
        <v/>
      </c>
      <c r="V122" s="51" t="str">
        <f t="array" aca="1" ref="V122" ca="1">IF($R122&lt;&gt;"",
INDIRECT("G"&amp;$R122&amp;""),"")</f>
        <v/>
      </c>
      <c r="W122" s="51" t="str">
        <f t="array" aca="1" ref="W122" ca="1">IF($R122&lt;&gt;"",
IF(AND(COUNTIF(INDIRECT("B"&amp;R122&amp;""),"*雙葉*"),COUNTIF(B:B,"*雙葉*")&gt;=2),
IF(OR(COUNTIF(INDIRECT("B"&amp;R122&amp;""),"*雙葉先生*"),COUNTIF($B$1:$B$70,"*雙葉*")&gt;=2),INDIRECT("H"&amp;R122&amp;""),INDIRECT("H"&amp;R122&amp;"")+INDIRECT("H"&amp;MATCH("雙葉'",INDIRECT("B"&amp;R122+3&amp;":B210"),0)+2+R122&amp;"")),
IF(AND(LEFT(INDIRECT("B"&amp;R122&amp;""),2)="博多",COUNTIF(B:B,"*博多*")&gt;=2),
INDIRECT("H"&amp;R122&amp;"")+INDIRECT("H"&amp;MATCH("*"&amp;INDIRECT("B"&amp;R122&amp;"")&amp;"*",INDIRECT("B"&amp;R122+1&amp;":B210"),0)+R122&amp;""),
IF(AND(LEFT(INDIRECT("B"&amp;R122&amp;""),3)="奈良屋",COUNTIF(B:B,"*奈良屋*")&gt;=2),
INDIRECT("H"&amp;R122&amp;"")+INDIRECT("H"&amp;MATCH("*"&amp;INDIRECT("B"&amp;R122&amp;"")&amp;"*",INDIRECT("B"&amp;R122+1&amp;":B210"),0)+R122&amp;"")
+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INDIRECT("H"&amp;R122&amp;"")))),"")</f>
        <v/>
      </c>
      <c r="X122" s="51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51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51" t="str">
        <f t="shared" ca="1" si="25"/>
        <v/>
      </c>
      <c r="AA122" s="51" t="str">
        <f t="shared" ca="1" si="26"/>
        <v/>
      </c>
      <c r="AB122" s="51" t="str">
        <f t="array" aca="1" ref="AB122" ca="1">IF($R122&lt;&gt;"",
IF(AND(COUNTIF(INDIRECT("B"&amp;R122&amp;""),"*雙葉*"),COUNTIF(B:B,"*雙葉*")&gt;=2),
INDIRECT("M"&amp;R122&amp;"")+INDIRECT("M"&amp;MATCH("雙葉'",INDIRECT("B"&amp;R122+1&amp;":B210"),0)+R122&amp;""),
IF(AND(LEFT(INDIRECT("B"&amp;R122&amp;""),2)="博多",COUNTIF(B:B,"*博多*")&gt;=2),
INDIRECT("M"&amp;R122&amp;"")+INDIRECT("M"&amp;MATCH("*"&amp;INDIRECT("B"&amp;R122&amp;"")&amp;"*",INDIRECT("B"&amp;R122+1&amp;":B210"),0)+R122&amp;""),
IF(AND(LEFT(INDIRECT("B"&amp;R122&amp;""),3)="奈良屋",COUNTIF(B:B,"*奈良屋*")&gt;=2),
INDIRECT("M"&amp;R122&amp;"")+INDIRECT("M"&amp;MATCH("*"&amp;INDIRECT("B"&amp;R122&amp;"")&amp;"*",INDIRECT("B"&amp;R122+1&amp;":B210"),0)+R122&amp;"")
+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INDIRECT("M"&amp;R122&amp;"")))),"")</f>
        <v/>
      </c>
      <c r="AC122" s="51" t="str">
        <f t="shared" ca="1" si="27"/>
        <v/>
      </c>
      <c r="AD122" s="51" t="str">
        <f t="shared" ca="1" si="28"/>
        <v/>
      </c>
      <c r="AE122" s="51" t="str">
        <f t="shared" ca="1" si="29"/>
        <v/>
      </c>
      <c r="AF122" s="51" t="str">
        <f t="shared" ca="1" si="30"/>
        <v/>
      </c>
      <c r="AG122" s="51" t="str">
        <f t="shared" ca="1" si="31"/>
        <v/>
      </c>
      <c r="AH122" s="191" t="str">
        <f t="shared" ca="1" si="32"/>
        <v/>
      </c>
      <c r="AI122" s="51" t="str">
        <f t="shared" ca="1" si="33"/>
        <v/>
      </c>
      <c r="AJ122" s="51" t="str">
        <f t="shared" ca="1" si="34"/>
        <v/>
      </c>
      <c r="AK122" s="51" t="str">
        <f t="shared" ca="1" si="35"/>
        <v/>
      </c>
      <c r="AL122" s="51" t="str">
        <f t="shared" ca="1" si="36"/>
        <v/>
      </c>
      <c r="AM122" s="51" t="str">
        <f t="shared" ca="1" si="37"/>
        <v/>
      </c>
      <c r="AN122" s="51" t="str">
        <f t="shared" ca="1" si="38"/>
        <v/>
      </c>
      <c r="AO122" s="51" t="str">
        <f t="shared" ca="1" si="39"/>
        <v/>
      </c>
      <c r="AP122" s="51" t="str">
        <f t="shared" ca="1" si="40"/>
        <v/>
      </c>
      <c r="AU122" s="51" t="str">
        <f t="shared" ca="1" si="41"/>
        <v/>
      </c>
    </row>
    <row r="123" spans="1:47" ht="22.2" customHeight="1">
      <c r="A123" s="179">
        <f t="shared" si="48"/>
        <v>111</v>
      </c>
      <c r="B123" s="180" t="str">
        <f t="shared" ca="1" si="46"/>
        <v/>
      </c>
      <c r="C123" s="180" t="str">
        <f>IF(OR(クライアント抽出!C53&lt;&gt;"",クライアント抽出!F53&lt;&gt;""),クライアント抽出!A53,"")</f>
        <v/>
      </c>
      <c r="D123" s="180" t="str">
        <f t="array" aca="1" ref="D123" ca="1">IF(C123&lt;&gt;"",INDIRECT("クライアント抽出!"&amp;E123&amp;MATCH(C123,クライアント抽出!A:A,0)&amp;""),"")</f>
        <v/>
      </c>
      <c r="E123" s="180" t="str">
        <f>IF(H123&lt;&gt;0,
IFERROR(
SUBSTITUTE(ADDRESS(1,
MATCH(VALUE(H123),クライアント抽出!A53:G53,0)+8,4),"1",""),
""),
IFERROR(
SUBSTITUTE(ADDRESS(1,
MATCH(VALUE(I123),クライアント抽出!A53:G53,0)+8,4),"1",""),
""))</f>
        <v/>
      </c>
      <c r="F123" s="181" t="str">
        <f ca="1">IF(D123&lt;&gt;"",
IF(COUNTIF(C123,"*雙葉*"),
IF(ROUND((H123-M123)
/IF(COUNTIF(D123,"*キャラ*"),
VLOOKUP("*キャラ*",商品マスタ一覧!$D:$E,2,FALSE),
IF(COUNTIF(D123,"*赤*"),
VLOOKUP("*赤*",商品マスタ一覧!$D:$E,2,FALSE),
VLOOKUP("*"&amp;D123&amp;"*",商品マスタ一覧!$D:$E,2,FALSE))),0)&lt;=0,1,
ROUND((H123-M123)
/IF(COUNTIF(D123,"*キャラ*"),
VLOOKUP("*キャラ*",商品マスタ一覧!$D:$E,2,FALSE),
IF(COUNTIF(D123,"*赤*"),
VLOOKUP("*赤*",商品マスタ一覧!$D:$E,2,FALSE),
VLOOKUP("*"&amp;D123&amp;"*",商品マスタ一覧!$D:$E,2,FALSE))),0)),
IF(OR(COUNTIF(D123,"*キャラ*"),COUNTIF(D123,"*赤*")),"",
IF(VLOOKUP("*"&amp;D123&amp;"*",商品マスタ一覧!$D:$E,2,FALSE)=0,"",
IF(ROUND((H123-M123)
/VLOOKUP("*"&amp;D123&amp;"*",商品マスタ一覧!$D:$E,2,FALSE),0)&lt;=0,1,
ROUND((H123-M123)
/VLOOKUP("*"&amp;D123&amp;"*",商品マスタ一覧!$D:$E,2,FALSE),0))))),"")</f>
        <v/>
      </c>
      <c r="G123" s="180" t="str">
        <f ca="1">IF(F123&lt;&gt;"",
IF(VALUE(H123-M123)&gt;VALUE(IF(COUNTIF(D123,"*キャラ*"),
VLOOKUP("*キャラ*",商品マスタ一覧!$D:$E,2,FALSE),
IF(COUNTIF(D123,"*赤*"),
VLOOKUP("*赤*",商品マスタ一覧!$D:$E,2,FALSE),
VLOOKUP("*"&amp;D123&amp;"*",商品マスタ一覧!$D:$E,2,FALSE)))*F123),
"+"&amp;(H123-M123)-IF(COUNTIF(D123,"*キャラ*"),
VLOOKUP("*キャラ*",商品マスタ一覧!$D:$E,2,FALSE),
IF(COUNTIF(D123,"*赤*"),
VLOOKUP("*赤*",商品マスタ一覧!$D:$E,2,FALSE),
VLOOKUP("*"&amp;D123&amp;"*",商品マスタ一覧!$D:$E,2,FALSE)))*F123,
(H123-M123)-IF(COUNTIF(D123,"*キャラ*"),
VLOOKUP("*キャラ*",商品マスタ一覧!$D:$E,2,FALSE),
IF(COUNTIF(D123,"*赤*"),
VLOOKUP("*赤*",商品マスタ一覧!$D:$E,2,FALSE),
VLOOKUP("*"&amp;D123&amp;"*",商品マスタ一覧!$D:$E,2,FALSE)))*F123),"")</f>
        <v/>
      </c>
      <c r="H123" s="182" t="str">
        <f>IF(C123&lt;&gt;"",
クライアント抽出!C53,"")</f>
        <v/>
      </c>
      <c r="I123" s="180" t="str">
        <f t="array" aca="1" ref="I123" ca="1">IF(C123&lt;&gt;"",
IF(O123=1,
IF(SUMPRODUCT(COUNTIF(クライアント抽出!P53:U53,クライアント抽出!P53:U53))&gt;COUNTA(クライアント抽出!P53:U53),
INDIRECT("数出表_Excel!"&amp;INDEX(_xlfn.UNIQUE(_xlfn._xlws.FILTER(クライアント抽出!P53:U53,COUNTIF(クライアント抽出!P53:U53,クライアント抽出!P53:U53)=1)),1)&amp;L123&amp;""),
0),クライアント抽出!F53),"")</f>
        <v/>
      </c>
      <c r="J123" s="180" t="str">
        <f>IF(C123&lt;&gt;"",
VLOOKUP(
"*"&amp;LEFT(IF(COUNTIF(D123,"*学食*"),"キャラ弁（学食）",
IF(COUNTIF(D123,"*赤*"),"赤",
IF(COUNTIF(D123,"*キャラ弁当*"),"キャラ弁当",D123))),4)&amp;"*",注文弁当の抽出!$E$1:$F$15,2,FALSE),"")</f>
        <v/>
      </c>
      <c r="K123" s="180" t="str">
        <f ca="1">IF(クライアント抽出!Q53&lt;&gt;"",SUBSTITUTE(ADDRESS(1,(CODE(クライアント抽出!Q53)-64)*2-1,4),"1",""),"")</f>
        <v/>
      </c>
      <c r="L123" s="180" t="str">
        <f>IF(C53&lt;&gt;"",クライアント抽出!I53,"")</f>
        <v/>
      </c>
      <c r="M123" s="180">
        <f t="array" aca="1" ref="M123" ca="1">IF(C123&lt;&gt;"",
IF(K123&lt;&gt;"",INDIRECT("'数出表_Excel（アレルギー入力）'!"&amp;K123&amp;L123-1&amp;""),),)</f>
        <v>0</v>
      </c>
      <c r="N123" s="180" t="str">
        <f>IF(C123&lt;&gt;"",IF(OR(COUNTIF('盛付札（関数）'!D123,"*赤*"),COUNTIF('盛付札（関数）'!D123,"*キャラ*")),1,
VLOOKUP("*"&amp;D123&amp;"*",商品マスタ一覧!D:H,5,FALSE)),"")</f>
        <v/>
      </c>
      <c r="O123" s="180">
        <f t="shared" ca="1" si="47"/>
        <v>0</v>
      </c>
      <c r="P123" s="180">
        <f t="shared" si="23"/>
        <v>0</v>
      </c>
      <c r="Q123" s="180" t="b">
        <f t="shared" si="24"/>
        <v>0</v>
      </c>
      <c r="R123" s="51" t="str">
        <f t="array" aca="1" ref="R123" ca="1">IFERROR(SMALL(IF(P$1:P$307&lt;&gt;0,P$1:P$307),ROW(A123)),"")</f>
        <v/>
      </c>
      <c r="S123" s="51" t="str">
        <f t="array" aca="1" ref="S123" ca="1">IF($R123&lt;&gt;"",
SUBSTITUTE(SUBSTITUTE(INDIRECT("C"&amp;$R123&amp;"")," 週3ｺｰｽ","")," 週5ｺｰｽ",""),"")</f>
        <v/>
      </c>
      <c r="T123" s="51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91" t="str">
        <f t="array" aca="1" ref="U123" ca="1">IF($R123&lt;&gt;"",
INDIRECT("F"&amp;$R123&amp;""),"")</f>
        <v/>
      </c>
      <c r="V123" s="51" t="str">
        <f t="array" aca="1" ref="V123" ca="1">IF($R123&lt;&gt;"",
INDIRECT("G"&amp;$R123&amp;""),"")</f>
        <v/>
      </c>
      <c r="W123" s="51" t="str">
        <f t="array" aca="1" ref="W123" ca="1">IF($R123&lt;&gt;"",
IF(AND(COUNTIF(INDIRECT("B"&amp;R123&amp;""),"*雙葉*"),COUNTIF(B:B,"*雙葉*")&gt;=2),
IF(OR(COUNTIF(INDIRECT("B"&amp;R123&amp;""),"*雙葉先生*"),COUNTIF($B$1:$B$70,"*雙葉*")&gt;=2),INDIRECT("H"&amp;R123&amp;""),INDIRECT("H"&amp;R123&amp;"")+INDIRECT("H"&amp;MATCH("雙葉'",INDIRECT("B"&amp;R123+3&amp;":B210"),0)+2+R123&amp;"")),
IF(AND(LEFT(INDIRECT("B"&amp;R123&amp;""),2)="博多",COUNTIF(B:B,"*博多*")&gt;=2),
INDIRECT("H"&amp;R123&amp;"")+INDIRECT("H"&amp;MATCH("*"&amp;INDIRECT("B"&amp;R123&amp;"")&amp;"*",INDIRECT("B"&amp;R123+1&amp;":B210"),0)+R123&amp;""),
IF(AND(LEFT(INDIRECT("B"&amp;R123&amp;""),3)="奈良屋",COUNTIF(B:B,"*奈良屋*")&gt;=2),
INDIRECT("H"&amp;R123&amp;"")+INDIRECT("H"&amp;MATCH("*"&amp;INDIRECT("B"&amp;R123&amp;"")&amp;"*",INDIRECT("B"&amp;R123+1&amp;":B210"),0)+R123&amp;"")
+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INDIRECT("H"&amp;R123&amp;"")))),"")</f>
        <v/>
      </c>
      <c r="X123" s="51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51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51" t="str">
        <f t="shared" ca="1" si="25"/>
        <v/>
      </c>
      <c r="AA123" s="51" t="str">
        <f t="shared" ca="1" si="26"/>
        <v/>
      </c>
      <c r="AB123" s="51" t="str">
        <f t="array" aca="1" ref="AB123" ca="1">IF($R123&lt;&gt;"",
IF(AND(COUNTIF(INDIRECT("B"&amp;R123&amp;""),"*雙葉*"),COUNTIF(B:B,"*雙葉*")&gt;=2),
INDIRECT("M"&amp;R123&amp;"")+INDIRECT("M"&amp;MATCH("雙葉'",INDIRECT("B"&amp;R123+1&amp;":B210"),0)+R123&amp;""),
IF(AND(LEFT(INDIRECT("B"&amp;R123&amp;""),2)="博多",COUNTIF(B:B,"*博多*")&gt;=2),
INDIRECT("M"&amp;R123&amp;"")+INDIRECT("M"&amp;MATCH("*"&amp;INDIRECT("B"&amp;R123&amp;"")&amp;"*",INDIRECT("B"&amp;R123+1&amp;":B210"),0)+R123&amp;""),
IF(AND(LEFT(INDIRECT("B"&amp;R123&amp;""),3)="奈良屋",COUNTIF(B:B,"*奈良屋*")&gt;=2),
INDIRECT("M"&amp;R123&amp;"")+INDIRECT("M"&amp;MATCH("*"&amp;INDIRECT("B"&amp;R123&amp;"")&amp;"*",INDIRECT("B"&amp;R123+1&amp;":B210"),0)+R123&amp;"")
+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INDIRECT("M"&amp;R123&amp;"")))),"")</f>
        <v/>
      </c>
      <c r="AC123" s="51" t="str">
        <f t="shared" ca="1" si="27"/>
        <v/>
      </c>
      <c r="AD123" s="51" t="str">
        <f t="shared" ca="1" si="28"/>
        <v/>
      </c>
      <c r="AE123" s="51" t="str">
        <f t="shared" ca="1" si="29"/>
        <v/>
      </c>
      <c r="AF123" s="51" t="str">
        <f t="shared" ca="1" si="30"/>
        <v/>
      </c>
      <c r="AG123" s="51" t="str">
        <f t="shared" ca="1" si="31"/>
        <v/>
      </c>
      <c r="AH123" s="191" t="str">
        <f t="shared" ca="1" si="32"/>
        <v/>
      </c>
      <c r="AI123" s="51" t="str">
        <f t="shared" ca="1" si="33"/>
        <v/>
      </c>
      <c r="AJ123" s="51" t="str">
        <f t="shared" ca="1" si="34"/>
        <v/>
      </c>
      <c r="AK123" s="51" t="str">
        <f t="shared" ca="1" si="35"/>
        <v/>
      </c>
      <c r="AL123" s="51" t="str">
        <f t="shared" ca="1" si="36"/>
        <v/>
      </c>
      <c r="AM123" s="51" t="str">
        <f t="shared" ca="1" si="37"/>
        <v/>
      </c>
      <c r="AN123" s="51" t="str">
        <f t="shared" ca="1" si="38"/>
        <v/>
      </c>
      <c r="AO123" s="51" t="str">
        <f t="shared" ca="1" si="39"/>
        <v/>
      </c>
      <c r="AP123" s="51" t="str">
        <f t="shared" ca="1" si="40"/>
        <v/>
      </c>
      <c r="AU123" s="51" t="str">
        <f t="shared" ca="1" si="41"/>
        <v/>
      </c>
    </row>
    <row r="124" spans="1:47" ht="22.2" customHeight="1">
      <c r="A124" s="179">
        <f t="shared" si="48"/>
        <v>113</v>
      </c>
      <c r="B124" s="180" t="str">
        <f t="shared" ca="1" si="46"/>
        <v/>
      </c>
      <c r="C124" s="180" t="str">
        <f>IF(OR(クライアント抽出!C54&lt;&gt;"",クライアント抽出!F54&lt;&gt;""),クライアント抽出!A54,"")</f>
        <v/>
      </c>
      <c r="D124" s="180" t="str">
        <f t="array" aca="1" ref="D124" ca="1">IF(C124&lt;&gt;"",INDIRECT("クライアント抽出!"&amp;E124&amp;MATCH(C124,クライアント抽出!A:A,0)&amp;""),"")</f>
        <v/>
      </c>
      <c r="E124" s="180" t="str">
        <f>IF(H124&lt;&gt;0,
IFERROR(
SUBSTITUTE(ADDRESS(1,
MATCH(VALUE(H124),クライアント抽出!A54:G54,0)+8,4),"1",""),
""),
IFERROR(
SUBSTITUTE(ADDRESS(1,
MATCH(VALUE(I124),クライアント抽出!A54:G54,0)+8,4),"1",""),
""))</f>
        <v/>
      </c>
      <c r="F124" s="181" t="str">
        <f ca="1">IF(D124&lt;&gt;"",
IF(COUNTIF(C124,"*雙葉*"),
IF(ROUND((H124-M124)
/IF(COUNTIF(D124,"*キャラ*"),
VLOOKUP("*キャラ*",商品マスタ一覧!$D:$E,2,FALSE),
IF(COUNTIF(D124,"*赤*"),
VLOOKUP("*赤*",商品マスタ一覧!$D:$E,2,FALSE),
VLOOKUP("*"&amp;D124&amp;"*",商品マスタ一覧!$D:$E,2,FALSE))),0)&lt;=0,1,
ROUND((H124-M124)
/IF(COUNTIF(D124,"*キャラ*"),
VLOOKUP("*キャラ*",商品マスタ一覧!$D:$E,2,FALSE),
IF(COUNTIF(D124,"*赤*"),
VLOOKUP("*赤*",商品マスタ一覧!$D:$E,2,FALSE),
VLOOKUP("*"&amp;D124&amp;"*",商品マスタ一覧!$D:$E,2,FALSE))),0)),
IF(OR(COUNTIF(D124,"*キャラ*"),COUNTIF(D124,"*赤*")),"",
IF(VLOOKUP("*"&amp;D124&amp;"*",商品マスタ一覧!$D:$E,2,FALSE)=0,"",
IF(ROUND((H124-M124)
/VLOOKUP("*"&amp;D124&amp;"*",商品マスタ一覧!$D:$E,2,FALSE),0)&lt;=0,1,
ROUND((H124-M124)
/VLOOKUP("*"&amp;D124&amp;"*",商品マスタ一覧!$D:$E,2,FALSE),0))))),"")</f>
        <v/>
      </c>
      <c r="G124" s="180" t="str">
        <f ca="1">IF(F124&lt;&gt;"",
IF(VALUE(H124-M124)&gt;VALUE(IF(COUNTIF(D124,"*キャラ*"),
VLOOKUP("*キャラ*",商品マスタ一覧!$D:$E,2,FALSE),
IF(COUNTIF(D124,"*赤*"),
VLOOKUP("*赤*",商品マスタ一覧!$D:$E,2,FALSE),
VLOOKUP("*"&amp;D124&amp;"*",商品マスタ一覧!$D:$E,2,FALSE)))*F124),
"+"&amp;(H124-M124)-IF(COUNTIF(D124,"*キャラ*"),
VLOOKUP("*キャラ*",商品マスタ一覧!$D:$E,2,FALSE),
IF(COUNTIF(D124,"*赤*"),
VLOOKUP("*赤*",商品マスタ一覧!$D:$E,2,FALSE),
VLOOKUP("*"&amp;D124&amp;"*",商品マスタ一覧!$D:$E,2,FALSE)))*F124,
(H124-M124)-IF(COUNTIF(D124,"*キャラ*"),
VLOOKUP("*キャラ*",商品マスタ一覧!$D:$E,2,FALSE),
IF(COUNTIF(D124,"*赤*"),
VLOOKUP("*赤*",商品マスタ一覧!$D:$E,2,FALSE),
VLOOKUP("*"&amp;D124&amp;"*",商品マスタ一覧!$D:$E,2,FALSE)))*F124),"")</f>
        <v/>
      </c>
      <c r="H124" s="182" t="str">
        <f>IF(C124&lt;&gt;"",
クライアント抽出!C54,"")</f>
        <v/>
      </c>
      <c r="I124" s="180" t="str">
        <f t="array" aca="1" ref="I124" ca="1">IF(C124&lt;&gt;"",
IF(O124=1,
IF(SUMPRODUCT(COUNTIF(クライアント抽出!P54:U54,クライアント抽出!P54:U54))&gt;COUNTA(クライアント抽出!P54:U54),
INDIRECT("数出表_Excel!"&amp;INDEX(_xlfn.UNIQUE(_xlfn._xlws.FILTER(クライアント抽出!P54:U54,COUNTIF(クライアント抽出!P54:U54,クライアント抽出!P54:U54)=1)),1)&amp;L124&amp;""),
0),クライアント抽出!F54),"")</f>
        <v/>
      </c>
      <c r="J124" s="180" t="str">
        <f>IF(C124&lt;&gt;"",
VLOOKUP(
"*"&amp;LEFT(IF(COUNTIF(D124,"*学食*"),"キャラ弁（学食）",
IF(COUNTIF(D124,"*赤*"),"赤",
IF(COUNTIF(D124,"*キャラ弁当*"),"キャラ弁当",D124))),4)&amp;"*",注文弁当の抽出!$E$1:$F$15,2,FALSE),"")</f>
        <v/>
      </c>
      <c r="K124" s="180" t="str">
        <f ca="1">IF(クライアント抽出!Q54&lt;&gt;"",SUBSTITUTE(ADDRESS(1,(CODE(クライアント抽出!Q54)-64)*2-1,4),"1",""),"")</f>
        <v/>
      </c>
      <c r="L124" s="180" t="str">
        <f>IF(C54&lt;&gt;"",クライアント抽出!I54,"")</f>
        <v/>
      </c>
      <c r="M124" s="180">
        <f t="array" aca="1" ref="M124" ca="1">IF(C124&lt;&gt;"",
IF(K124&lt;&gt;"",INDIRECT("'数出表_Excel（アレルギー入力）'!"&amp;K124&amp;L124-1&amp;""),),)</f>
        <v>0</v>
      </c>
      <c r="N124" s="180" t="str">
        <f>IF(C124&lt;&gt;"",IF(OR(COUNTIF('盛付札（関数）'!D124,"*赤*"),COUNTIF('盛付札（関数）'!D124,"*キャラ*")),1,
VLOOKUP("*"&amp;D124&amp;"*",商品マスタ一覧!D:H,5,FALSE)),"")</f>
        <v/>
      </c>
      <c r="O124" s="180">
        <f t="shared" ca="1" si="47"/>
        <v>0</v>
      </c>
      <c r="P124" s="180">
        <f t="shared" si="23"/>
        <v>0</v>
      </c>
      <c r="Q124" s="180" t="b">
        <f t="shared" si="24"/>
        <v>0</v>
      </c>
      <c r="R124" s="51" t="str">
        <f t="array" aca="1" ref="R124" ca="1">IFERROR(SMALL(IF(P$1:P$307&lt;&gt;0,P$1:P$307),ROW(A124)),"")</f>
        <v/>
      </c>
      <c r="S124" s="51" t="str">
        <f t="array" aca="1" ref="S124" ca="1">IF($R124&lt;&gt;"",
SUBSTITUTE(SUBSTITUTE(INDIRECT("C"&amp;$R124&amp;"")," 週3ｺｰｽ","")," 週5ｺｰｽ",""),"")</f>
        <v/>
      </c>
      <c r="T124" s="51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91" t="str">
        <f t="array" aca="1" ref="U124" ca="1">IF($R124&lt;&gt;"",
INDIRECT("F"&amp;$R124&amp;""),"")</f>
        <v/>
      </c>
      <c r="V124" s="51" t="str">
        <f t="array" aca="1" ref="V124" ca="1">IF($R124&lt;&gt;"",
INDIRECT("G"&amp;$R124&amp;""),"")</f>
        <v/>
      </c>
      <c r="W124" s="51" t="str">
        <f t="array" aca="1" ref="W124" ca="1">IF($R124&lt;&gt;"",
IF(AND(COUNTIF(INDIRECT("B"&amp;R124&amp;""),"*雙葉*"),COUNTIF(B:B,"*雙葉*")&gt;=2),
IF(OR(COUNTIF(INDIRECT("B"&amp;R124&amp;""),"*雙葉先生*"),COUNTIF($B$1:$B$70,"*雙葉*")&gt;=2),INDIRECT("H"&amp;R124&amp;""),INDIRECT("H"&amp;R124&amp;"")+INDIRECT("H"&amp;MATCH("雙葉'",INDIRECT("B"&amp;R124+3&amp;":B210"),0)+2+R124&amp;"")),
IF(AND(LEFT(INDIRECT("B"&amp;R124&amp;""),2)="博多",COUNTIF(B:B,"*博多*")&gt;=2),
INDIRECT("H"&amp;R124&amp;"")+INDIRECT("H"&amp;MATCH("*"&amp;INDIRECT("B"&amp;R124&amp;"")&amp;"*",INDIRECT("B"&amp;R124+1&amp;":B210"),0)+R124&amp;""),
IF(AND(LEFT(INDIRECT("B"&amp;R124&amp;""),3)="奈良屋",COUNTIF(B:B,"*奈良屋*")&gt;=2),
INDIRECT("H"&amp;R124&amp;"")+INDIRECT("H"&amp;MATCH("*"&amp;INDIRECT("B"&amp;R124&amp;"")&amp;"*",INDIRECT("B"&amp;R124+1&amp;":B210"),0)+R124&amp;"")
+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INDIRECT("H"&amp;R124&amp;"")))),"")</f>
        <v/>
      </c>
      <c r="X124" s="51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51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51" t="str">
        <f t="shared" ca="1" si="25"/>
        <v/>
      </c>
      <c r="AA124" s="51" t="str">
        <f t="shared" ca="1" si="26"/>
        <v/>
      </c>
      <c r="AB124" s="51" t="str">
        <f t="array" aca="1" ref="AB124" ca="1">IF($R124&lt;&gt;"",
IF(AND(COUNTIF(INDIRECT("B"&amp;R124&amp;""),"*雙葉*"),COUNTIF(B:B,"*雙葉*")&gt;=2),
INDIRECT("M"&amp;R124&amp;"")+INDIRECT("M"&amp;MATCH("雙葉'",INDIRECT("B"&amp;R124+1&amp;":B210"),0)+R124&amp;""),
IF(AND(LEFT(INDIRECT("B"&amp;R124&amp;""),2)="博多",COUNTIF(B:B,"*博多*")&gt;=2),
INDIRECT("M"&amp;R124&amp;"")+INDIRECT("M"&amp;MATCH("*"&amp;INDIRECT("B"&amp;R124&amp;"")&amp;"*",INDIRECT("B"&amp;R124+1&amp;":B210"),0)+R124&amp;""),
IF(AND(LEFT(INDIRECT("B"&amp;R124&amp;""),3)="奈良屋",COUNTIF(B:B,"*奈良屋*")&gt;=2),
INDIRECT("M"&amp;R124&amp;"")+INDIRECT("M"&amp;MATCH("*"&amp;INDIRECT("B"&amp;R124&amp;"")&amp;"*",INDIRECT("B"&amp;R124+1&amp;":B210"),0)+R124&amp;"")
+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INDIRECT("M"&amp;R124&amp;"")))),"")</f>
        <v/>
      </c>
      <c r="AC124" s="51" t="str">
        <f t="shared" ca="1" si="27"/>
        <v/>
      </c>
      <c r="AD124" s="51" t="str">
        <f t="shared" ca="1" si="28"/>
        <v/>
      </c>
      <c r="AE124" s="51" t="str">
        <f t="shared" ca="1" si="29"/>
        <v/>
      </c>
      <c r="AF124" s="51" t="str">
        <f t="shared" ca="1" si="30"/>
        <v/>
      </c>
      <c r="AG124" s="51" t="str">
        <f t="shared" ca="1" si="31"/>
        <v/>
      </c>
      <c r="AH124" s="191" t="str">
        <f t="shared" ca="1" si="32"/>
        <v/>
      </c>
      <c r="AI124" s="51" t="str">
        <f t="shared" ca="1" si="33"/>
        <v/>
      </c>
      <c r="AJ124" s="51" t="str">
        <f t="shared" ca="1" si="34"/>
        <v/>
      </c>
      <c r="AK124" s="51" t="str">
        <f t="shared" ca="1" si="35"/>
        <v/>
      </c>
      <c r="AL124" s="51" t="str">
        <f t="shared" ca="1" si="36"/>
        <v/>
      </c>
      <c r="AM124" s="51" t="str">
        <f t="shared" ca="1" si="37"/>
        <v/>
      </c>
      <c r="AN124" s="51" t="str">
        <f t="shared" ca="1" si="38"/>
        <v/>
      </c>
      <c r="AO124" s="51" t="str">
        <f t="shared" ca="1" si="39"/>
        <v/>
      </c>
      <c r="AP124" s="51" t="str">
        <f t="shared" ca="1" si="40"/>
        <v/>
      </c>
      <c r="AU124" s="51" t="str">
        <f t="shared" ca="1" si="41"/>
        <v/>
      </c>
    </row>
    <row r="125" spans="1:47" ht="22.2" customHeight="1">
      <c r="A125" s="179">
        <f t="shared" si="48"/>
        <v>115</v>
      </c>
      <c r="B125" s="180" t="str">
        <f t="shared" ca="1" si="46"/>
        <v/>
      </c>
      <c r="C125" s="180" t="str">
        <f>IF(OR(クライアント抽出!C55&lt;&gt;"",クライアント抽出!F55&lt;&gt;""),クライアント抽出!A55,"")</f>
        <v/>
      </c>
      <c r="D125" s="180" t="str">
        <f t="array" aca="1" ref="D125" ca="1">IF(C125&lt;&gt;"",INDIRECT("クライアント抽出!"&amp;E125&amp;MATCH(C125,クライアント抽出!A:A,0)&amp;""),"")</f>
        <v/>
      </c>
      <c r="E125" s="180" t="str">
        <f>IF(H125&lt;&gt;0,
IFERROR(
SUBSTITUTE(ADDRESS(1,
MATCH(VALUE(H125),クライアント抽出!A55:G55,0)+8,4),"1",""),
""),
IFERROR(
SUBSTITUTE(ADDRESS(1,
MATCH(VALUE(I125),クライアント抽出!A55:G55,0)+8,4),"1",""),
""))</f>
        <v/>
      </c>
      <c r="F125" s="181" t="str">
        <f ca="1">IF(D125&lt;&gt;"",
IF(COUNTIF(C125,"*雙葉*"),
IF(ROUND((H125-M125)
/IF(COUNTIF(D125,"*キャラ*"),
VLOOKUP("*キャラ*",商品マスタ一覧!$D:$E,2,FALSE),
IF(COUNTIF(D125,"*赤*"),
VLOOKUP("*赤*",商品マスタ一覧!$D:$E,2,FALSE),
VLOOKUP("*"&amp;D125&amp;"*",商品マスタ一覧!$D:$E,2,FALSE))),0)&lt;=0,1,
ROUND((H125-M125)
/IF(COUNTIF(D125,"*キャラ*"),
VLOOKUP("*キャラ*",商品マスタ一覧!$D:$E,2,FALSE),
IF(COUNTIF(D125,"*赤*"),
VLOOKUP("*赤*",商品マスタ一覧!$D:$E,2,FALSE),
VLOOKUP("*"&amp;D125&amp;"*",商品マスタ一覧!$D:$E,2,FALSE))),0)),
IF(OR(COUNTIF(D125,"*キャラ*"),COUNTIF(D125,"*赤*")),"",
IF(VLOOKUP("*"&amp;D125&amp;"*",商品マスタ一覧!$D:$E,2,FALSE)=0,"",
IF(ROUND((H125-M125)
/VLOOKUP("*"&amp;D125&amp;"*",商品マスタ一覧!$D:$E,2,FALSE),0)&lt;=0,1,
ROUND((H125-M125)
/VLOOKUP("*"&amp;D125&amp;"*",商品マスタ一覧!$D:$E,2,FALSE),0))))),"")</f>
        <v/>
      </c>
      <c r="G125" s="180" t="str">
        <f ca="1">IF(F125&lt;&gt;"",
IF(VALUE(H125-M125)&gt;VALUE(IF(COUNTIF(D125,"*キャラ*"),
VLOOKUP("*キャラ*",商品マスタ一覧!$D:$E,2,FALSE),
IF(COUNTIF(D125,"*赤*"),
VLOOKUP("*赤*",商品マスタ一覧!$D:$E,2,FALSE),
VLOOKUP("*"&amp;D125&amp;"*",商品マスタ一覧!$D:$E,2,FALSE)))*F125),
"+"&amp;(H125-M125)-IF(COUNTIF(D125,"*キャラ*"),
VLOOKUP("*キャラ*",商品マスタ一覧!$D:$E,2,FALSE),
IF(COUNTIF(D125,"*赤*"),
VLOOKUP("*赤*",商品マスタ一覧!$D:$E,2,FALSE),
VLOOKUP("*"&amp;D125&amp;"*",商品マスタ一覧!$D:$E,2,FALSE)))*F125,
(H125-M125)-IF(COUNTIF(D125,"*キャラ*"),
VLOOKUP("*キャラ*",商品マスタ一覧!$D:$E,2,FALSE),
IF(COUNTIF(D125,"*赤*"),
VLOOKUP("*赤*",商品マスタ一覧!$D:$E,2,FALSE),
VLOOKUP("*"&amp;D125&amp;"*",商品マスタ一覧!$D:$E,2,FALSE)))*F125),"")</f>
        <v/>
      </c>
      <c r="H125" s="182" t="str">
        <f>IF(C125&lt;&gt;"",
クライアント抽出!C55,"")</f>
        <v/>
      </c>
      <c r="I125" s="180" t="str">
        <f t="array" aca="1" ref="I125" ca="1">IF(C125&lt;&gt;"",
IF(O125=1,
IF(SUMPRODUCT(COUNTIF(クライアント抽出!P55:U55,クライアント抽出!P55:U55))&gt;COUNTA(クライアント抽出!P55:U55),
INDIRECT("数出表_Excel!"&amp;INDEX(_xlfn.UNIQUE(_xlfn._xlws.FILTER(クライアント抽出!P55:U55,COUNTIF(クライアント抽出!P55:U55,クライアント抽出!P55:U55)=1)),1)&amp;L125&amp;""),
0),クライアント抽出!F55),"")</f>
        <v/>
      </c>
      <c r="J125" s="180" t="str">
        <f>IF(C125&lt;&gt;"",
VLOOKUP(
"*"&amp;LEFT(IF(COUNTIF(D125,"*学食*"),"キャラ弁（学食）",
IF(COUNTIF(D125,"*赤*"),"赤",
IF(COUNTIF(D125,"*キャラ弁当*"),"キャラ弁当",D125))),4)&amp;"*",注文弁当の抽出!$E$1:$F$15,2,FALSE),"")</f>
        <v/>
      </c>
      <c r="K125" s="180" t="str">
        <f ca="1">IF(クライアント抽出!Q55&lt;&gt;"",SUBSTITUTE(ADDRESS(1,(CODE(クライアント抽出!Q55)-64)*2-1,4),"1",""),"")</f>
        <v/>
      </c>
      <c r="L125" s="180" t="str">
        <f>IF(C55&lt;&gt;"",クライアント抽出!I55,"")</f>
        <v/>
      </c>
      <c r="M125" s="180">
        <f t="array" aca="1" ref="M125" ca="1">IF(C125&lt;&gt;"",
IF(K125&lt;&gt;"",INDIRECT("'数出表_Excel（アレルギー入力）'!"&amp;K125&amp;L125-1&amp;""),),)</f>
        <v>0</v>
      </c>
      <c r="N125" s="180" t="str">
        <f>IF(C125&lt;&gt;"",IF(OR(COUNTIF('盛付札（関数）'!D125,"*赤*"),COUNTIF('盛付札（関数）'!D125,"*キャラ*")),1,
VLOOKUP("*"&amp;D125&amp;"*",商品マスタ一覧!D:H,5,FALSE)),"")</f>
        <v/>
      </c>
      <c r="O125" s="180">
        <f t="shared" ca="1" si="47"/>
        <v>0</v>
      </c>
      <c r="P125" s="180">
        <f t="shared" si="23"/>
        <v>0</v>
      </c>
      <c r="Q125" s="180" t="b">
        <f t="shared" si="24"/>
        <v>0</v>
      </c>
      <c r="R125" s="51" t="str">
        <f t="array" aca="1" ref="R125" ca="1">IFERROR(SMALL(IF(P$1:P$307&lt;&gt;0,P$1:P$307),ROW(A125)),"")</f>
        <v/>
      </c>
      <c r="S125" s="51" t="str">
        <f t="array" aca="1" ref="S125" ca="1">IF($R125&lt;&gt;"",
SUBSTITUTE(SUBSTITUTE(INDIRECT("C"&amp;$R125&amp;"")," 週3ｺｰｽ","")," 週5ｺｰｽ",""),"")</f>
        <v/>
      </c>
      <c r="T125" s="51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91" t="str">
        <f t="array" aca="1" ref="U125" ca="1">IF($R125&lt;&gt;"",
INDIRECT("F"&amp;$R125&amp;""),"")</f>
        <v/>
      </c>
      <c r="V125" s="51" t="str">
        <f t="array" aca="1" ref="V125" ca="1">IF($R125&lt;&gt;"",
INDIRECT("G"&amp;$R125&amp;""),"")</f>
        <v/>
      </c>
      <c r="W125" s="51" t="str">
        <f t="array" aca="1" ref="W125" ca="1">IF($R125&lt;&gt;"",
IF(AND(COUNTIF(INDIRECT("B"&amp;R125&amp;""),"*雙葉*"),COUNTIF(B:B,"*雙葉*")&gt;=2),
IF(OR(COUNTIF(INDIRECT("B"&amp;R125&amp;""),"*雙葉先生*"),COUNTIF($B$1:$B$70,"*雙葉*")&gt;=2),INDIRECT("H"&amp;R125&amp;""),INDIRECT("H"&amp;R125&amp;"")+INDIRECT("H"&amp;MATCH("雙葉'",INDIRECT("B"&amp;R125+3&amp;":B210"),0)+2+R125&amp;"")),
IF(AND(LEFT(INDIRECT("B"&amp;R125&amp;""),2)="博多",COUNTIF(B:B,"*博多*")&gt;=2),
INDIRECT("H"&amp;R125&amp;"")+INDIRECT("H"&amp;MATCH("*"&amp;INDIRECT("B"&amp;R125&amp;"")&amp;"*",INDIRECT("B"&amp;R125+1&amp;":B210"),0)+R125&amp;""),
IF(AND(LEFT(INDIRECT("B"&amp;R125&amp;""),3)="奈良屋",COUNTIF(B:B,"*奈良屋*")&gt;=2),
INDIRECT("H"&amp;R125&amp;"")+INDIRECT("H"&amp;MATCH("*"&amp;INDIRECT("B"&amp;R125&amp;"")&amp;"*",INDIRECT("B"&amp;R125+1&amp;":B210"),0)+R125&amp;"")
+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INDIRECT("H"&amp;R125&amp;"")))),"")</f>
        <v/>
      </c>
      <c r="X125" s="51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51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51" t="str">
        <f t="shared" ca="1" si="25"/>
        <v/>
      </c>
      <c r="AA125" s="51" t="str">
        <f t="shared" ca="1" si="26"/>
        <v/>
      </c>
      <c r="AB125" s="51" t="str">
        <f t="array" aca="1" ref="AB125" ca="1">IF($R125&lt;&gt;"",
IF(AND(COUNTIF(INDIRECT("B"&amp;R125&amp;""),"*雙葉*"),COUNTIF(B:B,"*雙葉*")&gt;=2),
INDIRECT("M"&amp;R125&amp;"")+INDIRECT("M"&amp;MATCH("雙葉'",INDIRECT("B"&amp;R125+1&amp;":B210"),0)+R125&amp;""),
IF(AND(LEFT(INDIRECT("B"&amp;R125&amp;""),2)="博多",COUNTIF(B:B,"*博多*")&gt;=2),
INDIRECT("M"&amp;R125&amp;"")+INDIRECT("M"&amp;MATCH("*"&amp;INDIRECT("B"&amp;R125&amp;"")&amp;"*",INDIRECT("B"&amp;R125+1&amp;":B210"),0)+R125&amp;""),
IF(AND(LEFT(INDIRECT("B"&amp;R125&amp;""),3)="奈良屋",COUNTIF(B:B,"*奈良屋*")&gt;=2),
INDIRECT("M"&amp;R125&amp;"")+INDIRECT("M"&amp;MATCH("*"&amp;INDIRECT("B"&amp;R125&amp;"")&amp;"*",INDIRECT("B"&amp;R125+1&amp;":B210"),0)+R125&amp;"")
+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INDIRECT("M"&amp;R125&amp;"")))),"")</f>
        <v/>
      </c>
      <c r="AC125" s="51" t="str">
        <f t="shared" ca="1" si="27"/>
        <v/>
      </c>
      <c r="AD125" s="51" t="str">
        <f t="shared" ca="1" si="28"/>
        <v/>
      </c>
      <c r="AE125" s="51" t="str">
        <f t="shared" ca="1" si="29"/>
        <v/>
      </c>
      <c r="AF125" s="51" t="str">
        <f t="shared" ca="1" si="30"/>
        <v/>
      </c>
      <c r="AG125" s="51" t="str">
        <f t="shared" ca="1" si="31"/>
        <v/>
      </c>
      <c r="AH125" s="191" t="str">
        <f t="shared" ca="1" si="32"/>
        <v/>
      </c>
      <c r="AI125" s="51" t="str">
        <f t="shared" ca="1" si="33"/>
        <v/>
      </c>
      <c r="AJ125" s="51" t="str">
        <f t="shared" ca="1" si="34"/>
        <v/>
      </c>
      <c r="AK125" s="51" t="str">
        <f t="shared" ca="1" si="35"/>
        <v/>
      </c>
      <c r="AL125" s="51" t="str">
        <f t="shared" ca="1" si="36"/>
        <v/>
      </c>
      <c r="AM125" s="51" t="str">
        <f t="shared" ca="1" si="37"/>
        <v/>
      </c>
      <c r="AN125" s="51" t="str">
        <f t="shared" ca="1" si="38"/>
        <v/>
      </c>
      <c r="AO125" s="51" t="str">
        <f t="shared" ca="1" si="39"/>
        <v/>
      </c>
      <c r="AP125" s="51" t="str">
        <f t="shared" ca="1" si="40"/>
        <v/>
      </c>
      <c r="AU125" s="51" t="str">
        <f t="shared" ca="1" si="41"/>
        <v/>
      </c>
    </row>
    <row r="126" spans="1:47" ht="22.2" customHeight="1">
      <c r="A126" s="179">
        <f t="shared" si="48"/>
        <v>117</v>
      </c>
      <c r="B126" s="180" t="str">
        <f t="shared" ca="1" si="46"/>
        <v/>
      </c>
      <c r="C126" s="180" t="str">
        <f>IF(OR(クライアント抽出!C56&lt;&gt;"",クライアント抽出!F56&lt;&gt;""),クライアント抽出!A56,"")</f>
        <v/>
      </c>
      <c r="D126" s="180" t="str">
        <f t="array" aca="1" ref="D126" ca="1">IF(C126&lt;&gt;"",INDIRECT("クライアント抽出!"&amp;E126&amp;MATCH(C126,クライアント抽出!A:A,0)&amp;""),"")</f>
        <v/>
      </c>
      <c r="E126" s="180" t="str">
        <f>IF(H126&lt;&gt;0,
IFERROR(
SUBSTITUTE(ADDRESS(1,
MATCH(VALUE(H126),クライアント抽出!A56:G56,0)+8,4),"1",""),
""),
IFERROR(
SUBSTITUTE(ADDRESS(1,
MATCH(VALUE(I126),クライアント抽出!A56:G56,0)+8,4),"1",""),
""))</f>
        <v/>
      </c>
      <c r="F126" s="181" t="str">
        <f ca="1">IF(D126&lt;&gt;"",
IF(COUNTIF(C126,"*雙葉*"),
IF(ROUND((H126-M126)
/IF(COUNTIF(D126,"*キャラ*"),
VLOOKUP("*キャラ*",商品マスタ一覧!$D:$E,2,FALSE),
IF(COUNTIF(D126,"*赤*"),
VLOOKUP("*赤*",商品マスタ一覧!$D:$E,2,FALSE),
VLOOKUP("*"&amp;D126&amp;"*",商品マスタ一覧!$D:$E,2,FALSE))),0)&lt;=0,1,
ROUND((H126-M126)
/IF(COUNTIF(D126,"*キャラ*"),
VLOOKUP("*キャラ*",商品マスタ一覧!$D:$E,2,FALSE),
IF(COUNTIF(D126,"*赤*"),
VLOOKUP("*赤*",商品マスタ一覧!$D:$E,2,FALSE),
VLOOKUP("*"&amp;D126&amp;"*",商品マスタ一覧!$D:$E,2,FALSE))),0)),
IF(OR(COUNTIF(D126,"*キャラ*"),COUNTIF(D126,"*赤*")),"",
IF(VLOOKUP("*"&amp;D126&amp;"*",商品マスタ一覧!$D:$E,2,FALSE)=0,"",
IF(ROUND((H126-M126)
/VLOOKUP("*"&amp;D126&amp;"*",商品マスタ一覧!$D:$E,2,FALSE),0)&lt;=0,1,
ROUND((H126-M126)
/VLOOKUP("*"&amp;D126&amp;"*",商品マスタ一覧!$D:$E,2,FALSE),0))))),"")</f>
        <v/>
      </c>
      <c r="G126" s="180" t="str">
        <f ca="1">IF(F126&lt;&gt;"",
IF(VALUE(H126-M126)&gt;VALUE(IF(COUNTIF(D126,"*キャラ*"),
VLOOKUP("*キャラ*",商品マスタ一覧!$D:$E,2,FALSE),
IF(COUNTIF(D126,"*赤*"),
VLOOKUP("*赤*",商品マスタ一覧!$D:$E,2,FALSE),
VLOOKUP("*"&amp;D126&amp;"*",商品マスタ一覧!$D:$E,2,FALSE)))*F126),
"+"&amp;(H126-M126)-IF(COUNTIF(D126,"*キャラ*"),
VLOOKUP("*キャラ*",商品マスタ一覧!$D:$E,2,FALSE),
IF(COUNTIF(D126,"*赤*"),
VLOOKUP("*赤*",商品マスタ一覧!$D:$E,2,FALSE),
VLOOKUP("*"&amp;D126&amp;"*",商品マスタ一覧!$D:$E,2,FALSE)))*F126,
(H126-M126)-IF(COUNTIF(D126,"*キャラ*"),
VLOOKUP("*キャラ*",商品マスタ一覧!$D:$E,2,FALSE),
IF(COUNTIF(D126,"*赤*"),
VLOOKUP("*赤*",商品マスタ一覧!$D:$E,2,FALSE),
VLOOKUP("*"&amp;D126&amp;"*",商品マスタ一覧!$D:$E,2,FALSE)))*F126),"")</f>
        <v/>
      </c>
      <c r="H126" s="182" t="str">
        <f>IF(C126&lt;&gt;"",
クライアント抽出!C56,"")</f>
        <v/>
      </c>
      <c r="I126" s="180" t="str">
        <f t="array" aca="1" ref="I126" ca="1">IF(C126&lt;&gt;"",
IF(O126=1,
IF(SUMPRODUCT(COUNTIF(クライアント抽出!P56:U56,クライアント抽出!P56:U56))&gt;COUNTA(クライアント抽出!P56:U56),
INDIRECT("数出表_Excel!"&amp;INDEX(_xlfn.UNIQUE(_xlfn._xlws.FILTER(クライアント抽出!P56:U56,COUNTIF(クライアント抽出!P56:U56,クライアント抽出!P56:U56)=1)),1)&amp;L126&amp;""),
0),クライアント抽出!F56),"")</f>
        <v/>
      </c>
      <c r="J126" s="180" t="str">
        <f>IF(C126&lt;&gt;"",
VLOOKUP(
"*"&amp;LEFT(IF(COUNTIF(D126,"*学食*"),"キャラ弁（学食）",
IF(COUNTIF(D126,"*赤*"),"赤",
IF(COUNTIF(D126,"*キャラ弁当*"),"キャラ弁当",D126))),4)&amp;"*",注文弁当の抽出!$E$1:$F$15,2,FALSE),"")</f>
        <v/>
      </c>
      <c r="K126" s="180" t="str">
        <f ca="1">IF(クライアント抽出!Q56&lt;&gt;"",SUBSTITUTE(ADDRESS(1,(CODE(クライアント抽出!Q56)-64)*2-1,4),"1",""),"")</f>
        <v/>
      </c>
      <c r="L126" s="180" t="str">
        <f>IF(C56&lt;&gt;"",クライアント抽出!I56,"")</f>
        <v/>
      </c>
      <c r="M126" s="180">
        <f t="array" aca="1" ref="M126" ca="1">IF(C126&lt;&gt;"",
IF(K126&lt;&gt;"",INDIRECT("'数出表_Excel（アレルギー入力）'!"&amp;K126&amp;L126-1&amp;""),),)</f>
        <v>0</v>
      </c>
      <c r="N126" s="180" t="str">
        <f>IF(C126&lt;&gt;"",IF(OR(COUNTIF('盛付札（関数）'!D126,"*赤*"),COUNTIF('盛付札（関数）'!D126,"*キャラ*")),1,
VLOOKUP("*"&amp;D126&amp;"*",商品マスタ一覧!D:H,5,FALSE)),"")</f>
        <v/>
      </c>
      <c r="O126" s="180">
        <f t="shared" ca="1" si="47"/>
        <v>0</v>
      </c>
      <c r="P126" s="180">
        <f t="shared" si="23"/>
        <v>0</v>
      </c>
      <c r="Q126" s="180" t="b">
        <f t="shared" si="24"/>
        <v>0</v>
      </c>
      <c r="R126" s="51" t="str">
        <f t="array" aca="1" ref="R126" ca="1">IFERROR(SMALL(IF(P$1:P$307&lt;&gt;0,P$1:P$307),ROW(A126)),"")</f>
        <v/>
      </c>
      <c r="S126" s="51" t="str">
        <f t="array" aca="1" ref="S126" ca="1">IF($R126&lt;&gt;"",
SUBSTITUTE(SUBSTITUTE(INDIRECT("C"&amp;$R126&amp;"")," 週3ｺｰｽ","")," 週5ｺｰｽ",""),"")</f>
        <v/>
      </c>
      <c r="T126" s="51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91" t="str">
        <f t="array" aca="1" ref="U126" ca="1">IF($R126&lt;&gt;"",
INDIRECT("F"&amp;$R126&amp;""),"")</f>
        <v/>
      </c>
      <c r="V126" s="51" t="str">
        <f t="array" aca="1" ref="V126" ca="1">IF($R126&lt;&gt;"",
INDIRECT("G"&amp;$R126&amp;""),"")</f>
        <v/>
      </c>
      <c r="W126" s="51" t="str">
        <f t="array" aca="1" ref="W126" ca="1">IF($R126&lt;&gt;"",
IF(AND(COUNTIF(INDIRECT("B"&amp;R126&amp;""),"*雙葉*"),COUNTIF(B:B,"*雙葉*")&gt;=2),
IF(OR(COUNTIF(INDIRECT("B"&amp;R126&amp;""),"*雙葉先生*"),COUNTIF($B$1:$B$70,"*雙葉*")&gt;=2),INDIRECT("H"&amp;R126&amp;""),INDIRECT("H"&amp;R126&amp;"")+INDIRECT("H"&amp;MATCH("雙葉'",INDIRECT("B"&amp;R126+3&amp;":B210"),0)+2+R126&amp;"")),
IF(AND(LEFT(INDIRECT("B"&amp;R126&amp;""),2)="博多",COUNTIF(B:B,"*博多*")&gt;=2),
INDIRECT("H"&amp;R126&amp;"")+INDIRECT("H"&amp;MATCH("*"&amp;INDIRECT("B"&amp;R126&amp;"")&amp;"*",INDIRECT("B"&amp;R126+1&amp;":B210"),0)+R126&amp;""),
IF(AND(LEFT(INDIRECT("B"&amp;R126&amp;""),3)="奈良屋",COUNTIF(B:B,"*奈良屋*")&gt;=2),
INDIRECT("H"&amp;R126&amp;"")+INDIRECT("H"&amp;MATCH("*"&amp;INDIRECT("B"&amp;R126&amp;"")&amp;"*",INDIRECT("B"&amp;R126+1&amp;":B210"),0)+R126&amp;"")
+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INDIRECT("H"&amp;R126&amp;"")))),"")</f>
        <v/>
      </c>
      <c r="X126" s="51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51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51" t="str">
        <f t="shared" ca="1" si="25"/>
        <v/>
      </c>
      <c r="AA126" s="51" t="str">
        <f t="shared" ca="1" si="26"/>
        <v/>
      </c>
      <c r="AB126" s="51" t="str">
        <f t="array" aca="1" ref="AB126" ca="1">IF($R126&lt;&gt;"",
IF(AND(COUNTIF(INDIRECT("B"&amp;R126&amp;""),"*雙葉*"),COUNTIF(B:B,"*雙葉*")&gt;=2),
INDIRECT("M"&amp;R126&amp;"")+INDIRECT("M"&amp;MATCH("雙葉'",INDIRECT("B"&amp;R126+1&amp;":B210"),0)+R126&amp;""),
IF(AND(LEFT(INDIRECT("B"&amp;R126&amp;""),2)="博多",COUNTIF(B:B,"*博多*")&gt;=2),
INDIRECT("M"&amp;R126&amp;"")+INDIRECT("M"&amp;MATCH("*"&amp;INDIRECT("B"&amp;R126&amp;"")&amp;"*",INDIRECT("B"&amp;R126+1&amp;":B210"),0)+R126&amp;""),
IF(AND(LEFT(INDIRECT("B"&amp;R126&amp;""),3)="奈良屋",COUNTIF(B:B,"*奈良屋*")&gt;=2),
INDIRECT("M"&amp;R126&amp;"")+INDIRECT("M"&amp;MATCH("*"&amp;INDIRECT("B"&amp;R126&amp;"")&amp;"*",INDIRECT("B"&amp;R126+1&amp;":B210"),0)+R126&amp;"")
+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INDIRECT("M"&amp;R126&amp;"")))),"")</f>
        <v/>
      </c>
      <c r="AC126" s="51" t="str">
        <f t="shared" ca="1" si="27"/>
        <v/>
      </c>
      <c r="AD126" s="51" t="str">
        <f t="shared" ca="1" si="28"/>
        <v/>
      </c>
      <c r="AE126" s="51" t="str">
        <f t="shared" ca="1" si="29"/>
        <v/>
      </c>
      <c r="AF126" s="51" t="str">
        <f t="shared" ca="1" si="30"/>
        <v/>
      </c>
      <c r="AG126" s="51" t="str">
        <f t="shared" ca="1" si="31"/>
        <v/>
      </c>
      <c r="AH126" s="191" t="str">
        <f t="shared" ca="1" si="32"/>
        <v/>
      </c>
      <c r="AI126" s="51" t="str">
        <f t="shared" ca="1" si="33"/>
        <v/>
      </c>
      <c r="AJ126" s="51" t="str">
        <f t="shared" ca="1" si="34"/>
        <v/>
      </c>
      <c r="AK126" s="51" t="str">
        <f t="shared" ca="1" si="35"/>
        <v/>
      </c>
      <c r="AL126" s="51" t="str">
        <f t="shared" ca="1" si="36"/>
        <v/>
      </c>
      <c r="AM126" s="51" t="str">
        <f t="shared" ca="1" si="37"/>
        <v/>
      </c>
      <c r="AN126" s="51" t="str">
        <f t="shared" ca="1" si="38"/>
        <v/>
      </c>
      <c r="AO126" s="51" t="str">
        <f t="shared" ca="1" si="39"/>
        <v/>
      </c>
      <c r="AP126" s="51" t="str">
        <f t="shared" ca="1" si="40"/>
        <v/>
      </c>
      <c r="AU126" s="51" t="str">
        <f t="shared" ca="1" si="41"/>
        <v/>
      </c>
    </row>
    <row r="127" spans="1:47" ht="22.2" customHeight="1">
      <c r="A127" s="179">
        <f t="shared" si="48"/>
        <v>119</v>
      </c>
      <c r="B127" s="180" t="str">
        <f t="shared" ca="1" si="46"/>
        <v/>
      </c>
      <c r="C127" s="180" t="str">
        <f>IF(OR(クライアント抽出!C57&lt;&gt;"",クライアント抽出!F57&lt;&gt;""),クライアント抽出!A57,"")</f>
        <v/>
      </c>
      <c r="D127" s="180" t="str">
        <f t="array" aca="1" ref="D127" ca="1">IF(C127&lt;&gt;"",INDIRECT("クライアント抽出!"&amp;E127&amp;MATCH(C127,クライアント抽出!A:A,0)&amp;""),"")</f>
        <v/>
      </c>
      <c r="E127" s="180" t="str">
        <f>IF(H127&lt;&gt;0,
IFERROR(
SUBSTITUTE(ADDRESS(1,
MATCH(VALUE(H127),クライアント抽出!A57:G57,0)+8,4),"1",""),
""),
IFERROR(
SUBSTITUTE(ADDRESS(1,
MATCH(VALUE(I127),クライアント抽出!A57:G57,0)+8,4),"1",""),
""))</f>
        <v/>
      </c>
      <c r="F127" s="181" t="str">
        <f ca="1">IF(D127&lt;&gt;"",
IF(COUNTIF(C127,"*雙葉*"),
IF(ROUND((H127-M127)
/IF(COUNTIF(D127,"*キャラ*"),
VLOOKUP("*キャラ*",商品マスタ一覧!$D:$E,2,FALSE),
IF(COUNTIF(D127,"*赤*"),
VLOOKUP("*赤*",商品マスタ一覧!$D:$E,2,FALSE),
VLOOKUP("*"&amp;D127&amp;"*",商品マスタ一覧!$D:$E,2,FALSE))),0)&lt;=0,1,
ROUND((H127-M127)
/IF(COUNTIF(D127,"*キャラ*"),
VLOOKUP("*キャラ*",商品マスタ一覧!$D:$E,2,FALSE),
IF(COUNTIF(D127,"*赤*"),
VLOOKUP("*赤*",商品マスタ一覧!$D:$E,2,FALSE),
VLOOKUP("*"&amp;D127&amp;"*",商品マスタ一覧!$D:$E,2,FALSE))),0)),
IF(OR(COUNTIF(D127,"*キャラ*"),COUNTIF(D127,"*赤*")),"",
IF(VLOOKUP("*"&amp;D127&amp;"*",商品マスタ一覧!$D:$E,2,FALSE)=0,"",
IF(ROUND((H127-M127)
/VLOOKUP("*"&amp;D127&amp;"*",商品マスタ一覧!$D:$E,2,FALSE),0)&lt;=0,1,
ROUND((H127-M127)
/VLOOKUP("*"&amp;D127&amp;"*",商品マスタ一覧!$D:$E,2,FALSE),0))))),"")</f>
        <v/>
      </c>
      <c r="G127" s="180" t="str">
        <f ca="1">IF(F127&lt;&gt;"",
IF(VALUE(H127-M127)&gt;VALUE(IF(COUNTIF(D127,"*キャラ*"),
VLOOKUP("*キャラ*",商品マスタ一覧!$D:$E,2,FALSE),
IF(COUNTIF(D127,"*赤*"),
VLOOKUP("*赤*",商品マスタ一覧!$D:$E,2,FALSE),
VLOOKUP("*"&amp;D127&amp;"*",商品マスタ一覧!$D:$E,2,FALSE)))*F127),
"+"&amp;(H127-M127)-IF(COUNTIF(D127,"*キャラ*"),
VLOOKUP("*キャラ*",商品マスタ一覧!$D:$E,2,FALSE),
IF(COUNTIF(D127,"*赤*"),
VLOOKUP("*赤*",商品マスタ一覧!$D:$E,2,FALSE),
VLOOKUP("*"&amp;D127&amp;"*",商品マスタ一覧!$D:$E,2,FALSE)))*F127,
(H127-M127)-IF(COUNTIF(D127,"*キャラ*"),
VLOOKUP("*キャラ*",商品マスタ一覧!$D:$E,2,FALSE),
IF(COUNTIF(D127,"*赤*"),
VLOOKUP("*赤*",商品マスタ一覧!$D:$E,2,FALSE),
VLOOKUP("*"&amp;D127&amp;"*",商品マスタ一覧!$D:$E,2,FALSE)))*F127),"")</f>
        <v/>
      </c>
      <c r="H127" s="182" t="str">
        <f>IF(C127&lt;&gt;"",
クライアント抽出!C57,"")</f>
        <v/>
      </c>
      <c r="I127" s="180" t="str">
        <f t="array" aca="1" ref="I127" ca="1">IF(C127&lt;&gt;"",
IF(O127=1,
IF(SUMPRODUCT(COUNTIF(クライアント抽出!P57:U57,クライアント抽出!P57:U57))&gt;COUNTA(クライアント抽出!P57:U57),
INDIRECT("数出表_Excel!"&amp;INDEX(_xlfn.UNIQUE(_xlfn._xlws.FILTER(クライアント抽出!P57:U57,COUNTIF(クライアント抽出!P57:U57,クライアント抽出!P57:U57)=1)),1)&amp;L127&amp;""),
0),クライアント抽出!F57),"")</f>
        <v/>
      </c>
      <c r="J127" s="180" t="str">
        <f>IF(C127&lt;&gt;"",
VLOOKUP(
"*"&amp;LEFT(IF(COUNTIF(D127,"*学食*"),"キャラ弁（学食）",
IF(COUNTIF(D127,"*赤*"),"赤",
IF(COUNTIF(D127,"*キャラ弁当*"),"キャラ弁当",D127))),4)&amp;"*",注文弁当の抽出!$E$1:$F$15,2,FALSE),"")</f>
        <v/>
      </c>
      <c r="K127" s="180" t="str">
        <f ca="1">IF(クライアント抽出!Q57&lt;&gt;"",SUBSTITUTE(ADDRESS(1,(CODE(クライアント抽出!Q57)-64)*2-1,4),"1",""),"")</f>
        <v/>
      </c>
      <c r="L127" s="180" t="str">
        <f>IF(C57&lt;&gt;"",クライアント抽出!I57,"")</f>
        <v/>
      </c>
      <c r="M127" s="180">
        <f t="array" aca="1" ref="M127" ca="1">IF(C127&lt;&gt;"",
IF(K127&lt;&gt;"",INDIRECT("'数出表_Excel（アレルギー入力）'!"&amp;K127&amp;L127-1&amp;""),),)</f>
        <v>0</v>
      </c>
      <c r="N127" s="180" t="str">
        <f>IF(C127&lt;&gt;"",IF(OR(COUNTIF('盛付札（関数）'!D127,"*赤*"),COUNTIF('盛付札（関数）'!D127,"*キャラ*")),1,
VLOOKUP("*"&amp;D127&amp;"*",商品マスタ一覧!D:H,5,FALSE)),"")</f>
        <v/>
      </c>
      <c r="O127" s="180">
        <f t="shared" ca="1" si="47"/>
        <v>0</v>
      </c>
      <c r="P127" s="180">
        <f t="shared" si="23"/>
        <v>0</v>
      </c>
      <c r="Q127" s="180" t="b">
        <f t="shared" si="24"/>
        <v>0</v>
      </c>
      <c r="R127" s="51" t="str">
        <f t="array" aca="1" ref="R127" ca="1">IFERROR(SMALL(IF(P$1:P$307&lt;&gt;0,P$1:P$307),ROW(A127)),"")</f>
        <v/>
      </c>
      <c r="S127" s="51" t="str">
        <f t="array" aca="1" ref="S127" ca="1">IF($R127&lt;&gt;"",
SUBSTITUTE(SUBSTITUTE(INDIRECT("C"&amp;$R127&amp;"")," 週3ｺｰｽ","")," 週5ｺｰｽ",""),"")</f>
        <v/>
      </c>
      <c r="T127" s="51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91" t="str">
        <f t="array" aca="1" ref="U127" ca="1">IF($R127&lt;&gt;"",
INDIRECT("F"&amp;$R127&amp;""),"")</f>
        <v/>
      </c>
      <c r="V127" s="51" t="str">
        <f t="array" aca="1" ref="V127" ca="1">IF($R127&lt;&gt;"",
INDIRECT("G"&amp;$R127&amp;""),"")</f>
        <v/>
      </c>
      <c r="W127" s="51" t="str">
        <f t="array" aca="1" ref="W127" ca="1">IF($R127&lt;&gt;"",
IF(AND(COUNTIF(INDIRECT("B"&amp;R127&amp;""),"*雙葉*"),COUNTIF(B:B,"*雙葉*")&gt;=2),
IF(OR(COUNTIF(INDIRECT("B"&amp;R127&amp;""),"*雙葉先生*"),COUNTIF($B$1:$B$70,"*雙葉*")&gt;=2),INDIRECT("H"&amp;R127&amp;""),INDIRECT("H"&amp;R127&amp;"")+INDIRECT("H"&amp;MATCH("雙葉'",INDIRECT("B"&amp;R127+3&amp;":B210"),0)+2+R127&amp;"")),
IF(AND(LEFT(INDIRECT("B"&amp;R127&amp;""),2)="博多",COUNTIF(B:B,"*博多*")&gt;=2),
INDIRECT("H"&amp;R127&amp;"")+INDIRECT("H"&amp;MATCH("*"&amp;INDIRECT("B"&amp;R127&amp;"")&amp;"*",INDIRECT("B"&amp;R127+1&amp;":B210"),0)+R127&amp;""),
IF(AND(LEFT(INDIRECT("B"&amp;R127&amp;""),3)="奈良屋",COUNTIF(B:B,"*奈良屋*")&gt;=2),
INDIRECT("H"&amp;R127&amp;"")+INDIRECT("H"&amp;MATCH("*"&amp;INDIRECT("B"&amp;R127&amp;"")&amp;"*",INDIRECT("B"&amp;R127+1&amp;":B210"),0)+R127&amp;"")
+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INDIRECT("H"&amp;R127&amp;"")))),"")</f>
        <v/>
      </c>
      <c r="X127" s="51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51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51" t="str">
        <f t="shared" ca="1" si="25"/>
        <v/>
      </c>
      <c r="AA127" s="51" t="str">
        <f t="shared" ca="1" si="26"/>
        <v/>
      </c>
      <c r="AB127" s="51" t="str">
        <f t="array" aca="1" ref="AB127" ca="1">IF($R127&lt;&gt;"",
IF(AND(COUNTIF(INDIRECT("B"&amp;R127&amp;""),"*雙葉*"),COUNTIF(B:B,"*雙葉*")&gt;=2),
INDIRECT("M"&amp;R127&amp;"")+INDIRECT("M"&amp;MATCH("雙葉'",INDIRECT("B"&amp;R127+1&amp;":B210"),0)+R127&amp;""),
IF(AND(LEFT(INDIRECT("B"&amp;R127&amp;""),2)="博多",COUNTIF(B:B,"*博多*")&gt;=2),
INDIRECT("M"&amp;R127&amp;"")+INDIRECT("M"&amp;MATCH("*"&amp;INDIRECT("B"&amp;R127&amp;"")&amp;"*",INDIRECT("B"&amp;R127+1&amp;":B210"),0)+R127&amp;""),
IF(AND(LEFT(INDIRECT("B"&amp;R127&amp;""),3)="奈良屋",COUNTIF(B:B,"*奈良屋*")&gt;=2),
INDIRECT("M"&amp;R127&amp;"")+INDIRECT("M"&amp;MATCH("*"&amp;INDIRECT("B"&amp;R127&amp;"")&amp;"*",INDIRECT("B"&amp;R127+1&amp;":B210"),0)+R127&amp;"")
+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INDIRECT("M"&amp;R127&amp;"")))),"")</f>
        <v/>
      </c>
      <c r="AC127" s="51" t="str">
        <f t="shared" ca="1" si="27"/>
        <v/>
      </c>
      <c r="AD127" s="51" t="str">
        <f t="shared" ca="1" si="28"/>
        <v/>
      </c>
      <c r="AE127" s="51" t="str">
        <f t="shared" ca="1" si="29"/>
        <v/>
      </c>
      <c r="AF127" s="51" t="str">
        <f t="shared" ca="1" si="30"/>
        <v/>
      </c>
      <c r="AG127" s="51" t="str">
        <f t="shared" ca="1" si="31"/>
        <v/>
      </c>
      <c r="AH127" s="191" t="str">
        <f t="shared" ca="1" si="32"/>
        <v/>
      </c>
      <c r="AI127" s="51" t="str">
        <f t="shared" ca="1" si="33"/>
        <v/>
      </c>
      <c r="AJ127" s="51" t="str">
        <f t="shared" ca="1" si="34"/>
        <v/>
      </c>
      <c r="AK127" s="51" t="str">
        <f t="shared" ca="1" si="35"/>
        <v/>
      </c>
      <c r="AL127" s="51" t="str">
        <f t="shared" ca="1" si="36"/>
        <v/>
      </c>
      <c r="AM127" s="51" t="str">
        <f t="shared" ca="1" si="37"/>
        <v/>
      </c>
      <c r="AN127" s="51" t="str">
        <f t="shared" ca="1" si="38"/>
        <v/>
      </c>
      <c r="AO127" s="51" t="str">
        <f t="shared" ca="1" si="39"/>
        <v/>
      </c>
      <c r="AP127" s="51" t="str">
        <f t="shared" ca="1" si="40"/>
        <v/>
      </c>
      <c r="AU127" s="51" t="str">
        <f t="shared" ca="1" si="41"/>
        <v/>
      </c>
    </row>
    <row r="128" spans="1:47" ht="22.2" customHeight="1">
      <c r="A128" s="179">
        <f t="shared" si="48"/>
        <v>121</v>
      </c>
      <c r="B128" s="180" t="str">
        <f t="shared" ca="1" si="46"/>
        <v/>
      </c>
      <c r="C128" s="180" t="str">
        <f>IF(OR(クライアント抽出!C58&lt;&gt;"",クライアント抽出!F58&lt;&gt;""),クライアント抽出!A58,"")</f>
        <v/>
      </c>
      <c r="D128" s="180" t="str">
        <f t="array" aca="1" ref="D128" ca="1">IF(C128&lt;&gt;"",INDIRECT("クライアント抽出!"&amp;E128&amp;MATCH(C128,クライアント抽出!A:A,0)&amp;""),"")</f>
        <v/>
      </c>
      <c r="E128" s="180" t="str">
        <f>IF(H128&lt;&gt;0,
IFERROR(
SUBSTITUTE(ADDRESS(1,
MATCH(VALUE(H128),クライアント抽出!A58:G58,0)+8,4),"1",""),
""),
IFERROR(
SUBSTITUTE(ADDRESS(1,
MATCH(VALUE(I128),クライアント抽出!A58:G58,0)+8,4),"1",""),
""))</f>
        <v/>
      </c>
      <c r="F128" s="181" t="str">
        <f ca="1">IF(D128&lt;&gt;"",
IF(COUNTIF(C128,"*雙葉*"),
IF(ROUND((H128-M128)
/IF(COUNTIF(D128,"*キャラ*"),
VLOOKUP("*キャラ*",商品マスタ一覧!$D:$E,2,FALSE),
IF(COUNTIF(D128,"*赤*"),
VLOOKUP("*赤*",商品マスタ一覧!$D:$E,2,FALSE),
VLOOKUP("*"&amp;D128&amp;"*",商品マスタ一覧!$D:$E,2,FALSE))),0)&lt;=0,1,
ROUND((H128-M128)
/IF(COUNTIF(D128,"*キャラ*"),
VLOOKUP("*キャラ*",商品マスタ一覧!$D:$E,2,FALSE),
IF(COUNTIF(D128,"*赤*"),
VLOOKUP("*赤*",商品マスタ一覧!$D:$E,2,FALSE),
VLOOKUP("*"&amp;D128&amp;"*",商品マスタ一覧!$D:$E,2,FALSE))),0)),
IF(OR(COUNTIF(D128,"*キャラ*"),COUNTIF(D128,"*赤*")),"",
IF(VLOOKUP("*"&amp;D128&amp;"*",商品マスタ一覧!$D:$E,2,FALSE)=0,"",
IF(ROUND((H128-M128)
/VLOOKUP("*"&amp;D128&amp;"*",商品マスタ一覧!$D:$E,2,FALSE),0)&lt;=0,1,
ROUND((H128-M128)
/VLOOKUP("*"&amp;D128&amp;"*",商品マスタ一覧!$D:$E,2,FALSE),0))))),"")</f>
        <v/>
      </c>
      <c r="G128" s="180" t="str">
        <f ca="1">IF(F128&lt;&gt;"",
IF(VALUE(H128-M128)&gt;VALUE(IF(COUNTIF(D128,"*キャラ*"),
VLOOKUP("*キャラ*",商品マスタ一覧!$D:$E,2,FALSE),
IF(COUNTIF(D128,"*赤*"),
VLOOKUP("*赤*",商品マスタ一覧!$D:$E,2,FALSE),
VLOOKUP("*"&amp;D128&amp;"*",商品マスタ一覧!$D:$E,2,FALSE)))*F128),
"+"&amp;(H128-M128)-IF(COUNTIF(D128,"*キャラ*"),
VLOOKUP("*キャラ*",商品マスタ一覧!$D:$E,2,FALSE),
IF(COUNTIF(D128,"*赤*"),
VLOOKUP("*赤*",商品マスタ一覧!$D:$E,2,FALSE),
VLOOKUP("*"&amp;D128&amp;"*",商品マスタ一覧!$D:$E,2,FALSE)))*F128,
(H128-M128)-IF(COUNTIF(D128,"*キャラ*"),
VLOOKUP("*キャラ*",商品マスタ一覧!$D:$E,2,FALSE),
IF(COUNTIF(D128,"*赤*"),
VLOOKUP("*赤*",商品マスタ一覧!$D:$E,2,FALSE),
VLOOKUP("*"&amp;D128&amp;"*",商品マスタ一覧!$D:$E,2,FALSE)))*F128),"")</f>
        <v/>
      </c>
      <c r="H128" s="182" t="str">
        <f>IF(C128&lt;&gt;"",
クライアント抽出!C58,"")</f>
        <v/>
      </c>
      <c r="I128" s="180" t="str">
        <f t="array" aca="1" ref="I128" ca="1">IF(C128&lt;&gt;"",
IF(O128=1,
IF(SUMPRODUCT(COUNTIF(クライアント抽出!P58:U58,クライアント抽出!P58:U58))&gt;COUNTA(クライアント抽出!P58:U58),
INDIRECT("数出表_Excel!"&amp;INDEX(_xlfn.UNIQUE(_xlfn._xlws.FILTER(クライアント抽出!P58:U58,COUNTIF(クライアント抽出!P58:U58,クライアント抽出!P58:U58)=1)),1)&amp;L128&amp;""),
0),クライアント抽出!F58),"")</f>
        <v/>
      </c>
      <c r="J128" s="180" t="str">
        <f>IF(C128&lt;&gt;"",
VLOOKUP(
"*"&amp;LEFT(IF(COUNTIF(D128,"*学食*"),"キャラ弁（学食）",
IF(COUNTIF(D128,"*赤*"),"赤",
IF(COUNTIF(D128,"*キャラ弁当*"),"キャラ弁当",D128))),4)&amp;"*",注文弁当の抽出!$E$1:$F$15,2,FALSE),"")</f>
        <v/>
      </c>
      <c r="K128" s="180" t="str">
        <f ca="1">IF(クライアント抽出!Q58&lt;&gt;"",SUBSTITUTE(ADDRESS(1,(CODE(クライアント抽出!Q58)-64)*2-1,4),"1",""),"")</f>
        <v/>
      </c>
      <c r="L128" s="180" t="str">
        <f>IF(C58&lt;&gt;"",クライアント抽出!I58,"")</f>
        <v/>
      </c>
      <c r="M128" s="180">
        <f t="array" aca="1" ref="M128" ca="1">IF(C128&lt;&gt;"",
IF(K128&lt;&gt;"",INDIRECT("'数出表_Excel（アレルギー入力）'!"&amp;K128&amp;L128-1&amp;""),),)</f>
        <v>0</v>
      </c>
      <c r="N128" s="180" t="str">
        <f>IF(C128&lt;&gt;"",IF(OR(COUNTIF('盛付札（関数）'!D128,"*赤*"),COUNTIF('盛付札（関数）'!D128,"*キャラ*")),1,
VLOOKUP("*"&amp;D128&amp;"*",商品マスタ一覧!D:H,5,FALSE)),"")</f>
        <v/>
      </c>
      <c r="O128" s="180">
        <f t="shared" ca="1" si="47"/>
        <v>0</v>
      </c>
      <c r="P128" s="180">
        <f t="shared" si="23"/>
        <v>0</v>
      </c>
      <c r="Q128" s="180" t="b">
        <f t="shared" si="24"/>
        <v>0</v>
      </c>
      <c r="R128" s="51" t="str">
        <f t="array" aca="1" ref="R128" ca="1">IFERROR(SMALL(IF(P$1:P$307&lt;&gt;0,P$1:P$307),ROW(A128)),"")</f>
        <v/>
      </c>
      <c r="S128" s="51" t="str">
        <f t="array" aca="1" ref="S128" ca="1">IF($R128&lt;&gt;"",
SUBSTITUTE(SUBSTITUTE(INDIRECT("C"&amp;$R128&amp;"")," 週3ｺｰｽ","")," 週5ｺｰｽ",""),"")</f>
        <v/>
      </c>
      <c r="T128" s="51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91" t="str">
        <f t="array" aca="1" ref="U128" ca="1">IF($R128&lt;&gt;"",
INDIRECT("F"&amp;$R128&amp;""),"")</f>
        <v/>
      </c>
      <c r="V128" s="51" t="str">
        <f t="array" aca="1" ref="V128" ca="1">IF($R128&lt;&gt;"",
INDIRECT("G"&amp;$R128&amp;""),"")</f>
        <v/>
      </c>
      <c r="W128" s="51" t="str">
        <f t="array" aca="1" ref="W128" ca="1">IF($R128&lt;&gt;"",
IF(AND(COUNTIF(INDIRECT("B"&amp;R128&amp;""),"*雙葉*"),COUNTIF(B:B,"*雙葉*")&gt;=2),
IF(OR(COUNTIF(INDIRECT("B"&amp;R128&amp;""),"*雙葉先生*"),COUNTIF($B$1:$B$70,"*雙葉*")&gt;=2),INDIRECT("H"&amp;R128&amp;""),INDIRECT("H"&amp;R128&amp;"")+INDIRECT("H"&amp;MATCH("雙葉'",INDIRECT("B"&amp;R128+3&amp;":B210"),0)+2+R128&amp;"")),
IF(AND(LEFT(INDIRECT("B"&amp;R128&amp;""),2)="博多",COUNTIF(B:B,"*博多*")&gt;=2),
INDIRECT("H"&amp;R128&amp;"")+INDIRECT("H"&amp;MATCH("*"&amp;INDIRECT("B"&amp;R128&amp;"")&amp;"*",INDIRECT("B"&amp;R128+1&amp;":B210"),0)+R128&amp;""),
IF(AND(LEFT(INDIRECT("B"&amp;R128&amp;""),3)="奈良屋",COUNTIF(B:B,"*奈良屋*")&gt;=2),
INDIRECT("H"&amp;R128&amp;"")+INDIRECT("H"&amp;MATCH("*"&amp;INDIRECT("B"&amp;R128&amp;"")&amp;"*",INDIRECT("B"&amp;R128+1&amp;":B210"),0)+R128&amp;"")
+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INDIRECT("H"&amp;R128&amp;"")))),"")</f>
        <v/>
      </c>
      <c r="X128" s="51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51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51" t="str">
        <f t="shared" ca="1" si="25"/>
        <v/>
      </c>
      <c r="AA128" s="51" t="str">
        <f t="shared" ca="1" si="26"/>
        <v/>
      </c>
      <c r="AB128" s="51" t="str">
        <f t="array" aca="1" ref="AB128" ca="1">IF($R128&lt;&gt;"",
IF(AND(COUNTIF(INDIRECT("B"&amp;R128&amp;""),"*雙葉*"),COUNTIF(B:B,"*雙葉*")&gt;=2),
INDIRECT("M"&amp;R128&amp;"")+INDIRECT("M"&amp;MATCH("雙葉'",INDIRECT("B"&amp;R128+1&amp;":B210"),0)+R128&amp;""),
IF(AND(LEFT(INDIRECT("B"&amp;R128&amp;""),2)="博多",COUNTIF(B:B,"*博多*")&gt;=2),
INDIRECT("M"&amp;R128&amp;"")+INDIRECT("M"&amp;MATCH("*"&amp;INDIRECT("B"&amp;R128&amp;"")&amp;"*",INDIRECT("B"&amp;R128+1&amp;":B210"),0)+R128&amp;""),
IF(AND(LEFT(INDIRECT("B"&amp;R128&amp;""),3)="奈良屋",COUNTIF(B:B,"*奈良屋*")&gt;=2),
INDIRECT("M"&amp;R128&amp;"")+INDIRECT("M"&amp;MATCH("*"&amp;INDIRECT("B"&amp;R128&amp;"")&amp;"*",INDIRECT("B"&amp;R128+1&amp;":B210"),0)+R128&amp;"")
+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INDIRECT("M"&amp;R128&amp;"")))),"")</f>
        <v/>
      </c>
      <c r="AC128" s="51" t="str">
        <f t="shared" ca="1" si="27"/>
        <v/>
      </c>
      <c r="AD128" s="51" t="str">
        <f t="shared" ca="1" si="28"/>
        <v/>
      </c>
      <c r="AE128" s="51" t="str">
        <f t="shared" ca="1" si="29"/>
        <v/>
      </c>
      <c r="AF128" s="51" t="str">
        <f t="shared" ca="1" si="30"/>
        <v/>
      </c>
      <c r="AG128" s="51" t="str">
        <f t="shared" ca="1" si="31"/>
        <v/>
      </c>
      <c r="AH128" s="191" t="str">
        <f t="shared" ca="1" si="32"/>
        <v/>
      </c>
      <c r="AI128" s="51" t="str">
        <f t="shared" ca="1" si="33"/>
        <v/>
      </c>
      <c r="AJ128" s="51" t="str">
        <f t="shared" ca="1" si="34"/>
        <v/>
      </c>
      <c r="AK128" s="51" t="str">
        <f t="shared" ca="1" si="35"/>
        <v/>
      </c>
      <c r="AL128" s="51" t="str">
        <f t="shared" ca="1" si="36"/>
        <v/>
      </c>
      <c r="AM128" s="51" t="str">
        <f t="shared" ca="1" si="37"/>
        <v/>
      </c>
      <c r="AN128" s="51" t="str">
        <f t="shared" ca="1" si="38"/>
        <v/>
      </c>
      <c r="AO128" s="51" t="str">
        <f t="shared" ca="1" si="39"/>
        <v/>
      </c>
      <c r="AP128" s="51" t="str">
        <f t="shared" ca="1" si="40"/>
        <v/>
      </c>
      <c r="AU128" s="51" t="str">
        <f t="shared" ca="1" si="41"/>
        <v/>
      </c>
    </row>
    <row r="129" spans="1:47" ht="22.2" customHeight="1">
      <c r="A129" s="179">
        <f t="shared" si="48"/>
        <v>123</v>
      </c>
      <c r="B129" s="180" t="str">
        <f t="shared" ca="1" si="46"/>
        <v/>
      </c>
      <c r="C129" s="180" t="str">
        <f>IF(OR(クライアント抽出!C59&lt;&gt;"",クライアント抽出!F59&lt;&gt;""),クライアント抽出!A59,"")</f>
        <v/>
      </c>
      <c r="D129" s="180" t="str">
        <f t="array" aca="1" ref="D129" ca="1">IF(C129&lt;&gt;"",INDIRECT("クライアント抽出!"&amp;E129&amp;MATCH(C129,クライアント抽出!A:A,0)&amp;""),"")</f>
        <v/>
      </c>
      <c r="E129" s="180" t="str">
        <f>IF(H129&lt;&gt;0,
IFERROR(
SUBSTITUTE(ADDRESS(1,
MATCH(VALUE(H129),クライアント抽出!A59:G59,0)+8,4),"1",""),
""),
IFERROR(
SUBSTITUTE(ADDRESS(1,
MATCH(VALUE(I129),クライアント抽出!A59:G59,0)+8,4),"1",""),
""))</f>
        <v/>
      </c>
      <c r="F129" s="181" t="str">
        <f ca="1">IF(D129&lt;&gt;"",
IF(COUNTIF(C129,"*雙葉*"),
IF(ROUND((H129-M129)
/IF(COUNTIF(D129,"*キャラ*"),
VLOOKUP("*キャラ*",商品マスタ一覧!$D:$E,2,FALSE),
IF(COUNTIF(D129,"*赤*"),
VLOOKUP("*赤*",商品マスタ一覧!$D:$E,2,FALSE),
VLOOKUP("*"&amp;D129&amp;"*",商品マスタ一覧!$D:$E,2,FALSE))),0)&lt;=0,1,
ROUND((H129-M129)
/IF(COUNTIF(D129,"*キャラ*"),
VLOOKUP("*キャラ*",商品マスタ一覧!$D:$E,2,FALSE),
IF(COUNTIF(D129,"*赤*"),
VLOOKUP("*赤*",商品マスタ一覧!$D:$E,2,FALSE),
VLOOKUP("*"&amp;D129&amp;"*",商品マスタ一覧!$D:$E,2,FALSE))),0)),
IF(OR(COUNTIF(D129,"*キャラ*"),COUNTIF(D129,"*赤*")),"",
IF(VLOOKUP("*"&amp;D129&amp;"*",商品マスタ一覧!$D:$E,2,FALSE)=0,"",
IF(ROUND((H129-M129)
/VLOOKUP("*"&amp;D129&amp;"*",商品マスタ一覧!$D:$E,2,FALSE),0)&lt;=0,1,
ROUND((H129-M129)
/VLOOKUP("*"&amp;D129&amp;"*",商品マスタ一覧!$D:$E,2,FALSE),0))))),"")</f>
        <v/>
      </c>
      <c r="G129" s="180" t="str">
        <f ca="1">IF(F129&lt;&gt;"",
IF(VALUE(H129-M129)&gt;VALUE(IF(COUNTIF(D129,"*キャラ*"),
VLOOKUP("*キャラ*",商品マスタ一覧!$D:$E,2,FALSE),
IF(COUNTIF(D129,"*赤*"),
VLOOKUP("*赤*",商品マスタ一覧!$D:$E,2,FALSE),
VLOOKUP("*"&amp;D129&amp;"*",商品マスタ一覧!$D:$E,2,FALSE)))*F129),
"+"&amp;(H129-M129)-IF(COUNTIF(D129,"*キャラ*"),
VLOOKUP("*キャラ*",商品マスタ一覧!$D:$E,2,FALSE),
IF(COUNTIF(D129,"*赤*"),
VLOOKUP("*赤*",商品マスタ一覧!$D:$E,2,FALSE),
VLOOKUP("*"&amp;D129&amp;"*",商品マスタ一覧!$D:$E,2,FALSE)))*F129,
(H129-M129)-IF(COUNTIF(D129,"*キャラ*"),
VLOOKUP("*キャラ*",商品マスタ一覧!$D:$E,2,FALSE),
IF(COUNTIF(D129,"*赤*"),
VLOOKUP("*赤*",商品マスタ一覧!$D:$E,2,FALSE),
VLOOKUP("*"&amp;D129&amp;"*",商品マスタ一覧!$D:$E,2,FALSE)))*F129),"")</f>
        <v/>
      </c>
      <c r="H129" s="182" t="str">
        <f>IF(C129&lt;&gt;"",
クライアント抽出!C59,"")</f>
        <v/>
      </c>
      <c r="I129" s="180" t="str">
        <f t="array" aca="1" ref="I129" ca="1">IF(C129&lt;&gt;"",
IF(O129=1,
IF(SUMPRODUCT(COUNTIF(クライアント抽出!P59:U59,クライアント抽出!P59:U59))&gt;COUNTA(クライアント抽出!P59:U59),
INDIRECT("数出表_Excel!"&amp;INDEX(_xlfn.UNIQUE(_xlfn._xlws.FILTER(クライアント抽出!P59:U59,COUNTIF(クライアント抽出!P59:U59,クライアント抽出!P59:U59)=1)),1)&amp;L129&amp;""),
0),クライアント抽出!F59),"")</f>
        <v/>
      </c>
      <c r="J129" s="180" t="str">
        <f>IF(C129&lt;&gt;"",
VLOOKUP(
"*"&amp;LEFT(IF(COUNTIF(D129,"*学食*"),"キャラ弁（学食）",
IF(COUNTIF(D129,"*赤*"),"赤",
IF(COUNTIF(D129,"*キャラ弁当*"),"キャラ弁当",D129))),4)&amp;"*",注文弁当の抽出!$E$1:$F$15,2,FALSE),"")</f>
        <v/>
      </c>
      <c r="K129" s="180" t="str">
        <f ca="1">IF(クライアント抽出!Q59&lt;&gt;"",SUBSTITUTE(ADDRESS(1,(CODE(クライアント抽出!Q59)-64)*2-1,4),"1",""),"")</f>
        <v/>
      </c>
      <c r="L129" s="180" t="str">
        <f>IF(C59&lt;&gt;"",クライアント抽出!I59,"")</f>
        <v/>
      </c>
      <c r="M129" s="180">
        <f t="array" aca="1" ref="M129" ca="1">IF(C129&lt;&gt;"",
IF(K129&lt;&gt;"",INDIRECT("'数出表_Excel（アレルギー入力）'!"&amp;K129&amp;L129-1&amp;""),),)</f>
        <v>0</v>
      </c>
      <c r="N129" s="180" t="str">
        <f>IF(C129&lt;&gt;"",IF(OR(COUNTIF('盛付札（関数）'!D129,"*赤*"),COUNTIF('盛付札（関数）'!D129,"*キャラ*")),1,
VLOOKUP("*"&amp;D129&amp;"*",商品マスタ一覧!D:H,5,FALSE)),"")</f>
        <v/>
      </c>
      <c r="O129" s="180">
        <f t="shared" ca="1" si="47"/>
        <v>0</v>
      </c>
      <c r="P129" s="180">
        <f t="shared" ref="P129:P192" si="49">IF(COUNTIF(Q129,"TRUE"),
IF(OR(COUNTIF(B129,"*'*"),H129=0),0,ROW()),0)</f>
        <v>0</v>
      </c>
      <c r="Q129" s="180" t="b">
        <f t="shared" ref="Q129:Q192" si="50">IF(C129&lt;&gt;"",
IF(OR(N129=1,COUNTIF(D129,"*朝食*"),COUNTIF(D129,"*夕食*")),TRUE,FALSE),FALSE)</f>
        <v>0</v>
      </c>
      <c r="R129" s="51" t="str">
        <f t="array" aca="1" ref="R129" ca="1">IFERROR(SMALL(IF(P$1:P$307&lt;&gt;0,P$1:P$307),ROW(A129)),"")</f>
        <v/>
      </c>
      <c r="S129" s="51" t="str">
        <f t="array" aca="1" ref="S129" ca="1">IF($R129&lt;&gt;"",
SUBSTITUTE(SUBSTITUTE(INDIRECT("C"&amp;$R129&amp;"")," 週3ｺｰｽ","")," 週5ｺｰｽ",""),"")</f>
        <v/>
      </c>
      <c r="T129" s="51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91" t="str">
        <f t="array" aca="1" ref="U129" ca="1">IF($R129&lt;&gt;"",
INDIRECT("F"&amp;$R129&amp;""),"")</f>
        <v/>
      </c>
      <c r="V129" s="51" t="str">
        <f t="array" aca="1" ref="V129" ca="1">IF($R129&lt;&gt;"",
INDIRECT("G"&amp;$R129&amp;""),"")</f>
        <v/>
      </c>
      <c r="W129" s="51" t="str">
        <f t="array" aca="1" ref="W129" ca="1">IF($R129&lt;&gt;"",
IF(AND(COUNTIF(INDIRECT("B"&amp;R129&amp;""),"*雙葉*"),COUNTIF(B:B,"*雙葉*")&gt;=2),
IF(OR(COUNTIF(INDIRECT("B"&amp;R129&amp;""),"*雙葉先生*"),COUNTIF($B$1:$B$70,"*雙葉*")&gt;=2),INDIRECT("H"&amp;R129&amp;""),INDIRECT("H"&amp;R129&amp;"")+INDIRECT("H"&amp;MATCH("雙葉'",INDIRECT("B"&amp;R129+3&amp;":B210"),0)+2+R129&amp;"")),
IF(AND(LEFT(INDIRECT("B"&amp;R129&amp;""),2)="博多",COUNTIF(B:B,"*博多*")&gt;=2),
INDIRECT("H"&amp;R129&amp;"")+INDIRECT("H"&amp;MATCH("*"&amp;INDIRECT("B"&amp;R129&amp;"")&amp;"*",INDIRECT("B"&amp;R129+1&amp;":B210"),0)+R129&amp;""),
IF(AND(LEFT(INDIRECT("B"&amp;R129&amp;""),3)="奈良屋",COUNTIF(B:B,"*奈良屋*")&gt;=2),
INDIRECT("H"&amp;R129&amp;"")+INDIRECT("H"&amp;MATCH("*"&amp;INDIRECT("B"&amp;R129&amp;"")&amp;"*",INDIRECT("B"&amp;R129+1&amp;":B210"),0)+R129&amp;"")
+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INDIRECT("H"&amp;R129&amp;"")))),"")</f>
        <v/>
      </c>
      <c r="X129" s="51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51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51" t="str">
        <f t="shared" ref="Z129:Z192" ca="1" si="51">IF(R129&lt;&gt;"",
IFERROR(INT(W129/Y129),""),"")</f>
        <v/>
      </c>
      <c r="AA129" s="51" t="str">
        <f t="shared" ref="AA129:AA192" ca="1" si="52">IFERROR(MOD(W129,Y129),"")</f>
        <v/>
      </c>
      <c r="AB129" s="51" t="str">
        <f t="array" aca="1" ref="AB129" ca="1">IF($R129&lt;&gt;"",
IF(AND(COUNTIF(INDIRECT("B"&amp;R129&amp;""),"*雙葉*"),COUNTIF(B:B,"*雙葉*")&gt;=2),
INDIRECT("M"&amp;R129&amp;"")+INDIRECT("M"&amp;MATCH("雙葉'",INDIRECT("B"&amp;R129+1&amp;":B210"),0)+R129&amp;""),
IF(AND(LEFT(INDIRECT("B"&amp;R129&amp;""),2)="博多",COUNTIF(B:B,"*博多*")&gt;=2),
INDIRECT("M"&amp;R129&amp;"")+INDIRECT("M"&amp;MATCH("*"&amp;INDIRECT("B"&amp;R129&amp;"")&amp;"*",INDIRECT("B"&amp;R129+1&amp;":B210"),0)+R129&amp;""),
IF(AND(LEFT(INDIRECT("B"&amp;R129&amp;""),3)="奈良屋",COUNTIF(B:B,"*奈良屋*")&gt;=2),
INDIRECT("M"&amp;R129&amp;"")+INDIRECT("M"&amp;MATCH("*"&amp;INDIRECT("B"&amp;R129&amp;"")&amp;"*",INDIRECT("B"&amp;R129+1&amp;":B210"),0)+R129&amp;"")
+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INDIRECT("M"&amp;R129&amp;"")))),"")</f>
        <v/>
      </c>
      <c r="AC129" s="51" t="str">
        <f t="shared" ref="AC129:AC192" ca="1" si="53">IF(S129&lt;&gt;"",INDEX(A:A, MATCH("*"&amp;LEFT(S129,4)&amp;"*", C:C, 0)),"")</f>
        <v/>
      </c>
      <c r="AD129" s="51" t="str">
        <f t="shared" ref="AD129:AD192" ca="1" si="54">IFERROR(INDEX(AC:AC,MATCH(SMALL($AU:$AU,ROW()+3),$AU:$AU,0)),"")</f>
        <v/>
      </c>
      <c r="AE129" s="51" t="str">
        <f t="shared" ref="AE129:AE192" ca="1" si="55">IFERROR(INDEX(R:R,MATCH(SMALL($AU:$AU,ROW()+3),$AU:$AU,0)),"")</f>
        <v/>
      </c>
      <c r="AF129" s="51" t="str">
        <f t="shared" ref="AF129:AF192" ca="1" si="56">IFERROR(INDEX(S:S,MATCH(SMALL($AU:$AU,ROW()+3),$AU:$AU,0)),"")</f>
        <v/>
      </c>
      <c r="AG129" s="51" t="str">
        <f t="shared" ref="AG129:AG192" ca="1" si="57">IFERROR(INDEX(T:T,MATCH(SMALL($AU:$AU,ROW()+3),$AU:$AU,0)),"")</f>
        <v/>
      </c>
      <c r="AH129" s="191" t="str">
        <f t="shared" ref="AH129:AH192" ca="1" si="58">IFERROR(INDEX(U:U,MATCH(SMALL($AU:$AU,ROW()+3),$AU:$AU,0)),"")</f>
        <v/>
      </c>
      <c r="AI129" s="51" t="str">
        <f t="shared" ref="AI129:AI192" ca="1" si="59">IFERROR(INDEX(V:V,MATCH(SMALL($AU:$AU,ROW()+3),$AU:$AU,0)),"")</f>
        <v/>
      </c>
      <c r="AJ129" s="51" t="str">
        <f t="shared" ref="AJ129:AJ192" ca="1" si="60">IFERROR(INDEX(W:W,MATCH(SMALL($AU:$AU,ROW()+3),$AU:$AU,0)),"")</f>
        <v/>
      </c>
      <c r="AK129" s="51" t="str">
        <f t="shared" ref="AK129:AK192" ca="1" si="61">IFERROR(INDEX(X:X,MATCH(SMALL($AU:$AU,ROW()+3),$AU:$AU,0)),"")</f>
        <v/>
      </c>
      <c r="AL129" s="51" t="str">
        <f t="shared" ref="AL129:AL192" ca="1" si="62">IFERROR(INDEX(Y:Y,MATCH(SMALL($AU:$AU,ROW()+3),$AU:$AU,0)),"")</f>
        <v/>
      </c>
      <c r="AM129" s="51" t="str">
        <f t="shared" ref="AM129:AM192" ca="1" si="63">IFERROR(INDEX(Z:Z,MATCH(SMALL($AU:$AU,ROW()+3),$AU:$AU,0)),"")</f>
        <v/>
      </c>
      <c r="AN129" s="51" t="str">
        <f t="shared" ref="AN129:AN192" ca="1" si="64">IFERROR(INDEX(AA:AA,MATCH(SMALL($AU:$AU,ROW()+3),$AU:$AU,0)),"")</f>
        <v/>
      </c>
      <c r="AO129" s="51" t="str">
        <f t="shared" ref="AO129:AO192" ca="1" si="65">IFERROR(INDEX(AB:AB,MATCH(SMALL($AU:$AU,ROW()+3),$AU:$AU,0)),"")</f>
        <v/>
      </c>
      <c r="AP129" s="51" t="str">
        <f t="shared" ref="AP129:AP192" ca="1" si="66">IFERROR(INDEX(AC:AC,MATCH(SMALL($AU:$AU,ROW()+3),$AU:$AU,0)),"")</f>
        <v/>
      </c>
      <c r="AU129" s="51" t="str">
        <f t="shared" ref="AU129:AU192" ca="1" si="67">IFERROR(IF(R129&gt;=215, 1000000+R129, AC129*1000+R129),"")</f>
        <v/>
      </c>
    </row>
    <row r="130" spans="1:47" ht="22.2" customHeight="1">
      <c r="A130" s="179">
        <f t="shared" si="48"/>
        <v>125</v>
      </c>
      <c r="B130" s="180" t="str">
        <f t="shared" ca="1" si="46"/>
        <v/>
      </c>
      <c r="C130" s="180" t="str">
        <f>IF(OR(クライアント抽出!C60&lt;&gt;"",クライアント抽出!F60&lt;&gt;""),クライアント抽出!A60,"")</f>
        <v/>
      </c>
      <c r="D130" s="180" t="str">
        <f t="array" aca="1" ref="D130" ca="1">IF(C130&lt;&gt;"",INDIRECT("クライアント抽出!"&amp;E130&amp;MATCH(C130,クライアント抽出!A:A,0)&amp;""),"")</f>
        <v/>
      </c>
      <c r="E130" s="180" t="str">
        <f>IF(H130&lt;&gt;0,
IFERROR(
SUBSTITUTE(ADDRESS(1,
MATCH(VALUE(H130),クライアント抽出!A60:G60,0)+8,4),"1",""),
""),
IFERROR(
SUBSTITUTE(ADDRESS(1,
MATCH(VALUE(I130),クライアント抽出!A60:G60,0)+8,4),"1",""),
""))</f>
        <v/>
      </c>
      <c r="F130" s="181" t="str">
        <f ca="1">IF(D130&lt;&gt;"",
IF(COUNTIF(C130,"*雙葉*"),
IF(ROUND((H130-M130)
/IF(COUNTIF(D130,"*キャラ*"),
VLOOKUP("*キャラ*",商品マスタ一覧!$D:$E,2,FALSE),
IF(COUNTIF(D130,"*赤*"),
VLOOKUP("*赤*",商品マスタ一覧!$D:$E,2,FALSE),
VLOOKUP("*"&amp;D130&amp;"*",商品マスタ一覧!$D:$E,2,FALSE))),0)&lt;=0,1,
ROUND((H130-M130)
/IF(COUNTIF(D130,"*キャラ*"),
VLOOKUP("*キャラ*",商品マスタ一覧!$D:$E,2,FALSE),
IF(COUNTIF(D130,"*赤*"),
VLOOKUP("*赤*",商品マスタ一覧!$D:$E,2,FALSE),
VLOOKUP("*"&amp;D130&amp;"*",商品マスタ一覧!$D:$E,2,FALSE))),0)),
IF(OR(COUNTIF(D130,"*キャラ*"),COUNTIF(D130,"*赤*")),"",
IF(VLOOKUP("*"&amp;D130&amp;"*",商品マスタ一覧!$D:$E,2,FALSE)=0,"",
IF(ROUND((H130-M130)
/VLOOKUP("*"&amp;D130&amp;"*",商品マスタ一覧!$D:$E,2,FALSE),0)&lt;=0,1,
ROUND((H130-M130)
/VLOOKUP("*"&amp;D130&amp;"*",商品マスタ一覧!$D:$E,2,FALSE),0))))),"")</f>
        <v/>
      </c>
      <c r="G130" s="180" t="str">
        <f ca="1">IF(F130&lt;&gt;"",
IF(VALUE(H130-M130)&gt;VALUE(IF(COUNTIF(D130,"*キャラ*"),
VLOOKUP("*キャラ*",商品マスタ一覧!$D:$E,2,FALSE),
IF(COUNTIF(D130,"*赤*"),
VLOOKUP("*赤*",商品マスタ一覧!$D:$E,2,FALSE),
VLOOKUP("*"&amp;D130&amp;"*",商品マスタ一覧!$D:$E,2,FALSE)))*F130),
"+"&amp;(H130-M130)-IF(COUNTIF(D130,"*キャラ*"),
VLOOKUP("*キャラ*",商品マスタ一覧!$D:$E,2,FALSE),
IF(COUNTIF(D130,"*赤*"),
VLOOKUP("*赤*",商品マスタ一覧!$D:$E,2,FALSE),
VLOOKUP("*"&amp;D130&amp;"*",商品マスタ一覧!$D:$E,2,FALSE)))*F130,
(H130-M130)-IF(COUNTIF(D130,"*キャラ*"),
VLOOKUP("*キャラ*",商品マスタ一覧!$D:$E,2,FALSE),
IF(COUNTIF(D130,"*赤*"),
VLOOKUP("*赤*",商品マスタ一覧!$D:$E,2,FALSE),
VLOOKUP("*"&amp;D130&amp;"*",商品マスタ一覧!$D:$E,2,FALSE)))*F130),"")</f>
        <v/>
      </c>
      <c r="H130" s="182" t="str">
        <f>IF(C130&lt;&gt;"",
クライアント抽出!C60,"")</f>
        <v/>
      </c>
      <c r="I130" s="180" t="str">
        <f t="array" aca="1" ref="I130" ca="1">IF(C130&lt;&gt;"",
IF(O130=1,
IF(SUMPRODUCT(COUNTIF(クライアント抽出!P60:U60,クライアント抽出!P60:U60))&gt;COUNTA(クライアント抽出!P60:U60),
INDIRECT("数出表_Excel!"&amp;INDEX(_xlfn.UNIQUE(_xlfn._xlws.FILTER(クライアント抽出!P60:U60,COUNTIF(クライアント抽出!P60:U60,クライアント抽出!P60:U60)=1)),1)&amp;L130&amp;""),
0),クライアント抽出!F60),"")</f>
        <v/>
      </c>
      <c r="J130" s="180" t="str">
        <f>IF(C130&lt;&gt;"",
VLOOKUP(
"*"&amp;LEFT(IF(COUNTIF(D130,"*学食*"),"キャラ弁（学食）",
IF(COUNTIF(D130,"*赤*"),"赤",
IF(COUNTIF(D130,"*キャラ弁当*"),"キャラ弁当",D130))),4)&amp;"*",注文弁当の抽出!$E$1:$F$15,2,FALSE),"")</f>
        <v/>
      </c>
      <c r="K130" s="180" t="str">
        <f ca="1">IF(クライアント抽出!Q60&lt;&gt;"",SUBSTITUTE(ADDRESS(1,(CODE(クライアント抽出!Q60)-64)*2-1,4),"1",""),"")</f>
        <v/>
      </c>
      <c r="L130" s="180" t="str">
        <f>IF(C60&lt;&gt;"",クライアント抽出!I60,"")</f>
        <v/>
      </c>
      <c r="M130" s="180">
        <f t="array" aca="1" ref="M130" ca="1">IF(C130&lt;&gt;"",
IF(K130&lt;&gt;"",INDIRECT("'数出表_Excel（アレルギー入力）'!"&amp;K130&amp;L130-1&amp;""),),)</f>
        <v>0</v>
      </c>
      <c r="N130" s="180" t="str">
        <f>IF(C130&lt;&gt;"",IF(OR(COUNTIF('盛付札（関数）'!D130,"*赤*"),COUNTIF('盛付札（関数）'!D130,"*キャラ*")),1,
VLOOKUP("*"&amp;D130&amp;"*",商品マスタ一覧!D:H,5,FALSE)),"")</f>
        <v/>
      </c>
      <c r="O130" s="180">
        <f t="shared" ca="1" si="47"/>
        <v>0</v>
      </c>
      <c r="P130" s="180">
        <f t="shared" si="49"/>
        <v>0</v>
      </c>
      <c r="Q130" s="180" t="b">
        <f t="shared" si="50"/>
        <v>0</v>
      </c>
      <c r="R130" s="51" t="str">
        <f t="array" aca="1" ref="R130" ca="1">IFERROR(SMALL(IF(P$1:P$307&lt;&gt;0,P$1:P$307),ROW(A130)),"")</f>
        <v/>
      </c>
      <c r="S130" s="51" t="str">
        <f t="array" aca="1" ref="S130" ca="1">IF($R130&lt;&gt;"",
SUBSTITUTE(SUBSTITUTE(INDIRECT("C"&amp;$R130&amp;"")," 週3ｺｰｽ","")," 週5ｺｰｽ",""),"")</f>
        <v/>
      </c>
      <c r="T130" s="51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91" t="str">
        <f t="array" aca="1" ref="U130" ca="1">IF($R130&lt;&gt;"",
INDIRECT("F"&amp;$R130&amp;""),"")</f>
        <v/>
      </c>
      <c r="V130" s="51" t="str">
        <f t="array" aca="1" ref="V130" ca="1">IF($R130&lt;&gt;"",
INDIRECT("G"&amp;$R130&amp;""),"")</f>
        <v/>
      </c>
      <c r="W130" s="51" t="str">
        <f t="array" aca="1" ref="W130" ca="1">IF($R130&lt;&gt;"",
IF(AND(COUNTIF(INDIRECT("B"&amp;R130&amp;""),"*雙葉*"),COUNTIF(B:B,"*雙葉*")&gt;=2),
IF(OR(COUNTIF(INDIRECT("B"&amp;R130&amp;""),"*雙葉先生*"),COUNTIF($B$1:$B$70,"*雙葉*")&gt;=2),INDIRECT("H"&amp;R130&amp;""),INDIRECT("H"&amp;R130&amp;"")+INDIRECT("H"&amp;MATCH("雙葉'",INDIRECT("B"&amp;R130+3&amp;":B210"),0)+2+R130&amp;"")),
IF(AND(LEFT(INDIRECT("B"&amp;R130&amp;""),2)="博多",COUNTIF(B:B,"*博多*")&gt;=2),
INDIRECT("H"&amp;R130&amp;"")+INDIRECT("H"&amp;MATCH("*"&amp;INDIRECT("B"&amp;R130&amp;"")&amp;"*",INDIRECT("B"&amp;R130+1&amp;":B210"),0)+R130&amp;""),
IF(AND(LEFT(INDIRECT("B"&amp;R130&amp;""),3)="奈良屋",COUNTIF(B:B,"*奈良屋*")&gt;=2),
INDIRECT("H"&amp;R130&amp;"")+INDIRECT("H"&amp;MATCH("*"&amp;INDIRECT("B"&amp;R130&amp;"")&amp;"*",INDIRECT("B"&amp;R130+1&amp;":B210"),0)+R130&amp;"")
+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INDIRECT("H"&amp;R130&amp;"")))),"")</f>
        <v/>
      </c>
      <c r="X130" s="51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51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51" t="str">
        <f t="shared" ca="1" si="51"/>
        <v/>
      </c>
      <c r="AA130" s="51" t="str">
        <f t="shared" ca="1" si="52"/>
        <v/>
      </c>
      <c r="AB130" s="51" t="str">
        <f t="array" aca="1" ref="AB130" ca="1">IF($R130&lt;&gt;"",
IF(AND(COUNTIF(INDIRECT("B"&amp;R130&amp;""),"*雙葉*"),COUNTIF(B:B,"*雙葉*")&gt;=2),
INDIRECT("M"&amp;R130&amp;"")+INDIRECT("M"&amp;MATCH("雙葉'",INDIRECT("B"&amp;R130+1&amp;":B210"),0)+R130&amp;""),
IF(AND(LEFT(INDIRECT("B"&amp;R130&amp;""),2)="博多",COUNTIF(B:B,"*博多*")&gt;=2),
INDIRECT("M"&amp;R130&amp;"")+INDIRECT("M"&amp;MATCH("*"&amp;INDIRECT("B"&amp;R130&amp;"")&amp;"*",INDIRECT("B"&amp;R130+1&amp;":B210"),0)+R130&amp;""),
IF(AND(LEFT(INDIRECT("B"&amp;R130&amp;""),3)="奈良屋",COUNTIF(B:B,"*奈良屋*")&gt;=2),
INDIRECT("M"&amp;R130&amp;"")+INDIRECT("M"&amp;MATCH("*"&amp;INDIRECT("B"&amp;R130&amp;"")&amp;"*",INDIRECT("B"&amp;R130+1&amp;":B210"),0)+R130&amp;"")
+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INDIRECT("M"&amp;R130&amp;"")))),"")</f>
        <v/>
      </c>
      <c r="AC130" s="51" t="str">
        <f t="shared" ca="1" si="53"/>
        <v/>
      </c>
      <c r="AD130" s="51" t="str">
        <f t="shared" ca="1" si="54"/>
        <v/>
      </c>
      <c r="AE130" s="51" t="str">
        <f t="shared" ca="1" si="55"/>
        <v/>
      </c>
      <c r="AF130" s="51" t="str">
        <f t="shared" ca="1" si="56"/>
        <v/>
      </c>
      <c r="AG130" s="51" t="str">
        <f t="shared" ca="1" si="57"/>
        <v/>
      </c>
      <c r="AH130" s="191" t="str">
        <f t="shared" ca="1" si="58"/>
        <v/>
      </c>
      <c r="AI130" s="51" t="str">
        <f t="shared" ca="1" si="59"/>
        <v/>
      </c>
      <c r="AJ130" s="51" t="str">
        <f t="shared" ca="1" si="60"/>
        <v/>
      </c>
      <c r="AK130" s="51" t="str">
        <f t="shared" ca="1" si="61"/>
        <v/>
      </c>
      <c r="AL130" s="51" t="str">
        <f t="shared" ca="1" si="62"/>
        <v/>
      </c>
      <c r="AM130" s="51" t="str">
        <f t="shared" ca="1" si="63"/>
        <v/>
      </c>
      <c r="AN130" s="51" t="str">
        <f t="shared" ca="1" si="64"/>
        <v/>
      </c>
      <c r="AO130" s="51" t="str">
        <f t="shared" ca="1" si="65"/>
        <v/>
      </c>
      <c r="AP130" s="51" t="str">
        <f t="shared" ca="1" si="66"/>
        <v/>
      </c>
      <c r="AU130" s="51" t="str">
        <f t="shared" ca="1" si="67"/>
        <v/>
      </c>
    </row>
    <row r="131" spans="1:47" ht="22.2" customHeight="1">
      <c r="A131" s="179">
        <f t="shared" si="48"/>
        <v>127</v>
      </c>
      <c r="B131" s="180" t="str">
        <f t="shared" ca="1" si="46"/>
        <v/>
      </c>
      <c r="C131" s="180" t="str">
        <f>IF(OR(クライアント抽出!C61&lt;&gt;"",クライアント抽出!F61&lt;&gt;""),クライアント抽出!A61,"")</f>
        <v/>
      </c>
      <c r="D131" s="180" t="str">
        <f t="array" aca="1" ref="D131" ca="1">IF(C131&lt;&gt;"",INDIRECT("クライアント抽出!"&amp;E131&amp;MATCH(C131,クライアント抽出!A:A,0)&amp;""),"")</f>
        <v/>
      </c>
      <c r="E131" s="180" t="str">
        <f>IF(H131&lt;&gt;0,
IFERROR(
SUBSTITUTE(ADDRESS(1,
MATCH(VALUE(H131),クライアント抽出!A61:G61,0)+8,4),"1",""),
""),
IFERROR(
SUBSTITUTE(ADDRESS(1,
MATCH(VALUE(I131),クライアント抽出!A61:G61,0)+8,4),"1",""),
""))</f>
        <v/>
      </c>
      <c r="F131" s="181" t="str">
        <f ca="1">IF(D131&lt;&gt;"",
IF(COUNTIF(C131,"*雙葉*"),
IF(ROUND((H131-M131)
/IF(COUNTIF(D131,"*キャラ*"),
VLOOKUP("*キャラ*",商品マスタ一覧!$D:$E,2,FALSE),
IF(COUNTIF(D131,"*赤*"),
VLOOKUP("*赤*",商品マスタ一覧!$D:$E,2,FALSE),
VLOOKUP("*"&amp;D131&amp;"*",商品マスタ一覧!$D:$E,2,FALSE))),0)&lt;=0,1,
ROUND((H131-M131)
/IF(COUNTIF(D131,"*キャラ*"),
VLOOKUP("*キャラ*",商品マスタ一覧!$D:$E,2,FALSE),
IF(COUNTIF(D131,"*赤*"),
VLOOKUP("*赤*",商品マスタ一覧!$D:$E,2,FALSE),
VLOOKUP("*"&amp;D131&amp;"*",商品マスタ一覧!$D:$E,2,FALSE))),0)),
IF(OR(COUNTIF(D131,"*キャラ*"),COUNTIF(D131,"*赤*")),"",
IF(VLOOKUP("*"&amp;D131&amp;"*",商品マスタ一覧!$D:$E,2,FALSE)=0,"",
IF(ROUND((H131-M131)
/VLOOKUP("*"&amp;D131&amp;"*",商品マスタ一覧!$D:$E,2,FALSE),0)&lt;=0,1,
ROUND((H131-M131)
/VLOOKUP("*"&amp;D131&amp;"*",商品マスタ一覧!$D:$E,2,FALSE),0))))),"")</f>
        <v/>
      </c>
      <c r="G131" s="180" t="str">
        <f ca="1">IF(F131&lt;&gt;"",
IF(VALUE(H131-M131)&gt;VALUE(IF(COUNTIF(D131,"*キャラ*"),
VLOOKUP("*キャラ*",商品マスタ一覧!$D:$E,2,FALSE),
IF(COUNTIF(D131,"*赤*"),
VLOOKUP("*赤*",商品マスタ一覧!$D:$E,2,FALSE),
VLOOKUP("*"&amp;D131&amp;"*",商品マスタ一覧!$D:$E,2,FALSE)))*F131),
"+"&amp;(H131-M131)-IF(COUNTIF(D131,"*キャラ*"),
VLOOKUP("*キャラ*",商品マスタ一覧!$D:$E,2,FALSE),
IF(COUNTIF(D131,"*赤*"),
VLOOKUP("*赤*",商品マスタ一覧!$D:$E,2,FALSE),
VLOOKUP("*"&amp;D131&amp;"*",商品マスタ一覧!$D:$E,2,FALSE)))*F131,
(H131-M131)-IF(COUNTIF(D131,"*キャラ*"),
VLOOKUP("*キャラ*",商品マスタ一覧!$D:$E,2,FALSE),
IF(COUNTIF(D131,"*赤*"),
VLOOKUP("*赤*",商品マスタ一覧!$D:$E,2,FALSE),
VLOOKUP("*"&amp;D131&amp;"*",商品マスタ一覧!$D:$E,2,FALSE)))*F131),"")</f>
        <v/>
      </c>
      <c r="H131" s="182" t="str">
        <f>IF(C131&lt;&gt;"",
クライアント抽出!C61,"")</f>
        <v/>
      </c>
      <c r="I131" s="180" t="str">
        <f t="array" aca="1" ref="I131" ca="1">IF(C131&lt;&gt;"",
IF(O131=1,
IF(SUMPRODUCT(COUNTIF(クライアント抽出!P61:U61,クライアント抽出!P61:U61))&gt;COUNTA(クライアント抽出!P61:U61),
INDIRECT("数出表_Excel!"&amp;INDEX(_xlfn.UNIQUE(_xlfn._xlws.FILTER(クライアント抽出!P61:U61,COUNTIF(クライアント抽出!P61:U61,クライアント抽出!P61:U61)=1)),1)&amp;L131&amp;""),
0),クライアント抽出!F61),"")</f>
        <v/>
      </c>
      <c r="J131" s="180" t="str">
        <f>IF(C131&lt;&gt;"",
VLOOKUP(
"*"&amp;LEFT(IF(COUNTIF(D131,"*学食*"),"キャラ弁（学食）",
IF(COUNTIF(D131,"*赤*"),"赤",
IF(COUNTIF(D131,"*キャラ弁当*"),"キャラ弁当",D131))),4)&amp;"*",注文弁当の抽出!$E$1:$F$15,2,FALSE),"")</f>
        <v/>
      </c>
      <c r="K131" s="180" t="str">
        <f ca="1">IF(クライアント抽出!Q61&lt;&gt;"",SUBSTITUTE(ADDRESS(1,(CODE(クライアント抽出!Q61)-64)*2-1,4),"1",""),"")</f>
        <v/>
      </c>
      <c r="L131" s="180" t="str">
        <f>IF(C61&lt;&gt;"",クライアント抽出!I61,"")</f>
        <v/>
      </c>
      <c r="M131" s="180">
        <f t="array" aca="1" ref="M131" ca="1">IF(C131&lt;&gt;"",
IF(K131&lt;&gt;"",INDIRECT("'数出表_Excel（アレルギー入力）'!"&amp;K131&amp;L131-1&amp;""),),)</f>
        <v>0</v>
      </c>
      <c r="N131" s="180" t="str">
        <f>IF(C131&lt;&gt;"",IF(OR(COUNTIF('盛付札（関数）'!D131,"*赤*"),COUNTIF('盛付札（関数）'!D131,"*キャラ*")),1,
VLOOKUP("*"&amp;D131&amp;"*",商品マスタ一覧!D:H,5,FALSE)),"")</f>
        <v/>
      </c>
      <c r="O131" s="180">
        <f t="shared" ca="1" si="47"/>
        <v>0</v>
      </c>
      <c r="P131" s="180">
        <f t="shared" si="49"/>
        <v>0</v>
      </c>
      <c r="Q131" s="180" t="b">
        <f t="shared" si="50"/>
        <v>0</v>
      </c>
      <c r="R131" s="51" t="str">
        <f t="array" aca="1" ref="R131" ca="1">IFERROR(SMALL(IF(P$1:P$307&lt;&gt;0,P$1:P$307),ROW(A131)),"")</f>
        <v/>
      </c>
      <c r="S131" s="51" t="str">
        <f t="array" aca="1" ref="S131" ca="1">IF($R131&lt;&gt;"",
SUBSTITUTE(SUBSTITUTE(INDIRECT("C"&amp;$R131&amp;"")," 週3ｺｰｽ","")," 週5ｺｰｽ",""),"")</f>
        <v/>
      </c>
      <c r="T131" s="51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91" t="str">
        <f t="array" aca="1" ref="U131" ca="1">IF($R131&lt;&gt;"",
INDIRECT("F"&amp;$R131&amp;""),"")</f>
        <v/>
      </c>
      <c r="V131" s="51" t="str">
        <f t="array" aca="1" ref="V131" ca="1">IF($R131&lt;&gt;"",
INDIRECT("G"&amp;$R131&amp;""),"")</f>
        <v/>
      </c>
      <c r="W131" s="51" t="str">
        <f t="array" aca="1" ref="W131" ca="1">IF($R131&lt;&gt;"",
IF(AND(COUNTIF(INDIRECT("B"&amp;R131&amp;""),"*雙葉*"),COUNTIF(B:B,"*雙葉*")&gt;=2),
IF(OR(COUNTIF(INDIRECT("B"&amp;R131&amp;""),"*雙葉先生*"),COUNTIF($B$1:$B$70,"*雙葉*")&gt;=2),INDIRECT("H"&amp;R131&amp;""),INDIRECT("H"&amp;R131&amp;"")+INDIRECT("H"&amp;MATCH("雙葉'",INDIRECT("B"&amp;R131+3&amp;":B210"),0)+2+R131&amp;"")),
IF(AND(LEFT(INDIRECT("B"&amp;R131&amp;""),2)="博多",COUNTIF(B:B,"*博多*")&gt;=2),
INDIRECT("H"&amp;R131&amp;"")+INDIRECT("H"&amp;MATCH("*"&amp;INDIRECT("B"&amp;R131&amp;"")&amp;"*",INDIRECT("B"&amp;R131+1&amp;":B210"),0)+R131&amp;""),
IF(AND(LEFT(INDIRECT("B"&amp;R131&amp;""),3)="奈良屋",COUNTIF(B:B,"*奈良屋*")&gt;=2),
INDIRECT("H"&amp;R131&amp;"")+INDIRECT("H"&amp;MATCH("*"&amp;INDIRECT("B"&amp;R131&amp;"")&amp;"*",INDIRECT("B"&amp;R131+1&amp;":B210"),0)+R131&amp;"")
+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INDIRECT("H"&amp;R131&amp;"")))),"")</f>
        <v/>
      </c>
      <c r="X131" s="51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51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51" t="str">
        <f t="shared" ca="1" si="51"/>
        <v/>
      </c>
      <c r="AA131" s="51" t="str">
        <f t="shared" ca="1" si="52"/>
        <v/>
      </c>
      <c r="AB131" s="51" t="str">
        <f t="array" aca="1" ref="AB131" ca="1">IF($R131&lt;&gt;"",
IF(AND(COUNTIF(INDIRECT("B"&amp;R131&amp;""),"*雙葉*"),COUNTIF(B:B,"*雙葉*")&gt;=2),
INDIRECT("M"&amp;R131&amp;"")+INDIRECT("M"&amp;MATCH("雙葉'",INDIRECT("B"&amp;R131+1&amp;":B210"),0)+R131&amp;""),
IF(AND(LEFT(INDIRECT("B"&amp;R131&amp;""),2)="博多",COUNTIF(B:B,"*博多*")&gt;=2),
INDIRECT("M"&amp;R131&amp;"")+INDIRECT("M"&amp;MATCH("*"&amp;INDIRECT("B"&amp;R131&amp;"")&amp;"*",INDIRECT("B"&amp;R131+1&amp;":B210"),0)+R131&amp;""),
IF(AND(LEFT(INDIRECT("B"&amp;R131&amp;""),3)="奈良屋",COUNTIF(B:B,"*奈良屋*")&gt;=2),
INDIRECT("M"&amp;R131&amp;"")+INDIRECT("M"&amp;MATCH("*"&amp;INDIRECT("B"&amp;R131&amp;"")&amp;"*",INDIRECT("B"&amp;R131+1&amp;":B210"),0)+R131&amp;"")
+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INDIRECT("M"&amp;R131&amp;"")))),"")</f>
        <v/>
      </c>
      <c r="AC131" s="51" t="str">
        <f t="shared" ca="1" si="53"/>
        <v/>
      </c>
      <c r="AD131" s="51" t="str">
        <f t="shared" ca="1" si="54"/>
        <v/>
      </c>
      <c r="AE131" s="51" t="str">
        <f t="shared" ca="1" si="55"/>
        <v/>
      </c>
      <c r="AF131" s="51" t="str">
        <f t="shared" ca="1" si="56"/>
        <v/>
      </c>
      <c r="AG131" s="51" t="str">
        <f t="shared" ca="1" si="57"/>
        <v/>
      </c>
      <c r="AH131" s="191" t="str">
        <f t="shared" ca="1" si="58"/>
        <v/>
      </c>
      <c r="AI131" s="51" t="str">
        <f t="shared" ca="1" si="59"/>
        <v/>
      </c>
      <c r="AJ131" s="51" t="str">
        <f t="shared" ca="1" si="60"/>
        <v/>
      </c>
      <c r="AK131" s="51" t="str">
        <f t="shared" ca="1" si="61"/>
        <v/>
      </c>
      <c r="AL131" s="51" t="str">
        <f t="shared" ca="1" si="62"/>
        <v/>
      </c>
      <c r="AM131" s="51" t="str">
        <f t="shared" ca="1" si="63"/>
        <v/>
      </c>
      <c r="AN131" s="51" t="str">
        <f t="shared" ca="1" si="64"/>
        <v/>
      </c>
      <c r="AO131" s="51" t="str">
        <f t="shared" ca="1" si="65"/>
        <v/>
      </c>
      <c r="AP131" s="51" t="str">
        <f t="shared" ca="1" si="66"/>
        <v/>
      </c>
      <c r="AU131" s="51" t="str">
        <f t="shared" ca="1" si="67"/>
        <v/>
      </c>
    </row>
    <row r="132" spans="1:47" ht="22.2" customHeight="1">
      <c r="A132" s="179">
        <f t="shared" si="48"/>
        <v>129</v>
      </c>
      <c r="B132" s="180" t="str">
        <f t="shared" ca="1" si="46"/>
        <v/>
      </c>
      <c r="C132" s="180" t="str">
        <f>IF(OR(クライアント抽出!C62&lt;&gt;"",クライアント抽出!F62&lt;&gt;""),クライアント抽出!A62,"")</f>
        <v/>
      </c>
      <c r="D132" s="180" t="str">
        <f t="array" aca="1" ref="D132" ca="1">IF(C132&lt;&gt;"",INDIRECT("クライアント抽出!"&amp;E132&amp;MATCH(C132,クライアント抽出!A:A,0)&amp;""),"")</f>
        <v/>
      </c>
      <c r="E132" s="180" t="str">
        <f>IF(H132&lt;&gt;0,
IFERROR(
SUBSTITUTE(ADDRESS(1,
MATCH(VALUE(H132),クライアント抽出!A62:G62,0)+8,4),"1",""),
""),
IFERROR(
SUBSTITUTE(ADDRESS(1,
MATCH(VALUE(I132),クライアント抽出!A62:G62,0)+8,4),"1",""),
""))</f>
        <v/>
      </c>
      <c r="F132" s="181" t="str">
        <f ca="1">IF(D132&lt;&gt;"",
IF(COUNTIF(C132,"*雙葉*"),
IF(ROUND((H132-M132)
/IF(COUNTIF(D132,"*キャラ*"),
VLOOKUP("*キャラ*",商品マスタ一覧!$D:$E,2,FALSE),
IF(COUNTIF(D132,"*赤*"),
VLOOKUP("*赤*",商品マスタ一覧!$D:$E,2,FALSE),
VLOOKUP("*"&amp;D132&amp;"*",商品マスタ一覧!$D:$E,2,FALSE))),0)&lt;=0,1,
ROUND((H132-M132)
/IF(COUNTIF(D132,"*キャラ*"),
VLOOKUP("*キャラ*",商品マスタ一覧!$D:$E,2,FALSE),
IF(COUNTIF(D132,"*赤*"),
VLOOKUP("*赤*",商品マスタ一覧!$D:$E,2,FALSE),
VLOOKUP("*"&amp;D132&amp;"*",商品マスタ一覧!$D:$E,2,FALSE))),0)),
IF(OR(COUNTIF(D132,"*キャラ*"),COUNTIF(D132,"*赤*")),"",
IF(VLOOKUP("*"&amp;D132&amp;"*",商品マスタ一覧!$D:$E,2,FALSE)=0,"",
IF(ROUND((H132-M132)
/VLOOKUP("*"&amp;D132&amp;"*",商品マスタ一覧!$D:$E,2,FALSE),0)&lt;=0,1,
ROUND((H132-M132)
/VLOOKUP("*"&amp;D132&amp;"*",商品マスタ一覧!$D:$E,2,FALSE),0))))),"")</f>
        <v/>
      </c>
      <c r="G132" s="180" t="str">
        <f ca="1">IF(F132&lt;&gt;"",
IF(VALUE(H132-M132)&gt;VALUE(IF(COUNTIF(D132,"*キャラ*"),
VLOOKUP("*キャラ*",商品マスタ一覧!$D:$E,2,FALSE),
IF(COUNTIF(D132,"*赤*"),
VLOOKUP("*赤*",商品マスタ一覧!$D:$E,2,FALSE),
VLOOKUP("*"&amp;D132&amp;"*",商品マスタ一覧!$D:$E,2,FALSE)))*F132),
"+"&amp;(H132-M132)-IF(COUNTIF(D132,"*キャラ*"),
VLOOKUP("*キャラ*",商品マスタ一覧!$D:$E,2,FALSE),
IF(COUNTIF(D132,"*赤*"),
VLOOKUP("*赤*",商品マスタ一覧!$D:$E,2,FALSE),
VLOOKUP("*"&amp;D132&amp;"*",商品マスタ一覧!$D:$E,2,FALSE)))*F132,
(H132-M132)-IF(COUNTIF(D132,"*キャラ*"),
VLOOKUP("*キャラ*",商品マスタ一覧!$D:$E,2,FALSE),
IF(COUNTIF(D132,"*赤*"),
VLOOKUP("*赤*",商品マスタ一覧!$D:$E,2,FALSE),
VLOOKUP("*"&amp;D132&amp;"*",商品マスタ一覧!$D:$E,2,FALSE)))*F132),"")</f>
        <v/>
      </c>
      <c r="H132" s="182" t="str">
        <f>IF(C132&lt;&gt;"",
クライアント抽出!C62,"")</f>
        <v/>
      </c>
      <c r="I132" s="180" t="str">
        <f t="array" aca="1" ref="I132" ca="1">IF(C132&lt;&gt;"",
IF(O132=1,
IF(SUMPRODUCT(COUNTIF(クライアント抽出!P62:U62,クライアント抽出!P62:U62))&gt;COUNTA(クライアント抽出!P62:U62),
INDIRECT("数出表_Excel!"&amp;INDEX(_xlfn.UNIQUE(_xlfn._xlws.FILTER(クライアント抽出!P62:U62,COUNTIF(クライアント抽出!P62:U62,クライアント抽出!P62:U62)=1)),1)&amp;L132&amp;""),
0),クライアント抽出!F62),"")</f>
        <v/>
      </c>
      <c r="J132" s="180" t="str">
        <f>IF(C132&lt;&gt;"",
VLOOKUP(
"*"&amp;LEFT(IF(COUNTIF(D132,"*学食*"),"キャラ弁（学食）",
IF(COUNTIF(D132,"*赤*"),"赤",
IF(COUNTIF(D132,"*キャラ弁当*"),"キャラ弁当",D132))),4)&amp;"*",注文弁当の抽出!$E$1:$F$15,2,FALSE),"")</f>
        <v/>
      </c>
      <c r="K132" s="180" t="str">
        <f ca="1">IF(クライアント抽出!Q62&lt;&gt;"",SUBSTITUTE(ADDRESS(1,(CODE(クライアント抽出!Q62)-64)*2-1,4),"1",""),"")</f>
        <v/>
      </c>
      <c r="L132" s="180" t="str">
        <f>IF(C62&lt;&gt;"",クライアント抽出!I62,"")</f>
        <v/>
      </c>
      <c r="M132" s="180">
        <f t="array" aca="1" ref="M132" ca="1">IF(C132&lt;&gt;"",
IF(K132&lt;&gt;"",INDIRECT("'数出表_Excel（アレルギー入力）'!"&amp;K132&amp;L132-1&amp;""),),)</f>
        <v>0</v>
      </c>
      <c r="N132" s="180" t="str">
        <f>IF(C132&lt;&gt;"",IF(OR(COUNTIF('盛付札（関数）'!D132,"*赤*"),COUNTIF('盛付札（関数）'!D132,"*キャラ*")),1,
VLOOKUP("*"&amp;D132&amp;"*",商品マスタ一覧!D:H,5,FALSE)),"")</f>
        <v/>
      </c>
      <c r="O132" s="180">
        <f t="shared" ca="1" si="47"/>
        <v>0</v>
      </c>
      <c r="P132" s="180">
        <f t="shared" si="49"/>
        <v>0</v>
      </c>
      <c r="Q132" s="180" t="b">
        <f t="shared" si="50"/>
        <v>0</v>
      </c>
      <c r="R132" s="51" t="str">
        <f t="array" aca="1" ref="R132" ca="1">IFERROR(SMALL(IF(P$1:P$307&lt;&gt;0,P$1:P$307),ROW(A132)),"")</f>
        <v/>
      </c>
      <c r="S132" s="51" t="str">
        <f t="array" aca="1" ref="S132" ca="1">IF($R132&lt;&gt;"",
SUBSTITUTE(SUBSTITUTE(INDIRECT("C"&amp;$R132&amp;"")," 週3ｺｰｽ","")," 週5ｺｰｽ",""),"")</f>
        <v/>
      </c>
      <c r="T132" s="51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91" t="str">
        <f t="array" aca="1" ref="U132" ca="1">IF($R132&lt;&gt;"",
INDIRECT("F"&amp;$R132&amp;""),"")</f>
        <v/>
      </c>
      <c r="V132" s="51" t="str">
        <f t="array" aca="1" ref="V132" ca="1">IF($R132&lt;&gt;"",
INDIRECT("G"&amp;$R132&amp;""),"")</f>
        <v/>
      </c>
      <c r="W132" s="51" t="str">
        <f t="array" aca="1" ref="W132" ca="1">IF($R132&lt;&gt;"",
IF(AND(COUNTIF(INDIRECT("B"&amp;R132&amp;""),"*雙葉*"),COUNTIF(B:B,"*雙葉*")&gt;=2),
IF(OR(COUNTIF(INDIRECT("B"&amp;R132&amp;""),"*雙葉先生*"),COUNTIF($B$1:$B$70,"*雙葉*")&gt;=2),INDIRECT("H"&amp;R132&amp;""),INDIRECT("H"&amp;R132&amp;"")+INDIRECT("H"&amp;MATCH("雙葉'",INDIRECT("B"&amp;R132+3&amp;":B210"),0)+2+R132&amp;"")),
IF(AND(LEFT(INDIRECT("B"&amp;R132&amp;""),2)="博多",COUNTIF(B:B,"*博多*")&gt;=2),
INDIRECT("H"&amp;R132&amp;"")+INDIRECT("H"&amp;MATCH("*"&amp;INDIRECT("B"&amp;R132&amp;"")&amp;"*",INDIRECT("B"&amp;R132+1&amp;":B210"),0)+R132&amp;""),
IF(AND(LEFT(INDIRECT("B"&amp;R132&amp;""),3)="奈良屋",COUNTIF(B:B,"*奈良屋*")&gt;=2),
INDIRECT("H"&amp;R132&amp;"")+INDIRECT("H"&amp;MATCH("*"&amp;INDIRECT("B"&amp;R132&amp;"")&amp;"*",INDIRECT("B"&amp;R132+1&amp;":B210"),0)+R132&amp;"")
+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INDIRECT("H"&amp;R132&amp;"")))),"")</f>
        <v/>
      </c>
      <c r="X132" s="51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51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51" t="str">
        <f t="shared" ca="1" si="51"/>
        <v/>
      </c>
      <c r="AA132" s="51" t="str">
        <f t="shared" ca="1" si="52"/>
        <v/>
      </c>
      <c r="AB132" s="51" t="str">
        <f t="array" aca="1" ref="AB132" ca="1">IF($R132&lt;&gt;"",
IF(AND(COUNTIF(INDIRECT("B"&amp;R132&amp;""),"*雙葉*"),COUNTIF(B:B,"*雙葉*")&gt;=2),
INDIRECT("M"&amp;R132&amp;"")+INDIRECT("M"&amp;MATCH("雙葉'",INDIRECT("B"&amp;R132+1&amp;":B210"),0)+R132&amp;""),
IF(AND(LEFT(INDIRECT("B"&amp;R132&amp;""),2)="博多",COUNTIF(B:B,"*博多*")&gt;=2),
INDIRECT("M"&amp;R132&amp;"")+INDIRECT("M"&amp;MATCH("*"&amp;INDIRECT("B"&amp;R132&amp;"")&amp;"*",INDIRECT("B"&amp;R132+1&amp;":B210"),0)+R132&amp;""),
IF(AND(LEFT(INDIRECT("B"&amp;R132&amp;""),3)="奈良屋",COUNTIF(B:B,"*奈良屋*")&gt;=2),
INDIRECT("M"&amp;R132&amp;"")+INDIRECT("M"&amp;MATCH("*"&amp;INDIRECT("B"&amp;R132&amp;"")&amp;"*",INDIRECT("B"&amp;R132+1&amp;":B210"),0)+R132&amp;"")
+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INDIRECT("M"&amp;R132&amp;"")))),"")</f>
        <v/>
      </c>
      <c r="AC132" s="51" t="str">
        <f t="shared" ca="1" si="53"/>
        <v/>
      </c>
      <c r="AD132" s="51" t="str">
        <f t="shared" ca="1" si="54"/>
        <v/>
      </c>
      <c r="AE132" s="51" t="str">
        <f t="shared" ca="1" si="55"/>
        <v/>
      </c>
      <c r="AF132" s="51" t="str">
        <f t="shared" ca="1" si="56"/>
        <v/>
      </c>
      <c r="AG132" s="51" t="str">
        <f t="shared" ca="1" si="57"/>
        <v/>
      </c>
      <c r="AH132" s="191" t="str">
        <f t="shared" ca="1" si="58"/>
        <v/>
      </c>
      <c r="AI132" s="51" t="str">
        <f t="shared" ca="1" si="59"/>
        <v/>
      </c>
      <c r="AJ132" s="51" t="str">
        <f t="shared" ca="1" si="60"/>
        <v/>
      </c>
      <c r="AK132" s="51" t="str">
        <f t="shared" ca="1" si="61"/>
        <v/>
      </c>
      <c r="AL132" s="51" t="str">
        <f t="shared" ca="1" si="62"/>
        <v/>
      </c>
      <c r="AM132" s="51" t="str">
        <f t="shared" ca="1" si="63"/>
        <v/>
      </c>
      <c r="AN132" s="51" t="str">
        <f t="shared" ca="1" si="64"/>
        <v/>
      </c>
      <c r="AO132" s="51" t="str">
        <f t="shared" ca="1" si="65"/>
        <v/>
      </c>
      <c r="AP132" s="51" t="str">
        <f t="shared" ca="1" si="66"/>
        <v/>
      </c>
      <c r="AU132" s="51" t="str">
        <f t="shared" ca="1" si="67"/>
        <v/>
      </c>
    </row>
    <row r="133" spans="1:47" ht="22.2" customHeight="1">
      <c r="A133" s="179">
        <f t="shared" si="48"/>
        <v>131</v>
      </c>
      <c r="B133" s="180" t="str">
        <f t="shared" ca="1" si="46"/>
        <v/>
      </c>
      <c r="C133" s="180" t="str">
        <f>IF(OR(クライアント抽出!C63&lt;&gt;"",クライアント抽出!F63&lt;&gt;""),クライアント抽出!A63,"")</f>
        <v/>
      </c>
      <c r="D133" s="180" t="str">
        <f t="array" aca="1" ref="D133" ca="1">IF(C133&lt;&gt;"",INDIRECT("クライアント抽出!"&amp;E133&amp;MATCH(C133,クライアント抽出!A:A,0)&amp;""),"")</f>
        <v/>
      </c>
      <c r="E133" s="180" t="str">
        <f>IF(H133&lt;&gt;0,
IFERROR(
SUBSTITUTE(ADDRESS(1,
MATCH(VALUE(H133),クライアント抽出!A63:G63,0)+8,4),"1",""),
""),
IFERROR(
SUBSTITUTE(ADDRESS(1,
MATCH(VALUE(I133),クライアント抽出!A63:G63,0)+8,4),"1",""),
""))</f>
        <v/>
      </c>
      <c r="F133" s="181" t="str">
        <f ca="1">IF(D133&lt;&gt;"",
IF(COUNTIF(C133,"*雙葉*"),
IF(ROUND((H133-M133)
/IF(COUNTIF(D133,"*キャラ*"),
VLOOKUP("*キャラ*",商品マスタ一覧!$D:$E,2,FALSE),
IF(COUNTIF(D133,"*赤*"),
VLOOKUP("*赤*",商品マスタ一覧!$D:$E,2,FALSE),
VLOOKUP("*"&amp;D133&amp;"*",商品マスタ一覧!$D:$E,2,FALSE))),0)&lt;=0,1,
ROUND((H133-M133)
/IF(COUNTIF(D133,"*キャラ*"),
VLOOKUP("*キャラ*",商品マスタ一覧!$D:$E,2,FALSE),
IF(COUNTIF(D133,"*赤*"),
VLOOKUP("*赤*",商品マスタ一覧!$D:$E,2,FALSE),
VLOOKUP("*"&amp;D133&amp;"*",商品マスタ一覧!$D:$E,2,FALSE))),0)),
IF(OR(COUNTIF(D133,"*キャラ*"),COUNTIF(D133,"*赤*")),"",
IF(VLOOKUP("*"&amp;D133&amp;"*",商品マスタ一覧!$D:$E,2,FALSE)=0,"",
IF(ROUND((H133-M133)
/VLOOKUP("*"&amp;D133&amp;"*",商品マスタ一覧!$D:$E,2,FALSE),0)&lt;=0,1,
ROUND((H133-M133)
/VLOOKUP("*"&amp;D133&amp;"*",商品マスタ一覧!$D:$E,2,FALSE),0))))),"")</f>
        <v/>
      </c>
      <c r="G133" s="180" t="str">
        <f ca="1">IF(F133&lt;&gt;"",
IF(VALUE(H133-M133)&gt;VALUE(IF(COUNTIF(D133,"*キャラ*"),
VLOOKUP("*キャラ*",商品マスタ一覧!$D:$E,2,FALSE),
IF(COUNTIF(D133,"*赤*"),
VLOOKUP("*赤*",商品マスタ一覧!$D:$E,2,FALSE),
VLOOKUP("*"&amp;D133&amp;"*",商品マスタ一覧!$D:$E,2,FALSE)))*F133),
"+"&amp;(H133-M133)-IF(COUNTIF(D133,"*キャラ*"),
VLOOKUP("*キャラ*",商品マスタ一覧!$D:$E,2,FALSE),
IF(COUNTIF(D133,"*赤*"),
VLOOKUP("*赤*",商品マスタ一覧!$D:$E,2,FALSE),
VLOOKUP("*"&amp;D133&amp;"*",商品マスタ一覧!$D:$E,2,FALSE)))*F133,
(H133-M133)-IF(COUNTIF(D133,"*キャラ*"),
VLOOKUP("*キャラ*",商品マスタ一覧!$D:$E,2,FALSE),
IF(COUNTIF(D133,"*赤*"),
VLOOKUP("*赤*",商品マスタ一覧!$D:$E,2,FALSE),
VLOOKUP("*"&amp;D133&amp;"*",商品マスタ一覧!$D:$E,2,FALSE)))*F133),"")</f>
        <v/>
      </c>
      <c r="H133" s="182" t="str">
        <f>IF(C133&lt;&gt;"",
クライアント抽出!C63,"")</f>
        <v/>
      </c>
      <c r="I133" s="180" t="str">
        <f t="array" aca="1" ref="I133" ca="1">IF(C133&lt;&gt;"",
IF(O133=1,
IF(SUMPRODUCT(COUNTIF(クライアント抽出!P63:U63,クライアント抽出!P63:U63))&gt;COUNTA(クライアント抽出!P63:U63),
INDIRECT("数出表_Excel!"&amp;INDEX(_xlfn.UNIQUE(_xlfn._xlws.FILTER(クライアント抽出!P63:U63,COUNTIF(クライアント抽出!P63:U63,クライアント抽出!P63:U63)=1)),1)&amp;L133&amp;""),
0),クライアント抽出!F63),"")</f>
        <v/>
      </c>
      <c r="J133" s="180" t="str">
        <f>IF(C133&lt;&gt;"",
VLOOKUP(
"*"&amp;LEFT(IF(COUNTIF(D133,"*学食*"),"キャラ弁（学食）",
IF(COUNTIF(D133,"*赤*"),"赤",
IF(COUNTIF(D133,"*キャラ弁当*"),"キャラ弁当",D133))),4)&amp;"*",注文弁当の抽出!$E$1:$F$15,2,FALSE),"")</f>
        <v/>
      </c>
      <c r="K133" s="180" t="str">
        <f ca="1">IF(クライアント抽出!Q63&lt;&gt;"",SUBSTITUTE(ADDRESS(1,(CODE(クライアント抽出!Q63)-64)*2-1,4),"1",""),"")</f>
        <v/>
      </c>
      <c r="L133" s="180" t="str">
        <f>IF(C63&lt;&gt;"",クライアント抽出!I63,"")</f>
        <v/>
      </c>
      <c r="M133" s="180">
        <f t="array" aca="1" ref="M133" ca="1">IF(C133&lt;&gt;"",
IF(K133&lt;&gt;"",INDIRECT("'数出表_Excel（アレルギー入力）'!"&amp;K133&amp;L133-1&amp;""),),)</f>
        <v>0</v>
      </c>
      <c r="N133" s="180" t="str">
        <f>IF(C133&lt;&gt;"",IF(OR(COUNTIF('盛付札（関数）'!D133,"*赤*"),COUNTIF('盛付札（関数）'!D133,"*キャラ*")),1,
VLOOKUP("*"&amp;D133&amp;"*",商品マスタ一覧!D:H,5,FALSE)),"")</f>
        <v/>
      </c>
      <c r="O133" s="180">
        <f t="shared" ca="1" si="47"/>
        <v>0</v>
      </c>
      <c r="P133" s="180">
        <f t="shared" si="49"/>
        <v>0</v>
      </c>
      <c r="Q133" s="180" t="b">
        <f t="shared" si="50"/>
        <v>0</v>
      </c>
      <c r="R133" s="51" t="str">
        <f t="array" aca="1" ref="R133" ca="1">IFERROR(SMALL(IF(P$1:P$307&lt;&gt;0,P$1:P$307),ROW(A133)),"")</f>
        <v/>
      </c>
      <c r="S133" s="51" t="str">
        <f t="array" aca="1" ref="S133" ca="1">IF($R133&lt;&gt;"",
SUBSTITUTE(SUBSTITUTE(INDIRECT("C"&amp;$R133&amp;"")," 週3ｺｰｽ","")," 週5ｺｰｽ",""),"")</f>
        <v/>
      </c>
      <c r="T133" s="51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91" t="str">
        <f t="array" aca="1" ref="U133" ca="1">IF($R133&lt;&gt;"",
INDIRECT("F"&amp;$R133&amp;""),"")</f>
        <v/>
      </c>
      <c r="V133" s="51" t="str">
        <f t="array" aca="1" ref="V133" ca="1">IF($R133&lt;&gt;"",
INDIRECT("G"&amp;$R133&amp;""),"")</f>
        <v/>
      </c>
      <c r="W133" s="51" t="str">
        <f t="array" aca="1" ref="W133" ca="1">IF($R133&lt;&gt;"",
IF(AND(COUNTIF(INDIRECT("B"&amp;R133&amp;""),"*雙葉*"),COUNTIF(B:B,"*雙葉*")&gt;=2),
IF(OR(COUNTIF(INDIRECT("B"&amp;R133&amp;""),"*雙葉先生*"),COUNTIF($B$1:$B$70,"*雙葉*")&gt;=2),INDIRECT("H"&amp;R133&amp;""),INDIRECT("H"&amp;R133&amp;"")+INDIRECT("H"&amp;MATCH("雙葉'",INDIRECT("B"&amp;R133+3&amp;":B210"),0)+2+R133&amp;"")),
IF(AND(LEFT(INDIRECT("B"&amp;R133&amp;""),2)="博多",COUNTIF(B:B,"*博多*")&gt;=2),
INDIRECT("H"&amp;R133&amp;"")+INDIRECT("H"&amp;MATCH("*"&amp;INDIRECT("B"&amp;R133&amp;"")&amp;"*",INDIRECT("B"&amp;R133+1&amp;":B210"),0)+R133&amp;""),
IF(AND(LEFT(INDIRECT("B"&amp;R133&amp;""),3)="奈良屋",COUNTIF(B:B,"*奈良屋*")&gt;=2),
INDIRECT("H"&amp;R133&amp;"")+INDIRECT("H"&amp;MATCH("*"&amp;INDIRECT("B"&amp;R133&amp;"")&amp;"*",INDIRECT("B"&amp;R133+1&amp;":B210"),0)+R133&amp;"")
+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INDIRECT("H"&amp;R133&amp;"")))),"")</f>
        <v/>
      </c>
      <c r="X133" s="51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51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51" t="str">
        <f t="shared" ca="1" si="51"/>
        <v/>
      </c>
      <c r="AA133" s="51" t="str">
        <f t="shared" ca="1" si="52"/>
        <v/>
      </c>
      <c r="AB133" s="51" t="str">
        <f t="array" aca="1" ref="AB133" ca="1">IF($R133&lt;&gt;"",
IF(AND(COUNTIF(INDIRECT("B"&amp;R133&amp;""),"*雙葉*"),COUNTIF(B:B,"*雙葉*")&gt;=2),
INDIRECT("M"&amp;R133&amp;"")+INDIRECT("M"&amp;MATCH("雙葉'",INDIRECT("B"&amp;R133+1&amp;":B210"),0)+R133&amp;""),
IF(AND(LEFT(INDIRECT("B"&amp;R133&amp;""),2)="博多",COUNTIF(B:B,"*博多*")&gt;=2),
INDIRECT("M"&amp;R133&amp;"")+INDIRECT("M"&amp;MATCH("*"&amp;INDIRECT("B"&amp;R133&amp;"")&amp;"*",INDIRECT("B"&amp;R133+1&amp;":B210"),0)+R133&amp;""),
IF(AND(LEFT(INDIRECT("B"&amp;R133&amp;""),3)="奈良屋",COUNTIF(B:B,"*奈良屋*")&gt;=2),
INDIRECT("M"&amp;R133&amp;"")+INDIRECT("M"&amp;MATCH("*"&amp;INDIRECT("B"&amp;R133&amp;"")&amp;"*",INDIRECT("B"&amp;R133+1&amp;":B210"),0)+R133&amp;"")
+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INDIRECT("M"&amp;R133&amp;"")))),"")</f>
        <v/>
      </c>
      <c r="AC133" s="51" t="str">
        <f t="shared" ca="1" si="53"/>
        <v/>
      </c>
      <c r="AD133" s="51" t="str">
        <f t="shared" ca="1" si="54"/>
        <v/>
      </c>
      <c r="AE133" s="51" t="str">
        <f t="shared" ca="1" si="55"/>
        <v/>
      </c>
      <c r="AF133" s="51" t="str">
        <f t="shared" ca="1" si="56"/>
        <v/>
      </c>
      <c r="AG133" s="51" t="str">
        <f t="shared" ca="1" si="57"/>
        <v/>
      </c>
      <c r="AH133" s="191" t="str">
        <f t="shared" ca="1" si="58"/>
        <v/>
      </c>
      <c r="AI133" s="51" t="str">
        <f t="shared" ca="1" si="59"/>
        <v/>
      </c>
      <c r="AJ133" s="51" t="str">
        <f t="shared" ca="1" si="60"/>
        <v/>
      </c>
      <c r="AK133" s="51" t="str">
        <f t="shared" ca="1" si="61"/>
        <v/>
      </c>
      <c r="AL133" s="51" t="str">
        <f t="shared" ca="1" si="62"/>
        <v/>
      </c>
      <c r="AM133" s="51" t="str">
        <f t="shared" ca="1" si="63"/>
        <v/>
      </c>
      <c r="AN133" s="51" t="str">
        <f t="shared" ca="1" si="64"/>
        <v/>
      </c>
      <c r="AO133" s="51" t="str">
        <f t="shared" ca="1" si="65"/>
        <v/>
      </c>
      <c r="AP133" s="51" t="str">
        <f t="shared" ca="1" si="66"/>
        <v/>
      </c>
      <c r="AU133" s="51" t="str">
        <f t="shared" ca="1" si="67"/>
        <v/>
      </c>
    </row>
    <row r="134" spans="1:47" ht="22.2" customHeight="1">
      <c r="A134" s="179">
        <f t="shared" si="48"/>
        <v>133</v>
      </c>
      <c r="B134" s="180" t="str">
        <f t="shared" ca="1" si="46"/>
        <v/>
      </c>
      <c r="C134" s="180" t="str">
        <f>IF(OR(クライアント抽出!C64&lt;&gt;"",クライアント抽出!F64&lt;&gt;""),クライアント抽出!A64,"")</f>
        <v/>
      </c>
      <c r="D134" s="180" t="str">
        <f t="array" aca="1" ref="D134" ca="1">IF(C134&lt;&gt;"",INDIRECT("クライアント抽出!"&amp;E134&amp;MATCH(C134,クライアント抽出!A:A,0)&amp;""),"")</f>
        <v/>
      </c>
      <c r="E134" s="180" t="str">
        <f>IF(H134&lt;&gt;0,
IFERROR(
SUBSTITUTE(ADDRESS(1,
MATCH(VALUE(H134),クライアント抽出!A64:G64,0)+8,4),"1",""),
""),
IFERROR(
SUBSTITUTE(ADDRESS(1,
MATCH(VALUE(I134),クライアント抽出!A64:G64,0)+8,4),"1",""),
""))</f>
        <v/>
      </c>
      <c r="F134" s="181" t="str">
        <f ca="1">IF(D134&lt;&gt;"",
IF(COUNTIF(C134,"*雙葉*"),
IF(ROUND((H134-M134)
/IF(COUNTIF(D134,"*キャラ*"),
VLOOKUP("*キャラ*",商品マスタ一覧!$D:$E,2,FALSE),
IF(COUNTIF(D134,"*赤*"),
VLOOKUP("*赤*",商品マスタ一覧!$D:$E,2,FALSE),
VLOOKUP("*"&amp;D134&amp;"*",商品マスタ一覧!$D:$E,2,FALSE))),0)&lt;=0,1,
ROUND((H134-M134)
/IF(COUNTIF(D134,"*キャラ*"),
VLOOKUP("*キャラ*",商品マスタ一覧!$D:$E,2,FALSE),
IF(COUNTIF(D134,"*赤*"),
VLOOKUP("*赤*",商品マスタ一覧!$D:$E,2,FALSE),
VLOOKUP("*"&amp;D134&amp;"*",商品マスタ一覧!$D:$E,2,FALSE))),0)),
IF(OR(COUNTIF(D134,"*キャラ*"),COUNTIF(D134,"*赤*")),"",
IF(VLOOKUP("*"&amp;D134&amp;"*",商品マスタ一覧!$D:$E,2,FALSE)=0,"",
IF(ROUND((H134-M134)
/VLOOKUP("*"&amp;D134&amp;"*",商品マスタ一覧!$D:$E,2,FALSE),0)&lt;=0,1,
ROUND((H134-M134)
/VLOOKUP("*"&amp;D134&amp;"*",商品マスタ一覧!$D:$E,2,FALSE),0))))),"")</f>
        <v/>
      </c>
      <c r="G134" s="180" t="str">
        <f ca="1">IF(F134&lt;&gt;"",
IF(VALUE(H134-M134)&gt;VALUE(IF(COUNTIF(D134,"*キャラ*"),
VLOOKUP("*キャラ*",商品マスタ一覧!$D:$E,2,FALSE),
IF(COUNTIF(D134,"*赤*"),
VLOOKUP("*赤*",商品マスタ一覧!$D:$E,2,FALSE),
VLOOKUP("*"&amp;D134&amp;"*",商品マスタ一覧!$D:$E,2,FALSE)))*F134),
"+"&amp;(H134-M134)-IF(COUNTIF(D134,"*キャラ*"),
VLOOKUP("*キャラ*",商品マスタ一覧!$D:$E,2,FALSE),
IF(COUNTIF(D134,"*赤*"),
VLOOKUP("*赤*",商品マスタ一覧!$D:$E,2,FALSE),
VLOOKUP("*"&amp;D134&amp;"*",商品マスタ一覧!$D:$E,2,FALSE)))*F134,
(H134-M134)-IF(COUNTIF(D134,"*キャラ*"),
VLOOKUP("*キャラ*",商品マスタ一覧!$D:$E,2,FALSE),
IF(COUNTIF(D134,"*赤*"),
VLOOKUP("*赤*",商品マスタ一覧!$D:$E,2,FALSE),
VLOOKUP("*"&amp;D134&amp;"*",商品マスタ一覧!$D:$E,2,FALSE)))*F134),"")</f>
        <v/>
      </c>
      <c r="H134" s="182" t="str">
        <f>IF(C134&lt;&gt;"",
クライアント抽出!C64,"")</f>
        <v/>
      </c>
      <c r="I134" s="180" t="str">
        <f t="array" aca="1" ref="I134" ca="1">IF(C134&lt;&gt;"",
IF(O134=1,
IF(SUMPRODUCT(COUNTIF(クライアント抽出!P64:U64,クライアント抽出!P64:U64))&gt;COUNTA(クライアント抽出!P64:U64),
INDIRECT("数出表_Excel!"&amp;INDEX(_xlfn.UNIQUE(_xlfn._xlws.FILTER(クライアント抽出!P64:U64,COUNTIF(クライアント抽出!P64:U64,クライアント抽出!P64:U64)=1)),1)&amp;L134&amp;""),
0),クライアント抽出!F64),"")</f>
        <v/>
      </c>
      <c r="J134" s="180" t="str">
        <f>IF(C134&lt;&gt;"",
VLOOKUP(
"*"&amp;LEFT(IF(COUNTIF(D134,"*学食*"),"キャラ弁（学食）",
IF(COUNTIF(D134,"*赤*"),"赤",
IF(COUNTIF(D134,"*キャラ弁当*"),"キャラ弁当",D134))),4)&amp;"*",注文弁当の抽出!$E$1:$F$15,2,FALSE),"")</f>
        <v/>
      </c>
      <c r="K134" s="180" t="str">
        <f ca="1">IF(クライアント抽出!Q64&lt;&gt;"",SUBSTITUTE(ADDRESS(1,(CODE(クライアント抽出!Q64)-64)*2-1,4),"1",""),"")</f>
        <v/>
      </c>
      <c r="L134" s="180" t="str">
        <f>IF(C64&lt;&gt;"",クライアント抽出!I64,"")</f>
        <v/>
      </c>
      <c r="M134" s="180">
        <f t="array" aca="1" ref="M134" ca="1">IF(C134&lt;&gt;"",
IF(K134&lt;&gt;"",INDIRECT("'数出表_Excel（アレルギー入力）'!"&amp;K134&amp;L134-1&amp;""),),)</f>
        <v>0</v>
      </c>
      <c r="N134" s="180" t="str">
        <f>IF(C134&lt;&gt;"",IF(OR(COUNTIF('盛付札（関数）'!D134,"*赤*"),COUNTIF('盛付札（関数）'!D134,"*キャラ*")),1,
VLOOKUP("*"&amp;D134&amp;"*",商品マスタ一覧!D:H,5,FALSE)),"")</f>
        <v/>
      </c>
      <c r="O134" s="180">
        <f t="shared" ca="1" si="47"/>
        <v>0</v>
      </c>
      <c r="P134" s="180">
        <f t="shared" si="49"/>
        <v>0</v>
      </c>
      <c r="Q134" s="180" t="b">
        <f t="shared" si="50"/>
        <v>0</v>
      </c>
      <c r="R134" s="51" t="str">
        <f t="array" aca="1" ref="R134" ca="1">IFERROR(SMALL(IF(P$1:P$307&lt;&gt;0,P$1:P$307),ROW(A134)),"")</f>
        <v/>
      </c>
      <c r="S134" s="51" t="str">
        <f t="array" aca="1" ref="S134" ca="1">IF($R134&lt;&gt;"",
SUBSTITUTE(SUBSTITUTE(INDIRECT("C"&amp;$R134&amp;"")," 週3ｺｰｽ","")," 週5ｺｰｽ",""),"")</f>
        <v/>
      </c>
      <c r="T134" s="51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91" t="str">
        <f t="array" aca="1" ref="U134" ca="1">IF($R134&lt;&gt;"",
INDIRECT("F"&amp;$R134&amp;""),"")</f>
        <v/>
      </c>
      <c r="V134" s="51" t="str">
        <f t="array" aca="1" ref="V134" ca="1">IF($R134&lt;&gt;"",
INDIRECT("G"&amp;$R134&amp;""),"")</f>
        <v/>
      </c>
      <c r="W134" s="51" t="str">
        <f t="array" aca="1" ref="W134" ca="1">IF($R134&lt;&gt;"",
IF(AND(COUNTIF(INDIRECT("B"&amp;R134&amp;""),"*雙葉*"),COUNTIF(B:B,"*雙葉*")&gt;=2),
IF(OR(COUNTIF(INDIRECT("B"&amp;R134&amp;""),"*雙葉先生*"),COUNTIF($B$1:$B$70,"*雙葉*")&gt;=2),INDIRECT("H"&amp;R134&amp;""),INDIRECT("H"&amp;R134&amp;"")+INDIRECT("H"&amp;MATCH("雙葉'",INDIRECT("B"&amp;R134+3&amp;":B210"),0)+2+R134&amp;"")),
IF(AND(LEFT(INDIRECT("B"&amp;R134&amp;""),2)="博多",COUNTIF(B:B,"*博多*")&gt;=2),
INDIRECT("H"&amp;R134&amp;"")+INDIRECT("H"&amp;MATCH("*"&amp;INDIRECT("B"&amp;R134&amp;"")&amp;"*",INDIRECT("B"&amp;R134+1&amp;":B210"),0)+R134&amp;""),
IF(AND(LEFT(INDIRECT("B"&amp;R134&amp;""),3)="奈良屋",COUNTIF(B:B,"*奈良屋*")&gt;=2),
INDIRECT("H"&amp;R134&amp;"")+INDIRECT("H"&amp;MATCH("*"&amp;INDIRECT("B"&amp;R134&amp;"")&amp;"*",INDIRECT("B"&amp;R134+1&amp;":B210"),0)+R134&amp;"")
+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INDIRECT("H"&amp;R134&amp;"")))),"")</f>
        <v/>
      </c>
      <c r="X134" s="51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51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51" t="str">
        <f t="shared" ca="1" si="51"/>
        <v/>
      </c>
      <c r="AA134" s="51" t="str">
        <f t="shared" ca="1" si="52"/>
        <v/>
      </c>
      <c r="AB134" s="51" t="str">
        <f t="array" aca="1" ref="AB134" ca="1">IF($R134&lt;&gt;"",
IF(AND(COUNTIF(INDIRECT("B"&amp;R134&amp;""),"*雙葉*"),COUNTIF(B:B,"*雙葉*")&gt;=2),
INDIRECT("M"&amp;R134&amp;"")+INDIRECT("M"&amp;MATCH("雙葉'",INDIRECT("B"&amp;R134+1&amp;":B210"),0)+R134&amp;""),
IF(AND(LEFT(INDIRECT("B"&amp;R134&amp;""),2)="博多",COUNTIF(B:B,"*博多*")&gt;=2),
INDIRECT("M"&amp;R134&amp;"")+INDIRECT("M"&amp;MATCH("*"&amp;INDIRECT("B"&amp;R134&amp;"")&amp;"*",INDIRECT("B"&amp;R134+1&amp;":B210"),0)+R134&amp;""),
IF(AND(LEFT(INDIRECT("B"&amp;R134&amp;""),3)="奈良屋",COUNTIF(B:B,"*奈良屋*")&gt;=2),
INDIRECT("M"&amp;R134&amp;"")+INDIRECT("M"&amp;MATCH("*"&amp;INDIRECT("B"&amp;R134&amp;"")&amp;"*",INDIRECT("B"&amp;R134+1&amp;":B210"),0)+R134&amp;"")
+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INDIRECT("M"&amp;R134&amp;"")))),"")</f>
        <v/>
      </c>
      <c r="AC134" s="51" t="str">
        <f t="shared" ca="1" si="53"/>
        <v/>
      </c>
      <c r="AD134" s="51" t="str">
        <f t="shared" ca="1" si="54"/>
        <v/>
      </c>
      <c r="AE134" s="51" t="str">
        <f t="shared" ca="1" si="55"/>
        <v/>
      </c>
      <c r="AF134" s="51" t="str">
        <f t="shared" ca="1" si="56"/>
        <v/>
      </c>
      <c r="AG134" s="51" t="str">
        <f t="shared" ca="1" si="57"/>
        <v/>
      </c>
      <c r="AH134" s="191" t="str">
        <f t="shared" ca="1" si="58"/>
        <v/>
      </c>
      <c r="AI134" s="51" t="str">
        <f t="shared" ca="1" si="59"/>
        <v/>
      </c>
      <c r="AJ134" s="51" t="str">
        <f t="shared" ca="1" si="60"/>
        <v/>
      </c>
      <c r="AK134" s="51" t="str">
        <f t="shared" ca="1" si="61"/>
        <v/>
      </c>
      <c r="AL134" s="51" t="str">
        <f t="shared" ca="1" si="62"/>
        <v/>
      </c>
      <c r="AM134" s="51" t="str">
        <f t="shared" ca="1" si="63"/>
        <v/>
      </c>
      <c r="AN134" s="51" t="str">
        <f t="shared" ca="1" si="64"/>
        <v/>
      </c>
      <c r="AO134" s="51" t="str">
        <f t="shared" ca="1" si="65"/>
        <v/>
      </c>
      <c r="AP134" s="51" t="str">
        <f t="shared" ca="1" si="66"/>
        <v/>
      </c>
      <c r="AU134" s="51" t="str">
        <f t="shared" ca="1" si="67"/>
        <v/>
      </c>
    </row>
    <row r="135" spans="1:47" ht="22.2" customHeight="1">
      <c r="A135" s="179">
        <f t="shared" si="48"/>
        <v>135</v>
      </c>
      <c r="B135" s="180" t="str">
        <f t="shared" ref="B135:B166" ca="1" si="68">IF(COUNTIF(C135,"*雙葉*"),
IF(COUNTIF(INDIRECT("B1:B"&amp;ROW()-1&amp;""),"雙葉"),
IF(COUNTIF(C135,"*先生*"),"雙葉先生","雙葉'"),"雙葉"),
IF(COUNTIF(C135,"*社食*"),"社食'",
IF(LEFT(C135,2)="博多",
IF(IFERROR(TRIM(LEFT(C134,FIND("幼",C134)-1)),TRIM(C134))=IFERROR(TRIM(LEFT(C135,FIND("幼",C135)-1)),TRIM(C135)),
IFERROR(TRIM(LEFT(C135,FIND("幼",C135)-1)),TRIM(C135))&amp;"'",IFERROR(TRIM(LEFT(C135,FIND("幼",C135)-1)),TRIM(C135))),
IF(LEFT(C135,3)="奈良屋",
IF(TRIM(LEFT(C134,FIND("幼",C134)-1))=TRIM(LEFT(C135,FIND("幼",C135)-1)),
"奈良屋'","奈良屋"),""))))</f>
        <v/>
      </c>
      <c r="C135" s="180" t="str">
        <f>IF(OR(クライアント抽出!C65&lt;&gt;"",クライアント抽出!F65&lt;&gt;""),クライアント抽出!A65,"")</f>
        <v/>
      </c>
      <c r="D135" s="180" t="str">
        <f t="array" aca="1" ref="D135" ca="1">IF(C135&lt;&gt;"",INDIRECT("クライアント抽出!"&amp;E135&amp;MATCH(C135,クライアント抽出!A:A,0)&amp;""),"")</f>
        <v/>
      </c>
      <c r="E135" s="180" t="str">
        <f>IF(H135&lt;&gt;0,
IFERROR(
SUBSTITUTE(ADDRESS(1,
MATCH(VALUE(H135),クライアント抽出!A65:G65,0)+8,4),"1",""),
""),
IFERROR(
SUBSTITUTE(ADDRESS(1,
MATCH(VALUE(I135),クライアント抽出!A65:G65,0)+8,4),"1",""),
""))</f>
        <v/>
      </c>
      <c r="F135" s="181" t="str">
        <f ca="1">IF(D135&lt;&gt;"",
IF(COUNTIF(C135,"*雙葉*"),
IF(ROUND((H135-M135)
/IF(COUNTIF(D135,"*キャラ*"),
VLOOKUP("*キャラ*",商品マスタ一覧!$D:$E,2,FALSE),
IF(COUNTIF(D135,"*赤*"),
VLOOKUP("*赤*",商品マスタ一覧!$D:$E,2,FALSE),
VLOOKUP("*"&amp;D135&amp;"*",商品マスタ一覧!$D:$E,2,FALSE))),0)&lt;=0,1,
ROUND((H135-M135)
/IF(COUNTIF(D135,"*キャラ*"),
VLOOKUP("*キャラ*",商品マスタ一覧!$D:$E,2,FALSE),
IF(COUNTIF(D135,"*赤*"),
VLOOKUP("*赤*",商品マスタ一覧!$D:$E,2,FALSE),
VLOOKUP("*"&amp;D135&amp;"*",商品マスタ一覧!$D:$E,2,FALSE))),0)),
IF(OR(COUNTIF(D135,"*キャラ*"),COUNTIF(D135,"*赤*")),"",
IF(VLOOKUP("*"&amp;D135&amp;"*",商品マスタ一覧!$D:$E,2,FALSE)=0,"",
IF(ROUND((H135-M135)
/VLOOKUP("*"&amp;D135&amp;"*",商品マスタ一覧!$D:$E,2,FALSE),0)&lt;=0,1,
ROUND((H135-M135)
/VLOOKUP("*"&amp;D135&amp;"*",商品マスタ一覧!$D:$E,2,FALSE),0))))),"")</f>
        <v/>
      </c>
      <c r="G135" s="180" t="str">
        <f ca="1">IF(F135&lt;&gt;"",
IF(VALUE(H135-M135)&gt;VALUE(IF(COUNTIF(D135,"*キャラ*"),
VLOOKUP("*キャラ*",商品マスタ一覧!$D:$E,2,FALSE),
IF(COUNTIF(D135,"*赤*"),
VLOOKUP("*赤*",商品マスタ一覧!$D:$E,2,FALSE),
VLOOKUP("*"&amp;D135&amp;"*",商品マスタ一覧!$D:$E,2,FALSE)))*F135),
"+"&amp;(H135-M135)-IF(COUNTIF(D135,"*キャラ*"),
VLOOKUP("*キャラ*",商品マスタ一覧!$D:$E,2,FALSE),
IF(COUNTIF(D135,"*赤*"),
VLOOKUP("*赤*",商品マスタ一覧!$D:$E,2,FALSE),
VLOOKUP("*"&amp;D135&amp;"*",商品マスタ一覧!$D:$E,2,FALSE)))*F135,
(H135-M135)-IF(COUNTIF(D135,"*キャラ*"),
VLOOKUP("*キャラ*",商品マスタ一覧!$D:$E,2,FALSE),
IF(COUNTIF(D135,"*赤*"),
VLOOKUP("*赤*",商品マスタ一覧!$D:$E,2,FALSE),
VLOOKUP("*"&amp;D135&amp;"*",商品マスタ一覧!$D:$E,2,FALSE)))*F135),"")</f>
        <v/>
      </c>
      <c r="H135" s="182" t="str">
        <f>IF(C135&lt;&gt;"",
クライアント抽出!C65,"")</f>
        <v/>
      </c>
      <c r="I135" s="180" t="str">
        <f t="array" aca="1" ref="I135" ca="1">IF(C135&lt;&gt;"",
IF(O135=1,
IF(SUMPRODUCT(COUNTIF(クライアント抽出!P65:U65,クライアント抽出!P65:U65))&gt;COUNTA(クライアント抽出!P65:U65),
INDIRECT("数出表_Excel!"&amp;INDEX(_xlfn.UNIQUE(_xlfn._xlws.FILTER(クライアント抽出!P65:U65,COUNTIF(クライアント抽出!P65:U65,クライアント抽出!P65:U65)=1)),1)&amp;L135&amp;""),
0),クライアント抽出!F65),"")</f>
        <v/>
      </c>
      <c r="J135" s="180" t="str">
        <f>IF(C135&lt;&gt;"",
VLOOKUP(
"*"&amp;LEFT(IF(COUNTIF(D135,"*学食*"),"キャラ弁（学食）",
IF(COUNTIF(D135,"*赤*"),"赤",
IF(COUNTIF(D135,"*キャラ弁当*"),"キャラ弁当",D135))),4)&amp;"*",注文弁当の抽出!$E$1:$F$15,2,FALSE),"")</f>
        <v/>
      </c>
      <c r="K135" s="180" t="str">
        <f ca="1">IF(クライアント抽出!Q65&lt;&gt;"",SUBSTITUTE(ADDRESS(1,(CODE(クライアント抽出!Q65)-64)*2-1,4),"1",""),"")</f>
        <v/>
      </c>
      <c r="L135" s="180" t="str">
        <f>IF(C65&lt;&gt;"",クライアント抽出!I65,"")</f>
        <v/>
      </c>
      <c r="M135" s="180">
        <f t="array" aca="1" ref="M135" ca="1">IF(C135&lt;&gt;"",
IF(K135&lt;&gt;"",INDIRECT("'数出表_Excel（アレルギー入力）'!"&amp;K135&amp;L135-1&amp;""),),)</f>
        <v>0</v>
      </c>
      <c r="N135" s="180" t="str">
        <f>IF(C135&lt;&gt;"",IF(OR(COUNTIF('盛付札（関数）'!D135,"*赤*"),COUNTIF('盛付札（関数）'!D135,"*キャラ*")),1,
VLOOKUP("*"&amp;D135&amp;"*",商品マスタ一覧!D:H,5,FALSE)),"")</f>
        <v/>
      </c>
      <c r="O135" s="180">
        <f t="shared" ref="O135:O140" ca="1" si="69">O65</f>
        <v>0</v>
      </c>
      <c r="P135" s="180">
        <f t="shared" si="49"/>
        <v>0</v>
      </c>
      <c r="Q135" s="180" t="b">
        <f t="shared" si="50"/>
        <v>0</v>
      </c>
      <c r="R135" s="51" t="str">
        <f t="array" aca="1" ref="R135" ca="1">IFERROR(SMALL(IF(P$1:P$307&lt;&gt;0,P$1:P$307),ROW(A135)),"")</f>
        <v/>
      </c>
      <c r="S135" s="51" t="str">
        <f t="array" aca="1" ref="S135" ca="1">IF($R135&lt;&gt;"",
SUBSTITUTE(SUBSTITUTE(INDIRECT("C"&amp;$R135&amp;"")," 週3ｺｰｽ","")," 週5ｺｰｽ",""),"")</f>
        <v/>
      </c>
      <c r="T135" s="51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91" t="str">
        <f t="array" aca="1" ref="U135" ca="1">IF($R135&lt;&gt;"",
INDIRECT("F"&amp;$R135&amp;""),"")</f>
        <v/>
      </c>
      <c r="V135" s="51" t="str">
        <f t="array" aca="1" ref="V135" ca="1">IF($R135&lt;&gt;"",
INDIRECT("G"&amp;$R135&amp;""),"")</f>
        <v/>
      </c>
      <c r="W135" s="51" t="str">
        <f t="array" aca="1" ref="W135" ca="1">IF($R135&lt;&gt;"",
IF(AND(COUNTIF(INDIRECT("B"&amp;R135&amp;""),"*雙葉*"),COUNTIF(B:B,"*雙葉*")&gt;=2),
IF(OR(COUNTIF(INDIRECT("B"&amp;R135&amp;""),"*雙葉先生*"),COUNTIF($B$1:$B$70,"*雙葉*")&gt;=2),INDIRECT("H"&amp;R135&amp;""),INDIRECT("H"&amp;R135&amp;"")+INDIRECT("H"&amp;MATCH("雙葉'",INDIRECT("B"&amp;R135+3&amp;":B210"),0)+2+R135&amp;"")),
IF(AND(LEFT(INDIRECT("B"&amp;R135&amp;""),2)="博多",COUNTIF(B:B,"*博多*")&gt;=2),
INDIRECT("H"&amp;R135&amp;"")+INDIRECT("H"&amp;MATCH("*"&amp;INDIRECT("B"&amp;R135&amp;"")&amp;"*",INDIRECT("B"&amp;R135+1&amp;":B210"),0)+R135&amp;""),
IF(AND(LEFT(INDIRECT("B"&amp;R135&amp;""),3)="奈良屋",COUNTIF(B:B,"*奈良屋*")&gt;=2),
INDIRECT("H"&amp;R135&amp;"")+INDIRECT("H"&amp;MATCH("*"&amp;INDIRECT("B"&amp;R135&amp;"")&amp;"*",INDIRECT("B"&amp;R135+1&amp;":B210"),0)+R135&amp;"")
+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INDIRECT("H"&amp;R135&amp;"")))),"")</f>
        <v/>
      </c>
      <c r="X135" s="51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51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51" t="str">
        <f t="shared" ca="1" si="51"/>
        <v/>
      </c>
      <c r="AA135" s="51" t="str">
        <f t="shared" ca="1" si="52"/>
        <v/>
      </c>
      <c r="AB135" s="51" t="str">
        <f t="array" aca="1" ref="AB135" ca="1">IF($R135&lt;&gt;"",
IF(AND(COUNTIF(INDIRECT("B"&amp;R135&amp;""),"*雙葉*"),COUNTIF(B:B,"*雙葉*")&gt;=2),
INDIRECT("M"&amp;R135&amp;"")+INDIRECT("M"&amp;MATCH("雙葉'",INDIRECT("B"&amp;R135+1&amp;":B210"),0)+R135&amp;""),
IF(AND(LEFT(INDIRECT("B"&amp;R135&amp;""),2)="博多",COUNTIF(B:B,"*博多*")&gt;=2),
INDIRECT("M"&amp;R135&amp;"")+INDIRECT("M"&amp;MATCH("*"&amp;INDIRECT("B"&amp;R135&amp;"")&amp;"*",INDIRECT("B"&amp;R135+1&amp;":B210"),0)+R135&amp;""),
IF(AND(LEFT(INDIRECT("B"&amp;R135&amp;""),3)="奈良屋",COUNTIF(B:B,"*奈良屋*")&gt;=2),
INDIRECT("M"&amp;R135&amp;"")+INDIRECT("M"&amp;MATCH("*"&amp;INDIRECT("B"&amp;R135&amp;"")&amp;"*",INDIRECT("B"&amp;R135+1&amp;":B210"),0)+R135&amp;"")
+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INDIRECT("M"&amp;R135&amp;"")))),"")</f>
        <v/>
      </c>
      <c r="AC135" s="51" t="str">
        <f t="shared" ca="1" si="53"/>
        <v/>
      </c>
      <c r="AD135" s="51" t="str">
        <f t="shared" ca="1" si="54"/>
        <v/>
      </c>
      <c r="AE135" s="51" t="str">
        <f t="shared" ca="1" si="55"/>
        <v/>
      </c>
      <c r="AF135" s="51" t="str">
        <f t="shared" ca="1" si="56"/>
        <v/>
      </c>
      <c r="AG135" s="51" t="str">
        <f t="shared" ca="1" si="57"/>
        <v/>
      </c>
      <c r="AH135" s="191" t="str">
        <f t="shared" ca="1" si="58"/>
        <v/>
      </c>
      <c r="AI135" s="51" t="str">
        <f t="shared" ca="1" si="59"/>
        <v/>
      </c>
      <c r="AJ135" s="51" t="str">
        <f t="shared" ca="1" si="60"/>
        <v/>
      </c>
      <c r="AK135" s="51" t="str">
        <f t="shared" ca="1" si="61"/>
        <v/>
      </c>
      <c r="AL135" s="51" t="str">
        <f t="shared" ca="1" si="62"/>
        <v/>
      </c>
      <c r="AM135" s="51" t="str">
        <f t="shared" ca="1" si="63"/>
        <v/>
      </c>
      <c r="AN135" s="51" t="str">
        <f t="shared" ca="1" si="64"/>
        <v/>
      </c>
      <c r="AO135" s="51" t="str">
        <f t="shared" ca="1" si="65"/>
        <v/>
      </c>
      <c r="AP135" s="51" t="str">
        <f t="shared" ca="1" si="66"/>
        <v/>
      </c>
      <c r="AU135" s="51" t="str">
        <f t="shared" ca="1" si="67"/>
        <v/>
      </c>
    </row>
    <row r="136" spans="1:47" ht="22.2" customHeight="1">
      <c r="A136" s="179">
        <f t="shared" si="48"/>
        <v>137</v>
      </c>
      <c r="B136" s="180" t="str">
        <f t="shared" ca="1" si="68"/>
        <v/>
      </c>
      <c r="C136" s="180" t="str">
        <f>IF(OR(クライアント抽出!C66&lt;&gt;"",クライアント抽出!F66&lt;&gt;""),クライアント抽出!A66,"")</f>
        <v/>
      </c>
      <c r="D136" s="180" t="str">
        <f t="array" aca="1" ref="D136" ca="1">IF(C136&lt;&gt;"",INDIRECT("クライアント抽出!"&amp;E136&amp;MATCH(C136,クライアント抽出!A:A,0)&amp;""),"")</f>
        <v/>
      </c>
      <c r="E136" s="180" t="str">
        <f>IF(H136&lt;&gt;0,
IFERROR(
SUBSTITUTE(ADDRESS(1,
MATCH(VALUE(H136),クライアント抽出!A66:G66,0)+8,4),"1",""),
""),
IFERROR(
SUBSTITUTE(ADDRESS(1,
MATCH(VALUE(I136),クライアント抽出!A66:G66,0)+8,4),"1",""),
""))</f>
        <v/>
      </c>
      <c r="F136" s="181" t="str">
        <f ca="1">IF(D136&lt;&gt;"",
IF(COUNTIF(C136,"*雙葉*"),
IF(ROUND((H136-M136)
/IF(COUNTIF(D136,"*キャラ*"),
VLOOKUP("*キャラ*",商品マスタ一覧!$D:$E,2,FALSE),
IF(COUNTIF(D136,"*赤*"),
VLOOKUP("*赤*",商品マスタ一覧!$D:$E,2,FALSE),
VLOOKUP("*"&amp;D136&amp;"*",商品マスタ一覧!$D:$E,2,FALSE))),0)&lt;=0,1,
ROUND((H136-M136)
/IF(COUNTIF(D136,"*キャラ*"),
VLOOKUP("*キャラ*",商品マスタ一覧!$D:$E,2,FALSE),
IF(COUNTIF(D136,"*赤*"),
VLOOKUP("*赤*",商品マスタ一覧!$D:$E,2,FALSE),
VLOOKUP("*"&amp;D136&amp;"*",商品マスタ一覧!$D:$E,2,FALSE))),0)),
IF(OR(COUNTIF(D136,"*キャラ*"),COUNTIF(D136,"*赤*")),"",
IF(VLOOKUP("*"&amp;D136&amp;"*",商品マスタ一覧!$D:$E,2,FALSE)=0,"",
IF(ROUND((H136-M136)
/VLOOKUP("*"&amp;D136&amp;"*",商品マスタ一覧!$D:$E,2,FALSE),0)&lt;=0,1,
ROUND((H136-M136)
/VLOOKUP("*"&amp;D136&amp;"*",商品マスタ一覧!$D:$E,2,FALSE),0))))),"")</f>
        <v/>
      </c>
      <c r="G136" s="180" t="str">
        <f ca="1">IF(F136&lt;&gt;"",
IF(VALUE(H136-M136)&gt;VALUE(IF(COUNTIF(D136,"*キャラ*"),
VLOOKUP("*キャラ*",商品マスタ一覧!$D:$E,2,FALSE),
IF(COUNTIF(D136,"*赤*"),
VLOOKUP("*赤*",商品マスタ一覧!$D:$E,2,FALSE),
VLOOKUP("*"&amp;D136&amp;"*",商品マスタ一覧!$D:$E,2,FALSE)))*F136),
"+"&amp;(H136-M136)-IF(COUNTIF(D136,"*キャラ*"),
VLOOKUP("*キャラ*",商品マスタ一覧!$D:$E,2,FALSE),
IF(COUNTIF(D136,"*赤*"),
VLOOKUP("*赤*",商品マスタ一覧!$D:$E,2,FALSE),
VLOOKUP("*"&amp;D136&amp;"*",商品マスタ一覧!$D:$E,2,FALSE)))*F136,
(H136-M136)-IF(COUNTIF(D136,"*キャラ*"),
VLOOKUP("*キャラ*",商品マスタ一覧!$D:$E,2,FALSE),
IF(COUNTIF(D136,"*赤*"),
VLOOKUP("*赤*",商品マスタ一覧!$D:$E,2,FALSE),
VLOOKUP("*"&amp;D136&amp;"*",商品マスタ一覧!$D:$E,2,FALSE)))*F136),"")</f>
        <v/>
      </c>
      <c r="H136" s="182" t="str">
        <f>IF(C136&lt;&gt;"",
クライアント抽出!C66,"")</f>
        <v/>
      </c>
      <c r="I136" s="180" t="str">
        <f t="array" aca="1" ref="I136" ca="1">IF(C136&lt;&gt;"",
IF(O136=1,
IF(SUMPRODUCT(COUNTIF(クライアント抽出!P66:U66,クライアント抽出!P66:U66))&gt;COUNTA(クライアント抽出!P66:U66),
INDIRECT("数出表_Excel!"&amp;INDEX(_xlfn.UNIQUE(_xlfn._xlws.FILTER(クライアント抽出!P66:U66,COUNTIF(クライアント抽出!P66:U66,クライアント抽出!P66:U66)=1)),1)&amp;L136&amp;""),
0),クライアント抽出!F66),"")</f>
        <v/>
      </c>
      <c r="J136" s="180" t="str">
        <f>IF(C136&lt;&gt;"",
VLOOKUP(
"*"&amp;LEFT(IF(COUNTIF(D136,"*学食*"),"キャラ弁（学食）",
IF(COUNTIF(D136,"*赤*"),"赤",
IF(COUNTIF(D136,"*キャラ弁当*"),"キャラ弁当",D136))),4)&amp;"*",注文弁当の抽出!$E$1:$F$15,2,FALSE),"")</f>
        <v/>
      </c>
      <c r="K136" s="180" t="str">
        <f ca="1">IF(クライアント抽出!Q66&lt;&gt;"",SUBSTITUTE(ADDRESS(1,(CODE(クライアント抽出!Q66)-64)*2-1,4),"1",""),"")</f>
        <v/>
      </c>
      <c r="L136" s="180" t="str">
        <f>IF(C66&lt;&gt;"",クライアント抽出!I66,"")</f>
        <v/>
      </c>
      <c r="M136" s="180">
        <f t="array" aca="1" ref="M136" ca="1">IF(C136&lt;&gt;"",
IF(K136&lt;&gt;"",INDIRECT("'数出表_Excel（アレルギー入力）'!"&amp;K136&amp;L136-1&amp;""),),)</f>
        <v>0</v>
      </c>
      <c r="N136" s="180" t="str">
        <f>IF(C136&lt;&gt;"",IF(OR(COUNTIF('盛付札（関数）'!D136,"*赤*"),COUNTIF('盛付札（関数）'!D136,"*キャラ*")),1,
VLOOKUP("*"&amp;D136&amp;"*",商品マスタ一覧!D:H,5,FALSE)),"")</f>
        <v/>
      </c>
      <c r="O136" s="180">
        <f t="shared" ca="1" si="69"/>
        <v>0</v>
      </c>
      <c r="P136" s="180">
        <f t="shared" si="49"/>
        <v>0</v>
      </c>
      <c r="Q136" s="180" t="b">
        <f t="shared" si="50"/>
        <v>0</v>
      </c>
      <c r="R136" s="51" t="str">
        <f t="array" aca="1" ref="R136" ca="1">IFERROR(SMALL(IF(P$1:P$307&lt;&gt;0,P$1:P$307),ROW(A136)),"")</f>
        <v/>
      </c>
      <c r="S136" s="51" t="str">
        <f t="array" aca="1" ref="S136" ca="1">IF($R136&lt;&gt;"",
SUBSTITUTE(SUBSTITUTE(INDIRECT("C"&amp;$R136&amp;"")," 週3ｺｰｽ","")," 週5ｺｰｽ",""),"")</f>
        <v/>
      </c>
      <c r="T136" s="51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91" t="str">
        <f t="array" aca="1" ref="U136" ca="1">IF($R136&lt;&gt;"",
INDIRECT("F"&amp;$R136&amp;""),"")</f>
        <v/>
      </c>
      <c r="V136" s="51" t="str">
        <f t="array" aca="1" ref="V136" ca="1">IF($R136&lt;&gt;"",
INDIRECT("G"&amp;$R136&amp;""),"")</f>
        <v/>
      </c>
      <c r="W136" s="51" t="str">
        <f t="array" aca="1" ref="W136" ca="1">IF($R136&lt;&gt;"",
IF(AND(COUNTIF(INDIRECT("B"&amp;R136&amp;""),"*雙葉*"),COUNTIF(B:B,"*雙葉*")&gt;=2),
IF(OR(COUNTIF(INDIRECT("B"&amp;R136&amp;""),"*雙葉先生*"),COUNTIF($B$1:$B$70,"*雙葉*")&gt;=2),INDIRECT("H"&amp;R136&amp;""),INDIRECT("H"&amp;R136&amp;"")+INDIRECT("H"&amp;MATCH("雙葉'",INDIRECT("B"&amp;R136+3&amp;":B210"),0)+2+R136&amp;"")),
IF(AND(LEFT(INDIRECT("B"&amp;R136&amp;""),2)="博多",COUNTIF(B:B,"*博多*")&gt;=2),
INDIRECT("H"&amp;R136&amp;"")+INDIRECT("H"&amp;MATCH("*"&amp;INDIRECT("B"&amp;R136&amp;"")&amp;"*",INDIRECT("B"&amp;R136+1&amp;":B210"),0)+R136&amp;""),
IF(AND(LEFT(INDIRECT("B"&amp;R136&amp;""),3)="奈良屋",COUNTIF(B:B,"*奈良屋*")&gt;=2),
INDIRECT("H"&amp;R136&amp;"")+INDIRECT("H"&amp;MATCH("*"&amp;INDIRECT("B"&amp;R136&amp;"")&amp;"*",INDIRECT("B"&amp;R136+1&amp;":B210"),0)+R136&amp;"")
+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INDIRECT("H"&amp;R136&amp;"")))),"")</f>
        <v/>
      </c>
      <c r="X136" s="51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51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51" t="str">
        <f t="shared" ca="1" si="51"/>
        <v/>
      </c>
      <c r="AA136" s="51" t="str">
        <f t="shared" ca="1" si="52"/>
        <v/>
      </c>
      <c r="AB136" s="51" t="str">
        <f t="array" aca="1" ref="AB136" ca="1">IF($R136&lt;&gt;"",
IF(AND(COUNTIF(INDIRECT("B"&amp;R136&amp;""),"*雙葉*"),COUNTIF(B:B,"*雙葉*")&gt;=2),
INDIRECT("M"&amp;R136&amp;"")+INDIRECT("M"&amp;MATCH("雙葉'",INDIRECT("B"&amp;R136+1&amp;":B210"),0)+R136&amp;""),
IF(AND(LEFT(INDIRECT("B"&amp;R136&amp;""),2)="博多",COUNTIF(B:B,"*博多*")&gt;=2),
INDIRECT("M"&amp;R136&amp;"")+INDIRECT("M"&amp;MATCH("*"&amp;INDIRECT("B"&amp;R136&amp;"")&amp;"*",INDIRECT("B"&amp;R136+1&amp;":B210"),0)+R136&amp;""),
IF(AND(LEFT(INDIRECT("B"&amp;R136&amp;""),3)="奈良屋",COUNTIF(B:B,"*奈良屋*")&gt;=2),
INDIRECT("M"&amp;R136&amp;"")+INDIRECT("M"&amp;MATCH("*"&amp;INDIRECT("B"&amp;R136&amp;"")&amp;"*",INDIRECT("B"&amp;R136+1&amp;":B210"),0)+R136&amp;"")
+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INDIRECT("M"&amp;R136&amp;"")))),"")</f>
        <v/>
      </c>
      <c r="AC136" s="51" t="str">
        <f t="shared" ca="1" si="53"/>
        <v/>
      </c>
      <c r="AD136" s="51" t="str">
        <f t="shared" ca="1" si="54"/>
        <v/>
      </c>
      <c r="AE136" s="51" t="str">
        <f t="shared" ca="1" si="55"/>
        <v/>
      </c>
      <c r="AF136" s="51" t="str">
        <f t="shared" ca="1" si="56"/>
        <v/>
      </c>
      <c r="AG136" s="51" t="str">
        <f t="shared" ca="1" si="57"/>
        <v/>
      </c>
      <c r="AH136" s="191" t="str">
        <f t="shared" ca="1" si="58"/>
        <v/>
      </c>
      <c r="AI136" s="51" t="str">
        <f t="shared" ca="1" si="59"/>
        <v/>
      </c>
      <c r="AJ136" s="51" t="str">
        <f t="shared" ca="1" si="60"/>
        <v/>
      </c>
      <c r="AK136" s="51" t="str">
        <f t="shared" ca="1" si="61"/>
        <v/>
      </c>
      <c r="AL136" s="51" t="str">
        <f t="shared" ca="1" si="62"/>
        <v/>
      </c>
      <c r="AM136" s="51" t="str">
        <f t="shared" ca="1" si="63"/>
        <v/>
      </c>
      <c r="AN136" s="51" t="str">
        <f t="shared" ca="1" si="64"/>
        <v/>
      </c>
      <c r="AO136" s="51" t="str">
        <f t="shared" ca="1" si="65"/>
        <v/>
      </c>
      <c r="AP136" s="51" t="str">
        <f t="shared" ca="1" si="66"/>
        <v/>
      </c>
      <c r="AU136" s="51" t="str">
        <f t="shared" ca="1" si="67"/>
        <v/>
      </c>
    </row>
    <row r="137" spans="1:47" ht="22.2" customHeight="1">
      <c r="A137" s="179">
        <f t="shared" si="48"/>
        <v>139</v>
      </c>
      <c r="B137" s="180" t="str">
        <f t="shared" ca="1" si="68"/>
        <v/>
      </c>
      <c r="C137" s="180" t="str">
        <f>IF(OR(クライアント抽出!C67&lt;&gt;"",クライアント抽出!F67&lt;&gt;""),クライアント抽出!A67,"")</f>
        <v/>
      </c>
      <c r="D137" s="180" t="str">
        <f t="array" aca="1" ref="D137" ca="1">IF(C137&lt;&gt;"",INDIRECT("クライアント抽出!"&amp;E137&amp;MATCH(C137,クライアント抽出!A:A,0)&amp;""),"")</f>
        <v/>
      </c>
      <c r="E137" s="180" t="str">
        <f>IF(H137&lt;&gt;0,
IFERROR(
SUBSTITUTE(ADDRESS(1,
MATCH(VALUE(H137),クライアント抽出!A67:G67,0)+8,4),"1",""),
""),
IFERROR(
SUBSTITUTE(ADDRESS(1,
MATCH(VALUE(I137),クライアント抽出!A67:G67,0)+8,4),"1",""),
""))</f>
        <v/>
      </c>
      <c r="F137" s="181" t="str">
        <f ca="1">IF(D137&lt;&gt;"",
IF(COUNTIF(C137,"*雙葉*"),
IF(ROUND((H137-M137)
/IF(COUNTIF(D137,"*キャラ*"),
VLOOKUP("*キャラ*",商品マスタ一覧!$D:$E,2,FALSE),
IF(COUNTIF(D137,"*赤*"),
VLOOKUP("*赤*",商品マスタ一覧!$D:$E,2,FALSE),
VLOOKUP("*"&amp;D137&amp;"*",商品マスタ一覧!$D:$E,2,FALSE))),0)&lt;=0,1,
ROUND((H137-M137)
/IF(COUNTIF(D137,"*キャラ*"),
VLOOKUP("*キャラ*",商品マスタ一覧!$D:$E,2,FALSE),
IF(COUNTIF(D137,"*赤*"),
VLOOKUP("*赤*",商品マスタ一覧!$D:$E,2,FALSE),
VLOOKUP("*"&amp;D137&amp;"*",商品マスタ一覧!$D:$E,2,FALSE))),0)),
IF(OR(COUNTIF(D137,"*キャラ*"),COUNTIF(D137,"*赤*")),"",
IF(VLOOKUP("*"&amp;D137&amp;"*",商品マスタ一覧!$D:$E,2,FALSE)=0,"",
IF(ROUND((H137-M137)
/VLOOKUP("*"&amp;D137&amp;"*",商品マスタ一覧!$D:$E,2,FALSE),0)&lt;=0,1,
ROUND((H137-M137)
/VLOOKUP("*"&amp;D137&amp;"*",商品マスタ一覧!$D:$E,2,FALSE),0))))),"")</f>
        <v/>
      </c>
      <c r="G137" s="180" t="str">
        <f ca="1">IF(F137&lt;&gt;"",
IF(VALUE(H137-M137)&gt;VALUE(IF(COUNTIF(D137,"*キャラ*"),
VLOOKUP("*キャラ*",商品マスタ一覧!$D:$E,2,FALSE),
IF(COUNTIF(D137,"*赤*"),
VLOOKUP("*赤*",商品マスタ一覧!$D:$E,2,FALSE),
VLOOKUP("*"&amp;D137&amp;"*",商品マスタ一覧!$D:$E,2,FALSE)))*F137),
"+"&amp;(H137-M137)-IF(COUNTIF(D137,"*キャラ*"),
VLOOKUP("*キャラ*",商品マスタ一覧!$D:$E,2,FALSE),
IF(COUNTIF(D137,"*赤*"),
VLOOKUP("*赤*",商品マスタ一覧!$D:$E,2,FALSE),
VLOOKUP("*"&amp;D137&amp;"*",商品マスタ一覧!$D:$E,2,FALSE)))*F137,
(H137-M137)-IF(COUNTIF(D137,"*キャラ*"),
VLOOKUP("*キャラ*",商品マスタ一覧!$D:$E,2,FALSE),
IF(COUNTIF(D137,"*赤*"),
VLOOKUP("*赤*",商品マスタ一覧!$D:$E,2,FALSE),
VLOOKUP("*"&amp;D137&amp;"*",商品マスタ一覧!$D:$E,2,FALSE)))*F137),"")</f>
        <v/>
      </c>
      <c r="H137" s="182" t="str">
        <f>IF(C137&lt;&gt;"",
クライアント抽出!C67,"")</f>
        <v/>
      </c>
      <c r="I137" s="180" t="str">
        <f t="array" aca="1" ref="I137" ca="1">IF(C137&lt;&gt;"",
IF(O137=1,
IF(SUMPRODUCT(COUNTIF(クライアント抽出!P67:U67,クライアント抽出!P67:U67))&gt;COUNTA(クライアント抽出!P67:U67),
INDIRECT("数出表_Excel!"&amp;INDEX(_xlfn.UNIQUE(_xlfn._xlws.FILTER(クライアント抽出!P67:U67,COUNTIF(クライアント抽出!P67:U67,クライアント抽出!P67:U67)=1)),1)&amp;L137&amp;""),
0),クライアント抽出!F67),"")</f>
        <v/>
      </c>
      <c r="J137" s="180" t="str">
        <f>IF(C137&lt;&gt;"",
VLOOKUP(
"*"&amp;LEFT(IF(COUNTIF(D137,"*学食*"),"キャラ弁（学食）",
IF(COUNTIF(D137,"*赤*"),"赤",
IF(COUNTIF(D137,"*キャラ弁当*"),"キャラ弁当",D137))),4)&amp;"*",注文弁当の抽出!$E$1:$F$15,2,FALSE),"")</f>
        <v/>
      </c>
      <c r="K137" s="180" t="str">
        <f ca="1">IF(クライアント抽出!Q67&lt;&gt;"",SUBSTITUTE(ADDRESS(1,(CODE(クライアント抽出!Q67)-64)*2-1,4),"1",""),"")</f>
        <v/>
      </c>
      <c r="L137" s="180" t="str">
        <f>IF(C67&lt;&gt;"",クライアント抽出!I67,"")</f>
        <v/>
      </c>
      <c r="M137" s="180">
        <f t="array" aca="1" ref="M137" ca="1">IF(C137&lt;&gt;"",
IF(K137&lt;&gt;"",INDIRECT("'数出表_Excel（アレルギー入力）'!"&amp;K137&amp;L137-1&amp;""),),)</f>
        <v>0</v>
      </c>
      <c r="N137" s="180" t="str">
        <f>IF(C137&lt;&gt;"",IF(OR(COUNTIF('盛付札（関数）'!D137,"*赤*"),COUNTIF('盛付札（関数）'!D137,"*キャラ*")),1,
VLOOKUP("*"&amp;D137&amp;"*",商品マスタ一覧!D:H,5,FALSE)),"")</f>
        <v/>
      </c>
      <c r="O137" s="180">
        <f t="shared" ca="1" si="69"/>
        <v>0</v>
      </c>
      <c r="P137" s="180">
        <f t="shared" si="49"/>
        <v>0</v>
      </c>
      <c r="Q137" s="180" t="b">
        <f t="shared" si="50"/>
        <v>0</v>
      </c>
      <c r="R137" s="51" t="str">
        <f t="array" aca="1" ref="R137" ca="1">IFERROR(SMALL(IF(P$1:P$307&lt;&gt;0,P$1:P$307),ROW(A137)),"")</f>
        <v/>
      </c>
      <c r="S137" s="51" t="str">
        <f t="array" aca="1" ref="S137" ca="1">IF($R137&lt;&gt;"",
SUBSTITUTE(SUBSTITUTE(INDIRECT("C"&amp;$R137&amp;"")," 週3ｺｰｽ","")," 週5ｺｰｽ",""),"")</f>
        <v/>
      </c>
      <c r="T137" s="51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91" t="str">
        <f t="array" aca="1" ref="U137" ca="1">IF($R137&lt;&gt;"",
INDIRECT("F"&amp;$R137&amp;""),"")</f>
        <v/>
      </c>
      <c r="V137" s="51" t="str">
        <f t="array" aca="1" ref="V137" ca="1">IF($R137&lt;&gt;"",
INDIRECT("G"&amp;$R137&amp;""),"")</f>
        <v/>
      </c>
      <c r="W137" s="51" t="str">
        <f t="array" aca="1" ref="W137" ca="1">IF($R137&lt;&gt;"",
IF(AND(COUNTIF(INDIRECT("B"&amp;R137&amp;""),"*雙葉*"),COUNTIF(B:B,"*雙葉*")&gt;=2),
IF(OR(COUNTIF(INDIRECT("B"&amp;R137&amp;""),"*雙葉先生*"),COUNTIF($B$1:$B$70,"*雙葉*")&gt;=2),INDIRECT("H"&amp;R137&amp;""),INDIRECT("H"&amp;R137&amp;"")+INDIRECT("H"&amp;MATCH("雙葉'",INDIRECT("B"&amp;R137+3&amp;":B210"),0)+2+R137&amp;"")),
IF(AND(LEFT(INDIRECT("B"&amp;R137&amp;""),2)="博多",COUNTIF(B:B,"*博多*")&gt;=2),
INDIRECT("H"&amp;R137&amp;"")+INDIRECT("H"&amp;MATCH("*"&amp;INDIRECT("B"&amp;R137&amp;"")&amp;"*",INDIRECT("B"&amp;R137+1&amp;":B210"),0)+R137&amp;""),
IF(AND(LEFT(INDIRECT("B"&amp;R137&amp;""),3)="奈良屋",COUNTIF(B:B,"*奈良屋*")&gt;=2),
INDIRECT("H"&amp;R137&amp;"")+INDIRECT("H"&amp;MATCH("*"&amp;INDIRECT("B"&amp;R137&amp;"")&amp;"*",INDIRECT("B"&amp;R137+1&amp;":B210"),0)+R137&amp;"")
+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INDIRECT("H"&amp;R137&amp;"")))),"")</f>
        <v/>
      </c>
      <c r="X137" s="51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51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51" t="str">
        <f t="shared" ca="1" si="51"/>
        <v/>
      </c>
      <c r="AA137" s="51" t="str">
        <f t="shared" ca="1" si="52"/>
        <v/>
      </c>
      <c r="AB137" s="51" t="str">
        <f t="array" aca="1" ref="AB137" ca="1">IF($R137&lt;&gt;"",
IF(AND(COUNTIF(INDIRECT("B"&amp;R137&amp;""),"*雙葉*"),COUNTIF(B:B,"*雙葉*")&gt;=2),
INDIRECT("M"&amp;R137&amp;"")+INDIRECT("M"&amp;MATCH("雙葉'",INDIRECT("B"&amp;R137+1&amp;":B210"),0)+R137&amp;""),
IF(AND(LEFT(INDIRECT("B"&amp;R137&amp;""),2)="博多",COUNTIF(B:B,"*博多*")&gt;=2),
INDIRECT("M"&amp;R137&amp;"")+INDIRECT("M"&amp;MATCH("*"&amp;INDIRECT("B"&amp;R137&amp;"")&amp;"*",INDIRECT("B"&amp;R137+1&amp;":B210"),0)+R137&amp;""),
IF(AND(LEFT(INDIRECT("B"&amp;R137&amp;""),3)="奈良屋",COUNTIF(B:B,"*奈良屋*")&gt;=2),
INDIRECT("M"&amp;R137&amp;"")+INDIRECT("M"&amp;MATCH("*"&amp;INDIRECT("B"&amp;R137&amp;"")&amp;"*",INDIRECT("B"&amp;R137+1&amp;":B210"),0)+R137&amp;"")
+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INDIRECT("M"&amp;R137&amp;"")))),"")</f>
        <v/>
      </c>
      <c r="AC137" s="51" t="str">
        <f t="shared" ca="1" si="53"/>
        <v/>
      </c>
      <c r="AD137" s="51" t="str">
        <f t="shared" ca="1" si="54"/>
        <v/>
      </c>
      <c r="AE137" s="51" t="str">
        <f t="shared" ca="1" si="55"/>
        <v/>
      </c>
      <c r="AF137" s="51" t="str">
        <f t="shared" ca="1" si="56"/>
        <v/>
      </c>
      <c r="AG137" s="51" t="str">
        <f t="shared" ca="1" si="57"/>
        <v/>
      </c>
      <c r="AH137" s="191" t="str">
        <f t="shared" ca="1" si="58"/>
        <v/>
      </c>
      <c r="AI137" s="51" t="str">
        <f t="shared" ca="1" si="59"/>
        <v/>
      </c>
      <c r="AJ137" s="51" t="str">
        <f t="shared" ca="1" si="60"/>
        <v/>
      </c>
      <c r="AK137" s="51" t="str">
        <f t="shared" ca="1" si="61"/>
        <v/>
      </c>
      <c r="AL137" s="51" t="str">
        <f t="shared" ca="1" si="62"/>
        <v/>
      </c>
      <c r="AM137" s="51" t="str">
        <f t="shared" ca="1" si="63"/>
        <v/>
      </c>
      <c r="AN137" s="51" t="str">
        <f t="shared" ca="1" si="64"/>
        <v/>
      </c>
      <c r="AO137" s="51" t="str">
        <f t="shared" ca="1" si="65"/>
        <v/>
      </c>
      <c r="AP137" s="51" t="str">
        <f t="shared" ca="1" si="66"/>
        <v/>
      </c>
      <c r="AU137" s="51" t="str">
        <f t="shared" ca="1" si="67"/>
        <v/>
      </c>
    </row>
    <row r="138" spans="1:47" ht="22.2" customHeight="1">
      <c r="A138" s="179">
        <f t="shared" si="48"/>
        <v>141</v>
      </c>
      <c r="B138" s="180" t="str">
        <f t="shared" ca="1" si="68"/>
        <v/>
      </c>
      <c r="C138" s="180" t="str">
        <f>IF(OR(クライアント抽出!C68&lt;&gt;"",クライアント抽出!F68&lt;&gt;""),クライアント抽出!A68,"")</f>
        <v/>
      </c>
      <c r="D138" s="180" t="str">
        <f t="array" aca="1" ref="D138" ca="1">IF(C138&lt;&gt;"",INDIRECT("クライアント抽出!"&amp;E138&amp;MATCH(C138,クライアント抽出!A:A,0)&amp;""),"")</f>
        <v/>
      </c>
      <c r="E138" s="180" t="str">
        <f>IF(H138&lt;&gt;0,
IFERROR(
SUBSTITUTE(ADDRESS(1,
MATCH(VALUE(H138),クライアント抽出!A68:G68,0)+8,4),"1",""),
""),
IFERROR(
SUBSTITUTE(ADDRESS(1,
MATCH(VALUE(I138),クライアント抽出!A68:G68,0)+8,4),"1",""),
""))</f>
        <v/>
      </c>
      <c r="F138" s="181" t="str">
        <f ca="1">IF(D138&lt;&gt;"",
IF(COUNTIF(C138,"*雙葉*"),
IF(ROUND((H138-M138)
/IF(COUNTIF(D138,"*キャラ*"),
VLOOKUP("*キャラ*",商品マスタ一覧!$D:$E,2,FALSE),
IF(COUNTIF(D138,"*赤*"),
VLOOKUP("*赤*",商品マスタ一覧!$D:$E,2,FALSE),
VLOOKUP("*"&amp;D138&amp;"*",商品マスタ一覧!$D:$E,2,FALSE))),0)&lt;=0,1,
ROUND((H138-M138)
/IF(COUNTIF(D138,"*キャラ*"),
VLOOKUP("*キャラ*",商品マスタ一覧!$D:$E,2,FALSE),
IF(COUNTIF(D138,"*赤*"),
VLOOKUP("*赤*",商品マスタ一覧!$D:$E,2,FALSE),
VLOOKUP("*"&amp;D138&amp;"*",商品マスタ一覧!$D:$E,2,FALSE))),0)),
IF(OR(COUNTIF(D138,"*キャラ*"),COUNTIF(D138,"*赤*")),"",
IF(VLOOKUP("*"&amp;D138&amp;"*",商品マスタ一覧!$D:$E,2,FALSE)=0,"",
IF(ROUND((H138-M138)
/VLOOKUP("*"&amp;D138&amp;"*",商品マスタ一覧!$D:$E,2,FALSE),0)&lt;=0,1,
ROUND((H138-M138)
/VLOOKUP("*"&amp;D138&amp;"*",商品マスタ一覧!$D:$E,2,FALSE),0))))),"")</f>
        <v/>
      </c>
      <c r="G138" s="180" t="str">
        <f ca="1">IF(F138&lt;&gt;"",
IF(VALUE(H138-M138)&gt;VALUE(IF(COUNTIF(D138,"*キャラ*"),
VLOOKUP("*キャラ*",商品マスタ一覧!$D:$E,2,FALSE),
IF(COUNTIF(D138,"*赤*"),
VLOOKUP("*赤*",商品マスタ一覧!$D:$E,2,FALSE),
VLOOKUP("*"&amp;D138&amp;"*",商品マスタ一覧!$D:$E,2,FALSE)))*F138),
"+"&amp;(H138-M138)-IF(COUNTIF(D138,"*キャラ*"),
VLOOKUP("*キャラ*",商品マスタ一覧!$D:$E,2,FALSE),
IF(COUNTIF(D138,"*赤*"),
VLOOKUP("*赤*",商品マスタ一覧!$D:$E,2,FALSE),
VLOOKUP("*"&amp;D138&amp;"*",商品マスタ一覧!$D:$E,2,FALSE)))*F138,
(H138-M138)-IF(COUNTIF(D138,"*キャラ*"),
VLOOKUP("*キャラ*",商品マスタ一覧!$D:$E,2,FALSE),
IF(COUNTIF(D138,"*赤*"),
VLOOKUP("*赤*",商品マスタ一覧!$D:$E,2,FALSE),
VLOOKUP("*"&amp;D138&amp;"*",商品マスタ一覧!$D:$E,2,FALSE)))*F138),"")</f>
        <v/>
      </c>
      <c r="H138" s="182" t="str">
        <f>IF(C138&lt;&gt;"",
クライアント抽出!C68,"")</f>
        <v/>
      </c>
      <c r="I138" s="180" t="str">
        <f t="array" aca="1" ref="I138" ca="1">IF(C138&lt;&gt;"",
IF(O138=1,
IF(SUMPRODUCT(COUNTIF(クライアント抽出!P68:U68,クライアント抽出!P68:U68))&gt;COUNTA(クライアント抽出!P68:U68),
INDIRECT("数出表_Excel!"&amp;INDEX(_xlfn.UNIQUE(_xlfn._xlws.FILTER(クライアント抽出!P68:U68,COUNTIF(クライアント抽出!P68:U68,クライアント抽出!P68:U68)=1)),1)&amp;L138&amp;""),
0),クライアント抽出!F68),"")</f>
        <v/>
      </c>
      <c r="J138" s="180" t="str">
        <f>IF(C138&lt;&gt;"",
VLOOKUP(
"*"&amp;LEFT(IF(COUNTIF(D138,"*学食*"),"キャラ弁（学食）",
IF(COUNTIF(D138,"*赤*"),"赤",
IF(COUNTIF(D138,"*キャラ弁当*"),"キャラ弁当",D138))),4)&amp;"*",注文弁当の抽出!$E$1:$F$15,2,FALSE),"")</f>
        <v/>
      </c>
      <c r="K138" s="180" t="str">
        <f ca="1">IF(クライアント抽出!Q68&lt;&gt;"",SUBSTITUTE(ADDRESS(1,(CODE(クライアント抽出!Q68)-64)*2-1,4),"1",""),"")</f>
        <v/>
      </c>
      <c r="L138" s="180" t="str">
        <f>IF(C68&lt;&gt;"",クライアント抽出!I68,"")</f>
        <v/>
      </c>
      <c r="M138" s="180">
        <f t="array" aca="1" ref="M138" ca="1">IF(C138&lt;&gt;"",
IF(K138&lt;&gt;"",INDIRECT("'数出表_Excel（アレルギー入力）'!"&amp;K138&amp;L138-1&amp;""),),)</f>
        <v>0</v>
      </c>
      <c r="N138" s="180" t="str">
        <f>IF(C138&lt;&gt;"",IF(OR(COUNTIF('盛付札（関数）'!D138,"*赤*"),COUNTIF('盛付札（関数）'!D138,"*キャラ*")),1,
VLOOKUP("*"&amp;D138&amp;"*",商品マスタ一覧!D:H,5,FALSE)),"")</f>
        <v/>
      </c>
      <c r="O138" s="180">
        <f t="shared" ca="1" si="69"/>
        <v>0</v>
      </c>
      <c r="P138" s="180">
        <f t="shared" si="49"/>
        <v>0</v>
      </c>
      <c r="Q138" s="180" t="b">
        <f t="shared" si="50"/>
        <v>0</v>
      </c>
      <c r="R138" s="51" t="str">
        <f t="array" aca="1" ref="R138" ca="1">IFERROR(SMALL(IF(P$1:P$307&lt;&gt;0,P$1:P$307),ROW(A138)),"")</f>
        <v/>
      </c>
      <c r="S138" s="51" t="str">
        <f t="array" aca="1" ref="S138" ca="1">IF($R138&lt;&gt;"",
SUBSTITUTE(SUBSTITUTE(INDIRECT("C"&amp;$R138&amp;"")," 週3ｺｰｽ","")," 週5ｺｰｽ",""),"")</f>
        <v/>
      </c>
      <c r="T138" s="51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91" t="str">
        <f t="array" aca="1" ref="U138" ca="1">IF($R138&lt;&gt;"",
INDIRECT("F"&amp;$R138&amp;""),"")</f>
        <v/>
      </c>
      <c r="V138" s="51" t="str">
        <f t="array" aca="1" ref="V138" ca="1">IF($R138&lt;&gt;"",
INDIRECT("G"&amp;$R138&amp;""),"")</f>
        <v/>
      </c>
      <c r="W138" s="51" t="str">
        <f t="array" aca="1" ref="W138" ca="1">IF($R138&lt;&gt;"",
IF(AND(COUNTIF(INDIRECT("B"&amp;R138&amp;""),"*雙葉*"),COUNTIF(B:B,"*雙葉*")&gt;=2),
IF(OR(COUNTIF(INDIRECT("B"&amp;R138&amp;""),"*雙葉先生*"),COUNTIF($B$1:$B$70,"*雙葉*")&gt;=2),INDIRECT("H"&amp;R138&amp;""),INDIRECT("H"&amp;R138&amp;"")+INDIRECT("H"&amp;MATCH("雙葉'",INDIRECT("B"&amp;R138+3&amp;":B210"),0)+2+R138&amp;"")),
IF(AND(LEFT(INDIRECT("B"&amp;R138&amp;""),2)="博多",COUNTIF(B:B,"*博多*")&gt;=2),
INDIRECT("H"&amp;R138&amp;"")+INDIRECT("H"&amp;MATCH("*"&amp;INDIRECT("B"&amp;R138&amp;"")&amp;"*",INDIRECT("B"&amp;R138+1&amp;":B210"),0)+R138&amp;""),
IF(AND(LEFT(INDIRECT("B"&amp;R138&amp;""),3)="奈良屋",COUNTIF(B:B,"*奈良屋*")&gt;=2),
INDIRECT("H"&amp;R138&amp;"")+INDIRECT("H"&amp;MATCH("*"&amp;INDIRECT("B"&amp;R138&amp;"")&amp;"*",INDIRECT("B"&amp;R138+1&amp;":B210"),0)+R138&amp;"")
+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INDIRECT("H"&amp;R138&amp;"")))),"")</f>
        <v/>
      </c>
      <c r="X138" s="51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51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51" t="str">
        <f t="shared" ca="1" si="51"/>
        <v/>
      </c>
      <c r="AA138" s="51" t="str">
        <f t="shared" ca="1" si="52"/>
        <v/>
      </c>
      <c r="AB138" s="51" t="str">
        <f t="array" aca="1" ref="AB138" ca="1">IF($R138&lt;&gt;"",
IF(AND(COUNTIF(INDIRECT("B"&amp;R138&amp;""),"*雙葉*"),COUNTIF(B:B,"*雙葉*")&gt;=2),
INDIRECT("M"&amp;R138&amp;"")+INDIRECT("M"&amp;MATCH("雙葉'",INDIRECT("B"&amp;R138+1&amp;":B210"),0)+R138&amp;""),
IF(AND(LEFT(INDIRECT("B"&amp;R138&amp;""),2)="博多",COUNTIF(B:B,"*博多*")&gt;=2),
INDIRECT("M"&amp;R138&amp;"")+INDIRECT("M"&amp;MATCH("*"&amp;INDIRECT("B"&amp;R138&amp;"")&amp;"*",INDIRECT("B"&amp;R138+1&amp;":B210"),0)+R138&amp;""),
IF(AND(LEFT(INDIRECT("B"&amp;R138&amp;""),3)="奈良屋",COUNTIF(B:B,"*奈良屋*")&gt;=2),
INDIRECT("M"&amp;R138&amp;"")+INDIRECT("M"&amp;MATCH("*"&amp;INDIRECT("B"&amp;R138&amp;"")&amp;"*",INDIRECT("B"&amp;R138+1&amp;":B210"),0)+R138&amp;"")
+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INDIRECT("M"&amp;R138&amp;"")))),"")</f>
        <v/>
      </c>
      <c r="AC138" s="51" t="str">
        <f t="shared" ca="1" si="53"/>
        <v/>
      </c>
      <c r="AD138" s="51" t="str">
        <f t="shared" ca="1" si="54"/>
        <v/>
      </c>
      <c r="AE138" s="51" t="str">
        <f t="shared" ca="1" si="55"/>
        <v/>
      </c>
      <c r="AF138" s="51" t="str">
        <f t="shared" ca="1" si="56"/>
        <v/>
      </c>
      <c r="AG138" s="51" t="str">
        <f t="shared" ca="1" si="57"/>
        <v/>
      </c>
      <c r="AH138" s="191" t="str">
        <f t="shared" ca="1" si="58"/>
        <v/>
      </c>
      <c r="AI138" s="51" t="str">
        <f t="shared" ca="1" si="59"/>
        <v/>
      </c>
      <c r="AJ138" s="51" t="str">
        <f t="shared" ca="1" si="60"/>
        <v/>
      </c>
      <c r="AK138" s="51" t="str">
        <f t="shared" ca="1" si="61"/>
        <v/>
      </c>
      <c r="AL138" s="51" t="str">
        <f t="shared" ca="1" si="62"/>
        <v/>
      </c>
      <c r="AM138" s="51" t="str">
        <f t="shared" ca="1" si="63"/>
        <v/>
      </c>
      <c r="AN138" s="51" t="str">
        <f t="shared" ca="1" si="64"/>
        <v/>
      </c>
      <c r="AO138" s="51" t="str">
        <f t="shared" ca="1" si="65"/>
        <v/>
      </c>
      <c r="AP138" s="51" t="str">
        <f t="shared" ca="1" si="66"/>
        <v/>
      </c>
      <c r="AU138" s="51" t="str">
        <f t="shared" ca="1" si="67"/>
        <v/>
      </c>
    </row>
    <row r="139" spans="1:47" ht="22.2" customHeight="1">
      <c r="A139" s="179">
        <f t="shared" si="48"/>
        <v>143</v>
      </c>
      <c r="B139" s="180" t="str">
        <f t="shared" ca="1" si="68"/>
        <v/>
      </c>
      <c r="C139" s="180" t="str">
        <f>IF(OR(クライアント抽出!C69&lt;&gt;"",クライアント抽出!F69&lt;&gt;""),クライアント抽出!A69,"")</f>
        <v/>
      </c>
      <c r="D139" s="180" t="str">
        <f t="array" aca="1" ref="D139" ca="1">IF(C139&lt;&gt;"",INDIRECT("クライアント抽出!"&amp;E139&amp;MATCH(C139,クライアント抽出!A:A,0)&amp;""),"")</f>
        <v/>
      </c>
      <c r="E139" s="180" t="str">
        <f>IF(H139&lt;&gt;0,
IFERROR(
SUBSTITUTE(ADDRESS(1,
MATCH(VALUE(H139),クライアント抽出!A69:G69,0)+8,4),"1",""),
""),
IFERROR(
SUBSTITUTE(ADDRESS(1,
MATCH(VALUE(I139),クライアント抽出!A69:G69,0)+8,4),"1",""),
""))</f>
        <v/>
      </c>
      <c r="F139" s="181" t="str">
        <f ca="1">IF(D139&lt;&gt;"",
IF(COUNTIF(C139,"*雙葉*"),
IF(ROUND((H139-M139)
/IF(COUNTIF(D139,"*キャラ*"),
VLOOKUP("*キャラ*",商品マスタ一覧!$D:$E,2,FALSE),
IF(COUNTIF(D139,"*赤*"),
VLOOKUP("*赤*",商品マスタ一覧!$D:$E,2,FALSE),
VLOOKUP("*"&amp;D139&amp;"*",商品マスタ一覧!$D:$E,2,FALSE))),0)&lt;=0,1,
ROUND((H139-M139)
/IF(COUNTIF(D139,"*キャラ*"),
VLOOKUP("*キャラ*",商品マスタ一覧!$D:$E,2,FALSE),
IF(COUNTIF(D139,"*赤*"),
VLOOKUP("*赤*",商品マスタ一覧!$D:$E,2,FALSE),
VLOOKUP("*"&amp;D139&amp;"*",商品マスタ一覧!$D:$E,2,FALSE))),0)),
IF(OR(COUNTIF(D139,"*キャラ*"),COUNTIF(D139,"*赤*")),"",
IF(VLOOKUP("*"&amp;D139&amp;"*",商品マスタ一覧!$D:$E,2,FALSE)=0,"",
IF(ROUND((H139-M139)
/VLOOKUP("*"&amp;D139&amp;"*",商品マスタ一覧!$D:$E,2,FALSE),0)&lt;=0,1,
ROUND((H139-M139)
/VLOOKUP("*"&amp;D139&amp;"*",商品マスタ一覧!$D:$E,2,FALSE),0))))),"")</f>
        <v/>
      </c>
      <c r="G139" s="180" t="str">
        <f ca="1">IF(F139&lt;&gt;"",
IF(VALUE(H139-M139)&gt;VALUE(IF(COUNTIF(D139,"*キャラ*"),
VLOOKUP("*キャラ*",商品マスタ一覧!$D:$E,2,FALSE),
IF(COUNTIF(D139,"*赤*"),
VLOOKUP("*赤*",商品マスタ一覧!$D:$E,2,FALSE),
VLOOKUP("*"&amp;D139&amp;"*",商品マスタ一覧!$D:$E,2,FALSE)))*F139),
"+"&amp;(H139-M139)-IF(COUNTIF(D139,"*キャラ*"),
VLOOKUP("*キャラ*",商品マスタ一覧!$D:$E,2,FALSE),
IF(COUNTIF(D139,"*赤*"),
VLOOKUP("*赤*",商品マスタ一覧!$D:$E,2,FALSE),
VLOOKUP("*"&amp;D139&amp;"*",商品マスタ一覧!$D:$E,2,FALSE)))*F139,
(H139-M139)-IF(COUNTIF(D139,"*キャラ*"),
VLOOKUP("*キャラ*",商品マスタ一覧!$D:$E,2,FALSE),
IF(COUNTIF(D139,"*赤*"),
VLOOKUP("*赤*",商品マスタ一覧!$D:$E,2,FALSE),
VLOOKUP("*"&amp;D139&amp;"*",商品マスタ一覧!$D:$E,2,FALSE)))*F139),"")</f>
        <v/>
      </c>
      <c r="H139" s="182" t="str">
        <f>IF(C139&lt;&gt;"",
クライアント抽出!C69,"")</f>
        <v/>
      </c>
      <c r="I139" s="180" t="str">
        <f t="array" aca="1" ref="I139" ca="1">IF(C139&lt;&gt;"",
IF(O139=1,
IF(SUMPRODUCT(COUNTIF(クライアント抽出!P69:U69,クライアント抽出!P69:U69))&gt;COUNTA(クライアント抽出!P69:U69),
INDIRECT("数出表_Excel!"&amp;INDEX(_xlfn.UNIQUE(_xlfn._xlws.FILTER(クライアント抽出!P69:U69,COUNTIF(クライアント抽出!P69:U69,クライアント抽出!P69:U69)=1)),1)&amp;L139&amp;""),
0),クライアント抽出!F69),"")</f>
        <v/>
      </c>
      <c r="J139" s="180" t="str">
        <f>IF(C139&lt;&gt;"",
VLOOKUP(
"*"&amp;LEFT(IF(COUNTIF(D139,"*学食*"),"キャラ弁（学食）",
IF(COUNTIF(D139,"*赤*"),"赤",
IF(COUNTIF(D139,"*キャラ弁当*"),"キャラ弁当",D139))),4)&amp;"*",注文弁当の抽出!$E$1:$F$15,2,FALSE),"")</f>
        <v/>
      </c>
      <c r="K139" s="180" t="str">
        <f ca="1">IF(クライアント抽出!Q69&lt;&gt;"",SUBSTITUTE(ADDRESS(1,(CODE(クライアント抽出!Q69)-64)*2-1,4),"1",""),"")</f>
        <v/>
      </c>
      <c r="L139" s="180" t="str">
        <f>IF(C69&lt;&gt;"",クライアント抽出!I69,"")</f>
        <v/>
      </c>
      <c r="M139" s="180">
        <f t="array" aca="1" ref="M139" ca="1">IF(C139&lt;&gt;"",
IF(K139&lt;&gt;"",INDIRECT("'数出表_Excel（アレルギー入力）'!"&amp;K139&amp;L139-1&amp;""),),)</f>
        <v>0</v>
      </c>
      <c r="N139" s="180" t="str">
        <f>IF(C139&lt;&gt;"",IF(OR(COUNTIF('盛付札（関数）'!D139,"*赤*"),COUNTIF('盛付札（関数）'!D139,"*キャラ*")),1,
VLOOKUP("*"&amp;D139&amp;"*",商品マスタ一覧!D:H,5,FALSE)),"")</f>
        <v/>
      </c>
      <c r="O139" s="180">
        <f t="shared" ca="1" si="69"/>
        <v>0</v>
      </c>
      <c r="P139" s="180">
        <f t="shared" si="49"/>
        <v>0</v>
      </c>
      <c r="Q139" s="180" t="b">
        <f t="shared" si="50"/>
        <v>0</v>
      </c>
      <c r="R139" s="51" t="str">
        <f t="array" aca="1" ref="R139" ca="1">IFERROR(SMALL(IF(P$1:P$307&lt;&gt;0,P$1:P$307),ROW(A139)),"")</f>
        <v/>
      </c>
      <c r="S139" s="51" t="str">
        <f t="array" aca="1" ref="S139" ca="1">IF($R139&lt;&gt;"",
SUBSTITUTE(SUBSTITUTE(INDIRECT("C"&amp;$R139&amp;"")," 週3ｺｰｽ","")," 週5ｺｰｽ",""),"")</f>
        <v/>
      </c>
      <c r="T139" s="51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91" t="str">
        <f t="array" aca="1" ref="U139" ca="1">IF($R139&lt;&gt;"",
INDIRECT("F"&amp;$R139&amp;""),"")</f>
        <v/>
      </c>
      <c r="V139" s="51" t="str">
        <f t="array" aca="1" ref="V139" ca="1">IF($R139&lt;&gt;"",
INDIRECT("G"&amp;$R139&amp;""),"")</f>
        <v/>
      </c>
      <c r="W139" s="51" t="str">
        <f t="array" aca="1" ref="W139" ca="1">IF($R139&lt;&gt;"",
IF(AND(COUNTIF(INDIRECT("B"&amp;R139&amp;""),"*雙葉*"),COUNTIF(B:B,"*雙葉*")&gt;=2),
IF(OR(COUNTIF(INDIRECT("B"&amp;R139&amp;""),"*雙葉先生*"),COUNTIF($B$1:$B$70,"*雙葉*")&gt;=2),INDIRECT("H"&amp;R139&amp;""),INDIRECT("H"&amp;R139&amp;"")+INDIRECT("H"&amp;MATCH("雙葉'",INDIRECT("B"&amp;R139+3&amp;":B210"),0)+2+R139&amp;"")),
IF(AND(LEFT(INDIRECT("B"&amp;R139&amp;""),2)="博多",COUNTIF(B:B,"*博多*")&gt;=2),
INDIRECT("H"&amp;R139&amp;"")+INDIRECT("H"&amp;MATCH("*"&amp;INDIRECT("B"&amp;R139&amp;"")&amp;"*",INDIRECT("B"&amp;R139+1&amp;":B210"),0)+R139&amp;""),
IF(AND(LEFT(INDIRECT("B"&amp;R139&amp;""),3)="奈良屋",COUNTIF(B:B,"*奈良屋*")&gt;=2),
INDIRECT("H"&amp;R139&amp;"")+INDIRECT("H"&amp;MATCH("*"&amp;INDIRECT("B"&amp;R139&amp;"")&amp;"*",INDIRECT("B"&amp;R139+1&amp;":B210"),0)+R139&amp;"")
+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INDIRECT("H"&amp;R139&amp;"")))),"")</f>
        <v/>
      </c>
      <c r="X139" s="51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51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51" t="str">
        <f t="shared" ca="1" si="51"/>
        <v/>
      </c>
      <c r="AA139" s="51" t="str">
        <f t="shared" ca="1" si="52"/>
        <v/>
      </c>
      <c r="AB139" s="51" t="str">
        <f t="array" aca="1" ref="AB139" ca="1">IF($R139&lt;&gt;"",
IF(AND(COUNTIF(INDIRECT("B"&amp;R139&amp;""),"*雙葉*"),COUNTIF(B:B,"*雙葉*")&gt;=2),
INDIRECT("M"&amp;R139&amp;"")+INDIRECT("M"&amp;MATCH("雙葉'",INDIRECT("B"&amp;R139+1&amp;":B210"),0)+R139&amp;""),
IF(AND(LEFT(INDIRECT("B"&amp;R139&amp;""),2)="博多",COUNTIF(B:B,"*博多*")&gt;=2),
INDIRECT("M"&amp;R139&amp;"")+INDIRECT("M"&amp;MATCH("*"&amp;INDIRECT("B"&amp;R139&amp;"")&amp;"*",INDIRECT("B"&amp;R139+1&amp;":B210"),0)+R139&amp;""),
IF(AND(LEFT(INDIRECT("B"&amp;R139&amp;""),3)="奈良屋",COUNTIF(B:B,"*奈良屋*")&gt;=2),
INDIRECT("M"&amp;R139&amp;"")+INDIRECT("M"&amp;MATCH("*"&amp;INDIRECT("B"&amp;R139&amp;"")&amp;"*",INDIRECT("B"&amp;R139+1&amp;":B210"),0)+R139&amp;"")
+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INDIRECT("M"&amp;R139&amp;"")))),"")</f>
        <v/>
      </c>
      <c r="AC139" s="51" t="str">
        <f t="shared" ca="1" si="53"/>
        <v/>
      </c>
      <c r="AD139" s="51" t="str">
        <f t="shared" ca="1" si="54"/>
        <v/>
      </c>
      <c r="AE139" s="51" t="str">
        <f t="shared" ca="1" si="55"/>
        <v/>
      </c>
      <c r="AF139" s="51" t="str">
        <f t="shared" ca="1" si="56"/>
        <v/>
      </c>
      <c r="AG139" s="51" t="str">
        <f t="shared" ca="1" si="57"/>
        <v/>
      </c>
      <c r="AH139" s="191" t="str">
        <f t="shared" ca="1" si="58"/>
        <v/>
      </c>
      <c r="AI139" s="51" t="str">
        <f t="shared" ca="1" si="59"/>
        <v/>
      </c>
      <c r="AJ139" s="51" t="str">
        <f t="shared" ca="1" si="60"/>
        <v/>
      </c>
      <c r="AK139" s="51" t="str">
        <f t="shared" ca="1" si="61"/>
        <v/>
      </c>
      <c r="AL139" s="51" t="str">
        <f t="shared" ca="1" si="62"/>
        <v/>
      </c>
      <c r="AM139" s="51" t="str">
        <f t="shared" ca="1" si="63"/>
        <v/>
      </c>
      <c r="AN139" s="51" t="str">
        <f t="shared" ca="1" si="64"/>
        <v/>
      </c>
      <c r="AO139" s="51" t="str">
        <f t="shared" ca="1" si="65"/>
        <v/>
      </c>
      <c r="AP139" s="51" t="str">
        <f t="shared" ca="1" si="66"/>
        <v/>
      </c>
      <c r="AU139" s="51" t="str">
        <f t="shared" ca="1" si="67"/>
        <v/>
      </c>
    </row>
    <row r="140" spans="1:47" ht="22.2" customHeight="1">
      <c r="A140" s="179">
        <f t="shared" si="48"/>
        <v>145</v>
      </c>
      <c r="B140" s="180" t="str">
        <f t="shared" ca="1" si="68"/>
        <v/>
      </c>
      <c r="C140" s="180" t="str">
        <f>IF(OR(クライアント抽出!C70&lt;&gt;"",クライアント抽出!F70&lt;&gt;""),クライアント抽出!A70,"")</f>
        <v/>
      </c>
      <c r="D140" s="180" t="str">
        <f t="array" aca="1" ref="D140" ca="1">IF(C140&lt;&gt;"",INDIRECT("クライアント抽出!"&amp;E140&amp;MATCH(C140,クライアント抽出!A:A,0)&amp;""),"")</f>
        <v/>
      </c>
      <c r="E140" s="180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81" t="str">
        <f ca="1">IF(D140&lt;&gt;"",
IF(COUNTIF(C140,"*雙葉*"),
IF(ROUND((H140-M140)
/IF(COUNTIF(D140,"*キャラ*"),
VLOOKUP("*キャラ*",商品マスタ一覧!$D:$E,2,FALSE),
IF(COUNTIF(D140,"*赤*"),
VLOOKUP("*赤*",商品マスタ一覧!$D:$E,2,FALSE),
VLOOKUP("*"&amp;D140&amp;"*",商品マスタ一覧!$D:$E,2,FALSE))),0)&lt;=0,1,
ROUND((H140-M140)
/IF(COUNTIF(D140,"*キャラ*"),
VLOOKUP("*キャラ*",商品マスタ一覧!$D:$E,2,FALSE),
IF(COUNTIF(D140,"*赤*"),
VLOOKUP("*赤*",商品マスタ一覧!$D:$E,2,FALSE),
VLOOKUP("*"&amp;D140&amp;"*",商品マスタ一覧!$D:$E,2,FALSE))),0)),
IF(OR(COUNTIF(D140,"*キャラ*"),COUNTIF(D140,"*赤*")),"",
IF(VLOOKUP("*"&amp;D140&amp;"*",商品マスタ一覧!$D:$E,2,FALSE)=0,"",
IF(ROUND((H140-M140)
/VLOOKUP("*"&amp;D140&amp;"*",商品マスタ一覧!$D:$E,2,FALSE),0)&lt;=0,1,
ROUND((H140-M140)
/VLOOKUP("*"&amp;D140&amp;"*",商品マスタ一覧!$D:$E,2,FALSE),0))))),"")</f>
        <v/>
      </c>
      <c r="G140" s="180" t="str">
        <f ca="1">IF(F140&lt;&gt;"",
IF(VALUE(H140-M140)&gt;VALUE(IF(COUNTIF(D140,"*キャラ*"),
VLOOKUP("*キャラ*",商品マスタ一覧!$D:$E,2,FALSE),
IF(COUNTIF(D140,"*赤*"),
VLOOKUP("*赤*",商品マスタ一覧!$D:$E,2,FALSE),
VLOOKUP("*"&amp;D140&amp;"*",商品マスタ一覧!$D:$E,2,FALSE)))*F140),
"+"&amp;(H140-M140)-IF(COUNTIF(D140,"*キャラ*"),
VLOOKUP("*キャラ*",商品マスタ一覧!$D:$E,2,FALSE),
IF(COUNTIF(D140,"*赤*"),
VLOOKUP("*赤*",商品マスタ一覧!$D:$E,2,FALSE),
VLOOKUP("*"&amp;D140&amp;"*",商品マスタ一覧!$D:$E,2,FALSE)))*F140,
(H140-M140)-IF(COUNTIF(D140,"*キャラ*"),
VLOOKUP("*キャラ*",商品マスタ一覧!$D:$E,2,FALSE),
IF(COUNTIF(D140,"*赤*"),
VLOOKUP("*赤*",商品マスタ一覧!$D:$E,2,FALSE),
VLOOKUP("*"&amp;D140&amp;"*",商品マスタ一覧!$D:$E,2,FALSE)))*F140),"")</f>
        <v/>
      </c>
      <c r="H140" s="182" t="str">
        <f>IF(C140&lt;&gt;"",
クライアント抽出!C70,"")</f>
        <v/>
      </c>
      <c r="I140" s="180" t="str">
        <f t="array" aca="1" ref="I140" ca="1">IF(C140&lt;&gt;"",
IF(O140=1,
IF(SUMPRODUCT(COUNTIF(クライアント抽出!P70:U70,クライアント抽出!P70:U70))&gt;COUNTA(クライアント抽出!P70:U70),
INDIRECT("数出表_Excel!"&amp;INDEX(_xlfn.UNIQUE(_xlfn._xlws.FILTER(クライアント抽出!P70:U70,COUNTIF(クライアント抽出!P70:U70,クライアント抽出!P70:U70)=1)),1)&amp;L140&amp;""),
0),クライアント抽出!F70),"")</f>
        <v/>
      </c>
      <c r="J140" s="180" t="str">
        <f>IF(C140&lt;&gt;"",
VLOOKUP(
"*"&amp;LEFT(IF(COUNTIF(D140,"*学食*"),"キャラ弁（学食）",
IF(COUNTIF(D140,"*赤*"),"赤",
IF(COUNTIF(D140,"*キャラ弁当*"),"キャラ弁当",D140))),4)&amp;"*",注文弁当の抽出!$E$1:$F$15,2,FALSE),"")</f>
        <v/>
      </c>
      <c r="K140" s="180" t="str">
        <f ca="1">IF(クライアント抽出!Q70&lt;&gt;"",SUBSTITUTE(ADDRESS(1,(CODE(クライアント抽出!Q70)-64)*2-1,4),"1",""),"")</f>
        <v/>
      </c>
      <c r="L140" s="180" t="str">
        <f>IF(C70&lt;&gt;"",クライアント抽出!I70,"")</f>
        <v/>
      </c>
      <c r="M140" s="180">
        <f t="array" aca="1" ref="M140" ca="1">IF(C140&lt;&gt;"",
IF(K140&lt;&gt;"",INDIRECT("'数出表_Excel（アレルギー入力）'!"&amp;K140&amp;L140-1&amp;""),),)</f>
        <v>0</v>
      </c>
      <c r="N140" s="180" t="str">
        <f>IF(C140&lt;&gt;"",IF(OR(COUNTIF('盛付札（関数）'!D140,"*赤*"),COUNTIF('盛付札（関数）'!D140,"*キャラ*")),1,
VLOOKUP("*"&amp;D140&amp;"*",商品マスタ一覧!D:H,5,FALSE)),"")</f>
        <v/>
      </c>
      <c r="O140" s="180">
        <f t="shared" ca="1" si="69"/>
        <v>0</v>
      </c>
      <c r="P140" s="180">
        <f t="shared" si="49"/>
        <v>0</v>
      </c>
      <c r="Q140" s="180" t="b">
        <f t="shared" si="50"/>
        <v>0</v>
      </c>
      <c r="R140" s="51" t="str">
        <f t="array" aca="1" ref="R140" ca="1">IFERROR(SMALL(IF(P$1:P$307&lt;&gt;0,P$1:P$307),ROW(A140)),"")</f>
        <v/>
      </c>
      <c r="S140" s="51" t="str">
        <f t="array" aca="1" ref="S140" ca="1">IF($R140&lt;&gt;"",
SUBSTITUTE(SUBSTITUTE(INDIRECT("C"&amp;$R140&amp;"")," 週3ｺｰｽ","")," 週5ｺｰｽ",""),"")</f>
        <v/>
      </c>
      <c r="T140" s="51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91" t="str">
        <f t="array" aca="1" ref="U140" ca="1">IF($R140&lt;&gt;"",
INDIRECT("F"&amp;$R140&amp;""),"")</f>
        <v/>
      </c>
      <c r="V140" s="51" t="str">
        <f t="array" aca="1" ref="V140" ca="1">IF($R140&lt;&gt;"",
INDIRECT("G"&amp;$R140&amp;""),"")</f>
        <v/>
      </c>
      <c r="W140" s="51" t="str">
        <f t="array" aca="1" ref="W140" ca="1">IF($R140&lt;&gt;"",
IF(AND(COUNTIF(INDIRECT("B"&amp;R140&amp;""),"*雙葉*"),COUNTIF(B:B,"*雙葉*")&gt;=2),
IF(OR(COUNTIF(INDIRECT("B"&amp;R140&amp;""),"*雙葉先生*"),COUNTIF($B$1:$B$70,"*雙葉*")&gt;=2),INDIRECT("H"&amp;R140&amp;""),INDIRECT("H"&amp;R140&amp;"")+INDIRECT("H"&amp;MATCH("雙葉'",INDIRECT("B"&amp;R140+3&amp;":B210"),0)+2+R140&amp;"")),
IF(AND(LEFT(INDIRECT("B"&amp;R140&amp;""),2)="博多",COUNTIF(B:B,"*博多*")&gt;=2),
INDIRECT("H"&amp;R140&amp;"")+INDIRECT("H"&amp;MATCH("*"&amp;INDIRECT("B"&amp;R140&amp;"")&amp;"*",INDIRECT("B"&amp;R140+1&amp;":B210"),0)+R140&amp;""),
IF(AND(LEFT(INDIRECT("B"&amp;R140&amp;""),3)="奈良屋",COUNTIF(B:B,"*奈良屋*")&gt;=2),
INDIRECT("H"&amp;R140&amp;"")+INDIRECT("H"&amp;MATCH("*"&amp;INDIRECT("B"&amp;R140&amp;"")&amp;"*",INDIRECT("B"&amp;R140+1&amp;":B210"),0)+R140&amp;"")
+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INDIRECT("H"&amp;R140&amp;"")))),"")</f>
        <v/>
      </c>
      <c r="X140" s="51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51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51" t="str">
        <f t="shared" ca="1" si="51"/>
        <v/>
      </c>
      <c r="AA140" s="51" t="str">
        <f t="shared" ca="1" si="52"/>
        <v/>
      </c>
      <c r="AB140" s="51" t="str">
        <f t="array" aca="1" ref="AB140" ca="1">IF($R140&lt;&gt;"",
IF(AND(COUNTIF(INDIRECT("B"&amp;R140&amp;""),"*雙葉*"),COUNTIF(B:B,"*雙葉*")&gt;=2),
INDIRECT("M"&amp;R140&amp;"")+INDIRECT("M"&amp;MATCH("雙葉'",INDIRECT("B"&amp;R140+1&amp;":B210"),0)+R140&amp;""),
IF(AND(LEFT(INDIRECT("B"&amp;R140&amp;""),2)="博多",COUNTIF(B:B,"*博多*")&gt;=2),
INDIRECT("M"&amp;R140&amp;"")+INDIRECT("M"&amp;MATCH("*"&amp;INDIRECT("B"&amp;R140&amp;"")&amp;"*",INDIRECT("B"&amp;R140+1&amp;":B210"),0)+R140&amp;""),
IF(AND(LEFT(INDIRECT("B"&amp;R140&amp;""),3)="奈良屋",COUNTIF(B:B,"*奈良屋*")&gt;=2),
INDIRECT("M"&amp;R140&amp;"")+INDIRECT("M"&amp;MATCH("*"&amp;INDIRECT("B"&amp;R140&amp;"")&amp;"*",INDIRECT("B"&amp;R140+1&amp;":B210"),0)+R140&amp;"")
+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INDIRECT("M"&amp;R140&amp;"")))),"")</f>
        <v/>
      </c>
      <c r="AC140" s="51" t="str">
        <f t="shared" ca="1" si="53"/>
        <v/>
      </c>
      <c r="AD140" s="51" t="str">
        <f t="shared" ca="1" si="54"/>
        <v/>
      </c>
      <c r="AE140" s="51" t="str">
        <f t="shared" ca="1" si="55"/>
        <v/>
      </c>
      <c r="AF140" s="51" t="str">
        <f t="shared" ca="1" si="56"/>
        <v/>
      </c>
      <c r="AG140" s="51" t="str">
        <f t="shared" ca="1" si="57"/>
        <v/>
      </c>
      <c r="AH140" s="191" t="str">
        <f t="shared" ca="1" si="58"/>
        <v/>
      </c>
      <c r="AI140" s="51" t="str">
        <f t="shared" ca="1" si="59"/>
        <v/>
      </c>
      <c r="AJ140" s="51" t="str">
        <f t="shared" ca="1" si="60"/>
        <v/>
      </c>
      <c r="AK140" s="51" t="str">
        <f t="shared" ca="1" si="61"/>
        <v/>
      </c>
      <c r="AL140" s="51" t="str">
        <f t="shared" ca="1" si="62"/>
        <v/>
      </c>
      <c r="AM140" s="51" t="str">
        <f t="shared" ca="1" si="63"/>
        <v/>
      </c>
      <c r="AN140" s="51" t="str">
        <f t="shared" ca="1" si="64"/>
        <v/>
      </c>
      <c r="AO140" s="51" t="str">
        <f t="shared" ca="1" si="65"/>
        <v/>
      </c>
      <c r="AP140" s="51" t="str">
        <f t="shared" ca="1" si="66"/>
        <v/>
      </c>
      <c r="AU140" s="51" t="str">
        <f t="shared" ca="1" si="67"/>
        <v/>
      </c>
    </row>
    <row r="141" spans="1:47" ht="22.2" customHeight="1">
      <c r="A141" s="183">
        <v>7</v>
      </c>
      <c r="B141" s="183" t="str">
        <f t="shared" ca="1" si="68"/>
        <v/>
      </c>
      <c r="C141" s="183" t="str">
        <f>IF(OR(クライアント抽出!D1&lt;&gt;"",クライアント抽出!G1&lt;&gt;""),クライアント抽出!A1,"")</f>
        <v/>
      </c>
      <c r="D141" s="183" t="str">
        <f t="array" aca="1" ref="D141" ca="1">IF(C141&lt;&gt;"",INDIRECT("クライアント抽出!"&amp;E141&amp;MATCH(C141,クライアント抽出!A:A,0)&amp;""),"")</f>
        <v/>
      </c>
      <c r="E141" s="183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86" t="str">
        <f ca="1">IF(D141&lt;&gt;"",
IF(COUNTIF(C141,"*雙葉*"),
IF(ROUND((H141-M141)
/IF(COUNTIF(D141,"*キャラ*"),
VLOOKUP("*キャラ*",商品マスタ一覧!$D:$E,2,FALSE),
IF(COUNTIF(D141,"*赤*"),
VLOOKUP("*赤*",商品マスタ一覧!$D:$E,2,FALSE),
VLOOKUP("*"&amp;D141&amp;"*",商品マスタ一覧!$D:$E,2,FALSE))),0)&lt;=0,1,
ROUND((H141-M141)
/IF(COUNTIF(D141,"*キャラ*"),
VLOOKUP("*キャラ*",商品マスタ一覧!$D:$E,2,FALSE),
IF(COUNTIF(D141,"*赤*"),
VLOOKUP("*赤*",商品マスタ一覧!$D:$E,2,FALSE),
VLOOKUP("*"&amp;D141&amp;"*",商品マスタ一覧!$D:$E,2,FALSE))),0)),
IF(OR(COUNTIF(D141,"*キャラ*"),COUNTIF(D141,"*赤*")),"",
IF(VLOOKUP("*"&amp;D141&amp;"*",商品マスタ一覧!$D:$E,2,FALSE)=0,"",
IF(ROUND((H141-M141)
/VLOOKUP("*"&amp;D141&amp;"*",商品マスタ一覧!$D:$E,2,FALSE),0)&lt;=0,1,
ROUND((H141-M141)
/VLOOKUP("*"&amp;D141&amp;"*",商品マスタ一覧!$D:$E,2,FALSE),0))))),"")</f>
        <v/>
      </c>
      <c r="G141" s="183" t="str">
        <f ca="1">IF(F141&lt;&gt;"",
IF(VALUE(H141-M141)&gt;VALUE(IF(COUNTIF(D141,"*キャラ*"),
VLOOKUP("*キャラ*",商品マスタ一覧!$D:$E,2,FALSE),
IF(COUNTIF(D141,"*赤*"),
VLOOKUP("*赤*",商品マスタ一覧!$D:$E,2,FALSE),
VLOOKUP("*"&amp;D141&amp;"*",商品マスタ一覧!$D:$E,2,FALSE)))*F141),
"+"&amp;(H141-M141)-IF(COUNTIF(D141,"*キャラ*"),
VLOOKUP("*キャラ*",商品マスタ一覧!$D:$E,2,FALSE),
IF(COUNTIF(D141,"*赤*"),
VLOOKUP("*赤*",商品マスタ一覧!$D:$E,2,FALSE),
VLOOKUP("*"&amp;D141&amp;"*",商品マスタ一覧!$D:$E,2,FALSE)))*F141,
(H141-M141)-IF(COUNTIF(D141,"*キャラ*"),
VLOOKUP("*キャラ*",商品マスタ一覧!$D:$E,2,FALSE),
IF(COUNTIF(D141,"*赤*"),
VLOOKUP("*赤*",商品マスタ一覧!$D:$E,2,FALSE),
VLOOKUP("*"&amp;D141&amp;"*",商品マスタ一覧!$D:$E,2,FALSE)))*F141),"")</f>
        <v/>
      </c>
      <c r="H141" s="185" t="str">
        <f>IF(C141&lt;&gt;"",
クライアント抽出!D1,"")</f>
        <v/>
      </c>
      <c r="I141" s="183" t="str">
        <f>IF(C141&lt;&gt;"",
IF(O141=1,クライアント抽出!F1,クライアント抽出!G1),"")</f>
        <v/>
      </c>
      <c r="J141" s="183" t="str">
        <f>IF(C141&lt;&gt;"",
VLOOKUP(
"*"&amp;LEFT(IF(COUNTIF(D141,"*学食*"),"キャラ弁（学食）",
IF(COUNTIF(D141,"*赤*"),"赤",
IF(COUNTIF(D141,"*キャラ弁当*"),"キャラ弁当",D141))),4)&amp;"*",注文弁当の抽出!$E$1:$F$15,2,FALSE),"")</f>
        <v/>
      </c>
      <c r="K141" s="183" t="str">
        <f ca="1">IF(クライアント抽出!R1&lt;&gt;"",SUBSTITUTE(ADDRESS(1,(CODE(クライアント抽出!R1)-64)*2-1,4),"1",""),"")</f>
        <v/>
      </c>
      <c r="L141" s="183" t="str">
        <f>IF(C1&lt;&gt;"",クライアント抽出!I1,"")</f>
        <v/>
      </c>
      <c r="M141" s="183">
        <f t="array" aca="1" ref="M141" ca="1">IF(C141&lt;&gt;"",
IF(K141&lt;&gt;"",INDIRECT("'数出表_Excel（アレルギー入力）'!"&amp;K141&amp;L141-1&amp;""),),)</f>
        <v>0</v>
      </c>
      <c r="N141" s="183" t="str">
        <f>IF(C141&lt;&gt;"",IF(OR(COUNTIF('盛付札（関数）'!D141,"*赤*"),COUNTIF('盛付札（関数）'!D141,"*キャラ*")),1,
VLOOKUP("*"&amp;D141&amp;"*",商品マスタ一覧!D:H,5,FALSE)),"")</f>
        <v/>
      </c>
      <c r="O141" s="183">
        <f t="shared" ref="O141:O172" ca="1" si="70">O1</f>
        <v>0</v>
      </c>
      <c r="P141" s="183">
        <f t="shared" si="49"/>
        <v>0</v>
      </c>
      <c r="Q141" s="183" t="b">
        <f t="shared" si="50"/>
        <v>0</v>
      </c>
      <c r="R141" s="51" t="str">
        <f t="array" aca="1" ref="R141" ca="1">IFERROR(SMALL(IF(P$1:P$307&lt;&gt;0,P$1:P$307),ROW(A141)),"")</f>
        <v/>
      </c>
      <c r="S141" s="51" t="str">
        <f t="array" aca="1" ref="S141" ca="1">IF($R141&lt;&gt;"",
SUBSTITUTE(SUBSTITUTE(INDIRECT("C"&amp;$R141&amp;"")," 週3ｺｰｽ","")," 週5ｺｰｽ",""),"")</f>
        <v/>
      </c>
      <c r="T141" s="51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91" t="str">
        <f t="array" aca="1" ref="U141" ca="1">IF($R141&lt;&gt;"",
INDIRECT("F"&amp;$R141&amp;""),"")</f>
        <v/>
      </c>
      <c r="V141" s="51" t="str">
        <f t="array" aca="1" ref="V141" ca="1">IF($R141&lt;&gt;"",
INDIRECT("G"&amp;$R141&amp;""),"")</f>
        <v/>
      </c>
      <c r="W141" s="51" t="str">
        <f t="array" aca="1" ref="W141" ca="1">IF($R141&lt;&gt;"",
IF(AND(COUNTIF(INDIRECT("B"&amp;R141&amp;""),"*雙葉*"),COUNTIF(B:B,"*雙葉*")&gt;=2),
IF(OR(COUNTIF(INDIRECT("B"&amp;R141&amp;""),"*雙葉先生*"),COUNTIF($B$1:$B$70,"*雙葉*")&gt;=2),INDIRECT("H"&amp;R141&amp;""),INDIRECT("H"&amp;R141&amp;"")+INDIRECT("H"&amp;MATCH("雙葉'",INDIRECT("B"&amp;R141+3&amp;":B210"),0)+2+R141&amp;"")),
IF(AND(LEFT(INDIRECT("B"&amp;R141&amp;""),2)="博多",COUNTIF(B:B,"*博多*")&gt;=2),
INDIRECT("H"&amp;R141&amp;"")+INDIRECT("H"&amp;MATCH("*"&amp;INDIRECT("B"&amp;R141&amp;"")&amp;"*",INDIRECT("B"&amp;R141+1&amp;":B210"),0)+R141&amp;""),
IF(AND(LEFT(INDIRECT("B"&amp;R141&amp;""),3)="奈良屋",COUNTIF(B:B,"*奈良屋*")&gt;=2),
INDIRECT("H"&amp;R141&amp;"")+INDIRECT("H"&amp;MATCH("*"&amp;INDIRECT("B"&amp;R141&amp;"")&amp;"*",INDIRECT("B"&amp;R141+1&amp;":B210"),0)+R141&amp;"")
+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INDIRECT("H"&amp;R141&amp;"")))),"")</f>
        <v/>
      </c>
      <c r="X141" s="51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51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51" t="str">
        <f t="shared" ca="1" si="51"/>
        <v/>
      </c>
      <c r="AA141" s="51" t="str">
        <f t="shared" ca="1" si="52"/>
        <v/>
      </c>
      <c r="AB141" s="51" t="str">
        <f t="array" aca="1" ref="AB141" ca="1">IF($R141&lt;&gt;"",
IF(AND(COUNTIF(INDIRECT("B"&amp;R141&amp;""),"*雙葉*"),COUNTIF(B:B,"*雙葉*")&gt;=2),
INDIRECT("M"&amp;R141&amp;"")+INDIRECT("M"&amp;MATCH("雙葉'",INDIRECT("B"&amp;R141+1&amp;":B210"),0)+R141&amp;""),
IF(AND(LEFT(INDIRECT("B"&amp;R141&amp;""),2)="博多",COUNTIF(B:B,"*博多*")&gt;=2),
INDIRECT("M"&amp;R141&amp;"")+INDIRECT("M"&amp;MATCH("*"&amp;INDIRECT("B"&amp;R141&amp;"")&amp;"*",INDIRECT("B"&amp;R141+1&amp;":B210"),0)+R141&amp;""),
IF(AND(LEFT(INDIRECT("B"&amp;R141&amp;""),3)="奈良屋",COUNTIF(B:B,"*奈良屋*")&gt;=2),
INDIRECT("M"&amp;R141&amp;"")+INDIRECT("M"&amp;MATCH("*"&amp;INDIRECT("B"&amp;R141&amp;"")&amp;"*",INDIRECT("B"&amp;R141+1&amp;":B210"),0)+R141&amp;"")
+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INDIRECT("M"&amp;R141&amp;"")))),"")</f>
        <v/>
      </c>
      <c r="AC141" s="51" t="str">
        <f t="shared" ca="1" si="53"/>
        <v/>
      </c>
      <c r="AD141" s="51" t="str">
        <f t="shared" ca="1" si="54"/>
        <v/>
      </c>
      <c r="AE141" s="51" t="str">
        <f t="shared" ca="1" si="55"/>
        <v/>
      </c>
      <c r="AF141" s="51" t="str">
        <f t="shared" ca="1" si="56"/>
        <v/>
      </c>
      <c r="AG141" s="51" t="str">
        <f t="shared" ca="1" si="57"/>
        <v/>
      </c>
      <c r="AH141" s="191" t="str">
        <f t="shared" ca="1" si="58"/>
        <v/>
      </c>
      <c r="AI141" s="51" t="str">
        <f t="shared" ca="1" si="59"/>
        <v/>
      </c>
      <c r="AJ141" s="51" t="str">
        <f t="shared" ca="1" si="60"/>
        <v/>
      </c>
      <c r="AK141" s="51" t="str">
        <f t="shared" ca="1" si="61"/>
        <v/>
      </c>
      <c r="AL141" s="51" t="str">
        <f t="shared" ca="1" si="62"/>
        <v/>
      </c>
      <c r="AM141" s="51" t="str">
        <f t="shared" ca="1" si="63"/>
        <v/>
      </c>
      <c r="AN141" s="51" t="str">
        <f t="shared" ca="1" si="64"/>
        <v/>
      </c>
      <c r="AO141" s="51" t="str">
        <f t="shared" ca="1" si="65"/>
        <v/>
      </c>
      <c r="AP141" s="51" t="str">
        <f t="shared" ca="1" si="66"/>
        <v/>
      </c>
      <c r="AU141" s="51" t="str">
        <f t="shared" ca="1" si="67"/>
        <v/>
      </c>
    </row>
    <row r="142" spans="1:47" ht="22.2" customHeight="1">
      <c r="A142" s="184">
        <f t="shared" ref="A142:A173" si="71">A141+2</f>
        <v>9</v>
      </c>
      <c r="B142" s="183" t="str">
        <f t="shared" ca="1" si="68"/>
        <v/>
      </c>
      <c r="C142" s="183" t="str">
        <f>IF(OR(クライアント抽出!D2&lt;&gt;"",クライアント抽出!G2&lt;&gt;""),クライアント抽出!A2,"")</f>
        <v/>
      </c>
      <c r="D142" s="183" t="str">
        <f t="array" aca="1" ref="D142" ca="1">IF(C142&lt;&gt;"",INDIRECT("クライアント抽出!"&amp;E142&amp;MATCH(C142,クライアント抽出!A:A,0)&amp;""),"")</f>
        <v/>
      </c>
      <c r="E142" s="183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86" t="str">
        <f ca="1">IF(D142&lt;&gt;"",
IF(COUNTIF(C142,"*雙葉*"),
IF(ROUND((H142-M142)
/IF(COUNTIF(D142,"*キャラ*"),
VLOOKUP("*キャラ*",商品マスタ一覧!$D:$E,2,FALSE),
IF(COUNTIF(D142,"*赤*"),
VLOOKUP("*赤*",商品マスタ一覧!$D:$E,2,FALSE),
VLOOKUP("*"&amp;D142&amp;"*",商品マスタ一覧!$D:$E,2,FALSE))),0)&lt;=0,1,
ROUND((H142-M142)
/IF(COUNTIF(D142,"*キャラ*"),
VLOOKUP("*キャラ*",商品マスタ一覧!$D:$E,2,FALSE),
IF(COUNTIF(D142,"*赤*"),
VLOOKUP("*赤*",商品マスタ一覧!$D:$E,2,FALSE),
VLOOKUP("*"&amp;D142&amp;"*",商品マスタ一覧!$D:$E,2,FALSE))),0)),
IF(OR(COUNTIF(D142,"*キャラ*"),COUNTIF(D142,"*赤*")),"",
IF(VLOOKUP("*"&amp;D142&amp;"*",商品マスタ一覧!$D:$E,2,FALSE)=0,"",
IF(ROUND((H142-M142)
/VLOOKUP("*"&amp;D142&amp;"*",商品マスタ一覧!$D:$E,2,FALSE),0)&lt;=0,1,
ROUND((H142-M142)
/VLOOKUP("*"&amp;D142&amp;"*",商品マスタ一覧!$D:$E,2,FALSE),0))))),"")</f>
        <v/>
      </c>
      <c r="G142" s="183" t="str">
        <f ca="1">IF(F142&lt;&gt;"",
IF(VALUE(H142-M142)&gt;VALUE(IF(COUNTIF(D142,"*キャラ*"),
VLOOKUP("*キャラ*",商品マスタ一覧!$D:$E,2,FALSE),
IF(COUNTIF(D142,"*赤*"),
VLOOKUP("*赤*",商品マスタ一覧!$D:$E,2,FALSE),
VLOOKUP("*"&amp;D142&amp;"*",商品マスタ一覧!$D:$E,2,FALSE)))*F142),
"+"&amp;(H142-M142)-IF(COUNTIF(D142,"*キャラ*"),
VLOOKUP("*キャラ*",商品マスタ一覧!$D:$E,2,FALSE),
IF(COUNTIF(D142,"*赤*"),
VLOOKUP("*赤*",商品マスタ一覧!$D:$E,2,FALSE),
VLOOKUP("*"&amp;D142&amp;"*",商品マスタ一覧!$D:$E,2,FALSE)))*F142,
(H142-M142)-IF(COUNTIF(D142,"*キャラ*"),
VLOOKUP("*キャラ*",商品マスタ一覧!$D:$E,2,FALSE),
IF(COUNTIF(D142,"*赤*"),
VLOOKUP("*赤*",商品マスタ一覧!$D:$E,2,FALSE),
VLOOKUP("*"&amp;D142&amp;"*",商品マスタ一覧!$D:$E,2,FALSE)))*F142),"")</f>
        <v/>
      </c>
      <c r="H142" s="185" t="str">
        <f>IF(C142&lt;&gt;"",
クライアント抽出!D2,"")</f>
        <v/>
      </c>
      <c r="I142" s="183" t="str">
        <f>IF(C142&lt;&gt;"",
IF(O142=1,0,クライアント抽出!F2),"")</f>
        <v/>
      </c>
      <c r="J142" s="183" t="str">
        <f>IF(C142&lt;&gt;"",
VLOOKUP(
"*"&amp;LEFT(IF(COUNTIF(D142,"*学食*"),"キャラ弁（学食）",
IF(COUNTIF(D142,"*赤*"),"赤",
IF(COUNTIF(D142,"*キャラ弁当*"),"キャラ弁当",D142))),4)&amp;"*",注文弁当の抽出!$E$1:$F$15,2,FALSE),"")</f>
        <v/>
      </c>
      <c r="K142" s="183" t="str">
        <f ca="1">IF(クライアント抽出!R2&lt;&gt;"",SUBSTITUTE(ADDRESS(1,(CODE(クライアント抽出!R2)-64)*2-1,4),"1",""),"")</f>
        <v/>
      </c>
      <c r="L142" s="183" t="str">
        <f>IF(C2&lt;&gt;"",クライアント抽出!I2,"")</f>
        <v/>
      </c>
      <c r="M142" s="183">
        <f t="array" aca="1" ref="M142" ca="1">IF(C142&lt;&gt;"",
IF(K142&lt;&gt;"",INDIRECT("'数出表_Excel（アレルギー入力）'!"&amp;K142&amp;L142-1&amp;""),),)</f>
        <v>0</v>
      </c>
      <c r="N142" s="183" t="str">
        <f>IF(C142&lt;&gt;"",IF(OR(COUNTIF('盛付札（関数）'!D142,"*赤*"),COUNTIF('盛付札（関数）'!D142,"*キャラ*")),1,
VLOOKUP("*"&amp;D142&amp;"*",商品マスタ一覧!D:H,5,FALSE)),"")</f>
        <v/>
      </c>
      <c r="O142" s="183">
        <f t="shared" ca="1" si="70"/>
        <v>0</v>
      </c>
      <c r="P142" s="183">
        <f t="shared" si="49"/>
        <v>0</v>
      </c>
      <c r="Q142" s="183" t="b">
        <f t="shared" si="50"/>
        <v>0</v>
      </c>
      <c r="R142" s="51" t="str">
        <f t="array" aca="1" ref="R142" ca="1">IFERROR(SMALL(IF(P$1:P$307&lt;&gt;0,P$1:P$307),ROW(A142)),"")</f>
        <v/>
      </c>
      <c r="S142" s="51" t="str">
        <f t="array" aca="1" ref="S142" ca="1">IF($R142&lt;&gt;"",
SUBSTITUTE(SUBSTITUTE(INDIRECT("C"&amp;$R142&amp;"")," 週3ｺｰｽ","")," 週5ｺｰｽ",""),"")</f>
        <v/>
      </c>
      <c r="T142" s="51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91" t="str">
        <f t="array" aca="1" ref="U142" ca="1">IF($R142&lt;&gt;"",
INDIRECT("F"&amp;$R142&amp;""),"")</f>
        <v/>
      </c>
      <c r="V142" s="51" t="str">
        <f t="array" aca="1" ref="V142" ca="1">IF($R142&lt;&gt;"",
INDIRECT("G"&amp;$R142&amp;""),"")</f>
        <v/>
      </c>
      <c r="W142" s="51" t="str">
        <f t="array" aca="1" ref="W142" ca="1">IF($R142&lt;&gt;"",
IF(AND(COUNTIF(INDIRECT("B"&amp;R142&amp;""),"*雙葉*"),COUNTIF(B:B,"*雙葉*")&gt;=2),
IF(OR(COUNTIF(INDIRECT("B"&amp;R142&amp;""),"*雙葉先生*"),COUNTIF($B$1:$B$70,"*雙葉*")&gt;=2),INDIRECT("H"&amp;R142&amp;""),INDIRECT("H"&amp;R142&amp;"")+INDIRECT("H"&amp;MATCH("雙葉'",INDIRECT("B"&amp;R142+3&amp;":B210"),0)+2+R142&amp;"")),
IF(AND(LEFT(INDIRECT("B"&amp;R142&amp;""),2)="博多",COUNTIF(B:B,"*博多*")&gt;=2),
INDIRECT("H"&amp;R142&amp;"")+INDIRECT("H"&amp;MATCH("*"&amp;INDIRECT("B"&amp;R142&amp;"")&amp;"*",INDIRECT("B"&amp;R142+1&amp;":B210"),0)+R142&amp;""),
IF(AND(LEFT(INDIRECT("B"&amp;R142&amp;""),3)="奈良屋",COUNTIF(B:B,"*奈良屋*")&gt;=2),
INDIRECT("H"&amp;R142&amp;"")+INDIRECT("H"&amp;MATCH("*"&amp;INDIRECT("B"&amp;R142&amp;"")&amp;"*",INDIRECT("B"&amp;R142+1&amp;":B210"),0)+R142&amp;"")
+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INDIRECT("H"&amp;R142&amp;"")))),"")</f>
        <v/>
      </c>
      <c r="X142" s="51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51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51" t="str">
        <f t="shared" ca="1" si="51"/>
        <v/>
      </c>
      <c r="AA142" s="51" t="str">
        <f t="shared" ca="1" si="52"/>
        <v/>
      </c>
      <c r="AB142" s="51" t="str">
        <f t="array" aca="1" ref="AB142" ca="1">IF($R142&lt;&gt;"",
IF(AND(COUNTIF(INDIRECT("B"&amp;R142&amp;""),"*雙葉*"),COUNTIF(B:B,"*雙葉*")&gt;=2),
INDIRECT("M"&amp;R142&amp;"")+INDIRECT("M"&amp;MATCH("雙葉'",INDIRECT("B"&amp;R142+1&amp;":B210"),0)+R142&amp;""),
IF(AND(LEFT(INDIRECT("B"&amp;R142&amp;""),2)="博多",COUNTIF(B:B,"*博多*")&gt;=2),
INDIRECT("M"&amp;R142&amp;"")+INDIRECT("M"&amp;MATCH("*"&amp;INDIRECT("B"&amp;R142&amp;"")&amp;"*",INDIRECT("B"&amp;R142+1&amp;":B210"),0)+R142&amp;""),
IF(AND(LEFT(INDIRECT("B"&amp;R142&amp;""),3)="奈良屋",COUNTIF(B:B,"*奈良屋*")&gt;=2),
INDIRECT("M"&amp;R142&amp;"")+INDIRECT("M"&amp;MATCH("*"&amp;INDIRECT("B"&amp;R142&amp;"")&amp;"*",INDIRECT("B"&amp;R142+1&amp;":B210"),0)+R142&amp;"")
+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INDIRECT("M"&amp;R142&amp;"")))),"")</f>
        <v/>
      </c>
      <c r="AC142" s="51" t="str">
        <f t="shared" ca="1" si="53"/>
        <v/>
      </c>
      <c r="AD142" s="51" t="str">
        <f t="shared" ca="1" si="54"/>
        <v/>
      </c>
      <c r="AE142" s="51" t="str">
        <f t="shared" ca="1" si="55"/>
        <v/>
      </c>
      <c r="AF142" s="51" t="str">
        <f t="shared" ca="1" si="56"/>
        <v/>
      </c>
      <c r="AG142" s="51" t="str">
        <f t="shared" ca="1" si="57"/>
        <v/>
      </c>
      <c r="AH142" s="191" t="str">
        <f t="shared" ca="1" si="58"/>
        <v/>
      </c>
      <c r="AI142" s="51" t="str">
        <f t="shared" ca="1" si="59"/>
        <v/>
      </c>
      <c r="AJ142" s="51" t="str">
        <f t="shared" ca="1" si="60"/>
        <v/>
      </c>
      <c r="AK142" s="51" t="str">
        <f t="shared" ca="1" si="61"/>
        <v/>
      </c>
      <c r="AL142" s="51" t="str">
        <f t="shared" ca="1" si="62"/>
        <v/>
      </c>
      <c r="AM142" s="51" t="str">
        <f t="shared" ca="1" si="63"/>
        <v/>
      </c>
      <c r="AN142" s="51" t="str">
        <f t="shared" ca="1" si="64"/>
        <v/>
      </c>
      <c r="AO142" s="51" t="str">
        <f t="shared" ca="1" si="65"/>
        <v/>
      </c>
      <c r="AP142" s="51" t="str">
        <f t="shared" ca="1" si="66"/>
        <v/>
      </c>
      <c r="AU142" s="51" t="str">
        <f t="shared" ca="1" si="67"/>
        <v/>
      </c>
    </row>
    <row r="143" spans="1:47" ht="22.2" customHeight="1">
      <c r="A143" s="184">
        <f t="shared" si="71"/>
        <v>11</v>
      </c>
      <c r="B143" s="183" t="str">
        <f t="shared" ca="1" si="68"/>
        <v/>
      </c>
      <c r="C143" s="183" t="str">
        <f>IF(OR(クライアント抽出!D3&lt;&gt;"",クライアント抽出!G3&lt;&gt;""),クライアント抽出!A3,"")</f>
        <v/>
      </c>
      <c r="D143" s="183" t="str">
        <f t="array" aca="1" ref="D143" ca="1">IF(C143&lt;&gt;"",INDIRECT("クライアント抽出!"&amp;E143&amp;MATCH(C143,クライアント抽出!A:A,0)&amp;""),"")</f>
        <v/>
      </c>
      <c r="E143" s="183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86" t="str">
        <f ca="1">IF(D143&lt;&gt;"",
IF(COUNTIF(C143,"*雙葉*"),
IF(ROUND((H143-M143)
/IF(COUNTIF(D143,"*キャラ*"),
VLOOKUP("*キャラ*",商品マスタ一覧!$D:$E,2,FALSE),
IF(COUNTIF(D143,"*赤*"),
VLOOKUP("*赤*",商品マスタ一覧!$D:$E,2,FALSE),
VLOOKUP("*"&amp;D143&amp;"*",商品マスタ一覧!$D:$E,2,FALSE))),0)&lt;=0,1,
ROUND((H143-M143)
/IF(COUNTIF(D143,"*キャラ*"),
VLOOKUP("*キャラ*",商品マスタ一覧!$D:$E,2,FALSE),
IF(COUNTIF(D143,"*赤*"),
VLOOKUP("*赤*",商品マスタ一覧!$D:$E,2,FALSE),
VLOOKUP("*"&amp;D143&amp;"*",商品マスタ一覧!$D:$E,2,FALSE))),0)),
IF(OR(COUNTIF(D143,"*キャラ*"),COUNTIF(D143,"*赤*")),"",
IF(VLOOKUP("*"&amp;D143&amp;"*",商品マスタ一覧!$D:$E,2,FALSE)=0,"",
IF(ROUND((H143-M143)
/VLOOKUP("*"&amp;D143&amp;"*",商品マスタ一覧!$D:$E,2,FALSE),0)&lt;=0,1,
ROUND((H143-M143)
/VLOOKUP("*"&amp;D143&amp;"*",商品マスタ一覧!$D:$E,2,FALSE),0))))),"")</f>
        <v/>
      </c>
      <c r="G143" s="183" t="str">
        <f ca="1">IF(F143&lt;&gt;"",
IF(VALUE(H143-M143)&gt;VALUE(IF(COUNTIF(D143,"*キャラ*"),
VLOOKUP("*キャラ*",商品マスタ一覧!$D:$E,2,FALSE),
IF(COUNTIF(D143,"*赤*"),
VLOOKUP("*赤*",商品マスタ一覧!$D:$E,2,FALSE),
VLOOKUP("*"&amp;D143&amp;"*",商品マスタ一覧!$D:$E,2,FALSE)))*F143),
"+"&amp;(H143-M143)-IF(COUNTIF(D143,"*キャラ*"),
VLOOKUP("*キャラ*",商品マスタ一覧!$D:$E,2,FALSE),
IF(COUNTIF(D143,"*赤*"),
VLOOKUP("*赤*",商品マスタ一覧!$D:$E,2,FALSE),
VLOOKUP("*"&amp;D143&amp;"*",商品マスタ一覧!$D:$E,2,FALSE)))*F143,
(H143-M143)-IF(COUNTIF(D143,"*キャラ*"),
VLOOKUP("*キャラ*",商品マスタ一覧!$D:$E,2,FALSE),
IF(COUNTIF(D143,"*赤*"),
VLOOKUP("*赤*",商品マスタ一覧!$D:$E,2,FALSE),
VLOOKUP("*"&amp;D143&amp;"*",商品マスタ一覧!$D:$E,2,FALSE)))*F143),"")</f>
        <v/>
      </c>
      <c r="H143" s="185" t="str">
        <f>IF(C143&lt;&gt;"",
クライアント抽出!D3,"")</f>
        <v/>
      </c>
      <c r="I143" s="183" t="str">
        <f>IF(C143&lt;&gt;"",
IF(O143=1,0,クライアント抽出!F3),"")</f>
        <v/>
      </c>
      <c r="J143" s="183" t="str">
        <f>IF(C143&lt;&gt;"",
VLOOKUP(
"*"&amp;LEFT(IF(COUNTIF(D143,"*学食*"),"キャラ弁（学食）",
IF(COUNTIF(D143,"*赤*"),"赤",
IF(COUNTIF(D143,"*キャラ弁当*"),"キャラ弁当",D143))),4)&amp;"*",注文弁当の抽出!$E$1:$F$15,2,FALSE),"")</f>
        <v/>
      </c>
      <c r="K143" s="183" t="str">
        <f ca="1">IF(クライアント抽出!R3&lt;&gt;"",SUBSTITUTE(ADDRESS(1,(CODE(クライアント抽出!R3)-64)*2-1,4),"1",""),"")</f>
        <v/>
      </c>
      <c r="L143" s="183" t="str">
        <f>IF(C3&lt;&gt;"",クライアント抽出!I3,"")</f>
        <v/>
      </c>
      <c r="M143" s="183">
        <f t="array" aca="1" ref="M143" ca="1">IF(C143&lt;&gt;"",
IF(K143&lt;&gt;"",INDIRECT("'数出表_Excel（アレルギー入力）'!"&amp;K143&amp;L143-1&amp;""),),)</f>
        <v>0</v>
      </c>
      <c r="N143" s="183" t="str">
        <f>IF(C143&lt;&gt;"",IF(OR(COUNTIF('盛付札（関数）'!D143,"*赤*"),COUNTIF('盛付札（関数）'!D143,"*キャラ*")),1,
VLOOKUP("*"&amp;D143&amp;"*",商品マスタ一覧!D:H,5,FALSE)),"")</f>
        <v/>
      </c>
      <c r="O143" s="183">
        <f t="shared" ca="1" si="70"/>
        <v>0</v>
      </c>
      <c r="P143" s="183">
        <f t="shared" si="49"/>
        <v>0</v>
      </c>
      <c r="Q143" s="183" t="b">
        <f t="shared" si="50"/>
        <v>0</v>
      </c>
      <c r="R143" s="51" t="str">
        <f t="array" aca="1" ref="R143" ca="1">IFERROR(SMALL(IF(P$1:P$307&lt;&gt;0,P$1:P$307),ROW(A143)),"")</f>
        <v/>
      </c>
      <c r="S143" s="51" t="str">
        <f t="array" aca="1" ref="S143" ca="1">IF($R143&lt;&gt;"",
SUBSTITUTE(SUBSTITUTE(INDIRECT("C"&amp;$R143&amp;"")," 週3ｺｰｽ","")," 週5ｺｰｽ",""),"")</f>
        <v/>
      </c>
      <c r="T143" s="51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91" t="str">
        <f t="array" aca="1" ref="U143" ca="1">IF($R143&lt;&gt;"",
INDIRECT("F"&amp;$R143&amp;""),"")</f>
        <v/>
      </c>
      <c r="V143" s="51" t="str">
        <f t="array" aca="1" ref="V143" ca="1">IF($R143&lt;&gt;"",
INDIRECT("G"&amp;$R143&amp;""),"")</f>
        <v/>
      </c>
      <c r="W143" s="51" t="str">
        <f t="array" aca="1" ref="W143" ca="1">IF($R143&lt;&gt;"",
IF(AND(COUNTIF(INDIRECT("B"&amp;R143&amp;""),"*雙葉*"),COUNTIF(B:B,"*雙葉*")&gt;=2),
IF(OR(COUNTIF(INDIRECT("B"&amp;R143&amp;""),"*雙葉先生*"),COUNTIF($B$1:$B$70,"*雙葉*")&gt;=2),INDIRECT("H"&amp;R143&amp;""),INDIRECT("H"&amp;R143&amp;"")+INDIRECT("H"&amp;MATCH("雙葉'",INDIRECT("B"&amp;R143+3&amp;":B210"),0)+2+R143&amp;"")),
IF(AND(LEFT(INDIRECT("B"&amp;R143&amp;""),2)="博多",COUNTIF(B:B,"*博多*")&gt;=2),
INDIRECT("H"&amp;R143&amp;"")+INDIRECT("H"&amp;MATCH("*"&amp;INDIRECT("B"&amp;R143&amp;"")&amp;"*",INDIRECT("B"&amp;R143+1&amp;":B210"),0)+R143&amp;""),
IF(AND(LEFT(INDIRECT("B"&amp;R143&amp;""),3)="奈良屋",COUNTIF(B:B,"*奈良屋*")&gt;=2),
INDIRECT("H"&amp;R143&amp;"")+INDIRECT("H"&amp;MATCH("*"&amp;INDIRECT("B"&amp;R143&amp;"")&amp;"*",INDIRECT("B"&amp;R143+1&amp;":B210"),0)+R143&amp;"")
+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INDIRECT("H"&amp;R143&amp;"")))),"")</f>
        <v/>
      </c>
      <c r="X143" s="51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51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51" t="str">
        <f t="shared" ca="1" si="51"/>
        <v/>
      </c>
      <c r="AA143" s="51" t="str">
        <f t="shared" ca="1" si="52"/>
        <v/>
      </c>
      <c r="AB143" s="51" t="str">
        <f t="array" aca="1" ref="AB143" ca="1">IF($R143&lt;&gt;"",
IF(AND(COUNTIF(INDIRECT("B"&amp;R143&amp;""),"*雙葉*"),COUNTIF(B:B,"*雙葉*")&gt;=2),
INDIRECT("M"&amp;R143&amp;"")+INDIRECT("M"&amp;MATCH("雙葉'",INDIRECT("B"&amp;R143+1&amp;":B210"),0)+R143&amp;""),
IF(AND(LEFT(INDIRECT("B"&amp;R143&amp;""),2)="博多",COUNTIF(B:B,"*博多*")&gt;=2),
INDIRECT("M"&amp;R143&amp;"")+INDIRECT("M"&amp;MATCH("*"&amp;INDIRECT("B"&amp;R143&amp;"")&amp;"*",INDIRECT("B"&amp;R143+1&amp;":B210"),0)+R143&amp;""),
IF(AND(LEFT(INDIRECT("B"&amp;R143&amp;""),3)="奈良屋",COUNTIF(B:B,"*奈良屋*")&gt;=2),
INDIRECT("M"&amp;R143&amp;"")+INDIRECT("M"&amp;MATCH("*"&amp;INDIRECT("B"&amp;R143&amp;"")&amp;"*",INDIRECT("B"&amp;R143+1&amp;":B210"),0)+R143&amp;"")
+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INDIRECT("M"&amp;R143&amp;"")))),"")</f>
        <v/>
      </c>
      <c r="AC143" s="51" t="str">
        <f t="shared" ca="1" si="53"/>
        <v/>
      </c>
      <c r="AD143" s="51" t="str">
        <f t="shared" ca="1" si="54"/>
        <v/>
      </c>
      <c r="AE143" s="51" t="str">
        <f t="shared" ca="1" si="55"/>
        <v/>
      </c>
      <c r="AF143" s="51" t="str">
        <f t="shared" ca="1" si="56"/>
        <v/>
      </c>
      <c r="AG143" s="51" t="str">
        <f t="shared" ca="1" si="57"/>
        <v/>
      </c>
      <c r="AH143" s="191" t="str">
        <f t="shared" ca="1" si="58"/>
        <v/>
      </c>
      <c r="AI143" s="51" t="str">
        <f t="shared" ca="1" si="59"/>
        <v/>
      </c>
      <c r="AJ143" s="51" t="str">
        <f t="shared" ca="1" si="60"/>
        <v/>
      </c>
      <c r="AK143" s="51" t="str">
        <f t="shared" ca="1" si="61"/>
        <v/>
      </c>
      <c r="AL143" s="51" t="str">
        <f t="shared" ca="1" si="62"/>
        <v/>
      </c>
      <c r="AM143" s="51" t="str">
        <f t="shared" ca="1" si="63"/>
        <v/>
      </c>
      <c r="AN143" s="51" t="str">
        <f t="shared" ca="1" si="64"/>
        <v/>
      </c>
      <c r="AO143" s="51" t="str">
        <f t="shared" ca="1" si="65"/>
        <v/>
      </c>
      <c r="AP143" s="51" t="str">
        <f t="shared" ca="1" si="66"/>
        <v/>
      </c>
      <c r="AU143" s="51" t="str">
        <f t="shared" ca="1" si="67"/>
        <v/>
      </c>
    </row>
    <row r="144" spans="1:47" ht="22.2" customHeight="1">
      <c r="A144" s="184">
        <f t="shared" si="71"/>
        <v>13</v>
      </c>
      <c r="B144" s="183" t="str">
        <f t="shared" ca="1" si="68"/>
        <v/>
      </c>
      <c r="C144" s="183" t="str">
        <f>IF(OR(クライアント抽出!D4&lt;&gt;"",クライアント抽出!G4&lt;&gt;""),クライアント抽出!A4,"")</f>
        <v/>
      </c>
      <c r="D144" s="183" t="str">
        <f t="array" aca="1" ref="D144" ca="1">IF(C144&lt;&gt;"",INDIRECT("クライアント抽出!"&amp;E144&amp;MATCH(C144,クライアント抽出!A:A,0)&amp;""),"")</f>
        <v/>
      </c>
      <c r="E144" s="183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86" t="str">
        <f ca="1">IF(D144&lt;&gt;"",
IF(COUNTIF(C144,"*雙葉*"),
IF(ROUND((H144-M144)
/IF(COUNTIF(D144,"*キャラ*"),
VLOOKUP("*キャラ*",商品マスタ一覧!$D:$E,2,FALSE),
IF(COUNTIF(D144,"*赤*"),
VLOOKUP("*赤*",商品マスタ一覧!$D:$E,2,FALSE),
VLOOKUP("*"&amp;D144&amp;"*",商品マスタ一覧!$D:$E,2,FALSE))),0)&lt;=0,1,
ROUND((H144-M144)
/IF(COUNTIF(D144,"*キャラ*"),
VLOOKUP("*キャラ*",商品マスタ一覧!$D:$E,2,FALSE),
IF(COUNTIF(D144,"*赤*"),
VLOOKUP("*赤*",商品マスタ一覧!$D:$E,2,FALSE),
VLOOKUP("*"&amp;D144&amp;"*",商品マスタ一覧!$D:$E,2,FALSE))),0)),
IF(OR(COUNTIF(D144,"*キャラ*"),COUNTIF(D144,"*赤*")),"",
IF(VLOOKUP("*"&amp;D144&amp;"*",商品マスタ一覧!$D:$E,2,FALSE)=0,"",
IF(ROUND((H144-M144)
/VLOOKUP("*"&amp;D144&amp;"*",商品マスタ一覧!$D:$E,2,FALSE),0)&lt;=0,1,
ROUND((H144-M144)
/VLOOKUP("*"&amp;D144&amp;"*",商品マスタ一覧!$D:$E,2,FALSE),0))))),"")</f>
        <v/>
      </c>
      <c r="G144" s="183" t="str">
        <f ca="1">IF(F144&lt;&gt;"",
IF(VALUE(H144-M144)&gt;VALUE(IF(COUNTIF(D144,"*キャラ*"),
VLOOKUP("*キャラ*",商品マスタ一覧!$D:$E,2,FALSE),
IF(COUNTIF(D144,"*赤*"),
VLOOKUP("*赤*",商品マスタ一覧!$D:$E,2,FALSE),
VLOOKUP("*"&amp;D144&amp;"*",商品マスタ一覧!$D:$E,2,FALSE)))*F144),
"+"&amp;(H144-M144)-IF(COUNTIF(D144,"*キャラ*"),
VLOOKUP("*キャラ*",商品マスタ一覧!$D:$E,2,FALSE),
IF(COUNTIF(D144,"*赤*"),
VLOOKUP("*赤*",商品マスタ一覧!$D:$E,2,FALSE),
VLOOKUP("*"&amp;D144&amp;"*",商品マスタ一覧!$D:$E,2,FALSE)))*F144,
(H144-M144)-IF(COUNTIF(D144,"*キャラ*"),
VLOOKUP("*キャラ*",商品マスタ一覧!$D:$E,2,FALSE),
IF(COUNTIF(D144,"*赤*"),
VLOOKUP("*赤*",商品マスタ一覧!$D:$E,2,FALSE),
VLOOKUP("*"&amp;D144&amp;"*",商品マスタ一覧!$D:$E,2,FALSE)))*F144),"")</f>
        <v/>
      </c>
      <c r="H144" s="185" t="str">
        <f>IF(C144&lt;&gt;"",
クライアント抽出!D4,"")</f>
        <v/>
      </c>
      <c r="I144" s="183" t="str">
        <f>IF(C144&lt;&gt;"",
IF(O144=1,0,クライアント抽出!F4),"")</f>
        <v/>
      </c>
      <c r="J144" s="183" t="str">
        <f>IF(C144&lt;&gt;"",
VLOOKUP(
"*"&amp;LEFT(IF(COUNTIF(D144,"*学食*"),"キャラ弁（学食）",
IF(COUNTIF(D144,"*赤*"),"赤",
IF(COUNTIF(D144,"*キャラ弁当*"),"キャラ弁当",D144))),4)&amp;"*",注文弁当の抽出!$E$1:$F$15,2,FALSE),"")</f>
        <v/>
      </c>
      <c r="K144" s="183" t="str">
        <f ca="1">IF(クライアント抽出!R4&lt;&gt;"",SUBSTITUTE(ADDRESS(1,(CODE(クライアント抽出!R4)-64)*2-1,4),"1",""),"")</f>
        <v/>
      </c>
      <c r="L144" s="183" t="str">
        <f>IF(C4&lt;&gt;"",クライアント抽出!I4,"")</f>
        <v/>
      </c>
      <c r="M144" s="183">
        <f t="array" aca="1" ref="M144" ca="1">IF(C144&lt;&gt;"",
IF(K144&lt;&gt;"",INDIRECT("'数出表_Excel（アレルギー入力）'!"&amp;K144&amp;L144-1&amp;""),),)</f>
        <v>0</v>
      </c>
      <c r="N144" s="183" t="str">
        <f>IF(C144&lt;&gt;"",IF(OR(COUNTIF('盛付札（関数）'!D144,"*赤*"),COUNTIF('盛付札（関数）'!D144,"*キャラ*")),1,
VLOOKUP("*"&amp;D144&amp;"*",商品マスタ一覧!D:H,5,FALSE)),"")</f>
        <v/>
      </c>
      <c r="O144" s="183">
        <f t="shared" ca="1" si="70"/>
        <v>0</v>
      </c>
      <c r="P144" s="183">
        <f t="shared" si="49"/>
        <v>0</v>
      </c>
      <c r="Q144" s="183" t="b">
        <f t="shared" si="50"/>
        <v>0</v>
      </c>
      <c r="R144" s="51" t="str">
        <f t="array" aca="1" ref="R144" ca="1">IFERROR(SMALL(IF(P$1:P$307&lt;&gt;0,P$1:P$307),ROW(A144)),"")</f>
        <v/>
      </c>
      <c r="S144" s="51" t="str">
        <f t="array" aca="1" ref="S144" ca="1">IF($R144&lt;&gt;"",
SUBSTITUTE(SUBSTITUTE(INDIRECT("C"&amp;$R144&amp;"")," 週3ｺｰｽ","")," 週5ｺｰｽ",""),"")</f>
        <v/>
      </c>
      <c r="T144" s="51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91" t="str">
        <f t="array" aca="1" ref="U144" ca="1">IF($R144&lt;&gt;"",
INDIRECT("F"&amp;$R144&amp;""),"")</f>
        <v/>
      </c>
      <c r="V144" s="51" t="str">
        <f t="array" aca="1" ref="V144" ca="1">IF($R144&lt;&gt;"",
INDIRECT("G"&amp;$R144&amp;""),"")</f>
        <v/>
      </c>
      <c r="W144" s="51" t="str">
        <f t="array" aca="1" ref="W144" ca="1">IF($R144&lt;&gt;"",
IF(AND(COUNTIF(INDIRECT("B"&amp;R144&amp;""),"*雙葉*"),COUNTIF(B:B,"*雙葉*")&gt;=2),
IF(OR(COUNTIF(INDIRECT("B"&amp;R144&amp;""),"*雙葉先生*"),COUNTIF($B$1:$B$70,"*雙葉*")&gt;=2),INDIRECT("H"&amp;R144&amp;""),INDIRECT("H"&amp;R144&amp;"")+INDIRECT("H"&amp;MATCH("雙葉'",INDIRECT("B"&amp;R144+3&amp;":B210"),0)+2+R144&amp;"")),
IF(AND(LEFT(INDIRECT("B"&amp;R144&amp;""),2)="博多",COUNTIF(B:B,"*博多*")&gt;=2),
INDIRECT("H"&amp;R144&amp;"")+INDIRECT("H"&amp;MATCH("*"&amp;INDIRECT("B"&amp;R144&amp;"")&amp;"*",INDIRECT("B"&amp;R144+1&amp;":B210"),0)+R144&amp;""),
IF(AND(LEFT(INDIRECT("B"&amp;R144&amp;""),3)="奈良屋",COUNTIF(B:B,"*奈良屋*")&gt;=2),
INDIRECT("H"&amp;R144&amp;"")+INDIRECT("H"&amp;MATCH("*"&amp;INDIRECT("B"&amp;R144&amp;"")&amp;"*",INDIRECT("B"&amp;R144+1&amp;":B210"),0)+R144&amp;"")
+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INDIRECT("H"&amp;R144&amp;"")))),"")</f>
        <v/>
      </c>
      <c r="X144" s="51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51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51" t="str">
        <f t="shared" ca="1" si="51"/>
        <v/>
      </c>
      <c r="AA144" s="51" t="str">
        <f t="shared" ca="1" si="52"/>
        <v/>
      </c>
      <c r="AB144" s="51" t="str">
        <f t="array" aca="1" ref="AB144" ca="1">IF($R144&lt;&gt;"",
IF(AND(COUNTIF(INDIRECT("B"&amp;R144&amp;""),"*雙葉*"),COUNTIF(B:B,"*雙葉*")&gt;=2),
INDIRECT("M"&amp;R144&amp;"")+INDIRECT("M"&amp;MATCH("雙葉'",INDIRECT("B"&amp;R144+1&amp;":B210"),0)+R144&amp;""),
IF(AND(LEFT(INDIRECT("B"&amp;R144&amp;""),2)="博多",COUNTIF(B:B,"*博多*")&gt;=2),
INDIRECT("M"&amp;R144&amp;"")+INDIRECT("M"&amp;MATCH("*"&amp;INDIRECT("B"&amp;R144&amp;"")&amp;"*",INDIRECT("B"&amp;R144+1&amp;":B210"),0)+R144&amp;""),
IF(AND(LEFT(INDIRECT("B"&amp;R144&amp;""),3)="奈良屋",COUNTIF(B:B,"*奈良屋*")&gt;=2),
INDIRECT("M"&amp;R144&amp;"")+INDIRECT("M"&amp;MATCH("*"&amp;INDIRECT("B"&amp;R144&amp;"")&amp;"*",INDIRECT("B"&amp;R144+1&amp;":B210"),0)+R144&amp;"")
+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INDIRECT("M"&amp;R144&amp;"")))),"")</f>
        <v/>
      </c>
      <c r="AC144" s="51" t="str">
        <f t="shared" ca="1" si="53"/>
        <v/>
      </c>
      <c r="AD144" s="51" t="str">
        <f t="shared" ca="1" si="54"/>
        <v/>
      </c>
      <c r="AE144" s="51" t="str">
        <f t="shared" ca="1" si="55"/>
        <v/>
      </c>
      <c r="AF144" s="51" t="str">
        <f t="shared" ca="1" si="56"/>
        <v/>
      </c>
      <c r="AG144" s="51" t="str">
        <f t="shared" ca="1" si="57"/>
        <v/>
      </c>
      <c r="AH144" s="191" t="str">
        <f t="shared" ca="1" si="58"/>
        <v/>
      </c>
      <c r="AI144" s="51" t="str">
        <f t="shared" ca="1" si="59"/>
        <v/>
      </c>
      <c r="AJ144" s="51" t="str">
        <f t="shared" ca="1" si="60"/>
        <v/>
      </c>
      <c r="AK144" s="51" t="str">
        <f t="shared" ca="1" si="61"/>
        <v/>
      </c>
      <c r="AL144" s="51" t="str">
        <f t="shared" ca="1" si="62"/>
        <v/>
      </c>
      <c r="AM144" s="51" t="str">
        <f t="shared" ca="1" si="63"/>
        <v/>
      </c>
      <c r="AN144" s="51" t="str">
        <f t="shared" ca="1" si="64"/>
        <v/>
      </c>
      <c r="AO144" s="51" t="str">
        <f t="shared" ca="1" si="65"/>
        <v/>
      </c>
      <c r="AP144" s="51" t="str">
        <f t="shared" ca="1" si="66"/>
        <v/>
      </c>
      <c r="AU144" s="51" t="str">
        <f t="shared" ca="1" si="67"/>
        <v/>
      </c>
    </row>
    <row r="145" spans="1:47" ht="22.2" customHeight="1">
      <c r="A145" s="184">
        <f t="shared" si="71"/>
        <v>15</v>
      </c>
      <c r="B145" s="183" t="str">
        <f t="shared" ca="1" si="68"/>
        <v/>
      </c>
      <c r="C145" s="183" t="str">
        <f>IF(OR(クライアント抽出!D5&lt;&gt;"",クライアント抽出!G5&lt;&gt;""),クライアント抽出!A5,"")</f>
        <v/>
      </c>
      <c r="D145" s="183" t="str">
        <f t="array" aca="1" ref="D145" ca="1">IF(C145&lt;&gt;"",INDIRECT("クライアント抽出!"&amp;E145&amp;MATCH(C145,クライアント抽出!A:A,0)&amp;""),"")</f>
        <v/>
      </c>
      <c r="E145" s="183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86" t="str">
        <f ca="1">IF(D145&lt;&gt;"",
IF(COUNTIF(C145,"*雙葉*"),
IF(ROUND((H145-M145)
/IF(COUNTIF(D145,"*キャラ*"),
VLOOKUP("*キャラ*",商品マスタ一覧!$D:$E,2,FALSE),
IF(COUNTIF(D145,"*赤*"),
VLOOKUP("*赤*",商品マスタ一覧!$D:$E,2,FALSE),
VLOOKUP("*"&amp;D145&amp;"*",商品マスタ一覧!$D:$E,2,FALSE))),0)&lt;=0,1,
ROUND((H145-M145)
/IF(COUNTIF(D145,"*キャラ*"),
VLOOKUP("*キャラ*",商品マスタ一覧!$D:$E,2,FALSE),
IF(COUNTIF(D145,"*赤*"),
VLOOKUP("*赤*",商品マスタ一覧!$D:$E,2,FALSE),
VLOOKUP("*"&amp;D145&amp;"*",商品マスタ一覧!$D:$E,2,FALSE))),0)),
IF(OR(COUNTIF(D145,"*キャラ*"),COUNTIF(D145,"*赤*")),"",
IF(VLOOKUP("*"&amp;D145&amp;"*",商品マスタ一覧!$D:$E,2,FALSE)=0,"",
IF(ROUND((H145-M145)
/VLOOKUP("*"&amp;D145&amp;"*",商品マスタ一覧!$D:$E,2,FALSE),0)&lt;=0,1,
ROUND((H145-M145)
/VLOOKUP("*"&amp;D145&amp;"*",商品マスタ一覧!$D:$E,2,FALSE),0))))),"")</f>
        <v/>
      </c>
      <c r="G145" s="183" t="str">
        <f ca="1">IF(F145&lt;&gt;"",
IF(VALUE(H145-M145)&gt;VALUE(IF(COUNTIF(D145,"*キャラ*"),
VLOOKUP("*キャラ*",商品マスタ一覧!$D:$E,2,FALSE),
IF(COUNTIF(D145,"*赤*"),
VLOOKUP("*赤*",商品マスタ一覧!$D:$E,2,FALSE),
VLOOKUP("*"&amp;D145&amp;"*",商品マスタ一覧!$D:$E,2,FALSE)))*F145),
"+"&amp;(H145-M145)-IF(COUNTIF(D145,"*キャラ*"),
VLOOKUP("*キャラ*",商品マスタ一覧!$D:$E,2,FALSE),
IF(COUNTIF(D145,"*赤*"),
VLOOKUP("*赤*",商品マスタ一覧!$D:$E,2,FALSE),
VLOOKUP("*"&amp;D145&amp;"*",商品マスタ一覧!$D:$E,2,FALSE)))*F145,
(H145-M145)-IF(COUNTIF(D145,"*キャラ*"),
VLOOKUP("*キャラ*",商品マスタ一覧!$D:$E,2,FALSE),
IF(COUNTIF(D145,"*赤*"),
VLOOKUP("*赤*",商品マスタ一覧!$D:$E,2,FALSE),
VLOOKUP("*"&amp;D145&amp;"*",商品マスタ一覧!$D:$E,2,FALSE)))*F145),"")</f>
        <v/>
      </c>
      <c r="H145" s="185" t="str">
        <f>IF(C145&lt;&gt;"",
クライアント抽出!D5,"")</f>
        <v/>
      </c>
      <c r="I145" s="183" t="str">
        <f>IF(C145&lt;&gt;"",
IF(O145=1,0,クライアント抽出!F5),"")</f>
        <v/>
      </c>
      <c r="J145" s="183" t="str">
        <f>IF(C145&lt;&gt;"",
VLOOKUP(
"*"&amp;LEFT(IF(COUNTIF(D145,"*学食*"),"キャラ弁（学食）",
IF(COUNTIF(D145,"*赤*"),"赤",
IF(COUNTIF(D145,"*キャラ弁当*"),"キャラ弁当",D145))),4)&amp;"*",注文弁当の抽出!$E$1:$F$15,2,FALSE),"")</f>
        <v/>
      </c>
      <c r="K145" s="183" t="str">
        <f ca="1">IF(クライアント抽出!R5&lt;&gt;"",SUBSTITUTE(ADDRESS(1,(CODE(クライアント抽出!R5)-64)*2-1,4),"1",""),"")</f>
        <v/>
      </c>
      <c r="L145" s="183" t="str">
        <f>IF(C5&lt;&gt;"",クライアント抽出!I5,"")</f>
        <v/>
      </c>
      <c r="M145" s="183">
        <f t="array" aca="1" ref="M145" ca="1">IF(C145&lt;&gt;"",
IF(K145&lt;&gt;"",INDIRECT("'数出表_Excel（アレルギー入力）'!"&amp;K145&amp;L145-1&amp;""),),)</f>
        <v>0</v>
      </c>
      <c r="N145" s="183" t="str">
        <f>IF(C145&lt;&gt;"",IF(OR(COUNTIF('盛付札（関数）'!D145,"*赤*"),COUNTIF('盛付札（関数）'!D145,"*キャラ*")),1,
VLOOKUP("*"&amp;D145&amp;"*",商品マスタ一覧!D:H,5,FALSE)),"")</f>
        <v/>
      </c>
      <c r="O145" s="183">
        <f t="shared" ca="1" si="70"/>
        <v>0</v>
      </c>
      <c r="P145" s="183">
        <f t="shared" si="49"/>
        <v>0</v>
      </c>
      <c r="Q145" s="183" t="b">
        <f t="shared" si="50"/>
        <v>0</v>
      </c>
      <c r="R145" s="51" t="str">
        <f t="array" aca="1" ref="R145" ca="1">IFERROR(SMALL(IF(P$1:P$307&lt;&gt;0,P$1:P$307),ROW(A145)),"")</f>
        <v/>
      </c>
      <c r="S145" s="51" t="str">
        <f t="array" aca="1" ref="S145" ca="1">IF($R145&lt;&gt;"",
SUBSTITUTE(SUBSTITUTE(INDIRECT("C"&amp;$R145&amp;"")," 週3ｺｰｽ","")," 週5ｺｰｽ",""),"")</f>
        <v/>
      </c>
      <c r="T145" s="51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91" t="str">
        <f t="array" aca="1" ref="U145" ca="1">IF($R145&lt;&gt;"",
INDIRECT("F"&amp;$R145&amp;""),"")</f>
        <v/>
      </c>
      <c r="V145" s="51" t="str">
        <f t="array" aca="1" ref="V145" ca="1">IF($R145&lt;&gt;"",
INDIRECT("G"&amp;$R145&amp;""),"")</f>
        <v/>
      </c>
      <c r="W145" s="51" t="str">
        <f t="array" aca="1" ref="W145" ca="1">IF($R145&lt;&gt;"",
IF(AND(COUNTIF(INDIRECT("B"&amp;R145&amp;""),"*雙葉*"),COUNTIF(B:B,"*雙葉*")&gt;=2),
IF(OR(COUNTIF(INDIRECT("B"&amp;R145&amp;""),"*雙葉先生*"),COUNTIF($B$1:$B$70,"*雙葉*")&gt;=2),INDIRECT("H"&amp;R145&amp;""),INDIRECT("H"&amp;R145&amp;"")+INDIRECT("H"&amp;MATCH("雙葉'",INDIRECT("B"&amp;R145+3&amp;":B210"),0)+2+R145&amp;"")),
IF(AND(LEFT(INDIRECT("B"&amp;R145&amp;""),2)="博多",COUNTIF(B:B,"*博多*")&gt;=2),
INDIRECT("H"&amp;R145&amp;"")+INDIRECT("H"&amp;MATCH("*"&amp;INDIRECT("B"&amp;R145&amp;"")&amp;"*",INDIRECT("B"&amp;R145+1&amp;":B210"),0)+R145&amp;""),
IF(AND(LEFT(INDIRECT("B"&amp;R145&amp;""),3)="奈良屋",COUNTIF(B:B,"*奈良屋*")&gt;=2),
INDIRECT("H"&amp;R145&amp;"")+INDIRECT("H"&amp;MATCH("*"&amp;INDIRECT("B"&amp;R145&amp;"")&amp;"*",INDIRECT("B"&amp;R145+1&amp;":B210"),0)+R145&amp;"")
+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INDIRECT("H"&amp;R145&amp;"")))),"")</f>
        <v/>
      </c>
      <c r="X145" s="51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51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51" t="str">
        <f t="shared" ca="1" si="51"/>
        <v/>
      </c>
      <c r="AA145" s="51" t="str">
        <f t="shared" ca="1" si="52"/>
        <v/>
      </c>
      <c r="AB145" s="51" t="str">
        <f t="array" aca="1" ref="AB145" ca="1">IF($R145&lt;&gt;"",
IF(AND(COUNTIF(INDIRECT("B"&amp;R145&amp;""),"*雙葉*"),COUNTIF(B:B,"*雙葉*")&gt;=2),
INDIRECT("M"&amp;R145&amp;"")+INDIRECT("M"&amp;MATCH("雙葉'",INDIRECT("B"&amp;R145+1&amp;":B210"),0)+R145&amp;""),
IF(AND(LEFT(INDIRECT("B"&amp;R145&amp;""),2)="博多",COUNTIF(B:B,"*博多*")&gt;=2),
INDIRECT("M"&amp;R145&amp;"")+INDIRECT("M"&amp;MATCH("*"&amp;INDIRECT("B"&amp;R145&amp;"")&amp;"*",INDIRECT("B"&amp;R145+1&amp;":B210"),0)+R145&amp;""),
IF(AND(LEFT(INDIRECT("B"&amp;R145&amp;""),3)="奈良屋",COUNTIF(B:B,"*奈良屋*")&gt;=2),
INDIRECT("M"&amp;R145&amp;"")+INDIRECT("M"&amp;MATCH("*"&amp;INDIRECT("B"&amp;R145&amp;"")&amp;"*",INDIRECT("B"&amp;R145+1&amp;":B210"),0)+R145&amp;"")
+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INDIRECT("M"&amp;R145&amp;"")))),"")</f>
        <v/>
      </c>
      <c r="AC145" s="51" t="str">
        <f t="shared" ca="1" si="53"/>
        <v/>
      </c>
      <c r="AD145" s="51" t="str">
        <f t="shared" ca="1" si="54"/>
        <v/>
      </c>
      <c r="AE145" s="51" t="str">
        <f t="shared" ca="1" si="55"/>
        <v/>
      </c>
      <c r="AF145" s="51" t="str">
        <f t="shared" ca="1" si="56"/>
        <v/>
      </c>
      <c r="AG145" s="51" t="str">
        <f t="shared" ca="1" si="57"/>
        <v/>
      </c>
      <c r="AH145" s="191" t="str">
        <f t="shared" ca="1" si="58"/>
        <v/>
      </c>
      <c r="AI145" s="51" t="str">
        <f t="shared" ca="1" si="59"/>
        <v/>
      </c>
      <c r="AJ145" s="51" t="str">
        <f t="shared" ca="1" si="60"/>
        <v/>
      </c>
      <c r="AK145" s="51" t="str">
        <f t="shared" ca="1" si="61"/>
        <v/>
      </c>
      <c r="AL145" s="51" t="str">
        <f t="shared" ca="1" si="62"/>
        <v/>
      </c>
      <c r="AM145" s="51" t="str">
        <f t="shared" ca="1" si="63"/>
        <v/>
      </c>
      <c r="AN145" s="51" t="str">
        <f t="shared" ca="1" si="64"/>
        <v/>
      </c>
      <c r="AO145" s="51" t="str">
        <f t="shared" ca="1" si="65"/>
        <v/>
      </c>
      <c r="AP145" s="51" t="str">
        <f t="shared" ca="1" si="66"/>
        <v/>
      </c>
      <c r="AU145" s="51" t="str">
        <f t="shared" ca="1" si="67"/>
        <v/>
      </c>
    </row>
    <row r="146" spans="1:47" ht="22.2" customHeight="1">
      <c r="A146" s="184">
        <f t="shared" si="71"/>
        <v>17</v>
      </c>
      <c r="B146" s="183" t="str">
        <f t="shared" ca="1" si="68"/>
        <v/>
      </c>
      <c r="C146" s="183" t="str">
        <f>IF(OR(クライアント抽出!D6&lt;&gt;"",クライアント抽出!G6&lt;&gt;""),クライアント抽出!A6,"")</f>
        <v/>
      </c>
      <c r="D146" s="183" t="str">
        <f t="array" aca="1" ref="D146" ca="1">IF(C146&lt;&gt;"",INDIRECT("クライアント抽出!"&amp;E146&amp;MATCH(C146,クライアント抽出!A:A,0)&amp;""),"")</f>
        <v/>
      </c>
      <c r="E146" s="183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86" t="str">
        <f ca="1">IF(D146&lt;&gt;"",
IF(COUNTIF(C146,"*雙葉*"),
IF(ROUND((H146-M146)
/IF(COUNTIF(D146,"*キャラ*"),
VLOOKUP("*キャラ*",商品マスタ一覧!$D:$E,2,FALSE),
IF(COUNTIF(D146,"*赤*"),
VLOOKUP("*赤*",商品マスタ一覧!$D:$E,2,FALSE),
VLOOKUP("*"&amp;D146&amp;"*",商品マスタ一覧!$D:$E,2,FALSE))),0)&lt;=0,1,
ROUND((H146-M146)
/IF(COUNTIF(D146,"*キャラ*"),
VLOOKUP("*キャラ*",商品マスタ一覧!$D:$E,2,FALSE),
IF(COUNTIF(D146,"*赤*"),
VLOOKUP("*赤*",商品マスタ一覧!$D:$E,2,FALSE),
VLOOKUP("*"&amp;D146&amp;"*",商品マスタ一覧!$D:$E,2,FALSE))),0)),
IF(OR(COUNTIF(D146,"*キャラ*"),COUNTIF(D146,"*赤*")),"",
IF(VLOOKUP("*"&amp;D146&amp;"*",商品マスタ一覧!$D:$E,2,FALSE)=0,"",
IF(ROUND((H146-M146)
/VLOOKUP("*"&amp;D146&amp;"*",商品マスタ一覧!$D:$E,2,FALSE),0)&lt;=0,1,
ROUND((H146-M146)
/VLOOKUP("*"&amp;D146&amp;"*",商品マスタ一覧!$D:$E,2,FALSE),0))))),"")</f>
        <v/>
      </c>
      <c r="G146" s="183" t="str">
        <f ca="1">IF(F146&lt;&gt;"",
IF(VALUE(H146-M146)&gt;VALUE(IF(COUNTIF(D146,"*キャラ*"),
VLOOKUP("*キャラ*",商品マスタ一覧!$D:$E,2,FALSE),
IF(COUNTIF(D146,"*赤*"),
VLOOKUP("*赤*",商品マスタ一覧!$D:$E,2,FALSE),
VLOOKUP("*"&amp;D146&amp;"*",商品マスタ一覧!$D:$E,2,FALSE)))*F146),
"+"&amp;(H146-M146)-IF(COUNTIF(D146,"*キャラ*"),
VLOOKUP("*キャラ*",商品マスタ一覧!$D:$E,2,FALSE),
IF(COUNTIF(D146,"*赤*"),
VLOOKUP("*赤*",商品マスタ一覧!$D:$E,2,FALSE),
VLOOKUP("*"&amp;D146&amp;"*",商品マスタ一覧!$D:$E,2,FALSE)))*F146,
(H146-M146)-IF(COUNTIF(D146,"*キャラ*"),
VLOOKUP("*キャラ*",商品マスタ一覧!$D:$E,2,FALSE),
IF(COUNTIF(D146,"*赤*"),
VLOOKUP("*赤*",商品マスタ一覧!$D:$E,2,FALSE),
VLOOKUP("*"&amp;D146&amp;"*",商品マスタ一覧!$D:$E,2,FALSE)))*F146),"")</f>
        <v/>
      </c>
      <c r="H146" s="185" t="str">
        <f>IF(C146&lt;&gt;"",
クライアント抽出!D6,"")</f>
        <v/>
      </c>
      <c r="I146" s="183" t="str">
        <f>IF(C146&lt;&gt;"",
IF(O146=1,0,クライアント抽出!F6),"")</f>
        <v/>
      </c>
      <c r="J146" s="183" t="str">
        <f>IF(C146&lt;&gt;"",
VLOOKUP(
"*"&amp;LEFT(IF(COUNTIF(D146,"*学食*"),"キャラ弁（学食）",
IF(COUNTIF(D146,"*赤*"),"赤",
IF(COUNTIF(D146,"*キャラ弁当*"),"キャラ弁当",D146))),4)&amp;"*",注文弁当の抽出!$E$1:$F$15,2,FALSE),"")</f>
        <v/>
      </c>
      <c r="K146" s="183" t="str">
        <f ca="1">IF(クライアント抽出!R6&lt;&gt;"",SUBSTITUTE(ADDRESS(1,(CODE(クライアント抽出!R6)-64)*2-1,4),"1",""),"")</f>
        <v/>
      </c>
      <c r="L146" s="183" t="str">
        <f>IF(C6&lt;&gt;"",クライアント抽出!I6,"")</f>
        <v/>
      </c>
      <c r="M146" s="183">
        <f t="array" aca="1" ref="M146" ca="1">IF(C146&lt;&gt;"",
IF(K146&lt;&gt;"",INDIRECT("'数出表_Excel（アレルギー入力）'!"&amp;K146&amp;L146-1&amp;""),),)</f>
        <v>0</v>
      </c>
      <c r="N146" s="183" t="str">
        <f>IF(C146&lt;&gt;"",IF(OR(COUNTIF('盛付札（関数）'!D146,"*赤*"),COUNTIF('盛付札（関数）'!D146,"*キャラ*")),1,
VLOOKUP("*"&amp;D146&amp;"*",商品マスタ一覧!D:H,5,FALSE)),"")</f>
        <v/>
      </c>
      <c r="O146" s="183">
        <f t="shared" ca="1" si="70"/>
        <v>0</v>
      </c>
      <c r="P146" s="183">
        <f t="shared" si="49"/>
        <v>0</v>
      </c>
      <c r="Q146" s="183" t="b">
        <f t="shared" si="50"/>
        <v>0</v>
      </c>
      <c r="R146" s="51" t="str">
        <f t="array" aca="1" ref="R146" ca="1">IFERROR(SMALL(IF(P$1:P$307&lt;&gt;0,P$1:P$307),ROW(A146)),"")</f>
        <v/>
      </c>
      <c r="S146" s="51" t="str">
        <f t="array" aca="1" ref="S146" ca="1">IF($R146&lt;&gt;"",
SUBSTITUTE(SUBSTITUTE(INDIRECT("C"&amp;$R146&amp;"")," 週3ｺｰｽ","")," 週5ｺｰｽ",""),"")</f>
        <v/>
      </c>
      <c r="T146" s="51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91" t="str">
        <f t="array" aca="1" ref="U146" ca="1">IF($R146&lt;&gt;"",
INDIRECT("F"&amp;$R146&amp;""),"")</f>
        <v/>
      </c>
      <c r="V146" s="51" t="str">
        <f t="array" aca="1" ref="V146" ca="1">IF($R146&lt;&gt;"",
INDIRECT("G"&amp;$R146&amp;""),"")</f>
        <v/>
      </c>
      <c r="W146" s="51" t="str">
        <f t="array" aca="1" ref="W146" ca="1">IF($R146&lt;&gt;"",
IF(AND(COUNTIF(INDIRECT("B"&amp;R146&amp;""),"*雙葉*"),COUNTIF(B:B,"*雙葉*")&gt;=2),
IF(OR(COUNTIF(INDIRECT("B"&amp;R146&amp;""),"*雙葉先生*"),COUNTIF($B$1:$B$70,"*雙葉*")&gt;=2),INDIRECT("H"&amp;R146&amp;""),INDIRECT("H"&amp;R146&amp;"")+INDIRECT("H"&amp;MATCH("雙葉'",INDIRECT("B"&amp;R146+3&amp;":B210"),0)+2+R146&amp;"")),
IF(AND(LEFT(INDIRECT("B"&amp;R146&amp;""),2)="博多",COUNTIF(B:B,"*博多*")&gt;=2),
INDIRECT("H"&amp;R146&amp;"")+INDIRECT("H"&amp;MATCH("*"&amp;INDIRECT("B"&amp;R146&amp;"")&amp;"*",INDIRECT("B"&amp;R146+1&amp;":B210"),0)+R146&amp;""),
IF(AND(LEFT(INDIRECT("B"&amp;R146&amp;""),3)="奈良屋",COUNTIF(B:B,"*奈良屋*")&gt;=2),
INDIRECT("H"&amp;R146&amp;"")+INDIRECT("H"&amp;MATCH("*"&amp;INDIRECT("B"&amp;R146&amp;"")&amp;"*",INDIRECT("B"&amp;R146+1&amp;":B210"),0)+R146&amp;"")
+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INDIRECT("H"&amp;R146&amp;"")))),"")</f>
        <v/>
      </c>
      <c r="X146" s="51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51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51" t="str">
        <f t="shared" ca="1" si="51"/>
        <v/>
      </c>
      <c r="AA146" s="51" t="str">
        <f t="shared" ca="1" si="52"/>
        <v/>
      </c>
      <c r="AB146" s="51" t="str">
        <f t="array" aca="1" ref="AB146" ca="1">IF($R146&lt;&gt;"",
IF(AND(COUNTIF(INDIRECT("B"&amp;R146&amp;""),"*雙葉*"),COUNTIF(B:B,"*雙葉*")&gt;=2),
INDIRECT("M"&amp;R146&amp;"")+INDIRECT("M"&amp;MATCH("雙葉'",INDIRECT("B"&amp;R146+1&amp;":B210"),0)+R146&amp;""),
IF(AND(LEFT(INDIRECT("B"&amp;R146&amp;""),2)="博多",COUNTIF(B:B,"*博多*")&gt;=2),
INDIRECT("M"&amp;R146&amp;"")+INDIRECT("M"&amp;MATCH("*"&amp;INDIRECT("B"&amp;R146&amp;"")&amp;"*",INDIRECT("B"&amp;R146+1&amp;":B210"),0)+R146&amp;""),
IF(AND(LEFT(INDIRECT("B"&amp;R146&amp;""),3)="奈良屋",COUNTIF(B:B,"*奈良屋*")&gt;=2),
INDIRECT("M"&amp;R146&amp;"")+INDIRECT("M"&amp;MATCH("*"&amp;INDIRECT("B"&amp;R146&amp;"")&amp;"*",INDIRECT("B"&amp;R146+1&amp;":B210"),0)+R146&amp;"")
+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INDIRECT("M"&amp;R146&amp;"")))),"")</f>
        <v/>
      </c>
      <c r="AC146" s="51" t="str">
        <f t="shared" ca="1" si="53"/>
        <v/>
      </c>
      <c r="AD146" s="51" t="str">
        <f t="shared" ca="1" si="54"/>
        <v/>
      </c>
      <c r="AE146" s="51" t="str">
        <f t="shared" ca="1" si="55"/>
        <v/>
      </c>
      <c r="AF146" s="51" t="str">
        <f t="shared" ca="1" si="56"/>
        <v/>
      </c>
      <c r="AG146" s="51" t="str">
        <f t="shared" ca="1" si="57"/>
        <v/>
      </c>
      <c r="AH146" s="191" t="str">
        <f t="shared" ca="1" si="58"/>
        <v/>
      </c>
      <c r="AI146" s="51" t="str">
        <f t="shared" ca="1" si="59"/>
        <v/>
      </c>
      <c r="AJ146" s="51" t="str">
        <f t="shared" ca="1" si="60"/>
        <v/>
      </c>
      <c r="AK146" s="51" t="str">
        <f t="shared" ca="1" si="61"/>
        <v/>
      </c>
      <c r="AL146" s="51" t="str">
        <f t="shared" ca="1" si="62"/>
        <v/>
      </c>
      <c r="AM146" s="51" t="str">
        <f t="shared" ca="1" si="63"/>
        <v/>
      </c>
      <c r="AN146" s="51" t="str">
        <f t="shared" ca="1" si="64"/>
        <v/>
      </c>
      <c r="AO146" s="51" t="str">
        <f t="shared" ca="1" si="65"/>
        <v/>
      </c>
      <c r="AP146" s="51" t="str">
        <f t="shared" ca="1" si="66"/>
        <v/>
      </c>
      <c r="AU146" s="51" t="str">
        <f t="shared" ca="1" si="67"/>
        <v/>
      </c>
    </row>
    <row r="147" spans="1:47" ht="22.2" customHeight="1">
      <c r="A147" s="184">
        <f t="shared" si="71"/>
        <v>19</v>
      </c>
      <c r="B147" s="183" t="str">
        <f t="shared" ca="1" si="68"/>
        <v/>
      </c>
      <c r="C147" s="183" t="str">
        <f>IF(OR(クライアント抽出!D7&lt;&gt;"",クライアント抽出!G7&lt;&gt;""),クライアント抽出!A7,"")</f>
        <v/>
      </c>
      <c r="D147" s="183" t="str">
        <f t="array" aca="1" ref="D147" ca="1">IF(C147&lt;&gt;"",INDIRECT("クライアント抽出!"&amp;E147&amp;MATCH(C147,クライアント抽出!A:A,0)&amp;""),"")</f>
        <v/>
      </c>
      <c r="E147" s="183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86" t="str">
        <f ca="1">IF(D147&lt;&gt;"",
IF(COUNTIF(C147,"*雙葉*"),
IF(ROUND((H147-M147)
/IF(COUNTIF(D147,"*キャラ*"),
VLOOKUP("*キャラ*",商品マスタ一覧!$D:$E,2,FALSE),
IF(COUNTIF(D147,"*赤*"),
VLOOKUP("*赤*",商品マスタ一覧!$D:$E,2,FALSE),
VLOOKUP("*"&amp;D147&amp;"*",商品マスタ一覧!$D:$E,2,FALSE))),0)&lt;=0,1,
ROUND((H147-M147)
/IF(COUNTIF(D147,"*キャラ*"),
VLOOKUP("*キャラ*",商品マスタ一覧!$D:$E,2,FALSE),
IF(COUNTIF(D147,"*赤*"),
VLOOKUP("*赤*",商品マスタ一覧!$D:$E,2,FALSE),
VLOOKUP("*"&amp;D147&amp;"*",商品マスタ一覧!$D:$E,2,FALSE))),0)),
IF(OR(COUNTIF(D147,"*キャラ*"),COUNTIF(D147,"*赤*")),"",
IF(VLOOKUP("*"&amp;D147&amp;"*",商品マスタ一覧!$D:$E,2,FALSE)=0,"",
IF(ROUND((H147-M147)
/VLOOKUP("*"&amp;D147&amp;"*",商品マスタ一覧!$D:$E,2,FALSE),0)&lt;=0,1,
ROUND((H147-M147)
/VLOOKUP("*"&amp;D147&amp;"*",商品マスタ一覧!$D:$E,2,FALSE),0))))),"")</f>
        <v/>
      </c>
      <c r="G147" s="183" t="str">
        <f ca="1">IF(F147&lt;&gt;"",
IF(VALUE(H147-M147)&gt;VALUE(IF(COUNTIF(D147,"*キャラ*"),
VLOOKUP("*キャラ*",商品マスタ一覧!$D:$E,2,FALSE),
IF(COUNTIF(D147,"*赤*"),
VLOOKUP("*赤*",商品マスタ一覧!$D:$E,2,FALSE),
VLOOKUP("*"&amp;D147&amp;"*",商品マスタ一覧!$D:$E,2,FALSE)))*F147),
"+"&amp;(H147-M147)-IF(COUNTIF(D147,"*キャラ*"),
VLOOKUP("*キャラ*",商品マスタ一覧!$D:$E,2,FALSE),
IF(COUNTIF(D147,"*赤*"),
VLOOKUP("*赤*",商品マスタ一覧!$D:$E,2,FALSE),
VLOOKUP("*"&amp;D147&amp;"*",商品マスタ一覧!$D:$E,2,FALSE)))*F147,
(H147-M147)-IF(COUNTIF(D147,"*キャラ*"),
VLOOKUP("*キャラ*",商品マスタ一覧!$D:$E,2,FALSE),
IF(COUNTIF(D147,"*赤*"),
VLOOKUP("*赤*",商品マスタ一覧!$D:$E,2,FALSE),
VLOOKUP("*"&amp;D147&amp;"*",商品マスタ一覧!$D:$E,2,FALSE)))*F147),"")</f>
        <v/>
      </c>
      <c r="H147" s="185" t="str">
        <f>IF(C147&lt;&gt;"",
クライアント抽出!D7,"")</f>
        <v/>
      </c>
      <c r="I147" s="183" t="str">
        <f>IF(C147&lt;&gt;"",
IF(O147=1,0,クライアント抽出!F7),"")</f>
        <v/>
      </c>
      <c r="J147" s="183" t="str">
        <f>IF(C147&lt;&gt;"",
VLOOKUP(
"*"&amp;LEFT(IF(COUNTIF(D147,"*学食*"),"キャラ弁（学食）",
IF(COUNTIF(D147,"*赤*"),"赤",
IF(COUNTIF(D147,"*キャラ弁当*"),"キャラ弁当",D147))),4)&amp;"*",注文弁当の抽出!$E$1:$F$15,2,FALSE),"")</f>
        <v/>
      </c>
      <c r="K147" s="183" t="str">
        <f ca="1">IF(クライアント抽出!R7&lt;&gt;"",SUBSTITUTE(ADDRESS(1,(CODE(クライアント抽出!R7)-64)*2-1,4),"1",""),"")</f>
        <v/>
      </c>
      <c r="L147" s="183" t="str">
        <f>IF(C7&lt;&gt;"",クライアント抽出!I7,"")</f>
        <v/>
      </c>
      <c r="M147" s="183">
        <f t="array" aca="1" ref="M147" ca="1">IF(C147&lt;&gt;"",
IF(K147&lt;&gt;"",INDIRECT("'数出表_Excel（アレルギー入力）'!"&amp;K147&amp;L147-1&amp;""),),)</f>
        <v>0</v>
      </c>
      <c r="N147" s="183" t="str">
        <f>IF(C147&lt;&gt;"",IF(OR(COUNTIF('盛付札（関数）'!D147,"*赤*"),COUNTIF('盛付札（関数）'!D147,"*キャラ*")),1,
VLOOKUP("*"&amp;D147&amp;"*",商品マスタ一覧!D:H,5,FALSE)),"")</f>
        <v/>
      </c>
      <c r="O147" s="183">
        <f t="shared" ca="1" si="70"/>
        <v>0</v>
      </c>
      <c r="P147" s="183">
        <f t="shared" si="49"/>
        <v>0</v>
      </c>
      <c r="Q147" s="183" t="b">
        <f t="shared" si="50"/>
        <v>0</v>
      </c>
      <c r="R147" s="51" t="str">
        <f t="array" aca="1" ref="R147" ca="1">IFERROR(SMALL(IF(P$1:P$307&lt;&gt;0,P$1:P$307),ROW(A147)),"")</f>
        <v/>
      </c>
      <c r="S147" s="51" t="str">
        <f t="array" aca="1" ref="S147" ca="1">IF($R147&lt;&gt;"",
SUBSTITUTE(SUBSTITUTE(INDIRECT("C"&amp;$R147&amp;"")," 週3ｺｰｽ","")," 週5ｺｰｽ",""),"")</f>
        <v/>
      </c>
      <c r="T147" s="51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91" t="str">
        <f t="array" aca="1" ref="U147" ca="1">IF($R147&lt;&gt;"",
INDIRECT("F"&amp;$R147&amp;""),"")</f>
        <v/>
      </c>
      <c r="V147" s="51" t="str">
        <f t="array" aca="1" ref="V147" ca="1">IF($R147&lt;&gt;"",
INDIRECT("G"&amp;$R147&amp;""),"")</f>
        <v/>
      </c>
      <c r="W147" s="51" t="str">
        <f t="array" aca="1" ref="W147" ca="1">IF($R147&lt;&gt;"",
IF(AND(COUNTIF(INDIRECT("B"&amp;R147&amp;""),"*雙葉*"),COUNTIF(B:B,"*雙葉*")&gt;=2),
IF(OR(COUNTIF(INDIRECT("B"&amp;R147&amp;""),"*雙葉先生*"),COUNTIF($B$1:$B$70,"*雙葉*")&gt;=2),INDIRECT("H"&amp;R147&amp;""),INDIRECT("H"&amp;R147&amp;"")+INDIRECT("H"&amp;MATCH("雙葉'",INDIRECT("B"&amp;R147+3&amp;":B210"),0)+2+R147&amp;"")),
IF(AND(LEFT(INDIRECT("B"&amp;R147&amp;""),2)="博多",COUNTIF(B:B,"*博多*")&gt;=2),
INDIRECT("H"&amp;R147&amp;"")+INDIRECT("H"&amp;MATCH("*"&amp;INDIRECT("B"&amp;R147&amp;"")&amp;"*",INDIRECT("B"&amp;R147+1&amp;":B210"),0)+R147&amp;""),
IF(AND(LEFT(INDIRECT("B"&amp;R147&amp;""),3)="奈良屋",COUNTIF(B:B,"*奈良屋*")&gt;=2),
INDIRECT("H"&amp;R147&amp;"")+INDIRECT("H"&amp;MATCH("*"&amp;INDIRECT("B"&amp;R147&amp;"")&amp;"*",INDIRECT("B"&amp;R147+1&amp;":B210"),0)+R147&amp;"")
+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INDIRECT("H"&amp;R147&amp;"")))),"")</f>
        <v/>
      </c>
      <c r="X147" s="51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51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51" t="str">
        <f t="shared" ca="1" si="51"/>
        <v/>
      </c>
      <c r="AA147" s="51" t="str">
        <f t="shared" ca="1" si="52"/>
        <v/>
      </c>
      <c r="AB147" s="51" t="str">
        <f t="array" aca="1" ref="AB147" ca="1">IF($R147&lt;&gt;"",
IF(AND(COUNTIF(INDIRECT("B"&amp;R147&amp;""),"*雙葉*"),COUNTIF(B:B,"*雙葉*")&gt;=2),
INDIRECT("M"&amp;R147&amp;"")+INDIRECT("M"&amp;MATCH("雙葉'",INDIRECT("B"&amp;R147+1&amp;":B210"),0)+R147&amp;""),
IF(AND(LEFT(INDIRECT("B"&amp;R147&amp;""),2)="博多",COUNTIF(B:B,"*博多*")&gt;=2),
INDIRECT("M"&amp;R147&amp;"")+INDIRECT("M"&amp;MATCH("*"&amp;INDIRECT("B"&amp;R147&amp;"")&amp;"*",INDIRECT("B"&amp;R147+1&amp;":B210"),0)+R147&amp;""),
IF(AND(LEFT(INDIRECT("B"&amp;R147&amp;""),3)="奈良屋",COUNTIF(B:B,"*奈良屋*")&gt;=2),
INDIRECT("M"&amp;R147&amp;"")+INDIRECT("M"&amp;MATCH("*"&amp;INDIRECT("B"&amp;R147&amp;"")&amp;"*",INDIRECT("B"&amp;R147+1&amp;":B210"),0)+R147&amp;"")
+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INDIRECT("M"&amp;R147&amp;"")))),"")</f>
        <v/>
      </c>
      <c r="AC147" s="51" t="str">
        <f t="shared" ca="1" si="53"/>
        <v/>
      </c>
      <c r="AD147" s="51" t="str">
        <f t="shared" ca="1" si="54"/>
        <v/>
      </c>
      <c r="AE147" s="51" t="str">
        <f t="shared" ca="1" si="55"/>
        <v/>
      </c>
      <c r="AF147" s="51" t="str">
        <f t="shared" ca="1" si="56"/>
        <v/>
      </c>
      <c r="AG147" s="51" t="str">
        <f t="shared" ca="1" si="57"/>
        <v/>
      </c>
      <c r="AH147" s="191" t="str">
        <f t="shared" ca="1" si="58"/>
        <v/>
      </c>
      <c r="AI147" s="51" t="str">
        <f t="shared" ca="1" si="59"/>
        <v/>
      </c>
      <c r="AJ147" s="51" t="str">
        <f t="shared" ca="1" si="60"/>
        <v/>
      </c>
      <c r="AK147" s="51" t="str">
        <f t="shared" ca="1" si="61"/>
        <v/>
      </c>
      <c r="AL147" s="51" t="str">
        <f t="shared" ca="1" si="62"/>
        <v/>
      </c>
      <c r="AM147" s="51" t="str">
        <f t="shared" ca="1" si="63"/>
        <v/>
      </c>
      <c r="AN147" s="51" t="str">
        <f t="shared" ca="1" si="64"/>
        <v/>
      </c>
      <c r="AO147" s="51" t="str">
        <f t="shared" ca="1" si="65"/>
        <v/>
      </c>
      <c r="AP147" s="51" t="str">
        <f t="shared" ca="1" si="66"/>
        <v/>
      </c>
      <c r="AU147" s="51" t="str">
        <f t="shared" ca="1" si="67"/>
        <v/>
      </c>
    </row>
    <row r="148" spans="1:47" ht="22.2" customHeight="1">
      <c r="A148" s="184">
        <f t="shared" si="71"/>
        <v>21</v>
      </c>
      <c r="B148" s="183" t="str">
        <f t="shared" ca="1" si="68"/>
        <v/>
      </c>
      <c r="C148" s="183" t="str">
        <f>IF(OR(クライアント抽出!D8&lt;&gt;"",クライアント抽出!G8&lt;&gt;""),クライアント抽出!A8,"")</f>
        <v/>
      </c>
      <c r="D148" s="183" t="str">
        <f t="array" aca="1" ref="D148" ca="1">IF(C148&lt;&gt;"",INDIRECT("クライアント抽出!"&amp;E148&amp;MATCH(C148,クライアント抽出!A:A,0)&amp;""),"")</f>
        <v/>
      </c>
      <c r="E148" s="183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86" t="str">
        <f ca="1">IF(D148&lt;&gt;"",
IF(COUNTIF(C148,"*雙葉*"),
IF(ROUND((H148-M148)
/IF(COUNTIF(D148,"*キャラ*"),
VLOOKUP("*キャラ*",商品マスタ一覧!$D:$E,2,FALSE),
IF(COUNTIF(D148,"*赤*"),
VLOOKUP("*赤*",商品マスタ一覧!$D:$E,2,FALSE),
VLOOKUP("*"&amp;D148&amp;"*",商品マスタ一覧!$D:$E,2,FALSE))),0)&lt;=0,1,
ROUND((H148-M148)
/IF(COUNTIF(D148,"*キャラ*"),
VLOOKUP("*キャラ*",商品マスタ一覧!$D:$E,2,FALSE),
IF(COUNTIF(D148,"*赤*"),
VLOOKUP("*赤*",商品マスタ一覧!$D:$E,2,FALSE),
VLOOKUP("*"&amp;D148&amp;"*",商品マスタ一覧!$D:$E,2,FALSE))),0)),
IF(OR(COUNTIF(D148,"*キャラ*"),COUNTIF(D148,"*赤*")),"",
IF(VLOOKUP("*"&amp;D148&amp;"*",商品マスタ一覧!$D:$E,2,FALSE)=0,"",
IF(ROUND((H148-M148)
/VLOOKUP("*"&amp;D148&amp;"*",商品マスタ一覧!$D:$E,2,FALSE),0)&lt;=0,1,
ROUND((H148-M148)
/VLOOKUP("*"&amp;D148&amp;"*",商品マスタ一覧!$D:$E,2,FALSE),0))))),"")</f>
        <v/>
      </c>
      <c r="G148" s="183" t="str">
        <f ca="1">IF(F148&lt;&gt;"",
IF(VALUE(H148-M148)&gt;VALUE(IF(COUNTIF(D148,"*キャラ*"),
VLOOKUP("*キャラ*",商品マスタ一覧!$D:$E,2,FALSE),
IF(COUNTIF(D148,"*赤*"),
VLOOKUP("*赤*",商品マスタ一覧!$D:$E,2,FALSE),
VLOOKUP("*"&amp;D148&amp;"*",商品マスタ一覧!$D:$E,2,FALSE)))*F148),
"+"&amp;(H148-M148)-IF(COUNTIF(D148,"*キャラ*"),
VLOOKUP("*キャラ*",商品マスタ一覧!$D:$E,2,FALSE),
IF(COUNTIF(D148,"*赤*"),
VLOOKUP("*赤*",商品マスタ一覧!$D:$E,2,FALSE),
VLOOKUP("*"&amp;D148&amp;"*",商品マスタ一覧!$D:$E,2,FALSE)))*F148,
(H148-M148)-IF(COUNTIF(D148,"*キャラ*"),
VLOOKUP("*キャラ*",商品マスタ一覧!$D:$E,2,FALSE),
IF(COUNTIF(D148,"*赤*"),
VLOOKUP("*赤*",商品マスタ一覧!$D:$E,2,FALSE),
VLOOKUP("*"&amp;D148&amp;"*",商品マスタ一覧!$D:$E,2,FALSE)))*F148),"")</f>
        <v/>
      </c>
      <c r="H148" s="185" t="str">
        <f>IF(C148&lt;&gt;"",
クライアント抽出!D8,"")</f>
        <v/>
      </c>
      <c r="I148" s="183" t="str">
        <f>IF(C148&lt;&gt;"",
IF(O148=1,0,クライアント抽出!F8),"")</f>
        <v/>
      </c>
      <c r="J148" s="183" t="str">
        <f>IF(C148&lt;&gt;"",
VLOOKUP(
"*"&amp;LEFT(IF(COUNTIF(D148,"*学食*"),"キャラ弁（学食）",
IF(COUNTIF(D148,"*赤*"),"赤",
IF(COUNTIF(D148,"*キャラ弁当*"),"キャラ弁当",D148))),4)&amp;"*",注文弁当の抽出!$E$1:$F$15,2,FALSE),"")</f>
        <v/>
      </c>
      <c r="K148" s="183" t="str">
        <f ca="1">IF(クライアント抽出!R8&lt;&gt;"",SUBSTITUTE(ADDRESS(1,(CODE(クライアント抽出!R8)-64)*2-1,4),"1",""),"")</f>
        <v/>
      </c>
      <c r="L148" s="183" t="str">
        <f>IF(C8&lt;&gt;"",クライアント抽出!I8,"")</f>
        <v/>
      </c>
      <c r="M148" s="183">
        <f t="array" aca="1" ref="M148" ca="1">IF(C148&lt;&gt;"",
IF(K148&lt;&gt;"",INDIRECT("'数出表_Excel（アレルギー入力）'!"&amp;K148&amp;L148-1&amp;""),),)</f>
        <v>0</v>
      </c>
      <c r="N148" s="183" t="str">
        <f>IF(C148&lt;&gt;"",IF(OR(COUNTIF('盛付札（関数）'!D148,"*赤*"),COUNTIF('盛付札（関数）'!D148,"*キャラ*")),1,
VLOOKUP("*"&amp;D148&amp;"*",商品マスタ一覧!D:H,5,FALSE)),"")</f>
        <v/>
      </c>
      <c r="O148" s="183">
        <f t="shared" ca="1" si="70"/>
        <v>0</v>
      </c>
      <c r="P148" s="183">
        <f t="shared" si="49"/>
        <v>0</v>
      </c>
      <c r="Q148" s="183" t="b">
        <f t="shared" si="50"/>
        <v>0</v>
      </c>
      <c r="R148" s="51" t="str">
        <f t="array" aca="1" ref="R148" ca="1">IFERROR(SMALL(IF(P$1:P$307&lt;&gt;0,P$1:P$307),ROW(A148)),"")</f>
        <v/>
      </c>
      <c r="S148" s="51" t="str">
        <f t="array" aca="1" ref="S148" ca="1">IF($R148&lt;&gt;"",
SUBSTITUTE(SUBSTITUTE(INDIRECT("C"&amp;$R148&amp;"")," 週3ｺｰｽ","")," 週5ｺｰｽ",""),"")</f>
        <v/>
      </c>
      <c r="T148" s="51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91" t="str">
        <f t="array" aca="1" ref="U148" ca="1">IF($R148&lt;&gt;"",
INDIRECT("F"&amp;$R148&amp;""),"")</f>
        <v/>
      </c>
      <c r="V148" s="51" t="str">
        <f t="array" aca="1" ref="V148" ca="1">IF($R148&lt;&gt;"",
INDIRECT("G"&amp;$R148&amp;""),"")</f>
        <v/>
      </c>
      <c r="W148" s="51" t="str">
        <f t="array" aca="1" ref="W148" ca="1">IF($R148&lt;&gt;"",
IF(AND(COUNTIF(INDIRECT("B"&amp;R148&amp;""),"*雙葉*"),COUNTIF(B:B,"*雙葉*")&gt;=2),
IF(OR(COUNTIF(INDIRECT("B"&amp;R148&amp;""),"*雙葉先生*"),COUNTIF($B$1:$B$70,"*雙葉*")&gt;=2),INDIRECT("H"&amp;R148&amp;""),INDIRECT("H"&amp;R148&amp;"")+INDIRECT("H"&amp;MATCH("雙葉'",INDIRECT("B"&amp;R148+3&amp;":B210"),0)+2+R148&amp;"")),
IF(AND(LEFT(INDIRECT("B"&amp;R148&amp;""),2)="博多",COUNTIF(B:B,"*博多*")&gt;=2),
INDIRECT("H"&amp;R148&amp;"")+INDIRECT("H"&amp;MATCH("*"&amp;INDIRECT("B"&amp;R148&amp;"")&amp;"*",INDIRECT("B"&amp;R148+1&amp;":B210"),0)+R148&amp;""),
IF(AND(LEFT(INDIRECT("B"&amp;R148&amp;""),3)="奈良屋",COUNTIF(B:B,"*奈良屋*")&gt;=2),
INDIRECT("H"&amp;R148&amp;"")+INDIRECT("H"&amp;MATCH("*"&amp;INDIRECT("B"&amp;R148&amp;"")&amp;"*",INDIRECT("B"&amp;R148+1&amp;":B210"),0)+R148&amp;"")
+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INDIRECT("H"&amp;R148&amp;"")))),"")</f>
        <v/>
      </c>
      <c r="X148" s="51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51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51" t="str">
        <f t="shared" ca="1" si="51"/>
        <v/>
      </c>
      <c r="AA148" s="51" t="str">
        <f t="shared" ca="1" si="52"/>
        <v/>
      </c>
      <c r="AB148" s="51" t="str">
        <f t="array" aca="1" ref="AB148" ca="1">IF($R148&lt;&gt;"",
IF(AND(COUNTIF(INDIRECT("B"&amp;R148&amp;""),"*雙葉*"),COUNTIF(B:B,"*雙葉*")&gt;=2),
INDIRECT("M"&amp;R148&amp;"")+INDIRECT("M"&amp;MATCH("雙葉'",INDIRECT("B"&amp;R148+1&amp;":B210"),0)+R148&amp;""),
IF(AND(LEFT(INDIRECT("B"&amp;R148&amp;""),2)="博多",COUNTIF(B:B,"*博多*")&gt;=2),
INDIRECT("M"&amp;R148&amp;"")+INDIRECT("M"&amp;MATCH("*"&amp;INDIRECT("B"&amp;R148&amp;"")&amp;"*",INDIRECT("B"&amp;R148+1&amp;":B210"),0)+R148&amp;""),
IF(AND(LEFT(INDIRECT("B"&amp;R148&amp;""),3)="奈良屋",COUNTIF(B:B,"*奈良屋*")&gt;=2),
INDIRECT("M"&amp;R148&amp;"")+INDIRECT("M"&amp;MATCH("*"&amp;INDIRECT("B"&amp;R148&amp;"")&amp;"*",INDIRECT("B"&amp;R148+1&amp;":B210"),0)+R148&amp;"")
+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INDIRECT("M"&amp;R148&amp;"")))),"")</f>
        <v/>
      </c>
      <c r="AC148" s="51" t="str">
        <f t="shared" ca="1" si="53"/>
        <v/>
      </c>
      <c r="AD148" s="51" t="str">
        <f t="shared" ca="1" si="54"/>
        <v/>
      </c>
      <c r="AE148" s="51" t="str">
        <f t="shared" ca="1" si="55"/>
        <v/>
      </c>
      <c r="AF148" s="51" t="str">
        <f t="shared" ca="1" si="56"/>
        <v/>
      </c>
      <c r="AG148" s="51" t="str">
        <f t="shared" ca="1" si="57"/>
        <v/>
      </c>
      <c r="AH148" s="191" t="str">
        <f t="shared" ca="1" si="58"/>
        <v/>
      </c>
      <c r="AI148" s="51" t="str">
        <f t="shared" ca="1" si="59"/>
        <v/>
      </c>
      <c r="AJ148" s="51" t="str">
        <f t="shared" ca="1" si="60"/>
        <v/>
      </c>
      <c r="AK148" s="51" t="str">
        <f t="shared" ca="1" si="61"/>
        <v/>
      </c>
      <c r="AL148" s="51" t="str">
        <f t="shared" ca="1" si="62"/>
        <v/>
      </c>
      <c r="AM148" s="51" t="str">
        <f t="shared" ca="1" si="63"/>
        <v/>
      </c>
      <c r="AN148" s="51" t="str">
        <f t="shared" ca="1" si="64"/>
        <v/>
      </c>
      <c r="AO148" s="51" t="str">
        <f t="shared" ca="1" si="65"/>
        <v/>
      </c>
      <c r="AP148" s="51" t="str">
        <f t="shared" ca="1" si="66"/>
        <v/>
      </c>
      <c r="AU148" s="51" t="str">
        <f t="shared" ca="1" si="67"/>
        <v/>
      </c>
    </row>
    <row r="149" spans="1:47" ht="22.2" customHeight="1">
      <c r="A149" s="184">
        <f t="shared" si="71"/>
        <v>23</v>
      </c>
      <c r="B149" s="183" t="str">
        <f t="shared" ca="1" si="68"/>
        <v/>
      </c>
      <c r="C149" s="183" t="str">
        <f>IF(OR(クライアント抽出!D9&lt;&gt;"",クライアント抽出!G9&lt;&gt;""),クライアント抽出!A9,"")</f>
        <v/>
      </c>
      <c r="D149" s="183" t="str">
        <f t="array" aca="1" ref="D149" ca="1">IF(C149&lt;&gt;"",INDIRECT("クライアント抽出!"&amp;E149&amp;MATCH(C149,クライアント抽出!A:A,0)&amp;""),"")</f>
        <v/>
      </c>
      <c r="E149" s="183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86" t="str">
        <f ca="1">IF(D149&lt;&gt;"",
IF(COUNTIF(C149,"*雙葉*"),
IF(ROUND((H149-M149)
/IF(COUNTIF(D149,"*キャラ*"),
VLOOKUP("*キャラ*",商品マスタ一覧!$D:$E,2,FALSE),
IF(COUNTIF(D149,"*赤*"),
VLOOKUP("*赤*",商品マスタ一覧!$D:$E,2,FALSE),
VLOOKUP("*"&amp;D149&amp;"*",商品マスタ一覧!$D:$E,2,FALSE))),0)&lt;=0,1,
ROUND((H149-M149)
/IF(COUNTIF(D149,"*キャラ*"),
VLOOKUP("*キャラ*",商品マスタ一覧!$D:$E,2,FALSE),
IF(COUNTIF(D149,"*赤*"),
VLOOKUP("*赤*",商品マスタ一覧!$D:$E,2,FALSE),
VLOOKUP("*"&amp;D149&amp;"*",商品マスタ一覧!$D:$E,2,FALSE))),0)),
IF(OR(COUNTIF(D149,"*キャラ*"),COUNTIF(D149,"*赤*")),"",
IF(VLOOKUP("*"&amp;D149&amp;"*",商品マスタ一覧!$D:$E,2,FALSE)=0,"",
IF(ROUND((H149-M149)
/VLOOKUP("*"&amp;D149&amp;"*",商品マスタ一覧!$D:$E,2,FALSE),0)&lt;=0,1,
ROUND((H149-M149)
/VLOOKUP("*"&amp;D149&amp;"*",商品マスタ一覧!$D:$E,2,FALSE),0))))),"")</f>
        <v/>
      </c>
      <c r="G149" s="183" t="str">
        <f ca="1">IF(F149&lt;&gt;"",
IF(VALUE(H149-M149)&gt;VALUE(IF(COUNTIF(D149,"*キャラ*"),
VLOOKUP("*キャラ*",商品マスタ一覧!$D:$E,2,FALSE),
IF(COUNTIF(D149,"*赤*"),
VLOOKUP("*赤*",商品マスタ一覧!$D:$E,2,FALSE),
VLOOKUP("*"&amp;D149&amp;"*",商品マスタ一覧!$D:$E,2,FALSE)))*F149),
"+"&amp;(H149-M149)-IF(COUNTIF(D149,"*キャラ*"),
VLOOKUP("*キャラ*",商品マスタ一覧!$D:$E,2,FALSE),
IF(COUNTIF(D149,"*赤*"),
VLOOKUP("*赤*",商品マスタ一覧!$D:$E,2,FALSE),
VLOOKUP("*"&amp;D149&amp;"*",商品マスタ一覧!$D:$E,2,FALSE)))*F149,
(H149-M149)-IF(COUNTIF(D149,"*キャラ*"),
VLOOKUP("*キャラ*",商品マスタ一覧!$D:$E,2,FALSE),
IF(COUNTIF(D149,"*赤*"),
VLOOKUP("*赤*",商品マスタ一覧!$D:$E,2,FALSE),
VLOOKUP("*"&amp;D149&amp;"*",商品マスタ一覧!$D:$E,2,FALSE)))*F149),"")</f>
        <v/>
      </c>
      <c r="H149" s="185" t="str">
        <f>IF(C149&lt;&gt;"",
クライアント抽出!D9,"")</f>
        <v/>
      </c>
      <c r="I149" s="183" t="str">
        <f>IF(C149&lt;&gt;"",
IF(O149=1,0,クライアント抽出!F9),"")</f>
        <v/>
      </c>
      <c r="J149" s="183" t="str">
        <f>IF(C149&lt;&gt;"",
VLOOKUP(
"*"&amp;LEFT(IF(COUNTIF(D149,"*学食*"),"キャラ弁（学食）",
IF(COUNTIF(D149,"*赤*"),"赤",
IF(COUNTIF(D149,"*キャラ弁当*"),"キャラ弁当",D149))),4)&amp;"*",注文弁当の抽出!$E$1:$F$15,2,FALSE),"")</f>
        <v/>
      </c>
      <c r="K149" s="183" t="str">
        <f ca="1">IF(クライアント抽出!R9&lt;&gt;"",SUBSTITUTE(ADDRESS(1,(CODE(クライアント抽出!R9)-64)*2-1,4),"1",""),"")</f>
        <v/>
      </c>
      <c r="L149" s="183" t="str">
        <f>IF(C9&lt;&gt;"",クライアント抽出!I9,"")</f>
        <v/>
      </c>
      <c r="M149" s="183">
        <f t="array" aca="1" ref="M149" ca="1">IF(C149&lt;&gt;"",
IF(K149&lt;&gt;"",INDIRECT("'数出表_Excel（アレルギー入力）'!"&amp;K149&amp;L149-1&amp;""),),)</f>
        <v>0</v>
      </c>
      <c r="N149" s="183" t="str">
        <f>IF(C149&lt;&gt;"",IF(OR(COUNTIF('盛付札（関数）'!D149,"*赤*"),COUNTIF('盛付札（関数）'!D149,"*キャラ*")),1,
VLOOKUP("*"&amp;D149&amp;"*",商品マスタ一覧!D:H,5,FALSE)),"")</f>
        <v/>
      </c>
      <c r="O149" s="183">
        <f t="shared" ca="1" si="70"/>
        <v>0</v>
      </c>
      <c r="P149" s="183">
        <f t="shared" si="49"/>
        <v>0</v>
      </c>
      <c r="Q149" s="183" t="b">
        <f t="shared" si="50"/>
        <v>0</v>
      </c>
      <c r="R149" s="51" t="str">
        <f t="array" aca="1" ref="R149" ca="1">IFERROR(SMALL(IF(P$1:P$307&lt;&gt;0,P$1:P$307),ROW(A149)),"")</f>
        <v/>
      </c>
      <c r="S149" s="51" t="str">
        <f t="array" aca="1" ref="S149" ca="1">IF($R149&lt;&gt;"",
SUBSTITUTE(SUBSTITUTE(INDIRECT("C"&amp;$R149&amp;"")," 週3ｺｰｽ","")," 週5ｺｰｽ",""),"")</f>
        <v/>
      </c>
      <c r="T149" s="51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91" t="str">
        <f t="array" aca="1" ref="U149" ca="1">IF($R149&lt;&gt;"",
INDIRECT("F"&amp;$R149&amp;""),"")</f>
        <v/>
      </c>
      <c r="V149" s="51" t="str">
        <f t="array" aca="1" ref="V149" ca="1">IF($R149&lt;&gt;"",
INDIRECT("G"&amp;$R149&amp;""),"")</f>
        <v/>
      </c>
      <c r="W149" s="51" t="str">
        <f t="array" aca="1" ref="W149" ca="1">IF($R149&lt;&gt;"",
IF(AND(COUNTIF(INDIRECT("B"&amp;R149&amp;""),"*雙葉*"),COUNTIF(B:B,"*雙葉*")&gt;=2),
IF(OR(COUNTIF(INDIRECT("B"&amp;R149&amp;""),"*雙葉先生*"),COUNTIF($B$1:$B$70,"*雙葉*")&gt;=2),INDIRECT("H"&amp;R149&amp;""),INDIRECT("H"&amp;R149&amp;"")+INDIRECT("H"&amp;MATCH("雙葉'",INDIRECT("B"&amp;R149+3&amp;":B210"),0)+2+R149&amp;"")),
IF(AND(LEFT(INDIRECT("B"&amp;R149&amp;""),2)="博多",COUNTIF(B:B,"*博多*")&gt;=2),
INDIRECT("H"&amp;R149&amp;"")+INDIRECT("H"&amp;MATCH("*"&amp;INDIRECT("B"&amp;R149&amp;"")&amp;"*",INDIRECT("B"&amp;R149+1&amp;":B210"),0)+R149&amp;""),
IF(AND(LEFT(INDIRECT("B"&amp;R149&amp;""),3)="奈良屋",COUNTIF(B:B,"*奈良屋*")&gt;=2),
INDIRECT("H"&amp;R149&amp;"")+INDIRECT("H"&amp;MATCH("*"&amp;INDIRECT("B"&amp;R149&amp;"")&amp;"*",INDIRECT("B"&amp;R149+1&amp;":B210"),0)+R149&amp;"")
+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INDIRECT("H"&amp;R149&amp;"")))),"")</f>
        <v/>
      </c>
      <c r="X149" s="51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51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51" t="str">
        <f t="shared" ca="1" si="51"/>
        <v/>
      </c>
      <c r="AA149" s="51" t="str">
        <f t="shared" ca="1" si="52"/>
        <v/>
      </c>
      <c r="AB149" s="51" t="str">
        <f t="array" aca="1" ref="AB149" ca="1">IF($R149&lt;&gt;"",
IF(AND(COUNTIF(INDIRECT("B"&amp;R149&amp;""),"*雙葉*"),COUNTIF(B:B,"*雙葉*")&gt;=2),
INDIRECT("M"&amp;R149&amp;"")+INDIRECT("M"&amp;MATCH("雙葉'",INDIRECT("B"&amp;R149+1&amp;":B210"),0)+R149&amp;""),
IF(AND(LEFT(INDIRECT("B"&amp;R149&amp;""),2)="博多",COUNTIF(B:B,"*博多*")&gt;=2),
INDIRECT("M"&amp;R149&amp;"")+INDIRECT("M"&amp;MATCH("*"&amp;INDIRECT("B"&amp;R149&amp;"")&amp;"*",INDIRECT("B"&amp;R149+1&amp;":B210"),0)+R149&amp;""),
IF(AND(LEFT(INDIRECT("B"&amp;R149&amp;""),3)="奈良屋",COUNTIF(B:B,"*奈良屋*")&gt;=2),
INDIRECT("M"&amp;R149&amp;"")+INDIRECT("M"&amp;MATCH("*"&amp;INDIRECT("B"&amp;R149&amp;"")&amp;"*",INDIRECT("B"&amp;R149+1&amp;":B210"),0)+R149&amp;"")
+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INDIRECT("M"&amp;R149&amp;"")))),"")</f>
        <v/>
      </c>
      <c r="AC149" s="51" t="str">
        <f t="shared" ca="1" si="53"/>
        <v/>
      </c>
      <c r="AD149" s="51" t="str">
        <f t="shared" ca="1" si="54"/>
        <v/>
      </c>
      <c r="AE149" s="51" t="str">
        <f t="shared" ca="1" si="55"/>
        <v/>
      </c>
      <c r="AF149" s="51" t="str">
        <f t="shared" ca="1" si="56"/>
        <v/>
      </c>
      <c r="AG149" s="51" t="str">
        <f t="shared" ca="1" si="57"/>
        <v/>
      </c>
      <c r="AH149" s="191" t="str">
        <f t="shared" ca="1" si="58"/>
        <v/>
      </c>
      <c r="AI149" s="51" t="str">
        <f t="shared" ca="1" si="59"/>
        <v/>
      </c>
      <c r="AJ149" s="51" t="str">
        <f t="shared" ca="1" si="60"/>
        <v/>
      </c>
      <c r="AK149" s="51" t="str">
        <f t="shared" ca="1" si="61"/>
        <v/>
      </c>
      <c r="AL149" s="51" t="str">
        <f t="shared" ca="1" si="62"/>
        <v/>
      </c>
      <c r="AM149" s="51" t="str">
        <f t="shared" ca="1" si="63"/>
        <v/>
      </c>
      <c r="AN149" s="51" t="str">
        <f t="shared" ca="1" si="64"/>
        <v/>
      </c>
      <c r="AO149" s="51" t="str">
        <f t="shared" ca="1" si="65"/>
        <v/>
      </c>
      <c r="AP149" s="51" t="str">
        <f t="shared" ca="1" si="66"/>
        <v/>
      </c>
      <c r="AU149" s="51" t="str">
        <f t="shared" ca="1" si="67"/>
        <v/>
      </c>
    </row>
    <row r="150" spans="1:47" ht="22.2" customHeight="1">
      <c r="A150" s="184">
        <f t="shared" si="71"/>
        <v>25</v>
      </c>
      <c r="B150" s="183" t="str">
        <f t="shared" ca="1" si="68"/>
        <v/>
      </c>
      <c r="C150" s="183" t="str">
        <f>IF(OR(クライアント抽出!D10&lt;&gt;"",クライアント抽出!G10&lt;&gt;""),クライアント抽出!A10,"")</f>
        <v/>
      </c>
      <c r="D150" s="183" t="str">
        <f t="array" aca="1" ref="D150" ca="1">IF(C150&lt;&gt;"",INDIRECT("クライアント抽出!"&amp;E150&amp;MATCH(C150,クライアント抽出!A:A,0)&amp;""),"")</f>
        <v/>
      </c>
      <c r="E150" s="183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86" t="str">
        <f ca="1">IF(D150&lt;&gt;"",
IF(COUNTIF(C150,"*雙葉*"),
IF(ROUND((H150-M150)
/IF(COUNTIF(D150,"*キャラ*"),
VLOOKUP("*キャラ*",商品マスタ一覧!$D:$E,2,FALSE),
IF(COUNTIF(D150,"*赤*"),
VLOOKUP("*赤*",商品マスタ一覧!$D:$E,2,FALSE),
VLOOKUP("*"&amp;D150&amp;"*",商品マスタ一覧!$D:$E,2,FALSE))),0)&lt;=0,1,
ROUND((H150-M150)
/IF(COUNTIF(D150,"*キャラ*"),
VLOOKUP("*キャラ*",商品マスタ一覧!$D:$E,2,FALSE),
IF(COUNTIF(D150,"*赤*"),
VLOOKUP("*赤*",商品マスタ一覧!$D:$E,2,FALSE),
VLOOKUP("*"&amp;D150&amp;"*",商品マスタ一覧!$D:$E,2,FALSE))),0)),
IF(OR(COUNTIF(D150,"*キャラ*"),COUNTIF(D150,"*赤*")),"",
IF(VLOOKUP("*"&amp;D150&amp;"*",商品マスタ一覧!$D:$E,2,FALSE)=0,"",
IF(ROUND((H150-M150)
/VLOOKUP("*"&amp;D150&amp;"*",商品マスタ一覧!$D:$E,2,FALSE),0)&lt;=0,1,
ROUND((H150-M150)
/VLOOKUP("*"&amp;D150&amp;"*",商品マスタ一覧!$D:$E,2,FALSE),0))))),"")</f>
        <v/>
      </c>
      <c r="G150" s="183" t="str">
        <f ca="1">IF(F150&lt;&gt;"",
IF(VALUE(H150-M150)&gt;VALUE(IF(COUNTIF(D150,"*キャラ*"),
VLOOKUP("*キャラ*",商品マスタ一覧!$D:$E,2,FALSE),
IF(COUNTIF(D150,"*赤*"),
VLOOKUP("*赤*",商品マスタ一覧!$D:$E,2,FALSE),
VLOOKUP("*"&amp;D150&amp;"*",商品マスタ一覧!$D:$E,2,FALSE)))*F150),
"+"&amp;(H150-M150)-IF(COUNTIF(D150,"*キャラ*"),
VLOOKUP("*キャラ*",商品マスタ一覧!$D:$E,2,FALSE),
IF(COUNTIF(D150,"*赤*"),
VLOOKUP("*赤*",商品マスタ一覧!$D:$E,2,FALSE),
VLOOKUP("*"&amp;D150&amp;"*",商品マスタ一覧!$D:$E,2,FALSE)))*F150,
(H150-M150)-IF(COUNTIF(D150,"*キャラ*"),
VLOOKUP("*キャラ*",商品マスタ一覧!$D:$E,2,FALSE),
IF(COUNTIF(D150,"*赤*"),
VLOOKUP("*赤*",商品マスタ一覧!$D:$E,2,FALSE),
VLOOKUP("*"&amp;D150&amp;"*",商品マスタ一覧!$D:$E,2,FALSE)))*F150),"")</f>
        <v/>
      </c>
      <c r="H150" s="185" t="str">
        <f>IF(C150&lt;&gt;"",
クライアント抽出!D10,"")</f>
        <v/>
      </c>
      <c r="I150" s="183" t="str">
        <f>IF(C150&lt;&gt;"",
IF(O150=1,0,クライアント抽出!F10),"")</f>
        <v/>
      </c>
      <c r="J150" s="183" t="str">
        <f>IF(C150&lt;&gt;"",
VLOOKUP(
"*"&amp;LEFT(IF(COUNTIF(D150,"*学食*"),"キャラ弁（学食）",
IF(COUNTIF(D150,"*赤*"),"赤",
IF(COUNTIF(D150,"*キャラ弁当*"),"キャラ弁当",D150))),4)&amp;"*",注文弁当の抽出!$E$1:$F$15,2,FALSE),"")</f>
        <v/>
      </c>
      <c r="K150" s="183" t="str">
        <f ca="1">IF(クライアント抽出!R10&lt;&gt;"",SUBSTITUTE(ADDRESS(1,(CODE(クライアント抽出!R10)-64)*2-1,4),"1",""),"")</f>
        <v/>
      </c>
      <c r="L150" s="183" t="str">
        <f>IF(C10&lt;&gt;"",クライアント抽出!I10,"")</f>
        <v/>
      </c>
      <c r="M150" s="183">
        <f t="array" aca="1" ref="M150" ca="1">IF(C150&lt;&gt;"",
IF(K150&lt;&gt;"",INDIRECT("'数出表_Excel（アレルギー入力）'!"&amp;K150&amp;L150-1&amp;""),),)</f>
        <v>0</v>
      </c>
      <c r="N150" s="183" t="str">
        <f>IF(C150&lt;&gt;"",IF(OR(COUNTIF('盛付札（関数）'!D150,"*赤*"),COUNTIF('盛付札（関数）'!D150,"*キャラ*")),1,
VLOOKUP("*"&amp;D150&amp;"*",商品マスタ一覧!D:H,5,FALSE)),"")</f>
        <v/>
      </c>
      <c r="O150" s="183">
        <f t="shared" ca="1" si="70"/>
        <v>0</v>
      </c>
      <c r="P150" s="183">
        <f t="shared" si="49"/>
        <v>0</v>
      </c>
      <c r="Q150" s="183" t="b">
        <f t="shared" si="50"/>
        <v>0</v>
      </c>
      <c r="R150" s="51" t="str">
        <f t="array" aca="1" ref="R150" ca="1">IFERROR(SMALL(IF(P$1:P$307&lt;&gt;0,P$1:P$307),ROW(A150)),"")</f>
        <v/>
      </c>
      <c r="S150" s="51" t="str">
        <f t="array" aca="1" ref="S150" ca="1">IF($R150&lt;&gt;"",
SUBSTITUTE(SUBSTITUTE(INDIRECT("C"&amp;$R150&amp;"")," 週3ｺｰｽ","")," 週5ｺｰｽ",""),"")</f>
        <v/>
      </c>
      <c r="T150" s="51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91" t="str">
        <f t="array" aca="1" ref="U150" ca="1">IF($R150&lt;&gt;"",
INDIRECT("F"&amp;$R150&amp;""),"")</f>
        <v/>
      </c>
      <c r="V150" s="51" t="str">
        <f t="array" aca="1" ref="V150" ca="1">IF($R150&lt;&gt;"",
INDIRECT("G"&amp;$R150&amp;""),"")</f>
        <v/>
      </c>
      <c r="W150" s="51" t="str">
        <f t="array" aca="1" ref="W150" ca="1">IF($R150&lt;&gt;"",
IF(AND(COUNTIF(INDIRECT("B"&amp;R150&amp;""),"*雙葉*"),COUNTIF(B:B,"*雙葉*")&gt;=2),
IF(OR(COUNTIF(INDIRECT("B"&amp;R150&amp;""),"*雙葉先生*"),COUNTIF($B$1:$B$70,"*雙葉*")&gt;=2),INDIRECT("H"&amp;R150&amp;""),INDIRECT("H"&amp;R150&amp;"")+INDIRECT("H"&amp;MATCH("雙葉'",INDIRECT("B"&amp;R150+3&amp;":B210"),0)+2+R150&amp;"")),
IF(AND(LEFT(INDIRECT("B"&amp;R150&amp;""),2)="博多",COUNTIF(B:B,"*博多*")&gt;=2),
INDIRECT("H"&amp;R150&amp;"")+INDIRECT("H"&amp;MATCH("*"&amp;INDIRECT("B"&amp;R150&amp;"")&amp;"*",INDIRECT("B"&amp;R150+1&amp;":B210"),0)+R150&amp;""),
IF(AND(LEFT(INDIRECT("B"&amp;R150&amp;""),3)="奈良屋",COUNTIF(B:B,"*奈良屋*")&gt;=2),
INDIRECT("H"&amp;R150&amp;"")+INDIRECT("H"&amp;MATCH("*"&amp;INDIRECT("B"&amp;R150&amp;"")&amp;"*",INDIRECT("B"&amp;R150+1&amp;":B210"),0)+R150&amp;"")
+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INDIRECT("H"&amp;R150&amp;"")))),"")</f>
        <v/>
      </c>
      <c r="X150" s="51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51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51" t="str">
        <f t="shared" ca="1" si="51"/>
        <v/>
      </c>
      <c r="AA150" s="51" t="str">
        <f t="shared" ca="1" si="52"/>
        <v/>
      </c>
      <c r="AB150" s="51" t="str">
        <f t="array" aca="1" ref="AB150" ca="1">IF($R150&lt;&gt;"",
IF(AND(COUNTIF(INDIRECT("B"&amp;R150&amp;""),"*雙葉*"),COUNTIF(B:B,"*雙葉*")&gt;=2),
INDIRECT("M"&amp;R150&amp;"")+INDIRECT("M"&amp;MATCH("雙葉'",INDIRECT("B"&amp;R150+1&amp;":B210"),0)+R150&amp;""),
IF(AND(LEFT(INDIRECT("B"&amp;R150&amp;""),2)="博多",COUNTIF(B:B,"*博多*")&gt;=2),
INDIRECT("M"&amp;R150&amp;"")+INDIRECT("M"&amp;MATCH("*"&amp;INDIRECT("B"&amp;R150&amp;"")&amp;"*",INDIRECT("B"&amp;R150+1&amp;":B210"),0)+R150&amp;""),
IF(AND(LEFT(INDIRECT("B"&amp;R150&amp;""),3)="奈良屋",COUNTIF(B:B,"*奈良屋*")&gt;=2),
INDIRECT("M"&amp;R150&amp;"")+INDIRECT("M"&amp;MATCH("*"&amp;INDIRECT("B"&amp;R150&amp;"")&amp;"*",INDIRECT("B"&amp;R150+1&amp;":B210"),0)+R150&amp;"")
+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INDIRECT("M"&amp;R150&amp;"")))),"")</f>
        <v/>
      </c>
      <c r="AC150" s="51" t="str">
        <f t="shared" ca="1" si="53"/>
        <v/>
      </c>
      <c r="AD150" s="51" t="str">
        <f t="shared" ca="1" si="54"/>
        <v/>
      </c>
      <c r="AE150" s="51" t="str">
        <f t="shared" ca="1" si="55"/>
        <v/>
      </c>
      <c r="AF150" s="51" t="str">
        <f t="shared" ca="1" si="56"/>
        <v/>
      </c>
      <c r="AG150" s="51" t="str">
        <f t="shared" ca="1" si="57"/>
        <v/>
      </c>
      <c r="AH150" s="191" t="str">
        <f t="shared" ca="1" si="58"/>
        <v/>
      </c>
      <c r="AI150" s="51" t="str">
        <f t="shared" ca="1" si="59"/>
        <v/>
      </c>
      <c r="AJ150" s="51" t="str">
        <f t="shared" ca="1" si="60"/>
        <v/>
      </c>
      <c r="AK150" s="51" t="str">
        <f t="shared" ca="1" si="61"/>
        <v/>
      </c>
      <c r="AL150" s="51" t="str">
        <f t="shared" ca="1" si="62"/>
        <v/>
      </c>
      <c r="AM150" s="51" t="str">
        <f t="shared" ca="1" si="63"/>
        <v/>
      </c>
      <c r="AN150" s="51" t="str">
        <f t="shared" ca="1" si="64"/>
        <v/>
      </c>
      <c r="AO150" s="51" t="str">
        <f t="shared" ca="1" si="65"/>
        <v/>
      </c>
      <c r="AP150" s="51" t="str">
        <f t="shared" ca="1" si="66"/>
        <v/>
      </c>
      <c r="AU150" s="51" t="str">
        <f t="shared" ca="1" si="67"/>
        <v/>
      </c>
    </row>
    <row r="151" spans="1:47" ht="22.2" customHeight="1">
      <c r="A151" s="184">
        <f t="shared" si="71"/>
        <v>27</v>
      </c>
      <c r="B151" s="183" t="str">
        <f t="shared" ca="1" si="68"/>
        <v/>
      </c>
      <c r="C151" s="183" t="str">
        <f>IF(OR(クライアント抽出!D11&lt;&gt;"",クライアント抽出!G11&lt;&gt;""),クライアント抽出!A11,"")</f>
        <v/>
      </c>
      <c r="D151" s="183" t="str">
        <f t="array" aca="1" ref="D151" ca="1">IF(C151&lt;&gt;"",INDIRECT("クライアント抽出!"&amp;E151&amp;MATCH(C151,クライアント抽出!A:A,0)&amp;""),"")</f>
        <v/>
      </c>
      <c r="E151" s="183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86" t="str">
        <f ca="1">IF(D151&lt;&gt;"",
IF(COUNTIF(C151,"*雙葉*"),
IF(ROUND((H151-M151)
/IF(COUNTIF(D151,"*キャラ*"),
VLOOKUP("*キャラ*",商品マスタ一覧!$D:$E,2,FALSE),
IF(COUNTIF(D151,"*赤*"),
VLOOKUP("*赤*",商品マスタ一覧!$D:$E,2,FALSE),
VLOOKUP("*"&amp;D151&amp;"*",商品マスタ一覧!$D:$E,2,FALSE))),0)&lt;=0,1,
ROUND((H151-M151)
/IF(COUNTIF(D151,"*キャラ*"),
VLOOKUP("*キャラ*",商品マスタ一覧!$D:$E,2,FALSE),
IF(COUNTIF(D151,"*赤*"),
VLOOKUP("*赤*",商品マスタ一覧!$D:$E,2,FALSE),
VLOOKUP("*"&amp;D151&amp;"*",商品マスタ一覧!$D:$E,2,FALSE))),0)),
IF(OR(COUNTIF(D151,"*キャラ*"),COUNTIF(D151,"*赤*")),"",
IF(VLOOKUP("*"&amp;D151&amp;"*",商品マスタ一覧!$D:$E,2,FALSE)=0,"",
IF(ROUND((H151-M151)
/VLOOKUP("*"&amp;D151&amp;"*",商品マスタ一覧!$D:$E,2,FALSE),0)&lt;=0,1,
ROUND((H151-M151)
/VLOOKUP("*"&amp;D151&amp;"*",商品マスタ一覧!$D:$E,2,FALSE),0))))),"")</f>
        <v/>
      </c>
      <c r="G151" s="183" t="str">
        <f ca="1">IF(F151&lt;&gt;"",
IF(VALUE(H151-M151)&gt;VALUE(IF(COUNTIF(D151,"*キャラ*"),
VLOOKUP("*キャラ*",商品マスタ一覧!$D:$E,2,FALSE),
IF(COUNTIF(D151,"*赤*"),
VLOOKUP("*赤*",商品マスタ一覧!$D:$E,2,FALSE),
VLOOKUP("*"&amp;D151&amp;"*",商品マスタ一覧!$D:$E,2,FALSE)))*F151),
"+"&amp;(H151-M151)-IF(COUNTIF(D151,"*キャラ*"),
VLOOKUP("*キャラ*",商品マスタ一覧!$D:$E,2,FALSE),
IF(COUNTIF(D151,"*赤*"),
VLOOKUP("*赤*",商品マスタ一覧!$D:$E,2,FALSE),
VLOOKUP("*"&amp;D151&amp;"*",商品マスタ一覧!$D:$E,2,FALSE)))*F151,
(H151-M151)-IF(COUNTIF(D151,"*キャラ*"),
VLOOKUP("*キャラ*",商品マスタ一覧!$D:$E,2,FALSE),
IF(COUNTIF(D151,"*赤*"),
VLOOKUP("*赤*",商品マスタ一覧!$D:$E,2,FALSE),
VLOOKUP("*"&amp;D151&amp;"*",商品マスタ一覧!$D:$E,2,FALSE)))*F151),"")</f>
        <v/>
      </c>
      <c r="H151" s="185" t="str">
        <f>IF(C151&lt;&gt;"",
クライアント抽出!D11,"")</f>
        <v/>
      </c>
      <c r="I151" s="183" t="str">
        <f>IF(C151&lt;&gt;"",
IF(O151=1,0,クライアント抽出!F11),"")</f>
        <v/>
      </c>
      <c r="J151" s="183" t="str">
        <f>IF(C151&lt;&gt;"",
VLOOKUP(
"*"&amp;LEFT(IF(COUNTIF(D151,"*学食*"),"キャラ弁（学食）",
IF(COUNTIF(D151,"*赤*"),"赤",
IF(COUNTIF(D151,"*キャラ弁当*"),"キャラ弁当",D151))),4)&amp;"*",注文弁当の抽出!$E$1:$F$15,2,FALSE),"")</f>
        <v/>
      </c>
      <c r="K151" s="183" t="str">
        <f ca="1">IF(クライアント抽出!R11&lt;&gt;"",SUBSTITUTE(ADDRESS(1,(CODE(クライアント抽出!R11)-64)*2-1,4),"1",""),"")</f>
        <v/>
      </c>
      <c r="L151" s="183" t="str">
        <f>IF(C11&lt;&gt;"",クライアント抽出!I11,"")</f>
        <v/>
      </c>
      <c r="M151" s="183">
        <f t="array" aca="1" ref="M151" ca="1">IF(C151&lt;&gt;"",
IF(K151&lt;&gt;"",INDIRECT("'数出表_Excel（アレルギー入力）'!"&amp;K151&amp;L151-1&amp;""),),)</f>
        <v>0</v>
      </c>
      <c r="N151" s="183" t="str">
        <f>IF(C151&lt;&gt;"",IF(OR(COUNTIF('盛付札（関数）'!D151,"*赤*"),COUNTIF('盛付札（関数）'!D151,"*キャラ*")),1,
VLOOKUP("*"&amp;D151&amp;"*",商品マスタ一覧!D:H,5,FALSE)),"")</f>
        <v/>
      </c>
      <c r="O151" s="183">
        <f t="shared" ca="1" si="70"/>
        <v>0</v>
      </c>
      <c r="P151" s="183">
        <f t="shared" si="49"/>
        <v>0</v>
      </c>
      <c r="Q151" s="183" t="b">
        <f t="shared" si="50"/>
        <v>0</v>
      </c>
      <c r="R151" s="51" t="str">
        <f t="array" aca="1" ref="R151" ca="1">IFERROR(SMALL(IF(P$1:P$307&lt;&gt;0,P$1:P$307),ROW(A151)),"")</f>
        <v/>
      </c>
      <c r="S151" s="51" t="str">
        <f t="array" aca="1" ref="S151" ca="1">IF($R151&lt;&gt;"",
SUBSTITUTE(SUBSTITUTE(INDIRECT("C"&amp;$R151&amp;"")," 週3ｺｰｽ","")," 週5ｺｰｽ",""),"")</f>
        <v/>
      </c>
      <c r="T151" s="51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91" t="str">
        <f t="array" aca="1" ref="U151" ca="1">IF($R151&lt;&gt;"",
INDIRECT("F"&amp;$R151&amp;""),"")</f>
        <v/>
      </c>
      <c r="V151" s="51" t="str">
        <f t="array" aca="1" ref="V151" ca="1">IF($R151&lt;&gt;"",
INDIRECT("G"&amp;$R151&amp;""),"")</f>
        <v/>
      </c>
      <c r="W151" s="51" t="str">
        <f t="array" aca="1" ref="W151" ca="1">IF($R151&lt;&gt;"",
IF(AND(COUNTIF(INDIRECT("B"&amp;R151&amp;""),"*雙葉*"),COUNTIF(B:B,"*雙葉*")&gt;=2),
IF(OR(COUNTIF(INDIRECT("B"&amp;R151&amp;""),"*雙葉先生*"),COUNTIF($B$1:$B$70,"*雙葉*")&gt;=2),INDIRECT("H"&amp;R151&amp;""),INDIRECT("H"&amp;R151&amp;"")+INDIRECT("H"&amp;MATCH("雙葉'",INDIRECT("B"&amp;R151+3&amp;":B210"),0)+2+R151&amp;"")),
IF(AND(LEFT(INDIRECT("B"&amp;R151&amp;""),2)="博多",COUNTIF(B:B,"*博多*")&gt;=2),
INDIRECT("H"&amp;R151&amp;"")+INDIRECT("H"&amp;MATCH("*"&amp;INDIRECT("B"&amp;R151&amp;"")&amp;"*",INDIRECT("B"&amp;R151+1&amp;":B210"),0)+R151&amp;""),
IF(AND(LEFT(INDIRECT("B"&amp;R151&amp;""),3)="奈良屋",COUNTIF(B:B,"*奈良屋*")&gt;=2),
INDIRECT("H"&amp;R151&amp;"")+INDIRECT("H"&amp;MATCH("*"&amp;INDIRECT("B"&amp;R151&amp;"")&amp;"*",INDIRECT("B"&amp;R151+1&amp;":B210"),0)+R151&amp;"")
+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INDIRECT("H"&amp;R151&amp;"")))),"")</f>
        <v/>
      </c>
      <c r="X151" s="51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51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51" t="str">
        <f t="shared" ca="1" si="51"/>
        <v/>
      </c>
      <c r="AA151" s="51" t="str">
        <f t="shared" ca="1" si="52"/>
        <v/>
      </c>
      <c r="AB151" s="51" t="str">
        <f t="array" aca="1" ref="AB151" ca="1">IF($R151&lt;&gt;"",
IF(AND(COUNTIF(INDIRECT("B"&amp;R151&amp;""),"*雙葉*"),COUNTIF(B:B,"*雙葉*")&gt;=2),
INDIRECT("M"&amp;R151&amp;"")+INDIRECT("M"&amp;MATCH("雙葉'",INDIRECT("B"&amp;R151+1&amp;":B210"),0)+R151&amp;""),
IF(AND(LEFT(INDIRECT("B"&amp;R151&amp;""),2)="博多",COUNTIF(B:B,"*博多*")&gt;=2),
INDIRECT("M"&amp;R151&amp;"")+INDIRECT("M"&amp;MATCH("*"&amp;INDIRECT("B"&amp;R151&amp;"")&amp;"*",INDIRECT("B"&amp;R151+1&amp;":B210"),0)+R151&amp;""),
IF(AND(LEFT(INDIRECT("B"&amp;R151&amp;""),3)="奈良屋",COUNTIF(B:B,"*奈良屋*")&gt;=2),
INDIRECT("M"&amp;R151&amp;"")+INDIRECT("M"&amp;MATCH("*"&amp;INDIRECT("B"&amp;R151&amp;"")&amp;"*",INDIRECT("B"&amp;R151+1&amp;":B210"),0)+R151&amp;"")
+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INDIRECT("M"&amp;R151&amp;"")))),"")</f>
        <v/>
      </c>
      <c r="AC151" s="51" t="str">
        <f t="shared" ca="1" si="53"/>
        <v/>
      </c>
      <c r="AD151" s="51" t="str">
        <f t="shared" ca="1" si="54"/>
        <v/>
      </c>
      <c r="AE151" s="51" t="str">
        <f t="shared" ca="1" si="55"/>
        <v/>
      </c>
      <c r="AF151" s="51" t="str">
        <f t="shared" ca="1" si="56"/>
        <v/>
      </c>
      <c r="AG151" s="51" t="str">
        <f t="shared" ca="1" si="57"/>
        <v/>
      </c>
      <c r="AH151" s="191" t="str">
        <f t="shared" ca="1" si="58"/>
        <v/>
      </c>
      <c r="AI151" s="51" t="str">
        <f t="shared" ca="1" si="59"/>
        <v/>
      </c>
      <c r="AJ151" s="51" t="str">
        <f t="shared" ca="1" si="60"/>
        <v/>
      </c>
      <c r="AK151" s="51" t="str">
        <f t="shared" ca="1" si="61"/>
        <v/>
      </c>
      <c r="AL151" s="51" t="str">
        <f t="shared" ca="1" si="62"/>
        <v/>
      </c>
      <c r="AM151" s="51" t="str">
        <f t="shared" ca="1" si="63"/>
        <v/>
      </c>
      <c r="AN151" s="51" t="str">
        <f t="shared" ca="1" si="64"/>
        <v/>
      </c>
      <c r="AO151" s="51" t="str">
        <f t="shared" ca="1" si="65"/>
        <v/>
      </c>
      <c r="AP151" s="51" t="str">
        <f t="shared" ca="1" si="66"/>
        <v/>
      </c>
      <c r="AU151" s="51" t="str">
        <f t="shared" ca="1" si="67"/>
        <v/>
      </c>
    </row>
    <row r="152" spans="1:47" ht="22.2" customHeight="1">
      <c r="A152" s="184">
        <f t="shared" si="71"/>
        <v>29</v>
      </c>
      <c r="B152" s="183" t="str">
        <f t="shared" ca="1" si="68"/>
        <v/>
      </c>
      <c r="C152" s="183" t="str">
        <f>IF(OR(クライアント抽出!D12&lt;&gt;"",クライアント抽出!G12&lt;&gt;""),クライアント抽出!A12,"")</f>
        <v/>
      </c>
      <c r="D152" s="183" t="str">
        <f t="array" aca="1" ref="D152" ca="1">IF(C152&lt;&gt;"",INDIRECT("クライアント抽出!"&amp;E152&amp;MATCH(C152,クライアント抽出!A:A,0)&amp;""),"")</f>
        <v/>
      </c>
      <c r="E152" s="183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86" t="str">
        <f ca="1">IF(D152&lt;&gt;"",
IF(COUNTIF(C152,"*雙葉*"),
IF(ROUND((H152-M152)
/IF(COUNTIF(D152,"*キャラ*"),
VLOOKUP("*キャラ*",商品マスタ一覧!$D:$E,2,FALSE),
IF(COUNTIF(D152,"*赤*"),
VLOOKUP("*赤*",商品マスタ一覧!$D:$E,2,FALSE),
VLOOKUP("*"&amp;D152&amp;"*",商品マスタ一覧!$D:$E,2,FALSE))),0)&lt;=0,1,
ROUND((H152-M152)
/IF(COUNTIF(D152,"*キャラ*"),
VLOOKUP("*キャラ*",商品マスタ一覧!$D:$E,2,FALSE),
IF(COUNTIF(D152,"*赤*"),
VLOOKUP("*赤*",商品マスタ一覧!$D:$E,2,FALSE),
VLOOKUP("*"&amp;D152&amp;"*",商品マスタ一覧!$D:$E,2,FALSE))),0)),
IF(OR(COUNTIF(D152,"*キャラ*"),COUNTIF(D152,"*赤*")),"",
IF(VLOOKUP("*"&amp;D152&amp;"*",商品マスタ一覧!$D:$E,2,FALSE)=0,"",
IF(ROUND((H152-M152)
/VLOOKUP("*"&amp;D152&amp;"*",商品マスタ一覧!$D:$E,2,FALSE),0)&lt;=0,1,
ROUND((H152-M152)
/VLOOKUP("*"&amp;D152&amp;"*",商品マスタ一覧!$D:$E,2,FALSE),0))))),"")</f>
        <v/>
      </c>
      <c r="G152" s="183" t="str">
        <f ca="1">IF(F152&lt;&gt;"",
IF(VALUE(H152-M152)&gt;VALUE(IF(COUNTIF(D152,"*キャラ*"),
VLOOKUP("*キャラ*",商品マスタ一覧!$D:$E,2,FALSE),
IF(COUNTIF(D152,"*赤*"),
VLOOKUP("*赤*",商品マスタ一覧!$D:$E,2,FALSE),
VLOOKUP("*"&amp;D152&amp;"*",商品マスタ一覧!$D:$E,2,FALSE)))*F152),
"+"&amp;(H152-M152)-IF(COUNTIF(D152,"*キャラ*"),
VLOOKUP("*キャラ*",商品マスタ一覧!$D:$E,2,FALSE),
IF(COUNTIF(D152,"*赤*"),
VLOOKUP("*赤*",商品マスタ一覧!$D:$E,2,FALSE),
VLOOKUP("*"&amp;D152&amp;"*",商品マスタ一覧!$D:$E,2,FALSE)))*F152,
(H152-M152)-IF(COUNTIF(D152,"*キャラ*"),
VLOOKUP("*キャラ*",商品マスタ一覧!$D:$E,2,FALSE),
IF(COUNTIF(D152,"*赤*"),
VLOOKUP("*赤*",商品マスタ一覧!$D:$E,2,FALSE),
VLOOKUP("*"&amp;D152&amp;"*",商品マスタ一覧!$D:$E,2,FALSE)))*F152),"")</f>
        <v/>
      </c>
      <c r="H152" s="185" t="str">
        <f>IF(C152&lt;&gt;"",
クライアント抽出!D12,"")</f>
        <v/>
      </c>
      <c r="I152" s="183" t="str">
        <f>IF(C152&lt;&gt;"",
IF(O152=1,0,クライアント抽出!F12),"")</f>
        <v/>
      </c>
      <c r="J152" s="183" t="str">
        <f>IF(C152&lt;&gt;"",
VLOOKUP(
"*"&amp;LEFT(IF(COUNTIF(D152,"*学食*"),"キャラ弁（学食）",
IF(COUNTIF(D152,"*赤*"),"赤",
IF(COUNTIF(D152,"*キャラ弁当*"),"キャラ弁当",D152))),4)&amp;"*",注文弁当の抽出!$E$1:$F$15,2,FALSE),"")</f>
        <v/>
      </c>
      <c r="K152" s="183" t="str">
        <f ca="1">IF(クライアント抽出!R12&lt;&gt;"",SUBSTITUTE(ADDRESS(1,(CODE(クライアント抽出!R12)-64)*2-1,4),"1",""),"")</f>
        <v/>
      </c>
      <c r="L152" s="183" t="str">
        <f>IF(C12&lt;&gt;"",クライアント抽出!I12,"")</f>
        <v/>
      </c>
      <c r="M152" s="183">
        <f t="array" aca="1" ref="M152" ca="1">IF(C152&lt;&gt;"",
IF(K152&lt;&gt;"",INDIRECT("'数出表_Excel（アレルギー入力）'!"&amp;K152&amp;L152-1&amp;""),),)</f>
        <v>0</v>
      </c>
      <c r="N152" s="183" t="str">
        <f>IF(C152&lt;&gt;"",IF(OR(COUNTIF('盛付札（関数）'!D152,"*赤*"),COUNTIF('盛付札（関数）'!D152,"*キャラ*")),1,
VLOOKUP("*"&amp;D152&amp;"*",商品マスタ一覧!D:H,5,FALSE)),"")</f>
        <v/>
      </c>
      <c r="O152" s="183">
        <f t="shared" ca="1" si="70"/>
        <v>0</v>
      </c>
      <c r="P152" s="183">
        <f t="shared" si="49"/>
        <v>0</v>
      </c>
      <c r="Q152" s="183" t="b">
        <f t="shared" si="50"/>
        <v>0</v>
      </c>
      <c r="R152" s="51" t="str">
        <f t="array" aca="1" ref="R152" ca="1">IFERROR(SMALL(IF(P$1:P$307&lt;&gt;0,P$1:P$307),ROW(A152)),"")</f>
        <v/>
      </c>
      <c r="S152" s="51" t="str">
        <f t="array" aca="1" ref="S152" ca="1">IF($R152&lt;&gt;"",
SUBSTITUTE(SUBSTITUTE(INDIRECT("C"&amp;$R152&amp;"")," 週3ｺｰｽ","")," 週5ｺｰｽ",""),"")</f>
        <v/>
      </c>
      <c r="T152" s="51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91" t="str">
        <f t="array" aca="1" ref="U152" ca="1">IF($R152&lt;&gt;"",
INDIRECT("F"&amp;$R152&amp;""),"")</f>
        <v/>
      </c>
      <c r="V152" s="51" t="str">
        <f t="array" aca="1" ref="V152" ca="1">IF($R152&lt;&gt;"",
INDIRECT("G"&amp;$R152&amp;""),"")</f>
        <v/>
      </c>
      <c r="W152" s="51" t="str">
        <f t="array" aca="1" ref="W152" ca="1">IF($R152&lt;&gt;"",
IF(AND(COUNTIF(INDIRECT("B"&amp;R152&amp;""),"*雙葉*"),COUNTIF(B:B,"*雙葉*")&gt;=2),
IF(OR(COUNTIF(INDIRECT("B"&amp;R152&amp;""),"*雙葉先生*"),COUNTIF($B$1:$B$70,"*雙葉*")&gt;=2),INDIRECT("H"&amp;R152&amp;""),INDIRECT("H"&amp;R152&amp;"")+INDIRECT("H"&amp;MATCH("雙葉'",INDIRECT("B"&amp;R152+3&amp;":B210"),0)+2+R152&amp;"")),
IF(AND(LEFT(INDIRECT("B"&amp;R152&amp;""),2)="博多",COUNTIF(B:B,"*博多*")&gt;=2),
INDIRECT("H"&amp;R152&amp;"")+INDIRECT("H"&amp;MATCH("*"&amp;INDIRECT("B"&amp;R152&amp;"")&amp;"*",INDIRECT("B"&amp;R152+1&amp;":B210"),0)+R152&amp;""),
IF(AND(LEFT(INDIRECT("B"&amp;R152&amp;""),3)="奈良屋",COUNTIF(B:B,"*奈良屋*")&gt;=2),
INDIRECT("H"&amp;R152&amp;"")+INDIRECT("H"&amp;MATCH("*"&amp;INDIRECT("B"&amp;R152&amp;"")&amp;"*",INDIRECT("B"&amp;R152+1&amp;":B210"),0)+R152&amp;"")
+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INDIRECT("H"&amp;R152&amp;"")))),"")</f>
        <v/>
      </c>
      <c r="X152" s="51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51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51" t="str">
        <f t="shared" ca="1" si="51"/>
        <v/>
      </c>
      <c r="AA152" s="51" t="str">
        <f t="shared" ca="1" si="52"/>
        <v/>
      </c>
      <c r="AB152" s="51" t="str">
        <f t="array" aca="1" ref="AB152" ca="1">IF($R152&lt;&gt;"",
IF(AND(COUNTIF(INDIRECT("B"&amp;R152&amp;""),"*雙葉*"),COUNTIF(B:B,"*雙葉*")&gt;=2),
INDIRECT("M"&amp;R152&amp;"")+INDIRECT("M"&amp;MATCH("雙葉'",INDIRECT("B"&amp;R152+1&amp;":B210"),0)+R152&amp;""),
IF(AND(LEFT(INDIRECT("B"&amp;R152&amp;""),2)="博多",COUNTIF(B:B,"*博多*")&gt;=2),
INDIRECT("M"&amp;R152&amp;"")+INDIRECT("M"&amp;MATCH("*"&amp;INDIRECT("B"&amp;R152&amp;"")&amp;"*",INDIRECT("B"&amp;R152+1&amp;":B210"),0)+R152&amp;""),
IF(AND(LEFT(INDIRECT("B"&amp;R152&amp;""),3)="奈良屋",COUNTIF(B:B,"*奈良屋*")&gt;=2),
INDIRECT("M"&amp;R152&amp;"")+INDIRECT("M"&amp;MATCH("*"&amp;INDIRECT("B"&amp;R152&amp;"")&amp;"*",INDIRECT("B"&amp;R152+1&amp;":B210"),0)+R152&amp;"")
+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INDIRECT("M"&amp;R152&amp;"")))),"")</f>
        <v/>
      </c>
      <c r="AC152" s="51" t="str">
        <f t="shared" ca="1" si="53"/>
        <v/>
      </c>
      <c r="AD152" s="51" t="str">
        <f t="shared" ca="1" si="54"/>
        <v/>
      </c>
      <c r="AE152" s="51" t="str">
        <f t="shared" ca="1" si="55"/>
        <v/>
      </c>
      <c r="AF152" s="51" t="str">
        <f t="shared" ca="1" si="56"/>
        <v/>
      </c>
      <c r="AG152" s="51" t="str">
        <f t="shared" ca="1" si="57"/>
        <v/>
      </c>
      <c r="AH152" s="191" t="str">
        <f t="shared" ca="1" si="58"/>
        <v/>
      </c>
      <c r="AI152" s="51" t="str">
        <f t="shared" ca="1" si="59"/>
        <v/>
      </c>
      <c r="AJ152" s="51" t="str">
        <f t="shared" ca="1" si="60"/>
        <v/>
      </c>
      <c r="AK152" s="51" t="str">
        <f t="shared" ca="1" si="61"/>
        <v/>
      </c>
      <c r="AL152" s="51" t="str">
        <f t="shared" ca="1" si="62"/>
        <v/>
      </c>
      <c r="AM152" s="51" t="str">
        <f t="shared" ca="1" si="63"/>
        <v/>
      </c>
      <c r="AN152" s="51" t="str">
        <f t="shared" ca="1" si="64"/>
        <v/>
      </c>
      <c r="AO152" s="51" t="str">
        <f t="shared" ca="1" si="65"/>
        <v/>
      </c>
      <c r="AP152" s="51" t="str">
        <f t="shared" ca="1" si="66"/>
        <v/>
      </c>
      <c r="AU152" s="51" t="str">
        <f t="shared" ca="1" si="67"/>
        <v/>
      </c>
    </row>
    <row r="153" spans="1:47" ht="22.2" customHeight="1">
      <c r="A153" s="184">
        <f t="shared" si="71"/>
        <v>31</v>
      </c>
      <c r="B153" s="183" t="str">
        <f t="shared" ca="1" si="68"/>
        <v/>
      </c>
      <c r="C153" s="183" t="str">
        <f>IF(OR(クライアント抽出!D13&lt;&gt;"",クライアント抽出!G13&lt;&gt;""),クライアント抽出!A13,"")</f>
        <v/>
      </c>
      <c r="D153" s="183" t="str">
        <f t="array" aca="1" ref="D153" ca="1">IF(C153&lt;&gt;"",INDIRECT("クライアント抽出!"&amp;E153&amp;MATCH(C153,クライアント抽出!A:A,0)&amp;""),"")</f>
        <v/>
      </c>
      <c r="E153" s="183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86" t="str">
        <f ca="1">IF(D153&lt;&gt;"",
IF(COUNTIF(C153,"*雙葉*"),
IF(ROUND((H153-M153)
/IF(COUNTIF(D153,"*キャラ*"),
VLOOKUP("*キャラ*",商品マスタ一覧!$D:$E,2,FALSE),
IF(COUNTIF(D153,"*赤*"),
VLOOKUP("*赤*",商品マスタ一覧!$D:$E,2,FALSE),
VLOOKUP("*"&amp;D153&amp;"*",商品マスタ一覧!$D:$E,2,FALSE))),0)&lt;=0,1,
ROUND((H153-M153)
/IF(COUNTIF(D153,"*キャラ*"),
VLOOKUP("*キャラ*",商品マスタ一覧!$D:$E,2,FALSE),
IF(COUNTIF(D153,"*赤*"),
VLOOKUP("*赤*",商品マスタ一覧!$D:$E,2,FALSE),
VLOOKUP("*"&amp;D153&amp;"*",商品マスタ一覧!$D:$E,2,FALSE))),0)),
IF(OR(COUNTIF(D153,"*キャラ*"),COUNTIF(D153,"*赤*")),"",
IF(VLOOKUP("*"&amp;D153&amp;"*",商品マスタ一覧!$D:$E,2,FALSE)=0,"",
IF(ROUND((H153-M153)
/VLOOKUP("*"&amp;D153&amp;"*",商品マスタ一覧!$D:$E,2,FALSE),0)&lt;=0,1,
ROUND((H153-M153)
/VLOOKUP("*"&amp;D153&amp;"*",商品マスタ一覧!$D:$E,2,FALSE),0))))),"")</f>
        <v/>
      </c>
      <c r="G153" s="183" t="str">
        <f ca="1">IF(F153&lt;&gt;"",
IF(VALUE(H153-M153)&gt;VALUE(IF(COUNTIF(D153,"*キャラ*"),
VLOOKUP("*キャラ*",商品マスタ一覧!$D:$E,2,FALSE),
IF(COUNTIF(D153,"*赤*"),
VLOOKUP("*赤*",商品マスタ一覧!$D:$E,2,FALSE),
VLOOKUP("*"&amp;D153&amp;"*",商品マスタ一覧!$D:$E,2,FALSE)))*F153),
"+"&amp;(H153-M153)-IF(COUNTIF(D153,"*キャラ*"),
VLOOKUP("*キャラ*",商品マスタ一覧!$D:$E,2,FALSE),
IF(COUNTIF(D153,"*赤*"),
VLOOKUP("*赤*",商品マスタ一覧!$D:$E,2,FALSE),
VLOOKUP("*"&amp;D153&amp;"*",商品マスタ一覧!$D:$E,2,FALSE)))*F153,
(H153-M153)-IF(COUNTIF(D153,"*キャラ*"),
VLOOKUP("*キャラ*",商品マスタ一覧!$D:$E,2,FALSE),
IF(COUNTIF(D153,"*赤*"),
VLOOKUP("*赤*",商品マスタ一覧!$D:$E,2,FALSE),
VLOOKUP("*"&amp;D153&amp;"*",商品マスタ一覧!$D:$E,2,FALSE)))*F153),"")</f>
        <v/>
      </c>
      <c r="H153" s="185" t="str">
        <f>IF(C153&lt;&gt;"",
クライアント抽出!D13,"")</f>
        <v/>
      </c>
      <c r="I153" s="183" t="str">
        <f>IF(C153&lt;&gt;"",
IF(O153=1,0,クライアント抽出!F13),"")</f>
        <v/>
      </c>
      <c r="J153" s="183" t="str">
        <f>IF(C153&lt;&gt;"",
VLOOKUP(
"*"&amp;LEFT(IF(COUNTIF(D153,"*学食*"),"キャラ弁（学食）",
IF(COUNTIF(D153,"*赤*"),"赤",
IF(COUNTIF(D153,"*キャラ弁当*"),"キャラ弁当",D153))),4)&amp;"*",注文弁当の抽出!$E$1:$F$15,2,FALSE),"")</f>
        <v/>
      </c>
      <c r="K153" s="183" t="str">
        <f ca="1">IF(クライアント抽出!R13&lt;&gt;"",SUBSTITUTE(ADDRESS(1,(CODE(クライアント抽出!R13)-64)*2-1,4),"1",""),"")</f>
        <v/>
      </c>
      <c r="L153" s="183" t="str">
        <f>IF(C13&lt;&gt;"",クライアント抽出!I13,"")</f>
        <v/>
      </c>
      <c r="M153" s="183">
        <f t="array" aca="1" ref="M153" ca="1">IF(C153&lt;&gt;"",
IF(K153&lt;&gt;"",INDIRECT("'数出表_Excel（アレルギー入力）'!"&amp;K153&amp;L153-1&amp;""),),)</f>
        <v>0</v>
      </c>
      <c r="N153" s="183" t="str">
        <f>IF(C153&lt;&gt;"",IF(OR(COUNTIF('盛付札（関数）'!D153,"*赤*"),COUNTIF('盛付札（関数）'!D153,"*キャラ*")),1,
VLOOKUP("*"&amp;D153&amp;"*",商品マスタ一覧!D:H,5,FALSE)),"")</f>
        <v/>
      </c>
      <c r="O153" s="183">
        <f t="shared" ca="1" si="70"/>
        <v>0</v>
      </c>
      <c r="P153" s="183">
        <f t="shared" si="49"/>
        <v>0</v>
      </c>
      <c r="Q153" s="183" t="b">
        <f t="shared" si="50"/>
        <v>0</v>
      </c>
      <c r="R153" s="51" t="str">
        <f t="array" aca="1" ref="R153" ca="1">IFERROR(SMALL(IF(P$1:P$307&lt;&gt;0,P$1:P$307),ROW(A153)),"")</f>
        <v/>
      </c>
      <c r="S153" s="51" t="str">
        <f t="array" aca="1" ref="S153" ca="1">IF($R153&lt;&gt;"",
SUBSTITUTE(SUBSTITUTE(INDIRECT("C"&amp;$R153&amp;"")," 週3ｺｰｽ","")," 週5ｺｰｽ",""),"")</f>
        <v/>
      </c>
      <c r="T153" s="51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91" t="str">
        <f t="array" aca="1" ref="U153" ca="1">IF($R153&lt;&gt;"",
INDIRECT("F"&amp;$R153&amp;""),"")</f>
        <v/>
      </c>
      <c r="V153" s="51" t="str">
        <f t="array" aca="1" ref="V153" ca="1">IF($R153&lt;&gt;"",
INDIRECT("G"&amp;$R153&amp;""),"")</f>
        <v/>
      </c>
      <c r="W153" s="51" t="str">
        <f t="array" aca="1" ref="W153" ca="1">IF($R153&lt;&gt;"",
IF(AND(COUNTIF(INDIRECT("B"&amp;R153&amp;""),"*雙葉*"),COUNTIF(B:B,"*雙葉*")&gt;=2),
IF(OR(COUNTIF(INDIRECT("B"&amp;R153&amp;""),"*雙葉先生*"),COUNTIF($B$1:$B$70,"*雙葉*")&gt;=2),INDIRECT("H"&amp;R153&amp;""),INDIRECT("H"&amp;R153&amp;"")+INDIRECT("H"&amp;MATCH("雙葉'",INDIRECT("B"&amp;R153+3&amp;":B210"),0)+2+R153&amp;"")),
IF(AND(LEFT(INDIRECT("B"&amp;R153&amp;""),2)="博多",COUNTIF(B:B,"*博多*")&gt;=2),
INDIRECT("H"&amp;R153&amp;"")+INDIRECT("H"&amp;MATCH("*"&amp;INDIRECT("B"&amp;R153&amp;"")&amp;"*",INDIRECT("B"&amp;R153+1&amp;":B210"),0)+R153&amp;""),
IF(AND(LEFT(INDIRECT("B"&amp;R153&amp;""),3)="奈良屋",COUNTIF(B:B,"*奈良屋*")&gt;=2),
INDIRECT("H"&amp;R153&amp;"")+INDIRECT("H"&amp;MATCH("*"&amp;INDIRECT("B"&amp;R153&amp;"")&amp;"*",INDIRECT("B"&amp;R153+1&amp;":B210"),0)+R153&amp;"")
+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INDIRECT("H"&amp;R153&amp;"")))),"")</f>
        <v/>
      </c>
      <c r="X153" s="51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51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51" t="str">
        <f t="shared" ca="1" si="51"/>
        <v/>
      </c>
      <c r="AA153" s="51" t="str">
        <f t="shared" ca="1" si="52"/>
        <v/>
      </c>
      <c r="AB153" s="51" t="str">
        <f t="array" aca="1" ref="AB153" ca="1">IF($R153&lt;&gt;"",
IF(AND(COUNTIF(INDIRECT("B"&amp;R153&amp;""),"*雙葉*"),COUNTIF(B:B,"*雙葉*")&gt;=2),
INDIRECT("M"&amp;R153&amp;"")+INDIRECT("M"&amp;MATCH("雙葉'",INDIRECT("B"&amp;R153+1&amp;":B210"),0)+R153&amp;""),
IF(AND(LEFT(INDIRECT("B"&amp;R153&amp;""),2)="博多",COUNTIF(B:B,"*博多*")&gt;=2),
INDIRECT("M"&amp;R153&amp;"")+INDIRECT("M"&amp;MATCH("*"&amp;INDIRECT("B"&amp;R153&amp;"")&amp;"*",INDIRECT("B"&amp;R153+1&amp;":B210"),0)+R153&amp;""),
IF(AND(LEFT(INDIRECT("B"&amp;R153&amp;""),3)="奈良屋",COUNTIF(B:B,"*奈良屋*")&gt;=2),
INDIRECT("M"&amp;R153&amp;"")+INDIRECT("M"&amp;MATCH("*"&amp;INDIRECT("B"&amp;R153&amp;"")&amp;"*",INDIRECT("B"&amp;R153+1&amp;":B210"),0)+R153&amp;"")
+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INDIRECT("M"&amp;R153&amp;"")))),"")</f>
        <v/>
      </c>
      <c r="AC153" s="51" t="str">
        <f t="shared" ca="1" si="53"/>
        <v/>
      </c>
      <c r="AD153" s="51" t="str">
        <f t="shared" ca="1" si="54"/>
        <v/>
      </c>
      <c r="AE153" s="51" t="str">
        <f t="shared" ca="1" si="55"/>
        <v/>
      </c>
      <c r="AF153" s="51" t="str">
        <f t="shared" ca="1" si="56"/>
        <v/>
      </c>
      <c r="AG153" s="51" t="str">
        <f t="shared" ca="1" si="57"/>
        <v/>
      </c>
      <c r="AH153" s="191" t="str">
        <f t="shared" ca="1" si="58"/>
        <v/>
      </c>
      <c r="AI153" s="51" t="str">
        <f t="shared" ca="1" si="59"/>
        <v/>
      </c>
      <c r="AJ153" s="51" t="str">
        <f t="shared" ca="1" si="60"/>
        <v/>
      </c>
      <c r="AK153" s="51" t="str">
        <f t="shared" ca="1" si="61"/>
        <v/>
      </c>
      <c r="AL153" s="51" t="str">
        <f t="shared" ca="1" si="62"/>
        <v/>
      </c>
      <c r="AM153" s="51" t="str">
        <f t="shared" ca="1" si="63"/>
        <v/>
      </c>
      <c r="AN153" s="51" t="str">
        <f t="shared" ca="1" si="64"/>
        <v/>
      </c>
      <c r="AO153" s="51" t="str">
        <f t="shared" ca="1" si="65"/>
        <v/>
      </c>
      <c r="AP153" s="51" t="str">
        <f t="shared" ca="1" si="66"/>
        <v/>
      </c>
      <c r="AU153" s="51" t="str">
        <f t="shared" ca="1" si="67"/>
        <v/>
      </c>
    </row>
    <row r="154" spans="1:47" ht="22.2" customHeight="1">
      <c r="A154" s="184">
        <f t="shared" si="71"/>
        <v>33</v>
      </c>
      <c r="B154" s="183" t="str">
        <f t="shared" ca="1" si="68"/>
        <v/>
      </c>
      <c r="C154" s="183" t="str">
        <f>IF(OR(クライアント抽出!D14&lt;&gt;"",クライアント抽出!G14&lt;&gt;""),クライアント抽出!A14,"")</f>
        <v/>
      </c>
      <c r="D154" s="183" t="str">
        <f t="array" aca="1" ref="D154" ca="1">IF(C154&lt;&gt;"",INDIRECT("クライアント抽出!"&amp;E154&amp;MATCH(C154,クライアント抽出!A:A,0)&amp;""),"")</f>
        <v/>
      </c>
      <c r="E154" s="183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86" t="str">
        <f ca="1">IF(D154&lt;&gt;"",
IF(COUNTIF(C154,"*雙葉*"),
IF(ROUND((H154-M154)
/IF(COUNTIF(D154,"*キャラ*"),
VLOOKUP("*キャラ*",商品マスタ一覧!$D:$E,2,FALSE),
IF(COUNTIF(D154,"*赤*"),
VLOOKUP("*赤*",商品マスタ一覧!$D:$E,2,FALSE),
VLOOKUP("*"&amp;D154&amp;"*",商品マスタ一覧!$D:$E,2,FALSE))),0)&lt;=0,1,
ROUND((H154-M154)
/IF(COUNTIF(D154,"*キャラ*"),
VLOOKUP("*キャラ*",商品マスタ一覧!$D:$E,2,FALSE),
IF(COUNTIF(D154,"*赤*"),
VLOOKUP("*赤*",商品マスタ一覧!$D:$E,2,FALSE),
VLOOKUP("*"&amp;D154&amp;"*",商品マスタ一覧!$D:$E,2,FALSE))),0)),
IF(OR(COUNTIF(D154,"*キャラ*"),COUNTIF(D154,"*赤*")),"",
IF(VLOOKUP("*"&amp;D154&amp;"*",商品マスタ一覧!$D:$E,2,FALSE)=0,"",
IF(ROUND((H154-M154)
/VLOOKUP("*"&amp;D154&amp;"*",商品マスタ一覧!$D:$E,2,FALSE),0)&lt;=0,1,
ROUND((H154-M154)
/VLOOKUP("*"&amp;D154&amp;"*",商品マスタ一覧!$D:$E,2,FALSE),0))))),"")</f>
        <v/>
      </c>
      <c r="G154" s="183" t="str">
        <f ca="1">IF(F154&lt;&gt;"",
IF(VALUE(H154-M154)&gt;VALUE(IF(COUNTIF(D154,"*キャラ*"),
VLOOKUP("*キャラ*",商品マスタ一覧!$D:$E,2,FALSE),
IF(COUNTIF(D154,"*赤*"),
VLOOKUP("*赤*",商品マスタ一覧!$D:$E,2,FALSE),
VLOOKUP("*"&amp;D154&amp;"*",商品マスタ一覧!$D:$E,2,FALSE)))*F154),
"+"&amp;(H154-M154)-IF(COUNTIF(D154,"*キャラ*"),
VLOOKUP("*キャラ*",商品マスタ一覧!$D:$E,2,FALSE),
IF(COUNTIF(D154,"*赤*"),
VLOOKUP("*赤*",商品マスタ一覧!$D:$E,2,FALSE),
VLOOKUP("*"&amp;D154&amp;"*",商品マスタ一覧!$D:$E,2,FALSE)))*F154,
(H154-M154)-IF(COUNTIF(D154,"*キャラ*"),
VLOOKUP("*キャラ*",商品マスタ一覧!$D:$E,2,FALSE),
IF(COUNTIF(D154,"*赤*"),
VLOOKUP("*赤*",商品マスタ一覧!$D:$E,2,FALSE),
VLOOKUP("*"&amp;D154&amp;"*",商品マスタ一覧!$D:$E,2,FALSE)))*F154),"")</f>
        <v/>
      </c>
      <c r="H154" s="185" t="str">
        <f>IF(C154&lt;&gt;"",
クライアント抽出!D14,"")</f>
        <v/>
      </c>
      <c r="I154" s="183" t="str">
        <f>IF(C154&lt;&gt;"",
IF(O154=1,0,クライアント抽出!F14),"")</f>
        <v/>
      </c>
      <c r="J154" s="183" t="str">
        <f>IF(C154&lt;&gt;"",
VLOOKUP(
"*"&amp;LEFT(IF(COUNTIF(D154,"*学食*"),"キャラ弁（学食）",
IF(COUNTIF(D154,"*赤*"),"赤",
IF(COUNTIF(D154,"*キャラ弁当*"),"キャラ弁当",D154))),4)&amp;"*",注文弁当の抽出!$E$1:$F$15,2,FALSE),"")</f>
        <v/>
      </c>
      <c r="K154" s="183" t="str">
        <f ca="1">IF(クライアント抽出!R14&lt;&gt;"",SUBSTITUTE(ADDRESS(1,(CODE(クライアント抽出!R14)-64)*2-1,4),"1",""),"")</f>
        <v/>
      </c>
      <c r="L154" s="183" t="str">
        <f>IF(C14&lt;&gt;"",クライアント抽出!I14,"")</f>
        <v/>
      </c>
      <c r="M154" s="183">
        <f t="array" aca="1" ref="M154" ca="1">IF(C154&lt;&gt;"",
IF(K154&lt;&gt;"",INDIRECT("'数出表_Excel（アレルギー入力）'!"&amp;K154&amp;L154-1&amp;""),),)</f>
        <v>0</v>
      </c>
      <c r="N154" s="183" t="str">
        <f>IF(C154&lt;&gt;"",IF(OR(COUNTIF('盛付札（関数）'!D154,"*赤*"),COUNTIF('盛付札（関数）'!D154,"*キャラ*")),1,
VLOOKUP("*"&amp;D154&amp;"*",商品マスタ一覧!D:H,5,FALSE)),"")</f>
        <v/>
      </c>
      <c r="O154" s="183">
        <f t="shared" ca="1" si="70"/>
        <v>0</v>
      </c>
      <c r="P154" s="183">
        <f t="shared" si="49"/>
        <v>0</v>
      </c>
      <c r="Q154" s="183" t="b">
        <f t="shared" si="50"/>
        <v>0</v>
      </c>
      <c r="R154" s="51" t="str">
        <f t="array" aca="1" ref="R154" ca="1">IFERROR(SMALL(IF(P$1:P$307&lt;&gt;0,P$1:P$307),ROW(A154)),"")</f>
        <v/>
      </c>
      <c r="S154" s="51" t="str">
        <f t="array" aca="1" ref="S154" ca="1">IF($R154&lt;&gt;"",
SUBSTITUTE(SUBSTITUTE(INDIRECT("C"&amp;$R154&amp;"")," 週3ｺｰｽ","")," 週5ｺｰｽ",""),"")</f>
        <v/>
      </c>
      <c r="T154" s="51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91" t="str">
        <f t="array" aca="1" ref="U154" ca="1">IF($R154&lt;&gt;"",
INDIRECT("F"&amp;$R154&amp;""),"")</f>
        <v/>
      </c>
      <c r="V154" s="51" t="str">
        <f t="array" aca="1" ref="V154" ca="1">IF($R154&lt;&gt;"",
INDIRECT("G"&amp;$R154&amp;""),"")</f>
        <v/>
      </c>
      <c r="W154" s="51" t="str">
        <f t="array" aca="1" ref="W154" ca="1">IF($R154&lt;&gt;"",
IF(AND(COUNTIF(INDIRECT("B"&amp;R154&amp;""),"*雙葉*"),COUNTIF(B:B,"*雙葉*")&gt;=2),
IF(OR(COUNTIF(INDIRECT("B"&amp;R154&amp;""),"*雙葉先生*"),COUNTIF($B$1:$B$70,"*雙葉*")&gt;=2),INDIRECT("H"&amp;R154&amp;""),INDIRECT("H"&amp;R154&amp;"")+INDIRECT("H"&amp;MATCH("雙葉'",INDIRECT("B"&amp;R154+3&amp;":B210"),0)+2+R154&amp;"")),
IF(AND(LEFT(INDIRECT("B"&amp;R154&amp;""),2)="博多",COUNTIF(B:B,"*博多*")&gt;=2),
INDIRECT("H"&amp;R154&amp;"")+INDIRECT("H"&amp;MATCH("*"&amp;INDIRECT("B"&amp;R154&amp;"")&amp;"*",INDIRECT("B"&amp;R154+1&amp;":B210"),0)+R154&amp;""),
IF(AND(LEFT(INDIRECT("B"&amp;R154&amp;""),3)="奈良屋",COUNTIF(B:B,"*奈良屋*")&gt;=2),
INDIRECT("H"&amp;R154&amp;"")+INDIRECT("H"&amp;MATCH("*"&amp;INDIRECT("B"&amp;R154&amp;"")&amp;"*",INDIRECT("B"&amp;R154+1&amp;":B210"),0)+R154&amp;"")
+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INDIRECT("H"&amp;R154&amp;"")))),"")</f>
        <v/>
      </c>
      <c r="X154" s="51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51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51" t="str">
        <f t="shared" ca="1" si="51"/>
        <v/>
      </c>
      <c r="AA154" s="51" t="str">
        <f t="shared" ca="1" si="52"/>
        <v/>
      </c>
      <c r="AB154" s="51" t="str">
        <f t="array" aca="1" ref="AB154" ca="1">IF($R154&lt;&gt;"",
IF(AND(COUNTIF(INDIRECT("B"&amp;R154&amp;""),"*雙葉*"),COUNTIF(B:B,"*雙葉*")&gt;=2),
INDIRECT("M"&amp;R154&amp;"")+INDIRECT("M"&amp;MATCH("雙葉'",INDIRECT("B"&amp;R154+1&amp;":B210"),0)+R154&amp;""),
IF(AND(LEFT(INDIRECT("B"&amp;R154&amp;""),2)="博多",COUNTIF(B:B,"*博多*")&gt;=2),
INDIRECT("M"&amp;R154&amp;"")+INDIRECT("M"&amp;MATCH("*"&amp;INDIRECT("B"&amp;R154&amp;"")&amp;"*",INDIRECT("B"&amp;R154+1&amp;":B210"),0)+R154&amp;""),
IF(AND(LEFT(INDIRECT("B"&amp;R154&amp;""),3)="奈良屋",COUNTIF(B:B,"*奈良屋*")&gt;=2),
INDIRECT("M"&amp;R154&amp;"")+INDIRECT("M"&amp;MATCH("*"&amp;INDIRECT("B"&amp;R154&amp;"")&amp;"*",INDIRECT("B"&amp;R154+1&amp;":B210"),0)+R154&amp;"")
+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INDIRECT("M"&amp;R154&amp;"")))),"")</f>
        <v/>
      </c>
      <c r="AC154" s="51" t="str">
        <f t="shared" ca="1" si="53"/>
        <v/>
      </c>
      <c r="AD154" s="51" t="str">
        <f t="shared" ca="1" si="54"/>
        <v/>
      </c>
      <c r="AE154" s="51" t="str">
        <f t="shared" ca="1" si="55"/>
        <v/>
      </c>
      <c r="AF154" s="51" t="str">
        <f t="shared" ca="1" si="56"/>
        <v/>
      </c>
      <c r="AG154" s="51" t="str">
        <f t="shared" ca="1" si="57"/>
        <v/>
      </c>
      <c r="AH154" s="191" t="str">
        <f t="shared" ca="1" si="58"/>
        <v/>
      </c>
      <c r="AI154" s="51" t="str">
        <f t="shared" ca="1" si="59"/>
        <v/>
      </c>
      <c r="AJ154" s="51" t="str">
        <f t="shared" ca="1" si="60"/>
        <v/>
      </c>
      <c r="AK154" s="51" t="str">
        <f t="shared" ca="1" si="61"/>
        <v/>
      </c>
      <c r="AL154" s="51" t="str">
        <f t="shared" ca="1" si="62"/>
        <v/>
      </c>
      <c r="AM154" s="51" t="str">
        <f t="shared" ca="1" si="63"/>
        <v/>
      </c>
      <c r="AN154" s="51" t="str">
        <f t="shared" ca="1" si="64"/>
        <v/>
      </c>
      <c r="AO154" s="51" t="str">
        <f t="shared" ca="1" si="65"/>
        <v/>
      </c>
      <c r="AP154" s="51" t="str">
        <f t="shared" ca="1" si="66"/>
        <v/>
      </c>
      <c r="AU154" s="51" t="str">
        <f t="shared" ca="1" si="67"/>
        <v/>
      </c>
    </row>
    <row r="155" spans="1:47" ht="22.2" customHeight="1">
      <c r="A155" s="184">
        <f t="shared" si="71"/>
        <v>35</v>
      </c>
      <c r="B155" s="183" t="str">
        <f t="shared" ca="1" si="68"/>
        <v/>
      </c>
      <c r="C155" s="183" t="str">
        <f>IF(OR(クライアント抽出!D15&lt;&gt;"",クライアント抽出!G15&lt;&gt;""),クライアント抽出!A15,"")</f>
        <v/>
      </c>
      <c r="D155" s="183" t="str">
        <f t="array" aca="1" ref="D155" ca="1">IF(C155&lt;&gt;"",INDIRECT("クライアント抽出!"&amp;E155&amp;MATCH(C155,クライアント抽出!A:A,0)&amp;""),"")</f>
        <v/>
      </c>
      <c r="E155" s="183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86" t="str">
        <f ca="1">IF(D155&lt;&gt;"",
IF(COUNTIF(C155,"*雙葉*"),
IF(ROUND((H155-M155)
/IF(COUNTIF(D155,"*キャラ*"),
VLOOKUP("*キャラ*",商品マスタ一覧!$D:$E,2,FALSE),
IF(COUNTIF(D155,"*赤*"),
VLOOKUP("*赤*",商品マスタ一覧!$D:$E,2,FALSE),
VLOOKUP("*"&amp;D155&amp;"*",商品マスタ一覧!$D:$E,2,FALSE))),0)&lt;=0,1,
ROUND((H155-M155)
/IF(COUNTIF(D155,"*キャラ*"),
VLOOKUP("*キャラ*",商品マスタ一覧!$D:$E,2,FALSE),
IF(COUNTIF(D155,"*赤*"),
VLOOKUP("*赤*",商品マスタ一覧!$D:$E,2,FALSE),
VLOOKUP("*"&amp;D155&amp;"*",商品マスタ一覧!$D:$E,2,FALSE))),0)),
IF(OR(COUNTIF(D155,"*キャラ*"),COUNTIF(D155,"*赤*")),"",
IF(VLOOKUP("*"&amp;D155&amp;"*",商品マスタ一覧!$D:$E,2,FALSE)=0,"",
IF(ROUND((H155-M155)
/VLOOKUP("*"&amp;D155&amp;"*",商品マスタ一覧!$D:$E,2,FALSE),0)&lt;=0,1,
ROUND((H155-M155)
/VLOOKUP("*"&amp;D155&amp;"*",商品マスタ一覧!$D:$E,2,FALSE),0))))),"")</f>
        <v/>
      </c>
      <c r="G155" s="183" t="str">
        <f ca="1">IF(F155&lt;&gt;"",
IF(VALUE(H155-M155)&gt;VALUE(IF(COUNTIF(D155,"*キャラ*"),
VLOOKUP("*キャラ*",商品マスタ一覧!$D:$E,2,FALSE),
IF(COUNTIF(D155,"*赤*"),
VLOOKUP("*赤*",商品マスタ一覧!$D:$E,2,FALSE),
VLOOKUP("*"&amp;D155&amp;"*",商品マスタ一覧!$D:$E,2,FALSE)))*F155),
"+"&amp;(H155-M155)-IF(COUNTIF(D155,"*キャラ*"),
VLOOKUP("*キャラ*",商品マスタ一覧!$D:$E,2,FALSE),
IF(COUNTIF(D155,"*赤*"),
VLOOKUP("*赤*",商品マスタ一覧!$D:$E,2,FALSE),
VLOOKUP("*"&amp;D155&amp;"*",商品マスタ一覧!$D:$E,2,FALSE)))*F155,
(H155-M155)-IF(COUNTIF(D155,"*キャラ*"),
VLOOKUP("*キャラ*",商品マスタ一覧!$D:$E,2,FALSE),
IF(COUNTIF(D155,"*赤*"),
VLOOKUP("*赤*",商品マスタ一覧!$D:$E,2,FALSE),
VLOOKUP("*"&amp;D155&amp;"*",商品マスタ一覧!$D:$E,2,FALSE)))*F155),"")</f>
        <v/>
      </c>
      <c r="H155" s="185" t="str">
        <f>IF(C155&lt;&gt;"",
クライアント抽出!D15,"")</f>
        <v/>
      </c>
      <c r="I155" s="183" t="str">
        <f>IF(C155&lt;&gt;"",
IF(O155=1,0,クライアント抽出!F15),"")</f>
        <v/>
      </c>
      <c r="J155" s="183" t="str">
        <f>IF(C155&lt;&gt;"",
VLOOKUP(
"*"&amp;LEFT(IF(COUNTIF(D155,"*学食*"),"キャラ弁（学食）",
IF(COUNTIF(D155,"*赤*"),"赤",
IF(COUNTIF(D155,"*キャラ弁当*"),"キャラ弁当",D155))),4)&amp;"*",注文弁当の抽出!$E$1:$F$15,2,FALSE),"")</f>
        <v/>
      </c>
      <c r="K155" s="183" t="str">
        <f ca="1">IF(クライアント抽出!R15&lt;&gt;"",SUBSTITUTE(ADDRESS(1,(CODE(クライアント抽出!R15)-64)*2-1,4),"1",""),"")</f>
        <v/>
      </c>
      <c r="L155" s="183" t="str">
        <f>IF(C15&lt;&gt;"",クライアント抽出!I15,"")</f>
        <v/>
      </c>
      <c r="M155" s="183">
        <f t="array" aca="1" ref="M155" ca="1">IF(C155&lt;&gt;"",
IF(K155&lt;&gt;"",INDIRECT("'数出表_Excel（アレルギー入力）'!"&amp;K155&amp;L155-1&amp;""),),)</f>
        <v>0</v>
      </c>
      <c r="N155" s="183" t="str">
        <f>IF(C155&lt;&gt;"",IF(OR(COUNTIF('盛付札（関数）'!D155,"*赤*"),COUNTIF('盛付札（関数）'!D155,"*キャラ*")),1,
VLOOKUP("*"&amp;D155&amp;"*",商品マスタ一覧!D:H,5,FALSE)),"")</f>
        <v/>
      </c>
      <c r="O155" s="183">
        <f t="shared" ca="1" si="70"/>
        <v>0</v>
      </c>
      <c r="P155" s="183">
        <f t="shared" si="49"/>
        <v>0</v>
      </c>
      <c r="Q155" s="183" t="b">
        <f t="shared" si="50"/>
        <v>0</v>
      </c>
      <c r="R155" s="51" t="str">
        <f t="array" aca="1" ref="R155" ca="1">IFERROR(SMALL(IF(P$1:P$307&lt;&gt;0,P$1:P$307),ROW(A155)),"")</f>
        <v/>
      </c>
      <c r="S155" s="51" t="str">
        <f t="array" aca="1" ref="S155" ca="1">IF($R155&lt;&gt;"",
SUBSTITUTE(SUBSTITUTE(INDIRECT("C"&amp;$R155&amp;"")," 週3ｺｰｽ","")," 週5ｺｰｽ",""),"")</f>
        <v/>
      </c>
      <c r="T155" s="51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91" t="str">
        <f t="array" aca="1" ref="U155" ca="1">IF($R155&lt;&gt;"",
INDIRECT("F"&amp;$R155&amp;""),"")</f>
        <v/>
      </c>
      <c r="V155" s="51" t="str">
        <f t="array" aca="1" ref="V155" ca="1">IF($R155&lt;&gt;"",
INDIRECT("G"&amp;$R155&amp;""),"")</f>
        <v/>
      </c>
      <c r="W155" s="51" t="str">
        <f t="array" aca="1" ref="W155" ca="1">IF($R155&lt;&gt;"",
IF(AND(COUNTIF(INDIRECT("B"&amp;R155&amp;""),"*雙葉*"),COUNTIF(B:B,"*雙葉*")&gt;=2),
IF(OR(COUNTIF(INDIRECT("B"&amp;R155&amp;""),"*雙葉先生*"),COUNTIF($B$1:$B$70,"*雙葉*")&gt;=2),INDIRECT("H"&amp;R155&amp;""),INDIRECT("H"&amp;R155&amp;"")+INDIRECT("H"&amp;MATCH("雙葉'",INDIRECT("B"&amp;R155+3&amp;":B210"),0)+2+R155&amp;"")),
IF(AND(LEFT(INDIRECT("B"&amp;R155&amp;""),2)="博多",COUNTIF(B:B,"*博多*")&gt;=2),
INDIRECT("H"&amp;R155&amp;"")+INDIRECT("H"&amp;MATCH("*"&amp;INDIRECT("B"&amp;R155&amp;"")&amp;"*",INDIRECT("B"&amp;R155+1&amp;":B210"),0)+R155&amp;""),
IF(AND(LEFT(INDIRECT("B"&amp;R155&amp;""),3)="奈良屋",COUNTIF(B:B,"*奈良屋*")&gt;=2),
INDIRECT("H"&amp;R155&amp;"")+INDIRECT("H"&amp;MATCH("*"&amp;INDIRECT("B"&amp;R155&amp;"")&amp;"*",INDIRECT("B"&amp;R155+1&amp;":B210"),0)+R155&amp;"")
+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INDIRECT("H"&amp;R155&amp;"")))),"")</f>
        <v/>
      </c>
      <c r="X155" s="51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51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51" t="str">
        <f t="shared" ca="1" si="51"/>
        <v/>
      </c>
      <c r="AA155" s="51" t="str">
        <f t="shared" ca="1" si="52"/>
        <v/>
      </c>
      <c r="AB155" s="51" t="str">
        <f t="array" aca="1" ref="AB155" ca="1">IF($R155&lt;&gt;"",
IF(AND(COUNTIF(INDIRECT("B"&amp;R155&amp;""),"*雙葉*"),COUNTIF(B:B,"*雙葉*")&gt;=2),
INDIRECT("M"&amp;R155&amp;"")+INDIRECT("M"&amp;MATCH("雙葉'",INDIRECT("B"&amp;R155+1&amp;":B210"),0)+R155&amp;""),
IF(AND(LEFT(INDIRECT("B"&amp;R155&amp;""),2)="博多",COUNTIF(B:B,"*博多*")&gt;=2),
INDIRECT("M"&amp;R155&amp;"")+INDIRECT("M"&amp;MATCH("*"&amp;INDIRECT("B"&amp;R155&amp;"")&amp;"*",INDIRECT("B"&amp;R155+1&amp;":B210"),0)+R155&amp;""),
IF(AND(LEFT(INDIRECT("B"&amp;R155&amp;""),3)="奈良屋",COUNTIF(B:B,"*奈良屋*")&gt;=2),
INDIRECT("M"&amp;R155&amp;"")+INDIRECT("M"&amp;MATCH("*"&amp;INDIRECT("B"&amp;R155&amp;"")&amp;"*",INDIRECT("B"&amp;R155+1&amp;":B210"),0)+R155&amp;"")
+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INDIRECT("M"&amp;R155&amp;"")))),"")</f>
        <v/>
      </c>
      <c r="AC155" s="51" t="str">
        <f t="shared" ca="1" si="53"/>
        <v/>
      </c>
      <c r="AD155" s="51" t="str">
        <f t="shared" ca="1" si="54"/>
        <v/>
      </c>
      <c r="AE155" s="51" t="str">
        <f t="shared" ca="1" si="55"/>
        <v/>
      </c>
      <c r="AF155" s="51" t="str">
        <f t="shared" ca="1" si="56"/>
        <v/>
      </c>
      <c r="AG155" s="51" t="str">
        <f t="shared" ca="1" si="57"/>
        <v/>
      </c>
      <c r="AH155" s="191" t="str">
        <f t="shared" ca="1" si="58"/>
        <v/>
      </c>
      <c r="AI155" s="51" t="str">
        <f t="shared" ca="1" si="59"/>
        <v/>
      </c>
      <c r="AJ155" s="51" t="str">
        <f t="shared" ca="1" si="60"/>
        <v/>
      </c>
      <c r="AK155" s="51" t="str">
        <f t="shared" ca="1" si="61"/>
        <v/>
      </c>
      <c r="AL155" s="51" t="str">
        <f t="shared" ca="1" si="62"/>
        <v/>
      </c>
      <c r="AM155" s="51" t="str">
        <f t="shared" ca="1" si="63"/>
        <v/>
      </c>
      <c r="AN155" s="51" t="str">
        <f t="shared" ca="1" si="64"/>
        <v/>
      </c>
      <c r="AO155" s="51" t="str">
        <f t="shared" ca="1" si="65"/>
        <v/>
      </c>
      <c r="AP155" s="51" t="str">
        <f t="shared" ca="1" si="66"/>
        <v/>
      </c>
      <c r="AU155" s="51" t="str">
        <f t="shared" ca="1" si="67"/>
        <v/>
      </c>
    </row>
    <row r="156" spans="1:47" ht="22.2" customHeight="1">
      <c r="A156" s="184">
        <f t="shared" si="71"/>
        <v>37</v>
      </c>
      <c r="B156" s="183" t="str">
        <f t="shared" ca="1" si="68"/>
        <v/>
      </c>
      <c r="C156" s="183" t="str">
        <f>IF(OR(クライアント抽出!D16&lt;&gt;"",クライアント抽出!G16&lt;&gt;""),クライアント抽出!A16,"")</f>
        <v/>
      </c>
      <c r="D156" s="183" t="str">
        <f t="array" aca="1" ref="D156" ca="1">IF(C156&lt;&gt;"",INDIRECT("クライアント抽出!"&amp;E156&amp;MATCH(C156,クライアント抽出!A:A,0)&amp;""),"")</f>
        <v/>
      </c>
      <c r="E156" s="183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86" t="str">
        <f ca="1">IF(D156&lt;&gt;"",
IF(COUNTIF(C156,"*雙葉*"),
IF(ROUND((H156-M156)
/IF(COUNTIF(D156,"*キャラ*"),
VLOOKUP("*キャラ*",商品マスタ一覧!$D:$E,2,FALSE),
IF(COUNTIF(D156,"*赤*"),
VLOOKUP("*赤*",商品マスタ一覧!$D:$E,2,FALSE),
VLOOKUP("*"&amp;D156&amp;"*",商品マスタ一覧!$D:$E,2,FALSE))),0)&lt;=0,1,
ROUND((H156-M156)
/IF(COUNTIF(D156,"*キャラ*"),
VLOOKUP("*キャラ*",商品マスタ一覧!$D:$E,2,FALSE),
IF(COUNTIF(D156,"*赤*"),
VLOOKUP("*赤*",商品マスタ一覧!$D:$E,2,FALSE),
VLOOKUP("*"&amp;D156&amp;"*",商品マスタ一覧!$D:$E,2,FALSE))),0)),
IF(OR(COUNTIF(D156,"*キャラ*"),COUNTIF(D156,"*赤*")),"",
IF(VLOOKUP("*"&amp;D156&amp;"*",商品マスタ一覧!$D:$E,2,FALSE)=0,"",
IF(ROUND((H156-M156)
/VLOOKUP("*"&amp;D156&amp;"*",商品マスタ一覧!$D:$E,2,FALSE),0)&lt;=0,1,
ROUND((H156-M156)
/VLOOKUP("*"&amp;D156&amp;"*",商品マスタ一覧!$D:$E,2,FALSE),0))))),"")</f>
        <v/>
      </c>
      <c r="G156" s="183" t="str">
        <f ca="1">IF(F156&lt;&gt;"",
IF(VALUE(H156-M156)&gt;VALUE(IF(COUNTIF(D156,"*キャラ*"),
VLOOKUP("*キャラ*",商品マスタ一覧!$D:$E,2,FALSE),
IF(COUNTIF(D156,"*赤*"),
VLOOKUP("*赤*",商品マスタ一覧!$D:$E,2,FALSE),
VLOOKUP("*"&amp;D156&amp;"*",商品マスタ一覧!$D:$E,2,FALSE)))*F156),
"+"&amp;(H156-M156)-IF(COUNTIF(D156,"*キャラ*"),
VLOOKUP("*キャラ*",商品マスタ一覧!$D:$E,2,FALSE),
IF(COUNTIF(D156,"*赤*"),
VLOOKUP("*赤*",商品マスタ一覧!$D:$E,2,FALSE),
VLOOKUP("*"&amp;D156&amp;"*",商品マスタ一覧!$D:$E,2,FALSE)))*F156,
(H156-M156)-IF(COUNTIF(D156,"*キャラ*"),
VLOOKUP("*キャラ*",商品マスタ一覧!$D:$E,2,FALSE),
IF(COUNTIF(D156,"*赤*"),
VLOOKUP("*赤*",商品マスタ一覧!$D:$E,2,FALSE),
VLOOKUP("*"&amp;D156&amp;"*",商品マスタ一覧!$D:$E,2,FALSE)))*F156),"")</f>
        <v/>
      </c>
      <c r="H156" s="185" t="str">
        <f>IF(C156&lt;&gt;"",
クライアント抽出!D16,"")</f>
        <v/>
      </c>
      <c r="I156" s="183" t="str">
        <f>IF(C156&lt;&gt;"",
IF(O156=1,0,クライアント抽出!F16),"")</f>
        <v/>
      </c>
      <c r="J156" s="183" t="str">
        <f>IF(C156&lt;&gt;"",
VLOOKUP(
"*"&amp;LEFT(IF(COUNTIF(D156,"*学食*"),"キャラ弁（学食）",
IF(COUNTIF(D156,"*赤*"),"赤",
IF(COUNTIF(D156,"*キャラ弁当*"),"キャラ弁当",D156))),4)&amp;"*",注文弁当の抽出!$E$1:$F$15,2,FALSE),"")</f>
        <v/>
      </c>
      <c r="K156" s="183" t="str">
        <f ca="1">IF(クライアント抽出!R16&lt;&gt;"",SUBSTITUTE(ADDRESS(1,(CODE(クライアント抽出!R16)-64)*2-1,4),"1",""),"")</f>
        <v/>
      </c>
      <c r="L156" s="183" t="str">
        <f>IF(C16&lt;&gt;"",クライアント抽出!I16,"")</f>
        <v/>
      </c>
      <c r="M156" s="183">
        <f t="array" aca="1" ref="M156" ca="1">IF(C156&lt;&gt;"",
IF(K156&lt;&gt;"",INDIRECT("'数出表_Excel（アレルギー入力）'!"&amp;K156&amp;L156-1&amp;""),),)</f>
        <v>0</v>
      </c>
      <c r="N156" s="183" t="str">
        <f>IF(C156&lt;&gt;"",IF(OR(COUNTIF('盛付札（関数）'!D156,"*赤*"),COUNTIF('盛付札（関数）'!D156,"*キャラ*")),1,
VLOOKUP("*"&amp;D156&amp;"*",商品マスタ一覧!D:H,5,FALSE)),"")</f>
        <v/>
      </c>
      <c r="O156" s="183">
        <f t="shared" ca="1" si="70"/>
        <v>0</v>
      </c>
      <c r="P156" s="183">
        <f t="shared" si="49"/>
        <v>0</v>
      </c>
      <c r="Q156" s="183" t="b">
        <f t="shared" si="50"/>
        <v>0</v>
      </c>
      <c r="R156" s="51" t="str">
        <f t="array" aca="1" ref="R156" ca="1">IFERROR(SMALL(IF(P$1:P$307&lt;&gt;0,P$1:P$307),ROW(A156)),"")</f>
        <v/>
      </c>
      <c r="S156" s="51" t="str">
        <f t="array" aca="1" ref="S156" ca="1">IF($R156&lt;&gt;"",
SUBSTITUTE(SUBSTITUTE(INDIRECT("C"&amp;$R156&amp;"")," 週3ｺｰｽ","")," 週5ｺｰｽ",""),"")</f>
        <v/>
      </c>
      <c r="T156" s="51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91" t="str">
        <f t="array" aca="1" ref="U156" ca="1">IF($R156&lt;&gt;"",
INDIRECT("F"&amp;$R156&amp;""),"")</f>
        <v/>
      </c>
      <c r="V156" s="51" t="str">
        <f t="array" aca="1" ref="V156" ca="1">IF($R156&lt;&gt;"",
INDIRECT("G"&amp;$R156&amp;""),"")</f>
        <v/>
      </c>
      <c r="W156" s="51" t="str">
        <f t="array" aca="1" ref="W156" ca="1">IF($R156&lt;&gt;"",
IF(AND(COUNTIF(INDIRECT("B"&amp;R156&amp;""),"*雙葉*"),COUNTIF(B:B,"*雙葉*")&gt;=2),
IF(OR(COUNTIF(INDIRECT("B"&amp;R156&amp;""),"*雙葉先生*"),COUNTIF($B$1:$B$70,"*雙葉*")&gt;=2),INDIRECT("H"&amp;R156&amp;""),INDIRECT("H"&amp;R156&amp;"")+INDIRECT("H"&amp;MATCH("雙葉'",INDIRECT("B"&amp;R156+3&amp;":B210"),0)+2+R156&amp;"")),
IF(AND(LEFT(INDIRECT("B"&amp;R156&amp;""),2)="博多",COUNTIF(B:B,"*博多*")&gt;=2),
INDIRECT("H"&amp;R156&amp;"")+INDIRECT("H"&amp;MATCH("*"&amp;INDIRECT("B"&amp;R156&amp;"")&amp;"*",INDIRECT("B"&amp;R156+1&amp;":B210"),0)+R156&amp;""),
IF(AND(LEFT(INDIRECT("B"&amp;R156&amp;""),3)="奈良屋",COUNTIF(B:B,"*奈良屋*")&gt;=2),
INDIRECT("H"&amp;R156&amp;"")+INDIRECT("H"&amp;MATCH("*"&amp;INDIRECT("B"&amp;R156&amp;"")&amp;"*",INDIRECT("B"&amp;R156+1&amp;":B210"),0)+R156&amp;"")
+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INDIRECT("H"&amp;R156&amp;"")))),"")</f>
        <v/>
      </c>
      <c r="X156" s="51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51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51" t="str">
        <f t="shared" ca="1" si="51"/>
        <v/>
      </c>
      <c r="AA156" s="51" t="str">
        <f t="shared" ca="1" si="52"/>
        <v/>
      </c>
      <c r="AB156" s="51" t="str">
        <f t="array" aca="1" ref="AB156" ca="1">IF($R156&lt;&gt;"",
IF(AND(COUNTIF(INDIRECT("B"&amp;R156&amp;""),"*雙葉*"),COUNTIF(B:B,"*雙葉*")&gt;=2),
INDIRECT("M"&amp;R156&amp;"")+INDIRECT("M"&amp;MATCH("雙葉'",INDIRECT("B"&amp;R156+1&amp;":B210"),0)+R156&amp;""),
IF(AND(LEFT(INDIRECT("B"&amp;R156&amp;""),2)="博多",COUNTIF(B:B,"*博多*")&gt;=2),
INDIRECT("M"&amp;R156&amp;"")+INDIRECT("M"&amp;MATCH("*"&amp;INDIRECT("B"&amp;R156&amp;"")&amp;"*",INDIRECT("B"&amp;R156+1&amp;":B210"),0)+R156&amp;""),
IF(AND(LEFT(INDIRECT("B"&amp;R156&amp;""),3)="奈良屋",COUNTIF(B:B,"*奈良屋*")&gt;=2),
INDIRECT("M"&amp;R156&amp;"")+INDIRECT("M"&amp;MATCH("*"&amp;INDIRECT("B"&amp;R156&amp;"")&amp;"*",INDIRECT("B"&amp;R156+1&amp;":B210"),0)+R156&amp;"")
+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INDIRECT("M"&amp;R156&amp;"")))),"")</f>
        <v/>
      </c>
      <c r="AC156" s="51" t="str">
        <f t="shared" ca="1" si="53"/>
        <v/>
      </c>
      <c r="AD156" s="51" t="str">
        <f t="shared" ca="1" si="54"/>
        <v/>
      </c>
      <c r="AE156" s="51" t="str">
        <f t="shared" ca="1" si="55"/>
        <v/>
      </c>
      <c r="AF156" s="51" t="str">
        <f t="shared" ca="1" si="56"/>
        <v/>
      </c>
      <c r="AG156" s="51" t="str">
        <f t="shared" ca="1" si="57"/>
        <v/>
      </c>
      <c r="AH156" s="191" t="str">
        <f t="shared" ca="1" si="58"/>
        <v/>
      </c>
      <c r="AI156" s="51" t="str">
        <f t="shared" ca="1" si="59"/>
        <v/>
      </c>
      <c r="AJ156" s="51" t="str">
        <f t="shared" ca="1" si="60"/>
        <v/>
      </c>
      <c r="AK156" s="51" t="str">
        <f t="shared" ca="1" si="61"/>
        <v/>
      </c>
      <c r="AL156" s="51" t="str">
        <f t="shared" ca="1" si="62"/>
        <v/>
      </c>
      <c r="AM156" s="51" t="str">
        <f t="shared" ca="1" si="63"/>
        <v/>
      </c>
      <c r="AN156" s="51" t="str">
        <f t="shared" ca="1" si="64"/>
        <v/>
      </c>
      <c r="AO156" s="51" t="str">
        <f t="shared" ca="1" si="65"/>
        <v/>
      </c>
      <c r="AP156" s="51" t="str">
        <f t="shared" ca="1" si="66"/>
        <v/>
      </c>
      <c r="AU156" s="51" t="str">
        <f t="shared" ca="1" si="67"/>
        <v/>
      </c>
    </row>
    <row r="157" spans="1:47" ht="22.2" customHeight="1">
      <c r="A157" s="184">
        <f t="shared" si="71"/>
        <v>39</v>
      </c>
      <c r="B157" s="183" t="str">
        <f t="shared" ca="1" si="68"/>
        <v/>
      </c>
      <c r="C157" s="183" t="str">
        <f>IF(OR(クライアント抽出!D17&lt;&gt;"",クライアント抽出!G17&lt;&gt;""),クライアント抽出!A17,"")</f>
        <v/>
      </c>
      <c r="D157" s="183" t="str">
        <f t="array" aca="1" ref="D157" ca="1">IF(C157&lt;&gt;"",INDIRECT("クライアント抽出!"&amp;E157&amp;MATCH(C157,クライアント抽出!A:A,0)&amp;""),"")</f>
        <v/>
      </c>
      <c r="E157" s="183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86" t="str">
        <f ca="1">IF(D157&lt;&gt;"",
IF(COUNTIF(C157,"*雙葉*"),
IF(ROUND((H157-M157)
/IF(COUNTIF(D157,"*キャラ*"),
VLOOKUP("*キャラ*",商品マスタ一覧!$D:$E,2,FALSE),
IF(COUNTIF(D157,"*赤*"),
VLOOKUP("*赤*",商品マスタ一覧!$D:$E,2,FALSE),
VLOOKUP("*"&amp;D157&amp;"*",商品マスタ一覧!$D:$E,2,FALSE))),0)&lt;=0,1,
ROUND((H157-M157)
/IF(COUNTIF(D157,"*キャラ*"),
VLOOKUP("*キャラ*",商品マスタ一覧!$D:$E,2,FALSE),
IF(COUNTIF(D157,"*赤*"),
VLOOKUP("*赤*",商品マスタ一覧!$D:$E,2,FALSE),
VLOOKUP("*"&amp;D157&amp;"*",商品マスタ一覧!$D:$E,2,FALSE))),0)),
IF(OR(COUNTIF(D157,"*キャラ*"),COUNTIF(D157,"*赤*")),"",
IF(VLOOKUP("*"&amp;D157&amp;"*",商品マスタ一覧!$D:$E,2,FALSE)=0,"",
IF(ROUND((H157-M157)
/VLOOKUP("*"&amp;D157&amp;"*",商品マスタ一覧!$D:$E,2,FALSE),0)&lt;=0,1,
ROUND((H157-M157)
/VLOOKUP("*"&amp;D157&amp;"*",商品マスタ一覧!$D:$E,2,FALSE),0))))),"")</f>
        <v/>
      </c>
      <c r="G157" s="183" t="str">
        <f ca="1">IF(F157&lt;&gt;"",
IF(VALUE(H157-M157)&gt;VALUE(IF(COUNTIF(D157,"*キャラ*"),
VLOOKUP("*キャラ*",商品マスタ一覧!$D:$E,2,FALSE),
IF(COUNTIF(D157,"*赤*"),
VLOOKUP("*赤*",商品マスタ一覧!$D:$E,2,FALSE),
VLOOKUP("*"&amp;D157&amp;"*",商品マスタ一覧!$D:$E,2,FALSE)))*F157),
"+"&amp;(H157-M157)-IF(COUNTIF(D157,"*キャラ*"),
VLOOKUP("*キャラ*",商品マスタ一覧!$D:$E,2,FALSE),
IF(COUNTIF(D157,"*赤*"),
VLOOKUP("*赤*",商品マスタ一覧!$D:$E,2,FALSE),
VLOOKUP("*"&amp;D157&amp;"*",商品マスタ一覧!$D:$E,2,FALSE)))*F157,
(H157-M157)-IF(COUNTIF(D157,"*キャラ*"),
VLOOKUP("*キャラ*",商品マスタ一覧!$D:$E,2,FALSE),
IF(COUNTIF(D157,"*赤*"),
VLOOKUP("*赤*",商品マスタ一覧!$D:$E,2,FALSE),
VLOOKUP("*"&amp;D157&amp;"*",商品マスタ一覧!$D:$E,2,FALSE)))*F157),"")</f>
        <v/>
      </c>
      <c r="H157" s="185" t="str">
        <f>IF(C157&lt;&gt;"",
クライアント抽出!D17,"")</f>
        <v/>
      </c>
      <c r="I157" s="183" t="str">
        <f>IF(C157&lt;&gt;"",
IF(O157=1,0,クライアント抽出!F17),"")</f>
        <v/>
      </c>
      <c r="J157" s="183" t="str">
        <f>IF(C157&lt;&gt;"",
VLOOKUP(
"*"&amp;LEFT(IF(COUNTIF(D157,"*学食*"),"キャラ弁（学食）",
IF(COUNTIF(D157,"*赤*"),"赤",
IF(COUNTIF(D157,"*キャラ弁当*"),"キャラ弁当",D157))),4)&amp;"*",注文弁当の抽出!$E$1:$F$15,2,FALSE),"")</f>
        <v/>
      </c>
      <c r="K157" s="183" t="str">
        <f ca="1">IF(クライアント抽出!R17&lt;&gt;"",SUBSTITUTE(ADDRESS(1,(CODE(クライアント抽出!R17)-64)*2-1,4),"1",""),"")</f>
        <v/>
      </c>
      <c r="L157" s="183" t="str">
        <f>IF(C17&lt;&gt;"",クライアント抽出!I17,"")</f>
        <v/>
      </c>
      <c r="M157" s="183">
        <f t="array" aca="1" ref="M157" ca="1">IF(C157&lt;&gt;"",
IF(K157&lt;&gt;"",INDIRECT("'数出表_Excel（アレルギー入力）'!"&amp;K157&amp;L157-1&amp;""),),)</f>
        <v>0</v>
      </c>
      <c r="N157" s="183" t="str">
        <f>IF(C157&lt;&gt;"",IF(OR(COUNTIF('盛付札（関数）'!D157,"*赤*"),COUNTIF('盛付札（関数）'!D157,"*キャラ*")),1,
VLOOKUP("*"&amp;D157&amp;"*",商品マスタ一覧!D:H,5,FALSE)),"")</f>
        <v/>
      </c>
      <c r="O157" s="183">
        <f t="shared" ca="1" si="70"/>
        <v>0</v>
      </c>
      <c r="P157" s="183">
        <f t="shared" si="49"/>
        <v>0</v>
      </c>
      <c r="Q157" s="183" t="b">
        <f t="shared" si="50"/>
        <v>0</v>
      </c>
      <c r="R157" s="51" t="str">
        <f t="array" aca="1" ref="R157" ca="1">IFERROR(SMALL(IF(P$1:P$307&lt;&gt;0,P$1:P$307),ROW(A157)),"")</f>
        <v/>
      </c>
      <c r="S157" s="51" t="str">
        <f t="array" aca="1" ref="S157" ca="1">IF($R157&lt;&gt;"",
SUBSTITUTE(SUBSTITUTE(INDIRECT("C"&amp;$R157&amp;"")," 週3ｺｰｽ","")," 週5ｺｰｽ",""),"")</f>
        <v/>
      </c>
      <c r="T157" s="51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91" t="str">
        <f t="array" aca="1" ref="U157" ca="1">IF($R157&lt;&gt;"",
INDIRECT("F"&amp;$R157&amp;""),"")</f>
        <v/>
      </c>
      <c r="V157" s="51" t="str">
        <f t="array" aca="1" ref="V157" ca="1">IF($R157&lt;&gt;"",
INDIRECT("G"&amp;$R157&amp;""),"")</f>
        <v/>
      </c>
      <c r="W157" s="51" t="str">
        <f t="array" aca="1" ref="W157" ca="1">IF($R157&lt;&gt;"",
IF(AND(COUNTIF(INDIRECT("B"&amp;R157&amp;""),"*雙葉*"),COUNTIF(B:B,"*雙葉*")&gt;=2),
IF(OR(COUNTIF(INDIRECT("B"&amp;R157&amp;""),"*雙葉先生*"),COUNTIF($B$1:$B$70,"*雙葉*")&gt;=2),INDIRECT("H"&amp;R157&amp;""),INDIRECT("H"&amp;R157&amp;"")+INDIRECT("H"&amp;MATCH("雙葉'",INDIRECT("B"&amp;R157+3&amp;":B210"),0)+2+R157&amp;"")),
IF(AND(LEFT(INDIRECT("B"&amp;R157&amp;""),2)="博多",COUNTIF(B:B,"*博多*")&gt;=2),
INDIRECT("H"&amp;R157&amp;"")+INDIRECT("H"&amp;MATCH("*"&amp;INDIRECT("B"&amp;R157&amp;"")&amp;"*",INDIRECT("B"&amp;R157+1&amp;":B210"),0)+R157&amp;""),
IF(AND(LEFT(INDIRECT("B"&amp;R157&amp;""),3)="奈良屋",COUNTIF(B:B,"*奈良屋*")&gt;=2),
INDIRECT("H"&amp;R157&amp;"")+INDIRECT("H"&amp;MATCH("*"&amp;INDIRECT("B"&amp;R157&amp;"")&amp;"*",INDIRECT("B"&amp;R157+1&amp;":B210"),0)+R157&amp;"")
+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INDIRECT("H"&amp;R157&amp;"")))),"")</f>
        <v/>
      </c>
      <c r="X157" s="51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51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51" t="str">
        <f t="shared" ca="1" si="51"/>
        <v/>
      </c>
      <c r="AA157" s="51" t="str">
        <f t="shared" ca="1" si="52"/>
        <v/>
      </c>
      <c r="AB157" s="51" t="str">
        <f t="array" aca="1" ref="AB157" ca="1">IF($R157&lt;&gt;"",
IF(AND(COUNTIF(INDIRECT("B"&amp;R157&amp;""),"*雙葉*"),COUNTIF(B:B,"*雙葉*")&gt;=2),
INDIRECT("M"&amp;R157&amp;"")+INDIRECT("M"&amp;MATCH("雙葉'",INDIRECT("B"&amp;R157+1&amp;":B210"),0)+R157&amp;""),
IF(AND(LEFT(INDIRECT("B"&amp;R157&amp;""),2)="博多",COUNTIF(B:B,"*博多*")&gt;=2),
INDIRECT("M"&amp;R157&amp;"")+INDIRECT("M"&amp;MATCH("*"&amp;INDIRECT("B"&amp;R157&amp;"")&amp;"*",INDIRECT("B"&amp;R157+1&amp;":B210"),0)+R157&amp;""),
IF(AND(LEFT(INDIRECT("B"&amp;R157&amp;""),3)="奈良屋",COUNTIF(B:B,"*奈良屋*")&gt;=2),
INDIRECT("M"&amp;R157&amp;"")+INDIRECT("M"&amp;MATCH("*"&amp;INDIRECT("B"&amp;R157&amp;"")&amp;"*",INDIRECT("B"&amp;R157+1&amp;":B210"),0)+R157&amp;"")
+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INDIRECT("M"&amp;R157&amp;"")))),"")</f>
        <v/>
      </c>
      <c r="AC157" s="51" t="str">
        <f t="shared" ca="1" si="53"/>
        <v/>
      </c>
      <c r="AD157" s="51" t="str">
        <f t="shared" ca="1" si="54"/>
        <v/>
      </c>
      <c r="AE157" s="51" t="str">
        <f t="shared" ca="1" si="55"/>
        <v/>
      </c>
      <c r="AF157" s="51" t="str">
        <f t="shared" ca="1" si="56"/>
        <v/>
      </c>
      <c r="AG157" s="51" t="str">
        <f t="shared" ca="1" si="57"/>
        <v/>
      </c>
      <c r="AH157" s="191" t="str">
        <f t="shared" ca="1" si="58"/>
        <v/>
      </c>
      <c r="AI157" s="51" t="str">
        <f t="shared" ca="1" si="59"/>
        <v/>
      </c>
      <c r="AJ157" s="51" t="str">
        <f t="shared" ca="1" si="60"/>
        <v/>
      </c>
      <c r="AK157" s="51" t="str">
        <f t="shared" ca="1" si="61"/>
        <v/>
      </c>
      <c r="AL157" s="51" t="str">
        <f t="shared" ca="1" si="62"/>
        <v/>
      </c>
      <c r="AM157" s="51" t="str">
        <f t="shared" ca="1" si="63"/>
        <v/>
      </c>
      <c r="AN157" s="51" t="str">
        <f t="shared" ca="1" si="64"/>
        <v/>
      </c>
      <c r="AO157" s="51" t="str">
        <f t="shared" ca="1" si="65"/>
        <v/>
      </c>
      <c r="AP157" s="51" t="str">
        <f t="shared" ca="1" si="66"/>
        <v/>
      </c>
      <c r="AU157" s="51" t="str">
        <f t="shared" ca="1" si="67"/>
        <v/>
      </c>
    </row>
    <row r="158" spans="1:47" ht="22.2" customHeight="1">
      <c r="A158" s="184">
        <f t="shared" si="71"/>
        <v>41</v>
      </c>
      <c r="B158" s="183" t="str">
        <f t="shared" ca="1" si="68"/>
        <v/>
      </c>
      <c r="C158" s="183" t="str">
        <f>IF(OR(クライアント抽出!D18&lt;&gt;"",クライアント抽出!G18&lt;&gt;""),クライアント抽出!A18,"")</f>
        <v/>
      </c>
      <c r="D158" s="183" t="str">
        <f t="array" aca="1" ref="D158" ca="1">IF(C158&lt;&gt;"",INDIRECT("クライアント抽出!"&amp;E158&amp;MATCH(C158,クライアント抽出!A:A,0)&amp;""),"")</f>
        <v/>
      </c>
      <c r="E158" s="183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86" t="str">
        <f ca="1">IF(D158&lt;&gt;"",
IF(COUNTIF(C158,"*雙葉*"),
IF(ROUND((H158-M158)
/IF(COUNTIF(D158,"*キャラ*"),
VLOOKUP("*キャラ*",商品マスタ一覧!$D:$E,2,FALSE),
IF(COUNTIF(D158,"*赤*"),
VLOOKUP("*赤*",商品マスタ一覧!$D:$E,2,FALSE),
VLOOKUP("*"&amp;D158&amp;"*",商品マスタ一覧!$D:$E,2,FALSE))),0)&lt;=0,1,
ROUND((H158-M158)
/IF(COUNTIF(D158,"*キャラ*"),
VLOOKUP("*キャラ*",商品マスタ一覧!$D:$E,2,FALSE),
IF(COUNTIF(D158,"*赤*"),
VLOOKUP("*赤*",商品マスタ一覧!$D:$E,2,FALSE),
VLOOKUP("*"&amp;D158&amp;"*",商品マスタ一覧!$D:$E,2,FALSE))),0)),
IF(OR(COUNTIF(D158,"*キャラ*"),COUNTIF(D158,"*赤*")),"",
IF(VLOOKUP("*"&amp;D158&amp;"*",商品マスタ一覧!$D:$E,2,FALSE)=0,"",
IF(ROUND((H158-M158)
/VLOOKUP("*"&amp;D158&amp;"*",商品マスタ一覧!$D:$E,2,FALSE),0)&lt;=0,1,
ROUND((H158-M158)
/VLOOKUP("*"&amp;D158&amp;"*",商品マスタ一覧!$D:$E,2,FALSE),0))))),"")</f>
        <v/>
      </c>
      <c r="G158" s="183" t="str">
        <f ca="1">IF(F158&lt;&gt;"",
IF(VALUE(H158-M158)&gt;VALUE(IF(COUNTIF(D158,"*キャラ*"),
VLOOKUP("*キャラ*",商品マスタ一覧!$D:$E,2,FALSE),
IF(COUNTIF(D158,"*赤*"),
VLOOKUP("*赤*",商品マスタ一覧!$D:$E,2,FALSE),
VLOOKUP("*"&amp;D158&amp;"*",商品マスタ一覧!$D:$E,2,FALSE)))*F158),
"+"&amp;(H158-M158)-IF(COUNTIF(D158,"*キャラ*"),
VLOOKUP("*キャラ*",商品マスタ一覧!$D:$E,2,FALSE),
IF(COUNTIF(D158,"*赤*"),
VLOOKUP("*赤*",商品マスタ一覧!$D:$E,2,FALSE),
VLOOKUP("*"&amp;D158&amp;"*",商品マスタ一覧!$D:$E,2,FALSE)))*F158,
(H158-M158)-IF(COUNTIF(D158,"*キャラ*"),
VLOOKUP("*キャラ*",商品マスタ一覧!$D:$E,2,FALSE),
IF(COUNTIF(D158,"*赤*"),
VLOOKUP("*赤*",商品マスタ一覧!$D:$E,2,FALSE),
VLOOKUP("*"&amp;D158&amp;"*",商品マスタ一覧!$D:$E,2,FALSE)))*F158),"")</f>
        <v/>
      </c>
      <c r="H158" s="185" t="str">
        <f>IF(C158&lt;&gt;"",
クライアント抽出!D18,"")</f>
        <v/>
      </c>
      <c r="I158" s="183" t="str">
        <f>IF(C158&lt;&gt;"",
IF(O158=1,0,クライアント抽出!F18),"")</f>
        <v/>
      </c>
      <c r="J158" s="183" t="str">
        <f>IF(C158&lt;&gt;"",
VLOOKUP(
"*"&amp;LEFT(IF(COUNTIF(D158,"*学食*"),"キャラ弁（学食）",
IF(COUNTIF(D158,"*赤*"),"赤",
IF(COUNTIF(D158,"*キャラ弁当*"),"キャラ弁当",D158))),4)&amp;"*",注文弁当の抽出!$E$1:$F$15,2,FALSE),"")</f>
        <v/>
      </c>
      <c r="K158" s="183" t="str">
        <f ca="1">IF(クライアント抽出!R18&lt;&gt;"",SUBSTITUTE(ADDRESS(1,(CODE(クライアント抽出!R18)-64)*2-1,4),"1",""),"")</f>
        <v/>
      </c>
      <c r="L158" s="183" t="str">
        <f>IF(C18&lt;&gt;"",クライアント抽出!I18,"")</f>
        <v/>
      </c>
      <c r="M158" s="183">
        <f t="array" aca="1" ref="M158" ca="1">IF(C158&lt;&gt;"",
IF(K158&lt;&gt;"",INDIRECT("'数出表_Excel（アレルギー入力）'!"&amp;K158&amp;L158-1&amp;""),),)</f>
        <v>0</v>
      </c>
      <c r="N158" s="183" t="str">
        <f>IF(C158&lt;&gt;"",IF(OR(COUNTIF('盛付札（関数）'!D158,"*赤*"),COUNTIF('盛付札（関数）'!D158,"*キャラ*")),1,
VLOOKUP("*"&amp;D158&amp;"*",商品マスタ一覧!D:H,5,FALSE)),"")</f>
        <v/>
      </c>
      <c r="O158" s="183">
        <f t="shared" ca="1" si="70"/>
        <v>0</v>
      </c>
      <c r="P158" s="183">
        <f t="shared" si="49"/>
        <v>0</v>
      </c>
      <c r="Q158" s="183" t="b">
        <f t="shared" si="50"/>
        <v>0</v>
      </c>
      <c r="R158" s="51" t="str">
        <f t="array" aca="1" ref="R158" ca="1">IFERROR(SMALL(IF(P$1:P$307&lt;&gt;0,P$1:P$307),ROW(A158)),"")</f>
        <v/>
      </c>
      <c r="S158" s="51" t="str">
        <f t="array" aca="1" ref="S158" ca="1">IF($R158&lt;&gt;"",
SUBSTITUTE(SUBSTITUTE(INDIRECT("C"&amp;$R158&amp;"")," 週3ｺｰｽ","")," 週5ｺｰｽ",""),"")</f>
        <v/>
      </c>
      <c r="T158" s="51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91" t="str">
        <f t="array" aca="1" ref="U158" ca="1">IF($R158&lt;&gt;"",
INDIRECT("F"&amp;$R158&amp;""),"")</f>
        <v/>
      </c>
      <c r="V158" s="51" t="str">
        <f t="array" aca="1" ref="V158" ca="1">IF($R158&lt;&gt;"",
INDIRECT("G"&amp;$R158&amp;""),"")</f>
        <v/>
      </c>
      <c r="W158" s="51" t="str">
        <f t="array" aca="1" ref="W158" ca="1">IF($R158&lt;&gt;"",
IF(AND(COUNTIF(INDIRECT("B"&amp;R158&amp;""),"*雙葉*"),COUNTIF(B:B,"*雙葉*")&gt;=2),
IF(OR(COUNTIF(INDIRECT("B"&amp;R158&amp;""),"*雙葉先生*"),COUNTIF($B$1:$B$70,"*雙葉*")&gt;=2),INDIRECT("H"&amp;R158&amp;""),INDIRECT("H"&amp;R158&amp;"")+INDIRECT("H"&amp;MATCH("雙葉'",INDIRECT("B"&amp;R158+3&amp;":B210"),0)+2+R158&amp;"")),
IF(AND(LEFT(INDIRECT("B"&amp;R158&amp;""),2)="博多",COUNTIF(B:B,"*博多*")&gt;=2),
INDIRECT("H"&amp;R158&amp;"")+INDIRECT("H"&amp;MATCH("*"&amp;INDIRECT("B"&amp;R158&amp;"")&amp;"*",INDIRECT("B"&amp;R158+1&amp;":B210"),0)+R158&amp;""),
IF(AND(LEFT(INDIRECT("B"&amp;R158&amp;""),3)="奈良屋",COUNTIF(B:B,"*奈良屋*")&gt;=2),
INDIRECT("H"&amp;R158&amp;"")+INDIRECT("H"&amp;MATCH("*"&amp;INDIRECT("B"&amp;R158&amp;"")&amp;"*",INDIRECT("B"&amp;R158+1&amp;":B210"),0)+R158&amp;"")
+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INDIRECT("H"&amp;R158&amp;"")))),"")</f>
        <v/>
      </c>
      <c r="X158" s="51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51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51" t="str">
        <f t="shared" ca="1" si="51"/>
        <v/>
      </c>
      <c r="AA158" s="51" t="str">
        <f t="shared" ca="1" si="52"/>
        <v/>
      </c>
      <c r="AB158" s="51" t="str">
        <f t="array" aca="1" ref="AB158" ca="1">IF($R158&lt;&gt;"",
IF(AND(COUNTIF(INDIRECT("B"&amp;R158&amp;""),"*雙葉*"),COUNTIF(B:B,"*雙葉*")&gt;=2),
INDIRECT("M"&amp;R158&amp;"")+INDIRECT("M"&amp;MATCH("雙葉'",INDIRECT("B"&amp;R158+1&amp;":B210"),0)+R158&amp;""),
IF(AND(LEFT(INDIRECT("B"&amp;R158&amp;""),2)="博多",COUNTIF(B:B,"*博多*")&gt;=2),
INDIRECT("M"&amp;R158&amp;"")+INDIRECT("M"&amp;MATCH("*"&amp;INDIRECT("B"&amp;R158&amp;"")&amp;"*",INDIRECT("B"&amp;R158+1&amp;":B210"),0)+R158&amp;""),
IF(AND(LEFT(INDIRECT("B"&amp;R158&amp;""),3)="奈良屋",COUNTIF(B:B,"*奈良屋*")&gt;=2),
INDIRECT("M"&amp;R158&amp;"")+INDIRECT("M"&amp;MATCH("*"&amp;INDIRECT("B"&amp;R158&amp;"")&amp;"*",INDIRECT("B"&amp;R158+1&amp;":B210"),0)+R158&amp;"")
+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INDIRECT("M"&amp;R158&amp;"")))),"")</f>
        <v/>
      </c>
      <c r="AC158" s="51" t="str">
        <f t="shared" ca="1" si="53"/>
        <v/>
      </c>
      <c r="AD158" s="51" t="str">
        <f t="shared" ca="1" si="54"/>
        <v/>
      </c>
      <c r="AE158" s="51" t="str">
        <f t="shared" ca="1" si="55"/>
        <v/>
      </c>
      <c r="AF158" s="51" t="str">
        <f t="shared" ca="1" si="56"/>
        <v/>
      </c>
      <c r="AG158" s="51" t="str">
        <f t="shared" ca="1" si="57"/>
        <v/>
      </c>
      <c r="AH158" s="191" t="str">
        <f t="shared" ca="1" si="58"/>
        <v/>
      </c>
      <c r="AI158" s="51" t="str">
        <f t="shared" ca="1" si="59"/>
        <v/>
      </c>
      <c r="AJ158" s="51" t="str">
        <f t="shared" ca="1" si="60"/>
        <v/>
      </c>
      <c r="AK158" s="51" t="str">
        <f t="shared" ca="1" si="61"/>
        <v/>
      </c>
      <c r="AL158" s="51" t="str">
        <f t="shared" ca="1" si="62"/>
        <v/>
      </c>
      <c r="AM158" s="51" t="str">
        <f t="shared" ca="1" si="63"/>
        <v/>
      </c>
      <c r="AN158" s="51" t="str">
        <f t="shared" ca="1" si="64"/>
        <v/>
      </c>
      <c r="AO158" s="51" t="str">
        <f t="shared" ca="1" si="65"/>
        <v/>
      </c>
      <c r="AP158" s="51" t="str">
        <f t="shared" ca="1" si="66"/>
        <v/>
      </c>
      <c r="AU158" s="51" t="str">
        <f t="shared" ca="1" si="67"/>
        <v/>
      </c>
    </row>
    <row r="159" spans="1:47" ht="22.2" customHeight="1">
      <c r="A159" s="184">
        <f t="shared" si="71"/>
        <v>43</v>
      </c>
      <c r="B159" s="183" t="str">
        <f t="shared" ca="1" si="68"/>
        <v/>
      </c>
      <c r="C159" s="183" t="str">
        <f>IF(OR(クライアント抽出!D19&lt;&gt;"",クライアント抽出!G19&lt;&gt;""),クライアント抽出!A19,"")</f>
        <v/>
      </c>
      <c r="D159" s="183" t="str">
        <f t="array" aca="1" ref="D159" ca="1">IF(C159&lt;&gt;"",INDIRECT("クライアント抽出!"&amp;E159&amp;MATCH(C159,クライアント抽出!A:A,0)&amp;""),"")</f>
        <v/>
      </c>
      <c r="E159" s="183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86" t="str">
        <f ca="1">IF(D159&lt;&gt;"",
IF(COUNTIF(C159,"*雙葉*"),
IF(ROUND((H159-M159)
/IF(COUNTIF(D159,"*キャラ*"),
VLOOKUP("*キャラ*",商品マスタ一覧!$D:$E,2,FALSE),
IF(COUNTIF(D159,"*赤*"),
VLOOKUP("*赤*",商品マスタ一覧!$D:$E,2,FALSE),
VLOOKUP("*"&amp;D159&amp;"*",商品マスタ一覧!$D:$E,2,FALSE))),0)&lt;=0,1,
ROUND((H159-M159)
/IF(COUNTIF(D159,"*キャラ*"),
VLOOKUP("*キャラ*",商品マスタ一覧!$D:$E,2,FALSE),
IF(COUNTIF(D159,"*赤*"),
VLOOKUP("*赤*",商品マスタ一覧!$D:$E,2,FALSE),
VLOOKUP("*"&amp;D159&amp;"*",商品マスタ一覧!$D:$E,2,FALSE))),0)),
IF(OR(COUNTIF(D159,"*キャラ*"),COUNTIF(D159,"*赤*")),"",
IF(VLOOKUP("*"&amp;D159&amp;"*",商品マスタ一覧!$D:$E,2,FALSE)=0,"",
IF(ROUND((H159-M159)
/VLOOKUP("*"&amp;D159&amp;"*",商品マスタ一覧!$D:$E,2,FALSE),0)&lt;=0,1,
ROUND((H159-M159)
/VLOOKUP("*"&amp;D159&amp;"*",商品マスタ一覧!$D:$E,2,FALSE),0))))),"")</f>
        <v/>
      </c>
      <c r="G159" s="183" t="str">
        <f ca="1">IF(F159&lt;&gt;"",
IF(VALUE(H159-M159)&gt;VALUE(IF(COUNTIF(D159,"*キャラ*"),
VLOOKUP("*キャラ*",商品マスタ一覧!$D:$E,2,FALSE),
IF(COUNTIF(D159,"*赤*"),
VLOOKUP("*赤*",商品マスタ一覧!$D:$E,2,FALSE),
VLOOKUP("*"&amp;D159&amp;"*",商品マスタ一覧!$D:$E,2,FALSE)))*F159),
"+"&amp;(H159-M159)-IF(COUNTIF(D159,"*キャラ*"),
VLOOKUP("*キャラ*",商品マスタ一覧!$D:$E,2,FALSE),
IF(COUNTIF(D159,"*赤*"),
VLOOKUP("*赤*",商品マスタ一覧!$D:$E,2,FALSE),
VLOOKUP("*"&amp;D159&amp;"*",商品マスタ一覧!$D:$E,2,FALSE)))*F159,
(H159-M159)-IF(COUNTIF(D159,"*キャラ*"),
VLOOKUP("*キャラ*",商品マスタ一覧!$D:$E,2,FALSE),
IF(COUNTIF(D159,"*赤*"),
VLOOKUP("*赤*",商品マスタ一覧!$D:$E,2,FALSE),
VLOOKUP("*"&amp;D159&amp;"*",商品マスタ一覧!$D:$E,2,FALSE)))*F159),"")</f>
        <v/>
      </c>
      <c r="H159" s="185" t="str">
        <f>IF(C159&lt;&gt;"",
クライアント抽出!D19,"")</f>
        <v/>
      </c>
      <c r="I159" s="183" t="str">
        <f>IF(C159&lt;&gt;"",
IF(O159=1,0,クライアント抽出!F19),"")</f>
        <v/>
      </c>
      <c r="J159" s="183" t="str">
        <f>IF(C159&lt;&gt;"",
VLOOKUP(
"*"&amp;LEFT(IF(COUNTIF(D159,"*学食*"),"キャラ弁（学食）",
IF(COUNTIF(D159,"*赤*"),"赤",
IF(COUNTIF(D159,"*キャラ弁当*"),"キャラ弁当",D159))),4)&amp;"*",注文弁当の抽出!$E$1:$F$15,2,FALSE),"")</f>
        <v/>
      </c>
      <c r="K159" s="183" t="str">
        <f ca="1">IF(クライアント抽出!R19&lt;&gt;"",SUBSTITUTE(ADDRESS(1,(CODE(クライアント抽出!R19)-64)*2-1,4),"1",""),"")</f>
        <v/>
      </c>
      <c r="L159" s="183" t="str">
        <f>IF(C19&lt;&gt;"",クライアント抽出!I19,"")</f>
        <v/>
      </c>
      <c r="M159" s="183">
        <f t="array" aca="1" ref="M159" ca="1">IF(C159&lt;&gt;"",
IF(K159&lt;&gt;"",INDIRECT("'数出表_Excel（アレルギー入力）'!"&amp;K159&amp;L159-1&amp;""),),)</f>
        <v>0</v>
      </c>
      <c r="N159" s="183" t="str">
        <f>IF(C159&lt;&gt;"",IF(OR(COUNTIF('盛付札（関数）'!D159,"*赤*"),COUNTIF('盛付札（関数）'!D159,"*キャラ*")),1,
VLOOKUP("*"&amp;D159&amp;"*",商品マスタ一覧!D:H,5,FALSE)),"")</f>
        <v/>
      </c>
      <c r="O159" s="183">
        <f t="shared" ca="1" si="70"/>
        <v>0</v>
      </c>
      <c r="P159" s="183">
        <f t="shared" si="49"/>
        <v>0</v>
      </c>
      <c r="Q159" s="183" t="b">
        <f t="shared" si="50"/>
        <v>0</v>
      </c>
      <c r="R159" s="51" t="str">
        <f t="array" aca="1" ref="R159" ca="1">IFERROR(SMALL(IF(P$1:P$307&lt;&gt;0,P$1:P$307),ROW(A159)),"")</f>
        <v/>
      </c>
      <c r="S159" s="51" t="str">
        <f t="array" aca="1" ref="S159" ca="1">IF($R159&lt;&gt;"",
SUBSTITUTE(SUBSTITUTE(INDIRECT("C"&amp;$R159&amp;"")," 週3ｺｰｽ","")," 週5ｺｰｽ",""),"")</f>
        <v/>
      </c>
      <c r="T159" s="51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91" t="str">
        <f t="array" aca="1" ref="U159" ca="1">IF($R159&lt;&gt;"",
INDIRECT("F"&amp;$R159&amp;""),"")</f>
        <v/>
      </c>
      <c r="V159" s="51" t="str">
        <f t="array" aca="1" ref="V159" ca="1">IF($R159&lt;&gt;"",
INDIRECT("G"&amp;$R159&amp;""),"")</f>
        <v/>
      </c>
      <c r="W159" s="51" t="str">
        <f t="array" aca="1" ref="W159" ca="1">IF($R159&lt;&gt;"",
IF(AND(COUNTIF(INDIRECT("B"&amp;R159&amp;""),"*雙葉*"),COUNTIF(B:B,"*雙葉*")&gt;=2),
IF(OR(COUNTIF(INDIRECT("B"&amp;R159&amp;""),"*雙葉先生*"),COUNTIF($B$1:$B$70,"*雙葉*")&gt;=2),INDIRECT("H"&amp;R159&amp;""),INDIRECT("H"&amp;R159&amp;"")+INDIRECT("H"&amp;MATCH("雙葉'",INDIRECT("B"&amp;R159+3&amp;":B210"),0)+2+R159&amp;"")),
IF(AND(LEFT(INDIRECT("B"&amp;R159&amp;""),2)="博多",COUNTIF(B:B,"*博多*")&gt;=2),
INDIRECT("H"&amp;R159&amp;"")+INDIRECT("H"&amp;MATCH("*"&amp;INDIRECT("B"&amp;R159&amp;"")&amp;"*",INDIRECT("B"&amp;R159+1&amp;":B210"),0)+R159&amp;""),
IF(AND(LEFT(INDIRECT("B"&amp;R159&amp;""),3)="奈良屋",COUNTIF(B:B,"*奈良屋*")&gt;=2),
INDIRECT("H"&amp;R159&amp;"")+INDIRECT("H"&amp;MATCH("*"&amp;INDIRECT("B"&amp;R159&amp;"")&amp;"*",INDIRECT("B"&amp;R159+1&amp;":B210"),0)+R159&amp;"")
+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INDIRECT("H"&amp;R159&amp;"")))),"")</f>
        <v/>
      </c>
      <c r="X159" s="51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51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51" t="str">
        <f t="shared" ca="1" si="51"/>
        <v/>
      </c>
      <c r="AA159" s="51" t="str">
        <f t="shared" ca="1" si="52"/>
        <v/>
      </c>
      <c r="AB159" s="51" t="str">
        <f t="array" aca="1" ref="AB159" ca="1">IF($R159&lt;&gt;"",
IF(AND(COUNTIF(INDIRECT("B"&amp;R159&amp;""),"*雙葉*"),COUNTIF(B:B,"*雙葉*")&gt;=2),
INDIRECT("M"&amp;R159&amp;"")+INDIRECT("M"&amp;MATCH("雙葉'",INDIRECT("B"&amp;R159+1&amp;":B210"),0)+R159&amp;""),
IF(AND(LEFT(INDIRECT("B"&amp;R159&amp;""),2)="博多",COUNTIF(B:B,"*博多*")&gt;=2),
INDIRECT("M"&amp;R159&amp;"")+INDIRECT("M"&amp;MATCH("*"&amp;INDIRECT("B"&amp;R159&amp;"")&amp;"*",INDIRECT("B"&amp;R159+1&amp;":B210"),0)+R159&amp;""),
IF(AND(LEFT(INDIRECT("B"&amp;R159&amp;""),3)="奈良屋",COUNTIF(B:B,"*奈良屋*")&gt;=2),
INDIRECT("M"&amp;R159&amp;"")+INDIRECT("M"&amp;MATCH("*"&amp;INDIRECT("B"&amp;R159&amp;"")&amp;"*",INDIRECT("B"&amp;R159+1&amp;":B210"),0)+R159&amp;"")
+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INDIRECT("M"&amp;R159&amp;"")))),"")</f>
        <v/>
      </c>
      <c r="AC159" s="51" t="str">
        <f t="shared" ca="1" si="53"/>
        <v/>
      </c>
      <c r="AD159" s="51" t="str">
        <f t="shared" ca="1" si="54"/>
        <v/>
      </c>
      <c r="AE159" s="51" t="str">
        <f t="shared" ca="1" si="55"/>
        <v/>
      </c>
      <c r="AF159" s="51" t="str">
        <f t="shared" ca="1" si="56"/>
        <v/>
      </c>
      <c r="AG159" s="51" t="str">
        <f t="shared" ca="1" si="57"/>
        <v/>
      </c>
      <c r="AH159" s="191" t="str">
        <f t="shared" ca="1" si="58"/>
        <v/>
      </c>
      <c r="AI159" s="51" t="str">
        <f t="shared" ca="1" si="59"/>
        <v/>
      </c>
      <c r="AJ159" s="51" t="str">
        <f t="shared" ca="1" si="60"/>
        <v/>
      </c>
      <c r="AK159" s="51" t="str">
        <f t="shared" ca="1" si="61"/>
        <v/>
      </c>
      <c r="AL159" s="51" t="str">
        <f t="shared" ca="1" si="62"/>
        <v/>
      </c>
      <c r="AM159" s="51" t="str">
        <f t="shared" ca="1" si="63"/>
        <v/>
      </c>
      <c r="AN159" s="51" t="str">
        <f t="shared" ca="1" si="64"/>
        <v/>
      </c>
      <c r="AO159" s="51" t="str">
        <f t="shared" ca="1" si="65"/>
        <v/>
      </c>
      <c r="AP159" s="51" t="str">
        <f t="shared" ca="1" si="66"/>
        <v/>
      </c>
      <c r="AU159" s="51" t="str">
        <f t="shared" ca="1" si="67"/>
        <v/>
      </c>
    </row>
    <row r="160" spans="1:47" ht="22.2" customHeight="1">
      <c r="A160" s="184">
        <f t="shared" si="71"/>
        <v>45</v>
      </c>
      <c r="B160" s="183" t="str">
        <f t="shared" ca="1" si="68"/>
        <v/>
      </c>
      <c r="C160" s="183" t="str">
        <f>IF(OR(クライアント抽出!D20&lt;&gt;"",クライアント抽出!G20&lt;&gt;""),クライアント抽出!A20,"")</f>
        <v/>
      </c>
      <c r="D160" s="183" t="str">
        <f t="array" aca="1" ref="D160" ca="1">IF(C160&lt;&gt;"",INDIRECT("クライアント抽出!"&amp;E160&amp;MATCH(C160,クライアント抽出!A:A,0)&amp;""),"")</f>
        <v/>
      </c>
      <c r="E160" s="183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86" t="str">
        <f ca="1">IF(D160&lt;&gt;"",
IF(COUNTIF(C160,"*雙葉*"),
IF(ROUND((H160-M160)
/IF(COUNTIF(D160,"*キャラ*"),
VLOOKUP("*キャラ*",商品マスタ一覧!$D:$E,2,FALSE),
IF(COUNTIF(D160,"*赤*"),
VLOOKUP("*赤*",商品マスタ一覧!$D:$E,2,FALSE),
VLOOKUP("*"&amp;D160&amp;"*",商品マスタ一覧!$D:$E,2,FALSE))),0)&lt;=0,1,
ROUND((H160-M160)
/IF(COUNTIF(D160,"*キャラ*"),
VLOOKUP("*キャラ*",商品マスタ一覧!$D:$E,2,FALSE),
IF(COUNTIF(D160,"*赤*"),
VLOOKUP("*赤*",商品マスタ一覧!$D:$E,2,FALSE),
VLOOKUP("*"&amp;D160&amp;"*",商品マスタ一覧!$D:$E,2,FALSE))),0)),
IF(OR(COUNTIF(D160,"*キャラ*"),COUNTIF(D160,"*赤*")),"",
IF(VLOOKUP("*"&amp;D160&amp;"*",商品マスタ一覧!$D:$E,2,FALSE)=0,"",
IF(ROUND((H160-M160)
/VLOOKUP("*"&amp;D160&amp;"*",商品マスタ一覧!$D:$E,2,FALSE),0)&lt;=0,1,
ROUND((H160-M160)
/VLOOKUP("*"&amp;D160&amp;"*",商品マスタ一覧!$D:$E,2,FALSE),0))))),"")</f>
        <v/>
      </c>
      <c r="G160" s="183" t="str">
        <f ca="1">IF(F160&lt;&gt;"",
IF(VALUE(H160-M160)&gt;VALUE(IF(COUNTIF(D160,"*キャラ*"),
VLOOKUP("*キャラ*",商品マスタ一覧!$D:$E,2,FALSE),
IF(COUNTIF(D160,"*赤*"),
VLOOKUP("*赤*",商品マスタ一覧!$D:$E,2,FALSE),
VLOOKUP("*"&amp;D160&amp;"*",商品マスタ一覧!$D:$E,2,FALSE)))*F160),
"+"&amp;(H160-M160)-IF(COUNTIF(D160,"*キャラ*"),
VLOOKUP("*キャラ*",商品マスタ一覧!$D:$E,2,FALSE),
IF(COUNTIF(D160,"*赤*"),
VLOOKUP("*赤*",商品マスタ一覧!$D:$E,2,FALSE),
VLOOKUP("*"&amp;D160&amp;"*",商品マスタ一覧!$D:$E,2,FALSE)))*F160,
(H160-M160)-IF(COUNTIF(D160,"*キャラ*"),
VLOOKUP("*キャラ*",商品マスタ一覧!$D:$E,2,FALSE),
IF(COUNTIF(D160,"*赤*"),
VLOOKUP("*赤*",商品マスタ一覧!$D:$E,2,FALSE),
VLOOKUP("*"&amp;D160&amp;"*",商品マスタ一覧!$D:$E,2,FALSE)))*F160),"")</f>
        <v/>
      </c>
      <c r="H160" s="185" t="str">
        <f>IF(C160&lt;&gt;"",
クライアント抽出!D20,"")</f>
        <v/>
      </c>
      <c r="I160" s="183" t="str">
        <f>IF(C160&lt;&gt;"",
IF(O160=1,0,クライアント抽出!F20),"")</f>
        <v/>
      </c>
      <c r="J160" s="183" t="str">
        <f>IF(C160&lt;&gt;"",
VLOOKUP(
"*"&amp;LEFT(IF(COUNTIF(D160,"*学食*"),"キャラ弁（学食）",
IF(COUNTIF(D160,"*赤*"),"赤",
IF(COUNTIF(D160,"*キャラ弁当*"),"キャラ弁当",D160))),4)&amp;"*",注文弁当の抽出!$E$1:$F$15,2,FALSE),"")</f>
        <v/>
      </c>
      <c r="K160" s="183" t="str">
        <f ca="1">IF(クライアント抽出!R20&lt;&gt;"",SUBSTITUTE(ADDRESS(1,(CODE(クライアント抽出!R20)-64)*2-1,4),"1",""),"")</f>
        <v/>
      </c>
      <c r="L160" s="183" t="str">
        <f>IF(C20&lt;&gt;"",クライアント抽出!I20,"")</f>
        <v/>
      </c>
      <c r="M160" s="183">
        <f t="array" aca="1" ref="M160" ca="1">IF(C160&lt;&gt;"",
IF(K160&lt;&gt;"",INDIRECT("'数出表_Excel（アレルギー入力）'!"&amp;K160&amp;L160-1&amp;""),),)</f>
        <v>0</v>
      </c>
      <c r="N160" s="183" t="str">
        <f>IF(C160&lt;&gt;"",IF(OR(COUNTIF('盛付札（関数）'!D160,"*赤*"),COUNTIF('盛付札（関数）'!D160,"*キャラ*")),1,
VLOOKUP("*"&amp;D160&amp;"*",商品マスタ一覧!D:H,5,FALSE)),"")</f>
        <v/>
      </c>
      <c r="O160" s="183">
        <f t="shared" ca="1" si="70"/>
        <v>0</v>
      </c>
      <c r="P160" s="183">
        <f t="shared" si="49"/>
        <v>0</v>
      </c>
      <c r="Q160" s="183" t="b">
        <f t="shared" si="50"/>
        <v>0</v>
      </c>
      <c r="R160" s="51" t="str">
        <f t="array" aca="1" ref="R160" ca="1">IFERROR(SMALL(IF(P$1:P$307&lt;&gt;0,P$1:P$307),ROW(A160)),"")</f>
        <v/>
      </c>
      <c r="S160" s="51" t="str">
        <f t="array" aca="1" ref="S160" ca="1">IF($R160&lt;&gt;"",
SUBSTITUTE(SUBSTITUTE(INDIRECT("C"&amp;$R160&amp;"")," 週3ｺｰｽ","")," 週5ｺｰｽ",""),"")</f>
        <v/>
      </c>
      <c r="T160" s="51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91" t="str">
        <f t="array" aca="1" ref="U160" ca="1">IF($R160&lt;&gt;"",
INDIRECT("F"&amp;$R160&amp;""),"")</f>
        <v/>
      </c>
      <c r="V160" s="51" t="str">
        <f t="array" aca="1" ref="V160" ca="1">IF($R160&lt;&gt;"",
INDIRECT("G"&amp;$R160&amp;""),"")</f>
        <v/>
      </c>
      <c r="W160" s="51" t="str">
        <f t="array" aca="1" ref="W160" ca="1">IF($R160&lt;&gt;"",
IF(AND(COUNTIF(INDIRECT("B"&amp;R160&amp;""),"*雙葉*"),COUNTIF(B:B,"*雙葉*")&gt;=2),
IF(OR(COUNTIF(INDIRECT("B"&amp;R160&amp;""),"*雙葉先生*"),COUNTIF($B$1:$B$70,"*雙葉*")&gt;=2),INDIRECT("H"&amp;R160&amp;""),INDIRECT("H"&amp;R160&amp;"")+INDIRECT("H"&amp;MATCH("雙葉'",INDIRECT("B"&amp;R160+3&amp;":B210"),0)+2+R160&amp;"")),
IF(AND(LEFT(INDIRECT("B"&amp;R160&amp;""),2)="博多",COUNTIF(B:B,"*博多*")&gt;=2),
INDIRECT("H"&amp;R160&amp;"")+INDIRECT("H"&amp;MATCH("*"&amp;INDIRECT("B"&amp;R160&amp;"")&amp;"*",INDIRECT("B"&amp;R160+1&amp;":B210"),0)+R160&amp;""),
IF(AND(LEFT(INDIRECT("B"&amp;R160&amp;""),3)="奈良屋",COUNTIF(B:B,"*奈良屋*")&gt;=2),
INDIRECT("H"&amp;R160&amp;"")+INDIRECT("H"&amp;MATCH("*"&amp;INDIRECT("B"&amp;R160&amp;"")&amp;"*",INDIRECT("B"&amp;R160+1&amp;":B210"),0)+R160&amp;"")
+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INDIRECT("H"&amp;R160&amp;"")))),"")</f>
        <v/>
      </c>
      <c r="X160" s="51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51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51" t="str">
        <f t="shared" ca="1" si="51"/>
        <v/>
      </c>
      <c r="AA160" s="51" t="str">
        <f t="shared" ca="1" si="52"/>
        <v/>
      </c>
      <c r="AB160" s="51" t="str">
        <f t="array" aca="1" ref="AB160" ca="1">IF($R160&lt;&gt;"",
IF(AND(COUNTIF(INDIRECT("B"&amp;R160&amp;""),"*雙葉*"),COUNTIF(B:B,"*雙葉*")&gt;=2),
INDIRECT("M"&amp;R160&amp;"")+INDIRECT("M"&amp;MATCH("雙葉'",INDIRECT("B"&amp;R160+1&amp;":B210"),0)+R160&amp;""),
IF(AND(LEFT(INDIRECT("B"&amp;R160&amp;""),2)="博多",COUNTIF(B:B,"*博多*")&gt;=2),
INDIRECT("M"&amp;R160&amp;"")+INDIRECT("M"&amp;MATCH("*"&amp;INDIRECT("B"&amp;R160&amp;"")&amp;"*",INDIRECT("B"&amp;R160+1&amp;":B210"),0)+R160&amp;""),
IF(AND(LEFT(INDIRECT("B"&amp;R160&amp;""),3)="奈良屋",COUNTIF(B:B,"*奈良屋*")&gt;=2),
INDIRECT("M"&amp;R160&amp;"")+INDIRECT("M"&amp;MATCH("*"&amp;INDIRECT("B"&amp;R160&amp;"")&amp;"*",INDIRECT("B"&amp;R160+1&amp;":B210"),0)+R160&amp;"")
+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INDIRECT("M"&amp;R160&amp;"")))),"")</f>
        <v/>
      </c>
      <c r="AC160" s="51" t="str">
        <f t="shared" ca="1" si="53"/>
        <v/>
      </c>
      <c r="AD160" s="51" t="str">
        <f t="shared" ca="1" si="54"/>
        <v/>
      </c>
      <c r="AE160" s="51" t="str">
        <f t="shared" ca="1" si="55"/>
        <v/>
      </c>
      <c r="AF160" s="51" t="str">
        <f t="shared" ca="1" si="56"/>
        <v/>
      </c>
      <c r="AG160" s="51" t="str">
        <f t="shared" ca="1" si="57"/>
        <v/>
      </c>
      <c r="AH160" s="191" t="str">
        <f t="shared" ca="1" si="58"/>
        <v/>
      </c>
      <c r="AI160" s="51" t="str">
        <f t="shared" ca="1" si="59"/>
        <v/>
      </c>
      <c r="AJ160" s="51" t="str">
        <f t="shared" ca="1" si="60"/>
        <v/>
      </c>
      <c r="AK160" s="51" t="str">
        <f t="shared" ca="1" si="61"/>
        <v/>
      </c>
      <c r="AL160" s="51" t="str">
        <f t="shared" ca="1" si="62"/>
        <v/>
      </c>
      <c r="AM160" s="51" t="str">
        <f t="shared" ca="1" si="63"/>
        <v/>
      </c>
      <c r="AN160" s="51" t="str">
        <f t="shared" ca="1" si="64"/>
        <v/>
      </c>
      <c r="AO160" s="51" t="str">
        <f t="shared" ca="1" si="65"/>
        <v/>
      </c>
      <c r="AP160" s="51" t="str">
        <f t="shared" ca="1" si="66"/>
        <v/>
      </c>
      <c r="AU160" s="51" t="str">
        <f t="shared" ca="1" si="67"/>
        <v/>
      </c>
    </row>
    <row r="161" spans="1:47" ht="22.2" customHeight="1">
      <c r="A161" s="184">
        <f t="shared" si="71"/>
        <v>47</v>
      </c>
      <c r="B161" s="183" t="str">
        <f t="shared" ca="1" si="68"/>
        <v/>
      </c>
      <c r="C161" s="183" t="str">
        <f>IF(OR(クライアント抽出!D21&lt;&gt;"",クライアント抽出!G21&lt;&gt;""),クライアント抽出!A21,"")</f>
        <v/>
      </c>
      <c r="D161" s="183" t="str">
        <f t="array" aca="1" ref="D161" ca="1">IF(C161&lt;&gt;"",INDIRECT("クライアント抽出!"&amp;E161&amp;MATCH(C161,クライアント抽出!A:A,0)&amp;""),"")</f>
        <v/>
      </c>
      <c r="E161" s="183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86" t="str">
        <f ca="1">IF(D161&lt;&gt;"",
IF(COUNTIF(C161,"*雙葉*"),
IF(ROUND((H161-M161)
/IF(COUNTIF(D161,"*キャラ*"),
VLOOKUP("*キャラ*",商品マスタ一覧!$D:$E,2,FALSE),
IF(COUNTIF(D161,"*赤*"),
VLOOKUP("*赤*",商品マスタ一覧!$D:$E,2,FALSE),
VLOOKUP("*"&amp;D161&amp;"*",商品マスタ一覧!$D:$E,2,FALSE))),0)&lt;=0,1,
ROUND((H161-M161)
/IF(COUNTIF(D161,"*キャラ*"),
VLOOKUP("*キャラ*",商品マスタ一覧!$D:$E,2,FALSE),
IF(COUNTIF(D161,"*赤*"),
VLOOKUP("*赤*",商品マスタ一覧!$D:$E,2,FALSE),
VLOOKUP("*"&amp;D161&amp;"*",商品マスタ一覧!$D:$E,2,FALSE))),0)),
IF(OR(COUNTIF(D161,"*キャラ*"),COUNTIF(D161,"*赤*")),"",
IF(VLOOKUP("*"&amp;D161&amp;"*",商品マスタ一覧!$D:$E,2,FALSE)=0,"",
IF(ROUND((H161-M161)
/VLOOKUP("*"&amp;D161&amp;"*",商品マスタ一覧!$D:$E,2,FALSE),0)&lt;=0,1,
ROUND((H161-M161)
/VLOOKUP("*"&amp;D161&amp;"*",商品マスタ一覧!$D:$E,2,FALSE),0))))),"")</f>
        <v/>
      </c>
      <c r="G161" s="183" t="str">
        <f ca="1">IF(F161&lt;&gt;"",
IF(VALUE(H161-M161)&gt;VALUE(IF(COUNTIF(D161,"*キャラ*"),
VLOOKUP("*キャラ*",商品マスタ一覧!$D:$E,2,FALSE),
IF(COUNTIF(D161,"*赤*"),
VLOOKUP("*赤*",商品マスタ一覧!$D:$E,2,FALSE),
VLOOKUP("*"&amp;D161&amp;"*",商品マスタ一覧!$D:$E,2,FALSE)))*F161),
"+"&amp;(H161-M161)-IF(COUNTIF(D161,"*キャラ*"),
VLOOKUP("*キャラ*",商品マスタ一覧!$D:$E,2,FALSE),
IF(COUNTIF(D161,"*赤*"),
VLOOKUP("*赤*",商品マスタ一覧!$D:$E,2,FALSE),
VLOOKUP("*"&amp;D161&amp;"*",商品マスタ一覧!$D:$E,2,FALSE)))*F161,
(H161-M161)-IF(COUNTIF(D161,"*キャラ*"),
VLOOKUP("*キャラ*",商品マスタ一覧!$D:$E,2,FALSE),
IF(COUNTIF(D161,"*赤*"),
VLOOKUP("*赤*",商品マスタ一覧!$D:$E,2,FALSE),
VLOOKUP("*"&amp;D161&amp;"*",商品マスタ一覧!$D:$E,2,FALSE)))*F161),"")</f>
        <v/>
      </c>
      <c r="H161" s="185" t="str">
        <f>IF(C161&lt;&gt;"",
クライアント抽出!D21,"")</f>
        <v/>
      </c>
      <c r="I161" s="183" t="str">
        <f>IF(C161&lt;&gt;"",
IF(O161=1,0,クライアント抽出!F21),"")</f>
        <v/>
      </c>
      <c r="J161" s="183" t="str">
        <f>IF(C161&lt;&gt;"",
VLOOKUP(
"*"&amp;LEFT(IF(COUNTIF(D161,"*学食*"),"キャラ弁（学食）",
IF(COUNTIF(D161,"*赤*"),"赤",
IF(COUNTIF(D161,"*キャラ弁当*"),"キャラ弁当",D161))),4)&amp;"*",注文弁当の抽出!$E$1:$F$15,2,FALSE),"")</f>
        <v/>
      </c>
      <c r="K161" s="183" t="str">
        <f ca="1">IF(クライアント抽出!R21&lt;&gt;"",SUBSTITUTE(ADDRESS(1,(CODE(クライアント抽出!R21)-64)*2-1,4),"1",""),"")</f>
        <v/>
      </c>
      <c r="L161" s="183" t="str">
        <f>IF(C21&lt;&gt;"",クライアント抽出!I21,"")</f>
        <v/>
      </c>
      <c r="M161" s="183">
        <f t="array" aca="1" ref="M161" ca="1">IF(C161&lt;&gt;"",
IF(K161&lt;&gt;"",INDIRECT("'数出表_Excel（アレルギー入力）'!"&amp;K161&amp;L161-1&amp;""),),)</f>
        <v>0</v>
      </c>
      <c r="N161" s="183" t="str">
        <f>IF(C161&lt;&gt;"",IF(OR(COUNTIF('盛付札（関数）'!D161,"*赤*"),COUNTIF('盛付札（関数）'!D161,"*キャラ*")),1,
VLOOKUP("*"&amp;D161&amp;"*",商品マスタ一覧!D:H,5,FALSE)),"")</f>
        <v/>
      </c>
      <c r="O161" s="183">
        <f t="shared" ca="1" si="70"/>
        <v>0</v>
      </c>
      <c r="P161" s="183">
        <f t="shared" si="49"/>
        <v>0</v>
      </c>
      <c r="Q161" s="183" t="b">
        <f t="shared" si="50"/>
        <v>0</v>
      </c>
      <c r="R161" s="51" t="str">
        <f t="array" aca="1" ref="R161" ca="1">IFERROR(SMALL(IF(P$1:P$307&lt;&gt;0,P$1:P$307),ROW(A161)),"")</f>
        <v/>
      </c>
      <c r="S161" s="51" t="str">
        <f t="array" aca="1" ref="S161" ca="1">IF($R161&lt;&gt;"",
SUBSTITUTE(SUBSTITUTE(INDIRECT("C"&amp;$R161&amp;"")," 週3ｺｰｽ","")," 週5ｺｰｽ",""),"")</f>
        <v/>
      </c>
      <c r="T161" s="51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91" t="str">
        <f t="array" aca="1" ref="U161" ca="1">IF($R161&lt;&gt;"",
INDIRECT("F"&amp;$R161&amp;""),"")</f>
        <v/>
      </c>
      <c r="V161" s="51" t="str">
        <f t="array" aca="1" ref="V161" ca="1">IF($R161&lt;&gt;"",
INDIRECT("G"&amp;$R161&amp;""),"")</f>
        <v/>
      </c>
      <c r="W161" s="51" t="str">
        <f t="array" aca="1" ref="W161" ca="1">IF($R161&lt;&gt;"",
IF(AND(COUNTIF(INDIRECT("B"&amp;R161&amp;""),"*雙葉*"),COUNTIF(B:B,"*雙葉*")&gt;=2),
IF(OR(COUNTIF(INDIRECT("B"&amp;R161&amp;""),"*雙葉先生*"),COUNTIF($B$1:$B$70,"*雙葉*")&gt;=2),INDIRECT("H"&amp;R161&amp;""),INDIRECT("H"&amp;R161&amp;"")+INDIRECT("H"&amp;MATCH("雙葉'",INDIRECT("B"&amp;R161+3&amp;":B210"),0)+2+R161&amp;"")),
IF(AND(LEFT(INDIRECT("B"&amp;R161&amp;""),2)="博多",COUNTIF(B:B,"*博多*")&gt;=2),
INDIRECT("H"&amp;R161&amp;"")+INDIRECT("H"&amp;MATCH("*"&amp;INDIRECT("B"&amp;R161&amp;"")&amp;"*",INDIRECT("B"&amp;R161+1&amp;":B210"),0)+R161&amp;""),
IF(AND(LEFT(INDIRECT("B"&amp;R161&amp;""),3)="奈良屋",COUNTIF(B:B,"*奈良屋*")&gt;=2),
INDIRECT("H"&amp;R161&amp;"")+INDIRECT("H"&amp;MATCH("*"&amp;INDIRECT("B"&amp;R161&amp;"")&amp;"*",INDIRECT("B"&amp;R161+1&amp;":B210"),0)+R161&amp;"")
+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INDIRECT("H"&amp;R161&amp;"")))),"")</f>
        <v/>
      </c>
      <c r="X161" s="51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51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51" t="str">
        <f t="shared" ca="1" si="51"/>
        <v/>
      </c>
      <c r="AA161" s="51" t="str">
        <f t="shared" ca="1" si="52"/>
        <v/>
      </c>
      <c r="AB161" s="51" t="str">
        <f t="array" aca="1" ref="AB161" ca="1">IF($R161&lt;&gt;"",
IF(AND(COUNTIF(INDIRECT("B"&amp;R161&amp;""),"*雙葉*"),COUNTIF(B:B,"*雙葉*")&gt;=2),
INDIRECT("M"&amp;R161&amp;"")+INDIRECT("M"&amp;MATCH("雙葉'",INDIRECT("B"&amp;R161+1&amp;":B210"),0)+R161&amp;""),
IF(AND(LEFT(INDIRECT("B"&amp;R161&amp;""),2)="博多",COUNTIF(B:B,"*博多*")&gt;=2),
INDIRECT("M"&amp;R161&amp;"")+INDIRECT("M"&amp;MATCH("*"&amp;INDIRECT("B"&amp;R161&amp;"")&amp;"*",INDIRECT("B"&amp;R161+1&amp;":B210"),0)+R161&amp;""),
IF(AND(LEFT(INDIRECT("B"&amp;R161&amp;""),3)="奈良屋",COUNTIF(B:B,"*奈良屋*")&gt;=2),
INDIRECT("M"&amp;R161&amp;"")+INDIRECT("M"&amp;MATCH("*"&amp;INDIRECT("B"&amp;R161&amp;"")&amp;"*",INDIRECT("B"&amp;R161+1&amp;":B210"),0)+R161&amp;"")
+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INDIRECT("M"&amp;R161&amp;"")))),"")</f>
        <v/>
      </c>
      <c r="AC161" s="51" t="str">
        <f t="shared" ca="1" si="53"/>
        <v/>
      </c>
      <c r="AD161" s="51" t="str">
        <f t="shared" ca="1" si="54"/>
        <v/>
      </c>
      <c r="AE161" s="51" t="str">
        <f t="shared" ca="1" si="55"/>
        <v/>
      </c>
      <c r="AF161" s="51" t="str">
        <f t="shared" ca="1" si="56"/>
        <v/>
      </c>
      <c r="AG161" s="51" t="str">
        <f t="shared" ca="1" si="57"/>
        <v/>
      </c>
      <c r="AH161" s="191" t="str">
        <f t="shared" ca="1" si="58"/>
        <v/>
      </c>
      <c r="AI161" s="51" t="str">
        <f t="shared" ca="1" si="59"/>
        <v/>
      </c>
      <c r="AJ161" s="51" t="str">
        <f t="shared" ca="1" si="60"/>
        <v/>
      </c>
      <c r="AK161" s="51" t="str">
        <f t="shared" ca="1" si="61"/>
        <v/>
      </c>
      <c r="AL161" s="51" t="str">
        <f t="shared" ca="1" si="62"/>
        <v/>
      </c>
      <c r="AM161" s="51" t="str">
        <f t="shared" ca="1" si="63"/>
        <v/>
      </c>
      <c r="AN161" s="51" t="str">
        <f t="shared" ca="1" si="64"/>
        <v/>
      </c>
      <c r="AO161" s="51" t="str">
        <f t="shared" ca="1" si="65"/>
        <v/>
      </c>
      <c r="AP161" s="51" t="str">
        <f t="shared" ca="1" si="66"/>
        <v/>
      </c>
      <c r="AU161" s="51" t="str">
        <f t="shared" ca="1" si="67"/>
        <v/>
      </c>
    </row>
    <row r="162" spans="1:47" ht="22.2" customHeight="1">
      <c r="A162" s="184">
        <f t="shared" si="71"/>
        <v>49</v>
      </c>
      <c r="B162" s="183" t="str">
        <f t="shared" ca="1" si="68"/>
        <v/>
      </c>
      <c r="C162" s="183" t="str">
        <f>IF(OR(クライアント抽出!D22&lt;&gt;"",クライアント抽出!G22&lt;&gt;""),クライアント抽出!A22,"")</f>
        <v/>
      </c>
      <c r="D162" s="183" t="str">
        <f t="array" aca="1" ref="D162" ca="1">IF(C162&lt;&gt;"",INDIRECT("クライアント抽出!"&amp;E162&amp;MATCH(C162,クライアント抽出!A:A,0)&amp;""),"")</f>
        <v/>
      </c>
      <c r="E162" s="183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86" t="str">
        <f ca="1">IF(D162&lt;&gt;"",
IF(COUNTIF(C162,"*雙葉*"),
IF(ROUND((H162-M162)
/IF(COUNTIF(D162,"*キャラ*"),
VLOOKUP("*キャラ*",商品マスタ一覧!$D:$E,2,FALSE),
IF(COUNTIF(D162,"*赤*"),
VLOOKUP("*赤*",商品マスタ一覧!$D:$E,2,FALSE),
VLOOKUP("*"&amp;D162&amp;"*",商品マスタ一覧!$D:$E,2,FALSE))),0)&lt;=0,1,
ROUND((H162-M162)
/IF(COUNTIF(D162,"*キャラ*"),
VLOOKUP("*キャラ*",商品マスタ一覧!$D:$E,2,FALSE),
IF(COUNTIF(D162,"*赤*"),
VLOOKUP("*赤*",商品マスタ一覧!$D:$E,2,FALSE),
VLOOKUP("*"&amp;D162&amp;"*",商品マスタ一覧!$D:$E,2,FALSE))),0)),
IF(OR(COUNTIF(D162,"*キャラ*"),COUNTIF(D162,"*赤*")),"",
IF(VLOOKUP("*"&amp;D162&amp;"*",商品マスタ一覧!$D:$E,2,FALSE)=0,"",
IF(ROUND((H162-M162)
/VLOOKUP("*"&amp;D162&amp;"*",商品マスタ一覧!$D:$E,2,FALSE),0)&lt;=0,1,
ROUND((H162-M162)
/VLOOKUP("*"&amp;D162&amp;"*",商品マスタ一覧!$D:$E,2,FALSE),0))))),"")</f>
        <v/>
      </c>
      <c r="G162" s="183" t="str">
        <f ca="1">IF(F162&lt;&gt;"",
IF(VALUE(H162-M162)&gt;VALUE(IF(COUNTIF(D162,"*キャラ*"),
VLOOKUP("*キャラ*",商品マスタ一覧!$D:$E,2,FALSE),
IF(COUNTIF(D162,"*赤*"),
VLOOKUP("*赤*",商品マスタ一覧!$D:$E,2,FALSE),
VLOOKUP("*"&amp;D162&amp;"*",商品マスタ一覧!$D:$E,2,FALSE)))*F162),
"+"&amp;(H162-M162)-IF(COUNTIF(D162,"*キャラ*"),
VLOOKUP("*キャラ*",商品マスタ一覧!$D:$E,2,FALSE),
IF(COUNTIF(D162,"*赤*"),
VLOOKUP("*赤*",商品マスタ一覧!$D:$E,2,FALSE),
VLOOKUP("*"&amp;D162&amp;"*",商品マスタ一覧!$D:$E,2,FALSE)))*F162,
(H162-M162)-IF(COUNTIF(D162,"*キャラ*"),
VLOOKUP("*キャラ*",商品マスタ一覧!$D:$E,2,FALSE),
IF(COUNTIF(D162,"*赤*"),
VLOOKUP("*赤*",商品マスタ一覧!$D:$E,2,FALSE),
VLOOKUP("*"&amp;D162&amp;"*",商品マスタ一覧!$D:$E,2,FALSE)))*F162),"")</f>
        <v/>
      </c>
      <c r="H162" s="185" t="str">
        <f>IF(C162&lt;&gt;"",
クライアント抽出!D22,"")</f>
        <v/>
      </c>
      <c r="I162" s="183" t="str">
        <f>IF(C162&lt;&gt;"",
IF(O162=1,0,クライアント抽出!F22),"")</f>
        <v/>
      </c>
      <c r="J162" s="183" t="str">
        <f>IF(C162&lt;&gt;"",
VLOOKUP(
"*"&amp;LEFT(IF(COUNTIF(D162,"*学食*"),"キャラ弁（学食）",
IF(COUNTIF(D162,"*赤*"),"赤",
IF(COUNTIF(D162,"*キャラ弁当*"),"キャラ弁当",D162))),4)&amp;"*",注文弁当の抽出!$E$1:$F$15,2,FALSE),"")</f>
        <v/>
      </c>
      <c r="K162" s="183" t="str">
        <f ca="1">IF(クライアント抽出!R22&lt;&gt;"",SUBSTITUTE(ADDRESS(1,(CODE(クライアント抽出!R22)-64)*2-1,4),"1",""),"")</f>
        <v/>
      </c>
      <c r="L162" s="183" t="str">
        <f>IF(C22&lt;&gt;"",クライアント抽出!I22,"")</f>
        <v/>
      </c>
      <c r="M162" s="183">
        <f t="array" aca="1" ref="M162" ca="1">IF(C162&lt;&gt;"",
IF(K162&lt;&gt;"",INDIRECT("'数出表_Excel（アレルギー入力）'!"&amp;K162&amp;L162-1&amp;""),),)</f>
        <v>0</v>
      </c>
      <c r="N162" s="183" t="str">
        <f>IF(C162&lt;&gt;"",IF(OR(COUNTIF('盛付札（関数）'!D162,"*赤*"),COUNTIF('盛付札（関数）'!D162,"*キャラ*")),1,
VLOOKUP("*"&amp;D162&amp;"*",商品マスタ一覧!D:H,5,FALSE)),"")</f>
        <v/>
      </c>
      <c r="O162" s="183">
        <f t="shared" ca="1" si="70"/>
        <v>0</v>
      </c>
      <c r="P162" s="183">
        <f t="shared" si="49"/>
        <v>0</v>
      </c>
      <c r="Q162" s="183" t="b">
        <f t="shared" si="50"/>
        <v>0</v>
      </c>
      <c r="R162" s="51" t="str">
        <f t="array" aca="1" ref="R162" ca="1">IFERROR(SMALL(IF(P$1:P$307&lt;&gt;0,P$1:P$307),ROW(A162)),"")</f>
        <v/>
      </c>
      <c r="S162" s="51" t="str">
        <f t="array" aca="1" ref="S162" ca="1">IF($R162&lt;&gt;"",
SUBSTITUTE(SUBSTITUTE(INDIRECT("C"&amp;$R162&amp;"")," 週3ｺｰｽ","")," 週5ｺｰｽ",""),"")</f>
        <v/>
      </c>
      <c r="T162" s="51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91" t="str">
        <f t="array" aca="1" ref="U162" ca="1">IF($R162&lt;&gt;"",
INDIRECT("F"&amp;$R162&amp;""),"")</f>
        <v/>
      </c>
      <c r="V162" s="51" t="str">
        <f t="array" aca="1" ref="V162" ca="1">IF($R162&lt;&gt;"",
INDIRECT("G"&amp;$R162&amp;""),"")</f>
        <v/>
      </c>
      <c r="W162" s="51" t="str">
        <f t="array" aca="1" ref="W162" ca="1">IF($R162&lt;&gt;"",
IF(AND(COUNTIF(INDIRECT("B"&amp;R162&amp;""),"*雙葉*"),COUNTIF(B:B,"*雙葉*")&gt;=2),
IF(OR(COUNTIF(INDIRECT("B"&amp;R162&amp;""),"*雙葉先生*"),COUNTIF($B$1:$B$70,"*雙葉*")&gt;=2),INDIRECT("H"&amp;R162&amp;""),INDIRECT("H"&amp;R162&amp;"")+INDIRECT("H"&amp;MATCH("雙葉'",INDIRECT("B"&amp;R162+3&amp;":B210"),0)+2+R162&amp;"")),
IF(AND(LEFT(INDIRECT("B"&amp;R162&amp;""),2)="博多",COUNTIF(B:B,"*博多*")&gt;=2),
INDIRECT("H"&amp;R162&amp;"")+INDIRECT("H"&amp;MATCH("*"&amp;INDIRECT("B"&amp;R162&amp;"")&amp;"*",INDIRECT("B"&amp;R162+1&amp;":B210"),0)+R162&amp;""),
IF(AND(LEFT(INDIRECT("B"&amp;R162&amp;""),3)="奈良屋",COUNTIF(B:B,"*奈良屋*")&gt;=2),
INDIRECT("H"&amp;R162&amp;"")+INDIRECT("H"&amp;MATCH("*"&amp;INDIRECT("B"&amp;R162&amp;"")&amp;"*",INDIRECT("B"&amp;R162+1&amp;":B210"),0)+R162&amp;"")
+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INDIRECT("H"&amp;R162&amp;"")))),"")</f>
        <v/>
      </c>
      <c r="X162" s="51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51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51" t="str">
        <f t="shared" ca="1" si="51"/>
        <v/>
      </c>
      <c r="AA162" s="51" t="str">
        <f t="shared" ca="1" si="52"/>
        <v/>
      </c>
      <c r="AB162" s="51" t="str">
        <f t="array" aca="1" ref="AB162" ca="1">IF($R162&lt;&gt;"",
IF(AND(COUNTIF(INDIRECT("B"&amp;R162&amp;""),"*雙葉*"),COUNTIF(B:B,"*雙葉*")&gt;=2),
INDIRECT("M"&amp;R162&amp;"")+INDIRECT("M"&amp;MATCH("雙葉'",INDIRECT("B"&amp;R162+1&amp;":B210"),0)+R162&amp;""),
IF(AND(LEFT(INDIRECT("B"&amp;R162&amp;""),2)="博多",COUNTIF(B:B,"*博多*")&gt;=2),
INDIRECT("M"&amp;R162&amp;"")+INDIRECT("M"&amp;MATCH("*"&amp;INDIRECT("B"&amp;R162&amp;"")&amp;"*",INDIRECT("B"&amp;R162+1&amp;":B210"),0)+R162&amp;""),
IF(AND(LEFT(INDIRECT("B"&amp;R162&amp;""),3)="奈良屋",COUNTIF(B:B,"*奈良屋*")&gt;=2),
INDIRECT("M"&amp;R162&amp;"")+INDIRECT("M"&amp;MATCH("*"&amp;INDIRECT("B"&amp;R162&amp;"")&amp;"*",INDIRECT("B"&amp;R162+1&amp;":B210"),0)+R162&amp;"")
+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INDIRECT("M"&amp;R162&amp;"")))),"")</f>
        <v/>
      </c>
      <c r="AC162" s="51" t="str">
        <f t="shared" ca="1" si="53"/>
        <v/>
      </c>
      <c r="AD162" s="51" t="str">
        <f t="shared" ca="1" si="54"/>
        <v/>
      </c>
      <c r="AE162" s="51" t="str">
        <f t="shared" ca="1" si="55"/>
        <v/>
      </c>
      <c r="AF162" s="51" t="str">
        <f t="shared" ca="1" si="56"/>
        <v/>
      </c>
      <c r="AG162" s="51" t="str">
        <f t="shared" ca="1" si="57"/>
        <v/>
      </c>
      <c r="AH162" s="191" t="str">
        <f t="shared" ca="1" si="58"/>
        <v/>
      </c>
      <c r="AI162" s="51" t="str">
        <f t="shared" ca="1" si="59"/>
        <v/>
      </c>
      <c r="AJ162" s="51" t="str">
        <f t="shared" ca="1" si="60"/>
        <v/>
      </c>
      <c r="AK162" s="51" t="str">
        <f t="shared" ca="1" si="61"/>
        <v/>
      </c>
      <c r="AL162" s="51" t="str">
        <f t="shared" ca="1" si="62"/>
        <v/>
      </c>
      <c r="AM162" s="51" t="str">
        <f t="shared" ca="1" si="63"/>
        <v/>
      </c>
      <c r="AN162" s="51" t="str">
        <f t="shared" ca="1" si="64"/>
        <v/>
      </c>
      <c r="AO162" s="51" t="str">
        <f t="shared" ca="1" si="65"/>
        <v/>
      </c>
      <c r="AP162" s="51" t="str">
        <f t="shared" ca="1" si="66"/>
        <v/>
      </c>
      <c r="AU162" s="51" t="str">
        <f t="shared" ca="1" si="67"/>
        <v/>
      </c>
    </row>
    <row r="163" spans="1:47" ht="22.2" customHeight="1">
      <c r="A163" s="184">
        <f t="shared" si="71"/>
        <v>51</v>
      </c>
      <c r="B163" s="183" t="str">
        <f t="shared" ca="1" si="68"/>
        <v/>
      </c>
      <c r="C163" s="183" t="str">
        <f>IF(OR(クライアント抽出!D23&lt;&gt;"",クライアント抽出!G23&lt;&gt;""),クライアント抽出!A23,"")</f>
        <v/>
      </c>
      <c r="D163" s="183" t="str">
        <f t="array" aca="1" ref="D163" ca="1">IF(C163&lt;&gt;"",INDIRECT("クライアント抽出!"&amp;E163&amp;MATCH(C163,クライアント抽出!A:A,0)&amp;""),"")</f>
        <v/>
      </c>
      <c r="E163" s="183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86" t="str">
        <f ca="1">IF(D163&lt;&gt;"",
IF(COUNTIF(C163,"*雙葉*"),
IF(ROUND((H163-M163)
/IF(COUNTIF(D163,"*キャラ*"),
VLOOKUP("*キャラ*",商品マスタ一覧!$D:$E,2,FALSE),
IF(COUNTIF(D163,"*赤*"),
VLOOKUP("*赤*",商品マスタ一覧!$D:$E,2,FALSE),
VLOOKUP("*"&amp;D163&amp;"*",商品マスタ一覧!$D:$E,2,FALSE))),0)&lt;=0,1,
ROUND((H163-M163)
/IF(COUNTIF(D163,"*キャラ*"),
VLOOKUP("*キャラ*",商品マスタ一覧!$D:$E,2,FALSE),
IF(COUNTIF(D163,"*赤*"),
VLOOKUP("*赤*",商品マスタ一覧!$D:$E,2,FALSE),
VLOOKUP("*"&amp;D163&amp;"*",商品マスタ一覧!$D:$E,2,FALSE))),0)),
IF(OR(COUNTIF(D163,"*キャラ*"),COUNTIF(D163,"*赤*")),"",
IF(VLOOKUP("*"&amp;D163&amp;"*",商品マスタ一覧!$D:$E,2,FALSE)=0,"",
IF(ROUND((H163-M163)
/VLOOKUP("*"&amp;D163&amp;"*",商品マスタ一覧!$D:$E,2,FALSE),0)&lt;=0,1,
ROUND((H163-M163)
/VLOOKUP("*"&amp;D163&amp;"*",商品マスタ一覧!$D:$E,2,FALSE),0))))),"")</f>
        <v/>
      </c>
      <c r="G163" s="183" t="str">
        <f ca="1">IF(F163&lt;&gt;"",
IF(VALUE(H163-M163)&gt;VALUE(IF(COUNTIF(D163,"*キャラ*"),
VLOOKUP("*キャラ*",商品マスタ一覧!$D:$E,2,FALSE),
IF(COUNTIF(D163,"*赤*"),
VLOOKUP("*赤*",商品マスタ一覧!$D:$E,2,FALSE),
VLOOKUP("*"&amp;D163&amp;"*",商品マスタ一覧!$D:$E,2,FALSE)))*F163),
"+"&amp;(H163-M163)-IF(COUNTIF(D163,"*キャラ*"),
VLOOKUP("*キャラ*",商品マスタ一覧!$D:$E,2,FALSE),
IF(COUNTIF(D163,"*赤*"),
VLOOKUP("*赤*",商品マスタ一覧!$D:$E,2,FALSE),
VLOOKUP("*"&amp;D163&amp;"*",商品マスタ一覧!$D:$E,2,FALSE)))*F163,
(H163-M163)-IF(COUNTIF(D163,"*キャラ*"),
VLOOKUP("*キャラ*",商品マスタ一覧!$D:$E,2,FALSE),
IF(COUNTIF(D163,"*赤*"),
VLOOKUP("*赤*",商品マスタ一覧!$D:$E,2,FALSE),
VLOOKUP("*"&amp;D163&amp;"*",商品マスタ一覧!$D:$E,2,FALSE)))*F163),"")</f>
        <v/>
      </c>
      <c r="H163" s="185" t="str">
        <f>IF(C163&lt;&gt;"",
クライアント抽出!D23,"")</f>
        <v/>
      </c>
      <c r="I163" s="183" t="str">
        <f>IF(C163&lt;&gt;"",
IF(O163=1,0,クライアント抽出!F23),"")</f>
        <v/>
      </c>
      <c r="J163" s="183" t="str">
        <f>IF(C163&lt;&gt;"",
VLOOKUP(
"*"&amp;LEFT(IF(COUNTIF(D163,"*学食*"),"キャラ弁（学食）",
IF(COUNTIF(D163,"*赤*"),"赤",
IF(COUNTIF(D163,"*キャラ弁当*"),"キャラ弁当",D163))),4)&amp;"*",注文弁当の抽出!$E$1:$F$15,2,FALSE),"")</f>
        <v/>
      </c>
      <c r="K163" s="183" t="str">
        <f ca="1">IF(クライアント抽出!R23&lt;&gt;"",SUBSTITUTE(ADDRESS(1,(CODE(クライアント抽出!R23)-64)*2-1,4),"1",""),"")</f>
        <v/>
      </c>
      <c r="L163" s="183" t="str">
        <f>IF(C23&lt;&gt;"",クライアント抽出!I23,"")</f>
        <v/>
      </c>
      <c r="M163" s="183">
        <f t="array" aca="1" ref="M163" ca="1">IF(C163&lt;&gt;"",
IF(K163&lt;&gt;"",INDIRECT("'数出表_Excel（アレルギー入力）'!"&amp;K163&amp;L163-1&amp;""),),)</f>
        <v>0</v>
      </c>
      <c r="N163" s="183" t="str">
        <f>IF(C163&lt;&gt;"",IF(OR(COUNTIF('盛付札（関数）'!D163,"*赤*"),COUNTIF('盛付札（関数）'!D163,"*キャラ*")),1,
VLOOKUP("*"&amp;D163&amp;"*",商品マスタ一覧!D:H,5,FALSE)),"")</f>
        <v/>
      </c>
      <c r="O163" s="183">
        <f t="shared" ca="1" si="70"/>
        <v>0</v>
      </c>
      <c r="P163" s="183">
        <f t="shared" si="49"/>
        <v>0</v>
      </c>
      <c r="Q163" s="183" t="b">
        <f t="shared" si="50"/>
        <v>0</v>
      </c>
      <c r="R163" s="51" t="str">
        <f t="array" aca="1" ref="R163" ca="1">IFERROR(SMALL(IF(P$1:P$307&lt;&gt;0,P$1:P$307),ROW(A163)),"")</f>
        <v/>
      </c>
      <c r="S163" s="51" t="str">
        <f t="array" aca="1" ref="S163" ca="1">IF($R163&lt;&gt;"",
SUBSTITUTE(SUBSTITUTE(INDIRECT("C"&amp;$R163&amp;"")," 週3ｺｰｽ","")," 週5ｺｰｽ",""),"")</f>
        <v/>
      </c>
      <c r="T163" s="51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91" t="str">
        <f t="array" aca="1" ref="U163" ca="1">IF($R163&lt;&gt;"",
INDIRECT("F"&amp;$R163&amp;""),"")</f>
        <v/>
      </c>
      <c r="V163" s="51" t="str">
        <f t="array" aca="1" ref="V163" ca="1">IF($R163&lt;&gt;"",
INDIRECT("G"&amp;$R163&amp;""),"")</f>
        <v/>
      </c>
      <c r="W163" s="51" t="str">
        <f t="array" aca="1" ref="W163" ca="1">IF($R163&lt;&gt;"",
IF(AND(COUNTIF(INDIRECT("B"&amp;R163&amp;""),"*雙葉*"),COUNTIF(B:B,"*雙葉*")&gt;=2),
IF(OR(COUNTIF(INDIRECT("B"&amp;R163&amp;""),"*雙葉先生*"),COUNTIF($B$1:$B$70,"*雙葉*")&gt;=2),INDIRECT("H"&amp;R163&amp;""),INDIRECT("H"&amp;R163&amp;"")+INDIRECT("H"&amp;MATCH("雙葉'",INDIRECT("B"&amp;R163+3&amp;":B210"),0)+2+R163&amp;"")),
IF(AND(LEFT(INDIRECT("B"&amp;R163&amp;""),2)="博多",COUNTIF(B:B,"*博多*")&gt;=2),
INDIRECT("H"&amp;R163&amp;"")+INDIRECT("H"&amp;MATCH("*"&amp;INDIRECT("B"&amp;R163&amp;"")&amp;"*",INDIRECT("B"&amp;R163+1&amp;":B210"),0)+R163&amp;""),
IF(AND(LEFT(INDIRECT("B"&amp;R163&amp;""),3)="奈良屋",COUNTIF(B:B,"*奈良屋*")&gt;=2),
INDIRECT("H"&amp;R163&amp;"")+INDIRECT("H"&amp;MATCH("*"&amp;INDIRECT("B"&amp;R163&amp;"")&amp;"*",INDIRECT("B"&amp;R163+1&amp;":B210"),0)+R163&amp;"")
+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INDIRECT("H"&amp;R163&amp;"")))),"")</f>
        <v/>
      </c>
      <c r="X163" s="51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51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51" t="str">
        <f t="shared" ca="1" si="51"/>
        <v/>
      </c>
      <c r="AA163" s="51" t="str">
        <f t="shared" ca="1" si="52"/>
        <v/>
      </c>
      <c r="AB163" s="51" t="str">
        <f t="array" aca="1" ref="AB163" ca="1">IF($R163&lt;&gt;"",
IF(AND(COUNTIF(INDIRECT("B"&amp;R163&amp;""),"*雙葉*"),COUNTIF(B:B,"*雙葉*")&gt;=2),
INDIRECT("M"&amp;R163&amp;"")+INDIRECT("M"&amp;MATCH("雙葉'",INDIRECT("B"&amp;R163+1&amp;":B210"),0)+R163&amp;""),
IF(AND(LEFT(INDIRECT("B"&amp;R163&amp;""),2)="博多",COUNTIF(B:B,"*博多*")&gt;=2),
INDIRECT("M"&amp;R163&amp;"")+INDIRECT("M"&amp;MATCH("*"&amp;INDIRECT("B"&amp;R163&amp;"")&amp;"*",INDIRECT("B"&amp;R163+1&amp;":B210"),0)+R163&amp;""),
IF(AND(LEFT(INDIRECT("B"&amp;R163&amp;""),3)="奈良屋",COUNTIF(B:B,"*奈良屋*")&gt;=2),
INDIRECT("M"&amp;R163&amp;"")+INDIRECT("M"&amp;MATCH("*"&amp;INDIRECT("B"&amp;R163&amp;"")&amp;"*",INDIRECT("B"&amp;R163+1&amp;":B210"),0)+R163&amp;"")
+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INDIRECT("M"&amp;R163&amp;"")))),"")</f>
        <v/>
      </c>
      <c r="AC163" s="51" t="str">
        <f t="shared" ca="1" si="53"/>
        <v/>
      </c>
      <c r="AD163" s="51" t="str">
        <f t="shared" ca="1" si="54"/>
        <v/>
      </c>
      <c r="AE163" s="51" t="str">
        <f t="shared" ca="1" si="55"/>
        <v/>
      </c>
      <c r="AF163" s="51" t="str">
        <f t="shared" ca="1" si="56"/>
        <v/>
      </c>
      <c r="AG163" s="51" t="str">
        <f t="shared" ca="1" si="57"/>
        <v/>
      </c>
      <c r="AH163" s="191" t="str">
        <f t="shared" ca="1" si="58"/>
        <v/>
      </c>
      <c r="AI163" s="51" t="str">
        <f t="shared" ca="1" si="59"/>
        <v/>
      </c>
      <c r="AJ163" s="51" t="str">
        <f t="shared" ca="1" si="60"/>
        <v/>
      </c>
      <c r="AK163" s="51" t="str">
        <f t="shared" ca="1" si="61"/>
        <v/>
      </c>
      <c r="AL163" s="51" t="str">
        <f t="shared" ca="1" si="62"/>
        <v/>
      </c>
      <c r="AM163" s="51" t="str">
        <f t="shared" ca="1" si="63"/>
        <v/>
      </c>
      <c r="AN163" s="51" t="str">
        <f t="shared" ca="1" si="64"/>
        <v/>
      </c>
      <c r="AO163" s="51" t="str">
        <f t="shared" ca="1" si="65"/>
        <v/>
      </c>
      <c r="AP163" s="51" t="str">
        <f t="shared" ca="1" si="66"/>
        <v/>
      </c>
      <c r="AU163" s="51" t="str">
        <f t="shared" ca="1" si="67"/>
        <v/>
      </c>
    </row>
    <row r="164" spans="1:47" ht="22.2" customHeight="1">
      <c r="A164" s="184">
        <f t="shared" si="71"/>
        <v>53</v>
      </c>
      <c r="B164" s="183" t="str">
        <f t="shared" ca="1" si="68"/>
        <v/>
      </c>
      <c r="C164" s="183" t="str">
        <f>IF(OR(クライアント抽出!D24&lt;&gt;"",クライアント抽出!G24&lt;&gt;""),クライアント抽出!A24,"")</f>
        <v/>
      </c>
      <c r="D164" s="183" t="str">
        <f t="array" aca="1" ref="D164" ca="1">IF(C164&lt;&gt;"",INDIRECT("クライアント抽出!"&amp;E164&amp;MATCH(C164,クライアント抽出!A:A,0)&amp;""),"")</f>
        <v/>
      </c>
      <c r="E164" s="183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86" t="str">
        <f ca="1">IF(D164&lt;&gt;"",
IF(COUNTIF(C164,"*雙葉*"),
IF(ROUND((H164-M164)
/IF(COUNTIF(D164,"*キャラ*"),
VLOOKUP("*キャラ*",商品マスタ一覧!$D:$E,2,FALSE),
IF(COUNTIF(D164,"*赤*"),
VLOOKUP("*赤*",商品マスタ一覧!$D:$E,2,FALSE),
VLOOKUP("*"&amp;D164&amp;"*",商品マスタ一覧!$D:$E,2,FALSE))),0)&lt;=0,1,
ROUND((H164-M164)
/IF(COUNTIF(D164,"*キャラ*"),
VLOOKUP("*キャラ*",商品マスタ一覧!$D:$E,2,FALSE),
IF(COUNTIF(D164,"*赤*"),
VLOOKUP("*赤*",商品マスタ一覧!$D:$E,2,FALSE),
VLOOKUP("*"&amp;D164&amp;"*",商品マスタ一覧!$D:$E,2,FALSE))),0)),
IF(OR(COUNTIF(D164,"*キャラ*"),COUNTIF(D164,"*赤*")),"",
IF(VLOOKUP("*"&amp;D164&amp;"*",商品マスタ一覧!$D:$E,2,FALSE)=0,"",
IF(ROUND((H164-M164)
/VLOOKUP("*"&amp;D164&amp;"*",商品マスタ一覧!$D:$E,2,FALSE),0)&lt;=0,1,
ROUND((H164-M164)
/VLOOKUP("*"&amp;D164&amp;"*",商品マスタ一覧!$D:$E,2,FALSE),0))))),"")</f>
        <v/>
      </c>
      <c r="G164" s="183" t="str">
        <f ca="1">IF(F164&lt;&gt;"",
IF(VALUE(H164-M164)&gt;VALUE(IF(COUNTIF(D164,"*キャラ*"),
VLOOKUP("*キャラ*",商品マスタ一覧!$D:$E,2,FALSE),
IF(COUNTIF(D164,"*赤*"),
VLOOKUP("*赤*",商品マスタ一覧!$D:$E,2,FALSE),
VLOOKUP("*"&amp;D164&amp;"*",商品マスタ一覧!$D:$E,2,FALSE)))*F164),
"+"&amp;(H164-M164)-IF(COUNTIF(D164,"*キャラ*"),
VLOOKUP("*キャラ*",商品マスタ一覧!$D:$E,2,FALSE),
IF(COUNTIF(D164,"*赤*"),
VLOOKUP("*赤*",商品マスタ一覧!$D:$E,2,FALSE),
VLOOKUP("*"&amp;D164&amp;"*",商品マスタ一覧!$D:$E,2,FALSE)))*F164,
(H164-M164)-IF(COUNTIF(D164,"*キャラ*"),
VLOOKUP("*キャラ*",商品マスタ一覧!$D:$E,2,FALSE),
IF(COUNTIF(D164,"*赤*"),
VLOOKUP("*赤*",商品マスタ一覧!$D:$E,2,FALSE),
VLOOKUP("*"&amp;D164&amp;"*",商品マスタ一覧!$D:$E,2,FALSE)))*F164),"")</f>
        <v/>
      </c>
      <c r="H164" s="185" t="str">
        <f>IF(C164&lt;&gt;"",
クライアント抽出!D24,"")</f>
        <v/>
      </c>
      <c r="I164" s="183" t="str">
        <f>IF(C164&lt;&gt;"",
IF(O164=1,0,クライアント抽出!F24),"")</f>
        <v/>
      </c>
      <c r="J164" s="183" t="str">
        <f>IF(C164&lt;&gt;"",
VLOOKUP(
"*"&amp;LEFT(IF(COUNTIF(D164,"*学食*"),"キャラ弁（学食）",
IF(COUNTIF(D164,"*赤*"),"赤",
IF(COUNTIF(D164,"*キャラ弁当*"),"キャラ弁当",D164))),4)&amp;"*",注文弁当の抽出!$E$1:$F$15,2,FALSE),"")</f>
        <v/>
      </c>
      <c r="K164" s="183" t="str">
        <f ca="1">IF(クライアント抽出!R24&lt;&gt;"",SUBSTITUTE(ADDRESS(1,(CODE(クライアント抽出!R24)-64)*2-1,4),"1",""),"")</f>
        <v/>
      </c>
      <c r="L164" s="183" t="str">
        <f>IF(C24&lt;&gt;"",クライアント抽出!I24,"")</f>
        <v/>
      </c>
      <c r="M164" s="183">
        <f t="array" aca="1" ref="M164" ca="1">IF(C164&lt;&gt;"",
IF(K164&lt;&gt;"",INDIRECT("'数出表_Excel（アレルギー入力）'!"&amp;K164&amp;L164-1&amp;""),),)</f>
        <v>0</v>
      </c>
      <c r="N164" s="183" t="str">
        <f>IF(C164&lt;&gt;"",IF(OR(COUNTIF('盛付札（関数）'!D164,"*赤*"),COUNTIF('盛付札（関数）'!D164,"*キャラ*")),1,
VLOOKUP("*"&amp;D164&amp;"*",商品マスタ一覧!D:H,5,FALSE)),"")</f>
        <v/>
      </c>
      <c r="O164" s="183">
        <f t="shared" ca="1" si="70"/>
        <v>0</v>
      </c>
      <c r="P164" s="183">
        <f t="shared" si="49"/>
        <v>0</v>
      </c>
      <c r="Q164" s="183" t="b">
        <f t="shared" si="50"/>
        <v>0</v>
      </c>
      <c r="R164" s="51" t="str">
        <f t="array" aca="1" ref="R164" ca="1">IFERROR(SMALL(IF(P$1:P$307&lt;&gt;0,P$1:P$307),ROW(A164)),"")</f>
        <v/>
      </c>
      <c r="S164" s="51" t="str">
        <f t="array" aca="1" ref="S164" ca="1">IF($R164&lt;&gt;"",
SUBSTITUTE(SUBSTITUTE(INDIRECT("C"&amp;$R164&amp;"")," 週3ｺｰｽ","")," 週5ｺｰｽ",""),"")</f>
        <v/>
      </c>
      <c r="T164" s="51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91" t="str">
        <f t="array" aca="1" ref="U164" ca="1">IF($R164&lt;&gt;"",
INDIRECT("F"&amp;$R164&amp;""),"")</f>
        <v/>
      </c>
      <c r="V164" s="51" t="str">
        <f t="array" aca="1" ref="V164" ca="1">IF($R164&lt;&gt;"",
INDIRECT("G"&amp;$R164&amp;""),"")</f>
        <v/>
      </c>
      <c r="W164" s="51" t="str">
        <f t="array" aca="1" ref="W164" ca="1">IF($R164&lt;&gt;"",
IF(AND(COUNTIF(INDIRECT("B"&amp;R164&amp;""),"*雙葉*"),COUNTIF(B:B,"*雙葉*")&gt;=2),
IF(OR(COUNTIF(INDIRECT("B"&amp;R164&amp;""),"*雙葉先生*"),COUNTIF($B$1:$B$70,"*雙葉*")&gt;=2),INDIRECT("H"&amp;R164&amp;""),INDIRECT("H"&amp;R164&amp;"")+INDIRECT("H"&amp;MATCH("雙葉'",INDIRECT("B"&amp;R164+3&amp;":B210"),0)+2+R164&amp;"")),
IF(AND(LEFT(INDIRECT("B"&amp;R164&amp;""),2)="博多",COUNTIF(B:B,"*博多*")&gt;=2),
INDIRECT("H"&amp;R164&amp;"")+INDIRECT("H"&amp;MATCH("*"&amp;INDIRECT("B"&amp;R164&amp;"")&amp;"*",INDIRECT("B"&amp;R164+1&amp;":B210"),0)+R164&amp;""),
IF(AND(LEFT(INDIRECT("B"&amp;R164&amp;""),3)="奈良屋",COUNTIF(B:B,"*奈良屋*")&gt;=2),
INDIRECT("H"&amp;R164&amp;"")+INDIRECT("H"&amp;MATCH("*"&amp;INDIRECT("B"&amp;R164&amp;"")&amp;"*",INDIRECT("B"&amp;R164+1&amp;":B210"),0)+R164&amp;"")
+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INDIRECT("H"&amp;R164&amp;"")))),"")</f>
        <v/>
      </c>
      <c r="X164" s="51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51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51" t="str">
        <f t="shared" ca="1" si="51"/>
        <v/>
      </c>
      <c r="AA164" s="51" t="str">
        <f t="shared" ca="1" si="52"/>
        <v/>
      </c>
      <c r="AB164" s="51" t="str">
        <f t="array" aca="1" ref="AB164" ca="1">IF($R164&lt;&gt;"",
IF(AND(COUNTIF(INDIRECT("B"&amp;R164&amp;""),"*雙葉*"),COUNTIF(B:B,"*雙葉*")&gt;=2),
INDIRECT("M"&amp;R164&amp;"")+INDIRECT("M"&amp;MATCH("雙葉'",INDIRECT("B"&amp;R164+1&amp;":B210"),0)+R164&amp;""),
IF(AND(LEFT(INDIRECT("B"&amp;R164&amp;""),2)="博多",COUNTIF(B:B,"*博多*")&gt;=2),
INDIRECT("M"&amp;R164&amp;"")+INDIRECT("M"&amp;MATCH("*"&amp;INDIRECT("B"&amp;R164&amp;"")&amp;"*",INDIRECT("B"&amp;R164+1&amp;":B210"),0)+R164&amp;""),
IF(AND(LEFT(INDIRECT("B"&amp;R164&amp;""),3)="奈良屋",COUNTIF(B:B,"*奈良屋*")&gt;=2),
INDIRECT("M"&amp;R164&amp;"")+INDIRECT("M"&amp;MATCH("*"&amp;INDIRECT("B"&amp;R164&amp;"")&amp;"*",INDIRECT("B"&amp;R164+1&amp;":B210"),0)+R164&amp;"")
+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INDIRECT("M"&amp;R164&amp;"")))),"")</f>
        <v/>
      </c>
      <c r="AC164" s="51" t="str">
        <f t="shared" ca="1" si="53"/>
        <v/>
      </c>
      <c r="AD164" s="51" t="str">
        <f t="shared" ca="1" si="54"/>
        <v/>
      </c>
      <c r="AE164" s="51" t="str">
        <f t="shared" ca="1" si="55"/>
        <v/>
      </c>
      <c r="AF164" s="51" t="str">
        <f t="shared" ca="1" si="56"/>
        <v/>
      </c>
      <c r="AG164" s="51" t="str">
        <f t="shared" ca="1" si="57"/>
        <v/>
      </c>
      <c r="AH164" s="191" t="str">
        <f t="shared" ca="1" si="58"/>
        <v/>
      </c>
      <c r="AI164" s="51" t="str">
        <f t="shared" ca="1" si="59"/>
        <v/>
      </c>
      <c r="AJ164" s="51" t="str">
        <f t="shared" ca="1" si="60"/>
        <v/>
      </c>
      <c r="AK164" s="51" t="str">
        <f t="shared" ca="1" si="61"/>
        <v/>
      </c>
      <c r="AL164" s="51" t="str">
        <f t="shared" ca="1" si="62"/>
        <v/>
      </c>
      <c r="AM164" s="51" t="str">
        <f t="shared" ca="1" si="63"/>
        <v/>
      </c>
      <c r="AN164" s="51" t="str">
        <f t="shared" ca="1" si="64"/>
        <v/>
      </c>
      <c r="AO164" s="51" t="str">
        <f t="shared" ca="1" si="65"/>
        <v/>
      </c>
      <c r="AP164" s="51" t="str">
        <f t="shared" ca="1" si="66"/>
        <v/>
      </c>
      <c r="AU164" s="51" t="str">
        <f t="shared" ca="1" si="67"/>
        <v/>
      </c>
    </row>
    <row r="165" spans="1:47" ht="22.2" customHeight="1">
      <c r="A165" s="184">
        <f t="shared" si="71"/>
        <v>55</v>
      </c>
      <c r="B165" s="183" t="str">
        <f t="shared" ca="1" si="68"/>
        <v/>
      </c>
      <c r="C165" s="183" t="str">
        <f>IF(OR(クライアント抽出!D25&lt;&gt;"",クライアント抽出!G25&lt;&gt;""),クライアント抽出!A25,"")</f>
        <v/>
      </c>
      <c r="D165" s="183" t="str">
        <f t="array" aca="1" ref="D165" ca="1">IF(C165&lt;&gt;"",INDIRECT("クライアント抽出!"&amp;E165&amp;MATCH(C165,クライアント抽出!A:A,0)&amp;""),"")</f>
        <v/>
      </c>
      <c r="E165" s="183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86" t="str">
        <f ca="1">IF(D165&lt;&gt;"",
IF(COUNTIF(C165,"*雙葉*"),
IF(ROUND((H165-M165)
/IF(COUNTIF(D165,"*キャラ*"),
VLOOKUP("*キャラ*",商品マスタ一覧!$D:$E,2,FALSE),
IF(COUNTIF(D165,"*赤*"),
VLOOKUP("*赤*",商品マスタ一覧!$D:$E,2,FALSE),
VLOOKUP("*"&amp;D165&amp;"*",商品マスタ一覧!$D:$E,2,FALSE))),0)&lt;=0,1,
ROUND((H165-M165)
/IF(COUNTIF(D165,"*キャラ*"),
VLOOKUP("*キャラ*",商品マスタ一覧!$D:$E,2,FALSE),
IF(COUNTIF(D165,"*赤*"),
VLOOKUP("*赤*",商品マスタ一覧!$D:$E,2,FALSE),
VLOOKUP("*"&amp;D165&amp;"*",商品マスタ一覧!$D:$E,2,FALSE))),0)),
IF(OR(COUNTIF(D165,"*キャラ*"),COUNTIF(D165,"*赤*")),"",
IF(VLOOKUP("*"&amp;D165&amp;"*",商品マスタ一覧!$D:$E,2,FALSE)=0,"",
IF(ROUND((H165-M165)
/VLOOKUP("*"&amp;D165&amp;"*",商品マスタ一覧!$D:$E,2,FALSE),0)&lt;=0,1,
ROUND((H165-M165)
/VLOOKUP("*"&amp;D165&amp;"*",商品マスタ一覧!$D:$E,2,FALSE),0))))),"")</f>
        <v/>
      </c>
      <c r="G165" s="183" t="str">
        <f ca="1">IF(F165&lt;&gt;"",
IF(VALUE(H165-M165)&gt;VALUE(IF(COUNTIF(D165,"*キャラ*"),
VLOOKUP("*キャラ*",商品マスタ一覧!$D:$E,2,FALSE),
IF(COUNTIF(D165,"*赤*"),
VLOOKUP("*赤*",商品マスタ一覧!$D:$E,2,FALSE),
VLOOKUP("*"&amp;D165&amp;"*",商品マスタ一覧!$D:$E,2,FALSE)))*F165),
"+"&amp;(H165-M165)-IF(COUNTIF(D165,"*キャラ*"),
VLOOKUP("*キャラ*",商品マスタ一覧!$D:$E,2,FALSE),
IF(COUNTIF(D165,"*赤*"),
VLOOKUP("*赤*",商品マスタ一覧!$D:$E,2,FALSE),
VLOOKUP("*"&amp;D165&amp;"*",商品マスタ一覧!$D:$E,2,FALSE)))*F165,
(H165-M165)-IF(COUNTIF(D165,"*キャラ*"),
VLOOKUP("*キャラ*",商品マスタ一覧!$D:$E,2,FALSE),
IF(COUNTIF(D165,"*赤*"),
VLOOKUP("*赤*",商品マスタ一覧!$D:$E,2,FALSE),
VLOOKUP("*"&amp;D165&amp;"*",商品マスタ一覧!$D:$E,2,FALSE)))*F165),"")</f>
        <v/>
      </c>
      <c r="H165" s="185" t="str">
        <f>IF(C165&lt;&gt;"",
クライアント抽出!D25,"")</f>
        <v/>
      </c>
      <c r="I165" s="183" t="str">
        <f>IF(C165&lt;&gt;"",
IF(O165=1,0,クライアント抽出!F25),"")</f>
        <v/>
      </c>
      <c r="J165" s="183" t="str">
        <f>IF(C165&lt;&gt;"",
VLOOKUP(
"*"&amp;LEFT(IF(COUNTIF(D165,"*学食*"),"キャラ弁（学食）",
IF(COUNTIF(D165,"*赤*"),"赤",
IF(COUNTIF(D165,"*キャラ弁当*"),"キャラ弁当",D165))),4)&amp;"*",注文弁当の抽出!$E$1:$F$15,2,FALSE),"")</f>
        <v/>
      </c>
      <c r="K165" s="183" t="str">
        <f ca="1">IF(クライアント抽出!R25&lt;&gt;"",SUBSTITUTE(ADDRESS(1,(CODE(クライアント抽出!R25)-64)*2-1,4),"1",""),"")</f>
        <v/>
      </c>
      <c r="L165" s="183" t="str">
        <f>IF(C25&lt;&gt;"",クライアント抽出!I25,"")</f>
        <v/>
      </c>
      <c r="M165" s="183">
        <f t="array" aca="1" ref="M165" ca="1">IF(C165&lt;&gt;"",
IF(K165&lt;&gt;"",INDIRECT("'数出表_Excel（アレルギー入力）'!"&amp;K165&amp;L165-1&amp;""),),)</f>
        <v>0</v>
      </c>
      <c r="N165" s="183" t="str">
        <f>IF(C165&lt;&gt;"",IF(OR(COUNTIF('盛付札（関数）'!D165,"*赤*"),COUNTIF('盛付札（関数）'!D165,"*キャラ*")),1,
VLOOKUP("*"&amp;D165&amp;"*",商品マスタ一覧!D:H,5,FALSE)),"")</f>
        <v/>
      </c>
      <c r="O165" s="183">
        <f t="shared" ca="1" si="70"/>
        <v>0</v>
      </c>
      <c r="P165" s="183">
        <f t="shared" si="49"/>
        <v>0</v>
      </c>
      <c r="Q165" s="183" t="b">
        <f t="shared" si="50"/>
        <v>0</v>
      </c>
      <c r="R165" s="51" t="str">
        <f t="array" aca="1" ref="R165" ca="1">IFERROR(SMALL(IF(P$1:P$307&lt;&gt;0,P$1:P$307),ROW(A165)),"")</f>
        <v/>
      </c>
      <c r="S165" s="51" t="str">
        <f t="array" aca="1" ref="S165" ca="1">IF($R165&lt;&gt;"",
SUBSTITUTE(SUBSTITUTE(INDIRECT("C"&amp;$R165&amp;"")," 週3ｺｰｽ","")," 週5ｺｰｽ",""),"")</f>
        <v/>
      </c>
      <c r="T165" s="51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91" t="str">
        <f t="array" aca="1" ref="U165" ca="1">IF($R165&lt;&gt;"",
INDIRECT("F"&amp;$R165&amp;""),"")</f>
        <v/>
      </c>
      <c r="V165" s="51" t="str">
        <f t="array" aca="1" ref="V165" ca="1">IF($R165&lt;&gt;"",
INDIRECT("G"&amp;$R165&amp;""),"")</f>
        <v/>
      </c>
      <c r="W165" s="51" t="str">
        <f t="array" aca="1" ref="W165" ca="1">IF($R165&lt;&gt;"",
IF(AND(COUNTIF(INDIRECT("B"&amp;R165&amp;""),"*雙葉*"),COUNTIF(B:B,"*雙葉*")&gt;=2),
IF(OR(COUNTIF(INDIRECT("B"&amp;R165&amp;""),"*雙葉先生*"),COUNTIF($B$1:$B$70,"*雙葉*")&gt;=2),INDIRECT("H"&amp;R165&amp;""),INDIRECT("H"&amp;R165&amp;"")+INDIRECT("H"&amp;MATCH("雙葉'",INDIRECT("B"&amp;R165+3&amp;":B210"),0)+2+R165&amp;"")),
IF(AND(LEFT(INDIRECT("B"&amp;R165&amp;""),2)="博多",COUNTIF(B:B,"*博多*")&gt;=2),
INDIRECT("H"&amp;R165&amp;"")+INDIRECT("H"&amp;MATCH("*"&amp;INDIRECT("B"&amp;R165&amp;"")&amp;"*",INDIRECT("B"&amp;R165+1&amp;":B210"),0)+R165&amp;""),
IF(AND(LEFT(INDIRECT("B"&amp;R165&amp;""),3)="奈良屋",COUNTIF(B:B,"*奈良屋*")&gt;=2),
INDIRECT("H"&amp;R165&amp;"")+INDIRECT("H"&amp;MATCH("*"&amp;INDIRECT("B"&amp;R165&amp;"")&amp;"*",INDIRECT("B"&amp;R165+1&amp;":B210"),0)+R165&amp;"")
+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INDIRECT("H"&amp;R165&amp;"")))),"")</f>
        <v/>
      </c>
      <c r="X165" s="51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51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51" t="str">
        <f t="shared" ca="1" si="51"/>
        <v/>
      </c>
      <c r="AA165" s="51" t="str">
        <f t="shared" ca="1" si="52"/>
        <v/>
      </c>
      <c r="AB165" s="51" t="str">
        <f t="array" aca="1" ref="AB165" ca="1">IF($R165&lt;&gt;"",
IF(AND(COUNTIF(INDIRECT("B"&amp;R165&amp;""),"*雙葉*"),COUNTIF(B:B,"*雙葉*")&gt;=2),
INDIRECT("M"&amp;R165&amp;"")+INDIRECT("M"&amp;MATCH("雙葉'",INDIRECT("B"&amp;R165+1&amp;":B210"),0)+R165&amp;""),
IF(AND(LEFT(INDIRECT("B"&amp;R165&amp;""),2)="博多",COUNTIF(B:B,"*博多*")&gt;=2),
INDIRECT("M"&amp;R165&amp;"")+INDIRECT("M"&amp;MATCH("*"&amp;INDIRECT("B"&amp;R165&amp;"")&amp;"*",INDIRECT("B"&amp;R165+1&amp;":B210"),0)+R165&amp;""),
IF(AND(LEFT(INDIRECT("B"&amp;R165&amp;""),3)="奈良屋",COUNTIF(B:B,"*奈良屋*")&gt;=2),
INDIRECT("M"&amp;R165&amp;"")+INDIRECT("M"&amp;MATCH("*"&amp;INDIRECT("B"&amp;R165&amp;"")&amp;"*",INDIRECT("B"&amp;R165+1&amp;":B210"),0)+R165&amp;"")
+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INDIRECT("M"&amp;R165&amp;"")))),"")</f>
        <v/>
      </c>
      <c r="AC165" s="51" t="str">
        <f t="shared" ca="1" si="53"/>
        <v/>
      </c>
      <c r="AD165" s="51" t="str">
        <f t="shared" ca="1" si="54"/>
        <v/>
      </c>
      <c r="AE165" s="51" t="str">
        <f t="shared" ca="1" si="55"/>
        <v/>
      </c>
      <c r="AF165" s="51" t="str">
        <f t="shared" ca="1" si="56"/>
        <v/>
      </c>
      <c r="AG165" s="51" t="str">
        <f t="shared" ca="1" si="57"/>
        <v/>
      </c>
      <c r="AH165" s="191" t="str">
        <f t="shared" ca="1" si="58"/>
        <v/>
      </c>
      <c r="AI165" s="51" t="str">
        <f t="shared" ca="1" si="59"/>
        <v/>
      </c>
      <c r="AJ165" s="51" t="str">
        <f t="shared" ca="1" si="60"/>
        <v/>
      </c>
      <c r="AK165" s="51" t="str">
        <f t="shared" ca="1" si="61"/>
        <v/>
      </c>
      <c r="AL165" s="51" t="str">
        <f t="shared" ca="1" si="62"/>
        <v/>
      </c>
      <c r="AM165" s="51" t="str">
        <f t="shared" ca="1" si="63"/>
        <v/>
      </c>
      <c r="AN165" s="51" t="str">
        <f t="shared" ca="1" si="64"/>
        <v/>
      </c>
      <c r="AO165" s="51" t="str">
        <f t="shared" ca="1" si="65"/>
        <v/>
      </c>
      <c r="AP165" s="51" t="str">
        <f t="shared" ca="1" si="66"/>
        <v/>
      </c>
      <c r="AU165" s="51" t="str">
        <f t="shared" ca="1" si="67"/>
        <v/>
      </c>
    </row>
    <row r="166" spans="1:47" ht="22.2" customHeight="1">
      <c r="A166" s="184">
        <f t="shared" si="71"/>
        <v>57</v>
      </c>
      <c r="B166" s="183" t="str">
        <f t="shared" ca="1" si="68"/>
        <v/>
      </c>
      <c r="C166" s="183" t="str">
        <f>IF(OR(クライアント抽出!D26&lt;&gt;"",クライアント抽出!G26&lt;&gt;""),クライアント抽出!A26,"")</f>
        <v/>
      </c>
      <c r="D166" s="183" t="str">
        <f t="array" aca="1" ref="D166" ca="1">IF(C166&lt;&gt;"",INDIRECT("クライアント抽出!"&amp;E166&amp;MATCH(C166,クライアント抽出!A:A,0)&amp;""),"")</f>
        <v/>
      </c>
      <c r="E166" s="183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86" t="str">
        <f ca="1">IF(D166&lt;&gt;"",
IF(COUNTIF(C166,"*雙葉*"),
IF(ROUND((H166-M166)
/IF(COUNTIF(D166,"*キャラ*"),
VLOOKUP("*キャラ*",商品マスタ一覧!$D:$E,2,FALSE),
IF(COUNTIF(D166,"*赤*"),
VLOOKUP("*赤*",商品マスタ一覧!$D:$E,2,FALSE),
VLOOKUP("*"&amp;D166&amp;"*",商品マスタ一覧!$D:$E,2,FALSE))),0)&lt;=0,1,
ROUND((H166-M166)
/IF(COUNTIF(D166,"*キャラ*"),
VLOOKUP("*キャラ*",商品マスタ一覧!$D:$E,2,FALSE),
IF(COUNTIF(D166,"*赤*"),
VLOOKUP("*赤*",商品マスタ一覧!$D:$E,2,FALSE),
VLOOKUP("*"&amp;D166&amp;"*",商品マスタ一覧!$D:$E,2,FALSE))),0)),
IF(OR(COUNTIF(D166,"*キャラ*"),COUNTIF(D166,"*赤*")),"",
IF(VLOOKUP("*"&amp;D166&amp;"*",商品マスタ一覧!$D:$E,2,FALSE)=0,"",
IF(ROUND((H166-M166)
/VLOOKUP("*"&amp;D166&amp;"*",商品マスタ一覧!$D:$E,2,FALSE),0)&lt;=0,1,
ROUND((H166-M166)
/VLOOKUP("*"&amp;D166&amp;"*",商品マスタ一覧!$D:$E,2,FALSE),0))))),"")</f>
        <v/>
      </c>
      <c r="G166" s="183" t="str">
        <f ca="1">IF(F166&lt;&gt;"",
IF(VALUE(H166-M166)&gt;VALUE(IF(COUNTIF(D166,"*キャラ*"),
VLOOKUP("*キャラ*",商品マスタ一覧!$D:$E,2,FALSE),
IF(COUNTIF(D166,"*赤*"),
VLOOKUP("*赤*",商品マスタ一覧!$D:$E,2,FALSE),
VLOOKUP("*"&amp;D166&amp;"*",商品マスタ一覧!$D:$E,2,FALSE)))*F166),
"+"&amp;(H166-M166)-IF(COUNTIF(D166,"*キャラ*"),
VLOOKUP("*キャラ*",商品マスタ一覧!$D:$E,2,FALSE),
IF(COUNTIF(D166,"*赤*"),
VLOOKUP("*赤*",商品マスタ一覧!$D:$E,2,FALSE),
VLOOKUP("*"&amp;D166&amp;"*",商品マスタ一覧!$D:$E,2,FALSE)))*F166,
(H166-M166)-IF(COUNTIF(D166,"*キャラ*"),
VLOOKUP("*キャラ*",商品マスタ一覧!$D:$E,2,FALSE),
IF(COUNTIF(D166,"*赤*"),
VLOOKUP("*赤*",商品マスタ一覧!$D:$E,2,FALSE),
VLOOKUP("*"&amp;D166&amp;"*",商品マスタ一覧!$D:$E,2,FALSE)))*F166),"")</f>
        <v/>
      </c>
      <c r="H166" s="185" t="str">
        <f>IF(C166&lt;&gt;"",
クライアント抽出!D26,"")</f>
        <v/>
      </c>
      <c r="I166" s="183" t="str">
        <f>IF(C166&lt;&gt;"",
IF(O166=1,0,クライアント抽出!F26),"")</f>
        <v/>
      </c>
      <c r="J166" s="183" t="str">
        <f>IF(C166&lt;&gt;"",
VLOOKUP(
"*"&amp;LEFT(IF(COUNTIF(D166,"*学食*"),"キャラ弁（学食）",
IF(COUNTIF(D166,"*赤*"),"赤",
IF(COUNTIF(D166,"*キャラ弁当*"),"キャラ弁当",D166))),4)&amp;"*",注文弁当の抽出!$E$1:$F$15,2,FALSE),"")</f>
        <v/>
      </c>
      <c r="K166" s="183" t="str">
        <f ca="1">IF(クライアント抽出!R26&lt;&gt;"",SUBSTITUTE(ADDRESS(1,(CODE(クライアント抽出!R26)-64)*2-1,4),"1",""),"")</f>
        <v/>
      </c>
      <c r="L166" s="183" t="str">
        <f>IF(C26&lt;&gt;"",クライアント抽出!I26,"")</f>
        <v/>
      </c>
      <c r="M166" s="183">
        <f t="array" aca="1" ref="M166" ca="1">IF(C166&lt;&gt;"",
IF(K166&lt;&gt;"",INDIRECT("'数出表_Excel（アレルギー入力）'!"&amp;K166&amp;L166-1&amp;""),),)</f>
        <v>0</v>
      </c>
      <c r="N166" s="183" t="str">
        <f>IF(C166&lt;&gt;"",IF(OR(COUNTIF('盛付札（関数）'!D166,"*赤*"),COUNTIF('盛付札（関数）'!D166,"*キャラ*")),1,
VLOOKUP("*"&amp;D166&amp;"*",商品マスタ一覧!D:H,5,FALSE)),"")</f>
        <v/>
      </c>
      <c r="O166" s="183">
        <f t="shared" ca="1" si="70"/>
        <v>0</v>
      </c>
      <c r="P166" s="183">
        <f t="shared" si="49"/>
        <v>0</v>
      </c>
      <c r="Q166" s="183" t="b">
        <f t="shared" si="50"/>
        <v>0</v>
      </c>
      <c r="R166" s="51" t="str">
        <f t="array" aca="1" ref="R166" ca="1">IFERROR(SMALL(IF(P$1:P$307&lt;&gt;0,P$1:P$307),ROW(A166)),"")</f>
        <v/>
      </c>
      <c r="S166" s="51" t="str">
        <f t="array" aca="1" ref="S166" ca="1">IF($R166&lt;&gt;"",
SUBSTITUTE(SUBSTITUTE(INDIRECT("C"&amp;$R166&amp;"")," 週3ｺｰｽ","")," 週5ｺｰｽ",""),"")</f>
        <v/>
      </c>
      <c r="T166" s="51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91" t="str">
        <f t="array" aca="1" ref="U166" ca="1">IF($R166&lt;&gt;"",
INDIRECT("F"&amp;$R166&amp;""),"")</f>
        <v/>
      </c>
      <c r="V166" s="51" t="str">
        <f t="array" aca="1" ref="V166" ca="1">IF($R166&lt;&gt;"",
INDIRECT("G"&amp;$R166&amp;""),"")</f>
        <v/>
      </c>
      <c r="W166" s="51" t="str">
        <f t="array" aca="1" ref="W166" ca="1">IF($R166&lt;&gt;"",
IF(AND(COUNTIF(INDIRECT("B"&amp;R166&amp;""),"*雙葉*"),COUNTIF(B:B,"*雙葉*")&gt;=2),
IF(OR(COUNTIF(INDIRECT("B"&amp;R166&amp;""),"*雙葉先生*"),COUNTIF($B$1:$B$70,"*雙葉*")&gt;=2),INDIRECT("H"&amp;R166&amp;""),INDIRECT("H"&amp;R166&amp;"")+INDIRECT("H"&amp;MATCH("雙葉'",INDIRECT("B"&amp;R166+3&amp;":B210"),0)+2+R166&amp;"")),
IF(AND(LEFT(INDIRECT("B"&amp;R166&amp;""),2)="博多",COUNTIF(B:B,"*博多*")&gt;=2),
INDIRECT("H"&amp;R166&amp;"")+INDIRECT("H"&amp;MATCH("*"&amp;INDIRECT("B"&amp;R166&amp;"")&amp;"*",INDIRECT("B"&amp;R166+1&amp;":B210"),0)+R166&amp;""),
IF(AND(LEFT(INDIRECT("B"&amp;R166&amp;""),3)="奈良屋",COUNTIF(B:B,"*奈良屋*")&gt;=2),
INDIRECT("H"&amp;R166&amp;"")+INDIRECT("H"&amp;MATCH("*"&amp;INDIRECT("B"&amp;R166&amp;"")&amp;"*",INDIRECT("B"&amp;R166+1&amp;":B210"),0)+R166&amp;"")
+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INDIRECT("H"&amp;R166&amp;"")))),"")</f>
        <v/>
      </c>
      <c r="X166" s="51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51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51" t="str">
        <f t="shared" ca="1" si="51"/>
        <v/>
      </c>
      <c r="AA166" s="51" t="str">
        <f t="shared" ca="1" si="52"/>
        <v/>
      </c>
      <c r="AB166" s="51" t="str">
        <f t="array" aca="1" ref="AB166" ca="1">IF($R166&lt;&gt;"",
IF(AND(COUNTIF(INDIRECT("B"&amp;R166&amp;""),"*雙葉*"),COUNTIF(B:B,"*雙葉*")&gt;=2),
INDIRECT("M"&amp;R166&amp;"")+INDIRECT("M"&amp;MATCH("雙葉'",INDIRECT("B"&amp;R166+1&amp;":B210"),0)+R166&amp;""),
IF(AND(LEFT(INDIRECT("B"&amp;R166&amp;""),2)="博多",COUNTIF(B:B,"*博多*")&gt;=2),
INDIRECT("M"&amp;R166&amp;"")+INDIRECT("M"&amp;MATCH("*"&amp;INDIRECT("B"&amp;R166&amp;"")&amp;"*",INDIRECT("B"&amp;R166+1&amp;":B210"),0)+R166&amp;""),
IF(AND(LEFT(INDIRECT("B"&amp;R166&amp;""),3)="奈良屋",COUNTIF(B:B,"*奈良屋*")&gt;=2),
INDIRECT("M"&amp;R166&amp;"")+INDIRECT("M"&amp;MATCH("*"&amp;INDIRECT("B"&amp;R166&amp;"")&amp;"*",INDIRECT("B"&amp;R166+1&amp;":B210"),0)+R166&amp;"")
+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INDIRECT("M"&amp;R166&amp;"")))),"")</f>
        <v/>
      </c>
      <c r="AC166" s="51" t="str">
        <f t="shared" ca="1" si="53"/>
        <v/>
      </c>
      <c r="AD166" s="51" t="str">
        <f t="shared" ca="1" si="54"/>
        <v/>
      </c>
      <c r="AE166" s="51" t="str">
        <f t="shared" ca="1" si="55"/>
        <v/>
      </c>
      <c r="AF166" s="51" t="str">
        <f t="shared" ca="1" si="56"/>
        <v/>
      </c>
      <c r="AG166" s="51" t="str">
        <f t="shared" ca="1" si="57"/>
        <v/>
      </c>
      <c r="AH166" s="191" t="str">
        <f t="shared" ca="1" si="58"/>
        <v/>
      </c>
      <c r="AI166" s="51" t="str">
        <f t="shared" ca="1" si="59"/>
        <v/>
      </c>
      <c r="AJ166" s="51" t="str">
        <f t="shared" ca="1" si="60"/>
        <v/>
      </c>
      <c r="AK166" s="51" t="str">
        <f t="shared" ca="1" si="61"/>
        <v/>
      </c>
      <c r="AL166" s="51" t="str">
        <f t="shared" ca="1" si="62"/>
        <v/>
      </c>
      <c r="AM166" s="51" t="str">
        <f t="shared" ca="1" si="63"/>
        <v/>
      </c>
      <c r="AN166" s="51" t="str">
        <f t="shared" ca="1" si="64"/>
        <v/>
      </c>
      <c r="AO166" s="51" t="str">
        <f t="shared" ca="1" si="65"/>
        <v/>
      </c>
      <c r="AP166" s="51" t="str">
        <f t="shared" ca="1" si="66"/>
        <v/>
      </c>
      <c r="AU166" s="51" t="str">
        <f t="shared" ca="1" si="67"/>
        <v/>
      </c>
    </row>
    <row r="167" spans="1:47" ht="22.2" customHeight="1">
      <c r="A167" s="184">
        <f t="shared" si="71"/>
        <v>59</v>
      </c>
      <c r="B167" s="183" t="str">
        <f t="shared" ref="B167:B198" ca="1" si="72">IF(COUNTIF(C167,"*雙葉*"),
IF(COUNTIF(INDIRECT("B1:B"&amp;ROW()-1&amp;""),"雙葉"),
IF(COUNTIF(C167,"*先生*"),"雙葉先生","雙葉'"),"雙葉"),
IF(COUNTIF(C167,"*社食*"),"社食'",
IF(LEFT(C167,2)="博多",
IF(IFERROR(TRIM(LEFT(C166,FIND("幼",C166)-1)),TRIM(C166))=IFERROR(TRIM(LEFT(C167,FIND("幼",C167)-1)),TRIM(C167)),
IFERROR(TRIM(LEFT(C167,FIND("幼",C167)-1)),TRIM(C167))&amp;"'",IFERROR(TRIM(LEFT(C167,FIND("幼",C167)-1)),TRIM(C167))),
IF(LEFT(C167,3)="奈良屋",
IF(TRIM(LEFT(C166,FIND("幼",C166)-1))=TRIM(LEFT(C167,FIND("幼",C167)-1)),
"奈良屋'","奈良屋"),""))))</f>
        <v/>
      </c>
      <c r="C167" s="183" t="str">
        <f>IF(OR(クライアント抽出!D27&lt;&gt;"",クライアント抽出!G27&lt;&gt;""),クライアント抽出!A27,"")</f>
        <v/>
      </c>
      <c r="D167" s="183" t="str">
        <f t="array" aca="1" ref="D167" ca="1">IF(C167&lt;&gt;"",INDIRECT("クライアント抽出!"&amp;E167&amp;MATCH(C167,クライアント抽出!A:A,0)&amp;""),"")</f>
        <v/>
      </c>
      <c r="E167" s="183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86" t="str">
        <f ca="1">IF(D167&lt;&gt;"",
IF(COUNTIF(C167,"*雙葉*"),
IF(ROUND((H167-M167)
/IF(COUNTIF(D167,"*キャラ*"),
VLOOKUP("*キャラ*",商品マスタ一覧!$D:$E,2,FALSE),
IF(COUNTIF(D167,"*赤*"),
VLOOKUP("*赤*",商品マスタ一覧!$D:$E,2,FALSE),
VLOOKUP("*"&amp;D167&amp;"*",商品マスタ一覧!$D:$E,2,FALSE))),0)&lt;=0,1,
ROUND((H167-M167)
/IF(COUNTIF(D167,"*キャラ*"),
VLOOKUP("*キャラ*",商品マスタ一覧!$D:$E,2,FALSE),
IF(COUNTIF(D167,"*赤*"),
VLOOKUP("*赤*",商品マスタ一覧!$D:$E,2,FALSE),
VLOOKUP("*"&amp;D167&amp;"*",商品マスタ一覧!$D:$E,2,FALSE))),0)),
IF(OR(COUNTIF(D167,"*キャラ*"),COUNTIF(D167,"*赤*")),"",
IF(VLOOKUP("*"&amp;D167&amp;"*",商品マスタ一覧!$D:$E,2,FALSE)=0,"",
IF(ROUND((H167-M167)
/VLOOKUP("*"&amp;D167&amp;"*",商品マスタ一覧!$D:$E,2,FALSE),0)&lt;=0,1,
ROUND((H167-M167)
/VLOOKUP("*"&amp;D167&amp;"*",商品マスタ一覧!$D:$E,2,FALSE),0))))),"")</f>
        <v/>
      </c>
      <c r="G167" s="183" t="str">
        <f ca="1">IF(F167&lt;&gt;"",
IF(VALUE(H167-M167)&gt;VALUE(IF(COUNTIF(D167,"*キャラ*"),
VLOOKUP("*キャラ*",商品マスタ一覧!$D:$E,2,FALSE),
IF(COUNTIF(D167,"*赤*"),
VLOOKUP("*赤*",商品マスタ一覧!$D:$E,2,FALSE),
VLOOKUP("*"&amp;D167&amp;"*",商品マスタ一覧!$D:$E,2,FALSE)))*F167),
"+"&amp;(H167-M167)-IF(COUNTIF(D167,"*キャラ*"),
VLOOKUP("*キャラ*",商品マスタ一覧!$D:$E,2,FALSE),
IF(COUNTIF(D167,"*赤*"),
VLOOKUP("*赤*",商品マスタ一覧!$D:$E,2,FALSE),
VLOOKUP("*"&amp;D167&amp;"*",商品マスタ一覧!$D:$E,2,FALSE)))*F167,
(H167-M167)-IF(COUNTIF(D167,"*キャラ*"),
VLOOKUP("*キャラ*",商品マスタ一覧!$D:$E,2,FALSE),
IF(COUNTIF(D167,"*赤*"),
VLOOKUP("*赤*",商品マスタ一覧!$D:$E,2,FALSE),
VLOOKUP("*"&amp;D167&amp;"*",商品マスタ一覧!$D:$E,2,FALSE)))*F167),"")</f>
        <v/>
      </c>
      <c r="H167" s="185" t="str">
        <f>IF(C167&lt;&gt;"",
クライアント抽出!D27,"")</f>
        <v/>
      </c>
      <c r="I167" s="183" t="str">
        <f>IF(C167&lt;&gt;"",
IF(O167=1,0,クライアント抽出!F27),"")</f>
        <v/>
      </c>
      <c r="J167" s="183" t="str">
        <f>IF(C167&lt;&gt;"",
VLOOKUP(
"*"&amp;LEFT(IF(COUNTIF(D167,"*学食*"),"キャラ弁（学食）",
IF(COUNTIF(D167,"*赤*"),"赤",
IF(COUNTIF(D167,"*キャラ弁当*"),"キャラ弁当",D167))),4)&amp;"*",注文弁当の抽出!$E$1:$F$15,2,FALSE),"")</f>
        <v/>
      </c>
      <c r="K167" s="183" t="str">
        <f ca="1">IF(クライアント抽出!R27&lt;&gt;"",SUBSTITUTE(ADDRESS(1,(CODE(クライアント抽出!R27)-64)*2-1,4),"1",""),"")</f>
        <v/>
      </c>
      <c r="L167" s="183" t="str">
        <f>IF(C27&lt;&gt;"",クライアント抽出!I27,"")</f>
        <v/>
      </c>
      <c r="M167" s="183">
        <f t="array" aca="1" ref="M167" ca="1">IF(C167&lt;&gt;"",
IF(K167&lt;&gt;"",INDIRECT("'数出表_Excel（アレルギー入力）'!"&amp;K167&amp;L167-1&amp;""),),)</f>
        <v>0</v>
      </c>
      <c r="N167" s="183" t="str">
        <f>IF(C167&lt;&gt;"",IF(OR(COUNTIF('盛付札（関数）'!D167,"*赤*"),COUNTIF('盛付札（関数）'!D167,"*キャラ*")),1,
VLOOKUP("*"&amp;D167&amp;"*",商品マスタ一覧!D:H,5,FALSE)),"")</f>
        <v/>
      </c>
      <c r="O167" s="183">
        <f t="shared" ca="1" si="70"/>
        <v>0</v>
      </c>
      <c r="P167" s="183">
        <f t="shared" si="49"/>
        <v>0</v>
      </c>
      <c r="Q167" s="183" t="b">
        <f t="shared" si="50"/>
        <v>0</v>
      </c>
      <c r="R167" s="51" t="str">
        <f t="array" aca="1" ref="R167" ca="1">IFERROR(SMALL(IF(P$1:P$307&lt;&gt;0,P$1:P$307),ROW(A167)),"")</f>
        <v/>
      </c>
      <c r="S167" s="51" t="str">
        <f t="array" aca="1" ref="S167" ca="1">IF($R167&lt;&gt;"",
SUBSTITUTE(SUBSTITUTE(INDIRECT("C"&amp;$R167&amp;"")," 週3ｺｰｽ","")," 週5ｺｰｽ",""),"")</f>
        <v/>
      </c>
      <c r="T167" s="51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91" t="str">
        <f t="array" aca="1" ref="U167" ca="1">IF($R167&lt;&gt;"",
INDIRECT("F"&amp;$R167&amp;""),"")</f>
        <v/>
      </c>
      <c r="V167" s="51" t="str">
        <f t="array" aca="1" ref="V167" ca="1">IF($R167&lt;&gt;"",
INDIRECT("G"&amp;$R167&amp;""),"")</f>
        <v/>
      </c>
      <c r="W167" s="51" t="str">
        <f t="array" aca="1" ref="W167" ca="1">IF($R167&lt;&gt;"",
IF(AND(COUNTIF(INDIRECT("B"&amp;R167&amp;""),"*雙葉*"),COUNTIF(B:B,"*雙葉*")&gt;=2),
IF(OR(COUNTIF(INDIRECT("B"&amp;R167&amp;""),"*雙葉先生*"),COUNTIF($B$1:$B$70,"*雙葉*")&gt;=2),INDIRECT("H"&amp;R167&amp;""),INDIRECT("H"&amp;R167&amp;"")+INDIRECT("H"&amp;MATCH("雙葉'",INDIRECT("B"&amp;R167+3&amp;":B210"),0)+2+R167&amp;"")),
IF(AND(LEFT(INDIRECT("B"&amp;R167&amp;""),2)="博多",COUNTIF(B:B,"*博多*")&gt;=2),
INDIRECT("H"&amp;R167&amp;"")+INDIRECT("H"&amp;MATCH("*"&amp;INDIRECT("B"&amp;R167&amp;"")&amp;"*",INDIRECT("B"&amp;R167+1&amp;":B210"),0)+R167&amp;""),
IF(AND(LEFT(INDIRECT("B"&amp;R167&amp;""),3)="奈良屋",COUNTIF(B:B,"*奈良屋*")&gt;=2),
INDIRECT("H"&amp;R167&amp;"")+INDIRECT("H"&amp;MATCH("*"&amp;INDIRECT("B"&amp;R167&amp;"")&amp;"*",INDIRECT("B"&amp;R167+1&amp;":B210"),0)+R167&amp;"")
+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INDIRECT("H"&amp;R167&amp;"")))),"")</f>
        <v/>
      </c>
      <c r="X167" s="51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51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51" t="str">
        <f t="shared" ca="1" si="51"/>
        <v/>
      </c>
      <c r="AA167" s="51" t="str">
        <f t="shared" ca="1" si="52"/>
        <v/>
      </c>
      <c r="AB167" s="51" t="str">
        <f t="array" aca="1" ref="AB167" ca="1">IF($R167&lt;&gt;"",
IF(AND(COUNTIF(INDIRECT("B"&amp;R167&amp;""),"*雙葉*"),COUNTIF(B:B,"*雙葉*")&gt;=2),
INDIRECT("M"&amp;R167&amp;"")+INDIRECT("M"&amp;MATCH("雙葉'",INDIRECT("B"&amp;R167+1&amp;":B210"),0)+R167&amp;""),
IF(AND(LEFT(INDIRECT("B"&amp;R167&amp;""),2)="博多",COUNTIF(B:B,"*博多*")&gt;=2),
INDIRECT("M"&amp;R167&amp;"")+INDIRECT("M"&amp;MATCH("*"&amp;INDIRECT("B"&amp;R167&amp;"")&amp;"*",INDIRECT("B"&amp;R167+1&amp;":B210"),0)+R167&amp;""),
IF(AND(LEFT(INDIRECT("B"&amp;R167&amp;""),3)="奈良屋",COUNTIF(B:B,"*奈良屋*")&gt;=2),
INDIRECT("M"&amp;R167&amp;"")+INDIRECT("M"&amp;MATCH("*"&amp;INDIRECT("B"&amp;R167&amp;"")&amp;"*",INDIRECT("B"&amp;R167+1&amp;":B210"),0)+R167&amp;"")
+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INDIRECT("M"&amp;R167&amp;"")))),"")</f>
        <v/>
      </c>
      <c r="AC167" s="51" t="str">
        <f t="shared" ca="1" si="53"/>
        <v/>
      </c>
      <c r="AD167" s="51" t="str">
        <f t="shared" ca="1" si="54"/>
        <v/>
      </c>
      <c r="AE167" s="51" t="str">
        <f t="shared" ca="1" si="55"/>
        <v/>
      </c>
      <c r="AF167" s="51" t="str">
        <f t="shared" ca="1" si="56"/>
        <v/>
      </c>
      <c r="AG167" s="51" t="str">
        <f t="shared" ca="1" si="57"/>
        <v/>
      </c>
      <c r="AH167" s="191" t="str">
        <f t="shared" ca="1" si="58"/>
        <v/>
      </c>
      <c r="AI167" s="51" t="str">
        <f t="shared" ca="1" si="59"/>
        <v/>
      </c>
      <c r="AJ167" s="51" t="str">
        <f t="shared" ca="1" si="60"/>
        <v/>
      </c>
      <c r="AK167" s="51" t="str">
        <f t="shared" ca="1" si="61"/>
        <v/>
      </c>
      <c r="AL167" s="51" t="str">
        <f t="shared" ca="1" si="62"/>
        <v/>
      </c>
      <c r="AM167" s="51" t="str">
        <f t="shared" ca="1" si="63"/>
        <v/>
      </c>
      <c r="AN167" s="51" t="str">
        <f t="shared" ca="1" si="64"/>
        <v/>
      </c>
      <c r="AO167" s="51" t="str">
        <f t="shared" ca="1" si="65"/>
        <v/>
      </c>
      <c r="AP167" s="51" t="str">
        <f t="shared" ca="1" si="66"/>
        <v/>
      </c>
      <c r="AU167" s="51" t="str">
        <f t="shared" ca="1" si="67"/>
        <v/>
      </c>
    </row>
    <row r="168" spans="1:47" ht="22.2" customHeight="1">
      <c r="A168" s="184">
        <f t="shared" si="71"/>
        <v>61</v>
      </c>
      <c r="B168" s="183" t="str">
        <f t="shared" ca="1" si="72"/>
        <v/>
      </c>
      <c r="C168" s="183" t="str">
        <f>IF(OR(クライアント抽出!D28&lt;&gt;"",クライアント抽出!G28&lt;&gt;""),クライアント抽出!A28,"")</f>
        <v/>
      </c>
      <c r="D168" s="183" t="str">
        <f t="array" aca="1" ref="D168" ca="1">IF(C168&lt;&gt;"",INDIRECT("クライアント抽出!"&amp;E168&amp;MATCH(C168,クライアント抽出!A:A,0)&amp;""),"")</f>
        <v/>
      </c>
      <c r="E168" s="183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86" t="str">
        <f ca="1">IF(D168&lt;&gt;"",
IF(COUNTIF(C168,"*雙葉*"),
IF(ROUND((H168-M168)
/IF(COUNTIF(D168,"*キャラ*"),
VLOOKUP("*キャラ*",商品マスタ一覧!$D:$E,2,FALSE),
IF(COUNTIF(D168,"*赤*"),
VLOOKUP("*赤*",商品マスタ一覧!$D:$E,2,FALSE),
VLOOKUP("*"&amp;D168&amp;"*",商品マスタ一覧!$D:$E,2,FALSE))),0)&lt;=0,1,
ROUND((H168-M168)
/IF(COUNTIF(D168,"*キャラ*"),
VLOOKUP("*キャラ*",商品マスタ一覧!$D:$E,2,FALSE),
IF(COUNTIF(D168,"*赤*"),
VLOOKUP("*赤*",商品マスタ一覧!$D:$E,2,FALSE),
VLOOKUP("*"&amp;D168&amp;"*",商品マスタ一覧!$D:$E,2,FALSE))),0)),
IF(OR(COUNTIF(D168,"*キャラ*"),COUNTIF(D168,"*赤*")),"",
IF(VLOOKUP("*"&amp;D168&amp;"*",商品マスタ一覧!$D:$E,2,FALSE)=0,"",
IF(ROUND((H168-M168)
/VLOOKUP("*"&amp;D168&amp;"*",商品マスタ一覧!$D:$E,2,FALSE),0)&lt;=0,1,
ROUND((H168-M168)
/VLOOKUP("*"&amp;D168&amp;"*",商品マスタ一覧!$D:$E,2,FALSE),0))))),"")</f>
        <v/>
      </c>
      <c r="G168" s="183" t="str">
        <f ca="1">IF(F168&lt;&gt;"",
IF(VALUE(H168-M168)&gt;VALUE(IF(COUNTIF(D168,"*キャラ*"),
VLOOKUP("*キャラ*",商品マスタ一覧!$D:$E,2,FALSE),
IF(COUNTIF(D168,"*赤*"),
VLOOKUP("*赤*",商品マスタ一覧!$D:$E,2,FALSE),
VLOOKUP("*"&amp;D168&amp;"*",商品マスタ一覧!$D:$E,2,FALSE)))*F168),
"+"&amp;(H168-M168)-IF(COUNTIF(D168,"*キャラ*"),
VLOOKUP("*キャラ*",商品マスタ一覧!$D:$E,2,FALSE),
IF(COUNTIF(D168,"*赤*"),
VLOOKUP("*赤*",商品マスタ一覧!$D:$E,2,FALSE),
VLOOKUP("*"&amp;D168&amp;"*",商品マスタ一覧!$D:$E,2,FALSE)))*F168,
(H168-M168)-IF(COUNTIF(D168,"*キャラ*"),
VLOOKUP("*キャラ*",商品マスタ一覧!$D:$E,2,FALSE),
IF(COUNTIF(D168,"*赤*"),
VLOOKUP("*赤*",商品マスタ一覧!$D:$E,2,FALSE),
VLOOKUP("*"&amp;D168&amp;"*",商品マスタ一覧!$D:$E,2,FALSE)))*F168),"")</f>
        <v/>
      </c>
      <c r="H168" s="185" t="str">
        <f>IF(C168&lt;&gt;"",
クライアント抽出!D28,"")</f>
        <v/>
      </c>
      <c r="I168" s="183" t="str">
        <f>IF(C168&lt;&gt;"",
IF(O168=1,0,クライアント抽出!F28),"")</f>
        <v/>
      </c>
      <c r="J168" s="183" t="str">
        <f>IF(C168&lt;&gt;"",
VLOOKUP(
"*"&amp;LEFT(IF(COUNTIF(D168,"*学食*"),"キャラ弁（学食）",
IF(COUNTIF(D168,"*赤*"),"赤",
IF(COUNTIF(D168,"*キャラ弁当*"),"キャラ弁当",D168))),4)&amp;"*",注文弁当の抽出!$E$1:$F$15,2,FALSE),"")</f>
        <v/>
      </c>
      <c r="K168" s="183" t="str">
        <f ca="1">IF(クライアント抽出!R28&lt;&gt;"",SUBSTITUTE(ADDRESS(1,(CODE(クライアント抽出!R28)-64)*2-1,4),"1",""),"")</f>
        <v/>
      </c>
      <c r="L168" s="183" t="str">
        <f>IF(C28&lt;&gt;"",クライアント抽出!I28,"")</f>
        <v/>
      </c>
      <c r="M168" s="183">
        <f t="array" aca="1" ref="M168" ca="1">IF(C168&lt;&gt;"",
IF(K168&lt;&gt;"",INDIRECT("'数出表_Excel（アレルギー入力）'!"&amp;K168&amp;L168-1&amp;""),),)</f>
        <v>0</v>
      </c>
      <c r="N168" s="183" t="str">
        <f>IF(C168&lt;&gt;"",IF(OR(COUNTIF('盛付札（関数）'!D168,"*赤*"),COUNTIF('盛付札（関数）'!D168,"*キャラ*")),1,
VLOOKUP("*"&amp;D168&amp;"*",商品マスタ一覧!D:H,5,FALSE)),"")</f>
        <v/>
      </c>
      <c r="O168" s="183">
        <f t="shared" ca="1" si="70"/>
        <v>0</v>
      </c>
      <c r="P168" s="183">
        <f t="shared" si="49"/>
        <v>0</v>
      </c>
      <c r="Q168" s="183" t="b">
        <f t="shared" si="50"/>
        <v>0</v>
      </c>
      <c r="R168" s="51" t="str">
        <f t="array" aca="1" ref="R168" ca="1">IFERROR(SMALL(IF(P$1:P$307&lt;&gt;0,P$1:P$307),ROW(A168)),"")</f>
        <v/>
      </c>
      <c r="S168" s="51" t="str">
        <f t="array" aca="1" ref="S168" ca="1">IF($R168&lt;&gt;"",
SUBSTITUTE(SUBSTITUTE(INDIRECT("C"&amp;$R168&amp;"")," 週3ｺｰｽ","")," 週5ｺｰｽ",""),"")</f>
        <v/>
      </c>
      <c r="T168" s="51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91" t="str">
        <f t="array" aca="1" ref="U168" ca="1">IF($R168&lt;&gt;"",
INDIRECT("F"&amp;$R168&amp;""),"")</f>
        <v/>
      </c>
      <c r="V168" s="51" t="str">
        <f t="array" aca="1" ref="V168" ca="1">IF($R168&lt;&gt;"",
INDIRECT("G"&amp;$R168&amp;""),"")</f>
        <v/>
      </c>
      <c r="W168" s="51" t="str">
        <f t="array" aca="1" ref="W168" ca="1">IF($R168&lt;&gt;"",
IF(AND(COUNTIF(INDIRECT("B"&amp;R168&amp;""),"*雙葉*"),COUNTIF(B:B,"*雙葉*")&gt;=2),
IF(OR(COUNTIF(INDIRECT("B"&amp;R168&amp;""),"*雙葉先生*"),COUNTIF($B$1:$B$70,"*雙葉*")&gt;=2),INDIRECT("H"&amp;R168&amp;""),INDIRECT("H"&amp;R168&amp;"")+INDIRECT("H"&amp;MATCH("雙葉'",INDIRECT("B"&amp;R168+3&amp;":B210"),0)+2+R168&amp;"")),
IF(AND(LEFT(INDIRECT("B"&amp;R168&amp;""),2)="博多",COUNTIF(B:B,"*博多*")&gt;=2),
INDIRECT("H"&amp;R168&amp;"")+INDIRECT("H"&amp;MATCH("*"&amp;INDIRECT("B"&amp;R168&amp;"")&amp;"*",INDIRECT("B"&amp;R168+1&amp;":B210"),0)+R168&amp;""),
IF(AND(LEFT(INDIRECT("B"&amp;R168&amp;""),3)="奈良屋",COUNTIF(B:B,"*奈良屋*")&gt;=2),
INDIRECT("H"&amp;R168&amp;"")+INDIRECT("H"&amp;MATCH("*"&amp;INDIRECT("B"&amp;R168&amp;"")&amp;"*",INDIRECT("B"&amp;R168+1&amp;":B210"),0)+R168&amp;"")
+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INDIRECT("H"&amp;R168&amp;"")))),"")</f>
        <v/>
      </c>
      <c r="X168" s="51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51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51" t="str">
        <f t="shared" ca="1" si="51"/>
        <v/>
      </c>
      <c r="AA168" s="51" t="str">
        <f t="shared" ca="1" si="52"/>
        <v/>
      </c>
      <c r="AB168" s="51" t="str">
        <f t="array" aca="1" ref="AB168" ca="1">IF($R168&lt;&gt;"",
IF(AND(COUNTIF(INDIRECT("B"&amp;R168&amp;""),"*雙葉*"),COUNTIF(B:B,"*雙葉*")&gt;=2),
INDIRECT("M"&amp;R168&amp;"")+INDIRECT("M"&amp;MATCH("雙葉'",INDIRECT("B"&amp;R168+1&amp;":B210"),0)+R168&amp;""),
IF(AND(LEFT(INDIRECT("B"&amp;R168&amp;""),2)="博多",COUNTIF(B:B,"*博多*")&gt;=2),
INDIRECT("M"&amp;R168&amp;"")+INDIRECT("M"&amp;MATCH("*"&amp;INDIRECT("B"&amp;R168&amp;"")&amp;"*",INDIRECT("B"&amp;R168+1&amp;":B210"),0)+R168&amp;""),
IF(AND(LEFT(INDIRECT("B"&amp;R168&amp;""),3)="奈良屋",COUNTIF(B:B,"*奈良屋*")&gt;=2),
INDIRECT("M"&amp;R168&amp;"")+INDIRECT("M"&amp;MATCH("*"&amp;INDIRECT("B"&amp;R168&amp;"")&amp;"*",INDIRECT("B"&amp;R168+1&amp;":B210"),0)+R168&amp;"")
+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INDIRECT("M"&amp;R168&amp;"")))),"")</f>
        <v/>
      </c>
      <c r="AC168" s="51" t="str">
        <f t="shared" ca="1" si="53"/>
        <v/>
      </c>
      <c r="AD168" s="51" t="str">
        <f t="shared" ca="1" si="54"/>
        <v/>
      </c>
      <c r="AE168" s="51" t="str">
        <f t="shared" ca="1" si="55"/>
        <v/>
      </c>
      <c r="AF168" s="51" t="str">
        <f t="shared" ca="1" si="56"/>
        <v/>
      </c>
      <c r="AG168" s="51" t="str">
        <f t="shared" ca="1" si="57"/>
        <v/>
      </c>
      <c r="AH168" s="191" t="str">
        <f t="shared" ca="1" si="58"/>
        <v/>
      </c>
      <c r="AI168" s="51" t="str">
        <f t="shared" ca="1" si="59"/>
        <v/>
      </c>
      <c r="AJ168" s="51" t="str">
        <f t="shared" ca="1" si="60"/>
        <v/>
      </c>
      <c r="AK168" s="51" t="str">
        <f t="shared" ca="1" si="61"/>
        <v/>
      </c>
      <c r="AL168" s="51" t="str">
        <f t="shared" ca="1" si="62"/>
        <v/>
      </c>
      <c r="AM168" s="51" t="str">
        <f t="shared" ca="1" si="63"/>
        <v/>
      </c>
      <c r="AN168" s="51" t="str">
        <f t="shared" ca="1" si="64"/>
        <v/>
      </c>
      <c r="AO168" s="51" t="str">
        <f t="shared" ca="1" si="65"/>
        <v/>
      </c>
      <c r="AP168" s="51" t="str">
        <f t="shared" ca="1" si="66"/>
        <v/>
      </c>
      <c r="AU168" s="51" t="str">
        <f t="shared" ca="1" si="67"/>
        <v/>
      </c>
    </row>
    <row r="169" spans="1:47" ht="22.2" customHeight="1">
      <c r="A169" s="184">
        <f t="shared" si="71"/>
        <v>63</v>
      </c>
      <c r="B169" s="183" t="str">
        <f t="shared" ca="1" si="72"/>
        <v/>
      </c>
      <c r="C169" s="183" t="str">
        <f>IF(OR(クライアント抽出!D29&lt;&gt;"",クライアント抽出!G29&lt;&gt;""),クライアント抽出!A29,"")</f>
        <v/>
      </c>
      <c r="D169" s="183" t="str">
        <f t="array" aca="1" ref="D169" ca="1">IF(C169&lt;&gt;"",INDIRECT("クライアント抽出!"&amp;E169&amp;MATCH(C169,クライアント抽出!A:A,0)&amp;""),"")</f>
        <v/>
      </c>
      <c r="E169" s="183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86" t="str">
        <f ca="1">IF(D169&lt;&gt;"",
IF(COUNTIF(C169,"*雙葉*"),
IF(ROUND((H169-M169)
/IF(COUNTIF(D169,"*キャラ*"),
VLOOKUP("*キャラ*",商品マスタ一覧!$D:$E,2,FALSE),
IF(COUNTIF(D169,"*赤*"),
VLOOKUP("*赤*",商品マスタ一覧!$D:$E,2,FALSE),
VLOOKUP("*"&amp;D169&amp;"*",商品マスタ一覧!$D:$E,2,FALSE))),0)&lt;=0,1,
ROUND((H169-M169)
/IF(COUNTIF(D169,"*キャラ*"),
VLOOKUP("*キャラ*",商品マスタ一覧!$D:$E,2,FALSE),
IF(COUNTIF(D169,"*赤*"),
VLOOKUP("*赤*",商品マスタ一覧!$D:$E,2,FALSE),
VLOOKUP("*"&amp;D169&amp;"*",商品マスタ一覧!$D:$E,2,FALSE))),0)),
IF(OR(COUNTIF(D169,"*キャラ*"),COUNTIF(D169,"*赤*")),"",
IF(VLOOKUP("*"&amp;D169&amp;"*",商品マスタ一覧!$D:$E,2,FALSE)=0,"",
IF(ROUND((H169-M169)
/VLOOKUP("*"&amp;D169&amp;"*",商品マスタ一覧!$D:$E,2,FALSE),0)&lt;=0,1,
ROUND((H169-M169)
/VLOOKUP("*"&amp;D169&amp;"*",商品マスタ一覧!$D:$E,2,FALSE),0))))),"")</f>
        <v/>
      </c>
      <c r="G169" s="183" t="str">
        <f ca="1">IF(F169&lt;&gt;"",
IF(VALUE(H169-M169)&gt;VALUE(IF(COUNTIF(D169,"*キャラ*"),
VLOOKUP("*キャラ*",商品マスタ一覧!$D:$E,2,FALSE),
IF(COUNTIF(D169,"*赤*"),
VLOOKUP("*赤*",商品マスタ一覧!$D:$E,2,FALSE),
VLOOKUP("*"&amp;D169&amp;"*",商品マスタ一覧!$D:$E,2,FALSE)))*F169),
"+"&amp;(H169-M169)-IF(COUNTIF(D169,"*キャラ*"),
VLOOKUP("*キャラ*",商品マスタ一覧!$D:$E,2,FALSE),
IF(COUNTIF(D169,"*赤*"),
VLOOKUP("*赤*",商品マスタ一覧!$D:$E,2,FALSE),
VLOOKUP("*"&amp;D169&amp;"*",商品マスタ一覧!$D:$E,2,FALSE)))*F169,
(H169-M169)-IF(COUNTIF(D169,"*キャラ*"),
VLOOKUP("*キャラ*",商品マスタ一覧!$D:$E,2,FALSE),
IF(COUNTIF(D169,"*赤*"),
VLOOKUP("*赤*",商品マスタ一覧!$D:$E,2,FALSE),
VLOOKUP("*"&amp;D169&amp;"*",商品マスタ一覧!$D:$E,2,FALSE)))*F169),"")</f>
        <v/>
      </c>
      <c r="H169" s="185" t="str">
        <f>IF(C169&lt;&gt;"",
クライアント抽出!D29,"")</f>
        <v/>
      </c>
      <c r="I169" s="183" t="str">
        <f>IF(C169&lt;&gt;"",
IF(O169=1,0,クライアント抽出!F29),"")</f>
        <v/>
      </c>
      <c r="J169" s="183" t="str">
        <f>IF(C169&lt;&gt;"",
VLOOKUP(
"*"&amp;LEFT(IF(COUNTIF(D169,"*学食*"),"キャラ弁（学食）",
IF(COUNTIF(D169,"*赤*"),"赤",
IF(COUNTIF(D169,"*キャラ弁当*"),"キャラ弁当",D169))),4)&amp;"*",注文弁当の抽出!$E$1:$F$15,2,FALSE),"")</f>
        <v/>
      </c>
      <c r="K169" s="183" t="str">
        <f ca="1">IF(クライアント抽出!R29&lt;&gt;"",SUBSTITUTE(ADDRESS(1,(CODE(クライアント抽出!R29)-64)*2-1,4),"1",""),"")</f>
        <v/>
      </c>
      <c r="L169" s="183" t="str">
        <f>IF(C29&lt;&gt;"",クライアント抽出!I29,"")</f>
        <v/>
      </c>
      <c r="M169" s="183">
        <f t="array" aca="1" ref="M169" ca="1">IF(C169&lt;&gt;"",
IF(K169&lt;&gt;"",INDIRECT("'数出表_Excel（アレルギー入力）'!"&amp;K169&amp;L169-1&amp;""),),)</f>
        <v>0</v>
      </c>
      <c r="N169" s="183" t="str">
        <f>IF(C169&lt;&gt;"",IF(OR(COUNTIF('盛付札（関数）'!D169,"*赤*"),COUNTIF('盛付札（関数）'!D169,"*キャラ*")),1,
VLOOKUP("*"&amp;D169&amp;"*",商品マスタ一覧!D:H,5,FALSE)),"")</f>
        <v/>
      </c>
      <c r="O169" s="183">
        <f t="shared" ca="1" si="70"/>
        <v>0</v>
      </c>
      <c r="P169" s="183">
        <f t="shared" si="49"/>
        <v>0</v>
      </c>
      <c r="Q169" s="183" t="b">
        <f t="shared" si="50"/>
        <v>0</v>
      </c>
      <c r="R169" s="51" t="str">
        <f t="array" aca="1" ref="R169" ca="1">IFERROR(SMALL(IF(P$1:P$307&lt;&gt;0,P$1:P$307),ROW(A169)),"")</f>
        <v/>
      </c>
      <c r="S169" s="51" t="str">
        <f t="array" aca="1" ref="S169" ca="1">IF($R169&lt;&gt;"",
SUBSTITUTE(SUBSTITUTE(INDIRECT("C"&amp;$R169&amp;"")," 週3ｺｰｽ","")," 週5ｺｰｽ",""),"")</f>
        <v/>
      </c>
      <c r="T169" s="51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91" t="str">
        <f t="array" aca="1" ref="U169" ca="1">IF($R169&lt;&gt;"",
INDIRECT("F"&amp;$R169&amp;""),"")</f>
        <v/>
      </c>
      <c r="V169" s="51" t="str">
        <f t="array" aca="1" ref="V169" ca="1">IF($R169&lt;&gt;"",
INDIRECT("G"&amp;$R169&amp;""),"")</f>
        <v/>
      </c>
      <c r="W169" s="51" t="str">
        <f t="array" aca="1" ref="W169" ca="1">IF($R169&lt;&gt;"",
IF(AND(COUNTIF(INDIRECT("B"&amp;R169&amp;""),"*雙葉*"),COUNTIF(B:B,"*雙葉*")&gt;=2),
IF(OR(COUNTIF(INDIRECT("B"&amp;R169&amp;""),"*雙葉先生*"),COUNTIF($B$1:$B$70,"*雙葉*")&gt;=2),INDIRECT("H"&amp;R169&amp;""),INDIRECT("H"&amp;R169&amp;"")+INDIRECT("H"&amp;MATCH("雙葉'",INDIRECT("B"&amp;R169+3&amp;":B210"),0)+2+R169&amp;"")),
IF(AND(LEFT(INDIRECT("B"&amp;R169&amp;""),2)="博多",COUNTIF(B:B,"*博多*")&gt;=2),
INDIRECT("H"&amp;R169&amp;"")+INDIRECT("H"&amp;MATCH("*"&amp;INDIRECT("B"&amp;R169&amp;"")&amp;"*",INDIRECT("B"&amp;R169+1&amp;":B210"),0)+R169&amp;""),
IF(AND(LEFT(INDIRECT("B"&amp;R169&amp;""),3)="奈良屋",COUNTIF(B:B,"*奈良屋*")&gt;=2),
INDIRECT("H"&amp;R169&amp;"")+INDIRECT("H"&amp;MATCH("*"&amp;INDIRECT("B"&amp;R169&amp;"")&amp;"*",INDIRECT("B"&amp;R169+1&amp;":B210"),0)+R169&amp;"")
+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INDIRECT("H"&amp;R169&amp;"")))),"")</f>
        <v/>
      </c>
      <c r="X169" s="51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51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51" t="str">
        <f t="shared" ca="1" si="51"/>
        <v/>
      </c>
      <c r="AA169" s="51" t="str">
        <f t="shared" ca="1" si="52"/>
        <v/>
      </c>
      <c r="AB169" s="51" t="str">
        <f t="array" aca="1" ref="AB169" ca="1">IF($R169&lt;&gt;"",
IF(AND(COUNTIF(INDIRECT("B"&amp;R169&amp;""),"*雙葉*"),COUNTIF(B:B,"*雙葉*")&gt;=2),
INDIRECT("M"&amp;R169&amp;"")+INDIRECT("M"&amp;MATCH("雙葉'",INDIRECT("B"&amp;R169+1&amp;":B210"),0)+R169&amp;""),
IF(AND(LEFT(INDIRECT("B"&amp;R169&amp;""),2)="博多",COUNTIF(B:B,"*博多*")&gt;=2),
INDIRECT("M"&amp;R169&amp;"")+INDIRECT("M"&amp;MATCH("*"&amp;INDIRECT("B"&amp;R169&amp;"")&amp;"*",INDIRECT("B"&amp;R169+1&amp;":B210"),0)+R169&amp;""),
IF(AND(LEFT(INDIRECT("B"&amp;R169&amp;""),3)="奈良屋",COUNTIF(B:B,"*奈良屋*")&gt;=2),
INDIRECT("M"&amp;R169&amp;"")+INDIRECT("M"&amp;MATCH("*"&amp;INDIRECT("B"&amp;R169&amp;"")&amp;"*",INDIRECT("B"&amp;R169+1&amp;":B210"),0)+R169&amp;"")
+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INDIRECT("M"&amp;R169&amp;"")))),"")</f>
        <v/>
      </c>
      <c r="AC169" s="51" t="str">
        <f t="shared" ca="1" si="53"/>
        <v/>
      </c>
      <c r="AD169" s="51" t="str">
        <f t="shared" ca="1" si="54"/>
        <v/>
      </c>
      <c r="AE169" s="51" t="str">
        <f t="shared" ca="1" si="55"/>
        <v/>
      </c>
      <c r="AF169" s="51" t="str">
        <f t="shared" ca="1" si="56"/>
        <v/>
      </c>
      <c r="AG169" s="51" t="str">
        <f t="shared" ca="1" si="57"/>
        <v/>
      </c>
      <c r="AH169" s="191" t="str">
        <f t="shared" ca="1" si="58"/>
        <v/>
      </c>
      <c r="AI169" s="51" t="str">
        <f t="shared" ca="1" si="59"/>
        <v/>
      </c>
      <c r="AJ169" s="51" t="str">
        <f t="shared" ca="1" si="60"/>
        <v/>
      </c>
      <c r="AK169" s="51" t="str">
        <f t="shared" ca="1" si="61"/>
        <v/>
      </c>
      <c r="AL169" s="51" t="str">
        <f t="shared" ca="1" si="62"/>
        <v/>
      </c>
      <c r="AM169" s="51" t="str">
        <f t="shared" ca="1" si="63"/>
        <v/>
      </c>
      <c r="AN169" s="51" t="str">
        <f t="shared" ca="1" si="64"/>
        <v/>
      </c>
      <c r="AO169" s="51" t="str">
        <f t="shared" ca="1" si="65"/>
        <v/>
      </c>
      <c r="AP169" s="51" t="str">
        <f t="shared" ca="1" si="66"/>
        <v/>
      </c>
      <c r="AU169" s="51" t="str">
        <f t="shared" ca="1" si="67"/>
        <v/>
      </c>
    </row>
    <row r="170" spans="1:47" ht="22.2" customHeight="1">
      <c r="A170" s="184">
        <f t="shared" si="71"/>
        <v>65</v>
      </c>
      <c r="B170" s="183" t="str">
        <f t="shared" ca="1" si="72"/>
        <v/>
      </c>
      <c r="C170" s="183" t="str">
        <f>IF(OR(クライアント抽出!D30&lt;&gt;"",クライアント抽出!G30&lt;&gt;""),クライアント抽出!A30,"")</f>
        <v/>
      </c>
      <c r="D170" s="183" t="str">
        <f t="array" aca="1" ref="D170" ca="1">IF(C170&lt;&gt;"",INDIRECT("クライアント抽出!"&amp;E170&amp;MATCH(C170,クライアント抽出!A:A,0)&amp;""),"")</f>
        <v/>
      </c>
      <c r="E170" s="183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86" t="str">
        <f ca="1">IF(D170&lt;&gt;"",
IF(COUNTIF(C170,"*雙葉*"),
IF(ROUND((H170-M170)
/IF(COUNTIF(D170,"*キャラ*"),
VLOOKUP("*キャラ*",商品マスタ一覧!$D:$E,2,FALSE),
IF(COUNTIF(D170,"*赤*"),
VLOOKUP("*赤*",商品マスタ一覧!$D:$E,2,FALSE),
VLOOKUP("*"&amp;D170&amp;"*",商品マスタ一覧!$D:$E,2,FALSE))),0)&lt;=0,1,
ROUND((H170-M170)
/IF(COUNTIF(D170,"*キャラ*"),
VLOOKUP("*キャラ*",商品マスタ一覧!$D:$E,2,FALSE),
IF(COUNTIF(D170,"*赤*"),
VLOOKUP("*赤*",商品マスタ一覧!$D:$E,2,FALSE),
VLOOKUP("*"&amp;D170&amp;"*",商品マスタ一覧!$D:$E,2,FALSE))),0)),
IF(OR(COUNTIF(D170,"*キャラ*"),COUNTIF(D170,"*赤*")),"",
IF(VLOOKUP("*"&amp;D170&amp;"*",商品マスタ一覧!$D:$E,2,FALSE)=0,"",
IF(ROUND((H170-M170)
/VLOOKUP("*"&amp;D170&amp;"*",商品マスタ一覧!$D:$E,2,FALSE),0)&lt;=0,1,
ROUND((H170-M170)
/VLOOKUP("*"&amp;D170&amp;"*",商品マスタ一覧!$D:$E,2,FALSE),0))))),"")</f>
        <v/>
      </c>
      <c r="G170" s="183" t="str">
        <f ca="1">IF(F170&lt;&gt;"",
IF(VALUE(H170-M170)&gt;VALUE(IF(COUNTIF(D170,"*キャラ*"),
VLOOKUP("*キャラ*",商品マスタ一覧!$D:$E,2,FALSE),
IF(COUNTIF(D170,"*赤*"),
VLOOKUP("*赤*",商品マスタ一覧!$D:$E,2,FALSE),
VLOOKUP("*"&amp;D170&amp;"*",商品マスタ一覧!$D:$E,2,FALSE)))*F170),
"+"&amp;(H170-M170)-IF(COUNTIF(D170,"*キャラ*"),
VLOOKUP("*キャラ*",商品マスタ一覧!$D:$E,2,FALSE),
IF(COUNTIF(D170,"*赤*"),
VLOOKUP("*赤*",商品マスタ一覧!$D:$E,2,FALSE),
VLOOKUP("*"&amp;D170&amp;"*",商品マスタ一覧!$D:$E,2,FALSE)))*F170,
(H170-M170)-IF(COUNTIF(D170,"*キャラ*"),
VLOOKUP("*キャラ*",商品マスタ一覧!$D:$E,2,FALSE),
IF(COUNTIF(D170,"*赤*"),
VLOOKUP("*赤*",商品マスタ一覧!$D:$E,2,FALSE),
VLOOKUP("*"&amp;D170&amp;"*",商品マスタ一覧!$D:$E,2,FALSE)))*F170),"")</f>
        <v/>
      </c>
      <c r="H170" s="185" t="str">
        <f>IF(C170&lt;&gt;"",
クライアント抽出!D30,"")</f>
        <v/>
      </c>
      <c r="I170" s="183" t="str">
        <f>IF(C170&lt;&gt;"",
IF(O170=1,0,クライアント抽出!F30),"")</f>
        <v/>
      </c>
      <c r="J170" s="183" t="str">
        <f>IF(C170&lt;&gt;"",
VLOOKUP(
"*"&amp;LEFT(IF(COUNTIF(D170,"*学食*"),"キャラ弁（学食）",
IF(COUNTIF(D170,"*赤*"),"赤",
IF(COUNTIF(D170,"*キャラ弁当*"),"キャラ弁当",D170))),4)&amp;"*",注文弁当の抽出!$E$1:$F$15,2,FALSE),"")</f>
        <v/>
      </c>
      <c r="K170" s="183" t="str">
        <f ca="1">IF(クライアント抽出!R30&lt;&gt;"",SUBSTITUTE(ADDRESS(1,(CODE(クライアント抽出!R30)-64)*2-1,4),"1",""),"")</f>
        <v/>
      </c>
      <c r="L170" s="183" t="str">
        <f>IF(C30&lt;&gt;"",クライアント抽出!I30,"")</f>
        <v/>
      </c>
      <c r="M170" s="183">
        <f t="array" aca="1" ref="M170" ca="1">IF(C170&lt;&gt;"",
IF(K170&lt;&gt;"",INDIRECT("'数出表_Excel（アレルギー入力）'!"&amp;K170&amp;L170-1&amp;""),),)</f>
        <v>0</v>
      </c>
      <c r="N170" s="183" t="str">
        <f>IF(C170&lt;&gt;"",IF(OR(COUNTIF('盛付札（関数）'!D170,"*赤*"),COUNTIF('盛付札（関数）'!D170,"*キャラ*")),1,
VLOOKUP("*"&amp;D170&amp;"*",商品マスタ一覧!D:H,5,FALSE)),"")</f>
        <v/>
      </c>
      <c r="O170" s="183">
        <f t="shared" ca="1" si="70"/>
        <v>0</v>
      </c>
      <c r="P170" s="183">
        <f t="shared" si="49"/>
        <v>0</v>
      </c>
      <c r="Q170" s="183" t="b">
        <f t="shared" si="50"/>
        <v>0</v>
      </c>
      <c r="R170" s="51" t="str">
        <f t="array" aca="1" ref="R170" ca="1">IFERROR(SMALL(IF(P$1:P$307&lt;&gt;0,P$1:P$307),ROW(A170)),"")</f>
        <v/>
      </c>
      <c r="S170" s="51" t="str">
        <f t="array" aca="1" ref="S170" ca="1">IF($R170&lt;&gt;"",
SUBSTITUTE(SUBSTITUTE(INDIRECT("C"&amp;$R170&amp;"")," 週3ｺｰｽ","")," 週5ｺｰｽ",""),"")</f>
        <v/>
      </c>
      <c r="T170" s="51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91" t="str">
        <f t="array" aca="1" ref="U170" ca="1">IF($R170&lt;&gt;"",
INDIRECT("F"&amp;$R170&amp;""),"")</f>
        <v/>
      </c>
      <c r="V170" s="51" t="str">
        <f t="array" aca="1" ref="V170" ca="1">IF($R170&lt;&gt;"",
INDIRECT("G"&amp;$R170&amp;""),"")</f>
        <v/>
      </c>
      <c r="W170" s="51" t="str">
        <f t="array" aca="1" ref="W170" ca="1">IF($R170&lt;&gt;"",
IF(AND(COUNTIF(INDIRECT("B"&amp;R170&amp;""),"*雙葉*"),COUNTIF(B:B,"*雙葉*")&gt;=2),
IF(OR(COUNTIF(INDIRECT("B"&amp;R170&amp;""),"*雙葉先生*"),COUNTIF($B$1:$B$70,"*雙葉*")&gt;=2),INDIRECT("H"&amp;R170&amp;""),INDIRECT("H"&amp;R170&amp;"")+INDIRECT("H"&amp;MATCH("雙葉'",INDIRECT("B"&amp;R170+3&amp;":B210"),0)+2+R170&amp;"")),
IF(AND(LEFT(INDIRECT("B"&amp;R170&amp;""),2)="博多",COUNTIF(B:B,"*博多*")&gt;=2),
INDIRECT("H"&amp;R170&amp;"")+INDIRECT("H"&amp;MATCH("*"&amp;INDIRECT("B"&amp;R170&amp;"")&amp;"*",INDIRECT("B"&amp;R170+1&amp;":B210"),0)+R170&amp;""),
IF(AND(LEFT(INDIRECT("B"&amp;R170&amp;""),3)="奈良屋",COUNTIF(B:B,"*奈良屋*")&gt;=2),
INDIRECT("H"&amp;R170&amp;"")+INDIRECT("H"&amp;MATCH("*"&amp;INDIRECT("B"&amp;R170&amp;"")&amp;"*",INDIRECT("B"&amp;R170+1&amp;":B210"),0)+R170&amp;"")
+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INDIRECT("H"&amp;R170&amp;"")))),"")</f>
        <v/>
      </c>
      <c r="X170" s="51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51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51" t="str">
        <f t="shared" ca="1" si="51"/>
        <v/>
      </c>
      <c r="AA170" s="51" t="str">
        <f t="shared" ca="1" si="52"/>
        <v/>
      </c>
      <c r="AB170" s="51" t="str">
        <f t="array" aca="1" ref="AB170" ca="1">IF($R170&lt;&gt;"",
IF(AND(COUNTIF(INDIRECT("B"&amp;R170&amp;""),"*雙葉*"),COUNTIF(B:B,"*雙葉*")&gt;=2),
INDIRECT("M"&amp;R170&amp;"")+INDIRECT("M"&amp;MATCH("雙葉'",INDIRECT("B"&amp;R170+1&amp;":B210"),0)+R170&amp;""),
IF(AND(LEFT(INDIRECT("B"&amp;R170&amp;""),2)="博多",COUNTIF(B:B,"*博多*")&gt;=2),
INDIRECT("M"&amp;R170&amp;"")+INDIRECT("M"&amp;MATCH("*"&amp;INDIRECT("B"&amp;R170&amp;"")&amp;"*",INDIRECT("B"&amp;R170+1&amp;":B210"),0)+R170&amp;""),
IF(AND(LEFT(INDIRECT("B"&amp;R170&amp;""),3)="奈良屋",COUNTIF(B:B,"*奈良屋*")&gt;=2),
INDIRECT("M"&amp;R170&amp;"")+INDIRECT("M"&amp;MATCH("*"&amp;INDIRECT("B"&amp;R170&amp;"")&amp;"*",INDIRECT("B"&amp;R170+1&amp;":B210"),0)+R170&amp;"")
+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INDIRECT("M"&amp;R170&amp;"")))),"")</f>
        <v/>
      </c>
      <c r="AC170" s="51" t="str">
        <f t="shared" ca="1" si="53"/>
        <v/>
      </c>
      <c r="AD170" s="51" t="str">
        <f t="shared" ca="1" si="54"/>
        <v/>
      </c>
      <c r="AE170" s="51" t="str">
        <f t="shared" ca="1" si="55"/>
        <v/>
      </c>
      <c r="AF170" s="51" t="str">
        <f t="shared" ca="1" si="56"/>
        <v/>
      </c>
      <c r="AG170" s="51" t="str">
        <f t="shared" ca="1" si="57"/>
        <v/>
      </c>
      <c r="AH170" s="191" t="str">
        <f t="shared" ca="1" si="58"/>
        <v/>
      </c>
      <c r="AI170" s="51" t="str">
        <f t="shared" ca="1" si="59"/>
        <v/>
      </c>
      <c r="AJ170" s="51" t="str">
        <f t="shared" ca="1" si="60"/>
        <v/>
      </c>
      <c r="AK170" s="51" t="str">
        <f t="shared" ca="1" si="61"/>
        <v/>
      </c>
      <c r="AL170" s="51" t="str">
        <f t="shared" ca="1" si="62"/>
        <v/>
      </c>
      <c r="AM170" s="51" t="str">
        <f t="shared" ca="1" si="63"/>
        <v/>
      </c>
      <c r="AN170" s="51" t="str">
        <f t="shared" ca="1" si="64"/>
        <v/>
      </c>
      <c r="AO170" s="51" t="str">
        <f t="shared" ca="1" si="65"/>
        <v/>
      </c>
      <c r="AP170" s="51" t="str">
        <f t="shared" ca="1" si="66"/>
        <v/>
      </c>
      <c r="AU170" s="51" t="str">
        <f t="shared" ca="1" si="67"/>
        <v/>
      </c>
    </row>
    <row r="171" spans="1:47" ht="22.2" customHeight="1">
      <c r="A171" s="184">
        <f t="shared" si="71"/>
        <v>67</v>
      </c>
      <c r="B171" s="183" t="str">
        <f t="shared" ca="1" si="72"/>
        <v/>
      </c>
      <c r="C171" s="183" t="str">
        <f>IF(OR(クライアント抽出!D31&lt;&gt;"",クライアント抽出!G31&lt;&gt;""),クライアント抽出!A31,"")</f>
        <v/>
      </c>
      <c r="D171" s="183" t="str">
        <f t="array" aca="1" ref="D171" ca="1">IF(C171&lt;&gt;"",INDIRECT("クライアント抽出!"&amp;E171&amp;MATCH(C171,クライアント抽出!A:A,0)&amp;""),"")</f>
        <v/>
      </c>
      <c r="E171" s="183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86" t="str">
        <f ca="1">IF(D171&lt;&gt;"",
IF(COUNTIF(C171,"*雙葉*"),
IF(ROUND((H171-M171)
/IF(COUNTIF(D171,"*キャラ*"),
VLOOKUP("*キャラ*",商品マスタ一覧!$D:$E,2,FALSE),
IF(COUNTIF(D171,"*赤*"),
VLOOKUP("*赤*",商品マスタ一覧!$D:$E,2,FALSE),
VLOOKUP("*"&amp;D171&amp;"*",商品マスタ一覧!$D:$E,2,FALSE))),0)&lt;=0,1,
ROUND((H171-M171)
/IF(COUNTIF(D171,"*キャラ*"),
VLOOKUP("*キャラ*",商品マスタ一覧!$D:$E,2,FALSE),
IF(COUNTIF(D171,"*赤*"),
VLOOKUP("*赤*",商品マスタ一覧!$D:$E,2,FALSE),
VLOOKUP("*"&amp;D171&amp;"*",商品マスタ一覧!$D:$E,2,FALSE))),0)),
IF(OR(COUNTIF(D171,"*キャラ*"),COUNTIF(D171,"*赤*")),"",
IF(VLOOKUP("*"&amp;D171&amp;"*",商品マスタ一覧!$D:$E,2,FALSE)=0,"",
IF(ROUND((H171-M171)
/VLOOKUP("*"&amp;D171&amp;"*",商品マスタ一覧!$D:$E,2,FALSE),0)&lt;=0,1,
ROUND((H171-M171)
/VLOOKUP("*"&amp;D171&amp;"*",商品マスタ一覧!$D:$E,2,FALSE),0))))),"")</f>
        <v/>
      </c>
      <c r="G171" s="183" t="str">
        <f ca="1">IF(F171&lt;&gt;"",
IF(VALUE(H171-M171)&gt;VALUE(IF(COUNTIF(D171,"*キャラ*"),
VLOOKUP("*キャラ*",商品マスタ一覧!$D:$E,2,FALSE),
IF(COUNTIF(D171,"*赤*"),
VLOOKUP("*赤*",商品マスタ一覧!$D:$E,2,FALSE),
VLOOKUP("*"&amp;D171&amp;"*",商品マスタ一覧!$D:$E,2,FALSE)))*F171),
"+"&amp;(H171-M171)-IF(COUNTIF(D171,"*キャラ*"),
VLOOKUP("*キャラ*",商品マスタ一覧!$D:$E,2,FALSE),
IF(COUNTIF(D171,"*赤*"),
VLOOKUP("*赤*",商品マスタ一覧!$D:$E,2,FALSE),
VLOOKUP("*"&amp;D171&amp;"*",商品マスタ一覧!$D:$E,2,FALSE)))*F171,
(H171-M171)-IF(COUNTIF(D171,"*キャラ*"),
VLOOKUP("*キャラ*",商品マスタ一覧!$D:$E,2,FALSE),
IF(COUNTIF(D171,"*赤*"),
VLOOKUP("*赤*",商品マスタ一覧!$D:$E,2,FALSE),
VLOOKUP("*"&amp;D171&amp;"*",商品マスタ一覧!$D:$E,2,FALSE)))*F171),"")</f>
        <v/>
      </c>
      <c r="H171" s="185" t="str">
        <f>IF(C171&lt;&gt;"",
クライアント抽出!D31,"")</f>
        <v/>
      </c>
      <c r="I171" s="183" t="str">
        <f>IF(C171&lt;&gt;"",
IF(O171=1,0,クライアント抽出!F31),"")</f>
        <v/>
      </c>
      <c r="J171" s="183" t="str">
        <f>IF(C171&lt;&gt;"",
VLOOKUP(
"*"&amp;LEFT(IF(COUNTIF(D171,"*学食*"),"キャラ弁（学食）",
IF(COUNTIF(D171,"*赤*"),"赤",
IF(COUNTIF(D171,"*キャラ弁当*"),"キャラ弁当",D171))),4)&amp;"*",注文弁当の抽出!$E$1:$F$15,2,FALSE),"")</f>
        <v/>
      </c>
      <c r="K171" s="183" t="str">
        <f ca="1">IF(クライアント抽出!R31&lt;&gt;"",SUBSTITUTE(ADDRESS(1,(CODE(クライアント抽出!R31)-64)*2-1,4),"1",""),"")</f>
        <v/>
      </c>
      <c r="L171" s="183" t="str">
        <f>IF(C31&lt;&gt;"",クライアント抽出!I31,"")</f>
        <v/>
      </c>
      <c r="M171" s="183">
        <f t="array" aca="1" ref="M171" ca="1">IF(C171&lt;&gt;"",
IF(K171&lt;&gt;"",INDIRECT("'数出表_Excel（アレルギー入力）'!"&amp;K171&amp;L171-1&amp;""),),)</f>
        <v>0</v>
      </c>
      <c r="N171" s="183" t="str">
        <f>IF(C171&lt;&gt;"",IF(OR(COUNTIF('盛付札（関数）'!D171,"*赤*"),COUNTIF('盛付札（関数）'!D171,"*キャラ*")),1,
VLOOKUP("*"&amp;D171&amp;"*",商品マスタ一覧!D:H,5,FALSE)),"")</f>
        <v/>
      </c>
      <c r="O171" s="183">
        <f t="shared" ca="1" si="70"/>
        <v>0</v>
      </c>
      <c r="P171" s="183">
        <f t="shared" si="49"/>
        <v>0</v>
      </c>
      <c r="Q171" s="183" t="b">
        <f t="shared" si="50"/>
        <v>0</v>
      </c>
      <c r="R171" s="51" t="str">
        <f t="array" aca="1" ref="R171" ca="1">IFERROR(SMALL(IF(P$1:P$307&lt;&gt;0,P$1:P$307),ROW(A171)),"")</f>
        <v/>
      </c>
      <c r="S171" s="51" t="str">
        <f t="array" aca="1" ref="S171" ca="1">IF($R171&lt;&gt;"",
SUBSTITUTE(SUBSTITUTE(INDIRECT("C"&amp;$R171&amp;"")," 週3ｺｰｽ","")," 週5ｺｰｽ",""),"")</f>
        <v/>
      </c>
      <c r="T171" s="51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91" t="str">
        <f t="array" aca="1" ref="U171" ca="1">IF($R171&lt;&gt;"",
INDIRECT("F"&amp;$R171&amp;""),"")</f>
        <v/>
      </c>
      <c r="V171" s="51" t="str">
        <f t="array" aca="1" ref="V171" ca="1">IF($R171&lt;&gt;"",
INDIRECT("G"&amp;$R171&amp;""),"")</f>
        <v/>
      </c>
      <c r="W171" s="51" t="str">
        <f t="array" aca="1" ref="W171" ca="1">IF($R171&lt;&gt;"",
IF(AND(COUNTIF(INDIRECT("B"&amp;R171&amp;""),"*雙葉*"),COUNTIF(B:B,"*雙葉*")&gt;=2),
IF(OR(COUNTIF(INDIRECT("B"&amp;R171&amp;""),"*雙葉先生*"),COUNTIF($B$1:$B$70,"*雙葉*")&gt;=2),INDIRECT("H"&amp;R171&amp;""),INDIRECT("H"&amp;R171&amp;"")+INDIRECT("H"&amp;MATCH("雙葉'",INDIRECT("B"&amp;R171+3&amp;":B210"),0)+2+R171&amp;"")),
IF(AND(LEFT(INDIRECT("B"&amp;R171&amp;""),2)="博多",COUNTIF(B:B,"*博多*")&gt;=2),
INDIRECT("H"&amp;R171&amp;"")+INDIRECT("H"&amp;MATCH("*"&amp;INDIRECT("B"&amp;R171&amp;"")&amp;"*",INDIRECT("B"&amp;R171+1&amp;":B210"),0)+R171&amp;""),
IF(AND(LEFT(INDIRECT("B"&amp;R171&amp;""),3)="奈良屋",COUNTIF(B:B,"*奈良屋*")&gt;=2),
INDIRECT("H"&amp;R171&amp;"")+INDIRECT("H"&amp;MATCH("*"&amp;INDIRECT("B"&amp;R171&amp;"")&amp;"*",INDIRECT("B"&amp;R171+1&amp;":B210"),0)+R171&amp;"")
+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INDIRECT("H"&amp;R171&amp;"")))),"")</f>
        <v/>
      </c>
      <c r="X171" s="51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51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51" t="str">
        <f t="shared" ca="1" si="51"/>
        <v/>
      </c>
      <c r="AA171" s="51" t="str">
        <f t="shared" ca="1" si="52"/>
        <v/>
      </c>
      <c r="AB171" s="51" t="str">
        <f t="array" aca="1" ref="AB171" ca="1">IF($R171&lt;&gt;"",
IF(AND(COUNTIF(INDIRECT("B"&amp;R171&amp;""),"*雙葉*"),COUNTIF(B:B,"*雙葉*")&gt;=2),
INDIRECT("M"&amp;R171&amp;"")+INDIRECT("M"&amp;MATCH("雙葉'",INDIRECT("B"&amp;R171+1&amp;":B210"),0)+R171&amp;""),
IF(AND(LEFT(INDIRECT("B"&amp;R171&amp;""),2)="博多",COUNTIF(B:B,"*博多*")&gt;=2),
INDIRECT("M"&amp;R171&amp;"")+INDIRECT("M"&amp;MATCH("*"&amp;INDIRECT("B"&amp;R171&amp;"")&amp;"*",INDIRECT("B"&amp;R171+1&amp;":B210"),0)+R171&amp;""),
IF(AND(LEFT(INDIRECT("B"&amp;R171&amp;""),3)="奈良屋",COUNTIF(B:B,"*奈良屋*")&gt;=2),
INDIRECT("M"&amp;R171&amp;"")+INDIRECT("M"&amp;MATCH("*"&amp;INDIRECT("B"&amp;R171&amp;"")&amp;"*",INDIRECT("B"&amp;R171+1&amp;":B210"),0)+R171&amp;"")
+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INDIRECT("M"&amp;R171&amp;"")))),"")</f>
        <v/>
      </c>
      <c r="AC171" s="51" t="str">
        <f t="shared" ca="1" si="53"/>
        <v/>
      </c>
      <c r="AD171" s="51" t="str">
        <f t="shared" ca="1" si="54"/>
        <v/>
      </c>
      <c r="AE171" s="51" t="str">
        <f t="shared" ca="1" si="55"/>
        <v/>
      </c>
      <c r="AF171" s="51" t="str">
        <f t="shared" ca="1" si="56"/>
        <v/>
      </c>
      <c r="AG171" s="51" t="str">
        <f t="shared" ca="1" si="57"/>
        <v/>
      </c>
      <c r="AH171" s="191" t="str">
        <f t="shared" ca="1" si="58"/>
        <v/>
      </c>
      <c r="AI171" s="51" t="str">
        <f t="shared" ca="1" si="59"/>
        <v/>
      </c>
      <c r="AJ171" s="51" t="str">
        <f t="shared" ca="1" si="60"/>
        <v/>
      </c>
      <c r="AK171" s="51" t="str">
        <f t="shared" ca="1" si="61"/>
        <v/>
      </c>
      <c r="AL171" s="51" t="str">
        <f t="shared" ca="1" si="62"/>
        <v/>
      </c>
      <c r="AM171" s="51" t="str">
        <f t="shared" ca="1" si="63"/>
        <v/>
      </c>
      <c r="AN171" s="51" t="str">
        <f t="shared" ca="1" si="64"/>
        <v/>
      </c>
      <c r="AO171" s="51" t="str">
        <f t="shared" ca="1" si="65"/>
        <v/>
      </c>
      <c r="AP171" s="51" t="str">
        <f t="shared" ca="1" si="66"/>
        <v/>
      </c>
      <c r="AU171" s="51" t="str">
        <f t="shared" ca="1" si="67"/>
        <v/>
      </c>
    </row>
    <row r="172" spans="1:47" ht="22.2" customHeight="1">
      <c r="A172" s="184">
        <f t="shared" si="71"/>
        <v>69</v>
      </c>
      <c r="B172" s="183" t="str">
        <f t="shared" ca="1" si="72"/>
        <v/>
      </c>
      <c r="C172" s="183" t="str">
        <f>IF(OR(クライアント抽出!D32&lt;&gt;"",クライアント抽出!G32&lt;&gt;""),クライアント抽出!A32,"")</f>
        <v/>
      </c>
      <c r="D172" s="183" t="str">
        <f t="array" aca="1" ref="D172" ca="1">IF(C172&lt;&gt;"",INDIRECT("クライアント抽出!"&amp;E172&amp;MATCH(C172,クライアント抽出!A:A,0)&amp;""),"")</f>
        <v/>
      </c>
      <c r="E172" s="183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86" t="str">
        <f ca="1">IF(D172&lt;&gt;"",
IF(COUNTIF(C172,"*雙葉*"),
IF(ROUND((H172-M172)
/IF(COUNTIF(D172,"*キャラ*"),
VLOOKUP("*キャラ*",商品マスタ一覧!$D:$E,2,FALSE),
IF(COUNTIF(D172,"*赤*"),
VLOOKUP("*赤*",商品マスタ一覧!$D:$E,2,FALSE),
VLOOKUP("*"&amp;D172&amp;"*",商品マスタ一覧!$D:$E,2,FALSE))),0)&lt;=0,1,
ROUND((H172-M172)
/IF(COUNTIF(D172,"*キャラ*"),
VLOOKUP("*キャラ*",商品マスタ一覧!$D:$E,2,FALSE),
IF(COUNTIF(D172,"*赤*"),
VLOOKUP("*赤*",商品マスタ一覧!$D:$E,2,FALSE),
VLOOKUP("*"&amp;D172&amp;"*",商品マスタ一覧!$D:$E,2,FALSE))),0)),
IF(OR(COUNTIF(D172,"*キャラ*"),COUNTIF(D172,"*赤*")),"",
IF(VLOOKUP("*"&amp;D172&amp;"*",商品マスタ一覧!$D:$E,2,FALSE)=0,"",
IF(ROUND((H172-M172)
/VLOOKUP("*"&amp;D172&amp;"*",商品マスタ一覧!$D:$E,2,FALSE),0)&lt;=0,1,
ROUND((H172-M172)
/VLOOKUP("*"&amp;D172&amp;"*",商品マスタ一覧!$D:$E,2,FALSE),0))))),"")</f>
        <v/>
      </c>
      <c r="G172" s="183" t="str">
        <f ca="1">IF(F172&lt;&gt;"",
IF(VALUE(H172-M172)&gt;VALUE(IF(COUNTIF(D172,"*キャラ*"),
VLOOKUP("*キャラ*",商品マスタ一覧!$D:$E,2,FALSE),
IF(COUNTIF(D172,"*赤*"),
VLOOKUP("*赤*",商品マスタ一覧!$D:$E,2,FALSE),
VLOOKUP("*"&amp;D172&amp;"*",商品マスタ一覧!$D:$E,2,FALSE)))*F172),
"+"&amp;(H172-M172)-IF(COUNTIF(D172,"*キャラ*"),
VLOOKUP("*キャラ*",商品マスタ一覧!$D:$E,2,FALSE),
IF(COUNTIF(D172,"*赤*"),
VLOOKUP("*赤*",商品マスタ一覧!$D:$E,2,FALSE),
VLOOKUP("*"&amp;D172&amp;"*",商品マスタ一覧!$D:$E,2,FALSE)))*F172,
(H172-M172)-IF(COUNTIF(D172,"*キャラ*"),
VLOOKUP("*キャラ*",商品マスタ一覧!$D:$E,2,FALSE),
IF(COUNTIF(D172,"*赤*"),
VLOOKUP("*赤*",商品マスタ一覧!$D:$E,2,FALSE),
VLOOKUP("*"&amp;D172&amp;"*",商品マスタ一覧!$D:$E,2,FALSE)))*F172),"")</f>
        <v/>
      </c>
      <c r="H172" s="185" t="str">
        <f>IF(C172&lt;&gt;"",
クライアント抽出!D32,"")</f>
        <v/>
      </c>
      <c r="I172" s="183" t="str">
        <f>IF(C172&lt;&gt;"",
IF(O172=1,0,クライアント抽出!F32),"")</f>
        <v/>
      </c>
      <c r="J172" s="183" t="str">
        <f>IF(C172&lt;&gt;"",
VLOOKUP(
"*"&amp;LEFT(IF(COUNTIF(D172,"*学食*"),"キャラ弁（学食）",
IF(COUNTIF(D172,"*赤*"),"赤",
IF(COUNTIF(D172,"*キャラ弁当*"),"キャラ弁当",D172))),4)&amp;"*",注文弁当の抽出!$E$1:$F$15,2,FALSE),"")</f>
        <v/>
      </c>
      <c r="K172" s="183" t="str">
        <f ca="1">IF(クライアント抽出!R32&lt;&gt;"",SUBSTITUTE(ADDRESS(1,(CODE(クライアント抽出!R32)-64)*2-1,4),"1",""),"")</f>
        <v/>
      </c>
      <c r="L172" s="183" t="str">
        <f>IF(C32&lt;&gt;"",クライアント抽出!I32,"")</f>
        <v/>
      </c>
      <c r="M172" s="183">
        <f t="array" aca="1" ref="M172" ca="1">IF(C172&lt;&gt;"",
IF(K172&lt;&gt;"",INDIRECT("'数出表_Excel（アレルギー入力）'!"&amp;K172&amp;L172-1&amp;""),),)</f>
        <v>0</v>
      </c>
      <c r="N172" s="183" t="str">
        <f>IF(C172&lt;&gt;"",IF(OR(COUNTIF('盛付札（関数）'!D172,"*赤*"),COUNTIF('盛付札（関数）'!D172,"*キャラ*")),1,
VLOOKUP("*"&amp;D172&amp;"*",商品マスタ一覧!D:H,5,FALSE)),"")</f>
        <v/>
      </c>
      <c r="O172" s="183">
        <f t="shared" ca="1" si="70"/>
        <v>0</v>
      </c>
      <c r="P172" s="183">
        <f t="shared" si="49"/>
        <v>0</v>
      </c>
      <c r="Q172" s="183" t="b">
        <f t="shared" si="50"/>
        <v>0</v>
      </c>
      <c r="R172" s="51" t="str">
        <f t="array" aca="1" ref="R172" ca="1">IFERROR(SMALL(IF(P$1:P$307&lt;&gt;0,P$1:P$307),ROW(A172)),"")</f>
        <v/>
      </c>
      <c r="S172" s="51" t="str">
        <f t="array" aca="1" ref="S172" ca="1">IF($R172&lt;&gt;"",
SUBSTITUTE(SUBSTITUTE(INDIRECT("C"&amp;$R172&amp;"")," 週3ｺｰｽ","")," 週5ｺｰｽ",""),"")</f>
        <v/>
      </c>
      <c r="T172" s="51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91" t="str">
        <f t="array" aca="1" ref="U172" ca="1">IF($R172&lt;&gt;"",
INDIRECT("F"&amp;$R172&amp;""),"")</f>
        <v/>
      </c>
      <c r="V172" s="51" t="str">
        <f t="array" aca="1" ref="V172" ca="1">IF($R172&lt;&gt;"",
INDIRECT("G"&amp;$R172&amp;""),"")</f>
        <v/>
      </c>
      <c r="W172" s="51" t="str">
        <f t="array" aca="1" ref="W172" ca="1">IF($R172&lt;&gt;"",
IF(AND(COUNTIF(INDIRECT("B"&amp;R172&amp;""),"*雙葉*"),COUNTIF(B:B,"*雙葉*")&gt;=2),
IF(OR(COUNTIF(INDIRECT("B"&amp;R172&amp;""),"*雙葉先生*"),COUNTIF($B$1:$B$70,"*雙葉*")&gt;=2),INDIRECT("H"&amp;R172&amp;""),INDIRECT("H"&amp;R172&amp;"")+INDIRECT("H"&amp;MATCH("雙葉'",INDIRECT("B"&amp;R172+3&amp;":B210"),0)+2+R172&amp;"")),
IF(AND(LEFT(INDIRECT("B"&amp;R172&amp;""),2)="博多",COUNTIF(B:B,"*博多*")&gt;=2),
INDIRECT("H"&amp;R172&amp;"")+INDIRECT("H"&amp;MATCH("*"&amp;INDIRECT("B"&amp;R172&amp;"")&amp;"*",INDIRECT("B"&amp;R172+1&amp;":B210"),0)+R172&amp;""),
IF(AND(LEFT(INDIRECT("B"&amp;R172&amp;""),3)="奈良屋",COUNTIF(B:B,"*奈良屋*")&gt;=2),
INDIRECT("H"&amp;R172&amp;"")+INDIRECT("H"&amp;MATCH("*"&amp;INDIRECT("B"&amp;R172&amp;"")&amp;"*",INDIRECT("B"&amp;R172+1&amp;":B210"),0)+R172&amp;"")
+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INDIRECT("H"&amp;R172&amp;"")))),"")</f>
        <v/>
      </c>
      <c r="X172" s="51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51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51" t="str">
        <f t="shared" ca="1" si="51"/>
        <v/>
      </c>
      <c r="AA172" s="51" t="str">
        <f t="shared" ca="1" si="52"/>
        <v/>
      </c>
      <c r="AB172" s="51" t="str">
        <f t="array" aca="1" ref="AB172" ca="1">IF($R172&lt;&gt;"",
IF(AND(COUNTIF(INDIRECT("B"&amp;R172&amp;""),"*雙葉*"),COUNTIF(B:B,"*雙葉*")&gt;=2),
INDIRECT("M"&amp;R172&amp;"")+INDIRECT("M"&amp;MATCH("雙葉'",INDIRECT("B"&amp;R172+1&amp;":B210"),0)+R172&amp;""),
IF(AND(LEFT(INDIRECT("B"&amp;R172&amp;""),2)="博多",COUNTIF(B:B,"*博多*")&gt;=2),
INDIRECT("M"&amp;R172&amp;"")+INDIRECT("M"&amp;MATCH("*"&amp;INDIRECT("B"&amp;R172&amp;"")&amp;"*",INDIRECT("B"&amp;R172+1&amp;":B210"),0)+R172&amp;""),
IF(AND(LEFT(INDIRECT("B"&amp;R172&amp;""),3)="奈良屋",COUNTIF(B:B,"*奈良屋*")&gt;=2),
INDIRECT("M"&amp;R172&amp;"")+INDIRECT("M"&amp;MATCH("*"&amp;INDIRECT("B"&amp;R172&amp;"")&amp;"*",INDIRECT("B"&amp;R172+1&amp;":B210"),0)+R172&amp;"")
+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INDIRECT("M"&amp;R172&amp;"")))),"")</f>
        <v/>
      </c>
      <c r="AC172" s="51" t="str">
        <f t="shared" ca="1" si="53"/>
        <v/>
      </c>
      <c r="AD172" s="51" t="str">
        <f t="shared" ca="1" si="54"/>
        <v/>
      </c>
      <c r="AE172" s="51" t="str">
        <f t="shared" ca="1" si="55"/>
        <v/>
      </c>
      <c r="AF172" s="51" t="str">
        <f t="shared" ca="1" si="56"/>
        <v/>
      </c>
      <c r="AG172" s="51" t="str">
        <f t="shared" ca="1" si="57"/>
        <v/>
      </c>
      <c r="AH172" s="191" t="str">
        <f t="shared" ca="1" si="58"/>
        <v/>
      </c>
      <c r="AI172" s="51" t="str">
        <f t="shared" ca="1" si="59"/>
        <v/>
      </c>
      <c r="AJ172" s="51" t="str">
        <f t="shared" ca="1" si="60"/>
        <v/>
      </c>
      <c r="AK172" s="51" t="str">
        <f t="shared" ca="1" si="61"/>
        <v/>
      </c>
      <c r="AL172" s="51" t="str">
        <f t="shared" ca="1" si="62"/>
        <v/>
      </c>
      <c r="AM172" s="51" t="str">
        <f t="shared" ca="1" si="63"/>
        <v/>
      </c>
      <c r="AN172" s="51" t="str">
        <f t="shared" ca="1" si="64"/>
        <v/>
      </c>
      <c r="AO172" s="51" t="str">
        <f t="shared" ca="1" si="65"/>
        <v/>
      </c>
      <c r="AP172" s="51" t="str">
        <f t="shared" ca="1" si="66"/>
        <v/>
      </c>
      <c r="AU172" s="51" t="str">
        <f t="shared" ca="1" si="67"/>
        <v/>
      </c>
    </row>
    <row r="173" spans="1:47" ht="22.2" customHeight="1">
      <c r="A173" s="184">
        <f t="shared" si="71"/>
        <v>71</v>
      </c>
      <c r="B173" s="183" t="str">
        <f t="shared" ca="1" si="72"/>
        <v/>
      </c>
      <c r="C173" s="183" t="str">
        <f>IF(OR(クライアント抽出!D33&lt;&gt;"",クライアント抽出!G33&lt;&gt;""),クライアント抽出!A33,"")</f>
        <v/>
      </c>
      <c r="D173" s="183" t="str">
        <f t="array" aca="1" ref="D173" ca="1">IF(C173&lt;&gt;"",INDIRECT("クライアント抽出!"&amp;E173&amp;MATCH(C173,クライアント抽出!A:A,0)&amp;""),"")</f>
        <v/>
      </c>
      <c r="E173" s="183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86" t="str">
        <f ca="1">IF(D173&lt;&gt;"",
IF(COUNTIF(C173,"*雙葉*"),
IF(ROUND((H173-M173)
/IF(COUNTIF(D173,"*キャラ*"),
VLOOKUP("*キャラ*",商品マスタ一覧!$D:$E,2,FALSE),
IF(COUNTIF(D173,"*赤*"),
VLOOKUP("*赤*",商品マスタ一覧!$D:$E,2,FALSE),
VLOOKUP("*"&amp;D173&amp;"*",商品マスタ一覧!$D:$E,2,FALSE))),0)&lt;=0,1,
ROUND((H173-M173)
/IF(COUNTIF(D173,"*キャラ*"),
VLOOKUP("*キャラ*",商品マスタ一覧!$D:$E,2,FALSE),
IF(COUNTIF(D173,"*赤*"),
VLOOKUP("*赤*",商品マスタ一覧!$D:$E,2,FALSE),
VLOOKUP("*"&amp;D173&amp;"*",商品マスタ一覧!$D:$E,2,FALSE))),0)),
IF(OR(COUNTIF(D173,"*キャラ*"),COUNTIF(D173,"*赤*")),"",
IF(VLOOKUP("*"&amp;D173&amp;"*",商品マスタ一覧!$D:$E,2,FALSE)=0,"",
IF(ROUND((H173-M173)
/VLOOKUP("*"&amp;D173&amp;"*",商品マスタ一覧!$D:$E,2,FALSE),0)&lt;=0,1,
ROUND((H173-M173)
/VLOOKUP("*"&amp;D173&amp;"*",商品マスタ一覧!$D:$E,2,FALSE),0))))),"")</f>
        <v/>
      </c>
      <c r="G173" s="183" t="str">
        <f ca="1">IF(F173&lt;&gt;"",
IF(VALUE(H173-M173)&gt;VALUE(IF(COUNTIF(D173,"*キャラ*"),
VLOOKUP("*キャラ*",商品マスタ一覧!$D:$E,2,FALSE),
IF(COUNTIF(D173,"*赤*"),
VLOOKUP("*赤*",商品マスタ一覧!$D:$E,2,FALSE),
VLOOKUP("*"&amp;D173&amp;"*",商品マスタ一覧!$D:$E,2,FALSE)))*F173),
"+"&amp;(H173-M173)-IF(COUNTIF(D173,"*キャラ*"),
VLOOKUP("*キャラ*",商品マスタ一覧!$D:$E,2,FALSE),
IF(COUNTIF(D173,"*赤*"),
VLOOKUP("*赤*",商品マスタ一覧!$D:$E,2,FALSE),
VLOOKUP("*"&amp;D173&amp;"*",商品マスタ一覧!$D:$E,2,FALSE)))*F173,
(H173-M173)-IF(COUNTIF(D173,"*キャラ*"),
VLOOKUP("*キャラ*",商品マスタ一覧!$D:$E,2,FALSE),
IF(COUNTIF(D173,"*赤*"),
VLOOKUP("*赤*",商品マスタ一覧!$D:$E,2,FALSE),
VLOOKUP("*"&amp;D173&amp;"*",商品マスタ一覧!$D:$E,2,FALSE)))*F173),"")</f>
        <v/>
      </c>
      <c r="H173" s="185" t="str">
        <f>IF(C173&lt;&gt;"",
クライアント抽出!D33,"")</f>
        <v/>
      </c>
      <c r="I173" s="183" t="str">
        <f>IF(C173&lt;&gt;"",
IF(O173=1,0,クライアント抽出!F33),"")</f>
        <v/>
      </c>
      <c r="J173" s="183" t="str">
        <f>IF(C173&lt;&gt;"",
VLOOKUP(
"*"&amp;LEFT(IF(COUNTIF(D173,"*学食*"),"キャラ弁（学食）",
IF(COUNTIF(D173,"*赤*"),"赤",
IF(COUNTIF(D173,"*キャラ弁当*"),"キャラ弁当",D173))),4)&amp;"*",注文弁当の抽出!$E$1:$F$15,2,FALSE),"")</f>
        <v/>
      </c>
      <c r="K173" s="183" t="str">
        <f ca="1">IF(クライアント抽出!R33&lt;&gt;"",SUBSTITUTE(ADDRESS(1,(CODE(クライアント抽出!R33)-64)*2-1,4),"1",""),"")</f>
        <v/>
      </c>
      <c r="L173" s="183" t="str">
        <f>IF(C33&lt;&gt;"",クライアント抽出!I33,"")</f>
        <v/>
      </c>
      <c r="M173" s="183">
        <f t="array" aca="1" ref="M173" ca="1">IF(C173&lt;&gt;"",
IF(K173&lt;&gt;"",INDIRECT("'数出表_Excel（アレルギー入力）'!"&amp;K173&amp;L173-1&amp;""),),)</f>
        <v>0</v>
      </c>
      <c r="N173" s="183" t="str">
        <f>IF(C173&lt;&gt;"",IF(OR(COUNTIF('盛付札（関数）'!D173,"*赤*"),COUNTIF('盛付札（関数）'!D173,"*キャラ*")),1,
VLOOKUP("*"&amp;D173&amp;"*",商品マスタ一覧!D:H,5,FALSE)),"")</f>
        <v/>
      </c>
      <c r="O173" s="183">
        <f t="shared" ref="O173:O204" ca="1" si="73">O33</f>
        <v>0</v>
      </c>
      <c r="P173" s="183">
        <f t="shared" si="49"/>
        <v>0</v>
      </c>
      <c r="Q173" s="183" t="b">
        <f t="shared" si="50"/>
        <v>0</v>
      </c>
      <c r="R173" s="51" t="str">
        <f t="array" aca="1" ref="R173" ca="1">IFERROR(SMALL(IF(P$1:P$307&lt;&gt;0,P$1:P$307),ROW(A173)),"")</f>
        <v/>
      </c>
      <c r="S173" s="51" t="str">
        <f t="array" aca="1" ref="S173" ca="1">IF($R173&lt;&gt;"",
SUBSTITUTE(SUBSTITUTE(INDIRECT("C"&amp;$R173&amp;"")," 週3ｺｰｽ","")," 週5ｺｰｽ",""),"")</f>
        <v/>
      </c>
      <c r="T173" s="51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91" t="str">
        <f t="array" aca="1" ref="U173" ca="1">IF($R173&lt;&gt;"",
INDIRECT("F"&amp;$R173&amp;""),"")</f>
        <v/>
      </c>
      <c r="V173" s="51" t="str">
        <f t="array" aca="1" ref="V173" ca="1">IF($R173&lt;&gt;"",
INDIRECT("G"&amp;$R173&amp;""),"")</f>
        <v/>
      </c>
      <c r="W173" s="51" t="str">
        <f t="array" aca="1" ref="W173" ca="1">IF($R173&lt;&gt;"",
IF(AND(COUNTIF(INDIRECT("B"&amp;R173&amp;""),"*雙葉*"),COUNTIF(B:B,"*雙葉*")&gt;=2),
IF(OR(COUNTIF(INDIRECT("B"&amp;R173&amp;""),"*雙葉先生*"),COUNTIF($B$1:$B$70,"*雙葉*")&gt;=2),INDIRECT("H"&amp;R173&amp;""),INDIRECT("H"&amp;R173&amp;"")+INDIRECT("H"&amp;MATCH("雙葉'",INDIRECT("B"&amp;R173+3&amp;":B210"),0)+2+R173&amp;"")),
IF(AND(LEFT(INDIRECT("B"&amp;R173&amp;""),2)="博多",COUNTIF(B:B,"*博多*")&gt;=2),
INDIRECT("H"&amp;R173&amp;"")+INDIRECT("H"&amp;MATCH("*"&amp;INDIRECT("B"&amp;R173&amp;"")&amp;"*",INDIRECT("B"&amp;R173+1&amp;":B210"),0)+R173&amp;""),
IF(AND(LEFT(INDIRECT("B"&amp;R173&amp;""),3)="奈良屋",COUNTIF(B:B,"*奈良屋*")&gt;=2),
INDIRECT("H"&amp;R173&amp;"")+INDIRECT("H"&amp;MATCH("*"&amp;INDIRECT("B"&amp;R173&amp;"")&amp;"*",INDIRECT("B"&amp;R173+1&amp;":B210"),0)+R173&amp;"")
+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INDIRECT("H"&amp;R173&amp;"")))),"")</f>
        <v/>
      </c>
      <c r="X173" s="51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51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51" t="str">
        <f t="shared" ca="1" si="51"/>
        <v/>
      </c>
      <c r="AA173" s="51" t="str">
        <f t="shared" ca="1" si="52"/>
        <v/>
      </c>
      <c r="AB173" s="51" t="str">
        <f t="array" aca="1" ref="AB173" ca="1">IF($R173&lt;&gt;"",
IF(AND(COUNTIF(INDIRECT("B"&amp;R173&amp;""),"*雙葉*"),COUNTIF(B:B,"*雙葉*")&gt;=2),
INDIRECT("M"&amp;R173&amp;"")+INDIRECT("M"&amp;MATCH("雙葉'",INDIRECT("B"&amp;R173+1&amp;":B210"),0)+R173&amp;""),
IF(AND(LEFT(INDIRECT("B"&amp;R173&amp;""),2)="博多",COUNTIF(B:B,"*博多*")&gt;=2),
INDIRECT("M"&amp;R173&amp;"")+INDIRECT("M"&amp;MATCH("*"&amp;INDIRECT("B"&amp;R173&amp;"")&amp;"*",INDIRECT("B"&amp;R173+1&amp;":B210"),0)+R173&amp;""),
IF(AND(LEFT(INDIRECT("B"&amp;R173&amp;""),3)="奈良屋",COUNTIF(B:B,"*奈良屋*")&gt;=2),
INDIRECT("M"&amp;R173&amp;"")+INDIRECT("M"&amp;MATCH("*"&amp;INDIRECT("B"&amp;R173&amp;"")&amp;"*",INDIRECT("B"&amp;R173+1&amp;":B210"),0)+R173&amp;"")
+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INDIRECT("M"&amp;R173&amp;"")))),"")</f>
        <v/>
      </c>
      <c r="AC173" s="51" t="str">
        <f t="shared" ca="1" si="53"/>
        <v/>
      </c>
      <c r="AD173" s="51" t="str">
        <f t="shared" ca="1" si="54"/>
        <v/>
      </c>
      <c r="AE173" s="51" t="str">
        <f t="shared" ca="1" si="55"/>
        <v/>
      </c>
      <c r="AF173" s="51" t="str">
        <f t="shared" ca="1" si="56"/>
        <v/>
      </c>
      <c r="AG173" s="51" t="str">
        <f t="shared" ca="1" si="57"/>
        <v/>
      </c>
      <c r="AH173" s="191" t="str">
        <f t="shared" ca="1" si="58"/>
        <v/>
      </c>
      <c r="AI173" s="51" t="str">
        <f t="shared" ca="1" si="59"/>
        <v/>
      </c>
      <c r="AJ173" s="51" t="str">
        <f t="shared" ca="1" si="60"/>
        <v/>
      </c>
      <c r="AK173" s="51" t="str">
        <f t="shared" ca="1" si="61"/>
        <v/>
      </c>
      <c r="AL173" s="51" t="str">
        <f t="shared" ca="1" si="62"/>
        <v/>
      </c>
      <c r="AM173" s="51" t="str">
        <f t="shared" ca="1" si="63"/>
        <v/>
      </c>
      <c r="AN173" s="51" t="str">
        <f t="shared" ca="1" si="64"/>
        <v/>
      </c>
      <c r="AO173" s="51" t="str">
        <f t="shared" ca="1" si="65"/>
        <v/>
      </c>
      <c r="AP173" s="51" t="str">
        <f t="shared" ca="1" si="66"/>
        <v/>
      </c>
      <c r="AU173" s="51" t="str">
        <f t="shared" ca="1" si="67"/>
        <v/>
      </c>
    </row>
    <row r="174" spans="1:47" ht="22.2" customHeight="1">
      <c r="A174" s="184">
        <f t="shared" ref="A174:A210" si="74">A173+2</f>
        <v>73</v>
      </c>
      <c r="B174" s="183" t="str">
        <f t="shared" ca="1" si="72"/>
        <v/>
      </c>
      <c r="C174" s="183" t="str">
        <f>IF(OR(クライアント抽出!D34&lt;&gt;"",クライアント抽出!G34&lt;&gt;""),クライアント抽出!A34,"")</f>
        <v/>
      </c>
      <c r="D174" s="183" t="str">
        <f t="array" aca="1" ref="D174" ca="1">IF(C174&lt;&gt;"",INDIRECT("クライアント抽出!"&amp;E174&amp;MATCH(C174,クライアント抽出!A:A,0)&amp;""),"")</f>
        <v/>
      </c>
      <c r="E174" s="183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86" t="str">
        <f ca="1">IF(D174&lt;&gt;"",
IF(COUNTIF(C174,"*雙葉*"),
IF(ROUND((H174-M174)
/IF(COUNTIF(D174,"*キャラ*"),
VLOOKUP("*キャラ*",商品マスタ一覧!$D:$E,2,FALSE),
IF(COUNTIF(D174,"*赤*"),
VLOOKUP("*赤*",商品マスタ一覧!$D:$E,2,FALSE),
VLOOKUP("*"&amp;D174&amp;"*",商品マスタ一覧!$D:$E,2,FALSE))),0)&lt;=0,1,
ROUND((H174-M174)
/IF(COUNTIF(D174,"*キャラ*"),
VLOOKUP("*キャラ*",商品マスタ一覧!$D:$E,2,FALSE),
IF(COUNTIF(D174,"*赤*"),
VLOOKUP("*赤*",商品マスタ一覧!$D:$E,2,FALSE),
VLOOKUP("*"&amp;D174&amp;"*",商品マスタ一覧!$D:$E,2,FALSE))),0)),
IF(OR(COUNTIF(D174,"*キャラ*"),COUNTIF(D174,"*赤*")),"",
IF(VLOOKUP("*"&amp;D174&amp;"*",商品マスタ一覧!$D:$E,2,FALSE)=0,"",
IF(ROUND((H174-M174)
/VLOOKUP("*"&amp;D174&amp;"*",商品マスタ一覧!$D:$E,2,FALSE),0)&lt;=0,1,
ROUND((H174-M174)
/VLOOKUP("*"&amp;D174&amp;"*",商品マスタ一覧!$D:$E,2,FALSE),0))))),"")</f>
        <v/>
      </c>
      <c r="G174" s="183" t="str">
        <f ca="1">IF(F174&lt;&gt;"",
IF(VALUE(H174-M174)&gt;VALUE(IF(COUNTIF(D174,"*キャラ*"),
VLOOKUP("*キャラ*",商品マスタ一覧!$D:$E,2,FALSE),
IF(COUNTIF(D174,"*赤*"),
VLOOKUP("*赤*",商品マスタ一覧!$D:$E,2,FALSE),
VLOOKUP("*"&amp;D174&amp;"*",商品マスタ一覧!$D:$E,2,FALSE)))*F174),
"+"&amp;(H174-M174)-IF(COUNTIF(D174,"*キャラ*"),
VLOOKUP("*キャラ*",商品マスタ一覧!$D:$E,2,FALSE),
IF(COUNTIF(D174,"*赤*"),
VLOOKUP("*赤*",商品マスタ一覧!$D:$E,2,FALSE),
VLOOKUP("*"&amp;D174&amp;"*",商品マスタ一覧!$D:$E,2,FALSE)))*F174,
(H174-M174)-IF(COUNTIF(D174,"*キャラ*"),
VLOOKUP("*キャラ*",商品マスタ一覧!$D:$E,2,FALSE),
IF(COUNTIF(D174,"*赤*"),
VLOOKUP("*赤*",商品マスタ一覧!$D:$E,2,FALSE),
VLOOKUP("*"&amp;D174&amp;"*",商品マスタ一覧!$D:$E,2,FALSE)))*F174),"")</f>
        <v/>
      </c>
      <c r="H174" s="185" t="str">
        <f>IF(C174&lt;&gt;"",
クライアント抽出!D34,"")</f>
        <v/>
      </c>
      <c r="I174" s="183" t="str">
        <f>IF(C174&lt;&gt;"",
IF(O174=1,0,クライアント抽出!F34),"")</f>
        <v/>
      </c>
      <c r="J174" s="183" t="str">
        <f>IF(C174&lt;&gt;"",
VLOOKUP(
"*"&amp;LEFT(IF(COUNTIF(D174,"*学食*"),"キャラ弁（学食）",
IF(COUNTIF(D174,"*赤*"),"赤",
IF(COUNTIF(D174,"*キャラ弁当*"),"キャラ弁当",D174))),4)&amp;"*",注文弁当の抽出!$E$1:$F$15,2,FALSE),"")</f>
        <v/>
      </c>
      <c r="K174" s="183" t="str">
        <f ca="1">IF(クライアント抽出!R34&lt;&gt;"",SUBSTITUTE(ADDRESS(1,(CODE(クライアント抽出!R34)-64)*2-1,4),"1",""),"")</f>
        <v/>
      </c>
      <c r="L174" s="183" t="str">
        <f>IF(C34&lt;&gt;"",クライアント抽出!I34,"")</f>
        <v/>
      </c>
      <c r="M174" s="183">
        <f t="array" aca="1" ref="M174" ca="1">IF(C174&lt;&gt;"",
IF(K174&lt;&gt;"",INDIRECT("'数出表_Excel（アレルギー入力）'!"&amp;K174&amp;L174-1&amp;""),),)</f>
        <v>0</v>
      </c>
      <c r="N174" s="183" t="str">
        <f>IF(C174&lt;&gt;"",IF(OR(COUNTIF('盛付札（関数）'!D174,"*赤*"),COUNTIF('盛付札（関数）'!D174,"*キャラ*")),1,
VLOOKUP("*"&amp;D174&amp;"*",商品マスタ一覧!D:H,5,FALSE)),"")</f>
        <v/>
      </c>
      <c r="O174" s="183">
        <f t="shared" ca="1" si="73"/>
        <v>0</v>
      </c>
      <c r="P174" s="183">
        <f t="shared" si="49"/>
        <v>0</v>
      </c>
      <c r="Q174" s="183" t="b">
        <f t="shared" si="50"/>
        <v>0</v>
      </c>
      <c r="R174" s="51" t="str">
        <f t="array" aca="1" ref="R174" ca="1">IFERROR(SMALL(IF(P$1:P$307&lt;&gt;0,P$1:P$307),ROW(A174)),"")</f>
        <v/>
      </c>
      <c r="S174" s="51" t="str">
        <f t="array" aca="1" ref="S174" ca="1">IF($R174&lt;&gt;"",
SUBSTITUTE(SUBSTITUTE(INDIRECT("C"&amp;$R174&amp;"")," 週3ｺｰｽ","")," 週5ｺｰｽ",""),"")</f>
        <v/>
      </c>
      <c r="T174" s="51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91" t="str">
        <f t="array" aca="1" ref="U174" ca="1">IF($R174&lt;&gt;"",
INDIRECT("F"&amp;$R174&amp;""),"")</f>
        <v/>
      </c>
      <c r="V174" s="51" t="str">
        <f t="array" aca="1" ref="V174" ca="1">IF($R174&lt;&gt;"",
INDIRECT("G"&amp;$R174&amp;""),"")</f>
        <v/>
      </c>
      <c r="W174" s="51" t="str">
        <f t="array" aca="1" ref="W174" ca="1">IF($R174&lt;&gt;"",
IF(AND(COUNTIF(INDIRECT("B"&amp;R174&amp;""),"*雙葉*"),COUNTIF(B:B,"*雙葉*")&gt;=2),
IF(OR(COUNTIF(INDIRECT("B"&amp;R174&amp;""),"*雙葉先生*"),COUNTIF($B$1:$B$70,"*雙葉*")&gt;=2),INDIRECT("H"&amp;R174&amp;""),INDIRECT("H"&amp;R174&amp;"")+INDIRECT("H"&amp;MATCH("雙葉'",INDIRECT("B"&amp;R174+3&amp;":B210"),0)+2+R174&amp;"")),
IF(AND(LEFT(INDIRECT("B"&amp;R174&amp;""),2)="博多",COUNTIF(B:B,"*博多*")&gt;=2),
INDIRECT("H"&amp;R174&amp;"")+INDIRECT("H"&amp;MATCH("*"&amp;INDIRECT("B"&amp;R174&amp;"")&amp;"*",INDIRECT("B"&amp;R174+1&amp;":B210"),0)+R174&amp;""),
IF(AND(LEFT(INDIRECT("B"&amp;R174&amp;""),3)="奈良屋",COUNTIF(B:B,"*奈良屋*")&gt;=2),
INDIRECT("H"&amp;R174&amp;"")+INDIRECT("H"&amp;MATCH("*"&amp;INDIRECT("B"&amp;R174&amp;"")&amp;"*",INDIRECT("B"&amp;R174+1&amp;":B210"),0)+R174&amp;"")
+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INDIRECT("H"&amp;R174&amp;"")))),"")</f>
        <v/>
      </c>
      <c r="X174" s="51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51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51" t="str">
        <f t="shared" ca="1" si="51"/>
        <v/>
      </c>
      <c r="AA174" s="51" t="str">
        <f t="shared" ca="1" si="52"/>
        <v/>
      </c>
      <c r="AB174" s="51" t="str">
        <f t="array" aca="1" ref="AB174" ca="1">IF($R174&lt;&gt;"",
IF(AND(COUNTIF(INDIRECT("B"&amp;R174&amp;""),"*雙葉*"),COUNTIF(B:B,"*雙葉*")&gt;=2),
INDIRECT("M"&amp;R174&amp;"")+INDIRECT("M"&amp;MATCH("雙葉'",INDIRECT("B"&amp;R174+1&amp;":B210"),0)+R174&amp;""),
IF(AND(LEFT(INDIRECT("B"&amp;R174&amp;""),2)="博多",COUNTIF(B:B,"*博多*")&gt;=2),
INDIRECT("M"&amp;R174&amp;"")+INDIRECT("M"&amp;MATCH("*"&amp;INDIRECT("B"&amp;R174&amp;"")&amp;"*",INDIRECT("B"&amp;R174+1&amp;":B210"),0)+R174&amp;""),
IF(AND(LEFT(INDIRECT("B"&amp;R174&amp;""),3)="奈良屋",COUNTIF(B:B,"*奈良屋*")&gt;=2),
INDIRECT("M"&amp;R174&amp;"")+INDIRECT("M"&amp;MATCH("*"&amp;INDIRECT("B"&amp;R174&amp;"")&amp;"*",INDIRECT("B"&amp;R174+1&amp;":B210"),0)+R174&amp;"")
+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INDIRECT("M"&amp;R174&amp;"")))),"")</f>
        <v/>
      </c>
      <c r="AC174" s="51" t="str">
        <f t="shared" ca="1" si="53"/>
        <v/>
      </c>
      <c r="AD174" s="51" t="str">
        <f t="shared" ca="1" si="54"/>
        <v/>
      </c>
      <c r="AE174" s="51" t="str">
        <f t="shared" ca="1" si="55"/>
        <v/>
      </c>
      <c r="AF174" s="51" t="str">
        <f t="shared" ca="1" si="56"/>
        <v/>
      </c>
      <c r="AG174" s="51" t="str">
        <f t="shared" ca="1" si="57"/>
        <v/>
      </c>
      <c r="AH174" s="191" t="str">
        <f t="shared" ca="1" si="58"/>
        <v/>
      </c>
      <c r="AI174" s="51" t="str">
        <f t="shared" ca="1" si="59"/>
        <v/>
      </c>
      <c r="AJ174" s="51" t="str">
        <f t="shared" ca="1" si="60"/>
        <v/>
      </c>
      <c r="AK174" s="51" t="str">
        <f t="shared" ca="1" si="61"/>
        <v/>
      </c>
      <c r="AL174" s="51" t="str">
        <f t="shared" ca="1" si="62"/>
        <v/>
      </c>
      <c r="AM174" s="51" t="str">
        <f t="shared" ca="1" si="63"/>
        <v/>
      </c>
      <c r="AN174" s="51" t="str">
        <f t="shared" ca="1" si="64"/>
        <v/>
      </c>
      <c r="AO174" s="51" t="str">
        <f t="shared" ca="1" si="65"/>
        <v/>
      </c>
      <c r="AP174" s="51" t="str">
        <f t="shared" ca="1" si="66"/>
        <v/>
      </c>
      <c r="AU174" s="51" t="str">
        <f t="shared" ca="1" si="67"/>
        <v/>
      </c>
    </row>
    <row r="175" spans="1:47" ht="22.2" customHeight="1">
      <c r="A175" s="184">
        <f t="shared" si="74"/>
        <v>75</v>
      </c>
      <c r="B175" s="183" t="str">
        <f t="shared" ca="1" si="72"/>
        <v/>
      </c>
      <c r="C175" s="183" t="str">
        <f>IF(OR(クライアント抽出!D35&lt;&gt;"",クライアント抽出!G35&lt;&gt;""),クライアント抽出!A35,"")</f>
        <v/>
      </c>
      <c r="D175" s="183" t="str">
        <f t="array" aca="1" ref="D175" ca="1">IF(C175&lt;&gt;"",INDIRECT("クライアント抽出!"&amp;E175&amp;MATCH(C175,クライアント抽出!A:A,0)&amp;""),"")</f>
        <v/>
      </c>
      <c r="E175" s="183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86" t="str">
        <f ca="1">IF(D175&lt;&gt;"",
IF(COUNTIF(C175,"*雙葉*"),
IF(ROUND((H175-M175)
/IF(COUNTIF(D175,"*キャラ*"),
VLOOKUP("*キャラ*",商品マスタ一覧!$D:$E,2,FALSE),
IF(COUNTIF(D175,"*赤*"),
VLOOKUP("*赤*",商品マスタ一覧!$D:$E,2,FALSE),
VLOOKUP("*"&amp;D175&amp;"*",商品マスタ一覧!$D:$E,2,FALSE))),0)&lt;=0,1,
ROUND((H175-M175)
/IF(COUNTIF(D175,"*キャラ*"),
VLOOKUP("*キャラ*",商品マスタ一覧!$D:$E,2,FALSE),
IF(COUNTIF(D175,"*赤*"),
VLOOKUP("*赤*",商品マスタ一覧!$D:$E,2,FALSE),
VLOOKUP("*"&amp;D175&amp;"*",商品マスタ一覧!$D:$E,2,FALSE))),0)),
IF(OR(COUNTIF(D175,"*キャラ*"),COUNTIF(D175,"*赤*")),"",
IF(VLOOKUP("*"&amp;D175&amp;"*",商品マスタ一覧!$D:$E,2,FALSE)=0,"",
IF(ROUND((H175-M175)
/VLOOKUP("*"&amp;D175&amp;"*",商品マスタ一覧!$D:$E,2,FALSE),0)&lt;=0,1,
ROUND((H175-M175)
/VLOOKUP("*"&amp;D175&amp;"*",商品マスタ一覧!$D:$E,2,FALSE),0))))),"")</f>
        <v/>
      </c>
      <c r="G175" s="183" t="str">
        <f ca="1">IF(F175&lt;&gt;"",
IF(VALUE(H175-M175)&gt;VALUE(IF(COUNTIF(D175,"*キャラ*"),
VLOOKUP("*キャラ*",商品マスタ一覧!$D:$E,2,FALSE),
IF(COUNTIF(D175,"*赤*"),
VLOOKUP("*赤*",商品マスタ一覧!$D:$E,2,FALSE),
VLOOKUP("*"&amp;D175&amp;"*",商品マスタ一覧!$D:$E,2,FALSE)))*F175),
"+"&amp;(H175-M175)-IF(COUNTIF(D175,"*キャラ*"),
VLOOKUP("*キャラ*",商品マスタ一覧!$D:$E,2,FALSE),
IF(COUNTIF(D175,"*赤*"),
VLOOKUP("*赤*",商品マスタ一覧!$D:$E,2,FALSE),
VLOOKUP("*"&amp;D175&amp;"*",商品マスタ一覧!$D:$E,2,FALSE)))*F175,
(H175-M175)-IF(COUNTIF(D175,"*キャラ*"),
VLOOKUP("*キャラ*",商品マスタ一覧!$D:$E,2,FALSE),
IF(COUNTIF(D175,"*赤*"),
VLOOKUP("*赤*",商品マスタ一覧!$D:$E,2,FALSE),
VLOOKUP("*"&amp;D175&amp;"*",商品マスタ一覧!$D:$E,2,FALSE)))*F175),"")</f>
        <v/>
      </c>
      <c r="H175" s="185" t="str">
        <f>IF(C175&lt;&gt;"",
クライアント抽出!D35,"")</f>
        <v/>
      </c>
      <c r="I175" s="183" t="str">
        <f>IF(C175&lt;&gt;"",
IF(O175=1,0,クライアント抽出!F35),"")</f>
        <v/>
      </c>
      <c r="J175" s="183" t="str">
        <f>IF(C175&lt;&gt;"",
VLOOKUP(
"*"&amp;LEFT(IF(COUNTIF(D175,"*学食*"),"キャラ弁（学食）",
IF(COUNTIF(D175,"*赤*"),"赤",
IF(COUNTIF(D175,"*キャラ弁当*"),"キャラ弁当",D175))),4)&amp;"*",注文弁当の抽出!$E$1:$F$15,2,FALSE),"")</f>
        <v/>
      </c>
      <c r="K175" s="183" t="str">
        <f ca="1">IF(クライアント抽出!R35&lt;&gt;"",SUBSTITUTE(ADDRESS(1,(CODE(クライアント抽出!R35)-64)*2-1,4),"1",""),"")</f>
        <v/>
      </c>
      <c r="L175" s="183" t="str">
        <f>IF(C35&lt;&gt;"",クライアント抽出!I35,"")</f>
        <v/>
      </c>
      <c r="M175" s="183">
        <f t="array" aca="1" ref="M175" ca="1">IF(C175&lt;&gt;"",
IF(K175&lt;&gt;"",INDIRECT("'数出表_Excel（アレルギー入力）'!"&amp;K175&amp;L175-1&amp;""),),)</f>
        <v>0</v>
      </c>
      <c r="N175" s="183" t="str">
        <f>IF(C175&lt;&gt;"",IF(OR(COUNTIF('盛付札（関数）'!D175,"*赤*"),COUNTIF('盛付札（関数）'!D175,"*キャラ*")),1,
VLOOKUP("*"&amp;D175&amp;"*",商品マスタ一覧!D:H,5,FALSE)),"")</f>
        <v/>
      </c>
      <c r="O175" s="183">
        <f t="shared" ca="1" si="73"/>
        <v>0</v>
      </c>
      <c r="P175" s="183">
        <f t="shared" si="49"/>
        <v>0</v>
      </c>
      <c r="Q175" s="183" t="b">
        <f t="shared" si="50"/>
        <v>0</v>
      </c>
      <c r="R175" s="51" t="str">
        <f t="array" aca="1" ref="R175" ca="1">IFERROR(SMALL(IF(P$1:P$307&lt;&gt;0,P$1:P$307),ROW(A175)),"")</f>
        <v/>
      </c>
      <c r="S175" s="51" t="str">
        <f t="array" aca="1" ref="S175" ca="1">IF($R175&lt;&gt;"",
SUBSTITUTE(SUBSTITUTE(INDIRECT("C"&amp;$R175&amp;"")," 週3ｺｰｽ","")," 週5ｺｰｽ",""),"")</f>
        <v/>
      </c>
      <c r="T175" s="51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91" t="str">
        <f t="array" aca="1" ref="U175" ca="1">IF($R175&lt;&gt;"",
INDIRECT("F"&amp;$R175&amp;""),"")</f>
        <v/>
      </c>
      <c r="V175" s="51" t="str">
        <f t="array" aca="1" ref="V175" ca="1">IF($R175&lt;&gt;"",
INDIRECT("G"&amp;$R175&amp;""),"")</f>
        <v/>
      </c>
      <c r="W175" s="51" t="str">
        <f t="array" aca="1" ref="W175" ca="1">IF($R175&lt;&gt;"",
IF(AND(COUNTIF(INDIRECT("B"&amp;R175&amp;""),"*雙葉*"),COUNTIF(B:B,"*雙葉*")&gt;=2),
IF(OR(COUNTIF(INDIRECT("B"&amp;R175&amp;""),"*雙葉先生*"),COUNTIF($B$1:$B$70,"*雙葉*")&gt;=2),INDIRECT("H"&amp;R175&amp;""),INDIRECT("H"&amp;R175&amp;"")+INDIRECT("H"&amp;MATCH("雙葉'",INDIRECT("B"&amp;R175+3&amp;":B210"),0)+2+R175&amp;"")),
IF(AND(LEFT(INDIRECT("B"&amp;R175&amp;""),2)="博多",COUNTIF(B:B,"*博多*")&gt;=2),
INDIRECT("H"&amp;R175&amp;"")+INDIRECT("H"&amp;MATCH("*"&amp;INDIRECT("B"&amp;R175&amp;"")&amp;"*",INDIRECT("B"&amp;R175+1&amp;":B210"),0)+R175&amp;""),
IF(AND(LEFT(INDIRECT("B"&amp;R175&amp;""),3)="奈良屋",COUNTIF(B:B,"*奈良屋*")&gt;=2),
INDIRECT("H"&amp;R175&amp;"")+INDIRECT("H"&amp;MATCH("*"&amp;INDIRECT("B"&amp;R175&amp;"")&amp;"*",INDIRECT("B"&amp;R175+1&amp;":B210"),0)+R175&amp;"")
+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INDIRECT("H"&amp;R175&amp;"")))),"")</f>
        <v/>
      </c>
      <c r="X175" s="51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51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51" t="str">
        <f t="shared" ca="1" si="51"/>
        <v/>
      </c>
      <c r="AA175" s="51" t="str">
        <f t="shared" ca="1" si="52"/>
        <v/>
      </c>
      <c r="AB175" s="51" t="str">
        <f t="array" aca="1" ref="AB175" ca="1">IF($R175&lt;&gt;"",
IF(AND(COUNTIF(INDIRECT("B"&amp;R175&amp;""),"*雙葉*"),COUNTIF(B:B,"*雙葉*")&gt;=2),
INDIRECT("M"&amp;R175&amp;"")+INDIRECT("M"&amp;MATCH("雙葉'",INDIRECT("B"&amp;R175+1&amp;":B210"),0)+R175&amp;""),
IF(AND(LEFT(INDIRECT("B"&amp;R175&amp;""),2)="博多",COUNTIF(B:B,"*博多*")&gt;=2),
INDIRECT("M"&amp;R175&amp;"")+INDIRECT("M"&amp;MATCH("*"&amp;INDIRECT("B"&amp;R175&amp;"")&amp;"*",INDIRECT("B"&amp;R175+1&amp;":B210"),0)+R175&amp;""),
IF(AND(LEFT(INDIRECT("B"&amp;R175&amp;""),3)="奈良屋",COUNTIF(B:B,"*奈良屋*")&gt;=2),
INDIRECT("M"&amp;R175&amp;"")+INDIRECT("M"&amp;MATCH("*"&amp;INDIRECT("B"&amp;R175&amp;"")&amp;"*",INDIRECT("B"&amp;R175+1&amp;":B210"),0)+R175&amp;"")
+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INDIRECT("M"&amp;R175&amp;"")))),"")</f>
        <v/>
      </c>
      <c r="AC175" s="51" t="str">
        <f t="shared" ca="1" si="53"/>
        <v/>
      </c>
      <c r="AD175" s="51" t="str">
        <f t="shared" ca="1" si="54"/>
        <v/>
      </c>
      <c r="AE175" s="51" t="str">
        <f t="shared" ca="1" si="55"/>
        <v/>
      </c>
      <c r="AF175" s="51" t="str">
        <f t="shared" ca="1" si="56"/>
        <v/>
      </c>
      <c r="AG175" s="51" t="str">
        <f t="shared" ca="1" si="57"/>
        <v/>
      </c>
      <c r="AH175" s="191" t="str">
        <f t="shared" ca="1" si="58"/>
        <v/>
      </c>
      <c r="AI175" s="51" t="str">
        <f t="shared" ca="1" si="59"/>
        <v/>
      </c>
      <c r="AJ175" s="51" t="str">
        <f t="shared" ca="1" si="60"/>
        <v/>
      </c>
      <c r="AK175" s="51" t="str">
        <f t="shared" ca="1" si="61"/>
        <v/>
      </c>
      <c r="AL175" s="51" t="str">
        <f t="shared" ca="1" si="62"/>
        <v/>
      </c>
      <c r="AM175" s="51" t="str">
        <f t="shared" ca="1" si="63"/>
        <v/>
      </c>
      <c r="AN175" s="51" t="str">
        <f t="shared" ca="1" si="64"/>
        <v/>
      </c>
      <c r="AO175" s="51" t="str">
        <f t="shared" ca="1" si="65"/>
        <v/>
      </c>
      <c r="AP175" s="51" t="str">
        <f t="shared" ca="1" si="66"/>
        <v/>
      </c>
      <c r="AU175" s="51" t="str">
        <f t="shared" ca="1" si="67"/>
        <v/>
      </c>
    </row>
    <row r="176" spans="1:47" ht="22.2" customHeight="1">
      <c r="A176" s="184">
        <f t="shared" si="74"/>
        <v>77</v>
      </c>
      <c r="B176" s="183" t="str">
        <f t="shared" ca="1" si="72"/>
        <v/>
      </c>
      <c r="C176" s="183" t="str">
        <f>IF(OR(クライアント抽出!D36&lt;&gt;"",クライアント抽出!G36&lt;&gt;""),クライアント抽出!A36,"")</f>
        <v/>
      </c>
      <c r="D176" s="183" t="str">
        <f t="array" aca="1" ref="D176" ca="1">IF(C176&lt;&gt;"",INDIRECT("クライアント抽出!"&amp;E176&amp;MATCH(C176,クライアント抽出!A:A,0)&amp;""),"")</f>
        <v/>
      </c>
      <c r="E176" s="183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86" t="str">
        <f ca="1">IF(D176&lt;&gt;"",
IF(COUNTIF(C176,"*雙葉*"),
IF(ROUND((H176-M176)
/IF(COUNTIF(D176,"*キャラ*"),
VLOOKUP("*キャラ*",商品マスタ一覧!$D:$E,2,FALSE),
IF(COUNTIF(D176,"*赤*"),
VLOOKUP("*赤*",商品マスタ一覧!$D:$E,2,FALSE),
VLOOKUP("*"&amp;D176&amp;"*",商品マスタ一覧!$D:$E,2,FALSE))),0)&lt;=0,1,
ROUND((H176-M176)
/IF(COUNTIF(D176,"*キャラ*"),
VLOOKUP("*キャラ*",商品マスタ一覧!$D:$E,2,FALSE),
IF(COUNTIF(D176,"*赤*"),
VLOOKUP("*赤*",商品マスタ一覧!$D:$E,2,FALSE),
VLOOKUP("*"&amp;D176&amp;"*",商品マスタ一覧!$D:$E,2,FALSE))),0)),
IF(OR(COUNTIF(D176,"*キャラ*"),COUNTIF(D176,"*赤*")),"",
IF(VLOOKUP("*"&amp;D176&amp;"*",商品マスタ一覧!$D:$E,2,FALSE)=0,"",
IF(ROUND((H176-M176)
/VLOOKUP("*"&amp;D176&amp;"*",商品マスタ一覧!$D:$E,2,FALSE),0)&lt;=0,1,
ROUND((H176-M176)
/VLOOKUP("*"&amp;D176&amp;"*",商品マスタ一覧!$D:$E,2,FALSE),0))))),"")</f>
        <v/>
      </c>
      <c r="G176" s="183" t="str">
        <f ca="1">IF(F176&lt;&gt;"",
IF(VALUE(H176-M176)&gt;VALUE(IF(COUNTIF(D176,"*キャラ*"),
VLOOKUP("*キャラ*",商品マスタ一覧!$D:$E,2,FALSE),
IF(COUNTIF(D176,"*赤*"),
VLOOKUP("*赤*",商品マスタ一覧!$D:$E,2,FALSE),
VLOOKUP("*"&amp;D176&amp;"*",商品マスタ一覧!$D:$E,2,FALSE)))*F176),
"+"&amp;(H176-M176)-IF(COUNTIF(D176,"*キャラ*"),
VLOOKUP("*キャラ*",商品マスタ一覧!$D:$E,2,FALSE),
IF(COUNTIF(D176,"*赤*"),
VLOOKUP("*赤*",商品マスタ一覧!$D:$E,2,FALSE),
VLOOKUP("*"&amp;D176&amp;"*",商品マスタ一覧!$D:$E,2,FALSE)))*F176,
(H176-M176)-IF(COUNTIF(D176,"*キャラ*"),
VLOOKUP("*キャラ*",商品マスタ一覧!$D:$E,2,FALSE),
IF(COUNTIF(D176,"*赤*"),
VLOOKUP("*赤*",商品マスタ一覧!$D:$E,2,FALSE),
VLOOKUP("*"&amp;D176&amp;"*",商品マスタ一覧!$D:$E,2,FALSE)))*F176),"")</f>
        <v/>
      </c>
      <c r="H176" s="185" t="str">
        <f>IF(C176&lt;&gt;"",
クライアント抽出!D36,"")</f>
        <v/>
      </c>
      <c r="I176" s="183" t="str">
        <f>IF(C176&lt;&gt;"",
IF(O176=1,0,クライアント抽出!F36),"")</f>
        <v/>
      </c>
      <c r="J176" s="183" t="str">
        <f>IF(C176&lt;&gt;"",
VLOOKUP(
"*"&amp;LEFT(IF(COUNTIF(D176,"*学食*"),"キャラ弁（学食）",
IF(COUNTIF(D176,"*赤*"),"赤",
IF(COUNTIF(D176,"*キャラ弁当*"),"キャラ弁当",D176))),4)&amp;"*",注文弁当の抽出!$E$1:$F$15,2,FALSE),"")</f>
        <v/>
      </c>
      <c r="K176" s="183" t="str">
        <f ca="1">IF(クライアント抽出!R36&lt;&gt;"",SUBSTITUTE(ADDRESS(1,(CODE(クライアント抽出!R36)-64)*2-1,4),"1",""),"")</f>
        <v/>
      </c>
      <c r="L176" s="183" t="str">
        <f>IF(C36&lt;&gt;"",クライアント抽出!I36,"")</f>
        <v/>
      </c>
      <c r="M176" s="183">
        <f t="array" aca="1" ref="M176" ca="1">IF(C176&lt;&gt;"",
IF(K176&lt;&gt;"",INDIRECT("'数出表_Excel（アレルギー入力）'!"&amp;K176&amp;L176-1&amp;""),),)</f>
        <v>0</v>
      </c>
      <c r="N176" s="183" t="str">
        <f>IF(C176&lt;&gt;"",IF(OR(COUNTIF('盛付札（関数）'!D176,"*赤*"),COUNTIF('盛付札（関数）'!D176,"*キャラ*")),1,
VLOOKUP("*"&amp;D176&amp;"*",商品マスタ一覧!D:H,5,FALSE)),"")</f>
        <v/>
      </c>
      <c r="O176" s="183">
        <f t="shared" ca="1" si="73"/>
        <v>0</v>
      </c>
      <c r="P176" s="183">
        <f t="shared" si="49"/>
        <v>0</v>
      </c>
      <c r="Q176" s="183" t="b">
        <f t="shared" si="50"/>
        <v>0</v>
      </c>
      <c r="R176" s="51" t="str">
        <f t="array" aca="1" ref="R176" ca="1">IFERROR(SMALL(IF(P$1:P$307&lt;&gt;0,P$1:P$307),ROW(A176)),"")</f>
        <v/>
      </c>
      <c r="S176" s="51" t="str">
        <f t="array" aca="1" ref="S176" ca="1">IF($R176&lt;&gt;"",
SUBSTITUTE(SUBSTITUTE(INDIRECT("C"&amp;$R176&amp;"")," 週3ｺｰｽ","")," 週5ｺｰｽ",""),"")</f>
        <v/>
      </c>
      <c r="T176" s="51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91" t="str">
        <f t="array" aca="1" ref="U176" ca="1">IF($R176&lt;&gt;"",
INDIRECT("F"&amp;$R176&amp;""),"")</f>
        <v/>
      </c>
      <c r="V176" s="51" t="str">
        <f t="array" aca="1" ref="V176" ca="1">IF($R176&lt;&gt;"",
INDIRECT("G"&amp;$R176&amp;""),"")</f>
        <v/>
      </c>
      <c r="W176" s="51" t="str">
        <f t="array" aca="1" ref="W176" ca="1">IF($R176&lt;&gt;"",
IF(AND(COUNTIF(INDIRECT("B"&amp;R176&amp;""),"*雙葉*"),COUNTIF(B:B,"*雙葉*")&gt;=2),
IF(OR(COUNTIF(INDIRECT("B"&amp;R176&amp;""),"*雙葉先生*"),COUNTIF($B$1:$B$70,"*雙葉*")&gt;=2),INDIRECT("H"&amp;R176&amp;""),INDIRECT("H"&amp;R176&amp;"")+INDIRECT("H"&amp;MATCH("雙葉'",INDIRECT("B"&amp;R176+3&amp;":B210"),0)+2+R176&amp;"")),
IF(AND(LEFT(INDIRECT("B"&amp;R176&amp;""),2)="博多",COUNTIF(B:B,"*博多*")&gt;=2),
INDIRECT("H"&amp;R176&amp;"")+INDIRECT("H"&amp;MATCH("*"&amp;INDIRECT("B"&amp;R176&amp;"")&amp;"*",INDIRECT("B"&amp;R176+1&amp;":B210"),0)+R176&amp;""),
IF(AND(LEFT(INDIRECT("B"&amp;R176&amp;""),3)="奈良屋",COUNTIF(B:B,"*奈良屋*")&gt;=2),
INDIRECT("H"&amp;R176&amp;"")+INDIRECT("H"&amp;MATCH("*"&amp;INDIRECT("B"&amp;R176&amp;"")&amp;"*",INDIRECT("B"&amp;R176+1&amp;":B210"),0)+R176&amp;"")
+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INDIRECT("H"&amp;R176&amp;"")))),"")</f>
        <v/>
      </c>
      <c r="X176" s="51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51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51" t="str">
        <f t="shared" ca="1" si="51"/>
        <v/>
      </c>
      <c r="AA176" s="51" t="str">
        <f t="shared" ca="1" si="52"/>
        <v/>
      </c>
      <c r="AB176" s="51" t="str">
        <f t="array" aca="1" ref="AB176" ca="1">IF($R176&lt;&gt;"",
IF(AND(COUNTIF(INDIRECT("B"&amp;R176&amp;""),"*雙葉*"),COUNTIF(B:B,"*雙葉*")&gt;=2),
INDIRECT("M"&amp;R176&amp;"")+INDIRECT("M"&amp;MATCH("雙葉'",INDIRECT("B"&amp;R176+1&amp;":B210"),0)+R176&amp;""),
IF(AND(LEFT(INDIRECT("B"&amp;R176&amp;""),2)="博多",COUNTIF(B:B,"*博多*")&gt;=2),
INDIRECT("M"&amp;R176&amp;"")+INDIRECT("M"&amp;MATCH("*"&amp;INDIRECT("B"&amp;R176&amp;"")&amp;"*",INDIRECT("B"&amp;R176+1&amp;":B210"),0)+R176&amp;""),
IF(AND(LEFT(INDIRECT("B"&amp;R176&amp;""),3)="奈良屋",COUNTIF(B:B,"*奈良屋*")&gt;=2),
INDIRECT("M"&amp;R176&amp;"")+INDIRECT("M"&amp;MATCH("*"&amp;INDIRECT("B"&amp;R176&amp;"")&amp;"*",INDIRECT("B"&amp;R176+1&amp;":B210"),0)+R176&amp;"")
+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INDIRECT("M"&amp;R176&amp;"")))),"")</f>
        <v/>
      </c>
      <c r="AC176" s="51" t="str">
        <f t="shared" ca="1" si="53"/>
        <v/>
      </c>
      <c r="AD176" s="51" t="str">
        <f t="shared" ca="1" si="54"/>
        <v/>
      </c>
      <c r="AE176" s="51" t="str">
        <f t="shared" ca="1" si="55"/>
        <v/>
      </c>
      <c r="AF176" s="51" t="str">
        <f t="shared" ca="1" si="56"/>
        <v/>
      </c>
      <c r="AG176" s="51" t="str">
        <f t="shared" ca="1" si="57"/>
        <v/>
      </c>
      <c r="AH176" s="191" t="str">
        <f t="shared" ca="1" si="58"/>
        <v/>
      </c>
      <c r="AI176" s="51" t="str">
        <f t="shared" ca="1" si="59"/>
        <v/>
      </c>
      <c r="AJ176" s="51" t="str">
        <f t="shared" ca="1" si="60"/>
        <v/>
      </c>
      <c r="AK176" s="51" t="str">
        <f t="shared" ca="1" si="61"/>
        <v/>
      </c>
      <c r="AL176" s="51" t="str">
        <f t="shared" ca="1" si="62"/>
        <v/>
      </c>
      <c r="AM176" s="51" t="str">
        <f t="shared" ca="1" si="63"/>
        <v/>
      </c>
      <c r="AN176" s="51" t="str">
        <f t="shared" ca="1" si="64"/>
        <v/>
      </c>
      <c r="AO176" s="51" t="str">
        <f t="shared" ca="1" si="65"/>
        <v/>
      </c>
      <c r="AP176" s="51" t="str">
        <f t="shared" ca="1" si="66"/>
        <v/>
      </c>
      <c r="AU176" s="51" t="str">
        <f t="shared" ca="1" si="67"/>
        <v/>
      </c>
    </row>
    <row r="177" spans="1:47" ht="22.2" customHeight="1">
      <c r="A177" s="184">
        <f t="shared" si="74"/>
        <v>79</v>
      </c>
      <c r="B177" s="183" t="str">
        <f t="shared" ca="1" si="72"/>
        <v/>
      </c>
      <c r="C177" s="183" t="str">
        <f>IF(OR(クライアント抽出!D37&lt;&gt;"",クライアント抽出!G37&lt;&gt;""),クライアント抽出!A37,"")</f>
        <v/>
      </c>
      <c r="D177" s="183" t="str">
        <f t="array" aca="1" ref="D177" ca="1">IF(C177&lt;&gt;"",INDIRECT("クライアント抽出!"&amp;E177&amp;MATCH(C177,クライアント抽出!A:A,0)&amp;""),"")</f>
        <v/>
      </c>
      <c r="E177" s="183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86" t="str">
        <f ca="1">IF(D177&lt;&gt;"",
IF(COUNTIF(C177,"*雙葉*"),
IF(ROUND((H177-M177)
/IF(COUNTIF(D177,"*キャラ*"),
VLOOKUP("*キャラ*",商品マスタ一覧!$D:$E,2,FALSE),
IF(COUNTIF(D177,"*赤*"),
VLOOKUP("*赤*",商品マスタ一覧!$D:$E,2,FALSE),
VLOOKUP("*"&amp;D177&amp;"*",商品マスタ一覧!$D:$E,2,FALSE))),0)&lt;=0,1,
ROUND((H177-M177)
/IF(COUNTIF(D177,"*キャラ*"),
VLOOKUP("*キャラ*",商品マスタ一覧!$D:$E,2,FALSE),
IF(COUNTIF(D177,"*赤*"),
VLOOKUP("*赤*",商品マスタ一覧!$D:$E,2,FALSE),
VLOOKUP("*"&amp;D177&amp;"*",商品マスタ一覧!$D:$E,2,FALSE))),0)),
IF(OR(COUNTIF(D177,"*キャラ*"),COUNTIF(D177,"*赤*")),"",
IF(VLOOKUP("*"&amp;D177&amp;"*",商品マスタ一覧!$D:$E,2,FALSE)=0,"",
IF(ROUND((H177-M177)
/VLOOKUP("*"&amp;D177&amp;"*",商品マスタ一覧!$D:$E,2,FALSE),0)&lt;=0,1,
ROUND((H177-M177)
/VLOOKUP("*"&amp;D177&amp;"*",商品マスタ一覧!$D:$E,2,FALSE),0))))),"")</f>
        <v/>
      </c>
      <c r="G177" s="183" t="str">
        <f ca="1">IF(F177&lt;&gt;"",
IF(VALUE(H177-M177)&gt;VALUE(IF(COUNTIF(D177,"*キャラ*"),
VLOOKUP("*キャラ*",商品マスタ一覧!$D:$E,2,FALSE),
IF(COUNTIF(D177,"*赤*"),
VLOOKUP("*赤*",商品マスタ一覧!$D:$E,2,FALSE),
VLOOKUP("*"&amp;D177&amp;"*",商品マスタ一覧!$D:$E,2,FALSE)))*F177),
"+"&amp;(H177-M177)-IF(COUNTIF(D177,"*キャラ*"),
VLOOKUP("*キャラ*",商品マスタ一覧!$D:$E,2,FALSE),
IF(COUNTIF(D177,"*赤*"),
VLOOKUP("*赤*",商品マスタ一覧!$D:$E,2,FALSE),
VLOOKUP("*"&amp;D177&amp;"*",商品マスタ一覧!$D:$E,2,FALSE)))*F177,
(H177-M177)-IF(COUNTIF(D177,"*キャラ*"),
VLOOKUP("*キャラ*",商品マスタ一覧!$D:$E,2,FALSE),
IF(COUNTIF(D177,"*赤*"),
VLOOKUP("*赤*",商品マスタ一覧!$D:$E,2,FALSE),
VLOOKUP("*"&amp;D177&amp;"*",商品マスタ一覧!$D:$E,2,FALSE)))*F177),"")</f>
        <v/>
      </c>
      <c r="H177" s="185" t="str">
        <f>IF(C177&lt;&gt;"",
クライアント抽出!D37,"")</f>
        <v/>
      </c>
      <c r="I177" s="183" t="str">
        <f>IF(C177&lt;&gt;"",
IF(O177=1,0,クライアント抽出!F37),"")</f>
        <v/>
      </c>
      <c r="J177" s="183" t="str">
        <f>IF(C177&lt;&gt;"",
VLOOKUP(
"*"&amp;LEFT(IF(COUNTIF(D177,"*学食*"),"キャラ弁（学食）",
IF(COUNTIF(D177,"*赤*"),"赤",
IF(COUNTIF(D177,"*キャラ弁当*"),"キャラ弁当",D177))),4)&amp;"*",注文弁当の抽出!$E$1:$F$15,2,FALSE),"")</f>
        <v/>
      </c>
      <c r="K177" s="183" t="str">
        <f ca="1">IF(クライアント抽出!R37&lt;&gt;"",SUBSTITUTE(ADDRESS(1,(CODE(クライアント抽出!R37)-64)*2-1,4),"1",""),"")</f>
        <v/>
      </c>
      <c r="L177" s="183" t="str">
        <f>IF(C37&lt;&gt;"",クライアント抽出!I37,"")</f>
        <v/>
      </c>
      <c r="M177" s="183">
        <f t="array" aca="1" ref="M177" ca="1">IF(C177&lt;&gt;"",
IF(K177&lt;&gt;"",INDIRECT("'数出表_Excel（アレルギー入力）'!"&amp;K177&amp;L177-1&amp;""),),)</f>
        <v>0</v>
      </c>
      <c r="N177" s="183" t="str">
        <f>IF(C177&lt;&gt;"",IF(OR(COUNTIF('盛付札（関数）'!D177,"*赤*"),COUNTIF('盛付札（関数）'!D177,"*キャラ*")),1,
VLOOKUP("*"&amp;D177&amp;"*",商品マスタ一覧!D:H,5,FALSE)),"")</f>
        <v/>
      </c>
      <c r="O177" s="183">
        <f t="shared" ca="1" si="73"/>
        <v>0</v>
      </c>
      <c r="P177" s="183">
        <f t="shared" si="49"/>
        <v>0</v>
      </c>
      <c r="Q177" s="183" t="b">
        <f t="shared" si="50"/>
        <v>0</v>
      </c>
      <c r="R177" s="51" t="str">
        <f t="array" aca="1" ref="R177" ca="1">IFERROR(SMALL(IF(P$1:P$307&lt;&gt;0,P$1:P$307),ROW(A177)),"")</f>
        <v/>
      </c>
      <c r="S177" s="51" t="str">
        <f t="array" aca="1" ref="S177" ca="1">IF($R177&lt;&gt;"",
SUBSTITUTE(SUBSTITUTE(INDIRECT("C"&amp;$R177&amp;"")," 週3ｺｰｽ","")," 週5ｺｰｽ",""),"")</f>
        <v/>
      </c>
      <c r="T177" s="51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91" t="str">
        <f t="array" aca="1" ref="U177" ca="1">IF($R177&lt;&gt;"",
INDIRECT("F"&amp;$R177&amp;""),"")</f>
        <v/>
      </c>
      <c r="V177" s="51" t="str">
        <f t="array" aca="1" ref="V177" ca="1">IF($R177&lt;&gt;"",
INDIRECT("G"&amp;$R177&amp;""),"")</f>
        <v/>
      </c>
      <c r="W177" s="51" t="str">
        <f t="array" aca="1" ref="W177" ca="1">IF($R177&lt;&gt;"",
IF(AND(COUNTIF(INDIRECT("B"&amp;R177&amp;""),"*雙葉*"),COUNTIF(B:B,"*雙葉*")&gt;=2),
IF(OR(COUNTIF(INDIRECT("B"&amp;R177&amp;""),"*雙葉先生*"),COUNTIF($B$1:$B$70,"*雙葉*")&gt;=2),INDIRECT("H"&amp;R177&amp;""),INDIRECT("H"&amp;R177&amp;"")+INDIRECT("H"&amp;MATCH("雙葉'",INDIRECT("B"&amp;R177+3&amp;":B210"),0)+2+R177&amp;"")),
IF(AND(LEFT(INDIRECT("B"&amp;R177&amp;""),2)="博多",COUNTIF(B:B,"*博多*")&gt;=2),
INDIRECT("H"&amp;R177&amp;"")+INDIRECT("H"&amp;MATCH("*"&amp;INDIRECT("B"&amp;R177&amp;"")&amp;"*",INDIRECT("B"&amp;R177+1&amp;":B210"),0)+R177&amp;""),
IF(AND(LEFT(INDIRECT("B"&amp;R177&amp;""),3)="奈良屋",COUNTIF(B:B,"*奈良屋*")&gt;=2),
INDIRECT("H"&amp;R177&amp;"")+INDIRECT("H"&amp;MATCH("*"&amp;INDIRECT("B"&amp;R177&amp;"")&amp;"*",INDIRECT("B"&amp;R177+1&amp;":B210"),0)+R177&amp;"")
+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INDIRECT("H"&amp;R177&amp;"")))),"")</f>
        <v/>
      </c>
      <c r="X177" s="51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51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51" t="str">
        <f t="shared" ca="1" si="51"/>
        <v/>
      </c>
      <c r="AA177" s="51" t="str">
        <f t="shared" ca="1" si="52"/>
        <v/>
      </c>
      <c r="AB177" s="51" t="str">
        <f t="array" aca="1" ref="AB177" ca="1">IF($R177&lt;&gt;"",
IF(AND(COUNTIF(INDIRECT("B"&amp;R177&amp;""),"*雙葉*"),COUNTIF(B:B,"*雙葉*")&gt;=2),
INDIRECT("M"&amp;R177&amp;"")+INDIRECT("M"&amp;MATCH("雙葉'",INDIRECT("B"&amp;R177+1&amp;":B210"),0)+R177&amp;""),
IF(AND(LEFT(INDIRECT("B"&amp;R177&amp;""),2)="博多",COUNTIF(B:B,"*博多*")&gt;=2),
INDIRECT("M"&amp;R177&amp;"")+INDIRECT("M"&amp;MATCH("*"&amp;INDIRECT("B"&amp;R177&amp;"")&amp;"*",INDIRECT("B"&amp;R177+1&amp;":B210"),0)+R177&amp;""),
IF(AND(LEFT(INDIRECT("B"&amp;R177&amp;""),3)="奈良屋",COUNTIF(B:B,"*奈良屋*")&gt;=2),
INDIRECT("M"&amp;R177&amp;"")+INDIRECT("M"&amp;MATCH("*"&amp;INDIRECT("B"&amp;R177&amp;"")&amp;"*",INDIRECT("B"&amp;R177+1&amp;":B210"),0)+R177&amp;"")
+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INDIRECT("M"&amp;R177&amp;"")))),"")</f>
        <v/>
      </c>
      <c r="AC177" s="51" t="str">
        <f t="shared" ca="1" si="53"/>
        <v/>
      </c>
      <c r="AD177" s="51" t="str">
        <f t="shared" ca="1" si="54"/>
        <v/>
      </c>
      <c r="AE177" s="51" t="str">
        <f t="shared" ca="1" si="55"/>
        <v/>
      </c>
      <c r="AF177" s="51" t="str">
        <f t="shared" ca="1" si="56"/>
        <v/>
      </c>
      <c r="AG177" s="51" t="str">
        <f t="shared" ca="1" si="57"/>
        <v/>
      </c>
      <c r="AH177" s="191" t="str">
        <f t="shared" ca="1" si="58"/>
        <v/>
      </c>
      <c r="AI177" s="51" t="str">
        <f t="shared" ca="1" si="59"/>
        <v/>
      </c>
      <c r="AJ177" s="51" t="str">
        <f t="shared" ca="1" si="60"/>
        <v/>
      </c>
      <c r="AK177" s="51" t="str">
        <f t="shared" ca="1" si="61"/>
        <v/>
      </c>
      <c r="AL177" s="51" t="str">
        <f t="shared" ca="1" si="62"/>
        <v/>
      </c>
      <c r="AM177" s="51" t="str">
        <f t="shared" ca="1" si="63"/>
        <v/>
      </c>
      <c r="AN177" s="51" t="str">
        <f t="shared" ca="1" si="64"/>
        <v/>
      </c>
      <c r="AO177" s="51" t="str">
        <f t="shared" ca="1" si="65"/>
        <v/>
      </c>
      <c r="AP177" s="51" t="str">
        <f t="shared" ca="1" si="66"/>
        <v/>
      </c>
      <c r="AU177" s="51" t="str">
        <f t="shared" ca="1" si="67"/>
        <v/>
      </c>
    </row>
    <row r="178" spans="1:47" ht="22.2" customHeight="1">
      <c r="A178" s="184">
        <f t="shared" si="74"/>
        <v>81</v>
      </c>
      <c r="B178" s="183" t="str">
        <f t="shared" ca="1" si="72"/>
        <v/>
      </c>
      <c r="C178" s="183" t="str">
        <f>IF(OR(クライアント抽出!D38&lt;&gt;"",クライアント抽出!G38&lt;&gt;""),クライアント抽出!A38,"")</f>
        <v/>
      </c>
      <c r="D178" s="183" t="str">
        <f t="array" aca="1" ref="D178" ca="1">IF(C178&lt;&gt;"",INDIRECT("クライアント抽出!"&amp;E178&amp;MATCH(C178,クライアント抽出!A:A,0)&amp;""),"")</f>
        <v/>
      </c>
      <c r="E178" s="183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86" t="str">
        <f ca="1">IF(D178&lt;&gt;"",
IF(COUNTIF(C178,"*雙葉*"),
IF(ROUND((H178-M178)
/IF(COUNTIF(D178,"*キャラ*"),
VLOOKUP("*キャラ*",商品マスタ一覧!$D:$E,2,FALSE),
IF(COUNTIF(D178,"*赤*"),
VLOOKUP("*赤*",商品マスタ一覧!$D:$E,2,FALSE),
VLOOKUP("*"&amp;D178&amp;"*",商品マスタ一覧!$D:$E,2,FALSE))),0)&lt;=0,1,
ROUND((H178-M178)
/IF(COUNTIF(D178,"*キャラ*"),
VLOOKUP("*キャラ*",商品マスタ一覧!$D:$E,2,FALSE),
IF(COUNTIF(D178,"*赤*"),
VLOOKUP("*赤*",商品マスタ一覧!$D:$E,2,FALSE),
VLOOKUP("*"&amp;D178&amp;"*",商品マスタ一覧!$D:$E,2,FALSE))),0)),
IF(OR(COUNTIF(D178,"*キャラ*"),COUNTIF(D178,"*赤*")),"",
IF(VLOOKUP("*"&amp;D178&amp;"*",商品マスタ一覧!$D:$E,2,FALSE)=0,"",
IF(ROUND((H178-M178)
/VLOOKUP("*"&amp;D178&amp;"*",商品マスタ一覧!$D:$E,2,FALSE),0)&lt;=0,1,
ROUND((H178-M178)
/VLOOKUP("*"&amp;D178&amp;"*",商品マスタ一覧!$D:$E,2,FALSE),0))))),"")</f>
        <v/>
      </c>
      <c r="G178" s="183" t="str">
        <f ca="1">IF(F178&lt;&gt;"",
IF(VALUE(H178-M178)&gt;VALUE(IF(COUNTIF(D178,"*キャラ*"),
VLOOKUP("*キャラ*",商品マスタ一覧!$D:$E,2,FALSE),
IF(COUNTIF(D178,"*赤*"),
VLOOKUP("*赤*",商品マスタ一覧!$D:$E,2,FALSE),
VLOOKUP("*"&amp;D178&amp;"*",商品マスタ一覧!$D:$E,2,FALSE)))*F178),
"+"&amp;(H178-M178)-IF(COUNTIF(D178,"*キャラ*"),
VLOOKUP("*キャラ*",商品マスタ一覧!$D:$E,2,FALSE),
IF(COUNTIF(D178,"*赤*"),
VLOOKUP("*赤*",商品マスタ一覧!$D:$E,2,FALSE),
VLOOKUP("*"&amp;D178&amp;"*",商品マスタ一覧!$D:$E,2,FALSE)))*F178,
(H178-M178)-IF(COUNTIF(D178,"*キャラ*"),
VLOOKUP("*キャラ*",商品マスタ一覧!$D:$E,2,FALSE),
IF(COUNTIF(D178,"*赤*"),
VLOOKUP("*赤*",商品マスタ一覧!$D:$E,2,FALSE),
VLOOKUP("*"&amp;D178&amp;"*",商品マスタ一覧!$D:$E,2,FALSE)))*F178),"")</f>
        <v/>
      </c>
      <c r="H178" s="185" t="str">
        <f>IF(C178&lt;&gt;"",
クライアント抽出!D38,"")</f>
        <v/>
      </c>
      <c r="I178" s="183" t="str">
        <f>IF(C178&lt;&gt;"",
IF(O178=1,0,クライアント抽出!F38),"")</f>
        <v/>
      </c>
      <c r="J178" s="183" t="str">
        <f>IF(C178&lt;&gt;"",
VLOOKUP(
"*"&amp;LEFT(IF(COUNTIF(D178,"*学食*"),"キャラ弁（学食）",
IF(COUNTIF(D178,"*赤*"),"赤",
IF(COUNTIF(D178,"*キャラ弁当*"),"キャラ弁当",D178))),4)&amp;"*",注文弁当の抽出!$E$1:$F$15,2,FALSE),"")</f>
        <v/>
      </c>
      <c r="K178" s="183" t="str">
        <f ca="1">IF(クライアント抽出!R38&lt;&gt;"",SUBSTITUTE(ADDRESS(1,(CODE(クライアント抽出!R38)-64)*2-1,4),"1",""),"")</f>
        <v/>
      </c>
      <c r="L178" s="183" t="str">
        <f>IF(C38&lt;&gt;"",クライアント抽出!I38,"")</f>
        <v/>
      </c>
      <c r="M178" s="183">
        <f t="array" aca="1" ref="M178" ca="1">IF(C178&lt;&gt;"",
IF(K178&lt;&gt;"",INDIRECT("'数出表_Excel（アレルギー入力）'!"&amp;K178&amp;L178-1&amp;""),),)</f>
        <v>0</v>
      </c>
      <c r="N178" s="183" t="str">
        <f>IF(C178&lt;&gt;"",IF(OR(COUNTIF('盛付札（関数）'!D178,"*赤*"),COUNTIF('盛付札（関数）'!D178,"*キャラ*")),1,
VLOOKUP("*"&amp;D178&amp;"*",商品マスタ一覧!D:H,5,FALSE)),"")</f>
        <v/>
      </c>
      <c r="O178" s="183">
        <f t="shared" ca="1" si="73"/>
        <v>0</v>
      </c>
      <c r="P178" s="183">
        <f t="shared" si="49"/>
        <v>0</v>
      </c>
      <c r="Q178" s="183" t="b">
        <f t="shared" si="50"/>
        <v>0</v>
      </c>
      <c r="R178" s="51" t="str">
        <f t="array" aca="1" ref="R178" ca="1">IFERROR(SMALL(IF(P$1:P$307&lt;&gt;0,P$1:P$307),ROW(A178)),"")</f>
        <v/>
      </c>
      <c r="S178" s="51" t="str">
        <f t="array" aca="1" ref="S178" ca="1">IF($R178&lt;&gt;"",
SUBSTITUTE(SUBSTITUTE(INDIRECT("C"&amp;$R178&amp;"")," 週3ｺｰｽ","")," 週5ｺｰｽ",""),"")</f>
        <v/>
      </c>
      <c r="T178" s="51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91" t="str">
        <f t="array" aca="1" ref="U178" ca="1">IF($R178&lt;&gt;"",
INDIRECT("F"&amp;$R178&amp;""),"")</f>
        <v/>
      </c>
      <c r="V178" s="51" t="str">
        <f t="array" aca="1" ref="V178" ca="1">IF($R178&lt;&gt;"",
INDIRECT("G"&amp;$R178&amp;""),"")</f>
        <v/>
      </c>
      <c r="W178" s="51" t="str">
        <f t="array" aca="1" ref="W178" ca="1">IF($R178&lt;&gt;"",
IF(AND(COUNTIF(INDIRECT("B"&amp;R178&amp;""),"*雙葉*"),COUNTIF(B:B,"*雙葉*")&gt;=2),
IF(OR(COUNTIF(INDIRECT("B"&amp;R178&amp;""),"*雙葉先生*"),COUNTIF($B$1:$B$70,"*雙葉*")&gt;=2),INDIRECT("H"&amp;R178&amp;""),INDIRECT("H"&amp;R178&amp;"")+INDIRECT("H"&amp;MATCH("雙葉'",INDIRECT("B"&amp;R178+3&amp;":B210"),0)+2+R178&amp;"")),
IF(AND(LEFT(INDIRECT("B"&amp;R178&amp;""),2)="博多",COUNTIF(B:B,"*博多*")&gt;=2),
INDIRECT("H"&amp;R178&amp;"")+INDIRECT("H"&amp;MATCH("*"&amp;INDIRECT("B"&amp;R178&amp;"")&amp;"*",INDIRECT("B"&amp;R178+1&amp;":B210"),0)+R178&amp;""),
IF(AND(LEFT(INDIRECT("B"&amp;R178&amp;""),3)="奈良屋",COUNTIF(B:B,"*奈良屋*")&gt;=2),
INDIRECT("H"&amp;R178&amp;"")+INDIRECT("H"&amp;MATCH("*"&amp;INDIRECT("B"&amp;R178&amp;"")&amp;"*",INDIRECT("B"&amp;R178+1&amp;":B210"),0)+R178&amp;"")
+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INDIRECT("H"&amp;R178&amp;"")))),"")</f>
        <v/>
      </c>
      <c r="X178" s="51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51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51" t="str">
        <f t="shared" ca="1" si="51"/>
        <v/>
      </c>
      <c r="AA178" s="51" t="str">
        <f t="shared" ca="1" si="52"/>
        <v/>
      </c>
      <c r="AB178" s="51" t="str">
        <f t="array" aca="1" ref="AB178" ca="1">IF($R178&lt;&gt;"",
IF(AND(COUNTIF(INDIRECT("B"&amp;R178&amp;""),"*雙葉*"),COUNTIF(B:B,"*雙葉*")&gt;=2),
INDIRECT("M"&amp;R178&amp;"")+INDIRECT("M"&amp;MATCH("雙葉'",INDIRECT("B"&amp;R178+1&amp;":B210"),0)+R178&amp;""),
IF(AND(LEFT(INDIRECT("B"&amp;R178&amp;""),2)="博多",COUNTIF(B:B,"*博多*")&gt;=2),
INDIRECT("M"&amp;R178&amp;"")+INDIRECT("M"&amp;MATCH("*"&amp;INDIRECT("B"&amp;R178&amp;"")&amp;"*",INDIRECT("B"&amp;R178+1&amp;":B210"),0)+R178&amp;""),
IF(AND(LEFT(INDIRECT("B"&amp;R178&amp;""),3)="奈良屋",COUNTIF(B:B,"*奈良屋*")&gt;=2),
INDIRECT("M"&amp;R178&amp;"")+INDIRECT("M"&amp;MATCH("*"&amp;INDIRECT("B"&amp;R178&amp;"")&amp;"*",INDIRECT("B"&amp;R178+1&amp;":B210"),0)+R178&amp;"")
+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INDIRECT("M"&amp;R178&amp;"")))),"")</f>
        <v/>
      </c>
      <c r="AC178" s="51" t="str">
        <f t="shared" ca="1" si="53"/>
        <v/>
      </c>
      <c r="AD178" s="51" t="str">
        <f t="shared" ca="1" si="54"/>
        <v/>
      </c>
      <c r="AE178" s="51" t="str">
        <f t="shared" ca="1" si="55"/>
        <v/>
      </c>
      <c r="AF178" s="51" t="str">
        <f t="shared" ca="1" si="56"/>
        <v/>
      </c>
      <c r="AG178" s="51" t="str">
        <f t="shared" ca="1" si="57"/>
        <v/>
      </c>
      <c r="AH178" s="191" t="str">
        <f t="shared" ca="1" si="58"/>
        <v/>
      </c>
      <c r="AI178" s="51" t="str">
        <f t="shared" ca="1" si="59"/>
        <v/>
      </c>
      <c r="AJ178" s="51" t="str">
        <f t="shared" ca="1" si="60"/>
        <v/>
      </c>
      <c r="AK178" s="51" t="str">
        <f t="shared" ca="1" si="61"/>
        <v/>
      </c>
      <c r="AL178" s="51" t="str">
        <f t="shared" ca="1" si="62"/>
        <v/>
      </c>
      <c r="AM178" s="51" t="str">
        <f t="shared" ca="1" si="63"/>
        <v/>
      </c>
      <c r="AN178" s="51" t="str">
        <f t="shared" ca="1" si="64"/>
        <v/>
      </c>
      <c r="AO178" s="51" t="str">
        <f t="shared" ca="1" si="65"/>
        <v/>
      </c>
      <c r="AP178" s="51" t="str">
        <f t="shared" ca="1" si="66"/>
        <v/>
      </c>
      <c r="AU178" s="51" t="str">
        <f t="shared" ca="1" si="67"/>
        <v/>
      </c>
    </row>
    <row r="179" spans="1:47" ht="22.2" customHeight="1">
      <c r="A179" s="184">
        <f t="shared" si="74"/>
        <v>83</v>
      </c>
      <c r="B179" s="183" t="str">
        <f t="shared" ca="1" si="72"/>
        <v/>
      </c>
      <c r="C179" s="183" t="str">
        <f>IF(OR(クライアント抽出!D39&lt;&gt;"",クライアント抽出!G39&lt;&gt;""),クライアント抽出!A39,"")</f>
        <v/>
      </c>
      <c r="D179" s="183" t="str">
        <f t="array" aca="1" ref="D179" ca="1">IF(C179&lt;&gt;"",INDIRECT("クライアント抽出!"&amp;E179&amp;MATCH(C179,クライアント抽出!A:A,0)&amp;""),"")</f>
        <v/>
      </c>
      <c r="E179" s="183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86" t="str">
        <f ca="1">IF(D179&lt;&gt;"",
IF(COUNTIF(C179,"*雙葉*"),
IF(ROUND((H179-M179)
/IF(COUNTIF(D179,"*キャラ*"),
VLOOKUP("*キャラ*",商品マスタ一覧!$D:$E,2,FALSE),
IF(COUNTIF(D179,"*赤*"),
VLOOKUP("*赤*",商品マスタ一覧!$D:$E,2,FALSE),
VLOOKUP("*"&amp;D179&amp;"*",商品マスタ一覧!$D:$E,2,FALSE))),0)&lt;=0,1,
ROUND((H179-M179)
/IF(COUNTIF(D179,"*キャラ*"),
VLOOKUP("*キャラ*",商品マスタ一覧!$D:$E,2,FALSE),
IF(COUNTIF(D179,"*赤*"),
VLOOKUP("*赤*",商品マスタ一覧!$D:$E,2,FALSE),
VLOOKUP("*"&amp;D179&amp;"*",商品マスタ一覧!$D:$E,2,FALSE))),0)),
IF(OR(COUNTIF(D179,"*キャラ*"),COUNTIF(D179,"*赤*")),"",
IF(VLOOKUP("*"&amp;D179&amp;"*",商品マスタ一覧!$D:$E,2,FALSE)=0,"",
IF(ROUND((H179-M179)
/VLOOKUP("*"&amp;D179&amp;"*",商品マスタ一覧!$D:$E,2,FALSE),0)&lt;=0,1,
ROUND((H179-M179)
/VLOOKUP("*"&amp;D179&amp;"*",商品マスタ一覧!$D:$E,2,FALSE),0))))),"")</f>
        <v/>
      </c>
      <c r="G179" s="183" t="str">
        <f ca="1">IF(F179&lt;&gt;"",
IF(VALUE(H179-M179)&gt;VALUE(IF(COUNTIF(D179,"*キャラ*"),
VLOOKUP("*キャラ*",商品マスタ一覧!$D:$E,2,FALSE),
IF(COUNTIF(D179,"*赤*"),
VLOOKUP("*赤*",商品マスタ一覧!$D:$E,2,FALSE),
VLOOKUP("*"&amp;D179&amp;"*",商品マスタ一覧!$D:$E,2,FALSE)))*F179),
"+"&amp;(H179-M179)-IF(COUNTIF(D179,"*キャラ*"),
VLOOKUP("*キャラ*",商品マスタ一覧!$D:$E,2,FALSE),
IF(COUNTIF(D179,"*赤*"),
VLOOKUP("*赤*",商品マスタ一覧!$D:$E,2,FALSE),
VLOOKUP("*"&amp;D179&amp;"*",商品マスタ一覧!$D:$E,2,FALSE)))*F179,
(H179-M179)-IF(COUNTIF(D179,"*キャラ*"),
VLOOKUP("*キャラ*",商品マスタ一覧!$D:$E,2,FALSE),
IF(COUNTIF(D179,"*赤*"),
VLOOKUP("*赤*",商品マスタ一覧!$D:$E,2,FALSE),
VLOOKUP("*"&amp;D179&amp;"*",商品マスタ一覧!$D:$E,2,FALSE)))*F179),"")</f>
        <v/>
      </c>
      <c r="H179" s="185" t="str">
        <f>IF(C179&lt;&gt;"",
クライアント抽出!D39,"")</f>
        <v/>
      </c>
      <c r="I179" s="183" t="str">
        <f>IF(C179&lt;&gt;"",
IF(O179=1,0,クライアント抽出!F39),"")</f>
        <v/>
      </c>
      <c r="J179" s="183" t="str">
        <f>IF(C179&lt;&gt;"",
VLOOKUP(
"*"&amp;LEFT(IF(COUNTIF(D179,"*学食*"),"キャラ弁（学食）",
IF(COUNTIF(D179,"*赤*"),"赤",
IF(COUNTIF(D179,"*キャラ弁当*"),"キャラ弁当",D179))),4)&amp;"*",注文弁当の抽出!$E$1:$F$15,2,FALSE),"")</f>
        <v/>
      </c>
      <c r="K179" s="183" t="str">
        <f ca="1">IF(クライアント抽出!R39&lt;&gt;"",SUBSTITUTE(ADDRESS(1,(CODE(クライアント抽出!R39)-64)*2-1,4),"1",""),"")</f>
        <v/>
      </c>
      <c r="L179" s="183" t="str">
        <f>IF(C39&lt;&gt;"",クライアント抽出!I39,"")</f>
        <v/>
      </c>
      <c r="M179" s="183">
        <f t="array" aca="1" ref="M179" ca="1">IF(C179&lt;&gt;"",
IF(K179&lt;&gt;"",INDIRECT("'数出表_Excel（アレルギー入力）'!"&amp;K179&amp;L179-1&amp;""),),)</f>
        <v>0</v>
      </c>
      <c r="N179" s="183" t="str">
        <f>IF(C179&lt;&gt;"",IF(OR(COUNTIF('盛付札（関数）'!D179,"*赤*"),COUNTIF('盛付札（関数）'!D179,"*キャラ*")),1,
VLOOKUP("*"&amp;D179&amp;"*",商品マスタ一覧!D:H,5,FALSE)),"")</f>
        <v/>
      </c>
      <c r="O179" s="183">
        <f t="shared" ca="1" si="73"/>
        <v>0</v>
      </c>
      <c r="P179" s="183">
        <f t="shared" si="49"/>
        <v>0</v>
      </c>
      <c r="Q179" s="183" t="b">
        <f t="shared" si="50"/>
        <v>0</v>
      </c>
      <c r="R179" s="51" t="str">
        <f t="array" aca="1" ref="R179" ca="1">IFERROR(SMALL(IF(P$1:P$307&lt;&gt;0,P$1:P$307),ROW(A179)),"")</f>
        <v/>
      </c>
      <c r="S179" s="51" t="str">
        <f t="array" aca="1" ref="S179" ca="1">IF($R179&lt;&gt;"",
SUBSTITUTE(SUBSTITUTE(INDIRECT("C"&amp;$R179&amp;"")," 週3ｺｰｽ","")," 週5ｺｰｽ",""),"")</f>
        <v/>
      </c>
      <c r="T179" s="51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91" t="str">
        <f t="array" aca="1" ref="U179" ca="1">IF($R179&lt;&gt;"",
INDIRECT("F"&amp;$R179&amp;""),"")</f>
        <v/>
      </c>
      <c r="V179" s="51" t="str">
        <f t="array" aca="1" ref="V179" ca="1">IF($R179&lt;&gt;"",
INDIRECT("G"&amp;$R179&amp;""),"")</f>
        <v/>
      </c>
      <c r="W179" s="51" t="str">
        <f t="array" aca="1" ref="W179" ca="1">IF($R179&lt;&gt;"",
IF(AND(COUNTIF(INDIRECT("B"&amp;R179&amp;""),"*雙葉*"),COUNTIF(B:B,"*雙葉*")&gt;=2),
IF(OR(COUNTIF(INDIRECT("B"&amp;R179&amp;""),"*雙葉先生*"),COUNTIF($B$1:$B$70,"*雙葉*")&gt;=2),INDIRECT("H"&amp;R179&amp;""),INDIRECT("H"&amp;R179&amp;"")+INDIRECT("H"&amp;MATCH("雙葉'",INDIRECT("B"&amp;R179+3&amp;":B210"),0)+2+R179&amp;"")),
IF(AND(LEFT(INDIRECT("B"&amp;R179&amp;""),2)="博多",COUNTIF(B:B,"*博多*")&gt;=2),
INDIRECT("H"&amp;R179&amp;"")+INDIRECT("H"&amp;MATCH("*"&amp;INDIRECT("B"&amp;R179&amp;"")&amp;"*",INDIRECT("B"&amp;R179+1&amp;":B210"),0)+R179&amp;""),
IF(AND(LEFT(INDIRECT("B"&amp;R179&amp;""),3)="奈良屋",COUNTIF(B:B,"*奈良屋*")&gt;=2),
INDIRECT("H"&amp;R179&amp;"")+INDIRECT("H"&amp;MATCH("*"&amp;INDIRECT("B"&amp;R179&amp;"")&amp;"*",INDIRECT("B"&amp;R179+1&amp;":B210"),0)+R179&amp;"")
+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INDIRECT("H"&amp;R179&amp;"")))),"")</f>
        <v/>
      </c>
      <c r="X179" s="51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51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51" t="str">
        <f t="shared" ca="1" si="51"/>
        <v/>
      </c>
      <c r="AA179" s="51" t="str">
        <f t="shared" ca="1" si="52"/>
        <v/>
      </c>
      <c r="AB179" s="51" t="str">
        <f t="array" aca="1" ref="AB179" ca="1">IF($R179&lt;&gt;"",
IF(AND(COUNTIF(INDIRECT("B"&amp;R179&amp;""),"*雙葉*"),COUNTIF(B:B,"*雙葉*")&gt;=2),
INDIRECT("M"&amp;R179&amp;"")+INDIRECT("M"&amp;MATCH("雙葉'",INDIRECT("B"&amp;R179+1&amp;":B210"),0)+R179&amp;""),
IF(AND(LEFT(INDIRECT("B"&amp;R179&amp;""),2)="博多",COUNTIF(B:B,"*博多*")&gt;=2),
INDIRECT("M"&amp;R179&amp;"")+INDIRECT("M"&amp;MATCH("*"&amp;INDIRECT("B"&amp;R179&amp;"")&amp;"*",INDIRECT("B"&amp;R179+1&amp;":B210"),0)+R179&amp;""),
IF(AND(LEFT(INDIRECT("B"&amp;R179&amp;""),3)="奈良屋",COUNTIF(B:B,"*奈良屋*")&gt;=2),
INDIRECT("M"&amp;R179&amp;"")+INDIRECT("M"&amp;MATCH("*"&amp;INDIRECT("B"&amp;R179&amp;"")&amp;"*",INDIRECT("B"&amp;R179+1&amp;":B210"),0)+R179&amp;"")
+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INDIRECT("M"&amp;R179&amp;"")))),"")</f>
        <v/>
      </c>
      <c r="AC179" s="51" t="str">
        <f t="shared" ca="1" si="53"/>
        <v/>
      </c>
      <c r="AD179" s="51" t="str">
        <f t="shared" ca="1" si="54"/>
        <v/>
      </c>
      <c r="AE179" s="51" t="str">
        <f t="shared" ca="1" si="55"/>
        <v/>
      </c>
      <c r="AF179" s="51" t="str">
        <f t="shared" ca="1" si="56"/>
        <v/>
      </c>
      <c r="AG179" s="51" t="str">
        <f t="shared" ca="1" si="57"/>
        <v/>
      </c>
      <c r="AH179" s="191" t="str">
        <f t="shared" ca="1" si="58"/>
        <v/>
      </c>
      <c r="AI179" s="51" t="str">
        <f t="shared" ca="1" si="59"/>
        <v/>
      </c>
      <c r="AJ179" s="51" t="str">
        <f t="shared" ca="1" si="60"/>
        <v/>
      </c>
      <c r="AK179" s="51" t="str">
        <f t="shared" ca="1" si="61"/>
        <v/>
      </c>
      <c r="AL179" s="51" t="str">
        <f t="shared" ca="1" si="62"/>
        <v/>
      </c>
      <c r="AM179" s="51" t="str">
        <f t="shared" ca="1" si="63"/>
        <v/>
      </c>
      <c r="AN179" s="51" t="str">
        <f t="shared" ca="1" si="64"/>
        <v/>
      </c>
      <c r="AO179" s="51" t="str">
        <f t="shared" ca="1" si="65"/>
        <v/>
      </c>
      <c r="AP179" s="51" t="str">
        <f t="shared" ca="1" si="66"/>
        <v/>
      </c>
      <c r="AU179" s="51" t="str">
        <f t="shared" ca="1" si="67"/>
        <v/>
      </c>
    </row>
    <row r="180" spans="1:47" ht="22.2" customHeight="1">
      <c r="A180" s="184">
        <f t="shared" si="74"/>
        <v>85</v>
      </c>
      <c r="B180" s="183" t="str">
        <f t="shared" ca="1" si="72"/>
        <v/>
      </c>
      <c r="C180" s="183" t="str">
        <f>IF(OR(クライアント抽出!D40&lt;&gt;"",クライアント抽出!G40&lt;&gt;""),クライアント抽出!A40,"")</f>
        <v/>
      </c>
      <c r="D180" s="183" t="str">
        <f t="array" aca="1" ref="D180" ca="1">IF(C180&lt;&gt;"",INDIRECT("クライアント抽出!"&amp;E180&amp;MATCH(C180,クライアント抽出!A:A,0)&amp;""),"")</f>
        <v/>
      </c>
      <c r="E180" s="183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86" t="str">
        <f ca="1">IF(D180&lt;&gt;"",
IF(COUNTIF(C180,"*雙葉*"),
IF(ROUND((H180-M180)
/IF(COUNTIF(D180,"*キャラ*"),
VLOOKUP("*キャラ*",商品マスタ一覧!$D:$E,2,FALSE),
IF(COUNTIF(D180,"*赤*"),
VLOOKUP("*赤*",商品マスタ一覧!$D:$E,2,FALSE),
VLOOKUP("*"&amp;D180&amp;"*",商品マスタ一覧!$D:$E,2,FALSE))),0)&lt;=0,1,
ROUND((H180-M180)
/IF(COUNTIF(D180,"*キャラ*"),
VLOOKUP("*キャラ*",商品マスタ一覧!$D:$E,2,FALSE),
IF(COUNTIF(D180,"*赤*"),
VLOOKUP("*赤*",商品マスタ一覧!$D:$E,2,FALSE),
VLOOKUP("*"&amp;D180&amp;"*",商品マスタ一覧!$D:$E,2,FALSE))),0)),
IF(OR(COUNTIF(D180,"*キャラ*"),COUNTIF(D180,"*赤*")),"",
IF(VLOOKUP("*"&amp;D180&amp;"*",商品マスタ一覧!$D:$E,2,FALSE)=0,"",
IF(ROUND((H180-M180)
/VLOOKUP("*"&amp;D180&amp;"*",商品マスタ一覧!$D:$E,2,FALSE),0)&lt;=0,1,
ROUND((H180-M180)
/VLOOKUP("*"&amp;D180&amp;"*",商品マスタ一覧!$D:$E,2,FALSE),0))))),"")</f>
        <v/>
      </c>
      <c r="G180" s="183" t="str">
        <f ca="1">IF(F180&lt;&gt;"",
IF(VALUE(H180-M180)&gt;VALUE(IF(COUNTIF(D180,"*キャラ*"),
VLOOKUP("*キャラ*",商品マスタ一覧!$D:$E,2,FALSE),
IF(COUNTIF(D180,"*赤*"),
VLOOKUP("*赤*",商品マスタ一覧!$D:$E,2,FALSE),
VLOOKUP("*"&amp;D180&amp;"*",商品マスタ一覧!$D:$E,2,FALSE)))*F180),
"+"&amp;(H180-M180)-IF(COUNTIF(D180,"*キャラ*"),
VLOOKUP("*キャラ*",商品マスタ一覧!$D:$E,2,FALSE),
IF(COUNTIF(D180,"*赤*"),
VLOOKUP("*赤*",商品マスタ一覧!$D:$E,2,FALSE),
VLOOKUP("*"&amp;D180&amp;"*",商品マスタ一覧!$D:$E,2,FALSE)))*F180,
(H180-M180)-IF(COUNTIF(D180,"*キャラ*"),
VLOOKUP("*キャラ*",商品マスタ一覧!$D:$E,2,FALSE),
IF(COUNTIF(D180,"*赤*"),
VLOOKUP("*赤*",商品マスタ一覧!$D:$E,2,FALSE),
VLOOKUP("*"&amp;D180&amp;"*",商品マスタ一覧!$D:$E,2,FALSE)))*F180),"")</f>
        <v/>
      </c>
      <c r="H180" s="185" t="str">
        <f>IF(C180&lt;&gt;"",
クライアント抽出!D40,"")</f>
        <v/>
      </c>
      <c r="I180" s="183" t="str">
        <f>IF(C180&lt;&gt;"",
IF(O180=1,0,クライアント抽出!F40),"")</f>
        <v/>
      </c>
      <c r="J180" s="183" t="str">
        <f>IF(C180&lt;&gt;"",
VLOOKUP(
"*"&amp;LEFT(IF(COUNTIF(D180,"*学食*"),"キャラ弁（学食）",
IF(COUNTIF(D180,"*赤*"),"赤",
IF(COUNTIF(D180,"*キャラ弁当*"),"キャラ弁当",D180))),4)&amp;"*",注文弁当の抽出!$E$1:$F$15,2,FALSE),"")</f>
        <v/>
      </c>
      <c r="K180" s="183" t="str">
        <f ca="1">IF(クライアント抽出!R40&lt;&gt;"",SUBSTITUTE(ADDRESS(1,(CODE(クライアント抽出!R40)-64)*2-1,4),"1",""),"")</f>
        <v/>
      </c>
      <c r="L180" s="183" t="str">
        <f>IF(C40&lt;&gt;"",クライアント抽出!I40,"")</f>
        <v/>
      </c>
      <c r="M180" s="183">
        <f t="array" aca="1" ref="M180" ca="1">IF(C180&lt;&gt;"",
IF(K180&lt;&gt;"",INDIRECT("'数出表_Excel（アレルギー入力）'!"&amp;K180&amp;L180-1&amp;""),),)</f>
        <v>0</v>
      </c>
      <c r="N180" s="183" t="str">
        <f>IF(C180&lt;&gt;"",IF(OR(COUNTIF('盛付札（関数）'!D180,"*赤*"),COUNTIF('盛付札（関数）'!D180,"*キャラ*")),1,
VLOOKUP("*"&amp;D180&amp;"*",商品マスタ一覧!D:H,5,FALSE)),"")</f>
        <v/>
      </c>
      <c r="O180" s="183">
        <f t="shared" ca="1" si="73"/>
        <v>0</v>
      </c>
      <c r="P180" s="183">
        <f t="shared" si="49"/>
        <v>0</v>
      </c>
      <c r="Q180" s="183" t="b">
        <f t="shared" si="50"/>
        <v>0</v>
      </c>
      <c r="R180" s="51" t="str">
        <f t="array" aca="1" ref="R180" ca="1">IFERROR(SMALL(IF(P$1:P$307&lt;&gt;0,P$1:P$307),ROW(A180)),"")</f>
        <v/>
      </c>
      <c r="S180" s="51" t="str">
        <f t="array" aca="1" ref="S180" ca="1">IF($R180&lt;&gt;"",
SUBSTITUTE(SUBSTITUTE(INDIRECT("C"&amp;$R180&amp;"")," 週3ｺｰｽ","")," 週5ｺｰｽ",""),"")</f>
        <v/>
      </c>
      <c r="T180" s="51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91" t="str">
        <f t="array" aca="1" ref="U180" ca="1">IF($R180&lt;&gt;"",
INDIRECT("F"&amp;$R180&amp;""),"")</f>
        <v/>
      </c>
      <c r="V180" s="51" t="str">
        <f t="array" aca="1" ref="V180" ca="1">IF($R180&lt;&gt;"",
INDIRECT("G"&amp;$R180&amp;""),"")</f>
        <v/>
      </c>
      <c r="W180" s="51" t="str">
        <f t="array" aca="1" ref="W180" ca="1">IF($R180&lt;&gt;"",
IF(AND(COUNTIF(INDIRECT("B"&amp;R180&amp;""),"*雙葉*"),COUNTIF(B:B,"*雙葉*")&gt;=2),
IF(OR(COUNTIF(INDIRECT("B"&amp;R180&amp;""),"*雙葉先生*"),COUNTIF($B$1:$B$70,"*雙葉*")&gt;=2),INDIRECT("H"&amp;R180&amp;""),INDIRECT("H"&amp;R180&amp;"")+INDIRECT("H"&amp;MATCH("雙葉'",INDIRECT("B"&amp;R180+3&amp;":B210"),0)+2+R180&amp;"")),
IF(AND(LEFT(INDIRECT("B"&amp;R180&amp;""),2)="博多",COUNTIF(B:B,"*博多*")&gt;=2),
INDIRECT("H"&amp;R180&amp;"")+INDIRECT("H"&amp;MATCH("*"&amp;INDIRECT("B"&amp;R180&amp;"")&amp;"*",INDIRECT("B"&amp;R180+1&amp;":B210"),0)+R180&amp;""),
IF(AND(LEFT(INDIRECT("B"&amp;R180&amp;""),3)="奈良屋",COUNTIF(B:B,"*奈良屋*")&gt;=2),
INDIRECT("H"&amp;R180&amp;"")+INDIRECT("H"&amp;MATCH("*"&amp;INDIRECT("B"&amp;R180&amp;"")&amp;"*",INDIRECT("B"&amp;R180+1&amp;":B210"),0)+R180&amp;"")
+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INDIRECT("H"&amp;R180&amp;"")))),"")</f>
        <v/>
      </c>
      <c r="X180" s="51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51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51" t="str">
        <f t="shared" ca="1" si="51"/>
        <v/>
      </c>
      <c r="AA180" s="51" t="str">
        <f t="shared" ca="1" si="52"/>
        <v/>
      </c>
      <c r="AB180" s="51" t="str">
        <f t="array" aca="1" ref="AB180" ca="1">IF($R180&lt;&gt;"",
IF(AND(COUNTIF(INDIRECT("B"&amp;R180&amp;""),"*雙葉*"),COUNTIF(B:B,"*雙葉*")&gt;=2),
INDIRECT("M"&amp;R180&amp;"")+INDIRECT("M"&amp;MATCH("雙葉'",INDIRECT("B"&amp;R180+1&amp;":B210"),0)+R180&amp;""),
IF(AND(LEFT(INDIRECT("B"&amp;R180&amp;""),2)="博多",COUNTIF(B:B,"*博多*")&gt;=2),
INDIRECT("M"&amp;R180&amp;"")+INDIRECT("M"&amp;MATCH("*"&amp;INDIRECT("B"&amp;R180&amp;"")&amp;"*",INDIRECT("B"&amp;R180+1&amp;":B210"),0)+R180&amp;""),
IF(AND(LEFT(INDIRECT("B"&amp;R180&amp;""),3)="奈良屋",COUNTIF(B:B,"*奈良屋*")&gt;=2),
INDIRECT("M"&amp;R180&amp;"")+INDIRECT("M"&amp;MATCH("*"&amp;INDIRECT("B"&amp;R180&amp;"")&amp;"*",INDIRECT("B"&amp;R180+1&amp;":B210"),0)+R180&amp;"")
+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INDIRECT("M"&amp;R180&amp;"")))),"")</f>
        <v/>
      </c>
      <c r="AC180" s="51" t="str">
        <f t="shared" ca="1" si="53"/>
        <v/>
      </c>
      <c r="AD180" s="51" t="str">
        <f t="shared" ca="1" si="54"/>
        <v/>
      </c>
      <c r="AE180" s="51" t="str">
        <f t="shared" ca="1" si="55"/>
        <v/>
      </c>
      <c r="AF180" s="51" t="str">
        <f t="shared" ca="1" si="56"/>
        <v/>
      </c>
      <c r="AG180" s="51" t="str">
        <f t="shared" ca="1" si="57"/>
        <v/>
      </c>
      <c r="AH180" s="191" t="str">
        <f t="shared" ca="1" si="58"/>
        <v/>
      </c>
      <c r="AI180" s="51" t="str">
        <f t="shared" ca="1" si="59"/>
        <v/>
      </c>
      <c r="AJ180" s="51" t="str">
        <f t="shared" ca="1" si="60"/>
        <v/>
      </c>
      <c r="AK180" s="51" t="str">
        <f t="shared" ca="1" si="61"/>
        <v/>
      </c>
      <c r="AL180" s="51" t="str">
        <f t="shared" ca="1" si="62"/>
        <v/>
      </c>
      <c r="AM180" s="51" t="str">
        <f t="shared" ca="1" si="63"/>
        <v/>
      </c>
      <c r="AN180" s="51" t="str">
        <f t="shared" ca="1" si="64"/>
        <v/>
      </c>
      <c r="AO180" s="51" t="str">
        <f t="shared" ca="1" si="65"/>
        <v/>
      </c>
      <c r="AP180" s="51" t="str">
        <f t="shared" ca="1" si="66"/>
        <v/>
      </c>
      <c r="AU180" s="51" t="str">
        <f t="shared" ca="1" si="67"/>
        <v/>
      </c>
    </row>
    <row r="181" spans="1:47" ht="22.2" customHeight="1">
      <c r="A181" s="184">
        <f t="shared" si="74"/>
        <v>87</v>
      </c>
      <c r="B181" s="183" t="str">
        <f t="shared" ca="1" si="72"/>
        <v/>
      </c>
      <c r="C181" s="183" t="str">
        <f>IF(OR(クライアント抽出!D41&lt;&gt;"",クライアント抽出!G41&lt;&gt;""),クライアント抽出!A41,"")</f>
        <v/>
      </c>
      <c r="D181" s="183" t="str">
        <f t="array" aca="1" ref="D181" ca="1">IF(C181&lt;&gt;"",INDIRECT("クライアント抽出!"&amp;E181&amp;MATCH(C181,クライアント抽出!A:A,0)&amp;""),"")</f>
        <v/>
      </c>
      <c r="E181" s="183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86" t="str">
        <f ca="1">IF(D181&lt;&gt;"",
IF(COUNTIF(C181,"*雙葉*"),
IF(ROUND((H181-M181)
/IF(COUNTIF(D181,"*キャラ*"),
VLOOKUP("*キャラ*",商品マスタ一覧!$D:$E,2,FALSE),
IF(COUNTIF(D181,"*赤*"),
VLOOKUP("*赤*",商品マスタ一覧!$D:$E,2,FALSE),
VLOOKUP("*"&amp;D181&amp;"*",商品マスタ一覧!$D:$E,2,FALSE))),0)&lt;=0,1,
ROUND((H181-M181)
/IF(COUNTIF(D181,"*キャラ*"),
VLOOKUP("*キャラ*",商品マスタ一覧!$D:$E,2,FALSE),
IF(COUNTIF(D181,"*赤*"),
VLOOKUP("*赤*",商品マスタ一覧!$D:$E,2,FALSE),
VLOOKUP("*"&amp;D181&amp;"*",商品マスタ一覧!$D:$E,2,FALSE))),0)),
IF(OR(COUNTIF(D181,"*キャラ*"),COUNTIF(D181,"*赤*")),"",
IF(VLOOKUP("*"&amp;D181&amp;"*",商品マスタ一覧!$D:$E,2,FALSE)=0,"",
IF(ROUND((H181-M181)
/VLOOKUP("*"&amp;D181&amp;"*",商品マスタ一覧!$D:$E,2,FALSE),0)&lt;=0,1,
ROUND((H181-M181)
/VLOOKUP("*"&amp;D181&amp;"*",商品マスタ一覧!$D:$E,2,FALSE),0))))),"")</f>
        <v/>
      </c>
      <c r="G181" s="183" t="str">
        <f ca="1">IF(F181&lt;&gt;"",
IF(VALUE(H181-M181)&gt;VALUE(IF(COUNTIF(D181,"*キャラ*"),
VLOOKUP("*キャラ*",商品マスタ一覧!$D:$E,2,FALSE),
IF(COUNTIF(D181,"*赤*"),
VLOOKUP("*赤*",商品マスタ一覧!$D:$E,2,FALSE),
VLOOKUP("*"&amp;D181&amp;"*",商品マスタ一覧!$D:$E,2,FALSE)))*F181),
"+"&amp;(H181-M181)-IF(COUNTIF(D181,"*キャラ*"),
VLOOKUP("*キャラ*",商品マスタ一覧!$D:$E,2,FALSE),
IF(COUNTIF(D181,"*赤*"),
VLOOKUP("*赤*",商品マスタ一覧!$D:$E,2,FALSE),
VLOOKUP("*"&amp;D181&amp;"*",商品マスタ一覧!$D:$E,2,FALSE)))*F181,
(H181-M181)-IF(COUNTIF(D181,"*キャラ*"),
VLOOKUP("*キャラ*",商品マスタ一覧!$D:$E,2,FALSE),
IF(COUNTIF(D181,"*赤*"),
VLOOKUP("*赤*",商品マスタ一覧!$D:$E,2,FALSE),
VLOOKUP("*"&amp;D181&amp;"*",商品マスタ一覧!$D:$E,2,FALSE)))*F181),"")</f>
        <v/>
      </c>
      <c r="H181" s="185" t="str">
        <f>IF(C181&lt;&gt;"",
クライアント抽出!D41,"")</f>
        <v/>
      </c>
      <c r="I181" s="183" t="str">
        <f>IF(C181&lt;&gt;"",
IF(O181=1,0,クライアント抽出!F41),"")</f>
        <v/>
      </c>
      <c r="J181" s="183" t="str">
        <f>IF(C181&lt;&gt;"",
VLOOKUP(
"*"&amp;LEFT(IF(COUNTIF(D181,"*学食*"),"キャラ弁（学食）",
IF(COUNTIF(D181,"*赤*"),"赤",
IF(COUNTIF(D181,"*キャラ弁当*"),"キャラ弁当",D181))),4)&amp;"*",注文弁当の抽出!$E$1:$F$15,2,FALSE),"")</f>
        <v/>
      </c>
      <c r="K181" s="183" t="str">
        <f ca="1">IF(クライアント抽出!R41&lt;&gt;"",SUBSTITUTE(ADDRESS(1,(CODE(クライアント抽出!R41)-64)*2-1,4),"1",""),"")</f>
        <v/>
      </c>
      <c r="L181" s="183" t="str">
        <f>IF(C41&lt;&gt;"",クライアント抽出!I41,"")</f>
        <v/>
      </c>
      <c r="M181" s="183">
        <f t="array" aca="1" ref="M181" ca="1">IF(C181&lt;&gt;"",
IF(K181&lt;&gt;"",INDIRECT("'数出表_Excel（アレルギー入力）'!"&amp;K181&amp;L181-1&amp;""),),)</f>
        <v>0</v>
      </c>
      <c r="N181" s="183" t="str">
        <f>IF(C181&lt;&gt;"",IF(OR(COUNTIF('盛付札（関数）'!D181,"*赤*"),COUNTIF('盛付札（関数）'!D181,"*キャラ*")),1,
VLOOKUP("*"&amp;D181&amp;"*",商品マスタ一覧!D:H,5,FALSE)),"")</f>
        <v/>
      </c>
      <c r="O181" s="183">
        <f t="shared" ca="1" si="73"/>
        <v>0</v>
      </c>
      <c r="P181" s="183">
        <f t="shared" si="49"/>
        <v>0</v>
      </c>
      <c r="Q181" s="183" t="b">
        <f t="shared" si="50"/>
        <v>0</v>
      </c>
      <c r="R181" s="51" t="str">
        <f t="array" aca="1" ref="R181" ca="1">IFERROR(SMALL(IF(P$1:P$307&lt;&gt;0,P$1:P$307),ROW(A181)),"")</f>
        <v/>
      </c>
      <c r="S181" s="51" t="str">
        <f t="array" aca="1" ref="S181" ca="1">IF($R181&lt;&gt;"",
SUBSTITUTE(SUBSTITUTE(INDIRECT("C"&amp;$R181&amp;"")," 週3ｺｰｽ","")," 週5ｺｰｽ",""),"")</f>
        <v/>
      </c>
      <c r="T181" s="51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91" t="str">
        <f t="array" aca="1" ref="U181" ca="1">IF($R181&lt;&gt;"",
INDIRECT("F"&amp;$R181&amp;""),"")</f>
        <v/>
      </c>
      <c r="V181" s="51" t="str">
        <f t="array" aca="1" ref="V181" ca="1">IF($R181&lt;&gt;"",
INDIRECT("G"&amp;$R181&amp;""),"")</f>
        <v/>
      </c>
      <c r="W181" s="51" t="str">
        <f t="array" aca="1" ref="W181" ca="1">IF($R181&lt;&gt;"",
IF(AND(COUNTIF(INDIRECT("B"&amp;R181&amp;""),"*雙葉*"),COUNTIF(B:B,"*雙葉*")&gt;=2),
IF(OR(COUNTIF(INDIRECT("B"&amp;R181&amp;""),"*雙葉先生*"),COUNTIF($B$1:$B$70,"*雙葉*")&gt;=2),INDIRECT("H"&amp;R181&amp;""),INDIRECT("H"&amp;R181&amp;"")+INDIRECT("H"&amp;MATCH("雙葉'",INDIRECT("B"&amp;R181+3&amp;":B210"),0)+2+R181&amp;"")),
IF(AND(LEFT(INDIRECT("B"&amp;R181&amp;""),2)="博多",COUNTIF(B:B,"*博多*")&gt;=2),
INDIRECT("H"&amp;R181&amp;"")+INDIRECT("H"&amp;MATCH("*"&amp;INDIRECT("B"&amp;R181&amp;"")&amp;"*",INDIRECT("B"&amp;R181+1&amp;":B210"),0)+R181&amp;""),
IF(AND(LEFT(INDIRECT("B"&amp;R181&amp;""),3)="奈良屋",COUNTIF(B:B,"*奈良屋*")&gt;=2),
INDIRECT("H"&amp;R181&amp;"")+INDIRECT("H"&amp;MATCH("*"&amp;INDIRECT("B"&amp;R181&amp;"")&amp;"*",INDIRECT("B"&amp;R181+1&amp;":B210"),0)+R181&amp;"")
+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INDIRECT("H"&amp;R181&amp;"")))),"")</f>
        <v/>
      </c>
      <c r="X181" s="51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51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51" t="str">
        <f t="shared" ca="1" si="51"/>
        <v/>
      </c>
      <c r="AA181" s="51" t="str">
        <f t="shared" ca="1" si="52"/>
        <v/>
      </c>
      <c r="AB181" s="51" t="str">
        <f t="array" aca="1" ref="AB181" ca="1">IF($R181&lt;&gt;"",
IF(AND(COUNTIF(INDIRECT("B"&amp;R181&amp;""),"*雙葉*"),COUNTIF(B:B,"*雙葉*")&gt;=2),
INDIRECT("M"&amp;R181&amp;"")+INDIRECT("M"&amp;MATCH("雙葉'",INDIRECT("B"&amp;R181+1&amp;":B210"),0)+R181&amp;""),
IF(AND(LEFT(INDIRECT("B"&amp;R181&amp;""),2)="博多",COUNTIF(B:B,"*博多*")&gt;=2),
INDIRECT("M"&amp;R181&amp;"")+INDIRECT("M"&amp;MATCH("*"&amp;INDIRECT("B"&amp;R181&amp;"")&amp;"*",INDIRECT("B"&amp;R181+1&amp;":B210"),0)+R181&amp;""),
IF(AND(LEFT(INDIRECT("B"&amp;R181&amp;""),3)="奈良屋",COUNTIF(B:B,"*奈良屋*")&gt;=2),
INDIRECT("M"&amp;R181&amp;"")+INDIRECT("M"&amp;MATCH("*"&amp;INDIRECT("B"&amp;R181&amp;"")&amp;"*",INDIRECT("B"&amp;R181+1&amp;":B210"),0)+R181&amp;"")
+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INDIRECT("M"&amp;R181&amp;"")))),"")</f>
        <v/>
      </c>
      <c r="AC181" s="51" t="str">
        <f t="shared" ca="1" si="53"/>
        <v/>
      </c>
      <c r="AD181" s="51" t="str">
        <f t="shared" ca="1" si="54"/>
        <v/>
      </c>
      <c r="AE181" s="51" t="str">
        <f t="shared" ca="1" si="55"/>
        <v/>
      </c>
      <c r="AF181" s="51" t="str">
        <f t="shared" ca="1" si="56"/>
        <v/>
      </c>
      <c r="AG181" s="51" t="str">
        <f t="shared" ca="1" si="57"/>
        <v/>
      </c>
      <c r="AH181" s="191" t="str">
        <f t="shared" ca="1" si="58"/>
        <v/>
      </c>
      <c r="AI181" s="51" t="str">
        <f t="shared" ca="1" si="59"/>
        <v/>
      </c>
      <c r="AJ181" s="51" t="str">
        <f t="shared" ca="1" si="60"/>
        <v/>
      </c>
      <c r="AK181" s="51" t="str">
        <f t="shared" ca="1" si="61"/>
        <v/>
      </c>
      <c r="AL181" s="51" t="str">
        <f t="shared" ca="1" si="62"/>
        <v/>
      </c>
      <c r="AM181" s="51" t="str">
        <f t="shared" ca="1" si="63"/>
        <v/>
      </c>
      <c r="AN181" s="51" t="str">
        <f t="shared" ca="1" si="64"/>
        <v/>
      </c>
      <c r="AO181" s="51" t="str">
        <f t="shared" ca="1" si="65"/>
        <v/>
      </c>
      <c r="AP181" s="51" t="str">
        <f t="shared" ca="1" si="66"/>
        <v/>
      </c>
      <c r="AU181" s="51" t="str">
        <f t="shared" ca="1" si="67"/>
        <v/>
      </c>
    </row>
    <row r="182" spans="1:47" ht="22.2" customHeight="1">
      <c r="A182" s="184">
        <f t="shared" si="74"/>
        <v>89</v>
      </c>
      <c r="B182" s="183" t="str">
        <f t="shared" ca="1" si="72"/>
        <v/>
      </c>
      <c r="C182" s="183" t="str">
        <f>IF(OR(クライアント抽出!D42&lt;&gt;"",クライアント抽出!G42&lt;&gt;""),クライアント抽出!A42,"")</f>
        <v/>
      </c>
      <c r="D182" s="183" t="str">
        <f t="array" aca="1" ref="D182" ca="1">IF(C182&lt;&gt;"",INDIRECT("クライアント抽出!"&amp;E182&amp;MATCH(C182,クライアント抽出!A:A,0)&amp;""),"")</f>
        <v/>
      </c>
      <c r="E182" s="183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86" t="str">
        <f ca="1">IF(D182&lt;&gt;"",
IF(COUNTIF(C182,"*雙葉*"),
IF(ROUND((H182-M182)
/IF(COUNTIF(D182,"*キャラ*"),
VLOOKUP("*キャラ*",商品マスタ一覧!$D:$E,2,FALSE),
IF(COUNTIF(D182,"*赤*"),
VLOOKUP("*赤*",商品マスタ一覧!$D:$E,2,FALSE),
VLOOKUP("*"&amp;D182&amp;"*",商品マスタ一覧!$D:$E,2,FALSE))),0)&lt;=0,1,
ROUND((H182-M182)
/IF(COUNTIF(D182,"*キャラ*"),
VLOOKUP("*キャラ*",商品マスタ一覧!$D:$E,2,FALSE),
IF(COUNTIF(D182,"*赤*"),
VLOOKUP("*赤*",商品マスタ一覧!$D:$E,2,FALSE),
VLOOKUP("*"&amp;D182&amp;"*",商品マスタ一覧!$D:$E,2,FALSE))),0)),
IF(OR(COUNTIF(D182,"*キャラ*"),COUNTIF(D182,"*赤*")),"",
IF(VLOOKUP("*"&amp;D182&amp;"*",商品マスタ一覧!$D:$E,2,FALSE)=0,"",
IF(ROUND((H182-M182)
/VLOOKUP("*"&amp;D182&amp;"*",商品マスタ一覧!$D:$E,2,FALSE),0)&lt;=0,1,
ROUND((H182-M182)
/VLOOKUP("*"&amp;D182&amp;"*",商品マスタ一覧!$D:$E,2,FALSE),0))))),"")</f>
        <v/>
      </c>
      <c r="G182" s="183" t="str">
        <f ca="1">IF(F182&lt;&gt;"",
IF(VALUE(H182-M182)&gt;VALUE(IF(COUNTIF(D182,"*キャラ*"),
VLOOKUP("*キャラ*",商品マスタ一覧!$D:$E,2,FALSE),
IF(COUNTIF(D182,"*赤*"),
VLOOKUP("*赤*",商品マスタ一覧!$D:$E,2,FALSE),
VLOOKUP("*"&amp;D182&amp;"*",商品マスタ一覧!$D:$E,2,FALSE)))*F182),
"+"&amp;(H182-M182)-IF(COUNTIF(D182,"*キャラ*"),
VLOOKUP("*キャラ*",商品マスタ一覧!$D:$E,2,FALSE),
IF(COUNTIF(D182,"*赤*"),
VLOOKUP("*赤*",商品マスタ一覧!$D:$E,2,FALSE),
VLOOKUP("*"&amp;D182&amp;"*",商品マスタ一覧!$D:$E,2,FALSE)))*F182,
(H182-M182)-IF(COUNTIF(D182,"*キャラ*"),
VLOOKUP("*キャラ*",商品マスタ一覧!$D:$E,2,FALSE),
IF(COUNTIF(D182,"*赤*"),
VLOOKUP("*赤*",商品マスタ一覧!$D:$E,2,FALSE),
VLOOKUP("*"&amp;D182&amp;"*",商品マスタ一覧!$D:$E,2,FALSE)))*F182),"")</f>
        <v/>
      </c>
      <c r="H182" s="185" t="str">
        <f>IF(C182&lt;&gt;"",
クライアント抽出!D42,"")</f>
        <v/>
      </c>
      <c r="I182" s="183" t="str">
        <f>IF(C182&lt;&gt;"",
IF(O182=1,0,クライアント抽出!F42),"")</f>
        <v/>
      </c>
      <c r="J182" s="183" t="str">
        <f>IF(C182&lt;&gt;"",
VLOOKUP(
"*"&amp;LEFT(IF(COUNTIF(D182,"*学食*"),"キャラ弁（学食）",
IF(COUNTIF(D182,"*赤*"),"赤",
IF(COUNTIF(D182,"*キャラ弁当*"),"キャラ弁当",D182))),4)&amp;"*",注文弁当の抽出!$E$1:$F$15,2,FALSE),"")</f>
        <v/>
      </c>
      <c r="K182" s="183" t="str">
        <f ca="1">IF(クライアント抽出!R42&lt;&gt;"",SUBSTITUTE(ADDRESS(1,(CODE(クライアント抽出!R42)-64)*2-1,4),"1",""),"")</f>
        <v/>
      </c>
      <c r="L182" s="183" t="str">
        <f>IF(C42&lt;&gt;"",クライアント抽出!I42,"")</f>
        <v/>
      </c>
      <c r="M182" s="183">
        <f t="array" aca="1" ref="M182" ca="1">IF(C182&lt;&gt;"",
IF(K182&lt;&gt;"",INDIRECT("'数出表_Excel（アレルギー入力）'!"&amp;K182&amp;L182-1&amp;""),),)</f>
        <v>0</v>
      </c>
      <c r="N182" s="183" t="str">
        <f>IF(C182&lt;&gt;"",IF(OR(COUNTIF('盛付札（関数）'!D182,"*赤*"),COUNTIF('盛付札（関数）'!D182,"*キャラ*")),1,
VLOOKUP("*"&amp;D182&amp;"*",商品マスタ一覧!D:H,5,FALSE)),"")</f>
        <v/>
      </c>
      <c r="O182" s="183">
        <f t="shared" ca="1" si="73"/>
        <v>0</v>
      </c>
      <c r="P182" s="183">
        <f t="shared" si="49"/>
        <v>0</v>
      </c>
      <c r="Q182" s="183" t="b">
        <f t="shared" si="50"/>
        <v>0</v>
      </c>
      <c r="R182" s="51" t="str">
        <f t="array" aca="1" ref="R182" ca="1">IFERROR(SMALL(IF(P$1:P$307&lt;&gt;0,P$1:P$307),ROW(A182)),"")</f>
        <v/>
      </c>
      <c r="S182" s="51" t="str">
        <f t="array" aca="1" ref="S182" ca="1">IF($R182&lt;&gt;"",
SUBSTITUTE(SUBSTITUTE(INDIRECT("C"&amp;$R182&amp;"")," 週3ｺｰｽ","")," 週5ｺｰｽ",""),"")</f>
        <v/>
      </c>
      <c r="T182" s="51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91" t="str">
        <f t="array" aca="1" ref="U182" ca="1">IF($R182&lt;&gt;"",
INDIRECT("F"&amp;$R182&amp;""),"")</f>
        <v/>
      </c>
      <c r="V182" s="51" t="str">
        <f t="array" aca="1" ref="V182" ca="1">IF($R182&lt;&gt;"",
INDIRECT("G"&amp;$R182&amp;""),"")</f>
        <v/>
      </c>
      <c r="W182" s="51" t="str">
        <f t="array" aca="1" ref="W182" ca="1">IF($R182&lt;&gt;"",
IF(AND(COUNTIF(INDIRECT("B"&amp;R182&amp;""),"*雙葉*"),COUNTIF(B:B,"*雙葉*")&gt;=2),
IF(OR(COUNTIF(INDIRECT("B"&amp;R182&amp;""),"*雙葉先生*"),COUNTIF($B$1:$B$70,"*雙葉*")&gt;=2),INDIRECT("H"&amp;R182&amp;""),INDIRECT("H"&amp;R182&amp;"")+INDIRECT("H"&amp;MATCH("雙葉'",INDIRECT("B"&amp;R182+3&amp;":B210"),0)+2+R182&amp;"")),
IF(AND(LEFT(INDIRECT("B"&amp;R182&amp;""),2)="博多",COUNTIF(B:B,"*博多*")&gt;=2),
INDIRECT("H"&amp;R182&amp;"")+INDIRECT("H"&amp;MATCH("*"&amp;INDIRECT("B"&amp;R182&amp;"")&amp;"*",INDIRECT("B"&amp;R182+1&amp;":B210"),0)+R182&amp;""),
IF(AND(LEFT(INDIRECT("B"&amp;R182&amp;""),3)="奈良屋",COUNTIF(B:B,"*奈良屋*")&gt;=2),
INDIRECT("H"&amp;R182&amp;"")+INDIRECT("H"&amp;MATCH("*"&amp;INDIRECT("B"&amp;R182&amp;"")&amp;"*",INDIRECT("B"&amp;R182+1&amp;":B210"),0)+R182&amp;"")
+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INDIRECT("H"&amp;R182&amp;"")))),"")</f>
        <v/>
      </c>
      <c r="X182" s="51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51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51" t="str">
        <f t="shared" ca="1" si="51"/>
        <v/>
      </c>
      <c r="AA182" s="51" t="str">
        <f t="shared" ca="1" si="52"/>
        <v/>
      </c>
      <c r="AB182" s="51" t="str">
        <f t="array" aca="1" ref="AB182" ca="1">IF($R182&lt;&gt;"",
IF(AND(COUNTIF(INDIRECT("B"&amp;R182&amp;""),"*雙葉*"),COUNTIF(B:B,"*雙葉*")&gt;=2),
INDIRECT("M"&amp;R182&amp;"")+INDIRECT("M"&amp;MATCH("雙葉'",INDIRECT("B"&amp;R182+1&amp;":B210"),0)+R182&amp;""),
IF(AND(LEFT(INDIRECT("B"&amp;R182&amp;""),2)="博多",COUNTIF(B:B,"*博多*")&gt;=2),
INDIRECT("M"&amp;R182&amp;"")+INDIRECT("M"&amp;MATCH("*"&amp;INDIRECT("B"&amp;R182&amp;"")&amp;"*",INDIRECT("B"&amp;R182+1&amp;":B210"),0)+R182&amp;""),
IF(AND(LEFT(INDIRECT("B"&amp;R182&amp;""),3)="奈良屋",COUNTIF(B:B,"*奈良屋*")&gt;=2),
INDIRECT("M"&amp;R182&amp;"")+INDIRECT("M"&amp;MATCH("*"&amp;INDIRECT("B"&amp;R182&amp;"")&amp;"*",INDIRECT("B"&amp;R182+1&amp;":B210"),0)+R182&amp;"")
+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INDIRECT("M"&amp;R182&amp;"")))),"")</f>
        <v/>
      </c>
      <c r="AC182" s="51" t="str">
        <f t="shared" ca="1" si="53"/>
        <v/>
      </c>
      <c r="AD182" s="51" t="str">
        <f t="shared" ca="1" si="54"/>
        <v/>
      </c>
      <c r="AE182" s="51" t="str">
        <f t="shared" ca="1" si="55"/>
        <v/>
      </c>
      <c r="AF182" s="51" t="str">
        <f t="shared" ca="1" si="56"/>
        <v/>
      </c>
      <c r="AG182" s="51" t="str">
        <f t="shared" ca="1" si="57"/>
        <v/>
      </c>
      <c r="AH182" s="191" t="str">
        <f t="shared" ca="1" si="58"/>
        <v/>
      </c>
      <c r="AI182" s="51" t="str">
        <f t="shared" ca="1" si="59"/>
        <v/>
      </c>
      <c r="AJ182" s="51" t="str">
        <f t="shared" ca="1" si="60"/>
        <v/>
      </c>
      <c r="AK182" s="51" t="str">
        <f t="shared" ca="1" si="61"/>
        <v/>
      </c>
      <c r="AL182" s="51" t="str">
        <f t="shared" ca="1" si="62"/>
        <v/>
      </c>
      <c r="AM182" s="51" t="str">
        <f t="shared" ca="1" si="63"/>
        <v/>
      </c>
      <c r="AN182" s="51" t="str">
        <f t="shared" ca="1" si="64"/>
        <v/>
      </c>
      <c r="AO182" s="51" t="str">
        <f t="shared" ca="1" si="65"/>
        <v/>
      </c>
      <c r="AP182" s="51" t="str">
        <f t="shared" ca="1" si="66"/>
        <v/>
      </c>
      <c r="AU182" s="51" t="str">
        <f t="shared" ca="1" si="67"/>
        <v/>
      </c>
    </row>
    <row r="183" spans="1:47" ht="22.2" customHeight="1">
      <c r="A183" s="184">
        <f t="shared" si="74"/>
        <v>91</v>
      </c>
      <c r="B183" s="183" t="str">
        <f t="shared" ca="1" si="72"/>
        <v/>
      </c>
      <c r="C183" s="183" t="str">
        <f>IF(OR(クライアント抽出!D43&lt;&gt;"",クライアント抽出!G43&lt;&gt;""),クライアント抽出!A43,"")</f>
        <v/>
      </c>
      <c r="D183" s="183" t="str">
        <f t="array" aca="1" ref="D183" ca="1">IF(C183&lt;&gt;"",INDIRECT("クライアント抽出!"&amp;E183&amp;MATCH(C183,クライアント抽出!A:A,0)&amp;""),"")</f>
        <v/>
      </c>
      <c r="E183" s="183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86" t="str">
        <f ca="1">IF(D183&lt;&gt;"",
IF(COUNTIF(C183,"*雙葉*"),
IF(ROUND((H183-M183)
/IF(COUNTIF(D183,"*キャラ*"),
VLOOKUP("*キャラ*",商品マスタ一覧!$D:$E,2,FALSE),
IF(COUNTIF(D183,"*赤*"),
VLOOKUP("*赤*",商品マスタ一覧!$D:$E,2,FALSE),
VLOOKUP("*"&amp;D183&amp;"*",商品マスタ一覧!$D:$E,2,FALSE))),0)&lt;=0,1,
ROUND((H183-M183)
/IF(COUNTIF(D183,"*キャラ*"),
VLOOKUP("*キャラ*",商品マスタ一覧!$D:$E,2,FALSE),
IF(COUNTIF(D183,"*赤*"),
VLOOKUP("*赤*",商品マスタ一覧!$D:$E,2,FALSE),
VLOOKUP("*"&amp;D183&amp;"*",商品マスタ一覧!$D:$E,2,FALSE))),0)),
IF(OR(COUNTIF(D183,"*キャラ*"),COUNTIF(D183,"*赤*")),"",
IF(VLOOKUP("*"&amp;D183&amp;"*",商品マスタ一覧!$D:$E,2,FALSE)=0,"",
IF(ROUND((H183-M183)
/VLOOKUP("*"&amp;D183&amp;"*",商品マスタ一覧!$D:$E,2,FALSE),0)&lt;=0,1,
ROUND((H183-M183)
/VLOOKUP("*"&amp;D183&amp;"*",商品マスタ一覧!$D:$E,2,FALSE),0))))),"")</f>
        <v/>
      </c>
      <c r="G183" s="183" t="str">
        <f ca="1">IF(F183&lt;&gt;"",
IF(VALUE(H183-M183)&gt;VALUE(IF(COUNTIF(D183,"*キャラ*"),
VLOOKUP("*キャラ*",商品マスタ一覧!$D:$E,2,FALSE),
IF(COUNTIF(D183,"*赤*"),
VLOOKUP("*赤*",商品マスタ一覧!$D:$E,2,FALSE),
VLOOKUP("*"&amp;D183&amp;"*",商品マスタ一覧!$D:$E,2,FALSE)))*F183),
"+"&amp;(H183-M183)-IF(COUNTIF(D183,"*キャラ*"),
VLOOKUP("*キャラ*",商品マスタ一覧!$D:$E,2,FALSE),
IF(COUNTIF(D183,"*赤*"),
VLOOKUP("*赤*",商品マスタ一覧!$D:$E,2,FALSE),
VLOOKUP("*"&amp;D183&amp;"*",商品マスタ一覧!$D:$E,2,FALSE)))*F183,
(H183-M183)-IF(COUNTIF(D183,"*キャラ*"),
VLOOKUP("*キャラ*",商品マスタ一覧!$D:$E,2,FALSE),
IF(COUNTIF(D183,"*赤*"),
VLOOKUP("*赤*",商品マスタ一覧!$D:$E,2,FALSE),
VLOOKUP("*"&amp;D183&amp;"*",商品マスタ一覧!$D:$E,2,FALSE)))*F183),"")</f>
        <v/>
      </c>
      <c r="H183" s="185" t="str">
        <f>IF(C183&lt;&gt;"",
クライアント抽出!D43,"")</f>
        <v/>
      </c>
      <c r="I183" s="183" t="str">
        <f>IF(C183&lt;&gt;"",
IF(O183=1,0,クライアント抽出!F43),"")</f>
        <v/>
      </c>
      <c r="J183" s="183" t="str">
        <f>IF(C183&lt;&gt;"",
VLOOKUP(
"*"&amp;LEFT(IF(COUNTIF(D183,"*学食*"),"キャラ弁（学食）",
IF(COUNTIF(D183,"*赤*"),"赤",
IF(COUNTIF(D183,"*キャラ弁当*"),"キャラ弁当",D183))),4)&amp;"*",注文弁当の抽出!$E$1:$F$15,2,FALSE),"")</f>
        <v/>
      </c>
      <c r="K183" s="183" t="str">
        <f ca="1">IF(クライアント抽出!R43&lt;&gt;"",SUBSTITUTE(ADDRESS(1,(CODE(クライアント抽出!R43)-64)*2-1,4),"1",""),"")</f>
        <v/>
      </c>
      <c r="L183" s="183" t="str">
        <f>IF(C43&lt;&gt;"",クライアント抽出!I43,"")</f>
        <v/>
      </c>
      <c r="M183" s="183">
        <f t="array" aca="1" ref="M183" ca="1">IF(C183&lt;&gt;"",
IF(K183&lt;&gt;"",INDIRECT("'数出表_Excel（アレルギー入力）'!"&amp;K183&amp;L183-1&amp;""),),)</f>
        <v>0</v>
      </c>
      <c r="N183" s="183" t="str">
        <f>IF(C183&lt;&gt;"",IF(OR(COUNTIF('盛付札（関数）'!D183,"*赤*"),COUNTIF('盛付札（関数）'!D183,"*キャラ*")),1,
VLOOKUP("*"&amp;D183&amp;"*",商品マスタ一覧!D:H,5,FALSE)),"")</f>
        <v/>
      </c>
      <c r="O183" s="183">
        <f t="shared" ca="1" si="73"/>
        <v>0</v>
      </c>
      <c r="P183" s="183">
        <f t="shared" si="49"/>
        <v>0</v>
      </c>
      <c r="Q183" s="183" t="b">
        <f t="shared" si="50"/>
        <v>0</v>
      </c>
      <c r="R183" s="51" t="str">
        <f t="array" aca="1" ref="R183" ca="1">IFERROR(SMALL(IF(P$1:P$307&lt;&gt;0,P$1:P$307),ROW(A183)),"")</f>
        <v/>
      </c>
      <c r="S183" s="51" t="str">
        <f t="array" aca="1" ref="S183" ca="1">IF($R183&lt;&gt;"",
SUBSTITUTE(SUBSTITUTE(INDIRECT("C"&amp;$R183&amp;"")," 週3ｺｰｽ","")," 週5ｺｰｽ",""),"")</f>
        <v/>
      </c>
      <c r="T183" s="51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91" t="str">
        <f t="array" aca="1" ref="U183" ca="1">IF($R183&lt;&gt;"",
INDIRECT("F"&amp;$R183&amp;""),"")</f>
        <v/>
      </c>
      <c r="V183" s="51" t="str">
        <f t="array" aca="1" ref="V183" ca="1">IF($R183&lt;&gt;"",
INDIRECT("G"&amp;$R183&amp;""),"")</f>
        <v/>
      </c>
      <c r="W183" s="51" t="str">
        <f t="array" aca="1" ref="W183" ca="1">IF($R183&lt;&gt;"",
IF(AND(COUNTIF(INDIRECT("B"&amp;R183&amp;""),"*雙葉*"),COUNTIF(B:B,"*雙葉*")&gt;=2),
IF(OR(COUNTIF(INDIRECT("B"&amp;R183&amp;""),"*雙葉先生*"),COUNTIF($B$1:$B$70,"*雙葉*")&gt;=2),INDIRECT("H"&amp;R183&amp;""),INDIRECT("H"&amp;R183&amp;"")+INDIRECT("H"&amp;MATCH("雙葉'",INDIRECT("B"&amp;R183+3&amp;":B210"),0)+2+R183&amp;"")),
IF(AND(LEFT(INDIRECT("B"&amp;R183&amp;""),2)="博多",COUNTIF(B:B,"*博多*")&gt;=2),
INDIRECT("H"&amp;R183&amp;"")+INDIRECT("H"&amp;MATCH("*"&amp;INDIRECT("B"&amp;R183&amp;"")&amp;"*",INDIRECT("B"&amp;R183+1&amp;":B210"),0)+R183&amp;""),
IF(AND(LEFT(INDIRECT("B"&amp;R183&amp;""),3)="奈良屋",COUNTIF(B:B,"*奈良屋*")&gt;=2),
INDIRECT("H"&amp;R183&amp;"")+INDIRECT("H"&amp;MATCH("*"&amp;INDIRECT("B"&amp;R183&amp;"")&amp;"*",INDIRECT("B"&amp;R183+1&amp;":B210"),0)+R183&amp;"")
+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INDIRECT("H"&amp;R183&amp;"")))),"")</f>
        <v/>
      </c>
      <c r="X183" s="51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51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51" t="str">
        <f t="shared" ca="1" si="51"/>
        <v/>
      </c>
      <c r="AA183" s="51" t="str">
        <f t="shared" ca="1" si="52"/>
        <v/>
      </c>
      <c r="AB183" s="51" t="str">
        <f t="array" aca="1" ref="AB183" ca="1">IF($R183&lt;&gt;"",
IF(AND(COUNTIF(INDIRECT("B"&amp;R183&amp;""),"*雙葉*"),COUNTIF(B:B,"*雙葉*")&gt;=2),
INDIRECT("M"&amp;R183&amp;"")+INDIRECT("M"&amp;MATCH("雙葉'",INDIRECT("B"&amp;R183+1&amp;":B210"),0)+R183&amp;""),
IF(AND(LEFT(INDIRECT("B"&amp;R183&amp;""),2)="博多",COUNTIF(B:B,"*博多*")&gt;=2),
INDIRECT("M"&amp;R183&amp;"")+INDIRECT("M"&amp;MATCH("*"&amp;INDIRECT("B"&amp;R183&amp;"")&amp;"*",INDIRECT("B"&amp;R183+1&amp;":B210"),0)+R183&amp;""),
IF(AND(LEFT(INDIRECT("B"&amp;R183&amp;""),3)="奈良屋",COUNTIF(B:B,"*奈良屋*")&gt;=2),
INDIRECT("M"&amp;R183&amp;"")+INDIRECT("M"&amp;MATCH("*"&amp;INDIRECT("B"&amp;R183&amp;"")&amp;"*",INDIRECT("B"&amp;R183+1&amp;":B210"),0)+R183&amp;"")
+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INDIRECT("M"&amp;R183&amp;"")))),"")</f>
        <v/>
      </c>
      <c r="AC183" s="51" t="str">
        <f t="shared" ca="1" si="53"/>
        <v/>
      </c>
      <c r="AD183" s="51" t="str">
        <f t="shared" ca="1" si="54"/>
        <v/>
      </c>
      <c r="AE183" s="51" t="str">
        <f t="shared" ca="1" si="55"/>
        <v/>
      </c>
      <c r="AF183" s="51" t="str">
        <f t="shared" ca="1" si="56"/>
        <v/>
      </c>
      <c r="AG183" s="51" t="str">
        <f t="shared" ca="1" si="57"/>
        <v/>
      </c>
      <c r="AH183" s="191" t="str">
        <f t="shared" ca="1" si="58"/>
        <v/>
      </c>
      <c r="AI183" s="51" t="str">
        <f t="shared" ca="1" si="59"/>
        <v/>
      </c>
      <c r="AJ183" s="51" t="str">
        <f t="shared" ca="1" si="60"/>
        <v/>
      </c>
      <c r="AK183" s="51" t="str">
        <f t="shared" ca="1" si="61"/>
        <v/>
      </c>
      <c r="AL183" s="51" t="str">
        <f t="shared" ca="1" si="62"/>
        <v/>
      </c>
      <c r="AM183" s="51" t="str">
        <f t="shared" ca="1" si="63"/>
        <v/>
      </c>
      <c r="AN183" s="51" t="str">
        <f t="shared" ca="1" si="64"/>
        <v/>
      </c>
      <c r="AO183" s="51" t="str">
        <f t="shared" ca="1" si="65"/>
        <v/>
      </c>
      <c r="AP183" s="51" t="str">
        <f t="shared" ca="1" si="66"/>
        <v/>
      </c>
      <c r="AU183" s="51" t="str">
        <f t="shared" ca="1" si="67"/>
        <v/>
      </c>
    </row>
    <row r="184" spans="1:47" ht="22.2" customHeight="1">
      <c r="A184" s="184">
        <f t="shared" si="74"/>
        <v>93</v>
      </c>
      <c r="B184" s="183" t="str">
        <f t="shared" ca="1" si="72"/>
        <v/>
      </c>
      <c r="C184" s="183" t="str">
        <f>IF(OR(クライアント抽出!D44&lt;&gt;"",クライアント抽出!G44&lt;&gt;""),クライアント抽出!A44,"")</f>
        <v/>
      </c>
      <c r="D184" s="183" t="str">
        <f t="array" aca="1" ref="D184" ca="1">IF(C184&lt;&gt;"",INDIRECT("クライアント抽出!"&amp;E184&amp;MATCH(C184,クライアント抽出!A:A,0)&amp;""),"")</f>
        <v/>
      </c>
      <c r="E184" s="183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86" t="str">
        <f ca="1">IF(D184&lt;&gt;"",
IF(COUNTIF(C184,"*雙葉*"),
IF(ROUND((H184-M184)
/IF(COUNTIF(D184,"*キャラ*"),
VLOOKUP("*キャラ*",商品マスタ一覧!$D:$E,2,FALSE),
IF(COUNTIF(D184,"*赤*"),
VLOOKUP("*赤*",商品マスタ一覧!$D:$E,2,FALSE),
VLOOKUP("*"&amp;D184&amp;"*",商品マスタ一覧!$D:$E,2,FALSE))),0)&lt;=0,1,
ROUND((H184-M184)
/IF(COUNTIF(D184,"*キャラ*"),
VLOOKUP("*キャラ*",商品マスタ一覧!$D:$E,2,FALSE),
IF(COUNTIF(D184,"*赤*"),
VLOOKUP("*赤*",商品マスタ一覧!$D:$E,2,FALSE),
VLOOKUP("*"&amp;D184&amp;"*",商品マスタ一覧!$D:$E,2,FALSE))),0)),
IF(OR(COUNTIF(D184,"*キャラ*"),COUNTIF(D184,"*赤*")),"",
IF(VLOOKUP("*"&amp;D184&amp;"*",商品マスタ一覧!$D:$E,2,FALSE)=0,"",
IF(ROUND((H184-M184)
/VLOOKUP("*"&amp;D184&amp;"*",商品マスタ一覧!$D:$E,2,FALSE),0)&lt;=0,1,
ROUND((H184-M184)
/VLOOKUP("*"&amp;D184&amp;"*",商品マスタ一覧!$D:$E,2,FALSE),0))))),"")</f>
        <v/>
      </c>
      <c r="G184" s="183" t="str">
        <f ca="1">IF(F184&lt;&gt;"",
IF(VALUE(H184-M184)&gt;VALUE(IF(COUNTIF(D184,"*キャラ*"),
VLOOKUP("*キャラ*",商品マスタ一覧!$D:$E,2,FALSE),
IF(COUNTIF(D184,"*赤*"),
VLOOKUP("*赤*",商品マスタ一覧!$D:$E,2,FALSE),
VLOOKUP("*"&amp;D184&amp;"*",商品マスタ一覧!$D:$E,2,FALSE)))*F184),
"+"&amp;(H184-M184)-IF(COUNTIF(D184,"*キャラ*"),
VLOOKUP("*キャラ*",商品マスタ一覧!$D:$E,2,FALSE),
IF(COUNTIF(D184,"*赤*"),
VLOOKUP("*赤*",商品マスタ一覧!$D:$E,2,FALSE),
VLOOKUP("*"&amp;D184&amp;"*",商品マスタ一覧!$D:$E,2,FALSE)))*F184,
(H184-M184)-IF(COUNTIF(D184,"*キャラ*"),
VLOOKUP("*キャラ*",商品マスタ一覧!$D:$E,2,FALSE),
IF(COUNTIF(D184,"*赤*"),
VLOOKUP("*赤*",商品マスタ一覧!$D:$E,2,FALSE),
VLOOKUP("*"&amp;D184&amp;"*",商品マスタ一覧!$D:$E,2,FALSE)))*F184),"")</f>
        <v/>
      </c>
      <c r="H184" s="185" t="str">
        <f>IF(C184&lt;&gt;"",
クライアント抽出!D44,"")</f>
        <v/>
      </c>
      <c r="I184" s="183" t="str">
        <f>IF(C184&lt;&gt;"",
IF(O184=1,0,クライアント抽出!F44),"")</f>
        <v/>
      </c>
      <c r="J184" s="183" t="str">
        <f>IF(C184&lt;&gt;"",
VLOOKUP(
"*"&amp;LEFT(IF(COUNTIF(D184,"*学食*"),"キャラ弁（学食）",
IF(COUNTIF(D184,"*赤*"),"赤",
IF(COUNTIF(D184,"*キャラ弁当*"),"キャラ弁当",D184))),4)&amp;"*",注文弁当の抽出!$E$1:$F$15,2,FALSE),"")</f>
        <v/>
      </c>
      <c r="K184" s="183" t="str">
        <f ca="1">IF(クライアント抽出!R44&lt;&gt;"",SUBSTITUTE(ADDRESS(1,(CODE(クライアント抽出!R44)-64)*2-1,4),"1",""),"")</f>
        <v/>
      </c>
      <c r="L184" s="183" t="str">
        <f>IF(C44&lt;&gt;"",クライアント抽出!I44,"")</f>
        <v/>
      </c>
      <c r="M184" s="183">
        <f t="array" aca="1" ref="M184" ca="1">IF(C184&lt;&gt;"",
IF(K184&lt;&gt;"",INDIRECT("'数出表_Excel（アレルギー入力）'!"&amp;K184&amp;L184-1&amp;""),),)</f>
        <v>0</v>
      </c>
      <c r="N184" s="183" t="str">
        <f>IF(C184&lt;&gt;"",IF(OR(COUNTIF('盛付札（関数）'!D184,"*赤*"),COUNTIF('盛付札（関数）'!D184,"*キャラ*")),1,
VLOOKUP("*"&amp;D184&amp;"*",商品マスタ一覧!D:H,5,FALSE)),"")</f>
        <v/>
      </c>
      <c r="O184" s="183">
        <f t="shared" ca="1" si="73"/>
        <v>0</v>
      </c>
      <c r="P184" s="183">
        <f t="shared" si="49"/>
        <v>0</v>
      </c>
      <c r="Q184" s="183" t="b">
        <f t="shared" si="50"/>
        <v>0</v>
      </c>
      <c r="R184" s="51" t="str">
        <f t="array" aca="1" ref="R184" ca="1">IFERROR(SMALL(IF(P$1:P$307&lt;&gt;0,P$1:P$307),ROW(A184)),"")</f>
        <v/>
      </c>
      <c r="S184" s="51" t="str">
        <f t="array" aca="1" ref="S184" ca="1">IF($R184&lt;&gt;"",
SUBSTITUTE(SUBSTITUTE(INDIRECT("C"&amp;$R184&amp;"")," 週3ｺｰｽ","")," 週5ｺｰｽ",""),"")</f>
        <v/>
      </c>
      <c r="T184" s="51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91" t="str">
        <f t="array" aca="1" ref="U184" ca="1">IF($R184&lt;&gt;"",
INDIRECT("F"&amp;$R184&amp;""),"")</f>
        <v/>
      </c>
      <c r="V184" s="51" t="str">
        <f t="array" aca="1" ref="V184" ca="1">IF($R184&lt;&gt;"",
INDIRECT("G"&amp;$R184&amp;""),"")</f>
        <v/>
      </c>
      <c r="W184" s="51" t="str">
        <f t="array" aca="1" ref="W184" ca="1">IF($R184&lt;&gt;"",
IF(AND(COUNTIF(INDIRECT("B"&amp;R184&amp;""),"*雙葉*"),COUNTIF(B:B,"*雙葉*")&gt;=2),
IF(OR(COUNTIF(INDIRECT("B"&amp;R184&amp;""),"*雙葉先生*"),COUNTIF($B$1:$B$70,"*雙葉*")&gt;=2),INDIRECT("H"&amp;R184&amp;""),INDIRECT("H"&amp;R184&amp;"")+INDIRECT("H"&amp;MATCH("雙葉'",INDIRECT("B"&amp;R184+3&amp;":B210"),0)+2+R184&amp;"")),
IF(AND(LEFT(INDIRECT("B"&amp;R184&amp;""),2)="博多",COUNTIF(B:B,"*博多*")&gt;=2),
INDIRECT("H"&amp;R184&amp;"")+INDIRECT("H"&amp;MATCH("*"&amp;INDIRECT("B"&amp;R184&amp;"")&amp;"*",INDIRECT("B"&amp;R184+1&amp;":B210"),0)+R184&amp;""),
IF(AND(LEFT(INDIRECT("B"&amp;R184&amp;""),3)="奈良屋",COUNTIF(B:B,"*奈良屋*")&gt;=2),
INDIRECT("H"&amp;R184&amp;"")+INDIRECT("H"&amp;MATCH("*"&amp;INDIRECT("B"&amp;R184&amp;"")&amp;"*",INDIRECT("B"&amp;R184+1&amp;":B210"),0)+R184&amp;"")
+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INDIRECT("H"&amp;R184&amp;"")))),"")</f>
        <v/>
      </c>
      <c r="X184" s="51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51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51" t="str">
        <f t="shared" ca="1" si="51"/>
        <v/>
      </c>
      <c r="AA184" s="51" t="str">
        <f t="shared" ca="1" si="52"/>
        <v/>
      </c>
      <c r="AB184" s="51" t="str">
        <f t="array" aca="1" ref="AB184" ca="1">IF($R184&lt;&gt;"",
IF(AND(COUNTIF(INDIRECT("B"&amp;R184&amp;""),"*雙葉*"),COUNTIF(B:B,"*雙葉*")&gt;=2),
INDIRECT("M"&amp;R184&amp;"")+INDIRECT("M"&amp;MATCH("雙葉'",INDIRECT("B"&amp;R184+1&amp;":B210"),0)+R184&amp;""),
IF(AND(LEFT(INDIRECT("B"&amp;R184&amp;""),2)="博多",COUNTIF(B:B,"*博多*")&gt;=2),
INDIRECT("M"&amp;R184&amp;"")+INDIRECT("M"&amp;MATCH("*"&amp;INDIRECT("B"&amp;R184&amp;"")&amp;"*",INDIRECT("B"&amp;R184+1&amp;":B210"),0)+R184&amp;""),
IF(AND(LEFT(INDIRECT("B"&amp;R184&amp;""),3)="奈良屋",COUNTIF(B:B,"*奈良屋*")&gt;=2),
INDIRECT("M"&amp;R184&amp;"")+INDIRECT("M"&amp;MATCH("*"&amp;INDIRECT("B"&amp;R184&amp;"")&amp;"*",INDIRECT("B"&amp;R184+1&amp;":B210"),0)+R184&amp;"")
+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INDIRECT("M"&amp;R184&amp;"")))),"")</f>
        <v/>
      </c>
      <c r="AC184" s="51" t="str">
        <f t="shared" ca="1" si="53"/>
        <v/>
      </c>
      <c r="AD184" s="51" t="str">
        <f t="shared" ca="1" si="54"/>
        <v/>
      </c>
      <c r="AE184" s="51" t="str">
        <f t="shared" ca="1" si="55"/>
        <v/>
      </c>
      <c r="AF184" s="51" t="str">
        <f t="shared" ca="1" si="56"/>
        <v/>
      </c>
      <c r="AG184" s="51" t="str">
        <f t="shared" ca="1" si="57"/>
        <v/>
      </c>
      <c r="AH184" s="191" t="str">
        <f t="shared" ca="1" si="58"/>
        <v/>
      </c>
      <c r="AI184" s="51" t="str">
        <f t="shared" ca="1" si="59"/>
        <v/>
      </c>
      <c r="AJ184" s="51" t="str">
        <f t="shared" ca="1" si="60"/>
        <v/>
      </c>
      <c r="AK184" s="51" t="str">
        <f t="shared" ca="1" si="61"/>
        <v/>
      </c>
      <c r="AL184" s="51" t="str">
        <f t="shared" ca="1" si="62"/>
        <v/>
      </c>
      <c r="AM184" s="51" t="str">
        <f t="shared" ca="1" si="63"/>
        <v/>
      </c>
      <c r="AN184" s="51" t="str">
        <f t="shared" ca="1" si="64"/>
        <v/>
      </c>
      <c r="AO184" s="51" t="str">
        <f t="shared" ca="1" si="65"/>
        <v/>
      </c>
      <c r="AP184" s="51" t="str">
        <f t="shared" ca="1" si="66"/>
        <v/>
      </c>
      <c r="AU184" s="51" t="str">
        <f t="shared" ca="1" si="67"/>
        <v/>
      </c>
    </row>
    <row r="185" spans="1:47" ht="22.2" customHeight="1">
      <c r="A185" s="184">
        <f t="shared" si="74"/>
        <v>95</v>
      </c>
      <c r="B185" s="183" t="str">
        <f t="shared" ca="1" si="72"/>
        <v/>
      </c>
      <c r="C185" s="183" t="str">
        <f>IF(OR(クライアント抽出!D45&lt;&gt;"",クライアント抽出!G45&lt;&gt;""),クライアント抽出!A45,"")</f>
        <v/>
      </c>
      <c r="D185" s="183" t="str">
        <f t="array" aca="1" ref="D185" ca="1">IF(C185&lt;&gt;"",INDIRECT("クライアント抽出!"&amp;E185&amp;MATCH(C185,クライアント抽出!A:A,0)&amp;""),"")</f>
        <v/>
      </c>
      <c r="E185" s="183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86" t="str">
        <f ca="1">IF(D185&lt;&gt;"",
IF(COUNTIF(C185,"*雙葉*"),
IF(ROUND((H185-M185)
/IF(COUNTIF(D185,"*キャラ*"),
VLOOKUP("*キャラ*",商品マスタ一覧!$D:$E,2,FALSE),
IF(COUNTIF(D185,"*赤*"),
VLOOKUP("*赤*",商品マスタ一覧!$D:$E,2,FALSE),
VLOOKUP("*"&amp;D185&amp;"*",商品マスタ一覧!$D:$E,2,FALSE))),0)&lt;=0,1,
ROUND((H185-M185)
/IF(COUNTIF(D185,"*キャラ*"),
VLOOKUP("*キャラ*",商品マスタ一覧!$D:$E,2,FALSE),
IF(COUNTIF(D185,"*赤*"),
VLOOKUP("*赤*",商品マスタ一覧!$D:$E,2,FALSE),
VLOOKUP("*"&amp;D185&amp;"*",商品マスタ一覧!$D:$E,2,FALSE))),0)),
IF(OR(COUNTIF(D185,"*キャラ*"),COUNTIF(D185,"*赤*")),"",
IF(VLOOKUP("*"&amp;D185&amp;"*",商品マスタ一覧!$D:$E,2,FALSE)=0,"",
IF(ROUND((H185-M185)
/VLOOKUP("*"&amp;D185&amp;"*",商品マスタ一覧!$D:$E,2,FALSE),0)&lt;=0,1,
ROUND((H185-M185)
/VLOOKUP("*"&amp;D185&amp;"*",商品マスタ一覧!$D:$E,2,FALSE),0))))),"")</f>
        <v/>
      </c>
      <c r="G185" s="183" t="str">
        <f ca="1">IF(F185&lt;&gt;"",
IF(VALUE(H185-M185)&gt;VALUE(IF(COUNTIF(D185,"*キャラ*"),
VLOOKUP("*キャラ*",商品マスタ一覧!$D:$E,2,FALSE),
IF(COUNTIF(D185,"*赤*"),
VLOOKUP("*赤*",商品マスタ一覧!$D:$E,2,FALSE),
VLOOKUP("*"&amp;D185&amp;"*",商品マスタ一覧!$D:$E,2,FALSE)))*F185),
"+"&amp;(H185-M185)-IF(COUNTIF(D185,"*キャラ*"),
VLOOKUP("*キャラ*",商品マスタ一覧!$D:$E,2,FALSE),
IF(COUNTIF(D185,"*赤*"),
VLOOKUP("*赤*",商品マスタ一覧!$D:$E,2,FALSE),
VLOOKUP("*"&amp;D185&amp;"*",商品マスタ一覧!$D:$E,2,FALSE)))*F185,
(H185-M185)-IF(COUNTIF(D185,"*キャラ*"),
VLOOKUP("*キャラ*",商品マスタ一覧!$D:$E,2,FALSE),
IF(COUNTIF(D185,"*赤*"),
VLOOKUP("*赤*",商品マスタ一覧!$D:$E,2,FALSE),
VLOOKUP("*"&amp;D185&amp;"*",商品マスタ一覧!$D:$E,2,FALSE)))*F185),"")</f>
        <v/>
      </c>
      <c r="H185" s="185" t="str">
        <f>IF(C185&lt;&gt;"",
クライアント抽出!D45,"")</f>
        <v/>
      </c>
      <c r="I185" s="183" t="str">
        <f>IF(C185&lt;&gt;"",
IF(O185=1,0,クライアント抽出!F45),"")</f>
        <v/>
      </c>
      <c r="J185" s="183" t="str">
        <f>IF(C185&lt;&gt;"",
VLOOKUP(
"*"&amp;LEFT(IF(COUNTIF(D185,"*学食*"),"キャラ弁（学食）",
IF(COUNTIF(D185,"*赤*"),"赤",
IF(COUNTIF(D185,"*キャラ弁当*"),"キャラ弁当",D185))),4)&amp;"*",注文弁当の抽出!$E$1:$F$15,2,FALSE),"")</f>
        <v/>
      </c>
      <c r="K185" s="183" t="str">
        <f ca="1">IF(クライアント抽出!R45&lt;&gt;"",SUBSTITUTE(ADDRESS(1,(CODE(クライアント抽出!R45)-64)*2-1,4),"1",""),"")</f>
        <v/>
      </c>
      <c r="L185" s="183" t="str">
        <f>IF(C45&lt;&gt;"",クライアント抽出!I45,"")</f>
        <v/>
      </c>
      <c r="M185" s="183">
        <f t="array" aca="1" ref="M185" ca="1">IF(C185&lt;&gt;"",
IF(K185&lt;&gt;"",INDIRECT("'数出表_Excel（アレルギー入力）'!"&amp;K185&amp;L185-1&amp;""),),)</f>
        <v>0</v>
      </c>
      <c r="N185" s="183" t="str">
        <f>IF(C185&lt;&gt;"",IF(OR(COUNTIF('盛付札（関数）'!D185,"*赤*"),COUNTIF('盛付札（関数）'!D185,"*キャラ*")),1,
VLOOKUP("*"&amp;D185&amp;"*",商品マスタ一覧!D:H,5,FALSE)),"")</f>
        <v/>
      </c>
      <c r="O185" s="183">
        <f t="shared" ca="1" si="73"/>
        <v>0</v>
      </c>
      <c r="P185" s="183">
        <f t="shared" si="49"/>
        <v>0</v>
      </c>
      <c r="Q185" s="183" t="b">
        <f t="shared" si="50"/>
        <v>0</v>
      </c>
      <c r="R185" s="51" t="str">
        <f t="array" aca="1" ref="R185" ca="1">IFERROR(SMALL(IF(P$1:P$307&lt;&gt;0,P$1:P$307),ROW(A185)),"")</f>
        <v/>
      </c>
      <c r="S185" s="51" t="str">
        <f t="array" aca="1" ref="S185" ca="1">IF($R185&lt;&gt;"",
SUBSTITUTE(SUBSTITUTE(INDIRECT("C"&amp;$R185&amp;"")," 週3ｺｰｽ","")," 週5ｺｰｽ",""),"")</f>
        <v/>
      </c>
      <c r="T185" s="51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91" t="str">
        <f t="array" aca="1" ref="U185" ca="1">IF($R185&lt;&gt;"",
INDIRECT("F"&amp;$R185&amp;""),"")</f>
        <v/>
      </c>
      <c r="V185" s="51" t="str">
        <f t="array" aca="1" ref="V185" ca="1">IF($R185&lt;&gt;"",
INDIRECT("G"&amp;$R185&amp;""),"")</f>
        <v/>
      </c>
      <c r="W185" s="51" t="str">
        <f t="array" aca="1" ref="W185" ca="1">IF($R185&lt;&gt;"",
IF(AND(COUNTIF(INDIRECT("B"&amp;R185&amp;""),"*雙葉*"),COUNTIF(B:B,"*雙葉*")&gt;=2),
IF(OR(COUNTIF(INDIRECT("B"&amp;R185&amp;""),"*雙葉先生*"),COUNTIF($B$1:$B$70,"*雙葉*")&gt;=2),INDIRECT("H"&amp;R185&amp;""),INDIRECT("H"&amp;R185&amp;"")+INDIRECT("H"&amp;MATCH("雙葉'",INDIRECT("B"&amp;R185+3&amp;":B210"),0)+2+R185&amp;"")),
IF(AND(LEFT(INDIRECT("B"&amp;R185&amp;""),2)="博多",COUNTIF(B:B,"*博多*")&gt;=2),
INDIRECT("H"&amp;R185&amp;"")+INDIRECT("H"&amp;MATCH("*"&amp;INDIRECT("B"&amp;R185&amp;"")&amp;"*",INDIRECT("B"&amp;R185+1&amp;":B210"),0)+R185&amp;""),
IF(AND(LEFT(INDIRECT("B"&amp;R185&amp;""),3)="奈良屋",COUNTIF(B:B,"*奈良屋*")&gt;=2),
INDIRECT("H"&amp;R185&amp;"")+INDIRECT("H"&amp;MATCH("*"&amp;INDIRECT("B"&amp;R185&amp;"")&amp;"*",INDIRECT("B"&amp;R185+1&amp;":B210"),0)+R185&amp;"")
+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INDIRECT("H"&amp;R185&amp;"")))),"")</f>
        <v/>
      </c>
      <c r="X185" s="51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51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51" t="str">
        <f t="shared" ca="1" si="51"/>
        <v/>
      </c>
      <c r="AA185" s="51" t="str">
        <f t="shared" ca="1" si="52"/>
        <v/>
      </c>
      <c r="AB185" s="51" t="str">
        <f t="array" aca="1" ref="AB185" ca="1">IF($R185&lt;&gt;"",
IF(AND(COUNTIF(INDIRECT("B"&amp;R185&amp;""),"*雙葉*"),COUNTIF(B:B,"*雙葉*")&gt;=2),
INDIRECT("M"&amp;R185&amp;"")+INDIRECT("M"&amp;MATCH("雙葉'",INDIRECT("B"&amp;R185+1&amp;":B210"),0)+R185&amp;""),
IF(AND(LEFT(INDIRECT("B"&amp;R185&amp;""),2)="博多",COUNTIF(B:B,"*博多*")&gt;=2),
INDIRECT("M"&amp;R185&amp;"")+INDIRECT("M"&amp;MATCH("*"&amp;INDIRECT("B"&amp;R185&amp;"")&amp;"*",INDIRECT("B"&amp;R185+1&amp;":B210"),0)+R185&amp;""),
IF(AND(LEFT(INDIRECT("B"&amp;R185&amp;""),3)="奈良屋",COUNTIF(B:B,"*奈良屋*")&gt;=2),
INDIRECT("M"&amp;R185&amp;"")+INDIRECT("M"&amp;MATCH("*"&amp;INDIRECT("B"&amp;R185&amp;"")&amp;"*",INDIRECT("B"&amp;R185+1&amp;":B210"),0)+R185&amp;"")
+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INDIRECT("M"&amp;R185&amp;"")))),"")</f>
        <v/>
      </c>
      <c r="AC185" s="51" t="str">
        <f t="shared" ca="1" si="53"/>
        <v/>
      </c>
      <c r="AD185" s="51" t="str">
        <f t="shared" ca="1" si="54"/>
        <v/>
      </c>
      <c r="AE185" s="51" t="str">
        <f t="shared" ca="1" si="55"/>
        <v/>
      </c>
      <c r="AF185" s="51" t="str">
        <f t="shared" ca="1" si="56"/>
        <v/>
      </c>
      <c r="AG185" s="51" t="str">
        <f t="shared" ca="1" si="57"/>
        <v/>
      </c>
      <c r="AH185" s="191" t="str">
        <f t="shared" ca="1" si="58"/>
        <v/>
      </c>
      <c r="AI185" s="51" t="str">
        <f t="shared" ca="1" si="59"/>
        <v/>
      </c>
      <c r="AJ185" s="51" t="str">
        <f t="shared" ca="1" si="60"/>
        <v/>
      </c>
      <c r="AK185" s="51" t="str">
        <f t="shared" ca="1" si="61"/>
        <v/>
      </c>
      <c r="AL185" s="51" t="str">
        <f t="shared" ca="1" si="62"/>
        <v/>
      </c>
      <c r="AM185" s="51" t="str">
        <f t="shared" ca="1" si="63"/>
        <v/>
      </c>
      <c r="AN185" s="51" t="str">
        <f t="shared" ca="1" si="64"/>
        <v/>
      </c>
      <c r="AO185" s="51" t="str">
        <f t="shared" ca="1" si="65"/>
        <v/>
      </c>
      <c r="AP185" s="51" t="str">
        <f t="shared" ca="1" si="66"/>
        <v/>
      </c>
      <c r="AU185" s="51" t="str">
        <f t="shared" ca="1" si="67"/>
        <v/>
      </c>
    </row>
    <row r="186" spans="1:47" ht="22.2" customHeight="1">
      <c r="A186" s="184">
        <f t="shared" si="74"/>
        <v>97</v>
      </c>
      <c r="B186" s="183" t="str">
        <f t="shared" ca="1" si="72"/>
        <v/>
      </c>
      <c r="C186" s="183" t="str">
        <f>IF(OR(クライアント抽出!D46&lt;&gt;"",クライアント抽出!G46&lt;&gt;""),クライアント抽出!A46,"")</f>
        <v/>
      </c>
      <c r="D186" s="183" t="str">
        <f t="array" aca="1" ref="D186" ca="1">IF(C186&lt;&gt;"",INDIRECT("クライアント抽出!"&amp;E186&amp;MATCH(C186,クライアント抽出!A:A,0)&amp;""),"")</f>
        <v/>
      </c>
      <c r="E186" s="183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86" t="str">
        <f ca="1">IF(D186&lt;&gt;"",
IF(COUNTIF(C186,"*雙葉*"),
IF(ROUND((H186-M186)
/IF(COUNTIF(D186,"*キャラ*"),
VLOOKUP("*キャラ*",商品マスタ一覧!$D:$E,2,FALSE),
IF(COUNTIF(D186,"*赤*"),
VLOOKUP("*赤*",商品マスタ一覧!$D:$E,2,FALSE),
VLOOKUP("*"&amp;D186&amp;"*",商品マスタ一覧!$D:$E,2,FALSE))),0)&lt;=0,1,
ROUND((H186-M186)
/IF(COUNTIF(D186,"*キャラ*"),
VLOOKUP("*キャラ*",商品マスタ一覧!$D:$E,2,FALSE),
IF(COUNTIF(D186,"*赤*"),
VLOOKUP("*赤*",商品マスタ一覧!$D:$E,2,FALSE),
VLOOKUP("*"&amp;D186&amp;"*",商品マスタ一覧!$D:$E,2,FALSE))),0)),
IF(OR(COUNTIF(D186,"*キャラ*"),COUNTIF(D186,"*赤*")),"",
IF(VLOOKUP("*"&amp;D186&amp;"*",商品マスタ一覧!$D:$E,2,FALSE)=0,"",
IF(ROUND((H186-M186)
/VLOOKUP("*"&amp;D186&amp;"*",商品マスタ一覧!$D:$E,2,FALSE),0)&lt;=0,1,
ROUND((H186-M186)
/VLOOKUP("*"&amp;D186&amp;"*",商品マスタ一覧!$D:$E,2,FALSE),0))))),"")</f>
        <v/>
      </c>
      <c r="G186" s="183" t="str">
        <f ca="1">IF(F186&lt;&gt;"",
IF(VALUE(H186-M186)&gt;VALUE(IF(COUNTIF(D186,"*キャラ*"),
VLOOKUP("*キャラ*",商品マスタ一覧!$D:$E,2,FALSE),
IF(COUNTIF(D186,"*赤*"),
VLOOKUP("*赤*",商品マスタ一覧!$D:$E,2,FALSE),
VLOOKUP("*"&amp;D186&amp;"*",商品マスタ一覧!$D:$E,2,FALSE)))*F186),
"+"&amp;(H186-M186)-IF(COUNTIF(D186,"*キャラ*"),
VLOOKUP("*キャラ*",商品マスタ一覧!$D:$E,2,FALSE),
IF(COUNTIF(D186,"*赤*"),
VLOOKUP("*赤*",商品マスタ一覧!$D:$E,2,FALSE),
VLOOKUP("*"&amp;D186&amp;"*",商品マスタ一覧!$D:$E,2,FALSE)))*F186,
(H186-M186)-IF(COUNTIF(D186,"*キャラ*"),
VLOOKUP("*キャラ*",商品マスタ一覧!$D:$E,2,FALSE),
IF(COUNTIF(D186,"*赤*"),
VLOOKUP("*赤*",商品マスタ一覧!$D:$E,2,FALSE),
VLOOKUP("*"&amp;D186&amp;"*",商品マスタ一覧!$D:$E,2,FALSE)))*F186),"")</f>
        <v/>
      </c>
      <c r="H186" s="185" t="str">
        <f>IF(C186&lt;&gt;"",
クライアント抽出!D46,"")</f>
        <v/>
      </c>
      <c r="I186" s="183" t="str">
        <f>IF(C186&lt;&gt;"",
IF(O186=1,0,クライアント抽出!F46),"")</f>
        <v/>
      </c>
      <c r="J186" s="183" t="str">
        <f>IF(C186&lt;&gt;"",
VLOOKUP(
"*"&amp;LEFT(IF(COUNTIF(D186,"*学食*"),"キャラ弁（学食）",
IF(COUNTIF(D186,"*赤*"),"赤",
IF(COUNTIF(D186,"*キャラ弁当*"),"キャラ弁当",D186))),4)&amp;"*",注文弁当の抽出!$E$1:$F$15,2,FALSE),"")</f>
        <v/>
      </c>
      <c r="K186" s="183" t="str">
        <f ca="1">IF(クライアント抽出!R46&lt;&gt;"",SUBSTITUTE(ADDRESS(1,(CODE(クライアント抽出!R46)-64)*2-1,4),"1",""),"")</f>
        <v/>
      </c>
      <c r="L186" s="183" t="str">
        <f>IF(C46&lt;&gt;"",クライアント抽出!I46,"")</f>
        <v/>
      </c>
      <c r="M186" s="183">
        <f t="array" aca="1" ref="M186" ca="1">IF(C186&lt;&gt;"",
IF(K186&lt;&gt;"",INDIRECT("'数出表_Excel（アレルギー入力）'!"&amp;K186&amp;L186-1&amp;""),),)</f>
        <v>0</v>
      </c>
      <c r="N186" s="183" t="str">
        <f>IF(C186&lt;&gt;"",IF(OR(COUNTIF('盛付札（関数）'!D186,"*赤*"),COUNTIF('盛付札（関数）'!D186,"*キャラ*")),1,
VLOOKUP("*"&amp;D186&amp;"*",商品マスタ一覧!D:H,5,FALSE)),"")</f>
        <v/>
      </c>
      <c r="O186" s="183">
        <f t="shared" ca="1" si="73"/>
        <v>0</v>
      </c>
      <c r="P186" s="183">
        <f t="shared" si="49"/>
        <v>0</v>
      </c>
      <c r="Q186" s="183" t="b">
        <f t="shared" si="50"/>
        <v>0</v>
      </c>
      <c r="R186" s="51" t="str">
        <f t="array" aca="1" ref="R186" ca="1">IFERROR(SMALL(IF(P$1:P$307&lt;&gt;0,P$1:P$307),ROW(A186)),"")</f>
        <v/>
      </c>
      <c r="S186" s="51" t="str">
        <f t="array" aca="1" ref="S186" ca="1">IF($R186&lt;&gt;"",
SUBSTITUTE(SUBSTITUTE(INDIRECT("C"&amp;$R186&amp;"")," 週3ｺｰｽ","")," 週5ｺｰｽ",""),"")</f>
        <v/>
      </c>
      <c r="T186" s="51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91" t="str">
        <f t="array" aca="1" ref="U186" ca="1">IF($R186&lt;&gt;"",
INDIRECT("F"&amp;$R186&amp;""),"")</f>
        <v/>
      </c>
      <c r="V186" s="51" t="str">
        <f t="array" aca="1" ref="V186" ca="1">IF($R186&lt;&gt;"",
INDIRECT("G"&amp;$R186&amp;""),"")</f>
        <v/>
      </c>
      <c r="W186" s="51" t="str">
        <f t="array" aca="1" ref="W186" ca="1">IF($R186&lt;&gt;"",
IF(AND(COUNTIF(INDIRECT("B"&amp;R186&amp;""),"*雙葉*"),COUNTIF(B:B,"*雙葉*")&gt;=2),
IF(OR(COUNTIF(INDIRECT("B"&amp;R186&amp;""),"*雙葉先生*"),COUNTIF($B$1:$B$70,"*雙葉*")&gt;=2),INDIRECT("H"&amp;R186&amp;""),INDIRECT("H"&amp;R186&amp;"")+INDIRECT("H"&amp;MATCH("雙葉'",INDIRECT("B"&amp;R186+3&amp;":B210"),0)+2+R186&amp;"")),
IF(AND(LEFT(INDIRECT("B"&amp;R186&amp;""),2)="博多",COUNTIF(B:B,"*博多*")&gt;=2),
INDIRECT("H"&amp;R186&amp;"")+INDIRECT("H"&amp;MATCH("*"&amp;INDIRECT("B"&amp;R186&amp;"")&amp;"*",INDIRECT("B"&amp;R186+1&amp;":B210"),0)+R186&amp;""),
IF(AND(LEFT(INDIRECT("B"&amp;R186&amp;""),3)="奈良屋",COUNTIF(B:B,"*奈良屋*")&gt;=2),
INDIRECT("H"&amp;R186&amp;"")+INDIRECT("H"&amp;MATCH("*"&amp;INDIRECT("B"&amp;R186&amp;"")&amp;"*",INDIRECT("B"&amp;R186+1&amp;":B210"),0)+R186&amp;"")
+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INDIRECT("H"&amp;R186&amp;"")))),"")</f>
        <v/>
      </c>
      <c r="X186" s="51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51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51" t="str">
        <f t="shared" ca="1" si="51"/>
        <v/>
      </c>
      <c r="AA186" s="51" t="str">
        <f t="shared" ca="1" si="52"/>
        <v/>
      </c>
      <c r="AB186" s="51" t="str">
        <f t="array" aca="1" ref="AB186" ca="1">IF($R186&lt;&gt;"",
IF(AND(COUNTIF(INDIRECT("B"&amp;R186&amp;""),"*雙葉*"),COUNTIF(B:B,"*雙葉*")&gt;=2),
INDIRECT("M"&amp;R186&amp;"")+INDIRECT("M"&amp;MATCH("雙葉'",INDIRECT("B"&amp;R186+1&amp;":B210"),0)+R186&amp;""),
IF(AND(LEFT(INDIRECT("B"&amp;R186&amp;""),2)="博多",COUNTIF(B:B,"*博多*")&gt;=2),
INDIRECT("M"&amp;R186&amp;"")+INDIRECT("M"&amp;MATCH("*"&amp;INDIRECT("B"&amp;R186&amp;"")&amp;"*",INDIRECT("B"&amp;R186+1&amp;":B210"),0)+R186&amp;""),
IF(AND(LEFT(INDIRECT("B"&amp;R186&amp;""),3)="奈良屋",COUNTIF(B:B,"*奈良屋*")&gt;=2),
INDIRECT("M"&amp;R186&amp;"")+INDIRECT("M"&amp;MATCH("*"&amp;INDIRECT("B"&amp;R186&amp;"")&amp;"*",INDIRECT("B"&amp;R186+1&amp;":B210"),0)+R186&amp;"")
+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INDIRECT("M"&amp;R186&amp;"")))),"")</f>
        <v/>
      </c>
      <c r="AC186" s="51" t="str">
        <f t="shared" ca="1" si="53"/>
        <v/>
      </c>
      <c r="AD186" s="51" t="str">
        <f t="shared" ca="1" si="54"/>
        <v/>
      </c>
      <c r="AE186" s="51" t="str">
        <f t="shared" ca="1" si="55"/>
        <v/>
      </c>
      <c r="AF186" s="51" t="str">
        <f t="shared" ca="1" si="56"/>
        <v/>
      </c>
      <c r="AG186" s="51" t="str">
        <f t="shared" ca="1" si="57"/>
        <v/>
      </c>
      <c r="AH186" s="191" t="str">
        <f t="shared" ca="1" si="58"/>
        <v/>
      </c>
      <c r="AI186" s="51" t="str">
        <f t="shared" ca="1" si="59"/>
        <v/>
      </c>
      <c r="AJ186" s="51" t="str">
        <f t="shared" ca="1" si="60"/>
        <v/>
      </c>
      <c r="AK186" s="51" t="str">
        <f t="shared" ca="1" si="61"/>
        <v/>
      </c>
      <c r="AL186" s="51" t="str">
        <f t="shared" ca="1" si="62"/>
        <v/>
      </c>
      <c r="AM186" s="51" t="str">
        <f t="shared" ca="1" si="63"/>
        <v/>
      </c>
      <c r="AN186" s="51" t="str">
        <f t="shared" ca="1" si="64"/>
        <v/>
      </c>
      <c r="AO186" s="51" t="str">
        <f t="shared" ca="1" si="65"/>
        <v/>
      </c>
      <c r="AP186" s="51" t="str">
        <f t="shared" ca="1" si="66"/>
        <v/>
      </c>
      <c r="AU186" s="51" t="str">
        <f t="shared" ca="1" si="67"/>
        <v/>
      </c>
    </row>
    <row r="187" spans="1:47" ht="22.2" customHeight="1">
      <c r="A187" s="184">
        <f t="shared" si="74"/>
        <v>99</v>
      </c>
      <c r="B187" s="183" t="str">
        <f t="shared" ca="1" si="72"/>
        <v/>
      </c>
      <c r="C187" s="183" t="str">
        <f>IF(OR(クライアント抽出!D47&lt;&gt;"",クライアント抽出!G47&lt;&gt;""),クライアント抽出!A47,"")</f>
        <v/>
      </c>
      <c r="D187" s="183" t="str">
        <f t="array" aca="1" ref="D187" ca="1">IF(C187&lt;&gt;"",INDIRECT("クライアント抽出!"&amp;E187&amp;MATCH(C187,クライアント抽出!A:A,0)&amp;""),"")</f>
        <v/>
      </c>
      <c r="E187" s="183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86" t="str">
        <f ca="1">IF(D187&lt;&gt;"",
IF(COUNTIF(C187,"*雙葉*"),
IF(ROUND((H187-M187)
/IF(COUNTIF(D187,"*キャラ*"),
VLOOKUP("*キャラ*",商品マスタ一覧!$D:$E,2,FALSE),
IF(COUNTIF(D187,"*赤*"),
VLOOKUP("*赤*",商品マスタ一覧!$D:$E,2,FALSE),
VLOOKUP("*"&amp;D187&amp;"*",商品マスタ一覧!$D:$E,2,FALSE))),0)&lt;=0,1,
ROUND((H187-M187)
/IF(COUNTIF(D187,"*キャラ*"),
VLOOKUP("*キャラ*",商品マスタ一覧!$D:$E,2,FALSE),
IF(COUNTIF(D187,"*赤*"),
VLOOKUP("*赤*",商品マスタ一覧!$D:$E,2,FALSE),
VLOOKUP("*"&amp;D187&amp;"*",商品マスタ一覧!$D:$E,2,FALSE))),0)),
IF(OR(COUNTIF(D187,"*キャラ*"),COUNTIF(D187,"*赤*")),"",
IF(VLOOKUP("*"&amp;D187&amp;"*",商品マスタ一覧!$D:$E,2,FALSE)=0,"",
IF(ROUND((H187-M187)
/VLOOKUP("*"&amp;D187&amp;"*",商品マスタ一覧!$D:$E,2,FALSE),0)&lt;=0,1,
ROUND((H187-M187)
/VLOOKUP("*"&amp;D187&amp;"*",商品マスタ一覧!$D:$E,2,FALSE),0))))),"")</f>
        <v/>
      </c>
      <c r="G187" s="183" t="str">
        <f ca="1">IF(F187&lt;&gt;"",
IF(VALUE(H187-M187)&gt;VALUE(IF(COUNTIF(D187,"*キャラ*"),
VLOOKUP("*キャラ*",商品マスタ一覧!$D:$E,2,FALSE),
IF(COUNTIF(D187,"*赤*"),
VLOOKUP("*赤*",商品マスタ一覧!$D:$E,2,FALSE),
VLOOKUP("*"&amp;D187&amp;"*",商品マスタ一覧!$D:$E,2,FALSE)))*F187),
"+"&amp;(H187-M187)-IF(COUNTIF(D187,"*キャラ*"),
VLOOKUP("*キャラ*",商品マスタ一覧!$D:$E,2,FALSE),
IF(COUNTIF(D187,"*赤*"),
VLOOKUP("*赤*",商品マスタ一覧!$D:$E,2,FALSE),
VLOOKUP("*"&amp;D187&amp;"*",商品マスタ一覧!$D:$E,2,FALSE)))*F187,
(H187-M187)-IF(COUNTIF(D187,"*キャラ*"),
VLOOKUP("*キャラ*",商品マスタ一覧!$D:$E,2,FALSE),
IF(COUNTIF(D187,"*赤*"),
VLOOKUP("*赤*",商品マスタ一覧!$D:$E,2,FALSE),
VLOOKUP("*"&amp;D187&amp;"*",商品マスタ一覧!$D:$E,2,FALSE)))*F187),"")</f>
        <v/>
      </c>
      <c r="H187" s="185" t="str">
        <f>IF(C187&lt;&gt;"",
クライアント抽出!D47,"")</f>
        <v/>
      </c>
      <c r="I187" s="183" t="str">
        <f>IF(C187&lt;&gt;"",
IF(O187=1,0,クライアント抽出!F47),"")</f>
        <v/>
      </c>
      <c r="J187" s="183" t="str">
        <f>IF(C187&lt;&gt;"",
VLOOKUP(
"*"&amp;LEFT(IF(COUNTIF(D187,"*学食*"),"キャラ弁（学食）",
IF(COUNTIF(D187,"*赤*"),"赤",
IF(COUNTIF(D187,"*キャラ弁当*"),"キャラ弁当",D187))),4)&amp;"*",注文弁当の抽出!$E$1:$F$15,2,FALSE),"")</f>
        <v/>
      </c>
      <c r="K187" s="183" t="str">
        <f ca="1">IF(クライアント抽出!R47&lt;&gt;"",SUBSTITUTE(ADDRESS(1,(CODE(クライアント抽出!R47)-64)*2-1,4),"1",""),"")</f>
        <v/>
      </c>
      <c r="L187" s="183" t="str">
        <f>IF(C47&lt;&gt;"",クライアント抽出!I47,"")</f>
        <v/>
      </c>
      <c r="M187" s="183">
        <f t="array" aca="1" ref="M187" ca="1">IF(C187&lt;&gt;"",
IF(K187&lt;&gt;"",INDIRECT("'数出表_Excel（アレルギー入力）'!"&amp;K187&amp;L187-1&amp;""),),)</f>
        <v>0</v>
      </c>
      <c r="N187" s="183" t="str">
        <f>IF(C187&lt;&gt;"",IF(OR(COUNTIF('盛付札（関数）'!D187,"*赤*"),COUNTIF('盛付札（関数）'!D187,"*キャラ*")),1,
VLOOKUP("*"&amp;D187&amp;"*",商品マスタ一覧!D:H,5,FALSE)),"")</f>
        <v/>
      </c>
      <c r="O187" s="183">
        <f t="shared" ca="1" si="73"/>
        <v>0</v>
      </c>
      <c r="P187" s="183">
        <f t="shared" si="49"/>
        <v>0</v>
      </c>
      <c r="Q187" s="183" t="b">
        <f t="shared" si="50"/>
        <v>0</v>
      </c>
      <c r="R187" s="51" t="str">
        <f t="array" aca="1" ref="R187" ca="1">IFERROR(SMALL(IF(P$1:P$307&lt;&gt;0,P$1:P$307),ROW(A187)),"")</f>
        <v/>
      </c>
      <c r="S187" s="51" t="str">
        <f t="array" aca="1" ref="S187" ca="1">IF($R187&lt;&gt;"",
SUBSTITUTE(SUBSTITUTE(INDIRECT("C"&amp;$R187&amp;"")," 週3ｺｰｽ","")," 週5ｺｰｽ",""),"")</f>
        <v/>
      </c>
      <c r="T187" s="51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91" t="str">
        <f t="array" aca="1" ref="U187" ca="1">IF($R187&lt;&gt;"",
INDIRECT("F"&amp;$R187&amp;""),"")</f>
        <v/>
      </c>
      <c r="V187" s="51" t="str">
        <f t="array" aca="1" ref="V187" ca="1">IF($R187&lt;&gt;"",
INDIRECT("G"&amp;$R187&amp;""),"")</f>
        <v/>
      </c>
      <c r="W187" s="51" t="str">
        <f t="array" aca="1" ref="W187" ca="1">IF($R187&lt;&gt;"",
IF(AND(COUNTIF(INDIRECT("B"&amp;R187&amp;""),"*雙葉*"),COUNTIF(B:B,"*雙葉*")&gt;=2),
IF(OR(COUNTIF(INDIRECT("B"&amp;R187&amp;""),"*雙葉先生*"),COUNTIF($B$1:$B$70,"*雙葉*")&gt;=2),INDIRECT("H"&amp;R187&amp;""),INDIRECT("H"&amp;R187&amp;"")+INDIRECT("H"&amp;MATCH("雙葉'",INDIRECT("B"&amp;R187+3&amp;":B210"),0)+2+R187&amp;"")),
IF(AND(LEFT(INDIRECT("B"&amp;R187&amp;""),2)="博多",COUNTIF(B:B,"*博多*")&gt;=2),
INDIRECT("H"&amp;R187&amp;"")+INDIRECT("H"&amp;MATCH("*"&amp;INDIRECT("B"&amp;R187&amp;"")&amp;"*",INDIRECT("B"&amp;R187+1&amp;":B210"),0)+R187&amp;""),
IF(AND(LEFT(INDIRECT("B"&amp;R187&amp;""),3)="奈良屋",COUNTIF(B:B,"*奈良屋*")&gt;=2),
INDIRECT("H"&amp;R187&amp;"")+INDIRECT("H"&amp;MATCH("*"&amp;INDIRECT("B"&amp;R187&amp;"")&amp;"*",INDIRECT("B"&amp;R187+1&amp;":B210"),0)+R187&amp;"")
+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INDIRECT("H"&amp;R187&amp;"")))),"")</f>
        <v/>
      </c>
      <c r="X187" s="51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51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51" t="str">
        <f t="shared" ca="1" si="51"/>
        <v/>
      </c>
      <c r="AA187" s="51" t="str">
        <f t="shared" ca="1" si="52"/>
        <v/>
      </c>
      <c r="AB187" s="51" t="str">
        <f t="array" aca="1" ref="AB187" ca="1">IF($R187&lt;&gt;"",
IF(AND(COUNTIF(INDIRECT("B"&amp;R187&amp;""),"*雙葉*"),COUNTIF(B:B,"*雙葉*")&gt;=2),
INDIRECT("M"&amp;R187&amp;"")+INDIRECT("M"&amp;MATCH("雙葉'",INDIRECT("B"&amp;R187+1&amp;":B210"),0)+R187&amp;""),
IF(AND(LEFT(INDIRECT("B"&amp;R187&amp;""),2)="博多",COUNTIF(B:B,"*博多*")&gt;=2),
INDIRECT("M"&amp;R187&amp;"")+INDIRECT("M"&amp;MATCH("*"&amp;INDIRECT("B"&amp;R187&amp;"")&amp;"*",INDIRECT("B"&amp;R187+1&amp;":B210"),0)+R187&amp;""),
IF(AND(LEFT(INDIRECT("B"&amp;R187&amp;""),3)="奈良屋",COUNTIF(B:B,"*奈良屋*")&gt;=2),
INDIRECT("M"&amp;R187&amp;"")+INDIRECT("M"&amp;MATCH("*"&amp;INDIRECT("B"&amp;R187&amp;"")&amp;"*",INDIRECT("B"&amp;R187+1&amp;":B210"),0)+R187&amp;"")
+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INDIRECT("M"&amp;R187&amp;"")))),"")</f>
        <v/>
      </c>
      <c r="AC187" s="51" t="str">
        <f t="shared" ca="1" si="53"/>
        <v/>
      </c>
      <c r="AD187" s="51" t="str">
        <f t="shared" ca="1" si="54"/>
        <v/>
      </c>
      <c r="AE187" s="51" t="str">
        <f t="shared" ca="1" si="55"/>
        <v/>
      </c>
      <c r="AF187" s="51" t="str">
        <f t="shared" ca="1" si="56"/>
        <v/>
      </c>
      <c r="AG187" s="51" t="str">
        <f t="shared" ca="1" si="57"/>
        <v/>
      </c>
      <c r="AH187" s="191" t="str">
        <f t="shared" ca="1" si="58"/>
        <v/>
      </c>
      <c r="AI187" s="51" t="str">
        <f t="shared" ca="1" si="59"/>
        <v/>
      </c>
      <c r="AJ187" s="51" t="str">
        <f t="shared" ca="1" si="60"/>
        <v/>
      </c>
      <c r="AK187" s="51" t="str">
        <f t="shared" ca="1" si="61"/>
        <v/>
      </c>
      <c r="AL187" s="51" t="str">
        <f t="shared" ca="1" si="62"/>
        <v/>
      </c>
      <c r="AM187" s="51" t="str">
        <f t="shared" ca="1" si="63"/>
        <v/>
      </c>
      <c r="AN187" s="51" t="str">
        <f t="shared" ca="1" si="64"/>
        <v/>
      </c>
      <c r="AO187" s="51" t="str">
        <f t="shared" ca="1" si="65"/>
        <v/>
      </c>
      <c r="AP187" s="51" t="str">
        <f t="shared" ca="1" si="66"/>
        <v/>
      </c>
      <c r="AU187" s="51" t="str">
        <f t="shared" ca="1" si="67"/>
        <v/>
      </c>
    </row>
    <row r="188" spans="1:47" ht="22.2" customHeight="1">
      <c r="A188" s="184">
        <f t="shared" si="74"/>
        <v>101</v>
      </c>
      <c r="B188" s="183" t="str">
        <f t="shared" ca="1" si="72"/>
        <v/>
      </c>
      <c r="C188" s="183" t="str">
        <f>IF(OR(クライアント抽出!D48&lt;&gt;"",クライアント抽出!G48&lt;&gt;""),クライアント抽出!A48,"")</f>
        <v/>
      </c>
      <c r="D188" s="183" t="str">
        <f t="array" aca="1" ref="D188" ca="1">IF(C188&lt;&gt;"",INDIRECT("クライアント抽出!"&amp;E188&amp;MATCH(C188,クライアント抽出!A:A,0)&amp;""),"")</f>
        <v/>
      </c>
      <c r="E188" s="183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86" t="str">
        <f ca="1">IF(D188&lt;&gt;"",
IF(COUNTIF(C188,"*雙葉*"),
IF(ROUND((H188-M188)
/IF(COUNTIF(D188,"*キャラ*"),
VLOOKUP("*キャラ*",商品マスタ一覧!$D:$E,2,FALSE),
IF(COUNTIF(D188,"*赤*"),
VLOOKUP("*赤*",商品マスタ一覧!$D:$E,2,FALSE),
VLOOKUP("*"&amp;D188&amp;"*",商品マスタ一覧!$D:$E,2,FALSE))),0)&lt;=0,1,
ROUND((H188-M188)
/IF(COUNTIF(D188,"*キャラ*"),
VLOOKUP("*キャラ*",商品マスタ一覧!$D:$E,2,FALSE),
IF(COUNTIF(D188,"*赤*"),
VLOOKUP("*赤*",商品マスタ一覧!$D:$E,2,FALSE),
VLOOKUP("*"&amp;D188&amp;"*",商品マスタ一覧!$D:$E,2,FALSE))),0)),
IF(OR(COUNTIF(D188,"*キャラ*"),COUNTIF(D188,"*赤*")),"",
IF(VLOOKUP("*"&amp;D188&amp;"*",商品マスタ一覧!$D:$E,2,FALSE)=0,"",
IF(ROUND((H188-M188)
/VLOOKUP("*"&amp;D188&amp;"*",商品マスタ一覧!$D:$E,2,FALSE),0)&lt;=0,1,
ROUND((H188-M188)
/VLOOKUP("*"&amp;D188&amp;"*",商品マスタ一覧!$D:$E,2,FALSE),0))))),"")</f>
        <v/>
      </c>
      <c r="G188" s="183" t="str">
        <f ca="1">IF(F188&lt;&gt;"",
IF(VALUE(H188-M188)&gt;VALUE(IF(COUNTIF(D188,"*キャラ*"),
VLOOKUP("*キャラ*",商品マスタ一覧!$D:$E,2,FALSE),
IF(COUNTIF(D188,"*赤*"),
VLOOKUP("*赤*",商品マスタ一覧!$D:$E,2,FALSE),
VLOOKUP("*"&amp;D188&amp;"*",商品マスタ一覧!$D:$E,2,FALSE)))*F188),
"+"&amp;(H188-M188)-IF(COUNTIF(D188,"*キャラ*"),
VLOOKUP("*キャラ*",商品マスタ一覧!$D:$E,2,FALSE),
IF(COUNTIF(D188,"*赤*"),
VLOOKUP("*赤*",商品マスタ一覧!$D:$E,2,FALSE),
VLOOKUP("*"&amp;D188&amp;"*",商品マスタ一覧!$D:$E,2,FALSE)))*F188,
(H188-M188)-IF(COUNTIF(D188,"*キャラ*"),
VLOOKUP("*キャラ*",商品マスタ一覧!$D:$E,2,FALSE),
IF(COUNTIF(D188,"*赤*"),
VLOOKUP("*赤*",商品マスタ一覧!$D:$E,2,FALSE),
VLOOKUP("*"&amp;D188&amp;"*",商品マスタ一覧!$D:$E,2,FALSE)))*F188),"")</f>
        <v/>
      </c>
      <c r="H188" s="185" t="str">
        <f>IF(C188&lt;&gt;"",
クライアント抽出!D48,"")</f>
        <v/>
      </c>
      <c r="I188" s="183" t="str">
        <f>IF(C188&lt;&gt;"",
IF(O188=1,0,クライアント抽出!F48),"")</f>
        <v/>
      </c>
      <c r="J188" s="183" t="str">
        <f>IF(C188&lt;&gt;"",
VLOOKUP(
"*"&amp;LEFT(IF(COUNTIF(D188,"*学食*"),"キャラ弁（学食）",
IF(COUNTIF(D188,"*赤*"),"赤",
IF(COUNTIF(D188,"*キャラ弁当*"),"キャラ弁当",D188))),4)&amp;"*",注文弁当の抽出!$E$1:$F$15,2,FALSE),"")</f>
        <v/>
      </c>
      <c r="K188" s="183" t="str">
        <f ca="1">IF(クライアント抽出!R48&lt;&gt;"",SUBSTITUTE(ADDRESS(1,(CODE(クライアント抽出!R48)-64)*2-1,4),"1",""),"")</f>
        <v/>
      </c>
      <c r="L188" s="183" t="str">
        <f>IF(C48&lt;&gt;"",クライアント抽出!I48,"")</f>
        <v/>
      </c>
      <c r="M188" s="183">
        <f t="array" aca="1" ref="M188" ca="1">IF(C188&lt;&gt;"",
IF(K188&lt;&gt;"",INDIRECT("'数出表_Excel（アレルギー入力）'!"&amp;K188&amp;L188-1&amp;""),),)</f>
        <v>0</v>
      </c>
      <c r="N188" s="183" t="str">
        <f>IF(C188&lt;&gt;"",IF(OR(COUNTIF('盛付札（関数）'!D188,"*赤*"),COUNTIF('盛付札（関数）'!D188,"*キャラ*")),1,
VLOOKUP("*"&amp;D188&amp;"*",商品マスタ一覧!D:H,5,FALSE)),"")</f>
        <v/>
      </c>
      <c r="O188" s="183">
        <f t="shared" ca="1" si="73"/>
        <v>0</v>
      </c>
      <c r="P188" s="183">
        <f t="shared" si="49"/>
        <v>0</v>
      </c>
      <c r="Q188" s="183" t="b">
        <f t="shared" si="50"/>
        <v>0</v>
      </c>
      <c r="R188" s="51" t="str">
        <f t="array" aca="1" ref="R188" ca="1">IFERROR(SMALL(IF(P$1:P$307&lt;&gt;0,P$1:P$307),ROW(A188)),"")</f>
        <v/>
      </c>
      <c r="S188" s="51" t="str">
        <f t="array" aca="1" ref="S188" ca="1">IF($R188&lt;&gt;"",
SUBSTITUTE(SUBSTITUTE(INDIRECT("C"&amp;$R188&amp;"")," 週3ｺｰｽ","")," 週5ｺｰｽ",""),"")</f>
        <v/>
      </c>
      <c r="T188" s="51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91" t="str">
        <f t="array" aca="1" ref="U188" ca="1">IF($R188&lt;&gt;"",
INDIRECT("F"&amp;$R188&amp;""),"")</f>
        <v/>
      </c>
      <c r="V188" s="51" t="str">
        <f t="array" aca="1" ref="V188" ca="1">IF($R188&lt;&gt;"",
INDIRECT("G"&amp;$R188&amp;""),"")</f>
        <v/>
      </c>
      <c r="W188" s="51" t="str">
        <f t="array" aca="1" ref="W188" ca="1">IF($R188&lt;&gt;"",
IF(AND(COUNTIF(INDIRECT("B"&amp;R188&amp;""),"*雙葉*"),COUNTIF(B:B,"*雙葉*")&gt;=2),
IF(OR(COUNTIF(INDIRECT("B"&amp;R188&amp;""),"*雙葉先生*"),COUNTIF($B$1:$B$70,"*雙葉*")&gt;=2),INDIRECT("H"&amp;R188&amp;""),INDIRECT("H"&amp;R188&amp;"")+INDIRECT("H"&amp;MATCH("雙葉'",INDIRECT("B"&amp;R188+3&amp;":B210"),0)+2+R188&amp;"")),
IF(AND(LEFT(INDIRECT("B"&amp;R188&amp;""),2)="博多",COUNTIF(B:B,"*博多*")&gt;=2),
INDIRECT("H"&amp;R188&amp;"")+INDIRECT("H"&amp;MATCH("*"&amp;INDIRECT("B"&amp;R188&amp;"")&amp;"*",INDIRECT("B"&amp;R188+1&amp;":B210"),0)+R188&amp;""),
IF(AND(LEFT(INDIRECT("B"&amp;R188&amp;""),3)="奈良屋",COUNTIF(B:B,"*奈良屋*")&gt;=2),
INDIRECT("H"&amp;R188&amp;"")+INDIRECT("H"&amp;MATCH("*"&amp;INDIRECT("B"&amp;R188&amp;"")&amp;"*",INDIRECT("B"&amp;R188+1&amp;":B210"),0)+R188&amp;"")
+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INDIRECT("H"&amp;R188&amp;"")))),"")</f>
        <v/>
      </c>
      <c r="X188" s="51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51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51" t="str">
        <f t="shared" ca="1" si="51"/>
        <v/>
      </c>
      <c r="AA188" s="51" t="str">
        <f t="shared" ca="1" si="52"/>
        <v/>
      </c>
      <c r="AB188" s="51" t="str">
        <f t="array" aca="1" ref="AB188" ca="1">IF($R188&lt;&gt;"",
IF(AND(COUNTIF(INDIRECT("B"&amp;R188&amp;""),"*雙葉*"),COUNTIF(B:B,"*雙葉*")&gt;=2),
INDIRECT("M"&amp;R188&amp;"")+INDIRECT("M"&amp;MATCH("雙葉'",INDIRECT("B"&amp;R188+1&amp;":B210"),0)+R188&amp;""),
IF(AND(LEFT(INDIRECT("B"&amp;R188&amp;""),2)="博多",COUNTIF(B:B,"*博多*")&gt;=2),
INDIRECT("M"&amp;R188&amp;"")+INDIRECT("M"&amp;MATCH("*"&amp;INDIRECT("B"&amp;R188&amp;"")&amp;"*",INDIRECT("B"&amp;R188+1&amp;":B210"),0)+R188&amp;""),
IF(AND(LEFT(INDIRECT("B"&amp;R188&amp;""),3)="奈良屋",COUNTIF(B:B,"*奈良屋*")&gt;=2),
INDIRECT("M"&amp;R188&amp;"")+INDIRECT("M"&amp;MATCH("*"&amp;INDIRECT("B"&amp;R188&amp;"")&amp;"*",INDIRECT("B"&amp;R188+1&amp;":B210"),0)+R188&amp;"")
+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INDIRECT("M"&amp;R188&amp;"")))),"")</f>
        <v/>
      </c>
      <c r="AC188" s="51" t="str">
        <f t="shared" ca="1" si="53"/>
        <v/>
      </c>
      <c r="AD188" s="51" t="str">
        <f t="shared" ca="1" si="54"/>
        <v/>
      </c>
      <c r="AE188" s="51" t="str">
        <f t="shared" ca="1" si="55"/>
        <v/>
      </c>
      <c r="AF188" s="51" t="str">
        <f t="shared" ca="1" si="56"/>
        <v/>
      </c>
      <c r="AG188" s="51" t="str">
        <f t="shared" ca="1" si="57"/>
        <v/>
      </c>
      <c r="AH188" s="191" t="str">
        <f t="shared" ca="1" si="58"/>
        <v/>
      </c>
      <c r="AI188" s="51" t="str">
        <f t="shared" ca="1" si="59"/>
        <v/>
      </c>
      <c r="AJ188" s="51" t="str">
        <f t="shared" ca="1" si="60"/>
        <v/>
      </c>
      <c r="AK188" s="51" t="str">
        <f t="shared" ca="1" si="61"/>
        <v/>
      </c>
      <c r="AL188" s="51" t="str">
        <f t="shared" ca="1" si="62"/>
        <v/>
      </c>
      <c r="AM188" s="51" t="str">
        <f t="shared" ca="1" si="63"/>
        <v/>
      </c>
      <c r="AN188" s="51" t="str">
        <f t="shared" ca="1" si="64"/>
        <v/>
      </c>
      <c r="AO188" s="51" t="str">
        <f t="shared" ca="1" si="65"/>
        <v/>
      </c>
      <c r="AP188" s="51" t="str">
        <f t="shared" ca="1" si="66"/>
        <v/>
      </c>
      <c r="AU188" s="51" t="str">
        <f t="shared" ca="1" si="67"/>
        <v/>
      </c>
    </row>
    <row r="189" spans="1:47" ht="22.2" customHeight="1">
      <c r="A189" s="184">
        <f t="shared" si="74"/>
        <v>103</v>
      </c>
      <c r="B189" s="183" t="str">
        <f t="shared" ca="1" si="72"/>
        <v/>
      </c>
      <c r="C189" s="183" t="str">
        <f>IF(OR(クライアント抽出!D49&lt;&gt;"",クライアント抽出!G49&lt;&gt;""),クライアント抽出!A49,"")</f>
        <v/>
      </c>
      <c r="D189" s="183" t="str">
        <f t="array" aca="1" ref="D189" ca="1">IF(C189&lt;&gt;"",INDIRECT("クライアント抽出!"&amp;E189&amp;MATCH(C189,クライアント抽出!A:A,0)&amp;""),"")</f>
        <v/>
      </c>
      <c r="E189" s="183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86" t="str">
        <f ca="1">IF(D189&lt;&gt;"",
IF(COUNTIF(C189,"*雙葉*"),
IF(ROUND((H189-M189)
/IF(COUNTIF(D189,"*キャラ*"),
VLOOKUP("*キャラ*",商品マスタ一覧!$D:$E,2,FALSE),
IF(COUNTIF(D189,"*赤*"),
VLOOKUP("*赤*",商品マスタ一覧!$D:$E,2,FALSE),
VLOOKUP("*"&amp;D189&amp;"*",商品マスタ一覧!$D:$E,2,FALSE))),0)&lt;=0,1,
ROUND((H189-M189)
/IF(COUNTIF(D189,"*キャラ*"),
VLOOKUP("*キャラ*",商品マスタ一覧!$D:$E,2,FALSE),
IF(COUNTIF(D189,"*赤*"),
VLOOKUP("*赤*",商品マスタ一覧!$D:$E,2,FALSE),
VLOOKUP("*"&amp;D189&amp;"*",商品マスタ一覧!$D:$E,2,FALSE))),0)),
IF(OR(COUNTIF(D189,"*キャラ*"),COUNTIF(D189,"*赤*")),"",
IF(VLOOKUP("*"&amp;D189&amp;"*",商品マスタ一覧!$D:$E,2,FALSE)=0,"",
IF(ROUND((H189-M189)
/VLOOKUP("*"&amp;D189&amp;"*",商品マスタ一覧!$D:$E,2,FALSE),0)&lt;=0,1,
ROUND((H189-M189)
/VLOOKUP("*"&amp;D189&amp;"*",商品マスタ一覧!$D:$E,2,FALSE),0))))),"")</f>
        <v/>
      </c>
      <c r="G189" s="183" t="str">
        <f ca="1">IF(F189&lt;&gt;"",
IF(VALUE(H189-M189)&gt;VALUE(IF(COUNTIF(D189,"*キャラ*"),
VLOOKUP("*キャラ*",商品マスタ一覧!$D:$E,2,FALSE),
IF(COUNTIF(D189,"*赤*"),
VLOOKUP("*赤*",商品マスタ一覧!$D:$E,2,FALSE),
VLOOKUP("*"&amp;D189&amp;"*",商品マスタ一覧!$D:$E,2,FALSE)))*F189),
"+"&amp;(H189-M189)-IF(COUNTIF(D189,"*キャラ*"),
VLOOKUP("*キャラ*",商品マスタ一覧!$D:$E,2,FALSE),
IF(COUNTIF(D189,"*赤*"),
VLOOKUP("*赤*",商品マスタ一覧!$D:$E,2,FALSE),
VLOOKUP("*"&amp;D189&amp;"*",商品マスタ一覧!$D:$E,2,FALSE)))*F189,
(H189-M189)-IF(COUNTIF(D189,"*キャラ*"),
VLOOKUP("*キャラ*",商品マスタ一覧!$D:$E,2,FALSE),
IF(COUNTIF(D189,"*赤*"),
VLOOKUP("*赤*",商品マスタ一覧!$D:$E,2,FALSE),
VLOOKUP("*"&amp;D189&amp;"*",商品マスタ一覧!$D:$E,2,FALSE)))*F189),"")</f>
        <v/>
      </c>
      <c r="H189" s="185" t="str">
        <f>IF(C189&lt;&gt;"",
クライアント抽出!D49,"")</f>
        <v/>
      </c>
      <c r="I189" s="183" t="str">
        <f>IF(C189&lt;&gt;"",
IF(O189=1,0,クライアント抽出!F49),"")</f>
        <v/>
      </c>
      <c r="J189" s="183" t="str">
        <f>IF(C189&lt;&gt;"",
VLOOKUP(
"*"&amp;LEFT(IF(COUNTIF(D189,"*学食*"),"キャラ弁（学食）",
IF(COUNTIF(D189,"*赤*"),"赤",
IF(COUNTIF(D189,"*キャラ弁当*"),"キャラ弁当",D189))),4)&amp;"*",注文弁当の抽出!$E$1:$F$15,2,FALSE),"")</f>
        <v/>
      </c>
      <c r="K189" s="183" t="str">
        <f ca="1">IF(クライアント抽出!R49&lt;&gt;"",SUBSTITUTE(ADDRESS(1,(CODE(クライアント抽出!R49)-64)*2-1,4),"1",""),"")</f>
        <v/>
      </c>
      <c r="L189" s="183" t="str">
        <f>IF(C49&lt;&gt;"",クライアント抽出!I49,"")</f>
        <v/>
      </c>
      <c r="M189" s="183">
        <f t="array" aca="1" ref="M189" ca="1">IF(C189&lt;&gt;"",
IF(K189&lt;&gt;"",INDIRECT("'数出表_Excel（アレルギー入力）'!"&amp;K189&amp;L189-1&amp;""),),)</f>
        <v>0</v>
      </c>
      <c r="N189" s="183" t="str">
        <f>IF(C189&lt;&gt;"",IF(OR(COUNTIF('盛付札（関数）'!D189,"*赤*"),COUNTIF('盛付札（関数）'!D189,"*キャラ*")),1,
VLOOKUP("*"&amp;D189&amp;"*",商品マスタ一覧!D:H,5,FALSE)),"")</f>
        <v/>
      </c>
      <c r="O189" s="183">
        <f t="shared" ca="1" si="73"/>
        <v>0</v>
      </c>
      <c r="P189" s="183">
        <f t="shared" si="49"/>
        <v>0</v>
      </c>
      <c r="Q189" s="183" t="b">
        <f t="shared" si="50"/>
        <v>0</v>
      </c>
      <c r="R189" s="51" t="str">
        <f t="array" aca="1" ref="R189" ca="1">IFERROR(SMALL(IF(P$1:P$307&lt;&gt;0,P$1:P$307),ROW(A189)),"")</f>
        <v/>
      </c>
      <c r="S189" s="51" t="str">
        <f t="array" aca="1" ref="S189" ca="1">IF($R189&lt;&gt;"",
SUBSTITUTE(SUBSTITUTE(INDIRECT("C"&amp;$R189&amp;"")," 週3ｺｰｽ","")," 週5ｺｰｽ",""),"")</f>
        <v/>
      </c>
      <c r="T189" s="51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91" t="str">
        <f t="array" aca="1" ref="U189" ca="1">IF($R189&lt;&gt;"",
INDIRECT("F"&amp;$R189&amp;""),"")</f>
        <v/>
      </c>
      <c r="V189" s="51" t="str">
        <f t="array" aca="1" ref="V189" ca="1">IF($R189&lt;&gt;"",
INDIRECT("G"&amp;$R189&amp;""),"")</f>
        <v/>
      </c>
      <c r="W189" s="51" t="str">
        <f t="array" aca="1" ref="W189" ca="1">IF($R189&lt;&gt;"",
IF(AND(COUNTIF(INDIRECT("B"&amp;R189&amp;""),"*雙葉*"),COUNTIF(B:B,"*雙葉*")&gt;=2),
IF(OR(COUNTIF(INDIRECT("B"&amp;R189&amp;""),"*雙葉先生*"),COUNTIF($B$1:$B$70,"*雙葉*")&gt;=2),INDIRECT("H"&amp;R189&amp;""),INDIRECT("H"&amp;R189&amp;"")+INDIRECT("H"&amp;MATCH("雙葉'",INDIRECT("B"&amp;R189+3&amp;":B210"),0)+2+R189&amp;"")),
IF(AND(LEFT(INDIRECT("B"&amp;R189&amp;""),2)="博多",COUNTIF(B:B,"*博多*")&gt;=2),
INDIRECT("H"&amp;R189&amp;"")+INDIRECT("H"&amp;MATCH("*"&amp;INDIRECT("B"&amp;R189&amp;"")&amp;"*",INDIRECT("B"&amp;R189+1&amp;":B210"),0)+R189&amp;""),
IF(AND(LEFT(INDIRECT("B"&amp;R189&amp;""),3)="奈良屋",COUNTIF(B:B,"*奈良屋*")&gt;=2),
INDIRECT("H"&amp;R189&amp;"")+INDIRECT("H"&amp;MATCH("*"&amp;INDIRECT("B"&amp;R189&amp;"")&amp;"*",INDIRECT("B"&amp;R189+1&amp;":B210"),0)+R189&amp;"")
+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INDIRECT("H"&amp;R189&amp;"")))),"")</f>
        <v/>
      </c>
      <c r="X189" s="51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51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51" t="str">
        <f t="shared" ca="1" si="51"/>
        <v/>
      </c>
      <c r="AA189" s="51" t="str">
        <f t="shared" ca="1" si="52"/>
        <v/>
      </c>
      <c r="AB189" s="51" t="str">
        <f t="array" aca="1" ref="AB189" ca="1">IF($R189&lt;&gt;"",
IF(AND(COUNTIF(INDIRECT("B"&amp;R189&amp;""),"*雙葉*"),COUNTIF(B:B,"*雙葉*")&gt;=2),
INDIRECT("M"&amp;R189&amp;"")+INDIRECT("M"&amp;MATCH("雙葉'",INDIRECT("B"&amp;R189+1&amp;":B210"),0)+R189&amp;""),
IF(AND(LEFT(INDIRECT("B"&amp;R189&amp;""),2)="博多",COUNTIF(B:B,"*博多*")&gt;=2),
INDIRECT("M"&amp;R189&amp;"")+INDIRECT("M"&amp;MATCH("*"&amp;INDIRECT("B"&amp;R189&amp;"")&amp;"*",INDIRECT("B"&amp;R189+1&amp;":B210"),0)+R189&amp;""),
IF(AND(LEFT(INDIRECT("B"&amp;R189&amp;""),3)="奈良屋",COUNTIF(B:B,"*奈良屋*")&gt;=2),
INDIRECT("M"&amp;R189&amp;"")+INDIRECT("M"&amp;MATCH("*"&amp;INDIRECT("B"&amp;R189&amp;"")&amp;"*",INDIRECT("B"&amp;R189+1&amp;":B210"),0)+R189&amp;"")
+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INDIRECT("M"&amp;R189&amp;"")))),"")</f>
        <v/>
      </c>
      <c r="AC189" s="51" t="str">
        <f t="shared" ca="1" si="53"/>
        <v/>
      </c>
      <c r="AD189" s="51" t="str">
        <f t="shared" ca="1" si="54"/>
        <v/>
      </c>
      <c r="AE189" s="51" t="str">
        <f t="shared" ca="1" si="55"/>
        <v/>
      </c>
      <c r="AF189" s="51" t="str">
        <f t="shared" ca="1" si="56"/>
        <v/>
      </c>
      <c r="AG189" s="51" t="str">
        <f t="shared" ca="1" si="57"/>
        <v/>
      </c>
      <c r="AH189" s="191" t="str">
        <f t="shared" ca="1" si="58"/>
        <v/>
      </c>
      <c r="AI189" s="51" t="str">
        <f t="shared" ca="1" si="59"/>
        <v/>
      </c>
      <c r="AJ189" s="51" t="str">
        <f t="shared" ca="1" si="60"/>
        <v/>
      </c>
      <c r="AK189" s="51" t="str">
        <f t="shared" ca="1" si="61"/>
        <v/>
      </c>
      <c r="AL189" s="51" t="str">
        <f t="shared" ca="1" si="62"/>
        <v/>
      </c>
      <c r="AM189" s="51" t="str">
        <f t="shared" ca="1" si="63"/>
        <v/>
      </c>
      <c r="AN189" s="51" t="str">
        <f t="shared" ca="1" si="64"/>
        <v/>
      </c>
      <c r="AO189" s="51" t="str">
        <f t="shared" ca="1" si="65"/>
        <v/>
      </c>
      <c r="AP189" s="51" t="str">
        <f t="shared" ca="1" si="66"/>
        <v/>
      </c>
      <c r="AU189" s="51" t="str">
        <f t="shared" ca="1" si="67"/>
        <v/>
      </c>
    </row>
    <row r="190" spans="1:47" ht="22.2" customHeight="1">
      <c r="A190" s="184">
        <f t="shared" si="74"/>
        <v>105</v>
      </c>
      <c r="B190" s="183" t="str">
        <f t="shared" ca="1" si="72"/>
        <v/>
      </c>
      <c r="C190" s="183" t="str">
        <f>IF(OR(クライアント抽出!D50&lt;&gt;"",クライアント抽出!G50&lt;&gt;""),クライアント抽出!A50,"")</f>
        <v/>
      </c>
      <c r="D190" s="183" t="str">
        <f t="array" aca="1" ref="D190" ca="1">IF(C190&lt;&gt;"",INDIRECT("クライアント抽出!"&amp;E190&amp;MATCH(C190,クライアント抽出!A:A,0)&amp;""),"")</f>
        <v/>
      </c>
      <c r="E190" s="183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86" t="str">
        <f ca="1">IF(D190&lt;&gt;"",
IF(COUNTIF(C190,"*雙葉*"),
IF(ROUND((H190-M190)
/IF(COUNTIF(D190,"*キャラ*"),
VLOOKUP("*キャラ*",商品マスタ一覧!$D:$E,2,FALSE),
IF(COUNTIF(D190,"*赤*"),
VLOOKUP("*赤*",商品マスタ一覧!$D:$E,2,FALSE),
VLOOKUP("*"&amp;D190&amp;"*",商品マスタ一覧!$D:$E,2,FALSE))),0)&lt;=0,1,
ROUND((H190-M190)
/IF(COUNTIF(D190,"*キャラ*"),
VLOOKUP("*キャラ*",商品マスタ一覧!$D:$E,2,FALSE),
IF(COUNTIF(D190,"*赤*"),
VLOOKUP("*赤*",商品マスタ一覧!$D:$E,2,FALSE),
VLOOKUP("*"&amp;D190&amp;"*",商品マスタ一覧!$D:$E,2,FALSE))),0)),
IF(OR(COUNTIF(D190,"*キャラ*"),COUNTIF(D190,"*赤*")),"",
IF(VLOOKUP("*"&amp;D190&amp;"*",商品マスタ一覧!$D:$E,2,FALSE)=0,"",
IF(ROUND((H190-M190)
/VLOOKUP("*"&amp;D190&amp;"*",商品マスタ一覧!$D:$E,2,FALSE),0)&lt;=0,1,
ROUND((H190-M190)
/VLOOKUP("*"&amp;D190&amp;"*",商品マスタ一覧!$D:$E,2,FALSE),0))))),"")</f>
        <v/>
      </c>
      <c r="G190" s="183" t="str">
        <f ca="1">IF(F190&lt;&gt;"",
IF(VALUE(H190-M190)&gt;VALUE(IF(COUNTIF(D190,"*キャラ*"),
VLOOKUP("*キャラ*",商品マスタ一覧!$D:$E,2,FALSE),
IF(COUNTIF(D190,"*赤*"),
VLOOKUP("*赤*",商品マスタ一覧!$D:$E,2,FALSE),
VLOOKUP("*"&amp;D190&amp;"*",商品マスタ一覧!$D:$E,2,FALSE)))*F190),
"+"&amp;(H190-M190)-IF(COUNTIF(D190,"*キャラ*"),
VLOOKUP("*キャラ*",商品マスタ一覧!$D:$E,2,FALSE),
IF(COUNTIF(D190,"*赤*"),
VLOOKUP("*赤*",商品マスタ一覧!$D:$E,2,FALSE),
VLOOKUP("*"&amp;D190&amp;"*",商品マスタ一覧!$D:$E,2,FALSE)))*F190,
(H190-M190)-IF(COUNTIF(D190,"*キャラ*"),
VLOOKUP("*キャラ*",商品マスタ一覧!$D:$E,2,FALSE),
IF(COUNTIF(D190,"*赤*"),
VLOOKUP("*赤*",商品マスタ一覧!$D:$E,2,FALSE),
VLOOKUP("*"&amp;D190&amp;"*",商品マスタ一覧!$D:$E,2,FALSE)))*F190),"")</f>
        <v/>
      </c>
      <c r="H190" s="185" t="str">
        <f>IF(C190&lt;&gt;"",
クライアント抽出!D50,"")</f>
        <v/>
      </c>
      <c r="I190" s="183" t="str">
        <f>IF(C190&lt;&gt;"",
IF(O190=1,0,クライアント抽出!F50),"")</f>
        <v/>
      </c>
      <c r="J190" s="183" t="str">
        <f>IF(C190&lt;&gt;"",
VLOOKUP(
"*"&amp;LEFT(IF(COUNTIF(D190,"*学食*"),"キャラ弁（学食）",
IF(COUNTIF(D190,"*赤*"),"赤",
IF(COUNTIF(D190,"*キャラ弁当*"),"キャラ弁当",D190))),4)&amp;"*",注文弁当の抽出!$E$1:$F$15,2,FALSE),"")</f>
        <v/>
      </c>
      <c r="K190" s="183" t="str">
        <f ca="1">IF(クライアント抽出!R50&lt;&gt;"",SUBSTITUTE(ADDRESS(1,(CODE(クライアント抽出!R50)-64)*2-1,4),"1",""),"")</f>
        <v/>
      </c>
      <c r="L190" s="183" t="str">
        <f>IF(C50&lt;&gt;"",クライアント抽出!I50,"")</f>
        <v/>
      </c>
      <c r="M190" s="183">
        <f t="array" aca="1" ref="M190" ca="1">IF(C190&lt;&gt;"",
IF(K190&lt;&gt;"",INDIRECT("'数出表_Excel（アレルギー入力）'!"&amp;K190&amp;L190-1&amp;""),),)</f>
        <v>0</v>
      </c>
      <c r="N190" s="183" t="str">
        <f>IF(C190&lt;&gt;"",IF(OR(COUNTIF('盛付札（関数）'!D190,"*赤*"),COUNTIF('盛付札（関数）'!D190,"*キャラ*")),1,
VLOOKUP("*"&amp;D190&amp;"*",商品マスタ一覧!D:H,5,FALSE)),"")</f>
        <v/>
      </c>
      <c r="O190" s="183">
        <f t="shared" ca="1" si="73"/>
        <v>0</v>
      </c>
      <c r="P190" s="183">
        <f t="shared" si="49"/>
        <v>0</v>
      </c>
      <c r="Q190" s="183" t="b">
        <f t="shared" si="50"/>
        <v>0</v>
      </c>
      <c r="R190" s="51" t="str">
        <f t="array" aca="1" ref="R190" ca="1">IFERROR(SMALL(IF(P$1:P$307&lt;&gt;0,P$1:P$307),ROW(A190)),"")</f>
        <v/>
      </c>
      <c r="S190" s="51" t="str">
        <f t="array" aca="1" ref="S190" ca="1">IF($R190&lt;&gt;"",
SUBSTITUTE(SUBSTITUTE(INDIRECT("C"&amp;$R190&amp;"")," 週3ｺｰｽ","")," 週5ｺｰｽ",""),"")</f>
        <v/>
      </c>
      <c r="T190" s="51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91" t="str">
        <f t="array" aca="1" ref="U190" ca="1">IF($R190&lt;&gt;"",
INDIRECT("F"&amp;$R190&amp;""),"")</f>
        <v/>
      </c>
      <c r="V190" s="51" t="str">
        <f t="array" aca="1" ref="V190" ca="1">IF($R190&lt;&gt;"",
INDIRECT("G"&amp;$R190&amp;""),"")</f>
        <v/>
      </c>
      <c r="W190" s="51" t="str">
        <f t="array" aca="1" ref="W190" ca="1">IF($R190&lt;&gt;"",
IF(AND(COUNTIF(INDIRECT("B"&amp;R190&amp;""),"*雙葉*"),COUNTIF(B:B,"*雙葉*")&gt;=2),
IF(OR(COUNTIF(INDIRECT("B"&amp;R190&amp;""),"*雙葉先生*"),COUNTIF($B$1:$B$70,"*雙葉*")&gt;=2),INDIRECT("H"&amp;R190&amp;""),INDIRECT("H"&amp;R190&amp;"")+INDIRECT("H"&amp;MATCH("雙葉'",INDIRECT("B"&amp;R190+3&amp;":B210"),0)+2+R190&amp;"")),
IF(AND(LEFT(INDIRECT("B"&amp;R190&amp;""),2)="博多",COUNTIF(B:B,"*博多*")&gt;=2),
INDIRECT("H"&amp;R190&amp;"")+INDIRECT("H"&amp;MATCH("*"&amp;INDIRECT("B"&amp;R190&amp;"")&amp;"*",INDIRECT("B"&amp;R190+1&amp;":B210"),0)+R190&amp;""),
IF(AND(LEFT(INDIRECT("B"&amp;R190&amp;""),3)="奈良屋",COUNTIF(B:B,"*奈良屋*")&gt;=2),
INDIRECT("H"&amp;R190&amp;"")+INDIRECT("H"&amp;MATCH("*"&amp;INDIRECT("B"&amp;R190&amp;"")&amp;"*",INDIRECT("B"&amp;R190+1&amp;":B210"),0)+R190&amp;"")
+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INDIRECT("H"&amp;R190&amp;"")))),"")</f>
        <v/>
      </c>
      <c r="X190" s="51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51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51" t="str">
        <f t="shared" ca="1" si="51"/>
        <v/>
      </c>
      <c r="AA190" s="51" t="str">
        <f t="shared" ca="1" si="52"/>
        <v/>
      </c>
      <c r="AB190" s="51" t="str">
        <f t="array" aca="1" ref="AB190" ca="1">IF($R190&lt;&gt;"",
IF(AND(COUNTIF(INDIRECT("B"&amp;R190&amp;""),"*雙葉*"),COUNTIF(B:B,"*雙葉*")&gt;=2),
INDIRECT("M"&amp;R190&amp;"")+INDIRECT("M"&amp;MATCH("雙葉'",INDIRECT("B"&amp;R190+1&amp;":B210"),0)+R190&amp;""),
IF(AND(LEFT(INDIRECT("B"&amp;R190&amp;""),2)="博多",COUNTIF(B:B,"*博多*")&gt;=2),
INDIRECT("M"&amp;R190&amp;"")+INDIRECT("M"&amp;MATCH("*"&amp;INDIRECT("B"&amp;R190&amp;"")&amp;"*",INDIRECT("B"&amp;R190+1&amp;":B210"),0)+R190&amp;""),
IF(AND(LEFT(INDIRECT("B"&amp;R190&amp;""),3)="奈良屋",COUNTIF(B:B,"*奈良屋*")&gt;=2),
INDIRECT("M"&amp;R190&amp;"")+INDIRECT("M"&amp;MATCH("*"&amp;INDIRECT("B"&amp;R190&amp;"")&amp;"*",INDIRECT("B"&amp;R190+1&amp;":B210"),0)+R190&amp;"")
+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INDIRECT("M"&amp;R190&amp;"")))),"")</f>
        <v/>
      </c>
      <c r="AC190" s="51" t="str">
        <f t="shared" ca="1" si="53"/>
        <v/>
      </c>
      <c r="AD190" s="51" t="str">
        <f t="shared" ca="1" si="54"/>
        <v/>
      </c>
      <c r="AE190" s="51" t="str">
        <f t="shared" ca="1" si="55"/>
        <v/>
      </c>
      <c r="AF190" s="51" t="str">
        <f t="shared" ca="1" si="56"/>
        <v/>
      </c>
      <c r="AG190" s="51" t="str">
        <f t="shared" ca="1" si="57"/>
        <v/>
      </c>
      <c r="AH190" s="191" t="str">
        <f t="shared" ca="1" si="58"/>
        <v/>
      </c>
      <c r="AI190" s="51" t="str">
        <f t="shared" ca="1" si="59"/>
        <v/>
      </c>
      <c r="AJ190" s="51" t="str">
        <f t="shared" ca="1" si="60"/>
        <v/>
      </c>
      <c r="AK190" s="51" t="str">
        <f t="shared" ca="1" si="61"/>
        <v/>
      </c>
      <c r="AL190" s="51" t="str">
        <f t="shared" ca="1" si="62"/>
        <v/>
      </c>
      <c r="AM190" s="51" t="str">
        <f t="shared" ca="1" si="63"/>
        <v/>
      </c>
      <c r="AN190" s="51" t="str">
        <f t="shared" ca="1" si="64"/>
        <v/>
      </c>
      <c r="AO190" s="51" t="str">
        <f t="shared" ca="1" si="65"/>
        <v/>
      </c>
      <c r="AP190" s="51" t="str">
        <f t="shared" ca="1" si="66"/>
        <v/>
      </c>
      <c r="AU190" s="51" t="str">
        <f t="shared" ca="1" si="67"/>
        <v/>
      </c>
    </row>
    <row r="191" spans="1:47" ht="22.2" customHeight="1">
      <c r="A191" s="184">
        <f t="shared" si="74"/>
        <v>107</v>
      </c>
      <c r="B191" s="183" t="str">
        <f t="shared" ca="1" si="72"/>
        <v/>
      </c>
      <c r="C191" s="183" t="str">
        <f>IF(OR(クライアント抽出!D51&lt;&gt;"",クライアント抽出!G51&lt;&gt;""),クライアント抽出!A51,"")</f>
        <v/>
      </c>
      <c r="D191" s="183" t="str">
        <f t="array" aca="1" ref="D191" ca="1">IF(C191&lt;&gt;"",INDIRECT("クライアント抽出!"&amp;E191&amp;MATCH(C191,クライアント抽出!A:A,0)&amp;""),"")</f>
        <v/>
      </c>
      <c r="E191" s="183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86" t="str">
        <f ca="1">IF(D191&lt;&gt;"",
IF(COUNTIF(C191,"*雙葉*"),
IF(ROUND((H191-M191)
/IF(COUNTIF(D191,"*キャラ*"),
VLOOKUP("*キャラ*",商品マスタ一覧!$D:$E,2,FALSE),
IF(COUNTIF(D191,"*赤*"),
VLOOKUP("*赤*",商品マスタ一覧!$D:$E,2,FALSE),
VLOOKUP("*"&amp;D191&amp;"*",商品マスタ一覧!$D:$E,2,FALSE))),0)&lt;=0,1,
ROUND((H191-M191)
/IF(COUNTIF(D191,"*キャラ*"),
VLOOKUP("*キャラ*",商品マスタ一覧!$D:$E,2,FALSE),
IF(COUNTIF(D191,"*赤*"),
VLOOKUP("*赤*",商品マスタ一覧!$D:$E,2,FALSE),
VLOOKUP("*"&amp;D191&amp;"*",商品マスタ一覧!$D:$E,2,FALSE))),0)),
IF(OR(COUNTIF(D191,"*キャラ*"),COUNTIF(D191,"*赤*")),"",
IF(VLOOKUP("*"&amp;D191&amp;"*",商品マスタ一覧!$D:$E,2,FALSE)=0,"",
IF(ROUND((H191-M191)
/VLOOKUP("*"&amp;D191&amp;"*",商品マスタ一覧!$D:$E,2,FALSE),0)&lt;=0,1,
ROUND((H191-M191)
/VLOOKUP("*"&amp;D191&amp;"*",商品マスタ一覧!$D:$E,2,FALSE),0))))),"")</f>
        <v/>
      </c>
      <c r="G191" s="183" t="str">
        <f ca="1">IF(F191&lt;&gt;"",
IF(VALUE(H191-M191)&gt;VALUE(IF(COUNTIF(D191,"*キャラ*"),
VLOOKUP("*キャラ*",商品マスタ一覧!$D:$E,2,FALSE),
IF(COUNTIF(D191,"*赤*"),
VLOOKUP("*赤*",商品マスタ一覧!$D:$E,2,FALSE),
VLOOKUP("*"&amp;D191&amp;"*",商品マスタ一覧!$D:$E,2,FALSE)))*F191),
"+"&amp;(H191-M191)-IF(COUNTIF(D191,"*キャラ*"),
VLOOKUP("*キャラ*",商品マスタ一覧!$D:$E,2,FALSE),
IF(COUNTIF(D191,"*赤*"),
VLOOKUP("*赤*",商品マスタ一覧!$D:$E,2,FALSE),
VLOOKUP("*"&amp;D191&amp;"*",商品マスタ一覧!$D:$E,2,FALSE)))*F191,
(H191-M191)-IF(COUNTIF(D191,"*キャラ*"),
VLOOKUP("*キャラ*",商品マスタ一覧!$D:$E,2,FALSE),
IF(COUNTIF(D191,"*赤*"),
VLOOKUP("*赤*",商品マスタ一覧!$D:$E,2,FALSE),
VLOOKUP("*"&amp;D191&amp;"*",商品マスタ一覧!$D:$E,2,FALSE)))*F191),"")</f>
        <v/>
      </c>
      <c r="H191" s="185" t="str">
        <f>IF(C191&lt;&gt;"",
クライアント抽出!D51,"")</f>
        <v/>
      </c>
      <c r="I191" s="183" t="str">
        <f>IF(C191&lt;&gt;"",
IF(O191=1,0,クライアント抽出!F51),"")</f>
        <v/>
      </c>
      <c r="J191" s="183" t="str">
        <f>IF(C191&lt;&gt;"",
VLOOKUP(
"*"&amp;LEFT(IF(COUNTIF(D191,"*学食*"),"キャラ弁（学食）",
IF(COUNTIF(D191,"*赤*"),"赤",
IF(COUNTIF(D191,"*キャラ弁当*"),"キャラ弁当",D191))),4)&amp;"*",注文弁当の抽出!$E$1:$F$15,2,FALSE),"")</f>
        <v/>
      </c>
      <c r="K191" s="183" t="str">
        <f ca="1">IF(クライアント抽出!R51&lt;&gt;"",SUBSTITUTE(ADDRESS(1,(CODE(クライアント抽出!R51)-64)*2-1,4),"1",""),"")</f>
        <v/>
      </c>
      <c r="L191" s="183" t="str">
        <f>IF(C51&lt;&gt;"",クライアント抽出!I51,"")</f>
        <v/>
      </c>
      <c r="M191" s="183">
        <f t="array" aca="1" ref="M191" ca="1">IF(C191&lt;&gt;"",
IF(K191&lt;&gt;"",INDIRECT("'数出表_Excel（アレルギー入力）'!"&amp;K191&amp;L191-1&amp;""),),)</f>
        <v>0</v>
      </c>
      <c r="N191" s="183" t="str">
        <f>IF(C191&lt;&gt;"",IF(OR(COUNTIF('盛付札（関数）'!D191,"*赤*"),COUNTIF('盛付札（関数）'!D191,"*キャラ*")),1,
VLOOKUP("*"&amp;D191&amp;"*",商品マスタ一覧!D:H,5,FALSE)),"")</f>
        <v/>
      </c>
      <c r="O191" s="183">
        <f t="shared" ca="1" si="73"/>
        <v>0</v>
      </c>
      <c r="P191" s="183">
        <f t="shared" si="49"/>
        <v>0</v>
      </c>
      <c r="Q191" s="183" t="b">
        <f t="shared" si="50"/>
        <v>0</v>
      </c>
      <c r="R191" s="51" t="str">
        <f t="array" aca="1" ref="R191" ca="1">IFERROR(SMALL(IF(P$1:P$307&lt;&gt;0,P$1:P$307),ROW(A191)),"")</f>
        <v/>
      </c>
      <c r="S191" s="51" t="str">
        <f t="array" aca="1" ref="S191" ca="1">IF($R191&lt;&gt;"",
SUBSTITUTE(SUBSTITUTE(INDIRECT("C"&amp;$R191&amp;"")," 週3ｺｰｽ","")," 週5ｺｰｽ",""),"")</f>
        <v/>
      </c>
      <c r="T191" s="51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91" t="str">
        <f t="array" aca="1" ref="U191" ca="1">IF($R191&lt;&gt;"",
INDIRECT("F"&amp;$R191&amp;""),"")</f>
        <v/>
      </c>
      <c r="V191" s="51" t="str">
        <f t="array" aca="1" ref="V191" ca="1">IF($R191&lt;&gt;"",
INDIRECT("G"&amp;$R191&amp;""),"")</f>
        <v/>
      </c>
      <c r="W191" s="51" t="str">
        <f t="array" aca="1" ref="W191" ca="1">IF($R191&lt;&gt;"",
IF(AND(COUNTIF(INDIRECT("B"&amp;R191&amp;""),"*雙葉*"),COUNTIF(B:B,"*雙葉*")&gt;=2),
IF(OR(COUNTIF(INDIRECT("B"&amp;R191&amp;""),"*雙葉先生*"),COUNTIF($B$1:$B$70,"*雙葉*")&gt;=2),INDIRECT("H"&amp;R191&amp;""),INDIRECT("H"&amp;R191&amp;"")+INDIRECT("H"&amp;MATCH("雙葉'",INDIRECT("B"&amp;R191+3&amp;":B210"),0)+2+R191&amp;"")),
IF(AND(LEFT(INDIRECT("B"&amp;R191&amp;""),2)="博多",COUNTIF(B:B,"*博多*")&gt;=2),
INDIRECT("H"&amp;R191&amp;"")+INDIRECT("H"&amp;MATCH("*"&amp;INDIRECT("B"&amp;R191&amp;"")&amp;"*",INDIRECT("B"&amp;R191+1&amp;":B210"),0)+R191&amp;""),
IF(AND(LEFT(INDIRECT("B"&amp;R191&amp;""),3)="奈良屋",COUNTIF(B:B,"*奈良屋*")&gt;=2),
INDIRECT("H"&amp;R191&amp;"")+INDIRECT("H"&amp;MATCH("*"&amp;INDIRECT("B"&amp;R191&amp;"")&amp;"*",INDIRECT("B"&amp;R191+1&amp;":B210"),0)+R191&amp;"")
+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INDIRECT("H"&amp;R191&amp;"")))),"")</f>
        <v/>
      </c>
      <c r="X191" s="51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51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51" t="str">
        <f t="shared" ca="1" si="51"/>
        <v/>
      </c>
      <c r="AA191" s="51" t="str">
        <f t="shared" ca="1" si="52"/>
        <v/>
      </c>
      <c r="AB191" s="51" t="str">
        <f t="array" aca="1" ref="AB191" ca="1">IF($R191&lt;&gt;"",
IF(AND(COUNTIF(INDIRECT("B"&amp;R191&amp;""),"*雙葉*"),COUNTIF(B:B,"*雙葉*")&gt;=2),
INDIRECT("M"&amp;R191&amp;"")+INDIRECT("M"&amp;MATCH("雙葉'",INDIRECT("B"&amp;R191+1&amp;":B210"),0)+R191&amp;""),
IF(AND(LEFT(INDIRECT("B"&amp;R191&amp;""),2)="博多",COUNTIF(B:B,"*博多*")&gt;=2),
INDIRECT("M"&amp;R191&amp;"")+INDIRECT("M"&amp;MATCH("*"&amp;INDIRECT("B"&amp;R191&amp;"")&amp;"*",INDIRECT("B"&amp;R191+1&amp;":B210"),0)+R191&amp;""),
IF(AND(LEFT(INDIRECT("B"&amp;R191&amp;""),3)="奈良屋",COUNTIF(B:B,"*奈良屋*")&gt;=2),
INDIRECT("M"&amp;R191&amp;"")+INDIRECT("M"&amp;MATCH("*"&amp;INDIRECT("B"&amp;R191&amp;"")&amp;"*",INDIRECT("B"&amp;R191+1&amp;":B210"),0)+R191&amp;"")
+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INDIRECT("M"&amp;R191&amp;"")))),"")</f>
        <v/>
      </c>
      <c r="AC191" s="51" t="str">
        <f t="shared" ca="1" si="53"/>
        <v/>
      </c>
      <c r="AD191" s="51" t="str">
        <f t="shared" ca="1" si="54"/>
        <v/>
      </c>
      <c r="AE191" s="51" t="str">
        <f t="shared" ca="1" si="55"/>
        <v/>
      </c>
      <c r="AF191" s="51" t="str">
        <f t="shared" ca="1" si="56"/>
        <v/>
      </c>
      <c r="AG191" s="51" t="str">
        <f t="shared" ca="1" si="57"/>
        <v/>
      </c>
      <c r="AH191" s="191" t="str">
        <f t="shared" ca="1" si="58"/>
        <v/>
      </c>
      <c r="AI191" s="51" t="str">
        <f t="shared" ca="1" si="59"/>
        <v/>
      </c>
      <c r="AJ191" s="51" t="str">
        <f t="shared" ca="1" si="60"/>
        <v/>
      </c>
      <c r="AK191" s="51" t="str">
        <f t="shared" ca="1" si="61"/>
        <v/>
      </c>
      <c r="AL191" s="51" t="str">
        <f t="shared" ca="1" si="62"/>
        <v/>
      </c>
      <c r="AM191" s="51" t="str">
        <f t="shared" ca="1" si="63"/>
        <v/>
      </c>
      <c r="AN191" s="51" t="str">
        <f t="shared" ca="1" si="64"/>
        <v/>
      </c>
      <c r="AO191" s="51" t="str">
        <f t="shared" ca="1" si="65"/>
        <v/>
      </c>
      <c r="AP191" s="51" t="str">
        <f t="shared" ca="1" si="66"/>
        <v/>
      </c>
      <c r="AU191" s="51" t="str">
        <f t="shared" ca="1" si="67"/>
        <v/>
      </c>
    </row>
    <row r="192" spans="1:47" ht="22.2" customHeight="1">
      <c r="A192" s="184">
        <f t="shared" si="74"/>
        <v>109</v>
      </c>
      <c r="B192" s="183" t="str">
        <f t="shared" ca="1" si="72"/>
        <v/>
      </c>
      <c r="C192" s="183" t="str">
        <f>IF(OR(クライアント抽出!D52&lt;&gt;"",クライアント抽出!G52&lt;&gt;""),クライアント抽出!A52,"")</f>
        <v/>
      </c>
      <c r="D192" s="183" t="str">
        <f t="array" aca="1" ref="D192" ca="1">IF(C192&lt;&gt;"",INDIRECT("クライアント抽出!"&amp;E192&amp;MATCH(C192,クライアント抽出!A:A,0)&amp;""),"")</f>
        <v/>
      </c>
      <c r="E192" s="183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86" t="str">
        <f ca="1">IF(D192&lt;&gt;"",
IF(COUNTIF(C192,"*雙葉*"),
IF(ROUND((H192-M192)
/IF(COUNTIF(D192,"*キャラ*"),
VLOOKUP("*キャラ*",商品マスタ一覧!$D:$E,2,FALSE),
IF(COUNTIF(D192,"*赤*"),
VLOOKUP("*赤*",商品マスタ一覧!$D:$E,2,FALSE),
VLOOKUP("*"&amp;D192&amp;"*",商品マスタ一覧!$D:$E,2,FALSE))),0)&lt;=0,1,
ROUND((H192-M192)
/IF(COUNTIF(D192,"*キャラ*"),
VLOOKUP("*キャラ*",商品マスタ一覧!$D:$E,2,FALSE),
IF(COUNTIF(D192,"*赤*"),
VLOOKUP("*赤*",商品マスタ一覧!$D:$E,2,FALSE),
VLOOKUP("*"&amp;D192&amp;"*",商品マスタ一覧!$D:$E,2,FALSE))),0)),
IF(OR(COUNTIF(D192,"*キャラ*"),COUNTIF(D192,"*赤*")),"",
IF(VLOOKUP("*"&amp;D192&amp;"*",商品マスタ一覧!$D:$E,2,FALSE)=0,"",
IF(ROUND((H192-M192)
/VLOOKUP("*"&amp;D192&amp;"*",商品マスタ一覧!$D:$E,2,FALSE),0)&lt;=0,1,
ROUND((H192-M192)
/VLOOKUP("*"&amp;D192&amp;"*",商品マスタ一覧!$D:$E,2,FALSE),0))))),"")</f>
        <v/>
      </c>
      <c r="G192" s="183" t="str">
        <f ca="1">IF(F192&lt;&gt;"",
IF(VALUE(H192-M192)&gt;VALUE(IF(COUNTIF(D192,"*キャラ*"),
VLOOKUP("*キャラ*",商品マスタ一覧!$D:$E,2,FALSE),
IF(COUNTIF(D192,"*赤*"),
VLOOKUP("*赤*",商品マスタ一覧!$D:$E,2,FALSE),
VLOOKUP("*"&amp;D192&amp;"*",商品マスタ一覧!$D:$E,2,FALSE)))*F192),
"+"&amp;(H192-M192)-IF(COUNTIF(D192,"*キャラ*"),
VLOOKUP("*キャラ*",商品マスタ一覧!$D:$E,2,FALSE),
IF(COUNTIF(D192,"*赤*"),
VLOOKUP("*赤*",商品マスタ一覧!$D:$E,2,FALSE),
VLOOKUP("*"&amp;D192&amp;"*",商品マスタ一覧!$D:$E,2,FALSE)))*F192,
(H192-M192)-IF(COUNTIF(D192,"*キャラ*"),
VLOOKUP("*キャラ*",商品マスタ一覧!$D:$E,2,FALSE),
IF(COUNTIF(D192,"*赤*"),
VLOOKUP("*赤*",商品マスタ一覧!$D:$E,2,FALSE),
VLOOKUP("*"&amp;D192&amp;"*",商品マスタ一覧!$D:$E,2,FALSE)))*F192),"")</f>
        <v/>
      </c>
      <c r="H192" s="185" t="str">
        <f>IF(C192&lt;&gt;"",
クライアント抽出!D52,"")</f>
        <v/>
      </c>
      <c r="I192" s="183" t="str">
        <f>IF(C192&lt;&gt;"",
IF(O192=1,0,クライアント抽出!F52),"")</f>
        <v/>
      </c>
      <c r="J192" s="183" t="str">
        <f>IF(C192&lt;&gt;"",
VLOOKUP(
"*"&amp;LEFT(IF(COUNTIF(D192,"*学食*"),"キャラ弁（学食）",
IF(COUNTIF(D192,"*赤*"),"赤",
IF(COUNTIF(D192,"*キャラ弁当*"),"キャラ弁当",D192))),4)&amp;"*",注文弁当の抽出!$E$1:$F$15,2,FALSE),"")</f>
        <v/>
      </c>
      <c r="K192" s="183" t="str">
        <f ca="1">IF(クライアント抽出!R52&lt;&gt;"",SUBSTITUTE(ADDRESS(1,(CODE(クライアント抽出!R52)-64)*2-1,4),"1",""),"")</f>
        <v/>
      </c>
      <c r="L192" s="183" t="str">
        <f>IF(C52&lt;&gt;"",クライアント抽出!I52,"")</f>
        <v/>
      </c>
      <c r="M192" s="183">
        <f t="array" aca="1" ref="M192" ca="1">IF(C192&lt;&gt;"",
IF(K192&lt;&gt;"",INDIRECT("'数出表_Excel（アレルギー入力）'!"&amp;K192&amp;L192-1&amp;""),),)</f>
        <v>0</v>
      </c>
      <c r="N192" s="183" t="str">
        <f>IF(C192&lt;&gt;"",IF(OR(COUNTIF('盛付札（関数）'!D192,"*赤*"),COUNTIF('盛付札（関数）'!D192,"*キャラ*")),1,
VLOOKUP("*"&amp;D192&amp;"*",商品マスタ一覧!D:H,5,FALSE)),"")</f>
        <v/>
      </c>
      <c r="O192" s="183">
        <f t="shared" ca="1" si="73"/>
        <v>0</v>
      </c>
      <c r="P192" s="183">
        <f t="shared" si="49"/>
        <v>0</v>
      </c>
      <c r="Q192" s="183" t="b">
        <f t="shared" si="50"/>
        <v>0</v>
      </c>
      <c r="R192" s="51" t="str">
        <f t="array" aca="1" ref="R192" ca="1">IFERROR(SMALL(IF(P$1:P$307&lt;&gt;0,P$1:P$307),ROW(A192)),"")</f>
        <v/>
      </c>
      <c r="S192" s="51" t="str">
        <f t="array" aca="1" ref="S192" ca="1">IF($R192&lt;&gt;"",
SUBSTITUTE(SUBSTITUTE(INDIRECT("C"&amp;$R192&amp;"")," 週3ｺｰｽ","")," 週5ｺｰｽ",""),"")</f>
        <v/>
      </c>
      <c r="T192" s="51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91" t="str">
        <f t="array" aca="1" ref="U192" ca="1">IF($R192&lt;&gt;"",
INDIRECT("F"&amp;$R192&amp;""),"")</f>
        <v/>
      </c>
      <c r="V192" s="51" t="str">
        <f t="array" aca="1" ref="V192" ca="1">IF($R192&lt;&gt;"",
INDIRECT("G"&amp;$R192&amp;""),"")</f>
        <v/>
      </c>
      <c r="W192" s="51" t="str">
        <f t="array" aca="1" ref="W192" ca="1">IF($R192&lt;&gt;"",
IF(AND(COUNTIF(INDIRECT("B"&amp;R192&amp;""),"*雙葉*"),COUNTIF(B:B,"*雙葉*")&gt;=2),
IF(OR(COUNTIF(INDIRECT("B"&amp;R192&amp;""),"*雙葉先生*"),COUNTIF($B$1:$B$70,"*雙葉*")&gt;=2),INDIRECT("H"&amp;R192&amp;""),INDIRECT("H"&amp;R192&amp;"")+INDIRECT("H"&amp;MATCH("雙葉'",INDIRECT("B"&amp;R192+3&amp;":B210"),0)+2+R192&amp;"")),
IF(AND(LEFT(INDIRECT("B"&amp;R192&amp;""),2)="博多",COUNTIF(B:B,"*博多*")&gt;=2),
INDIRECT("H"&amp;R192&amp;"")+INDIRECT("H"&amp;MATCH("*"&amp;INDIRECT("B"&amp;R192&amp;"")&amp;"*",INDIRECT("B"&amp;R192+1&amp;":B210"),0)+R192&amp;""),
IF(AND(LEFT(INDIRECT("B"&amp;R192&amp;""),3)="奈良屋",COUNTIF(B:B,"*奈良屋*")&gt;=2),
INDIRECT("H"&amp;R192&amp;"")+INDIRECT("H"&amp;MATCH("*"&amp;INDIRECT("B"&amp;R192&amp;"")&amp;"*",INDIRECT("B"&amp;R192+1&amp;":B210"),0)+R192&amp;"")
+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INDIRECT("H"&amp;R192&amp;"")))),"")</f>
        <v/>
      </c>
      <c r="X192" s="51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51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51" t="str">
        <f t="shared" ca="1" si="51"/>
        <v/>
      </c>
      <c r="AA192" s="51" t="str">
        <f t="shared" ca="1" si="52"/>
        <v/>
      </c>
      <c r="AB192" s="51" t="str">
        <f t="array" aca="1" ref="AB192" ca="1">IF($R192&lt;&gt;"",
IF(AND(COUNTIF(INDIRECT("B"&amp;R192&amp;""),"*雙葉*"),COUNTIF(B:B,"*雙葉*")&gt;=2),
INDIRECT("M"&amp;R192&amp;"")+INDIRECT("M"&amp;MATCH("雙葉'",INDIRECT("B"&amp;R192+1&amp;":B210"),0)+R192&amp;""),
IF(AND(LEFT(INDIRECT("B"&amp;R192&amp;""),2)="博多",COUNTIF(B:B,"*博多*")&gt;=2),
INDIRECT("M"&amp;R192&amp;"")+INDIRECT("M"&amp;MATCH("*"&amp;INDIRECT("B"&amp;R192&amp;"")&amp;"*",INDIRECT("B"&amp;R192+1&amp;":B210"),0)+R192&amp;""),
IF(AND(LEFT(INDIRECT("B"&amp;R192&amp;""),3)="奈良屋",COUNTIF(B:B,"*奈良屋*")&gt;=2),
INDIRECT("M"&amp;R192&amp;"")+INDIRECT("M"&amp;MATCH("*"&amp;INDIRECT("B"&amp;R192&amp;"")&amp;"*",INDIRECT("B"&amp;R192+1&amp;":B210"),0)+R192&amp;"")
+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INDIRECT("M"&amp;R192&amp;"")))),"")</f>
        <v/>
      </c>
      <c r="AC192" s="51" t="str">
        <f t="shared" ca="1" si="53"/>
        <v/>
      </c>
      <c r="AD192" s="51" t="str">
        <f t="shared" ca="1" si="54"/>
        <v/>
      </c>
      <c r="AE192" s="51" t="str">
        <f t="shared" ca="1" si="55"/>
        <v/>
      </c>
      <c r="AF192" s="51" t="str">
        <f t="shared" ca="1" si="56"/>
        <v/>
      </c>
      <c r="AG192" s="51" t="str">
        <f t="shared" ca="1" si="57"/>
        <v/>
      </c>
      <c r="AH192" s="191" t="str">
        <f t="shared" ca="1" si="58"/>
        <v/>
      </c>
      <c r="AI192" s="51" t="str">
        <f t="shared" ca="1" si="59"/>
        <v/>
      </c>
      <c r="AJ192" s="51" t="str">
        <f t="shared" ca="1" si="60"/>
        <v/>
      </c>
      <c r="AK192" s="51" t="str">
        <f t="shared" ca="1" si="61"/>
        <v/>
      </c>
      <c r="AL192" s="51" t="str">
        <f t="shared" ca="1" si="62"/>
        <v/>
      </c>
      <c r="AM192" s="51" t="str">
        <f t="shared" ca="1" si="63"/>
        <v/>
      </c>
      <c r="AN192" s="51" t="str">
        <f t="shared" ca="1" si="64"/>
        <v/>
      </c>
      <c r="AO192" s="51" t="str">
        <f t="shared" ca="1" si="65"/>
        <v/>
      </c>
      <c r="AP192" s="51" t="str">
        <f t="shared" ca="1" si="66"/>
        <v/>
      </c>
      <c r="AU192" s="51" t="str">
        <f t="shared" ca="1" si="67"/>
        <v/>
      </c>
    </row>
    <row r="193" spans="1:47" ht="22.2" customHeight="1">
      <c r="A193" s="184">
        <f t="shared" si="74"/>
        <v>111</v>
      </c>
      <c r="B193" s="183" t="str">
        <f t="shared" ca="1" si="72"/>
        <v/>
      </c>
      <c r="C193" s="183" t="str">
        <f>IF(OR(クライアント抽出!D53&lt;&gt;"",クライアント抽出!G53&lt;&gt;""),クライアント抽出!A53,"")</f>
        <v/>
      </c>
      <c r="D193" s="183" t="str">
        <f t="array" aca="1" ref="D193" ca="1">IF(C193&lt;&gt;"",INDIRECT("クライアント抽出!"&amp;E193&amp;MATCH(C193,クライアント抽出!A:A,0)&amp;""),"")</f>
        <v/>
      </c>
      <c r="E193" s="183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86" t="str">
        <f ca="1">IF(D193&lt;&gt;"",
IF(COUNTIF(C193,"*雙葉*"),
IF(ROUND((H193-M193)
/IF(COUNTIF(D193,"*キャラ*"),
VLOOKUP("*キャラ*",商品マスタ一覧!$D:$E,2,FALSE),
IF(COUNTIF(D193,"*赤*"),
VLOOKUP("*赤*",商品マスタ一覧!$D:$E,2,FALSE),
VLOOKUP("*"&amp;D193&amp;"*",商品マスタ一覧!$D:$E,2,FALSE))),0)&lt;=0,1,
ROUND((H193-M193)
/IF(COUNTIF(D193,"*キャラ*"),
VLOOKUP("*キャラ*",商品マスタ一覧!$D:$E,2,FALSE),
IF(COUNTIF(D193,"*赤*"),
VLOOKUP("*赤*",商品マスタ一覧!$D:$E,2,FALSE),
VLOOKUP("*"&amp;D193&amp;"*",商品マスタ一覧!$D:$E,2,FALSE))),0)),
IF(OR(COUNTIF(D193,"*キャラ*"),COUNTIF(D193,"*赤*")),"",
IF(VLOOKUP("*"&amp;D193&amp;"*",商品マスタ一覧!$D:$E,2,FALSE)=0,"",
IF(ROUND((H193-M193)
/VLOOKUP("*"&amp;D193&amp;"*",商品マスタ一覧!$D:$E,2,FALSE),0)&lt;=0,1,
ROUND((H193-M193)
/VLOOKUP("*"&amp;D193&amp;"*",商品マスタ一覧!$D:$E,2,FALSE),0))))),"")</f>
        <v/>
      </c>
      <c r="G193" s="183" t="str">
        <f ca="1">IF(F193&lt;&gt;"",
IF(VALUE(H193-M193)&gt;VALUE(IF(COUNTIF(D193,"*キャラ*"),
VLOOKUP("*キャラ*",商品マスタ一覧!$D:$E,2,FALSE),
IF(COUNTIF(D193,"*赤*"),
VLOOKUP("*赤*",商品マスタ一覧!$D:$E,2,FALSE),
VLOOKUP("*"&amp;D193&amp;"*",商品マスタ一覧!$D:$E,2,FALSE)))*F193),
"+"&amp;(H193-M193)-IF(COUNTIF(D193,"*キャラ*"),
VLOOKUP("*キャラ*",商品マスタ一覧!$D:$E,2,FALSE),
IF(COUNTIF(D193,"*赤*"),
VLOOKUP("*赤*",商品マスタ一覧!$D:$E,2,FALSE),
VLOOKUP("*"&amp;D193&amp;"*",商品マスタ一覧!$D:$E,2,FALSE)))*F193,
(H193-M193)-IF(COUNTIF(D193,"*キャラ*"),
VLOOKUP("*キャラ*",商品マスタ一覧!$D:$E,2,FALSE),
IF(COUNTIF(D193,"*赤*"),
VLOOKUP("*赤*",商品マスタ一覧!$D:$E,2,FALSE),
VLOOKUP("*"&amp;D193&amp;"*",商品マスタ一覧!$D:$E,2,FALSE)))*F193),"")</f>
        <v/>
      </c>
      <c r="H193" s="185" t="str">
        <f>IF(C193&lt;&gt;"",
クライアント抽出!D53,"")</f>
        <v/>
      </c>
      <c r="I193" s="183" t="str">
        <f>IF(C193&lt;&gt;"",
IF(O193=1,0,クライアント抽出!F53),"")</f>
        <v/>
      </c>
      <c r="J193" s="183" t="str">
        <f>IF(C193&lt;&gt;"",
VLOOKUP(
"*"&amp;LEFT(IF(COUNTIF(D193,"*学食*"),"キャラ弁（学食）",
IF(COUNTIF(D193,"*赤*"),"赤",
IF(COUNTIF(D193,"*キャラ弁当*"),"キャラ弁当",D193))),4)&amp;"*",注文弁当の抽出!$E$1:$F$15,2,FALSE),"")</f>
        <v/>
      </c>
      <c r="K193" s="183" t="str">
        <f ca="1">IF(クライアント抽出!R53&lt;&gt;"",SUBSTITUTE(ADDRESS(1,(CODE(クライアント抽出!R53)-64)*2-1,4),"1",""),"")</f>
        <v/>
      </c>
      <c r="L193" s="183" t="str">
        <f>IF(C53&lt;&gt;"",クライアント抽出!I53,"")</f>
        <v/>
      </c>
      <c r="M193" s="183">
        <f t="array" aca="1" ref="M193" ca="1">IF(C193&lt;&gt;"",
IF(K193&lt;&gt;"",INDIRECT("'数出表_Excel（アレルギー入力）'!"&amp;K193&amp;L193-1&amp;""),),)</f>
        <v>0</v>
      </c>
      <c r="N193" s="183" t="str">
        <f>IF(C193&lt;&gt;"",IF(OR(COUNTIF('盛付札（関数）'!D193,"*赤*"),COUNTIF('盛付札（関数）'!D193,"*キャラ*")),1,
VLOOKUP("*"&amp;D193&amp;"*",商品マスタ一覧!D:H,5,FALSE)),"")</f>
        <v/>
      </c>
      <c r="O193" s="183">
        <f t="shared" ca="1" si="73"/>
        <v>0</v>
      </c>
      <c r="P193" s="183">
        <f t="shared" ref="P193:P210" si="75">IF(COUNTIF(Q193,"TRUE"),
IF(OR(COUNTIF(B193,"*'*"),H193=0),0,ROW()),0)</f>
        <v>0</v>
      </c>
      <c r="Q193" s="183" t="b">
        <f t="shared" ref="Q193:Q210" si="76">IF(C193&lt;&gt;"",
IF(OR(N193=1,COUNTIF(D193,"*朝食*"),COUNTIF(D193,"*夕食*")),TRUE,FALSE),FALSE)</f>
        <v>0</v>
      </c>
      <c r="R193" s="51" t="str">
        <f t="array" aca="1" ref="R193" ca="1">IFERROR(SMALL(IF(P$1:P$307&lt;&gt;0,P$1:P$307),ROW(A193)),"")</f>
        <v/>
      </c>
      <c r="S193" s="51" t="str">
        <f t="array" aca="1" ref="S193" ca="1">IF($R193&lt;&gt;"",
SUBSTITUTE(SUBSTITUTE(INDIRECT("C"&amp;$R193&amp;"")," 週3ｺｰｽ","")," 週5ｺｰｽ",""),"")</f>
        <v/>
      </c>
      <c r="T193" s="51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91" t="str">
        <f t="array" aca="1" ref="U193" ca="1">IF($R193&lt;&gt;"",
INDIRECT("F"&amp;$R193&amp;""),"")</f>
        <v/>
      </c>
      <c r="V193" s="51" t="str">
        <f t="array" aca="1" ref="V193" ca="1">IF($R193&lt;&gt;"",
INDIRECT("G"&amp;$R193&amp;""),"")</f>
        <v/>
      </c>
      <c r="W193" s="51" t="str">
        <f t="array" aca="1" ref="W193" ca="1">IF($R193&lt;&gt;"",
IF(AND(COUNTIF(INDIRECT("B"&amp;R193&amp;""),"*雙葉*"),COUNTIF(B:B,"*雙葉*")&gt;=2),
IF(OR(COUNTIF(INDIRECT("B"&amp;R193&amp;""),"*雙葉先生*"),COUNTIF($B$1:$B$70,"*雙葉*")&gt;=2),INDIRECT("H"&amp;R193&amp;""),INDIRECT("H"&amp;R193&amp;"")+INDIRECT("H"&amp;MATCH("雙葉'",INDIRECT("B"&amp;R193+3&amp;":B210"),0)+2+R193&amp;"")),
IF(AND(LEFT(INDIRECT("B"&amp;R193&amp;""),2)="博多",COUNTIF(B:B,"*博多*")&gt;=2),
INDIRECT("H"&amp;R193&amp;"")+INDIRECT("H"&amp;MATCH("*"&amp;INDIRECT("B"&amp;R193&amp;"")&amp;"*",INDIRECT("B"&amp;R193+1&amp;":B210"),0)+R193&amp;""),
IF(AND(LEFT(INDIRECT("B"&amp;R193&amp;""),3)="奈良屋",COUNTIF(B:B,"*奈良屋*")&gt;=2),
INDIRECT("H"&amp;R193&amp;"")+INDIRECT("H"&amp;MATCH("*"&amp;INDIRECT("B"&amp;R193&amp;"")&amp;"*",INDIRECT("B"&amp;R193+1&amp;":B210"),0)+R193&amp;"")
+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INDIRECT("H"&amp;R193&amp;"")))),"")</f>
        <v/>
      </c>
      <c r="X193" s="51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51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51" t="str">
        <f t="shared" ref="Z193:Z250" ca="1" si="77">IF(R193&lt;&gt;"",
IFERROR(INT(W193/Y193),""),"")</f>
        <v/>
      </c>
      <c r="AA193" s="51" t="str">
        <f t="shared" ref="AA193:AA250" ca="1" si="78">IFERROR(MOD(W193,Y193),"")</f>
        <v/>
      </c>
      <c r="AB193" s="51" t="str">
        <f t="array" aca="1" ref="AB193" ca="1">IF($R193&lt;&gt;"",
IF(AND(COUNTIF(INDIRECT("B"&amp;R193&amp;""),"*雙葉*"),COUNTIF(B:B,"*雙葉*")&gt;=2),
INDIRECT("M"&amp;R193&amp;"")+INDIRECT("M"&amp;MATCH("雙葉'",INDIRECT("B"&amp;R193+1&amp;":B210"),0)+R193&amp;""),
IF(AND(LEFT(INDIRECT("B"&amp;R193&amp;""),2)="博多",COUNTIF(B:B,"*博多*")&gt;=2),
INDIRECT("M"&amp;R193&amp;"")+INDIRECT("M"&amp;MATCH("*"&amp;INDIRECT("B"&amp;R193&amp;"")&amp;"*",INDIRECT("B"&amp;R193+1&amp;":B210"),0)+R193&amp;""),
IF(AND(LEFT(INDIRECT("B"&amp;R193&amp;""),3)="奈良屋",COUNTIF(B:B,"*奈良屋*")&gt;=2),
INDIRECT("M"&amp;R193&amp;"")+INDIRECT("M"&amp;MATCH("*"&amp;INDIRECT("B"&amp;R193&amp;"")&amp;"*",INDIRECT("B"&amp;R193+1&amp;":B210"),0)+R193&amp;"")
+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INDIRECT("M"&amp;R193&amp;"")))),"")</f>
        <v/>
      </c>
      <c r="AC193" s="51" t="str">
        <f t="shared" ref="AC193:AC250" ca="1" si="79">IF(S193&lt;&gt;"",INDEX(A:A, MATCH("*"&amp;LEFT(S193,4)&amp;"*", C:C, 0)),"")</f>
        <v/>
      </c>
      <c r="AD193" s="51" t="str">
        <f t="shared" ref="AD193:AD250" ca="1" si="80">IFERROR(INDEX(AC:AC,MATCH(SMALL($AU:$AU,ROW()+3),$AU:$AU,0)),"")</f>
        <v/>
      </c>
      <c r="AE193" s="51" t="str">
        <f t="shared" ref="AE193:AE250" ca="1" si="81">IFERROR(INDEX(R:R,MATCH(SMALL($AU:$AU,ROW()+3),$AU:$AU,0)),"")</f>
        <v/>
      </c>
      <c r="AF193" s="51" t="str">
        <f t="shared" ref="AF193:AF250" ca="1" si="82">IFERROR(INDEX(S:S,MATCH(SMALL($AU:$AU,ROW()+3),$AU:$AU,0)),"")</f>
        <v/>
      </c>
      <c r="AG193" s="51" t="str">
        <f t="shared" ref="AG193:AG250" ca="1" si="83">IFERROR(INDEX(T:T,MATCH(SMALL($AU:$AU,ROW()+3),$AU:$AU,0)),"")</f>
        <v/>
      </c>
      <c r="AH193" s="191" t="str">
        <f t="shared" ref="AH193:AH250" ca="1" si="84">IFERROR(INDEX(U:U,MATCH(SMALL($AU:$AU,ROW()+3),$AU:$AU,0)),"")</f>
        <v/>
      </c>
      <c r="AI193" s="51" t="str">
        <f t="shared" ref="AI193:AI250" ca="1" si="85">IFERROR(INDEX(V:V,MATCH(SMALL($AU:$AU,ROW()+3),$AU:$AU,0)),"")</f>
        <v/>
      </c>
      <c r="AJ193" s="51" t="str">
        <f t="shared" ref="AJ193:AJ250" ca="1" si="86">IFERROR(INDEX(W:W,MATCH(SMALL($AU:$AU,ROW()+3),$AU:$AU,0)),"")</f>
        <v/>
      </c>
      <c r="AK193" s="51" t="str">
        <f t="shared" ref="AK193:AK250" ca="1" si="87">IFERROR(INDEX(X:X,MATCH(SMALL($AU:$AU,ROW()+3),$AU:$AU,0)),"")</f>
        <v/>
      </c>
      <c r="AL193" s="51" t="str">
        <f t="shared" ref="AL193:AL250" ca="1" si="88">IFERROR(INDEX(Y:Y,MATCH(SMALL($AU:$AU,ROW()+3),$AU:$AU,0)),"")</f>
        <v/>
      </c>
      <c r="AM193" s="51" t="str">
        <f t="shared" ref="AM193:AM250" ca="1" si="89">IFERROR(INDEX(Z:Z,MATCH(SMALL($AU:$AU,ROW()+3),$AU:$AU,0)),"")</f>
        <v/>
      </c>
      <c r="AN193" s="51" t="str">
        <f t="shared" ref="AN193:AN250" ca="1" si="90">IFERROR(INDEX(AA:AA,MATCH(SMALL($AU:$AU,ROW()+3),$AU:$AU,0)),"")</f>
        <v/>
      </c>
      <c r="AO193" s="51" t="str">
        <f t="shared" ref="AO193:AO250" ca="1" si="91">IFERROR(INDEX(AB:AB,MATCH(SMALL($AU:$AU,ROW()+3),$AU:$AU,0)),"")</f>
        <v/>
      </c>
      <c r="AP193" s="51" t="str">
        <f t="shared" ref="AP193:AP250" ca="1" si="92">IFERROR(INDEX(AC:AC,MATCH(SMALL($AU:$AU,ROW()+3),$AU:$AU,0)),"")</f>
        <v/>
      </c>
      <c r="AU193" s="51" t="str">
        <f t="shared" ref="AU193:AU250" ca="1" si="93">IFERROR(IF(R193&gt;=215, 1000000+R193, AC193*1000+R193),"")</f>
        <v/>
      </c>
    </row>
    <row r="194" spans="1:47" ht="22.2" customHeight="1">
      <c r="A194" s="184">
        <f t="shared" si="74"/>
        <v>113</v>
      </c>
      <c r="B194" s="183" t="str">
        <f t="shared" ca="1" si="72"/>
        <v/>
      </c>
      <c r="C194" s="183" t="str">
        <f>IF(OR(クライアント抽出!D54&lt;&gt;"",クライアント抽出!G54&lt;&gt;""),クライアント抽出!A54,"")</f>
        <v/>
      </c>
      <c r="D194" s="183" t="str">
        <f t="array" aca="1" ref="D194" ca="1">IF(C194&lt;&gt;"",INDIRECT("クライアント抽出!"&amp;E194&amp;MATCH(C194,クライアント抽出!A:A,0)&amp;""),"")</f>
        <v/>
      </c>
      <c r="E194" s="183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86" t="str">
        <f ca="1">IF(D194&lt;&gt;"",
IF(COUNTIF(C194,"*雙葉*"),
IF(ROUND((H194-M194)
/IF(COUNTIF(D194,"*キャラ*"),
VLOOKUP("*キャラ*",商品マスタ一覧!$D:$E,2,FALSE),
IF(COUNTIF(D194,"*赤*"),
VLOOKUP("*赤*",商品マスタ一覧!$D:$E,2,FALSE),
VLOOKUP("*"&amp;D194&amp;"*",商品マスタ一覧!$D:$E,2,FALSE))),0)&lt;=0,1,
ROUND((H194-M194)
/IF(COUNTIF(D194,"*キャラ*"),
VLOOKUP("*キャラ*",商品マスタ一覧!$D:$E,2,FALSE),
IF(COUNTIF(D194,"*赤*"),
VLOOKUP("*赤*",商品マスタ一覧!$D:$E,2,FALSE),
VLOOKUP("*"&amp;D194&amp;"*",商品マスタ一覧!$D:$E,2,FALSE))),0)),
IF(OR(COUNTIF(D194,"*キャラ*"),COUNTIF(D194,"*赤*")),"",
IF(VLOOKUP("*"&amp;D194&amp;"*",商品マスタ一覧!$D:$E,2,FALSE)=0,"",
IF(ROUND((H194-M194)
/VLOOKUP("*"&amp;D194&amp;"*",商品マスタ一覧!$D:$E,2,FALSE),0)&lt;=0,1,
ROUND((H194-M194)
/VLOOKUP("*"&amp;D194&amp;"*",商品マスタ一覧!$D:$E,2,FALSE),0))))),"")</f>
        <v/>
      </c>
      <c r="G194" s="183" t="str">
        <f ca="1">IF(F194&lt;&gt;"",
IF(VALUE(H194-M194)&gt;VALUE(IF(COUNTIF(D194,"*キャラ*"),
VLOOKUP("*キャラ*",商品マスタ一覧!$D:$E,2,FALSE),
IF(COUNTIF(D194,"*赤*"),
VLOOKUP("*赤*",商品マスタ一覧!$D:$E,2,FALSE),
VLOOKUP("*"&amp;D194&amp;"*",商品マスタ一覧!$D:$E,2,FALSE)))*F194),
"+"&amp;(H194-M194)-IF(COUNTIF(D194,"*キャラ*"),
VLOOKUP("*キャラ*",商品マスタ一覧!$D:$E,2,FALSE),
IF(COUNTIF(D194,"*赤*"),
VLOOKUP("*赤*",商品マスタ一覧!$D:$E,2,FALSE),
VLOOKUP("*"&amp;D194&amp;"*",商品マスタ一覧!$D:$E,2,FALSE)))*F194,
(H194-M194)-IF(COUNTIF(D194,"*キャラ*"),
VLOOKUP("*キャラ*",商品マスタ一覧!$D:$E,2,FALSE),
IF(COUNTIF(D194,"*赤*"),
VLOOKUP("*赤*",商品マスタ一覧!$D:$E,2,FALSE),
VLOOKUP("*"&amp;D194&amp;"*",商品マスタ一覧!$D:$E,2,FALSE)))*F194),"")</f>
        <v/>
      </c>
      <c r="H194" s="185" t="str">
        <f>IF(C194&lt;&gt;"",
クライアント抽出!D54,"")</f>
        <v/>
      </c>
      <c r="I194" s="183" t="str">
        <f>IF(C194&lt;&gt;"",
IF(O194=1,0,クライアント抽出!F54),"")</f>
        <v/>
      </c>
      <c r="J194" s="183" t="str">
        <f>IF(C194&lt;&gt;"",
VLOOKUP(
"*"&amp;LEFT(IF(COUNTIF(D194,"*学食*"),"キャラ弁（学食）",
IF(COUNTIF(D194,"*赤*"),"赤",
IF(COUNTIF(D194,"*キャラ弁当*"),"キャラ弁当",D194))),4)&amp;"*",注文弁当の抽出!$E$1:$F$15,2,FALSE),"")</f>
        <v/>
      </c>
      <c r="K194" s="183" t="str">
        <f ca="1">IF(クライアント抽出!R54&lt;&gt;"",SUBSTITUTE(ADDRESS(1,(CODE(クライアント抽出!R54)-64)*2-1,4),"1",""),"")</f>
        <v/>
      </c>
      <c r="L194" s="183" t="str">
        <f>IF(C54&lt;&gt;"",クライアント抽出!I54,"")</f>
        <v/>
      </c>
      <c r="M194" s="183">
        <f t="array" aca="1" ref="M194" ca="1">IF(C194&lt;&gt;"",
IF(K194&lt;&gt;"",INDIRECT("'数出表_Excel（アレルギー入力）'!"&amp;K194&amp;L194-1&amp;""),),)</f>
        <v>0</v>
      </c>
      <c r="N194" s="183" t="str">
        <f>IF(C194&lt;&gt;"",IF(OR(COUNTIF('盛付札（関数）'!D194,"*赤*"),COUNTIF('盛付札（関数）'!D194,"*キャラ*")),1,
VLOOKUP("*"&amp;D194&amp;"*",商品マスタ一覧!D:H,5,FALSE)),"")</f>
        <v/>
      </c>
      <c r="O194" s="183">
        <f t="shared" ca="1" si="73"/>
        <v>0</v>
      </c>
      <c r="P194" s="183">
        <f t="shared" si="75"/>
        <v>0</v>
      </c>
      <c r="Q194" s="183" t="b">
        <f t="shared" si="76"/>
        <v>0</v>
      </c>
      <c r="R194" s="51" t="str">
        <f t="array" aca="1" ref="R194" ca="1">IFERROR(SMALL(IF(P$1:P$307&lt;&gt;0,P$1:P$307),ROW(A194)),"")</f>
        <v/>
      </c>
      <c r="S194" s="51" t="str">
        <f t="array" aca="1" ref="S194" ca="1">IF($R194&lt;&gt;"",
SUBSTITUTE(SUBSTITUTE(INDIRECT("C"&amp;$R194&amp;"")," 週3ｺｰｽ","")," 週5ｺｰｽ",""),"")</f>
        <v/>
      </c>
      <c r="T194" s="51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91" t="str">
        <f t="array" aca="1" ref="U194" ca="1">IF($R194&lt;&gt;"",
INDIRECT("F"&amp;$R194&amp;""),"")</f>
        <v/>
      </c>
      <c r="V194" s="51" t="str">
        <f t="array" aca="1" ref="V194" ca="1">IF($R194&lt;&gt;"",
INDIRECT("G"&amp;$R194&amp;""),"")</f>
        <v/>
      </c>
      <c r="W194" s="51" t="str">
        <f t="array" aca="1" ref="W194" ca="1">IF($R194&lt;&gt;"",
IF(AND(COUNTIF(INDIRECT("B"&amp;R194&amp;""),"*雙葉*"),COUNTIF(B:B,"*雙葉*")&gt;=2),
IF(OR(COUNTIF(INDIRECT("B"&amp;R194&amp;""),"*雙葉先生*"),COUNTIF($B$1:$B$70,"*雙葉*")&gt;=2),INDIRECT("H"&amp;R194&amp;""),INDIRECT("H"&amp;R194&amp;"")+INDIRECT("H"&amp;MATCH("雙葉'",INDIRECT("B"&amp;R194+3&amp;":B210"),0)+2+R194&amp;"")),
IF(AND(LEFT(INDIRECT("B"&amp;R194&amp;""),2)="博多",COUNTIF(B:B,"*博多*")&gt;=2),
INDIRECT("H"&amp;R194&amp;"")+INDIRECT("H"&amp;MATCH("*"&amp;INDIRECT("B"&amp;R194&amp;"")&amp;"*",INDIRECT("B"&amp;R194+1&amp;":B210"),0)+R194&amp;""),
IF(AND(LEFT(INDIRECT("B"&amp;R194&amp;""),3)="奈良屋",COUNTIF(B:B,"*奈良屋*")&gt;=2),
INDIRECT("H"&amp;R194&amp;"")+INDIRECT("H"&amp;MATCH("*"&amp;INDIRECT("B"&amp;R194&amp;"")&amp;"*",INDIRECT("B"&amp;R194+1&amp;":B210"),0)+R194&amp;"")
+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INDIRECT("H"&amp;R194&amp;"")))),"")</f>
        <v/>
      </c>
      <c r="X194" s="51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51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51" t="str">
        <f t="shared" ca="1" si="77"/>
        <v/>
      </c>
      <c r="AA194" s="51" t="str">
        <f t="shared" ca="1" si="78"/>
        <v/>
      </c>
      <c r="AB194" s="51" t="str">
        <f t="array" aca="1" ref="AB194" ca="1">IF($R194&lt;&gt;"",
IF(AND(COUNTIF(INDIRECT("B"&amp;R194&amp;""),"*雙葉*"),COUNTIF(B:B,"*雙葉*")&gt;=2),
INDIRECT("M"&amp;R194&amp;"")+INDIRECT("M"&amp;MATCH("雙葉'",INDIRECT("B"&amp;R194+1&amp;":B210"),0)+R194&amp;""),
IF(AND(LEFT(INDIRECT("B"&amp;R194&amp;""),2)="博多",COUNTIF(B:B,"*博多*")&gt;=2),
INDIRECT("M"&amp;R194&amp;"")+INDIRECT("M"&amp;MATCH("*"&amp;INDIRECT("B"&amp;R194&amp;"")&amp;"*",INDIRECT("B"&amp;R194+1&amp;":B210"),0)+R194&amp;""),
IF(AND(LEFT(INDIRECT("B"&amp;R194&amp;""),3)="奈良屋",COUNTIF(B:B,"*奈良屋*")&gt;=2),
INDIRECT("M"&amp;R194&amp;"")+INDIRECT("M"&amp;MATCH("*"&amp;INDIRECT("B"&amp;R194&amp;"")&amp;"*",INDIRECT("B"&amp;R194+1&amp;":B210"),0)+R194&amp;"")
+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INDIRECT("M"&amp;R194&amp;"")))),"")</f>
        <v/>
      </c>
      <c r="AC194" s="51" t="str">
        <f t="shared" ca="1" si="79"/>
        <v/>
      </c>
      <c r="AD194" s="51" t="str">
        <f t="shared" ca="1" si="80"/>
        <v/>
      </c>
      <c r="AE194" s="51" t="str">
        <f t="shared" ca="1" si="81"/>
        <v/>
      </c>
      <c r="AF194" s="51" t="str">
        <f t="shared" ca="1" si="82"/>
        <v/>
      </c>
      <c r="AG194" s="51" t="str">
        <f t="shared" ca="1" si="83"/>
        <v/>
      </c>
      <c r="AH194" s="191" t="str">
        <f t="shared" ca="1" si="84"/>
        <v/>
      </c>
      <c r="AI194" s="51" t="str">
        <f t="shared" ca="1" si="85"/>
        <v/>
      </c>
      <c r="AJ194" s="51" t="str">
        <f t="shared" ca="1" si="86"/>
        <v/>
      </c>
      <c r="AK194" s="51" t="str">
        <f t="shared" ca="1" si="87"/>
        <v/>
      </c>
      <c r="AL194" s="51" t="str">
        <f t="shared" ca="1" si="88"/>
        <v/>
      </c>
      <c r="AM194" s="51" t="str">
        <f t="shared" ca="1" si="89"/>
        <v/>
      </c>
      <c r="AN194" s="51" t="str">
        <f t="shared" ca="1" si="90"/>
        <v/>
      </c>
      <c r="AO194" s="51" t="str">
        <f t="shared" ca="1" si="91"/>
        <v/>
      </c>
      <c r="AP194" s="51" t="str">
        <f t="shared" ca="1" si="92"/>
        <v/>
      </c>
      <c r="AU194" s="51" t="str">
        <f t="shared" ca="1" si="93"/>
        <v/>
      </c>
    </row>
    <row r="195" spans="1:47" ht="22.2" customHeight="1">
      <c r="A195" s="184">
        <f t="shared" si="74"/>
        <v>115</v>
      </c>
      <c r="B195" s="183" t="str">
        <f t="shared" ca="1" si="72"/>
        <v/>
      </c>
      <c r="C195" s="183" t="str">
        <f>IF(OR(クライアント抽出!D55&lt;&gt;"",クライアント抽出!G55&lt;&gt;""),クライアント抽出!A55,"")</f>
        <v/>
      </c>
      <c r="D195" s="183" t="str">
        <f t="array" aca="1" ref="D195" ca="1">IF(C195&lt;&gt;"",INDIRECT("クライアント抽出!"&amp;E195&amp;MATCH(C195,クライアント抽出!A:A,0)&amp;""),"")</f>
        <v/>
      </c>
      <c r="E195" s="183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86" t="str">
        <f ca="1">IF(D195&lt;&gt;"",
IF(COUNTIF(C195,"*雙葉*"),
IF(ROUND((H195-M195)
/IF(COUNTIF(D195,"*キャラ*"),
VLOOKUP("*キャラ*",商品マスタ一覧!$D:$E,2,FALSE),
IF(COUNTIF(D195,"*赤*"),
VLOOKUP("*赤*",商品マスタ一覧!$D:$E,2,FALSE),
VLOOKUP("*"&amp;D195&amp;"*",商品マスタ一覧!$D:$E,2,FALSE))),0)&lt;=0,1,
ROUND((H195-M195)
/IF(COUNTIF(D195,"*キャラ*"),
VLOOKUP("*キャラ*",商品マスタ一覧!$D:$E,2,FALSE),
IF(COUNTIF(D195,"*赤*"),
VLOOKUP("*赤*",商品マスタ一覧!$D:$E,2,FALSE),
VLOOKUP("*"&amp;D195&amp;"*",商品マスタ一覧!$D:$E,2,FALSE))),0)),
IF(OR(COUNTIF(D195,"*キャラ*"),COUNTIF(D195,"*赤*")),"",
IF(VLOOKUP("*"&amp;D195&amp;"*",商品マスタ一覧!$D:$E,2,FALSE)=0,"",
IF(ROUND((H195-M195)
/VLOOKUP("*"&amp;D195&amp;"*",商品マスタ一覧!$D:$E,2,FALSE),0)&lt;=0,1,
ROUND((H195-M195)
/VLOOKUP("*"&amp;D195&amp;"*",商品マスタ一覧!$D:$E,2,FALSE),0))))),"")</f>
        <v/>
      </c>
      <c r="G195" s="183" t="str">
        <f ca="1">IF(F195&lt;&gt;"",
IF(VALUE(H195-M195)&gt;VALUE(IF(COUNTIF(D195,"*キャラ*"),
VLOOKUP("*キャラ*",商品マスタ一覧!$D:$E,2,FALSE),
IF(COUNTIF(D195,"*赤*"),
VLOOKUP("*赤*",商品マスタ一覧!$D:$E,2,FALSE),
VLOOKUP("*"&amp;D195&amp;"*",商品マスタ一覧!$D:$E,2,FALSE)))*F195),
"+"&amp;(H195-M195)-IF(COUNTIF(D195,"*キャラ*"),
VLOOKUP("*キャラ*",商品マスタ一覧!$D:$E,2,FALSE),
IF(COUNTIF(D195,"*赤*"),
VLOOKUP("*赤*",商品マスタ一覧!$D:$E,2,FALSE),
VLOOKUP("*"&amp;D195&amp;"*",商品マスタ一覧!$D:$E,2,FALSE)))*F195,
(H195-M195)-IF(COUNTIF(D195,"*キャラ*"),
VLOOKUP("*キャラ*",商品マスタ一覧!$D:$E,2,FALSE),
IF(COUNTIF(D195,"*赤*"),
VLOOKUP("*赤*",商品マスタ一覧!$D:$E,2,FALSE),
VLOOKUP("*"&amp;D195&amp;"*",商品マスタ一覧!$D:$E,2,FALSE)))*F195),"")</f>
        <v/>
      </c>
      <c r="H195" s="185" t="str">
        <f>IF(C195&lt;&gt;"",
クライアント抽出!D55,"")</f>
        <v/>
      </c>
      <c r="I195" s="183" t="str">
        <f>IF(C195&lt;&gt;"",
IF(O195=1,0,クライアント抽出!F55),"")</f>
        <v/>
      </c>
      <c r="J195" s="183" t="str">
        <f>IF(C195&lt;&gt;"",
VLOOKUP(
"*"&amp;LEFT(IF(COUNTIF(D195,"*学食*"),"キャラ弁（学食）",
IF(COUNTIF(D195,"*赤*"),"赤",
IF(COUNTIF(D195,"*キャラ弁当*"),"キャラ弁当",D195))),4)&amp;"*",注文弁当の抽出!$E$1:$F$15,2,FALSE),"")</f>
        <v/>
      </c>
      <c r="K195" s="183" t="str">
        <f ca="1">IF(クライアント抽出!R55&lt;&gt;"",SUBSTITUTE(ADDRESS(1,(CODE(クライアント抽出!R55)-64)*2-1,4),"1",""),"")</f>
        <v/>
      </c>
      <c r="L195" s="183" t="str">
        <f>IF(C55&lt;&gt;"",クライアント抽出!I55,"")</f>
        <v/>
      </c>
      <c r="M195" s="183">
        <f t="array" aca="1" ref="M195" ca="1">IF(C195&lt;&gt;"",
IF(K195&lt;&gt;"",INDIRECT("'数出表_Excel（アレルギー入力）'!"&amp;K195&amp;L195-1&amp;""),),)</f>
        <v>0</v>
      </c>
      <c r="N195" s="183" t="str">
        <f>IF(C195&lt;&gt;"",IF(OR(COUNTIF('盛付札（関数）'!D195,"*赤*"),COUNTIF('盛付札（関数）'!D195,"*キャラ*")),1,
VLOOKUP("*"&amp;D195&amp;"*",商品マスタ一覧!D:H,5,FALSE)),"")</f>
        <v/>
      </c>
      <c r="O195" s="183">
        <f t="shared" ca="1" si="73"/>
        <v>0</v>
      </c>
      <c r="P195" s="183">
        <f t="shared" si="75"/>
        <v>0</v>
      </c>
      <c r="Q195" s="183" t="b">
        <f t="shared" si="76"/>
        <v>0</v>
      </c>
      <c r="R195" s="51" t="str">
        <f t="array" aca="1" ref="R195" ca="1">IFERROR(SMALL(IF(P$1:P$307&lt;&gt;0,P$1:P$307),ROW(A195)),"")</f>
        <v/>
      </c>
      <c r="S195" s="51" t="str">
        <f t="array" aca="1" ref="S195" ca="1">IF($R195&lt;&gt;"",
SUBSTITUTE(SUBSTITUTE(INDIRECT("C"&amp;$R195&amp;"")," 週3ｺｰｽ","")," 週5ｺｰｽ",""),"")</f>
        <v/>
      </c>
      <c r="T195" s="51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91" t="str">
        <f t="array" aca="1" ref="U195" ca="1">IF($R195&lt;&gt;"",
INDIRECT("F"&amp;$R195&amp;""),"")</f>
        <v/>
      </c>
      <c r="V195" s="51" t="str">
        <f t="array" aca="1" ref="V195" ca="1">IF($R195&lt;&gt;"",
INDIRECT("G"&amp;$R195&amp;""),"")</f>
        <v/>
      </c>
      <c r="W195" s="51" t="str">
        <f t="array" aca="1" ref="W195" ca="1">IF($R195&lt;&gt;"",
IF(AND(COUNTIF(INDIRECT("B"&amp;R195&amp;""),"*雙葉*"),COUNTIF(B:B,"*雙葉*")&gt;=2),
IF(OR(COUNTIF(INDIRECT("B"&amp;R195&amp;""),"*雙葉先生*"),COUNTIF($B$1:$B$70,"*雙葉*")&gt;=2),INDIRECT("H"&amp;R195&amp;""),INDIRECT("H"&amp;R195&amp;"")+INDIRECT("H"&amp;MATCH("雙葉'",INDIRECT("B"&amp;R195+3&amp;":B210"),0)+2+R195&amp;"")),
IF(AND(LEFT(INDIRECT("B"&amp;R195&amp;""),2)="博多",COUNTIF(B:B,"*博多*")&gt;=2),
INDIRECT("H"&amp;R195&amp;"")+INDIRECT("H"&amp;MATCH("*"&amp;INDIRECT("B"&amp;R195&amp;"")&amp;"*",INDIRECT("B"&amp;R195+1&amp;":B210"),0)+R195&amp;""),
IF(AND(LEFT(INDIRECT("B"&amp;R195&amp;""),3)="奈良屋",COUNTIF(B:B,"*奈良屋*")&gt;=2),
INDIRECT("H"&amp;R195&amp;"")+INDIRECT("H"&amp;MATCH("*"&amp;INDIRECT("B"&amp;R195&amp;"")&amp;"*",INDIRECT("B"&amp;R195+1&amp;":B210"),0)+R195&amp;"")
+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INDIRECT("H"&amp;R195&amp;"")))),"")</f>
        <v/>
      </c>
      <c r="X195" s="51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51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51" t="str">
        <f t="shared" ca="1" si="77"/>
        <v/>
      </c>
      <c r="AA195" s="51" t="str">
        <f t="shared" ca="1" si="78"/>
        <v/>
      </c>
      <c r="AB195" s="51" t="str">
        <f t="array" aca="1" ref="AB195" ca="1">IF($R195&lt;&gt;"",
IF(AND(COUNTIF(INDIRECT("B"&amp;R195&amp;""),"*雙葉*"),COUNTIF(B:B,"*雙葉*")&gt;=2),
INDIRECT("M"&amp;R195&amp;"")+INDIRECT("M"&amp;MATCH("雙葉'",INDIRECT("B"&amp;R195+1&amp;":B210"),0)+R195&amp;""),
IF(AND(LEFT(INDIRECT("B"&amp;R195&amp;""),2)="博多",COUNTIF(B:B,"*博多*")&gt;=2),
INDIRECT("M"&amp;R195&amp;"")+INDIRECT("M"&amp;MATCH("*"&amp;INDIRECT("B"&amp;R195&amp;"")&amp;"*",INDIRECT("B"&amp;R195+1&amp;":B210"),0)+R195&amp;""),
IF(AND(LEFT(INDIRECT("B"&amp;R195&amp;""),3)="奈良屋",COUNTIF(B:B,"*奈良屋*")&gt;=2),
INDIRECT("M"&amp;R195&amp;"")+INDIRECT("M"&amp;MATCH("*"&amp;INDIRECT("B"&amp;R195&amp;"")&amp;"*",INDIRECT("B"&amp;R195+1&amp;":B210"),0)+R195&amp;"")
+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INDIRECT("M"&amp;R195&amp;"")))),"")</f>
        <v/>
      </c>
      <c r="AC195" s="51" t="str">
        <f t="shared" ca="1" si="79"/>
        <v/>
      </c>
      <c r="AD195" s="51" t="str">
        <f t="shared" ca="1" si="80"/>
        <v/>
      </c>
      <c r="AE195" s="51" t="str">
        <f t="shared" ca="1" si="81"/>
        <v/>
      </c>
      <c r="AF195" s="51" t="str">
        <f t="shared" ca="1" si="82"/>
        <v/>
      </c>
      <c r="AG195" s="51" t="str">
        <f t="shared" ca="1" si="83"/>
        <v/>
      </c>
      <c r="AH195" s="191" t="str">
        <f t="shared" ca="1" si="84"/>
        <v/>
      </c>
      <c r="AI195" s="51" t="str">
        <f t="shared" ca="1" si="85"/>
        <v/>
      </c>
      <c r="AJ195" s="51" t="str">
        <f t="shared" ca="1" si="86"/>
        <v/>
      </c>
      <c r="AK195" s="51" t="str">
        <f t="shared" ca="1" si="87"/>
        <v/>
      </c>
      <c r="AL195" s="51" t="str">
        <f t="shared" ca="1" si="88"/>
        <v/>
      </c>
      <c r="AM195" s="51" t="str">
        <f t="shared" ca="1" si="89"/>
        <v/>
      </c>
      <c r="AN195" s="51" t="str">
        <f t="shared" ca="1" si="90"/>
        <v/>
      </c>
      <c r="AO195" s="51" t="str">
        <f t="shared" ca="1" si="91"/>
        <v/>
      </c>
      <c r="AP195" s="51" t="str">
        <f t="shared" ca="1" si="92"/>
        <v/>
      </c>
      <c r="AU195" s="51" t="str">
        <f t="shared" ca="1" si="93"/>
        <v/>
      </c>
    </row>
    <row r="196" spans="1:47" ht="22.2" customHeight="1">
      <c r="A196" s="184">
        <f t="shared" si="74"/>
        <v>117</v>
      </c>
      <c r="B196" s="183" t="str">
        <f t="shared" ca="1" si="72"/>
        <v/>
      </c>
      <c r="C196" s="183" t="str">
        <f>IF(OR(クライアント抽出!D56&lt;&gt;"",クライアント抽出!G56&lt;&gt;""),クライアント抽出!A56,"")</f>
        <v/>
      </c>
      <c r="D196" s="183" t="str">
        <f t="array" aca="1" ref="D196" ca="1">IF(C196&lt;&gt;"",INDIRECT("クライアント抽出!"&amp;E196&amp;MATCH(C196,クライアント抽出!A:A,0)&amp;""),"")</f>
        <v/>
      </c>
      <c r="E196" s="183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86" t="str">
        <f ca="1">IF(D196&lt;&gt;"",
IF(COUNTIF(C196,"*雙葉*"),
IF(ROUND((H196-M196)
/IF(COUNTIF(D196,"*キャラ*"),
VLOOKUP("*キャラ*",商品マスタ一覧!$D:$E,2,FALSE),
IF(COUNTIF(D196,"*赤*"),
VLOOKUP("*赤*",商品マスタ一覧!$D:$E,2,FALSE),
VLOOKUP("*"&amp;D196&amp;"*",商品マスタ一覧!$D:$E,2,FALSE))),0)&lt;=0,1,
ROUND((H196-M196)
/IF(COUNTIF(D196,"*キャラ*"),
VLOOKUP("*キャラ*",商品マスタ一覧!$D:$E,2,FALSE),
IF(COUNTIF(D196,"*赤*"),
VLOOKUP("*赤*",商品マスタ一覧!$D:$E,2,FALSE),
VLOOKUP("*"&amp;D196&amp;"*",商品マスタ一覧!$D:$E,2,FALSE))),0)),
IF(OR(COUNTIF(D196,"*キャラ*"),COUNTIF(D196,"*赤*")),"",
IF(VLOOKUP("*"&amp;D196&amp;"*",商品マスタ一覧!$D:$E,2,FALSE)=0,"",
IF(ROUND((H196-M196)
/VLOOKUP("*"&amp;D196&amp;"*",商品マスタ一覧!$D:$E,2,FALSE),0)&lt;=0,1,
ROUND((H196-M196)
/VLOOKUP("*"&amp;D196&amp;"*",商品マスタ一覧!$D:$E,2,FALSE),0))))),"")</f>
        <v/>
      </c>
      <c r="G196" s="183" t="str">
        <f ca="1">IF(F196&lt;&gt;"",
IF(VALUE(H196-M196)&gt;VALUE(IF(COUNTIF(D196,"*キャラ*"),
VLOOKUP("*キャラ*",商品マスタ一覧!$D:$E,2,FALSE),
IF(COUNTIF(D196,"*赤*"),
VLOOKUP("*赤*",商品マスタ一覧!$D:$E,2,FALSE),
VLOOKUP("*"&amp;D196&amp;"*",商品マスタ一覧!$D:$E,2,FALSE)))*F196),
"+"&amp;(H196-M196)-IF(COUNTIF(D196,"*キャラ*"),
VLOOKUP("*キャラ*",商品マスタ一覧!$D:$E,2,FALSE),
IF(COUNTIF(D196,"*赤*"),
VLOOKUP("*赤*",商品マスタ一覧!$D:$E,2,FALSE),
VLOOKUP("*"&amp;D196&amp;"*",商品マスタ一覧!$D:$E,2,FALSE)))*F196,
(H196-M196)-IF(COUNTIF(D196,"*キャラ*"),
VLOOKUP("*キャラ*",商品マスタ一覧!$D:$E,2,FALSE),
IF(COUNTIF(D196,"*赤*"),
VLOOKUP("*赤*",商品マスタ一覧!$D:$E,2,FALSE),
VLOOKUP("*"&amp;D196&amp;"*",商品マスタ一覧!$D:$E,2,FALSE)))*F196),"")</f>
        <v/>
      </c>
      <c r="H196" s="185" t="str">
        <f>IF(C196&lt;&gt;"",
クライアント抽出!D56,"")</f>
        <v/>
      </c>
      <c r="I196" s="183" t="str">
        <f>IF(C196&lt;&gt;"",
IF(O196=1,0,クライアント抽出!F56),"")</f>
        <v/>
      </c>
      <c r="J196" s="183" t="str">
        <f>IF(C196&lt;&gt;"",
VLOOKUP(
"*"&amp;LEFT(IF(COUNTIF(D196,"*学食*"),"キャラ弁（学食）",
IF(COUNTIF(D196,"*赤*"),"赤",
IF(COUNTIF(D196,"*キャラ弁当*"),"キャラ弁当",D196))),4)&amp;"*",注文弁当の抽出!$E$1:$F$15,2,FALSE),"")</f>
        <v/>
      </c>
      <c r="K196" s="183" t="str">
        <f ca="1">IF(クライアント抽出!R56&lt;&gt;"",SUBSTITUTE(ADDRESS(1,(CODE(クライアント抽出!R56)-64)*2-1,4),"1",""),"")</f>
        <v/>
      </c>
      <c r="L196" s="183" t="str">
        <f>IF(C56&lt;&gt;"",クライアント抽出!I56,"")</f>
        <v/>
      </c>
      <c r="M196" s="183">
        <f t="array" aca="1" ref="M196" ca="1">IF(C196&lt;&gt;"",
IF(K196&lt;&gt;"",INDIRECT("'数出表_Excel（アレルギー入力）'!"&amp;K196&amp;L196-1&amp;""),),)</f>
        <v>0</v>
      </c>
      <c r="N196" s="183" t="str">
        <f>IF(C196&lt;&gt;"",IF(OR(COUNTIF('盛付札（関数）'!D196,"*赤*"),COUNTIF('盛付札（関数）'!D196,"*キャラ*")),1,
VLOOKUP("*"&amp;D196&amp;"*",商品マスタ一覧!D:H,5,FALSE)),"")</f>
        <v/>
      </c>
      <c r="O196" s="183">
        <f t="shared" ca="1" si="73"/>
        <v>0</v>
      </c>
      <c r="P196" s="183">
        <f t="shared" si="75"/>
        <v>0</v>
      </c>
      <c r="Q196" s="183" t="b">
        <f t="shared" si="76"/>
        <v>0</v>
      </c>
      <c r="R196" s="51" t="str">
        <f t="array" aca="1" ref="R196" ca="1">IFERROR(SMALL(IF(P$1:P$307&lt;&gt;0,P$1:P$307),ROW(A196)),"")</f>
        <v/>
      </c>
      <c r="S196" s="51" t="str">
        <f t="array" aca="1" ref="S196" ca="1">IF($R196&lt;&gt;"",
SUBSTITUTE(SUBSTITUTE(INDIRECT("C"&amp;$R196&amp;"")," 週3ｺｰｽ","")," 週5ｺｰｽ",""),"")</f>
        <v/>
      </c>
      <c r="T196" s="51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91" t="str">
        <f t="array" aca="1" ref="U196" ca="1">IF($R196&lt;&gt;"",
INDIRECT("F"&amp;$R196&amp;""),"")</f>
        <v/>
      </c>
      <c r="V196" s="51" t="str">
        <f t="array" aca="1" ref="V196" ca="1">IF($R196&lt;&gt;"",
INDIRECT("G"&amp;$R196&amp;""),"")</f>
        <v/>
      </c>
      <c r="W196" s="51" t="str">
        <f t="array" aca="1" ref="W196" ca="1">IF($R196&lt;&gt;"",
IF(AND(COUNTIF(INDIRECT("B"&amp;R196&amp;""),"*雙葉*"),COUNTIF(B:B,"*雙葉*")&gt;=2),
IF(OR(COUNTIF(INDIRECT("B"&amp;R196&amp;""),"*雙葉先生*"),COUNTIF($B$1:$B$70,"*雙葉*")&gt;=2),INDIRECT("H"&amp;R196&amp;""),INDIRECT("H"&amp;R196&amp;"")+INDIRECT("H"&amp;MATCH("雙葉'",INDIRECT("B"&amp;R196+3&amp;":B210"),0)+2+R196&amp;"")),
IF(AND(LEFT(INDIRECT("B"&amp;R196&amp;""),2)="博多",COUNTIF(B:B,"*博多*")&gt;=2),
INDIRECT("H"&amp;R196&amp;"")+INDIRECT("H"&amp;MATCH("*"&amp;INDIRECT("B"&amp;R196&amp;"")&amp;"*",INDIRECT("B"&amp;R196+1&amp;":B210"),0)+R196&amp;""),
IF(AND(LEFT(INDIRECT("B"&amp;R196&amp;""),3)="奈良屋",COUNTIF(B:B,"*奈良屋*")&gt;=2),
INDIRECT("H"&amp;R196&amp;"")+INDIRECT("H"&amp;MATCH("*"&amp;INDIRECT("B"&amp;R196&amp;"")&amp;"*",INDIRECT("B"&amp;R196+1&amp;":B210"),0)+R196&amp;"")
+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INDIRECT("H"&amp;R196&amp;"")))),"")</f>
        <v/>
      </c>
      <c r="X196" s="51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51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51" t="str">
        <f t="shared" ca="1" si="77"/>
        <v/>
      </c>
      <c r="AA196" s="51" t="str">
        <f t="shared" ca="1" si="78"/>
        <v/>
      </c>
      <c r="AB196" s="51" t="str">
        <f t="array" aca="1" ref="AB196" ca="1">IF($R196&lt;&gt;"",
IF(AND(COUNTIF(INDIRECT("B"&amp;R196&amp;""),"*雙葉*"),COUNTIF(B:B,"*雙葉*")&gt;=2),
INDIRECT("M"&amp;R196&amp;"")+INDIRECT("M"&amp;MATCH("雙葉'",INDIRECT("B"&amp;R196+1&amp;":B210"),0)+R196&amp;""),
IF(AND(LEFT(INDIRECT("B"&amp;R196&amp;""),2)="博多",COUNTIF(B:B,"*博多*")&gt;=2),
INDIRECT("M"&amp;R196&amp;"")+INDIRECT("M"&amp;MATCH("*"&amp;INDIRECT("B"&amp;R196&amp;"")&amp;"*",INDIRECT("B"&amp;R196+1&amp;":B210"),0)+R196&amp;""),
IF(AND(LEFT(INDIRECT("B"&amp;R196&amp;""),3)="奈良屋",COUNTIF(B:B,"*奈良屋*")&gt;=2),
INDIRECT("M"&amp;R196&amp;"")+INDIRECT("M"&amp;MATCH("*"&amp;INDIRECT("B"&amp;R196&amp;"")&amp;"*",INDIRECT("B"&amp;R196+1&amp;":B210"),0)+R196&amp;"")
+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INDIRECT("M"&amp;R196&amp;"")))),"")</f>
        <v/>
      </c>
      <c r="AC196" s="51" t="str">
        <f t="shared" ca="1" si="79"/>
        <v/>
      </c>
      <c r="AD196" s="51" t="str">
        <f t="shared" ca="1" si="80"/>
        <v/>
      </c>
      <c r="AE196" s="51" t="str">
        <f t="shared" ca="1" si="81"/>
        <v/>
      </c>
      <c r="AF196" s="51" t="str">
        <f t="shared" ca="1" si="82"/>
        <v/>
      </c>
      <c r="AG196" s="51" t="str">
        <f t="shared" ca="1" si="83"/>
        <v/>
      </c>
      <c r="AH196" s="191" t="str">
        <f t="shared" ca="1" si="84"/>
        <v/>
      </c>
      <c r="AI196" s="51" t="str">
        <f t="shared" ca="1" si="85"/>
        <v/>
      </c>
      <c r="AJ196" s="51" t="str">
        <f t="shared" ca="1" si="86"/>
        <v/>
      </c>
      <c r="AK196" s="51" t="str">
        <f t="shared" ca="1" si="87"/>
        <v/>
      </c>
      <c r="AL196" s="51" t="str">
        <f t="shared" ca="1" si="88"/>
        <v/>
      </c>
      <c r="AM196" s="51" t="str">
        <f t="shared" ca="1" si="89"/>
        <v/>
      </c>
      <c r="AN196" s="51" t="str">
        <f t="shared" ca="1" si="90"/>
        <v/>
      </c>
      <c r="AO196" s="51" t="str">
        <f t="shared" ca="1" si="91"/>
        <v/>
      </c>
      <c r="AP196" s="51" t="str">
        <f t="shared" ca="1" si="92"/>
        <v/>
      </c>
      <c r="AU196" s="51" t="str">
        <f t="shared" ca="1" si="93"/>
        <v/>
      </c>
    </row>
    <row r="197" spans="1:47" ht="22.2" customHeight="1">
      <c r="A197" s="184">
        <f t="shared" si="74"/>
        <v>119</v>
      </c>
      <c r="B197" s="183" t="str">
        <f t="shared" ca="1" si="72"/>
        <v/>
      </c>
      <c r="C197" s="183" t="str">
        <f>IF(OR(クライアント抽出!D57&lt;&gt;"",クライアント抽出!G57&lt;&gt;""),クライアント抽出!A57,"")</f>
        <v/>
      </c>
      <c r="D197" s="183" t="str">
        <f t="array" aca="1" ref="D197" ca="1">IF(C197&lt;&gt;"",INDIRECT("クライアント抽出!"&amp;E197&amp;MATCH(C197,クライアント抽出!A:A,0)&amp;""),"")</f>
        <v/>
      </c>
      <c r="E197" s="183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86" t="str">
        <f ca="1">IF(D197&lt;&gt;"",
IF(COUNTIF(C197,"*雙葉*"),
IF(ROUND((H197-M197)
/IF(COUNTIF(D197,"*キャラ*"),
VLOOKUP("*キャラ*",商品マスタ一覧!$D:$E,2,FALSE),
IF(COUNTIF(D197,"*赤*"),
VLOOKUP("*赤*",商品マスタ一覧!$D:$E,2,FALSE),
VLOOKUP("*"&amp;D197&amp;"*",商品マスタ一覧!$D:$E,2,FALSE))),0)&lt;=0,1,
ROUND((H197-M197)
/IF(COUNTIF(D197,"*キャラ*"),
VLOOKUP("*キャラ*",商品マスタ一覧!$D:$E,2,FALSE),
IF(COUNTIF(D197,"*赤*"),
VLOOKUP("*赤*",商品マスタ一覧!$D:$E,2,FALSE),
VLOOKUP("*"&amp;D197&amp;"*",商品マスタ一覧!$D:$E,2,FALSE))),0)),
IF(OR(COUNTIF(D197,"*キャラ*"),COUNTIF(D197,"*赤*")),"",
IF(VLOOKUP("*"&amp;D197&amp;"*",商品マスタ一覧!$D:$E,2,FALSE)=0,"",
IF(ROUND((H197-M197)
/VLOOKUP("*"&amp;D197&amp;"*",商品マスタ一覧!$D:$E,2,FALSE),0)&lt;=0,1,
ROUND((H197-M197)
/VLOOKUP("*"&amp;D197&amp;"*",商品マスタ一覧!$D:$E,2,FALSE),0))))),"")</f>
        <v/>
      </c>
      <c r="G197" s="183" t="str">
        <f ca="1">IF(F197&lt;&gt;"",
IF(VALUE(H197-M197)&gt;VALUE(IF(COUNTIF(D197,"*キャラ*"),
VLOOKUP("*キャラ*",商品マスタ一覧!$D:$E,2,FALSE),
IF(COUNTIF(D197,"*赤*"),
VLOOKUP("*赤*",商品マスタ一覧!$D:$E,2,FALSE),
VLOOKUP("*"&amp;D197&amp;"*",商品マスタ一覧!$D:$E,2,FALSE)))*F197),
"+"&amp;(H197-M197)-IF(COUNTIF(D197,"*キャラ*"),
VLOOKUP("*キャラ*",商品マスタ一覧!$D:$E,2,FALSE),
IF(COUNTIF(D197,"*赤*"),
VLOOKUP("*赤*",商品マスタ一覧!$D:$E,2,FALSE),
VLOOKUP("*"&amp;D197&amp;"*",商品マスタ一覧!$D:$E,2,FALSE)))*F197,
(H197-M197)-IF(COUNTIF(D197,"*キャラ*"),
VLOOKUP("*キャラ*",商品マスタ一覧!$D:$E,2,FALSE),
IF(COUNTIF(D197,"*赤*"),
VLOOKUP("*赤*",商品マスタ一覧!$D:$E,2,FALSE),
VLOOKUP("*"&amp;D197&amp;"*",商品マスタ一覧!$D:$E,2,FALSE)))*F197),"")</f>
        <v/>
      </c>
      <c r="H197" s="185" t="str">
        <f>IF(C197&lt;&gt;"",
クライアント抽出!D57,"")</f>
        <v/>
      </c>
      <c r="I197" s="183" t="str">
        <f>IF(C197&lt;&gt;"",
IF(O197=1,0,クライアント抽出!F57),"")</f>
        <v/>
      </c>
      <c r="J197" s="183" t="str">
        <f>IF(C197&lt;&gt;"",
VLOOKUP(
"*"&amp;LEFT(IF(COUNTIF(D197,"*学食*"),"キャラ弁（学食）",
IF(COUNTIF(D197,"*赤*"),"赤",
IF(COUNTIF(D197,"*キャラ弁当*"),"キャラ弁当",D197))),4)&amp;"*",注文弁当の抽出!$E$1:$F$15,2,FALSE),"")</f>
        <v/>
      </c>
      <c r="K197" s="183" t="str">
        <f ca="1">IF(クライアント抽出!R57&lt;&gt;"",SUBSTITUTE(ADDRESS(1,(CODE(クライアント抽出!R57)-64)*2-1,4),"1",""),"")</f>
        <v/>
      </c>
      <c r="L197" s="183" t="str">
        <f>IF(C57&lt;&gt;"",クライアント抽出!I57,"")</f>
        <v/>
      </c>
      <c r="M197" s="183">
        <f t="array" aca="1" ref="M197" ca="1">IF(C197&lt;&gt;"",
IF(K197&lt;&gt;"",INDIRECT("'数出表_Excel（アレルギー入力）'!"&amp;K197&amp;L197-1&amp;""),),)</f>
        <v>0</v>
      </c>
      <c r="N197" s="183" t="str">
        <f>IF(C197&lt;&gt;"",IF(OR(COUNTIF('盛付札（関数）'!D197,"*赤*"),COUNTIF('盛付札（関数）'!D197,"*キャラ*")),1,
VLOOKUP("*"&amp;D197&amp;"*",商品マスタ一覧!D:H,5,FALSE)),"")</f>
        <v/>
      </c>
      <c r="O197" s="183">
        <f t="shared" ca="1" si="73"/>
        <v>0</v>
      </c>
      <c r="P197" s="183">
        <f t="shared" si="75"/>
        <v>0</v>
      </c>
      <c r="Q197" s="183" t="b">
        <f t="shared" si="76"/>
        <v>0</v>
      </c>
      <c r="R197" s="51" t="str">
        <f t="array" aca="1" ref="R197" ca="1">IFERROR(SMALL(IF(P$1:P$307&lt;&gt;0,P$1:P$307),ROW(A197)),"")</f>
        <v/>
      </c>
      <c r="S197" s="51" t="str">
        <f t="array" aca="1" ref="S197" ca="1">IF($R197&lt;&gt;"",
SUBSTITUTE(SUBSTITUTE(INDIRECT("C"&amp;$R197&amp;"")," 週3ｺｰｽ","")," 週5ｺｰｽ",""),"")</f>
        <v/>
      </c>
      <c r="T197" s="51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91" t="str">
        <f t="array" aca="1" ref="U197" ca="1">IF($R197&lt;&gt;"",
INDIRECT("F"&amp;$R197&amp;""),"")</f>
        <v/>
      </c>
      <c r="V197" s="51" t="str">
        <f t="array" aca="1" ref="V197" ca="1">IF($R197&lt;&gt;"",
INDIRECT("G"&amp;$R197&amp;""),"")</f>
        <v/>
      </c>
      <c r="W197" s="51" t="str">
        <f t="array" aca="1" ref="W197" ca="1">IF($R197&lt;&gt;"",
IF(AND(COUNTIF(INDIRECT("B"&amp;R197&amp;""),"*雙葉*"),COUNTIF(B:B,"*雙葉*")&gt;=2),
IF(OR(COUNTIF(INDIRECT("B"&amp;R197&amp;""),"*雙葉先生*"),COUNTIF($B$1:$B$70,"*雙葉*")&gt;=2),INDIRECT("H"&amp;R197&amp;""),INDIRECT("H"&amp;R197&amp;"")+INDIRECT("H"&amp;MATCH("雙葉'",INDIRECT("B"&amp;R197+3&amp;":B210"),0)+2+R197&amp;"")),
IF(AND(LEFT(INDIRECT("B"&amp;R197&amp;""),2)="博多",COUNTIF(B:B,"*博多*")&gt;=2),
INDIRECT("H"&amp;R197&amp;"")+INDIRECT("H"&amp;MATCH("*"&amp;INDIRECT("B"&amp;R197&amp;"")&amp;"*",INDIRECT("B"&amp;R197+1&amp;":B210"),0)+R197&amp;""),
IF(AND(LEFT(INDIRECT("B"&amp;R197&amp;""),3)="奈良屋",COUNTIF(B:B,"*奈良屋*")&gt;=2),
INDIRECT("H"&amp;R197&amp;"")+INDIRECT("H"&amp;MATCH("*"&amp;INDIRECT("B"&amp;R197&amp;"")&amp;"*",INDIRECT("B"&amp;R197+1&amp;":B210"),0)+R197&amp;"")
+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INDIRECT("H"&amp;R197&amp;"")))),"")</f>
        <v/>
      </c>
      <c r="X197" s="51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51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51" t="str">
        <f t="shared" ca="1" si="77"/>
        <v/>
      </c>
      <c r="AA197" s="51" t="str">
        <f t="shared" ca="1" si="78"/>
        <v/>
      </c>
      <c r="AB197" s="51" t="str">
        <f t="array" aca="1" ref="AB197" ca="1">IF($R197&lt;&gt;"",
IF(AND(COUNTIF(INDIRECT("B"&amp;R197&amp;""),"*雙葉*"),COUNTIF(B:B,"*雙葉*")&gt;=2),
INDIRECT("M"&amp;R197&amp;"")+INDIRECT("M"&amp;MATCH("雙葉'",INDIRECT("B"&amp;R197+1&amp;":B210"),0)+R197&amp;""),
IF(AND(LEFT(INDIRECT("B"&amp;R197&amp;""),2)="博多",COUNTIF(B:B,"*博多*")&gt;=2),
INDIRECT("M"&amp;R197&amp;"")+INDIRECT("M"&amp;MATCH("*"&amp;INDIRECT("B"&amp;R197&amp;"")&amp;"*",INDIRECT("B"&amp;R197+1&amp;":B210"),0)+R197&amp;""),
IF(AND(LEFT(INDIRECT("B"&amp;R197&amp;""),3)="奈良屋",COUNTIF(B:B,"*奈良屋*")&gt;=2),
INDIRECT("M"&amp;R197&amp;"")+INDIRECT("M"&amp;MATCH("*"&amp;INDIRECT("B"&amp;R197&amp;"")&amp;"*",INDIRECT("B"&amp;R197+1&amp;":B210"),0)+R197&amp;"")
+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INDIRECT("M"&amp;R197&amp;"")))),"")</f>
        <v/>
      </c>
      <c r="AC197" s="51" t="str">
        <f t="shared" ca="1" si="79"/>
        <v/>
      </c>
      <c r="AD197" s="51" t="str">
        <f t="shared" ca="1" si="80"/>
        <v/>
      </c>
      <c r="AE197" s="51" t="str">
        <f t="shared" ca="1" si="81"/>
        <v/>
      </c>
      <c r="AF197" s="51" t="str">
        <f t="shared" ca="1" si="82"/>
        <v/>
      </c>
      <c r="AG197" s="51" t="str">
        <f t="shared" ca="1" si="83"/>
        <v/>
      </c>
      <c r="AH197" s="191" t="str">
        <f t="shared" ca="1" si="84"/>
        <v/>
      </c>
      <c r="AI197" s="51" t="str">
        <f t="shared" ca="1" si="85"/>
        <v/>
      </c>
      <c r="AJ197" s="51" t="str">
        <f t="shared" ca="1" si="86"/>
        <v/>
      </c>
      <c r="AK197" s="51" t="str">
        <f t="shared" ca="1" si="87"/>
        <v/>
      </c>
      <c r="AL197" s="51" t="str">
        <f t="shared" ca="1" si="88"/>
        <v/>
      </c>
      <c r="AM197" s="51" t="str">
        <f t="shared" ca="1" si="89"/>
        <v/>
      </c>
      <c r="AN197" s="51" t="str">
        <f t="shared" ca="1" si="90"/>
        <v/>
      </c>
      <c r="AO197" s="51" t="str">
        <f t="shared" ca="1" si="91"/>
        <v/>
      </c>
      <c r="AP197" s="51" t="str">
        <f t="shared" ca="1" si="92"/>
        <v/>
      </c>
      <c r="AU197" s="51" t="str">
        <f t="shared" ca="1" si="93"/>
        <v/>
      </c>
    </row>
    <row r="198" spans="1:47" ht="22.2" customHeight="1">
      <c r="A198" s="184">
        <f t="shared" si="74"/>
        <v>121</v>
      </c>
      <c r="B198" s="183" t="str">
        <f t="shared" ca="1" si="72"/>
        <v/>
      </c>
      <c r="C198" s="183" t="str">
        <f>IF(OR(クライアント抽出!D58&lt;&gt;"",クライアント抽出!G58&lt;&gt;""),クライアント抽出!A58,"")</f>
        <v/>
      </c>
      <c r="D198" s="183" t="str">
        <f t="array" aca="1" ref="D198" ca="1">IF(C198&lt;&gt;"",INDIRECT("クライアント抽出!"&amp;E198&amp;MATCH(C198,クライアント抽出!A:A,0)&amp;""),"")</f>
        <v/>
      </c>
      <c r="E198" s="183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86" t="str">
        <f ca="1">IF(D198&lt;&gt;"",
IF(COUNTIF(C198,"*雙葉*"),
IF(ROUND((H198-M198)
/IF(COUNTIF(D198,"*キャラ*"),
VLOOKUP("*キャラ*",商品マスタ一覧!$D:$E,2,FALSE),
IF(COUNTIF(D198,"*赤*"),
VLOOKUP("*赤*",商品マスタ一覧!$D:$E,2,FALSE),
VLOOKUP("*"&amp;D198&amp;"*",商品マスタ一覧!$D:$E,2,FALSE))),0)&lt;=0,1,
ROUND((H198-M198)
/IF(COUNTIF(D198,"*キャラ*"),
VLOOKUP("*キャラ*",商品マスタ一覧!$D:$E,2,FALSE),
IF(COUNTIF(D198,"*赤*"),
VLOOKUP("*赤*",商品マスタ一覧!$D:$E,2,FALSE),
VLOOKUP("*"&amp;D198&amp;"*",商品マスタ一覧!$D:$E,2,FALSE))),0)),
IF(OR(COUNTIF(D198,"*キャラ*"),COUNTIF(D198,"*赤*")),"",
IF(VLOOKUP("*"&amp;D198&amp;"*",商品マスタ一覧!$D:$E,2,FALSE)=0,"",
IF(ROUND((H198-M198)
/VLOOKUP("*"&amp;D198&amp;"*",商品マスタ一覧!$D:$E,2,FALSE),0)&lt;=0,1,
ROUND((H198-M198)
/VLOOKUP("*"&amp;D198&amp;"*",商品マスタ一覧!$D:$E,2,FALSE),0))))),"")</f>
        <v/>
      </c>
      <c r="G198" s="183" t="str">
        <f ca="1">IF(F198&lt;&gt;"",
IF(VALUE(H198-M198)&gt;VALUE(IF(COUNTIF(D198,"*キャラ*"),
VLOOKUP("*キャラ*",商品マスタ一覧!$D:$E,2,FALSE),
IF(COUNTIF(D198,"*赤*"),
VLOOKUP("*赤*",商品マスタ一覧!$D:$E,2,FALSE),
VLOOKUP("*"&amp;D198&amp;"*",商品マスタ一覧!$D:$E,2,FALSE)))*F198),
"+"&amp;(H198-M198)-IF(COUNTIF(D198,"*キャラ*"),
VLOOKUP("*キャラ*",商品マスタ一覧!$D:$E,2,FALSE),
IF(COUNTIF(D198,"*赤*"),
VLOOKUP("*赤*",商品マスタ一覧!$D:$E,2,FALSE),
VLOOKUP("*"&amp;D198&amp;"*",商品マスタ一覧!$D:$E,2,FALSE)))*F198,
(H198-M198)-IF(COUNTIF(D198,"*キャラ*"),
VLOOKUP("*キャラ*",商品マスタ一覧!$D:$E,2,FALSE),
IF(COUNTIF(D198,"*赤*"),
VLOOKUP("*赤*",商品マスタ一覧!$D:$E,2,FALSE),
VLOOKUP("*"&amp;D198&amp;"*",商品マスタ一覧!$D:$E,2,FALSE)))*F198),"")</f>
        <v/>
      </c>
      <c r="H198" s="185" t="str">
        <f>IF(C198&lt;&gt;"",
クライアント抽出!D58,"")</f>
        <v/>
      </c>
      <c r="I198" s="183" t="str">
        <f>IF(C198&lt;&gt;"",
IF(O198=1,0,クライアント抽出!F58),"")</f>
        <v/>
      </c>
      <c r="J198" s="183" t="str">
        <f>IF(C198&lt;&gt;"",
VLOOKUP(
"*"&amp;LEFT(IF(COUNTIF(D198,"*学食*"),"キャラ弁（学食）",
IF(COUNTIF(D198,"*赤*"),"赤",
IF(COUNTIF(D198,"*キャラ弁当*"),"キャラ弁当",D198))),4)&amp;"*",注文弁当の抽出!$E$1:$F$15,2,FALSE),"")</f>
        <v/>
      </c>
      <c r="K198" s="183" t="str">
        <f ca="1">IF(クライアント抽出!R58&lt;&gt;"",SUBSTITUTE(ADDRESS(1,(CODE(クライアント抽出!R58)-64)*2-1,4),"1",""),"")</f>
        <v/>
      </c>
      <c r="L198" s="183" t="str">
        <f>IF(C58&lt;&gt;"",クライアント抽出!I58,"")</f>
        <v/>
      </c>
      <c r="M198" s="183">
        <f t="array" aca="1" ref="M198" ca="1">IF(C198&lt;&gt;"",
IF(K198&lt;&gt;"",INDIRECT("'数出表_Excel（アレルギー入力）'!"&amp;K198&amp;L198-1&amp;""),),)</f>
        <v>0</v>
      </c>
      <c r="N198" s="183" t="str">
        <f>IF(C198&lt;&gt;"",IF(OR(COUNTIF('盛付札（関数）'!D198,"*赤*"),COUNTIF('盛付札（関数）'!D198,"*キャラ*")),1,
VLOOKUP("*"&amp;D198&amp;"*",商品マスタ一覧!D:H,5,FALSE)),"")</f>
        <v/>
      </c>
      <c r="O198" s="183">
        <f t="shared" ca="1" si="73"/>
        <v>0</v>
      </c>
      <c r="P198" s="183">
        <f t="shared" si="75"/>
        <v>0</v>
      </c>
      <c r="Q198" s="183" t="b">
        <f t="shared" si="76"/>
        <v>0</v>
      </c>
      <c r="R198" s="51" t="str">
        <f t="array" aca="1" ref="R198" ca="1">IFERROR(SMALL(IF(P$1:P$307&lt;&gt;0,P$1:P$307),ROW(A198)),"")</f>
        <v/>
      </c>
      <c r="S198" s="51" t="str">
        <f t="array" aca="1" ref="S198" ca="1">IF($R198&lt;&gt;"",
SUBSTITUTE(SUBSTITUTE(INDIRECT("C"&amp;$R198&amp;"")," 週3ｺｰｽ","")," 週5ｺｰｽ",""),"")</f>
        <v/>
      </c>
      <c r="T198" s="51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91" t="str">
        <f t="array" aca="1" ref="U198" ca="1">IF($R198&lt;&gt;"",
INDIRECT("F"&amp;$R198&amp;""),"")</f>
        <v/>
      </c>
      <c r="V198" s="51" t="str">
        <f t="array" aca="1" ref="V198" ca="1">IF($R198&lt;&gt;"",
INDIRECT("G"&amp;$R198&amp;""),"")</f>
        <v/>
      </c>
      <c r="W198" s="51" t="str">
        <f t="array" aca="1" ref="W198" ca="1">IF($R198&lt;&gt;"",
IF(AND(COUNTIF(INDIRECT("B"&amp;R198&amp;""),"*雙葉*"),COUNTIF(B:B,"*雙葉*")&gt;=2),
IF(OR(COUNTIF(INDIRECT("B"&amp;R198&amp;""),"*雙葉先生*"),COUNTIF($B$1:$B$70,"*雙葉*")&gt;=2),INDIRECT("H"&amp;R198&amp;""),INDIRECT("H"&amp;R198&amp;"")+INDIRECT("H"&amp;MATCH("雙葉'",INDIRECT("B"&amp;R198+3&amp;":B210"),0)+2+R198&amp;"")),
IF(AND(LEFT(INDIRECT("B"&amp;R198&amp;""),2)="博多",COUNTIF(B:B,"*博多*")&gt;=2),
INDIRECT("H"&amp;R198&amp;"")+INDIRECT("H"&amp;MATCH("*"&amp;INDIRECT("B"&amp;R198&amp;"")&amp;"*",INDIRECT("B"&amp;R198+1&amp;":B210"),0)+R198&amp;""),
IF(AND(LEFT(INDIRECT("B"&amp;R198&amp;""),3)="奈良屋",COUNTIF(B:B,"*奈良屋*")&gt;=2),
INDIRECT("H"&amp;R198&amp;"")+INDIRECT("H"&amp;MATCH("*"&amp;INDIRECT("B"&amp;R198&amp;"")&amp;"*",INDIRECT("B"&amp;R198+1&amp;":B210"),0)+R198&amp;"")
+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INDIRECT("H"&amp;R198&amp;"")))),"")</f>
        <v/>
      </c>
      <c r="X198" s="51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51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51" t="str">
        <f t="shared" ca="1" si="77"/>
        <v/>
      </c>
      <c r="AA198" s="51" t="str">
        <f t="shared" ca="1" si="78"/>
        <v/>
      </c>
      <c r="AB198" s="51" t="str">
        <f t="array" aca="1" ref="AB198" ca="1">IF($R198&lt;&gt;"",
IF(AND(COUNTIF(INDIRECT("B"&amp;R198&amp;""),"*雙葉*"),COUNTIF(B:B,"*雙葉*")&gt;=2),
INDIRECT("M"&amp;R198&amp;"")+INDIRECT("M"&amp;MATCH("雙葉'",INDIRECT("B"&amp;R198+1&amp;":B210"),0)+R198&amp;""),
IF(AND(LEFT(INDIRECT("B"&amp;R198&amp;""),2)="博多",COUNTIF(B:B,"*博多*")&gt;=2),
INDIRECT("M"&amp;R198&amp;"")+INDIRECT("M"&amp;MATCH("*"&amp;INDIRECT("B"&amp;R198&amp;"")&amp;"*",INDIRECT("B"&amp;R198+1&amp;":B210"),0)+R198&amp;""),
IF(AND(LEFT(INDIRECT("B"&amp;R198&amp;""),3)="奈良屋",COUNTIF(B:B,"*奈良屋*")&gt;=2),
INDIRECT("M"&amp;R198&amp;"")+INDIRECT("M"&amp;MATCH("*"&amp;INDIRECT("B"&amp;R198&amp;"")&amp;"*",INDIRECT("B"&amp;R198+1&amp;":B210"),0)+R198&amp;"")
+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INDIRECT("M"&amp;R198&amp;"")))),"")</f>
        <v/>
      </c>
      <c r="AC198" s="51" t="str">
        <f t="shared" ca="1" si="79"/>
        <v/>
      </c>
      <c r="AD198" s="51" t="str">
        <f t="shared" ca="1" si="80"/>
        <v/>
      </c>
      <c r="AE198" s="51" t="str">
        <f t="shared" ca="1" si="81"/>
        <v/>
      </c>
      <c r="AF198" s="51" t="str">
        <f t="shared" ca="1" si="82"/>
        <v/>
      </c>
      <c r="AG198" s="51" t="str">
        <f t="shared" ca="1" si="83"/>
        <v/>
      </c>
      <c r="AH198" s="191" t="str">
        <f t="shared" ca="1" si="84"/>
        <v/>
      </c>
      <c r="AI198" s="51" t="str">
        <f t="shared" ca="1" si="85"/>
        <v/>
      </c>
      <c r="AJ198" s="51" t="str">
        <f t="shared" ca="1" si="86"/>
        <v/>
      </c>
      <c r="AK198" s="51" t="str">
        <f t="shared" ca="1" si="87"/>
        <v/>
      </c>
      <c r="AL198" s="51" t="str">
        <f t="shared" ca="1" si="88"/>
        <v/>
      </c>
      <c r="AM198" s="51" t="str">
        <f t="shared" ca="1" si="89"/>
        <v/>
      </c>
      <c r="AN198" s="51" t="str">
        <f t="shared" ca="1" si="90"/>
        <v/>
      </c>
      <c r="AO198" s="51" t="str">
        <f t="shared" ca="1" si="91"/>
        <v/>
      </c>
      <c r="AP198" s="51" t="str">
        <f t="shared" ca="1" si="92"/>
        <v/>
      </c>
      <c r="AU198" s="51" t="str">
        <f t="shared" ca="1" si="93"/>
        <v/>
      </c>
    </row>
    <row r="199" spans="1:47" ht="22.2" customHeight="1">
      <c r="A199" s="184">
        <f t="shared" si="74"/>
        <v>123</v>
      </c>
      <c r="B199" s="183" t="str">
        <f t="shared" ref="B199:B210" ca="1" si="94">IF(COUNTIF(C199,"*雙葉*"),
IF(COUNTIF(INDIRECT("B1:B"&amp;ROW()-1&amp;""),"雙葉"),
IF(COUNTIF(C199,"*先生*"),"雙葉先生","雙葉'"),"雙葉"),
IF(COUNTIF(C199,"*社食*"),"社食'",
IF(LEFT(C199,2)="博多",
IF(IFERROR(TRIM(LEFT(C198,FIND("幼",C198)-1)),TRIM(C198))=IFERROR(TRIM(LEFT(C199,FIND("幼",C199)-1)),TRIM(C199)),
IFERROR(TRIM(LEFT(C199,FIND("幼",C199)-1)),TRIM(C199))&amp;"'",IFERROR(TRIM(LEFT(C199,FIND("幼",C199)-1)),TRIM(C199))),
IF(LEFT(C199,3)="奈良屋",
IF(TRIM(LEFT(C198,FIND("幼",C198)-1))=TRIM(LEFT(C199,FIND("幼",C199)-1)),
"奈良屋'","奈良屋"),""))))</f>
        <v/>
      </c>
      <c r="C199" s="183" t="str">
        <f>IF(OR(クライアント抽出!D59&lt;&gt;"",クライアント抽出!G59&lt;&gt;""),クライアント抽出!A59,"")</f>
        <v/>
      </c>
      <c r="D199" s="183" t="str">
        <f t="array" aca="1" ref="D199" ca="1">IF(C199&lt;&gt;"",INDIRECT("クライアント抽出!"&amp;E199&amp;MATCH(C199,クライアント抽出!A:A,0)&amp;""),"")</f>
        <v/>
      </c>
      <c r="E199" s="183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86" t="str">
        <f ca="1">IF(D199&lt;&gt;"",
IF(COUNTIF(C199,"*雙葉*"),
IF(ROUND((H199-M199)
/IF(COUNTIF(D199,"*キャラ*"),
VLOOKUP("*キャラ*",商品マスタ一覧!$D:$E,2,FALSE),
IF(COUNTIF(D199,"*赤*"),
VLOOKUP("*赤*",商品マスタ一覧!$D:$E,2,FALSE),
VLOOKUP("*"&amp;D199&amp;"*",商品マスタ一覧!$D:$E,2,FALSE))),0)&lt;=0,1,
ROUND((H199-M199)
/IF(COUNTIF(D199,"*キャラ*"),
VLOOKUP("*キャラ*",商品マスタ一覧!$D:$E,2,FALSE),
IF(COUNTIF(D199,"*赤*"),
VLOOKUP("*赤*",商品マスタ一覧!$D:$E,2,FALSE),
VLOOKUP("*"&amp;D199&amp;"*",商品マスタ一覧!$D:$E,2,FALSE))),0)),
IF(OR(COUNTIF(D199,"*キャラ*"),COUNTIF(D199,"*赤*")),"",
IF(VLOOKUP("*"&amp;D199&amp;"*",商品マスタ一覧!$D:$E,2,FALSE)=0,"",
IF(ROUND((H199-M199)
/VLOOKUP("*"&amp;D199&amp;"*",商品マスタ一覧!$D:$E,2,FALSE),0)&lt;=0,1,
ROUND((H199-M199)
/VLOOKUP("*"&amp;D199&amp;"*",商品マスタ一覧!$D:$E,2,FALSE),0))))),"")</f>
        <v/>
      </c>
      <c r="G199" s="183" t="str">
        <f ca="1">IF(F199&lt;&gt;"",
IF(VALUE(H199-M199)&gt;VALUE(IF(COUNTIF(D199,"*キャラ*"),
VLOOKUP("*キャラ*",商品マスタ一覧!$D:$E,2,FALSE),
IF(COUNTIF(D199,"*赤*"),
VLOOKUP("*赤*",商品マスタ一覧!$D:$E,2,FALSE),
VLOOKUP("*"&amp;D199&amp;"*",商品マスタ一覧!$D:$E,2,FALSE)))*F199),
"+"&amp;(H199-M199)-IF(COUNTIF(D199,"*キャラ*"),
VLOOKUP("*キャラ*",商品マスタ一覧!$D:$E,2,FALSE),
IF(COUNTIF(D199,"*赤*"),
VLOOKUP("*赤*",商品マスタ一覧!$D:$E,2,FALSE),
VLOOKUP("*"&amp;D199&amp;"*",商品マスタ一覧!$D:$E,2,FALSE)))*F199,
(H199-M199)-IF(COUNTIF(D199,"*キャラ*"),
VLOOKUP("*キャラ*",商品マスタ一覧!$D:$E,2,FALSE),
IF(COUNTIF(D199,"*赤*"),
VLOOKUP("*赤*",商品マスタ一覧!$D:$E,2,FALSE),
VLOOKUP("*"&amp;D199&amp;"*",商品マスタ一覧!$D:$E,2,FALSE)))*F199),"")</f>
        <v/>
      </c>
      <c r="H199" s="185" t="str">
        <f>IF(C199&lt;&gt;"",
クライアント抽出!D59,"")</f>
        <v/>
      </c>
      <c r="I199" s="183" t="str">
        <f>IF(C199&lt;&gt;"",
IF(O199=1,0,クライアント抽出!F59),"")</f>
        <v/>
      </c>
      <c r="J199" s="183" t="str">
        <f>IF(C199&lt;&gt;"",
VLOOKUP(
"*"&amp;LEFT(IF(COUNTIF(D199,"*学食*"),"キャラ弁（学食）",
IF(COUNTIF(D199,"*赤*"),"赤",
IF(COUNTIF(D199,"*キャラ弁当*"),"キャラ弁当",D199))),4)&amp;"*",注文弁当の抽出!$E$1:$F$15,2,FALSE),"")</f>
        <v/>
      </c>
      <c r="K199" s="183" t="str">
        <f ca="1">IF(クライアント抽出!R59&lt;&gt;"",SUBSTITUTE(ADDRESS(1,(CODE(クライアント抽出!R59)-64)*2-1,4),"1",""),"")</f>
        <v/>
      </c>
      <c r="L199" s="183" t="str">
        <f>IF(C59&lt;&gt;"",クライアント抽出!I59,"")</f>
        <v/>
      </c>
      <c r="M199" s="183">
        <f t="array" aca="1" ref="M199" ca="1">IF(C199&lt;&gt;"",
IF(K199&lt;&gt;"",INDIRECT("'数出表_Excel（アレルギー入力）'!"&amp;K199&amp;L199-1&amp;""),),)</f>
        <v>0</v>
      </c>
      <c r="N199" s="183" t="str">
        <f>IF(C199&lt;&gt;"",IF(OR(COUNTIF('盛付札（関数）'!D199,"*赤*"),COUNTIF('盛付札（関数）'!D199,"*キャラ*")),1,
VLOOKUP("*"&amp;D199&amp;"*",商品マスタ一覧!D:H,5,FALSE)),"")</f>
        <v/>
      </c>
      <c r="O199" s="183">
        <f t="shared" ca="1" si="73"/>
        <v>0</v>
      </c>
      <c r="P199" s="183">
        <f t="shared" si="75"/>
        <v>0</v>
      </c>
      <c r="Q199" s="183" t="b">
        <f t="shared" si="76"/>
        <v>0</v>
      </c>
      <c r="R199" s="51" t="str">
        <f t="array" aca="1" ref="R199" ca="1">IFERROR(SMALL(IF(P$1:P$307&lt;&gt;0,P$1:P$307),ROW(A199)),"")</f>
        <v/>
      </c>
      <c r="S199" s="51" t="str">
        <f t="array" aca="1" ref="S199" ca="1">IF($R199&lt;&gt;"",
SUBSTITUTE(SUBSTITUTE(INDIRECT("C"&amp;$R199&amp;"")," 週3ｺｰｽ","")," 週5ｺｰｽ",""),"")</f>
        <v/>
      </c>
      <c r="T199" s="51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91" t="str">
        <f t="array" aca="1" ref="U199" ca="1">IF($R199&lt;&gt;"",
INDIRECT("F"&amp;$R199&amp;""),"")</f>
        <v/>
      </c>
      <c r="V199" s="51" t="str">
        <f t="array" aca="1" ref="V199" ca="1">IF($R199&lt;&gt;"",
INDIRECT("G"&amp;$R199&amp;""),"")</f>
        <v/>
      </c>
      <c r="W199" s="51" t="str">
        <f t="array" aca="1" ref="W199" ca="1">IF($R199&lt;&gt;"",
IF(AND(COUNTIF(INDIRECT("B"&amp;R199&amp;""),"*雙葉*"),COUNTIF(B:B,"*雙葉*")&gt;=2),
IF(OR(COUNTIF(INDIRECT("B"&amp;R199&amp;""),"*雙葉先生*"),COUNTIF($B$1:$B$70,"*雙葉*")&gt;=2),INDIRECT("H"&amp;R199&amp;""),INDIRECT("H"&amp;R199&amp;"")+INDIRECT("H"&amp;MATCH("雙葉'",INDIRECT("B"&amp;R199+3&amp;":B210"),0)+2+R199&amp;"")),
IF(AND(LEFT(INDIRECT("B"&amp;R199&amp;""),2)="博多",COUNTIF(B:B,"*博多*")&gt;=2),
INDIRECT("H"&amp;R199&amp;"")+INDIRECT("H"&amp;MATCH("*"&amp;INDIRECT("B"&amp;R199&amp;"")&amp;"*",INDIRECT("B"&amp;R199+1&amp;":B210"),0)+R199&amp;""),
IF(AND(LEFT(INDIRECT("B"&amp;R199&amp;""),3)="奈良屋",COUNTIF(B:B,"*奈良屋*")&gt;=2),
INDIRECT("H"&amp;R199&amp;"")+INDIRECT("H"&amp;MATCH("*"&amp;INDIRECT("B"&amp;R199&amp;"")&amp;"*",INDIRECT("B"&amp;R199+1&amp;":B210"),0)+R199&amp;"")
+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INDIRECT("H"&amp;R199&amp;"")))),"")</f>
        <v/>
      </c>
      <c r="X199" s="51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51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51" t="str">
        <f t="shared" ca="1" si="77"/>
        <v/>
      </c>
      <c r="AA199" s="51" t="str">
        <f t="shared" ca="1" si="78"/>
        <v/>
      </c>
      <c r="AB199" s="51" t="str">
        <f t="array" aca="1" ref="AB199" ca="1">IF($R199&lt;&gt;"",
IF(AND(COUNTIF(INDIRECT("B"&amp;R199&amp;""),"*雙葉*"),COUNTIF(B:B,"*雙葉*")&gt;=2),
INDIRECT("M"&amp;R199&amp;"")+INDIRECT("M"&amp;MATCH("雙葉'",INDIRECT("B"&amp;R199+1&amp;":B210"),0)+R199&amp;""),
IF(AND(LEFT(INDIRECT("B"&amp;R199&amp;""),2)="博多",COUNTIF(B:B,"*博多*")&gt;=2),
INDIRECT("M"&amp;R199&amp;"")+INDIRECT("M"&amp;MATCH("*"&amp;INDIRECT("B"&amp;R199&amp;"")&amp;"*",INDIRECT("B"&amp;R199+1&amp;":B210"),0)+R199&amp;""),
IF(AND(LEFT(INDIRECT("B"&amp;R199&amp;""),3)="奈良屋",COUNTIF(B:B,"*奈良屋*")&gt;=2),
INDIRECT("M"&amp;R199&amp;"")+INDIRECT("M"&amp;MATCH("*"&amp;INDIRECT("B"&amp;R199&amp;"")&amp;"*",INDIRECT("B"&amp;R199+1&amp;":B210"),0)+R199&amp;"")
+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INDIRECT("M"&amp;R199&amp;"")))),"")</f>
        <v/>
      </c>
      <c r="AC199" s="51" t="str">
        <f t="shared" ca="1" si="79"/>
        <v/>
      </c>
      <c r="AD199" s="51" t="str">
        <f t="shared" ca="1" si="80"/>
        <v/>
      </c>
      <c r="AE199" s="51" t="str">
        <f t="shared" ca="1" si="81"/>
        <v/>
      </c>
      <c r="AF199" s="51" t="str">
        <f t="shared" ca="1" si="82"/>
        <v/>
      </c>
      <c r="AG199" s="51" t="str">
        <f t="shared" ca="1" si="83"/>
        <v/>
      </c>
      <c r="AH199" s="191" t="str">
        <f t="shared" ca="1" si="84"/>
        <v/>
      </c>
      <c r="AI199" s="51" t="str">
        <f t="shared" ca="1" si="85"/>
        <v/>
      </c>
      <c r="AJ199" s="51" t="str">
        <f t="shared" ca="1" si="86"/>
        <v/>
      </c>
      <c r="AK199" s="51" t="str">
        <f t="shared" ca="1" si="87"/>
        <v/>
      </c>
      <c r="AL199" s="51" t="str">
        <f t="shared" ca="1" si="88"/>
        <v/>
      </c>
      <c r="AM199" s="51" t="str">
        <f t="shared" ca="1" si="89"/>
        <v/>
      </c>
      <c r="AN199" s="51" t="str">
        <f t="shared" ca="1" si="90"/>
        <v/>
      </c>
      <c r="AO199" s="51" t="str">
        <f t="shared" ca="1" si="91"/>
        <v/>
      </c>
      <c r="AP199" s="51" t="str">
        <f t="shared" ca="1" si="92"/>
        <v/>
      </c>
      <c r="AU199" s="51" t="str">
        <f t="shared" ca="1" si="93"/>
        <v/>
      </c>
    </row>
    <row r="200" spans="1:47" ht="22.2" customHeight="1">
      <c r="A200" s="184">
        <f t="shared" si="74"/>
        <v>125</v>
      </c>
      <c r="B200" s="183" t="str">
        <f t="shared" ca="1" si="94"/>
        <v/>
      </c>
      <c r="C200" s="183" t="str">
        <f>IF(OR(クライアント抽出!D60&lt;&gt;"",クライアント抽出!G60&lt;&gt;""),クライアント抽出!A60,"")</f>
        <v/>
      </c>
      <c r="D200" s="183" t="str">
        <f t="array" aca="1" ref="D200" ca="1">IF(C200&lt;&gt;"",INDIRECT("クライアント抽出!"&amp;E200&amp;MATCH(C200,クライアント抽出!A:A,0)&amp;""),"")</f>
        <v/>
      </c>
      <c r="E200" s="183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86" t="str">
        <f ca="1">IF(D200&lt;&gt;"",
IF(COUNTIF(C200,"*雙葉*"),
IF(ROUND((H200-M200)
/IF(COUNTIF(D200,"*キャラ*"),
VLOOKUP("*キャラ*",商品マスタ一覧!$D:$E,2,FALSE),
IF(COUNTIF(D200,"*赤*"),
VLOOKUP("*赤*",商品マスタ一覧!$D:$E,2,FALSE),
VLOOKUP("*"&amp;D200&amp;"*",商品マスタ一覧!$D:$E,2,FALSE))),0)&lt;=0,1,
ROUND((H200-M200)
/IF(COUNTIF(D200,"*キャラ*"),
VLOOKUP("*キャラ*",商品マスタ一覧!$D:$E,2,FALSE),
IF(COUNTIF(D200,"*赤*"),
VLOOKUP("*赤*",商品マスタ一覧!$D:$E,2,FALSE),
VLOOKUP("*"&amp;D200&amp;"*",商品マスタ一覧!$D:$E,2,FALSE))),0)),
IF(OR(COUNTIF(D200,"*キャラ*"),COUNTIF(D200,"*赤*")),"",
IF(VLOOKUP("*"&amp;D200&amp;"*",商品マスタ一覧!$D:$E,2,FALSE)=0,"",
IF(ROUND((H200-M200)
/VLOOKUP("*"&amp;D200&amp;"*",商品マスタ一覧!$D:$E,2,FALSE),0)&lt;=0,1,
ROUND((H200-M200)
/VLOOKUP("*"&amp;D200&amp;"*",商品マスタ一覧!$D:$E,2,FALSE),0))))),"")</f>
        <v/>
      </c>
      <c r="G200" s="183" t="str">
        <f ca="1">IF(F200&lt;&gt;"",
IF(VALUE(H200-M200)&gt;VALUE(IF(COUNTIF(D200,"*キャラ*"),
VLOOKUP("*キャラ*",商品マスタ一覧!$D:$E,2,FALSE),
IF(COUNTIF(D200,"*赤*"),
VLOOKUP("*赤*",商品マスタ一覧!$D:$E,2,FALSE),
VLOOKUP("*"&amp;D200&amp;"*",商品マスタ一覧!$D:$E,2,FALSE)))*F200),
"+"&amp;(H200-M200)-IF(COUNTIF(D200,"*キャラ*"),
VLOOKUP("*キャラ*",商品マスタ一覧!$D:$E,2,FALSE),
IF(COUNTIF(D200,"*赤*"),
VLOOKUP("*赤*",商品マスタ一覧!$D:$E,2,FALSE),
VLOOKUP("*"&amp;D200&amp;"*",商品マスタ一覧!$D:$E,2,FALSE)))*F200,
(H200-M200)-IF(COUNTIF(D200,"*キャラ*"),
VLOOKUP("*キャラ*",商品マスタ一覧!$D:$E,2,FALSE),
IF(COUNTIF(D200,"*赤*"),
VLOOKUP("*赤*",商品マスタ一覧!$D:$E,2,FALSE),
VLOOKUP("*"&amp;D200&amp;"*",商品マスタ一覧!$D:$E,2,FALSE)))*F200),"")</f>
        <v/>
      </c>
      <c r="H200" s="185" t="str">
        <f>IF(C200&lt;&gt;"",
クライアント抽出!D60,"")</f>
        <v/>
      </c>
      <c r="I200" s="183" t="str">
        <f>IF(C200&lt;&gt;"",
IF(O200=1,0,クライアント抽出!F60),"")</f>
        <v/>
      </c>
      <c r="J200" s="183" t="str">
        <f>IF(C200&lt;&gt;"",
VLOOKUP(
"*"&amp;LEFT(IF(COUNTIF(D200,"*学食*"),"キャラ弁（学食）",
IF(COUNTIF(D200,"*赤*"),"赤",
IF(COUNTIF(D200,"*キャラ弁当*"),"キャラ弁当",D200))),4)&amp;"*",注文弁当の抽出!$E$1:$F$15,2,FALSE),"")</f>
        <v/>
      </c>
      <c r="K200" s="183" t="str">
        <f ca="1">IF(クライアント抽出!R60&lt;&gt;"",SUBSTITUTE(ADDRESS(1,(CODE(クライアント抽出!R60)-64)*2-1,4),"1",""),"")</f>
        <v/>
      </c>
      <c r="L200" s="183" t="str">
        <f>IF(C60&lt;&gt;"",クライアント抽出!I60,"")</f>
        <v/>
      </c>
      <c r="M200" s="183">
        <f t="array" aca="1" ref="M200" ca="1">IF(C200&lt;&gt;"",
IF(K200&lt;&gt;"",INDIRECT("'数出表_Excel（アレルギー入力）'!"&amp;K200&amp;L200-1&amp;""),),)</f>
        <v>0</v>
      </c>
      <c r="N200" s="183" t="str">
        <f>IF(C200&lt;&gt;"",IF(OR(COUNTIF('盛付札（関数）'!D200,"*赤*"),COUNTIF('盛付札（関数）'!D200,"*キャラ*")),1,
VLOOKUP("*"&amp;D200&amp;"*",商品マスタ一覧!D:H,5,FALSE)),"")</f>
        <v/>
      </c>
      <c r="O200" s="183">
        <f t="shared" ca="1" si="73"/>
        <v>0</v>
      </c>
      <c r="P200" s="183">
        <f t="shared" si="75"/>
        <v>0</v>
      </c>
      <c r="Q200" s="183" t="b">
        <f t="shared" si="76"/>
        <v>0</v>
      </c>
      <c r="R200" s="51" t="str">
        <f t="array" aca="1" ref="R200" ca="1">IFERROR(SMALL(IF(P$1:P$307&lt;&gt;0,P$1:P$307),ROW(A200)),"")</f>
        <v/>
      </c>
      <c r="S200" s="51" t="str">
        <f t="array" aca="1" ref="S200" ca="1">IF($R200&lt;&gt;"",
SUBSTITUTE(SUBSTITUTE(INDIRECT("C"&amp;$R200&amp;"")," 週3ｺｰｽ","")," 週5ｺｰｽ",""),"")</f>
        <v/>
      </c>
      <c r="T200" s="51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91" t="str">
        <f t="array" aca="1" ref="U200" ca="1">IF($R200&lt;&gt;"",
INDIRECT("F"&amp;$R200&amp;""),"")</f>
        <v/>
      </c>
      <c r="V200" s="51" t="str">
        <f t="array" aca="1" ref="V200" ca="1">IF($R200&lt;&gt;"",
INDIRECT("G"&amp;$R200&amp;""),"")</f>
        <v/>
      </c>
      <c r="W200" s="51" t="str">
        <f t="array" aca="1" ref="W200" ca="1">IF($R200&lt;&gt;"",
IF(AND(COUNTIF(INDIRECT("B"&amp;R200&amp;""),"*雙葉*"),COUNTIF(B:B,"*雙葉*")&gt;=2),
IF(OR(COUNTIF(INDIRECT("B"&amp;R200&amp;""),"*雙葉先生*"),COUNTIF($B$1:$B$70,"*雙葉*")&gt;=2),INDIRECT("H"&amp;R200&amp;""),INDIRECT("H"&amp;R200&amp;"")+INDIRECT("H"&amp;MATCH("雙葉'",INDIRECT("B"&amp;R200+3&amp;":B210"),0)+2+R200&amp;"")),
IF(AND(LEFT(INDIRECT("B"&amp;R200&amp;""),2)="博多",COUNTIF(B:B,"*博多*")&gt;=2),
INDIRECT("H"&amp;R200&amp;"")+INDIRECT("H"&amp;MATCH("*"&amp;INDIRECT("B"&amp;R200&amp;"")&amp;"*",INDIRECT("B"&amp;R200+1&amp;":B210"),0)+R200&amp;""),
IF(AND(LEFT(INDIRECT("B"&amp;R200&amp;""),3)="奈良屋",COUNTIF(B:B,"*奈良屋*")&gt;=2),
INDIRECT("H"&amp;R200&amp;"")+INDIRECT("H"&amp;MATCH("*"&amp;INDIRECT("B"&amp;R200&amp;"")&amp;"*",INDIRECT("B"&amp;R200+1&amp;":B210"),0)+R200&amp;"")
+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INDIRECT("H"&amp;R200&amp;"")))),"")</f>
        <v/>
      </c>
      <c r="X200" s="51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51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51" t="str">
        <f t="shared" ca="1" si="77"/>
        <v/>
      </c>
      <c r="AA200" s="51" t="str">
        <f t="shared" ca="1" si="78"/>
        <v/>
      </c>
      <c r="AB200" s="51" t="str">
        <f t="array" aca="1" ref="AB200" ca="1">IF($R200&lt;&gt;"",
IF(AND(COUNTIF(INDIRECT("B"&amp;R200&amp;""),"*雙葉*"),COUNTIF(B:B,"*雙葉*")&gt;=2),
INDIRECT("M"&amp;R200&amp;"")+INDIRECT("M"&amp;MATCH("雙葉'",INDIRECT("B"&amp;R200+1&amp;":B210"),0)+R200&amp;""),
IF(AND(LEFT(INDIRECT("B"&amp;R200&amp;""),2)="博多",COUNTIF(B:B,"*博多*")&gt;=2),
INDIRECT("M"&amp;R200&amp;"")+INDIRECT("M"&amp;MATCH("*"&amp;INDIRECT("B"&amp;R200&amp;"")&amp;"*",INDIRECT("B"&amp;R200+1&amp;":B210"),0)+R200&amp;""),
IF(AND(LEFT(INDIRECT("B"&amp;R200&amp;""),3)="奈良屋",COUNTIF(B:B,"*奈良屋*")&gt;=2),
INDIRECT("M"&amp;R200&amp;"")+INDIRECT("M"&amp;MATCH("*"&amp;INDIRECT("B"&amp;R200&amp;"")&amp;"*",INDIRECT("B"&amp;R200+1&amp;":B210"),0)+R200&amp;"")
+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INDIRECT("M"&amp;R200&amp;"")))),"")</f>
        <v/>
      </c>
      <c r="AC200" s="51" t="str">
        <f t="shared" ca="1" si="79"/>
        <v/>
      </c>
      <c r="AD200" s="51" t="str">
        <f t="shared" ca="1" si="80"/>
        <v/>
      </c>
      <c r="AE200" s="51" t="str">
        <f t="shared" ca="1" si="81"/>
        <v/>
      </c>
      <c r="AF200" s="51" t="str">
        <f t="shared" ca="1" si="82"/>
        <v/>
      </c>
      <c r="AG200" s="51" t="str">
        <f t="shared" ca="1" si="83"/>
        <v/>
      </c>
      <c r="AH200" s="191" t="str">
        <f t="shared" ca="1" si="84"/>
        <v/>
      </c>
      <c r="AI200" s="51" t="str">
        <f t="shared" ca="1" si="85"/>
        <v/>
      </c>
      <c r="AJ200" s="51" t="str">
        <f t="shared" ca="1" si="86"/>
        <v/>
      </c>
      <c r="AK200" s="51" t="str">
        <f t="shared" ca="1" si="87"/>
        <v/>
      </c>
      <c r="AL200" s="51" t="str">
        <f t="shared" ca="1" si="88"/>
        <v/>
      </c>
      <c r="AM200" s="51" t="str">
        <f t="shared" ca="1" si="89"/>
        <v/>
      </c>
      <c r="AN200" s="51" t="str">
        <f t="shared" ca="1" si="90"/>
        <v/>
      </c>
      <c r="AO200" s="51" t="str">
        <f t="shared" ca="1" si="91"/>
        <v/>
      </c>
      <c r="AP200" s="51" t="str">
        <f t="shared" ca="1" si="92"/>
        <v/>
      </c>
      <c r="AU200" s="51" t="str">
        <f t="shared" ca="1" si="93"/>
        <v/>
      </c>
    </row>
    <row r="201" spans="1:47" ht="22.2" customHeight="1">
      <c r="A201" s="184">
        <f t="shared" si="74"/>
        <v>127</v>
      </c>
      <c r="B201" s="183" t="str">
        <f t="shared" ca="1" si="94"/>
        <v/>
      </c>
      <c r="C201" s="183" t="str">
        <f>IF(OR(クライアント抽出!D61&lt;&gt;"",クライアント抽出!G61&lt;&gt;""),クライアント抽出!A61,"")</f>
        <v/>
      </c>
      <c r="D201" s="183" t="str">
        <f t="array" aca="1" ref="D201" ca="1">IF(C201&lt;&gt;"",INDIRECT("クライアント抽出!"&amp;E201&amp;MATCH(C201,クライアント抽出!A:A,0)&amp;""),"")</f>
        <v/>
      </c>
      <c r="E201" s="183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86" t="str">
        <f ca="1">IF(D201&lt;&gt;"",
IF(COUNTIF(C201,"*雙葉*"),
IF(ROUND((H201-M201)
/IF(COUNTIF(D201,"*キャラ*"),
VLOOKUP("*キャラ*",商品マスタ一覧!$D:$E,2,FALSE),
IF(COUNTIF(D201,"*赤*"),
VLOOKUP("*赤*",商品マスタ一覧!$D:$E,2,FALSE),
VLOOKUP("*"&amp;D201&amp;"*",商品マスタ一覧!$D:$E,2,FALSE))),0)&lt;=0,1,
ROUND((H201-M201)
/IF(COUNTIF(D201,"*キャラ*"),
VLOOKUP("*キャラ*",商品マスタ一覧!$D:$E,2,FALSE),
IF(COUNTIF(D201,"*赤*"),
VLOOKUP("*赤*",商品マスタ一覧!$D:$E,2,FALSE),
VLOOKUP("*"&amp;D201&amp;"*",商品マスタ一覧!$D:$E,2,FALSE))),0)),
IF(OR(COUNTIF(D201,"*キャラ*"),COUNTIF(D201,"*赤*")),"",
IF(VLOOKUP("*"&amp;D201&amp;"*",商品マスタ一覧!$D:$E,2,FALSE)=0,"",
IF(ROUND((H201-M201)
/VLOOKUP("*"&amp;D201&amp;"*",商品マスタ一覧!$D:$E,2,FALSE),0)&lt;=0,1,
ROUND((H201-M201)
/VLOOKUP("*"&amp;D201&amp;"*",商品マスタ一覧!$D:$E,2,FALSE),0))))),"")</f>
        <v/>
      </c>
      <c r="G201" s="183" t="str">
        <f ca="1">IF(F201&lt;&gt;"",
IF(VALUE(H201-M201)&gt;VALUE(IF(COUNTIF(D201,"*キャラ*"),
VLOOKUP("*キャラ*",商品マスタ一覧!$D:$E,2,FALSE),
IF(COUNTIF(D201,"*赤*"),
VLOOKUP("*赤*",商品マスタ一覧!$D:$E,2,FALSE),
VLOOKUP("*"&amp;D201&amp;"*",商品マスタ一覧!$D:$E,2,FALSE)))*F201),
"+"&amp;(H201-M201)-IF(COUNTIF(D201,"*キャラ*"),
VLOOKUP("*キャラ*",商品マスタ一覧!$D:$E,2,FALSE),
IF(COUNTIF(D201,"*赤*"),
VLOOKUP("*赤*",商品マスタ一覧!$D:$E,2,FALSE),
VLOOKUP("*"&amp;D201&amp;"*",商品マスタ一覧!$D:$E,2,FALSE)))*F201,
(H201-M201)-IF(COUNTIF(D201,"*キャラ*"),
VLOOKUP("*キャラ*",商品マスタ一覧!$D:$E,2,FALSE),
IF(COUNTIF(D201,"*赤*"),
VLOOKUP("*赤*",商品マスタ一覧!$D:$E,2,FALSE),
VLOOKUP("*"&amp;D201&amp;"*",商品マスタ一覧!$D:$E,2,FALSE)))*F201),"")</f>
        <v/>
      </c>
      <c r="H201" s="185" t="str">
        <f>IF(C201&lt;&gt;"",
クライアント抽出!D61,"")</f>
        <v/>
      </c>
      <c r="I201" s="183" t="str">
        <f>IF(C201&lt;&gt;"",
IF(O201=1,0,クライアント抽出!F61),"")</f>
        <v/>
      </c>
      <c r="J201" s="183" t="str">
        <f>IF(C201&lt;&gt;"",
VLOOKUP(
"*"&amp;LEFT(IF(COUNTIF(D201,"*学食*"),"キャラ弁（学食）",
IF(COUNTIF(D201,"*赤*"),"赤",
IF(COUNTIF(D201,"*キャラ弁当*"),"キャラ弁当",D201))),4)&amp;"*",注文弁当の抽出!$E$1:$F$15,2,FALSE),"")</f>
        <v/>
      </c>
      <c r="K201" s="183" t="str">
        <f ca="1">IF(クライアント抽出!R61&lt;&gt;"",SUBSTITUTE(ADDRESS(1,(CODE(クライアント抽出!R61)-64)*2-1,4),"1",""),"")</f>
        <v/>
      </c>
      <c r="L201" s="183" t="str">
        <f>IF(C61&lt;&gt;"",クライアント抽出!I61,"")</f>
        <v/>
      </c>
      <c r="M201" s="183">
        <f t="array" aca="1" ref="M201" ca="1">IF(C201&lt;&gt;"",
IF(K201&lt;&gt;"",INDIRECT("'数出表_Excel（アレルギー入力）'!"&amp;K201&amp;L201-1&amp;""),),)</f>
        <v>0</v>
      </c>
      <c r="N201" s="183" t="str">
        <f>IF(C201&lt;&gt;"",IF(OR(COUNTIF('盛付札（関数）'!D201,"*赤*"),COUNTIF('盛付札（関数）'!D201,"*キャラ*")),1,
VLOOKUP("*"&amp;D201&amp;"*",商品マスタ一覧!D:H,5,FALSE)),"")</f>
        <v/>
      </c>
      <c r="O201" s="183">
        <f t="shared" ca="1" si="73"/>
        <v>0</v>
      </c>
      <c r="P201" s="183">
        <f t="shared" si="75"/>
        <v>0</v>
      </c>
      <c r="Q201" s="183" t="b">
        <f t="shared" si="76"/>
        <v>0</v>
      </c>
      <c r="R201" s="51" t="str">
        <f t="array" aca="1" ref="R201" ca="1">IFERROR(SMALL(IF(P$1:P$307&lt;&gt;0,P$1:P$307),ROW(A201)),"")</f>
        <v/>
      </c>
      <c r="S201" s="51" t="str">
        <f t="array" aca="1" ref="S201" ca="1">IF($R201&lt;&gt;"",
SUBSTITUTE(SUBSTITUTE(INDIRECT("C"&amp;$R201&amp;"")," 週3ｺｰｽ","")," 週5ｺｰｽ",""),"")</f>
        <v/>
      </c>
      <c r="T201" s="51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91" t="str">
        <f t="array" aca="1" ref="U201" ca="1">IF($R201&lt;&gt;"",
INDIRECT("F"&amp;$R201&amp;""),"")</f>
        <v/>
      </c>
      <c r="V201" s="51" t="str">
        <f t="array" aca="1" ref="V201" ca="1">IF($R201&lt;&gt;"",
INDIRECT("G"&amp;$R201&amp;""),"")</f>
        <v/>
      </c>
      <c r="W201" s="51" t="str">
        <f t="array" aca="1" ref="W201" ca="1">IF($R201&lt;&gt;"",
IF(AND(COUNTIF(INDIRECT("B"&amp;R201&amp;""),"*雙葉*"),COUNTIF(B:B,"*雙葉*")&gt;=2),
IF(OR(COUNTIF(INDIRECT("B"&amp;R201&amp;""),"*雙葉先生*"),COUNTIF($B$1:$B$70,"*雙葉*")&gt;=2),INDIRECT("H"&amp;R201&amp;""),INDIRECT("H"&amp;R201&amp;"")+INDIRECT("H"&amp;MATCH("雙葉'",INDIRECT("B"&amp;R201+3&amp;":B210"),0)+2+R201&amp;"")),
IF(AND(LEFT(INDIRECT("B"&amp;R201&amp;""),2)="博多",COUNTIF(B:B,"*博多*")&gt;=2),
INDIRECT("H"&amp;R201&amp;"")+INDIRECT("H"&amp;MATCH("*"&amp;INDIRECT("B"&amp;R201&amp;"")&amp;"*",INDIRECT("B"&amp;R201+1&amp;":B210"),0)+R201&amp;""),
IF(AND(LEFT(INDIRECT("B"&amp;R201&amp;""),3)="奈良屋",COUNTIF(B:B,"*奈良屋*")&gt;=2),
INDIRECT("H"&amp;R201&amp;"")+INDIRECT("H"&amp;MATCH("*"&amp;INDIRECT("B"&amp;R201&amp;"")&amp;"*",INDIRECT("B"&amp;R201+1&amp;":B210"),0)+R201&amp;"")
+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INDIRECT("H"&amp;R201&amp;"")))),"")</f>
        <v/>
      </c>
      <c r="X201" s="51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51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51" t="str">
        <f t="shared" ca="1" si="77"/>
        <v/>
      </c>
      <c r="AA201" s="51" t="str">
        <f t="shared" ca="1" si="78"/>
        <v/>
      </c>
      <c r="AB201" s="51" t="str">
        <f t="array" aca="1" ref="AB201" ca="1">IF($R201&lt;&gt;"",
IF(AND(COUNTIF(INDIRECT("B"&amp;R201&amp;""),"*雙葉*"),COUNTIF(B:B,"*雙葉*")&gt;=2),
INDIRECT("M"&amp;R201&amp;"")+INDIRECT("M"&amp;MATCH("雙葉'",INDIRECT("B"&amp;R201+1&amp;":B210"),0)+R201&amp;""),
IF(AND(LEFT(INDIRECT("B"&amp;R201&amp;""),2)="博多",COUNTIF(B:B,"*博多*")&gt;=2),
INDIRECT("M"&amp;R201&amp;"")+INDIRECT("M"&amp;MATCH("*"&amp;INDIRECT("B"&amp;R201&amp;"")&amp;"*",INDIRECT("B"&amp;R201+1&amp;":B210"),0)+R201&amp;""),
IF(AND(LEFT(INDIRECT("B"&amp;R201&amp;""),3)="奈良屋",COUNTIF(B:B,"*奈良屋*")&gt;=2),
INDIRECT("M"&amp;R201&amp;"")+INDIRECT("M"&amp;MATCH("*"&amp;INDIRECT("B"&amp;R201&amp;"")&amp;"*",INDIRECT("B"&amp;R201+1&amp;":B210"),0)+R201&amp;"")
+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INDIRECT("M"&amp;R201&amp;"")))),"")</f>
        <v/>
      </c>
      <c r="AC201" s="51" t="str">
        <f t="shared" ca="1" si="79"/>
        <v/>
      </c>
      <c r="AD201" s="51" t="str">
        <f t="shared" ca="1" si="80"/>
        <v/>
      </c>
      <c r="AE201" s="51" t="str">
        <f t="shared" ca="1" si="81"/>
        <v/>
      </c>
      <c r="AF201" s="51" t="str">
        <f t="shared" ca="1" si="82"/>
        <v/>
      </c>
      <c r="AG201" s="51" t="str">
        <f t="shared" ca="1" si="83"/>
        <v/>
      </c>
      <c r="AH201" s="191" t="str">
        <f t="shared" ca="1" si="84"/>
        <v/>
      </c>
      <c r="AI201" s="51" t="str">
        <f t="shared" ca="1" si="85"/>
        <v/>
      </c>
      <c r="AJ201" s="51" t="str">
        <f t="shared" ca="1" si="86"/>
        <v/>
      </c>
      <c r="AK201" s="51" t="str">
        <f t="shared" ca="1" si="87"/>
        <v/>
      </c>
      <c r="AL201" s="51" t="str">
        <f t="shared" ca="1" si="88"/>
        <v/>
      </c>
      <c r="AM201" s="51" t="str">
        <f t="shared" ca="1" si="89"/>
        <v/>
      </c>
      <c r="AN201" s="51" t="str">
        <f t="shared" ca="1" si="90"/>
        <v/>
      </c>
      <c r="AO201" s="51" t="str">
        <f t="shared" ca="1" si="91"/>
        <v/>
      </c>
      <c r="AP201" s="51" t="str">
        <f t="shared" ca="1" si="92"/>
        <v/>
      </c>
      <c r="AU201" s="51" t="str">
        <f t="shared" ca="1" si="93"/>
        <v/>
      </c>
    </row>
    <row r="202" spans="1:47" ht="22.2" customHeight="1">
      <c r="A202" s="184">
        <f t="shared" si="74"/>
        <v>129</v>
      </c>
      <c r="B202" s="183" t="str">
        <f t="shared" ca="1" si="94"/>
        <v/>
      </c>
      <c r="C202" s="183" t="str">
        <f>IF(OR(クライアント抽出!D62&lt;&gt;"",クライアント抽出!G62&lt;&gt;""),クライアント抽出!A62,"")</f>
        <v/>
      </c>
      <c r="D202" s="183" t="str">
        <f t="array" aca="1" ref="D202" ca="1">IF(C202&lt;&gt;"",INDIRECT("クライアント抽出!"&amp;E202&amp;MATCH(C202,クライアント抽出!A:A,0)&amp;""),"")</f>
        <v/>
      </c>
      <c r="E202" s="183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86" t="str">
        <f ca="1">IF(D202&lt;&gt;"",
IF(COUNTIF(C202,"*雙葉*"),
IF(ROUND((H202-M202)
/IF(COUNTIF(D202,"*キャラ*"),
VLOOKUP("*キャラ*",商品マスタ一覧!$D:$E,2,FALSE),
IF(COUNTIF(D202,"*赤*"),
VLOOKUP("*赤*",商品マスタ一覧!$D:$E,2,FALSE),
VLOOKUP("*"&amp;D202&amp;"*",商品マスタ一覧!$D:$E,2,FALSE))),0)&lt;=0,1,
ROUND((H202-M202)
/IF(COUNTIF(D202,"*キャラ*"),
VLOOKUP("*キャラ*",商品マスタ一覧!$D:$E,2,FALSE),
IF(COUNTIF(D202,"*赤*"),
VLOOKUP("*赤*",商品マスタ一覧!$D:$E,2,FALSE),
VLOOKUP("*"&amp;D202&amp;"*",商品マスタ一覧!$D:$E,2,FALSE))),0)),
IF(OR(COUNTIF(D202,"*キャラ*"),COUNTIF(D202,"*赤*")),"",
IF(VLOOKUP("*"&amp;D202&amp;"*",商品マスタ一覧!$D:$E,2,FALSE)=0,"",
IF(ROUND((H202-M202)
/VLOOKUP("*"&amp;D202&amp;"*",商品マスタ一覧!$D:$E,2,FALSE),0)&lt;=0,1,
ROUND((H202-M202)
/VLOOKUP("*"&amp;D202&amp;"*",商品マスタ一覧!$D:$E,2,FALSE),0))))),"")</f>
        <v/>
      </c>
      <c r="G202" s="183" t="str">
        <f ca="1">IF(F202&lt;&gt;"",
IF(VALUE(H202-M202)&gt;VALUE(IF(COUNTIF(D202,"*キャラ*"),
VLOOKUP("*キャラ*",商品マスタ一覧!$D:$E,2,FALSE),
IF(COUNTIF(D202,"*赤*"),
VLOOKUP("*赤*",商品マスタ一覧!$D:$E,2,FALSE),
VLOOKUP("*"&amp;D202&amp;"*",商品マスタ一覧!$D:$E,2,FALSE)))*F202),
"+"&amp;(H202-M202)-IF(COUNTIF(D202,"*キャラ*"),
VLOOKUP("*キャラ*",商品マスタ一覧!$D:$E,2,FALSE),
IF(COUNTIF(D202,"*赤*"),
VLOOKUP("*赤*",商品マスタ一覧!$D:$E,2,FALSE),
VLOOKUP("*"&amp;D202&amp;"*",商品マスタ一覧!$D:$E,2,FALSE)))*F202,
(H202-M202)-IF(COUNTIF(D202,"*キャラ*"),
VLOOKUP("*キャラ*",商品マスタ一覧!$D:$E,2,FALSE),
IF(COUNTIF(D202,"*赤*"),
VLOOKUP("*赤*",商品マスタ一覧!$D:$E,2,FALSE),
VLOOKUP("*"&amp;D202&amp;"*",商品マスタ一覧!$D:$E,2,FALSE)))*F202),"")</f>
        <v/>
      </c>
      <c r="H202" s="185" t="str">
        <f>IF(C202&lt;&gt;"",
クライアント抽出!D62,"")</f>
        <v/>
      </c>
      <c r="I202" s="183" t="str">
        <f>IF(C202&lt;&gt;"",
IF(O202=1,0,クライアント抽出!F62),"")</f>
        <v/>
      </c>
      <c r="J202" s="183" t="str">
        <f>IF(C202&lt;&gt;"",
VLOOKUP(
"*"&amp;LEFT(IF(COUNTIF(D202,"*学食*"),"キャラ弁（学食）",
IF(COUNTIF(D202,"*赤*"),"赤",
IF(COUNTIF(D202,"*キャラ弁当*"),"キャラ弁当",D202))),4)&amp;"*",注文弁当の抽出!$E$1:$F$15,2,FALSE),"")</f>
        <v/>
      </c>
      <c r="K202" s="183" t="str">
        <f ca="1">IF(クライアント抽出!R62&lt;&gt;"",SUBSTITUTE(ADDRESS(1,(CODE(クライアント抽出!R62)-64)*2-1,4),"1",""),"")</f>
        <v/>
      </c>
      <c r="L202" s="183" t="str">
        <f>IF(C62&lt;&gt;"",クライアント抽出!I62,"")</f>
        <v/>
      </c>
      <c r="M202" s="183">
        <f t="array" aca="1" ref="M202" ca="1">IF(C202&lt;&gt;"",
IF(K202&lt;&gt;"",INDIRECT("'数出表_Excel（アレルギー入力）'!"&amp;K202&amp;L202-1&amp;""),),)</f>
        <v>0</v>
      </c>
      <c r="N202" s="183" t="str">
        <f>IF(C202&lt;&gt;"",IF(OR(COUNTIF('盛付札（関数）'!D202,"*赤*"),COUNTIF('盛付札（関数）'!D202,"*キャラ*")),1,
VLOOKUP("*"&amp;D202&amp;"*",商品マスタ一覧!D:H,5,FALSE)),"")</f>
        <v/>
      </c>
      <c r="O202" s="183">
        <f t="shared" ca="1" si="73"/>
        <v>0</v>
      </c>
      <c r="P202" s="183">
        <f t="shared" si="75"/>
        <v>0</v>
      </c>
      <c r="Q202" s="183" t="b">
        <f t="shared" si="76"/>
        <v>0</v>
      </c>
      <c r="R202" s="51" t="str">
        <f t="array" aca="1" ref="R202" ca="1">IFERROR(SMALL(IF(P$1:P$307&lt;&gt;0,P$1:P$307),ROW(A202)),"")</f>
        <v/>
      </c>
      <c r="S202" s="51" t="str">
        <f t="array" aca="1" ref="S202" ca="1">IF($R202&lt;&gt;"",
SUBSTITUTE(SUBSTITUTE(INDIRECT("C"&amp;$R202&amp;"")," 週3ｺｰｽ","")," 週5ｺｰｽ",""),"")</f>
        <v/>
      </c>
      <c r="T202" s="51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91" t="str">
        <f t="array" aca="1" ref="U202" ca="1">IF($R202&lt;&gt;"",
INDIRECT("F"&amp;$R202&amp;""),"")</f>
        <v/>
      </c>
      <c r="V202" s="51" t="str">
        <f t="array" aca="1" ref="V202" ca="1">IF($R202&lt;&gt;"",
INDIRECT("G"&amp;$R202&amp;""),"")</f>
        <v/>
      </c>
      <c r="W202" s="51" t="str">
        <f t="array" aca="1" ref="W202" ca="1">IF($R202&lt;&gt;"",
IF(AND(COUNTIF(INDIRECT("B"&amp;R202&amp;""),"*雙葉*"),COUNTIF(B:B,"*雙葉*")&gt;=2),
IF(OR(COUNTIF(INDIRECT("B"&amp;R202&amp;""),"*雙葉先生*"),COUNTIF($B$1:$B$70,"*雙葉*")&gt;=2),INDIRECT("H"&amp;R202&amp;""),INDIRECT("H"&amp;R202&amp;"")+INDIRECT("H"&amp;MATCH("雙葉'",INDIRECT("B"&amp;R202+3&amp;":B210"),0)+2+R202&amp;"")),
IF(AND(LEFT(INDIRECT("B"&amp;R202&amp;""),2)="博多",COUNTIF(B:B,"*博多*")&gt;=2),
INDIRECT("H"&amp;R202&amp;"")+INDIRECT("H"&amp;MATCH("*"&amp;INDIRECT("B"&amp;R202&amp;"")&amp;"*",INDIRECT("B"&amp;R202+1&amp;":B210"),0)+R202&amp;""),
IF(AND(LEFT(INDIRECT("B"&amp;R202&amp;""),3)="奈良屋",COUNTIF(B:B,"*奈良屋*")&gt;=2),
INDIRECT("H"&amp;R202&amp;"")+INDIRECT("H"&amp;MATCH("*"&amp;INDIRECT("B"&amp;R202&amp;"")&amp;"*",INDIRECT("B"&amp;R202+1&amp;":B210"),0)+R202&amp;"")
+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INDIRECT("H"&amp;R202&amp;"")))),"")</f>
        <v/>
      </c>
      <c r="X202" s="51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51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51" t="str">
        <f t="shared" ca="1" si="77"/>
        <v/>
      </c>
      <c r="AA202" s="51" t="str">
        <f t="shared" ca="1" si="78"/>
        <v/>
      </c>
      <c r="AB202" s="51" t="str">
        <f t="array" aca="1" ref="AB202" ca="1">IF($R202&lt;&gt;"",
IF(AND(COUNTIF(INDIRECT("B"&amp;R202&amp;""),"*雙葉*"),COUNTIF(B:B,"*雙葉*")&gt;=2),
INDIRECT("M"&amp;R202&amp;"")+INDIRECT("M"&amp;MATCH("雙葉'",INDIRECT("B"&amp;R202+1&amp;":B210"),0)+R202&amp;""),
IF(AND(LEFT(INDIRECT("B"&amp;R202&amp;""),2)="博多",COUNTIF(B:B,"*博多*")&gt;=2),
INDIRECT("M"&amp;R202&amp;"")+INDIRECT("M"&amp;MATCH("*"&amp;INDIRECT("B"&amp;R202&amp;"")&amp;"*",INDIRECT("B"&amp;R202+1&amp;":B210"),0)+R202&amp;""),
IF(AND(LEFT(INDIRECT("B"&amp;R202&amp;""),3)="奈良屋",COUNTIF(B:B,"*奈良屋*")&gt;=2),
INDIRECT("M"&amp;R202&amp;"")+INDIRECT("M"&amp;MATCH("*"&amp;INDIRECT("B"&amp;R202&amp;"")&amp;"*",INDIRECT("B"&amp;R202+1&amp;":B210"),0)+R202&amp;"")
+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INDIRECT("M"&amp;R202&amp;"")))),"")</f>
        <v/>
      </c>
      <c r="AC202" s="51" t="str">
        <f t="shared" ca="1" si="79"/>
        <v/>
      </c>
      <c r="AD202" s="51" t="str">
        <f t="shared" ca="1" si="80"/>
        <v/>
      </c>
      <c r="AE202" s="51" t="str">
        <f t="shared" ca="1" si="81"/>
        <v/>
      </c>
      <c r="AF202" s="51" t="str">
        <f t="shared" ca="1" si="82"/>
        <v/>
      </c>
      <c r="AG202" s="51" t="str">
        <f t="shared" ca="1" si="83"/>
        <v/>
      </c>
      <c r="AH202" s="191" t="str">
        <f t="shared" ca="1" si="84"/>
        <v/>
      </c>
      <c r="AI202" s="51" t="str">
        <f t="shared" ca="1" si="85"/>
        <v/>
      </c>
      <c r="AJ202" s="51" t="str">
        <f t="shared" ca="1" si="86"/>
        <v/>
      </c>
      <c r="AK202" s="51" t="str">
        <f t="shared" ca="1" si="87"/>
        <v/>
      </c>
      <c r="AL202" s="51" t="str">
        <f t="shared" ca="1" si="88"/>
        <v/>
      </c>
      <c r="AM202" s="51" t="str">
        <f t="shared" ca="1" si="89"/>
        <v/>
      </c>
      <c r="AN202" s="51" t="str">
        <f t="shared" ca="1" si="90"/>
        <v/>
      </c>
      <c r="AO202" s="51" t="str">
        <f t="shared" ca="1" si="91"/>
        <v/>
      </c>
      <c r="AP202" s="51" t="str">
        <f t="shared" ca="1" si="92"/>
        <v/>
      </c>
      <c r="AU202" s="51" t="str">
        <f t="shared" ca="1" si="93"/>
        <v/>
      </c>
    </row>
    <row r="203" spans="1:47" ht="22.2" customHeight="1">
      <c r="A203" s="184">
        <f t="shared" si="74"/>
        <v>131</v>
      </c>
      <c r="B203" s="183" t="str">
        <f t="shared" ca="1" si="94"/>
        <v/>
      </c>
      <c r="C203" s="183" t="str">
        <f>IF(OR(クライアント抽出!D63&lt;&gt;"",クライアント抽出!G63&lt;&gt;""),クライアント抽出!A63,"")</f>
        <v/>
      </c>
      <c r="D203" s="183" t="str">
        <f t="array" aca="1" ref="D203" ca="1">IF(C203&lt;&gt;"",INDIRECT("クライアント抽出!"&amp;E203&amp;MATCH(C203,クライアント抽出!A:A,0)&amp;""),"")</f>
        <v/>
      </c>
      <c r="E203" s="183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86" t="str">
        <f ca="1">IF(D203&lt;&gt;"",
IF(COUNTIF(C203,"*雙葉*"),
IF(ROUND((H203-M203)
/IF(COUNTIF(D203,"*キャラ*"),
VLOOKUP("*キャラ*",商品マスタ一覧!$D:$E,2,FALSE),
IF(COUNTIF(D203,"*赤*"),
VLOOKUP("*赤*",商品マスタ一覧!$D:$E,2,FALSE),
VLOOKUP("*"&amp;D203&amp;"*",商品マスタ一覧!$D:$E,2,FALSE))),0)&lt;=0,1,
ROUND((H203-M203)
/IF(COUNTIF(D203,"*キャラ*"),
VLOOKUP("*キャラ*",商品マスタ一覧!$D:$E,2,FALSE),
IF(COUNTIF(D203,"*赤*"),
VLOOKUP("*赤*",商品マスタ一覧!$D:$E,2,FALSE),
VLOOKUP("*"&amp;D203&amp;"*",商品マスタ一覧!$D:$E,2,FALSE))),0)),
IF(OR(COUNTIF(D203,"*キャラ*"),COUNTIF(D203,"*赤*")),"",
IF(VLOOKUP("*"&amp;D203&amp;"*",商品マスタ一覧!$D:$E,2,FALSE)=0,"",
IF(ROUND((H203-M203)
/VLOOKUP("*"&amp;D203&amp;"*",商品マスタ一覧!$D:$E,2,FALSE),0)&lt;=0,1,
ROUND((H203-M203)
/VLOOKUP("*"&amp;D203&amp;"*",商品マスタ一覧!$D:$E,2,FALSE),0))))),"")</f>
        <v/>
      </c>
      <c r="G203" s="183" t="str">
        <f ca="1">IF(F203&lt;&gt;"",
IF(VALUE(H203-M203)&gt;VALUE(IF(COUNTIF(D203,"*キャラ*"),
VLOOKUP("*キャラ*",商品マスタ一覧!$D:$E,2,FALSE),
IF(COUNTIF(D203,"*赤*"),
VLOOKUP("*赤*",商品マスタ一覧!$D:$E,2,FALSE),
VLOOKUP("*"&amp;D203&amp;"*",商品マスタ一覧!$D:$E,2,FALSE)))*F203),
"+"&amp;(H203-M203)-IF(COUNTIF(D203,"*キャラ*"),
VLOOKUP("*キャラ*",商品マスタ一覧!$D:$E,2,FALSE),
IF(COUNTIF(D203,"*赤*"),
VLOOKUP("*赤*",商品マスタ一覧!$D:$E,2,FALSE),
VLOOKUP("*"&amp;D203&amp;"*",商品マスタ一覧!$D:$E,2,FALSE)))*F203,
(H203-M203)-IF(COUNTIF(D203,"*キャラ*"),
VLOOKUP("*キャラ*",商品マスタ一覧!$D:$E,2,FALSE),
IF(COUNTIF(D203,"*赤*"),
VLOOKUP("*赤*",商品マスタ一覧!$D:$E,2,FALSE),
VLOOKUP("*"&amp;D203&amp;"*",商品マスタ一覧!$D:$E,2,FALSE)))*F203),"")</f>
        <v/>
      </c>
      <c r="H203" s="185" t="str">
        <f>IF(C203&lt;&gt;"",
クライアント抽出!D63,"")</f>
        <v/>
      </c>
      <c r="I203" s="183" t="str">
        <f>IF(C203&lt;&gt;"",
IF(O203=1,0,クライアント抽出!F63),"")</f>
        <v/>
      </c>
      <c r="J203" s="183" t="str">
        <f>IF(C203&lt;&gt;"",
VLOOKUP(
"*"&amp;LEFT(IF(COUNTIF(D203,"*学食*"),"キャラ弁（学食）",
IF(COUNTIF(D203,"*赤*"),"赤",
IF(COUNTIF(D203,"*キャラ弁当*"),"キャラ弁当",D203))),4)&amp;"*",注文弁当の抽出!$E$1:$F$15,2,FALSE),"")</f>
        <v/>
      </c>
      <c r="K203" s="183" t="str">
        <f ca="1">IF(クライアント抽出!R63&lt;&gt;"",SUBSTITUTE(ADDRESS(1,(CODE(クライアント抽出!R63)-64)*2-1,4),"1",""),"")</f>
        <v/>
      </c>
      <c r="L203" s="183" t="str">
        <f>IF(C63&lt;&gt;"",クライアント抽出!I63,"")</f>
        <v/>
      </c>
      <c r="M203" s="183">
        <f t="array" aca="1" ref="M203" ca="1">IF(C203&lt;&gt;"",
IF(K203&lt;&gt;"",INDIRECT("'数出表_Excel（アレルギー入力）'!"&amp;K203&amp;L203-1&amp;""),),)</f>
        <v>0</v>
      </c>
      <c r="N203" s="183" t="str">
        <f>IF(C203&lt;&gt;"",IF(OR(COUNTIF('盛付札（関数）'!D203,"*赤*"),COUNTIF('盛付札（関数）'!D203,"*キャラ*")),1,
VLOOKUP("*"&amp;D203&amp;"*",商品マスタ一覧!D:H,5,FALSE)),"")</f>
        <v/>
      </c>
      <c r="O203" s="183">
        <f t="shared" ca="1" si="73"/>
        <v>0</v>
      </c>
      <c r="P203" s="183">
        <f t="shared" si="75"/>
        <v>0</v>
      </c>
      <c r="Q203" s="183" t="b">
        <f t="shared" si="76"/>
        <v>0</v>
      </c>
      <c r="R203" s="51" t="str">
        <f t="array" aca="1" ref="R203" ca="1">IFERROR(SMALL(IF(P$1:P$307&lt;&gt;0,P$1:P$307),ROW(A203)),"")</f>
        <v/>
      </c>
      <c r="S203" s="51" t="str">
        <f t="array" aca="1" ref="S203" ca="1">IF($R203&lt;&gt;"",
SUBSTITUTE(SUBSTITUTE(INDIRECT("C"&amp;$R203&amp;"")," 週3ｺｰｽ","")," 週5ｺｰｽ",""),"")</f>
        <v/>
      </c>
      <c r="T203" s="51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91" t="str">
        <f t="array" aca="1" ref="U203" ca="1">IF($R203&lt;&gt;"",
INDIRECT("F"&amp;$R203&amp;""),"")</f>
        <v/>
      </c>
      <c r="V203" s="51" t="str">
        <f t="array" aca="1" ref="V203" ca="1">IF($R203&lt;&gt;"",
INDIRECT("G"&amp;$R203&amp;""),"")</f>
        <v/>
      </c>
      <c r="W203" s="51" t="str">
        <f t="array" aca="1" ref="W203" ca="1">IF($R203&lt;&gt;"",
IF(AND(COUNTIF(INDIRECT("B"&amp;R203&amp;""),"*雙葉*"),COUNTIF(B:B,"*雙葉*")&gt;=2),
IF(OR(COUNTIF(INDIRECT("B"&amp;R203&amp;""),"*雙葉先生*"),COUNTIF($B$1:$B$70,"*雙葉*")&gt;=2),INDIRECT("H"&amp;R203&amp;""),INDIRECT("H"&amp;R203&amp;"")+INDIRECT("H"&amp;MATCH("雙葉'",INDIRECT("B"&amp;R203+3&amp;":B210"),0)+2+R203&amp;"")),
IF(AND(LEFT(INDIRECT("B"&amp;R203&amp;""),2)="博多",COUNTIF(B:B,"*博多*")&gt;=2),
INDIRECT("H"&amp;R203&amp;"")+INDIRECT("H"&amp;MATCH("*"&amp;INDIRECT("B"&amp;R203&amp;"")&amp;"*",INDIRECT("B"&amp;R203+1&amp;":B210"),0)+R203&amp;""),
IF(AND(LEFT(INDIRECT("B"&amp;R203&amp;""),3)="奈良屋",COUNTIF(B:B,"*奈良屋*")&gt;=2),
INDIRECT("H"&amp;R203&amp;"")+INDIRECT("H"&amp;MATCH("*"&amp;INDIRECT("B"&amp;R203&amp;"")&amp;"*",INDIRECT("B"&amp;R203+1&amp;":B210"),0)+R203&amp;"")
+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INDIRECT("H"&amp;R203&amp;"")))),"")</f>
        <v/>
      </c>
      <c r="X203" s="51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51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51" t="str">
        <f t="shared" ca="1" si="77"/>
        <v/>
      </c>
      <c r="AA203" s="51" t="str">
        <f t="shared" ca="1" si="78"/>
        <v/>
      </c>
      <c r="AB203" s="51" t="str">
        <f t="array" aca="1" ref="AB203" ca="1">IF($R203&lt;&gt;"",
IF(AND(COUNTIF(INDIRECT("B"&amp;R203&amp;""),"*雙葉*"),COUNTIF(B:B,"*雙葉*")&gt;=2),
INDIRECT("M"&amp;R203&amp;"")+INDIRECT("M"&amp;MATCH("雙葉'",INDIRECT("B"&amp;R203+1&amp;":B210"),0)+R203&amp;""),
IF(AND(LEFT(INDIRECT("B"&amp;R203&amp;""),2)="博多",COUNTIF(B:B,"*博多*")&gt;=2),
INDIRECT("M"&amp;R203&amp;"")+INDIRECT("M"&amp;MATCH("*"&amp;INDIRECT("B"&amp;R203&amp;"")&amp;"*",INDIRECT("B"&amp;R203+1&amp;":B210"),0)+R203&amp;""),
IF(AND(LEFT(INDIRECT("B"&amp;R203&amp;""),3)="奈良屋",COUNTIF(B:B,"*奈良屋*")&gt;=2),
INDIRECT("M"&amp;R203&amp;"")+INDIRECT("M"&amp;MATCH("*"&amp;INDIRECT("B"&amp;R203&amp;"")&amp;"*",INDIRECT("B"&amp;R203+1&amp;":B210"),0)+R203&amp;"")
+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INDIRECT("M"&amp;R203&amp;"")))),"")</f>
        <v/>
      </c>
      <c r="AC203" s="51" t="str">
        <f t="shared" ca="1" si="79"/>
        <v/>
      </c>
      <c r="AD203" s="51" t="str">
        <f t="shared" ca="1" si="80"/>
        <v/>
      </c>
      <c r="AE203" s="51" t="str">
        <f t="shared" ca="1" si="81"/>
        <v/>
      </c>
      <c r="AF203" s="51" t="str">
        <f t="shared" ca="1" si="82"/>
        <v/>
      </c>
      <c r="AG203" s="51" t="str">
        <f t="shared" ca="1" si="83"/>
        <v/>
      </c>
      <c r="AH203" s="191" t="str">
        <f t="shared" ca="1" si="84"/>
        <v/>
      </c>
      <c r="AI203" s="51" t="str">
        <f t="shared" ca="1" si="85"/>
        <v/>
      </c>
      <c r="AJ203" s="51" t="str">
        <f t="shared" ca="1" si="86"/>
        <v/>
      </c>
      <c r="AK203" s="51" t="str">
        <f t="shared" ca="1" si="87"/>
        <v/>
      </c>
      <c r="AL203" s="51" t="str">
        <f t="shared" ca="1" si="88"/>
        <v/>
      </c>
      <c r="AM203" s="51" t="str">
        <f t="shared" ca="1" si="89"/>
        <v/>
      </c>
      <c r="AN203" s="51" t="str">
        <f t="shared" ca="1" si="90"/>
        <v/>
      </c>
      <c r="AO203" s="51" t="str">
        <f t="shared" ca="1" si="91"/>
        <v/>
      </c>
      <c r="AP203" s="51" t="str">
        <f t="shared" ca="1" si="92"/>
        <v/>
      </c>
      <c r="AU203" s="51" t="str">
        <f t="shared" ca="1" si="93"/>
        <v/>
      </c>
    </row>
    <row r="204" spans="1:47" ht="22.2" customHeight="1">
      <c r="A204" s="184">
        <f t="shared" si="74"/>
        <v>133</v>
      </c>
      <c r="B204" s="183" t="str">
        <f t="shared" ca="1" si="94"/>
        <v/>
      </c>
      <c r="C204" s="183" t="str">
        <f>IF(OR(クライアント抽出!D64&lt;&gt;"",クライアント抽出!G64&lt;&gt;""),クライアント抽出!A64,"")</f>
        <v/>
      </c>
      <c r="D204" s="183" t="str">
        <f t="array" aca="1" ref="D204" ca="1">IF(C204&lt;&gt;"",INDIRECT("クライアント抽出!"&amp;E204&amp;MATCH(C204,クライアント抽出!A:A,0)&amp;""),"")</f>
        <v/>
      </c>
      <c r="E204" s="183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86" t="str">
        <f ca="1">IF(D204&lt;&gt;"",
IF(COUNTIF(C204,"*雙葉*"),
IF(ROUND((H204-M204)
/IF(COUNTIF(D204,"*キャラ*"),
VLOOKUP("*キャラ*",商品マスタ一覧!$D:$E,2,FALSE),
IF(COUNTIF(D204,"*赤*"),
VLOOKUP("*赤*",商品マスタ一覧!$D:$E,2,FALSE),
VLOOKUP("*"&amp;D204&amp;"*",商品マスタ一覧!$D:$E,2,FALSE))),0)&lt;=0,1,
ROUND((H204-M204)
/IF(COUNTIF(D204,"*キャラ*"),
VLOOKUP("*キャラ*",商品マスタ一覧!$D:$E,2,FALSE),
IF(COUNTIF(D204,"*赤*"),
VLOOKUP("*赤*",商品マスタ一覧!$D:$E,2,FALSE),
VLOOKUP("*"&amp;D204&amp;"*",商品マスタ一覧!$D:$E,2,FALSE))),0)),
IF(OR(COUNTIF(D204,"*キャラ*"),COUNTIF(D204,"*赤*")),"",
IF(VLOOKUP("*"&amp;D204&amp;"*",商品マスタ一覧!$D:$E,2,FALSE)=0,"",
IF(ROUND((H204-M204)
/VLOOKUP("*"&amp;D204&amp;"*",商品マスタ一覧!$D:$E,2,FALSE),0)&lt;=0,1,
ROUND((H204-M204)
/VLOOKUP("*"&amp;D204&amp;"*",商品マスタ一覧!$D:$E,2,FALSE),0))))),"")</f>
        <v/>
      </c>
      <c r="G204" s="183" t="str">
        <f ca="1">IF(F204&lt;&gt;"",
IF(VALUE(H204-M204)&gt;VALUE(IF(COUNTIF(D204,"*キャラ*"),
VLOOKUP("*キャラ*",商品マスタ一覧!$D:$E,2,FALSE),
IF(COUNTIF(D204,"*赤*"),
VLOOKUP("*赤*",商品マスタ一覧!$D:$E,2,FALSE),
VLOOKUP("*"&amp;D204&amp;"*",商品マスタ一覧!$D:$E,2,FALSE)))*F204),
"+"&amp;(H204-M204)-IF(COUNTIF(D204,"*キャラ*"),
VLOOKUP("*キャラ*",商品マスタ一覧!$D:$E,2,FALSE),
IF(COUNTIF(D204,"*赤*"),
VLOOKUP("*赤*",商品マスタ一覧!$D:$E,2,FALSE),
VLOOKUP("*"&amp;D204&amp;"*",商品マスタ一覧!$D:$E,2,FALSE)))*F204,
(H204-M204)-IF(COUNTIF(D204,"*キャラ*"),
VLOOKUP("*キャラ*",商品マスタ一覧!$D:$E,2,FALSE),
IF(COUNTIF(D204,"*赤*"),
VLOOKUP("*赤*",商品マスタ一覧!$D:$E,2,FALSE),
VLOOKUP("*"&amp;D204&amp;"*",商品マスタ一覧!$D:$E,2,FALSE)))*F204),"")</f>
        <v/>
      </c>
      <c r="H204" s="185" t="str">
        <f>IF(C204&lt;&gt;"",
クライアント抽出!D64,"")</f>
        <v/>
      </c>
      <c r="I204" s="183" t="str">
        <f>IF(C204&lt;&gt;"",
IF(O204=1,0,クライアント抽出!F64),"")</f>
        <v/>
      </c>
      <c r="J204" s="183" t="str">
        <f>IF(C204&lt;&gt;"",
VLOOKUP(
"*"&amp;LEFT(IF(COUNTIF(D204,"*学食*"),"キャラ弁（学食）",
IF(COUNTIF(D204,"*赤*"),"赤",
IF(COUNTIF(D204,"*キャラ弁当*"),"キャラ弁当",D204))),4)&amp;"*",注文弁当の抽出!$E$1:$F$15,2,FALSE),"")</f>
        <v/>
      </c>
      <c r="K204" s="183" t="str">
        <f ca="1">IF(クライアント抽出!R64&lt;&gt;"",SUBSTITUTE(ADDRESS(1,(CODE(クライアント抽出!R64)-64)*2-1,4),"1",""),"")</f>
        <v/>
      </c>
      <c r="L204" s="183" t="str">
        <f>IF(C64&lt;&gt;"",クライアント抽出!I64,"")</f>
        <v/>
      </c>
      <c r="M204" s="183">
        <f t="array" aca="1" ref="M204" ca="1">IF(C204&lt;&gt;"",
IF(K204&lt;&gt;"",INDIRECT("'数出表_Excel（アレルギー入力）'!"&amp;K204&amp;L204-1&amp;""),),)</f>
        <v>0</v>
      </c>
      <c r="N204" s="183" t="str">
        <f>IF(C204&lt;&gt;"",IF(OR(COUNTIF('盛付札（関数）'!D204,"*赤*"),COUNTIF('盛付札（関数）'!D204,"*キャラ*")),1,
VLOOKUP("*"&amp;D204&amp;"*",商品マスタ一覧!D:H,5,FALSE)),"")</f>
        <v/>
      </c>
      <c r="O204" s="183">
        <f t="shared" ca="1" si="73"/>
        <v>0</v>
      </c>
      <c r="P204" s="183">
        <f t="shared" si="75"/>
        <v>0</v>
      </c>
      <c r="Q204" s="183" t="b">
        <f t="shared" si="76"/>
        <v>0</v>
      </c>
      <c r="R204" s="51" t="str">
        <f t="array" aca="1" ref="R204" ca="1">IFERROR(SMALL(IF(P$1:P$307&lt;&gt;0,P$1:P$307),ROW(A204)),"")</f>
        <v/>
      </c>
      <c r="S204" s="51" t="str">
        <f t="array" aca="1" ref="S204" ca="1">IF($R204&lt;&gt;"",
SUBSTITUTE(SUBSTITUTE(INDIRECT("C"&amp;$R204&amp;"")," 週3ｺｰｽ","")," 週5ｺｰｽ",""),"")</f>
        <v/>
      </c>
      <c r="T204" s="51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91" t="str">
        <f t="array" aca="1" ref="U204" ca="1">IF($R204&lt;&gt;"",
INDIRECT("F"&amp;$R204&amp;""),"")</f>
        <v/>
      </c>
      <c r="V204" s="51" t="str">
        <f t="array" aca="1" ref="V204" ca="1">IF($R204&lt;&gt;"",
INDIRECT("G"&amp;$R204&amp;""),"")</f>
        <v/>
      </c>
      <c r="W204" s="51" t="str">
        <f t="array" aca="1" ref="W204" ca="1">IF($R204&lt;&gt;"",
IF(AND(COUNTIF(INDIRECT("B"&amp;R204&amp;""),"*雙葉*"),COUNTIF(B:B,"*雙葉*")&gt;=2),
IF(OR(COUNTIF(INDIRECT("B"&amp;R204&amp;""),"*雙葉先生*"),COUNTIF($B$1:$B$70,"*雙葉*")&gt;=2),INDIRECT("H"&amp;R204&amp;""),INDIRECT("H"&amp;R204&amp;"")+INDIRECT("H"&amp;MATCH("雙葉'",INDIRECT("B"&amp;R204+3&amp;":B210"),0)+2+R204&amp;"")),
IF(AND(LEFT(INDIRECT("B"&amp;R204&amp;""),2)="博多",COUNTIF(B:B,"*博多*")&gt;=2),
INDIRECT("H"&amp;R204&amp;"")+INDIRECT("H"&amp;MATCH("*"&amp;INDIRECT("B"&amp;R204&amp;"")&amp;"*",INDIRECT("B"&amp;R204+1&amp;":B210"),0)+R204&amp;""),
IF(AND(LEFT(INDIRECT("B"&amp;R204&amp;""),3)="奈良屋",COUNTIF(B:B,"*奈良屋*")&gt;=2),
INDIRECT("H"&amp;R204&amp;"")+INDIRECT("H"&amp;MATCH("*"&amp;INDIRECT("B"&amp;R204&amp;"")&amp;"*",INDIRECT("B"&amp;R204+1&amp;":B210"),0)+R204&amp;"")
+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INDIRECT("H"&amp;R204&amp;"")))),"")</f>
        <v/>
      </c>
      <c r="X204" s="51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51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51" t="str">
        <f t="shared" ca="1" si="77"/>
        <v/>
      </c>
      <c r="AA204" s="51" t="str">
        <f t="shared" ca="1" si="78"/>
        <v/>
      </c>
      <c r="AB204" s="51" t="str">
        <f t="array" aca="1" ref="AB204" ca="1">IF($R204&lt;&gt;"",
IF(AND(COUNTIF(INDIRECT("B"&amp;R204&amp;""),"*雙葉*"),COUNTIF(B:B,"*雙葉*")&gt;=2),
INDIRECT("M"&amp;R204&amp;"")+INDIRECT("M"&amp;MATCH("雙葉'",INDIRECT("B"&amp;R204+1&amp;":B210"),0)+R204&amp;""),
IF(AND(LEFT(INDIRECT("B"&amp;R204&amp;""),2)="博多",COUNTIF(B:B,"*博多*")&gt;=2),
INDIRECT("M"&amp;R204&amp;"")+INDIRECT("M"&amp;MATCH("*"&amp;INDIRECT("B"&amp;R204&amp;"")&amp;"*",INDIRECT("B"&amp;R204+1&amp;":B210"),0)+R204&amp;""),
IF(AND(LEFT(INDIRECT("B"&amp;R204&amp;""),3)="奈良屋",COUNTIF(B:B,"*奈良屋*")&gt;=2),
INDIRECT("M"&amp;R204&amp;"")+INDIRECT("M"&amp;MATCH("*"&amp;INDIRECT("B"&amp;R204&amp;"")&amp;"*",INDIRECT("B"&amp;R204+1&amp;":B210"),0)+R204&amp;"")
+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INDIRECT("M"&amp;R204&amp;"")))),"")</f>
        <v/>
      </c>
      <c r="AC204" s="51" t="str">
        <f t="shared" ca="1" si="79"/>
        <v/>
      </c>
      <c r="AD204" s="51" t="str">
        <f t="shared" ca="1" si="80"/>
        <v/>
      </c>
      <c r="AE204" s="51" t="str">
        <f t="shared" ca="1" si="81"/>
        <v/>
      </c>
      <c r="AF204" s="51" t="str">
        <f t="shared" ca="1" si="82"/>
        <v/>
      </c>
      <c r="AG204" s="51" t="str">
        <f t="shared" ca="1" si="83"/>
        <v/>
      </c>
      <c r="AH204" s="191" t="str">
        <f t="shared" ca="1" si="84"/>
        <v/>
      </c>
      <c r="AI204" s="51" t="str">
        <f t="shared" ca="1" si="85"/>
        <v/>
      </c>
      <c r="AJ204" s="51" t="str">
        <f t="shared" ca="1" si="86"/>
        <v/>
      </c>
      <c r="AK204" s="51" t="str">
        <f t="shared" ca="1" si="87"/>
        <v/>
      </c>
      <c r="AL204" s="51" t="str">
        <f t="shared" ca="1" si="88"/>
        <v/>
      </c>
      <c r="AM204" s="51" t="str">
        <f t="shared" ca="1" si="89"/>
        <v/>
      </c>
      <c r="AN204" s="51" t="str">
        <f t="shared" ca="1" si="90"/>
        <v/>
      </c>
      <c r="AO204" s="51" t="str">
        <f t="shared" ca="1" si="91"/>
        <v/>
      </c>
      <c r="AP204" s="51" t="str">
        <f t="shared" ca="1" si="92"/>
        <v/>
      </c>
      <c r="AU204" s="51" t="str">
        <f t="shared" ca="1" si="93"/>
        <v/>
      </c>
    </row>
    <row r="205" spans="1:47" ht="22.2" customHeight="1">
      <c r="A205" s="184">
        <f t="shared" si="74"/>
        <v>135</v>
      </c>
      <c r="B205" s="183" t="str">
        <f t="shared" ca="1" si="94"/>
        <v/>
      </c>
      <c r="C205" s="183" t="str">
        <f>IF(OR(クライアント抽出!D65&lt;&gt;"",クライアント抽出!G65&lt;&gt;""),クライアント抽出!A65,"")</f>
        <v/>
      </c>
      <c r="D205" s="183" t="str">
        <f t="array" aca="1" ref="D205" ca="1">IF(C205&lt;&gt;"",INDIRECT("クライアント抽出!"&amp;E205&amp;MATCH(C205,クライアント抽出!A:A,0)&amp;""),"")</f>
        <v/>
      </c>
      <c r="E205" s="183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86" t="str">
        <f ca="1">IF(D205&lt;&gt;"",
IF(COUNTIF(C205,"*雙葉*"),
IF(ROUND((H205-M205)
/IF(COUNTIF(D205,"*キャラ*"),
VLOOKUP("*キャラ*",商品マスタ一覧!$D:$E,2,FALSE),
IF(COUNTIF(D205,"*赤*"),
VLOOKUP("*赤*",商品マスタ一覧!$D:$E,2,FALSE),
VLOOKUP("*"&amp;D205&amp;"*",商品マスタ一覧!$D:$E,2,FALSE))),0)&lt;=0,1,
ROUND((H205-M205)
/IF(COUNTIF(D205,"*キャラ*"),
VLOOKUP("*キャラ*",商品マスタ一覧!$D:$E,2,FALSE),
IF(COUNTIF(D205,"*赤*"),
VLOOKUP("*赤*",商品マスタ一覧!$D:$E,2,FALSE),
VLOOKUP("*"&amp;D205&amp;"*",商品マスタ一覧!$D:$E,2,FALSE))),0)),
IF(OR(COUNTIF(D205,"*キャラ*"),COUNTIF(D205,"*赤*")),"",
IF(VLOOKUP("*"&amp;D205&amp;"*",商品マスタ一覧!$D:$E,2,FALSE)=0,"",
IF(ROUND((H205-M205)
/VLOOKUP("*"&amp;D205&amp;"*",商品マスタ一覧!$D:$E,2,FALSE),0)&lt;=0,1,
ROUND((H205-M205)
/VLOOKUP("*"&amp;D205&amp;"*",商品マスタ一覧!$D:$E,2,FALSE),0))))),"")</f>
        <v/>
      </c>
      <c r="G205" s="183" t="str">
        <f ca="1">IF(F205&lt;&gt;"",
IF(VALUE(H205-M205)&gt;VALUE(IF(COUNTIF(D205,"*キャラ*"),
VLOOKUP("*キャラ*",商品マスタ一覧!$D:$E,2,FALSE),
IF(COUNTIF(D205,"*赤*"),
VLOOKUP("*赤*",商品マスタ一覧!$D:$E,2,FALSE),
VLOOKUP("*"&amp;D205&amp;"*",商品マスタ一覧!$D:$E,2,FALSE)))*F205),
"+"&amp;(H205-M205)-IF(COUNTIF(D205,"*キャラ*"),
VLOOKUP("*キャラ*",商品マスタ一覧!$D:$E,2,FALSE),
IF(COUNTIF(D205,"*赤*"),
VLOOKUP("*赤*",商品マスタ一覧!$D:$E,2,FALSE),
VLOOKUP("*"&amp;D205&amp;"*",商品マスタ一覧!$D:$E,2,FALSE)))*F205,
(H205-M205)-IF(COUNTIF(D205,"*キャラ*"),
VLOOKUP("*キャラ*",商品マスタ一覧!$D:$E,2,FALSE),
IF(COUNTIF(D205,"*赤*"),
VLOOKUP("*赤*",商品マスタ一覧!$D:$E,2,FALSE),
VLOOKUP("*"&amp;D205&amp;"*",商品マスタ一覧!$D:$E,2,FALSE)))*F205),"")</f>
        <v/>
      </c>
      <c r="H205" s="185" t="str">
        <f>IF(C205&lt;&gt;"",
クライアント抽出!D65,"")</f>
        <v/>
      </c>
      <c r="I205" s="183" t="str">
        <f>IF(C205&lt;&gt;"",
IF(O205=1,0,クライアント抽出!F65),"")</f>
        <v/>
      </c>
      <c r="J205" s="183" t="str">
        <f>IF(C205&lt;&gt;"",
VLOOKUP(
"*"&amp;LEFT(IF(COUNTIF(D205,"*学食*"),"キャラ弁（学食）",
IF(COUNTIF(D205,"*赤*"),"赤",
IF(COUNTIF(D205,"*キャラ弁当*"),"キャラ弁当",D205))),4)&amp;"*",注文弁当の抽出!$E$1:$F$15,2,FALSE),"")</f>
        <v/>
      </c>
      <c r="K205" s="183" t="str">
        <f ca="1">IF(クライアント抽出!R65&lt;&gt;"",SUBSTITUTE(ADDRESS(1,(CODE(クライアント抽出!R65)-64)*2-1,4),"1",""),"")</f>
        <v/>
      </c>
      <c r="L205" s="183" t="str">
        <f>IF(C65&lt;&gt;"",クライアント抽出!I65,"")</f>
        <v/>
      </c>
      <c r="M205" s="183">
        <f t="array" aca="1" ref="M205" ca="1">IF(C205&lt;&gt;"",
IF(K205&lt;&gt;"",INDIRECT("'数出表_Excel（アレルギー入力）'!"&amp;K205&amp;L205-1&amp;""),),)</f>
        <v>0</v>
      </c>
      <c r="N205" s="183" t="str">
        <f>IF(C205&lt;&gt;"",IF(OR(COUNTIF('盛付札（関数）'!D205,"*赤*"),COUNTIF('盛付札（関数）'!D205,"*キャラ*")),1,
VLOOKUP("*"&amp;D205&amp;"*",商品マスタ一覧!D:H,5,FALSE)),"")</f>
        <v/>
      </c>
      <c r="O205" s="183">
        <f t="shared" ref="O205:O210" ca="1" si="95">O65</f>
        <v>0</v>
      </c>
      <c r="P205" s="183">
        <f t="shared" si="75"/>
        <v>0</v>
      </c>
      <c r="Q205" s="183" t="b">
        <f t="shared" si="76"/>
        <v>0</v>
      </c>
      <c r="R205" s="51" t="str">
        <f t="array" aca="1" ref="R205" ca="1">IFERROR(SMALL(IF(P$1:P$307&lt;&gt;0,P$1:P$307),ROW(A205)),"")</f>
        <v/>
      </c>
      <c r="S205" s="51" t="str">
        <f t="array" aca="1" ref="S205" ca="1">IF($R205&lt;&gt;"",
SUBSTITUTE(SUBSTITUTE(INDIRECT("C"&amp;$R205&amp;"")," 週3ｺｰｽ","")," 週5ｺｰｽ",""),"")</f>
        <v/>
      </c>
      <c r="T205" s="51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91" t="str">
        <f t="array" aca="1" ref="U205" ca="1">IF($R205&lt;&gt;"",
INDIRECT("F"&amp;$R205&amp;""),"")</f>
        <v/>
      </c>
      <c r="V205" s="51" t="str">
        <f t="array" aca="1" ref="V205" ca="1">IF($R205&lt;&gt;"",
INDIRECT("G"&amp;$R205&amp;""),"")</f>
        <v/>
      </c>
      <c r="W205" s="51" t="str">
        <f t="array" aca="1" ref="W205" ca="1">IF($R205&lt;&gt;"",
IF(AND(COUNTIF(INDIRECT("B"&amp;R205&amp;""),"*雙葉*"),COUNTIF(B:B,"*雙葉*")&gt;=2),
IF(OR(COUNTIF(INDIRECT("B"&amp;R205&amp;""),"*雙葉先生*"),COUNTIF($B$1:$B$70,"*雙葉*")&gt;=2),INDIRECT("H"&amp;R205&amp;""),INDIRECT("H"&amp;R205&amp;"")+INDIRECT("H"&amp;MATCH("雙葉'",INDIRECT("B"&amp;R205+3&amp;":B210"),0)+2+R205&amp;"")),
IF(AND(LEFT(INDIRECT("B"&amp;R205&amp;""),2)="博多",COUNTIF(B:B,"*博多*")&gt;=2),
INDIRECT("H"&amp;R205&amp;"")+INDIRECT("H"&amp;MATCH("*"&amp;INDIRECT("B"&amp;R205&amp;"")&amp;"*",INDIRECT("B"&amp;R205+1&amp;":B210"),0)+R205&amp;""),
IF(AND(LEFT(INDIRECT("B"&amp;R205&amp;""),3)="奈良屋",COUNTIF(B:B,"*奈良屋*")&gt;=2),
INDIRECT("H"&amp;R205&amp;"")+INDIRECT("H"&amp;MATCH("*"&amp;INDIRECT("B"&amp;R205&amp;"")&amp;"*",INDIRECT("B"&amp;R205+1&amp;":B210"),0)+R205&amp;"")
+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INDIRECT("H"&amp;R205&amp;"")))),"")</f>
        <v/>
      </c>
      <c r="X205" s="51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51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51" t="str">
        <f t="shared" ca="1" si="77"/>
        <v/>
      </c>
      <c r="AA205" s="51" t="str">
        <f t="shared" ca="1" si="78"/>
        <v/>
      </c>
      <c r="AB205" s="51" t="str">
        <f t="array" aca="1" ref="AB205" ca="1">IF($R205&lt;&gt;"",
IF(AND(COUNTIF(INDIRECT("B"&amp;R205&amp;""),"*雙葉*"),COUNTIF(B:B,"*雙葉*")&gt;=2),
INDIRECT("M"&amp;R205&amp;"")+INDIRECT("M"&amp;MATCH("雙葉'",INDIRECT("B"&amp;R205+1&amp;":B210"),0)+R205&amp;""),
IF(AND(LEFT(INDIRECT("B"&amp;R205&amp;""),2)="博多",COUNTIF(B:B,"*博多*")&gt;=2),
INDIRECT("M"&amp;R205&amp;"")+INDIRECT("M"&amp;MATCH("*"&amp;INDIRECT("B"&amp;R205&amp;"")&amp;"*",INDIRECT("B"&amp;R205+1&amp;":B210"),0)+R205&amp;""),
IF(AND(LEFT(INDIRECT("B"&amp;R205&amp;""),3)="奈良屋",COUNTIF(B:B,"*奈良屋*")&gt;=2),
INDIRECT("M"&amp;R205&amp;"")+INDIRECT("M"&amp;MATCH("*"&amp;INDIRECT("B"&amp;R205&amp;"")&amp;"*",INDIRECT("B"&amp;R205+1&amp;":B210"),0)+R205&amp;"")
+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INDIRECT("M"&amp;R205&amp;"")))),"")</f>
        <v/>
      </c>
      <c r="AC205" s="51" t="str">
        <f t="shared" ca="1" si="79"/>
        <v/>
      </c>
      <c r="AD205" s="51" t="str">
        <f t="shared" ca="1" si="80"/>
        <v/>
      </c>
      <c r="AE205" s="51" t="str">
        <f t="shared" ca="1" si="81"/>
        <v/>
      </c>
      <c r="AF205" s="51" t="str">
        <f t="shared" ca="1" si="82"/>
        <v/>
      </c>
      <c r="AG205" s="51" t="str">
        <f t="shared" ca="1" si="83"/>
        <v/>
      </c>
      <c r="AH205" s="191" t="str">
        <f t="shared" ca="1" si="84"/>
        <v/>
      </c>
      <c r="AI205" s="51" t="str">
        <f t="shared" ca="1" si="85"/>
        <v/>
      </c>
      <c r="AJ205" s="51" t="str">
        <f t="shared" ca="1" si="86"/>
        <v/>
      </c>
      <c r="AK205" s="51" t="str">
        <f t="shared" ca="1" si="87"/>
        <v/>
      </c>
      <c r="AL205" s="51" t="str">
        <f t="shared" ca="1" si="88"/>
        <v/>
      </c>
      <c r="AM205" s="51" t="str">
        <f t="shared" ca="1" si="89"/>
        <v/>
      </c>
      <c r="AN205" s="51" t="str">
        <f t="shared" ca="1" si="90"/>
        <v/>
      </c>
      <c r="AO205" s="51" t="str">
        <f t="shared" ca="1" si="91"/>
        <v/>
      </c>
      <c r="AP205" s="51" t="str">
        <f t="shared" ca="1" si="92"/>
        <v/>
      </c>
      <c r="AU205" s="51" t="str">
        <f t="shared" ca="1" si="93"/>
        <v/>
      </c>
    </row>
    <row r="206" spans="1:47" ht="22.2" customHeight="1">
      <c r="A206" s="184">
        <f t="shared" si="74"/>
        <v>137</v>
      </c>
      <c r="B206" s="183" t="str">
        <f t="shared" ca="1" si="94"/>
        <v/>
      </c>
      <c r="C206" s="183" t="str">
        <f>IF(OR(クライアント抽出!D66&lt;&gt;"",クライアント抽出!G66&lt;&gt;""),クライアント抽出!A66,"")</f>
        <v/>
      </c>
      <c r="D206" s="183" t="str">
        <f t="array" aca="1" ref="D206" ca="1">IF(C206&lt;&gt;"",INDIRECT("クライアント抽出!"&amp;E206&amp;MATCH(C206,クライアント抽出!A:A,0)&amp;""),"")</f>
        <v/>
      </c>
      <c r="E206" s="183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86" t="str">
        <f ca="1">IF(D206&lt;&gt;"",
IF(COUNTIF(C206,"*雙葉*"),
IF(ROUND((H206-M206)
/IF(COUNTIF(D206,"*キャラ*"),
VLOOKUP("*キャラ*",商品マスタ一覧!$D:$E,2,FALSE),
IF(COUNTIF(D206,"*赤*"),
VLOOKUP("*赤*",商品マスタ一覧!$D:$E,2,FALSE),
VLOOKUP("*"&amp;D206&amp;"*",商品マスタ一覧!$D:$E,2,FALSE))),0)&lt;=0,1,
ROUND((H206-M206)
/IF(COUNTIF(D206,"*キャラ*"),
VLOOKUP("*キャラ*",商品マスタ一覧!$D:$E,2,FALSE),
IF(COUNTIF(D206,"*赤*"),
VLOOKUP("*赤*",商品マスタ一覧!$D:$E,2,FALSE),
VLOOKUP("*"&amp;D206&amp;"*",商品マスタ一覧!$D:$E,2,FALSE))),0)),
IF(OR(COUNTIF(D206,"*キャラ*"),COUNTIF(D206,"*赤*")),"",
IF(VLOOKUP("*"&amp;D206&amp;"*",商品マスタ一覧!$D:$E,2,FALSE)=0,"",
IF(ROUND((H206-M206)
/VLOOKUP("*"&amp;D206&amp;"*",商品マスタ一覧!$D:$E,2,FALSE),0)&lt;=0,1,
ROUND((H206-M206)
/VLOOKUP("*"&amp;D206&amp;"*",商品マスタ一覧!$D:$E,2,FALSE),0))))),"")</f>
        <v/>
      </c>
      <c r="G206" s="183" t="str">
        <f ca="1">IF(F206&lt;&gt;"",
IF(VALUE(H206-M206)&gt;VALUE(IF(COUNTIF(D206,"*キャラ*"),
VLOOKUP("*キャラ*",商品マスタ一覧!$D:$E,2,FALSE),
IF(COUNTIF(D206,"*赤*"),
VLOOKUP("*赤*",商品マスタ一覧!$D:$E,2,FALSE),
VLOOKUP("*"&amp;D206&amp;"*",商品マスタ一覧!$D:$E,2,FALSE)))*F206),
"+"&amp;(H206-M206)-IF(COUNTIF(D206,"*キャラ*"),
VLOOKUP("*キャラ*",商品マスタ一覧!$D:$E,2,FALSE),
IF(COUNTIF(D206,"*赤*"),
VLOOKUP("*赤*",商品マスタ一覧!$D:$E,2,FALSE),
VLOOKUP("*"&amp;D206&amp;"*",商品マスタ一覧!$D:$E,2,FALSE)))*F206,
(H206-M206)-IF(COUNTIF(D206,"*キャラ*"),
VLOOKUP("*キャラ*",商品マスタ一覧!$D:$E,2,FALSE),
IF(COUNTIF(D206,"*赤*"),
VLOOKUP("*赤*",商品マスタ一覧!$D:$E,2,FALSE),
VLOOKUP("*"&amp;D206&amp;"*",商品マスタ一覧!$D:$E,2,FALSE)))*F206),"")</f>
        <v/>
      </c>
      <c r="H206" s="185" t="str">
        <f>IF(C206&lt;&gt;"",
クライアント抽出!D66,"")</f>
        <v/>
      </c>
      <c r="I206" s="183" t="str">
        <f>IF(C206&lt;&gt;"",
IF(O206=1,0,クライアント抽出!F66),"")</f>
        <v/>
      </c>
      <c r="J206" s="183" t="str">
        <f>IF(C206&lt;&gt;"",
VLOOKUP(
"*"&amp;LEFT(IF(COUNTIF(D206,"*学食*"),"キャラ弁（学食）",
IF(COUNTIF(D206,"*赤*"),"赤",
IF(COUNTIF(D206,"*キャラ弁当*"),"キャラ弁当",D206))),4)&amp;"*",注文弁当の抽出!$E$1:$F$15,2,FALSE),"")</f>
        <v/>
      </c>
      <c r="K206" s="183" t="str">
        <f ca="1">IF(クライアント抽出!R66&lt;&gt;"",SUBSTITUTE(ADDRESS(1,(CODE(クライアント抽出!R66)-64)*2-1,4),"1",""),"")</f>
        <v/>
      </c>
      <c r="L206" s="183" t="str">
        <f>IF(C66&lt;&gt;"",クライアント抽出!I66,"")</f>
        <v/>
      </c>
      <c r="M206" s="183">
        <f t="array" aca="1" ref="M206" ca="1">IF(C206&lt;&gt;"",
IF(K206&lt;&gt;"",INDIRECT("'数出表_Excel（アレルギー入力）'!"&amp;K206&amp;L206-1&amp;""),),)</f>
        <v>0</v>
      </c>
      <c r="N206" s="183" t="str">
        <f>IF(C206&lt;&gt;"",IF(OR(COUNTIF('盛付札（関数）'!D206,"*赤*"),COUNTIF('盛付札（関数）'!D206,"*キャラ*")),1,
VLOOKUP("*"&amp;D206&amp;"*",商品マスタ一覧!D:H,5,FALSE)),"")</f>
        <v/>
      </c>
      <c r="O206" s="183">
        <f t="shared" ca="1" si="95"/>
        <v>0</v>
      </c>
      <c r="P206" s="183">
        <f t="shared" si="75"/>
        <v>0</v>
      </c>
      <c r="Q206" s="183" t="b">
        <f t="shared" si="76"/>
        <v>0</v>
      </c>
      <c r="R206" s="51" t="str">
        <f t="array" aca="1" ref="R206" ca="1">IFERROR(SMALL(IF(P$1:P$307&lt;&gt;0,P$1:P$307),ROW(A206)),"")</f>
        <v/>
      </c>
      <c r="S206" s="51" t="str">
        <f t="array" aca="1" ref="S206" ca="1">IF($R206&lt;&gt;"",
SUBSTITUTE(SUBSTITUTE(INDIRECT("C"&amp;$R206&amp;"")," 週3ｺｰｽ","")," 週5ｺｰｽ",""),"")</f>
        <v/>
      </c>
      <c r="T206" s="51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91" t="str">
        <f t="array" aca="1" ref="U206" ca="1">IF($R206&lt;&gt;"",
INDIRECT("F"&amp;$R206&amp;""),"")</f>
        <v/>
      </c>
      <c r="V206" s="51" t="str">
        <f t="array" aca="1" ref="V206" ca="1">IF($R206&lt;&gt;"",
INDIRECT("G"&amp;$R206&amp;""),"")</f>
        <v/>
      </c>
      <c r="W206" s="51" t="str">
        <f t="array" aca="1" ref="W206" ca="1">IF($R206&lt;&gt;"",
IF(AND(COUNTIF(INDIRECT("B"&amp;R206&amp;""),"*雙葉*"),COUNTIF(B:B,"*雙葉*")&gt;=2),
IF(OR(COUNTIF(INDIRECT("B"&amp;R206&amp;""),"*雙葉先生*"),COUNTIF($B$1:$B$70,"*雙葉*")&gt;=2),INDIRECT("H"&amp;R206&amp;""),INDIRECT("H"&amp;R206&amp;"")+INDIRECT("H"&amp;MATCH("雙葉'",INDIRECT("B"&amp;R206+3&amp;":B210"),0)+2+R206&amp;"")),
IF(AND(LEFT(INDIRECT("B"&amp;R206&amp;""),2)="博多",COUNTIF(B:B,"*博多*")&gt;=2),
INDIRECT("H"&amp;R206&amp;"")+INDIRECT("H"&amp;MATCH("*"&amp;INDIRECT("B"&amp;R206&amp;"")&amp;"*",INDIRECT("B"&amp;R206+1&amp;":B210"),0)+R206&amp;""),
IF(AND(LEFT(INDIRECT("B"&amp;R206&amp;""),3)="奈良屋",COUNTIF(B:B,"*奈良屋*")&gt;=2),
INDIRECT("H"&amp;R206&amp;"")+INDIRECT("H"&amp;MATCH("*"&amp;INDIRECT("B"&amp;R206&amp;"")&amp;"*",INDIRECT("B"&amp;R206+1&amp;":B210"),0)+R206&amp;"")
+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INDIRECT("H"&amp;R206&amp;"")))),"")</f>
        <v/>
      </c>
      <c r="X206" s="51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51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51" t="str">
        <f t="shared" ca="1" si="77"/>
        <v/>
      </c>
      <c r="AA206" s="51" t="str">
        <f t="shared" ca="1" si="78"/>
        <v/>
      </c>
      <c r="AB206" s="51" t="str">
        <f t="array" aca="1" ref="AB206" ca="1">IF($R206&lt;&gt;"",
IF(AND(COUNTIF(INDIRECT("B"&amp;R206&amp;""),"*雙葉*"),COUNTIF(B:B,"*雙葉*")&gt;=2),
INDIRECT("M"&amp;R206&amp;"")+INDIRECT("M"&amp;MATCH("雙葉'",INDIRECT("B"&amp;R206+1&amp;":B210"),0)+R206&amp;""),
IF(AND(LEFT(INDIRECT("B"&amp;R206&amp;""),2)="博多",COUNTIF(B:B,"*博多*")&gt;=2),
INDIRECT("M"&amp;R206&amp;"")+INDIRECT("M"&amp;MATCH("*"&amp;INDIRECT("B"&amp;R206&amp;"")&amp;"*",INDIRECT("B"&amp;R206+1&amp;":B210"),0)+R206&amp;""),
IF(AND(LEFT(INDIRECT("B"&amp;R206&amp;""),3)="奈良屋",COUNTIF(B:B,"*奈良屋*")&gt;=2),
INDIRECT("M"&amp;R206&amp;"")+INDIRECT("M"&amp;MATCH("*"&amp;INDIRECT("B"&amp;R206&amp;"")&amp;"*",INDIRECT("B"&amp;R206+1&amp;":B210"),0)+R206&amp;"")
+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INDIRECT("M"&amp;R206&amp;"")))),"")</f>
        <v/>
      </c>
      <c r="AC206" s="51" t="str">
        <f t="shared" ca="1" si="79"/>
        <v/>
      </c>
      <c r="AD206" s="51" t="str">
        <f t="shared" ca="1" si="80"/>
        <v/>
      </c>
      <c r="AE206" s="51" t="str">
        <f t="shared" ca="1" si="81"/>
        <v/>
      </c>
      <c r="AF206" s="51" t="str">
        <f t="shared" ca="1" si="82"/>
        <v/>
      </c>
      <c r="AG206" s="51" t="str">
        <f t="shared" ca="1" si="83"/>
        <v/>
      </c>
      <c r="AH206" s="191" t="str">
        <f t="shared" ca="1" si="84"/>
        <v/>
      </c>
      <c r="AI206" s="51" t="str">
        <f t="shared" ca="1" si="85"/>
        <v/>
      </c>
      <c r="AJ206" s="51" t="str">
        <f t="shared" ca="1" si="86"/>
        <v/>
      </c>
      <c r="AK206" s="51" t="str">
        <f t="shared" ca="1" si="87"/>
        <v/>
      </c>
      <c r="AL206" s="51" t="str">
        <f t="shared" ca="1" si="88"/>
        <v/>
      </c>
      <c r="AM206" s="51" t="str">
        <f t="shared" ca="1" si="89"/>
        <v/>
      </c>
      <c r="AN206" s="51" t="str">
        <f t="shared" ca="1" si="90"/>
        <v/>
      </c>
      <c r="AO206" s="51" t="str">
        <f t="shared" ca="1" si="91"/>
        <v/>
      </c>
      <c r="AP206" s="51" t="str">
        <f t="shared" ca="1" si="92"/>
        <v/>
      </c>
      <c r="AU206" s="51" t="str">
        <f t="shared" ca="1" si="93"/>
        <v/>
      </c>
    </row>
    <row r="207" spans="1:47" ht="22.2" customHeight="1">
      <c r="A207" s="184">
        <f t="shared" si="74"/>
        <v>139</v>
      </c>
      <c r="B207" s="183" t="str">
        <f t="shared" ca="1" si="94"/>
        <v/>
      </c>
      <c r="C207" s="183" t="str">
        <f>IF(OR(クライアント抽出!D67&lt;&gt;"",クライアント抽出!G67&lt;&gt;""),クライアント抽出!A67,"")</f>
        <v/>
      </c>
      <c r="D207" s="183" t="str">
        <f t="array" aca="1" ref="D207" ca="1">IF(C207&lt;&gt;"",INDIRECT("クライアント抽出!"&amp;E207&amp;MATCH(C207,クライアント抽出!A:A,0)&amp;""),"")</f>
        <v/>
      </c>
      <c r="E207" s="183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86" t="str">
        <f ca="1">IF(D207&lt;&gt;"",
IF(COUNTIF(C207,"*雙葉*"),
IF(ROUND((H207-M207)
/IF(COUNTIF(D207,"*キャラ*"),
VLOOKUP("*キャラ*",商品マスタ一覧!$D:$E,2,FALSE),
IF(COUNTIF(D207,"*赤*"),
VLOOKUP("*赤*",商品マスタ一覧!$D:$E,2,FALSE),
VLOOKUP("*"&amp;D207&amp;"*",商品マスタ一覧!$D:$E,2,FALSE))),0)&lt;=0,1,
ROUND((H207-M207)
/IF(COUNTIF(D207,"*キャラ*"),
VLOOKUP("*キャラ*",商品マスタ一覧!$D:$E,2,FALSE),
IF(COUNTIF(D207,"*赤*"),
VLOOKUP("*赤*",商品マスタ一覧!$D:$E,2,FALSE),
VLOOKUP("*"&amp;D207&amp;"*",商品マスタ一覧!$D:$E,2,FALSE))),0)),
IF(OR(COUNTIF(D207,"*キャラ*"),COUNTIF(D207,"*赤*")),"",
IF(VLOOKUP("*"&amp;D207&amp;"*",商品マスタ一覧!$D:$E,2,FALSE)=0,"",
IF(ROUND((H207-M207)
/VLOOKUP("*"&amp;D207&amp;"*",商品マスタ一覧!$D:$E,2,FALSE),0)&lt;=0,1,
ROUND((H207-M207)
/VLOOKUP("*"&amp;D207&amp;"*",商品マスタ一覧!$D:$E,2,FALSE),0))))),"")</f>
        <v/>
      </c>
      <c r="G207" s="183" t="str">
        <f ca="1">IF(F207&lt;&gt;"",
IF(VALUE(H207-M207)&gt;VALUE(IF(COUNTIF(D207,"*キャラ*"),
VLOOKUP("*キャラ*",商品マスタ一覧!$D:$E,2,FALSE),
IF(COUNTIF(D207,"*赤*"),
VLOOKUP("*赤*",商品マスタ一覧!$D:$E,2,FALSE),
VLOOKUP("*"&amp;D207&amp;"*",商品マスタ一覧!$D:$E,2,FALSE)))*F207),
"+"&amp;(H207-M207)-IF(COUNTIF(D207,"*キャラ*"),
VLOOKUP("*キャラ*",商品マスタ一覧!$D:$E,2,FALSE),
IF(COUNTIF(D207,"*赤*"),
VLOOKUP("*赤*",商品マスタ一覧!$D:$E,2,FALSE),
VLOOKUP("*"&amp;D207&amp;"*",商品マスタ一覧!$D:$E,2,FALSE)))*F207,
(H207-M207)-IF(COUNTIF(D207,"*キャラ*"),
VLOOKUP("*キャラ*",商品マスタ一覧!$D:$E,2,FALSE),
IF(COUNTIF(D207,"*赤*"),
VLOOKUP("*赤*",商品マスタ一覧!$D:$E,2,FALSE),
VLOOKUP("*"&amp;D207&amp;"*",商品マスタ一覧!$D:$E,2,FALSE)))*F207),"")</f>
        <v/>
      </c>
      <c r="H207" s="185" t="str">
        <f>IF(C207&lt;&gt;"",
クライアント抽出!D67,"")</f>
        <v/>
      </c>
      <c r="I207" s="183" t="str">
        <f>IF(C207&lt;&gt;"",
IF(O207=1,0,クライアント抽出!F67),"")</f>
        <v/>
      </c>
      <c r="J207" s="183" t="str">
        <f>IF(C207&lt;&gt;"",
VLOOKUP(
"*"&amp;LEFT(IF(COUNTIF(D207,"*学食*"),"キャラ弁（学食）",
IF(COUNTIF(D207,"*赤*"),"赤",
IF(COUNTIF(D207,"*キャラ弁当*"),"キャラ弁当",D207))),4)&amp;"*",注文弁当の抽出!$E$1:$F$15,2,FALSE),"")</f>
        <v/>
      </c>
      <c r="K207" s="183" t="str">
        <f ca="1">IF(クライアント抽出!R67&lt;&gt;"",SUBSTITUTE(ADDRESS(1,(CODE(クライアント抽出!R67)-64)*2-1,4),"1",""),"")</f>
        <v/>
      </c>
      <c r="L207" s="183" t="str">
        <f>IF(C67&lt;&gt;"",クライアント抽出!I67,"")</f>
        <v/>
      </c>
      <c r="M207" s="183">
        <f t="array" aca="1" ref="M207" ca="1">IF(C207&lt;&gt;"",
IF(K207&lt;&gt;"",INDIRECT("'数出表_Excel（アレルギー入力）'!"&amp;K207&amp;L207-1&amp;""),),)</f>
        <v>0</v>
      </c>
      <c r="N207" s="183" t="str">
        <f>IF(C207&lt;&gt;"",IF(OR(COUNTIF('盛付札（関数）'!D207,"*赤*"),COUNTIF('盛付札（関数）'!D207,"*キャラ*")),1,
VLOOKUP("*"&amp;D207&amp;"*",商品マスタ一覧!D:H,5,FALSE)),"")</f>
        <v/>
      </c>
      <c r="O207" s="183">
        <f t="shared" ca="1" si="95"/>
        <v>0</v>
      </c>
      <c r="P207" s="183">
        <f t="shared" si="75"/>
        <v>0</v>
      </c>
      <c r="Q207" s="183" t="b">
        <f t="shared" si="76"/>
        <v>0</v>
      </c>
      <c r="R207" s="51" t="str">
        <f t="array" aca="1" ref="R207" ca="1">IFERROR(SMALL(IF(P$1:P$307&lt;&gt;0,P$1:P$307),ROW(A207)),"")</f>
        <v/>
      </c>
      <c r="S207" s="51" t="str">
        <f t="array" aca="1" ref="S207" ca="1">IF($R207&lt;&gt;"",
SUBSTITUTE(SUBSTITUTE(INDIRECT("C"&amp;$R207&amp;"")," 週3ｺｰｽ","")," 週5ｺｰｽ",""),"")</f>
        <v/>
      </c>
      <c r="T207" s="51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91" t="str">
        <f t="array" aca="1" ref="U207" ca="1">IF($R207&lt;&gt;"",
INDIRECT("F"&amp;$R207&amp;""),"")</f>
        <v/>
      </c>
      <c r="V207" s="51" t="str">
        <f t="array" aca="1" ref="V207" ca="1">IF($R207&lt;&gt;"",
INDIRECT("G"&amp;$R207&amp;""),"")</f>
        <v/>
      </c>
      <c r="W207" s="51" t="str">
        <f t="array" aca="1" ref="W207" ca="1">IF($R207&lt;&gt;"",
IF(AND(COUNTIF(INDIRECT("B"&amp;R207&amp;""),"*雙葉*"),COUNTIF(B:B,"*雙葉*")&gt;=2),
IF(OR(COUNTIF(INDIRECT("B"&amp;R207&amp;""),"*雙葉先生*"),COUNTIF($B$1:$B$70,"*雙葉*")&gt;=2),INDIRECT("H"&amp;R207&amp;""),INDIRECT("H"&amp;R207&amp;"")+INDIRECT("H"&amp;MATCH("雙葉'",INDIRECT("B"&amp;R207+3&amp;":B210"),0)+2+R207&amp;"")),
IF(AND(LEFT(INDIRECT("B"&amp;R207&amp;""),2)="博多",COUNTIF(B:B,"*博多*")&gt;=2),
INDIRECT("H"&amp;R207&amp;"")+INDIRECT("H"&amp;MATCH("*"&amp;INDIRECT("B"&amp;R207&amp;"")&amp;"*",INDIRECT("B"&amp;R207+1&amp;":B210"),0)+R207&amp;""),
IF(AND(LEFT(INDIRECT("B"&amp;R207&amp;""),3)="奈良屋",COUNTIF(B:B,"*奈良屋*")&gt;=2),
INDIRECT("H"&amp;R207&amp;"")+INDIRECT("H"&amp;MATCH("*"&amp;INDIRECT("B"&amp;R207&amp;"")&amp;"*",INDIRECT("B"&amp;R207+1&amp;":B210"),0)+R207&amp;"")
+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INDIRECT("H"&amp;R207&amp;"")))),"")</f>
        <v/>
      </c>
      <c r="X207" s="51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51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51" t="str">
        <f t="shared" ca="1" si="77"/>
        <v/>
      </c>
      <c r="AA207" s="51" t="str">
        <f t="shared" ca="1" si="78"/>
        <v/>
      </c>
      <c r="AB207" s="51" t="str">
        <f t="array" aca="1" ref="AB207" ca="1">IF($R207&lt;&gt;"",
IF(AND(COUNTIF(INDIRECT("B"&amp;R207&amp;""),"*雙葉*"),COUNTIF(B:B,"*雙葉*")&gt;=2),
INDIRECT("M"&amp;R207&amp;"")+INDIRECT("M"&amp;MATCH("雙葉'",INDIRECT("B"&amp;R207+1&amp;":B210"),0)+R207&amp;""),
IF(AND(LEFT(INDIRECT("B"&amp;R207&amp;""),2)="博多",COUNTIF(B:B,"*博多*")&gt;=2),
INDIRECT("M"&amp;R207&amp;"")+INDIRECT("M"&amp;MATCH("*"&amp;INDIRECT("B"&amp;R207&amp;"")&amp;"*",INDIRECT("B"&amp;R207+1&amp;":B210"),0)+R207&amp;""),
IF(AND(LEFT(INDIRECT("B"&amp;R207&amp;""),3)="奈良屋",COUNTIF(B:B,"*奈良屋*")&gt;=2),
INDIRECT("M"&amp;R207&amp;"")+INDIRECT("M"&amp;MATCH("*"&amp;INDIRECT("B"&amp;R207&amp;"")&amp;"*",INDIRECT("B"&amp;R207+1&amp;":B210"),0)+R207&amp;"")
+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INDIRECT("M"&amp;R207&amp;"")))),"")</f>
        <v/>
      </c>
      <c r="AC207" s="51" t="str">
        <f t="shared" ca="1" si="79"/>
        <v/>
      </c>
      <c r="AD207" s="51" t="str">
        <f t="shared" ca="1" si="80"/>
        <v/>
      </c>
      <c r="AE207" s="51" t="str">
        <f t="shared" ca="1" si="81"/>
        <v/>
      </c>
      <c r="AF207" s="51" t="str">
        <f t="shared" ca="1" si="82"/>
        <v/>
      </c>
      <c r="AG207" s="51" t="str">
        <f t="shared" ca="1" si="83"/>
        <v/>
      </c>
      <c r="AH207" s="191" t="str">
        <f t="shared" ca="1" si="84"/>
        <v/>
      </c>
      <c r="AI207" s="51" t="str">
        <f t="shared" ca="1" si="85"/>
        <v/>
      </c>
      <c r="AJ207" s="51" t="str">
        <f t="shared" ca="1" si="86"/>
        <v/>
      </c>
      <c r="AK207" s="51" t="str">
        <f t="shared" ca="1" si="87"/>
        <v/>
      </c>
      <c r="AL207" s="51" t="str">
        <f t="shared" ca="1" si="88"/>
        <v/>
      </c>
      <c r="AM207" s="51" t="str">
        <f t="shared" ca="1" si="89"/>
        <v/>
      </c>
      <c r="AN207" s="51" t="str">
        <f t="shared" ca="1" si="90"/>
        <v/>
      </c>
      <c r="AO207" s="51" t="str">
        <f t="shared" ca="1" si="91"/>
        <v/>
      </c>
      <c r="AP207" s="51" t="str">
        <f t="shared" ca="1" si="92"/>
        <v/>
      </c>
      <c r="AU207" s="51" t="str">
        <f t="shared" ca="1" si="93"/>
        <v/>
      </c>
    </row>
    <row r="208" spans="1:47" ht="22.2" customHeight="1">
      <c r="A208" s="184">
        <f t="shared" si="74"/>
        <v>141</v>
      </c>
      <c r="B208" s="183" t="str">
        <f t="shared" ca="1" si="94"/>
        <v/>
      </c>
      <c r="C208" s="183" t="str">
        <f>IF(OR(クライアント抽出!D68&lt;&gt;"",クライアント抽出!G68&lt;&gt;""),クライアント抽出!A68,"")</f>
        <v/>
      </c>
      <c r="D208" s="183" t="str">
        <f t="array" aca="1" ref="D208" ca="1">IF(C208&lt;&gt;"",INDIRECT("クライアント抽出!"&amp;E208&amp;MATCH(C208,クライアント抽出!A:A,0)&amp;""),"")</f>
        <v/>
      </c>
      <c r="E208" s="183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86" t="str">
        <f ca="1">IF(D208&lt;&gt;"",
IF(COUNTIF(C208,"*雙葉*"),
IF(ROUND((H208-M208)
/IF(COUNTIF(D208,"*キャラ*"),
VLOOKUP("*キャラ*",商品マスタ一覧!$D:$E,2,FALSE),
IF(COUNTIF(D208,"*赤*"),
VLOOKUP("*赤*",商品マスタ一覧!$D:$E,2,FALSE),
VLOOKUP("*"&amp;D208&amp;"*",商品マスタ一覧!$D:$E,2,FALSE))),0)&lt;=0,1,
ROUND((H208-M208)
/IF(COUNTIF(D208,"*キャラ*"),
VLOOKUP("*キャラ*",商品マスタ一覧!$D:$E,2,FALSE),
IF(COUNTIF(D208,"*赤*"),
VLOOKUP("*赤*",商品マスタ一覧!$D:$E,2,FALSE),
VLOOKUP("*"&amp;D208&amp;"*",商品マスタ一覧!$D:$E,2,FALSE))),0)),
IF(OR(COUNTIF(D208,"*キャラ*"),COUNTIF(D208,"*赤*")),"",
IF(VLOOKUP("*"&amp;D208&amp;"*",商品マスタ一覧!$D:$E,2,FALSE)=0,"",
IF(ROUND((H208-M208)
/VLOOKUP("*"&amp;D208&amp;"*",商品マスタ一覧!$D:$E,2,FALSE),0)&lt;=0,1,
ROUND((H208-M208)
/VLOOKUP("*"&amp;D208&amp;"*",商品マスタ一覧!$D:$E,2,FALSE),0))))),"")</f>
        <v/>
      </c>
      <c r="G208" s="183" t="str">
        <f ca="1">IF(F208&lt;&gt;"",
IF(VALUE(H208-M208)&gt;VALUE(IF(COUNTIF(D208,"*キャラ*"),
VLOOKUP("*キャラ*",商品マスタ一覧!$D:$E,2,FALSE),
IF(COUNTIF(D208,"*赤*"),
VLOOKUP("*赤*",商品マスタ一覧!$D:$E,2,FALSE),
VLOOKUP("*"&amp;D208&amp;"*",商品マスタ一覧!$D:$E,2,FALSE)))*F208),
"+"&amp;(H208-M208)-IF(COUNTIF(D208,"*キャラ*"),
VLOOKUP("*キャラ*",商品マスタ一覧!$D:$E,2,FALSE),
IF(COUNTIF(D208,"*赤*"),
VLOOKUP("*赤*",商品マスタ一覧!$D:$E,2,FALSE),
VLOOKUP("*"&amp;D208&amp;"*",商品マスタ一覧!$D:$E,2,FALSE)))*F208,
(H208-M208)-IF(COUNTIF(D208,"*キャラ*"),
VLOOKUP("*キャラ*",商品マスタ一覧!$D:$E,2,FALSE),
IF(COUNTIF(D208,"*赤*"),
VLOOKUP("*赤*",商品マスタ一覧!$D:$E,2,FALSE),
VLOOKUP("*"&amp;D208&amp;"*",商品マスタ一覧!$D:$E,2,FALSE)))*F208),"")</f>
        <v/>
      </c>
      <c r="H208" s="185" t="str">
        <f>IF(C208&lt;&gt;"",
クライアント抽出!D68,"")</f>
        <v/>
      </c>
      <c r="I208" s="183" t="str">
        <f>IF(C208&lt;&gt;"",
IF(O208=1,0,クライアント抽出!F68),"")</f>
        <v/>
      </c>
      <c r="J208" s="183" t="str">
        <f>IF(C208&lt;&gt;"",
VLOOKUP(
"*"&amp;LEFT(IF(COUNTIF(D208,"*学食*"),"キャラ弁（学食）",
IF(COUNTIF(D208,"*赤*"),"赤",
IF(COUNTIF(D208,"*キャラ弁当*"),"キャラ弁当",D208))),4)&amp;"*",注文弁当の抽出!$E$1:$F$15,2,FALSE),"")</f>
        <v/>
      </c>
      <c r="K208" s="183" t="str">
        <f ca="1">IF(クライアント抽出!R68&lt;&gt;"",SUBSTITUTE(ADDRESS(1,(CODE(クライアント抽出!R68)-64)*2-1,4),"1",""),"")</f>
        <v/>
      </c>
      <c r="L208" s="183" t="str">
        <f>IF(C68&lt;&gt;"",クライアント抽出!I68,"")</f>
        <v/>
      </c>
      <c r="M208" s="183">
        <f t="array" aca="1" ref="M208" ca="1">IF(C208&lt;&gt;"",
IF(K208&lt;&gt;"",INDIRECT("'数出表_Excel（アレルギー入力）'!"&amp;K208&amp;L208-1&amp;""),),)</f>
        <v>0</v>
      </c>
      <c r="N208" s="183" t="str">
        <f>IF(C208&lt;&gt;"",IF(OR(COUNTIF('盛付札（関数）'!D208,"*赤*"),COUNTIF('盛付札（関数）'!D208,"*キャラ*")),1,
VLOOKUP("*"&amp;D208&amp;"*",商品マスタ一覧!D:H,5,FALSE)),"")</f>
        <v/>
      </c>
      <c r="O208" s="183">
        <f t="shared" ca="1" si="95"/>
        <v>0</v>
      </c>
      <c r="P208" s="183">
        <f t="shared" si="75"/>
        <v>0</v>
      </c>
      <c r="Q208" s="183" t="b">
        <f t="shared" si="76"/>
        <v>0</v>
      </c>
      <c r="R208" s="51" t="str">
        <f t="array" aca="1" ref="R208" ca="1">IFERROR(SMALL(IF(P$1:P$307&lt;&gt;0,P$1:P$307),ROW(A208)),"")</f>
        <v/>
      </c>
      <c r="S208" s="51" t="str">
        <f t="array" aca="1" ref="S208" ca="1">IF($R208&lt;&gt;"",
SUBSTITUTE(SUBSTITUTE(INDIRECT("C"&amp;$R208&amp;"")," 週3ｺｰｽ","")," 週5ｺｰｽ",""),"")</f>
        <v/>
      </c>
      <c r="T208" s="51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91" t="str">
        <f t="array" aca="1" ref="U208" ca="1">IF($R208&lt;&gt;"",
INDIRECT("F"&amp;$R208&amp;""),"")</f>
        <v/>
      </c>
      <c r="V208" s="51" t="str">
        <f t="array" aca="1" ref="V208" ca="1">IF($R208&lt;&gt;"",
INDIRECT("G"&amp;$R208&amp;""),"")</f>
        <v/>
      </c>
      <c r="W208" s="51" t="str">
        <f t="array" aca="1" ref="W208" ca="1">IF($R208&lt;&gt;"",
IF(AND(COUNTIF(INDIRECT("B"&amp;R208&amp;""),"*雙葉*"),COUNTIF(B:B,"*雙葉*")&gt;=2),
IF(OR(COUNTIF(INDIRECT("B"&amp;R208&amp;""),"*雙葉先生*"),COUNTIF($B$1:$B$70,"*雙葉*")&gt;=2),INDIRECT("H"&amp;R208&amp;""),INDIRECT("H"&amp;R208&amp;"")+INDIRECT("H"&amp;MATCH("雙葉'",INDIRECT("B"&amp;R208+3&amp;":B210"),0)+2+R208&amp;"")),
IF(AND(LEFT(INDIRECT("B"&amp;R208&amp;""),2)="博多",COUNTIF(B:B,"*博多*")&gt;=2),
INDIRECT("H"&amp;R208&amp;"")+INDIRECT("H"&amp;MATCH("*"&amp;INDIRECT("B"&amp;R208&amp;"")&amp;"*",INDIRECT("B"&amp;R208+1&amp;":B210"),0)+R208&amp;""),
IF(AND(LEFT(INDIRECT("B"&amp;R208&amp;""),3)="奈良屋",COUNTIF(B:B,"*奈良屋*")&gt;=2),
INDIRECT("H"&amp;R208&amp;"")+INDIRECT("H"&amp;MATCH("*"&amp;INDIRECT("B"&amp;R208&amp;"")&amp;"*",INDIRECT("B"&amp;R208+1&amp;":B210"),0)+R208&amp;"")
+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INDIRECT("H"&amp;R208&amp;"")))),"")</f>
        <v/>
      </c>
      <c r="X208" s="51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51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51" t="str">
        <f t="shared" ca="1" si="77"/>
        <v/>
      </c>
      <c r="AA208" s="51" t="str">
        <f t="shared" ca="1" si="78"/>
        <v/>
      </c>
      <c r="AB208" s="51" t="str">
        <f t="array" aca="1" ref="AB208" ca="1">IF($R208&lt;&gt;"",
IF(AND(COUNTIF(INDIRECT("B"&amp;R208&amp;""),"*雙葉*"),COUNTIF(B:B,"*雙葉*")&gt;=2),
INDIRECT("M"&amp;R208&amp;"")+INDIRECT("M"&amp;MATCH("雙葉'",INDIRECT("B"&amp;R208+1&amp;":B210"),0)+R208&amp;""),
IF(AND(LEFT(INDIRECT("B"&amp;R208&amp;""),2)="博多",COUNTIF(B:B,"*博多*")&gt;=2),
INDIRECT("M"&amp;R208&amp;"")+INDIRECT("M"&amp;MATCH("*"&amp;INDIRECT("B"&amp;R208&amp;"")&amp;"*",INDIRECT("B"&amp;R208+1&amp;":B210"),0)+R208&amp;""),
IF(AND(LEFT(INDIRECT("B"&amp;R208&amp;""),3)="奈良屋",COUNTIF(B:B,"*奈良屋*")&gt;=2),
INDIRECT("M"&amp;R208&amp;"")+INDIRECT("M"&amp;MATCH("*"&amp;INDIRECT("B"&amp;R208&amp;"")&amp;"*",INDIRECT("B"&amp;R208+1&amp;":B210"),0)+R208&amp;"")
+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INDIRECT("M"&amp;R208&amp;"")))),"")</f>
        <v/>
      </c>
      <c r="AC208" s="51" t="str">
        <f t="shared" ca="1" si="79"/>
        <v/>
      </c>
      <c r="AD208" s="51" t="str">
        <f t="shared" ca="1" si="80"/>
        <v/>
      </c>
      <c r="AE208" s="51" t="str">
        <f t="shared" ca="1" si="81"/>
        <v/>
      </c>
      <c r="AF208" s="51" t="str">
        <f t="shared" ca="1" si="82"/>
        <v/>
      </c>
      <c r="AG208" s="51" t="str">
        <f t="shared" ca="1" si="83"/>
        <v/>
      </c>
      <c r="AH208" s="191" t="str">
        <f t="shared" ca="1" si="84"/>
        <v/>
      </c>
      <c r="AI208" s="51" t="str">
        <f t="shared" ca="1" si="85"/>
        <v/>
      </c>
      <c r="AJ208" s="51" t="str">
        <f t="shared" ca="1" si="86"/>
        <v/>
      </c>
      <c r="AK208" s="51" t="str">
        <f t="shared" ca="1" si="87"/>
        <v/>
      </c>
      <c r="AL208" s="51" t="str">
        <f t="shared" ca="1" si="88"/>
        <v/>
      </c>
      <c r="AM208" s="51" t="str">
        <f t="shared" ca="1" si="89"/>
        <v/>
      </c>
      <c r="AN208" s="51" t="str">
        <f t="shared" ca="1" si="90"/>
        <v/>
      </c>
      <c r="AO208" s="51" t="str">
        <f t="shared" ca="1" si="91"/>
        <v/>
      </c>
      <c r="AP208" s="51" t="str">
        <f t="shared" ca="1" si="92"/>
        <v/>
      </c>
      <c r="AU208" s="51" t="str">
        <f t="shared" ca="1" si="93"/>
        <v/>
      </c>
    </row>
    <row r="209" spans="1:47" ht="22.2" customHeight="1">
      <c r="A209" s="184">
        <f t="shared" si="74"/>
        <v>143</v>
      </c>
      <c r="B209" s="183" t="str">
        <f t="shared" ca="1" si="94"/>
        <v/>
      </c>
      <c r="C209" s="183" t="str">
        <f>IF(OR(クライアント抽出!D69&lt;&gt;"",クライアント抽出!G69&lt;&gt;""),クライアント抽出!A69,"")</f>
        <v/>
      </c>
      <c r="D209" s="183" t="str">
        <f t="array" aca="1" ref="D209" ca="1">IF(C209&lt;&gt;"",INDIRECT("クライアント抽出!"&amp;E209&amp;MATCH(C209,クライアント抽出!A:A,0)&amp;""),"")</f>
        <v/>
      </c>
      <c r="E209" s="183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86" t="str">
        <f ca="1">IF(D209&lt;&gt;"",
IF(COUNTIF(C209,"*雙葉*"),
IF(ROUND((H209-M209)
/IF(COUNTIF(D209,"*キャラ*"),
VLOOKUP("*キャラ*",商品マスタ一覧!$D:$E,2,FALSE),
IF(COUNTIF(D209,"*赤*"),
VLOOKUP("*赤*",商品マスタ一覧!$D:$E,2,FALSE),
VLOOKUP("*"&amp;D209&amp;"*",商品マスタ一覧!$D:$E,2,FALSE))),0)&lt;=0,1,
ROUND((H209-M209)
/IF(COUNTIF(D209,"*キャラ*"),
VLOOKUP("*キャラ*",商品マスタ一覧!$D:$E,2,FALSE),
IF(COUNTIF(D209,"*赤*"),
VLOOKUP("*赤*",商品マスタ一覧!$D:$E,2,FALSE),
VLOOKUP("*"&amp;D209&amp;"*",商品マスタ一覧!$D:$E,2,FALSE))),0)),
IF(OR(COUNTIF(D209,"*キャラ*"),COUNTIF(D209,"*赤*")),"",
IF(VLOOKUP("*"&amp;D209&amp;"*",商品マスタ一覧!$D:$E,2,FALSE)=0,"",
IF(ROUND((H209-M209)
/VLOOKUP("*"&amp;D209&amp;"*",商品マスタ一覧!$D:$E,2,FALSE),0)&lt;=0,1,
ROUND((H209-M209)
/VLOOKUP("*"&amp;D209&amp;"*",商品マスタ一覧!$D:$E,2,FALSE),0))))),"")</f>
        <v/>
      </c>
      <c r="G209" s="183" t="str">
        <f ca="1">IF(F209&lt;&gt;"",
IF(VALUE(H209-M209)&gt;VALUE(IF(COUNTIF(D209,"*キャラ*"),
VLOOKUP("*キャラ*",商品マスタ一覧!$D:$E,2,FALSE),
IF(COUNTIF(D209,"*赤*"),
VLOOKUP("*赤*",商品マスタ一覧!$D:$E,2,FALSE),
VLOOKUP("*"&amp;D209&amp;"*",商品マスタ一覧!$D:$E,2,FALSE)))*F209),
"+"&amp;(H209-M209)-IF(COUNTIF(D209,"*キャラ*"),
VLOOKUP("*キャラ*",商品マスタ一覧!$D:$E,2,FALSE),
IF(COUNTIF(D209,"*赤*"),
VLOOKUP("*赤*",商品マスタ一覧!$D:$E,2,FALSE),
VLOOKUP("*"&amp;D209&amp;"*",商品マスタ一覧!$D:$E,2,FALSE)))*F209,
(H209-M209)-IF(COUNTIF(D209,"*キャラ*"),
VLOOKUP("*キャラ*",商品マスタ一覧!$D:$E,2,FALSE),
IF(COUNTIF(D209,"*赤*"),
VLOOKUP("*赤*",商品マスタ一覧!$D:$E,2,FALSE),
VLOOKUP("*"&amp;D209&amp;"*",商品マスタ一覧!$D:$E,2,FALSE)))*F209),"")</f>
        <v/>
      </c>
      <c r="H209" s="185" t="str">
        <f>IF(C209&lt;&gt;"",
クライアント抽出!D69,"")</f>
        <v/>
      </c>
      <c r="I209" s="183" t="str">
        <f>IF(C209&lt;&gt;"",
IF(O209=1,0,クライアント抽出!F69),"")</f>
        <v/>
      </c>
      <c r="J209" s="183" t="str">
        <f>IF(C209&lt;&gt;"",
VLOOKUP(
"*"&amp;LEFT(IF(COUNTIF(D209,"*学食*"),"キャラ弁（学食）",
IF(COUNTIF(D209,"*赤*"),"赤",
IF(COUNTIF(D209,"*キャラ弁当*"),"キャラ弁当",D209))),4)&amp;"*",注文弁当の抽出!$E$1:$F$15,2,FALSE),"")</f>
        <v/>
      </c>
      <c r="K209" s="183" t="str">
        <f ca="1">IF(クライアント抽出!R69&lt;&gt;"",SUBSTITUTE(ADDRESS(1,(CODE(クライアント抽出!R69)-64)*2-1,4),"1",""),"")</f>
        <v/>
      </c>
      <c r="L209" s="183" t="str">
        <f>IF(C69&lt;&gt;"",クライアント抽出!I69,"")</f>
        <v/>
      </c>
      <c r="M209" s="183">
        <f t="array" aca="1" ref="M209" ca="1">IF(C209&lt;&gt;"",
IF(K209&lt;&gt;"",INDIRECT("'数出表_Excel（アレルギー入力）'!"&amp;K209&amp;L209-1&amp;""),),)</f>
        <v>0</v>
      </c>
      <c r="N209" s="183" t="str">
        <f>IF(C209&lt;&gt;"",IF(OR(COUNTIF('盛付札（関数）'!D209,"*赤*"),COUNTIF('盛付札（関数）'!D209,"*キャラ*")),1,
VLOOKUP("*"&amp;D209&amp;"*",商品マスタ一覧!D:H,5,FALSE)),"")</f>
        <v/>
      </c>
      <c r="O209" s="183">
        <f t="shared" ca="1" si="95"/>
        <v>0</v>
      </c>
      <c r="P209" s="183">
        <f t="shared" si="75"/>
        <v>0</v>
      </c>
      <c r="Q209" s="183" t="b">
        <f t="shared" si="76"/>
        <v>0</v>
      </c>
      <c r="R209" s="51" t="str">
        <f t="array" aca="1" ref="R209" ca="1">IFERROR(SMALL(IF(P$1:P$307&lt;&gt;0,P$1:P$307),ROW(A209)),"")</f>
        <v/>
      </c>
      <c r="S209" s="51" t="str">
        <f t="array" aca="1" ref="S209" ca="1">IF($R209&lt;&gt;"",
SUBSTITUTE(SUBSTITUTE(INDIRECT("C"&amp;$R209&amp;"")," 週3ｺｰｽ","")," 週5ｺｰｽ",""),"")</f>
        <v/>
      </c>
      <c r="T209" s="51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91" t="str">
        <f t="array" aca="1" ref="U209" ca="1">IF($R209&lt;&gt;"",
INDIRECT("F"&amp;$R209&amp;""),"")</f>
        <v/>
      </c>
      <c r="V209" s="51" t="str">
        <f t="array" aca="1" ref="V209" ca="1">IF($R209&lt;&gt;"",
INDIRECT("G"&amp;$R209&amp;""),"")</f>
        <v/>
      </c>
      <c r="W209" s="51" t="str">
        <f t="array" aca="1" ref="W209" ca="1">IF($R209&lt;&gt;"",
IF(AND(COUNTIF(INDIRECT("B"&amp;R209&amp;""),"*雙葉*"),COUNTIF(B:B,"*雙葉*")&gt;=2),
IF(OR(COUNTIF(INDIRECT("B"&amp;R209&amp;""),"*雙葉先生*"),COUNTIF($B$1:$B$70,"*雙葉*")&gt;=2),INDIRECT("H"&amp;R209&amp;""),INDIRECT("H"&amp;R209&amp;"")+INDIRECT("H"&amp;MATCH("雙葉'",INDIRECT("B"&amp;R209+3&amp;":B210"),0)+2+R209&amp;"")),
IF(AND(LEFT(INDIRECT("B"&amp;R209&amp;""),2)="博多",COUNTIF(B:B,"*博多*")&gt;=2),
INDIRECT("H"&amp;R209&amp;"")+INDIRECT("H"&amp;MATCH("*"&amp;INDIRECT("B"&amp;R209&amp;"")&amp;"*",INDIRECT("B"&amp;R209+1&amp;":B210"),0)+R209&amp;""),
IF(AND(LEFT(INDIRECT("B"&amp;R209&amp;""),3)="奈良屋",COUNTIF(B:B,"*奈良屋*")&gt;=2),
INDIRECT("H"&amp;R209&amp;"")+INDIRECT("H"&amp;MATCH("*"&amp;INDIRECT("B"&amp;R209&amp;"")&amp;"*",INDIRECT("B"&amp;R209+1&amp;":B210"),0)+R209&amp;"")
+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INDIRECT("H"&amp;R209&amp;"")))),"")</f>
        <v/>
      </c>
      <c r="X209" s="51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51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51" t="str">
        <f t="shared" ca="1" si="77"/>
        <v/>
      </c>
      <c r="AA209" s="51" t="str">
        <f t="shared" ca="1" si="78"/>
        <v/>
      </c>
      <c r="AB209" s="51" t="str">
        <f t="array" aca="1" ref="AB209" ca="1">IF($R209&lt;&gt;"",
IF(AND(COUNTIF(INDIRECT("B"&amp;R209&amp;""),"*雙葉*"),COUNTIF(B:B,"*雙葉*")&gt;=2),
INDIRECT("M"&amp;R209&amp;"")+INDIRECT("M"&amp;MATCH("雙葉'",INDIRECT("B"&amp;R209+1&amp;":B210"),0)+R209&amp;""),
IF(AND(LEFT(INDIRECT("B"&amp;R209&amp;""),2)="博多",COUNTIF(B:B,"*博多*")&gt;=2),
INDIRECT("M"&amp;R209&amp;"")+INDIRECT("M"&amp;MATCH("*"&amp;INDIRECT("B"&amp;R209&amp;"")&amp;"*",INDIRECT("B"&amp;R209+1&amp;":B210"),0)+R209&amp;""),
IF(AND(LEFT(INDIRECT("B"&amp;R209&amp;""),3)="奈良屋",COUNTIF(B:B,"*奈良屋*")&gt;=2),
INDIRECT("M"&amp;R209&amp;"")+INDIRECT("M"&amp;MATCH("*"&amp;INDIRECT("B"&amp;R209&amp;"")&amp;"*",INDIRECT("B"&amp;R209+1&amp;":B210"),0)+R209&amp;"")
+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INDIRECT("M"&amp;R209&amp;"")))),"")</f>
        <v/>
      </c>
      <c r="AC209" s="51" t="str">
        <f t="shared" ca="1" si="79"/>
        <v/>
      </c>
      <c r="AD209" s="51" t="str">
        <f t="shared" ca="1" si="80"/>
        <v/>
      </c>
      <c r="AE209" s="51" t="str">
        <f t="shared" ca="1" si="81"/>
        <v/>
      </c>
      <c r="AF209" s="51" t="str">
        <f t="shared" ca="1" si="82"/>
        <v/>
      </c>
      <c r="AG209" s="51" t="str">
        <f t="shared" ca="1" si="83"/>
        <v/>
      </c>
      <c r="AH209" s="191" t="str">
        <f t="shared" ca="1" si="84"/>
        <v/>
      </c>
      <c r="AI209" s="51" t="str">
        <f t="shared" ca="1" si="85"/>
        <v/>
      </c>
      <c r="AJ209" s="51" t="str">
        <f t="shared" ca="1" si="86"/>
        <v/>
      </c>
      <c r="AK209" s="51" t="str">
        <f t="shared" ca="1" si="87"/>
        <v/>
      </c>
      <c r="AL209" s="51" t="str">
        <f t="shared" ca="1" si="88"/>
        <v/>
      </c>
      <c r="AM209" s="51" t="str">
        <f t="shared" ca="1" si="89"/>
        <v/>
      </c>
      <c r="AN209" s="51" t="str">
        <f t="shared" ca="1" si="90"/>
        <v/>
      </c>
      <c r="AO209" s="51" t="str">
        <f t="shared" ca="1" si="91"/>
        <v/>
      </c>
      <c r="AP209" s="51" t="str">
        <f t="shared" ca="1" si="92"/>
        <v/>
      </c>
      <c r="AU209" s="51" t="str">
        <f t="shared" ca="1" si="93"/>
        <v/>
      </c>
    </row>
    <row r="210" spans="1:47" ht="22.2" customHeight="1">
      <c r="A210" s="184">
        <f t="shared" si="74"/>
        <v>145</v>
      </c>
      <c r="B210" s="183" t="str">
        <f t="shared" ca="1" si="94"/>
        <v/>
      </c>
      <c r="C210" s="183" t="str">
        <f>IF(OR(クライアント抽出!D70&lt;&gt;"",クライアント抽出!G70&lt;&gt;""),クライアント抽出!A70,"")</f>
        <v/>
      </c>
      <c r="D210" s="183" t="str">
        <f t="array" aca="1" ref="D210" ca="1">IF(C210&lt;&gt;"",INDIRECT("クライアント抽出!"&amp;E210&amp;MATCH(C210,クライアント抽出!A:A,0)&amp;""),"")</f>
        <v/>
      </c>
      <c r="E210" s="183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86" t="str">
        <f ca="1">IF(D210&lt;&gt;"",
IF(COUNTIF(C210,"*雙葉*"),
IF(ROUND((H210-M210)
/IF(COUNTIF(D210,"*キャラ*"),
VLOOKUP("*キャラ*",商品マスタ一覧!$D:$E,2,FALSE),
IF(COUNTIF(D210,"*赤*"),
VLOOKUP("*赤*",商品マスタ一覧!$D:$E,2,FALSE),
VLOOKUP("*"&amp;D210&amp;"*",商品マスタ一覧!$D:$E,2,FALSE))),0)&lt;=0,1,
ROUND((H210-M210)
/IF(COUNTIF(D210,"*キャラ*"),
VLOOKUP("*キャラ*",商品マスタ一覧!$D:$E,2,FALSE),
IF(COUNTIF(D210,"*赤*"),
VLOOKUP("*赤*",商品マスタ一覧!$D:$E,2,FALSE),
VLOOKUP("*"&amp;D210&amp;"*",商品マスタ一覧!$D:$E,2,FALSE))),0)),
IF(OR(COUNTIF(D210,"*キャラ*"),COUNTIF(D210,"*赤*")),"",
IF(VLOOKUP("*"&amp;D210&amp;"*",商品マスタ一覧!$D:$E,2,FALSE)=0,"",
IF(ROUND((H210-M210)
/VLOOKUP("*"&amp;D210&amp;"*",商品マスタ一覧!$D:$E,2,FALSE),0)&lt;=0,1,
ROUND((H210-M210)
/VLOOKUP("*"&amp;D210&amp;"*",商品マスタ一覧!$D:$E,2,FALSE),0))))),"")</f>
        <v/>
      </c>
      <c r="G210" s="183" t="str">
        <f ca="1">IF(F210&lt;&gt;"",
IF(VALUE(H210-M210)&gt;VALUE(IF(COUNTIF(D210,"*キャラ*"),
VLOOKUP("*キャラ*",商品マスタ一覧!$D:$E,2,FALSE),
IF(COUNTIF(D210,"*赤*"),
VLOOKUP("*赤*",商品マスタ一覧!$D:$E,2,FALSE),
VLOOKUP("*"&amp;D210&amp;"*",商品マスタ一覧!$D:$E,2,FALSE)))*F210),
"+"&amp;(H210-M210)-IF(COUNTIF(D210,"*キャラ*"),
VLOOKUP("*キャラ*",商品マスタ一覧!$D:$E,2,FALSE),
IF(COUNTIF(D210,"*赤*"),
VLOOKUP("*赤*",商品マスタ一覧!$D:$E,2,FALSE),
VLOOKUP("*"&amp;D210&amp;"*",商品マスタ一覧!$D:$E,2,FALSE)))*F210,
(H210-M210)-IF(COUNTIF(D210,"*キャラ*"),
VLOOKUP("*キャラ*",商品マスタ一覧!$D:$E,2,FALSE),
IF(COUNTIF(D210,"*赤*"),
VLOOKUP("*赤*",商品マスタ一覧!$D:$E,2,FALSE),
VLOOKUP("*"&amp;D210&amp;"*",商品マスタ一覧!$D:$E,2,FALSE)))*F210),"")</f>
        <v/>
      </c>
      <c r="H210" s="185" t="str">
        <f>IF(C210&lt;&gt;"",
クライアント抽出!D70,"")</f>
        <v/>
      </c>
      <c r="I210" s="183" t="str">
        <f>IF(C210&lt;&gt;"",
IF(O210=1,0,クライアント抽出!F70),"")</f>
        <v/>
      </c>
      <c r="J210" s="183" t="str">
        <f>IF(C210&lt;&gt;"",
VLOOKUP(
"*"&amp;LEFT(IF(COUNTIF(D210,"*学食*"),"キャラ弁（学食）",
IF(COUNTIF(D210,"*赤*"),"赤",
IF(COUNTIF(D210,"*キャラ弁当*"),"キャラ弁当",D210))),4)&amp;"*",注文弁当の抽出!$E$1:$F$15,2,FALSE),"")</f>
        <v/>
      </c>
      <c r="K210" s="183" t="str">
        <f ca="1">IF(クライアント抽出!R70&lt;&gt;"",SUBSTITUTE(ADDRESS(1,(CODE(クライアント抽出!R70)-64)*2-1,4),"1",""),"")</f>
        <v/>
      </c>
      <c r="L210" s="183" t="str">
        <f>IF(C70&lt;&gt;"",クライアント抽出!I70,"")</f>
        <v/>
      </c>
      <c r="M210" s="183">
        <f t="array" aca="1" ref="M210" ca="1">IF(C210&lt;&gt;"",
IF(K210&lt;&gt;"",INDIRECT("'数出表_Excel（アレルギー入力）'!"&amp;K210&amp;L210-1&amp;""),),)</f>
        <v>0</v>
      </c>
      <c r="N210" s="183" t="str">
        <f>IF(C210&lt;&gt;"",IF(OR(COUNTIF('盛付札（関数）'!D210,"*赤*"),COUNTIF('盛付札（関数）'!D210,"*キャラ*")),1,
VLOOKUP("*"&amp;D210&amp;"*",商品マスタ一覧!D:H,5,FALSE)),"")</f>
        <v/>
      </c>
      <c r="O210" s="183">
        <f t="shared" ca="1" si="95"/>
        <v>0</v>
      </c>
      <c r="P210" s="183">
        <f t="shared" si="75"/>
        <v>0</v>
      </c>
      <c r="Q210" s="183" t="b">
        <f t="shared" si="76"/>
        <v>0</v>
      </c>
      <c r="R210" s="51" t="str">
        <f t="array" aca="1" ref="R210" ca="1">IFERROR(SMALL(IF(P$1:P$307&lt;&gt;0,P$1:P$307),ROW(A210)),"")</f>
        <v/>
      </c>
      <c r="S210" s="51" t="str">
        <f t="array" aca="1" ref="S210" ca="1">IF($R210&lt;&gt;"",
SUBSTITUTE(SUBSTITUTE(INDIRECT("C"&amp;$R210&amp;"")," 週3ｺｰｽ","")," 週5ｺｰｽ",""),"")</f>
        <v/>
      </c>
      <c r="T210" s="51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91" t="str">
        <f t="array" aca="1" ref="U210" ca="1">IF($R210&lt;&gt;"",
INDIRECT("F"&amp;$R210&amp;""),"")</f>
        <v/>
      </c>
      <c r="V210" s="51" t="str">
        <f t="array" aca="1" ref="V210" ca="1">IF($R210&lt;&gt;"",
INDIRECT("G"&amp;$R210&amp;""),"")</f>
        <v/>
      </c>
      <c r="W210" s="51" t="str">
        <f t="array" aca="1" ref="W210" ca="1">IF($R210&lt;&gt;"",
IF(AND(COUNTIF(INDIRECT("B"&amp;R210&amp;""),"*雙葉*"),COUNTIF(B:B,"*雙葉*")&gt;=2),
IF(OR(COUNTIF(INDIRECT("B"&amp;R210&amp;""),"*雙葉先生*"),COUNTIF($B$1:$B$70,"*雙葉*")&gt;=2),INDIRECT("H"&amp;R210&amp;""),INDIRECT("H"&amp;R210&amp;"")+INDIRECT("H"&amp;MATCH("雙葉'",INDIRECT("B"&amp;R210+3&amp;":B210"),0)+2+R210&amp;"")),
IF(AND(LEFT(INDIRECT("B"&amp;R210&amp;""),2)="博多",COUNTIF(B:B,"*博多*")&gt;=2),
INDIRECT("H"&amp;R210&amp;"")+INDIRECT("H"&amp;MATCH("*"&amp;INDIRECT("B"&amp;R210&amp;"")&amp;"*",INDIRECT("B"&amp;R210+1&amp;":B210"),0)+R210&amp;""),
IF(AND(LEFT(INDIRECT("B"&amp;R210&amp;""),3)="奈良屋",COUNTIF(B:B,"*奈良屋*")&gt;=2),
INDIRECT("H"&amp;R210&amp;"")+INDIRECT("H"&amp;MATCH("*"&amp;INDIRECT("B"&amp;R210&amp;"")&amp;"*",INDIRECT("B"&amp;R210+1&amp;":B210"),0)+R210&amp;"")
+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INDIRECT("H"&amp;R210&amp;"")))),"")</f>
        <v/>
      </c>
      <c r="X210" s="51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51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51" t="str">
        <f t="shared" ca="1" si="77"/>
        <v/>
      </c>
      <c r="AA210" s="51" t="str">
        <f t="shared" ca="1" si="78"/>
        <v/>
      </c>
      <c r="AB210" s="51" t="str">
        <f t="array" aca="1" ref="AB210" ca="1">IF($R210&lt;&gt;"",
IF(AND(COUNTIF(INDIRECT("B"&amp;R210&amp;""),"*雙葉*"),COUNTIF(B:B,"*雙葉*")&gt;=2),
INDIRECT("M"&amp;R210&amp;"")+INDIRECT("M"&amp;MATCH("雙葉'",INDIRECT("B"&amp;R210+1&amp;":B210"),0)+R210&amp;""),
IF(AND(LEFT(INDIRECT("B"&amp;R210&amp;""),2)="博多",COUNTIF(B:B,"*博多*")&gt;=2),
INDIRECT("M"&amp;R210&amp;"")+INDIRECT("M"&amp;MATCH("*"&amp;INDIRECT("B"&amp;R210&amp;"")&amp;"*",INDIRECT("B"&amp;R210+1&amp;":B210"),0)+R210&amp;""),
IF(AND(LEFT(INDIRECT("B"&amp;R210&amp;""),3)="奈良屋",COUNTIF(B:B,"*奈良屋*")&gt;=2),
INDIRECT("M"&amp;R210&amp;"")+INDIRECT("M"&amp;MATCH("*"&amp;INDIRECT("B"&amp;R210&amp;"")&amp;"*",INDIRECT("B"&amp;R210+1&amp;":B210"),0)+R210&amp;"")
+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INDIRECT("M"&amp;R210&amp;"")))),"")</f>
        <v/>
      </c>
      <c r="AC210" s="51" t="str">
        <f t="shared" ca="1" si="79"/>
        <v/>
      </c>
      <c r="AD210" s="51" t="str">
        <f t="shared" ca="1" si="80"/>
        <v/>
      </c>
      <c r="AE210" s="51" t="str">
        <f t="shared" ca="1" si="81"/>
        <v/>
      </c>
      <c r="AF210" s="51" t="str">
        <f t="shared" ca="1" si="82"/>
        <v/>
      </c>
      <c r="AG210" s="51" t="str">
        <f t="shared" ca="1" si="83"/>
        <v/>
      </c>
      <c r="AH210" s="191" t="str">
        <f t="shared" ca="1" si="84"/>
        <v/>
      </c>
      <c r="AI210" s="51" t="str">
        <f t="shared" ca="1" si="85"/>
        <v/>
      </c>
      <c r="AJ210" s="51" t="str">
        <f t="shared" ca="1" si="86"/>
        <v/>
      </c>
      <c r="AK210" s="51" t="str">
        <f t="shared" ca="1" si="87"/>
        <v/>
      </c>
      <c r="AL210" s="51" t="str">
        <f t="shared" ca="1" si="88"/>
        <v/>
      </c>
      <c r="AM210" s="51" t="str">
        <f t="shared" ca="1" si="89"/>
        <v/>
      </c>
      <c r="AN210" s="51" t="str">
        <f t="shared" ca="1" si="90"/>
        <v/>
      </c>
      <c r="AO210" s="51" t="str">
        <f t="shared" ca="1" si="91"/>
        <v/>
      </c>
      <c r="AP210" s="51" t="str">
        <f t="shared" ca="1" si="92"/>
        <v/>
      </c>
      <c r="AU210" s="51" t="str">
        <f t="shared" ca="1" si="93"/>
        <v/>
      </c>
    </row>
    <row r="211" spans="1:47">
      <c r="A211" s="176" t="e">
        <f ca="1">MATCH("*"&amp;LEFT(C211,3)&amp;"*",数出表_Excel!V:V,0)</f>
        <v>#N/A</v>
      </c>
      <c r="B211" s="193"/>
      <c r="C211" s="194" t="str">
        <f>社食等の札!A3</f>
        <v>ニシム</v>
      </c>
      <c r="D211" s="194"/>
      <c r="E211" s="194"/>
      <c r="F211" s="194"/>
      <c r="G211" s="194"/>
      <c r="H211" s="193" t="e">
        <f ca="1">社食等の札!E3</f>
        <v>#N/A</v>
      </c>
      <c r="I211" s="193"/>
      <c r="J211" s="193"/>
      <c r="M211" s="193"/>
      <c r="P211" s="193">
        <f>ROW()</f>
        <v>211</v>
      </c>
      <c r="Q211" s="193" t="b">
        <v>1</v>
      </c>
      <c r="R211" s="51" t="str">
        <f t="array" aca="1" ref="R211" ca="1">IFERROR(SMALL(IF(P$1:P$307&lt;&gt;0,P$1:P$307),ROW(A211)),"")</f>
        <v/>
      </c>
      <c r="S211" s="51" t="str">
        <f t="array" aca="1" ref="S211" ca="1">IF($R211&lt;&gt;"",
SUBSTITUTE(SUBSTITUTE(INDIRECT("C"&amp;$R211&amp;"")," 週3ｺｰｽ","")," 週5ｺｰｽ",""),"")</f>
        <v/>
      </c>
      <c r="T211" s="51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91" t="str">
        <f t="array" aca="1" ref="U211" ca="1">IF($R211&lt;&gt;"",
INDIRECT("F"&amp;$R211&amp;""),"")</f>
        <v/>
      </c>
      <c r="V211" s="51" t="str">
        <f t="array" aca="1" ref="V211" ca="1">IF($R211&lt;&gt;"",
INDIRECT("G"&amp;$R211&amp;""),"")</f>
        <v/>
      </c>
      <c r="W211" s="51" t="str">
        <f t="array" aca="1" ref="W211" ca="1">IF($R211&lt;&gt;"",
IF(AND(COUNTIF(INDIRECT("B"&amp;R211&amp;""),"*雙葉*"),COUNTIF(B:B,"*雙葉*")&gt;=2),
IF(OR(COUNTIF(INDIRECT("B"&amp;R211&amp;""),"*雙葉先生*"),COUNTIF($B$1:$B$70,"*雙葉*")&gt;=2),INDIRECT("H"&amp;R211&amp;""),INDIRECT("H"&amp;R211&amp;"")+INDIRECT("H"&amp;MATCH("雙葉'",INDIRECT("B"&amp;R211+3&amp;":B210"),0)+2+R211&amp;"")),
IF(AND(LEFT(INDIRECT("B"&amp;R211&amp;""),2)="博多",COUNTIF(B:B,"*博多*")&gt;=2),
INDIRECT("H"&amp;R211&amp;"")+INDIRECT("H"&amp;MATCH("*"&amp;INDIRECT("B"&amp;R211&amp;"")&amp;"*",INDIRECT("B"&amp;R211+1&amp;":B210"),0)+R211&amp;""),
IF(AND(LEFT(INDIRECT("B"&amp;R211&amp;""),3)="奈良屋",COUNTIF(B:B,"*奈良屋*")&gt;=2),
INDIRECT("H"&amp;R211&amp;"")+INDIRECT("H"&amp;MATCH("*"&amp;INDIRECT("B"&amp;R211&amp;"")&amp;"*",INDIRECT("B"&amp;R211+1&amp;":B210"),0)+R211&amp;"")
+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INDIRECT("H"&amp;R211&amp;"")))),"")</f>
        <v/>
      </c>
      <c r="X211" s="51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51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51" t="str">
        <f t="shared" ca="1" si="77"/>
        <v/>
      </c>
      <c r="AA211" s="51" t="str">
        <f t="shared" ca="1" si="78"/>
        <v/>
      </c>
      <c r="AB211" s="51" t="str">
        <f t="array" aca="1" ref="AB211" ca="1">IF($R211&lt;&gt;"",
IF(AND(COUNTIF(INDIRECT("B"&amp;R211&amp;""),"*雙葉*"),COUNTIF(B:B,"*雙葉*")&gt;=2),
INDIRECT("M"&amp;R211&amp;"")+INDIRECT("M"&amp;MATCH("雙葉'",INDIRECT("B"&amp;R211+1&amp;":B210"),0)+R211&amp;""),
IF(AND(LEFT(INDIRECT("B"&amp;R211&amp;""),2)="博多",COUNTIF(B:B,"*博多*")&gt;=2),
INDIRECT("M"&amp;R211&amp;"")+INDIRECT("M"&amp;MATCH("*"&amp;INDIRECT("B"&amp;R211&amp;"")&amp;"*",INDIRECT("B"&amp;R211+1&amp;":B210"),0)+R211&amp;""),
IF(AND(LEFT(INDIRECT("B"&amp;R211&amp;""),3)="奈良屋",COUNTIF(B:B,"*奈良屋*")&gt;=2),
INDIRECT("M"&amp;R211&amp;"")+INDIRECT("M"&amp;MATCH("*"&amp;INDIRECT("B"&amp;R211&amp;"")&amp;"*",INDIRECT("B"&amp;R211+1&amp;":B210"),0)+R211&amp;"")
+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INDIRECT("M"&amp;R211&amp;"")))),"")</f>
        <v/>
      </c>
      <c r="AC211" s="51" t="str">
        <f t="shared" ca="1" si="79"/>
        <v/>
      </c>
      <c r="AD211" s="51" t="str">
        <f t="shared" ca="1" si="80"/>
        <v/>
      </c>
      <c r="AE211" s="51" t="str">
        <f t="shared" ca="1" si="81"/>
        <v/>
      </c>
      <c r="AF211" s="51" t="str">
        <f t="shared" ca="1" si="82"/>
        <v/>
      </c>
      <c r="AG211" s="51" t="str">
        <f t="shared" ca="1" si="83"/>
        <v/>
      </c>
      <c r="AH211" s="191" t="str">
        <f t="shared" ca="1" si="84"/>
        <v/>
      </c>
      <c r="AI211" s="51" t="str">
        <f t="shared" ca="1" si="85"/>
        <v/>
      </c>
      <c r="AJ211" s="51" t="str">
        <f t="shared" ca="1" si="86"/>
        <v/>
      </c>
      <c r="AK211" s="51" t="str">
        <f t="shared" ca="1" si="87"/>
        <v/>
      </c>
      <c r="AL211" s="51" t="str">
        <f t="shared" ca="1" si="88"/>
        <v/>
      </c>
      <c r="AM211" s="51" t="str">
        <f t="shared" ca="1" si="89"/>
        <v/>
      </c>
      <c r="AN211" s="51" t="str">
        <f t="shared" ca="1" si="90"/>
        <v/>
      </c>
      <c r="AO211" s="51" t="str">
        <f t="shared" ca="1" si="91"/>
        <v/>
      </c>
      <c r="AP211" s="51" t="str">
        <f t="shared" ca="1" si="92"/>
        <v/>
      </c>
      <c r="AU211" s="51" t="str">
        <f t="shared" ca="1" si="93"/>
        <v/>
      </c>
    </row>
    <row r="212" spans="1:47">
      <c r="A212" s="176" t="e">
        <f ca="1">MATCH("*"&amp;LEFT(C212,3)&amp;"*",数出表_Excel!V:V,0)</f>
        <v>#N/A</v>
      </c>
      <c r="B212" s="193"/>
      <c r="C212" s="194" t="str">
        <f>社食等の札!A4</f>
        <v>新日本製薬</v>
      </c>
      <c r="D212" s="194"/>
      <c r="E212" s="194"/>
      <c r="F212" s="194"/>
      <c r="G212" s="194"/>
      <c r="H212" s="193" t="e">
        <f ca="1">社食等の札!E4</f>
        <v>#N/A</v>
      </c>
      <c r="I212" s="193"/>
      <c r="J212" s="193"/>
      <c r="M212" s="193"/>
      <c r="P212" s="193">
        <f>ROW()</f>
        <v>212</v>
      </c>
      <c r="Q212" s="193" t="b">
        <v>1</v>
      </c>
      <c r="R212" s="51" t="str">
        <f t="array" aca="1" ref="R212" ca="1">IFERROR(SMALL(IF(P$1:P$307&lt;&gt;0,P$1:P$307),ROW(A212)),"")</f>
        <v/>
      </c>
      <c r="S212" s="51" t="str">
        <f t="array" aca="1" ref="S212" ca="1">IF($R212&lt;&gt;"",
SUBSTITUTE(SUBSTITUTE(INDIRECT("C"&amp;$R212&amp;"")," 週3ｺｰｽ","")," 週5ｺｰｽ",""),"")</f>
        <v/>
      </c>
      <c r="T212" s="51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91" t="str">
        <f t="array" aca="1" ref="U212" ca="1">IF($R212&lt;&gt;"",
INDIRECT("F"&amp;$R212&amp;""),"")</f>
        <v/>
      </c>
      <c r="V212" s="51" t="str">
        <f t="array" aca="1" ref="V212" ca="1">IF($R212&lt;&gt;"",
INDIRECT("G"&amp;$R212&amp;""),"")</f>
        <v/>
      </c>
      <c r="W212" s="51" t="str">
        <f t="array" aca="1" ref="W212" ca="1">IF($R212&lt;&gt;"",
IF(AND(COUNTIF(INDIRECT("B"&amp;R212&amp;""),"*雙葉*"),COUNTIF(B:B,"*雙葉*")&gt;=2),
IF(OR(COUNTIF(INDIRECT("B"&amp;R212&amp;""),"*雙葉先生*"),COUNTIF($B$1:$B$70,"*雙葉*")&gt;=2),INDIRECT("H"&amp;R212&amp;""),INDIRECT("H"&amp;R212&amp;"")+INDIRECT("H"&amp;MATCH("雙葉'",INDIRECT("B"&amp;R212+3&amp;":B210"),0)+2+R212&amp;"")),
IF(AND(LEFT(INDIRECT("B"&amp;R212&amp;""),2)="博多",COUNTIF(B:B,"*博多*")&gt;=2),
INDIRECT("H"&amp;R212&amp;"")+INDIRECT("H"&amp;MATCH("*"&amp;INDIRECT("B"&amp;R212&amp;"")&amp;"*",INDIRECT("B"&amp;R212+1&amp;":B210"),0)+R212&amp;""),
IF(AND(LEFT(INDIRECT("B"&amp;R212&amp;""),3)="奈良屋",COUNTIF(B:B,"*奈良屋*")&gt;=2),
INDIRECT("H"&amp;R212&amp;"")+INDIRECT("H"&amp;MATCH("*"&amp;INDIRECT("B"&amp;R212&amp;"")&amp;"*",INDIRECT("B"&amp;R212+1&amp;":B210"),0)+R212&amp;"")
+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INDIRECT("H"&amp;R212&amp;"")))),"")</f>
        <v/>
      </c>
      <c r="X212" s="51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51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51" t="str">
        <f t="shared" ca="1" si="77"/>
        <v/>
      </c>
      <c r="AA212" s="51" t="str">
        <f t="shared" ca="1" si="78"/>
        <v/>
      </c>
      <c r="AB212" s="51" t="str">
        <f t="array" aca="1" ref="AB212" ca="1">IF($R212&lt;&gt;"",
IF(AND(COUNTIF(INDIRECT("B"&amp;R212&amp;""),"*雙葉*"),COUNTIF(B:B,"*雙葉*")&gt;=2),
INDIRECT("M"&amp;R212&amp;"")+INDIRECT("M"&amp;MATCH("雙葉'",INDIRECT("B"&amp;R212+1&amp;":B210"),0)+R212&amp;""),
IF(AND(LEFT(INDIRECT("B"&amp;R212&amp;""),2)="博多",COUNTIF(B:B,"*博多*")&gt;=2),
INDIRECT("M"&amp;R212&amp;"")+INDIRECT("M"&amp;MATCH("*"&amp;INDIRECT("B"&amp;R212&amp;"")&amp;"*",INDIRECT("B"&amp;R212+1&amp;":B210"),0)+R212&amp;""),
IF(AND(LEFT(INDIRECT("B"&amp;R212&amp;""),3)="奈良屋",COUNTIF(B:B,"*奈良屋*")&gt;=2),
INDIRECT("M"&amp;R212&amp;"")+INDIRECT("M"&amp;MATCH("*"&amp;INDIRECT("B"&amp;R212&amp;"")&amp;"*",INDIRECT("B"&amp;R212+1&amp;":B210"),0)+R212&amp;"")
+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INDIRECT("M"&amp;R212&amp;"")))),"")</f>
        <v/>
      </c>
      <c r="AC212" s="51" t="str">
        <f t="shared" ca="1" si="79"/>
        <v/>
      </c>
      <c r="AD212" s="51" t="str">
        <f t="shared" ca="1" si="80"/>
        <v/>
      </c>
      <c r="AE212" s="51" t="str">
        <f t="shared" ca="1" si="81"/>
        <v/>
      </c>
      <c r="AF212" s="51" t="str">
        <f t="shared" ca="1" si="82"/>
        <v/>
      </c>
      <c r="AG212" s="51" t="str">
        <f t="shared" ca="1" si="83"/>
        <v/>
      </c>
      <c r="AH212" s="191" t="str">
        <f t="shared" ca="1" si="84"/>
        <v/>
      </c>
      <c r="AI212" s="51" t="str">
        <f t="shared" ca="1" si="85"/>
        <v/>
      </c>
      <c r="AJ212" s="51" t="str">
        <f t="shared" ca="1" si="86"/>
        <v/>
      </c>
      <c r="AK212" s="51" t="str">
        <f t="shared" ca="1" si="87"/>
        <v/>
      </c>
      <c r="AL212" s="51" t="str">
        <f t="shared" ca="1" si="88"/>
        <v/>
      </c>
      <c r="AM212" s="51" t="str">
        <f t="shared" ca="1" si="89"/>
        <v/>
      </c>
      <c r="AN212" s="51" t="str">
        <f t="shared" ca="1" si="90"/>
        <v/>
      </c>
      <c r="AO212" s="51" t="str">
        <f t="shared" ca="1" si="91"/>
        <v/>
      </c>
      <c r="AP212" s="51" t="str">
        <f t="shared" ca="1" si="92"/>
        <v/>
      </c>
      <c r="AU212" s="51" t="str">
        <f t="shared" ca="1" si="93"/>
        <v/>
      </c>
    </row>
    <row r="213" spans="1:47">
      <c r="A213" s="176" t="e">
        <f ca="1">A212</f>
        <v>#N/A</v>
      </c>
      <c r="B213" s="193"/>
      <c r="C213" s="194" t="str">
        <f>社食等の札!A5</f>
        <v>配送</v>
      </c>
      <c r="D213" s="194"/>
      <c r="E213" s="194"/>
      <c r="F213" s="194"/>
      <c r="G213" s="194"/>
      <c r="H213" s="193">
        <f>社食等の札!E5</f>
        <v>2</v>
      </c>
      <c r="I213" s="193"/>
      <c r="J213" s="193"/>
      <c r="M213" s="193"/>
      <c r="P213" s="193">
        <f>ROW()</f>
        <v>213</v>
      </c>
      <c r="Q213" s="193" t="b">
        <v>1</v>
      </c>
      <c r="R213" s="51" t="str">
        <f t="array" aca="1" ref="R213" ca="1">IFERROR(SMALL(IF(P$1:P$307&lt;&gt;0,P$1:P$307),ROW(A213)),"")</f>
        <v/>
      </c>
      <c r="S213" s="51" t="str">
        <f t="array" aca="1" ref="S213" ca="1">IF($R213&lt;&gt;"",
SUBSTITUTE(SUBSTITUTE(INDIRECT("C"&amp;$R213&amp;"")," 週3ｺｰｽ","")," 週5ｺｰｽ",""),"")</f>
        <v/>
      </c>
      <c r="T213" s="51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91" t="str">
        <f t="array" aca="1" ref="U213" ca="1">IF($R213&lt;&gt;"",
INDIRECT("F"&amp;$R213&amp;""),"")</f>
        <v/>
      </c>
      <c r="V213" s="51" t="str">
        <f t="array" aca="1" ref="V213" ca="1">IF($R213&lt;&gt;"",
INDIRECT("G"&amp;$R213&amp;""),"")</f>
        <v/>
      </c>
      <c r="W213" s="51" t="str">
        <f t="array" aca="1" ref="W213" ca="1">IF($R213&lt;&gt;"",
IF(AND(COUNTIF(INDIRECT("B"&amp;R213&amp;""),"*雙葉*"),COUNTIF(B:B,"*雙葉*")&gt;=2),
IF(OR(COUNTIF(INDIRECT("B"&amp;R213&amp;""),"*雙葉先生*"),COUNTIF($B$1:$B$70,"*雙葉*")&gt;=2),INDIRECT("H"&amp;R213&amp;""),INDIRECT("H"&amp;R213&amp;"")+INDIRECT("H"&amp;MATCH("雙葉'",INDIRECT("B"&amp;R213+3&amp;":B210"),0)+2+R213&amp;"")),
IF(AND(LEFT(INDIRECT("B"&amp;R213&amp;""),2)="博多",COUNTIF(B:B,"*博多*")&gt;=2),
INDIRECT("H"&amp;R213&amp;"")+INDIRECT("H"&amp;MATCH("*"&amp;INDIRECT("B"&amp;R213&amp;"")&amp;"*",INDIRECT("B"&amp;R213+1&amp;":B210"),0)+R213&amp;""),
IF(AND(LEFT(INDIRECT("B"&amp;R213&amp;""),3)="奈良屋",COUNTIF(B:B,"*奈良屋*")&gt;=2),
INDIRECT("H"&amp;R213&amp;"")+INDIRECT("H"&amp;MATCH("*"&amp;INDIRECT("B"&amp;R213&amp;"")&amp;"*",INDIRECT("B"&amp;R213+1&amp;":B210"),0)+R213&amp;"")
+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INDIRECT("H"&amp;R213&amp;"")))),"")</f>
        <v/>
      </c>
      <c r="X213" s="51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51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51" t="str">
        <f t="shared" ca="1" si="77"/>
        <v/>
      </c>
      <c r="AA213" s="51" t="str">
        <f t="shared" ca="1" si="78"/>
        <v/>
      </c>
      <c r="AB213" s="51" t="str">
        <f t="array" aca="1" ref="AB213" ca="1">IF($R213&lt;&gt;"",
IF(AND(COUNTIF(INDIRECT("B"&amp;R213&amp;""),"*雙葉*"),COUNTIF(B:B,"*雙葉*")&gt;=2),
INDIRECT("M"&amp;R213&amp;"")+INDIRECT("M"&amp;MATCH("雙葉'",INDIRECT("B"&amp;R213+1&amp;":B210"),0)+R213&amp;""),
IF(AND(LEFT(INDIRECT("B"&amp;R213&amp;""),2)="博多",COUNTIF(B:B,"*博多*")&gt;=2),
INDIRECT("M"&amp;R213&amp;"")+INDIRECT("M"&amp;MATCH("*"&amp;INDIRECT("B"&amp;R213&amp;"")&amp;"*",INDIRECT("B"&amp;R213+1&amp;":B210"),0)+R213&amp;""),
IF(AND(LEFT(INDIRECT("B"&amp;R213&amp;""),3)="奈良屋",COUNTIF(B:B,"*奈良屋*")&gt;=2),
INDIRECT("M"&amp;R213&amp;"")+INDIRECT("M"&amp;MATCH("*"&amp;INDIRECT("B"&amp;R213&amp;"")&amp;"*",INDIRECT("B"&amp;R213+1&amp;":B210"),0)+R213&amp;"")
+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INDIRECT("M"&amp;R213&amp;"")))),"")</f>
        <v/>
      </c>
      <c r="AC213" s="51" t="str">
        <f t="shared" ca="1" si="79"/>
        <v/>
      </c>
      <c r="AD213" s="51" t="str">
        <f t="shared" ca="1" si="80"/>
        <v/>
      </c>
      <c r="AE213" s="51" t="str">
        <f t="shared" ca="1" si="81"/>
        <v/>
      </c>
      <c r="AF213" s="51" t="str">
        <f t="shared" ca="1" si="82"/>
        <v/>
      </c>
      <c r="AG213" s="51" t="str">
        <f t="shared" ca="1" si="83"/>
        <v/>
      </c>
      <c r="AH213" s="191" t="str">
        <f t="shared" ca="1" si="84"/>
        <v/>
      </c>
      <c r="AI213" s="51" t="str">
        <f t="shared" ca="1" si="85"/>
        <v/>
      </c>
      <c r="AJ213" s="51" t="str">
        <f t="shared" ca="1" si="86"/>
        <v/>
      </c>
      <c r="AK213" s="51" t="str">
        <f t="shared" ca="1" si="87"/>
        <v/>
      </c>
      <c r="AL213" s="51" t="str">
        <f t="shared" ca="1" si="88"/>
        <v/>
      </c>
      <c r="AM213" s="51" t="str">
        <f t="shared" ca="1" si="89"/>
        <v/>
      </c>
      <c r="AN213" s="51" t="str">
        <f t="shared" ca="1" si="90"/>
        <v/>
      </c>
      <c r="AO213" s="51" t="str">
        <f t="shared" ca="1" si="91"/>
        <v/>
      </c>
      <c r="AP213" s="51" t="str">
        <f t="shared" ca="1" si="92"/>
        <v/>
      </c>
      <c r="AU213" s="51" t="str">
        <f t="shared" ca="1" si="93"/>
        <v/>
      </c>
    </row>
    <row r="214" spans="1:47">
      <c r="A214" s="176">
        <v>146</v>
      </c>
      <c r="B214" s="193"/>
      <c r="C214" s="194" t="str">
        <f>社食等の札!A6</f>
        <v>先生用</v>
      </c>
      <c r="D214" s="194"/>
      <c r="E214" s="194"/>
      <c r="F214" s="195" t="e">
        <f ca="1">社食等の札!C6</f>
        <v>#N/A</v>
      </c>
      <c r="G214" s="193" t="e">
        <f ca="1">社食等の札!D6</f>
        <v>#N/A</v>
      </c>
      <c r="H214" s="193" t="e">
        <f ca="1">社食等の札!E6</f>
        <v>#N/A</v>
      </c>
      <c r="I214" s="193"/>
      <c r="J214" s="193">
        <f>社食等の札!G6</f>
        <v>12</v>
      </c>
      <c r="M214" s="193"/>
      <c r="P214" s="193">
        <f>ROW()</f>
        <v>214</v>
      </c>
      <c r="Q214" s="193" t="b">
        <v>1</v>
      </c>
      <c r="R214" s="51" t="str">
        <f t="array" aca="1" ref="R214" ca="1">IFERROR(SMALL(IF(P$1:P$307&lt;&gt;0,P$1:P$307),ROW(A214)),"")</f>
        <v/>
      </c>
      <c r="S214" s="51" t="str">
        <f t="array" aca="1" ref="S214" ca="1">IF($R214&lt;&gt;"",
SUBSTITUTE(SUBSTITUTE(INDIRECT("C"&amp;$R214&amp;"")," 週3ｺｰｽ","")," 週5ｺｰｽ",""),"")</f>
        <v/>
      </c>
      <c r="T214" s="51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91" t="str">
        <f t="array" aca="1" ref="U214" ca="1">IF($R214&lt;&gt;"",
INDIRECT("F"&amp;$R214&amp;""),"")</f>
        <v/>
      </c>
      <c r="V214" s="51" t="str">
        <f t="array" aca="1" ref="V214" ca="1">IF($R214&lt;&gt;"",
INDIRECT("G"&amp;$R214&amp;""),"")</f>
        <v/>
      </c>
      <c r="W214" s="51" t="str">
        <f t="array" aca="1" ref="W214" ca="1">IF($R214&lt;&gt;"",
IF(AND(COUNTIF(INDIRECT("B"&amp;R214&amp;""),"*雙葉*"),COUNTIF(B:B,"*雙葉*")&gt;=2),
IF(OR(COUNTIF(INDIRECT("B"&amp;R214&amp;""),"*雙葉先生*"),COUNTIF($B$1:$B$70,"*雙葉*")&gt;=2),INDIRECT("H"&amp;R214&amp;""),INDIRECT("H"&amp;R214&amp;"")+INDIRECT("H"&amp;MATCH("雙葉'",INDIRECT("B"&amp;R214+3&amp;":B210"),0)+2+R214&amp;"")),
IF(AND(LEFT(INDIRECT("B"&amp;R214&amp;""),2)="博多",COUNTIF(B:B,"*博多*")&gt;=2),
INDIRECT("H"&amp;R214&amp;"")+INDIRECT("H"&amp;MATCH("*"&amp;INDIRECT("B"&amp;R214&amp;"")&amp;"*",INDIRECT("B"&amp;R214+1&amp;":B210"),0)+R214&amp;""),
IF(AND(LEFT(INDIRECT("B"&amp;R214&amp;""),3)="奈良屋",COUNTIF(B:B,"*奈良屋*")&gt;=2),
INDIRECT("H"&amp;R214&amp;"")+INDIRECT("H"&amp;MATCH("*"&amp;INDIRECT("B"&amp;R214&amp;"")&amp;"*",INDIRECT("B"&amp;R214+1&amp;":B210"),0)+R214&amp;"")
+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INDIRECT("H"&amp;R214&amp;"")))),"")</f>
        <v/>
      </c>
      <c r="X214" s="51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51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51" t="str">
        <f t="shared" ca="1" si="77"/>
        <v/>
      </c>
      <c r="AA214" s="51" t="str">
        <f t="shared" ca="1" si="78"/>
        <v/>
      </c>
      <c r="AB214" s="51" t="str">
        <f t="array" aca="1" ref="AB214" ca="1">IF($R214&lt;&gt;"",
IF(AND(COUNTIF(INDIRECT("B"&amp;R214&amp;""),"*雙葉*"),COUNTIF(B:B,"*雙葉*")&gt;=2),
INDIRECT("M"&amp;R214&amp;"")+INDIRECT("M"&amp;MATCH("雙葉'",INDIRECT("B"&amp;R214+1&amp;":B210"),0)+R214&amp;""),
IF(AND(LEFT(INDIRECT("B"&amp;R214&amp;""),2)="博多",COUNTIF(B:B,"*博多*")&gt;=2),
INDIRECT("M"&amp;R214&amp;"")+INDIRECT("M"&amp;MATCH("*"&amp;INDIRECT("B"&amp;R214&amp;"")&amp;"*",INDIRECT("B"&amp;R214+1&amp;":B210"),0)+R214&amp;""),
IF(AND(LEFT(INDIRECT("B"&amp;R214&amp;""),3)="奈良屋",COUNTIF(B:B,"*奈良屋*")&gt;=2),
INDIRECT("M"&amp;R214&amp;"")+INDIRECT("M"&amp;MATCH("*"&amp;INDIRECT("B"&amp;R214&amp;"")&amp;"*",INDIRECT("B"&amp;R214+1&amp;":B210"),0)+R214&amp;"")
+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INDIRECT("M"&amp;R214&amp;"")))),"")</f>
        <v/>
      </c>
      <c r="AC214" s="51" t="str">
        <f t="shared" ca="1" si="79"/>
        <v/>
      </c>
      <c r="AD214" s="51" t="str">
        <f t="shared" ca="1" si="80"/>
        <v/>
      </c>
      <c r="AE214" s="51" t="str">
        <f t="shared" ca="1" si="81"/>
        <v/>
      </c>
      <c r="AF214" s="51" t="str">
        <f t="shared" ca="1" si="82"/>
        <v/>
      </c>
      <c r="AG214" s="51" t="str">
        <f t="shared" ca="1" si="83"/>
        <v/>
      </c>
      <c r="AH214" s="191" t="str">
        <f t="shared" ca="1" si="84"/>
        <v/>
      </c>
      <c r="AI214" s="51" t="str">
        <f t="shared" ca="1" si="85"/>
        <v/>
      </c>
      <c r="AJ214" s="51" t="str">
        <f t="shared" ca="1" si="86"/>
        <v/>
      </c>
      <c r="AK214" s="51" t="str">
        <f t="shared" ca="1" si="87"/>
        <v/>
      </c>
      <c r="AL214" s="51" t="str">
        <f t="shared" ca="1" si="88"/>
        <v/>
      </c>
      <c r="AM214" s="51" t="str">
        <f t="shared" ca="1" si="89"/>
        <v/>
      </c>
      <c r="AN214" s="51" t="str">
        <f t="shared" ca="1" si="90"/>
        <v/>
      </c>
      <c r="AO214" s="51" t="str">
        <f t="shared" ca="1" si="91"/>
        <v/>
      </c>
      <c r="AP214" s="51" t="str">
        <f t="shared" ca="1" si="92"/>
        <v/>
      </c>
      <c r="AU214" s="51" t="str">
        <f t="shared" ca="1" si="93"/>
        <v/>
      </c>
    </row>
    <row r="215" spans="1:47">
      <c r="A215" s="176">
        <f>A214+1</f>
        <v>147</v>
      </c>
      <c r="B215" s="196">
        <v>2</v>
      </c>
      <c r="C215" s="197" t="str">
        <f t="array" aca="1" ref="C215" ca="1">IF(INDIRECT("まとめ札!A"&amp;B215&amp;"")&lt;&gt;0,INDIRECT("まとめ札!A"&amp;B215&amp;"")&amp;"【1】","")</f>
        <v>キャラ弁当 飯あり【1】</v>
      </c>
      <c r="D215" s="197"/>
      <c r="E215" s="197"/>
      <c r="F215" s="198" t="str">
        <f ca="1">IF(C215&lt;&gt;"",
IF(IF(COUNTIF(C215,"*キャラ*"),
VLOOKUP("*キャラ*",商品マスタ一覧!$D:$E,2,FALSE),
VLOOKUP("*赤*",商品マスタ一覧!$D:$E,2,FALSE))=0,"",
IF(H215&lt;&gt;"",
IF(ROUND(
H215/IF(COUNTIF(C215,"*キャラ*"),
VLOOKUP("*キャラ*",商品マスタ一覧!$D:$E,2,FALSE),
VLOOKUP("*赤*",商品マスタ一覧!$D:$E,2,FALSE)),0)&lt;=0,1,
ROUND(
H215/IF(COUNTIF(C215,"*キャラ*"),
VLOOKUP("*キャラ*",商品マスタ一覧!$D:$E,2,FALSE),
VLOOKUP("*赤*",商品マスタ一覧!$D:$E,2,FALSE)),0)),"")),"")</f>
        <v/>
      </c>
      <c r="G215" s="199" t="str">
        <f ca="1">IF(F215&lt;&gt;"",IF(VALUE(H215)&gt;VALUE(IF(COUNTIF(C215,"*キャラ*"),
VLOOKUP("*キャラ*",商品マスタ一覧!$D:$E,2,FALSE),
VLOOKUP("*赤*",商品マスタ一覧!$D:$E,2,FALSE))*F215),
"+"&amp;H215-IF(COUNTIF(C215,"*キャラ*"),
VLOOKUP("*キャラ*",商品マスタ一覧!$D:$E,2,FALSE),
VLOOKUP("*赤*",商品マスタ一覧!$D:$E,2,FALSE))*F215,
H215-IF(COUNTIF(C215,"*キャラ*"),
VLOOKUP("*キャラ*",商品マスタ一覧!$D:$E,2,FALSE),
VLOOKUP("*赤*",商品マスタ一覧!$D:$E,2,FALSE))*F215),"")</f>
        <v/>
      </c>
      <c r="H215" s="196" t="str">
        <f t="array" aca="1" ref="H215" ca="1">IF(INDIRECT("まとめ札!F"&amp;B215&amp;"")&lt;&gt;0,INDIRECT("まとめ札!F"&amp;B215&amp;""),"")</f>
        <v/>
      </c>
      <c r="I215" s="196"/>
      <c r="J215" s="196">
        <f ca="1">IF(C215&lt;&gt;"",
IF(OR(COUNTIF(C215,"*キャラ*"),COUNTIF(C215,"*赤*")),24,
VLOOKUP(C215,#REF!,6,FALSE)),"")</f>
        <v>24</v>
      </c>
      <c r="M215" s="196"/>
      <c r="P215" s="196" t="str">
        <f t="shared" ref="P215:P246" ca="1" si="96">IF(Q215&lt;&gt;"",ROW(),"")</f>
        <v/>
      </c>
      <c r="Q215" s="196" t="str">
        <f t="shared" ref="Q215:Q261" ca="1" si="97">IF(H215&lt;&gt;"","TRUE","")</f>
        <v/>
      </c>
      <c r="R215" s="51" t="str">
        <f t="array" aca="1" ref="R215" ca="1">IFERROR(SMALL(IF(P$1:P$307&lt;&gt;0,P$1:P$307),ROW(A215)),"")</f>
        <v/>
      </c>
      <c r="S215" s="51" t="str">
        <f t="array" aca="1" ref="S215" ca="1">IF($R215&lt;&gt;"",
SUBSTITUTE(SUBSTITUTE(INDIRECT("C"&amp;$R215&amp;"")," 週3ｺｰｽ","")," 週5ｺｰｽ",""),"")</f>
        <v/>
      </c>
      <c r="T215" s="51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91" t="str">
        <f t="array" aca="1" ref="U215" ca="1">IF($R215&lt;&gt;"",
INDIRECT("F"&amp;$R215&amp;""),"")</f>
        <v/>
      </c>
      <c r="V215" s="51" t="str">
        <f t="array" aca="1" ref="V215" ca="1">IF($R215&lt;&gt;"",
INDIRECT("G"&amp;$R215&amp;""),"")</f>
        <v/>
      </c>
      <c r="W215" s="51" t="str">
        <f t="array" aca="1" ref="W215" ca="1">IF($R215&lt;&gt;"",
IF(AND(COUNTIF(INDIRECT("B"&amp;R215&amp;""),"*雙葉*"),COUNTIF(B:B,"*雙葉*")&gt;=2),
IF(OR(COUNTIF(INDIRECT("B"&amp;R215&amp;""),"*雙葉先生*"),COUNTIF($B$1:$B$70,"*雙葉*")&gt;=2),INDIRECT("H"&amp;R215&amp;""),INDIRECT("H"&amp;R215&amp;"")+INDIRECT("H"&amp;MATCH("雙葉'",INDIRECT("B"&amp;R215+3&amp;":B210"),0)+2+R215&amp;"")),
IF(AND(LEFT(INDIRECT("B"&amp;R215&amp;""),2)="博多",COUNTIF(B:B,"*博多*")&gt;=2),
INDIRECT("H"&amp;R215&amp;"")+INDIRECT("H"&amp;MATCH("*"&amp;INDIRECT("B"&amp;R215&amp;"")&amp;"*",INDIRECT("B"&amp;R215+1&amp;":B210"),0)+R215&amp;""),
IF(AND(LEFT(INDIRECT("B"&amp;R215&amp;""),3)="奈良屋",COUNTIF(B:B,"*奈良屋*")&gt;=2),
INDIRECT("H"&amp;R215&amp;"")+INDIRECT("H"&amp;MATCH("*"&amp;INDIRECT("B"&amp;R215&amp;"")&amp;"*",INDIRECT("B"&amp;R215+1&amp;":B210"),0)+R215&amp;"")
+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INDIRECT("H"&amp;R215&amp;"")))),"")</f>
        <v/>
      </c>
      <c r="X215" s="51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51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51" t="str">
        <f t="shared" ca="1" si="77"/>
        <v/>
      </c>
      <c r="AA215" s="51" t="str">
        <f t="shared" ca="1" si="78"/>
        <v/>
      </c>
      <c r="AB215" s="51" t="str">
        <f t="array" aca="1" ref="AB215" ca="1">IF($R215&lt;&gt;"",
IF(AND(COUNTIF(INDIRECT("B"&amp;R215&amp;""),"*雙葉*"),COUNTIF(B:B,"*雙葉*")&gt;=2),
INDIRECT("M"&amp;R215&amp;"")+INDIRECT("M"&amp;MATCH("雙葉'",INDIRECT("B"&amp;R215+1&amp;":B210"),0)+R215&amp;""),
IF(AND(LEFT(INDIRECT("B"&amp;R215&amp;""),2)="博多",COUNTIF(B:B,"*博多*")&gt;=2),
INDIRECT("M"&amp;R215&amp;"")+INDIRECT("M"&amp;MATCH("*"&amp;INDIRECT("B"&amp;R215&amp;"")&amp;"*",INDIRECT("B"&amp;R215+1&amp;":B210"),0)+R215&amp;""),
IF(AND(LEFT(INDIRECT("B"&amp;R215&amp;""),3)="奈良屋",COUNTIF(B:B,"*奈良屋*")&gt;=2),
INDIRECT("M"&amp;R215&amp;"")+INDIRECT("M"&amp;MATCH("*"&amp;INDIRECT("B"&amp;R215&amp;"")&amp;"*",INDIRECT("B"&amp;R215+1&amp;":B210"),0)+R215&amp;"")
+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INDIRECT("M"&amp;R215&amp;"")))),"")</f>
        <v/>
      </c>
      <c r="AC215" s="51" t="str">
        <f t="shared" ca="1" si="79"/>
        <v/>
      </c>
      <c r="AD215" s="51" t="str">
        <f t="shared" ca="1" si="80"/>
        <v/>
      </c>
      <c r="AE215" s="51" t="str">
        <f t="shared" ca="1" si="81"/>
        <v/>
      </c>
      <c r="AF215" s="51" t="str">
        <f t="shared" ca="1" si="82"/>
        <v/>
      </c>
      <c r="AG215" s="51" t="str">
        <f t="shared" ca="1" si="83"/>
        <v/>
      </c>
      <c r="AH215" s="191" t="str">
        <f t="shared" ca="1" si="84"/>
        <v/>
      </c>
      <c r="AI215" s="51" t="str">
        <f t="shared" ca="1" si="85"/>
        <v/>
      </c>
      <c r="AJ215" s="51" t="str">
        <f t="shared" ca="1" si="86"/>
        <v/>
      </c>
      <c r="AK215" s="51" t="str">
        <f t="shared" ca="1" si="87"/>
        <v/>
      </c>
      <c r="AL215" s="51" t="str">
        <f t="shared" ca="1" si="88"/>
        <v/>
      </c>
      <c r="AM215" s="51" t="str">
        <f t="shared" ca="1" si="89"/>
        <v/>
      </c>
      <c r="AN215" s="51" t="str">
        <f t="shared" ca="1" si="90"/>
        <v/>
      </c>
      <c r="AO215" s="51" t="str">
        <f t="shared" ca="1" si="91"/>
        <v/>
      </c>
      <c r="AP215" s="51" t="str">
        <f t="shared" ca="1" si="92"/>
        <v/>
      </c>
      <c r="AU215" s="51" t="str">
        <f t="shared" ca="1" si="93"/>
        <v/>
      </c>
    </row>
    <row r="216" spans="1:47">
      <c r="A216" s="176" t="str">
        <f ca="1">IF(C216&lt;&gt;"",A215+1,"")</f>
        <v/>
      </c>
      <c r="B216" s="196"/>
      <c r="C216" s="197" t="str">
        <f t="array" aca="1" ref="C216" ca="1">IF(OR(INDIRECT("まとめ札!G"&amp;B215&amp;"")="",INDIRECT("まとめ札!G"&amp;B215&amp;"")=0),"",INDIRECT("まとめ札!A"&amp;B215&amp;"")&amp;"【2】")</f>
        <v/>
      </c>
      <c r="D216" s="197"/>
      <c r="E216" s="197"/>
      <c r="F216" s="198" t="str">
        <f ca="1">IF(C216&lt;&gt;"",
IF(IF(COUNTIF(C216,"*キャラ*"),
VLOOKUP("*キャラ*",商品マスタ一覧!$D:$E,2,FALSE),
VLOOKUP("*赤*",商品マスタ一覧!$D:$E,2,FALSE))=0,"",
IF(H216&lt;&gt;"",
IF(ROUND(
H216/IF(COUNTIF(C216,"*キャラ*"),
VLOOKUP("*キャラ*",商品マスタ一覧!$D:$E,2,FALSE),
VLOOKUP("*赤*",商品マスタ一覧!$D:$E,2,FALSE)),0)&lt;=0,1,
ROUND(
H216/IF(COUNTIF(C216,"*キャラ*"),
VLOOKUP("*キャラ*",商品マスタ一覧!$D:$E,2,FALSE),
VLOOKUP("*赤*",商品マスタ一覧!$D:$E,2,FALSE)),0)),"")),"")</f>
        <v/>
      </c>
      <c r="G216" s="199" t="str">
        <f ca="1">IF(F216&lt;&gt;"",IF(VALUE(H216)&gt;VALUE(IF(COUNTIF(C216,"*キャラ*"),
VLOOKUP("*キャラ*",商品マスタ一覧!$D:$E,2,FALSE),
VLOOKUP("*赤*",商品マスタ一覧!$D:$E,2,FALSE))*F216),
"+"&amp;H216-IF(COUNTIF(C216,"*キャラ*"),
VLOOKUP("*キャラ*",商品マスタ一覧!$D:$E,2,FALSE),
VLOOKUP("*赤*",商品マスタ一覧!$D:$E,2,FALSE))*F216,
H216-IF(COUNTIF(C216,"*キャラ*"),
VLOOKUP("*キャラ*",商品マスタ一覧!$D:$E,2,FALSE),
VLOOKUP("*赤*",商品マスタ一覧!$D:$E,2,FALSE))*F216),"")</f>
        <v/>
      </c>
      <c r="H216" s="196" t="str">
        <f t="array" aca="1" ref="H216" ca="1">IF(OR(INDIRECT("まとめ札!G"&amp;B215&amp;"")="",INDIRECT("まとめ札!G"&amp;B215&amp;"")=0),"",INDIRECT("まとめ札!G"&amp;B215&amp;""))</f>
        <v/>
      </c>
      <c r="I216" s="196"/>
      <c r="J216" s="196" t="str">
        <f ca="1">IF(C216&lt;&gt;"",
IF(OR(COUNTIF(C216,"*キャラ*"),COUNTIF(C216,"*赤*")),24,
VLOOKUP(C216,#REF!,6,FALSE)),"")</f>
        <v/>
      </c>
      <c r="M216" s="196"/>
      <c r="P216" s="196" t="str">
        <f t="shared" ca="1" si="96"/>
        <v/>
      </c>
      <c r="Q216" s="196" t="str">
        <f t="shared" ca="1" si="97"/>
        <v/>
      </c>
      <c r="R216" s="51" t="str">
        <f t="array" aca="1" ref="R216" ca="1">IFERROR(SMALL(IF(P$1:P$307&lt;&gt;0,P$1:P$307),ROW(A216)),"")</f>
        <v/>
      </c>
      <c r="S216" s="51" t="str">
        <f t="array" aca="1" ref="S216" ca="1">IF($R216&lt;&gt;"",
SUBSTITUTE(SUBSTITUTE(INDIRECT("C"&amp;$R216&amp;"")," 週3ｺｰｽ","")," 週5ｺｰｽ",""),"")</f>
        <v/>
      </c>
      <c r="T216" s="51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91" t="str">
        <f t="array" aca="1" ref="U216" ca="1">IF($R216&lt;&gt;"",
INDIRECT("F"&amp;$R216&amp;""),"")</f>
        <v/>
      </c>
      <c r="V216" s="51" t="str">
        <f t="array" aca="1" ref="V216" ca="1">IF($R216&lt;&gt;"",
INDIRECT("G"&amp;$R216&amp;""),"")</f>
        <v/>
      </c>
      <c r="W216" s="51" t="str">
        <f t="array" aca="1" ref="W216" ca="1">IF($R216&lt;&gt;"",
IF(AND(COUNTIF(INDIRECT("B"&amp;R216&amp;""),"*雙葉*"),COUNTIF(B:B,"*雙葉*")&gt;=2),
IF(OR(COUNTIF(INDIRECT("B"&amp;R216&amp;""),"*雙葉先生*"),COUNTIF($B$1:$B$70,"*雙葉*")&gt;=2),INDIRECT("H"&amp;R216&amp;""),INDIRECT("H"&amp;R216&amp;"")+INDIRECT("H"&amp;MATCH("雙葉'",INDIRECT("B"&amp;R216+3&amp;":B210"),0)+2+R216&amp;"")),
IF(AND(LEFT(INDIRECT("B"&amp;R216&amp;""),2)="博多",COUNTIF(B:B,"*博多*")&gt;=2),
INDIRECT("H"&amp;R216&amp;"")+INDIRECT("H"&amp;MATCH("*"&amp;INDIRECT("B"&amp;R216&amp;"")&amp;"*",INDIRECT("B"&amp;R216+1&amp;":B210"),0)+R216&amp;""),
IF(AND(LEFT(INDIRECT("B"&amp;R216&amp;""),3)="奈良屋",COUNTIF(B:B,"*奈良屋*")&gt;=2),
INDIRECT("H"&amp;R216&amp;"")+INDIRECT("H"&amp;MATCH("*"&amp;INDIRECT("B"&amp;R216&amp;"")&amp;"*",INDIRECT("B"&amp;R216+1&amp;":B210"),0)+R216&amp;"")
+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INDIRECT("H"&amp;R216&amp;"")))),"")</f>
        <v/>
      </c>
      <c r="X216" s="51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51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51" t="str">
        <f t="shared" ca="1" si="77"/>
        <v/>
      </c>
      <c r="AA216" s="51" t="str">
        <f t="shared" ca="1" si="78"/>
        <v/>
      </c>
      <c r="AB216" s="51" t="str">
        <f t="array" aca="1" ref="AB216" ca="1">IF($R216&lt;&gt;"",
IF(AND(COUNTIF(INDIRECT("B"&amp;R216&amp;""),"*雙葉*"),COUNTIF(B:B,"*雙葉*")&gt;=2),
INDIRECT("M"&amp;R216&amp;"")+INDIRECT("M"&amp;MATCH("雙葉'",INDIRECT("B"&amp;R216+1&amp;":B210"),0)+R216&amp;""),
IF(AND(LEFT(INDIRECT("B"&amp;R216&amp;""),2)="博多",COUNTIF(B:B,"*博多*")&gt;=2),
INDIRECT("M"&amp;R216&amp;"")+INDIRECT("M"&amp;MATCH("*"&amp;INDIRECT("B"&amp;R216&amp;"")&amp;"*",INDIRECT("B"&amp;R216+1&amp;":B210"),0)+R216&amp;""),
IF(AND(LEFT(INDIRECT("B"&amp;R216&amp;""),3)="奈良屋",COUNTIF(B:B,"*奈良屋*")&gt;=2),
INDIRECT("M"&amp;R216&amp;"")+INDIRECT("M"&amp;MATCH("*"&amp;INDIRECT("B"&amp;R216&amp;"")&amp;"*",INDIRECT("B"&amp;R216+1&amp;":B210"),0)+R216&amp;"")
+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INDIRECT("M"&amp;R216&amp;"")))),"")</f>
        <v/>
      </c>
      <c r="AC216" s="51" t="str">
        <f t="shared" ca="1" si="79"/>
        <v/>
      </c>
      <c r="AD216" s="51" t="str">
        <f t="shared" ca="1" si="80"/>
        <v/>
      </c>
      <c r="AE216" s="51" t="str">
        <f t="shared" ca="1" si="81"/>
        <v/>
      </c>
      <c r="AF216" s="51" t="str">
        <f t="shared" ca="1" si="82"/>
        <v/>
      </c>
      <c r="AG216" s="51" t="str">
        <f t="shared" ca="1" si="83"/>
        <v/>
      </c>
      <c r="AH216" s="191" t="str">
        <f t="shared" ca="1" si="84"/>
        <v/>
      </c>
      <c r="AI216" s="51" t="str">
        <f t="shared" ca="1" si="85"/>
        <v/>
      </c>
      <c r="AJ216" s="51" t="str">
        <f t="shared" ca="1" si="86"/>
        <v/>
      </c>
      <c r="AK216" s="51" t="str">
        <f t="shared" ca="1" si="87"/>
        <v/>
      </c>
      <c r="AL216" s="51" t="str">
        <f t="shared" ca="1" si="88"/>
        <v/>
      </c>
      <c r="AM216" s="51" t="str">
        <f t="shared" ca="1" si="89"/>
        <v/>
      </c>
      <c r="AN216" s="51" t="str">
        <f t="shared" ca="1" si="90"/>
        <v/>
      </c>
      <c r="AO216" s="51" t="str">
        <f t="shared" ca="1" si="91"/>
        <v/>
      </c>
      <c r="AP216" s="51" t="str">
        <f t="shared" ca="1" si="92"/>
        <v/>
      </c>
      <c r="AU216" s="51" t="str">
        <f t="shared" ca="1" si="93"/>
        <v/>
      </c>
    </row>
    <row r="217" spans="1:47">
      <c r="A217" s="176" t="str">
        <f ca="1">IF(C217&lt;&gt;"",A216+1,"")</f>
        <v/>
      </c>
      <c r="B217" s="196"/>
      <c r="C217" s="197" t="str">
        <f t="array" aca="1" ref="C217" ca="1">IF(OR(INDIRECT("まとめ札!H"&amp;B215&amp;"")="",INDIRECT("まとめ札!H"&amp;B215&amp;"")=0),"",INDIRECT("まとめ札!A"&amp;B215&amp;"")&amp;"【3】")</f>
        <v/>
      </c>
      <c r="D217" s="197"/>
      <c r="E217" s="197"/>
      <c r="F217" s="198" t="str">
        <f ca="1">IF(C217&lt;&gt;"",
IF(IF(COUNTIF(C217,"*キャラ*"),
VLOOKUP("*キャラ*",商品マスタ一覧!$D:$E,2,FALSE),
VLOOKUP("*赤*",商品マスタ一覧!$D:$E,2,FALSE))=0,"",
IF(H217&lt;&gt;"",
IF(ROUND(
H217/IF(COUNTIF(C217,"*キャラ*"),
VLOOKUP("*キャラ*",商品マスタ一覧!$D:$E,2,FALSE),
VLOOKUP("*赤*",商品マスタ一覧!$D:$E,2,FALSE)),0)&lt;=0,1,
ROUND(
H217/IF(COUNTIF(C217,"*キャラ*"),
VLOOKUP("*キャラ*",商品マスタ一覧!$D:$E,2,FALSE),
VLOOKUP("*赤*",商品マスタ一覧!$D:$E,2,FALSE)),0)),"")),"")</f>
        <v/>
      </c>
      <c r="G217" s="199" t="str">
        <f ca="1">IF(F217&lt;&gt;"",IF(VALUE(H217)&gt;VALUE(IF(COUNTIF(C217,"*キャラ*"),
VLOOKUP("*キャラ*",商品マスタ一覧!$D:$E,2,FALSE),
VLOOKUP("*赤*",商品マスタ一覧!$D:$E,2,FALSE))*F217),
"+"&amp;H217-IF(COUNTIF(C217,"*キャラ*"),
VLOOKUP("*キャラ*",商品マスタ一覧!$D:$E,2,FALSE),
VLOOKUP("*赤*",商品マスタ一覧!$D:$E,2,FALSE))*F217,
H217-IF(COUNTIF(C217,"*キャラ*"),
VLOOKUP("*キャラ*",商品マスタ一覧!$D:$E,2,FALSE),
VLOOKUP("*赤*",商品マスタ一覧!$D:$E,2,FALSE))*F217),"")</f>
        <v/>
      </c>
      <c r="H217" s="196" t="str">
        <f t="array" aca="1" ref="H217" ca="1">IF(OR(INDIRECT("まとめ札!H"&amp;B215&amp;"")="",INDIRECT("まとめ札!H"&amp;B215&amp;"")=0),"",INDIRECT("まとめ札!H"&amp;B215&amp;""))</f>
        <v/>
      </c>
      <c r="I217" s="196"/>
      <c r="J217" s="196" t="str">
        <f ca="1">IF(C217&lt;&gt;"",
IF(OR(COUNTIF(C217,"*キャラ*"),COUNTIF(C217,"*赤*")),24,
VLOOKUP(C217,#REF!,6,FALSE)),"")</f>
        <v/>
      </c>
      <c r="M217" s="196"/>
      <c r="P217" s="196" t="str">
        <f t="shared" ca="1" si="96"/>
        <v/>
      </c>
      <c r="Q217" s="196" t="str">
        <f t="shared" ca="1" si="97"/>
        <v/>
      </c>
      <c r="R217" s="51" t="str">
        <f t="array" aca="1" ref="R217" ca="1">IFERROR(SMALL(IF(P$1:P$307&lt;&gt;0,P$1:P$307),ROW(A217)),"")</f>
        <v/>
      </c>
      <c r="S217" s="51" t="str">
        <f t="array" aca="1" ref="S217" ca="1">IF($R217&lt;&gt;"",
SUBSTITUTE(SUBSTITUTE(INDIRECT("C"&amp;$R217&amp;"")," 週3ｺｰｽ","")," 週5ｺｰｽ",""),"")</f>
        <v/>
      </c>
      <c r="T217" s="51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91" t="str">
        <f t="array" aca="1" ref="U217" ca="1">IF($R217&lt;&gt;"",
INDIRECT("F"&amp;$R217&amp;""),"")</f>
        <v/>
      </c>
      <c r="V217" s="51" t="str">
        <f t="array" aca="1" ref="V217" ca="1">IF($R217&lt;&gt;"",
INDIRECT("G"&amp;$R217&amp;""),"")</f>
        <v/>
      </c>
      <c r="W217" s="51" t="str">
        <f t="array" aca="1" ref="W217" ca="1">IF($R217&lt;&gt;"",
IF(AND(COUNTIF(INDIRECT("B"&amp;R217&amp;""),"*雙葉*"),COUNTIF(B:B,"*雙葉*")&gt;=2),
IF(OR(COUNTIF(INDIRECT("B"&amp;R217&amp;""),"*雙葉先生*"),COUNTIF($B$1:$B$70,"*雙葉*")&gt;=2),INDIRECT("H"&amp;R217&amp;""),INDIRECT("H"&amp;R217&amp;"")+INDIRECT("H"&amp;MATCH("雙葉'",INDIRECT("B"&amp;R217+3&amp;":B210"),0)+2+R217&amp;"")),
IF(AND(LEFT(INDIRECT("B"&amp;R217&amp;""),2)="博多",COUNTIF(B:B,"*博多*")&gt;=2),
INDIRECT("H"&amp;R217&amp;"")+INDIRECT("H"&amp;MATCH("*"&amp;INDIRECT("B"&amp;R217&amp;"")&amp;"*",INDIRECT("B"&amp;R217+1&amp;":B210"),0)+R217&amp;""),
IF(AND(LEFT(INDIRECT("B"&amp;R217&amp;""),3)="奈良屋",COUNTIF(B:B,"*奈良屋*")&gt;=2),
INDIRECT("H"&amp;R217&amp;"")+INDIRECT("H"&amp;MATCH("*"&amp;INDIRECT("B"&amp;R217&amp;"")&amp;"*",INDIRECT("B"&amp;R217+1&amp;":B210"),0)+R217&amp;"")
+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INDIRECT("H"&amp;R217&amp;"")))),"")</f>
        <v/>
      </c>
      <c r="X217" s="51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51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51" t="str">
        <f t="shared" ca="1" si="77"/>
        <v/>
      </c>
      <c r="AA217" s="51" t="str">
        <f t="shared" ca="1" si="78"/>
        <v/>
      </c>
      <c r="AB217" s="51" t="str">
        <f t="array" aca="1" ref="AB217" ca="1">IF($R217&lt;&gt;"",
IF(AND(COUNTIF(INDIRECT("B"&amp;R217&amp;""),"*雙葉*"),COUNTIF(B:B,"*雙葉*")&gt;=2),
INDIRECT("M"&amp;R217&amp;"")+INDIRECT("M"&amp;MATCH("雙葉'",INDIRECT("B"&amp;R217+1&amp;":B210"),0)+R217&amp;""),
IF(AND(LEFT(INDIRECT("B"&amp;R217&amp;""),2)="博多",COUNTIF(B:B,"*博多*")&gt;=2),
INDIRECT("M"&amp;R217&amp;"")+INDIRECT("M"&amp;MATCH("*"&amp;INDIRECT("B"&amp;R217&amp;"")&amp;"*",INDIRECT("B"&amp;R217+1&amp;":B210"),0)+R217&amp;""),
IF(AND(LEFT(INDIRECT("B"&amp;R217&amp;""),3)="奈良屋",COUNTIF(B:B,"*奈良屋*")&gt;=2),
INDIRECT("M"&amp;R217&amp;"")+INDIRECT("M"&amp;MATCH("*"&amp;INDIRECT("B"&amp;R217&amp;"")&amp;"*",INDIRECT("B"&amp;R217+1&amp;":B210"),0)+R217&amp;"")
+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INDIRECT("M"&amp;R217&amp;"")))),"")</f>
        <v/>
      </c>
      <c r="AC217" s="51" t="str">
        <f t="shared" ca="1" si="79"/>
        <v/>
      </c>
      <c r="AD217" s="51" t="str">
        <f t="shared" ca="1" si="80"/>
        <v/>
      </c>
      <c r="AE217" s="51" t="str">
        <f t="shared" ca="1" si="81"/>
        <v/>
      </c>
      <c r="AF217" s="51" t="str">
        <f t="shared" ca="1" si="82"/>
        <v/>
      </c>
      <c r="AG217" s="51" t="str">
        <f t="shared" ca="1" si="83"/>
        <v/>
      </c>
      <c r="AH217" s="191" t="str">
        <f t="shared" ca="1" si="84"/>
        <v/>
      </c>
      <c r="AI217" s="51" t="str">
        <f t="shared" ca="1" si="85"/>
        <v/>
      </c>
      <c r="AJ217" s="51" t="str">
        <f t="shared" ca="1" si="86"/>
        <v/>
      </c>
      <c r="AK217" s="51" t="str">
        <f t="shared" ca="1" si="87"/>
        <v/>
      </c>
      <c r="AL217" s="51" t="str">
        <f t="shared" ca="1" si="88"/>
        <v/>
      </c>
      <c r="AM217" s="51" t="str">
        <f t="shared" ca="1" si="89"/>
        <v/>
      </c>
      <c r="AN217" s="51" t="str">
        <f t="shared" ca="1" si="90"/>
        <v/>
      </c>
      <c r="AO217" s="51" t="str">
        <f t="shared" ca="1" si="91"/>
        <v/>
      </c>
      <c r="AP217" s="51" t="str">
        <f t="shared" ca="1" si="92"/>
        <v/>
      </c>
      <c r="AU217" s="51" t="str">
        <f t="shared" ca="1" si="93"/>
        <v/>
      </c>
    </row>
    <row r="218" spans="1:47">
      <c r="A218" s="176" t="str">
        <f ca="1">IF(C218&lt;&gt;"",A217+1,"")</f>
        <v/>
      </c>
      <c r="B218" s="196"/>
      <c r="C218" s="197" t="str">
        <f t="array" aca="1" ref="C218" ca="1">IF(OR(INDIRECT("まとめ札!I"&amp;B215&amp;"")="",INDIRECT("まとめ札!I"&amp;B215&amp;"")=0),"",INDIRECT("まとめ札!A"&amp;B215&amp;"")&amp;"【4】")</f>
        <v/>
      </c>
      <c r="D218" s="197"/>
      <c r="E218" s="197"/>
      <c r="F218" s="198" t="str">
        <f ca="1">IF(C218&lt;&gt;"",
IF(IF(COUNTIF(C218,"*キャラ*"),
VLOOKUP("*キャラ*",商品マスタ一覧!$D:$E,2,FALSE),
VLOOKUP("*赤*",商品マスタ一覧!$D:$E,2,FALSE))=0,"",
IF(H218&lt;&gt;"",
IF(ROUND(
H218/IF(COUNTIF(C218,"*キャラ*"),
VLOOKUP("*キャラ*",商品マスタ一覧!$D:$E,2,FALSE),
VLOOKUP("*赤*",商品マスタ一覧!$D:$E,2,FALSE)),0)&lt;=0,1,
ROUND(
H218/IF(COUNTIF(C218,"*キャラ*"),
VLOOKUP("*キャラ*",商品マスタ一覧!$D:$E,2,FALSE),
VLOOKUP("*赤*",商品マスタ一覧!$D:$E,2,FALSE)),0)),"")),"")</f>
        <v/>
      </c>
      <c r="G218" s="199" t="str">
        <f ca="1">IF(F218&lt;&gt;"",IF(VALUE(H218)&gt;VALUE(IF(COUNTIF(C218,"*キャラ*"),
VLOOKUP("*キャラ*",商品マスタ一覧!$D:$E,2,FALSE),
VLOOKUP("*赤*",商品マスタ一覧!$D:$E,2,FALSE))*F218),
"+"&amp;H218-IF(COUNTIF(C218,"*キャラ*"),
VLOOKUP("*キャラ*",商品マスタ一覧!$D:$E,2,FALSE),
VLOOKUP("*赤*",商品マスタ一覧!$D:$E,2,FALSE))*F218,
H218-IF(COUNTIF(C218,"*キャラ*"),
VLOOKUP("*キャラ*",商品マスタ一覧!$D:$E,2,FALSE),
VLOOKUP("*赤*",商品マスタ一覧!$D:$E,2,FALSE))*F218),"")</f>
        <v/>
      </c>
      <c r="H218" s="196" t="str">
        <f t="array" aca="1" ref="H218" ca="1">IF(OR(INDIRECT("まとめ札!I"&amp;B215&amp;"")="",INDIRECT("まとめ札!I"&amp;B215&amp;"")=0),"",INDIRECT("まとめ札!I"&amp;B215&amp;""))</f>
        <v/>
      </c>
      <c r="I218" s="196"/>
      <c r="J218" s="196" t="str">
        <f ca="1">IF(C218&lt;&gt;"",
IF(OR(COUNTIF(C218,"*キャラ*"),COUNTIF(C218,"*赤*")),24,
VLOOKUP(C218,#REF!,6,FALSE)),"")</f>
        <v/>
      </c>
      <c r="M218" s="196"/>
      <c r="P218" s="196" t="str">
        <f t="shared" ca="1" si="96"/>
        <v/>
      </c>
      <c r="Q218" s="196" t="str">
        <f t="shared" ca="1" si="97"/>
        <v/>
      </c>
      <c r="R218" s="51" t="str">
        <f t="array" aca="1" ref="R218" ca="1">IFERROR(SMALL(IF(P$1:P$307&lt;&gt;0,P$1:P$307),ROW(A218)),"")</f>
        <v/>
      </c>
      <c r="S218" s="51" t="str">
        <f t="array" aca="1" ref="S218" ca="1">IF($R218&lt;&gt;"",
SUBSTITUTE(SUBSTITUTE(INDIRECT("C"&amp;$R218&amp;"")," 週3ｺｰｽ","")," 週5ｺｰｽ",""),"")</f>
        <v/>
      </c>
      <c r="T218" s="51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91" t="str">
        <f t="array" aca="1" ref="U218" ca="1">IF($R218&lt;&gt;"",
INDIRECT("F"&amp;$R218&amp;""),"")</f>
        <v/>
      </c>
      <c r="V218" s="51" t="str">
        <f t="array" aca="1" ref="V218" ca="1">IF($R218&lt;&gt;"",
INDIRECT("G"&amp;$R218&amp;""),"")</f>
        <v/>
      </c>
      <c r="W218" s="51" t="str">
        <f t="array" aca="1" ref="W218" ca="1">IF($R218&lt;&gt;"",
IF(AND(COUNTIF(INDIRECT("B"&amp;R218&amp;""),"*雙葉*"),COUNTIF(B:B,"*雙葉*")&gt;=2),
IF(OR(COUNTIF(INDIRECT("B"&amp;R218&amp;""),"*雙葉先生*"),COUNTIF($B$1:$B$70,"*雙葉*")&gt;=2),INDIRECT("H"&amp;R218&amp;""),INDIRECT("H"&amp;R218&amp;"")+INDIRECT("H"&amp;MATCH("雙葉'",INDIRECT("B"&amp;R218+3&amp;":B210"),0)+2+R218&amp;"")),
IF(AND(LEFT(INDIRECT("B"&amp;R218&amp;""),2)="博多",COUNTIF(B:B,"*博多*")&gt;=2),
INDIRECT("H"&amp;R218&amp;"")+INDIRECT("H"&amp;MATCH("*"&amp;INDIRECT("B"&amp;R218&amp;"")&amp;"*",INDIRECT("B"&amp;R218+1&amp;":B210"),0)+R218&amp;""),
IF(AND(LEFT(INDIRECT("B"&amp;R218&amp;""),3)="奈良屋",COUNTIF(B:B,"*奈良屋*")&gt;=2),
INDIRECT("H"&amp;R218&amp;"")+INDIRECT("H"&amp;MATCH("*"&amp;INDIRECT("B"&amp;R218&amp;"")&amp;"*",INDIRECT("B"&amp;R218+1&amp;":B210"),0)+R218&amp;"")
+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INDIRECT("H"&amp;R218&amp;"")))),"")</f>
        <v/>
      </c>
      <c r="X218" s="51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51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51" t="str">
        <f t="shared" ca="1" si="77"/>
        <v/>
      </c>
      <c r="AA218" s="51" t="str">
        <f t="shared" ca="1" si="78"/>
        <v/>
      </c>
      <c r="AB218" s="51" t="str">
        <f t="array" aca="1" ref="AB218" ca="1">IF($R218&lt;&gt;"",
IF(AND(COUNTIF(INDIRECT("B"&amp;R218&amp;""),"*雙葉*"),COUNTIF(B:B,"*雙葉*")&gt;=2),
INDIRECT("M"&amp;R218&amp;"")+INDIRECT("M"&amp;MATCH("雙葉'",INDIRECT("B"&amp;R218+1&amp;":B210"),0)+R218&amp;""),
IF(AND(LEFT(INDIRECT("B"&amp;R218&amp;""),2)="博多",COUNTIF(B:B,"*博多*")&gt;=2),
INDIRECT("M"&amp;R218&amp;"")+INDIRECT("M"&amp;MATCH("*"&amp;INDIRECT("B"&amp;R218&amp;"")&amp;"*",INDIRECT("B"&amp;R218+1&amp;":B210"),0)+R218&amp;""),
IF(AND(LEFT(INDIRECT("B"&amp;R218&amp;""),3)="奈良屋",COUNTIF(B:B,"*奈良屋*")&gt;=2),
INDIRECT("M"&amp;R218&amp;"")+INDIRECT("M"&amp;MATCH("*"&amp;INDIRECT("B"&amp;R218&amp;"")&amp;"*",INDIRECT("B"&amp;R218+1&amp;":B210"),0)+R218&amp;"")
+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INDIRECT("M"&amp;R218&amp;"")))),"")</f>
        <v/>
      </c>
      <c r="AC218" s="51" t="str">
        <f t="shared" ca="1" si="79"/>
        <v/>
      </c>
      <c r="AD218" s="51" t="str">
        <f t="shared" ca="1" si="80"/>
        <v/>
      </c>
      <c r="AE218" s="51" t="str">
        <f t="shared" ca="1" si="81"/>
        <v/>
      </c>
      <c r="AF218" s="51" t="str">
        <f t="shared" ca="1" si="82"/>
        <v/>
      </c>
      <c r="AG218" s="51" t="str">
        <f t="shared" ca="1" si="83"/>
        <v/>
      </c>
      <c r="AH218" s="191" t="str">
        <f t="shared" ca="1" si="84"/>
        <v/>
      </c>
      <c r="AI218" s="51" t="str">
        <f t="shared" ca="1" si="85"/>
        <v/>
      </c>
      <c r="AJ218" s="51" t="str">
        <f t="shared" ca="1" si="86"/>
        <v/>
      </c>
      <c r="AK218" s="51" t="str">
        <f t="shared" ca="1" si="87"/>
        <v/>
      </c>
      <c r="AL218" s="51" t="str">
        <f t="shared" ca="1" si="88"/>
        <v/>
      </c>
      <c r="AM218" s="51" t="str">
        <f t="shared" ca="1" si="89"/>
        <v/>
      </c>
      <c r="AN218" s="51" t="str">
        <f t="shared" ca="1" si="90"/>
        <v/>
      </c>
      <c r="AO218" s="51" t="str">
        <f t="shared" ca="1" si="91"/>
        <v/>
      </c>
      <c r="AP218" s="51" t="str">
        <f t="shared" ca="1" si="92"/>
        <v/>
      </c>
      <c r="AU218" s="51" t="str">
        <f t="shared" ca="1" si="93"/>
        <v/>
      </c>
    </row>
    <row r="219" spans="1:47">
      <c r="A219" s="176">
        <f ca="1">IF(C219&lt;&gt;"",MAX($A$215:$A$218)+1,"")</f>
        <v>148</v>
      </c>
      <c r="B219" s="196">
        <v>3</v>
      </c>
      <c r="C219" s="197" t="str">
        <f t="array" aca="1" ref="C219" ca="1">IF(INDIRECT("まとめ札!A"&amp;B219&amp;"")&lt;&gt;0,INDIRECT("まとめ札!A"&amp;B219&amp;"")&amp;"【1】","")</f>
        <v>キャラ弁当 おにぎり【1】</v>
      </c>
      <c r="D219" s="197"/>
      <c r="E219" s="197"/>
      <c r="F219" s="198" t="str">
        <f ca="1">IF(C219&lt;&gt;"",
IF(IF(COUNTIF(C219,"*キャラ*"),
VLOOKUP("*キャラ*",商品マスタ一覧!$D:$E,2,FALSE),
VLOOKUP("*赤*",商品マスタ一覧!$D:$E,2,FALSE))=0,"",
IF(H219&lt;&gt;"",
IF(ROUND(
H219/IF(COUNTIF(C219,"*キャラ*"),
VLOOKUP("*キャラ*",商品マスタ一覧!$D:$E,2,FALSE),
VLOOKUP("*赤*",商品マスタ一覧!$D:$E,2,FALSE)),0)&lt;=0,1,
ROUND(
H219/IF(COUNTIF(C219,"*キャラ*"),
VLOOKUP("*キャラ*",商品マスタ一覧!$D:$E,2,FALSE),
VLOOKUP("*赤*",商品マスタ一覧!$D:$E,2,FALSE)),0)),"")),"")</f>
        <v/>
      </c>
      <c r="G219" s="199" t="str">
        <f ca="1">IF(F219&lt;&gt;"",IF(VALUE(H219)&gt;VALUE(IF(COUNTIF(C219,"*キャラ*"),
VLOOKUP("*キャラ*",商品マスタ一覧!$D:$E,2,FALSE),
VLOOKUP("*赤*",商品マスタ一覧!$D:$E,2,FALSE))*F219),
"+"&amp;H219-IF(COUNTIF(C219,"*キャラ*"),
VLOOKUP("*キャラ*",商品マスタ一覧!$D:$E,2,FALSE),
VLOOKUP("*赤*",商品マスタ一覧!$D:$E,2,FALSE))*F219,
H219-IF(COUNTIF(C219,"*キャラ*"),
VLOOKUP("*キャラ*",商品マスタ一覧!$D:$E,2,FALSE),
VLOOKUP("*赤*",商品マスタ一覧!$D:$E,2,FALSE))*F219),"")</f>
        <v/>
      </c>
      <c r="H219" s="196" t="str">
        <f t="array" aca="1" ref="H219" ca="1">IF(INDIRECT("まとめ札!F"&amp;B219&amp;"")&lt;&gt;0,INDIRECT("まとめ札!F"&amp;B219&amp;""),"")</f>
        <v/>
      </c>
      <c r="I219" s="196"/>
      <c r="J219" s="196">
        <f ca="1">IF(C219&lt;&gt;"",
IF(OR(COUNTIF(C219,"*キャラ*"),COUNTIF(C219,"*赤*")),24,
VLOOKUP(C219,#REF!,6,FALSE)),"")</f>
        <v>24</v>
      </c>
      <c r="M219" s="196"/>
      <c r="P219" s="196" t="str">
        <f t="shared" ca="1" si="96"/>
        <v/>
      </c>
      <c r="Q219" s="196" t="str">
        <f t="shared" ca="1" si="97"/>
        <v/>
      </c>
      <c r="R219" s="51" t="str">
        <f t="array" aca="1" ref="R219" ca="1">IFERROR(SMALL(IF(P$1:P$307&lt;&gt;0,P$1:P$307),ROW(A219)),"")</f>
        <v/>
      </c>
      <c r="S219" s="51" t="str">
        <f t="array" aca="1" ref="S219" ca="1">IF($R219&lt;&gt;"",
SUBSTITUTE(SUBSTITUTE(INDIRECT("C"&amp;$R219&amp;"")," 週3ｺｰｽ","")," 週5ｺｰｽ",""),"")</f>
        <v/>
      </c>
      <c r="T219" s="51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91" t="str">
        <f t="array" aca="1" ref="U219" ca="1">IF($R219&lt;&gt;"",
INDIRECT("F"&amp;$R219&amp;""),"")</f>
        <v/>
      </c>
      <c r="V219" s="51" t="str">
        <f t="array" aca="1" ref="V219" ca="1">IF($R219&lt;&gt;"",
INDIRECT("G"&amp;$R219&amp;""),"")</f>
        <v/>
      </c>
      <c r="W219" s="51" t="str">
        <f t="array" aca="1" ref="W219" ca="1">IF($R219&lt;&gt;"",
IF(AND(COUNTIF(INDIRECT("B"&amp;R219&amp;""),"*雙葉*"),COUNTIF(B:B,"*雙葉*")&gt;=2),
IF(OR(COUNTIF(INDIRECT("B"&amp;R219&amp;""),"*雙葉先生*"),COUNTIF($B$1:$B$70,"*雙葉*")&gt;=2),INDIRECT("H"&amp;R219&amp;""),INDIRECT("H"&amp;R219&amp;"")+INDIRECT("H"&amp;MATCH("雙葉'",INDIRECT("B"&amp;R219+3&amp;":B210"),0)+2+R219&amp;"")),
IF(AND(LEFT(INDIRECT("B"&amp;R219&amp;""),2)="博多",COUNTIF(B:B,"*博多*")&gt;=2),
INDIRECT("H"&amp;R219&amp;"")+INDIRECT("H"&amp;MATCH("*"&amp;INDIRECT("B"&amp;R219&amp;"")&amp;"*",INDIRECT("B"&amp;R219+1&amp;":B210"),0)+R219&amp;""),
IF(AND(LEFT(INDIRECT("B"&amp;R219&amp;""),3)="奈良屋",COUNTIF(B:B,"*奈良屋*")&gt;=2),
INDIRECT("H"&amp;R219&amp;"")+INDIRECT("H"&amp;MATCH("*"&amp;INDIRECT("B"&amp;R219&amp;"")&amp;"*",INDIRECT("B"&amp;R219+1&amp;":B210"),0)+R219&amp;"")
+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INDIRECT("H"&amp;R219&amp;"")))),"")</f>
        <v/>
      </c>
      <c r="X219" s="51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51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51" t="str">
        <f t="shared" ca="1" si="77"/>
        <v/>
      </c>
      <c r="AA219" s="51" t="str">
        <f t="shared" ca="1" si="78"/>
        <v/>
      </c>
      <c r="AB219" s="51" t="str">
        <f t="array" aca="1" ref="AB219" ca="1">IF($R219&lt;&gt;"",
IF(AND(COUNTIF(INDIRECT("B"&amp;R219&amp;""),"*雙葉*"),COUNTIF(B:B,"*雙葉*")&gt;=2),
INDIRECT("M"&amp;R219&amp;"")+INDIRECT("M"&amp;MATCH("雙葉'",INDIRECT("B"&amp;R219+1&amp;":B210"),0)+R219&amp;""),
IF(AND(LEFT(INDIRECT("B"&amp;R219&amp;""),2)="博多",COUNTIF(B:B,"*博多*")&gt;=2),
INDIRECT("M"&amp;R219&amp;"")+INDIRECT("M"&amp;MATCH("*"&amp;INDIRECT("B"&amp;R219&amp;"")&amp;"*",INDIRECT("B"&amp;R219+1&amp;":B210"),0)+R219&amp;""),
IF(AND(LEFT(INDIRECT("B"&amp;R219&amp;""),3)="奈良屋",COUNTIF(B:B,"*奈良屋*")&gt;=2),
INDIRECT("M"&amp;R219&amp;"")+INDIRECT("M"&amp;MATCH("*"&amp;INDIRECT("B"&amp;R219&amp;"")&amp;"*",INDIRECT("B"&amp;R219+1&amp;":B210"),0)+R219&amp;"")
+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INDIRECT("M"&amp;R219&amp;"")))),"")</f>
        <v/>
      </c>
      <c r="AC219" s="51" t="str">
        <f t="shared" ca="1" si="79"/>
        <v/>
      </c>
      <c r="AD219" s="51" t="str">
        <f t="shared" ca="1" si="80"/>
        <v/>
      </c>
      <c r="AE219" s="51" t="str">
        <f t="shared" ca="1" si="81"/>
        <v/>
      </c>
      <c r="AF219" s="51" t="str">
        <f t="shared" ca="1" si="82"/>
        <v/>
      </c>
      <c r="AG219" s="51" t="str">
        <f t="shared" ca="1" si="83"/>
        <v/>
      </c>
      <c r="AH219" s="191" t="str">
        <f t="shared" ca="1" si="84"/>
        <v/>
      </c>
      <c r="AI219" s="51" t="str">
        <f t="shared" ca="1" si="85"/>
        <v/>
      </c>
      <c r="AJ219" s="51" t="str">
        <f t="shared" ca="1" si="86"/>
        <v/>
      </c>
      <c r="AK219" s="51" t="str">
        <f t="shared" ca="1" si="87"/>
        <v/>
      </c>
      <c r="AL219" s="51" t="str">
        <f t="shared" ca="1" si="88"/>
        <v/>
      </c>
      <c r="AM219" s="51" t="str">
        <f t="shared" ca="1" si="89"/>
        <v/>
      </c>
      <c r="AN219" s="51" t="str">
        <f t="shared" ca="1" si="90"/>
        <v/>
      </c>
      <c r="AO219" s="51" t="str">
        <f t="shared" ca="1" si="91"/>
        <v/>
      </c>
      <c r="AP219" s="51" t="str">
        <f t="shared" ca="1" si="92"/>
        <v/>
      </c>
      <c r="AU219" s="51" t="str">
        <f t="shared" ca="1" si="93"/>
        <v/>
      </c>
    </row>
    <row r="220" spans="1:47">
      <c r="A220" s="176" t="str">
        <f ca="1">IF(C220&lt;&gt;"",A219+1,"")</f>
        <v/>
      </c>
      <c r="B220" s="196"/>
      <c r="C220" s="197" t="str">
        <f t="array" aca="1" ref="C220" ca="1">IF(OR(INDIRECT("まとめ札!G"&amp;B219&amp;"")="",INDIRECT("まとめ札!G"&amp;B219&amp;"")=0),"",INDIRECT("まとめ札!A"&amp;B219&amp;"")&amp;"【2】")</f>
        <v/>
      </c>
      <c r="D220" s="197"/>
      <c r="E220" s="197"/>
      <c r="F220" s="198" t="str">
        <f ca="1">IF(C220&lt;&gt;"",
IF(IF(COUNTIF(C220,"*キャラ*"),
VLOOKUP("*キャラ*",商品マスタ一覧!$D:$E,2,FALSE),
VLOOKUP("*赤*",商品マスタ一覧!$D:$E,2,FALSE))=0,"",
IF(H220&lt;&gt;"",
IF(ROUND(
H220/IF(COUNTIF(C220,"*キャラ*"),
VLOOKUP("*キャラ*",商品マスタ一覧!$D:$E,2,FALSE),
VLOOKUP("*赤*",商品マスタ一覧!$D:$E,2,FALSE)),0)&lt;=0,1,
ROUND(
H220/IF(COUNTIF(C220,"*キャラ*"),
VLOOKUP("*キャラ*",商品マスタ一覧!$D:$E,2,FALSE),
VLOOKUP("*赤*",商品マスタ一覧!$D:$E,2,FALSE)),0)),"")),"")</f>
        <v/>
      </c>
      <c r="G220" s="199" t="str">
        <f ca="1">IF(F220&lt;&gt;"",IF(VALUE(H220)&gt;VALUE(IF(COUNTIF(C220,"*キャラ*"),
VLOOKUP("*キャラ*",商品マスタ一覧!$D:$E,2,FALSE),
VLOOKUP("*赤*",商品マスタ一覧!$D:$E,2,FALSE))*F220),
"+"&amp;H220-IF(COUNTIF(C220,"*キャラ*"),
VLOOKUP("*キャラ*",商品マスタ一覧!$D:$E,2,FALSE),
VLOOKUP("*赤*",商品マスタ一覧!$D:$E,2,FALSE))*F220,
H220-IF(COUNTIF(C220,"*キャラ*"),
VLOOKUP("*キャラ*",商品マスタ一覧!$D:$E,2,FALSE),
VLOOKUP("*赤*",商品マスタ一覧!$D:$E,2,FALSE))*F220),"")</f>
        <v/>
      </c>
      <c r="H220" s="196" t="str">
        <f t="array" aca="1" ref="H220" ca="1">IF(OR(INDIRECT("まとめ札!G"&amp;B219&amp;"")="",INDIRECT("まとめ札!G"&amp;B219&amp;"")=0),"",INDIRECT("まとめ札!G"&amp;B219&amp;""))</f>
        <v/>
      </c>
      <c r="I220" s="196"/>
      <c r="J220" s="196" t="str">
        <f ca="1">IF(C220&lt;&gt;"",
IF(OR(COUNTIF(C220,"*キャラ*"),COUNTIF(C220,"*赤*")),24,
VLOOKUP(C220,#REF!,6,FALSE)),"")</f>
        <v/>
      </c>
      <c r="M220" s="196"/>
      <c r="P220" s="196" t="str">
        <f t="shared" ca="1" si="96"/>
        <v/>
      </c>
      <c r="Q220" s="196" t="str">
        <f t="shared" ca="1" si="97"/>
        <v/>
      </c>
      <c r="R220" s="51" t="str">
        <f t="array" aca="1" ref="R220" ca="1">IFERROR(SMALL(IF(P$1:P$307&lt;&gt;0,P$1:P$307),ROW(A220)),"")</f>
        <v/>
      </c>
      <c r="S220" s="51" t="str">
        <f t="array" aca="1" ref="S220" ca="1">IF($R220&lt;&gt;"",
SUBSTITUTE(SUBSTITUTE(INDIRECT("C"&amp;$R220&amp;"")," 週3ｺｰｽ","")," 週5ｺｰｽ",""),"")</f>
        <v/>
      </c>
      <c r="T220" s="51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91" t="str">
        <f t="array" aca="1" ref="U220" ca="1">IF($R220&lt;&gt;"",
INDIRECT("F"&amp;$R220&amp;""),"")</f>
        <v/>
      </c>
      <c r="V220" s="51" t="str">
        <f t="array" aca="1" ref="V220" ca="1">IF($R220&lt;&gt;"",
INDIRECT("G"&amp;$R220&amp;""),"")</f>
        <v/>
      </c>
      <c r="W220" s="51" t="str">
        <f t="array" aca="1" ref="W220" ca="1">IF($R220&lt;&gt;"",
IF(AND(COUNTIF(INDIRECT("B"&amp;R220&amp;""),"*雙葉*"),COUNTIF(B:B,"*雙葉*")&gt;=2),
IF(OR(COUNTIF(INDIRECT("B"&amp;R220&amp;""),"*雙葉先生*"),COUNTIF($B$1:$B$70,"*雙葉*")&gt;=2),INDIRECT("H"&amp;R220&amp;""),INDIRECT("H"&amp;R220&amp;"")+INDIRECT("H"&amp;MATCH("雙葉'",INDIRECT("B"&amp;R220+3&amp;":B210"),0)+2+R220&amp;"")),
IF(AND(LEFT(INDIRECT("B"&amp;R220&amp;""),2)="博多",COUNTIF(B:B,"*博多*")&gt;=2),
INDIRECT("H"&amp;R220&amp;"")+INDIRECT("H"&amp;MATCH("*"&amp;INDIRECT("B"&amp;R220&amp;"")&amp;"*",INDIRECT("B"&amp;R220+1&amp;":B210"),0)+R220&amp;""),
IF(AND(LEFT(INDIRECT("B"&amp;R220&amp;""),3)="奈良屋",COUNTIF(B:B,"*奈良屋*")&gt;=2),
INDIRECT("H"&amp;R220&amp;"")+INDIRECT("H"&amp;MATCH("*"&amp;INDIRECT("B"&amp;R220&amp;"")&amp;"*",INDIRECT("B"&amp;R220+1&amp;":B210"),0)+R220&amp;"")
+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INDIRECT("H"&amp;R220&amp;"")))),"")</f>
        <v/>
      </c>
      <c r="X220" s="51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51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51" t="str">
        <f t="shared" ca="1" si="77"/>
        <v/>
      </c>
      <c r="AA220" s="51" t="str">
        <f t="shared" ca="1" si="78"/>
        <v/>
      </c>
      <c r="AB220" s="51" t="str">
        <f t="array" aca="1" ref="AB220" ca="1">IF($R220&lt;&gt;"",
IF(AND(COUNTIF(INDIRECT("B"&amp;R220&amp;""),"*雙葉*"),COUNTIF(B:B,"*雙葉*")&gt;=2),
INDIRECT("M"&amp;R220&amp;"")+INDIRECT("M"&amp;MATCH("雙葉'",INDIRECT("B"&amp;R220+1&amp;":B210"),0)+R220&amp;""),
IF(AND(LEFT(INDIRECT("B"&amp;R220&amp;""),2)="博多",COUNTIF(B:B,"*博多*")&gt;=2),
INDIRECT("M"&amp;R220&amp;"")+INDIRECT("M"&amp;MATCH("*"&amp;INDIRECT("B"&amp;R220&amp;"")&amp;"*",INDIRECT("B"&amp;R220+1&amp;":B210"),0)+R220&amp;""),
IF(AND(LEFT(INDIRECT("B"&amp;R220&amp;""),3)="奈良屋",COUNTIF(B:B,"*奈良屋*")&gt;=2),
INDIRECT("M"&amp;R220&amp;"")+INDIRECT("M"&amp;MATCH("*"&amp;INDIRECT("B"&amp;R220&amp;"")&amp;"*",INDIRECT("B"&amp;R220+1&amp;":B210"),0)+R220&amp;"")
+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INDIRECT("M"&amp;R220&amp;"")))),"")</f>
        <v/>
      </c>
      <c r="AC220" s="51" t="str">
        <f t="shared" ca="1" si="79"/>
        <v/>
      </c>
      <c r="AD220" s="51" t="str">
        <f t="shared" ca="1" si="80"/>
        <v/>
      </c>
      <c r="AE220" s="51" t="str">
        <f t="shared" ca="1" si="81"/>
        <v/>
      </c>
      <c r="AF220" s="51" t="str">
        <f t="shared" ca="1" si="82"/>
        <v/>
      </c>
      <c r="AG220" s="51" t="str">
        <f t="shared" ca="1" si="83"/>
        <v/>
      </c>
      <c r="AH220" s="191" t="str">
        <f t="shared" ca="1" si="84"/>
        <v/>
      </c>
      <c r="AI220" s="51" t="str">
        <f t="shared" ca="1" si="85"/>
        <v/>
      </c>
      <c r="AJ220" s="51" t="str">
        <f t="shared" ca="1" si="86"/>
        <v/>
      </c>
      <c r="AK220" s="51" t="str">
        <f t="shared" ca="1" si="87"/>
        <v/>
      </c>
      <c r="AL220" s="51" t="str">
        <f t="shared" ca="1" si="88"/>
        <v/>
      </c>
      <c r="AM220" s="51" t="str">
        <f t="shared" ca="1" si="89"/>
        <v/>
      </c>
      <c r="AN220" s="51" t="str">
        <f t="shared" ca="1" si="90"/>
        <v/>
      </c>
      <c r="AO220" s="51" t="str">
        <f t="shared" ca="1" si="91"/>
        <v/>
      </c>
      <c r="AP220" s="51" t="str">
        <f t="shared" ca="1" si="92"/>
        <v/>
      </c>
      <c r="AU220" s="51" t="str">
        <f t="shared" ca="1" si="93"/>
        <v/>
      </c>
    </row>
    <row r="221" spans="1:47">
      <c r="A221" s="176" t="str">
        <f ca="1">IF(C221&lt;&gt;"",A220+1,"")</f>
        <v/>
      </c>
      <c r="B221" s="196"/>
      <c r="C221" s="197" t="str">
        <f t="array" aca="1" ref="C221" ca="1">IF(OR(INDIRECT("まとめ札!H"&amp;B219&amp;"")="",INDIRECT("まとめ札!H"&amp;B219&amp;"")=0),"",INDIRECT("まとめ札!A"&amp;B219&amp;"")&amp;"【3】")</f>
        <v/>
      </c>
      <c r="D221" s="197"/>
      <c r="E221" s="197"/>
      <c r="F221" s="198" t="str">
        <f ca="1">IF(C221&lt;&gt;"",
IF(IF(COUNTIF(C221,"*キャラ*"),
VLOOKUP("*キャラ*",商品マスタ一覧!$D:$E,2,FALSE),
VLOOKUP("*赤*",商品マスタ一覧!$D:$E,2,FALSE))=0,"",
IF(H221&lt;&gt;"",
IF(ROUND(
H221/IF(COUNTIF(C221,"*キャラ*"),
VLOOKUP("*キャラ*",商品マスタ一覧!$D:$E,2,FALSE),
VLOOKUP("*赤*",商品マスタ一覧!$D:$E,2,FALSE)),0)&lt;=0,1,
ROUND(
H221/IF(COUNTIF(C221,"*キャラ*"),
VLOOKUP("*キャラ*",商品マスタ一覧!$D:$E,2,FALSE),
VLOOKUP("*赤*",商品マスタ一覧!$D:$E,2,FALSE)),0)),"")),"")</f>
        <v/>
      </c>
      <c r="G221" s="199" t="str">
        <f ca="1">IF(F221&lt;&gt;"",IF(VALUE(H221)&gt;VALUE(IF(COUNTIF(C221,"*キャラ*"),
VLOOKUP("*キャラ*",商品マスタ一覧!$D:$E,2,FALSE),
VLOOKUP("*赤*",商品マスタ一覧!$D:$E,2,FALSE))*F221),
"+"&amp;H221-IF(COUNTIF(C221,"*キャラ*"),
VLOOKUP("*キャラ*",商品マスタ一覧!$D:$E,2,FALSE),
VLOOKUP("*赤*",商品マスタ一覧!$D:$E,2,FALSE))*F221,
H221-IF(COUNTIF(C221,"*キャラ*"),
VLOOKUP("*キャラ*",商品マスタ一覧!$D:$E,2,FALSE),
VLOOKUP("*赤*",商品マスタ一覧!$D:$E,2,FALSE))*F221),"")</f>
        <v/>
      </c>
      <c r="H221" s="196" t="str">
        <f t="array" aca="1" ref="H221" ca="1">IF(OR(INDIRECT("まとめ札!H"&amp;B219&amp;"")="",INDIRECT("まとめ札!H"&amp;B219&amp;"")=0),"",INDIRECT("まとめ札!H"&amp;B219&amp;""))</f>
        <v/>
      </c>
      <c r="I221" s="196"/>
      <c r="J221" s="196" t="str">
        <f ca="1">IF(C221&lt;&gt;"",
IF(OR(COUNTIF(C221,"*キャラ*"),COUNTIF(C221,"*赤*")),24,
VLOOKUP(C221,#REF!,6,FALSE)),"")</f>
        <v/>
      </c>
      <c r="M221" s="196"/>
      <c r="P221" s="196" t="str">
        <f t="shared" ca="1" si="96"/>
        <v/>
      </c>
      <c r="Q221" s="196" t="str">
        <f t="shared" ca="1" si="97"/>
        <v/>
      </c>
      <c r="R221" s="51" t="str">
        <f t="array" aca="1" ref="R221" ca="1">IFERROR(SMALL(IF(P$1:P$307&lt;&gt;0,P$1:P$307),ROW(A221)),"")</f>
        <v/>
      </c>
      <c r="S221" s="51" t="str">
        <f t="array" aca="1" ref="S221" ca="1">IF($R221&lt;&gt;"",
SUBSTITUTE(SUBSTITUTE(INDIRECT("C"&amp;$R221&amp;"")," 週3ｺｰｽ","")," 週5ｺｰｽ",""),"")</f>
        <v/>
      </c>
      <c r="T221" s="51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91" t="str">
        <f t="array" aca="1" ref="U221" ca="1">IF($R221&lt;&gt;"",
INDIRECT("F"&amp;$R221&amp;""),"")</f>
        <v/>
      </c>
      <c r="V221" s="51" t="str">
        <f t="array" aca="1" ref="V221" ca="1">IF($R221&lt;&gt;"",
INDIRECT("G"&amp;$R221&amp;""),"")</f>
        <v/>
      </c>
      <c r="W221" s="51" t="str">
        <f t="array" aca="1" ref="W221" ca="1">IF($R221&lt;&gt;"",
IF(AND(COUNTIF(INDIRECT("B"&amp;R221&amp;""),"*雙葉*"),COUNTIF(B:B,"*雙葉*")&gt;=2),
IF(OR(COUNTIF(INDIRECT("B"&amp;R221&amp;""),"*雙葉先生*"),COUNTIF($B$1:$B$70,"*雙葉*")&gt;=2),INDIRECT("H"&amp;R221&amp;""),INDIRECT("H"&amp;R221&amp;"")+INDIRECT("H"&amp;MATCH("雙葉'",INDIRECT("B"&amp;R221+3&amp;":B210"),0)+2+R221&amp;"")),
IF(AND(LEFT(INDIRECT("B"&amp;R221&amp;""),2)="博多",COUNTIF(B:B,"*博多*")&gt;=2),
INDIRECT("H"&amp;R221&amp;"")+INDIRECT("H"&amp;MATCH("*"&amp;INDIRECT("B"&amp;R221&amp;"")&amp;"*",INDIRECT("B"&amp;R221+1&amp;":B210"),0)+R221&amp;""),
IF(AND(LEFT(INDIRECT("B"&amp;R221&amp;""),3)="奈良屋",COUNTIF(B:B,"*奈良屋*")&gt;=2),
INDIRECT("H"&amp;R221&amp;"")+INDIRECT("H"&amp;MATCH("*"&amp;INDIRECT("B"&amp;R221&amp;"")&amp;"*",INDIRECT("B"&amp;R221+1&amp;":B210"),0)+R221&amp;"")
+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INDIRECT("H"&amp;R221&amp;"")))),"")</f>
        <v/>
      </c>
      <c r="X221" s="51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51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51" t="str">
        <f t="shared" ca="1" si="77"/>
        <v/>
      </c>
      <c r="AA221" s="51" t="str">
        <f t="shared" ca="1" si="78"/>
        <v/>
      </c>
      <c r="AB221" s="51" t="str">
        <f t="array" aca="1" ref="AB221" ca="1">IF($R221&lt;&gt;"",
IF(AND(COUNTIF(INDIRECT("B"&amp;R221&amp;""),"*雙葉*"),COUNTIF(B:B,"*雙葉*")&gt;=2),
INDIRECT("M"&amp;R221&amp;"")+INDIRECT("M"&amp;MATCH("雙葉'",INDIRECT("B"&amp;R221+1&amp;":B210"),0)+R221&amp;""),
IF(AND(LEFT(INDIRECT("B"&amp;R221&amp;""),2)="博多",COUNTIF(B:B,"*博多*")&gt;=2),
INDIRECT("M"&amp;R221&amp;"")+INDIRECT("M"&amp;MATCH("*"&amp;INDIRECT("B"&amp;R221&amp;"")&amp;"*",INDIRECT("B"&amp;R221+1&amp;":B210"),0)+R221&amp;""),
IF(AND(LEFT(INDIRECT("B"&amp;R221&amp;""),3)="奈良屋",COUNTIF(B:B,"*奈良屋*")&gt;=2),
INDIRECT("M"&amp;R221&amp;"")+INDIRECT("M"&amp;MATCH("*"&amp;INDIRECT("B"&amp;R221&amp;"")&amp;"*",INDIRECT("B"&amp;R221+1&amp;":B210"),0)+R221&amp;"")
+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INDIRECT("M"&amp;R221&amp;"")))),"")</f>
        <v/>
      </c>
      <c r="AC221" s="51" t="str">
        <f t="shared" ca="1" si="79"/>
        <v/>
      </c>
      <c r="AD221" s="51" t="str">
        <f t="shared" ca="1" si="80"/>
        <v/>
      </c>
      <c r="AE221" s="51" t="str">
        <f t="shared" ca="1" si="81"/>
        <v/>
      </c>
      <c r="AF221" s="51" t="str">
        <f t="shared" ca="1" si="82"/>
        <v/>
      </c>
      <c r="AG221" s="51" t="str">
        <f t="shared" ca="1" si="83"/>
        <v/>
      </c>
      <c r="AH221" s="191" t="str">
        <f t="shared" ca="1" si="84"/>
        <v/>
      </c>
      <c r="AI221" s="51" t="str">
        <f t="shared" ca="1" si="85"/>
        <v/>
      </c>
      <c r="AJ221" s="51" t="str">
        <f t="shared" ca="1" si="86"/>
        <v/>
      </c>
      <c r="AK221" s="51" t="str">
        <f t="shared" ca="1" si="87"/>
        <v/>
      </c>
      <c r="AL221" s="51" t="str">
        <f t="shared" ca="1" si="88"/>
        <v/>
      </c>
      <c r="AM221" s="51" t="str">
        <f t="shared" ca="1" si="89"/>
        <v/>
      </c>
      <c r="AN221" s="51" t="str">
        <f t="shared" ca="1" si="90"/>
        <v/>
      </c>
      <c r="AO221" s="51" t="str">
        <f t="shared" ca="1" si="91"/>
        <v/>
      </c>
      <c r="AP221" s="51" t="str">
        <f t="shared" ca="1" si="92"/>
        <v/>
      </c>
      <c r="AU221" s="51" t="str">
        <f t="shared" ca="1" si="93"/>
        <v/>
      </c>
    </row>
    <row r="222" spans="1:47">
      <c r="A222" s="176" t="str">
        <f ca="1">IF(C222&lt;&gt;"",A221+1,"")</f>
        <v/>
      </c>
      <c r="B222" s="196"/>
      <c r="C222" s="197" t="str">
        <f t="array" aca="1" ref="C222" ca="1">IF(OR(INDIRECT("まとめ札!I"&amp;B219&amp;"")="",INDIRECT("まとめ札!I"&amp;B219&amp;"")=0),"",INDIRECT("まとめ札!A"&amp;B219&amp;"")&amp;"【4】")</f>
        <v/>
      </c>
      <c r="D222" s="197"/>
      <c r="E222" s="197"/>
      <c r="F222" s="198" t="str">
        <f ca="1">IF(C222&lt;&gt;"",
IF(IF(COUNTIF(C222,"*キャラ*"),
VLOOKUP("*キャラ*",商品マスタ一覧!$D:$E,2,FALSE),
VLOOKUP("*赤*",商品マスタ一覧!$D:$E,2,FALSE))=0,"",
IF(H222&lt;&gt;"",
IF(ROUND(
H222/IF(COUNTIF(C222,"*キャラ*"),
VLOOKUP("*キャラ*",商品マスタ一覧!$D:$E,2,FALSE),
VLOOKUP("*赤*",商品マスタ一覧!$D:$E,2,FALSE)),0)&lt;=0,1,
ROUND(
H222/IF(COUNTIF(C222,"*キャラ*"),
VLOOKUP("*キャラ*",商品マスタ一覧!$D:$E,2,FALSE),
VLOOKUP("*赤*",商品マスタ一覧!$D:$E,2,FALSE)),0)),"")),"")</f>
        <v/>
      </c>
      <c r="G222" s="199" t="str">
        <f ca="1">IF(F222&lt;&gt;"",IF(VALUE(H222)&gt;VALUE(IF(COUNTIF(C222,"*キャラ*"),
VLOOKUP("*キャラ*",商品マスタ一覧!$D:$E,2,FALSE),
VLOOKUP("*赤*",商品マスタ一覧!$D:$E,2,FALSE))*F222),
"+"&amp;H222-IF(COUNTIF(C222,"*キャラ*"),
VLOOKUP("*キャラ*",商品マスタ一覧!$D:$E,2,FALSE),
VLOOKUP("*赤*",商品マスタ一覧!$D:$E,2,FALSE))*F222,
H222-IF(COUNTIF(C222,"*キャラ*"),
VLOOKUP("*キャラ*",商品マスタ一覧!$D:$E,2,FALSE),
VLOOKUP("*赤*",商品マスタ一覧!$D:$E,2,FALSE))*F222),"")</f>
        <v/>
      </c>
      <c r="H222" s="196" t="str">
        <f t="array" aca="1" ref="H222" ca="1">IF(OR(INDIRECT("まとめ札!I"&amp;B219&amp;"")="",INDIRECT("まとめ札!I"&amp;B219&amp;"")=0),"",INDIRECT("まとめ札!I"&amp;B219&amp;""))</f>
        <v/>
      </c>
      <c r="I222" s="196"/>
      <c r="J222" s="196" t="str">
        <f ca="1">IF(C222&lt;&gt;"",
IF(OR(COUNTIF(C222,"*キャラ*"),COUNTIF(C222,"*赤*")),24,
VLOOKUP(C222,#REF!,6,FALSE)),"")</f>
        <v/>
      </c>
      <c r="M222" s="196"/>
      <c r="P222" s="196" t="str">
        <f t="shared" ca="1" si="96"/>
        <v/>
      </c>
      <c r="Q222" s="196" t="str">
        <f t="shared" ca="1" si="97"/>
        <v/>
      </c>
      <c r="R222" s="51" t="str">
        <f t="array" aca="1" ref="R222" ca="1">IFERROR(SMALL(IF(P$1:P$307&lt;&gt;0,P$1:P$307),ROW(A222)),"")</f>
        <v/>
      </c>
      <c r="S222" s="51" t="str">
        <f t="array" aca="1" ref="S222" ca="1">IF($R222&lt;&gt;"",
SUBSTITUTE(SUBSTITUTE(INDIRECT("C"&amp;$R222&amp;"")," 週3ｺｰｽ","")," 週5ｺｰｽ",""),"")</f>
        <v/>
      </c>
      <c r="T222" s="51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91" t="str">
        <f t="array" aca="1" ref="U222" ca="1">IF($R222&lt;&gt;"",
INDIRECT("F"&amp;$R222&amp;""),"")</f>
        <v/>
      </c>
      <c r="V222" s="51" t="str">
        <f t="array" aca="1" ref="V222" ca="1">IF($R222&lt;&gt;"",
INDIRECT("G"&amp;$R222&amp;""),"")</f>
        <v/>
      </c>
      <c r="W222" s="51" t="str">
        <f t="array" aca="1" ref="W222" ca="1">IF($R222&lt;&gt;"",
IF(AND(COUNTIF(INDIRECT("B"&amp;R222&amp;""),"*雙葉*"),COUNTIF(B:B,"*雙葉*")&gt;=2),
IF(OR(COUNTIF(INDIRECT("B"&amp;R222&amp;""),"*雙葉先生*"),COUNTIF($B$1:$B$70,"*雙葉*")&gt;=2),INDIRECT("H"&amp;R222&amp;""),INDIRECT("H"&amp;R222&amp;"")+INDIRECT("H"&amp;MATCH("雙葉'",INDIRECT("B"&amp;R222+3&amp;":B210"),0)+2+R222&amp;"")),
IF(AND(LEFT(INDIRECT("B"&amp;R222&amp;""),2)="博多",COUNTIF(B:B,"*博多*")&gt;=2),
INDIRECT("H"&amp;R222&amp;"")+INDIRECT("H"&amp;MATCH("*"&amp;INDIRECT("B"&amp;R222&amp;"")&amp;"*",INDIRECT("B"&amp;R222+1&amp;":B210"),0)+R222&amp;""),
IF(AND(LEFT(INDIRECT("B"&amp;R222&amp;""),3)="奈良屋",COUNTIF(B:B,"*奈良屋*")&gt;=2),
INDIRECT("H"&amp;R222&amp;"")+INDIRECT("H"&amp;MATCH("*"&amp;INDIRECT("B"&amp;R222&amp;"")&amp;"*",INDIRECT("B"&amp;R222+1&amp;":B210"),0)+R222&amp;"")
+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INDIRECT("H"&amp;R222&amp;"")))),"")</f>
        <v/>
      </c>
      <c r="X222" s="51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51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51" t="str">
        <f t="shared" ca="1" si="77"/>
        <v/>
      </c>
      <c r="AA222" s="51" t="str">
        <f t="shared" ca="1" si="78"/>
        <v/>
      </c>
      <c r="AB222" s="51" t="str">
        <f t="array" aca="1" ref="AB222" ca="1">IF($R222&lt;&gt;"",
IF(AND(COUNTIF(INDIRECT("B"&amp;R222&amp;""),"*雙葉*"),COUNTIF(B:B,"*雙葉*")&gt;=2),
INDIRECT("M"&amp;R222&amp;"")+INDIRECT("M"&amp;MATCH("雙葉'",INDIRECT("B"&amp;R222+1&amp;":B210"),0)+R222&amp;""),
IF(AND(LEFT(INDIRECT("B"&amp;R222&amp;""),2)="博多",COUNTIF(B:B,"*博多*")&gt;=2),
INDIRECT("M"&amp;R222&amp;"")+INDIRECT("M"&amp;MATCH("*"&amp;INDIRECT("B"&amp;R222&amp;"")&amp;"*",INDIRECT("B"&amp;R222+1&amp;":B210"),0)+R222&amp;""),
IF(AND(LEFT(INDIRECT("B"&amp;R222&amp;""),3)="奈良屋",COUNTIF(B:B,"*奈良屋*")&gt;=2),
INDIRECT("M"&amp;R222&amp;"")+INDIRECT("M"&amp;MATCH("*"&amp;INDIRECT("B"&amp;R222&amp;"")&amp;"*",INDIRECT("B"&amp;R222+1&amp;":B210"),0)+R222&amp;"")
+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INDIRECT("M"&amp;R222&amp;"")))),"")</f>
        <v/>
      </c>
      <c r="AC222" s="51" t="str">
        <f t="shared" ca="1" si="79"/>
        <v/>
      </c>
      <c r="AD222" s="51" t="str">
        <f t="shared" ca="1" si="80"/>
        <v/>
      </c>
      <c r="AE222" s="51" t="str">
        <f t="shared" ca="1" si="81"/>
        <v/>
      </c>
      <c r="AF222" s="51" t="str">
        <f t="shared" ca="1" si="82"/>
        <v/>
      </c>
      <c r="AG222" s="51" t="str">
        <f t="shared" ca="1" si="83"/>
        <v/>
      </c>
      <c r="AH222" s="191" t="str">
        <f t="shared" ca="1" si="84"/>
        <v/>
      </c>
      <c r="AI222" s="51" t="str">
        <f t="shared" ca="1" si="85"/>
        <v/>
      </c>
      <c r="AJ222" s="51" t="str">
        <f t="shared" ca="1" si="86"/>
        <v/>
      </c>
      <c r="AK222" s="51" t="str">
        <f t="shared" ca="1" si="87"/>
        <v/>
      </c>
      <c r="AL222" s="51" t="str">
        <f t="shared" ca="1" si="88"/>
        <v/>
      </c>
      <c r="AM222" s="51" t="str">
        <f t="shared" ca="1" si="89"/>
        <v/>
      </c>
      <c r="AN222" s="51" t="str">
        <f t="shared" ca="1" si="90"/>
        <v/>
      </c>
      <c r="AO222" s="51" t="str">
        <f t="shared" ca="1" si="91"/>
        <v/>
      </c>
      <c r="AP222" s="51" t="str">
        <f t="shared" ca="1" si="92"/>
        <v/>
      </c>
      <c r="AU222" s="51" t="str">
        <f t="shared" ca="1" si="93"/>
        <v/>
      </c>
    </row>
    <row r="223" spans="1:47">
      <c r="A223" s="176">
        <f ca="1">IF(C223&lt;&gt;"",MAX($A$219:$A$222)+1,"")</f>
        <v>149</v>
      </c>
      <c r="B223" s="196">
        <v>4</v>
      </c>
      <c r="C223" s="197" t="str">
        <f t="array" aca="1" ref="C223" ca="1">IF(INDIRECT("まとめ札!A"&amp;B223&amp;"")&lt;&gt;0,INDIRECT("まとめ札!A"&amp;B223&amp;"")&amp;"【1】","")</f>
        <v>キャラ弁当 飯なし【1】</v>
      </c>
      <c r="D223" s="197"/>
      <c r="E223" s="197"/>
      <c r="F223" s="198" t="str">
        <f ca="1">IF(C223&lt;&gt;"",
IF(IF(COUNTIF(C223,"*キャラ*"),
VLOOKUP("*キャラ*",商品マスタ一覧!$D:$E,2,FALSE),
VLOOKUP("*赤*",商品マスタ一覧!$D:$E,2,FALSE))=0,"",
IF(H223&lt;&gt;"",
IF(ROUND(
H223/IF(COUNTIF(C223,"*キャラ*"),
VLOOKUP("*キャラ*",商品マスタ一覧!$D:$E,2,FALSE),
VLOOKUP("*赤*",商品マスタ一覧!$D:$E,2,FALSE)),0)&lt;=0,1,
ROUND(
H223/IF(COUNTIF(C223,"*キャラ*"),
VLOOKUP("*キャラ*",商品マスタ一覧!$D:$E,2,FALSE),
VLOOKUP("*赤*",商品マスタ一覧!$D:$E,2,FALSE)),0)),"")),"")</f>
        <v/>
      </c>
      <c r="G223" s="199" t="str">
        <f ca="1">IF(F223&lt;&gt;"",IF(VALUE(H223)&gt;VALUE(IF(COUNTIF(C223,"*キャラ*"),
VLOOKUP("*キャラ*",商品マスタ一覧!$D:$E,2,FALSE),
VLOOKUP("*赤*",商品マスタ一覧!$D:$E,2,FALSE))*F223),
"+"&amp;H223-IF(COUNTIF(C223,"*キャラ*"),
VLOOKUP("*キャラ*",商品マスタ一覧!$D:$E,2,FALSE),
VLOOKUP("*赤*",商品マスタ一覧!$D:$E,2,FALSE))*F223,
H223-IF(COUNTIF(C223,"*キャラ*"),
VLOOKUP("*キャラ*",商品マスタ一覧!$D:$E,2,FALSE),
VLOOKUP("*赤*",商品マスタ一覧!$D:$E,2,FALSE))*F223),"")</f>
        <v/>
      </c>
      <c r="H223" s="196" t="str">
        <f t="array" aca="1" ref="H223" ca="1">IF(INDIRECT("まとめ札!F"&amp;B223&amp;"")&lt;&gt;0,INDIRECT("まとめ札!F"&amp;B223&amp;""),"")</f>
        <v/>
      </c>
      <c r="I223" s="196"/>
      <c r="J223" s="196">
        <f ca="1">IF(C223&lt;&gt;"",
IF(OR(COUNTIF(C223,"*キャラ*"),COUNTIF(C223,"*赤*")),24,
VLOOKUP(C223,#REF!,6,FALSE)),"")</f>
        <v>24</v>
      </c>
      <c r="M223" s="196"/>
      <c r="P223" s="196" t="str">
        <f t="shared" ca="1" si="96"/>
        <v/>
      </c>
      <c r="Q223" s="196" t="str">
        <f t="shared" ca="1" si="97"/>
        <v/>
      </c>
      <c r="R223" s="51" t="str">
        <f t="array" aca="1" ref="R223" ca="1">IFERROR(SMALL(IF(P$1:P$307&lt;&gt;0,P$1:P$307),ROW(A223)),"")</f>
        <v/>
      </c>
      <c r="S223" s="51" t="str">
        <f t="array" aca="1" ref="S223" ca="1">IF($R223&lt;&gt;"",
SUBSTITUTE(SUBSTITUTE(INDIRECT("C"&amp;$R223&amp;"")," 週3ｺｰｽ","")," 週5ｺｰｽ",""),"")</f>
        <v/>
      </c>
      <c r="T223" s="51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91" t="str">
        <f t="array" aca="1" ref="U223" ca="1">IF($R223&lt;&gt;"",
INDIRECT("F"&amp;$R223&amp;""),"")</f>
        <v/>
      </c>
      <c r="V223" s="51" t="str">
        <f t="array" aca="1" ref="V223" ca="1">IF($R223&lt;&gt;"",
INDIRECT("G"&amp;$R223&amp;""),"")</f>
        <v/>
      </c>
      <c r="W223" s="51" t="str">
        <f t="array" aca="1" ref="W223" ca="1">IF($R223&lt;&gt;"",
IF(AND(COUNTIF(INDIRECT("B"&amp;R223&amp;""),"*雙葉*"),COUNTIF(B:B,"*雙葉*")&gt;=2),
IF(OR(COUNTIF(INDIRECT("B"&amp;R223&amp;""),"*雙葉先生*"),COUNTIF($B$1:$B$70,"*雙葉*")&gt;=2),INDIRECT("H"&amp;R223&amp;""),INDIRECT("H"&amp;R223&amp;"")+INDIRECT("H"&amp;MATCH("雙葉'",INDIRECT("B"&amp;R223+3&amp;":B210"),0)+2+R223&amp;"")),
IF(AND(LEFT(INDIRECT("B"&amp;R223&amp;""),2)="博多",COUNTIF(B:B,"*博多*")&gt;=2),
INDIRECT("H"&amp;R223&amp;"")+INDIRECT("H"&amp;MATCH("*"&amp;INDIRECT("B"&amp;R223&amp;"")&amp;"*",INDIRECT("B"&amp;R223+1&amp;":B210"),0)+R223&amp;""),
IF(AND(LEFT(INDIRECT("B"&amp;R223&amp;""),3)="奈良屋",COUNTIF(B:B,"*奈良屋*")&gt;=2),
INDIRECT("H"&amp;R223&amp;"")+INDIRECT("H"&amp;MATCH("*"&amp;INDIRECT("B"&amp;R223&amp;"")&amp;"*",INDIRECT("B"&amp;R223+1&amp;":B210"),0)+R223&amp;"")
+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INDIRECT("H"&amp;R223&amp;"")))),"")</f>
        <v/>
      </c>
      <c r="X223" s="51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51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51" t="str">
        <f t="shared" ca="1" si="77"/>
        <v/>
      </c>
      <c r="AA223" s="51" t="str">
        <f t="shared" ca="1" si="78"/>
        <v/>
      </c>
      <c r="AB223" s="51" t="str">
        <f t="array" aca="1" ref="AB223" ca="1">IF($R223&lt;&gt;"",
IF(AND(COUNTIF(INDIRECT("B"&amp;R223&amp;""),"*雙葉*"),COUNTIF(B:B,"*雙葉*")&gt;=2),
INDIRECT("M"&amp;R223&amp;"")+INDIRECT("M"&amp;MATCH("雙葉'",INDIRECT("B"&amp;R223+1&amp;":B210"),0)+R223&amp;""),
IF(AND(LEFT(INDIRECT("B"&amp;R223&amp;""),2)="博多",COUNTIF(B:B,"*博多*")&gt;=2),
INDIRECT("M"&amp;R223&amp;"")+INDIRECT("M"&amp;MATCH("*"&amp;INDIRECT("B"&amp;R223&amp;"")&amp;"*",INDIRECT("B"&amp;R223+1&amp;":B210"),0)+R223&amp;""),
IF(AND(LEFT(INDIRECT("B"&amp;R223&amp;""),3)="奈良屋",COUNTIF(B:B,"*奈良屋*")&gt;=2),
INDIRECT("M"&amp;R223&amp;"")+INDIRECT("M"&amp;MATCH("*"&amp;INDIRECT("B"&amp;R223&amp;"")&amp;"*",INDIRECT("B"&amp;R223+1&amp;":B210"),0)+R223&amp;"")
+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INDIRECT("M"&amp;R223&amp;"")))),"")</f>
        <v/>
      </c>
      <c r="AC223" s="51" t="str">
        <f t="shared" ca="1" si="79"/>
        <v/>
      </c>
      <c r="AD223" s="51" t="str">
        <f t="shared" ca="1" si="80"/>
        <v/>
      </c>
      <c r="AE223" s="51" t="str">
        <f t="shared" ca="1" si="81"/>
        <v/>
      </c>
      <c r="AF223" s="51" t="str">
        <f t="shared" ca="1" si="82"/>
        <v/>
      </c>
      <c r="AG223" s="51" t="str">
        <f t="shared" ca="1" si="83"/>
        <v/>
      </c>
      <c r="AH223" s="191" t="str">
        <f t="shared" ca="1" si="84"/>
        <v/>
      </c>
      <c r="AI223" s="51" t="str">
        <f t="shared" ca="1" si="85"/>
        <v/>
      </c>
      <c r="AJ223" s="51" t="str">
        <f t="shared" ca="1" si="86"/>
        <v/>
      </c>
      <c r="AK223" s="51" t="str">
        <f t="shared" ca="1" si="87"/>
        <v/>
      </c>
      <c r="AL223" s="51" t="str">
        <f t="shared" ca="1" si="88"/>
        <v/>
      </c>
      <c r="AM223" s="51" t="str">
        <f t="shared" ca="1" si="89"/>
        <v/>
      </c>
      <c r="AN223" s="51" t="str">
        <f t="shared" ca="1" si="90"/>
        <v/>
      </c>
      <c r="AO223" s="51" t="str">
        <f t="shared" ca="1" si="91"/>
        <v/>
      </c>
      <c r="AP223" s="51" t="str">
        <f t="shared" ca="1" si="92"/>
        <v/>
      </c>
      <c r="AU223" s="51" t="str">
        <f t="shared" ca="1" si="93"/>
        <v/>
      </c>
    </row>
    <row r="224" spans="1:47">
      <c r="A224" s="176" t="str">
        <f ca="1">IF(C224&lt;&gt;"",A223+1,"")</f>
        <v/>
      </c>
      <c r="B224" s="196"/>
      <c r="C224" s="197" t="str">
        <f t="array" aca="1" ref="C224" ca="1">IF(OR(INDIRECT("まとめ札!G"&amp;B223&amp;"")="",INDIRECT("まとめ札!G"&amp;B223&amp;"")=0),"",INDIRECT("まとめ札!A"&amp;B223&amp;"")&amp;"【2】")</f>
        <v/>
      </c>
      <c r="D224" s="197"/>
      <c r="E224" s="197"/>
      <c r="F224" s="198" t="str">
        <f ca="1">IF(C224&lt;&gt;"",
IF(IF(COUNTIF(C224,"*キャラ*"),
VLOOKUP("*キャラ*",商品マスタ一覧!$D:$E,2,FALSE),
VLOOKUP("*赤*",商品マスタ一覧!$D:$E,2,FALSE))=0,"",
IF(H224&lt;&gt;"",
IF(ROUND(
H224/IF(COUNTIF(C224,"*キャラ*"),
VLOOKUP("*キャラ*",商品マスタ一覧!$D:$E,2,FALSE),
VLOOKUP("*赤*",商品マスタ一覧!$D:$E,2,FALSE)),0)&lt;=0,1,
ROUND(
H224/IF(COUNTIF(C224,"*キャラ*"),
VLOOKUP("*キャラ*",商品マスタ一覧!$D:$E,2,FALSE),
VLOOKUP("*赤*",商品マスタ一覧!$D:$E,2,FALSE)),0)),"")),"")</f>
        <v/>
      </c>
      <c r="G224" s="199" t="str">
        <f ca="1">IF(F224&lt;&gt;"",IF(VALUE(H224)&gt;VALUE(IF(COUNTIF(C224,"*キャラ*"),
VLOOKUP("*キャラ*",商品マスタ一覧!$D:$E,2,FALSE),
VLOOKUP("*赤*",商品マスタ一覧!$D:$E,2,FALSE))*F224),
"+"&amp;H224-IF(COUNTIF(C224,"*キャラ*"),
VLOOKUP("*キャラ*",商品マスタ一覧!$D:$E,2,FALSE),
VLOOKUP("*赤*",商品マスタ一覧!$D:$E,2,FALSE))*F224,
H224-IF(COUNTIF(C224,"*キャラ*"),
VLOOKUP("*キャラ*",商品マスタ一覧!$D:$E,2,FALSE),
VLOOKUP("*赤*",商品マスタ一覧!$D:$E,2,FALSE))*F224),"")</f>
        <v/>
      </c>
      <c r="H224" s="196" t="str">
        <f t="array" aca="1" ref="H224" ca="1">IF(OR(INDIRECT("まとめ札!G"&amp;B223&amp;"")="",INDIRECT("まとめ札!G"&amp;B223&amp;"")=0),"",INDIRECT("まとめ札!G"&amp;B223&amp;""))</f>
        <v/>
      </c>
      <c r="I224" s="196"/>
      <c r="J224" s="196" t="str">
        <f ca="1">IF(C224&lt;&gt;"",
IF(OR(COUNTIF(C224,"*キャラ*"),COUNTIF(C224,"*赤*")),24,
VLOOKUP(C224,#REF!,6,FALSE)),"")</f>
        <v/>
      </c>
      <c r="M224" s="196"/>
      <c r="P224" s="196" t="str">
        <f t="shared" ca="1" si="96"/>
        <v/>
      </c>
      <c r="Q224" s="196" t="str">
        <f t="shared" ca="1" si="97"/>
        <v/>
      </c>
      <c r="R224" s="51" t="str">
        <f t="array" aca="1" ref="R224" ca="1">IFERROR(SMALL(IF(P$1:P$307&lt;&gt;0,P$1:P$307),ROW(A224)),"")</f>
        <v/>
      </c>
      <c r="S224" s="51" t="str">
        <f t="array" aca="1" ref="S224" ca="1">IF($R224&lt;&gt;"",
SUBSTITUTE(SUBSTITUTE(INDIRECT("C"&amp;$R224&amp;"")," 週3ｺｰｽ","")," 週5ｺｰｽ",""),"")</f>
        <v/>
      </c>
      <c r="T224" s="51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91" t="str">
        <f t="array" aca="1" ref="U224" ca="1">IF($R224&lt;&gt;"",
INDIRECT("F"&amp;$R224&amp;""),"")</f>
        <v/>
      </c>
      <c r="V224" s="51" t="str">
        <f t="array" aca="1" ref="V224" ca="1">IF($R224&lt;&gt;"",
INDIRECT("G"&amp;$R224&amp;""),"")</f>
        <v/>
      </c>
      <c r="W224" s="51" t="str">
        <f t="array" aca="1" ref="W224" ca="1">IF($R224&lt;&gt;"",
IF(AND(COUNTIF(INDIRECT("B"&amp;R224&amp;""),"*雙葉*"),COUNTIF(B:B,"*雙葉*")&gt;=2),
IF(OR(COUNTIF(INDIRECT("B"&amp;R224&amp;""),"*雙葉先生*"),COUNTIF($B$1:$B$70,"*雙葉*")&gt;=2),INDIRECT("H"&amp;R224&amp;""),INDIRECT("H"&amp;R224&amp;"")+INDIRECT("H"&amp;MATCH("雙葉'",INDIRECT("B"&amp;R224+3&amp;":B210"),0)+2+R224&amp;"")),
IF(AND(LEFT(INDIRECT("B"&amp;R224&amp;""),2)="博多",COUNTIF(B:B,"*博多*")&gt;=2),
INDIRECT("H"&amp;R224&amp;"")+INDIRECT("H"&amp;MATCH("*"&amp;INDIRECT("B"&amp;R224&amp;"")&amp;"*",INDIRECT("B"&amp;R224+1&amp;":B210"),0)+R224&amp;""),
IF(AND(LEFT(INDIRECT("B"&amp;R224&amp;""),3)="奈良屋",COUNTIF(B:B,"*奈良屋*")&gt;=2),
INDIRECT("H"&amp;R224&amp;"")+INDIRECT("H"&amp;MATCH("*"&amp;INDIRECT("B"&amp;R224&amp;"")&amp;"*",INDIRECT("B"&amp;R224+1&amp;":B210"),0)+R224&amp;"")
+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INDIRECT("H"&amp;R224&amp;"")))),"")</f>
        <v/>
      </c>
      <c r="X224" s="51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51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51" t="str">
        <f t="shared" ca="1" si="77"/>
        <v/>
      </c>
      <c r="AA224" s="51" t="str">
        <f t="shared" ca="1" si="78"/>
        <v/>
      </c>
      <c r="AB224" s="51" t="str">
        <f t="array" aca="1" ref="AB224" ca="1">IF($R224&lt;&gt;"",
IF(AND(COUNTIF(INDIRECT("B"&amp;R224&amp;""),"*雙葉*"),COUNTIF(B:B,"*雙葉*")&gt;=2),
INDIRECT("M"&amp;R224&amp;"")+INDIRECT("M"&amp;MATCH("雙葉'",INDIRECT("B"&amp;R224+1&amp;":B210"),0)+R224&amp;""),
IF(AND(LEFT(INDIRECT("B"&amp;R224&amp;""),2)="博多",COUNTIF(B:B,"*博多*")&gt;=2),
INDIRECT("M"&amp;R224&amp;"")+INDIRECT("M"&amp;MATCH("*"&amp;INDIRECT("B"&amp;R224&amp;"")&amp;"*",INDIRECT("B"&amp;R224+1&amp;":B210"),0)+R224&amp;""),
IF(AND(LEFT(INDIRECT("B"&amp;R224&amp;""),3)="奈良屋",COUNTIF(B:B,"*奈良屋*")&gt;=2),
INDIRECT("M"&amp;R224&amp;"")+INDIRECT("M"&amp;MATCH("*"&amp;INDIRECT("B"&amp;R224&amp;"")&amp;"*",INDIRECT("B"&amp;R224+1&amp;":B210"),0)+R224&amp;"")
+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INDIRECT("M"&amp;R224&amp;"")))),"")</f>
        <v/>
      </c>
      <c r="AC224" s="51" t="str">
        <f t="shared" ca="1" si="79"/>
        <v/>
      </c>
      <c r="AD224" s="51" t="str">
        <f t="shared" ca="1" si="80"/>
        <v/>
      </c>
      <c r="AE224" s="51" t="str">
        <f t="shared" ca="1" si="81"/>
        <v/>
      </c>
      <c r="AF224" s="51" t="str">
        <f t="shared" ca="1" si="82"/>
        <v/>
      </c>
      <c r="AG224" s="51" t="str">
        <f t="shared" ca="1" si="83"/>
        <v/>
      </c>
      <c r="AH224" s="191" t="str">
        <f t="shared" ca="1" si="84"/>
        <v/>
      </c>
      <c r="AI224" s="51" t="str">
        <f t="shared" ca="1" si="85"/>
        <v/>
      </c>
      <c r="AJ224" s="51" t="str">
        <f t="shared" ca="1" si="86"/>
        <v/>
      </c>
      <c r="AK224" s="51" t="str">
        <f t="shared" ca="1" si="87"/>
        <v/>
      </c>
      <c r="AL224" s="51" t="str">
        <f t="shared" ca="1" si="88"/>
        <v/>
      </c>
      <c r="AM224" s="51" t="str">
        <f t="shared" ca="1" si="89"/>
        <v/>
      </c>
      <c r="AN224" s="51" t="str">
        <f t="shared" ca="1" si="90"/>
        <v/>
      </c>
      <c r="AO224" s="51" t="str">
        <f t="shared" ca="1" si="91"/>
        <v/>
      </c>
      <c r="AP224" s="51" t="str">
        <f t="shared" ca="1" si="92"/>
        <v/>
      </c>
      <c r="AU224" s="51" t="str">
        <f t="shared" ca="1" si="93"/>
        <v/>
      </c>
    </row>
    <row r="225" spans="1:47">
      <c r="A225" s="176" t="str">
        <f ca="1">IF(C225&lt;&gt;"",A224+1,"")</f>
        <v/>
      </c>
      <c r="B225" s="196"/>
      <c r="C225" s="197" t="str">
        <f t="array" aca="1" ref="C225" ca="1">IF(OR(INDIRECT("まとめ札!H"&amp;B223&amp;"")="",INDIRECT("まとめ札!H"&amp;B223&amp;"")=0),"",INDIRECT("まとめ札!A"&amp;B223&amp;"")&amp;"【3】")</f>
        <v/>
      </c>
      <c r="D225" s="197"/>
      <c r="E225" s="197"/>
      <c r="F225" s="198" t="str">
        <f ca="1">IF(C225&lt;&gt;"",
IF(IF(COUNTIF(C225,"*キャラ*"),
VLOOKUP("*キャラ*",商品マスタ一覧!$D:$E,2,FALSE),
VLOOKUP("*赤*",商品マスタ一覧!$D:$E,2,FALSE))=0,"",
IF(H225&lt;&gt;"",
IF(ROUND(
H225/IF(COUNTIF(C225,"*キャラ*"),
VLOOKUP("*キャラ*",商品マスタ一覧!$D:$E,2,FALSE),
VLOOKUP("*赤*",商品マスタ一覧!$D:$E,2,FALSE)),0)&lt;=0,1,
ROUND(
H225/IF(COUNTIF(C225,"*キャラ*"),
VLOOKUP("*キャラ*",商品マスタ一覧!$D:$E,2,FALSE),
VLOOKUP("*赤*",商品マスタ一覧!$D:$E,2,FALSE)),0)),"")),"")</f>
        <v/>
      </c>
      <c r="G225" s="199" t="str">
        <f ca="1">IF(F225&lt;&gt;"",IF(VALUE(H225)&gt;VALUE(IF(COUNTIF(C225,"*キャラ*"),
VLOOKUP("*キャラ*",商品マスタ一覧!$D:$E,2,FALSE),
VLOOKUP("*赤*",商品マスタ一覧!$D:$E,2,FALSE))*F225),
"+"&amp;H225-IF(COUNTIF(C225,"*キャラ*"),
VLOOKUP("*キャラ*",商品マスタ一覧!$D:$E,2,FALSE),
VLOOKUP("*赤*",商品マスタ一覧!$D:$E,2,FALSE))*F225,
H225-IF(COUNTIF(C225,"*キャラ*"),
VLOOKUP("*キャラ*",商品マスタ一覧!$D:$E,2,FALSE),
VLOOKUP("*赤*",商品マスタ一覧!$D:$E,2,FALSE))*F225),"")</f>
        <v/>
      </c>
      <c r="H225" s="196" t="str">
        <f t="array" aca="1" ref="H225" ca="1">IF(OR(INDIRECT("まとめ札!H"&amp;B223&amp;"")="",INDIRECT("まとめ札!H"&amp;B223&amp;"")=0),"",INDIRECT("まとめ札!H"&amp;B223&amp;""))</f>
        <v/>
      </c>
      <c r="I225" s="196"/>
      <c r="J225" s="196" t="str">
        <f ca="1">IF(C225&lt;&gt;"",
IF(OR(COUNTIF(C225,"*キャラ*"),COUNTIF(C225,"*赤*")),24,
VLOOKUP(C225,#REF!,6,FALSE)),"")</f>
        <v/>
      </c>
      <c r="M225" s="196"/>
      <c r="P225" s="196" t="str">
        <f t="shared" ca="1" si="96"/>
        <v/>
      </c>
      <c r="Q225" s="196" t="str">
        <f t="shared" ca="1" si="97"/>
        <v/>
      </c>
      <c r="R225" s="51" t="str">
        <f t="array" aca="1" ref="R225" ca="1">IFERROR(SMALL(IF(P$1:P$307&lt;&gt;0,P$1:P$307),ROW(A225)),"")</f>
        <v/>
      </c>
      <c r="S225" s="51" t="str">
        <f t="array" aca="1" ref="S225" ca="1">IF($R225&lt;&gt;"",
SUBSTITUTE(SUBSTITUTE(INDIRECT("C"&amp;$R225&amp;"")," 週3ｺｰｽ","")," 週5ｺｰｽ",""),"")</f>
        <v/>
      </c>
      <c r="T225" s="51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91" t="str">
        <f t="array" aca="1" ref="U225" ca="1">IF($R225&lt;&gt;"",
INDIRECT("F"&amp;$R225&amp;""),"")</f>
        <v/>
      </c>
      <c r="V225" s="51" t="str">
        <f t="array" aca="1" ref="V225" ca="1">IF($R225&lt;&gt;"",
INDIRECT("G"&amp;$R225&amp;""),"")</f>
        <v/>
      </c>
      <c r="W225" s="51" t="str">
        <f t="array" aca="1" ref="W225" ca="1">IF($R225&lt;&gt;"",
IF(AND(COUNTIF(INDIRECT("B"&amp;R225&amp;""),"*雙葉*"),COUNTIF(B:B,"*雙葉*")&gt;=2),
IF(OR(COUNTIF(INDIRECT("B"&amp;R225&amp;""),"*雙葉先生*"),COUNTIF($B$1:$B$70,"*雙葉*")&gt;=2),INDIRECT("H"&amp;R225&amp;""),INDIRECT("H"&amp;R225&amp;"")+INDIRECT("H"&amp;MATCH("雙葉'",INDIRECT("B"&amp;R225+3&amp;":B210"),0)+2+R225&amp;"")),
IF(AND(LEFT(INDIRECT("B"&amp;R225&amp;""),2)="博多",COUNTIF(B:B,"*博多*")&gt;=2),
INDIRECT("H"&amp;R225&amp;"")+INDIRECT("H"&amp;MATCH("*"&amp;INDIRECT("B"&amp;R225&amp;"")&amp;"*",INDIRECT("B"&amp;R225+1&amp;":B210"),0)+R225&amp;""),
IF(AND(LEFT(INDIRECT("B"&amp;R225&amp;""),3)="奈良屋",COUNTIF(B:B,"*奈良屋*")&gt;=2),
INDIRECT("H"&amp;R225&amp;"")+INDIRECT("H"&amp;MATCH("*"&amp;INDIRECT("B"&amp;R225&amp;"")&amp;"*",INDIRECT("B"&amp;R225+1&amp;":B210"),0)+R225&amp;"")
+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INDIRECT("H"&amp;R225&amp;"")))),"")</f>
        <v/>
      </c>
      <c r="X225" s="51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51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51" t="str">
        <f t="shared" ca="1" si="77"/>
        <v/>
      </c>
      <c r="AA225" s="51" t="str">
        <f t="shared" ca="1" si="78"/>
        <v/>
      </c>
      <c r="AB225" s="51" t="str">
        <f t="array" aca="1" ref="AB225" ca="1">IF($R225&lt;&gt;"",
IF(AND(COUNTIF(INDIRECT("B"&amp;R225&amp;""),"*雙葉*"),COUNTIF(B:B,"*雙葉*")&gt;=2),
INDIRECT("M"&amp;R225&amp;"")+INDIRECT("M"&amp;MATCH("雙葉'",INDIRECT("B"&amp;R225+1&amp;":B210"),0)+R225&amp;""),
IF(AND(LEFT(INDIRECT("B"&amp;R225&amp;""),2)="博多",COUNTIF(B:B,"*博多*")&gt;=2),
INDIRECT("M"&amp;R225&amp;"")+INDIRECT("M"&amp;MATCH("*"&amp;INDIRECT("B"&amp;R225&amp;"")&amp;"*",INDIRECT("B"&amp;R225+1&amp;":B210"),0)+R225&amp;""),
IF(AND(LEFT(INDIRECT("B"&amp;R225&amp;""),3)="奈良屋",COUNTIF(B:B,"*奈良屋*")&gt;=2),
INDIRECT("M"&amp;R225&amp;"")+INDIRECT("M"&amp;MATCH("*"&amp;INDIRECT("B"&amp;R225&amp;"")&amp;"*",INDIRECT("B"&amp;R225+1&amp;":B210"),0)+R225&amp;"")
+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INDIRECT("M"&amp;R225&amp;"")))),"")</f>
        <v/>
      </c>
      <c r="AC225" s="51" t="str">
        <f t="shared" ca="1" si="79"/>
        <v/>
      </c>
      <c r="AD225" s="51" t="str">
        <f t="shared" ca="1" si="80"/>
        <v/>
      </c>
      <c r="AE225" s="51" t="str">
        <f t="shared" ca="1" si="81"/>
        <v/>
      </c>
      <c r="AF225" s="51" t="str">
        <f t="shared" ca="1" si="82"/>
        <v/>
      </c>
      <c r="AG225" s="51" t="str">
        <f t="shared" ca="1" si="83"/>
        <v/>
      </c>
      <c r="AH225" s="191" t="str">
        <f t="shared" ca="1" si="84"/>
        <v/>
      </c>
      <c r="AI225" s="51" t="str">
        <f t="shared" ca="1" si="85"/>
        <v/>
      </c>
      <c r="AJ225" s="51" t="str">
        <f t="shared" ca="1" si="86"/>
        <v/>
      </c>
      <c r="AK225" s="51" t="str">
        <f t="shared" ca="1" si="87"/>
        <v/>
      </c>
      <c r="AL225" s="51" t="str">
        <f t="shared" ca="1" si="88"/>
        <v/>
      </c>
      <c r="AM225" s="51" t="str">
        <f t="shared" ca="1" si="89"/>
        <v/>
      </c>
      <c r="AN225" s="51" t="str">
        <f t="shared" ca="1" si="90"/>
        <v/>
      </c>
      <c r="AO225" s="51" t="str">
        <f t="shared" ca="1" si="91"/>
        <v/>
      </c>
      <c r="AP225" s="51" t="str">
        <f t="shared" ca="1" si="92"/>
        <v/>
      </c>
      <c r="AU225" s="51" t="str">
        <f t="shared" ca="1" si="93"/>
        <v/>
      </c>
    </row>
    <row r="226" spans="1:47">
      <c r="A226" s="176" t="str">
        <f ca="1">IF(C226&lt;&gt;"",A225+1,"")</f>
        <v/>
      </c>
      <c r="B226" s="196"/>
      <c r="C226" s="197" t="str">
        <f t="array" aca="1" ref="C226" ca="1">IF(OR(INDIRECT("まとめ札!I"&amp;B223&amp;"")="",INDIRECT("まとめ札!I"&amp;B223&amp;"")=0),"",INDIRECT("まとめ札!A"&amp;B223&amp;"")&amp;"【4】")</f>
        <v/>
      </c>
      <c r="D226" s="197"/>
      <c r="E226" s="197"/>
      <c r="F226" s="198" t="str">
        <f ca="1">IF(C226&lt;&gt;"",
IF(IF(COUNTIF(C226,"*キャラ*"),
VLOOKUP("*キャラ*",商品マスタ一覧!$D:$E,2,FALSE),
VLOOKUP("*赤*",商品マスタ一覧!$D:$E,2,FALSE))=0,"",
IF(H226&lt;&gt;"",
IF(ROUND(
H226/IF(COUNTIF(C226,"*キャラ*"),
VLOOKUP("*キャラ*",商品マスタ一覧!$D:$E,2,FALSE),
VLOOKUP("*赤*",商品マスタ一覧!$D:$E,2,FALSE)),0)&lt;=0,1,
ROUND(
H226/IF(COUNTIF(C226,"*キャラ*"),
VLOOKUP("*キャラ*",商品マスタ一覧!$D:$E,2,FALSE),
VLOOKUP("*赤*",商品マスタ一覧!$D:$E,2,FALSE)),0)),"")),"")</f>
        <v/>
      </c>
      <c r="G226" s="199" t="str">
        <f ca="1">IF(F226&lt;&gt;"",IF(VALUE(H226)&gt;VALUE(IF(COUNTIF(C226,"*キャラ*"),
VLOOKUP("*キャラ*",商品マスタ一覧!$D:$E,2,FALSE),
VLOOKUP("*赤*",商品マスタ一覧!$D:$E,2,FALSE))*F226),
"+"&amp;H226-IF(COUNTIF(C226,"*キャラ*"),
VLOOKUP("*キャラ*",商品マスタ一覧!$D:$E,2,FALSE),
VLOOKUP("*赤*",商品マスタ一覧!$D:$E,2,FALSE))*F226,
H226-IF(COUNTIF(C226,"*キャラ*"),
VLOOKUP("*キャラ*",商品マスタ一覧!$D:$E,2,FALSE),
VLOOKUP("*赤*",商品マスタ一覧!$D:$E,2,FALSE))*F226),"")</f>
        <v/>
      </c>
      <c r="H226" s="196" t="str">
        <f t="array" aca="1" ref="H226" ca="1">IF(OR(INDIRECT("まとめ札!I"&amp;B223&amp;"")="",INDIRECT("まとめ札!I"&amp;B223&amp;"")=0),"",INDIRECT("まとめ札!I"&amp;B223&amp;""))</f>
        <v/>
      </c>
      <c r="I226" s="196"/>
      <c r="J226" s="196" t="str">
        <f ca="1">IF(C226&lt;&gt;"",
IF(OR(COUNTIF(C226,"*キャラ*"),COUNTIF(C226,"*赤*")),24,
VLOOKUP(C226,#REF!,6,FALSE)),"")</f>
        <v/>
      </c>
      <c r="M226" s="196"/>
      <c r="P226" s="196" t="str">
        <f t="shared" ca="1" si="96"/>
        <v/>
      </c>
      <c r="Q226" s="196" t="str">
        <f t="shared" ca="1" si="97"/>
        <v/>
      </c>
      <c r="R226" s="51" t="str">
        <f t="array" aca="1" ref="R226" ca="1">IFERROR(SMALL(IF(P$1:P$307&lt;&gt;0,P$1:P$307),ROW(A226)),"")</f>
        <v/>
      </c>
      <c r="S226" s="51" t="str">
        <f t="array" aca="1" ref="S226" ca="1">IF($R226&lt;&gt;"",
SUBSTITUTE(SUBSTITUTE(INDIRECT("C"&amp;$R226&amp;"")," 週3ｺｰｽ","")," 週5ｺｰｽ",""),"")</f>
        <v/>
      </c>
      <c r="T226" s="51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91" t="str">
        <f t="array" aca="1" ref="U226" ca="1">IF($R226&lt;&gt;"",
INDIRECT("F"&amp;$R226&amp;""),"")</f>
        <v/>
      </c>
      <c r="V226" s="51" t="str">
        <f t="array" aca="1" ref="V226" ca="1">IF($R226&lt;&gt;"",
INDIRECT("G"&amp;$R226&amp;""),"")</f>
        <v/>
      </c>
      <c r="W226" s="51" t="str">
        <f t="array" aca="1" ref="W226" ca="1">IF($R226&lt;&gt;"",
IF(AND(COUNTIF(INDIRECT("B"&amp;R226&amp;""),"*雙葉*"),COUNTIF(B:B,"*雙葉*")&gt;=2),
IF(OR(COUNTIF(INDIRECT("B"&amp;R226&amp;""),"*雙葉先生*"),COUNTIF($B$1:$B$70,"*雙葉*")&gt;=2),INDIRECT("H"&amp;R226&amp;""),INDIRECT("H"&amp;R226&amp;"")+INDIRECT("H"&amp;MATCH("雙葉'",INDIRECT("B"&amp;R226+3&amp;":B210"),0)+2+R226&amp;"")),
IF(AND(LEFT(INDIRECT("B"&amp;R226&amp;""),2)="博多",COUNTIF(B:B,"*博多*")&gt;=2),
INDIRECT("H"&amp;R226&amp;"")+INDIRECT("H"&amp;MATCH("*"&amp;INDIRECT("B"&amp;R226&amp;"")&amp;"*",INDIRECT("B"&amp;R226+1&amp;":B210"),0)+R226&amp;""),
IF(AND(LEFT(INDIRECT("B"&amp;R226&amp;""),3)="奈良屋",COUNTIF(B:B,"*奈良屋*")&gt;=2),
INDIRECT("H"&amp;R226&amp;"")+INDIRECT("H"&amp;MATCH("*"&amp;INDIRECT("B"&amp;R226&amp;"")&amp;"*",INDIRECT("B"&amp;R226+1&amp;":B210"),0)+R226&amp;"")
+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INDIRECT("H"&amp;R226&amp;"")))),"")</f>
        <v/>
      </c>
      <c r="X226" s="51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51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51" t="str">
        <f t="shared" ca="1" si="77"/>
        <v/>
      </c>
      <c r="AA226" s="51" t="str">
        <f t="shared" ca="1" si="78"/>
        <v/>
      </c>
      <c r="AB226" s="51" t="str">
        <f t="array" aca="1" ref="AB226" ca="1">IF($R226&lt;&gt;"",
IF(AND(COUNTIF(INDIRECT("B"&amp;R226&amp;""),"*雙葉*"),COUNTIF(B:B,"*雙葉*")&gt;=2),
INDIRECT("M"&amp;R226&amp;"")+INDIRECT("M"&amp;MATCH("雙葉'",INDIRECT("B"&amp;R226+1&amp;":B210"),0)+R226&amp;""),
IF(AND(LEFT(INDIRECT("B"&amp;R226&amp;""),2)="博多",COUNTIF(B:B,"*博多*")&gt;=2),
INDIRECT("M"&amp;R226&amp;"")+INDIRECT("M"&amp;MATCH("*"&amp;INDIRECT("B"&amp;R226&amp;"")&amp;"*",INDIRECT("B"&amp;R226+1&amp;":B210"),0)+R226&amp;""),
IF(AND(LEFT(INDIRECT("B"&amp;R226&amp;""),3)="奈良屋",COUNTIF(B:B,"*奈良屋*")&gt;=2),
INDIRECT("M"&amp;R226&amp;"")+INDIRECT("M"&amp;MATCH("*"&amp;INDIRECT("B"&amp;R226&amp;"")&amp;"*",INDIRECT("B"&amp;R226+1&amp;":B210"),0)+R226&amp;"")
+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INDIRECT("M"&amp;R226&amp;"")))),"")</f>
        <v/>
      </c>
      <c r="AC226" s="51" t="str">
        <f t="shared" ca="1" si="79"/>
        <v/>
      </c>
      <c r="AD226" s="51" t="str">
        <f t="shared" ca="1" si="80"/>
        <v/>
      </c>
      <c r="AE226" s="51" t="str">
        <f t="shared" ca="1" si="81"/>
        <v/>
      </c>
      <c r="AF226" s="51" t="str">
        <f t="shared" ca="1" si="82"/>
        <v/>
      </c>
      <c r="AG226" s="51" t="str">
        <f t="shared" ca="1" si="83"/>
        <v/>
      </c>
      <c r="AH226" s="191" t="str">
        <f t="shared" ca="1" si="84"/>
        <v/>
      </c>
      <c r="AI226" s="51" t="str">
        <f t="shared" ca="1" si="85"/>
        <v/>
      </c>
      <c r="AJ226" s="51" t="str">
        <f t="shared" ca="1" si="86"/>
        <v/>
      </c>
      <c r="AK226" s="51" t="str">
        <f t="shared" ca="1" si="87"/>
        <v/>
      </c>
      <c r="AL226" s="51" t="str">
        <f t="shared" ca="1" si="88"/>
        <v/>
      </c>
      <c r="AM226" s="51" t="str">
        <f t="shared" ca="1" si="89"/>
        <v/>
      </c>
      <c r="AN226" s="51" t="str">
        <f t="shared" ca="1" si="90"/>
        <v/>
      </c>
      <c r="AO226" s="51" t="str">
        <f t="shared" ca="1" si="91"/>
        <v/>
      </c>
      <c r="AP226" s="51" t="str">
        <f t="shared" ca="1" si="92"/>
        <v/>
      </c>
      <c r="AU226" s="51" t="str">
        <f t="shared" ca="1" si="93"/>
        <v/>
      </c>
    </row>
    <row r="227" spans="1:47">
      <c r="A227" s="176">
        <f ca="1">IF(C227&lt;&gt;"",MAX($A$223:$A$226)+1,"")</f>
        <v>150</v>
      </c>
      <c r="B227" s="196">
        <v>5</v>
      </c>
      <c r="C227" s="197" t="str">
        <f t="array" aca="1" ref="C227" ca="1">IF(INDIRECT("まとめ札!A"&amp;B227&amp;"")&lt;&gt;0,INDIRECT("まとめ札!A"&amp;B227&amp;"")&amp;"【1】","")</f>
        <v>赤 飯あり【1】</v>
      </c>
      <c r="D227" s="197"/>
      <c r="E227" s="197"/>
      <c r="F227" s="198" t="str">
        <f ca="1">IF(C227&lt;&gt;"",
IF(IF(COUNTIF(C227,"*キャラ*"),
VLOOKUP("*キャラ*",商品マスタ一覧!$D:$E,2,FALSE),
VLOOKUP("*赤*",商品マスタ一覧!$D:$E,2,FALSE))=0,"",
IF(H227&lt;&gt;"",
IF(ROUND(
H227/IF(COUNTIF(C227,"*キャラ*"),
VLOOKUP("*キャラ*",商品マスタ一覧!$D:$E,2,FALSE),
VLOOKUP("*赤*",商品マスタ一覧!$D:$E,2,FALSE)),0)&lt;=0,1,
ROUND(
H227/IF(COUNTIF(C227,"*キャラ*"),
VLOOKUP("*キャラ*",商品マスタ一覧!$D:$E,2,FALSE),
VLOOKUP("*赤*",商品マスタ一覧!$D:$E,2,FALSE)),0)),"")),"")</f>
        <v/>
      </c>
      <c r="G227" s="199" t="str">
        <f ca="1">IF(F227&lt;&gt;"",IF(VALUE(H227)&gt;VALUE(IF(COUNTIF(C227,"*キャラ*"),
VLOOKUP("*キャラ*",商品マスタ一覧!$D:$E,2,FALSE),
VLOOKUP("*赤*",商品マスタ一覧!$D:$E,2,FALSE))*F227),
"+"&amp;H227-IF(COUNTIF(C227,"*キャラ*"),
VLOOKUP("*キャラ*",商品マスタ一覧!$D:$E,2,FALSE),
VLOOKUP("*赤*",商品マスタ一覧!$D:$E,2,FALSE))*F227,
H227-IF(COUNTIF(C227,"*キャラ*"),
VLOOKUP("*キャラ*",商品マスタ一覧!$D:$E,2,FALSE),
VLOOKUP("*赤*",商品マスタ一覧!$D:$E,2,FALSE))*F227),"")</f>
        <v/>
      </c>
      <c r="H227" s="196" t="str">
        <f t="array" aca="1" ref="H227" ca="1">IF(INDIRECT("まとめ札!F"&amp;B227&amp;"")&lt;&gt;0,INDIRECT("まとめ札!F"&amp;B227&amp;""),"")</f>
        <v/>
      </c>
      <c r="I227" s="196"/>
      <c r="J227" s="196">
        <f ca="1">IF(C227&lt;&gt;"",
IF(OR(COUNTIF(C227,"*キャラ*"),COUNTIF(C227,"*赤*")),24,
VLOOKUP(C227,#REF!,6,FALSE)),"")</f>
        <v>24</v>
      </c>
      <c r="M227" s="196"/>
      <c r="P227" s="196" t="str">
        <f t="shared" ca="1" si="96"/>
        <v/>
      </c>
      <c r="Q227" s="196" t="str">
        <f t="shared" ca="1" si="97"/>
        <v/>
      </c>
      <c r="R227" s="51" t="str">
        <f t="array" aca="1" ref="R227" ca="1">IFERROR(SMALL(IF(P$1:P$307&lt;&gt;0,P$1:P$307),ROW(A227)),"")</f>
        <v/>
      </c>
      <c r="S227" s="51" t="str">
        <f t="array" aca="1" ref="S227" ca="1">IF($R227&lt;&gt;"",
SUBSTITUTE(SUBSTITUTE(INDIRECT("C"&amp;$R227&amp;"")," 週3ｺｰｽ","")," 週5ｺｰｽ",""),"")</f>
        <v/>
      </c>
      <c r="T227" s="51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91" t="str">
        <f t="array" aca="1" ref="U227" ca="1">IF($R227&lt;&gt;"",
INDIRECT("F"&amp;$R227&amp;""),"")</f>
        <v/>
      </c>
      <c r="V227" s="51" t="str">
        <f t="array" aca="1" ref="V227" ca="1">IF($R227&lt;&gt;"",
INDIRECT("G"&amp;$R227&amp;""),"")</f>
        <v/>
      </c>
      <c r="W227" s="51" t="str">
        <f t="array" aca="1" ref="W227" ca="1">IF($R227&lt;&gt;"",
IF(AND(COUNTIF(INDIRECT("B"&amp;R227&amp;""),"*雙葉*"),COUNTIF(B:B,"*雙葉*")&gt;=2),
IF(OR(COUNTIF(INDIRECT("B"&amp;R227&amp;""),"*雙葉先生*"),COUNTIF($B$1:$B$70,"*雙葉*")&gt;=2),INDIRECT("H"&amp;R227&amp;""),INDIRECT("H"&amp;R227&amp;"")+INDIRECT("H"&amp;MATCH("雙葉'",INDIRECT("B"&amp;R227+3&amp;":B210"),0)+2+R227&amp;"")),
IF(AND(LEFT(INDIRECT("B"&amp;R227&amp;""),2)="博多",COUNTIF(B:B,"*博多*")&gt;=2),
INDIRECT("H"&amp;R227&amp;"")+INDIRECT("H"&amp;MATCH("*"&amp;INDIRECT("B"&amp;R227&amp;"")&amp;"*",INDIRECT("B"&amp;R227+1&amp;":B210"),0)+R227&amp;""),
IF(AND(LEFT(INDIRECT("B"&amp;R227&amp;""),3)="奈良屋",COUNTIF(B:B,"*奈良屋*")&gt;=2),
INDIRECT("H"&amp;R227&amp;"")+INDIRECT("H"&amp;MATCH("*"&amp;INDIRECT("B"&amp;R227&amp;"")&amp;"*",INDIRECT("B"&amp;R227+1&amp;":B210"),0)+R227&amp;"")
+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INDIRECT("H"&amp;R227&amp;"")))),"")</f>
        <v/>
      </c>
      <c r="X227" s="51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51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51" t="str">
        <f t="shared" ca="1" si="77"/>
        <v/>
      </c>
      <c r="AA227" s="51" t="str">
        <f t="shared" ca="1" si="78"/>
        <v/>
      </c>
      <c r="AB227" s="51" t="str">
        <f t="array" aca="1" ref="AB227" ca="1">IF($R227&lt;&gt;"",
IF(AND(COUNTIF(INDIRECT("B"&amp;R227&amp;""),"*雙葉*"),COUNTIF(B:B,"*雙葉*")&gt;=2),
INDIRECT("M"&amp;R227&amp;"")+INDIRECT("M"&amp;MATCH("雙葉'",INDIRECT("B"&amp;R227+1&amp;":B210"),0)+R227&amp;""),
IF(AND(LEFT(INDIRECT("B"&amp;R227&amp;""),2)="博多",COUNTIF(B:B,"*博多*")&gt;=2),
INDIRECT("M"&amp;R227&amp;"")+INDIRECT("M"&amp;MATCH("*"&amp;INDIRECT("B"&amp;R227&amp;"")&amp;"*",INDIRECT("B"&amp;R227+1&amp;":B210"),0)+R227&amp;""),
IF(AND(LEFT(INDIRECT("B"&amp;R227&amp;""),3)="奈良屋",COUNTIF(B:B,"*奈良屋*")&gt;=2),
INDIRECT("M"&amp;R227&amp;"")+INDIRECT("M"&amp;MATCH("*"&amp;INDIRECT("B"&amp;R227&amp;"")&amp;"*",INDIRECT("B"&amp;R227+1&amp;":B210"),0)+R227&amp;"")
+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INDIRECT("M"&amp;R227&amp;"")))),"")</f>
        <v/>
      </c>
      <c r="AC227" s="51" t="str">
        <f t="shared" ca="1" si="79"/>
        <v/>
      </c>
      <c r="AD227" s="51" t="str">
        <f t="shared" ca="1" si="80"/>
        <v/>
      </c>
      <c r="AE227" s="51" t="str">
        <f t="shared" ca="1" si="81"/>
        <v/>
      </c>
      <c r="AF227" s="51" t="str">
        <f t="shared" ca="1" si="82"/>
        <v/>
      </c>
      <c r="AG227" s="51" t="str">
        <f t="shared" ca="1" si="83"/>
        <v/>
      </c>
      <c r="AH227" s="191" t="str">
        <f t="shared" ca="1" si="84"/>
        <v/>
      </c>
      <c r="AI227" s="51" t="str">
        <f t="shared" ca="1" si="85"/>
        <v/>
      </c>
      <c r="AJ227" s="51" t="str">
        <f t="shared" ca="1" si="86"/>
        <v/>
      </c>
      <c r="AK227" s="51" t="str">
        <f t="shared" ca="1" si="87"/>
        <v/>
      </c>
      <c r="AL227" s="51" t="str">
        <f t="shared" ca="1" si="88"/>
        <v/>
      </c>
      <c r="AM227" s="51" t="str">
        <f t="shared" ca="1" si="89"/>
        <v/>
      </c>
      <c r="AN227" s="51" t="str">
        <f t="shared" ca="1" si="90"/>
        <v/>
      </c>
      <c r="AO227" s="51" t="str">
        <f t="shared" ca="1" si="91"/>
        <v/>
      </c>
      <c r="AP227" s="51" t="str">
        <f t="shared" ca="1" si="92"/>
        <v/>
      </c>
      <c r="AU227" s="51" t="str">
        <f t="shared" ca="1" si="93"/>
        <v/>
      </c>
    </row>
    <row r="228" spans="1:47">
      <c r="A228" s="176" t="str">
        <f ca="1">IF(C228&lt;&gt;"",A227+1,"")</f>
        <v/>
      </c>
      <c r="B228" s="196"/>
      <c r="C228" s="197" t="str">
        <f t="array" aca="1" ref="C228" ca="1">IF(OR(INDIRECT("まとめ札!G"&amp;B227&amp;"")="",INDIRECT("まとめ札!G"&amp;B227&amp;"")=0),"",INDIRECT("まとめ札!A"&amp;B227&amp;"")&amp;"【2】")</f>
        <v/>
      </c>
      <c r="D228" s="197"/>
      <c r="E228" s="197"/>
      <c r="F228" s="198" t="str">
        <f ca="1">IF(C228&lt;&gt;"",
IF(IF(COUNTIF(C228,"*キャラ*"),
VLOOKUP("*キャラ*",商品マスタ一覧!$D:$E,2,FALSE),
VLOOKUP("*赤*",商品マスタ一覧!$D:$E,2,FALSE))=0,"",
IF(H228&lt;&gt;"",
IF(ROUND(
H228/IF(COUNTIF(C228,"*キャラ*"),
VLOOKUP("*キャラ*",商品マスタ一覧!$D:$E,2,FALSE),
VLOOKUP("*赤*",商品マスタ一覧!$D:$E,2,FALSE)),0)&lt;=0,1,
ROUND(
H228/IF(COUNTIF(C228,"*キャラ*"),
VLOOKUP("*キャラ*",商品マスタ一覧!$D:$E,2,FALSE),
VLOOKUP("*赤*",商品マスタ一覧!$D:$E,2,FALSE)),0)),"")),"")</f>
        <v/>
      </c>
      <c r="G228" s="199" t="str">
        <f ca="1">IF(F228&lt;&gt;"",IF(VALUE(H228)&gt;VALUE(IF(COUNTIF(C228,"*キャラ*"),
VLOOKUP("*キャラ*",商品マスタ一覧!$D:$E,2,FALSE),
VLOOKUP("*赤*",商品マスタ一覧!$D:$E,2,FALSE))*F228),
"+"&amp;H228-IF(COUNTIF(C228,"*キャラ*"),
VLOOKUP("*キャラ*",商品マスタ一覧!$D:$E,2,FALSE),
VLOOKUP("*赤*",商品マスタ一覧!$D:$E,2,FALSE))*F228,
H228-IF(COUNTIF(C228,"*キャラ*"),
VLOOKUP("*キャラ*",商品マスタ一覧!$D:$E,2,FALSE),
VLOOKUP("*赤*",商品マスタ一覧!$D:$E,2,FALSE))*F228),"")</f>
        <v/>
      </c>
      <c r="H228" s="196" t="str">
        <f t="array" aca="1" ref="H228" ca="1">IF(OR(INDIRECT("まとめ札!G"&amp;B227&amp;"")="",INDIRECT("まとめ札!G"&amp;B227&amp;"")=0),"",INDIRECT("まとめ札!G"&amp;B227&amp;""))</f>
        <v/>
      </c>
      <c r="I228" s="196"/>
      <c r="J228" s="196" t="str">
        <f ca="1">IF(C228&lt;&gt;"",
IF(OR(COUNTIF(C228,"*キャラ*"),COUNTIF(C228,"*赤*")),24,
VLOOKUP(C228,#REF!,6,FALSE)),"")</f>
        <v/>
      </c>
      <c r="M228" s="196"/>
      <c r="P228" s="196" t="str">
        <f t="shared" ca="1" si="96"/>
        <v/>
      </c>
      <c r="Q228" s="196" t="str">
        <f t="shared" ca="1" si="97"/>
        <v/>
      </c>
      <c r="R228" s="51" t="str">
        <f t="array" aca="1" ref="R228" ca="1">IFERROR(SMALL(IF(P$1:P$307&lt;&gt;0,P$1:P$307),ROW(A228)),"")</f>
        <v/>
      </c>
      <c r="S228" s="51" t="str">
        <f t="array" aca="1" ref="S228" ca="1">IF($R228&lt;&gt;"",
SUBSTITUTE(SUBSTITUTE(INDIRECT("C"&amp;$R228&amp;"")," 週3ｺｰｽ","")," 週5ｺｰｽ",""),"")</f>
        <v/>
      </c>
      <c r="T228" s="51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91" t="str">
        <f t="array" aca="1" ref="U228" ca="1">IF($R228&lt;&gt;"",
INDIRECT("F"&amp;$R228&amp;""),"")</f>
        <v/>
      </c>
      <c r="V228" s="51" t="str">
        <f t="array" aca="1" ref="V228" ca="1">IF($R228&lt;&gt;"",
INDIRECT("G"&amp;$R228&amp;""),"")</f>
        <v/>
      </c>
      <c r="W228" s="51" t="str">
        <f t="array" aca="1" ref="W228" ca="1">IF($R228&lt;&gt;"",
IF(AND(COUNTIF(INDIRECT("B"&amp;R228&amp;""),"*雙葉*"),COUNTIF(B:B,"*雙葉*")&gt;=2),
IF(OR(COUNTIF(INDIRECT("B"&amp;R228&amp;""),"*雙葉先生*"),COUNTIF($B$1:$B$70,"*雙葉*")&gt;=2),INDIRECT("H"&amp;R228&amp;""),INDIRECT("H"&amp;R228&amp;"")+INDIRECT("H"&amp;MATCH("雙葉'",INDIRECT("B"&amp;R228+3&amp;":B210"),0)+2+R228&amp;"")),
IF(AND(LEFT(INDIRECT("B"&amp;R228&amp;""),2)="博多",COUNTIF(B:B,"*博多*")&gt;=2),
INDIRECT("H"&amp;R228&amp;"")+INDIRECT("H"&amp;MATCH("*"&amp;INDIRECT("B"&amp;R228&amp;"")&amp;"*",INDIRECT("B"&amp;R228+1&amp;":B210"),0)+R228&amp;""),
IF(AND(LEFT(INDIRECT("B"&amp;R228&amp;""),3)="奈良屋",COUNTIF(B:B,"*奈良屋*")&gt;=2),
INDIRECT("H"&amp;R228&amp;"")+INDIRECT("H"&amp;MATCH("*"&amp;INDIRECT("B"&amp;R228&amp;"")&amp;"*",INDIRECT("B"&amp;R228+1&amp;":B210"),0)+R228&amp;"")
+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INDIRECT("H"&amp;R228&amp;"")))),"")</f>
        <v/>
      </c>
      <c r="X228" s="51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51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51" t="str">
        <f t="shared" ca="1" si="77"/>
        <v/>
      </c>
      <c r="AA228" s="51" t="str">
        <f t="shared" ca="1" si="78"/>
        <v/>
      </c>
      <c r="AB228" s="51" t="str">
        <f t="array" aca="1" ref="AB228" ca="1">IF($R228&lt;&gt;"",
IF(AND(COUNTIF(INDIRECT("B"&amp;R228&amp;""),"*雙葉*"),COUNTIF(B:B,"*雙葉*")&gt;=2),
INDIRECT("M"&amp;R228&amp;"")+INDIRECT("M"&amp;MATCH("雙葉'",INDIRECT("B"&amp;R228+1&amp;":B210"),0)+R228&amp;""),
IF(AND(LEFT(INDIRECT("B"&amp;R228&amp;""),2)="博多",COUNTIF(B:B,"*博多*")&gt;=2),
INDIRECT("M"&amp;R228&amp;"")+INDIRECT("M"&amp;MATCH("*"&amp;INDIRECT("B"&amp;R228&amp;"")&amp;"*",INDIRECT("B"&amp;R228+1&amp;":B210"),0)+R228&amp;""),
IF(AND(LEFT(INDIRECT("B"&amp;R228&amp;""),3)="奈良屋",COUNTIF(B:B,"*奈良屋*")&gt;=2),
INDIRECT("M"&amp;R228&amp;"")+INDIRECT("M"&amp;MATCH("*"&amp;INDIRECT("B"&amp;R228&amp;"")&amp;"*",INDIRECT("B"&amp;R228+1&amp;":B210"),0)+R228&amp;"")
+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INDIRECT("M"&amp;R228&amp;"")))),"")</f>
        <v/>
      </c>
      <c r="AC228" s="51" t="str">
        <f t="shared" ca="1" si="79"/>
        <v/>
      </c>
      <c r="AD228" s="51" t="str">
        <f t="shared" ca="1" si="80"/>
        <v/>
      </c>
      <c r="AE228" s="51" t="str">
        <f t="shared" ca="1" si="81"/>
        <v/>
      </c>
      <c r="AF228" s="51" t="str">
        <f t="shared" ca="1" si="82"/>
        <v/>
      </c>
      <c r="AG228" s="51" t="str">
        <f t="shared" ca="1" si="83"/>
        <v/>
      </c>
      <c r="AH228" s="191" t="str">
        <f t="shared" ca="1" si="84"/>
        <v/>
      </c>
      <c r="AI228" s="51" t="str">
        <f t="shared" ca="1" si="85"/>
        <v/>
      </c>
      <c r="AJ228" s="51" t="str">
        <f t="shared" ca="1" si="86"/>
        <v/>
      </c>
      <c r="AK228" s="51" t="str">
        <f t="shared" ca="1" si="87"/>
        <v/>
      </c>
      <c r="AL228" s="51" t="str">
        <f t="shared" ca="1" si="88"/>
        <v/>
      </c>
      <c r="AM228" s="51" t="str">
        <f t="shared" ca="1" si="89"/>
        <v/>
      </c>
      <c r="AN228" s="51" t="str">
        <f t="shared" ca="1" si="90"/>
        <v/>
      </c>
      <c r="AO228" s="51" t="str">
        <f t="shared" ca="1" si="91"/>
        <v/>
      </c>
      <c r="AP228" s="51" t="str">
        <f t="shared" ca="1" si="92"/>
        <v/>
      </c>
      <c r="AU228" s="51" t="str">
        <f t="shared" ca="1" si="93"/>
        <v/>
      </c>
    </row>
    <row r="229" spans="1:47">
      <c r="A229" s="176" t="str">
        <f ca="1">IF(C229&lt;&gt;"",A228+1,"")</f>
        <v/>
      </c>
      <c r="B229" s="196"/>
      <c r="C229" s="197" t="str">
        <f t="array" aca="1" ref="C229" ca="1">IF(OR(INDIRECT("まとめ札!H"&amp;B227&amp;"")="",INDIRECT("まとめ札!H"&amp;B227&amp;"")=0),"",INDIRECT("まとめ札!A"&amp;B227&amp;"")&amp;"【3】")</f>
        <v/>
      </c>
      <c r="D229" s="197"/>
      <c r="E229" s="197"/>
      <c r="F229" s="198" t="str">
        <f ca="1">IF(C229&lt;&gt;"",
IF(IF(COUNTIF(C229,"*キャラ*"),
VLOOKUP("*キャラ*",商品マスタ一覧!$D:$E,2,FALSE),
VLOOKUP("*赤*",商品マスタ一覧!$D:$E,2,FALSE))=0,"",
IF(H229&lt;&gt;"",
IF(ROUND(
H229/IF(COUNTIF(C229,"*キャラ*"),
VLOOKUP("*キャラ*",商品マスタ一覧!$D:$E,2,FALSE),
VLOOKUP("*赤*",商品マスタ一覧!$D:$E,2,FALSE)),0)&lt;=0,1,
ROUND(
H229/IF(COUNTIF(C229,"*キャラ*"),
VLOOKUP("*キャラ*",商品マスタ一覧!$D:$E,2,FALSE),
VLOOKUP("*赤*",商品マスタ一覧!$D:$E,2,FALSE)),0)),"")),"")</f>
        <v/>
      </c>
      <c r="G229" s="199" t="str">
        <f ca="1">IF(F229&lt;&gt;"",IF(VALUE(H229)&gt;VALUE(IF(COUNTIF(C229,"*キャラ*"),
VLOOKUP("*キャラ*",商品マスタ一覧!$D:$E,2,FALSE),
VLOOKUP("*赤*",商品マスタ一覧!$D:$E,2,FALSE))*F229),
"+"&amp;H229-IF(COUNTIF(C229,"*キャラ*"),
VLOOKUP("*キャラ*",商品マスタ一覧!$D:$E,2,FALSE),
VLOOKUP("*赤*",商品マスタ一覧!$D:$E,2,FALSE))*F229,
H229-IF(COUNTIF(C229,"*キャラ*"),
VLOOKUP("*キャラ*",商品マスタ一覧!$D:$E,2,FALSE),
VLOOKUP("*赤*",商品マスタ一覧!$D:$E,2,FALSE))*F229),"")</f>
        <v/>
      </c>
      <c r="H229" s="196" t="str">
        <f t="array" aca="1" ref="H229" ca="1">IF(OR(INDIRECT("まとめ札!H"&amp;B227&amp;"")="",INDIRECT("まとめ札!H"&amp;B227&amp;"")=0),"",INDIRECT("まとめ札!H"&amp;B227&amp;""))</f>
        <v/>
      </c>
      <c r="I229" s="196"/>
      <c r="J229" s="196" t="str">
        <f ca="1">IF(C229&lt;&gt;"",
IF(OR(COUNTIF(C229,"*キャラ*"),COUNTIF(C229,"*赤*")),24,
VLOOKUP(C229,#REF!,6,FALSE)),"")</f>
        <v/>
      </c>
      <c r="M229" s="196"/>
      <c r="P229" s="196" t="str">
        <f t="shared" ca="1" si="96"/>
        <v/>
      </c>
      <c r="Q229" s="196" t="str">
        <f t="shared" ca="1" si="97"/>
        <v/>
      </c>
      <c r="R229" s="51" t="str">
        <f t="array" aca="1" ref="R229" ca="1">IFERROR(SMALL(IF(P$1:P$307&lt;&gt;0,P$1:P$307),ROW(A229)),"")</f>
        <v/>
      </c>
      <c r="S229" s="51" t="str">
        <f t="array" aca="1" ref="S229" ca="1">IF($R229&lt;&gt;"",
SUBSTITUTE(SUBSTITUTE(INDIRECT("C"&amp;$R229&amp;"")," 週3ｺｰｽ","")," 週5ｺｰｽ",""),"")</f>
        <v/>
      </c>
      <c r="T229" s="51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91" t="str">
        <f t="array" aca="1" ref="U229" ca="1">IF($R229&lt;&gt;"",
INDIRECT("F"&amp;$R229&amp;""),"")</f>
        <v/>
      </c>
      <c r="V229" s="51" t="str">
        <f t="array" aca="1" ref="V229" ca="1">IF($R229&lt;&gt;"",
INDIRECT("G"&amp;$R229&amp;""),"")</f>
        <v/>
      </c>
      <c r="W229" s="51" t="str">
        <f t="array" aca="1" ref="W229" ca="1">IF($R229&lt;&gt;"",
IF(AND(COUNTIF(INDIRECT("B"&amp;R229&amp;""),"*雙葉*"),COUNTIF(B:B,"*雙葉*")&gt;=2),
IF(OR(COUNTIF(INDIRECT("B"&amp;R229&amp;""),"*雙葉先生*"),COUNTIF($B$1:$B$70,"*雙葉*")&gt;=2),INDIRECT("H"&amp;R229&amp;""),INDIRECT("H"&amp;R229&amp;"")+INDIRECT("H"&amp;MATCH("雙葉'",INDIRECT("B"&amp;R229+3&amp;":B210"),0)+2+R229&amp;"")),
IF(AND(LEFT(INDIRECT("B"&amp;R229&amp;""),2)="博多",COUNTIF(B:B,"*博多*")&gt;=2),
INDIRECT("H"&amp;R229&amp;"")+INDIRECT("H"&amp;MATCH("*"&amp;INDIRECT("B"&amp;R229&amp;"")&amp;"*",INDIRECT("B"&amp;R229+1&amp;":B210"),0)+R229&amp;""),
IF(AND(LEFT(INDIRECT("B"&amp;R229&amp;""),3)="奈良屋",COUNTIF(B:B,"*奈良屋*")&gt;=2),
INDIRECT("H"&amp;R229&amp;"")+INDIRECT("H"&amp;MATCH("*"&amp;INDIRECT("B"&amp;R229&amp;"")&amp;"*",INDIRECT("B"&amp;R229+1&amp;":B210"),0)+R229&amp;"")
+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INDIRECT("H"&amp;R229&amp;"")))),"")</f>
        <v/>
      </c>
      <c r="X229" s="51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51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51" t="str">
        <f t="shared" ca="1" si="77"/>
        <v/>
      </c>
      <c r="AA229" s="51" t="str">
        <f t="shared" ca="1" si="78"/>
        <v/>
      </c>
      <c r="AB229" s="51" t="str">
        <f t="array" aca="1" ref="AB229" ca="1">IF($R229&lt;&gt;"",
IF(AND(COUNTIF(INDIRECT("B"&amp;R229&amp;""),"*雙葉*"),COUNTIF(B:B,"*雙葉*")&gt;=2),
INDIRECT("M"&amp;R229&amp;"")+INDIRECT("M"&amp;MATCH("雙葉'",INDIRECT("B"&amp;R229+1&amp;":B210"),0)+R229&amp;""),
IF(AND(LEFT(INDIRECT("B"&amp;R229&amp;""),2)="博多",COUNTIF(B:B,"*博多*")&gt;=2),
INDIRECT("M"&amp;R229&amp;"")+INDIRECT("M"&amp;MATCH("*"&amp;INDIRECT("B"&amp;R229&amp;"")&amp;"*",INDIRECT("B"&amp;R229+1&amp;":B210"),0)+R229&amp;""),
IF(AND(LEFT(INDIRECT("B"&amp;R229&amp;""),3)="奈良屋",COUNTIF(B:B,"*奈良屋*")&gt;=2),
INDIRECT("M"&amp;R229&amp;"")+INDIRECT("M"&amp;MATCH("*"&amp;INDIRECT("B"&amp;R229&amp;"")&amp;"*",INDIRECT("B"&amp;R229+1&amp;":B210"),0)+R229&amp;"")
+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INDIRECT("M"&amp;R229&amp;"")))),"")</f>
        <v/>
      </c>
      <c r="AC229" s="51" t="str">
        <f t="shared" ca="1" si="79"/>
        <v/>
      </c>
      <c r="AD229" s="51" t="str">
        <f t="shared" ca="1" si="80"/>
        <v/>
      </c>
      <c r="AE229" s="51" t="str">
        <f t="shared" ca="1" si="81"/>
        <v/>
      </c>
      <c r="AF229" s="51" t="str">
        <f t="shared" ca="1" si="82"/>
        <v/>
      </c>
      <c r="AG229" s="51" t="str">
        <f t="shared" ca="1" si="83"/>
        <v/>
      </c>
      <c r="AH229" s="191" t="str">
        <f t="shared" ca="1" si="84"/>
        <v/>
      </c>
      <c r="AI229" s="51" t="str">
        <f t="shared" ca="1" si="85"/>
        <v/>
      </c>
      <c r="AJ229" s="51" t="str">
        <f t="shared" ca="1" si="86"/>
        <v/>
      </c>
      <c r="AK229" s="51" t="str">
        <f t="shared" ca="1" si="87"/>
        <v/>
      </c>
      <c r="AL229" s="51" t="str">
        <f t="shared" ca="1" si="88"/>
        <v/>
      </c>
      <c r="AM229" s="51" t="str">
        <f t="shared" ca="1" si="89"/>
        <v/>
      </c>
      <c r="AN229" s="51" t="str">
        <f t="shared" ca="1" si="90"/>
        <v/>
      </c>
      <c r="AO229" s="51" t="str">
        <f t="shared" ca="1" si="91"/>
        <v/>
      </c>
      <c r="AP229" s="51" t="str">
        <f t="shared" ca="1" si="92"/>
        <v/>
      </c>
      <c r="AU229" s="51" t="str">
        <f t="shared" ca="1" si="93"/>
        <v/>
      </c>
    </row>
    <row r="230" spans="1:47">
      <c r="A230" s="176" t="str">
        <f ca="1">IF(C230&lt;&gt;"",A229+1,"")</f>
        <v/>
      </c>
      <c r="B230" s="196"/>
      <c r="C230" s="197" t="str">
        <f t="array" aca="1" ref="C230" ca="1">IF(OR(INDIRECT("まとめ札!I"&amp;B227&amp;"")="",INDIRECT("まとめ札!I"&amp;B227&amp;"")=0),"",INDIRECT("まとめ札!A"&amp;B227&amp;"")&amp;"【4】")</f>
        <v/>
      </c>
      <c r="D230" s="197"/>
      <c r="E230" s="197"/>
      <c r="F230" s="198" t="str">
        <f ca="1">IF(C230&lt;&gt;"",
IF(IF(COUNTIF(C230,"*キャラ*"),
VLOOKUP("*キャラ*",商品マスタ一覧!$D:$E,2,FALSE),
VLOOKUP("*赤*",商品マスタ一覧!$D:$E,2,FALSE))=0,"",
IF(H230&lt;&gt;"",
IF(ROUND(
H230/IF(COUNTIF(C230,"*キャラ*"),
VLOOKUP("*キャラ*",商品マスタ一覧!$D:$E,2,FALSE),
VLOOKUP("*赤*",商品マスタ一覧!$D:$E,2,FALSE)),0)&lt;=0,1,
ROUND(
H230/IF(COUNTIF(C230,"*キャラ*"),
VLOOKUP("*キャラ*",商品マスタ一覧!$D:$E,2,FALSE),
VLOOKUP("*赤*",商品マスタ一覧!$D:$E,2,FALSE)),0)),"")),"")</f>
        <v/>
      </c>
      <c r="G230" s="199" t="str">
        <f ca="1">IF(F230&lt;&gt;"",IF(VALUE(H230)&gt;VALUE(IF(COUNTIF(C230,"*キャラ*"),
VLOOKUP("*キャラ*",商品マスタ一覧!$D:$E,2,FALSE),
VLOOKUP("*赤*",商品マスタ一覧!$D:$E,2,FALSE))*F230),
"+"&amp;H230-IF(COUNTIF(C230,"*キャラ*"),
VLOOKUP("*キャラ*",商品マスタ一覧!$D:$E,2,FALSE),
VLOOKUP("*赤*",商品マスタ一覧!$D:$E,2,FALSE))*F230,
H230-IF(COUNTIF(C230,"*キャラ*"),
VLOOKUP("*キャラ*",商品マスタ一覧!$D:$E,2,FALSE),
VLOOKUP("*赤*",商品マスタ一覧!$D:$E,2,FALSE))*F230),"")</f>
        <v/>
      </c>
      <c r="H230" s="196" t="str">
        <f t="array" aca="1" ref="H230" ca="1">IF(OR(INDIRECT("まとめ札!I"&amp;B227&amp;"")="",INDIRECT("まとめ札!I"&amp;B227&amp;"")=0),"",INDIRECT("まとめ札!I"&amp;B227&amp;""))</f>
        <v/>
      </c>
      <c r="I230" s="196"/>
      <c r="J230" s="196" t="str">
        <f ca="1">IF(C230&lt;&gt;"",
IF(OR(COUNTIF(C230,"*キャラ*"),COUNTIF(C230,"*赤*")),24,
VLOOKUP(C230,#REF!,6,FALSE)),"")</f>
        <v/>
      </c>
      <c r="M230" s="196"/>
      <c r="P230" s="196" t="str">
        <f t="shared" ca="1" si="96"/>
        <v/>
      </c>
      <c r="Q230" s="196" t="str">
        <f t="shared" ca="1" si="97"/>
        <v/>
      </c>
      <c r="R230" s="51" t="str">
        <f t="array" aca="1" ref="R230" ca="1">IFERROR(SMALL(IF(P$1:P$307&lt;&gt;0,P$1:P$307),ROW(A230)),"")</f>
        <v/>
      </c>
      <c r="S230" s="51" t="str">
        <f t="array" aca="1" ref="S230" ca="1">IF($R230&lt;&gt;"",
SUBSTITUTE(SUBSTITUTE(INDIRECT("C"&amp;$R230&amp;"")," 週3ｺｰｽ","")," 週5ｺｰｽ",""),"")</f>
        <v/>
      </c>
      <c r="T230" s="51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91" t="str">
        <f t="array" aca="1" ref="U230" ca="1">IF($R230&lt;&gt;"",
INDIRECT("F"&amp;$R230&amp;""),"")</f>
        <v/>
      </c>
      <c r="V230" s="51" t="str">
        <f t="array" aca="1" ref="V230" ca="1">IF($R230&lt;&gt;"",
INDIRECT("G"&amp;$R230&amp;""),"")</f>
        <v/>
      </c>
      <c r="W230" s="51" t="str">
        <f t="array" aca="1" ref="W230" ca="1">IF($R230&lt;&gt;"",
IF(AND(COUNTIF(INDIRECT("B"&amp;R230&amp;""),"*雙葉*"),COUNTIF(B:B,"*雙葉*")&gt;=2),
IF(OR(COUNTIF(INDIRECT("B"&amp;R230&amp;""),"*雙葉先生*"),COUNTIF($B$1:$B$70,"*雙葉*")&gt;=2),INDIRECT("H"&amp;R230&amp;""),INDIRECT("H"&amp;R230&amp;"")+INDIRECT("H"&amp;MATCH("雙葉'",INDIRECT("B"&amp;R230+3&amp;":B210"),0)+2+R230&amp;"")),
IF(AND(LEFT(INDIRECT("B"&amp;R230&amp;""),2)="博多",COUNTIF(B:B,"*博多*")&gt;=2),
INDIRECT("H"&amp;R230&amp;"")+INDIRECT("H"&amp;MATCH("*"&amp;INDIRECT("B"&amp;R230&amp;"")&amp;"*",INDIRECT("B"&amp;R230+1&amp;":B210"),0)+R230&amp;""),
IF(AND(LEFT(INDIRECT("B"&amp;R230&amp;""),3)="奈良屋",COUNTIF(B:B,"*奈良屋*")&gt;=2),
INDIRECT("H"&amp;R230&amp;"")+INDIRECT("H"&amp;MATCH("*"&amp;INDIRECT("B"&amp;R230&amp;"")&amp;"*",INDIRECT("B"&amp;R230+1&amp;":B210"),0)+R230&amp;"")
+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INDIRECT("H"&amp;R230&amp;"")))),"")</f>
        <v/>
      </c>
      <c r="X230" s="51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51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51" t="str">
        <f t="shared" ca="1" si="77"/>
        <v/>
      </c>
      <c r="AA230" s="51" t="str">
        <f t="shared" ca="1" si="78"/>
        <v/>
      </c>
      <c r="AB230" s="51" t="str">
        <f t="array" aca="1" ref="AB230" ca="1">IF($R230&lt;&gt;"",
IF(AND(COUNTIF(INDIRECT("B"&amp;R230&amp;""),"*雙葉*"),COUNTIF(B:B,"*雙葉*")&gt;=2),
INDIRECT("M"&amp;R230&amp;"")+INDIRECT("M"&amp;MATCH("雙葉'",INDIRECT("B"&amp;R230+1&amp;":B210"),0)+R230&amp;""),
IF(AND(LEFT(INDIRECT("B"&amp;R230&amp;""),2)="博多",COUNTIF(B:B,"*博多*")&gt;=2),
INDIRECT("M"&amp;R230&amp;"")+INDIRECT("M"&amp;MATCH("*"&amp;INDIRECT("B"&amp;R230&amp;"")&amp;"*",INDIRECT("B"&amp;R230+1&amp;":B210"),0)+R230&amp;""),
IF(AND(LEFT(INDIRECT("B"&amp;R230&amp;""),3)="奈良屋",COUNTIF(B:B,"*奈良屋*")&gt;=2),
INDIRECT("M"&amp;R230&amp;"")+INDIRECT("M"&amp;MATCH("*"&amp;INDIRECT("B"&amp;R230&amp;"")&amp;"*",INDIRECT("B"&amp;R230+1&amp;":B210"),0)+R230&amp;"")
+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INDIRECT("M"&amp;R230&amp;"")))),"")</f>
        <v/>
      </c>
      <c r="AC230" s="51" t="str">
        <f t="shared" ca="1" si="79"/>
        <v/>
      </c>
      <c r="AD230" s="51" t="str">
        <f t="shared" ca="1" si="80"/>
        <v/>
      </c>
      <c r="AE230" s="51" t="str">
        <f t="shared" ca="1" si="81"/>
        <v/>
      </c>
      <c r="AF230" s="51" t="str">
        <f t="shared" ca="1" si="82"/>
        <v/>
      </c>
      <c r="AG230" s="51" t="str">
        <f t="shared" ca="1" si="83"/>
        <v/>
      </c>
      <c r="AH230" s="191" t="str">
        <f t="shared" ca="1" si="84"/>
        <v/>
      </c>
      <c r="AI230" s="51" t="str">
        <f t="shared" ca="1" si="85"/>
        <v/>
      </c>
      <c r="AJ230" s="51" t="str">
        <f t="shared" ca="1" si="86"/>
        <v/>
      </c>
      <c r="AK230" s="51" t="str">
        <f t="shared" ca="1" si="87"/>
        <v/>
      </c>
      <c r="AL230" s="51" t="str">
        <f t="shared" ca="1" si="88"/>
        <v/>
      </c>
      <c r="AM230" s="51" t="str">
        <f t="shared" ca="1" si="89"/>
        <v/>
      </c>
      <c r="AN230" s="51" t="str">
        <f t="shared" ca="1" si="90"/>
        <v/>
      </c>
      <c r="AO230" s="51" t="str">
        <f t="shared" ca="1" si="91"/>
        <v/>
      </c>
      <c r="AP230" s="51" t="str">
        <f t="shared" ca="1" si="92"/>
        <v/>
      </c>
      <c r="AU230" s="51" t="str">
        <f t="shared" ca="1" si="93"/>
        <v/>
      </c>
    </row>
    <row r="231" spans="1:47">
      <c r="A231" s="176">
        <f ca="1">IF(C231&lt;&gt;"",MAX($A$227:$A$230)+1,"")</f>
        <v>151</v>
      </c>
      <c r="B231" s="196">
        <v>6</v>
      </c>
      <c r="C231" s="197" t="str">
        <f t="array" aca="1" ref="C231" ca="1">IF(INDIRECT("まとめ札!A"&amp;B231&amp;"")&lt;&gt;0,INDIRECT("まとめ札!A"&amp;B231&amp;"")&amp;"【1】","")</f>
        <v>赤 おにぎり 三角【1】</v>
      </c>
      <c r="D231" s="197"/>
      <c r="E231" s="197"/>
      <c r="F231" s="198" t="str">
        <f ca="1">IF(C231&lt;&gt;"",
IF(IF(COUNTIF(C231,"*キャラ*"),
VLOOKUP("*キャラ*",商品マスタ一覧!$D:$E,2,FALSE),
VLOOKUP("*赤*",商品マスタ一覧!$D:$E,2,FALSE))=0,"",
IF(H231&lt;&gt;"",
IF(ROUND(
H231/IF(COUNTIF(C231,"*キャラ*"),
VLOOKUP("*キャラ*",商品マスタ一覧!$D:$E,2,FALSE),
VLOOKUP("*赤*",商品マスタ一覧!$D:$E,2,FALSE)),0)&lt;=0,1,
ROUND(
H231/IF(COUNTIF(C231,"*キャラ*"),
VLOOKUP("*キャラ*",商品マスタ一覧!$D:$E,2,FALSE),
VLOOKUP("*赤*",商品マスタ一覧!$D:$E,2,FALSE)),0)),"")),"")</f>
        <v/>
      </c>
      <c r="G231" s="199" t="str">
        <f ca="1">IF(F231&lt;&gt;"",IF(VALUE(H231)&gt;VALUE(IF(COUNTIF(C231,"*キャラ*"),
VLOOKUP("*キャラ*",商品マスタ一覧!$D:$E,2,FALSE),
VLOOKUP("*赤*",商品マスタ一覧!$D:$E,2,FALSE))*F231),
"+"&amp;H231-IF(COUNTIF(C231,"*キャラ*"),
VLOOKUP("*キャラ*",商品マスタ一覧!$D:$E,2,FALSE),
VLOOKUP("*赤*",商品マスタ一覧!$D:$E,2,FALSE))*F231,
H231-IF(COUNTIF(C231,"*キャラ*"),
VLOOKUP("*キャラ*",商品マスタ一覧!$D:$E,2,FALSE),
VLOOKUP("*赤*",商品マスタ一覧!$D:$E,2,FALSE))*F231),"")</f>
        <v/>
      </c>
      <c r="H231" s="196" t="str">
        <f t="array" aca="1" ref="H231" ca="1">IF(INDIRECT("まとめ札!F"&amp;B231&amp;"")&lt;&gt;0,INDIRECT("まとめ札!F"&amp;B231&amp;""),"")</f>
        <v/>
      </c>
      <c r="I231" s="196"/>
      <c r="J231" s="196">
        <f ca="1">IF(C231&lt;&gt;"",
IF(OR(COUNTIF(C231,"*キャラ*"),COUNTIF(C231,"*赤*")),24,
VLOOKUP(C231,#REF!,6,FALSE)),"")</f>
        <v>24</v>
      </c>
      <c r="M231" s="196"/>
      <c r="P231" s="196" t="str">
        <f t="shared" ca="1" si="96"/>
        <v/>
      </c>
      <c r="Q231" s="196" t="str">
        <f t="shared" ca="1" si="97"/>
        <v/>
      </c>
      <c r="R231" s="51" t="str">
        <f t="array" aca="1" ref="R231" ca="1">IFERROR(SMALL(IF(P$1:P$307&lt;&gt;0,P$1:P$307),ROW(A231)),"")</f>
        <v/>
      </c>
      <c r="S231" s="51" t="str">
        <f t="array" aca="1" ref="S231" ca="1">IF($R231&lt;&gt;"",
SUBSTITUTE(SUBSTITUTE(INDIRECT("C"&amp;$R231&amp;"")," 週3ｺｰｽ","")," 週5ｺｰｽ",""),"")</f>
        <v/>
      </c>
      <c r="T231" s="51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91" t="str">
        <f t="array" aca="1" ref="U231" ca="1">IF($R231&lt;&gt;"",
INDIRECT("F"&amp;$R231&amp;""),"")</f>
        <v/>
      </c>
      <c r="V231" s="51" t="str">
        <f t="array" aca="1" ref="V231" ca="1">IF($R231&lt;&gt;"",
INDIRECT("G"&amp;$R231&amp;""),"")</f>
        <v/>
      </c>
      <c r="W231" s="51" t="str">
        <f t="array" aca="1" ref="W231" ca="1">IF($R231&lt;&gt;"",
IF(AND(COUNTIF(INDIRECT("B"&amp;R231&amp;""),"*雙葉*"),COUNTIF(B:B,"*雙葉*")&gt;=2),
IF(OR(COUNTIF(INDIRECT("B"&amp;R231&amp;""),"*雙葉先生*"),COUNTIF($B$1:$B$70,"*雙葉*")&gt;=2),INDIRECT("H"&amp;R231&amp;""),INDIRECT("H"&amp;R231&amp;"")+INDIRECT("H"&amp;MATCH("雙葉'",INDIRECT("B"&amp;R231+3&amp;":B210"),0)+2+R231&amp;"")),
IF(AND(LEFT(INDIRECT("B"&amp;R231&amp;""),2)="博多",COUNTIF(B:B,"*博多*")&gt;=2),
INDIRECT("H"&amp;R231&amp;"")+INDIRECT("H"&amp;MATCH("*"&amp;INDIRECT("B"&amp;R231&amp;"")&amp;"*",INDIRECT("B"&amp;R231+1&amp;":B210"),0)+R231&amp;""),
IF(AND(LEFT(INDIRECT("B"&amp;R231&amp;""),3)="奈良屋",COUNTIF(B:B,"*奈良屋*")&gt;=2),
INDIRECT("H"&amp;R231&amp;"")+INDIRECT("H"&amp;MATCH("*"&amp;INDIRECT("B"&amp;R231&amp;"")&amp;"*",INDIRECT("B"&amp;R231+1&amp;":B210"),0)+R231&amp;"")
+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INDIRECT("H"&amp;R231&amp;"")))),"")</f>
        <v/>
      </c>
      <c r="X231" s="51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51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51" t="str">
        <f t="shared" ca="1" si="77"/>
        <v/>
      </c>
      <c r="AA231" s="51" t="str">
        <f t="shared" ca="1" si="78"/>
        <v/>
      </c>
      <c r="AB231" s="51" t="str">
        <f t="array" aca="1" ref="AB231" ca="1">IF($R231&lt;&gt;"",
IF(AND(COUNTIF(INDIRECT("B"&amp;R231&amp;""),"*雙葉*"),COUNTIF(B:B,"*雙葉*")&gt;=2),
INDIRECT("M"&amp;R231&amp;"")+INDIRECT("M"&amp;MATCH("雙葉'",INDIRECT("B"&amp;R231+1&amp;":B210"),0)+R231&amp;""),
IF(AND(LEFT(INDIRECT("B"&amp;R231&amp;""),2)="博多",COUNTIF(B:B,"*博多*")&gt;=2),
INDIRECT("M"&amp;R231&amp;"")+INDIRECT("M"&amp;MATCH("*"&amp;INDIRECT("B"&amp;R231&amp;"")&amp;"*",INDIRECT("B"&amp;R231+1&amp;":B210"),0)+R231&amp;""),
IF(AND(LEFT(INDIRECT("B"&amp;R231&amp;""),3)="奈良屋",COUNTIF(B:B,"*奈良屋*")&gt;=2),
INDIRECT("M"&amp;R231&amp;"")+INDIRECT("M"&amp;MATCH("*"&amp;INDIRECT("B"&amp;R231&amp;"")&amp;"*",INDIRECT("B"&amp;R231+1&amp;":B210"),0)+R231&amp;"")
+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INDIRECT("M"&amp;R231&amp;"")))),"")</f>
        <v/>
      </c>
      <c r="AC231" s="51" t="str">
        <f t="shared" ca="1" si="79"/>
        <v/>
      </c>
      <c r="AD231" s="51" t="str">
        <f t="shared" ca="1" si="80"/>
        <v/>
      </c>
      <c r="AE231" s="51" t="str">
        <f t="shared" ca="1" si="81"/>
        <v/>
      </c>
      <c r="AF231" s="51" t="str">
        <f t="shared" ca="1" si="82"/>
        <v/>
      </c>
      <c r="AG231" s="51" t="str">
        <f t="shared" ca="1" si="83"/>
        <v/>
      </c>
      <c r="AH231" s="191" t="str">
        <f t="shared" ca="1" si="84"/>
        <v/>
      </c>
      <c r="AI231" s="51" t="str">
        <f t="shared" ca="1" si="85"/>
        <v/>
      </c>
      <c r="AJ231" s="51" t="str">
        <f t="shared" ca="1" si="86"/>
        <v/>
      </c>
      <c r="AK231" s="51" t="str">
        <f t="shared" ca="1" si="87"/>
        <v/>
      </c>
      <c r="AL231" s="51" t="str">
        <f t="shared" ca="1" si="88"/>
        <v/>
      </c>
      <c r="AM231" s="51" t="str">
        <f t="shared" ca="1" si="89"/>
        <v/>
      </c>
      <c r="AN231" s="51" t="str">
        <f t="shared" ca="1" si="90"/>
        <v/>
      </c>
      <c r="AO231" s="51" t="str">
        <f t="shared" ca="1" si="91"/>
        <v/>
      </c>
      <c r="AP231" s="51" t="str">
        <f t="shared" ca="1" si="92"/>
        <v/>
      </c>
      <c r="AU231" s="51" t="str">
        <f t="shared" ca="1" si="93"/>
        <v/>
      </c>
    </row>
    <row r="232" spans="1:47">
      <c r="A232" s="176" t="str">
        <f ca="1">IF(C232&lt;&gt;"",A231+1,"")</f>
        <v/>
      </c>
      <c r="B232" s="196"/>
      <c r="C232" s="197" t="str">
        <f t="array" aca="1" ref="C232" ca="1">IF(OR(INDIRECT("まとめ札!G"&amp;B231&amp;"")="",INDIRECT("まとめ札!G"&amp;B231&amp;"")=0),"",INDIRECT("まとめ札!A"&amp;B231&amp;"")&amp;"【2】")</f>
        <v/>
      </c>
      <c r="D232" s="197"/>
      <c r="E232" s="197"/>
      <c r="F232" s="198" t="str">
        <f ca="1">IF(C232&lt;&gt;"",
IF(IF(COUNTIF(C232,"*キャラ*"),
VLOOKUP("*キャラ*",商品マスタ一覧!$D:$E,2,FALSE),
VLOOKUP("*赤*",商品マスタ一覧!$D:$E,2,FALSE))=0,"",
IF(H232&lt;&gt;"",
IF(ROUND(
H232/IF(COUNTIF(C232,"*キャラ*"),
VLOOKUP("*キャラ*",商品マスタ一覧!$D:$E,2,FALSE),
VLOOKUP("*赤*",商品マスタ一覧!$D:$E,2,FALSE)),0)&lt;=0,1,
ROUND(
H232/IF(COUNTIF(C232,"*キャラ*"),
VLOOKUP("*キャラ*",商品マスタ一覧!$D:$E,2,FALSE),
VLOOKUP("*赤*",商品マスタ一覧!$D:$E,2,FALSE)),0)),"")),"")</f>
        <v/>
      </c>
      <c r="G232" s="199" t="str">
        <f ca="1">IF(F232&lt;&gt;"",IF(VALUE(H232)&gt;VALUE(IF(COUNTIF(C232,"*キャラ*"),
VLOOKUP("*キャラ*",商品マスタ一覧!$D:$E,2,FALSE),
VLOOKUP("*赤*",商品マスタ一覧!$D:$E,2,FALSE))*F232),
"+"&amp;H232-IF(COUNTIF(C232,"*キャラ*"),
VLOOKUP("*キャラ*",商品マスタ一覧!$D:$E,2,FALSE),
VLOOKUP("*赤*",商品マスタ一覧!$D:$E,2,FALSE))*F232,
H232-IF(COUNTIF(C232,"*キャラ*"),
VLOOKUP("*キャラ*",商品マスタ一覧!$D:$E,2,FALSE),
VLOOKUP("*赤*",商品マスタ一覧!$D:$E,2,FALSE))*F232),"")</f>
        <v/>
      </c>
      <c r="H232" s="196" t="str">
        <f t="array" aca="1" ref="H232" ca="1">IF(OR(INDIRECT("まとめ札!G"&amp;B231&amp;"")="",INDIRECT("まとめ札!G"&amp;B231&amp;"")=0),"",INDIRECT("まとめ札!G"&amp;B231&amp;""))</f>
        <v/>
      </c>
      <c r="I232" s="196"/>
      <c r="J232" s="196" t="str">
        <f ca="1">IF(C232&lt;&gt;"",
IF(OR(COUNTIF(C232,"*キャラ*"),COUNTIF(C232,"*赤*")),24,
VLOOKUP(C232,#REF!,6,FALSE)),"")</f>
        <v/>
      </c>
      <c r="M232" s="196"/>
      <c r="P232" s="196" t="str">
        <f t="shared" ca="1" si="96"/>
        <v/>
      </c>
      <c r="Q232" s="196" t="str">
        <f t="shared" ca="1" si="97"/>
        <v/>
      </c>
      <c r="R232" s="51" t="str">
        <f t="array" aca="1" ref="R232" ca="1">IFERROR(SMALL(IF(P$1:P$307&lt;&gt;0,P$1:P$307),ROW(A232)),"")</f>
        <v/>
      </c>
      <c r="S232" s="51" t="str">
        <f t="array" aca="1" ref="S232" ca="1">IF($R232&lt;&gt;"",
SUBSTITUTE(SUBSTITUTE(INDIRECT("C"&amp;$R232&amp;"")," 週3ｺｰｽ","")," 週5ｺｰｽ",""),"")</f>
        <v/>
      </c>
      <c r="T232" s="51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91" t="str">
        <f t="array" aca="1" ref="U232" ca="1">IF($R232&lt;&gt;"",
INDIRECT("F"&amp;$R232&amp;""),"")</f>
        <v/>
      </c>
      <c r="V232" s="51" t="str">
        <f t="array" aca="1" ref="V232" ca="1">IF($R232&lt;&gt;"",
INDIRECT("G"&amp;$R232&amp;""),"")</f>
        <v/>
      </c>
      <c r="W232" s="51" t="str">
        <f t="array" aca="1" ref="W232" ca="1">IF($R232&lt;&gt;"",
IF(AND(COUNTIF(INDIRECT("B"&amp;R232&amp;""),"*雙葉*"),COUNTIF(B:B,"*雙葉*")&gt;=2),
IF(OR(COUNTIF(INDIRECT("B"&amp;R232&amp;""),"*雙葉先生*"),COUNTIF($B$1:$B$70,"*雙葉*")&gt;=2),INDIRECT("H"&amp;R232&amp;""),INDIRECT("H"&amp;R232&amp;"")+INDIRECT("H"&amp;MATCH("雙葉'",INDIRECT("B"&amp;R232+3&amp;":B210"),0)+2+R232&amp;"")),
IF(AND(LEFT(INDIRECT("B"&amp;R232&amp;""),2)="博多",COUNTIF(B:B,"*博多*")&gt;=2),
INDIRECT("H"&amp;R232&amp;"")+INDIRECT("H"&amp;MATCH("*"&amp;INDIRECT("B"&amp;R232&amp;"")&amp;"*",INDIRECT("B"&amp;R232+1&amp;":B210"),0)+R232&amp;""),
IF(AND(LEFT(INDIRECT("B"&amp;R232&amp;""),3)="奈良屋",COUNTIF(B:B,"*奈良屋*")&gt;=2),
INDIRECT("H"&amp;R232&amp;"")+INDIRECT("H"&amp;MATCH("*"&amp;INDIRECT("B"&amp;R232&amp;"")&amp;"*",INDIRECT("B"&amp;R232+1&amp;":B210"),0)+R232&amp;"")
+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INDIRECT("H"&amp;R232&amp;"")))),"")</f>
        <v/>
      </c>
      <c r="X232" s="51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51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51" t="str">
        <f t="shared" ca="1" si="77"/>
        <v/>
      </c>
      <c r="AA232" s="51" t="str">
        <f t="shared" ca="1" si="78"/>
        <v/>
      </c>
      <c r="AB232" s="51" t="str">
        <f t="array" aca="1" ref="AB232" ca="1">IF($R232&lt;&gt;"",
IF(AND(COUNTIF(INDIRECT("B"&amp;R232&amp;""),"*雙葉*"),COUNTIF(B:B,"*雙葉*")&gt;=2),
INDIRECT("M"&amp;R232&amp;"")+INDIRECT("M"&amp;MATCH("雙葉'",INDIRECT("B"&amp;R232+1&amp;":B210"),0)+R232&amp;""),
IF(AND(LEFT(INDIRECT("B"&amp;R232&amp;""),2)="博多",COUNTIF(B:B,"*博多*")&gt;=2),
INDIRECT("M"&amp;R232&amp;"")+INDIRECT("M"&amp;MATCH("*"&amp;INDIRECT("B"&amp;R232&amp;"")&amp;"*",INDIRECT("B"&amp;R232+1&amp;":B210"),0)+R232&amp;""),
IF(AND(LEFT(INDIRECT("B"&amp;R232&amp;""),3)="奈良屋",COUNTIF(B:B,"*奈良屋*")&gt;=2),
INDIRECT("M"&amp;R232&amp;"")+INDIRECT("M"&amp;MATCH("*"&amp;INDIRECT("B"&amp;R232&amp;"")&amp;"*",INDIRECT("B"&amp;R232+1&amp;":B210"),0)+R232&amp;"")
+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INDIRECT("M"&amp;R232&amp;"")))),"")</f>
        <v/>
      </c>
      <c r="AC232" s="51" t="str">
        <f t="shared" ca="1" si="79"/>
        <v/>
      </c>
      <c r="AD232" s="51" t="str">
        <f t="shared" ca="1" si="80"/>
        <v/>
      </c>
      <c r="AE232" s="51" t="str">
        <f t="shared" ca="1" si="81"/>
        <v/>
      </c>
      <c r="AF232" s="51" t="str">
        <f t="shared" ca="1" si="82"/>
        <v/>
      </c>
      <c r="AG232" s="51" t="str">
        <f t="shared" ca="1" si="83"/>
        <v/>
      </c>
      <c r="AH232" s="191" t="str">
        <f t="shared" ca="1" si="84"/>
        <v/>
      </c>
      <c r="AI232" s="51" t="str">
        <f t="shared" ca="1" si="85"/>
        <v/>
      </c>
      <c r="AJ232" s="51" t="str">
        <f t="shared" ca="1" si="86"/>
        <v/>
      </c>
      <c r="AK232" s="51" t="str">
        <f t="shared" ca="1" si="87"/>
        <v/>
      </c>
      <c r="AL232" s="51" t="str">
        <f t="shared" ca="1" si="88"/>
        <v/>
      </c>
      <c r="AM232" s="51" t="str">
        <f t="shared" ca="1" si="89"/>
        <v/>
      </c>
      <c r="AN232" s="51" t="str">
        <f t="shared" ca="1" si="90"/>
        <v/>
      </c>
      <c r="AO232" s="51" t="str">
        <f t="shared" ca="1" si="91"/>
        <v/>
      </c>
      <c r="AP232" s="51" t="str">
        <f t="shared" ca="1" si="92"/>
        <v/>
      </c>
      <c r="AU232" s="51" t="str">
        <f t="shared" ca="1" si="93"/>
        <v/>
      </c>
    </row>
    <row r="233" spans="1:47">
      <c r="A233" s="176" t="str">
        <f ca="1">IF(C233&lt;&gt;"",A232+1,"")</f>
        <v/>
      </c>
      <c r="B233" s="196"/>
      <c r="C233" s="197" t="str">
        <f t="array" aca="1" ref="C233" ca="1">IF(OR(INDIRECT("まとめ札!H"&amp;B231&amp;"")="",INDIRECT("まとめ札!H"&amp;B231&amp;"")=0),"",INDIRECT("まとめ札!A"&amp;B231&amp;"")&amp;"【3】")</f>
        <v/>
      </c>
      <c r="D233" s="197"/>
      <c r="E233" s="197"/>
      <c r="F233" s="198" t="str">
        <f ca="1">IF(C233&lt;&gt;"",
IF(IF(COUNTIF(C233,"*キャラ*"),
VLOOKUP("*キャラ*",商品マスタ一覧!$D:$E,2,FALSE),
VLOOKUP("*赤*",商品マスタ一覧!$D:$E,2,FALSE))=0,"",
IF(H233&lt;&gt;"",
IF(ROUND(
H233/IF(COUNTIF(C233,"*キャラ*"),
VLOOKUP("*キャラ*",商品マスタ一覧!$D:$E,2,FALSE),
VLOOKUP("*赤*",商品マスタ一覧!$D:$E,2,FALSE)),0)&lt;=0,1,
ROUND(
H233/IF(COUNTIF(C233,"*キャラ*"),
VLOOKUP("*キャラ*",商品マスタ一覧!$D:$E,2,FALSE),
VLOOKUP("*赤*",商品マスタ一覧!$D:$E,2,FALSE)),0)),"")),"")</f>
        <v/>
      </c>
      <c r="G233" s="199" t="str">
        <f ca="1">IF(F233&lt;&gt;"",IF(VALUE(H233)&gt;VALUE(IF(COUNTIF(C233,"*キャラ*"),
VLOOKUP("*キャラ*",商品マスタ一覧!$D:$E,2,FALSE),
VLOOKUP("*赤*",商品マスタ一覧!$D:$E,2,FALSE))*F233),
"+"&amp;H233-IF(COUNTIF(C233,"*キャラ*"),
VLOOKUP("*キャラ*",商品マスタ一覧!$D:$E,2,FALSE),
VLOOKUP("*赤*",商品マスタ一覧!$D:$E,2,FALSE))*F233,
H233-IF(COUNTIF(C233,"*キャラ*"),
VLOOKUP("*キャラ*",商品マスタ一覧!$D:$E,2,FALSE),
VLOOKUP("*赤*",商品マスタ一覧!$D:$E,2,FALSE))*F233),"")</f>
        <v/>
      </c>
      <c r="H233" s="196" t="str">
        <f t="array" aca="1" ref="H233" ca="1">IF(OR(INDIRECT("まとめ札!H"&amp;B231&amp;"")="",INDIRECT("まとめ札!H"&amp;B231&amp;"")=0),"",INDIRECT("まとめ札!H"&amp;B231&amp;""))</f>
        <v/>
      </c>
      <c r="I233" s="196"/>
      <c r="J233" s="196" t="str">
        <f ca="1">IF(C233&lt;&gt;"",
IF(OR(COUNTIF(C233,"*キャラ*"),COUNTIF(C233,"*赤*")),24,
VLOOKUP(C233,#REF!,6,FALSE)),"")</f>
        <v/>
      </c>
      <c r="M233" s="196"/>
      <c r="P233" s="196" t="str">
        <f t="shared" ca="1" si="96"/>
        <v/>
      </c>
      <c r="Q233" s="196" t="str">
        <f t="shared" ca="1" si="97"/>
        <v/>
      </c>
      <c r="R233" s="51" t="str">
        <f t="array" aca="1" ref="R233" ca="1">IFERROR(SMALL(IF(P$1:P$307&lt;&gt;0,P$1:P$307),ROW(A233)),"")</f>
        <v/>
      </c>
      <c r="S233" s="51" t="str">
        <f t="array" aca="1" ref="S233" ca="1">IF($R233&lt;&gt;"",
SUBSTITUTE(SUBSTITUTE(INDIRECT("C"&amp;$R233&amp;"")," 週3ｺｰｽ","")," 週5ｺｰｽ",""),"")</f>
        <v/>
      </c>
      <c r="T233" s="51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91" t="str">
        <f t="array" aca="1" ref="U233" ca="1">IF($R233&lt;&gt;"",
INDIRECT("F"&amp;$R233&amp;""),"")</f>
        <v/>
      </c>
      <c r="V233" s="51" t="str">
        <f t="array" aca="1" ref="V233" ca="1">IF($R233&lt;&gt;"",
INDIRECT("G"&amp;$R233&amp;""),"")</f>
        <v/>
      </c>
      <c r="W233" s="51" t="str">
        <f t="array" aca="1" ref="W233" ca="1">IF($R233&lt;&gt;"",
IF(AND(COUNTIF(INDIRECT("B"&amp;R233&amp;""),"*雙葉*"),COUNTIF(B:B,"*雙葉*")&gt;=2),
IF(OR(COUNTIF(INDIRECT("B"&amp;R233&amp;""),"*雙葉先生*"),COUNTIF($B$1:$B$70,"*雙葉*")&gt;=2),INDIRECT("H"&amp;R233&amp;""),INDIRECT("H"&amp;R233&amp;"")+INDIRECT("H"&amp;MATCH("雙葉'",INDIRECT("B"&amp;R233+3&amp;":B210"),0)+2+R233&amp;"")),
IF(AND(LEFT(INDIRECT("B"&amp;R233&amp;""),2)="博多",COUNTIF(B:B,"*博多*")&gt;=2),
INDIRECT("H"&amp;R233&amp;"")+INDIRECT("H"&amp;MATCH("*"&amp;INDIRECT("B"&amp;R233&amp;"")&amp;"*",INDIRECT("B"&amp;R233+1&amp;":B210"),0)+R233&amp;""),
IF(AND(LEFT(INDIRECT("B"&amp;R233&amp;""),3)="奈良屋",COUNTIF(B:B,"*奈良屋*")&gt;=2),
INDIRECT("H"&amp;R233&amp;"")+INDIRECT("H"&amp;MATCH("*"&amp;INDIRECT("B"&amp;R233&amp;"")&amp;"*",INDIRECT("B"&amp;R233+1&amp;":B210"),0)+R233&amp;"")
+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INDIRECT("H"&amp;R233&amp;"")))),"")</f>
        <v/>
      </c>
      <c r="X233" s="51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51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51" t="str">
        <f t="shared" ca="1" si="77"/>
        <v/>
      </c>
      <c r="AA233" s="51" t="str">
        <f t="shared" ca="1" si="78"/>
        <v/>
      </c>
      <c r="AB233" s="51" t="str">
        <f t="array" aca="1" ref="AB233" ca="1">IF($R233&lt;&gt;"",
IF(AND(COUNTIF(INDIRECT("B"&amp;R233&amp;""),"*雙葉*"),COUNTIF(B:B,"*雙葉*")&gt;=2),
INDIRECT("M"&amp;R233&amp;"")+INDIRECT("M"&amp;MATCH("雙葉'",INDIRECT("B"&amp;R233+1&amp;":B210"),0)+R233&amp;""),
IF(AND(LEFT(INDIRECT("B"&amp;R233&amp;""),2)="博多",COUNTIF(B:B,"*博多*")&gt;=2),
INDIRECT("M"&amp;R233&amp;"")+INDIRECT("M"&amp;MATCH("*"&amp;INDIRECT("B"&amp;R233&amp;"")&amp;"*",INDIRECT("B"&amp;R233+1&amp;":B210"),0)+R233&amp;""),
IF(AND(LEFT(INDIRECT("B"&amp;R233&amp;""),3)="奈良屋",COUNTIF(B:B,"*奈良屋*")&gt;=2),
INDIRECT("M"&amp;R233&amp;"")+INDIRECT("M"&amp;MATCH("*"&amp;INDIRECT("B"&amp;R233&amp;"")&amp;"*",INDIRECT("B"&amp;R233+1&amp;":B210"),0)+R233&amp;"")
+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INDIRECT("M"&amp;R233&amp;"")))),"")</f>
        <v/>
      </c>
      <c r="AC233" s="51" t="str">
        <f t="shared" ca="1" si="79"/>
        <v/>
      </c>
      <c r="AD233" s="51" t="str">
        <f t="shared" ca="1" si="80"/>
        <v/>
      </c>
      <c r="AE233" s="51" t="str">
        <f t="shared" ca="1" si="81"/>
        <v/>
      </c>
      <c r="AF233" s="51" t="str">
        <f t="shared" ca="1" si="82"/>
        <v/>
      </c>
      <c r="AG233" s="51" t="str">
        <f t="shared" ca="1" si="83"/>
        <v/>
      </c>
      <c r="AH233" s="191" t="str">
        <f t="shared" ca="1" si="84"/>
        <v/>
      </c>
      <c r="AI233" s="51" t="str">
        <f t="shared" ca="1" si="85"/>
        <v/>
      </c>
      <c r="AJ233" s="51" t="str">
        <f t="shared" ca="1" si="86"/>
        <v/>
      </c>
      <c r="AK233" s="51" t="str">
        <f t="shared" ca="1" si="87"/>
        <v/>
      </c>
      <c r="AL233" s="51" t="str">
        <f t="shared" ca="1" si="88"/>
        <v/>
      </c>
      <c r="AM233" s="51" t="str">
        <f t="shared" ca="1" si="89"/>
        <v/>
      </c>
      <c r="AN233" s="51" t="str">
        <f t="shared" ca="1" si="90"/>
        <v/>
      </c>
      <c r="AO233" s="51" t="str">
        <f t="shared" ca="1" si="91"/>
        <v/>
      </c>
      <c r="AP233" s="51" t="str">
        <f t="shared" ca="1" si="92"/>
        <v/>
      </c>
      <c r="AU233" s="51" t="str">
        <f t="shared" ca="1" si="93"/>
        <v/>
      </c>
    </row>
    <row r="234" spans="1:47">
      <c r="A234" s="176" t="str">
        <f ca="1">IF(C234&lt;&gt;"",A233+1,"")</f>
        <v/>
      </c>
      <c r="B234" s="196"/>
      <c r="C234" s="197" t="str">
        <f t="array" aca="1" ref="C234" ca="1">IF(OR(INDIRECT("まとめ札!I"&amp;B231&amp;"")="",INDIRECT("まとめ札!I"&amp;B231&amp;"")=0),"",INDIRECT("まとめ札!A"&amp;B231&amp;"")&amp;"【4】")</f>
        <v/>
      </c>
      <c r="D234" s="197"/>
      <c r="E234" s="197"/>
      <c r="F234" s="198" t="str">
        <f ca="1">IF(C234&lt;&gt;"",
IF(IF(COUNTIF(C234,"*キャラ*"),
VLOOKUP("*キャラ*",商品マスタ一覧!$D:$E,2,FALSE),
VLOOKUP("*赤*",商品マスタ一覧!$D:$E,2,FALSE))=0,"",
IF(H234&lt;&gt;"",
IF(ROUND(
H234/IF(COUNTIF(C234,"*キャラ*"),
VLOOKUP("*キャラ*",商品マスタ一覧!$D:$E,2,FALSE),
VLOOKUP("*赤*",商品マスタ一覧!$D:$E,2,FALSE)),0)&lt;=0,1,
ROUND(
H234/IF(COUNTIF(C234,"*キャラ*"),
VLOOKUP("*キャラ*",商品マスタ一覧!$D:$E,2,FALSE),
VLOOKUP("*赤*",商品マスタ一覧!$D:$E,2,FALSE)),0)),"")),"")</f>
        <v/>
      </c>
      <c r="G234" s="199" t="str">
        <f ca="1">IF(F234&lt;&gt;"",IF(VALUE(H234)&gt;VALUE(IF(COUNTIF(C234,"*キャラ*"),
VLOOKUP("*キャラ*",商品マスタ一覧!$D:$E,2,FALSE),
VLOOKUP("*赤*",商品マスタ一覧!$D:$E,2,FALSE))*F234),
"+"&amp;H234-IF(COUNTIF(C234,"*キャラ*"),
VLOOKUP("*キャラ*",商品マスタ一覧!$D:$E,2,FALSE),
VLOOKUP("*赤*",商品マスタ一覧!$D:$E,2,FALSE))*F234,
H234-IF(COUNTIF(C234,"*キャラ*"),
VLOOKUP("*キャラ*",商品マスタ一覧!$D:$E,2,FALSE),
VLOOKUP("*赤*",商品マスタ一覧!$D:$E,2,FALSE))*F234),"")</f>
        <v/>
      </c>
      <c r="H234" s="196" t="str">
        <f t="array" aca="1" ref="H234" ca="1">IF(OR(INDIRECT("まとめ札!I"&amp;B231&amp;"")="",INDIRECT("まとめ札!I"&amp;B231&amp;"")=0),"",INDIRECT("まとめ札!I"&amp;B231&amp;""))</f>
        <v/>
      </c>
      <c r="I234" s="196"/>
      <c r="J234" s="196" t="str">
        <f ca="1">IF(C234&lt;&gt;"",
IF(OR(COUNTIF(C234,"*キャラ*"),COUNTIF(C234,"*赤*")),24,
VLOOKUP(C234,#REF!,6,FALSE)),"")</f>
        <v/>
      </c>
      <c r="M234" s="196"/>
      <c r="P234" s="196" t="str">
        <f t="shared" ca="1" si="96"/>
        <v/>
      </c>
      <c r="Q234" s="196" t="str">
        <f t="shared" ca="1" si="97"/>
        <v/>
      </c>
      <c r="R234" s="51" t="str">
        <f t="array" aca="1" ref="R234" ca="1">IFERROR(SMALL(IF(P$1:P$307&lt;&gt;0,P$1:P$307),ROW(A234)),"")</f>
        <v/>
      </c>
      <c r="S234" s="51" t="str">
        <f t="array" aca="1" ref="S234" ca="1">IF($R234&lt;&gt;"",
SUBSTITUTE(SUBSTITUTE(INDIRECT("C"&amp;$R234&amp;"")," 週3ｺｰｽ","")," 週5ｺｰｽ",""),"")</f>
        <v/>
      </c>
      <c r="T234" s="51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91" t="str">
        <f t="array" aca="1" ref="U234" ca="1">IF($R234&lt;&gt;"",
INDIRECT("F"&amp;$R234&amp;""),"")</f>
        <v/>
      </c>
      <c r="V234" s="51" t="str">
        <f t="array" aca="1" ref="V234" ca="1">IF($R234&lt;&gt;"",
INDIRECT("G"&amp;$R234&amp;""),"")</f>
        <v/>
      </c>
      <c r="W234" s="51" t="str">
        <f t="array" aca="1" ref="W234" ca="1">IF($R234&lt;&gt;"",
IF(AND(COUNTIF(INDIRECT("B"&amp;R234&amp;""),"*雙葉*"),COUNTIF(B:B,"*雙葉*")&gt;=2),
IF(OR(COUNTIF(INDIRECT("B"&amp;R234&amp;""),"*雙葉先生*"),COUNTIF($B$1:$B$70,"*雙葉*")&gt;=2),INDIRECT("H"&amp;R234&amp;""),INDIRECT("H"&amp;R234&amp;"")+INDIRECT("H"&amp;MATCH("雙葉'",INDIRECT("B"&amp;R234+3&amp;":B210"),0)+2+R234&amp;"")),
IF(AND(LEFT(INDIRECT("B"&amp;R234&amp;""),2)="博多",COUNTIF(B:B,"*博多*")&gt;=2),
INDIRECT("H"&amp;R234&amp;"")+INDIRECT("H"&amp;MATCH("*"&amp;INDIRECT("B"&amp;R234&amp;"")&amp;"*",INDIRECT("B"&amp;R234+1&amp;":B210"),0)+R234&amp;""),
IF(AND(LEFT(INDIRECT("B"&amp;R234&amp;""),3)="奈良屋",COUNTIF(B:B,"*奈良屋*")&gt;=2),
INDIRECT("H"&amp;R234&amp;"")+INDIRECT("H"&amp;MATCH("*"&amp;INDIRECT("B"&amp;R234&amp;"")&amp;"*",INDIRECT("B"&amp;R234+1&amp;":B210"),0)+R234&amp;"")
+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INDIRECT("H"&amp;R234&amp;"")))),"")</f>
        <v/>
      </c>
      <c r="X234" s="51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51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51" t="str">
        <f t="shared" ca="1" si="77"/>
        <v/>
      </c>
      <c r="AA234" s="51" t="str">
        <f t="shared" ca="1" si="78"/>
        <v/>
      </c>
      <c r="AB234" s="51" t="str">
        <f t="array" aca="1" ref="AB234" ca="1">IF($R234&lt;&gt;"",
IF(AND(COUNTIF(INDIRECT("B"&amp;R234&amp;""),"*雙葉*"),COUNTIF(B:B,"*雙葉*")&gt;=2),
INDIRECT("M"&amp;R234&amp;"")+INDIRECT("M"&amp;MATCH("雙葉'",INDIRECT("B"&amp;R234+1&amp;":B210"),0)+R234&amp;""),
IF(AND(LEFT(INDIRECT("B"&amp;R234&amp;""),2)="博多",COUNTIF(B:B,"*博多*")&gt;=2),
INDIRECT("M"&amp;R234&amp;"")+INDIRECT("M"&amp;MATCH("*"&amp;INDIRECT("B"&amp;R234&amp;"")&amp;"*",INDIRECT("B"&amp;R234+1&amp;":B210"),0)+R234&amp;""),
IF(AND(LEFT(INDIRECT("B"&amp;R234&amp;""),3)="奈良屋",COUNTIF(B:B,"*奈良屋*")&gt;=2),
INDIRECT("M"&amp;R234&amp;"")+INDIRECT("M"&amp;MATCH("*"&amp;INDIRECT("B"&amp;R234&amp;"")&amp;"*",INDIRECT("B"&amp;R234+1&amp;":B210"),0)+R234&amp;"")
+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INDIRECT("M"&amp;R234&amp;"")))),"")</f>
        <v/>
      </c>
      <c r="AC234" s="51" t="str">
        <f t="shared" ca="1" si="79"/>
        <v/>
      </c>
      <c r="AD234" s="51" t="str">
        <f t="shared" ca="1" si="80"/>
        <v/>
      </c>
      <c r="AE234" s="51" t="str">
        <f t="shared" ca="1" si="81"/>
        <v/>
      </c>
      <c r="AF234" s="51" t="str">
        <f t="shared" ca="1" si="82"/>
        <v/>
      </c>
      <c r="AG234" s="51" t="str">
        <f t="shared" ca="1" si="83"/>
        <v/>
      </c>
      <c r="AH234" s="191" t="str">
        <f t="shared" ca="1" si="84"/>
        <v/>
      </c>
      <c r="AI234" s="51" t="str">
        <f t="shared" ca="1" si="85"/>
        <v/>
      </c>
      <c r="AJ234" s="51" t="str">
        <f t="shared" ca="1" si="86"/>
        <v/>
      </c>
      <c r="AK234" s="51" t="str">
        <f t="shared" ca="1" si="87"/>
        <v/>
      </c>
      <c r="AL234" s="51" t="str">
        <f t="shared" ca="1" si="88"/>
        <v/>
      </c>
      <c r="AM234" s="51" t="str">
        <f t="shared" ca="1" si="89"/>
        <v/>
      </c>
      <c r="AN234" s="51" t="str">
        <f t="shared" ca="1" si="90"/>
        <v/>
      </c>
      <c r="AO234" s="51" t="str">
        <f t="shared" ca="1" si="91"/>
        <v/>
      </c>
      <c r="AP234" s="51" t="str">
        <f t="shared" ca="1" si="92"/>
        <v/>
      </c>
      <c r="AU234" s="51" t="str">
        <f t="shared" ca="1" si="93"/>
        <v/>
      </c>
    </row>
    <row r="235" spans="1:47">
      <c r="A235" s="176">
        <f ca="1">IF(C235&lt;&gt;"",MAX($A$231:$A$234)+1,"")</f>
        <v>152</v>
      </c>
      <c r="B235" s="196">
        <v>7</v>
      </c>
      <c r="C235" s="197" t="str">
        <f t="array" aca="1" ref="C235" ca="1">IF(INDIRECT("まとめ札!A"&amp;B235&amp;"")&lt;&gt;0,INDIRECT("まとめ札!A"&amp;B235&amp;"")&amp;"【1】","")</f>
        <v>赤 おにぎり 半俵【1】</v>
      </c>
      <c r="D235" s="197"/>
      <c r="E235" s="197"/>
      <c r="F235" s="198" t="str">
        <f ca="1">IF(C235&lt;&gt;"",
IF(IF(COUNTIF(C235,"*キャラ*"),
VLOOKUP("*キャラ*",商品マスタ一覧!$D:$E,2,FALSE),
VLOOKUP("*赤*",商品マスタ一覧!$D:$E,2,FALSE))=0,"",
IF(H235&lt;&gt;"",
IF(ROUND(
H235/IF(COUNTIF(C235,"*キャラ*"),
VLOOKUP("*キャラ*",商品マスタ一覧!$D:$E,2,FALSE),
VLOOKUP("*赤*",商品マスタ一覧!$D:$E,2,FALSE)),0)&lt;=0,1,
ROUND(
H235/IF(COUNTIF(C235,"*キャラ*"),
VLOOKUP("*キャラ*",商品マスタ一覧!$D:$E,2,FALSE),
VLOOKUP("*赤*",商品マスタ一覧!$D:$E,2,FALSE)),0)),"")),"")</f>
        <v/>
      </c>
      <c r="G235" s="199" t="str">
        <f ca="1">IF(F235&lt;&gt;"",IF(VALUE(H235)&gt;VALUE(IF(COUNTIF(C235,"*キャラ*"),
VLOOKUP("*キャラ*",商品マスタ一覧!$D:$E,2,FALSE),
VLOOKUP("*赤*",商品マスタ一覧!$D:$E,2,FALSE))*F235),
"+"&amp;H235-IF(COUNTIF(C235,"*キャラ*"),
VLOOKUP("*キャラ*",商品マスタ一覧!$D:$E,2,FALSE),
VLOOKUP("*赤*",商品マスタ一覧!$D:$E,2,FALSE))*F235,
H235-IF(COUNTIF(C235,"*キャラ*"),
VLOOKUP("*キャラ*",商品マスタ一覧!$D:$E,2,FALSE),
VLOOKUP("*赤*",商品マスタ一覧!$D:$E,2,FALSE))*F235),"")</f>
        <v/>
      </c>
      <c r="H235" s="196" t="str">
        <f t="array" aca="1" ref="H235" ca="1">IF(INDIRECT("まとめ札!F"&amp;B235&amp;"")&lt;&gt;0,INDIRECT("まとめ札!F"&amp;B235&amp;""),"")</f>
        <v/>
      </c>
      <c r="I235" s="196"/>
      <c r="J235" s="196">
        <f ca="1">IF(C235&lt;&gt;"",
IF(OR(COUNTIF(C235,"*キャラ*"),COUNTIF(C235,"*赤*")),24,
VLOOKUP(C235,#REF!,6,FALSE)),"")</f>
        <v>24</v>
      </c>
      <c r="M235" s="196"/>
      <c r="P235" s="196" t="str">
        <f t="shared" ca="1" si="96"/>
        <v/>
      </c>
      <c r="Q235" s="196" t="str">
        <f t="shared" ca="1" si="97"/>
        <v/>
      </c>
      <c r="R235" s="51" t="str">
        <f t="array" aca="1" ref="R235" ca="1">IFERROR(SMALL(IF(P$1:P$307&lt;&gt;0,P$1:P$307),ROW(A235)),"")</f>
        <v/>
      </c>
      <c r="S235" s="51" t="str">
        <f t="array" aca="1" ref="S235" ca="1">IF($R235&lt;&gt;"",
SUBSTITUTE(SUBSTITUTE(INDIRECT("C"&amp;$R235&amp;"")," 週3ｺｰｽ","")," 週5ｺｰｽ",""),"")</f>
        <v/>
      </c>
      <c r="T235" s="51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91" t="str">
        <f t="array" aca="1" ref="U235" ca="1">IF($R235&lt;&gt;"",
INDIRECT("F"&amp;$R235&amp;""),"")</f>
        <v/>
      </c>
      <c r="V235" s="51" t="str">
        <f t="array" aca="1" ref="V235" ca="1">IF($R235&lt;&gt;"",
INDIRECT("G"&amp;$R235&amp;""),"")</f>
        <v/>
      </c>
      <c r="W235" s="51" t="str">
        <f t="array" aca="1" ref="W235" ca="1">IF($R235&lt;&gt;"",
IF(AND(COUNTIF(INDIRECT("B"&amp;R235&amp;""),"*雙葉*"),COUNTIF(B:B,"*雙葉*")&gt;=2),
IF(OR(COUNTIF(INDIRECT("B"&amp;R235&amp;""),"*雙葉先生*"),COUNTIF($B$1:$B$70,"*雙葉*")&gt;=2),INDIRECT("H"&amp;R235&amp;""),INDIRECT("H"&amp;R235&amp;"")+INDIRECT("H"&amp;MATCH("雙葉'",INDIRECT("B"&amp;R235+3&amp;":B210"),0)+2+R235&amp;"")),
IF(AND(LEFT(INDIRECT("B"&amp;R235&amp;""),2)="博多",COUNTIF(B:B,"*博多*")&gt;=2),
INDIRECT("H"&amp;R235&amp;"")+INDIRECT("H"&amp;MATCH("*"&amp;INDIRECT("B"&amp;R235&amp;"")&amp;"*",INDIRECT("B"&amp;R235+1&amp;":B210"),0)+R235&amp;""),
IF(AND(LEFT(INDIRECT("B"&amp;R235&amp;""),3)="奈良屋",COUNTIF(B:B,"*奈良屋*")&gt;=2),
INDIRECT("H"&amp;R235&amp;"")+INDIRECT("H"&amp;MATCH("*"&amp;INDIRECT("B"&amp;R235&amp;"")&amp;"*",INDIRECT("B"&amp;R235+1&amp;":B210"),0)+R235&amp;"")
+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INDIRECT("H"&amp;R235&amp;"")))),"")</f>
        <v/>
      </c>
      <c r="X235" s="51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51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51" t="str">
        <f t="shared" ca="1" si="77"/>
        <v/>
      </c>
      <c r="AA235" s="51" t="str">
        <f t="shared" ca="1" si="78"/>
        <v/>
      </c>
      <c r="AB235" s="51" t="str">
        <f t="array" aca="1" ref="AB235" ca="1">IF($R235&lt;&gt;"",
IF(AND(COUNTIF(INDIRECT("B"&amp;R235&amp;""),"*雙葉*"),COUNTIF(B:B,"*雙葉*")&gt;=2),
INDIRECT("M"&amp;R235&amp;"")+INDIRECT("M"&amp;MATCH("雙葉'",INDIRECT("B"&amp;R235+1&amp;":B210"),0)+R235&amp;""),
IF(AND(LEFT(INDIRECT("B"&amp;R235&amp;""),2)="博多",COUNTIF(B:B,"*博多*")&gt;=2),
INDIRECT("M"&amp;R235&amp;"")+INDIRECT("M"&amp;MATCH("*"&amp;INDIRECT("B"&amp;R235&amp;"")&amp;"*",INDIRECT("B"&amp;R235+1&amp;":B210"),0)+R235&amp;""),
IF(AND(LEFT(INDIRECT("B"&amp;R235&amp;""),3)="奈良屋",COUNTIF(B:B,"*奈良屋*")&gt;=2),
INDIRECT("M"&amp;R235&amp;"")+INDIRECT("M"&amp;MATCH("*"&amp;INDIRECT("B"&amp;R235&amp;"")&amp;"*",INDIRECT("B"&amp;R235+1&amp;":B210"),0)+R235&amp;"")
+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INDIRECT("M"&amp;R235&amp;"")))),"")</f>
        <v/>
      </c>
      <c r="AC235" s="51" t="str">
        <f t="shared" ca="1" si="79"/>
        <v/>
      </c>
      <c r="AD235" s="51" t="str">
        <f t="shared" ca="1" si="80"/>
        <v/>
      </c>
      <c r="AE235" s="51" t="str">
        <f t="shared" ca="1" si="81"/>
        <v/>
      </c>
      <c r="AF235" s="51" t="str">
        <f t="shared" ca="1" si="82"/>
        <v/>
      </c>
      <c r="AG235" s="51" t="str">
        <f t="shared" ca="1" si="83"/>
        <v/>
      </c>
      <c r="AH235" s="191" t="str">
        <f t="shared" ca="1" si="84"/>
        <v/>
      </c>
      <c r="AI235" s="51" t="str">
        <f t="shared" ca="1" si="85"/>
        <v/>
      </c>
      <c r="AJ235" s="51" t="str">
        <f t="shared" ca="1" si="86"/>
        <v/>
      </c>
      <c r="AK235" s="51" t="str">
        <f t="shared" ca="1" si="87"/>
        <v/>
      </c>
      <c r="AL235" s="51" t="str">
        <f t="shared" ca="1" si="88"/>
        <v/>
      </c>
      <c r="AM235" s="51" t="str">
        <f t="shared" ca="1" si="89"/>
        <v/>
      </c>
      <c r="AN235" s="51" t="str">
        <f t="shared" ca="1" si="90"/>
        <v/>
      </c>
      <c r="AO235" s="51" t="str">
        <f t="shared" ca="1" si="91"/>
        <v/>
      </c>
      <c r="AP235" s="51" t="str">
        <f t="shared" ca="1" si="92"/>
        <v/>
      </c>
      <c r="AU235" s="51" t="str">
        <f t="shared" ca="1" si="93"/>
        <v/>
      </c>
    </row>
    <row r="236" spans="1:47">
      <c r="A236" s="176" t="str">
        <f ca="1">IF(C236&lt;&gt;"",A235+1,"")</f>
        <v/>
      </c>
      <c r="B236" s="196"/>
      <c r="C236" s="197" t="str">
        <f t="array" aca="1" ref="C236" ca="1">IF(OR(INDIRECT("まとめ札!G"&amp;B235&amp;"")="",INDIRECT("まとめ札!G"&amp;B235&amp;"")=0),"",INDIRECT("まとめ札!A"&amp;B235&amp;"")&amp;"【2】")</f>
        <v/>
      </c>
      <c r="D236" s="197"/>
      <c r="E236" s="197"/>
      <c r="F236" s="198" t="str">
        <f ca="1">IF(C236&lt;&gt;"",
IF(IF(COUNTIF(C236,"*キャラ*"),
VLOOKUP("*キャラ*",商品マスタ一覧!$D:$E,2,FALSE),
VLOOKUP("*赤*",商品マスタ一覧!$D:$E,2,FALSE))=0,"",
IF(H236&lt;&gt;"",
IF(ROUND(
H236/IF(COUNTIF(C236,"*キャラ*"),
VLOOKUP("*キャラ*",商品マスタ一覧!$D:$E,2,FALSE),
VLOOKUP("*赤*",商品マスタ一覧!$D:$E,2,FALSE)),0)&lt;=0,1,
ROUND(
H236/IF(COUNTIF(C236,"*キャラ*"),
VLOOKUP("*キャラ*",商品マスタ一覧!$D:$E,2,FALSE),
VLOOKUP("*赤*",商品マスタ一覧!$D:$E,2,FALSE)),0)),"")),"")</f>
        <v/>
      </c>
      <c r="G236" s="199" t="str">
        <f ca="1">IF(F236&lt;&gt;"",IF(VALUE(H236)&gt;VALUE(IF(COUNTIF(C236,"*キャラ*"),
VLOOKUP("*キャラ*",商品マスタ一覧!$D:$E,2,FALSE),
VLOOKUP("*赤*",商品マスタ一覧!$D:$E,2,FALSE))*F236),
"+"&amp;H236-IF(COUNTIF(C236,"*キャラ*"),
VLOOKUP("*キャラ*",商品マスタ一覧!$D:$E,2,FALSE),
VLOOKUP("*赤*",商品マスタ一覧!$D:$E,2,FALSE))*F236,
H236-IF(COUNTIF(C236,"*キャラ*"),
VLOOKUP("*キャラ*",商品マスタ一覧!$D:$E,2,FALSE),
VLOOKUP("*赤*",商品マスタ一覧!$D:$E,2,FALSE))*F236),"")</f>
        <v/>
      </c>
      <c r="H236" s="196" t="str">
        <f t="array" aca="1" ref="H236" ca="1">IF(OR(INDIRECT("まとめ札!G"&amp;B235&amp;"")="",INDIRECT("まとめ札!G"&amp;B235&amp;"")=0),"",INDIRECT("まとめ札!G"&amp;B235&amp;""))</f>
        <v/>
      </c>
      <c r="I236" s="196"/>
      <c r="J236" s="196" t="str">
        <f ca="1">IF(C236&lt;&gt;"",
IF(OR(COUNTIF(C236,"*キャラ*"),COUNTIF(C236,"*赤*")),24,
VLOOKUP(C236,#REF!,6,FALSE)),"")</f>
        <v/>
      </c>
      <c r="M236" s="196"/>
      <c r="P236" s="196" t="str">
        <f t="shared" ca="1" si="96"/>
        <v/>
      </c>
      <c r="Q236" s="196" t="str">
        <f t="shared" ca="1" si="97"/>
        <v/>
      </c>
      <c r="R236" s="51" t="str">
        <f t="array" aca="1" ref="R236" ca="1">IFERROR(SMALL(IF(P$1:P$307&lt;&gt;0,P$1:P$307),ROW(A236)),"")</f>
        <v/>
      </c>
      <c r="S236" s="51" t="str">
        <f t="array" aca="1" ref="S236" ca="1">IF($R236&lt;&gt;"",
SUBSTITUTE(SUBSTITUTE(INDIRECT("C"&amp;$R236&amp;"")," 週3ｺｰｽ","")," 週5ｺｰｽ",""),"")</f>
        <v/>
      </c>
      <c r="T236" s="51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91" t="str">
        <f t="array" aca="1" ref="U236" ca="1">IF($R236&lt;&gt;"",
INDIRECT("F"&amp;$R236&amp;""),"")</f>
        <v/>
      </c>
      <c r="V236" s="51" t="str">
        <f t="array" aca="1" ref="V236" ca="1">IF($R236&lt;&gt;"",
INDIRECT("G"&amp;$R236&amp;""),"")</f>
        <v/>
      </c>
      <c r="W236" s="51" t="str">
        <f t="array" aca="1" ref="W236" ca="1">IF($R236&lt;&gt;"",
IF(AND(COUNTIF(INDIRECT("B"&amp;R236&amp;""),"*雙葉*"),COUNTIF(B:B,"*雙葉*")&gt;=2),
IF(OR(COUNTIF(INDIRECT("B"&amp;R236&amp;""),"*雙葉先生*"),COUNTIF($B$1:$B$70,"*雙葉*")&gt;=2),INDIRECT("H"&amp;R236&amp;""),INDIRECT("H"&amp;R236&amp;"")+INDIRECT("H"&amp;MATCH("雙葉'",INDIRECT("B"&amp;R236+3&amp;":B210"),0)+2+R236&amp;"")),
IF(AND(LEFT(INDIRECT("B"&amp;R236&amp;""),2)="博多",COUNTIF(B:B,"*博多*")&gt;=2),
INDIRECT("H"&amp;R236&amp;"")+INDIRECT("H"&amp;MATCH("*"&amp;INDIRECT("B"&amp;R236&amp;"")&amp;"*",INDIRECT("B"&amp;R236+1&amp;":B210"),0)+R236&amp;""),
IF(AND(LEFT(INDIRECT("B"&amp;R236&amp;""),3)="奈良屋",COUNTIF(B:B,"*奈良屋*")&gt;=2),
INDIRECT("H"&amp;R236&amp;"")+INDIRECT("H"&amp;MATCH("*"&amp;INDIRECT("B"&amp;R236&amp;"")&amp;"*",INDIRECT("B"&amp;R236+1&amp;":B210"),0)+R236&amp;"")
+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INDIRECT("H"&amp;R236&amp;"")))),"")</f>
        <v/>
      </c>
      <c r="X236" s="51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51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51" t="str">
        <f t="shared" ca="1" si="77"/>
        <v/>
      </c>
      <c r="AA236" s="51" t="str">
        <f t="shared" ca="1" si="78"/>
        <v/>
      </c>
      <c r="AB236" s="51" t="str">
        <f t="array" aca="1" ref="AB236" ca="1">IF($R236&lt;&gt;"",
IF(AND(COUNTIF(INDIRECT("B"&amp;R236&amp;""),"*雙葉*"),COUNTIF(B:B,"*雙葉*")&gt;=2),
INDIRECT("M"&amp;R236&amp;"")+INDIRECT("M"&amp;MATCH("雙葉'",INDIRECT("B"&amp;R236+1&amp;":B210"),0)+R236&amp;""),
IF(AND(LEFT(INDIRECT("B"&amp;R236&amp;""),2)="博多",COUNTIF(B:B,"*博多*")&gt;=2),
INDIRECT("M"&amp;R236&amp;"")+INDIRECT("M"&amp;MATCH("*"&amp;INDIRECT("B"&amp;R236&amp;"")&amp;"*",INDIRECT("B"&amp;R236+1&amp;":B210"),0)+R236&amp;""),
IF(AND(LEFT(INDIRECT("B"&amp;R236&amp;""),3)="奈良屋",COUNTIF(B:B,"*奈良屋*")&gt;=2),
INDIRECT("M"&amp;R236&amp;"")+INDIRECT("M"&amp;MATCH("*"&amp;INDIRECT("B"&amp;R236&amp;"")&amp;"*",INDIRECT("B"&amp;R236+1&amp;":B210"),0)+R236&amp;"")
+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INDIRECT("M"&amp;R236&amp;"")))),"")</f>
        <v/>
      </c>
      <c r="AC236" s="51" t="str">
        <f t="shared" ca="1" si="79"/>
        <v/>
      </c>
      <c r="AD236" s="51" t="str">
        <f t="shared" ca="1" si="80"/>
        <v/>
      </c>
      <c r="AE236" s="51" t="str">
        <f t="shared" ca="1" si="81"/>
        <v/>
      </c>
      <c r="AF236" s="51" t="str">
        <f t="shared" ca="1" si="82"/>
        <v/>
      </c>
      <c r="AG236" s="51" t="str">
        <f t="shared" ca="1" si="83"/>
        <v/>
      </c>
      <c r="AH236" s="191" t="str">
        <f t="shared" ca="1" si="84"/>
        <v/>
      </c>
      <c r="AI236" s="51" t="str">
        <f t="shared" ca="1" si="85"/>
        <v/>
      </c>
      <c r="AJ236" s="51" t="str">
        <f t="shared" ca="1" si="86"/>
        <v/>
      </c>
      <c r="AK236" s="51" t="str">
        <f t="shared" ca="1" si="87"/>
        <v/>
      </c>
      <c r="AL236" s="51" t="str">
        <f t="shared" ca="1" si="88"/>
        <v/>
      </c>
      <c r="AM236" s="51" t="str">
        <f t="shared" ca="1" si="89"/>
        <v/>
      </c>
      <c r="AN236" s="51" t="str">
        <f t="shared" ca="1" si="90"/>
        <v/>
      </c>
      <c r="AO236" s="51" t="str">
        <f t="shared" ca="1" si="91"/>
        <v/>
      </c>
      <c r="AP236" s="51" t="str">
        <f t="shared" ca="1" si="92"/>
        <v/>
      </c>
      <c r="AU236" s="51" t="str">
        <f t="shared" ca="1" si="93"/>
        <v/>
      </c>
    </row>
    <row r="237" spans="1:47">
      <c r="A237" s="176" t="str">
        <f ca="1">IF(C237&lt;&gt;"",A236+1,"")</f>
        <v/>
      </c>
      <c r="B237" s="196"/>
      <c r="C237" s="197" t="str">
        <f t="array" aca="1" ref="C237" ca="1">IF(OR(INDIRECT("まとめ札!H"&amp;B235&amp;"")="",INDIRECT("まとめ札!H"&amp;B235&amp;"")=0),"",INDIRECT("まとめ札!A"&amp;B235&amp;"")&amp;"【3】")</f>
        <v/>
      </c>
      <c r="D237" s="197"/>
      <c r="E237" s="197"/>
      <c r="F237" s="198" t="str">
        <f ca="1">IF(C237&lt;&gt;"",
IF(IF(COUNTIF(C237,"*キャラ*"),
VLOOKUP("*キャラ*",商品マスタ一覧!$D:$E,2,FALSE),
VLOOKUP("*赤*",商品マスタ一覧!$D:$E,2,FALSE))=0,"",
IF(H237&lt;&gt;"",
IF(ROUND(
H237/IF(COUNTIF(C237,"*キャラ*"),
VLOOKUP("*キャラ*",商品マスタ一覧!$D:$E,2,FALSE),
VLOOKUP("*赤*",商品マスタ一覧!$D:$E,2,FALSE)),0)&lt;=0,1,
ROUND(
H237/IF(COUNTIF(C237,"*キャラ*"),
VLOOKUP("*キャラ*",商品マスタ一覧!$D:$E,2,FALSE),
VLOOKUP("*赤*",商品マスタ一覧!$D:$E,2,FALSE)),0)),"")),"")</f>
        <v/>
      </c>
      <c r="G237" s="199" t="str">
        <f ca="1">IF(F237&lt;&gt;"",IF(VALUE(H237)&gt;VALUE(IF(COUNTIF(C237,"*キャラ*"),
VLOOKUP("*キャラ*",商品マスタ一覧!$D:$E,2,FALSE),
VLOOKUP("*赤*",商品マスタ一覧!$D:$E,2,FALSE))*F237),
"+"&amp;H237-IF(COUNTIF(C237,"*キャラ*"),
VLOOKUP("*キャラ*",商品マスタ一覧!$D:$E,2,FALSE),
VLOOKUP("*赤*",商品マスタ一覧!$D:$E,2,FALSE))*F237,
H237-IF(COUNTIF(C237,"*キャラ*"),
VLOOKUP("*キャラ*",商品マスタ一覧!$D:$E,2,FALSE),
VLOOKUP("*赤*",商品マスタ一覧!$D:$E,2,FALSE))*F237),"")</f>
        <v/>
      </c>
      <c r="H237" s="196" t="str">
        <f t="array" aca="1" ref="H237" ca="1">IF(OR(INDIRECT("まとめ札!H"&amp;B235&amp;"")="",INDIRECT("まとめ札!H"&amp;B235&amp;"")=0),"",INDIRECT("まとめ札!H"&amp;B235&amp;""))</f>
        <v/>
      </c>
      <c r="I237" s="196"/>
      <c r="J237" s="196" t="str">
        <f ca="1">IF(C237&lt;&gt;"",
IF(OR(COUNTIF(C237,"*キャラ*"),COUNTIF(C237,"*赤*")),24,
VLOOKUP(C237,#REF!,6,FALSE)),"")</f>
        <v/>
      </c>
      <c r="M237" s="196"/>
      <c r="P237" s="196" t="str">
        <f t="shared" ca="1" si="96"/>
        <v/>
      </c>
      <c r="Q237" s="196" t="str">
        <f t="shared" ca="1" si="97"/>
        <v/>
      </c>
      <c r="R237" s="51" t="str">
        <f t="array" aca="1" ref="R237" ca="1">IFERROR(SMALL(IF(P$1:P$307&lt;&gt;0,P$1:P$307),ROW(A237)),"")</f>
        <v/>
      </c>
      <c r="S237" s="51" t="str">
        <f t="array" aca="1" ref="S237" ca="1">IF($R237&lt;&gt;"",
SUBSTITUTE(SUBSTITUTE(INDIRECT("C"&amp;$R237&amp;"")," 週3ｺｰｽ","")," 週5ｺｰｽ",""),"")</f>
        <v/>
      </c>
      <c r="T237" s="51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91" t="str">
        <f t="array" aca="1" ref="U237" ca="1">IF($R237&lt;&gt;"",
INDIRECT("F"&amp;$R237&amp;""),"")</f>
        <v/>
      </c>
      <c r="V237" s="51" t="str">
        <f t="array" aca="1" ref="V237" ca="1">IF($R237&lt;&gt;"",
INDIRECT("G"&amp;$R237&amp;""),"")</f>
        <v/>
      </c>
      <c r="W237" s="51" t="str">
        <f t="array" aca="1" ref="W237" ca="1">IF($R237&lt;&gt;"",
IF(AND(COUNTIF(INDIRECT("B"&amp;R237&amp;""),"*雙葉*"),COUNTIF(B:B,"*雙葉*")&gt;=2),
IF(OR(COUNTIF(INDIRECT("B"&amp;R237&amp;""),"*雙葉先生*"),COUNTIF($B$1:$B$70,"*雙葉*")&gt;=2),INDIRECT("H"&amp;R237&amp;""),INDIRECT("H"&amp;R237&amp;"")+INDIRECT("H"&amp;MATCH("雙葉'",INDIRECT("B"&amp;R237+3&amp;":B210"),0)+2+R237&amp;"")),
IF(AND(LEFT(INDIRECT("B"&amp;R237&amp;""),2)="博多",COUNTIF(B:B,"*博多*")&gt;=2),
INDIRECT("H"&amp;R237&amp;"")+INDIRECT("H"&amp;MATCH("*"&amp;INDIRECT("B"&amp;R237&amp;"")&amp;"*",INDIRECT("B"&amp;R237+1&amp;":B210"),0)+R237&amp;""),
IF(AND(LEFT(INDIRECT("B"&amp;R237&amp;""),3)="奈良屋",COUNTIF(B:B,"*奈良屋*")&gt;=2),
INDIRECT("H"&amp;R237&amp;"")+INDIRECT("H"&amp;MATCH("*"&amp;INDIRECT("B"&amp;R237&amp;"")&amp;"*",INDIRECT("B"&amp;R237+1&amp;":B210"),0)+R237&amp;"")
+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INDIRECT("H"&amp;R237&amp;"")))),"")</f>
        <v/>
      </c>
      <c r="X237" s="51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51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51" t="str">
        <f t="shared" ca="1" si="77"/>
        <v/>
      </c>
      <c r="AA237" s="51" t="str">
        <f t="shared" ca="1" si="78"/>
        <v/>
      </c>
      <c r="AB237" s="51" t="str">
        <f t="array" aca="1" ref="AB237" ca="1">IF($R237&lt;&gt;"",
IF(AND(COUNTIF(INDIRECT("B"&amp;R237&amp;""),"*雙葉*"),COUNTIF(B:B,"*雙葉*")&gt;=2),
INDIRECT("M"&amp;R237&amp;"")+INDIRECT("M"&amp;MATCH("雙葉'",INDIRECT("B"&amp;R237+1&amp;":B210"),0)+R237&amp;""),
IF(AND(LEFT(INDIRECT("B"&amp;R237&amp;""),2)="博多",COUNTIF(B:B,"*博多*")&gt;=2),
INDIRECT("M"&amp;R237&amp;"")+INDIRECT("M"&amp;MATCH("*"&amp;INDIRECT("B"&amp;R237&amp;"")&amp;"*",INDIRECT("B"&amp;R237+1&amp;":B210"),0)+R237&amp;""),
IF(AND(LEFT(INDIRECT("B"&amp;R237&amp;""),3)="奈良屋",COUNTIF(B:B,"*奈良屋*")&gt;=2),
INDIRECT("M"&amp;R237&amp;"")+INDIRECT("M"&amp;MATCH("*"&amp;INDIRECT("B"&amp;R237&amp;"")&amp;"*",INDIRECT("B"&amp;R237+1&amp;":B210"),0)+R237&amp;"")
+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INDIRECT("M"&amp;R237&amp;"")))),"")</f>
        <v/>
      </c>
      <c r="AC237" s="51" t="str">
        <f t="shared" ca="1" si="79"/>
        <v/>
      </c>
      <c r="AD237" s="51" t="str">
        <f t="shared" ca="1" si="80"/>
        <v/>
      </c>
      <c r="AE237" s="51" t="str">
        <f t="shared" ca="1" si="81"/>
        <v/>
      </c>
      <c r="AF237" s="51" t="str">
        <f t="shared" ca="1" si="82"/>
        <v/>
      </c>
      <c r="AG237" s="51" t="str">
        <f t="shared" ca="1" si="83"/>
        <v/>
      </c>
      <c r="AH237" s="191" t="str">
        <f t="shared" ca="1" si="84"/>
        <v/>
      </c>
      <c r="AI237" s="51" t="str">
        <f t="shared" ca="1" si="85"/>
        <v/>
      </c>
      <c r="AJ237" s="51" t="str">
        <f t="shared" ca="1" si="86"/>
        <v/>
      </c>
      <c r="AK237" s="51" t="str">
        <f t="shared" ca="1" si="87"/>
        <v/>
      </c>
      <c r="AL237" s="51" t="str">
        <f t="shared" ca="1" si="88"/>
        <v/>
      </c>
      <c r="AM237" s="51" t="str">
        <f t="shared" ca="1" si="89"/>
        <v/>
      </c>
      <c r="AN237" s="51" t="str">
        <f t="shared" ca="1" si="90"/>
        <v/>
      </c>
      <c r="AO237" s="51" t="str">
        <f t="shared" ca="1" si="91"/>
        <v/>
      </c>
      <c r="AP237" s="51" t="str">
        <f t="shared" ca="1" si="92"/>
        <v/>
      </c>
      <c r="AU237" s="51" t="str">
        <f t="shared" ca="1" si="93"/>
        <v/>
      </c>
    </row>
    <row r="238" spans="1:47">
      <c r="A238" s="176" t="str">
        <f ca="1">IF(C238&lt;&gt;"",A237+1,"")</f>
        <v/>
      </c>
      <c r="B238" s="196"/>
      <c r="C238" s="197" t="str">
        <f t="array" aca="1" ref="C238" ca="1">IF(OR(INDIRECT("まとめ札!I"&amp;B235&amp;"")="",INDIRECT("まとめ札!I"&amp;B235&amp;"")=0),"",INDIRECT("まとめ札!A"&amp;B235&amp;"")&amp;"【4】")</f>
        <v/>
      </c>
      <c r="D238" s="197"/>
      <c r="E238" s="197"/>
      <c r="F238" s="198" t="str">
        <f ca="1">IF(C238&lt;&gt;"",
IF(IF(COUNTIF(C238,"*キャラ*"),
VLOOKUP("*キャラ*",商品マスタ一覧!$D:$E,2,FALSE),
VLOOKUP("*赤*",商品マスタ一覧!$D:$E,2,FALSE))=0,"",
IF(H238&lt;&gt;"",
IF(ROUND(
H238/IF(COUNTIF(C238,"*キャラ*"),
VLOOKUP("*キャラ*",商品マスタ一覧!$D:$E,2,FALSE),
VLOOKUP("*赤*",商品マスタ一覧!$D:$E,2,FALSE)),0)&lt;=0,1,
ROUND(
H238/IF(COUNTIF(C238,"*キャラ*"),
VLOOKUP("*キャラ*",商品マスタ一覧!$D:$E,2,FALSE),
VLOOKUP("*赤*",商品マスタ一覧!$D:$E,2,FALSE)),0)),"")),"")</f>
        <v/>
      </c>
      <c r="G238" s="199" t="str">
        <f ca="1">IF(F238&lt;&gt;"",IF(VALUE(H238)&gt;VALUE(IF(COUNTIF(C238,"*キャラ*"),
VLOOKUP("*キャラ*",商品マスタ一覧!$D:$E,2,FALSE),
VLOOKUP("*赤*",商品マスタ一覧!$D:$E,2,FALSE))*F238),
"+"&amp;H238-IF(COUNTIF(C238,"*キャラ*"),
VLOOKUP("*キャラ*",商品マスタ一覧!$D:$E,2,FALSE),
VLOOKUP("*赤*",商品マスタ一覧!$D:$E,2,FALSE))*F238,
H238-IF(COUNTIF(C238,"*キャラ*"),
VLOOKUP("*キャラ*",商品マスタ一覧!$D:$E,2,FALSE),
VLOOKUP("*赤*",商品マスタ一覧!$D:$E,2,FALSE))*F238),"")</f>
        <v/>
      </c>
      <c r="H238" s="196" t="str">
        <f t="array" aca="1" ref="H238" ca="1">IF(OR(INDIRECT("まとめ札!I"&amp;B235&amp;"")="",INDIRECT("まとめ札!I"&amp;B235&amp;"")=0),"",INDIRECT("まとめ札!I"&amp;B235&amp;""))</f>
        <v/>
      </c>
      <c r="I238" s="196"/>
      <c r="J238" s="196" t="str">
        <f ca="1">IF(C238&lt;&gt;"",
IF(OR(COUNTIF(C238,"*キャラ*"),COUNTIF(C238,"*赤*")),24,
VLOOKUP(C238,#REF!,6,FALSE)),"")</f>
        <v/>
      </c>
      <c r="M238" s="196"/>
      <c r="P238" s="196" t="str">
        <f t="shared" ca="1" si="96"/>
        <v/>
      </c>
      <c r="Q238" s="196" t="str">
        <f t="shared" ca="1" si="97"/>
        <v/>
      </c>
      <c r="R238" s="51" t="str">
        <f t="array" aca="1" ref="R238" ca="1">IFERROR(SMALL(IF(P$1:P$307&lt;&gt;0,P$1:P$307),ROW(A238)),"")</f>
        <v/>
      </c>
      <c r="S238" s="51" t="str">
        <f t="array" aca="1" ref="S238" ca="1">IF($R238&lt;&gt;"",
SUBSTITUTE(SUBSTITUTE(INDIRECT("C"&amp;$R238&amp;"")," 週3ｺｰｽ","")," 週5ｺｰｽ",""),"")</f>
        <v/>
      </c>
      <c r="T238" s="51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91" t="str">
        <f t="array" aca="1" ref="U238" ca="1">IF($R238&lt;&gt;"",
INDIRECT("F"&amp;$R238&amp;""),"")</f>
        <v/>
      </c>
      <c r="V238" s="51" t="str">
        <f t="array" aca="1" ref="V238" ca="1">IF($R238&lt;&gt;"",
INDIRECT("G"&amp;$R238&amp;""),"")</f>
        <v/>
      </c>
      <c r="W238" s="51" t="str">
        <f t="array" aca="1" ref="W238" ca="1">IF($R238&lt;&gt;"",
IF(AND(COUNTIF(INDIRECT("B"&amp;R238&amp;""),"*雙葉*"),COUNTIF(B:B,"*雙葉*")&gt;=2),
IF(OR(COUNTIF(INDIRECT("B"&amp;R238&amp;""),"*雙葉先生*"),COUNTIF($B$1:$B$70,"*雙葉*")&gt;=2),INDIRECT("H"&amp;R238&amp;""),INDIRECT("H"&amp;R238&amp;"")+INDIRECT("H"&amp;MATCH("雙葉'",INDIRECT("B"&amp;R238+3&amp;":B210"),0)+2+R238&amp;"")),
IF(AND(LEFT(INDIRECT("B"&amp;R238&amp;""),2)="博多",COUNTIF(B:B,"*博多*")&gt;=2),
INDIRECT("H"&amp;R238&amp;"")+INDIRECT("H"&amp;MATCH("*"&amp;INDIRECT("B"&amp;R238&amp;"")&amp;"*",INDIRECT("B"&amp;R238+1&amp;":B210"),0)+R238&amp;""),
IF(AND(LEFT(INDIRECT("B"&amp;R238&amp;""),3)="奈良屋",COUNTIF(B:B,"*奈良屋*")&gt;=2),
INDIRECT("H"&amp;R238&amp;"")+INDIRECT("H"&amp;MATCH("*"&amp;INDIRECT("B"&amp;R238&amp;"")&amp;"*",INDIRECT("B"&amp;R238+1&amp;":B210"),0)+R238&amp;"")
+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INDIRECT("H"&amp;R238&amp;"")))),"")</f>
        <v/>
      </c>
      <c r="X238" s="51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51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51" t="str">
        <f t="shared" ca="1" si="77"/>
        <v/>
      </c>
      <c r="AA238" s="51" t="str">
        <f t="shared" ca="1" si="78"/>
        <v/>
      </c>
      <c r="AB238" s="51" t="str">
        <f t="array" aca="1" ref="AB238" ca="1">IF($R238&lt;&gt;"",
IF(AND(COUNTIF(INDIRECT("B"&amp;R238&amp;""),"*雙葉*"),COUNTIF(B:B,"*雙葉*")&gt;=2),
INDIRECT("M"&amp;R238&amp;"")+INDIRECT("M"&amp;MATCH("雙葉'",INDIRECT("B"&amp;R238+1&amp;":B210"),0)+R238&amp;""),
IF(AND(LEFT(INDIRECT("B"&amp;R238&amp;""),2)="博多",COUNTIF(B:B,"*博多*")&gt;=2),
INDIRECT("M"&amp;R238&amp;"")+INDIRECT("M"&amp;MATCH("*"&amp;INDIRECT("B"&amp;R238&amp;"")&amp;"*",INDIRECT("B"&amp;R238+1&amp;":B210"),0)+R238&amp;""),
IF(AND(LEFT(INDIRECT("B"&amp;R238&amp;""),3)="奈良屋",COUNTIF(B:B,"*奈良屋*")&gt;=2),
INDIRECT("M"&amp;R238&amp;"")+INDIRECT("M"&amp;MATCH("*"&amp;INDIRECT("B"&amp;R238&amp;"")&amp;"*",INDIRECT("B"&amp;R238+1&amp;":B210"),0)+R238&amp;"")
+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INDIRECT("M"&amp;R238&amp;"")))),"")</f>
        <v/>
      </c>
      <c r="AC238" s="51" t="str">
        <f t="shared" ca="1" si="79"/>
        <v/>
      </c>
      <c r="AD238" s="51" t="str">
        <f t="shared" ca="1" si="80"/>
        <v/>
      </c>
      <c r="AE238" s="51" t="str">
        <f t="shared" ca="1" si="81"/>
        <v/>
      </c>
      <c r="AF238" s="51" t="str">
        <f t="shared" ca="1" si="82"/>
        <v/>
      </c>
      <c r="AG238" s="51" t="str">
        <f t="shared" ca="1" si="83"/>
        <v/>
      </c>
      <c r="AH238" s="191" t="str">
        <f t="shared" ca="1" si="84"/>
        <v/>
      </c>
      <c r="AI238" s="51" t="str">
        <f t="shared" ca="1" si="85"/>
        <v/>
      </c>
      <c r="AJ238" s="51" t="str">
        <f t="shared" ca="1" si="86"/>
        <v/>
      </c>
      <c r="AK238" s="51" t="str">
        <f t="shared" ca="1" si="87"/>
        <v/>
      </c>
      <c r="AL238" s="51" t="str">
        <f t="shared" ca="1" si="88"/>
        <v/>
      </c>
      <c r="AM238" s="51" t="str">
        <f t="shared" ca="1" si="89"/>
        <v/>
      </c>
      <c r="AN238" s="51" t="str">
        <f t="shared" ca="1" si="90"/>
        <v/>
      </c>
      <c r="AO238" s="51" t="str">
        <f t="shared" ca="1" si="91"/>
        <v/>
      </c>
      <c r="AP238" s="51" t="str">
        <f t="shared" ca="1" si="92"/>
        <v/>
      </c>
      <c r="AU238" s="51" t="str">
        <f t="shared" ca="1" si="93"/>
        <v/>
      </c>
    </row>
    <row r="239" spans="1:47">
      <c r="A239" s="176">
        <f ca="1">IF(C239&lt;&gt;"",MAX($A$235:$A$238)+1,"")</f>
        <v>153</v>
      </c>
      <c r="B239" s="196">
        <v>8</v>
      </c>
      <c r="C239" s="197" t="str">
        <f t="array" aca="1" ref="C239" ca="1">IF(INDIRECT("まとめ札!A"&amp;B239&amp;"")&lt;&gt;0,INDIRECT("まとめ札!A"&amp;B239&amp;"")&amp;"【1】","")</f>
        <v>赤 飯なし【1】</v>
      </c>
      <c r="D239" s="197"/>
      <c r="E239" s="197"/>
      <c r="F239" s="198" t="str">
        <f ca="1">IF(C239&lt;&gt;"",
IF(IF(COUNTIF(C239,"*キャラ*"),
VLOOKUP("*キャラ*",商品マスタ一覧!$D:$E,2,FALSE),
VLOOKUP("*赤*",商品マスタ一覧!$D:$E,2,FALSE))=0,"",
IF(H239&lt;&gt;"",
IF(ROUND(
H239/IF(COUNTIF(C239,"*キャラ*"),
VLOOKUP("*キャラ*",商品マスタ一覧!$D:$E,2,FALSE),
VLOOKUP("*赤*",商品マスタ一覧!$D:$E,2,FALSE)),0)&lt;=0,1,
ROUND(
H239/IF(COUNTIF(C239,"*キャラ*"),
VLOOKUP("*キャラ*",商品マスタ一覧!$D:$E,2,FALSE),
VLOOKUP("*赤*",商品マスタ一覧!$D:$E,2,FALSE)),0)),"")),"")</f>
        <v/>
      </c>
      <c r="G239" s="199" t="str">
        <f ca="1">IF(F239&lt;&gt;"",IF(VALUE(H239)&gt;VALUE(IF(COUNTIF(C239,"*キャラ*"),
VLOOKUP("*キャラ*",商品マスタ一覧!$D:$E,2,FALSE),
VLOOKUP("*赤*",商品マスタ一覧!$D:$E,2,FALSE))*F239),
"+"&amp;H239-IF(COUNTIF(C239,"*キャラ*"),
VLOOKUP("*キャラ*",商品マスタ一覧!$D:$E,2,FALSE),
VLOOKUP("*赤*",商品マスタ一覧!$D:$E,2,FALSE))*F239,
H239-IF(COUNTIF(C239,"*キャラ*"),
VLOOKUP("*キャラ*",商品マスタ一覧!$D:$E,2,FALSE),
VLOOKUP("*赤*",商品マスタ一覧!$D:$E,2,FALSE))*F239),"")</f>
        <v/>
      </c>
      <c r="H239" s="196" t="str">
        <f t="array" aca="1" ref="H239" ca="1">IF(INDIRECT("まとめ札!F"&amp;B239&amp;"")&lt;&gt;0,INDIRECT("まとめ札!F"&amp;B239&amp;""),"")</f>
        <v/>
      </c>
      <c r="I239" s="196"/>
      <c r="J239" s="196">
        <f ca="1">IF(C239&lt;&gt;"",
IF(OR(COUNTIF(C239,"*キャラ*"),COUNTIF(C239,"*赤*")),24,
VLOOKUP(C239,#REF!,6,FALSE)),"")</f>
        <v>24</v>
      </c>
      <c r="M239" s="196"/>
      <c r="P239" s="196" t="str">
        <f t="shared" ca="1" si="96"/>
        <v/>
      </c>
      <c r="Q239" s="196" t="str">
        <f t="shared" ca="1" si="97"/>
        <v/>
      </c>
      <c r="R239" s="51" t="str">
        <f t="array" aca="1" ref="R239" ca="1">IFERROR(SMALL(IF(P$1:P$307&lt;&gt;0,P$1:P$307),ROW(A239)),"")</f>
        <v/>
      </c>
      <c r="S239" s="51" t="str">
        <f t="array" aca="1" ref="S239" ca="1">IF($R239&lt;&gt;"",
SUBSTITUTE(SUBSTITUTE(INDIRECT("C"&amp;$R239&amp;"")," 週3ｺｰｽ","")," 週5ｺｰｽ",""),"")</f>
        <v/>
      </c>
      <c r="T239" s="51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91" t="str">
        <f t="array" aca="1" ref="U239" ca="1">IF($R239&lt;&gt;"",
INDIRECT("F"&amp;$R239&amp;""),"")</f>
        <v/>
      </c>
      <c r="V239" s="51" t="str">
        <f t="array" aca="1" ref="V239" ca="1">IF($R239&lt;&gt;"",
INDIRECT("G"&amp;$R239&amp;""),"")</f>
        <v/>
      </c>
      <c r="W239" s="51" t="str">
        <f t="array" aca="1" ref="W239" ca="1">IF($R239&lt;&gt;"",
IF(AND(COUNTIF(INDIRECT("B"&amp;R239&amp;""),"*雙葉*"),COUNTIF(B:B,"*雙葉*")&gt;=2),
IF(OR(COUNTIF(INDIRECT("B"&amp;R239&amp;""),"*雙葉先生*"),COUNTIF($B$1:$B$70,"*雙葉*")&gt;=2),INDIRECT("H"&amp;R239&amp;""),INDIRECT("H"&amp;R239&amp;"")+INDIRECT("H"&amp;MATCH("雙葉'",INDIRECT("B"&amp;R239+3&amp;":B210"),0)+2+R239&amp;"")),
IF(AND(LEFT(INDIRECT("B"&amp;R239&amp;""),2)="博多",COUNTIF(B:B,"*博多*")&gt;=2),
INDIRECT("H"&amp;R239&amp;"")+INDIRECT("H"&amp;MATCH("*"&amp;INDIRECT("B"&amp;R239&amp;"")&amp;"*",INDIRECT("B"&amp;R239+1&amp;":B210"),0)+R239&amp;""),
IF(AND(LEFT(INDIRECT("B"&amp;R239&amp;""),3)="奈良屋",COUNTIF(B:B,"*奈良屋*")&gt;=2),
INDIRECT("H"&amp;R239&amp;"")+INDIRECT("H"&amp;MATCH("*"&amp;INDIRECT("B"&amp;R239&amp;"")&amp;"*",INDIRECT("B"&amp;R239+1&amp;":B210"),0)+R239&amp;"")
+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INDIRECT("H"&amp;R239&amp;"")))),"")</f>
        <v/>
      </c>
      <c r="X239" s="51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51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51" t="str">
        <f t="shared" ca="1" si="77"/>
        <v/>
      </c>
      <c r="AA239" s="51" t="str">
        <f t="shared" ca="1" si="78"/>
        <v/>
      </c>
      <c r="AB239" s="51" t="str">
        <f t="array" aca="1" ref="AB239" ca="1">IF($R239&lt;&gt;"",
IF(AND(COUNTIF(INDIRECT("B"&amp;R239&amp;""),"*雙葉*"),COUNTIF(B:B,"*雙葉*")&gt;=2),
INDIRECT("M"&amp;R239&amp;"")+INDIRECT("M"&amp;MATCH("雙葉'",INDIRECT("B"&amp;R239+1&amp;":B210"),0)+R239&amp;""),
IF(AND(LEFT(INDIRECT("B"&amp;R239&amp;""),2)="博多",COUNTIF(B:B,"*博多*")&gt;=2),
INDIRECT("M"&amp;R239&amp;"")+INDIRECT("M"&amp;MATCH("*"&amp;INDIRECT("B"&amp;R239&amp;"")&amp;"*",INDIRECT("B"&amp;R239+1&amp;":B210"),0)+R239&amp;""),
IF(AND(LEFT(INDIRECT("B"&amp;R239&amp;""),3)="奈良屋",COUNTIF(B:B,"*奈良屋*")&gt;=2),
INDIRECT("M"&amp;R239&amp;"")+INDIRECT("M"&amp;MATCH("*"&amp;INDIRECT("B"&amp;R239&amp;"")&amp;"*",INDIRECT("B"&amp;R239+1&amp;":B210"),0)+R239&amp;"")
+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INDIRECT("M"&amp;R239&amp;"")))),"")</f>
        <v/>
      </c>
      <c r="AC239" s="51" t="str">
        <f t="shared" ca="1" si="79"/>
        <v/>
      </c>
      <c r="AD239" s="51" t="str">
        <f t="shared" ca="1" si="80"/>
        <v/>
      </c>
      <c r="AE239" s="51" t="str">
        <f t="shared" ca="1" si="81"/>
        <v/>
      </c>
      <c r="AF239" s="51" t="str">
        <f t="shared" ca="1" si="82"/>
        <v/>
      </c>
      <c r="AG239" s="51" t="str">
        <f t="shared" ca="1" si="83"/>
        <v/>
      </c>
      <c r="AH239" s="191" t="str">
        <f t="shared" ca="1" si="84"/>
        <v/>
      </c>
      <c r="AI239" s="51" t="str">
        <f t="shared" ca="1" si="85"/>
        <v/>
      </c>
      <c r="AJ239" s="51" t="str">
        <f t="shared" ca="1" si="86"/>
        <v/>
      </c>
      <c r="AK239" s="51" t="str">
        <f t="shared" ca="1" si="87"/>
        <v/>
      </c>
      <c r="AL239" s="51" t="str">
        <f t="shared" ca="1" si="88"/>
        <v/>
      </c>
      <c r="AM239" s="51" t="str">
        <f t="shared" ca="1" si="89"/>
        <v/>
      </c>
      <c r="AN239" s="51" t="str">
        <f t="shared" ca="1" si="90"/>
        <v/>
      </c>
      <c r="AO239" s="51" t="str">
        <f t="shared" ca="1" si="91"/>
        <v/>
      </c>
      <c r="AP239" s="51" t="str">
        <f t="shared" ca="1" si="92"/>
        <v/>
      </c>
      <c r="AU239" s="51" t="str">
        <f t="shared" ca="1" si="93"/>
        <v/>
      </c>
    </row>
    <row r="240" spans="1:47">
      <c r="A240" s="176" t="str">
        <f ca="1">IF(C240&lt;&gt;"",A239+1,"")</f>
        <v/>
      </c>
      <c r="B240" s="196"/>
      <c r="C240" s="197" t="str">
        <f t="array" aca="1" ref="C240" ca="1">IF(OR(INDIRECT("まとめ札!G"&amp;B239&amp;"")="",INDIRECT("まとめ札!G"&amp;B239&amp;"")=0),"",INDIRECT("まとめ札!A"&amp;B239&amp;"")&amp;"【2】")</f>
        <v/>
      </c>
      <c r="D240" s="197"/>
      <c r="E240" s="197"/>
      <c r="F240" s="198" t="str">
        <f ca="1">IF(C240&lt;&gt;"",
IF(IF(COUNTIF(C240,"*キャラ*"),
VLOOKUP("*キャラ*",商品マスタ一覧!$D:$E,2,FALSE),
VLOOKUP("*赤*",商品マスタ一覧!$D:$E,2,FALSE))=0,"",
IF(H240&lt;&gt;"",
IF(ROUND(
H240/IF(COUNTIF(C240,"*キャラ*"),
VLOOKUP("*キャラ*",商品マスタ一覧!$D:$E,2,FALSE),
VLOOKUP("*赤*",商品マスタ一覧!$D:$E,2,FALSE)),0)&lt;=0,1,
ROUND(
H240/IF(COUNTIF(C240,"*キャラ*"),
VLOOKUP("*キャラ*",商品マスタ一覧!$D:$E,2,FALSE),
VLOOKUP("*赤*",商品マスタ一覧!$D:$E,2,FALSE)),0)),"")),"")</f>
        <v/>
      </c>
      <c r="G240" s="199" t="str">
        <f ca="1">IF(F240&lt;&gt;"",IF(VALUE(H240)&gt;VALUE(IF(COUNTIF(C240,"*キャラ*"),
VLOOKUP("*キャラ*",商品マスタ一覧!$D:$E,2,FALSE),
VLOOKUP("*赤*",商品マスタ一覧!$D:$E,2,FALSE))*F240),
"+"&amp;H240-IF(COUNTIF(C240,"*キャラ*"),
VLOOKUP("*キャラ*",商品マスタ一覧!$D:$E,2,FALSE),
VLOOKUP("*赤*",商品マスタ一覧!$D:$E,2,FALSE))*F240,
H240-IF(COUNTIF(C240,"*キャラ*"),
VLOOKUP("*キャラ*",商品マスタ一覧!$D:$E,2,FALSE),
VLOOKUP("*赤*",商品マスタ一覧!$D:$E,2,FALSE))*F240),"")</f>
        <v/>
      </c>
      <c r="H240" s="196" t="str">
        <f t="array" aca="1" ref="H240" ca="1">IF(OR(INDIRECT("まとめ札!G"&amp;B239&amp;"")="",INDIRECT("まとめ札!G"&amp;B239&amp;"")=0),"",INDIRECT("まとめ札!G"&amp;B239&amp;""))</f>
        <v/>
      </c>
      <c r="I240" s="196"/>
      <c r="J240" s="196" t="str">
        <f ca="1">IF(C240&lt;&gt;"",
IF(OR(COUNTIF(C240,"*キャラ*"),COUNTIF(C240,"*赤*")),24,
VLOOKUP(C240,#REF!,6,FALSE)),"")</f>
        <v/>
      </c>
      <c r="M240" s="196"/>
      <c r="P240" s="196" t="str">
        <f t="shared" ca="1" si="96"/>
        <v/>
      </c>
      <c r="Q240" s="196" t="str">
        <f t="shared" ca="1" si="97"/>
        <v/>
      </c>
      <c r="R240" s="51" t="str">
        <f t="array" aca="1" ref="R240" ca="1">IFERROR(SMALL(IF(P$1:P$307&lt;&gt;0,P$1:P$307),ROW(A240)),"")</f>
        <v/>
      </c>
      <c r="S240" s="51" t="str">
        <f t="array" aca="1" ref="S240" ca="1">IF($R240&lt;&gt;"",
SUBSTITUTE(SUBSTITUTE(INDIRECT("C"&amp;$R240&amp;"")," 週3ｺｰｽ","")," 週5ｺｰｽ",""),"")</f>
        <v/>
      </c>
      <c r="T240" s="51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91" t="str">
        <f t="array" aca="1" ref="U240" ca="1">IF($R240&lt;&gt;"",
INDIRECT("F"&amp;$R240&amp;""),"")</f>
        <v/>
      </c>
      <c r="V240" s="51" t="str">
        <f t="array" aca="1" ref="V240" ca="1">IF($R240&lt;&gt;"",
INDIRECT("G"&amp;$R240&amp;""),"")</f>
        <v/>
      </c>
      <c r="W240" s="51" t="str">
        <f t="array" aca="1" ref="W240" ca="1">IF($R240&lt;&gt;"",
IF(AND(COUNTIF(INDIRECT("B"&amp;R240&amp;""),"*雙葉*"),COUNTIF(B:B,"*雙葉*")&gt;=2),
IF(OR(COUNTIF(INDIRECT("B"&amp;R240&amp;""),"*雙葉先生*"),COUNTIF($B$1:$B$70,"*雙葉*")&gt;=2),INDIRECT("H"&amp;R240&amp;""),INDIRECT("H"&amp;R240&amp;"")+INDIRECT("H"&amp;MATCH("雙葉'",INDIRECT("B"&amp;R240+3&amp;":B210"),0)+2+R240&amp;"")),
IF(AND(LEFT(INDIRECT("B"&amp;R240&amp;""),2)="博多",COUNTIF(B:B,"*博多*")&gt;=2),
INDIRECT("H"&amp;R240&amp;"")+INDIRECT("H"&amp;MATCH("*"&amp;INDIRECT("B"&amp;R240&amp;"")&amp;"*",INDIRECT("B"&amp;R240+1&amp;":B210"),0)+R240&amp;""),
IF(AND(LEFT(INDIRECT("B"&amp;R240&amp;""),3)="奈良屋",COUNTIF(B:B,"*奈良屋*")&gt;=2),
INDIRECT("H"&amp;R240&amp;"")+INDIRECT("H"&amp;MATCH("*"&amp;INDIRECT("B"&amp;R240&amp;"")&amp;"*",INDIRECT("B"&amp;R240+1&amp;":B210"),0)+R240&amp;"")
+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INDIRECT("H"&amp;R240&amp;"")))),"")</f>
        <v/>
      </c>
      <c r="X240" s="51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51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51" t="str">
        <f t="shared" ca="1" si="77"/>
        <v/>
      </c>
      <c r="AA240" s="51" t="str">
        <f t="shared" ca="1" si="78"/>
        <v/>
      </c>
      <c r="AB240" s="51" t="str">
        <f t="array" aca="1" ref="AB240" ca="1">IF($R240&lt;&gt;"",
IF(AND(COUNTIF(INDIRECT("B"&amp;R240&amp;""),"*雙葉*"),COUNTIF(B:B,"*雙葉*")&gt;=2),
INDIRECT("M"&amp;R240&amp;"")+INDIRECT("M"&amp;MATCH("雙葉'",INDIRECT("B"&amp;R240+1&amp;":B210"),0)+R240&amp;""),
IF(AND(LEFT(INDIRECT("B"&amp;R240&amp;""),2)="博多",COUNTIF(B:B,"*博多*")&gt;=2),
INDIRECT("M"&amp;R240&amp;"")+INDIRECT("M"&amp;MATCH("*"&amp;INDIRECT("B"&amp;R240&amp;"")&amp;"*",INDIRECT("B"&amp;R240+1&amp;":B210"),0)+R240&amp;""),
IF(AND(LEFT(INDIRECT("B"&amp;R240&amp;""),3)="奈良屋",COUNTIF(B:B,"*奈良屋*")&gt;=2),
INDIRECT("M"&amp;R240&amp;"")+INDIRECT("M"&amp;MATCH("*"&amp;INDIRECT("B"&amp;R240&amp;"")&amp;"*",INDIRECT("B"&amp;R240+1&amp;":B210"),0)+R240&amp;"")
+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INDIRECT("M"&amp;R240&amp;"")))),"")</f>
        <v/>
      </c>
      <c r="AC240" s="51" t="str">
        <f t="shared" ca="1" si="79"/>
        <v/>
      </c>
      <c r="AD240" s="51" t="str">
        <f t="shared" ca="1" si="80"/>
        <v/>
      </c>
      <c r="AE240" s="51" t="str">
        <f t="shared" ca="1" si="81"/>
        <v/>
      </c>
      <c r="AF240" s="51" t="str">
        <f t="shared" ca="1" si="82"/>
        <v/>
      </c>
      <c r="AG240" s="51" t="str">
        <f t="shared" ca="1" si="83"/>
        <v/>
      </c>
      <c r="AH240" s="191" t="str">
        <f t="shared" ca="1" si="84"/>
        <v/>
      </c>
      <c r="AI240" s="51" t="str">
        <f t="shared" ca="1" si="85"/>
        <v/>
      </c>
      <c r="AJ240" s="51" t="str">
        <f t="shared" ca="1" si="86"/>
        <v/>
      </c>
      <c r="AK240" s="51" t="str">
        <f t="shared" ca="1" si="87"/>
        <v/>
      </c>
      <c r="AL240" s="51" t="str">
        <f t="shared" ca="1" si="88"/>
        <v/>
      </c>
      <c r="AM240" s="51" t="str">
        <f t="shared" ca="1" si="89"/>
        <v/>
      </c>
      <c r="AN240" s="51" t="str">
        <f t="shared" ca="1" si="90"/>
        <v/>
      </c>
      <c r="AO240" s="51" t="str">
        <f t="shared" ca="1" si="91"/>
        <v/>
      </c>
      <c r="AP240" s="51" t="str">
        <f t="shared" ca="1" si="92"/>
        <v/>
      </c>
      <c r="AU240" s="51" t="str">
        <f t="shared" ca="1" si="93"/>
        <v/>
      </c>
    </row>
    <row r="241" spans="1:47">
      <c r="A241" s="176" t="str">
        <f ca="1">IF(C241&lt;&gt;"",A240+1,"")</f>
        <v/>
      </c>
      <c r="B241" s="196"/>
      <c r="C241" s="197" t="str">
        <f t="array" aca="1" ref="C241" ca="1">IF(OR(INDIRECT("まとめ札!H"&amp;B239&amp;"")="",INDIRECT("まとめ札!H"&amp;B239&amp;"")=0),"",INDIRECT("まとめ札!A"&amp;B239&amp;"")&amp;"【3】")</f>
        <v/>
      </c>
      <c r="D241" s="197"/>
      <c r="E241" s="197"/>
      <c r="F241" s="198" t="str">
        <f ca="1">IF(C241&lt;&gt;"",
IF(IF(COUNTIF(C241,"*キャラ*"),
VLOOKUP("*キャラ*",商品マスタ一覧!$D:$E,2,FALSE),
VLOOKUP("*赤*",商品マスタ一覧!$D:$E,2,FALSE))=0,"",
IF(H241&lt;&gt;"",
IF(ROUND(
H241/IF(COUNTIF(C241,"*キャラ*"),
VLOOKUP("*キャラ*",商品マスタ一覧!$D:$E,2,FALSE),
VLOOKUP("*赤*",商品マスタ一覧!$D:$E,2,FALSE)),0)&lt;=0,1,
ROUND(
H241/IF(COUNTIF(C241,"*キャラ*"),
VLOOKUP("*キャラ*",商品マスタ一覧!$D:$E,2,FALSE),
VLOOKUP("*赤*",商品マスタ一覧!$D:$E,2,FALSE)),0)),"")),"")</f>
        <v/>
      </c>
      <c r="G241" s="199" t="str">
        <f ca="1">IF(F241&lt;&gt;"",IF(VALUE(H241)&gt;VALUE(IF(COUNTIF(C241,"*キャラ*"),
VLOOKUP("*キャラ*",商品マスタ一覧!$D:$E,2,FALSE),
VLOOKUP("*赤*",商品マスタ一覧!$D:$E,2,FALSE))*F241),
"+"&amp;H241-IF(COUNTIF(C241,"*キャラ*"),
VLOOKUP("*キャラ*",商品マスタ一覧!$D:$E,2,FALSE),
VLOOKUP("*赤*",商品マスタ一覧!$D:$E,2,FALSE))*F241,
H241-IF(COUNTIF(C241,"*キャラ*"),
VLOOKUP("*キャラ*",商品マスタ一覧!$D:$E,2,FALSE),
VLOOKUP("*赤*",商品マスタ一覧!$D:$E,2,FALSE))*F241),"")</f>
        <v/>
      </c>
      <c r="H241" s="196" t="str">
        <f t="array" aca="1" ref="H241" ca="1">IF(OR(INDIRECT("まとめ札!H"&amp;B239&amp;"")="",INDIRECT("まとめ札!H"&amp;B239&amp;"")=0),"",INDIRECT("まとめ札!H"&amp;B239&amp;""))</f>
        <v/>
      </c>
      <c r="I241" s="196"/>
      <c r="J241" s="196" t="str">
        <f ca="1">IF(C241&lt;&gt;"",
IF(OR(COUNTIF(C241,"*キャラ*"),COUNTIF(C241,"*赤*")),24,
VLOOKUP(C241,#REF!,6,FALSE)),"")</f>
        <v/>
      </c>
      <c r="M241" s="196"/>
      <c r="P241" s="196" t="str">
        <f t="shared" ca="1" si="96"/>
        <v/>
      </c>
      <c r="Q241" s="196" t="str">
        <f t="shared" ca="1" si="97"/>
        <v/>
      </c>
      <c r="R241" s="51" t="str">
        <f t="array" aca="1" ref="R241" ca="1">IFERROR(SMALL(IF(P$1:P$307&lt;&gt;0,P$1:P$307),ROW(A241)),"")</f>
        <v/>
      </c>
      <c r="S241" s="51" t="str">
        <f t="array" aca="1" ref="S241" ca="1">IF($R241&lt;&gt;"",
SUBSTITUTE(SUBSTITUTE(INDIRECT("C"&amp;$R241&amp;"")," 週3ｺｰｽ","")," 週5ｺｰｽ",""),"")</f>
        <v/>
      </c>
      <c r="T241" s="51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91" t="str">
        <f t="array" aca="1" ref="U241" ca="1">IF($R241&lt;&gt;"",
INDIRECT("F"&amp;$R241&amp;""),"")</f>
        <v/>
      </c>
      <c r="V241" s="51" t="str">
        <f t="array" aca="1" ref="V241" ca="1">IF($R241&lt;&gt;"",
INDIRECT("G"&amp;$R241&amp;""),"")</f>
        <v/>
      </c>
      <c r="W241" s="51" t="str">
        <f t="array" aca="1" ref="W241" ca="1">IF($R241&lt;&gt;"",
IF(AND(COUNTIF(INDIRECT("B"&amp;R241&amp;""),"*雙葉*"),COUNTIF(B:B,"*雙葉*")&gt;=2),
IF(OR(COUNTIF(INDIRECT("B"&amp;R241&amp;""),"*雙葉先生*"),COUNTIF($B$1:$B$70,"*雙葉*")&gt;=2),INDIRECT("H"&amp;R241&amp;""),INDIRECT("H"&amp;R241&amp;"")+INDIRECT("H"&amp;MATCH("雙葉'",INDIRECT("B"&amp;R241+3&amp;":B210"),0)+2+R241&amp;"")),
IF(AND(LEFT(INDIRECT("B"&amp;R241&amp;""),2)="博多",COUNTIF(B:B,"*博多*")&gt;=2),
INDIRECT("H"&amp;R241&amp;"")+INDIRECT("H"&amp;MATCH("*"&amp;INDIRECT("B"&amp;R241&amp;"")&amp;"*",INDIRECT("B"&amp;R241+1&amp;":B210"),0)+R241&amp;""),
IF(AND(LEFT(INDIRECT("B"&amp;R241&amp;""),3)="奈良屋",COUNTIF(B:B,"*奈良屋*")&gt;=2),
INDIRECT("H"&amp;R241&amp;"")+INDIRECT("H"&amp;MATCH("*"&amp;INDIRECT("B"&amp;R241&amp;"")&amp;"*",INDIRECT("B"&amp;R241+1&amp;":B210"),0)+R241&amp;"")
+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INDIRECT("H"&amp;R241&amp;"")))),"")</f>
        <v/>
      </c>
      <c r="X241" s="51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51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51" t="str">
        <f t="shared" ca="1" si="77"/>
        <v/>
      </c>
      <c r="AA241" s="51" t="str">
        <f t="shared" ca="1" si="78"/>
        <v/>
      </c>
      <c r="AB241" s="51" t="str">
        <f t="array" aca="1" ref="AB241" ca="1">IF($R241&lt;&gt;"",
IF(AND(COUNTIF(INDIRECT("B"&amp;R241&amp;""),"*雙葉*"),COUNTIF(B:B,"*雙葉*")&gt;=2),
INDIRECT("M"&amp;R241&amp;"")+INDIRECT("M"&amp;MATCH("雙葉'",INDIRECT("B"&amp;R241+1&amp;":B210"),0)+R241&amp;""),
IF(AND(LEFT(INDIRECT("B"&amp;R241&amp;""),2)="博多",COUNTIF(B:B,"*博多*")&gt;=2),
INDIRECT("M"&amp;R241&amp;"")+INDIRECT("M"&amp;MATCH("*"&amp;INDIRECT("B"&amp;R241&amp;"")&amp;"*",INDIRECT("B"&amp;R241+1&amp;":B210"),0)+R241&amp;""),
IF(AND(LEFT(INDIRECT("B"&amp;R241&amp;""),3)="奈良屋",COUNTIF(B:B,"*奈良屋*")&gt;=2),
INDIRECT("M"&amp;R241&amp;"")+INDIRECT("M"&amp;MATCH("*"&amp;INDIRECT("B"&amp;R241&amp;"")&amp;"*",INDIRECT("B"&amp;R241+1&amp;":B210"),0)+R241&amp;"")
+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INDIRECT("M"&amp;R241&amp;"")))),"")</f>
        <v/>
      </c>
      <c r="AC241" s="51" t="str">
        <f t="shared" ca="1" si="79"/>
        <v/>
      </c>
      <c r="AD241" s="51" t="str">
        <f t="shared" ca="1" si="80"/>
        <v/>
      </c>
      <c r="AE241" s="51" t="str">
        <f t="shared" ca="1" si="81"/>
        <v/>
      </c>
      <c r="AF241" s="51" t="str">
        <f t="shared" ca="1" si="82"/>
        <v/>
      </c>
      <c r="AG241" s="51" t="str">
        <f t="shared" ca="1" si="83"/>
        <v/>
      </c>
      <c r="AH241" s="191" t="str">
        <f t="shared" ca="1" si="84"/>
        <v/>
      </c>
      <c r="AI241" s="51" t="str">
        <f t="shared" ca="1" si="85"/>
        <v/>
      </c>
      <c r="AJ241" s="51" t="str">
        <f t="shared" ca="1" si="86"/>
        <v/>
      </c>
      <c r="AK241" s="51" t="str">
        <f t="shared" ca="1" si="87"/>
        <v/>
      </c>
      <c r="AL241" s="51" t="str">
        <f t="shared" ca="1" si="88"/>
        <v/>
      </c>
      <c r="AM241" s="51" t="str">
        <f t="shared" ca="1" si="89"/>
        <v/>
      </c>
      <c r="AN241" s="51" t="str">
        <f t="shared" ca="1" si="90"/>
        <v/>
      </c>
      <c r="AO241" s="51" t="str">
        <f t="shared" ca="1" si="91"/>
        <v/>
      </c>
      <c r="AP241" s="51" t="str">
        <f t="shared" ca="1" si="92"/>
        <v/>
      </c>
      <c r="AU241" s="51" t="str">
        <f t="shared" ca="1" si="93"/>
        <v/>
      </c>
    </row>
    <row r="242" spans="1:47">
      <c r="A242" s="176" t="str">
        <f ca="1">IF(C242&lt;&gt;"",A241+1,"")</f>
        <v/>
      </c>
      <c r="B242" s="196"/>
      <c r="C242" s="197" t="str">
        <f t="array" aca="1" ref="C242" ca="1">IF(OR(INDIRECT("まとめ札!I"&amp;B239&amp;"")="",INDIRECT("まとめ札!I"&amp;B239&amp;"")=0),"",INDIRECT("まとめ札!A"&amp;B239&amp;"")&amp;"【4】")</f>
        <v/>
      </c>
      <c r="D242" s="197"/>
      <c r="E242" s="197"/>
      <c r="F242" s="198" t="str">
        <f ca="1">IF(C242&lt;&gt;"",
IF(IF(COUNTIF(C242,"*キャラ*"),
VLOOKUP("*キャラ*",商品マスタ一覧!$D:$E,2,FALSE),
VLOOKUP("*赤*",商品マスタ一覧!$D:$E,2,FALSE))=0,"",
IF(H242&lt;&gt;"",
IF(ROUND(
H242/IF(COUNTIF(C242,"*キャラ*"),
VLOOKUP("*キャラ*",商品マスタ一覧!$D:$E,2,FALSE),
VLOOKUP("*赤*",商品マスタ一覧!$D:$E,2,FALSE)),0)&lt;=0,1,
ROUND(
H242/IF(COUNTIF(C242,"*キャラ*"),
VLOOKUP("*キャラ*",商品マスタ一覧!$D:$E,2,FALSE),
VLOOKUP("*赤*",商品マスタ一覧!$D:$E,2,FALSE)),0)),"")),"")</f>
        <v/>
      </c>
      <c r="G242" s="199" t="str">
        <f ca="1">IF(F242&lt;&gt;"",IF(VALUE(H242)&gt;VALUE(IF(COUNTIF(C242,"*キャラ*"),
VLOOKUP("*キャラ*",商品マスタ一覧!$D:$E,2,FALSE),
VLOOKUP("*赤*",商品マスタ一覧!$D:$E,2,FALSE))*F242),
"+"&amp;H242-IF(COUNTIF(C242,"*キャラ*"),
VLOOKUP("*キャラ*",商品マスタ一覧!$D:$E,2,FALSE),
VLOOKUP("*赤*",商品マスタ一覧!$D:$E,2,FALSE))*F242,
H242-IF(COUNTIF(C242,"*キャラ*"),
VLOOKUP("*キャラ*",商品マスタ一覧!$D:$E,2,FALSE),
VLOOKUP("*赤*",商品マスタ一覧!$D:$E,2,FALSE))*F242),"")</f>
        <v/>
      </c>
      <c r="H242" s="196" t="str">
        <f t="array" aca="1" ref="H242" ca="1">IF(OR(INDIRECT("まとめ札!I"&amp;B239&amp;"")="",INDIRECT("まとめ札!I"&amp;B239&amp;"")=0),"",INDIRECT("まとめ札!I"&amp;B239&amp;""))</f>
        <v/>
      </c>
      <c r="I242" s="196"/>
      <c r="J242" s="196" t="str">
        <f ca="1">IF(C242&lt;&gt;"",
IF(OR(COUNTIF(C242,"*キャラ*"),COUNTIF(C242,"*赤*")),24,
VLOOKUP(C242,#REF!,6,FALSE)),"")</f>
        <v/>
      </c>
      <c r="M242" s="196"/>
      <c r="P242" s="196" t="str">
        <f t="shared" ca="1" si="96"/>
        <v/>
      </c>
      <c r="Q242" s="196" t="str">
        <f t="shared" ca="1" si="97"/>
        <v/>
      </c>
      <c r="R242" s="51" t="str">
        <f t="array" aca="1" ref="R242" ca="1">IFERROR(SMALL(IF(P$1:P$307&lt;&gt;0,P$1:P$307),ROW(A242)),"")</f>
        <v/>
      </c>
      <c r="S242" s="51" t="str">
        <f t="array" aca="1" ref="S242" ca="1">IF($R242&lt;&gt;"",
SUBSTITUTE(SUBSTITUTE(INDIRECT("C"&amp;$R242&amp;"")," 週3ｺｰｽ","")," 週5ｺｰｽ",""),"")</f>
        <v/>
      </c>
      <c r="T242" s="51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91" t="str">
        <f t="array" aca="1" ref="U242" ca="1">IF($R242&lt;&gt;"",
INDIRECT("F"&amp;$R242&amp;""),"")</f>
        <v/>
      </c>
      <c r="V242" s="51" t="str">
        <f t="array" aca="1" ref="V242" ca="1">IF($R242&lt;&gt;"",
INDIRECT("G"&amp;$R242&amp;""),"")</f>
        <v/>
      </c>
      <c r="W242" s="51" t="str">
        <f t="array" aca="1" ref="W242" ca="1">IF($R242&lt;&gt;"",
IF(AND(COUNTIF(INDIRECT("B"&amp;R242&amp;""),"*雙葉*"),COUNTIF(B:B,"*雙葉*")&gt;=2),
IF(OR(COUNTIF(INDIRECT("B"&amp;R242&amp;""),"*雙葉先生*"),COUNTIF($B$1:$B$70,"*雙葉*")&gt;=2),INDIRECT("H"&amp;R242&amp;""),INDIRECT("H"&amp;R242&amp;"")+INDIRECT("H"&amp;MATCH("雙葉'",INDIRECT("B"&amp;R242+3&amp;":B210"),0)+2+R242&amp;"")),
IF(AND(LEFT(INDIRECT("B"&amp;R242&amp;""),2)="博多",COUNTIF(B:B,"*博多*")&gt;=2),
INDIRECT("H"&amp;R242&amp;"")+INDIRECT("H"&amp;MATCH("*"&amp;INDIRECT("B"&amp;R242&amp;"")&amp;"*",INDIRECT("B"&amp;R242+1&amp;":B210"),0)+R242&amp;""),
IF(AND(LEFT(INDIRECT("B"&amp;R242&amp;""),3)="奈良屋",COUNTIF(B:B,"*奈良屋*")&gt;=2),
INDIRECT("H"&amp;R242&amp;"")+INDIRECT("H"&amp;MATCH("*"&amp;INDIRECT("B"&amp;R242&amp;"")&amp;"*",INDIRECT("B"&amp;R242+1&amp;":B210"),0)+R242&amp;"")
+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INDIRECT("H"&amp;R242&amp;"")))),"")</f>
        <v/>
      </c>
      <c r="X242" s="51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51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51" t="str">
        <f t="shared" ca="1" si="77"/>
        <v/>
      </c>
      <c r="AA242" s="51" t="str">
        <f t="shared" ca="1" si="78"/>
        <v/>
      </c>
      <c r="AB242" s="51" t="str">
        <f t="array" aca="1" ref="AB242" ca="1">IF($R242&lt;&gt;"",
IF(AND(COUNTIF(INDIRECT("B"&amp;R242&amp;""),"*雙葉*"),COUNTIF(B:B,"*雙葉*")&gt;=2),
INDIRECT("M"&amp;R242&amp;"")+INDIRECT("M"&amp;MATCH("雙葉'",INDIRECT("B"&amp;R242+1&amp;":B210"),0)+R242&amp;""),
IF(AND(LEFT(INDIRECT("B"&amp;R242&amp;""),2)="博多",COUNTIF(B:B,"*博多*")&gt;=2),
INDIRECT("M"&amp;R242&amp;"")+INDIRECT("M"&amp;MATCH("*"&amp;INDIRECT("B"&amp;R242&amp;"")&amp;"*",INDIRECT("B"&amp;R242+1&amp;":B210"),0)+R242&amp;""),
IF(AND(LEFT(INDIRECT("B"&amp;R242&amp;""),3)="奈良屋",COUNTIF(B:B,"*奈良屋*")&gt;=2),
INDIRECT("M"&amp;R242&amp;"")+INDIRECT("M"&amp;MATCH("*"&amp;INDIRECT("B"&amp;R242&amp;"")&amp;"*",INDIRECT("B"&amp;R242+1&amp;":B210"),0)+R242&amp;"")
+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INDIRECT("M"&amp;R242&amp;"")))),"")</f>
        <v/>
      </c>
      <c r="AC242" s="51" t="str">
        <f t="shared" ca="1" si="79"/>
        <v/>
      </c>
      <c r="AD242" s="51" t="str">
        <f t="shared" ca="1" si="80"/>
        <v/>
      </c>
      <c r="AE242" s="51" t="str">
        <f t="shared" ca="1" si="81"/>
        <v/>
      </c>
      <c r="AF242" s="51" t="str">
        <f t="shared" ca="1" si="82"/>
        <v/>
      </c>
      <c r="AG242" s="51" t="str">
        <f t="shared" ca="1" si="83"/>
        <v/>
      </c>
      <c r="AH242" s="191" t="str">
        <f t="shared" ca="1" si="84"/>
        <v/>
      </c>
      <c r="AI242" s="51" t="str">
        <f t="shared" ca="1" si="85"/>
        <v/>
      </c>
      <c r="AJ242" s="51" t="str">
        <f t="shared" ca="1" si="86"/>
        <v/>
      </c>
      <c r="AK242" s="51" t="str">
        <f t="shared" ca="1" si="87"/>
        <v/>
      </c>
      <c r="AL242" s="51" t="str">
        <f t="shared" ca="1" si="88"/>
        <v/>
      </c>
      <c r="AM242" s="51" t="str">
        <f t="shared" ca="1" si="89"/>
        <v/>
      </c>
      <c r="AN242" s="51" t="str">
        <f t="shared" ca="1" si="90"/>
        <v/>
      </c>
      <c r="AO242" s="51" t="str">
        <f t="shared" ca="1" si="91"/>
        <v/>
      </c>
      <c r="AP242" s="51" t="str">
        <f t="shared" ca="1" si="92"/>
        <v/>
      </c>
      <c r="AU242" s="51" t="str">
        <f t="shared" ca="1" si="93"/>
        <v/>
      </c>
    </row>
    <row r="243" spans="1:47">
      <c r="A243" s="176">
        <f ca="1">IF(C243&lt;&gt;"",MAX($A$239:$A$242)+1,"")</f>
        <v>154</v>
      </c>
      <c r="B243" s="196">
        <v>9</v>
      </c>
      <c r="C243" s="197" t="str">
        <f t="array" aca="1" ref="C243" ca="1">IF(INDIRECT("まとめ札!A"&amp;B243&amp;"")&lt;&gt;0,INDIRECT("まとめ札!A"&amp;B243&amp;"")&amp;"【1】","")</f>
        <v>社食  【1】</v>
      </c>
      <c r="D243" s="197"/>
      <c r="E243" s="197"/>
      <c r="F243" s="198" t="str">
        <f ca="1">IF(C243&lt;&gt;"",
IF(IF(COUNTIF(C243,"*キャラ*"),
VLOOKUP("*キャラ*",商品マスタ一覧!$D:$E,2,FALSE),
VLOOKUP("*赤*",商品マスタ一覧!$D:$E,2,FALSE))=0,"",
IF(H243&lt;&gt;"",
IF(ROUND(
H243/IF(COUNTIF(C243,"*キャラ*"),
VLOOKUP("*キャラ*",商品マスタ一覧!$D:$E,2,FALSE),
VLOOKUP("*赤*",商品マスタ一覧!$D:$E,2,FALSE)),0)&lt;=0,1,
ROUND(
H243/IF(COUNTIF(C243,"*キャラ*"),
VLOOKUP("*キャラ*",商品マスタ一覧!$D:$E,2,FALSE),
VLOOKUP("*赤*",商品マスタ一覧!$D:$E,2,FALSE)),0)),"")),"")</f>
        <v/>
      </c>
      <c r="G243" s="199" t="str">
        <f ca="1">IF(F243&lt;&gt;"",IF(VALUE(H243)&gt;VALUE(IF(COUNTIF(C243,"*キャラ*"),
VLOOKUP("*キャラ*",商品マスタ一覧!$D:$E,2,FALSE),
VLOOKUP("*赤*",商品マスタ一覧!$D:$E,2,FALSE))*F243),
"+"&amp;H243-IF(COUNTIF(C243,"*キャラ*"),
VLOOKUP("*キャラ*",商品マスタ一覧!$D:$E,2,FALSE),
VLOOKUP("*赤*",商品マスタ一覧!$D:$E,2,FALSE))*F243,
H243-IF(COUNTIF(C243,"*キャラ*"),
VLOOKUP("*キャラ*",商品マスタ一覧!$D:$E,2,FALSE),
VLOOKUP("*赤*",商品マスタ一覧!$D:$E,2,FALSE))*F243),"")</f>
        <v/>
      </c>
      <c r="H243" s="196" t="str">
        <f t="array" aca="1" ref="H243" ca="1">IF(INDIRECT("まとめ札!F"&amp;B243&amp;"")&lt;&gt;0,INDIRECT("まとめ札!F"&amp;B243&amp;""),"")</f>
        <v/>
      </c>
      <c r="I243" s="196"/>
      <c r="J243" s="196"/>
      <c r="M243" s="196"/>
      <c r="P243" s="196" t="str">
        <f t="shared" ca="1" si="96"/>
        <v/>
      </c>
      <c r="Q243" s="196" t="str">
        <f t="shared" ca="1" si="97"/>
        <v/>
      </c>
      <c r="R243" s="51" t="str">
        <f t="array" aca="1" ref="R243" ca="1">IFERROR(SMALL(IF(P$1:P$307&lt;&gt;0,P$1:P$307),ROW(A243)),"")</f>
        <v/>
      </c>
      <c r="S243" s="51" t="str">
        <f t="array" aca="1" ref="S243" ca="1">IF($R243&lt;&gt;"",
SUBSTITUTE(SUBSTITUTE(INDIRECT("C"&amp;$R243&amp;"")," 週3ｺｰｽ","")," 週5ｺｰｽ",""),"")</f>
        <v/>
      </c>
      <c r="T243" s="51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91" t="str">
        <f t="array" aca="1" ref="U243" ca="1">IF($R243&lt;&gt;"",
INDIRECT("F"&amp;$R243&amp;""),"")</f>
        <v/>
      </c>
      <c r="V243" s="51" t="str">
        <f t="array" aca="1" ref="V243" ca="1">IF($R243&lt;&gt;"",
INDIRECT("G"&amp;$R243&amp;""),"")</f>
        <v/>
      </c>
      <c r="W243" s="51" t="str">
        <f t="array" aca="1" ref="W243" ca="1">IF($R243&lt;&gt;"",
IF(AND(COUNTIF(INDIRECT("B"&amp;R243&amp;""),"*雙葉*"),COUNTIF(B:B,"*雙葉*")&gt;=2),
IF(OR(COUNTIF(INDIRECT("B"&amp;R243&amp;""),"*雙葉先生*"),COUNTIF($B$1:$B$70,"*雙葉*")&gt;=2),INDIRECT("H"&amp;R243&amp;""),INDIRECT("H"&amp;R243&amp;"")+INDIRECT("H"&amp;MATCH("雙葉'",INDIRECT("B"&amp;R243+3&amp;":B210"),0)+2+R243&amp;"")),
IF(AND(LEFT(INDIRECT("B"&amp;R243&amp;""),2)="博多",COUNTIF(B:B,"*博多*")&gt;=2),
INDIRECT("H"&amp;R243&amp;"")+INDIRECT("H"&amp;MATCH("*"&amp;INDIRECT("B"&amp;R243&amp;"")&amp;"*",INDIRECT("B"&amp;R243+1&amp;":B210"),0)+R243&amp;""),
IF(AND(LEFT(INDIRECT("B"&amp;R243&amp;""),3)="奈良屋",COUNTIF(B:B,"*奈良屋*")&gt;=2),
INDIRECT("H"&amp;R243&amp;"")+INDIRECT("H"&amp;MATCH("*"&amp;INDIRECT("B"&amp;R243&amp;"")&amp;"*",INDIRECT("B"&amp;R243+1&amp;":B210"),0)+R243&amp;"")
+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INDIRECT("H"&amp;R243&amp;"")))),"")</f>
        <v/>
      </c>
      <c r="X243" s="51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51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51" t="str">
        <f t="shared" ca="1" si="77"/>
        <v/>
      </c>
      <c r="AA243" s="51" t="str">
        <f t="shared" ca="1" si="78"/>
        <v/>
      </c>
      <c r="AB243" s="51" t="str">
        <f t="array" aca="1" ref="AB243" ca="1">IF($R243&lt;&gt;"",
IF(AND(COUNTIF(INDIRECT("B"&amp;R243&amp;""),"*雙葉*"),COUNTIF(B:B,"*雙葉*")&gt;=2),
INDIRECT("M"&amp;R243&amp;"")+INDIRECT("M"&amp;MATCH("雙葉'",INDIRECT("B"&amp;R243+1&amp;":B210"),0)+R243&amp;""),
IF(AND(LEFT(INDIRECT("B"&amp;R243&amp;""),2)="博多",COUNTIF(B:B,"*博多*")&gt;=2),
INDIRECT("M"&amp;R243&amp;"")+INDIRECT("M"&amp;MATCH("*"&amp;INDIRECT("B"&amp;R243&amp;"")&amp;"*",INDIRECT("B"&amp;R243+1&amp;":B210"),0)+R243&amp;""),
IF(AND(LEFT(INDIRECT("B"&amp;R243&amp;""),3)="奈良屋",COUNTIF(B:B,"*奈良屋*")&gt;=2),
INDIRECT("M"&amp;R243&amp;"")+INDIRECT("M"&amp;MATCH("*"&amp;INDIRECT("B"&amp;R243&amp;"")&amp;"*",INDIRECT("B"&amp;R243+1&amp;":B210"),0)+R243&amp;"")
+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INDIRECT("M"&amp;R243&amp;"")))),"")</f>
        <v/>
      </c>
      <c r="AC243" s="51" t="str">
        <f t="shared" ca="1" si="79"/>
        <v/>
      </c>
      <c r="AD243" s="51" t="str">
        <f t="shared" ca="1" si="80"/>
        <v/>
      </c>
      <c r="AE243" s="51" t="str">
        <f t="shared" ca="1" si="81"/>
        <v/>
      </c>
      <c r="AF243" s="51" t="str">
        <f t="shared" ca="1" si="82"/>
        <v/>
      </c>
      <c r="AG243" s="51" t="str">
        <f t="shared" ca="1" si="83"/>
        <v/>
      </c>
      <c r="AH243" s="191" t="str">
        <f t="shared" ca="1" si="84"/>
        <v/>
      </c>
      <c r="AI243" s="51" t="str">
        <f t="shared" ca="1" si="85"/>
        <v/>
      </c>
      <c r="AJ243" s="51" t="str">
        <f t="shared" ca="1" si="86"/>
        <v/>
      </c>
      <c r="AK243" s="51" t="str">
        <f t="shared" ca="1" si="87"/>
        <v/>
      </c>
      <c r="AL243" s="51" t="str">
        <f t="shared" ca="1" si="88"/>
        <v/>
      </c>
      <c r="AM243" s="51" t="str">
        <f t="shared" ca="1" si="89"/>
        <v/>
      </c>
      <c r="AN243" s="51" t="str">
        <f t="shared" ca="1" si="90"/>
        <v/>
      </c>
      <c r="AO243" s="51" t="str">
        <f t="shared" ca="1" si="91"/>
        <v/>
      </c>
      <c r="AP243" s="51" t="str">
        <f t="shared" ca="1" si="92"/>
        <v/>
      </c>
      <c r="AU243" s="51" t="str">
        <f t="shared" ca="1" si="93"/>
        <v/>
      </c>
    </row>
    <row r="244" spans="1:47">
      <c r="A244" s="176" t="str">
        <f ca="1">IF(C244&lt;&gt;"",A243+1,"")</f>
        <v/>
      </c>
      <c r="B244" s="196"/>
      <c r="C244" s="197" t="str">
        <f t="array" aca="1" ref="C244" ca="1">IF(OR(INDIRECT("まとめ札!G"&amp;B243&amp;"")="",INDIRECT("まとめ札!G"&amp;B243&amp;"")=0),"",INDIRECT("まとめ札!A"&amp;B243&amp;"")&amp;"【2】")</f>
        <v/>
      </c>
      <c r="D244" s="197"/>
      <c r="E244" s="197"/>
      <c r="F244" s="198" t="str">
        <f ca="1">IF(C244&lt;&gt;"",
IF(IF(COUNTIF(C244,"*キャラ*"),
VLOOKUP("*キャラ*",商品マスタ一覧!$D:$E,2,FALSE),
VLOOKUP("*赤*",商品マスタ一覧!$D:$E,2,FALSE))=0,"",
IF(H244&lt;&gt;"",
IF(ROUND(
H244/IF(COUNTIF(C244,"*キャラ*"),
VLOOKUP("*キャラ*",商品マスタ一覧!$D:$E,2,FALSE),
VLOOKUP("*赤*",商品マスタ一覧!$D:$E,2,FALSE)),0)&lt;=0,1,
ROUND(
H244/IF(COUNTIF(C244,"*キャラ*"),
VLOOKUP("*キャラ*",商品マスタ一覧!$D:$E,2,FALSE),
VLOOKUP("*赤*",商品マスタ一覧!$D:$E,2,FALSE)),0)),"")),"")</f>
        <v/>
      </c>
      <c r="G244" s="199" t="str">
        <f ca="1">IF(F244&lt;&gt;"",IF(VALUE(H244)&gt;VALUE(IF(COUNTIF(C244,"*キャラ*"),
VLOOKUP("*キャラ*",商品マスタ一覧!$D:$E,2,FALSE),
VLOOKUP("*赤*",商品マスタ一覧!$D:$E,2,FALSE))*F244),
"+"&amp;H244-IF(COUNTIF(C244,"*キャラ*"),
VLOOKUP("*キャラ*",商品マスタ一覧!$D:$E,2,FALSE),
VLOOKUP("*赤*",商品マスタ一覧!$D:$E,2,FALSE))*F244,
H244-IF(COUNTIF(C244,"*キャラ*"),
VLOOKUP("*キャラ*",商品マスタ一覧!$D:$E,2,FALSE),
VLOOKUP("*赤*",商品マスタ一覧!$D:$E,2,FALSE))*F244),"")</f>
        <v/>
      </c>
      <c r="H244" s="196" t="str">
        <f t="array" aca="1" ref="H244" ca="1">IF(OR(INDIRECT("まとめ札!G"&amp;B243&amp;"")="",INDIRECT("まとめ札!G"&amp;B243&amp;"")=0),"",INDIRECT("まとめ札!G"&amp;B243&amp;""))</f>
        <v/>
      </c>
      <c r="I244" s="196"/>
      <c r="J244" s="196" t="str">
        <f ca="1">IF(C244&lt;&gt;"",
IF(OR(COUNTIF(C244,"*キャラ*"),COUNTIF(C244,"*赤*")),24,
VLOOKUP(C244,#REF!,6,FALSE)),"")</f>
        <v/>
      </c>
      <c r="M244" s="196"/>
      <c r="P244" s="196" t="str">
        <f t="shared" ca="1" si="96"/>
        <v/>
      </c>
      <c r="Q244" s="196" t="str">
        <f t="shared" ca="1" si="97"/>
        <v/>
      </c>
      <c r="R244" s="51" t="str">
        <f t="array" aca="1" ref="R244" ca="1">IFERROR(SMALL(IF(P$1:P$307&lt;&gt;0,P$1:P$307),ROW(A244)),"")</f>
        <v/>
      </c>
      <c r="S244" s="51" t="str">
        <f t="array" aca="1" ref="S244" ca="1">IF($R244&lt;&gt;"",
SUBSTITUTE(SUBSTITUTE(INDIRECT("C"&amp;$R244&amp;"")," 週3ｺｰｽ","")," 週5ｺｰｽ",""),"")</f>
        <v/>
      </c>
      <c r="T244" s="51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91" t="str">
        <f t="array" aca="1" ref="U244" ca="1">IF($R244&lt;&gt;"",
INDIRECT("F"&amp;$R244&amp;""),"")</f>
        <v/>
      </c>
      <c r="V244" s="51" t="str">
        <f t="array" aca="1" ref="V244" ca="1">IF($R244&lt;&gt;"",
INDIRECT("G"&amp;$R244&amp;""),"")</f>
        <v/>
      </c>
      <c r="W244" s="51" t="str">
        <f t="array" aca="1" ref="W244" ca="1">IF($R244&lt;&gt;"",
IF(AND(COUNTIF(INDIRECT("B"&amp;R244&amp;""),"*雙葉*"),COUNTIF(B:B,"*雙葉*")&gt;=2),
IF(OR(COUNTIF(INDIRECT("B"&amp;R244&amp;""),"*雙葉先生*"),COUNTIF($B$1:$B$70,"*雙葉*")&gt;=2),INDIRECT("H"&amp;R244&amp;""),INDIRECT("H"&amp;R244&amp;"")+INDIRECT("H"&amp;MATCH("雙葉'",INDIRECT("B"&amp;R244+3&amp;":B210"),0)+2+R244&amp;"")),
IF(AND(LEFT(INDIRECT("B"&amp;R244&amp;""),2)="博多",COUNTIF(B:B,"*博多*")&gt;=2),
INDIRECT("H"&amp;R244&amp;"")+INDIRECT("H"&amp;MATCH("*"&amp;INDIRECT("B"&amp;R244&amp;"")&amp;"*",INDIRECT("B"&amp;R244+1&amp;":B210"),0)+R244&amp;""),
IF(AND(LEFT(INDIRECT("B"&amp;R244&amp;""),3)="奈良屋",COUNTIF(B:B,"*奈良屋*")&gt;=2),
INDIRECT("H"&amp;R244&amp;"")+INDIRECT("H"&amp;MATCH("*"&amp;INDIRECT("B"&amp;R244&amp;"")&amp;"*",INDIRECT("B"&amp;R244+1&amp;":B210"),0)+R244&amp;"")
+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INDIRECT("H"&amp;R244&amp;"")))),"")</f>
        <v/>
      </c>
      <c r="X244" s="51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51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51" t="str">
        <f t="shared" ca="1" si="77"/>
        <v/>
      </c>
      <c r="AA244" s="51" t="str">
        <f t="shared" ca="1" si="78"/>
        <v/>
      </c>
      <c r="AB244" s="51" t="str">
        <f t="array" aca="1" ref="AB244" ca="1">IF($R244&lt;&gt;"",
IF(AND(COUNTIF(INDIRECT("B"&amp;R244&amp;""),"*雙葉*"),COUNTIF(B:B,"*雙葉*")&gt;=2),
INDIRECT("M"&amp;R244&amp;"")+INDIRECT("M"&amp;MATCH("雙葉'",INDIRECT("B"&amp;R244+1&amp;":B210"),0)+R244&amp;""),
IF(AND(LEFT(INDIRECT("B"&amp;R244&amp;""),2)="博多",COUNTIF(B:B,"*博多*")&gt;=2),
INDIRECT("M"&amp;R244&amp;"")+INDIRECT("M"&amp;MATCH("*"&amp;INDIRECT("B"&amp;R244&amp;"")&amp;"*",INDIRECT("B"&amp;R244+1&amp;":B210"),0)+R244&amp;""),
IF(AND(LEFT(INDIRECT("B"&amp;R244&amp;""),3)="奈良屋",COUNTIF(B:B,"*奈良屋*")&gt;=2),
INDIRECT("M"&amp;R244&amp;"")+INDIRECT("M"&amp;MATCH("*"&amp;INDIRECT("B"&amp;R244&amp;"")&amp;"*",INDIRECT("B"&amp;R244+1&amp;":B210"),0)+R244&amp;"")
+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INDIRECT("M"&amp;R244&amp;"")))),"")</f>
        <v/>
      </c>
      <c r="AC244" s="51" t="str">
        <f t="shared" ca="1" si="79"/>
        <v/>
      </c>
      <c r="AD244" s="51" t="str">
        <f t="shared" ca="1" si="80"/>
        <v/>
      </c>
      <c r="AE244" s="51" t="str">
        <f t="shared" ca="1" si="81"/>
        <v/>
      </c>
      <c r="AF244" s="51" t="str">
        <f t="shared" ca="1" si="82"/>
        <v/>
      </c>
      <c r="AG244" s="51" t="str">
        <f t="shared" ca="1" si="83"/>
        <v/>
      </c>
      <c r="AH244" s="191" t="str">
        <f t="shared" ca="1" si="84"/>
        <v/>
      </c>
      <c r="AI244" s="51" t="str">
        <f t="shared" ca="1" si="85"/>
        <v/>
      </c>
      <c r="AJ244" s="51" t="str">
        <f t="shared" ca="1" si="86"/>
        <v/>
      </c>
      <c r="AK244" s="51" t="str">
        <f t="shared" ca="1" si="87"/>
        <v/>
      </c>
      <c r="AL244" s="51" t="str">
        <f t="shared" ca="1" si="88"/>
        <v/>
      </c>
      <c r="AM244" s="51" t="str">
        <f t="shared" ca="1" si="89"/>
        <v/>
      </c>
      <c r="AN244" s="51" t="str">
        <f t="shared" ca="1" si="90"/>
        <v/>
      </c>
      <c r="AO244" s="51" t="str">
        <f t="shared" ca="1" si="91"/>
        <v/>
      </c>
      <c r="AP244" s="51" t="str">
        <f t="shared" ca="1" si="92"/>
        <v/>
      </c>
      <c r="AU244" s="51" t="str">
        <f t="shared" ca="1" si="93"/>
        <v/>
      </c>
    </row>
    <row r="245" spans="1:47">
      <c r="A245" s="176" t="str">
        <f ca="1">IF(C245&lt;&gt;"",A244+1,"")</f>
        <v/>
      </c>
      <c r="B245" s="196"/>
      <c r="C245" s="197" t="str">
        <f t="array" aca="1" ref="C245" ca="1">IF(OR(INDIRECT("まとめ札!H"&amp;B243&amp;"")="",INDIRECT("まとめ札!H"&amp;B243&amp;"")=0),"",INDIRECT("まとめ札!A"&amp;B243&amp;"")&amp;"【3】")</f>
        <v/>
      </c>
      <c r="D245" s="197"/>
      <c r="E245" s="197"/>
      <c r="F245" s="198" t="str">
        <f ca="1">IF(C245&lt;&gt;"",
IF(IF(COUNTIF(C245,"*キャラ*"),
VLOOKUP("*キャラ*",商品マスタ一覧!$D:$E,2,FALSE),
VLOOKUP("*赤*",商品マスタ一覧!$D:$E,2,FALSE))=0,"",
IF(H245&lt;&gt;"",
IF(ROUND(
H245/IF(COUNTIF(C245,"*キャラ*"),
VLOOKUP("*キャラ*",商品マスタ一覧!$D:$E,2,FALSE),
VLOOKUP("*赤*",商品マスタ一覧!$D:$E,2,FALSE)),0)&lt;=0,1,
ROUND(
H245/IF(COUNTIF(C245,"*キャラ*"),
VLOOKUP("*キャラ*",商品マスタ一覧!$D:$E,2,FALSE),
VLOOKUP("*赤*",商品マスタ一覧!$D:$E,2,FALSE)),0)),"")),"")</f>
        <v/>
      </c>
      <c r="G245" s="199" t="str">
        <f ca="1">IF(F245&lt;&gt;"",IF(VALUE(H245)&gt;VALUE(IF(COUNTIF(C245,"*キャラ*"),
VLOOKUP("*キャラ*",商品マスタ一覧!$D:$E,2,FALSE),
VLOOKUP("*赤*",商品マスタ一覧!$D:$E,2,FALSE))*F245),
"+"&amp;H245-IF(COUNTIF(C245,"*キャラ*"),
VLOOKUP("*キャラ*",商品マスタ一覧!$D:$E,2,FALSE),
VLOOKUP("*赤*",商品マスタ一覧!$D:$E,2,FALSE))*F245,
H245-IF(COUNTIF(C245,"*キャラ*"),
VLOOKUP("*キャラ*",商品マスタ一覧!$D:$E,2,FALSE),
VLOOKUP("*赤*",商品マスタ一覧!$D:$E,2,FALSE))*F245),"")</f>
        <v/>
      </c>
      <c r="H245" s="196" t="str">
        <f t="array" aca="1" ref="H245" ca="1">IF(OR(INDIRECT("まとめ札!H"&amp;B243&amp;"")="",INDIRECT("まとめ札!H"&amp;B243&amp;"")=0),"",INDIRECT("まとめ札!H"&amp;B243&amp;""))</f>
        <v/>
      </c>
      <c r="I245" s="196"/>
      <c r="J245" s="196" t="str">
        <f ca="1">IF(C245&lt;&gt;"",
IF(OR(COUNTIF(C245,"*キャラ*"),COUNTIF(C245,"*赤*")),24,
VLOOKUP(C245,#REF!,6,FALSE)),"")</f>
        <v/>
      </c>
      <c r="M245" s="196"/>
      <c r="P245" s="196" t="str">
        <f t="shared" ca="1" si="96"/>
        <v/>
      </c>
      <c r="Q245" s="196" t="str">
        <f t="shared" ca="1" si="97"/>
        <v/>
      </c>
      <c r="R245" s="51" t="str">
        <f t="array" aca="1" ref="R245" ca="1">IFERROR(SMALL(IF(P$1:P$307&lt;&gt;0,P$1:P$307),ROW(A245)),"")</f>
        <v/>
      </c>
      <c r="S245" s="51" t="str">
        <f t="array" aca="1" ref="S245" ca="1">IF($R245&lt;&gt;"",
SUBSTITUTE(SUBSTITUTE(INDIRECT("C"&amp;$R245&amp;"")," 週3ｺｰｽ","")," 週5ｺｰｽ",""),"")</f>
        <v/>
      </c>
      <c r="T245" s="51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91" t="str">
        <f t="array" aca="1" ref="U245" ca="1">IF($R245&lt;&gt;"",
INDIRECT("F"&amp;$R245&amp;""),"")</f>
        <v/>
      </c>
      <c r="V245" s="51" t="str">
        <f t="array" aca="1" ref="V245" ca="1">IF($R245&lt;&gt;"",
INDIRECT("G"&amp;$R245&amp;""),"")</f>
        <v/>
      </c>
      <c r="W245" s="51" t="str">
        <f t="array" aca="1" ref="W245" ca="1">IF($R245&lt;&gt;"",
IF(AND(COUNTIF(INDIRECT("B"&amp;R245&amp;""),"*雙葉*"),COUNTIF(B:B,"*雙葉*")&gt;=2),
IF(OR(COUNTIF(INDIRECT("B"&amp;R245&amp;""),"*雙葉先生*"),COUNTIF($B$1:$B$70,"*雙葉*")&gt;=2),INDIRECT("H"&amp;R245&amp;""),INDIRECT("H"&amp;R245&amp;"")+INDIRECT("H"&amp;MATCH("雙葉'",INDIRECT("B"&amp;R245+3&amp;":B210"),0)+2+R245&amp;"")),
IF(AND(LEFT(INDIRECT("B"&amp;R245&amp;""),2)="博多",COUNTIF(B:B,"*博多*")&gt;=2),
INDIRECT("H"&amp;R245&amp;"")+INDIRECT("H"&amp;MATCH("*"&amp;INDIRECT("B"&amp;R245&amp;"")&amp;"*",INDIRECT("B"&amp;R245+1&amp;":B210"),0)+R245&amp;""),
IF(AND(LEFT(INDIRECT("B"&amp;R245&amp;""),3)="奈良屋",COUNTIF(B:B,"*奈良屋*")&gt;=2),
INDIRECT("H"&amp;R245&amp;"")+INDIRECT("H"&amp;MATCH("*"&amp;INDIRECT("B"&amp;R245&amp;"")&amp;"*",INDIRECT("B"&amp;R245+1&amp;":B210"),0)+R245&amp;"")
+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INDIRECT("H"&amp;R245&amp;"")))),"")</f>
        <v/>
      </c>
      <c r="X245" s="51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51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51" t="str">
        <f t="shared" ca="1" si="77"/>
        <v/>
      </c>
      <c r="AA245" s="51" t="str">
        <f t="shared" ca="1" si="78"/>
        <v/>
      </c>
      <c r="AB245" s="51" t="str">
        <f t="array" aca="1" ref="AB245" ca="1">IF($R245&lt;&gt;"",
IF(AND(COUNTIF(INDIRECT("B"&amp;R245&amp;""),"*雙葉*"),COUNTIF(B:B,"*雙葉*")&gt;=2),
INDIRECT("M"&amp;R245&amp;"")+INDIRECT("M"&amp;MATCH("雙葉'",INDIRECT("B"&amp;R245+1&amp;":B210"),0)+R245&amp;""),
IF(AND(LEFT(INDIRECT("B"&amp;R245&amp;""),2)="博多",COUNTIF(B:B,"*博多*")&gt;=2),
INDIRECT("M"&amp;R245&amp;"")+INDIRECT("M"&amp;MATCH("*"&amp;INDIRECT("B"&amp;R245&amp;"")&amp;"*",INDIRECT("B"&amp;R245+1&amp;":B210"),0)+R245&amp;""),
IF(AND(LEFT(INDIRECT("B"&amp;R245&amp;""),3)="奈良屋",COUNTIF(B:B,"*奈良屋*")&gt;=2),
INDIRECT("M"&amp;R245&amp;"")+INDIRECT("M"&amp;MATCH("*"&amp;INDIRECT("B"&amp;R245&amp;"")&amp;"*",INDIRECT("B"&amp;R245+1&amp;":B210"),0)+R245&amp;"")
+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INDIRECT("M"&amp;R245&amp;"")))),"")</f>
        <v/>
      </c>
      <c r="AC245" s="51" t="str">
        <f t="shared" ca="1" si="79"/>
        <v/>
      </c>
      <c r="AD245" s="51" t="str">
        <f t="shared" ca="1" si="80"/>
        <v/>
      </c>
      <c r="AE245" s="51" t="str">
        <f t="shared" ca="1" si="81"/>
        <v/>
      </c>
      <c r="AF245" s="51" t="str">
        <f t="shared" ca="1" si="82"/>
        <v/>
      </c>
      <c r="AG245" s="51" t="str">
        <f t="shared" ca="1" si="83"/>
        <v/>
      </c>
      <c r="AH245" s="191" t="str">
        <f t="shared" ca="1" si="84"/>
        <v/>
      </c>
      <c r="AI245" s="51" t="str">
        <f t="shared" ca="1" si="85"/>
        <v/>
      </c>
      <c r="AJ245" s="51" t="str">
        <f t="shared" ca="1" si="86"/>
        <v/>
      </c>
      <c r="AK245" s="51" t="str">
        <f t="shared" ca="1" si="87"/>
        <v/>
      </c>
      <c r="AL245" s="51" t="str">
        <f t="shared" ca="1" si="88"/>
        <v/>
      </c>
      <c r="AM245" s="51" t="str">
        <f t="shared" ca="1" si="89"/>
        <v/>
      </c>
      <c r="AN245" s="51" t="str">
        <f t="shared" ca="1" si="90"/>
        <v/>
      </c>
      <c r="AO245" s="51" t="str">
        <f t="shared" ca="1" si="91"/>
        <v/>
      </c>
      <c r="AP245" s="51" t="str">
        <f t="shared" ca="1" si="92"/>
        <v/>
      </c>
      <c r="AU245" s="51" t="str">
        <f t="shared" ca="1" si="93"/>
        <v/>
      </c>
    </row>
    <row r="246" spans="1:47">
      <c r="A246" s="176" t="str">
        <f ca="1">IF(C246&lt;&gt;"",A245+1,"")</f>
        <v/>
      </c>
      <c r="B246" s="196"/>
      <c r="C246" s="197" t="str">
        <f t="array" aca="1" ref="C246" ca="1">IF(OR(INDIRECT("まとめ札!I"&amp;B243&amp;"")="",INDIRECT("まとめ札!I"&amp;B243&amp;"")=0),"",INDIRECT("まとめ札!A"&amp;B243&amp;"")&amp;"【4】")</f>
        <v/>
      </c>
      <c r="D246" s="197"/>
      <c r="E246" s="197"/>
      <c r="F246" s="198" t="str">
        <f ca="1">IF(C246&lt;&gt;"",
IF(IF(COUNTIF(C246,"*キャラ*"),
VLOOKUP("*キャラ*",商品マスタ一覧!$D:$E,2,FALSE),
VLOOKUP("*赤*",商品マスタ一覧!$D:$E,2,FALSE))=0,"",
IF(H246&lt;&gt;"",
IF(ROUND(
H246/IF(COUNTIF(C246,"*キャラ*"),
VLOOKUP("*キャラ*",商品マスタ一覧!$D:$E,2,FALSE),
VLOOKUP("*赤*",商品マスタ一覧!$D:$E,2,FALSE)),0)&lt;=0,1,
ROUND(
H246/IF(COUNTIF(C246,"*キャラ*"),
VLOOKUP("*キャラ*",商品マスタ一覧!$D:$E,2,FALSE),
VLOOKUP("*赤*",商品マスタ一覧!$D:$E,2,FALSE)),0)),"")),"")</f>
        <v/>
      </c>
      <c r="G246" s="199" t="str">
        <f ca="1">IF(F246&lt;&gt;"",IF(VALUE(H246)&gt;VALUE(IF(COUNTIF(C246,"*キャラ*"),
VLOOKUP("*キャラ*",商品マスタ一覧!$D:$E,2,FALSE),
VLOOKUP("*赤*",商品マスタ一覧!$D:$E,2,FALSE))*F246),
"+"&amp;H246-IF(COUNTIF(C246,"*キャラ*"),
VLOOKUP("*キャラ*",商品マスタ一覧!$D:$E,2,FALSE),
VLOOKUP("*赤*",商品マスタ一覧!$D:$E,2,FALSE))*F246,
H246-IF(COUNTIF(C246,"*キャラ*"),
VLOOKUP("*キャラ*",商品マスタ一覧!$D:$E,2,FALSE),
VLOOKUP("*赤*",商品マスタ一覧!$D:$E,2,FALSE))*F246),"")</f>
        <v/>
      </c>
      <c r="H246" s="196" t="str">
        <f t="array" aca="1" ref="H246" ca="1">IF(OR(INDIRECT("まとめ札!I"&amp;B243&amp;"")="",INDIRECT("まとめ札!I"&amp;B243&amp;"")=0),"",INDIRECT("まとめ札!I"&amp;B243&amp;""))</f>
        <v/>
      </c>
      <c r="I246" s="196"/>
      <c r="J246" s="196" t="str">
        <f ca="1">IF(C246&lt;&gt;"",
IF(OR(COUNTIF(C246,"*キャラ*"),COUNTIF(C246,"*赤*")),24,
VLOOKUP(C246,#REF!,6,FALSE)),"")</f>
        <v/>
      </c>
      <c r="M246" s="196"/>
      <c r="P246" s="196" t="str">
        <f t="shared" ca="1" si="96"/>
        <v/>
      </c>
      <c r="Q246" s="196" t="str">
        <f t="shared" ca="1" si="97"/>
        <v/>
      </c>
      <c r="R246" s="51" t="str">
        <f t="array" aca="1" ref="R246" ca="1">IFERROR(SMALL(IF(P$1:P$307&lt;&gt;0,P$1:P$307),ROW(A246)),"")</f>
        <v/>
      </c>
      <c r="S246" s="51" t="str">
        <f t="array" aca="1" ref="S246" ca="1">IF($R246&lt;&gt;"",
SUBSTITUTE(SUBSTITUTE(INDIRECT("C"&amp;$R246&amp;"")," 週3ｺｰｽ","")," 週5ｺｰｽ",""),"")</f>
        <v/>
      </c>
      <c r="T246" s="51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91" t="str">
        <f t="array" aca="1" ref="U246" ca="1">IF($R246&lt;&gt;"",
INDIRECT("F"&amp;$R246&amp;""),"")</f>
        <v/>
      </c>
      <c r="V246" s="51" t="str">
        <f t="array" aca="1" ref="V246" ca="1">IF($R246&lt;&gt;"",
INDIRECT("G"&amp;$R246&amp;""),"")</f>
        <v/>
      </c>
      <c r="W246" s="51" t="str">
        <f t="array" aca="1" ref="W246" ca="1">IF($R246&lt;&gt;"",
IF(AND(COUNTIF(INDIRECT("B"&amp;R246&amp;""),"*雙葉*"),COUNTIF(B:B,"*雙葉*")&gt;=2),
IF(OR(COUNTIF(INDIRECT("B"&amp;R246&amp;""),"*雙葉先生*"),COUNTIF($B$1:$B$70,"*雙葉*")&gt;=2),INDIRECT("H"&amp;R246&amp;""),INDIRECT("H"&amp;R246&amp;"")+INDIRECT("H"&amp;MATCH("雙葉'",INDIRECT("B"&amp;R246+3&amp;":B210"),0)+2+R246&amp;"")),
IF(AND(LEFT(INDIRECT("B"&amp;R246&amp;""),2)="博多",COUNTIF(B:B,"*博多*")&gt;=2),
INDIRECT("H"&amp;R246&amp;"")+INDIRECT("H"&amp;MATCH("*"&amp;INDIRECT("B"&amp;R246&amp;"")&amp;"*",INDIRECT("B"&amp;R246+1&amp;":B210"),0)+R246&amp;""),
IF(AND(LEFT(INDIRECT("B"&amp;R246&amp;""),3)="奈良屋",COUNTIF(B:B,"*奈良屋*")&gt;=2),
INDIRECT("H"&amp;R246&amp;"")+INDIRECT("H"&amp;MATCH("*"&amp;INDIRECT("B"&amp;R246&amp;"")&amp;"*",INDIRECT("B"&amp;R246+1&amp;":B210"),0)+R246&amp;"")
+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INDIRECT("H"&amp;R246&amp;"")))),"")</f>
        <v/>
      </c>
      <c r="X246" s="51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51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51" t="str">
        <f t="shared" ca="1" si="77"/>
        <v/>
      </c>
      <c r="AA246" s="51" t="str">
        <f t="shared" ca="1" si="78"/>
        <v/>
      </c>
      <c r="AB246" s="51" t="str">
        <f t="array" aca="1" ref="AB246" ca="1">IF($R246&lt;&gt;"",
IF(AND(COUNTIF(INDIRECT("B"&amp;R246&amp;""),"*雙葉*"),COUNTIF(B:B,"*雙葉*")&gt;=2),
INDIRECT("M"&amp;R246&amp;"")+INDIRECT("M"&amp;MATCH("雙葉'",INDIRECT("B"&amp;R246+1&amp;":B210"),0)+R246&amp;""),
IF(AND(LEFT(INDIRECT("B"&amp;R246&amp;""),2)="博多",COUNTIF(B:B,"*博多*")&gt;=2),
INDIRECT("M"&amp;R246&amp;"")+INDIRECT("M"&amp;MATCH("*"&amp;INDIRECT("B"&amp;R246&amp;"")&amp;"*",INDIRECT("B"&amp;R246+1&amp;":B210"),0)+R246&amp;""),
IF(AND(LEFT(INDIRECT("B"&amp;R246&amp;""),3)="奈良屋",COUNTIF(B:B,"*奈良屋*")&gt;=2),
INDIRECT("M"&amp;R246&amp;"")+INDIRECT("M"&amp;MATCH("*"&amp;INDIRECT("B"&amp;R246&amp;"")&amp;"*",INDIRECT("B"&amp;R246+1&amp;":B210"),0)+R246&amp;"")
+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INDIRECT("M"&amp;R246&amp;"")))),"")</f>
        <v/>
      </c>
      <c r="AC246" s="51" t="str">
        <f t="shared" ca="1" si="79"/>
        <v/>
      </c>
      <c r="AD246" s="51" t="str">
        <f t="shared" ca="1" si="80"/>
        <v/>
      </c>
      <c r="AE246" s="51" t="str">
        <f t="shared" ca="1" si="81"/>
        <v/>
      </c>
      <c r="AF246" s="51" t="str">
        <f t="shared" ca="1" si="82"/>
        <v/>
      </c>
      <c r="AG246" s="51" t="str">
        <f t="shared" ca="1" si="83"/>
        <v/>
      </c>
      <c r="AH246" s="191" t="str">
        <f t="shared" ca="1" si="84"/>
        <v/>
      </c>
      <c r="AI246" s="51" t="str">
        <f t="shared" ca="1" si="85"/>
        <v/>
      </c>
      <c r="AJ246" s="51" t="str">
        <f t="shared" ca="1" si="86"/>
        <v/>
      </c>
      <c r="AK246" s="51" t="str">
        <f t="shared" ca="1" si="87"/>
        <v/>
      </c>
      <c r="AL246" s="51" t="str">
        <f t="shared" ca="1" si="88"/>
        <v/>
      </c>
      <c r="AM246" s="51" t="str">
        <f t="shared" ca="1" si="89"/>
        <v/>
      </c>
      <c r="AN246" s="51" t="str">
        <f t="shared" ca="1" si="90"/>
        <v/>
      </c>
      <c r="AO246" s="51" t="str">
        <f t="shared" ca="1" si="91"/>
        <v/>
      </c>
      <c r="AP246" s="51" t="str">
        <f t="shared" ca="1" si="92"/>
        <v/>
      </c>
      <c r="AU246" s="51" t="str">
        <f t="shared" ca="1" si="93"/>
        <v/>
      </c>
    </row>
    <row r="247" spans="1:47">
      <c r="A247" s="176" t="str">
        <f ca="1">IF(C247&lt;&gt;"",MATCH("*"&amp;LEFT(C247,4)&amp;"*",数出表_Excel!A:A,0),"")</f>
        <v/>
      </c>
      <c r="B247" s="183"/>
      <c r="C247" s="200" t="str">
        <f ca="1">先生札!R1</f>
        <v/>
      </c>
      <c r="D247" s="200">
        <f ca="1">先生札!S1</f>
        <v>0</v>
      </c>
      <c r="E247" s="183"/>
      <c r="F247" s="183" t="str">
        <f>""</f>
        <v/>
      </c>
      <c r="G247" s="183" t="str">
        <f>""</f>
        <v/>
      </c>
      <c r="H247" s="183" t="str">
        <f ca="1">先生札!T1</f>
        <v/>
      </c>
      <c r="I247" s="183" t="str">
        <f>""</f>
        <v/>
      </c>
      <c r="J247" s="183" t="str">
        <f>""</f>
        <v/>
      </c>
      <c r="M247" s="183"/>
      <c r="P247" s="183" t="str">
        <f t="shared" ref="P247:P265" ca="1" si="98">IF(Q247&lt;&gt;"",ROW(),"")</f>
        <v/>
      </c>
      <c r="Q247" s="183" t="str">
        <f t="shared" ca="1" si="97"/>
        <v/>
      </c>
      <c r="R247" s="51" t="str">
        <f t="array" aca="1" ref="R247" ca="1">IFERROR(SMALL(IF(P$1:P$307&lt;&gt;0,P$1:P$307),ROW(A247)),"")</f>
        <v/>
      </c>
      <c r="S247" s="51" t="str">
        <f t="array" aca="1" ref="S247" ca="1">IF($R247&lt;&gt;"",
SUBSTITUTE(SUBSTITUTE(INDIRECT("C"&amp;$R247&amp;"")," 週3ｺｰｽ","")," 週5ｺｰｽ",""),"")</f>
        <v/>
      </c>
      <c r="T247" s="51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91" t="str">
        <f t="array" aca="1" ref="U247" ca="1">IF($R247&lt;&gt;"",
INDIRECT("F"&amp;$R247&amp;""),"")</f>
        <v/>
      </c>
      <c r="V247" s="51" t="str">
        <f t="array" aca="1" ref="V247" ca="1">IF($R247&lt;&gt;"",
INDIRECT("G"&amp;$R247&amp;""),"")</f>
        <v/>
      </c>
      <c r="W247" s="51" t="str">
        <f t="array" aca="1" ref="W247" ca="1">IF($R247&lt;&gt;"",
IF(AND(COUNTIF(INDIRECT("B"&amp;R247&amp;""),"*雙葉*"),COUNTIF(B:B,"*雙葉*")&gt;=2),
IF(OR(COUNTIF(INDIRECT("B"&amp;R247&amp;""),"*雙葉先生*"),COUNTIF($B$1:$B$70,"*雙葉*")&gt;=2),INDIRECT("H"&amp;R247&amp;""),INDIRECT("H"&amp;R247&amp;"")+INDIRECT("H"&amp;MATCH("雙葉'",INDIRECT("B"&amp;R247+3&amp;":B210"),0)+2+R247&amp;"")),
IF(AND(LEFT(INDIRECT("B"&amp;R247&amp;""),2)="博多",COUNTIF(B:B,"*博多*")&gt;=2),
INDIRECT("H"&amp;R247&amp;"")+INDIRECT("H"&amp;MATCH("*"&amp;INDIRECT("B"&amp;R247&amp;"")&amp;"*",INDIRECT("B"&amp;R247+1&amp;":B210"),0)+R247&amp;""),
IF(AND(LEFT(INDIRECT("B"&amp;R247&amp;""),3)="奈良屋",COUNTIF(B:B,"*奈良屋*")&gt;=2),
INDIRECT("H"&amp;R247&amp;"")+INDIRECT("H"&amp;MATCH("*"&amp;INDIRECT("B"&amp;R247&amp;"")&amp;"*",INDIRECT("B"&amp;R247+1&amp;":B210"),0)+R247&amp;"")
+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INDIRECT("H"&amp;R247&amp;"")))),"")</f>
        <v/>
      </c>
      <c r="X247" s="51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51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51" t="str">
        <f t="shared" ca="1" si="77"/>
        <v/>
      </c>
      <c r="AA247" s="51" t="str">
        <f t="shared" ca="1" si="78"/>
        <v/>
      </c>
      <c r="AB247" s="51" t="str">
        <f t="array" aca="1" ref="AB247" ca="1">IF($R247&lt;&gt;"",
IF(AND(COUNTIF(INDIRECT("B"&amp;R247&amp;""),"*雙葉*"),COUNTIF(B:B,"*雙葉*")&gt;=2),
INDIRECT("M"&amp;R247&amp;"")+INDIRECT("M"&amp;MATCH("雙葉'",INDIRECT("B"&amp;R247+1&amp;":B210"),0)+R247&amp;""),
IF(AND(LEFT(INDIRECT("B"&amp;R247&amp;""),2)="博多",COUNTIF(B:B,"*博多*")&gt;=2),
INDIRECT("M"&amp;R247&amp;"")+INDIRECT("M"&amp;MATCH("*"&amp;INDIRECT("B"&amp;R247&amp;"")&amp;"*",INDIRECT("B"&amp;R247+1&amp;":B210"),0)+R247&amp;""),
IF(AND(LEFT(INDIRECT("B"&amp;R247&amp;""),3)="奈良屋",COUNTIF(B:B,"*奈良屋*")&gt;=2),
INDIRECT("M"&amp;R247&amp;"")+INDIRECT("M"&amp;MATCH("*"&amp;INDIRECT("B"&amp;R247&amp;"")&amp;"*",INDIRECT("B"&amp;R247+1&amp;":B210"),0)+R247&amp;"")
+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INDIRECT("M"&amp;R247&amp;"")))),"")</f>
        <v/>
      </c>
      <c r="AC247" s="51" t="str">
        <f t="shared" ca="1" si="79"/>
        <v/>
      </c>
      <c r="AD247" s="51" t="str">
        <f t="shared" ca="1" si="80"/>
        <v/>
      </c>
      <c r="AE247" s="51" t="str">
        <f t="shared" ca="1" si="81"/>
        <v/>
      </c>
      <c r="AF247" s="51" t="str">
        <f t="shared" ca="1" si="82"/>
        <v/>
      </c>
      <c r="AG247" s="51" t="str">
        <f t="shared" ca="1" si="83"/>
        <v/>
      </c>
      <c r="AH247" s="191" t="str">
        <f t="shared" ca="1" si="84"/>
        <v/>
      </c>
      <c r="AI247" s="51" t="str">
        <f t="shared" ca="1" si="85"/>
        <v/>
      </c>
      <c r="AJ247" s="51" t="str">
        <f t="shared" ca="1" si="86"/>
        <v/>
      </c>
      <c r="AK247" s="51" t="str">
        <f t="shared" ca="1" si="87"/>
        <v/>
      </c>
      <c r="AL247" s="51" t="str">
        <f t="shared" ca="1" si="88"/>
        <v/>
      </c>
      <c r="AM247" s="51" t="str">
        <f t="shared" ca="1" si="89"/>
        <v/>
      </c>
      <c r="AN247" s="51" t="str">
        <f t="shared" ca="1" si="90"/>
        <v/>
      </c>
      <c r="AO247" s="51" t="str">
        <f t="shared" ca="1" si="91"/>
        <v/>
      </c>
      <c r="AP247" s="51" t="str">
        <f t="shared" ca="1" si="92"/>
        <v/>
      </c>
      <c r="AU247" s="51" t="str">
        <f t="shared" ca="1" si="93"/>
        <v/>
      </c>
    </row>
    <row r="248" spans="1:47">
      <c r="A248" s="176" t="str">
        <f ca="1">IF(C248&lt;&gt;"",MATCH("*"&amp;LEFT(C248,4)&amp;"*",数出表_Excel!A:A,0),"")</f>
        <v/>
      </c>
      <c r="B248" s="183"/>
      <c r="C248" s="200" t="str">
        <f ca="1">先生札!R2</f>
        <v/>
      </c>
      <c r="D248" s="200">
        <f ca="1">先生札!S2</f>
        <v>0</v>
      </c>
      <c r="E248" s="183"/>
      <c r="F248" s="183" t="str">
        <f>""</f>
        <v/>
      </c>
      <c r="G248" s="183" t="str">
        <f>""</f>
        <v/>
      </c>
      <c r="H248" s="183" t="str">
        <f ca="1">先生札!T2</f>
        <v/>
      </c>
      <c r="I248" s="183" t="str">
        <f>""</f>
        <v/>
      </c>
      <c r="J248" s="183" t="str">
        <f>""</f>
        <v/>
      </c>
      <c r="M248" s="183"/>
      <c r="P248" s="183" t="str">
        <f t="shared" ca="1" si="98"/>
        <v/>
      </c>
      <c r="Q248" s="183" t="str">
        <f t="shared" ca="1" si="97"/>
        <v/>
      </c>
      <c r="R248" s="51" t="str">
        <f t="array" aca="1" ref="R248" ca="1">IFERROR(SMALL(IF(P$1:P$307&lt;&gt;0,P$1:P$307),ROW(A248)),"")</f>
        <v/>
      </c>
      <c r="S248" s="51" t="str">
        <f t="array" aca="1" ref="S248" ca="1">IF($R248&lt;&gt;"",
SUBSTITUTE(SUBSTITUTE(INDIRECT("C"&amp;$R248&amp;"")," 週3ｺｰｽ","")," 週5ｺｰｽ",""),"")</f>
        <v/>
      </c>
      <c r="T248" s="51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91" t="str">
        <f t="array" aca="1" ref="U248" ca="1">IF($R248&lt;&gt;"",
INDIRECT("F"&amp;$R248&amp;""),"")</f>
        <v/>
      </c>
      <c r="V248" s="51" t="str">
        <f t="array" aca="1" ref="V248" ca="1">IF($R248&lt;&gt;"",
INDIRECT("G"&amp;$R248&amp;""),"")</f>
        <v/>
      </c>
      <c r="W248" s="51" t="str">
        <f t="array" aca="1" ref="W248" ca="1">IF($R248&lt;&gt;"",
IF(AND(COUNTIF(INDIRECT("B"&amp;R248&amp;""),"*雙葉*"),COUNTIF(B:B,"*雙葉*")&gt;=2),
IF(OR(COUNTIF(INDIRECT("B"&amp;R248&amp;""),"*雙葉先生*"),COUNTIF($B$1:$B$70,"*雙葉*")&gt;=2),INDIRECT("H"&amp;R248&amp;""),INDIRECT("H"&amp;R248&amp;"")+INDIRECT("H"&amp;MATCH("雙葉'",INDIRECT("B"&amp;R248+3&amp;":B210"),0)+2+R248&amp;"")),
IF(AND(LEFT(INDIRECT("B"&amp;R248&amp;""),2)="博多",COUNTIF(B:B,"*博多*")&gt;=2),
INDIRECT("H"&amp;R248&amp;"")+INDIRECT("H"&amp;MATCH("*"&amp;INDIRECT("B"&amp;R248&amp;"")&amp;"*",INDIRECT("B"&amp;R248+1&amp;":B210"),0)+R248&amp;""),
IF(AND(LEFT(INDIRECT("B"&amp;R248&amp;""),3)="奈良屋",COUNTIF(B:B,"*奈良屋*")&gt;=2),
INDIRECT("H"&amp;R248&amp;"")+INDIRECT("H"&amp;MATCH("*"&amp;INDIRECT("B"&amp;R248&amp;"")&amp;"*",INDIRECT("B"&amp;R248+1&amp;":B210"),0)+R248&amp;"")
+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INDIRECT("H"&amp;R248&amp;"")))),"")</f>
        <v/>
      </c>
      <c r="X248" s="51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51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51" t="str">
        <f t="shared" ca="1" si="77"/>
        <v/>
      </c>
      <c r="AA248" s="51" t="str">
        <f t="shared" ca="1" si="78"/>
        <v/>
      </c>
      <c r="AB248" s="51" t="str">
        <f t="array" aca="1" ref="AB248" ca="1">IF($R248&lt;&gt;"",
IF(AND(COUNTIF(INDIRECT("B"&amp;R248&amp;""),"*雙葉*"),COUNTIF(B:B,"*雙葉*")&gt;=2),
INDIRECT("M"&amp;R248&amp;"")+INDIRECT("M"&amp;MATCH("雙葉'",INDIRECT("B"&amp;R248+1&amp;":B210"),0)+R248&amp;""),
IF(AND(LEFT(INDIRECT("B"&amp;R248&amp;""),2)="博多",COUNTIF(B:B,"*博多*")&gt;=2),
INDIRECT("M"&amp;R248&amp;"")+INDIRECT("M"&amp;MATCH("*"&amp;INDIRECT("B"&amp;R248&amp;"")&amp;"*",INDIRECT("B"&amp;R248+1&amp;":B210"),0)+R248&amp;""),
IF(AND(LEFT(INDIRECT("B"&amp;R248&amp;""),3)="奈良屋",COUNTIF(B:B,"*奈良屋*")&gt;=2),
INDIRECT("M"&amp;R248&amp;"")+INDIRECT("M"&amp;MATCH("*"&amp;INDIRECT("B"&amp;R248&amp;"")&amp;"*",INDIRECT("B"&amp;R248+1&amp;":B210"),0)+R248&amp;"")
+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INDIRECT("M"&amp;R248&amp;"")))),"")</f>
        <v/>
      </c>
      <c r="AC248" s="51" t="str">
        <f t="shared" ca="1" si="79"/>
        <v/>
      </c>
      <c r="AD248" s="51" t="str">
        <f t="shared" ca="1" si="80"/>
        <v/>
      </c>
      <c r="AE248" s="51" t="str">
        <f t="shared" ca="1" si="81"/>
        <v/>
      </c>
      <c r="AF248" s="51" t="str">
        <f t="shared" ca="1" si="82"/>
        <v/>
      </c>
      <c r="AG248" s="51" t="str">
        <f t="shared" ca="1" si="83"/>
        <v/>
      </c>
      <c r="AH248" s="191" t="str">
        <f t="shared" ca="1" si="84"/>
        <v/>
      </c>
      <c r="AI248" s="51" t="str">
        <f t="shared" ca="1" si="85"/>
        <v/>
      </c>
      <c r="AJ248" s="51" t="str">
        <f t="shared" ca="1" si="86"/>
        <v/>
      </c>
      <c r="AK248" s="51" t="str">
        <f t="shared" ca="1" si="87"/>
        <v/>
      </c>
      <c r="AL248" s="51" t="str">
        <f t="shared" ca="1" si="88"/>
        <v/>
      </c>
      <c r="AM248" s="51" t="str">
        <f t="shared" ca="1" si="89"/>
        <v/>
      </c>
      <c r="AN248" s="51" t="str">
        <f t="shared" ca="1" si="90"/>
        <v/>
      </c>
      <c r="AO248" s="51" t="str">
        <f t="shared" ca="1" si="91"/>
        <v/>
      </c>
      <c r="AP248" s="51" t="str">
        <f t="shared" ca="1" si="92"/>
        <v/>
      </c>
      <c r="AU248" s="51" t="str">
        <f t="shared" ca="1" si="93"/>
        <v/>
      </c>
    </row>
    <row r="249" spans="1:47">
      <c r="A249" s="176" t="str">
        <f ca="1">IF(C249&lt;&gt;"",MATCH("*"&amp;LEFT(C249,4)&amp;"*",数出表_Excel!A:A,0),"")</f>
        <v/>
      </c>
      <c r="B249" s="183"/>
      <c r="C249" s="200" t="str">
        <f ca="1">先生札!R3</f>
        <v/>
      </c>
      <c r="D249" s="200">
        <f ca="1">先生札!S3</f>
        <v>0</v>
      </c>
      <c r="E249" s="183"/>
      <c r="F249" s="183" t="str">
        <f>""</f>
        <v/>
      </c>
      <c r="G249" s="183" t="str">
        <f>""</f>
        <v/>
      </c>
      <c r="H249" s="183" t="str">
        <f ca="1">先生札!T3</f>
        <v/>
      </c>
      <c r="I249" s="183" t="str">
        <f>""</f>
        <v/>
      </c>
      <c r="J249" s="183" t="str">
        <f>""</f>
        <v/>
      </c>
      <c r="M249" s="183"/>
      <c r="P249" s="183" t="str">
        <f t="shared" ca="1" si="98"/>
        <v/>
      </c>
      <c r="Q249" s="183" t="str">
        <f t="shared" ca="1" si="97"/>
        <v/>
      </c>
      <c r="R249" s="51" t="str">
        <f t="array" aca="1" ref="R249" ca="1">IFERROR(SMALL(IF(P$1:P$307&lt;&gt;0,P$1:P$307),ROW(A249)),"")</f>
        <v/>
      </c>
      <c r="S249" s="51" t="str">
        <f t="array" aca="1" ref="S249" ca="1">IF($R249&lt;&gt;"",
SUBSTITUTE(SUBSTITUTE(INDIRECT("C"&amp;$R249&amp;"")," 週3ｺｰｽ","")," 週5ｺｰｽ",""),"")</f>
        <v/>
      </c>
      <c r="T249" s="51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91" t="str">
        <f t="array" aca="1" ref="U249" ca="1">IF($R249&lt;&gt;"",
INDIRECT("F"&amp;$R249&amp;""),"")</f>
        <v/>
      </c>
      <c r="V249" s="51" t="str">
        <f t="array" aca="1" ref="V249" ca="1">IF($R249&lt;&gt;"",
INDIRECT("G"&amp;$R249&amp;""),"")</f>
        <v/>
      </c>
      <c r="W249" s="51" t="str">
        <f t="array" aca="1" ref="W249" ca="1">IF($R249&lt;&gt;"",
IF(AND(COUNTIF(INDIRECT("B"&amp;R249&amp;""),"*雙葉*"),COUNTIF(B:B,"*雙葉*")&gt;=2),
IF(OR(COUNTIF(INDIRECT("B"&amp;R249&amp;""),"*雙葉先生*"),COUNTIF($B$1:$B$70,"*雙葉*")&gt;=2),INDIRECT("H"&amp;R249&amp;""),INDIRECT("H"&amp;R249&amp;"")+INDIRECT("H"&amp;MATCH("雙葉'",INDIRECT("B"&amp;R249+3&amp;":B210"),0)+2+R249&amp;"")),
IF(AND(LEFT(INDIRECT("B"&amp;R249&amp;""),2)="博多",COUNTIF(B:B,"*博多*")&gt;=2),
INDIRECT("H"&amp;R249&amp;"")+INDIRECT("H"&amp;MATCH("*"&amp;INDIRECT("B"&amp;R249&amp;"")&amp;"*",INDIRECT("B"&amp;R249+1&amp;":B210"),0)+R249&amp;""),
IF(AND(LEFT(INDIRECT("B"&amp;R249&amp;""),3)="奈良屋",COUNTIF(B:B,"*奈良屋*")&gt;=2),
INDIRECT("H"&amp;R249&amp;"")+INDIRECT("H"&amp;MATCH("*"&amp;INDIRECT("B"&amp;R249&amp;"")&amp;"*",INDIRECT("B"&amp;R249+1&amp;":B210"),0)+R249&amp;"")
+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INDIRECT("H"&amp;R249&amp;"")))),"")</f>
        <v/>
      </c>
      <c r="X249" s="51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51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51" t="str">
        <f t="shared" ca="1" si="77"/>
        <v/>
      </c>
      <c r="AA249" s="51" t="str">
        <f t="shared" ca="1" si="78"/>
        <v/>
      </c>
      <c r="AB249" s="51" t="str">
        <f t="array" aca="1" ref="AB249" ca="1">IF($R249&lt;&gt;"",
IF(AND(COUNTIF(INDIRECT("B"&amp;R249&amp;""),"*雙葉*"),COUNTIF(B:B,"*雙葉*")&gt;=2),
INDIRECT("M"&amp;R249&amp;"")+INDIRECT("M"&amp;MATCH("雙葉'",INDIRECT("B"&amp;R249+1&amp;":B210"),0)+R249&amp;""),
IF(AND(LEFT(INDIRECT("B"&amp;R249&amp;""),2)="博多",COUNTIF(B:B,"*博多*")&gt;=2),
INDIRECT("M"&amp;R249&amp;"")+INDIRECT("M"&amp;MATCH("*"&amp;INDIRECT("B"&amp;R249&amp;"")&amp;"*",INDIRECT("B"&amp;R249+1&amp;":B210"),0)+R249&amp;""),
IF(AND(LEFT(INDIRECT("B"&amp;R249&amp;""),3)="奈良屋",COUNTIF(B:B,"*奈良屋*")&gt;=2),
INDIRECT("M"&amp;R249&amp;"")+INDIRECT("M"&amp;MATCH("*"&amp;INDIRECT("B"&amp;R249&amp;"")&amp;"*",INDIRECT("B"&amp;R249+1&amp;":B210"),0)+R249&amp;"")
+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INDIRECT("M"&amp;R249&amp;"")))),"")</f>
        <v/>
      </c>
      <c r="AC249" s="51" t="str">
        <f t="shared" ca="1" si="79"/>
        <v/>
      </c>
      <c r="AD249" s="51" t="str">
        <f t="shared" ca="1" si="80"/>
        <v/>
      </c>
      <c r="AE249" s="51" t="str">
        <f t="shared" ca="1" si="81"/>
        <v/>
      </c>
      <c r="AF249" s="51" t="str">
        <f t="shared" ca="1" si="82"/>
        <v/>
      </c>
      <c r="AG249" s="51" t="str">
        <f t="shared" ca="1" si="83"/>
        <v/>
      </c>
      <c r="AH249" s="191" t="str">
        <f t="shared" ca="1" si="84"/>
        <v/>
      </c>
      <c r="AI249" s="51" t="str">
        <f t="shared" ca="1" si="85"/>
        <v/>
      </c>
      <c r="AJ249" s="51" t="str">
        <f t="shared" ca="1" si="86"/>
        <v/>
      </c>
      <c r="AK249" s="51" t="str">
        <f t="shared" ca="1" si="87"/>
        <v/>
      </c>
      <c r="AL249" s="51" t="str">
        <f t="shared" ca="1" si="88"/>
        <v/>
      </c>
      <c r="AM249" s="51" t="str">
        <f t="shared" ca="1" si="89"/>
        <v/>
      </c>
      <c r="AN249" s="51" t="str">
        <f t="shared" ca="1" si="90"/>
        <v/>
      </c>
      <c r="AO249" s="51" t="str">
        <f t="shared" ca="1" si="91"/>
        <v/>
      </c>
      <c r="AP249" s="51" t="str">
        <f t="shared" ca="1" si="92"/>
        <v/>
      </c>
      <c r="AU249" s="51" t="str">
        <f t="shared" ca="1" si="93"/>
        <v/>
      </c>
    </row>
    <row r="250" spans="1:47">
      <c r="A250" s="176" t="str">
        <f ca="1">IF(C250&lt;&gt;"",MATCH("*"&amp;LEFT(C250,4)&amp;"*",数出表_Excel!A:A,0),"")</f>
        <v/>
      </c>
      <c r="B250" s="183"/>
      <c r="C250" s="200" t="str">
        <f ca="1">先生札!R4</f>
        <v/>
      </c>
      <c r="D250" s="200">
        <f ca="1">先生札!S4</f>
        <v>0</v>
      </c>
      <c r="E250" s="183"/>
      <c r="F250" s="183" t="str">
        <f>""</f>
        <v/>
      </c>
      <c r="G250" s="183" t="str">
        <f>""</f>
        <v/>
      </c>
      <c r="H250" s="183" t="str">
        <f ca="1">先生札!T4</f>
        <v/>
      </c>
      <c r="I250" s="183" t="str">
        <f>""</f>
        <v/>
      </c>
      <c r="J250" s="183" t="str">
        <f>""</f>
        <v/>
      </c>
      <c r="M250" s="183"/>
      <c r="P250" s="183" t="str">
        <f t="shared" ca="1" si="98"/>
        <v/>
      </c>
      <c r="Q250" s="183" t="str">
        <f t="shared" ca="1" si="97"/>
        <v/>
      </c>
      <c r="R250" s="51" t="str">
        <f t="array" aca="1" ref="R250" ca="1">IFERROR(SMALL(IF(P$1:P$307&lt;&gt;0,P$1:P$307),ROW(A250)),"")</f>
        <v/>
      </c>
      <c r="S250" s="51" t="str">
        <f t="array" aca="1" ref="S250" ca="1">IF($R250&lt;&gt;"",
SUBSTITUTE(SUBSTITUTE(INDIRECT("C"&amp;$R250&amp;"")," 週3ｺｰｽ","")," 週5ｺｰｽ",""),"")</f>
        <v/>
      </c>
      <c r="T250" s="51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91" t="str">
        <f t="array" aca="1" ref="U250" ca="1">IF($R250&lt;&gt;"",
INDIRECT("F"&amp;$R250&amp;""),"")</f>
        <v/>
      </c>
      <c r="V250" s="51" t="str">
        <f t="array" aca="1" ref="V250" ca="1">IF($R250&lt;&gt;"",
INDIRECT("G"&amp;$R250&amp;""),"")</f>
        <v/>
      </c>
      <c r="W250" s="51" t="str">
        <f t="array" aca="1" ref="W250" ca="1">IF($R250&lt;&gt;"",
IF(AND(COUNTIF(INDIRECT("B"&amp;R250&amp;""),"*雙葉*"),COUNTIF(B:B,"*雙葉*")&gt;=2),
IF(OR(COUNTIF(INDIRECT("B"&amp;R250&amp;""),"*雙葉先生*"),COUNTIF($B$1:$B$70,"*雙葉*")&gt;=2),INDIRECT("H"&amp;R250&amp;""),INDIRECT("H"&amp;R250&amp;"")+INDIRECT("H"&amp;MATCH("雙葉'",INDIRECT("B"&amp;R250+3&amp;":B210"),0)+2+R250&amp;"")),
IF(AND(LEFT(INDIRECT("B"&amp;R250&amp;""),2)="博多",COUNTIF(B:B,"*博多*")&gt;=2),
INDIRECT("H"&amp;R250&amp;"")+INDIRECT("H"&amp;MATCH("*"&amp;INDIRECT("B"&amp;R250&amp;"")&amp;"*",INDIRECT("B"&amp;R250+1&amp;":B210"),0)+R250&amp;""),
IF(AND(LEFT(INDIRECT("B"&amp;R250&amp;""),3)="奈良屋",COUNTIF(B:B,"*奈良屋*")&gt;=2),
INDIRECT("H"&amp;R250&amp;"")+INDIRECT("H"&amp;MATCH("*"&amp;INDIRECT("B"&amp;R250&amp;"")&amp;"*",INDIRECT("B"&amp;R250+1&amp;":B210"),0)+R250&amp;"")
+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INDIRECT("H"&amp;R250&amp;"")))),"")</f>
        <v/>
      </c>
      <c r="X250" s="51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51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51" t="str">
        <f t="shared" ca="1" si="77"/>
        <v/>
      </c>
      <c r="AA250" s="51" t="str">
        <f t="shared" ca="1" si="78"/>
        <v/>
      </c>
      <c r="AB250" s="51" t="str">
        <f t="array" aca="1" ref="AB250" ca="1">IF($R250&lt;&gt;"",
IF(AND(COUNTIF(INDIRECT("B"&amp;R250&amp;""),"*雙葉*"),COUNTIF(B:B,"*雙葉*")&gt;=2),
INDIRECT("M"&amp;R250&amp;"")+INDIRECT("M"&amp;MATCH("雙葉'",INDIRECT("B"&amp;R250+1&amp;":B210"),0)+R250&amp;""),
IF(AND(LEFT(INDIRECT("B"&amp;R250&amp;""),2)="博多",COUNTIF(B:B,"*博多*")&gt;=2),
INDIRECT("M"&amp;R250&amp;"")+INDIRECT("M"&amp;MATCH("*"&amp;INDIRECT("B"&amp;R250&amp;"")&amp;"*",INDIRECT("B"&amp;R250+1&amp;":B210"),0)+R250&amp;""),
IF(AND(LEFT(INDIRECT("B"&amp;R250&amp;""),3)="奈良屋",COUNTIF(B:B,"*奈良屋*")&gt;=2),
INDIRECT("M"&amp;R250&amp;"")+INDIRECT("M"&amp;MATCH("*"&amp;INDIRECT("B"&amp;R250&amp;"")&amp;"*",INDIRECT("B"&amp;R250+1&amp;":B210"),0)+R250&amp;"")
+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INDIRECT("M"&amp;R250&amp;"")))),"")</f>
        <v/>
      </c>
      <c r="AC250" s="51" t="str">
        <f t="shared" ca="1" si="79"/>
        <v/>
      </c>
      <c r="AD250" s="51" t="str">
        <f t="shared" ca="1" si="80"/>
        <v/>
      </c>
      <c r="AE250" s="51" t="str">
        <f t="shared" ca="1" si="81"/>
        <v/>
      </c>
      <c r="AF250" s="51" t="str">
        <f t="shared" ca="1" si="82"/>
        <v/>
      </c>
      <c r="AG250" s="51" t="str">
        <f t="shared" ca="1" si="83"/>
        <v/>
      </c>
      <c r="AH250" s="191" t="str">
        <f t="shared" ca="1" si="84"/>
        <v/>
      </c>
      <c r="AI250" s="51" t="str">
        <f t="shared" ca="1" si="85"/>
        <v/>
      </c>
      <c r="AJ250" s="51" t="str">
        <f t="shared" ca="1" si="86"/>
        <v/>
      </c>
      <c r="AK250" s="51" t="str">
        <f t="shared" ca="1" si="87"/>
        <v/>
      </c>
      <c r="AL250" s="51" t="str">
        <f t="shared" ca="1" si="88"/>
        <v/>
      </c>
      <c r="AM250" s="51" t="str">
        <f t="shared" ca="1" si="89"/>
        <v/>
      </c>
      <c r="AN250" s="51" t="str">
        <f t="shared" ca="1" si="90"/>
        <v/>
      </c>
      <c r="AO250" s="51" t="str">
        <f t="shared" ca="1" si="91"/>
        <v/>
      </c>
      <c r="AP250" s="51" t="str">
        <f t="shared" ca="1" si="92"/>
        <v/>
      </c>
      <c r="AU250" s="51" t="str">
        <f t="shared" ca="1" si="93"/>
        <v/>
      </c>
    </row>
    <row r="251" spans="1:47">
      <c r="A251" s="176" t="str">
        <f ca="1">IF(C251&lt;&gt;"",MATCH("*"&amp;LEFT(C251,4)&amp;"*",数出表_Excel!A:A,0),"")</f>
        <v/>
      </c>
      <c r="B251" s="183"/>
      <c r="C251" s="200" t="str">
        <f ca="1">先生札!R5</f>
        <v/>
      </c>
      <c r="D251" s="200">
        <f ca="1">先生札!S5</f>
        <v>0</v>
      </c>
      <c r="E251" s="183"/>
      <c r="F251" s="183" t="str">
        <f>""</f>
        <v/>
      </c>
      <c r="G251" s="183" t="str">
        <f>""</f>
        <v/>
      </c>
      <c r="H251" s="183" t="str">
        <f ca="1">先生札!T5</f>
        <v/>
      </c>
      <c r="I251" s="183" t="str">
        <f>""</f>
        <v/>
      </c>
      <c r="J251" s="183" t="str">
        <f>""</f>
        <v/>
      </c>
      <c r="M251" s="183"/>
      <c r="P251" s="183" t="str">
        <f t="shared" ca="1" si="98"/>
        <v/>
      </c>
      <c r="Q251" s="183" t="str">
        <f t="shared" ca="1" si="97"/>
        <v/>
      </c>
      <c r="S251" s="51"/>
    </row>
    <row r="252" spans="1:47">
      <c r="A252" s="176" t="str">
        <f ca="1">IF(C252&lt;&gt;"",MATCH("*"&amp;LEFT(C252,4)&amp;"*",数出表_Excel!A:A,0),"")</f>
        <v/>
      </c>
      <c r="B252" s="183"/>
      <c r="C252" s="200" t="str">
        <f ca="1">先生札!R6</f>
        <v/>
      </c>
      <c r="D252" s="200">
        <f ca="1">先生札!S6</f>
        <v>0</v>
      </c>
      <c r="E252" s="183"/>
      <c r="F252" s="183" t="str">
        <f>""</f>
        <v/>
      </c>
      <c r="G252" s="183" t="str">
        <f>""</f>
        <v/>
      </c>
      <c r="H252" s="183" t="str">
        <f ca="1">先生札!T6</f>
        <v/>
      </c>
      <c r="I252" s="183" t="str">
        <f>""</f>
        <v/>
      </c>
      <c r="J252" s="183" t="str">
        <f>""</f>
        <v/>
      </c>
      <c r="M252" s="183"/>
      <c r="P252" s="183" t="str">
        <f t="shared" ca="1" si="98"/>
        <v/>
      </c>
      <c r="Q252" s="183" t="str">
        <f t="shared" ca="1" si="97"/>
        <v/>
      </c>
      <c r="S252" s="51"/>
    </row>
    <row r="253" spans="1:47">
      <c r="A253" s="176" t="str">
        <f ca="1">IF(C253&lt;&gt;"",MATCH("*"&amp;LEFT(C253,4)&amp;"*",数出表_Excel!A:A,0),"")</f>
        <v/>
      </c>
      <c r="B253" s="183"/>
      <c r="C253" s="200" t="str">
        <f ca="1">先生札!R7</f>
        <v/>
      </c>
      <c r="D253" s="200">
        <f ca="1">先生札!S7</f>
        <v>0</v>
      </c>
      <c r="E253" s="183"/>
      <c r="F253" s="183" t="str">
        <f>""</f>
        <v/>
      </c>
      <c r="G253" s="183" t="str">
        <f>""</f>
        <v/>
      </c>
      <c r="H253" s="183" t="str">
        <f ca="1">先生札!T7</f>
        <v/>
      </c>
      <c r="I253" s="183" t="str">
        <f>""</f>
        <v/>
      </c>
      <c r="J253" s="183" t="str">
        <f>""</f>
        <v/>
      </c>
      <c r="M253" s="183"/>
      <c r="P253" s="183" t="str">
        <f t="shared" ca="1" si="98"/>
        <v/>
      </c>
      <c r="Q253" s="183" t="str">
        <f t="shared" ca="1" si="97"/>
        <v/>
      </c>
      <c r="S253" s="51"/>
    </row>
    <row r="254" spans="1:47">
      <c r="A254" s="176" t="str">
        <f ca="1">IF(C254&lt;&gt;"",MATCH("*"&amp;LEFT(C254,4)&amp;"*",数出表_Excel!A:A,0),"")</f>
        <v/>
      </c>
      <c r="B254" s="183"/>
      <c r="C254" s="200" t="str">
        <f ca="1">先生札!R8</f>
        <v/>
      </c>
      <c r="D254" s="200">
        <f ca="1">先生札!S8</f>
        <v>0</v>
      </c>
      <c r="E254" s="183"/>
      <c r="F254" s="183" t="str">
        <f>""</f>
        <v/>
      </c>
      <c r="G254" s="183" t="str">
        <f>""</f>
        <v/>
      </c>
      <c r="H254" s="183" t="str">
        <f ca="1">先生札!T8</f>
        <v/>
      </c>
      <c r="I254" s="183" t="str">
        <f>""</f>
        <v/>
      </c>
      <c r="J254" s="183" t="str">
        <f>""</f>
        <v/>
      </c>
      <c r="M254" s="183"/>
      <c r="P254" s="183" t="str">
        <f t="shared" ca="1" si="98"/>
        <v/>
      </c>
      <c r="Q254" s="183" t="str">
        <f t="shared" ca="1" si="97"/>
        <v/>
      </c>
      <c r="S254" s="51"/>
    </row>
    <row r="255" spans="1:47">
      <c r="A255" s="176" t="str">
        <f ca="1">IF(C255&lt;&gt;"",MATCH("*"&amp;LEFT(C255,4)&amp;"*",数出表_Excel!A:A,0),"")</f>
        <v/>
      </c>
      <c r="B255" s="183"/>
      <c r="C255" s="200" t="str">
        <f ca="1">先生札!R9</f>
        <v/>
      </c>
      <c r="D255" s="200" t="str">
        <f ca="1">先生札!S9</f>
        <v/>
      </c>
      <c r="E255" s="183"/>
      <c r="F255" s="183" t="str">
        <f>""</f>
        <v/>
      </c>
      <c r="G255" s="183" t="str">
        <f>""</f>
        <v/>
      </c>
      <c r="H255" s="183" t="str">
        <f ca="1">先生札!T9</f>
        <v/>
      </c>
      <c r="I255" s="183" t="str">
        <f>""</f>
        <v/>
      </c>
      <c r="J255" s="183" t="str">
        <f>""</f>
        <v/>
      </c>
      <c r="M255" s="183"/>
      <c r="P255" s="183" t="str">
        <f t="shared" ca="1" si="98"/>
        <v/>
      </c>
      <c r="Q255" s="183" t="str">
        <f t="shared" ca="1" si="97"/>
        <v/>
      </c>
      <c r="S255" s="51"/>
    </row>
    <row r="256" spans="1:47">
      <c r="A256" s="176" t="str">
        <f ca="1">IF(C256&lt;&gt;"",MATCH("*"&amp;LEFT(C256,4)&amp;"*",数出表_Excel!A:A,0),"")</f>
        <v/>
      </c>
      <c r="B256" s="183"/>
      <c r="C256" s="200" t="str">
        <f ca="1">先生札!R10</f>
        <v/>
      </c>
      <c r="D256" s="200" t="str">
        <f ca="1">先生札!S10</f>
        <v/>
      </c>
      <c r="E256" s="183"/>
      <c r="F256" s="183" t="str">
        <f>""</f>
        <v/>
      </c>
      <c r="G256" s="183" t="str">
        <f>""</f>
        <v/>
      </c>
      <c r="H256" s="183" t="str">
        <f ca="1">先生札!T10</f>
        <v/>
      </c>
      <c r="I256" s="183" t="str">
        <f>""</f>
        <v/>
      </c>
      <c r="J256" s="183" t="str">
        <f>""</f>
        <v/>
      </c>
      <c r="M256" s="183"/>
      <c r="P256" s="183" t="str">
        <f t="shared" ca="1" si="98"/>
        <v/>
      </c>
      <c r="Q256" s="183" t="str">
        <f t="shared" ca="1" si="97"/>
        <v/>
      </c>
      <c r="S256" s="51"/>
    </row>
    <row r="257" spans="1:47">
      <c r="A257" s="176" t="str">
        <f ca="1">IF(C257&lt;&gt;"",MATCH("*"&amp;LEFT(C257,4)&amp;"*",数出表_Excel!A:A,0),"")</f>
        <v/>
      </c>
      <c r="B257" s="183"/>
      <c r="C257" s="200" t="str">
        <f ca="1">先生札!R11</f>
        <v/>
      </c>
      <c r="D257" s="200" t="str">
        <f ca="1">先生札!S11</f>
        <v/>
      </c>
      <c r="E257" s="183"/>
      <c r="F257" s="183" t="str">
        <f>""</f>
        <v/>
      </c>
      <c r="G257" s="183" t="str">
        <f>""</f>
        <v/>
      </c>
      <c r="H257" s="183" t="str">
        <f ca="1">先生札!T11</f>
        <v/>
      </c>
      <c r="I257" s="183" t="str">
        <f>""</f>
        <v/>
      </c>
      <c r="J257" s="183" t="str">
        <f>""</f>
        <v/>
      </c>
      <c r="M257" s="183"/>
      <c r="P257" s="183" t="str">
        <f t="shared" ca="1" si="98"/>
        <v/>
      </c>
      <c r="Q257" s="183" t="str">
        <f t="shared" ca="1" si="97"/>
        <v/>
      </c>
      <c r="S257" s="51"/>
    </row>
    <row r="258" spans="1:47">
      <c r="A258" s="176" t="str">
        <f ca="1">IF(C258&lt;&gt;"",MATCH("*"&amp;LEFT(C258,4)&amp;"*",数出表_Excel!A:A,0),"")</f>
        <v/>
      </c>
      <c r="B258" s="183"/>
      <c r="C258" s="200" t="str">
        <f ca="1">先生札!R12</f>
        <v/>
      </c>
      <c r="D258" s="200" t="str">
        <f ca="1">先生札!S12</f>
        <v/>
      </c>
      <c r="E258" s="183"/>
      <c r="F258" s="183" t="str">
        <f>""</f>
        <v/>
      </c>
      <c r="G258" s="183" t="str">
        <f>""</f>
        <v/>
      </c>
      <c r="H258" s="183" t="str">
        <f ca="1">先生札!T12</f>
        <v/>
      </c>
      <c r="I258" s="183" t="str">
        <f>""</f>
        <v/>
      </c>
      <c r="J258" s="183" t="str">
        <f>""</f>
        <v/>
      </c>
      <c r="M258" s="183"/>
      <c r="P258" s="183" t="str">
        <f t="shared" ca="1" si="98"/>
        <v/>
      </c>
      <c r="Q258" s="183" t="str">
        <f t="shared" ca="1" si="97"/>
        <v/>
      </c>
      <c r="S258" s="51"/>
    </row>
    <row r="259" spans="1:47">
      <c r="A259" s="176" t="str">
        <f ca="1">IF(C259&lt;&gt;"",MATCH("*"&amp;LEFT(C259,4)&amp;"*",数出表_Excel!A:A,0),"")</f>
        <v/>
      </c>
      <c r="B259" s="183"/>
      <c r="C259" s="200" t="str">
        <f ca="1">先生札!R13</f>
        <v/>
      </c>
      <c r="D259" s="200" t="str">
        <f ca="1">先生札!S13</f>
        <v/>
      </c>
      <c r="E259" s="183"/>
      <c r="F259" s="183" t="str">
        <f>""</f>
        <v/>
      </c>
      <c r="G259" s="183" t="str">
        <f>""</f>
        <v/>
      </c>
      <c r="H259" s="183" t="str">
        <f ca="1">先生札!T13</f>
        <v/>
      </c>
      <c r="I259" s="183" t="str">
        <f>""</f>
        <v/>
      </c>
      <c r="J259" s="183" t="str">
        <f>""</f>
        <v/>
      </c>
      <c r="M259" s="183"/>
      <c r="P259" s="183" t="str">
        <f t="shared" ca="1" si="98"/>
        <v/>
      </c>
      <c r="Q259" s="183" t="str">
        <f t="shared" ca="1" si="97"/>
        <v/>
      </c>
      <c r="R259" s="51" t="str">
        <f t="array" aca="1" ref="R259" ca="1">IFERROR(SMALL(IF(P$1:P$307&lt;&gt;0,P$1:P$307),ROW(A259)),"")</f>
        <v/>
      </c>
      <c r="S259" s="51" t="str">
        <f t="array" aca="1" ref="S259" ca="1">IF($R259&lt;&gt;"",
SUBSTITUTE(SUBSTITUTE(INDIRECT("C"&amp;$R259&amp;"")," 週3ｺｰｽ","")," 週5ｺｰｽ",""),"")</f>
        <v/>
      </c>
      <c r="T259" s="51" t="str">
        <f t="array" aca="1" ref="T259" ca="1">IF(IF($R259&lt;&gt;"",
INDIRECT(""&amp;IF(COLUMN(D259)&lt;=26,CHAR(COLUMN(D259)+64),CHAR(INT((COLUMN(D259)-1)/26)+64)&amp;CHAR(MOD(COLUMN(D259)-1,26)+65))&amp;$R259&amp;""),"")=0,"",
IF($R259&lt;&gt;"",
INDIRECT(""&amp;IF(COLUMN(D259)&lt;=26,CHAR(COLUMN(D259)+64),CHAR(INT((COLUMN(D259)-1)/26)+64)&amp;CHAR(MOD(COLUMN(D259)-1,26)+65))&amp;$R259&amp;""),""))</f>
        <v/>
      </c>
      <c r="U259" s="191" t="str">
        <f t="array" aca="1" ref="U259" ca="1">IF($R259&lt;&gt;"",
INDIRECT("F"&amp;$R259&amp;""),"")</f>
        <v/>
      </c>
      <c r="V259" s="51" t="str">
        <f t="array" aca="1" ref="V259" ca="1">IF($R259&lt;&gt;"",
INDIRECT("G"&amp;$R259&amp;""),"")</f>
        <v/>
      </c>
      <c r="W259" s="51" t="str">
        <f t="array" aca="1" ref="W259" ca="1">IF($R259&lt;&gt;"",
IF(AND(COUNTIF(INDIRECT("B"&amp;R259&amp;""),"*雙葉*"),COUNTIF(B:B,"*雙葉*")&gt;=2),
IF(OR(COUNTIF(INDIRECT("B"&amp;R259&amp;""),"*雙葉先生*"),COUNTIF($B$1:$B$70,"*雙葉*")&gt;=2),INDIRECT("H"&amp;R259&amp;""),INDIRECT("H"&amp;R259&amp;"")+INDIRECT("H"&amp;MATCH("雙葉'",INDIRECT("B"&amp;R259+3&amp;":B210"),0)+2+R259&amp;"")),
IF(AND(LEFT(INDIRECT("B"&amp;R259&amp;""),2)="博多",COUNTIF(B:B,"*博多*")&gt;=2),
INDIRECT("H"&amp;R259&amp;"")+INDIRECT("H"&amp;MATCH("*"&amp;INDIRECT("B"&amp;R259&amp;"")&amp;"*",INDIRECT("B"&amp;R259+1&amp;":B210"),0)+R259&amp;""),
IF(AND(LEFT(INDIRECT("B"&amp;R259&amp;""),3)="奈良屋",COUNTIF(B:B,"*奈良屋*")&gt;=2),
INDIRECT("H"&amp;R259&amp;"")+INDIRECT("H"&amp;MATCH("*"&amp;INDIRECT("B"&amp;R259&amp;"")&amp;"*",INDIRECT("B"&amp;R259+1&amp;":B210"),0)+R259&amp;"")
+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INDIRECT("H"&amp;R259&amp;"")))),"")</f>
        <v/>
      </c>
      <c r="X259" s="51" t="str">
        <f t="array" aca="1" ref="X259" ca="1">IF($R259&lt;&gt;"",
INDIRECT(""&amp;IF(COLUMN(I259)&lt;=26,CHAR(COLUMN(I259)+64),CHAR(INT((COLUMN(I259)-1)/26)+64)&amp;CHAR(MOD(COLUMN(I259)-1,26)+65))&amp;$R259&amp;""),"")</f>
        <v/>
      </c>
      <c r="Y259" s="51" t="str">
        <f t="array" aca="1" ref="Y259" ca="1">IF($R259&lt;&gt;"",
INDIRECT(""&amp;IF(COLUMN(J259)&lt;=26,CHAR(COLUMN(J259)+64),CHAR(INT((COLUMN(J259)-1)/26)+64)&amp;CHAR(MOD(COLUMN(J259)-1,26)+65))&amp;$R259&amp;""),"")</f>
        <v/>
      </c>
      <c r="Z259" s="51" t="str">
        <f t="shared" ref="Z259:Z265" ca="1" si="99">IF(R259&lt;&gt;"",
IFERROR(INT(W259/Y259),""),"")</f>
        <v/>
      </c>
      <c r="AA259" s="51" t="str">
        <f t="shared" ref="AA259:AA265" ca="1" si="100">IFERROR(MOD(W259,Y259),"")</f>
        <v/>
      </c>
      <c r="AB259" s="51" t="str">
        <f t="array" aca="1" ref="AB259" ca="1">IF($R259&lt;&gt;"",
IF(AND(COUNTIF(INDIRECT("B"&amp;R259&amp;""),"*雙葉*"),COUNTIF(B:B,"*雙葉*")&gt;=2),
INDIRECT("M"&amp;R259&amp;"")+INDIRECT("M"&amp;MATCH("雙葉'",INDIRECT("B"&amp;R259+1&amp;":B210"),0)+R259&amp;""),
IF(AND(LEFT(INDIRECT("B"&amp;R259&amp;""),2)="博多",COUNTIF(B:B,"*博多*")&gt;=2),
INDIRECT("M"&amp;R259&amp;"")+INDIRECT("M"&amp;MATCH("*"&amp;INDIRECT("B"&amp;R259&amp;"")&amp;"*",INDIRECT("B"&amp;R259+1&amp;":B210"),0)+R259&amp;""),
IF(AND(LEFT(INDIRECT("B"&amp;R259&amp;""),3)="奈良屋",COUNTIF(B:B,"*奈良屋*")&gt;=2),
INDIRECT("M"&amp;R259&amp;"")+INDIRECT("M"&amp;MATCH("*"&amp;INDIRECT("B"&amp;R259&amp;"")&amp;"*",INDIRECT("B"&amp;R259+1&amp;":B210"),0)+R259&amp;"")
+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INDIRECT("M"&amp;R259&amp;"")))),"")</f>
        <v/>
      </c>
      <c r="AC259" s="51" t="str">
        <f t="shared" ref="AC259:AC266" ca="1" si="101">IF(S259&lt;&gt;"",INDEX(A:A, MATCH("*"&amp;LEFT(S259,4)&amp;"*", C:C, 0)),"")</f>
        <v/>
      </c>
      <c r="AD259" s="51" t="str">
        <f t="shared" ref="AD259:AD290" ca="1" si="102">IFERROR(INDEX(AC:AC,MATCH(SMALL($AU:$AU,ROW()+3),$AU:$AU,0)),"")</f>
        <v/>
      </c>
      <c r="AE259" s="51" t="str">
        <f t="shared" ref="AE259:AE290" ca="1" si="103">IFERROR(INDEX(R:R,MATCH(SMALL($AU:$AU,ROW()+3),$AU:$AU,0)),"")</f>
        <v/>
      </c>
      <c r="AF259" s="51" t="str">
        <f t="shared" ref="AF259:AF290" ca="1" si="104">IFERROR(INDEX(S:S,MATCH(SMALL($AU:$AU,ROW()+3),$AU:$AU,0)),"")</f>
        <v/>
      </c>
      <c r="AG259" s="51" t="str">
        <f t="shared" ref="AG259:AG290" ca="1" si="105">IFERROR(INDEX(T:T,MATCH(SMALL($AU:$AU,ROW()+3),$AU:$AU,0)),"")</f>
        <v/>
      </c>
      <c r="AH259" s="191" t="str">
        <f t="shared" ref="AH259:AH290" ca="1" si="106">IFERROR(INDEX(U:U,MATCH(SMALL($AU:$AU,ROW()+3),$AU:$AU,0)),"")</f>
        <v/>
      </c>
      <c r="AI259" s="51" t="str">
        <f t="shared" ref="AI259:AI290" ca="1" si="107">IFERROR(INDEX(V:V,MATCH(SMALL($AU:$AU,ROW()+3),$AU:$AU,0)),"")</f>
        <v/>
      </c>
      <c r="AJ259" s="51" t="str">
        <f t="shared" ref="AJ259:AJ290" ca="1" si="108">IFERROR(INDEX(W:W,MATCH(SMALL($AU:$AU,ROW()+3),$AU:$AU,0)),"")</f>
        <v/>
      </c>
      <c r="AK259" s="51" t="str">
        <f t="shared" ref="AK259:AK290" ca="1" si="109">IFERROR(INDEX(X:X,MATCH(SMALL($AU:$AU,ROW()+3),$AU:$AU,0)),"")</f>
        <v/>
      </c>
      <c r="AL259" s="51" t="str">
        <f t="shared" ref="AL259:AL290" ca="1" si="110">IFERROR(INDEX(Y:Y,MATCH(SMALL($AU:$AU,ROW()+3),$AU:$AU,0)),"")</f>
        <v/>
      </c>
      <c r="AM259" s="51" t="str">
        <f t="shared" ref="AM259:AM290" ca="1" si="111">IFERROR(INDEX(Z:Z,MATCH(SMALL($AU:$AU,ROW()+3),$AU:$AU,0)),"")</f>
        <v/>
      </c>
      <c r="AN259" s="51" t="str">
        <f t="shared" ref="AN259:AN290" ca="1" si="112">IFERROR(INDEX(AA:AA,MATCH(SMALL($AU:$AU,ROW()+3),$AU:$AU,0)),"")</f>
        <v/>
      </c>
      <c r="AO259" s="51" t="str">
        <f t="shared" ref="AO259:AO290" ca="1" si="113">IFERROR(INDEX(AB:AB,MATCH(SMALL($AU:$AU,ROW()+3),$AU:$AU,0)),"")</f>
        <v/>
      </c>
      <c r="AP259" s="51" t="str">
        <f t="shared" ref="AP259:AP290" ca="1" si="114">IFERROR(INDEX(AC:AC,MATCH(SMALL($AU:$AU,ROW()+3),$AU:$AU,0)),"")</f>
        <v/>
      </c>
      <c r="AU259" s="51" t="str">
        <f t="shared" ref="AU259:AU269" ca="1" si="115">IFERROR(IF(R259&gt;=215, 1000000+R259, AC259*1000+R259),"")</f>
        <v/>
      </c>
    </row>
    <row r="260" spans="1:47">
      <c r="A260" s="176" t="str">
        <f ca="1">IF(C260&lt;&gt;"",MATCH("*"&amp;LEFT(C260,4)&amp;"*",数出表_Excel!A:A,0),"")</f>
        <v/>
      </c>
      <c r="B260" s="183"/>
      <c r="C260" s="200" t="str">
        <f ca="1">先生札!R14</f>
        <v/>
      </c>
      <c r="D260" s="200" t="str">
        <f ca="1">先生札!S14</f>
        <v/>
      </c>
      <c r="E260" s="183"/>
      <c r="F260" s="183" t="str">
        <f>""</f>
        <v/>
      </c>
      <c r="G260" s="183" t="str">
        <f>""</f>
        <v/>
      </c>
      <c r="H260" s="183" t="str">
        <f ca="1">先生札!T14</f>
        <v/>
      </c>
      <c r="I260" s="183" t="str">
        <f>""</f>
        <v/>
      </c>
      <c r="J260" s="183" t="str">
        <f>""</f>
        <v/>
      </c>
      <c r="M260" s="183"/>
      <c r="P260" s="183" t="str">
        <f t="shared" ca="1" si="98"/>
        <v/>
      </c>
      <c r="Q260" s="183" t="str">
        <f t="shared" ca="1" si="97"/>
        <v/>
      </c>
      <c r="R260" s="51" t="str">
        <f t="array" aca="1" ref="R260" ca="1">IFERROR(SMALL(IF(P$1:P$307&lt;&gt;0,P$1:P$307),ROW(A260)),"")</f>
        <v/>
      </c>
      <c r="S260" s="51" t="str">
        <f t="array" aca="1" ref="S260" ca="1">IF($R260&lt;&gt;"",
SUBSTITUTE(SUBSTITUTE(INDIRECT("C"&amp;$R260&amp;"")," 週3ｺｰｽ","")," 週5ｺｰｽ",""),"")</f>
        <v/>
      </c>
      <c r="T260" s="51" t="str">
        <f t="array" aca="1" ref="T260" ca="1">IF(IF($R260&lt;&gt;"",
INDIRECT(""&amp;IF(COLUMN(D260)&lt;=26,CHAR(COLUMN(D260)+64),CHAR(INT((COLUMN(D260)-1)/26)+64)&amp;CHAR(MOD(COLUMN(D260)-1,26)+65))&amp;$R260&amp;""),"")=0,"",
IF($R260&lt;&gt;"",
INDIRECT(""&amp;IF(COLUMN(D260)&lt;=26,CHAR(COLUMN(D260)+64),CHAR(INT((COLUMN(D260)-1)/26)+64)&amp;CHAR(MOD(COLUMN(D260)-1,26)+65))&amp;$R260&amp;""),""))</f>
        <v/>
      </c>
      <c r="U260" s="191" t="str">
        <f t="array" aca="1" ref="U260" ca="1">IF($R260&lt;&gt;"",
INDIRECT("F"&amp;$R260&amp;""),"")</f>
        <v/>
      </c>
      <c r="V260" s="51" t="str">
        <f t="array" aca="1" ref="V260" ca="1">IF($R260&lt;&gt;"",
INDIRECT("G"&amp;$R260&amp;""),"")</f>
        <v/>
      </c>
      <c r="W260" s="51" t="str">
        <f t="array" aca="1" ref="W260" ca="1">IF($R260&lt;&gt;"",
IF(AND(COUNTIF(INDIRECT("B"&amp;R260&amp;""),"*雙葉*"),COUNTIF(B:B,"*雙葉*")&gt;=2),
IF(OR(COUNTIF(INDIRECT("B"&amp;R260&amp;""),"*雙葉先生*"),COUNTIF($B$1:$B$70,"*雙葉*")&gt;=2),INDIRECT("H"&amp;R260&amp;""),INDIRECT("H"&amp;R260&amp;"")+INDIRECT("H"&amp;MATCH("雙葉'",INDIRECT("B"&amp;R260+3&amp;":B210"),0)+2+R260&amp;"")),
IF(AND(LEFT(INDIRECT("B"&amp;R260&amp;""),2)="博多",COUNTIF(B:B,"*博多*")&gt;=2),
INDIRECT("H"&amp;R260&amp;"")+INDIRECT("H"&amp;MATCH("*"&amp;INDIRECT("B"&amp;R260&amp;"")&amp;"*",INDIRECT("B"&amp;R260+1&amp;":B210"),0)+R260&amp;""),
IF(AND(LEFT(INDIRECT("B"&amp;R260&amp;""),3)="奈良屋",COUNTIF(B:B,"*奈良屋*")&gt;=2),
INDIRECT("H"&amp;R260&amp;"")+INDIRECT("H"&amp;MATCH("*"&amp;INDIRECT("B"&amp;R260&amp;"")&amp;"*",INDIRECT("B"&amp;R260+1&amp;":B210"),0)+R260&amp;"")
+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INDIRECT("H"&amp;R260&amp;"")))),"")</f>
        <v/>
      </c>
      <c r="X260" s="51" t="str">
        <f t="array" aca="1" ref="X260" ca="1">IF($R260&lt;&gt;"",
INDIRECT(""&amp;IF(COLUMN(I260)&lt;=26,CHAR(COLUMN(I260)+64),CHAR(INT((COLUMN(I260)-1)/26)+64)&amp;CHAR(MOD(COLUMN(I260)-1,26)+65))&amp;$R260&amp;""),"")</f>
        <v/>
      </c>
      <c r="Y260" s="51" t="str">
        <f t="array" aca="1" ref="Y260" ca="1">IF($R260&lt;&gt;"",
INDIRECT(""&amp;IF(COLUMN(J260)&lt;=26,CHAR(COLUMN(J260)+64),CHAR(INT((COLUMN(J260)-1)/26)+64)&amp;CHAR(MOD(COLUMN(J260)-1,26)+65))&amp;$R260&amp;""),"")</f>
        <v/>
      </c>
      <c r="Z260" s="51" t="str">
        <f t="shared" ca="1" si="99"/>
        <v/>
      </c>
      <c r="AA260" s="51" t="str">
        <f t="shared" ca="1" si="100"/>
        <v/>
      </c>
      <c r="AB260" s="51" t="str">
        <f t="array" aca="1" ref="AB260" ca="1">IF($R260&lt;&gt;"",
IF(AND(COUNTIF(INDIRECT("B"&amp;R260&amp;""),"*雙葉*"),COUNTIF(B:B,"*雙葉*")&gt;=2),
INDIRECT("M"&amp;R260&amp;"")+INDIRECT("M"&amp;MATCH("雙葉'",INDIRECT("B"&amp;R260+1&amp;":B210"),0)+R260&amp;""),
IF(AND(LEFT(INDIRECT("B"&amp;R260&amp;""),2)="博多",COUNTIF(B:B,"*博多*")&gt;=2),
INDIRECT("M"&amp;R260&amp;"")+INDIRECT("M"&amp;MATCH("*"&amp;INDIRECT("B"&amp;R260&amp;"")&amp;"*",INDIRECT("B"&amp;R260+1&amp;":B210"),0)+R260&amp;""),
IF(AND(LEFT(INDIRECT("B"&amp;R260&amp;""),3)="奈良屋",COUNTIF(B:B,"*奈良屋*")&gt;=2),
INDIRECT("M"&amp;R260&amp;"")+INDIRECT("M"&amp;MATCH("*"&amp;INDIRECT("B"&amp;R260&amp;"")&amp;"*",INDIRECT("B"&amp;R260+1&amp;":B210"),0)+R260&amp;"")
+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INDIRECT("M"&amp;R260&amp;"")))),"")</f>
        <v/>
      </c>
      <c r="AC260" s="51" t="str">
        <f t="shared" ca="1" si="101"/>
        <v/>
      </c>
      <c r="AD260" s="51" t="str">
        <f t="shared" ca="1" si="102"/>
        <v/>
      </c>
      <c r="AE260" s="51" t="str">
        <f t="shared" ca="1" si="103"/>
        <v/>
      </c>
      <c r="AF260" s="51" t="str">
        <f t="shared" ca="1" si="104"/>
        <v/>
      </c>
      <c r="AG260" s="51" t="str">
        <f t="shared" ca="1" si="105"/>
        <v/>
      </c>
      <c r="AH260" s="191" t="str">
        <f t="shared" ca="1" si="106"/>
        <v/>
      </c>
      <c r="AI260" s="51" t="str">
        <f t="shared" ca="1" si="107"/>
        <v/>
      </c>
      <c r="AJ260" s="51" t="str">
        <f t="shared" ca="1" si="108"/>
        <v/>
      </c>
      <c r="AK260" s="51" t="str">
        <f t="shared" ca="1" si="109"/>
        <v/>
      </c>
      <c r="AL260" s="51" t="str">
        <f t="shared" ca="1" si="110"/>
        <v/>
      </c>
      <c r="AM260" s="51" t="str">
        <f t="shared" ca="1" si="111"/>
        <v/>
      </c>
      <c r="AN260" s="51" t="str">
        <f t="shared" ca="1" si="112"/>
        <v/>
      </c>
      <c r="AO260" s="51" t="str">
        <f t="shared" ca="1" si="113"/>
        <v/>
      </c>
      <c r="AP260" s="51" t="str">
        <f t="shared" ca="1" si="114"/>
        <v/>
      </c>
      <c r="AU260" s="51" t="str">
        <f t="shared" ca="1" si="115"/>
        <v/>
      </c>
    </row>
    <row r="261" spans="1:47">
      <c r="A261" s="176" t="str">
        <f ca="1">IF(C261&lt;&gt;"",MATCH("*"&amp;LEFT(C261,4)&amp;"*",数出表_Excel!A:A,0),"")</f>
        <v/>
      </c>
      <c r="B261" s="183"/>
      <c r="C261" s="200" t="str">
        <f ca="1">先生札!R15</f>
        <v/>
      </c>
      <c r="D261" s="200" t="str">
        <f ca="1">先生札!S15</f>
        <v/>
      </c>
      <c r="E261" s="183"/>
      <c r="F261" s="183" t="str">
        <f>""</f>
        <v/>
      </c>
      <c r="G261" s="183" t="str">
        <f>""</f>
        <v/>
      </c>
      <c r="H261" s="183" t="str">
        <f ca="1">先生札!T15</f>
        <v/>
      </c>
      <c r="I261" s="183" t="str">
        <f>""</f>
        <v/>
      </c>
      <c r="J261" s="183" t="str">
        <f>""</f>
        <v/>
      </c>
      <c r="M261" s="183"/>
      <c r="P261" s="183" t="str">
        <f t="shared" ca="1" si="98"/>
        <v/>
      </c>
      <c r="Q261" s="183" t="str">
        <f t="shared" ca="1" si="97"/>
        <v/>
      </c>
      <c r="R261" s="51" t="str">
        <f t="array" aca="1" ref="R261" ca="1">IFERROR(SMALL(IF(P$1:P$307&lt;&gt;0,P$1:P$307),ROW(A261)),"")</f>
        <v/>
      </c>
      <c r="S261" s="51" t="str">
        <f t="array" aca="1" ref="S261" ca="1">IF($R261&lt;&gt;"",
SUBSTITUTE(SUBSTITUTE(INDIRECT("C"&amp;$R261&amp;"")," 週3ｺｰｽ","")," 週5ｺｰｽ",""),"")</f>
        <v/>
      </c>
      <c r="T261" s="51" t="str">
        <f t="array" aca="1" ref="T261" ca="1">IF(IF($R261&lt;&gt;"",
INDIRECT(""&amp;IF(COLUMN(D261)&lt;=26,CHAR(COLUMN(D261)+64),CHAR(INT((COLUMN(D261)-1)/26)+64)&amp;CHAR(MOD(COLUMN(D261)-1,26)+65))&amp;$R261&amp;""),"")=0,"",
IF($R261&lt;&gt;"",
INDIRECT(""&amp;IF(COLUMN(D261)&lt;=26,CHAR(COLUMN(D261)+64),CHAR(INT((COLUMN(D261)-1)/26)+64)&amp;CHAR(MOD(COLUMN(D261)-1,26)+65))&amp;$R261&amp;""),""))</f>
        <v/>
      </c>
      <c r="U261" s="191" t="str">
        <f t="array" aca="1" ref="U261" ca="1">IF($R261&lt;&gt;"",
INDIRECT("F"&amp;$R261&amp;""),"")</f>
        <v/>
      </c>
      <c r="V261" s="51" t="str">
        <f t="array" aca="1" ref="V261" ca="1">IF($R261&lt;&gt;"",
INDIRECT("G"&amp;$R261&amp;""),"")</f>
        <v/>
      </c>
      <c r="W261" s="51" t="str">
        <f t="array" aca="1" ref="W261" ca="1">IF($R261&lt;&gt;"",
IF(AND(COUNTIF(INDIRECT("B"&amp;R261&amp;""),"*雙葉*"),COUNTIF(B:B,"*雙葉*")&gt;=2),
IF(OR(COUNTIF(INDIRECT("B"&amp;R261&amp;""),"*雙葉先生*"),COUNTIF($B$1:$B$70,"*雙葉*")&gt;=2),INDIRECT("H"&amp;R261&amp;""),INDIRECT("H"&amp;R261&amp;"")+INDIRECT("H"&amp;MATCH("雙葉'",INDIRECT("B"&amp;R261+3&amp;":B210"),0)+2+R261&amp;"")),
IF(AND(LEFT(INDIRECT("B"&amp;R261&amp;""),2)="博多",COUNTIF(B:B,"*博多*")&gt;=2),
INDIRECT("H"&amp;R261&amp;"")+INDIRECT("H"&amp;MATCH("*"&amp;INDIRECT("B"&amp;R261&amp;"")&amp;"*",INDIRECT("B"&amp;R261+1&amp;":B210"),0)+R261&amp;""),
IF(AND(LEFT(INDIRECT("B"&amp;R261&amp;""),3)="奈良屋",COUNTIF(B:B,"*奈良屋*")&gt;=2),
INDIRECT("H"&amp;R261&amp;"")+INDIRECT("H"&amp;MATCH("*"&amp;INDIRECT("B"&amp;R261&amp;"")&amp;"*",INDIRECT("B"&amp;R261+1&amp;":B210"),0)+R261&amp;"")
+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INDIRECT("H"&amp;R261&amp;"")))),"")</f>
        <v/>
      </c>
      <c r="X261" s="51" t="str">
        <f t="array" aca="1" ref="X261" ca="1">IF($R261&lt;&gt;"",
INDIRECT(""&amp;IF(COLUMN(I261)&lt;=26,CHAR(COLUMN(I261)+64),CHAR(INT((COLUMN(I261)-1)/26)+64)&amp;CHAR(MOD(COLUMN(I261)-1,26)+65))&amp;$R261&amp;""),"")</f>
        <v/>
      </c>
      <c r="Y261" s="51" t="str">
        <f t="array" aca="1" ref="Y261" ca="1">IF($R261&lt;&gt;"",
INDIRECT(""&amp;IF(COLUMN(J261)&lt;=26,CHAR(COLUMN(J261)+64),CHAR(INT((COLUMN(J261)-1)/26)+64)&amp;CHAR(MOD(COLUMN(J261)-1,26)+65))&amp;$R261&amp;""),"")</f>
        <v/>
      </c>
      <c r="Z261" s="51" t="str">
        <f t="shared" ca="1" si="99"/>
        <v/>
      </c>
      <c r="AA261" s="51" t="str">
        <f t="shared" ca="1" si="100"/>
        <v/>
      </c>
      <c r="AB261" s="51" t="str">
        <f t="array" aca="1" ref="AB261" ca="1">IF($R261&lt;&gt;"",
IF(AND(COUNTIF(INDIRECT("B"&amp;R261&amp;""),"*雙葉*"),COUNTIF(B:B,"*雙葉*")&gt;=2),
INDIRECT("M"&amp;R261&amp;"")+INDIRECT("M"&amp;MATCH("雙葉'",INDIRECT("B"&amp;R261+1&amp;":B210"),0)+R261&amp;""),
IF(AND(LEFT(INDIRECT("B"&amp;R261&amp;""),2)="博多",COUNTIF(B:B,"*博多*")&gt;=2),
INDIRECT("M"&amp;R261&amp;"")+INDIRECT("M"&amp;MATCH("*"&amp;INDIRECT("B"&amp;R261&amp;"")&amp;"*",INDIRECT("B"&amp;R261+1&amp;":B210"),0)+R261&amp;""),
IF(AND(LEFT(INDIRECT("B"&amp;R261&amp;""),3)="奈良屋",COUNTIF(B:B,"*奈良屋*")&gt;=2),
INDIRECT("M"&amp;R261&amp;"")+INDIRECT("M"&amp;MATCH("*"&amp;INDIRECT("B"&amp;R261&amp;"")&amp;"*",INDIRECT("B"&amp;R261+1&amp;":B210"),0)+R261&amp;"")
+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INDIRECT("M"&amp;R261&amp;"")))),"")</f>
        <v/>
      </c>
      <c r="AC261" s="51" t="str">
        <f t="shared" ca="1" si="101"/>
        <v/>
      </c>
      <c r="AD261" s="51" t="str">
        <f t="shared" ca="1" si="102"/>
        <v/>
      </c>
      <c r="AE261" s="51" t="str">
        <f t="shared" ca="1" si="103"/>
        <v/>
      </c>
      <c r="AF261" s="51" t="str">
        <f t="shared" ca="1" si="104"/>
        <v/>
      </c>
      <c r="AG261" s="51" t="str">
        <f t="shared" ca="1" si="105"/>
        <v/>
      </c>
      <c r="AH261" s="191" t="str">
        <f t="shared" ca="1" si="106"/>
        <v/>
      </c>
      <c r="AI261" s="51" t="str">
        <f t="shared" ca="1" si="107"/>
        <v/>
      </c>
      <c r="AJ261" s="51" t="str">
        <f t="shared" ca="1" si="108"/>
        <v/>
      </c>
      <c r="AK261" s="51" t="str">
        <f t="shared" ca="1" si="109"/>
        <v/>
      </c>
      <c r="AL261" s="51" t="str">
        <f t="shared" ca="1" si="110"/>
        <v/>
      </c>
      <c r="AM261" s="51" t="str">
        <f t="shared" ca="1" si="111"/>
        <v/>
      </c>
      <c r="AN261" s="51" t="str">
        <f t="shared" ca="1" si="112"/>
        <v/>
      </c>
      <c r="AO261" s="51" t="str">
        <f t="shared" ca="1" si="113"/>
        <v/>
      </c>
      <c r="AP261" s="51" t="str">
        <f t="shared" ca="1" si="114"/>
        <v/>
      </c>
      <c r="AU261" s="51" t="str">
        <f t="shared" ca="1" si="115"/>
        <v/>
      </c>
    </row>
    <row r="262" spans="1:47">
      <c r="A262" s="176" t="e">
        <f ca="1">IF(C262&lt;&gt;"",MATCH("*"&amp;LEFT(C262,4)&amp;"*",数出表_Excel!A:A,0),"")</f>
        <v>#N/A</v>
      </c>
      <c r="B262" s="201"/>
      <c r="C262" s="202" t="str">
        <f>社食等の札!A1</f>
        <v>社食</v>
      </c>
      <c r="D262" s="202"/>
      <c r="E262" s="202"/>
      <c r="F262" s="202"/>
      <c r="G262" s="202"/>
      <c r="H262" s="201" t="e">
        <f ca="1">社食等の札!E1</f>
        <v>#N/A</v>
      </c>
      <c r="I262" s="201" t="str">
        <f>""</f>
        <v/>
      </c>
      <c r="J262" s="201">
        <f>社食等の札!G1</f>
        <v>0</v>
      </c>
      <c r="M262" s="201"/>
      <c r="P262" s="201">
        <f t="shared" si="98"/>
        <v>262</v>
      </c>
      <c r="Q262" s="201" t="str">
        <f>IF(C262&lt;&gt;"","TRUE","")</f>
        <v>TRUE</v>
      </c>
      <c r="R262" s="51" t="str">
        <f t="array" aca="1" ref="R262" ca="1">IFERROR(SMALL(IF(P$1:P$307&lt;&gt;0,P$1:P$307),ROW(A262)),"")</f>
        <v/>
      </c>
      <c r="S262" s="51" t="str">
        <f t="array" aca="1" ref="S262" ca="1">IF($R262&lt;&gt;"",
SUBSTITUTE(SUBSTITUTE(INDIRECT("C"&amp;$R262&amp;"")," 週3ｺｰｽ","")," 週5ｺｰｽ",""),"")</f>
        <v/>
      </c>
      <c r="T262" s="51" t="str">
        <f t="array" aca="1" ref="T262" ca="1">IF(IF($R262&lt;&gt;"",
INDIRECT(""&amp;IF(COLUMN(D262)&lt;=26,CHAR(COLUMN(D262)+64),CHAR(INT((COLUMN(D262)-1)/26)+64)&amp;CHAR(MOD(COLUMN(D262)-1,26)+65))&amp;$R262&amp;""),"")=0,"",
IF($R262&lt;&gt;"",
INDIRECT(""&amp;IF(COLUMN(D262)&lt;=26,CHAR(COLUMN(D262)+64),CHAR(INT((COLUMN(D262)-1)/26)+64)&amp;CHAR(MOD(COLUMN(D262)-1,26)+65))&amp;$R262&amp;""),""))</f>
        <v/>
      </c>
      <c r="U262" s="191" t="str">
        <f t="array" aca="1" ref="U262" ca="1">IF($R262&lt;&gt;"",
INDIRECT("F"&amp;$R262&amp;""),"")</f>
        <v/>
      </c>
      <c r="V262" s="51" t="str">
        <f t="array" aca="1" ref="V262" ca="1">IF($R262&lt;&gt;"",
INDIRECT("G"&amp;$R262&amp;""),"")</f>
        <v/>
      </c>
      <c r="W262" s="51" t="str">
        <f t="array" aca="1" ref="W262" ca="1">IF($R262&lt;&gt;"",
IF(AND(COUNTIF(INDIRECT("B"&amp;R262&amp;""),"*雙葉*"),COUNTIF(B:B,"*雙葉*")&gt;=2),
IF(OR(COUNTIF(INDIRECT("B"&amp;R262&amp;""),"*雙葉先生*"),COUNTIF($B$1:$B$70,"*雙葉*")&gt;=2),INDIRECT("H"&amp;R262&amp;""),INDIRECT("H"&amp;R262&amp;"")+INDIRECT("H"&amp;MATCH("雙葉'",INDIRECT("B"&amp;R262+3&amp;":B210"),0)+2+R262&amp;"")),
IF(AND(LEFT(INDIRECT("B"&amp;R262&amp;""),2)="博多",COUNTIF(B:B,"*博多*")&gt;=2),
INDIRECT("H"&amp;R262&amp;"")+INDIRECT("H"&amp;MATCH("*"&amp;INDIRECT("B"&amp;R262&amp;"")&amp;"*",INDIRECT("B"&amp;R262+1&amp;":B210"),0)+R262&amp;""),
IF(AND(LEFT(INDIRECT("B"&amp;R262&amp;""),3)="奈良屋",COUNTIF(B:B,"*奈良屋*")&gt;=2),
INDIRECT("H"&amp;R262&amp;"")+INDIRECT("H"&amp;MATCH("*"&amp;INDIRECT("B"&amp;R262&amp;"")&amp;"*",INDIRECT("B"&amp;R262+1&amp;":B210"),0)+R262&amp;"")
+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INDIRECT("H"&amp;R262&amp;"")))),"")</f>
        <v/>
      </c>
      <c r="X262" s="51" t="str">
        <f t="array" aca="1" ref="X262" ca="1">IF($R262&lt;&gt;"",
INDIRECT(""&amp;IF(COLUMN(I262)&lt;=26,CHAR(COLUMN(I262)+64),CHAR(INT((COLUMN(I262)-1)/26)+64)&amp;CHAR(MOD(COLUMN(I262)-1,26)+65))&amp;$R262&amp;""),"")</f>
        <v/>
      </c>
      <c r="Y262" s="51" t="str">
        <f t="array" aca="1" ref="Y262" ca="1">IF($R262&lt;&gt;"",
INDIRECT(""&amp;IF(COLUMN(J262)&lt;=26,CHAR(COLUMN(J262)+64),CHAR(INT((COLUMN(J262)-1)/26)+64)&amp;CHAR(MOD(COLUMN(J262)-1,26)+65))&amp;$R262&amp;""),"")</f>
        <v/>
      </c>
      <c r="Z262" s="51" t="str">
        <f t="shared" ca="1" si="99"/>
        <v/>
      </c>
      <c r="AA262" s="51" t="str">
        <f t="shared" ca="1" si="100"/>
        <v/>
      </c>
      <c r="AB262" s="51" t="str">
        <f t="array" aca="1" ref="AB262" ca="1">IF($R262&lt;&gt;"",
IF(AND(COUNTIF(INDIRECT("B"&amp;R262&amp;""),"*雙葉*"),COUNTIF(B:B,"*雙葉*")&gt;=2),
INDIRECT("M"&amp;R262&amp;"")+INDIRECT("M"&amp;MATCH("雙葉'",INDIRECT("B"&amp;R262+1&amp;":B210"),0)+R262&amp;""),
IF(AND(LEFT(INDIRECT("B"&amp;R262&amp;""),2)="博多",COUNTIF(B:B,"*博多*")&gt;=2),
INDIRECT("M"&amp;R262&amp;"")+INDIRECT("M"&amp;MATCH("*"&amp;INDIRECT("B"&amp;R262&amp;"")&amp;"*",INDIRECT("B"&amp;R262+1&amp;":B210"),0)+R262&amp;""),
IF(AND(LEFT(INDIRECT("B"&amp;R262&amp;""),3)="奈良屋",COUNTIF(B:B,"*奈良屋*")&gt;=2),
INDIRECT("M"&amp;R262&amp;"")+INDIRECT("M"&amp;MATCH("*"&amp;INDIRECT("B"&amp;R262&amp;"")&amp;"*",INDIRECT("B"&amp;R262+1&amp;":B210"),0)+R262&amp;"")
+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INDIRECT("M"&amp;R262&amp;"")))),"")</f>
        <v/>
      </c>
      <c r="AC262" s="51" t="str">
        <f t="shared" ca="1" si="101"/>
        <v/>
      </c>
      <c r="AD262" s="51" t="str">
        <f t="shared" ca="1" si="102"/>
        <v/>
      </c>
      <c r="AE262" s="51" t="str">
        <f t="shared" ca="1" si="103"/>
        <v/>
      </c>
      <c r="AF262" s="51" t="str">
        <f t="shared" ca="1" si="104"/>
        <v/>
      </c>
      <c r="AG262" s="51" t="str">
        <f t="shared" ca="1" si="105"/>
        <v/>
      </c>
      <c r="AH262" s="191" t="str">
        <f t="shared" ca="1" si="106"/>
        <v/>
      </c>
      <c r="AI262" s="51" t="str">
        <f t="shared" ca="1" si="107"/>
        <v/>
      </c>
      <c r="AJ262" s="51" t="str">
        <f t="shared" ca="1" si="108"/>
        <v/>
      </c>
      <c r="AK262" s="51" t="str">
        <f t="shared" ca="1" si="109"/>
        <v/>
      </c>
      <c r="AL262" s="51" t="str">
        <f t="shared" ca="1" si="110"/>
        <v/>
      </c>
      <c r="AM262" s="51" t="str">
        <f t="shared" ca="1" si="111"/>
        <v/>
      </c>
      <c r="AN262" s="51" t="str">
        <f t="shared" ca="1" si="112"/>
        <v/>
      </c>
      <c r="AO262" s="51" t="str">
        <f t="shared" ca="1" si="113"/>
        <v/>
      </c>
      <c r="AP262" s="51" t="str">
        <f t="shared" ca="1" si="114"/>
        <v/>
      </c>
      <c r="AU262" s="51" t="str">
        <f t="shared" ca="1" si="115"/>
        <v/>
      </c>
    </row>
    <row r="263" spans="1:47">
      <c r="A263" s="176" t="e">
        <f ca="1">IF(C263&lt;&gt;"",MATCH("*"&amp;LEFT(C263,4)&amp;"*",数出表_Excel!A:A,0),"")</f>
        <v>#N/A</v>
      </c>
      <c r="B263" s="201"/>
      <c r="C263" s="202" t="str">
        <f>社食等の札!A2</f>
        <v>社食</v>
      </c>
      <c r="D263" s="202"/>
      <c r="E263" s="202"/>
      <c r="F263" s="202"/>
      <c r="G263" s="202"/>
      <c r="H263" s="201" t="e">
        <f ca="1">社食等の札!E2</f>
        <v>#N/A</v>
      </c>
      <c r="I263" s="201" t="str">
        <f>""</f>
        <v/>
      </c>
      <c r="J263" s="201">
        <f>社食等の札!G2</f>
        <v>0</v>
      </c>
      <c r="M263" s="201"/>
      <c r="P263" s="201">
        <f t="shared" si="98"/>
        <v>263</v>
      </c>
      <c r="Q263" s="201" t="str">
        <f>IF(C263&lt;&gt;"","TRUE","")</f>
        <v>TRUE</v>
      </c>
      <c r="R263" s="51" t="str">
        <f t="array" aca="1" ref="R263" ca="1">IFERROR(SMALL(IF(P$1:P$307&lt;&gt;0,P$1:P$307),ROW(A263)),"")</f>
        <v/>
      </c>
      <c r="S263" s="51" t="str">
        <f t="array" aca="1" ref="S263" ca="1">IF($R263&lt;&gt;"",
SUBSTITUTE(SUBSTITUTE(INDIRECT("C"&amp;$R263&amp;"")," 週3ｺｰｽ","")," 週5ｺｰｽ",""),"")</f>
        <v/>
      </c>
      <c r="T263" s="51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91" t="str">
        <f t="array" aca="1" ref="U263" ca="1">IF($R263&lt;&gt;"",
INDIRECT("F"&amp;$R263&amp;""),"")</f>
        <v/>
      </c>
      <c r="V263" s="51" t="str">
        <f t="array" aca="1" ref="V263" ca="1">IF($R263&lt;&gt;"",
INDIRECT("G"&amp;$R263&amp;""),"")</f>
        <v/>
      </c>
      <c r="W263" s="51" t="str">
        <f t="array" aca="1" ref="W263" ca="1">IF($R263&lt;&gt;"",
IF(AND(COUNTIF(INDIRECT("B"&amp;R263&amp;""),"*雙葉*"),COUNTIF(B:B,"*雙葉*")&gt;=2),
IF(OR(COUNTIF(INDIRECT("B"&amp;R263&amp;""),"*雙葉先生*"),COUNTIF($B$1:$B$70,"*雙葉*")&gt;=2),INDIRECT("H"&amp;R263&amp;""),INDIRECT("H"&amp;R263&amp;"")+INDIRECT("H"&amp;MATCH("雙葉'",INDIRECT("B"&amp;R263+3&amp;":B210"),0)+2+R263&amp;"")),
IF(AND(LEFT(INDIRECT("B"&amp;R263&amp;""),2)="博多",COUNTIF(B:B,"*博多*")&gt;=2),
INDIRECT("H"&amp;R263&amp;"")+INDIRECT("H"&amp;MATCH("*"&amp;INDIRECT("B"&amp;R263&amp;"")&amp;"*",INDIRECT("B"&amp;R263+1&amp;":B210"),0)+R263&amp;""),
IF(AND(LEFT(INDIRECT("B"&amp;R263&amp;""),3)="奈良屋",COUNTIF(B:B,"*奈良屋*")&gt;=2),
INDIRECT("H"&amp;R263&amp;"")+INDIRECT("H"&amp;MATCH("*"&amp;INDIRECT("B"&amp;R263&amp;"")&amp;"*",INDIRECT("B"&amp;R263+1&amp;":B210"),0)+R263&amp;"")
+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INDIRECT("H"&amp;R263&amp;"")))),"")</f>
        <v/>
      </c>
      <c r="X263" s="51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51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51" t="str">
        <f t="shared" ca="1" si="99"/>
        <v/>
      </c>
      <c r="AA263" s="51" t="str">
        <f t="shared" ca="1" si="100"/>
        <v/>
      </c>
      <c r="AB263" s="51" t="str">
        <f t="array" aca="1" ref="AB263" ca="1">IF($R263&lt;&gt;"",
IF(AND(COUNTIF(INDIRECT("B"&amp;R263&amp;""),"*雙葉*"),COUNTIF(B:B,"*雙葉*")&gt;=2),
INDIRECT("M"&amp;R263&amp;"")+INDIRECT("M"&amp;MATCH("雙葉'",INDIRECT("B"&amp;R263+1&amp;":B210"),0)+R263&amp;""),
IF(AND(LEFT(INDIRECT("B"&amp;R263&amp;""),2)="博多",COUNTIF(B:B,"*博多*")&gt;=2),
INDIRECT("M"&amp;R263&amp;"")+INDIRECT("M"&amp;MATCH("*"&amp;INDIRECT("B"&amp;R263&amp;"")&amp;"*",INDIRECT("B"&amp;R263+1&amp;":B210"),0)+R263&amp;""),
IF(AND(LEFT(INDIRECT("B"&amp;R263&amp;""),3)="奈良屋",COUNTIF(B:B,"*奈良屋*")&gt;=2),
INDIRECT("M"&amp;R263&amp;"")+INDIRECT("M"&amp;MATCH("*"&amp;INDIRECT("B"&amp;R263&amp;"")&amp;"*",INDIRECT("B"&amp;R263+1&amp;":B210"),0)+R263&amp;"")
+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INDIRECT("M"&amp;R263&amp;"")))),"")</f>
        <v/>
      </c>
      <c r="AC263" s="51" t="str">
        <f t="shared" ca="1" si="101"/>
        <v/>
      </c>
      <c r="AD263" s="51" t="str">
        <f t="shared" ca="1" si="102"/>
        <v/>
      </c>
      <c r="AE263" s="51" t="str">
        <f t="shared" ca="1" si="103"/>
        <v/>
      </c>
      <c r="AF263" s="51" t="str">
        <f t="shared" ca="1" si="104"/>
        <v/>
      </c>
      <c r="AG263" s="51" t="str">
        <f t="shared" ca="1" si="105"/>
        <v/>
      </c>
      <c r="AH263" s="191" t="str">
        <f t="shared" ca="1" si="106"/>
        <v/>
      </c>
      <c r="AI263" s="51" t="str">
        <f t="shared" ca="1" si="107"/>
        <v/>
      </c>
      <c r="AJ263" s="51" t="str">
        <f t="shared" ca="1" si="108"/>
        <v/>
      </c>
      <c r="AK263" s="51" t="str">
        <f t="shared" ca="1" si="109"/>
        <v/>
      </c>
      <c r="AL263" s="51" t="str">
        <f t="shared" ca="1" si="110"/>
        <v/>
      </c>
      <c r="AM263" s="51" t="str">
        <f t="shared" ca="1" si="111"/>
        <v/>
      </c>
      <c r="AN263" s="51" t="str">
        <f t="shared" ca="1" si="112"/>
        <v/>
      </c>
      <c r="AO263" s="51" t="str">
        <f t="shared" ca="1" si="113"/>
        <v/>
      </c>
      <c r="AP263" s="51" t="str">
        <f t="shared" ca="1" si="114"/>
        <v/>
      </c>
      <c r="AU263" s="51" t="str">
        <f t="shared" ca="1" si="115"/>
        <v/>
      </c>
    </row>
    <row r="264" spans="1:47">
      <c r="A264" s="176" t="str">
        <f ca="1">IF(C264&lt;&gt;"",MATCH("*"&amp;LEFT(C264,4)&amp;"*",数出表_Excel!A:A,0),"")</f>
        <v/>
      </c>
      <c r="B264" s="201"/>
      <c r="C264" s="202" t="str">
        <f ca="1">社食等の札!A7</f>
        <v/>
      </c>
      <c r="D264" s="202" t="str">
        <f ca="1">社食等の札!H7</f>
        <v/>
      </c>
      <c r="E264" s="202"/>
      <c r="F264" s="202"/>
      <c r="G264" s="202"/>
      <c r="H264" s="201" t="str">
        <f ca="1">社食等の札!E7</f>
        <v/>
      </c>
      <c r="I264" s="201" t="str">
        <f>""</f>
        <v/>
      </c>
      <c r="J264" s="201" t="str">
        <f ca="1">社食等の札!G7</f>
        <v/>
      </c>
      <c r="M264" s="201"/>
      <c r="P264" s="201" t="str">
        <f t="shared" ca="1" si="98"/>
        <v/>
      </c>
      <c r="Q264" s="201" t="str">
        <f ca="1">IF(C264&lt;&gt;"","TRUE","")</f>
        <v/>
      </c>
      <c r="R264" s="51" t="str">
        <f t="array" aca="1" ref="R264" ca="1">IFERROR(SMALL(IF(P$1:P$307&lt;&gt;0,P$1:P$307),ROW(A264)),"")</f>
        <v/>
      </c>
      <c r="S264" s="51" t="str">
        <f t="array" aca="1" ref="S264" ca="1">IF($R264&lt;&gt;"",
SUBSTITUTE(SUBSTITUTE(INDIRECT("C"&amp;$R264&amp;"")," 週3ｺｰｽ","")," 週5ｺｰｽ",""),"")</f>
        <v/>
      </c>
      <c r="T264" s="51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91" t="str">
        <f t="array" aca="1" ref="U264" ca="1">IF($R264&lt;&gt;"",
INDIRECT("F"&amp;$R264&amp;""),"")</f>
        <v/>
      </c>
      <c r="V264" s="51" t="str">
        <f t="array" aca="1" ref="V264" ca="1">IF($R264&lt;&gt;"",
INDIRECT("G"&amp;$R264&amp;""),"")</f>
        <v/>
      </c>
      <c r="W264" s="51" t="str">
        <f t="array" aca="1" ref="W264" ca="1">IF($R264&lt;&gt;"",
IF(AND(COUNTIF(INDIRECT("B"&amp;R264&amp;""),"*雙葉*"),COUNTIF(B:B,"*雙葉*")&gt;=2),
IF(OR(COUNTIF(INDIRECT("B"&amp;R264&amp;""),"*雙葉先生*"),COUNTIF($B$1:$B$70,"*雙葉*")&gt;=2),INDIRECT("H"&amp;R264&amp;""),INDIRECT("H"&amp;R264&amp;"")+INDIRECT("H"&amp;MATCH("雙葉'",INDIRECT("B"&amp;R264+3&amp;":B210"),0)+2+R264&amp;"")),
IF(AND(LEFT(INDIRECT("B"&amp;R264&amp;""),2)="博多",COUNTIF(B:B,"*博多*")&gt;=2),
INDIRECT("H"&amp;R264&amp;"")+INDIRECT("H"&amp;MATCH("*"&amp;INDIRECT("B"&amp;R264&amp;"")&amp;"*",INDIRECT("B"&amp;R264+1&amp;":B210"),0)+R264&amp;""),
IF(AND(LEFT(INDIRECT("B"&amp;R264&amp;""),3)="奈良屋",COUNTIF(B:B,"*奈良屋*")&gt;=2),
INDIRECT("H"&amp;R264&amp;"")+INDIRECT("H"&amp;MATCH("*"&amp;INDIRECT("B"&amp;R264&amp;"")&amp;"*",INDIRECT("B"&amp;R264+1&amp;":B210"),0)+R264&amp;"")
+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INDIRECT("H"&amp;R264&amp;"")))),"")</f>
        <v/>
      </c>
      <c r="X264" s="51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51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51" t="str">
        <f t="shared" ca="1" si="99"/>
        <v/>
      </c>
      <c r="AA264" s="51" t="str">
        <f t="shared" ca="1" si="100"/>
        <v/>
      </c>
      <c r="AB264" s="51" t="str">
        <f t="array" aca="1" ref="AB264" ca="1">IF($R264&lt;&gt;"",
IF(AND(COUNTIF(INDIRECT("B"&amp;R264&amp;""),"*雙葉*"),COUNTIF(B:B,"*雙葉*")&gt;=2),
INDIRECT("M"&amp;R264&amp;"")+INDIRECT("M"&amp;MATCH("雙葉'",INDIRECT("B"&amp;R264+1&amp;":B210"),0)+R264&amp;""),
IF(AND(LEFT(INDIRECT("B"&amp;R264&amp;""),2)="博多",COUNTIF(B:B,"*博多*")&gt;=2),
INDIRECT("M"&amp;R264&amp;"")+INDIRECT("M"&amp;MATCH("*"&amp;INDIRECT("B"&amp;R264&amp;"")&amp;"*",INDIRECT("B"&amp;R264+1&amp;":B210"),0)+R264&amp;""),
IF(AND(LEFT(INDIRECT("B"&amp;R264&amp;""),3)="奈良屋",COUNTIF(B:B,"*奈良屋*")&gt;=2),
INDIRECT("M"&amp;R264&amp;"")+INDIRECT("M"&amp;MATCH("*"&amp;INDIRECT("B"&amp;R264&amp;"")&amp;"*",INDIRECT("B"&amp;R264+1&amp;":B210"),0)+R264&amp;"")
+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INDIRECT("M"&amp;R264&amp;"")))),"")</f>
        <v/>
      </c>
      <c r="AC264" s="51" t="str">
        <f t="shared" ca="1" si="101"/>
        <v/>
      </c>
      <c r="AD264" s="51" t="str">
        <f t="shared" ca="1" si="102"/>
        <v/>
      </c>
      <c r="AE264" s="51" t="str">
        <f t="shared" ca="1" si="103"/>
        <v/>
      </c>
      <c r="AF264" s="51" t="str">
        <f t="shared" ca="1" si="104"/>
        <v/>
      </c>
      <c r="AG264" s="51" t="str">
        <f t="shared" ca="1" si="105"/>
        <v/>
      </c>
      <c r="AH264" s="191" t="str">
        <f t="shared" ca="1" si="106"/>
        <v/>
      </c>
      <c r="AI264" s="51" t="str">
        <f t="shared" ca="1" si="107"/>
        <v/>
      </c>
      <c r="AJ264" s="51" t="str">
        <f t="shared" ca="1" si="108"/>
        <v/>
      </c>
      <c r="AK264" s="51" t="str">
        <f t="shared" ca="1" si="109"/>
        <v/>
      </c>
      <c r="AL264" s="51" t="str">
        <f t="shared" ca="1" si="110"/>
        <v/>
      </c>
      <c r="AM264" s="51" t="str">
        <f t="shared" ca="1" si="111"/>
        <v/>
      </c>
      <c r="AN264" s="51" t="str">
        <f t="shared" ca="1" si="112"/>
        <v/>
      </c>
      <c r="AO264" s="51" t="str">
        <f t="shared" ca="1" si="113"/>
        <v/>
      </c>
      <c r="AP264" s="51" t="str">
        <f t="shared" ca="1" si="114"/>
        <v/>
      </c>
      <c r="AU264" s="51" t="str">
        <f t="shared" ca="1" si="115"/>
        <v/>
      </c>
    </row>
    <row r="265" spans="1:47">
      <c r="A265" s="176" t="str">
        <f ca="1">IF(C265&lt;&gt;"",MATCH("*"&amp;LEFT(C265,4)&amp;"*",数出表_Excel!A:A,0),"")</f>
        <v/>
      </c>
      <c r="B265" s="201"/>
      <c r="C265" s="202" t="str">
        <f ca="1">社食等の札!A8</f>
        <v/>
      </c>
      <c r="D265" s="202" t="str">
        <f ca="1">社食等の札!H8</f>
        <v/>
      </c>
      <c r="E265" s="202"/>
      <c r="F265" s="202"/>
      <c r="G265" s="202"/>
      <c r="H265" s="201" t="str">
        <f>""</f>
        <v/>
      </c>
      <c r="I265" s="201" t="str">
        <f ca="1">社食等の札!F8</f>
        <v/>
      </c>
      <c r="J265" s="201" t="str">
        <f ca="1">社食等の札!G8</f>
        <v/>
      </c>
      <c r="M265" s="201"/>
      <c r="P265" s="201" t="str">
        <f t="shared" ca="1" si="98"/>
        <v/>
      </c>
      <c r="Q265" s="201" t="str">
        <f ca="1">IF(C265&lt;&gt;"","TRUE","")</f>
        <v/>
      </c>
      <c r="R265" s="51" t="str">
        <f t="array" aca="1" ref="R265" ca="1">IFERROR(SMALL(IF(P$1:P$307&lt;&gt;0,P$1:P$307),ROW(A265)),"")</f>
        <v/>
      </c>
      <c r="S265" s="51" t="str">
        <f t="array" aca="1" ref="S265" ca="1">IF($R265&lt;&gt;"",
SUBSTITUTE(SUBSTITUTE(INDIRECT("C"&amp;$R265&amp;"")," 週3ｺｰｽ","")," 週5ｺｰｽ",""),"")</f>
        <v/>
      </c>
      <c r="T265" s="51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91" t="str">
        <f t="array" aca="1" ref="U265" ca="1">IF($R265&lt;&gt;"",
INDIRECT("F"&amp;$R265&amp;""),"")</f>
        <v/>
      </c>
      <c r="V265" s="51" t="str">
        <f t="array" aca="1" ref="V265" ca="1">IF($R265&lt;&gt;"",
INDIRECT("G"&amp;$R265&amp;""),"")</f>
        <v/>
      </c>
      <c r="W265" s="51" t="str">
        <f t="array" aca="1" ref="W265" ca="1">IF($R265&lt;&gt;"",
IF(AND(COUNTIF(INDIRECT("B"&amp;R265&amp;""),"*雙葉*"),COUNTIF(B:B,"*雙葉*")&gt;=2),
IF(OR(COUNTIF(INDIRECT("B"&amp;R265&amp;""),"*雙葉先生*"),COUNTIF($B$1:$B$70,"*雙葉*")&gt;=2),INDIRECT("H"&amp;R265&amp;""),INDIRECT("H"&amp;R265&amp;"")+INDIRECT("H"&amp;MATCH("雙葉'",INDIRECT("B"&amp;R265+3&amp;":B210"),0)+2+R265&amp;"")),
IF(AND(LEFT(INDIRECT("B"&amp;R265&amp;""),2)="博多",COUNTIF(B:B,"*博多*")&gt;=2),
INDIRECT("H"&amp;R265&amp;"")+INDIRECT("H"&amp;MATCH("*"&amp;INDIRECT("B"&amp;R265&amp;"")&amp;"*",INDIRECT("B"&amp;R265+1&amp;":B210"),0)+R265&amp;""),
IF(AND(LEFT(INDIRECT("B"&amp;R265&amp;""),3)="奈良屋",COUNTIF(B:B,"*奈良屋*")&gt;=2),
INDIRECT("H"&amp;R265&amp;"")+INDIRECT("H"&amp;MATCH("*"&amp;INDIRECT("B"&amp;R265&amp;"")&amp;"*",INDIRECT("B"&amp;R265+1&amp;":B210"),0)+R265&amp;"")
+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INDIRECT("H"&amp;R265&amp;"")))),"")</f>
        <v/>
      </c>
      <c r="X265" s="51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51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51" t="str">
        <f t="shared" ca="1" si="99"/>
        <v/>
      </c>
      <c r="AA265" s="51" t="str">
        <f t="shared" ca="1" si="100"/>
        <v/>
      </c>
      <c r="AB265" s="51" t="str">
        <f t="array" aca="1" ref="AB265" ca="1">IF($R265&lt;&gt;"",
IF(AND(COUNTIF(INDIRECT("B"&amp;R265&amp;""),"*雙葉*"),COUNTIF(B:B,"*雙葉*")&gt;=2),
INDIRECT("M"&amp;R265&amp;"")+INDIRECT("M"&amp;MATCH("雙葉'",INDIRECT("B"&amp;R265+1&amp;":B210"),0)+R265&amp;""),
IF(AND(LEFT(INDIRECT("B"&amp;R265&amp;""),2)="博多",COUNTIF(B:B,"*博多*")&gt;=2),
INDIRECT("M"&amp;R265&amp;"")+INDIRECT("M"&amp;MATCH("*"&amp;INDIRECT("B"&amp;R265&amp;"")&amp;"*",INDIRECT("B"&amp;R265+1&amp;":B210"),0)+R265&amp;""),
IF(AND(LEFT(INDIRECT("B"&amp;R265&amp;""),3)="奈良屋",COUNTIF(B:B,"*奈良屋*")&gt;=2),
INDIRECT("M"&amp;R265&amp;"")+INDIRECT("M"&amp;MATCH("*"&amp;INDIRECT("B"&amp;R265&amp;"")&amp;"*",INDIRECT("B"&amp;R265+1&amp;":B210"),0)+R265&amp;"")
+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INDIRECT("M"&amp;R265&amp;"")))),"")</f>
        <v/>
      </c>
      <c r="AC265" s="51" t="str">
        <f t="shared" ca="1" si="101"/>
        <v/>
      </c>
      <c r="AD265" s="51" t="str">
        <f t="shared" ca="1" si="102"/>
        <v/>
      </c>
      <c r="AE265" s="51" t="str">
        <f t="shared" ca="1" si="103"/>
        <v/>
      </c>
      <c r="AF265" s="51" t="str">
        <f t="shared" ca="1" si="104"/>
        <v/>
      </c>
      <c r="AG265" s="51" t="str">
        <f t="shared" ca="1" si="105"/>
        <v/>
      </c>
      <c r="AH265" s="191" t="str">
        <f t="shared" ca="1" si="106"/>
        <v/>
      </c>
      <c r="AI265" s="51" t="str">
        <f t="shared" ca="1" si="107"/>
        <v/>
      </c>
      <c r="AJ265" s="51" t="str">
        <f t="shared" ca="1" si="108"/>
        <v/>
      </c>
      <c r="AK265" s="51" t="str">
        <f t="shared" ca="1" si="109"/>
        <v/>
      </c>
      <c r="AL265" s="51" t="str">
        <f t="shared" ca="1" si="110"/>
        <v/>
      </c>
      <c r="AM265" s="51" t="str">
        <f t="shared" ca="1" si="111"/>
        <v/>
      </c>
      <c r="AN265" s="51" t="str">
        <f t="shared" ca="1" si="112"/>
        <v/>
      </c>
      <c r="AO265" s="51" t="str">
        <f t="shared" ca="1" si="113"/>
        <v/>
      </c>
      <c r="AP265" s="51" t="str">
        <f t="shared" ca="1" si="114"/>
        <v/>
      </c>
      <c r="AU265" s="51" t="str">
        <f t="shared" ca="1" si="115"/>
        <v/>
      </c>
    </row>
    <row r="266" spans="1:47">
      <c r="Y266" s="51" t="str">
        <f t="array" aca="1" ref="Y266" ca="1">IF($R266&lt;&gt;"",
INDIRECT(""&amp;IF(COLUMN(J266)&lt;=26,CHAR(COLUMN(J266)+64),CHAR(INT((COLUMN(J266)-1)/26)+64)&amp;CHAR(MOD(COLUMN(J266)-1,26)+65))&amp;$R266&amp;""),"")</f>
        <v/>
      </c>
      <c r="AC266" s="51" t="str">
        <f t="shared" si="101"/>
        <v/>
      </c>
      <c r="AD266" s="51" t="str">
        <f t="shared" ca="1" si="102"/>
        <v/>
      </c>
      <c r="AE266" s="51" t="str">
        <f t="shared" ca="1" si="103"/>
        <v/>
      </c>
      <c r="AF266" s="51" t="str">
        <f t="shared" ca="1" si="104"/>
        <v/>
      </c>
      <c r="AG266" s="51" t="str">
        <f t="shared" ca="1" si="105"/>
        <v/>
      </c>
      <c r="AH266" s="191" t="str">
        <f t="shared" ca="1" si="106"/>
        <v/>
      </c>
      <c r="AI266" s="51" t="str">
        <f t="shared" ca="1" si="107"/>
        <v/>
      </c>
      <c r="AJ266" s="51" t="str">
        <f t="shared" ca="1" si="108"/>
        <v/>
      </c>
      <c r="AK266" s="51" t="str">
        <f t="shared" ca="1" si="109"/>
        <v/>
      </c>
      <c r="AL266" s="51" t="str">
        <f t="shared" ca="1" si="110"/>
        <v/>
      </c>
      <c r="AM266" s="51" t="str">
        <f t="shared" ca="1" si="111"/>
        <v/>
      </c>
      <c r="AN266" s="51" t="str">
        <f t="shared" ca="1" si="112"/>
        <v/>
      </c>
      <c r="AO266" s="51" t="str">
        <f t="shared" ca="1" si="113"/>
        <v/>
      </c>
      <c r="AP266" s="51" t="str">
        <f t="shared" ca="1" si="114"/>
        <v/>
      </c>
      <c r="AU266" s="51" t="str">
        <f t="shared" si="115"/>
        <v/>
      </c>
    </row>
    <row r="267" spans="1:47">
      <c r="AD267" s="51" t="str">
        <f t="shared" ca="1" si="102"/>
        <v/>
      </c>
      <c r="AE267" s="51" t="str">
        <f t="shared" ca="1" si="103"/>
        <v/>
      </c>
      <c r="AF267" s="51" t="str">
        <f t="shared" ca="1" si="104"/>
        <v/>
      </c>
      <c r="AG267" s="51" t="str">
        <f t="shared" ca="1" si="105"/>
        <v/>
      </c>
      <c r="AH267" s="191" t="str">
        <f t="shared" ca="1" si="106"/>
        <v/>
      </c>
      <c r="AI267" s="51" t="str">
        <f t="shared" ca="1" si="107"/>
        <v/>
      </c>
      <c r="AJ267" s="51" t="str">
        <f t="shared" ca="1" si="108"/>
        <v/>
      </c>
      <c r="AK267" s="51" t="str">
        <f t="shared" ca="1" si="109"/>
        <v/>
      </c>
      <c r="AL267" s="51" t="str">
        <f t="shared" ca="1" si="110"/>
        <v/>
      </c>
      <c r="AM267" s="51" t="str">
        <f t="shared" ca="1" si="111"/>
        <v/>
      </c>
      <c r="AN267" s="51" t="str">
        <f t="shared" ca="1" si="112"/>
        <v/>
      </c>
      <c r="AO267" s="51" t="str">
        <f t="shared" ca="1" si="113"/>
        <v/>
      </c>
      <c r="AP267" s="51" t="str">
        <f t="shared" ca="1" si="114"/>
        <v/>
      </c>
      <c r="AU267" s="51">
        <f t="shared" si="115"/>
        <v>0</v>
      </c>
    </row>
    <row r="268" spans="1:47">
      <c r="AD268" s="51" t="str">
        <f t="shared" ca="1" si="102"/>
        <v/>
      </c>
      <c r="AE268" s="51" t="str">
        <f t="shared" ca="1" si="103"/>
        <v/>
      </c>
      <c r="AF268" s="51" t="str">
        <f t="shared" ca="1" si="104"/>
        <v/>
      </c>
      <c r="AG268" s="51" t="str">
        <f t="shared" ca="1" si="105"/>
        <v/>
      </c>
      <c r="AH268" s="191" t="str">
        <f t="shared" ca="1" si="106"/>
        <v/>
      </c>
      <c r="AI268" s="51" t="str">
        <f t="shared" ca="1" si="107"/>
        <v/>
      </c>
      <c r="AJ268" s="51" t="str">
        <f t="shared" ca="1" si="108"/>
        <v/>
      </c>
      <c r="AK268" s="51" t="str">
        <f t="shared" ca="1" si="109"/>
        <v/>
      </c>
      <c r="AL268" s="51" t="str">
        <f t="shared" ca="1" si="110"/>
        <v/>
      </c>
      <c r="AM268" s="51" t="str">
        <f t="shared" ca="1" si="111"/>
        <v/>
      </c>
      <c r="AN268" s="51" t="str">
        <f t="shared" ca="1" si="112"/>
        <v/>
      </c>
      <c r="AO268" s="51" t="str">
        <f t="shared" ca="1" si="113"/>
        <v/>
      </c>
      <c r="AP268" s="51" t="str">
        <f t="shared" ca="1" si="114"/>
        <v/>
      </c>
      <c r="AU268" s="51">
        <f t="shared" si="115"/>
        <v>0</v>
      </c>
    </row>
    <row r="269" spans="1:47">
      <c r="AD269" s="51" t="str">
        <f t="shared" ca="1" si="102"/>
        <v/>
      </c>
      <c r="AE269" s="51" t="str">
        <f t="shared" ca="1" si="103"/>
        <v/>
      </c>
      <c r="AF269" s="51" t="str">
        <f t="shared" ca="1" si="104"/>
        <v/>
      </c>
      <c r="AG269" s="51" t="str">
        <f t="shared" ca="1" si="105"/>
        <v/>
      </c>
      <c r="AH269" s="191" t="str">
        <f t="shared" ca="1" si="106"/>
        <v/>
      </c>
      <c r="AI269" s="51" t="str">
        <f t="shared" ca="1" si="107"/>
        <v/>
      </c>
      <c r="AJ269" s="51" t="str">
        <f t="shared" ca="1" si="108"/>
        <v/>
      </c>
      <c r="AK269" s="51" t="str">
        <f t="shared" ca="1" si="109"/>
        <v/>
      </c>
      <c r="AL269" s="51" t="str">
        <f t="shared" ca="1" si="110"/>
        <v/>
      </c>
      <c r="AM269" s="51" t="str">
        <f t="shared" ca="1" si="111"/>
        <v/>
      </c>
      <c r="AN269" s="51" t="str">
        <f t="shared" ca="1" si="112"/>
        <v/>
      </c>
      <c r="AO269" s="51" t="str">
        <f t="shared" ca="1" si="113"/>
        <v/>
      </c>
      <c r="AP269" s="51" t="str">
        <f t="shared" ca="1" si="114"/>
        <v/>
      </c>
      <c r="AU269" s="51">
        <f t="shared" si="115"/>
        <v>0</v>
      </c>
    </row>
    <row r="270" spans="1:47">
      <c r="AD270" s="51" t="str">
        <f t="shared" ca="1" si="102"/>
        <v/>
      </c>
      <c r="AE270" s="51" t="str">
        <f t="shared" ca="1" si="103"/>
        <v/>
      </c>
      <c r="AF270" s="51" t="str">
        <f t="shared" ca="1" si="104"/>
        <v/>
      </c>
      <c r="AG270" s="51" t="str">
        <f t="shared" ca="1" si="105"/>
        <v/>
      </c>
      <c r="AH270" s="191" t="str">
        <f t="shared" ca="1" si="106"/>
        <v/>
      </c>
      <c r="AI270" s="51" t="str">
        <f t="shared" ca="1" si="107"/>
        <v/>
      </c>
      <c r="AJ270" s="51" t="str">
        <f t="shared" ca="1" si="108"/>
        <v/>
      </c>
      <c r="AK270" s="51" t="str">
        <f t="shared" ca="1" si="109"/>
        <v/>
      </c>
      <c r="AL270" s="51" t="str">
        <f t="shared" ca="1" si="110"/>
        <v/>
      </c>
      <c r="AM270" s="51" t="str">
        <f t="shared" ca="1" si="111"/>
        <v/>
      </c>
      <c r="AN270" s="51" t="str">
        <f t="shared" ca="1" si="112"/>
        <v/>
      </c>
      <c r="AO270" s="51" t="str">
        <f t="shared" ca="1" si="113"/>
        <v/>
      </c>
      <c r="AP270" s="51" t="str">
        <f t="shared" ca="1" si="114"/>
        <v/>
      </c>
    </row>
    <row r="271" spans="1:47">
      <c r="AD271" s="51" t="str">
        <f t="shared" ca="1" si="102"/>
        <v/>
      </c>
      <c r="AE271" s="51" t="str">
        <f t="shared" ca="1" si="103"/>
        <v/>
      </c>
      <c r="AF271" s="51" t="str">
        <f t="shared" ca="1" si="104"/>
        <v/>
      </c>
      <c r="AG271" s="51" t="str">
        <f t="shared" ca="1" si="105"/>
        <v/>
      </c>
      <c r="AH271" s="191" t="str">
        <f t="shared" ca="1" si="106"/>
        <v/>
      </c>
      <c r="AI271" s="51" t="str">
        <f t="shared" ca="1" si="107"/>
        <v/>
      </c>
      <c r="AJ271" s="51" t="str">
        <f t="shared" ca="1" si="108"/>
        <v/>
      </c>
      <c r="AK271" s="51" t="str">
        <f t="shared" ca="1" si="109"/>
        <v/>
      </c>
      <c r="AL271" s="51" t="str">
        <f t="shared" ca="1" si="110"/>
        <v/>
      </c>
      <c r="AM271" s="51" t="str">
        <f t="shared" ca="1" si="111"/>
        <v/>
      </c>
      <c r="AN271" s="51" t="str">
        <f t="shared" ca="1" si="112"/>
        <v/>
      </c>
      <c r="AO271" s="51" t="str">
        <f t="shared" ca="1" si="113"/>
        <v/>
      </c>
      <c r="AP271" s="51" t="str">
        <f t="shared" ca="1" si="114"/>
        <v/>
      </c>
    </row>
    <row r="272" spans="1:47">
      <c r="AD272" s="51" t="str">
        <f t="shared" ca="1" si="102"/>
        <v/>
      </c>
      <c r="AE272" s="51" t="str">
        <f t="shared" ca="1" si="103"/>
        <v/>
      </c>
      <c r="AF272" s="51" t="str">
        <f t="shared" ca="1" si="104"/>
        <v/>
      </c>
      <c r="AG272" s="51" t="str">
        <f t="shared" ca="1" si="105"/>
        <v/>
      </c>
      <c r="AH272" s="191" t="str">
        <f t="shared" ca="1" si="106"/>
        <v/>
      </c>
      <c r="AI272" s="51" t="str">
        <f t="shared" ca="1" si="107"/>
        <v/>
      </c>
      <c r="AJ272" s="51" t="str">
        <f t="shared" ca="1" si="108"/>
        <v/>
      </c>
      <c r="AK272" s="51" t="str">
        <f t="shared" ca="1" si="109"/>
        <v/>
      </c>
      <c r="AL272" s="51" t="str">
        <f t="shared" ca="1" si="110"/>
        <v/>
      </c>
      <c r="AM272" s="51" t="str">
        <f t="shared" ca="1" si="111"/>
        <v/>
      </c>
      <c r="AN272" s="51" t="str">
        <f t="shared" ca="1" si="112"/>
        <v/>
      </c>
      <c r="AO272" s="51" t="str">
        <f t="shared" ca="1" si="113"/>
        <v/>
      </c>
      <c r="AP272" s="51" t="str">
        <f t="shared" ca="1" si="114"/>
        <v/>
      </c>
    </row>
    <row r="273" spans="30:42">
      <c r="AD273" s="51" t="str">
        <f t="shared" ca="1" si="102"/>
        <v/>
      </c>
      <c r="AE273" s="51" t="str">
        <f t="shared" ca="1" si="103"/>
        <v/>
      </c>
      <c r="AF273" s="51" t="str">
        <f t="shared" ca="1" si="104"/>
        <v/>
      </c>
      <c r="AG273" s="51" t="str">
        <f t="shared" ca="1" si="105"/>
        <v/>
      </c>
      <c r="AH273" s="191" t="str">
        <f t="shared" ca="1" si="106"/>
        <v/>
      </c>
      <c r="AI273" s="51" t="str">
        <f t="shared" ca="1" si="107"/>
        <v/>
      </c>
      <c r="AJ273" s="51" t="str">
        <f t="shared" ca="1" si="108"/>
        <v/>
      </c>
      <c r="AK273" s="51" t="str">
        <f t="shared" ca="1" si="109"/>
        <v/>
      </c>
      <c r="AL273" s="51" t="str">
        <f t="shared" ca="1" si="110"/>
        <v/>
      </c>
      <c r="AM273" s="51" t="str">
        <f t="shared" ca="1" si="111"/>
        <v/>
      </c>
      <c r="AN273" s="51" t="str">
        <f t="shared" ca="1" si="112"/>
        <v/>
      </c>
      <c r="AO273" s="51" t="str">
        <f t="shared" ca="1" si="113"/>
        <v/>
      </c>
      <c r="AP273" s="51" t="str">
        <f t="shared" ca="1" si="114"/>
        <v/>
      </c>
    </row>
    <row r="274" spans="30:42">
      <c r="AD274" s="51" t="str">
        <f t="shared" ca="1" si="102"/>
        <v/>
      </c>
      <c r="AE274" s="51" t="str">
        <f t="shared" ca="1" si="103"/>
        <v/>
      </c>
      <c r="AF274" s="51" t="str">
        <f t="shared" ca="1" si="104"/>
        <v/>
      </c>
      <c r="AG274" s="51" t="str">
        <f t="shared" ca="1" si="105"/>
        <v/>
      </c>
      <c r="AH274" s="191" t="str">
        <f t="shared" ca="1" si="106"/>
        <v/>
      </c>
      <c r="AI274" s="51" t="str">
        <f t="shared" ca="1" si="107"/>
        <v/>
      </c>
      <c r="AJ274" s="51" t="str">
        <f t="shared" ca="1" si="108"/>
        <v/>
      </c>
      <c r="AK274" s="51" t="str">
        <f t="shared" ca="1" si="109"/>
        <v/>
      </c>
      <c r="AL274" s="51" t="str">
        <f t="shared" ca="1" si="110"/>
        <v/>
      </c>
      <c r="AM274" s="51" t="str">
        <f t="shared" ca="1" si="111"/>
        <v/>
      </c>
      <c r="AN274" s="51" t="str">
        <f t="shared" ca="1" si="112"/>
        <v/>
      </c>
      <c r="AO274" s="51" t="str">
        <f t="shared" ca="1" si="113"/>
        <v/>
      </c>
      <c r="AP274" s="51" t="str">
        <f t="shared" ca="1" si="114"/>
        <v/>
      </c>
    </row>
    <row r="275" spans="30:42">
      <c r="AD275" s="51" t="str">
        <f t="shared" ca="1" si="102"/>
        <v/>
      </c>
      <c r="AE275" s="51" t="str">
        <f t="shared" ca="1" si="103"/>
        <v/>
      </c>
      <c r="AF275" s="51" t="str">
        <f t="shared" ca="1" si="104"/>
        <v/>
      </c>
      <c r="AG275" s="51" t="str">
        <f t="shared" ca="1" si="105"/>
        <v/>
      </c>
      <c r="AH275" s="191" t="str">
        <f t="shared" ca="1" si="106"/>
        <v/>
      </c>
      <c r="AI275" s="51" t="str">
        <f t="shared" ca="1" si="107"/>
        <v/>
      </c>
      <c r="AJ275" s="51" t="str">
        <f t="shared" ca="1" si="108"/>
        <v/>
      </c>
      <c r="AK275" s="51" t="str">
        <f t="shared" ca="1" si="109"/>
        <v/>
      </c>
      <c r="AL275" s="51" t="str">
        <f t="shared" ca="1" si="110"/>
        <v/>
      </c>
      <c r="AM275" s="51" t="str">
        <f t="shared" ca="1" si="111"/>
        <v/>
      </c>
      <c r="AN275" s="51" t="str">
        <f t="shared" ca="1" si="112"/>
        <v/>
      </c>
      <c r="AO275" s="51" t="str">
        <f t="shared" ca="1" si="113"/>
        <v/>
      </c>
      <c r="AP275" s="51" t="str">
        <f t="shared" ca="1" si="114"/>
        <v/>
      </c>
    </row>
    <row r="276" spans="30:42">
      <c r="AD276" s="51" t="str">
        <f t="shared" ca="1" si="102"/>
        <v/>
      </c>
      <c r="AE276" s="51" t="str">
        <f t="shared" ca="1" si="103"/>
        <v/>
      </c>
      <c r="AF276" s="51" t="str">
        <f t="shared" ca="1" si="104"/>
        <v/>
      </c>
      <c r="AG276" s="51" t="str">
        <f t="shared" ca="1" si="105"/>
        <v/>
      </c>
      <c r="AH276" s="191" t="str">
        <f t="shared" ca="1" si="106"/>
        <v/>
      </c>
      <c r="AI276" s="51" t="str">
        <f t="shared" ca="1" si="107"/>
        <v/>
      </c>
      <c r="AJ276" s="51" t="str">
        <f t="shared" ca="1" si="108"/>
        <v/>
      </c>
      <c r="AK276" s="51" t="str">
        <f t="shared" ca="1" si="109"/>
        <v/>
      </c>
      <c r="AL276" s="51" t="str">
        <f t="shared" ca="1" si="110"/>
        <v/>
      </c>
      <c r="AM276" s="51" t="str">
        <f t="shared" ca="1" si="111"/>
        <v/>
      </c>
      <c r="AN276" s="51" t="str">
        <f t="shared" ca="1" si="112"/>
        <v/>
      </c>
      <c r="AO276" s="51" t="str">
        <f t="shared" ca="1" si="113"/>
        <v/>
      </c>
      <c r="AP276" s="51" t="str">
        <f t="shared" ca="1" si="114"/>
        <v/>
      </c>
    </row>
    <row r="277" spans="30:42">
      <c r="AD277" s="51" t="str">
        <f t="shared" ca="1" si="102"/>
        <v/>
      </c>
      <c r="AE277" s="51" t="str">
        <f t="shared" ca="1" si="103"/>
        <v/>
      </c>
      <c r="AF277" s="51" t="str">
        <f t="shared" ca="1" si="104"/>
        <v/>
      </c>
      <c r="AG277" s="51" t="str">
        <f t="shared" ca="1" si="105"/>
        <v/>
      </c>
      <c r="AH277" s="191" t="str">
        <f t="shared" ca="1" si="106"/>
        <v/>
      </c>
      <c r="AI277" s="51" t="str">
        <f t="shared" ca="1" si="107"/>
        <v/>
      </c>
      <c r="AJ277" s="51" t="str">
        <f t="shared" ca="1" si="108"/>
        <v/>
      </c>
      <c r="AK277" s="51" t="str">
        <f t="shared" ca="1" si="109"/>
        <v/>
      </c>
      <c r="AL277" s="51" t="str">
        <f t="shared" ca="1" si="110"/>
        <v/>
      </c>
      <c r="AM277" s="51" t="str">
        <f t="shared" ca="1" si="111"/>
        <v/>
      </c>
      <c r="AN277" s="51" t="str">
        <f t="shared" ca="1" si="112"/>
        <v/>
      </c>
      <c r="AO277" s="51" t="str">
        <f t="shared" ca="1" si="113"/>
        <v/>
      </c>
      <c r="AP277" s="51" t="str">
        <f t="shared" ca="1" si="114"/>
        <v/>
      </c>
    </row>
    <row r="278" spans="30:42">
      <c r="AD278" s="51" t="str">
        <f t="shared" ca="1" si="102"/>
        <v/>
      </c>
      <c r="AE278" s="51" t="str">
        <f t="shared" ca="1" si="103"/>
        <v/>
      </c>
      <c r="AF278" s="51" t="str">
        <f t="shared" ca="1" si="104"/>
        <v/>
      </c>
      <c r="AG278" s="51" t="str">
        <f t="shared" ca="1" si="105"/>
        <v/>
      </c>
      <c r="AH278" s="191" t="str">
        <f t="shared" ca="1" si="106"/>
        <v/>
      </c>
      <c r="AI278" s="51" t="str">
        <f t="shared" ca="1" si="107"/>
        <v/>
      </c>
      <c r="AJ278" s="51" t="str">
        <f t="shared" ca="1" si="108"/>
        <v/>
      </c>
      <c r="AK278" s="51" t="str">
        <f t="shared" ca="1" si="109"/>
        <v/>
      </c>
      <c r="AL278" s="51" t="str">
        <f t="shared" ca="1" si="110"/>
        <v/>
      </c>
      <c r="AM278" s="51" t="str">
        <f t="shared" ca="1" si="111"/>
        <v/>
      </c>
      <c r="AN278" s="51" t="str">
        <f t="shared" ca="1" si="112"/>
        <v/>
      </c>
      <c r="AO278" s="51" t="str">
        <f t="shared" ca="1" si="113"/>
        <v/>
      </c>
      <c r="AP278" s="51" t="str">
        <f t="shared" ca="1" si="114"/>
        <v/>
      </c>
    </row>
    <row r="279" spans="30:42">
      <c r="AD279" s="51" t="str">
        <f t="shared" ca="1" si="102"/>
        <v/>
      </c>
      <c r="AE279" s="51" t="str">
        <f t="shared" ca="1" si="103"/>
        <v/>
      </c>
      <c r="AF279" s="51" t="str">
        <f t="shared" ca="1" si="104"/>
        <v/>
      </c>
      <c r="AG279" s="51" t="str">
        <f t="shared" ca="1" si="105"/>
        <v/>
      </c>
      <c r="AH279" s="191" t="str">
        <f t="shared" ca="1" si="106"/>
        <v/>
      </c>
      <c r="AI279" s="51" t="str">
        <f t="shared" ca="1" si="107"/>
        <v/>
      </c>
      <c r="AJ279" s="51" t="str">
        <f t="shared" ca="1" si="108"/>
        <v/>
      </c>
      <c r="AK279" s="51" t="str">
        <f t="shared" ca="1" si="109"/>
        <v/>
      </c>
      <c r="AL279" s="51" t="str">
        <f t="shared" ca="1" si="110"/>
        <v/>
      </c>
      <c r="AM279" s="51" t="str">
        <f t="shared" ca="1" si="111"/>
        <v/>
      </c>
      <c r="AN279" s="51" t="str">
        <f t="shared" ca="1" si="112"/>
        <v/>
      </c>
      <c r="AO279" s="51" t="str">
        <f t="shared" ca="1" si="113"/>
        <v/>
      </c>
      <c r="AP279" s="51" t="str">
        <f t="shared" ca="1" si="114"/>
        <v/>
      </c>
    </row>
    <row r="280" spans="30:42">
      <c r="AD280" s="51" t="str">
        <f t="shared" ca="1" si="102"/>
        <v/>
      </c>
      <c r="AE280" s="51" t="str">
        <f t="shared" ca="1" si="103"/>
        <v/>
      </c>
      <c r="AF280" s="51" t="str">
        <f t="shared" ca="1" si="104"/>
        <v/>
      </c>
      <c r="AG280" s="51" t="str">
        <f t="shared" ca="1" si="105"/>
        <v/>
      </c>
      <c r="AH280" s="191" t="str">
        <f t="shared" ca="1" si="106"/>
        <v/>
      </c>
      <c r="AI280" s="51" t="str">
        <f t="shared" ca="1" si="107"/>
        <v/>
      </c>
      <c r="AJ280" s="51" t="str">
        <f t="shared" ca="1" si="108"/>
        <v/>
      </c>
      <c r="AK280" s="51" t="str">
        <f t="shared" ca="1" si="109"/>
        <v/>
      </c>
      <c r="AL280" s="51" t="str">
        <f t="shared" ca="1" si="110"/>
        <v/>
      </c>
      <c r="AM280" s="51" t="str">
        <f t="shared" ca="1" si="111"/>
        <v/>
      </c>
      <c r="AN280" s="51" t="str">
        <f t="shared" ca="1" si="112"/>
        <v/>
      </c>
      <c r="AO280" s="51" t="str">
        <f t="shared" ca="1" si="113"/>
        <v/>
      </c>
      <c r="AP280" s="51" t="str">
        <f t="shared" ca="1" si="114"/>
        <v/>
      </c>
    </row>
    <row r="281" spans="30:42">
      <c r="AD281" s="51" t="str">
        <f t="shared" ca="1" si="102"/>
        <v/>
      </c>
      <c r="AE281" s="51" t="str">
        <f t="shared" ca="1" si="103"/>
        <v/>
      </c>
      <c r="AF281" s="51" t="str">
        <f t="shared" ca="1" si="104"/>
        <v/>
      </c>
      <c r="AG281" s="51" t="str">
        <f t="shared" ca="1" si="105"/>
        <v/>
      </c>
      <c r="AH281" s="191" t="str">
        <f t="shared" ca="1" si="106"/>
        <v/>
      </c>
      <c r="AI281" s="51" t="str">
        <f t="shared" ca="1" si="107"/>
        <v/>
      </c>
      <c r="AJ281" s="51" t="str">
        <f t="shared" ca="1" si="108"/>
        <v/>
      </c>
      <c r="AK281" s="51" t="str">
        <f t="shared" ca="1" si="109"/>
        <v/>
      </c>
      <c r="AL281" s="51" t="str">
        <f t="shared" ca="1" si="110"/>
        <v/>
      </c>
      <c r="AM281" s="51" t="str">
        <f t="shared" ca="1" si="111"/>
        <v/>
      </c>
      <c r="AN281" s="51" t="str">
        <f t="shared" ca="1" si="112"/>
        <v/>
      </c>
      <c r="AO281" s="51" t="str">
        <f t="shared" ca="1" si="113"/>
        <v/>
      </c>
      <c r="AP281" s="51" t="str">
        <f t="shared" ca="1" si="114"/>
        <v/>
      </c>
    </row>
    <row r="282" spans="30:42">
      <c r="AD282" s="51" t="str">
        <f t="shared" ca="1" si="102"/>
        <v/>
      </c>
      <c r="AE282" s="51" t="str">
        <f t="shared" ca="1" si="103"/>
        <v/>
      </c>
      <c r="AF282" s="51" t="str">
        <f t="shared" ca="1" si="104"/>
        <v/>
      </c>
      <c r="AG282" s="51" t="str">
        <f t="shared" ca="1" si="105"/>
        <v/>
      </c>
      <c r="AH282" s="191" t="str">
        <f t="shared" ca="1" si="106"/>
        <v/>
      </c>
      <c r="AI282" s="51" t="str">
        <f t="shared" ca="1" si="107"/>
        <v/>
      </c>
      <c r="AJ282" s="51" t="str">
        <f t="shared" ca="1" si="108"/>
        <v/>
      </c>
      <c r="AK282" s="51" t="str">
        <f t="shared" ca="1" si="109"/>
        <v/>
      </c>
      <c r="AL282" s="51" t="str">
        <f t="shared" ca="1" si="110"/>
        <v/>
      </c>
      <c r="AM282" s="51" t="str">
        <f t="shared" ca="1" si="111"/>
        <v/>
      </c>
      <c r="AN282" s="51" t="str">
        <f t="shared" ca="1" si="112"/>
        <v/>
      </c>
      <c r="AO282" s="51" t="str">
        <f t="shared" ca="1" si="113"/>
        <v/>
      </c>
      <c r="AP282" s="51" t="str">
        <f t="shared" ca="1" si="114"/>
        <v/>
      </c>
    </row>
    <row r="283" spans="30:42">
      <c r="AD283" s="51" t="str">
        <f t="shared" ca="1" si="102"/>
        <v/>
      </c>
      <c r="AE283" s="51" t="str">
        <f t="shared" ca="1" si="103"/>
        <v/>
      </c>
      <c r="AF283" s="51" t="str">
        <f t="shared" ca="1" si="104"/>
        <v/>
      </c>
      <c r="AG283" s="51" t="str">
        <f t="shared" ca="1" si="105"/>
        <v/>
      </c>
      <c r="AH283" s="191" t="str">
        <f t="shared" ca="1" si="106"/>
        <v/>
      </c>
      <c r="AI283" s="51" t="str">
        <f t="shared" ca="1" si="107"/>
        <v/>
      </c>
      <c r="AJ283" s="51" t="str">
        <f t="shared" ca="1" si="108"/>
        <v/>
      </c>
      <c r="AK283" s="51" t="str">
        <f t="shared" ca="1" si="109"/>
        <v/>
      </c>
      <c r="AL283" s="51" t="str">
        <f t="shared" ca="1" si="110"/>
        <v/>
      </c>
      <c r="AM283" s="51" t="str">
        <f t="shared" ca="1" si="111"/>
        <v/>
      </c>
      <c r="AN283" s="51" t="str">
        <f t="shared" ca="1" si="112"/>
        <v/>
      </c>
      <c r="AO283" s="51" t="str">
        <f t="shared" ca="1" si="113"/>
        <v/>
      </c>
      <c r="AP283" s="51" t="str">
        <f t="shared" ca="1" si="114"/>
        <v/>
      </c>
    </row>
    <row r="284" spans="30:42">
      <c r="AD284" s="51" t="str">
        <f t="shared" ca="1" si="102"/>
        <v/>
      </c>
      <c r="AE284" s="51" t="str">
        <f t="shared" ca="1" si="103"/>
        <v/>
      </c>
      <c r="AF284" s="51" t="str">
        <f t="shared" ca="1" si="104"/>
        <v/>
      </c>
      <c r="AG284" s="51" t="str">
        <f t="shared" ca="1" si="105"/>
        <v/>
      </c>
      <c r="AH284" s="191" t="str">
        <f t="shared" ca="1" si="106"/>
        <v/>
      </c>
      <c r="AI284" s="51" t="str">
        <f t="shared" ca="1" si="107"/>
        <v/>
      </c>
      <c r="AJ284" s="51" t="str">
        <f t="shared" ca="1" si="108"/>
        <v/>
      </c>
      <c r="AK284" s="51" t="str">
        <f t="shared" ca="1" si="109"/>
        <v/>
      </c>
      <c r="AL284" s="51" t="str">
        <f t="shared" ca="1" si="110"/>
        <v/>
      </c>
      <c r="AM284" s="51" t="str">
        <f t="shared" ca="1" si="111"/>
        <v/>
      </c>
      <c r="AN284" s="51" t="str">
        <f t="shared" ca="1" si="112"/>
        <v/>
      </c>
      <c r="AO284" s="51" t="str">
        <f t="shared" ca="1" si="113"/>
        <v/>
      </c>
      <c r="AP284" s="51" t="str">
        <f t="shared" ca="1" si="114"/>
        <v/>
      </c>
    </row>
    <row r="285" spans="30:42">
      <c r="AD285" s="51" t="str">
        <f t="shared" ca="1" si="102"/>
        <v/>
      </c>
      <c r="AE285" s="51" t="str">
        <f t="shared" ca="1" si="103"/>
        <v/>
      </c>
      <c r="AF285" s="51" t="str">
        <f t="shared" ca="1" si="104"/>
        <v/>
      </c>
      <c r="AG285" s="51" t="str">
        <f t="shared" ca="1" si="105"/>
        <v/>
      </c>
      <c r="AH285" s="191" t="str">
        <f t="shared" ca="1" si="106"/>
        <v/>
      </c>
      <c r="AI285" s="51" t="str">
        <f t="shared" ca="1" si="107"/>
        <v/>
      </c>
      <c r="AJ285" s="51" t="str">
        <f t="shared" ca="1" si="108"/>
        <v/>
      </c>
      <c r="AK285" s="51" t="str">
        <f t="shared" ca="1" si="109"/>
        <v/>
      </c>
      <c r="AL285" s="51" t="str">
        <f t="shared" ca="1" si="110"/>
        <v/>
      </c>
      <c r="AM285" s="51" t="str">
        <f t="shared" ca="1" si="111"/>
        <v/>
      </c>
      <c r="AN285" s="51" t="str">
        <f t="shared" ca="1" si="112"/>
        <v/>
      </c>
      <c r="AO285" s="51" t="str">
        <f t="shared" ca="1" si="113"/>
        <v/>
      </c>
      <c r="AP285" s="51" t="str">
        <f t="shared" ca="1" si="114"/>
        <v/>
      </c>
    </row>
    <row r="286" spans="30:42">
      <c r="AD286" s="51" t="str">
        <f t="shared" ca="1" si="102"/>
        <v/>
      </c>
      <c r="AE286" s="51" t="str">
        <f t="shared" ca="1" si="103"/>
        <v/>
      </c>
      <c r="AF286" s="51" t="str">
        <f t="shared" ca="1" si="104"/>
        <v/>
      </c>
      <c r="AG286" s="51" t="str">
        <f t="shared" ca="1" si="105"/>
        <v/>
      </c>
      <c r="AH286" s="191" t="str">
        <f t="shared" ca="1" si="106"/>
        <v/>
      </c>
      <c r="AI286" s="51" t="str">
        <f t="shared" ca="1" si="107"/>
        <v/>
      </c>
      <c r="AJ286" s="51" t="str">
        <f t="shared" ca="1" si="108"/>
        <v/>
      </c>
      <c r="AK286" s="51" t="str">
        <f t="shared" ca="1" si="109"/>
        <v/>
      </c>
      <c r="AL286" s="51" t="str">
        <f t="shared" ca="1" si="110"/>
        <v/>
      </c>
      <c r="AM286" s="51" t="str">
        <f t="shared" ca="1" si="111"/>
        <v/>
      </c>
      <c r="AN286" s="51" t="str">
        <f t="shared" ca="1" si="112"/>
        <v/>
      </c>
      <c r="AO286" s="51" t="str">
        <f t="shared" ca="1" si="113"/>
        <v/>
      </c>
      <c r="AP286" s="51" t="str">
        <f t="shared" ca="1" si="114"/>
        <v/>
      </c>
    </row>
    <row r="287" spans="30:42">
      <c r="AD287" s="51" t="str">
        <f t="shared" ca="1" si="102"/>
        <v/>
      </c>
      <c r="AE287" s="51" t="str">
        <f t="shared" ca="1" si="103"/>
        <v/>
      </c>
      <c r="AF287" s="51" t="str">
        <f t="shared" ca="1" si="104"/>
        <v/>
      </c>
      <c r="AG287" s="51" t="str">
        <f t="shared" ca="1" si="105"/>
        <v/>
      </c>
      <c r="AH287" s="191" t="str">
        <f t="shared" ca="1" si="106"/>
        <v/>
      </c>
      <c r="AI287" s="51" t="str">
        <f t="shared" ca="1" si="107"/>
        <v/>
      </c>
      <c r="AJ287" s="51" t="str">
        <f t="shared" ca="1" si="108"/>
        <v/>
      </c>
      <c r="AK287" s="51" t="str">
        <f t="shared" ca="1" si="109"/>
        <v/>
      </c>
      <c r="AL287" s="51" t="str">
        <f t="shared" ca="1" si="110"/>
        <v/>
      </c>
      <c r="AM287" s="51" t="str">
        <f t="shared" ca="1" si="111"/>
        <v/>
      </c>
      <c r="AN287" s="51" t="str">
        <f t="shared" ca="1" si="112"/>
        <v/>
      </c>
      <c r="AO287" s="51" t="str">
        <f t="shared" ca="1" si="113"/>
        <v/>
      </c>
      <c r="AP287" s="51" t="str">
        <f t="shared" ca="1" si="114"/>
        <v/>
      </c>
    </row>
    <row r="288" spans="30:42">
      <c r="AD288" s="51" t="str">
        <f t="shared" ca="1" si="102"/>
        <v/>
      </c>
      <c r="AE288" s="51" t="str">
        <f t="shared" ca="1" si="103"/>
        <v/>
      </c>
      <c r="AF288" s="51" t="str">
        <f t="shared" ca="1" si="104"/>
        <v/>
      </c>
      <c r="AG288" s="51" t="str">
        <f t="shared" ca="1" si="105"/>
        <v/>
      </c>
      <c r="AH288" s="191" t="str">
        <f t="shared" ca="1" si="106"/>
        <v/>
      </c>
      <c r="AI288" s="51" t="str">
        <f t="shared" ca="1" si="107"/>
        <v/>
      </c>
      <c r="AJ288" s="51" t="str">
        <f t="shared" ca="1" si="108"/>
        <v/>
      </c>
      <c r="AK288" s="51" t="str">
        <f t="shared" ca="1" si="109"/>
        <v/>
      </c>
      <c r="AL288" s="51" t="str">
        <f t="shared" ca="1" si="110"/>
        <v/>
      </c>
      <c r="AM288" s="51" t="str">
        <f t="shared" ca="1" si="111"/>
        <v/>
      </c>
      <c r="AN288" s="51" t="str">
        <f t="shared" ca="1" si="112"/>
        <v/>
      </c>
      <c r="AO288" s="51" t="str">
        <f t="shared" ca="1" si="113"/>
        <v/>
      </c>
      <c r="AP288" s="51" t="str">
        <f t="shared" ca="1" si="114"/>
        <v/>
      </c>
    </row>
    <row r="289" spans="30:42">
      <c r="AD289" s="51" t="str">
        <f t="shared" ca="1" si="102"/>
        <v/>
      </c>
      <c r="AE289" s="51" t="str">
        <f t="shared" ca="1" si="103"/>
        <v/>
      </c>
      <c r="AF289" s="51" t="str">
        <f t="shared" ca="1" si="104"/>
        <v/>
      </c>
      <c r="AG289" s="51" t="str">
        <f t="shared" ca="1" si="105"/>
        <v/>
      </c>
      <c r="AH289" s="191" t="str">
        <f t="shared" ca="1" si="106"/>
        <v/>
      </c>
      <c r="AI289" s="51" t="str">
        <f t="shared" ca="1" si="107"/>
        <v/>
      </c>
      <c r="AJ289" s="51" t="str">
        <f t="shared" ca="1" si="108"/>
        <v/>
      </c>
      <c r="AK289" s="51" t="str">
        <f t="shared" ca="1" si="109"/>
        <v/>
      </c>
      <c r="AL289" s="51" t="str">
        <f t="shared" ca="1" si="110"/>
        <v/>
      </c>
      <c r="AM289" s="51" t="str">
        <f t="shared" ca="1" si="111"/>
        <v/>
      </c>
      <c r="AN289" s="51" t="str">
        <f t="shared" ca="1" si="112"/>
        <v/>
      </c>
      <c r="AO289" s="51" t="str">
        <f t="shared" ca="1" si="113"/>
        <v/>
      </c>
      <c r="AP289" s="51" t="str">
        <f t="shared" ca="1" si="114"/>
        <v/>
      </c>
    </row>
    <row r="290" spans="30:42">
      <c r="AD290" s="51" t="str">
        <f t="shared" ca="1" si="102"/>
        <v/>
      </c>
      <c r="AE290" s="51" t="str">
        <f t="shared" ca="1" si="103"/>
        <v/>
      </c>
      <c r="AF290" s="51" t="str">
        <f t="shared" ca="1" si="104"/>
        <v/>
      </c>
      <c r="AG290" s="51" t="str">
        <f t="shared" ca="1" si="105"/>
        <v/>
      </c>
      <c r="AH290" s="191" t="str">
        <f t="shared" ca="1" si="106"/>
        <v/>
      </c>
      <c r="AI290" s="51" t="str">
        <f t="shared" ca="1" si="107"/>
        <v/>
      </c>
      <c r="AJ290" s="51" t="str">
        <f t="shared" ca="1" si="108"/>
        <v/>
      </c>
      <c r="AK290" s="51" t="str">
        <f t="shared" ca="1" si="109"/>
        <v/>
      </c>
      <c r="AL290" s="51" t="str">
        <f t="shared" ca="1" si="110"/>
        <v/>
      </c>
      <c r="AM290" s="51" t="str">
        <f t="shared" ca="1" si="111"/>
        <v/>
      </c>
      <c r="AN290" s="51" t="str">
        <f t="shared" ca="1" si="112"/>
        <v/>
      </c>
      <c r="AO290" s="51" t="str">
        <f t="shared" ca="1" si="113"/>
        <v/>
      </c>
      <c r="AP290" s="51" t="str">
        <f t="shared" ca="1" si="114"/>
        <v/>
      </c>
    </row>
    <row r="291" spans="30:42">
      <c r="AD291" s="51" t="str">
        <f t="shared" ref="AD291:AD322" ca="1" si="116">IFERROR(INDEX(AC:AC,MATCH(SMALL($AU:$AU,ROW()+3),$AU:$AU,0)),"")</f>
        <v/>
      </c>
      <c r="AE291" s="51" t="str">
        <f t="shared" ref="AE291:AE322" ca="1" si="117">IFERROR(INDEX(R:R,MATCH(SMALL($AU:$AU,ROW()+3),$AU:$AU,0)),"")</f>
        <v/>
      </c>
      <c r="AF291" s="51" t="str">
        <f t="shared" ref="AF291:AF322" ca="1" si="118">IFERROR(INDEX(S:S,MATCH(SMALL($AU:$AU,ROW()+3),$AU:$AU,0)),"")</f>
        <v/>
      </c>
      <c r="AG291" s="51" t="str">
        <f t="shared" ref="AG291:AG322" ca="1" si="119">IFERROR(INDEX(T:T,MATCH(SMALL($AU:$AU,ROW()+3),$AU:$AU,0)),"")</f>
        <v/>
      </c>
      <c r="AH291" s="191" t="str">
        <f t="shared" ref="AH291:AH322" ca="1" si="120">IFERROR(INDEX(U:U,MATCH(SMALL($AU:$AU,ROW()+3),$AU:$AU,0)),"")</f>
        <v/>
      </c>
      <c r="AI291" s="51" t="str">
        <f t="shared" ref="AI291:AI322" ca="1" si="121">IFERROR(INDEX(V:V,MATCH(SMALL($AU:$AU,ROW()+3),$AU:$AU,0)),"")</f>
        <v/>
      </c>
      <c r="AJ291" s="51" t="str">
        <f t="shared" ref="AJ291:AJ322" ca="1" si="122">IFERROR(INDEX(W:W,MATCH(SMALL($AU:$AU,ROW()+3),$AU:$AU,0)),"")</f>
        <v/>
      </c>
      <c r="AK291" s="51" t="str">
        <f t="shared" ref="AK291:AK322" ca="1" si="123">IFERROR(INDEX(X:X,MATCH(SMALL($AU:$AU,ROW()+3),$AU:$AU,0)),"")</f>
        <v/>
      </c>
      <c r="AL291" s="51" t="str">
        <f t="shared" ref="AL291:AL322" ca="1" si="124">IFERROR(INDEX(Y:Y,MATCH(SMALL($AU:$AU,ROW()+3),$AU:$AU,0)),"")</f>
        <v/>
      </c>
      <c r="AM291" s="51" t="str">
        <f t="shared" ref="AM291:AM322" ca="1" si="125">IFERROR(INDEX(Z:Z,MATCH(SMALL($AU:$AU,ROW()+3),$AU:$AU,0)),"")</f>
        <v/>
      </c>
      <c r="AN291" s="51" t="str">
        <f t="shared" ref="AN291:AN322" ca="1" si="126">IFERROR(INDEX(AA:AA,MATCH(SMALL($AU:$AU,ROW()+3),$AU:$AU,0)),"")</f>
        <v/>
      </c>
      <c r="AO291" s="51" t="str">
        <f t="shared" ref="AO291:AO322" ca="1" si="127">IFERROR(INDEX(AB:AB,MATCH(SMALL($AU:$AU,ROW()+3),$AU:$AU,0)),"")</f>
        <v/>
      </c>
      <c r="AP291" s="51" t="str">
        <f t="shared" ref="AP291:AP322" ca="1" si="128">IFERROR(INDEX(AC:AC,MATCH(SMALL($AU:$AU,ROW()+3),$AU:$AU,0)),"")</f>
        <v/>
      </c>
    </row>
    <row r="292" spans="30:42">
      <c r="AD292" s="51" t="str">
        <f t="shared" ca="1" si="116"/>
        <v/>
      </c>
      <c r="AE292" s="51" t="str">
        <f t="shared" ca="1" si="117"/>
        <v/>
      </c>
      <c r="AF292" s="51" t="str">
        <f t="shared" ca="1" si="118"/>
        <v/>
      </c>
      <c r="AG292" s="51" t="str">
        <f t="shared" ca="1" si="119"/>
        <v/>
      </c>
      <c r="AH292" s="191" t="str">
        <f t="shared" ca="1" si="120"/>
        <v/>
      </c>
      <c r="AI292" s="51" t="str">
        <f t="shared" ca="1" si="121"/>
        <v/>
      </c>
      <c r="AJ292" s="51" t="str">
        <f t="shared" ca="1" si="122"/>
        <v/>
      </c>
      <c r="AK292" s="51" t="str">
        <f t="shared" ca="1" si="123"/>
        <v/>
      </c>
      <c r="AL292" s="51" t="str">
        <f t="shared" ca="1" si="124"/>
        <v/>
      </c>
      <c r="AM292" s="51" t="str">
        <f t="shared" ca="1" si="125"/>
        <v/>
      </c>
      <c r="AN292" s="51" t="str">
        <f t="shared" ca="1" si="126"/>
        <v/>
      </c>
      <c r="AO292" s="51" t="str">
        <f t="shared" ca="1" si="127"/>
        <v/>
      </c>
      <c r="AP292" s="51" t="str">
        <f t="shared" ca="1" si="128"/>
        <v/>
      </c>
    </row>
    <row r="293" spans="30:42">
      <c r="AD293" s="51" t="str">
        <f t="shared" ca="1" si="116"/>
        <v/>
      </c>
      <c r="AE293" s="51" t="str">
        <f t="shared" ca="1" si="117"/>
        <v/>
      </c>
      <c r="AF293" s="51" t="str">
        <f t="shared" ca="1" si="118"/>
        <v/>
      </c>
      <c r="AG293" s="51" t="str">
        <f t="shared" ca="1" si="119"/>
        <v/>
      </c>
      <c r="AH293" s="191" t="str">
        <f t="shared" ca="1" si="120"/>
        <v/>
      </c>
      <c r="AI293" s="51" t="str">
        <f t="shared" ca="1" si="121"/>
        <v/>
      </c>
      <c r="AJ293" s="51" t="str">
        <f t="shared" ca="1" si="122"/>
        <v/>
      </c>
      <c r="AK293" s="51" t="str">
        <f t="shared" ca="1" si="123"/>
        <v/>
      </c>
      <c r="AL293" s="51" t="str">
        <f t="shared" ca="1" si="124"/>
        <v/>
      </c>
      <c r="AM293" s="51" t="str">
        <f t="shared" ca="1" si="125"/>
        <v/>
      </c>
      <c r="AN293" s="51" t="str">
        <f t="shared" ca="1" si="126"/>
        <v/>
      </c>
      <c r="AO293" s="51" t="str">
        <f t="shared" ca="1" si="127"/>
        <v/>
      </c>
      <c r="AP293" s="51" t="str">
        <f t="shared" ca="1" si="128"/>
        <v/>
      </c>
    </row>
    <row r="294" spans="30:42">
      <c r="AD294" s="51" t="str">
        <f t="shared" ca="1" si="116"/>
        <v/>
      </c>
      <c r="AE294" s="51" t="str">
        <f t="shared" ca="1" si="117"/>
        <v/>
      </c>
      <c r="AF294" s="51" t="str">
        <f t="shared" ca="1" si="118"/>
        <v/>
      </c>
      <c r="AG294" s="51" t="str">
        <f t="shared" ca="1" si="119"/>
        <v/>
      </c>
      <c r="AH294" s="191" t="str">
        <f t="shared" ca="1" si="120"/>
        <v/>
      </c>
      <c r="AI294" s="51" t="str">
        <f t="shared" ca="1" si="121"/>
        <v/>
      </c>
      <c r="AJ294" s="51" t="str">
        <f t="shared" ca="1" si="122"/>
        <v/>
      </c>
      <c r="AK294" s="51" t="str">
        <f t="shared" ca="1" si="123"/>
        <v/>
      </c>
      <c r="AL294" s="51" t="str">
        <f t="shared" ca="1" si="124"/>
        <v/>
      </c>
      <c r="AM294" s="51" t="str">
        <f t="shared" ca="1" si="125"/>
        <v/>
      </c>
      <c r="AN294" s="51" t="str">
        <f t="shared" ca="1" si="126"/>
        <v/>
      </c>
      <c r="AO294" s="51" t="str">
        <f t="shared" ca="1" si="127"/>
        <v/>
      </c>
      <c r="AP294" s="51" t="str">
        <f t="shared" ca="1" si="128"/>
        <v/>
      </c>
    </row>
    <row r="295" spans="30:42">
      <c r="AD295" s="51" t="str">
        <f t="shared" ca="1" si="116"/>
        <v/>
      </c>
      <c r="AE295" s="51" t="str">
        <f t="shared" ca="1" si="117"/>
        <v/>
      </c>
      <c r="AF295" s="51" t="str">
        <f t="shared" ca="1" si="118"/>
        <v/>
      </c>
      <c r="AG295" s="51" t="str">
        <f t="shared" ca="1" si="119"/>
        <v/>
      </c>
      <c r="AH295" s="191" t="str">
        <f t="shared" ca="1" si="120"/>
        <v/>
      </c>
      <c r="AI295" s="51" t="str">
        <f t="shared" ca="1" si="121"/>
        <v/>
      </c>
      <c r="AJ295" s="51" t="str">
        <f t="shared" ca="1" si="122"/>
        <v/>
      </c>
      <c r="AK295" s="51" t="str">
        <f t="shared" ca="1" si="123"/>
        <v/>
      </c>
      <c r="AL295" s="51" t="str">
        <f t="shared" ca="1" si="124"/>
        <v/>
      </c>
      <c r="AM295" s="51" t="str">
        <f t="shared" ca="1" si="125"/>
        <v/>
      </c>
      <c r="AN295" s="51" t="str">
        <f t="shared" ca="1" si="126"/>
        <v/>
      </c>
      <c r="AO295" s="51" t="str">
        <f t="shared" ca="1" si="127"/>
        <v/>
      </c>
      <c r="AP295" s="51" t="str">
        <f t="shared" ca="1" si="128"/>
        <v/>
      </c>
    </row>
    <row r="296" spans="30:42">
      <c r="AD296" s="51" t="str">
        <f t="shared" ca="1" si="116"/>
        <v/>
      </c>
      <c r="AE296" s="51" t="str">
        <f t="shared" ca="1" si="117"/>
        <v/>
      </c>
      <c r="AF296" s="51" t="str">
        <f t="shared" ca="1" si="118"/>
        <v/>
      </c>
      <c r="AG296" s="51" t="str">
        <f t="shared" ca="1" si="119"/>
        <v/>
      </c>
      <c r="AH296" s="191" t="str">
        <f t="shared" ca="1" si="120"/>
        <v/>
      </c>
      <c r="AI296" s="51" t="str">
        <f t="shared" ca="1" si="121"/>
        <v/>
      </c>
      <c r="AJ296" s="51" t="str">
        <f t="shared" ca="1" si="122"/>
        <v/>
      </c>
      <c r="AK296" s="51" t="str">
        <f t="shared" ca="1" si="123"/>
        <v/>
      </c>
      <c r="AL296" s="51" t="str">
        <f t="shared" ca="1" si="124"/>
        <v/>
      </c>
      <c r="AM296" s="51" t="str">
        <f t="shared" ca="1" si="125"/>
        <v/>
      </c>
      <c r="AN296" s="51" t="str">
        <f t="shared" ca="1" si="126"/>
        <v/>
      </c>
      <c r="AO296" s="51" t="str">
        <f t="shared" ca="1" si="127"/>
        <v/>
      </c>
      <c r="AP296" s="51" t="str">
        <f t="shared" ca="1" si="128"/>
        <v/>
      </c>
    </row>
    <row r="297" spans="30:42">
      <c r="AD297" s="51" t="str">
        <f t="shared" ca="1" si="116"/>
        <v/>
      </c>
      <c r="AE297" s="51" t="str">
        <f t="shared" ca="1" si="117"/>
        <v/>
      </c>
      <c r="AF297" s="51" t="str">
        <f t="shared" ca="1" si="118"/>
        <v/>
      </c>
      <c r="AG297" s="51" t="str">
        <f t="shared" ca="1" si="119"/>
        <v/>
      </c>
      <c r="AH297" s="191" t="str">
        <f t="shared" ca="1" si="120"/>
        <v/>
      </c>
      <c r="AI297" s="51" t="str">
        <f t="shared" ca="1" si="121"/>
        <v/>
      </c>
      <c r="AJ297" s="51" t="str">
        <f t="shared" ca="1" si="122"/>
        <v/>
      </c>
      <c r="AK297" s="51" t="str">
        <f t="shared" ca="1" si="123"/>
        <v/>
      </c>
      <c r="AL297" s="51" t="str">
        <f t="shared" ca="1" si="124"/>
        <v/>
      </c>
      <c r="AM297" s="51" t="str">
        <f t="shared" ca="1" si="125"/>
        <v/>
      </c>
      <c r="AN297" s="51" t="str">
        <f t="shared" ca="1" si="126"/>
        <v/>
      </c>
      <c r="AO297" s="51" t="str">
        <f t="shared" ca="1" si="127"/>
        <v/>
      </c>
      <c r="AP297" s="51" t="str">
        <f t="shared" ca="1" si="128"/>
        <v/>
      </c>
    </row>
    <row r="298" spans="30:42">
      <c r="AD298" s="51" t="str">
        <f t="shared" ca="1" si="116"/>
        <v/>
      </c>
      <c r="AE298" s="51" t="str">
        <f t="shared" ca="1" si="117"/>
        <v/>
      </c>
      <c r="AF298" s="51" t="str">
        <f t="shared" ca="1" si="118"/>
        <v/>
      </c>
      <c r="AG298" s="51" t="str">
        <f t="shared" ca="1" si="119"/>
        <v/>
      </c>
      <c r="AH298" s="191" t="str">
        <f t="shared" ca="1" si="120"/>
        <v/>
      </c>
      <c r="AI298" s="51" t="str">
        <f t="shared" ca="1" si="121"/>
        <v/>
      </c>
      <c r="AJ298" s="51" t="str">
        <f t="shared" ca="1" si="122"/>
        <v/>
      </c>
      <c r="AK298" s="51" t="str">
        <f t="shared" ca="1" si="123"/>
        <v/>
      </c>
      <c r="AL298" s="51" t="str">
        <f t="shared" ca="1" si="124"/>
        <v/>
      </c>
      <c r="AM298" s="51" t="str">
        <f t="shared" ca="1" si="125"/>
        <v/>
      </c>
      <c r="AN298" s="51" t="str">
        <f t="shared" ca="1" si="126"/>
        <v/>
      </c>
      <c r="AO298" s="51" t="str">
        <f t="shared" ca="1" si="127"/>
        <v/>
      </c>
      <c r="AP298" s="51" t="str">
        <f t="shared" ca="1" si="128"/>
        <v/>
      </c>
    </row>
    <row r="299" spans="30:42">
      <c r="AD299" s="51" t="str">
        <f t="shared" ca="1" si="116"/>
        <v/>
      </c>
      <c r="AE299" s="51" t="str">
        <f t="shared" ca="1" si="117"/>
        <v/>
      </c>
      <c r="AF299" s="51" t="str">
        <f t="shared" ca="1" si="118"/>
        <v/>
      </c>
      <c r="AG299" s="51" t="str">
        <f t="shared" ca="1" si="119"/>
        <v/>
      </c>
      <c r="AH299" s="191" t="str">
        <f t="shared" ca="1" si="120"/>
        <v/>
      </c>
      <c r="AI299" s="51" t="str">
        <f t="shared" ca="1" si="121"/>
        <v/>
      </c>
      <c r="AJ299" s="51" t="str">
        <f t="shared" ca="1" si="122"/>
        <v/>
      </c>
      <c r="AK299" s="51" t="str">
        <f t="shared" ca="1" si="123"/>
        <v/>
      </c>
      <c r="AL299" s="51" t="str">
        <f t="shared" ca="1" si="124"/>
        <v/>
      </c>
      <c r="AM299" s="51" t="str">
        <f t="shared" ca="1" si="125"/>
        <v/>
      </c>
      <c r="AN299" s="51" t="str">
        <f t="shared" ca="1" si="126"/>
        <v/>
      </c>
      <c r="AO299" s="51" t="str">
        <f t="shared" ca="1" si="127"/>
        <v/>
      </c>
      <c r="AP299" s="51" t="str">
        <f t="shared" ca="1" si="128"/>
        <v/>
      </c>
    </row>
    <row r="300" spans="30:42">
      <c r="AD300" s="51" t="str">
        <f t="shared" ca="1" si="116"/>
        <v/>
      </c>
      <c r="AE300" s="51" t="str">
        <f t="shared" ca="1" si="117"/>
        <v/>
      </c>
      <c r="AF300" s="51" t="str">
        <f t="shared" ca="1" si="118"/>
        <v/>
      </c>
      <c r="AG300" s="51" t="str">
        <f t="shared" ca="1" si="119"/>
        <v/>
      </c>
      <c r="AH300" s="191" t="str">
        <f t="shared" ca="1" si="120"/>
        <v/>
      </c>
      <c r="AI300" s="51" t="str">
        <f t="shared" ca="1" si="121"/>
        <v/>
      </c>
      <c r="AJ300" s="51" t="str">
        <f t="shared" ca="1" si="122"/>
        <v/>
      </c>
      <c r="AK300" s="51" t="str">
        <f t="shared" ca="1" si="123"/>
        <v/>
      </c>
      <c r="AL300" s="51" t="str">
        <f t="shared" ca="1" si="124"/>
        <v/>
      </c>
      <c r="AM300" s="51" t="str">
        <f t="shared" ca="1" si="125"/>
        <v/>
      </c>
      <c r="AN300" s="51" t="str">
        <f t="shared" ca="1" si="126"/>
        <v/>
      </c>
      <c r="AO300" s="51" t="str">
        <f t="shared" ca="1" si="127"/>
        <v/>
      </c>
      <c r="AP300" s="51" t="str">
        <f t="shared" ca="1" si="128"/>
        <v/>
      </c>
    </row>
    <row r="301" spans="30:42">
      <c r="AD301" s="51" t="str">
        <f t="shared" ca="1" si="116"/>
        <v/>
      </c>
      <c r="AE301" s="51" t="str">
        <f t="shared" ca="1" si="117"/>
        <v/>
      </c>
      <c r="AF301" s="51" t="str">
        <f t="shared" ca="1" si="118"/>
        <v/>
      </c>
      <c r="AG301" s="51" t="str">
        <f t="shared" ca="1" si="119"/>
        <v/>
      </c>
      <c r="AH301" s="191" t="str">
        <f t="shared" ca="1" si="120"/>
        <v/>
      </c>
      <c r="AI301" s="51" t="str">
        <f t="shared" ca="1" si="121"/>
        <v/>
      </c>
      <c r="AJ301" s="51" t="str">
        <f t="shared" ca="1" si="122"/>
        <v/>
      </c>
      <c r="AK301" s="51" t="str">
        <f t="shared" ca="1" si="123"/>
        <v/>
      </c>
      <c r="AL301" s="51" t="str">
        <f t="shared" ca="1" si="124"/>
        <v/>
      </c>
      <c r="AM301" s="51" t="str">
        <f t="shared" ca="1" si="125"/>
        <v/>
      </c>
      <c r="AN301" s="51" t="str">
        <f t="shared" ca="1" si="126"/>
        <v/>
      </c>
      <c r="AO301" s="51" t="str">
        <f t="shared" ca="1" si="127"/>
        <v/>
      </c>
      <c r="AP301" s="51" t="str">
        <f t="shared" ca="1" si="128"/>
        <v/>
      </c>
    </row>
    <row r="302" spans="30:42">
      <c r="AD302" s="51" t="str">
        <f t="shared" ca="1" si="116"/>
        <v/>
      </c>
      <c r="AE302" s="51" t="str">
        <f t="shared" ca="1" si="117"/>
        <v/>
      </c>
      <c r="AF302" s="51" t="str">
        <f t="shared" ca="1" si="118"/>
        <v/>
      </c>
      <c r="AG302" s="51" t="str">
        <f t="shared" ca="1" si="119"/>
        <v/>
      </c>
      <c r="AH302" s="191" t="str">
        <f t="shared" ca="1" si="120"/>
        <v/>
      </c>
      <c r="AI302" s="51" t="str">
        <f t="shared" ca="1" si="121"/>
        <v/>
      </c>
      <c r="AJ302" s="51" t="str">
        <f t="shared" ca="1" si="122"/>
        <v/>
      </c>
      <c r="AK302" s="51" t="str">
        <f t="shared" ca="1" si="123"/>
        <v/>
      </c>
      <c r="AL302" s="51" t="str">
        <f t="shared" ca="1" si="124"/>
        <v/>
      </c>
      <c r="AM302" s="51" t="str">
        <f t="shared" ca="1" si="125"/>
        <v/>
      </c>
      <c r="AN302" s="51" t="str">
        <f t="shared" ca="1" si="126"/>
        <v/>
      </c>
      <c r="AO302" s="51" t="str">
        <f t="shared" ca="1" si="127"/>
        <v/>
      </c>
      <c r="AP302" s="51" t="str">
        <f t="shared" ca="1" si="128"/>
        <v/>
      </c>
    </row>
    <row r="303" spans="30:42">
      <c r="AD303" s="51" t="str">
        <f t="shared" ca="1" si="116"/>
        <v/>
      </c>
      <c r="AE303" s="51" t="str">
        <f t="shared" ca="1" si="117"/>
        <v/>
      </c>
      <c r="AF303" s="51" t="str">
        <f t="shared" ca="1" si="118"/>
        <v/>
      </c>
      <c r="AG303" s="51" t="str">
        <f t="shared" ca="1" si="119"/>
        <v/>
      </c>
      <c r="AH303" s="191" t="str">
        <f t="shared" ca="1" si="120"/>
        <v/>
      </c>
      <c r="AI303" s="51" t="str">
        <f t="shared" ca="1" si="121"/>
        <v/>
      </c>
      <c r="AJ303" s="51" t="str">
        <f t="shared" ca="1" si="122"/>
        <v/>
      </c>
      <c r="AK303" s="51" t="str">
        <f t="shared" ca="1" si="123"/>
        <v/>
      </c>
      <c r="AL303" s="51" t="str">
        <f t="shared" ca="1" si="124"/>
        <v/>
      </c>
      <c r="AM303" s="51" t="str">
        <f t="shared" ca="1" si="125"/>
        <v/>
      </c>
      <c r="AN303" s="51" t="str">
        <f t="shared" ca="1" si="126"/>
        <v/>
      </c>
      <c r="AO303" s="51" t="str">
        <f t="shared" ca="1" si="127"/>
        <v/>
      </c>
      <c r="AP303" s="51" t="str">
        <f t="shared" ca="1" si="128"/>
        <v/>
      </c>
    </row>
    <row r="304" spans="30:42">
      <c r="AD304" s="51" t="str">
        <f t="shared" ca="1" si="116"/>
        <v/>
      </c>
      <c r="AE304" s="51" t="str">
        <f t="shared" ca="1" si="117"/>
        <v/>
      </c>
      <c r="AF304" s="51" t="str">
        <f t="shared" ca="1" si="118"/>
        <v/>
      </c>
      <c r="AG304" s="51" t="str">
        <f t="shared" ca="1" si="119"/>
        <v/>
      </c>
      <c r="AH304" s="191" t="str">
        <f t="shared" ca="1" si="120"/>
        <v/>
      </c>
      <c r="AI304" s="51" t="str">
        <f t="shared" ca="1" si="121"/>
        <v/>
      </c>
      <c r="AJ304" s="51" t="str">
        <f t="shared" ca="1" si="122"/>
        <v/>
      </c>
      <c r="AK304" s="51" t="str">
        <f t="shared" ca="1" si="123"/>
        <v/>
      </c>
      <c r="AL304" s="51" t="str">
        <f t="shared" ca="1" si="124"/>
        <v/>
      </c>
      <c r="AM304" s="51" t="str">
        <f t="shared" ca="1" si="125"/>
        <v/>
      </c>
      <c r="AN304" s="51" t="str">
        <f t="shared" ca="1" si="126"/>
        <v/>
      </c>
      <c r="AO304" s="51" t="str">
        <f t="shared" ca="1" si="127"/>
        <v/>
      </c>
      <c r="AP304" s="51" t="str">
        <f t="shared" ca="1" si="128"/>
        <v/>
      </c>
    </row>
    <row r="305" spans="30:42">
      <c r="AD305" s="51" t="str">
        <f t="shared" ca="1" si="116"/>
        <v/>
      </c>
      <c r="AE305" s="51" t="str">
        <f t="shared" ca="1" si="117"/>
        <v/>
      </c>
      <c r="AF305" s="51" t="str">
        <f t="shared" ca="1" si="118"/>
        <v/>
      </c>
      <c r="AG305" s="51" t="str">
        <f t="shared" ca="1" si="119"/>
        <v/>
      </c>
      <c r="AH305" s="191" t="str">
        <f t="shared" ca="1" si="120"/>
        <v/>
      </c>
      <c r="AI305" s="51" t="str">
        <f t="shared" ca="1" si="121"/>
        <v/>
      </c>
      <c r="AJ305" s="51" t="str">
        <f t="shared" ca="1" si="122"/>
        <v/>
      </c>
      <c r="AK305" s="51" t="str">
        <f t="shared" ca="1" si="123"/>
        <v/>
      </c>
      <c r="AL305" s="51" t="str">
        <f t="shared" ca="1" si="124"/>
        <v/>
      </c>
      <c r="AM305" s="51" t="str">
        <f t="shared" ca="1" si="125"/>
        <v/>
      </c>
      <c r="AN305" s="51" t="str">
        <f t="shared" ca="1" si="126"/>
        <v/>
      </c>
      <c r="AO305" s="51" t="str">
        <f t="shared" ca="1" si="127"/>
        <v/>
      </c>
      <c r="AP305" s="51" t="str">
        <f t="shared" ca="1" si="128"/>
        <v/>
      </c>
    </row>
    <row r="306" spans="30:42">
      <c r="AD306" s="51" t="str">
        <f t="shared" ca="1" si="116"/>
        <v/>
      </c>
      <c r="AE306" s="51" t="str">
        <f t="shared" ca="1" si="117"/>
        <v/>
      </c>
      <c r="AF306" s="51" t="str">
        <f t="shared" ca="1" si="118"/>
        <v/>
      </c>
      <c r="AG306" s="51" t="str">
        <f t="shared" ca="1" si="119"/>
        <v/>
      </c>
      <c r="AH306" s="191" t="str">
        <f t="shared" ca="1" si="120"/>
        <v/>
      </c>
      <c r="AI306" s="51" t="str">
        <f t="shared" ca="1" si="121"/>
        <v/>
      </c>
      <c r="AJ306" s="51" t="str">
        <f t="shared" ca="1" si="122"/>
        <v/>
      </c>
      <c r="AK306" s="51" t="str">
        <f t="shared" ca="1" si="123"/>
        <v/>
      </c>
      <c r="AL306" s="51" t="str">
        <f t="shared" ca="1" si="124"/>
        <v/>
      </c>
      <c r="AM306" s="51" t="str">
        <f t="shared" ca="1" si="125"/>
        <v/>
      </c>
      <c r="AN306" s="51" t="str">
        <f t="shared" ca="1" si="126"/>
        <v/>
      </c>
      <c r="AO306" s="51" t="str">
        <f t="shared" ca="1" si="127"/>
        <v/>
      </c>
      <c r="AP306" s="51" t="str">
        <f t="shared" ca="1" si="128"/>
        <v/>
      </c>
    </row>
    <row r="307" spans="30:42">
      <c r="AD307" s="51" t="str">
        <f t="shared" ca="1" si="116"/>
        <v/>
      </c>
      <c r="AE307" s="51" t="str">
        <f t="shared" ca="1" si="117"/>
        <v/>
      </c>
      <c r="AF307" s="51" t="str">
        <f t="shared" ca="1" si="118"/>
        <v/>
      </c>
      <c r="AG307" s="51" t="str">
        <f t="shared" ca="1" si="119"/>
        <v/>
      </c>
      <c r="AH307" s="191" t="str">
        <f t="shared" ca="1" si="120"/>
        <v/>
      </c>
      <c r="AI307" s="51" t="str">
        <f t="shared" ca="1" si="121"/>
        <v/>
      </c>
      <c r="AJ307" s="51" t="str">
        <f t="shared" ca="1" si="122"/>
        <v/>
      </c>
      <c r="AK307" s="51" t="str">
        <f t="shared" ca="1" si="123"/>
        <v/>
      </c>
      <c r="AL307" s="51" t="str">
        <f t="shared" ca="1" si="124"/>
        <v/>
      </c>
      <c r="AM307" s="51" t="str">
        <f t="shared" ca="1" si="125"/>
        <v/>
      </c>
      <c r="AN307" s="51" t="str">
        <f t="shared" ca="1" si="126"/>
        <v/>
      </c>
      <c r="AO307" s="51" t="str">
        <f t="shared" ca="1" si="127"/>
        <v/>
      </c>
      <c r="AP307" s="51" t="str">
        <f t="shared" ca="1" si="128"/>
        <v/>
      </c>
    </row>
    <row r="308" spans="30:42">
      <c r="AD308" s="51" t="str">
        <f t="shared" ca="1" si="116"/>
        <v/>
      </c>
      <c r="AE308" s="51" t="str">
        <f t="shared" ca="1" si="117"/>
        <v/>
      </c>
      <c r="AF308" s="51" t="str">
        <f t="shared" ca="1" si="118"/>
        <v/>
      </c>
      <c r="AG308" s="51" t="str">
        <f t="shared" ca="1" si="119"/>
        <v/>
      </c>
      <c r="AH308" s="191" t="str">
        <f t="shared" ca="1" si="120"/>
        <v/>
      </c>
      <c r="AI308" s="51" t="str">
        <f t="shared" ca="1" si="121"/>
        <v/>
      </c>
      <c r="AJ308" s="51" t="str">
        <f t="shared" ca="1" si="122"/>
        <v/>
      </c>
      <c r="AK308" s="51" t="str">
        <f t="shared" ca="1" si="123"/>
        <v/>
      </c>
      <c r="AL308" s="51" t="str">
        <f t="shared" ca="1" si="124"/>
        <v/>
      </c>
      <c r="AM308" s="51" t="str">
        <f t="shared" ca="1" si="125"/>
        <v/>
      </c>
      <c r="AN308" s="51" t="str">
        <f t="shared" ca="1" si="126"/>
        <v/>
      </c>
      <c r="AO308" s="51" t="str">
        <f t="shared" ca="1" si="127"/>
        <v/>
      </c>
      <c r="AP308" s="51" t="str">
        <f t="shared" ca="1" si="128"/>
        <v/>
      </c>
    </row>
    <row r="309" spans="30:42">
      <c r="AD309" s="51" t="str">
        <f t="shared" ca="1" si="116"/>
        <v/>
      </c>
      <c r="AE309" s="51" t="str">
        <f t="shared" ca="1" si="117"/>
        <v/>
      </c>
      <c r="AF309" s="51" t="str">
        <f t="shared" ca="1" si="118"/>
        <v/>
      </c>
      <c r="AG309" s="51" t="str">
        <f t="shared" ca="1" si="119"/>
        <v/>
      </c>
      <c r="AH309" s="191" t="str">
        <f t="shared" ca="1" si="120"/>
        <v/>
      </c>
      <c r="AI309" s="51" t="str">
        <f t="shared" ca="1" si="121"/>
        <v/>
      </c>
      <c r="AJ309" s="51" t="str">
        <f t="shared" ca="1" si="122"/>
        <v/>
      </c>
      <c r="AK309" s="51" t="str">
        <f t="shared" ca="1" si="123"/>
        <v/>
      </c>
      <c r="AL309" s="51" t="str">
        <f t="shared" ca="1" si="124"/>
        <v/>
      </c>
      <c r="AM309" s="51" t="str">
        <f t="shared" ca="1" si="125"/>
        <v/>
      </c>
      <c r="AN309" s="51" t="str">
        <f t="shared" ca="1" si="126"/>
        <v/>
      </c>
      <c r="AO309" s="51" t="str">
        <f t="shared" ca="1" si="127"/>
        <v/>
      </c>
      <c r="AP309" s="51" t="str">
        <f t="shared" ca="1" si="128"/>
        <v/>
      </c>
    </row>
    <row r="310" spans="30:42">
      <c r="AD310" s="51" t="str">
        <f t="shared" ca="1" si="116"/>
        <v/>
      </c>
      <c r="AE310" s="51" t="str">
        <f t="shared" ca="1" si="117"/>
        <v/>
      </c>
      <c r="AF310" s="51" t="str">
        <f t="shared" ca="1" si="118"/>
        <v/>
      </c>
      <c r="AG310" s="51" t="str">
        <f t="shared" ca="1" si="119"/>
        <v/>
      </c>
      <c r="AH310" s="191" t="str">
        <f t="shared" ca="1" si="120"/>
        <v/>
      </c>
      <c r="AI310" s="51" t="str">
        <f t="shared" ca="1" si="121"/>
        <v/>
      </c>
      <c r="AJ310" s="51" t="str">
        <f t="shared" ca="1" si="122"/>
        <v/>
      </c>
      <c r="AK310" s="51" t="str">
        <f t="shared" ca="1" si="123"/>
        <v/>
      </c>
      <c r="AL310" s="51" t="str">
        <f t="shared" ca="1" si="124"/>
        <v/>
      </c>
      <c r="AM310" s="51" t="str">
        <f t="shared" ca="1" si="125"/>
        <v/>
      </c>
      <c r="AN310" s="51" t="str">
        <f t="shared" ca="1" si="126"/>
        <v/>
      </c>
      <c r="AO310" s="51" t="str">
        <f t="shared" ca="1" si="127"/>
        <v/>
      </c>
      <c r="AP310" s="51" t="str">
        <f t="shared" ca="1" si="128"/>
        <v/>
      </c>
    </row>
    <row r="311" spans="30:42">
      <c r="AD311" s="51" t="str">
        <f t="shared" ca="1" si="116"/>
        <v/>
      </c>
      <c r="AE311" s="51" t="str">
        <f t="shared" ca="1" si="117"/>
        <v/>
      </c>
      <c r="AF311" s="51" t="str">
        <f t="shared" ca="1" si="118"/>
        <v/>
      </c>
      <c r="AG311" s="51" t="str">
        <f t="shared" ca="1" si="119"/>
        <v/>
      </c>
      <c r="AH311" s="191" t="str">
        <f t="shared" ca="1" si="120"/>
        <v/>
      </c>
      <c r="AI311" s="51" t="str">
        <f t="shared" ca="1" si="121"/>
        <v/>
      </c>
      <c r="AJ311" s="51" t="str">
        <f t="shared" ca="1" si="122"/>
        <v/>
      </c>
      <c r="AK311" s="51" t="str">
        <f t="shared" ca="1" si="123"/>
        <v/>
      </c>
      <c r="AL311" s="51" t="str">
        <f t="shared" ca="1" si="124"/>
        <v/>
      </c>
      <c r="AM311" s="51" t="str">
        <f t="shared" ca="1" si="125"/>
        <v/>
      </c>
      <c r="AN311" s="51" t="str">
        <f t="shared" ca="1" si="126"/>
        <v/>
      </c>
      <c r="AO311" s="51" t="str">
        <f t="shared" ca="1" si="127"/>
        <v/>
      </c>
      <c r="AP311" s="51" t="str">
        <f t="shared" ca="1" si="128"/>
        <v/>
      </c>
    </row>
    <row r="312" spans="30:42">
      <c r="AD312" s="51" t="str">
        <f t="shared" ca="1" si="116"/>
        <v/>
      </c>
      <c r="AE312" s="51" t="str">
        <f t="shared" ca="1" si="117"/>
        <v/>
      </c>
      <c r="AF312" s="51" t="str">
        <f t="shared" ca="1" si="118"/>
        <v/>
      </c>
      <c r="AG312" s="51" t="str">
        <f t="shared" ca="1" si="119"/>
        <v/>
      </c>
      <c r="AH312" s="191" t="str">
        <f t="shared" ca="1" si="120"/>
        <v/>
      </c>
      <c r="AI312" s="51" t="str">
        <f t="shared" ca="1" si="121"/>
        <v/>
      </c>
      <c r="AJ312" s="51" t="str">
        <f t="shared" ca="1" si="122"/>
        <v/>
      </c>
      <c r="AK312" s="51" t="str">
        <f t="shared" ca="1" si="123"/>
        <v/>
      </c>
      <c r="AL312" s="51" t="str">
        <f t="shared" ca="1" si="124"/>
        <v/>
      </c>
      <c r="AM312" s="51" t="str">
        <f t="shared" ca="1" si="125"/>
        <v/>
      </c>
      <c r="AN312" s="51" t="str">
        <f t="shared" ca="1" si="126"/>
        <v/>
      </c>
      <c r="AO312" s="51" t="str">
        <f t="shared" ca="1" si="127"/>
        <v/>
      </c>
      <c r="AP312" s="51" t="str">
        <f t="shared" ca="1" si="128"/>
        <v/>
      </c>
    </row>
    <row r="313" spans="30:42">
      <c r="AD313" s="51" t="str">
        <f t="shared" ca="1" si="116"/>
        <v/>
      </c>
      <c r="AE313" s="51" t="str">
        <f t="shared" ca="1" si="117"/>
        <v/>
      </c>
      <c r="AF313" s="51" t="str">
        <f t="shared" ca="1" si="118"/>
        <v/>
      </c>
      <c r="AG313" s="51" t="str">
        <f t="shared" ca="1" si="119"/>
        <v/>
      </c>
      <c r="AH313" s="191" t="str">
        <f t="shared" ca="1" si="120"/>
        <v/>
      </c>
      <c r="AI313" s="51" t="str">
        <f t="shared" ca="1" si="121"/>
        <v/>
      </c>
      <c r="AJ313" s="51" t="str">
        <f t="shared" ca="1" si="122"/>
        <v/>
      </c>
      <c r="AK313" s="51" t="str">
        <f t="shared" ca="1" si="123"/>
        <v/>
      </c>
      <c r="AL313" s="51" t="str">
        <f t="shared" ca="1" si="124"/>
        <v/>
      </c>
      <c r="AM313" s="51" t="str">
        <f t="shared" ca="1" si="125"/>
        <v/>
      </c>
      <c r="AN313" s="51" t="str">
        <f t="shared" ca="1" si="126"/>
        <v/>
      </c>
      <c r="AO313" s="51" t="str">
        <f t="shared" ca="1" si="127"/>
        <v/>
      </c>
      <c r="AP313" s="51" t="str">
        <f t="shared" ca="1" si="128"/>
        <v/>
      </c>
    </row>
    <row r="314" spans="30:42">
      <c r="AD314" s="51" t="str">
        <f t="shared" ca="1" si="116"/>
        <v/>
      </c>
      <c r="AE314" s="51" t="str">
        <f t="shared" ca="1" si="117"/>
        <v/>
      </c>
      <c r="AF314" s="51" t="str">
        <f t="shared" ca="1" si="118"/>
        <v/>
      </c>
      <c r="AG314" s="51" t="str">
        <f t="shared" ca="1" si="119"/>
        <v/>
      </c>
      <c r="AH314" s="191" t="str">
        <f t="shared" ca="1" si="120"/>
        <v/>
      </c>
      <c r="AI314" s="51" t="str">
        <f t="shared" ca="1" si="121"/>
        <v/>
      </c>
      <c r="AJ314" s="51" t="str">
        <f t="shared" ca="1" si="122"/>
        <v/>
      </c>
      <c r="AK314" s="51" t="str">
        <f t="shared" ca="1" si="123"/>
        <v/>
      </c>
      <c r="AL314" s="51" t="str">
        <f t="shared" ca="1" si="124"/>
        <v/>
      </c>
      <c r="AM314" s="51" t="str">
        <f t="shared" ca="1" si="125"/>
        <v/>
      </c>
      <c r="AN314" s="51" t="str">
        <f t="shared" ca="1" si="126"/>
        <v/>
      </c>
      <c r="AO314" s="51" t="str">
        <f t="shared" ca="1" si="127"/>
        <v/>
      </c>
      <c r="AP314" s="51" t="str">
        <f t="shared" ca="1" si="128"/>
        <v/>
      </c>
    </row>
    <row r="315" spans="30:42">
      <c r="AD315" s="51" t="str">
        <f t="shared" ca="1" si="116"/>
        <v/>
      </c>
      <c r="AE315" s="51" t="str">
        <f t="shared" ca="1" si="117"/>
        <v/>
      </c>
      <c r="AF315" s="51" t="str">
        <f t="shared" ca="1" si="118"/>
        <v/>
      </c>
      <c r="AG315" s="51" t="str">
        <f t="shared" ca="1" si="119"/>
        <v/>
      </c>
      <c r="AH315" s="191" t="str">
        <f t="shared" ca="1" si="120"/>
        <v/>
      </c>
      <c r="AI315" s="51" t="str">
        <f t="shared" ca="1" si="121"/>
        <v/>
      </c>
      <c r="AJ315" s="51" t="str">
        <f t="shared" ca="1" si="122"/>
        <v/>
      </c>
      <c r="AK315" s="51" t="str">
        <f t="shared" ca="1" si="123"/>
        <v/>
      </c>
      <c r="AL315" s="51" t="str">
        <f t="shared" ca="1" si="124"/>
        <v/>
      </c>
      <c r="AM315" s="51" t="str">
        <f t="shared" ca="1" si="125"/>
        <v/>
      </c>
      <c r="AN315" s="51" t="str">
        <f t="shared" ca="1" si="126"/>
        <v/>
      </c>
      <c r="AO315" s="51" t="str">
        <f t="shared" ca="1" si="127"/>
        <v/>
      </c>
      <c r="AP315" s="51" t="str">
        <f t="shared" ca="1" si="128"/>
        <v/>
      </c>
    </row>
    <row r="316" spans="30:42">
      <c r="AD316" s="51" t="str">
        <f t="shared" ca="1" si="116"/>
        <v/>
      </c>
      <c r="AE316" s="51" t="str">
        <f t="shared" ca="1" si="117"/>
        <v/>
      </c>
      <c r="AF316" s="51" t="str">
        <f t="shared" ca="1" si="118"/>
        <v/>
      </c>
      <c r="AG316" s="51" t="str">
        <f t="shared" ca="1" si="119"/>
        <v/>
      </c>
      <c r="AH316" s="191" t="str">
        <f t="shared" ca="1" si="120"/>
        <v/>
      </c>
      <c r="AI316" s="51" t="str">
        <f t="shared" ca="1" si="121"/>
        <v/>
      </c>
      <c r="AJ316" s="51" t="str">
        <f t="shared" ca="1" si="122"/>
        <v/>
      </c>
      <c r="AK316" s="51" t="str">
        <f t="shared" ca="1" si="123"/>
        <v/>
      </c>
      <c r="AL316" s="51" t="str">
        <f t="shared" ca="1" si="124"/>
        <v/>
      </c>
      <c r="AM316" s="51" t="str">
        <f t="shared" ca="1" si="125"/>
        <v/>
      </c>
      <c r="AN316" s="51" t="str">
        <f t="shared" ca="1" si="126"/>
        <v/>
      </c>
      <c r="AO316" s="51" t="str">
        <f t="shared" ca="1" si="127"/>
        <v/>
      </c>
      <c r="AP316" s="51" t="str">
        <f t="shared" ca="1" si="128"/>
        <v/>
      </c>
    </row>
    <row r="317" spans="30:42">
      <c r="AD317" s="51" t="str">
        <f t="shared" ca="1" si="116"/>
        <v/>
      </c>
      <c r="AE317" s="51" t="str">
        <f t="shared" ca="1" si="117"/>
        <v/>
      </c>
      <c r="AF317" s="51" t="str">
        <f t="shared" ca="1" si="118"/>
        <v/>
      </c>
      <c r="AG317" s="51" t="str">
        <f t="shared" ca="1" si="119"/>
        <v/>
      </c>
      <c r="AH317" s="191" t="str">
        <f t="shared" ca="1" si="120"/>
        <v/>
      </c>
      <c r="AI317" s="51" t="str">
        <f t="shared" ca="1" si="121"/>
        <v/>
      </c>
      <c r="AJ317" s="51" t="str">
        <f t="shared" ca="1" si="122"/>
        <v/>
      </c>
      <c r="AK317" s="51" t="str">
        <f t="shared" ca="1" si="123"/>
        <v/>
      </c>
      <c r="AL317" s="51" t="str">
        <f t="shared" ca="1" si="124"/>
        <v/>
      </c>
      <c r="AM317" s="51" t="str">
        <f t="shared" ca="1" si="125"/>
        <v/>
      </c>
      <c r="AN317" s="51" t="str">
        <f t="shared" ca="1" si="126"/>
        <v/>
      </c>
      <c r="AO317" s="51" t="str">
        <f t="shared" ca="1" si="127"/>
        <v/>
      </c>
      <c r="AP317" s="51" t="str">
        <f t="shared" ca="1" si="128"/>
        <v/>
      </c>
    </row>
    <row r="318" spans="30:42">
      <c r="AD318" s="51" t="str">
        <f t="shared" ca="1" si="116"/>
        <v/>
      </c>
      <c r="AE318" s="51" t="str">
        <f t="shared" ca="1" si="117"/>
        <v/>
      </c>
      <c r="AF318" s="51" t="str">
        <f t="shared" ca="1" si="118"/>
        <v/>
      </c>
      <c r="AG318" s="51" t="str">
        <f t="shared" ca="1" si="119"/>
        <v/>
      </c>
      <c r="AH318" s="191" t="str">
        <f t="shared" ca="1" si="120"/>
        <v/>
      </c>
      <c r="AI318" s="51" t="str">
        <f t="shared" ca="1" si="121"/>
        <v/>
      </c>
      <c r="AJ318" s="51" t="str">
        <f t="shared" ca="1" si="122"/>
        <v/>
      </c>
      <c r="AK318" s="51" t="str">
        <f t="shared" ca="1" si="123"/>
        <v/>
      </c>
      <c r="AL318" s="51" t="str">
        <f t="shared" ca="1" si="124"/>
        <v/>
      </c>
      <c r="AM318" s="51" t="str">
        <f t="shared" ca="1" si="125"/>
        <v/>
      </c>
      <c r="AN318" s="51" t="str">
        <f t="shared" ca="1" si="126"/>
        <v/>
      </c>
      <c r="AO318" s="51" t="str">
        <f t="shared" ca="1" si="127"/>
        <v/>
      </c>
      <c r="AP318" s="51" t="str">
        <f t="shared" ca="1" si="128"/>
        <v/>
      </c>
    </row>
    <row r="319" spans="30:42">
      <c r="AD319" s="51" t="str">
        <f t="shared" ca="1" si="116"/>
        <v/>
      </c>
      <c r="AE319" s="51" t="str">
        <f t="shared" ca="1" si="117"/>
        <v/>
      </c>
      <c r="AF319" s="51" t="str">
        <f t="shared" ca="1" si="118"/>
        <v/>
      </c>
      <c r="AG319" s="51" t="str">
        <f t="shared" ca="1" si="119"/>
        <v/>
      </c>
      <c r="AH319" s="191" t="str">
        <f t="shared" ca="1" si="120"/>
        <v/>
      </c>
      <c r="AI319" s="51" t="str">
        <f t="shared" ca="1" si="121"/>
        <v/>
      </c>
      <c r="AJ319" s="51" t="str">
        <f t="shared" ca="1" si="122"/>
        <v/>
      </c>
      <c r="AK319" s="51" t="str">
        <f t="shared" ca="1" si="123"/>
        <v/>
      </c>
      <c r="AL319" s="51" t="str">
        <f t="shared" ca="1" si="124"/>
        <v/>
      </c>
      <c r="AM319" s="51" t="str">
        <f t="shared" ca="1" si="125"/>
        <v/>
      </c>
      <c r="AN319" s="51" t="str">
        <f t="shared" ca="1" si="126"/>
        <v/>
      </c>
      <c r="AO319" s="51" t="str">
        <f t="shared" ca="1" si="127"/>
        <v/>
      </c>
      <c r="AP319" s="51" t="str">
        <f t="shared" ca="1" si="128"/>
        <v/>
      </c>
    </row>
    <row r="320" spans="30:42">
      <c r="AD320" s="51" t="str">
        <f t="shared" ca="1" si="116"/>
        <v/>
      </c>
      <c r="AE320" s="51" t="str">
        <f t="shared" ca="1" si="117"/>
        <v/>
      </c>
      <c r="AF320" s="51" t="str">
        <f t="shared" ca="1" si="118"/>
        <v/>
      </c>
      <c r="AG320" s="51" t="str">
        <f t="shared" ca="1" si="119"/>
        <v/>
      </c>
      <c r="AH320" s="191" t="str">
        <f t="shared" ca="1" si="120"/>
        <v/>
      </c>
      <c r="AI320" s="51" t="str">
        <f t="shared" ca="1" si="121"/>
        <v/>
      </c>
      <c r="AJ320" s="51" t="str">
        <f t="shared" ca="1" si="122"/>
        <v/>
      </c>
      <c r="AK320" s="51" t="str">
        <f t="shared" ca="1" si="123"/>
        <v/>
      </c>
      <c r="AL320" s="51" t="str">
        <f t="shared" ca="1" si="124"/>
        <v/>
      </c>
      <c r="AM320" s="51" t="str">
        <f t="shared" ca="1" si="125"/>
        <v/>
      </c>
      <c r="AN320" s="51" t="str">
        <f t="shared" ca="1" si="126"/>
        <v/>
      </c>
      <c r="AO320" s="51" t="str">
        <f t="shared" ca="1" si="127"/>
        <v/>
      </c>
      <c r="AP320" s="51" t="str">
        <f t="shared" ca="1" si="128"/>
        <v/>
      </c>
    </row>
    <row r="321" spans="30:42">
      <c r="AD321" s="51" t="str">
        <f t="shared" ca="1" si="116"/>
        <v/>
      </c>
      <c r="AE321" s="51" t="str">
        <f t="shared" ca="1" si="117"/>
        <v/>
      </c>
      <c r="AF321" s="51" t="str">
        <f t="shared" ca="1" si="118"/>
        <v/>
      </c>
      <c r="AG321" s="51" t="str">
        <f t="shared" ca="1" si="119"/>
        <v/>
      </c>
      <c r="AH321" s="191" t="str">
        <f t="shared" ca="1" si="120"/>
        <v/>
      </c>
      <c r="AI321" s="51" t="str">
        <f t="shared" ca="1" si="121"/>
        <v/>
      </c>
      <c r="AJ321" s="51" t="str">
        <f t="shared" ca="1" si="122"/>
        <v/>
      </c>
      <c r="AK321" s="51" t="str">
        <f t="shared" ca="1" si="123"/>
        <v/>
      </c>
      <c r="AL321" s="51" t="str">
        <f t="shared" ca="1" si="124"/>
        <v/>
      </c>
      <c r="AM321" s="51" t="str">
        <f t="shared" ca="1" si="125"/>
        <v/>
      </c>
      <c r="AN321" s="51" t="str">
        <f t="shared" ca="1" si="126"/>
        <v/>
      </c>
      <c r="AO321" s="51" t="str">
        <f t="shared" ca="1" si="127"/>
        <v/>
      </c>
      <c r="AP321" s="51" t="str">
        <f t="shared" ca="1" si="128"/>
        <v/>
      </c>
    </row>
    <row r="322" spans="30:42">
      <c r="AD322" s="51" t="str">
        <f t="shared" ca="1" si="116"/>
        <v/>
      </c>
      <c r="AE322" s="51" t="str">
        <f t="shared" ca="1" si="117"/>
        <v/>
      </c>
      <c r="AF322" s="51" t="str">
        <f t="shared" ca="1" si="118"/>
        <v/>
      </c>
      <c r="AG322" s="51" t="str">
        <f t="shared" ca="1" si="119"/>
        <v/>
      </c>
      <c r="AH322" s="191" t="str">
        <f t="shared" ca="1" si="120"/>
        <v/>
      </c>
      <c r="AI322" s="51" t="str">
        <f t="shared" ca="1" si="121"/>
        <v/>
      </c>
      <c r="AJ322" s="51" t="str">
        <f t="shared" ca="1" si="122"/>
        <v/>
      </c>
      <c r="AK322" s="51" t="str">
        <f t="shared" ca="1" si="123"/>
        <v/>
      </c>
      <c r="AL322" s="51" t="str">
        <f t="shared" ca="1" si="124"/>
        <v/>
      </c>
      <c r="AM322" s="51" t="str">
        <f t="shared" ca="1" si="125"/>
        <v/>
      </c>
      <c r="AN322" s="51" t="str">
        <f t="shared" ca="1" si="126"/>
        <v/>
      </c>
      <c r="AO322" s="51" t="str">
        <f t="shared" ca="1" si="127"/>
        <v/>
      </c>
      <c r="AP322" s="51" t="str">
        <f t="shared" ca="1" si="128"/>
        <v/>
      </c>
    </row>
    <row r="323" spans="30:42">
      <c r="AD323" s="51" t="str">
        <f t="shared" ref="AD323:AD354" ca="1" si="129">IFERROR(INDEX(AC:AC,MATCH(SMALL($AU:$AU,ROW()+3),$AU:$AU,0)),"")</f>
        <v/>
      </c>
      <c r="AE323" s="51" t="str">
        <f t="shared" ref="AE323:AE354" ca="1" si="130">IFERROR(INDEX(R:R,MATCH(SMALL($AU:$AU,ROW()+3),$AU:$AU,0)),"")</f>
        <v/>
      </c>
      <c r="AF323" s="51" t="str">
        <f t="shared" ref="AF323:AF354" ca="1" si="131">IFERROR(INDEX(S:S,MATCH(SMALL($AU:$AU,ROW()+3),$AU:$AU,0)),"")</f>
        <v/>
      </c>
      <c r="AG323" s="51" t="str">
        <f t="shared" ref="AG323:AG354" ca="1" si="132">IFERROR(INDEX(T:T,MATCH(SMALL($AU:$AU,ROW()+3),$AU:$AU,0)),"")</f>
        <v/>
      </c>
      <c r="AH323" s="191" t="str">
        <f t="shared" ref="AH323:AH354" ca="1" si="133">IFERROR(INDEX(U:U,MATCH(SMALL($AU:$AU,ROW()+3),$AU:$AU,0)),"")</f>
        <v/>
      </c>
      <c r="AI323" s="51" t="str">
        <f t="shared" ref="AI323:AI354" ca="1" si="134">IFERROR(INDEX(V:V,MATCH(SMALL($AU:$AU,ROW()+3),$AU:$AU,0)),"")</f>
        <v/>
      </c>
      <c r="AJ323" s="51" t="str">
        <f t="shared" ref="AJ323:AJ354" ca="1" si="135">IFERROR(INDEX(W:W,MATCH(SMALL($AU:$AU,ROW()+3),$AU:$AU,0)),"")</f>
        <v/>
      </c>
      <c r="AK323" s="51" t="str">
        <f t="shared" ref="AK323:AK354" ca="1" si="136">IFERROR(INDEX(X:X,MATCH(SMALL($AU:$AU,ROW()+3),$AU:$AU,0)),"")</f>
        <v/>
      </c>
      <c r="AL323" s="51" t="str">
        <f t="shared" ref="AL323:AL354" ca="1" si="137">IFERROR(INDEX(Y:Y,MATCH(SMALL($AU:$AU,ROW()+3),$AU:$AU,0)),"")</f>
        <v/>
      </c>
      <c r="AM323" s="51" t="str">
        <f t="shared" ref="AM323:AM354" ca="1" si="138">IFERROR(INDEX(Z:Z,MATCH(SMALL($AU:$AU,ROW()+3),$AU:$AU,0)),"")</f>
        <v/>
      </c>
      <c r="AN323" s="51" t="str">
        <f t="shared" ref="AN323:AN354" ca="1" si="139">IFERROR(INDEX(AA:AA,MATCH(SMALL($AU:$AU,ROW()+3),$AU:$AU,0)),"")</f>
        <v/>
      </c>
      <c r="AO323" s="51" t="str">
        <f t="shared" ref="AO323:AO354" ca="1" si="140">IFERROR(INDEX(AB:AB,MATCH(SMALL($AU:$AU,ROW()+3),$AU:$AU,0)),"")</f>
        <v/>
      </c>
      <c r="AP323" s="51" t="str">
        <f t="shared" ref="AP323:AP354" ca="1" si="141">IFERROR(INDEX(AC:AC,MATCH(SMALL($AU:$AU,ROW()+3),$AU:$AU,0)),"")</f>
        <v/>
      </c>
    </row>
    <row r="324" spans="30:42">
      <c r="AD324" s="51" t="str">
        <f t="shared" ca="1" si="129"/>
        <v/>
      </c>
      <c r="AE324" s="51" t="str">
        <f t="shared" ca="1" si="130"/>
        <v/>
      </c>
      <c r="AF324" s="51" t="str">
        <f t="shared" ca="1" si="131"/>
        <v/>
      </c>
      <c r="AG324" s="51" t="str">
        <f t="shared" ca="1" si="132"/>
        <v/>
      </c>
      <c r="AH324" s="191" t="str">
        <f t="shared" ca="1" si="133"/>
        <v/>
      </c>
      <c r="AI324" s="51" t="str">
        <f t="shared" ca="1" si="134"/>
        <v/>
      </c>
      <c r="AJ324" s="51" t="str">
        <f t="shared" ca="1" si="135"/>
        <v/>
      </c>
      <c r="AK324" s="51" t="str">
        <f t="shared" ca="1" si="136"/>
        <v/>
      </c>
      <c r="AL324" s="51" t="str">
        <f t="shared" ca="1" si="137"/>
        <v/>
      </c>
      <c r="AM324" s="51" t="str">
        <f t="shared" ca="1" si="138"/>
        <v/>
      </c>
      <c r="AN324" s="51" t="str">
        <f t="shared" ca="1" si="139"/>
        <v/>
      </c>
      <c r="AO324" s="51" t="str">
        <f t="shared" ca="1" si="140"/>
        <v/>
      </c>
      <c r="AP324" s="51" t="str">
        <f t="shared" ca="1" si="141"/>
        <v/>
      </c>
    </row>
    <row r="325" spans="30:42">
      <c r="AD325" s="51" t="str">
        <f t="shared" ca="1" si="129"/>
        <v/>
      </c>
      <c r="AE325" s="51" t="str">
        <f t="shared" ca="1" si="130"/>
        <v/>
      </c>
      <c r="AF325" s="51" t="str">
        <f t="shared" ca="1" si="131"/>
        <v/>
      </c>
      <c r="AG325" s="51" t="str">
        <f t="shared" ca="1" si="132"/>
        <v/>
      </c>
      <c r="AH325" s="191" t="str">
        <f t="shared" ca="1" si="133"/>
        <v/>
      </c>
      <c r="AI325" s="51" t="str">
        <f t="shared" ca="1" si="134"/>
        <v/>
      </c>
      <c r="AJ325" s="51" t="str">
        <f t="shared" ca="1" si="135"/>
        <v/>
      </c>
      <c r="AK325" s="51" t="str">
        <f t="shared" ca="1" si="136"/>
        <v/>
      </c>
      <c r="AL325" s="51" t="str">
        <f t="shared" ca="1" si="137"/>
        <v/>
      </c>
      <c r="AM325" s="51" t="str">
        <f t="shared" ca="1" si="138"/>
        <v/>
      </c>
      <c r="AN325" s="51" t="str">
        <f t="shared" ca="1" si="139"/>
        <v/>
      </c>
      <c r="AO325" s="51" t="str">
        <f t="shared" ca="1" si="140"/>
        <v/>
      </c>
      <c r="AP325" s="51" t="str">
        <f t="shared" ca="1" si="141"/>
        <v/>
      </c>
    </row>
    <row r="326" spans="30:42">
      <c r="AD326" s="51" t="str">
        <f t="shared" ca="1" si="129"/>
        <v/>
      </c>
      <c r="AE326" s="51" t="str">
        <f t="shared" ca="1" si="130"/>
        <v/>
      </c>
      <c r="AF326" s="51" t="str">
        <f t="shared" ca="1" si="131"/>
        <v/>
      </c>
      <c r="AG326" s="51" t="str">
        <f t="shared" ca="1" si="132"/>
        <v/>
      </c>
      <c r="AH326" s="191" t="str">
        <f t="shared" ca="1" si="133"/>
        <v/>
      </c>
      <c r="AI326" s="51" t="str">
        <f t="shared" ca="1" si="134"/>
        <v/>
      </c>
      <c r="AJ326" s="51" t="str">
        <f t="shared" ca="1" si="135"/>
        <v/>
      </c>
      <c r="AK326" s="51" t="str">
        <f t="shared" ca="1" si="136"/>
        <v/>
      </c>
      <c r="AL326" s="51" t="str">
        <f t="shared" ca="1" si="137"/>
        <v/>
      </c>
      <c r="AM326" s="51" t="str">
        <f t="shared" ca="1" si="138"/>
        <v/>
      </c>
      <c r="AN326" s="51" t="str">
        <f t="shared" ca="1" si="139"/>
        <v/>
      </c>
      <c r="AO326" s="51" t="str">
        <f t="shared" ca="1" si="140"/>
        <v/>
      </c>
      <c r="AP326" s="51" t="str">
        <f t="shared" ca="1" si="141"/>
        <v/>
      </c>
    </row>
    <row r="327" spans="30:42">
      <c r="AD327" s="51" t="str">
        <f t="shared" ca="1" si="129"/>
        <v/>
      </c>
      <c r="AE327" s="51" t="str">
        <f t="shared" ca="1" si="130"/>
        <v/>
      </c>
      <c r="AF327" s="51" t="str">
        <f t="shared" ca="1" si="131"/>
        <v/>
      </c>
      <c r="AG327" s="51" t="str">
        <f t="shared" ca="1" si="132"/>
        <v/>
      </c>
      <c r="AH327" s="191" t="str">
        <f t="shared" ca="1" si="133"/>
        <v/>
      </c>
      <c r="AI327" s="51" t="str">
        <f t="shared" ca="1" si="134"/>
        <v/>
      </c>
      <c r="AJ327" s="51" t="str">
        <f t="shared" ca="1" si="135"/>
        <v/>
      </c>
      <c r="AK327" s="51" t="str">
        <f t="shared" ca="1" si="136"/>
        <v/>
      </c>
      <c r="AL327" s="51" t="str">
        <f t="shared" ca="1" si="137"/>
        <v/>
      </c>
      <c r="AM327" s="51" t="str">
        <f t="shared" ca="1" si="138"/>
        <v/>
      </c>
      <c r="AN327" s="51" t="str">
        <f t="shared" ca="1" si="139"/>
        <v/>
      </c>
      <c r="AO327" s="51" t="str">
        <f t="shared" ca="1" si="140"/>
        <v/>
      </c>
      <c r="AP327" s="51" t="str">
        <f t="shared" ca="1" si="141"/>
        <v/>
      </c>
    </row>
    <row r="328" spans="30:42">
      <c r="AD328" s="51" t="str">
        <f t="shared" ca="1" si="129"/>
        <v/>
      </c>
      <c r="AE328" s="51" t="str">
        <f t="shared" ca="1" si="130"/>
        <v/>
      </c>
      <c r="AF328" s="51" t="str">
        <f t="shared" ca="1" si="131"/>
        <v/>
      </c>
      <c r="AG328" s="51" t="str">
        <f t="shared" ca="1" si="132"/>
        <v/>
      </c>
      <c r="AH328" s="191" t="str">
        <f t="shared" ca="1" si="133"/>
        <v/>
      </c>
      <c r="AI328" s="51" t="str">
        <f t="shared" ca="1" si="134"/>
        <v/>
      </c>
      <c r="AJ328" s="51" t="str">
        <f t="shared" ca="1" si="135"/>
        <v/>
      </c>
      <c r="AK328" s="51" t="str">
        <f t="shared" ca="1" si="136"/>
        <v/>
      </c>
      <c r="AL328" s="51" t="str">
        <f t="shared" ca="1" si="137"/>
        <v/>
      </c>
      <c r="AM328" s="51" t="str">
        <f t="shared" ca="1" si="138"/>
        <v/>
      </c>
      <c r="AN328" s="51" t="str">
        <f t="shared" ca="1" si="139"/>
        <v/>
      </c>
      <c r="AO328" s="51" t="str">
        <f t="shared" ca="1" si="140"/>
        <v/>
      </c>
      <c r="AP328" s="51" t="str">
        <f t="shared" ca="1" si="141"/>
        <v/>
      </c>
    </row>
    <row r="329" spans="30:42">
      <c r="AD329" s="51" t="str">
        <f t="shared" ca="1" si="129"/>
        <v/>
      </c>
      <c r="AE329" s="51" t="str">
        <f t="shared" ca="1" si="130"/>
        <v/>
      </c>
      <c r="AF329" s="51" t="str">
        <f t="shared" ca="1" si="131"/>
        <v/>
      </c>
      <c r="AG329" s="51" t="str">
        <f t="shared" ca="1" si="132"/>
        <v/>
      </c>
      <c r="AH329" s="191" t="str">
        <f t="shared" ca="1" si="133"/>
        <v/>
      </c>
      <c r="AI329" s="51" t="str">
        <f t="shared" ca="1" si="134"/>
        <v/>
      </c>
      <c r="AJ329" s="51" t="str">
        <f t="shared" ca="1" si="135"/>
        <v/>
      </c>
      <c r="AK329" s="51" t="str">
        <f t="shared" ca="1" si="136"/>
        <v/>
      </c>
      <c r="AL329" s="51" t="str">
        <f t="shared" ca="1" si="137"/>
        <v/>
      </c>
      <c r="AM329" s="51" t="str">
        <f t="shared" ca="1" si="138"/>
        <v/>
      </c>
      <c r="AN329" s="51" t="str">
        <f t="shared" ca="1" si="139"/>
        <v/>
      </c>
      <c r="AO329" s="51" t="str">
        <f t="shared" ca="1" si="140"/>
        <v/>
      </c>
      <c r="AP329" s="51" t="str">
        <f t="shared" ca="1" si="141"/>
        <v/>
      </c>
    </row>
    <row r="330" spans="30:42">
      <c r="AD330" s="51" t="str">
        <f t="shared" ca="1" si="129"/>
        <v/>
      </c>
      <c r="AE330" s="51" t="str">
        <f t="shared" ca="1" si="130"/>
        <v/>
      </c>
      <c r="AF330" s="51" t="str">
        <f t="shared" ca="1" si="131"/>
        <v/>
      </c>
      <c r="AG330" s="51" t="str">
        <f t="shared" ca="1" si="132"/>
        <v/>
      </c>
      <c r="AH330" s="191" t="str">
        <f t="shared" ca="1" si="133"/>
        <v/>
      </c>
      <c r="AI330" s="51" t="str">
        <f t="shared" ca="1" si="134"/>
        <v/>
      </c>
      <c r="AJ330" s="51" t="str">
        <f t="shared" ca="1" si="135"/>
        <v/>
      </c>
      <c r="AK330" s="51" t="str">
        <f t="shared" ca="1" si="136"/>
        <v/>
      </c>
      <c r="AL330" s="51" t="str">
        <f t="shared" ca="1" si="137"/>
        <v/>
      </c>
      <c r="AM330" s="51" t="str">
        <f t="shared" ca="1" si="138"/>
        <v/>
      </c>
      <c r="AN330" s="51" t="str">
        <f t="shared" ca="1" si="139"/>
        <v/>
      </c>
      <c r="AO330" s="51" t="str">
        <f t="shared" ca="1" si="140"/>
        <v/>
      </c>
      <c r="AP330" s="51" t="str">
        <f t="shared" ca="1" si="141"/>
        <v/>
      </c>
    </row>
    <row r="331" spans="30:42">
      <c r="AD331" s="51" t="str">
        <f t="shared" ca="1" si="129"/>
        <v/>
      </c>
      <c r="AE331" s="51" t="str">
        <f t="shared" ca="1" si="130"/>
        <v/>
      </c>
      <c r="AF331" s="51" t="str">
        <f t="shared" ca="1" si="131"/>
        <v/>
      </c>
      <c r="AG331" s="51" t="str">
        <f t="shared" ca="1" si="132"/>
        <v/>
      </c>
      <c r="AH331" s="191" t="str">
        <f t="shared" ca="1" si="133"/>
        <v/>
      </c>
      <c r="AI331" s="51" t="str">
        <f t="shared" ca="1" si="134"/>
        <v/>
      </c>
      <c r="AJ331" s="51" t="str">
        <f t="shared" ca="1" si="135"/>
        <v/>
      </c>
      <c r="AK331" s="51" t="str">
        <f t="shared" ca="1" si="136"/>
        <v/>
      </c>
      <c r="AL331" s="51" t="str">
        <f t="shared" ca="1" si="137"/>
        <v/>
      </c>
      <c r="AM331" s="51" t="str">
        <f t="shared" ca="1" si="138"/>
        <v/>
      </c>
      <c r="AN331" s="51" t="str">
        <f t="shared" ca="1" si="139"/>
        <v/>
      </c>
      <c r="AO331" s="51" t="str">
        <f t="shared" ca="1" si="140"/>
        <v/>
      </c>
      <c r="AP331" s="51" t="str">
        <f t="shared" ca="1" si="141"/>
        <v/>
      </c>
    </row>
    <row r="332" spans="30:42">
      <c r="AD332" s="51" t="str">
        <f t="shared" ca="1" si="129"/>
        <v/>
      </c>
      <c r="AE332" s="51" t="str">
        <f t="shared" ca="1" si="130"/>
        <v/>
      </c>
      <c r="AF332" s="51" t="str">
        <f t="shared" ca="1" si="131"/>
        <v/>
      </c>
      <c r="AG332" s="51" t="str">
        <f t="shared" ca="1" si="132"/>
        <v/>
      </c>
      <c r="AH332" s="191" t="str">
        <f t="shared" ca="1" si="133"/>
        <v/>
      </c>
      <c r="AI332" s="51" t="str">
        <f t="shared" ca="1" si="134"/>
        <v/>
      </c>
      <c r="AJ332" s="51" t="str">
        <f t="shared" ca="1" si="135"/>
        <v/>
      </c>
      <c r="AK332" s="51" t="str">
        <f t="shared" ca="1" si="136"/>
        <v/>
      </c>
      <c r="AL332" s="51" t="str">
        <f t="shared" ca="1" si="137"/>
        <v/>
      </c>
      <c r="AM332" s="51" t="str">
        <f t="shared" ca="1" si="138"/>
        <v/>
      </c>
      <c r="AN332" s="51" t="str">
        <f t="shared" ca="1" si="139"/>
        <v/>
      </c>
      <c r="AO332" s="51" t="str">
        <f t="shared" ca="1" si="140"/>
        <v/>
      </c>
      <c r="AP332" s="51" t="str">
        <f t="shared" ca="1" si="141"/>
        <v/>
      </c>
    </row>
    <row r="333" spans="30:42">
      <c r="AD333" s="51" t="str">
        <f t="shared" ca="1" si="129"/>
        <v/>
      </c>
      <c r="AE333" s="51" t="str">
        <f t="shared" ca="1" si="130"/>
        <v/>
      </c>
      <c r="AF333" s="51" t="str">
        <f t="shared" ca="1" si="131"/>
        <v/>
      </c>
      <c r="AG333" s="51" t="str">
        <f t="shared" ca="1" si="132"/>
        <v/>
      </c>
      <c r="AH333" s="191" t="str">
        <f t="shared" ca="1" si="133"/>
        <v/>
      </c>
      <c r="AI333" s="51" t="str">
        <f t="shared" ca="1" si="134"/>
        <v/>
      </c>
      <c r="AJ333" s="51" t="str">
        <f t="shared" ca="1" si="135"/>
        <v/>
      </c>
      <c r="AK333" s="51" t="str">
        <f t="shared" ca="1" si="136"/>
        <v/>
      </c>
      <c r="AL333" s="51" t="str">
        <f t="shared" ca="1" si="137"/>
        <v/>
      </c>
      <c r="AM333" s="51" t="str">
        <f t="shared" ca="1" si="138"/>
        <v/>
      </c>
      <c r="AN333" s="51" t="str">
        <f t="shared" ca="1" si="139"/>
        <v/>
      </c>
      <c r="AO333" s="51" t="str">
        <f t="shared" ca="1" si="140"/>
        <v/>
      </c>
      <c r="AP333" s="51" t="str">
        <f t="shared" ca="1" si="141"/>
        <v/>
      </c>
    </row>
    <row r="334" spans="30:42">
      <c r="AD334" s="51" t="str">
        <f t="shared" ca="1" si="129"/>
        <v/>
      </c>
      <c r="AE334" s="51" t="str">
        <f t="shared" ca="1" si="130"/>
        <v/>
      </c>
      <c r="AF334" s="51" t="str">
        <f t="shared" ca="1" si="131"/>
        <v/>
      </c>
      <c r="AG334" s="51" t="str">
        <f t="shared" ca="1" si="132"/>
        <v/>
      </c>
      <c r="AH334" s="191" t="str">
        <f t="shared" ca="1" si="133"/>
        <v/>
      </c>
      <c r="AI334" s="51" t="str">
        <f t="shared" ca="1" si="134"/>
        <v/>
      </c>
      <c r="AJ334" s="51" t="str">
        <f t="shared" ca="1" si="135"/>
        <v/>
      </c>
      <c r="AK334" s="51" t="str">
        <f t="shared" ca="1" si="136"/>
        <v/>
      </c>
      <c r="AL334" s="51" t="str">
        <f t="shared" ca="1" si="137"/>
        <v/>
      </c>
      <c r="AM334" s="51" t="str">
        <f t="shared" ca="1" si="138"/>
        <v/>
      </c>
      <c r="AN334" s="51" t="str">
        <f t="shared" ca="1" si="139"/>
        <v/>
      </c>
      <c r="AO334" s="51" t="str">
        <f t="shared" ca="1" si="140"/>
        <v/>
      </c>
      <c r="AP334" s="51" t="str">
        <f t="shared" ca="1" si="141"/>
        <v/>
      </c>
    </row>
    <row r="335" spans="30:42">
      <c r="AD335" s="51" t="str">
        <f t="shared" ca="1" si="129"/>
        <v/>
      </c>
      <c r="AE335" s="51" t="str">
        <f t="shared" ca="1" si="130"/>
        <v/>
      </c>
      <c r="AF335" s="51" t="str">
        <f t="shared" ca="1" si="131"/>
        <v/>
      </c>
      <c r="AG335" s="51" t="str">
        <f t="shared" ca="1" si="132"/>
        <v/>
      </c>
      <c r="AH335" s="191" t="str">
        <f t="shared" ca="1" si="133"/>
        <v/>
      </c>
      <c r="AI335" s="51" t="str">
        <f t="shared" ca="1" si="134"/>
        <v/>
      </c>
      <c r="AJ335" s="51" t="str">
        <f t="shared" ca="1" si="135"/>
        <v/>
      </c>
      <c r="AK335" s="51" t="str">
        <f t="shared" ca="1" si="136"/>
        <v/>
      </c>
      <c r="AL335" s="51" t="str">
        <f t="shared" ca="1" si="137"/>
        <v/>
      </c>
      <c r="AM335" s="51" t="str">
        <f t="shared" ca="1" si="138"/>
        <v/>
      </c>
      <c r="AN335" s="51" t="str">
        <f t="shared" ca="1" si="139"/>
        <v/>
      </c>
      <c r="AO335" s="51" t="str">
        <f t="shared" ca="1" si="140"/>
        <v/>
      </c>
      <c r="AP335" s="51" t="str">
        <f t="shared" ca="1" si="141"/>
        <v/>
      </c>
    </row>
    <row r="336" spans="30:42">
      <c r="AD336" s="51" t="str">
        <f t="shared" ca="1" si="129"/>
        <v/>
      </c>
      <c r="AE336" s="51" t="str">
        <f t="shared" ca="1" si="130"/>
        <v/>
      </c>
      <c r="AF336" s="51" t="str">
        <f t="shared" ca="1" si="131"/>
        <v/>
      </c>
      <c r="AG336" s="51" t="str">
        <f t="shared" ca="1" si="132"/>
        <v/>
      </c>
      <c r="AH336" s="191" t="str">
        <f t="shared" ca="1" si="133"/>
        <v/>
      </c>
      <c r="AI336" s="51" t="str">
        <f t="shared" ca="1" si="134"/>
        <v/>
      </c>
      <c r="AJ336" s="51" t="str">
        <f t="shared" ca="1" si="135"/>
        <v/>
      </c>
      <c r="AK336" s="51" t="str">
        <f t="shared" ca="1" si="136"/>
        <v/>
      </c>
      <c r="AL336" s="51" t="str">
        <f t="shared" ca="1" si="137"/>
        <v/>
      </c>
      <c r="AM336" s="51" t="str">
        <f t="shared" ca="1" si="138"/>
        <v/>
      </c>
      <c r="AN336" s="51" t="str">
        <f t="shared" ca="1" si="139"/>
        <v/>
      </c>
      <c r="AO336" s="51" t="str">
        <f t="shared" ca="1" si="140"/>
        <v/>
      </c>
      <c r="AP336" s="51" t="str">
        <f t="shared" ca="1" si="141"/>
        <v/>
      </c>
    </row>
    <row r="337" spans="30:42">
      <c r="AD337" s="51" t="str">
        <f t="shared" ca="1" si="129"/>
        <v/>
      </c>
      <c r="AE337" s="51" t="str">
        <f t="shared" ca="1" si="130"/>
        <v/>
      </c>
      <c r="AF337" s="51" t="str">
        <f t="shared" ca="1" si="131"/>
        <v/>
      </c>
      <c r="AG337" s="51" t="str">
        <f t="shared" ca="1" si="132"/>
        <v/>
      </c>
      <c r="AH337" s="191" t="str">
        <f t="shared" ca="1" si="133"/>
        <v/>
      </c>
      <c r="AI337" s="51" t="str">
        <f t="shared" ca="1" si="134"/>
        <v/>
      </c>
      <c r="AJ337" s="51" t="str">
        <f t="shared" ca="1" si="135"/>
        <v/>
      </c>
      <c r="AK337" s="51" t="str">
        <f t="shared" ca="1" si="136"/>
        <v/>
      </c>
      <c r="AL337" s="51" t="str">
        <f t="shared" ca="1" si="137"/>
        <v/>
      </c>
      <c r="AM337" s="51" t="str">
        <f t="shared" ca="1" si="138"/>
        <v/>
      </c>
      <c r="AN337" s="51" t="str">
        <f t="shared" ca="1" si="139"/>
        <v/>
      </c>
      <c r="AO337" s="51" t="str">
        <f t="shared" ca="1" si="140"/>
        <v/>
      </c>
      <c r="AP337" s="51" t="str">
        <f t="shared" ca="1" si="141"/>
        <v/>
      </c>
    </row>
    <row r="338" spans="30:42">
      <c r="AD338" s="51" t="str">
        <f t="shared" ca="1" si="129"/>
        <v/>
      </c>
      <c r="AE338" s="51" t="str">
        <f t="shared" ca="1" si="130"/>
        <v/>
      </c>
      <c r="AF338" s="51" t="str">
        <f t="shared" ca="1" si="131"/>
        <v/>
      </c>
      <c r="AG338" s="51" t="str">
        <f t="shared" ca="1" si="132"/>
        <v/>
      </c>
      <c r="AH338" s="191" t="str">
        <f t="shared" ca="1" si="133"/>
        <v/>
      </c>
      <c r="AI338" s="51" t="str">
        <f t="shared" ca="1" si="134"/>
        <v/>
      </c>
      <c r="AJ338" s="51" t="str">
        <f t="shared" ca="1" si="135"/>
        <v/>
      </c>
      <c r="AK338" s="51" t="str">
        <f t="shared" ca="1" si="136"/>
        <v/>
      </c>
      <c r="AL338" s="51" t="str">
        <f t="shared" ca="1" si="137"/>
        <v/>
      </c>
      <c r="AM338" s="51" t="str">
        <f t="shared" ca="1" si="138"/>
        <v/>
      </c>
      <c r="AN338" s="51" t="str">
        <f t="shared" ca="1" si="139"/>
        <v/>
      </c>
      <c r="AO338" s="51" t="str">
        <f t="shared" ca="1" si="140"/>
        <v/>
      </c>
      <c r="AP338" s="51" t="str">
        <f t="shared" ca="1" si="141"/>
        <v/>
      </c>
    </row>
    <row r="339" spans="30:42">
      <c r="AD339" s="51" t="str">
        <f t="shared" ca="1" si="129"/>
        <v/>
      </c>
      <c r="AE339" s="51" t="str">
        <f t="shared" ca="1" si="130"/>
        <v/>
      </c>
      <c r="AF339" s="51" t="str">
        <f t="shared" ca="1" si="131"/>
        <v/>
      </c>
      <c r="AG339" s="51" t="str">
        <f t="shared" ca="1" si="132"/>
        <v/>
      </c>
      <c r="AH339" s="191" t="str">
        <f t="shared" ca="1" si="133"/>
        <v/>
      </c>
      <c r="AI339" s="51" t="str">
        <f t="shared" ca="1" si="134"/>
        <v/>
      </c>
      <c r="AJ339" s="51" t="str">
        <f t="shared" ca="1" si="135"/>
        <v/>
      </c>
      <c r="AK339" s="51" t="str">
        <f t="shared" ca="1" si="136"/>
        <v/>
      </c>
      <c r="AL339" s="51" t="str">
        <f t="shared" ca="1" si="137"/>
        <v/>
      </c>
      <c r="AM339" s="51" t="str">
        <f t="shared" ca="1" si="138"/>
        <v/>
      </c>
      <c r="AN339" s="51" t="str">
        <f t="shared" ca="1" si="139"/>
        <v/>
      </c>
      <c r="AO339" s="51" t="str">
        <f t="shared" ca="1" si="140"/>
        <v/>
      </c>
      <c r="AP339" s="51" t="str">
        <f t="shared" ca="1" si="141"/>
        <v/>
      </c>
    </row>
    <row r="340" spans="30:42">
      <c r="AD340" s="51" t="str">
        <f t="shared" ca="1" si="129"/>
        <v/>
      </c>
      <c r="AE340" s="51" t="str">
        <f t="shared" ca="1" si="130"/>
        <v/>
      </c>
      <c r="AF340" s="51" t="str">
        <f t="shared" ca="1" si="131"/>
        <v/>
      </c>
      <c r="AG340" s="51" t="str">
        <f t="shared" ca="1" si="132"/>
        <v/>
      </c>
      <c r="AH340" s="191" t="str">
        <f t="shared" ca="1" si="133"/>
        <v/>
      </c>
      <c r="AI340" s="51" t="str">
        <f t="shared" ca="1" si="134"/>
        <v/>
      </c>
      <c r="AJ340" s="51" t="str">
        <f t="shared" ca="1" si="135"/>
        <v/>
      </c>
      <c r="AK340" s="51" t="str">
        <f t="shared" ca="1" si="136"/>
        <v/>
      </c>
      <c r="AL340" s="51" t="str">
        <f t="shared" ca="1" si="137"/>
        <v/>
      </c>
      <c r="AM340" s="51" t="str">
        <f t="shared" ca="1" si="138"/>
        <v/>
      </c>
      <c r="AN340" s="51" t="str">
        <f t="shared" ca="1" si="139"/>
        <v/>
      </c>
      <c r="AO340" s="51" t="str">
        <f t="shared" ca="1" si="140"/>
        <v/>
      </c>
      <c r="AP340" s="51" t="str">
        <f t="shared" ca="1" si="141"/>
        <v/>
      </c>
    </row>
    <row r="341" spans="30:42">
      <c r="AD341" s="51" t="str">
        <f t="shared" ca="1" si="129"/>
        <v/>
      </c>
      <c r="AE341" s="51" t="str">
        <f t="shared" ca="1" si="130"/>
        <v/>
      </c>
      <c r="AF341" s="51" t="str">
        <f t="shared" ca="1" si="131"/>
        <v/>
      </c>
      <c r="AG341" s="51" t="str">
        <f t="shared" ca="1" si="132"/>
        <v/>
      </c>
      <c r="AH341" s="191" t="str">
        <f t="shared" ca="1" si="133"/>
        <v/>
      </c>
      <c r="AI341" s="51" t="str">
        <f t="shared" ca="1" si="134"/>
        <v/>
      </c>
      <c r="AJ341" s="51" t="str">
        <f t="shared" ca="1" si="135"/>
        <v/>
      </c>
      <c r="AK341" s="51" t="str">
        <f t="shared" ca="1" si="136"/>
        <v/>
      </c>
      <c r="AL341" s="51" t="str">
        <f t="shared" ca="1" si="137"/>
        <v/>
      </c>
      <c r="AM341" s="51" t="str">
        <f t="shared" ca="1" si="138"/>
        <v/>
      </c>
      <c r="AN341" s="51" t="str">
        <f t="shared" ca="1" si="139"/>
        <v/>
      </c>
      <c r="AO341" s="51" t="str">
        <f t="shared" ca="1" si="140"/>
        <v/>
      </c>
      <c r="AP341" s="51" t="str">
        <f t="shared" ca="1" si="141"/>
        <v/>
      </c>
    </row>
    <row r="342" spans="30:42">
      <c r="AD342" s="51" t="str">
        <f t="shared" ca="1" si="129"/>
        <v/>
      </c>
      <c r="AE342" s="51" t="str">
        <f t="shared" ca="1" si="130"/>
        <v/>
      </c>
      <c r="AF342" s="51" t="str">
        <f t="shared" ca="1" si="131"/>
        <v/>
      </c>
      <c r="AG342" s="51" t="str">
        <f t="shared" ca="1" si="132"/>
        <v/>
      </c>
      <c r="AH342" s="191" t="str">
        <f t="shared" ca="1" si="133"/>
        <v/>
      </c>
      <c r="AI342" s="51" t="str">
        <f t="shared" ca="1" si="134"/>
        <v/>
      </c>
      <c r="AJ342" s="51" t="str">
        <f t="shared" ca="1" si="135"/>
        <v/>
      </c>
      <c r="AK342" s="51" t="str">
        <f t="shared" ca="1" si="136"/>
        <v/>
      </c>
      <c r="AL342" s="51" t="str">
        <f t="shared" ca="1" si="137"/>
        <v/>
      </c>
      <c r="AM342" s="51" t="str">
        <f t="shared" ca="1" si="138"/>
        <v/>
      </c>
      <c r="AN342" s="51" t="str">
        <f t="shared" ca="1" si="139"/>
        <v/>
      </c>
      <c r="AO342" s="51" t="str">
        <f t="shared" ca="1" si="140"/>
        <v/>
      </c>
      <c r="AP342" s="51" t="str">
        <f t="shared" ca="1" si="141"/>
        <v/>
      </c>
    </row>
    <row r="343" spans="30:42">
      <c r="AD343" s="51" t="str">
        <f t="shared" ca="1" si="129"/>
        <v/>
      </c>
      <c r="AE343" s="51" t="str">
        <f t="shared" ca="1" si="130"/>
        <v/>
      </c>
      <c r="AF343" s="51" t="str">
        <f t="shared" ca="1" si="131"/>
        <v/>
      </c>
      <c r="AG343" s="51" t="str">
        <f t="shared" ca="1" si="132"/>
        <v/>
      </c>
      <c r="AH343" s="191" t="str">
        <f t="shared" ca="1" si="133"/>
        <v/>
      </c>
      <c r="AI343" s="51" t="str">
        <f t="shared" ca="1" si="134"/>
        <v/>
      </c>
      <c r="AJ343" s="51" t="str">
        <f t="shared" ca="1" si="135"/>
        <v/>
      </c>
      <c r="AK343" s="51" t="str">
        <f t="shared" ca="1" si="136"/>
        <v/>
      </c>
      <c r="AL343" s="51" t="str">
        <f t="shared" ca="1" si="137"/>
        <v/>
      </c>
      <c r="AM343" s="51" t="str">
        <f t="shared" ca="1" si="138"/>
        <v/>
      </c>
      <c r="AN343" s="51" t="str">
        <f t="shared" ca="1" si="139"/>
        <v/>
      </c>
      <c r="AO343" s="51" t="str">
        <f t="shared" ca="1" si="140"/>
        <v/>
      </c>
      <c r="AP343" s="51" t="str">
        <f t="shared" ca="1" si="141"/>
        <v/>
      </c>
    </row>
    <row r="344" spans="30:42">
      <c r="AD344" s="51" t="str">
        <f t="shared" ca="1" si="129"/>
        <v/>
      </c>
      <c r="AE344" s="51" t="str">
        <f t="shared" ca="1" si="130"/>
        <v/>
      </c>
      <c r="AF344" s="51" t="str">
        <f t="shared" ca="1" si="131"/>
        <v/>
      </c>
      <c r="AG344" s="51" t="str">
        <f t="shared" ca="1" si="132"/>
        <v/>
      </c>
      <c r="AH344" s="191" t="str">
        <f t="shared" ca="1" si="133"/>
        <v/>
      </c>
      <c r="AI344" s="51" t="str">
        <f t="shared" ca="1" si="134"/>
        <v/>
      </c>
      <c r="AJ344" s="51" t="str">
        <f t="shared" ca="1" si="135"/>
        <v/>
      </c>
      <c r="AK344" s="51" t="str">
        <f t="shared" ca="1" si="136"/>
        <v/>
      </c>
      <c r="AL344" s="51" t="str">
        <f t="shared" ca="1" si="137"/>
        <v/>
      </c>
      <c r="AM344" s="51" t="str">
        <f t="shared" ca="1" si="138"/>
        <v/>
      </c>
      <c r="AN344" s="51" t="str">
        <f t="shared" ca="1" si="139"/>
        <v/>
      </c>
      <c r="AO344" s="51" t="str">
        <f t="shared" ca="1" si="140"/>
        <v/>
      </c>
      <c r="AP344" s="51" t="str">
        <f t="shared" ca="1" si="141"/>
        <v/>
      </c>
    </row>
    <row r="345" spans="30:42">
      <c r="AD345" s="51" t="str">
        <f t="shared" ca="1" si="129"/>
        <v/>
      </c>
      <c r="AE345" s="51" t="str">
        <f t="shared" ca="1" si="130"/>
        <v/>
      </c>
      <c r="AF345" s="51" t="str">
        <f t="shared" ca="1" si="131"/>
        <v/>
      </c>
      <c r="AG345" s="51" t="str">
        <f t="shared" ca="1" si="132"/>
        <v/>
      </c>
      <c r="AH345" s="191" t="str">
        <f t="shared" ca="1" si="133"/>
        <v/>
      </c>
      <c r="AI345" s="51" t="str">
        <f t="shared" ca="1" si="134"/>
        <v/>
      </c>
      <c r="AJ345" s="51" t="str">
        <f t="shared" ca="1" si="135"/>
        <v/>
      </c>
      <c r="AK345" s="51" t="str">
        <f t="shared" ca="1" si="136"/>
        <v/>
      </c>
      <c r="AL345" s="51" t="str">
        <f t="shared" ca="1" si="137"/>
        <v/>
      </c>
      <c r="AM345" s="51" t="str">
        <f t="shared" ca="1" si="138"/>
        <v/>
      </c>
      <c r="AN345" s="51" t="str">
        <f t="shared" ca="1" si="139"/>
        <v/>
      </c>
      <c r="AO345" s="51" t="str">
        <f t="shared" ca="1" si="140"/>
        <v/>
      </c>
      <c r="AP345" s="51" t="str">
        <f t="shared" ca="1" si="141"/>
        <v/>
      </c>
    </row>
    <row r="346" spans="30:42">
      <c r="AD346" s="51" t="str">
        <f t="shared" ca="1" si="129"/>
        <v/>
      </c>
      <c r="AE346" s="51" t="str">
        <f t="shared" ca="1" si="130"/>
        <v/>
      </c>
      <c r="AF346" s="51" t="str">
        <f t="shared" ca="1" si="131"/>
        <v/>
      </c>
      <c r="AG346" s="51" t="str">
        <f t="shared" ca="1" si="132"/>
        <v/>
      </c>
      <c r="AH346" s="191" t="str">
        <f t="shared" ca="1" si="133"/>
        <v/>
      </c>
      <c r="AI346" s="51" t="str">
        <f t="shared" ca="1" si="134"/>
        <v/>
      </c>
      <c r="AJ346" s="51" t="str">
        <f t="shared" ca="1" si="135"/>
        <v/>
      </c>
      <c r="AK346" s="51" t="str">
        <f t="shared" ca="1" si="136"/>
        <v/>
      </c>
      <c r="AL346" s="51" t="str">
        <f t="shared" ca="1" si="137"/>
        <v/>
      </c>
      <c r="AM346" s="51" t="str">
        <f t="shared" ca="1" si="138"/>
        <v/>
      </c>
      <c r="AN346" s="51" t="str">
        <f t="shared" ca="1" si="139"/>
        <v/>
      </c>
      <c r="AO346" s="51" t="str">
        <f t="shared" ca="1" si="140"/>
        <v/>
      </c>
      <c r="AP346" s="51" t="str">
        <f t="shared" ca="1" si="141"/>
        <v/>
      </c>
    </row>
    <row r="347" spans="30:42">
      <c r="AD347" s="51" t="str">
        <f t="shared" ca="1" si="129"/>
        <v/>
      </c>
      <c r="AE347" s="51" t="str">
        <f t="shared" ca="1" si="130"/>
        <v/>
      </c>
      <c r="AF347" s="51" t="str">
        <f t="shared" ca="1" si="131"/>
        <v/>
      </c>
      <c r="AG347" s="51" t="str">
        <f t="shared" ca="1" si="132"/>
        <v/>
      </c>
      <c r="AH347" s="191" t="str">
        <f t="shared" ca="1" si="133"/>
        <v/>
      </c>
      <c r="AI347" s="51" t="str">
        <f t="shared" ca="1" si="134"/>
        <v/>
      </c>
      <c r="AJ347" s="51" t="str">
        <f t="shared" ca="1" si="135"/>
        <v/>
      </c>
      <c r="AK347" s="51" t="str">
        <f t="shared" ca="1" si="136"/>
        <v/>
      </c>
      <c r="AL347" s="51" t="str">
        <f t="shared" ca="1" si="137"/>
        <v/>
      </c>
      <c r="AM347" s="51" t="str">
        <f t="shared" ca="1" si="138"/>
        <v/>
      </c>
      <c r="AN347" s="51" t="str">
        <f t="shared" ca="1" si="139"/>
        <v/>
      </c>
      <c r="AO347" s="51" t="str">
        <f t="shared" ca="1" si="140"/>
        <v/>
      </c>
      <c r="AP347" s="51" t="str">
        <f t="shared" ca="1" si="141"/>
        <v/>
      </c>
    </row>
    <row r="348" spans="30:42">
      <c r="AD348" s="51" t="str">
        <f t="shared" ca="1" si="129"/>
        <v/>
      </c>
      <c r="AE348" s="51" t="str">
        <f t="shared" ca="1" si="130"/>
        <v/>
      </c>
      <c r="AF348" s="51" t="str">
        <f t="shared" ca="1" si="131"/>
        <v/>
      </c>
      <c r="AG348" s="51" t="str">
        <f t="shared" ca="1" si="132"/>
        <v/>
      </c>
      <c r="AH348" s="191" t="str">
        <f t="shared" ca="1" si="133"/>
        <v/>
      </c>
      <c r="AI348" s="51" t="str">
        <f t="shared" ca="1" si="134"/>
        <v/>
      </c>
      <c r="AJ348" s="51" t="str">
        <f t="shared" ca="1" si="135"/>
        <v/>
      </c>
      <c r="AK348" s="51" t="str">
        <f t="shared" ca="1" si="136"/>
        <v/>
      </c>
      <c r="AL348" s="51" t="str">
        <f t="shared" ca="1" si="137"/>
        <v/>
      </c>
      <c r="AM348" s="51" t="str">
        <f t="shared" ca="1" si="138"/>
        <v/>
      </c>
      <c r="AN348" s="51" t="str">
        <f t="shared" ca="1" si="139"/>
        <v/>
      </c>
      <c r="AO348" s="51" t="str">
        <f t="shared" ca="1" si="140"/>
        <v/>
      </c>
      <c r="AP348" s="51" t="str">
        <f t="shared" ca="1" si="141"/>
        <v/>
      </c>
    </row>
    <row r="349" spans="30:42">
      <c r="AD349" s="51" t="str">
        <f t="shared" ca="1" si="129"/>
        <v/>
      </c>
      <c r="AE349" s="51" t="str">
        <f t="shared" ca="1" si="130"/>
        <v/>
      </c>
      <c r="AF349" s="51" t="str">
        <f t="shared" ca="1" si="131"/>
        <v/>
      </c>
      <c r="AG349" s="51" t="str">
        <f t="shared" ca="1" si="132"/>
        <v/>
      </c>
      <c r="AH349" s="191" t="str">
        <f t="shared" ca="1" si="133"/>
        <v/>
      </c>
      <c r="AI349" s="51" t="str">
        <f t="shared" ca="1" si="134"/>
        <v/>
      </c>
      <c r="AJ349" s="51" t="str">
        <f t="shared" ca="1" si="135"/>
        <v/>
      </c>
      <c r="AK349" s="51" t="str">
        <f t="shared" ca="1" si="136"/>
        <v/>
      </c>
      <c r="AL349" s="51" t="str">
        <f t="shared" ca="1" si="137"/>
        <v/>
      </c>
      <c r="AM349" s="51" t="str">
        <f t="shared" ca="1" si="138"/>
        <v/>
      </c>
      <c r="AN349" s="51" t="str">
        <f t="shared" ca="1" si="139"/>
        <v/>
      </c>
      <c r="AO349" s="51" t="str">
        <f t="shared" ca="1" si="140"/>
        <v/>
      </c>
      <c r="AP349" s="51" t="str">
        <f t="shared" ca="1" si="141"/>
        <v/>
      </c>
    </row>
    <row r="350" spans="30:42">
      <c r="AD350" s="51" t="str">
        <f t="shared" ca="1" si="129"/>
        <v/>
      </c>
      <c r="AE350" s="51" t="str">
        <f t="shared" ca="1" si="130"/>
        <v/>
      </c>
      <c r="AF350" s="51" t="str">
        <f t="shared" ca="1" si="131"/>
        <v/>
      </c>
      <c r="AG350" s="51" t="str">
        <f t="shared" ca="1" si="132"/>
        <v/>
      </c>
      <c r="AH350" s="191" t="str">
        <f t="shared" ca="1" si="133"/>
        <v/>
      </c>
      <c r="AI350" s="51" t="str">
        <f t="shared" ca="1" si="134"/>
        <v/>
      </c>
      <c r="AJ350" s="51" t="str">
        <f t="shared" ca="1" si="135"/>
        <v/>
      </c>
      <c r="AK350" s="51" t="str">
        <f t="shared" ca="1" si="136"/>
        <v/>
      </c>
      <c r="AL350" s="51" t="str">
        <f t="shared" ca="1" si="137"/>
        <v/>
      </c>
      <c r="AM350" s="51" t="str">
        <f t="shared" ca="1" si="138"/>
        <v/>
      </c>
      <c r="AN350" s="51" t="str">
        <f t="shared" ca="1" si="139"/>
        <v/>
      </c>
      <c r="AO350" s="51" t="str">
        <f t="shared" ca="1" si="140"/>
        <v/>
      </c>
      <c r="AP350" s="51" t="str">
        <f t="shared" ca="1" si="141"/>
        <v/>
      </c>
    </row>
    <row r="351" spans="30:42">
      <c r="AD351" s="51" t="str">
        <f t="shared" ca="1" si="129"/>
        <v/>
      </c>
      <c r="AE351" s="51" t="str">
        <f t="shared" ca="1" si="130"/>
        <v/>
      </c>
      <c r="AF351" s="51" t="str">
        <f t="shared" ca="1" si="131"/>
        <v/>
      </c>
      <c r="AG351" s="51" t="str">
        <f t="shared" ca="1" si="132"/>
        <v/>
      </c>
      <c r="AH351" s="191" t="str">
        <f t="shared" ca="1" si="133"/>
        <v/>
      </c>
      <c r="AI351" s="51" t="str">
        <f t="shared" ca="1" si="134"/>
        <v/>
      </c>
      <c r="AJ351" s="51" t="str">
        <f t="shared" ca="1" si="135"/>
        <v/>
      </c>
      <c r="AK351" s="51" t="str">
        <f t="shared" ca="1" si="136"/>
        <v/>
      </c>
      <c r="AL351" s="51" t="str">
        <f t="shared" ca="1" si="137"/>
        <v/>
      </c>
      <c r="AM351" s="51" t="str">
        <f t="shared" ca="1" si="138"/>
        <v/>
      </c>
      <c r="AN351" s="51" t="str">
        <f t="shared" ca="1" si="139"/>
        <v/>
      </c>
      <c r="AO351" s="51" t="str">
        <f t="shared" ca="1" si="140"/>
        <v/>
      </c>
      <c r="AP351" s="51" t="str">
        <f t="shared" ca="1" si="141"/>
        <v/>
      </c>
    </row>
    <row r="352" spans="30:42">
      <c r="AD352" s="51" t="str">
        <f t="shared" ca="1" si="129"/>
        <v/>
      </c>
      <c r="AE352" s="51" t="str">
        <f t="shared" ca="1" si="130"/>
        <v/>
      </c>
      <c r="AF352" s="51" t="str">
        <f t="shared" ca="1" si="131"/>
        <v/>
      </c>
      <c r="AG352" s="51" t="str">
        <f t="shared" ca="1" si="132"/>
        <v/>
      </c>
      <c r="AH352" s="191" t="str">
        <f t="shared" ca="1" si="133"/>
        <v/>
      </c>
      <c r="AI352" s="51" t="str">
        <f t="shared" ca="1" si="134"/>
        <v/>
      </c>
      <c r="AJ352" s="51" t="str">
        <f t="shared" ca="1" si="135"/>
        <v/>
      </c>
      <c r="AK352" s="51" t="str">
        <f t="shared" ca="1" si="136"/>
        <v/>
      </c>
      <c r="AL352" s="51" t="str">
        <f t="shared" ca="1" si="137"/>
        <v/>
      </c>
      <c r="AM352" s="51" t="str">
        <f t="shared" ca="1" si="138"/>
        <v/>
      </c>
      <c r="AN352" s="51" t="str">
        <f t="shared" ca="1" si="139"/>
        <v/>
      </c>
      <c r="AO352" s="51" t="str">
        <f t="shared" ca="1" si="140"/>
        <v/>
      </c>
      <c r="AP352" s="51" t="str">
        <f t="shared" ca="1" si="141"/>
        <v/>
      </c>
    </row>
    <row r="353" spans="30:42">
      <c r="AD353" s="51" t="str">
        <f t="shared" ca="1" si="129"/>
        <v/>
      </c>
      <c r="AE353" s="51" t="str">
        <f t="shared" ca="1" si="130"/>
        <v/>
      </c>
      <c r="AF353" s="51" t="str">
        <f t="shared" ca="1" si="131"/>
        <v/>
      </c>
      <c r="AG353" s="51" t="str">
        <f t="shared" ca="1" si="132"/>
        <v/>
      </c>
      <c r="AH353" s="191" t="str">
        <f t="shared" ca="1" si="133"/>
        <v/>
      </c>
      <c r="AI353" s="51" t="str">
        <f t="shared" ca="1" si="134"/>
        <v/>
      </c>
      <c r="AJ353" s="51" t="str">
        <f t="shared" ca="1" si="135"/>
        <v/>
      </c>
      <c r="AK353" s="51" t="str">
        <f t="shared" ca="1" si="136"/>
        <v/>
      </c>
      <c r="AL353" s="51" t="str">
        <f t="shared" ca="1" si="137"/>
        <v/>
      </c>
      <c r="AM353" s="51" t="str">
        <f t="shared" ca="1" si="138"/>
        <v/>
      </c>
      <c r="AN353" s="51" t="str">
        <f t="shared" ca="1" si="139"/>
        <v/>
      </c>
      <c r="AO353" s="51" t="str">
        <f t="shared" ca="1" si="140"/>
        <v/>
      </c>
      <c r="AP353" s="51" t="str">
        <f t="shared" ca="1" si="141"/>
        <v/>
      </c>
    </row>
    <row r="354" spans="30:42">
      <c r="AD354" s="51" t="str">
        <f t="shared" ca="1" si="129"/>
        <v/>
      </c>
      <c r="AE354" s="51" t="str">
        <f t="shared" ca="1" si="130"/>
        <v/>
      </c>
      <c r="AF354" s="51" t="str">
        <f t="shared" ca="1" si="131"/>
        <v/>
      </c>
      <c r="AG354" s="51" t="str">
        <f t="shared" ca="1" si="132"/>
        <v/>
      </c>
      <c r="AH354" s="191" t="str">
        <f t="shared" ca="1" si="133"/>
        <v/>
      </c>
      <c r="AI354" s="51" t="str">
        <f t="shared" ca="1" si="134"/>
        <v/>
      </c>
      <c r="AJ354" s="51" t="str">
        <f t="shared" ca="1" si="135"/>
        <v/>
      </c>
      <c r="AK354" s="51" t="str">
        <f t="shared" ca="1" si="136"/>
        <v/>
      </c>
      <c r="AL354" s="51" t="str">
        <f t="shared" ca="1" si="137"/>
        <v/>
      </c>
      <c r="AM354" s="51" t="str">
        <f t="shared" ca="1" si="138"/>
        <v/>
      </c>
      <c r="AN354" s="51" t="str">
        <f t="shared" ca="1" si="139"/>
        <v/>
      </c>
      <c r="AO354" s="51" t="str">
        <f t="shared" ca="1" si="140"/>
        <v/>
      </c>
      <c r="AP354" s="51" t="str">
        <f t="shared" ca="1" si="141"/>
        <v/>
      </c>
    </row>
    <row r="355" spans="30:42">
      <c r="AD355" s="51" t="str">
        <f t="shared" ref="AD355:AD370" ca="1" si="142">IFERROR(INDEX(AC:AC,MATCH(SMALL($AU:$AU,ROW()+3),$AU:$AU,0)),"")</f>
        <v/>
      </c>
      <c r="AE355" s="51" t="str">
        <f t="shared" ref="AE355:AE370" ca="1" si="143">IFERROR(INDEX(R:R,MATCH(SMALL($AU:$AU,ROW()+3),$AU:$AU,0)),"")</f>
        <v/>
      </c>
      <c r="AF355" s="51" t="str">
        <f t="shared" ref="AF355:AF370" ca="1" si="144">IFERROR(INDEX(S:S,MATCH(SMALL($AU:$AU,ROW()+3),$AU:$AU,0)),"")</f>
        <v/>
      </c>
      <c r="AG355" s="51" t="str">
        <f t="shared" ref="AG355:AG370" ca="1" si="145">IFERROR(INDEX(T:T,MATCH(SMALL($AU:$AU,ROW()+3),$AU:$AU,0)),"")</f>
        <v/>
      </c>
      <c r="AH355" s="191" t="str">
        <f t="shared" ref="AH355:AH370" ca="1" si="146">IFERROR(INDEX(U:U,MATCH(SMALL($AU:$AU,ROW()+3),$AU:$AU,0)),"")</f>
        <v/>
      </c>
      <c r="AI355" s="51" t="str">
        <f t="shared" ref="AI355:AI370" ca="1" si="147">IFERROR(INDEX(V:V,MATCH(SMALL($AU:$AU,ROW()+3),$AU:$AU,0)),"")</f>
        <v/>
      </c>
      <c r="AJ355" s="51" t="str">
        <f t="shared" ref="AJ355:AJ370" ca="1" si="148">IFERROR(INDEX(W:W,MATCH(SMALL($AU:$AU,ROW()+3),$AU:$AU,0)),"")</f>
        <v/>
      </c>
      <c r="AK355" s="51" t="str">
        <f t="shared" ref="AK355:AK370" ca="1" si="149">IFERROR(INDEX(X:X,MATCH(SMALL($AU:$AU,ROW()+3),$AU:$AU,0)),"")</f>
        <v/>
      </c>
      <c r="AL355" s="51" t="str">
        <f t="shared" ref="AL355:AL370" ca="1" si="150">IFERROR(INDEX(Y:Y,MATCH(SMALL($AU:$AU,ROW()+3),$AU:$AU,0)),"")</f>
        <v/>
      </c>
      <c r="AM355" s="51" t="str">
        <f t="shared" ref="AM355:AM370" ca="1" si="151">IFERROR(INDEX(Z:Z,MATCH(SMALL($AU:$AU,ROW()+3),$AU:$AU,0)),"")</f>
        <v/>
      </c>
      <c r="AN355" s="51" t="str">
        <f t="shared" ref="AN355:AN370" ca="1" si="152">IFERROR(INDEX(AA:AA,MATCH(SMALL($AU:$AU,ROW()+3),$AU:$AU,0)),"")</f>
        <v/>
      </c>
      <c r="AO355" s="51" t="str">
        <f t="shared" ref="AO355:AO370" ca="1" si="153">IFERROR(INDEX(AB:AB,MATCH(SMALL($AU:$AU,ROW()+3),$AU:$AU,0)),"")</f>
        <v/>
      </c>
      <c r="AP355" s="51" t="str">
        <f t="shared" ref="AP355:AP370" ca="1" si="154">IFERROR(INDEX(AC:AC,MATCH(SMALL($AU:$AU,ROW()+3),$AU:$AU,0)),"")</f>
        <v/>
      </c>
    </row>
    <row r="356" spans="30:42">
      <c r="AD356" s="51" t="str">
        <f t="shared" ca="1" si="142"/>
        <v/>
      </c>
      <c r="AE356" s="51" t="str">
        <f t="shared" ca="1" si="143"/>
        <v/>
      </c>
      <c r="AF356" s="51" t="str">
        <f t="shared" ca="1" si="144"/>
        <v/>
      </c>
      <c r="AG356" s="51" t="str">
        <f t="shared" ca="1" si="145"/>
        <v/>
      </c>
      <c r="AH356" s="191" t="str">
        <f t="shared" ca="1" si="146"/>
        <v/>
      </c>
      <c r="AI356" s="51" t="str">
        <f t="shared" ca="1" si="147"/>
        <v/>
      </c>
      <c r="AJ356" s="51" t="str">
        <f t="shared" ca="1" si="148"/>
        <v/>
      </c>
      <c r="AK356" s="51" t="str">
        <f t="shared" ca="1" si="149"/>
        <v/>
      </c>
      <c r="AL356" s="51" t="str">
        <f t="shared" ca="1" si="150"/>
        <v/>
      </c>
      <c r="AM356" s="51" t="str">
        <f t="shared" ca="1" si="151"/>
        <v/>
      </c>
      <c r="AN356" s="51" t="str">
        <f t="shared" ca="1" si="152"/>
        <v/>
      </c>
      <c r="AO356" s="51" t="str">
        <f t="shared" ca="1" si="153"/>
        <v/>
      </c>
      <c r="AP356" s="51" t="str">
        <f t="shared" ca="1" si="154"/>
        <v/>
      </c>
    </row>
    <row r="357" spans="30:42">
      <c r="AD357" s="51" t="str">
        <f t="shared" ca="1" si="142"/>
        <v/>
      </c>
      <c r="AE357" s="51" t="str">
        <f t="shared" ca="1" si="143"/>
        <v/>
      </c>
      <c r="AF357" s="51" t="str">
        <f t="shared" ca="1" si="144"/>
        <v/>
      </c>
      <c r="AG357" s="51" t="str">
        <f t="shared" ca="1" si="145"/>
        <v/>
      </c>
      <c r="AH357" s="191" t="str">
        <f t="shared" ca="1" si="146"/>
        <v/>
      </c>
      <c r="AI357" s="51" t="str">
        <f t="shared" ca="1" si="147"/>
        <v/>
      </c>
      <c r="AJ357" s="51" t="str">
        <f t="shared" ca="1" si="148"/>
        <v/>
      </c>
      <c r="AK357" s="51" t="str">
        <f t="shared" ca="1" si="149"/>
        <v/>
      </c>
      <c r="AL357" s="51" t="str">
        <f t="shared" ca="1" si="150"/>
        <v/>
      </c>
      <c r="AM357" s="51" t="str">
        <f t="shared" ca="1" si="151"/>
        <v/>
      </c>
      <c r="AN357" s="51" t="str">
        <f t="shared" ca="1" si="152"/>
        <v/>
      </c>
      <c r="AO357" s="51" t="str">
        <f t="shared" ca="1" si="153"/>
        <v/>
      </c>
      <c r="AP357" s="51" t="str">
        <f t="shared" ca="1" si="154"/>
        <v/>
      </c>
    </row>
    <row r="358" spans="30:42">
      <c r="AD358" s="51" t="str">
        <f t="shared" ca="1" si="142"/>
        <v/>
      </c>
      <c r="AE358" s="51" t="str">
        <f t="shared" ca="1" si="143"/>
        <v/>
      </c>
      <c r="AF358" s="51" t="str">
        <f t="shared" ca="1" si="144"/>
        <v/>
      </c>
      <c r="AG358" s="51" t="str">
        <f t="shared" ca="1" si="145"/>
        <v/>
      </c>
      <c r="AH358" s="191" t="str">
        <f t="shared" ca="1" si="146"/>
        <v/>
      </c>
      <c r="AI358" s="51" t="str">
        <f t="shared" ca="1" si="147"/>
        <v/>
      </c>
      <c r="AJ358" s="51" t="str">
        <f t="shared" ca="1" si="148"/>
        <v/>
      </c>
      <c r="AK358" s="51" t="str">
        <f t="shared" ca="1" si="149"/>
        <v/>
      </c>
      <c r="AL358" s="51" t="str">
        <f t="shared" ca="1" si="150"/>
        <v/>
      </c>
      <c r="AM358" s="51" t="str">
        <f t="shared" ca="1" si="151"/>
        <v/>
      </c>
      <c r="AN358" s="51" t="str">
        <f t="shared" ca="1" si="152"/>
        <v/>
      </c>
      <c r="AO358" s="51" t="str">
        <f t="shared" ca="1" si="153"/>
        <v/>
      </c>
      <c r="AP358" s="51" t="str">
        <f t="shared" ca="1" si="154"/>
        <v/>
      </c>
    </row>
    <row r="359" spans="30:42">
      <c r="AD359" s="51" t="str">
        <f t="shared" ca="1" si="142"/>
        <v/>
      </c>
      <c r="AE359" s="51" t="str">
        <f t="shared" ca="1" si="143"/>
        <v/>
      </c>
      <c r="AF359" s="51" t="str">
        <f t="shared" ca="1" si="144"/>
        <v/>
      </c>
      <c r="AG359" s="51" t="str">
        <f t="shared" ca="1" si="145"/>
        <v/>
      </c>
      <c r="AH359" s="191" t="str">
        <f t="shared" ca="1" si="146"/>
        <v/>
      </c>
      <c r="AI359" s="51" t="str">
        <f t="shared" ca="1" si="147"/>
        <v/>
      </c>
      <c r="AJ359" s="51" t="str">
        <f t="shared" ca="1" si="148"/>
        <v/>
      </c>
      <c r="AK359" s="51" t="str">
        <f t="shared" ca="1" si="149"/>
        <v/>
      </c>
      <c r="AL359" s="51" t="str">
        <f t="shared" ca="1" si="150"/>
        <v/>
      </c>
      <c r="AM359" s="51" t="str">
        <f t="shared" ca="1" si="151"/>
        <v/>
      </c>
      <c r="AN359" s="51" t="str">
        <f t="shared" ca="1" si="152"/>
        <v/>
      </c>
      <c r="AO359" s="51" t="str">
        <f t="shared" ca="1" si="153"/>
        <v/>
      </c>
      <c r="AP359" s="51" t="str">
        <f t="shared" ca="1" si="154"/>
        <v/>
      </c>
    </row>
    <row r="360" spans="30:42">
      <c r="AD360" s="51" t="str">
        <f t="shared" ca="1" si="142"/>
        <v/>
      </c>
      <c r="AE360" s="51" t="str">
        <f t="shared" ca="1" si="143"/>
        <v/>
      </c>
      <c r="AF360" s="51" t="str">
        <f t="shared" ca="1" si="144"/>
        <v/>
      </c>
      <c r="AG360" s="51" t="str">
        <f t="shared" ca="1" si="145"/>
        <v/>
      </c>
      <c r="AH360" s="191" t="str">
        <f t="shared" ca="1" si="146"/>
        <v/>
      </c>
      <c r="AI360" s="51" t="str">
        <f t="shared" ca="1" si="147"/>
        <v/>
      </c>
      <c r="AJ360" s="51" t="str">
        <f t="shared" ca="1" si="148"/>
        <v/>
      </c>
      <c r="AK360" s="51" t="str">
        <f t="shared" ca="1" si="149"/>
        <v/>
      </c>
      <c r="AL360" s="51" t="str">
        <f t="shared" ca="1" si="150"/>
        <v/>
      </c>
      <c r="AM360" s="51" t="str">
        <f t="shared" ca="1" si="151"/>
        <v/>
      </c>
      <c r="AN360" s="51" t="str">
        <f t="shared" ca="1" si="152"/>
        <v/>
      </c>
      <c r="AO360" s="51" t="str">
        <f t="shared" ca="1" si="153"/>
        <v/>
      </c>
      <c r="AP360" s="51" t="str">
        <f t="shared" ca="1" si="154"/>
        <v/>
      </c>
    </row>
    <row r="361" spans="30:42">
      <c r="AD361" s="51" t="str">
        <f t="shared" ca="1" si="142"/>
        <v/>
      </c>
      <c r="AE361" s="51" t="str">
        <f t="shared" ca="1" si="143"/>
        <v/>
      </c>
      <c r="AF361" s="51" t="str">
        <f t="shared" ca="1" si="144"/>
        <v/>
      </c>
      <c r="AG361" s="51" t="str">
        <f t="shared" ca="1" si="145"/>
        <v/>
      </c>
      <c r="AH361" s="191" t="str">
        <f t="shared" ca="1" si="146"/>
        <v/>
      </c>
      <c r="AI361" s="51" t="str">
        <f t="shared" ca="1" si="147"/>
        <v/>
      </c>
      <c r="AJ361" s="51" t="str">
        <f t="shared" ca="1" si="148"/>
        <v/>
      </c>
      <c r="AK361" s="51" t="str">
        <f t="shared" ca="1" si="149"/>
        <v/>
      </c>
      <c r="AL361" s="51" t="str">
        <f t="shared" ca="1" si="150"/>
        <v/>
      </c>
      <c r="AM361" s="51" t="str">
        <f t="shared" ca="1" si="151"/>
        <v/>
      </c>
      <c r="AN361" s="51" t="str">
        <f t="shared" ca="1" si="152"/>
        <v/>
      </c>
      <c r="AO361" s="51" t="str">
        <f t="shared" ca="1" si="153"/>
        <v/>
      </c>
      <c r="AP361" s="51" t="str">
        <f t="shared" ca="1" si="154"/>
        <v/>
      </c>
    </row>
    <row r="362" spans="30:42">
      <c r="AD362" s="51" t="str">
        <f t="shared" ca="1" si="142"/>
        <v/>
      </c>
      <c r="AE362" s="51" t="str">
        <f t="shared" ca="1" si="143"/>
        <v/>
      </c>
      <c r="AF362" s="51" t="str">
        <f t="shared" ca="1" si="144"/>
        <v/>
      </c>
      <c r="AG362" s="51" t="str">
        <f t="shared" ca="1" si="145"/>
        <v/>
      </c>
      <c r="AH362" s="191" t="str">
        <f t="shared" ca="1" si="146"/>
        <v/>
      </c>
      <c r="AI362" s="51" t="str">
        <f t="shared" ca="1" si="147"/>
        <v/>
      </c>
      <c r="AJ362" s="51" t="str">
        <f t="shared" ca="1" si="148"/>
        <v/>
      </c>
      <c r="AK362" s="51" t="str">
        <f t="shared" ca="1" si="149"/>
        <v/>
      </c>
      <c r="AL362" s="51" t="str">
        <f t="shared" ca="1" si="150"/>
        <v/>
      </c>
      <c r="AM362" s="51" t="str">
        <f t="shared" ca="1" si="151"/>
        <v/>
      </c>
      <c r="AN362" s="51" t="str">
        <f t="shared" ca="1" si="152"/>
        <v/>
      </c>
      <c r="AO362" s="51" t="str">
        <f t="shared" ca="1" si="153"/>
        <v/>
      </c>
      <c r="AP362" s="51" t="str">
        <f t="shared" ca="1" si="154"/>
        <v/>
      </c>
    </row>
    <row r="363" spans="30:42">
      <c r="AD363" s="51" t="str">
        <f t="shared" ca="1" si="142"/>
        <v/>
      </c>
      <c r="AE363" s="51" t="str">
        <f t="shared" ca="1" si="143"/>
        <v/>
      </c>
      <c r="AF363" s="51" t="str">
        <f t="shared" ca="1" si="144"/>
        <v/>
      </c>
      <c r="AG363" s="51" t="str">
        <f t="shared" ca="1" si="145"/>
        <v/>
      </c>
      <c r="AH363" s="191" t="str">
        <f t="shared" ca="1" si="146"/>
        <v/>
      </c>
      <c r="AI363" s="51" t="str">
        <f t="shared" ca="1" si="147"/>
        <v/>
      </c>
      <c r="AJ363" s="51" t="str">
        <f t="shared" ca="1" si="148"/>
        <v/>
      </c>
      <c r="AK363" s="51" t="str">
        <f t="shared" ca="1" si="149"/>
        <v/>
      </c>
      <c r="AL363" s="51" t="str">
        <f t="shared" ca="1" si="150"/>
        <v/>
      </c>
      <c r="AM363" s="51" t="str">
        <f t="shared" ca="1" si="151"/>
        <v/>
      </c>
      <c r="AN363" s="51" t="str">
        <f t="shared" ca="1" si="152"/>
        <v/>
      </c>
      <c r="AO363" s="51" t="str">
        <f t="shared" ca="1" si="153"/>
        <v/>
      </c>
      <c r="AP363" s="51" t="str">
        <f t="shared" ca="1" si="154"/>
        <v/>
      </c>
    </row>
    <row r="364" spans="30:42">
      <c r="AD364" s="51" t="str">
        <f t="shared" ca="1" si="142"/>
        <v/>
      </c>
      <c r="AE364" s="51" t="str">
        <f t="shared" ca="1" si="143"/>
        <v/>
      </c>
      <c r="AF364" s="51" t="str">
        <f t="shared" ca="1" si="144"/>
        <v/>
      </c>
      <c r="AG364" s="51" t="str">
        <f t="shared" ca="1" si="145"/>
        <v/>
      </c>
      <c r="AH364" s="191" t="str">
        <f t="shared" ca="1" si="146"/>
        <v/>
      </c>
      <c r="AI364" s="51" t="str">
        <f t="shared" ca="1" si="147"/>
        <v/>
      </c>
      <c r="AJ364" s="51" t="str">
        <f t="shared" ca="1" si="148"/>
        <v/>
      </c>
      <c r="AK364" s="51" t="str">
        <f t="shared" ca="1" si="149"/>
        <v/>
      </c>
      <c r="AL364" s="51" t="str">
        <f t="shared" ca="1" si="150"/>
        <v/>
      </c>
      <c r="AM364" s="51" t="str">
        <f t="shared" ca="1" si="151"/>
        <v/>
      </c>
      <c r="AN364" s="51" t="str">
        <f t="shared" ca="1" si="152"/>
        <v/>
      </c>
      <c r="AO364" s="51" t="str">
        <f t="shared" ca="1" si="153"/>
        <v/>
      </c>
      <c r="AP364" s="51" t="str">
        <f t="shared" ca="1" si="154"/>
        <v/>
      </c>
    </row>
    <row r="365" spans="30:42">
      <c r="AD365" s="51" t="str">
        <f t="shared" ca="1" si="142"/>
        <v/>
      </c>
      <c r="AE365" s="51" t="str">
        <f t="shared" ca="1" si="143"/>
        <v/>
      </c>
      <c r="AF365" s="51" t="str">
        <f t="shared" ca="1" si="144"/>
        <v/>
      </c>
      <c r="AG365" s="51" t="str">
        <f t="shared" ca="1" si="145"/>
        <v/>
      </c>
      <c r="AH365" s="191" t="str">
        <f t="shared" ca="1" si="146"/>
        <v/>
      </c>
      <c r="AI365" s="51" t="str">
        <f t="shared" ca="1" si="147"/>
        <v/>
      </c>
      <c r="AJ365" s="51" t="str">
        <f t="shared" ca="1" si="148"/>
        <v/>
      </c>
      <c r="AK365" s="51" t="str">
        <f t="shared" ca="1" si="149"/>
        <v/>
      </c>
      <c r="AL365" s="51" t="str">
        <f t="shared" ca="1" si="150"/>
        <v/>
      </c>
      <c r="AM365" s="51" t="str">
        <f t="shared" ca="1" si="151"/>
        <v/>
      </c>
      <c r="AN365" s="51" t="str">
        <f t="shared" ca="1" si="152"/>
        <v/>
      </c>
      <c r="AO365" s="51" t="str">
        <f t="shared" ca="1" si="153"/>
        <v/>
      </c>
      <c r="AP365" s="51" t="str">
        <f t="shared" ca="1" si="154"/>
        <v/>
      </c>
    </row>
    <row r="366" spans="30:42">
      <c r="AD366" s="51" t="str">
        <f t="shared" ca="1" si="142"/>
        <v/>
      </c>
      <c r="AE366" s="51" t="str">
        <f t="shared" ca="1" si="143"/>
        <v/>
      </c>
      <c r="AF366" s="51" t="str">
        <f t="shared" ca="1" si="144"/>
        <v/>
      </c>
      <c r="AG366" s="51" t="str">
        <f t="shared" ca="1" si="145"/>
        <v/>
      </c>
      <c r="AH366" s="191" t="str">
        <f t="shared" ca="1" si="146"/>
        <v/>
      </c>
      <c r="AI366" s="51" t="str">
        <f t="shared" ca="1" si="147"/>
        <v/>
      </c>
      <c r="AJ366" s="51" t="str">
        <f t="shared" ca="1" si="148"/>
        <v/>
      </c>
      <c r="AK366" s="51" t="str">
        <f t="shared" ca="1" si="149"/>
        <v/>
      </c>
      <c r="AL366" s="51" t="str">
        <f t="shared" ca="1" si="150"/>
        <v/>
      </c>
      <c r="AM366" s="51" t="str">
        <f t="shared" ca="1" si="151"/>
        <v/>
      </c>
      <c r="AN366" s="51" t="str">
        <f t="shared" ca="1" si="152"/>
        <v/>
      </c>
      <c r="AO366" s="51" t="str">
        <f t="shared" ca="1" si="153"/>
        <v/>
      </c>
      <c r="AP366" s="51" t="str">
        <f t="shared" ca="1" si="154"/>
        <v/>
      </c>
    </row>
    <row r="367" spans="30:42">
      <c r="AD367" s="51" t="str">
        <f t="shared" ca="1" si="142"/>
        <v/>
      </c>
      <c r="AE367" s="51" t="str">
        <f t="shared" ca="1" si="143"/>
        <v/>
      </c>
      <c r="AF367" s="51" t="str">
        <f t="shared" ca="1" si="144"/>
        <v/>
      </c>
      <c r="AG367" s="51" t="str">
        <f t="shared" ca="1" si="145"/>
        <v/>
      </c>
      <c r="AH367" s="191" t="str">
        <f t="shared" ca="1" si="146"/>
        <v/>
      </c>
      <c r="AI367" s="51" t="str">
        <f t="shared" ca="1" si="147"/>
        <v/>
      </c>
      <c r="AJ367" s="51" t="str">
        <f t="shared" ca="1" si="148"/>
        <v/>
      </c>
      <c r="AK367" s="51" t="str">
        <f t="shared" ca="1" si="149"/>
        <v/>
      </c>
      <c r="AL367" s="51" t="str">
        <f t="shared" ca="1" si="150"/>
        <v/>
      </c>
      <c r="AM367" s="51" t="str">
        <f t="shared" ca="1" si="151"/>
        <v/>
      </c>
      <c r="AN367" s="51" t="str">
        <f t="shared" ca="1" si="152"/>
        <v/>
      </c>
      <c r="AO367" s="51" t="str">
        <f t="shared" ca="1" si="153"/>
        <v/>
      </c>
      <c r="AP367" s="51" t="str">
        <f t="shared" ca="1" si="154"/>
        <v/>
      </c>
    </row>
    <row r="368" spans="30:42">
      <c r="AD368" s="51" t="str">
        <f t="shared" ca="1" si="142"/>
        <v/>
      </c>
      <c r="AE368" s="51" t="str">
        <f t="shared" ca="1" si="143"/>
        <v/>
      </c>
      <c r="AF368" s="51" t="str">
        <f t="shared" ca="1" si="144"/>
        <v/>
      </c>
      <c r="AG368" s="51" t="str">
        <f t="shared" ca="1" si="145"/>
        <v/>
      </c>
      <c r="AH368" s="191" t="str">
        <f t="shared" ca="1" si="146"/>
        <v/>
      </c>
      <c r="AI368" s="51" t="str">
        <f t="shared" ca="1" si="147"/>
        <v/>
      </c>
      <c r="AJ368" s="51" t="str">
        <f t="shared" ca="1" si="148"/>
        <v/>
      </c>
      <c r="AK368" s="51" t="str">
        <f t="shared" ca="1" si="149"/>
        <v/>
      </c>
      <c r="AL368" s="51" t="str">
        <f t="shared" ca="1" si="150"/>
        <v/>
      </c>
      <c r="AM368" s="51" t="str">
        <f t="shared" ca="1" si="151"/>
        <v/>
      </c>
      <c r="AN368" s="51" t="str">
        <f t="shared" ca="1" si="152"/>
        <v/>
      </c>
      <c r="AO368" s="51" t="str">
        <f t="shared" ca="1" si="153"/>
        <v/>
      </c>
      <c r="AP368" s="51" t="str">
        <f t="shared" ca="1" si="154"/>
        <v/>
      </c>
    </row>
    <row r="369" spans="30:42">
      <c r="AD369" s="51" t="str">
        <f t="shared" ca="1" si="142"/>
        <v/>
      </c>
      <c r="AE369" s="51" t="str">
        <f t="shared" ca="1" si="143"/>
        <v/>
      </c>
      <c r="AF369" s="51" t="str">
        <f t="shared" ca="1" si="144"/>
        <v/>
      </c>
      <c r="AG369" s="51" t="str">
        <f t="shared" ca="1" si="145"/>
        <v/>
      </c>
      <c r="AH369" s="191" t="str">
        <f t="shared" ca="1" si="146"/>
        <v/>
      </c>
      <c r="AI369" s="51" t="str">
        <f t="shared" ca="1" si="147"/>
        <v/>
      </c>
      <c r="AJ369" s="51" t="str">
        <f t="shared" ca="1" si="148"/>
        <v/>
      </c>
      <c r="AK369" s="51" t="str">
        <f t="shared" ca="1" si="149"/>
        <v/>
      </c>
      <c r="AL369" s="51" t="str">
        <f t="shared" ca="1" si="150"/>
        <v/>
      </c>
      <c r="AM369" s="51" t="str">
        <f t="shared" ca="1" si="151"/>
        <v/>
      </c>
      <c r="AN369" s="51" t="str">
        <f t="shared" ca="1" si="152"/>
        <v/>
      </c>
      <c r="AO369" s="51" t="str">
        <f t="shared" ca="1" si="153"/>
        <v/>
      </c>
      <c r="AP369" s="51" t="str">
        <f t="shared" ca="1" si="154"/>
        <v/>
      </c>
    </row>
    <row r="370" spans="30:42">
      <c r="AD370" s="51" t="str">
        <f t="shared" ca="1" si="142"/>
        <v/>
      </c>
      <c r="AE370" s="51" t="str">
        <f t="shared" ca="1" si="143"/>
        <v/>
      </c>
      <c r="AF370" s="51" t="str">
        <f t="shared" ca="1" si="144"/>
        <v/>
      </c>
      <c r="AG370" s="51" t="str">
        <f t="shared" ca="1" si="145"/>
        <v/>
      </c>
      <c r="AH370" s="191" t="str">
        <f t="shared" ca="1" si="146"/>
        <v/>
      </c>
      <c r="AI370" s="51" t="str">
        <f t="shared" ca="1" si="147"/>
        <v/>
      </c>
      <c r="AJ370" s="51" t="str">
        <f t="shared" ca="1" si="148"/>
        <v/>
      </c>
      <c r="AK370" s="51" t="str">
        <f t="shared" ca="1" si="149"/>
        <v/>
      </c>
      <c r="AL370" s="51" t="str">
        <f t="shared" ca="1" si="150"/>
        <v/>
      </c>
      <c r="AM370" s="51" t="str">
        <f t="shared" ca="1" si="151"/>
        <v/>
      </c>
      <c r="AN370" s="51" t="str">
        <f t="shared" ca="1" si="152"/>
        <v/>
      </c>
      <c r="AO370" s="51" t="str">
        <f t="shared" ca="1" si="153"/>
        <v/>
      </c>
      <c r="AP370" s="51" t="str">
        <f t="shared" ca="1" si="154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D2" sqref="D2"/>
    </sheetView>
  </sheetViews>
  <sheetFormatPr defaultRowHeight="22.2"/>
  <cols>
    <col min="1" max="1" width="2.8984375" style="54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1" customWidth="1"/>
    <col min="8" max="8" width="8.5" style="29" hidden="1" customWidth="1"/>
    <col min="9" max="9" width="8.5" style="29" customWidth="1"/>
    <col min="10" max="12" width="7.59765625" style="29" customWidth="1"/>
    <col min="13" max="13" width="12.19921875" style="29" customWidth="1"/>
    <col min="14" max="14" width="4.19921875" style="38" customWidth="1"/>
    <col min="15" max="15" width="2.796875" style="29" customWidth="1"/>
    <col min="16" max="16" width="2.796875" style="54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1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8" customWidth="1"/>
    <col min="30" max="30" width="2.796875" style="29" customWidth="1"/>
    <col min="31" max="31" width="2.796875" style="54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1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8" customWidth="1"/>
    <col min="45" max="45" width="2.796875" style="29" customWidth="1"/>
    <col min="46" max="46" width="2.796875" style="54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1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8" customWidth="1"/>
    <col min="60" max="60" width="2.796875" style="29" customWidth="1"/>
    <col min="61" max="61" width="2.8984375" style="54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1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8" customWidth="1"/>
    <col min="75" max="75" width="2.796875" style="29" customWidth="1"/>
    <col min="76" max="76" width="2.796875" style="54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1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8" customWidth="1"/>
    <col min="90" max="90" width="2.796875" style="29" customWidth="1"/>
    <col min="91" max="91" width="2.796875" style="54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1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8" customWidth="1"/>
    <col min="105" max="105" width="2.796875" style="29" customWidth="1"/>
    <col min="106" max="106" width="2.796875" style="54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1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8" customWidth="1"/>
    <col min="120" max="120" width="2.796875" style="29" customWidth="1"/>
    <col min="121" max="121" width="2.796875" style="54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1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8" customWidth="1"/>
    <col min="135" max="135" width="2.796875" style="29" customWidth="1"/>
    <col min="136" max="136" width="2.796875" style="54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1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8" customWidth="1"/>
    <col min="150" max="150" width="2.796875" style="29" customWidth="1"/>
  </cols>
  <sheetData>
    <row r="1" spans="1:150" s="32" customFormat="1" ht="25.8" customHeight="1">
      <c r="A1" s="31">
        <v>1</v>
      </c>
      <c r="B1" s="43" t="e">
        <f ca="1">IF(C1&lt;&gt;"",
MID(貼り付け用!$A$2, FIND("年",貼り付け用!$A$2)+1,2)&amp;"/"&amp;MID(貼り付け用!$A$2, FIND("月",貼り付け用!$A$2)+1,2),"")</f>
        <v>#VALUE!</v>
      </c>
      <c r="C1" s="250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>先生用</v>
      </c>
      <c r="D1" s="251"/>
      <c r="E1" s="251"/>
      <c r="F1" s="251"/>
      <c r="G1" s="42" t="str">
        <f t="array" aca="1" ref="G1" ca="1">IF(C1&lt;&gt;"",
IF(AND(INDIRECT("'盛付札（関数）'!AE"&amp;A1)&gt;=124,INDIRECT("'盛付札（関数）'!AE"&amp;A1)&lt;=144),"",
"様"),"")</f>
        <v>様</v>
      </c>
      <c r="H1" s="36">
        <f>A1+1</f>
        <v>2</v>
      </c>
      <c r="I1" s="43" t="e">
        <f ca="1">IF(J1&lt;&gt;"",
MID(貼り付け用!$A$2, FIND("年",貼り付け用!$A$2)+1,2)&amp;"/"&amp;MID(貼り付け用!$A$2, FIND("月",貼り付け用!$A$2)+1,2),"")</f>
        <v>#VALUE!</v>
      </c>
      <c r="J1" s="250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>社食</v>
      </c>
      <c r="K1" s="251"/>
      <c r="L1" s="251"/>
      <c r="M1" s="251"/>
      <c r="N1" s="42" t="str">
        <f t="array" aca="1" ref="N1" ca="1">IF(J1&lt;&gt;"",
IF(AND(INDIRECT("'盛付札（関数）'!AE"&amp;H1)&gt;=124,INDIRECT("'盛付札（関数）'!AE"&amp;H1)&lt;=144),"",
"様"),"")</f>
        <v>様</v>
      </c>
      <c r="O1" s="22"/>
      <c r="P1" s="31">
        <f>H41+1</f>
        <v>13</v>
      </c>
      <c r="Q1" s="43" t="str">
        <f ca="1">IF(R1&lt;&gt;"",
MID(貼り付け用!$A$2, FIND("年",貼り付け用!$A$2)+1,2)&amp;"/"&amp;MID(貼り付け用!$A$2, FIND("月",貼り付け用!$A$2)+1,2),"")</f>
        <v/>
      </c>
      <c r="R1" s="250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51"/>
      <c r="T1" s="251"/>
      <c r="U1" s="251"/>
      <c r="V1" s="42" t="str">
        <f t="array" aca="1" ref="V1" ca="1">IF(R1&lt;&gt;"",
IF(AND(INDIRECT("'盛付札（関数）'!AE"&amp;P1)&gt;=124,INDIRECT("'盛付札（関数）'!AE"&amp;P1)&lt;=144),"",
"様"),"")</f>
        <v/>
      </c>
      <c r="W1" s="36">
        <f>P1+1</f>
        <v>14</v>
      </c>
      <c r="X1" s="43" t="str">
        <f ca="1">IF(Y1&lt;&gt;"",
MID(貼り付け用!$A$2, FIND("年",貼り付け用!$A$2)+1,2)&amp;"/"&amp;MID(貼り付け用!$A$2, FIND("月",貼り付け用!$A$2)+1,2),"")</f>
        <v/>
      </c>
      <c r="Y1" s="250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51"/>
      <c r="AA1" s="251"/>
      <c r="AB1" s="251"/>
      <c r="AC1" s="42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1">
        <f>W41+1</f>
        <v>25</v>
      </c>
      <c r="AF1" s="43" t="str">
        <f ca="1">IF(AG1&lt;&gt;"",
MID(貼り付け用!$A$2, FIND("年",貼り付け用!$A$2)+1,2)&amp;"/"&amp;MID(貼り付け用!$A$2, FIND("月",貼り付け用!$A$2)+1,2),"")</f>
        <v/>
      </c>
      <c r="AG1" s="250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51"/>
      <c r="AI1" s="251"/>
      <c r="AJ1" s="251"/>
      <c r="AK1" s="42" t="str">
        <f t="array" aca="1" ref="AK1" ca="1">IF(AG1&lt;&gt;"",
IF(AND(INDIRECT("'盛付札（関数）'!AE"&amp;AE1)&gt;=124,INDIRECT("'盛付札（関数）'!AE"&amp;AE1)&lt;=144),"",
"様"),"")</f>
        <v/>
      </c>
      <c r="AL1" s="36">
        <f>AE1+1</f>
        <v>26</v>
      </c>
      <c r="AM1" s="43" t="str">
        <f ca="1">IF(AN1&lt;&gt;"",
MID(貼り付け用!$A$2, FIND("年",貼り付け用!$A$2)+1,2)&amp;"/"&amp;MID(貼り付け用!$A$2, FIND("月",貼り付け用!$A$2)+1,2),"")</f>
        <v/>
      </c>
      <c r="AN1" s="250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51"/>
      <c r="AP1" s="251"/>
      <c r="AQ1" s="251"/>
      <c r="AR1" s="42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1">
        <f>AL41+1</f>
        <v>37</v>
      </c>
      <c r="AU1" s="43" t="str">
        <f ca="1">IF(AV1&lt;&gt;"",
MID(貼り付け用!$A$2, FIND("年",貼り付け用!$A$2)+1,2)&amp;"/"&amp;MID(貼り付け用!$A$2, FIND("月",貼り付け用!$A$2)+1,2),"")</f>
        <v/>
      </c>
      <c r="AV1" s="250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51"/>
      <c r="AX1" s="251"/>
      <c r="AY1" s="251"/>
      <c r="AZ1" s="42" t="str">
        <f t="array" aca="1" ref="AZ1" ca="1">IF(AV1&lt;&gt;"",
IF(AND(INDIRECT("'盛付札（関数）'!AE"&amp;AT1)&gt;=124,INDIRECT("'盛付札（関数）'!AE"&amp;AT1)&lt;=144),"",
"様"),"")</f>
        <v/>
      </c>
      <c r="BA1" s="36">
        <f>AT1+1</f>
        <v>38</v>
      </c>
      <c r="BB1" s="43" t="str">
        <f ca="1">IF(BC1&lt;&gt;"",
MID(貼り付け用!$A$2, FIND("年",貼り付け用!$A$2)+1,2)&amp;"/"&amp;MID(貼り付け用!$A$2, FIND("月",貼り付け用!$A$2)+1,2),"")</f>
        <v/>
      </c>
      <c r="BC1" s="250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51"/>
      <c r="BE1" s="251"/>
      <c r="BF1" s="251"/>
      <c r="BG1" s="42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1">
        <f>BA41+1</f>
        <v>49</v>
      </c>
      <c r="BJ1" s="43" t="str">
        <f ca="1">IF(BK1&lt;&gt;"",
MID(貼り付け用!$A$2, FIND("年",貼り付け用!$A$2)+1,2)&amp;"/"&amp;MID(貼り付け用!$A$2, FIND("月",貼り付け用!$A$2)+1,2),"")</f>
        <v/>
      </c>
      <c r="BK1" s="250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51"/>
      <c r="BM1" s="251"/>
      <c r="BN1" s="251"/>
      <c r="BO1" s="42" t="str">
        <f t="array" aca="1" ref="BO1" ca="1">IF(BK1&lt;&gt;"",
IF(AND(INDIRECT("'盛付札（関数）'!AE"&amp;BI1)&gt;=124,INDIRECT("'盛付札（関数）'!AE"&amp;BI1)&lt;=144),"",
"様"),"")</f>
        <v/>
      </c>
      <c r="BP1" s="36">
        <f>BI1+1</f>
        <v>50</v>
      </c>
      <c r="BQ1" s="43" t="str">
        <f ca="1">IF(BR1&lt;&gt;"",
MID(貼り付け用!$A$2, FIND("年",貼り付け用!$A$2)+1,2)&amp;"/"&amp;MID(貼り付け用!$A$2, FIND("月",貼り付け用!$A$2)+1,2),"")</f>
        <v/>
      </c>
      <c r="BR1" s="250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51"/>
      <c r="BT1" s="251"/>
      <c r="BU1" s="251"/>
      <c r="BV1" s="42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1">
        <f>BP41+1</f>
        <v>61</v>
      </c>
      <c r="BY1" s="43" t="str">
        <f ca="1">IF(BZ1&lt;&gt;"",
MID(貼り付け用!$A$2, FIND("年",貼り付け用!$A$2)+1,2)&amp;"/"&amp;MID(貼り付け用!$A$2, FIND("月",貼り付け用!$A$2)+1,2),"")</f>
        <v/>
      </c>
      <c r="BZ1" s="250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51"/>
      <c r="CB1" s="251"/>
      <c r="CC1" s="251"/>
      <c r="CD1" s="42" t="str">
        <f t="array" aca="1" ref="CD1" ca="1">IF(BZ1&lt;&gt;"",
IF(AND(INDIRECT("'盛付札（関数）'!AE"&amp;BX1)&gt;=124,INDIRECT("'盛付札（関数）'!AE"&amp;BX1)&lt;=144),"",
"様"),"")</f>
        <v/>
      </c>
      <c r="CE1" s="36">
        <f>BX1+1</f>
        <v>62</v>
      </c>
      <c r="CF1" s="43" t="str">
        <f ca="1">IF(CG1&lt;&gt;"",
MID(貼り付け用!$A$2, FIND("年",貼り付け用!$A$2)+1,2)&amp;"/"&amp;MID(貼り付け用!$A$2, FIND("月",貼り付け用!$A$2)+1,2),"")</f>
        <v/>
      </c>
      <c r="CG1" s="250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51"/>
      <c r="CI1" s="251"/>
      <c r="CJ1" s="251"/>
      <c r="CK1" s="42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1">
        <f>CE41+1</f>
        <v>73</v>
      </c>
      <c r="CN1" s="43" t="str">
        <f ca="1">IF(CO1&lt;&gt;"",
MID(貼り付け用!$A$2, FIND("年",貼り付け用!$A$2)+1,2)&amp;"/"&amp;MID(貼り付け用!$A$2, FIND("月",貼り付け用!$A$2)+1,2),"")</f>
        <v/>
      </c>
      <c r="CO1" s="250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51"/>
      <c r="CQ1" s="251"/>
      <c r="CR1" s="251"/>
      <c r="CS1" s="42" t="str">
        <f t="array" aca="1" ref="CS1" ca="1">IF(CO1&lt;&gt;"",
IF(AND(INDIRECT("'盛付札（関数）'!AE"&amp;CM1)&gt;=124,INDIRECT("'盛付札（関数）'!AE"&amp;CM1)&lt;=144),"",
"様"),"")</f>
        <v/>
      </c>
      <c r="CT1" s="36">
        <f>CM1+1</f>
        <v>74</v>
      </c>
      <c r="CU1" s="43" t="str">
        <f ca="1">IF(CV1&lt;&gt;"",
MID(貼り付け用!$A$2, FIND("年",貼り付け用!$A$2)+1,2)&amp;"/"&amp;MID(貼り付け用!$A$2, FIND("月",貼り付け用!$A$2)+1,2),"")</f>
        <v/>
      </c>
      <c r="CV1" s="250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51"/>
      <c r="CX1" s="251"/>
      <c r="CY1" s="251"/>
      <c r="CZ1" s="42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1">
        <f>CT41+1</f>
        <v>85</v>
      </c>
      <c r="DC1" s="43" t="str">
        <f ca="1">IF(DD1&lt;&gt;"",
MID(貼り付け用!$A$2, FIND("年",貼り付け用!$A$2)+1,2)&amp;"/"&amp;MID(貼り付け用!$A$2, FIND("月",貼り付け用!$A$2)+1,2),"")</f>
        <v/>
      </c>
      <c r="DD1" s="250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51"/>
      <c r="DF1" s="251"/>
      <c r="DG1" s="251"/>
      <c r="DH1" s="42" t="str">
        <f t="array" aca="1" ref="DH1" ca="1">IF(DD1&lt;&gt;"",
IF(AND(INDIRECT("'盛付札（関数）'!AE"&amp;DB1)&gt;=124,INDIRECT("'盛付札（関数）'!AE"&amp;DB1)&lt;=144),"",
"様"),"")</f>
        <v/>
      </c>
      <c r="DI1" s="36">
        <f>DB1+1</f>
        <v>86</v>
      </c>
      <c r="DJ1" s="43" t="str">
        <f ca="1">IF(DK1&lt;&gt;"",
MID(貼り付け用!$A$2, FIND("年",貼り付け用!$A$2)+1,2)&amp;"/"&amp;MID(貼り付け用!$A$2, FIND("月",貼り付け用!$A$2)+1,2),"")</f>
        <v/>
      </c>
      <c r="DK1" s="250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51"/>
      <c r="DM1" s="251"/>
      <c r="DN1" s="251"/>
      <c r="DO1" s="42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1">
        <f>DI41+1</f>
        <v>97</v>
      </c>
      <c r="DR1" s="43" t="str">
        <f ca="1">IF(DS1&lt;&gt;"",
MID(貼り付け用!$A$2, FIND("年",貼り付け用!$A$2)+1,2)&amp;"/"&amp;MID(貼り付け用!$A$2, FIND("月",貼り付け用!$A$2)+1,2),"")</f>
        <v/>
      </c>
      <c r="DS1" s="250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51"/>
      <c r="DU1" s="251"/>
      <c r="DV1" s="251"/>
      <c r="DW1" s="42" t="str">
        <f t="array" aca="1" ref="DW1" ca="1">IF(DS1&lt;&gt;"",
IF(AND(INDIRECT("'盛付札（関数）'!AE"&amp;DQ1)&gt;=124,INDIRECT("'盛付札（関数）'!AE"&amp;DQ1)&lt;=144),"",
"様"),"")</f>
        <v/>
      </c>
      <c r="DX1" s="36">
        <f>DQ1+1</f>
        <v>98</v>
      </c>
      <c r="DY1" s="43" t="str">
        <f ca="1">IF(DZ1&lt;&gt;"",
MID(貼り付け用!$A$2, FIND("年",貼り付け用!$A$2)+1,2)&amp;"/"&amp;MID(貼り付け用!$A$2, FIND("月",貼り付け用!$A$2)+1,2),"")</f>
        <v/>
      </c>
      <c r="DZ1" s="250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51"/>
      <c r="EB1" s="251"/>
      <c r="EC1" s="251"/>
      <c r="ED1" s="42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1">
        <f>DX41+1</f>
        <v>109</v>
      </c>
      <c r="EG1" s="43" t="str">
        <f ca="1">IF(EH1&lt;&gt;"",
MID(貼り付け用!$A$2, FIND("年",貼り付け用!$A$2)+1,2)&amp;"/"&amp;MID(貼り付け用!$A$2, FIND("月",貼り付け用!$A$2)+1,2),"")</f>
        <v/>
      </c>
      <c r="EH1" s="250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51"/>
      <c r="EJ1" s="251"/>
      <c r="EK1" s="251"/>
      <c r="EL1" s="42" t="str">
        <f t="array" aca="1" ref="EL1" ca="1">IF(EH1&lt;&gt;"",
IF(AND(INDIRECT("'盛付札（関数）'!AE"&amp;EF1)&gt;=124,INDIRECT("'盛付札（関数）'!AE"&amp;EF1)&lt;=144),"",
"様"),"")</f>
        <v/>
      </c>
      <c r="EM1" s="36">
        <f>EF1+1</f>
        <v>110</v>
      </c>
      <c r="EN1" s="43" t="str">
        <f ca="1">IF(EO1&lt;&gt;"",
MID(貼り付け用!$A$2, FIND("年",貼り付け用!$A$2)+1,2)&amp;"/"&amp;MID(貼り付け用!$A$2, FIND("月",貼り付け用!$A$2)+1,2),"")</f>
        <v/>
      </c>
      <c r="EO1" s="250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51"/>
      <c r="EQ1" s="251"/>
      <c r="ER1" s="251"/>
      <c r="ES1" s="42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32" customFormat="1">
      <c r="A2" s="31"/>
      <c r="B2" s="178"/>
      <c r="C2" s="47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INDIRECT("'盛付札（関数）'!AG"&amp;A1))),"")</f>
        <v/>
      </c>
      <c r="D2" s="41"/>
      <c r="E2" s="41"/>
      <c r="F2" s="48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9"/>
      <c r="H2" s="49"/>
      <c r="I2" s="178"/>
      <c r="J2" s="47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INDIRECT("'盛付札（関数）'!AG"&amp;H1))),"")</f>
        <v/>
      </c>
      <c r="K2" s="41"/>
      <c r="L2" s="41"/>
      <c r="M2" s="48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9"/>
      <c r="O2" s="22"/>
      <c r="P2" s="31"/>
      <c r="Q2" s="178"/>
      <c r="R2" s="47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INDIRECT("'盛付札（関数）'!AG"&amp;P1))),"")</f>
        <v/>
      </c>
      <c r="S2" s="41"/>
      <c r="T2" s="41"/>
      <c r="U2" s="48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9"/>
      <c r="W2" s="49"/>
      <c r="X2" s="178"/>
      <c r="Y2" s="47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INDIRECT("'盛付札（関数）'!AG"&amp;W1))),"")</f>
        <v/>
      </c>
      <c r="Z2" s="41"/>
      <c r="AA2" s="41"/>
      <c r="AB2" s="48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9"/>
      <c r="AD2" s="22"/>
      <c r="AE2" s="31"/>
      <c r="AF2" s="178"/>
      <c r="AG2" s="47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INDIRECT("'盛付札（関数）'!AG"&amp;AE1))),"")</f>
        <v/>
      </c>
      <c r="AH2" s="41"/>
      <c r="AI2" s="41"/>
      <c r="AJ2" s="48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9"/>
      <c r="AL2" s="49"/>
      <c r="AM2" s="178"/>
      <c r="AN2" s="47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INDIRECT("'盛付札（関数）'!AG"&amp;AL1))),"")</f>
        <v/>
      </c>
      <c r="AO2" s="41"/>
      <c r="AP2" s="41"/>
      <c r="AQ2" s="48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9"/>
      <c r="AS2" s="22"/>
      <c r="AT2" s="31"/>
      <c r="AU2" s="178"/>
      <c r="AV2" s="47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INDIRECT("'盛付札（関数）'!AG"&amp;AT1))),"")</f>
        <v/>
      </c>
      <c r="AW2" s="41"/>
      <c r="AX2" s="41"/>
      <c r="AY2" s="48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9"/>
      <c r="BA2" s="49"/>
      <c r="BB2" s="178"/>
      <c r="BC2" s="47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INDIRECT("'盛付札（関数）'!AG"&amp;BA1))),"")</f>
        <v/>
      </c>
      <c r="BD2" s="41"/>
      <c r="BE2" s="41"/>
      <c r="BF2" s="48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9"/>
      <c r="BH2" s="22"/>
      <c r="BI2" s="31"/>
      <c r="BJ2" s="178"/>
      <c r="BK2" s="47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INDIRECT("'盛付札（関数）'!AG"&amp;BI1))),"")</f>
        <v/>
      </c>
      <c r="BL2" s="41"/>
      <c r="BM2" s="41"/>
      <c r="BN2" s="48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9"/>
      <c r="BP2" s="49"/>
      <c r="BQ2" s="178"/>
      <c r="BR2" s="47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INDIRECT("'盛付札（関数）'!AG"&amp;BP1))),"")</f>
        <v/>
      </c>
      <c r="BS2" s="41"/>
      <c r="BT2" s="41"/>
      <c r="BU2" s="48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9"/>
      <c r="BW2" s="22"/>
      <c r="BX2" s="31"/>
      <c r="BY2" s="178"/>
      <c r="BZ2" s="47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INDIRECT("'盛付札（関数）'!AG"&amp;BX1))),"")</f>
        <v/>
      </c>
      <c r="CA2" s="41"/>
      <c r="CB2" s="41"/>
      <c r="CC2" s="48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9"/>
      <c r="CE2" s="49"/>
      <c r="CF2" s="178"/>
      <c r="CG2" s="47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INDIRECT("'盛付札（関数）'!AG"&amp;CE1))),"")</f>
        <v/>
      </c>
      <c r="CH2" s="41"/>
      <c r="CI2" s="41"/>
      <c r="CJ2" s="48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9"/>
      <c r="CL2" s="22"/>
      <c r="CM2" s="31"/>
      <c r="CN2" s="178"/>
      <c r="CO2" s="47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INDIRECT("'盛付札（関数）'!AG"&amp;CM1))),"")</f>
        <v/>
      </c>
      <c r="CP2" s="41"/>
      <c r="CQ2" s="41"/>
      <c r="CR2" s="48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9"/>
      <c r="CT2" s="49"/>
      <c r="CU2" s="178"/>
      <c r="CV2" s="47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INDIRECT("'盛付札（関数）'!AG"&amp;CT1))),"")</f>
        <v/>
      </c>
      <c r="CW2" s="41"/>
      <c r="CX2" s="41"/>
      <c r="CY2" s="48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9"/>
      <c r="DA2" s="22"/>
      <c r="DB2" s="31"/>
      <c r="DC2" s="178"/>
      <c r="DD2" s="47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INDIRECT("'盛付札（関数）'!AG"&amp;DB1))),"")</f>
        <v/>
      </c>
      <c r="DE2" s="41"/>
      <c r="DF2" s="41"/>
      <c r="DG2" s="48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9"/>
      <c r="DI2" s="49"/>
      <c r="DJ2" s="178"/>
      <c r="DK2" s="47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INDIRECT("'盛付札（関数）'!AG"&amp;DI1))),"")</f>
        <v/>
      </c>
      <c r="DL2" s="41"/>
      <c r="DM2" s="41"/>
      <c r="DN2" s="48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9"/>
      <c r="DP2" s="22"/>
      <c r="DQ2" s="31"/>
      <c r="DR2" s="178"/>
      <c r="DS2" s="47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INDIRECT("'盛付札（関数）'!AG"&amp;DQ1))),"")</f>
        <v/>
      </c>
      <c r="DT2" s="41"/>
      <c r="DU2" s="41"/>
      <c r="DV2" s="48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9"/>
      <c r="DX2" s="49"/>
      <c r="DY2" s="178"/>
      <c r="DZ2" s="47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INDIRECT("'盛付札（関数）'!AG"&amp;DX1))),"")</f>
        <v/>
      </c>
      <c r="EA2" s="41"/>
      <c r="EB2" s="41"/>
      <c r="EC2" s="48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9"/>
      <c r="EE2" s="22"/>
      <c r="EF2" s="31"/>
      <c r="EG2" s="178"/>
      <c r="EH2" s="47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INDIRECT("'盛付札（関数）'!AG"&amp;EF1))),"")</f>
        <v/>
      </c>
      <c r="EI2" s="41"/>
      <c r="EJ2" s="41"/>
      <c r="EK2" s="48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9"/>
      <c r="EM2" s="49"/>
      <c r="EN2" s="178"/>
      <c r="EO2" s="47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INDIRECT("'盛付札（関数）'!AG"&amp;EM1))),"")</f>
        <v/>
      </c>
      <c r="EP2" s="41"/>
      <c r="EQ2" s="41"/>
      <c r="ER2" s="48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9"/>
      <c r="ET2" s="22"/>
    </row>
    <row r="3" spans="1:150" s="32" customFormat="1">
      <c r="A3" s="31"/>
      <c r="B3" s="34"/>
      <c r="C3" s="248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49"/>
      <c r="E3" s="22"/>
      <c r="F3" s="32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IF(AND(INDIRECT("'盛付札（関数）'!AE"&amp;A1)&gt;=247,INDIRECT("'盛付札（関数）'!AE"&amp;A1)&lt;=261),"","園児"))),"")</f>
        <v/>
      </c>
      <c r="G3" s="40"/>
      <c r="H3" s="36"/>
      <c r="I3" s="34"/>
      <c r="J3" s="248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49"/>
      <c r="L3" s="22"/>
      <c r="M3" s="32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IF(AND(INDIRECT("'盛付札（関数）'!AE"&amp;H1)&gt;=247,INDIRECT("'盛付札（関数）'!AE"&amp;H1)&lt;=261),"","園児"))),"")</f>
        <v/>
      </c>
      <c r="N3" s="40"/>
      <c r="O3" s="22"/>
      <c r="P3" s="31"/>
      <c r="Q3" s="34"/>
      <c r="R3" s="248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49"/>
      <c r="T3" s="22"/>
      <c r="U3" s="32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IF(AND(INDIRECT("'盛付札（関数）'!AE"&amp;P1)&gt;=247,INDIRECT("'盛付札（関数）'!AE"&amp;P1)&lt;=261),"","園児"))),"")</f>
        <v/>
      </c>
      <c r="V3" s="40"/>
      <c r="W3" s="36"/>
      <c r="X3" s="34"/>
      <c r="Y3" s="248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49"/>
      <c r="AA3" s="22"/>
      <c r="AB3" s="32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IF(AND(INDIRECT("'盛付札（関数）'!AE"&amp;W1)&gt;=247,INDIRECT("'盛付札（関数）'!AE"&amp;W1)&lt;=261),"","園児"))),"")</f>
        <v/>
      </c>
      <c r="AC3" s="40"/>
      <c r="AD3" s="22"/>
      <c r="AE3" s="31"/>
      <c r="AF3" s="34"/>
      <c r="AG3" s="248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49"/>
      <c r="AI3" s="22"/>
      <c r="AJ3" s="32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IF(AND(INDIRECT("'盛付札（関数）'!AE"&amp;AE1)&gt;=247,INDIRECT("'盛付札（関数）'!AE"&amp;AE1)&lt;=261),"","園児"))),"")</f>
        <v/>
      </c>
      <c r="AK3" s="40"/>
      <c r="AL3" s="36"/>
      <c r="AM3" s="34"/>
      <c r="AN3" s="248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49"/>
      <c r="AP3" s="22"/>
      <c r="AQ3" s="32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IF(AND(INDIRECT("'盛付札（関数）'!AE"&amp;AL1)&gt;=247,INDIRECT("'盛付札（関数）'!AE"&amp;AL1)&lt;=261),"","園児"))),"")</f>
        <v/>
      </c>
      <c r="AR3" s="40"/>
      <c r="AS3" s="22"/>
      <c r="AT3" s="31"/>
      <c r="AU3" s="34"/>
      <c r="AV3" s="248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49"/>
      <c r="AX3" s="22"/>
      <c r="AY3" s="32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IF(AND(INDIRECT("'盛付札（関数）'!AE"&amp;AT1)&gt;=247,INDIRECT("'盛付札（関数）'!AE"&amp;AT1)&lt;=261),"","園児"))),"")</f>
        <v/>
      </c>
      <c r="AZ3" s="40"/>
      <c r="BA3" s="36"/>
      <c r="BB3" s="34"/>
      <c r="BC3" s="248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49"/>
      <c r="BE3" s="22"/>
      <c r="BF3" s="32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IF(AND(INDIRECT("'盛付札（関数）'!AE"&amp;BA1)&gt;=247,INDIRECT("'盛付札（関数）'!AE"&amp;BA1)&lt;=261),"","園児"))),"")</f>
        <v/>
      </c>
      <c r="BG3" s="40"/>
      <c r="BH3" s="22"/>
      <c r="BI3" s="31"/>
      <c r="BJ3" s="34"/>
      <c r="BK3" s="248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49"/>
      <c r="BM3" s="22"/>
      <c r="BN3" s="32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IF(AND(INDIRECT("'盛付札（関数）'!AE"&amp;BI1)&gt;=247,INDIRECT("'盛付札（関数）'!AE"&amp;BI1)&lt;=261),"","園児"))),"")</f>
        <v/>
      </c>
      <c r="BO3" s="40"/>
      <c r="BP3" s="36"/>
      <c r="BQ3" s="34"/>
      <c r="BR3" s="248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49"/>
      <c r="BT3" s="22"/>
      <c r="BU3" s="32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IF(AND(INDIRECT("'盛付札（関数）'!AE"&amp;BP1)&gt;=247,INDIRECT("'盛付札（関数）'!AE"&amp;BP1)&lt;=261),"","園児"))),"")</f>
        <v/>
      </c>
      <c r="BV3" s="40"/>
      <c r="BW3" s="22"/>
      <c r="BX3" s="31"/>
      <c r="BY3" s="34"/>
      <c r="BZ3" s="248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49"/>
      <c r="CB3" s="22"/>
      <c r="CC3" s="32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IF(AND(INDIRECT("'盛付札（関数）'!AE"&amp;BX1)&gt;=247,INDIRECT("'盛付札（関数）'!AE"&amp;BX1)&lt;=261),"","園児"))),"")</f>
        <v/>
      </c>
      <c r="CD3" s="40"/>
      <c r="CE3" s="36"/>
      <c r="CF3" s="34"/>
      <c r="CG3" s="248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49"/>
      <c r="CI3" s="22"/>
      <c r="CJ3" s="32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IF(AND(INDIRECT("'盛付札（関数）'!AE"&amp;CE1)&gt;=247,INDIRECT("'盛付札（関数）'!AE"&amp;CE1)&lt;=261),"","園児"))),"")</f>
        <v/>
      </c>
      <c r="CK3" s="40"/>
      <c r="CL3" s="22"/>
      <c r="CM3" s="31"/>
      <c r="CN3" s="34"/>
      <c r="CO3" s="248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49"/>
      <c r="CQ3" s="22"/>
      <c r="CR3" s="32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IF(AND(INDIRECT("'盛付札（関数）'!AE"&amp;CM1)&gt;=247,INDIRECT("'盛付札（関数）'!AE"&amp;CM1)&lt;=261),"","園児"))),"")</f>
        <v/>
      </c>
      <c r="CS3" s="40"/>
      <c r="CT3" s="36"/>
      <c r="CU3" s="34"/>
      <c r="CV3" s="248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49"/>
      <c r="CX3" s="22"/>
      <c r="CY3" s="32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IF(AND(INDIRECT("'盛付札（関数）'!AE"&amp;CT1)&gt;=247,INDIRECT("'盛付札（関数）'!AE"&amp;CT1)&lt;=261),"","園児"))),"")</f>
        <v/>
      </c>
      <c r="CZ3" s="40"/>
      <c r="DA3" s="22"/>
      <c r="DB3" s="31"/>
      <c r="DC3" s="34"/>
      <c r="DD3" s="248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49"/>
      <c r="DF3" s="22"/>
      <c r="DG3" s="32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IF(AND(INDIRECT("'盛付札（関数）'!AE"&amp;DB1)&gt;=247,INDIRECT("'盛付札（関数）'!AE"&amp;DB1)&lt;=261),"","園児"))),"")</f>
        <v/>
      </c>
      <c r="DH3" s="40"/>
      <c r="DI3" s="36"/>
      <c r="DJ3" s="34"/>
      <c r="DK3" s="248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49"/>
      <c r="DM3" s="22"/>
      <c r="DN3" s="32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IF(AND(INDIRECT("'盛付札（関数）'!AE"&amp;DI1)&gt;=247,INDIRECT("'盛付札（関数）'!AE"&amp;DI1)&lt;=261),"","園児"))),"")</f>
        <v/>
      </c>
      <c r="DO3" s="40"/>
      <c r="DP3" s="22"/>
      <c r="DQ3" s="31"/>
      <c r="DR3" s="34"/>
      <c r="DS3" s="248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49"/>
      <c r="DU3" s="22"/>
      <c r="DV3" s="32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IF(AND(INDIRECT("'盛付札（関数）'!AE"&amp;DQ1)&gt;=247,INDIRECT("'盛付札（関数）'!AE"&amp;DQ1)&lt;=261),"","園児"))),"")</f>
        <v/>
      </c>
      <c r="DW3" s="40"/>
      <c r="DX3" s="36"/>
      <c r="DY3" s="34"/>
      <c r="DZ3" s="248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49"/>
      <c r="EB3" s="22"/>
      <c r="EC3" s="32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IF(AND(INDIRECT("'盛付札（関数）'!AE"&amp;DX1)&gt;=247,INDIRECT("'盛付札（関数）'!AE"&amp;DX1)&lt;=261),"","園児"))),"")</f>
        <v/>
      </c>
      <c r="ED3" s="40"/>
      <c r="EE3" s="22"/>
      <c r="EF3" s="31"/>
      <c r="EG3" s="34"/>
      <c r="EH3" s="248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49"/>
      <c r="EJ3" s="22"/>
      <c r="EK3" s="32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IF(AND(INDIRECT("'盛付札（関数）'!AE"&amp;EF1)&gt;=247,INDIRECT("'盛付札（関数）'!AE"&amp;EF1)&lt;=261),"","園児"))),"")</f>
        <v/>
      </c>
      <c r="EL3" s="40"/>
      <c r="EM3" s="36"/>
      <c r="EN3" s="34"/>
      <c r="EO3" s="248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49"/>
      <c r="EQ3" s="22"/>
      <c r="ER3" s="32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IF(AND(INDIRECT("'盛付札（関数）'!AE"&amp;EM1)&gt;=247,INDIRECT("'盛付札（関数）'!AE"&amp;EM1)&lt;=261),"","園児"))),"")</f>
        <v/>
      </c>
      <c r="ES3" s="40"/>
      <c r="ET3" s="22"/>
    </row>
    <row r="4" spans="1:150" ht="15.6" customHeight="1">
      <c r="B4" s="25"/>
      <c r="C4" s="254" t="str">
        <f t="array" aca="1" ref="C4" ca="1">IF(C1&lt;&gt;"",INDIRECT("'盛付札（関数）'!AJ"&amp;A1),"")</f>
        <v/>
      </c>
      <c r="D4" s="255"/>
      <c r="E4" s="50"/>
      <c r="F4" s="257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>0</v>
      </c>
      <c r="G4" s="258"/>
      <c r="H4" s="26"/>
      <c r="I4" s="25"/>
      <c r="J4" s="254" t="str">
        <f t="array" aca="1" ref="J4" ca="1">IF(J1&lt;&gt;"",INDIRECT("'盛付札（関数）'!AJ"&amp;H1),"")</f>
        <v/>
      </c>
      <c r="K4" s="255"/>
      <c r="L4" s="50"/>
      <c r="M4" s="257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58"/>
      <c r="Q4" s="25"/>
      <c r="R4" s="254" t="str">
        <f t="array" aca="1" ref="R4" ca="1">IF(R1&lt;&gt;"",INDIRECT("'盛付札（関数）'!AJ"&amp;P1),"")</f>
        <v/>
      </c>
      <c r="S4" s="255"/>
      <c r="T4" s="50"/>
      <c r="U4" s="257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58"/>
      <c r="W4" s="26"/>
      <c r="X4" s="25"/>
      <c r="Y4" s="254" t="str">
        <f t="array" aca="1" ref="Y4" ca="1">IF(Y1&lt;&gt;"",INDIRECT("'盛付札（関数）'!AJ"&amp;W1),"")</f>
        <v/>
      </c>
      <c r="Z4" s="255"/>
      <c r="AA4" s="50"/>
      <c r="AB4" s="257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58"/>
      <c r="AF4" s="25"/>
      <c r="AG4" s="254" t="str">
        <f t="array" aca="1" ref="AG4" ca="1">IF(AG1&lt;&gt;"",INDIRECT("'盛付札（関数）'!AJ"&amp;AE1),"")</f>
        <v/>
      </c>
      <c r="AH4" s="255"/>
      <c r="AI4" s="50"/>
      <c r="AJ4" s="257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58"/>
      <c r="AL4" s="26"/>
      <c r="AM4" s="25"/>
      <c r="AN4" s="254" t="str">
        <f t="array" aca="1" ref="AN4" ca="1">IF(AN1&lt;&gt;"",INDIRECT("'盛付札（関数）'!AJ"&amp;AL1),"")</f>
        <v/>
      </c>
      <c r="AO4" s="255"/>
      <c r="AP4" s="50"/>
      <c r="AQ4" s="257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58"/>
      <c r="AU4" s="25"/>
      <c r="AV4" s="254" t="str">
        <f t="array" aca="1" ref="AV4" ca="1">IF(AV1&lt;&gt;"",INDIRECT("'盛付札（関数）'!AJ"&amp;AT1),"")</f>
        <v/>
      </c>
      <c r="AW4" s="255"/>
      <c r="AX4" s="50"/>
      <c r="AY4" s="257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58"/>
      <c r="BA4" s="26"/>
      <c r="BB4" s="25"/>
      <c r="BC4" s="254" t="str">
        <f t="array" aca="1" ref="BC4" ca="1">IF(BC1&lt;&gt;"",INDIRECT("'盛付札（関数）'!AJ"&amp;BA1),"")</f>
        <v/>
      </c>
      <c r="BD4" s="255"/>
      <c r="BE4" s="50"/>
      <c r="BF4" s="257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58"/>
      <c r="BJ4" s="25"/>
      <c r="BK4" s="254" t="str">
        <f t="array" aca="1" ref="BK4" ca="1">IF(BK1&lt;&gt;"",INDIRECT("'盛付札（関数）'!AJ"&amp;BI1),"")</f>
        <v/>
      </c>
      <c r="BL4" s="255"/>
      <c r="BM4" s="50"/>
      <c r="BN4" s="257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58"/>
      <c r="BP4" s="26"/>
      <c r="BQ4" s="25"/>
      <c r="BR4" s="254" t="str">
        <f t="array" aca="1" ref="BR4" ca="1">IF(BR1&lt;&gt;"",INDIRECT("'盛付札（関数）'!AJ"&amp;BP1),"")</f>
        <v/>
      </c>
      <c r="BS4" s="255"/>
      <c r="BT4" s="50"/>
      <c r="BU4" s="257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58"/>
      <c r="BY4" s="25"/>
      <c r="BZ4" s="254" t="str">
        <f t="array" aca="1" ref="BZ4" ca="1">IF(BZ1&lt;&gt;"",INDIRECT("'盛付札（関数）'!AJ"&amp;BX1),"")</f>
        <v/>
      </c>
      <c r="CA4" s="255"/>
      <c r="CB4" s="50"/>
      <c r="CC4" s="257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58"/>
      <c r="CE4" s="26"/>
      <c r="CF4" s="25"/>
      <c r="CG4" s="254" t="str">
        <f t="array" aca="1" ref="CG4" ca="1">IF(CG1&lt;&gt;"",INDIRECT("'盛付札（関数）'!AJ"&amp;CE1),"")</f>
        <v/>
      </c>
      <c r="CH4" s="255"/>
      <c r="CI4" s="50"/>
      <c r="CJ4" s="257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58"/>
      <c r="CN4" s="25"/>
      <c r="CO4" s="254" t="str">
        <f t="array" aca="1" ref="CO4" ca="1">IF(CO1&lt;&gt;"",INDIRECT("'盛付札（関数）'!AJ"&amp;CM1),"")</f>
        <v/>
      </c>
      <c r="CP4" s="255"/>
      <c r="CQ4" s="50"/>
      <c r="CR4" s="257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58"/>
      <c r="CT4" s="26"/>
      <c r="CU4" s="25"/>
      <c r="CV4" s="254" t="str">
        <f t="array" aca="1" ref="CV4" ca="1">IF(CV1&lt;&gt;"",INDIRECT("'盛付札（関数）'!AJ"&amp;CT1),"")</f>
        <v/>
      </c>
      <c r="CW4" s="255"/>
      <c r="CX4" s="50"/>
      <c r="CY4" s="257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58"/>
      <c r="DC4" s="25"/>
      <c r="DD4" s="254" t="str">
        <f t="array" aca="1" ref="DD4" ca="1">IF(DD1&lt;&gt;"",INDIRECT("'盛付札（関数）'!AJ"&amp;DB1),"")</f>
        <v/>
      </c>
      <c r="DE4" s="255"/>
      <c r="DF4" s="50"/>
      <c r="DG4" s="257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58"/>
      <c r="DI4" s="26"/>
      <c r="DJ4" s="25"/>
      <c r="DK4" s="254" t="str">
        <f t="array" aca="1" ref="DK4" ca="1">IF(DK1&lt;&gt;"",INDIRECT("'盛付札（関数）'!AJ"&amp;DI1),"")</f>
        <v/>
      </c>
      <c r="DL4" s="255"/>
      <c r="DM4" s="50"/>
      <c r="DN4" s="257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58"/>
      <c r="DR4" s="25"/>
      <c r="DS4" s="254" t="str">
        <f t="array" aca="1" ref="DS4" ca="1">IF(DS1&lt;&gt;"",INDIRECT("'盛付札（関数）'!AJ"&amp;DQ1),"")</f>
        <v/>
      </c>
      <c r="DT4" s="255"/>
      <c r="DU4" s="50"/>
      <c r="DV4" s="257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58"/>
      <c r="DX4" s="26"/>
      <c r="DY4" s="25"/>
      <c r="DZ4" s="254" t="str">
        <f t="array" aca="1" ref="DZ4" ca="1">IF(DZ1&lt;&gt;"",INDIRECT("'盛付札（関数）'!AJ"&amp;DX1),"")</f>
        <v/>
      </c>
      <c r="EA4" s="255"/>
      <c r="EB4" s="50"/>
      <c r="EC4" s="257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58"/>
      <c r="EG4" s="25"/>
      <c r="EH4" s="254" t="str">
        <f t="array" aca="1" ref="EH4" ca="1">IF(EH1&lt;&gt;"",INDIRECT("'盛付札（関数）'!AJ"&amp;EF1),"")</f>
        <v/>
      </c>
      <c r="EI4" s="255"/>
      <c r="EJ4" s="50"/>
      <c r="EK4" s="257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58"/>
      <c r="EM4" s="26"/>
      <c r="EN4" s="25"/>
      <c r="EO4" s="254" t="str">
        <f t="array" aca="1" ref="EO4" ca="1">IF(EO1&lt;&gt;"",INDIRECT("'盛付札（関数）'!AJ"&amp;EM1),"")</f>
        <v/>
      </c>
      <c r="EP4" s="255"/>
      <c r="EQ4" s="50"/>
      <c r="ER4" s="257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58"/>
    </row>
    <row r="5" spans="1:150" ht="15.6" customHeight="1">
      <c r="B5" s="27"/>
      <c r="C5" s="256"/>
      <c r="D5" s="256"/>
      <c r="E5" s="44"/>
      <c r="F5" s="256"/>
      <c r="G5" s="253"/>
      <c r="H5" s="26"/>
      <c r="I5" s="27"/>
      <c r="J5" s="256"/>
      <c r="K5" s="256"/>
      <c r="L5" s="44"/>
      <c r="M5" s="256"/>
      <c r="N5" s="253"/>
      <c r="Q5" s="27"/>
      <c r="R5" s="256"/>
      <c r="S5" s="256"/>
      <c r="T5" s="44"/>
      <c r="U5" s="256"/>
      <c r="V5" s="253"/>
      <c r="W5" s="26"/>
      <c r="X5" s="27"/>
      <c r="Y5" s="256"/>
      <c r="Z5" s="256"/>
      <c r="AA5" s="44"/>
      <c r="AB5" s="256"/>
      <c r="AC5" s="253"/>
      <c r="AF5" s="27"/>
      <c r="AG5" s="256"/>
      <c r="AH5" s="256"/>
      <c r="AI5" s="44"/>
      <c r="AJ5" s="256"/>
      <c r="AK5" s="253"/>
      <c r="AL5" s="26"/>
      <c r="AM5" s="27"/>
      <c r="AN5" s="256"/>
      <c r="AO5" s="256"/>
      <c r="AP5" s="44"/>
      <c r="AQ5" s="256"/>
      <c r="AR5" s="253"/>
      <c r="AU5" s="27"/>
      <c r="AV5" s="256"/>
      <c r="AW5" s="256"/>
      <c r="AX5" s="44"/>
      <c r="AY5" s="256"/>
      <c r="AZ5" s="253"/>
      <c r="BA5" s="26"/>
      <c r="BB5" s="27"/>
      <c r="BC5" s="256"/>
      <c r="BD5" s="256"/>
      <c r="BE5" s="44"/>
      <c r="BF5" s="256"/>
      <c r="BG5" s="253"/>
      <c r="BJ5" s="27"/>
      <c r="BK5" s="256"/>
      <c r="BL5" s="256"/>
      <c r="BM5" s="44"/>
      <c r="BN5" s="256"/>
      <c r="BO5" s="253"/>
      <c r="BP5" s="26"/>
      <c r="BQ5" s="27"/>
      <c r="BR5" s="256"/>
      <c r="BS5" s="256"/>
      <c r="BT5" s="44"/>
      <c r="BU5" s="256"/>
      <c r="BV5" s="253"/>
      <c r="BY5" s="27"/>
      <c r="BZ5" s="256"/>
      <c r="CA5" s="256"/>
      <c r="CB5" s="44"/>
      <c r="CC5" s="256"/>
      <c r="CD5" s="253"/>
      <c r="CE5" s="26"/>
      <c r="CF5" s="27"/>
      <c r="CG5" s="256"/>
      <c r="CH5" s="256"/>
      <c r="CI5" s="44"/>
      <c r="CJ5" s="256"/>
      <c r="CK5" s="253"/>
      <c r="CN5" s="27"/>
      <c r="CO5" s="256"/>
      <c r="CP5" s="256"/>
      <c r="CQ5" s="44"/>
      <c r="CR5" s="256"/>
      <c r="CS5" s="253"/>
      <c r="CT5" s="26"/>
      <c r="CU5" s="27"/>
      <c r="CV5" s="256"/>
      <c r="CW5" s="256"/>
      <c r="CX5" s="44"/>
      <c r="CY5" s="256"/>
      <c r="CZ5" s="253"/>
      <c r="DC5" s="27"/>
      <c r="DD5" s="256"/>
      <c r="DE5" s="256"/>
      <c r="DF5" s="44"/>
      <c r="DG5" s="256"/>
      <c r="DH5" s="253"/>
      <c r="DI5" s="26"/>
      <c r="DJ5" s="27"/>
      <c r="DK5" s="256"/>
      <c r="DL5" s="256"/>
      <c r="DM5" s="44"/>
      <c r="DN5" s="256"/>
      <c r="DO5" s="253"/>
      <c r="DR5" s="27"/>
      <c r="DS5" s="256"/>
      <c r="DT5" s="256"/>
      <c r="DU5" s="44"/>
      <c r="DV5" s="256"/>
      <c r="DW5" s="253"/>
      <c r="DX5" s="26"/>
      <c r="DY5" s="27"/>
      <c r="DZ5" s="256"/>
      <c r="EA5" s="256"/>
      <c r="EB5" s="44"/>
      <c r="EC5" s="256"/>
      <c r="ED5" s="253"/>
      <c r="EG5" s="27"/>
      <c r="EH5" s="256"/>
      <c r="EI5" s="256"/>
      <c r="EJ5" s="44"/>
      <c r="EK5" s="256"/>
      <c r="EL5" s="253"/>
      <c r="EM5" s="26"/>
      <c r="EN5" s="27"/>
      <c r="EO5" s="256"/>
      <c r="EP5" s="256"/>
      <c r="EQ5" s="44"/>
      <c r="ER5" s="256"/>
      <c r="ES5" s="253"/>
    </row>
    <row r="6" spans="1:150" s="32" customFormat="1">
      <c r="A6" s="31"/>
      <c r="B6" s="37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>パン箱</v>
      </c>
      <c r="C6" s="35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>12</v>
      </c>
      <c r="D6" s="37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>端数</v>
      </c>
      <c r="E6" s="35"/>
      <c r="F6" s="37" t="str">
        <f t="array" aca="1" ref="F6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"アレルギー")),"")</f>
        <v>アレルギー</v>
      </c>
      <c r="G6" s="40"/>
      <c r="H6" s="22"/>
      <c r="I6" s="37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5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7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5"/>
      <c r="M6" s="37" t="str">
        <f t="array" aca="1" ref="M6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"アレルギー")),"")</f>
        <v/>
      </c>
      <c r="N6" s="40"/>
      <c r="O6" s="22"/>
      <c r="P6" s="31"/>
      <c r="Q6" s="37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5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7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5"/>
      <c r="U6" s="37" t="str">
        <f t="array" aca="1" ref="U6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"アレルギー")),"")</f>
        <v/>
      </c>
      <c r="V6" s="40"/>
      <c r="W6" s="22"/>
      <c r="X6" s="37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5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7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5"/>
      <c r="AB6" s="37" t="str">
        <f t="array" aca="1" ref="AB6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"アレルギー")),"")</f>
        <v/>
      </c>
      <c r="AC6" s="40"/>
      <c r="AD6" s="22"/>
      <c r="AE6" s="31"/>
      <c r="AF6" s="37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5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7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5"/>
      <c r="AJ6" s="37" t="str">
        <f t="array" aca="1" ref="AJ6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"アレルギー")),"")</f>
        <v/>
      </c>
      <c r="AK6" s="40"/>
      <c r="AL6" s="22"/>
      <c r="AM6" s="37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5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7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5"/>
      <c r="AQ6" s="37" t="str">
        <f t="array" aca="1" ref="AQ6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"アレルギー")),"")</f>
        <v/>
      </c>
      <c r="AR6" s="40"/>
      <c r="AS6" s="22"/>
      <c r="AT6" s="31"/>
      <c r="AU6" s="37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5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7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5"/>
      <c r="AY6" s="37" t="str">
        <f t="array" aca="1" ref="AY6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"アレルギー")),"")</f>
        <v/>
      </c>
      <c r="AZ6" s="40"/>
      <c r="BA6" s="22"/>
      <c r="BB6" s="37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5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7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5"/>
      <c r="BF6" s="37" t="str">
        <f t="array" aca="1" ref="BF6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"アレルギー")),"")</f>
        <v/>
      </c>
      <c r="BG6" s="40"/>
      <c r="BH6" s="22"/>
      <c r="BI6" s="31"/>
      <c r="BJ6" s="37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5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7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5"/>
      <c r="BN6" s="37" t="str">
        <f t="array" aca="1" ref="BN6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"アレルギー")),"")</f>
        <v/>
      </c>
      <c r="BO6" s="40"/>
      <c r="BP6" s="22"/>
      <c r="BQ6" s="37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5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7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5"/>
      <c r="BU6" s="37" t="str">
        <f t="array" aca="1" ref="BU6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"アレルギー")),"")</f>
        <v/>
      </c>
      <c r="BV6" s="40"/>
      <c r="BW6" s="22"/>
      <c r="BX6" s="31"/>
      <c r="BY6" s="37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5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7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5"/>
      <c r="CC6" s="37" t="str">
        <f t="array" aca="1" ref="CC6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"アレルギー")),"")</f>
        <v/>
      </c>
      <c r="CD6" s="40"/>
      <c r="CE6" s="22"/>
      <c r="CF6" s="37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5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7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5"/>
      <c r="CJ6" s="37" t="str">
        <f t="array" aca="1" ref="CJ6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"アレルギー")),"")</f>
        <v/>
      </c>
      <c r="CK6" s="40"/>
      <c r="CL6" s="22"/>
      <c r="CM6" s="31"/>
      <c r="CN6" s="37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5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7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5"/>
      <c r="CR6" s="37" t="str">
        <f t="array" aca="1" ref="CR6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"アレルギー")),"")</f>
        <v/>
      </c>
      <c r="CS6" s="40"/>
      <c r="CT6" s="22"/>
      <c r="CU6" s="37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5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7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5"/>
      <c r="CY6" s="37" t="str">
        <f t="array" aca="1" ref="CY6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"アレルギー")),"")</f>
        <v/>
      </c>
      <c r="CZ6" s="40"/>
      <c r="DA6" s="22"/>
      <c r="DB6" s="31"/>
      <c r="DC6" s="37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5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7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5"/>
      <c r="DG6" s="37" t="str">
        <f t="array" aca="1" ref="DG6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"アレルギー")),"")</f>
        <v/>
      </c>
      <c r="DH6" s="40"/>
      <c r="DI6" s="22"/>
      <c r="DJ6" s="37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5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7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5"/>
      <c r="DN6" s="37" t="str">
        <f t="array" aca="1" ref="DN6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"アレルギー")),"")</f>
        <v/>
      </c>
      <c r="DO6" s="40"/>
      <c r="DP6" s="22"/>
      <c r="DQ6" s="31"/>
      <c r="DR6" s="37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5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7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5"/>
      <c r="DV6" s="37" t="str">
        <f t="array" aca="1" ref="DV6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"アレルギー")),"")</f>
        <v/>
      </c>
      <c r="DW6" s="40"/>
      <c r="DX6" s="22"/>
      <c r="DY6" s="37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5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7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5"/>
      <c r="EC6" s="37" t="str">
        <f t="array" aca="1" ref="EC6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"アレルギー")),"")</f>
        <v/>
      </c>
      <c r="ED6" s="40"/>
      <c r="EE6" s="22"/>
      <c r="EF6" s="31"/>
      <c r="EG6" s="37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5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7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5"/>
      <c r="EK6" s="37" t="str">
        <f t="array" aca="1" ref="EK6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"アレルギー")),"")</f>
        <v/>
      </c>
      <c r="EL6" s="40"/>
      <c r="EM6" s="22"/>
      <c r="EN6" s="37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5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7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5"/>
      <c r="ER6" s="37" t="str">
        <f t="array" aca="1" ref="ER6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"アレルギー")),"")</f>
        <v/>
      </c>
      <c r="ES6" s="40"/>
      <c r="ET6" s="22"/>
    </row>
    <row r="7" spans="1:150" ht="27.6" customHeight="1">
      <c r="B7" s="259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53"/>
      <c r="D7" s="259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53"/>
      <c r="F7" s="252">
        <f t="array" aca="1" ref="F7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INDIRECT("'盛付札（関数）'!AO"&amp;A1))),"")</f>
        <v>0</v>
      </c>
      <c r="G7" s="253"/>
      <c r="I7" s="259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53"/>
      <c r="K7" s="259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53"/>
      <c r="M7" s="252" t="str">
        <f t="array" aca="1" ref="M7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INDIRECT("'盛付札（関数）'!AO"&amp;H1))),"")</f>
        <v/>
      </c>
      <c r="N7" s="253"/>
      <c r="Q7" s="259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53"/>
      <c r="S7" s="259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53"/>
      <c r="U7" s="252" t="str">
        <f t="array" aca="1" ref="U7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INDIRECT("'盛付札（関数）'!AO"&amp;P1))),"")</f>
        <v/>
      </c>
      <c r="V7" s="253"/>
      <c r="X7" s="259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53"/>
      <c r="Z7" s="259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53"/>
      <c r="AB7" s="252" t="str">
        <f t="array" aca="1" ref="AB7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INDIRECT("'盛付札（関数）'!AO"&amp;W1))),"")</f>
        <v/>
      </c>
      <c r="AC7" s="253"/>
      <c r="AF7" s="259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53"/>
      <c r="AH7" s="259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53"/>
      <c r="AJ7" s="252" t="str">
        <f t="array" aca="1" ref="AJ7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INDIRECT("'盛付札（関数）'!AO"&amp;AE1))),"")</f>
        <v/>
      </c>
      <c r="AK7" s="253"/>
      <c r="AM7" s="259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53"/>
      <c r="AO7" s="259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53"/>
      <c r="AQ7" s="252" t="str">
        <f t="array" aca="1" ref="AQ7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INDIRECT("'盛付札（関数）'!AO"&amp;AL1))),"")</f>
        <v/>
      </c>
      <c r="AR7" s="253"/>
      <c r="AU7" s="259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53"/>
      <c r="AW7" s="259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53"/>
      <c r="AY7" s="252" t="str">
        <f t="array" aca="1" ref="AY7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INDIRECT("'盛付札（関数）'!AO"&amp;AT1))),"")</f>
        <v/>
      </c>
      <c r="AZ7" s="253"/>
      <c r="BB7" s="259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53"/>
      <c r="BD7" s="259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53"/>
      <c r="BF7" s="252" t="str">
        <f t="array" aca="1" ref="BF7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INDIRECT("'盛付札（関数）'!AO"&amp;BA1))),"")</f>
        <v/>
      </c>
      <c r="BG7" s="253"/>
      <c r="BJ7" s="259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53"/>
      <c r="BL7" s="259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53"/>
      <c r="BN7" s="252" t="str">
        <f t="array" aca="1" ref="BN7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INDIRECT("'盛付札（関数）'!AO"&amp;BI1))),"")</f>
        <v/>
      </c>
      <c r="BO7" s="253"/>
      <c r="BQ7" s="259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53"/>
      <c r="BS7" s="259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53"/>
      <c r="BU7" s="252" t="str">
        <f t="array" aca="1" ref="BU7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INDIRECT("'盛付札（関数）'!AO"&amp;BP1))),"")</f>
        <v/>
      </c>
      <c r="BV7" s="253"/>
      <c r="BY7" s="259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53"/>
      <c r="CA7" s="259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53"/>
      <c r="CC7" s="252" t="str">
        <f t="array" aca="1" ref="CC7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INDIRECT("'盛付札（関数）'!AO"&amp;BX1))),"")</f>
        <v/>
      </c>
      <c r="CD7" s="253"/>
      <c r="CF7" s="259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53"/>
      <c r="CH7" s="259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53"/>
      <c r="CJ7" s="252" t="str">
        <f t="array" aca="1" ref="CJ7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INDIRECT("'盛付札（関数）'!AO"&amp;CE1))),"")</f>
        <v/>
      </c>
      <c r="CK7" s="253"/>
      <c r="CN7" s="259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53"/>
      <c r="CP7" s="259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53"/>
      <c r="CR7" s="252" t="str">
        <f t="array" aca="1" ref="CR7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INDIRECT("'盛付札（関数）'!AO"&amp;CM1))),"")</f>
        <v/>
      </c>
      <c r="CS7" s="253"/>
      <c r="CU7" s="259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53"/>
      <c r="CW7" s="259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53"/>
      <c r="CY7" s="252" t="str">
        <f t="array" aca="1" ref="CY7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INDIRECT("'盛付札（関数）'!AO"&amp;CT1))),"")</f>
        <v/>
      </c>
      <c r="CZ7" s="253"/>
      <c r="DC7" s="259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53"/>
      <c r="DE7" s="259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53"/>
      <c r="DG7" s="252" t="str">
        <f t="array" aca="1" ref="DG7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INDIRECT("'盛付札（関数）'!AO"&amp;DB1))),"")</f>
        <v/>
      </c>
      <c r="DH7" s="253"/>
      <c r="DJ7" s="259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53"/>
      <c r="DL7" s="259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53"/>
      <c r="DN7" s="252" t="str">
        <f t="array" aca="1" ref="DN7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INDIRECT("'盛付札（関数）'!AO"&amp;DI1))),"")</f>
        <v/>
      </c>
      <c r="DO7" s="253"/>
      <c r="DR7" s="259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53"/>
      <c r="DT7" s="259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53"/>
      <c r="DV7" s="252" t="str">
        <f t="array" aca="1" ref="DV7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INDIRECT("'盛付札（関数）'!AO"&amp;DQ1))),"")</f>
        <v/>
      </c>
      <c r="DW7" s="253"/>
      <c r="DY7" s="259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53"/>
      <c r="EA7" s="259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53"/>
      <c r="EC7" s="252" t="str">
        <f t="array" aca="1" ref="EC7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INDIRECT("'盛付札（関数）'!AO"&amp;DX1))),"")</f>
        <v/>
      </c>
      <c r="ED7" s="253"/>
      <c r="EG7" s="259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53"/>
      <c r="EI7" s="259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53"/>
      <c r="EK7" s="252" t="str">
        <f t="array" aca="1" ref="EK7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INDIRECT("'盛付札（関数）'!AO"&amp;EF1))),"")</f>
        <v/>
      </c>
      <c r="EL7" s="253"/>
      <c r="EN7" s="259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53"/>
      <c r="EP7" s="259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53"/>
      <c r="ER7" s="252" t="str">
        <f t="array" aca="1" ref="ER7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INDIRECT("'盛付札（関数）'!AO"&amp;EM1))),"")</f>
        <v/>
      </c>
      <c r="ES7" s="253"/>
    </row>
    <row r="8" spans="1:150" ht="6.6" customHeight="1">
      <c r="B8" s="45"/>
      <c r="D8" s="45"/>
      <c r="F8" s="46"/>
      <c r="I8" s="45"/>
      <c r="K8" s="45"/>
      <c r="M8" s="46"/>
      <c r="Q8" s="45"/>
      <c r="S8" s="45"/>
      <c r="U8" s="46"/>
      <c r="X8" s="45"/>
      <c r="Z8" s="45"/>
      <c r="AB8" s="46"/>
      <c r="AF8" s="45"/>
      <c r="AH8" s="45"/>
      <c r="AJ8" s="46"/>
      <c r="AM8" s="45"/>
      <c r="AO8" s="45"/>
      <c r="AQ8" s="46"/>
      <c r="AU8" s="45"/>
      <c r="AW8" s="45"/>
      <c r="AY8" s="46"/>
      <c r="BB8" s="45"/>
      <c r="BD8" s="45"/>
      <c r="BF8" s="46"/>
      <c r="BJ8" s="45"/>
      <c r="BL8" s="45"/>
      <c r="BN8" s="46"/>
      <c r="BQ8" s="45"/>
      <c r="BS8" s="45"/>
      <c r="BU8" s="46"/>
      <c r="BY8" s="45"/>
      <c r="CA8" s="45"/>
      <c r="CC8" s="46"/>
      <c r="CF8" s="45"/>
      <c r="CH8" s="45"/>
      <c r="CJ8" s="46"/>
      <c r="CN8" s="45"/>
      <c r="CP8" s="45"/>
      <c r="CR8" s="46"/>
      <c r="CU8" s="45"/>
      <c r="CW8" s="45"/>
      <c r="CY8" s="46"/>
      <c r="DC8" s="45"/>
      <c r="DE8" s="45"/>
      <c r="DG8" s="46"/>
      <c r="DJ8" s="45"/>
      <c r="DL8" s="45"/>
      <c r="DN8" s="46"/>
      <c r="DR8" s="45"/>
      <c r="DT8" s="45"/>
      <c r="DV8" s="46"/>
      <c r="DY8" s="45"/>
      <c r="EA8" s="45"/>
      <c r="EC8" s="46"/>
      <c r="EG8" s="45"/>
      <c r="EI8" s="45"/>
      <c r="EK8" s="46"/>
      <c r="EN8" s="45"/>
      <c r="EP8" s="45"/>
      <c r="ER8" s="46"/>
    </row>
    <row r="9" spans="1:150" s="32" customFormat="1" ht="25.8" customHeight="1">
      <c r="A9" s="31">
        <f>H1+1</f>
        <v>3</v>
      </c>
      <c r="B9" s="43" t="e">
        <f ca="1">IF(C9&lt;&gt;"",
MID(貼り付け用!$A$2, FIND("年",貼り付け用!$A$2)+1,2)&amp;"/"&amp;MID(貼り付け用!$A$2, FIND("月",貼り付け用!$A$2)+1,2),"")</f>
        <v>#VALUE!</v>
      </c>
      <c r="C9" s="250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>社食</v>
      </c>
      <c r="D9" s="251"/>
      <c r="E9" s="251"/>
      <c r="F9" s="251"/>
      <c r="G9" s="42" t="str">
        <f t="array" aca="1" ref="G9" ca="1">IF(C9&lt;&gt;"",
IF(AND(INDIRECT("'盛付札（関数）'!AE"&amp;A9)&gt;=124,INDIRECT("'盛付札（関数）'!AE"&amp;A9)&lt;=144),"",
"様"),"")</f>
        <v>様</v>
      </c>
      <c r="H9" s="36">
        <f>A9+1</f>
        <v>4</v>
      </c>
      <c r="I9" s="43" t="str">
        <f ca="1">IF(J9&lt;&gt;"",
MID(貼り付け用!$A$2, FIND("年",貼り付け用!$A$2)+1,2)&amp;"/"&amp;MID(貼り付け用!$A$2, FIND("月",貼り付け用!$A$2)+1,2),"")</f>
        <v/>
      </c>
      <c r="J9" s="250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51"/>
      <c r="L9" s="251"/>
      <c r="M9" s="251"/>
      <c r="N9" s="42" t="str">
        <f t="array" aca="1" ref="N9" ca="1">IF(J9&lt;&gt;"",
IF(AND(INDIRECT("'盛付札（関数）'!AE"&amp;H9)&gt;=124,INDIRECT("'盛付札（関数）'!AE"&amp;H9)&lt;=144),"",
"様"),"")</f>
        <v/>
      </c>
      <c r="O9" s="22"/>
      <c r="P9" s="31">
        <f>W1+1</f>
        <v>15</v>
      </c>
      <c r="Q9" s="43" t="str">
        <f ca="1">IF(R9&lt;&gt;"",
MID(貼り付け用!$A$2, FIND("年",貼り付け用!$A$2)+1,2)&amp;"/"&amp;MID(貼り付け用!$A$2, FIND("月",貼り付け用!$A$2)+1,2),"")</f>
        <v/>
      </c>
      <c r="R9" s="250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51"/>
      <c r="T9" s="251"/>
      <c r="U9" s="251"/>
      <c r="V9" s="42" t="str">
        <f t="array" aca="1" ref="V9" ca="1">IF(R9&lt;&gt;"",
IF(AND(INDIRECT("'盛付札（関数）'!AE"&amp;P9)&gt;=124,INDIRECT("'盛付札（関数）'!AE"&amp;P9)&lt;=144),"",
"様"),"")</f>
        <v/>
      </c>
      <c r="W9" s="36">
        <f>P9+1</f>
        <v>16</v>
      </c>
      <c r="X9" s="43" t="str">
        <f ca="1">IF(Y9&lt;&gt;"",
MID(貼り付け用!$A$2, FIND("年",貼り付け用!$A$2)+1,2)&amp;"/"&amp;MID(貼り付け用!$A$2, FIND("月",貼り付け用!$A$2)+1,2),"")</f>
        <v/>
      </c>
      <c r="Y9" s="250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51"/>
      <c r="AA9" s="251"/>
      <c r="AB9" s="251"/>
      <c r="AC9" s="42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1">
        <f>AL1+1</f>
        <v>27</v>
      </c>
      <c r="AF9" s="43" t="str">
        <f ca="1">IF(AG9&lt;&gt;"",
MID(貼り付け用!$A$2, FIND("年",貼り付け用!$A$2)+1,2)&amp;"/"&amp;MID(貼り付け用!$A$2, FIND("月",貼り付け用!$A$2)+1,2),"")</f>
        <v/>
      </c>
      <c r="AG9" s="250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51"/>
      <c r="AI9" s="251"/>
      <c r="AJ9" s="251"/>
      <c r="AK9" s="42" t="str">
        <f t="array" aca="1" ref="AK9" ca="1">IF(AG9&lt;&gt;"",
IF(AND(INDIRECT("'盛付札（関数）'!AE"&amp;AE9)&gt;=124,INDIRECT("'盛付札（関数）'!AE"&amp;AE9)&lt;=144),"",
"様"),"")</f>
        <v/>
      </c>
      <c r="AL9" s="36">
        <f>AE9+1</f>
        <v>28</v>
      </c>
      <c r="AM9" s="43" t="str">
        <f ca="1">IF(AN9&lt;&gt;"",
MID(貼り付け用!$A$2, FIND("年",貼り付け用!$A$2)+1,2)&amp;"/"&amp;MID(貼り付け用!$A$2, FIND("月",貼り付け用!$A$2)+1,2),"")</f>
        <v/>
      </c>
      <c r="AN9" s="250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51"/>
      <c r="AP9" s="251"/>
      <c r="AQ9" s="251"/>
      <c r="AR9" s="42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1">
        <f>BA1+1</f>
        <v>39</v>
      </c>
      <c r="AU9" s="43" t="str">
        <f ca="1">IF(AV9&lt;&gt;"",
MID(貼り付け用!$A$2, FIND("年",貼り付け用!$A$2)+1,2)&amp;"/"&amp;MID(貼り付け用!$A$2, FIND("月",貼り付け用!$A$2)+1,2),"")</f>
        <v/>
      </c>
      <c r="AV9" s="250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51"/>
      <c r="AX9" s="251"/>
      <c r="AY9" s="251"/>
      <c r="AZ9" s="42" t="str">
        <f t="array" aca="1" ref="AZ9" ca="1">IF(AV9&lt;&gt;"",
IF(AND(INDIRECT("'盛付札（関数）'!AE"&amp;AT9)&gt;=124,INDIRECT("'盛付札（関数）'!AE"&amp;AT9)&lt;=144),"",
"様"),"")</f>
        <v/>
      </c>
      <c r="BA9" s="36">
        <f>AT9+1</f>
        <v>40</v>
      </c>
      <c r="BB9" s="43" t="str">
        <f ca="1">IF(BC9&lt;&gt;"",
MID(貼り付け用!$A$2, FIND("年",貼り付け用!$A$2)+1,2)&amp;"/"&amp;MID(貼り付け用!$A$2, FIND("月",貼り付け用!$A$2)+1,2),"")</f>
        <v/>
      </c>
      <c r="BC9" s="250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51"/>
      <c r="BE9" s="251"/>
      <c r="BF9" s="251"/>
      <c r="BG9" s="42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1">
        <f>BP1+1</f>
        <v>51</v>
      </c>
      <c r="BJ9" s="43" t="str">
        <f ca="1">IF(BK9&lt;&gt;"",
MID(貼り付け用!$A$2, FIND("年",貼り付け用!$A$2)+1,2)&amp;"/"&amp;MID(貼り付け用!$A$2, FIND("月",貼り付け用!$A$2)+1,2),"")</f>
        <v/>
      </c>
      <c r="BK9" s="250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51"/>
      <c r="BM9" s="251"/>
      <c r="BN9" s="251"/>
      <c r="BO9" s="42" t="str">
        <f t="array" aca="1" ref="BO9" ca="1">IF(BK9&lt;&gt;"",
IF(AND(INDIRECT("'盛付札（関数）'!AE"&amp;BI9)&gt;=124,INDIRECT("'盛付札（関数）'!AE"&amp;BI9)&lt;=144),"",
"様"),"")</f>
        <v/>
      </c>
      <c r="BP9" s="36">
        <f>BI9+1</f>
        <v>52</v>
      </c>
      <c r="BQ9" s="43" t="str">
        <f ca="1">IF(BR9&lt;&gt;"",
MID(貼り付け用!$A$2, FIND("年",貼り付け用!$A$2)+1,2)&amp;"/"&amp;MID(貼り付け用!$A$2, FIND("月",貼り付け用!$A$2)+1,2),"")</f>
        <v/>
      </c>
      <c r="BR9" s="250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51"/>
      <c r="BT9" s="251"/>
      <c r="BU9" s="251"/>
      <c r="BV9" s="42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1">
        <f>CE1+1</f>
        <v>63</v>
      </c>
      <c r="BY9" s="43" t="str">
        <f ca="1">IF(BZ9&lt;&gt;"",
MID(貼り付け用!$A$2, FIND("年",貼り付け用!$A$2)+1,2)&amp;"/"&amp;MID(貼り付け用!$A$2, FIND("月",貼り付け用!$A$2)+1,2),"")</f>
        <v/>
      </c>
      <c r="BZ9" s="250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51"/>
      <c r="CB9" s="251"/>
      <c r="CC9" s="251"/>
      <c r="CD9" s="42" t="str">
        <f t="array" aca="1" ref="CD9" ca="1">IF(BZ9&lt;&gt;"",
IF(AND(INDIRECT("'盛付札（関数）'!AE"&amp;BX9)&gt;=124,INDIRECT("'盛付札（関数）'!AE"&amp;BX9)&lt;=144),"",
"様"),"")</f>
        <v/>
      </c>
      <c r="CE9" s="36">
        <f>BX9+1</f>
        <v>64</v>
      </c>
      <c r="CF9" s="43" t="str">
        <f ca="1">IF(CG9&lt;&gt;"",
MID(貼り付け用!$A$2, FIND("年",貼り付け用!$A$2)+1,2)&amp;"/"&amp;MID(貼り付け用!$A$2, FIND("月",貼り付け用!$A$2)+1,2),"")</f>
        <v/>
      </c>
      <c r="CG9" s="250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51"/>
      <c r="CI9" s="251"/>
      <c r="CJ9" s="251"/>
      <c r="CK9" s="42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1">
        <f>CT1+1</f>
        <v>75</v>
      </c>
      <c r="CN9" s="43" t="str">
        <f ca="1">IF(CO9&lt;&gt;"",
MID(貼り付け用!$A$2, FIND("年",貼り付け用!$A$2)+1,2)&amp;"/"&amp;MID(貼り付け用!$A$2, FIND("月",貼り付け用!$A$2)+1,2),"")</f>
        <v/>
      </c>
      <c r="CO9" s="250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51"/>
      <c r="CQ9" s="251"/>
      <c r="CR9" s="251"/>
      <c r="CS9" s="42" t="str">
        <f t="array" aca="1" ref="CS9" ca="1">IF(CO9&lt;&gt;"",
IF(AND(INDIRECT("'盛付札（関数）'!AE"&amp;CM9)&gt;=124,INDIRECT("'盛付札（関数）'!AE"&amp;CM9)&lt;=144),"",
"様"),"")</f>
        <v/>
      </c>
      <c r="CT9" s="36">
        <f>CM9+1</f>
        <v>76</v>
      </c>
      <c r="CU9" s="43" t="str">
        <f ca="1">IF(CV9&lt;&gt;"",
MID(貼り付け用!$A$2, FIND("年",貼り付け用!$A$2)+1,2)&amp;"/"&amp;MID(貼り付け用!$A$2, FIND("月",貼り付け用!$A$2)+1,2),"")</f>
        <v/>
      </c>
      <c r="CV9" s="250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51"/>
      <c r="CX9" s="251"/>
      <c r="CY9" s="251"/>
      <c r="CZ9" s="42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1">
        <f>DI1+1</f>
        <v>87</v>
      </c>
      <c r="DC9" s="43" t="str">
        <f ca="1">IF(DD9&lt;&gt;"",
MID(貼り付け用!$A$2, FIND("年",貼り付け用!$A$2)+1,2)&amp;"/"&amp;MID(貼り付け用!$A$2, FIND("月",貼り付け用!$A$2)+1,2),"")</f>
        <v/>
      </c>
      <c r="DD9" s="250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51"/>
      <c r="DF9" s="251"/>
      <c r="DG9" s="251"/>
      <c r="DH9" s="42" t="str">
        <f t="array" aca="1" ref="DH9" ca="1">IF(DD9&lt;&gt;"",
IF(AND(INDIRECT("'盛付札（関数）'!AE"&amp;DB9)&gt;=124,INDIRECT("'盛付札（関数）'!AE"&amp;DB9)&lt;=144),"",
"様"),"")</f>
        <v/>
      </c>
      <c r="DI9" s="36">
        <f>DB9+1</f>
        <v>88</v>
      </c>
      <c r="DJ9" s="43" t="str">
        <f ca="1">IF(DK9&lt;&gt;"",
MID(貼り付け用!$A$2, FIND("年",貼り付け用!$A$2)+1,2)&amp;"/"&amp;MID(貼り付け用!$A$2, FIND("月",貼り付け用!$A$2)+1,2),"")</f>
        <v/>
      </c>
      <c r="DK9" s="250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51"/>
      <c r="DM9" s="251"/>
      <c r="DN9" s="251"/>
      <c r="DO9" s="42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1">
        <f>DX1+1</f>
        <v>99</v>
      </c>
      <c r="DR9" s="43" t="str">
        <f ca="1">IF(DS9&lt;&gt;"",
MID(貼り付け用!$A$2, FIND("年",貼り付け用!$A$2)+1,2)&amp;"/"&amp;MID(貼り付け用!$A$2, FIND("月",貼り付け用!$A$2)+1,2),"")</f>
        <v/>
      </c>
      <c r="DS9" s="250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51"/>
      <c r="DU9" s="251"/>
      <c r="DV9" s="251"/>
      <c r="DW9" s="42" t="str">
        <f t="array" aca="1" ref="DW9" ca="1">IF(DS9&lt;&gt;"",
IF(AND(INDIRECT("'盛付札（関数）'!AE"&amp;DQ9)&gt;=124,INDIRECT("'盛付札（関数）'!AE"&amp;DQ9)&lt;=144),"",
"様"),"")</f>
        <v/>
      </c>
      <c r="DX9" s="36">
        <f>DQ9+1</f>
        <v>100</v>
      </c>
      <c r="DY9" s="43" t="str">
        <f ca="1">IF(DZ9&lt;&gt;"",
MID(貼り付け用!$A$2, FIND("年",貼り付け用!$A$2)+1,2)&amp;"/"&amp;MID(貼り付け用!$A$2, FIND("月",貼り付け用!$A$2)+1,2),"")</f>
        <v/>
      </c>
      <c r="DZ9" s="250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51"/>
      <c r="EB9" s="251"/>
      <c r="EC9" s="251"/>
      <c r="ED9" s="42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1">
        <f>EM1+1</f>
        <v>111</v>
      </c>
      <c r="EG9" s="43" t="str">
        <f ca="1">IF(EH9&lt;&gt;"",
MID(貼り付け用!$A$2, FIND("年",貼り付け用!$A$2)+1,2)&amp;"/"&amp;MID(貼り付け用!$A$2, FIND("月",貼り付け用!$A$2)+1,2),"")</f>
        <v/>
      </c>
      <c r="EH9" s="250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51"/>
      <c r="EJ9" s="251"/>
      <c r="EK9" s="251"/>
      <c r="EL9" s="42" t="str">
        <f t="array" aca="1" ref="EL9" ca="1">IF(EH9&lt;&gt;"",
IF(AND(INDIRECT("'盛付札（関数）'!AE"&amp;EF9)&gt;=124,INDIRECT("'盛付札（関数）'!AE"&amp;EF9)&lt;=144),"",
"様"),"")</f>
        <v/>
      </c>
      <c r="EM9" s="36">
        <f>EF9+1</f>
        <v>112</v>
      </c>
      <c r="EN9" s="43" t="str">
        <f ca="1">IF(EO9&lt;&gt;"",
MID(貼り付け用!$A$2, FIND("年",貼り付け用!$A$2)+1,2)&amp;"/"&amp;MID(貼り付け用!$A$2, FIND("月",貼り付け用!$A$2)+1,2),"")</f>
        <v/>
      </c>
      <c r="EO9" s="250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51"/>
      <c r="EQ9" s="251"/>
      <c r="ER9" s="251"/>
      <c r="ES9" s="42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32" customFormat="1">
      <c r="A10" s="31"/>
      <c r="B10" s="178"/>
      <c r="C10" s="47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INDIRECT("'盛付札（関数）'!AG"&amp;A9))),"")</f>
        <v/>
      </c>
      <c r="D10" s="41"/>
      <c r="E10" s="41"/>
      <c r="F10" s="48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9"/>
      <c r="H10" s="49"/>
      <c r="I10" s="178"/>
      <c r="J10" s="47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INDIRECT("'盛付札（関数）'!AG"&amp;H9))),"")</f>
        <v/>
      </c>
      <c r="K10" s="41"/>
      <c r="L10" s="41"/>
      <c r="M10" s="48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9"/>
      <c r="O10" s="22"/>
      <c r="P10" s="31"/>
      <c r="Q10" s="178"/>
      <c r="R10" s="47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INDIRECT("'盛付札（関数）'!AG"&amp;P9))),"")</f>
        <v/>
      </c>
      <c r="S10" s="41"/>
      <c r="T10" s="41"/>
      <c r="U10" s="48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9"/>
      <c r="W10" s="49"/>
      <c r="X10" s="178"/>
      <c r="Y10" s="47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INDIRECT("'盛付札（関数）'!AG"&amp;W9))),"")</f>
        <v/>
      </c>
      <c r="Z10" s="41"/>
      <c r="AA10" s="41"/>
      <c r="AB10" s="48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9"/>
      <c r="AD10" s="22"/>
      <c r="AE10" s="31"/>
      <c r="AF10" s="178"/>
      <c r="AG10" s="47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INDIRECT("'盛付札（関数）'!AG"&amp;AE9))),"")</f>
        <v/>
      </c>
      <c r="AH10" s="41"/>
      <c r="AI10" s="41"/>
      <c r="AJ10" s="48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9"/>
      <c r="AL10" s="49"/>
      <c r="AM10" s="178"/>
      <c r="AN10" s="47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INDIRECT("'盛付札（関数）'!AG"&amp;AL9))),"")</f>
        <v/>
      </c>
      <c r="AO10" s="41"/>
      <c r="AP10" s="41"/>
      <c r="AQ10" s="48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9"/>
      <c r="AS10" s="22"/>
      <c r="AT10" s="31"/>
      <c r="AU10" s="178"/>
      <c r="AV10" s="47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INDIRECT("'盛付札（関数）'!AG"&amp;AT9))),"")</f>
        <v/>
      </c>
      <c r="AW10" s="41"/>
      <c r="AX10" s="41"/>
      <c r="AY10" s="48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9"/>
      <c r="BA10" s="49"/>
      <c r="BB10" s="178"/>
      <c r="BC10" s="47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INDIRECT("'盛付札（関数）'!AG"&amp;BA9))),"")</f>
        <v/>
      </c>
      <c r="BD10" s="41"/>
      <c r="BE10" s="41"/>
      <c r="BF10" s="48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9"/>
      <c r="BH10" s="22"/>
      <c r="BI10" s="31"/>
      <c r="BJ10" s="178"/>
      <c r="BK10" s="47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INDIRECT("'盛付札（関数）'!AG"&amp;BI9))),"")</f>
        <v/>
      </c>
      <c r="BL10" s="41"/>
      <c r="BM10" s="41"/>
      <c r="BN10" s="48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9"/>
      <c r="BP10" s="49"/>
      <c r="BQ10" s="178"/>
      <c r="BR10" s="47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INDIRECT("'盛付札（関数）'!AG"&amp;BP9))),"")</f>
        <v/>
      </c>
      <c r="BS10" s="41"/>
      <c r="BT10" s="41"/>
      <c r="BU10" s="48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9"/>
      <c r="BW10" s="22"/>
      <c r="BX10" s="31"/>
      <c r="BY10" s="178"/>
      <c r="BZ10" s="47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INDIRECT("'盛付札（関数）'!AG"&amp;BX9))),"")</f>
        <v/>
      </c>
      <c r="CA10" s="41"/>
      <c r="CB10" s="41"/>
      <c r="CC10" s="48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9"/>
      <c r="CE10" s="49"/>
      <c r="CF10" s="178"/>
      <c r="CG10" s="47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INDIRECT("'盛付札（関数）'!AG"&amp;CE9))),"")</f>
        <v/>
      </c>
      <c r="CH10" s="41"/>
      <c r="CI10" s="41"/>
      <c r="CJ10" s="48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9"/>
      <c r="CL10" s="22"/>
      <c r="CM10" s="31"/>
      <c r="CN10" s="178"/>
      <c r="CO10" s="47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INDIRECT("'盛付札（関数）'!AG"&amp;CM9))),"")</f>
        <v/>
      </c>
      <c r="CP10" s="41"/>
      <c r="CQ10" s="41"/>
      <c r="CR10" s="48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9"/>
      <c r="CT10" s="49"/>
      <c r="CU10" s="178"/>
      <c r="CV10" s="47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INDIRECT("'盛付札（関数）'!AG"&amp;CT9))),"")</f>
        <v/>
      </c>
      <c r="CW10" s="41"/>
      <c r="CX10" s="41"/>
      <c r="CY10" s="48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9"/>
      <c r="DA10" s="22"/>
      <c r="DB10" s="31"/>
      <c r="DC10" s="178"/>
      <c r="DD10" s="47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INDIRECT("'盛付札（関数）'!AG"&amp;DB9))),"")</f>
        <v/>
      </c>
      <c r="DE10" s="41"/>
      <c r="DF10" s="41"/>
      <c r="DG10" s="48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9"/>
      <c r="DI10" s="49"/>
      <c r="DJ10" s="178"/>
      <c r="DK10" s="47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INDIRECT("'盛付札（関数）'!AG"&amp;DI9))),"")</f>
        <v/>
      </c>
      <c r="DL10" s="41"/>
      <c r="DM10" s="41"/>
      <c r="DN10" s="48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9"/>
      <c r="DP10" s="22"/>
      <c r="DQ10" s="31"/>
      <c r="DR10" s="178"/>
      <c r="DS10" s="47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INDIRECT("'盛付札（関数）'!AG"&amp;DQ9))),"")</f>
        <v/>
      </c>
      <c r="DT10" s="41"/>
      <c r="DU10" s="41"/>
      <c r="DV10" s="48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9"/>
      <c r="DX10" s="49"/>
      <c r="DY10" s="178"/>
      <c r="DZ10" s="47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INDIRECT("'盛付札（関数）'!AG"&amp;DX9))),"")</f>
        <v/>
      </c>
      <c r="EA10" s="41"/>
      <c r="EB10" s="41"/>
      <c r="EC10" s="48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9"/>
      <c r="EE10" s="22"/>
      <c r="EF10" s="31"/>
      <c r="EG10" s="178"/>
      <c r="EH10" s="47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INDIRECT("'盛付札（関数）'!AG"&amp;EF9))),"")</f>
        <v/>
      </c>
      <c r="EI10" s="41"/>
      <c r="EJ10" s="41"/>
      <c r="EK10" s="48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9"/>
      <c r="EM10" s="49"/>
      <c r="EN10" s="178"/>
      <c r="EO10" s="47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INDIRECT("'盛付札（関数）'!AG"&amp;EM9))),"")</f>
        <v/>
      </c>
      <c r="EP10" s="41"/>
      <c r="EQ10" s="41"/>
      <c r="ER10" s="48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9"/>
      <c r="ET10" s="22"/>
    </row>
    <row r="11" spans="1:150" s="32" customFormat="1">
      <c r="A11" s="31"/>
      <c r="B11" s="34"/>
      <c r="C11" s="248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49"/>
      <c r="E11" s="22"/>
      <c r="F11" s="32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IF(AND(INDIRECT("'盛付札（関数）'!AE"&amp;A9)&gt;=247,INDIRECT("'盛付札（関数）'!AE"&amp;A9)&lt;=261),"","園児"))),"")</f>
        <v/>
      </c>
      <c r="G11" s="40"/>
      <c r="H11" s="36"/>
      <c r="I11" s="34"/>
      <c r="J11" s="248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49"/>
      <c r="L11" s="22"/>
      <c r="M11" s="32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IF(AND(INDIRECT("'盛付札（関数）'!AE"&amp;H9)&gt;=247,INDIRECT("'盛付札（関数）'!AE"&amp;H9)&lt;=261),"","園児"))),"")</f>
        <v/>
      </c>
      <c r="N11" s="40"/>
      <c r="O11" s="22"/>
      <c r="P11" s="31"/>
      <c r="Q11" s="34"/>
      <c r="R11" s="248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49"/>
      <c r="T11" s="22"/>
      <c r="U11" s="32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IF(AND(INDIRECT("'盛付札（関数）'!AE"&amp;P9)&gt;=247,INDIRECT("'盛付札（関数）'!AE"&amp;P9)&lt;=261),"","園児"))),"")</f>
        <v/>
      </c>
      <c r="V11" s="40"/>
      <c r="W11" s="36"/>
      <c r="X11" s="34"/>
      <c r="Y11" s="248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49"/>
      <c r="AA11" s="22"/>
      <c r="AB11" s="32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IF(AND(INDIRECT("'盛付札（関数）'!AE"&amp;W9)&gt;=247,INDIRECT("'盛付札（関数）'!AE"&amp;W9)&lt;=261),"","園児"))),"")</f>
        <v/>
      </c>
      <c r="AC11" s="40"/>
      <c r="AD11" s="22"/>
      <c r="AE11" s="31"/>
      <c r="AF11" s="34"/>
      <c r="AG11" s="248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49"/>
      <c r="AI11" s="22"/>
      <c r="AJ11" s="32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IF(AND(INDIRECT("'盛付札（関数）'!AE"&amp;AE9)&gt;=247,INDIRECT("'盛付札（関数）'!AE"&amp;AE9)&lt;=261),"","園児"))),"")</f>
        <v/>
      </c>
      <c r="AK11" s="40"/>
      <c r="AL11" s="36"/>
      <c r="AM11" s="34"/>
      <c r="AN11" s="248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49"/>
      <c r="AP11" s="22"/>
      <c r="AQ11" s="32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IF(AND(INDIRECT("'盛付札（関数）'!AE"&amp;AL9)&gt;=247,INDIRECT("'盛付札（関数）'!AE"&amp;AL9)&lt;=261),"","園児"))),"")</f>
        <v/>
      </c>
      <c r="AR11" s="40"/>
      <c r="AS11" s="22"/>
      <c r="AT11" s="31"/>
      <c r="AU11" s="34"/>
      <c r="AV11" s="248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49"/>
      <c r="AX11" s="22"/>
      <c r="AY11" s="32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IF(AND(INDIRECT("'盛付札（関数）'!AE"&amp;AT9)&gt;=247,INDIRECT("'盛付札（関数）'!AE"&amp;AT9)&lt;=261),"","園児"))),"")</f>
        <v/>
      </c>
      <c r="AZ11" s="40"/>
      <c r="BA11" s="36"/>
      <c r="BB11" s="34"/>
      <c r="BC11" s="248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49"/>
      <c r="BE11" s="22"/>
      <c r="BF11" s="32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IF(AND(INDIRECT("'盛付札（関数）'!AE"&amp;BA9)&gt;=247,INDIRECT("'盛付札（関数）'!AE"&amp;BA9)&lt;=261),"","園児"))),"")</f>
        <v/>
      </c>
      <c r="BG11" s="40"/>
      <c r="BH11" s="22"/>
      <c r="BI11" s="31"/>
      <c r="BJ11" s="34"/>
      <c r="BK11" s="248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49"/>
      <c r="BM11" s="22"/>
      <c r="BN11" s="32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IF(AND(INDIRECT("'盛付札（関数）'!AE"&amp;BI9)&gt;=247,INDIRECT("'盛付札（関数）'!AE"&amp;BI9)&lt;=261),"","園児"))),"")</f>
        <v/>
      </c>
      <c r="BO11" s="40"/>
      <c r="BP11" s="36"/>
      <c r="BQ11" s="34"/>
      <c r="BR11" s="248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49"/>
      <c r="BT11" s="22"/>
      <c r="BU11" s="32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IF(AND(INDIRECT("'盛付札（関数）'!AE"&amp;BP9)&gt;=247,INDIRECT("'盛付札（関数）'!AE"&amp;BP9)&lt;=261),"","園児"))),"")</f>
        <v/>
      </c>
      <c r="BV11" s="40"/>
      <c r="BW11" s="22"/>
      <c r="BX11" s="31"/>
      <c r="BY11" s="34"/>
      <c r="BZ11" s="248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49"/>
      <c r="CB11" s="22"/>
      <c r="CC11" s="32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IF(AND(INDIRECT("'盛付札（関数）'!AE"&amp;BX9)&gt;=247,INDIRECT("'盛付札（関数）'!AE"&amp;BX9)&lt;=261),"","園児"))),"")</f>
        <v/>
      </c>
      <c r="CD11" s="40"/>
      <c r="CE11" s="36"/>
      <c r="CF11" s="34"/>
      <c r="CG11" s="248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49"/>
      <c r="CI11" s="22"/>
      <c r="CJ11" s="32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IF(AND(INDIRECT("'盛付札（関数）'!AE"&amp;CE9)&gt;=247,INDIRECT("'盛付札（関数）'!AE"&amp;CE9)&lt;=261),"","園児"))),"")</f>
        <v/>
      </c>
      <c r="CK11" s="40"/>
      <c r="CL11" s="22"/>
      <c r="CM11" s="31"/>
      <c r="CN11" s="34"/>
      <c r="CO11" s="248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49"/>
      <c r="CQ11" s="22"/>
      <c r="CR11" s="32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IF(AND(INDIRECT("'盛付札（関数）'!AE"&amp;CM9)&gt;=247,INDIRECT("'盛付札（関数）'!AE"&amp;CM9)&lt;=261),"","園児"))),"")</f>
        <v/>
      </c>
      <c r="CS11" s="40"/>
      <c r="CT11" s="36"/>
      <c r="CU11" s="34"/>
      <c r="CV11" s="248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49"/>
      <c r="CX11" s="22"/>
      <c r="CY11" s="32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IF(AND(INDIRECT("'盛付札（関数）'!AE"&amp;CT9)&gt;=247,INDIRECT("'盛付札（関数）'!AE"&amp;CT9)&lt;=261),"","園児"))),"")</f>
        <v/>
      </c>
      <c r="CZ11" s="40"/>
      <c r="DA11" s="22"/>
      <c r="DB11" s="31"/>
      <c r="DC11" s="34"/>
      <c r="DD11" s="248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49"/>
      <c r="DF11" s="22"/>
      <c r="DG11" s="32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IF(AND(INDIRECT("'盛付札（関数）'!AE"&amp;DB9)&gt;=247,INDIRECT("'盛付札（関数）'!AE"&amp;DB9)&lt;=261),"","園児"))),"")</f>
        <v/>
      </c>
      <c r="DH11" s="40"/>
      <c r="DI11" s="36"/>
      <c r="DJ11" s="34"/>
      <c r="DK11" s="248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49"/>
      <c r="DM11" s="22"/>
      <c r="DN11" s="32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IF(AND(INDIRECT("'盛付札（関数）'!AE"&amp;DI9)&gt;=247,INDIRECT("'盛付札（関数）'!AE"&amp;DI9)&lt;=261),"","園児"))),"")</f>
        <v/>
      </c>
      <c r="DO11" s="40"/>
      <c r="DP11" s="22"/>
      <c r="DQ11" s="31"/>
      <c r="DR11" s="34"/>
      <c r="DS11" s="248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49"/>
      <c r="DU11" s="22"/>
      <c r="DV11" s="32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IF(AND(INDIRECT("'盛付札（関数）'!AE"&amp;DQ9)&gt;=247,INDIRECT("'盛付札（関数）'!AE"&amp;DQ9)&lt;=261),"","園児"))),"")</f>
        <v/>
      </c>
      <c r="DW11" s="40"/>
      <c r="DX11" s="36"/>
      <c r="DY11" s="34"/>
      <c r="DZ11" s="248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49"/>
      <c r="EB11" s="22"/>
      <c r="EC11" s="32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IF(AND(INDIRECT("'盛付札（関数）'!AE"&amp;DX9)&gt;=247,INDIRECT("'盛付札（関数）'!AE"&amp;DX9)&lt;=261),"","園児"))),"")</f>
        <v/>
      </c>
      <c r="ED11" s="40"/>
      <c r="EE11" s="22"/>
      <c r="EF11" s="31"/>
      <c r="EG11" s="34"/>
      <c r="EH11" s="248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49"/>
      <c r="EJ11" s="22"/>
      <c r="EK11" s="32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IF(AND(INDIRECT("'盛付札（関数）'!AE"&amp;EF9)&gt;=247,INDIRECT("'盛付札（関数）'!AE"&amp;EF9)&lt;=261),"","園児"))),"")</f>
        <v/>
      </c>
      <c r="EL11" s="40"/>
      <c r="EM11" s="36"/>
      <c r="EN11" s="34"/>
      <c r="EO11" s="248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49"/>
      <c r="EQ11" s="22"/>
      <c r="ER11" s="32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IF(AND(INDIRECT("'盛付札（関数）'!AE"&amp;EM9)&gt;=247,INDIRECT("'盛付札（関数）'!AE"&amp;EM9)&lt;=261),"","園児"))),"")</f>
        <v/>
      </c>
      <c r="ES11" s="40"/>
      <c r="ET11" s="22"/>
    </row>
    <row r="12" spans="1:150" ht="15.6" customHeight="1">
      <c r="B12" s="25"/>
      <c r="C12" s="254" t="str">
        <f t="array" aca="1" ref="C12" ca="1">IF(C9&lt;&gt;"",INDIRECT("'盛付札（関数）'!AJ"&amp;A9),"")</f>
        <v/>
      </c>
      <c r="D12" s="255"/>
      <c r="E12" s="50"/>
      <c r="F12" s="257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58"/>
      <c r="H12" s="26"/>
      <c r="I12" s="25"/>
      <c r="J12" s="254" t="str">
        <f t="array" aca="1" ref="J12" ca="1">IF(J9&lt;&gt;"",INDIRECT("'盛付札（関数）'!AJ"&amp;H9),"")</f>
        <v/>
      </c>
      <c r="K12" s="255"/>
      <c r="L12" s="50"/>
      <c r="M12" s="257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58"/>
      <c r="Q12" s="25"/>
      <c r="R12" s="254" t="str">
        <f t="array" aca="1" ref="R12" ca="1">IF(R9&lt;&gt;"",INDIRECT("'盛付札（関数）'!AJ"&amp;P9),"")</f>
        <v/>
      </c>
      <c r="S12" s="255"/>
      <c r="T12" s="50"/>
      <c r="U12" s="257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58"/>
      <c r="W12" s="26"/>
      <c r="X12" s="25"/>
      <c r="Y12" s="254" t="str">
        <f t="array" aca="1" ref="Y12" ca="1">IF(Y9&lt;&gt;"",INDIRECT("'盛付札（関数）'!AJ"&amp;W9),"")</f>
        <v/>
      </c>
      <c r="Z12" s="255"/>
      <c r="AA12" s="50"/>
      <c r="AB12" s="257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58"/>
      <c r="AF12" s="25"/>
      <c r="AG12" s="254" t="str">
        <f t="array" aca="1" ref="AG12" ca="1">IF(AG9&lt;&gt;"",INDIRECT("'盛付札（関数）'!AJ"&amp;AE9),"")</f>
        <v/>
      </c>
      <c r="AH12" s="255"/>
      <c r="AI12" s="50"/>
      <c r="AJ12" s="257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58"/>
      <c r="AL12" s="26"/>
      <c r="AM12" s="25"/>
      <c r="AN12" s="254" t="str">
        <f t="array" aca="1" ref="AN12" ca="1">IF(AN9&lt;&gt;"",INDIRECT("'盛付札（関数）'!AJ"&amp;AL9),"")</f>
        <v/>
      </c>
      <c r="AO12" s="255"/>
      <c r="AP12" s="50"/>
      <c r="AQ12" s="257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58"/>
      <c r="AU12" s="25"/>
      <c r="AV12" s="254" t="str">
        <f t="array" aca="1" ref="AV12" ca="1">IF(AV9&lt;&gt;"",INDIRECT("'盛付札（関数）'!AJ"&amp;AT9),"")</f>
        <v/>
      </c>
      <c r="AW12" s="255"/>
      <c r="AX12" s="50"/>
      <c r="AY12" s="257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58"/>
      <c r="BA12" s="26"/>
      <c r="BB12" s="25"/>
      <c r="BC12" s="254" t="str">
        <f t="array" aca="1" ref="BC12" ca="1">IF(BC9&lt;&gt;"",INDIRECT("'盛付札（関数）'!AJ"&amp;BA9),"")</f>
        <v/>
      </c>
      <c r="BD12" s="255"/>
      <c r="BE12" s="50"/>
      <c r="BF12" s="257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58"/>
      <c r="BJ12" s="25"/>
      <c r="BK12" s="254" t="str">
        <f t="array" aca="1" ref="BK12" ca="1">IF(BK9&lt;&gt;"",INDIRECT("'盛付札（関数）'!AJ"&amp;BI9),"")</f>
        <v/>
      </c>
      <c r="BL12" s="255"/>
      <c r="BM12" s="50"/>
      <c r="BN12" s="257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58"/>
      <c r="BP12" s="26"/>
      <c r="BQ12" s="25"/>
      <c r="BR12" s="254" t="str">
        <f t="array" aca="1" ref="BR12" ca="1">IF(BR9&lt;&gt;"",INDIRECT("'盛付札（関数）'!AJ"&amp;BP9),"")</f>
        <v/>
      </c>
      <c r="BS12" s="255"/>
      <c r="BT12" s="50"/>
      <c r="BU12" s="257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58"/>
      <c r="BY12" s="25"/>
      <c r="BZ12" s="254" t="str">
        <f t="array" aca="1" ref="BZ12" ca="1">IF(BZ9&lt;&gt;"",INDIRECT("'盛付札（関数）'!AJ"&amp;BX9),"")</f>
        <v/>
      </c>
      <c r="CA12" s="255"/>
      <c r="CB12" s="50"/>
      <c r="CC12" s="257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58"/>
      <c r="CE12" s="26"/>
      <c r="CF12" s="25"/>
      <c r="CG12" s="254" t="str">
        <f t="array" aca="1" ref="CG12" ca="1">IF(CG9&lt;&gt;"",INDIRECT("'盛付札（関数）'!AJ"&amp;CE9),"")</f>
        <v/>
      </c>
      <c r="CH12" s="255"/>
      <c r="CI12" s="50"/>
      <c r="CJ12" s="257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58"/>
      <c r="CN12" s="25"/>
      <c r="CO12" s="254" t="str">
        <f t="array" aca="1" ref="CO12" ca="1">IF(CO9&lt;&gt;"",INDIRECT("'盛付札（関数）'!AJ"&amp;CM9),"")</f>
        <v/>
      </c>
      <c r="CP12" s="255"/>
      <c r="CQ12" s="50"/>
      <c r="CR12" s="257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58"/>
      <c r="CT12" s="26"/>
      <c r="CU12" s="25"/>
      <c r="CV12" s="254" t="str">
        <f t="array" aca="1" ref="CV12" ca="1">IF(CV9&lt;&gt;"",INDIRECT("'盛付札（関数）'!AJ"&amp;CT9),"")</f>
        <v/>
      </c>
      <c r="CW12" s="255"/>
      <c r="CX12" s="50"/>
      <c r="CY12" s="257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58"/>
      <c r="DC12" s="25"/>
      <c r="DD12" s="254" t="str">
        <f t="array" aca="1" ref="DD12" ca="1">IF(DD9&lt;&gt;"",INDIRECT("'盛付札（関数）'!AJ"&amp;DB9),"")</f>
        <v/>
      </c>
      <c r="DE12" s="255"/>
      <c r="DF12" s="50"/>
      <c r="DG12" s="257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58"/>
      <c r="DI12" s="26"/>
      <c r="DJ12" s="25"/>
      <c r="DK12" s="254" t="str">
        <f t="array" aca="1" ref="DK12" ca="1">IF(DK9&lt;&gt;"",INDIRECT("'盛付札（関数）'!AJ"&amp;DI9),"")</f>
        <v/>
      </c>
      <c r="DL12" s="255"/>
      <c r="DM12" s="50"/>
      <c r="DN12" s="257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58"/>
      <c r="DR12" s="25"/>
      <c r="DS12" s="254" t="str">
        <f t="array" aca="1" ref="DS12" ca="1">IF(DS9&lt;&gt;"",INDIRECT("'盛付札（関数）'!AJ"&amp;DQ9),"")</f>
        <v/>
      </c>
      <c r="DT12" s="255"/>
      <c r="DU12" s="50"/>
      <c r="DV12" s="257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58"/>
      <c r="DX12" s="26"/>
      <c r="DY12" s="25"/>
      <c r="DZ12" s="254" t="str">
        <f t="array" aca="1" ref="DZ12" ca="1">IF(DZ9&lt;&gt;"",INDIRECT("'盛付札（関数）'!AJ"&amp;DX9),"")</f>
        <v/>
      </c>
      <c r="EA12" s="255"/>
      <c r="EB12" s="50"/>
      <c r="EC12" s="257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58"/>
      <c r="EG12" s="25"/>
      <c r="EH12" s="254" t="str">
        <f t="array" aca="1" ref="EH12" ca="1">IF(EH9&lt;&gt;"",INDIRECT("'盛付札（関数）'!AJ"&amp;EF9),"")</f>
        <v/>
      </c>
      <c r="EI12" s="255"/>
      <c r="EJ12" s="50"/>
      <c r="EK12" s="257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58"/>
      <c r="EM12" s="26"/>
      <c r="EN12" s="25"/>
      <c r="EO12" s="254" t="str">
        <f t="array" aca="1" ref="EO12" ca="1">IF(EO9&lt;&gt;"",INDIRECT("'盛付札（関数）'!AJ"&amp;EM9),"")</f>
        <v/>
      </c>
      <c r="EP12" s="255"/>
      <c r="EQ12" s="50"/>
      <c r="ER12" s="257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58"/>
    </row>
    <row r="13" spans="1:150" ht="15.6" customHeight="1">
      <c r="B13" s="27"/>
      <c r="C13" s="256"/>
      <c r="D13" s="256"/>
      <c r="E13" s="44"/>
      <c r="F13" s="256"/>
      <c r="G13" s="253"/>
      <c r="H13" s="26"/>
      <c r="I13" s="27"/>
      <c r="J13" s="256"/>
      <c r="K13" s="256"/>
      <c r="L13" s="44"/>
      <c r="M13" s="256"/>
      <c r="N13" s="253"/>
      <c r="Q13" s="27"/>
      <c r="R13" s="256"/>
      <c r="S13" s="256"/>
      <c r="T13" s="44"/>
      <c r="U13" s="256"/>
      <c r="V13" s="253"/>
      <c r="W13" s="26"/>
      <c r="X13" s="27"/>
      <c r="Y13" s="256"/>
      <c r="Z13" s="256"/>
      <c r="AA13" s="44"/>
      <c r="AB13" s="256"/>
      <c r="AC13" s="253"/>
      <c r="AF13" s="27"/>
      <c r="AG13" s="256"/>
      <c r="AH13" s="256"/>
      <c r="AI13" s="44"/>
      <c r="AJ13" s="256"/>
      <c r="AK13" s="253"/>
      <c r="AL13" s="26"/>
      <c r="AM13" s="27"/>
      <c r="AN13" s="256"/>
      <c r="AO13" s="256"/>
      <c r="AP13" s="44"/>
      <c r="AQ13" s="256"/>
      <c r="AR13" s="253"/>
      <c r="AU13" s="27"/>
      <c r="AV13" s="256"/>
      <c r="AW13" s="256"/>
      <c r="AX13" s="44"/>
      <c r="AY13" s="256"/>
      <c r="AZ13" s="253"/>
      <c r="BA13" s="26"/>
      <c r="BB13" s="27"/>
      <c r="BC13" s="256"/>
      <c r="BD13" s="256"/>
      <c r="BE13" s="44"/>
      <c r="BF13" s="256"/>
      <c r="BG13" s="253"/>
      <c r="BJ13" s="27"/>
      <c r="BK13" s="256"/>
      <c r="BL13" s="256"/>
      <c r="BM13" s="44"/>
      <c r="BN13" s="256"/>
      <c r="BO13" s="253"/>
      <c r="BP13" s="26"/>
      <c r="BQ13" s="27"/>
      <c r="BR13" s="256"/>
      <c r="BS13" s="256"/>
      <c r="BT13" s="44"/>
      <c r="BU13" s="256"/>
      <c r="BV13" s="253"/>
      <c r="BY13" s="27"/>
      <c r="BZ13" s="256"/>
      <c r="CA13" s="256"/>
      <c r="CB13" s="44"/>
      <c r="CC13" s="256"/>
      <c r="CD13" s="253"/>
      <c r="CE13" s="26"/>
      <c r="CF13" s="27"/>
      <c r="CG13" s="256"/>
      <c r="CH13" s="256"/>
      <c r="CI13" s="44"/>
      <c r="CJ13" s="256"/>
      <c r="CK13" s="253"/>
      <c r="CN13" s="27"/>
      <c r="CO13" s="256"/>
      <c r="CP13" s="256"/>
      <c r="CQ13" s="44"/>
      <c r="CR13" s="256"/>
      <c r="CS13" s="253"/>
      <c r="CT13" s="26"/>
      <c r="CU13" s="27"/>
      <c r="CV13" s="256"/>
      <c r="CW13" s="256"/>
      <c r="CX13" s="44"/>
      <c r="CY13" s="256"/>
      <c r="CZ13" s="253"/>
      <c r="DC13" s="27"/>
      <c r="DD13" s="256"/>
      <c r="DE13" s="256"/>
      <c r="DF13" s="44"/>
      <c r="DG13" s="256"/>
      <c r="DH13" s="253"/>
      <c r="DI13" s="26"/>
      <c r="DJ13" s="27"/>
      <c r="DK13" s="256"/>
      <c r="DL13" s="256"/>
      <c r="DM13" s="44"/>
      <c r="DN13" s="256"/>
      <c r="DO13" s="253"/>
      <c r="DR13" s="27"/>
      <c r="DS13" s="256"/>
      <c r="DT13" s="256"/>
      <c r="DU13" s="44"/>
      <c r="DV13" s="256"/>
      <c r="DW13" s="253"/>
      <c r="DX13" s="26"/>
      <c r="DY13" s="27"/>
      <c r="DZ13" s="256"/>
      <c r="EA13" s="256"/>
      <c r="EB13" s="44"/>
      <c r="EC13" s="256"/>
      <c r="ED13" s="253"/>
      <c r="EG13" s="27"/>
      <c r="EH13" s="256"/>
      <c r="EI13" s="256"/>
      <c r="EJ13" s="44"/>
      <c r="EK13" s="256"/>
      <c r="EL13" s="253"/>
      <c r="EM13" s="26"/>
      <c r="EN13" s="27"/>
      <c r="EO13" s="256"/>
      <c r="EP13" s="256"/>
      <c r="EQ13" s="44"/>
      <c r="ER13" s="256"/>
      <c r="ES13" s="253"/>
    </row>
    <row r="14" spans="1:150" s="32" customFormat="1">
      <c r="A14" s="31"/>
      <c r="B14" s="37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5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7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5"/>
      <c r="F14" s="37" t="str">
        <f t="array" aca="1" ref="F14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"アレルギー")),"")</f>
        <v/>
      </c>
      <c r="G14" s="40"/>
      <c r="H14" s="22"/>
      <c r="I14" s="37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5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7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5"/>
      <c r="M14" s="37" t="str">
        <f t="array" aca="1" ref="M14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"アレルギー")),"")</f>
        <v/>
      </c>
      <c r="N14" s="40"/>
      <c r="O14" s="22"/>
      <c r="P14" s="31"/>
      <c r="Q14" s="37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5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7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5"/>
      <c r="U14" s="37" t="str">
        <f t="array" aca="1" ref="U14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"アレルギー")),"")</f>
        <v/>
      </c>
      <c r="V14" s="40"/>
      <c r="W14" s="22"/>
      <c r="X14" s="37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5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7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5"/>
      <c r="AB14" s="37" t="str">
        <f t="array" aca="1" ref="AB14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"アレルギー")),"")</f>
        <v/>
      </c>
      <c r="AC14" s="40"/>
      <c r="AD14" s="22"/>
      <c r="AE14" s="31"/>
      <c r="AF14" s="37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5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7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5"/>
      <c r="AJ14" s="37" t="str">
        <f t="array" aca="1" ref="AJ14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"アレルギー")),"")</f>
        <v/>
      </c>
      <c r="AK14" s="40"/>
      <c r="AL14" s="22"/>
      <c r="AM14" s="37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5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7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5"/>
      <c r="AQ14" s="37" t="str">
        <f t="array" aca="1" ref="AQ14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"アレルギー")),"")</f>
        <v/>
      </c>
      <c r="AR14" s="40"/>
      <c r="AS14" s="22"/>
      <c r="AT14" s="31"/>
      <c r="AU14" s="37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5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7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5"/>
      <c r="AY14" s="37" t="str">
        <f t="array" aca="1" ref="AY14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"アレルギー")),"")</f>
        <v/>
      </c>
      <c r="AZ14" s="40"/>
      <c r="BA14" s="22"/>
      <c r="BB14" s="37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5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7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5"/>
      <c r="BF14" s="37" t="str">
        <f t="array" aca="1" ref="BF14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"アレルギー")),"")</f>
        <v/>
      </c>
      <c r="BG14" s="40"/>
      <c r="BH14" s="22"/>
      <c r="BI14" s="31"/>
      <c r="BJ14" s="37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5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7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5"/>
      <c r="BN14" s="37" t="str">
        <f t="array" aca="1" ref="BN14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"アレルギー")),"")</f>
        <v/>
      </c>
      <c r="BO14" s="40"/>
      <c r="BP14" s="22"/>
      <c r="BQ14" s="37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5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7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5"/>
      <c r="BU14" s="37" t="str">
        <f t="array" aca="1" ref="BU14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"アレルギー")),"")</f>
        <v/>
      </c>
      <c r="BV14" s="40"/>
      <c r="BW14" s="22"/>
      <c r="BX14" s="31"/>
      <c r="BY14" s="37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5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7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5"/>
      <c r="CC14" s="37" t="str">
        <f t="array" aca="1" ref="CC14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"アレルギー")),"")</f>
        <v/>
      </c>
      <c r="CD14" s="40"/>
      <c r="CE14" s="22"/>
      <c r="CF14" s="37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5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7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5"/>
      <c r="CJ14" s="37" t="str">
        <f t="array" aca="1" ref="CJ14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"アレルギー")),"")</f>
        <v/>
      </c>
      <c r="CK14" s="40"/>
      <c r="CL14" s="22"/>
      <c r="CM14" s="31"/>
      <c r="CN14" s="37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5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7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5"/>
      <c r="CR14" s="37" t="str">
        <f t="array" aca="1" ref="CR14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"アレルギー")),"")</f>
        <v/>
      </c>
      <c r="CS14" s="40"/>
      <c r="CT14" s="22"/>
      <c r="CU14" s="37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5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7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5"/>
      <c r="CY14" s="37" t="str">
        <f t="array" aca="1" ref="CY14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"アレルギー")),"")</f>
        <v/>
      </c>
      <c r="CZ14" s="40"/>
      <c r="DA14" s="22"/>
      <c r="DB14" s="31"/>
      <c r="DC14" s="37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5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7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5"/>
      <c r="DG14" s="37" t="str">
        <f t="array" aca="1" ref="DG14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"アレルギー")),"")</f>
        <v/>
      </c>
      <c r="DH14" s="40"/>
      <c r="DI14" s="22"/>
      <c r="DJ14" s="37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5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7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5"/>
      <c r="DN14" s="37" t="str">
        <f t="array" aca="1" ref="DN14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"アレルギー")),"")</f>
        <v/>
      </c>
      <c r="DO14" s="40"/>
      <c r="DP14" s="22"/>
      <c r="DQ14" s="31"/>
      <c r="DR14" s="37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5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7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5"/>
      <c r="DV14" s="37" t="str">
        <f t="array" aca="1" ref="DV14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"アレルギー")),"")</f>
        <v/>
      </c>
      <c r="DW14" s="40"/>
      <c r="DX14" s="22"/>
      <c r="DY14" s="37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5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7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5"/>
      <c r="EC14" s="37" t="str">
        <f t="array" aca="1" ref="EC14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"アレルギー")),"")</f>
        <v/>
      </c>
      <c r="ED14" s="40"/>
      <c r="EE14" s="22"/>
      <c r="EF14" s="31"/>
      <c r="EG14" s="37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5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7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5"/>
      <c r="EK14" s="37" t="str">
        <f t="array" aca="1" ref="EK14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"アレルギー")),"")</f>
        <v/>
      </c>
      <c r="EL14" s="40"/>
      <c r="EM14" s="22"/>
      <c r="EN14" s="37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5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7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5"/>
      <c r="ER14" s="37" t="str">
        <f t="array" aca="1" ref="ER14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"アレルギー")),"")</f>
        <v/>
      </c>
      <c r="ES14" s="40"/>
      <c r="ET14" s="22"/>
    </row>
    <row r="15" spans="1:150" ht="27.6" customHeight="1">
      <c r="B15" s="259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53"/>
      <c r="D15" s="259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53"/>
      <c r="F15" s="252" t="str">
        <f t="array" aca="1" ref="F15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INDIRECT("'盛付札（関数）'!AO"&amp;A9))),"")</f>
        <v/>
      </c>
      <c r="G15" s="253"/>
      <c r="I15" s="259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53"/>
      <c r="K15" s="259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53"/>
      <c r="M15" s="252" t="str">
        <f t="array" aca="1" ref="M15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INDIRECT("'盛付札（関数）'!AO"&amp;H9))),"")</f>
        <v/>
      </c>
      <c r="N15" s="253"/>
      <c r="Q15" s="259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53"/>
      <c r="S15" s="259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53"/>
      <c r="U15" s="252" t="str">
        <f t="array" aca="1" ref="U15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INDIRECT("'盛付札（関数）'!AO"&amp;P9))),"")</f>
        <v/>
      </c>
      <c r="V15" s="253"/>
      <c r="X15" s="259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53"/>
      <c r="Z15" s="259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53"/>
      <c r="AB15" s="252" t="str">
        <f t="array" aca="1" ref="AB15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INDIRECT("'盛付札（関数）'!AO"&amp;W9))),"")</f>
        <v/>
      </c>
      <c r="AC15" s="253"/>
      <c r="AF15" s="259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53"/>
      <c r="AH15" s="259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53"/>
      <c r="AJ15" s="252" t="str">
        <f t="array" aca="1" ref="AJ15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INDIRECT("'盛付札（関数）'!AO"&amp;AE9))),"")</f>
        <v/>
      </c>
      <c r="AK15" s="253"/>
      <c r="AM15" s="259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53"/>
      <c r="AO15" s="259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53"/>
      <c r="AQ15" s="252" t="str">
        <f t="array" aca="1" ref="AQ15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INDIRECT("'盛付札（関数）'!AO"&amp;AL9))),"")</f>
        <v/>
      </c>
      <c r="AR15" s="253"/>
      <c r="AU15" s="259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53"/>
      <c r="AW15" s="259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53"/>
      <c r="AY15" s="252" t="str">
        <f t="array" aca="1" ref="AY15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INDIRECT("'盛付札（関数）'!AO"&amp;AT9))),"")</f>
        <v/>
      </c>
      <c r="AZ15" s="253"/>
      <c r="BB15" s="259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53"/>
      <c r="BD15" s="259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53"/>
      <c r="BF15" s="252" t="str">
        <f t="array" aca="1" ref="BF15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INDIRECT("'盛付札（関数）'!AO"&amp;BA9))),"")</f>
        <v/>
      </c>
      <c r="BG15" s="253"/>
      <c r="BJ15" s="259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53"/>
      <c r="BL15" s="259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53"/>
      <c r="BN15" s="252" t="str">
        <f t="array" aca="1" ref="BN15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INDIRECT("'盛付札（関数）'!AO"&amp;BI9))),"")</f>
        <v/>
      </c>
      <c r="BO15" s="253"/>
      <c r="BQ15" s="259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53"/>
      <c r="BS15" s="259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53"/>
      <c r="BU15" s="252" t="str">
        <f t="array" aca="1" ref="BU15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INDIRECT("'盛付札（関数）'!AO"&amp;BP9))),"")</f>
        <v/>
      </c>
      <c r="BV15" s="253"/>
      <c r="BY15" s="259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53"/>
      <c r="CA15" s="259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53"/>
      <c r="CC15" s="252" t="str">
        <f t="array" aca="1" ref="CC15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INDIRECT("'盛付札（関数）'!AO"&amp;BX9))),"")</f>
        <v/>
      </c>
      <c r="CD15" s="253"/>
      <c r="CF15" s="259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53"/>
      <c r="CH15" s="259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53"/>
      <c r="CJ15" s="252" t="str">
        <f t="array" aca="1" ref="CJ15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INDIRECT("'盛付札（関数）'!AO"&amp;CE9))),"")</f>
        <v/>
      </c>
      <c r="CK15" s="253"/>
      <c r="CN15" s="259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53"/>
      <c r="CP15" s="259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53"/>
      <c r="CR15" s="252" t="str">
        <f t="array" aca="1" ref="CR15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INDIRECT("'盛付札（関数）'!AO"&amp;CM9))),"")</f>
        <v/>
      </c>
      <c r="CS15" s="253"/>
      <c r="CU15" s="259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53"/>
      <c r="CW15" s="259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53"/>
      <c r="CY15" s="252" t="str">
        <f t="array" aca="1" ref="CY15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INDIRECT("'盛付札（関数）'!AO"&amp;CT9))),"")</f>
        <v/>
      </c>
      <c r="CZ15" s="253"/>
      <c r="DC15" s="259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53"/>
      <c r="DE15" s="259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53"/>
      <c r="DG15" s="252" t="str">
        <f t="array" aca="1" ref="DG15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INDIRECT("'盛付札（関数）'!AO"&amp;DB9))),"")</f>
        <v/>
      </c>
      <c r="DH15" s="253"/>
      <c r="DJ15" s="259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53"/>
      <c r="DL15" s="259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53"/>
      <c r="DN15" s="252" t="str">
        <f t="array" aca="1" ref="DN15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INDIRECT("'盛付札（関数）'!AO"&amp;DI9))),"")</f>
        <v/>
      </c>
      <c r="DO15" s="253"/>
      <c r="DR15" s="259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53"/>
      <c r="DT15" s="259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53"/>
      <c r="DV15" s="252" t="str">
        <f t="array" aca="1" ref="DV15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INDIRECT("'盛付札（関数）'!AO"&amp;DQ9))),"")</f>
        <v/>
      </c>
      <c r="DW15" s="253"/>
      <c r="DY15" s="259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53"/>
      <c r="EA15" s="259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53"/>
      <c r="EC15" s="252" t="str">
        <f t="array" aca="1" ref="EC15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INDIRECT("'盛付札（関数）'!AO"&amp;DX9))),"")</f>
        <v/>
      </c>
      <c r="ED15" s="253"/>
      <c r="EG15" s="259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53"/>
      <c r="EI15" s="259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53"/>
      <c r="EK15" s="252" t="str">
        <f t="array" aca="1" ref="EK15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INDIRECT("'盛付札（関数）'!AO"&amp;EF9))),"")</f>
        <v/>
      </c>
      <c r="EL15" s="253"/>
      <c r="EN15" s="259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53"/>
      <c r="EP15" s="259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53"/>
      <c r="ER15" s="252" t="str">
        <f t="array" aca="1" ref="ER15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INDIRECT("'盛付札（関数）'!AO"&amp;EM9))),"")</f>
        <v/>
      </c>
      <c r="ES15" s="253"/>
    </row>
    <row r="16" spans="1:150" ht="6.6" customHeight="1">
      <c r="B16" s="45"/>
      <c r="D16" s="45"/>
      <c r="F16" s="46"/>
      <c r="I16" s="45"/>
      <c r="K16" s="45"/>
      <c r="M16" s="46"/>
      <c r="Q16" s="45"/>
      <c r="S16" s="45"/>
      <c r="U16" s="46"/>
      <c r="X16" s="45"/>
      <c r="Z16" s="45"/>
      <c r="AB16" s="46"/>
      <c r="AF16" s="45"/>
      <c r="AH16" s="45"/>
      <c r="AJ16" s="46"/>
      <c r="AM16" s="45"/>
      <c r="AO16" s="45"/>
      <c r="AQ16" s="46"/>
      <c r="AU16" s="45"/>
      <c r="AW16" s="45"/>
      <c r="AY16" s="46"/>
      <c r="BB16" s="45"/>
      <c r="BD16" s="45"/>
      <c r="BF16" s="46"/>
      <c r="BJ16" s="45"/>
      <c r="BL16" s="45"/>
      <c r="BN16" s="46"/>
      <c r="BQ16" s="45"/>
      <c r="BS16" s="45"/>
      <c r="BU16" s="46"/>
      <c r="BY16" s="45"/>
      <c r="CA16" s="45"/>
      <c r="CC16" s="46"/>
      <c r="CF16" s="45"/>
      <c r="CH16" s="45"/>
      <c r="CJ16" s="46"/>
      <c r="CN16" s="45"/>
      <c r="CP16" s="45"/>
      <c r="CR16" s="46"/>
      <c r="CU16" s="45"/>
      <c r="CW16" s="45"/>
      <c r="CY16" s="46"/>
      <c r="DC16" s="45"/>
      <c r="DE16" s="45"/>
      <c r="DG16" s="46"/>
      <c r="DJ16" s="45"/>
      <c r="DL16" s="45"/>
      <c r="DN16" s="46"/>
      <c r="DR16" s="45"/>
      <c r="DT16" s="45"/>
      <c r="DV16" s="46"/>
      <c r="DY16" s="45"/>
      <c r="EA16" s="45"/>
      <c r="EC16" s="46"/>
      <c r="EG16" s="45"/>
      <c r="EI16" s="45"/>
      <c r="EK16" s="46"/>
      <c r="EN16" s="45"/>
      <c r="EP16" s="45"/>
      <c r="ER16" s="46"/>
    </row>
    <row r="17" spans="1:150" s="32" customFormat="1" ht="25.8" customHeight="1">
      <c r="A17" s="31">
        <f>H9+1</f>
        <v>5</v>
      </c>
      <c r="B17" s="43" t="str">
        <f ca="1">IF(C17&lt;&gt;"",
MID(貼り付け用!$A$2, FIND("年",貼り付け用!$A$2)+1,2)&amp;"/"&amp;MID(貼り付け用!$A$2, FIND("月",貼り付け用!$A$2)+1,2),"")</f>
        <v/>
      </c>
      <c r="C17" s="250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51"/>
      <c r="E17" s="251"/>
      <c r="F17" s="251"/>
      <c r="G17" s="42" t="str">
        <f t="array" aca="1" ref="G17" ca="1">IF(C17&lt;&gt;"",
IF(AND(INDIRECT("'盛付札（関数）'!AE"&amp;A17)&gt;=124,INDIRECT("'盛付札（関数）'!AE"&amp;A17)&lt;=144),"",
"様"),"")</f>
        <v/>
      </c>
      <c r="H17" s="36">
        <f>A17+1</f>
        <v>6</v>
      </c>
      <c r="I17" s="43" t="str">
        <f ca="1">IF(J17&lt;&gt;"",
MID(貼り付け用!$A$2, FIND("年",貼り付け用!$A$2)+1,2)&amp;"/"&amp;MID(貼り付け用!$A$2, FIND("月",貼り付け用!$A$2)+1,2),"")</f>
        <v/>
      </c>
      <c r="J17" s="250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51"/>
      <c r="L17" s="251"/>
      <c r="M17" s="251"/>
      <c r="N17" s="42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1">
        <f>W9+1</f>
        <v>17</v>
      </c>
      <c r="Q17" s="43" t="str">
        <f ca="1">IF(R17&lt;&gt;"",
MID(貼り付け用!$A$2, FIND("年",貼り付け用!$A$2)+1,2)&amp;"/"&amp;MID(貼り付け用!$A$2, FIND("月",貼り付け用!$A$2)+1,2),"")</f>
        <v/>
      </c>
      <c r="R17" s="250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51"/>
      <c r="T17" s="251"/>
      <c r="U17" s="251"/>
      <c r="V17" s="42" t="str">
        <f t="array" aca="1" ref="V17" ca="1">IF(R17&lt;&gt;"",
IF(AND(INDIRECT("'盛付札（関数）'!AE"&amp;P17)&gt;=124,INDIRECT("'盛付札（関数）'!AE"&amp;P17)&lt;=144),"",
"様"),"")</f>
        <v/>
      </c>
      <c r="W17" s="36">
        <f>P17+1</f>
        <v>18</v>
      </c>
      <c r="X17" s="43" t="str">
        <f ca="1">IF(Y17&lt;&gt;"",
MID(貼り付け用!$A$2, FIND("年",貼り付け用!$A$2)+1,2)&amp;"/"&amp;MID(貼り付け用!$A$2, FIND("月",貼り付け用!$A$2)+1,2),"")</f>
        <v/>
      </c>
      <c r="Y17" s="250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51"/>
      <c r="AA17" s="251"/>
      <c r="AB17" s="251"/>
      <c r="AC17" s="42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1">
        <f>AL9+1</f>
        <v>29</v>
      </c>
      <c r="AF17" s="43" t="str">
        <f ca="1">IF(AG17&lt;&gt;"",
MID(貼り付け用!$A$2, FIND("年",貼り付け用!$A$2)+1,2)&amp;"/"&amp;MID(貼り付け用!$A$2, FIND("月",貼り付け用!$A$2)+1,2),"")</f>
        <v/>
      </c>
      <c r="AG17" s="250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51"/>
      <c r="AI17" s="251"/>
      <c r="AJ17" s="251"/>
      <c r="AK17" s="42" t="str">
        <f t="array" aca="1" ref="AK17" ca="1">IF(AG17&lt;&gt;"",
IF(AND(INDIRECT("'盛付札（関数）'!AE"&amp;AE17)&gt;=124,INDIRECT("'盛付札（関数）'!AE"&amp;AE17)&lt;=144),"",
"様"),"")</f>
        <v/>
      </c>
      <c r="AL17" s="36">
        <f>AE17+1</f>
        <v>30</v>
      </c>
      <c r="AM17" s="43" t="str">
        <f ca="1">IF(AN17&lt;&gt;"",
MID(貼り付け用!$A$2, FIND("年",貼り付け用!$A$2)+1,2)&amp;"/"&amp;MID(貼り付け用!$A$2, FIND("月",貼り付け用!$A$2)+1,2),"")</f>
        <v/>
      </c>
      <c r="AN17" s="250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51"/>
      <c r="AP17" s="251"/>
      <c r="AQ17" s="251"/>
      <c r="AR17" s="42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1">
        <f>BA9+1</f>
        <v>41</v>
      </c>
      <c r="AU17" s="43" t="str">
        <f ca="1">IF(AV17&lt;&gt;"",
MID(貼り付け用!$A$2, FIND("年",貼り付け用!$A$2)+1,2)&amp;"/"&amp;MID(貼り付け用!$A$2, FIND("月",貼り付け用!$A$2)+1,2),"")</f>
        <v/>
      </c>
      <c r="AV17" s="250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51"/>
      <c r="AX17" s="251"/>
      <c r="AY17" s="251"/>
      <c r="AZ17" s="42" t="str">
        <f t="array" aca="1" ref="AZ17" ca="1">IF(AV17&lt;&gt;"",
IF(AND(INDIRECT("'盛付札（関数）'!AE"&amp;AT17)&gt;=124,INDIRECT("'盛付札（関数）'!AE"&amp;AT17)&lt;=144),"",
"様"),"")</f>
        <v/>
      </c>
      <c r="BA17" s="36">
        <f>AT17+1</f>
        <v>42</v>
      </c>
      <c r="BB17" s="43" t="str">
        <f ca="1">IF(BC17&lt;&gt;"",
MID(貼り付け用!$A$2, FIND("年",貼り付け用!$A$2)+1,2)&amp;"/"&amp;MID(貼り付け用!$A$2, FIND("月",貼り付け用!$A$2)+1,2),"")</f>
        <v/>
      </c>
      <c r="BC17" s="250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51"/>
      <c r="BE17" s="251"/>
      <c r="BF17" s="251"/>
      <c r="BG17" s="42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1">
        <f>BP9+1</f>
        <v>53</v>
      </c>
      <c r="BJ17" s="43" t="str">
        <f ca="1">IF(BK17&lt;&gt;"",
MID(貼り付け用!$A$2, FIND("年",貼り付け用!$A$2)+1,2)&amp;"/"&amp;MID(貼り付け用!$A$2, FIND("月",貼り付け用!$A$2)+1,2),"")</f>
        <v/>
      </c>
      <c r="BK17" s="250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51"/>
      <c r="BM17" s="251"/>
      <c r="BN17" s="251"/>
      <c r="BO17" s="42" t="str">
        <f t="array" aca="1" ref="BO17" ca="1">IF(BK17&lt;&gt;"",
IF(AND(INDIRECT("'盛付札（関数）'!AE"&amp;BI17)&gt;=124,INDIRECT("'盛付札（関数）'!AE"&amp;BI17)&lt;=144),"",
"様"),"")</f>
        <v/>
      </c>
      <c r="BP17" s="36">
        <f>BI17+1</f>
        <v>54</v>
      </c>
      <c r="BQ17" s="43" t="str">
        <f ca="1">IF(BR17&lt;&gt;"",
MID(貼り付け用!$A$2, FIND("年",貼り付け用!$A$2)+1,2)&amp;"/"&amp;MID(貼り付け用!$A$2, FIND("月",貼り付け用!$A$2)+1,2),"")</f>
        <v/>
      </c>
      <c r="BR17" s="250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51"/>
      <c r="BT17" s="251"/>
      <c r="BU17" s="251"/>
      <c r="BV17" s="42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1">
        <f>CE9+1</f>
        <v>65</v>
      </c>
      <c r="BY17" s="43" t="str">
        <f ca="1">IF(BZ17&lt;&gt;"",
MID(貼り付け用!$A$2, FIND("年",貼り付け用!$A$2)+1,2)&amp;"/"&amp;MID(貼り付け用!$A$2, FIND("月",貼り付け用!$A$2)+1,2),"")</f>
        <v/>
      </c>
      <c r="BZ17" s="250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51"/>
      <c r="CB17" s="251"/>
      <c r="CC17" s="251"/>
      <c r="CD17" s="42" t="str">
        <f t="array" aca="1" ref="CD17" ca="1">IF(BZ17&lt;&gt;"",
IF(AND(INDIRECT("'盛付札（関数）'!AE"&amp;BX17)&gt;=124,INDIRECT("'盛付札（関数）'!AE"&amp;BX17)&lt;=144),"",
"様"),"")</f>
        <v/>
      </c>
      <c r="CE17" s="36">
        <f>BX17+1</f>
        <v>66</v>
      </c>
      <c r="CF17" s="43" t="str">
        <f ca="1">IF(CG17&lt;&gt;"",
MID(貼り付け用!$A$2, FIND("年",貼り付け用!$A$2)+1,2)&amp;"/"&amp;MID(貼り付け用!$A$2, FIND("月",貼り付け用!$A$2)+1,2),"")</f>
        <v/>
      </c>
      <c r="CG17" s="250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51"/>
      <c r="CI17" s="251"/>
      <c r="CJ17" s="251"/>
      <c r="CK17" s="42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1">
        <f>CT9+1</f>
        <v>77</v>
      </c>
      <c r="CN17" s="43" t="str">
        <f ca="1">IF(CO17&lt;&gt;"",
MID(貼り付け用!$A$2, FIND("年",貼り付け用!$A$2)+1,2)&amp;"/"&amp;MID(貼り付け用!$A$2, FIND("月",貼り付け用!$A$2)+1,2),"")</f>
        <v/>
      </c>
      <c r="CO17" s="250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51"/>
      <c r="CQ17" s="251"/>
      <c r="CR17" s="251"/>
      <c r="CS17" s="42" t="str">
        <f t="array" aca="1" ref="CS17" ca="1">IF(CO17&lt;&gt;"",
IF(AND(INDIRECT("'盛付札（関数）'!AE"&amp;CM17)&gt;=124,INDIRECT("'盛付札（関数）'!AE"&amp;CM17)&lt;=144),"",
"様"),"")</f>
        <v/>
      </c>
      <c r="CT17" s="36">
        <f>CM17+1</f>
        <v>78</v>
      </c>
      <c r="CU17" s="43" t="str">
        <f ca="1">IF(CV17&lt;&gt;"",
MID(貼り付け用!$A$2, FIND("年",貼り付け用!$A$2)+1,2)&amp;"/"&amp;MID(貼り付け用!$A$2, FIND("月",貼り付け用!$A$2)+1,2),"")</f>
        <v/>
      </c>
      <c r="CV17" s="250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51"/>
      <c r="CX17" s="251"/>
      <c r="CY17" s="251"/>
      <c r="CZ17" s="42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1">
        <f>DI9+1</f>
        <v>89</v>
      </c>
      <c r="DC17" s="43" t="str">
        <f ca="1">IF(DD17&lt;&gt;"",
MID(貼り付け用!$A$2, FIND("年",貼り付け用!$A$2)+1,2)&amp;"/"&amp;MID(貼り付け用!$A$2, FIND("月",貼り付け用!$A$2)+1,2),"")</f>
        <v/>
      </c>
      <c r="DD17" s="250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51"/>
      <c r="DF17" s="251"/>
      <c r="DG17" s="251"/>
      <c r="DH17" s="42" t="str">
        <f t="array" aca="1" ref="DH17" ca="1">IF(DD17&lt;&gt;"",
IF(AND(INDIRECT("'盛付札（関数）'!AE"&amp;DB17)&gt;=124,INDIRECT("'盛付札（関数）'!AE"&amp;DB17)&lt;=144),"",
"様"),"")</f>
        <v/>
      </c>
      <c r="DI17" s="36">
        <f>DB17+1</f>
        <v>90</v>
      </c>
      <c r="DJ17" s="43" t="str">
        <f ca="1">IF(DK17&lt;&gt;"",
MID(貼り付け用!$A$2, FIND("年",貼り付け用!$A$2)+1,2)&amp;"/"&amp;MID(貼り付け用!$A$2, FIND("月",貼り付け用!$A$2)+1,2),"")</f>
        <v/>
      </c>
      <c r="DK17" s="250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51"/>
      <c r="DM17" s="251"/>
      <c r="DN17" s="251"/>
      <c r="DO17" s="42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1">
        <f>DX9+1</f>
        <v>101</v>
      </c>
      <c r="DR17" s="43" t="str">
        <f ca="1">IF(DS17&lt;&gt;"",
MID(貼り付け用!$A$2, FIND("年",貼り付け用!$A$2)+1,2)&amp;"/"&amp;MID(貼り付け用!$A$2, FIND("月",貼り付け用!$A$2)+1,2),"")</f>
        <v/>
      </c>
      <c r="DS17" s="250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51"/>
      <c r="DU17" s="251"/>
      <c r="DV17" s="251"/>
      <c r="DW17" s="42" t="str">
        <f t="array" aca="1" ref="DW17" ca="1">IF(DS17&lt;&gt;"",
IF(AND(INDIRECT("'盛付札（関数）'!AE"&amp;DQ17)&gt;=124,INDIRECT("'盛付札（関数）'!AE"&amp;DQ17)&lt;=144),"",
"様"),"")</f>
        <v/>
      </c>
      <c r="DX17" s="36">
        <f>DQ17+1</f>
        <v>102</v>
      </c>
      <c r="DY17" s="43" t="str">
        <f ca="1">IF(DZ17&lt;&gt;"",
MID(貼り付け用!$A$2, FIND("年",貼り付け用!$A$2)+1,2)&amp;"/"&amp;MID(貼り付け用!$A$2, FIND("月",貼り付け用!$A$2)+1,2),"")</f>
        <v/>
      </c>
      <c r="DZ17" s="250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51"/>
      <c r="EB17" s="251"/>
      <c r="EC17" s="251"/>
      <c r="ED17" s="42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1">
        <f>EM9+1</f>
        <v>113</v>
      </c>
      <c r="EG17" s="43" t="str">
        <f ca="1">IF(EH17&lt;&gt;"",
MID(貼り付け用!$A$2, FIND("年",貼り付け用!$A$2)+1,2)&amp;"/"&amp;MID(貼り付け用!$A$2, FIND("月",貼り付け用!$A$2)+1,2),"")</f>
        <v/>
      </c>
      <c r="EH17" s="250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51"/>
      <c r="EJ17" s="251"/>
      <c r="EK17" s="251"/>
      <c r="EL17" s="42" t="str">
        <f t="array" aca="1" ref="EL17" ca="1">IF(EH17&lt;&gt;"",
IF(AND(INDIRECT("'盛付札（関数）'!AE"&amp;EF17)&gt;=124,INDIRECT("'盛付札（関数）'!AE"&amp;EF17)&lt;=144),"",
"様"),"")</f>
        <v/>
      </c>
      <c r="EM17" s="36">
        <f>EF17+1</f>
        <v>114</v>
      </c>
      <c r="EN17" s="43" t="str">
        <f ca="1">IF(EO17&lt;&gt;"",
MID(貼り付け用!$A$2, FIND("年",貼り付け用!$A$2)+1,2)&amp;"/"&amp;MID(貼り付け用!$A$2, FIND("月",貼り付け用!$A$2)+1,2),"")</f>
        <v/>
      </c>
      <c r="EO17" s="250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51"/>
      <c r="EQ17" s="251"/>
      <c r="ER17" s="251"/>
      <c r="ES17" s="42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32" customFormat="1">
      <c r="A18" s="31"/>
      <c r="B18" s="178"/>
      <c r="C18" s="47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INDIRECT("'盛付札（関数）'!AG"&amp;A17))),"")</f>
        <v/>
      </c>
      <c r="D18" s="41"/>
      <c r="E18" s="41"/>
      <c r="F18" s="48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9"/>
      <c r="H18" s="49"/>
      <c r="I18" s="178"/>
      <c r="J18" s="47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INDIRECT("'盛付札（関数）'!AG"&amp;H17))),"")</f>
        <v/>
      </c>
      <c r="K18" s="41"/>
      <c r="L18" s="41"/>
      <c r="M18" s="48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9"/>
      <c r="O18" s="22"/>
      <c r="P18" s="31"/>
      <c r="Q18" s="178"/>
      <c r="R18" s="47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INDIRECT("'盛付札（関数）'!AG"&amp;P17))),"")</f>
        <v/>
      </c>
      <c r="S18" s="41"/>
      <c r="T18" s="41"/>
      <c r="U18" s="48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9"/>
      <c r="W18" s="49"/>
      <c r="X18" s="178"/>
      <c r="Y18" s="47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INDIRECT("'盛付札（関数）'!AG"&amp;W17))),"")</f>
        <v/>
      </c>
      <c r="Z18" s="41"/>
      <c r="AA18" s="41"/>
      <c r="AB18" s="48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9"/>
      <c r="AD18" s="22"/>
      <c r="AE18" s="31"/>
      <c r="AF18" s="178"/>
      <c r="AG18" s="47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INDIRECT("'盛付札（関数）'!AG"&amp;AE17))),"")</f>
        <v/>
      </c>
      <c r="AH18" s="41"/>
      <c r="AI18" s="41"/>
      <c r="AJ18" s="48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9"/>
      <c r="AL18" s="49"/>
      <c r="AM18" s="178"/>
      <c r="AN18" s="47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INDIRECT("'盛付札（関数）'!AG"&amp;AL17))),"")</f>
        <v/>
      </c>
      <c r="AO18" s="41"/>
      <c r="AP18" s="41"/>
      <c r="AQ18" s="48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9"/>
      <c r="AS18" s="22"/>
      <c r="AT18" s="31"/>
      <c r="AU18" s="178"/>
      <c r="AV18" s="47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INDIRECT("'盛付札（関数）'!AG"&amp;AT17))),"")</f>
        <v/>
      </c>
      <c r="AW18" s="41"/>
      <c r="AX18" s="41"/>
      <c r="AY18" s="48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9"/>
      <c r="BA18" s="49"/>
      <c r="BB18" s="178"/>
      <c r="BC18" s="47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INDIRECT("'盛付札（関数）'!AG"&amp;BA17))),"")</f>
        <v/>
      </c>
      <c r="BD18" s="41"/>
      <c r="BE18" s="41"/>
      <c r="BF18" s="48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9"/>
      <c r="BH18" s="22"/>
      <c r="BI18" s="31"/>
      <c r="BJ18" s="178"/>
      <c r="BK18" s="47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INDIRECT("'盛付札（関数）'!AG"&amp;BI17))),"")</f>
        <v/>
      </c>
      <c r="BL18" s="41"/>
      <c r="BM18" s="41"/>
      <c r="BN18" s="48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9"/>
      <c r="BP18" s="49"/>
      <c r="BQ18" s="178"/>
      <c r="BR18" s="47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INDIRECT("'盛付札（関数）'!AG"&amp;BP17))),"")</f>
        <v/>
      </c>
      <c r="BS18" s="41"/>
      <c r="BT18" s="41"/>
      <c r="BU18" s="48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9"/>
      <c r="BW18" s="22"/>
      <c r="BX18" s="31"/>
      <c r="BY18" s="178"/>
      <c r="BZ18" s="47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INDIRECT("'盛付札（関数）'!AG"&amp;BX17))),"")</f>
        <v/>
      </c>
      <c r="CA18" s="41"/>
      <c r="CB18" s="41"/>
      <c r="CC18" s="48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9"/>
      <c r="CE18" s="49"/>
      <c r="CF18" s="178"/>
      <c r="CG18" s="47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INDIRECT("'盛付札（関数）'!AG"&amp;CE17))),"")</f>
        <v/>
      </c>
      <c r="CH18" s="41"/>
      <c r="CI18" s="41"/>
      <c r="CJ18" s="48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9"/>
      <c r="CL18" s="22"/>
      <c r="CM18" s="31"/>
      <c r="CN18" s="178"/>
      <c r="CO18" s="47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INDIRECT("'盛付札（関数）'!AG"&amp;CM17))),"")</f>
        <v/>
      </c>
      <c r="CP18" s="41"/>
      <c r="CQ18" s="41"/>
      <c r="CR18" s="48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9"/>
      <c r="CT18" s="49"/>
      <c r="CU18" s="178"/>
      <c r="CV18" s="47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INDIRECT("'盛付札（関数）'!AG"&amp;CT17))),"")</f>
        <v/>
      </c>
      <c r="CW18" s="41"/>
      <c r="CX18" s="41"/>
      <c r="CY18" s="48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9"/>
      <c r="DA18" s="22"/>
      <c r="DB18" s="31"/>
      <c r="DC18" s="178"/>
      <c r="DD18" s="47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INDIRECT("'盛付札（関数）'!AG"&amp;DB17))),"")</f>
        <v/>
      </c>
      <c r="DE18" s="41"/>
      <c r="DF18" s="41"/>
      <c r="DG18" s="48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9"/>
      <c r="DI18" s="49"/>
      <c r="DJ18" s="178"/>
      <c r="DK18" s="47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INDIRECT("'盛付札（関数）'!AG"&amp;DI17))),"")</f>
        <v/>
      </c>
      <c r="DL18" s="41"/>
      <c r="DM18" s="41"/>
      <c r="DN18" s="48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9"/>
      <c r="DP18" s="22"/>
      <c r="DQ18" s="31"/>
      <c r="DR18" s="178"/>
      <c r="DS18" s="47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INDIRECT("'盛付札（関数）'!AG"&amp;DQ17))),"")</f>
        <v/>
      </c>
      <c r="DT18" s="41"/>
      <c r="DU18" s="41"/>
      <c r="DV18" s="48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9"/>
      <c r="DX18" s="49"/>
      <c r="DY18" s="178"/>
      <c r="DZ18" s="47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INDIRECT("'盛付札（関数）'!AG"&amp;DX17))),"")</f>
        <v/>
      </c>
      <c r="EA18" s="41"/>
      <c r="EB18" s="41"/>
      <c r="EC18" s="48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9"/>
      <c r="EE18" s="22"/>
      <c r="EF18" s="31"/>
      <c r="EG18" s="178"/>
      <c r="EH18" s="47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INDIRECT("'盛付札（関数）'!AG"&amp;EF17))),"")</f>
        <v/>
      </c>
      <c r="EI18" s="41"/>
      <c r="EJ18" s="41"/>
      <c r="EK18" s="48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9"/>
      <c r="EM18" s="49"/>
      <c r="EN18" s="178"/>
      <c r="EO18" s="47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INDIRECT("'盛付札（関数）'!AG"&amp;EM17))),"")</f>
        <v/>
      </c>
      <c r="EP18" s="41"/>
      <c r="EQ18" s="41"/>
      <c r="ER18" s="48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9"/>
      <c r="ET18" s="22"/>
    </row>
    <row r="19" spans="1:150" s="32" customFormat="1">
      <c r="A19" s="31"/>
      <c r="B19" s="34"/>
      <c r="C19" s="248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49"/>
      <c r="E19" s="22"/>
      <c r="F19" s="32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IF(AND(INDIRECT("'盛付札（関数）'!AE"&amp;A17)&gt;=247,INDIRECT("'盛付札（関数）'!AE"&amp;A17)&lt;=261),"","園児"))),"")</f>
        <v/>
      </c>
      <c r="G19" s="40"/>
      <c r="H19" s="36"/>
      <c r="I19" s="34"/>
      <c r="J19" s="248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49"/>
      <c r="L19" s="22"/>
      <c r="M19" s="32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IF(AND(INDIRECT("'盛付札（関数）'!AE"&amp;H17)&gt;=247,INDIRECT("'盛付札（関数）'!AE"&amp;H17)&lt;=261),"","園児"))),"")</f>
        <v/>
      </c>
      <c r="N19" s="40"/>
      <c r="O19" s="22"/>
      <c r="P19" s="31"/>
      <c r="Q19" s="34"/>
      <c r="R19" s="248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49"/>
      <c r="T19" s="22"/>
      <c r="U19" s="32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IF(AND(INDIRECT("'盛付札（関数）'!AE"&amp;P17)&gt;=247,INDIRECT("'盛付札（関数）'!AE"&amp;P17)&lt;=261),"","園児"))),"")</f>
        <v/>
      </c>
      <c r="V19" s="40"/>
      <c r="W19" s="36"/>
      <c r="X19" s="34"/>
      <c r="Y19" s="248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49"/>
      <c r="AA19" s="22"/>
      <c r="AB19" s="32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IF(AND(INDIRECT("'盛付札（関数）'!AE"&amp;W17)&gt;=247,INDIRECT("'盛付札（関数）'!AE"&amp;W17)&lt;=261),"","園児"))),"")</f>
        <v/>
      </c>
      <c r="AC19" s="40"/>
      <c r="AD19" s="22"/>
      <c r="AE19" s="31"/>
      <c r="AF19" s="34"/>
      <c r="AG19" s="248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49"/>
      <c r="AI19" s="22"/>
      <c r="AJ19" s="32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IF(AND(INDIRECT("'盛付札（関数）'!AE"&amp;AE17)&gt;=247,INDIRECT("'盛付札（関数）'!AE"&amp;AE17)&lt;=261),"","園児"))),"")</f>
        <v/>
      </c>
      <c r="AK19" s="40"/>
      <c r="AL19" s="36"/>
      <c r="AM19" s="34"/>
      <c r="AN19" s="248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49"/>
      <c r="AP19" s="22"/>
      <c r="AQ19" s="32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IF(AND(INDIRECT("'盛付札（関数）'!AE"&amp;AL17)&gt;=247,INDIRECT("'盛付札（関数）'!AE"&amp;AL17)&lt;=261),"","園児"))),"")</f>
        <v/>
      </c>
      <c r="AR19" s="40"/>
      <c r="AS19" s="22"/>
      <c r="AT19" s="31"/>
      <c r="AU19" s="34"/>
      <c r="AV19" s="248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49"/>
      <c r="AX19" s="22"/>
      <c r="AY19" s="32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IF(AND(INDIRECT("'盛付札（関数）'!AE"&amp;AT17)&gt;=247,INDIRECT("'盛付札（関数）'!AE"&amp;AT17)&lt;=261),"","園児"))),"")</f>
        <v/>
      </c>
      <c r="AZ19" s="40"/>
      <c r="BA19" s="36"/>
      <c r="BB19" s="34"/>
      <c r="BC19" s="248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49"/>
      <c r="BE19" s="22"/>
      <c r="BF19" s="32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IF(AND(INDIRECT("'盛付札（関数）'!AE"&amp;BA17)&gt;=247,INDIRECT("'盛付札（関数）'!AE"&amp;BA17)&lt;=261),"","園児"))),"")</f>
        <v/>
      </c>
      <c r="BG19" s="40"/>
      <c r="BH19" s="22"/>
      <c r="BI19" s="31"/>
      <c r="BJ19" s="34"/>
      <c r="BK19" s="248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49"/>
      <c r="BM19" s="22"/>
      <c r="BN19" s="32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IF(AND(INDIRECT("'盛付札（関数）'!AE"&amp;BI17)&gt;=247,INDIRECT("'盛付札（関数）'!AE"&amp;BI17)&lt;=261),"","園児"))),"")</f>
        <v/>
      </c>
      <c r="BO19" s="40"/>
      <c r="BP19" s="36"/>
      <c r="BQ19" s="34"/>
      <c r="BR19" s="248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49"/>
      <c r="BT19" s="22"/>
      <c r="BU19" s="32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IF(AND(INDIRECT("'盛付札（関数）'!AE"&amp;BP17)&gt;=247,INDIRECT("'盛付札（関数）'!AE"&amp;BP17)&lt;=261),"","園児"))),"")</f>
        <v/>
      </c>
      <c r="BV19" s="40"/>
      <c r="BW19" s="22"/>
      <c r="BX19" s="31"/>
      <c r="BY19" s="34"/>
      <c r="BZ19" s="248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49"/>
      <c r="CB19" s="22"/>
      <c r="CC19" s="32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IF(AND(INDIRECT("'盛付札（関数）'!AE"&amp;BX17)&gt;=247,INDIRECT("'盛付札（関数）'!AE"&amp;BX17)&lt;=261),"","園児"))),"")</f>
        <v/>
      </c>
      <c r="CD19" s="40"/>
      <c r="CE19" s="36"/>
      <c r="CF19" s="34"/>
      <c r="CG19" s="248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49"/>
      <c r="CI19" s="22"/>
      <c r="CJ19" s="32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IF(AND(INDIRECT("'盛付札（関数）'!AE"&amp;CE17)&gt;=247,INDIRECT("'盛付札（関数）'!AE"&amp;CE17)&lt;=261),"","園児"))),"")</f>
        <v/>
      </c>
      <c r="CK19" s="40"/>
      <c r="CL19" s="22"/>
      <c r="CM19" s="31"/>
      <c r="CN19" s="34"/>
      <c r="CO19" s="248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49"/>
      <c r="CQ19" s="22"/>
      <c r="CR19" s="32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IF(AND(INDIRECT("'盛付札（関数）'!AE"&amp;CM17)&gt;=247,INDIRECT("'盛付札（関数）'!AE"&amp;CM17)&lt;=261),"","園児"))),"")</f>
        <v/>
      </c>
      <c r="CS19" s="40"/>
      <c r="CT19" s="36"/>
      <c r="CU19" s="34"/>
      <c r="CV19" s="248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49"/>
      <c r="CX19" s="22"/>
      <c r="CY19" s="32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IF(AND(INDIRECT("'盛付札（関数）'!AE"&amp;CT17)&gt;=247,INDIRECT("'盛付札（関数）'!AE"&amp;CT17)&lt;=261),"","園児"))),"")</f>
        <v/>
      </c>
      <c r="CZ19" s="40"/>
      <c r="DA19" s="22"/>
      <c r="DB19" s="31"/>
      <c r="DC19" s="34"/>
      <c r="DD19" s="248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49"/>
      <c r="DF19" s="22"/>
      <c r="DG19" s="32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IF(AND(INDIRECT("'盛付札（関数）'!AE"&amp;DB17)&gt;=247,INDIRECT("'盛付札（関数）'!AE"&amp;DB17)&lt;=261),"","園児"))),"")</f>
        <v/>
      </c>
      <c r="DH19" s="40"/>
      <c r="DI19" s="36"/>
      <c r="DJ19" s="34"/>
      <c r="DK19" s="248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49"/>
      <c r="DM19" s="22"/>
      <c r="DN19" s="32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IF(AND(INDIRECT("'盛付札（関数）'!AE"&amp;DI17)&gt;=247,INDIRECT("'盛付札（関数）'!AE"&amp;DI17)&lt;=261),"","園児"))),"")</f>
        <v/>
      </c>
      <c r="DO19" s="40"/>
      <c r="DP19" s="22"/>
      <c r="DQ19" s="31"/>
      <c r="DR19" s="34"/>
      <c r="DS19" s="248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49"/>
      <c r="DU19" s="22"/>
      <c r="DV19" s="32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IF(AND(INDIRECT("'盛付札（関数）'!AE"&amp;DQ17)&gt;=247,INDIRECT("'盛付札（関数）'!AE"&amp;DQ17)&lt;=261),"","園児"))),"")</f>
        <v/>
      </c>
      <c r="DW19" s="40"/>
      <c r="DX19" s="36"/>
      <c r="DY19" s="34"/>
      <c r="DZ19" s="248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49"/>
      <c r="EB19" s="22"/>
      <c r="EC19" s="32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IF(AND(INDIRECT("'盛付札（関数）'!AE"&amp;DX17)&gt;=247,INDIRECT("'盛付札（関数）'!AE"&amp;DX17)&lt;=261),"","園児"))),"")</f>
        <v/>
      </c>
      <c r="ED19" s="40"/>
      <c r="EE19" s="22"/>
      <c r="EF19" s="31"/>
      <c r="EG19" s="34"/>
      <c r="EH19" s="248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49"/>
      <c r="EJ19" s="22"/>
      <c r="EK19" s="32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IF(AND(INDIRECT("'盛付札（関数）'!AE"&amp;EF17)&gt;=247,INDIRECT("'盛付札（関数）'!AE"&amp;EF17)&lt;=261),"","園児"))),"")</f>
        <v/>
      </c>
      <c r="EL19" s="40"/>
      <c r="EM19" s="36"/>
      <c r="EN19" s="34"/>
      <c r="EO19" s="248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49"/>
      <c r="EQ19" s="22"/>
      <c r="ER19" s="32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IF(AND(INDIRECT("'盛付札（関数）'!AE"&amp;EM17)&gt;=247,INDIRECT("'盛付札（関数）'!AE"&amp;EM17)&lt;=261),"","園児"))),"")</f>
        <v/>
      </c>
      <c r="ES19" s="40"/>
      <c r="ET19" s="22"/>
    </row>
    <row r="20" spans="1:150" ht="15.6" customHeight="1">
      <c r="B20" s="25"/>
      <c r="C20" s="254" t="str">
        <f t="array" aca="1" ref="C20" ca="1">IF(C17&lt;&gt;"",INDIRECT("'盛付札（関数）'!AJ"&amp;A17),"")</f>
        <v/>
      </c>
      <c r="D20" s="255"/>
      <c r="E20" s="50"/>
      <c r="F20" s="257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58"/>
      <c r="H20" s="26"/>
      <c r="I20" s="25"/>
      <c r="J20" s="254" t="str">
        <f t="array" aca="1" ref="J20" ca="1">IF(J17&lt;&gt;"",INDIRECT("'盛付札（関数）'!AJ"&amp;H17),"")</f>
        <v/>
      </c>
      <c r="K20" s="255"/>
      <c r="L20" s="50"/>
      <c r="M20" s="257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58"/>
      <c r="Q20" s="25"/>
      <c r="R20" s="254" t="str">
        <f t="array" aca="1" ref="R20" ca="1">IF(R17&lt;&gt;"",INDIRECT("'盛付札（関数）'!AJ"&amp;P17),"")</f>
        <v/>
      </c>
      <c r="S20" s="255"/>
      <c r="T20" s="50"/>
      <c r="U20" s="257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58"/>
      <c r="W20" s="26"/>
      <c r="X20" s="25"/>
      <c r="Y20" s="254" t="str">
        <f t="array" aca="1" ref="Y20" ca="1">IF(Y17&lt;&gt;"",INDIRECT("'盛付札（関数）'!AJ"&amp;W17),"")</f>
        <v/>
      </c>
      <c r="Z20" s="255"/>
      <c r="AA20" s="50"/>
      <c r="AB20" s="257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58"/>
      <c r="AF20" s="25"/>
      <c r="AG20" s="254" t="str">
        <f t="array" aca="1" ref="AG20" ca="1">IF(AG17&lt;&gt;"",INDIRECT("'盛付札（関数）'!AJ"&amp;AE17),"")</f>
        <v/>
      </c>
      <c r="AH20" s="255"/>
      <c r="AI20" s="50"/>
      <c r="AJ20" s="257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58"/>
      <c r="AL20" s="26"/>
      <c r="AM20" s="25"/>
      <c r="AN20" s="254" t="str">
        <f t="array" aca="1" ref="AN20" ca="1">IF(AN17&lt;&gt;"",INDIRECT("'盛付札（関数）'!AJ"&amp;AL17),"")</f>
        <v/>
      </c>
      <c r="AO20" s="255"/>
      <c r="AP20" s="50"/>
      <c r="AQ20" s="257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58"/>
      <c r="AU20" s="25"/>
      <c r="AV20" s="254" t="str">
        <f t="array" aca="1" ref="AV20" ca="1">IF(AV17&lt;&gt;"",INDIRECT("'盛付札（関数）'!AJ"&amp;AT17),"")</f>
        <v/>
      </c>
      <c r="AW20" s="255"/>
      <c r="AX20" s="50"/>
      <c r="AY20" s="257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58"/>
      <c r="BA20" s="26"/>
      <c r="BB20" s="25"/>
      <c r="BC20" s="254" t="str">
        <f t="array" aca="1" ref="BC20" ca="1">IF(BC17&lt;&gt;"",INDIRECT("'盛付札（関数）'!AJ"&amp;BA17),"")</f>
        <v/>
      </c>
      <c r="BD20" s="255"/>
      <c r="BE20" s="50"/>
      <c r="BF20" s="257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58"/>
      <c r="BJ20" s="25"/>
      <c r="BK20" s="254" t="str">
        <f t="array" aca="1" ref="BK20" ca="1">IF(BK17&lt;&gt;"",INDIRECT("'盛付札（関数）'!AJ"&amp;BI17),"")</f>
        <v/>
      </c>
      <c r="BL20" s="255"/>
      <c r="BM20" s="50"/>
      <c r="BN20" s="257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58"/>
      <c r="BP20" s="26"/>
      <c r="BQ20" s="25"/>
      <c r="BR20" s="254" t="str">
        <f t="array" aca="1" ref="BR20" ca="1">IF(BR17&lt;&gt;"",INDIRECT("'盛付札（関数）'!AJ"&amp;BP17),"")</f>
        <v/>
      </c>
      <c r="BS20" s="255"/>
      <c r="BT20" s="50"/>
      <c r="BU20" s="257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58"/>
      <c r="BY20" s="25"/>
      <c r="BZ20" s="254" t="str">
        <f t="array" aca="1" ref="BZ20" ca="1">IF(BZ17&lt;&gt;"",INDIRECT("'盛付札（関数）'!AJ"&amp;BX17),"")</f>
        <v/>
      </c>
      <c r="CA20" s="255"/>
      <c r="CB20" s="50"/>
      <c r="CC20" s="257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58"/>
      <c r="CE20" s="26"/>
      <c r="CF20" s="25"/>
      <c r="CG20" s="254" t="str">
        <f t="array" aca="1" ref="CG20" ca="1">IF(CG17&lt;&gt;"",INDIRECT("'盛付札（関数）'!AJ"&amp;CE17),"")</f>
        <v/>
      </c>
      <c r="CH20" s="255"/>
      <c r="CI20" s="50"/>
      <c r="CJ20" s="257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58"/>
      <c r="CN20" s="25"/>
      <c r="CO20" s="254" t="str">
        <f t="array" aca="1" ref="CO20" ca="1">IF(CO17&lt;&gt;"",INDIRECT("'盛付札（関数）'!AJ"&amp;CM17),"")</f>
        <v/>
      </c>
      <c r="CP20" s="255"/>
      <c r="CQ20" s="50"/>
      <c r="CR20" s="257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58"/>
      <c r="CT20" s="26"/>
      <c r="CU20" s="25"/>
      <c r="CV20" s="254" t="str">
        <f t="array" aca="1" ref="CV20" ca="1">IF(CV17&lt;&gt;"",INDIRECT("'盛付札（関数）'!AJ"&amp;CT17),"")</f>
        <v/>
      </c>
      <c r="CW20" s="255"/>
      <c r="CX20" s="50"/>
      <c r="CY20" s="257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58"/>
      <c r="DC20" s="25"/>
      <c r="DD20" s="254" t="str">
        <f t="array" aca="1" ref="DD20" ca="1">IF(DD17&lt;&gt;"",INDIRECT("'盛付札（関数）'!AJ"&amp;DB17),"")</f>
        <v/>
      </c>
      <c r="DE20" s="255"/>
      <c r="DF20" s="50"/>
      <c r="DG20" s="257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58"/>
      <c r="DI20" s="26"/>
      <c r="DJ20" s="25"/>
      <c r="DK20" s="254" t="str">
        <f t="array" aca="1" ref="DK20" ca="1">IF(DK17&lt;&gt;"",INDIRECT("'盛付札（関数）'!AJ"&amp;DI17),"")</f>
        <v/>
      </c>
      <c r="DL20" s="255"/>
      <c r="DM20" s="50"/>
      <c r="DN20" s="257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58"/>
      <c r="DR20" s="25"/>
      <c r="DS20" s="254" t="str">
        <f t="array" aca="1" ref="DS20" ca="1">IF(DS17&lt;&gt;"",INDIRECT("'盛付札（関数）'!AJ"&amp;DQ17),"")</f>
        <v/>
      </c>
      <c r="DT20" s="255"/>
      <c r="DU20" s="50"/>
      <c r="DV20" s="257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58"/>
      <c r="DX20" s="26"/>
      <c r="DY20" s="25"/>
      <c r="DZ20" s="254" t="str">
        <f t="array" aca="1" ref="DZ20" ca="1">IF(DZ17&lt;&gt;"",INDIRECT("'盛付札（関数）'!AJ"&amp;DX17),"")</f>
        <v/>
      </c>
      <c r="EA20" s="255"/>
      <c r="EB20" s="50"/>
      <c r="EC20" s="257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58"/>
      <c r="EG20" s="25"/>
      <c r="EH20" s="254" t="str">
        <f t="array" aca="1" ref="EH20" ca="1">IF(EH17&lt;&gt;"",INDIRECT("'盛付札（関数）'!AJ"&amp;EF17),"")</f>
        <v/>
      </c>
      <c r="EI20" s="255"/>
      <c r="EJ20" s="50"/>
      <c r="EK20" s="257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58"/>
      <c r="EM20" s="26"/>
      <c r="EN20" s="25"/>
      <c r="EO20" s="254" t="str">
        <f t="array" aca="1" ref="EO20" ca="1">IF(EO17&lt;&gt;"",INDIRECT("'盛付札（関数）'!AJ"&amp;EM17),"")</f>
        <v/>
      </c>
      <c r="EP20" s="255"/>
      <c r="EQ20" s="50"/>
      <c r="ER20" s="257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58"/>
    </row>
    <row r="21" spans="1:150" ht="15.6" customHeight="1">
      <c r="B21" s="27"/>
      <c r="C21" s="256"/>
      <c r="D21" s="256"/>
      <c r="E21" s="44"/>
      <c r="F21" s="256"/>
      <c r="G21" s="253"/>
      <c r="H21" s="26"/>
      <c r="I21" s="27"/>
      <c r="J21" s="256"/>
      <c r="K21" s="256"/>
      <c r="L21" s="44"/>
      <c r="M21" s="256"/>
      <c r="N21" s="253"/>
      <c r="Q21" s="27"/>
      <c r="R21" s="256"/>
      <c r="S21" s="256"/>
      <c r="T21" s="44"/>
      <c r="U21" s="256"/>
      <c r="V21" s="253"/>
      <c r="W21" s="26"/>
      <c r="X21" s="27"/>
      <c r="Y21" s="256"/>
      <c r="Z21" s="256"/>
      <c r="AA21" s="44"/>
      <c r="AB21" s="256"/>
      <c r="AC21" s="253"/>
      <c r="AF21" s="27"/>
      <c r="AG21" s="256"/>
      <c r="AH21" s="256"/>
      <c r="AI21" s="44"/>
      <c r="AJ21" s="256"/>
      <c r="AK21" s="253"/>
      <c r="AL21" s="26"/>
      <c r="AM21" s="27"/>
      <c r="AN21" s="256"/>
      <c r="AO21" s="256"/>
      <c r="AP21" s="44"/>
      <c r="AQ21" s="256"/>
      <c r="AR21" s="253"/>
      <c r="AU21" s="27"/>
      <c r="AV21" s="256"/>
      <c r="AW21" s="256"/>
      <c r="AX21" s="44"/>
      <c r="AY21" s="256"/>
      <c r="AZ21" s="253"/>
      <c r="BA21" s="26"/>
      <c r="BB21" s="27"/>
      <c r="BC21" s="256"/>
      <c r="BD21" s="256"/>
      <c r="BE21" s="44"/>
      <c r="BF21" s="256"/>
      <c r="BG21" s="253"/>
      <c r="BJ21" s="27"/>
      <c r="BK21" s="256"/>
      <c r="BL21" s="256"/>
      <c r="BM21" s="44"/>
      <c r="BN21" s="256"/>
      <c r="BO21" s="253"/>
      <c r="BP21" s="26"/>
      <c r="BQ21" s="27"/>
      <c r="BR21" s="256"/>
      <c r="BS21" s="256"/>
      <c r="BT21" s="44"/>
      <c r="BU21" s="256"/>
      <c r="BV21" s="253"/>
      <c r="BY21" s="27"/>
      <c r="BZ21" s="256"/>
      <c r="CA21" s="256"/>
      <c r="CB21" s="44"/>
      <c r="CC21" s="256"/>
      <c r="CD21" s="253"/>
      <c r="CE21" s="26"/>
      <c r="CF21" s="27"/>
      <c r="CG21" s="256"/>
      <c r="CH21" s="256"/>
      <c r="CI21" s="44"/>
      <c r="CJ21" s="256"/>
      <c r="CK21" s="253"/>
      <c r="CN21" s="27"/>
      <c r="CO21" s="256"/>
      <c r="CP21" s="256"/>
      <c r="CQ21" s="44"/>
      <c r="CR21" s="256"/>
      <c r="CS21" s="253"/>
      <c r="CT21" s="26"/>
      <c r="CU21" s="27"/>
      <c r="CV21" s="256"/>
      <c r="CW21" s="256"/>
      <c r="CX21" s="44"/>
      <c r="CY21" s="256"/>
      <c r="CZ21" s="253"/>
      <c r="DC21" s="27"/>
      <c r="DD21" s="256"/>
      <c r="DE21" s="256"/>
      <c r="DF21" s="44"/>
      <c r="DG21" s="256"/>
      <c r="DH21" s="253"/>
      <c r="DI21" s="26"/>
      <c r="DJ21" s="27"/>
      <c r="DK21" s="256"/>
      <c r="DL21" s="256"/>
      <c r="DM21" s="44"/>
      <c r="DN21" s="256"/>
      <c r="DO21" s="253"/>
      <c r="DR21" s="27"/>
      <c r="DS21" s="256"/>
      <c r="DT21" s="256"/>
      <c r="DU21" s="44"/>
      <c r="DV21" s="256"/>
      <c r="DW21" s="253"/>
      <c r="DX21" s="26"/>
      <c r="DY21" s="27"/>
      <c r="DZ21" s="256"/>
      <c r="EA21" s="256"/>
      <c r="EB21" s="44"/>
      <c r="EC21" s="256"/>
      <c r="ED21" s="253"/>
      <c r="EG21" s="27"/>
      <c r="EH21" s="256"/>
      <c r="EI21" s="256"/>
      <c r="EJ21" s="44"/>
      <c r="EK21" s="256"/>
      <c r="EL21" s="253"/>
      <c r="EM21" s="26"/>
      <c r="EN21" s="27"/>
      <c r="EO21" s="256"/>
      <c r="EP21" s="256"/>
      <c r="EQ21" s="44"/>
      <c r="ER21" s="256"/>
      <c r="ES21" s="253"/>
    </row>
    <row r="22" spans="1:150" s="32" customFormat="1">
      <c r="A22" s="31"/>
      <c r="B22" s="37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5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7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5"/>
      <c r="F22" s="37" t="str">
        <f t="array" aca="1" ref="F22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"アレルギー")),"")</f>
        <v/>
      </c>
      <c r="G22" s="40"/>
      <c r="H22" s="22"/>
      <c r="I22" s="37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5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7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5"/>
      <c r="M22" s="37" t="str">
        <f t="array" aca="1" ref="M22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"アレルギー")),"")</f>
        <v/>
      </c>
      <c r="N22" s="40"/>
      <c r="O22" s="22"/>
      <c r="P22" s="31"/>
      <c r="Q22" s="37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5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7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5"/>
      <c r="U22" s="37" t="str">
        <f t="array" aca="1" ref="U22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"アレルギー")),"")</f>
        <v/>
      </c>
      <c r="V22" s="40"/>
      <c r="W22" s="22"/>
      <c r="X22" s="37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5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7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5"/>
      <c r="AB22" s="37" t="str">
        <f t="array" aca="1" ref="AB22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"アレルギー")),"")</f>
        <v/>
      </c>
      <c r="AC22" s="40"/>
      <c r="AD22" s="22"/>
      <c r="AE22" s="31"/>
      <c r="AF22" s="37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5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7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5"/>
      <c r="AJ22" s="37" t="str">
        <f t="array" aca="1" ref="AJ22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"アレルギー")),"")</f>
        <v/>
      </c>
      <c r="AK22" s="40"/>
      <c r="AL22" s="22"/>
      <c r="AM22" s="37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5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7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5"/>
      <c r="AQ22" s="37" t="str">
        <f t="array" aca="1" ref="AQ22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"アレルギー")),"")</f>
        <v/>
      </c>
      <c r="AR22" s="40"/>
      <c r="AS22" s="22"/>
      <c r="AT22" s="31"/>
      <c r="AU22" s="37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5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7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5"/>
      <c r="AY22" s="37" t="str">
        <f t="array" aca="1" ref="AY22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"アレルギー")),"")</f>
        <v/>
      </c>
      <c r="AZ22" s="40"/>
      <c r="BA22" s="22"/>
      <c r="BB22" s="37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5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7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5"/>
      <c r="BF22" s="37" t="str">
        <f t="array" aca="1" ref="BF22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"アレルギー")),"")</f>
        <v/>
      </c>
      <c r="BG22" s="40"/>
      <c r="BH22" s="22"/>
      <c r="BI22" s="31"/>
      <c r="BJ22" s="37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5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7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5"/>
      <c r="BN22" s="37" t="str">
        <f t="array" aca="1" ref="BN22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"アレルギー")),"")</f>
        <v/>
      </c>
      <c r="BO22" s="40"/>
      <c r="BP22" s="22"/>
      <c r="BQ22" s="37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5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7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5"/>
      <c r="BU22" s="37" t="str">
        <f t="array" aca="1" ref="BU22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"アレルギー")),"")</f>
        <v/>
      </c>
      <c r="BV22" s="40"/>
      <c r="BW22" s="22"/>
      <c r="BX22" s="31"/>
      <c r="BY22" s="37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5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7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5"/>
      <c r="CC22" s="37" t="str">
        <f t="array" aca="1" ref="CC22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"アレルギー")),"")</f>
        <v/>
      </c>
      <c r="CD22" s="40"/>
      <c r="CE22" s="22"/>
      <c r="CF22" s="37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5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7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5"/>
      <c r="CJ22" s="37" t="str">
        <f t="array" aca="1" ref="CJ22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"アレルギー")),"")</f>
        <v/>
      </c>
      <c r="CK22" s="40"/>
      <c r="CL22" s="22"/>
      <c r="CM22" s="31"/>
      <c r="CN22" s="37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5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7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5"/>
      <c r="CR22" s="37" t="str">
        <f t="array" aca="1" ref="CR22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"アレルギー")),"")</f>
        <v/>
      </c>
      <c r="CS22" s="40"/>
      <c r="CT22" s="22"/>
      <c r="CU22" s="37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5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7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5"/>
      <c r="CY22" s="37" t="str">
        <f t="array" aca="1" ref="CY22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"アレルギー")),"")</f>
        <v/>
      </c>
      <c r="CZ22" s="40"/>
      <c r="DA22" s="22"/>
      <c r="DB22" s="31"/>
      <c r="DC22" s="37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5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7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5"/>
      <c r="DG22" s="37" t="str">
        <f t="array" aca="1" ref="DG22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"アレルギー")),"")</f>
        <v/>
      </c>
      <c r="DH22" s="40"/>
      <c r="DI22" s="22"/>
      <c r="DJ22" s="37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5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7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5"/>
      <c r="DN22" s="37" t="str">
        <f t="array" aca="1" ref="DN22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"アレルギー")),"")</f>
        <v/>
      </c>
      <c r="DO22" s="40"/>
      <c r="DP22" s="22"/>
      <c r="DQ22" s="31"/>
      <c r="DR22" s="37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5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7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5"/>
      <c r="DV22" s="37" t="str">
        <f t="array" aca="1" ref="DV22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"アレルギー")),"")</f>
        <v/>
      </c>
      <c r="DW22" s="40"/>
      <c r="DX22" s="22"/>
      <c r="DY22" s="37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5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7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5"/>
      <c r="EC22" s="37" t="str">
        <f t="array" aca="1" ref="EC22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"アレルギー")),"")</f>
        <v/>
      </c>
      <c r="ED22" s="40"/>
      <c r="EE22" s="22"/>
      <c r="EF22" s="31"/>
      <c r="EG22" s="37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5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7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5"/>
      <c r="EK22" s="37" t="str">
        <f t="array" aca="1" ref="EK22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"アレルギー")),"")</f>
        <v/>
      </c>
      <c r="EL22" s="40"/>
      <c r="EM22" s="22"/>
      <c r="EN22" s="37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5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7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5"/>
      <c r="ER22" s="37" t="str">
        <f t="array" aca="1" ref="ER22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"アレルギー")),"")</f>
        <v/>
      </c>
      <c r="ES22" s="40"/>
      <c r="ET22" s="22"/>
    </row>
    <row r="23" spans="1:150" ht="27.6" customHeight="1">
      <c r="B23" s="259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53"/>
      <c r="D23" s="259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53"/>
      <c r="F23" s="252" t="str">
        <f t="array" aca="1" ref="F23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INDIRECT("'盛付札（関数）'!AO"&amp;A17))),"")</f>
        <v/>
      </c>
      <c r="G23" s="253"/>
      <c r="I23" s="259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53"/>
      <c r="K23" s="259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53"/>
      <c r="M23" s="252" t="str">
        <f t="array" aca="1" ref="M23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INDIRECT("'盛付札（関数）'!AO"&amp;H17))),"")</f>
        <v/>
      </c>
      <c r="N23" s="253"/>
      <c r="Q23" s="259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53"/>
      <c r="S23" s="259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53"/>
      <c r="U23" s="252" t="str">
        <f t="array" aca="1" ref="U23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INDIRECT("'盛付札（関数）'!AO"&amp;P17))),"")</f>
        <v/>
      </c>
      <c r="V23" s="253"/>
      <c r="X23" s="259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53"/>
      <c r="Z23" s="259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53"/>
      <c r="AB23" s="252" t="str">
        <f t="array" aca="1" ref="AB23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INDIRECT("'盛付札（関数）'!AO"&amp;W17))),"")</f>
        <v/>
      </c>
      <c r="AC23" s="253"/>
      <c r="AF23" s="259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53"/>
      <c r="AH23" s="259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53"/>
      <c r="AJ23" s="252" t="str">
        <f t="array" aca="1" ref="AJ23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INDIRECT("'盛付札（関数）'!AO"&amp;AE17))),"")</f>
        <v/>
      </c>
      <c r="AK23" s="253"/>
      <c r="AM23" s="259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53"/>
      <c r="AO23" s="259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53"/>
      <c r="AQ23" s="252" t="str">
        <f t="array" aca="1" ref="AQ23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INDIRECT("'盛付札（関数）'!AO"&amp;AL17))),"")</f>
        <v/>
      </c>
      <c r="AR23" s="253"/>
      <c r="AU23" s="259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53"/>
      <c r="AW23" s="259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53"/>
      <c r="AY23" s="252" t="str">
        <f t="array" aca="1" ref="AY23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INDIRECT("'盛付札（関数）'!AO"&amp;AT17))),"")</f>
        <v/>
      </c>
      <c r="AZ23" s="253"/>
      <c r="BB23" s="259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53"/>
      <c r="BD23" s="259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53"/>
      <c r="BF23" s="252" t="str">
        <f t="array" aca="1" ref="BF23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INDIRECT("'盛付札（関数）'!AO"&amp;BA17))),"")</f>
        <v/>
      </c>
      <c r="BG23" s="253"/>
      <c r="BJ23" s="259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53"/>
      <c r="BL23" s="259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53"/>
      <c r="BN23" s="252" t="str">
        <f t="array" aca="1" ref="BN23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INDIRECT("'盛付札（関数）'!AO"&amp;BI17))),"")</f>
        <v/>
      </c>
      <c r="BO23" s="253"/>
      <c r="BQ23" s="259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53"/>
      <c r="BS23" s="259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53"/>
      <c r="BU23" s="252" t="str">
        <f t="array" aca="1" ref="BU23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INDIRECT("'盛付札（関数）'!AO"&amp;BP17))),"")</f>
        <v/>
      </c>
      <c r="BV23" s="253"/>
      <c r="BY23" s="259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53"/>
      <c r="CA23" s="259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53"/>
      <c r="CC23" s="252" t="str">
        <f t="array" aca="1" ref="CC23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INDIRECT("'盛付札（関数）'!AO"&amp;BX17))),"")</f>
        <v/>
      </c>
      <c r="CD23" s="253"/>
      <c r="CF23" s="259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53"/>
      <c r="CH23" s="259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53"/>
      <c r="CJ23" s="252" t="str">
        <f t="array" aca="1" ref="CJ23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INDIRECT("'盛付札（関数）'!AO"&amp;CE17))),"")</f>
        <v/>
      </c>
      <c r="CK23" s="253"/>
      <c r="CN23" s="259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53"/>
      <c r="CP23" s="259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53"/>
      <c r="CR23" s="252" t="str">
        <f t="array" aca="1" ref="CR23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INDIRECT("'盛付札（関数）'!AO"&amp;CM17))),"")</f>
        <v/>
      </c>
      <c r="CS23" s="253"/>
      <c r="CU23" s="259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53"/>
      <c r="CW23" s="259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53"/>
      <c r="CY23" s="252" t="str">
        <f t="array" aca="1" ref="CY23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INDIRECT("'盛付札（関数）'!AO"&amp;CT17))),"")</f>
        <v/>
      </c>
      <c r="CZ23" s="253"/>
      <c r="DC23" s="259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53"/>
      <c r="DE23" s="259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53"/>
      <c r="DG23" s="252" t="str">
        <f t="array" aca="1" ref="DG23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INDIRECT("'盛付札（関数）'!AO"&amp;DB17))),"")</f>
        <v/>
      </c>
      <c r="DH23" s="253"/>
      <c r="DJ23" s="259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53"/>
      <c r="DL23" s="259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53"/>
      <c r="DN23" s="252" t="str">
        <f t="array" aca="1" ref="DN23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INDIRECT("'盛付札（関数）'!AO"&amp;DI17))),"")</f>
        <v/>
      </c>
      <c r="DO23" s="253"/>
      <c r="DR23" s="259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53"/>
      <c r="DT23" s="259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53"/>
      <c r="DV23" s="252" t="str">
        <f t="array" aca="1" ref="DV23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INDIRECT("'盛付札（関数）'!AO"&amp;DQ17))),"")</f>
        <v/>
      </c>
      <c r="DW23" s="253"/>
      <c r="DY23" s="259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53"/>
      <c r="EA23" s="259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53"/>
      <c r="EC23" s="252" t="str">
        <f t="array" aca="1" ref="EC23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INDIRECT("'盛付札（関数）'!AO"&amp;DX17))),"")</f>
        <v/>
      </c>
      <c r="ED23" s="253"/>
      <c r="EG23" s="259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53"/>
      <c r="EI23" s="259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53"/>
      <c r="EK23" s="252" t="str">
        <f t="array" aca="1" ref="EK23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INDIRECT("'盛付札（関数）'!AO"&amp;EF17))),"")</f>
        <v/>
      </c>
      <c r="EL23" s="253"/>
      <c r="EN23" s="259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53"/>
      <c r="EP23" s="259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53"/>
      <c r="ER23" s="252" t="str">
        <f t="array" aca="1" ref="ER23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INDIRECT("'盛付札（関数）'!AO"&amp;EM17))),"")</f>
        <v/>
      </c>
      <c r="ES23" s="253"/>
    </row>
    <row r="24" spans="1:150" ht="6.6" customHeight="1">
      <c r="B24" s="45"/>
      <c r="D24" s="45"/>
      <c r="F24" s="46"/>
      <c r="I24" s="45"/>
      <c r="K24" s="45"/>
      <c r="M24" s="46"/>
      <c r="Q24" s="45"/>
      <c r="S24" s="45"/>
      <c r="U24" s="46"/>
      <c r="X24" s="45"/>
      <c r="Z24" s="45"/>
      <c r="AB24" s="46"/>
      <c r="AF24" s="45"/>
      <c r="AH24" s="45"/>
      <c r="AJ24" s="46"/>
      <c r="AM24" s="45"/>
      <c r="AO24" s="45"/>
      <c r="AQ24" s="46"/>
      <c r="AU24" s="45"/>
      <c r="AW24" s="45"/>
      <c r="AY24" s="46"/>
      <c r="BB24" s="45"/>
      <c r="BD24" s="45"/>
      <c r="BF24" s="46"/>
      <c r="BJ24" s="45"/>
      <c r="BL24" s="45"/>
      <c r="BN24" s="46"/>
      <c r="BQ24" s="45"/>
      <c r="BS24" s="45"/>
      <c r="BU24" s="46"/>
      <c r="BY24" s="45"/>
      <c r="CA24" s="45"/>
      <c r="CC24" s="46"/>
      <c r="CF24" s="45"/>
      <c r="CH24" s="45"/>
      <c r="CJ24" s="46"/>
      <c r="CN24" s="45"/>
      <c r="CP24" s="45"/>
      <c r="CR24" s="46"/>
      <c r="CU24" s="45"/>
      <c r="CW24" s="45"/>
      <c r="CY24" s="46"/>
      <c r="DC24" s="45"/>
      <c r="DE24" s="45"/>
      <c r="DG24" s="46"/>
      <c r="DJ24" s="45"/>
      <c r="DL24" s="45"/>
      <c r="DN24" s="46"/>
      <c r="DR24" s="45"/>
      <c r="DT24" s="45"/>
      <c r="DV24" s="46"/>
      <c r="DY24" s="45"/>
      <c r="EA24" s="45"/>
      <c r="EC24" s="46"/>
      <c r="EG24" s="45"/>
      <c r="EI24" s="45"/>
      <c r="EK24" s="46"/>
      <c r="EN24" s="45"/>
      <c r="EP24" s="45"/>
      <c r="ER24" s="46"/>
    </row>
    <row r="25" spans="1:150" s="32" customFormat="1" ht="25.8" customHeight="1">
      <c r="A25" s="31">
        <f>H17+1</f>
        <v>7</v>
      </c>
      <c r="B25" s="43" t="str">
        <f ca="1">IF(C25&lt;&gt;"",
MID(貼り付け用!$A$2, FIND("年",貼り付け用!$A$2)+1,2)&amp;"/"&amp;MID(貼り付け用!$A$2, FIND("月",貼り付け用!$A$2)+1,2),"")</f>
        <v/>
      </c>
      <c r="C25" s="250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51"/>
      <c r="E25" s="251"/>
      <c r="F25" s="251"/>
      <c r="G25" s="42" t="str">
        <f t="array" aca="1" ref="G25" ca="1">IF(C25&lt;&gt;"",
IF(AND(INDIRECT("'盛付札（関数）'!AE"&amp;A25)&gt;=124,INDIRECT("'盛付札（関数）'!AE"&amp;A25)&lt;=144),"",
"様"),"")</f>
        <v/>
      </c>
      <c r="H25" s="36">
        <f>A25+1</f>
        <v>8</v>
      </c>
      <c r="I25" s="43" t="str">
        <f ca="1">IF(J25&lt;&gt;"",
MID(貼り付け用!$A$2, FIND("年",貼り付け用!$A$2)+1,2)&amp;"/"&amp;MID(貼り付け用!$A$2, FIND("月",貼り付け用!$A$2)+1,2),"")</f>
        <v/>
      </c>
      <c r="J25" s="250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51"/>
      <c r="L25" s="251"/>
      <c r="M25" s="251"/>
      <c r="N25" s="42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1">
        <f>W17+1</f>
        <v>19</v>
      </c>
      <c r="Q25" s="43" t="str">
        <f ca="1">IF(R25&lt;&gt;"",
MID(貼り付け用!$A$2, FIND("年",貼り付け用!$A$2)+1,2)&amp;"/"&amp;MID(貼り付け用!$A$2, FIND("月",貼り付け用!$A$2)+1,2),"")</f>
        <v/>
      </c>
      <c r="R25" s="250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51"/>
      <c r="T25" s="251"/>
      <c r="U25" s="251"/>
      <c r="V25" s="42" t="str">
        <f t="array" aca="1" ref="V25" ca="1">IF(R25&lt;&gt;"",
IF(AND(INDIRECT("'盛付札（関数）'!AE"&amp;P25)&gt;=124,INDIRECT("'盛付札（関数）'!AE"&amp;P25)&lt;=144),"",
"様"),"")</f>
        <v/>
      </c>
      <c r="W25" s="36">
        <f>P25+1</f>
        <v>20</v>
      </c>
      <c r="X25" s="43" t="str">
        <f ca="1">IF(Y25&lt;&gt;"",
MID(貼り付け用!$A$2, FIND("年",貼り付け用!$A$2)+1,2)&amp;"/"&amp;MID(貼り付け用!$A$2, FIND("月",貼り付け用!$A$2)+1,2),"")</f>
        <v/>
      </c>
      <c r="Y25" s="250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51"/>
      <c r="AA25" s="251"/>
      <c r="AB25" s="251"/>
      <c r="AC25" s="42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1">
        <f>AL17+1</f>
        <v>31</v>
      </c>
      <c r="AF25" s="43" t="str">
        <f ca="1">IF(AG25&lt;&gt;"",
MID(貼り付け用!$A$2, FIND("年",貼り付け用!$A$2)+1,2)&amp;"/"&amp;MID(貼り付け用!$A$2, FIND("月",貼り付け用!$A$2)+1,2),"")</f>
        <v/>
      </c>
      <c r="AG25" s="250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51"/>
      <c r="AI25" s="251"/>
      <c r="AJ25" s="251"/>
      <c r="AK25" s="42" t="str">
        <f t="array" aca="1" ref="AK25" ca="1">IF(AG25&lt;&gt;"",
IF(AND(INDIRECT("'盛付札（関数）'!AE"&amp;AE25)&gt;=124,INDIRECT("'盛付札（関数）'!AE"&amp;AE25)&lt;=144),"",
"様"),"")</f>
        <v/>
      </c>
      <c r="AL25" s="36">
        <f>AE25+1</f>
        <v>32</v>
      </c>
      <c r="AM25" s="43" t="str">
        <f ca="1">IF(AN25&lt;&gt;"",
MID(貼り付け用!$A$2, FIND("年",貼り付け用!$A$2)+1,2)&amp;"/"&amp;MID(貼り付け用!$A$2, FIND("月",貼り付け用!$A$2)+1,2),"")</f>
        <v/>
      </c>
      <c r="AN25" s="250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51"/>
      <c r="AP25" s="251"/>
      <c r="AQ25" s="251"/>
      <c r="AR25" s="42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1">
        <f>BA17+1</f>
        <v>43</v>
      </c>
      <c r="AU25" s="43" t="str">
        <f ca="1">IF(AV25&lt;&gt;"",
MID(貼り付け用!$A$2, FIND("年",貼り付け用!$A$2)+1,2)&amp;"/"&amp;MID(貼り付け用!$A$2, FIND("月",貼り付け用!$A$2)+1,2),"")</f>
        <v/>
      </c>
      <c r="AV25" s="250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51"/>
      <c r="AX25" s="251"/>
      <c r="AY25" s="251"/>
      <c r="AZ25" s="42" t="str">
        <f t="array" aca="1" ref="AZ25" ca="1">IF(AV25&lt;&gt;"",
IF(AND(INDIRECT("'盛付札（関数）'!AE"&amp;AT25)&gt;=124,INDIRECT("'盛付札（関数）'!AE"&amp;AT25)&lt;=144),"",
"様"),"")</f>
        <v/>
      </c>
      <c r="BA25" s="36">
        <f>AT25+1</f>
        <v>44</v>
      </c>
      <c r="BB25" s="43" t="str">
        <f ca="1">IF(BC25&lt;&gt;"",
MID(貼り付け用!$A$2, FIND("年",貼り付け用!$A$2)+1,2)&amp;"/"&amp;MID(貼り付け用!$A$2, FIND("月",貼り付け用!$A$2)+1,2),"")</f>
        <v/>
      </c>
      <c r="BC25" s="250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51"/>
      <c r="BE25" s="251"/>
      <c r="BF25" s="251"/>
      <c r="BG25" s="42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1">
        <f>BP17+1</f>
        <v>55</v>
      </c>
      <c r="BJ25" s="43" t="str">
        <f ca="1">IF(BK25&lt;&gt;"",
MID(貼り付け用!$A$2, FIND("年",貼り付け用!$A$2)+1,2)&amp;"/"&amp;MID(貼り付け用!$A$2, FIND("月",貼り付け用!$A$2)+1,2),"")</f>
        <v/>
      </c>
      <c r="BK25" s="250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51"/>
      <c r="BM25" s="251"/>
      <c r="BN25" s="251"/>
      <c r="BO25" s="42" t="str">
        <f t="array" aca="1" ref="BO25" ca="1">IF(BK25&lt;&gt;"",
IF(AND(INDIRECT("'盛付札（関数）'!AE"&amp;BI25)&gt;=124,INDIRECT("'盛付札（関数）'!AE"&amp;BI25)&lt;=144),"",
"様"),"")</f>
        <v/>
      </c>
      <c r="BP25" s="36">
        <f>BI25+1</f>
        <v>56</v>
      </c>
      <c r="BQ25" s="43" t="str">
        <f ca="1">IF(BR25&lt;&gt;"",
MID(貼り付け用!$A$2, FIND("年",貼り付け用!$A$2)+1,2)&amp;"/"&amp;MID(貼り付け用!$A$2, FIND("月",貼り付け用!$A$2)+1,2),"")</f>
        <v/>
      </c>
      <c r="BR25" s="250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51"/>
      <c r="BT25" s="251"/>
      <c r="BU25" s="251"/>
      <c r="BV25" s="42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1">
        <f>CE17+1</f>
        <v>67</v>
      </c>
      <c r="BY25" s="43" t="str">
        <f ca="1">IF(BZ25&lt;&gt;"",
MID(貼り付け用!$A$2, FIND("年",貼り付け用!$A$2)+1,2)&amp;"/"&amp;MID(貼り付け用!$A$2, FIND("月",貼り付け用!$A$2)+1,2),"")</f>
        <v/>
      </c>
      <c r="BZ25" s="250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51"/>
      <c r="CB25" s="251"/>
      <c r="CC25" s="251"/>
      <c r="CD25" s="42" t="str">
        <f t="array" aca="1" ref="CD25" ca="1">IF(BZ25&lt;&gt;"",
IF(AND(INDIRECT("'盛付札（関数）'!AE"&amp;BX25)&gt;=124,INDIRECT("'盛付札（関数）'!AE"&amp;BX25)&lt;=144),"",
"様"),"")</f>
        <v/>
      </c>
      <c r="CE25" s="36">
        <f>BX25+1</f>
        <v>68</v>
      </c>
      <c r="CF25" s="43" t="str">
        <f ca="1">IF(CG25&lt;&gt;"",
MID(貼り付け用!$A$2, FIND("年",貼り付け用!$A$2)+1,2)&amp;"/"&amp;MID(貼り付け用!$A$2, FIND("月",貼り付け用!$A$2)+1,2),"")</f>
        <v/>
      </c>
      <c r="CG25" s="250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51"/>
      <c r="CI25" s="251"/>
      <c r="CJ25" s="251"/>
      <c r="CK25" s="42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1">
        <f>CT17+1</f>
        <v>79</v>
      </c>
      <c r="CN25" s="43" t="str">
        <f ca="1">IF(CO25&lt;&gt;"",
MID(貼り付け用!$A$2, FIND("年",貼り付け用!$A$2)+1,2)&amp;"/"&amp;MID(貼り付け用!$A$2, FIND("月",貼り付け用!$A$2)+1,2),"")</f>
        <v/>
      </c>
      <c r="CO25" s="250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51"/>
      <c r="CQ25" s="251"/>
      <c r="CR25" s="251"/>
      <c r="CS25" s="42" t="str">
        <f t="array" aca="1" ref="CS25" ca="1">IF(CO25&lt;&gt;"",
IF(AND(INDIRECT("'盛付札（関数）'!AE"&amp;CM25)&gt;=124,INDIRECT("'盛付札（関数）'!AE"&amp;CM25)&lt;=144),"",
"様"),"")</f>
        <v/>
      </c>
      <c r="CT25" s="36">
        <f>CM25+1</f>
        <v>80</v>
      </c>
      <c r="CU25" s="43" t="str">
        <f ca="1">IF(CV25&lt;&gt;"",
MID(貼り付け用!$A$2, FIND("年",貼り付け用!$A$2)+1,2)&amp;"/"&amp;MID(貼り付け用!$A$2, FIND("月",貼り付け用!$A$2)+1,2),"")</f>
        <v/>
      </c>
      <c r="CV25" s="250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51"/>
      <c r="CX25" s="251"/>
      <c r="CY25" s="251"/>
      <c r="CZ25" s="42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1">
        <f>DI17+1</f>
        <v>91</v>
      </c>
      <c r="DC25" s="43" t="str">
        <f ca="1">IF(DD25&lt;&gt;"",
MID(貼り付け用!$A$2, FIND("年",貼り付け用!$A$2)+1,2)&amp;"/"&amp;MID(貼り付け用!$A$2, FIND("月",貼り付け用!$A$2)+1,2),"")</f>
        <v/>
      </c>
      <c r="DD25" s="250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51"/>
      <c r="DF25" s="251"/>
      <c r="DG25" s="251"/>
      <c r="DH25" s="42" t="str">
        <f t="array" aca="1" ref="DH25" ca="1">IF(DD25&lt;&gt;"",
IF(AND(INDIRECT("'盛付札（関数）'!AE"&amp;DB25)&gt;=124,INDIRECT("'盛付札（関数）'!AE"&amp;DB25)&lt;=144),"",
"様"),"")</f>
        <v/>
      </c>
      <c r="DI25" s="36">
        <f>DB25+1</f>
        <v>92</v>
      </c>
      <c r="DJ25" s="43" t="str">
        <f ca="1">IF(DK25&lt;&gt;"",
MID(貼り付け用!$A$2, FIND("年",貼り付け用!$A$2)+1,2)&amp;"/"&amp;MID(貼り付け用!$A$2, FIND("月",貼り付け用!$A$2)+1,2),"")</f>
        <v/>
      </c>
      <c r="DK25" s="250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51"/>
      <c r="DM25" s="251"/>
      <c r="DN25" s="251"/>
      <c r="DO25" s="42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1">
        <f>DX17+1</f>
        <v>103</v>
      </c>
      <c r="DR25" s="43" t="str">
        <f ca="1">IF(DS25&lt;&gt;"",
MID(貼り付け用!$A$2, FIND("年",貼り付け用!$A$2)+1,2)&amp;"/"&amp;MID(貼り付け用!$A$2, FIND("月",貼り付け用!$A$2)+1,2),"")</f>
        <v/>
      </c>
      <c r="DS25" s="250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51"/>
      <c r="DU25" s="251"/>
      <c r="DV25" s="251"/>
      <c r="DW25" s="42" t="str">
        <f t="array" aca="1" ref="DW25" ca="1">IF(DS25&lt;&gt;"",
IF(AND(INDIRECT("'盛付札（関数）'!AE"&amp;DQ25)&gt;=124,INDIRECT("'盛付札（関数）'!AE"&amp;DQ25)&lt;=144),"",
"様"),"")</f>
        <v/>
      </c>
      <c r="DX25" s="36">
        <f>DQ25+1</f>
        <v>104</v>
      </c>
      <c r="DY25" s="43" t="str">
        <f ca="1">IF(DZ25&lt;&gt;"",
MID(貼り付け用!$A$2, FIND("年",貼り付け用!$A$2)+1,2)&amp;"/"&amp;MID(貼り付け用!$A$2, FIND("月",貼り付け用!$A$2)+1,2),"")</f>
        <v/>
      </c>
      <c r="DZ25" s="250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51"/>
      <c r="EB25" s="251"/>
      <c r="EC25" s="251"/>
      <c r="ED25" s="42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1">
        <f>EM17+1</f>
        <v>115</v>
      </c>
      <c r="EG25" s="43" t="str">
        <f ca="1">IF(EH25&lt;&gt;"",
MID(貼り付け用!$A$2, FIND("年",貼り付け用!$A$2)+1,2)&amp;"/"&amp;MID(貼り付け用!$A$2, FIND("月",貼り付け用!$A$2)+1,2),"")</f>
        <v/>
      </c>
      <c r="EH25" s="250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51"/>
      <c r="EJ25" s="251"/>
      <c r="EK25" s="251"/>
      <c r="EL25" s="42" t="str">
        <f t="array" aca="1" ref="EL25" ca="1">IF(EH25&lt;&gt;"",
IF(AND(INDIRECT("'盛付札（関数）'!AE"&amp;EF25)&gt;=124,INDIRECT("'盛付札（関数）'!AE"&amp;EF25)&lt;=144),"",
"様"),"")</f>
        <v/>
      </c>
      <c r="EM25" s="36">
        <f>EF25+1</f>
        <v>116</v>
      </c>
      <c r="EN25" s="43" t="str">
        <f ca="1">IF(EO25&lt;&gt;"",
MID(貼り付け用!$A$2, FIND("年",貼り付け用!$A$2)+1,2)&amp;"/"&amp;MID(貼り付け用!$A$2, FIND("月",貼り付け用!$A$2)+1,2),"")</f>
        <v/>
      </c>
      <c r="EO25" s="250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51"/>
      <c r="EQ25" s="251"/>
      <c r="ER25" s="251"/>
      <c r="ES25" s="42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32" customFormat="1">
      <c r="A26" s="31"/>
      <c r="B26" s="178"/>
      <c r="C26" s="47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INDIRECT("'盛付札（関数）'!AG"&amp;A25))),"")</f>
        <v/>
      </c>
      <c r="D26" s="41"/>
      <c r="E26" s="41"/>
      <c r="F26" s="48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9"/>
      <c r="H26" s="49"/>
      <c r="I26" s="178"/>
      <c r="J26" s="47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INDIRECT("'盛付札（関数）'!AG"&amp;H25))),"")</f>
        <v/>
      </c>
      <c r="K26" s="41"/>
      <c r="L26" s="41"/>
      <c r="M26" s="48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9"/>
      <c r="O26" s="22"/>
      <c r="P26" s="31"/>
      <c r="Q26" s="178"/>
      <c r="R26" s="47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INDIRECT("'盛付札（関数）'!AG"&amp;P25))),"")</f>
        <v/>
      </c>
      <c r="S26" s="41"/>
      <c r="T26" s="41"/>
      <c r="U26" s="48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9"/>
      <c r="W26" s="49"/>
      <c r="X26" s="178"/>
      <c r="Y26" s="47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INDIRECT("'盛付札（関数）'!AG"&amp;W25))),"")</f>
        <v/>
      </c>
      <c r="Z26" s="41"/>
      <c r="AA26" s="41"/>
      <c r="AB26" s="48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9"/>
      <c r="AD26" s="22"/>
      <c r="AE26" s="31"/>
      <c r="AF26" s="178"/>
      <c r="AG26" s="47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INDIRECT("'盛付札（関数）'!AG"&amp;AE25))),"")</f>
        <v/>
      </c>
      <c r="AH26" s="41"/>
      <c r="AI26" s="41"/>
      <c r="AJ26" s="48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9"/>
      <c r="AL26" s="49"/>
      <c r="AM26" s="178"/>
      <c r="AN26" s="47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INDIRECT("'盛付札（関数）'!AG"&amp;AL25))),"")</f>
        <v/>
      </c>
      <c r="AO26" s="41"/>
      <c r="AP26" s="41"/>
      <c r="AQ26" s="48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9"/>
      <c r="AS26" s="22"/>
      <c r="AT26" s="31"/>
      <c r="AU26" s="178"/>
      <c r="AV26" s="47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INDIRECT("'盛付札（関数）'!AG"&amp;AT25))),"")</f>
        <v/>
      </c>
      <c r="AW26" s="41"/>
      <c r="AX26" s="41"/>
      <c r="AY26" s="48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9"/>
      <c r="BA26" s="49"/>
      <c r="BB26" s="178"/>
      <c r="BC26" s="47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INDIRECT("'盛付札（関数）'!AG"&amp;BA25))),"")</f>
        <v/>
      </c>
      <c r="BD26" s="41"/>
      <c r="BE26" s="41"/>
      <c r="BF26" s="48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9"/>
      <c r="BH26" s="22"/>
      <c r="BI26" s="31"/>
      <c r="BJ26" s="178"/>
      <c r="BK26" s="47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INDIRECT("'盛付札（関数）'!AG"&amp;BI25))),"")</f>
        <v/>
      </c>
      <c r="BL26" s="41"/>
      <c r="BM26" s="41"/>
      <c r="BN26" s="48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9"/>
      <c r="BP26" s="49"/>
      <c r="BQ26" s="178"/>
      <c r="BR26" s="47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INDIRECT("'盛付札（関数）'!AG"&amp;BP25))),"")</f>
        <v/>
      </c>
      <c r="BS26" s="41"/>
      <c r="BT26" s="41"/>
      <c r="BU26" s="48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9"/>
      <c r="BW26" s="22"/>
      <c r="BX26" s="31"/>
      <c r="BY26" s="178"/>
      <c r="BZ26" s="47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INDIRECT("'盛付札（関数）'!AG"&amp;BX25))),"")</f>
        <v/>
      </c>
      <c r="CA26" s="41"/>
      <c r="CB26" s="41"/>
      <c r="CC26" s="48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9"/>
      <c r="CE26" s="49"/>
      <c r="CF26" s="178"/>
      <c r="CG26" s="47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INDIRECT("'盛付札（関数）'!AG"&amp;CE25))),"")</f>
        <v/>
      </c>
      <c r="CH26" s="41"/>
      <c r="CI26" s="41"/>
      <c r="CJ26" s="48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9"/>
      <c r="CL26" s="22"/>
      <c r="CM26" s="31"/>
      <c r="CN26" s="178"/>
      <c r="CO26" s="47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INDIRECT("'盛付札（関数）'!AG"&amp;CM25))),"")</f>
        <v/>
      </c>
      <c r="CP26" s="41"/>
      <c r="CQ26" s="41"/>
      <c r="CR26" s="48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9"/>
      <c r="CT26" s="49"/>
      <c r="CU26" s="178"/>
      <c r="CV26" s="47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INDIRECT("'盛付札（関数）'!AG"&amp;CT25))),"")</f>
        <v/>
      </c>
      <c r="CW26" s="41"/>
      <c r="CX26" s="41"/>
      <c r="CY26" s="48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9"/>
      <c r="DA26" s="22"/>
      <c r="DB26" s="31"/>
      <c r="DC26" s="178"/>
      <c r="DD26" s="47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INDIRECT("'盛付札（関数）'!AG"&amp;DB25))),"")</f>
        <v/>
      </c>
      <c r="DE26" s="41"/>
      <c r="DF26" s="41"/>
      <c r="DG26" s="48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9"/>
      <c r="DI26" s="49"/>
      <c r="DJ26" s="178"/>
      <c r="DK26" s="47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INDIRECT("'盛付札（関数）'!AG"&amp;DI25))),"")</f>
        <v/>
      </c>
      <c r="DL26" s="41"/>
      <c r="DM26" s="41"/>
      <c r="DN26" s="48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9"/>
      <c r="DP26" s="22"/>
      <c r="DQ26" s="31"/>
      <c r="DR26" s="178"/>
      <c r="DS26" s="47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INDIRECT("'盛付札（関数）'!AG"&amp;DQ25))),"")</f>
        <v/>
      </c>
      <c r="DT26" s="41"/>
      <c r="DU26" s="41"/>
      <c r="DV26" s="48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9"/>
      <c r="DX26" s="49"/>
      <c r="DY26" s="178"/>
      <c r="DZ26" s="47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INDIRECT("'盛付札（関数）'!AG"&amp;DX25))),"")</f>
        <v/>
      </c>
      <c r="EA26" s="41"/>
      <c r="EB26" s="41"/>
      <c r="EC26" s="48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9"/>
      <c r="EE26" s="22"/>
      <c r="EF26" s="31"/>
      <c r="EG26" s="178"/>
      <c r="EH26" s="47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INDIRECT("'盛付札（関数）'!AG"&amp;EF25))),"")</f>
        <v/>
      </c>
      <c r="EI26" s="41"/>
      <c r="EJ26" s="41"/>
      <c r="EK26" s="48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9"/>
      <c r="EM26" s="49"/>
      <c r="EN26" s="178"/>
      <c r="EO26" s="47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INDIRECT("'盛付札（関数）'!AG"&amp;EM25))),"")</f>
        <v/>
      </c>
      <c r="EP26" s="41"/>
      <c r="EQ26" s="41"/>
      <c r="ER26" s="48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9"/>
      <c r="ET26" s="22"/>
    </row>
    <row r="27" spans="1:150" s="32" customFormat="1">
      <c r="A27" s="31"/>
      <c r="B27" s="34"/>
      <c r="C27" s="248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49"/>
      <c r="E27" s="22"/>
      <c r="F27" s="32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IF(AND(INDIRECT("'盛付札（関数）'!AE"&amp;A25)&gt;=247,INDIRECT("'盛付札（関数）'!AE"&amp;A25)&lt;=261),"","園児"))),"")</f>
        <v/>
      </c>
      <c r="G27" s="40"/>
      <c r="H27" s="36"/>
      <c r="I27" s="34"/>
      <c r="J27" s="248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49"/>
      <c r="L27" s="22"/>
      <c r="M27" s="32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IF(AND(INDIRECT("'盛付札（関数）'!AE"&amp;H25)&gt;=247,INDIRECT("'盛付札（関数）'!AE"&amp;H25)&lt;=261),"","園児"))),"")</f>
        <v/>
      </c>
      <c r="N27" s="40"/>
      <c r="O27" s="22"/>
      <c r="P27" s="31"/>
      <c r="Q27" s="34"/>
      <c r="R27" s="248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49"/>
      <c r="T27" s="22"/>
      <c r="U27" s="32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IF(AND(INDIRECT("'盛付札（関数）'!AE"&amp;P25)&gt;=247,INDIRECT("'盛付札（関数）'!AE"&amp;P25)&lt;=261),"","園児"))),"")</f>
        <v/>
      </c>
      <c r="V27" s="40"/>
      <c r="W27" s="36"/>
      <c r="X27" s="34"/>
      <c r="Y27" s="248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49"/>
      <c r="AA27" s="22"/>
      <c r="AB27" s="32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IF(AND(INDIRECT("'盛付札（関数）'!AE"&amp;W25)&gt;=247,INDIRECT("'盛付札（関数）'!AE"&amp;W25)&lt;=261),"","園児"))),"")</f>
        <v/>
      </c>
      <c r="AC27" s="40"/>
      <c r="AD27" s="22"/>
      <c r="AE27" s="31"/>
      <c r="AF27" s="34"/>
      <c r="AG27" s="248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49"/>
      <c r="AI27" s="22"/>
      <c r="AJ27" s="32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IF(AND(INDIRECT("'盛付札（関数）'!AE"&amp;AE25)&gt;=247,INDIRECT("'盛付札（関数）'!AE"&amp;AE25)&lt;=261),"","園児"))),"")</f>
        <v/>
      </c>
      <c r="AK27" s="40"/>
      <c r="AL27" s="36"/>
      <c r="AM27" s="34"/>
      <c r="AN27" s="248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49"/>
      <c r="AP27" s="22"/>
      <c r="AQ27" s="32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IF(AND(INDIRECT("'盛付札（関数）'!AE"&amp;AL25)&gt;=247,INDIRECT("'盛付札（関数）'!AE"&amp;AL25)&lt;=261),"","園児"))),"")</f>
        <v/>
      </c>
      <c r="AR27" s="40"/>
      <c r="AS27" s="22"/>
      <c r="AT27" s="31"/>
      <c r="AU27" s="34"/>
      <c r="AV27" s="248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49"/>
      <c r="AX27" s="22"/>
      <c r="AY27" s="32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IF(AND(INDIRECT("'盛付札（関数）'!AE"&amp;AT25)&gt;=247,INDIRECT("'盛付札（関数）'!AE"&amp;AT25)&lt;=261),"","園児"))),"")</f>
        <v/>
      </c>
      <c r="AZ27" s="40"/>
      <c r="BA27" s="36"/>
      <c r="BB27" s="34"/>
      <c r="BC27" s="248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49"/>
      <c r="BE27" s="22"/>
      <c r="BF27" s="32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IF(AND(INDIRECT("'盛付札（関数）'!AE"&amp;BA25)&gt;=247,INDIRECT("'盛付札（関数）'!AE"&amp;BA25)&lt;=261),"","園児"))),"")</f>
        <v/>
      </c>
      <c r="BG27" s="40"/>
      <c r="BH27" s="22"/>
      <c r="BI27" s="31"/>
      <c r="BJ27" s="34"/>
      <c r="BK27" s="248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49"/>
      <c r="BM27" s="22"/>
      <c r="BN27" s="32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IF(AND(INDIRECT("'盛付札（関数）'!AE"&amp;BI25)&gt;=247,INDIRECT("'盛付札（関数）'!AE"&amp;BI25)&lt;=261),"","園児"))),"")</f>
        <v/>
      </c>
      <c r="BO27" s="40"/>
      <c r="BP27" s="36"/>
      <c r="BQ27" s="34"/>
      <c r="BR27" s="248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49"/>
      <c r="BT27" s="22"/>
      <c r="BU27" s="32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IF(AND(INDIRECT("'盛付札（関数）'!AE"&amp;BP25)&gt;=247,INDIRECT("'盛付札（関数）'!AE"&amp;BP25)&lt;=261),"","園児"))),"")</f>
        <v/>
      </c>
      <c r="BV27" s="40"/>
      <c r="BW27" s="22"/>
      <c r="BX27" s="31"/>
      <c r="BY27" s="34"/>
      <c r="BZ27" s="248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49"/>
      <c r="CB27" s="22"/>
      <c r="CC27" s="32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IF(AND(INDIRECT("'盛付札（関数）'!AE"&amp;BX25)&gt;=247,INDIRECT("'盛付札（関数）'!AE"&amp;BX25)&lt;=261),"","園児"))),"")</f>
        <v/>
      </c>
      <c r="CD27" s="40"/>
      <c r="CE27" s="36"/>
      <c r="CF27" s="34"/>
      <c r="CG27" s="248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49"/>
      <c r="CI27" s="22"/>
      <c r="CJ27" s="32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IF(AND(INDIRECT("'盛付札（関数）'!AE"&amp;CE25)&gt;=247,INDIRECT("'盛付札（関数）'!AE"&amp;CE25)&lt;=261),"","園児"))),"")</f>
        <v/>
      </c>
      <c r="CK27" s="40"/>
      <c r="CL27" s="22"/>
      <c r="CM27" s="31"/>
      <c r="CN27" s="34"/>
      <c r="CO27" s="248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49"/>
      <c r="CQ27" s="22"/>
      <c r="CR27" s="32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IF(AND(INDIRECT("'盛付札（関数）'!AE"&amp;CM25)&gt;=247,INDIRECT("'盛付札（関数）'!AE"&amp;CM25)&lt;=261),"","園児"))),"")</f>
        <v/>
      </c>
      <c r="CS27" s="40"/>
      <c r="CT27" s="36"/>
      <c r="CU27" s="34"/>
      <c r="CV27" s="248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49"/>
      <c r="CX27" s="22"/>
      <c r="CY27" s="32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IF(AND(INDIRECT("'盛付札（関数）'!AE"&amp;CT25)&gt;=247,INDIRECT("'盛付札（関数）'!AE"&amp;CT25)&lt;=261),"","園児"))),"")</f>
        <v/>
      </c>
      <c r="CZ27" s="40"/>
      <c r="DA27" s="22"/>
      <c r="DB27" s="31"/>
      <c r="DC27" s="34"/>
      <c r="DD27" s="248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49"/>
      <c r="DF27" s="22"/>
      <c r="DG27" s="32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IF(AND(INDIRECT("'盛付札（関数）'!AE"&amp;DB25)&gt;=247,INDIRECT("'盛付札（関数）'!AE"&amp;DB25)&lt;=261),"","園児"))),"")</f>
        <v/>
      </c>
      <c r="DH27" s="40"/>
      <c r="DI27" s="36"/>
      <c r="DJ27" s="34"/>
      <c r="DK27" s="248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49"/>
      <c r="DM27" s="22"/>
      <c r="DN27" s="32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IF(AND(INDIRECT("'盛付札（関数）'!AE"&amp;DI25)&gt;=247,INDIRECT("'盛付札（関数）'!AE"&amp;DI25)&lt;=261),"","園児"))),"")</f>
        <v/>
      </c>
      <c r="DO27" s="40"/>
      <c r="DP27" s="22"/>
      <c r="DQ27" s="31"/>
      <c r="DR27" s="34"/>
      <c r="DS27" s="248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49"/>
      <c r="DU27" s="22"/>
      <c r="DV27" s="32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IF(AND(INDIRECT("'盛付札（関数）'!AE"&amp;DQ25)&gt;=247,INDIRECT("'盛付札（関数）'!AE"&amp;DQ25)&lt;=261),"","園児"))),"")</f>
        <v/>
      </c>
      <c r="DW27" s="40"/>
      <c r="DX27" s="36"/>
      <c r="DY27" s="34"/>
      <c r="DZ27" s="248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49"/>
      <c r="EB27" s="22"/>
      <c r="EC27" s="32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IF(AND(INDIRECT("'盛付札（関数）'!AE"&amp;DX25)&gt;=247,INDIRECT("'盛付札（関数）'!AE"&amp;DX25)&lt;=261),"","園児"))),"")</f>
        <v/>
      </c>
      <c r="ED27" s="40"/>
      <c r="EE27" s="22"/>
      <c r="EF27" s="31"/>
      <c r="EG27" s="34"/>
      <c r="EH27" s="248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49"/>
      <c r="EJ27" s="22"/>
      <c r="EK27" s="32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IF(AND(INDIRECT("'盛付札（関数）'!AE"&amp;EF25)&gt;=247,INDIRECT("'盛付札（関数）'!AE"&amp;EF25)&lt;=261),"","園児"))),"")</f>
        <v/>
      </c>
      <c r="EL27" s="40"/>
      <c r="EM27" s="36"/>
      <c r="EN27" s="34"/>
      <c r="EO27" s="248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49"/>
      <c r="EQ27" s="22"/>
      <c r="ER27" s="32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IF(AND(INDIRECT("'盛付札（関数）'!AE"&amp;EM25)&gt;=247,INDIRECT("'盛付札（関数）'!AE"&amp;EM25)&lt;=261),"","園児"))),"")</f>
        <v/>
      </c>
      <c r="ES27" s="40"/>
      <c r="ET27" s="22"/>
    </row>
    <row r="28" spans="1:150" ht="15.6" customHeight="1">
      <c r="B28" s="25"/>
      <c r="C28" s="254" t="str">
        <f t="array" aca="1" ref="C28" ca="1">IF(C25&lt;&gt;"",INDIRECT("'盛付札（関数）'!AJ"&amp;A25),"")</f>
        <v/>
      </c>
      <c r="D28" s="255"/>
      <c r="E28" s="50"/>
      <c r="F28" s="257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58"/>
      <c r="H28" s="26"/>
      <c r="I28" s="25"/>
      <c r="J28" s="254" t="str">
        <f t="array" aca="1" ref="J28" ca="1">IF(J25&lt;&gt;"",INDIRECT("'盛付札（関数）'!AJ"&amp;H25),"")</f>
        <v/>
      </c>
      <c r="K28" s="255"/>
      <c r="L28" s="50"/>
      <c r="M28" s="257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58"/>
      <c r="Q28" s="25"/>
      <c r="R28" s="254" t="str">
        <f t="array" aca="1" ref="R28" ca="1">IF(R25&lt;&gt;"",INDIRECT("'盛付札（関数）'!AJ"&amp;P25),"")</f>
        <v/>
      </c>
      <c r="S28" s="255"/>
      <c r="T28" s="50"/>
      <c r="U28" s="257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58"/>
      <c r="W28" s="26"/>
      <c r="X28" s="25"/>
      <c r="Y28" s="254" t="str">
        <f t="array" aca="1" ref="Y28" ca="1">IF(Y25&lt;&gt;"",INDIRECT("'盛付札（関数）'!AJ"&amp;W25),"")</f>
        <v/>
      </c>
      <c r="Z28" s="255"/>
      <c r="AA28" s="50"/>
      <c r="AB28" s="257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58"/>
      <c r="AF28" s="25"/>
      <c r="AG28" s="254" t="str">
        <f t="array" aca="1" ref="AG28" ca="1">IF(AG25&lt;&gt;"",INDIRECT("'盛付札（関数）'!AJ"&amp;AE25),"")</f>
        <v/>
      </c>
      <c r="AH28" s="255"/>
      <c r="AI28" s="50"/>
      <c r="AJ28" s="257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58"/>
      <c r="AL28" s="26"/>
      <c r="AM28" s="25"/>
      <c r="AN28" s="254" t="str">
        <f t="array" aca="1" ref="AN28" ca="1">IF(AN25&lt;&gt;"",INDIRECT("'盛付札（関数）'!AJ"&amp;AL25),"")</f>
        <v/>
      </c>
      <c r="AO28" s="255"/>
      <c r="AP28" s="50"/>
      <c r="AQ28" s="257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58"/>
      <c r="AU28" s="25"/>
      <c r="AV28" s="254" t="str">
        <f t="array" aca="1" ref="AV28" ca="1">IF(AV25&lt;&gt;"",INDIRECT("'盛付札（関数）'!AJ"&amp;AT25),"")</f>
        <v/>
      </c>
      <c r="AW28" s="255"/>
      <c r="AX28" s="50"/>
      <c r="AY28" s="257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58"/>
      <c r="BA28" s="26"/>
      <c r="BB28" s="25"/>
      <c r="BC28" s="254" t="str">
        <f t="array" aca="1" ref="BC28" ca="1">IF(BC25&lt;&gt;"",INDIRECT("'盛付札（関数）'!AJ"&amp;BA25),"")</f>
        <v/>
      </c>
      <c r="BD28" s="255"/>
      <c r="BE28" s="50"/>
      <c r="BF28" s="257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58"/>
      <c r="BJ28" s="25"/>
      <c r="BK28" s="254" t="str">
        <f t="array" aca="1" ref="BK28" ca="1">IF(BK25&lt;&gt;"",INDIRECT("'盛付札（関数）'!AJ"&amp;BI25),"")</f>
        <v/>
      </c>
      <c r="BL28" s="255"/>
      <c r="BM28" s="50"/>
      <c r="BN28" s="257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58"/>
      <c r="BP28" s="26"/>
      <c r="BQ28" s="25"/>
      <c r="BR28" s="254" t="str">
        <f t="array" aca="1" ref="BR28" ca="1">IF(BR25&lt;&gt;"",INDIRECT("'盛付札（関数）'!AJ"&amp;BP25),"")</f>
        <v/>
      </c>
      <c r="BS28" s="255"/>
      <c r="BT28" s="50"/>
      <c r="BU28" s="257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58"/>
      <c r="BY28" s="25"/>
      <c r="BZ28" s="254" t="str">
        <f t="array" aca="1" ref="BZ28" ca="1">IF(BZ25&lt;&gt;"",INDIRECT("'盛付札（関数）'!AJ"&amp;BX25),"")</f>
        <v/>
      </c>
      <c r="CA28" s="255"/>
      <c r="CB28" s="50"/>
      <c r="CC28" s="257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58"/>
      <c r="CE28" s="26"/>
      <c r="CF28" s="25"/>
      <c r="CG28" s="254" t="str">
        <f t="array" aca="1" ref="CG28" ca="1">IF(CG25&lt;&gt;"",INDIRECT("'盛付札（関数）'!AJ"&amp;CE25),"")</f>
        <v/>
      </c>
      <c r="CH28" s="255"/>
      <c r="CI28" s="50"/>
      <c r="CJ28" s="257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58"/>
      <c r="CN28" s="25"/>
      <c r="CO28" s="254" t="str">
        <f t="array" aca="1" ref="CO28" ca="1">IF(CO25&lt;&gt;"",INDIRECT("'盛付札（関数）'!AJ"&amp;CM25),"")</f>
        <v/>
      </c>
      <c r="CP28" s="255"/>
      <c r="CQ28" s="50"/>
      <c r="CR28" s="257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58"/>
      <c r="CT28" s="26"/>
      <c r="CU28" s="25"/>
      <c r="CV28" s="254" t="str">
        <f t="array" aca="1" ref="CV28" ca="1">IF(CV25&lt;&gt;"",INDIRECT("'盛付札（関数）'!AJ"&amp;CT25),"")</f>
        <v/>
      </c>
      <c r="CW28" s="255"/>
      <c r="CX28" s="50"/>
      <c r="CY28" s="257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58"/>
      <c r="DC28" s="25"/>
      <c r="DD28" s="254" t="str">
        <f t="array" aca="1" ref="DD28" ca="1">IF(DD25&lt;&gt;"",INDIRECT("'盛付札（関数）'!AJ"&amp;DB25),"")</f>
        <v/>
      </c>
      <c r="DE28" s="255"/>
      <c r="DF28" s="50"/>
      <c r="DG28" s="257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58"/>
      <c r="DI28" s="26"/>
      <c r="DJ28" s="25"/>
      <c r="DK28" s="254" t="str">
        <f t="array" aca="1" ref="DK28" ca="1">IF(DK25&lt;&gt;"",INDIRECT("'盛付札（関数）'!AJ"&amp;DI25),"")</f>
        <v/>
      </c>
      <c r="DL28" s="255"/>
      <c r="DM28" s="50"/>
      <c r="DN28" s="257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58"/>
      <c r="DR28" s="25"/>
      <c r="DS28" s="254" t="str">
        <f t="array" aca="1" ref="DS28" ca="1">IF(DS25&lt;&gt;"",INDIRECT("'盛付札（関数）'!AJ"&amp;DQ25),"")</f>
        <v/>
      </c>
      <c r="DT28" s="255"/>
      <c r="DU28" s="50"/>
      <c r="DV28" s="257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58"/>
      <c r="DX28" s="26"/>
      <c r="DY28" s="25"/>
      <c r="DZ28" s="254" t="str">
        <f t="array" aca="1" ref="DZ28" ca="1">IF(DZ25&lt;&gt;"",INDIRECT("'盛付札（関数）'!AJ"&amp;DX25),"")</f>
        <v/>
      </c>
      <c r="EA28" s="255"/>
      <c r="EB28" s="50"/>
      <c r="EC28" s="257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58"/>
      <c r="EG28" s="25"/>
      <c r="EH28" s="254" t="str">
        <f t="array" aca="1" ref="EH28" ca="1">IF(EH25&lt;&gt;"",INDIRECT("'盛付札（関数）'!AJ"&amp;EF25),"")</f>
        <v/>
      </c>
      <c r="EI28" s="255"/>
      <c r="EJ28" s="50"/>
      <c r="EK28" s="257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58"/>
      <c r="EM28" s="26"/>
      <c r="EN28" s="25"/>
      <c r="EO28" s="254" t="str">
        <f t="array" aca="1" ref="EO28" ca="1">IF(EO25&lt;&gt;"",INDIRECT("'盛付札（関数）'!AJ"&amp;EM25),"")</f>
        <v/>
      </c>
      <c r="EP28" s="255"/>
      <c r="EQ28" s="50"/>
      <c r="ER28" s="257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58"/>
    </row>
    <row r="29" spans="1:150" ht="15.6" customHeight="1">
      <c r="B29" s="27"/>
      <c r="C29" s="256"/>
      <c r="D29" s="256"/>
      <c r="E29" s="44"/>
      <c r="F29" s="256"/>
      <c r="G29" s="253"/>
      <c r="H29" s="26"/>
      <c r="I29" s="27"/>
      <c r="J29" s="256"/>
      <c r="K29" s="256"/>
      <c r="L29" s="44"/>
      <c r="M29" s="256"/>
      <c r="N29" s="253"/>
      <c r="Q29" s="27"/>
      <c r="R29" s="256"/>
      <c r="S29" s="256"/>
      <c r="T29" s="44"/>
      <c r="U29" s="256"/>
      <c r="V29" s="253"/>
      <c r="W29" s="26"/>
      <c r="X29" s="27"/>
      <c r="Y29" s="256"/>
      <c r="Z29" s="256"/>
      <c r="AA29" s="44"/>
      <c r="AB29" s="256"/>
      <c r="AC29" s="253"/>
      <c r="AF29" s="27"/>
      <c r="AG29" s="256"/>
      <c r="AH29" s="256"/>
      <c r="AI29" s="44"/>
      <c r="AJ29" s="256"/>
      <c r="AK29" s="253"/>
      <c r="AL29" s="26"/>
      <c r="AM29" s="27"/>
      <c r="AN29" s="256"/>
      <c r="AO29" s="256"/>
      <c r="AP29" s="44"/>
      <c r="AQ29" s="256"/>
      <c r="AR29" s="253"/>
      <c r="AU29" s="27"/>
      <c r="AV29" s="256"/>
      <c r="AW29" s="256"/>
      <c r="AX29" s="44"/>
      <c r="AY29" s="256"/>
      <c r="AZ29" s="253"/>
      <c r="BA29" s="26"/>
      <c r="BB29" s="27"/>
      <c r="BC29" s="256"/>
      <c r="BD29" s="256"/>
      <c r="BE29" s="44"/>
      <c r="BF29" s="256"/>
      <c r="BG29" s="253"/>
      <c r="BJ29" s="27"/>
      <c r="BK29" s="256"/>
      <c r="BL29" s="256"/>
      <c r="BM29" s="44"/>
      <c r="BN29" s="256"/>
      <c r="BO29" s="253"/>
      <c r="BP29" s="26"/>
      <c r="BQ29" s="27"/>
      <c r="BR29" s="256"/>
      <c r="BS29" s="256"/>
      <c r="BT29" s="44"/>
      <c r="BU29" s="256"/>
      <c r="BV29" s="253"/>
      <c r="BY29" s="27"/>
      <c r="BZ29" s="256"/>
      <c r="CA29" s="256"/>
      <c r="CB29" s="44"/>
      <c r="CC29" s="256"/>
      <c r="CD29" s="253"/>
      <c r="CE29" s="26"/>
      <c r="CF29" s="27"/>
      <c r="CG29" s="256"/>
      <c r="CH29" s="256"/>
      <c r="CI29" s="44"/>
      <c r="CJ29" s="256"/>
      <c r="CK29" s="253"/>
      <c r="CN29" s="27"/>
      <c r="CO29" s="256"/>
      <c r="CP29" s="256"/>
      <c r="CQ29" s="44"/>
      <c r="CR29" s="256"/>
      <c r="CS29" s="253"/>
      <c r="CT29" s="26"/>
      <c r="CU29" s="27"/>
      <c r="CV29" s="256"/>
      <c r="CW29" s="256"/>
      <c r="CX29" s="44"/>
      <c r="CY29" s="256"/>
      <c r="CZ29" s="253"/>
      <c r="DC29" s="27"/>
      <c r="DD29" s="256"/>
      <c r="DE29" s="256"/>
      <c r="DF29" s="44"/>
      <c r="DG29" s="256"/>
      <c r="DH29" s="253"/>
      <c r="DI29" s="26"/>
      <c r="DJ29" s="27"/>
      <c r="DK29" s="256"/>
      <c r="DL29" s="256"/>
      <c r="DM29" s="44"/>
      <c r="DN29" s="256"/>
      <c r="DO29" s="253"/>
      <c r="DR29" s="27"/>
      <c r="DS29" s="256"/>
      <c r="DT29" s="256"/>
      <c r="DU29" s="44"/>
      <c r="DV29" s="256"/>
      <c r="DW29" s="253"/>
      <c r="DX29" s="26"/>
      <c r="DY29" s="27"/>
      <c r="DZ29" s="256"/>
      <c r="EA29" s="256"/>
      <c r="EB29" s="44"/>
      <c r="EC29" s="256"/>
      <c r="ED29" s="253"/>
      <c r="EG29" s="27"/>
      <c r="EH29" s="256"/>
      <c r="EI29" s="256"/>
      <c r="EJ29" s="44"/>
      <c r="EK29" s="256"/>
      <c r="EL29" s="253"/>
      <c r="EM29" s="26"/>
      <c r="EN29" s="27"/>
      <c r="EO29" s="256"/>
      <c r="EP29" s="256"/>
      <c r="EQ29" s="44"/>
      <c r="ER29" s="256"/>
      <c r="ES29" s="253"/>
    </row>
    <row r="30" spans="1:150" s="32" customFormat="1">
      <c r="A30" s="31"/>
      <c r="B30" s="37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5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7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5"/>
      <c r="F30" s="37" t="str">
        <f t="array" aca="1" ref="F30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"アレルギー")),"")</f>
        <v/>
      </c>
      <c r="G30" s="40"/>
      <c r="H30" s="22"/>
      <c r="I30" s="37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5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7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5"/>
      <c r="M30" s="37" t="str">
        <f t="array" aca="1" ref="M30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"アレルギー")),"")</f>
        <v/>
      </c>
      <c r="N30" s="40"/>
      <c r="O30" s="22"/>
      <c r="P30" s="31"/>
      <c r="Q30" s="37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5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7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5"/>
      <c r="U30" s="37" t="str">
        <f t="array" aca="1" ref="U30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"アレルギー")),"")</f>
        <v/>
      </c>
      <c r="V30" s="40"/>
      <c r="W30" s="22"/>
      <c r="X30" s="37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5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7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5"/>
      <c r="AB30" s="37" t="str">
        <f t="array" aca="1" ref="AB30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"アレルギー")),"")</f>
        <v/>
      </c>
      <c r="AC30" s="40"/>
      <c r="AD30" s="22"/>
      <c r="AE30" s="31"/>
      <c r="AF30" s="37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5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7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5"/>
      <c r="AJ30" s="37" t="str">
        <f t="array" aca="1" ref="AJ30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"アレルギー")),"")</f>
        <v/>
      </c>
      <c r="AK30" s="40"/>
      <c r="AL30" s="22"/>
      <c r="AM30" s="37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5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7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5"/>
      <c r="AQ30" s="37" t="str">
        <f t="array" aca="1" ref="AQ30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"アレルギー")),"")</f>
        <v/>
      </c>
      <c r="AR30" s="40"/>
      <c r="AS30" s="22"/>
      <c r="AT30" s="31"/>
      <c r="AU30" s="37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5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7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5"/>
      <c r="AY30" s="37" t="str">
        <f t="array" aca="1" ref="AY30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"アレルギー")),"")</f>
        <v/>
      </c>
      <c r="AZ30" s="40"/>
      <c r="BA30" s="22"/>
      <c r="BB30" s="37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5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7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5"/>
      <c r="BF30" s="37" t="str">
        <f t="array" aca="1" ref="BF30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"アレルギー")),"")</f>
        <v/>
      </c>
      <c r="BG30" s="40"/>
      <c r="BH30" s="22"/>
      <c r="BI30" s="31"/>
      <c r="BJ30" s="37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5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7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5"/>
      <c r="BN30" s="37" t="str">
        <f t="array" aca="1" ref="BN30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"アレルギー")),"")</f>
        <v/>
      </c>
      <c r="BO30" s="40"/>
      <c r="BP30" s="22"/>
      <c r="BQ30" s="37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5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7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5"/>
      <c r="BU30" s="37" t="str">
        <f t="array" aca="1" ref="BU30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"アレルギー")),"")</f>
        <v/>
      </c>
      <c r="BV30" s="40"/>
      <c r="BW30" s="22"/>
      <c r="BX30" s="31"/>
      <c r="BY30" s="37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5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7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5"/>
      <c r="CC30" s="37" t="str">
        <f t="array" aca="1" ref="CC30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"アレルギー")),"")</f>
        <v/>
      </c>
      <c r="CD30" s="40"/>
      <c r="CE30" s="22"/>
      <c r="CF30" s="37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5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7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5"/>
      <c r="CJ30" s="37" t="str">
        <f t="array" aca="1" ref="CJ30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"アレルギー")),"")</f>
        <v/>
      </c>
      <c r="CK30" s="40"/>
      <c r="CL30" s="22"/>
      <c r="CM30" s="31"/>
      <c r="CN30" s="37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5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7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5"/>
      <c r="CR30" s="37" t="str">
        <f t="array" aca="1" ref="CR30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"アレルギー")),"")</f>
        <v/>
      </c>
      <c r="CS30" s="40"/>
      <c r="CT30" s="22"/>
      <c r="CU30" s="37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5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7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5"/>
      <c r="CY30" s="37" t="str">
        <f t="array" aca="1" ref="CY30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"アレルギー")),"")</f>
        <v/>
      </c>
      <c r="CZ30" s="40"/>
      <c r="DA30" s="22"/>
      <c r="DB30" s="31"/>
      <c r="DC30" s="37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5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7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5"/>
      <c r="DG30" s="37" t="str">
        <f t="array" aca="1" ref="DG30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"アレルギー")),"")</f>
        <v/>
      </c>
      <c r="DH30" s="40"/>
      <c r="DI30" s="22"/>
      <c r="DJ30" s="37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5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7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5"/>
      <c r="DN30" s="37" t="str">
        <f t="array" aca="1" ref="DN30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"アレルギー")),"")</f>
        <v/>
      </c>
      <c r="DO30" s="40"/>
      <c r="DP30" s="22"/>
      <c r="DQ30" s="31"/>
      <c r="DR30" s="37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5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7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5"/>
      <c r="DV30" s="37" t="str">
        <f t="array" aca="1" ref="DV30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"アレルギー")),"")</f>
        <v/>
      </c>
      <c r="DW30" s="40"/>
      <c r="DX30" s="22"/>
      <c r="DY30" s="37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5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7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5"/>
      <c r="EC30" s="37" t="str">
        <f t="array" aca="1" ref="EC30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"アレルギー")),"")</f>
        <v/>
      </c>
      <c r="ED30" s="40"/>
      <c r="EE30" s="22"/>
      <c r="EF30" s="31"/>
      <c r="EG30" s="37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5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7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5"/>
      <c r="EK30" s="37" t="str">
        <f t="array" aca="1" ref="EK30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"アレルギー")),"")</f>
        <v/>
      </c>
      <c r="EL30" s="40"/>
      <c r="EM30" s="22"/>
      <c r="EN30" s="37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5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7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5"/>
      <c r="ER30" s="37" t="str">
        <f t="array" aca="1" ref="ER30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"アレルギー")),"")</f>
        <v/>
      </c>
      <c r="ES30" s="40"/>
      <c r="ET30" s="22"/>
    </row>
    <row r="31" spans="1:150" ht="27.6" customHeight="1">
      <c r="B31" s="259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53"/>
      <c r="D31" s="259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53"/>
      <c r="F31" s="252" t="str">
        <f t="array" aca="1" ref="F31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INDIRECT("'盛付札（関数）'!AO"&amp;A25))),"")</f>
        <v/>
      </c>
      <c r="G31" s="253"/>
      <c r="I31" s="259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53"/>
      <c r="K31" s="259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53"/>
      <c r="M31" s="252" t="str">
        <f t="array" aca="1" ref="M31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INDIRECT("'盛付札（関数）'!AO"&amp;H25))),"")</f>
        <v/>
      </c>
      <c r="N31" s="253"/>
      <c r="Q31" s="259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53"/>
      <c r="S31" s="259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53"/>
      <c r="U31" s="252" t="str">
        <f t="array" aca="1" ref="U31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INDIRECT("'盛付札（関数）'!AO"&amp;P25))),"")</f>
        <v/>
      </c>
      <c r="V31" s="253"/>
      <c r="X31" s="259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53"/>
      <c r="Z31" s="259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53"/>
      <c r="AB31" s="252" t="str">
        <f t="array" aca="1" ref="AB31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INDIRECT("'盛付札（関数）'!AO"&amp;W25))),"")</f>
        <v/>
      </c>
      <c r="AC31" s="253"/>
      <c r="AF31" s="259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53"/>
      <c r="AH31" s="259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53"/>
      <c r="AJ31" s="252" t="str">
        <f t="array" aca="1" ref="AJ31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INDIRECT("'盛付札（関数）'!AO"&amp;AE25))),"")</f>
        <v/>
      </c>
      <c r="AK31" s="253"/>
      <c r="AM31" s="259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53"/>
      <c r="AO31" s="259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53"/>
      <c r="AQ31" s="252" t="str">
        <f t="array" aca="1" ref="AQ31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INDIRECT("'盛付札（関数）'!AO"&amp;AL25))),"")</f>
        <v/>
      </c>
      <c r="AR31" s="253"/>
      <c r="AU31" s="259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53"/>
      <c r="AW31" s="259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53"/>
      <c r="AY31" s="252" t="str">
        <f t="array" aca="1" ref="AY31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INDIRECT("'盛付札（関数）'!AO"&amp;AT25))),"")</f>
        <v/>
      </c>
      <c r="AZ31" s="253"/>
      <c r="BB31" s="259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53"/>
      <c r="BD31" s="259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53"/>
      <c r="BF31" s="252" t="str">
        <f t="array" aca="1" ref="BF31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INDIRECT("'盛付札（関数）'!AO"&amp;BA25))),"")</f>
        <v/>
      </c>
      <c r="BG31" s="253"/>
      <c r="BJ31" s="259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53"/>
      <c r="BL31" s="259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53"/>
      <c r="BN31" s="252" t="str">
        <f t="array" aca="1" ref="BN31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INDIRECT("'盛付札（関数）'!AO"&amp;BI25))),"")</f>
        <v/>
      </c>
      <c r="BO31" s="253"/>
      <c r="BQ31" s="259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53"/>
      <c r="BS31" s="259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53"/>
      <c r="BU31" s="252" t="str">
        <f t="array" aca="1" ref="BU31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INDIRECT("'盛付札（関数）'!AO"&amp;BP25))),"")</f>
        <v/>
      </c>
      <c r="BV31" s="253"/>
      <c r="BY31" s="259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53"/>
      <c r="CA31" s="259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53"/>
      <c r="CC31" s="252" t="str">
        <f t="array" aca="1" ref="CC31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INDIRECT("'盛付札（関数）'!AO"&amp;BX25))),"")</f>
        <v/>
      </c>
      <c r="CD31" s="253"/>
      <c r="CF31" s="259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53"/>
      <c r="CH31" s="259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53"/>
      <c r="CJ31" s="252" t="str">
        <f t="array" aca="1" ref="CJ31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INDIRECT("'盛付札（関数）'!AO"&amp;CE25))),"")</f>
        <v/>
      </c>
      <c r="CK31" s="253"/>
      <c r="CN31" s="259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53"/>
      <c r="CP31" s="259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53"/>
      <c r="CR31" s="252" t="str">
        <f t="array" aca="1" ref="CR31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INDIRECT("'盛付札（関数）'!AO"&amp;CM25))),"")</f>
        <v/>
      </c>
      <c r="CS31" s="253"/>
      <c r="CU31" s="259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53"/>
      <c r="CW31" s="259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53"/>
      <c r="CY31" s="252" t="str">
        <f t="array" aca="1" ref="CY31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INDIRECT("'盛付札（関数）'!AO"&amp;CT25))),"")</f>
        <v/>
      </c>
      <c r="CZ31" s="253"/>
      <c r="DC31" s="259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53"/>
      <c r="DE31" s="259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53"/>
      <c r="DG31" s="252" t="str">
        <f t="array" aca="1" ref="DG31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INDIRECT("'盛付札（関数）'!AO"&amp;DB25))),"")</f>
        <v/>
      </c>
      <c r="DH31" s="253"/>
      <c r="DJ31" s="259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53"/>
      <c r="DL31" s="259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53"/>
      <c r="DN31" s="252" t="str">
        <f t="array" aca="1" ref="DN31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INDIRECT("'盛付札（関数）'!AO"&amp;DI25))),"")</f>
        <v/>
      </c>
      <c r="DO31" s="253"/>
      <c r="DR31" s="259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53"/>
      <c r="DT31" s="259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53"/>
      <c r="DV31" s="252" t="str">
        <f t="array" aca="1" ref="DV31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INDIRECT("'盛付札（関数）'!AO"&amp;DQ25))),"")</f>
        <v/>
      </c>
      <c r="DW31" s="253"/>
      <c r="DY31" s="259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53"/>
      <c r="EA31" s="259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53"/>
      <c r="EC31" s="252" t="str">
        <f t="array" aca="1" ref="EC31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INDIRECT("'盛付札（関数）'!AO"&amp;DX25))),"")</f>
        <v/>
      </c>
      <c r="ED31" s="253"/>
      <c r="EG31" s="259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53"/>
      <c r="EI31" s="259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53"/>
      <c r="EK31" s="252" t="str">
        <f t="array" aca="1" ref="EK31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INDIRECT("'盛付札（関数）'!AO"&amp;EF25))),"")</f>
        <v/>
      </c>
      <c r="EL31" s="253"/>
      <c r="EN31" s="259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53"/>
      <c r="EP31" s="259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53"/>
      <c r="ER31" s="252" t="str">
        <f t="array" aca="1" ref="ER31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INDIRECT("'盛付札（関数）'!AO"&amp;EM25))),"")</f>
        <v/>
      </c>
      <c r="ES31" s="253"/>
    </row>
    <row r="32" spans="1:150" ht="6.6" customHeight="1">
      <c r="B32" s="45"/>
      <c r="D32" s="45"/>
      <c r="F32" s="46"/>
      <c r="I32" s="45"/>
      <c r="K32" s="45"/>
      <c r="M32" s="46"/>
      <c r="Q32" s="45"/>
      <c r="S32" s="45"/>
      <c r="U32" s="46"/>
      <c r="X32" s="45"/>
      <c r="Z32" s="45"/>
      <c r="AB32" s="46"/>
      <c r="AF32" s="45"/>
      <c r="AH32" s="45"/>
      <c r="AJ32" s="46"/>
      <c r="AM32" s="45"/>
      <c r="AO32" s="45"/>
      <c r="AQ32" s="46"/>
      <c r="AU32" s="45"/>
      <c r="AW32" s="45"/>
      <c r="AY32" s="46"/>
      <c r="BB32" s="45"/>
      <c r="BD32" s="45"/>
      <c r="BF32" s="46"/>
      <c r="BJ32" s="45"/>
      <c r="BL32" s="45"/>
      <c r="BN32" s="46"/>
      <c r="BQ32" s="45"/>
      <c r="BS32" s="45"/>
      <c r="BU32" s="46"/>
      <c r="BY32" s="45"/>
      <c r="CA32" s="45"/>
      <c r="CC32" s="46"/>
      <c r="CF32" s="45"/>
      <c r="CH32" s="45"/>
      <c r="CJ32" s="46"/>
      <c r="CN32" s="45"/>
      <c r="CP32" s="45"/>
      <c r="CR32" s="46"/>
      <c r="CU32" s="45"/>
      <c r="CW32" s="45"/>
      <c r="CY32" s="46"/>
      <c r="DC32" s="45"/>
      <c r="DE32" s="45"/>
      <c r="DG32" s="46"/>
      <c r="DJ32" s="45"/>
      <c r="DL32" s="45"/>
      <c r="DN32" s="46"/>
      <c r="DR32" s="45"/>
      <c r="DT32" s="45"/>
      <c r="DV32" s="46"/>
      <c r="DY32" s="45"/>
      <c r="EA32" s="45"/>
      <c r="EC32" s="46"/>
      <c r="EG32" s="45"/>
      <c r="EI32" s="45"/>
      <c r="EK32" s="46"/>
      <c r="EN32" s="45"/>
      <c r="EP32" s="45"/>
      <c r="ER32" s="46"/>
    </row>
    <row r="33" spans="1:150" s="32" customFormat="1" ht="25.8" customHeight="1">
      <c r="A33" s="31">
        <f>H25+1</f>
        <v>9</v>
      </c>
      <c r="B33" s="43" t="str">
        <f ca="1">IF(C33&lt;&gt;"",
MID(貼り付け用!$A$2, FIND("年",貼り付け用!$A$2)+1,2)&amp;"/"&amp;MID(貼り付け用!$A$2, FIND("月",貼り付け用!$A$2)+1,2),"")</f>
        <v/>
      </c>
      <c r="C33" s="250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51"/>
      <c r="E33" s="251"/>
      <c r="F33" s="251"/>
      <c r="G33" s="42" t="str">
        <f t="array" aca="1" ref="G33" ca="1">IF(C33&lt;&gt;"",
IF(AND(INDIRECT("'盛付札（関数）'!AE"&amp;A33)&gt;=124,INDIRECT("'盛付札（関数）'!AE"&amp;A33)&lt;=144),"",
"様"),"")</f>
        <v/>
      </c>
      <c r="H33" s="36">
        <f>A33+1</f>
        <v>10</v>
      </c>
      <c r="I33" s="43" t="str">
        <f ca="1">IF(J33&lt;&gt;"",
MID(貼り付け用!$A$2, FIND("年",貼り付け用!$A$2)+1,2)&amp;"/"&amp;MID(貼り付け用!$A$2, FIND("月",貼り付け用!$A$2)+1,2),"")</f>
        <v/>
      </c>
      <c r="J33" s="250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51"/>
      <c r="L33" s="251"/>
      <c r="M33" s="251"/>
      <c r="N33" s="42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1">
        <f>W25+1</f>
        <v>21</v>
      </c>
      <c r="Q33" s="43" t="str">
        <f ca="1">IF(R33&lt;&gt;"",
MID(貼り付け用!$A$2, FIND("年",貼り付け用!$A$2)+1,2)&amp;"/"&amp;MID(貼り付け用!$A$2, FIND("月",貼り付け用!$A$2)+1,2),"")</f>
        <v/>
      </c>
      <c r="R33" s="250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51"/>
      <c r="T33" s="251"/>
      <c r="U33" s="251"/>
      <c r="V33" s="42" t="str">
        <f t="array" aca="1" ref="V33" ca="1">IF(R33&lt;&gt;"",
IF(AND(INDIRECT("'盛付札（関数）'!AE"&amp;P33)&gt;=124,INDIRECT("'盛付札（関数）'!AE"&amp;P33)&lt;=144),"",
"様"),"")</f>
        <v/>
      </c>
      <c r="W33" s="36">
        <f>P33+1</f>
        <v>22</v>
      </c>
      <c r="X33" s="43" t="str">
        <f ca="1">IF(Y33&lt;&gt;"",
MID(貼り付け用!$A$2, FIND("年",貼り付け用!$A$2)+1,2)&amp;"/"&amp;MID(貼り付け用!$A$2, FIND("月",貼り付け用!$A$2)+1,2),"")</f>
        <v/>
      </c>
      <c r="Y33" s="250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51"/>
      <c r="AA33" s="251"/>
      <c r="AB33" s="251"/>
      <c r="AC33" s="42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1">
        <f>AL25+1</f>
        <v>33</v>
      </c>
      <c r="AF33" s="43" t="str">
        <f ca="1">IF(AG33&lt;&gt;"",
MID(貼り付け用!$A$2, FIND("年",貼り付け用!$A$2)+1,2)&amp;"/"&amp;MID(貼り付け用!$A$2, FIND("月",貼り付け用!$A$2)+1,2),"")</f>
        <v/>
      </c>
      <c r="AG33" s="250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51"/>
      <c r="AI33" s="251"/>
      <c r="AJ33" s="251"/>
      <c r="AK33" s="42" t="str">
        <f t="array" aca="1" ref="AK33" ca="1">IF(AG33&lt;&gt;"",
IF(AND(INDIRECT("'盛付札（関数）'!AE"&amp;AE33)&gt;=124,INDIRECT("'盛付札（関数）'!AE"&amp;AE33)&lt;=144),"",
"様"),"")</f>
        <v/>
      </c>
      <c r="AL33" s="36">
        <f>AE33+1</f>
        <v>34</v>
      </c>
      <c r="AM33" s="43" t="str">
        <f ca="1">IF(AN33&lt;&gt;"",
MID(貼り付け用!$A$2, FIND("年",貼り付け用!$A$2)+1,2)&amp;"/"&amp;MID(貼り付け用!$A$2, FIND("月",貼り付け用!$A$2)+1,2),"")</f>
        <v/>
      </c>
      <c r="AN33" s="250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51"/>
      <c r="AP33" s="251"/>
      <c r="AQ33" s="251"/>
      <c r="AR33" s="42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1">
        <f>BA25+1</f>
        <v>45</v>
      </c>
      <c r="AU33" s="43" t="str">
        <f ca="1">IF(AV33&lt;&gt;"",
MID(貼り付け用!$A$2, FIND("年",貼り付け用!$A$2)+1,2)&amp;"/"&amp;MID(貼り付け用!$A$2, FIND("月",貼り付け用!$A$2)+1,2),"")</f>
        <v/>
      </c>
      <c r="AV33" s="250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51"/>
      <c r="AX33" s="251"/>
      <c r="AY33" s="251"/>
      <c r="AZ33" s="42" t="str">
        <f t="array" aca="1" ref="AZ33" ca="1">IF(AV33&lt;&gt;"",
IF(AND(INDIRECT("'盛付札（関数）'!AE"&amp;AT33)&gt;=124,INDIRECT("'盛付札（関数）'!AE"&amp;AT33)&lt;=144),"",
"様"),"")</f>
        <v/>
      </c>
      <c r="BA33" s="36">
        <f>AT33+1</f>
        <v>46</v>
      </c>
      <c r="BB33" s="43" t="str">
        <f ca="1">IF(BC33&lt;&gt;"",
MID(貼り付け用!$A$2, FIND("年",貼り付け用!$A$2)+1,2)&amp;"/"&amp;MID(貼り付け用!$A$2, FIND("月",貼り付け用!$A$2)+1,2),"")</f>
        <v/>
      </c>
      <c r="BC33" s="250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51"/>
      <c r="BE33" s="251"/>
      <c r="BF33" s="251"/>
      <c r="BG33" s="42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1">
        <f>BP25+1</f>
        <v>57</v>
      </c>
      <c r="BJ33" s="43" t="str">
        <f ca="1">IF(BK33&lt;&gt;"",
MID(貼り付け用!$A$2, FIND("年",貼り付け用!$A$2)+1,2)&amp;"/"&amp;MID(貼り付け用!$A$2, FIND("月",貼り付け用!$A$2)+1,2),"")</f>
        <v/>
      </c>
      <c r="BK33" s="250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51"/>
      <c r="BM33" s="251"/>
      <c r="BN33" s="251"/>
      <c r="BO33" s="42" t="str">
        <f t="array" aca="1" ref="BO33" ca="1">IF(BK33&lt;&gt;"",
IF(AND(INDIRECT("'盛付札（関数）'!AE"&amp;BI33)&gt;=124,INDIRECT("'盛付札（関数）'!AE"&amp;BI33)&lt;=144),"",
"様"),"")</f>
        <v/>
      </c>
      <c r="BP33" s="36">
        <f>BI33+1</f>
        <v>58</v>
      </c>
      <c r="BQ33" s="43" t="str">
        <f ca="1">IF(BR33&lt;&gt;"",
MID(貼り付け用!$A$2, FIND("年",貼り付け用!$A$2)+1,2)&amp;"/"&amp;MID(貼り付け用!$A$2, FIND("月",貼り付け用!$A$2)+1,2),"")</f>
        <v/>
      </c>
      <c r="BR33" s="250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51"/>
      <c r="BT33" s="251"/>
      <c r="BU33" s="251"/>
      <c r="BV33" s="42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1">
        <f>CE25+1</f>
        <v>69</v>
      </c>
      <c r="BY33" s="43" t="str">
        <f ca="1">IF(BZ33&lt;&gt;"",
MID(貼り付け用!$A$2, FIND("年",貼り付け用!$A$2)+1,2)&amp;"/"&amp;MID(貼り付け用!$A$2, FIND("月",貼り付け用!$A$2)+1,2),"")</f>
        <v/>
      </c>
      <c r="BZ33" s="250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51"/>
      <c r="CB33" s="251"/>
      <c r="CC33" s="251"/>
      <c r="CD33" s="42" t="str">
        <f t="array" aca="1" ref="CD33" ca="1">IF(BZ33&lt;&gt;"",
IF(AND(INDIRECT("'盛付札（関数）'!AE"&amp;BX33)&gt;=124,INDIRECT("'盛付札（関数）'!AE"&amp;BX33)&lt;=144),"",
"様"),"")</f>
        <v/>
      </c>
      <c r="CE33" s="36">
        <f>BX33+1</f>
        <v>70</v>
      </c>
      <c r="CF33" s="43" t="str">
        <f ca="1">IF(CG33&lt;&gt;"",
MID(貼り付け用!$A$2, FIND("年",貼り付け用!$A$2)+1,2)&amp;"/"&amp;MID(貼り付け用!$A$2, FIND("月",貼り付け用!$A$2)+1,2),"")</f>
        <v/>
      </c>
      <c r="CG33" s="250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51"/>
      <c r="CI33" s="251"/>
      <c r="CJ33" s="251"/>
      <c r="CK33" s="42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1">
        <f>CT25+1</f>
        <v>81</v>
      </c>
      <c r="CN33" s="43" t="str">
        <f ca="1">IF(CO33&lt;&gt;"",
MID(貼り付け用!$A$2, FIND("年",貼り付け用!$A$2)+1,2)&amp;"/"&amp;MID(貼り付け用!$A$2, FIND("月",貼り付け用!$A$2)+1,2),"")</f>
        <v/>
      </c>
      <c r="CO33" s="250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51"/>
      <c r="CQ33" s="251"/>
      <c r="CR33" s="251"/>
      <c r="CS33" s="42" t="str">
        <f t="array" aca="1" ref="CS33" ca="1">IF(CO33&lt;&gt;"",
IF(AND(INDIRECT("'盛付札（関数）'!AE"&amp;CM33)&gt;=124,INDIRECT("'盛付札（関数）'!AE"&amp;CM33)&lt;=144),"",
"様"),"")</f>
        <v/>
      </c>
      <c r="CT33" s="36">
        <f>CM33+1</f>
        <v>82</v>
      </c>
      <c r="CU33" s="43" t="str">
        <f ca="1">IF(CV33&lt;&gt;"",
MID(貼り付け用!$A$2, FIND("年",貼り付け用!$A$2)+1,2)&amp;"/"&amp;MID(貼り付け用!$A$2, FIND("月",貼り付け用!$A$2)+1,2),"")</f>
        <v/>
      </c>
      <c r="CV33" s="250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51"/>
      <c r="CX33" s="251"/>
      <c r="CY33" s="251"/>
      <c r="CZ33" s="42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1">
        <f>DI25+1</f>
        <v>93</v>
      </c>
      <c r="DC33" s="43" t="str">
        <f ca="1">IF(DD33&lt;&gt;"",
MID(貼り付け用!$A$2, FIND("年",貼り付け用!$A$2)+1,2)&amp;"/"&amp;MID(貼り付け用!$A$2, FIND("月",貼り付け用!$A$2)+1,2),"")</f>
        <v/>
      </c>
      <c r="DD33" s="250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51"/>
      <c r="DF33" s="251"/>
      <c r="DG33" s="251"/>
      <c r="DH33" s="42" t="str">
        <f t="array" aca="1" ref="DH33" ca="1">IF(DD33&lt;&gt;"",
IF(AND(INDIRECT("'盛付札（関数）'!AE"&amp;DB33)&gt;=124,INDIRECT("'盛付札（関数）'!AE"&amp;DB33)&lt;=144),"",
"様"),"")</f>
        <v/>
      </c>
      <c r="DI33" s="36">
        <f>DB33+1</f>
        <v>94</v>
      </c>
      <c r="DJ33" s="43" t="str">
        <f ca="1">IF(DK33&lt;&gt;"",
MID(貼り付け用!$A$2, FIND("年",貼り付け用!$A$2)+1,2)&amp;"/"&amp;MID(貼り付け用!$A$2, FIND("月",貼り付け用!$A$2)+1,2),"")</f>
        <v/>
      </c>
      <c r="DK33" s="250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51"/>
      <c r="DM33" s="251"/>
      <c r="DN33" s="251"/>
      <c r="DO33" s="42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1">
        <f>DX25+1</f>
        <v>105</v>
      </c>
      <c r="DR33" s="43" t="str">
        <f ca="1">IF(DS33&lt;&gt;"",
MID(貼り付け用!$A$2, FIND("年",貼り付け用!$A$2)+1,2)&amp;"/"&amp;MID(貼り付け用!$A$2, FIND("月",貼り付け用!$A$2)+1,2),"")</f>
        <v/>
      </c>
      <c r="DS33" s="250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51"/>
      <c r="DU33" s="251"/>
      <c r="DV33" s="251"/>
      <c r="DW33" s="42" t="str">
        <f t="array" aca="1" ref="DW33" ca="1">IF(DS33&lt;&gt;"",
IF(AND(INDIRECT("'盛付札（関数）'!AE"&amp;DQ33)&gt;=124,INDIRECT("'盛付札（関数）'!AE"&amp;DQ33)&lt;=144),"",
"様"),"")</f>
        <v/>
      </c>
      <c r="DX33" s="36">
        <f>DQ33+1</f>
        <v>106</v>
      </c>
      <c r="DY33" s="43" t="str">
        <f ca="1">IF(DZ33&lt;&gt;"",
MID(貼り付け用!$A$2, FIND("年",貼り付け用!$A$2)+1,2)&amp;"/"&amp;MID(貼り付け用!$A$2, FIND("月",貼り付け用!$A$2)+1,2),"")</f>
        <v/>
      </c>
      <c r="DZ33" s="250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51"/>
      <c r="EB33" s="251"/>
      <c r="EC33" s="251"/>
      <c r="ED33" s="42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1">
        <f>EM25+1</f>
        <v>117</v>
      </c>
      <c r="EG33" s="43" t="str">
        <f ca="1">IF(EH33&lt;&gt;"",
MID(貼り付け用!$A$2, FIND("年",貼り付け用!$A$2)+1,2)&amp;"/"&amp;MID(貼り付け用!$A$2, FIND("月",貼り付け用!$A$2)+1,2),"")</f>
        <v/>
      </c>
      <c r="EH33" s="250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51"/>
      <c r="EJ33" s="251"/>
      <c r="EK33" s="251"/>
      <c r="EL33" s="42" t="str">
        <f t="array" aca="1" ref="EL33" ca="1">IF(EH33&lt;&gt;"",
IF(AND(INDIRECT("'盛付札（関数）'!AE"&amp;EF33)&gt;=124,INDIRECT("'盛付札（関数）'!AE"&amp;EF33)&lt;=144),"",
"様"),"")</f>
        <v/>
      </c>
      <c r="EM33" s="36">
        <f>EF33+1</f>
        <v>118</v>
      </c>
      <c r="EN33" s="43" t="str">
        <f ca="1">IF(EO33&lt;&gt;"",
MID(貼り付け用!$A$2, FIND("年",貼り付け用!$A$2)+1,2)&amp;"/"&amp;MID(貼り付け用!$A$2, FIND("月",貼り付け用!$A$2)+1,2),"")</f>
        <v/>
      </c>
      <c r="EO33" s="250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51"/>
      <c r="EQ33" s="251"/>
      <c r="ER33" s="251"/>
      <c r="ES33" s="42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32" customFormat="1">
      <c r="A34" s="31"/>
      <c r="B34" s="178"/>
      <c r="C34" s="47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INDIRECT("'盛付札（関数）'!AG"&amp;A33))),"")</f>
        <v/>
      </c>
      <c r="D34" s="41"/>
      <c r="E34" s="41"/>
      <c r="F34" s="48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9"/>
      <c r="H34" s="49"/>
      <c r="I34" s="178"/>
      <c r="J34" s="47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INDIRECT("'盛付札（関数）'!AG"&amp;H33))),"")</f>
        <v/>
      </c>
      <c r="K34" s="41"/>
      <c r="L34" s="41"/>
      <c r="M34" s="48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9"/>
      <c r="O34" s="22"/>
      <c r="P34" s="31"/>
      <c r="Q34" s="178"/>
      <c r="R34" s="47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INDIRECT("'盛付札（関数）'!AG"&amp;P33))),"")</f>
        <v/>
      </c>
      <c r="S34" s="41"/>
      <c r="T34" s="41"/>
      <c r="U34" s="48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9"/>
      <c r="W34" s="49"/>
      <c r="X34" s="178"/>
      <c r="Y34" s="47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INDIRECT("'盛付札（関数）'!AG"&amp;W33))),"")</f>
        <v/>
      </c>
      <c r="Z34" s="41"/>
      <c r="AA34" s="41"/>
      <c r="AB34" s="48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9"/>
      <c r="AD34" s="22"/>
      <c r="AE34" s="31"/>
      <c r="AF34" s="178"/>
      <c r="AG34" s="47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INDIRECT("'盛付札（関数）'!AG"&amp;AE33))),"")</f>
        <v/>
      </c>
      <c r="AH34" s="41"/>
      <c r="AI34" s="41"/>
      <c r="AJ34" s="48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9"/>
      <c r="AL34" s="49"/>
      <c r="AM34" s="178"/>
      <c r="AN34" s="47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INDIRECT("'盛付札（関数）'!AG"&amp;AL33))),"")</f>
        <v/>
      </c>
      <c r="AO34" s="41"/>
      <c r="AP34" s="41"/>
      <c r="AQ34" s="48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9"/>
      <c r="AS34" s="22"/>
      <c r="AT34" s="31"/>
      <c r="AU34" s="178"/>
      <c r="AV34" s="47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INDIRECT("'盛付札（関数）'!AG"&amp;AT33))),"")</f>
        <v/>
      </c>
      <c r="AW34" s="41"/>
      <c r="AX34" s="41"/>
      <c r="AY34" s="48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9"/>
      <c r="BA34" s="49"/>
      <c r="BB34" s="178"/>
      <c r="BC34" s="47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INDIRECT("'盛付札（関数）'!AG"&amp;BA33))),"")</f>
        <v/>
      </c>
      <c r="BD34" s="41"/>
      <c r="BE34" s="41"/>
      <c r="BF34" s="48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9"/>
      <c r="BH34" s="22"/>
      <c r="BI34" s="31"/>
      <c r="BJ34" s="178"/>
      <c r="BK34" s="47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INDIRECT("'盛付札（関数）'!AG"&amp;BI33))),"")</f>
        <v/>
      </c>
      <c r="BL34" s="41"/>
      <c r="BM34" s="41"/>
      <c r="BN34" s="48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9"/>
      <c r="BP34" s="49"/>
      <c r="BQ34" s="178"/>
      <c r="BR34" s="47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INDIRECT("'盛付札（関数）'!AG"&amp;BP33))),"")</f>
        <v/>
      </c>
      <c r="BS34" s="41"/>
      <c r="BT34" s="41"/>
      <c r="BU34" s="48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9"/>
      <c r="BW34" s="22"/>
      <c r="BX34" s="31"/>
      <c r="BY34" s="178"/>
      <c r="BZ34" s="47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INDIRECT("'盛付札（関数）'!AG"&amp;BX33))),"")</f>
        <v/>
      </c>
      <c r="CA34" s="41"/>
      <c r="CB34" s="41"/>
      <c r="CC34" s="48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9"/>
      <c r="CE34" s="49"/>
      <c r="CF34" s="178"/>
      <c r="CG34" s="47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INDIRECT("'盛付札（関数）'!AG"&amp;CE33))),"")</f>
        <v/>
      </c>
      <c r="CH34" s="41"/>
      <c r="CI34" s="41"/>
      <c r="CJ34" s="48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9"/>
      <c r="CL34" s="22"/>
      <c r="CM34" s="31"/>
      <c r="CN34" s="178"/>
      <c r="CO34" s="47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INDIRECT("'盛付札（関数）'!AG"&amp;CM33))),"")</f>
        <v/>
      </c>
      <c r="CP34" s="41"/>
      <c r="CQ34" s="41"/>
      <c r="CR34" s="48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9"/>
      <c r="CT34" s="49"/>
      <c r="CU34" s="178"/>
      <c r="CV34" s="47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INDIRECT("'盛付札（関数）'!AG"&amp;CT33))),"")</f>
        <v/>
      </c>
      <c r="CW34" s="41"/>
      <c r="CX34" s="41"/>
      <c r="CY34" s="48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9"/>
      <c r="DA34" s="22"/>
      <c r="DB34" s="31"/>
      <c r="DC34" s="178"/>
      <c r="DD34" s="47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INDIRECT("'盛付札（関数）'!AG"&amp;DB33))),"")</f>
        <v/>
      </c>
      <c r="DE34" s="41"/>
      <c r="DF34" s="41"/>
      <c r="DG34" s="48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9"/>
      <c r="DI34" s="49"/>
      <c r="DJ34" s="178"/>
      <c r="DK34" s="47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INDIRECT("'盛付札（関数）'!AG"&amp;DI33))),"")</f>
        <v/>
      </c>
      <c r="DL34" s="41"/>
      <c r="DM34" s="41"/>
      <c r="DN34" s="48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9"/>
      <c r="DP34" s="22"/>
      <c r="DQ34" s="31"/>
      <c r="DR34" s="178"/>
      <c r="DS34" s="47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INDIRECT("'盛付札（関数）'!AG"&amp;DQ33))),"")</f>
        <v/>
      </c>
      <c r="DT34" s="41"/>
      <c r="DU34" s="41"/>
      <c r="DV34" s="48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9"/>
      <c r="DX34" s="49"/>
      <c r="DY34" s="178"/>
      <c r="DZ34" s="47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INDIRECT("'盛付札（関数）'!AG"&amp;DX33))),"")</f>
        <v/>
      </c>
      <c r="EA34" s="41"/>
      <c r="EB34" s="41"/>
      <c r="EC34" s="48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9"/>
      <c r="EE34" s="22"/>
      <c r="EF34" s="31"/>
      <c r="EG34" s="178"/>
      <c r="EH34" s="47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INDIRECT("'盛付札（関数）'!AG"&amp;EF33))),"")</f>
        <v/>
      </c>
      <c r="EI34" s="41"/>
      <c r="EJ34" s="41"/>
      <c r="EK34" s="48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9"/>
      <c r="EM34" s="49"/>
      <c r="EN34" s="178"/>
      <c r="EO34" s="47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INDIRECT("'盛付札（関数）'!AG"&amp;EM33))),"")</f>
        <v/>
      </c>
      <c r="EP34" s="41"/>
      <c r="EQ34" s="41"/>
      <c r="ER34" s="48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9"/>
      <c r="ET34" s="22"/>
    </row>
    <row r="35" spans="1:150" s="32" customFormat="1">
      <c r="A35" s="31"/>
      <c r="B35" s="34"/>
      <c r="C35" s="248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49"/>
      <c r="E35" s="22"/>
      <c r="F35" s="32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IF(AND(INDIRECT("'盛付札（関数）'!AE"&amp;A33)&gt;=247,INDIRECT("'盛付札（関数）'!AE"&amp;A33)&lt;=261),"","園児"))),"")</f>
        <v/>
      </c>
      <c r="G35" s="40"/>
      <c r="H35" s="36"/>
      <c r="I35" s="34"/>
      <c r="J35" s="248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49"/>
      <c r="L35" s="22"/>
      <c r="M35" s="32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IF(AND(INDIRECT("'盛付札（関数）'!AE"&amp;H33)&gt;=247,INDIRECT("'盛付札（関数）'!AE"&amp;H33)&lt;=261),"","園児"))),"")</f>
        <v/>
      </c>
      <c r="N35" s="40"/>
      <c r="O35" s="22"/>
      <c r="P35" s="31"/>
      <c r="Q35" s="34"/>
      <c r="R35" s="248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49"/>
      <c r="T35" s="22"/>
      <c r="U35" s="32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IF(AND(INDIRECT("'盛付札（関数）'!AE"&amp;P33)&gt;=247,INDIRECT("'盛付札（関数）'!AE"&amp;P33)&lt;=261),"","園児"))),"")</f>
        <v/>
      </c>
      <c r="V35" s="40"/>
      <c r="W35" s="36"/>
      <c r="X35" s="34"/>
      <c r="Y35" s="248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49"/>
      <c r="AA35" s="22"/>
      <c r="AB35" s="32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IF(AND(INDIRECT("'盛付札（関数）'!AE"&amp;W33)&gt;=247,INDIRECT("'盛付札（関数）'!AE"&amp;W33)&lt;=261),"","園児"))),"")</f>
        <v/>
      </c>
      <c r="AC35" s="40"/>
      <c r="AD35" s="22"/>
      <c r="AE35" s="31"/>
      <c r="AF35" s="34"/>
      <c r="AG35" s="248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49"/>
      <c r="AI35" s="22"/>
      <c r="AJ35" s="32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IF(AND(INDIRECT("'盛付札（関数）'!AE"&amp;AE33)&gt;=247,INDIRECT("'盛付札（関数）'!AE"&amp;AE33)&lt;=261),"","園児"))),"")</f>
        <v/>
      </c>
      <c r="AK35" s="40"/>
      <c r="AL35" s="36"/>
      <c r="AM35" s="34"/>
      <c r="AN35" s="248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49"/>
      <c r="AP35" s="22"/>
      <c r="AQ35" s="32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IF(AND(INDIRECT("'盛付札（関数）'!AE"&amp;AL33)&gt;=247,INDIRECT("'盛付札（関数）'!AE"&amp;AL33)&lt;=261),"","園児"))),"")</f>
        <v/>
      </c>
      <c r="AR35" s="40"/>
      <c r="AS35" s="22"/>
      <c r="AT35" s="31"/>
      <c r="AU35" s="34"/>
      <c r="AV35" s="248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49"/>
      <c r="AX35" s="22"/>
      <c r="AY35" s="32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IF(AND(INDIRECT("'盛付札（関数）'!AE"&amp;AT33)&gt;=247,INDIRECT("'盛付札（関数）'!AE"&amp;AT33)&lt;=261),"","園児"))),"")</f>
        <v/>
      </c>
      <c r="AZ35" s="40"/>
      <c r="BA35" s="36"/>
      <c r="BB35" s="34"/>
      <c r="BC35" s="248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49"/>
      <c r="BE35" s="22"/>
      <c r="BF35" s="32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IF(AND(INDIRECT("'盛付札（関数）'!AE"&amp;BA33)&gt;=247,INDIRECT("'盛付札（関数）'!AE"&amp;BA33)&lt;=261),"","園児"))),"")</f>
        <v/>
      </c>
      <c r="BG35" s="40"/>
      <c r="BH35" s="22"/>
      <c r="BI35" s="31"/>
      <c r="BJ35" s="34"/>
      <c r="BK35" s="248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49"/>
      <c r="BM35" s="22"/>
      <c r="BN35" s="32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IF(AND(INDIRECT("'盛付札（関数）'!AE"&amp;BI33)&gt;=247,INDIRECT("'盛付札（関数）'!AE"&amp;BI33)&lt;=261),"","園児"))),"")</f>
        <v/>
      </c>
      <c r="BO35" s="40"/>
      <c r="BP35" s="36"/>
      <c r="BQ35" s="34"/>
      <c r="BR35" s="248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49"/>
      <c r="BT35" s="22"/>
      <c r="BU35" s="32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IF(AND(INDIRECT("'盛付札（関数）'!AE"&amp;BP33)&gt;=247,INDIRECT("'盛付札（関数）'!AE"&amp;BP33)&lt;=261),"","園児"))),"")</f>
        <v/>
      </c>
      <c r="BV35" s="40"/>
      <c r="BW35" s="22"/>
      <c r="BX35" s="31"/>
      <c r="BY35" s="34"/>
      <c r="BZ35" s="248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49"/>
      <c r="CB35" s="22"/>
      <c r="CC35" s="32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IF(AND(INDIRECT("'盛付札（関数）'!AE"&amp;BX33)&gt;=247,INDIRECT("'盛付札（関数）'!AE"&amp;BX33)&lt;=261),"","園児"))),"")</f>
        <v/>
      </c>
      <c r="CD35" s="40"/>
      <c r="CE35" s="36"/>
      <c r="CF35" s="34"/>
      <c r="CG35" s="248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49"/>
      <c r="CI35" s="22"/>
      <c r="CJ35" s="32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IF(AND(INDIRECT("'盛付札（関数）'!AE"&amp;CE33)&gt;=247,INDIRECT("'盛付札（関数）'!AE"&amp;CE33)&lt;=261),"","園児"))),"")</f>
        <v/>
      </c>
      <c r="CK35" s="40"/>
      <c r="CL35" s="22"/>
      <c r="CM35" s="31"/>
      <c r="CN35" s="34"/>
      <c r="CO35" s="248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49"/>
      <c r="CQ35" s="22"/>
      <c r="CR35" s="32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IF(AND(INDIRECT("'盛付札（関数）'!AE"&amp;CM33)&gt;=247,INDIRECT("'盛付札（関数）'!AE"&amp;CM33)&lt;=261),"","園児"))),"")</f>
        <v/>
      </c>
      <c r="CS35" s="40"/>
      <c r="CT35" s="36"/>
      <c r="CU35" s="34"/>
      <c r="CV35" s="248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49"/>
      <c r="CX35" s="22"/>
      <c r="CY35" s="32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IF(AND(INDIRECT("'盛付札（関数）'!AE"&amp;CT33)&gt;=247,INDIRECT("'盛付札（関数）'!AE"&amp;CT33)&lt;=261),"","園児"))),"")</f>
        <v/>
      </c>
      <c r="CZ35" s="40"/>
      <c r="DA35" s="22"/>
      <c r="DB35" s="31"/>
      <c r="DC35" s="34"/>
      <c r="DD35" s="248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49"/>
      <c r="DF35" s="22"/>
      <c r="DG35" s="32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IF(AND(INDIRECT("'盛付札（関数）'!AE"&amp;DB33)&gt;=247,INDIRECT("'盛付札（関数）'!AE"&amp;DB33)&lt;=261),"","園児"))),"")</f>
        <v/>
      </c>
      <c r="DH35" s="40"/>
      <c r="DI35" s="36"/>
      <c r="DJ35" s="34"/>
      <c r="DK35" s="248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49"/>
      <c r="DM35" s="22"/>
      <c r="DN35" s="32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IF(AND(INDIRECT("'盛付札（関数）'!AE"&amp;DI33)&gt;=247,INDIRECT("'盛付札（関数）'!AE"&amp;DI33)&lt;=261),"","園児"))),"")</f>
        <v/>
      </c>
      <c r="DO35" s="40"/>
      <c r="DP35" s="22"/>
      <c r="DQ35" s="31"/>
      <c r="DR35" s="34"/>
      <c r="DS35" s="248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49"/>
      <c r="DU35" s="22"/>
      <c r="DV35" s="32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IF(AND(INDIRECT("'盛付札（関数）'!AE"&amp;DQ33)&gt;=247,INDIRECT("'盛付札（関数）'!AE"&amp;DQ33)&lt;=261),"","園児"))),"")</f>
        <v/>
      </c>
      <c r="DW35" s="40"/>
      <c r="DX35" s="36"/>
      <c r="DY35" s="34"/>
      <c r="DZ35" s="248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49"/>
      <c r="EB35" s="22"/>
      <c r="EC35" s="32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IF(AND(INDIRECT("'盛付札（関数）'!AE"&amp;DX33)&gt;=247,INDIRECT("'盛付札（関数）'!AE"&amp;DX33)&lt;=261),"","園児"))),"")</f>
        <v/>
      </c>
      <c r="ED35" s="40"/>
      <c r="EE35" s="22"/>
      <c r="EF35" s="31"/>
      <c r="EG35" s="34"/>
      <c r="EH35" s="248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49"/>
      <c r="EJ35" s="22"/>
      <c r="EK35" s="32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IF(AND(INDIRECT("'盛付札（関数）'!AE"&amp;EF33)&gt;=247,INDIRECT("'盛付札（関数）'!AE"&amp;EF33)&lt;=261),"","園児"))),"")</f>
        <v/>
      </c>
      <c r="EL35" s="40"/>
      <c r="EM35" s="36"/>
      <c r="EN35" s="34"/>
      <c r="EO35" s="248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49"/>
      <c r="EQ35" s="22"/>
      <c r="ER35" s="32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IF(AND(INDIRECT("'盛付札（関数）'!AE"&amp;EM33)&gt;=247,INDIRECT("'盛付札（関数）'!AE"&amp;EM33)&lt;=261),"","園児"))),"")</f>
        <v/>
      </c>
      <c r="ES35" s="40"/>
      <c r="ET35" s="22"/>
    </row>
    <row r="36" spans="1:150" ht="15.6" customHeight="1">
      <c r="B36" s="25"/>
      <c r="C36" s="254" t="str">
        <f t="array" aca="1" ref="C36" ca="1">IF(C33&lt;&gt;"",INDIRECT("'盛付札（関数）'!AJ"&amp;A33),"")</f>
        <v/>
      </c>
      <c r="D36" s="255"/>
      <c r="E36" s="50"/>
      <c r="F36" s="257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58"/>
      <c r="H36" s="26"/>
      <c r="I36" s="25"/>
      <c r="J36" s="254" t="str">
        <f t="array" aca="1" ref="J36" ca="1">IF(J33&lt;&gt;"",INDIRECT("'盛付札（関数）'!AJ"&amp;H33),"")</f>
        <v/>
      </c>
      <c r="K36" s="255"/>
      <c r="L36" s="50"/>
      <c r="M36" s="257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58"/>
      <c r="Q36" s="25"/>
      <c r="R36" s="254" t="str">
        <f t="array" aca="1" ref="R36" ca="1">IF(R33&lt;&gt;"",INDIRECT("'盛付札（関数）'!AJ"&amp;P33),"")</f>
        <v/>
      </c>
      <c r="S36" s="255"/>
      <c r="T36" s="50"/>
      <c r="U36" s="257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58"/>
      <c r="W36" s="26"/>
      <c r="X36" s="25"/>
      <c r="Y36" s="254" t="str">
        <f t="array" aca="1" ref="Y36" ca="1">IF(Y33&lt;&gt;"",INDIRECT("'盛付札（関数）'!AJ"&amp;W33),"")</f>
        <v/>
      </c>
      <c r="Z36" s="255"/>
      <c r="AA36" s="50"/>
      <c r="AB36" s="257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58"/>
      <c r="AF36" s="25"/>
      <c r="AG36" s="254" t="str">
        <f t="array" aca="1" ref="AG36" ca="1">IF(AG33&lt;&gt;"",INDIRECT("'盛付札（関数）'!AJ"&amp;AE33),"")</f>
        <v/>
      </c>
      <c r="AH36" s="255"/>
      <c r="AI36" s="50"/>
      <c r="AJ36" s="257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58"/>
      <c r="AL36" s="26"/>
      <c r="AM36" s="25"/>
      <c r="AN36" s="254" t="str">
        <f t="array" aca="1" ref="AN36" ca="1">IF(AN33&lt;&gt;"",INDIRECT("'盛付札（関数）'!AJ"&amp;AL33),"")</f>
        <v/>
      </c>
      <c r="AO36" s="255"/>
      <c r="AP36" s="50"/>
      <c r="AQ36" s="257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58"/>
      <c r="AU36" s="25"/>
      <c r="AV36" s="254" t="str">
        <f t="array" aca="1" ref="AV36" ca="1">IF(AV33&lt;&gt;"",INDIRECT("'盛付札（関数）'!AJ"&amp;AT33),"")</f>
        <v/>
      </c>
      <c r="AW36" s="255"/>
      <c r="AX36" s="50"/>
      <c r="AY36" s="257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58"/>
      <c r="BA36" s="26"/>
      <c r="BB36" s="25"/>
      <c r="BC36" s="254" t="str">
        <f t="array" aca="1" ref="BC36" ca="1">IF(BC33&lt;&gt;"",INDIRECT("'盛付札（関数）'!AJ"&amp;BA33),"")</f>
        <v/>
      </c>
      <c r="BD36" s="255"/>
      <c r="BE36" s="50"/>
      <c r="BF36" s="257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58"/>
      <c r="BJ36" s="25"/>
      <c r="BK36" s="254" t="str">
        <f t="array" aca="1" ref="BK36" ca="1">IF(BK33&lt;&gt;"",INDIRECT("'盛付札（関数）'!AJ"&amp;BI33),"")</f>
        <v/>
      </c>
      <c r="BL36" s="255"/>
      <c r="BM36" s="50"/>
      <c r="BN36" s="257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58"/>
      <c r="BP36" s="26"/>
      <c r="BQ36" s="25"/>
      <c r="BR36" s="254" t="str">
        <f t="array" aca="1" ref="BR36" ca="1">IF(BR33&lt;&gt;"",INDIRECT("'盛付札（関数）'!AJ"&amp;BP33),"")</f>
        <v/>
      </c>
      <c r="BS36" s="255"/>
      <c r="BT36" s="50"/>
      <c r="BU36" s="257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58"/>
      <c r="BY36" s="25"/>
      <c r="BZ36" s="254" t="str">
        <f t="array" aca="1" ref="BZ36" ca="1">IF(BZ33&lt;&gt;"",INDIRECT("'盛付札（関数）'!AJ"&amp;BX33),"")</f>
        <v/>
      </c>
      <c r="CA36" s="255"/>
      <c r="CB36" s="50"/>
      <c r="CC36" s="257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58"/>
      <c r="CE36" s="26"/>
      <c r="CF36" s="25"/>
      <c r="CG36" s="254" t="str">
        <f t="array" aca="1" ref="CG36" ca="1">IF(CG33&lt;&gt;"",INDIRECT("'盛付札（関数）'!AJ"&amp;CE33),"")</f>
        <v/>
      </c>
      <c r="CH36" s="255"/>
      <c r="CI36" s="50"/>
      <c r="CJ36" s="257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58"/>
      <c r="CN36" s="25"/>
      <c r="CO36" s="254" t="str">
        <f t="array" aca="1" ref="CO36" ca="1">IF(CO33&lt;&gt;"",INDIRECT("'盛付札（関数）'!AJ"&amp;CM33),"")</f>
        <v/>
      </c>
      <c r="CP36" s="255"/>
      <c r="CQ36" s="50"/>
      <c r="CR36" s="257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58"/>
      <c r="CT36" s="26"/>
      <c r="CU36" s="25"/>
      <c r="CV36" s="254" t="str">
        <f t="array" aca="1" ref="CV36" ca="1">IF(CV33&lt;&gt;"",INDIRECT("'盛付札（関数）'!AJ"&amp;CT33),"")</f>
        <v/>
      </c>
      <c r="CW36" s="255"/>
      <c r="CX36" s="50"/>
      <c r="CY36" s="257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58"/>
      <c r="DC36" s="25"/>
      <c r="DD36" s="254" t="str">
        <f t="array" aca="1" ref="DD36" ca="1">IF(DD33&lt;&gt;"",INDIRECT("'盛付札（関数）'!AJ"&amp;DB33),"")</f>
        <v/>
      </c>
      <c r="DE36" s="255"/>
      <c r="DF36" s="50"/>
      <c r="DG36" s="257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58"/>
      <c r="DI36" s="26"/>
      <c r="DJ36" s="25"/>
      <c r="DK36" s="254" t="str">
        <f t="array" aca="1" ref="DK36" ca="1">IF(DK33&lt;&gt;"",INDIRECT("'盛付札（関数）'!AJ"&amp;DI33),"")</f>
        <v/>
      </c>
      <c r="DL36" s="255"/>
      <c r="DM36" s="50"/>
      <c r="DN36" s="257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58"/>
      <c r="DR36" s="25"/>
      <c r="DS36" s="254" t="str">
        <f t="array" aca="1" ref="DS36" ca="1">IF(DS33&lt;&gt;"",INDIRECT("'盛付札（関数）'!AJ"&amp;DQ33),"")</f>
        <v/>
      </c>
      <c r="DT36" s="255"/>
      <c r="DU36" s="50"/>
      <c r="DV36" s="257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58"/>
      <c r="DX36" s="26"/>
      <c r="DY36" s="25"/>
      <c r="DZ36" s="254" t="str">
        <f t="array" aca="1" ref="DZ36" ca="1">IF(DZ33&lt;&gt;"",INDIRECT("'盛付札（関数）'!AJ"&amp;DX33),"")</f>
        <v/>
      </c>
      <c r="EA36" s="255"/>
      <c r="EB36" s="50"/>
      <c r="EC36" s="257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58"/>
      <c r="EG36" s="25"/>
      <c r="EH36" s="254" t="str">
        <f t="array" aca="1" ref="EH36" ca="1">IF(EH33&lt;&gt;"",INDIRECT("'盛付札（関数）'!AJ"&amp;EF33),"")</f>
        <v/>
      </c>
      <c r="EI36" s="255"/>
      <c r="EJ36" s="50"/>
      <c r="EK36" s="257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58"/>
      <c r="EM36" s="26"/>
      <c r="EN36" s="25"/>
      <c r="EO36" s="254" t="str">
        <f t="array" aca="1" ref="EO36" ca="1">IF(EO33&lt;&gt;"",INDIRECT("'盛付札（関数）'!AJ"&amp;EM33),"")</f>
        <v/>
      </c>
      <c r="EP36" s="255"/>
      <c r="EQ36" s="50"/>
      <c r="ER36" s="257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58"/>
    </row>
    <row r="37" spans="1:150" ht="15.6" customHeight="1">
      <c r="B37" s="27"/>
      <c r="C37" s="256"/>
      <c r="D37" s="256"/>
      <c r="E37" s="44"/>
      <c r="F37" s="256"/>
      <c r="G37" s="253"/>
      <c r="H37" s="26"/>
      <c r="I37" s="27"/>
      <c r="J37" s="256"/>
      <c r="K37" s="256"/>
      <c r="L37" s="44"/>
      <c r="M37" s="256"/>
      <c r="N37" s="253"/>
      <c r="Q37" s="27"/>
      <c r="R37" s="256"/>
      <c r="S37" s="256"/>
      <c r="T37" s="44"/>
      <c r="U37" s="256"/>
      <c r="V37" s="253"/>
      <c r="W37" s="26"/>
      <c r="X37" s="27"/>
      <c r="Y37" s="256"/>
      <c r="Z37" s="256"/>
      <c r="AA37" s="44"/>
      <c r="AB37" s="256"/>
      <c r="AC37" s="253"/>
      <c r="AF37" s="27"/>
      <c r="AG37" s="256"/>
      <c r="AH37" s="256"/>
      <c r="AI37" s="44"/>
      <c r="AJ37" s="256"/>
      <c r="AK37" s="253"/>
      <c r="AL37" s="26"/>
      <c r="AM37" s="27"/>
      <c r="AN37" s="256"/>
      <c r="AO37" s="256"/>
      <c r="AP37" s="44"/>
      <c r="AQ37" s="256"/>
      <c r="AR37" s="253"/>
      <c r="AU37" s="27"/>
      <c r="AV37" s="256"/>
      <c r="AW37" s="256"/>
      <c r="AX37" s="44"/>
      <c r="AY37" s="256"/>
      <c r="AZ37" s="253"/>
      <c r="BA37" s="26"/>
      <c r="BB37" s="27"/>
      <c r="BC37" s="256"/>
      <c r="BD37" s="256"/>
      <c r="BE37" s="44"/>
      <c r="BF37" s="256"/>
      <c r="BG37" s="253"/>
      <c r="BJ37" s="27"/>
      <c r="BK37" s="256"/>
      <c r="BL37" s="256"/>
      <c r="BM37" s="44"/>
      <c r="BN37" s="256"/>
      <c r="BO37" s="253"/>
      <c r="BP37" s="26"/>
      <c r="BQ37" s="27"/>
      <c r="BR37" s="256"/>
      <c r="BS37" s="256"/>
      <c r="BT37" s="44"/>
      <c r="BU37" s="256"/>
      <c r="BV37" s="253"/>
      <c r="BY37" s="27"/>
      <c r="BZ37" s="256"/>
      <c r="CA37" s="256"/>
      <c r="CB37" s="44"/>
      <c r="CC37" s="256"/>
      <c r="CD37" s="253"/>
      <c r="CE37" s="26"/>
      <c r="CF37" s="27"/>
      <c r="CG37" s="256"/>
      <c r="CH37" s="256"/>
      <c r="CI37" s="44"/>
      <c r="CJ37" s="256"/>
      <c r="CK37" s="253"/>
      <c r="CN37" s="27"/>
      <c r="CO37" s="256"/>
      <c r="CP37" s="256"/>
      <c r="CQ37" s="44"/>
      <c r="CR37" s="256"/>
      <c r="CS37" s="253"/>
      <c r="CT37" s="26"/>
      <c r="CU37" s="27"/>
      <c r="CV37" s="256"/>
      <c r="CW37" s="256"/>
      <c r="CX37" s="44"/>
      <c r="CY37" s="256"/>
      <c r="CZ37" s="253"/>
      <c r="DC37" s="27"/>
      <c r="DD37" s="256"/>
      <c r="DE37" s="256"/>
      <c r="DF37" s="44"/>
      <c r="DG37" s="256"/>
      <c r="DH37" s="253"/>
      <c r="DI37" s="26"/>
      <c r="DJ37" s="27"/>
      <c r="DK37" s="256"/>
      <c r="DL37" s="256"/>
      <c r="DM37" s="44"/>
      <c r="DN37" s="256"/>
      <c r="DO37" s="253"/>
      <c r="DR37" s="27"/>
      <c r="DS37" s="256"/>
      <c r="DT37" s="256"/>
      <c r="DU37" s="44"/>
      <c r="DV37" s="256"/>
      <c r="DW37" s="253"/>
      <c r="DX37" s="26"/>
      <c r="DY37" s="27"/>
      <c r="DZ37" s="256"/>
      <c r="EA37" s="256"/>
      <c r="EB37" s="44"/>
      <c r="EC37" s="256"/>
      <c r="ED37" s="253"/>
      <c r="EG37" s="27"/>
      <c r="EH37" s="256"/>
      <c r="EI37" s="256"/>
      <c r="EJ37" s="44"/>
      <c r="EK37" s="256"/>
      <c r="EL37" s="253"/>
      <c r="EM37" s="26"/>
      <c r="EN37" s="27"/>
      <c r="EO37" s="256"/>
      <c r="EP37" s="256"/>
      <c r="EQ37" s="44"/>
      <c r="ER37" s="256"/>
      <c r="ES37" s="253"/>
    </row>
    <row r="38" spans="1:150" s="32" customFormat="1">
      <c r="A38" s="31"/>
      <c r="B38" s="37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5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7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5"/>
      <c r="F38" s="37" t="str">
        <f t="array" aca="1" ref="F38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"アレルギー")),"")</f>
        <v/>
      </c>
      <c r="G38" s="40"/>
      <c r="H38" s="22"/>
      <c r="I38" s="37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5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7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5"/>
      <c r="M38" s="37" t="str">
        <f t="array" aca="1" ref="M38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"アレルギー")),"")</f>
        <v/>
      </c>
      <c r="N38" s="40"/>
      <c r="O38" s="22"/>
      <c r="P38" s="31"/>
      <c r="Q38" s="37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5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7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5"/>
      <c r="U38" s="37" t="str">
        <f t="array" aca="1" ref="U38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"アレルギー")),"")</f>
        <v/>
      </c>
      <c r="V38" s="40"/>
      <c r="W38" s="22"/>
      <c r="X38" s="37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5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7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5"/>
      <c r="AB38" s="37" t="str">
        <f t="array" aca="1" ref="AB38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"アレルギー")),"")</f>
        <v/>
      </c>
      <c r="AC38" s="40"/>
      <c r="AD38" s="22"/>
      <c r="AE38" s="31"/>
      <c r="AF38" s="37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5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7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5"/>
      <c r="AJ38" s="37" t="str">
        <f t="array" aca="1" ref="AJ38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"アレルギー")),"")</f>
        <v/>
      </c>
      <c r="AK38" s="40"/>
      <c r="AL38" s="22"/>
      <c r="AM38" s="37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5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7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5"/>
      <c r="AQ38" s="37" t="str">
        <f t="array" aca="1" ref="AQ38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"アレルギー")),"")</f>
        <v/>
      </c>
      <c r="AR38" s="40"/>
      <c r="AS38" s="22"/>
      <c r="AT38" s="31"/>
      <c r="AU38" s="37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5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7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5"/>
      <c r="AY38" s="37" t="str">
        <f t="array" aca="1" ref="AY38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"アレルギー")),"")</f>
        <v/>
      </c>
      <c r="AZ38" s="40"/>
      <c r="BA38" s="22"/>
      <c r="BB38" s="37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5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7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5"/>
      <c r="BF38" s="37" t="str">
        <f t="array" aca="1" ref="BF38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"アレルギー")),"")</f>
        <v/>
      </c>
      <c r="BG38" s="40"/>
      <c r="BH38" s="22"/>
      <c r="BI38" s="31"/>
      <c r="BJ38" s="37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5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7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5"/>
      <c r="BN38" s="37" t="str">
        <f t="array" aca="1" ref="BN38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"アレルギー")),"")</f>
        <v/>
      </c>
      <c r="BO38" s="40"/>
      <c r="BP38" s="22"/>
      <c r="BQ38" s="37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5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7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5"/>
      <c r="BU38" s="37" t="str">
        <f t="array" aca="1" ref="BU38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"アレルギー")),"")</f>
        <v/>
      </c>
      <c r="BV38" s="40"/>
      <c r="BW38" s="22"/>
      <c r="BX38" s="31"/>
      <c r="BY38" s="37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5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7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5"/>
      <c r="CC38" s="37" t="str">
        <f t="array" aca="1" ref="CC38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"アレルギー")),"")</f>
        <v/>
      </c>
      <c r="CD38" s="40"/>
      <c r="CE38" s="22"/>
      <c r="CF38" s="37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5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7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5"/>
      <c r="CJ38" s="37" t="str">
        <f t="array" aca="1" ref="CJ38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"アレルギー")),"")</f>
        <v/>
      </c>
      <c r="CK38" s="40"/>
      <c r="CL38" s="22"/>
      <c r="CM38" s="31"/>
      <c r="CN38" s="37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5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7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5"/>
      <c r="CR38" s="37" t="str">
        <f t="array" aca="1" ref="CR38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"アレルギー")),"")</f>
        <v/>
      </c>
      <c r="CS38" s="40"/>
      <c r="CT38" s="22"/>
      <c r="CU38" s="37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5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7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5"/>
      <c r="CY38" s="37" t="str">
        <f t="array" aca="1" ref="CY38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"アレルギー")),"")</f>
        <v/>
      </c>
      <c r="CZ38" s="40"/>
      <c r="DA38" s="22"/>
      <c r="DB38" s="31"/>
      <c r="DC38" s="37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5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7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5"/>
      <c r="DG38" s="37" t="str">
        <f t="array" aca="1" ref="DG38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"アレルギー")),"")</f>
        <v/>
      </c>
      <c r="DH38" s="40"/>
      <c r="DI38" s="22"/>
      <c r="DJ38" s="37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5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7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5"/>
      <c r="DN38" s="37" t="str">
        <f t="array" aca="1" ref="DN38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"アレルギー")),"")</f>
        <v/>
      </c>
      <c r="DO38" s="40"/>
      <c r="DP38" s="22"/>
      <c r="DQ38" s="31"/>
      <c r="DR38" s="37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5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7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5"/>
      <c r="DV38" s="37" t="str">
        <f t="array" aca="1" ref="DV38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"アレルギー")),"")</f>
        <v/>
      </c>
      <c r="DW38" s="40"/>
      <c r="DX38" s="22"/>
      <c r="DY38" s="37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5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7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5"/>
      <c r="EC38" s="37" t="str">
        <f t="array" aca="1" ref="EC38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"アレルギー")),"")</f>
        <v/>
      </c>
      <c r="ED38" s="40"/>
      <c r="EE38" s="22"/>
      <c r="EF38" s="31"/>
      <c r="EG38" s="37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5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7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5"/>
      <c r="EK38" s="37" t="str">
        <f t="array" aca="1" ref="EK38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"アレルギー")),"")</f>
        <v/>
      </c>
      <c r="EL38" s="40"/>
      <c r="EM38" s="22"/>
      <c r="EN38" s="37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5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7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5"/>
      <c r="ER38" s="37" t="str">
        <f t="array" aca="1" ref="ER38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"アレルギー")),"")</f>
        <v/>
      </c>
      <c r="ES38" s="40"/>
      <c r="ET38" s="22"/>
    </row>
    <row r="39" spans="1:150" ht="27.6" customHeight="1">
      <c r="B39" s="259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53"/>
      <c r="D39" s="259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53"/>
      <c r="F39" s="252" t="str">
        <f t="array" aca="1" ref="F39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INDIRECT("'盛付札（関数）'!AO"&amp;A33))),"")</f>
        <v/>
      </c>
      <c r="G39" s="253"/>
      <c r="I39" s="259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53"/>
      <c r="K39" s="259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53"/>
      <c r="M39" s="252" t="str">
        <f t="array" aca="1" ref="M39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INDIRECT("'盛付札（関数）'!AO"&amp;H33))),"")</f>
        <v/>
      </c>
      <c r="N39" s="253"/>
      <c r="Q39" s="259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53"/>
      <c r="S39" s="259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53"/>
      <c r="U39" s="252" t="str">
        <f t="array" aca="1" ref="U39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INDIRECT("'盛付札（関数）'!AO"&amp;P33))),"")</f>
        <v/>
      </c>
      <c r="V39" s="253"/>
      <c r="X39" s="259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53"/>
      <c r="Z39" s="259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53"/>
      <c r="AB39" s="252" t="str">
        <f t="array" aca="1" ref="AB39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INDIRECT("'盛付札（関数）'!AO"&amp;W33))),"")</f>
        <v/>
      </c>
      <c r="AC39" s="253"/>
      <c r="AF39" s="259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53"/>
      <c r="AH39" s="259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53"/>
      <c r="AJ39" s="252" t="str">
        <f t="array" aca="1" ref="AJ39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INDIRECT("'盛付札（関数）'!AO"&amp;AE33))),"")</f>
        <v/>
      </c>
      <c r="AK39" s="253"/>
      <c r="AM39" s="259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53"/>
      <c r="AO39" s="259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53"/>
      <c r="AQ39" s="252" t="str">
        <f t="array" aca="1" ref="AQ39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INDIRECT("'盛付札（関数）'!AO"&amp;AL33))),"")</f>
        <v/>
      </c>
      <c r="AR39" s="253"/>
      <c r="AU39" s="259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53"/>
      <c r="AW39" s="259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53"/>
      <c r="AY39" s="252" t="str">
        <f t="array" aca="1" ref="AY39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INDIRECT("'盛付札（関数）'!AO"&amp;AT33))),"")</f>
        <v/>
      </c>
      <c r="AZ39" s="253"/>
      <c r="BB39" s="259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53"/>
      <c r="BD39" s="259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53"/>
      <c r="BF39" s="252" t="str">
        <f t="array" aca="1" ref="BF39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INDIRECT("'盛付札（関数）'!AO"&amp;BA33))),"")</f>
        <v/>
      </c>
      <c r="BG39" s="253"/>
      <c r="BJ39" s="259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53"/>
      <c r="BL39" s="259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53"/>
      <c r="BN39" s="252" t="str">
        <f t="array" aca="1" ref="BN39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INDIRECT("'盛付札（関数）'!AO"&amp;BI33))),"")</f>
        <v/>
      </c>
      <c r="BO39" s="253"/>
      <c r="BQ39" s="259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53"/>
      <c r="BS39" s="259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53"/>
      <c r="BU39" s="252" t="str">
        <f t="array" aca="1" ref="BU39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INDIRECT("'盛付札（関数）'!AO"&amp;BP33))),"")</f>
        <v/>
      </c>
      <c r="BV39" s="253"/>
      <c r="BY39" s="259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53"/>
      <c r="CA39" s="259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53"/>
      <c r="CC39" s="252" t="str">
        <f t="array" aca="1" ref="CC39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INDIRECT("'盛付札（関数）'!AO"&amp;BX33))),"")</f>
        <v/>
      </c>
      <c r="CD39" s="253"/>
      <c r="CF39" s="259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53"/>
      <c r="CH39" s="259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53"/>
      <c r="CJ39" s="252" t="str">
        <f t="array" aca="1" ref="CJ39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INDIRECT("'盛付札（関数）'!AO"&amp;CE33))),"")</f>
        <v/>
      </c>
      <c r="CK39" s="253"/>
      <c r="CN39" s="259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53"/>
      <c r="CP39" s="259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53"/>
      <c r="CR39" s="252" t="str">
        <f t="array" aca="1" ref="CR39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INDIRECT("'盛付札（関数）'!AO"&amp;CM33))),"")</f>
        <v/>
      </c>
      <c r="CS39" s="253"/>
      <c r="CU39" s="259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53"/>
      <c r="CW39" s="259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53"/>
      <c r="CY39" s="252" t="str">
        <f t="array" aca="1" ref="CY39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INDIRECT("'盛付札（関数）'!AO"&amp;CT33))),"")</f>
        <v/>
      </c>
      <c r="CZ39" s="253"/>
      <c r="DC39" s="259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53"/>
      <c r="DE39" s="259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53"/>
      <c r="DG39" s="252" t="str">
        <f t="array" aca="1" ref="DG39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INDIRECT("'盛付札（関数）'!AO"&amp;DB33))),"")</f>
        <v/>
      </c>
      <c r="DH39" s="253"/>
      <c r="DJ39" s="259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53"/>
      <c r="DL39" s="259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53"/>
      <c r="DN39" s="252" t="str">
        <f t="array" aca="1" ref="DN39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INDIRECT("'盛付札（関数）'!AO"&amp;DI33))),"")</f>
        <v/>
      </c>
      <c r="DO39" s="253"/>
      <c r="DR39" s="259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53"/>
      <c r="DT39" s="259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53"/>
      <c r="DV39" s="252" t="str">
        <f t="array" aca="1" ref="DV39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INDIRECT("'盛付札（関数）'!AO"&amp;DQ33))),"")</f>
        <v/>
      </c>
      <c r="DW39" s="253"/>
      <c r="DY39" s="259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53"/>
      <c r="EA39" s="259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53"/>
      <c r="EC39" s="252" t="str">
        <f t="array" aca="1" ref="EC39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INDIRECT("'盛付札（関数）'!AO"&amp;DX33))),"")</f>
        <v/>
      </c>
      <c r="ED39" s="253"/>
      <c r="EG39" s="259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53"/>
      <c r="EI39" s="259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53"/>
      <c r="EK39" s="252" t="str">
        <f t="array" aca="1" ref="EK39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INDIRECT("'盛付札（関数）'!AO"&amp;EF33))),"")</f>
        <v/>
      </c>
      <c r="EL39" s="253"/>
      <c r="EN39" s="259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53"/>
      <c r="EP39" s="259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53"/>
      <c r="ER39" s="252" t="str">
        <f t="array" aca="1" ref="ER39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INDIRECT("'盛付札（関数）'!AO"&amp;EM33))),"")</f>
        <v/>
      </c>
      <c r="ES39" s="253"/>
    </row>
    <row r="40" spans="1:150" ht="6.6" customHeight="1">
      <c r="B40" s="45"/>
      <c r="D40" s="45"/>
      <c r="F40" s="46"/>
      <c r="I40" s="45"/>
      <c r="K40" s="45"/>
      <c r="M40" s="46"/>
      <c r="Q40" s="45"/>
      <c r="S40" s="45"/>
      <c r="U40" s="46"/>
      <c r="X40" s="45"/>
      <c r="Z40" s="45"/>
      <c r="AB40" s="46"/>
      <c r="AF40" s="45"/>
      <c r="AH40" s="45"/>
      <c r="AJ40" s="46"/>
      <c r="AM40" s="45"/>
      <c r="AO40" s="45"/>
      <c r="AQ40" s="46"/>
      <c r="AU40" s="45"/>
      <c r="AW40" s="45"/>
      <c r="AY40" s="46"/>
      <c r="BB40" s="45"/>
      <c r="BD40" s="45"/>
      <c r="BF40" s="46"/>
      <c r="BJ40" s="45"/>
      <c r="BL40" s="45"/>
      <c r="BN40" s="46"/>
      <c r="BQ40" s="45"/>
      <c r="BS40" s="45"/>
      <c r="BU40" s="46"/>
      <c r="BY40" s="45"/>
      <c r="CA40" s="45"/>
      <c r="CC40" s="46"/>
      <c r="CF40" s="45"/>
      <c r="CH40" s="45"/>
      <c r="CJ40" s="46"/>
      <c r="CN40" s="45"/>
      <c r="CP40" s="45"/>
      <c r="CR40" s="46"/>
      <c r="CU40" s="45"/>
      <c r="CW40" s="45"/>
      <c r="CY40" s="46"/>
      <c r="DC40" s="45"/>
      <c r="DE40" s="45"/>
      <c r="DG40" s="46"/>
      <c r="DJ40" s="45"/>
      <c r="DL40" s="45"/>
      <c r="DN40" s="46"/>
      <c r="DR40" s="45"/>
      <c r="DT40" s="45"/>
      <c r="DV40" s="46"/>
      <c r="DY40" s="45"/>
      <c r="EA40" s="45"/>
      <c r="EC40" s="46"/>
      <c r="EG40" s="45"/>
      <c r="EI40" s="45"/>
      <c r="EK40" s="46"/>
      <c r="EN40" s="45"/>
      <c r="EP40" s="45"/>
      <c r="ER40" s="46"/>
    </row>
    <row r="41" spans="1:150" s="32" customFormat="1" ht="25.8" customHeight="1">
      <c r="A41" s="31">
        <f>H33+1</f>
        <v>11</v>
      </c>
      <c r="B41" s="43" t="str">
        <f ca="1">IF(C41&lt;&gt;"",
MID(貼り付け用!$A$2, FIND("年",貼り付け用!$A$2)+1,2)&amp;"/"&amp;MID(貼り付け用!$A$2, FIND("月",貼り付け用!$A$2)+1,2),"")</f>
        <v/>
      </c>
      <c r="C41" s="250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51"/>
      <c r="E41" s="251"/>
      <c r="F41" s="251"/>
      <c r="G41" s="42" t="str">
        <f t="array" aca="1" ref="G41" ca="1">IF(C41&lt;&gt;"",
IF(AND(INDIRECT("'盛付札（関数）'!AE"&amp;A41)&gt;=124,INDIRECT("'盛付札（関数）'!AE"&amp;A41)&lt;=144),"",
"様"),"")</f>
        <v/>
      </c>
      <c r="H41" s="36">
        <f>A41+1</f>
        <v>12</v>
      </c>
      <c r="I41" s="43" t="str">
        <f ca="1">IF(J41&lt;&gt;"",
MID(貼り付け用!$A$2, FIND("年",貼り付け用!$A$2)+1,2)&amp;"/"&amp;MID(貼り付け用!$A$2, FIND("月",貼り付け用!$A$2)+1,2),"")</f>
        <v/>
      </c>
      <c r="J41" s="250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51"/>
      <c r="L41" s="251"/>
      <c r="M41" s="251"/>
      <c r="N41" s="42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1">
        <f>W33+1</f>
        <v>23</v>
      </c>
      <c r="Q41" s="43" t="str">
        <f ca="1">IF(R41&lt;&gt;"",
MID(貼り付け用!$A$2, FIND("年",貼り付け用!$A$2)+1,2)&amp;"/"&amp;MID(貼り付け用!$A$2, FIND("月",貼り付け用!$A$2)+1,2),"")</f>
        <v/>
      </c>
      <c r="R41" s="250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51"/>
      <c r="T41" s="251"/>
      <c r="U41" s="251"/>
      <c r="V41" s="42" t="str">
        <f t="array" aca="1" ref="V41" ca="1">IF(R41&lt;&gt;"",
IF(AND(INDIRECT("'盛付札（関数）'!AE"&amp;P41)&gt;=124,INDIRECT("'盛付札（関数）'!AE"&amp;P41)&lt;=144),"",
"様"),"")</f>
        <v/>
      </c>
      <c r="W41" s="36">
        <f>P41+1</f>
        <v>24</v>
      </c>
      <c r="X41" s="43" t="str">
        <f ca="1">IF(Y41&lt;&gt;"",
MID(貼り付け用!$A$2, FIND("年",貼り付け用!$A$2)+1,2)&amp;"/"&amp;MID(貼り付け用!$A$2, FIND("月",貼り付け用!$A$2)+1,2),"")</f>
        <v/>
      </c>
      <c r="Y41" s="250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51"/>
      <c r="AA41" s="251"/>
      <c r="AB41" s="251"/>
      <c r="AC41" s="42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1">
        <f>AL33+1</f>
        <v>35</v>
      </c>
      <c r="AF41" s="43" t="str">
        <f ca="1">IF(AG41&lt;&gt;"",
MID(貼り付け用!$A$2, FIND("年",貼り付け用!$A$2)+1,2)&amp;"/"&amp;MID(貼り付け用!$A$2, FIND("月",貼り付け用!$A$2)+1,2),"")</f>
        <v/>
      </c>
      <c r="AG41" s="250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51"/>
      <c r="AI41" s="251"/>
      <c r="AJ41" s="251"/>
      <c r="AK41" s="42" t="str">
        <f t="array" aca="1" ref="AK41" ca="1">IF(AG41&lt;&gt;"",
IF(AND(INDIRECT("'盛付札（関数）'!AE"&amp;AE41)&gt;=124,INDIRECT("'盛付札（関数）'!AE"&amp;AE41)&lt;=144),"",
"様"),"")</f>
        <v/>
      </c>
      <c r="AL41" s="36">
        <f>AE41+1</f>
        <v>36</v>
      </c>
      <c r="AM41" s="43" t="str">
        <f ca="1">IF(AN41&lt;&gt;"",
MID(貼り付け用!$A$2, FIND("年",貼り付け用!$A$2)+1,2)&amp;"/"&amp;MID(貼り付け用!$A$2, FIND("月",貼り付け用!$A$2)+1,2),"")</f>
        <v/>
      </c>
      <c r="AN41" s="250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51"/>
      <c r="AP41" s="251"/>
      <c r="AQ41" s="251"/>
      <c r="AR41" s="42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1">
        <f>BA33+1</f>
        <v>47</v>
      </c>
      <c r="AU41" s="43" t="str">
        <f ca="1">IF(AV41&lt;&gt;"",
MID(貼り付け用!$A$2, FIND("年",貼り付け用!$A$2)+1,2)&amp;"/"&amp;MID(貼り付け用!$A$2, FIND("月",貼り付け用!$A$2)+1,2),"")</f>
        <v/>
      </c>
      <c r="AV41" s="250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51"/>
      <c r="AX41" s="251"/>
      <c r="AY41" s="251"/>
      <c r="AZ41" s="42" t="str">
        <f t="array" aca="1" ref="AZ41" ca="1">IF(AV41&lt;&gt;"",
IF(AND(INDIRECT("'盛付札（関数）'!AE"&amp;AT41)&gt;=124,INDIRECT("'盛付札（関数）'!AE"&amp;AT41)&lt;=144),"",
"様"),"")</f>
        <v/>
      </c>
      <c r="BA41" s="36">
        <f>AT41+1</f>
        <v>48</v>
      </c>
      <c r="BB41" s="43" t="str">
        <f ca="1">IF(BC41&lt;&gt;"",
MID(貼り付け用!$A$2, FIND("年",貼り付け用!$A$2)+1,2)&amp;"/"&amp;MID(貼り付け用!$A$2, FIND("月",貼り付け用!$A$2)+1,2),"")</f>
        <v/>
      </c>
      <c r="BC41" s="250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51"/>
      <c r="BE41" s="251"/>
      <c r="BF41" s="251"/>
      <c r="BG41" s="42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1">
        <f>BP33+1</f>
        <v>59</v>
      </c>
      <c r="BJ41" s="43" t="str">
        <f ca="1">IF(BK41&lt;&gt;"",
MID(貼り付け用!$A$2, FIND("年",貼り付け用!$A$2)+1,2)&amp;"/"&amp;MID(貼り付け用!$A$2, FIND("月",貼り付け用!$A$2)+1,2),"")</f>
        <v/>
      </c>
      <c r="BK41" s="250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51"/>
      <c r="BM41" s="251"/>
      <c r="BN41" s="251"/>
      <c r="BO41" s="42" t="str">
        <f t="array" aca="1" ref="BO41" ca="1">IF(BK41&lt;&gt;"",
IF(AND(INDIRECT("'盛付札（関数）'!AE"&amp;BI41)&gt;=124,INDIRECT("'盛付札（関数）'!AE"&amp;BI41)&lt;=144),"",
"様"),"")</f>
        <v/>
      </c>
      <c r="BP41" s="36">
        <f>BI41+1</f>
        <v>60</v>
      </c>
      <c r="BQ41" s="43" t="str">
        <f ca="1">IF(BR41&lt;&gt;"",
MID(貼り付け用!$A$2, FIND("年",貼り付け用!$A$2)+1,2)&amp;"/"&amp;MID(貼り付け用!$A$2, FIND("月",貼り付け用!$A$2)+1,2),"")</f>
        <v/>
      </c>
      <c r="BR41" s="250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51"/>
      <c r="BT41" s="251"/>
      <c r="BU41" s="251"/>
      <c r="BV41" s="42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1">
        <f>CE33+1</f>
        <v>71</v>
      </c>
      <c r="BY41" s="43" t="str">
        <f ca="1">IF(BZ41&lt;&gt;"",
MID(貼り付け用!$A$2, FIND("年",貼り付け用!$A$2)+1,2)&amp;"/"&amp;MID(貼り付け用!$A$2, FIND("月",貼り付け用!$A$2)+1,2),"")</f>
        <v/>
      </c>
      <c r="BZ41" s="250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51"/>
      <c r="CB41" s="251"/>
      <c r="CC41" s="251"/>
      <c r="CD41" s="42" t="str">
        <f t="array" aca="1" ref="CD41" ca="1">IF(BZ41&lt;&gt;"",
IF(AND(INDIRECT("'盛付札（関数）'!AE"&amp;BX41)&gt;=124,INDIRECT("'盛付札（関数）'!AE"&amp;BX41)&lt;=144),"",
"様"),"")</f>
        <v/>
      </c>
      <c r="CE41" s="36">
        <f>BX41+1</f>
        <v>72</v>
      </c>
      <c r="CF41" s="43" t="str">
        <f ca="1">IF(CG41&lt;&gt;"",
MID(貼り付け用!$A$2, FIND("年",貼り付け用!$A$2)+1,2)&amp;"/"&amp;MID(貼り付け用!$A$2, FIND("月",貼り付け用!$A$2)+1,2),"")</f>
        <v/>
      </c>
      <c r="CG41" s="250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51"/>
      <c r="CI41" s="251"/>
      <c r="CJ41" s="251"/>
      <c r="CK41" s="42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1">
        <f>CT33+1</f>
        <v>83</v>
      </c>
      <c r="CN41" s="43" t="str">
        <f ca="1">IF(CO41&lt;&gt;"",
MID(貼り付け用!$A$2, FIND("年",貼り付け用!$A$2)+1,2)&amp;"/"&amp;MID(貼り付け用!$A$2, FIND("月",貼り付け用!$A$2)+1,2),"")</f>
        <v/>
      </c>
      <c r="CO41" s="250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51"/>
      <c r="CQ41" s="251"/>
      <c r="CR41" s="251"/>
      <c r="CS41" s="42" t="str">
        <f t="array" aca="1" ref="CS41" ca="1">IF(CO41&lt;&gt;"",
IF(AND(INDIRECT("'盛付札（関数）'!AE"&amp;CM41)&gt;=124,INDIRECT("'盛付札（関数）'!AE"&amp;CM41)&lt;=144),"",
"様"),"")</f>
        <v/>
      </c>
      <c r="CT41" s="36">
        <f>CM41+1</f>
        <v>84</v>
      </c>
      <c r="CU41" s="43" t="str">
        <f ca="1">IF(CV41&lt;&gt;"",
MID(貼り付け用!$A$2, FIND("年",貼り付け用!$A$2)+1,2)&amp;"/"&amp;MID(貼り付け用!$A$2, FIND("月",貼り付け用!$A$2)+1,2),"")</f>
        <v/>
      </c>
      <c r="CV41" s="250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51"/>
      <c r="CX41" s="251"/>
      <c r="CY41" s="251"/>
      <c r="CZ41" s="42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1">
        <f>DI33+1</f>
        <v>95</v>
      </c>
      <c r="DC41" s="43" t="str">
        <f ca="1">IF(DD41&lt;&gt;"",
MID(貼り付け用!$A$2, FIND("年",貼り付け用!$A$2)+1,2)&amp;"/"&amp;MID(貼り付け用!$A$2, FIND("月",貼り付け用!$A$2)+1,2),"")</f>
        <v/>
      </c>
      <c r="DD41" s="250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51"/>
      <c r="DF41" s="251"/>
      <c r="DG41" s="251"/>
      <c r="DH41" s="42" t="str">
        <f t="array" aca="1" ref="DH41" ca="1">IF(DD41&lt;&gt;"",
IF(AND(INDIRECT("'盛付札（関数）'!AE"&amp;DB41)&gt;=124,INDIRECT("'盛付札（関数）'!AE"&amp;DB41)&lt;=144),"",
"様"),"")</f>
        <v/>
      </c>
      <c r="DI41" s="36">
        <f>DB41+1</f>
        <v>96</v>
      </c>
      <c r="DJ41" s="43" t="str">
        <f ca="1">IF(DK41&lt;&gt;"",
MID(貼り付け用!$A$2, FIND("年",貼り付け用!$A$2)+1,2)&amp;"/"&amp;MID(貼り付け用!$A$2, FIND("月",貼り付け用!$A$2)+1,2),"")</f>
        <v/>
      </c>
      <c r="DK41" s="250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51"/>
      <c r="DM41" s="251"/>
      <c r="DN41" s="251"/>
      <c r="DO41" s="42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1">
        <f>DX33+1</f>
        <v>107</v>
      </c>
      <c r="DR41" s="43" t="str">
        <f ca="1">IF(DS41&lt;&gt;"",
MID(貼り付け用!$A$2, FIND("年",貼り付け用!$A$2)+1,2)&amp;"/"&amp;MID(貼り付け用!$A$2, FIND("月",貼り付け用!$A$2)+1,2),"")</f>
        <v/>
      </c>
      <c r="DS41" s="250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51"/>
      <c r="DU41" s="251"/>
      <c r="DV41" s="251"/>
      <c r="DW41" s="42" t="str">
        <f t="array" aca="1" ref="DW41" ca="1">IF(DS41&lt;&gt;"",
IF(AND(INDIRECT("'盛付札（関数）'!AE"&amp;DQ41)&gt;=124,INDIRECT("'盛付札（関数）'!AE"&amp;DQ41)&lt;=144),"",
"様"),"")</f>
        <v/>
      </c>
      <c r="DX41" s="36">
        <f>DQ41+1</f>
        <v>108</v>
      </c>
      <c r="DY41" s="43" t="str">
        <f ca="1">IF(DZ41&lt;&gt;"",
MID(貼り付け用!$A$2, FIND("年",貼り付け用!$A$2)+1,2)&amp;"/"&amp;MID(貼り付け用!$A$2, FIND("月",貼り付け用!$A$2)+1,2),"")</f>
        <v/>
      </c>
      <c r="DZ41" s="250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51"/>
      <c r="EB41" s="251"/>
      <c r="EC41" s="251"/>
      <c r="ED41" s="42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1">
        <f>EM33+1</f>
        <v>119</v>
      </c>
      <c r="EG41" s="43" t="str">
        <f ca="1">IF(EH41&lt;&gt;"",
MID(貼り付け用!$A$2, FIND("年",貼り付け用!$A$2)+1,2)&amp;"/"&amp;MID(貼り付け用!$A$2, FIND("月",貼り付け用!$A$2)+1,2),"")</f>
        <v/>
      </c>
      <c r="EH41" s="250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51"/>
      <c r="EJ41" s="251"/>
      <c r="EK41" s="251"/>
      <c r="EL41" s="42" t="str">
        <f t="array" aca="1" ref="EL41" ca="1">IF(EH41&lt;&gt;"",
IF(AND(INDIRECT("'盛付札（関数）'!AE"&amp;EF41)&gt;=124,INDIRECT("'盛付札（関数）'!AE"&amp;EF41)&lt;=144),"",
"様"),"")</f>
        <v/>
      </c>
      <c r="EM41" s="36">
        <f>EF41+1</f>
        <v>120</v>
      </c>
      <c r="EN41" s="43" t="str">
        <f ca="1">IF(EO41&lt;&gt;"",
MID(貼り付け用!$A$2, FIND("年",貼り付け用!$A$2)+1,2)&amp;"/"&amp;MID(貼り付け用!$A$2, FIND("月",貼り付け用!$A$2)+1,2),"")</f>
        <v/>
      </c>
      <c r="EO41" s="250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51"/>
      <c r="EQ41" s="251"/>
      <c r="ER41" s="251"/>
      <c r="ES41" s="42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32" customFormat="1">
      <c r="A42" s="31"/>
      <c r="B42" s="178"/>
      <c r="C42" s="47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INDIRECT("'盛付札（関数）'!AG"&amp;A41))),"")</f>
        <v/>
      </c>
      <c r="D42" s="41"/>
      <c r="E42" s="41"/>
      <c r="F42" s="48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9"/>
      <c r="H42" s="49"/>
      <c r="I42" s="178"/>
      <c r="J42" s="47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INDIRECT("'盛付札（関数）'!AG"&amp;H41))),"")</f>
        <v/>
      </c>
      <c r="K42" s="41"/>
      <c r="L42" s="41"/>
      <c r="M42" s="48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9"/>
      <c r="O42" s="22"/>
      <c r="P42" s="31"/>
      <c r="Q42" s="178"/>
      <c r="R42" s="47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INDIRECT("'盛付札（関数）'!AG"&amp;P41))),"")</f>
        <v/>
      </c>
      <c r="S42" s="41"/>
      <c r="T42" s="41"/>
      <c r="U42" s="48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9"/>
      <c r="W42" s="49"/>
      <c r="X42" s="178"/>
      <c r="Y42" s="47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INDIRECT("'盛付札（関数）'!AG"&amp;W41))),"")</f>
        <v/>
      </c>
      <c r="Z42" s="41"/>
      <c r="AA42" s="41"/>
      <c r="AB42" s="48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9"/>
      <c r="AD42" s="22"/>
      <c r="AE42" s="31"/>
      <c r="AF42" s="178"/>
      <c r="AG42" s="47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INDIRECT("'盛付札（関数）'!AG"&amp;AE41))),"")</f>
        <v/>
      </c>
      <c r="AH42" s="41"/>
      <c r="AI42" s="41"/>
      <c r="AJ42" s="48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9"/>
      <c r="AL42" s="49"/>
      <c r="AM42" s="178"/>
      <c r="AN42" s="47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INDIRECT("'盛付札（関数）'!AG"&amp;AL41))),"")</f>
        <v/>
      </c>
      <c r="AO42" s="41"/>
      <c r="AP42" s="41"/>
      <c r="AQ42" s="48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9"/>
      <c r="AS42" s="22"/>
      <c r="AT42" s="31"/>
      <c r="AU42" s="178"/>
      <c r="AV42" s="47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INDIRECT("'盛付札（関数）'!AG"&amp;AT41))),"")</f>
        <v/>
      </c>
      <c r="AW42" s="41"/>
      <c r="AX42" s="41"/>
      <c r="AY42" s="48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9"/>
      <c r="BA42" s="49"/>
      <c r="BB42" s="178"/>
      <c r="BC42" s="47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INDIRECT("'盛付札（関数）'!AG"&amp;BA41))),"")</f>
        <v/>
      </c>
      <c r="BD42" s="41"/>
      <c r="BE42" s="41"/>
      <c r="BF42" s="48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9"/>
      <c r="BH42" s="22"/>
      <c r="BI42" s="31"/>
      <c r="BJ42" s="178"/>
      <c r="BK42" s="47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INDIRECT("'盛付札（関数）'!AG"&amp;BI41))),"")</f>
        <v/>
      </c>
      <c r="BL42" s="41"/>
      <c r="BM42" s="41"/>
      <c r="BN42" s="48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9"/>
      <c r="BP42" s="49"/>
      <c r="BQ42" s="178"/>
      <c r="BR42" s="47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INDIRECT("'盛付札（関数）'!AG"&amp;BP41))),"")</f>
        <v/>
      </c>
      <c r="BS42" s="41"/>
      <c r="BT42" s="41"/>
      <c r="BU42" s="48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9"/>
      <c r="BW42" s="22"/>
      <c r="BX42" s="31"/>
      <c r="BY42" s="178"/>
      <c r="BZ42" s="47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INDIRECT("'盛付札（関数）'!AG"&amp;BX41))),"")</f>
        <v/>
      </c>
      <c r="CA42" s="41"/>
      <c r="CB42" s="41"/>
      <c r="CC42" s="48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9"/>
      <c r="CE42" s="49"/>
      <c r="CF42" s="178"/>
      <c r="CG42" s="47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INDIRECT("'盛付札（関数）'!AG"&amp;CE41))),"")</f>
        <v/>
      </c>
      <c r="CH42" s="41"/>
      <c r="CI42" s="41"/>
      <c r="CJ42" s="48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9"/>
      <c r="CL42" s="22"/>
      <c r="CM42" s="31"/>
      <c r="CN42" s="178"/>
      <c r="CO42" s="47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INDIRECT("'盛付札（関数）'!AG"&amp;CM41))),"")</f>
        <v/>
      </c>
      <c r="CP42" s="41"/>
      <c r="CQ42" s="41"/>
      <c r="CR42" s="48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9"/>
      <c r="CT42" s="49"/>
      <c r="CU42" s="178"/>
      <c r="CV42" s="47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INDIRECT("'盛付札（関数）'!AG"&amp;CT41))),"")</f>
        <v/>
      </c>
      <c r="CW42" s="41"/>
      <c r="CX42" s="41"/>
      <c r="CY42" s="48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9"/>
      <c r="DA42" s="22"/>
      <c r="DB42" s="31"/>
      <c r="DC42" s="178"/>
      <c r="DD42" s="47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INDIRECT("'盛付札（関数）'!AG"&amp;DB41))),"")</f>
        <v/>
      </c>
      <c r="DE42" s="41"/>
      <c r="DF42" s="41"/>
      <c r="DG42" s="48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9"/>
      <c r="DI42" s="49"/>
      <c r="DJ42" s="178"/>
      <c r="DK42" s="47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INDIRECT("'盛付札（関数）'!AG"&amp;DI41))),"")</f>
        <v/>
      </c>
      <c r="DL42" s="41"/>
      <c r="DM42" s="41"/>
      <c r="DN42" s="48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9"/>
      <c r="DP42" s="22"/>
      <c r="DQ42" s="31"/>
      <c r="DR42" s="178"/>
      <c r="DS42" s="47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INDIRECT("'盛付札（関数）'!AG"&amp;DQ41))),"")</f>
        <v/>
      </c>
      <c r="DT42" s="41"/>
      <c r="DU42" s="41"/>
      <c r="DV42" s="48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9"/>
      <c r="DX42" s="49"/>
      <c r="DY42" s="178"/>
      <c r="DZ42" s="47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INDIRECT("'盛付札（関数）'!AG"&amp;DX41))),"")</f>
        <v/>
      </c>
      <c r="EA42" s="41"/>
      <c r="EB42" s="41"/>
      <c r="EC42" s="48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9"/>
      <c r="EE42" s="22"/>
      <c r="EF42" s="31"/>
      <c r="EG42" s="178"/>
      <c r="EH42" s="47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INDIRECT("'盛付札（関数）'!AG"&amp;EF41))),"")</f>
        <v/>
      </c>
      <c r="EI42" s="41"/>
      <c r="EJ42" s="41"/>
      <c r="EK42" s="48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9"/>
      <c r="EM42" s="49"/>
      <c r="EN42" s="178"/>
      <c r="EO42" s="47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INDIRECT("'盛付札（関数）'!AG"&amp;EM41))),"")</f>
        <v/>
      </c>
      <c r="EP42" s="41"/>
      <c r="EQ42" s="41"/>
      <c r="ER42" s="48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9"/>
      <c r="ET42" s="22"/>
    </row>
    <row r="43" spans="1:150" s="32" customFormat="1">
      <c r="A43" s="31"/>
      <c r="B43" s="34"/>
      <c r="C43" s="248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49"/>
      <c r="E43" s="22"/>
      <c r="F43" s="32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IF(AND(INDIRECT("'盛付札（関数）'!AE"&amp;A41)&gt;=247,INDIRECT("'盛付札（関数）'!AE"&amp;A41)&lt;=261),"","園児"))),"")</f>
        <v/>
      </c>
      <c r="G43" s="40"/>
      <c r="H43" s="36"/>
      <c r="I43" s="34"/>
      <c r="J43" s="248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49"/>
      <c r="L43" s="22"/>
      <c r="M43" s="32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IF(AND(INDIRECT("'盛付札（関数）'!AE"&amp;H41)&gt;=247,INDIRECT("'盛付札（関数）'!AE"&amp;H41)&lt;=261),"","園児"))),"")</f>
        <v/>
      </c>
      <c r="N43" s="40"/>
      <c r="O43" s="22"/>
      <c r="P43" s="31"/>
      <c r="Q43" s="34"/>
      <c r="R43" s="248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49"/>
      <c r="T43" s="22"/>
      <c r="U43" s="32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IF(AND(INDIRECT("'盛付札（関数）'!AE"&amp;P41)&gt;=247,INDIRECT("'盛付札（関数）'!AE"&amp;P41)&lt;=261),"","園児"))),"")</f>
        <v/>
      </c>
      <c r="V43" s="40"/>
      <c r="W43" s="36"/>
      <c r="X43" s="34"/>
      <c r="Y43" s="248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49"/>
      <c r="AA43" s="22"/>
      <c r="AB43" s="32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IF(AND(INDIRECT("'盛付札（関数）'!AE"&amp;W41)&gt;=247,INDIRECT("'盛付札（関数）'!AE"&amp;W41)&lt;=261),"","園児"))),"")</f>
        <v/>
      </c>
      <c r="AC43" s="40"/>
      <c r="AD43" s="22"/>
      <c r="AE43" s="31"/>
      <c r="AF43" s="34"/>
      <c r="AG43" s="248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49"/>
      <c r="AI43" s="22"/>
      <c r="AJ43" s="32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IF(AND(INDIRECT("'盛付札（関数）'!AE"&amp;AE41)&gt;=247,INDIRECT("'盛付札（関数）'!AE"&amp;AE41)&lt;=261),"","園児"))),"")</f>
        <v/>
      </c>
      <c r="AK43" s="40"/>
      <c r="AL43" s="36"/>
      <c r="AM43" s="34"/>
      <c r="AN43" s="248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49"/>
      <c r="AP43" s="22"/>
      <c r="AQ43" s="32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IF(AND(INDIRECT("'盛付札（関数）'!AE"&amp;AL41)&gt;=247,INDIRECT("'盛付札（関数）'!AE"&amp;AL41)&lt;=261),"","園児"))),"")</f>
        <v/>
      </c>
      <c r="AR43" s="40"/>
      <c r="AS43" s="22"/>
      <c r="AT43" s="31"/>
      <c r="AU43" s="34"/>
      <c r="AV43" s="248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49"/>
      <c r="AX43" s="22"/>
      <c r="AY43" s="32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IF(AND(INDIRECT("'盛付札（関数）'!AE"&amp;AT41)&gt;=247,INDIRECT("'盛付札（関数）'!AE"&amp;AT41)&lt;=261),"","園児"))),"")</f>
        <v/>
      </c>
      <c r="AZ43" s="40"/>
      <c r="BA43" s="36"/>
      <c r="BB43" s="34"/>
      <c r="BC43" s="248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49"/>
      <c r="BE43" s="22"/>
      <c r="BF43" s="32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IF(AND(INDIRECT("'盛付札（関数）'!AE"&amp;BA41)&gt;=247,INDIRECT("'盛付札（関数）'!AE"&amp;BA41)&lt;=261),"","園児"))),"")</f>
        <v/>
      </c>
      <c r="BG43" s="40"/>
      <c r="BH43" s="22"/>
      <c r="BI43" s="31"/>
      <c r="BJ43" s="34"/>
      <c r="BK43" s="248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49"/>
      <c r="BM43" s="22"/>
      <c r="BN43" s="32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IF(AND(INDIRECT("'盛付札（関数）'!AE"&amp;BI41)&gt;=247,INDIRECT("'盛付札（関数）'!AE"&amp;BI41)&lt;=261),"","園児"))),"")</f>
        <v/>
      </c>
      <c r="BO43" s="40"/>
      <c r="BP43" s="36"/>
      <c r="BQ43" s="34"/>
      <c r="BR43" s="248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49"/>
      <c r="BT43" s="22"/>
      <c r="BU43" s="32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IF(AND(INDIRECT("'盛付札（関数）'!AE"&amp;BP41)&gt;=247,INDIRECT("'盛付札（関数）'!AE"&amp;BP41)&lt;=261),"","園児"))),"")</f>
        <v/>
      </c>
      <c r="BV43" s="40"/>
      <c r="BW43" s="22"/>
      <c r="BX43" s="31"/>
      <c r="BY43" s="34"/>
      <c r="BZ43" s="248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49"/>
      <c r="CB43" s="22"/>
      <c r="CC43" s="32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IF(AND(INDIRECT("'盛付札（関数）'!AE"&amp;BX41)&gt;=247,INDIRECT("'盛付札（関数）'!AE"&amp;BX41)&lt;=261),"","園児"))),"")</f>
        <v/>
      </c>
      <c r="CD43" s="40"/>
      <c r="CE43" s="36"/>
      <c r="CF43" s="34"/>
      <c r="CG43" s="248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49"/>
      <c r="CI43" s="22"/>
      <c r="CJ43" s="32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IF(AND(INDIRECT("'盛付札（関数）'!AE"&amp;CE41)&gt;=247,INDIRECT("'盛付札（関数）'!AE"&amp;CE41)&lt;=261),"","園児"))),"")</f>
        <v/>
      </c>
      <c r="CK43" s="40"/>
      <c r="CL43" s="22"/>
      <c r="CM43" s="31"/>
      <c r="CN43" s="34"/>
      <c r="CO43" s="248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49"/>
      <c r="CQ43" s="22"/>
      <c r="CR43" s="32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IF(AND(INDIRECT("'盛付札（関数）'!AE"&amp;CM41)&gt;=247,INDIRECT("'盛付札（関数）'!AE"&amp;CM41)&lt;=261),"","園児"))),"")</f>
        <v/>
      </c>
      <c r="CS43" s="40"/>
      <c r="CT43" s="36"/>
      <c r="CU43" s="34"/>
      <c r="CV43" s="248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49"/>
      <c r="CX43" s="22"/>
      <c r="CY43" s="32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IF(AND(INDIRECT("'盛付札（関数）'!AE"&amp;CT41)&gt;=247,INDIRECT("'盛付札（関数）'!AE"&amp;CT41)&lt;=261),"","園児"))),"")</f>
        <v/>
      </c>
      <c r="CZ43" s="40"/>
      <c r="DA43" s="22"/>
      <c r="DB43" s="31"/>
      <c r="DC43" s="34"/>
      <c r="DD43" s="248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49"/>
      <c r="DF43" s="22"/>
      <c r="DG43" s="32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IF(AND(INDIRECT("'盛付札（関数）'!AE"&amp;DB41)&gt;=247,INDIRECT("'盛付札（関数）'!AE"&amp;DB41)&lt;=261),"","園児"))),"")</f>
        <v/>
      </c>
      <c r="DH43" s="40"/>
      <c r="DI43" s="36"/>
      <c r="DJ43" s="34"/>
      <c r="DK43" s="248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49"/>
      <c r="DM43" s="22"/>
      <c r="DN43" s="32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IF(AND(INDIRECT("'盛付札（関数）'!AE"&amp;DI41)&gt;=247,INDIRECT("'盛付札（関数）'!AE"&amp;DI41)&lt;=261),"","園児"))),"")</f>
        <v/>
      </c>
      <c r="DO43" s="40"/>
      <c r="DP43" s="22"/>
      <c r="DQ43" s="31"/>
      <c r="DR43" s="34"/>
      <c r="DS43" s="248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49"/>
      <c r="DU43" s="22"/>
      <c r="DV43" s="32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IF(AND(INDIRECT("'盛付札（関数）'!AE"&amp;DQ41)&gt;=247,INDIRECT("'盛付札（関数）'!AE"&amp;DQ41)&lt;=261),"","園児"))),"")</f>
        <v/>
      </c>
      <c r="DW43" s="40"/>
      <c r="DX43" s="36"/>
      <c r="DY43" s="34"/>
      <c r="DZ43" s="248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49"/>
      <c r="EB43" s="22"/>
      <c r="EC43" s="32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IF(AND(INDIRECT("'盛付札（関数）'!AE"&amp;DX41)&gt;=247,INDIRECT("'盛付札（関数）'!AE"&amp;DX41)&lt;=261),"","園児"))),"")</f>
        <v/>
      </c>
      <c r="ED43" s="40"/>
      <c r="EE43" s="22"/>
      <c r="EF43" s="31"/>
      <c r="EG43" s="34"/>
      <c r="EH43" s="248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49"/>
      <c r="EJ43" s="22"/>
      <c r="EK43" s="32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IF(AND(INDIRECT("'盛付札（関数）'!AE"&amp;EF41)&gt;=247,INDIRECT("'盛付札（関数）'!AE"&amp;EF41)&lt;=261),"","園児"))),"")</f>
        <v/>
      </c>
      <c r="EL43" s="40"/>
      <c r="EM43" s="36"/>
      <c r="EN43" s="34"/>
      <c r="EO43" s="248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49"/>
      <c r="EQ43" s="22"/>
      <c r="ER43" s="32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IF(AND(INDIRECT("'盛付札（関数）'!AE"&amp;EM41)&gt;=247,INDIRECT("'盛付札（関数）'!AE"&amp;EM41)&lt;=261),"","園児"))),"")</f>
        <v/>
      </c>
      <c r="ES43" s="40"/>
      <c r="ET43" s="22"/>
    </row>
    <row r="44" spans="1:150" ht="15.6" customHeight="1">
      <c r="B44" s="25"/>
      <c r="C44" s="254" t="str">
        <f t="array" aca="1" ref="C44" ca="1">IF(C41&lt;&gt;"",INDIRECT("'盛付札（関数）'!AJ"&amp;A41),"")</f>
        <v/>
      </c>
      <c r="D44" s="255"/>
      <c r="E44" s="50"/>
      <c r="F44" s="257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58"/>
      <c r="H44" s="26"/>
      <c r="I44" s="25"/>
      <c r="J44" s="254" t="str">
        <f t="array" aca="1" ref="J44" ca="1">IF(J41&lt;&gt;"",INDIRECT("'盛付札（関数）'!AJ"&amp;H41),"")</f>
        <v/>
      </c>
      <c r="K44" s="255"/>
      <c r="L44" s="50"/>
      <c r="M44" s="257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58"/>
      <c r="Q44" s="25"/>
      <c r="R44" s="254" t="str">
        <f t="array" aca="1" ref="R44" ca="1">IF(R41&lt;&gt;"",INDIRECT("'盛付札（関数）'!AJ"&amp;P41),"")</f>
        <v/>
      </c>
      <c r="S44" s="255"/>
      <c r="T44" s="50"/>
      <c r="U44" s="257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58"/>
      <c r="W44" s="26"/>
      <c r="X44" s="25"/>
      <c r="Y44" s="254" t="str">
        <f t="array" aca="1" ref="Y44" ca="1">IF(Y41&lt;&gt;"",INDIRECT("'盛付札（関数）'!AJ"&amp;W41),"")</f>
        <v/>
      </c>
      <c r="Z44" s="255"/>
      <c r="AA44" s="50"/>
      <c r="AB44" s="257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58"/>
      <c r="AF44" s="25"/>
      <c r="AG44" s="254" t="str">
        <f t="array" aca="1" ref="AG44" ca="1">IF(AG41&lt;&gt;"",INDIRECT("'盛付札（関数）'!AJ"&amp;AE41),"")</f>
        <v/>
      </c>
      <c r="AH44" s="255"/>
      <c r="AI44" s="50"/>
      <c r="AJ44" s="257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58"/>
      <c r="AL44" s="26"/>
      <c r="AM44" s="25"/>
      <c r="AN44" s="254" t="str">
        <f t="array" aca="1" ref="AN44" ca="1">IF(AN41&lt;&gt;"",INDIRECT("'盛付札（関数）'!AJ"&amp;AL41),"")</f>
        <v/>
      </c>
      <c r="AO44" s="255"/>
      <c r="AP44" s="50"/>
      <c r="AQ44" s="257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58"/>
      <c r="AU44" s="25"/>
      <c r="AV44" s="254" t="str">
        <f t="array" aca="1" ref="AV44" ca="1">IF(AV41&lt;&gt;"",INDIRECT("'盛付札（関数）'!AJ"&amp;AT41),"")</f>
        <v/>
      </c>
      <c r="AW44" s="255"/>
      <c r="AX44" s="50"/>
      <c r="AY44" s="257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58"/>
      <c r="BA44" s="26"/>
      <c r="BB44" s="25"/>
      <c r="BC44" s="254" t="str">
        <f t="array" aca="1" ref="BC44" ca="1">IF(BC41&lt;&gt;"",INDIRECT("'盛付札（関数）'!AJ"&amp;BA41),"")</f>
        <v/>
      </c>
      <c r="BD44" s="255"/>
      <c r="BE44" s="50"/>
      <c r="BF44" s="257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58"/>
      <c r="BJ44" s="25"/>
      <c r="BK44" s="254" t="str">
        <f t="array" aca="1" ref="BK44" ca="1">IF(BK41&lt;&gt;"",INDIRECT("'盛付札（関数）'!AJ"&amp;BI41),"")</f>
        <v/>
      </c>
      <c r="BL44" s="255"/>
      <c r="BM44" s="50"/>
      <c r="BN44" s="257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58"/>
      <c r="BP44" s="26"/>
      <c r="BQ44" s="25"/>
      <c r="BR44" s="254" t="str">
        <f t="array" aca="1" ref="BR44" ca="1">IF(BR41&lt;&gt;"",INDIRECT("'盛付札（関数）'!AJ"&amp;BP41),"")</f>
        <v/>
      </c>
      <c r="BS44" s="255"/>
      <c r="BT44" s="50"/>
      <c r="BU44" s="257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58"/>
      <c r="BY44" s="25"/>
      <c r="BZ44" s="254" t="str">
        <f t="array" aca="1" ref="BZ44" ca="1">IF(BZ41&lt;&gt;"",INDIRECT("'盛付札（関数）'!AJ"&amp;BX41),"")</f>
        <v/>
      </c>
      <c r="CA44" s="255"/>
      <c r="CB44" s="50"/>
      <c r="CC44" s="257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58"/>
      <c r="CE44" s="26"/>
      <c r="CF44" s="25"/>
      <c r="CG44" s="254" t="str">
        <f t="array" aca="1" ref="CG44" ca="1">IF(CG41&lt;&gt;"",INDIRECT("'盛付札（関数）'!AJ"&amp;CE41),"")</f>
        <v/>
      </c>
      <c r="CH44" s="255"/>
      <c r="CI44" s="50"/>
      <c r="CJ44" s="257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58"/>
      <c r="CN44" s="25"/>
      <c r="CO44" s="254" t="str">
        <f t="array" aca="1" ref="CO44" ca="1">IF(CO41&lt;&gt;"",INDIRECT("'盛付札（関数）'!AJ"&amp;CM41),"")</f>
        <v/>
      </c>
      <c r="CP44" s="255"/>
      <c r="CQ44" s="50"/>
      <c r="CR44" s="257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58"/>
      <c r="CT44" s="26"/>
      <c r="CU44" s="25"/>
      <c r="CV44" s="254" t="str">
        <f t="array" aca="1" ref="CV44" ca="1">IF(CV41&lt;&gt;"",INDIRECT("'盛付札（関数）'!AJ"&amp;CT41),"")</f>
        <v/>
      </c>
      <c r="CW44" s="255"/>
      <c r="CX44" s="50"/>
      <c r="CY44" s="257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58"/>
      <c r="DC44" s="25"/>
      <c r="DD44" s="254" t="str">
        <f t="array" aca="1" ref="DD44" ca="1">IF(DD41&lt;&gt;"",INDIRECT("'盛付札（関数）'!AJ"&amp;DB41),"")</f>
        <v/>
      </c>
      <c r="DE44" s="255"/>
      <c r="DF44" s="50"/>
      <c r="DG44" s="257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58"/>
      <c r="DI44" s="26"/>
      <c r="DJ44" s="25"/>
      <c r="DK44" s="254" t="str">
        <f t="array" aca="1" ref="DK44" ca="1">IF(DK41&lt;&gt;"",INDIRECT("'盛付札（関数）'!AJ"&amp;DI41),"")</f>
        <v/>
      </c>
      <c r="DL44" s="255"/>
      <c r="DM44" s="50"/>
      <c r="DN44" s="257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58"/>
      <c r="DR44" s="25"/>
      <c r="DS44" s="254" t="str">
        <f t="array" aca="1" ref="DS44" ca="1">IF(DS41&lt;&gt;"",INDIRECT("'盛付札（関数）'!AJ"&amp;DQ41),"")</f>
        <v/>
      </c>
      <c r="DT44" s="255"/>
      <c r="DU44" s="50"/>
      <c r="DV44" s="257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58"/>
      <c r="DX44" s="26"/>
      <c r="DY44" s="25"/>
      <c r="DZ44" s="254" t="str">
        <f t="array" aca="1" ref="DZ44" ca="1">IF(DZ41&lt;&gt;"",INDIRECT("'盛付札（関数）'!AJ"&amp;DX41),"")</f>
        <v/>
      </c>
      <c r="EA44" s="255"/>
      <c r="EB44" s="50"/>
      <c r="EC44" s="257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58"/>
      <c r="EG44" s="25"/>
      <c r="EH44" s="254" t="str">
        <f t="array" aca="1" ref="EH44" ca="1">IF(EH41&lt;&gt;"",INDIRECT("'盛付札（関数）'!AJ"&amp;EF41),"")</f>
        <v/>
      </c>
      <c r="EI44" s="255"/>
      <c r="EJ44" s="50"/>
      <c r="EK44" s="257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58"/>
      <c r="EM44" s="26"/>
      <c r="EN44" s="25"/>
      <c r="EO44" s="254" t="str">
        <f t="array" aca="1" ref="EO44" ca="1">IF(EO41&lt;&gt;"",INDIRECT("'盛付札（関数）'!AJ"&amp;EM41),"")</f>
        <v/>
      </c>
      <c r="EP44" s="255"/>
      <c r="EQ44" s="50"/>
      <c r="ER44" s="257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58"/>
    </row>
    <row r="45" spans="1:150" ht="15.6" customHeight="1">
      <c r="B45" s="27"/>
      <c r="C45" s="256"/>
      <c r="D45" s="256"/>
      <c r="E45" s="44"/>
      <c r="F45" s="256"/>
      <c r="G45" s="253"/>
      <c r="H45" s="26"/>
      <c r="I45" s="27"/>
      <c r="J45" s="256"/>
      <c r="K45" s="256"/>
      <c r="L45" s="44"/>
      <c r="M45" s="256"/>
      <c r="N45" s="253"/>
      <c r="Q45" s="27"/>
      <c r="R45" s="256"/>
      <c r="S45" s="256"/>
      <c r="T45" s="44"/>
      <c r="U45" s="256"/>
      <c r="V45" s="253"/>
      <c r="W45" s="26"/>
      <c r="X45" s="27"/>
      <c r="Y45" s="256"/>
      <c r="Z45" s="256"/>
      <c r="AA45" s="44"/>
      <c r="AB45" s="256"/>
      <c r="AC45" s="253"/>
      <c r="AF45" s="27"/>
      <c r="AG45" s="256"/>
      <c r="AH45" s="256"/>
      <c r="AI45" s="44"/>
      <c r="AJ45" s="256"/>
      <c r="AK45" s="253"/>
      <c r="AL45" s="26"/>
      <c r="AM45" s="27"/>
      <c r="AN45" s="256"/>
      <c r="AO45" s="256"/>
      <c r="AP45" s="44"/>
      <c r="AQ45" s="256"/>
      <c r="AR45" s="253"/>
      <c r="AU45" s="27"/>
      <c r="AV45" s="256"/>
      <c r="AW45" s="256"/>
      <c r="AX45" s="44"/>
      <c r="AY45" s="256"/>
      <c r="AZ45" s="253"/>
      <c r="BA45" s="26"/>
      <c r="BB45" s="27"/>
      <c r="BC45" s="256"/>
      <c r="BD45" s="256"/>
      <c r="BE45" s="44"/>
      <c r="BF45" s="256"/>
      <c r="BG45" s="253"/>
      <c r="BJ45" s="27"/>
      <c r="BK45" s="256"/>
      <c r="BL45" s="256"/>
      <c r="BM45" s="44"/>
      <c r="BN45" s="256"/>
      <c r="BO45" s="253"/>
      <c r="BP45" s="26"/>
      <c r="BQ45" s="27"/>
      <c r="BR45" s="256"/>
      <c r="BS45" s="256"/>
      <c r="BT45" s="44"/>
      <c r="BU45" s="256"/>
      <c r="BV45" s="253"/>
      <c r="BY45" s="27"/>
      <c r="BZ45" s="256"/>
      <c r="CA45" s="256"/>
      <c r="CB45" s="44"/>
      <c r="CC45" s="256"/>
      <c r="CD45" s="253"/>
      <c r="CE45" s="26"/>
      <c r="CF45" s="27"/>
      <c r="CG45" s="256"/>
      <c r="CH45" s="256"/>
      <c r="CI45" s="44"/>
      <c r="CJ45" s="256"/>
      <c r="CK45" s="253"/>
      <c r="CN45" s="27"/>
      <c r="CO45" s="256"/>
      <c r="CP45" s="256"/>
      <c r="CQ45" s="44"/>
      <c r="CR45" s="256"/>
      <c r="CS45" s="253"/>
      <c r="CT45" s="26"/>
      <c r="CU45" s="27"/>
      <c r="CV45" s="256"/>
      <c r="CW45" s="256"/>
      <c r="CX45" s="44"/>
      <c r="CY45" s="256"/>
      <c r="CZ45" s="253"/>
      <c r="DC45" s="27"/>
      <c r="DD45" s="256"/>
      <c r="DE45" s="256"/>
      <c r="DF45" s="44"/>
      <c r="DG45" s="256"/>
      <c r="DH45" s="253"/>
      <c r="DI45" s="26"/>
      <c r="DJ45" s="27"/>
      <c r="DK45" s="256"/>
      <c r="DL45" s="256"/>
      <c r="DM45" s="44"/>
      <c r="DN45" s="256"/>
      <c r="DO45" s="253"/>
      <c r="DR45" s="27"/>
      <c r="DS45" s="256"/>
      <c r="DT45" s="256"/>
      <c r="DU45" s="44"/>
      <c r="DV45" s="256"/>
      <c r="DW45" s="253"/>
      <c r="DX45" s="26"/>
      <c r="DY45" s="27"/>
      <c r="DZ45" s="256"/>
      <c r="EA45" s="256"/>
      <c r="EB45" s="44"/>
      <c r="EC45" s="256"/>
      <c r="ED45" s="253"/>
      <c r="EG45" s="27"/>
      <c r="EH45" s="256"/>
      <c r="EI45" s="256"/>
      <c r="EJ45" s="44"/>
      <c r="EK45" s="256"/>
      <c r="EL45" s="253"/>
      <c r="EM45" s="26"/>
      <c r="EN45" s="27"/>
      <c r="EO45" s="256"/>
      <c r="EP45" s="256"/>
      <c r="EQ45" s="44"/>
      <c r="ER45" s="256"/>
      <c r="ES45" s="253"/>
    </row>
    <row r="46" spans="1:150" s="32" customFormat="1">
      <c r="A46" s="31"/>
      <c r="B46" s="37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5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7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5"/>
      <c r="F46" s="37" t="str">
        <f t="array" aca="1" ref="F46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"アレルギー")),"")</f>
        <v/>
      </c>
      <c r="G46" s="40"/>
      <c r="H46" s="22"/>
      <c r="I46" s="37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5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7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5"/>
      <c r="M46" s="37" t="str">
        <f t="array" aca="1" ref="M46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"アレルギー")),"")</f>
        <v/>
      </c>
      <c r="N46" s="40"/>
      <c r="O46" s="22"/>
      <c r="P46" s="31"/>
      <c r="Q46" s="37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5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7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5"/>
      <c r="U46" s="37" t="str">
        <f t="array" aca="1" ref="U46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"アレルギー")),"")</f>
        <v/>
      </c>
      <c r="V46" s="40"/>
      <c r="W46" s="22"/>
      <c r="X46" s="37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5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7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5"/>
      <c r="AB46" s="37" t="str">
        <f t="array" aca="1" ref="AB46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"アレルギー")),"")</f>
        <v/>
      </c>
      <c r="AC46" s="40"/>
      <c r="AD46" s="22"/>
      <c r="AE46" s="31"/>
      <c r="AF46" s="37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5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7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5"/>
      <c r="AJ46" s="37" t="str">
        <f t="array" aca="1" ref="AJ46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"アレルギー")),"")</f>
        <v/>
      </c>
      <c r="AK46" s="40"/>
      <c r="AL46" s="22"/>
      <c r="AM46" s="37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5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7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5"/>
      <c r="AQ46" s="37" t="str">
        <f t="array" aca="1" ref="AQ46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"アレルギー")),"")</f>
        <v/>
      </c>
      <c r="AR46" s="40"/>
      <c r="AS46" s="22"/>
      <c r="AT46" s="31"/>
      <c r="AU46" s="37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5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7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5"/>
      <c r="AY46" s="37" t="str">
        <f t="array" aca="1" ref="AY46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"アレルギー")),"")</f>
        <v/>
      </c>
      <c r="AZ46" s="40"/>
      <c r="BA46" s="22"/>
      <c r="BB46" s="37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5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7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5"/>
      <c r="BF46" s="37" t="str">
        <f t="array" aca="1" ref="BF46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"アレルギー")),"")</f>
        <v/>
      </c>
      <c r="BG46" s="40"/>
      <c r="BH46" s="22"/>
      <c r="BI46" s="31"/>
      <c r="BJ46" s="37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5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7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5"/>
      <c r="BN46" s="37" t="str">
        <f t="array" aca="1" ref="BN46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"アレルギー")),"")</f>
        <v/>
      </c>
      <c r="BO46" s="40"/>
      <c r="BP46" s="22"/>
      <c r="BQ46" s="37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5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7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5"/>
      <c r="BU46" s="37" t="str">
        <f t="array" aca="1" ref="BU46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"アレルギー")),"")</f>
        <v/>
      </c>
      <c r="BV46" s="40"/>
      <c r="BW46" s="22"/>
      <c r="BX46" s="31"/>
      <c r="BY46" s="37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5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7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5"/>
      <c r="CC46" s="37" t="str">
        <f t="array" aca="1" ref="CC46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"アレルギー")),"")</f>
        <v/>
      </c>
      <c r="CD46" s="40"/>
      <c r="CE46" s="22"/>
      <c r="CF46" s="37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5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7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5"/>
      <c r="CJ46" s="37" t="str">
        <f t="array" aca="1" ref="CJ46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"アレルギー")),"")</f>
        <v/>
      </c>
      <c r="CK46" s="40"/>
      <c r="CL46" s="22"/>
      <c r="CM46" s="31"/>
      <c r="CN46" s="37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5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7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5"/>
      <c r="CR46" s="37" t="str">
        <f t="array" aca="1" ref="CR46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"アレルギー")),"")</f>
        <v/>
      </c>
      <c r="CS46" s="40"/>
      <c r="CT46" s="22"/>
      <c r="CU46" s="37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5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7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5"/>
      <c r="CY46" s="37" t="str">
        <f t="array" aca="1" ref="CY46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"アレルギー")),"")</f>
        <v/>
      </c>
      <c r="CZ46" s="40"/>
      <c r="DA46" s="22"/>
      <c r="DB46" s="31"/>
      <c r="DC46" s="37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5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7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5"/>
      <c r="DG46" s="37" t="str">
        <f t="array" aca="1" ref="DG46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"アレルギー")),"")</f>
        <v/>
      </c>
      <c r="DH46" s="40"/>
      <c r="DI46" s="22"/>
      <c r="DJ46" s="37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5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7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5"/>
      <c r="DN46" s="37" t="str">
        <f t="array" aca="1" ref="DN46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"アレルギー")),"")</f>
        <v/>
      </c>
      <c r="DO46" s="40"/>
      <c r="DP46" s="22"/>
      <c r="DQ46" s="31"/>
      <c r="DR46" s="37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5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7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5"/>
      <c r="DV46" s="37" t="str">
        <f t="array" aca="1" ref="DV46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"アレルギー")),"")</f>
        <v/>
      </c>
      <c r="DW46" s="40"/>
      <c r="DX46" s="22"/>
      <c r="DY46" s="37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5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7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5"/>
      <c r="EC46" s="37" t="str">
        <f t="array" aca="1" ref="EC46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"アレルギー")),"")</f>
        <v/>
      </c>
      <c r="ED46" s="40"/>
      <c r="EE46" s="22"/>
      <c r="EF46" s="31"/>
      <c r="EG46" s="37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5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7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5"/>
      <c r="EK46" s="37" t="str">
        <f t="array" aca="1" ref="EK46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"アレルギー")),"")</f>
        <v/>
      </c>
      <c r="EL46" s="40"/>
      <c r="EM46" s="22"/>
      <c r="EN46" s="37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5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7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5"/>
      <c r="ER46" s="37" t="str">
        <f t="array" aca="1" ref="ER46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"アレルギー")),"")</f>
        <v/>
      </c>
      <c r="ES46" s="40"/>
      <c r="ET46" s="22"/>
    </row>
    <row r="47" spans="1:150" ht="27.6" customHeight="1">
      <c r="B47" s="259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53"/>
      <c r="D47" s="259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53"/>
      <c r="F47" s="252" t="str">
        <f t="array" aca="1" ref="F47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INDIRECT("'盛付札（関数）'!AO"&amp;A41))),"")</f>
        <v/>
      </c>
      <c r="G47" s="253"/>
      <c r="I47" s="259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53"/>
      <c r="K47" s="259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53"/>
      <c r="M47" s="252" t="str">
        <f t="array" aca="1" ref="M47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INDIRECT("'盛付札（関数）'!AO"&amp;H41))),"")</f>
        <v/>
      </c>
      <c r="N47" s="253"/>
      <c r="Q47" s="259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53"/>
      <c r="S47" s="259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53"/>
      <c r="U47" s="252" t="str">
        <f t="array" aca="1" ref="U47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INDIRECT("'盛付札（関数）'!AO"&amp;P41))),"")</f>
        <v/>
      </c>
      <c r="V47" s="253"/>
      <c r="X47" s="259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53"/>
      <c r="Z47" s="259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53"/>
      <c r="AB47" s="252" t="str">
        <f t="array" aca="1" ref="AB47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INDIRECT("'盛付札（関数）'!AO"&amp;W41))),"")</f>
        <v/>
      </c>
      <c r="AC47" s="253"/>
      <c r="AF47" s="259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53"/>
      <c r="AH47" s="259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53"/>
      <c r="AJ47" s="252" t="str">
        <f t="array" aca="1" ref="AJ47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INDIRECT("'盛付札（関数）'!AO"&amp;AE41))),"")</f>
        <v/>
      </c>
      <c r="AK47" s="253"/>
      <c r="AM47" s="259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53"/>
      <c r="AO47" s="259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53"/>
      <c r="AQ47" s="252" t="str">
        <f t="array" aca="1" ref="AQ47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INDIRECT("'盛付札（関数）'!AO"&amp;AL41))),"")</f>
        <v/>
      </c>
      <c r="AR47" s="253"/>
      <c r="AU47" s="259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53"/>
      <c r="AW47" s="259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53"/>
      <c r="AY47" s="252" t="str">
        <f t="array" aca="1" ref="AY47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INDIRECT("'盛付札（関数）'!AO"&amp;AT41))),"")</f>
        <v/>
      </c>
      <c r="AZ47" s="253"/>
      <c r="BB47" s="259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53"/>
      <c r="BD47" s="259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53"/>
      <c r="BF47" s="252" t="str">
        <f t="array" aca="1" ref="BF47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INDIRECT("'盛付札（関数）'!AO"&amp;BA41))),"")</f>
        <v/>
      </c>
      <c r="BG47" s="253"/>
      <c r="BJ47" s="259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53"/>
      <c r="BL47" s="259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53"/>
      <c r="BN47" s="252" t="str">
        <f t="array" aca="1" ref="BN47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INDIRECT("'盛付札（関数）'!AO"&amp;BI41))),"")</f>
        <v/>
      </c>
      <c r="BO47" s="253"/>
      <c r="BQ47" s="259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53"/>
      <c r="BS47" s="259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53"/>
      <c r="BU47" s="252" t="str">
        <f t="array" aca="1" ref="BU47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INDIRECT("'盛付札（関数）'!AO"&amp;BP41))),"")</f>
        <v/>
      </c>
      <c r="BV47" s="253"/>
      <c r="BY47" s="259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53"/>
      <c r="CA47" s="259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53"/>
      <c r="CC47" s="252" t="str">
        <f t="array" aca="1" ref="CC47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INDIRECT("'盛付札（関数）'!AO"&amp;BX41))),"")</f>
        <v/>
      </c>
      <c r="CD47" s="253"/>
      <c r="CF47" s="259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53"/>
      <c r="CH47" s="259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53"/>
      <c r="CJ47" s="252" t="str">
        <f t="array" aca="1" ref="CJ47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INDIRECT("'盛付札（関数）'!AO"&amp;CE41))),"")</f>
        <v/>
      </c>
      <c r="CK47" s="253"/>
      <c r="CN47" s="259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53"/>
      <c r="CP47" s="259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53"/>
      <c r="CR47" s="252" t="str">
        <f t="array" aca="1" ref="CR47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INDIRECT("'盛付札（関数）'!AO"&amp;CM41))),"")</f>
        <v/>
      </c>
      <c r="CS47" s="253"/>
      <c r="CU47" s="259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53"/>
      <c r="CW47" s="259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53"/>
      <c r="CY47" s="252" t="str">
        <f t="array" aca="1" ref="CY47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INDIRECT("'盛付札（関数）'!AO"&amp;CT41))),"")</f>
        <v/>
      </c>
      <c r="CZ47" s="253"/>
      <c r="DC47" s="259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53"/>
      <c r="DE47" s="259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53"/>
      <c r="DG47" s="252" t="str">
        <f t="array" aca="1" ref="DG47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INDIRECT("'盛付札（関数）'!AO"&amp;DB41))),"")</f>
        <v/>
      </c>
      <c r="DH47" s="253"/>
      <c r="DJ47" s="259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53"/>
      <c r="DL47" s="259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53"/>
      <c r="DN47" s="252" t="str">
        <f t="array" aca="1" ref="DN47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INDIRECT("'盛付札（関数）'!AO"&amp;DI41))),"")</f>
        <v/>
      </c>
      <c r="DO47" s="253"/>
      <c r="DR47" s="259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53"/>
      <c r="DT47" s="259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53"/>
      <c r="DV47" s="252" t="str">
        <f t="array" aca="1" ref="DV47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INDIRECT("'盛付札（関数）'!AO"&amp;DQ41))),"")</f>
        <v/>
      </c>
      <c r="DW47" s="253"/>
      <c r="DY47" s="259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53"/>
      <c r="EA47" s="259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53"/>
      <c r="EC47" s="252" t="str">
        <f t="array" aca="1" ref="EC47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INDIRECT("'盛付札（関数）'!AO"&amp;DX41))),"")</f>
        <v/>
      </c>
      <c r="ED47" s="253"/>
      <c r="EG47" s="259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53"/>
      <c r="EI47" s="259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53"/>
      <c r="EK47" s="252" t="str">
        <f t="array" aca="1" ref="EK47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INDIRECT("'盛付札（関数）'!AO"&amp;EF41))),"")</f>
        <v/>
      </c>
      <c r="EL47" s="253"/>
      <c r="EN47" s="259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53"/>
      <c r="EP47" s="259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53"/>
      <c r="ER47" s="252" t="str">
        <f t="array" aca="1" ref="ER47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INDIRECT("'盛付札（関数）'!AO"&amp;EM41))),"")</f>
        <v/>
      </c>
      <c r="ES47" s="253"/>
    </row>
  </sheetData>
  <mergeCells count="840"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BU23:BV23"/>
    <mergeCell ref="DZ17:EC17"/>
    <mergeCell ref="EC23:ED23"/>
    <mergeCell ref="BF31:BG31"/>
    <mergeCell ref="Y36:Z37"/>
    <mergeCell ref="R35:S35"/>
    <mergeCell ref="AV3:AW3"/>
    <mergeCell ref="AQ7:AR7"/>
    <mergeCell ref="Y41:AB41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U4:V5"/>
    <mergeCell ref="EH44:EI45"/>
    <mergeCell ref="CC7:CD7"/>
    <mergeCell ref="F23:G23"/>
    <mergeCell ref="EC39:ED39"/>
    <mergeCell ref="BK41:BN41"/>
    <mergeCell ref="DN44:DO4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EI31:EJ31"/>
    <mergeCell ref="BD31:BE31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AF31:AG31"/>
    <mergeCell ref="BZ35:CA35"/>
    <mergeCell ref="B15:C15"/>
    <mergeCell ref="D15:E15"/>
    <mergeCell ref="CV1:CY1"/>
    <mergeCell ref="AY7:AZ7"/>
    <mergeCell ref="D7:E7"/>
    <mergeCell ref="AF15:AG1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AG1:AJ1"/>
    <mergeCell ref="DZ9:EC9"/>
    <mergeCell ref="EK39:EL39"/>
    <mergeCell ref="BS39:BT39"/>
    <mergeCell ref="DS9:DV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DE7:DF7"/>
    <mergeCell ref="DY15:DZ15"/>
    <mergeCell ref="DK36:DL37"/>
    <mergeCell ref="BC4:BD5"/>
    <mergeCell ref="EC4:ED5"/>
    <mergeCell ref="DT23:DU23"/>
    <mergeCell ref="EI39:EJ39"/>
    <mergeCell ref="DD35:DE35"/>
    <mergeCell ref="CA7:CB7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AU15:AV15"/>
    <mergeCell ref="AQ36:AR37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DS36:DT37"/>
    <mergeCell ref="DG12:DH13"/>
    <mergeCell ref="U31:V31"/>
    <mergeCell ref="DY39:DZ39"/>
    <mergeCell ref="AY28:AZ29"/>
    <mergeCell ref="CW23:CX23"/>
    <mergeCell ref="DY31:DZ31"/>
    <mergeCell ref="AQ4:AR5"/>
    <mergeCell ref="AW7:AX7"/>
    <mergeCell ref="BY15:BZ15"/>
    <mergeCell ref="BQ15:BR15"/>
    <mergeCell ref="EO11:EP11"/>
    <mergeCell ref="AY12:AZ13"/>
    <mergeCell ref="Y4:Z5"/>
    <mergeCell ref="ER31:ES31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EH41:EK41"/>
    <mergeCell ref="C12:D13"/>
    <mergeCell ref="I15:J15"/>
    <mergeCell ref="K15:L15"/>
    <mergeCell ref="EH12:EI13"/>
    <mergeCell ref="ER28:ES29"/>
    <mergeCell ref="AG28:AH29"/>
    <mergeCell ref="EO35:EP35"/>
    <mergeCell ref="CU31:CV31"/>
    <mergeCell ref="Y28:Z29"/>
    <mergeCell ref="CW31:CX31"/>
    <mergeCell ref="M47:N47"/>
    <mergeCell ref="R43:S43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CF15:CG15"/>
    <mergeCell ref="BF7:BG7"/>
    <mergeCell ref="DK43:DL43"/>
    <mergeCell ref="CH15:CI15"/>
    <mergeCell ref="BC11:BD11"/>
    <mergeCell ref="BU28:BV29"/>
    <mergeCell ref="Q39:R39"/>
    <mergeCell ref="CG44:CH45"/>
    <mergeCell ref="S39:T39"/>
    <mergeCell ref="CR12:CS13"/>
    <mergeCell ref="AV1:AY1"/>
    <mergeCell ref="AW15:AX15"/>
    <mergeCell ref="AV43:AW43"/>
    <mergeCell ref="M44:N45"/>
    <mergeCell ref="AN33:AQ33"/>
    <mergeCell ref="DG28:DH29"/>
    <mergeCell ref="U47:V47"/>
    <mergeCell ref="DY47:DZ47"/>
    <mergeCell ref="AB20:AC21"/>
    <mergeCell ref="DZ1:EC1"/>
    <mergeCell ref="DC15:DD15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AJ7:AK7"/>
    <mergeCell ref="CO33:CR33"/>
    <mergeCell ref="AG11:AH11"/>
    <mergeCell ref="Y11:Z11"/>
    <mergeCell ref="DZ27:EA27"/>
    <mergeCell ref="EH4:EI5"/>
    <mergeCell ref="BR25:BU25"/>
    <mergeCell ref="C35:D35"/>
    <mergeCell ref="AJ39:AK39"/>
    <mergeCell ref="CR36:CS37"/>
    <mergeCell ref="R9:U9"/>
    <mergeCell ref="DV28:DW29"/>
    <mergeCell ref="DZ28:EA29"/>
    <mergeCell ref="C4:D5"/>
    <mergeCell ref="S31:T31"/>
    <mergeCell ref="J20:K21"/>
    <mergeCell ref="B31:C31"/>
    <mergeCell ref="B23:C23"/>
    <mergeCell ref="X15:Y15"/>
    <mergeCell ref="EP7:EQ7"/>
    <mergeCell ref="EH20:EI21"/>
    <mergeCell ref="BU36:BV37"/>
    <mergeCell ref="BC44:BD45"/>
    <mergeCell ref="M4:N5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DD3:DE3"/>
    <mergeCell ref="CV3:CW3"/>
    <mergeCell ref="EP15:EQ15"/>
    <mergeCell ref="DV39:DW39"/>
    <mergeCell ref="DS43:DT43"/>
    <mergeCell ref="EH3:EI3"/>
    <mergeCell ref="EH17:EK17"/>
    <mergeCell ref="EC15:ED15"/>
    <mergeCell ref="DT7:DU7"/>
    <mergeCell ref="DV7:DW7"/>
    <mergeCell ref="EN39:EO39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O27:CP27"/>
    <mergeCell ref="CJ31:CK31"/>
    <mergeCell ref="BJ23:BK23"/>
    <mergeCell ref="EN15:EO15"/>
    <mergeCell ref="EK28:EL29"/>
    <mergeCell ref="R17:U17"/>
    <mergeCell ref="B47:C47"/>
    <mergeCell ref="AV33:AY33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EG39:EH39"/>
    <mergeCell ref="CV20:CW21"/>
    <mergeCell ref="AY20:AZ21"/>
    <mergeCell ref="CG35:CH35"/>
    <mergeCell ref="EH1:EK1"/>
    <mergeCell ref="Z39:AA39"/>
    <mergeCell ref="J9:M9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BC35:BD35"/>
    <mergeCell ref="CJ47:CK47"/>
    <mergeCell ref="AQ44:AR45"/>
    <mergeCell ref="AW47:AX47"/>
    <mergeCell ref="AY47:AZ47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DN20:DO21"/>
    <mergeCell ref="BQ47:BR47"/>
    <mergeCell ref="AB39:AC39"/>
    <mergeCell ref="AN28:AO29"/>
    <mergeCell ref="AV12:AW13"/>
    <mergeCell ref="DD9:DG9"/>
    <mergeCell ref="BK43:BL43"/>
    <mergeCell ref="BD15:BE15"/>
    <mergeCell ref="BF15:BG15"/>
    <mergeCell ref="EA15:EB15"/>
    <mergeCell ref="DZ4:EA5"/>
    <mergeCell ref="BN31:BO31"/>
    <mergeCell ref="CV33:CY33"/>
    <mergeCell ref="DN28:DO29"/>
    <mergeCell ref="CJ12:CK13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AN17:AQ17"/>
    <mergeCell ref="AO23:AP23"/>
    <mergeCell ref="DK1:DN1"/>
    <mergeCell ref="BN7:BO7"/>
    <mergeCell ref="CP15:CQ15"/>
    <mergeCell ref="R1:U1"/>
    <mergeCell ref="CG4:CH5"/>
    <mergeCell ref="BY7:BZ7"/>
    <mergeCell ref="ER36:ES37"/>
    <mergeCell ref="EH36:EI37"/>
    <mergeCell ref="DZ44:EA45"/>
    <mergeCell ref="CJ4:CK5"/>
    <mergeCell ref="CP7:CQ7"/>
    <mergeCell ref="U36:V37"/>
    <mergeCell ref="BZ28:CA29"/>
    <mergeCell ref="EN31:EO31"/>
    <mergeCell ref="EP31:EQ31"/>
    <mergeCell ref="ER12:ES13"/>
    <mergeCell ref="EP23:EQ23"/>
    <mergeCell ref="AN3:AO3"/>
    <mergeCell ref="BZ1:CC1"/>
    <mergeCell ref="DK17:DN17"/>
    <mergeCell ref="BZ20:CA21"/>
    <mergeCell ref="AV27:AW27"/>
    <mergeCell ref="AV41:AY41"/>
    <mergeCell ref="DZ19:EA19"/>
    <mergeCell ref="J1:M1"/>
    <mergeCell ref="Q31:R31"/>
    <mergeCell ref="CR4:CS5"/>
    <mergeCell ref="DE47:DF47"/>
    <mergeCell ref="DG47:DH47"/>
    <mergeCell ref="CU23:CV23"/>
    <mergeCell ref="DD33:DG33"/>
    <mergeCell ref="BS15:BT15"/>
    <mergeCell ref="AN11:AO11"/>
    <mergeCell ref="BU15:BV15"/>
    <mergeCell ref="BZ36:CA37"/>
    <mergeCell ref="AN25:AQ25"/>
    <mergeCell ref="AJ20:AK21"/>
    <mergeCell ref="J12:K13"/>
    <mergeCell ref="I7:J7"/>
    <mergeCell ref="Q23:R23"/>
    <mergeCell ref="CW47:CX47"/>
    <mergeCell ref="CY47:CZ47"/>
    <mergeCell ref="CA15:CB15"/>
    <mergeCell ref="DD20:DE21"/>
    <mergeCell ref="AB15:AC15"/>
    <mergeCell ref="BZ4:CA5"/>
    <mergeCell ref="CJ36:CK37"/>
    <mergeCell ref="CO19:CP19"/>
    <mergeCell ref="EO20:EP21"/>
    <mergeCell ref="BR44:BS45"/>
    <mergeCell ref="R4:S5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G43:AH43"/>
    <mergeCell ref="DD17:DG17"/>
    <mergeCell ref="AJ31:AK31"/>
    <mergeCell ref="AG35:AH35"/>
    <mergeCell ref="DK4:DL5"/>
    <mergeCell ref="DN36:DO37"/>
    <mergeCell ref="CV44:CW45"/>
    <mergeCell ref="BF4:BG5"/>
    <mergeCell ref="EH19:EI19"/>
    <mergeCell ref="CN15:CO15"/>
    <mergeCell ref="AV28:AW29"/>
    <mergeCell ref="EK7:EL7"/>
    <mergeCell ref="CR15:CS15"/>
    <mergeCell ref="EH33:EK33"/>
    <mergeCell ref="EA31:EB31"/>
    <mergeCell ref="BN47:BO47"/>
    <mergeCell ref="X7:Y7"/>
    <mergeCell ref="EC31:ED31"/>
    <mergeCell ref="Z7:AA7"/>
    <mergeCell ref="I47:J47"/>
    <mergeCell ref="K47:L47"/>
    <mergeCell ref="DV20:DW21"/>
    <mergeCell ref="DL31:DM31"/>
    <mergeCell ref="BR27:BS27"/>
    <mergeCell ref="U44:V45"/>
    <mergeCell ref="DT15:DU15"/>
    <mergeCell ref="M15:N15"/>
    <mergeCell ref="BR41:BU41"/>
    <mergeCell ref="CG20:CH21"/>
    <mergeCell ref="DS44:DT45"/>
    <mergeCell ref="CG12:CH13"/>
    <mergeCell ref="CF39:CG39"/>
    <mergeCell ref="J36:K37"/>
    <mergeCell ref="BR11:BS11"/>
    <mergeCell ref="CH39:CI3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BN20:BO21"/>
    <mergeCell ref="Q47:R47"/>
    <mergeCell ref="R12:S13"/>
    <mergeCell ref="EG23:EH23"/>
    <mergeCell ref="DZ43:EA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BZ41:CC41"/>
    <mergeCell ref="ER44:ES45"/>
    <mergeCell ref="EO33:ER33"/>
    <mergeCell ref="BC1:BF1"/>
    <mergeCell ref="DS4:DT5"/>
    <mergeCell ref="BN4:BO5"/>
    <mergeCell ref="BJ7:BK7"/>
    <mergeCell ref="BL7:BM7"/>
    <mergeCell ref="DR7:DS7"/>
    <mergeCell ref="BZ44:CA45"/>
    <mergeCell ref="DK12:DL13"/>
    <mergeCell ref="DN31:DO31"/>
    <mergeCell ref="BL15:BM15"/>
    <mergeCell ref="BN15:BO15"/>
    <mergeCell ref="AV36:AW37"/>
    <mergeCell ref="EO3:EP3"/>
    <mergeCell ref="EN7:EO7"/>
    <mergeCell ref="EO17:ER17"/>
    <mergeCell ref="DT31:DU31"/>
    <mergeCell ref="BZ27:CA27"/>
    <mergeCell ref="Q7:R7"/>
    <mergeCell ref="BU31:BV31"/>
    <mergeCell ref="DV31:DW31"/>
    <mergeCell ref="AU23:AV23"/>
    <mergeCell ref="U15:V15"/>
    <mergeCell ref="CG28:CH29"/>
    <mergeCell ref="AN9:AQ9"/>
    <mergeCell ref="DK9:DN9"/>
    <mergeCell ref="EC7:ED7"/>
    <mergeCell ref="EK15:EL15"/>
    <mergeCell ref="EO4:EP5"/>
    <mergeCell ref="BQ7:BR7"/>
    <mergeCell ref="EH28:EI29"/>
    <mergeCell ref="EN23:EO23"/>
    <mergeCell ref="CN7:CO7"/>
    <mergeCell ref="AG20:AH21"/>
    <mergeCell ref="CO17:CR17"/>
    <mergeCell ref="AJ4:AK5"/>
    <mergeCell ref="AB28:AC29"/>
    <mergeCell ref="CU47:CV47"/>
    <mergeCell ref="EC12:ED13"/>
    <mergeCell ref="AV25:AY25"/>
    <mergeCell ref="BN36:BO37"/>
    <mergeCell ref="DK28:DL29"/>
    <mergeCell ref="DZ11:EA11"/>
    <mergeCell ref="BK12:BL13"/>
    <mergeCell ref="AB44:AC45"/>
    <mergeCell ref="EI15:EJ15"/>
    <mergeCell ref="EH43:EI43"/>
    <mergeCell ref="CP39:CQ39"/>
    <mergeCell ref="BK35:BL35"/>
    <mergeCell ref="DK11:DL11"/>
    <mergeCell ref="CR47:CS47"/>
    <mergeCell ref="AM47:AN47"/>
    <mergeCell ref="DT39:DU39"/>
    <mergeCell ref="DD11:DE11"/>
    <mergeCell ref="AG25:AJ25"/>
    <mergeCell ref="BK44:BL45"/>
    <mergeCell ref="DD25:DG25"/>
    <mergeCell ref="BB31:BC31"/>
    <mergeCell ref="BC41:BF41"/>
    <mergeCell ref="DV47:DW47"/>
    <mergeCell ref="DK20:DL21"/>
    <mergeCell ref="EC20:ED21"/>
    <mergeCell ref="J33:M33"/>
    <mergeCell ref="EH27:EI27"/>
    <mergeCell ref="DC23:DD23"/>
    <mergeCell ref="DD43:DE43"/>
    <mergeCell ref="F15:G15"/>
    <mergeCell ref="AV11:AW11"/>
    <mergeCell ref="BB39:BC39"/>
    <mergeCell ref="BD39:BE39"/>
    <mergeCell ref="F12:G13"/>
    <mergeCell ref="F20:G21"/>
    <mergeCell ref="J19:K19"/>
    <mergeCell ref="S23:T23"/>
    <mergeCell ref="BF20:BG21"/>
    <mergeCell ref="DK33:DN33"/>
    <mergeCell ref="F31:G31"/>
    <mergeCell ref="DZ25:EC25"/>
    <mergeCell ref="CJ23:CK23"/>
    <mergeCell ref="DK44:DL45"/>
    <mergeCell ref="BU4:BV5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R41:U41"/>
    <mergeCell ref="S47:T47"/>
    <mergeCell ref="DV4:DW5"/>
    <mergeCell ref="J27:K27"/>
    <mergeCell ref="BC28:BD29"/>
    <mergeCell ref="CW15:CX15"/>
    <mergeCell ref="CY15:CZ15"/>
    <mergeCell ref="CG36:CH37"/>
    <mergeCell ref="AH39:AI39"/>
    <mergeCell ref="BY47:BZ47"/>
    <mergeCell ref="AV19:AW19"/>
    <mergeCell ref="AY44:AZ45"/>
    <mergeCell ref="Y12:Z13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DJ7:DK7"/>
    <mergeCell ref="CR28:CS29"/>
    <mergeCell ref="AW23:AX23"/>
    <mergeCell ref="BC20:BD21"/>
    <mergeCell ref="DS17:DV17"/>
    <mergeCell ref="AN35:AO35"/>
    <mergeCell ref="CO35:CP35"/>
    <mergeCell ref="AU31:AV31"/>
    <mergeCell ref="BU39:BV39"/>
    <mergeCell ref="BC9:BF9"/>
    <mergeCell ref="CH47:CI47"/>
    <mergeCell ref="BU20:BV21"/>
    <mergeCell ref="Y9:AB9"/>
    <mergeCell ref="CY36:CZ37"/>
    <mergeCell ref="AN43:AO43"/>
    <mergeCell ref="CO20:CP21"/>
    <mergeCell ref="EO27:EP27"/>
    <mergeCell ref="DJ23:DK23"/>
    <mergeCell ref="BC36:BD37"/>
    <mergeCell ref="DS33:DV33"/>
    <mergeCell ref="BR19:BS19"/>
    <mergeCell ref="X47:Y47"/>
    <mergeCell ref="Z47:AA47"/>
    <mergeCell ref="X31:Y31"/>
    <mergeCell ref="Z31:AA31"/>
    <mergeCell ref="DK25:DN25"/>
    <mergeCell ref="DR15:DS15"/>
    <mergeCell ref="CJ44:CK45"/>
    <mergeCell ref="X39:Y39"/>
    <mergeCell ref="DK27:DL27"/>
    <mergeCell ref="AJ28:AK29"/>
    <mergeCell ref="CY12:CZ13"/>
    <mergeCell ref="DK41:DN41"/>
    <mergeCell ref="CY20:CZ21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DG15:DH15"/>
    <mergeCell ref="CV25:CY25"/>
    <mergeCell ref="BL39:BM39"/>
    <mergeCell ref="DD19:DE19"/>
    <mergeCell ref="DC47:DD47"/>
    <mergeCell ref="BN39:BO39"/>
    <mergeCell ref="AV9:AY9"/>
    <mergeCell ref="DD44:DE45"/>
    <mergeCell ref="AV35:AW35"/>
    <mergeCell ref="EO12:EP13"/>
    <mergeCell ref="AO7:AP7"/>
    <mergeCell ref="BF44:BG45"/>
    <mergeCell ref="J35:K35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F36:G37"/>
    <mergeCell ref="AQ39:AR39"/>
    <mergeCell ref="M39:N39"/>
    <mergeCell ref="AH23:AI23"/>
    <mergeCell ref="AJ23:AK23"/>
    <mergeCell ref="AG12:AH13"/>
    <mergeCell ref="R25:U25"/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D23:E23"/>
    <mergeCell ref="BS7:BT7"/>
    <mergeCell ref="BU7:BV7"/>
    <mergeCell ref="CY4:CZ5"/>
    <mergeCell ref="BB7:BC7"/>
    <mergeCell ref="BD7:BE7"/>
    <mergeCell ref="F7:G7"/>
    <mergeCell ref="AF7:AG7"/>
    <mergeCell ref="AH7:AI7"/>
    <mergeCell ref="CF7:CG7"/>
    <mergeCell ref="C19:D19"/>
    <mergeCell ref="B7:C7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pageSetUpPr fitToPage="1"/>
  </sheetPr>
  <dimension ref="A1:AN154"/>
  <sheetViews>
    <sheetView zoomScale="50" zoomScaleNormal="50" workbookViewId="0">
      <pane xSplit="1" ySplit="5" topLeftCell="B6" activePane="bottomRight" state="frozen"/>
      <selection activeCell="C48" sqref="C48"/>
      <selection pane="topRight" activeCell="C48" sqref="C48"/>
      <selection pane="bottomLeft" activeCell="C48" sqref="C48"/>
      <selection pane="bottomRight" sqref="A1:XFD1048576"/>
    </sheetView>
  </sheetViews>
  <sheetFormatPr defaultRowHeight="16.2" customHeight="1"/>
  <cols>
    <col min="1" max="1" width="26.69921875" style="128" customWidth="1"/>
    <col min="2" max="2" width="10.59765625" style="67" customWidth="1"/>
    <col min="3" max="3" width="5.09765625" style="67" customWidth="1"/>
    <col min="4" max="4" width="10.59765625" style="67" customWidth="1"/>
    <col min="5" max="5" width="5.09765625" style="67" customWidth="1"/>
    <col min="6" max="6" width="10.8984375" style="68" customWidth="1"/>
    <col min="7" max="7" width="5.09765625" style="67" customWidth="1"/>
    <col min="8" max="8" width="10.59765625" style="67" customWidth="1"/>
    <col min="9" max="9" width="5.09765625" style="67" customWidth="1"/>
    <col min="10" max="10" width="10.59765625" style="67" customWidth="1"/>
    <col min="11" max="11" width="5.09765625" style="67" customWidth="1"/>
    <col min="12" max="12" width="10.59765625" style="68" customWidth="1"/>
    <col min="13" max="13" width="5.09765625" style="67" customWidth="1"/>
    <col min="14" max="14" width="10.59765625" style="67" customWidth="1"/>
    <col min="15" max="15" width="5.09765625" style="67" customWidth="1"/>
    <col min="16" max="16" width="10.59765625" style="67" customWidth="1"/>
    <col min="17" max="17" width="5.09765625" style="67" customWidth="1"/>
    <col min="18" max="18" width="10.59765625" style="67" customWidth="1"/>
    <col min="19" max="19" width="5.09765625" style="67" customWidth="1"/>
    <col min="20" max="20" width="10.59765625" style="67" customWidth="1"/>
    <col min="21" max="21" width="5.09765625" style="67" customWidth="1"/>
    <col min="22" max="22" width="10.59765625" style="71" customWidth="1"/>
    <col min="23" max="23" width="5.09765625" style="69" customWidth="1"/>
    <col min="24" max="24" width="10.59765625" style="111" customWidth="1"/>
    <col min="25" max="25" width="5.09765625" style="67" customWidth="1"/>
    <col min="26" max="26" width="10.59765625" style="71" customWidth="1"/>
    <col min="27" max="27" width="5.8984375" style="69" customWidth="1"/>
    <col min="28" max="28" width="10.59765625" style="111" customWidth="1"/>
    <col min="29" max="29" width="5.09765625" style="67" customWidth="1"/>
    <col min="30" max="30" width="10.59765625" style="71" customWidth="1"/>
    <col min="31" max="31" width="5.09765625" style="69" customWidth="1"/>
    <col min="32" max="32" width="10.59765625" style="111" customWidth="1"/>
    <col min="33" max="33" width="5.09765625" style="67" customWidth="1"/>
    <col min="34" max="34" width="10.59765625" style="71" customWidth="1"/>
    <col min="35" max="35" width="5.09765625" style="69" customWidth="1"/>
    <col min="36" max="36" width="10.59765625" style="111" customWidth="1"/>
    <col min="37" max="37" width="5.09765625" style="67" customWidth="1"/>
    <col min="38" max="38" width="11.3984375" style="72" customWidth="1"/>
    <col min="39" max="39" width="32.796875" style="128" customWidth="1"/>
    <col min="40" max="40" width="27.69921875" style="128" customWidth="1"/>
    <col min="41" max="61" width="8.796875" style="66" customWidth="1"/>
    <col min="62" max="16384" width="8.796875" style="66"/>
  </cols>
  <sheetData>
    <row r="1" spans="1:40" s="122" customFormat="1" ht="16.2" customHeight="1">
      <c r="B1" s="156"/>
      <c r="C1" s="156"/>
      <c r="D1" s="156"/>
      <c r="E1" s="156"/>
      <c r="F1" s="157"/>
      <c r="G1" s="156"/>
      <c r="H1" s="156"/>
      <c r="I1" s="156"/>
      <c r="J1" s="156"/>
      <c r="K1" s="156"/>
      <c r="L1" s="157"/>
      <c r="M1" s="156"/>
      <c r="N1" s="156"/>
      <c r="O1" s="156"/>
      <c r="P1" s="156"/>
      <c r="Q1" s="156"/>
      <c r="R1" s="156"/>
      <c r="S1" s="156"/>
      <c r="T1" s="156"/>
      <c r="U1" s="156"/>
      <c r="V1" s="157"/>
      <c r="W1" s="158"/>
      <c r="X1" s="156"/>
      <c r="Y1" s="156"/>
      <c r="Z1" s="157"/>
      <c r="AA1" s="218"/>
      <c r="AB1" s="156"/>
      <c r="AC1" s="156"/>
      <c r="AD1" s="157"/>
      <c r="AE1" s="158"/>
      <c r="AF1" s="156"/>
      <c r="AG1" s="156"/>
      <c r="AH1" s="157"/>
      <c r="AI1" s="158"/>
      <c r="AJ1" s="156"/>
      <c r="AK1" s="219"/>
      <c r="AL1" s="220"/>
      <c r="AM1" s="161"/>
    </row>
    <row r="2" spans="1:40" s="122" customFormat="1" ht="16.2" customHeight="1">
      <c r="B2" s="156"/>
      <c r="C2" s="156"/>
      <c r="D2" s="156"/>
      <c r="E2" s="156"/>
      <c r="F2" s="157"/>
      <c r="G2" s="156"/>
      <c r="H2" s="156"/>
      <c r="I2" s="156"/>
      <c r="J2" s="156"/>
      <c r="K2" s="156"/>
      <c r="L2" s="157"/>
      <c r="M2" s="156"/>
      <c r="N2" s="156"/>
      <c r="O2" s="156"/>
      <c r="P2" s="156"/>
      <c r="Q2" s="156"/>
      <c r="R2" s="156"/>
      <c r="S2" s="156"/>
      <c r="T2" s="156"/>
      <c r="U2" s="156"/>
      <c r="V2" s="157"/>
      <c r="W2" s="158"/>
      <c r="X2" s="156"/>
      <c r="Y2" s="156"/>
      <c r="Z2" s="157"/>
      <c r="AA2" s="158"/>
      <c r="AB2" s="156"/>
      <c r="AC2" s="156"/>
      <c r="AD2" s="157"/>
      <c r="AE2" s="158"/>
      <c r="AF2" s="156"/>
      <c r="AG2" s="156"/>
      <c r="AH2" s="162"/>
      <c r="AI2" s="158"/>
      <c r="AJ2" s="156"/>
      <c r="AK2" s="156"/>
      <c r="AL2" s="163"/>
    </row>
    <row r="3" spans="1:40" s="122" customFormat="1" ht="16.2" customHeight="1">
      <c r="A3" s="123"/>
      <c r="B3" s="133"/>
      <c r="C3" s="134"/>
      <c r="D3" s="135"/>
      <c r="E3" s="136"/>
      <c r="F3" s="137"/>
      <c r="G3" s="138"/>
      <c r="H3" s="138"/>
      <c r="I3" s="138"/>
      <c r="J3" s="138"/>
      <c r="K3" s="138"/>
      <c r="L3" s="173"/>
      <c r="M3" s="138"/>
      <c r="N3" s="138"/>
      <c r="O3" s="138"/>
      <c r="P3" s="138"/>
      <c r="Q3" s="138"/>
      <c r="R3" s="138"/>
      <c r="S3" s="138"/>
      <c r="T3" s="138"/>
      <c r="U3" s="138"/>
      <c r="V3" s="140"/>
      <c r="W3" s="139"/>
      <c r="X3" s="141"/>
      <c r="Y3" s="139"/>
      <c r="Z3" s="140"/>
      <c r="AA3" s="139"/>
      <c r="AB3" s="141"/>
      <c r="AC3" s="139"/>
      <c r="AD3" s="140"/>
      <c r="AE3" s="139"/>
      <c r="AF3" s="142"/>
      <c r="AG3" s="143"/>
      <c r="AH3" s="140"/>
      <c r="AI3" s="139"/>
      <c r="AJ3" s="142"/>
      <c r="AK3" s="143"/>
      <c r="AL3" s="144"/>
      <c r="AM3" s="145"/>
      <c r="AN3" s="146"/>
    </row>
    <row r="4" spans="1:40" s="122" customFormat="1" ht="16.2" customHeight="1">
      <c r="A4" s="124"/>
      <c r="B4" s="147"/>
      <c r="C4" s="147"/>
      <c r="D4" s="147"/>
      <c r="E4" s="142"/>
      <c r="F4" s="148"/>
      <c r="G4" s="147"/>
      <c r="H4" s="147"/>
      <c r="I4" s="147"/>
      <c r="J4" s="147"/>
      <c r="K4" s="142"/>
      <c r="L4" s="148"/>
      <c r="M4" s="147"/>
      <c r="N4" s="147"/>
      <c r="O4" s="147"/>
      <c r="P4" s="147"/>
      <c r="Q4" s="147"/>
      <c r="R4" s="147"/>
      <c r="S4" s="147"/>
      <c r="T4" s="147"/>
      <c r="U4" s="142"/>
      <c r="V4" s="150"/>
      <c r="W4" s="149"/>
      <c r="X4" s="151"/>
      <c r="Y4" s="142"/>
      <c r="Z4" s="152"/>
      <c r="AA4" s="149"/>
      <c r="AB4" s="151"/>
      <c r="AC4" s="142"/>
      <c r="AD4" s="152"/>
      <c r="AE4" s="149"/>
      <c r="AF4" s="151"/>
      <c r="AG4" s="142"/>
      <c r="AH4" s="152"/>
      <c r="AI4" s="149"/>
      <c r="AJ4" s="151"/>
      <c r="AK4" s="142"/>
      <c r="AL4" s="153"/>
      <c r="AM4" s="154"/>
      <c r="AN4" s="155"/>
    </row>
    <row r="5" spans="1:40" ht="16.2" customHeight="1">
      <c r="A5" s="125"/>
      <c r="B5" s="73"/>
      <c r="C5" s="73"/>
      <c r="D5" s="73"/>
      <c r="E5" s="74"/>
      <c r="F5" s="75"/>
      <c r="G5" s="73"/>
      <c r="H5" s="73"/>
      <c r="I5" s="73"/>
      <c r="J5" s="73"/>
      <c r="K5" s="74"/>
      <c r="L5" s="75"/>
      <c r="M5" s="73"/>
      <c r="N5" s="73"/>
      <c r="O5" s="73"/>
      <c r="P5" s="73"/>
      <c r="Q5" s="73"/>
      <c r="R5" s="73"/>
      <c r="S5" s="73"/>
      <c r="T5" s="73"/>
      <c r="U5" s="74"/>
      <c r="V5" s="75"/>
      <c r="W5" s="76"/>
      <c r="X5" s="73"/>
      <c r="Y5" s="74"/>
      <c r="Z5" s="75"/>
      <c r="AA5" s="76"/>
      <c r="AB5" s="73"/>
      <c r="AC5" s="74"/>
      <c r="AD5" s="75"/>
      <c r="AE5" s="76"/>
      <c r="AF5" s="73"/>
      <c r="AG5" s="74"/>
      <c r="AH5" s="75"/>
      <c r="AI5" s="76"/>
      <c r="AJ5" s="73"/>
      <c r="AK5" s="74"/>
      <c r="AL5" s="77"/>
      <c r="AM5" s="154"/>
      <c r="AN5" s="155"/>
    </row>
    <row r="6" spans="1:40" ht="16.2" customHeight="1">
      <c r="A6" s="126"/>
      <c r="B6" s="114"/>
      <c r="C6" s="78"/>
      <c r="D6" s="114"/>
      <c r="E6" s="78"/>
      <c r="F6" s="116"/>
      <c r="G6" s="78"/>
      <c r="H6" s="114"/>
      <c r="I6" s="78"/>
      <c r="J6" s="114"/>
      <c r="K6" s="78"/>
      <c r="L6" s="116"/>
      <c r="M6" s="78"/>
      <c r="N6" s="114"/>
      <c r="O6" s="78"/>
      <c r="P6" s="114"/>
      <c r="Q6" s="78"/>
      <c r="R6" s="114"/>
      <c r="S6" s="78"/>
      <c r="T6" s="114"/>
      <c r="U6" s="78"/>
      <c r="V6" s="116"/>
      <c r="W6" s="78"/>
      <c r="X6" s="116"/>
      <c r="Y6" s="78"/>
      <c r="Z6" s="116"/>
      <c r="AA6" s="221"/>
      <c r="AB6" s="115"/>
      <c r="AC6" s="78"/>
      <c r="AD6" s="116"/>
      <c r="AE6" s="78"/>
      <c r="AF6" s="116"/>
      <c r="AG6" s="78"/>
      <c r="AH6" s="116"/>
      <c r="AI6" s="221"/>
      <c r="AJ6" s="115"/>
      <c r="AK6" s="78"/>
      <c r="AL6" s="83"/>
      <c r="AM6" s="164"/>
      <c r="AN6" s="165"/>
    </row>
    <row r="7" spans="1:40" ht="16.2" customHeight="1">
      <c r="A7" s="127"/>
      <c r="B7" s="80"/>
      <c r="C7" s="80"/>
      <c r="D7" s="80"/>
      <c r="E7" s="80"/>
      <c r="F7" s="84"/>
      <c r="G7" s="80"/>
      <c r="H7" s="80"/>
      <c r="I7" s="80"/>
      <c r="J7" s="80"/>
      <c r="K7" s="80"/>
      <c r="L7" s="84"/>
      <c r="M7" s="80"/>
      <c r="N7" s="80"/>
      <c r="O7" s="80"/>
      <c r="P7" s="80"/>
      <c r="Q7" s="80"/>
      <c r="R7" s="80"/>
      <c r="S7" s="80"/>
      <c r="T7" s="80"/>
      <c r="U7" s="80"/>
      <c r="V7" s="84"/>
      <c r="W7" s="80"/>
      <c r="X7" s="84"/>
      <c r="Y7" s="80"/>
      <c r="Z7" s="84"/>
      <c r="AA7" s="118"/>
      <c r="AB7" s="85"/>
      <c r="AC7" s="80"/>
      <c r="AD7" s="84"/>
      <c r="AE7" s="80"/>
      <c r="AF7" s="84"/>
      <c r="AG7" s="80"/>
      <c r="AH7" s="84"/>
      <c r="AI7" s="118"/>
      <c r="AJ7" s="85"/>
      <c r="AK7" s="80"/>
      <c r="AL7" s="86"/>
      <c r="AM7" s="166"/>
      <c r="AN7" s="167"/>
    </row>
    <row r="8" spans="1:40" ht="16.2" customHeight="1">
      <c r="A8" s="126"/>
      <c r="B8" s="114"/>
      <c r="C8" s="78"/>
      <c r="D8" s="114"/>
      <c r="E8" s="78"/>
      <c r="F8" s="116"/>
      <c r="G8" s="78"/>
      <c r="H8" s="114"/>
      <c r="I8" s="78"/>
      <c r="J8" s="114"/>
      <c r="K8" s="78"/>
      <c r="L8" s="116"/>
      <c r="M8" s="78"/>
      <c r="N8" s="114"/>
      <c r="O8" s="78"/>
      <c r="P8" s="114"/>
      <c r="Q8" s="78"/>
      <c r="R8" s="114"/>
      <c r="S8" s="78"/>
      <c r="T8" s="114"/>
      <c r="U8" s="78"/>
      <c r="V8" s="116"/>
      <c r="W8" s="78"/>
      <c r="X8" s="116"/>
      <c r="Y8" s="78"/>
      <c r="Z8" s="116"/>
      <c r="AA8" s="221"/>
      <c r="AB8" s="115"/>
      <c r="AC8" s="78"/>
      <c r="AD8" s="116"/>
      <c r="AE8" s="78"/>
      <c r="AF8" s="116"/>
      <c r="AG8" s="78"/>
      <c r="AH8" s="116"/>
      <c r="AI8" s="221"/>
      <c r="AJ8" s="115"/>
      <c r="AK8" s="78"/>
      <c r="AL8" s="83"/>
      <c r="AM8" s="164"/>
      <c r="AN8" s="165"/>
    </row>
    <row r="9" spans="1:40" ht="16.2" customHeight="1">
      <c r="A9" s="127"/>
      <c r="B9" s="80"/>
      <c r="C9" s="80"/>
      <c r="D9" s="80"/>
      <c r="E9" s="80"/>
      <c r="F9" s="84"/>
      <c r="G9" s="80"/>
      <c r="H9" s="80"/>
      <c r="I9" s="80"/>
      <c r="J9" s="80"/>
      <c r="K9" s="80"/>
      <c r="L9" s="84"/>
      <c r="M9" s="80"/>
      <c r="N9" s="80"/>
      <c r="O9" s="80"/>
      <c r="P9" s="80"/>
      <c r="Q9" s="80"/>
      <c r="R9" s="80"/>
      <c r="S9" s="80"/>
      <c r="T9" s="80"/>
      <c r="U9" s="80"/>
      <c r="V9" s="84"/>
      <c r="W9" s="80"/>
      <c r="X9" s="84"/>
      <c r="Y9" s="80"/>
      <c r="Z9" s="84"/>
      <c r="AA9" s="118"/>
      <c r="AB9" s="85"/>
      <c r="AC9" s="80"/>
      <c r="AD9" s="84"/>
      <c r="AE9" s="80"/>
      <c r="AF9" s="84"/>
      <c r="AG9" s="80"/>
      <c r="AH9" s="84"/>
      <c r="AI9" s="118"/>
      <c r="AJ9" s="85"/>
      <c r="AK9" s="80"/>
      <c r="AL9" s="86"/>
      <c r="AM9" s="166"/>
      <c r="AN9" s="167"/>
    </row>
    <row r="10" spans="1:40" ht="16.2" customHeight="1">
      <c r="A10" s="126"/>
      <c r="B10" s="114"/>
      <c r="C10" s="78"/>
      <c r="D10" s="114"/>
      <c r="E10" s="78"/>
      <c r="F10" s="116"/>
      <c r="G10" s="78"/>
      <c r="H10" s="114"/>
      <c r="I10" s="78"/>
      <c r="J10" s="114"/>
      <c r="K10" s="78"/>
      <c r="L10" s="116"/>
      <c r="M10" s="78"/>
      <c r="N10" s="114"/>
      <c r="O10" s="78"/>
      <c r="P10" s="114"/>
      <c r="Q10" s="78"/>
      <c r="R10" s="114"/>
      <c r="S10" s="78"/>
      <c r="T10" s="114"/>
      <c r="U10" s="78"/>
      <c r="V10" s="116"/>
      <c r="W10" s="78"/>
      <c r="X10" s="116"/>
      <c r="Y10" s="78"/>
      <c r="Z10" s="116"/>
      <c r="AA10" s="222"/>
      <c r="AB10" s="115"/>
      <c r="AC10" s="78"/>
      <c r="AD10" s="116"/>
      <c r="AE10" s="78"/>
      <c r="AF10" s="116"/>
      <c r="AG10" s="78"/>
      <c r="AH10" s="116"/>
      <c r="AI10" s="221"/>
      <c r="AJ10" s="115"/>
      <c r="AK10" s="78"/>
      <c r="AL10" s="83"/>
      <c r="AM10" s="164"/>
      <c r="AN10" s="165"/>
    </row>
    <row r="11" spans="1:40" ht="16.2" customHeight="1">
      <c r="A11" s="127"/>
      <c r="B11" s="80"/>
      <c r="C11" s="80"/>
      <c r="D11" s="80"/>
      <c r="E11" s="80"/>
      <c r="F11" s="84"/>
      <c r="G11" s="80"/>
      <c r="H11" s="80"/>
      <c r="I11" s="80"/>
      <c r="J11" s="80"/>
      <c r="K11" s="80"/>
      <c r="L11" s="84"/>
      <c r="M11" s="80"/>
      <c r="N11" s="80"/>
      <c r="O11" s="80"/>
      <c r="P11" s="80"/>
      <c r="Q11" s="80"/>
      <c r="R11" s="80"/>
      <c r="S11" s="80"/>
      <c r="T11" s="80"/>
      <c r="U11" s="80"/>
      <c r="V11" s="84"/>
      <c r="W11" s="80"/>
      <c r="X11" s="84"/>
      <c r="Y11" s="80"/>
      <c r="Z11" s="84"/>
      <c r="AA11" s="118"/>
      <c r="AB11" s="85"/>
      <c r="AC11" s="80"/>
      <c r="AD11" s="84"/>
      <c r="AE11" s="80"/>
      <c r="AF11" s="84"/>
      <c r="AG11" s="80"/>
      <c r="AH11" s="84"/>
      <c r="AI11" s="118"/>
      <c r="AJ11" s="85"/>
      <c r="AK11" s="80"/>
      <c r="AL11" s="86"/>
      <c r="AM11" s="166"/>
      <c r="AN11" s="167"/>
    </row>
    <row r="12" spans="1:40" ht="16.2" customHeight="1">
      <c r="A12" s="126"/>
      <c r="B12" s="114"/>
      <c r="C12" s="78"/>
      <c r="D12" s="114"/>
      <c r="E12" s="78"/>
      <c r="F12" s="116"/>
      <c r="G12" s="78"/>
      <c r="H12" s="114"/>
      <c r="I12" s="78"/>
      <c r="J12" s="114"/>
      <c r="K12" s="78"/>
      <c r="L12" s="116"/>
      <c r="M12" s="78"/>
      <c r="N12" s="114"/>
      <c r="O12" s="78"/>
      <c r="P12" s="114"/>
      <c r="Q12" s="78"/>
      <c r="R12" s="114"/>
      <c r="S12" s="78"/>
      <c r="T12" s="114"/>
      <c r="U12" s="78"/>
      <c r="V12" s="116"/>
      <c r="W12" s="78"/>
      <c r="X12" s="116"/>
      <c r="Y12" s="78"/>
      <c r="Z12" s="116"/>
      <c r="AA12" s="222"/>
      <c r="AB12" s="115"/>
      <c r="AC12" s="78"/>
      <c r="AD12" s="116"/>
      <c r="AE12" s="78"/>
      <c r="AF12" s="116"/>
      <c r="AG12" s="78"/>
      <c r="AH12" s="116"/>
      <c r="AI12" s="221"/>
      <c r="AJ12" s="115"/>
      <c r="AK12" s="78"/>
      <c r="AL12" s="83"/>
      <c r="AM12" s="164"/>
      <c r="AN12" s="165"/>
    </row>
    <row r="13" spans="1:40" ht="16.2" customHeight="1">
      <c r="A13" s="127"/>
      <c r="B13" s="80"/>
      <c r="C13" s="80"/>
      <c r="D13" s="80"/>
      <c r="E13" s="80"/>
      <c r="F13" s="84"/>
      <c r="G13" s="80"/>
      <c r="H13" s="80"/>
      <c r="I13" s="80"/>
      <c r="J13" s="80"/>
      <c r="K13" s="80"/>
      <c r="L13" s="84"/>
      <c r="M13" s="80"/>
      <c r="N13" s="80"/>
      <c r="O13" s="80"/>
      <c r="P13" s="80"/>
      <c r="Q13" s="80"/>
      <c r="R13" s="80"/>
      <c r="S13" s="80"/>
      <c r="T13" s="80"/>
      <c r="U13" s="80"/>
      <c r="V13" s="84"/>
      <c r="W13" s="80"/>
      <c r="X13" s="84"/>
      <c r="Y13" s="80"/>
      <c r="Z13" s="84"/>
      <c r="AA13" s="118"/>
      <c r="AB13" s="85"/>
      <c r="AC13" s="80"/>
      <c r="AD13" s="84"/>
      <c r="AE13" s="80"/>
      <c r="AF13" s="84"/>
      <c r="AG13" s="80"/>
      <c r="AH13" s="84"/>
      <c r="AI13" s="118"/>
      <c r="AJ13" s="85"/>
      <c r="AK13" s="80"/>
      <c r="AL13" s="86"/>
      <c r="AM13" s="166"/>
      <c r="AN13" s="167"/>
    </row>
    <row r="14" spans="1:40" ht="16.2" customHeight="1">
      <c r="A14" s="126"/>
      <c r="B14" s="114"/>
      <c r="C14" s="78"/>
      <c r="D14" s="114"/>
      <c r="E14" s="78"/>
      <c r="F14" s="116"/>
      <c r="G14" s="78"/>
      <c r="H14" s="114"/>
      <c r="I14" s="78"/>
      <c r="J14" s="114"/>
      <c r="K14" s="78"/>
      <c r="L14" s="116"/>
      <c r="M14" s="78"/>
      <c r="N14" s="114"/>
      <c r="O14" s="78"/>
      <c r="P14" s="114"/>
      <c r="Q14" s="78"/>
      <c r="R14" s="114"/>
      <c r="S14" s="78"/>
      <c r="T14" s="114"/>
      <c r="U14" s="78"/>
      <c r="V14" s="116"/>
      <c r="W14" s="78"/>
      <c r="X14" s="116"/>
      <c r="Y14" s="78"/>
      <c r="Z14" s="116"/>
      <c r="AA14" s="222"/>
      <c r="AB14" s="115"/>
      <c r="AC14" s="78"/>
      <c r="AD14" s="116"/>
      <c r="AE14" s="78"/>
      <c r="AF14" s="116"/>
      <c r="AG14" s="78"/>
      <c r="AH14" s="116"/>
      <c r="AI14" s="221"/>
      <c r="AJ14" s="115"/>
      <c r="AK14" s="78"/>
      <c r="AL14" s="83"/>
      <c r="AM14" s="164"/>
      <c r="AN14" s="165"/>
    </row>
    <row r="15" spans="1:40" ht="16.2" customHeight="1">
      <c r="A15" s="127"/>
      <c r="B15" s="80"/>
      <c r="C15" s="80"/>
      <c r="D15" s="80"/>
      <c r="E15" s="80"/>
      <c r="F15" s="84"/>
      <c r="G15" s="80"/>
      <c r="H15" s="80"/>
      <c r="I15" s="80"/>
      <c r="J15" s="80"/>
      <c r="K15" s="80"/>
      <c r="L15" s="84"/>
      <c r="M15" s="80"/>
      <c r="N15" s="80"/>
      <c r="O15" s="80"/>
      <c r="P15" s="80"/>
      <c r="Q15" s="80"/>
      <c r="R15" s="80"/>
      <c r="S15" s="80"/>
      <c r="T15" s="80"/>
      <c r="U15" s="80"/>
      <c r="V15" s="84"/>
      <c r="W15" s="80"/>
      <c r="X15" s="84"/>
      <c r="Y15" s="80"/>
      <c r="Z15" s="84"/>
      <c r="AA15" s="118"/>
      <c r="AB15" s="85"/>
      <c r="AC15" s="80"/>
      <c r="AD15" s="84"/>
      <c r="AE15" s="80"/>
      <c r="AF15" s="84"/>
      <c r="AG15" s="80"/>
      <c r="AH15" s="84"/>
      <c r="AI15" s="118"/>
      <c r="AJ15" s="85"/>
      <c r="AK15" s="80"/>
      <c r="AL15" s="86"/>
      <c r="AM15" s="166"/>
      <c r="AN15" s="167"/>
    </row>
    <row r="16" spans="1:40" ht="16.2" customHeight="1">
      <c r="A16" s="126"/>
      <c r="B16" s="114"/>
      <c r="C16" s="78"/>
      <c r="D16" s="114"/>
      <c r="E16" s="78"/>
      <c r="F16" s="116"/>
      <c r="G16" s="78"/>
      <c r="H16" s="114"/>
      <c r="I16" s="78"/>
      <c r="J16" s="114"/>
      <c r="K16" s="78"/>
      <c r="L16" s="116"/>
      <c r="M16" s="78"/>
      <c r="N16" s="114"/>
      <c r="O16" s="78"/>
      <c r="P16" s="114"/>
      <c r="Q16" s="78"/>
      <c r="R16" s="114"/>
      <c r="S16" s="78"/>
      <c r="T16" s="114"/>
      <c r="U16" s="78"/>
      <c r="V16" s="116"/>
      <c r="W16" s="78"/>
      <c r="X16" s="116"/>
      <c r="Y16" s="78"/>
      <c r="Z16" s="116"/>
      <c r="AA16" s="221"/>
      <c r="AB16" s="115"/>
      <c r="AC16" s="78"/>
      <c r="AD16" s="116"/>
      <c r="AE16" s="78"/>
      <c r="AF16" s="116"/>
      <c r="AG16" s="78"/>
      <c r="AH16" s="116"/>
      <c r="AI16" s="221"/>
      <c r="AJ16" s="115"/>
      <c r="AK16" s="78"/>
      <c r="AL16" s="83"/>
      <c r="AM16" s="164"/>
      <c r="AN16" s="165"/>
    </row>
    <row r="17" spans="1:40" ht="16.2" customHeight="1">
      <c r="A17" s="127"/>
      <c r="B17" s="80"/>
      <c r="C17" s="80"/>
      <c r="D17" s="80"/>
      <c r="E17" s="80"/>
      <c r="F17" s="84"/>
      <c r="G17" s="80"/>
      <c r="H17" s="80"/>
      <c r="I17" s="80"/>
      <c r="J17" s="80"/>
      <c r="K17" s="80"/>
      <c r="L17" s="84"/>
      <c r="M17" s="80"/>
      <c r="N17" s="80"/>
      <c r="O17" s="80"/>
      <c r="P17" s="80"/>
      <c r="Q17" s="80"/>
      <c r="R17" s="80"/>
      <c r="S17" s="80"/>
      <c r="T17" s="80"/>
      <c r="U17" s="80"/>
      <c r="V17" s="84"/>
      <c r="W17" s="80"/>
      <c r="X17" s="84"/>
      <c r="Y17" s="80"/>
      <c r="Z17" s="84"/>
      <c r="AA17" s="118"/>
      <c r="AB17" s="85"/>
      <c r="AC17" s="80"/>
      <c r="AD17" s="84"/>
      <c r="AE17" s="80"/>
      <c r="AF17" s="84"/>
      <c r="AG17" s="80"/>
      <c r="AH17" s="84"/>
      <c r="AI17" s="118"/>
      <c r="AJ17" s="85"/>
      <c r="AK17" s="80"/>
      <c r="AL17" s="86"/>
      <c r="AM17" s="166"/>
      <c r="AN17" s="167"/>
    </row>
    <row r="18" spans="1:40" ht="16.2" customHeight="1">
      <c r="A18" s="126"/>
      <c r="B18" s="114"/>
      <c r="C18" s="78"/>
      <c r="D18" s="114"/>
      <c r="E18" s="78"/>
      <c r="F18" s="116"/>
      <c r="G18" s="78"/>
      <c r="H18" s="114"/>
      <c r="I18" s="78"/>
      <c r="J18" s="114"/>
      <c r="K18" s="78"/>
      <c r="L18" s="116"/>
      <c r="M18" s="78"/>
      <c r="N18" s="114"/>
      <c r="O18" s="78"/>
      <c r="P18" s="114"/>
      <c r="Q18" s="78"/>
      <c r="R18" s="114"/>
      <c r="S18" s="78"/>
      <c r="T18" s="114"/>
      <c r="U18" s="78"/>
      <c r="V18" s="116"/>
      <c r="W18" s="78"/>
      <c r="X18" s="116"/>
      <c r="Y18" s="78"/>
      <c r="Z18" s="116"/>
      <c r="AA18" s="221"/>
      <c r="AB18" s="115"/>
      <c r="AC18" s="78"/>
      <c r="AD18" s="116"/>
      <c r="AE18" s="78"/>
      <c r="AF18" s="116"/>
      <c r="AG18" s="78"/>
      <c r="AH18" s="116"/>
      <c r="AI18" s="221"/>
      <c r="AJ18" s="115"/>
      <c r="AK18" s="78"/>
      <c r="AL18" s="83"/>
      <c r="AM18" s="164"/>
      <c r="AN18" s="165"/>
    </row>
    <row r="19" spans="1:40" ht="16.2" customHeight="1">
      <c r="A19" s="127"/>
      <c r="B19" s="80"/>
      <c r="C19" s="80"/>
      <c r="D19" s="80"/>
      <c r="E19" s="80"/>
      <c r="F19" s="84"/>
      <c r="G19" s="80"/>
      <c r="H19" s="80"/>
      <c r="I19" s="80"/>
      <c r="J19" s="80"/>
      <c r="K19" s="80"/>
      <c r="L19" s="84"/>
      <c r="M19" s="80"/>
      <c r="N19" s="80"/>
      <c r="O19" s="80"/>
      <c r="P19" s="80"/>
      <c r="Q19" s="80"/>
      <c r="R19" s="80"/>
      <c r="S19" s="80"/>
      <c r="T19" s="80"/>
      <c r="U19" s="80"/>
      <c r="V19" s="84"/>
      <c r="W19" s="80"/>
      <c r="X19" s="84"/>
      <c r="Y19" s="80"/>
      <c r="Z19" s="84"/>
      <c r="AA19" s="118"/>
      <c r="AB19" s="85"/>
      <c r="AC19" s="80"/>
      <c r="AD19" s="84"/>
      <c r="AE19" s="80"/>
      <c r="AF19" s="84"/>
      <c r="AG19" s="80"/>
      <c r="AH19" s="84"/>
      <c r="AI19" s="118"/>
      <c r="AJ19" s="85"/>
      <c r="AK19" s="80"/>
      <c r="AL19" s="86"/>
      <c r="AM19" s="166"/>
      <c r="AN19" s="167"/>
    </row>
    <row r="20" spans="1:40" ht="16.2" customHeight="1">
      <c r="A20" s="126"/>
      <c r="B20" s="114"/>
      <c r="C20" s="78"/>
      <c r="D20" s="114"/>
      <c r="E20" s="78"/>
      <c r="F20" s="116"/>
      <c r="G20" s="78"/>
      <c r="H20" s="114"/>
      <c r="I20" s="78"/>
      <c r="J20" s="114"/>
      <c r="K20" s="78"/>
      <c r="L20" s="116"/>
      <c r="M20" s="78"/>
      <c r="N20" s="114"/>
      <c r="O20" s="78"/>
      <c r="P20" s="114"/>
      <c r="Q20" s="78"/>
      <c r="R20" s="114"/>
      <c r="S20" s="78"/>
      <c r="T20" s="114"/>
      <c r="U20" s="78"/>
      <c r="V20" s="116"/>
      <c r="W20" s="78"/>
      <c r="X20" s="116"/>
      <c r="Y20" s="78"/>
      <c r="Z20" s="116"/>
      <c r="AA20" s="221"/>
      <c r="AB20" s="115"/>
      <c r="AC20" s="78"/>
      <c r="AD20" s="116"/>
      <c r="AE20" s="78"/>
      <c r="AF20" s="116"/>
      <c r="AG20" s="78"/>
      <c r="AH20" s="116"/>
      <c r="AI20" s="221"/>
      <c r="AJ20" s="115"/>
      <c r="AK20" s="78"/>
      <c r="AL20" s="83"/>
      <c r="AM20" s="164"/>
      <c r="AN20" s="165"/>
    </row>
    <row r="21" spans="1:40" ht="16.2" customHeight="1">
      <c r="A21" s="127"/>
      <c r="B21" s="80"/>
      <c r="C21" s="80"/>
      <c r="D21" s="80"/>
      <c r="E21" s="80"/>
      <c r="F21" s="84"/>
      <c r="G21" s="80"/>
      <c r="H21" s="80"/>
      <c r="I21" s="80"/>
      <c r="J21" s="80"/>
      <c r="K21" s="80"/>
      <c r="L21" s="84"/>
      <c r="M21" s="80"/>
      <c r="N21" s="80"/>
      <c r="O21" s="80"/>
      <c r="P21" s="80"/>
      <c r="Q21" s="80"/>
      <c r="R21" s="80"/>
      <c r="S21" s="80"/>
      <c r="T21" s="80"/>
      <c r="U21" s="80"/>
      <c r="V21" s="84"/>
      <c r="W21" s="80"/>
      <c r="X21" s="84"/>
      <c r="Y21" s="80"/>
      <c r="Z21" s="84"/>
      <c r="AA21" s="118"/>
      <c r="AB21" s="85"/>
      <c r="AC21" s="80"/>
      <c r="AD21" s="84"/>
      <c r="AE21" s="80"/>
      <c r="AF21" s="84"/>
      <c r="AG21" s="80"/>
      <c r="AH21" s="84"/>
      <c r="AI21" s="118"/>
      <c r="AJ21" s="85"/>
      <c r="AK21" s="80"/>
      <c r="AL21" s="86"/>
      <c r="AM21" s="166"/>
      <c r="AN21" s="167"/>
    </row>
    <row r="22" spans="1:40" ht="16.2" customHeight="1">
      <c r="A22" s="126"/>
      <c r="B22" s="114"/>
      <c r="C22" s="78"/>
      <c r="D22" s="114"/>
      <c r="E22" s="78"/>
      <c r="F22" s="116"/>
      <c r="G22" s="78"/>
      <c r="H22" s="114"/>
      <c r="I22" s="78"/>
      <c r="J22" s="114"/>
      <c r="K22" s="78"/>
      <c r="L22" s="116"/>
      <c r="M22" s="78"/>
      <c r="N22" s="114"/>
      <c r="O22" s="78"/>
      <c r="P22" s="114"/>
      <c r="Q22" s="78"/>
      <c r="R22" s="114"/>
      <c r="S22" s="78"/>
      <c r="T22" s="114"/>
      <c r="U22" s="78"/>
      <c r="V22" s="116"/>
      <c r="W22" s="78"/>
      <c r="X22" s="116"/>
      <c r="Y22" s="78"/>
      <c r="Z22" s="116"/>
      <c r="AA22" s="221"/>
      <c r="AB22" s="115"/>
      <c r="AC22" s="78"/>
      <c r="AD22" s="116"/>
      <c r="AE22" s="78"/>
      <c r="AF22" s="116"/>
      <c r="AG22" s="78"/>
      <c r="AH22" s="116"/>
      <c r="AI22" s="221"/>
      <c r="AJ22" s="115"/>
      <c r="AK22" s="78"/>
      <c r="AL22" s="83"/>
      <c r="AM22" s="164"/>
      <c r="AN22" s="165"/>
    </row>
    <row r="23" spans="1:40" ht="16.2" customHeight="1">
      <c r="A23" s="127"/>
      <c r="B23" s="80"/>
      <c r="C23" s="80"/>
      <c r="D23" s="80"/>
      <c r="E23" s="80"/>
      <c r="F23" s="84"/>
      <c r="G23" s="80"/>
      <c r="H23" s="80"/>
      <c r="I23" s="80"/>
      <c r="J23" s="80"/>
      <c r="K23" s="80"/>
      <c r="L23" s="84"/>
      <c r="M23" s="80"/>
      <c r="N23" s="80"/>
      <c r="O23" s="80"/>
      <c r="P23" s="80"/>
      <c r="Q23" s="80"/>
      <c r="R23" s="80"/>
      <c r="S23" s="80"/>
      <c r="T23" s="80"/>
      <c r="U23" s="80"/>
      <c r="V23" s="84"/>
      <c r="W23" s="80"/>
      <c r="X23" s="84"/>
      <c r="Y23" s="80"/>
      <c r="Z23" s="84"/>
      <c r="AA23" s="118"/>
      <c r="AB23" s="85"/>
      <c r="AC23" s="80"/>
      <c r="AD23" s="84"/>
      <c r="AE23" s="80"/>
      <c r="AF23" s="84"/>
      <c r="AG23" s="80"/>
      <c r="AH23" s="84"/>
      <c r="AI23" s="118"/>
      <c r="AJ23" s="85"/>
      <c r="AK23" s="80"/>
      <c r="AL23" s="86"/>
      <c r="AM23" s="166"/>
      <c r="AN23" s="167"/>
    </row>
    <row r="24" spans="1:40" ht="16.2" customHeight="1">
      <c r="A24" s="126"/>
      <c r="B24" s="114"/>
      <c r="C24" s="78"/>
      <c r="D24" s="114"/>
      <c r="E24" s="78"/>
      <c r="F24" s="116"/>
      <c r="G24" s="78"/>
      <c r="H24" s="114"/>
      <c r="I24" s="78"/>
      <c r="J24" s="114"/>
      <c r="K24" s="78"/>
      <c r="L24" s="116"/>
      <c r="M24" s="78"/>
      <c r="N24" s="114"/>
      <c r="O24" s="78"/>
      <c r="P24" s="114"/>
      <c r="Q24" s="78"/>
      <c r="R24" s="114"/>
      <c r="S24" s="78"/>
      <c r="T24" s="114"/>
      <c r="U24" s="78"/>
      <c r="V24" s="116"/>
      <c r="W24" s="78"/>
      <c r="X24" s="116"/>
      <c r="Y24" s="78"/>
      <c r="Z24" s="116"/>
      <c r="AA24" s="221"/>
      <c r="AB24" s="115"/>
      <c r="AC24" s="78"/>
      <c r="AD24" s="116"/>
      <c r="AE24" s="78"/>
      <c r="AF24" s="116"/>
      <c r="AG24" s="78"/>
      <c r="AH24" s="116"/>
      <c r="AI24" s="221"/>
      <c r="AJ24" s="115"/>
      <c r="AK24" s="78"/>
      <c r="AL24" s="83"/>
      <c r="AM24" s="164"/>
      <c r="AN24" s="165"/>
    </row>
    <row r="25" spans="1:40" ht="16.2" customHeight="1">
      <c r="A25" s="127"/>
      <c r="B25" s="80"/>
      <c r="C25" s="80"/>
      <c r="D25" s="80"/>
      <c r="E25" s="80"/>
      <c r="F25" s="84"/>
      <c r="G25" s="80"/>
      <c r="H25" s="80"/>
      <c r="I25" s="80"/>
      <c r="J25" s="80"/>
      <c r="K25" s="80"/>
      <c r="L25" s="84"/>
      <c r="M25" s="80"/>
      <c r="N25" s="80"/>
      <c r="O25" s="80"/>
      <c r="P25" s="80"/>
      <c r="Q25" s="80"/>
      <c r="R25" s="80"/>
      <c r="S25" s="80"/>
      <c r="T25" s="80"/>
      <c r="U25" s="80"/>
      <c r="V25" s="84"/>
      <c r="W25" s="80"/>
      <c r="X25" s="84"/>
      <c r="Y25" s="80"/>
      <c r="Z25" s="84"/>
      <c r="AA25" s="118"/>
      <c r="AB25" s="85"/>
      <c r="AC25" s="80"/>
      <c r="AD25" s="84"/>
      <c r="AE25" s="80"/>
      <c r="AF25" s="84"/>
      <c r="AG25" s="80"/>
      <c r="AH25" s="84"/>
      <c r="AI25" s="118"/>
      <c r="AJ25" s="85"/>
      <c r="AK25" s="80"/>
      <c r="AL25" s="86"/>
      <c r="AM25" s="166"/>
      <c r="AN25" s="167"/>
    </row>
    <row r="26" spans="1:40" ht="16.2" customHeight="1">
      <c r="A26" s="126"/>
      <c r="B26" s="114"/>
      <c r="C26" s="78"/>
      <c r="D26" s="114"/>
      <c r="E26" s="78"/>
      <c r="F26" s="116"/>
      <c r="G26" s="78"/>
      <c r="H26" s="114"/>
      <c r="I26" s="78"/>
      <c r="J26" s="114"/>
      <c r="K26" s="78"/>
      <c r="L26" s="116"/>
      <c r="M26" s="78"/>
      <c r="N26" s="114"/>
      <c r="O26" s="78"/>
      <c r="P26" s="114"/>
      <c r="Q26" s="78"/>
      <c r="R26" s="114"/>
      <c r="S26" s="78"/>
      <c r="T26" s="114"/>
      <c r="U26" s="78"/>
      <c r="V26" s="116"/>
      <c r="W26" s="78"/>
      <c r="X26" s="116"/>
      <c r="Y26" s="78"/>
      <c r="Z26" s="116"/>
      <c r="AA26" s="221"/>
      <c r="AB26" s="115"/>
      <c r="AC26" s="78"/>
      <c r="AD26" s="116"/>
      <c r="AE26" s="78"/>
      <c r="AF26" s="116"/>
      <c r="AG26" s="78"/>
      <c r="AH26" s="116"/>
      <c r="AI26" s="221"/>
      <c r="AJ26" s="115"/>
      <c r="AK26" s="78"/>
      <c r="AL26" s="83"/>
      <c r="AM26" s="164"/>
      <c r="AN26" s="165"/>
    </row>
    <row r="27" spans="1:40" ht="16.2" customHeight="1">
      <c r="A27" s="127"/>
      <c r="B27" s="80"/>
      <c r="C27" s="80"/>
      <c r="D27" s="80"/>
      <c r="E27" s="80"/>
      <c r="F27" s="84"/>
      <c r="G27" s="80"/>
      <c r="H27" s="80"/>
      <c r="I27" s="80"/>
      <c r="J27" s="80"/>
      <c r="K27" s="80"/>
      <c r="L27" s="84"/>
      <c r="M27" s="80"/>
      <c r="N27" s="80"/>
      <c r="O27" s="80"/>
      <c r="P27" s="80"/>
      <c r="Q27" s="80"/>
      <c r="R27" s="80"/>
      <c r="S27" s="80"/>
      <c r="T27" s="80"/>
      <c r="U27" s="80"/>
      <c r="V27" s="84"/>
      <c r="W27" s="80"/>
      <c r="X27" s="84"/>
      <c r="Y27" s="80"/>
      <c r="Z27" s="84"/>
      <c r="AA27" s="118"/>
      <c r="AB27" s="85"/>
      <c r="AC27" s="80"/>
      <c r="AD27" s="84"/>
      <c r="AE27" s="80"/>
      <c r="AF27" s="84"/>
      <c r="AG27" s="80"/>
      <c r="AH27" s="84"/>
      <c r="AI27" s="118"/>
      <c r="AJ27" s="85"/>
      <c r="AK27" s="80"/>
      <c r="AL27" s="86"/>
      <c r="AM27" s="166"/>
      <c r="AN27" s="167"/>
    </row>
    <row r="28" spans="1:40" ht="16.2" customHeight="1">
      <c r="A28" s="126"/>
      <c r="B28" s="114"/>
      <c r="C28" s="78"/>
      <c r="D28" s="114"/>
      <c r="E28" s="78"/>
      <c r="F28" s="116"/>
      <c r="G28" s="78"/>
      <c r="H28" s="114"/>
      <c r="I28" s="78"/>
      <c r="J28" s="114"/>
      <c r="K28" s="78"/>
      <c r="L28" s="116"/>
      <c r="M28" s="78"/>
      <c r="N28" s="114"/>
      <c r="O28" s="78"/>
      <c r="P28" s="114"/>
      <c r="Q28" s="78"/>
      <c r="R28" s="114"/>
      <c r="S28" s="78"/>
      <c r="T28" s="114"/>
      <c r="U28" s="78"/>
      <c r="V28" s="116"/>
      <c r="W28" s="78"/>
      <c r="X28" s="116"/>
      <c r="Y28" s="78"/>
      <c r="Z28" s="116"/>
      <c r="AA28" s="221"/>
      <c r="AB28" s="115"/>
      <c r="AC28" s="78"/>
      <c r="AD28" s="116"/>
      <c r="AE28" s="78"/>
      <c r="AF28" s="116"/>
      <c r="AG28" s="78"/>
      <c r="AH28" s="116"/>
      <c r="AI28" s="221"/>
      <c r="AJ28" s="115"/>
      <c r="AK28" s="78"/>
      <c r="AL28" s="83"/>
      <c r="AM28" s="164"/>
      <c r="AN28" s="165"/>
    </row>
    <row r="29" spans="1:40" ht="16.2" customHeight="1">
      <c r="A29" s="127"/>
      <c r="B29" s="80"/>
      <c r="C29" s="80"/>
      <c r="D29" s="80"/>
      <c r="E29" s="80"/>
      <c r="F29" s="84"/>
      <c r="G29" s="80"/>
      <c r="H29" s="80"/>
      <c r="I29" s="80"/>
      <c r="J29" s="80"/>
      <c r="K29" s="80"/>
      <c r="L29" s="84"/>
      <c r="M29" s="80"/>
      <c r="N29" s="80"/>
      <c r="O29" s="80"/>
      <c r="P29" s="80"/>
      <c r="Q29" s="80"/>
      <c r="R29" s="80"/>
      <c r="S29" s="80"/>
      <c r="T29" s="80"/>
      <c r="U29" s="80"/>
      <c r="V29" s="84"/>
      <c r="W29" s="80"/>
      <c r="X29" s="84"/>
      <c r="Y29" s="80"/>
      <c r="Z29" s="84"/>
      <c r="AA29" s="118"/>
      <c r="AB29" s="85"/>
      <c r="AC29" s="80"/>
      <c r="AD29" s="84"/>
      <c r="AE29" s="80"/>
      <c r="AF29" s="84"/>
      <c r="AG29" s="80"/>
      <c r="AH29" s="84"/>
      <c r="AI29" s="118"/>
      <c r="AJ29" s="85"/>
      <c r="AK29" s="80"/>
      <c r="AL29" s="86"/>
      <c r="AM29" s="166"/>
      <c r="AN29" s="167"/>
    </row>
    <row r="30" spans="1:40" ht="16.2" customHeight="1">
      <c r="A30" s="126"/>
      <c r="B30" s="114"/>
      <c r="C30" s="78"/>
      <c r="D30" s="114"/>
      <c r="E30" s="78"/>
      <c r="F30" s="116"/>
      <c r="G30" s="78"/>
      <c r="H30" s="114"/>
      <c r="I30" s="78"/>
      <c r="J30" s="114"/>
      <c r="K30" s="78"/>
      <c r="L30" s="116"/>
      <c r="M30" s="78"/>
      <c r="N30" s="114"/>
      <c r="O30" s="78"/>
      <c r="P30" s="114"/>
      <c r="Q30" s="78"/>
      <c r="R30" s="114"/>
      <c r="S30" s="78"/>
      <c r="T30" s="114"/>
      <c r="U30" s="78"/>
      <c r="V30" s="116"/>
      <c r="W30" s="78"/>
      <c r="X30" s="116"/>
      <c r="Y30" s="78"/>
      <c r="Z30" s="116"/>
      <c r="AA30" s="221"/>
      <c r="AB30" s="115"/>
      <c r="AC30" s="78"/>
      <c r="AD30" s="116"/>
      <c r="AE30" s="78"/>
      <c r="AF30" s="116"/>
      <c r="AG30" s="78"/>
      <c r="AH30" s="116"/>
      <c r="AI30" s="221"/>
      <c r="AJ30" s="115"/>
      <c r="AK30" s="78"/>
      <c r="AL30" s="83"/>
      <c r="AM30" s="164"/>
      <c r="AN30" s="165"/>
    </row>
    <row r="31" spans="1:40" ht="16.2" customHeight="1">
      <c r="A31" s="127"/>
      <c r="B31" s="80"/>
      <c r="C31" s="80"/>
      <c r="D31" s="80"/>
      <c r="E31" s="80"/>
      <c r="F31" s="84"/>
      <c r="G31" s="80"/>
      <c r="H31" s="80"/>
      <c r="I31" s="80"/>
      <c r="J31" s="80"/>
      <c r="K31" s="80"/>
      <c r="L31" s="84"/>
      <c r="M31" s="80"/>
      <c r="N31" s="80"/>
      <c r="O31" s="80"/>
      <c r="P31" s="80"/>
      <c r="Q31" s="80"/>
      <c r="R31" s="80"/>
      <c r="S31" s="80"/>
      <c r="T31" s="80"/>
      <c r="U31" s="80"/>
      <c r="V31" s="84"/>
      <c r="W31" s="80"/>
      <c r="X31" s="84"/>
      <c r="Y31" s="80"/>
      <c r="Z31" s="84"/>
      <c r="AA31" s="118"/>
      <c r="AB31" s="85"/>
      <c r="AC31" s="80"/>
      <c r="AD31" s="84"/>
      <c r="AE31" s="80"/>
      <c r="AF31" s="84"/>
      <c r="AG31" s="80"/>
      <c r="AH31" s="84"/>
      <c r="AI31" s="118"/>
      <c r="AJ31" s="85"/>
      <c r="AK31" s="80"/>
      <c r="AL31" s="86"/>
      <c r="AM31" s="166"/>
      <c r="AN31" s="167"/>
    </row>
    <row r="32" spans="1:40" ht="16.2" customHeight="1">
      <c r="A32" s="126"/>
      <c r="B32" s="114"/>
      <c r="C32" s="78"/>
      <c r="D32" s="114"/>
      <c r="E32" s="78"/>
      <c r="F32" s="116"/>
      <c r="G32" s="78"/>
      <c r="H32" s="114"/>
      <c r="I32" s="78"/>
      <c r="J32" s="114"/>
      <c r="K32" s="78"/>
      <c r="L32" s="116"/>
      <c r="M32" s="78"/>
      <c r="N32" s="114"/>
      <c r="O32" s="78"/>
      <c r="P32" s="114"/>
      <c r="Q32" s="78"/>
      <c r="R32" s="114"/>
      <c r="S32" s="78"/>
      <c r="T32" s="114"/>
      <c r="U32" s="78"/>
      <c r="V32" s="116"/>
      <c r="W32" s="78"/>
      <c r="X32" s="116"/>
      <c r="Y32" s="78"/>
      <c r="Z32" s="116"/>
      <c r="AA32" s="221"/>
      <c r="AB32" s="115"/>
      <c r="AC32" s="78"/>
      <c r="AD32" s="116"/>
      <c r="AE32" s="78"/>
      <c r="AF32" s="116"/>
      <c r="AG32" s="78"/>
      <c r="AH32" s="116"/>
      <c r="AI32" s="221"/>
      <c r="AJ32" s="115"/>
      <c r="AK32" s="78"/>
      <c r="AL32" s="83"/>
      <c r="AM32" s="164"/>
      <c r="AN32" s="165"/>
    </row>
    <row r="33" spans="1:40" ht="16.2" customHeight="1">
      <c r="A33" s="127"/>
      <c r="B33" s="80"/>
      <c r="C33" s="80"/>
      <c r="D33" s="80"/>
      <c r="E33" s="80"/>
      <c r="F33" s="84"/>
      <c r="G33" s="80"/>
      <c r="H33" s="80"/>
      <c r="I33" s="80"/>
      <c r="J33" s="80"/>
      <c r="K33" s="80"/>
      <c r="L33" s="84"/>
      <c r="M33" s="80"/>
      <c r="N33" s="80"/>
      <c r="O33" s="80"/>
      <c r="P33" s="80"/>
      <c r="Q33" s="80"/>
      <c r="R33" s="80"/>
      <c r="S33" s="80"/>
      <c r="T33" s="80"/>
      <c r="U33" s="80"/>
      <c r="V33" s="84"/>
      <c r="W33" s="80"/>
      <c r="X33" s="84"/>
      <c r="Y33" s="80"/>
      <c r="Z33" s="84"/>
      <c r="AA33" s="118"/>
      <c r="AB33" s="85"/>
      <c r="AC33" s="80"/>
      <c r="AD33" s="84"/>
      <c r="AE33" s="80"/>
      <c r="AF33" s="84"/>
      <c r="AG33" s="80"/>
      <c r="AH33" s="84"/>
      <c r="AI33" s="118"/>
      <c r="AJ33" s="85"/>
      <c r="AK33" s="80"/>
      <c r="AL33" s="86"/>
      <c r="AM33" s="166"/>
      <c r="AN33" s="167"/>
    </row>
    <row r="34" spans="1:40" ht="16.2" customHeight="1">
      <c r="A34" s="126"/>
      <c r="B34" s="114"/>
      <c r="C34" s="78"/>
      <c r="D34" s="114"/>
      <c r="E34" s="78"/>
      <c r="F34" s="116"/>
      <c r="G34" s="78"/>
      <c r="H34" s="114"/>
      <c r="I34" s="78"/>
      <c r="J34" s="114"/>
      <c r="K34" s="78"/>
      <c r="L34" s="116"/>
      <c r="M34" s="78"/>
      <c r="N34" s="114"/>
      <c r="O34" s="78"/>
      <c r="P34" s="114"/>
      <c r="Q34" s="78"/>
      <c r="R34" s="114"/>
      <c r="S34" s="78"/>
      <c r="T34" s="114"/>
      <c r="U34" s="78"/>
      <c r="V34" s="116"/>
      <c r="W34" s="78"/>
      <c r="X34" s="116"/>
      <c r="Y34" s="78"/>
      <c r="Z34" s="116"/>
      <c r="AA34" s="221"/>
      <c r="AB34" s="115"/>
      <c r="AC34" s="78"/>
      <c r="AD34" s="116"/>
      <c r="AE34" s="78"/>
      <c r="AF34" s="116"/>
      <c r="AG34" s="78"/>
      <c r="AH34" s="116"/>
      <c r="AI34" s="221"/>
      <c r="AJ34" s="115"/>
      <c r="AK34" s="78"/>
      <c r="AL34" s="83"/>
      <c r="AM34" s="164"/>
      <c r="AN34" s="165"/>
    </row>
    <row r="35" spans="1:40" ht="16.2" customHeight="1">
      <c r="A35" s="127"/>
      <c r="B35" s="80"/>
      <c r="C35" s="80"/>
      <c r="D35" s="80"/>
      <c r="E35" s="80"/>
      <c r="F35" s="84"/>
      <c r="G35" s="80"/>
      <c r="H35" s="80"/>
      <c r="I35" s="80"/>
      <c r="J35" s="80"/>
      <c r="K35" s="80"/>
      <c r="L35" s="84"/>
      <c r="M35" s="80"/>
      <c r="N35" s="80"/>
      <c r="O35" s="80"/>
      <c r="P35" s="80"/>
      <c r="Q35" s="80"/>
      <c r="R35" s="80"/>
      <c r="S35" s="80"/>
      <c r="T35" s="80"/>
      <c r="U35" s="80"/>
      <c r="V35" s="84"/>
      <c r="W35" s="80"/>
      <c r="X35" s="84"/>
      <c r="Y35" s="80"/>
      <c r="Z35" s="84"/>
      <c r="AA35" s="118"/>
      <c r="AB35" s="85"/>
      <c r="AC35" s="80"/>
      <c r="AD35" s="84"/>
      <c r="AE35" s="80"/>
      <c r="AF35" s="84"/>
      <c r="AG35" s="80"/>
      <c r="AH35" s="84"/>
      <c r="AI35" s="118"/>
      <c r="AJ35" s="85"/>
      <c r="AK35" s="80"/>
      <c r="AL35" s="86"/>
      <c r="AM35" s="166"/>
      <c r="AN35" s="167"/>
    </row>
    <row r="36" spans="1:40" ht="16.2" customHeight="1">
      <c r="A36" s="126"/>
      <c r="B36" s="114"/>
      <c r="C36" s="78"/>
      <c r="D36" s="114"/>
      <c r="E36" s="78"/>
      <c r="F36" s="116"/>
      <c r="G36" s="78"/>
      <c r="H36" s="114"/>
      <c r="I36" s="78"/>
      <c r="J36" s="114"/>
      <c r="K36" s="78"/>
      <c r="L36" s="116"/>
      <c r="M36" s="78"/>
      <c r="N36" s="114"/>
      <c r="O36" s="78"/>
      <c r="P36" s="114"/>
      <c r="Q36" s="78"/>
      <c r="R36" s="114"/>
      <c r="S36" s="78"/>
      <c r="T36" s="114"/>
      <c r="U36" s="78"/>
      <c r="V36" s="116"/>
      <c r="W36" s="78"/>
      <c r="X36" s="116"/>
      <c r="Y36" s="78"/>
      <c r="Z36" s="116"/>
      <c r="AA36" s="221"/>
      <c r="AB36" s="115"/>
      <c r="AC36" s="78"/>
      <c r="AD36" s="116"/>
      <c r="AE36" s="78"/>
      <c r="AF36" s="116"/>
      <c r="AG36" s="78"/>
      <c r="AH36" s="116"/>
      <c r="AI36" s="221"/>
      <c r="AJ36" s="115"/>
      <c r="AK36" s="78"/>
      <c r="AL36" s="83"/>
      <c r="AM36" s="164"/>
      <c r="AN36" s="165"/>
    </row>
    <row r="37" spans="1:40" ht="16.2" customHeight="1">
      <c r="A37" s="127"/>
      <c r="B37" s="80"/>
      <c r="C37" s="80"/>
      <c r="D37" s="80"/>
      <c r="E37" s="80"/>
      <c r="F37" s="84"/>
      <c r="G37" s="80"/>
      <c r="H37" s="80"/>
      <c r="I37" s="80"/>
      <c r="J37" s="80"/>
      <c r="K37" s="80"/>
      <c r="L37" s="84"/>
      <c r="M37" s="80"/>
      <c r="N37" s="80"/>
      <c r="O37" s="80"/>
      <c r="P37" s="80"/>
      <c r="Q37" s="80"/>
      <c r="R37" s="80"/>
      <c r="S37" s="80"/>
      <c r="T37" s="80"/>
      <c r="U37" s="80"/>
      <c r="V37" s="84"/>
      <c r="W37" s="80"/>
      <c r="X37" s="84"/>
      <c r="Y37" s="80"/>
      <c r="Z37" s="84"/>
      <c r="AA37" s="118"/>
      <c r="AB37" s="85"/>
      <c r="AC37" s="80"/>
      <c r="AD37" s="84"/>
      <c r="AE37" s="80"/>
      <c r="AF37" s="84"/>
      <c r="AG37" s="80"/>
      <c r="AH37" s="84"/>
      <c r="AI37" s="118"/>
      <c r="AJ37" s="85"/>
      <c r="AK37" s="80"/>
      <c r="AL37" s="86"/>
      <c r="AM37" s="166"/>
      <c r="AN37" s="167"/>
    </row>
    <row r="38" spans="1:40" ht="16.2" customHeight="1">
      <c r="A38" s="126"/>
      <c r="B38" s="114"/>
      <c r="C38" s="78"/>
      <c r="D38" s="114"/>
      <c r="E38" s="78"/>
      <c r="F38" s="116"/>
      <c r="G38" s="78"/>
      <c r="H38" s="114"/>
      <c r="I38" s="78"/>
      <c r="J38" s="114"/>
      <c r="K38" s="78"/>
      <c r="L38" s="116"/>
      <c r="M38" s="78"/>
      <c r="N38" s="114"/>
      <c r="O38" s="78"/>
      <c r="P38" s="114"/>
      <c r="Q38" s="78"/>
      <c r="R38" s="114"/>
      <c r="S38" s="78"/>
      <c r="T38" s="114"/>
      <c r="U38" s="78"/>
      <c r="V38" s="116"/>
      <c r="W38" s="78"/>
      <c r="X38" s="116"/>
      <c r="Y38" s="78"/>
      <c r="Z38" s="116"/>
      <c r="AA38" s="221"/>
      <c r="AB38" s="115"/>
      <c r="AC38" s="78"/>
      <c r="AD38" s="116"/>
      <c r="AE38" s="78"/>
      <c r="AF38" s="116"/>
      <c r="AG38" s="78"/>
      <c r="AH38" s="116"/>
      <c r="AI38" s="221"/>
      <c r="AJ38" s="115"/>
      <c r="AK38" s="78"/>
      <c r="AL38" s="83"/>
      <c r="AM38" s="164"/>
      <c r="AN38" s="165"/>
    </row>
    <row r="39" spans="1:40" ht="16.2" customHeight="1">
      <c r="A39" s="127"/>
      <c r="B39" s="80"/>
      <c r="C39" s="80"/>
      <c r="D39" s="80"/>
      <c r="E39" s="80"/>
      <c r="F39" s="84"/>
      <c r="G39" s="80"/>
      <c r="H39" s="80"/>
      <c r="I39" s="80"/>
      <c r="J39" s="80"/>
      <c r="K39" s="80"/>
      <c r="L39" s="84"/>
      <c r="M39" s="80"/>
      <c r="N39" s="80"/>
      <c r="O39" s="80"/>
      <c r="P39" s="80"/>
      <c r="Q39" s="80"/>
      <c r="R39" s="80"/>
      <c r="S39" s="80"/>
      <c r="T39" s="80"/>
      <c r="U39" s="80"/>
      <c r="V39" s="84"/>
      <c r="W39" s="80"/>
      <c r="X39" s="84"/>
      <c r="Y39" s="80"/>
      <c r="Z39" s="84"/>
      <c r="AA39" s="118"/>
      <c r="AB39" s="85"/>
      <c r="AC39" s="80"/>
      <c r="AD39" s="84"/>
      <c r="AE39" s="80"/>
      <c r="AF39" s="84"/>
      <c r="AG39" s="80"/>
      <c r="AH39" s="84"/>
      <c r="AI39" s="118"/>
      <c r="AJ39" s="85"/>
      <c r="AK39" s="80"/>
      <c r="AL39" s="86"/>
      <c r="AM39" s="166"/>
      <c r="AN39" s="167"/>
    </row>
    <row r="40" spans="1:40" ht="16.2" customHeight="1">
      <c r="A40" s="126"/>
      <c r="B40" s="114"/>
      <c r="C40" s="78"/>
      <c r="D40" s="114"/>
      <c r="E40" s="78"/>
      <c r="F40" s="116"/>
      <c r="G40" s="78"/>
      <c r="H40" s="114"/>
      <c r="I40" s="78"/>
      <c r="J40" s="114"/>
      <c r="K40" s="78"/>
      <c r="L40" s="116"/>
      <c r="M40" s="78"/>
      <c r="N40" s="114"/>
      <c r="O40" s="78"/>
      <c r="P40" s="114"/>
      <c r="Q40" s="78"/>
      <c r="R40" s="114"/>
      <c r="S40" s="78"/>
      <c r="T40" s="114"/>
      <c r="U40" s="78"/>
      <c r="V40" s="116"/>
      <c r="W40" s="78"/>
      <c r="X40" s="116"/>
      <c r="Y40" s="78"/>
      <c r="Z40" s="116"/>
      <c r="AA40" s="221"/>
      <c r="AB40" s="115"/>
      <c r="AC40" s="78"/>
      <c r="AD40" s="116"/>
      <c r="AE40" s="78"/>
      <c r="AF40" s="116"/>
      <c r="AG40" s="78"/>
      <c r="AH40" s="116"/>
      <c r="AI40" s="221"/>
      <c r="AJ40" s="115"/>
      <c r="AK40" s="78"/>
      <c r="AL40" s="83"/>
      <c r="AM40" s="164"/>
      <c r="AN40" s="165"/>
    </row>
    <row r="41" spans="1:40" ht="16.2" customHeight="1">
      <c r="A41" s="127"/>
      <c r="B41" s="80"/>
      <c r="C41" s="80"/>
      <c r="D41" s="80"/>
      <c r="E41" s="80"/>
      <c r="F41" s="84"/>
      <c r="G41" s="80"/>
      <c r="H41" s="80"/>
      <c r="I41" s="80"/>
      <c r="J41" s="80"/>
      <c r="K41" s="80"/>
      <c r="L41" s="84"/>
      <c r="M41" s="80"/>
      <c r="N41" s="80"/>
      <c r="O41" s="80"/>
      <c r="P41" s="80"/>
      <c r="Q41" s="80"/>
      <c r="R41" s="80"/>
      <c r="S41" s="80"/>
      <c r="T41" s="80"/>
      <c r="U41" s="80"/>
      <c r="V41" s="84"/>
      <c r="W41" s="80"/>
      <c r="X41" s="84"/>
      <c r="Y41" s="80"/>
      <c r="Z41" s="84"/>
      <c r="AA41" s="118"/>
      <c r="AB41" s="85"/>
      <c r="AC41" s="80"/>
      <c r="AD41" s="84"/>
      <c r="AE41" s="80"/>
      <c r="AF41" s="84"/>
      <c r="AG41" s="80"/>
      <c r="AH41" s="84"/>
      <c r="AI41" s="118"/>
      <c r="AJ41" s="85"/>
      <c r="AK41" s="80"/>
      <c r="AL41" s="86"/>
      <c r="AM41" s="166"/>
      <c r="AN41" s="167"/>
    </row>
    <row r="42" spans="1:40" ht="16.2" customHeight="1">
      <c r="A42" s="126"/>
      <c r="B42" s="114"/>
      <c r="C42" s="78"/>
      <c r="D42" s="114"/>
      <c r="E42" s="78"/>
      <c r="F42" s="116"/>
      <c r="G42" s="78"/>
      <c r="H42" s="114"/>
      <c r="I42" s="78"/>
      <c r="J42" s="114"/>
      <c r="K42" s="78"/>
      <c r="L42" s="116"/>
      <c r="M42" s="78"/>
      <c r="N42" s="114"/>
      <c r="O42" s="78"/>
      <c r="P42" s="114"/>
      <c r="Q42" s="78"/>
      <c r="R42" s="114"/>
      <c r="S42" s="78"/>
      <c r="T42" s="114"/>
      <c r="U42" s="78"/>
      <c r="V42" s="116"/>
      <c r="W42" s="78"/>
      <c r="X42" s="116"/>
      <c r="Y42" s="78"/>
      <c r="Z42" s="116"/>
      <c r="AA42" s="221"/>
      <c r="AB42" s="115"/>
      <c r="AC42" s="78"/>
      <c r="AD42" s="116"/>
      <c r="AE42" s="78"/>
      <c r="AF42" s="116"/>
      <c r="AG42" s="78"/>
      <c r="AH42" s="116"/>
      <c r="AI42" s="221"/>
      <c r="AJ42" s="115"/>
      <c r="AK42" s="78"/>
      <c r="AL42" s="83"/>
      <c r="AM42" s="164"/>
      <c r="AN42" s="165"/>
    </row>
    <row r="43" spans="1:40" ht="16.2" customHeight="1">
      <c r="A43" s="127"/>
      <c r="B43" s="80"/>
      <c r="C43" s="80"/>
      <c r="D43" s="80"/>
      <c r="E43" s="80"/>
      <c r="F43" s="84"/>
      <c r="G43" s="80"/>
      <c r="H43" s="80"/>
      <c r="I43" s="80"/>
      <c r="J43" s="80"/>
      <c r="K43" s="80"/>
      <c r="L43" s="84"/>
      <c r="M43" s="80"/>
      <c r="N43" s="80"/>
      <c r="O43" s="80"/>
      <c r="P43" s="80"/>
      <c r="Q43" s="80"/>
      <c r="R43" s="80"/>
      <c r="S43" s="80"/>
      <c r="T43" s="80"/>
      <c r="U43" s="80"/>
      <c r="V43" s="84"/>
      <c r="W43" s="80"/>
      <c r="X43" s="84"/>
      <c r="Y43" s="80"/>
      <c r="Z43" s="84"/>
      <c r="AA43" s="118"/>
      <c r="AB43" s="85"/>
      <c r="AC43" s="80"/>
      <c r="AD43" s="84"/>
      <c r="AE43" s="80"/>
      <c r="AF43" s="84"/>
      <c r="AG43" s="80"/>
      <c r="AH43" s="84"/>
      <c r="AI43" s="118"/>
      <c r="AJ43" s="85"/>
      <c r="AK43" s="80"/>
      <c r="AL43" s="86"/>
      <c r="AM43" s="166"/>
      <c r="AN43" s="167"/>
    </row>
    <row r="44" spans="1:40" ht="16.2" customHeight="1">
      <c r="A44" s="126"/>
      <c r="B44" s="114"/>
      <c r="C44" s="78"/>
      <c r="D44" s="114"/>
      <c r="E44" s="78"/>
      <c r="F44" s="116"/>
      <c r="G44" s="78"/>
      <c r="H44" s="114"/>
      <c r="I44" s="78"/>
      <c r="J44" s="114"/>
      <c r="K44" s="78"/>
      <c r="L44" s="116"/>
      <c r="M44" s="78"/>
      <c r="N44" s="114"/>
      <c r="O44" s="78"/>
      <c r="P44" s="114"/>
      <c r="Q44" s="78"/>
      <c r="R44" s="114"/>
      <c r="S44" s="78"/>
      <c r="T44" s="114"/>
      <c r="U44" s="78"/>
      <c r="V44" s="116"/>
      <c r="W44" s="78"/>
      <c r="X44" s="116"/>
      <c r="Y44" s="78"/>
      <c r="Z44" s="116"/>
      <c r="AA44" s="221"/>
      <c r="AB44" s="115"/>
      <c r="AC44" s="78"/>
      <c r="AD44" s="116"/>
      <c r="AE44" s="78"/>
      <c r="AF44" s="116"/>
      <c r="AG44" s="78"/>
      <c r="AH44" s="116"/>
      <c r="AI44" s="221"/>
      <c r="AJ44" s="115"/>
      <c r="AK44" s="78"/>
      <c r="AL44" s="83"/>
      <c r="AM44" s="164"/>
      <c r="AN44" s="165"/>
    </row>
    <row r="45" spans="1:40" ht="16.2" customHeight="1">
      <c r="A45" s="127"/>
      <c r="B45" s="80"/>
      <c r="C45" s="80"/>
      <c r="D45" s="80"/>
      <c r="E45" s="80"/>
      <c r="F45" s="84"/>
      <c r="G45" s="80"/>
      <c r="H45" s="80"/>
      <c r="I45" s="80"/>
      <c r="J45" s="80"/>
      <c r="K45" s="80"/>
      <c r="L45" s="84"/>
      <c r="M45" s="80"/>
      <c r="N45" s="80"/>
      <c r="O45" s="80"/>
      <c r="P45" s="80"/>
      <c r="Q45" s="80"/>
      <c r="R45" s="80"/>
      <c r="S45" s="80"/>
      <c r="T45" s="80"/>
      <c r="U45" s="80"/>
      <c r="V45" s="84"/>
      <c r="W45" s="80"/>
      <c r="X45" s="84"/>
      <c r="Y45" s="80"/>
      <c r="Z45" s="84"/>
      <c r="AA45" s="118"/>
      <c r="AB45" s="85"/>
      <c r="AC45" s="80"/>
      <c r="AD45" s="84"/>
      <c r="AE45" s="80"/>
      <c r="AF45" s="84"/>
      <c r="AG45" s="80"/>
      <c r="AH45" s="84"/>
      <c r="AI45" s="118"/>
      <c r="AJ45" s="85"/>
      <c r="AK45" s="80"/>
      <c r="AL45" s="86"/>
      <c r="AM45" s="166"/>
      <c r="AN45" s="167"/>
    </row>
    <row r="46" spans="1:40" ht="16.2" customHeight="1">
      <c r="A46" s="126"/>
      <c r="B46" s="114"/>
      <c r="C46" s="78"/>
      <c r="D46" s="114"/>
      <c r="E46" s="78"/>
      <c r="F46" s="116"/>
      <c r="G46" s="78"/>
      <c r="H46" s="114"/>
      <c r="I46" s="78"/>
      <c r="J46" s="114"/>
      <c r="K46" s="78"/>
      <c r="L46" s="116"/>
      <c r="M46" s="78"/>
      <c r="N46" s="114"/>
      <c r="O46" s="78"/>
      <c r="P46" s="114"/>
      <c r="Q46" s="78"/>
      <c r="R46" s="114"/>
      <c r="S46" s="78"/>
      <c r="T46" s="114"/>
      <c r="U46" s="78"/>
      <c r="V46" s="116"/>
      <c r="W46" s="78"/>
      <c r="X46" s="116"/>
      <c r="Y46" s="78"/>
      <c r="Z46" s="116"/>
      <c r="AA46" s="221"/>
      <c r="AB46" s="115"/>
      <c r="AC46" s="78"/>
      <c r="AD46" s="116"/>
      <c r="AE46" s="78"/>
      <c r="AF46" s="116"/>
      <c r="AG46" s="78"/>
      <c r="AH46" s="116"/>
      <c r="AI46" s="221"/>
      <c r="AJ46" s="115"/>
      <c r="AK46" s="78"/>
      <c r="AL46" s="83"/>
      <c r="AM46" s="164"/>
      <c r="AN46" s="165"/>
    </row>
    <row r="47" spans="1:40" ht="16.2" customHeight="1">
      <c r="A47" s="127"/>
      <c r="B47" s="80"/>
      <c r="C47" s="80"/>
      <c r="D47" s="80"/>
      <c r="E47" s="80"/>
      <c r="F47" s="84"/>
      <c r="G47" s="80"/>
      <c r="H47" s="80"/>
      <c r="I47" s="80"/>
      <c r="J47" s="80"/>
      <c r="K47" s="80"/>
      <c r="L47" s="84"/>
      <c r="M47" s="80"/>
      <c r="N47" s="80"/>
      <c r="O47" s="80"/>
      <c r="P47" s="80"/>
      <c r="Q47" s="80"/>
      <c r="R47" s="80"/>
      <c r="S47" s="80"/>
      <c r="T47" s="80"/>
      <c r="U47" s="80"/>
      <c r="V47" s="84"/>
      <c r="W47" s="80"/>
      <c r="X47" s="84"/>
      <c r="Y47" s="80"/>
      <c r="Z47" s="84"/>
      <c r="AA47" s="118"/>
      <c r="AB47" s="85"/>
      <c r="AC47" s="80"/>
      <c r="AD47" s="84"/>
      <c r="AE47" s="80"/>
      <c r="AF47" s="84"/>
      <c r="AG47" s="80"/>
      <c r="AH47" s="84"/>
      <c r="AI47" s="118"/>
      <c r="AJ47" s="85"/>
      <c r="AK47" s="80"/>
      <c r="AL47" s="86"/>
      <c r="AM47" s="166"/>
      <c r="AN47" s="167"/>
    </row>
    <row r="48" spans="1:40" ht="16.2" customHeight="1">
      <c r="A48" s="126"/>
      <c r="B48" s="114"/>
      <c r="C48" s="78"/>
      <c r="D48" s="114"/>
      <c r="E48" s="78"/>
      <c r="F48" s="116"/>
      <c r="G48" s="78"/>
      <c r="H48" s="114"/>
      <c r="I48" s="78"/>
      <c r="J48" s="114"/>
      <c r="K48" s="78"/>
      <c r="L48" s="116"/>
      <c r="M48" s="78"/>
      <c r="N48" s="114"/>
      <c r="O48" s="78"/>
      <c r="P48" s="114"/>
      <c r="Q48" s="78"/>
      <c r="R48" s="114"/>
      <c r="S48" s="78"/>
      <c r="T48" s="114"/>
      <c r="U48" s="78"/>
      <c r="V48" s="116"/>
      <c r="W48" s="78"/>
      <c r="X48" s="116"/>
      <c r="Y48" s="78"/>
      <c r="Z48" s="116"/>
      <c r="AA48" s="221"/>
      <c r="AB48" s="115"/>
      <c r="AC48" s="78"/>
      <c r="AD48" s="116"/>
      <c r="AE48" s="78"/>
      <c r="AF48" s="116"/>
      <c r="AG48" s="78"/>
      <c r="AH48" s="116"/>
      <c r="AI48" s="221"/>
      <c r="AJ48" s="115"/>
      <c r="AK48" s="78"/>
      <c r="AL48" s="83"/>
      <c r="AM48" s="164"/>
      <c r="AN48" s="165"/>
    </row>
    <row r="49" spans="1:40" ht="16.2" customHeight="1">
      <c r="A49" s="127"/>
      <c r="B49" s="80"/>
      <c r="C49" s="80"/>
      <c r="D49" s="80"/>
      <c r="E49" s="80"/>
      <c r="F49" s="84"/>
      <c r="G49" s="80"/>
      <c r="H49" s="80"/>
      <c r="I49" s="80"/>
      <c r="J49" s="80"/>
      <c r="K49" s="80"/>
      <c r="L49" s="84"/>
      <c r="M49" s="80"/>
      <c r="N49" s="80"/>
      <c r="O49" s="80"/>
      <c r="P49" s="80"/>
      <c r="Q49" s="80"/>
      <c r="R49" s="80"/>
      <c r="S49" s="80"/>
      <c r="T49" s="80"/>
      <c r="U49" s="80"/>
      <c r="V49" s="84"/>
      <c r="W49" s="80"/>
      <c r="X49" s="84"/>
      <c r="Y49" s="80"/>
      <c r="Z49" s="84"/>
      <c r="AA49" s="118"/>
      <c r="AB49" s="85"/>
      <c r="AC49" s="80"/>
      <c r="AD49" s="84"/>
      <c r="AE49" s="80"/>
      <c r="AF49" s="84"/>
      <c r="AG49" s="80"/>
      <c r="AH49" s="84"/>
      <c r="AI49" s="118"/>
      <c r="AJ49" s="85"/>
      <c r="AK49" s="80"/>
      <c r="AL49" s="86"/>
      <c r="AM49" s="166"/>
      <c r="AN49" s="167"/>
    </row>
    <row r="50" spans="1:40" ht="16.2" customHeight="1">
      <c r="A50" s="126"/>
      <c r="B50" s="114"/>
      <c r="C50" s="78"/>
      <c r="D50" s="114"/>
      <c r="E50" s="78"/>
      <c r="F50" s="116"/>
      <c r="G50" s="78"/>
      <c r="H50" s="114"/>
      <c r="I50" s="78"/>
      <c r="J50" s="114"/>
      <c r="K50" s="78"/>
      <c r="L50" s="116"/>
      <c r="M50" s="78"/>
      <c r="N50" s="114"/>
      <c r="O50" s="78"/>
      <c r="P50" s="114"/>
      <c r="Q50" s="78"/>
      <c r="R50" s="114"/>
      <c r="S50" s="78"/>
      <c r="T50" s="114"/>
      <c r="U50" s="78"/>
      <c r="V50" s="116"/>
      <c r="W50" s="78"/>
      <c r="X50" s="116"/>
      <c r="Y50" s="78"/>
      <c r="Z50" s="116"/>
      <c r="AA50" s="221"/>
      <c r="AB50" s="115"/>
      <c r="AC50" s="78"/>
      <c r="AD50" s="116"/>
      <c r="AE50" s="78"/>
      <c r="AF50" s="116"/>
      <c r="AG50" s="78"/>
      <c r="AH50" s="116"/>
      <c r="AI50" s="221"/>
      <c r="AJ50" s="115"/>
      <c r="AK50" s="78"/>
      <c r="AL50" s="83"/>
      <c r="AM50" s="164"/>
      <c r="AN50" s="165"/>
    </row>
    <row r="51" spans="1:40" ht="16.2" customHeight="1">
      <c r="A51" s="127"/>
      <c r="B51" s="80"/>
      <c r="C51" s="80"/>
      <c r="D51" s="80"/>
      <c r="E51" s="80"/>
      <c r="F51" s="84"/>
      <c r="G51" s="80"/>
      <c r="H51" s="80"/>
      <c r="I51" s="80"/>
      <c r="J51" s="80"/>
      <c r="K51" s="80"/>
      <c r="L51" s="84"/>
      <c r="M51" s="80"/>
      <c r="N51" s="80"/>
      <c r="O51" s="80"/>
      <c r="P51" s="80"/>
      <c r="Q51" s="80"/>
      <c r="R51" s="80"/>
      <c r="S51" s="80"/>
      <c r="T51" s="80"/>
      <c r="U51" s="80"/>
      <c r="V51" s="84"/>
      <c r="W51" s="80"/>
      <c r="X51" s="84"/>
      <c r="Y51" s="80"/>
      <c r="Z51" s="84"/>
      <c r="AA51" s="118"/>
      <c r="AB51" s="85"/>
      <c r="AC51" s="80"/>
      <c r="AD51" s="84"/>
      <c r="AE51" s="80"/>
      <c r="AF51" s="84"/>
      <c r="AG51" s="80"/>
      <c r="AH51" s="84"/>
      <c r="AI51" s="118"/>
      <c r="AJ51" s="85"/>
      <c r="AK51" s="80"/>
      <c r="AL51" s="86"/>
      <c r="AM51" s="166"/>
      <c r="AN51" s="167"/>
    </row>
    <row r="52" spans="1:40" ht="16.2" customHeight="1">
      <c r="A52" s="126"/>
      <c r="B52" s="114"/>
      <c r="C52" s="78"/>
      <c r="D52" s="114"/>
      <c r="E52" s="78"/>
      <c r="F52" s="116"/>
      <c r="G52" s="78"/>
      <c r="H52" s="114"/>
      <c r="I52" s="78"/>
      <c r="J52" s="114"/>
      <c r="K52" s="78"/>
      <c r="L52" s="116"/>
      <c r="M52" s="78"/>
      <c r="N52" s="114"/>
      <c r="O52" s="78"/>
      <c r="P52" s="114"/>
      <c r="Q52" s="78"/>
      <c r="R52" s="114"/>
      <c r="S52" s="78"/>
      <c r="T52" s="114"/>
      <c r="U52" s="78"/>
      <c r="V52" s="116"/>
      <c r="W52" s="78"/>
      <c r="X52" s="116"/>
      <c r="Y52" s="78"/>
      <c r="Z52" s="116"/>
      <c r="AA52" s="221"/>
      <c r="AB52" s="115"/>
      <c r="AC52" s="78"/>
      <c r="AD52" s="116"/>
      <c r="AE52" s="78"/>
      <c r="AF52" s="116"/>
      <c r="AG52" s="78"/>
      <c r="AH52" s="116"/>
      <c r="AI52" s="221"/>
      <c r="AJ52" s="115"/>
      <c r="AK52" s="78"/>
      <c r="AL52" s="83"/>
      <c r="AM52" s="164"/>
      <c r="AN52" s="165"/>
    </row>
    <row r="53" spans="1:40" ht="16.2" customHeight="1">
      <c r="A53" s="127"/>
      <c r="B53" s="80"/>
      <c r="C53" s="80"/>
      <c r="D53" s="80"/>
      <c r="E53" s="80"/>
      <c r="F53" s="84"/>
      <c r="G53" s="80"/>
      <c r="H53" s="80"/>
      <c r="I53" s="80"/>
      <c r="J53" s="80"/>
      <c r="K53" s="80"/>
      <c r="L53" s="84"/>
      <c r="M53" s="80"/>
      <c r="N53" s="80"/>
      <c r="O53" s="80"/>
      <c r="P53" s="80"/>
      <c r="Q53" s="80"/>
      <c r="R53" s="80"/>
      <c r="S53" s="80"/>
      <c r="T53" s="80"/>
      <c r="U53" s="80"/>
      <c r="V53" s="84"/>
      <c r="W53" s="80"/>
      <c r="X53" s="84"/>
      <c r="Y53" s="80"/>
      <c r="Z53" s="84"/>
      <c r="AA53" s="118"/>
      <c r="AB53" s="85"/>
      <c r="AC53" s="80"/>
      <c r="AD53" s="84"/>
      <c r="AE53" s="80"/>
      <c r="AF53" s="84"/>
      <c r="AG53" s="80"/>
      <c r="AH53" s="84"/>
      <c r="AI53" s="118"/>
      <c r="AJ53" s="85"/>
      <c r="AK53" s="80"/>
      <c r="AL53" s="86"/>
      <c r="AM53" s="166"/>
      <c r="AN53" s="167"/>
    </row>
    <row r="54" spans="1:40" ht="16.2" customHeight="1">
      <c r="A54" s="126"/>
      <c r="B54" s="114"/>
      <c r="C54" s="78"/>
      <c r="D54" s="114"/>
      <c r="E54" s="78"/>
      <c r="F54" s="116"/>
      <c r="G54" s="78"/>
      <c r="H54" s="114"/>
      <c r="I54" s="78"/>
      <c r="J54" s="114"/>
      <c r="K54" s="78"/>
      <c r="L54" s="116"/>
      <c r="M54" s="78"/>
      <c r="N54" s="114"/>
      <c r="O54" s="78"/>
      <c r="P54" s="114"/>
      <c r="Q54" s="78"/>
      <c r="R54" s="114"/>
      <c r="S54" s="78"/>
      <c r="T54" s="114"/>
      <c r="U54" s="78"/>
      <c r="V54" s="116"/>
      <c r="W54" s="78"/>
      <c r="X54" s="116"/>
      <c r="Y54" s="78"/>
      <c r="Z54" s="116"/>
      <c r="AA54" s="221"/>
      <c r="AB54" s="115"/>
      <c r="AC54" s="78"/>
      <c r="AD54" s="116"/>
      <c r="AE54" s="78"/>
      <c r="AF54" s="116"/>
      <c r="AG54" s="78"/>
      <c r="AH54" s="116"/>
      <c r="AI54" s="221"/>
      <c r="AJ54" s="115"/>
      <c r="AK54" s="78"/>
      <c r="AL54" s="83"/>
      <c r="AM54" s="164"/>
      <c r="AN54" s="165"/>
    </row>
    <row r="55" spans="1:40" ht="16.2" customHeight="1">
      <c r="A55" s="127"/>
      <c r="B55" s="80"/>
      <c r="C55" s="80"/>
      <c r="D55" s="80"/>
      <c r="E55" s="80"/>
      <c r="F55" s="84"/>
      <c r="G55" s="80"/>
      <c r="H55" s="80"/>
      <c r="I55" s="80"/>
      <c r="J55" s="80"/>
      <c r="K55" s="80"/>
      <c r="L55" s="84"/>
      <c r="M55" s="80"/>
      <c r="N55" s="80"/>
      <c r="O55" s="80"/>
      <c r="P55" s="80"/>
      <c r="Q55" s="80"/>
      <c r="R55" s="80"/>
      <c r="S55" s="80"/>
      <c r="T55" s="80"/>
      <c r="U55" s="80"/>
      <c r="V55" s="84"/>
      <c r="W55" s="80"/>
      <c r="X55" s="84"/>
      <c r="Y55" s="80"/>
      <c r="Z55" s="84"/>
      <c r="AA55" s="118"/>
      <c r="AB55" s="85"/>
      <c r="AC55" s="80"/>
      <c r="AD55" s="84"/>
      <c r="AE55" s="80"/>
      <c r="AF55" s="84"/>
      <c r="AG55" s="80"/>
      <c r="AH55" s="84"/>
      <c r="AI55" s="118"/>
      <c r="AJ55" s="85"/>
      <c r="AK55" s="80"/>
      <c r="AL55" s="86"/>
      <c r="AM55" s="166"/>
      <c r="AN55" s="167"/>
    </row>
    <row r="56" spans="1:40" ht="16.2" customHeight="1">
      <c r="A56" s="126"/>
      <c r="B56" s="114"/>
      <c r="C56" s="78"/>
      <c r="D56" s="114"/>
      <c r="E56" s="78"/>
      <c r="F56" s="116"/>
      <c r="G56" s="78"/>
      <c r="H56" s="114"/>
      <c r="I56" s="78"/>
      <c r="J56" s="114"/>
      <c r="K56" s="78"/>
      <c r="L56" s="116"/>
      <c r="M56" s="78"/>
      <c r="N56" s="114"/>
      <c r="O56" s="78"/>
      <c r="P56" s="114"/>
      <c r="Q56" s="78"/>
      <c r="R56" s="114"/>
      <c r="S56" s="78"/>
      <c r="T56" s="114"/>
      <c r="U56" s="78"/>
      <c r="V56" s="116"/>
      <c r="W56" s="78"/>
      <c r="X56" s="116"/>
      <c r="Y56" s="78"/>
      <c r="Z56" s="116"/>
      <c r="AA56" s="221"/>
      <c r="AB56" s="115"/>
      <c r="AC56" s="78"/>
      <c r="AD56" s="116"/>
      <c r="AE56" s="78"/>
      <c r="AF56" s="116"/>
      <c r="AG56" s="78"/>
      <c r="AH56" s="116"/>
      <c r="AI56" s="221"/>
      <c r="AJ56" s="115"/>
      <c r="AK56" s="78"/>
      <c r="AL56" s="83"/>
      <c r="AM56" s="164"/>
      <c r="AN56" s="165"/>
    </row>
    <row r="57" spans="1:40" ht="16.2" customHeight="1">
      <c r="A57" s="127"/>
      <c r="B57" s="80"/>
      <c r="C57" s="80"/>
      <c r="D57" s="80"/>
      <c r="E57" s="80"/>
      <c r="F57" s="84"/>
      <c r="G57" s="80"/>
      <c r="H57" s="80"/>
      <c r="I57" s="80"/>
      <c r="J57" s="80"/>
      <c r="K57" s="80"/>
      <c r="L57" s="84"/>
      <c r="M57" s="80"/>
      <c r="N57" s="80"/>
      <c r="O57" s="80"/>
      <c r="P57" s="80"/>
      <c r="Q57" s="80"/>
      <c r="R57" s="80"/>
      <c r="S57" s="80"/>
      <c r="T57" s="80"/>
      <c r="U57" s="80"/>
      <c r="V57" s="84"/>
      <c r="W57" s="80"/>
      <c r="X57" s="84"/>
      <c r="Y57" s="80"/>
      <c r="Z57" s="84"/>
      <c r="AA57" s="118"/>
      <c r="AB57" s="85"/>
      <c r="AC57" s="80"/>
      <c r="AD57" s="84"/>
      <c r="AE57" s="80"/>
      <c r="AF57" s="84"/>
      <c r="AG57" s="80"/>
      <c r="AH57" s="84"/>
      <c r="AI57" s="118"/>
      <c r="AJ57" s="85"/>
      <c r="AK57" s="80"/>
      <c r="AL57" s="86"/>
      <c r="AM57" s="166"/>
      <c r="AN57" s="167"/>
    </row>
    <row r="58" spans="1:40" ht="16.2" customHeight="1">
      <c r="A58" s="126"/>
      <c r="B58" s="114"/>
      <c r="C58" s="78"/>
      <c r="D58" s="114"/>
      <c r="E58" s="78"/>
      <c r="F58" s="116"/>
      <c r="G58" s="78"/>
      <c r="H58" s="114"/>
      <c r="I58" s="78"/>
      <c r="J58" s="114"/>
      <c r="K58" s="78"/>
      <c r="L58" s="116"/>
      <c r="M58" s="78"/>
      <c r="N58" s="114"/>
      <c r="O58" s="78"/>
      <c r="P58" s="114"/>
      <c r="Q58" s="78"/>
      <c r="R58" s="114"/>
      <c r="S58" s="78"/>
      <c r="T58" s="114"/>
      <c r="U58" s="78"/>
      <c r="V58" s="116"/>
      <c r="W58" s="78"/>
      <c r="X58" s="116"/>
      <c r="Y58" s="78"/>
      <c r="Z58" s="116"/>
      <c r="AA58" s="221"/>
      <c r="AB58" s="115"/>
      <c r="AC58" s="78"/>
      <c r="AD58" s="116"/>
      <c r="AE58" s="78"/>
      <c r="AF58" s="116"/>
      <c r="AG58" s="78"/>
      <c r="AH58" s="116"/>
      <c r="AI58" s="221"/>
      <c r="AJ58" s="115"/>
      <c r="AK58" s="78"/>
      <c r="AL58" s="83"/>
      <c r="AM58" s="164"/>
      <c r="AN58" s="165"/>
    </row>
    <row r="59" spans="1:40" ht="16.2" customHeight="1">
      <c r="A59" s="127"/>
      <c r="B59" s="80"/>
      <c r="C59" s="80"/>
      <c r="D59" s="80"/>
      <c r="E59" s="80"/>
      <c r="F59" s="84"/>
      <c r="G59" s="80"/>
      <c r="H59" s="80"/>
      <c r="I59" s="80"/>
      <c r="J59" s="80"/>
      <c r="K59" s="80"/>
      <c r="L59" s="84"/>
      <c r="M59" s="80"/>
      <c r="N59" s="80"/>
      <c r="O59" s="80"/>
      <c r="P59" s="80"/>
      <c r="Q59" s="80"/>
      <c r="R59" s="80"/>
      <c r="S59" s="80"/>
      <c r="T59" s="80"/>
      <c r="U59" s="80"/>
      <c r="V59" s="84"/>
      <c r="W59" s="80"/>
      <c r="X59" s="84"/>
      <c r="Y59" s="80"/>
      <c r="Z59" s="84"/>
      <c r="AA59" s="118"/>
      <c r="AB59" s="85"/>
      <c r="AC59" s="80"/>
      <c r="AD59" s="84"/>
      <c r="AE59" s="80"/>
      <c r="AF59" s="84"/>
      <c r="AG59" s="80"/>
      <c r="AH59" s="84"/>
      <c r="AI59" s="118"/>
      <c r="AJ59" s="85"/>
      <c r="AK59" s="80"/>
      <c r="AL59" s="86"/>
      <c r="AM59" s="166"/>
      <c r="AN59" s="167"/>
    </row>
    <row r="60" spans="1:40" ht="16.2" customHeight="1">
      <c r="A60" s="126"/>
      <c r="B60" s="114"/>
      <c r="C60" s="78"/>
      <c r="D60" s="114"/>
      <c r="E60" s="78"/>
      <c r="F60" s="116"/>
      <c r="G60" s="78"/>
      <c r="H60" s="114"/>
      <c r="I60" s="78"/>
      <c r="J60" s="114"/>
      <c r="K60" s="78"/>
      <c r="L60" s="116"/>
      <c r="M60" s="78"/>
      <c r="N60" s="114"/>
      <c r="O60" s="78"/>
      <c r="P60" s="114"/>
      <c r="Q60" s="78"/>
      <c r="R60" s="114"/>
      <c r="S60" s="78"/>
      <c r="T60" s="114"/>
      <c r="U60" s="78"/>
      <c r="V60" s="116"/>
      <c r="W60" s="78"/>
      <c r="X60" s="116"/>
      <c r="Y60" s="78"/>
      <c r="Z60" s="116"/>
      <c r="AA60" s="221"/>
      <c r="AB60" s="115"/>
      <c r="AC60" s="78"/>
      <c r="AD60" s="116"/>
      <c r="AE60" s="78"/>
      <c r="AF60" s="116"/>
      <c r="AG60" s="78"/>
      <c r="AH60" s="116"/>
      <c r="AI60" s="221"/>
      <c r="AJ60" s="115"/>
      <c r="AK60" s="78"/>
      <c r="AL60" s="83"/>
      <c r="AM60" s="164"/>
      <c r="AN60" s="165"/>
    </row>
    <row r="61" spans="1:40" ht="16.2" customHeight="1">
      <c r="A61" s="127"/>
      <c r="B61" s="80"/>
      <c r="C61" s="80"/>
      <c r="D61" s="80"/>
      <c r="E61" s="80"/>
      <c r="F61" s="84"/>
      <c r="G61" s="80"/>
      <c r="H61" s="80"/>
      <c r="I61" s="80"/>
      <c r="J61" s="80"/>
      <c r="K61" s="80"/>
      <c r="L61" s="84"/>
      <c r="M61" s="80"/>
      <c r="N61" s="80"/>
      <c r="O61" s="80"/>
      <c r="P61" s="80"/>
      <c r="Q61" s="80"/>
      <c r="R61" s="80"/>
      <c r="S61" s="80"/>
      <c r="T61" s="80"/>
      <c r="U61" s="80"/>
      <c r="V61" s="84"/>
      <c r="W61" s="80"/>
      <c r="X61" s="84"/>
      <c r="Y61" s="80"/>
      <c r="Z61" s="84"/>
      <c r="AA61" s="118"/>
      <c r="AB61" s="85"/>
      <c r="AC61" s="80"/>
      <c r="AD61" s="84"/>
      <c r="AE61" s="80"/>
      <c r="AF61" s="84"/>
      <c r="AG61" s="80"/>
      <c r="AH61" s="84"/>
      <c r="AI61" s="118"/>
      <c r="AJ61" s="85"/>
      <c r="AK61" s="80"/>
      <c r="AL61" s="86"/>
      <c r="AM61" s="166"/>
      <c r="AN61" s="167"/>
    </row>
    <row r="62" spans="1:40" ht="16.2" customHeight="1">
      <c r="A62" s="126"/>
      <c r="B62" s="114"/>
      <c r="C62" s="78"/>
      <c r="D62" s="114"/>
      <c r="E62" s="78"/>
      <c r="F62" s="116"/>
      <c r="G62" s="78"/>
      <c r="H62" s="114"/>
      <c r="I62" s="78"/>
      <c r="J62" s="114"/>
      <c r="K62" s="78"/>
      <c r="L62" s="116"/>
      <c r="M62" s="78"/>
      <c r="N62" s="114"/>
      <c r="O62" s="78"/>
      <c r="P62" s="114"/>
      <c r="Q62" s="78"/>
      <c r="R62" s="114"/>
      <c r="S62" s="78"/>
      <c r="T62" s="114"/>
      <c r="U62" s="78"/>
      <c r="V62" s="116"/>
      <c r="W62" s="78"/>
      <c r="X62" s="116"/>
      <c r="Y62" s="78"/>
      <c r="Z62" s="116"/>
      <c r="AA62" s="221"/>
      <c r="AB62" s="115"/>
      <c r="AC62" s="78"/>
      <c r="AD62" s="116"/>
      <c r="AE62" s="78"/>
      <c r="AF62" s="116"/>
      <c r="AG62" s="78"/>
      <c r="AH62" s="116"/>
      <c r="AI62" s="221"/>
      <c r="AJ62" s="115"/>
      <c r="AK62" s="78"/>
      <c r="AL62" s="83"/>
      <c r="AM62" s="164"/>
      <c r="AN62" s="165"/>
    </row>
    <row r="63" spans="1:40" ht="16.2" customHeight="1">
      <c r="A63" s="127"/>
      <c r="B63" s="80"/>
      <c r="C63" s="80"/>
      <c r="D63" s="80"/>
      <c r="E63" s="80"/>
      <c r="F63" s="84"/>
      <c r="G63" s="80"/>
      <c r="H63" s="80"/>
      <c r="I63" s="80"/>
      <c r="J63" s="80"/>
      <c r="K63" s="80"/>
      <c r="L63" s="84"/>
      <c r="M63" s="80"/>
      <c r="N63" s="80"/>
      <c r="O63" s="80"/>
      <c r="P63" s="80"/>
      <c r="Q63" s="80"/>
      <c r="R63" s="80"/>
      <c r="S63" s="80"/>
      <c r="T63" s="80"/>
      <c r="U63" s="80"/>
      <c r="V63" s="84"/>
      <c r="W63" s="80"/>
      <c r="X63" s="84"/>
      <c r="Y63" s="80"/>
      <c r="Z63" s="84"/>
      <c r="AA63" s="118"/>
      <c r="AB63" s="85"/>
      <c r="AC63" s="80"/>
      <c r="AD63" s="84"/>
      <c r="AE63" s="80"/>
      <c r="AF63" s="84"/>
      <c r="AG63" s="80"/>
      <c r="AH63" s="84"/>
      <c r="AI63" s="118"/>
      <c r="AJ63" s="85"/>
      <c r="AK63" s="80"/>
      <c r="AL63" s="86"/>
      <c r="AM63" s="166"/>
      <c r="AN63" s="167"/>
    </row>
    <row r="64" spans="1:40" ht="16.2" customHeight="1">
      <c r="A64" s="126"/>
      <c r="B64" s="114"/>
      <c r="C64" s="78"/>
      <c r="D64" s="114"/>
      <c r="E64" s="78"/>
      <c r="F64" s="116"/>
      <c r="G64" s="78"/>
      <c r="H64" s="114"/>
      <c r="I64" s="78"/>
      <c r="J64" s="114"/>
      <c r="K64" s="78"/>
      <c r="L64" s="116"/>
      <c r="M64" s="78"/>
      <c r="N64" s="114"/>
      <c r="O64" s="78"/>
      <c r="P64" s="114"/>
      <c r="Q64" s="78"/>
      <c r="R64" s="114"/>
      <c r="S64" s="78"/>
      <c r="T64" s="114"/>
      <c r="U64" s="78"/>
      <c r="V64" s="116"/>
      <c r="W64" s="78"/>
      <c r="X64" s="116"/>
      <c r="Y64" s="78"/>
      <c r="Z64" s="116"/>
      <c r="AA64" s="221"/>
      <c r="AB64" s="115"/>
      <c r="AC64" s="78"/>
      <c r="AD64" s="116"/>
      <c r="AE64" s="78"/>
      <c r="AF64" s="116"/>
      <c r="AG64" s="78"/>
      <c r="AH64" s="116"/>
      <c r="AI64" s="221"/>
      <c r="AJ64" s="115"/>
      <c r="AK64" s="78"/>
      <c r="AL64" s="83"/>
      <c r="AM64" s="164"/>
      <c r="AN64" s="165"/>
    </row>
    <row r="65" spans="1:40" ht="16.2" customHeight="1">
      <c r="A65" s="127"/>
      <c r="B65" s="80"/>
      <c r="C65" s="80"/>
      <c r="D65" s="80"/>
      <c r="E65" s="80"/>
      <c r="F65" s="84"/>
      <c r="G65" s="80"/>
      <c r="H65" s="80"/>
      <c r="I65" s="80"/>
      <c r="J65" s="80"/>
      <c r="K65" s="80"/>
      <c r="L65" s="84"/>
      <c r="M65" s="80"/>
      <c r="N65" s="80"/>
      <c r="O65" s="80"/>
      <c r="P65" s="80"/>
      <c r="Q65" s="80"/>
      <c r="R65" s="80"/>
      <c r="S65" s="80"/>
      <c r="T65" s="80"/>
      <c r="U65" s="80"/>
      <c r="V65" s="84"/>
      <c r="W65" s="80"/>
      <c r="X65" s="84"/>
      <c r="Y65" s="80"/>
      <c r="Z65" s="84"/>
      <c r="AA65" s="118"/>
      <c r="AB65" s="85"/>
      <c r="AC65" s="80"/>
      <c r="AD65" s="84"/>
      <c r="AE65" s="80"/>
      <c r="AF65" s="84"/>
      <c r="AG65" s="80"/>
      <c r="AH65" s="84"/>
      <c r="AI65" s="118"/>
      <c r="AJ65" s="85"/>
      <c r="AK65" s="80"/>
      <c r="AL65" s="86"/>
      <c r="AM65" s="166"/>
      <c r="AN65" s="167"/>
    </row>
    <row r="66" spans="1:40" ht="16.2" customHeight="1">
      <c r="A66" s="126"/>
      <c r="B66" s="114"/>
      <c r="C66" s="78"/>
      <c r="D66" s="114"/>
      <c r="E66" s="78"/>
      <c r="F66" s="116"/>
      <c r="G66" s="78"/>
      <c r="H66" s="114"/>
      <c r="I66" s="78"/>
      <c r="J66" s="114"/>
      <c r="K66" s="78"/>
      <c r="L66" s="116"/>
      <c r="M66" s="78"/>
      <c r="N66" s="114"/>
      <c r="O66" s="78"/>
      <c r="P66" s="114"/>
      <c r="Q66" s="78"/>
      <c r="R66" s="114"/>
      <c r="S66" s="78"/>
      <c r="T66" s="114"/>
      <c r="U66" s="78"/>
      <c r="V66" s="116"/>
      <c r="W66" s="78"/>
      <c r="X66" s="116"/>
      <c r="Y66" s="78"/>
      <c r="Z66" s="116"/>
      <c r="AA66" s="221"/>
      <c r="AB66" s="115"/>
      <c r="AC66" s="78"/>
      <c r="AD66" s="116"/>
      <c r="AE66" s="78"/>
      <c r="AF66" s="116"/>
      <c r="AG66" s="78"/>
      <c r="AH66" s="116"/>
      <c r="AI66" s="221"/>
      <c r="AJ66" s="115"/>
      <c r="AK66" s="78"/>
      <c r="AL66" s="83"/>
      <c r="AM66" s="164"/>
      <c r="AN66" s="165"/>
    </row>
    <row r="67" spans="1:40" ht="16.2" customHeight="1">
      <c r="A67" s="127"/>
      <c r="B67" s="80"/>
      <c r="C67" s="80"/>
      <c r="D67" s="80"/>
      <c r="E67" s="80"/>
      <c r="F67" s="84"/>
      <c r="G67" s="80"/>
      <c r="H67" s="80"/>
      <c r="I67" s="80"/>
      <c r="J67" s="80"/>
      <c r="K67" s="80"/>
      <c r="L67" s="84"/>
      <c r="M67" s="80"/>
      <c r="N67" s="80"/>
      <c r="O67" s="80"/>
      <c r="P67" s="80"/>
      <c r="Q67" s="80"/>
      <c r="R67" s="80"/>
      <c r="S67" s="80"/>
      <c r="T67" s="80"/>
      <c r="U67" s="80"/>
      <c r="V67" s="84"/>
      <c r="W67" s="80"/>
      <c r="X67" s="84"/>
      <c r="Y67" s="80"/>
      <c r="Z67" s="84"/>
      <c r="AA67" s="118"/>
      <c r="AB67" s="85"/>
      <c r="AC67" s="80"/>
      <c r="AD67" s="84"/>
      <c r="AE67" s="80"/>
      <c r="AF67" s="84"/>
      <c r="AG67" s="80"/>
      <c r="AH67" s="84"/>
      <c r="AI67" s="118"/>
      <c r="AJ67" s="85"/>
      <c r="AK67" s="80"/>
      <c r="AL67" s="86"/>
      <c r="AM67" s="166"/>
      <c r="AN67" s="167"/>
    </row>
    <row r="68" spans="1:40" ht="16.2" customHeight="1">
      <c r="A68" s="126"/>
      <c r="B68" s="114"/>
      <c r="C68" s="78"/>
      <c r="D68" s="114"/>
      <c r="E68" s="78"/>
      <c r="F68" s="116"/>
      <c r="G68" s="78"/>
      <c r="H68" s="114"/>
      <c r="I68" s="78"/>
      <c r="J68" s="114"/>
      <c r="K68" s="78"/>
      <c r="L68" s="116"/>
      <c r="M68" s="78"/>
      <c r="N68" s="114"/>
      <c r="O68" s="78"/>
      <c r="P68" s="114"/>
      <c r="Q68" s="78"/>
      <c r="R68" s="114"/>
      <c r="S68" s="78"/>
      <c r="T68" s="114"/>
      <c r="U68" s="78"/>
      <c r="V68" s="116"/>
      <c r="W68" s="78"/>
      <c r="X68" s="116"/>
      <c r="Y68" s="78"/>
      <c r="Z68" s="116"/>
      <c r="AA68" s="221"/>
      <c r="AB68" s="115"/>
      <c r="AC68" s="78"/>
      <c r="AD68" s="116"/>
      <c r="AE68" s="78"/>
      <c r="AF68" s="116"/>
      <c r="AG68" s="78"/>
      <c r="AH68" s="116"/>
      <c r="AI68" s="221"/>
      <c r="AJ68" s="115"/>
      <c r="AK68" s="78"/>
      <c r="AL68" s="83"/>
      <c r="AM68" s="164"/>
      <c r="AN68" s="165"/>
    </row>
    <row r="69" spans="1:40" ht="16.2" customHeight="1">
      <c r="A69" s="127"/>
      <c r="B69" s="80"/>
      <c r="C69" s="80"/>
      <c r="D69" s="80"/>
      <c r="E69" s="80"/>
      <c r="F69" s="84"/>
      <c r="G69" s="80"/>
      <c r="H69" s="80"/>
      <c r="I69" s="80"/>
      <c r="J69" s="80"/>
      <c r="K69" s="80"/>
      <c r="L69" s="84"/>
      <c r="M69" s="80"/>
      <c r="N69" s="80"/>
      <c r="O69" s="80"/>
      <c r="P69" s="80"/>
      <c r="Q69" s="80"/>
      <c r="R69" s="80"/>
      <c r="S69" s="80"/>
      <c r="T69" s="80"/>
      <c r="U69" s="80"/>
      <c r="V69" s="84"/>
      <c r="W69" s="80"/>
      <c r="X69" s="84"/>
      <c r="Y69" s="80"/>
      <c r="Z69" s="84"/>
      <c r="AA69" s="118"/>
      <c r="AB69" s="85"/>
      <c r="AC69" s="80"/>
      <c r="AD69" s="84"/>
      <c r="AE69" s="80"/>
      <c r="AF69" s="84"/>
      <c r="AG69" s="80"/>
      <c r="AH69" s="84"/>
      <c r="AI69" s="118"/>
      <c r="AJ69" s="85"/>
      <c r="AK69" s="80"/>
      <c r="AL69" s="86"/>
      <c r="AM69" s="166"/>
      <c r="AN69" s="167"/>
    </row>
    <row r="70" spans="1:40" ht="16.2" customHeight="1">
      <c r="A70" s="126"/>
      <c r="B70" s="114"/>
      <c r="C70" s="78"/>
      <c r="D70" s="114"/>
      <c r="E70" s="78"/>
      <c r="F70" s="116"/>
      <c r="G70" s="78"/>
      <c r="H70" s="114"/>
      <c r="I70" s="78"/>
      <c r="J70" s="114"/>
      <c r="K70" s="78"/>
      <c r="L70" s="116"/>
      <c r="M70" s="78"/>
      <c r="N70" s="114"/>
      <c r="O70" s="78"/>
      <c r="P70" s="114"/>
      <c r="Q70" s="78"/>
      <c r="R70" s="114"/>
      <c r="S70" s="78"/>
      <c r="T70" s="114"/>
      <c r="U70" s="78"/>
      <c r="V70" s="116"/>
      <c r="W70" s="78"/>
      <c r="X70" s="116"/>
      <c r="Y70" s="78"/>
      <c r="Z70" s="116"/>
      <c r="AA70" s="221"/>
      <c r="AB70" s="115"/>
      <c r="AC70" s="78"/>
      <c r="AD70" s="116"/>
      <c r="AE70" s="78"/>
      <c r="AF70" s="116"/>
      <c r="AG70" s="78"/>
      <c r="AH70" s="116"/>
      <c r="AI70" s="221"/>
      <c r="AJ70" s="115"/>
      <c r="AK70" s="78"/>
      <c r="AL70" s="83"/>
      <c r="AM70" s="164"/>
      <c r="AN70" s="165"/>
    </row>
    <row r="71" spans="1:40" ht="16.2" customHeight="1">
      <c r="A71" s="127"/>
      <c r="B71" s="80"/>
      <c r="C71" s="80"/>
      <c r="D71" s="80"/>
      <c r="E71" s="80"/>
      <c r="F71" s="84"/>
      <c r="G71" s="80"/>
      <c r="H71" s="80"/>
      <c r="I71" s="80"/>
      <c r="J71" s="80"/>
      <c r="K71" s="80"/>
      <c r="L71" s="84"/>
      <c r="M71" s="80"/>
      <c r="N71" s="80"/>
      <c r="O71" s="80"/>
      <c r="P71" s="80"/>
      <c r="Q71" s="80"/>
      <c r="R71" s="80"/>
      <c r="S71" s="80"/>
      <c r="T71" s="80"/>
      <c r="U71" s="80"/>
      <c r="V71" s="84"/>
      <c r="W71" s="80"/>
      <c r="X71" s="84"/>
      <c r="Y71" s="80"/>
      <c r="Z71" s="84"/>
      <c r="AA71" s="118"/>
      <c r="AB71" s="85"/>
      <c r="AC71" s="80"/>
      <c r="AD71" s="84"/>
      <c r="AE71" s="80"/>
      <c r="AF71" s="84"/>
      <c r="AG71" s="80"/>
      <c r="AH71" s="84"/>
      <c r="AI71" s="118"/>
      <c r="AJ71" s="85"/>
      <c r="AK71" s="80"/>
      <c r="AL71" s="86"/>
      <c r="AM71" s="166"/>
      <c r="AN71" s="167"/>
    </row>
    <row r="72" spans="1:40" ht="16.2" customHeight="1">
      <c r="A72" s="126"/>
      <c r="B72" s="114"/>
      <c r="C72" s="78"/>
      <c r="D72" s="114"/>
      <c r="E72" s="78"/>
      <c r="F72" s="116"/>
      <c r="G72" s="78"/>
      <c r="H72" s="114"/>
      <c r="I72" s="78"/>
      <c r="J72" s="114"/>
      <c r="K72" s="78"/>
      <c r="L72" s="116"/>
      <c r="M72" s="78"/>
      <c r="N72" s="114"/>
      <c r="O72" s="78"/>
      <c r="P72" s="114"/>
      <c r="Q72" s="78"/>
      <c r="R72" s="114"/>
      <c r="S72" s="78"/>
      <c r="T72" s="114"/>
      <c r="U72" s="78"/>
      <c r="V72" s="116"/>
      <c r="W72" s="78"/>
      <c r="X72" s="116"/>
      <c r="Y72" s="78"/>
      <c r="Z72" s="116"/>
      <c r="AA72" s="221"/>
      <c r="AB72" s="115"/>
      <c r="AC72" s="78"/>
      <c r="AD72" s="116"/>
      <c r="AE72" s="78"/>
      <c r="AF72" s="116"/>
      <c r="AG72" s="78"/>
      <c r="AH72" s="116"/>
      <c r="AI72" s="221"/>
      <c r="AJ72" s="115"/>
      <c r="AK72" s="78"/>
      <c r="AL72" s="83"/>
      <c r="AM72" s="164"/>
      <c r="AN72" s="165"/>
    </row>
    <row r="73" spans="1:40" ht="16.2" customHeight="1">
      <c r="A73" s="127"/>
      <c r="B73" s="80"/>
      <c r="C73" s="80"/>
      <c r="D73" s="80"/>
      <c r="E73" s="80"/>
      <c r="F73" s="84"/>
      <c r="G73" s="80"/>
      <c r="H73" s="80"/>
      <c r="I73" s="80"/>
      <c r="J73" s="80"/>
      <c r="K73" s="80"/>
      <c r="L73" s="84"/>
      <c r="M73" s="80"/>
      <c r="N73" s="80"/>
      <c r="O73" s="80"/>
      <c r="P73" s="80"/>
      <c r="Q73" s="80"/>
      <c r="R73" s="80"/>
      <c r="S73" s="80"/>
      <c r="T73" s="80"/>
      <c r="U73" s="80"/>
      <c r="V73" s="84"/>
      <c r="W73" s="80"/>
      <c r="X73" s="84"/>
      <c r="Y73" s="80"/>
      <c r="Z73" s="84"/>
      <c r="AA73" s="118"/>
      <c r="AB73" s="85"/>
      <c r="AC73" s="80"/>
      <c r="AD73" s="84"/>
      <c r="AE73" s="80"/>
      <c r="AF73" s="84"/>
      <c r="AG73" s="80"/>
      <c r="AH73" s="84"/>
      <c r="AI73" s="118"/>
      <c r="AJ73" s="85"/>
      <c r="AK73" s="80"/>
      <c r="AL73" s="86"/>
      <c r="AM73" s="166"/>
      <c r="AN73" s="167"/>
    </row>
    <row r="74" spans="1:40" ht="16.2" customHeight="1">
      <c r="A74" s="126"/>
      <c r="B74" s="114"/>
      <c r="C74" s="78"/>
      <c r="D74" s="114"/>
      <c r="E74" s="78"/>
      <c r="F74" s="116"/>
      <c r="G74" s="78"/>
      <c r="H74" s="114"/>
      <c r="I74" s="78"/>
      <c r="J74" s="114"/>
      <c r="K74" s="78"/>
      <c r="L74" s="116"/>
      <c r="M74" s="78"/>
      <c r="N74" s="114"/>
      <c r="O74" s="78"/>
      <c r="P74" s="114"/>
      <c r="Q74" s="78"/>
      <c r="R74" s="114"/>
      <c r="S74" s="78"/>
      <c r="T74" s="114"/>
      <c r="U74" s="78"/>
      <c r="V74" s="116"/>
      <c r="W74" s="78"/>
      <c r="X74" s="116"/>
      <c r="Y74" s="78"/>
      <c r="Z74" s="116"/>
      <c r="AA74" s="221"/>
      <c r="AB74" s="115"/>
      <c r="AC74" s="78"/>
      <c r="AD74" s="116"/>
      <c r="AE74" s="78"/>
      <c r="AF74" s="116"/>
      <c r="AG74" s="78"/>
      <c r="AH74" s="116"/>
      <c r="AI74" s="221"/>
      <c r="AJ74" s="115"/>
      <c r="AK74" s="78"/>
      <c r="AL74" s="83"/>
      <c r="AM74" s="164"/>
      <c r="AN74" s="165"/>
    </row>
    <row r="75" spans="1:40" ht="16.2" customHeight="1">
      <c r="A75" s="127"/>
      <c r="B75" s="80"/>
      <c r="C75" s="80"/>
      <c r="D75" s="80"/>
      <c r="E75" s="80"/>
      <c r="F75" s="84"/>
      <c r="G75" s="80"/>
      <c r="H75" s="80"/>
      <c r="I75" s="80"/>
      <c r="J75" s="80"/>
      <c r="K75" s="80"/>
      <c r="L75" s="84"/>
      <c r="M75" s="80"/>
      <c r="N75" s="80"/>
      <c r="O75" s="80"/>
      <c r="P75" s="80"/>
      <c r="Q75" s="80"/>
      <c r="R75" s="80"/>
      <c r="S75" s="80"/>
      <c r="T75" s="80"/>
      <c r="U75" s="80"/>
      <c r="V75" s="84"/>
      <c r="W75" s="80"/>
      <c r="X75" s="84"/>
      <c r="Y75" s="80"/>
      <c r="Z75" s="84"/>
      <c r="AA75" s="118"/>
      <c r="AB75" s="85"/>
      <c r="AC75" s="80"/>
      <c r="AD75" s="84"/>
      <c r="AE75" s="80"/>
      <c r="AF75" s="84"/>
      <c r="AG75" s="80"/>
      <c r="AH75" s="84"/>
      <c r="AI75" s="118"/>
      <c r="AJ75" s="85"/>
      <c r="AK75" s="80"/>
      <c r="AL75" s="86"/>
      <c r="AM75" s="166"/>
      <c r="AN75" s="167"/>
    </row>
    <row r="76" spans="1:40" ht="16.2" customHeight="1">
      <c r="A76" s="126"/>
      <c r="B76" s="114"/>
      <c r="C76" s="78"/>
      <c r="D76" s="114"/>
      <c r="E76" s="78"/>
      <c r="F76" s="116"/>
      <c r="G76" s="78"/>
      <c r="H76" s="114"/>
      <c r="I76" s="78"/>
      <c r="J76" s="114"/>
      <c r="K76" s="78"/>
      <c r="L76" s="116"/>
      <c r="M76" s="78"/>
      <c r="N76" s="114"/>
      <c r="O76" s="78"/>
      <c r="P76" s="114"/>
      <c r="Q76" s="78"/>
      <c r="R76" s="114"/>
      <c r="S76" s="78"/>
      <c r="T76" s="114"/>
      <c r="U76" s="78"/>
      <c r="V76" s="116"/>
      <c r="W76" s="78"/>
      <c r="X76" s="116"/>
      <c r="Y76" s="78"/>
      <c r="Z76" s="116"/>
      <c r="AA76" s="221"/>
      <c r="AB76" s="115"/>
      <c r="AC76" s="78"/>
      <c r="AD76" s="116"/>
      <c r="AE76" s="78"/>
      <c r="AF76" s="116"/>
      <c r="AG76" s="78"/>
      <c r="AH76" s="116"/>
      <c r="AI76" s="221"/>
      <c r="AJ76" s="115"/>
      <c r="AK76" s="78"/>
      <c r="AL76" s="83"/>
      <c r="AM76" s="164"/>
      <c r="AN76" s="165"/>
    </row>
    <row r="77" spans="1:40" ht="16.2" customHeight="1">
      <c r="A77" s="127"/>
      <c r="B77" s="80"/>
      <c r="C77" s="80"/>
      <c r="D77" s="80"/>
      <c r="E77" s="80"/>
      <c r="F77" s="84"/>
      <c r="G77" s="80"/>
      <c r="H77" s="80"/>
      <c r="I77" s="80"/>
      <c r="J77" s="80"/>
      <c r="K77" s="80"/>
      <c r="L77" s="84"/>
      <c r="M77" s="80"/>
      <c r="N77" s="80"/>
      <c r="O77" s="80"/>
      <c r="P77" s="80"/>
      <c r="Q77" s="80"/>
      <c r="R77" s="80"/>
      <c r="S77" s="80"/>
      <c r="T77" s="80"/>
      <c r="U77" s="80"/>
      <c r="V77" s="84"/>
      <c r="W77" s="80"/>
      <c r="X77" s="84"/>
      <c r="Y77" s="80"/>
      <c r="Z77" s="84"/>
      <c r="AA77" s="118"/>
      <c r="AB77" s="85"/>
      <c r="AC77" s="80"/>
      <c r="AD77" s="84"/>
      <c r="AE77" s="80"/>
      <c r="AF77" s="84"/>
      <c r="AG77" s="80"/>
      <c r="AH77" s="84"/>
      <c r="AI77" s="118"/>
      <c r="AJ77" s="85"/>
      <c r="AK77" s="80"/>
      <c r="AL77" s="86"/>
      <c r="AM77" s="166"/>
      <c r="AN77" s="167"/>
    </row>
    <row r="78" spans="1:40" ht="16.2" customHeight="1">
      <c r="A78" s="126"/>
      <c r="B78" s="114"/>
      <c r="C78" s="78"/>
      <c r="D78" s="114"/>
      <c r="E78" s="78"/>
      <c r="F78" s="116"/>
      <c r="G78" s="78"/>
      <c r="H78" s="114"/>
      <c r="I78" s="78"/>
      <c r="J78" s="114"/>
      <c r="K78" s="78"/>
      <c r="L78" s="116"/>
      <c r="M78" s="78"/>
      <c r="N78" s="114"/>
      <c r="O78" s="78"/>
      <c r="P78" s="114"/>
      <c r="Q78" s="78"/>
      <c r="R78" s="114"/>
      <c r="S78" s="78"/>
      <c r="T78" s="114"/>
      <c r="U78" s="78"/>
      <c r="V78" s="116"/>
      <c r="W78" s="78"/>
      <c r="X78" s="116"/>
      <c r="Y78" s="78"/>
      <c r="Z78" s="116"/>
      <c r="AA78" s="221"/>
      <c r="AB78" s="115"/>
      <c r="AC78" s="78"/>
      <c r="AD78" s="116"/>
      <c r="AE78" s="78"/>
      <c r="AF78" s="116"/>
      <c r="AG78" s="78"/>
      <c r="AH78" s="116"/>
      <c r="AI78" s="221"/>
      <c r="AJ78" s="115"/>
      <c r="AK78" s="78"/>
      <c r="AL78" s="83"/>
      <c r="AM78" s="164"/>
      <c r="AN78" s="165"/>
    </row>
    <row r="79" spans="1:40" ht="16.2" customHeight="1">
      <c r="A79" s="127"/>
      <c r="B79" s="80"/>
      <c r="C79" s="80"/>
      <c r="D79" s="80"/>
      <c r="E79" s="80"/>
      <c r="F79" s="84"/>
      <c r="G79" s="80"/>
      <c r="H79" s="80"/>
      <c r="I79" s="80"/>
      <c r="J79" s="80"/>
      <c r="K79" s="80"/>
      <c r="L79" s="84"/>
      <c r="M79" s="80"/>
      <c r="N79" s="80"/>
      <c r="O79" s="80"/>
      <c r="P79" s="80"/>
      <c r="Q79" s="80"/>
      <c r="R79" s="80"/>
      <c r="S79" s="80"/>
      <c r="T79" s="80"/>
      <c r="U79" s="80"/>
      <c r="V79" s="84"/>
      <c r="W79" s="80"/>
      <c r="X79" s="84"/>
      <c r="Y79" s="80"/>
      <c r="Z79" s="84"/>
      <c r="AA79" s="118"/>
      <c r="AB79" s="85"/>
      <c r="AC79" s="80"/>
      <c r="AD79" s="84"/>
      <c r="AE79" s="80"/>
      <c r="AF79" s="84"/>
      <c r="AG79" s="80"/>
      <c r="AH79" s="84"/>
      <c r="AI79" s="118"/>
      <c r="AJ79" s="85"/>
      <c r="AK79" s="80"/>
      <c r="AL79" s="86"/>
      <c r="AM79" s="166"/>
      <c r="AN79" s="167"/>
    </row>
    <row r="80" spans="1:40" ht="16.2" customHeight="1">
      <c r="A80" s="126"/>
      <c r="B80" s="114"/>
      <c r="C80" s="78"/>
      <c r="D80" s="114"/>
      <c r="E80" s="78"/>
      <c r="F80" s="116"/>
      <c r="G80" s="78"/>
      <c r="H80" s="114"/>
      <c r="I80" s="78"/>
      <c r="J80" s="114"/>
      <c r="K80" s="78"/>
      <c r="L80" s="116"/>
      <c r="M80" s="78"/>
      <c r="N80" s="114"/>
      <c r="O80" s="78"/>
      <c r="P80" s="114"/>
      <c r="Q80" s="78"/>
      <c r="R80" s="114"/>
      <c r="S80" s="78"/>
      <c r="T80" s="114"/>
      <c r="U80" s="78"/>
      <c r="V80" s="116"/>
      <c r="W80" s="78"/>
      <c r="X80" s="116"/>
      <c r="Y80" s="78"/>
      <c r="Z80" s="116"/>
      <c r="AA80" s="221"/>
      <c r="AB80" s="115"/>
      <c r="AC80" s="78"/>
      <c r="AD80" s="116"/>
      <c r="AE80" s="78"/>
      <c r="AF80" s="116"/>
      <c r="AG80" s="78"/>
      <c r="AH80" s="116"/>
      <c r="AI80" s="221"/>
      <c r="AJ80" s="115"/>
      <c r="AK80" s="78"/>
      <c r="AL80" s="83"/>
      <c r="AM80" s="164"/>
      <c r="AN80" s="165"/>
    </row>
    <row r="81" spans="1:40" ht="16.2" customHeight="1">
      <c r="A81" s="127"/>
      <c r="B81" s="80"/>
      <c r="C81" s="80"/>
      <c r="D81" s="80"/>
      <c r="E81" s="80"/>
      <c r="F81" s="84"/>
      <c r="G81" s="80"/>
      <c r="H81" s="80"/>
      <c r="I81" s="80"/>
      <c r="J81" s="80"/>
      <c r="K81" s="80"/>
      <c r="L81" s="84"/>
      <c r="M81" s="80"/>
      <c r="N81" s="80"/>
      <c r="O81" s="80"/>
      <c r="P81" s="80"/>
      <c r="Q81" s="80"/>
      <c r="R81" s="80"/>
      <c r="S81" s="80"/>
      <c r="T81" s="80"/>
      <c r="U81" s="80"/>
      <c r="V81" s="84"/>
      <c r="W81" s="80"/>
      <c r="X81" s="84"/>
      <c r="Y81" s="80"/>
      <c r="Z81" s="84"/>
      <c r="AA81" s="118"/>
      <c r="AB81" s="85"/>
      <c r="AC81" s="80"/>
      <c r="AD81" s="84"/>
      <c r="AE81" s="80"/>
      <c r="AF81" s="84"/>
      <c r="AG81" s="80"/>
      <c r="AH81" s="84"/>
      <c r="AI81" s="118"/>
      <c r="AJ81" s="85"/>
      <c r="AK81" s="80"/>
      <c r="AL81" s="86"/>
      <c r="AM81" s="166"/>
      <c r="AN81" s="167"/>
    </row>
    <row r="82" spans="1:40" ht="16.2" customHeight="1">
      <c r="A82" s="126"/>
      <c r="B82" s="114"/>
      <c r="C82" s="78"/>
      <c r="D82" s="114"/>
      <c r="E82" s="78"/>
      <c r="F82" s="116"/>
      <c r="G82" s="78"/>
      <c r="H82" s="114"/>
      <c r="I82" s="78"/>
      <c r="J82" s="114"/>
      <c r="K82" s="78"/>
      <c r="L82" s="116"/>
      <c r="M82" s="78"/>
      <c r="N82" s="114"/>
      <c r="O82" s="78"/>
      <c r="P82" s="114"/>
      <c r="Q82" s="78"/>
      <c r="R82" s="114"/>
      <c r="S82" s="78"/>
      <c r="T82" s="114"/>
      <c r="U82" s="78"/>
      <c r="V82" s="116"/>
      <c r="W82" s="78"/>
      <c r="X82" s="116"/>
      <c r="Y82" s="78"/>
      <c r="Z82" s="116"/>
      <c r="AA82" s="221"/>
      <c r="AB82" s="115"/>
      <c r="AC82" s="78"/>
      <c r="AD82" s="116"/>
      <c r="AE82" s="78"/>
      <c r="AF82" s="116"/>
      <c r="AG82" s="78"/>
      <c r="AH82" s="116"/>
      <c r="AI82" s="221"/>
      <c r="AJ82" s="115"/>
      <c r="AK82" s="78"/>
      <c r="AL82" s="83"/>
      <c r="AM82" s="164"/>
      <c r="AN82" s="165"/>
    </row>
    <row r="83" spans="1:40" ht="16.2" customHeight="1">
      <c r="A83" s="127"/>
      <c r="B83" s="80"/>
      <c r="C83" s="80"/>
      <c r="D83" s="80"/>
      <c r="E83" s="80"/>
      <c r="F83" s="84"/>
      <c r="G83" s="80"/>
      <c r="H83" s="80"/>
      <c r="I83" s="80"/>
      <c r="J83" s="80"/>
      <c r="K83" s="80"/>
      <c r="L83" s="84"/>
      <c r="M83" s="80"/>
      <c r="N83" s="80"/>
      <c r="O83" s="80"/>
      <c r="P83" s="80"/>
      <c r="Q83" s="80"/>
      <c r="R83" s="80"/>
      <c r="S83" s="80"/>
      <c r="T83" s="80"/>
      <c r="U83" s="80"/>
      <c r="V83" s="84"/>
      <c r="W83" s="80"/>
      <c r="X83" s="84"/>
      <c r="Y83" s="80"/>
      <c r="Z83" s="84"/>
      <c r="AA83" s="118"/>
      <c r="AB83" s="85"/>
      <c r="AC83" s="80"/>
      <c r="AD83" s="84"/>
      <c r="AE83" s="80"/>
      <c r="AF83" s="84"/>
      <c r="AG83" s="80"/>
      <c r="AH83" s="84"/>
      <c r="AI83" s="118"/>
      <c r="AJ83" s="85"/>
      <c r="AK83" s="80"/>
      <c r="AL83" s="86"/>
      <c r="AM83" s="166"/>
      <c r="AN83" s="167"/>
    </row>
    <row r="84" spans="1:40" ht="16.2" customHeight="1">
      <c r="A84" s="126"/>
      <c r="B84" s="114"/>
      <c r="C84" s="78"/>
      <c r="D84" s="114"/>
      <c r="E84" s="78"/>
      <c r="F84" s="116"/>
      <c r="G84" s="78"/>
      <c r="H84" s="114"/>
      <c r="I84" s="78"/>
      <c r="J84" s="114"/>
      <c r="K84" s="78"/>
      <c r="L84" s="116"/>
      <c r="M84" s="78"/>
      <c r="N84" s="114"/>
      <c r="O84" s="78"/>
      <c r="P84" s="114"/>
      <c r="Q84" s="78"/>
      <c r="R84" s="114"/>
      <c r="S84" s="78"/>
      <c r="T84" s="114"/>
      <c r="U84" s="78"/>
      <c r="V84" s="116"/>
      <c r="W84" s="78"/>
      <c r="X84" s="116"/>
      <c r="Y84" s="78"/>
      <c r="Z84" s="116"/>
      <c r="AA84" s="221"/>
      <c r="AB84" s="115"/>
      <c r="AC84" s="78"/>
      <c r="AD84" s="116"/>
      <c r="AE84" s="78"/>
      <c r="AF84" s="116"/>
      <c r="AG84" s="78"/>
      <c r="AH84" s="116"/>
      <c r="AI84" s="221"/>
      <c r="AJ84" s="115"/>
      <c r="AK84" s="78"/>
      <c r="AL84" s="83"/>
      <c r="AM84" s="164"/>
      <c r="AN84" s="165"/>
    </row>
    <row r="85" spans="1:40" ht="16.2" customHeight="1">
      <c r="A85" s="127"/>
      <c r="B85" s="80"/>
      <c r="C85" s="80"/>
      <c r="D85" s="80"/>
      <c r="E85" s="80"/>
      <c r="F85" s="84"/>
      <c r="G85" s="80"/>
      <c r="H85" s="80"/>
      <c r="I85" s="80"/>
      <c r="J85" s="80"/>
      <c r="K85" s="80"/>
      <c r="L85" s="84"/>
      <c r="M85" s="80"/>
      <c r="N85" s="80"/>
      <c r="O85" s="80"/>
      <c r="P85" s="80"/>
      <c r="Q85" s="80"/>
      <c r="R85" s="80"/>
      <c r="S85" s="80"/>
      <c r="T85" s="80"/>
      <c r="U85" s="80"/>
      <c r="V85" s="84"/>
      <c r="W85" s="80"/>
      <c r="X85" s="84"/>
      <c r="Y85" s="80"/>
      <c r="Z85" s="84"/>
      <c r="AA85" s="118"/>
      <c r="AB85" s="85"/>
      <c r="AC85" s="80"/>
      <c r="AD85" s="84"/>
      <c r="AE85" s="80"/>
      <c r="AF85" s="84"/>
      <c r="AG85" s="80"/>
      <c r="AH85" s="84"/>
      <c r="AI85" s="118"/>
      <c r="AJ85" s="85"/>
      <c r="AK85" s="80"/>
      <c r="AL85" s="86"/>
      <c r="AM85" s="166"/>
      <c r="AN85" s="167"/>
    </row>
    <row r="86" spans="1:40" ht="16.2" customHeight="1">
      <c r="A86" s="126"/>
      <c r="B86" s="114"/>
      <c r="C86" s="78"/>
      <c r="D86" s="114"/>
      <c r="E86" s="78"/>
      <c r="F86" s="116"/>
      <c r="G86" s="78"/>
      <c r="H86" s="114"/>
      <c r="I86" s="78"/>
      <c r="J86" s="114"/>
      <c r="K86" s="78"/>
      <c r="L86" s="116"/>
      <c r="M86" s="78"/>
      <c r="N86" s="114"/>
      <c r="O86" s="78"/>
      <c r="P86" s="114"/>
      <c r="Q86" s="78"/>
      <c r="R86" s="114"/>
      <c r="S86" s="78"/>
      <c r="T86" s="114"/>
      <c r="U86" s="78"/>
      <c r="V86" s="116"/>
      <c r="W86" s="78"/>
      <c r="X86" s="116"/>
      <c r="Y86" s="78"/>
      <c r="Z86" s="116"/>
      <c r="AA86" s="221"/>
      <c r="AB86" s="115"/>
      <c r="AC86" s="78"/>
      <c r="AD86" s="116"/>
      <c r="AE86" s="78"/>
      <c r="AF86" s="116"/>
      <c r="AG86" s="78"/>
      <c r="AH86" s="116"/>
      <c r="AI86" s="221"/>
      <c r="AJ86" s="115"/>
      <c r="AK86" s="78"/>
      <c r="AL86" s="83"/>
      <c r="AM86" s="164"/>
      <c r="AN86" s="165"/>
    </row>
    <row r="87" spans="1:40" ht="16.2" customHeight="1">
      <c r="A87" s="127"/>
      <c r="B87" s="80"/>
      <c r="C87" s="80"/>
      <c r="D87" s="80"/>
      <c r="E87" s="80"/>
      <c r="F87" s="84"/>
      <c r="G87" s="80"/>
      <c r="H87" s="80"/>
      <c r="I87" s="80"/>
      <c r="J87" s="80"/>
      <c r="K87" s="80"/>
      <c r="L87" s="84"/>
      <c r="M87" s="80"/>
      <c r="N87" s="80"/>
      <c r="O87" s="80"/>
      <c r="P87" s="80"/>
      <c r="Q87" s="80"/>
      <c r="R87" s="80"/>
      <c r="S87" s="80"/>
      <c r="T87" s="80"/>
      <c r="U87" s="80"/>
      <c r="V87" s="84"/>
      <c r="W87" s="80"/>
      <c r="X87" s="84"/>
      <c r="Y87" s="80"/>
      <c r="Z87" s="84"/>
      <c r="AA87" s="118"/>
      <c r="AB87" s="85"/>
      <c r="AC87" s="80"/>
      <c r="AD87" s="84"/>
      <c r="AE87" s="80"/>
      <c r="AF87" s="84"/>
      <c r="AG87" s="80"/>
      <c r="AH87" s="84"/>
      <c r="AI87" s="118"/>
      <c r="AJ87" s="85"/>
      <c r="AK87" s="80"/>
      <c r="AL87" s="86"/>
      <c r="AM87" s="166"/>
      <c r="AN87" s="167"/>
    </row>
    <row r="88" spans="1:40" ht="16.2" customHeight="1">
      <c r="A88" s="126"/>
      <c r="B88" s="114"/>
      <c r="C88" s="78"/>
      <c r="D88" s="114"/>
      <c r="E88" s="78"/>
      <c r="F88" s="116"/>
      <c r="G88" s="78"/>
      <c r="H88" s="114"/>
      <c r="I88" s="78"/>
      <c r="J88" s="114"/>
      <c r="K88" s="78"/>
      <c r="L88" s="116"/>
      <c r="M88" s="78"/>
      <c r="N88" s="114"/>
      <c r="O88" s="78"/>
      <c r="P88" s="114"/>
      <c r="Q88" s="78"/>
      <c r="R88" s="114"/>
      <c r="S88" s="78"/>
      <c r="T88" s="114"/>
      <c r="U88" s="78"/>
      <c r="V88" s="116"/>
      <c r="W88" s="78"/>
      <c r="X88" s="116"/>
      <c r="Y88" s="78"/>
      <c r="Z88" s="116"/>
      <c r="AA88" s="221"/>
      <c r="AB88" s="115"/>
      <c r="AC88" s="78"/>
      <c r="AD88" s="116"/>
      <c r="AE88" s="78"/>
      <c r="AF88" s="116"/>
      <c r="AG88" s="78"/>
      <c r="AH88" s="116"/>
      <c r="AI88" s="221"/>
      <c r="AJ88" s="115"/>
      <c r="AK88" s="78"/>
      <c r="AL88" s="83"/>
      <c r="AM88" s="164"/>
      <c r="AN88" s="165"/>
    </row>
    <row r="89" spans="1:40" ht="16.2" customHeight="1">
      <c r="A89" s="127"/>
      <c r="B89" s="80"/>
      <c r="C89" s="80"/>
      <c r="D89" s="80"/>
      <c r="E89" s="80"/>
      <c r="F89" s="84"/>
      <c r="G89" s="80"/>
      <c r="H89" s="80"/>
      <c r="I89" s="80"/>
      <c r="J89" s="80"/>
      <c r="K89" s="80"/>
      <c r="L89" s="84"/>
      <c r="M89" s="80"/>
      <c r="N89" s="80"/>
      <c r="O89" s="80"/>
      <c r="P89" s="80"/>
      <c r="Q89" s="80"/>
      <c r="R89" s="80"/>
      <c r="S89" s="80"/>
      <c r="T89" s="80"/>
      <c r="U89" s="80"/>
      <c r="V89" s="84"/>
      <c r="W89" s="80"/>
      <c r="X89" s="84"/>
      <c r="Y89" s="80"/>
      <c r="Z89" s="84"/>
      <c r="AA89" s="118"/>
      <c r="AB89" s="85"/>
      <c r="AC89" s="80"/>
      <c r="AD89" s="84"/>
      <c r="AE89" s="80"/>
      <c r="AF89" s="84"/>
      <c r="AG89" s="80"/>
      <c r="AH89" s="84"/>
      <c r="AI89" s="118"/>
      <c r="AJ89" s="85"/>
      <c r="AK89" s="80"/>
      <c r="AL89" s="86"/>
      <c r="AM89" s="166"/>
      <c r="AN89" s="167"/>
    </row>
    <row r="90" spans="1:40" ht="16.2" customHeight="1">
      <c r="A90" s="126"/>
      <c r="B90" s="114"/>
      <c r="C90" s="78"/>
      <c r="D90" s="114"/>
      <c r="E90" s="78"/>
      <c r="F90" s="116"/>
      <c r="G90" s="78"/>
      <c r="H90" s="114"/>
      <c r="I90" s="78"/>
      <c r="J90" s="114"/>
      <c r="K90" s="78"/>
      <c r="L90" s="116"/>
      <c r="M90" s="78"/>
      <c r="N90" s="114"/>
      <c r="O90" s="78"/>
      <c r="P90" s="114"/>
      <c r="Q90" s="78"/>
      <c r="R90" s="114"/>
      <c r="S90" s="78"/>
      <c r="T90" s="114"/>
      <c r="U90" s="78"/>
      <c r="V90" s="116"/>
      <c r="W90" s="78"/>
      <c r="X90" s="116"/>
      <c r="Y90" s="78"/>
      <c r="Z90" s="116"/>
      <c r="AA90" s="221"/>
      <c r="AB90" s="115"/>
      <c r="AC90" s="78"/>
      <c r="AD90" s="116"/>
      <c r="AE90" s="78"/>
      <c r="AF90" s="116"/>
      <c r="AG90" s="78"/>
      <c r="AH90" s="116"/>
      <c r="AI90" s="221"/>
      <c r="AJ90" s="115"/>
      <c r="AK90" s="78"/>
      <c r="AL90" s="83"/>
      <c r="AM90" s="164"/>
      <c r="AN90" s="165"/>
    </row>
    <row r="91" spans="1:40" ht="16.2" customHeight="1">
      <c r="A91" s="127"/>
      <c r="B91" s="80"/>
      <c r="C91" s="80"/>
      <c r="D91" s="80"/>
      <c r="E91" s="80"/>
      <c r="F91" s="84"/>
      <c r="G91" s="80"/>
      <c r="H91" s="80"/>
      <c r="I91" s="80"/>
      <c r="J91" s="80"/>
      <c r="K91" s="80"/>
      <c r="L91" s="84"/>
      <c r="M91" s="80"/>
      <c r="N91" s="80"/>
      <c r="O91" s="80"/>
      <c r="P91" s="80"/>
      <c r="Q91" s="80"/>
      <c r="R91" s="80"/>
      <c r="S91" s="80"/>
      <c r="T91" s="80"/>
      <c r="U91" s="80"/>
      <c r="V91" s="84"/>
      <c r="W91" s="80"/>
      <c r="X91" s="84"/>
      <c r="Y91" s="80"/>
      <c r="Z91" s="84"/>
      <c r="AA91" s="118"/>
      <c r="AB91" s="85"/>
      <c r="AC91" s="80"/>
      <c r="AD91" s="84"/>
      <c r="AE91" s="80"/>
      <c r="AF91" s="84"/>
      <c r="AG91" s="80"/>
      <c r="AH91" s="84"/>
      <c r="AI91" s="118"/>
      <c r="AJ91" s="85"/>
      <c r="AK91" s="80"/>
      <c r="AL91" s="86"/>
      <c r="AM91" s="166"/>
      <c r="AN91" s="167"/>
    </row>
    <row r="92" spans="1:40" ht="16.2" customHeight="1">
      <c r="A92" s="126"/>
      <c r="B92" s="114"/>
      <c r="C92" s="78"/>
      <c r="D92" s="114"/>
      <c r="E92" s="78"/>
      <c r="F92" s="116"/>
      <c r="G92" s="78"/>
      <c r="H92" s="114"/>
      <c r="I92" s="78"/>
      <c r="J92" s="114"/>
      <c r="K92" s="78"/>
      <c r="L92" s="116"/>
      <c r="M92" s="78"/>
      <c r="N92" s="114"/>
      <c r="O92" s="78"/>
      <c r="P92" s="114"/>
      <c r="Q92" s="78"/>
      <c r="R92" s="114"/>
      <c r="S92" s="78"/>
      <c r="T92" s="114"/>
      <c r="U92" s="78"/>
      <c r="V92" s="116"/>
      <c r="W92" s="78"/>
      <c r="X92" s="116"/>
      <c r="Y92" s="78"/>
      <c r="Z92" s="116"/>
      <c r="AA92" s="221"/>
      <c r="AB92" s="115"/>
      <c r="AC92" s="78"/>
      <c r="AD92" s="116"/>
      <c r="AE92" s="78"/>
      <c r="AF92" s="116"/>
      <c r="AG92" s="78"/>
      <c r="AH92" s="116"/>
      <c r="AI92" s="221"/>
      <c r="AJ92" s="115"/>
      <c r="AK92" s="78"/>
      <c r="AL92" s="83"/>
      <c r="AM92" s="164"/>
      <c r="AN92" s="165"/>
    </row>
    <row r="93" spans="1:40" ht="16.2" customHeight="1">
      <c r="A93" s="127"/>
      <c r="B93" s="80"/>
      <c r="C93" s="80"/>
      <c r="D93" s="80"/>
      <c r="E93" s="80"/>
      <c r="F93" s="84"/>
      <c r="G93" s="80"/>
      <c r="H93" s="80"/>
      <c r="I93" s="80"/>
      <c r="J93" s="80"/>
      <c r="K93" s="80"/>
      <c r="L93" s="84"/>
      <c r="M93" s="80"/>
      <c r="N93" s="80"/>
      <c r="O93" s="80"/>
      <c r="P93" s="80"/>
      <c r="Q93" s="80"/>
      <c r="R93" s="80"/>
      <c r="S93" s="80"/>
      <c r="T93" s="80"/>
      <c r="U93" s="80"/>
      <c r="V93" s="84"/>
      <c r="W93" s="80"/>
      <c r="X93" s="84"/>
      <c r="Y93" s="80"/>
      <c r="Z93" s="84"/>
      <c r="AA93" s="118"/>
      <c r="AB93" s="85"/>
      <c r="AC93" s="80"/>
      <c r="AD93" s="84"/>
      <c r="AE93" s="80"/>
      <c r="AF93" s="84"/>
      <c r="AG93" s="80"/>
      <c r="AH93" s="84"/>
      <c r="AI93" s="118"/>
      <c r="AJ93" s="85"/>
      <c r="AK93" s="80"/>
      <c r="AL93" s="86"/>
      <c r="AM93" s="166"/>
      <c r="AN93" s="167"/>
    </row>
    <row r="94" spans="1:40" ht="16.2" customHeight="1">
      <c r="A94" s="126"/>
      <c r="B94" s="114"/>
      <c r="C94" s="78"/>
      <c r="D94" s="114"/>
      <c r="E94" s="78"/>
      <c r="F94" s="116"/>
      <c r="G94" s="78"/>
      <c r="H94" s="114"/>
      <c r="I94" s="78"/>
      <c r="J94" s="114"/>
      <c r="K94" s="78"/>
      <c r="L94" s="116"/>
      <c r="M94" s="78"/>
      <c r="N94" s="114"/>
      <c r="O94" s="78"/>
      <c r="P94" s="114"/>
      <c r="Q94" s="78"/>
      <c r="R94" s="114"/>
      <c r="S94" s="78"/>
      <c r="T94" s="114"/>
      <c r="U94" s="78"/>
      <c r="V94" s="116"/>
      <c r="W94" s="78"/>
      <c r="X94" s="116"/>
      <c r="Y94" s="78"/>
      <c r="Z94" s="116"/>
      <c r="AA94" s="221"/>
      <c r="AB94" s="115"/>
      <c r="AC94" s="78"/>
      <c r="AD94" s="116"/>
      <c r="AE94" s="78"/>
      <c r="AF94" s="116"/>
      <c r="AG94" s="78"/>
      <c r="AH94" s="116"/>
      <c r="AI94" s="221"/>
      <c r="AJ94" s="115"/>
      <c r="AK94" s="78"/>
      <c r="AL94" s="83"/>
      <c r="AM94" s="164"/>
      <c r="AN94" s="165"/>
    </row>
    <row r="95" spans="1:40" ht="16.2" customHeight="1">
      <c r="A95" s="127"/>
      <c r="B95" s="80"/>
      <c r="C95" s="80"/>
      <c r="D95" s="80"/>
      <c r="E95" s="80"/>
      <c r="F95" s="84"/>
      <c r="G95" s="80"/>
      <c r="H95" s="80"/>
      <c r="I95" s="80"/>
      <c r="J95" s="80"/>
      <c r="K95" s="80"/>
      <c r="L95" s="84"/>
      <c r="M95" s="80"/>
      <c r="N95" s="80"/>
      <c r="O95" s="80"/>
      <c r="P95" s="80"/>
      <c r="Q95" s="80"/>
      <c r="R95" s="80"/>
      <c r="S95" s="80"/>
      <c r="T95" s="80"/>
      <c r="U95" s="80"/>
      <c r="V95" s="84"/>
      <c r="W95" s="80"/>
      <c r="X95" s="84"/>
      <c r="Y95" s="80"/>
      <c r="Z95" s="84"/>
      <c r="AA95" s="118"/>
      <c r="AB95" s="85"/>
      <c r="AC95" s="80"/>
      <c r="AD95" s="84"/>
      <c r="AE95" s="80"/>
      <c r="AF95" s="84"/>
      <c r="AG95" s="80"/>
      <c r="AH95" s="84"/>
      <c r="AI95" s="118"/>
      <c r="AJ95" s="85"/>
      <c r="AK95" s="80"/>
      <c r="AL95" s="86"/>
      <c r="AM95" s="166"/>
      <c r="AN95" s="167"/>
    </row>
    <row r="96" spans="1:40" ht="16.2" customHeight="1">
      <c r="A96" s="126"/>
      <c r="B96" s="114"/>
      <c r="C96" s="78"/>
      <c r="D96" s="114"/>
      <c r="E96" s="78"/>
      <c r="F96" s="116"/>
      <c r="G96" s="78"/>
      <c r="H96" s="114"/>
      <c r="I96" s="78"/>
      <c r="J96" s="114"/>
      <c r="K96" s="78"/>
      <c r="L96" s="116"/>
      <c r="M96" s="78"/>
      <c r="N96" s="114"/>
      <c r="O96" s="78"/>
      <c r="P96" s="114"/>
      <c r="Q96" s="78"/>
      <c r="R96" s="114"/>
      <c r="S96" s="78"/>
      <c r="T96" s="114"/>
      <c r="U96" s="78"/>
      <c r="V96" s="116"/>
      <c r="W96" s="78"/>
      <c r="X96" s="116"/>
      <c r="Y96" s="78"/>
      <c r="Z96" s="116"/>
      <c r="AA96" s="221"/>
      <c r="AB96" s="115"/>
      <c r="AC96" s="78"/>
      <c r="AD96" s="116"/>
      <c r="AE96" s="78"/>
      <c r="AF96" s="116"/>
      <c r="AG96" s="78"/>
      <c r="AH96" s="116"/>
      <c r="AI96" s="221"/>
      <c r="AJ96" s="115"/>
      <c r="AK96" s="78"/>
      <c r="AL96" s="83"/>
      <c r="AM96" s="164"/>
      <c r="AN96" s="165"/>
    </row>
    <row r="97" spans="1:40" ht="16.2" customHeight="1">
      <c r="A97" s="127"/>
      <c r="B97" s="80"/>
      <c r="C97" s="80"/>
      <c r="D97" s="80"/>
      <c r="E97" s="80"/>
      <c r="F97" s="84"/>
      <c r="G97" s="80"/>
      <c r="H97" s="80"/>
      <c r="I97" s="80"/>
      <c r="J97" s="80"/>
      <c r="K97" s="80"/>
      <c r="L97" s="84"/>
      <c r="M97" s="80"/>
      <c r="N97" s="80"/>
      <c r="O97" s="80"/>
      <c r="P97" s="80"/>
      <c r="Q97" s="80"/>
      <c r="R97" s="80"/>
      <c r="S97" s="80"/>
      <c r="T97" s="80"/>
      <c r="U97" s="80"/>
      <c r="V97" s="84"/>
      <c r="W97" s="80"/>
      <c r="X97" s="84"/>
      <c r="Y97" s="80"/>
      <c r="Z97" s="84"/>
      <c r="AA97" s="118"/>
      <c r="AB97" s="85"/>
      <c r="AC97" s="80"/>
      <c r="AD97" s="84"/>
      <c r="AE97" s="80"/>
      <c r="AF97" s="84"/>
      <c r="AG97" s="80"/>
      <c r="AH97" s="84"/>
      <c r="AI97" s="118"/>
      <c r="AJ97" s="85"/>
      <c r="AK97" s="80"/>
      <c r="AL97" s="86"/>
      <c r="AM97" s="166"/>
      <c r="AN97" s="167"/>
    </row>
    <row r="98" spans="1:40" ht="16.2" customHeight="1">
      <c r="A98" s="126"/>
      <c r="B98" s="114"/>
      <c r="C98" s="78"/>
      <c r="D98" s="114"/>
      <c r="E98" s="78"/>
      <c r="F98" s="116"/>
      <c r="G98" s="78"/>
      <c r="H98" s="114"/>
      <c r="I98" s="78"/>
      <c r="J98" s="114"/>
      <c r="K98" s="78"/>
      <c r="L98" s="116"/>
      <c r="M98" s="78"/>
      <c r="N98" s="114"/>
      <c r="O98" s="78"/>
      <c r="P98" s="114"/>
      <c r="Q98" s="78"/>
      <c r="R98" s="114"/>
      <c r="S98" s="78"/>
      <c r="T98" s="114"/>
      <c r="U98" s="78"/>
      <c r="V98" s="116"/>
      <c r="W98" s="78"/>
      <c r="X98" s="116"/>
      <c r="Y98" s="78"/>
      <c r="Z98" s="116"/>
      <c r="AA98" s="221"/>
      <c r="AB98" s="115"/>
      <c r="AC98" s="78"/>
      <c r="AD98" s="116"/>
      <c r="AE98" s="78"/>
      <c r="AF98" s="116"/>
      <c r="AG98" s="78"/>
      <c r="AH98" s="116"/>
      <c r="AI98" s="221"/>
      <c r="AJ98" s="115"/>
      <c r="AK98" s="78"/>
      <c r="AL98" s="83"/>
      <c r="AM98" s="164"/>
      <c r="AN98" s="165"/>
    </row>
    <row r="99" spans="1:40" ht="16.2" customHeight="1">
      <c r="A99" s="127"/>
      <c r="B99" s="80"/>
      <c r="C99" s="80"/>
      <c r="D99" s="80"/>
      <c r="E99" s="80"/>
      <c r="F99" s="84"/>
      <c r="G99" s="80"/>
      <c r="H99" s="80"/>
      <c r="I99" s="80"/>
      <c r="J99" s="80"/>
      <c r="K99" s="80"/>
      <c r="L99" s="84"/>
      <c r="M99" s="80"/>
      <c r="N99" s="80"/>
      <c r="O99" s="80"/>
      <c r="P99" s="80"/>
      <c r="Q99" s="80"/>
      <c r="R99" s="80"/>
      <c r="S99" s="80"/>
      <c r="T99" s="80"/>
      <c r="U99" s="80"/>
      <c r="V99" s="84"/>
      <c r="W99" s="80"/>
      <c r="X99" s="84"/>
      <c r="Y99" s="80"/>
      <c r="Z99" s="84"/>
      <c r="AA99" s="118"/>
      <c r="AB99" s="85"/>
      <c r="AC99" s="80"/>
      <c r="AD99" s="84"/>
      <c r="AE99" s="80"/>
      <c r="AF99" s="84"/>
      <c r="AG99" s="80"/>
      <c r="AH99" s="84"/>
      <c r="AI99" s="118"/>
      <c r="AJ99" s="85"/>
      <c r="AK99" s="80"/>
      <c r="AL99" s="86"/>
      <c r="AM99" s="166"/>
      <c r="AN99" s="167"/>
    </row>
    <row r="100" spans="1:40" ht="16.2" customHeight="1">
      <c r="A100" s="126"/>
      <c r="B100" s="114"/>
      <c r="C100" s="78"/>
      <c r="D100" s="114"/>
      <c r="E100" s="78"/>
      <c r="F100" s="116"/>
      <c r="G100" s="78"/>
      <c r="H100" s="114"/>
      <c r="I100" s="78"/>
      <c r="J100" s="114"/>
      <c r="K100" s="78"/>
      <c r="L100" s="116"/>
      <c r="M100" s="78"/>
      <c r="N100" s="114"/>
      <c r="O100" s="78"/>
      <c r="P100" s="114"/>
      <c r="Q100" s="78"/>
      <c r="R100" s="114"/>
      <c r="S100" s="78"/>
      <c r="T100" s="114"/>
      <c r="U100" s="78"/>
      <c r="V100" s="116"/>
      <c r="W100" s="78"/>
      <c r="X100" s="116"/>
      <c r="Y100" s="78"/>
      <c r="Z100" s="116"/>
      <c r="AA100" s="221"/>
      <c r="AB100" s="115"/>
      <c r="AC100" s="78"/>
      <c r="AD100" s="116"/>
      <c r="AE100" s="78"/>
      <c r="AF100" s="116"/>
      <c r="AG100" s="78"/>
      <c r="AH100" s="116"/>
      <c r="AI100" s="221"/>
      <c r="AJ100" s="115"/>
      <c r="AK100" s="78"/>
      <c r="AL100" s="83"/>
      <c r="AM100" s="164"/>
      <c r="AN100" s="165"/>
    </row>
    <row r="101" spans="1:40" ht="16.2" customHeight="1">
      <c r="A101" s="127"/>
      <c r="B101" s="80"/>
      <c r="C101" s="80"/>
      <c r="D101" s="80"/>
      <c r="E101" s="80"/>
      <c r="F101" s="84"/>
      <c r="G101" s="80"/>
      <c r="H101" s="80"/>
      <c r="I101" s="80"/>
      <c r="J101" s="80"/>
      <c r="K101" s="80"/>
      <c r="L101" s="84"/>
      <c r="M101" s="80"/>
      <c r="N101" s="80"/>
      <c r="O101" s="80"/>
      <c r="P101" s="80"/>
      <c r="Q101" s="80"/>
      <c r="R101" s="80"/>
      <c r="S101" s="80"/>
      <c r="T101" s="80"/>
      <c r="U101" s="80"/>
      <c r="V101" s="84"/>
      <c r="W101" s="80"/>
      <c r="X101" s="84"/>
      <c r="Y101" s="80"/>
      <c r="Z101" s="84"/>
      <c r="AA101" s="118"/>
      <c r="AB101" s="85"/>
      <c r="AC101" s="80"/>
      <c r="AD101" s="84"/>
      <c r="AE101" s="80"/>
      <c r="AF101" s="84"/>
      <c r="AG101" s="80"/>
      <c r="AH101" s="84"/>
      <c r="AI101" s="118"/>
      <c r="AJ101" s="85"/>
      <c r="AK101" s="80"/>
      <c r="AL101" s="86"/>
      <c r="AM101" s="166"/>
      <c r="AN101" s="167"/>
    </row>
    <row r="102" spans="1:40" ht="16.2" customHeight="1">
      <c r="A102" s="126"/>
      <c r="B102" s="114"/>
      <c r="C102" s="78"/>
      <c r="D102" s="114"/>
      <c r="E102" s="78"/>
      <c r="F102" s="116"/>
      <c r="G102" s="78"/>
      <c r="H102" s="114"/>
      <c r="I102" s="78"/>
      <c r="J102" s="114"/>
      <c r="K102" s="78"/>
      <c r="L102" s="116"/>
      <c r="M102" s="78"/>
      <c r="N102" s="114"/>
      <c r="O102" s="78"/>
      <c r="P102" s="114"/>
      <c r="Q102" s="78"/>
      <c r="R102" s="114"/>
      <c r="S102" s="78"/>
      <c r="T102" s="114"/>
      <c r="U102" s="78"/>
      <c r="V102" s="116"/>
      <c r="W102" s="78"/>
      <c r="X102" s="116"/>
      <c r="Y102" s="78"/>
      <c r="Z102" s="116"/>
      <c r="AA102" s="221"/>
      <c r="AB102" s="115"/>
      <c r="AC102" s="78"/>
      <c r="AD102" s="116"/>
      <c r="AE102" s="78"/>
      <c r="AF102" s="116"/>
      <c r="AG102" s="78"/>
      <c r="AH102" s="116"/>
      <c r="AI102" s="221"/>
      <c r="AJ102" s="115"/>
      <c r="AK102" s="78"/>
      <c r="AL102" s="83"/>
      <c r="AM102" s="164"/>
      <c r="AN102" s="165"/>
    </row>
    <row r="103" spans="1:40" ht="16.2" customHeight="1">
      <c r="A103" s="127"/>
      <c r="B103" s="80"/>
      <c r="C103" s="80"/>
      <c r="D103" s="80"/>
      <c r="E103" s="80"/>
      <c r="F103" s="84"/>
      <c r="G103" s="80"/>
      <c r="H103" s="80"/>
      <c r="I103" s="80"/>
      <c r="J103" s="80"/>
      <c r="K103" s="80"/>
      <c r="L103" s="84"/>
      <c r="M103" s="80"/>
      <c r="N103" s="80"/>
      <c r="O103" s="80"/>
      <c r="P103" s="80"/>
      <c r="Q103" s="80"/>
      <c r="R103" s="80"/>
      <c r="S103" s="80"/>
      <c r="T103" s="80"/>
      <c r="U103" s="80"/>
      <c r="V103" s="84"/>
      <c r="W103" s="80"/>
      <c r="X103" s="84"/>
      <c r="Y103" s="80"/>
      <c r="Z103" s="84"/>
      <c r="AA103" s="118"/>
      <c r="AB103" s="85"/>
      <c r="AC103" s="80"/>
      <c r="AD103" s="84"/>
      <c r="AE103" s="80"/>
      <c r="AF103" s="84"/>
      <c r="AG103" s="80"/>
      <c r="AH103" s="84"/>
      <c r="AI103" s="118"/>
      <c r="AJ103" s="85"/>
      <c r="AK103" s="80"/>
      <c r="AL103" s="86"/>
      <c r="AM103" s="166"/>
      <c r="AN103" s="167"/>
    </row>
    <row r="104" spans="1:40" ht="16.2" customHeight="1">
      <c r="A104" s="126"/>
      <c r="B104" s="114"/>
      <c r="C104" s="78"/>
      <c r="D104" s="114"/>
      <c r="E104" s="78"/>
      <c r="F104" s="116"/>
      <c r="G104" s="78"/>
      <c r="H104" s="114"/>
      <c r="I104" s="78"/>
      <c r="J104" s="114"/>
      <c r="K104" s="78"/>
      <c r="L104" s="116"/>
      <c r="M104" s="78"/>
      <c r="N104" s="114"/>
      <c r="O104" s="78"/>
      <c r="P104" s="114"/>
      <c r="Q104" s="78"/>
      <c r="R104" s="114"/>
      <c r="S104" s="78"/>
      <c r="T104" s="114"/>
      <c r="U104" s="78"/>
      <c r="V104" s="116"/>
      <c r="W104" s="78"/>
      <c r="X104" s="116"/>
      <c r="Y104" s="78"/>
      <c r="Z104" s="116"/>
      <c r="AA104" s="221"/>
      <c r="AB104" s="115"/>
      <c r="AC104" s="78"/>
      <c r="AD104" s="116"/>
      <c r="AE104" s="78"/>
      <c r="AF104" s="116"/>
      <c r="AG104" s="78"/>
      <c r="AH104" s="116"/>
      <c r="AI104" s="221"/>
      <c r="AJ104" s="115"/>
      <c r="AK104" s="78"/>
      <c r="AL104" s="83"/>
      <c r="AM104" s="164"/>
      <c r="AN104" s="165"/>
    </row>
    <row r="105" spans="1:40" ht="16.2" customHeight="1">
      <c r="A105" s="127"/>
      <c r="B105" s="80"/>
      <c r="C105" s="80"/>
      <c r="D105" s="80"/>
      <c r="E105" s="80"/>
      <c r="F105" s="84"/>
      <c r="G105" s="80"/>
      <c r="H105" s="80"/>
      <c r="I105" s="80"/>
      <c r="J105" s="80"/>
      <c r="K105" s="80"/>
      <c r="L105" s="84"/>
      <c r="M105" s="80"/>
      <c r="N105" s="80"/>
      <c r="O105" s="80"/>
      <c r="P105" s="80"/>
      <c r="Q105" s="80"/>
      <c r="R105" s="80"/>
      <c r="S105" s="80"/>
      <c r="T105" s="80"/>
      <c r="U105" s="80"/>
      <c r="V105" s="84"/>
      <c r="W105" s="80"/>
      <c r="X105" s="84"/>
      <c r="Y105" s="80"/>
      <c r="Z105" s="84"/>
      <c r="AA105" s="118"/>
      <c r="AB105" s="85"/>
      <c r="AC105" s="80"/>
      <c r="AD105" s="84"/>
      <c r="AE105" s="80"/>
      <c r="AF105" s="84"/>
      <c r="AG105" s="80"/>
      <c r="AH105" s="84"/>
      <c r="AI105" s="118"/>
      <c r="AJ105" s="85"/>
      <c r="AK105" s="80"/>
      <c r="AL105" s="86"/>
      <c r="AM105" s="166"/>
      <c r="AN105" s="167"/>
    </row>
    <row r="106" spans="1:40" ht="16.2" customHeight="1">
      <c r="A106" s="126"/>
      <c r="B106" s="114"/>
      <c r="C106" s="78"/>
      <c r="D106" s="114"/>
      <c r="E106" s="78"/>
      <c r="F106" s="116"/>
      <c r="G106" s="78"/>
      <c r="H106" s="114"/>
      <c r="I106" s="78"/>
      <c r="J106" s="114"/>
      <c r="K106" s="78"/>
      <c r="L106" s="116"/>
      <c r="M106" s="78"/>
      <c r="N106" s="114"/>
      <c r="O106" s="78"/>
      <c r="P106" s="114"/>
      <c r="Q106" s="78"/>
      <c r="R106" s="114"/>
      <c r="S106" s="78"/>
      <c r="T106" s="114"/>
      <c r="U106" s="78"/>
      <c r="V106" s="116"/>
      <c r="W106" s="78"/>
      <c r="X106" s="116"/>
      <c r="Y106" s="78"/>
      <c r="Z106" s="116"/>
      <c r="AA106" s="221"/>
      <c r="AB106" s="115"/>
      <c r="AC106" s="78"/>
      <c r="AD106" s="116"/>
      <c r="AE106" s="78"/>
      <c r="AF106" s="116"/>
      <c r="AG106" s="78"/>
      <c r="AH106" s="116"/>
      <c r="AI106" s="221"/>
      <c r="AJ106" s="115"/>
      <c r="AK106" s="78"/>
      <c r="AL106" s="83"/>
      <c r="AM106" s="164"/>
      <c r="AN106" s="165"/>
    </row>
    <row r="107" spans="1:40" ht="16.2" customHeight="1">
      <c r="A107" s="127"/>
      <c r="B107" s="80"/>
      <c r="C107" s="80"/>
      <c r="D107" s="80"/>
      <c r="E107" s="80"/>
      <c r="F107" s="84"/>
      <c r="G107" s="80"/>
      <c r="H107" s="80"/>
      <c r="I107" s="80"/>
      <c r="J107" s="80"/>
      <c r="K107" s="80"/>
      <c r="L107" s="84"/>
      <c r="M107" s="80"/>
      <c r="N107" s="80"/>
      <c r="O107" s="80"/>
      <c r="P107" s="80"/>
      <c r="Q107" s="80"/>
      <c r="R107" s="80"/>
      <c r="S107" s="80"/>
      <c r="T107" s="80"/>
      <c r="U107" s="80"/>
      <c r="V107" s="84"/>
      <c r="W107" s="80"/>
      <c r="X107" s="84"/>
      <c r="Y107" s="80"/>
      <c r="Z107" s="84"/>
      <c r="AA107" s="118"/>
      <c r="AB107" s="85"/>
      <c r="AC107" s="80"/>
      <c r="AD107" s="84"/>
      <c r="AE107" s="80"/>
      <c r="AF107" s="84"/>
      <c r="AG107" s="80"/>
      <c r="AH107" s="84"/>
      <c r="AI107" s="118"/>
      <c r="AJ107" s="85"/>
      <c r="AK107" s="80"/>
      <c r="AL107" s="86"/>
      <c r="AM107" s="166"/>
      <c r="AN107" s="167"/>
    </row>
    <row r="108" spans="1:40" ht="16.2" customHeight="1">
      <c r="A108" s="126"/>
      <c r="B108" s="114"/>
      <c r="C108" s="78"/>
      <c r="D108" s="114"/>
      <c r="E108" s="78"/>
      <c r="F108" s="116"/>
      <c r="G108" s="78"/>
      <c r="H108" s="114"/>
      <c r="I108" s="78"/>
      <c r="J108" s="114"/>
      <c r="K108" s="78"/>
      <c r="L108" s="116"/>
      <c r="M108" s="78"/>
      <c r="N108" s="114"/>
      <c r="O108" s="78"/>
      <c r="P108" s="114"/>
      <c r="Q108" s="78"/>
      <c r="R108" s="114"/>
      <c r="S108" s="78"/>
      <c r="T108" s="114"/>
      <c r="U108" s="78"/>
      <c r="V108" s="116"/>
      <c r="W108" s="78"/>
      <c r="X108" s="116"/>
      <c r="Y108" s="78"/>
      <c r="Z108" s="116"/>
      <c r="AA108" s="221"/>
      <c r="AB108" s="115"/>
      <c r="AC108" s="78"/>
      <c r="AD108" s="116"/>
      <c r="AE108" s="78"/>
      <c r="AF108" s="116"/>
      <c r="AG108" s="78"/>
      <c r="AH108" s="116"/>
      <c r="AI108" s="221"/>
      <c r="AJ108" s="115"/>
      <c r="AK108" s="78"/>
      <c r="AL108" s="83"/>
      <c r="AM108" s="164"/>
      <c r="AN108" s="165"/>
    </row>
    <row r="109" spans="1:40" ht="16.2" customHeight="1">
      <c r="A109" s="127"/>
      <c r="B109" s="80"/>
      <c r="C109" s="80"/>
      <c r="D109" s="80"/>
      <c r="E109" s="80"/>
      <c r="F109" s="84"/>
      <c r="G109" s="80"/>
      <c r="H109" s="80"/>
      <c r="I109" s="80"/>
      <c r="J109" s="80"/>
      <c r="K109" s="80"/>
      <c r="L109" s="84"/>
      <c r="M109" s="80"/>
      <c r="N109" s="80"/>
      <c r="O109" s="80"/>
      <c r="P109" s="80"/>
      <c r="Q109" s="80"/>
      <c r="R109" s="80"/>
      <c r="S109" s="80"/>
      <c r="T109" s="80"/>
      <c r="U109" s="80"/>
      <c r="V109" s="84"/>
      <c r="W109" s="80"/>
      <c r="X109" s="84"/>
      <c r="Y109" s="80"/>
      <c r="Z109" s="84"/>
      <c r="AA109" s="118"/>
      <c r="AB109" s="85"/>
      <c r="AC109" s="80"/>
      <c r="AD109" s="84"/>
      <c r="AE109" s="80"/>
      <c r="AF109" s="84"/>
      <c r="AG109" s="80"/>
      <c r="AH109" s="84"/>
      <c r="AI109" s="118"/>
      <c r="AJ109" s="85"/>
      <c r="AK109" s="80"/>
      <c r="AL109" s="86"/>
      <c r="AM109" s="166"/>
      <c r="AN109" s="167"/>
    </row>
    <row r="110" spans="1:40" ht="16.2" customHeight="1">
      <c r="A110" s="126"/>
      <c r="B110" s="114"/>
      <c r="C110" s="78"/>
      <c r="D110" s="114"/>
      <c r="E110" s="78"/>
      <c r="F110" s="116"/>
      <c r="G110" s="78"/>
      <c r="H110" s="114"/>
      <c r="I110" s="78"/>
      <c r="J110" s="114"/>
      <c r="K110" s="78"/>
      <c r="L110" s="116"/>
      <c r="M110" s="78"/>
      <c r="N110" s="114"/>
      <c r="O110" s="78"/>
      <c r="P110" s="114"/>
      <c r="Q110" s="78"/>
      <c r="R110" s="114"/>
      <c r="S110" s="78"/>
      <c r="T110" s="114"/>
      <c r="U110" s="78"/>
      <c r="V110" s="116"/>
      <c r="W110" s="78"/>
      <c r="X110" s="116"/>
      <c r="Y110" s="78"/>
      <c r="Z110" s="116"/>
      <c r="AA110" s="221"/>
      <c r="AB110" s="115"/>
      <c r="AC110" s="78"/>
      <c r="AD110" s="116"/>
      <c r="AE110" s="78"/>
      <c r="AF110" s="116"/>
      <c r="AG110" s="78"/>
      <c r="AH110" s="116"/>
      <c r="AI110" s="221"/>
      <c r="AJ110" s="115"/>
      <c r="AK110" s="78"/>
      <c r="AL110" s="83"/>
      <c r="AM110" s="164"/>
      <c r="AN110" s="165"/>
    </row>
    <row r="111" spans="1:40" ht="16.2" customHeight="1">
      <c r="A111" s="127"/>
      <c r="B111" s="80"/>
      <c r="C111" s="80"/>
      <c r="D111" s="80"/>
      <c r="E111" s="80"/>
      <c r="F111" s="84"/>
      <c r="G111" s="80"/>
      <c r="H111" s="80"/>
      <c r="I111" s="80"/>
      <c r="J111" s="80"/>
      <c r="K111" s="80"/>
      <c r="L111" s="84"/>
      <c r="M111" s="80"/>
      <c r="N111" s="80"/>
      <c r="O111" s="80"/>
      <c r="P111" s="80"/>
      <c r="Q111" s="80"/>
      <c r="R111" s="80"/>
      <c r="S111" s="80"/>
      <c r="T111" s="80"/>
      <c r="U111" s="80"/>
      <c r="V111" s="84"/>
      <c r="W111" s="80"/>
      <c r="X111" s="84"/>
      <c r="Y111" s="80"/>
      <c r="Z111" s="84"/>
      <c r="AA111" s="118"/>
      <c r="AB111" s="85"/>
      <c r="AC111" s="80"/>
      <c r="AD111" s="84"/>
      <c r="AE111" s="80"/>
      <c r="AF111" s="84"/>
      <c r="AG111" s="80"/>
      <c r="AH111" s="84"/>
      <c r="AI111" s="118"/>
      <c r="AJ111" s="85"/>
      <c r="AK111" s="80"/>
      <c r="AL111" s="86"/>
      <c r="AM111" s="166"/>
      <c r="AN111" s="167"/>
    </row>
    <row r="112" spans="1:40" ht="16.2" customHeight="1">
      <c r="A112" s="126"/>
      <c r="B112" s="114"/>
      <c r="C112" s="78"/>
      <c r="D112" s="114"/>
      <c r="E112" s="78"/>
      <c r="F112" s="116"/>
      <c r="G112" s="78"/>
      <c r="H112" s="114"/>
      <c r="I112" s="78"/>
      <c r="J112" s="114"/>
      <c r="K112" s="78"/>
      <c r="L112" s="116"/>
      <c r="M112" s="78"/>
      <c r="N112" s="114"/>
      <c r="O112" s="78"/>
      <c r="P112" s="114"/>
      <c r="Q112" s="78"/>
      <c r="R112" s="114"/>
      <c r="S112" s="78"/>
      <c r="T112" s="114"/>
      <c r="U112" s="78"/>
      <c r="V112" s="116"/>
      <c r="W112" s="78"/>
      <c r="X112" s="116"/>
      <c r="Y112" s="78"/>
      <c r="Z112" s="116"/>
      <c r="AA112" s="221"/>
      <c r="AB112" s="115"/>
      <c r="AC112" s="78"/>
      <c r="AD112" s="116"/>
      <c r="AE112" s="78"/>
      <c r="AF112" s="116"/>
      <c r="AG112" s="78"/>
      <c r="AH112" s="116"/>
      <c r="AI112" s="221"/>
      <c r="AJ112" s="115"/>
      <c r="AK112" s="78"/>
      <c r="AL112" s="83"/>
      <c r="AM112" s="164"/>
      <c r="AN112" s="165"/>
    </row>
    <row r="113" spans="1:40" ht="16.2" customHeight="1">
      <c r="A113" s="127"/>
      <c r="B113" s="80"/>
      <c r="C113" s="80"/>
      <c r="D113" s="80"/>
      <c r="E113" s="80"/>
      <c r="F113" s="84"/>
      <c r="G113" s="80"/>
      <c r="H113" s="80"/>
      <c r="I113" s="80"/>
      <c r="J113" s="80"/>
      <c r="K113" s="80"/>
      <c r="L113" s="84"/>
      <c r="M113" s="80"/>
      <c r="N113" s="80"/>
      <c r="O113" s="80"/>
      <c r="P113" s="80"/>
      <c r="Q113" s="80"/>
      <c r="R113" s="80"/>
      <c r="S113" s="80"/>
      <c r="T113" s="80"/>
      <c r="U113" s="80"/>
      <c r="V113" s="84"/>
      <c r="W113" s="80"/>
      <c r="X113" s="84"/>
      <c r="Y113" s="80"/>
      <c r="Z113" s="84"/>
      <c r="AA113" s="118"/>
      <c r="AB113" s="85"/>
      <c r="AC113" s="80"/>
      <c r="AD113" s="84"/>
      <c r="AE113" s="80"/>
      <c r="AF113" s="84"/>
      <c r="AG113" s="80"/>
      <c r="AH113" s="84"/>
      <c r="AI113" s="118"/>
      <c r="AJ113" s="85"/>
      <c r="AK113" s="80"/>
      <c r="AL113" s="86"/>
      <c r="AM113" s="166"/>
      <c r="AN113" s="167"/>
    </row>
    <row r="114" spans="1:40" ht="16.2" customHeight="1">
      <c r="A114" s="126"/>
      <c r="B114" s="114"/>
      <c r="C114" s="78"/>
      <c r="D114" s="114"/>
      <c r="E114" s="78"/>
      <c r="F114" s="116"/>
      <c r="G114" s="78"/>
      <c r="H114" s="114"/>
      <c r="I114" s="78"/>
      <c r="J114" s="114"/>
      <c r="K114" s="78"/>
      <c r="L114" s="116"/>
      <c r="M114" s="78"/>
      <c r="N114" s="114"/>
      <c r="O114" s="78"/>
      <c r="P114" s="114"/>
      <c r="Q114" s="78"/>
      <c r="R114" s="114"/>
      <c r="S114" s="78"/>
      <c r="T114" s="114"/>
      <c r="U114" s="78"/>
      <c r="V114" s="116"/>
      <c r="W114" s="78"/>
      <c r="X114" s="116"/>
      <c r="Y114" s="78"/>
      <c r="Z114" s="116"/>
      <c r="AA114" s="221"/>
      <c r="AB114" s="115"/>
      <c r="AC114" s="78"/>
      <c r="AD114" s="116"/>
      <c r="AE114" s="78"/>
      <c r="AF114" s="116"/>
      <c r="AG114" s="78"/>
      <c r="AH114" s="116"/>
      <c r="AI114" s="221"/>
      <c r="AJ114" s="115"/>
      <c r="AK114" s="78"/>
      <c r="AL114" s="83"/>
      <c r="AM114" s="164"/>
      <c r="AN114" s="165"/>
    </row>
    <row r="115" spans="1:40" ht="16.2" customHeight="1">
      <c r="A115" s="127"/>
      <c r="B115" s="80"/>
      <c r="C115" s="80"/>
      <c r="D115" s="80"/>
      <c r="E115" s="80"/>
      <c r="F115" s="84"/>
      <c r="G115" s="80"/>
      <c r="H115" s="80"/>
      <c r="I115" s="80"/>
      <c r="J115" s="80"/>
      <c r="K115" s="80"/>
      <c r="L115" s="84"/>
      <c r="M115" s="80"/>
      <c r="N115" s="80"/>
      <c r="O115" s="80"/>
      <c r="P115" s="80"/>
      <c r="Q115" s="80"/>
      <c r="R115" s="80"/>
      <c r="S115" s="80"/>
      <c r="T115" s="80"/>
      <c r="U115" s="80"/>
      <c r="V115" s="84"/>
      <c r="W115" s="80"/>
      <c r="X115" s="84"/>
      <c r="Y115" s="80"/>
      <c r="Z115" s="84"/>
      <c r="AA115" s="118"/>
      <c r="AB115" s="85"/>
      <c r="AC115" s="80"/>
      <c r="AD115" s="84"/>
      <c r="AE115" s="80"/>
      <c r="AF115" s="84"/>
      <c r="AG115" s="80"/>
      <c r="AH115" s="84"/>
      <c r="AI115" s="118"/>
      <c r="AJ115" s="85"/>
      <c r="AK115" s="80"/>
      <c r="AL115" s="86"/>
      <c r="AM115" s="166"/>
      <c r="AN115" s="167"/>
    </row>
    <row r="116" spans="1:40" ht="16.2" customHeight="1">
      <c r="A116" s="126"/>
      <c r="B116" s="114"/>
      <c r="C116" s="78"/>
      <c r="D116" s="114"/>
      <c r="E116" s="78"/>
      <c r="F116" s="116"/>
      <c r="G116" s="78"/>
      <c r="H116" s="114"/>
      <c r="I116" s="78"/>
      <c r="J116" s="114"/>
      <c r="K116" s="78"/>
      <c r="L116" s="116"/>
      <c r="M116" s="78"/>
      <c r="N116" s="114"/>
      <c r="O116" s="78"/>
      <c r="P116" s="114"/>
      <c r="Q116" s="78"/>
      <c r="R116" s="114"/>
      <c r="S116" s="78"/>
      <c r="T116" s="114"/>
      <c r="U116" s="78"/>
      <c r="V116" s="116"/>
      <c r="W116" s="78"/>
      <c r="X116" s="116"/>
      <c r="Y116" s="78"/>
      <c r="Z116" s="116"/>
      <c r="AA116" s="221"/>
      <c r="AB116" s="115"/>
      <c r="AC116" s="78"/>
      <c r="AD116" s="116"/>
      <c r="AE116" s="78"/>
      <c r="AF116" s="116"/>
      <c r="AG116" s="78"/>
      <c r="AH116" s="116"/>
      <c r="AI116" s="221"/>
      <c r="AJ116" s="115"/>
      <c r="AK116" s="78"/>
      <c r="AL116" s="83"/>
      <c r="AM116" s="164"/>
      <c r="AN116" s="165"/>
    </row>
    <row r="117" spans="1:40" ht="16.2" customHeight="1">
      <c r="A117" s="127"/>
      <c r="B117" s="80"/>
      <c r="C117" s="80"/>
      <c r="D117" s="80"/>
      <c r="E117" s="80"/>
      <c r="F117" s="84"/>
      <c r="G117" s="80"/>
      <c r="H117" s="80"/>
      <c r="I117" s="80"/>
      <c r="J117" s="80"/>
      <c r="K117" s="80"/>
      <c r="L117" s="84"/>
      <c r="M117" s="80"/>
      <c r="N117" s="80"/>
      <c r="O117" s="80"/>
      <c r="P117" s="80"/>
      <c r="Q117" s="80"/>
      <c r="R117" s="80"/>
      <c r="S117" s="80"/>
      <c r="T117" s="80"/>
      <c r="U117" s="80"/>
      <c r="V117" s="84"/>
      <c r="W117" s="80"/>
      <c r="X117" s="84"/>
      <c r="Y117" s="80"/>
      <c r="Z117" s="84"/>
      <c r="AA117" s="118"/>
      <c r="AB117" s="85"/>
      <c r="AC117" s="80"/>
      <c r="AD117" s="84"/>
      <c r="AE117" s="80"/>
      <c r="AF117" s="84"/>
      <c r="AG117" s="80"/>
      <c r="AH117" s="84"/>
      <c r="AI117" s="118"/>
      <c r="AJ117" s="85"/>
      <c r="AK117" s="80"/>
      <c r="AL117" s="86"/>
      <c r="AM117" s="166"/>
      <c r="AN117" s="167"/>
    </row>
    <row r="118" spans="1:40" ht="16.2" customHeight="1">
      <c r="A118" s="126"/>
      <c r="B118" s="114"/>
      <c r="C118" s="78"/>
      <c r="D118" s="114"/>
      <c r="E118" s="78"/>
      <c r="F118" s="116"/>
      <c r="G118" s="78"/>
      <c r="H118" s="114"/>
      <c r="I118" s="78"/>
      <c r="J118" s="114"/>
      <c r="K118" s="78"/>
      <c r="L118" s="116"/>
      <c r="M118" s="78"/>
      <c r="N118" s="114"/>
      <c r="O118" s="78"/>
      <c r="P118" s="114"/>
      <c r="Q118" s="78"/>
      <c r="R118" s="114"/>
      <c r="S118" s="78"/>
      <c r="T118" s="114"/>
      <c r="U118" s="78"/>
      <c r="V118" s="116"/>
      <c r="W118" s="78"/>
      <c r="X118" s="116"/>
      <c r="Y118" s="78"/>
      <c r="Z118" s="116"/>
      <c r="AA118" s="221"/>
      <c r="AB118" s="115"/>
      <c r="AC118" s="78"/>
      <c r="AD118" s="116"/>
      <c r="AE118" s="78"/>
      <c r="AF118" s="116"/>
      <c r="AG118" s="78"/>
      <c r="AH118" s="116"/>
      <c r="AI118" s="221"/>
      <c r="AJ118" s="115"/>
      <c r="AK118" s="78"/>
      <c r="AL118" s="83"/>
      <c r="AM118" s="164"/>
      <c r="AN118" s="165"/>
    </row>
    <row r="119" spans="1:40" ht="16.2" customHeight="1">
      <c r="A119" s="127"/>
      <c r="B119" s="80"/>
      <c r="C119" s="80"/>
      <c r="D119" s="80"/>
      <c r="E119" s="80"/>
      <c r="F119" s="84"/>
      <c r="G119" s="80"/>
      <c r="H119" s="80"/>
      <c r="I119" s="80"/>
      <c r="J119" s="80"/>
      <c r="K119" s="80"/>
      <c r="L119" s="84"/>
      <c r="M119" s="80"/>
      <c r="N119" s="80"/>
      <c r="O119" s="80"/>
      <c r="P119" s="80"/>
      <c r="Q119" s="80"/>
      <c r="R119" s="80"/>
      <c r="S119" s="80"/>
      <c r="T119" s="80"/>
      <c r="U119" s="80"/>
      <c r="V119" s="84"/>
      <c r="W119" s="80"/>
      <c r="X119" s="84"/>
      <c r="Y119" s="80"/>
      <c r="Z119" s="84"/>
      <c r="AA119" s="118"/>
      <c r="AB119" s="85"/>
      <c r="AC119" s="80"/>
      <c r="AD119" s="84"/>
      <c r="AE119" s="80"/>
      <c r="AF119" s="84"/>
      <c r="AG119" s="80"/>
      <c r="AH119" s="84"/>
      <c r="AI119" s="118"/>
      <c r="AJ119" s="85"/>
      <c r="AK119" s="80"/>
      <c r="AL119" s="86"/>
      <c r="AM119" s="166"/>
      <c r="AN119" s="167"/>
    </row>
    <row r="120" spans="1:40" ht="16.2" customHeight="1">
      <c r="A120" s="126"/>
      <c r="B120" s="114"/>
      <c r="C120" s="78"/>
      <c r="D120" s="114"/>
      <c r="E120" s="78"/>
      <c r="F120" s="116"/>
      <c r="G120" s="78"/>
      <c r="H120" s="114"/>
      <c r="I120" s="78"/>
      <c r="J120" s="114"/>
      <c r="K120" s="78"/>
      <c r="L120" s="116"/>
      <c r="M120" s="78"/>
      <c r="N120" s="114"/>
      <c r="O120" s="78"/>
      <c r="P120" s="114"/>
      <c r="Q120" s="78"/>
      <c r="R120" s="114"/>
      <c r="S120" s="78"/>
      <c r="T120" s="114"/>
      <c r="U120" s="78"/>
      <c r="V120" s="116"/>
      <c r="W120" s="78"/>
      <c r="X120" s="116"/>
      <c r="Y120" s="78"/>
      <c r="Z120" s="116"/>
      <c r="AA120" s="221"/>
      <c r="AB120" s="115"/>
      <c r="AC120" s="78"/>
      <c r="AD120" s="116"/>
      <c r="AE120" s="78"/>
      <c r="AF120" s="116"/>
      <c r="AG120" s="78"/>
      <c r="AH120" s="116"/>
      <c r="AI120" s="221"/>
      <c r="AJ120" s="115"/>
      <c r="AK120" s="78"/>
      <c r="AL120" s="83"/>
      <c r="AM120" s="164"/>
      <c r="AN120" s="165"/>
    </row>
    <row r="121" spans="1:40" ht="16.2" customHeight="1">
      <c r="A121" s="127"/>
      <c r="B121" s="80"/>
      <c r="C121" s="80"/>
      <c r="D121" s="80"/>
      <c r="E121" s="80"/>
      <c r="F121" s="84"/>
      <c r="G121" s="80"/>
      <c r="H121" s="80"/>
      <c r="I121" s="80"/>
      <c r="J121" s="80"/>
      <c r="K121" s="80"/>
      <c r="L121" s="84"/>
      <c r="M121" s="80"/>
      <c r="N121" s="80"/>
      <c r="O121" s="80"/>
      <c r="P121" s="80"/>
      <c r="Q121" s="80"/>
      <c r="R121" s="80"/>
      <c r="S121" s="80"/>
      <c r="T121" s="80"/>
      <c r="U121" s="80"/>
      <c r="V121" s="84"/>
      <c r="W121" s="80"/>
      <c r="X121" s="84"/>
      <c r="Y121" s="80"/>
      <c r="Z121" s="84"/>
      <c r="AA121" s="118"/>
      <c r="AB121" s="85"/>
      <c r="AC121" s="80"/>
      <c r="AD121" s="84"/>
      <c r="AE121" s="80"/>
      <c r="AF121" s="84"/>
      <c r="AG121" s="80"/>
      <c r="AH121" s="84"/>
      <c r="AI121" s="118"/>
      <c r="AJ121" s="85"/>
      <c r="AK121" s="80"/>
      <c r="AL121" s="86"/>
      <c r="AM121" s="166"/>
      <c r="AN121" s="167"/>
    </row>
    <row r="122" spans="1:40" ht="16.2" customHeight="1">
      <c r="A122" s="126"/>
      <c r="B122" s="114"/>
      <c r="C122" s="78"/>
      <c r="D122" s="114"/>
      <c r="E122" s="78"/>
      <c r="F122" s="116"/>
      <c r="G122" s="78"/>
      <c r="H122" s="114"/>
      <c r="I122" s="78"/>
      <c r="J122" s="114"/>
      <c r="K122" s="78"/>
      <c r="L122" s="116"/>
      <c r="M122" s="78"/>
      <c r="N122" s="114"/>
      <c r="O122" s="78"/>
      <c r="P122" s="114"/>
      <c r="Q122" s="78"/>
      <c r="R122" s="114"/>
      <c r="S122" s="78"/>
      <c r="T122" s="114"/>
      <c r="U122" s="78"/>
      <c r="V122" s="116"/>
      <c r="W122" s="78"/>
      <c r="X122" s="116"/>
      <c r="Y122" s="78"/>
      <c r="Z122" s="116"/>
      <c r="AA122" s="221"/>
      <c r="AB122" s="115"/>
      <c r="AC122" s="78"/>
      <c r="AD122" s="116"/>
      <c r="AE122" s="78"/>
      <c r="AF122" s="116"/>
      <c r="AG122" s="78"/>
      <c r="AH122" s="116"/>
      <c r="AI122" s="221"/>
      <c r="AJ122" s="115"/>
      <c r="AK122" s="78"/>
      <c r="AL122" s="83"/>
      <c r="AM122" s="164"/>
      <c r="AN122" s="165"/>
    </row>
    <row r="123" spans="1:40" ht="16.2" customHeight="1">
      <c r="A123" s="127"/>
      <c r="B123" s="80"/>
      <c r="C123" s="80"/>
      <c r="D123" s="80"/>
      <c r="E123" s="80"/>
      <c r="F123" s="84"/>
      <c r="G123" s="80"/>
      <c r="H123" s="80"/>
      <c r="I123" s="80"/>
      <c r="J123" s="80"/>
      <c r="K123" s="80"/>
      <c r="L123" s="84"/>
      <c r="M123" s="80"/>
      <c r="N123" s="80"/>
      <c r="O123" s="80"/>
      <c r="P123" s="80"/>
      <c r="Q123" s="80"/>
      <c r="R123" s="80"/>
      <c r="S123" s="80"/>
      <c r="T123" s="80"/>
      <c r="U123" s="80"/>
      <c r="V123" s="84"/>
      <c r="W123" s="80"/>
      <c r="X123" s="84"/>
      <c r="Y123" s="80"/>
      <c r="Z123" s="84"/>
      <c r="AA123" s="118"/>
      <c r="AB123" s="85"/>
      <c r="AC123" s="80"/>
      <c r="AD123" s="84"/>
      <c r="AE123" s="80"/>
      <c r="AF123" s="84"/>
      <c r="AG123" s="80"/>
      <c r="AH123" s="84"/>
      <c r="AI123" s="118"/>
      <c r="AJ123" s="85"/>
      <c r="AK123" s="80"/>
      <c r="AL123" s="86"/>
      <c r="AM123" s="166"/>
      <c r="AN123" s="167"/>
    </row>
    <row r="124" spans="1:40" ht="16.2" customHeight="1">
      <c r="A124" s="126"/>
      <c r="B124" s="114"/>
      <c r="C124" s="78"/>
      <c r="D124" s="114"/>
      <c r="E124" s="78"/>
      <c r="F124" s="116"/>
      <c r="G124" s="78"/>
      <c r="H124" s="114"/>
      <c r="I124" s="78"/>
      <c r="J124" s="114"/>
      <c r="K124" s="78"/>
      <c r="L124" s="116"/>
      <c r="M124" s="78"/>
      <c r="N124" s="114"/>
      <c r="O124" s="78"/>
      <c r="P124" s="114"/>
      <c r="Q124" s="78"/>
      <c r="R124" s="114"/>
      <c r="S124" s="78"/>
      <c r="T124" s="114"/>
      <c r="U124" s="78"/>
      <c r="V124" s="116"/>
      <c r="W124" s="78"/>
      <c r="X124" s="116"/>
      <c r="Y124" s="78"/>
      <c r="Z124" s="116"/>
      <c r="AA124" s="221"/>
      <c r="AB124" s="115"/>
      <c r="AC124" s="78"/>
      <c r="AD124" s="116"/>
      <c r="AE124" s="78"/>
      <c r="AF124" s="116"/>
      <c r="AG124" s="78"/>
      <c r="AH124" s="116"/>
      <c r="AI124" s="221"/>
      <c r="AJ124" s="115"/>
      <c r="AK124" s="78"/>
      <c r="AL124" s="83"/>
      <c r="AM124" s="164"/>
      <c r="AN124" s="165"/>
    </row>
    <row r="125" spans="1:40" ht="16.2" customHeight="1">
      <c r="A125" s="127"/>
      <c r="B125" s="80"/>
      <c r="C125" s="80"/>
      <c r="D125" s="80"/>
      <c r="E125" s="80"/>
      <c r="F125" s="84"/>
      <c r="G125" s="80"/>
      <c r="H125" s="80"/>
      <c r="I125" s="80"/>
      <c r="J125" s="80"/>
      <c r="K125" s="80"/>
      <c r="L125" s="84"/>
      <c r="M125" s="80"/>
      <c r="N125" s="80"/>
      <c r="O125" s="80"/>
      <c r="P125" s="80"/>
      <c r="Q125" s="80"/>
      <c r="R125" s="80"/>
      <c r="S125" s="80"/>
      <c r="T125" s="80"/>
      <c r="U125" s="80"/>
      <c r="V125" s="84"/>
      <c r="W125" s="80"/>
      <c r="X125" s="84"/>
      <c r="Y125" s="80"/>
      <c r="Z125" s="84"/>
      <c r="AA125" s="118"/>
      <c r="AB125" s="85"/>
      <c r="AC125" s="80"/>
      <c r="AD125" s="84"/>
      <c r="AE125" s="80"/>
      <c r="AF125" s="84"/>
      <c r="AG125" s="80"/>
      <c r="AH125" s="84"/>
      <c r="AI125" s="118"/>
      <c r="AJ125" s="85"/>
      <c r="AK125" s="80"/>
      <c r="AL125" s="86"/>
      <c r="AM125" s="166"/>
      <c r="AN125" s="167"/>
    </row>
    <row r="126" spans="1:40" ht="16.2" customHeight="1">
      <c r="A126" s="126"/>
      <c r="B126" s="114"/>
      <c r="C126" s="78"/>
      <c r="D126" s="114"/>
      <c r="E126" s="78"/>
      <c r="F126" s="116"/>
      <c r="G126" s="78"/>
      <c r="H126" s="114"/>
      <c r="I126" s="78"/>
      <c r="J126" s="114"/>
      <c r="K126" s="78"/>
      <c r="L126" s="116"/>
      <c r="M126" s="78"/>
      <c r="N126" s="114"/>
      <c r="O126" s="78"/>
      <c r="P126" s="114"/>
      <c r="Q126" s="78"/>
      <c r="R126" s="114"/>
      <c r="S126" s="78"/>
      <c r="T126" s="114"/>
      <c r="U126" s="78"/>
      <c r="V126" s="116"/>
      <c r="W126" s="78"/>
      <c r="X126" s="116"/>
      <c r="Y126" s="78"/>
      <c r="Z126" s="116"/>
      <c r="AA126" s="221"/>
      <c r="AB126" s="115"/>
      <c r="AC126" s="78"/>
      <c r="AD126" s="116"/>
      <c r="AE126" s="78"/>
      <c r="AF126" s="116"/>
      <c r="AG126" s="78"/>
      <c r="AH126" s="116"/>
      <c r="AI126" s="221"/>
      <c r="AJ126" s="115"/>
      <c r="AK126" s="78"/>
      <c r="AL126" s="83"/>
      <c r="AM126" s="164"/>
      <c r="AN126" s="165"/>
    </row>
    <row r="127" spans="1:40" ht="16.2" customHeight="1">
      <c r="A127" s="127"/>
      <c r="B127" s="80"/>
      <c r="C127" s="80"/>
      <c r="D127" s="80"/>
      <c r="E127" s="80"/>
      <c r="F127" s="84"/>
      <c r="G127" s="80"/>
      <c r="H127" s="80"/>
      <c r="I127" s="80"/>
      <c r="J127" s="80"/>
      <c r="K127" s="80"/>
      <c r="L127" s="84"/>
      <c r="M127" s="80"/>
      <c r="N127" s="80"/>
      <c r="O127" s="80"/>
      <c r="P127" s="80"/>
      <c r="Q127" s="80"/>
      <c r="R127" s="80"/>
      <c r="S127" s="80"/>
      <c r="T127" s="80"/>
      <c r="U127" s="80"/>
      <c r="V127" s="84"/>
      <c r="W127" s="80"/>
      <c r="X127" s="84"/>
      <c r="Y127" s="80"/>
      <c r="Z127" s="84"/>
      <c r="AA127" s="118"/>
      <c r="AB127" s="85"/>
      <c r="AC127" s="80"/>
      <c r="AD127" s="84"/>
      <c r="AE127" s="80"/>
      <c r="AF127" s="84"/>
      <c r="AG127" s="80"/>
      <c r="AH127" s="84"/>
      <c r="AI127" s="118"/>
      <c r="AJ127" s="85"/>
      <c r="AK127" s="80"/>
      <c r="AL127" s="86"/>
      <c r="AM127" s="166"/>
      <c r="AN127" s="167"/>
    </row>
    <row r="128" spans="1:40" ht="16.2" customHeight="1">
      <c r="A128" s="126"/>
      <c r="B128" s="114"/>
      <c r="C128" s="78"/>
      <c r="D128" s="114"/>
      <c r="E128" s="78"/>
      <c r="F128" s="116"/>
      <c r="G128" s="78"/>
      <c r="H128" s="114"/>
      <c r="I128" s="78"/>
      <c r="J128" s="114"/>
      <c r="K128" s="78"/>
      <c r="L128" s="116"/>
      <c r="M128" s="78"/>
      <c r="N128" s="114"/>
      <c r="O128" s="78"/>
      <c r="P128" s="114"/>
      <c r="Q128" s="78"/>
      <c r="R128" s="114"/>
      <c r="S128" s="78"/>
      <c r="T128" s="114"/>
      <c r="U128" s="78"/>
      <c r="V128" s="116"/>
      <c r="W128" s="78"/>
      <c r="X128" s="116"/>
      <c r="Y128" s="78"/>
      <c r="Z128" s="116"/>
      <c r="AA128" s="221"/>
      <c r="AB128" s="115"/>
      <c r="AC128" s="78"/>
      <c r="AD128" s="116"/>
      <c r="AE128" s="78"/>
      <c r="AF128" s="116"/>
      <c r="AG128" s="78"/>
      <c r="AH128" s="116"/>
      <c r="AI128" s="221"/>
      <c r="AJ128" s="115"/>
      <c r="AK128" s="78"/>
      <c r="AL128" s="83"/>
      <c r="AM128" s="164"/>
      <c r="AN128" s="165"/>
    </row>
    <row r="129" spans="1:40" ht="16.2" customHeight="1">
      <c r="A129" s="127"/>
      <c r="B129" s="80"/>
      <c r="C129" s="80"/>
      <c r="D129" s="80"/>
      <c r="E129" s="80"/>
      <c r="F129" s="84"/>
      <c r="G129" s="80"/>
      <c r="H129" s="80"/>
      <c r="I129" s="80"/>
      <c r="J129" s="80"/>
      <c r="K129" s="80"/>
      <c r="L129" s="84"/>
      <c r="M129" s="80"/>
      <c r="N129" s="80"/>
      <c r="O129" s="80"/>
      <c r="P129" s="80"/>
      <c r="Q129" s="80"/>
      <c r="R129" s="80"/>
      <c r="S129" s="80"/>
      <c r="T129" s="80"/>
      <c r="U129" s="80"/>
      <c r="V129" s="84"/>
      <c r="W129" s="80"/>
      <c r="X129" s="84"/>
      <c r="Y129" s="80"/>
      <c r="Z129" s="84"/>
      <c r="AA129" s="118"/>
      <c r="AB129" s="85"/>
      <c r="AC129" s="80"/>
      <c r="AD129" s="84"/>
      <c r="AE129" s="80"/>
      <c r="AF129" s="84"/>
      <c r="AG129" s="80"/>
      <c r="AH129" s="84"/>
      <c r="AI129" s="118"/>
      <c r="AJ129" s="85"/>
      <c r="AK129" s="80"/>
      <c r="AL129" s="86"/>
      <c r="AM129" s="166"/>
      <c r="AN129" s="167"/>
    </row>
    <row r="130" spans="1:40" ht="16.2" customHeight="1">
      <c r="A130" s="126"/>
      <c r="B130" s="114"/>
      <c r="C130" s="78"/>
      <c r="D130" s="114"/>
      <c r="E130" s="78"/>
      <c r="F130" s="116"/>
      <c r="G130" s="78"/>
      <c r="H130" s="114"/>
      <c r="I130" s="78"/>
      <c r="J130" s="114"/>
      <c r="K130" s="78"/>
      <c r="L130" s="116"/>
      <c r="M130" s="78"/>
      <c r="N130" s="114"/>
      <c r="O130" s="78"/>
      <c r="P130" s="114"/>
      <c r="Q130" s="78"/>
      <c r="R130" s="114"/>
      <c r="S130" s="78"/>
      <c r="T130" s="114"/>
      <c r="U130" s="78"/>
      <c r="V130" s="116"/>
      <c r="W130" s="78"/>
      <c r="X130" s="116"/>
      <c r="Y130" s="78"/>
      <c r="Z130" s="116"/>
      <c r="AA130" s="221"/>
      <c r="AB130" s="115"/>
      <c r="AC130" s="78"/>
      <c r="AD130" s="116"/>
      <c r="AE130" s="78"/>
      <c r="AF130" s="116"/>
      <c r="AG130" s="78"/>
      <c r="AH130" s="116"/>
      <c r="AI130" s="221"/>
      <c r="AJ130" s="115"/>
      <c r="AK130" s="78"/>
      <c r="AL130" s="83"/>
      <c r="AM130" s="164"/>
      <c r="AN130" s="165"/>
    </row>
    <row r="131" spans="1:40" ht="16.2" customHeight="1">
      <c r="A131" s="127"/>
      <c r="B131" s="80"/>
      <c r="C131" s="80"/>
      <c r="D131" s="80"/>
      <c r="E131" s="80"/>
      <c r="F131" s="84"/>
      <c r="G131" s="80"/>
      <c r="H131" s="80"/>
      <c r="I131" s="80"/>
      <c r="J131" s="80"/>
      <c r="K131" s="80"/>
      <c r="L131" s="84"/>
      <c r="M131" s="80"/>
      <c r="N131" s="80"/>
      <c r="O131" s="80"/>
      <c r="P131" s="80"/>
      <c r="Q131" s="80"/>
      <c r="R131" s="80"/>
      <c r="S131" s="80"/>
      <c r="T131" s="80"/>
      <c r="U131" s="80"/>
      <c r="V131" s="84"/>
      <c r="W131" s="80"/>
      <c r="X131" s="84"/>
      <c r="Y131" s="80"/>
      <c r="Z131" s="84"/>
      <c r="AA131" s="118"/>
      <c r="AB131" s="85"/>
      <c r="AC131" s="80"/>
      <c r="AD131" s="84"/>
      <c r="AE131" s="80"/>
      <c r="AF131" s="84"/>
      <c r="AG131" s="80"/>
      <c r="AH131" s="84"/>
      <c r="AI131" s="118"/>
      <c r="AJ131" s="85"/>
      <c r="AK131" s="80"/>
      <c r="AL131" s="86"/>
      <c r="AM131" s="166"/>
      <c r="AN131" s="167"/>
    </row>
    <row r="132" spans="1:40" ht="16.2" customHeight="1">
      <c r="A132" s="126"/>
      <c r="B132" s="114"/>
      <c r="C132" s="78"/>
      <c r="D132" s="114"/>
      <c r="E132" s="78"/>
      <c r="F132" s="116"/>
      <c r="G132" s="78"/>
      <c r="H132" s="114"/>
      <c r="I132" s="78"/>
      <c r="J132" s="114"/>
      <c r="K132" s="78"/>
      <c r="L132" s="116"/>
      <c r="M132" s="78"/>
      <c r="N132" s="114"/>
      <c r="O132" s="78"/>
      <c r="P132" s="114"/>
      <c r="Q132" s="78"/>
      <c r="R132" s="114"/>
      <c r="S132" s="78"/>
      <c r="T132" s="114"/>
      <c r="U132" s="78"/>
      <c r="V132" s="116"/>
      <c r="W132" s="78"/>
      <c r="X132" s="116"/>
      <c r="Y132" s="78"/>
      <c r="Z132" s="116"/>
      <c r="AA132" s="221"/>
      <c r="AB132" s="115"/>
      <c r="AC132" s="78"/>
      <c r="AD132" s="116"/>
      <c r="AE132" s="78"/>
      <c r="AF132" s="116"/>
      <c r="AG132" s="78"/>
      <c r="AH132" s="116"/>
      <c r="AI132" s="221"/>
      <c r="AJ132" s="115"/>
      <c r="AK132" s="78"/>
      <c r="AL132" s="83"/>
      <c r="AM132" s="164"/>
      <c r="AN132" s="165"/>
    </row>
    <row r="133" spans="1:40" ht="16.2" customHeight="1">
      <c r="A133" s="127"/>
      <c r="B133" s="80"/>
      <c r="C133" s="80"/>
      <c r="D133" s="80"/>
      <c r="E133" s="80"/>
      <c r="F133" s="84"/>
      <c r="G133" s="80"/>
      <c r="H133" s="80"/>
      <c r="I133" s="80"/>
      <c r="J133" s="80"/>
      <c r="K133" s="80"/>
      <c r="L133" s="84"/>
      <c r="M133" s="80"/>
      <c r="N133" s="80"/>
      <c r="O133" s="80"/>
      <c r="P133" s="80"/>
      <c r="Q133" s="80"/>
      <c r="R133" s="80"/>
      <c r="S133" s="80"/>
      <c r="T133" s="80"/>
      <c r="U133" s="80"/>
      <c r="V133" s="84"/>
      <c r="W133" s="80"/>
      <c r="X133" s="84"/>
      <c r="Y133" s="80"/>
      <c r="Z133" s="84"/>
      <c r="AA133" s="118"/>
      <c r="AB133" s="85"/>
      <c r="AC133" s="80"/>
      <c r="AD133" s="84"/>
      <c r="AE133" s="80"/>
      <c r="AF133" s="84"/>
      <c r="AG133" s="80"/>
      <c r="AH133" s="84"/>
      <c r="AI133" s="118"/>
      <c r="AJ133" s="85"/>
      <c r="AK133" s="80"/>
      <c r="AL133" s="86"/>
      <c r="AM133" s="166"/>
      <c r="AN133" s="167"/>
    </row>
    <row r="134" spans="1:40" ht="16.2" customHeight="1">
      <c r="A134" s="126"/>
      <c r="B134" s="114"/>
      <c r="C134" s="78"/>
      <c r="D134" s="114"/>
      <c r="E134" s="78"/>
      <c r="F134" s="116"/>
      <c r="G134" s="78"/>
      <c r="H134" s="114"/>
      <c r="I134" s="78"/>
      <c r="J134" s="114"/>
      <c r="K134" s="78"/>
      <c r="L134" s="116"/>
      <c r="M134" s="78"/>
      <c r="N134" s="114"/>
      <c r="O134" s="78"/>
      <c r="P134" s="114"/>
      <c r="Q134" s="78"/>
      <c r="R134" s="114"/>
      <c r="S134" s="78"/>
      <c r="T134" s="114"/>
      <c r="U134" s="78"/>
      <c r="V134" s="116"/>
      <c r="W134" s="78"/>
      <c r="X134" s="116"/>
      <c r="Y134" s="78"/>
      <c r="Z134" s="116"/>
      <c r="AA134" s="221"/>
      <c r="AB134" s="115"/>
      <c r="AC134" s="78"/>
      <c r="AD134" s="116"/>
      <c r="AE134" s="78"/>
      <c r="AF134" s="116"/>
      <c r="AG134" s="78"/>
      <c r="AH134" s="116"/>
      <c r="AI134" s="221"/>
      <c r="AJ134" s="115"/>
      <c r="AK134" s="78"/>
      <c r="AL134" s="83"/>
      <c r="AM134" s="164"/>
      <c r="AN134" s="165"/>
    </row>
    <row r="135" spans="1:40" ht="16.2" customHeight="1">
      <c r="A135" s="127"/>
      <c r="B135" s="80"/>
      <c r="C135" s="80"/>
      <c r="D135" s="80"/>
      <c r="E135" s="80"/>
      <c r="F135" s="84"/>
      <c r="G135" s="80"/>
      <c r="H135" s="80"/>
      <c r="I135" s="80"/>
      <c r="J135" s="80"/>
      <c r="K135" s="80"/>
      <c r="L135" s="84"/>
      <c r="M135" s="80"/>
      <c r="N135" s="80"/>
      <c r="O135" s="80"/>
      <c r="P135" s="80"/>
      <c r="Q135" s="80"/>
      <c r="R135" s="80"/>
      <c r="S135" s="80"/>
      <c r="T135" s="80"/>
      <c r="U135" s="80"/>
      <c r="V135" s="84"/>
      <c r="W135" s="80"/>
      <c r="X135" s="84"/>
      <c r="Y135" s="80"/>
      <c r="Z135" s="84"/>
      <c r="AA135" s="118"/>
      <c r="AB135" s="85"/>
      <c r="AC135" s="80"/>
      <c r="AD135" s="84"/>
      <c r="AE135" s="80"/>
      <c r="AF135" s="84"/>
      <c r="AG135" s="80"/>
      <c r="AH135" s="84"/>
      <c r="AI135" s="118"/>
      <c r="AJ135" s="85"/>
      <c r="AK135" s="80"/>
      <c r="AL135" s="86"/>
      <c r="AM135" s="166"/>
      <c r="AN135" s="167"/>
    </row>
    <row r="136" spans="1:40" ht="16.2" customHeight="1">
      <c r="A136" s="126"/>
      <c r="B136" s="114"/>
      <c r="C136" s="78"/>
      <c r="D136" s="114"/>
      <c r="E136" s="78"/>
      <c r="F136" s="116"/>
      <c r="G136" s="78"/>
      <c r="H136" s="114"/>
      <c r="I136" s="78"/>
      <c r="J136" s="114"/>
      <c r="K136" s="78"/>
      <c r="L136" s="116"/>
      <c r="M136" s="78"/>
      <c r="N136" s="114"/>
      <c r="O136" s="78"/>
      <c r="P136" s="114"/>
      <c r="Q136" s="78"/>
      <c r="R136" s="114"/>
      <c r="S136" s="78"/>
      <c r="T136" s="114"/>
      <c r="U136" s="78"/>
      <c r="V136" s="116"/>
      <c r="W136" s="78"/>
      <c r="X136" s="116"/>
      <c r="Y136" s="78"/>
      <c r="Z136" s="116"/>
      <c r="AA136" s="221"/>
      <c r="AB136" s="115"/>
      <c r="AC136" s="78"/>
      <c r="AD136" s="116"/>
      <c r="AE136" s="78"/>
      <c r="AF136" s="116"/>
      <c r="AG136" s="78"/>
      <c r="AH136" s="116"/>
      <c r="AI136" s="221"/>
      <c r="AJ136" s="115"/>
      <c r="AK136" s="78"/>
      <c r="AL136" s="83"/>
      <c r="AM136" s="164"/>
      <c r="AN136" s="165"/>
    </row>
    <row r="137" spans="1:40" ht="16.2" customHeight="1">
      <c r="A137" s="127"/>
      <c r="B137" s="80"/>
      <c r="C137" s="80"/>
      <c r="D137" s="80"/>
      <c r="E137" s="80"/>
      <c r="F137" s="84"/>
      <c r="G137" s="80"/>
      <c r="H137" s="80"/>
      <c r="I137" s="80"/>
      <c r="J137" s="80"/>
      <c r="K137" s="80"/>
      <c r="L137" s="84"/>
      <c r="M137" s="80"/>
      <c r="N137" s="80"/>
      <c r="O137" s="80"/>
      <c r="P137" s="80"/>
      <c r="Q137" s="80"/>
      <c r="R137" s="80"/>
      <c r="S137" s="80"/>
      <c r="T137" s="80"/>
      <c r="U137" s="80"/>
      <c r="V137" s="84"/>
      <c r="W137" s="80"/>
      <c r="X137" s="84"/>
      <c r="Y137" s="80"/>
      <c r="Z137" s="84"/>
      <c r="AA137" s="118"/>
      <c r="AB137" s="85"/>
      <c r="AC137" s="80"/>
      <c r="AD137" s="84"/>
      <c r="AE137" s="80"/>
      <c r="AF137" s="84"/>
      <c r="AG137" s="80"/>
      <c r="AH137" s="84"/>
      <c r="AI137" s="118"/>
      <c r="AJ137" s="85"/>
      <c r="AK137" s="80"/>
      <c r="AL137" s="86"/>
      <c r="AM137" s="166"/>
      <c r="AN137" s="167"/>
    </row>
    <row r="138" spans="1:40" ht="16.2" customHeight="1">
      <c r="A138" s="126"/>
      <c r="B138" s="114"/>
      <c r="C138" s="78"/>
      <c r="D138" s="114"/>
      <c r="E138" s="78"/>
      <c r="F138" s="116"/>
      <c r="G138" s="78"/>
      <c r="H138" s="114"/>
      <c r="I138" s="78"/>
      <c r="J138" s="114"/>
      <c r="K138" s="78"/>
      <c r="L138" s="116"/>
      <c r="M138" s="78"/>
      <c r="N138" s="114"/>
      <c r="O138" s="78"/>
      <c r="P138" s="114"/>
      <c r="Q138" s="78"/>
      <c r="R138" s="114"/>
      <c r="S138" s="78"/>
      <c r="T138" s="114"/>
      <c r="U138" s="78"/>
      <c r="V138" s="116"/>
      <c r="W138" s="78"/>
      <c r="X138" s="116"/>
      <c r="Y138" s="78"/>
      <c r="Z138" s="116"/>
      <c r="AA138" s="221"/>
      <c r="AB138" s="115"/>
      <c r="AC138" s="78"/>
      <c r="AD138" s="116"/>
      <c r="AE138" s="78"/>
      <c r="AF138" s="116"/>
      <c r="AG138" s="78"/>
      <c r="AH138" s="116"/>
      <c r="AI138" s="221"/>
      <c r="AJ138" s="115"/>
      <c r="AK138" s="78"/>
      <c r="AL138" s="83"/>
      <c r="AM138" s="164"/>
      <c r="AN138" s="165"/>
    </row>
    <row r="139" spans="1:40" ht="16.2" customHeight="1">
      <c r="A139" s="127"/>
      <c r="B139" s="80"/>
      <c r="C139" s="80"/>
      <c r="D139" s="80"/>
      <c r="E139" s="80"/>
      <c r="F139" s="84"/>
      <c r="G139" s="80"/>
      <c r="H139" s="80"/>
      <c r="I139" s="80"/>
      <c r="J139" s="80"/>
      <c r="K139" s="80"/>
      <c r="L139" s="84"/>
      <c r="M139" s="80"/>
      <c r="N139" s="80"/>
      <c r="O139" s="80"/>
      <c r="P139" s="80"/>
      <c r="Q139" s="80"/>
      <c r="R139" s="80"/>
      <c r="S139" s="80"/>
      <c r="T139" s="80"/>
      <c r="U139" s="80"/>
      <c r="V139" s="84"/>
      <c r="W139" s="80"/>
      <c r="X139" s="84"/>
      <c r="Y139" s="80"/>
      <c r="Z139" s="84"/>
      <c r="AA139" s="118"/>
      <c r="AB139" s="85"/>
      <c r="AC139" s="80"/>
      <c r="AD139" s="84"/>
      <c r="AE139" s="80"/>
      <c r="AF139" s="84"/>
      <c r="AG139" s="80"/>
      <c r="AH139" s="84"/>
      <c r="AI139" s="118"/>
      <c r="AJ139" s="85"/>
      <c r="AK139" s="80"/>
      <c r="AL139" s="86"/>
      <c r="AM139" s="166"/>
      <c r="AN139" s="167"/>
    </row>
    <row r="140" spans="1:40" ht="16.2" customHeight="1">
      <c r="A140" s="126"/>
      <c r="B140" s="114"/>
      <c r="C140" s="78"/>
      <c r="D140" s="114"/>
      <c r="E140" s="78"/>
      <c r="F140" s="116"/>
      <c r="G140" s="78"/>
      <c r="H140" s="114"/>
      <c r="I140" s="78"/>
      <c r="J140" s="114"/>
      <c r="K140" s="78"/>
      <c r="L140" s="116"/>
      <c r="M140" s="78"/>
      <c r="N140" s="114"/>
      <c r="O140" s="78"/>
      <c r="P140" s="114"/>
      <c r="Q140" s="78"/>
      <c r="R140" s="114"/>
      <c r="S140" s="78"/>
      <c r="T140" s="114"/>
      <c r="U140" s="78"/>
      <c r="V140" s="116"/>
      <c r="W140" s="78"/>
      <c r="X140" s="116"/>
      <c r="Y140" s="78"/>
      <c r="Z140" s="116"/>
      <c r="AA140" s="221"/>
      <c r="AB140" s="115"/>
      <c r="AC140" s="78"/>
      <c r="AD140" s="116"/>
      <c r="AE140" s="78"/>
      <c r="AF140" s="116"/>
      <c r="AG140" s="78"/>
      <c r="AH140" s="116"/>
      <c r="AI140" s="221"/>
      <c r="AJ140" s="115"/>
      <c r="AK140" s="78"/>
      <c r="AL140" s="83"/>
      <c r="AM140" s="164"/>
      <c r="AN140" s="165"/>
    </row>
    <row r="141" spans="1:40" ht="16.2" customHeight="1">
      <c r="A141" s="127"/>
      <c r="B141" s="80"/>
      <c r="C141" s="80"/>
      <c r="D141" s="80"/>
      <c r="E141" s="80"/>
      <c r="F141" s="84"/>
      <c r="G141" s="80"/>
      <c r="H141" s="80"/>
      <c r="I141" s="80"/>
      <c r="J141" s="80"/>
      <c r="K141" s="80"/>
      <c r="L141" s="84"/>
      <c r="M141" s="80"/>
      <c r="N141" s="80"/>
      <c r="O141" s="80"/>
      <c r="P141" s="80"/>
      <c r="Q141" s="80"/>
      <c r="R141" s="80"/>
      <c r="S141" s="80"/>
      <c r="T141" s="80"/>
      <c r="U141" s="80"/>
      <c r="V141" s="84"/>
      <c r="W141" s="80"/>
      <c r="X141" s="84"/>
      <c r="Y141" s="80"/>
      <c r="Z141" s="84"/>
      <c r="AA141" s="118"/>
      <c r="AB141" s="85"/>
      <c r="AC141" s="80"/>
      <c r="AD141" s="84"/>
      <c r="AE141" s="80"/>
      <c r="AF141" s="84"/>
      <c r="AG141" s="80"/>
      <c r="AH141" s="84"/>
      <c r="AI141" s="118"/>
      <c r="AJ141" s="85"/>
      <c r="AK141" s="80"/>
      <c r="AL141" s="86"/>
      <c r="AM141" s="166"/>
      <c r="AN141" s="167"/>
    </row>
    <row r="142" spans="1:40" ht="16.2" customHeight="1">
      <c r="A142" s="126"/>
      <c r="B142" s="114"/>
      <c r="C142" s="78"/>
      <c r="D142" s="114"/>
      <c r="E142" s="78"/>
      <c r="F142" s="116"/>
      <c r="G142" s="78"/>
      <c r="H142" s="114"/>
      <c r="I142" s="78"/>
      <c r="J142" s="114"/>
      <c r="K142" s="78"/>
      <c r="L142" s="116"/>
      <c r="M142" s="78"/>
      <c r="N142" s="114"/>
      <c r="O142" s="78"/>
      <c r="P142" s="114"/>
      <c r="Q142" s="78"/>
      <c r="R142" s="114"/>
      <c r="S142" s="78"/>
      <c r="T142" s="114"/>
      <c r="U142" s="78"/>
      <c r="V142" s="116"/>
      <c r="W142" s="78"/>
      <c r="X142" s="116"/>
      <c r="Y142" s="78"/>
      <c r="Z142" s="116"/>
      <c r="AA142" s="221"/>
      <c r="AB142" s="115"/>
      <c r="AC142" s="78"/>
      <c r="AD142" s="116"/>
      <c r="AE142" s="78"/>
      <c r="AF142" s="116"/>
      <c r="AG142" s="78"/>
      <c r="AH142" s="116"/>
      <c r="AI142" s="221"/>
      <c r="AJ142" s="115"/>
      <c r="AK142" s="78"/>
      <c r="AL142" s="83"/>
      <c r="AM142" s="164"/>
      <c r="AN142" s="165"/>
    </row>
    <row r="143" spans="1:40" ht="16.2" customHeight="1">
      <c r="A143" s="127"/>
      <c r="B143" s="80"/>
      <c r="C143" s="80"/>
      <c r="D143" s="80"/>
      <c r="E143" s="80"/>
      <c r="F143" s="84"/>
      <c r="G143" s="80"/>
      <c r="H143" s="80"/>
      <c r="I143" s="80"/>
      <c r="J143" s="80"/>
      <c r="K143" s="80"/>
      <c r="L143" s="84"/>
      <c r="M143" s="80"/>
      <c r="N143" s="80"/>
      <c r="O143" s="80"/>
      <c r="P143" s="80"/>
      <c r="Q143" s="80"/>
      <c r="R143" s="80"/>
      <c r="S143" s="80"/>
      <c r="T143" s="80"/>
      <c r="U143" s="80"/>
      <c r="V143" s="84"/>
      <c r="W143" s="80"/>
      <c r="X143" s="84"/>
      <c r="Y143" s="80"/>
      <c r="Z143" s="84"/>
      <c r="AA143" s="118"/>
      <c r="AB143" s="85"/>
      <c r="AC143" s="80"/>
      <c r="AD143" s="84"/>
      <c r="AE143" s="80"/>
      <c r="AF143" s="84"/>
      <c r="AG143" s="80"/>
      <c r="AH143" s="84"/>
      <c r="AI143" s="118"/>
      <c r="AJ143" s="85"/>
      <c r="AK143" s="80"/>
      <c r="AL143" s="86"/>
      <c r="AM143" s="166"/>
      <c r="AN143" s="167"/>
    </row>
    <row r="144" spans="1:40" ht="16.2" customHeight="1">
      <c r="A144" s="126"/>
      <c r="B144" s="114"/>
      <c r="C144" s="78"/>
      <c r="D144" s="114"/>
      <c r="E144" s="78"/>
      <c r="F144" s="116"/>
      <c r="G144" s="78"/>
      <c r="H144" s="114"/>
      <c r="I144" s="78"/>
      <c r="J144" s="114"/>
      <c r="K144" s="78"/>
      <c r="L144" s="116"/>
      <c r="M144" s="78"/>
      <c r="N144" s="114"/>
      <c r="O144" s="78"/>
      <c r="P144" s="114"/>
      <c r="Q144" s="78"/>
      <c r="R144" s="114"/>
      <c r="S144" s="78"/>
      <c r="T144" s="114"/>
      <c r="U144" s="78"/>
      <c r="V144" s="116"/>
      <c r="W144" s="78"/>
      <c r="X144" s="116"/>
      <c r="Y144" s="78"/>
      <c r="Z144" s="116"/>
      <c r="AA144" s="221"/>
      <c r="AB144" s="115"/>
      <c r="AC144" s="78"/>
      <c r="AD144" s="116"/>
      <c r="AE144" s="78"/>
      <c r="AF144" s="116"/>
      <c r="AG144" s="78"/>
      <c r="AH144" s="116"/>
      <c r="AI144" s="221"/>
      <c r="AJ144" s="115"/>
      <c r="AK144" s="78"/>
      <c r="AL144" s="83"/>
      <c r="AM144" s="164"/>
      <c r="AN144" s="165"/>
    </row>
    <row r="145" spans="1:40" ht="16.2" customHeight="1">
      <c r="A145" s="127"/>
      <c r="B145" s="80"/>
      <c r="C145" s="80"/>
      <c r="D145" s="80"/>
      <c r="E145" s="80"/>
      <c r="F145" s="84"/>
      <c r="G145" s="80"/>
      <c r="H145" s="80"/>
      <c r="I145" s="80"/>
      <c r="J145" s="80"/>
      <c r="K145" s="80"/>
      <c r="L145" s="84"/>
      <c r="M145" s="80"/>
      <c r="N145" s="80"/>
      <c r="O145" s="80"/>
      <c r="P145" s="80"/>
      <c r="Q145" s="80"/>
      <c r="R145" s="80"/>
      <c r="S145" s="80"/>
      <c r="T145" s="80"/>
      <c r="U145" s="80"/>
      <c r="V145" s="84"/>
      <c r="W145" s="80"/>
      <c r="X145" s="84"/>
      <c r="Y145" s="80"/>
      <c r="Z145" s="84"/>
      <c r="AA145" s="118"/>
      <c r="AB145" s="85"/>
      <c r="AC145" s="80"/>
      <c r="AD145" s="84"/>
      <c r="AE145" s="80"/>
      <c r="AF145" s="84"/>
      <c r="AG145" s="80"/>
      <c r="AH145" s="84"/>
      <c r="AI145" s="118"/>
      <c r="AJ145" s="85"/>
      <c r="AK145" s="80"/>
      <c r="AL145" s="86"/>
      <c r="AM145" s="166"/>
      <c r="AN145" s="167"/>
    </row>
    <row r="146" spans="1:40" ht="16.2" customHeight="1">
      <c r="A146" s="126"/>
      <c r="B146" s="78"/>
      <c r="C146" s="113"/>
      <c r="D146" s="78"/>
      <c r="E146" s="113"/>
      <c r="F146" s="81"/>
      <c r="G146" s="113"/>
      <c r="H146" s="78"/>
      <c r="I146" s="113"/>
      <c r="J146" s="78"/>
      <c r="K146" s="113"/>
      <c r="L146" s="81"/>
      <c r="M146" s="113"/>
      <c r="N146" s="78"/>
      <c r="O146" s="113"/>
      <c r="P146" s="78"/>
      <c r="Q146" s="113"/>
      <c r="R146" s="78"/>
      <c r="S146" s="113"/>
      <c r="T146" s="78"/>
      <c r="U146" s="113"/>
      <c r="V146" s="81"/>
      <c r="W146" s="113"/>
      <c r="X146" s="82"/>
      <c r="Y146" s="113"/>
      <c r="Z146" s="81"/>
      <c r="AA146" s="119"/>
      <c r="AB146" s="82"/>
      <c r="AC146" s="113"/>
      <c r="AD146" s="81"/>
      <c r="AE146" s="113"/>
      <c r="AF146" s="82"/>
      <c r="AG146" s="113"/>
      <c r="AH146" s="81"/>
      <c r="AI146" s="119"/>
      <c r="AJ146" s="82"/>
      <c r="AK146" s="113"/>
      <c r="AL146" s="83"/>
      <c r="AM146" s="145"/>
      <c r="AN146" s="146"/>
    </row>
    <row r="147" spans="1:40" ht="16.2" customHeight="1">
      <c r="A147" s="127"/>
      <c r="B147" s="80"/>
      <c r="C147" s="80"/>
      <c r="D147" s="80"/>
      <c r="E147" s="80"/>
      <c r="F147" s="84"/>
      <c r="G147" s="80"/>
      <c r="H147" s="80"/>
      <c r="I147" s="80"/>
      <c r="J147" s="80"/>
      <c r="K147" s="80"/>
      <c r="L147" s="84"/>
      <c r="M147" s="80"/>
      <c r="N147" s="80"/>
      <c r="O147" s="80"/>
      <c r="P147" s="80"/>
      <c r="Q147" s="80"/>
      <c r="R147" s="80"/>
      <c r="S147" s="80"/>
      <c r="T147" s="80"/>
      <c r="U147" s="80"/>
      <c r="V147" s="84"/>
      <c r="W147" s="80"/>
      <c r="X147" s="85"/>
      <c r="Y147" s="80"/>
      <c r="Z147" s="84"/>
      <c r="AA147" s="118"/>
      <c r="AB147" s="85"/>
      <c r="AC147" s="80"/>
      <c r="AD147" s="84"/>
      <c r="AE147" s="80"/>
      <c r="AF147" s="85"/>
      <c r="AG147" s="80"/>
      <c r="AH147" s="84"/>
      <c r="AI147" s="118"/>
      <c r="AJ147" s="85"/>
      <c r="AK147" s="80"/>
      <c r="AL147" s="86"/>
      <c r="AM147" s="168"/>
      <c r="AN147" s="169"/>
    </row>
    <row r="148" spans="1:40" ht="16.2" customHeight="1">
      <c r="B148" s="87"/>
      <c r="C148" s="87"/>
      <c r="D148" s="87"/>
      <c r="E148" s="87"/>
      <c r="F148" s="88"/>
      <c r="G148" s="87"/>
      <c r="H148" s="87"/>
      <c r="I148" s="87"/>
      <c r="J148" s="87"/>
      <c r="K148" s="87"/>
      <c r="L148" s="88"/>
      <c r="M148" s="87"/>
      <c r="N148" s="87"/>
      <c r="O148" s="87"/>
      <c r="P148" s="87"/>
      <c r="Q148" s="87"/>
      <c r="R148" s="87"/>
      <c r="S148" s="87"/>
      <c r="T148" s="87"/>
      <c r="U148" s="87"/>
      <c r="V148" s="89"/>
      <c r="W148" s="90"/>
      <c r="X148" s="110"/>
      <c r="Y148" s="87"/>
      <c r="Z148" s="89"/>
      <c r="AA148" s="90"/>
      <c r="AB148" s="110"/>
      <c r="AC148" s="87"/>
      <c r="AD148" s="89"/>
      <c r="AE148" s="90"/>
      <c r="AF148" s="110"/>
      <c r="AG148" s="87"/>
      <c r="AH148" s="89"/>
      <c r="AI148" s="90"/>
      <c r="AJ148" s="110"/>
      <c r="AK148" s="87"/>
      <c r="AL148" s="91"/>
    </row>
    <row r="149" spans="1:40" ht="23.4" customHeight="1">
      <c r="A149" s="156"/>
      <c r="B149" s="87"/>
      <c r="C149" s="87"/>
      <c r="D149" s="87"/>
      <c r="E149" s="87"/>
      <c r="F149" s="88"/>
      <c r="G149" s="85"/>
      <c r="H149" s="87"/>
      <c r="I149" s="85"/>
      <c r="J149" s="87"/>
      <c r="K149" s="87"/>
      <c r="L149" s="88"/>
      <c r="M149" s="85"/>
      <c r="N149" s="87"/>
      <c r="O149" s="85"/>
      <c r="P149" s="87"/>
      <c r="Q149" s="85"/>
      <c r="R149" s="87"/>
      <c r="S149" s="85"/>
      <c r="T149" s="87"/>
      <c r="U149" s="87"/>
      <c r="V149" s="88"/>
      <c r="W149" s="90"/>
      <c r="X149" s="87"/>
      <c r="Y149" s="87"/>
      <c r="Z149" s="88"/>
      <c r="AA149" s="90"/>
      <c r="AB149" s="87"/>
      <c r="AC149" s="87"/>
      <c r="AD149" s="88"/>
      <c r="AE149" s="90"/>
      <c r="AF149" s="87"/>
      <c r="AG149" s="87"/>
      <c r="AH149" s="88"/>
      <c r="AI149" s="90"/>
      <c r="AJ149" s="87"/>
      <c r="AK149" s="87"/>
      <c r="AL149" s="112"/>
    </row>
    <row r="150" spans="1:40" ht="16.2" customHeight="1">
      <c r="A150" s="130"/>
      <c r="B150" s="223"/>
      <c r="C150" s="224"/>
      <c r="D150" s="223"/>
      <c r="E150" s="225"/>
      <c r="F150" s="226"/>
      <c r="G150" s="224"/>
      <c r="H150" s="211"/>
      <c r="I150" s="224"/>
      <c r="J150" s="211"/>
      <c r="K150" s="225"/>
      <c r="L150" s="226"/>
      <c r="M150" s="224"/>
      <c r="N150" s="223"/>
      <c r="O150" s="224"/>
      <c r="P150" s="211"/>
      <c r="Q150" s="224"/>
      <c r="R150" s="211"/>
      <c r="S150" s="224"/>
      <c r="T150" s="211"/>
      <c r="U150" s="225"/>
      <c r="V150" s="226"/>
      <c r="W150" s="227"/>
      <c r="X150" s="228"/>
      <c r="Y150" s="225"/>
      <c r="Z150" s="226"/>
      <c r="AA150" s="227"/>
      <c r="AB150" s="228"/>
      <c r="AC150" s="225"/>
      <c r="AD150" s="226"/>
      <c r="AE150" s="227"/>
      <c r="AF150" s="229"/>
      <c r="AG150" s="225"/>
      <c r="AH150" s="230"/>
      <c r="AI150" s="227"/>
      <c r="AJ150" s="229"/>
      <c r="AK150" s="225"/>
      <c r="AL150" s="231"/>
      <c r="AM150" s="170"/>
      <c r="AN150" s="171"/>
    </row>
    <row r="151" spans="1:40" ht="16.2" customHeight="1">
      <c r="A151" s="130"/>
      <c r="B151" s="223"/>
      <c r="C151" s="212"/>
      <c r="D151" s="223"/>
      <c r="E151" s="214"/>
      <c r="F151" s="226"/>
      <c r="G151" s="212"/>
      <c r="H151" s="211"/>
      <c r="I151" s="212"/>
      <c r="J151" s="211"/>
      <c r="K151" s="214"/>
      <c r="L151" s="226"/>
      <c r="M151" s="212"/>
      <c r="N151" s="223"/>
      <c r="O151" s="212"/>
      <c r="P151" s="211"/>
      <c r="Q151" s="212"/>
      <c r="R151" s="211"/>
      <c r="S151" s="212"/>
      <c r="T151" s="211"/>
      <c r="U151" s="214"/>
      <c r="V151" s="226"/>
      <c r="W151" s="216"/>
      <c r="X151" s="228"/>
      <c r="Y151" s="214"/>
      <c r="Z151" s="226"/>
      <c r="AA151" s="216"/>
      <c r="AB151" s="228"/>
      <c r="AC151" s="214"/>
      <c r="AD151" s="226"/>
      <c r="AE151" s="216"/>
      <c r="AF151" s="229"/>
      <c r="AG151" s="214"/>
      <c r="AH151" s="230"/>
      <c r="AI151" s="216"/>
      <c r="AJ151" s="229"/>
      <c r="AK151" s="214"/>
      <c r="AL151" s="231"/>
      <c r="AM151" s="170"/>
      <c r="AN151" s="171"/>
    </row>
    <row r="152" spans="1:40" ht="16.2" customHeight="1">
      <c r="A152" s="130"/>
      <c r="B152" s="223"/>
      <c r="C152" s="212"/>
      <c r="D152" s="223"/>
      <c r="E152" s="214"/>
      <c r="F152" s="226"/>
      <c r="G152" s="212"/>
      <c r="H152" s="211"/>
      <c r="I152" s="212"/>
      <c r="J152" s="211"/>
      <c r="K152" s="214"/>
      <c r="L152" s="226"/>
      <c r="M152" s="212"/>
      <c r="N152" s="223"/>
      <c r="O152" s="212"/>
      <c r="P152" s="211"/>
      <c r="Q152" s="212"/>
      <c r="R152" s="211"/>
      <c r="S152" s="212"/>
      <c r="T152" s="211"/>
      <c r="U152" s="214"/>
      <c r="V152" s="226"/>
      <c r="W152" s="216"/>
      <c r="X152" s="228"/>
      <c r="Y152" s="214"/>
      <c r="Z152" s="226"/>
      <c r="AA152" s="216"/>
      <c r="AB152" s="228"/>
      <c r="AC152" s="214"/>
      <c r="AD152" s="226"/>
      <c r="AE152" s="216"/>
      <c r="AF152" s="229"/>
      <c r="AG152" s="214"/>
      <c r="AH152" s="230"/>
      <c r="AI152" s="216"/>
      <c r="AJ152" s="229"/>
      <c r="AK152" s="214"/>
      <c r="AL152" s="231"/>
    </row>
    <row r="153" spans="1:40" s="70" customFormat="1" ht="16.2" customHeight="1">
      <c r="A153" s="131"/>
      <c r="B153" s="232"/>
      <c r="C153" s="213"/>
      <c r="D153" s="232"/>
      <c r="E153" s="215"/>
      <c r="F153" s="233"/>
      <c r="G153" s="213"/>
      <c r="H153" s="234"/>
      <c r="I153" s="213"/>
      <c r="J153" s="234"/>
      <c r="K153" s="215"/>
      <c r="L153" s="233"/>
      <c r="M153" s="213"/>
      <c r="N153" s="232"/>
      <c r="O153" s="213"/>
      <c r="P153" s="234"/>
      <c r="Q153" s="213"/>
      <c r="R153" s="234"/>
      <c r="S153" s="213"/>
      <c r="T153" s="234"/>
      <c r="U153" s="215"/>
      <c r="V153" s="233"/>
      <c r="W153" s="217"/>
      <c r="X153" s="235"/>
      <c r="Y153" s="215"/>
      <c r="Z153" s="233"/>
      <c r="AA153" s="217"/>
      <c r="AB153" s="235"/>
      <c r="AC153" s="215"/>
      <c r="AD153" s="233"/>
      <c r="AE153" s="217"/>
      <c r="AF153" s="236"/>
      <c r="AG153" s="215"/>
      <c r="AH153" s="237"/>
      <c r="AI153" s="217"/>
      <c r="AJ153" s="236"/>
      <c r="AK153" s="215"/>
      <c r="AL153" s="238"/>
      <c r="AM153" s="172"/>
      <c r="AN153" s="172"/>
    </row>
    <row r="154" spans="1:40" ht="16.2" customHeight="1">
      <c r="A154" s="132"/>
    </row>
  </sheetData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CopyAllergyData">
                <anchor moveWithCells="1" sizeWithCells="1">
                  <from>
                    <xdr:col>39</xdr:col>
                    <xdr:colOff>350520</xdr:colOff>
                    <xdr:row>0</xdr:row>
                    <xdr:rowOff>0</xdr:rowOff>
                  </from>
                  <to>
                    <xdr:col>39</xdr:col>
                    <xdr:colOff>1783080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/>
  </sheetViews>
  <sheetFormatPr defaultRowHeight="18"/>
  <sheetData/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AI451"/>
  <sheetViews>
    <sheetView workbookViewId="0">
      <selection activeCell="T8" sqref="T8"/>
    </sheetView>
  </sheetViews>
  <sheetFormatPr defaultRowHeight="18"/>
  <cols>
    <col min="4" max="4" width="3.796875" style="209" customWidth="1"/>
    <col min="5" max="5" width="13.09765625" style="29" customWidth="1"/>
    <col min="6" max="6" width="4.09765625" style="29" customWidth="1"/>
    <col min="7" max="7" width="4.59765625" style="29" customWidth="1"/>
    <col min="8" max="8" width="4.5" style="209" customWidth="1"/>
    <col min="10" max="10" width="4.5" style="29" customWidth="1"/>
    <col min="11" max="11" width="4.09765625" style="29" customWidth="1"/>
    <col min="12" max="12" width="4.09765625" style="209" customWidth="1"/>
    <col min="13" max="13" width="12.19921875" style="29" customWidth="1"/>
    <col min="14" max="19" width="4.09765625" style="29" customWidth="1"/>
    <col min="22" max="22" width="9.5" style="29" customWidth="1"/>
    <col min="23" max="23" width="11.19921875" style="29" customWidth="1"/>
    <col min="32" max="32" width="3.5" style="29" customWidth="1"/>
    <col min="33" max="33" width="3.3984375" style="29" customWidth="1"/>
  </cols>
  <sheetData>
    <row r="1" spans="1:35">
      <c r="A1" s="210"/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S1">
        <f ca="1">COUNTIF(T:T,C2)</f>
        <v>1048576</v>
      </c>
      <c r="T1" t="str">
        <f ca="1">C2</f>
        <v/>
      </c>
      <c r="AH1" t="str">
        <f t="array" aca="1" ref="AH1" ca="1">IFERROR(SMALL(IF(T$1:T$307&lt;&gt;0,T$1:T$307),ROW(AH1)),"")</f>
        <v/>
      </c>
      <c r="AI1" t="str">
        <f t="array" aca="1" ref="AI1" ca="1">IF($AH1&lt;&gt;"",
SUBSTITUTE(SUBSTITUTE(INDIRECT("B"&amp;$AH1&amp;"")," 週3ｺｰｽ","")," 週5ｺｰｽ",""),"")</f>
        <v/>
      </c>
    </row>
    <row r="2" spans="1:35">
      <c r="A2" t="str">
        <f t="shared" ref="A2:A65" ca="1" si="0">IF(B2&lt;&gt;"",
ROW(),"")</f>
        <v/>
      </c>
      <c r="B2" t="str">
        <f t="array" aca="1" ref="B2" ca="1">IF(OR(COUNTIF(数出表_Excel【15時】!AO6,"*修正*"),COUNTIF(数出表_Excel【15時】!AO7,"*修正*")),
IF(ISEVEN(ROW()+4),INDIRECT("数出表_Excel【15時】!A"&amp;ROW()+4&amp;""),INDIRECT("数出表_Excel【15時】!A"&amp;ROW()+4-1&amp;"")),"")</f>
        <v/>
      </c>
      <c r="C2" t="str">
        <f t="array" aca="1" ref="C2" ca="1">IF(OR(COUNTIF(数出表_Excel【15時】!AO6,"*修正*"),COUNTIF(数出表_Excel【15時】!AO7,"*修正*")),
IF(ISEVEN(ROW()+4),INDIRECT("数出表_Excel【15時】!A"&amp;ROW()+4+1&amp;""),INDIRECT("数出表_Excel【15時】!A"&amp;ROW()+4&amp;"")),"")</f>
        <v/>
      </c>
      <c r="D2" s="209" t="str">
        <f t="array" aca="1" ref="D2" ca="1">IF(B2&lt;&gt;"",
IFERROR(MATCH(TRUE,ISNUMBER(INDIRECT("数出表_Excel【15時】!B"&amp;(A2+4)&amp;":ZZ"&amp;(A2+4))),0)+1,""),"")</f>
        <v/>
      </c>
      <c r="E2" t="str">
        <f ca="1">IF(D2&lt;&gt;"",
OFFSET(数出表_Excel【15時】!$A$1,2,D2-1)
&amp;IFERROR(OFFSET(数出表_Excel【15時】!$A$1,3,D2-1),"")
&amp;IFERROR(OFFSET(数出表_Excel【15時】!$A$1,4,D2-1),""),"")</f>
        <v/>
      </c>
      <c r="F2" t="str">
        <f ca="1">IF(D2&lt;&gt;"",
OFFSET(数出表_Excel【15時】!$A$1,A2+3,D2-1),"")</f>
        <v/>
      </c>
      <c r="G2" t="str">
        <f ca="1">IF(D2&lt;&gt;"",
IF(AND(OFFSET(数出表_Excel【15時】!$A$1,A2+3,D2)&lt;&gt;"",OFFSET(数出表_Excel【15時】!$A$1,A2+3,D2)&lt;&gt;0),
OFFSET(数出表_Excel【15時】!$A$1,A2+3,D2),""),"")</f>
        <v/>
      </c>
      <c r="H2" s="209" t="str">
        <f t="array" aca="1" ref="H2" ca="1">IF(B2&lt;&gt;"",
IFERROR(MATCH(TRUE,ISNUMBER(INDIRECT("数出表_Excel【15時】!"&amp;SUBSTITUTE(ADDRESS(1,D2+2,4),"1","")&amp;(A2+4)&amp;":ZZ"&amp;(A2+4))),0)+D2+1,""),"")</f>
        <v/>
      </c>
      <c r="I2" t="str">
        <f ca="1">IF(H2&lt;&gt;"",
OFFSET(数出表_Excel【15時】!$A$1,2,H2-1)
&amp;IFERROR(OFFSET(数出表_Excel【15時】!$A$1,3,H2-1),"")
&amp;IFERROR(OFFSET(数出表_Excel【15時】!$A$1,4,H2-1),""),"")</f>
        <v/>
      </c>
      <c r="J2" t="str">
        <f ca="1">IF(H2&lt;&gt;"",
OFFSET(数出表_Excel【15時】!$A$1,A2+3,H2-1),"")</f>
        <v/>
      </c>
      <c r="K2" t="str">
        <f ca="1">IF(H2&lt;&gt;"",
IF(AND(OFFSET(数出表_Excel【15時】!$A$1,A2+3,H2)&lt;&gt;"",OFFSET(数出表_Excel【15時】!$A$1,A2+3,H2)&lt;&gt;0),
OFFSET(数出表_Excel【15時】!$A$1,A2+3,H2),""),"")</f>
        <v/>
      </c>
      <c r="L2" s="209" t="str">
        <f t="array" aca="1" ref="L2" ca="1">IF(B2&lt;&gt;"",
IFERROR(MATCH(TRUE,ISNUMBER(INDIRECT("数出表_Excel【15時】!"&amp;SUBSTITUTE(ADDRESS(1,H2+2,4),"1","")&amp;(A2+4)&amp;":ZZ"&amp;(A2+4))),0)+H2+1,""),"")</f>
        <v/>
      </c>
      <c r="M2" t="str">
        <f ca="1">IF(L2&lt;&gt;"",
OFFSET(数出表_Excel【15時】!$A$1,2,L2-1)
&amp;IFERROR(OFFSET(数出表_Excel【15時】!$A$1,3,L2-1),"")
&amp;IFERROR(OFFSET(数出表_Excel【15時】!$A$1,4,L2-1),""),"")</f>
        <v/>
      </c>
      <c r="N2" t="str">
        <f ca="1">IF(L2&lt;&gt;"",
OFFSET(数出表_Excel【15時】!$A$1,A2+3,L2-1),"")</f>
        <v/>
      </c>
      <c r="O2" t="str">
        <f ca="1">IF(L2&lt;&gt;"",
IF(AND(OFFSET(数出表_Excel【15時】!$A$1,A2+3,L2)&lt;&gt;"",OFFSET(数出表_Excel【15時】!$A$1,A2+3,L2)&lt;&gt;0),
OFFSET(数出表_Excel【15時】!$A$1,A2+3,L2),""),"")</f>
        <v/>
      </c>
      <c r="Q2" t="str">
        <f ca="1">IF(C2&lt;&gt;"",
IF(E2&lt;&gt;"",1,0)+IF(I2&lt;&gt;"",1,0)+IF(M2&lt;&gt;"",1,0),"")</f>
        <v/>
      </c>
      <c r="R2" t="str">
        <f t="array" aca="1" ref="R2" ca="1">IFERROR(SMALL(IF(Q$2:Q$308&lt;&gt;0,Q$2:Q$308),ROW(A2)),"")</f>
        <v/>
      </c>
      <c r="S2">
        <f ca="1">COUNTIF(T:T,C3)</f>
        <v>1048576</v>
      </c>
      <c r="T2" t="str">
        <f ca="1">C3</f>
        <v/>
      </c>
      <c r="AH2" t="str">
        <f t="array" aca="1" ref="AH2" ca="1">IFERROR(SMALL(IF(T$1:T$307&lt;&gt;0,T$1:T$307),ROW(AH2)),"")</f>
        <v/>
      </c>
      <c r="AI2" t="str">
        <f t="array" aca="1" ref="AI2" ca="1">IF($AH2&lt;&gt;"",
SUBSTITUTE(SUBSTITUTE(INDIRECT("B"&amp;$AH2&amp;"")," 週3ｺｰｽ","")," 週5ｺｰｽ",""),"")</f>
        <v/>
      </c>
    </row>
    <row r="3" spans="1:35">
      <c r="A3" t="str">
        <f t="shared" ca="1" si="0"/>
        <v/>
      </c>
      <c r="B3" t="str">
        <f t="array" aca="1" ref="B3" ca="1">IF(OR(COUNTIF(数出表_Excel【15時】!AO6,"*修正*"),COUNTIF(数出表_Excel【15時】!AO7,"*修正*")),
IF(ISEVEN(ROW()+4),INDIRECT("数出表_Excel【15時】!A"&amp;ROW()+4&amp;""),INDIRECT("数出表_Excel【15時】!A"&amp;ROW()+4-1&amp;"")),"")</f>
        <v/>
      </c>
      <c r="C3" t="str">
        <f t="array" aca="1" ref="C3" ca="1">IF(OR(COUNTIF(数出表_Excel【15時】!AO6,"*修正*"),COUNTIF(数出表_Excel【15時】!AO7,"*修正*")),
IF(ISEVEN(ROW()+4),INDIRECT("数出表_Excel【15時】!A"&amp;ROW()+4+1&amp;""),INDIRECT("数出表_Excel【15時】!A"&amp;ROW()+4&amp;"")),"")</f>
        <v/>
      </c>
      <c r="D3" s="209" t="str">
        <f t="array" aca="1" ref="D3" ca="1">IF(B3&lt;&gt;"",
IFERROR(MATCH(TRUE,ISNUMBER(INDIRECT("数出表_Excel【15時】!B"&amp;(A3+4)&amp;":ZZ"&amp;(A3+4))),0)+1,""),"")</f>
        <v/>
      </c>
      <c r="E3" t="str">
        <f ca="1">IF(D3&lt;&gt;"",
OFFSET(数出表_Excel【15時】!$A$1,2,D3-1)
&amp;IFERROR(OFFSET(数出表_Excel【15時】!$A$1,3,D3-1),"")
&amp;IFERROR(OFFSET(数出表_Excel【15時】!$A$1,4,D3-1),""),"")</f>
        <v/>
      </c>
      <c r="F3" t="str">
        <f ca="1">IF(D3&lt;&gt;"",
OFFSET(数出表_Excel【15時】!$A$1,A3+3,D3-1),"")</f>
        <v/>
      </c>
      <c r="G3" t="str">
        <f ca="1">IF(D3&lt;&gt;"",
IF(AND(OFFSET(数出表_Excel【15時】!$A$1,A3+3,D3)&lt;&gt;"",OFFSET(数出表_Excel【15時】!$A$1,A3+3,D3)&lt;&gt;0),
OFFSET(数出表_Excel【15時】!$A$1,A3+3,D3),""),"")</f>
        <v/>
      </c>
      <c r="H3" s="209" t="str">
        <f t="array" aca="1" ref="H3" ca="1">IF(B3&lt;&gt;"",
IFERROR(MATCH(TRUE,ISNUMBER(INDIRECT("数出表_Excel【15時】!"&amp;SUBSTITUTE(ADDRESS(1,D3+2,4),"1","")&amp;(A3+4)&amp;":ZZ"&amp;(A3+4))),0)+D3+1,""),"")</f>
        <v/>
      </c>
      <c r="I3" t="str">
        <f ca="1">IF(H3&lt;&gt;"",
OFFSET(数出表_Excel【15時】!$A$1,2,H3-1)
&amp;IFERROR(OFFSET(数出表_Excel【15時】!$A$1,3,H3-1),"")
&amp;IFERROR(OFFSET(数出表_Excel【15時】!$A$1,4,H3-1),""),"")</f>
        <v/>
      </c>
      <c r="J3" t="str">
        <f ca="1">IF(H3&lt;&gt;"",
OFFSET(数出表_Excel【15時】!$A$1,A3+3,H3-1),"")</f>
        <v/>
      </c>
      <c r="K3" t="str">
        <f ca="1">IF(H3&lt;&gt;"",
IF(AND(OFFSET(数出表_Excel【15時】!$A$1,A3+3,H3)&lt;&gt;"",OFFSET(数出表_Excel【15時】!$A$1,A3+3,H3)&lt;&gt;0),
OFFSET(数出表_Excel【15時】!$A$1,A3+3,H3),""),"")</f>
        <v/>
      </c>
      <c r="L3" s="209" t="str">
        <f t="array" aca="1" ref="L3" ca="1">IF(B3&lt;&gt;"",
IFERROR(MATCH(TRUE,ISNUMBER(INDIRECT("数出表_Excel【15時】!"&amp;SUBSTITUTE(ADDRESS(1,H3+2,4),"1","")&amp;(A3+4)&amp;":ZZ"&amp;(A3+4))),0)+H3+1,""),"")</f>
        <v/>
      </c>
      <c r="M3" t="str">
        <f ca="1">IF(L3&lt;&gt;"",
OFFSET(数出表_Excel【15時】!$A$1,2,L3-1)
&amp;IFERROR(OFFSET(数出表_Excel【15時】!$A$1,3,L3-1),"")
&amp;IFERROR(OFFSET(数出表_Excel【15時】!$A$1,4,L3-1),""),"")</f>
        <v/>
      </c>
      <c r="N3" t="str">
        <f ca="1">IF(L3&lt;&gt;"",
OFFSET(数出表_Excel【15時】!$A$1,A3+3,L3-1),"")</f>
        <v/>
      </c>
      <c r="O3" t="str">
        <f ca="1">IF(L3&lt;&gt;"",
IF(AND(OFFSET(数出表_Excel【15時】!$A$1,A3+3,L3)&lt;&gt;"",OFFSET(数出表_Excel【15時】!$A$1,A3+3,L3)&lt;&gt;0),
OFFSET(数出表_Excel【15時】!$A$1,A3+3,L3),""),"")</f>
        <v/>
      </c>
      <c r="R3" t="str">
        <f t="array" aca="1" ref="R3" ca="1">IFERROR(SMALL(IF(Q$2:Q$308&lt;&gt;0,Q$2:Q$308),ROW(A3)),"")</f>
        <v/>
      </c>
      <c r="AH3" t="str">
        <f t="array" aca="1" ref="AH3" ca="1">IFERROR(SMALL(IF(T$1:T$307&lt;&gt;0,T$1:T$307),ROW(AH3)),"")</f>
        <v/>
      </c>
      <c r="AI3" t="str">
        <f t="array" aca="1" ref="AI3" ca="1">IF($AH3&lt;&gt;"",
SUBSTITUTE(SUBSTITUTE(INDIRECT("B"&amp;$AH3&amp;"")," 週3ｺｰｽ","")," 週5ｺｰｽ",""),"")</f>
        <v/>
      </c>
    </row>
    <row r="4" spans="1:35">
      <c r="A4" t="str">
        <f t="shared" ca="1" si="0"/>
        <v/>
      </c>
      <c r="B4" t="str">
        <f t="array" aca="1" ref="B4" ca="1">IF(OR(COUNTIF(数出表_Excel【15時】!AO8,"*修正*"),COUNTIF(数出表_Excel【15時】!AO9,"*修正*")),
IF(ISEVEN(ROW()+4),INDIRECT("数出表_Excel【15時】!A"&amp;ROW()+4&amp;""),INDIRECT("数出表_Excel【15時】!A"&amp;ROW()+4-1&amp;"")),"")</f>
        <v/>
      </c>
      <c r="C4" t="str">
        <f t="array" aca="1" ref="C4" ca="1">IF(OR(COUNTIF(数出表_Excel【15時】!AO8,"*修正*"),COUNTIF(数出表_Excel【15時】!AO9,"*修正*")),
IF(ISEVEN(ROW()+4),INDIRECT("数出表_Excel【15時】!A"&amp;ROW()+4+1&amp;""),INDIRECT("数出表_Excel【15時】!A"&amp;ROW()+4&amp;"")),"")</f>
        <v/>
      </c>
      <c r="D4" s="209" t="str">
        <f t="array" aca="1" ref="D4" ca="1">IF(B4&lt;&gt;"",
IFERROR(MATCH(TRUE,ISNUMBER(INDIRECT("数出表_Excel【15時】!B"&amp;(A4+4)&amp;":ZZ"&amp;(A4+4))),0)+1,""),"")</f>
        <v/>
      </c>
      <c r="E4" t="str">
        <f ca="1">IF(D4&lt;&gt;"",
OFFSET(数出表_Excel【15時】!$A$1,2,D4-1)
&amp;IFERROR(OFFSET(数出表_Excel【15時】!$A$1,3,D4-1),"")
&amp;IFERROR(OFFSET(数出表_Excel【15時】!$A$1,4,D4-1),""),"")</f>
        <v/>
      </c>
      <c r="F4" t="str">
        <f ca="1">IF(D4&lt;&gt;"",
OFFSET(数出表_Excel【15時】!$A$1,A4+3,D4-1),"")</f>
        <v/>
      </c>
      <c r="G4" t="str">
        <f ca="1">IF(D4&lt;&gt;"",
IF(AND(OFFSET(数出表_Excel【15時】!$A$1,A4+3,D4)&lt;&gt;"",OFFSET(数出表_Excel【15時】!$A$1,A4+3,D4)&lt;&gt;0),
OFFSET(数出表_Excel【15時】!$A$1,A4+3,D4),""),"")</f>
        <v/>
      </c>
      <c r="H4" s="209" t="str">
        <f t="array" aca="1" ref="H4" ca="1">IF(B4&lt;&gt;"",
IFERROR(MATCH(TRUE,ISNUMBER(INDIRECT("数出表_Excel【15時】!"&amp;SUBSTITUTE(ADDRESS(1,D4+2,4),"1","")&amp;(A4+4)&amp;":ZZ"&amp;(A4+4))),0)+D4+1,""),"")</f>
        <v/>
      </c>
      <c r="I4" t="str">
        <f ca="1">IF(H4&lt;&gt;"",
OFFSET(数出表_Excel【15時】!$A$1,2,H4-1)
&amp;IFERROR(OFFSET(数出表_Excel【15時】!$A$1,3,H4-1),"")
&amp;IFERROR(OFFSET(数出表_Excel【15時】!$A$1,4,H4-1),""),"")</f>
        <v/>
      </c>
      <c r="J4" t="str">
        <f ca="1">IF(H4&lt;&gt;"",
OFFSET(数出表_Excel【15時】!$A$1,A4+3,H4-1),"")</f>
        <v/>
      </c>
      <c r="K4" t="str">
        <f ca="1">IF(H4&lt;&gt;"",
IF(AND(OFFSET(数出表_Excel【15時】!$A$1,A4+3,H4)&lt;&gt;"",OFFSET(数出表_Excel【15時】!$A$1,A4+3,H4)&lt;&gt;0),
OFFSET(数出表_Excel【15時】!$A$1,A4+3,H4),""),"")</f>
        <v/>
      </c>
      <c r="L4" s="209" t="str">
        <f t="array" aca="1" ref="L4" ca="1">IF(B4&lt;&gt;"",
IFERROR(MATCH(TRUE,ISNUMBER(INDIRECT("数出表_Excel【15時】!"&amp;SUBSTITUTE(ADDRESS(1,H4+2,4),"1","")&amp;(A4+4)&amp;":ZZ"&amp;(A4+4))),0)+H4+1,""),"")</f>
        <v/>
      </c>
      <c r="M4" t="str">
        <f ca="1">IF(L4&lt;&gt;"",
OFFSET(数出表_Excel【15時】!$A$1,2,L4-1)
&amp;IFERROR(OFFSET(数出表_Excel【15時】!$A$1,3,L4-1),"")
&amp;IFERROR(OFFSET(数出表_Excel【15時】!$A$1,4,L4-1),""),"")</f>
        <v/>
      </c>
      <c r="N4" t="str">
        <f ca="1">IF(L4&lt;&gt;"",
OFFSET(数出表_Excel【15時】!$A$1,A4+3,L4-1),"")</f>
        <v/>
      </c>
      <c r="O4" t="str">
        <f ca="1">IF(L4&lt;&gt;"",
IF(AND(OFFSET(数出表_Excel【15時】!$A$1,A4+3,L4)&lt;&gt;"",OFFSET(数出表_Excel【15時】!$A$1,A4+3,L4)&lt;&gt;0),
OFFSET(数出表_Excel【15時】!$A$1,A4+3,L4),""),"")</f>
        <v/>
      </c>
      <c r="Q4" t="str">
        <f ca="1">IF(C4&lt;&gt;"",
IF(E4&lt;&gt;"",1,0)+IF(I4&lt;&gt;"",1,0)+IF(M4&lt;&gt;"",1,0),"")</f>
        <v/>
      </c>
      <c r="R4" t="str">
        <f t="array" aca="1" ref="R4" ca="1">IFERROR(SMALL(IF(Q$2:Q$308&lt;&gt;0,Q$2:Q$308),ROW(A4)),"")</f>
        <v/>
      </c>
      <c r="AH4" t="str">
        <f t="array" aca="1" ref="AH4" ca="1">IFERROR(SMALL(IF(T$1:T$307&lt;&gt;0,T$1:T$307),ROW(AH4)),"")</f>
        <v/>
      </c>
      <c r="AI4" t="str">
        <f t="array" aca="1" ref="AI4" ca="1">IF($AH4&lt;&gt;"",
SUBSTITUTE(SUBSTITUTE(INDIRECT("B"&amp;$AH4&amp;"")," 週3ｺｰｽ","")," 週5ｺｰｽ",""),"")</f>
        <v/>
      </c>
    </row>
    <row r="5" spans="1:35">
      <c r="A5" t="str">
        <f t="shared" ca="1" si="0"/>
        <v/>
      </c>
      <c r="B5" t="str">
        <f t="array" aca="1" ref="B5" ca="1">IF(OR(COUNTIF(数出表_Excel【15時】!AO8,"*修正*"),COUNTIF(数出表_Excel【15時】!AO9,"*修正*")),
IF(ISEVEN(ROW()+4),INDIRECT("数出表_Excel【15時】!A"&amp;ROW()+4&amp;""),INDIRECT("数出表_Excel【15時】!A"&amp;ROW()+4-1&amp;"")),"")</f>
        <v/>
      </c>
      <c r="C5" t="str">
        <f t="array" aca="1" ref="C5" ca="1">IF(OR(COUNTIF(数出表_Excel【15時】!AO8,"*修正*"),COUNTIF(数出表_Excel【15時】!AO9,"*修正*")),
IF(ISEVEN(ROW()+4),INDIRECT("数出表_Excel【15時】!A"&amp;ROW()+4+1&amp;""),INDIRECT("数出表_Excel【15時】!A"&amp;ROW()+4&amp;"")),"")</f>
        <v/>
      </c>
      <c r="D5" s="209" t="str">
        <f t="array" aca="1" ref="D5" ca="1">IF(B5&lt;&gt;"",
IFERROR(MATCH(TRUE,ISNUMBER(INDIRECT("数出表_Excel【15時】!B"&amp;(A5+4)&amp;":ZZ"&amp;(A5+4))),0)+1,""),"")</f>
        <v/>
      </c>
      <c r="E5" t="str">
        <f ca="1">IF(D5&lt;&gt;"",
OFFSET(数出表_Excel【15時】!$A$1,2,D5-1)
&amp;IFERROR(OFFSET(数出表_Excel【15時】!$A$1,3,D5-1),"")
&amp;IFERROR(OFFSET(数出表_Excel【15時】!$A$1,4,D5-1),""),"")</f>
        <v/>
      </c>
      <c r="F5" t="str">
        <f ca="1">IF(D5&lt;&gt;"",
OFFSET(数出表_Excel【15時】!$A$1,A5+3,D5-1),"")</f>
        <v/>
      </c>
      <c r="G5" t="str">
        <f ca="1">IF(D5&lt;&gt;"",
IF(AND(OFFSET(数出表_Excel【15時】!$A$1,A5+3,D5)&lt;&gt;"",OFFSET(数出表_Excel【15時】!$A$1,A5+3,D5)&lt;&gt;0),
OFFSET(数出表_Excel【15時】!$A$1,A5+3,D5),""),"")</f>
        <v/>
      </c>
      <c r="H5" s="209" t="str">
        <f t="array" aca="1" ref="H5" ca="1">IF(B5&lt;&gt;"",
IFERROR(MATCH(TRUE,ISNUMBER(INDIRECT("数出表_Excel【15時】!"&amp;SUBSTITUTE(ADDRESS(1,D5+2,4),"1","")&amp;(A5+4)&amp;":ZZ"&amp;(A5+4))),0)+D5+1,""),"")</f>
        <v/>
      </c>
      <c r="I5" t="str">
        <f ca="1">IF(H5&lt;&gt;"",
OFFSET(数出表_Excel【15時】!$A$1,2,H5-1)
&amp;IFERROR(OFFSET(数出表_Excel【15時】!$A$1,3,H5-1),"")
&amp;IFERROR(OFFSET(数出表_Excel【15時】!$A$1,4,H5-1),""),"")</f>
        <v/>
      </c>
      <c r="J5" t="str">
        <f ca="1">IF(H5&lt;&gt;"",
OFFSET(数出表_Excel【15時】!$A$1,A5+3,H5-1),"")</f>
        <v/>
      </c>
      <c r="K5" t="str">
        <f ca="1">IF(H5&lt;&gt;"",
IF(AND(OFFSET(数出表_Excel【15時】!$A$1,A5+3,H5)&lt;&gt;"",OFFSET(数出表_Excel【15時】!$A$1,A5+3,H5)&lt;&gt;0),
OFFSET(数出表_Excel【15時】!$A$1,A5+3,H5),""),"")</f>
        <v/>
      </c>
      <c r="L5" s="209" t="str">
        <f t="array" aca="1" ref="L5" ca="1">IF(B5&lt;&gt;"",
IFERROR(MATCH(TRUE,ISNUMBER(INDIRECT("数出表_Excel【15時】!"&amp;SUBSTITUTE(ADDRESS(1,H5+2,4),"1","")&amp;(A5+4)&amp;":ZZ"&amp;(A5+4))),0)+H5+1,""),"")</f>
        <v/>
      </c>
      <c r="M5" t="str">
        <f ca="1">IF(L5&lt;&gt;"",
OFFSET(数出表_Excel【15時】!$A$1,2,L5-1)
&amp;IFERROR(OFFSET(数出表_Excel【15時】!$A$1,3,L5-1),"")
&amp;IFERROR(OFFSET(数出表_Excel【15時】!$A$1,4,L5-1),""),"")</f>
        <v/>
      </c>
      <c r="N5" t="str">
        <f ca="1">IF(L5&lt;&gt;"",
OFFSET(数出表_Excel【15時】!$A$1,A5+3,L5-1),"")</f>
        <v/>
      </c>
      <c r="O5" t="str">
        <f ca="1">IF(L5&lt;&gt;"",
IF(AND(OFFSET(数出表_Excel【15時】!$A$1,A5+3,L5)&lt;&gt;"",OFFSET(数出表_Excel【15時】!$A$1,A5+3,L5)&lt;&gt;0),
OFFSET(数出表_Excel【15時】!$A$1,A5+3,L5),""),"")</f>
        <v/>
      </c>
      <c r="R5" t="str">
        <f t="array" aca="1" ref="R5" ca="1">IFERROR(SMALL(IF(Q$2:Q$308&lt;&gt;0,Q$2:Q$308),ROW(A5)),"")</f>
        <v/>
      </c>
      <c r="AH5" t="str">
        <f t="array" aca="1" ref="AH5" ca="1">IFERROR(SMALL(IF(T$1:T$307&lt;&gt;0,T$1:T$307),ROW(AH5)),"")</f>
        <v/>
      </c>
      <c r="AI5" t="str">
        <f t="array" aca="1" ref="AI5" ca="1">IF($AH5&lt;&gt;"",
SUBSTITUTE(SUBSTITUTE(INDIRECT("B"&amp;$AH5&amp;"")," 週3ｺｰｽ","")," 週5ｺｰｽ",""),"")</f>
        <v/>
      </c>
    </row>
    <row r="6" spans="1:35">
      <c r="A6" t="str">
        <f t="shared" ca="1" si="0"/>
        <v/>
      </c>
      <c r="B6" t="str">
        <f t="array" aca="1" ref="B6" ca="1">IF(OR(COUNTIF(数出表_Excel【15時】!AO10,"*修正*"),COUNTIF(数出表_Excel【15時】!AO11,"*修正*")),
IF(ISEVEN(ROW()+4),INDIRECT("数出表_Excel【15時】!A"&amp;ROW()+4&amp;""),INDIRECT("数出表_Excel【15時】!A"&amp;ROW()+4-1&amp;"")),"")</f>
        <v/>
      </c>
      <c r="C6" t="str">
        <f t="array" aca="1" ref="C6" ca="1">IF(OR(COUNTIF(数出表_Excel【15時】!AO10,"*修正*"),COUNTIF(数出表_Excel【15時】!AO11,"*修正*")),
IF(ISEVEN(ROW()+4),INDIRECT("数出表_Excel【15時】!A"&amp;ROW()+4+1&amp;""),INDIRECT("数出表_Excel【15時】!A"&amp;ROW()+4&amp;"")),"")</f>
        <v/>
      </c>
      <c r="D6" s="209" t="str">
        <f t="array" aca="1" ref="D6" ca="1">IF(B6&lt;&gt;"",
IFERROR(MATCH(TRUE,ISNUMBER(INDIRECT("数出表_Excel【15時】!B"&amp;(A6+4)&amp;":ZZ"&amp;(A6+4))),0)+1,""),"")</f>
        <v/>
      </c>
      <c r="E6" t="str">
        <f ca="1">IF(D6&lt;&gt;"",
OFFSET(数出表_Excel【15時】!$A$1,2,D6-1)
&amp;IFERROR(OFFSET(数出表_Excel【15時】!$A$1,3,D6-1),"")
&amp;IFERROR(OFFSET(数出表_Excel【15時】!$A$1,4,D6-1),""),"")</f>
        <v/>
      </c>
      <c r="F6" t="str">
        <f ca="1">IF(D6&lt;&gt;"",
OFFSET(数出表_Excel【15時】!$A$1,A6+3,D6-1),"")</f>
        <v/>
      </c>
      <c r="G6" t="str">
        <f ca="1">IF(D6&lt;&gt;"",
IF(AND(OFFSET(数出表_Excel【15時】!$A$1,A6+3,D6)&lt;&gt;"",OFFSET(数出表_Excel【15時】!$A$1,A6+3,D6)&lt;&gt;0),
OFFSET(数出表_Excel【15時】!$A$1,A6+3,D6),""),"")</f>
        <v/>
      </c>
      <c r="H6" s="209" t="str">
        <f t="array" aca="1" ref="H6" ca="1">IF(B6&lt;&gt;"",
IFERROR(MATCH(TRUE,ISNUMBER(INDIRECT("数出表_Excel【15時】!"&amp;SUBSTITUTE(ADDRESS(1,D6+2,4),"1","")&amp;(A6+4)&amp;":ZZ"&amp;(A6+4))),0)+D6+1,""),"")</f>
        <v/>
      </c>
      <c r="I6" t="str">
        <f ca="1">IF(H6&lt;&gt;"",
OFFSET(数出表_Excel【15時】!$A$1,2,H6-1)
&amp;IFERROR(OFFSET(数出表_Excel【15時】!$A$1,3,H6-1),"")
&amp;IFERROR(OFFSET(数出表_Excel【15時】!$A$1,4,H6-1),""),"")</f>
        <v/>
      </c>
      <c r="J6" t="str">
        <f ca="1">IF(H6&lt;&gt;"",
OFFSET(数出表_Excel【15時】!$A$1,A6+3,H6-1),"")</f>
        <v/>
      </c>
      <c r="K6" t="str">
        <f ca="1">IF(H6&lt;&gt;"",
IF(AND(OFFSET(数出表_Excel【15時】!$A$1,A6+3,H6)&lt;&gt;"",OFFSET(数出表_Excel【15時】!$A$1,A6+3,H6)&lt;&gt;0),
OFFSET(数出表_Excel【15時】!$A$1,A6+3,H6),""),"")</f>
        <v/>
      </c>
      <c r="L6" s="209" t="str">
        <f t="array" aca="1" ref="L6" ca="1">IF(B6&lt;&gt;"",
IFERROR(MATCH(TRUE,ISNUMBER(INDIRECT("数出表_Excel【15時】!"&amp;SUBSTITUTE(ADDRESS(1,H6+2,4),"1","")&amp;(A6+4)&amp;":ZZ"&amp;(A6+4))),0)+H6+1,""),"")</f>
        <v/>
      </c>
      <c r="M6" t="str">
        <f ca="1">IF(L6&lt;&gt;"",
OFFSET(数出表_Excel【15時】!$A$1,2,L6-1)
&amp;IFERROR(OFFSET(数出表_Excel【15時】!$A$1,3,L6-1),"")
&amp;IFERROR(OFFSET(数出表_Excel【15時】!$A$1,4,L6-1),""),"")</f>
        <v/>
      </c>
      <c r="N6" t="str">
        <f ca="1">IF(L6&lt;&gt;"",
OFFSET(数出表_Excel【15時】!$A$1,A6+3,L6-1),"")</f>
        <v/>
      </c>
      <c r="O6" t="str">
        <f ca="1">IF(L6&lt;&gt;"",
IF(AND(OFFSET(数出表_Excel【15時】!$A$1,A6+3,L6)&lt;&gt;"",OFFSET(数出表_Excel【15時】!$A$1,A6+3,L6)&lt;&gt;0),
OFFSET(数出表_Excel【15時】!$A$1,A6+3,L6),""),"")</f>
        <v/>
      </c>
      <c r="Q6" t="str">
        <f ca="1">IF(C6&lt;&gt;"",
IF(E6&lt;&gt;"",1,0)+IF(I6&lt;&gt;"",1,0)+IF(M6&lt;&gt;"",1,0),"")</f>
        <v/>
      </c>
      <c r="R6" t="str">
        <f t="array" aca="1" ref="R6" ca="1">IFERROR(SMALL(IF(Q$2:Q$308&lt;&gt;0,Q$2:Q$308),ROW(A6)),"")</f>
        <v/>
      </c>
      <c r="AH6" t="str">
        <f t="array" aca="1" ref="AH6" ca="1">IFERROR(SMALL(IF(T$1:T$307&lt;&gt;0,T$1:T$307),ROW(AH6)),"")</f>
        <v/>
      </c>
      <c r="AI6" t="str">
        <f t="array" aca="1" ref="AI6" ca="1">IF($AH6&lt;&gt;"",
SUBSTITUTE(SUBSTITUTE(INDIRECT("B"&amp;$AH6&amp;"")," 週3ｺｰｽ","")," 週5ｺｰｽ",""),"")</f>
        <v/>
      </c>
    </row>
    <row r="7" spans="1:35">
      <c r="A7" t="str">
        <f t="shared" ca="1" si="0"/>
        <v/>
      </c>
      <c r="B7" t="str">
        <f t="array" aca="1" ref="B7" ca="1">IF(OR(COUNTIF(数出表_Excel【15時】!AO10,"*修正*"),COUNTIF(数出表_Excel【15時】!AO11,"*修正*")),
IF(ISEVEN(ROW()+4),INDIRECT("数出表_Excel【15時】!A"&amp;ROW()+4&amp;""),INDIRECT("数出表_Excel【15時】!A"&amp;ROW()+4-1&amp;"")),"")</f>
        <v/>
      </c>
      <c r="C7" t="str">
        <f t="array" aca="1" ref="C7" ca="1">IF(OR(COUNTIF(数出表_Excel【15時】!AO10,"*修正*"),COUNTIF(数出表_Excel【15時】!AO11,"*修正*")),
IF(ISEVEN(ROW()+4),INDIRECT("数出表_Excel【15時】!A"&amp;ROW()+4+1&amp;""),INDIRECT("数出表_Excel【15時】!A"&amp;ROW()+4&amp;"")),"")</f>
        <v/>
      </c>
      <c r="D7" s="209" t="str">
        <f t="array" aca="1" ref="D7" ca="1">IF(B7&lt;&gt;"",
IFERROR(MATCH(TRUE,ISNUMBER(INDIRECT("数出表_Excel【15時】!B"&amp;(A7+4)&amp;":ZZ"&amp;(A7+4))),0)+1,""),"")</f>
        <v/>
      </c>
      <c r="E7" t="str">
        <f ca="1">IF(D7&lt;&gt;"",
OFFSET(数出表_Excel【15時】!$A$1,2,D7-1)
&amp;IFERROR(OFFSET(数出表_Excel【15時】!$A$1,3,D7-1),"")
&amp;IFERROR(OFFSET(数出表_Excel【15時】!$A$1,4,D7-1),""),"")</f>
        <v/>
      </c>
      <c r="F7" t="str">
        <f ca="1">IF(D7&lt;&gt;"",
OFFSET(数出表_Excel【15時】!$A$1,A7+3,D7-1),"")</f>
        <v/>
      </c>
      <c r="G7" t="str">
        <f ca="1">IF(D7&lt;&gt;"",
IF(AND(OFFSET(数出表_Excel【15時】!$A$1,A7+3,D7)&lt;&gt;"",OFFSET(数出表_Excel【15時】!$A$1,A7+3,D7)&lt;&gt;0),
OFFSET(数出表_Excel【15時】!$A$1,A7+3,D7),""),"")</f>
        <v/>
      </c>
      <c r="H7" s="209" t="str">
        <f t="array" aca="1" ref="H7" ca="1">IF(B7&lt;&gt;"",
IFERROR(MATCH(TRUE,ISNUMBER(INDIRECT("数出表_Excel【15時】!"&amp;SUBSTITUTE(ADDRESS(1,D7+2,4),"1","")&amp;(A7+4)&amp;":ZZ"&amp;(A7+4))),0)+D7+1,""),"")</f>
        <v/>
      </c>
      <c r="I7" t="str">
        <f ca="1">IF(H7&lt;&gt;"",
OFFSET(数出表_Excel【15時】!$A$1,2,H7-1)
&amp;IFERROR(OFFSET(数出表_Excel【15時】!$A$1,3,H7-1),"")
&amp;IFERROR(OFFSET(数出表_Excel【15時】!$A$1,4,H7-1),""),"")</f>
        <v/>
      </c>
      <c r="J7" t="str">
        <f ca="1">IF(H7&lt;&gt;"",
OFFSET(数出表_Excel【15時】!$A$1,A7+3,H7-1),"")</f>
        <v/>
      </c>
      <c r="K7" t="str">
        <f ca="1">IF(H7&lt;&gt;"",
IF(AND(OFFSET(数出表_Excel【15時】!$A$1,A7+3,H7)&lt;&gt;"",OFFSET(数出表_Excel【15時】!$A$1,A7+3,H7)&lt;&gt;0),
OFFSET(数出表_Excel【15時】!$A$1,A7+3,H7),""),"")</f>
        <v/>
      </c>
      <c r="L7" s="209" t="str">
        <f t="array" aca="1" ref="L7" ca="1">IF(B7&lt;&gt;"",
IFERROR(MATCH(TRUE,ISNUMBER(INDIRECT("数出表_Excel【15時】!"&amp;SUBSTITUTE(ADDRESS(1,H7+2,4),"1","")&amp;(A7+4)&amp;":ZZ"&amp;(A7+4))),0)+H7+1,""),"")</f>
        <v/>
      </c>
      <c r="M7" t="str">
        <f ca="1">IF(L7&lt;&gt;"",
OFFSET(数出表_Excel【15時】!$A$1,2,L7-1)
&amp;IFERROR(OFFSET(数出表_Excel【15時】!$A$1,3,L7-1),"")
&amp;IFERROR(OFFSET(数出表_Excel【15時】!$A$1,4,L7-1),""),"")</f>
        <v/>
      </c>
      <c r="N7" t="str">
        <f ca="1">IF(L7&lt;&gt;"",
OFFSET(数出表_Excel【15時】!$A$1,A7+3,L7-1),"")</f>
        <v/>
      </c>
      <c r="O7" t="str">
        <f ca="1">IF(L7&lt;&gt;"",
IF(AND(OFFSET(数出表_Excel【15時】!$A$1,A7+3,L7)&lt;&gt;"",OFFSET(数出表_Excel【15時】!$A$1,A7+3,L7)&lt;&gt;0),
OFFSET(数出表_Excel【15時】!$A$1,A7+3,L7),""),"")</f>
        <v/>
      </c>
      <c r="R7" t="str">
        <f t="array" aca="1" ref="R7" ca="1">IFERROR(SMALL(IF(Q$2:Q$308&lt;&gt;0,Q$2:Q$308),ROW(A7)),"")</f>
        <v/>
      </c>
      <c r="AH7" t="str">
        <f t="array" aca="1" ref="AH7" ca="1">IFERROR(SMALL(IF(T$1:T$307&lt;&gt;0,T$1:T$307),ROW(AH7)),"")</f>
        <v/>
      </c>
      <c r="AI7" t="str">
        <f t="array" aca="1" ref="AI7" ca="1">IF($AH7&lt;&gt;"",
SUBSTITUTE(SUBSTITUTE(INDIRECT("B"&amp;$AH7&amp;"")," 週3ｺｰｽ","")," 週5ｺｰｽ",""),"")</f>
        <v/>
      </c>
    </row>
    <row r="8" spans="1:35">
      <c r="A8" t="str">
        <f t="shared" ca="1" si="0"/>
        <v/>
      </c>
      <c r="B8" t="str">
        <f t="array" aca="1" ref="B8" ca="1">IF(OR(COUNTIF(数出表_Excel【15時】!AO12,"*修正*"),COUNTIF(数出表_Excel【15時】!AO13,"*修正*")),
IF(ISEVEN(ROW()+4),INDIRECT("数出表_Excel【15時】!A"&amp;ROW()+4&amp;""),INDIRECT("数出表_Excel【15時】!A"&amp;ROW()+4-1&amp;"")),"")</f>
        <v/>
      </c>
      <c r="C8" t="str">
        <f t="array" aca="1" ref="C8" ca="1">IF(OR(COUNTIF(数出表_Excel【15時】!AO12,"*修正*"),COUNTIF(数出表_Excel【15時】!AO13,"*修正*")),
IF(ISEVEN(ROW()+4),INDIRECT("数出表_Excel【15時】!A"&amp;ROW()+4+1&amp;""),INDIRECT("数出表_Excel【15時】!A"&amp;ROW()+4&amp;"")),"")</f>
        <v/>
      </c>
      <c r="D8" s="209" t="str">
        <f t="array" aca="1" ref="D8" ca="1">IF(B8&lt;&gt;"",
IFERROR(MATCH(TRUE,ISNUMBER(INDIRECT("数出表_Excel【15時】!B"&amp;(A8+4)&amp;":ZZ"&amp;(A8+4))),0)+1,""),"")</f>
        <v/>
      </c>
      <c r="E8" t="str">
        <f ca="1">IF(D8&lt;&gt;"",
OFFSET(数出表_Excel【15時】!$A$1,2,D8-1)
&amp;IFERROR(OFFSET(数出表_Excel【15時】!$A$1,3,D8-1),"")
&amp;IFERROR(OFFSET(数出表_Excel【15時】!$A$1,4,D8-1),""),"")</f>
        <v/>
      </c>
      <c r="F8" t="str">
        <f ca="1">IF(D8&lt;&gt;"",
OFFSET(数出表_Excel【15時】!$A$1,A8+3,D8-1),"")</f>
        <v/>
      </c>
      <c r="G8" t="str">
        <f ca="1">IF(D8&lt;&gt;"",
IF(AND(OFFSET(数出表_Excel【15時】!$A$1,A8+3,D8)&lt;&gt;"",OFFSET(数出表_Excel【15時】!$A$1,A8+3,D8)&lt;&gt;0),
OFFSET(数出表_Excel【15時】!$A$1,A8+3,D8),""),"")</f>
        <v/>
      </c>
      <c r="H8" s="209" t="str">
        <f t="array" aca="1" ref="H8" ca="1">IF(B8&lt;&gt;"",
IFERROR(MATCH(TRUE,ISNUMBER(INDIRECT("数出表_Excel【15時】!"&amp;SUBSTITUTE(ADDRESS(1,D8+2,4),"1","")&amp;(A8+4)&amp;":ZZ"&amp;(A8+4))),0)+D8+1,""),"")</f>
        <v/>
      </c>
      <c r="I8" t="str">
        <f ca="1">IF(H8&lt;&gt;"",
OFFSET(数出表_Excel【15時】!$A$1,2,H8-1)
&amp;IFERROR(OFFSET(数出表_Excel【15時】!$A$1,3,H8-1),"")
&amp;IFERROR(OFFSET(数出表_Excel【15時】!$A$1,4,H8-1),""),"")</f>
        <v/>
      </c>
      <c r="J8" t="str">
        <f ca="1">IF(H8&lt;&gt;"",
OFFSET(数出表_Excel【15時】!$A$1,A8+3,H8-1),"")</f>
        <v/>
      </c>
      <c r="K8" t="str">
        <f ca="1">IF(H8&lt;&gt;"",
IF(AND(OFFSET(数出表_Excel【15時】!$A$1,A8+3,H8)&lt;&gt;"",OFFSET(数出表_Excel【15時】!$A$1,A8+3,H8)&lt;&gt;0),
OFFSET(数出表_Excel【15時】!$A$1,A8+3,H8),""),"")</f>
        <v/>
      </c>
      <c r="L8" s="209" t="str">
        <f t="array" aca="1" ref="L8" ca="1">IF(B8&lt;&gt;"",
IFERROR(MATCH(TRUE,ISNUMBER(INDIRECT("数出表_Excel【15時】!"&amp;SUBSTITUTE(ADDRESS(1,H8+2,4),"1","")&amp;(A8+4)&amp;":ZZ"&amp;(A8+4))),0)+H8+1,""),"")</f>
        <v/>
      </c>
      <c r="M8" t="str">
        <f ca="1">IF(L8&lt;&gt;"",
OFFSET(数出表_Excel【15時】!$A$1,2,L8-1)
&amp;IFERROR(OFFSET(数出表_Excel【15時】!$A$1,3,L8-1),"")
&amp;IFERROR(OFFSET(数出表_Excel【15時】!$A$1,4,L8-1),""),"")</f>
        <v/>
      </c>
      <c r="N8" t="str">
        <f ca="1">IF(L8&lt;&gt;"",
OFFSET(数出表_Excel【15時】!$A$1,A8+3,L8-1),"")</f>
        <v/>
      </c>
      <c r="O8" t="str">
        <f ca="1">IF(L8&lt;&gt;"",
IF(AND(OFFSET(数出表_Excel【15時】!$A$1,A8+3,L8)&lt;&gt;"",OFFSET(数出表_Excel【15時】!$A$1,A8+3,L8)&lt;&gt;0),
OFFSET(数出表_Excel【15時】!$A$1,A8+3,L8),""),"")</f>
        <v/>
      </c>
      <c r="Q8" t="str">
        <f ca="1">IF(C8&lt;&gt;"",
IF(E8&lt;&gt;"",1,0)+IF(I8&lt;&gt;"",1,0)+IF(M8&lt;&gt;"",1,0),"")</f>
        <v/>
      </c>
      <c r="R8" t="str">
        <f t="array" aca="1" ref="R8" ca="1">IFERROR(SMALL(IF(Q$2:Q$308&lt;&gt;0,Q$2:Q$308),ROW(A8)),"")</f>
        <v/>
      </c>
      <c r="AH8" t="str">
        <f t="array" aca="1" ref="AH8" ca="1">IFERROR(SMALL(IF(T$1:T$307&lt;&gt;0,T$1:T$307),ROW(AH8)),"")</f>
        <v/>
      </c>
      <c r="AI8" t="str">
        <f t="array" aca="1" ref="AI8" ca="1">IF($AH8&lt;&gt;"",
SUBSTITUTE(SUBSTITUTE(INDIRECT("B"&amp;$AH8&amp;"")," 週3ｺｰｽ","")," 週5ｺｰｽ",""),"")</f>
        <v/>
      </c>
    </row>
    <row r="9" spans="1:35">
      <c r="A9" t="str">
        <f t="shared" ca="1" si="0"/>
        <v/>
      </c>
      <c r="B9" t="str">
        <f t="array" aca="1" ref="B9" ca="1">IF(OR(COUNTIF(数出表_Excel【15時】!AO12,"*修正*"),COUNTIF(数出表_Excel【15時】!AO13,"*修正*")),
IF(ISEVEN(ROW()+4),INDIRECT("数出表_Excel【15時】!A"&amp;ROW()+4&amp;""),INDIRECT("数出表_Excel【15時】!A"&amp;ROW()+4-1&amp;"")),"")</f>
        <v/>
      </c>
      <c r="C9" t="str">
        <f t="array" aca="1" ref="C9" ca="1">IF(OR(COUNTIF(数出表_Excel【15時】!AO12,"*修正*"),COUNTIF(数出表_Excel【15時】!AO13,"*修正*")),
IF(ISEVEN(ROW()+4),INDIRECT("数出表_Excel【15時】!A"&amp;ROW()+4+1&amp;""),INDIRECT("数出表_Excel【15時】!A"&amp;ROW()+4&amp;"")),"")</f>
        <v/>
      </c>
      <c r="D9" s="209" t="str">
        <f t="array" aca="1" ref="D9" ca="1">IF(B9&lt;&gt;"",
IFERROR(MATCH(TRUE,ISNUMBER(INDIRECT("数出表_Excel【15時】!B"&amp;(A9+4)&amp;":ZZ"&amp;(A9+4))),0)+1,""),"")</f>
        <v/>
      </c>
      <c r="E9" t="str">
        <f ca="1">IF(D9&lt;&gt;"",
OFFSET(数出表_Excel【15時】!$A$1,2,D9-1)
&amp;IFERROR(OFFSET(数出表_Excel【15時】!$A$1,3,D9-1),"")
&amp;IFERROR(OFFSET(数出表_Excel【15時】!$A$1,4,D9-1),""),"")</f>
        <v/>
      </c>
      <c r="F9" t="str">
        <f ca="1">IF(D9&lt;&gt;"",
OFFSET(数出表_Excel【15時】!$A$1,A9+3,D9-1),"")</f>
        <v/>
      </c>
      <c r="G9" t="str">
        <f ca="1">IF(D9&lt;&gt;"",
IF(AND(OFFSET(数出表_Excel【15時】!$A$1,A9+3,D9)&lt;&gt;"",OFFSET(数出表_Excel【15時】!$A$1,A9+3,D9)&lt;&gt;0),
OFFSET(数出表_Excel【15時】!$A$1,A9+3,D9),""),"")</f>
        <v/>
      </c>
      <c r="H9" s="209" t="str">
        <f t="array" aca="1" ref="H9" ca="1">IF(B9&lt;&gt;"",
IFERROR(MATCH(TRUE,ISNUMBER(INDIRECT("数出表_Excel【15時】!"&amp;SUBSTITUTE(ADDRESS(1,D9+2,4),"1","")&amp;(A9+4)&amp;":ZZ"&amp;(A9+4))),0)+D9+1,""),"")</f>
        <v/>
      </c>
      <c r="I9" t="str">
        <f ca="1">IF(H9&lt;&gt;"",
OFFSET(数出表_Excel【15時】!$A$1,2,H9-1)
&amp;IFERROR(OFFSET(数出表_Excel【15時】!$A$1,3,H9-1),"")
&amp;IFERROR(OFFSET(数出表_Excel【15時】!$A$1,4,H9-1),""),"")</f>
        <v/>
      </c>
      <c r="J9" t="str">
        <f ca="1">IF(H9&lt;&gt;"",
OFFSET(数出表_Excel【15時】!$A$1,A9+3,H9-1),"")</f>
        <v/>
      </c>
      <c r="K9" t="str">
        <f ca="1">IF(H9&lt;&gt;"",
IF(AND(OFFSET(数出表_Excel【15時】!$A$1,A9+3,H9)&lt;&gt;"",OFFSET(数出表_Excel【15時】!$A$1,A9+3,H9)&lt;&gt;0),
OFFSET(数出表_Excel【15時】!$A$1,A9+3,H9),""),"")</f>
        <v/>
      </c>
      <c r="L9" s="209" t="str">
        <f t="array" aca="1" ref="L9" ca="1">IF(B9&lt;&gt;"",
IFERROR(MATCH(TRUE,ISNUMBER(INDIRECT("数出表_Excel【15時】!"&amp;SUBSTITUTE(ADDRESS(1,H9+2,4),"1","")&amp;(A9+4)&amp;":ZZ"&amp;(A9+4))),0)+H9+1,""),"")</f>
        <v/>
      </c>
      <c r="M9" t="str">
        <f ca="1">IF(L9&lt;&gt;"",
OFFSET(数出表_Excel【15時】!$A$1,2,L9-1)
&amp;IFERROR(OFFSET(数出表_Excel【15時】!$A$1,3,L9-1),"")
&amp;IFERROR(OFFSET(数出表_Excel【15時】!$A$1,4,L9-1),""),"")</f>
        <v/>
      </c>
      <c r="N9" t="str">
        <f ca="1">IF(L9&lt;&gt;"",
OFFSET(数出表_Excel【15時】!$A$1,A9+3,L9-1),"")</f>
        <v/>
      </c>
      <c r="O9" t="str">
        <f ca="1">IF(L9&lt;&gt;"",
IF(AND(OFFSET(数出表_Excel【15時】!$A$1,A9+3,L9)&lt;&gt;"",OFFSET(数出表_Excel【15時】!$A$1,A9+3,L9)&lt;&gt;0),
OFFSET(数出表_Excel【15時】!$A$1,A9+3,L9),""),"")</f>
        <v/>
      </c>
      <c r="R9" t="str">
        <f t="array" aca="1" ref="R9" ca="1">IFERROR(SMALL(IF(Q$2:Q$308&lt;&gt;0,Q$2:Q$308),ROW(A9)),"")</f>
        <v/>
      </c>
      <c r="AH9" t="str">
        <f t="array" aca="1" ref="AH9" ca="1">IFERROR(SMALL(IF(T$1:T$307&lt;&gt;0,T$1:T$307),ROW(AH9)),"")</f>
        <v/>
      </c>
      <c r="AI9" t="str">
        <f t="array" aca="1" ref="AI9" ca="1">IF($AH9&lt;&gt;"",
SUBSTITUTE(SUBSTITUTE(INDIRECT("B"&amp;$AH9&amp;"")," 週3ｺｰｽ","")," 週5ｺｰｽ",""),"")</f>
        <v/>
      </c>
    </row>
    <row r="10" spans="1:35">
      <c r="A10" t="str">
        <f t="shared" ca="1" si="0"/>
        <v/>
      </c>
      <c r="B10" t="str">
        <f t="array" aca="1" ref="B10" ca="1">IF(OR(COUNTIF(数出表_Excel【15時】!AO14,"*修正*"),COUNTIF(数出表_Excel【15時】!AO15,"*修正*")),
IF(ISEVEN(ROW()+4),INDIRECT("数出表_Excel【15時】!A"&amp;ROW()+4&amp;""),INDIRECT("数出表_Excel【15時】!A"&amp;ROW()+4-1&amp;"")),"")</f>
        <v/>
      </c>
      <c r="C10" t="str">
        <f t="array" aca="1" ref="C10" ca="1">IF(OR(COUNTIF(数出表_Excel【15時】!AO14,"*修正*"),COUNTIF(数出表_Excel【15時】!AO15,"*修正*")),
IF(ISEVEN(ROW()+4),INDIRECT("数出表_Excel【15時】!A"&amp;ROW()+4+1&amp;""),INDIRECT("数出表_Excel【15時】!A"&amp;ROW()+4&amp;"")),"")</f>
        <v/>
      </c>
      <c r="D10" s="209" t="str">
        <f t="array" aca="1" ref="D10" ca="1">IF(B10&lt;&gt;"",
IFERROR(MATCH(TRUE,ISNUMBER(INDIRECT("数出表_Excel【15時】!B"&amp;(A10+4)&amp;":ZZ"&amp;(A10+4))),0)+1,""),"")</f>
        <v/>
      </c>
      <c r="E10" t="str">
        <f ca="1">IF(D10&lt;&gt;"",
OFFSET(数出表_Excel【15時】!$A$1,2,D10-1)
&amp;IFERROR(OFFSET(数出表_Excel【15時】!$A$1,3,D10-1),"")
&amp;IFERROR(OFFSET(数出表_Excel【15時】!$A$1,4,D10-1),""),"")</f>
        <v/>
      </c>
      <c r="F10" t="str">
        <f ca="1">IF(D10&lt;&gt;"",
OFFSET(数出表_Excel【15時】!$A$1,A10+3,D10-1),"")</f>
        <v/>
      </c>
      <c r="G10" t="str">
        <f ca="1">IF(D10&lt;&gt;"",
IF(AND(OFFSET(数出表_Excel【15時】!$A$1,A10+3,D10)&lt;&gt;"",OFFSET(数出表_Excel【15時】!$A$1,A10+3,D10)&lt;&gt;0),
OFFSET(数出表_Excel【15時】!$A$1,A10+3,D10),""),"")</f>
        <v/>
      </c>
      <c r="H10" s="209" t="str">
        <f t="array" aca="1" ref="H10" ca="1">IF(B10&lt;&gt;"",
IFERROR(MATCH(TRUE,ISNUMBER(INDIRECT("数出表_Excel【15時】!"&amp;SUBSTITUTE(ADDRESS(1,D10+2,4),"1","")&amp;(A10+4)&amp;":ZZ"&amp;(A10+4))),0)+D10+1,""),"")</f>
        <v/>
      </c>
      <c r="I10" t="str">
        <f ca="1">IF(H10&lt;&gt;"",
OFFSET(数出表_Excel【15時】!$A$1,2,H10-1)
&amp;IFERROR(OFFSET(数出表_Excel【15時】!$A$1,3,H10-1),"")
&amp;IFERROR(OFFSET(数出表_Excel【15時】!$A$1,4,H10-1),""),"")</f>
        <v/>
      </c>
      <c r="J10" t="str">
        <f ca="1">IF(H10&lt;&gt;"",
OFFSET(数出表_Excel【15時】!$A$1,A10+3,H10-1),"")</f>
        <v/>
      </c>
      <c r="K10" t="str">
        <f ca="1">IF(H10&lt;&gt;"",
IF(AND(OFFSET(数出表_Excel【15時】!$A$1,A10+3,H10)&lt;&gt;"",OFFSET(数出表_Excel【15時】!$A$1,A10+3,H10)&lt;&gt;0),
OFFSET(数出表_Excel【15時】!$A$1,A10+3,H10),""),"")</f>
        <v/>
      </c>
      <c r="L10" s="209" t="str">
        <f t="array" aca="1" ref="L10" ca="1">IF(B10&lt;&gt;"",
IFERROR(MATCH(TRUE,ISNUMBER(INDIRECT("数出表_Excel【15時】!"&amp;SUBSTITUTE(ADDRESS(1,H10+2,4),"1","")&amp;(A10+4)&amp;":ZZ"&amp;(A10+4))),0)+H10+1,""),"")</f>
        <v/>
      </c>
      <c r="M10" t="str">
        <f ca="1">IF(L10&lt;&gt;"",
OFFSET(数出表_Excel【15時】!$A$1,2,L10-1)
&amp;IFERROR(OFFSET(数出表_Excel【15時】!$A$1,3,L10-1),"")
&amp;IFERROR(OFFSET(数出表_Excel【15時】!$A$1,4,L10-1),""),"")</f>
        <v/>
      </c>
      <c r="N10" t="str">
        <f ca="1">IF(L10&lt;&gt;"",
OFFSET(数出表_Excel【15時】!$A$1,A10+3,L10-1),"")</f>
        <v/>
      </c>
      <c r="O10" t="str">
        <f ca="1">IF(L10&lt;&gt;"",
IF(AND(OFFSET(数出表_Excel【15時】!$A$1,A10+3,L10)&lt;&gt;"",OFFSET(数出表_Excel【15時】!$A$1,A10+3,L10)&lt;&gt;0),
OFFSET(数出表_Excel【15時】!$A$1,A10+3,L10),""),"")</f>
        <v/>
      </c>
      <c r="Q10" t="str">
        <f ca="1">IF(C10&lt;&gt;"",
IF(E10&lt;&gt;"",1,0)+IF(I10&lt;&gt;"",1,0)+IF(M10&lt;&gt;"",1,0),"")</f>
        <v/>
      </c>
      <c r="R10" t="str">
        <f t="array" aca="1" ref="R10" ca="1">IFERROR(SMALL(IF(Q$2:Q$308&lt;&gt;0,Q$2:Q$308),ROW(A10)),"")</f>
        <v/>
      </c>
      <c r="AH10" t="str">
        <f t="array" aca="1" ref="AH10" ca="1">IFERROR(SMALL(IF(T$1:T$307&lt;&gt;0,T$1:T$307),ROW(AH10)),"")</f>
        <v/>
      </c>
      <c r="AI10" t="str">
        <f t="array" aca="1" ref="AI10" ca="1">IF($AH10&lt;&gt;"",
SUBSTITUTE(SUBSTITUTE(INDIRECT("B"&amp;$AH10&amp;"")," 週3ｺｰｽ","")," 週5ｺｰｽ",""),"")</f>
        <v/>
      </c>
    </row>
    <row r="11" spans="1:35">
      <c r="A11" t="str">
        <f t="shared" ca="1" si="0"/>
        <v/>
      </c>
      <c r="B11" t="str">
        <f t="array" aca="1" ref="B11" ca="1">IF(OR(COUNTIF(数出表_Excel【15時】!AO14,"*修正*"),COUNTIF(数出表_Excel【15時】!AO15,"*修正*")),
IF(ISEVEN(ROW()+4),INDIRECT("数出表_Excel【15時】!A"&amp;ROW()+4&amp;""),INDIRECT("数出表_Excel【15時】!A"&amp;ROW()+4-1&amp;"")),"")</f>
        <v/>
      </c>
      <c r="C11" t="str">
        <f t="array" aca="1" ref="C11" ca="1">IF(OR(COUNTIF(数出表_Excel【15時】!AO14,"*修正*"),COUNTIF(数出表_Excel【15時】!AO15,"*修正*")),
IF(ISEVEN(ROW()+4),INDIRECT("数出表_Excel【15時】!A"&amp;ROW()+4+1&amp;""),INDIRECT("数出表_Excel【15時】!A"&amp;ROW()+4&amp;"")),"")</f>
        <v/>
      </c>
      <c r="D11" s="209" t="str">
        <f t="array" aca="1" ref="D11" ca="1">IF(B11&lt;&gt;"",
IFERROR(MATCH(TRUE,ISNUMBER(INDIRECT("数出表_Excel【15時】!B"&amp;(A11+4)&amp;":ZZ"&amp;(A11+4))),0)+1,""),"")</f>
        <v/>
      </c>
      <c r="E11" t="str">
        <f ca="1">IF(D11&lt;&gt;"",
OFFSET(数出表_Excel【15時】!$A$1,2,D11-1)
&amp;IFERROR(OFFSET(数出表_Excel【15時】!$A$1,3,D11-1),"")
&amp;IFERROR(OFFSET(数出表_Excel【15時】!$A$1,4,D11-1),""),"")</f>
        <v/>
      </c>
      <c r="F11" t="str">
        <f ca="1">IF(D11&lt;&gt;"",
OFFSET(数出表_Excel【15時】!$A$1,A11+3,D11-1),"")</f>
        <v/>
      </c>
      <c r="G11" t="str">
        <f ca="1">IF(D11&lt;&gt;"",
IF(AND(OFFSET(数出表_Excel【15時】!$A$1,A11+3,D11)&lt;&gt;"",OFFSET(数出表_Excel【15時】!$A$1,A11+3,D11)&lt;&gt;0),
OFFSET(数出表_Excel【15時】!$A$1,A11+3,D11),""),"")</f>
        <v/>
      </c>
      <c r="H11" s="209" t="str">
        <f t="array" aca="1" ref="H11" ca="1">IF(B11&lt;&gt;"",
IFERROR(MATCH(TRUE,ISNUMBER(INDIRECT("数出表_Excel【15時】!"&amp;SUBSTITUTE(ADDRESS(1,D11+2,4),"1","")&amp;(A11+4)&amp;":ZZ"&amp;(A11+4))),0)+D11+1,""),"")</f>
        <v/>
      </c>
      <c r="I11" t="str">
        <f ca="1">IF(H11&lt;&gt;"",
OFFSET(数出表_Excel【15時】!$A$1,2,H11-1)
&amp;IFERROR(OFFSET(数出表_Excel【15時】!$A$1,3,H11-1),"")
&amp;IFERROR(OFFSET(数出表_Excel【15時】!$A$1,4,H11-1),""),"")</f>
        <v/>
      </c>
      <c r="J11" t="str">
        <f ca="1">IF(H11&lt;&gt;"",
OFFSET(数出表_Excel【15時】!$A$1,A11+3,H11-1),"")</f>
        <v/>
      </c>
      <c r="K11" t="str">
        <f ca="1">IF(H11&lt;&gt;"",
IF(AND(OFFSET(数出表_Excel【15時】!$A$1,A11+3,H11)&lt;&gt;"",OFFSET(数出表_Excel【15時】!$A$1,A11+3,H11)&lt;&gt;0),
OFFSET(数出表_Excel【15時】!$A$1,A11+3,H11),""),"")</f>
        <v/>
      </c>
      <c r="L11" s="209" t="str">
        <f t="array" aca="1" ref="L11" ca="1">IF(B11&lt;&gt;"",
IFERROR(MATCH(TRUE,ISNUMBER(INDIRECT("数出表_Excel【15時】!"&amp;SUBSTITUTE(ADDRESS(1,H11+2,4),"1","")&amp;(A11+4)&amp;":ZZ"&amp;(A11+4))),0)+H11+1,""),"")</f>
        <v/>
      </c>
      <c r="M11" t="str">
        <f ca="1">IF(L11&lt;&gt;"",
OFFSET(数出表_Excel【15時】!$A$1,2,L11-1)
&amp;IFERROR(OFFSET(数出表_Excel【15時】!$A$1,3,L11-1),"")
&amp;IFERROR(OFFSET(数出表_Excel【15時】!$A$1,4,L11-1),""),"")</f>
        <v/>
      </c>
      <c r="N11" t="str">
        <f ca="1">IF(L11&lt;&gt;"",
OFFSET(数出表_Excel【15時】!$A$1,A11+3,L11-1),"")</f>
        <v/>
      </c>
      <c r="O11" t="str">
        <f ca="1">IF(L11&lt;&gt;"",
IF(AND(OFFSET(数出表_Excel【15時】!$A$1,A11+3,L11)&lt;&gt;"",OFFSET(数出表_Excel【15時】!$A$1,A11+3,L11)&lt;&gt;0),
OFFSET(数出表_Excel【15時】!$A$1,A11+3,L11),""),"")</f>
        <v/>
      </c>
      <c r="R11" t="str">
        <f t="array" aca="1" ref="R11" ca="1">IFERROR(SMALL(IF(Q$2:Q$308&lt;&gt;0,Q$2:Q$308),ROW(A11)),"")</f>
        <v/>
      </c>
      <c r="AH11" t="str">
        <f t="array" aca="1" ref="AH11" ca="1">IFERROR(SMALL(IF(T$1:T$307&lt;&gt;0,T$1:T$307),ROW(AH11)),"")</f>
        <v/>
      </c>
      <c r="AI11" t="str">
        <f t="array" aca="1" ref="AI11" ca="1">IF($AH11&lt;&gt;"",
SUBSTITUTE(SUBSTITUTE(INDIRECT("B"&amp;$AH11&amp;"")," 週3ｺｰｽ","")," 週5ｺｰｽ",""),"")</f>
        <v/>
      </c>
    </row>
    <row r="12" spans="1:35">
      <c r="A12" t="str">
        <f t="shared" ca="1" si="0"/>
        <v/>
      </c>
      <c r="B12" t="str">
        <f t="array" aca="1" ref="B12" ca="1">IF(OR(COUNTIF(数出表_Excel【15時】!AO16,"*修正*"),COUNTIF(数出表_Excel【15時】!AO17,"*修正*")),
IF(ISEVEN(ROW()+4),INDIRECT("数出表_Excel【15時】!A"&amp;ROW()+4&amp;""),INDIRECT("数出表_Excel【15時】!A"&amp;ROW()+4-1&amp;"")),"")</f>
        <v/>
      </c>
      <c r="C12" t="str">
        <f t="array" aca="1" ref="C12" ca="1">IF(OR(COUNTIF(数出表_Excel【15時】!AO16,"*修正*"),COUNTIF(数出表_Excel【15時】!AO17,"*修正*")),
IF(ISEVEN(ROW()+4),INDIRECT("数出表_Excel【15時】!A"&amp;ROW()+4+1&amp;""),INDIRECT("数出表_Excel【15時】!A"&amp;ROW()+4&amp;"")),"")</f>
        <v/>
      </c>
      <c r="D12" s="209" t="str">
        <f t="array" aca="1" ref="D12" ca="1">IF(B12&lt;&gt;"",
IFERROR(MATCH(TRUE,ISNUMBER(INDIRECT("数出表_Excel【15時】!B"&amp;(A12+4)&amp;":ZZ"&amp;(A12+4))),0)+1,""),"")</f>
        <v/>
      </c>
      <c r="E12" t="str">
        <f ca="1">IF(D12&lt;&gt;"",
OFFSET(数出表_Excel【15時】!$A$1,2,D12-1)
&amp;IFERROR(OFFSET(数出表_Excel【15時】!$A$1,3,D12-1),"")
&amp;IFERROR(OFFSET(数出表_Excel【15時】!$A$1,4,D12-1),""),"")</f>
        <v/>
      </c>
      <c r="F12" t="str">
        <f ca="1">IF(D12&lt;&gt;"",
OFFSET(数出表_Excel【15時】!$A$1,A12+3,D12-1),"")</f>
        <v/>
      </c>
      <c r="G12" t="str">
        <f ca="1">IF(D12&lt;&gt;"",
IF(AND(OFFSET(数出表_Excel【15時】!$A$1,A12+3,D12)&lt;&gt;"",OFFSET(数出表_Excel【15時】!$A$1,A12+3,D12)&lt;&gt;0),
OFFSET(数出表_Excel【15時】!$A$1,A12+3,D12),""),"")</f>
        <v/>
      </c>
      <c r="H12" s="209" t="str">
        <f t="array" aca="1" ref="H12" ca="1">IF(B12&lt;&gt;"",
IFERROR(MATCH(TRUE,ISNUMBER(INDIRECT("数出表_Excel【15時】!"&amp;SUBSTITUTE(ADDRESS(1,D12+2,4),"1","")&amp;(A12+4)&amp;":ZZ"&amp;(A12+4))),0)+D12+1,""),"")</f>
        <v/>
      </c>
      <c r="I12" t="str">
        <f ca="1">IF(H12&lt;&gt;"",
OFFSET(数出表_Excel【15時】!$A$1,2,H12-1)
&amp;IFERROR(OFFSET(数出表_Excel【15時】!$A$1,3,H12-1),"")
&amp;IFERROR(OFFSET(数出表_Excel【15時】!$A$1,4,H12-1),""),"")</f>
        <v/>
      </c>
      <c r="J12" t="str">
        <f ca="1">IF(H12&lt;&gt;"",
OFFSET(数出表_Excel【15時】!$A$1,A12+3,H12-1),"")</f>
        <v/>
      </c>
      <c r="K12" t="str">
        <f ca="1">IF(H12&lt;&gt;"",
IF(AND(OFFSET(数出表_Excel【15時】!$A$1,A12+3,H12)&lt;&gt;"",OFFSET(数出表_Excel【15時】!$A$1,A12+3,H12)&lt;&gt;0),
OFFSET(数出表_Excel【15時】!$A$1,A12+3,H12),""),"")</f>
        <v/>
      </c>
      <c r="L12" s="209" t="str">
        <f t="array" aca="1" ref="L12" ca="1">IF(B12&lt;&gt;"",
IFERROR(MATCH(TRUE,ISNUMBER(INDIRECT("数出表_Excel【15時】!"&amp;SUBSTITUTE(ADDRESS(1,H12+2,4),"1","")&amp;(A12+4)&amp;":ZZ"&amp;(A12+4))),0)+H12+1,""),"")</f>
        <v/>
      </c>
      <c r="M12" t="str">
        <f ca="1">IF(L12&lt;&gt;"",
OFFSET(数出表_Excel【15時】!$A$1,2,L12-1)
&amp;IFERROR(OFFSET(数出表_Excel【15時】!$A$1,3,L12-1),"")
&amp;IFERROR(OFFSET(数出表_Excel【15時】!$A$1,4,L12-1),""),"")</f>
        <v/>
      </c>
      <c r="N12" t="str">
        <f ca="1">IF(L12&lt;&gt;"",
OFFSET(数出表_Excel【15時】!$A$1,A12+3,L12-1),"")</f>
        <v/>
      </c>
      <c r="O12" t="str">
        <f ca="1">IF(L12&lt;&gt;"",
IF(AND(OFFSET(数出表_Excel【15時】!$A$1,A12+3,L12)&lt;&gt;"",OFFSET(数出表_Excel【15時】!$A$1,A12+3,L12)&lt;&gt;0),
OFFSET(数出表_Excel【15時】!$A$1,A12+3,L12),""),"")</f>
        <v/>
      </c>
      <c r="Q12" t="str">
        <f ca="1">IF(C12&lt;&gt;"",
IF(E12&lt;&gt;"",1,0)+IF(I12&lt;&gt;"",1,0)+IF(M12&lt;&gt;"",1,0),"")</f>
        <v/>
      </c>
      <c r="R12" t="str">
        <f t="array" aca="1" ref="R12" ca="1">IFERROR(SMALL(IF(Q$1:Q$307&lt;&gt;0,Q$1:Q$307),ROW(A12)),"")</f>
        <v/>
      </c>
      <c r="AH12" t="str">
        <f t="array" aca="1" ref="AH12" ca="1">IFERROR(SMALL(IF(T$1:T$307&lt;&gt;0,T$1:T$307),ROW(AH12)),"")</f>
        <v/>
      </c>
      <c r="AI12" t="str">
        <f t="array" aca="1" ref="AI12" ca="1">IF($AH12&lt;&gt;"",
SUBSTITUTE(SUBSTITUTE(INDIRECT("B"&amp;$AH12&amp;"")," 週3ｺｰｽ","")," 週5ｺｰｽ",""),"")</f>
        <v/>
      </c>
    </row>
    <row r="13" spans="1:35">
      <c r="A13" t="str">
        <f t="shared" ca="1" si="0"/>
        <v/>
      </c>
      <c r="B13" t="str">
        <f t="array" aca="1" ref="B13" ca="1">IF(OR(COUNTIF(数出表_Excel【15時】!AO16,"*修正*"),COUNTIF(数出表_Excel【15時】!AO17,"*修正*")),
IF(ISEVEN(ROW()+4),INDIRECT("数出表_Excel【15時】!A"&amp;ROW()+4&amp;""),INDIRECT("数出表_Excel【15時】!A"&amp;ROW()+4-1&amp;"")),"")</f>
        <v/>
      </c>
      <c r="C13" t="str">
        <f t="array" aca="1" ref="C13" ca="1">IF(OR(COUNTIF(数出表_Excel【15時】!AO16,"*修正*"),COUNTIF(数出表_Excel【15時】!AO17,"*修正*")),
IF(ISEVEN(ROW()+4),INDIRECT("数出表_Excel【15時】!A"&amp;ROW()+4+1&amp;""),INDIRECT("数出表_Excel【15時】!A"&amp;ROW()+4&amp;"")),"")</f>
        <v/>
      </c>
      <c r="D13" s="209" t="str">
        <f t="array" aca="1" ref="D13" ca="1">IF(B13&lt;&gt;"",
IFERROR(MATCH(TRUE,ISNUMBER(INDIRECT("数出表_Excel【15時】!B"&amp;(A13+4)&amp;":ZZ"&amp;(A13+4))),0)+1,""),"")</f>
        <v/>
      </c>
      <c r="E13" t="str">
        <f ca="1">IF(D13&lt;&gt;"",
OFFSET(数出表_Excel【15時】!$A$1,2,D13-1)
&amp;IFERROR(OFFSET(数出表_Excel【15時】!$A$1,3,D13-1),"")
&amp;IFERROR(OFFSET(数出表_Excel【15時】!$A$1,4,D13-1),""),"")</f>
        <v/>
      </c>
      <c r="F13" t="str">
        <f ca="1">IF(D13&lt;&gt;"",
OFFSET(数出表_Excel【15時】!$A$1,A13+3,D13-1),"")</f>
        <v/>
      </c>
      <c r="G13" t="str">
        <f ca="1">IF(D13&lt;&gt;"",
IF(AND(OFFSET(数出表_Excel【15時】!$A$1,A13+3,D13)&lt;&gt;"",OFFSET(数出表_Excel【15時】!$A$1,A13+3,D13)&lt;&gt;0),
OFFSET(数出表_Excel【15時】!$A$1,A13+3,D13),""),"")</f>
        <v/>
      </c>
      <c r="H13" s="209" t="str">
        <f t="array" aca="1" ref="H13" ca="1">IF(B13&lt;&gt;"",
IFERROR(MATCH(TRUE,ISNUMBER(INDIRECT("数出表_Excel【15時】!"&amp;SUBSTITUTE(ADDRESS(1,D13+2,4),"1","")&amp;(A13+4)&amp;":ZZ"&amp;(A13+4))),0)+D13+1,""),"")</f>
        <v/>
      </c>
      <c r="I13" t="str">
        <f ca="1">IF(H13&lt;&gt;"",
OFFSET(数出表_Excel【15時】!$A$1,2,H13-1)
&amp;IFERROR(OFFSET(数出表_Excel【15時】!$A$1,3,H13-1),"")
&amp;IFERROR(OFFSET(数出表_Excel【15時】!$A$1,4,H13-1),""),"")</f>
        <v/>
      </c>
      <c r="J13" t="str">
        <f ca="1">IF(H13&lt;&gt;"",
OFFSET(数出表_Excel【15時】!$A$1,A13+3,H13-1),"")</f>
        <v/>
      </c>
      <c r="K13" t="str">
        <f ca="1">IF(H13&lt;&gt;"",
IF(AND(OFFSET(数出表_Excel【15時】!$A$1,A13+3,H13)&lt;&gt;"",OFFSET(数出表_Excel【15時】!$A$1,A13+3,H13)&lt;&gt;0),
OFFSET(数出表_Excel【15時】!$A$1,A13+3,H13),""),"")</f>
        <v/>
      </c>
      <c r="L13" s="209" t="str">
        <f t="array" aca="1" ref="L13" ca="1">IF(B13&lt;&gt;"",
IFERROR(MATCH(TRUE,ISNUMBER(INDIRECT("数出表_Excel【15時】!"&amp;SUBSTITUTE(ADDRESS(1,H13+2,4),"1","")&amp;(A13+4)&amp;":ZZ"&amp;(A13+4))),0)+H13+1,""),"")</f>
        <v/>
      </c>
      <c r="M13" t="str">
        <f ca="1">IF(L13&lt;&gt;"",
OFFSET(数出表_Excel【15時】!$A$1,2,L13-1)
&amp;IFERROR(OFFSET(数出表_Excel【15時】!$A$1,3,L13-1),"")
&amp;IFERROR(OFFSET(数出表_Excel【15時】!$A$1,4,L13-1),""),"")</f>
        <v/>
      </c>
      <c r="N13" t="str">
        <f ca="1">IF(L13&lt;&gt;"",
OFFSET(数出表_Excel【15時】!$A$1,A13+3,L13-1),"")</f>
        <v/>
      </c>
      <c r="O13" t="str">
        <f ca="1">IF(L13&lt;&gt;"",
IF(AND(OFFSET(数出表_Excel【15時】!$A$1,A13+3,L13)&lt;&gt;"",OFFSET(数出表_Excel【15時】!$A$1,A13+3,L13)&lt;&gt;0),
OFFSET(数出表_Excel【15時】!$A$1,A13+3,L13),""),"")</f>
        <v/>
      </c>
      <c r="R13" t="str">
        <f t="array" aca="1" ref="R13" ca="1">IFERROR(SMALL(IF(Q$1:Q$307&lt;&gt;0,Q$1:Q$307),ROW(A13)),"")</f>
        <v/>
      </c>
      <c r="AH13" t="str">
        <f t="array" aca="1" ref="AH13" ca="1">IFERROR(SMALL(IF(T$1:T$307&lt;&gt;0,T$1:T$307),ROW(AH13)),"")</f>
        <v/>
      </c>
      <c r="AI13" t="str">
        <f t="array" aca="1" ref="AI13" ca="1">IF($AH13&lt;&gt;"",
SUBSTITUTE(SUBSTITUTE(INDIRECT("B"&amp;$AH13&amp;"")," 週3ｺｰｽ","")," 週5ｺｰｽ",""),"")</f>
        <v/>
      </c>
    </row>
    <row r="14" spans="1:35">
      <c r="A14" t="str">
        <f t="shared" ca="1" si="0"/>
        <v/>
      </c>
      <c r="B14" t="str">
        <f t="array" aca="1" ref="B14" ca="1">IF(OR(COUNTIF(数出表_Excel【15時】!AO18,"*修正*"),COUNTIF(数出表_Excel【15時】!AO19,"*修正*")),
IF(ISEVEN(ROW()+4),INDIRECT("数出表_Excel【15時】!A"&amp;ROW()+4&amp;""),INDIRECT("数出表_Excel【15時】!A"&amp;ROW()+4-1&amp;"")),"")</f>
        <v/>
      </c>
      <c r="C14" t="str">
        <f t="array" aca="1" ref="C14" ca="1">IF(OR(COUNTIF(数出表_Excel【15時】!AO18,"*修正*"),COUNTIF(数出表_Excel【15時】!AO19,"*修正*")),
IF(ISEVEN(ROW()+4),INDIRECT("数出表_Excel【15時】!A"&amp;ROW()+4+1&amp;""),INDIRECT("数出表_Excel【15時】!A"&amp;ROW()+4&amp;"")),"")</f>
        <v/>
      </c>
      <c r="D14" s="209" t="str">
        <f t="array" aca="1" ref="D14" ca="1">IF(B14&lt;&gt;"",
IFERROR(MATCH(TRUE,ISNUMBER(INDIRECT("数出表_Excel【15時】!B"&amp;(A14+4)&amp;":ZZ"&amp;(A14+4))),0)+1,""),"")</f>
        <v/>
      </c>
      <c r="E14" t="str">
        <f ca="1">IF(D14&lt;&gt;"",
OFFSET(数出表_Excel【15時】!$A$1,2,D14-1)
&amp;IFERROR(OFFSET(数出表_Excel【15時】!$A$1,3,D14-1),"")
&amp;IFERROR(OFFSET(数出表_Excel【15時】!$A$1,4,D14-1),""),"")</f>
        <v/>
      </c>
      <c r="F14" t="str">
        <f ca="1">IF(D14&lt;&gt;"",
OFFSET(数出表_Excel【15時】!$A$1,A14+3,D14-1),"")</f>
        <v/>
      </c>
      <c r="G14" t="str">
        <f ca="1">IF(D14&lt;&gt;"",
IF(AND(OFFSET(数出表_Excel【15時】!$A$1,A14+3,D14)&lt;&gt;"",OFFSET(数出表_Excel【15時】!$A$1,A14+3,D14)&lt;&gt;0),
OFFSET(数出表_Excel【15時】!$A$1,A14+3,D14),""),"")</f>
        <v/>
      </c>
      <c r="H14" s="209" t="str">
        <f t="array" aca="1" ref="H14" ca="1">IF(B14&lt;&gt;"",
IFERROR(MATCH(TRUE,ISNUMBER(INDIRECT("数出表_Excel【15時】!"&amp;SUBSTITUTE(ADDRESS(1,D14+2,4),"1","")&amp;(A14+4)&amp;":ZZ"&amp;(A14+4))),0)+D14+1,""),"")</f>
        <v/>
      </c>
      <c r="I14" t="str">
        <f ca="1">IF(H14&lt;&gt;"",
OFFSET(数出表_Excel【15時】!$A$1,2,H14-1)
&amp;IFERROR(OFFSET(数出表_Excel【15時】!$A$1,3,H14-1),"")
&amp;IFERROR(OFFSET(数出表_Excel【15時】!$A$1,4,H14-1),""),"")</f>
        <v/>
      </c>
      <c r="J14" t="str">
        <f ca="1">IF(H14&lt;&gt;"",
OFFSET(数出表_Excel【15時】!$A$1,A14+3,H14-1),"")</f>
        <v/>
      </c>
      <c r="K14" t="str">
        <f ca="1">IF(H14&lt;&gt;"",
IF(AND(OFFSET(数出表_Excel【15時】!$A$1,A14+3,H14)&lt;&gt;"",OFFSET(数出表_Excel【15時】!$A$1,A14+3,H14)&lt;&gt;0),
OFFSET(数出表_Excel【15時】!$A$1,A14+3,H14),""),"")</f>
        <v/>
      </c>
      <c r="L14" s="209" t="str">
        <f t="array" aca="1" ref="L14" ca="1">IF(B14&lt;&gt;"",
IFERROR(MATCH(TRUE,ISNUMBER(INDIRECT("数出表_Excel【15時】!"&amp;SUBSTITUTE(ADDRESS(1,H14+2,4),"1","")&amp;(A14+4)&amp;":ZZ"&amp;(A14+4))),0)+H14+1,""),"")</f>
        <v/>
      </c>
      <c r="M14" t="str">
        <f ca="1">IF(L14&lt;&gt;"",
OFFSET(数出表_Excel【15時】!$A$1,2,L14-1)
&amp;IFERROR(OFFSET(数出表_Excel【15時】!$A$1,3,L14-1),"")
&amp;IFERROR(OFFSET(数出表_Excel【15時】!$A$1,4,L14-1),""),"")</f>
        <v/>
      </c>
      <c r="N14" t="str">
        <f ca="1">IF(L14&lt;&gt;"",
OFFSET(数出表_Excel【15時】!$A$1,A14+3,L14-1),"")</f>
        <v/>
      </c>
      <c r="O14" t="str">
        <f ca="1">IF(L14&lt;&gt;"",
IF(AND(OFFSET(数出表_Excel【15時】!$A$1,A14+3,L14)&lt;&gt;"",OFFSET(数出表_Excel【15時】!$A$1,A14+3,L14)&lt;&gt;0),
OFFSET(数出表_Excel【15時】!$A$1,A14+3,L14),""),"")</f>
        <v/>
      </c>
      <c r="Q14" t="str">
        <f ca="1">IF(C14&lt;&gt;"",
IF(E14&lt;&gt;"",1,0)+IF(I14&lt;&gt;"",1,0)+IF(M14&lt;&gt;"",1,0),"")</f>
        <v/>
      </c>
      <c r="AH14" t="str">
        <f t="array" aca="1" ref="AH14" ca="1">IFERROR(SMALL(IF(T$1:T$307&lt;&gt;0,T$1:T$307),ROW(AH14)),"")</f>
        <v/>
      </c>
      <c r="AI14" t="str">
        <f t="array" aca="1" ref="AI14" ca="1">IF($AH14&lt;&gt;"",
SUBSTITUTE(SUBSTITUTE(INDIRECT("B"&amp;$AH14&amp;"")," 週3ｺｰｽ","")," 週5ｺｰｽ",""),"")</f>
        <v/>
      </c>
    </row>
    <row r="15" spans="1:35">
      <c r="A15" t="str">
        <f t="shared" ca="1" si="0"/>
        <v/>
      </c>
      <c r="B15" t="str">
        <f t="array" aca="1" ref="B15" ca="1">IF(OR(COUNTIF(数出表_Excel【15時】!AO18,"*修正*"),COUNTIF(数出表_Excel【15時】!AO19,"*修正*")),
IF(ISEVEN(ROW()+4),INDIRECT("数出表_Excel【15時】!A"&amp;ROW()+4&amp;""),INDIRECT("数出表_Excel【15時】!A"&amp;ROW()+4-1&amp;"")),"")</f>
        <v/>
      </c>
      <c r="C15" t="str">
        <f t="array" aca="1" ref="C15" ca="1">IF(OR(COUNTIF(数出表_Excel【15時】!AO18,"*修正*"),COUNTIF(数出表_Excel【15時】!AO19,"*修正*")),
IF(ISEVEN(ROW()+4),INDIRECT("数出表_Excel【15時】!A"&amp;ROW()+4+1&amp;""),INDIRECT("数出表_Excel【15時】!A"&amp;ROW()+4&amp;"")),"")</f>
        <v/>
      </c>
      <c r="D15" s="209" t="str">
        <f t="array" aca="1" ref="D15" ca="1">IF(B15&lt;&gt;"",
IFERROR(MATCH(TRUE,ISNUMBER(INDIRECT("数出表_Excel【15時】!B"&amp;(A15+4)&amp;":ZZ"&amp;(A15+4))),0)+1,""),"")</f>
        <v/>
      </c>
      <c r="E15" t="str">
        <f ca="1">IF(D15&lt;&gt;"",
OFFSET(数出表_Excel【15時】!$A$1,2,D15-1)
&amp;IFERROR(OFFSET(数出表_Excel【15時】!$A$1,3,D15-1),"")
&amp;IFERROR(OFFSET(数出表_Excel【15時】!$A$1,4,D15-1),""),"")</f>
        <v/>
      </c>
      <c r="F15" t="str">
        <f ca="1">IF(D15&lt;&gt;"",
OFFSET(数出表_Excel【15時】!$A$1,A15+3,D15-1),"")</f>
        <v/>
      </c>
      <c r="G15" t="str">
        <f ca="1">IF(D15&lt;&gt;"",
IF(AND(OFFSET(数出表_Excel【15時】!$A$1,A15+3,D15)&lt;&gt;"",OFFSET(数出表_Excel【15時】!$A$1,A15+3,D15)&lt;&gt;0),
OFFSET(数出表_Excel【15時】!$A$1,A15+3,D15),""),"")</f>
        <v/>
      </c>
      <c r="H15" s="209" t="str">
        <f t="array" aca="1" ref="H15" ca="1">IF(B15&lt;&gt;"",
IFERROR(MATCH(TRUE,ISNUMBER(INDIRECT("数出表_Excel【15時】!"&amp;SUBSTITUTE(ADDRESS(1,D15+2,4),"1","")&amp;(A15+4)&amp;":ZZ"&amp;(A15+4))),0)+D15+1,""),"")</f>
        <v/>
      </c>
      <c r="I15" t="str">
        <f ca="1">IF(H15&lt;&gt;"",
OFFSET(数出表_Excel【15時】!$A$1,2,H15-1)
&amp;IFERROR(OFFSET(数出表_Excel【15時】!$A$1,3,H15-1),"")
&amp;IFERROR(OFFSET(数出表_Excel【15時】!$A$1,4,H15-1),""),"")</f>
        <v/>
      </c>
      <c r="J15" t="str">
        <f ca="1">IF(H15&lt;&gt;"",
OFFSET(数出表_Excel【15時】!$A$1,A15+3,H15-1),"")</f>
        <v/>
      </c>
      <c r="K15" t="str">
        <f ca="1">IF(H15&lt;&gt;"",
IF(AND(OFFSET(数出表_Excel【15時】!$A$1,A15+3,H15)&lt;&gt;"",OFFSET(数出表_Excel【15時】!$A$1,A15+3,H15)&lt;&gt;0),
OFFSET(数出表_Excel【15時】!$A$1,A15+3,H15),""),"")</f>
        <v/>
      </c>
      <c r="L15" s="209" t="str">
        <f t="array" aca="1" ref="L15" ca="1">IF(B15&lt;&gt;"",
IFERROR(MATCH(TRUE,ISNUMBER(INDIRECT("数出表_Excel【15時】!"&amp;SUBSTITUTE(ADDRESS(1,H15+2,4),"1","")&amp;(A15+4)&amp;":ZZ"&amp;(A15+4))),0)+H15+1,""),"")</f>
        <v/>
      </c>
      <c r="M15" t="str">
        <f ca="1">IF(L15&lt;&gt;"",
OFFSET(数出表_Excel【15時】!$A$1,2,L15-1)
&amp;IFERROR(OFFSET(数出表_Excel【15時】!$A$1,3,L15-1),"")
&amp;IFERROR(OFFSET(数出表_Excel【15時】!$A$1,4,L15-1),""),"")</f>
        <v/>
      </c>
      <c r="N15" t="str">
        <f ca="1">IF(L15&lt;&gt;"",
OFFSET(数出表_Excel【15時】!$A$1,A15+3,L15-1),"")</f>
        <v/>
      </c>
      <c r="O15" t="str">
        <f ca="1">IF(L15&lt;&gt;"",
IF(AND(OFFSET(数出表_Excel【15時】!$A$1,A15+3,L15)&lt;&gt;"",OFFSET(数出表_Excel【15時】!$A$1,A15+3,L15)&lt;&gt;0),
OFFSET(数出表_Excel【15時】!$A$1,A15+3,L15),""),"")</f>
        <v/>
      </c>
      <c r="AH15" t="str">
        <f t="array" aca="1" ref="AH15" ca="1">IFERROR(SMALL(IF(T$1:T$307&lt;&gt;0,T$1:T$307),ROW(AH15)),"")</f>
        <v/>
      </c>
      <c r="AI15" t="str">
        <f t="array" aca="1" ref="AI15" ca="1">IF($AH15&lt;&gt;"",
SUBSTITUTE(SUBSTITUTE(INDIRECT("B"&amp;$AH15&amp;"")," 週3ｺｰｽ","")," 週5ｺｰｽ",""),"")</f>
        <v/>
      </c>
    </row>
    <row r="16" spans="1:35">
      <c r="A16" t="str">
        <f t="shared" ca="1" si="0"/>
        <v/>
      </c>
      <c r="B16" t="str">
        <f t="array" aca="1" ref="B16" ca="1">IF(OR(COUNTIF(数出表_Excel【15時】!AO20,"*修正*"),COUNTIF(数出表_Excel【15時】!AO21,"*修正*")),
IF(ISEVEN(ROW()+4),INDIRECT("数出表_Excel【15時】!A"&amp;ROW()+4&amp;""),INDIRECT("数出表_Excel【15時】!A"&amp;ROW()+4-1&amp;"")),"")</f>
        <v/>
      </c>
      <c r="C16" t="str">
        <f t="array" aca="1" ref="C16" ca="1">IF(OR(COUNTIF(数出表_Excel【15時】!AO20,"*修正*"),COUNTIF(数出表_Excel【15時】!AO21,"*修正*")),
IF(ISEVEN(ROW()+4),INDIRECT("数出表_Excel【15時】!A"&amp;ROW()+4+1&amp;""),INDIRECT("数出表_Excel【15時】!A"&amp;ROW()+4&amp;"")),"")</f>
        <v/>
      </c>
      <c r="D16" s="209" t="str">
        <f t="array" aca="1" ref="D16" ca="1">IF(B16&lt;&gt;"",
IFERROR(MATCH(TRUE,ISNUMBER(INDIRECT("数出表_Excel【15時】!B"&amp;(A16+4)&amp;":ZZ"&amp;(A16+4))),0)+1,""),"")</f>
        <v/>
      </c>
      <c r="E16" t="str">
        <f ca="1">IF(D16&lt;&gt;"",
OFFSET(数出表_Excel【15時】!$A$1,2,D16-1)
&amp;IFERROR(OFFSET(数出表_Excel【15時】!$A$1,3,D16-1),"")
&amp;IFERROR(OFFSET(数出表_Excel【15時】!$A$1,4,D16-1),""),"")</f>
        <v/>
      </c>
      <c r="F16" t="str">
        <f ca="1">IF(D16&lt;&gt;"",
OFFSET(数出表_Excel【15時】!$A$1,A16+3,D16-1),"")</f>
        <v/>
      </c>
      <c r="G16" t="str">
        <f ca="1">IF(D16&lt;&gt;"",
IF(AND(OFFSET(数出表_Excel【15時】!$A$1,A16+3,D16)&lt;&gt;"",OFFSET(数出表_Excel【15時】!$A$1,A16+3,D16)&lt;&gt;0),
OFFSET(数出表_Excel【15時】!$A$1,A16+3,D16),""),"")</f>
        <v/>
      </c>
      <c r="H16" s="209" t="str">
        <f t="array" aca="1" ref="H16" ca="1">IF(B16&lt;&gt;"",
IFERROR(MATCH(TRUE,ISNUMBER(INDIRECT("数出表_Excel【15時】!"&amp;SUBSTITUTE(ADDRESS(1,D16+2,4),"1","")&amp;(A16+4)&amp;":ZZ"&amp;(A16+4))),0)+D16+1,""),"")</f>
        <v/>
      </c>
      <c r="I16" t="str">
        <f ca="1">IF(H16&lt;&gt;"",
OFFSET(数出表_Excel【15時】!$A$1,2,H16-1)
&amp;IFERROR(OFFSET(数出表_Excel【15時】!$A$1,3,H16-1),"")
&amp;IFERROR(OFFSET(数出表_Excel【15時】!$A$1,4,H16-1),""),"")</f>
        <v/>
      </c>
      <c r="J16" t="str">
        <f ca="1">IF(H16&lt;&gt;"",
OFFSET(数出表_Excel【15時】!$A$1,A16+3,H16-1),"")</f>
        <v/>
      </c>
      <c r="K16" t="str">
        <f ca="1">IF(H16&lt;&gt;"",
IF(AND(OFFSET(数出表_Excel【15時】!$A$1,A16+3,H16)&lt;&gt;"",OFFSET(数出表_Excel【15時】!$A$1,A16+3,H16)&lt;&gt;0),
OFFSET(数出表_Excel【15時】!$A$1,A16+3,H16),""),"")</f>
        <v/>
      </c>
      <c r="L16" s="209" t="str">
        <f t="array" aca="1" ref="L16" ca="1">IF(B16&lt;&gt;"",
IFERROR(MATCH(TRUE,ISNUMBER(INDIRECT("数出表_Excel【15時】!"&amp;SUBSTITUTE(ADDRESS(1,H16+2,4),"1","")&amp;(A16+4)&amp;":ZZ"&amp;(A16+4))),0)+H16+1,""),"")</f>
        <v/>
      </c>
      <c r="M16" t="str">
        <f ca="1">IF(L16&lt;&gt;"",
OFFSET(数出表_Excel【15時】!$A$1,2,L16-1)
&amp;IFERROR(OFFSET(数出表_Excel【15時】!$A$1,3,L16-1),"")
&amp;IFERROR(OFFSET(数出表_Excel【15時】!$A$1,4,L16-1),""),"")</f>
        <v/>
      </c>
      <c r="N16" t="str">
        <f ca="1">IF(L16&lt;&gt;"",
OFFSET(数出表_Excel【15時】!$A$1,A16+3,L16-1),"")</f>
        <v/>
      </c>
      <c r="O16" t="str">
        <f ca="1">IF(L16&lt;&gt;"",
IF(AND(OFFSET(数出表_Excel【15時】!$A$1,A16+3,L16)&lt;&gt;"",OFFSET(数出表_Excel【15時】!$A$1,A16+3,L16)&lt;&gt;0),
OFFSET(数出表_Excel【15時】!$A$1,A16+3,L16),""),"")</f>
        <v/>
      </c>
      <c r="Q16" t="str">
        <f ca="1">IF(C16&lt;&gt;"",
IF(E16&lt;&gt;"",1,0)+IF(I16&lt;&gt;"",1,0)+IF(M16&lt;&gt;"",1,0),"")</f>
        <v/>
      </c>
      <c r="AH16" t="str">
        <f t="array" aca="1" ref="AH16" ca="1">IFERROR(SMALL(IF(T$1:T$307&lt;&gt;0,T$1:T$307),ROW(AH16)),"")</f>
        <v/>
      </c>
      <c r="AI16" t="str">
        <f t="array" aca="1" ref="AI16" ca="1">IF($AH16&lt;&gt;"",
SUBSTITUTE(SUBSTITUTE(INDIRECT("B"&amp;$AH16&amp;"")," 週3ｺｰｽ","")," 週5ｺｰｽ",""),"")</f>
        <v/>
      </c>
    </row>
    <row r="17" spans="1:35">
      <c r="A17" t="str">
        <f t="shared" ca="1" si="0"/>
        <v/>
      </c>
      <c r="B17" t="str">
        <f t="array" aca="1" ref="B17" ca="1">IF(OR(COUNTIF(数出表_Excel【15時】!AO20,"*修正*"),COUNTIF(数出表_Excel【15時】!AO21,"*修正*")),
IF(ISEVEN(ROW()+4),INDIRECT("数出表_Excel【15時】!A"&amp;ROW()+4&amp;""),INDIRECT("数出表_Excel【15時】!A"&amp;ROW()+4-1&amp;"")),"")</f>
        <v/>
      </c>
      <c r="C17" t="str">
        <f t="array" aca="1" ref="C17" ca="1">IF(OR(COUNTIF(数出表_Excel【15時】!AO20,"*修正*"),COUNTIF(数出表_Excel【15時】!AO21,"*修正*")),
IF(ISEVEN(ROW()+4),INDIRECT("数出表_Excel【15時】!A"&amp;ROW()+4+1&amp;""),INDIRECT("数出表_Excel【15時】!A"&amp;ROW()+4&amp;"")),"")</f>
        <v/>
      </c>
      <c r="D17" s="209" t="str">
        <f t="array" aca="1" ref="D17" ca="1">IF(B17&lt;&gt;"",
IFERROR(MATCH(TRUE,ISNUMBER(INDIRECT("数出表_Excel【15時】!B"&amp;(A17+4)&amp;":ZZ"&amp;(A17+4))),0)+1,""),"")</f>
        <v/>
      </c>
      <c r="E17" t="str">
        <f ca="1">IF(D17&lt;&gt;"",
OFFSET(数出表_Excel【15時】!$A$1,2,D17-1)
&amp;IFERROR(OFFSET(数出表_Excel【15時】!$A$1,3,D17-1),"")
&amp;IFERROR(OFFSET(数出表_Excel【15時】!$A$1,4,D17-1),""),"")</f>
        <v/>
      </c>
      <c r="F17" t="str">
        <f ca="1">IF(D17&lt;&gt;"",
OFFSET(数出表_Excel【15時】!$A$1,A17+3,D17-1),"")</f>
        <v/>
      </c>
      <c r="G17" t="str">
        <f ca="1">IF(D17&lt;&gt;"",
IF(AND(OFFSET(数出表_Excel【15時】!$A$1,A17+3,D17)&lt;&gt;"",OFFSET(数出表_Excel【15時】!$A$1,A17+3,D17)&lt;&gt;0),
OFFSET(数出表_Excel【15時】!$A$1,A17+3,D17),""),"")</f>
        <v/>
      </c>
      <c r="H17" s="209" t="str">
        <f t="array" aca="1" ref="H17" ca="1">IF(B17&lt;&gt;"",
IFERROR(MATCH(TRUE,ISNUMBER(INDIRECT("数出表_Excel【15時】!"&amp;SUBSTITUTE(ADDRESS(1,D17+2,4),"1","")&amp;(A17+4)&amp;":ZZ"&amp;(A17+4))),0)+D17+1,""),"")</f>
        <v/>
      </c>
      <c r="I17" t="str">
        <f ca="1">IF(H17&lt;&gt;"",
OFFSET(数出表_Excel【15時】!$A$1,2,H17-1)
&amp;IFERROR(OFFSET(数出表_Excel【15時】!$A$1,3,H17-1),"")
&amp;IFERROR(OFFSET(数出表_Excel【15時】!$A$1,4,H17-1),""),"")</f>
        <v/>
      </c>
      <c r="J17" t="str">
        <f ca="1">IF(H17&lt;&gt;"",
OFFSET(数出表_Excel【15時】!$A$1,A17+3,H17-1),"")</f>
        <v/>
      </c>
      <c r="K17" t="str">
        <f ca="1">IF(H17&lt;&gt;"",
IF(AND(OFFSET(数出表_Excel【15時】!$A$1,A17+3,H17)&lt;&gt;"",OFFSET(数出表_Excel【15時】!$A$1,A17+3,H17)&lt;&gt;0),
OFFSET(数出表_Excel【15時】!$A$1,A17+3,H17),""),"")</f>
        <v/>
      </c>
      <c r="L17" s="209" t="str">
        <f t="array" aca="1" ref="L17" ca="1">IF(B17&lt;&gt;"",
IFERROR(MATCH(TRUE,ISNUMBER(INDIRECT("数出表_Excel【15時】!"&amp;SUBSTITUTE(ADDRESS(1,H17+2,4),"1","")&amp;(A17+4)&amp;":ZZ"&amp;(A17+4))),0)+H17+1,""),"")</f>
        <v/>
      </c>
      <c r="M17" t="str">
        <f ca="1">IF(L17&lt;&gt;"",
OFFSET(数出表_Excel【15時】!$A$1,2,L17-1)
&amp;IFERROR(OFFSET(数出表_Excel【15時】!$A$1,3,L17-1),"")
&amp;IFERROR(OFFSET(数出表_Excel【15時】!$A$1,4,L17-1),""),"")</f>
        <v/>
      </c>
      <c r="N17" t="str">
        <f ca="1">IF(L17&lt;&gt;"",
OFFSET(数出表_Excel【15時】!$A$1,A17+3,L17-1),"")</f>
        <v/>
      </c>
      <c r="O17" t="str">
        <f ca="1">IF(L17&lt;&gt;"",
IF(AND(OFFSET(数出表_Excel【15時】!$A$1,A17+3,L17)&lt;&gt;"",OFFSET(数出表_Excel【15時】!$A$1,A17+3,L17)&lt;&gt;0),
OFFSET(数出表_Excel【15時】!$A$1,A17+3,L17),""),"")</f>
        <v/>
      </c>
      <c r="AH17" t="str">
        <f t="array" aca="1" ref="AH17" ca="1">IFERROR(SMALL(IF(T$1:T$307&lt;&gt;0,T$1:T$307),ROW(AH17)),"")</f>
        <v/>
      </c>
      <c r="AI17" t="str">
        <f t="array" aca="1" ref="AI17" ca="1">IF($AH17&lt;&gt;"",
SUBSTITUTE(SUBSTITUTE(INDIRECT("B"&amp;$AH17&amp;"")," 週3ｺｰｽ","")," 週5ｺｰｽ",""),"")</f>
        <v/>
      </c>
    </row>
    <row r="18" spans="1:35">
      <c r="A18" t="str">
        <f t="shared" ca="1" si="0"/>
        <v/>
      </c>
      <c r="B18" t="str">
        <f t="array" aca="1" ref="B18" ca="1">IF(OR(COUNTIF(数出表_Excel【15時】!AO22,"*修正*"),COUNTIF(数出表_Excel【15時】!AO23,"*修正*")),
IF(ISEVEN(ROW()+4),INDIRECT("数出表_Excel【15時】!A"&amp;ROW()+4&amp;""),INDIRECT("数出表_Excel【15時】!A"&amp;ROW()+4-1&amp;"")),"")</f>
        <v/>
      </c>
      <c r="C18" t="str">
        <f t="array" aca="1" ref="C18" ca="1">IF(OR(COUNTIF(数出表_Excel【15時】!AO22,"*修正*"),COUNTIF(数出表_Excel【15時】!AO23,"*修正*")),
IF(ISEVEN(ROW()+4),INDIRECT("数出表_Excel【15時】!A"&amp;ROW()+4+1&amp;""),INDIRECT("数出表_Excel【15時】!A"&amp;ROW()+4&amp;"")),"")</f>
        <v/>
      </c>
      <c r="D18" s="209" t="str">
        <f t="array" aca="1" ref="D18" ca="1">IF(B18&lt;&gt;"",
IFERROR(MATCH(TRUE,ISNUMBER(INDIRECT("数出表_Excel【15時】!B"&amp;(A18+4)&amp;":ZZ"&amp;(A18+4))),0)+1,""),"")</f>
        <v/>
      </c>
      <c r="E18" t="str">
        <f ca="1">IF(D18&lt;&gt;"",
OFFSET(数出表_Excel【15時】!$A$1,2,D18-1)
&amp;IFERROR(OFFSET(数出表_Excel【15時】!$A$1,3,D18-1),"")
&amp;IFERROR(OFFSET(数出表_Excel【15時】!$A$1,4,D18-1),""),"")</f>
        <v/>
      </c>
      <c r="F18" t="str">
        <f ca="1">IF(D18&lt;&gt;"",
OFFSET(数出表_Excel【15時】!$A$1,A18+3,D18-1),"")</f>
        <v/>
      </c>
      <c r="G18" t="str">
        <f ca="1">IF(D18&lt;&gt;"",
IF(AND(OFFSET(数出表_Excel【15時】!$A$1,A18+3,D18)&lt;&gt;"",OFFSET(数出表_Excel【15時】!$A$1,A18+3,D18)&lt;&gt;0),
OFFSET(数出表_Excel【15時】!$A$1,A18+3,D18),""),"")</f>
        <v/>
      </c>
      <c r="H18" s="209" t="str">
        <f t="array" aca="1" ref="H18" ca="1">IF(B18&lt;&gt;"",
IFERROR(MATCH(TRUE,ISNUMBER(INDIRECT("数出表_Excel【15時】!"&amp;SUBSTITUTE(ADDRESS(1,D18+2,4),"1","")&amp;(A18+4)&amp;":ZZ"&amp;(A18+4))),0)+D18+1,""),"")</f>
        <v/>
      </c>
      <c r="I18" t="str">
        <f ca="1">IF(H18&lt;&gt;"",
OFFSET(数出表_Excel【15時】!$A$1,2,H18-1)
&amp;IFERROR(OFFSET(数出表_Excel【15時】!$A$1,3,H18-1),"")
&amp;IFERROR(OFFSET(数出表_Excel【15時】!$A$1,4,H18-1),""),"")</f>
        <v/>
      </c>
      <c r="J18" t="str">
        <f ca="1">IF(H18&lt;&gt;"",
OFFSET(数出表_Excel【15時】!$A$1,A18+3,H18-1),"")</f>
        <v/>
      </c>
      <c r="K18" t="str">
        <f ca="1">IF(H18&lt;&gt;"",
IF(AND(OFFSET(数出表_Excel【15時】!$A$1,A18+3,H18)&lt;&gt;"",OFFSET(数出表_Excel【15時】!$A$1,A18+3,H18)&lt;&gt;0),
OFFSET(数出表_Excel【15時】!$A$1,A18+3,H18),""),"")</f>
        <v/>
      </c>
      <c r="L18" s="209" t="str">
        <f t="array" aca="1" ref="L18" ca="1">IF(B18&lt;&gt;"",
IFERROR(MATCH(TRUE,ISNUMBER(INDIRECT("数出表_Excel【15時】!"&amp;SUBSTITUTE(ADDRESS(1,H18+2,4),"1","")&amp;(A18+4)&amp;":ZZ"&amp;(A18+4))),0)+H18+1,""),"")</f>
        <v/>
      </c>
      <c r="M18" t="str">
        <f ca="1">IF(L18&lt;&gt;"",
OFFSET(数出表_Excel【15時】!$A$1,2,L18-1)
&amp;IFERROR(OFFSET(数出表_Excel【15時】!$A$1,3,L18-1),"")
&amp;IFERROR(OFFSET(数出表_Excel【15時】!$A$1,4,L18-1),""),"")</f>
        <v/>
      </c>
      <c r="N18" t="str">
        <f ca="1">IF(L18&lt;&gt;"",
OFFSET(数出表_Excel【15時】!$A$1,A18+3,L18-1),"")</f>
        <v/>
      </c>
      <c r="O18" t="str">
        <f ca="1">IF(L18&lt;&gt;"",
IF(AND(OFFSET(数出表_Excel【15時】!$A$1,A18+3,L18)&lt;&gt;"",OFFSET(数出表_Excel【15時】!$A$1,A18+3,L18)&lt;&gt;0),
OFFSET(数出表_Excel【15時】!$A$1,A18+3,L18),""),"")</f>
        <v/>
      </c>
      <c r="Q18" t="str">
        <f ca="1">IF(C18&lt;&gt;"",
IF(E18&lt;&gt;"",1,0)+IF(I18&lt;&gt;"",1,0)+IF(M18&lt;&gt;"",1,0),"")</f>
        <v/>
      </c>
      <c r="AH18" t="str">
        <f t="array" aca="1" ref="AH18" ca="1">IFERROR(SMALL(IF(T$1:T$307&lt;&gt;0,T$1:T$307),ROW(AH18)),"")</f>
        <v/>
      </c>
      <c r="AI18" t="str">
        <f t="array" aca="1" ref="AI18" ca="1">IF($AH18&lt;&gt;"",
SUBSTITUTE(SUBSTITUTE(INDIRECT("B"&amp;$AH18&amp;"")," 週3ｺｰｽ","")," 週5ｺｰｽ",""),"")</f>
        <v/>
      </c>
    </row>
    <row r="19" spans="1:35">
      <c r="A19" t="str">
        <f t="shared" ca="1" si="0"/>
        <v/>
      </c>
      <c r="B19" t="str">
        <f t="array" aca="1" ref="B19" ca="1">IF(OR(COUNTIF(数出表_Excel【15時】!AO22,"*修正*"),COUNTIF(数出表_Excel【15時】!AO23,"*修正*")),
IF(ISEVEN(ROW()+4),INDIRECT("数出表_Excel【15時】!A"&amp;ROW()+4&amp;""),INDIRECT("数出表_Excel【15時】!A"&amp;ROW()+4-1&amp;"")),"")</f>
        <v/>
      </c>
      <c r="C19" t="str">
        <f t="array" aca="1" ref="C19" ca="1">IF(OR(COUNTIF(数出表_Excel【15時】!AO22,"*修正*"),COUNTIF(数出表_Excel【15時】!AO23,"*修正*")),
IF(ISEVEN(ROW()+4),INDIRECT("数出表_Excel【15時】!A"&amp;ROW()+4+1&amp;""),INDIRECT("数出表_Excel【15時】!A"&amp;ROW()+4&amp;"")),"")</f>
        <v/>
      </c>
      <c r="D19" s="209" t="str">
        <f t="array" aca="1" ref="D19" ca="1">IF(B19&lt;&gt;"",
IFERROR(MATCH(TRUE,ISNUMBER(INDIRECT("数出表_Excel【15時】!B"&amp;(A19+4)&amp;":ZZ"&amp;(A19+4))),0)+1,""),"")</f>
        <v/>
      </c>
      <c r="E19" t="str">
        <f ca="1">IF(D19&lt;&gt;"",
OFFSET(数出表_Excel【15時】!$A$1,2,D19-1)
&amp;IFERROR(OFFSET(数出表_Excel【15時】!$A$1,3,D19-1),"")
&amp;IFERROR(OFFSET(数出表_Excel【15時】!$A$1,4,D19-1),""),"")</f>
        <v/>
      </c>
      <c r="F19" t="str">
        <f ca="1">IF(D19&lt;&gt;"",
OFFSET(数出表_Excel【15時】!$A$1,A19+3,D19-1),"")</f>
        <v/>
      </c>
      <c r="G19" t="str">
        <f ca="1">IF(D19&lt;&gt;"",
IF(AND(OFFSET(数出表_Excel【15時】!$A$1,A19+3,D19)&lt;&gt;"",OFFSET(数出表_Excel【15時】!$A$1,A19+3,D19)&lt;&gt;0),
OFFSET(数出表_Excel【15時】!$A$1,A19+3,D19),""),"")</f>
        <v/>
      </c>
      <c r="H19" s="209" t="str">
        <f t="array" aca="1" ref="H19" ca="1">IF(B19&lt;&gt;"",
IFERROR(MATCH(TRUE,ISNUMBER(INDIRECT("数出表_Excel【15時】!"&amp;SUBSTITUTE(ADDRESS(1,D19+2,4),"1","")&amp;(A19+4)&amp;":ZZ"&amp;(A19+4))),0)+D19+1,""),"")</f>
        <v/>
      </c>
      <c r="I19" t="str">
        <f ca="1">IF(H19&lt;&gt;"",
OFFSET(数出表_Excel【15時】!$A$1,2,H19-1)
&amp;IFERROR(OFFSET(数出表_Excel【15時】!$A$1,3,H19-1),"")
&amp;IFERROR(OFFSET(数出表_Excel【15時】!$A$1,4,H19-1),""),"")</f>
        <v/>
      </c>
      <c r="J19" t="str">
        <f ca="1">IF(H19&lt;&gt;"",
OFFSET(数出表_Excel【15時】!$A$1,A19+3,H19-1),"")</f>
        <v/>
      </c>
      <c r="K19" t="str">
        <f ca="1">IF(H19&lt;&gt;"",
IF(AND(OFFSET(数出表_Excel【15時】!$A$1,A19+3,H19)&lt;&gt;"",OFFSET(数出表_Excel【15時】!$A$1,A19+3,H19)&lt;&gt;0),
OFFSET(数出表_Excel【15時】!$A$1,A19+3,H19),""),"")</f>
        <v/>
      </c>
      <c r="L19" s="209" t="str">
        <f t="array" aca="1" ref="L19" ca="1">IF(B19&lt;&gt;"",
IFERROR(MATCH(TRUE,ISNUMBER(INDIRECT("数出表_Excel【15時】!"&amp;SUBSTITUTE(ADDRESS(1,H19+2,4),"1","")&amp;(A19+4)&amp;":ZZ"&amp;(A19+4))),0)+H19+1,""),"")</f>
        <v/>
      </c>
      <c r="M19" t="str">
        <f ca="1">IF(L19&lt;&gt;"",
OFFSET(数出表_Excel【15時】!$A$1,2,L19-1)
&amp;IFERROR(OFFSET(数出表_Excel【15時】!$A$1,3,L19-1),"")
&amp;IFERROR(OFFSET(数出表_Excel【15時】!$A$1,4,L19-1),""),"")</f>
        <v/>
      </c>
      <c r="N19" t="str">
        <f ca="1">IF(L19&lt;&gt;"",
OFFSET(数出表_Excel【15時】!$A$1,A19+3,L19-1),"")</f>
        <v/>
      </c>
      <c r="O19" t="str">
        <f ca="1">IF(L19&lt;&gt;"",
IF(AND(OFFSET(数出表_Excel【15時】!$A$1,A19+3,L19)&lt;&gt;"",OFFSET(数出表_Excel【15時】!$A$1,A19+3,L19)&lt;&gt;0),
OFFSET(数出表_Excel【15時】!$A$1,A19+3,L19),""),"")</f>
        <v/>
      </c>
      <c r="AH19" t="str">
        <f t="array" aca="1" ref="AH19" ca="1">IFERROR(SMALL(IF(T$1:T$307&lt;&gt;0,T$1:T$307),ROW(AH19)),"")</f>
        <v/>
      </c>
      <c r="AI19" t="str">
        <f t="array" aca="1" ref="AI19" ca="1">IF($AH19&lt;&gt;"",
SUBSTITUTE(SUBSTITUTE(INDIRECT("B"&amp;$AH19&amp;"")," 週3ｺｰｽ","")," 週5ｺｰｽ",""),"")</f>
        <v/>
      </c>
    </row>
    <row r="20" spans="1:35">
      <c r="A20" t="str">
        <f t="shared" ca="1" si="0"/>
        <v/>
      </c>
      <c r="B20" t="str">
        <f t="array" aca="1" ref="B20" ca="1">IF(OR(COUNTIF(数出表_Excel【15時】!AO24,"*修正*"),COUNTIF(数出表_Excel【15時】!AO25,"*修正*")),
IF(ISEVEN(ROW()+4),INDIRECT("数出表_Excel【15時】!A"&amp;ROW()+4&amp;""),INDIRECT("数出表_Excel【15時】!A"&amp;ROW()+4-1&amp;"")),"")</f>
        <v/>
      </c>
      <c r="C20" t="str">
        <f t="array" aca="1" ref="C20" ca="1">IF(OR(COUNTIF(数出表_Excel【15時】!AO24,"*修正*"),COUNTIF(数出表_Excel【15時】!AO25,"*修正*")),
IF(ISEVEN(ROW()+4),INDIRECT("数出表_Excel【15時】!A"&amp;ROW()+4+1&amp;""),INDIRECT("数出表_Excel【15時】!A"&amp;ROW()+4&amp;"")),"")</f>
        <v/>
      </c>
      <c r="D20" s="209" t="str">
        <f t="array" aca="1" ref="D20" ca="1">IF(B20&lt;&gt;"",
IFERROR(MATCH(TRUE,ISNUMBER(INDIRECT("数出表_Excel【15時】!B"&amp;(A20+4)&amp;":ZZ"&amp;(A20+4))),0)+1,""),"")</f>
        <v/>
      </c>
      <c r="E20" t="str">
        <f ca="1">IF(D20&lt;&gt;"",
OFFSET(数出表_Excel【15時】!$A$1,2,D20-1)
&amp;IFERROR(OFFSET(数出表_Excel【15時】!$A$1,3,D20-1),"")
&amp;IFERROR(OFFSET(数出表_Excel【15時】!$A$1,4,D20-1),""),"")</f>
        <v/>
      </c>
      <c r="F20" t="str">
        <f ca="1">IF(D20&lt;&gt;"",
OFFSET(数出表_Excel【15時】!$A$1,A20+3,D20-1),"")</f>
        <v/>
      </c>
      <c r="G20" t="str">
        <f ca="1">IF(D20&lt;&gt;"",
IF(AND(OFFSET(数出表_Excel【15時】!$A$1,A20+3,D20)&lt;&gt;"",OFFSET(数出表_Excel【15時】!$A$1,A20+3,D20)&lt;&gt;0),
OFFSET(数出表_Excel【15時】!$A$1,A20+3,D20),""),"")</f>
        <v/>
      </c>
      <c r="H20" s="209" t="str">
        <f t="array" aca="1" ref="H20" ca="1">IF(B20&lt;&gt;"",
IFERROR(MATCH(TRUE,ISNUMBER(INDIRECT("数出表_Excel【15時】!"&amp;SUBSTITUTE(ADDRESS(1,D20+2,4),"1","")&amp;(A20+4)&amp;":ZZ"&amp;(A20+4))),0)+D20+1,""),"")</f>
        <v/>
      </c>
      <c r="I20" t="str">
        <f ca="1">IF(H20&lt;&gt;"",
OFFSET(数出表_Excel【15時】!$A$1,2,H20-1)
&amp;IFERROR(OFFSET(数出表_Excel【15時】!$A$1,3,H20-1),"")
&amp;IFERROR(OFFSET(数出表_Excel【15時】!$A$1,4,H20-1),""),"")</f>
        <v/>
      </c>
      <c r="J20" t="str">
        <f ca="1">IF(H20&lt;&gt;"",
OFFSET(数出表_Excel【15時】!$A$1,A20+3,H20-1),"")</f>
        <v/>
      </c>
      <c r="K20" t="str">
        <f ca="1">IF(H20&lt;&gt;"",
IF(AND(OFFSET(数出表_Excel【15時】!$A$1,A20+3,H20)&lt;&gt;"",OFFSET(数出表_Excel【15時】!$A$1,A20+3,H20)&lt;&gt;0),
OFFSET(数出表_Excel【15時】!$A$1,A20+3,H20),""),"")</f>
        <v/>
      </c>
      <c r="L20" s="209" t="str">
        <f t="array" aca="1" ref="L20" ca="1">IF(B20&lt;&gt;"",
IFERROR(MATCH(TRUE,ISNUMBER(INDIRECT("数出表_Excel【15時】!"&amp;SUBSTITUTE(ADDRESS(1,H20+2,4),"1","")&amp;(A20+4)&amp;":ZZ"&amp;(A20+4))),0)+H20+1,""),"")</f>
        <v/>
      </c>
      <c r="M20" t="str">
        <f ca="1">IF(L20&lt;&gt;"",
OFFSET(数出表_Excel【15時】!$A$1,2,L20-1)
&amp;IFERROR(OFFSET(数出表_Excel【15時】!$A$1,3,L20-1),"")
&amp;IFERROR(OFFSET(数出表_Excel【15時】!$A$1,4,L20-1),""),"")</f>
        <v/>
      </c>
      <c r="N20" t="str">
        <f ca="1">IF(L20&lt;&gt;"",
OFFSET(数出表_Excel【15時】!$A$1,A20+3,L20-1),"")</f>
        <v/>
      </c>
      <c r="O20" t="str">
        <f ca="1">IF(L20&lt;&gt;"",
IF(AND(OFFSET(数出表_Excel【15時】!$A$1,A20+3,L20)&lt;&gt;"",OFFSET(数出表_Excel【15時】!$A$1,A20+3,L20)&lt;&gt;0),
OFFSET(数出表_Excel【15時】!$A$1,A20+3,L20),""),"")</f>
        <v/>
      </c>
      <c r="Q20" t="str">
        <f ca="1">IF(C20&lt;&gt;"",
IF(E20&lt;&gt;"",1,0)+IF(I20&lt;&gt;"",1,0)+IF(M20&lt;&gt;"",1,0),"")</f>
        <v/>
      </c>
      <c r="AH20" t="str">
        <f t="array" aca="1" ref="AH20" ca="1">IFERROR(SMALL(IF(T$1:T$307&lt;&gt;0,T$1:T$307),ROW(AH20)),"")</f>
        <v/>
      </c>
      <c r="AI20" t="str">
        <f t="array" aca="1" ref="AI20" ca="1">IF($AH20&lt;&gt;"",
SUBSTITUTE(SUBSTITUTE(INDIRECT("B"&amp;$AH20&amp;"")," 週3ｺｰｽ","")," 週5ｺｰｽ",""),"")</f>
        <v/>
      </c>
    </row>
    <row r="21" spans="1:35">
      <c r="A21" t="str">
        <f t="shared" ca="1" si="0"/>
        <v/>
      </c>
      <c r="B21" t="str">
        <f t="array" aca="1" ref="B21" ca="1">IF(OR(COUNTIF(数出表_Excel【15時】!AO24,"*修正*"),COUNTIF(数出表_Excel【15時】!AO25,"*修正*")),
IF(ISEVEN(ROW()+4),INDIRECT("数出表_Excel【15時】!A"&amp;ROW()+4&amp;""),INDIRECT("数出表_Excel【15時】!A"&amp;ROW()+4-1&amp;"")),"")</f>
        <v/>
      </c>
      <c r="C21" t="str">
        <f t="array" aca="1" ref="C21" ca="1">IF(OR(COUNTIF(数出表_Excel【15時】!AO24,"*修正*"),COUNTIF(数出表_Excel【15時】!AO25,"*修正*")),
IF(ISEVEN(ROW()+4),INDIRECT("数出表_Excel【15時】!A"&amp;ROW()+4+1&amp;""),INDIRECT("数出表_Excel【15時】!A"&amp;ROW()+4&amp;"")),"")</f>
        <v/>
      </c>
      <c r="D21" s="209" t="str">
        <f t="array" aca="1" ref="D21" ca="1">IF(B21&lt;&gt;"",
IFERROR(MATCH(TRUE,ISNUMBER(INDIRECT("数出表_Excel【15時】!B"&amp;(A21+4)&amp;":ZZ"&amp;(A21+4))),0)+1,""),"")</f>
        <v/>
      </c>
      <c r="E21" t="str">
        <f ca="1">IF(D21&lt;&gt;"",
OFFSET(数出表_Excel【15時】!$A$1,2,D21-1)
&amp;IFERROR(OFFSET(数出表_Excel【15時】!$A$1,3,D21-1),"")
&amp;IFERROR(OFFSET(数出表_Excel【15時】!$A$1,4,D21-1),""),"")</f>
        <v/>
      </c>
      <c r="F21" t="str">
        <f ca="1">IF(D21&lt;&gt;"",
OFFSET(数出表_Excel【15時】!$A$1,A21+3,D21-1),"")</f>
        <v/>
      </c>
      <c r="G21" t="str">
        <f ca="1">IF(D21&lt;&gt;"",
IF(AND(OFFSET(数出表_Excel【15時】!$A$1,A21+3,D21)&lt;&gt;"",OFFSET(数出表_Excel【15時】!$A$1,A21+3,D21)&lt;&gt;0),
OFFSET(数出表_Excel【15時】!$A$1,A21+3,D21),""),"")</f>
        <v/>
      </c>
      <c r="H21" s="209" t="str">
        <f t="array" aca="1" ref="H21" ca="1">IF(B21&lt;&gt;"",
IFERROR(MATCH(TRUE,ISNUMBER(INDIRECT("数出表_Excel【15時】!"&amp;SUBSTITUTE(ADDRESS(1,D21+2,4),"1","")&amp;(A21+4)&amp;":ZZ"&amp;(A21+4))),0)+D21+1,""),"")</f>
        <v/>
      </c>
      <c r="I21" t="str">
        <f ca="1">IF(H21&lt;&gt;"",
OFFSET(数出表_Excel【15時】!$A$1,2,H21-1)
&amp;IFERROR(OFFSET(数出表_Excel【15時】!$A$1,3,H21-1),"")
&amp;IFERROR(OFFSET(数出表_Excel【15時】!$A$1,4,H21-1),""),"")</f>
        <v/>
      </c>
      <c r="J21" t="str">
        <f ca="1">IF(H21&lt;&gt;"",
OFFSET(数出表_Excel【15時】!$A$1,A21+3,H21-1),"")</f>
        <v/>
      </c>
      <c r="K21" t="str">
        <f ca="1">IF(H21&lt;&gt;"",
IF(AND(OFFSET(数出表_Excel【15時】!$A$1,A21+3,H21)&lt;&gt;"",OFFSET(数出表_Excel【15時】!$A$1,A21+3,H21)&lt;&gt;0),
OFFSET(数出表_Excel【15時】!$A$1,A21+3,H21),""),"")</f>
        <v/>
      </c>
      <c r="L21" s="209" t="str">
        <f t="array" aca="1" ref="L21" ca="1">IF(B21&lt;&gt;"",
IFERROR(MATCH(TRUE,ISNUMBER(INDIRECT("数出表_Excel【15時】!"&amp;SUBSTITUTE(ADDRESS(1,H21+2,4),"1","")&amp;(A21+4)&amp;":ZZ"&amp;(A21+4))),0)+H21+1,""),"")</f>
        <v/>
      </c>
      <c r="M21" t="str">
        <f ca="1">IF(L21&lt;&gt;"",
OFFSET(数出表_Excel【15時】!$A$1,2,L21-1)
&amp;IFERROR(OFFSET(数出表_Excel【15時】!$A$1,3,L21-1),"")
&amp;IFERROR(OFFSET(数出表_Excel【15時】!$A$1,4,L21-1),""),"")</f>
        <v/>
      </c>
      <c r="N21" t="str">
        <f ca="1">IF(L21&lt;&gt;"",
OFFSET(数出表_Excel【15時】!$A$1,A21+3,L21-1),"")</f>
        <v/>
      </c>
      <c r="O21" t="str">
        <f ca="1">IF(L21&lt;&gt;"",
IF(AND(OFFSET(数出表_Excel【15時】!$A$1,A21+3,L21)&lt;&gt;"",OFFSET(数出表_Excel【15時】!$A$1,A21+3,L21)&lt;&gt;0),
OFFSET(数出表_Excel【15時】!$A$1,A21+3,L21),""),"")</f>
        <v/>
      </c>
      <c r="AH21" t="str">
        <f t="array" aca="1" ref="AH21" ca="1">IFERROR(SMALL(IF(T$1:T$307&lt;&gt;0,T$1:T$307),ROW(AH21)),"")</f>
        <v/>
      </c>
      <c r="AI21" t="str">
        <f t="array" aca="1" ref="AI21" ca="1">IF($AH21&lt;&gt;"",
SUBSTITUTE(SUBSTITUTE(INDIRECT("B"&amp;$AH21&amp;"")," 週3ｺｰｽ","")," 週5ｺｰｽ",""),"")</f>
        <v/>
      </c>
    </row>
    <row r="22" spans="1:35">
      <c r="A22" t="str">
        <f t="shared" ca="1" si="0"/>
        <v/>
      </c>
      <c r="B22" t="str">
        <f t="array" aca="1" ref="B22" ca="1">IF(OR(COUNTIF(数出表_Excel【15時】!AO26,"*修正*"),COUNTIF(数出表_Excel【15時】!AO27,"*修正*")),
IF(ISEVEN(ROW()+4),INDIRECT("数出表_Excel【15時】!A"&amp;ROW()+4&amp;""),INDIRECT("数出表_Excel【15時】!A"&amp;ROW()+4-1&amp;"")),"")</f>
        <v/>
      </c>
      <c r="C22" t="str">
        <f t="array" aca="1" ref="C22" ca="1">IF(OR(COUNTIF(数出表_Excel【15時】!AO26,"*修正*"),COUNTIF(数出表_Excel【15時】!AO27,"*修正*")),
IF(ISEVEN(ROW()+4),INDIRECT("数出表_Excel【15時】!A"&amp;ROW()+4+1&amp;""),INDIRECT("数出表_Excel【15時】!A"&amp;ROW()+4&amp;"")),"")</f>
        <v/>
      </c>
      <c r="D22" s="209" t="str">
        <f t="array" aca="1" ref="D22" ca="1">IF(B22&lt;&gt;"",
IFERROR(MATCH(TRUE,ISNUMBER(INDIRECT("数出表_Excel【15時】!B"&amp;(A22+4)&amp;":ZZ"&amp;(A22+4))),0)+1,""),"")</f>
        <v/>
      </c>
      <c r="E22" t="str">
        <f ca="1">IF(D22&lt;&gt;"",
OFFSET(数出表_Excel【15時】!$A$1,2,D22-1)
&amp;IFERROR(OFFSET(数出表_Excel【15時】!$A$1,3,D22-1),"")
&amp;IFERROR(OFFSET(数出表_Excel【15時】!$A$1,4,D22-1),""),"")</f>
        <v/>
      </c>
      <c r="F22" t="str">
        <f ca="1">IF(D22&lt;&gt;"",
OFFSET(数出表_Excel【15時】!$A$1,A22+3,D22-1),"")</f>
        <v/>
      </c>
      <c r="G22" t="str">
        <f ca="1">IF(D22&lt;&gt;"",
IF(AND(OFFSET(数出表_Excel【15時】!$A$1,A22+3,D22)&lt;&gt;"",OFFSET(数出表_Excel【15時】!$A$1,A22+3,D22)&lt;&gt;0),
OFFSET(数出表_Excel【15時】!$A$1,A22+3,D22),""),"")</f>
        <v/>
      </c>
      <c r="H22" s="209" t="str">
        <f t="array" aca="1" ref="H22" ca="1">IF(B22&lt;&gt;"",
IFERROR(MATCH(TRUE,ISNUMBER(INDIRECT("数出表_Excel【15時】!"&amp;SUBSTITUTE(ADDRESS(1,D22+2,4),"1","")&amp;(A22+4)&amp;":ZZ"&amp;(A22+4))),0)+D22+1,""),"")</f>
        <v/>
      </c>
      <c r="I22" t="str">
        <f ca="1">IF(H22&lt;&gt;"",
OFFSET(数出表_Excel【15時】!$A$1,2,H22-1)
&amp;IFERROR(OFFSET(数出表_Excel【15時】!$A$1,3,H22-1),"")
&amp;IFERROR(OFFSET(数出表_Excel【15時】!$A$1,4,H22-1),""),"")</f>
        <v/>
      </c>
      <c r="J22" t="str">
        <f ca="1">IF(H22&lt;&gt;"",
OFFSET(数出表_Excel【15時】!$A$1,A22+3,H22-1),"")</f>
        <v/>
      </c>
      <c r="K22" t="str">
        <f ca="1">IF(H22&lt;&gt;"",
IF(AND(OFFSET(数出表_Excel【15時】!$A$1,A22+3,H22)&lt;&gt;"",OFFSET(数出表_Excel【15時】!$A$1,A22+3,H22)&lt;&gt;0),
OFFSET(数出表_Excel【15時】!$A$1,A22+3,H22),""),"")</f>
        <v/>
      </c>
      <c r="L22" s="209" t="str">
        <f t="array" aca="1" ref="L22" ca="1">IF(B22&lt;&gt;"",
IFERROR(MATCH(TRUE,ISNUMBER(INDIRECT("数出表_Excel【15時】!"&amp;SUBSTITUTE(ADDRESS(1,H22+2,4),"1","")&amp;(A22+4)&amp;":ZZ"&amp;(A22+4))),0)+H22+1,""),"")</f>
        <v/>
      </c>
      <c r="M22" t="str">
        <f ca="1">IF(L22&lt;&gt;"",
OFFSET(数出表_Excel【15時】!$A$1,2,L22-1)
&amp;IFERROR(OFFSET(数出表_Excel【15時】!$A$1,3,L22-1),"")
&amp;IFERROR(OFFSET(数出表_Excel【15時】!$A$1,4,L22-1),""),"")</f>
        <v/>
      </c>
      <c r="N22" t="str">
        <f ca="1">IF(L22&lt;&gt;"",
OFFSET(数出表_Excel【15時】!$A$1,A22+3,L22-1),"")</f>
        <v/>
      </c>
      <c r="O22" t="str">
        <f ca="1">IF(L22&lt;&gt;"",
IF(AND(OFFSET(数出表_Excel【15時】!$A$1,A22+3,L22)&lt;&gt;"",OFFSET(数出表_Excel【15時】!$A$1,A22+3,L22)&lt;&gt;0),
OFFSET(数出表_Excel【15時】!$A$1,A22+3,L22),""),"")</f>
        <v/>
      </c>
      <c r="Q22" t="str">
        <f ca="1">IF(C22&lt;&gt;"",
IF(E22&lt;&gt;"",1,0)+IF(I22&lt;&gt;"",1,0)+IF(M22&lt;&gt;"",1,0),"")</f>
        <v/>
      </c>
      <c r="AH22" t="str">
        <f t="array" aca="1" ref="AH22" ca="1">IFERROR(SMALL(IF(T$1:T$307&lt;&gt;0,T$1:T$307),ROW(AH22)),"")</f>
        <v/>
      </c>
      <c r="AI22" t="str">
        <f t="array" aca="1" ref="AI22" ca="1">IF($AH22&lt;&gt;"",
SUBSTITUTE(SUBSTITUTE(INDIRECT("B"&amp;$AH22&amp;"")," 週3ｺｰｽ","")," 週5ｺｰｽ",""),"")</f>
        <v/>
      </c>
    </row>
    <row r="23" spans="1:35">
      <c r="A23" t="str">
        <f t="shared" ca="1" si="0"/>
        <v/>
      </c>
      <c r="B23" t="str">
        <f t="array" aca="1" ref="B23" ca="1">IF(OR(COUNTIF(数出表_Excel【15時】!AO26,"*修正*"),COUNTIF(数出表_Excel【15時】!AO27,"*修正*")),
IF(ISEVEN(ROW()+4),INDIRECT("数出表_Excel【15時】!A"&amp;ROW()+4&amp;""),INDIRECT("数出表_Excel【15時】!A"&amp;ROW()+4-1&amp;"")),"")</f>
        <v/>
      </c>
      <c r="C23" t="str">
        <f t="array" aca="1" ref="C23" ca="1">IF(OR(COUNTIF(数出表_Excel【15時】!AO26,"*修正*"),COUNTIF(数出表_Excel【15時】!AO27,"*修正*")),
IF(ISEVEN(ROW()+4),INDIRECT("数出表_Excel【15時】!A"&amp;ROW()+4+1&amp;""),INDIRECT("数出表_Excel【15時】!A"&amp;ROW()+4&amp;"")),"")</f>
        <v/>
      </c>
      <c r="D23" s="209" t="str">
        <f t="array" aca="1" ref="D23" ca="1">IF(B23&lt;&gt;"",
IFERROR(MATCH(TRUE,ISNUMBER(INDIRECT("数出表_Excel【15時】!B"&amp;(A23+4)&amp;":ZZ"&amp;(A23+4))),0)+1,""),"")</f>
        <v/>
      </c>
      <c r="E23" t="str">
        <f ca="1">IF(D23&lt;&gt;"",
OFFSET(数出表_Excel【15時】!$A$1,2,D23-1)
&amp;IFERROR(OFFSET(数出表_Excel【15時】!$A$1,3,D23-1),"")
&amp;IFERROR(OFFSET(数出表_Excel【15時】!$A$1,4,D23-1),""),"")</f>
        <v/>
      </c>
      <c r="F23" t="str">
        <f ca="1">IF(D23&lt;&gt;"",
OFFSET(数出表_Excel【15時】!$A$1,A23+3,D23-1),"")</f>
        <v/>
      </c>
      <c r="G23" t="str">
        <f ca="1">IF(D23&lt;&gt;"",
IF(AND(OFFSET(数出表_Excel【15時】!$A$1,A23+3,D23)&lt;&gt;"",OFFSET(数出表_Excel【15時】!$A$1,A23+3,D23)&lt;&gt;0),
OFFSET(数出表_Excel【15時】!$A$1,A23+3,D23),""),"")</f>
        <v/>
      </c>
      <c r="H23" s="209" t="str">
        <f t="array" aca="1" ref="H23" ca="1">IF(B23&lt;&gt;"",
IFERROR(MATCH(TRUE,ISNUMBER(INDIRECT("数出表_Excel【15時】!"&amp;SUBSTITUTE(ADDRESS(1,D23+2,4),"1","")&amp;(A23+4)&amp;":ZZ"&amp;(A23+4))),0)+D23+1,""),"")</f>
        <v/>
      </c>
      <c r="I23" t="str">
        <f ca="1">IF(H23&lt;&gt;"",
OFFSET(数出表_Excel【15時】!$A$1,2,H23-1)
&amp;IFERROR(OFFSET(数出表_Excel【15時】!$A$1,3,H23-1),"")
&amp;IFERROR(OFFSET(数出表_Excel【15時】!$A$1,4,H23-1),""),"")</f>
        <v/>
      </c>
      <c r="J23" t="str">
        <f ca="1">IF(H23&lt;&gt;"",
OFFSET(数出表_Excel【15時】!$A$1,A23+3,H23-1),"")</f>
        <v/>
      </c>
      <c r="K23" t="str">
        <f ca="1">IF(H23&lt;&gt;"",
IF(AND(OFFSET(数出表_Excel【15時】!$A$1,A23+3,H23)&lt;&gt;"",OFFSET(数出表_Excel【15時】!$A$1,A23+3,H23)&lt;&gt;0),
OFFSET(数出表_Excel【15時】!$A$1,A23+3,H23),""),"")</f>
        <v/>
      </c>
      <c r="L23" s="209" t="str">
        <f t="array" aca="1" ref="L23" ca="1">IF(B23&lt;&gt;"",
IFERROR(MATCH(TRUE,ISNUMBER(INDIRECT("数出表_Excel【15時】!"&amp;SUBSTITUTE(ADDRESS(1,H23+2,4),"1","")&amp;(A23+4)&amp;":ZZ"&amp;(A23+4))),0)+H23+1,""),"")</f>
        <v/>
      </c>
      <c r="M23" t="str">
        <f ca="1">IF(L23&lt;&gt;"",
OFFSET(数出表_Excel【15時】!$A$1,2,L23-1)
&amp;IFERROR(OFFSET(数出表_Excel【15時】!$A$1,3,L23-1),"")
&amp;IFERROR(OFFSET(数出表_Excel【15時】!$A$1,4,L23-1),""),"")</f>
        <v/>
      </c>
      <c r="N23" t="str">
        <f ca="1">IF(L23&lt;&gt;"",
OFFSET(数出表_Excel【15時】!$A$1,A23+3,L23-1),"")</f>
        <v/>
      </c>
      <c r="O23" t="str">
        <f ca="1">IF(L23&lt;&gt;"",
IF(AND(OFFSET(数出表_Excel【15時】!$A$1,A23+3,L23)&lt;&gt;"",OFFSET(数出表_Excel【15時】!$A$1,A23+3,L23)&lt;&gt;0),
OFFSET(数出表_Excel【15時】!$A$1,A23+3,L23),""),"")</f>
        <v/>
      </c>
      <c r="AH23" t="str">
        <f t="array" aca="1" ref="AH23" ca="1">IFERROR(SMALL(IF(T$1:T$307&lt;&gt;0,T$1:T$307),ROW(AH23)),"")</f>
        <v/>
      </c>
      <c r="AI23" t="str">
        <f t="array" aca="1" ref="AI23" ca="1">IF($AH23&lt;&gt;"",
SUBSTITUTE(SUBSTITUTE(INDIRECT("B"&amp;$AH23&amp;"")," 週3ｺｰｽ","")," 週5ｺｰｽ",""),"")</f>
        <v/>
      </c>
    </row>
    <row r="24" spans="1:35">
      <c r="A24" t="str">
        <f t="shared" ca="1" si="0"/>
        <v/>
      </c>
      <c r="B24" t="str">
        <f t="array" aca="1" ref="B24" ca="1">IF(OR(COUNTIF(数出表_Excel【15時】!AO28,"*修正*"),COUNTIF(数出表_Excel【15時】!AO29,"*修正*")),
IF(ISEVEN(ROW()+4),INDIRECT("数出表_Excel【15時】!A"&amp;ROW()+4&amp;""),INDIRECT("数出表_Excel【15時】!A"&amp;ROW()+4-1&amp;"")),"")</f>
        <v/>
      </c>
      <c r="C24" t="str">
        <f t="array" aca="1" ref="C24" ca="1">IF(OR(COUNTIF(数出表_Excel【15時】!AO28,"*修正*"),COUNTIF(数出表_Excel【15時】!AO29,"*修正*")),
IF(ISEVEN(ROW()+4),INDIRECT("数出表_Excel【15時】!A"&amp;ROW()+4+1&amp;""),INDIRECT("数出表_Excel【15時】!A"&amp;ROW()+4&amp;"")),"")</f>
        <v/>
      </c>
      <c r="D24" s="209" t="str">
        <f t="array" aca="1" ref="D24" ca="1">IF(B24&lt;&gt;"",
IFERROR(MATCH(TRUE,ISNUMBER(INDIRECT("数出表_Excel【15時】!B"&amp;(A24+4)&amp;":ZZ"&amp;(A24+4))),0)+1,""),"")</f>
        <v/>
      </c>
      <c r="E24" t="str">
        <f ca="1">IF(D24&lt;&gt;"",
OFFSET(数出表_Excel【15時】!$A$1,2,D24-1)
&amp;IFERROR(OFFSET(数出表_Excel【15時】!$A$1,3,D24-1),"")
&amp;IFERROR(OFFSET(数出表_Excel【15時】!$A$1,4,D24-1),""),"")</f>
        <v/>
      </c>
      <c r="F24" t="str">
        <f ca="1">IF(D24&lt;&gt;"",
OFFSET(数出表_Excel【15時】!$A$1,A24+3,D24-1),"")</f>
        <v/>
      </c>
      <c r="G24" t="str">
        <f ca="1">IF(D24&lt;&gt;"",
IF(AND(OFFSET(数出表_Excel【15時】!$A$1,A24+3,D24)&lt;&gt;"",OFFSET(数出表_Excel【15時】!$A$1,A24+3,D24)&lt;&gt;0),
OFFSET(数出表_Excel【15時】!$A$1,A24+3,D24),""),"")</f>
        <v/>
      </c>
      <c r="H24" s="209" t="str">
        <f t="array" aca="1" ref="H24" ca="1">IF(B24&lt;&gt;"",
IFERROR(MATCH(TRUE,ISNUMBER(INDIRECT("数出表_Excel【15時】!"&amp;SUBSTITUTE(ADDRESS(1,D24+2,4),"1","")&amp;(A24+4)&amp;":ZZ"&amp;(A24+4))),0)+D24+1,""),"")</f>
        <v/>
      </c>
      <c r="I24" t="str">
        <f ca="1">IF(H24&lt;&gt;"",
OFFSET(数出表_Excel【15時】!$A$1,2,H24-1)
&amp;IFERROR(OFFSET(数出表_Excel【15時】!$A$1,3,H24-1),"")
&amp;IFERROR(OFFSET(数出表_Excel【15時】!$A$1,4,H24-1),""),"")</f>
        <v/>
      </c>
      <c r="J24" t="str">
        <f ca="1">IF(H24&lt;&gt;"",
OFFSET(数出表_Excel【15時】!$A$1,A24+3,H24-1),"")</f>
        <v/>
      </c>
      <c r="K24" t="str">
        <f ca="1">IF(H24&lt;&gt;"",
IF(AND(OFFSET(数出表_Excel【15時】!$A$1,A24+3,H24)&lt;&gt;"",OFFSET(数出表_Excel【15時】!$A$1,A24+3,H24)&lt;&gt;0),
OFFSET(数出表_Excel【15時】!$A$1,A24+3,H24),""),"")</f>
        <v/>
      </c>
      <c r="L24" s="209" t="str">
        <f t="array" aca="1" ref="L24" ca="1">IF(B24&lt;&gt;"",
IFERROR(MATCH(TRUE,ISNUMBER(INDIRECT("数出表_Excel【15時】!"&amp;SUBSTITUTE(ADDRESS(1,H24+2,4),"1","")&amp;(A24+4)&amp;":ZZ"&amp;(A24+4))),0)+H24+1,""),"")</f>
        <v/>
      </c>
      <c r="M24" t="str">
        <f ca="1">IF(L24&lt;&gt;"",
OFFSET(数出表_Excel【15時】!$A$1,2,L24-1)
&amp;IFERROR(OFFSET(数出表_Excel【15時】!$A$1,3,L24-1),"")
&amp;IFERROR(OFFSET(数出表_Excel【15時】!$A$1,4,L24-1),""),"")</f>
        <v/>
      </c>
      <c r="N24" t="str">
        <f ca="1">IF(L24&lt;&gt;"",
OFFSET(数出表_Excel【15時】!$A$1,A24+3,L24-1),"")</f>
        <v/>
      </c>
      <c r="O24" t="str">
        <f ca="1">IF(L24&lt;&gt;"",
IF(AND(OFFSET(数出表_Excel【15時】!$A$1,A24+3,L24)&lt;&gt;"",OFFSET(数出表_Excel【15時】!$A$1,A24+3,L24)&lt;&gt;0),
OFFSET(数出表_Excel【15時】!$A$1,A24+3,L24),""),"")</f>
        <v/>
      </c>
      <c r="Q24" t="str">
        <f ca="1">IF(C24&lt;&gt;"",
IF(E24&lt;&gt;"",1,0)+IF(I24&lt;&gt;"",1,0)+IF(M24&lt;&gt;"",1,0),"")</f>
        <v/>
      </c>
      <c r="AH24" t="str">
        <f t="array" aca="1" ref="AH24" ca="1">IFERROR(SMALL(IF(T$1:T$307&lt;&gt;0,T$1:T$307),ROW(AH24)),"")</f>
        <v/>
      </c>
      <c r="AI24" t="str">
        <f t="array" aca="1" ref="AI24" ca="1">IF($AH24&lt;&gt;"",
SUBSTITUTE(SUBSTITUTE(INDIRECT("B"&amp;$AH24&amp;"")," 週3ｺｰｽ","")," 週5ｺｰｽ",""),"")</f>
        <v/>
      </c>
    </row>
    <row r="25" spans="1:35">
      <c r="A25" t="str">
        <f t="shared" ca="1" si="0"/>
        <v/>
      </c>
      <c r="B25" t="str">
        <f t="array" aca="1" ref="B25" ca="1">IF(OR(COUNTIF(数出表_Excel【15時】!AO28,"*修正*"),COUNTIF(数出表_Excel【15時】!AO29,"*修正*")),
IF(ISEVEN(ROW()+4),INDIRECT("数出表_Excel【15時】!A"&amp;ROW()+4&amp;""),INDIRECT("数出表_Excel【15時】!A"&amp;ROW()+4-1&amp;"")),"")</f>
        <v/>
      </c>
      <c r="C25" t="str">
        <f t="array" aca="1" ref="C25" ca="1">IF(OR(COUNTIF(数出表_Excel【15時】!AO28,"*修正*"),COUNTIF(数出表_Excel【15時】!AO29,"*修正*")),
IF(ISEVEN(ROW()+4),INDIRECT("数出表_Excel【15時】!A"&amp;ROW()+4+1&amp;""),INDIRECT("数出表_Excel【15時】!A"&amp;ROW()+4&amp;"")),"")</f>
        <v/>
      </c>
      <c r="D25" s="209" t="str">
        <f t="array" aca="1" ref="D25" ca="1">IF(B25&lt;&gt;"",
IFERROR(MATCH(TRUE,ISNUMBER(INDIRECT("数出表_Excel【15時】!B"&amp;(A25+4)&amp;":ZZ"&amp;(A25+4))),0)+1,""),"")</f>
        <v/>
      </c>
      <c r="E25" t="str">
        <f ca="1">IF(D25&lt;&gt;"",
OFFSET(数出表_Excel【15時】!$A$1,2,D25-1)
&amp;IFERROR(OFFSET(数出表_Excel【15時】!$A$1,3,D25-1),"")
&amp;IFERROR(OFFSET(数出表_Excel【15時】!$A$1,4,D25-1),""),"")</f>
        <v/>
      </c>
      <c r="F25" t="str">
        <f ca="1">IF(D25&lt;&gt;"",
OFFSET(数出表_Excel【15時】!$A$1,A25+3,D25-1),"")</f>
        <v/>
      </c>
      <c r="G25" t="str">
        <f ca="1">IF(D25&lt;&gt;"",
IF(AND(OFFSET(数出表_Excel【15時】!$A$1,A25+3,D25)&lt;&gt;"",OFFSET(数出表_Excel【15時】!$A$1,A25+3,D25)&lt;&gt;0),
OFFSET(数出表_Excel【15時】!$A$1,A25+3,D25),""),"")</f>
        <v/>
      </c>
      <c r="H25" s="209" t="str">
        <f t="array" aca="1" ref="H25" ca="1">IF(B25&lt;&gt;"",
IFERROR(MATCH(TRUE,ISNUMBER(INDIRECT("数出表_Excel【15時】!"&amp;SUBSTITUTE(ADDRESS(1,D25+2,4),"1","")&amp;(A25+4)&amp;":ZZ"&amp;(A25+4))),0)+D25+1,""),"")</f>
        <v/>
      </c>
      <c r="I25" t="str">
        <f ca="1">IF(H25&lt;&gt;"",
OFFSET(数出表_Excel【15時】!$A$1,2,H25-1)
&amp;IFERROR(OFFSET(数出表_Excel【15時】!$A$1,3,H25-1),"")
&amp;IFERROR(OFFSET(数出表_Excel【15時】!$A$1,4,H25-1),""),"")</f>
        <v/>
      </c>
      <c r="J25" t="str">
        <f ca="1">IF(H25&lt;&gt;"",
OFFSET(数出表_Excel【15時】!$A$1,A25+3,H25-1),"")</f>
        <v/>
      </c>
      <c r="K25" t="str">
        <f ca="1">IF(H25&lt;&gt;"",
IF(AND(OFFSET(数出表_Excel【15時】!$A$1,A25+3,H25)&lt;&gt;"",OFFSET(数出表_Excel【15時】!$A$1,A25+3,H25)&lt;&gt;0),
OFFSET(数出表_Excel【15時】!$A$1,A25+3,H25),""),"")</f>
        <v/>
      </c>
      <c r="L25" s="209" t="str">
        <f t="array" aca="1" ref="L25" ca="1">IF(B25&lt;&gt;"",
IFERROR(MATCH(TRUE,ISNUMBER(INDIRECT("数出表_Excel【15時】!"&amp;SUBSTITUTE(ADDRESS(1,H25+2,4),"1","")&amp;(A25+4)&amp;":ZZ"&amp;(A25+4))),0)+H25+1,""),"")</f>
        <v/>
      </c>
      <c r="M25" t="str">
        <f ca="1">IF(L25&lt;&gt;"",
OFFSET(数出表_Excel【15時】!$A$1,2,L25-1)
&amp;IFERROR(OFFSET(数出表_Excel【15時】!$A$1,3,L25-1),"")
&amp;IFERROR(OFFSET(数出表_Excel【15時】!$A$1,4,L25-1),""),"")</f>
        <v/>
      </c>
      <c r="N25" t="str">
        <f ca="1">IF(L25&lt;&gt;"",
OFFSET(数出表_Excel【15時】!$A$1,A25+3,L25-1),"")</f>
        <v/>
      </c>
      <c r="O25" t="str">
        <f ca="1">IF(L25&lt;&gt;"",
IF(AND(OFFSET(数出表_Excel【15時】!$A$1,A25+3,L25)&lt;&gt;"",OFFSET(数出表_Excel【15時】!$A$1,A25+3,L25)&lt;&gt;0),
OFFSET(数出表_Excel【15時】!$A$1,A25+3,L25),""),"")</f>
        <v/>
      </c>
      <c r="AH25" t="str">
        <f t="array" aca="1" ref="AH25" ca="1">IFERROR(SMALL(IF(O$1:O$307&lt;&gt;0,O$1:O$307),ROW(AH25)),"")</f>
        <v/>
      </c>
      <c r="AI25" t="str">
        <f t="array" aca="1" ref="AI25" ca="1">IF($T25&lt;&gt;"",
SUBSTITUTE(SUBSTITUTE(INDIRECT("B"&amp;$T25&amp;"")," 週3ｺｰｽ","")," 週5ｺｰｽ",""),"")</f>
        <v/>
      </c>
    </row>
    <row r="26" spans="1:35">
      <c r="A26" t="str">
        <f t="shared" ca="1" si="0"/>
        <v/>
      </c>
      <c r="B26" t="str">
        <f t="array" aca="1" ref="B26" ca="1">IF(OR(COUNTIF(数出表_Excel【15時】!AO30,"*修正*"),COUNTIF(数出表_Excel【15時】!AO31,"*修正*")),
IF(ISEVEN(ROW()+4),INDIRECT("数出表_Excel【15時】!A"&amp;ROW()+4&amp;""),INDIRECT("数出表_Excel【15時】!A"&amp;ROW()+4-1&amp;"")),"")</f>
        <v/>
      </c>
      <c r="C26" t="str">
        <f t="array" aca="1" ref="C26" ca="1">IF(OR(COUNTIF(数出表_Excel【15時】!AO30,"*修正*"),COUNTIF(数出表_Excel【15時】!AO31,"*修正*")),
IF(ISEVEN(ROW()+4),INDIRECT("数出表_Excel【15時】!A"&amp;ROW()+4+1&amp;""),INDIRECT("数出表_Excel【15時】!A"&amp;ROW()+4&amp;"")),"")</f>
        <v/>
      </c>
      <c r="D26" s="209" t="str">
        <f t="array" aca="1" ref="D26" ca="1">IF(B26&lt;&gt;"",
IFERROR(MATCH(TRUE,ISNUMBER(INDIRECT("数出表_Excel【15時】!B"&amp;(A26+4)&amp;":ZZ"&amp;(A26+4))),0)+1,""),"")</f>
        <v/>
      </c>
      <c r="E26" t="str">
        <f ca="1">IF(D26&lt;&gt;"",
OFFSET(数出表_Excel【15時】!$A$1,2,D26-1)
&amp;IFERROR(OFFSET(数出表_Excel【15時】!$A$1,3,D26-1),"")
&amp;IFERROR(OFFSET(数出表_Excel【15時】!$A$1,4,D26-1),""),"")</f>
        <v/>
      </c>
      <c r="F26" t="str">
        <f ca="1">IF(D26&lt;&gt;"",
OFFSET(数出表_Excel【15時】!$A$1,A26+3,D26-1),"")</f>
        <v/>
      </c>
      <c r="G26" t="str">
        <f ca="1">IF(D26&lt;&gt;"",
IF(AND(OFFSET(数出表_Excel【15時】!$A$1,A26+3,D26)&lt;&gt;"",OFFSET(数出表_Excel【15時】!$A$1,A26+3,D26)&lt;&gt;0),
OFFSET(数出表_Excel【15時】!$A$1,A26+3,D26),""),"")</f>
        <v/>
      </c>
      <c r="H26" s="209" t="str">
        <f t="array" aca="1" ref="H26" ca="1">IF(B26&lt;&gt;"",
IFERROR(MATCH(TRUE,ISNUMBER(INDIRECT("数出表_Excel【15時】!"&amp;SUBSTITUTE(ADDRESS(1,D26+2,4),"1","")&amp;(A26+4)&amp;":ZZ"&amp;(A26+4))),0)+D26+1,""),"")</f>
        <v/>
      </c>
      <c r="I26" t="str">
        <f ca="1">IF(H26&lt;&gt;"",
OFFSET(数出表_Excel【15時】!$A$1,2,H26-1)
&amp;IFERROR(OFFSET(数出表_Excel【15時】!$A$1,3,H26-1),"")
&amp;IFERROR(OFFSET(数出表_Excel【15時】!$A$1,4,H26-1),""),"")</f>
        <v/>
      </c>
      <c r="J26" t="str">
        <f ca="1">IF(H26&lt;&gt;"",
OFFSET(数出表_Excel【15時】!$A$1,A26+3,H26-1),"")</f>
        <v/>
      </c>
      <c r="K26" t="str">
        <f ca="1">IF(H26&lt;&gt;"",
IF(AND(OFFSET(数出表_Excel【15時】!$A$1,A26+3,H26)&lt;&gt;"",OFFSET(数出表_Excel【15時】!$A$1,A26+3,H26)&lt;&gt;0),
OFFSET(数出表_Excel【15時】!$A$1,A26+3,H26),""),"")</f>
        <v/>
      </c>
      <c r="L26" s="209" t="str">
        <f t="array" aca="1" ref="L26" ca="1">IF(B26&lt;&gt;"",
IFERROR(MATCH(TRUE,ISNUMBER(INDIRECT("数出表_Excel【15時】!"&amp;SUBSTITUTE(ADDRESS(1,H26+2,4),"1","")&amp;(A26+4)&amp;":ZZ"&amp;(A26+4))),0)+H26+1,""),"")</f>
        <v/>
      </c>
      <c r="M26" t="str">
        <f ca="1">IF(L26&lt;&gt;"",
OFFSET(数出表_Excel【15時】!$A$1,2,L26-1)
&amp;IFERROR(OFFSET(数出表_Excel【15時】!$A$1,3,L26-1),"")
&amp;IFERROR(OFFSET(数出表_Excel【15時】!$A$1,4,L26-1),""),"")</f>
        <v/>
      </c>
      <c r="N26" t="str">
        <f ca="1">IF(L26&lt;&gt;"",
OFFSET(数出表_Excel【15時】!$A$1,A26+3,L26-1),"")</f>
        <v/>
      </c>
      <c r="O26" t="str">
        <f ca="1">IF(L26&lt;&gt;"",
IF(AND(OFFSET(数出表_Excel【15時】!$A$1,A26+3,L26)&lt;&gt;"",OFFSET(数出表_Excel【15時】!$A$1,A26+3,L26)&lt;&gt;0),
OFFSET(数出表_Excel【15時】!$A$1,A26+3,L26),""),"")</f>
        <v/>
      </c>
      <c r="Q26" t="str">
        <f ca="1">IF(C26&lt;&gt;"",
IF(E26&lt;&gt;"",1,0)+IF(I26&lt;&gt;"",1,0)+IF(M26&lt;&gt;"",1,0),"")</f>
        <v/>
      </c>
      <c r="AH26" t="str">
        <f t="array" aca="1" ref="AH26" ca="1">IFERROR(SMALL(IF(O$1:O$307&lt;&gt;0,O$1:O$307),ROW(AH26)),"")</f>
        <v/>
      </c>
      <c r="AI26" t="str">
        <f t="array" aca="1" ref="AI26" ca="1">IF($T26&lt;&gt;"",
SUBSTITUTE(SUBSTITUTE(INDIRECT("B"&amp;$T26&amp;"")," 週3ｺｰｽ","")," 週5ｺｰｽ",""),"")</f>
        <v/>
      </c>
    </row>
    <row r="27" spans="1:35">
      <c r="A27" t="str">
        <f t="shared" ca="1" si="0"/>
        <v/>
      </c>
      <c r="B27" t="str">
        <f t="array" aca="1" ref="B27" ca="1">IF(OR(COUNTIF(数出表_Excel【15時】!AO30,"*修正*"),COUNTIF(数出表_Excel【15時】!AO31,"*修正*")),
IF(ISEVEN(ROW()+4),INDIRECT("数出表_Excel【15時】!A"&amp;ROW()+4&amp;""),INDIRECT("数出表_Excel【15時】!A"&amp;ROW()+4-1&amp;"")),"")</f>
        <v/>
      </c>
      <c r="C27" t="str">
        <f t="array" aca="1" ref="C27" ca="1">IF(OR(COUNTIF(数出表_Excel【15時】!AO30,"*修正*"),COUNTIF(数出表_Excel【15時】!AO31,"*修正*")),
IF(ISEVEN(ROW()+4),INDIRECT("数出表_Excel【15時】!A"&amp;ROW()+4+1&amp;""),INDIRECT("数出表_Excel【15時】!A"&amp;ROW()+4&amp;"")),"")</f>
        <v/>
      </c>
      <c r="D27" s="209" t="str">
        <f t="array" aca="1" ref="D27" ca="1">IF(B27&lt;&gt;"",
IFERROR(MATCH(TRUE,ISNUMBER(INDIRECT("数出表_Excel【15時】!B"&amp;(A27+4)&amp;":ZZ"&amp;(A27+4))),0)+1,""),"")</f>
        <v/>
      </c>
      <c r="E27" t="str">
        <f ca="1">IF(D27&lt;&gt;"",
OFFSET(数出表_Excel【15時】!$A$1,2,D27-1)
&amp;IFERROR(OFFSET(数出表_Excel【15時】!$A$1,3,D27-1),"")
&amp;IFERROR(OFFSET(数出表_Excel【15時】!$A$1,4,D27-1),""),"")</f>
        <v/>
      </c>
      <c r="F27" t="str">
        <f ca="1">IF(D27&lt;&gt;"",
OFFSET(数出表_Excel【15時】!$A$1,A27+3,D27-1),"")</f>
        <v/>
      </c>
      <c r="G27" t="str">
        <f ca="1">IF(D27&lt;&gt;"",
IF(AND(OFFSET(数出表_Excel【15時】!$A$1,A27+3,D27)&lt;&gt;"",OFFSET(数出表_Excel【15時】!$A$1,A27+3,D27)&lt;&gt;0),
OFFSET(数出表_Excel【15時】!$A$1,A27+3,D27),""),"")</f>
        <v/>
      </c>
      <c r="H27" s="209" t="str">
        <f t="array" aca="1" ref="H27" ca="1">IF(B27&lt;&gt;"",
IFERROR(MATCH(TRUE,ISNUMBER(INDIRECT("数出表_Excel【15時】!"&amp;SUBSTITUTE(ADDRESS(1,D27+2,4),"1","")&amp;(A27+4)&amp;":ZZ"&amp;(A27+4))),0)+D27+1,""),"")</f>
        <v/>
      </c>
      <c r="I27" t="str">
        <f ca="1">IF(H27&lt;&gt;"",
OFFSET(数出表_Excel【15時】!$A$1,2,H27-1)
&amp;IFERROR(OFFSET(数出表_Excel【15時】!$A$1,3,H27-1),"")
&amp;IFERROR(OFFSET(数出表_Excel【15時】!$A$1,4,H27-1),""),"")</f>
        <v/>
      </c>
      <c r="J27" t="str">
        <f ca="1">IF(H27&lt;&gt;"",
OFFSET(数出表_Excel【15時】!$A$1,A27+3,H27-1),"")</f>
        <v/>
      </c>
      <c r="K27" t="str">
        <f ca="1">IF(H27&lt;&gt;"",
IF(AND(OFFSET(数出表_Excel【15時】!$A$1,A27+3,H27)&lt;&gt;"",OFFSET(数出表_Excel【15時】!$A$1,A27+3,H27)&lt;&gt;0),
OFFSET(数出表_Excel【15時】!$A$1,A27+3,H27),""),"")</f>
        <v/>
      </c>
      <c r="L27" s="209" t="str">
        <f t="array" aca="1" ref="L27" ca="1">IF(B27&lt;&gt;"",
IFERROR(MATCH(TRUE,ISNUMBER(INDIRECT("数出表_Excel【15時】!"&amp;SUBSTITUTE(ADDRESS(1,H27+2,4),"1","")&amp;(A27+4)&amp;":ZZ"&amp;(A27+4))),0)+H27+1,""),"")</f>
        <v/>
      </c>
      <c r="M27" t="str">
        <f ca="1">IF(L27&lt;&gt;"",
OFFSET(数出表_Excel【15時】!$A$1,2,L27-1)
&amp;IFERROR(OFFSET(数出表_Excel【15時】!$A$1,3,L27-1),"")
&amp;IFERROR(OFFSET(数出表_Excel【15時】!$A$1,4,L27-1),""),"")</f>
        <v/>
      </c>
      <c r="N27" t="str">
        <f ca="1">IF(L27&lt;&gt;"",
OFFSET(数出表_Excel【15時】!$A$1,A27+3,L27-1),"")</f>
        <v/>
      </c>
      <c r="O27" t="str">
        <f ca="1">IF(L27&lt;&gt;"",
IF(AND(OFFSET(数出表_Excel【15時】!$A$1,A27+3,L27)&lt;&gt;"",OFFSET(数出表_Excel【15時】!$A$1,A27+3,L27)&lt;&gt;0),
OFFSET(数出表_Excel【15時】!$A$1,A27+3,L27),""),"")</f>
        <v/>
      </c>
      <c r="AH27" t="str">
        <f t="array" aca="1" ref="AH27" ca="1">IFERROR(SMALL(IF(O$1:O$307&lt;&gt;0,O$1:O$307),ROW(AH27)),"")</f>
        <v/>
      </c>
      <c r="AI27" t="str">
        <f t="array" aca="1" ref="AI27" ca="1">IF($T27&lt;&gt;"",
SUBSTITUTE(SUBSTITUTE(INDIRECT("B"&amp;$T27&amp;"")," 週3ｺｰｽ","")," 週5ｺｰｽ",""),"")</f>
        <v/>
      </c>
    </row>
    <row r="28" spans="1:35">
      <c r="A28" t="str">
        <f t="shared" ca="1" si="0"/>
        <v/>
      </c>
      <c r="B28" t="str">
        <f t="array" aca="1" ref="B28" ca="1">IF(OR(COUNTIF(数出表_Excel【15時】!AO32,"*修正*"),COUNTIF(数出表_Excel【15時】!AO33,"*修正*")),
IF(ISEVEN(ROW()+4),INDIRECT("数出表_Excel【15時】!A"&amp;ROW()+4&amp;""),INDIRECT("数出表_Excel【15時】!A"&amp;ROW()+4-1&amp;"")),"")</f>
        <v/>
      </c>
      <c r="C28" t="str">
        <f t="array" aca="1" ref="C28" ca="1">IF(OR(COUNTIF(数出表_Excel【15時】!AO32,"*修正*"),COUNTIF(数出表_Excel【15時】!AO33,"*修正*")),
IF(ISEVEN(ROW()+4),INDIRECT("数出表_Excel【15時】!A"&amp;ROW()+4+1&amp;""),INDIRECT("数出表_Excel【15時】!A"&amp;ROW()+4&amp;"")),"")</f>
        <v/>
      </c>
      <c r="D28" s="209" t="str">
        <f t="array" aca="1" ref="D28" ca="1">IF(B28&lt;&gt;"",
IFERROR(MATCH(TRUE,ISNUMBER(INDIRECT("数出表_Excel【15時】!B"&amp;(A28+4)&amp;":ZZ"&amp;(A28+4))),0)+1,""),"")</f>
        <v/>
      </c>
      <c r="E28" t="str">
        <f ca="1">IF(D28&lt;&gt;"",
OFFSET(数出表_Excel【15時】!$A$1,2,D28-1)
&amp;IFERROR(OFFSET(数出表_Excel【15時】!$A$1,3,D28-1),"")
&amp;IFERROR(OFFSET(数出表_Excel【15時】!$A$1,4,D28-1),""),"")</f>
        <v/>
      </c>
      <c r="F28" t="str">
        <f ca="1">IF(D28&lt;&gt;"",
OFFSET(数出表_Excel【15時】!$A$1,A28+3,D28-1),"")</f>
        <v/>
      </c>
      <c r="G28" t="str">
        <f ca="1">IF(D28&lt;&gt;"",
IF(AND(OFFSET(数出表_Excel【15時】!$A$1,A28+3,D28)&lt;&gt;"",OFFSET(数出表_Excel【15時】!$A$1,A28+3,D28)&lt;&gt;0),
OFFSET(数出表_Excel【15時】!$A$1,A28+3,D28),""),"")</f>
        <v/>
      </c>
      <c r="H28" s="209" t="str">
        <f t="array" aca="1" ref="H28" ca="1">IF(B28&lt;&gt;"",
IFERROR(MATCH(TRUE,ISNUMBER(INDIRECT("数出表_Excel【15時】!"&amp;SUBSTITUTE(ADDRESS(1,D28+2,4),"1","")&amp;(A28+4)&amp;":ZZ"&amp;(A28+4))),0)+D28+1,""),"")</f>
        <v/>
      </c>
      <c r="I28" t="str">
        <f ca="1">IF(H28&lt;&gt;"",
OFFSET(数出表_Excel【15時】!$A$1,2,H28-1)
&amp;IFERROR(OFFSET(数出表_Excel【15時】!$A$1,3,H28-1),"")
&amp;IFERROR(OFFSET(数出表_Excel【15時】!$A$1,4,H28-1),""),"")</f>
        <v/>
      </c>
      <c r="J28" t="str">
        <f ca="1">IF(H28&lt;&gt;"",
OFFSET(数出表_Excel【15時】!$A$1,A28+3,H28-1),"")</f>
        <v/>
      </c>
      <c r="K28" t="str">
        <f ca="1">IF(H28&lt;&gt;"",
IF(AND(OFFSET(数出表_Excel【15時】!$A$1,A28+3,H28)&lt;&gt;"",OFFSET(数出表_Excel【15時】!$A$1,A28+3,H28)&lt;&gt;0),
OFFSET(数出表_Excel【15時】!$A$1,A28+3,H28),""),"")</f>
        <v/>
      </c>
      <c r="L28" s="209" t="str">
        <f t="array" aca="1" ref="L28" ca="1">IF(B28&lt;&gt;"",
IFERROR(MATCH(TRUE,ISNUMBER(INDIRECT("数出表_Excel【15時】!"&amp;SUBSTITUTE(ADDRESS(1,H28+2,4),"1","")&amp;(A28+4)&amp;":ZZ"&amp;(A28+4))),0)+H28+1,""),"")</f>
        <v/>
      </c>
      <c r="M28" t="str">
        <f ca="1">IF(L28&lt;&gt;"",
OFFSET(数出表_Excel【15時】!$A$1,2,L28-1)
&amp;IFERROR(OFFSET(数出表_Excel【15時】!$A$1,3,L28-1),"")
&amp;IFERROR(OFFSET(数出表_Excel【15時】!$A$1,4,L28-1),""),"")</f>
        <v/>
      </c>
      <c r="N28" t="str">
        <f ca="1">IF(L28&lt;&gt;"",
OFFSET(数出表_Excel【15時】!$A$1,A28+3,L28-1),"")</f>
        <v/>
      </c>
      <c r="O28" t="str">
        <f ca="1">IF(L28&lt;&gt;"",
IF(AND(OFFSET(数出表_Excel【15時】!$A$1,A28+3,L28)&lt;&gt;"",OFFSET(数出表_Excel【15時】!$A$1,A28+3,L28)&lt;&gt;0),
OFFSET(数出表_Excel【15時】!$A$1,A28+3,L28),""),"")</f>
        <v/>
      </c>
      <c r="Q28" t="str">
        <f ca="1">IF(C28&lt;&gt;"",
IF(E28&lt;&gt;"",1,0)+IF(I28&lt;&gt;"",1,0)+IF(M28&lt;&gt;"",1,0),"")</f>
        <v/>
      </c>
      <c r="AH28" t="str">
        <f t="array" aca="1" ref="AH28" ca="1">IFERROR(SMALL(IF(O$1:O$307&lt;&gt;0,O$1:O$307),ROW(AH28)),"")</f>
        <v/>
      </c>
      <c r="AI28" t="str">
        <f t="array" aca="1" ref="AI28" ca="1">IF($T28&lt;&gt;"",
SUBSTITUTE(SUBSTITUTE(INDIRECT("B"&amp;$T28&amp;"")," 週3ｺｰｽ","")," 週5ｺｰｽ",""),"")</f>
        <v/>
      </c>
    </row>
    <row r="29" spans="1:35">
      <c r="A29" t="str">
        <f t="shared" ca="1" si="0"/>
        <v/>
      </c>
      <c r="B29" t="str">
        <f t="array" aca="1" ref="B29" ca="1">IF(OR(COUNTIF(数出表_Excel【15時】!AO32,"*修正*"),COUNTIF(数出表_Excel【15時】!AO33,"*修正*")),
IF(ISEVEN(ROW()+4),INDIRECT("数出表_Excel【15時】!A"&amp;ROW()+4&amp;""),INDIRECT("数出表_Excel【15時】!A"&amp;ROW()+4-1&amp;"")),"")</f>
        <v/>
      </c>
      <c r="C29" t="str">
        <f t="array" aca="1" ref="C29" ca="1">IF(OR(COUNTIF(数出表_Excel【15時】!AO32,"*修正*"),COUNTIF(数出表_Excel【15時】!AO33,"*修正*")),
IF(ISEVEN(ROW()+4),INDIRECT("数出表_Excel【15時】!A"&amp;ROW()+4+1&amp;""),INDIRECT("数出表_Excel【15時】!A"&amp;ROW()+4&amp;"")),"")</f>
        <v/>
      </c>
      <c r="D29" s="209" t="str">
        <f t="array" aca="1" ref="D29" ca="1">IF(B29&lt;&gt;"",
IFERROR(MATCH(TRUE,ISNUMBER(INDIRECT("数出表_Excel【15時】!B"&amp;(A29+4)&amp;":ZZ"&amp;(A29+4))),0)+1,""),"")</f>
        <v/>
      </c>
      <c r="E29" t="str">
        <f ca="1">IF(D29&lt;&gt;"",
OFFSET(数出表_Excel【15時】!$A$1,2,D29-1)
&amp;IFERROR(OFFSET(数出表_Excel【15時】!$A$1,3,D29-1),"")
&amp;IFERROR(OFFSET(数出表_Excel【15時】!$A$1,4,D29-1),""),"")</f>
        <v/>
      </c>
      <c r="F29" t="str">
        <f ca="1">IF(D29&lt;&gt;"",
OFFSET(数出表_Excel【15時】!$A$1,A29+3,D29-1),"")</f>
        <v/>
      </c>
      <c r="G29" t="str">
        <f ca="1">IF(D29&lt;&gt;"",
IF(AND(OFFSET(数出表_Excel【15時】!$A$1,A29+3,D29)&lt;&gt;"",OFFSET(数出表_Excel【15時】!$A$1,A29+3,D29)&lt;&gt;0),
OFFSET(数出表_Excel【15時】!$A$1,A29+3,D29),""),"")</f>
        <v/>
      </c>
      <c r="H29" s="209" t="str">
        <f t="array" aca="1" ref="H29" ca="1">IF(B29&lt;&gt;"",
IFERROR(MATCH(TRUE,ISNUMBER(INDIRECT("数出表_Excel【15時】!"&amp;SUBSTITUTE(ADDRESS(1,D29+2,4),"1","")&amp;(A29+4)&amp;":ZZ"&amp;(A29+4))),0)+D29+1,""),"")</f>
        <v/>
      </c>
      <c r="I29" t="str">
        <f ca="1">IF(H29&lt;&gt;"",
OFFSET(数出表_Excel【15時】!$A$1,2,H29-1)
&amp;IFERROR(OFFSET(数出表_Excel【15時】!$A$1,3,H29-1),"")
&amp;IFERROR(OFFSET(数出表_Excel【15時】!$A$1,4,H29-1),""),"")</f>
        <v/>
      </c>
      <c r="J29" t="str">
        <f ca="1">IF(H29&lt;&gt;"",
OFFSET(数出表_Excel【15時】!$A$1,A29+3,H29-1),"")</f>
        <v/>
      </c>
      <c r="K29" t="str">
        <f ca="1">IF(H29&lt;&gt;"",
IF(AND(OFFSET(数出表_Excel【15時】!$A$1,A29+3,H29)&lt;&gt;"",OFFSET(数出表_Excel【15時】!$A$1,A29+3,H29)&lt;&gt;0),
OFFSET(数出表_Excel【15時】!$A$1,A29+3,H29),""),"")</f>
        <v/>
      </c>
      <c r="L29" s="209" t="str">
        <f t="array" aca="1" ref="L29" ca="1">IF(B29&lt;&gt;"",
IFERROR(MATCH(TRUE,ISNUMBER(INDIRECT("数出表_Excel【15時】!"&amp;SUBSTITUTE(ADDRESS(1,H29+2,4),"1","")&amp;(A29+4)&amp;":ZZ"&amp;(A29+4))),0)+H29+1,""),"")</f>
        <v/>
      </c>
      <c r="M29" t="str">
        <f ca="1">IF(L29&lt;&gt;"",
OFFSET(数出表_Excel【15時】!$A$1,2,L29-1)
&amp;IFERROR(OFFSET(数出表_Excel【15時】!$A$1,3,L29-1),"")
&amp;IFERROR(OFFSET(数出表_Excel【15時】!$A$1,4,L29-1),""),"")</f>
        <v/>
      </c>
      <c r="N29" t="str">
        <f ca="1">IF(L29&lt;&gt;"",
OFFSET(数出表_Excel【15時】!$A$1,A29+3,L29-1),"")</f>
        <v/>
      </c>
      <c r="O29" t="str">
        <f ca="1">IF(L29&lt;&gt;"",
IF(AND(OFFSET(数出表_Excel【15時】!$A$1,A29+3,L29)&lt;&gt;"",OFFSET(数出表_Excel【15時】!$A$1,A29+3,L29)&lt;&gt;0),
OFFSET(数出表_Excel【15時】!$A$1,A29+3,L29),""),"")</f>
        <v/>
      </c>
      <c r="AH29" t="str">
        <f t="array" aca="1" ref="AH29" ca="1">IFERROR(SMALL(IF(O$1:O$307&lt;&gt;0,O$1:O$307),ROW(AH29)),"")</f>
        <v/>
      </c>
      <c r="AI29" t="str">
        <f t="array" aca="1" ref="AI29" ca="1">IF($T29&lt;&gt;"",
SUBSTITUTE(SUBSTITUTE(INDIRECT("B"&amp;$T29&amp;"")," 週3ｺｰｽ","")," 週5ｺｰｽ",""),"")</f>
        <v/>
      </c>
    </row>
    <row r="30" spans="1:35">
      <c r="A30" t="str">
        <f t="shared" ca="1" si="0"/>
        <v/>
      </c>
      <c r="B30" t="str">
        <f t="array" aca="1" ref="B30" ca="1">IF(OR(COUNTIF(数出表_Excel【15時】!AO34,"*修正*"),COUNTIF(数出表_Excel【15時】!AO35,"*修正*")),
IF(ISEVEN(ROW()+4),INDIRECT("数出表_Excel【15時】!A"&amp;ROW()+4&amp;""),INDIRECT("数出表_Excel【15時】!A"&amp;ROW()+4-1&amp;"")),"")</f>
        <v/>
      </c>
      <c r="C30" t="str">
        <f t="array" aca="1" ref="C30" ca="1">IF(OR(COUNTIF(数出表_Excel【15時】!AO34,"*修正*"),COUNTIF(数出表_Excel【15時】!AO35,"*修正*")),
IF(ISEVEN(ROW()+4),INDIRECT("数出表_Excel【15時】!A"&amp;ROW()+4+1&amp;""),INDIRECT("数出表_Excel【15時】!A"&amp;ROW()+4&amp;"")),"")</f>
        <v/>
      </c>
      <c r="D30" s="209" t="str">
        <f t="array" aca="1" ref="D30" ca="1">IF(B30&lt;&gt;"",
IFERROR(MATCH(TRUE,ISNUMBER(INDIRECT("数出表_Excel【15時】!B"&amp;(A30+4)&amp;":ZZ"&amp;(A30+4))),0)+1,""),"")</f>
        <v/>
      </c>
      <c r="E30" t="str">
        <f ca="1">IF(D30&lt;&gt;"",
OFFSET(数出表_Excel【15時】!$A$1,2,D30-1)
&amp;IFERROR(OFFSET(数出表_Excel【15時】!$A$1,3,D30-1),"")
&amp;IFERROR(OFFSET(数出表_Excel【15時】!$A$1,4,D30-1),""),"")</f>
        <v/>
      </c>
      <c r="F30" t="str">
        <f ca="1">IF(D30&lt;&gt;"",
OFFSET(数出表_Excel【15時】!$A$1,A30+3,D30-1),"")</f>
        <v/>
      </c>
      <c r="G30" t="str">
        <f ca="1">IF(D30&lt;&gt;"",
IF(AND(OFFSET(数出表_Excel【15時】!$A$1,A30+3,D30)&lt;&gt;"",OFFSET(数出表_Excel【15時】!$A$1,A30+3,D30)&lt;&gt;0),
OFFSET(数出表_Excel【15時】!$A$1,A30+3,D30),""),"")</f>
        <v/>
      </c>
      <c r="H30" s="209" t="str">
        <f t="array" aca="1" ref="H30" ca="1">IF(B30&lt;&gt;"",
IFERROR(MATCH(TRUE,ISNUMBER(INDIRECT("数出表_Excel【15時】!"&amp;SUBSTITUTE(ADDRESS(1,D30+2,4),"1","")&amp;(A30+4)&amp;":ZZ"&amp;(A30+4))),0)+D30+1,""),"")</f>
        <v/>
      </c>
      <c r="I30" t="str">
        <f ca="1">IF(H30&lt;&gt;"",
OFFSET(数出表_Excel【15時】!$A$1,2,H30-1)
&amp;IFERROR(OFFSET(数出表_Excel【15時】!$A$1,3,H30-1),"")
&amp;IFERROR(OFFSET(数出表_Excel【15時】!$A$1,4,H30-1),""),"")</f>
        <v/>
      </c>
      <c r="J30" t="str">
        <f ca="1">IF(H30&lt;&gt;"",
OFFSET(数出表_Excel【15時】!$A$1,A30+3,H30-1),"")</f>
        <v/>
      </c>
      <c r="K30" t="str">
        <f ca="1">IF(H30&lt;&gt;"",
IF(AND(OFFSET(数出表_Excel【15時】!$A$1,A30+3,H30)&lt;&gt;"",OFFSET(数出表_Excel【15時】!$A$1,A30+3,H30)&lt;&gt;0),
OFFSET(数出表_Excel【15時】!$A$1,A30+3,H30),""),"")</f>
        <v/>
      </c>
      <c r="L30" s="209" t="str">
        <f t="array" aca="1" ref="L30" ca="1">IF(B30&lt;&gt;"",
IFERROR(MATCH(TRUE,ISNUMBER(INDIRECT("数出表_Excel【15時】!"&amp;SUBSTITUTE(ADDRESS(1,H30+2,4),"1","")&amp;(A30+4)&amp;":ZZ"&amp;(A30+4))),0)+H30+1,""),"")</f>
        <v/>
      </c>
      <c r="M30" t="str">
        <f ca="1">IF(L30&lt;&gt;"",
OFFSET(数出表_Excel【15時】!$A$1,2,L30-1)
&amp;IFERROR(OFFSET(数出表_Excel【15時】!$A$1,3,L30-1),"")
&amp;IFERROR(OFFSET(数出表_Excel【15時】!$A$1,4,L30-1),""),"")</f>
        <v/>
      </c>
      <c r="N30" t="str">
        <f ca="1">IF(L30&lt;&gt;"",
OFFSET(数出表_Excel【15時】!$A$1,A30+3,L30-1),"")</f>
        <v/>
      </c>
      <c r="O30" t="str">
        <f ca="1">IF(L30&lt;&gt;"",
IF(AND(OFFSET(数出表_Excel【15時】!$A$1,A30+3,L30)&lt;&gt;"",OFFSET(数出表_Excel【15時】!$A$1,A30+3,L30)&lt;&gt;0),
OFFSET(数出表_Excel【15時】!$A$1,A30+3,L30),""),"")</f>
        <v/>
      </c>
      <c r="Q30" t="str">
        <f ca="1">IF(C30&lt;&gt;"",
IF(E30&lt;&gt;"",1,0)+IF(I30&lt;&gt;"",1,0)+IF(M30&lt;&gt;"",1,0),"")</f>
        <v/>
      </c>
      <c r="AH30" t="str">
        <f t="array" aca="1" ref="AH30" ca="1">IFERROR(SMALL(IF(O$1:O$307&lt;&gt;0,O$1:O$307),ROW(AH30)),"")</f>
        <v/>
      </c>
      <c r="AI30" t="str">
        <f t="array" aca="1" ref="AI30" ca="1">IF($T30&lt;&gt;"",
SUBSTITUTE(SUBSTITUTE(INDIRECT("B"&amp;$T30&amp;"")," 週3ｺｰｽ","")," 週5ｺｰｽ",""),"")</f>
        <v/>
      </c>
    </row>
    <row r="31" spans="1:35">
      <c r="A31" t="str">
        <f t="shared" ca="1" si="0"/>
        <v/>
      </c>
      <c r="B31" t="str">
        <f t="array" aca="1" ref="B31" ca="1">IF(OR(COUNTIF(数出表_Excel【15時】!AO34,"*修正*"),COUNTIF(数出表_Excel【15時】!AO35,"*修正*")),
IF(ISEVEN(ROW()+4),INDIRECT("数出表_Excel【15時】!A"&amp;ROW()+4&amp;""),INDIRECT("数出表_Excel【15時】!A"&amp;ROW()+4-1&amp;"")),"")</f>
        <v/>
      </c>
      <c r="C31" t="str">
        <f t="array" aca="1" ref="C31" ca="1">IF(OR(COUNTIF(数出表_Excel【15時】!AO34,"*修正*"),COUNTIF(数出表_Excel【15時】!AO35,"*修正*")),
IF(ISEVEN(ROW()+4),INDIRECT("数出表_Excel【15時】!A"&amp;ROW()+4+1&amp;""),INDIRECT("数出表_Excel【15時】!A"&amp;ROW()+4&amp;"")),"")</f>
        <v/>
      </c>
      <c r="D31" s="209" t="str">
        <f t="array" aca="1" ref="D31" ca="1">IF(B31&lt;&gt;"",
IFERROR(MATCH(TRUE,ISNUMBER(INDIRECT("数出表_Excel【15時】!B"&amp;(A31+4)&amp;":ZZ"&amp;(A31+4))),0)+1,""),"")</f>
        <v/>
      </c>
      <c r="E31" t="str">
        <f ca="1">IF(D31&lt;&gt;"",
OFFSET(数出表_Excel【15時】!$A$1,2,D31-1)
&amp;IFERROR(OFFSET(数出表_Excel【15時】!$A$1,3,D31-1),"")
&amp;IFERROR(OFFSET(数出表_Excel【15時】!$A$1,4,D31-1),""),"")</f>
        <v/>
      </c>
      <c r="F31" t="str">
        <f ca="1">IF(D31&lt;&gt;"",
OFFSET(数出表_Excel【15時】!$A$1,A31+3,D31-1),"")</f>
        <v/>
      </c>
      <c r="G31" t="str">
        <f ca="1">IF(D31&lt;&gt;"",
IF(AND(OFFSET(数出表_Excel【15時】!$A$1,A31+3,D31)&lt;&gt;"",OFFSET(数出表_Excel【15時】!$A$1,A31+3,D31)&lt;&gt;0),
OFFSET(数出表_Excel【15時】!$A$1,A31+3,D31),""),"")</f>
        <v/>
      </c>
      <c r="H31" s="209" t="str">
        <f t="array" aca="1" ref="H31" ca="1">IF(B31&lt;&gt;"",
IFERROR(MATCH(TRUE,ISNUMBER(INDIRECT("数出表_Excel【15時】!"&amp;SUBSTITUTE(ADDRESS(1,D31+2,4),"1","")&amp;(A31+4)&amp;":ZZ"&amp;(A31+4))),0)+D31+1,""),"")</f>
        <v/>
      </c>
      <c r="I31" t="str">
        <f ca="1">IF(H31&lt;&gt;"",
OFFSET(数出表_Excel【15時】!$A$1,2,H31-1)
&amp;IFERROR(OFFSET(数出表_Excel【15時】!$A$1,3,H31-1),"")
&amp;IFERROR(OFFSET(数出表_Excel【15時】!$A$1,4,H31-1),""),"")</f>
        <v/>
      </c>
      <c r="J31" t="str">
        <f ca="1">IF(H31&lt;&gt;"",
OFFSET(数出表_Excel【15時】!$A$1,A31+3,H31-1),"")</f>
        <v/>
      </c>
      <c r="K31" t="str">
        <f ca="1">IF(H31&lt;&gt;"",
IF(AND(OFFSET(数出表_Excel【15時】!$A$1,A31+3,H31)&lt;&gt;"",OFFSET(数出表_Excel【15時】!$A$1,A31+3,H31)&lt;&gt;0),
OFFSET(数出表_Excel【15時】!$A$1,A31+3,H31),""),"")</f>
        <v/>
      </c>
      <c r="L31" s="209" t="str">
        <f t="array" aca="1" ref="L31" ca="1">IF(B31&lt;&gt;"",
IFERROR(MATCH(TRUE,ISNUMBER(INDIRECT("数出表_Excel【15時】!"&amp;SUBSTITUTE(ADDRESS(1,H31+2,4),"1","")&amp;(A31+4)&amp;":ZZ"&amp;(A31+4))),0)+H31+1,""),"")</f>
        <v/>
      </c>
      <c r="M31" t="str">
        <f ca="1">IF(L31&lt;&gt;"",
OFFSET(数出表_Excel【15時】!$A$1,2,L31-1)
&amp;IFERROR(OFFSET(数出表_Excel【15時】!$A$1,3,L31-1),"")
&amp;IFERROR(OFFSET(数出表_Excel【15時】!$A$1,4,L31-1),""),"")</f>
        <v/>
      </c>
      <c r="N31" t="str">
        <f ca="1">IF(L31&lt;&gt;"",
OFFSET(数出表_Excel【15時】!$A$1,A31+3,L31-1),"")</f>
        <v/>
      </c>
      <c r="O31" t="str">
        <f ca="1">IF(L31&lt;&gt;"",
IF(AND(OFFSET(数出表_Excel【15時】!$A$1,A31+3,L31)&lt;&gt;"",OFFSET(数出表_Excel【15時】!$A$1,A31+3,L31)&lt;&gt;0),
OFFSET(数出表_Excel【15時】!$A$1,A31+3,L31),""),"")</f>
        <v/>
      </c>
      <c r="AH31" t="str">
        <f t="array" aca="1" ref="AH31" ca="1">IFERROR(SMALL(IF(O$1:O$307&lt;&gt;0,O$1:O$307),ROW(AH31)),"")</f>
        <v/>
      </c>
      <c r="AI31" t="str">
        <f t="array" aca="1" ref="AI31" ca="1">IF($T31&lt;&gt;"",
SUBSTITUTE(SUBSTITUTE(INDIRECT("B"&amp;$T31&amp;"")," 週3ｺｰｽ","")," 週5ｺｰｽ",""),"")</f>
        <v/>
      </c>
    </row>
    <row r="32" spans="1:35">
      <c r="A32" t="str">
        <f t="shared" ca="1" si="0"/>
        <v/>
      </c>
      <c r="B32" t="str">
        <f t="array" aca="1" ref="B32" ca="1">IF(OR(COUNTIF(数出表_Excel【15時】!AO36,"*修正*"),COUNTIF(数出表_Excel【15時】!AO37,"*修正*")),
IF(ISEVEN(ROW()+4),INDIRECT("数出表_Excel【15時】!A"&amp;ROW()+4&amp;""),INDIRECT("数出表_Excel【15時】!A"&amp;ROW()+4-1&amp;"")),"")</f>
        <v/>
      </c>
      <c r="C32" t="str">
        <f t="array" aca="1" ref="C32" ca="1">IF(OR(COUNTIF(数出表_Excel【15時】!AO36,"*修正*"),COUNTIF(数出表_Excel【15時】!AO37,"*修正*")),
IF(ISEVEN(ROW()+4),INDIRECT("数出表_Excel【15時】!A"&amp;ROW()+4+1&amp;""),INDIRECT("数出表_Excel【15時】!A"&amp;ROW()+4&amp;"")),"")</f>
        <v/>
      </c>
      <c r="D32" s="209" t="str">
        <f t="array" aca="1" ref="D32" ca="1">IF(B32&lt;&gt;"",
IFERROR(MATCH(TRUE,ISNUMBER(INDIRECT("数出表_Excel【15時】!B"&amp;(A32+4)&amp;":ZZ"&amp;(A32+4))),0)+1,""),"")</f>
        <v/>
      </c>
      <c r="E32" t="str">
        <f ca="1">IF(D32&lt;&gt;"",
OFFSET(数出表_Excel【15時】!$A$1,2,D32-1)
&amp;IFERROR(OFFSET(数出表_Excel【15時】!$A$1,3,D32-1),"")
&amp;IFERROR(OFFSET(数出表_Excel【15時】!$A$1,4,D32-1),""),"")</f>
        <v/>
      </c>
      <c r="F32" t="str">
        <f ca="1">IF(D32&lt;&gt;"",
OFFSET(数出表_Excel【15時】!$A$1,A32+3,D32-1),"")</f>
        <v/>
      </c>
      <c r="G32" t="str">
        <f ca="1">IF(D32&lt;&gt;"",
IF(AND(OFFSET(数出表_Excel【15時】!$A$1,A32+3,D32)&lt;&gt;"",OFFSET(数出表_Excel【15時】!$A$1,A32+3,D32)&lt;&gt;0),
OFFSET(数出表_Excel【15時】!$A$1,A32+3,D32),""),"")</f>
        <v/>
      </c>
      <c r="H32" s="209" t="str">
        <f t="array" aca="1" ref="H32" ca="1">IF(B32&lt;&gt;"",
IFERROR(MATCH(TRUE,ISNUMBER(INDIRECT("数出表_Excel【15時】!"&amp;SUBSTITUTE(ADDRESS(1,D32+2,4),"1","")&amp;(A32+4)&amp;":ZZ"&amp;(A32+4))),0)+D32+1,""),"")</f>
        <v/>
      </c>
      <c r="I32" t="str">
        <f ca="1">IF(H32&lt;&gt;"",
OFFSET(数出表_Excel【15時】!$A$1,2,H32-1)
&amp;IFERROR(OFFSET(数出表_Excel【15時】!$A$1,3,H32-1),"")
&amp;IFERROR(OFFSET(数出表_Excel【15時】!$A$1,4,H32-1),""),"")</f>
        <v/>
      </c>
      <c r="J32" t="str">
        <f ca="1">IF(H32&lt;&gt;"",
OFFSET(数出表_Excel【15時】!$A$1,A32+3,H32-1),"")</f>
        <v/>
      </c>
      <c r="K32" t="str">
        <f ca="1">IF(H32&lt;&gt;"",
IF(AND(OFFSET(数出表_Excel【15時】!$A$1,A32+3,H32)&lt;&gt;"",OFFSET(数出表_Excel【15時】!$A$1,A32+3,H32)&lt;&gt;0),
OFFSET(数出表_Excel【15時】!$A$1,A32+3,H32),""),"")</f>
        <v/>
      </c>
      <c r="L32" s="209" t="str">
        <f t="array" aca="1" ref="L32" ca="1">IF(B32&lt;&gt;"",
IFERROR(MATCH(TRUE,ISNUMBER(INDIRECT("数出表_Excel【15時】!"&amp;SUBSTITUTE(ADDRESS(1,H32+2,4),"1","")&amp;(A32+4)&amp;":ZZ"&amp;(A32+4))),0)+H32+1,""),"")</f>
        <v/>
      </c>
      <c r="M32" t="str">
        <f ca="1">IF(L32&lt;&gt;"",
OFFSET(数出表_Excel【15時】!$A$1,2,L32-1)
&amp;IFERROR(OFFSET(数出表_Excel【15時】!$A$1,3,L32-1),"")
&amp;IFERROR(OFFSET(数出表_Excel【15時】!$A$1,4,L32-1),""),"")</f>
        <v/>
      </c>
      <c r="N32" t="str">
        <f ca="1">IF(L32&lt;&gt;"",
OFFSET(数出表_Excel【15時】!$A$1,A32+3,L32-1),"")</f>
        <v/>
      </c>
      <c r="O32" t="str">
        <f ca="1">IF(L32&lt;&gt;"",
IF(AND(OFFSET(数出表_Excel【15時】!$A$1,A32+3,L32)&lt;&gt;"",OFFSET(数出表_Excel【15時】!$A$1,A32+3,L32)&lt;&gt;0),
OFFSET(数出表_Excel【15時】!$A$1,A32+3,L32),""),"")</f>
        <v/>
      </c>
      <c r="Q32" t="str">
        <f ca="1">IF(C32&lt;&gt;"",
IF(E32&lt;&gt;"",1,0)+IF(I32&lt;&gt;"",1,0)+IF(M32&lt;&gt;"",1,0),"")</f>
        <v/>
      </c>
      <c r="AH32" t="str">
        <f t="array" aca="1" ref="AH32" ca="1">IFERROR(SMALL(IF(O$1:O$307&lt;&gt;0,O$1:O$307),ROW(AH32)),"")</f>
        <v/>
      </c>
      <c r="AI32" t="str">
        <f t="array" aca="1" ref="AI32" ca="1">IF($T32&lt;&gt;"",
SUBSTITUTE(SUBSTITUTE(INDIRECT("B"&amp;$T32&amp;"")," 週3ｺｰｽ","")," 週5ｺｰｽ",""),"")</f>
        <v/>
      </c>
    </row>
    <row r="33" spans="1:35">
      <c r="A33" t="str">
        <f t="shared" ca="1" si="0"/>
        <v/>
      </c>
      <c r="B33" t="str">
        <f t="array" aca="1" ref="B33" ca="1">IF(OR(COUNTIF(数出表_Excel【15時】!AO36,"*修正*"),COUNTIF(数出表_Excel【15時】!AO37,"*修正*")),
IF(ISEVEN(ROW()+4),INDIRECT("数出表_Excel【15時】!A"&amp;ROW()+4&amp;""),INDIRECT("数出表_Excel【15時】!A"&amp;ROW()+4-1&amp;"")),"")</f>
        <v/>
      </c>
      <c r="C33" t="str">
        <f t="array" aca="1" ref="C33" ca="1">IF(OR(COUNTIF(数出表_Excel【15時】!AO36,"*修正*"),COUNTIF(数出表_Excel【15時】!AO37,"*修正*")),
IF(ISEVEN(ROW()+4),INDIRECT("数出表_Excel【15時】!A"&amp;ROW()+4+1&amp;""),INDIRECT("数出表_Excel【15時】!A"&amp;ROW()+4&amp;"")),"")</f>
        <v/>
      </c>
      <c r="D33" s="209" t="str">
        <f t="array" aca="1" ref="D33" ca="1">IF(B33&lt;&gt;"",
IFERROR(MATCH(TRUE,ISNUMBER(INDIRECT("数出表_Excel【15時】!B"&amp;(A33+4)&amp;":ZZ"&amp;(A33+4))),0)+1,""),"")</f>
        <v/>
      </c>
      <c r="E33" t="str">
        <f ca="1">IF(D33&lt;&gt;"",
OFFSET(数出表_Excel【15時】!$A$1,2,D33-1)
&amp;IFERROR(OFFSET(数出表_Excel【15時】!$A$1,3,D33-1),"")
&amp;IFERROR(OFFSET(数出表_Excel【15時】!$A$1,4,D33-1),""),"")</f>
        <v/>
      </c>
      <c r="F33" t="str">
        <f ca="1">IF(D33&lt;&gt;"",
OFFSET(数出表_Excel【15時】!$A$1,A33+3,D33-1),"")</f>
        <v/>
      </c>
      <c r="G33" t="str">
        <f ca="1">IF(D33&lt;&gt;"",
IF(AND(OFFSET(数出表_Excel【15時】!$A$1,A33+3,D33)&lt;&gt;"",OFFSET(数出表_Excel【15時】!$A$1,A33+3,D33)&lt;&gt;0),
OFFSET(数出表_Excel【15時】!$A$1,A33+3,D33),""),"")</f>
        <v/>
      </c>
      <c r="H33" s="209" t="str">
        <f t="array" aca="1" ref="H33" ca="1">IF(B33&lt;&gt;"",
IFERROR(MATCH(TRUE,ISNUMBER(INDIRECT("数出表_Excel【15時】!"&amp;SUBSTITUTE(ADDRESS(1,D33+2,4),"1","")&amp;(A33+4)&amp;":ZZ"&amp;(A33+4))),0)+D33+1,""),"")</f>
        <v/>
      </c>
      <c r="I33" t="str">
        <f ca="1">IF(H33&lt;&gt;"",
OFFSET(数出表_Excel【15時】!$A$1,2,H33-1)
&amp;IFERROR(OFFSET(数出表_Excel【15時】!$A$1,3,H33-1),"")
&amp;IFERROR(OFFSET(数出表_Excel【15時】!$A$1,4,H33-1),""),"")</f>
        <v/>
      </c>
      <c r="J33" t="str">
        <f ca="1">IF(H33&lt;&gt;"",
OFFSET(数出表_Excel【15時】!$A$1,A33+3,H33-1),"")</f>
        <v/>
      </c>
      <c r="K33" t="str">
        <f ca="1">IF(H33&lt;&gt;"",
IF(AND(OFFSET(数出表_Excel【15時】!$A$1,A33+3,H33)&lt;&gt;"",OFFSET(数出表_Excel【15時】!$A$1,A33+3,H33)&lt;&gt;0),
OFFSET(数出表_Excel【15時】!$A$1,A33+3,H33),""),"")</f>
        <v/>
      </c>
      <c r="L33" s="209" t="str">
        <f t="array" aca="1" ref="L33" ca="1">IF(B33&lt;&gt;"",
IFERROR(MATCH(TRUE,ISNUMBER(INDIRECT("数出表_Excel【15時】!"&amp;SUBSTITUTE(ADDRESS(1,H33+2,4),"1","")&amp;(A33+4)&amp;":ZZ"&amp;(A33+4))),0)+H33+1,""),"")</f>
        <v/>
      </c>
      <c r="M33" t="str">
        <f ca="1">IF(L33&lt;&gt;"",
OFFSET(数出表_Excel【15時】!$A$1,2,L33-1)
&amp;IFERROR(OFFSET(数出表_Excel【15時】!$A$1,3,L33-1),"")
&amp;IFERROR(OFFSET(数出表_Excel【15時】!$A$1,4,L33-1),""),"")</f>
        <v/>
      </c>
      <c r="N33" t="str">
        <f ca="1">IF(L33&lt;&gt;"",
OFFSET(数出表_Excel【15時】!$A$1,A33+3,L33-1),"")</f>
        <v/>
      </c>
      <c r="O33" t="str">
        <f ca="1">IF(L33&lt;&gt;"",
IF(AND(OFFSET(数出表_Excel【15時】!$A$1,A33+3,L33)&lt;&gt;"",OFFSET(数出表_Excel【15時】!$A$1,A33+3,L33)&lt;&gt;0),
OFFSET(数出表_Excel【15時】!$A$1,A33+3,L33),""),"")</f>
        <v/>
      </c>
      <c r="AH33" t="str">
        <f t="array" aca="1" ref="AH33" ca="1">IFERROR(SMALL(IF(O$1:O$307&lt;&gt;0,O$1:O$307),ROW(AH33)),"")</f>
        <v/>
      </c>
      <c r="AI33" t="str">
        <f t="array" aca="1" ref="AI33" ca="1">IF($T33&lt;&gt;"",
SUBSTITUTE(SUBSTITUTE(INDIRECT("B"&amp;$T33&amp;"")," 週3ｺｰｽ","")," 週5ｺｰｽ",""),"")</f>
        <v/>
      </c>
    </row>
    <row r="34" spans="1:35">
      <c r="A34" t="str">
        <f t="shared" ca="1" si="0"/>
        <v/>
      </c>
      <c r="B34" t="str">
        <f t="array" aca="1" ref="B34" ca="1">IF(OR(COUNTIF(数出表_Excel【15時】!AO38,"*修正*"),COUNTIF(数出表_Excel【15時】!AO39,"*修正*")),
IF(ISEVEN(ROW()+4),INDIRECT("数出表_Excel【15時】!A"&amp;ROW()+4&amp;""),INDIRECT("数出表_Excel【15時】!A"&amp;ROW()+4-1&amp;"")),"")</f>
        <v/>
      </c>
      <c r="C34" t="str">
        <f t="array" aca="1" ref="C34" ca="1">IF(OR(COUNTIF(数出表_Excel【15時】!AO38,"*修正*"),COUNTIF(数出表_Excel【15時】!AO39,"*修正*")),
IF(ISEVEN(ROW()+4),INDIRECT("数出表_Excel【15時】!A"&amp;ROW()+4+1&amp;""),INDIRECT("数出表_Excel【15時】!A"&amp;ROW()+4&amp;"")),"")</f>
        <v/>
      </c>
      <c r="D34" s="209" t="str">
        <f t="array" aca="1" ref="D34" ca="1">IF(B34&lt;&gt;"",
IFERROR(MATCH(TRUE,ISNUMBER(INDIRECT("数出表_Excel【15時】!B"&amp;(A34+4)&amp;":ZZ"&amp;(A34+4))),0)+1,""),"")</f>
        <v/>
      </c>
      <c r="E34" t="str">
        <f ca="1">IF(D34&lt;&gt;"",
OFFSET(数出表_Excel【15時】!$A$1,2,D34-1)
&amp;IFERROR(OFFSET(数出表_Excel【15時】!$A$1,3,D34-1),"")
&amp;IFERROR(OFFSET(数出表_Excel【15時】!$A$1,4,D34-1),""),"")</f>
        <v/>
      </c>
      <c r="F34" t="str">
        <f ca="1">IF(D34&lt;&gt;"",
OFFSET(数出表_Excel【15時】!$A$1,A34+3,D34-1),"")</f>
        <v/>
      </c>
      <c r="G34" t="str">
        <f ca="1">IF(D34&lt;&gt;"",
IF(AND(OFFSET(数出表_Excel【15時】!$A$1,A34+3,D34)&lt;&gt;"",OFFSET(数出表_Excel【15時】!$A$1,A34+3,D34)&lt;&gt;0),
OFFSET(数出表_Excel【15時】!$A$1,A34+3,D34),""),"")</f>
        <v/>
      </c>
      <c r="H34" s="209" t="str">
        <f t="array" aca="1" ref="H34" ca="1">IF(B34&lt;&gt;"",
IFERROR(MATCH(TRUE,ISNUMBER(INDIRECT("数出表_Excel【15時】!"&amp;SUBSTITUTE(ADDRESS(1,D34+2,4),"1","")&amp;(A34+4)&amp;":ZZ"&amp;(A34+4))),0)+D34+1,""),"")</f>
        <v/>
      </c>
      <c r="I34" t="str">
        <f ca="1">IF(H34&lt;&gt;"",
OFFSET(数出表_Excel【15時】!$A$1,2,H34-1)
&amp;IFERROR(OFFSET(数出表_Excel【15時】!$A$1,3,H34-1),"")
&amp;IFERROR(OFFSET(数出表_Excel【15時】!$A$1,4,H34-1),""),"")</f>
        <v/>
      </c>
      <c r="J34" t="str">
        <f ca="1">IF(H34&lt;&gt;"",
OFFSET(数出表_Excel【15時】!$A$1,A34+3,H34-1),"")</f>
        <v/>
      </c>
      <c r="K34" t="str">
        <f ca="1">IF(H34&lt;&gt;"",
IF(AND(OFFSET(数出表_Excel【15時】!$A$1,A34+3,H34)&lt;&gt;"",OFFSET(数出表_Excel【15時】!$A$1,A34+3,H34)&lt;&gt;0),
OFFSET(数出表_Excel【15時】!$A$1,A34+3,H34),""),"")</f>
        <v/>
      </c>
      <c r="L34" s="209" t="str">
        <f t="array" aca="1" ref="L34" ca="1">IF(B34&lt;&gt;"",
IFERROR(MATCH(TRUE,ISNUMBER(INDIRECT("数出表_Excel【15時】!"&amp;SUBSTITUTE(ADDRESS(1,H34+2,4),"1","")&amp;(A34+4)&amp;":ZZ"&amp;(A34+4))),0)+H34+1,""),"")</f>
        <v/>
      </c>
      <c r="M34" t="str">
        <f ca="1">IF(L34&lt;&gt;"",
OFFSET(数出表_Excel【15時】!$A$1,2,L34-1)
&amp;IFERROR(OFFSET(数出表_Excel【15時】!$A$1,3,L34-1),"")
&amp;IFERROR(OFFSET(数出表_Excel【15時】!$A$1,4,L34-1),""),"")</f>
        <v/>
      </c>
      <c r="N34" t="str">
        <f ca="1">IF(L34&lt;&gt;"",
OFFSET(数出表_Excel【15時】!$A$1,A34+3,L34-1),"")</f>
        <v/>
      </c>
      <c r="O34" t="str">
        <f ca="1">IF(L34&lt;&gt;"",
IF(AND(OFFSET(数出表_Excel【15時】!$A$1,A34+3,L34)&lt;&gt;"",OFFSET(数出表_Excel【15時】!$A$1,A34+3,L34)&lt;&gt;0),
OFFSET(数出表_Excel【15時】!$A$1,A34+3,L34),""),"")</f>
        <v/>
      </c>
      <c r="Q34" t="str">
        <f ca="1">IF(C34&lt;&gt;"",
IF(E34&lt;&gt;"",1,0)+IF(I34&lt;&gt;"",1,0)+IF(M34&lt;&gt;"",1,0),"")</f>
        <v/>
      </c>
      <c r="AH34" t="str">
        <f t="array" aca="1" ref="AH34" ca="1">IFERROR(SMALL(IF(O$1:O$307&lt;&gt;0,O$1:O$307),ROW(AH34)),"")</f>
        <v/>
      </c>
      <c r="AI34" t="str">
        <f t="array" aca="1" ref="AI34" ca="1">IF($T34&lt;&gt;"",
SUBSTITUTE(SUBSTITUTE(INDIRECT("B"&amp;$T34&amp;"")," 週3ｺｰｽ","")," 週5ｺｰｽ",""),"")</f>
        <v/>
      </c>
    </row>
    <row r="35" spans="1:35">
      <c r="A35" t="str">
        <f t="shared" ca="1" si="0"/>
        <v/>
      </c>
      <c r="B35" t="str">
        <f t="array" aca="1" ref="B35" ca="1">IF(OR(COUNTIF(数出表_Excel【15時】!AO38,"*修正*"),COUNTIF(数出表_Excel【15時】!AO39,"*修正*")),
IF(ISEVEN(ROW()+4),INDIRECT("数出表_Excel【15時】!A"&amp;ROW()+4&amp;""),INDIRECT("数出表_Excel【15時】!A"&amp;ROW()+4-1&amp;"")),"")</f>
        <v/>
      </c>
      <c r="C35" t="str">
        <f t="array" aca="1" ref="C35" ca="1">IF(OR(COUNTIF(数出表_Excel【15時】!AO38,"*修正*"),COUNTIF(数出表_Excel【15時】!AO39,"*修正*")),
IF(ISEVEN(ROW()+4),INDIRECT("数出表_Excel【15時】!A"&amp;ROW()+4+1&amp;""),INDIRECT("数出表_Excel【15時】!A"&amp;ROW()+4&amp;"")),"")</f>
        <v/>
      </c>
      <c r="D35" s="209" t="str">
        <f t="array" aca="1" ref="D35" ca="1">IF(B35&lt;&gt;"",
IFERROR(MATCH(TRUE,ISNUMBER(INDIRECT("数出表_Excel【15時】!B"&amp;(A35+4)&amp;":ZZ"&amp;(A35+4))),0)+1,""),"")</f>
        <v/>
      </c>
      <c r="E35" t="str">
        <f ca="1">IF(D35&lt;&gt;"",
OFFSET(数出表_Excel【15時】!$A$1,2,D35-1)
&amp;IFERROR(OFFSET(数出表_Excel【15時】!$A$1,3,D35-1),"")
&amp;IFERROR(OFFSET(数出表_Excel【15時】!$A$1,4,D35-1),""),"")</f>
        <v/>
      </c>
      <c r="F35" t="str">
        <f ca="1">IF(D35&lt;&gt;"",
OFFSET(数出表_Excel【15時】!$A$1,A35+3,D35-1),"")</f>
        <v/>
      </c>
      <c r="G35" t="str">
        <f ca="1">IF(D35&lt;&gt;"",
IF(AND(OFFSET(数出表_Excel【15時】!$A$1,A35+3,D35)&lt;&gt;"",OFFSET(数出表_Excel【15時】!$A$1,A35+3,D35)&lt;&gt;0),
OFFSET(数出表_Excel【15時】!$A$1,A35+3,D35),""),"")</f>
        <v/>
      </c>
      <c r="H35" s="209" t="str">
        <f t="array" aca="1" ref="H35" ca="1">IF(B35&lt;&gt;"",
IFERROR(MATCH(TRUE,ISNUMBER(INDIRECT("数出表_Excel【15時】!"&amp;SUBSTITUTE(ADDRESS(1,D35+2,4),"1","")&amp;(A35+4)&amp;":ZZ"&amp;(A35+4))),0)+D35+1,""),"")</f>
        <v/>
      </c>
      <c r="I35" t="str">
        <f ca="1">IF(H35&lt;&gt;"",
OFFSET(数出表_Excel【15時】!$A$1,2,H35-1)
&amp;IFERROR(OFFSET(数出表_Excel【15時】!$A$1,3,H35-1),"")
&amp;IFERROR(OFFSET(数出表_Excel【15時】!$A$1,4,H35-1),""),"")</f>
        <v/>
      </c>
      <c r="J35" t="str">
        <f ca="1">IF(H35&lt;&gt;"",
OFFSET(数出表_Excel【15時】!$A$1,A35+3,H35-1),"")</f>
        <v/>
      </c>
      <c r="K35" t="str">
        <f ca="1">IF(H35&lt;&gt;"",
IF(AND(OFFSET(数出表_Excel【15時】!$A$1,A35+3,H35)&lt;&gt;"",OFFSET(数出表_Excel【15時】!$A$1,A35+3,H35)&lt;&gt;0),
OFFSET(数出表_Excel【15時】!$A$1,A35+3,H35),""),"")</f>
        <v/>
      </c>
      <c r="L35" s="209" t="str">
        <f t="array" aca="1" ref="L35" ca="1">IF(B35&lt;&gt;"",
IFERROR(MATCH(TRUE,ISNUMBER(INDIRECT("数出表_Excel【15時】!"&amp;SUBSTITUTE(ADDRESS(1,H35+2,4),"1","")&amp;(A35+4)&amp;":ZZ"&amp;(A35+4))),0)+H35+1,""),"")</f>
        <v/>
      </c>
      <c r="M35" t="str">
        <f ca="1">IF(L35&lt;&gt;"",
OFFSET(数出表_Excel【15時】!$A$1,2,L35-1)
&amp;IFERROR(OFFSET(数出表_Excel【15時】!$A$1,3,L35-1),"")
&amp;IFERROR(OFFSET(数出表_Excel【15時】!$A$1,4,L35-1),""),"")</f>
        <v/>
      </c>
      <c r="N35" t="str">
        <f ca="1">IF(L35&lt;&gt;"",
OFFSET(数出表_Excel【15時】!$A$1,A35+3,L35-1),"")</f>
        <v/>
      </c>
      <c r="O35" t="str">
        <f ca="1">IF(L35&lt;&gt;"",
IF(AND(OFFSET(数出表_Excel【15時】!$A$1,A35+3,L35)&lt;&gt;"",OFFSET(数出表_Excel【15時】!$A$1,A35+3,L35)&lt;&gt;0),
OFFSET(数出表_Excel【15時】!$A$1,A35+3,L35),""),"")</f>
        <v/>
      </c>
      <c r="AH35" t="str">
        <f t="array" aca="1" ref="AH35" ca="1">IFERROR(SMALL(IF(O$1:O$307&lt;&gt;0,O$1:O$307),ROW(AH35)),"")</f>
        <v/>
      </c>
      <c r="AI35" t="str">
        <f t="array" aca="1" ref="AI35" ca="1">IF($T35&lt;&gt;"",
SUBSTITUTE(SUBSTITUTE(INDIRECT("B"&amp;$T35&amp;"")," 週3ｺｰｽ","")," 週5ｺｰｽ",""),"")</f>
        <v/>
      </c>
    </row>
    <row r="36" spans="1:35">
      <c r="A36" t="str">
        <f t="shared" ca="1" si="0"/>
        <v/>
      </c>
      <c r="B36" t="str">
        <f t="array" aca="1" ref="B36" ca="1">IF(OR(COUNTIF(数出表_Excel【15時】!AO40,"*修正*"),COUNTIF(数出表_Excel【15時】!AO41,"*修正*")),
IF(ISEVEN(ROW()+4),INDIRECT("数出表_Excel【15時】!A"&amp;ROW()+4&amp;""),INDIRECT("数出表_Excel【15時】!A"&amp;ROW()+4-1&amp;"")),"")</f>
        <v/>
      </c>
      <c r="C36" t="str">
        <f t="array" aca="1" ref="C36" ca="1">IF(OR(COUNTIF(数出表_Excel【15時】!AO40,"*修正*"),COUNTIF(数出表_Excel【15時】!AO41,"*修正*")),
IF(ISEVEN(ROW()+4),INDIRECT("数出表_Excel【15時】!A"&amp;ROW()+4+1&amp;""),INDIRECT("数出表_Excel【15時】!A"&amp;ROW()+4&amp;"")),"")</f>
        <v/>
      </c>
      <c r="D36" s="209" t="str">
        <f t="array" aca="1" ref="D36" ca="1">IF(B36&lt;&gt;"",
IFERROR(MATCH(TRUE,ISNUMBER(INDIRECT("数出表_Excel【15時】!B"&amp;(A36+4)&amp;":ZZ"&amp;(A36+4))),0)+1,""),"")</f>
        <v/>
      </c>
      <c r="E36" t="str">
        <f ca="1">IF(D36&lt;&gt;"",
OFFSET(数出表_Excel【15時】!$A$1,2,D36-1)
&amp;IFERROR(OFFSET(数出表_Excel【15時】!$A$1,3,D36-1),"")
&amp;IFERROR(OFFSET(数出表_Excel【15時】!$A$1,4,D36-1),""),"")</f>
        <v/>
      </c>
      <c r="F36" t="str">
        <f ca="1">IF(D36&lt;&gt;"",
OFFSET(数出表_Excel【15時】!$A$1,A36+3,D36-1),"")</f>
        <v/>
      </c>
      <c r="G36" t="str">
        <f ca="1">IF(D36&lt;&gt;"",
IF(AND(OFFSET(数出表_Excel【15時】!$A$1,A36+3,D36)&lt;&gt;"",OFFSET(数出表_Excel【15時】!$A$1,A36+3,D36)&lt;&gt;0),
OFFSET(数出表_Excel【15時】!$A$1,A36+3,D36),""),"")</f>
        <v/>
      </c>
      <c r="H36" s="209" t="str">
        <f t="array" aca="1" ref="H36" ca="1">IF(B36&lt;&gt;"",
IFERROR(MATCH(TRUE,ISNUMBER(INDIRECT("数出表_Excel【15時】!"&amp;SUBSTITUTE(ADDRESS(1,D36+2,4),"1","")&amp;(A36+4)&amp;":ZZ"&amp;(A36+4))),0)+D36+1,""),"")</f>
        <v/>
      </c>
      <c r="I36" t="str">
        <f ca="1">IF(H36&lt;&gt;"",
OFFSET(数出表_Excel【15時】!$A$1,2,H36-1)
&amp;IFERROR(OFFSET(数出表_Excel【15時】!$A$1,3,H36-1),"")
&amp;IFERROR(OFFSET(数出表_Excel【15時】!$A$1,4,H36-1),""),"")</f>
        <v/>
      </c>
      <c r="J36" t="str">
        <f ca="1">IF(H36&lt;&gt;"",
OFFSET(数出表_Excel【15時】!$A$1,A36+3,H36-1),"")</f>
        <v/>
      </c>
      <c r="K36" t="str">
        <f ca="1">IF(H36&lt;&gt;"",
IF(AND(OFFSET(数出表_Excel【15時】!$A$1,A36+3,H36)&lt;&gt;"",OFFSET(数出表_Excel【15時】!$A$1,A36+3,H36)&lt;&gt;0),
OFFSET(数出表_Excel【15時】!$A$1,A36+3,H36),""),"")</f>
        <v/>
      </c>
      <c r="L36" s="209" t="str">
        <f t="array" aca="1" ref="L36" ca="1">IF(B36&lt;&gt;"",
IFERROR(MATCH(TRUE,ISNUMBER(INDIRECT("数出表_Excel【15時】!"&amp;SUBSTITUTE(ADDRESS(1,H36+2,4),"1","")&amp;(A36+4)&amp;":ZZ"&amp;(A36+4))),0)+H36+1,""),"")</f>
        <v/>
      </c>
      <c r="M36" t="str">
        <f ca="1">IF(L36&lt;&gt;"",
OFFSET(数出表_Excel【15時】!$A$1,2,L36-1)
&amp;IFERROR(OFFSET(数出表_Excel【15時】!$A$1,3,L36-1),"")
&amp;IFERROR(OFFSET(数出表_Excel【15時】!$A$1,4,L36-1),""),"")</f>
        <v/>
      </c>
      <c r="N36" t="str">
        <f ca="1">IF(L36&lt;&gt;"",
OFFSET(数出表_Excel【15時】!$A$1,A36+3,L36-1),"")</f>
        <v/>
      </c>
      <c r="O36" t="str">
        <f ca="1">IF(L36&lt;&gt;"",
IF(AND(OFFSET(数出表_Excel【15時】!$A$1,A36+3,L36)&lt;&gt;"",OFFSET(数出表_Excel【15時】!$A$1,A36+3,L36)&lt;&gt;0),
OFFSET(数出表_Excel【15時】!$A$1,A36+3,L36),""),"")</f>
        <v/>
      </c>
      <c r="Q36" t="str">
        <f ca="1">IF(C36&lt;&gt;"",
IF(E36&lt;&gt;"",1,0)+IF(I36&lt;&gt;"",1,0)+IF(M36&lt;&gt;"",1,0),"")</f>
        <v/>
      </c>
      <c r="AH36" t="str">
        <f t="array" aca="1" ref="AH36" ca="1">IFERROR(SMALL(IF(O$1:O$307&lt;&gt;0,O$1:O$307),ROW(AH36)),"")</f>
        <v/>
      </c>
      <c r="AI36" t="str">
        <f t="array" aca="1" ref="AI36" ca="1">IF($T36&lt;&gt;"",
SUBSTITUTE(SUBSTITUTE(INDIRECT("B"&amp;$T36&amp;"")," 週3ｺｰｽ","")," 週5ｺｰｽ",""),"")</f>
        <v/>
      </c>
    </row>
    <row r="37" spans="1:35">
      <c r="A37" t="str">
        <f t="shared" ca="1" si="0"/>
        <v/>
      </c>
      <c r="B37" t="str">
        <f t="array" aca="1" ref="B37" ca="1">IF(OR(COUNTIF(数出表_Excel【15時】!AO40,"*修正*"),COUNTIF(数出表_Excel【15時】!AO41,"*修正*")),
IF(ISEVEN(ROW()+4),INDIRECT("数出表_Excel【15時】!A"&amp;ROW()+4&amp;""),INDIRECT("数出表_Excel【15時】!A"&amp;ROW()+4-1&amp;"")),"")</f>
        <v/>
      </c>
      <c r="C37" t="str">
        <f t="array" aca="1" ref="C37" ca="1">IF(OR(COUNTIF(数出表_Excel【15時】!AO40,"*修正*"),COUNTIF(数出表_Excel【15時】!AO41,"*修正*")),
IF(ISEVEN(ROW()+4),INDIRECT("数出表_Excel【15時】!A"&amp;ROW()+4+1&amp;""),INDIRECT("数出表_Excel【15時】!A"&amp;ROW()+4&amp;"")),"")</f>
        <v/>
      </c>
      <c r="D37" s="209" t="str">
        <f t="array" aca="1" ref="D37" ca="1">IF(B37&lt;&gt;"",
IFERROR(MATCH(TRUE,ISNUMBER(INDIRECT("数出表_Excel【15時】!B"&amp;(A37+4)&amp;":ZZ"&amp;(A37+4))),0)+1,""),"")</f>
        <v/>
      </c>
      <c r="E37" t="str">
        <f ca="1">IF(D37&lt;&gt;"",
OFFSET(数出表_Excel【15時】!$A$1,2,D37-1)
&amp;IFERROR(OFFSET(数出表_Excel【15時】!$A$1,3,D37-1),"")
&amp;IFERROR(OFFSET(数出表_Excel【15時】!$A$1,4,D37-1),""),"")</f>
        <v/>
      </c>
      <c r="F37" t="str">
        <f ca="1">IF(D37&lt;&gt;"",
OFFSET(数出表_Excel【15時】!$A$1,A37+3,D37-1),"")</f>
        <v/>
      </c>
      <c r="G37" t="str">
        <f ca="1">IF(D37&lt;&gt;"",
IF(AND(OFFSET(数出表_Excel【15時】!$A$1,A37+3,D37)&lt;&gt;"",OFFSET(数出表_Excel【15時】!$A$1,A37+3,D37)&lt;&gt;0),
OFFSET(数出表_Excel【15時】!$A$1,A37+3,D37),""),"")</f>
        <v/>
      </c>
      <c r="H37" s="209" t="str">
        <f t="array" aca="1" ref="H37" ca="1">IF(B37&lt;&gt;"",
IFERROR(MATCH(TRUE,ISNUMBER(INDIRECT("数出表_Excel【15時】!"&amp;SUBSTITUTE(ADDRESS(1,D37+2,4),"1","")&amp;(A37+4)&amp;":ZZ"&amp;(A37+4))),0)+D37+1,""),"")</f>
        <v/>
      </c>
      <c r="I37" t="str">
        <f ca="1">IF(H37&lt;&gt;"",
OFFSET(数出表_Excel【15時】!$A$1,2,H37-1)
&amp;IFERROR(OFFSET(数出表_Excel【15時】!$A$1,3,H37-1),"")
&amp;IFERROR(OFFSET(数出表_Excel【15時】!$A$1,4,H37-1),""),"")</f>
        <v/>
      </c>
      <c r="J37" t="str">
        <f ca="1">IF(H37&lt;&gt;"",
OFFSET(数出表_Excel【15時】!$A$1,A37+3,H37-1),"")</f>
        <v/>
      </c>
      <c r="K37" t="str">
        <f ca="1">IF(H37&lt;&gt;"",
IF(AND(OFFSET(数出表_Excel【15時】!$A$1,A37+3,H37)&lt;&gt;"",OFFSET(数出表_Excel【15時】!$A$1,A37+3,H37)&lt;&gt;0),
OFFSET(数出表_Excel【15時】!$A$1,A37+3,H37),""),"")</f>
        <v/>
      </c>
      <c r="L37" s="209" t="str">
        <f t="array" aca="1" ref="L37" ca="1">IF(B37&lt;&gt;"",
IFERROR(MATCH(TRUE,ISNUMBER(INDIRECT("数出表_Excel【15時】!"&amp;SUBSTITUTE(ADDRESS(1,H37+2,4),"1","")&amp;(A37+4)&amp;":ZZ"&amp;(A37+4))),0)+H37+1,""),"")</f>
        <v/>
      </c>
      <c r="M37" t="str">
        <f ca="1">IF(L37&lt;&gt;"",
OFFSET(数出表_Excel【15時】!$A$1,2,L37-1)
&amp;IFERROR(OFFSET(数出表_Excel【15時】!$A$1,3,L37-1),"")
&amp;IFERROR(OFFSET(数出表_Excel【15時】!$A$1,4,L37-1),""),"")</f>
        <v/>
      </c>
      <c r="N37" t="str">
        <f ca="1">IF(L37&lt;&gt;"",
OFFSET(数出表_Excel【15時】!$A$1,A37+3,L37-1),"")</f>
        <v/>
      </c>
      <c r="O37" t="str">
        <f ca="1">IF(L37&lt;&gt;"",
IF(AND(OFFSET(数出表_Excel【15時】!$A$1,A37+3,L37)&lt;&gt;"",OFFSET(数出表_Excel【15時】!$A$1,A37+3,L37)&lt;&gt;0),
OFFSET(数出表_Excel【15時】!$A$1,A37+3,L37),""),"")</f>
        <v/>
      </c>
      <c r="AH37" t="str">
        <f t="array" aca="1" ref="AH37" ca="1">IFERROR(SMALL(IF(O$1:O$307&lt;&gt;0,O$1:O$307),ROW(AH37)),"")</f>
        <v/>
      </c>
      <c r="AI37" t="str">
        <f t="array" aca="1" ref="AI37" ca="1">IF($T37&lt;&gt;"",
SUBSTITUTE(SUBSTITUTE(INDIRECT("B"&amp;$T37&amp;"")," 週3ｺｰｽ","")," 週5ｺｰｽ",""),"")</f>
        <v/>
      </c>
    </row>
    <row r="38" spans="1:35">
      <c r="A38" t="str">
        <f t="shared" ca="1" si="0"/>
        <v/>
      </c>
      <c r="B38" t="str">
        <f t="array" aca="1" ref="B38" ca="1">IF(OR(COUNTIF(数出表_Excel【15時】!AO42,"*修正*"),COUNTIF(数出表_Excel【15時】!AO43,"*修正*")),
IF(ISEVEN(ROW()+4),INDIRECT("数出表_Excel【15時】!A"&amp;ROW()+4&amp;""),INDIRECT("数出表_Excel【15時】!A"&amp;ROW()+4-1&amp;"")),"")</f>
        <v/>
      </c>
      <c r="C38" t="str">
        <f t="array" aca="1" ref="C38" ca="1">IF(OR(COUNTIF(数出表_Excel【15時】!AO42,"*修正*"),COUNTIF(数出表_Excel【15時】!AO43,"*修正*")),
IF(ISEVEN(ROW()+4),INDIRECT("数出表_Excel【15時】!A"&amp;ROW()+4+1&amp;""),INDIRECT("数出表_Excel【15時】!A"&amp;ROW()+4&amp;"")),"")</f>
        <v/>
      </c>
      <c r="D38" s="209" t="str">
        <f t="array" aca="1" ref="D38" ca="1">IF(B38&lt;&gt;"",
IFERROR(MATCH(TRUE,ISNUMBER(INDIRECT("数出表_Excel【15時】!B"&amp;(A38+4)&amp;":ZZ"&amp;(A38+4))),0)+1,""),"")</f>
        <v/>
      </c>
      <c r="E38" t="str">
        <f ca="1">IF(D38&lt;&gt;"",
OFFSET(数出表_Excel【15時】!$A$1,2,D38-1)
&amp;IFERROR(OFFSET(数出表_Excel【15時】!$A$1,3,D38-1),"")
&amp;IFERROR(OFFSET(数出表_Excel【15時】!$A$1,4,D38-1),""),"")</f>
        <v/>
      </c>
      <c r="F38" t="str">
        <f ca="1">IF(D38&lt;&gt;"",
OFFSET(数出表_Excel【15時】!$A$1,A38+3,D38-1),"")</f>
        <v/>
      </c>
      <c r="G38" t="str">
        <f ca="1">IF(D38&lt;&gt;"",
IF(AND(OFFSET(数出表_Excel【15時】!$A$1,A38+3,D38)&lt;&gt;"",OFFSET(数出表_Excel【15時】!$A$1,A38+3,D38)&lt;&gt;0),
OFFSET(数出表_Excel【15時】!$A$1,A38+3,D38),""),"")</f>
        <v/>
      </c>
      <c r="H38" s="209" t="str">
        <f t="array" aca="1" ref="H38" ca="1">IF(B38&lt;&gt;"",
IFERROR(MATCH(TRUE,ISNUMBER(INDIRECT("数出表_Excel【15時】!"&amp;SUBSTITUTE(ADDRESS(1,D38+2,4),"1","")&amp;(A38+4)&amp;":ZZ"&amp;(A38+4))),0)+D38+1,""),"")</f>
        <v/>
      </c>
      <c r="I38" t="str">
        <f ca="1">IF(H38&lt;&gt;"",
OFFSET(数出表_Excel【15時】!$A$1,2,H38-1)
&amp;IFERROR(OFFSET(数出表_Excel【15時】!$A$1,3,H38-1),"")
&amp;IFERROR(OFFSET(数出表_Excel【15時】!$A$1,4,H38-1),""),"")</f>
        <v/>
      </c>
      <c r="J38" t="str">
        <f ca="1">IF(H38&lt;&gt;"",
OFFSET(数出表_Excel【15時】!$A$1,A38+3,H38-1),"")</f>
        <v/>
      </c>
      <c r="K38" t="str">
        <f ca="1">IF(H38&lt;&gt;"",
IF(AND(OFFSET(数出表_Excel【15時】!$A$1,A38+3,H38)&lt;&gt;"",OFFSET(数出表_Excel【15時】!$A$1,A38+3,H38)&lt;&gt;0),
OFFSET(数出表_Excel【15時】!$A$1,A38+3,H38),""),"")</f>
        <v/>
      </c>
      <c r="L38" s="209" t="str">
        <f t="array" aca="1" ref="L38" ca="1">IF(B38&lt;&gt;"",
IFERROR(MATCH(TRUE,ISNUMBER(INDIRECT("数出表_Excel【15時】!"&amp;SUBSTITUTE(ADDRESS(1,H38+2,4),"1","")&amp;(A38+4)&amp;":ZZ"&amp;(A38+4))),0)+H38+1,""),"")</f>
        <v/>
      </c>
      <c r="M38" t="str">
        <f ca="1">IF(L38&lt;&gt;"",
OFFSET(数出表_Excel【15時】!$A$1,2,L38-1)
&amp;IFERROR(OFFSET(数出表_Excel【15時】!$A$1,3,L38-1),"")
&amp;IFERROR(OFFSET(数出表_Excel【15時】!$A$1,4,L38-1),""),"")</f>
        <v/>
      </c>
      <c r="N38" t="str">
        <f ca="1">IF(L38&lt;&gt;"",
OFFSET(数出表_Excel【15時】!$A$1,A38+3,L38-1),"")</f>
        <v/>
      </c>
      <c r="O38" t="str">
        <f ca="1">IF(L38&lt;&gt;"",
IF(AND(OFFSET(数出表_Excel【15時】!$A$1,A38+3,L38)&lt;&gt;"",OFFSET(数出表_Excel【15時】!$A$1,A38+3,L38)&lt;&gt;0),
OFFSET(数出表_Excel【15時】!$A$1,A38+3,L38),""),"")</f>
        <v/>
      </c>
      <c r="Q38" t="str">
        <f ca="1">IF(C38&lt;&gt;"",
IF(E38&lt;&gt;"",1,0)+IF(I38&lt;&gt;"",1,0)+IF(M38&lt;&gt;"",1,0),"")</f>
        <v/>
      </c>
      <c r="AH38" t="str">
        <f t="array" aca="1" ref="AH38" ca="1">IFERROR(SMALL(IF(O$1:O$307&lt;&gt;0,O$1:O$307),ROW(AH38)),"")</f>
        <v/>
      </c>
      <c r="AI38" t="str">
        <f t="array" aca="1" ref="AI38" ca="1">IF($T38&lt;&gt;"",
SUBSTITUTE(SUBSTITUTE(INDIRECT("B"&amp;$T38&amp;"")," 週3ｺｰｽ","")," 週5ｺｰｽ",""),"")</f>
        <v/>
      </c>
    </row>
    <row r="39" spans="1:35">
      <c r="A39" t="str">
        <f t="shared" ca="1" si="0"/>
        <v/>
      </c>
      <c r="B39" t="str">
        <f t="array" aca="1" ref="B39" ca="1">IF(OR(COUNTIF(数出表_Excel【15時】!AO42,"*修正*"),COUNTIF(数出表_Excel【15時】!AO43,"*修正*")),
IF(ISEVEN(ROW()+4),INDIRECT("数出表_Excel【15時】!A"&amp;ROW()+4&amp;""),INDIRECT("数出表_Excel【15時】!A"&amp;ROW()+4-1&amp;"")),"")</f>
        <v/>
      </c>
      <c r="C39" t="str">
        <f t="array" aca="1" ref="C39" ca="1">IF(OR(COUNTIF(数出表_Excel【15時】!AO42,"*修正*"),COUNTIF(数出表_Excel【15時】!AO43,"*修正*")),
IF(ISEVEN(ROW()+4),INDIRECT("数出表_Excel【15時】!A"&amp;ROW()+4+1&amp;""),INDIRECT("数出表_Excel【15時】!A"&amp;ROW()+4&amp;"")),"")</f>
        <v/>
      </c>
      <c r="D39" s="209" t="str">
        <f t="array" aca="1" ref="D39" ca="1">IF(B39&lt;&gt;"",
IFERROR(MATCH(TRUE,ISNUMBER(INDIRECT("数出表_Excel【15時】!B"&amp;(A39+4)&amp;":ZZ"&amp;(A39+4))),0)+1,""),"")</f>
        <v/>
      </c>
      <c r="E39" t="str">
        <f ca="1">IF(D39&lt;&gt;"",
OFFSET(数出表_Excel【15時】!$A$1,2,D39-1)
&amp;IFERROR(OFFSET(数出表_Excel【15時】!$A$1,3,D39-1),"")
&amp;IFERROR(OFFSET(数出表_Excel【15時】!$A$1,4,D39-1),""),"")</f>
        <v/>
      </c>
      <c r="F39" t="str">
        <f ca="1">IF(D39&lt;&gt;"",
OFFSET(数出表_Excel【15時】!$A$1,A39+3,D39-1),"")</f>
        <v/>
      </c>
      <c r="G39" t="str">
        <f ca="1">IF(D39&lt;&gt;"",
IF(AND(OFFSET(数出表_Excel【15時】!$A$1,A39+3,D39)&lt;&gt;"",OFFSET(数出表_Excel【15時】!$A$1,A39+3,D39)&lt;&gt;0),
OFFSET(数出表_Excel【15時】!$A$1,A39+3,D39),""),"")</f>
        <v/>
      </c>
      <c r="H39" s="209" t="str">
        <f t="array" aca="1" ref="H39" ca="1">IF(B39&lt;&gt;"",
IFERROR(MATCH(TRUE,ISNUMBER(INDIRECT("数出表_Excel【15時】!"&amp;SUBSTITUTE(ADDRESS(1,D39+2,4),"1","")&amp;(A39+4)&amp;":ZZ"&amp;(A39+4))),0)+D39+1,""),"")</f>
        <v/>
      </c>
      <c r="I39" t="str">
        <f ca="1">IF(H39&lt;&gt;"",
OFFSET(数出表_Excel【15時】!$A$1,2,H39-1)
&amp;IFERROR(OFFSET(数出表_Excel【15時】!$A$1,3,H39-1),"")
&amp;IFERROR(OFFSET(数出表_Excel【15時】!$A$1,4,H39-1),""),"")</f>
        <v/>
      </c>
      <c r="J39" t="str">
        <f ca="1">IF(H39&lt;&gt;"",
OFFSET(数出表_Excel【15時】!$A$1,A39+3,H39-1),"")</f>
        <v/>
      </c>
      <c r="K39" t="str">
        <f ca="1">IF(H39&lt;&gt;"",
IF(AND(OFFSET(数出表_Excel【15時】!$A$1,A39+3,H39)&lt;&gt;"",OFFSET(数出表_Excel【15時】!$A$1,A39+3,H39)&lt;&gt;0),
OFFSET(数出表_Excel【15時】!$A$1,A39+3,H39),""),"")</f>
        <v/>
      </c>
      <c r="L39" s="209" t="str">
        <f t="array" aca="1" ref="L39" ca="1">IF(B39&lt;&gt;"",
IFERROR(MATCH(TRUE,ISNUMBER(INDIRECT("数出表_Excel【15時】!"&amp;SUBSTITUTE(ADDRESS(1,H39+2,4),"1","")&amp;(A39+4)&amp;":ZZ"&amp;(A39+4))),0)+H39+1,""),"")</f>
        <v/>
      </c>
      <c r="M39" t="str">
        <f ca="1">IF(L39&lt;&gt;"",
OFFSET(数出表_Excel【15時】!$A$1,2,L39-1)
&amp;IFERROR(OFFSET(数出表_Excel【15時】!$A$1,3,L39-1),"")
&amp;IFERROR(OFFSET(数出表_Excel【15時】!$A$1,4,L39-1),""),"")</f>
        <v/>
      </c>
      <c r="N39" t="str">
        <f ca="1">IF(L39&lt;&gt;"",
OFFSET(数出表_Excel【15時】!$A$1,A39+3,L39-1),"")</f>
        <v/>
      </c>
      <c r="O39" t="str">
        <f ca="1">IF(L39&lt;&gt;"",
IF(AND(OFFSET(数出表_Excel【15時】!$A$1,A39+3,L39)&lt;&gt;"",OFFSET(数出表_Excel【15時】!$A$1,A39+3,L39)&lt;&gt;0),
OFFSET(数出表_Excel【15時】!$A$1,A39+3,L39),""),"")</f>
        <v/>
      </c>
      <c r="AH39" t="str">
        <f t="array" aca="1" ref="AH39" ca="1">IFERROR(SMALL(IF(O$1:O$307&lt;&gt;0,O$1:O$307),ROW(AH39)),"")</f>
        <v/>
      </c>
      <c r="AI39" t="str">
        <f t="array" aca="1" ref="AI39" ca="1">IF($T39&lt;&gt;"",
SUBSTITUTE(SUBSTITUTE(INDIRECT("B"&amp;$T39&amp;"")," 週3ｺｰｽ","")," 週5ｺｰｽ",""),"")</f>
        <v/>
      </c>
    </row>
    <row r="40" spans="1:35">
      <c r="A40" t="str">
        <f t="shared" ca="1" si="0"/>
        <v/>
      </c>
      <c r="B40" t="str">
        <f t="array" aca="1" ref="B40" ca="1">IF(OR(COUNTIF(数出表_Excel【15時】!AO44,"*修正*"),COUNTIF(数出表_Excel【15時】!AO45,"*修正*")),
IF(ISEVEN(ROW()+4),INDIRECT("数出表_Excel【15時】!A"&amp;ROW()+4&amp;""),INDIRECT("数出表_Excel【15時】!A"&amp;ROW()+4-1&amp;"")),"")</f>
        <v/>
      </c>
      <c r="C40" t="str">
        <f t="array" aca="1" ref="C40" ca="1">IF(OR(COUNTIF(数出表_Excel【15時】!AO44,"*修正*"),COUNTIF(数出表_Excel【15時】!AO45,"*修正*")),
IF(ISEVEN(ROW()+4),INDIRECT("数出表_Excel【15時】!A"&amp;ROW()+4+1&amp;""),INDIRECT("数出表_Excel【15時】!A"&amp;ROW()+4&amp;"")),"")</f>
        <v/>
      </c>
      <c r="D40" s="209" t="str">
        <f t="array" aca="1" ref="D40" ca="1">IF(B40&lt;&gt;"",
IFERROR(MATCH(TRUE,ISNUMBER(INDIRECT("数出表_Excel【15時】!B"&amp;(A40+4)&amp;":ZZ"&amp;(A40+4))),0)+1,""),"")</f>
        <v/>
      </c>
      <c r="E40" t="str">
        <f ca="1">IF(D40&lt;&gt;"",
OFFSET(数出表_Excel【15時】!$A$1,2,D40-1)
&amp;IFERROR(OFFSET(数出表_Excel【15時】!$A$1,3,D40-1),"")
&amp;IFERROR(OFFSET(数出表_Excel【15時】!$A$1,4,D40-1),""),"")</f>
        <v/>
      </c>
      <c r="F40" t="str">
        <f ca="1">IF(D40&lt;&gt;"",
OFFSET(数出表_Excel【15時】!$A$1,A40+3,D40-1),"")</f>
        <v/>
      </c>
      <c r="G40" t="str">
        <f ca="1">IF(D40&lt;&gt;"",
IF(AND(OFFSET(数出表_Excel【15時】!$A$1,A40+3,D40)&lt;&gt;"",OFFSET(数出表_Excel【15時】!$A$1,A40+3,D40)&lt;&gt;0),
OFFSET(数出表_Excel【15時】!$A$1,A40+3,D40),""),"")</f>
        <v/>
      </c>
      <c r="H40" s="209" t="str">
        <f t="array" aca="1" ref="H40" ca="1">IF(B40&lt;&gt;"",
IFERROR(MATCH(TRUE,ISNUMBER(INDIRECT("数出表_Excel【15時】!"&amp;SUBSTITUTE(ADDRESS(1,D40+2,4),"1","")&amp;(A40+4)&amp;":ZZ"&amp;(A40+4))),0)+D40+1,""),"")</f>
        <v/>
      </c>
      <c r="I40" t="str">
        <f ca="1">IF(H40&lt;&gt;"",
OFFSET(数出表_Excel【15時】!$A$1,2,H40-1)
&amp;IFERROR(OFFSET(数出表_Excel【15時】!$A$1,3,H40-1),"")
&amp;IFERROR(OFFSET(数出表_Excel【15時】!$A$1,4,H40-1),""),"")</f>
        <v/>
      </c>
      <c r="J40" t="str">
        <f ca="1">IF(H40&lt;&gt;"",
OFFSET(数出表_Excel【15時】!$A$1,A40+3,H40-1),"")</f>
        <v/>
      </c>
      <c r="K40" t="str">
        <f ca="1">IF(H40&lt;&gt;"",
IF(AND(OFFSET(数出表_Excel【15時】!$A$1,A40+3,H40)&lt;&gt;"",OFFSET(数出表_Excel【15時】!$A$1,A40+3,H40)&lt;&gt;0),
OFFSET(数出表_Excel【15時】!$A$1,A40+3,H40),""),"")</f>
        <v/>
      </c>
      <c r="L40" s="209" t="str">
        <f t="array" aca="1" ref="L40" ca="1">IF(B40&lt;&gt;"",
IFERROR(MATCH(TRUE,ISNUMBER(INDIRECT("数出表_Excel【15時】!"&amp;SUBSTITUTE(ADDRESS(1,H40+2,4),"1","")&amp;(A40+4)&amp;":ZZ"&amp;(A40+4))),0)+H40+1,""),"")</f>
        <v/>
      </c>
      <c r="M40" t="str">
        <f ca="1">IF(L40&lt;&gt;"",
OFFSET(数出表_Excel【15時】!$A$1,2,L40-1)
&amp;IFERROR(OFFSET(数出表_Excel【15時】!$A$1,3,L40-1),"")
&amp;IFERROR(OFFSET(数出表_Excel【15時】!$A$1,4,L40-1),""),"")</f>
        <v/>
      </c>
      <c r="N40" t="str">
        <f ca="1">IF(L40&lt;&gt;"",
OFFSET(数出表_Excel【15時】!$A$1,A40+3,L40-1),"")</f>
        <v/>
      </c>
      <c r="O40" t="str">
        <f ca="1">IF(L40&lt;&gt;"",
IF(AND(OFFSET(数出表_Excel【15時】!$A$1,A40+3,L40)&lt;&gt;"",OFFSET(数出表_Excel【15時】!$A$1,A40+3,L40)&lt;&gt;0),
OFFSET(数出表_Excel【15時】!$A$1,A40+3,L40),""),"")</f>
        <v/>
      </c>
      <c r="Q40" t="str">
        <f ca="1">IF(C40&lt;&gt;"",
IF(E40&lt;&gt;"",1,0)+IF(I40&lt;&gt;"",1,0)+IF(M40&lt;&gt;"",1,0),"")</f>
        <v/>
      </c>
      <c r="AH40" t="str">
        <f t="array" aca="1" ref="AH40" ca="1">IFERROR(SMALL(IF(O$1:O$307&lt;&gt;0,O$1:O$307),ROW(AH40)),"")</f>
        <v/>
      </c>
      <c r="AI40" t="str">
        <f t="array" aca="1" ref="AI40" ca="1">IF($T40&lt;&gt;"",
SUBSTITUTE(SUBSTITUTE(INDIRECT("B"&amp;$T40&amp;"")," 週3ｺｰｽ","")," 週5ｺｰｽ",""),"")</f>
        <v/>
      </c>
    </row>
    <row r="41" spans="1:35">
      <c r="A41" t="str">
        <f t="shared" ca="1" si="0"/>
        <v/>
      </c>
      <c r="B41" t="str">
        <f t="array" aca="1" ref="B41" ca="1">IF(OR(COUNTIF(数出表_Excel【15時】!AO44,"*修正*"),COUNTIF(数出表_Excel【15時】!AO45,"*修正*")),
IF(ISEVEN(ROW()+4),INDIRECT("数出表_Excel【15時】!A"&amp;ROW()+4&amp;""),INDIRECT("数出表_Excel【15時】!A"&amp;ROW()+4-1&amp;"")),"")</f>
        <v/>
      </c>
      <c r="C41" t="str">
        <f t="array" aca="1" ref="C41" ca="1">IF(OR(COUNTIF(数出表_Excel【15時】!AO44,"*修正*"),COUNTIF(数出表_Excel【15時】!AO45,"*修正*")),
IF(ISEVEN(ROW()+4),INDIRECT("数出表_Excel【15時】!A"&amp;ROW()+4+1&amp;""),INDIRECT("数出表_Excel【15時】!A"&amp;ROW()+4&amp;"")),"")</f>
        <v/>
      </c>
      <c r="D41" s="209" t="str">
        <f t="array" aca="1" ref="D41" ca="1">IF(B41&lt;&gt;"",
IFERROR(MATCH(TRUE,ISNUMBER(INDIRECT("数出表_Excel【15時】!B"&amp;(A41+4)&amp;":ZZ"&amp;(A41+4))),0)+1,""),"")</f>
        <v/>
      </c>
      <c r="E41" t="str">
        <f ca="1">IF(D41&lt;&gt;"",
OFFSET(数出表_Excel【15時】!$A$1,2,D41-1)
&amp;IFERROR(OFFSET(数出表_Excel【15時】!$A$1,3,D41-1),"")
&amp;IFERROR(OFFSET(数出表_Excel【15時】!$A$1,4,D41-1),""),"")</f>
        <v/>
      </c>
      <c r="F41" t="str">
        <f ca="1">IF(D41&lt;&gt;"",
OFFSET(数出表_Excel【15時】!$A$1,A41+3,D41-1),"")</f>
        <v/>
      </c>
      <c r="G41" t="str">
        <f ca="1">IF(D41&lt;&gt;"",
IF(AND(OFFSET(数出表_Excel【15時】!$A$1,A41+3,D41)&lt;&gt;"",OFFSET(数出表_Excel【15時】!$A$1,A41+3,D41)&lt;&gt;0),
OFFSET(数出表_Excel【15時】!$A$1,A41+3,D41),""),"")</f>
        <v/>
      </c>
      <c r="H41" s="209" t="str">
        <f t="array" aca="1" ref="H41" ca="1">IF(B41&lt;&gt;"",
IFERROR(MATCH(TRUE,ISNUMBER(INDIRECT("数出表_Excel【15時】!"&amp;SUBSTITUTE(ADDRESS(1,D41+2,4),"1","")&amp;(A41+4)&amp;":ZZ"&amp;(A41+4))),0)+D41+1,""),"")</f>
        <v/>
      </c>
      <c r="I41" t="str">
        <f ca="1">IF(H41&lt;&gt;"",
OFFSET(数出表_Excel【15時】!$A$1,2,H41-1)
&amp;IFERROR(OFFSET(数出表_Excel【15時】!$A$1,3,H41-1),"")
&amp;IFERROR(OFFSET(数出表_Excel【15時】!$A$1,4,H41-1),""),"")</f>
        <v/>
      </c>
      <c r="J41" t="str">
        <f ca="1">IF(H41&lt;&gt;"",
OFFSET(数出表_Excel【15時】!$A$1,A41+3,H41-1),"")</f>
        <v/>
      </c>
      <c r="K41" t="str">
        <f ca="1">IF(H41&lt;&gt;"",
IF(AND(OFFSET(数出表_Excel【15時】!$A$1,A41+3,H41)&lt;&gt;"",OFFSET(数出表_Excel【15時】!$A$1,A41+3,H41)&lt;&gt;0),
OFFSET(数出表_Excel【15時】!$A$1,A41+3,H41),""),"")</f>
        <v/>
      </c>
      <c r="L41" s="209" t="str">
        <f t="array" aca="1" ref="L41" ca="1">IF(B41&lt;&gt;"",
IFERROR(MATCH(TRUE,ISNUMBER(INDIRECT("数出表_Excel【15時】!"&amp;SUBSTITUTE(ADDRESS(1,H41+2,4),"1","")&amp;(A41+4)&amp;":ZZ"&amp;(A41+4))),0)+H41+1,""),"")</f>
        <v/>
      </c>
      <c r="M41" t="str">
        <f ca="1">IF(L41&lt;&gt;"",
OFFSET(数出表_Excel【15時】!$A$1,2,L41-1)
&amp;IFERROR(OFFSET(数出表_Excel【15時】!$A$1,3,L41-1),"")
&amp;IFERROR(OFFSET(数出表_Excel【15時】!$A$1,4,L41-1),""),"")</f>
        <v/>
      </c>
      <c r="N41" t="str">
        <f ca="1">IF(L41&lt;&gt;"",
OFFSET(数出表_Excel【15時】!$A$1,A41+3,L41-1),"")</f>
        <v/>
      </c>
      <c r="O41" t="str">
        <f ca="1">IF(L41&lt;&gt;"",
IF(AND(OFFSET(数出表_Excel【15時】!$A$1,A41+3,L41)&lt;&gt;"",OFFSET(数出表_Excel【15時】!$A$1,A41+3,L41)&lt;&gt;0),
OFFSET(数出表_Excel【15時】!$A$1,A41+3,L41),""),"")</f>
        <v/>
      </c>
      <c r="AH41" t="str">
        <f t="array" aca="1" ref="AH41" ca="1">IFERROR(SMALL(IF(O$1:O$307&lt;&gt;0,O$1:O$307),ROW(AH41)),"")</f>
        <v/>
      </c>
      <c r="AI41" t="str">
        <f t="array" aca="1" ref="AI41" ca="1">IF($T41&lt;&gt;"",
SUBSTITUTE(SUBSTITUTE(INDIRECT("B"&amp;$T41&amp;"")," 週3ｺｰｽ","")," 週5ｺｰｽ",""),"")</f>
        <v/>
      </c>
    </row>
    <row r="42" spans="1:35">
      <c r="A42" t="str">
        <f t="shared" ca="1" si="0"/>
        <v/>
      </c>
      <c r="B42" t="str">
        <f t="array" aca="1" ref="B42" ca="1">IF(OR(COUNTIF(数出表_Excel【15時】!AO46,"*修正*"),COUNTIF(数出表_Excel【15時】!AO47,"*修正*")),
IF(ISEVEN(ROW()+4),INDIRECT("数出表_Excel【15時】!A"&amp;ROW()+4&amp;""),INDIRECT("数出表_Excel【15時】!A"&amp;ROW()+4-1&amp;"")),"")</f>
        <v/>
      </c>
      <c r="C42" t="str">
        <f t="array" aca="1" ref="C42" ca="1">IF(OR(COUNTIF(数出表_Excel【15時】!AO46,"*修正*"),COUNTIF(数出表_Excel【15時】!AO47,"*修正*")),
IF(ISEVEN(ROW()+4),INDIRECT("数出表_Excel【15時】!A"&amp;ROW()+4+1&amp;""),INDIRECT("数出表_Excel【15時】!A"&amp;ROW()+4&amp;"")),"")</f>
        <v/>
      </c>
      <c r="D42" s="209" t="str">
        <f t="array" aca="1" ref="D42" ca="1">IF(B42&lt;&gt;"",
IFERROR(MATCH(TRUE,ISNUMBER(INDIRECT("数出表_Excel【15時】!B"&amp;(A42+4)&amp;":ZZ"&amp;(A42+4))),0)+1,""),"")</f>
        <v/>
      </c>
      <c r="E42" t="str">
        <f ca="1">IF(D42&lt;&gt;"",
OFFSET(数出表_Excel【15時】!$A$1,2,D42-1)
&amp;IFERROR(OFFSET(数出表_Excel【15時】!$A$1,3,D42-1),"")
&amp;IFERROR(OFFSET(数出表_Excel【15時】!$A$1,4,D42-1),""),"")</f>
        <v/>
      </c>
      <c r="F42" t="str">
        <f ca="1">IF(D42&lt;&gt;"",
OFFSET(数出表_Excel【15時】!$A$1,A42+3,D42-1),"")</f>
        <v/>
      </c>
      <c r="G42" t="str">
        <f ca="1">IF(D42&lt;&gt;"",
IF(AND(OFFSET(数出表_Excel【15時】!$A$1,A42+3,D42)&lt;&gt;"",OFFSET(数出表_Excel【15時】!$A$1,A42+3,D42)&lt;&gt;0),
OFFSET(数出表_Excel【15時】!$A$1,A42+3,D42),""),"")</f>
        <v/>
      </c>
      <c r="H42" s="209" t="str">
        <f t="array" aca="1" ref="H42" ca="1">IF(B42&lt;&gt;"",
IFERROR(MATCH(TRUE,ISNUMBER(INDIRECT("数出表_Excel【15時】!"&amp;SUBSTITUTE(ADDRESS(1,D42+2,4),"1","")&amp;(A42+4)&amp;":ZZ"&amp;(A42+4))),0)+D42+1,""),"")</f>
        <v/>
      </c>
      <c r="I42" t="str">
        <f ca="1">IF(H42&lt;&gt;"",
OFFSET(数出表_Excel【15時】!$A$1,2,H42-1)
&amp;IFERROR(OFFSET(数出表_Excel【15時】!$A$1,3,H42-1),"")
&amp;IFERROR(OFFSET(数出表_Excel【15時】!$A$1,4,H42-1),""),"")</f>
        <v/>
      </c>
      <c r="J42" t="str">
        <f ca="1">IF(H42&lt;&gt;"",
OFFSET(数出表_Excel【15時】!$A$1,A42+3,H42-1),"")</f>
        <v/>
      </c>
      <c r="K42" t="str">
        <f ca="1">IF(H42&lt;&gt;"",
IF(AND(OFFSET(数出表_Excel【15時】!$A$1,A42+3,H42)&lt;&gt;"",OFFSET(数出表_Excel【15時】!$A$1,A42+3,H42)&lt;&gt;0),
OFFSET(数出表_Excel【15時】!$A$1,A42+3,H42),""),"")</f>
        <v/>
      </c>
      <c r="L42" s="209" t="str">
        <f t="array" aca="1" ref="L42" ca="1">IF(B42&lt;&gt;"",
IFERROR(MATCH(TRUE,ISNUMBER(INDIRECT("数出表_Excel【15時】!"&amp;SUBSTITUTE(ADDRESS(1,H42+2,4),"1","")&amp;(A42+4)&amp;":ZZ"&amp;(A42+4))),0)+H42+1,""),"")</f>
        <v/>
      </c>
      <c r="M42" t="str">
        <f ca="1">IF(L42&lt;&gt;"",
OFFSET(数出表_Excel【15時】!$A$1,2,L42-1)
&amp;IFERROR(OFFSET(数出表_Excel【15時】!$A$1,3,L42-1),"")
&amp;IFERROR(OFFSET(数出表_Excel【15時】!$A$1,4,L42-1),""),"")</f>
        <v/>
      </c>
      <c r="N42" t="str">
        <f ca="1">IF(L42&lt;&gt;"",
OFFSET(数出表_Excel【15時】!$A$1,A42+3,L42-1),"")</f>
        <v/>
      </c>
      <c r="O42" t="str">
        <f ca="1">IF(L42&lt;&gt;"",
IF(AND(OFFSET(数出表_Excel【15時】!$A$1,A42+3,L42)&lt;&gt;"",OFFSET(数出表_Excel【15時】!$A$1,A42+3,L42)&lt;&gt;0),
OFFSET(数出表_Excel【15時】!$A$1,A42+3,L42),""),"")</f>
        <v/>
      </c>
      <c r="Q42" t="str">
        <f ca="1">IF(C42&lt;&gt;"",
IF(E42&lt;&gt;"",1,0)+IF(I42&lt;&gt;"",1,0)+IF(M42&lt;&gt;"",1,0),"")</f>
        <v/>
      </c>
      <c r="AH42" t="str">
        <f t="array" aca="1" ref="AH42" ca="1">IFERROR(SMALL(IF(O$1:O$307&lt;&gt;0,O$1:O$307),ROW(AH42)),"")</f>
        <v/>
      </c>
      <c r="AI42" t="str">
        <f t="array" aca="1" ref="AI42" ca="1">IF($T42&lt;&gt;"",
SUBSTITUTE(SUBSTITUTE(INDIRECT("B"&amp;$T42&amp;"")," 週3ｺｰｽ","")," 週5ｺｰｽ",""),"")</f>
        <v/>
      </c>
    </row>
    <row r="43" spans="1:35">
      <c r="A43" t="str">
        <f t="shared" ca="1" si="0"/>
        <v/>
      </c>
      <c r="B43" t="str">
        <f t="array" aca="1" ref="B43" ca="1">IF(OR(COUNTIF(数出表_Excel【15時】!AO46,"*修正*"),COUNTIF(数出表_Excel【15時】!AO47,"*修正*")),
IF(ISEVEN(ROW()+4),INDIRECT("数出表_Excel【15時】!A"&amp;ROW()+4&amp;""),INDIRECT("数出表_Excel【15時】!A"&amp;ROW()+4-1&amp;"")),"")</f>
        <v/>
      </c>
      <c r="C43" t="str">
        <f t="array" aca="1" ref="C43" ca="1">IF(OR(COUNTIF(数出表_Excel【15時】!AO46,"*修正*"),COUNTIF(数出表_Excel【15時】!AO47,"*修正*")),
IF(ISEVEN(ROW()+4),INDIRECT("数出表_Excel【15時】!A"&amp;ROW()+4+1&amp;""),INDIRECT("数出表_Excel【15時】!A"&amp;ROW()+4&amp;"")),"")</f>
        <v/>
      </c>
      <c r="D43" s="209" t="str">
        <f t="array" aca="1" ref="D43" ca="1">IF(B43&lt;&gt;"",
IFERROR(MATCH(TRUE,ISNUMBER(INDIRECT("数出表_Excel【15時】!B"&amp;(A43+4)&amp;":ZZ"&amp;(A43+4))),0)+1,""),"")</f>
        <v/>
      </c>
      <c r="E43" t="str">
        <f ca="1">IF(D43&lt;&gt;"",
OFFSET(数出表_Excel【15時】!$A$1,2,D43-1)
&amp;IFERROR(OFFSET(数出表_Excel【15時】!$A$1,3,D43-1),"")
&amp;IFERROR(OFFSET(数出表_Excel【15時】!$A$1,4,D43-1),""),"")</f>
        <v/>
      </c>
      <c r="F43" t="str">
        <f ca="1">IF(D43&lt;&gt;"",
OFFSET(数出表_Excel【15時】!$A$1,A43+3,D43-1),"")</f>
        <v/>
      </c>
      <c r="G43" t="str">
        <f ca="1">IF(D43&lt;&gt;"",
IF(AND(OFFSET(数出表_Excel【15時】!$A$1,A43+3,D43)&lt;&gt;"",OFFSET(数出表_Excel【15時】!$A$1,A43+3,D43)&lt;&gt;0),
OFFSET(数出表_Excel【15時】!$A$1,A43+3,D43),""),"")</f>
        <v/>
      </c>
      <c r="H43" s="209" t="str">
        <f t="array" aca="1" ref="H43" ca="1">IF(B43&lt;&gt;"",
IFERROR(MATCH(TRUE,ISNUMBER(INDIRECT("数出表_Excel【15時】!"&amp;SUBSTITUTE(ADDRESS(1,D43+2,4),"1","")&amp;(A43+4)&amp;":ZZ"&amp;(A43+4))),0)+D43+1,""),"")</f>
        <v/>
      </c>
      <c r="I43" t="str">
        <f ca="1">IF(H43&lt;&gt;"",
OFFSET(数出表_Excel【15時】!$A$1,2,H43-1)
&amp;IFERROR(OFFSET(数出表_Excel【15時】!$A$1,3,H43-1),"")
&amp;IFERROR(OFFSET(数出表_Excel【15時】!$A$1,4,H43-1),""),"")</f>
        <v/>
      </c>
      <c r="J43" t="str">
        <f ca="1">IF(H43&lt;&gt;"",
OFFSET(数出表_Excel【15時】!$A$1,A43+3,H43-1),"")</f>
        <v/>
      </c>
      <c r="K43" t="str">
        <f ca="1">IF(H43&lt;&gt;"",
IF(AND(OFFSET(数出表_Excel【15時】!$A$1,A43+3,H43)&lt;&gt;"",OFFSET(数出表_Excel【15時】!$A$1,A43+3,H43)&lt;&gt;0),
OFFSET(数出表_Excel【15時】!$A$1,A43+3,H43),""),"")</f>
        <v/>
      </c>
      <c r="L43" s="209" t="str">
        <f t="array" aca="1" ref="L43" ca="1">IF(B43&lt;&gt;"",
IFERROR(MATCH(TRUE,ISNUMBER(INDIRECT("数出表_Excel【15時】!"&amp;SUBSTITUTE(ADDRESS(1,H43+2,4),"1","")&amp;(A43+4)&amp;":ZZ"&amp;(A43+4))),0)+H43+1,""),"")</f>
        <v/>
      </c>
      <c r="M43" t="str">
        <f ca="1">IF(L43&lt;&gt;"",
OFFSET(数出表_Excel【15時】!$A$1,2,L43-1)
&amp;IFERROR(OFFSET(数出表_Excel【15時】!$A$1,3,L43-1),"")
&amp;IFERROR(OFFSET(数出表_Excel【15時】!$A$1,4,L43-1),""),"")</f>
        <v/>
      </c>
      <c r="N43" t="str">
        <f ca="1">IF(L43&lt;&gt;"",
OFFSET(数出表_Excel【15時】!$A$1,A43+3,L43-1),"")</f>
        <v/>
      </c>
      <c r="O43" t="str">
        <f ca="1">IF(L43&lt;&gt;"",
IF(AND(OFFSET(数出表_Excel【15時】!$A$1,A43+3,L43)&lt;&gt;"",OFFSET(数出表_Excel【15時】!$A$1,A43+3,L43)&lt;&gt;0),
OFFSET(数出表_Excel【15時】!$A$1,A43+3,L43),""),"")</f>
        <v/>
      </c>
      <c r="AH43" t="str">
        <f t="array" aca="1" ref="AH43" ca="1">IFERROR(SMALL(IF(O$1:O$307&lt;&gt;0,O$1:O$307),ROW(AH43)),"")</f>
        <v/>
      </c>
      <c r="AI43" t="str">
        <f t="array" aca="1" ref="AI43" ca="1">IF($T43&lt;&gt;"",
SUBSTITUTE(SUBSTITUTE(INDIRECT("B"&amp;$T43&amp;"")," 週3ｺｰｽ","")," 週5ｺｰｽ",""),"")</f>
        <v/>
      </c>
    </row>
    <row r="44" spans="1:35">
      <c r="A44" t="str">
        <f t="shared" ca="1" si="0"/>
        <v/>
      </c>
      <c r="B44" t="str">
        <f t="array" aca="1" ref="B44" ca="1">IF(OR(COUNTIF(数出表_Excel【15時】!AO48,"*修正*"),COUNTIF(数出表_Excel【15時】!AO49,"*修正*")),
IF(ISEVEN(ROW()+4),INDIRECT("数出表_Excel【15時】!A"&amp;ROW()+4&amp;""),INDIRECT("数出表_Excel【15時】!A"&amp;ROW()+4-1&amp;"")),"")</f>
        <v/>
      </c>
      <c r="C44" t="str">
        <f t="array" aca="1" ref="C44" ca="1">IF(OR(COUNTIF(数出表_Excel【15時】!AO48,"*修正*"),COUNTIF(数出表_Excel【15時】!AO49,"*修正*")),
IF(ISEVEN(ROW()+4),INDIRECT("数出表_Excel【15時】!A"&amp;ROW()+4+1&amp;""),INDIRECT("数出表_Excel【15時】!A"&amp;ROW()+4&amp;"")),"")</f>
        <v/>
      </c>
      <c r="D44" s="209" t="str">
        <f t="array" aca="1" ref="D44" ca="1">IF(B44&lt;&gt;"",
IFERROR(MATCH(TRUE,ISNUMBER(INDIRECT("数出表_Excel【15時】!B"&amp;(A44+4)&amp;":ZZ"&amp;(A44+4))),0)+1,""),"")</f>
        <v/>
      </c>
      <c r="E44" t="str">
        <f ca="1">IF(D44&lt;&gt;"",
OFFSET(数出表_Excel【15時】!$A$1,2,D44-1)
&amp;IFERROR(OFFSET(数出表_Excel【15時】!$A$1,3,D44-1),"")
&amp;IFERROR(OFFSET(数出表_Excel【15時】!$A$1,4,D44-1),""),"")</f>
        <v/>
      </c>
      <c r="F44" t="str">
        <f ca="1">IF(D44&lt;&gt;"",
OFFSET(数出表_Excel【15時】!$A$1,A44+3,D44-1),"")</f>
        <v/>
      </c>
      <c r="G44" t="str">
        <f ca="1">IF(D44&lt;&gt;"",
IF(AND(OFFSET(数出表_Excel【15時】!$A$1,A44+3,D44)&lt;&gt;"",OFFSET(数出表_Excel【15時】!$A$1,A44+3,D44)&lt;&gt;0),
OFFSET(数出表_Excel【15時】!$A$1,A44+3,D44),""),"")</f>
        <v/>
      </c>
      <c r="H44" s="209" t="str">
        <f t="array" aca="1" ref="H44" ca="1">IF(B44&lt;&gt;"",
IFERROR(MATCH(TRUE,ISNUMBER(INDIRECT("数出表_Excel【15時】!"&amp;SUBSTITUTE(ADDRESS(1,D44+2,4),"1","")&amp;(A44+4)&amp;":ZZ"&amp;(A44+4))),0)+D44+1,""),"")</f>
        <v/>
      </c>
      <c r="I44" t="str">
        <f ca="1">IF(H44&lt;&gt;"",
OFFSET(数出表_Excel【15時】!$A$1,2,H44-1)
&amp;IFERROR(OFFSET(数出表_Excel【15時】!$A$1,3,H44-1),"")
&amp;IFERROR(OFFSET(数出表_Excel【15時】!$A$1,4,H44-1),""),"")</f>
        <v/>
      </c>
      <c r="J44" t="str">
        <f ca="1">IF(H44&lt;&gt;"",
OFFSET(数出表_Excel【15時】!$A$1,A44+3,H44-1),"")</f>
        <v/>
      </c>
      <c r="K44" t="str">
        <f ca="1">IF(H44&lt;&gt;"",
IF(AND(OFFSET(数出表_Excel【15時】!$A$1,A44+3,H44)&lt;&gt;"",OFFSET(数出表_Excel【15時】!$A$1,A44+3,H44)&lt;&gt;0),
OFFSET(数出表_Excel【15時】!$A$1,A44+3,H44),""),"")</f>
        <v/>
      </c>
      <c r="L44" s="209" t="str">
        <f t="array" aca="1" ref="L44" ca="1">IF(B44&lt;&gt;"",
IFERROR(MATCH(TRUE,ISNUMBER(INDIRECT("数出表_Excel【15時】!"&amp;SUBSTITUTE(ADDRESS(1,H44+2,4),"1","")&amp;(A44+4)&amp;":ZZ"&amp;(A44+4))),0)+H44+1,""),"")</f>
        <v/>
      </c>
      <c r="M44" t="str">
        <f ca="1">IF(L44&lt;&gt;"",
OFFSET(数出表_Excel【15時】!$A$1,2,L44-1)
&amp;IFERROR(OFFSET(数出表_Excel【15時】!$A$1,3,L44-1),"")
&amp;IFERROR(OFFSET(数出表_Excel【15時】!$A$1,4,L44-1),""),"")</f>
        <v/>
      </c>
      <c r="N44" t="str">
        <f ca="1">IF(L44&lt;&gt;"",
OFFSET(数出表_Excel【15時】!$A$1,A44+3,L44-1),"")</f>
        <v/>
      </c>
      <c r="O44" t="str">
        <f ca="1">IF(L44&lt;&gt;"",
IF(AND(OFFSET(数出表_Excel【15時】!$A$1,A44+3,L44)&lt;&gt;"",OFFSET(数出表_Excel【15時】!$A$1,A44+3,L44)&lt;&gt;0),
OFFSET(数出表_Excel【15時】!$A$1,A44+3,L44),""),"")</f>
        <v/>
      </c>
      <c r="Q44" t="str">
        <f ca="1">IF(C44&lt;&gt;"",
IF(E44&lt;&gt;"",1,0)+IF(I44&lt;&gt;"",1,0)+IF(M44&lt;&gt;"",1,0),"")</f>
        <v/>
      </c>
      <c r="AH44" t="str">
        <f t="array" aca="1" ref="AH44" ca="1">IFERROR(SMALL(IF(O$1:O$307&lt;&gt;0,O$1:O$307),ROW(AH44)),"")</f>
        <v/>
      </c>
      <c r="AI44" t="str">
        <f t="array" aca="1" ref="AI44" ca="1">IF($T44&lt;&gt;"",
SUBSTITUTE(SUBSTITUTE(INDIRECT("B"&amp;$T44&amp;"")," 週3ｺｰｽ","")," 週5ｺｰｽ",""),"")</f>
        <v/>
      </c>
    </row>
    <row r="45" spans="1:35">
      <c r="A45" t="str">
        <f t="shared" ca="1" si="0"/>
        <v/>
      </c>
      <c r="B45" t="str">
        <f t="array" aca="1" ref="B45" ca="1">IF(OR(COUNTIF(数出表_Excel【15時】!AO48,"*修正*"),COUNTIF(数出表_Excel【15時】!AO49,"*修正*")),
IF(ISEVEN(ROW()+4),INDIRECT("数出表_Excel【15時】!A"&amp;ROW()+4&amp;""),INDIRECT("数出表_Excel【15時】!A"&amp;ROW()+4-1&amp;"")),"")</f>
        <v/>
      </c>
      <c r="C45" t="str">
        <f t="array" aca="1" ref="C45" ca="1">IF(OR(COUNTIF(数出表_Excel【15時】!AO48,"*修正*"),COUNTIF(数出表_Excel【15時】!AO49,"*修正*")),
IF(ISEVEN(ROW()+4),INDIRECT("数出表_Excel【15時】!A"&amp;ROW()+4+1&amp;""),INDIRECT("数出表_Excel【15時】!A"&amp;ROW()+4&amp;"")),"")</f>
        <v/>
      </c>
      <c r="D45" s="209" t="str">
        <f t="array" aca="1" ref="D45" ca="1">IF(B45&lt;&gt;"",
IFERROR(MATCH(TRUE,ISNUMBER(INDIRECT("数出表_Excel【15時】!B"&amp;(A45+4)&amp;":ZZ"&amp;(A45+4))),0)+1,""),"")</f>
        <v/>
      </c>
      <c r="E45" t="str">
        <f ca="1">IF(D45&lt;&gt;"",
OFFSET(数出表_Excel【15時】!$A$1,2,D45-1)
&amp;IFERROR(OFFSET(数出表_Excel【15時】!$A$1,3,D45-1),"")
&amp;IFERROR(OFFSET(数出表_Excel【15時】!$A$1,4,D45-1),""),"")</f>
        <v/>
      </c>
      <c r="F45" t="str">
        <f ca="1">IF(D45&lt;&gt;"",
OFFSET(数出表_Excel【15時】!$A$1,A45+3,D45-1),"")</f>
        <v/>
      </c>
      <c r="G45" t="str">
        <f ca="1">IF(D45&lt;&gt;"",
IF(AND(OFFSET(数出表_Excel【15時】!$A$1,A45+3,D45)&lt;&gt;"",OFFSET(数出表_Excel【15時】!$A$1,A45+3,D45)&lt;&gt;0),
OFFSET(数出表_Excel【15時】!$A$1,A45+3,D45),""),"")</f>
        <v/>
      </c>
      <c r="H45" s="209" t="str">
        <f t="array" aca="1" ref="H45" ca="1">IF(B45&lt;&gt;"",
IFERROR(MATCH(TRUE,ISNUMBER(INDIRECT("数出表_Excel【15時】!"&amp;SUBSTITUTE(ADDRESS(1,D45+2,4),"1","")&amp;(A45+4)&amp;":ZZ"&amp;(A45+4))),0)+D45+1,""),"")</f>
        <v/>
      </c>
      <c r="I45" t="str">
        <f ca="1">IF(H45&lt;&gt;"",
OFFSET(数出表_Excel【15時】!$A$1,2,H45-1)
&amp;IFERROR(OFFSET(数出表_Excel【15時】!$A$1,3,H45-1),"")
&amp;IFERROR(OFFSET(数出表_Excel【15時】!$A$1,4,H45-1),""),"")</f>
        <v/>
      </c>
      <c r="J45" t="str">
        <f ca="1">IF(H45&lt;&gt;"",
OFFSET(数出表_Excel【15時】!$A$1,A45+3,H45-1),"")</f>
        <v/>
      </c>
      <c r="K45" t="str">
        <f ca="1">IF(H45&lt;&gt;"",
IF(AND(OFFSET(数出表_Excel【15時】!$A$1,A45+3,H45)&lt;&gt;"",OFFSET(数出表_Excel【15時】!$A$1,A45+3,H45)&lt;&gt;0),
OFFSET(数出表_Excel【15時】!$A$1,A45+3,H45),""),"")</f>
        <v/>
      </c>
      <c r="L45" s="209" t="str">
        <f t="array" aca="1" ref="L45" ca="1">IF(B45&lt;&gt;"",
IFERROR(MATCH(TRUE,ISNUMBER(INDIRECT("数出表_Excel【15時】!"&amp;SUBSTITUTE(ADDRESS(1,H45+2,4),"1","")&amp;(A45+4)&amp;":ZZ"&amp;(A45+4))),0)+H45+1,""),"")</f>
        <v/>
      </c>
      <c r="M45" t="str">
        <f ca="1">IF(L45&lt;&gt;"",
OFFSET(数出表_Excel【15時】!$A$1,2,L45-1)
&amp;IFERROR(OFFSET(数出表_Excel【15時】!$A$1,3,L45-1),"")
&amp;IFERROR(OFFSET(数出表_Excel【15時】!$A$1,4,L45-1),""),"")</f>
        <v/>
      </c>
      <c r="N45" t="str">
        <f ca="1">IF(L45&lt;&gt;"",
OFFSET(数出表_Excel【15時】!$A$1,A45+3,L45-1),"")</f>
        <v/>
      </c>
      <c r="O45" t="str">
        <f ca="1">IF(L45&lt;&gt;"",
IF(AND(OFFSET(数出表_Excel【15時】!$A$1,A45+3,L45)&lt;&gt;"",OFFSET(数出表_Excel【15時】!$A$1,A45+3,L45)&lt;&gt;0),
OFFSET(数出表_Excel【15時】!$A$1,A45+3,L45),""),"")</f>
        <v/>
      </c>
      <c r="AH45" t="str">
        <f t="array" aca="1" ref="AH45" ca="1">IFERROR(SMALL(IF(O$1:O$307&lt;&gt;0,O$1:O$307),ROW(AH45)),"")</f>
        <v/>
      </c>
      <c r="AI45" t="str">
        <f t="array" aca="1" ref="AI45" ca="1">IF($T45&lt;&gt;"",
SUBSTITUTE(SUBSTITUTE(INDIRECT("B"&amp;$T45&amp;"")," 週3ｺｰｽ","")," 週5ｺｰｽ",""),"")</f>
        <v/>
      </c>
    </row>
    <row r="46" spans="1:35">
      <c r="A46" t="str">
        <f t="shared" ca="1" si="0"/>
        <v/>
      </c>
      <c r="B46" t="str">
        <f t="array" aca="1" ref="B46" ca="1">IF(OR(COUNTIF(数出表_Excel【15時】!AO50,"*修正*"),COUNTIF(数出表_Excel【15時】!AO51,"*修正*")),
IF(ISEVEN(ROW()+4),INDIRECT("数出表_Excel【15時】!A"&amp;ROW()+4&amp;""),INDIRECT("数出表_Excel【15時】!A"&amp;ROW()+4-1&amp;"")),"")</f>
        <v/>
      </c>
      <c r="C46" t="str">
        <f t="array" aca="1" ref="C46" ca="1">IF(OR(COUNTIF(数出表_Excel【15時】!AO50,"*修正*"),COUNTIF(数出表_Excel【15時】!AO51,"*修正*")),
IF(ISEVEN(ROW()+4),INDIRECT("数出表_Excel【15時】!A"&amp;ROW()+4+1&amp;""),INDIRECT("数出表_Excel【15時】!A"&amp;ROW()+4&amp;"")),"")</f>
        <v/>
      </c>
      <c r="D46" s="209" t="str">
        <f t="array" aca="1" ref="D46" ca="1">IF(B46&lt;&gt;"",
IFERROR(MATCH(TRUE,ISNUMBER(INDIRECT("数出表_Excel【15時】!B"&amp;(A46+4)&amp;":ZZ"&amp;(A46+4))),0)+1,""),"")</f>
        <v/>
      </c>
      <c r="E46" t="str">
        <f ca="1">IF(D46&lt;&gt;"",
OFFSET(数出表_Excel【15時】!$A$1,2,D46-1)
&amp;IFERROR(OFFSET(数出表_Excel【15時】!$A$1,3,D46-1),"")
&amp;IFERROR(OFFSET(数出表_Excel【15時】!$A$1,4,D46-1),""),"")</f>
        <v/>
      </c>
      <c r="F46" t="str">
        <f ca="1">IF(D46&lt;&gt;"",
OFFSET(数出表_Excel【15時】!$A$1,A46+3,D46-1),"")</f>
        <v/>
      </c>
      <c r="G46" t="str">
        <f ca="1">IF(D46&lt;&gt;"",
IF(AND(OFFSET(数出表_Excel【15時】!$A$1,A46+3,D46)&lt;&gt;"",OFFSET(数出表_Excel【15時】!$A$1,A46+3,D46)&lt;&gt;0),
OFFSET(数出表_Excel【15時】!$A$1,A46+3,D46),""),"")</f>
        <v/>
      </c>
      <c r="H46" s="209" t="str">
        <f t="array" aca="1" ref="H46" ca="1">IF(B46&lt;&gt;"",
IFERROR(MATCH(TRUE,ISNUMBER(INDIRECT("数出表_Excel【15時】!"&amp;SUBSTITUTE(ADDRESS(1,D46+2,4),"1","")&amp;(A46+4)&amp;":ZZ"&amp;(A46+4))),0)+D46+1,""),"")</f>
        <v/>
      </c>
      <c r="I46" t="str">
        <f ca="1">IF(H46&lt;&gt;"",
OFFSET(数出表_Excel【15時】!$A$1,2,H46-1)
&amp;IFERROR(OFFSET(数出表_Excel【15時】!$A$1,3,H46-1),"")
&amp;IFERROR(OFFSET(数出表_Excel【15時】!$A$1,4,H46-1),""),"")</f>
        <v/>
      </c>
      <c r="J46" t="str">
        <f ca="1">IF(H46&lt;&gt;"",
OFFSET(数出表_Excel【15時】!$A$1,A46+3,H46-1),"")</f>
        <v/>
      </c>
      <c r="K46" t="str">
        <f ca="1">IF(H46&lt;&gt;"",
IF(AND(OFFSET(数出表_Excel【15時】!$A$1,A46+3,H46)&lt;&gt;"",OFFSET(数出表_Excel【15時】!$A$1,A46+3,H46)&lt;&gt;0),
OFFSET(数出表_Excel【15時】!$A$1,A46+3,H46),""),"")</f>
        <v/>
      </c>
      <c r="L46" s="209" t="str">
        <f t="array" aca="1" ref="L46" ca="1">IF(B46&lt;&gt;"",
IFERROR(MATCH(TRUE,ISNUMBER(INDIRECT("数出表_Excel【15時】!"&amp;SUBSTITUTE(ADDRESS(1,H46+2,4),"1","")&amp;(A46+4)&amp;":ZZ"&amp;(A46+4))),0)+H46+1,""),"")</f>
        <v/>
      </c>
      <c r="M46" t="str">
        <f ca="1">IF(L46&lt;&gt;"",
OFFSET(数出表_Excel【15時】!$A$1,2,L46-1)
&amp;IFERROR(OFFSET(数出表_Excel【15時】!$A$1,3,L46-1),"")
&amp;IFERROR(OFFSET(数出表_Excel【15時】!$A$1,4,L46-1),""),"")</f>
        <v/>
      </c>
      <c r="N46" t="str">
        <f ca="1">IF(L46&lt;&gt;"",
OFFSET(数出表_Excel【15時】!$A$1,A46+3,L46-1),"")</f>
        <v/>
      </c>
      <c r="O46" t="str">
        <f ca="1">IF(L46&lt;&gt;"",
IF(AND(OFFSET(数出表_Excel【15時】!$A$1,A46+3,L46)&lt;&gt;"",OFFSET(数出表_Excel【15時】!$A$1,A46+3,L46)&lt;&gt;0),
OFFSET(数出表_Excel【15時】!$A$1,A46+3,L46),""),"")</f>
        <v/>
      </c>
      <c r="Q46" t="str">
        <f ca="1">IF(C46&lt;&gt;"",
IF(E46&lt;&gt;"",1,0)+IF(I46&lt;&gt;"",1,0)+IF(M46&lt;&gt;"",1,0),"")</f>
        <v/>
      </c>
      <c r="AH46" t="str">
        <f t="array" aca="1" ref="AH46" ca="1">IFERROR(SMALL(IF(O$1:O$307&lt;&gt;0,O$1:O$307),ROW(AH46)),"")</f>
        <v/>
      </c>
      <c r="AI46" t="str">
        <f t="array" aca="1" ref="AI46" ca="1">IF($T46&lt;&gt;"",
SUBSTITUTE(SUBSTITUTE(INDIRECT("B"&amp;$T46&amp;"")," 週3ｺｰｽ","")," 週5ｺｰｽ",""),"")</f>
        <v/>
      </c>
    </row>
    <row r="47" spans="1:35">
      <c r="A47" t="str">
        <f t="shared" ca="1" si="0"/>
        <v/>
      </c>
      <c r="B47" t="str">
        <f t="array" aca="1" ref="B47" ca="1">IF(OR(COUNTIF(数出表_Excel【15時】!AO50,"*修正*"),COUNTIF(数出表_Excel【15時】!AO51,"*修正*")),
IF(ISEVEN(ROW()+4),INDIRECT("数出表_Excel【15時】!A"&amp;ROW()+4&amp;""),INDIRECT("数出表_Excel【15時】!A"&amp;ROW()+4-1&amp;"")),"")</f>
        <v/>
      </c>
      <c r="C47" t="str">
        <f t="array" aca="1" ref="C47" ca="1">IF(OR(COUNTIF(数出表_Excel【15時】!AO50,"*修正*"),COUNTIF(数出表_Excel【15時】!AO51,"*修正*")),
IF(ISEVEN(ROW()+4),INDIRECT("数出表_Excel【15時】!A"&amp;ROW()+4+1&amp;""),INDIRECT("数出表_Excel【15時】!A"&amp;ROW()+4&amp;"")),"")</f>
        <v/>
      </c>
      <c r="D47" s="209" t="str">
        <f t="array" aca="1" ref="D47" ca="1">IF(B47&lt;&gt;"",
IFERROR(MATCH(TRUE,ISNUMBER(INDIRECT("数出表_Excel【15時】!B"&amp;(A47+4)&amp;":ZZ"&amp;(A47+4))),0)+1,""),"")</f>
        <v/>
      </c>
      <c r="E47" t="str">
        <f ca="1">IF(D47&lt;&gt;"",
OFFSET(数出表_Excel【15時】!$A$1,2,D47-1)
&amp;IFERROR(OFFSET(数出表_Excel【15時】!$A$1,3,D47-1),"")
&amp;IFERROR(OFFSET(数出表_Excel【15時】!$A$1,4,D47-1),""),"")</f>
        <v/>
      </c>
      <c r="F47" t="str">
        <f ca="1">IF(D47&lt;&gt;"",
OFFSET(数出表_Excel【15時】!$A$1,A47+3,D47-1),"")</f>
        <v/>
      </c>
      <c r="G47" t="str">
        <f ca="1">IF(D47&lt;&gt;"",
IF(AND(OFFSET(数出表_Excel【15時】!$A$1,A47+3,D47)&lt;&gt;"",OFFSET(数出表_Excel【15時】!$A$1,A47+3,D47)&lt;&gt;0),
OFFSET(数出表_Excel【15時】!$A$1,A47+3,D47),""),"")</f>
        <v/>
      </c>
      <c r="H47" s="209" t="str">
        <f t="array" aca="1" ref="H47" ca="1">IF(B47&lt;&gt;"",
IFERROR(MATCH(TRUE,ISNUMBER(INDIRECT("数出表_Excel【15時】!"&amp;SUBSTITUTE(ADDRESS(1,D47+2,4),"1","")&amp;(A47+4)&amp;":ZZ"&amp;(A47+4))),0)+D47+1,""),"")</f>
        <v/>
      </c>
      <c r="I47" t="str">
        <f ca="1">IF(H47&lt;&gt;"",
OFFSET(数出表_Excel【15時】!$A$1,2,H47-1)
&amp;IFERROR(OFFSET(数出表_Excel【15時】!$A$1,3,H47-1),"")
&amp;IFERROR(OFFSET(数出表_Excel【15時】!$A$1,4,H47-1),""),"")</f>
        <v/>
      </c>
      <c r="J47" t="str">
        <f ca="1">IF(H47&lt;&gt;"",
OFFSET(数出表_Excel【15時】!$A$1,A47+3,H47-1),"")</f>
        <v/>
      </c>
      <c r="K47" t="str">
        <f ca="1">IF(H47&lt;&gt;"",
IF(AND(OFFSET(数出表_Excel【15時】!$A$1,A47+3,H47)&lt;&gt;"",OFFSET(数出表_Excel【15時】!$A$1,A47+3,H47)&lt;&gt;0),
OFFSET(数出表_Excel【15時】!$A$1,A47+3,H47),""),"")</f>
        <v/>
      </c>
      <c r="L47" s="209" t="str">
        <f t="array" aca="1" ref="L47" ca="1">IF(B47&lt;&gt;"",
IFERROR(MATCH(TRUE,ISNUMBER(INDIRECT("数出表_Excel【15時】!"&amp;SUBSTITUTE(ADDRESS(1,H47+2,4),"1","")&amp;(A47+4)&amp;":ZZ"&amp;(A47+4))),0)+H47+1,""),"")</f>
        <v/>
      </c>
      <c r="M47" t="str">
        <f ca="1">IF(L47&lt;&gt;"",
OFFSET(数出表_Excel【15時】!$A$1,2,L47-1)
&amp;IFERROR(OFFSET(数出表_Excel【15時】!$A$1,3,L47-1),"")
&amp;IFERROR(OFFSET(数出表_Excel【15時】!$A$1,4,L47-1),""),"")</f>
        <v/>
      </c>
      <c r="N47" t="str">
        <f ca="1">IF(L47&lt;&gt;"",
OFFSET(数出表_Excel【15時】!$A$1,A47+3,L47-1),"")</f>
        <v/>
      </c>
      <c r="O47" t="str">
        <f ca="1">IF(L47&lt;&gt;"",
IF(AND(OFFSET(数出表_Excel【15時】!$A$1,A47+3,L47)&lt;&gt;"",OFFSET(数出表_Excel【15時】!$A$1,A47+3,L47)&lt;&gt;0),
OFFSET(数出表_Excel【15時】!$A$1,A47+3,L47),""),"")</f>
        <v/>
      </c>
      <c r="AH47" t="str">
        <f t="array" aca="1" ref="AH47" ca="1">IFERROR(SMALL(IF(O$1:O$307&lt;&gt;0,O$1:O$307),ROW(AH47)),"")</f>
        <v/>
      </c>
      <c r="AI47" t="str">
        <f t="array" aca="1" ref="AI47" ca="1">IF($T47&lt;&gt;"",
SUBSTITUTE(SUBSTITUTE(INDIRECT("B"&amp;$T47&amp;"")," 週3ｺｰｽ","")," 週5ｺｰｽ",""),"")</f>
        <v/>
      </c>
    </row>
    <row r="48" spans="1:35">
      <c r="A48" t="str">
        <f t="shared" ca="1" si="0"/>
        <v/>
      </c>
      <c r="B48" t="str">
        <f t="array" aca="1" ref="B48" ca="1">IF(OR(COUNTIF(数出表_Excel【15時】!AO52,"*修正*"),COUNTIF(数出表_Excel【15時】!AO53,"*修正*")),
IF(ISEVEN(ROW()+4),INDIRECT("数出表_Excel【15時】!A"&amp;ROW()+4&amp;""),INDIRECT("数出表_Excel【15時】!A"&amp;ROW()+4-1&amp;"")),"")</f>
        <v/>
      </c>
      <c r="C48" t="str">
        <f t="array" aca="1" ref="C48" ca="1">IF(OR(COUNTIF(数出表_Excel【15時】!AO52,"*修正*"),COUNTIF(数出表_Excel【15時】!AO53,"*修正*")),
IF(ISEVEN(ROW()+4),INDIRECT("数出表_Excel【15時】!A"&amp;ROW()+4+1&amp;""),INDIRECT("数出表_Excel【15時】!A"&amp;ROW()+4&amp;"")),"")</f>
        <v/>
      </c>
      <c r="D48" s="209" t="str">
        <f t="array" aca="1" ref="D48" ca="1">IF(B48&lt;&gt;"",
IFERROR(MATCH(TRUE,ISNUMBER(INDIRECT("数出表_Excel【15時】!B"&amp;(A48+4)&amp;":ZZ"&amp;(A48+4))),0)+1,""),"")</f>
        <v/>
      </c>
      <c r="E48" t="str">
        <f ca="1">IF(D48&lt;&gt;"",
OFFSET(数出表_Excel【15時】!$A$1,2,D48-1)
&amp;IFERROR(OFFSET(数出表_Excel【15時】!$A$1,3,D48-1),"")
&amp;IFERROR(OFFSET(数出表_Excel【15時】!$A$1,4,D48-1),""),"")</f>
        <v/>
      </c>
      <c r="F48" t="str">
        <f ca="1">IF(D48&lt;&gt;"",
OFFSET(数出表_Excel【15時】!$A$1,A48+3,D48-1),"")</f>
        <v/>
      </c>
      <c r="G48" t="str">
        <f ca="1">IF(D48&lt;&gt;"",
IF(AND(OFFSET(数出表_Excel【15時】!$A$1,A48+3,D48)&lt;&gt;"",OFFSET(数出表_Excel【15時】!$A$1,A48+3,D48)&lt;&gt;0),
OFFSET(数出表_Excel【15時】!$A$1,A48+3,D48),""),"")</f>
        <v/>
      </c>
      <c r="H48" s="209" t="str">
        <f t="array" aca="1" ref="H48" ca="1">IF(B48&lt;&gt;"",
IFERROR(MATCH(TRUE,ISNUMBER(INDIRECT("数出表_Excel【15時】!"&amp;SUBSTITUTE(ADDRESS(1,D48+2,4),"1","")&amp;(A48+4)&amp;":ZZ"&amp;(A48+4))),0)+D48+1,""),"")</f>
        <v/>
      </c>
      <c r="I48" t="str">
        <f ca="1">IF(H48&lt;&gt;"",
OFFSET(数出表_Excel【15時】!$A$1,2,H48-1)
&amp;IFERROR(OFFSET(数出表_Excel【15時】!$A$1,3,H48-1),"")
&amp;IFERROR(OFFSET(数出表_Excel【15時】!$A$1,4,H48-1),""),"")</f>
        <v/>
      </c>
      <c r="J48" t="str">
        <f ca="1">IF(H48&lt;&gt;"",
OFFSET(数出表_Excel【15時】!$A$1,A48+3,H48-1),"")</f>
        <v/>
      </c>
      <c r="K48" t="str">
        <f ca="1">IF(H48&lt;&gt;"",
IF(AND(OFFSET(数出表_Excel【15時】!$A$1,A48+3,H48)&lt;&gt;"",OFFSET(数出表_Excel【15時】!$A$1,A48+3,H48)&lt;&gt;0),
OFFSET(数出表_Excel【15時】!$A$1,A48+3,H48),""),"")</f>
        <v/>
      </c>
      <c r="L48" s="209" t="str">
        <f t="array" aca="1" ref="L48" ca="1">IF(B48&lt;&gt;"",
IFERROR(MATCH(TRUE,ISNUMBER(INDIRECT("数出表_Excel【15時】!"&amp;SUBSTITUTE(ADDRESS(1,H48+2,4),"1","")&amp;(A48+4)&amp;":ZZ"&amp;(A48+4))),0)+H48+1,""),"")</f>
        <v/>
      </c>
      <c r="M48" t="str">
        <f ca="1">IF(L48&lt;&gt;"",
OFFSET(数出表_Excel【15時】!$A$1,2,L48-1)
&amp;IFERROR(OFFSET(数出表_Excel【15時】!$A$1,3,L48-1),"")
&amp;IFERROR(OFFSET(数出表_Excel【15時】!$A$1,4,L48-1),""),"")</f>
        <v/>
      </c>
      <c r="N48" t="str">
        <f ca="1">IF(L48&lt;&gt;"",
OFFSET(数出表_Excel【15時】!$A$1,A48+3,L48-1),"")</f>
        <v/>
      </c>
      <c r="O48" t="str">
        <f ca="1">IF(L48&lt;&gt;"",
IF(AND(OFFSET(数出表_Excel【15時】!$A$1,A48+3,L48)&lt;&gt;"",OFFSET(数出表_Excel【15時】!$A$1,A48+3,L48)&lt;&gt;0),
OFFSET(数出表_Excel【15時】!$A$1,A48+3,L48),""),"")</f>
        <v/>
      </c>
      <c r="Q48" t="str">
        <f ca="1">IF(C48&lt;&gt;"",
IF(E48&lt;&gt;"",1,0)+IF(I48&lt;&gt;"",1,0)+IF(M48&lt;&gt;"",1,0),"")</f>
        <v/>
      </c>
      <c r="AH48" t="str">
        <f t="array" aca="1" ref="AH48" ca="1">IFERROR(SMALL(IF(O$1:O$307&lt;&gt;0,O$1:O$307),ROW(AH48)),"")</f>
        <v/>
      </c>
      <c r="AI48" t="str">
        <f t="array" aca="1" ref="AI48" ca="1">IF($T48&lt;&gt;"",
SUBSTITUTE(SUBSTITUTE(INDIRECT("B"&amp;$T48&amp;"")," 週3ｺｰｽ","")," 週5ｺｰｽ",""),"")</f>
        <v/>
      </c>
    </row>
    <row r="49" spans="1:35">
      <c r="A49" t="str">
        <f t="shared" ca="1" si="0"/>
        <v/>
      </c>
      <c r="B49" t="str">
        <f t="array" aca="1" ref="B49" ca="1">IF(OR(COUNTIF(数出表_Excel【15時】!AO52,"*修正*"),COUNTIF(数出表_Excel【15時】!AO53,"*修正*")),
IF(ISEVEN(ROW()+4),INDIRECT("数出表_Excel【15時】!A"&amp;ROW()+4&amp;""),INDIRECT("数出表_Excel【15時】!A"&amp;ROW()+4-1&amp;"")),"")</f>
        <v/>
      </c>
      <c r="C49" t="str">
        <f t="array" aca="1" ref="C49" ca="1">IF(OR(COUNTIF(数出表_Excel【15時】!AO52,"*修正*"),COUNTIF(数出表_Excel【15時】!AO53,"*修正*")),
IF(ISEVEN(ROW()+4),INDIRECT("数出表_Excel【15時】!A"&amp;ROW()+4+1&amp;""),INDIRECT("数出表_Excel【15時】!A"&amp;ROW()+4&amp;"")),"")</f>
        <v/>
      </c>
      <c r="D49" s="209" t="str">
        <f t="array" aca="1" ref="D49" ca="1">IF(B49&lt;&gt;"",
IFERROR(MATCH(TRUE,ISNUMBER(INDIRECT("数出表_Excel【15時】!B"&amp;(A49+4)&amp;":ZZ"&amp;(A49+4))),0)+1,""),"")</f>
        <v/>
      </c>
      <c r="E49" t="str">
        <f ca="1">IF(D49&lt;&gt;"",
OFFSET(数出表_Excel【15時】!$A$1,2,D49-1)
&amp;IFERROR(OFFSET(数出表_Excel【15時】!$A$1,3,D49-1),"")
&amp;IFERROR(OFFSET(数出表_Excel【15時】!$A$1,4,D49-1),""),"")</f>
        <v/>
      </c>
      <c r="F49" t="str">
        <f ca="1">IF(D49&lt;&gt;"",
OFFSET(数出表_Excel【15時】!$A$1,A49+3,D49-1),"")</f>
        <v/>
      </c>
      <c r="G49" t="str">
        <f ca="1">IF(D49&lt;&gt;"",
IF(AND(OFFSET(数出表_Excel【15時】!$A$1,A49+3,D49)&lt;&gt;"",OFFSET(数出表_Excel【15時】!$A$1,A49+3,D49)&lt;&gt;0),
OFFSET(数出表_Excel【15時】!$A$1,A49+3,D49),""),"")</f>
        <v/>
      </c>
      <c r="H49" s="209" t="str">
        <f t="array" aca="1" ref="H49" ca="1">IF(B49&lt;&gt;"",
IFERROR(MATCH(TRUE,ISNUMBER(INDIRECT("数出表_Excel【15時】!"&amp;SUBSTITUTE(ADDRESS(1,D49+2,4),"1","")&amp;(A49+4)&amp;":ZZ"&amp;(A49+4))),0)+D49+1,""),"")</f>
        <v/>
      </c>
      <c r="I49" t="str">
        <f ca="1">IF(H49&lt;&gt;"",
OFFSET(数出表_Excel【15時】!$A$1,2,H49-1)
&amp;IFERROR(OFFSET(数出表_Excel【15時】!$A$1,3,H49-1),"")
&amp;IFERROR(OFFSET(数出表_Excel【15時】!$A$1,4,H49-1),""),"")</f>
        <v/>
      </c>
      <c r="J49" t="str">
        <f ca="1">IF(H49&lt;&gt;"",
OFFSET(数出表_Excel【15時】!$A$1,A49+3,H49-1),"")</f>
        <v/>
      </c>
      <c r="K49" t="str">
        <f ca="1">IF(H49&lt;&gt;"",
IF(AND(OFFSET(数出表_Excel【15時】!$A$1,A49+3,H49)&lt;&gt;"",OFFSET(数出表_Excel【15時】!$A$1,A49+3,H49)&lt;&gt;0),
OFFSET(数出表_Excel【15時】!$A$1,A49+3,H49),""),"")</f>
        <v/>
      </c>
      <c r="L49" s="209" t="str">
        <f t="array" aca="1" ref="L49" ca="1">IF(B49&lt;&gt;"",
IFERROR(MATCH(TRUE,ISNUMBER(INDIRECT("数出表_Excel【15時】!"&amp;SUBSTITUTE(ADDRESS(1,H49+2,4),"1","")&amp;(A49+4)&amp;":ZZ"&amp;(A49+4))),0)+H49+1,""),"")</f>
        <v/>
      </c>
      <c r="M49" t="str">
        <f ca="1">IF(L49&lt;&gt;"",
OFFSET(数出表_Excel【15時】!$A$1,2,L49-1)
&amp;IFERROR(OFFSET(数出表_Excel【15時】!$A$1,3,L49-1),"")
&amp;IFERROR(OFFSET(数出表_Excel【15時】!$A$1,4,L49-1),""),"")</f>
        <v/>
      </c>
      <c r="N49" t="str">
        <f ca="1">IF(L49&lt;&gt;"",
OFFSET(数出表_Excel【15時】!$A$1,A49+3,L49-1),"")</f>
        <v/>
      </c>
      <c r="O49" t="str">
        <f ca="1">IF(L49&lt;&gt;"",
IF(AND(OFFSET(数出表_Excel【15時】!$A$1,A49+3,L49)&lt;&gt;"",OFFSET(数出表_Excel【15時】!$A$1,A49+3,L49)&lt;&gt;0),
OFFSET(数出表_Excel【15時】!$A$1,A49+3,L49),""),"")</f>
        <v/>
      </c>
      <c r="AH49" t="str">
        <f t="array" aca="1" ref="AH49" ca="1">IFERROR(SMALL(IF(O$1:O$307&lt;&gt;0,O$1:O$307),ROW(AH49)),"")</f>
        <v/>
      </c>
      <c r="AI49" t="str">
        <f t="array" aca="1" ref="AI49" ca="1">IF($T49&lt;&gt;"",
SUBSTITUTE(SUBSTITUTE(INDIRECT("B"&amp;$T49&amp;"")," 週3ｺｰｽ","")," 週5ｺｰｽ",""),"")</f>
        <v/>
      </c>
    </row>
    <row r="50" spans="1:35">
      <c r="A50" t="str">
        <f t="shared" ca="1" si="0"/>
        <v/>
      </c>
      <c r="B50" t="str">
        <f t="array" aca="1" ref="B50" ca="1">IF(OR(COUNTIF(数出表_Excel【15時】!AO54,"*修正*"),COUNTIF(数出表_Excel【15時】!AO55,"*修正*")),
IF(ISEVEN(ROW()+4),INDIRECT("数出表_Excel【15時】!A"&amp;ROW()+4&amp;""),INDIRECT("数出表_Excel【15時】!A"&amp;ROW()+4-1&amp;"")),"")</f>
        <v/>
      </c>
      <c r="C50" t="str">
        <f t="array" aca="1" ref="C50" ca="1">IF(OR(COUNTIF(数出表_Excel【15時】!AO54,"*修正*"),COUNTIF(数出表_Excel【15時】!AO55,"*修正*")),
IF(ISEVEN(ROW()+4),INDIRECT("数出表_Excel【15時】!A"&amp;ROW()+4+1&amp;""),INDIRECT("数出表_Excel【15時】!A"&amp;ROW()+4&amp;"")),"")</f>
        <v/>
      </c>
      <c r="D50" s="209" t="str">
        <f t="array" aca="1" ref="D50" ca="1">IF(B50&lt;&gt;"",
IFERROR(MATCH(TRUE,ISNUMBER(INDIRECT("数出表_Excel【15時】!B"&amp;(A50+4)&amp;":ZZ"&amp;(A50+4))),0)+1,""),"")</f>
        <v/>
      </c>
      <c r="E50" t="str">
        <f ca="1">IF(D50&lt;&gt;"",
OFFSET(数出表_Excel【15時】!$A$1,2,D50-1)
&amp;IFERROR(OFFSET(数出表_Excel【15時】!$A$1,3,D50-1),"")
&amp;IFERROR(OFFSET(数出表_Excel【15時】!$A$1,4,D50-1),""),"")</f>
        <v/>
      </c>
      <c r="F50" t="str">
        <f ca="1">IF(D50&lt;&gt;"",
OFFSET(数出表_Excel【15時】!$A$1,A50+3,D50-1),"")</f>
        <v/>
      </c>
      <c r="G50" t="str">
        <f ca="1">IF(D50&lt;&gt;"",
IF(AND(OFFSET(数出表_Excel【15時】!$A$1,A50+3,D50)&lt;&gt;"",OFFSET(数出表_Excel【15時】!$A$1,A50+3,D50)&lt;&gt;0),
OFFSET(数出表_Excel【15時】!$A$1,A50+3,D50),""),"")</f>
        <v/>
      </c>
      <c r="H50" s="209" t="str">
        <f t="array" aca="1" ref="H50" ca="1">IF(B50&lt;&gt;"",
IFERROR(MATCH(TRUE,ISNUMBER(INDIRECT("数出表_Excel【15時】!"&amp;SUBSTITUTE(ADDRESS(1,D50+2,4),"1","")&amp;(A50+4)&amp;":ZZ"&amp;(A50+4))),0)+D50+1,""),"")</f>
        <v/>
      </c>
      <c r="I50" t="str">
        <f ca="1">IF(H50&lt;&gt;"",
OFFSET(数出表_Excel【15時】!$A$1,2,H50-1)
&amp;IFERROR(OFFSET(数出表_Excel【15時】!$A$1,3,H50-1),"")
&amp;IFERROR(OFFSET(数出表_Excel【15時】!$A$1,4,H50-1),""),"")</f>
        <v/>
      </c>
      <c r="J50" t="str">
        <f ca="1">IF(H50&lt;&gt;"",
OFFSET(数出表_Excel【15時】!$A$1,A50+3,H50-1),"")</f>
        <v/>
      </c>
      <c r="K50" t="str">
        <f ca="1">IF(H50&lt;&gt;"",
IF(AND(OFFSET(数出表_Excel【15時】!$A$1,A50+3,H50)&lt;&gt;"",OFFSET(数出表_Excel【15時】!$A$1,A50+3,H50)&lt;&gt;0),
OFFSET(数出表_Excel【15時】!$A$1,A50+3,H50),""),"")</f>
        <v/>
      </c>
      <c r="L50" s="209" t="str">
        <f t="array" aca="1" ref="L50" ca="1">IF(B50&lt;&gt;"",
IFERROR(MATCH(TRUE,ISNUMBER(INDIRECT("数出表_Excel【15時】!"&amp;SUBSTITUTE(ADDRESS(1,H50+2,4),"1","")&amp;(A50+4)&amp;":ZZ"&amp;(A50+4))),0)+H50+1,""),"")</f>
        <v/>
      </c>
      <c r="M50" t="str">
        <f ca="1">IF(L50&lt;&gt;"",
OFFSET(数出表_Excel【15時】!$A$1,2,L50-1)
&amp;IFERROR(OFFSET(数出表_Excel【15時】!$A$1,3,L50-1),"")
&amp;IFERROR(OFFSET(数出表_Excel【15時】!$A$1,4,L50-1),""),"")</f>
        <v/>
      </c>
      <c r="N50" t="str">
        <f ca="1">IF(L50&lt;&gt;"",
OFFSET(数出表_Excel【15時】!$A$1,A50+3,L50-1),"")</f>
        <v/>
      </c>
      <c r="O50" t="str">
        <f ca="1">IF(L50&lt;&gt;"",
IF(AND(OFFSET(数出表_Excel【15時】!$A$1,A50+3,L50)&lt;&gt;"",OFFSET(数出表_Excel【15時】!$A$1,A50+3,L50)&lt;&gt;0),
OFFSET(数出表_Excel【15時】!$A$1,A50+3,L50),""),"")</f>
        <v/>
      </c>
      <c r="Q50" t="str">
        <f ca="1">IF(C50&lt;&gt;"",
IF(E50&lt;&gt;"",1,0)+IF(I50&lt;&gt;"",1,0)+IF(M50&lt;&gt;"",1,0),"")</f>
        <v/>
      </c>
      <c r="AH50" t="str">
        <f t="array" aca="1" ref="AH50" ca="1">IFERROR(SMALL(IF(O$1:O$307&lt;&gt;0,O$1:O$307),ROW(AH50)),"")</f>
        <v/>
      </c>
      <c r="AI50" t="str">
        <f t="array" aca="1" ref="AI50" ca="1">IF($T50&lt;&gt;"",
SUBSTITUTE(SUBSTITUTE(INDIRECT("B"&amp;$T50&amp;"")," 週3ｺｰｽ","")," 週5ｺｰｽ",""),"")</f>
        <v/>
      </c>
    </row>
    <row r="51" spans="1:35">
      <c r="A51" t="str">
        <f t="shared" ca="1" si="0"/>
        <v/>
      </c>
      <c r="B51" t="str">
        <f t="array" aca="1" ref="B51" ca="1">IF(OR(COUNTIF(数出表_Excel【15時】!AO54,"*修正*"),COUNTIF(数出表_Excel【15時】!AO55,"*修正*")),
IF(ISEVEN(ROW()+4),INDIRECT("数出表_Excel【15時】!A"&amp;ROW()+4&amp;""),INDIRECT("数出表_Excel【15時】!A"&amp;ROW()+4-1&amp;"")),"")</f>
        <v/>
      </c>
      <c r="C51" t="str">
        <f t="array" aca="1" ref="C51" ca="1">IF(OR(COUNTIF(数出表_Excel【15時】!AO54,"*修正*"),COUNTIF(数出表_Excel【15時】!AO55,"*修正*")),
IF(ISEVEN(ROW()+4),INDIRECT("数出表_Excel【15時】!A"&amp;ROW()+4+1&amp;""),INDIRECT("数出表_Excel【15時】!A"&amp;ROW()+4&amp;"")),"")</f>
        <v/>
      </c>
      <c r="D51" s="209" t="str">
        <f t="array" aca="1" ref="D51" ca="1">IF(B51&lt;&gt;"",
IFERROR(MATCH(TRUE,ISNUMBER(INDIRECT("数出表_Excel【15時】!B"&amp;(A51+4)&amp;":ZZ"&amp;(A51+4))),0)+1,""),"")</f>
        <v/>
      </c>
      <c r="E51" t="str">
        <f ca="1">IF(D51&lt;&gt;"",
OFFSET(数出表_Excel【15時】!$A$1,2,D51-1)
&amp;IFERROR(OFFSET(数出表_Excel【15時】!$A$1,3,D51-1),"")
&amp;IFERROR(OFFSET(数出表_Excel【15時】!$A$1,4,D51-1),""),"")</f>
        <v/>
      </c>
      <c r="F51" t="str">
        <f ca="1">IF(D51&lt;&gt;"",
OFFSET(数出表_Excel【15時】!$A$1,A51+3,D51-1),"")</f>
        <v/>
      </c>
      <c r="G51" t="str">
        <f ca="1">IF(D51&lt;&gt;"",
IF(AND(OFFSET(数出表_Excel【15時】!$A$1,A51+3,D51)&lt;&gt;"",OFFSET(数出表_Excel【15時】!$A$1,A51+3,D51)&lt;&gt;0),
OFFSET(数出表_Excel【15時】!$A$1,A51+3,D51),""),"")</f>
        <v/>
      </c>
      <c r="H51" s="209" t="str">
        <f t="array" aca="1" ref="H51" ca="1">IF(B51&lt;&gt;"",
IFERROR(MATCH(TRUE,ISNUMBER(INDIRECT("数出表_Excel【15時】!"&amp;SUBSTITUTE(ADDRESS(1,D51+2,4),"1","")&amp;(A51+4)&amp;":ZZ"&amp;(A51+4))),0)+D51+1,""),"")</f>
        <v/>
      </c>
      <c r="I51" t="str">
        <f ca="1">IF(H51&lt;&gt;"",
OFFSET(数出表_Excel【15時】!$A$1,2,H51-1)
&amp;IFERROR(OFFSET(数出表_Excel【15時】!$A$1,3,H51-1),"")
&amp;IFERROR(OFFSET(数出表_Excel【15時】!$A$1,4,H51-1),""),"")</f>
        <v/>
      </c>
      <c r="J51" t="str">
        <f ca="1">IF(H51&lt;&gt;"",
OFFSET(数出表_Excel【15時】!$A$1,A51+3,H51-1),"")</f>
        <v/>
      </c>
      <c r="K51" t="str">
        <f ca="1">IF(H51&lt;&gt;"",
IF(AND(OFFSET(数出表_Excel【15時】!$A$1,A51+3,H51)&lt;&gt;"",OFFSET(数出表_Excel【15時】!$A$1,A51+3,H51)&lt;&gt;0),
OFFSET(数出表_Excel【15時】!$A$1,A51+3,H51),""),"")</f>
        <v/>
      </c>
      <c r="L51" s="209" t="str">
        <f t="array" aca="1" ref="L51" ca="1">IF(B51&lt;&gt;"",
IFERROR(MATCH(TRUE,ISNUMBER(INDIRECT("数出表_Excel【15時】!"&amp;SUBSTITUTE(ADDRESS(1,H51+2,4),"1","")&amp;(A51+4)&amp;":ZZ"&amp;(A51+4))),0)+H51+1,""),"")</f>
        <v/>
      </c>
      <c r="M51" t="str">
        <f ca="1">IF(L51&lt;&gt;"",
OFFSET(数出表_Excel【15時】!$A$1,2,L51-1)
&amp;IFERROR(OFFSET(数出表_Excel【15時】!$A$1,3,L51-1),"")
&amp;IFERROR(OFFSET(数出表_Excel【15時】!$A$1,4,L51-1),""),"")</f>
        <v/>
      </c>
      <c r="N51" t="str">
        <f ca="1">IF(L51&lt;&gt;"",
OFFSET(数出表_Excel【15時】!$A$1,A51+3,L51-1),"")</f>
        <v/>
      </c>
      <c r="O51" t="str">
        <f ca="1">IF(L51&lt;&gt;"",
IF(AND(OFFSET(数出表_Excel【15時】!$A$1,A51+3,L51)&lt;&gt;"",OFFSET(数出表_Excel【15時】!$A$1,A51+3,L51)&lt;&gt;0),
OFFSET(数出表_Excel【15時】!$A$1,A51+3,L51),""),"")</f>
        <v/>
      </c>
      <c r="AH51" t="str">
        <f t="array" aca="1" ref="AH51" ca="1">IFERROR(SMALL(IF(O$1:O$307&lt;&gt;0,O$1:O$307),ROW(AH51)),"")</f>
        <v/>
      </c>
      <c r="AI51" t="str">
        <f t="array" aca="1" ref="AI51" ca="1">IF($T51&lt;&gt;"",
SUBSTITUTE(SUBSTITUTE(INDIRECT("B"&amp;$T51&amp;"")," 週3ｺｰｽ","")," 週5ｺｰｽ",""),"")</f>
        <v/>
      </c>
    </row>
    <row r="52" spans="1:35">
      <c r="A52" t="str">
        <f t="shared" ca="1" si="0"/>
        <v/>
      </c>
      <c r="B52" t="str">
        <f t="array" aca="1" ref="B52" ca="1">IF(OR(COUNTIF(数出表_Excel【15時】!AO56,"*修正*"),COUNTIF(数出表_Excel【15時】!AO57,"*修正*")),
IF(ISEVEN(ROW()+4),INDIRECT("数出表_Excel【15時】!A"&amp;ROW()+4&amp;""),INDIRECT("数出表_Excel【15時】!A"&amp;ROW()+4-1&amp;"")),"")</f>
        <v/>
      </c>
      <c r="C52" t="str">
        <f t="array" aca="1" ref="C52" ca="1">IF(OR(COUNTIF(数出表_Excel【15時】!AO56,"*修正*"),COUNTIF(数出表_Excel【15時】!AO57,"*修正*")),
IF(ISEVEN(ROW()+4),INDIRECT("数出表_Excel【15時】!A"&amp;ROW()+4+1&amp;""),INDIRECT("数出表_Excel【15時】!A"&amp;ROW()+4&amp;"")),"")</f>
        <v/>
      </c>
      <c r="D52" s="209" t="str">
        <f t="array" aca="1" ref="D52" ca="1">IF(B52&lt;&gt;"",
IFERROR(MATCH(TRUE,ISNUMBER(INDIRECT("数出表_Excel【15時】!B"&amp;(A52+4)&amp;":ZZ"&amp;(A52+4))),0)+1,""),"")</f>
        <v/>
      </c>
      <c r="E52" t="str">
        <f ca="1">IF(D52&lt;&gt;"",
OFFSET(数出表_Excel【15時】!$A$1,2,D52-1)
&amp;IFERROR(OFFSET(数出表_Excel【15時】!$A$1,3,D52-1),"")
&amp;IFERROR(OFFSET(数出表_Excel【15時】!$A$1,4,D52-1),""),"")</f>
        <v/>
      </c>
      <c r="F52" t="str">
        <f ca="1">IF(D52&lt;&gt;"",
OFFSET(数出表_Excel【15時】!$A$1,A52+3,D52-1),"")</f>
        <v/>
      </c>
      <c r="G52" t="str">
        <f ca="1">IF(D52&lt;&gt;"",
IF(AND(OFFSET(数出表_Excel【15時】!$A$1,A52+3,D52)&lt;&gt;"",OFFSET(数出表_Excel【15時】!$A$1,A52+3,D52)&lt;&gt;0),
OFFSET(数出表_Excel【15時】!$A$1,A52+3,D52),""),"")</f>
        <v/>
      </c>
      <c r="H52" s="209" t="str">
        <f t="array" aca="1" ref="H52" ca="1">IF(B52&lt;&gt;"",
IFERROR(MATCH(TRUE,ISNUMBER(INDIRECT("数出表_Excel【15時】!"&amp;SUBSTITUTE(ADDRESS(1,D52+2,4),"1","")&amp;(A52+4)&amp;":ZZ"&amp;(A52+4))),0)+D52+1,""),"")</f>
        <v/>
      </c>
      <c r="I52" t="str">
        <f ca="1">IF(H52&lt;&gt;"",
OFFSET(数出表_Excel【15時】!$A$1,2,H52-1)
&amp;IFERROR(OFFSET(数出表_Excel【15時】!$A$1,3,H52-1),"")
&amp;IFERROR(OFFSET(数出表_Excel【15時】!$A$1,4,H52-1),""),"")</f>
        <v/>
      </c>
      <c r="J52" t="str">
        <f ca="1">IF(H52&lt;&gt;"",
OFFSET(数出表_Excel【15時】!$A$1,A52+3,H52-1),"")</f>
        <v/>
      </c>
      <c r="K52" t="str">
        <f ca="1">IF(H52&lt;&gt;"",
IF(AND(OFFSET(数出表_Excel【15時】!$A$1,A52+3,H52)&lt;&gt;"",OFFSET(数出表_Excel【15時】!$A$1,A52+3,H52)&lt;&gt;0),
OFFSET(数出表_Excel【15時】!$A$1,A52+3,H52),""),"")</f>
        <v/>
      </c>
      <c r="L52" s="209" t="str">
        <f t="array" aca="1" ref="L52" ca="1">IF(B52&lt;&gt;"",
IFERROR(MATCH(TRUE,ISNUMBER(INDIRECT("数出表_Excel【15時】!"&amp;SUBSTITUTE(ADDRESS(1,H52+2,4),"1","")&amp;(A52+4)&amp;":ZZ"&amp;(A52+4))),0)+H52+1,""),"")</f>
        <v/>
      </c>
      <c r="M52" t="str">
        <f ca="1">IF(L52&lt;&gt;"",
OFFSET(数出表_Excel【15時】!$A$1,2,L52-1)
&amp;IFERROR(OFFSET(数出表_Excel【15時】!$A$1,3,L52-1),"")
&amp;IFERROR(OFFSET(数出表_Excel【15時】!$A$1,4,L52-1),""),"")</f>
        <v/>
      </c>
      <c r="N52" t="str">
        <f ca="1">IF(L52&lt;&gt;"",
OFFSET(数出表_Excel【15時】!$A$1,A52+3,L52-1),"")</f>
        <v/>
      </c>
      <c r="O52" t="str">
        <f ca="1">IF(L52&lt;&gt;"",
IF(AND(OFFSET(数出表_Excel【15時】!$A$1,A52+3,L52)&lt;&gt;"",OFFSET(数出表_Excel【15時】!$A$1,A52+3,L52)&lt;&gt;0),
OFFSET(数出表_Excel【15時】!$A$1,A52+3,L52),""),"")</f>
        <v/>
      </c>
      <c r="Q52" t="str">
        <f ca="1">IF(C52&lt;&gt;"",
IF(E52&lt;&gt;"",1,0)+IF(I52&lt;&gt;"",1,0)+IF(M52&lt;&gt;"",1,0),"")</f>
        <v/>
      </c>
      <c r="AH52" t="str">
        <f t="array" aca="1" ref="AH52" ca="1">IFERROR(SMALL(IF(O$1:O$307&lt;&gt;0,O$1:O$307),ROW(AH52)),"")</f>
        <v/>
      </c>
      <c r="AI52" t="str">
        <f t="array" aca="1" ref="AI52" ca="1">IF($T52&lt;&gt;"",
SUBSTITUTE(SUBSTITUTE(INDIRECT("B"&amp;$T52&amp;"")," 週3ｺｰｽ","")," 週5ｺｰｽ",""),"")</f>
        <v/>
      </c>
    </row>
    <row r="53" spans="1:35">
      <c r="A53" t="str">
        <f t="shared" ca="1" si="0"/>
        <v/>
      </c>
      <c r="B53" t="str">
        <f t="array" aca="1" ref="B53" ca="1">IF(OR(COUNTIF(数出表_Excel【15時】!AO56,"*修正*"),COUNTIF(数出表_Excel【15時】!AO57,"*修正*")),
IF(ISEVEN(ROW()+4),INDIRECT("数出表_Excel【15時】!A"&amp;ROW()+4&amp;""),INDIRECT("数出表_Excel【15時】!A"&amp;ROW()+4-1&amp;"")),"")</f>
        <v/>
      </c>
      <c r="C53" t="str">
        <f t="array" aca="1" ref="C53" ca="1">IF(OR(COUNTIF(数出表_Excel【15時】!AO56,"*修正*"),COUNTIF(数出表_Excel【15時】!AO57,"*修正*")),
IF(ISEVEN(ROW()+4),INDIRECT("数出表_Excel【15時】!A"&amp;ROW()+4+1&amp;""),INDIRECT("数出表_Excel【15時】!A"&amp;ROW()+4&amp;"")),"")</f>
        <v/>
      </c>
      <c r="D53" s="209" t="str">
        <f t="array" aca="1" ref="D53" ca="1">IF(B53&lt;&gt;"",
IFERROR(MATCH(TRUE,ISNUMBER(INDIRECT("数出表_Excel【15時】!B"&amp;(A53+4)&amp;":ZZ"&amp;(A53+4))),0)+1,""),"")</f>
        <v/>
      </c>
      <c r="E53" t="str">
        <f ca="1">IF(D53&lt;&gt;"",
OFFSET(数出表_Excel【15時】!$A$1,2,D53-1)
&amp;IFERROR(OFFSET(数出表_Excel【15時】!$A$1,3,D53-1),"")
&amp;IFERROR(OFFSET(数出表_Excel【15時】!$A$1,4,D53-1),""),"")</f>
        <v/>
      </c>
      <c r="F53" t="str">
        <f ca="1">IF(D53&lt;&gt;"",
OFFSET(数出表_Excel【15時】!$A$1,A53+3,D53-1),"")</f>
        <v/>
      </c>
      <c r="G53" t="str">
        <f ca="1">IF(D53&lt;&gt;"",
IF(AND(OFFSET(数出表_Excel【15時】!$A$1,A53+3,D53)&lt;&gt;"",OFFSET(数出表_Excel【15時】!$A$1,A53+3,D53)&lt;&gt;0),
OFFSET(数出表_Excel【15時】!$A$1,A53+3,D53),""),"")</f>
        <v/>
      </c>
      <c r="H53" s="209" t="str">
        <f t="array" aca="1" ref="H53" ca="1">IF(B53&lt;&gt;"",
IFERROR(MATCH(TRUE,ISNUMBER(INDIRECT("数出表_Excel【15時】!"&amp;SUBSTITUTE(ADDRESS(1,D53+2,4),"1","")&amp;(A53+4)&amp;":ZZ"&amp;(A53+4))),0)+D53+1,""),"")</f>
        <v/>
      </c>
      <c r="I53" t="str">
        <f ca="1">IF(H53&lt;&gt;"",
OFFSET(数出表_Excel【15時】!$A$1,2,H53-1)
&amp;IFERROR(OFFSET(数出表_Excel【15時】!$A$1,3,H53-1),"")
&amp;IFERROR(OFFSET(数出表_Excel【15時】!$A$1,4,H53-1),""),"")</f>
        <v/>
      </c>
      <c r="J53" t="str">
        <f ca="1">IF(H53&lt;&gt;"",
OFFSET(数出表_Excel【15時】!$A$1,A53+3,H53-1),"")</f>
        <v/>
      </c>
      <c r="K53" t="str">
        <f ca="1">IF(H53&lt;&gt;"",
IF(AND(OFFSET(数出表_Excel【15時】!$A$1,A53+3,H53)&lt;&gt;"",OFFSET(数出表_Excel【15時】!$A$1,A53+3,H53)&lt;&gt;0),
OFFSET(数出表_Excel【15時】!$A$1,A53+3,H53),""),"")</f>
        <v/>
      </c>
      <c r="L53" s="209" t="str">
        <f t="array" aca="1" ref="L53" ca="1">IF(B53&lt;&gt;"",
IFERROR(MATCH(TRUE,ISNUMBER(INDIRECT("数出表_Excel【15時】!"&amp;SUBSTITUTE(ADDRESS(1,H53+2,4),"1","")&amp;(A53+4)&amp;":ZZ"&amp;(A53+4))),0)+H53+1,""),"")</f>
        <v/>
      </c>
      <c r="M53" t="str">
        <f ca="1">IF(L53&lt;&gt;"",
OFFSET(数出表_Excel【15時】!$A$1,2,L53-1)
&amp;IFERROR(OFFSET(数出表_Excel【15時】!$A$1,3,L53-1),"")
&amp;IFERROR(OFFSET(数出表_Excel【15時】!$A$1,4,L53-1),""),"")</f>
        <v/>
      </c>
      <c r="N53" t="str">
        <f ca="1">IF(L53&lt;&gt;"",
OFFSET(数出表_Excel【15時】!$A$1,A53+3,L53-1),"")</f>
        <v/>
      </c>
      <c r="O53" t="str">
        <f ca="1">IF(L53&lt;&gt;"",
IF(AND(OFFSET(数出表_Excel【15時】!$A$1,A53+3,L53)&lt;&gt;"",OFFSET(数出表_Excel【15時】!$A$1,A53+3,L53)&lt;&gt;0),
OFFSET(数出表_Excel【15時】!$A$1,A53+3,L53),""),"")</f>
        <v/>
      </c>
      <c r="AH53" t="str">
        <f t="array" aca="1" ref="AH53" ca="1">IFERROR(SMALL(IF(O$1:O$307&lt;&gt;0,O$1:O$307),ROW(AH53)),"")</f>
        <v/>
      </c>
      <c r="AI53" t="str">
        <f t="array" aca="1" ref="AI53" ca="1">IF($T53&lt;&gt;"",
SUBSTITUTE(SUBSTITUTE(INDIRECT("B"&amp;$T53&amp;"")," 週3ｺｰｽ","")," 週5ｺｰｽ",""),"")</f>
        <v/>
      </c>
    </row>
    <row r="54" spans="1:35">
      <c r="A54" t="str">
        <f t="shared" ca="1" si="0"/>
        <v/>
      </c>
      <c r="B54" t="str">
        <f t="array" aca="1" ref="B54" ca="1">IF(OR(COUNTIF(数出表_Excel【15時】!AO58,"*修正*"),COUNTIF(数出表_Excel【15時】!AO59,"*修正*")),
IF(ISEVEN(ROW()+4),INDIRECT("数出表_Excel【15時】!A"&amp;ROW()+4&amp;""),INDIRECT("数出表_Excel【15時】!A"&amp;ROW()+4-1&amp;"")),"")</f>
        <v/>
      </c>
      <c r="C54" t="str">
        <f t="array" aca="1" ref="C54" ca="1">IF(OR(COUNTIF(数出表_Excel【15時】!AO58,"*修正*"),COUNTIF(数出表_Excel【15時】!AO59,"*修正*")),
IF(ISEVEN(ROW()+4),INDIRECT("数出表_Excel【15時】!A"&amp;ROW()+4+1&amp;""),INDIRECT("数出表_Excel【15時】!A"&amp;ROW()+4&amp;"")),"")</f>
        <v/>
      </c>
      <c r="D54" s="209" t="str">
        <f t="array" aca="1" ref="D54" ca="1">IF(B54&lt;&gt;"",
IFERROR(MATCH(TRUE,ISNUMBER(INDIRECT("数出表_Excel【15時】!B"&amp;(A54+4)&amp;":ZZ"&amp;(A54+4))),0)+1,""),"")</f>
        <v/>
      </c>
      <c r="E54" t="str">
        <f ca="1">IF(D54&lt;&gt;"",
OFFSET(数出表_Excel【15時】!$A$1,2,D54-1)
&amp;IFERROR(OFFSET(数出表_Excel【15時】!$A$1,3,D54-1),"")
&amp;IFERROR(OFFSET(数出表_Excel【15時】!$A$1,4,D54-1),""),"")</f>
        <v/>
      </c>
      <c r="F54" t="str">
        <f ca="1">IF(D54&lt;&gt;"",
OFFSET(数出表_Excel【15時】!$A$1,A54+3,D54-1),"")</f>
        <v/>
      </c>
      <c r="G54" t="str">
        <f ca="1">IF(D54&lt;&gt;"",
IF(AND(OFFSET(数出表_Excel【15時】!$A$1,A54+3,D54)&lt;&gt;"",OFFSET(数出表_Excel【15時】!$A$1,A54+3,D54)&lt;&gt;0),
OFFSET(数出表_Excel【15時】!$A$1,A54+3,D54),""),"")</f>
        <v/>
      </c>
      <c r="H54" s="209" t="str">
        <f t="array" aca="1" ref="H54" ca="1">IF(B54&lt;&gt;"",
IFERROR(MATCH(TRUE,ISNUMBER(INDIRECT("数出表_Excel【15時】!"&amp;SUBSTITUTE(ADDRESS(1,D54+2,4),"1","")&amp;(A54+4)&amp;":ZZ"&amp;(A54+4))),0)+D54+1,""),"")</f>
        <v/>
      </c>
      <c r="I54" t="str">
        <f ca="1">IF(H54&lt;&gt;"",
OFFSET(数出表_Excel【15時】!$A$1,2,H54-1)
&amp;IFERROR(OFFSET(数出表_Excel【15時】!$A$1,3,H54-1),"")
&amp;IFERROR(OFFSET(数出表_Excel【15時】!$A$1,4,H54-1),""),"")</f>
        <v/>
      </c>
      <c r="J54" t="str">
        <f ca="1">IF(H54&lt;&gt;"",
OFFSET(数出表_Excel【15時】!$A$1,A54+3,H54-1),"")</f>
        <v/>
      </c>
      <c r="K54" t="str">
        <f ca="1">IF(H54&lt;&gt;"",
IF(AND(OFFSET(数出表_Excel【15時】!$A$1,A54+3,H54)&lt;&gt;"",OFFSET(数出表_Excel【15時】!$A$1,A54+3,H54)&lt;&gt;0),
OFFSET(数出表_Excel【15時】!$A$1,A54+3,H54),""),"")</f>
        <v/>
      </c>
      <c r="L54" s="209" t="str">
        <f t="array" aca="1" ref="L54" ca="1">IF(B54&lt;&gt;"",
IFERROR(MATCH(TRUE,ISNUMBER(INDIRECT("数出表_Excel【15時】!"&amp;SUBSTITUTE(ADDRESS(1,H54+2,4),"1","")&amp;(A54+4)&amp;":ZZ"&amp;(A54+4))),0)+H54+1,""),"")</f>
        <v/>
      </c>
      <c r="M54" t="str">
        <f ca="1">IF(L54&lt;&gt;"",
OFFSET(数出表_Excel【15時】!$A$1,2,L54-1)
&amp;IFERROR(OFFSET(数出表_Excel【15時】!$A$1,3,L54-1),"")
&amp;IFERROR(OFFSET(数出表_Excel【15時】!$A$1,4,L54-1),""),"")</f>
        <v/>
      </c>
      <c r="N54" t="str">
        <f ca="1">IF(L54&lt;&gt;"",
OFFSET(数出表_Excel【15時】!$A$1,A54+3,L54-1),"")</f>
        <v/>
      </c>
      <c r="O54" t="str">
        <f ca="1">IF(L54&lt;&gt;"",
IF(AND(OFFSET(数出表_Excel【15時】!$A$1,A54+3,L54)&lt;&gt;"",OFFSET(数出表_Excel【15時】!$A$1,A54+3,L54)&lt;&gt;0),
OFFSET(数出表_Excel【15時】!$A$1,A54+3,L54),""),"")</f>
        <v/>
      </c>
      <c r="Q54" t="str">
        <f ca="1">IF(C54&lt;&gt;"",
IF(E54&lt;&gt;"",1,0)+IF(I54&lt;&gt;"",1,0)+IF(M54&lt;&gt;"",1,0),"")</f>
        <v/>
      </c>
      <c r="AH54" t="str">
        <f t="array" aca="1" ref="AH54" ca="1">IFERROR(SMALL(IF(O$1:O$307&lt;&gt;0,O$1:O$307),ROW(AH54)),"")</f>
        <v/>
      </c>
      <c r="AI54" t="str">
        <f t="array" aca="1" ref="AI54" ca="1">IF($T54&lt;&gt;"",
SUBSTITUTE(SUBSTITUTE(INDIRECT("B"&amp;$T54&amp;"")," 週3ｺｰｽ","")," 週5ｺｰｽ",""),"")</f>
        <v/>
      </c>
    </row>
    <row r="55" spans="1:35">
      <c r="A55" t="str">
        <f t="shared" ca="1" si="0"/>
        <v/>
      </c>
      <c r="B55" t="str">
        <f t="array" aca="1" ref="B55" ca="1">IF(OR(COUNTIF(数出表_Excel【15時】!AO58,"*修正*"),COUNTIF(数出表_Excel【15時】!AO59,"*修正*")),
IF(ISEVEN(ROW()+4),INDIRECT("数出表_Excel【15時】!A"&amp;ROW()+4&amp;""),INDIRECT("数出表_Excel【15時】!A"&amp;ROW()+4-1&amp;"")),"")</f>
        <v/>
      </c>
      <c r="C55" t="str">
        <f t="array" aca="1" ref="C55" ca="1">IF(OR(COUNTIF(数出表_Excel【15時】!AO58,"*修正*"),COUNTIF(数出表_Excel【15時】!AO59,"*修正*")),
IF(ISEVEN(ROW()+4),INDIRECT("数出表_Excel【15時】!A"&amp;ROW()+4+1&amp;""),INDIRECT("数出表_Excel【15時】!A"&amp;ROW()+4&amp;"")),"")</f>
        <v/>
      </c>
      <c r="D55" s="209" t="str">
        <f t="array" aca="1" ref="D55" ca="1">IF(B55&lt;&gt;"",
IFERROR(MATCH(TRUE,ISNUMBER(INDIRECT("数出表_Excel【15時】!B"&amp;(A55+4)&amp;":ZZ"&amp;(A55+4))),0)+1,""),"")</f>
        <v/>
      </c>
      <c r="E55" t="str">
        <f ca="1">IF(D55&lt;&gt;"",
OFFSET(数出表_Excel【15時】!$A$1,2,D55-1)
&amp;IFERROR(OFFSET(数出表_Excel【15時】!$A$1,3,D55-1),"")
&amp;IFERROR(OFFSET(数出表_Excel【15時】!$A$1,4,D55-1),""),"")</f>
        <v/>
      </c>
      <c r="F55" t="str">
        <f ca="1">IF(D55&lt;&gt;"",
OFFSET(数出表_Excel【15時】!$A$1,A55+3,D55-1),"")</f>
        <v/>
      </c>
      <c r="G55" t="str">
        <f ca="1">IF(D55&lt;&gt;"",
IF(AND(OFFSET(数出表_Excel【15時】!$A$1,A55+3,D55)&lt;&gt;"",OFFSET(数出表_Excel【15時】!$A$1,A55+3,D55)&lt;&gt;0),
OFFSET(数出表_Excel【15時】!$A$1,A55+3,D55),""),"")</f>
        <v/>
      </c>
      <c r="H55" s="209" t="str">
        <f t="array" aca="1" ref="H55" ca="1">IF(B55&lt;&gt;"",
IFERROR(MATCH(TRUE,ISNUMBER(INDIRECT("数出表_Excel【15時】!"&amp;SUBSTITUTE(ADDRESS(1,D55+2,4),"1","")&amp;(A55+4)&amp;":ZZ"&amp;(A55+4))),0)+D55+1,""),"")</f>
        <v/>
      </c>
      <c r="I55" t="str">
        <f ca="1">IF(H55&lt;&gt;"",
OFFSET(数出表_Excel【15時】!$A$1,2,H55-1)
&amp;IFERROR(OFFSET(数出表_Excel【15時】!$A$1,3,H55-1),"")
&amp;IFERROR(OFFSET(数出表_Excel【15時】!$A$1,4,H55-1),""),"")</f>
        <v/>
      </c>
      <c r="J55" t="str">
        <f ca="1">IF(H55&lt;&gt;"",
OFFSET(数出表_Excel【15時】!$A$1,A55+3,H55-1),"")</f>
        <v/>
      </c>
      <c r="K55" t="str">
        <f ca="1">IF(H55&lt;&gt;"",
IF(AND(OFFSET(数出表_Excel【15時】!$A$1,A55+3,H55)&lt;&gt;"",OFFSET(数出表_Excel【15時】!$A$1,A55+3,H55)&lt;&gt;0),
OFFSET(数出表_Excel【15時】!$A$1,A55+3,H55),""),"")</f>
        <v/>
      </c>
      <c r="L55" s="209" t="str">
        <f t="array" aca="1" ref="L55" ca="1">IF(B55&lt;&gt;"",
IFERROR(MATCH(TRUE,ISNUMBER(INDIRECT("数出表_Excel【15時】!"&amp;SUBSTITUTE(ADDRESS(1,H55+2,4),"1","")&amp;(A55+4)&amp;":ZZ"&amp;(A55+4))),0)+H55+1,""),"")</f>
        <v/>
      </c>
      <c r="M55" t="str">
        <f ca="1">IF(L55&lt;&gt;"",
OFFSET(数出表_Excel【15時】!$A$1,2,L55-1)
&amp;IFERROR(OFFSET(数出表_Excel【15時】!$A$1,3,L55-1),"")
&amp;IFERROR(OFFSET(数出表_Excel【15時】!$A$1,4,L55-1),""),"")</f>
        <v/>
      </c>
      <c r="N55" t="str">
        <f ca="1">IF(L55&lt;&gt;"",
OFFSET(数出表_Excel【15時】!$A$1,A55+3,L55-1),"")</f>
        <v/>
      </c>
      <c r="O55" t="str">
        <f ca="1">IF(L55&lt;&gt;"",
IF(AND(OFFSET(数出表_Excel【15時】!$A$1,A55+3,L55)&lt;&gt;"",OFFSET(数出表_Excel【15時】!$A$1,A55+3,L55)&lt;&gt;0),
OFFSET(数出表_Excel【15時】!$A$1,A55+3,L55),""),"")</f>
        <v/>
      </c>
      <c r="AH55" t="str">
        <f t="array" aca="1" ref="AH55" ca="1">IFERROR(SMALL(IF(O$1:O$307&lt;&gt;0,O$1:O$307),ROW(AH55)),"")</f>
        <v/>
      </c>
      <c r="AI55" t="str">
        <f t="array" aca="1" ref="AI55" ca="1">IF($T55&lt;&gt;"",
SUBSTITUTE(SUBSTITUTE(INDIRECT("B"&amp;$T55&amp;"")," 週3ｺｰｽ","")," 週5ｺｰｽ",""),"")</f>
        <v/>
      </c>
    </row>
    <row r="56" spans="1:35">
      <c r="A56" t="str">
        <f t="shared" ca="1" si="0"/>
        <v/>
      </c>
      <c r="B56" t="str">
        <f t="array" aca="1" ref="B56" ca="1">IF(OR(COUNTIF(数出表_Excel【15時】!AO60,"*修正*"),COUNTIF(数出表_Excel【15時】!AO61,"*修正*")),
IF(ISEVEN(ROW()+4),INDIRECT("数出表_Excel【15時】!A"&amp;ROW()+4&amp;""),INDIRECT("数出表_Excel【15時】!A"&amp;ROW()+4-1&amp;"")),"")</f>
        <v/>
      </c>
      <c r="C56" t="str">
        <f t="array" aca="1" ref="C56" ca="1">IF(OR(COUNTIF(数出表_Excel【15時】!AO60,"*修正*"),COUNTIF(数出表_Excel【15時】!AO61,"*修正*")),
IF(ISEVEN(ROW()+4),INDIRECT("数出表_Excel【15時】!A"&amp;ROW()+4+1&amp;""),INDIRECT("数出表_Excel【15時】!A"&amp;ROW()+4&amp;"")),"")</f>
        <v/>
      </c>
      <c r="D56" s="209" t="str">
        <f t="array" aca="1" ref="D56" ca="1">IF(B56&lt;&gt;"",
IFERROR(MATCH(TRUE,ISNUMBER(INDIRECT("数出表_Excel【15時】!B"&amp;(A56+4)&amp;":ZZ"&amp;(A56+4))),0)+1,""),"")</f>
        <v/>
      </c>
      <c r="E56" t="str">
        <f ca="1">IF(D56&lt;&gt;"",
OFFSET(数出表_Excel【15時】!$A$1,2,D56-1)
&amp;IFERROR(OFFSET(数出表_Excel【15時】!$A$1,3,D56-1),"")
&amp;IFERROR(OFFSET(数出表_Excel【15時】!$A$1,4,D56-1),""),"")</f>
        <v/>
      </c>
      <c r="F56" t="str">
        <f ca="1">IF(D56&lt;&gt;"",
OFFSET(数出表_Excel【15時】!$A$1,A56+3,D56-1),"")</f>
        <v/>
      </c>
      <c r="G56" t="str">
        <f ca="1">IF(D56&lt;&gt;"",
IF(AND(OFFSET(数出表_Excel【15時】!$A$1,A56+3,D56)&lt;&gt;"",OFFSET(数出表_Excel【15時】!$A$1,A56+3,D56)&lt;&gt;0),
OFFSET(数出表_Excel【15時】!$A$1,A56+3,D56),""),"")</f>
        <v/>
      </c>
      <c r="H56" s="209" t="str">
        <f t="array" aca="1" ref="H56" ca="1">IF(B56&lt;&gt;"",
IFERROR(MATCH(TRUE,ISNUMBER(INDIRECT("数出表_Excel【15時】!"&amp;SUBSTITUTE(ADDRESS(1,D56+2,4),"1","")&amp;(A56+4)&amp;":ZZ"&amp;(A56+4))),0)+D56+1,""),"")</f>
        <v/>
      </c>
      <c r="I56" t="str">
        <f ca="1">IF(H56&lt;&gt;"",
OFFSET(数出表_Excel【15時】!$A$1,2,H56-1)
&amp;IFERROR(OFFSET(数出表_Excel【15時】!$A$1,3,H56-1),"")
&amp;IFERROR(OFFSET(数出表_Excel【15時】!$A$1,4,H56-1),""),"")</f>
        <v/>
      </c>
      <c r="J56" t="str">
        <f ca="1">IF(H56&lt;&gt;"",
OFFSET(数出表_Excel【15時】!$A$1,A56+3,H56-1),"")</f>
        <v/>
      </c>
      <c r="K56" t="str">
        <f ca="1">IF(H56&lt;&gt;"",
IF(AND(OFFSET(数出表_Excel【15時】!$A$1,A56+3,H56)&lt;&gt;"",OFFSET(数出表_Excel【15時】!$A$1,A56+3,H56)&lt;&gt;0),
OFFSET(数出表_Excel【15時】!$A$1,A56+3,H56),""),"")</f>
        <v/>
      </c>
      <c r="L56" s="209" t="str">
        <f t="array" aca="1" ref="L56" ca="1">IF(B56&lt;&gt;"",
IFERROR(MATCH(TRUE,ISNUMBER(INDIRECT("数出表_Excel【15時】!"&amp;SUBSTITUTE(ADDRESS(1,H56+2,4),"1","")&amp;(A56+4)&amp;":ZZ"&amp;(A56+4))),0)+H56+1,""),"")</f>
        <v/>
      </c>
      <c r="M56" t="str">
        <f ca="1">IF(L56&lt;&gt;"",
OFFSET(数出表_Excel【15時】!$A$1,2,L56-1)
&amp;IFERROR(OFFSET(数出表_Excel【15時】!$A$1,3,L56-1),"")
&amp;IFERROR(OFFSET(数出表_Excel【15時】!$A$1,4,L56-1),""),"")</f>
        <v/>
      </c>
      <c r="N56" t="str">
        <f ca="1">IF(L56&lt;&gt;"",
OFFSET(数出表_Excel【15時】!$A$1,A56+3,L56-1),"")</f>
        <v/>
      </c>
      <c r="O56" t="str">
        <f ca="1">IF(L56&lt;&gt;"",
IF(AND(OFFSET(数出表_Excel【15時】!$A$1,A56+3,L56)&lt;&gt;"",OFFSET(数出表_Excel【15時】!$A$1,A56+3,L56)&lt;&gt;0),
OFFSET(数出表_Excel【15時】!$A$1,A56+3,L56),""),"")</f>
        <v/>
      </c>
      <c r="Q56" t="str">
        <f ca="1">IF(C56&lt;&gt;"",
IF(E56&lt;&gt;"",1,0)+IF(I56&lt;&gt;"",1,0)+IF(M56&lt;&gt;"",1,0),"")</f>
        <v/>
      </c>
      <c r="AH56" t="str">
        <f t="array" aca="1" ref="AH56" ca="1">IFERROR(SMALL(IF(O$1:O$307&lt;&gt;0,O$1:O$307),ROW(AH56)),"")</f>
        <v/>
      </c>
      <c r="AI56" t="str">
        <f t="array" aca="1" ref="AI56" ca="1">IF($T56&lt;&gt;"",
SUBSTITUTE(SUBSTITUTE(INDIRECT("B"&amp;$T56&amp;"")," 週3ｺｰｽ","")," 週5ｺｰｽ",""),"")</f>
        <v/>
      </c>
    </row>
    <row r="57" spans="1:35">
      <c r="A57" t="str">
        <f t="shared" ca="1" si="0"/>
        <v/>
      </c>
      <c r="B57" t="str">
        <f t="array" aca="1" ref="B57" ca="1">IF(OR(COUNTIF(数出表_Excel【15時】!AO60,"*修正*"),COUNTIF(数出表_Excel【15時】!AO61,"*修正*")),
IF(ISEVEN(ROW()+4),INDIRECT("数出表_Excel【15時】!A"&amp;ROW()+4&amp;""),INDIRECT("数出表_Excel【15時】!A"&amp;ROW()+4-1&amp;"")),"")</f>
        <v/>
      </c>
      <c r="C57" t="str">
        <f t="array" aca="1" ref="C57" ca="1">IF(OR(COUNTIF(数出表_Excel【15時】!AO60,"*修正*"),COUNTIF(数出表_Excel【15時】!AO61,"*修正*")),
IF(ISEVEN(ROW()+4),INDIRECT("数出表_Excel【15時】!A"&amp;ROW()+4+1&amp;""),INDIRECT("数出表_Excel【15時】!A"&amp;ROW()+4&amp;"")),"")</f>
        <v/>
      </c>
      <c r="D57" s="209" t="str">
        <f t="array" aca="1" ref="D57" ca="1">IF(B57&lt;&gt;"",
IFERROR(MATCH(TRUE,ISNUMBER(INDIRECT("数出表_Excel【15時】!B"&amp;(A57+4)&amp;":ZZ"&amp;(A57+4))),0)+1,""),"")</f>
        <v/>
      </c>
      <c r="E57" t="str">
        <f ca="1">IF(D57&lt;&gt;"",
OFFSET(数出表_Excel【15時】!$A$1,2,D57-1)
&amp;IFERROR(OFFSET(数出表_Excel【15時】!$A$1,3,D57-1),"")
&amp;IFERROR(OFFSET(数出表_Excel【15時】!$A$1,4,D57-1),""),"")</f>
        <v/>
      </c>
      <c r="F57" t="str">
        <f ca="1">IF(D57&lt;&gt;"",
OFFSET(数出表_Excel【15時】!$A$1,A57+3,D57-1),"")</f>
        <v/>
      </c>
      <c r="G57" t="str">
        <f ca="1">IF(D57&lt;&gt;"",
IF(AND(OFFSET(数出表_Excel【15時】!$A$1,A57+3,D57)&lt;&gt;"",OFFSET(数出表_Excel【15時】!$A$1,A57+3,D57)&lt;&gt;0),
OFFSET(数出表_Excel【15時】!$A$1,A57+3,D57),""),"")</f>
        <v/>
      </c>
      <c r="H57" s="209" t="str">
        <f t="array" aca="1" ref="H57" ca="1">IF(B57&lt;&gt;"",
IFERROR(MATCH(TRUE,ISNUMBER(INDIRECT("数出表_Excel【15時】!"&amp;SUBSTITUTE(ADDRESS(1,D57+2,4),"1","")&amp;(A57+4)&amp;":ZZ"&amp;(A57+4))),0)+D57+1,""),"")</f>
        <v/>
      </c>
      <c r="I57" t="str">
        <f ca="1">IF(H57&lt;&gt;"",
OFFSET(数出表_Excel【15時】!$A$1,2,H57-1)
&amp;IFERROR(OFFSET(数出表_Excel【15時】!$A$1,3,H57-1),"")
&amp;IFERROR(OFFSET(数出表_Excel【15時】!$A$1,4,H57-1),""),"")</f>
        <v/>
      </c>
      <c r="J57" t="str">
        <f ca="1">IF(H57&lt;&gt;"",
OFFSET(数出表_Excel【15時】!$A$1,A57+3,H57-1),"")</f>
        <v/>
      </c>
      <c r="K57" t="str">
        <f ca="1">IF(H57&lt;&gt;"",
IF(AND(OFFSET(数出表_Excel【15時】!$A$1,A57+3,H57)&lt;&gt;"",OFFSET(数出表_Excel【15時】!$A$1,A57+3,H57)&lt;&gt;0),
OFFSET(数出表_Excel【15時】!$A$1,A57+3,H57),""),"")</f>
        <v/>
      </c>
      <c r="L57" s="209" t="str">
        <f t="array" aca="1" ref="L57" ca="1">IF(B57&lt;&gt;"",
IFERROR(MATCH(TRUE,ISNUMBER(INDIRECT("数出表_Excel【15時】!"&amp;SUBSTITUTE(ADDRESS(1,H57+2,4),"1","")&amp;(A57+4)&amp;":ZZ"&amp;(A57+4))),0)+H57+1,""),"")</f>
        <v/>
      </c>
      <c r="M57" t="str">
        <f ca="1">IF(L57&lt;&gt;"",
OFFSET(数出表_Excel【15時】!$A$1,2,L57-1)
&amp;IFERROR(OFFSET(数出表_Excel【15時】!$A$1,3,L57-1),"")
&amp;IFERROR(OFFSET(数出表_Excel【15時】!$A$1,4,L57-1),""),"")</f>
        <v/>
      </c>
      <c r="N57" t="str">
        <f ca="1">IF(L57&lt;&gt;"",
OFFSET(数出表_Excel【15時】!$A$1,A57+3,L57-1),"")</f>
        <v/>
      </c>
      <c r="O57" t="str">
        <f ca="1">IF(L57&lt;&gt;"",
IF(AND(OFFSET(数出表_Excel【15時】!$A$1,A57+3,L57)&lt;&gt;"",OFFSET(数出表_Excel【15時】!$A$1,A57+3,L57)&lt;&gt;0),
OFFSET(数出表_Excel【15時】!$A$1,A57+3,L57),""),"")</f>
        <v/>
      </c>
      <c r="AH57" t="str">
        <f t="array" aca="1" ref="AH57" ca="1">IFERROR(SMALL(IF(O$1:O$307&lt;&gt;0,O$1:O$307),ROW(AH57)),"")</f>
        <v/>
      </c>
      <c r="AI57" t="str">
        <f t="array" aca="1" ref="AI57" ca="1">IF($T57&lt;&gt;"",
SUBSTITUTE(SUBSTITUTE(INDIRECT("B"&amp;$T57&amp;"")," 週3ｺｰｽ","")," 週5ｺｰｽ",""),"")</f>
        <v/>
      </c>
    </row>
    <row r="58" spans="1:35">
      <c r="A58" t="str">
        <f t="shared" ca="1" si="0"/>
        <v/>
      </c>
      <c r="B58" t="str">
        <f t="array" aca="1" ref="B58" ca="1">IF(OR(COUNTIF(数出表_Excel【15時】!AO62,"*修正*"),COUNTIF(数出表_Excel【15時】!AO63,"*修正*")),
IF(ISEVEN(ROW()+4),INDIRECT("数出表_Excel【15時】!A"&amp;ROW()+4&amp;""),INDIRECT("数出表_Excel【15時】!A"&amp;ROW()+4-1&amp;"")),"")</f>
        <v/>
      </c>
      <c r="C58" t="str">
        <f t="array" aca="1" ref="C58" ca="1">IF(OR(COUNTIF(数出表_Excel【15時】!AO62,"*修正*"),COUNTIF(数出表_Excel【15時】!AO63,"*修正*")),
IF(ISEVEN(ROW()+4),INDIRECT("数出表_Excel【15時】!A"&amp;ROW()+4+1&amp;""),INDIRECT("数出表_Excel【15時】!A"&amp;ROW()+4&amp;"")),"")</f>
        <v/>
      </c>
      <c r="D58" s="209" t="str">
        <f t="array" aca="1" ref="D58" ca="1">IF(B58&lt;&gt;"",
IFERROR(MATCH(TRUE,ISNUMBER(INDIRECT("数出表_Excel【15時】!B"&amp;(A58+4)&amp;":ZZ"&amp;(A58+4))),0)+1,""),"")</f>
        <v/>
      </c>
      <c r="E58" t="str">
        <f ca="1">IF(D58&lt;&gt;"",
OFFSET(数出表_Excel【15時】!$A$1,2,D58-1)
&amp;IFERROR(OFFSET(数出表_Excel【15時】!$A$1,3,D58-1),"")
&amp;IFERROR(OFFSET(数出表_Excel【15時】!$A$1,4,D58-1),""),"")</f>
        <v/>
      </c>
      <c r="F58" t="str">
        <f ca="1">IF(D58&lt;&gt;"",
OFFSET(数出表_Excel【15時】!$A$1,A58+3,D58-1),"")</f>
        <v/>
      </c>
      <c r="G58" t="str">
        <f ca="1">IF(D58&lt;&gt;"",
IF(AND(OFFSET(数出表_Excel【15時】!$A$1,A58+3,D58)&lt;&gt;"",OFFSET(数出表_Excel【15時】!$A$1,A58+3,D58)&lt;&gt;0),
OFFSET(数出表_Excel【15時】!$A$1,A58+3,D58),""),"")</f>
        <v/>
      </c>
      <c r="H58" s="209" t="str">
        <f t="array" aca="1" ref="H58" ca="1">IF(B58&lt;&gt;"",
IFERROR(MATCH(TRUE,ISNUMBER(INDIRECT("数出表_Excel【15時】!"&amp;SUBSTITUTE(ADDRESS(1,D58+2,4),"1","")&amp;(A58+4)&amp;":ZZ"&amp;(A58+4))),0)+D58+1,""),"")</f>
        <v/>
      </c>
      <c r="I58" t="str">
        <f ca="1">IF(H58&lt;&gt;"",
OFFSET(数出表_Excel【15時】!$A$1,2,H58-1)
&amp;IFERROR(OFFSET(数出表_Excel【15時】!$A$1,3,H58-1),"")
&amp;IFERROR(OFFSET(数出表_Excel【15時】!$A$1,4,H58-1),""),"")</f>
        <v/>
      </c>
      <c r="J58" t="str">
        <f ca="1">IF(H58&lt;&gt;"",
OFFSET(数出表_Excel【15時】!$A$1,A58+3,H58-1),"")</f>
        <v/>
      </c>
      <c r="K58" t="str">
        <f ca="1">IF(H58&lt;&gt;"",
IF(AND(OFFSET(数出表_Excel【15時】!$A$1,A58+3,H58)&lt;&gt;"",OFFSET(数出表_Excel【15時】!$A$1,A58+3,H58)&lt;&gt;0),
OFFSET(数出表_Excel【15時】!$A$1,A58+3,H58),""),"")</f>
        <v/>
      </c>
      <c r="L58" s="209" t="str">
        <f t="array" aca="1" ref="L58" ca="1">IF(B58&lt;&gt;"",
IFERROR(MATCH(TRUE,ISNUMBER(INDIRECT("数出表_Excel【15時】!"&amp;SUBSTITUTE(ADDRESS(1,H58+2,4),"1","")&amp;(A58+4)&amp;":ZZ"&amp;(A58+4))),0)+H58+1,""),"")</f>
        <v/>
      </c>
      <c r="M58" t="str">
        <f ca="1">IF(L58&lt;&gt;"",
OFFSET(数出表_Excel【15時】!$A$1,2,L58-1)
&amp;IFERROR(OFFSET(数出表_Excel【15時】!$A$1,3,L58-1),"")
&amp;IFERROR(OFFSET(数出表_Excel【15時】!$A$1,4,L58-1),""),"")</f>
        <v/>
      </c>
      <c r="N58" t="str">
        <f ca="1">IF(L58&lt;&gt;"",
OFFSET(数出表_Excel【15時】!$A$1,A58+3,L58-1),"")</f>
        <v/>
      </c>
      <c r="O58" t="str">
        <f ca="1">IF(L58&lt;&gt;"",
IF(AND(OFFSET(数出表_Excel【15時】!$A$1,A58+3,L58)&lt;&gt;"",OFFSET(数出表_Excel【15時】!$A$1,A58+3,L58)&lt;&gt;0),
OFFSET(数出表_Excel【15時】!$A$1,A58+3,L58),""),"")</f>
        <v/>
      </c>
      <c r="Q58" t="str">
        <f ca="1">IF(C58&lt;&gt;"",
IF(E58&lt;&gt;"",1,0)+IF(I58&lt;&gt;"",1,0)+IF(M58&lt;&gt;"",1,0),"")</f>
        <v/>
      </c>
      <c r="AH58" t="str">
        <f t="array" aca="1" ref="AH58" ca="1">IFERROR(SMALL(IF(O$1:O$307&lt;&gt;0,O$1:O$307),ROW(AH58)),"")</f>
        <v/>
      </c>
      <c r="AI58" t="str">
        <f t="array" aca="1" ref="AI58" ca="1">IF($T58&lt;&gt;"",
SUBSTITUTE(SUBSTITUTE(INDIRECT("B"&amp;$T58&amp;"")," 週3ｺｰｽ","")," 週5ｺｰｽ",""),"")</f>
        <v/>
      </c>
    </row>
    <row r="59" spans="1:35">
      <c r="A59" t="str">
        <f t="shared" ca="1" si="0"/>
        <v/>
      </c>
      <c r="B59" t="str">
        <f t="array" aca="1" ref="B59" ca="1">IF(OR(COUNTIF(数出表_Excel【15時】!AO62,"*修正*"),COUNTIF(数出表_Excel【15時】!AO63,"*修正*")),
IF(ISEVEN(ROW()+4),INDIRECT("数出表_Excel【15時】!A"&amp;ROW()+4&amp;""),INDIRECT("数出表_Excel【15時】!A"&amp;ROW()+4-1&amp;"")),"")</f>
        <v/>
      </c>
      <c r="C59" t="str">
        <f t="array" aca="1" ref="C59" ca="1">IF(OR(COUNTIF(数出表_Excel【15時】!AO62,"*修正*"),COUNTIF(数出表_Excel【15時】!AO63,"*修正*")),
IF(ISEVEN(ROW()+4),INDIRECT("数出表_Excel【15時】!A"&amp;ROW()+4+1&amp;""),INDIRECT("数出表_Excel【15時】!A"&amp;ROW()+4&amp;"")),"")</f>
        <v/>
      </c>
      <c r="D59" s="209" t="str">
        <f t="array" aca="1" ref="D59" ca="1">IF(B59&lt;&gt;"",
IFERROR(MATCH(TRUE,ISNUMBER(INDIRECT("数出表_Excel【15時】!B"&amp;(A59+4)&amp;":ZZ"&amp;(A59+4))),0)+1,""),"")</f>
        <v/>
      </c>
      <c r="E59" t="str">
        <f ca="1">IF(D59&lt;&gt;"",
OFFSET(数出表_Excel【15時】!$A$1,2,D59-1)
&amp;IFERROR(OFFSET(数出表_Excel【15時】!$A$1,3,D59-1),"")
&amp;IFERROR(OFFSET(数出表_Excel【15時】!$A$1,4,D59-1),""),"")</f>
        <v/>
      </c>
      <c r="F59" t="str">
        <f ca="1">IF(D59&lt;&gt;"",
OFFSET(数出表_Excel【15時】!$A$1,A59+3,D59-1),"")</f>
        <v/>
      </c>
      <c r="G59" t="str">
        <f ca="1">IF(D59&lt;&gt;"",
IF(AND(OFFSET(数出表_Excel【15時】!$A$1,A59+3,D59)&lt;&gt;"",OFFSET(数出表_Excel【15時】!$A$1,A59+3,D59)&lt;&gt;0),
OFFSET(数出表_Excel【15時】!$A$1,A59+3,D59),""),"")</f>
        <v/>
      </c>
      <c r="H59" s="209" t="str">
        <f t="array" aca="1" ref="H59" ca="1">IF(B59&lt;&gt;"",
IFERROR(MATCH(TRUE,ISNUMBER(INDIRECT("数出表_Excel【15時】!"&amp;SUBSTITUTE(ADDRESS(1,D59+2,4),"1","")&amp;(A59+4)&amp;":ZZ"&amp;(A59+4))),0)+D59+1,""),"")</f>
        <v/>
      </c>
      <c r="I59" t="str">
        <f ca="1">IF(H59&lt;&gt;"",
OFFSET(数出表_Excel【15時】!$A$1,2,H59-1)
&amp;IFERROR(OFFSET(数出表_Excel【15時】!$A$1,3,H59-1),"")
&amp;IFERROR(OFFSET(数出表_Excel【15時】!$A$1,4,H59-1),""),"")</f>
        <v/>
      </c>
      <c r="J59" t="str">
        <f ca="1">IF(H59&lt;&gt;"",
OFFSET(数出表_Excel【15時】!$A$1,A59+3,H59-1),"")</f>
        <v/>
      </c>
      <c r="K59" t="str">
        <f ca="1">IF(H59&lt;&gt;"",
IF(AND(OFFSET(数出表_Excel【15時】!$A$1,A59+3,H59)&lt;&gt;"",OFFSET(数出表_Excel【15時】!$A$1,A59+3,H59)&lt;&gt;0),
OFFSET(数出表_Excel【15時】!$A$1,A59+3,H59),""),"")</f>
        <v/>
      </c>
      <c r="L59" s="209" t="str">
        <f t="array" aca="1" ref="L59" ca="1">IF(B59&lt;&gt;"",
IFERROR(MATCH(TRUE,ISNUMBER(INDIRECT("数出表_Excel【15時】!"&amp;SUBSTITUTE(ADDRESS(1,H59+2,4),"1","")&amp;(A59+4)&amp;":ZZ"&amp;(A59+4))),0)+H59+1,""),"")</f>
        <v/>
      </c>
      <c r="M59" t="str">
        <f ca="1">IF(L59&lt;&gt;"",
OFFSET(数出表_Excel【15時】!$A$1,2,L59-1)
&amp;IFERROR(OFFSET(数出表_Excel【15時】!$A$1,3,L59-1),"")
&amp;IFERROR(OFFSET(数出表_Excel【15時】!$A$1,4,L59-1),""),"")</f>
        <v/>
      </c>
      <c r="N59" t="str">
        <f ca="1">IF(L59&lt;&gt;"",
OFFSET(数出表_Excel【15時】!$A$1,A59+3,L59-1),"")</f>
        <v/>
      </c>
      <c r="O59" t="str">
        <f ca="1">IF(L59&lt;&gt;"",
IF(AND(OFFSET(数出表_Excel【15時】!$A$1,A59+3,L59)&lt;&gt;"",OFFSET(数出表_Excel【15時】!$A$1,A59+3,L59)&lt;&gt;0),
OFFSET(数出表_Excel【15時】!$A$1,A59+3,L59),""),"")</f>
        <v/>
      </c>
      <c r="AH59" t="str">
        <f t="array" aca="1" ref="AH59" ca="1">IFERROR(SMALL(IF(O$1:O$307&lt;&gt;0,O$1:O$307),ROW(AH59)),"")</f>
        <v/>
      </c>
      <c r="AI59" t="str">
        <f t="array" aca="1" ref="AI59" ca="1">IF($T59&lt;&gt;"",
SUBSTITUTE(SUBSTITUTE(INDIRECT("B"&amp;$T59&amp;"")," 週3ｺｰｽ","")," 週5ｺｰｽ",""),"")</f>
        <v/>
      </c>
    </row>
    <row r="60" spans="1:35">
      <c r="A60" t="str">
        <f t="shared" ca="1" si="0"/>
        <v/>
      </c>
      <c r="B60" t="str">
        <f t="array" aca="1" ref="B60" ca="1">IF(OR(COUNTIF(数出表_Excel【15時】!AO64,"*修正*"),COUNTIF(数出表_Excel【15時】!AO65,"*修正*")),
IF(ISEVEN(ROW()+4),INDIRECT("数出表_Excel【15時】!A"&amp;ROW()+4&amp;""),INDIRECT("数出表_Excel【15時】!A"&amp;ROW()+4-1&amp;"")),"")</f>
        <v/>
      </c>
      <c r="C60" t="str">
        <f t="array" aca="1" ref="C60" ca="1">IF(OR(COUNTIF(数出表_Excel【15時】!AO64,"*修正*"),COUNTIF(数出表_Excel【15時】!AO65,"*修正*")),
IF(ISEVEN(ROW()+4),INDIRECT("数出表_Excel【15時】!A"&amp;ROW()+4+1&amp;""),INDIRECT("数出表_Excel【15時】!A"&amp;ROW()+4&amp;"")),"")</f>
        <v/>
      </c>
      <c r="D60" s="209" t="str">
        <f t="array" aca="1" ref="D60" ca="1">IF(B60&lt;&gt;"",
IFERROR(MATCH(TRUE,ISNUMBER(INDIRECT("数出表_Excel【15時】!B"&amp;(A60+4)&amp;":ZZ"&amp;(A60+4))),0)+1,""),"")</f>
        <v/>
      </c>
      <c r="E60" t="str">
        <f ca="1">IF(D60&lt;&gt;"",
OFFSET(数出表_Excel【15時】!$A$1,2,D60-1)
&amp;IFERROR(OFFSET(数出表_Excel【15時】!$A$1,3,D60-1),"")
&amp;IFERROR(OFFSET(数出表_Excel【15時】!$A$1,4,D60-1),""),"")</f>
        <v/>
      </c>
      <c r="F60" t="str">
        <f ca="1">IF(D60&lt;&gt;"",
OFFSET(数出表_Excel【15時】!$A$1,A60+3,D60-1),"")</f>
        <v/>
      </c>
      <c r="G60" t="str">
        <f ca="1">IF(D60&lt;&gt;"",
IF(AND(OFFSET(数出表_Excel【15時】!$A$1,A60+3,D60)&lt;&gt;"",OFFSET(数出表_Excel【15時】!$A$1,A60+3,D60)&lt;&gt;0),
OFFSET(数出表_Excel【15時】!$A$1,A60+3,D60),""),"")</f>
        <v/>
      </c>
      <c r="H60" s="209" t="str">
        <f t="array" aca="1" ref="H60" ca="1">IF(B60&lt;&gt;"",
IFERROR(MATCH(TRUE,ISNUMBER(INDIRECT("数出表_Excel【15時】!"&amp;SUBSTITUTE(ADDRESS(1,D60+2,4),"1","")&amp;(A60+4)&amp;":ZZ"&amp;(A60+4))),0)+D60+1,""),"")</f>
        <v/>
      </c>
      <c r="I60" t="str">
        <f ca="1">IF(H60&lt;&gt;"",
OFFSET(数出表_Excel【15時】!$A$1,2,H60-1)
&amp;IFERROR(OFFSET(数出表_Excel【15時】!$A$1,3,H60-1),"")
&amp;IFERROR(OFFSET(数出表_Excel【15時】!$A$1,4,H60-1),""),"")</f>
        <v/>
      </c>
      <c r="J60" t="str">
        <f ca="1">IF(H60&lt;&gt;"",
OFFSET(数出表_Excel【15時】!$A$1,A60+3,H60-1),"")</f>
        <v/>
      </c>
      <c r="K60" t="str">
        <f ca="1">IF(H60&lt;&gt;"",
IF(AND(OFFSET(数出表_Excel【15時】!$A$1,A60+3,H60)&lt;&gt;"",OFFSET(数出表_Excel【15時】!$A$1,A60+3,H60)&lt;&gt;0),
OFFSET(数出表_Excel【15時】!$A$1,A60+3,H60),""),"")</f>
        <v/>
      </c>
      <c r="L60" s="209" t="str">
        <f t="array" aca="1" ref="L60" ca="1">IF(B60&lt;&gt;"",
IFERROR(MATCH(TRUE,ISNUMBER(INDIRECT("数出表_Excel【15時】!"&amp;SUBSTITUTE(ADDRESS(1,H60+2,4),"1","")&amp;(A60+4)&amp;":ZZ"&amp;(A60+4))),0)+H60+1,""),"")</f>
        <v/>
      </c>
      <c r="M60" t="str">
        <f ca="1">IF(L60&lt;&gt;"",
OFFSET(数出表_Excel【15時】!$A$1,2,L60-1)
&amp;IFERROR(OFFSET(数出表_Excel【15時】!$A$1,3,L60-1),"")
&amp;IFERROR(OFFSET(数出表_Excel【15時】!$A$1,4,L60-1),""),"")</f>
        <v/>
      </c>
      <c r="N60" t="str">
        <f ca="1">IF(L60&lt;&gt;"",
OFFSET(数出表_Excel【15時】!$A$1,A60+3,L60-1),"")</f>
        <v/>
      </c>
      <c r="O60" t="str">
        <f ca="1">IF(L60&lt;&gt;"",
IF(AND(OFFSET(数出表_Excel【15時】!$A$1,A60+3,L60)&lt;&gt;"",OFFSET(数出表_Excel【15時】!$A$1,A60+3,L60)&lt;&gt;0),
OFFSET(数出表_Excel【15時】!$A$1,A60+3,L60),""),"")</f>
        <v/>
      </c>
      <c r="Q60" t="str">
        <f ca="1">IF(C60&lt;&gt;"",
IF(E60&lt;&gt;"",1,0)+IF(I60&lt;&gt;"",1,0)+IF(M60&lt;&gt;"",1,0),"")</f>
        <v/>
      </c>
      <c r="AH60" t="str">
        <f t="array" aca="1" ref="AH60" ca="1">IFERROR(SMALL(IF(O$1:O$307&lt;&gt;0,O$1:O$307),ROW(AH60)),"")</f>
        <v/>
      </c>
      <c r="AI60" t="str">
        <f t="array" aca="1" ref="AI60" ca="1">IF($T60&lt;&gt;"",
SUBSTITUTE(SUBSTITUTE(INDIRECT("B"&amp;$T60&amp;"")," 週3ｺｰｽ","")," 週5ｺｰｽ",""),"")</f>
        <v/>
      </c>
    </row>
    <row r="61" spans="1:35">
      <c r="A61" t="str">
        <f t="shared" ca="1" si="0"/>
        <v/>
      </c>
      <c r="B61" t="str">
        <f t="array" aca="1" ref="B61" ca="1">IF(OR(COUNTIF(数出表_Excel【15時】!AO64,"*修正*"),COUNTIF(数出表_Excel【15時】!AO65,"*修正*")),
IF(ISEVEN(ROW()+4),INDIRECT("数出表_Excel【15時】!A"&amp;ROW()+4&amp;""),INDIRECT("数出表_Excel【15時】!A"&amp;ROW()+4-1&amp;"")),"")</f>
        <v/>
      </c>
      <c r="C61" t="str">
        <f t="array" aca="1" ref="C61" ca="1">IF(OR(COUNTIF(数出表_Excel【15時】!AO64,"*修正*"),COUNTIF(数出表_Excel【15時】!AO65,"*修正*")),
IF(ISEVEN(ROW()+4),INDIRECT("数出表_Excel【15時】!A"&amp;ROW()+4+1&amp;""),INDIRECT("数出表_Excel【15時】!A"&amp;ROW()+4&amp;"")),"")</f>
        <v/>
      </c>
      <c r="D61" s="209" t="str">
        <f t="array" aca="1" ref="D61" ca="1">IF(B61&lt;&gt;"",
IFERROR(MATCH(TRUE,ISNUMBER(INDIRECT("数出表_Excel【15時】!B"&amp;(A61+4)&amp;":ZZ"&amp;(A61+4))),0)+1,""),"")</f>
        <v/>
      </c>
      <c r="E61" t="str">
        <f ca="1">IF(D61&lt;&gt;"",
OFFSET(数出表_Excel【15時】!$A$1,2,D61-1)
&amp;IFERROR(OFFSET(数出表_Excel【15時】!$A$1,3,D61-1),"")
&amp;IFERROR(OFFSET(数出表_Excel【15時】!$A$1,4,D61-1),""),"")</f>
        <v/>
      </c>
      <c r="F61" t="str">
        <f ca="1">IF(D61&lt;&gt;"",
OFFSET(数出表_Excel【15時】!$A$1,A61+3,D61-1),"")</f>
        <v/>
      </c>
      <c r="G61" t="str">
        <f ca="1">IF(D61&lt;&gt;"",
IF(AND(OFFSET(数出表_Excel【15時】!$A$1,A61+3,D61)&lt;&gt;"",OFFSET(数出表_Excel【15時】!$A$1,A61+3,D61)&lt;&gt;0),
OFFSET(数出表_Excel【15時】!$A$1,A61+3,D61),""),"")</f>
        <v/>
      </c>
      <c r="H61" s="209" t="str">
        <f t="array" aca="1" ref="H61" ca="1">IF(B61&lt;&gt;"",
IFERROR(MATCH(TRUE,ISNUMBER(INDIRECT("数出表_Excel【15時】!"&amp;SUBSTITUTE(ADDRESS(1,D61+2,4),"1","")&amp;(A61+4)&amp;":ZZ"&amp;(A61+4))),0)+D61+1,""),"")</f>
        <v/>
      </c>
      <c r="I61" t="str">
        <f ca="1">IF(H61&lt;&gt;"",
OFFSET(数出表_Excel【15時】!$A$1,2,H61-1)
&amp;IFERROR(OFFSET(数出表_Excel【15時】!$A$1,3,H61-1),"")
&amp;IFERROR(OFFSET(数出表_Excel【15時】!$A$1,4,H61-1),""),"")</f>
        <v/>
      </c>
      <c r="J61" t="str">
        <f ca="1">IF(H61&lt;&gt;"",
OFFSET(数出表_Excel【15時】!$A$1,A61+3,H61-1),"")</f>
        <v/>
      </c>
      <c r="K61" t="str">
        <f ca="1">IF(H61&lt;&gt;"",
IF(AND(OFFSET(数出表_Excel【15時】!$A$1,A61+3,H61)&lt;&gt;"",OFFSET(数出表_Excel【15時】!$A$1,A61+3,H61)&lt;&gt;0),
OFFSET(数出表_Excel【15時】!$A$1,A61+3,H61),""),"")</f>
        <v/>
      </c>
      <c r="L61" s="209" t="str">
        <f t="array" aca="1" ref="L61" ca="1">IF(B61&lt;&gt;"",
IFERROR(MATCH(TRUE,ISNUMBER(INDIRECT("数出表_Excel【15時】!"&amp;SUBSTITUTE(ADDRESS(1,H61+2,4),"1","")&amp;(A61+4)&amp;":ZZ"&amp;(A61+4))),0)+H61+1,""),"")</f>
        <v/>
      </c>
      <c r="M61" t="str">
        <f ca="1">IF(L61&lt;&gt;"",
OFFSET(数出表_Excel【15時】!$A$1,2,L61-1)
&amp;IFERROR(OFFSET(数出表_Excel【15時】!$A$1,3,L61-1),"")
&amp;IFERROR(OFFSET(数出表_Excel【15時】!$A$1,4,L61-1),""),"")</f>
        <v/>
      </c>
      <c r="N61" t="str">
        <f ca="1">IF(L61&lt;&gt;"",
OFFSET(数出表_Excel【15時】!$A$1,A61+3,L61-1),"")</f>
        <v/>
      </c>
      <c r="O61" t="str">
        <f ca="1">IF(L61&lt;&gt;"",
IF(AND(OFFSET(数出表_Excel【15時】!$A$1,A61+3,L61)&lt;&gt;"",OFFSET(数出表_Excel【15時】!$A$1,A61+3,L61)&lt;&gt;0),
OFFSET(数出表_Excel【15時】!$A$1,A61+3,L61),""),"")</f>
        <v/>
      </c>
      <c r="AH61" t="str">
        <f t="array" aca="1" ref="AH61" ca="1">IFERROR(SMALL(IF(O$1:O$307&lt;&gt;0,O$1:O$307),ROW(AH61)),"")</f>
        <v/>
      </c>
      <c r="AI61" t="str">
        <f t="array" aca="1" ref="AI61" ca="1">IF($T61&lt;&gt;"",
SUBSTITUTE(SUBSTITUTE(INDIRECT("B"&amp;$T61&amp;"")," 週3ｺｰｽ","")," 週5ｺｰｽ",""),"")</f>
        <v/>
      </c>
    </row>
    <row r="62" spans="1:35">
      <c r="A62" t="str">
        <f t="shared" ca="1" si="0"/>
        <v/>
      </c>
      <c r="B62" t="str">
        <f t="array" aca="1" ref="B62" ca="1">IF(OR(COUNTIF(数出表_Excel【15時】!AO66,"*修正*"),COUNTIF(数出表_Excel【15時】!AO67,"*修正*")),
IF(ISEVEN(ROW()+4),INDIRECT("数出表_Excel【15時】!A"&amp;ROW()+4&amp;""),INDIRECT("数出表_Excel【15時】!A"&amp;ROW()+4-1&amp;"")),"")</f>
        <v/>
      </c>
      <c r="C62" t="str">
        <f t="array" aca="1" ref="C62" ca="1">IF(OR(COUNTIF(数出表_Excel【15時】!AO66,"*修正*"),COUNTIF(数出表_Excel【15時】!AO67,"*修正*")),
IF(ISEVEN(ROW()+4),INDIRECT("数出表_Excel【15時】!A"&amp;ROW()+4+1&amp;""),INDIRECT("数出表_Excel【15時】!A"&amp;ROW()+4&amp;"")),"")</f>
        <v/>
      </c>
      <c r="D62" s="209" t="str">
        <f t="array" aca="1" ref="D62" ca="1">IF(B62&lt;&gt;"",
IFERROR(MATCH(TRUE,ISNUMBER(INDIRECT("数出表_Excel【15時】!B"&amp;(A62+4)&amp;":ZZ"&amp;(A62+4))),0)+1,""),"")</f>
        <v/>
      </c>
      <c r="E62" t="str">
        <f ca="1">IF(D62&lt;&gt;"",
OFFSET(数出表_Excel【15時】!$A$1,2,D62-1)
&amp;IFERROR(OFFSET(数出表_Excel【15時】!$A$1,3,D62-1),"")
&amp;IFERROR(OFFSET(数出表_Excel【15時】!$A$1,4,D62-1),""),"")</f>
        <v/>
      </c>
      <c r="F62" t="str">
        <f ca="1">IF(D62&lt;&gt;"",
OFFSET(数出表_Excel【15時】!$A$1,A62+3,D62-1),"")</f>
        <v/>
      </c>
      <c r="G62" t="str">
        <f ca="1">IF(D62&lt;&gt;"",
IF(AND(OFFSET(数出表_Excel【15時】!$A$1,A62+3,D62)&lt;&gt;"",OFFSET(数出表_Excel【15時】!$A$1,A62+3,D62)&lt;&gt;0),
OFFSET(数出表_Excel【15時】!$A$1,A62+3,D62),""),"")</f>
        <v/>
      </c>
      <c r="H62" s="209" t="str">
        <f t="array" aca="1" ref="H62" ca="1">IF(B62&lt;&gt;"",
IFERROR(MATCH(TRUE,ISNUMBER(INDIRECT("数出表_Excel【15時】!"&amp;SUBSTITUTE(ADDRESS(1,D62+2,4),"1","")&amp;(A62+4)&amp;":ZZ"&amp;(A62+4))),0)+D62+1,""),"")</f>
        <v/>
      </c>
      <c r="I62" t="str">
        <f ca="1">IF(H62&lt;&gt;"",
OFFSET(数出表_Excel【15時】!$A$1,2,H62-1)
&amp;IFERROR(OFFSET(数出表_Excel【15時】!$A$1,3,H62-1),"")
&amp;IFERROR(OFFSET(数出表_Excel【15時】!$A$1,4,H62-1),""),"")</f>
        <v/>
      </c>
      <c r="J62" t="str">
        <f ca="1">IF(H62&lt;&gt;"",
OFFSET(数出表_Excel【15時】!$A$1,A62+3,H62-1),"")</f>
        <v/>
      </c>
      <c r="K62" t="str">
        <f ca="1">IF(H62&lt;&gt;"",
IF(AND(OFFSET(数出表_Excel【15時】!$A$1,A62+3,H62)&lt;&gt;"",OFFSET(数出表_Excel【15時】!$A$1,A62+3,H62)&lt;&gt;0),
OFFSET(数出表_Excel【15時】!$A$1,A62+3,H62),""),"")</f>
        <v/>
      </c>
      <c r="L62" s="209" t="str">
        <f t="array" aca="1" ref="L62" ca="1">IF(B62&lt;&gt;"",
IFERROR(MATCH(TRUE,ISNUMBER(INDIRECT("数出表_Excel【15時】!"&amp;SUBSTITUTE(ADDRESS(1,H62+2,4),"1","")&amp;(A62+4)&amp;":ZZ"&amp;(A62+4))),0)+H62+1,""),"")</f>
        <v/>
      </c>
      <c r="M62" t="str">
        <f ca="1">IF(L62&lt;&gt;"",
OFFSET(数出表_Excel【15時】!$A$1,2,L62-1)
&amp;IFERROR(OFFSET(数出表_Excel【15時】!$A$1,3,L62-1),"")
&amp;IFERROR(OFFSET(数出表_Excel【15時】!$A$1,4,L62-1),""),"")</f>
        <v/>
      </c>
      <c r="N62" t="str">
        <f ca="1">IF(L62&lt;&gt;"",
OFFSET(数出表_Excel【15時】!$A$1,A62+3,L62-1),"")</f>
        <v/>
      </c>
      <c r="O62" t="str">
        <f ca="1">IF(L62&lt;&gt;"",
IF(AND(OFFSET(数出表_Excel【15時】!$A$1,A62+3,L62)&lt;&gt;"",OFFSET(数出表_Excel【15時】!$A$1,A62+3,L62)&lt;&gt;0),
OFFSET(数出表_Excel【15時】!$A$1,A62+3,L62),""),"")</f>
        <v/>
      </c>
      <c r="Q62" t="str">
        <f ca="1">IF(C62&lt;&gt;"",
IF(E62&lt;&gt;"",1,0)+IF(I62&lt;&gt;"",1,0)+IF(M62&lt;&gt;"",1,0),"")</f>
        <v/>
      </c>
      <c r="AH62" t="str">
        <f t="array" aca="1" ref="AH62" ca="1">IFERROR(SMALL(IF(O$1:O$307&lt;&gt;0,O$1:O$307),ROW(AH62)),"")</f>
        <v/>
      </c>
      <c r="AI62" t="str">
        <f t="array" aca="1" ref="AI62" ca="1">IF($T62&lt;&gt;"",
SUBSTITUTE(SUBSTITUTE(INDIRECT("B"&amp;$T62&amp;"")," 週3ｺｰｽ","")," 週5ｺｰｽ",""),"")</f>
        <v/>
      </c>
    </row>
    <row r="63" spans="1:35">
      <c r="A63" t="str">
        <f t="shared" ca="1" si="0"/>
        <v/>
      </c>
      <c r="B63" t="str">
        <f t="array" aca="1" ref="B63" ca="1">IF(OR(COUNTIF(数出表_Excel【15時】!AO66,"*修正*"),COUNTIF(数出表_Excel【15時】!AO67,"*修正*")),
IF(ISEVEN(ROW()+4),INDIRECT("数出表_Excel【15時】!A"&amp;ROW()+4&amp;""),INDIRECT("数出表_Excel【15時】!A"&amp;ROW()+4-1&amp;"")),"")</f>
        <v/>
      </c>
      <c r="C63" t="str">
        <f t="array" aca="1" ref="C63" ca="1">IF(OR(COUNTIF(数出表_Excel【15時】!AO66,"*修正*"),COUNTIF(数出表_Excel【15時】!AO67,"*修正*")),
IF(ISEVEN(ROW()+4),INDIRECT("数出表_Excel【15時】!A"&amp;ROW()+4+1&amp;""),INDIRECT("数出表_Excel【15時】!A"&amp;ROW()+4&amp;"")),"")</f>
        <v/>
      </c>
      <c r="D63" s="209" t="str">
        <f t="array" aca="1" ref="D63" ca="1">IF(B63&lt;&gt;"",
IFERROR(MATCH(TRUE,ISNUMBER(INDIRECT("数出表_Excel【15時】!B"&amp;(A63+4)&amp;":ZZ"&amp;(A63+4))),0)+1,""),"")</f>
        <v/>
      </c>
      <c r="E63" t="str">
        <f ca="1">IF(D63&lt;&gt;"",
OFFSET(数出表_Excel【15時】!$A$1,2,D63-1)
&amp;IFERROR(OFFSET(数出表_Excel【15時】!$A$1,3,D63-1),"")
&amp;IFERROR(OFFSET(数出表_Excel【15時】!$A$1,4,D63-1),""),"")</f>
        <v/>
      </c>
      <c r="F63" t="str">
        <f ca="1">IF(D63&lt;&gt;"",
OFFSET(数出表_Excel【15時】!$A$1,A63+3,D63-1),"")</f>
        <v/>
      </c>
      <c r="G63" t="str">
        <f ca="1">IF(D63&lt;&gt;"",
IF(AND(OFFSET(数出表_Excel【15時】!$A$1,A63+3,D63)&lt;&gt;"",OFFSET(数出表_Excel【15時】!$A$1,A63+3,D63)&lt;&gt;0),
OFFSET(数出表_Excel【15時】!$A$1,A63+3,D63),""),"")</f>
        <v/>
      </c>
      <c r="H63" s="209" t="str">
        <f t="array" aca="1" ref="H63" ca="1">IF(B63&lt;&gt;"",
IFERROR(MATCH(TRUE,ISNUMBER(INDIRECT("数出表_Excel【15時】!"&amp;SUBSTITUTE(ADDRESS(1,D63+2,4),"1","")&amp;(A63+4)&amp;":ZZ"&amp;(A63+4))),0)+D63+1,""),"")</f>
        <v/>
      </c>
      <c r="I63" t="str">
        <f ca="1">IF(H63&lt;&gt;"",
OFFSET(数出表_Excel【15時】!$A$1,2,H63-1)
&amp;IFERROR(OFFSET(数出表_Excel【15時】!$A$1,3,H63-1),"")
&amp;IFERROR(OFFSET(数出表_Excel【15時】!$A$1,4,H63-1),""),"")</f>
        <v/>
      </c>
      <c r="J63" t="str">
        <f ca="1">IF(H63&lt;&gt;"",
OFFSET(数出表_Excel【15時】!$A$1,A63+3,H63-1),"")</f>
        <v/>
      </c>
      <c r="K63" t="str">
        <f ca="1">IF(H63&lt;&gt;"",
IF(AND(OFFSET(数出表_Excel【15時】!$A$1,A63+3,H63)&lt;&gt;"",OFFSET(数出表_Excel【15時】!$A$1,A63+3,H63)&lt;&gt;0),
OFFSET(数出表_Excel【15時】!$A$1,A63+3,H63),""),"")</f>
        <v/>
      </c>
      <c r="L63" s="209" t="str">
        <f t="array" aca="1" ref="L63" ca="1">IF(B63&lt;&gt;"",
IFERROR(MATCH(TRUE,ISNUMBER(INDIRECT("数出表_Excel【15時】!"&amp;SUBSTITUTE(ADDRESS(1,H63+2,4),"1","")&amp;(A63+4)&amp;":ZZ"&amp;(A63+4))),0)+H63+1,""),"")</f>
        <v/>
      </c>
      <c r="M63" t="str">
        <f ca="1">IF(L63&lt;&gt;"",
OFFSET(数出表_Excel【15時】!$A$1,2,L63-1)
&amp;IFERROR(OFFSET(数出表_Excel【15時】!$A$1,3,L63-1),"")
&amp;IFERROR(OFFSET(数出表_Excel【15時】!$A$1,4,L63-1),""),"")</f>
        <v/>
      </c>
      <c r="N63" t="str">
        <f ca="1">IF(L63&lt;&gt;"",
OFFSET(数出表_Excel【15時】!$A$1,A63+3,L63-1),"")</f>
        <v/>
      </c>
      <c r="O63" t="str">
        <f ca="1">IF(L63&lt;&gt;"",
IF(AND(OFFSET(数出表_Excel【15時】!$A$1,A63+3,L63)&lt;&gt;"",OFFSET(数出表_Excel【15時】!$A$1,A63+3,L63)&lt;&gt;0),
OFFSET(数出表_Excel【15時】!$A$1,A63+3,L63),""),"")</f>
        <v/>
      </c>
      <c r="AH63" t="str">
        <f t="array" aca="1" ref="AH63" ca="1">IFERROR(SMALL(IF(O$1:O$307&lt;&gt;0,O$1:O$307),ROW(AH63)),"")</f>
        <v/>
      </c>
      <c r="AI63" t="str">
        <f t="array" aca="1" ref="AI63" ca="1">IF($T63&lt;&gt;"",
SUBSTITUTE(SUBSTITUTE(INDIRECT("B"&amp;$T63&amp;"")," 週3ｺｰｽ","")," 週5ｺｰｽ",""),"")</f>
        <v/>
      </c>
    </row>
    <row r="64" spans="1:35">
      <c r="A64" t="str">
        <f t="shared" ca="1" si="0"/>
        <v/>
      </c>
      <c r="B64" t="str">
        <f t="array" aca="1" ref="B64" ca="1">IF(OR(COUNTIF(数出表_Excel【15時】!AO68,"*修正*"),COUNTIF(数出表_Excel【15時】!AO69,"*修正*")),
IF(ISEVEN(ROW()+4),INDIRECT("数出表_Excel【15時】!A"&amp;ROW()+4&amp;""),INDIRECT("数出表_Excel【15時】!A"&amp;ROW()+4-1&amp;"")),"")</f>
        <v/>
      </c>
      <c r="C64" t="str">
        <f t="array" aca="1" ref="C64" ca="1">IF(OR(COUNTIF(数出表_Excel【15時】!AO68,"*修正*"),COUNTIF(数出表_Excel【15時】!AO69,"*修正*")),
IF(ISEVEN(ROW()+4),INDIRECT("数出表_Excel【15時】!A"&amp;ROW()+4+1&amp;""),INDIRECT("数出表_Excel【15時】!A"&amp;ROW()+4&amp;"")),"")</f>
        <v/>
      </c>
      <c r="D64" s="209" t="str">
        <f t="array" aca="1" ref="D64" ca="1">IF(B64&lt;&gt;"",
IFERROR(MATCH(TRUE,ISNUMBER(INDIRECT("数出表_Excel【15時】!B"&amp;(A64+4)&amp;":ZZ"&amp;(A64+4))),0)+1,""),"")</f>
        <v/>
      </c>
      <c r="E64" t="str">
        <f ca="1">IF(D64&lt;&gt;"",
OFFSET(数出表_Excel【15時】!$A$1,2,D64-1)
&amp;IFERROR(OFFSET(数出表_Excel【15時】!$A$1,3,D64-1),"")
&amp;IFERROR(OFFSET(数出表_Excel【15時】!$A$1,4,D64-1),""),"")</f>
        <v/>
      </c>
      <c r="F64" t="str">
        <f ca="1">IF(D64&lt;&gt;"",
OFFSET(数出表_Excel【15時】!$A$1,A64+3,D64-1),"")</f>
        <v/>
      </c>
      <c r="G64" t="str">
        <f ca="1">IF(D64&lt;&gt;"",
IF(AND(OFFSET(数出表_Excel【15時】!$A$1,A64+3,D64)&lt;&gt;"",OFFSET(数出表_Excel【15時】!$A$1,A64+3,D64)&lt;&gt;0),
OFFSET(数出表_Excel【15時】!$A$1,A64+3,D64),""),"")</f>
        <v/>
      </c>
      <c r="H64" s="209" t="str">
        <f t="array" aca="1" ref="H64" ca="1">IF(B64&lt;&gt;"",
IFERROR(MATCH(TRUE,ISNUMBER(INDIRECT("数出表_Excel【15時】!"&amp;SUBSTITUTE(ADDRESS(1,D64+2,4),"1","")&amp;(A64+4)&amp;":ZZ"&amp;(A64+4))),0)+D64+1,""),"")</f>
        <v/>
      </c>
      <c r="I64" t="str">
        <f ca="1">IF(H64&lt;&gt;"",
OFFSET(数出表_Excel【15時】!$A$1,2,H64-1)
&amp;IFERROR(OFFSET(数出表_Excel【15時】!$A$1,3,H64-1),"")
&amp;IFERROR(OFFSET(数出表_Excel【15時】!$A$1,4,H64-1),""),"")</f>
        <v/>
      </c>
      <c r="J64" t="str">
        <f ca="1">IF(H64&lt;&gt;"",
OFFSET(数出表_Excel【15時】!$A$1,A64+3,H64-1),"")</f>
        <v/>
      </c>
      <c r="K64" t="str">
        <f ca="1">IF(H64&lt;&gt;"",
IF(AND(OFFSET(数出表_Excel【15時】!$A$1,A64+3,H64)&lt;&gt;"",OFFSET(数出表_Excel【15時】!$A$1,A64+3,H64)&lt;&gt;0),
OFFSET(数出表_Excel【15時】!$A$1,A64+3,H64),""),"")</f>
        <v/>
      </c>
      <c r="L64" s="209" t="str">
        <f t="array" aca="1" ref="L64" ca="1">IF(B64&lt;&gt;"",
IFERROR(MATCH(TRUE,ISNUMBER(INDIRECT("数出表_Excel【15時】!"&amp;SUBSTITUTE(ADDRESS(1,H64+2,4),"1","")&amp;(A64+4)&amp;":ZZ"&amp;(A64+4))),0)+H64+1,""),"")</f>
        <v/>
      </c>
      <c r="M64" t="str">
        <f ca="1">IF(L64&lt;&gt;"",
OFFSET(数出表_Excel【15時】!$A$1,2,L64-1)
&amp;IFERROR(OFFSET(数出表_Excel【15時】!$A$1,3,L64-1),"")
&amp;IFERROR(OFFSET(数出表_Excel【15時】!$A$1,4,L64-1),""),"")</f>
        <v/>
      </c>
      <c r="N64" t="str">
        <f ca="1">IF(L64&lt;&gt;"",
OFFSET(数出表_Excel【15時】!$A$1,A64+3,L64-1),"")</f>
        <v/>
      </c>
      <c r="O64" t="str">
        <f ca="1">IF(L64&lt;&gt;"",
IF(AND(OFFSET(数出表_Excel【15時】!$A$1,A64+3,L64)&lt;&gt;"",OFFSET(数出表_Excel【15時】!$A$1,A64+3,L64)&lt;&gt;0),
OFFSET(数出表_Excel【15時】!$A$1,A64+3,L64),""),"")</f>
        <v/>
      </c>
      <c r="Q64" t="str">
        <f ca="1">IF(C64&lt;&gt;"",
IF(E64&lt;&gt;"",1,0)+IF(I64&lt;&gt;"",1,0)+IF(M64&lt;&gt;"",1,0),"")</f>
        <v/>
      </c>
      <c r="AH64" t="str">
        <f t="array" aca="1" ref="AH64" ca="1">IFERROR(SMALL(IF(O$1:O$307&lt;&gt;0,O$1:O$307),ROW(AH64)),"")</f>
        <v/>
      </c>
      <c r="AI64" t="str">
        <f t="array" aca="1" ref="AI64" ca="1">IF($T64&lt;&gt;"",
SUBSTITUTE(SUBSTITUTE(INDIRECT("B"&amp;$T64&amp;"")," 週3ｺｰｽ","")," 週5ｺｰｽ",""),"")</f>
        <v/>
      </c>
    </row>
    <row r="65" spans="1:35">
      <c r="A65" t="str">
        <f t="shared" ca="1" si="0"/>
        <v/>
      </c>
      <c r="B65" t="str">
        <f t="array" aca="1" ref="B65" ca="1">IF(OR(COUNTIF(数出表_Excel【15時】!AO68,"*修正*"),COUNTIF(数出表_Excel【15時】!AO69,"*修正*")),
IF(ISEVEN(ROW()+4),INDIRECT("数出表_Excel【15時】!A"&amp;ROW()+4&amp;""),INDIRECT("数出表_Excel【15時】!A"&amp;ROW()+4-1&amp;"")),"")</f>
        <v/>
      </c>
      <c r="C65" t="str">
        <f t="array" aca="1" ref="C65" ca="1">IF(OR(COUNTIF(数出表_Excel【15時】!AO68,"*修正*"),COUNTIF(数出表_Excel【15時】!AO69,"*修正*")),
IF(ISEVEN(ROW()+4),INDIRECT("数出表_Excel【15時】!A"&amp;ROW()+4+1&amp;""),INDIRECT("数出表_Excel【15時】!A"&amp;ROW()+4&amp;"")),"")</f>
        <v/>
      </c>
      <c r="D65" s="209" t="str">
        <f t="array" aca="1" ref="D65" ca="1">IF(B65&lt;&gt;"",
IFERROR(MATCH(TRUE,ISNUMBER(INDIRECT("数出表_Excel【15時】!B"&amp;(A65+4)&amp;":ZZ"&amp;(A65+4))),0)+1,""),"")</f>
        <v/>
      </c>
      <c r="E65" t="str">
        <f ca="1">IF(D65&lt;&gt;"",
OFFSET(数出表_Excel【15時】!$A$1,2,D65-1)
&amp;IFERROR(OFFSET(数出表_Excel【15時】!$A$1,3,D65-1),"")
&amp;IFERROR(OFFSET(数出表_Excel【15時】!$A$1,4,D65-1),""),"")</f>
        <v/>
      </c>
      <c r="F65" t="str">
        <f ca="1">IF(D65&lt;&gt;"",
OFFSET(数出表_Excel【15時】!$A$1,A65+3,D65-1),"")</f>
        <v/>
      </c>
      <c r="G65" t="str">
        <f ca="1">IF(D65&lt;&gt;"",
IF(AND(OFFSET(数出表_Excel【15時】!$A$1,A65+3,D65)&lt;&gt;"",OFFSET(数出表_Excel【15時】!$A$1,A65+3,D65)&lt;&gt;0),
OFFSET(数出表_Excel【15時】!$A$1,A65+3,D65),""),"")</f>
        <v/>
      </c>
      <c r="H65" s="209" t="str">
        <f t="array" aca="1" ref="H65" ca="1">IF(B65&lt;&gt;"",
IFERROR(MATCH(TRUE,ISNUMBER(INDIRECT("数出表_Excel【15時】!"&amp;SUBSTITUTE(ADDRESS(1,D65+2,4),"1","")&amp;(A65+4)&amp;":ZZ"&amp;(A65+4))),0)+D65+1,""),"")</f>
        <v/>
      </c>
      <c r="I65" t="str">
        <f ca="1">IF(H65&lt;&gt;"",
OFFSET(数出表_Excel【15時】!$A$1,2,H65-1)
&amp;IFERROR(OFFSET(数出表_Excel【15時】!$A$1,3,H65-1),"")
&amp;IFERROR(OFFSET(数出表_Excel【15時】!$A$1,4,H65-1),""),"")</f>
        <v/>
      </c>
      <c r="J65" t="str">
        <f ca="1">IF(H65&lt;&gt;"",
OFFSET(数出表_Excel【15時】!$A$1,A65+3,H65-1),"")</f>
        <v/>
      </c>
      <c r="K65" t="str">
        <f ca="1">IF(H65&lt;&gt;"",
IF(AND(OFFSET(数出表_Excel【15時】!$A$1,A65+3,H65)&lt;&gt;"",OFFSET(数出表_Excel【15時】!$A$1,A65+3,H65)&lt;&gt;0),
OFFSET(数出表_Excel【15時】!$A$1,A65+3,H65),""),"")</f>
        <v/>
      </c>
      <c r="L65" s="209" t="str">
        <f t="array" aca="1" ref="L65" ca="1">IF(B65&lt;&gt;"",
IFERROR(MATCH(TRUE,ISNUMBER(INDIRECT("数出表_Excel【15時】!"&amp;SUBSTITUTE(ADDRESS(1,H65+2,4),"1","")&amp;(A65+4)&amp;":ZZ"&amp;(A65+4))),0)+H65+1,""),"")</f>
        <v/>
      </c>
      <c r="M65" t="str">
        <f ca="1">IF(L65&lt;&gt;"",
OFFSET(数出表_Excel【15時】!$A$1,2,L65-1)
&amp;IFERROR(OFFSET(数出表_Excel【15時】!$A$1,3,L65-1),"")
&amp;IFERROR(OFFSET(数出表_Excel【15時】!$A$1,4,L65-1),""),"")</f>
        <v/>
      </c>
      <c r="N65" t="str">
        <f ca="1">IF(L65&lt;&gt;"",
OFFSET(数出表_Excel【15時】!$A$1,A65+3,L65-1),"")</f>
        <v/>
      </c>
      <c r="O65" t="str">
        <f ca="1">IF(L65&lt;&gt;"",
IF(AND(OFFSET(数出表_Excel【15時】!$A$1,A65+3,L65)&lt;&gt;"",OFFSET(数出表_Excel【15時】!$A$1,A65+3,L65)&lt;&gt;0),
OFFSET(数出表_Excel【15時】!$A$1,A65+3,L65),""),"")</f>
        <v/>
      </c>
      <c r="AH65" t="str">
        <f t="array" aca="1" ref="AH65" ca="1">IFERROR(SMALL(IF(O$1:O$307&lt;&gt;0,O$1:O$307),ROW(AH65)),"")</f>
        <v/>
      </c>
      <c r="AI65" t="str">
        <f t="array" aca="1" ref="AI65" ca="1">IF($T65&lt;&gt;"",
SUBSTITUTE(SUBSTITUTE(INDIRECT("B"&amp;$T65&amp;"")," 週3ｺｰｽ","")," 週5ｺｰｽ",""),"")</f>
        <v/>
      </c>
    </row>
    <row r="66" spans="1:35">
      <c r="A66" t="str">
        <f t="shared" ref="A66:A129" ca="1" si="1">IF(B66&lt;&gt;"",
ROW(),"")</f>
        <v/>
      </c>
      <c r="B66" t="str">
        <f t="array" aca="1" ref="B66" ca="1">IF(OR(COUNTIF(数出表_Excel【15時】!AO70,"*修正*"),COUNTIF(数出表_Excel【15時】!AO71,"*修正*")),
IF(ISEVEN(ROW()+4),INDIRECT("数出表_Excel【15時】!A"&amp;ROW()+4&amp;""),INDIRECT("数出表_Excel【15時】!A"&amp;ROW()+4-1&amp;"")),"")</f>
        <v/>
      </c>
      <c r="C66" t="str">
        <f t="array" aca="1" ref="C66" ca="1">IF(OR(COUNTIF(数出表_Excel【15時】!AO70,"*修正*"),COUNTIF(数出表_Excel【15時】!AO71,"*修正*")),
IF(ISEVEN(ROW()+4),INDIRECT("数出表_Excel【15時】!A"&amp;ROW()+4+1&amp;""),INDIRECT("数出表_Excel【15時】!A"&amp;ROW()+4&amp;"")),"")</f>
        <v/>
      </c>
      <c r="D66" s="209" t="str">
        <f t="array" aca="1" ref="D66" ca="1">IF(B66&lt;&gt;"",
IFERROR(MATCH(TRUE,ISNUMBER(INDIRECT("数出表_Excel【15時】!B"&amp;(A66+4)&amp;":ZZ"&amp;(A66+4))),0)+1,""),"")</f>
        <v/>
      </c>
      <c r="E66" t="str">
        <f ca="1">IF(D66&lt;&gt;"",
OFFSET(数出表_Excel【15時】!$A$1,2,D66-1)
&amp;IFERROR(OFFSET(数出表_Excel【15時】!$A$1,3,D66-1),"")
&amp;IFERROR(OFFSET(数出表_Excel【15時】!$A$1,4,D66-1),""),"")</f>
        <v/>
      </c>
      <c r="F66" t="str">
        <f ca="1">IF(D66&lt;&gt;"",
OFFSET(数出表_Excel【15時】!$A$1,A66+3,D66-1),"")</f>
        <v/>
      </c>
      <c r="G66" t="str">
        <f ca="1">IF(D66&lt;&gt;"",
IF(AND(OFFSET(数出表_Excel【15時】!$A$1,A66+3,D66)&lt;&gt;"",OFFSET(数出表_Excel【15時】!$A$1,A66+3,D66)&lt;&gt;0),
OFFSET(数出表_Excel【15時】!$A$1,A66+3,D66),""),"")</f>
        <v/>
      </c>
      <c r="H66" s="209" t="str">
        <f t="array" aca="1" ref="H66" ca="1">IF(B66&lt;&gt;"",
IFERROR(MATCH(TRUE,ISNUMBER(INDIRECT("数出表_Excel【15時】!"&amp;SUBSTITUTE(ADDRESS(1,D66+2,4),"1","")&amp;(A66+4)&amp;":ZZ"&amp;(A66+4))),0)+D66+1,""),"")</f>
        <v/>
      </c>
      <c r="I66" t="str">
        <f ca="1">IF(H66&lt;&gt;"",
OFFSET(数出表_Excel【15時】!$A$1,2,H66-1)
&amp;IFERROR(OFFSET(数出表_Excel【15時】!$A$1,3,H66-1),"")
&amp;IFERROR(OFFSET(数出表_Excel【15時】!$A$1,4,H66-1),""),"")</f>
        <v/>
      </c>
      <c r="J66" t="str">
        <f ca="1">IF(H66&lt;&gt;"",
OFFSET(数出表_Excel【15時】!$A$1,A66+3,H66-1),"")</f>
        <v/>
      </c>
      <c r="K66" t="str">
        <f ca="1">IF(H66&lt;&gt;"",
IF(AND(OFFSET(数出表_Excel【15時】!$A$1,A66+3,H66)&lt;&gt;"",OFFSET(数出表_Excel【15時】!$A$1,A66+3,H66)&lt;&gt;0),
OFFSET(数出表_Excel【15時】!$A$1,A66+3,H66),""),"")</f>
        <v/>
      </c>
      <c r="L66" s="209" t="str">
        <f t="array" aca="1" ref="L66" ca="1">IF(B66&lt;&gt;"",
IFERROR(MATCH(TRUE,ISNUMBER(INDIRECT("数出表_Excel【15時】!"&amp;SUBSTITUTE(ADDRESS(1,H66+2,4),"1","")&amp;(A66+4)&amp;":ZZ"&amp;(A66+4))),0)+H66+1,""),"")</f>
        <v/>
      </c>
      <c r="M66" t="str">
        <f ca="1">IF(L66&lt;&gt;"",
OFFSET(数出表_Excel【15時】!$A$1,2,L66-1)
&amp;IFERROR(OFFSET(数出表_Excel【15時】!$A$1,3,L66-1),"")
&amp;IFERROR(OFFSET(数出表_Excel【15時】!$A$1,4,L66-1),""),"")</f>
        <v/>
      </c>
      <c r="N66" t="str">
        <f ca="1">IF(L66&lt;&gt;"",
OFFSET(数出表_Excel【15時】!$A$1,A66+3,L66-1),"")</f>
        <v/>
      </c>
      <c r="O66" t="str">
        <f ca="1">IF(L66&lt;&gt;"",
IF(AND(OFFSET(数出表_Excel【15時】!$A$1,A66+3,L66)&lt;&gt;"",OFFSET(数出表_Excel【15時】!$A$1,A66+3,L66)&lt;&gt;0),
OFFSET(数出表_Excel【15時】!$A$1,A66+3,L66),""),"")</f>
        <v/>
      </c>
      <c r="Q66" t="str">
        <f ca="1">IF(C66&lt;&gt;"",
IF(E66&lt;&gt;"",1,0)+IF(I66&lt;&gt;"",1,0)+IF(M66&lt;&gt;"",1,0),"")</f>
        <v/>
      </c>
      <c r="AH66" t="str">
        <f t="array" aca="1" ref="AH66" ca="1">IFERROR(SMALL(IF(O$1:O$307&lt;&gt;0,O$1:O$307),ROW(AH66)),"")</f>
        <v/>
      </c>
      <c r="AI66" t="str">
        <f t="array" aca="1" ref="AI66" ca="1">IF($T66&lt;&gt;"",
SUBSTITUTE(SUBSTITUTE(INDIRECT("B"&amp;$T66&amp;"")," 週3ｺｰｽ","")," 週5ｺｰｽ",""),"")</f>
        <v/>
      </c>
    </row>
    <row r="67" spans="1:35">
      <c r="A67" t="str">
        <f t="shared" ca="1" si="1"/>
        <v/>
      </c>
      <c r="B67" t="str">
        <f t="array" aca="1" ref="B67" ca="1">IF(OR(COUNTIF(数出表_Excel【15時】!AO70,"*修正*"),COUNTIF(数出表_Excel【15時】!AO71,"*修正*")),
IF(ISEVEN(ROW()+4),INDIRECT("数出表_Excel【15時】!A"&amp;ROW()+4&amp;""),INDIRECT("数出表_Excel【15時】!A"&amp;ROW()+4-1&amp;"")),"")</f>
        <v/>
      </c>
      <c r="C67" t="str">
        <f t="array" aca="1" ref="C67" ca="1">IF(OR(COUNTIF(数出表_Excel【15時】!AO70,"*修正*"),COUNTIF(数出表_Excel【15時】!AO71,"*修正*")),
IF(ISEVEN(ROW()+4),INDIRECT("数出表_Excel【15時】!A"&amp;ROW()+4+1&amp;""),INDIRECT("数出表_Excel【15時】!A"&amp;ROW()+4&amp;"")),"")</f>
        <v/>
      </c>
      <c r="D67" s="209" t="str">
        <f t="array" aca="1" ref="D67" ca="1">IF(B67&lt;&gt;"",
IFERROR(MATCH(TRUE,ISNUMBER(INDIRECT("数出表_Excel【15時】!B"&amp;(A67+4)&amp;":ZZ"&amp;(A67+4))),0)+1,""),"")</f>
        <v/>
      </c>
      <c r="E67" t="str">
        <f ca="1">IF(D67&lt;&gt;"",
OFFSET(数出表_Excel【15時】!$A$1,2,D67-1)
&amp;IFERROR(OFFSET(数出表_Excel【15時】!$A$1,3,D67-1),"")
&amp;IFERROR(OFFSET(数出表_Excel【15時】!$A$1,4,D67-1),""),"")</f>
        <v/>
      </c>
      <c r="F67" t="str">
        <f ca="1">IF(D67&lt;&gt;"",
OFFSET(数出表_Excel【15時】!$A$1,A67+3,D67-1),"")</f>
        <v/>
      </c>
      <c r="G67" t="str">
        <f ca="1">IF(D67&lt;&gt;"",
IF(AND(OFFSET(数出表_Excel【15時】!$A$1,A67+3,D67)&lt;&gt;"",OFFSET(数出表_Excel【15時】!$A$1,A67+3,D67)&lt;&gt;0),
OFFSET(数出表_Excel【15時】!$A$1,A67+3,D67),""),"")</f>
        <v/>
      </c>
      <c r="H67" s="209" t="str">
        <f t="array" aca="1" ref="H67" ca="1">IF(B67&lt;&gt;"",
IFERROR(MATCH(TRUE,ISNUMBER(INDIRECT("数出表_Excel【15時】!"&amp;SUBSTITUTE(ADDRESS(1,D67+2,4),"1","")&amp;(A67+4)&amp;":ZZ"&amp;(A67+4))),0)+D67+1,""),"")</f>
        <v/>
      </c>
      <c r="I67" t="str">
        <f ca="1">IF(H67&lt;&gt;"",
OFFSET(数出表_Excel【15時】!$A$1,2,H67-1)
&amp;IFERROR(OFFSET(数出表_Excel【15時】!$A$1,3,H67-1),"")
&amp;IFERROR(OFFSET(数出表_Excel【15時】!$A$1,4,H67-1),""),"")</f>
        <v/>
      </c>
      <c r="J67" t="str">
        <f ca="1">IF(H67&lt;&gt;"",
OFFSET(数出表_Excel【15時】!$A$1,A67+3,H67-1),"")</f>
        <v/>
      </c>
      <c r="K67" t="str">
        <f ca="1">IF(H67&lt;&gt;"",
IF(AND(OFFSET(数出表_Excel【15時】!$A$1,A67+3,H67)&lt;&gt;"",OFFSET(数出表_Excel【15時】!$A$1,A67+3,H67)&lt;&gt;0),
OFFSET(数出表_Excel【15時】!$A$1,A67+3,H67),""),"")</f>
        <v/>
      </c>
      <c r="L67" s="209" t="str">
        <f t="array" aca="1" ref="L67" ca="1">IF(B67&lt;&gt;"",
IFERROR(MATCH(TRUE,ISNUMBER(INDIRECT("数出表_Excel【15時】!"&amp;SUBSTITUTE(ADDRESS(1,H67+2,4),"1","")&amp;(A67+4)&amp;":ZZ"&amp;(A67+4))),0)+H67+1,""),"")</f>
        <v/>
      </c>
      <c r="M67" t="str">
        <f ca="1">IF(L67&lt;&gt;"",
OFFSET(数出表_Excel【15時】!$A$1,2,L67-1)
&amp;IFERROR(OFFSET(数出表_Excel【15時】!$A$1,3,L67-1),"")
&amp;IFERROR(OFFSET(数出表_Excel【15時】!$A$1,4,L67-1),""),"")</f>
        <v/>
      </c>
      <c r="N67" t="str">
        <f ca="1">IF(L67&lt;&gt;"",
OFFSET(数出表_Excel【15時】!$A$1,A67+3,L67-1),"")</f>
        <v/>
      </c>
      <c r="O67" t="str">
        <f ca="1">IF(L67&lt;&gt;"",
IF(AND(OFFSET(数出表_Excel【15時】!$A$1,A67+3,L67)&lt;&gt;"",OFFSET(数出表_Excel【15時】!$A$1,A67+3,L67)&lt;&gt;0),
OFFSET(数出表_Excel【15時】!$A$1,A67+3,L67),""),"")</f>
        <v/>
      </c>
      <c r="AH67" t="str">
        <f t="array" aca="1" ref="AH67" ca="1">IFERROR(SMALL(IF(O$1:O$307&lt;&gt;0,O$1:O$307),ROW(AH67)),"")</f>
        <v/>
      </c>
      <c r="AI67" t="str">
        <f t="array" aca="1" ref="AI67" ca="1">IF($T67&lt;&gt;"",
SUBSTITUTE(SUBSTITUTE(INDIRECT("B"&amp;$T67&amp;"")," 週3ｺｰｽ","")," 週5ｺｰｽ",""),"")</f>
        <v/>
      </c>
    </row>
    <row r="68" spans="1:35">
      <c r="A68" t="str">
        <f t="shared" ca="1" si="1"/>
        <v/>
      </c>
      <c r="B68" t="str">
        <f t="array" aca="1" ref="B68" ca="1">IF(OR(COUNTIF(数出表_Excel【15時】!AO72,"*修正*"),COUNTIF(数出表_Excel【15時】!AO73,"*修正*")),
IF(ISEVEN(ROW()+4),INDIRECT("数出表_Excel【15時】!A"&amp;ROW()+4&amp;""),INDIRECT("数出表_Excel【15時】!A"&amp;ROW()+4-1&amp;"")),"")</f>
        <v/>
      </c>
      <c r="C68" t="str">
        <f t="array" aca="1" ref="C68" ca="1">IF(OR(COUNTIF(数出表_Excel【15時】!AO72,"*修正*"),COUNTIF(数出表_Excel【15時】!AO73,"*修正*")),
IF(ISEVEN(ROW()+4),INDIRECT("数出表_Excel【15時】!A"&amp;ROW()+4+1&amp;""),INDIRECT("数出表_Excel【15時】!A"&amp;ROW()+4&amp;"")),"")</f>
        <v/>
      </c>
      <c r="D68" s="209" t="str">
        <f t="array" aca="1" ref="D68" ca="1">IF(B68&lt;&gt;"",
IFERROR(MATCH(TRUE,ISNUMBER(INDIRECT("数出表_Excel【15時】!B"&amp;(A68+4)&amp;":ZZ"&amp;(A68+4))),0)+1,""),"")</f>
        <v/>
      </c>
      <c r="E68" t="str">
        <f ca="1">IF(D68&lt;&gt;"",
OFFSET(数出表_Excel【15時】!$A$1,2,D68-1)
&amp;IFERROR(OFFSET(数出表_Excel【15時】!$A$1,3,D68-1),"")
&amp;IFERROR(OFFSET(数出表_Excel【15時】!$A$1,4,D68-1),""),"")</f>
        <v/>
      </c>
      <c r="F68" t="str">
        <f ca="1">IF(D68&lt;&gt;"",
OFFSET(数出表_Excel【15時】!$A$1,A68+3,D68-1),"")</f>
        <v/>
      </c>
      <c r="G68" t="str">
        <f ca="1">IF(D68&lt;&gt;"",
IF(AND(OFFSET(数出表_Excel【15時】!$A$1,A68+3,D68)&lt;&gt;"",OFFSET(数出表_Excel【15時】!$A$1,A68+3,D68)&lt;&gt;0),
OFFSET(数出表_Excel【15時】!$A$1,A68+3,D68),""),"")</f>
        <v/>
      </c>
      <c r="H68" s="209" t="str">
        <f t="array" aca="1" ref="H68" ca="1">IF(B68&lt;&gt;"",
IFERROR(MATCH(TRUE,ISNUMBER(INDIRECT("数出表_Excel【15時】!"&amp;SUBSTITUTE(ADDRESS(1,D68+2,4),"1","")&amp;(A68+4)&amp;":ZZ"&amp;(A68+4))),0)+D68+1,""),"")</f>
        <v/>
      </c>
      <c r="I68" t="str">
        <f ca="1">IF(H68&lt;&gt;"",
OFFSET(数出表_Excel【15時】!$A$1,2,H68-1)
&amp;IFERROR(OFFSET(数出表_Excel【15時】!$A$1,3,H68-1),"")
&amp;IFERROR(OFFSET(数出表_Excel【15時】!$A$1,4,H68-1),""),"")</f>
        <v/>
      </c>
      <c r="J68" t="str">
        <f ca="1">IF(H68&lt;&gt;"",
OFFSET(数出表_Excel【15時】!$A$1,A68+3,H68-1),"")</f>
        <v/>
      </c>
      <c r="K68" t="str">
        <f ca="1">IF(H68&lt;&gt;"",
IF(AND(OFFSET(数出表_Excel【15時】!$A$1,A68+3,H68)&lt;&gt;"",OFFSET(数出表_Excel【15時】!$A$1,A68+3,H68)&lt;&gt;0),
OFFSET(数出表_Excel【15時】!$A$1,A68+3,H68),""),"")</f>
        <v/>
      </c>
      <c r="L68" s="209" t="str">
        <f t="array" aca="1" ref="L68" ca="1">IF(B68&lt;&gt;"",
IFERROR(MATCH(TRUE,ISNUMBER(INDIRECT("数出表_Excel【15時】!"&amp;SUBSTITUTE(ADDRESS(1,H68+2,4),"1","")&amp;(A68+4)&amp;":ZZ"&amp;(A68+4))),0)+H68+1,""),"")</f>
        <v/>
      </c>
      <c r="M68" t="str">
        <f ca="1">IF(L68&lt;&gt;"",
OFFSET(数出表_Excel【15時】!$A$1,2,L68-1)
&amp;IFERROR(OFFSET(数出表_Excel【15時】!$A$1,3,L68-1),"")
&amp;IFERROR(OFFSET(数出表_Excel【15時】!$A$1,4,L68-1),""),"")</f>
        <v/>
      </c>
      <c r="N68" t="str">
        <f ca="1">IF(L68&lt;&gt;"",
OFFSET(数出表_Excel【15時】!$A$1,A68+3,L68-1),"")</f>
        <v/>
      </c>
      <c r="O68" t="str">
        <f ca="1">IF(L68&lt;&gt;"",
IF(AND(OFFSET(数出表_Excel【15時】!$A$1,A68+3,L68)&lt;&gt;"",OFFSET(数出表_Excel【15時】!$A$1,A68+3,L68)&lt;&gt;0),
OFFSET(数出表_Excel【15時】!$A$1,A68+3,L68),""),"")</f>
        <v/>
      </c>
      <c r="Q68" t="str">
        <f ca="1">IF(C68&lt;&gt;"",
IF(E68&lt;&gt;"",1,0)+IF(I68&lt;&gt;"",1,0)+IF(M68&lt;&gt;"",1,0),"")</f>
        <v/>
      </c>
      <c r="AH68" t="str">
        <f t="array" aca="1" ref="AH68" ca="1">IFERROR(SMALL(IF(O$1:O$307&lt;&gt;0,O$1:O$307),ROW(AH68)),"")</f>
        <v/>
      </c>
      <c r="AI68" t="str">
        <f t="array" aca="1" ref="AI68" ca="1">IF($T68&lt;&gt;"",
SUBSTITUTE(SUBSTITUTE(INDIRECT("B"&amp;$T68&amp;"")," 週3ｺｰｽ","")," 週5ｺｰｽ",""),"")</f>
        <v/>
      </c>
    </row>
    <row r="69" spans="1:35">
      <c r="A69" t="str">
        <f t="shared" ca="1" si="1"/>
        <v/>
      </c>
      <c r="B69" t="str">
        <f t="array" aca="1" ref="B69" ca="1">IF(OR(COUNTIF(数出表_Excel【15時】!AO72,"*修正*"),COUNTIF(数出表_Excel【15時】!AO73,"*修正*")),
IF(ISEVEN(ROW()+4),INDIRECT("数出表_Excel【15時】!A"&amp;ROW()+4&amp;""),INDIRECT("数出表_Excel【15時】!A"&amp;ROW()+4-1&amp;"")),"")</f>
        <v/>
      </c>
      <c r="C69" t="str">
        <f t="array" aca="1" ref="C69" ca="1">IF(OR(COUNTIF(数出表_Excel【15時】!AO72,"*修正*"),COUNTIF(数出表_Excel【15時】!AO73,"*修正*")),
IF(ISEVEN(ROW()+4),INDIRECT("数出表_Excel【15時】!A"&amp;ROW()+4+1&amp;""),INDIRECT("数出表_Excel【15時】!A"&amp;ROW()+4&amp;"")),"")</f>
        <v/>
      </c>
      <c r="D69" s="209" t="str">
        <f t="array" aca="1" ref="D69" ca="1">IF(B69&lt;&gt;"",
IFERROR(MATCH(TRUE,ISNUMBER(INDIRECT("数出表_Excel【15時】!B"&amp;(A69+4)&amp;":ZZ"&amp;(A69+4))),0)+1,""),"")</f>
        <v/>
      </c>
      <c r="E69" t="str">
        <f ca="1">IF(D69&lt;&gt;"",
OFFSET(数出表_Excel【15時】!$A$1,2,D69-1)
&amp;IFERROR(OFFSET(数出表_Excel【15時】!$A$1,3,D69-1),"")
&amp;IFERROR(OFFSET(数出表_Excel【15時】!$A$1,4,D69-1),""),"")</f>
        <v/>
      </c>
      <c r="F69" t="str">
        <f ca="1">IF(D69&lt;&gt;"",
OFFSET(数出表_Excel【15時】!$A$1,A69+3,D69-1),"")</f>
        <v/>
      </c>
      <c r="G69" t="str">
        <f ca="1">IF(D69&lt;&gt;"",
IF(AND(OFFSET(数出表_Excel【15時】!$A$1,A69+3,D69)&lt;&gt;"",OFFSET(数出表_Excel【15時】!$A$1,A69+3,D69)&lt;&gt;0),
OFFSET(数出表_Excel【15時】!$A$1,A69+3,D69),""),"")</f>
        <v/>
      </c>
      <c r="H69" s="209" t="str">
        <f t="array" aca="1" ref="H69" ca="1">IF(B69&lt;&gt;"",
IFERROR(MATCH(TRUE,ISNUMBER(INDIRECT("数出表_Excel【15時】!"&amp;SUBSTITUTE(ADDRESS(1,D69+2,4),"1","")&amp;(A69+4)&amp;":ZZ"&amp;(A69+4))),0)+D69+1,""),"")</f>
        <v/>
      </c>
      <c r="I69" t="str">
        <f ca="1">IF(H69&lt;&gt;"",
OFFSET(数出表_Excel【15時】!$A$1,2,H69-1)
&amp;IFERROR(OFFSET(数出表_Excel【15時】!$A$1,3,H69-1),"")
&amp;IFERROR(OFFSET(数出表_Excel【15時】!$A$1,4,H69-1),""),"")</f>
        <v/>
      </c>
      <c r="J69" t="str">
        <f ca="1">IF(H69&lt;&gt;"",
OFFSET(数出表_Excel【15時】!$A$1,A69+3,H69-1),"")</f>
        <v/>
      </c>
      <c r="K69" t="str">
        <f ca="1">IF(H69&lt;&gt;"",
IF(AND(OFFSET(数出表_Excel【15時】!$A$1,A69+3,H69)&lt;&gt;"",OFFSET(数出表_Excel【15時】!$A$1,A69+3,H69)&lt;&gt;0),
OFFSET(数出表_Excel【15時】!$A$1,A69+3,H69),""),"")</f>
        <v/>
      </c>
      <c r="L69" s="209" t="str">
        <f t="array" aca="1" ref="L69" ca="1">IF(B69&lt;&gt;"",
IFERROR(MATCH(TRUE,ISNUMBER(INDIRECT("数出表_Excel【15時】!"&amp;SUBSTITUTE(ADDRESS(1,H69+2,4),"1","")&amp;(A69+4)&amp;":ZZ"&amp;(A69+4))),0)+H69+1,""),"")</f>
        <v/>
      </c>
      <c r="M69" t="str">
        <f ca="1">IF(L69&lt;&gt;"",
OFFSET(数出表_Excel【15時】!$A$1,2,L69-1)
&amp;IFERROR(OFFSET(数出表_Excel【15時】!$A$1,3,L69-1),"")
&amp;IFERROR(OFFSET(数出表_Excel【15時】!$A$1,4,L69-1),""),"")</f>
        <v/>
      </c>
      <c r="N69" t="str">
        <f ca="1">IF(L69&lt;&gt;"",
OFFSET(数出表_Excel【15時】!$A$1,A69+3,L69-1),"")</f>
        <v/>
      </c>
      <c r="O69" t="str">
        <f ca="1">IF(L69&lt;&gt;"",
IF(AND(OFFSET(数出表_Excel【15時】!$A$1,A69+3,L69)&lt;&gt;"",OFFSET(数出表_Excel【15時】!$A$1,A69+3,L69)&lt;&gt;0),
OFFSET(数出表_Excel【15時】!$A$1,A69+3,L69),""),"")</f>
        <v/>
      </c>
      <c r="AH69" t="str">
        <f t="array" aca="1" ref="AH69" ca="1">IFERROR(SMALL(IF(O$1:O$307&lt;&gt;0,O$1:O$307),ROW(AH69)),"")</f>
        <v/>
      </c>
      <c r="AI69" t="str">
        <f t="array" aca="1" ref="AI69" ca="1">IF($T69&lt;&gt;"",
SUBSTITUTE(SUBSTITUTE(INDIRECT("B"&amp;$T69&amp;"")," 週3ｺｰｽ","")," 週5ｺｰｽ",""),"")</f>
        <v/>
      </c>
    </row>
    <row r="70" spans="1:35">
      <c r="A70" t="str">
        <f t="shared" ca="1" si="1"/>
        <v/>
      </c>
      <c r="B70" t="str">
        <f t="array" aca="1" ref="B70" ca="1">IF(OR(COUNTIF(数出表_Excel【15時】!AO74,"*修正*"),COUNTIF(数出表_Excel【15時】!AO75,"*修正*")),
IF(ISEVEN(ROW()+4),INDIRECT("数出表_Excel【15時】!A"&amp;ROW()+4&amp;""),INDIRECT("数出表_Excel【15時】!A"&amp;ROW()+4-1&amp;"")),"")</f>
        <v/>
      </c>
      <c r="C70" t="str">
        <f t="array" aca="1" ref="C70" ca="1">IF(OR(COUNTIF(数出表_Excel【15時】!AO74,"*修正*"),COUNTIF(数出表_Excel【15時】!AO75,"*修正*")),
IF(ISEVEN(ROW()+4),INDIRECT("数出表_Excel【15時】!A"&amp;ROW()+4+1&amp;""),INDIRECT("数出表_Excel【15時】!A"&amp;ROW()+4&amp;"")),"")</f>
        <v/>
      </c>
      <c r="D70" s="209" t="str">
        <f t="array" aca="1" ref="D70" ca="1">IF(B70&lt;&gt;"",
IFERROR(MATCH(TRUE,ISNUMBER(INDIRECT("数出表_Excel【15時】!B"&amp;(A70+4)&amp;":ZZ"&amp;(A70+4))),0)+1,""),"")</f>
        <v/>
      </c>
      <c r="E70" t="str">
        <f ca="1">IF(D70&lt;&gt;"",
OFFSET(数出表_Excel【15時】!$A$1,2,D70-1)
&amp;IFERROR(OFFSET(数出表_Excel【15時】!$A$1,3,D70-1),"")
&amp;IFERROR(OFFSET(数出表_Excel【15時】!$A$1,4,D70-1),""),"")</f>
        <v/>
      </c>
      <c r="F70" t="str">
        <f ca="1">IF(D70&lt;&gt;"",
OFFSET(数出表_Excel【15時】!$A$1,A70+3,D70-1),"")</f>
        <v/>
      </c>
      <c r="G70" t="str">
        <f ca="1">IF(D70&lt;&gt;"",
IF(AND(OFFSET(数出表_Excel【15時】!$A$1,A70+3,D70)&lt;&gt;"",OFFSET(数出表_Excel【15時】!$A$1,A70+3,D70)&lt;&gt;0),
OFFSET(数出表_Excel【15時】!$A$1,A70+3,D70),""),"")</f>
        <v/>
      </c>
      <c r="H70" s="209" t="str">
        <f t="array" aca="1" ref="H70" ca="1">IF(B70&lt;&gt;"",
IFERROR(MATCH(TRUE,ISNUMBER(INDIRECT("数出表_Excel【15時】!"&amp;SUBSTITUTE(ADDRESS(1,D70+2,4),"1","")&amp;(A70+4)&amp;":ZZ"&amp;(A70+4))),0)+D70+1,""),"")</f>
        <v/>
      </c>
      <c r="I70" t="str">
        <f ca="1">IF(H70&lt;&gt;"",
OFFSET(数出表_Excel【15時】!$A$1,2,H70-1)
&amp;IFERROR(OFFSET(数出表_Excel【15時】!$A$1,3,H70-1),"")
&amp;IFERROR(OFFSET(数出表_Excel【15時】!$A$1,4,H70-1),""),"")</f>
        <v/>
      </c>
      <c r="J70" t="str">
        <f ca="1">IF(H70&lt;&gt;"",
OFFSET(数出表_Excel【15時】!$A$1,A70+3,H70-1),"")</f>
        <v/>
      </c>
      <c r="K70" t="str">
        <f ca="1">IF(H70&lt;&gt;"",
IF(AND(OFFSET(数出表_Excel【15時】!$A$1,A70+3,H70)&lt;&gt;"",OFFSET(数出表_Excel【15時】!$A$1,A70+3,H70)&lt;&gt;0),
OFFSET(数出表_Excel【15時】!$A$1,A70+3,H70),""),"")</f>
        <v/>
      </c>
      <c r="L70" s="209" t="str">
        <f t="array" aca="1" ref="L70" ca="1">IF(B70&lt;&gt;"",
IFERROR(MATCH(TRUE,ISNUMBER(INDIRECT("数出表_Excel【15時】!"&amp;SUBSTITUTE(ADDRESS(1,H70+2,4),"1","")&amp;(A70+4)&amp;":ZZ"&amp;(A70+4))),0)+H70+1,""),"")</f>
        <v/>
      </c>
      <c r="M70" t="str">
        <f ca="1">IF(L70&lt;&gt;"",
OFFSET(数出表_Excel【15時】!$A$1,2,L70-1)
&amp;IFERROR(OFFSET(数出表_Excel【15時】!$A$1,3,L70-1),"")
&amp;IFERROR(OFFSET(数出表_Excel【15時】!$A$1,4,L70-1),""),"")</f>
        <v/>
      </c>
      <c r="N70" t="str">
        <f ca="1">IF(L70&lt;&gt;"",
OFFSET(数出表_Excel【15時】!$A$1,A70+3,L70-1),"")</f>
        <v/>
      </c>
      <c r="O70" t="str">
        <f ca="1">IF(L70&lt;&gt;"",
IF(AND(OFFSET(数出表_Excel【15時】!$A$1,A70+3,L70)&lt;&gt;"",OFFSET(数出表_Excel【15時】!$A$1,A70+3,L70)&lt;&gt;0),
OFFSET(数出表_Excel【15時】!$A$1,A70+3,L70),""),"")</f>
        <v/>
      </c>
      <c r="Q70" t="str">
        <f ca="1">IF(C70&lt;&gt;"",
IF(E70&lt;&gt;"",1,0)+IF(I70&lt;&gt;"",1,0)+IF(M70&lt;&gt;"",1,0),"")</f>
        <v/>
      </c>
      <c r="AH70" t="str">
        <f t="array" aca="1" ref="AH70" ca="1">IFERROR(SMALL(IF(O$1:O$307&lt;&gt;0,O$1:O$307),ROW(AH70)),"")</f>
        <v/>
      </c>
      <c r="AI70" t="str">
        <f t="array" aca="1" ref="AI70" ca="1">IF($T70&lt;&gt;"",
SUBSTITUTE(SUBSTITUTE(INDIRECT("B"&amp;$T70&amp;"")," 週3ｺｰｽ","")," 週5ｺｰｽ",""),"")</f>
        <v/>
      </c>
    </row>
    <row r="71" spans="1:35">
      <c r="A71" t="str">
        <f t="shared" ca="1" si="1"/>
        <v/>
      </c>
      <c r="B71" t="str">
        <f t="array" aca="1" ref="B71" ca="1">IF(OR(COUNTIF(数出表_Excel【15時】!AO74,"*修正*"),COUNTIF(数出表_Excel【15時】!AO75,"*修正*")),
IF(ISEVEN(ROW()+4),INDIRECT("数出表_Excel【15時】!A"&amp;ROW()+4&amp;""),INDIRECT("数出表_Excel【15時】!A"&amp;ROW()+4-1&amp;"")),"")</f>
        <v/>
      </c>
      <c r="C71" t="str">
        <f t="array" aca="1" ref="C71" ca="1">IF(OR(COUNTIF(数出表_Excel【15時】!AO74,"*修正*"),COUNTIF(数出表_Excel【15時】!AO75,"*修正*")),
IF(ISEVEN(ROW()+4),INDIRECT("数出表_Excel【15時】!A"&amp;ROW()+4+1&amp;""),INDIRECT("数出表_Excel【15時】!A"&amp;ROW()+4&amp;"")),"")</f>
        <v/>
      </c>
      <c r="D71" s="209" t="str">
        <f t="array" aca="1" ref="D71" ca="1">IF(B71&lt;&gt;"",
IFERROR(MATCH(TRUE,ISNUMBER(INDIRECT("数出表_Excel【15時】!B"&amp;(A71+4)&amp;":ZZ"&amp;(A71+4))),0)+1,""),"")</f>
        <v/>
      </c>
      <c r="E71" t="str">
        <f ca="1">IF(D71&lt;&gt;"",
OFFSET(数出表_Excel【15時】!$A$1,2,D71-1)
&amp;IFERROR(OFFSET(数出表_Excel【15時】!$A$1,3,D71-1),"")
&amp;IFERROR(OFFSET(数出表_Excel【15時】!$A$1,4,D71-1),""),"")</f>
        <v/>
      </c>
      <c r="F71" t="str">
        <f ca="1">IF(D71&lt;&gt;"",
OFFSET(数出表_Excel【15時】!$A$1,A71+3,D71-1),"")</f>
        <v/>
      </c>
      <c r="G71" t="str">
        <f ca="1">IF(D71&lt;&gt;"",
IF(AND(OFFSET(数出表_Excel【15時】!$A$1,A71+3,D71)&lt;&gt;"",OFFSET(数出表_Excel【15時】!$A$1,A71+3,D71)&lt;&gt;0),
OFFSET(数出表_Excel【15時】!$A$1,A71+3,D71),""),"")</f>
        <v/>
      </c>
      <c r="H71" s="209" t="str">
        <f t="array" aca="1" ref="H71" ca="1">IF(B71&lt;&gt;"",
IFERROR(MATCH(TRUE,ISNUMBER(INDIRECT("数出表_Excel【15時】!"&amp;SUBSTITUTE(ADDRESS(1,D71+2,4),"1","")&amp;(A71+4)&amp;":ZZ"&amp;(A71+4))),0)+D71+1,""),"")</f>
        <v/>
      </c>
      <c r="I71" t="str">
        <f ca="1">IF(H71&lt;&gt;"",
OFFSET(数出表_Excel【15時】!$A$1,2,H71-1)
&amp;IFERROR(OFFSET(数出表_Excel【15時】!$A$1,3,H71-1),"")
&amp;IFERROR(OFFSET(数出表_Excel【15時】!$A$1,4,H71-1),""),"")</f>
        <v/>
      </c>
      <c r="J71" t="str">
        <f ca="1">IF(H71&lt;&gt;"",
OFFSET(数出表_Excel【15時】!$A$1,A71+3,H71-1),"")</f>
        <v/>
      </c>
      <c r="K71" t="str">
        <f ca="1">IF(H71&lt;&gt;"",
IF(AND(OFFSET(数出表_Excel【15時】!$A$1,A71+3,H71)&lt;&gt;"",OFFSET(数出表_Excel【15時】!$A$1,A71+3,H71)&lt;&gt;0),
OFFSET(数出表_Excel【15時】!$A$1,A71+3,H71),""),"")</f>
        <v/>
      </c>
      <c r="L71" s="209" t="str">
        <f t="array" aca="1" ref="L71" ca="1">IF(B71&lt;&gt;"",
IFERROR(MATCH(TRUE,ISNUMBER(INDIRECT("数出表_Excel【15時】!"&amp;SUBSTITUTE(ADDRESS(1,H71+2,4),"1","")&amp;(A71+4)&amp;":ZZ"&amp;(A71+4))),0)+H71+1,""),"")</f>
        <v/>
      </c>
      <c r="M71" t="str">
        <f ca="1">IF(L71&lt;&gt;"",
OFFSET(数出表_Excel【15時】!$A$1,2,L71-1)
&amp;IFERROR(OFFSET(数出表_Excel【15時】!$A$1,3,L71-1),"")
&amp;IFERROR(OFFSET(数出表_Excel【15時】!$A$1,4,L71-1),""),"")</f>
        <v/>
      </c>
      <c r="N71" t="str">
        <f ca="1">IF(L71&lt;&gt;"",
OFFSET(数出表_Excel【15時】!$A$1,A71+3,L71-1),"")</f>
        <v/>
      </c>
      <c r="O71" t="str">
        <f ca="1">IF(L71&lt;&gt;"",
IF(AND(OFFSET(数出表_Excel【15時】!$A$1,A71+3,L71)&lt;&gt;"",OFFSET(数出表_Excel【15時】!$A$1,A71+3,L71)&lt;&gt;0),
OFFSET(数出表_Excel【15時】!$A$1,A71+3,L71),""),"")</f>
        <v/>
      </c>
      <c r="AH71" t="str">
        <f t="array" aca="1" ref="AH71" ca="1">IFERROR(SMALL(IF(O$1:O$307&lt;&gt;0,O$1:O$307),ROW(AH71)),"")</f>
        <v/>
      </c>
      <c r="AI71" t="str">
        <f t="array" aca="1" ref="AI71" ca="1">IF($T71&lt;&gt;"",
SUBSTITUTE(SUBSTITUTE(INDIRECT("B"&amp;$T71&amp;"")," 週3ｺｰｽ","")," 週5ｺｰｽ",""),"")</f>
        <v/>
      </c>
    </row>
    <row r="72" spans="1:35">
      <c r="A72" t="str">
        <f t="shared" ca="1" si="1"/>
        <v/>
      </c>
      <c r="B72" t="str">
        <f t="array" aca="1" ref="B72" ca="1">IF(OR(COUNTIF(数出表_Excel【15時】!AO76,"*修正*"),COUNTIF(数出表_Excel【15時】!AO77,"*修正*")),
IF(ISEVEN(ROW()+4),INDIRECT("数出表_Excel【15時】!A"&amp;ROW()+4&amp;""),INDIRECT("数出表_Excel【15時】!A"&amp;ROW()+4-1&amp;"")),"")</f>
        <v/>
      </c>
      <c r="C72" t="str">
        <f t="array" aca="1" ref="C72" ca="1">IF(OR(COUNTIF(数出表_Excel【15時】!AO76,"*修正*"),COUNTIF(数出表_Excel【15時】!AO77,"*修正*")),
IF(ISEVEN(ROW()+4),INDIRECT("数出表_Excel【15時】!A"&amp;ROW()+4+1&amp;""),INDIRECT("数出表_Excel【15時】!A"&amp;ROW()+4&amp;"")),"")</f>
        <v/>
      </c>
      <c r="D72" s="209" t="str">
        <f t="array" aca="1" ref="D72" ca="1">IF(B72&lt;&gt;"",
IFERROR(MATCH(TRUE,ISNUMBER(INDIRECT("数出表_Excel【15時】!B"&amp;(A72+4)&amp;":ZZ"&amp;(A72+4))),0)+1,""),"")</f>
        <v/>
      </c>
      <c r="E72" t="str">
        <f ca="1">IF(D72&lt;&gt;"",
OFFSET(数出表_Excel【15時】!$A$1,2,D72-1)
&amp;IFERROR(OFFSET(数出表_Excel【15時】!$A$1,3,D72-1),"")
&amp;IFERROR(OFFSET(数出表_Excel【15時】!$A$1,4,D72-1),""),"")</f>
        <v/>
      </c>
      <c r="F72" t="str">
        <f ca="1">IF(D72&lt;&gt;"",
OFFSET(数出表_Excel【15時】!$A$1,A72+3,D72-1),"")</f>
        <v/>
      </c>
      <c r="G72" t="str">
        <f ca="1">IF(D72&lt;&gt;"",
IF(AND(OFFSET(数出表_Excel【15時】!$A$1,A72+3,D72)&lt;&gt;"",OFFSET(数出表_Excel【15時】!$A$1,A72+3,D72)&lt;&gt;0),
OFFSET(数出表_Excel【15時】!$A$1,A72+3,D72),""),"")</f>
        <v/>
      </c>
      <c r="H72" s="209" t="str">
        <f t="array" aca="1" ref="H72" ca="1">IF(B72&lt;&gt;"",
IFERROR(MATCH(TRUE,ISNUMBER(INDIRECT("数出表_Excel【15時】!"&amp;SUBSTITUTE(ADDRESS(1,D72+2,4),"1","")&amp;(A72+4)&amp;":ZZ"&amp;(A72+4))),0)+D72+1,""),"")</f>
        <v/>
      </c>
      <c r="I72" t="str">
        <f ca="1">IF(H72&lt;&gt;"",
OFFSET(数出表_Excel【15時】!$A$1,2,H72-1)
&amp;IFERROR(OFFSET(数出表_Excel【15時】!$A$1,3,H72-1),"")
&amp;IFERROR(OFFSET(数出表_Excel【15時】!$A$1,4,H72-1),""),"")</f>
        <v/>
      </c>
      <c r="J72" t="str">
        <f ca="1">IF(H72&lt;&gt;"",
OFFSET(数出表_Excel【15時】!$A$1,A72+3,H72-1),"")</f>
        <v/>
      </c>
      <c r="K72" t="str">
        <f ca="1">IF(H72&lt;&gt;"",
IF(AND(OFFSET(数出表_Excel【15時】!$A$1,A72+3,H72)&lt;&gt;"",OFFSET(数出表_Excel【15時】!$A$1,A72+3,H72)&lt;&gt;0),
OFFSET(数出表_Excel【15時】!$A$1,A72+3,H72),""),"")</f>
        <v/>
      </c>
      <c r="L72" s="209" t="str">
        <f t="array" aca="1" ref="L72" ca="1">IF(B72&lt;&gt;"",
IFERROR(MATCH(TRUE,ISNUMBER(INDIRECT("数出表_Excel【15時】!"&amp;SUBSTITUTE(ADDRESS(1,H72+2,4),"1","")&amp;(A72+4)&amp;":ZZ"&amp;(A72+4))),0)+H72+1,""),"")</f>
        <v/>
      </c>
      <c r="M72" t="str">
        <f ca="1">IF(L72&lt;&gt;"",
OFFSET(数出表_Excel【15時】!$A$1,2,L72-1)
&amp;IFERROR(OFFSET(数出表_Excel【15時】!$A$1,3,L72-1),"")
&amp;IFERROR(OFFSET(数出表_Excel【15時】!$A$1,4,L72-1),""),"")</f>
        <v/>
      </c>
      <c r="N72" t="str">
        <f ca="1">IF(L72&lt;&gt;"",
OFFSET(数出表_Excel【15時】!$A$1,A72+3,L72-1),"")</f>
        <v/>
      </c>
      <c r="O72" t="str">
        <f ca="1">IF(L72&lt;&gt;"",
IF(AND(OFFSET(数出表_Excel【15時】!$A$1,A72+3,L72)&lt;&gt;"",OFFSET(数出表_Excel【15時】!$A$1,A72+3,L72)&lt;&gt;0),
OFFSET(数出表_Excel【15時】!$A$1,A72+3,L72),""),"")</f>
        <v/>
      </c>
      <c r="Q72" t="str">
        <f ca="1">IF(C72&lt;&gt;"",
IF(E72&lt;&gt;"",1,0)+IF(I72&lt;&gt;"",1,0)+IF(M72&lt;&gt;"",1,0),"")</f>
        <v/>
      </c>
      <c r="AH72" t="str">
        <f t="array" aca="1" ref="AH72" ca="1">IFERROR(SMALL(IF(O$1:O$307&lt;&gt;0,O$1:O$307),ROW(AH72)),"")</f>
        <v/>
      </c>
      <c r="AI72" t="str">
        <f t="array" aca="1" ref="AI72" ca="1">IF($T72&lt;&gt;"",
SUBSTITUTE(SUBSTITUTE(INDIRECT("B"&amp;$T72&amp;"")," 週3ｺｰｽ","")," 週5ｺｰｽ",""),"")</f>
        <v/>
      </c>
    </row>
    <row r="73" spans="1:35">
      <c r="A73" t="str">
        <f t="shared" ca="1" si="1"/>
        <v/>
      </c>
      <c r="B73" t="str">
        <f t="array" aca="1" ref="B73" ca="1">IF(OR(COUNTIF(数出表_Excel【15時】!AO76,"*修正*"),COUNTIF(数出表_Excel【15時】!AO77,"*修正*")),
IF(ISEVEN(ROW()+4),INDIRECT("数出表_Excel【15時】!A"&amp;ROW()+4&amp;""),INDIRECT("数出表_Excel【15時】!A"&amp;ROW()+4-1&amp;"")),"")</f>
        <v/>
      </c>
      <c r="C73" t="str">
        <f t="array" aca="1" ref="C73" ca="1">IF(OR(COUNTIF(数出表_Excel【15時】!AO76,"*修正*"),COUNTIF(数出表_Excel【15時】!AO77,"*修正*")),
IF(ISEVEN(ROW()+4),INDIRECT("数出表_Excel【15時】!A"&amp;ROW()+4+1&amp;""),INDIRECT("数出表_Excel【15時】!A"&amp;ROW()+4&amp;"")),"")</f>
        <v/>
      </c>
      <c r="D73" s="209" t="str">
        <f t="array" aca="1" ref="D73" ca="1">IF(B73&lt;&gt;"",
IFERROR(MATCH(TRUE,ISNUMBER(INDIRECT("数出表_Excel【15時】!B"&amp;(A73+4)&amp;":ZZ"&amp;(A73+4))),0)+1,""),"")</f>
        <v/>
      </c>
      <c r="E73" t="str">
        <f ca="1">IF(D73&lt;&gt;"",
OFFSET(数出表_Excel【15時】!$A$1,2,D73-1)
&amp;IFERROR(OFFSET(数出表_Excel【15時】!$A$1,3,D73-1),"")
&amp;IFERROR(OFFSET(数出表_Excel【15時】!$A$1,4,D73-1),""),"")</f>
        <v/>
      </c>
      <c r="F73" t="str">
        <f ca="1">IF(D73&lt;&gt;"",
OFFSET(数出表_Excel【15時】!$A$1,A73+3,D73-1),"")</f>
        <v/>
      </c>
      <c r="G73" t="str">
        <f ca="1">IF(D73&lt;&gt;"",
IF(AND(OFFSET(数出表_Excel【15時】!$A$1,A73+3,D73)&lt;&gt;"",OFFSET(数出表_Excel【15時】!$A$1,A73+3,D73)&lt;&gt;0),
OFFSET(数出表_Excel【15時】!$A$1,A73+3,D73),""),"")</f>
        <v/>
      </c>
      <c r="H73" s="209" t="str">
        <f t="array" aca="1" ref="H73" ca="1">IF(B73&lt;&gt;"",
IFERROR(MATCH(TRUE,ISNUMBER(INDIRECT("数出表_Excel【15時】!"&amp;SUBSTITUTE(ADDRESS(1,D73+2,4),"1","")&amp;(A73+4)&amp;":ZZ"&amp;(A73+4))),0)+D73+1,""),"")</f>
        <v/>
      </c>
      <c r="I73" t="str">
        <f ca="1">IF(H73&lt;&gt;"",
OFFSET(数出表_Excel【15時】!$A$1,2,H73-1)
&amp;IFERROR(OFFSET(数出表_Excel【15時】!$A$1,3,H73-1),"")
&amp;IFERROR(OFFSET(数出表_Excel【15時】!$A$1,4,H73-1),""),"")</f>
        <v/>
      </c>
      <c r="J73" t="str">
        <f ca="1">IF(H73&lt;&gt;"",
OFFSET(数出表_Excel【15時】!$A$1,A73+3,H73-1),"")</f>
        <v/>
      </c>
      <c r="K73" t="str">
        <f ca="1">IF(H73&lt;&gt;"",
IF(AND(OFFSET(数出表_Excel【15時】!$A$1,A73+3,H73)&lt;&gt;"",OFFSET(数出表_Excel【15時】!$A$1,A73+3,H73)&lt;&gt;0),
OFFSET(数出表_Excel【15時】!$A$1,A73+3,H73),""),"")</f>
        <v/>
      </c>
      <c r="L73" s="209" t="str">
        <f t="array" aca="1" ref="L73" ca="1">IF(B73&lt;&gt;"",
IFERROR(MATCH(TRUE,ISNUMBER(INDIRECT("数出表_Excel【15時】!"&amp;SUBSTITUTE(ADDRESS(1,H73+2,4),"1","")&amp;(A73+4)&amp;":ZZ"&amp;(A73+4))),0)+H73+1,""),"")</f>
        <v/>
      </c>
      <c r="M73" t="str">
        <f ca="1">IF(L73&lt;&gt;"",
OFFSET(数出表_Excel【15時】!$A$1,2,L73-1)
&amp;IFERROR(OFFSET(数出表_Excel【15時】!$A$1,3,L73-1),"")
&amp;IFERROR(OFFSET(数出表_Excel【15時】!$A$1,4,L73-1),""),"")</f>
        <v/>
      </c>
      <c r="N73" t="str">
        <f ca="1">IF(L73&lt;&gt;"",
OFFSET(数出表_Excel【15時】!$A$1,A73+3,L73-1),"")</f>
        <v/>
      </c>
      <c r="O73" t="str">
        <f ca="1">IF(L73&lt;&gt;"",
IF(AND(OFFSET(数出表_Excel【15時】!$A$1,A73+3,L73)&lt;&gt;"",OFFSET(数出表_Excel【15時】!$A$1,A73+3,L73)&lt;&gt;0),
OFFSET(数出表_Excel【15時】!$A$1,A73+3,L73),""),"")</f>
        <v/>
      </c>
      <c r="AH73" t="str">
        <f t="array" aca="1" ref="AH73" ca="1">IFERROR(SMALL(IF(O$1:O$307&lt;&gt;0,O$1:O$307),ROW(AH73)),"")</f>
        <v/>
      </c>
      <c r="AI73" t="str">
        <f t="array" aca="1" ref="AI73" ca="1">IF($T73&lt;&gt;"",
SUBSTITUTE(SUBSTITUTE(INDIRECT("B"&amp;$T73&amp;"")," 週3ｺｰｽ","")," 週5ｺｰｽ",""),"")</f>
        <v/>
      </c>
    </row>
    <row r="74" spans="1:35">
      <c r="A74" t="str">
        <f t="shared" ca="1" si="1"/>
        <v/>
      </c>
      <c r="B74" t="str">
        <f t="array" aca="1" ref="B74" ca="1">IF(OR(COUNTIF(数出表_Excel【15時】!AO78,"*修正*"),COUNTIF(数出表_Excel【15時】!AO79,"*修正*")),
IF(ISEVEN(ROW()+4),INDIRECT("数出表_Excel【15時】!A"&amp;ROW()+4&amp;""),INDIRECT("数出表_Excel【15時】!A"&amp;ROW()+4-1&amp;"")),"")</f>
        <v/>
      </c>
      <c r="C74" t="str">
        <f t="array" aca="1" ref="C74" ca="1">IF(OR(COUNTIF(数出表_Excel【15時】!AO78,"*修正*"),COUNTIF(数出表_Excel【15時】!AO79,"*修正*")),
IF(ISEVEN(ROW()+4),INDIRECT("数出表_Excel【15時】!A"&amp;ROW()+4+1&amp;""),INDIRECT("数出表_Excel【15時】!A"&amp;ROW()+4&amp;"")),"")</f>
        <v/>
      </c>
      <c r="D74" s="209" t="str">
        <f t="array" aca="1" ref="D74" ca="1">IF(B74&lt;&gt;"",
IFERROR(MATCH(TRUE,ISNUMBER(INDIRECT("数出表_Excel【15時】!B"&amp;(A74+4)&amp;":ZZ"&amp;(A74+4))),0)+1,""),"")</f>
        <v/>
      </c>
      <c r="E74" t="str">
        <f ca="1">IF(D74&lt;&gt;"",
OFFSET(数出表_Excel【15時】!$A$1,2,D74-1)
&amp;IFERROR(OFFSET(数出表_Excel【15時】!$A$1,3,D74-1),"")
&amp;IFERROR(OFFSET(数出表_Excel【15時】!$A$1,4,D74-1),""),"")</f>
        <v/>
      </c>
      <c r="F74" t="str">
        <f ca="1">IF(D74&lt;&gt;"",
OFFSET(数出表_Excel【15時】!$A$1,A74+3,D74-1),"")</f>
        <v/>
      </c>
      <c r="G74" t="str">
        <f ca="1">IF(D74&lt;&gt;"",
IF(AND(OFFSET(数出表_Excel【15時】!$A$1,A74+3,D74)&lt;&gt;"",OFFSET(数出表_Excel【15時】!$A$1,A74+3,D74)&lt;&gt;0),
OFFSET(数出表_Excel【15時】!$A$1,A74+3,D74),""),"")</f>
        <v/>
      </c>
      <c r="H74" s="209" t="str">
        <f t="array" aca="1" ref="H74" ca="1">IF(B74&lt;&gt;"",
IFERROR(MATCH(TRUE,ISNUMBER(INDIRECT("数出表_Excel【15時】!"&amp;SUBSTITUTE(ADDRESS(1,D74+2,4),"1","")&amp;(A74+4)&amp;":ZZ"&amp;(A74+4))),0)+D74+1,""),"")</f>
        <v/>
      </c>
      <c r="I74" t="str">
        <f ca="1">IF(H74&lt;&gt;"",
OFFSET(数出表_Excel【15時】!$A$1,2,H74-1)
&amp;IFERROR(OFFSET(数出表_Excel【15時】!$A$1,3,H74-1),"")
&amp;IFERROR(OFFSET(数出表_Excel【15時】!$A$1,4,H74-1),""),"")</f>
        <v/>
      </c>
      <c r="J74" t="str">
        <f ca="1">IF(H74&lt;&gt;"",
OFFSET(数出表_Excel【15時】!$A$1,A74+3,H74-1),"")</f>
        <v/>
      </c>
      <c r="K74" t="str">
        <f ca="1">IF(H74&lt;&gt;"",
IF(AND(OFFSET(数出表_Excel【15時】!$A$1,A74+3,H74)&lt;&gt;"",OFFSET(数出表_Excel【15時】!$A$1,A74+3,H74)&lt;&gt;0),
OFFSET(数出表_Excel【15時】!$A$1,A74+3,H74),""),"")</f>
        <v/>
      </c>
      <c r="L74" s="209" t="str">
        <f t="array" aca="1" ref="L74" ca="1">IF(B74&lt;&gt;"",
IFERROR(MATCH(TRUE,ISNUMBER(INDIRECT("数出表_Excel【15時】!"&amp;SUBSTITUTE(ADDRESS(1,H74+2,4),"1","")&amp;(A74+4)&amp;":ZZ"&amp;(A74+4))),0)+H74+1,""),"")</f>
        <v/>
      </c>
      <c r="M74" t="str">
        <f ca="1">IF(L74&lt;&gt;"",
OFFSET(数出表_Excel【15時】!$A$1,2,L74-1)
&amp;IFERROR(OFFSET(数出表_Excel【15時】!$A$1,3,L74-1),"")
&amp;IFERROR(OFFSET(数出表_Excel【15時】!$A$1,4,L74-1),""),"")</f>
        <v/>
      </c>
      <c r="N74" t="str">
        <f ca="1">IF(L74&lt;&gt;"",
OFFSET(数出表_Excel【15時】!$A$1,A74+3,L74-1),"")</f>
        <v/>
      </c>
      <c r="O74" t="str">
        <f ca="1">IF(L74&lt;&gt;"",
IF(AND(OFFSET(数出表_Excel【15時】!$A$1,A74+3,L74)&lt;&gt;"",OFFSET(数出表_Excel【15時】!$A$1,A74+3,L74)&lt;&gt;0),
OFFSET(数出表_Excel【15時】!$A$1,A74+3,L74),""),"")</f>
        <v/>
      </c>
      <c r="Q74" t="str">
        <f ca="1">IF(C74&lt;&gt;"",
IF(E74&lt;&gt;"",1,0)+IF(I74&lt;&gt;"",1,0)+IF(M74&lt;&gt;"",1,0),"")</f>
        <v/>
      </c>
      <c r="AH74" t="str">
        <f t="array" aca="1" ref="AH74" ca="1">IFERROR(SMALL(IF(O$1:O$307&lt;&gt;0,O$1:O$307),ROW(AH74)),"")</f>
        <v/>
      </c>
      <c r="AI74" t="str">
        <f t="array" aca="1" ref="AI74" ca="1">IF($T74&lt;&gt;"",
SUBSTITUTE(SUBSTITUTE(INDIRECT("B"&amp;$T74&amp;"")," 週3ｺｰｽ","")," 週5ｺｰｽ",""),"")</f>
        <v/>
      </c>
    </row>
    <row r="75" spans="1:35">
      <c r="A75" t="str">
        <f t="shared" ca="1" si="1"/>
        <v/>
      </c>
      <c r="B75" t="str">
        <f t="array" aca="1" ref="B75" ca="1">IF(OR(COUNTIF(数出表_Excel【15時】!AO78,"*修正*"),COUNTIF(数出表_Excel【15時】!AO79,"*修正*")),
IF(ISEVEN(ROW()+4),INDIRECT("数出表_Excel【15時】!A"&amp;ROW()+4&amp;""),INDIRECT("数出表_Excel【15時】!A"&amp;ROW()+4-1&amp;"")),"")</f>
        <v/>
      </c>
      <c r="C75" t="str">
        <f t="array" aca="1" ref="C75" ca="1">IF(OR(COUNTIF(数出表_Excel【15時】!AO78,"*修正*"),COUNTIF(数出表_Excel【15時】!AO79,"*修正*")),
IF(ISEVEN(ROW()+4),INDIRECT("数出表_Excel【15時】!A"&amp;ROW()+4+1&amp;""),INDIRECT("数出表_Excel【15時】!A"&amp;ROW()+4&amp;"")),"")</f>
        <v/>
      </c>
      <c r="D75" s="209" t="str">
        <f t="array" aca="1" ref="D75" ca="1">IF(B75&lt;&gt;"",
IFERROR(MATCH(TRUE,ISNUMBER(INDIRECT("数出表_Excel【15時】!B"&amp;(A75+4)&amp;":ZZ"&amp;(A75+4))),0)+1,""),"")</f>
        <v/>
      </c>
      <c r="E75" t="str">
        <f ca="1">IF(D75&lt;&gt;"",
OFFSET(数出表_Excel【15時】!$A$1,2,D75-1)
&amp;IFERROR(OFFSET(数出表_Excel【15時】!$A$1,3,D75-1),"")
&amp;IFERROR(OFFSET(数出表_Excel【15時】!$A$1,4,D75-1),""),"")</f>
        <v/>
      </c>
      <c r="F75" t="str">
        <f ca="1">IF(D75&lt;&gt;"",
OFFSET(数出表_Excel【15時】!$A$1,A75+3,D75-1),"")</f>
        <v/>
      </c>
      <c r="G75" t="str">
        <f ca="1">IF(D75&lt;&gt;"",
IF(AND(OFFSET(数出表_Excel【15時】!$A$1,A75+3,D75)&lt;&gt;"",OFFSET(数出表_Excel【15時】!$A$1,A75+3,D75)&lt;&gt;0),
OFFSET(数出表_Excel【15時】!$A$1,A75+3,D75),""),"")</f>
        <v/>
      </c>
      <c r="H75" s="209" t="str">
        <f t="array" aca="1" ref="H75" ca="1">IF(B75&lt;&gt;"",
IFERROR(MATCH(TRUE,ISNUMBER(INDIRECT("数出表_Excel【15時】!"&amp;SUBSTITUTE(ADDRESS(1,D75+2,4),"1","")&amp;(A75+4)&amp;":ZZ"&amp;(A75+4))),0)+D75+1,""),"")</f>
        <v/>
      </c>
      <c r="I75" t="str">
        <f ca="1">IF(H75&lt;&gt;"",
OFFSET(数出表_Excel【15時】!$A$1,2,H75-1)
&amp;IFERROR(OFFSET(数出表_Excel【15時】!$A$1,3,H75-1),"")
&amp;IFERROR(OFFSET(数出表_Excel【15時】!$A$1,4,H75-1),""),"")</f>
        <v/>
      </c>
      <c r="J75" t="str">
        <f ca="1">IF(H75&lt;&gt;"",
OFFSET(数出表_Excel【15時】!$A$1,A75+3,H75-1),"")</f>
        <v/>
      </c>
      <c r="K75" t="str">
        <f ca="1">IF(H75&lt;&gt;"",
IF(AND(OFFSET(数出表_Excel【15時】!$A$1,A75+3,H75)&lt;&gt;"",OFFSET(数出表_Excel【15時】!$A$1,A75+3,H75)&lt;&gt;0),
OFFSET(数出表_Excel【15時】!$A$1,A75+3,H75),""),"")</f>
        <v/>
      </c>
      <c r="L75" s="209" t="str">
        <f t="array" aca="1" ref="L75" ca="1">IF(B75&lt;&gt;"",
IFERROR(MATCH(TRUE,ISNUMBER(INDIRECT("数出表_Excel【15時】!"&amp;SUBSTITUTE(ADDRESS(1,H75+2,4),"1","")&amp;(A75+4)&amp;":ZZ"&amp;(A75+4))),0)+H75+1,""),"")</f>
        <v/>
      </c>
      <c r="M75" t="str">
        <f ca="1">IF(L75&lt;&gt;"",
OFFSET(数出表_Excel【15時】!$A$1,2,L75-1)
&amp;IFERROR(OFFSET(数出表_Excel【15時】!$A$1,3,L75-1),"")
&amp;IFERROR(OFFSET(数出表_Excel【15時】!$A$1,4,L75-1),""),"")</f>
        <v/>
      </c>
      <c r="N75" t="str">
        <f ca="1">IF(L75&lt;&gt;"",
OFFSET(数出表_Excel【15時】!$A$1,A75+3,L75-1),"")</f>
        <v/>
      </c>
      <c r="O75" t="str">
        <f ca="1">IF(L75&lt;&gt;"",
IF(AND(OFFSET(数出表_Excel【15時】!$A$1,A75+3,L75)&lt;&gt;"",OFFSET(数出表_Excel【15時】!$A$1,A75+3,L75)&lt;&gt;0),
OFFSET(数出表_Excel【15時】!$A$1,A75+3,L75),""),"")</f>
        <v/>
      </c>
      <c r="AH75" t="str">
        <f t="array" aca="1" ref="AH75" ca="1">IFERROR(SMALL(IF(O$1:O$307&lt;&gt;0,O$1:O$307),ROW(AH75)),"")</f>
        <v/>
      </c>
      <c r="AI75" t="str">
        <f t="array" aca="1" ref="AI75" ca="1">IF($T75&lt;&gt;"",
SUBSTITUTE(SUBSTITUTE(INDIRECT("B"&amp;$T75&amp;"")," 週3ｺｰｽ","")," 週5ｺｰｽ",""),"")</f>
        <v/>
      </c>
    </row>
    <row r="76" spans="1:35">
      <c r="A76" t="str">
        <f t="shared" ca="1" si="1"/>
        <v/>
      </c>
      <c r="B76" t="str">
        <f t="array" aca="1" ref="B76" ca="1">IF(OR(COUNTIF(数出表_Excel【15時】!AO80,"*修正*"),COUNTIF(数出表_Excel【15時】!AO81,"*修正*")),
IF(ISEVEN(ROW()+4),INDIRECT("数出表_Excel【15時】!A"&amp;ROW()+4&amp;""),INDIRECT("数出表_Excel【15時】!A"&amp;ROW()+4-1&amp;"")),"")</f>
        <v/>
      </c>
      <c r="C76" t="str">
        <f t="array" aca="1" ref="C76" ca="1">IF(OR(COUNTIF(数出表_Excel【15時】!AO80,"*修正*"),COUNTIF(数出表_Excel【15時】!AO81,"*修正*")),
IF(ISEVEN(ROW()+4),INDIRECT("数出表_Excel【15時】!A"&amp;ROW()+4+1&amp;""),INDIRECT("数出表_Excel【15時】!A"&amp;ROW()+4&amp;"")),"")</f>
        <v/>
      </c>
      <c r="D76" s="209" t="str">
        <f t="array" aca="1" ref="D76" ca="1">IF(B76&lt;&gt;"",
IFERROR(MATCH(TRUE,ISNUMBER(INDIRECT("数出表_Excel【15時】!B"&amp;(A76+4)&amp;":ZZ"&amp;(A76+4))),0)+1,""),"")</f>
        <v/>
      </c>
      <c r="E76" t="str">
        <f ca="1">IF(D76&lt;&gt;"",
OFFSET(数出表_Excel【15時】!$A$1,2,D76-1)
&amp;IFERROR(OFFSET(数出表_Excel【15時】!$A$1,3,D76-1),"")
&amp;IFERROR(OFFSET(数出表_Excel【15時】!$A$1,4,D76-1),""),"")</f>
        <v/>
      </c>
      <c r="F76" t="str">
        <f ca="1">IF(D76&lt;&gt;"",
OFFSET(数出表_Excel【15時】!$A$1,A76+3,D76-1),"")</f>
        <v/>
      </c>
      <c r="G76" t="str">
        <f ca="1">IF(D76&lt;&gt;"",
IF(AND(OFFSET(数出表_Excel【15時】!$A$1,A76+3,D76)&lt;&gt;"",OFFSET(数出表_Excel【15時】!$A$1,A76+3,D76)&lt;&gt;0),
OFFSET(数出表_Excel【15時】!$A$1,A76+3,D76),""),"")</f>
        <v/>
      </c>
      <c r="H76" s="209" t="str">
        <f t="array" aca="1" ref="H76" ca="1">IF(B76&lt;&gt;"",
IFERROR(MATCH(TRUE,ISNUMBER(INDIRECT("数出表_Excel【15時】!"&amp;SUBSTITUTE(ADDRESS(1,D76+2,4),"1","")&amp;(A76+4)&amp;":ZZ"&amp;(A76+4))),0)+D76+1,""),"")</f>
        <v/>
      </c>
      <c r="I76" t="str">
        <f ca="1">IF(H76&lt;&gt;"",
OFFSET(数出表_Excel【15時】!$A$1,2,H76-1)
&amp;IFERROR(OFFSET(数出表_Excel【15時】!$A$1,3,H76-1),"")
&amp;IFERROR(OFFSET(数出表_Excel【15時】!$A$1,4,H76-1),""),"")</f>
        <v/>
      </c>
      <c r="J76" t="str">
        <f ca="1">IF(H76&lt;&gt;"",
OFFSET(数出表_Excel【15時】!$A$1,A76+3,H76-1),"")</f>
        <v/>
      </c>
      <c r="K76" t="str">
        <f ca="1">IF(H76&lt;&gt;"",
IF(AND(OFFSET(数出表_Excel【15時】!$A$1,A76+3,H76)&lt;&gt;"",OFFSET(数出表_Excel【15時】!$A$1,A76+3,H76)&lt;&gt;0),
OFFSET(数出表_Excel【15時】!$A$1,A76+3,H76),""),"")</f>
        <v/>
      </c>
      <c r="L76" s="209" t="str">
        <f t="array" aca="1" ref="L76" ca="1">IF(B76&lt;&gt;"",
IFERROR(MATCH(TRUE,ISNUMBER(INDIRECT("数出表_Excel【15時】!"&amp;SUBSTITUTE(ADDRESS(1,H76+2,4),"1","")&amp;(A76+4)&amp;":ZZ"&amp;(A76+4))),0)+H76+1,""),"")</f>
        <v/>
      </c>
      <c r="M76" t="str">
        <f ca="1">IF(L76&lt;&gt;"",
OFFSET(数出表_Excel【15時】!$A$1,2,L76-1)
&amp;IFERROR(OFFSET(数出表_Excel【15時】!$A$1,3,L76-1),"")
&amp;IFERROR(OFFSET(数出表_Excel【15時】!$A$1,4,L76-1),""),"")</f>
        <v/>
      </c>
      <c r="N76" t="str">
        <f ca="1">IF(L76&lt;&gt;"",
OFFSET(数出表_Excel【15時】!$A$1,A76+3,L76-1),"")</f>
        <v/>
      </c>
      <c r="O76" t="str">
        <f ca="1">IF(L76&lt;&gt;"",
IF(AND(OFFSET(数出表_Excel【15時】!$A$1,A76+3,L76)&lt;&gt;"",OFFSET(数出表_Excel【15時】!$A$1,A76+3,L76)&lt;&gt;0),
OFFSET(数出表_Excel【15時】!$A$1,A76+3,L76),""),"")</f>
        <v/>
      </c>
      <c r="Q76" t="str">
        <f ca="1">IF(C76&lt;&gt;"",
IF(E76&lt;&gt;"",1,0)+IF(I76&lt;&gt;"",1,0)+IF(M76&lt;&gt;"",1,0),"")</f>
        <v/>
      </c>
      <c r="AH76" t="str">
        <f t="array" aca="1" ref="AH76" ca="1">IFERROR(SMALL(IF(O$1:O$307&lt;&gt;0,O$1:O$307),ROW(AH76)),"")</f>
        <v/>
      </c>
      <c r="AI76" t="str">
        <f t="array" aca="1" ref="AI76" ca="1">IF($T76&lt;&gt;"",
SUBSTITUTE(SUBSTITUTE(INDIRECT("B"&amp;$T76&amp;"")," 週3ｺｰｽ","")," 週5ｺｰｽ",""),"")</f>
        <v/>
      </c>
    </row>
    <row r="77" spans="1:35">
      <c r="A77" t="str">
        <f t="shared" ca="1" si="1"/>
        <v/>
      </c>
      <c r="B77" t="str">
        <f t="array" aca="1" ref="B77" ca="1">IF(OR(COUNTIF(数出表_Excel【15時】!AO80,"*修正*"),COUNTIF(数出表_Excel【15時】!AO81,"*修正*")),
IF(ISEVEN(ROW()+4),INDIRECT("数出表_Excel【15時】!A"&amp;ROW()+4&amp;""),INDIRECT("数出表_Excel【15時】!A"&amp;ROW()+4-1&amp;"")),"")</f>
        <v/>
      </c>
      <c r="C77" t="str">
        <f t="array" aca="1" ref="C77" ca="1">IF(OR(COUNTIF(数出表_Excel【15時】!AO80,"*修正*"),COUNTIF(数出表_Excel【15時】!AO81,"*修正*")),
IF(ISEVEN(ROW()+4),INDIRECT("数出表_Excel【15時】!A"&amp;ROW()+4+1&amp;""),INDIRECT("数出表_Excel【15時】!A"&amp;ROW()+4&amp;"")),"")</f>
        <v/>
      </c>
      <c r="D77" s="209" t="str">
        <f t="array" aca="1" ref="D77" ca="1">IF(B77&lt;&gt;"",
IFERROR(MATCH(TRUE,ISNUMBER(INDIRECT("数出表_Excel【15時】!B"&amp;(A77+4)&amp;":ZZ"&amp;(A77+4))),0)+1,""),"")</f>
        <v/>
      </c>
      <c r="E77" t="str">
        <f ca="1">IF(D77&lt;&gt;"",
OFFSET(数出表_Excel【15時】!$A$1,2,D77-1)
&amp;IFERROR(OFFSET(数出表_Excel【15時】!$A$1,3,D77-1),"")
&amp;IFERROR(OFFSET(数出表_Excel【15時】!$A$1,4,D77-1),""),"")</f>
        <v/>
      </c>
      <c r="F77" t="str">
        <f ca="1">IF(D77&lt;&gt;"",
OFFSET(数出表_Excel【15時】!$A$1,A77+3,D77-1),"")</f>
        <v/>
      </c>
      <c r="G77" t="str">
        <f ca="1">IF(D77&lt;&gt;"",
IF(AND(OFFSET(数出表_Excel【15時】!$A$1,A77+3,D77)&lt;&gt;"",OFFSET(数出表_Excel【15時】!$A$1,A77+3,D77)&lt;&gt;0),
OFFSET(数出表_Excel【15時】!$A$1,A77+3,D77),""),"")</f>
        <v/>
      </c>
      <c r="H77" s="209" t="str">
        <f t="array" aca="1" ref="H77" ca="1">IF(B77&lt;&gt;"",
IFERROR(MATCH(TRUE,ISNUMBER(INDIRECT("数出表_Excel【15時】!"&amp;SUBSTITUTE(ADDRESS(1,D77+2,4),"1","")&amp;(A77+4)&amp;":ZZ"&amp;(A77+4))),0)+D77+1,""),"")</f>
        <v/>
      </c>
      <c r="I77" t="str">
        <f ca="1">IF(H77&lt;&gt;"",
OFFSET(数出表_Excel【15時】!$A$1,2,H77-1)
&amp;IFERROR(OFFSET(数出表_Excel【15時】!$A$1,3,H77-1),"")
&amp;IFERROR(OFFSET(数出表_Excel【15時】!$A$1,4,H77-1),""),"")</f>
        <v/>
      </c>
      <c r="J77" t="str">
        <f ca="1">IF(H77&lt;&gt;"",
OFFSET(数出表_Excel【15時】!$A$1,A77+3,H77-1),"")</f>
        <v/>
      </c>
      <c r="K77" t="str">
        <f ca="1">IF(H77&lt;&gt;"",
IF(AND(OFFSET(数出表_Excel【15時】!$A$1,A77+3,H77)&lt;&gt;"",OFFSET(数出表_Excel【15時】!$A$1,A77+3,H77)&lt;&gt;0),
OFFSET(数出表_Excel【15時】!$A$1,A77+3,H77),""),"")</f>
        <v/>
      </c>
      <c r="L77" s="209" t="str">
        <f t="array" aca="1" ref="L77" ca="1">IF(B77&lt;&gt;"",
IFERROR(MATCH(TRUE,ISNUMBER(INDIRECT("数出表_Excel【15時】!"&amp;SUBSTITUTE(ADDRESS(1,H77+2,4),"1","")&amp;(A77+4)&amp;":ZZ"&amp;(A77+4))),0)+H77+1,""),"")</f>
        <v/>
      </c>
      <c r="M77" t="str">
        <f ca="1">IF(L77&lt;&gt;"",
OFFSET(数出表_Excel【15時】!$A$1,2,L77-1)
&amp;IFERROR(OFFSET(数出表_Excel【15時】!$A$1,3,L77-1),"")
&amp;IFERROR(OFFSET(数出表_Excel【15時】!$A$1,4,L77-1),""),"")</f>
        <v/>
      </c>
      <c r="N77" t="str">
        <f ca="1">IF(L77&lt;&gt;"",
OFFSET(数出表_Excel【15時】!$A$1,A77+3,L77-1),"")</f>
        <v/>
      </c>
      <c r="O77" t="str">
        <f ca="1">IF(L77&lt;&gt;"",
IF(AND(OFFSET(数出表_Excel【15時】!$A$1,A77+3,L77)&lt;&gt;"",OFFSET(数出表_Excel【15時】!$A$1,A77+3,L77)&lt;&gt;0),
OFFSET(数出表_Excel【15時】!$A$1,A77+3,L77),""),"")</f>
        <v/>
      </c>
      <c r="AH77" t="str">
        <f t="array" aca="1" ref="AH77" ca="1">IFERROR(SMALL(IF(O$1:O$307&lt;&gt;0,O$1:O$307),ROW(AH77)),"")</f>
        <v/>
      </c>
      <c r="AI77" t="str">
        <f t="array" aca="1" ref="AI77" ca="1">IF($T77&lt;&gt;"",
SUBSTITUTE(SUBSTITUTE(INDIRECT("B"&amp;$T77&amp;"")," 週3ｺｰｽ","")," 週5ｺｰｽ",""),"")</f>
        <v/>
      </c>
    </row>
    <row r="78" spans="1:35">
      <c r="A78" t="str">
        <f t="shared" ca="1" si="1"/>
        <v/>
      </c>
      <c r="B78" t="str">
        <f t="array" aca="1" ref="B78" ca="1">IF(OR(COUNTIF(数出表_Excel【15時】!AO82,"*修正*"),COUNTIF(数出表_Excel【15時】!AO83,"*修正*")),
IF(ISEVEN(ROW()+4),INDIRECT("数出表_Excel【15時】!A"&amp;ROW()+4&amp;""),INDIRECT("数出表_Excel【15時】!A"&amp;ROW()+4-1&amp;"")),"")</f>
        <v/>
      </c>
      <c r="C78" t="str">
        <f t="array" aca="1" ref="C78" ca="1">IF(OR(COUNTIF(数出表_Excel【15時】!AO82,"*修正*"),COUNTIF(数出表_Excel【15時】!AO83,"*修正*")),
IF(ISEVEN(ROW()+4),INDIRECT("数出表_Excel【15時】!A"&amp;ROW()+4+1&amp;""),INDIRECT("数出表_Excel【15時】!A"&amp;ROW()+4&amp;"")),"")</f>
        <v/>
      </c>
      <c r="D78" s="209" t="str">
        <f t="array" aca="1" ref="D78" ca="1">IF(B78&lt;&gt;"",
IFERROR(MATCH(TRUE,ISNUMBER(INDIRECT("数出表_Excel【15時】!B"&amp;(A78+4)&amp;":ZZ"&amp;(A78+4))),0)+1,""),"")</f>
        <v/>
      </c>
      <c r="E78" t="str">
        <f ca="1">IF(D78&lt;&gt;"",
OFFSET(数出表_Excel【15時】!$A$1,2,D78-1)
&amp;IFERROR(OFFSET(数出表_Excel【15時】!$A$1,3,D78-1),"")
&amp;IFERROR(OFFSET(数出表_Excel【15時】!$A$1,4,D78-1),""),"")</f>
        <v/>
      </c>
      <c r="F78" t="str">
        <f ca="1">IF(D78&lt;&gt;"",
OFFSET(数出表_Excel【15時】!$A$1,A78+3,D78-1),"")</f>
        <v/>
      </c>
      <c r="G78" t="str">
        <f ca="1">IF(D78&lt;&gt;"",
IF(AND(OFFSET(数出表_Excel【15時】!$A$1,A78+3,D78)&lt;&gt;"",OFFSET(数出表_Excel【15時】!$A$1,A78+3,D78)&lt;&gt;0),
OFFSET(数出表_Excel【15時】!$A$1,A78+3,D78),""),"")</f>
        <v/>
      </c>
      <c r="H78" s="209" t="str">
        <f t="array" aca="1" ref="H78" ca="1">IF(B78&lt;&gt;"",
IFERROR(MATCH(TRUE,ISNUMBER(INDIRECT("数出表_Excel【15時】!"&amp;SUBSTITUTE(ADDRESS(1,D78+2,4),"1","")&amp;(A78+4)&amp;":ZZ"&amp;(A78+4))),0)+D78+1,""),"")</f>
        <v/>
      </c>
      <c r="I78" t="str">
        <f ca="1">IF(H78&lt;&gt;"",
OFFSET(数出表_Excel【15時】!$A$1,2,H78-1)
&amp;IFERROR(OFFSET(数出表_Excel【15時】!$A$1,3,H78-1),"")
&amp;IFERROR(OFFSET(数出表_Excel【15時】!$A$1,4,H78-1),""),"")</f>
        <v/>
      </c>
      <c r="J78" t="str">
        <f ca="1">IF(H78&lt;&gt;"",
OFFSET(数出表_Excel【15時】!$A$1,A78+3,H78-1),"")</f>
        <v/>
      </c>
      <c r="K78" t="str">
        <f ca="1">IF(H78&lt;&gt;"",
IF(AND(OFFSET(数出表_Excel【15時】!$A$1,A78+3,H78)&lt;&gt;"",OFFSET(数出表_Excel【15時】!$A$1,A78+3,H78)&lt;&gt;0),
OFFSET(数出表_Excel【15時】!$A$1,A78+3,H78),""),"")</f>
        <v/>
      </c>
      <c r="L78" s="209" t="str">
        <f t="array" aca="1" ref="L78" ca="1">IF(B78&lt;&gt;"",
IFERROR(MATCH(TRUE,ISNUMBER(INDIRECT("数出表_Excel【15時】!"&amp;SUBSTITUTE(ADDRESS(1,H78+2,4),"1","")&amp;(A78+4)&amp;":ZZ"&amp;(A78+4))),0)+H78+1,""),"")</f>
        <v/>
      </c>
      <c r="M78" t="str">
        <f ca="1">IF(L78&lt;&gt;"",
OFFSET(数出表_Excel【15時】!$A$1,2,L78-1)
&amp;IFERROR(OFFSET(数出表_Excel【15時】!$A$1,3,L78-1),"")
&amp;IFERROR(OFFSET(数出表_Excel【15時】!$A$1,4,L78-1),""),"")</f>
        <v/>
      </c>
      <c r="N78" t="str">
        <f ca="1">IF(L78&lt;&gt;"",
OFFSET(数出表_Excel【15時】!$A$1,A78+3,L78-1),"")</f>
        <v/>
      </c>
      <c r="O78" t="str">
        <f ca="1">IF(L78&lt;&gt;"",
IF(AND(OFFSET(数出表_Excel【15時】!$A$1,A78+3,L78)&lt;&gt;"",OFFSET(数出表_Excel【15時】!$A$1,A78+3,L78)&lt;&gt;0),
OFFSET(数出表_Excel【15時】!$A$1,A78+3,L78),""),"")</f>
        <v/>
      </c>
      <c r="Q78" t="str">
        <f ca="1">IF(C78&lt;&gt;"",
IF(E78&lt;&gt;"",1,0)+IF(I78&lt;&gt;"",1,0)+IF(M78&lt;&gt;"",1,0),"")</f>
        <v/>
      </c>
      <c r="AH78" t="str">
        <f t="array" aca="1" ref="AH78" ca="1">IFERROR(SMALL(IF(O$1:O$307&lt;&gt;0,O$1:O$307),ROW(AH78)),"")</f>
        <v/>
      </c>
      <c r="AI78" t="str">
        <f t="array" aca="1" ref="AI78" ca="1">IF($T78&lt;&gt;"",
SUBSTITUTE(SUBSTITUTE(INDIRECT("B"&amp;$T78&amp;"")," 週3ｺｰｽ","")," 週5ｺｰｽ",""),"")</f>
        <v/>
      </c>
    </row>
    <row r="79" spans="1:35">
      <c r="A79" t="str">
        <f t="shared" ca="1" si="1"/>
        <v/>
      </c>
      <c r="B79" t="str">
        <f t="array" aca="1" ref="B79" ca="1">IF(OR(COUNTIF(数出表_Excel【15時】!AO82,"*修正*"),COUNTIF(数出表_Excel【15時】!AO83,"*修正*")),
IF(ISEVEN(ROW()+4),INDIRECT("数出表_Excel【15時】!A"&amp;ROW()+4&amp;""),INDIRECT("数出表_Excel【15時】!A"&amp;ROW()+4-1&amp;"")),"")</f>
        <v/>
      </c>
      <c r="C79" t="str">
        <f t="array" aca="1" ref="C79" ca="1">IF(OR(COUNTIF(数出表_Excel【15時】!AO82,"*修正*"),COUNTIF(数出表_Excel【15時】!AO83,"*修正*")),
IF(ISEVEN(ROW()+4),INDIRECT("数出表_Excel【15時】!A"&amp;ROW()+4+1&amp;""),INDIRECT("数出表_Excel【15時】!A"&amp;ROW()+4&amp;"")),"")</f>
        <v/>
      </c>
      <c r="D79" s="209" t="str">
        <f t="array" aca="1" ref="D79" ca="1">IF(B79&lt;&gt;"",
IFERROR(MATCH(TRUE,ISNUMBER(INDIRECT("数出表_Excel【15時】!B"&amp;(A79+4)&amp;":ZZ"&amp;(A79+4))),0)+1,""),"")</f>
        <v/>
      </c>
      <c r="E79" t="str">
        <f ca="1">IF(D79&lt;&gt;"",
OFFSET(数出表_Excel【15時】!$A$1,2,D79-1)
&amp;IFERROR(OFFSET(数出表_Excel【15時】!$A$1,3,D79-1),"")
&amp;IFERROR(OFFSET(数出表_Excel【15時】!$A$1,4,D79-1),""),"")</f>
        <v/>
      </c>
      <c r="F79" t="str">
        <f ca="1">IF(D79&lt;&gt;"",
OFFSET(数出表_Excel【15時】!$A$1,A79+3,D79-1),"")</f>
        <v/>
      </c>
      <c r="G79" t="str">
        <f ca="1">IF(D79&lt;&gt;"",
IF(AND(OFFSET(数出表_Excel【15時】!$A$1,A79+3,D79)&lt;&gt;"",OFFSET(数出表_Excel【15時】!$A$1,A79+3,D79)&lt;&gt;0),
OFFSET(数出表_Excel【15時】!$A$1,A79+3,D79),""),"")</f>
        <v/>
      </c>
      <c r="H79" s="209" t="str">
        <f t="array" aca="1" ref="H79" ca="1">IF(B79&lt;&gt;"",
IFERROR(MATCH(TRUE,ISNUMBER(INDIRECT("数出表_Excel【15時】!"&amp;SUBSTITUTE(ADDRESS(1,D79+2,4),"1","")&amp;(A79+4)&amp;":ZZ"&amp;(A79+4))),0)+D79+1,""),"")</f>
        <v/>
      </c>
      <c r="I79" t="str">
        <f ca="1">IF(H79&lt;&gt;"",
OFFSET(数出表_Excel【15時】!$A$1,2,H79-1)
&amp;IFERROR(OFFSET(数出表_Excel【15時】!$A$1,3,H79-1),"")
&amp;IFERROR(OFFSET(数出表_Excel【15時】!$A$1,4,H79-1),""),"")</f>
        <v/>
      </c>
      <c r="J79" t="str">
        <f ca="1">IF(H79&lt;&gt;"",
OFFSET(数出表_Excel【15時】!$A$1,A79+3,H79-1),"")</f>
        <v/>
      </c>
      <c r="K79" t="str">
        <f ca="1">IF(H79&lt;&gt;"",
IF(AND(OFFSET(数出表_Excel【15時】!$A$1,A79+3,H79)&lt;&gt;"",OFFSET(数出表_Excel【15時】!$A$1,A79+3,H79)&lt;&gt;0),
OFFSET(数出表_Excel【15時】!$A$1,A79+3,H79),""),"")</f>
        <v/>
      </c>
      <c r="L79" s="209" t="str">
        <f t="array" aca="1" ref="L79" ca="1">IF(B79&lt;&gt;"",
IFERROR(MATCH(TRUE,ISNUMBER(INDIRECT("数出表_Excel【15時】!"&amp;SUBSTITUTE(ADDRESS(1,H79+2,4),"1","")&amp;(A79+4)&amp;":ZZ"&amp;(A79+4))),0)+H79+1,""),"")</f>
        <v/>
      </c>
      <c r="M79" t="str">
        <f ca="1">IF(L79&lt;&gt;"",
OFFSET(数出表_Excel【15時】!$A$1,2,L79-1)
&amp;IFERROR(OFFSET(数出表_Excel【15時】!$A$1,3,L79-1),"")
&amp;IFERROR(OFFSET(数出表_Excel【15時】!$A$1,4,L79-1),""),"")</f>
        <v/>
      </c>
      <c r="N79" t="str">
        <f ca="1">IF(L79&lt;&gt;"",
OFFSET(数出表_Excel【15時】!$A$1,A79+3,L79-1),"")</f>
        <v/>
      </c>
      <c r="O79" t="str">
        <f ca="1">IF(L79&lt;&gt;"",
IF(AND(OFFSET(数出表_Excel【15時】!$A$1,A79+3,L79)&lt;&gt;"",OFFSET(数出表_Excel【15時】!$A$1,A79+3,L79)&lt;&gt;0),
OFFSET(数出表_Excel【15時】!$A$1,A79+3,L79),""),"")</f>
        <v/>
      </c>
      <c r="AH79" t="str">
        <f t="array" aca="1" ref="AH79" ca="1">IFERROR(SMALL(IF(O$1:O$307&lt;&gt;0,O$1:O$307),ROW(AH79)),"")</f>
        <v/>
      </c>
      <c r="AI79" t="str">
        <f t="array" aca="1" ref="AI79" ca="1">IF($T79&lt;&gt;"",
SUBSTITUTE(SUBSTITUTE(INDIRECT("B"&amp;$T79&amp;"")," 週3ｺｰｽ","")," 週5ｺｰｽ",""),"")</f>
        <v/>
      </c>
    </row>
    <row r="80" spans="1:35">
      <c r="A80" t="str">
        <f t="shared" ca="1" si="1"/>
        <v/>
      </c>
      <c r="B80" t="str">
        <f t="array" aca="1" ref="B80" ca="1">IF(OR(COUNTIF(数出表_Excel【15時】!AO84,"*修正*"),COUNTIF(数出表_Excel【15時】!AO85,"*修正*")),
IF(ISEVEN(ROW()+4),INDIRECT("数出表_Excel【15時】!A"&amp;ROW()+4&amp;""),INDIRECT("数出表_Excel【15時】!A"&amp;ROW()+4-1&amp;"")),"")</f>
        <v/>
      </c>
      <c r="C80" t="str">
        <f t="array" aca="1" ref="C80" ca="1">IF(OR(COUNTIF(数出表_Excel【15時】!AO84,"*修正*"),COUNTIF(数出表_Excel【15時】!AO85,"*修正*")),
IF(ISEVEN(ROW()+4),INDIRECT("数出表_Excel【15時】!A"&amp;ROW()+4+1&amp;""),INDIRECT("数出表_Excel【15時】!A"&amp;ROW()+4&amp;"")),"")</f>
        <v/>
      </c>
      <c r="D80" s="209" t="str">
        <f t="array" aca="1" ref="D80" ca="1">IF(B80&lt;&gt;"",
IFERROR(MATCH(TRUE,ISNUMBER(INDIRECT("数出表_Excel【15時】!B"&amp;(A80+4)&amp;":ZZ"&amp;(A80+4))),0)+1,""),"")</f>
        <v/>
      </c>
      <c r="E80" t="str">
        <f ca="1">IF(D80&lt;&gt;"",
OFFSET(数出表_Excel【15時】!$A$1,2,D80-1)
&amp;IFERROR(OFFSET(数出表_Excel【15時】!$A$1,3,D80-1),"")
&amp;IFERROR(OFFSET(数出表_Excel【15時】!$A$1,4,D80-1),""),"")</f>
        <v/>
      </c>
      <c r="F80" t="str">
        <f ca="1">IF(D80&lt;&gt;"",
OFFSET(数出表_Excel【15時】!$A$1,A80+3,D80-1),"")</f>
        <v/>
      </c>
      <c r="G80" t="str">
        <f ca="1">IF(D80&lt;&gt;"",
IF(AND(OFFSET(数出表_Excel【15時】!$A$1,A80+3,D80)&lt;&gt;"",OFFSET(数出表_Excel【15時】!$A$1,A80+3,D80)&lt;&gt;0),
OFFSET(数出表_Excel【15時】!$A$1,A80+3,D80),""),"")</f>
        <v/>
      </c>
      <c r="H80" s="209" t="str">
        <f t="array" aca="1" ref="H80" ca="1">IF(B80&lt;&gt;"",
IFERROR(MATCH(TRUE,ISNUMBER(INDIRECT("数出表_Excel【15時】!"&amp;SUBSTITUTE(ADDRESS(1,D80+2,4),"1","")&amp;(A80+4)&amp;":ZZ"&amp;(A80+4))),0)+D80+1,""),"")</f>
        <v/>
      </c>
      <c r="I80" t="str">
        <f ca="1">IF(H80&lt;&gt;"",
OFFSET(数出表_Excel【15時】!$A$1,2,H80-1)
&amp;IFERROR(OFFSET(数出表_Excel【15時】!$A$1,3,H80-1),"")
&amp;IFERROR(OFFSET(数出表_Excel【15時】!$A$1,4,H80-1),""),"")</f>
        <v/>
      </c>
      <c r="J80" t="str">
        <f ca="1">IF(H80&lt;&gt;"",
OFFSET(数出表_Excel【15時】!$A$1,A80+3,H80-1),"")</f>
        <v/>
      </c>
      <c r="K80" t="str">
        <f ca="1">IF(H80&lt;&gt;"",
IF(AND(OFFSET(数出表_Excel【15時】!$A$1,A80+3,H80)&lt;&gt;"",OFFSET(数出表_Excel【15時】!$A$1,A80+3,H80)&lt;&gt;0),
OFFSET(数出表_Excel【15時】!$A$1,A80+3,H80),""),"")</f>
        <v/>
      </c>
      <c r="L80" s="209" t="str">
        <f t="array" aca="1" ref="L80" ca="1">IF(B80&lt;&gt;"",
IFERROR(MATCH(TRUE,ISNUMBER(INDIRECT("数出表_Excel【15時】!"&amp;SUBSTITUTE(ADDRESS(1,H80+2,4),"1","")&amp;(A80+4)&amp;":ZZ"&amp;(A80+4))),0)+H80+1,""),"")</f>
        <v/>
      </c>
      <c r="M80" t="str">
        <f ca="1">IF(L80&lt;&gt;"",
OFFSET(数出表_Excel【15時】!$A$1,2,L80-1)
&amp;IFERROR(OFFSET(数出表_Excel【15時】!$A$1,3,L80-1),"")
&amp;IFERROR(OFFSET(数出表_Excel【15時】!$A$1,4,L80-1),""),"")</f>
        <v/>
      </c>
      <c r="N80" t="str">
        <f ca="1">IF(L80&lt;&gt;"",
OFFSET(数出表_Excel【15時】!$A$1,A80+3,L80-1),"")</f>
        <v/>
      </c>
      <c r="O80" t="str">
        <f ca="1">IF(L80&lt;&gt;"",
IF(AND(OFFSET(数出表_Excel【15時】!$A$1,A80+3,L80)&lt;&gt;"",OFFSET(数出表_Excel【15時】!$A$1,A80+3,L80)&lt;&gt;0),
OFFSET(数出表_Excel【15時】!$A$1,A80+3,L80),""),"")</f>
        <v/>
      </c>
      <c r="Q80" t="str">
        <f ca="1">IF(C80&lt;&gt;"",
IF(E80&lt;&gt;"",1,0)+IF(I80&lt;&gt;"",1,0)+IF(M80&lt;&gt;"",1,0),"")</f>
        <v/>
      </c>
      <c r="AH80" t="str">
        <f t="array" aca="1" ref="AH80" ca="1">IFERROR(SMALL(IF(O$1:O$307&lt;&gt;0,O$1:O$307),ROW(AH80)),"")</f>
        <v/>
      </c>
      <c r="AI80" t="str">
        <f t="array" aca="1" ref="AI80" ca="1">IF($T80&lt;&gt;"",
SUBSTITUTE(SUBSTITUTE(INDIRECT("B"&amp;$T80&amp;"")," 週3ｺｰｽ","")," 週5ｺｰｽ",""),"")</f>
        <v/>
      </c>
    </row>
    <row r="81" spans="1:35">
      <c r="A81" t="str">
        <f t="shared" ca="1" si="1"/>
        <v/>
      </c>
      <c r="B81" t="str">
        <f t="array" aca="1" ref="B81" ca="1">IF(OR(COUNTIF(数出表_Excel【15時】!AO84,"*修正*"),COUNTIF(数出表_Excel【15時】!AO85,"*修正*")),
IF(ISEVEN(ROW()+4),INDIRECT("数出表_Excel【15時】!A"&amp;ROW()+4&amp;""),INDIRECT("数出表_Excel【15時】!A"&amp;ROW()+4-1&amp;"")),"")</f>
        <v/>
      </c>
      <c r="C81" t="str">
        <f t="array" aca="1" ref="C81" ca="1">IF(OR(COUNTIF(数出表_Excel【15時】!AO84,"*修正*"),COUNTIF(数出表_Excel【15時】!AO85,"*修正*")),
IF(ISEVEN(ROW()+4),INDIRECT("数出表_Excel【15時】!A"&amp;ROW()+4+1&amp;""),INDIRECT("数出表_Excel【15時】!A"&amp;ROW()+4&amp;"")),"")</f>
        <v/>
      </c>
      <c r="D81" s="209" t="str">
        <f t="array" aca="1" ref="D81" ca="1">IF(B81&lt;&gt;"",
IFERROR(MATCH(TRUE,ISNUMBER(INDIRECT("数出表_Excel【15時】!B"&amp;(A81+4)&amp;":ZZ"&amp;(A81+4))),0)+1,""),"")</f>
        <v/>
      </c>
      <c r="E81" t="str">
        <f ca="1">IF(D81&lt;&gt;"",
OFFSET(数出表_Excel【15時】!$A$1,2,D81-1)
&amp;IFERROR(OFFSET(数出表_Excel【15時】!$A$1,3,D81-1),"")
&amp;IFERROR(OFFSET(数出表_Excel【15時】!$A$1,4,D81-1),""),"")</f>
        <v/>
      </c>
      <c r="F81" t="str">
        <f ca="1">IF(D81&lt;&gt;"",
OFFSET(数出表_Excel【15時】!$A$1,A81+3,D81-1),"")</f>
        <v/>
      </c>
      <c r="G81" t="str">
        <f ca="1">IF(D81&lt;&gt;"",
IF(AND(OFFSET(数出表_Excel【15時】!$A$1,A81+3,D81)&lt;&gt;"",OFFSET(数出表_Excel【15時】!$A$1,A81+3,D81)&lt;&gt;0),
OFFSET(数出表_Excel【15時】!$A$1,A81+3,D81),""),"")</f>
        <v/>
      </c>
      <c r="H81" s="209" t="str">
        <f t="array" aca="1" ref="H81" ca="1">IF(B81&lt;&gt;"",
IFERROR(MATCH(TRUE,ISNUMBER(INDIRECT("数出表_Excel【15時】!"&amp;SUBSTITUTE(ADDRESS(1,D81+2,4),"1","")&amp;(A81+4)&amp;":ZZ"&amp;(A81+4))),0)+D81+1,""),"")</f>
        <v/>
      </c>
      <c r="I81" t="str">
        <f ca="1">IF(H81&lt;&gt;"",
OFFSET(数出表_Excel【15時】!$A$1,2,H81-1)
&amp;IFERROR(OFFSET(数出表_Excel【15時】!$A$1,3,H81-1),"")
&amp;IFERROR(OFFSET(数出表_Excel【15時】!$A$1,4,H81-1),""),"")</f>
        <v/>
      </c>
      <c r="J81" t="str">
        <f ca="1">IF(H81&lt;&gt;"",
OFFSET(数出表_Excel【15時】!$A$1,A81+3,H81-1),"")</f>
        <v/>
      </c>
      <c r="K81" t="str">
        <f ca="1">IF(H81&lt;&gt;"",
IF(AND(OFFSET(数出表_Excel【15時】!$A$1,A81+3,H81)&lt;&gt;"",OFFSET(数出表_Excel【15時】!$A$1,A81+3,H81)&lt;&gt;0),
OFFSET(数出表_Excel【15時】!$A$1,A81+3,H81),""),"")</f>
        <v/>
      </c>
      <c r="L81" s="209" t="str">
        <f t="array" aca="1" ref="L81" ca="1">IF(B81&lt;&gt;"",
IFERROR(MATCH(TRUE,ISNUMBER(INDIRECT("数出表_Excel【15時】!"&amp;SUBSTITUTE(ADDRESS(1,H81+2,4),"1","")&amp;(A81+4)&amp;":ZZ"&amp;(A81+4))),0)+H81+1,""),"")</f>
        <v/>
      </c>
      <c r="M81" t="str">
        <f ca="1">IF(L81&lt;&gt;"",
OFFSET(数出表_Excel【15時】!$A$1,2,L81-1)
&amp;IFERROR(OFFSET(数出表_Excel【15時】!$A$1,3,L81-1),"")
&amp;IFERROR(OFFSET(数出表_Excel【15時】!$A$1,4,L81-1),""),"")</f>
        <v/>
      </c>
      <c r="N81" t="str">
        <f ca="1">IF(L81&lt;&gt;"",
OFFSET(数出表_Excel【15時】!$A$1,A81+3,L81-1),"")</f>
        <v/>
      </c>
      <c r="O81" t="str">
        <f ca="1">IF(L81&lt;&gt;"",
IF(AND(OFFSET(数出表_Excel【15時】!$A$1,A81+3,L81)&lt;&gt;"",OFFSET(数出表_Excel【15時】!$A$1,A81+3,L81)&lt;&gt;0),
OFFSET(数出表_Excel【15時】!$A$1,A81+3,L81),""),"")</f>
        <v/>
      </c>
      <c r="AH81" t="str">
        <f t="array" aca="1" ref="AH81" ca="1">IFERROR(SMALL(IF(O$1:O$307&lt;&gt;0,O$1:O$307),ROW(AH81)),"")</f>
        <v/>
      </c>
      <c r="AI81" t="str">
        <f t="array" aca="1" ref="AI81" ca="1">IF($T81&lt;&gt;"",
SUBSTITUTE(SUBSTITUTE(INDIRECT("B"&amp;$T81&amp;"")," 週3ｺｰｽ","")," 週5ｺｰｽ",""),"")</f>
        <v/>
      </c>
    </row>
    <row r="82" spans="1:35">
      <c r="A82" t="str">
        <f t="shared" ca="1" si="1"/>
        <v/>
      </c>
      <c r="B82" t="str">
        <f t="array" aca="1" ref="B82" ca="1">IF(OR(COUNTIF(数出表_Excel【15時】!AO86,"*修正*"),COUNTIF(数出表_Excel【15時】!AO87,"*修正*")),
IF(ISEVEN(ROW()+4),INDIRECT("数出表_Excel【15時】!A"&amp;ROW()+4&amp;""),INDIRECT("数出表_Excel【15時】!A"&amp;ROW()+4-1&amp;"")),"")</f>
        <v/>
      </c>
      <c r="C82" t="str">
        <f t="array" aca="1" ref="C82" ca="1">IF(OR(COUNTIF(数出表_Excel【15時】!AO86,"*修正*"),COUNTIF(数出表_Excel【15時】!AO87,"*修正*")),
IF(ISEVEN(ROW()+4),INDIRECT("数出表_Excel【15時】!A"&amp;ROW()+4+1&amp;""),INDIRECT("数出表_Excel【15時】!A"&amp;ROW()+4&amp;"")),"")</f>
        <v/>
      </c>
      <c r="D82" s="209" t="str">
        <f t="array" aca="1" ref="D82" ca="1">IF(B82&lt;&gt;"",
IFERROR(MATCH(TRUE,ISNUMBER(INDIRECT("数出表_Excel【15時】!B"&amp;(A82+4)&amp;":ZZ"&amp;(A82+4))),0)+1,""),"")</f>
        <v/>
      </c>
      <c r="E82" t="str">
        <f ca="1">IF(D82&lt;&gt;"",
OFFSET(数出表_Excel【15時】!$A$1,2,D82-1)
&amp;IFERROR(OFFSET(数出表_Excel【15時】!$A$1,3,D82-1),"")
&amp;IFERROR(OFFSET(数出表_Excel【15時】!$A$1,4,D82-1),""),"")</f>
        <v/>
      </c>
      <c r="F82" t="str">
        <f ca="1">IF(D82&lt;&gt;"",
OFFSET(数出表_Excel【15時】!$A$1,A82+3,D82-1),"")</f>
        <v/>
      </c>
      <c r="G82" t="str">
        <f ca="1">IF(D82&lt;&gt;"",
IF(AND(OFFSET(数出表_Excel【15時】!$A$1,A82+3,D82)&lt;&gt;"",OFFSET(数出表_Excel【15時】!$A$1,A82+3,D82)&lt;&gt;0),
OFFSET(数出表_Excel【15時】!$A$1,A82+3,D82),""),"")</f>
        <v/>
      </c>
      <c r="H82" s="209" t="str">
        <f t="array" aca="1" ref="H82" ca="1">IF(B82&lt;&gt;"",
IFERROR(MATCH(TRUE,ISNUMBER(INDIRECT("数出表_Excel【15時】!"&amp;SUBSTITUTE(ADDRESS(1,D82+2,4),"1","")&amp;(A82+4)&amp;":ZZ"&amp;(A82+4))),0)+D82+1,""),"")</f>
        <v/>
      </c>
      <c r="I82" t="str">
        <f ca="1">IF(H82&lt;&gt;"",
OFFSET(数出表_Excel【15時】!$A$1,2,H82-1)
&amp;IFERROR(OFFSET(数出表_Excel【15時】!$A$1,3,H82-1),"")
&amp;IFERROR(OFFSET(数出表_Excel【15時】!$A$1,4,H82-1),""),"")</f>
        <v/>
      </c>
      <c r="J82" t="str">
        <f ca="1">IF(H82&lt;&gt;"",
OFFSET(数出表_Excel【15時】!$A$1,A82+3,H82-1),"")</f>
        <v/>
      </c>
      <c r="K82" t="str">
        <f ca="1">IF(H82&lt;&gt;"",
IF(AND(OFFSET(数出表_Excel【15時】!$A$1,A82+3,H82)&lt;&gt;"",OFFSET(数出表_Excel【15時】!$A$1,A82+3,H82)&lt;&gt;0),
OFFSET(数出表_Excel【15時】!$A$1,A82+3,H82),""),"")</f>
        <v/>
      </c>
      <c r="L82" s="209" t="str">
        <f t="array" aca="1" ref="L82" ca="1">IF(B82&lt;&gt;"",
IFERROR(MATCH(TRUE,ISNUMBER(INDIRECT("数出表_Excel【15時】!"&amp;SUBSTITUTE(ADDRESS(1,H82+2,4),"1","")&amp;(A82+4)&amp;":ZZ"&amp;(A82+4))),0)+H82+1,""),"")</f>
        <v/>
      </c>
      <c r="M82" t="str">
        <f ca="1">IF(L82&lt;&gt;"",
OFFSET(数出表_Excel【15時】!$A$1,2,L82-1)
&amp;IFERROR(OFFSET(数出表_Excel【15時】!$A$1,3,L82-1),"")
&amp;IFERROR(OFFSET(数出表_Excel【15時】!$A$1,4,L82-1),""),"")</f>
        <v/>
      </c>
      <c r="N82" t="str">
        <f ca="1">IF(L82&lt;&gt;"",
OFFSET(数出表_Excel【15時】!$A$1,A82+3,L82-1),"")</f>
        <v/>
      </c>
      <c r="O82" t="str">
        <f ca="1">IF(L82&lt;&gt;"",
IF(AND(OFFSET(数出表_Excel【15時】!$A$1,A82+3,L82)&lt;&gt;"",OFFSET(数出表_Excel【15時】!$A$1,A82+3,L82)&lt;&gt;0),
OFFSET(数出表_Excel【15時】!$A$1,A82+3,L82),""),"")</f>
        <v/>
      </c>
      <c r="Q82" t="str">
        <f ca="1">IF(C82&lt;&gt;"",
IF(E82&lt;&gt;"",1,0)+IF(I82&lt;&gt;"",1,0)+IF(M82&lt;&gt;"",1,0),"")</f>
        <v/>
      </c>
      <c r="AH82" t="str">
        <f t="array" aca="1" ref="AH82" ca="1">IFERROR(SMALL(IF(O$1:O$307&lt;&gt;0,O$1:O$307),ROW(AH82)),"")</f>
        <v/>
      </c>
      <c r="AI82" t="str">
        <f t="array" aca="1" ref="AI82" ca="1">IF($T82&lt;&gt;"",
SUBSTITUTE(SUBSTITUTE(INDIRECT("B"&amp;$T82&amp;"")," 週3ｺｰｽ","")," 週5ｺｰｽ",""),"")</f>
        <v/>
      </c>
    </row>
    <row r="83" spans="1:35">
      <c r="A83" t="str">
        <f t="shared" ca="1" si="1"/>
        <v/>
      </c>
      <c r="B83" t="str">
        <f t="array" aca="1" ref="B83" ca="1">IF(OR(COUNTIF(数出表_Excel【15時】!AO86,"*修正*"),COUNTIF(数出表_Excel【15時】!AO87,"*修正*")),
IF(ISEVEN(ROW()+4),INDIRECT("数出表_Excel【15時】!A"&amp;ROW()+4&amp;""),INDIRECT("数出表_Excel【15時】!A"&amp;ROW()+4-1&amp;"")),"")</f>
        <v/>
      </c>
      <c r="C83" t="str">
        <f t="array" aca="1" ref="C83" ca="1">IF(OR(COUNTIF(数出表_Excel【15時】!AO86,"*修正*"),COUNTIF(数出表_Excel【15時】!AO87,"*修正*")),
IF(ISEVEN(ROW()+4),INDIRECT("数出表_Excel【15時】!A"&amp;ROW()+4+1&amp;""),INDIRECT("数出表_Excel【15時】!A"&amp;ROW()+4&amp;"")),"")</f>
        <v/>
      </c>
      <c r="D83" s="209" t="str">
        <f t="array" aca="1" ref="D83" ca="1">IF(B83&lt;&gt;"",
IFERROR(MATCH(TRUE,ISNUMBER(INDIRECT("数出表_Excel【15時】!B"&amp;(A83+4)&amp;":ZZ"&amp;(A83+4))),0)+1,""),"")</f>
        <v/>
      </c>
      <c r="E83" t="str">
        <f ca="1">IF(D83&lt;&gt;"",
OFFSET(数出表_Excel【15時】!$A$1,2,D83-1)
&amp;IFERROR(OFFSET(数出表_Excel【15時】!$A$1,3,D83-1),"")
&amp;IFERROR(OFFSET(数出表_Excel【15時】!$A$1,4,D83-1),""),"")</f>
        <v/>
      </c>
      <c r="F83" t="str">
        <f ca="1">IF(D83&lt;&gt;"",
OFFSET(数出表_Excel【15時】!$A$1,A83+3,D83-1),"")</f>
        <v/>
      </c>
      <c r="G83" t="str">
        <f ca="1">IF(D83&lt;&gt;"",
IF(AND(OFFSET(数出表_Excel【15時】!$A$1,A83+3,D83)&lt;&gt;"",OFFSET(数出表_Excel【15時】!$A$1,A83+3,D83)&lt;&gt;0),
OFFSET(数出表_Excel【15時】!$A$1,A83+3,D83),""),"")</f>
        <v/>
      </c>
      <c r="H83" s="209" t="str">
        <f t="array" aca="1" ref="H83" ca="1">IF(B83&lt;&gt;"",
IFERROR(MATCH(TRUE,ISNUMBER(INDIRECT("数出表_Excel【15時】!"&amp;SUBSTITUTE(ADDRESS(1,D83+2,4),"1","")&amp;(A83+4)&amp;":ZZ"&amp;(A83+4))),0)+D83+1,""),"")</f>
        <v/>
      </c>
      <c r="I83" t="str">
        <f ca="1">IF(H83&lt;&gt;"",
OFFSET(数出表_Excel【15時】!$A$1,2,H83-1)
&amp;IFERROR(OFFSET(数出表_Excel【15時】!$A$1,3,H83-1),"")
&amp;IFERROR(OFFSET(数出表_Excel【15時】!$A$1,4,H83-1),""),"")</f>
        <v/>
      </c>
      <c r="J83" t="str">
        <f ca="1">IF(H83&lt;&gt;"",
OFFSET(数出表_Excel【15時】!$A$1,A83+3,H83-1),"")</f>
        <v/>
      </c>
      <c r="K83" t="str">
        <f ca="1">IF(H83&lt;&gt;"",
IF(AND(OFFSET(数出表_Excel【15時】!$A$1,A83+3,H83)&lt;&gt;"",OFFSET(数出表_Excel【15時】!$A$1,A83+3,H83)&lt;&gt;0),
OFFSET(数出表_Excel【15時】!$A$1,A83+3,H83),""),"")</f>
        <v/>
      </c>
      <c r="L83" s="209" t="str">
        <f t="array" aca="1" ref="L83" ca="1">IF(B83&lt;&gt;"",
IFERROR(MATCH(TRUE,ISNUMBER(INDIRECT("数出表_Excel【15時】!"&amp;SUBSTITUTE(ADDRESS(1,H83+2,4),"1","")&amp;(A83+4)&amp;":ZZ"&amp;(A83+4))),0)+H83+1,""),"")</f>
        <v/>
      </c>
      <c r="M83" t="str">
        <f ca="1">IF(L83&lt;&gt;"",
OFFSET(数出表_Excel【15時】!$A$1,2,L83-1)
&amp;IFERROR(OFFSET(数出表_Excel【15時】!$A$1,3,L83-1),"")
&amp;IFERROR(OFFSET(数出表_Excel【15時】!$A$1,4,L83-1),""),"")</f>
        <v/>
      </c>
      <c r="N83" t="str">
        <f ca="1">IF(L83&lt;&gt;"",
OFFSET(数出表_Excel【15時】!$A$1,A83+3,L83-1),"")</f>
        <v/>
      </c>
      <c r="O83" t="str">
        <f ca="1">IF(L83&lt;&gt;"",
IF(AND(OFFSET(数出表_Excel【15時】!$A$1,A83+3,L83)&lt;&gt;"",OFFSET(数出表_Excel【15時】!$A$1,A83+3,L83)&lt;&gt;0),
OFFSET(数出表_Excel【15時】!$A$1,A83+3,L83),""),"")</f>
        <v/>
      </c>
      <c r="AH83" t="str">
        <f t="array" aca="1" ref="AH83" ca="1">IFERROR(SMALL(IF(O$1:O$307&lt;&gt;0,O$1:O$307),ROW(AH83)),"")</f>
        <v/>
      </c>
      <c r="AI83" t="str">
        <f t="array" aca="1" ref="AI83" ca="1">IF($T83&lt;&gt;"",
SUBSTITUTE(SUBSTITUTE(INDIRECT("B"&amp;$T83&amp;"")," 週3ｺｰｽ","")," 週5ｺｰｽ",""),"")</f>
        <v/>
      </c>
    </row>
    <row r="84" spans="1:35">
      <c r="A84" t="str">
        <f t="shared" ca="1" si="1"/>
        <v/>
      </c>
      <c r="B84" t="str">
        <f t="array" aca="1" ref="B84" ca="1">IF(OR(COUNTIF(数出表_Excel【15時】!AO88,"*修正*"),COUNTIF(数出表_Excel【15時】!AO89,"*修正*")),
IF(ISEVEN(ROW()+4),INDIRECT("数出表_Excel【15時】!A"&amp;ROW()+4&amp;""),INDIRECT("数出表_Excel【15時】!A"&amp;ROW()+4-1&amp;"")),"")</f>
        <v/>
      </c>
      <c r="C84" t="str">
        <f t="array" aca="1" ref="C84" ca="1">IF(OR(COUNTIF(数出表_Excel【15時】!AO88,"*修正*"),COUNTIF(数出表_Excel【15時】!AO89,"*修正*")),
IF(ISEVEN(ROW()+4),INDIRECT("数出表_Excel【15時】!A"&amp;ROW()+4+1&amp;""),INDIRECT("数出表_Excel【15時】!A"&amp;ROW()+4&amp;"")),"")</f>
        <v/>
      </c>
      <c r="D84" s="209" t="str">
        <f t="array" aca="1" ref="D84" ca="1">IF(B84&lt;&gt;"",
IFERROR(MATCH(TRUE,ISNUMBER(INDIRECT("数出表_Excel【15時】!B"&amp;(A84+4)&amp;":ZZ"&amp;(A84+4))),0)+1,""),"")</f>
        <v/>
      </c>
      <c r="E84" t="str">
        <f ca="1">IF(D84&lt;&gt;"",
OFFSET(数出表_Excel【15時】!$A$1,2,D84-1)
&amp;IFERROR(OFFSET(数出表_Excel【15時】!$A$1,3,D84-1),"")
&amp;IFERROR(OFFSET(数出表_Excel【15時】!$A$1,4,D84-1),""),"")</f>
        <v/>
      </c>
      <c r="F84" t="str">
        <f ca="1">IF(D84&lt;&gt;"",
OFFSET(数出表_Excel【15時】!$A$1,A84+3,D84-1),"")</f>
        <v/>
      </c>
      <c r="G84" t="str">
        <f ca="1">IF(D84&lt;&gt;"",
IF(AND(OFFSET(数出表_Excel【15時】!$A$1,A84+3,D84)&lt;&gt;"",OFFSET(数出表_Excel【15時】!$A$1,A84+3,D84)&lt;&gt;0),
OFFSET(数出表_Excel【15時】!$A$1,A84+3,D84),""),"")</f>
        <v/>
      </c>
      <c r="H84" s="209" t="str">
        <f t="array" aca="1" ref="H84" ca="1">IF(B84&lt;&gt;"",
IFERROR(MATCH(TRUE,ISNUMBER(INDIRECT("数出表_Excel【15時】!"&amp;SUBSTITUTE(ADDRESS(1,D84+2,4),"1","")&amp;(A84+4)&amp;":ZZ"&amp;(A84+4))),0)+D84+1,""),"")</f>
        <v/>
      </c>
      <c r="I84" t="str">
        <f ca="1">IF(H84&lt;&gt;"",
OFFSET(数出表_Excel【15時】!$A$1,2,H84-1)
&amp;IFERROR(OFFSET(数出表_Excel【15時】!$A$1,3,H84-1),"")
&amp;IFERROR(OFFSET(数出表_Excel【15時】!$A$1,4,H84-1),""),"")</f>
        <v/>
      </c>
      <c r="J84" t="str">
        <f ca="1">IF(H84&lt;&gt;"",
OFFSET(数出表_Excel【15時】!$A$1,A84+3,H84-1),"")</f>
        <v/>
      </c>
      <c r="K84" t="str">
        <f ca="1">IF(H84&lt;&gt;"",
IF(AND(OFFSET(数出表_Excel【15時】!$A$1,A84+3,H84)&lt;&gt;"",OFFSET(数出表_Excel【15時】!$A$1,A84+3,H84)&lt;&gt;0),
OFFSET(数出表_Excel【15時】!$A$1,A84+3,H84),""),"")</f>
        <v/>
      </c>
      <c r="L84" s="209" t="str">
        <f t="array" aca="1" ref="L84" ca="1">IF(B84&lt;&gt;"",
IFERROR(MATCH(TRUE,ISNUMBER(INDIRECT("数出表_Excel【15時】!"&amp;SUBSTITUTE(ADDRESS(1,H84+2,4),"1","")&amp;(A84+4)&amp;":ZZ"&amp;(A84+4))),0)+H84+1,""),"")</f>
        <v/>
      </c>
      <c r="M84" t="str">
        <f ca="1">IF(L84&lt;&gt;"",
OFFSET(数出表_Excel【15時】!$A$1,2,L84-1)
&amp;IFERROR(OFFSET(数出表_Excel【15時】!$A$1,3,L84-1),"")
&amp;IFERROR(OFFSET(数出表_Excel【15時】!$A$1,4,L84-1),""),"")</f>
        <v/>
      </c>
      <c r="N84" t="str">
        <f ca="1">IF(L84&lt;&gt;"",
OFFSET(数出表_Excel【15時】!$A$1,A84+3,L84-1),"")</f>
        <v/>
      </c>
      <c r="O84" t="str">
        <f ca="1">IF(L84&lt;&gt;"",
IF(AND(OFFSET(数出表_Excel【15時】!$A$1,A84+3,L84)&lt;&gt;"",OFFSET(数出表_Excel【15時】!$A$1,A84+3,L84)&lt;&gt;0),
OFFSET(数出表_Excel【15時】!$A$1,A84+3,L84),""),"")</f>
        <v/>
      </c>
      <c r="Q84" t="str">
        <f ca="1">IF(C84&lt;&gt;"",
IF(E84&lt;&gt;"",1,0)+IF(I84&lt;&gt;"",1,0)+IF(M84&lt;&gt;"",1,0),"")</f>
        <v/>
      </c>
      <c r="AH84" t="str">
        <f t="array" aca="1" ref="AH84" ca="1">IFERROR(SMALL(IF(O$1:O$307&lt;&gt;0,O$1:O$307),ROW(AH84)),"")</f>
        <v/>
      </c>
      <c r="AI84" t="str">
        <f t="array" aca="1" ref="AI84" ca="1">IF($T84&lt;&gt;"",
SUBSTITUTE(SUBSTITUTE(INDIRECT("B"&amp;$T84&amp;"")," 週3ｺｰｽ","")," 週5ｺｰｽ",""),"")</f>
        <v/>
      </c>
    </row>
    <row r="85" spans="1:35">
      <c r="A85" t="str">
        <f t="shared" ca="1" si="1"/>
        <v/>
      </c>
      <c r="B85" t="str">
        <f t="array" aca="1" ref="B85" ca="1">IF(OR(COUNTIF(数出表_Excel【15時】!AO88,"*修正*"),COUNTIF(数出表_Excel【15時】!AO89,"*修正*")),
IF(ISEVEN(ROW()+4),INDIRECT("数出表_Excel【15時】!A"&amp;ROW()+4&amp;""),INDIRECT("数出表_Excel【15時】!A"&amp;ROW()+4-1&amp;"")),"")</f>
        <v/>
      </c>
      <c r="C85" t="str">
        <f t="array" aca="1" ref="C85" ca="1">IF(OR(COUNTIF(数出表_Excel【15時】!AO88,"*修正*"),COUNTIF(数出表_Excel【15時】!AO89,"*修正*")),
IF(ISEVEN(ROW()+4),INDIRECT("数出表_Excel【15時】!A"&amp;ROW()+4+1&amp;""),INDIRECT("数出表_Excel【15時】!A"&amp;ROW()+4&amp;"")),"")</f>
        <v/>
      </c>
      <c r="D85" s="209" t="str">
        <f t="array" aca="1" ref="D85" ca="1">IF(B85&lt;&gt;"",
IFERROR(MATCH(TRUE,ISNUMBER(INDIRECT("数出表_Excel【15時】!B"&amp;(A85+4)&amp;":ZZ"&amp;(A85+4))),0)+1,""),"")</f>
        <v/>
      </c>
      <c r="E85" t="str">
        <f ca="1">IF(D85&lt;&gt;"",
OFFSET(数出表_Excel【15時】!$A$1,2,D85-1)
&amp;IFERROR(OFFSET(数出表_Excel【15時】!$A$1,3,D85-1),"")
&amp;IFERROR(OFFSET(数出表_Excel【15時】!$A$1,4,D85-1),""),"")</f>
        <v/>
      </c>
      <c r="F85" t="str">
        <f ca="1">IF(D85&lt;&gt;"",
OFFSET(数出表_Excel【15時】!$A$1,A85+3,D85-1),"")</f>
        <v/>
      </c>
      <c r="G85" t="str">
        <f ca="1">IF(D85&lt;&gt;"",
IF(AND(OFFSET(数出表_Excel【15時】!$A$1,A85+3,D85)&lt;&gt;"",OFFSET(数出表_Excel【15時】!$A$1,A85+3,D85)&lt;&gt;0),
OFFSET(数出表_Excel【15時】!$A$1,A85+3,D85),""),"")</f>
        <v/>
      </c>
      <c r="H85" s="209" t="str">
        <f t="array" aca="1" ref="H85" ca="1">IF(B85&lt;&gt;"",
IFERROR(MATCH(TRUE,ISNUMBER(INDIRECT("数出表_Excel【15時】!"&amp;SUBSTITUTE(ADDRESS(1,D85+2,4),"1","")&amp;(A85+4)&amp;":ZZ"&amp;(A85+4))),0)+D85+1,""),"")</f>
        <v/>
      </c>
      <c r="I85" t="str">
        <f ca="1">IF(H85&lt;&gt;"",
OFFSET(数出表_Excel【15時】!$A$1,2,H85-1)
&amp;IFERROR(OFFSET(数出表_Excel【15時】!$A$1,3,H85-1),"")
&amp;IFERROR(OFFSET(数出表_Excel【15時】!$A$1,4,H85-1),""),"")</f>
        <v/>
      </c>
      <c r="J85" t="str">
        <f ca="1">IF(H85&lt;&gt;"",
OFFSET(数出表_Excel【15時】!$A$1,A85+3,H85-1),"")</f>
        <v/>
      </c>
      <c r="K85" t="str">
        <f ca="1">IF(H85&lt;&gt;"",
IF(AND(OFFSET(数出表_Excel【15時】!$A$1,A85+3,H85)&lt;&gt;"",OFFSET(数出表_Excel【15時】!$A$1,A85+3,H85)&lt;&gt;0),
OFFSET(数出表_Excel【15時】!$A$1,A85+3,H85),""),"")</f>
        <v/>
      </c>
      <c r="L85" s="209" t="str">
        <f t="array" aca="1" ref="L85" ca="1">IF(B85&lt;&gt;"",
IFERROR(MATCH(TRUE,ISNUMBER(INDIRECT("数出表_Excel【15時】!"&amp;SUBSTITUTE(ADDRESS(1,H85+2,4),"1","")&amp;(A85+4)&amp;":ZZ"&amp;(A85+4))),0)+H85+1,""),"")</f>
        <v/>
      </c>
      <c r="M85" t="str">
        <f ca="1">IF(L85&lt;&gt;"",
OFFSET(数出表_Excel【15時】!$A$1,2,L85-1)
&amp;IFERROR(OFFSET(数出表_Excel【15時】!$A$1,3,L85-1),"")
&amp;IFERROR(OFFSET(数出表_Excel【15時】!$A$1,4,L85-1),""),"")</f>
        <v/>
      </c>
      <c r="N85" t="str">
        <f ca="1">IF(L85&lt;&gt;"",
OFFSET(数出表_Excel【15時】!$A$1,A85+3,L85-1),"")</f>
        <v/>
      </c>
      <c r="O85" t="str">
        <f ca="1">IF(L85&lt;&gt;"",
IF(AND(OFFSET(数出表_Excel【15時】!$A$1,A85+3,L85)&lt;&gt;"",OFFSET(数出表_Excel【15時】!$A$1,A85+3,L85)&lt;&gt;0),
OFFSET(数出表_Excel【15時】!$A$1,A85+3,L85),""),"")</f>
        <v/>
      </c>
      <c r="AH85" t="str">
        <f t="array" aca="1" ref="AH85" ca="1">IFERROR(SMALL(IF(O$1:O$307&lt;&gt;0,O$1:O$307),ROW(AH85)),"")</f>
        <v/>
      </c>
      <c r="AI85" t="str">
        <f t="array" aca="1" ref="AI85" ca="1">IF($T85&lt;&gt;"",
SUBSTITUTE(SUBSTITUTE(INDIRECT("B"&amp;$T85&amp;"")," 週3ｺｰｽ","")," 週5ｺｰｽ",""),"")</f>
        <v/>
      </c>
    </row>
    <row r="86" spans="1:35">
      <c r="A86" t="str">
        <f t="shared" ca="1" si="1"/>
        <v/>
      </c>
      <c r="B86" t="str">
        <f t="array" aca="1" ref="B86" ca="1">IF(OR(COUNTIF(数出表_Excel【15時】!AO90,"*修正*"),COUNTIF(数出表_Excel【15時】!AO91,"*修正*")),
IF(ISEVEN(ROW()+4),INDIRECT("数出表_Excel【15時】!A"&amp;ROW()+4&amp;""),INDIRECT("数出表_Excel【15時】!A"&amp;ROW()+4-1&amp;"")),"")</f>
        <v/>
      </c>
      <c r="C86" t="str">
        <f t="array" aca="1" ref="C86" ca="1">IF(OR(COUNTIF(数出表_Excel【15時】!AO90,"*修正*"),COUNTIF(数出表_Excel【15時】!AO91,"*修正*")),
IF(ISEVEN(ROW()+4),INDIRECT("数出表_Excel【15時】!A"&amp;ROW()+4+1&amp;""),INDIRECT("数出表_Excel【15時】!A"&amp;ROW()+4&amp;"")),"")</f>
        <v/>
      </c>
      <c r="D86" s="209" t="str">
        <f t="array" aca="1" ref="D86" ca="1">IF(B86&lt;&gt;"",
IFERROR(MATCH(TRUE,ISNUMBER(INDIRECT("数出表_Excel【15時】!B"&amp;(A86+4)&amp;":ZZ"&amp;(A86+4))),0)+1,""),"")</f>
        <v/>
      </c>
      <c r="E86" t="str">
        <f ca="1">IF(D86&lt;&gt;"",
OFFSET(数出表_Excel【15時】!$A$1,2,D86-1)
&amp;IFERROR(OFFSET(数出表_Excel【15時】!$A$1,3,D86-1),"")
&amp;IFERROR(OFFSET(数出表_Excel【15時】!$A$1,4,D86-1),""),"")</f>
        <v/>
      </c>
      <c r="F86" t="str">
        <f ca="1">IF(D86&lt;&gt;"",
OFFSET(数出表_Excel【15時】!$A$1,A86+3,D86-1),"")</f>
        <v/>
      </c>
      <c r="G86" t="str">
        <f ca="1">IF(D86&lt;&gt;"",
IF(AND(OFFSET(数出表_Excel【15時】!$A$1,A86+3,D86)&lt;&gt;"",OFFSET(数出表_Excel【15時】!$A$1,A86+3,D86)&lt;&gt;0),
OFFSET(数出表_Excel【15時】!$A$1,A86+3,D86),""),"")</f>
        <v/>
      </c>
      <c r="H86" s="209" t="str">
        <f t="array" aca="1" ref="H86" ca="1">IF(B86&lt;&gt;"",
IFERROR(MATCH(TRUE,ISNUMBER(INDIRECT("数出表_Excel【15時】!"&amp;SUBSTITUTE(ADDRESS(1,D86+2,4),"1","")&amp;(A86+4)&amp;":ZZ"&amp;(A86+4))),0)+D86+1,""),"")</f>
        <v/>
      </c>
      <c r="I86" t="str">
        <f ca="1">IF(H86&lt;&gt;"",
OFFSET(数出表_Excel【15時】!$A$1,2,H86-1)
&amp;IFERROR(OFFSET(数出表_Excel【15時】!$A$1,3,H86-1),"")
&amp;IFERROR(OFFSET(数出表_Excel【15時】!$A$1,4,H86-1),""),"")</f>
        <v/>
      </c>
      <c r="J86" t="str">
        <f ca="1">IF(H86&lt;&gt;"",
OFFSET(数出表_Excel【15時】!$A$1,A86+3,H86-1),"")</f>
        <v/>
      </c>
      <c r="K86" t="str">
        <f ca="1">IF(H86&lt;&gt;"",
IF(AND(OFFSET(数出表_Excel【15時】!$A$1,A86+3,H86)&lt;&gt;"",OFFSET(数出表_Excel【15時】!$A$1,A86+3,H86)&lt;&gt;0),
OFFSET(数出表_Excel【15時】!$A$1,A86+3,H86),""),"")</f>
        <v/>
      </c>
      <c r="L86" s="209" t="str">
        <f t="array" aca="1" ref="L86" ca="1">IF(B86&lt;&gt;"",
IFERROR(MATCH(TRUE,ISNUMBER(INDIRECT("数出表_Excel【15時】!"&amp;SUBSTITUTE(ADDRESS(1,H86+2,4),"1","")&amp;(A86+4)&amp;":ZZ"&amp;(A86+4))),0)+H86+1,""),"")</f>
        <v/>
      </c>
      <c r="M86" t="str">
        <f ca="1">IF(L86&lt;&gt;"",
OFFSET(数出表_Excel【15時】!$A$1,2,L86-1)
&amp;IFERROR(OFFSET(数出表_Excel【15時】!$A$1,3,L86-1),"")
&amp;IFERROR(OFFSET(数出表_Excel【15時】!$A$1,4,L86-1),""),"")</f>
        <v/>
      </c>
      <c r="N86" t="str">
        <f ca="1">IF(L86&lt;&gt;"",
OFFSET(数出表_Excel【15時】!$A$1,A86+3,L86-1),"")</f>
        <v/>
      </c>
      <c r="O86" t="str">
        <f ca="1">IF(L86&lt;&gt;"",
IF(AND(OFFSET(数出表_Excel【15時】!$A$1,A86+3,L86)&lt;&gt;"",OFFSET(数出表_Excel【15時】!$A$1,A86+3,L86)&lt;&gt;0),
OFFSET(数出表_Excel【15時】!$A$1,A86+3,L86),""),"")</f>
        <v/>
      </c>
      <c r="Q86" t="str">
        <f ca="1">IF(C86&lt;&gt;"",
IF(E86&lt;&gt;"",1,0)+IF(I86&lt;&gt;"",1,0)+IF(M86&lt;&gt;"",1,0),"")</f>
        <v/>
      </c>
      <c r="AH86" t="str">
        <f t="array" aca="1" ref="AH86" ca="1">IFERROR(SMALL(IF(O$1:O$307&lt;&gt;0,O$1:O$307),ROW(AH86)),"")</f>
        <v/>
      </c>
      <c r="AI86" t="str">
        <f t="array" aca="1" ref="AI86" ca="1">IF($T86&lt;&gt;"",
SUBSTITUTE(SUBSTITUTE(INDIRECT("B"&amp;$T86&amp;"")," 週3ｺｰｽ","")," 週5ｺｰｽ",""),"")</f>
        <v/>
      </c>
    </row>
    <row r="87" spans="1:35">
      <c r="A87" t="str">
        <f t="shared" ca="1" si="1"/>
        <v/>
      </c>
      <c r="B87" t="str">
        <f t="array" aca="1" ref="B87" ca="1">IF(OR(COUNTIF(数出表_Excel【15時】!AO90,"*修正*"),COUNTIF(数出表_Excel【15時】!AO91,"*修正*")),
IF(ISEVEN(ROW()+4),INDIRECT("数出表_Excel【15時】!A"&amp;ROW()+4&amp;""),INDIRECT("数出表_Excel【15時】!A"&amp;ROW()+4-1&amp;"")),"")</f>
        <v/>
      </c>
      <c r="C87" t="str">
        <f t="array" aca="1" ref="C87" ca="1">IF(OR(COUNTIF(数出表_Excel【15時】!AO90,"*修正*"),COUNTIF(数出表_Excel【15時】!AO91,"*修正*")),
IF(ISEVEN(ROW()+4),INDIRECT("数出表_Excel【15時】!A"&amp;ROW()+4+1&amp;""),INDIRECT("数出表_Excel【15時】!A"&amp;ROW()+4&amp;"")),"")</f>
        <v/>
      </c>
      <c r="D87" s="209" t="str">
        <f t="array" aca="1" ref="D87" ca="1">IF(B87&lt;&gt;"",
IFERROR(MATCH(TRUE,ISNUMBER(INDIRECT("数出表_Excel【15時】!B"&amp;(A87+4)&amp;":ZZ"&amp;(A87+4))),0)+1,""),"")</f>
        <v/>
      </c>
      <c r="E87" t="str">
        <f ca="1">IF(D87&lt;&gt;"",
OFFSET(数出表_Excel【15時】!$A$1,2,D87-1)
&amp;IFERROR(OFFSET(数出表_Excel【15時】!$A$1,3,D87-1),"")
&amp;IFERROR(OFFSET(数出表_Excel【15時】!$A$1,4,D87-1),""),"")</f>
        <v/>
      </c>
      <c r="F87" t="str">
        <f ca="1">IF(D87&lt;&gt;"",
OFFSET(数出表_Excel【15時】!$A$1,A87+3,D87-1),"")</f>
        <v/>
      </c>
      <c r="G87" t="str">
        <f ca="1">IF(D87&lt;&gt;"",
IF(AND(OFFSET(数出表_Excel【15時】!$A$1,A87+3,D87)&lt;&gt;"",OFFSET(数出表_Excel【15時】!$A$1,A87+3,D87)&lt;&gt;0),
OFFSET(数出表_Excel【15時】!$A$1,A87+3,D87),""),"")</f>
        <v/>
      </c>
      <c r="H87" s="209" t="str">
        <f t="array" aca="1" ref="H87" ca="1">IF(B87&lt;&gt;"",
IFERROR(MATCH(TRUE,ISNUMBER(INDIRECT("数出表_Excel【15時】!"&amp;SUBSTITUTE(ADDRESS(1,D87+2,4),"1","")&amp;(A87+4)&amp;":ZZ"&amp;(A87+4))),0)+D87+1,""),"")</f>
        <v/>
      </c>
      <c r="I87" t="str">
        <f ca="1">IF(H87&lt;&gt;"",
OFFSET(数出表_Excel【15時】!$A$1,2,H87-1)
&amp;IFERROR(OFFSET(数出表_Excel【15時】!$A$1,3,H87-1),"")
&amp;IFERROR(OFFSET(数出表_Excel【15時】!$A$1,4,H87-1),""),"")</f>
        <v/>
      </c>
      <c r="J87" t="str">
        <f ca="1">IF(H87&lt;&gt;"",
OFFSET(数出表_Excel【15時】!$A$1,A87+3,H87-1),"")</f>
        <v/>
      </c>
      <c r="K87" t="str">
        <f ca="1">IF(H87&lt;&gt;"",
IF(AND(OFFSET(数出表_Excel【15時】!$A$1,A87+3,H87)&lt;&gt;"",OFFSET(数出表_Excel【15時】!$A$1,A87+3,H87)&lt;&gt;0),
OFFSET(数出表_Excel【15時】!$A$1,A87+3,H87),""),"")</f>
        <v/>
      </c>
      <c r="L87" s="209" t="str">
        <f t="array" aca="1" ref="L87" ca="1">IF(B87&lt;&gt;"",
IFERROR(MATCH(TRUE,ISNUMBER(INDIRECT("数出表_Excel【15時】!"&amp;SUBSTITUTE(ADDRESS(1,H87+2,4),"1","")&amp;(A87+4)&amp;":ZZ"&amp;(A87+4))),0)+H87+1,""),"")</f>
        <v/>
      </c>
      <c r="M87" t="str">
        <f ca="1">IF(L87&lt;&gt;"",
OFFSET(数出表_Excel【15時】!$A$1,2,L87-1)
&amp;IFERROR(OFFSET(数出表_Excel【15時】!$A$1,3,L87-1),"")
&amp;IFERROR(OFFSET(数出表_Excel【15時】!$A$1,4,L87-1),""),"")</f>
        <v/>
      </c>
      <c r="N87" t="str">
        <f ca="1">IF(L87&lt;&gt;"",
OFFSET(数出表_Excel【15時】!$A$1,A87+3,L87-1),"")</f>
        <v/>
      </c>
      <c r="O87" t="str">
        <f ca="1">IF(L87&lt;&gt;"",
IF(AND(OFFSET(数出表_Excel【15時】!$A$1,A87+3,L87)&lt;&gt;"",OFFSET(数出表_Excel【15時】!$A$1,A87+3,L87)&lt;&gt;0),
OFFSET(数出表_Excel【15時】!$A$1,A87+3,L87),""),"")</f>
        <v/>
      </c>
      <c r="AH87" t="str">
        <f t="array" aca="1" ref="AH87" ca="1">IFERROR(SMALL(IF(O$1:O$307&lt;&gt;0,O$1:O$307),ROW(AH87)),"")</f>
        <v/>
      </c>
      <c r="AI87" t="str">
        <f t="array" aca="1" ref="AI87" ca="1">IF($T87&lt;&gt;"",
SUBSTITUTE(SUBSTITUTE(INDIRECT("B"&amp;$T87&amp;"")," 週3ｺｰｽ","")," 週5ｺｰｽ",""),"")</f>
        <v/>
      </c>
    </row>
    <row r="88" spans="1:35">
      <c r="A88" t="str">
        <f t="shared" ca="1" si="1"/>
        <v/>
      </c>
      <c r="B88" t="str">
        <f t="array" aca="1" ref="B88" ca="1">IF(OR(COUNTIF(数出表_Excel【15時】!AO92,"*修正*"),COUNTIF(数出表_Excel【15時】!AO93,"*修正*")),
IF(ISEVEN(ROW()+4),INDIRECT("数出表_Excel【15時】!A"&amp;ROW()+4&amp;""),INDIRECT("数出表_Excel【15時】!A"&amp;ROW()+4-1&amp;"")),"")</f>
        <v/>
      </c>
      <c r="C88" t="str">
        <f t="array" aca="1" ref="C88" ca="1">IF(OR(COUNTIF(数出表_Excel【15時】!AO92,"*修正*"),COUNTIF(数出表_Excel【15時】!AO93,"*修正*")),
IF(ISEVEN(ROW()+4),INDIRECT("数出表_Excel【15時】!A"&amp;ROW()+4+1&amp;""),INDIRECT("数出表_Excel【15時】!A"&amp;ROW()+4&amp;"")),"")</f>
        <v/>
      </c>
      <c r="D88" s="209" t="str">
        <f t="array" aca="1" ref="D88" ca="1">IF(B88&lt;&gt;"",
IFERROR(MATCH(TRUE,ISNUMBER(INDIRECT("数出表_Excel【15時】!B"&amp;(A88+4)&amp;":ZZ"&amp;(A88+4))),0)+1,""),"")</f>
        <v/>
      </c>
      <c r="E88" t="str">
        <f ca="1">IF(D88&lt;&gt;"",
OFFSET(数出表_Excel【15時】!$A$1,2,D88-1)
&amp;IFERROR(OFFSET(数出表_Excel【15時】!$A$1,3,D88-1),"")
&amp;IFERROR(OFFSET(数出表_Excel【15時】!$A$1,4,D88-1),""),"")</f>
        <v/>
      </c>
      <c r="F88" t="str">
        <f ca="1">IF(D88&lt;&gt;"",
OFFSET(数出表_Excel【15時】!$A$1,A88+3,D88-1),"")</f>
        <v/>
      </c>
      <c r="G88" t="str">
        <f ca="1">IF(D88&lt;&gt;"",
IF(AND(OFFSET(数出表_Excel【15時】!$A$1,A88+3,D88)&lt;&gt;"",OFFSET(数出表_Excel【15時】!$A$1,A88+3,D88)&lt;&gt;0),
OFFSET(数出表_Excel【15時】!$A$1,A88+3,D88),""),"")</f>
        <v/>
      </c>
      <c r="H88" s="209" t="str">
        <f t="array" aca="1" ref="H88" ca="1">IF(B88&lt;&gt;"",
IFERROR(MATCH(TRUE,ISNUMBER(INDIRECT("数出表_Excel【15時】!"&amp;SUBSTITUTE(ADDRESS(1,D88+2,4),"1","")&amp;(A88+4)&amp;":ZZ"&amp;(A88+4))),0)+D88+1,""),"")</f>
        <v/>
      </c>
      <c r="I88" t="str">
        <f ca="1">IF(H88&lt;&gt;"",
OFFSET(数出表_Excel【15時】!$A$1,2,H88-1)
&amp;IFERROR(OFFSET(数出表_Excel【15時】!$A$1,3,H88-1),"")
&amp;IFERROR(OFFSET(数出表_Excel【15時】!$A$1,4,H88-1),""),"")</f>
        <v/>
      </c>
      <c r="J88" t="str">
        <f ca="1">IF(H88&lt;&gt;"",
OFFSET(数出表_Excel【15時】!$A$1,A88+3,H88-1),"")</f>
        <v/>
      </c>
      <c r="K88" t="str">
        <f ca="1">IF(H88&lt;&gt;"",
IF(AND(OFFSET(数出表_Excel【15時】!$A$1,A88+3,H88)&lt;&gt;"",OFFSET(数出表_Excel【15時】!$A$1,A88+3,H88)&lt;&gt;0),
OFFSET(数出表_Excel【15時】!$A$1,A88+3,H88),""),"")</f>
        <v/>
      </c>
      <c r="L88" s="209" t="str">
        <f t="array" aca="1" ref="L88" ca="1">IF(B88&lt;&gt;"",
IFERROR(MATCH(TRUE,ISNUMBER(INDIRECT("数出表_Excel【15時】!"&amp;SUBSTITUTE(ADDRESS(1,H88+2,4),"1","")&amp;(A88+4)&amp;":ZZ"&amp;(A88+4))),0)+H88+1,""),"")</f>
        <v/>
      </c>
      <c r="M88" t="str">
        <f ca="1">IF(L88&lt;&gt;"",
OFFSET(数出表_Excel【15時】!$A$1,2,L88-1)
&amp;IFERROR(OFFSET(数出表_Excel【15時】!$A$1,3,L88-1),"")
&amp;IFERROR(OFFSET(数出表_Excel【15時】!$A$1,4,L88-1),""),"")</f>
        <v/>
      </c>
      <c r="N88" t="str">
        <f ca="1">IF(L88&lt;&gt;"",
OFFSET(数出表_Excel【15時】!$A$1,A88+3,L88-1),"")</f>
        <v/>
      </c>
      <c r="O88" t="str">
        <f ca="1">IF(L88&lt;&gt;"",
IF(AND(OFFSET(数出表_Excel【15時】!$A$1,A88+3,L88)&lt;&gt;"",OFFSET(数出表_Excel【15時】!$A$1,A88+3,L88)&lt;&gt;0),
OFFSET(数出表_Excel【15時】!$A$1,A88+3,L88),""),"")</f>
        <v/>
      </c>
      <c r="Q88" t="str">
        <f ca="1">IF(C88&lt;&gt;"",
IF(E88&lt;&gt;"",1,0)+IF(I88&lt;&gt;"",1,0)+IF(M88&lt;&gt;"",1,0),"")</f>
        <v/>
      </c>
      <c r="AH88" t="str">
        <f t="array" aca="1" ref="AH88" ca="1">IFERROR(SMALL(IF(O$1:O$307&lt;&gt;0,O$1:O$307),ROW(AH88)),"")</f>
        <v/>
      </c>
      <c r="AI88" t="str">
        <f t="array" aca="1" ref="AI88" ca="1">IF($T88&lt;&gt;"",
SUBSTITUTE(SUBSTITUTE(INDIRECT("B"&amp;$T88&amp;"")," 週3ｺｰｽ","")," 週5ｺｰｽ",""),"")</f>
        <v/>
      </c>
    </row>
    <row r="89" spans="1:35">
      <c r="A89" t="str">
        <f t="shared" ca="1" si="1"/>
        <v/>
      </c>
      <c r="B89" t="str">
        <f t="array" aca="1" ref="B89" ca="1">IF(OR(COUNTIF(数出表_Excel【15時】!AO92,"*修正*"),COUNTIF(数出表_Excel【15時】!AO93,"*修正*")),
IF(ISEVEN(ROW()+4),INDIRECT("数出表_Excel【15時】!A"&amp;ROW()+4&amp;""),INDIRECT("数出表_Excel【15時】!A"&amp;ROW()+4-1&amp;"")),"")</f>
        <v/>
      </c>
      <c r="C89" t="str">
        <f t="array" aca="1" ref="C89" ca="1">IF(OR(COUNTIF(数出表_Excel【15時】!AO92,"*修正*"),COUNTIF(数出表_Excel【15時】!AO93,"*修正*")),
IF(ISEVEN(ROW()+4),INDIRECT("数出表_Excel【15時】!A"&amp;ROW()+4+1&amp;""),INDIRECT("数出表_Excel【15時】!A"&amp;ROW()+4&amp;"")),"")</f>
        <v/>
      </c>
      <c r="D89" s="209" t="str">
        <f t="array" aca="1" ref="D89" ca="1">IF(B89&lt;&gt;"",
IFERROR(MATCH(TRUE,ISNUMBER(INDIRECT("数出表_Excel【15時】!B"&amp;(A89+4)&amp;":ZZ"&amp;(A89+4))),0)+1,""),"")</f>
        <v/>
      </c>
      <c r="E89" t="str">
        <f ca="1">IF(D89&lt;&gt;"",
OFFSET(数出表_Excel【15時】!$A$1,2,D89-1)
&amp;IFERROR(OFFSET(数出表_Excel【15時】!$A$1,3,D89-1),"")
&amp;IFERROR(OFFSET(数出表_Excel【15時】!$A$1,4,D89-1),""),"")</f>
        <v/>
      </c>
      <c r="F89" t="str">
        <f ca="1">IF(D89&lt;&gt;"",
OFFSET(数出表_Excel【15時】!$A$1,A89+3,D89-1),"")</f>
        <v/>
      </c>
      <c r="G89" t="str">
        <f ca="1">IF(D89&lt;&gt;"",
IF(AND(OFFSET(数出表_Excel【15時】!$A$1,A89+3,D89)&lt;&gt;"",OFFSET(数出表_Excel【15時】!$A$1,A89+3,D89)&lt;&gt;0),
OFFSET(数出表_Excel【15時】!$A$1,A89+3,D89),""),"")</f>
        <v/>
      </c>
      <c r="H89" s="209" t="str">
        <f t="array" aca="1" ref="H89" ca="1">IF(B89&lt;&gt;"",
IFERROR(MATCH(TRUE,ISNUMBER(INDIRECT("数出表_Excel【15時】!"&amp;SUBSTITUTE(ADDRESS(1,D89+2,4),"1","")&amp;(A89+4)&amp;":ZZ"&amp;(A89+4))),0)+D89+1,""),"")</f>
        <v/>
      </c>
      <c r="I89" t="str">
        <f ca="1">IF(H89&lt;&gt;"",
OFFSET(数出表_Excel【15時】!$A$1,2,H89-1)
&amp;IFERROR(OFFSET(数出表_Excel【15時】!$A$1,3,H89-1),"")
&amp;IFERROR(OFFSET(数出表_Excel【15時】!$A$1,4,H89-1),""),"")</f>
        <v/>
      </c>
      <c r="J89" t="str">
        <f ca="1">IF(H89&lt;&gt;"",
OFFSET(数出表_Excel【15時】!$A$1,A89+3,H89-1),"")</f>
        <v/>
      </c>
      <c r="K89" t="str">
        <f ca="1">IF(H89&lt;&gt;"",
IF(AND(OFFSET(数出表_Excel【15時】!$A$1,A89+3,H89)&lt;&gt;"",OFFSET(数出表_Excel【15時】!$A$1,A89+3,H89)&lt;&gt;0),
OFFSET(数出表_Excel【15時】!$A$1,A89+3,H89),""),"")</f>
        <v/>
      </c>
      <c r="L89" s="209" t="str">
        <f t="array" aca="1" ref="L89" ca="1">IF(B89&lt;&gt;"",
IFERROR(MATCH(TRUE,ISNUMBER(INDIRECT("数出表_Excel【15時】!"&amp;SUBSTITUTE(ADDRESS(1,H89+2,4),"1","")&amp;(A89+4)&amp;":ZZ"&amp;(A89+4))),0)+H89+1,""),"")</f>
        <v/>
      </c>
      <c r="M89" t="str">
        <f ca="1">IF(L89&lt;&gt;"",
OFFSET(数出表_Excel【15時】!$A$1,2,L89-1)
&amp;IFERROR(OFFSET(数出表_Excel【15時】!$A$1,3,L89-1),"")
&amp;IFERROR(OFFSET(数出表_Excel【15時】!$A$1,4,L89-1),""),"")</f>
        <v/>
      </c>
      <c r="N89" t="str">
        <f ca="1">IF(L89&lt;&gt;"",
OFFSET(数出表_Excel【15時】!$A$1,A89+3,L89-1),"")</f>
        <v/>
      </c>
      <c r="O89" t="str">
        <f ca="1">IF(L89&lt;&gt;"",
IF(AND(OFFSET(数出表_Excel【15時】!$A$1,A89+3,L89)&lt;&gt;"",OFFSET(数出表_Excel【15時】!$A$1,A89+3,L89)&lt;&gt;0),
OFFSET(数出表_Excel【15時】!$A$1,A89+3,L89),""),"")</f>
        <v/>
      </c>
      <c r="AH89" t="str">
        <f t="array" aca="1" ref="AH89" ca="1">IFERROR(SMALL(IF(O$1:O$307&lt;&gt;0,O$1:O$307),ROW(AH89)),"")</f>
        <v/>
      </c>
      <c r="AI89" t="str">
        <f t="array" aca="1" ref="AI89" ca="1">IF($T89&lt;&gt;"",
SUBSTITUTE(SUBSTITUTE(INDIRECT("B"&amp;$T89&amp;"")," 週3ｺｰｽ","")," 週5ｺｰｽ",""),"")</f>
        <v/>
      </c>
    </row>
    <row r="90" spans="1:35">
      <c r="A90" t="str">
        <f t="shared" ca="1" si="1"/>
        <v/>
      </c>
      <c r="B90" t="str">
        <f t="array" aca="1" ref="B90" ca="1">IF(OR(COUNTIF(数出表_Excel【15時】!AO94,"*修正*"),COUNTIF(数出表_Excel【15時】!AO95,"*修正*")),
IF(ISEVEN(ROW()+4),INDIRECT("数出表_Excel【15時】!A"&amp;ROW()+4&amp;""),INDIRECT("数出表_Excel【15時】!A"&amp;ROW()+4-1&amp;"")),"")</f>
        <v/>
      </c>
      <c r="C90" t="str">
        <f t="array" aca="1" ref="C90" ca="1">IF(OR(COUNTIF(数出表_Excel【15時】!AO94,"*修正*"),COUNTIF(数出表_Excel【15時】!AO95,"*修正*")),
IF(ISEVEN(ROW()+4),INDIRECT("数出表_Excel【15時】!A"&amp;ROW()+4+1&amp;""),INDIRECT("数出表_Excel【15時】!A"&amp;ROW()+4&amp;"")),"")</f>
        <v/>
      </c>
      <c r="D90" s="209" t="str">
        <f t="array" aca="1" ref="D90" ca="1">IF(B90&lt;&gt;"",
IFERROR(MATCH(TRUE,ISNUMBER(INDIRECT("数出表_Excel【15時】!B"&amp;(A90+4)&amp;":ZZ"&amp;(A90+4))),0)+1,""),"")</f>
        <v/>
      </c>
      <c r="E90" t="str">
        <f ca="1">IF(D90&lt;&gt;"",
OFFSET(数出表_Excel【15時】!$A$1,2,D90-1)
&amp;IFERROR(OFFSET(数出表_Excel【15時】!$A$1,3,D90-1),"")
&amp;IFERROR(OFFSET(数出表_Excel【15時】!$A$1,4,D90-1),""),"")</f>
        <v/>
      </c>
      <c r="F90" t="str">
        <f ca="1">IF(D90&lt;&gt;"",
OFFSET(数出表_Excel【15時】!$A$1,A90+3,D90-1),"")</f>
        <v/>
      </c>
      <c r="G90" t="str">
        <f ca="1">IF(D90&lt;&gt;"",
IF(AND(OFFSET(数出表_Excel【15時】!$A$1,A90+3,D90)&lt;&gt;"",OFFSET(数出表_Excel【15時】!$A$1,A90+3,D90)&lt;&gt;0),
OFFSET(数出表_Excel【15時】!$A$1,A90+3,D90),""),"")</f>
        <v/>
      </c>
      <c r="H90" s="209" t="str">
        <f t="array" aca="1" ref="H90" ca="1">IF(B90&lt;&gt;"",
IFERROR(MATCH(TRUE,ISNUMBER(INDIRECT("数出表_Excel【15時】!"&amp;SUBSTITUTE(ADDRESS(1,D90+2,4),"1","")&amp;(A90+4)&amp;":ZZ"&amp;(A90+4))),0)+D90+1,""),"")</f>
        <v/>
      </c>
      <c r="I90" t="str">
        <f ca="1">IF(H90&lt;&gt;"",
OFFSET(数出表_Excel【15時】!$A$1,2,H90-1)
&amp;IFERROR(OFFSET(数出表_Excel【15時】!$A$1,3,H90-1),"")
&amp;IFERROR(OFFSET(数出表_Excel【15時】!$A$1,4,H90-1),""),"")</f>
        <v/>
      </c>
      <c r="J90" t="str">
        <f ca="1">IF(H90&lt;&gt;"",
OFFSET(数出表_Excel【15時】!$A$1,A90+3,H90-1),"")</f>
        <v/>
      </c>
      <c r="K90" t="str">
        <f ca="1">IF(H90&lt;&gt;"",
IF(AND(OFFSET(数出表_Excel【15時】!$A$1,A90+3,H90)&lt;&gt;"",OFFSET(数出表_Excel【15時】!$A$1,A90+3,H90)&lt;&gt;0),
OFFSET(数出表_Excel【15時】!$A$1,A90+3,H90),""),"")</f>
        <v/>
      </c>
      <c r="L90" s="209" t="str">
        <f t="array" aca="1" ref="L90" ca="1">IF(B90&lt;&gt;"",
IFERROR(MATCH(TRUE,ISNUMBER(INDIRECT("数出表_Excel【15時】!"&amp;SUBSTITUTE(ADDRESS(1,H90+2,4),"1","")&amp;(A90+4)&amp;":ZZ"&amp;(A90+4))),0)+H90+1,""),"")</f>
        <v/>
      </c>
      <c r="M90" t="str">
        <f ca="1">IF(L90&lt;&gt;"",
OFFSET(数出表_Excel【15時】!$A$1,2,L90-1)
&amp;IFERROR(OFFSET(数出表_Excel【15時】!$A$1,3,L90-1),"")
&amp;IFERROR(OFFSET(数出表_Excel【15時】!$A$1,4,L90-1),""),"")</f>
        <v/>
      </c>
      <c r="N90" t="str">
        <f ca="1">IF(L90&lt;&gt;"",
OFFSET(数出表_Excel【15時】!$A$1,A90+3,L90-1),"")</f>
        <v/>
      </c>
      <c r="O90" t="str">
        <f ca="1">IF(L90&lt;&gt;"",
IF(AND(OFFSET(数出表_Excel【15時】!$A$1,A90+3,L90)&lt;&gt;"",OFFSET(数出表_Excel【15時】!$A$1,A90+3,L90)&lt;&gt;0),
OFFSET(数出表_Excel【15時】!$A$1,A90+3,L90),""),"")</f>
        <v/>
      </c>
      <c r="Q90" t="str">
        <f ca="1">IF(C90&lt;&gt;"",
IF(E90&lt;&gt;"",1,0)+IF(I90&lt;&gt;"",1,0)+IF(M90&lt;&gt;"",1,0),"")</f>
        <v/>
      </c>
      <c r="AH90" t="str">
        <f t="array" aca="1" ref="AH90" ca="1">IFERROR(SMALL(IF(O$1:O$307&lt;&gt;0,O$1:O$307),ROW(AH90)),"")</f>
        <v/>
      </c>
      <c r="AI90" t="str">
        <f t="array" aca="1" ref="AI90" ca="1">IF($T90&lt;&gt;"",
SUBSTITUTE(SUBSTITUTE(INDIRECT("B"&amp;$T90&amp;"")," 週3ｺｰｽ","")," 週5ｺｰｽ",""),"")</f>
        <v/>
      </c>
    </row>
    <row r="91" spans="1:35">
      <c r="A91" t="str">
        <f t="shared" ca="1" si="1"/>
        <v/>
      </c>
      <c r="B91" t="str">
        <f t="array" aca="1" ref="B91" ca="1">IF(OR(COUNTIF(数出表_Excel【15時】!AO94,"*修正*"),COUNTIF(数出表_Excel【15時】!AO95,"*修正*")),
IF(ISEVEN(ROW()+4),INDIRECT("数出表_Excel【15時】!A"&amp;ROW()+4&amp;""),INDIRECT("数出表_Excel【15時】!A"&amp;ROW()+4-1&amp;"")),"")</f>
        <v/>
      </c>
      <c r="C91" t="str">
        <f t="array" aca="1" ref="C91" ca="1">IF(OR(COUNTIF(数出表_Excel【15時】!AO94,"*修正*"),COUNTIF(数出表_Excel【15時】!AO95,"*修正*")),
IF(ISEVEN(ROW()+4),INDIRECT("数出表_Excel【15時】!A"&amp;ROW()+4+1&amp;""),INDIRECT("数出表_Excel【15時】!A"&amp;ROW()+4&amp;"")),"")</f>
        <v/>
      </c>
      <c r="D91" s="209" t="str">
        <f t="array" aca="1" ref="D91" ca="1">IF(B91&lt;&gt;"",
IFERROR(MATCH(TRUE,ISNUMBER(INDIRECT("数出表_Excel【15時】!B"&amp;(A91+4)&amp;":ZZ"&amp;(A91+4))),0)+1,""),"")</f>
        <v/>
      </c>
      <c r="E91" t="str">
        <f ca="1">IF(D91&lt;&gt;"",
OFFSET(数出表_Excel【15時】!$A$1,2,D91-1)
&amp;IFERROR(OFFSET(数出表_Excel【15時】!$A$1,3,D91-1),"")
&amp;IFERROR(OFFSET(数出表_Excel【15時】!$A$1,4,D91-1),""),"")</f>
        <v/>
      </c>
      <c r="F91" t="str">
        <f ca="1">IF(D91&lt;&gt;"",
OFFSET(数出表_Excel【15時】!$A$1,A91+3,D91-1),"")</f>
        <v/>
      </c>
      <c r="G91" t="str">
        <f ca="1">IF(D91&lt;&gt;"",
IF(AND(OFFSET(数出表_Excel【15時】!$A$1,A91+3,D91)&lt;&gt;"",OFFSET(数出表_Excel【15時】!$A$1,A91+3,D91)&lt;&gt;0),
OFFSET(数出表_Excel【15時】!$A$1,A91+3,D91),""),"")</f>
        <v/>
      </c>
      <c r="H91" s="209" t="str">
        <f t="array" aca="1" ref="H91" ca="1">IF(B91&lt;&gt;"",
IFERROR(MATCH(TRUE,ISNUMBER(INDIRECT("数出表_Excel【15時】!"&amp;SUBSTITUTE(ADDRESS(1,D91+2,4),"1","")&amp;(A91+4)&amp;":ZZ"&amp;(A91+4))),0)+D91+1,""),"")</f>
        <v/>
      </c>
      <c r="I91" t="str">
        <f ca="1">IF(H91&lt;&gt;"",
OFFSET(数出表_Excel【15時】!$A$1,2,H91-1)
&amp;IFERROR(OFFSET(数出表_Excel【15時】!$A$1,3,H91-1),"")
&amp;IFERROR(OFFSET(数出表_Excel【15時】!$A$1,4,H91-1),""),"")</f>
        <v/>
      </c>
      <c r="J91" t="str">
        <f ca="1">IF(H91&lt;&gt;"",
OFFSET(数出表_Excel【15時】!$A$1,A91+3,H91-1),"")</f>
        <v/>
      </c>
      <c r="K91" t="str">
        <f ca="1">IF(H91&lt;&gt;"",
IF(AND(OFFSET(数出表_Excel【15時】!$A$1,A91+3,H91)&lt;&gt;"",OFFSET(数出表_Excel【15時】!$A$1,A91+3,H91)&lt;&gt;0),
OFFSET(数出表_Excel【15時】!$A$1,A91+3,H91),""),"")</f>
        <v/>
      </c>
      <c r="L91" s="209" t="str">
        <f t="array" aca="1" ref="L91" ca="1">IF(B91&lt;&gt;"",
IFERROR(MATCH(TRUE,ISNUMBER(INDIRECT("数出表_Excel【15時】!"&amp;SUBSTITUTE(ADDRESS(1,H91+2,4),"1","")&amp;(A91+4)&amp;":ZZ"&amp;(A91+4))),0)+H91+1,""),"")</f>
        <v/>
      </c>
      <c r="M91" t="str">
        <f ca="1">IF(L91&lt;&gt;"",
OFFSET(数出表_Excel【15時】!$A$1,2,L91-1)
&amp;IFERROR(OFFSET(数出表_Excel【15時】!$A$1,3,L91-1),"")
&amp;IFERROR(OFFSET(数出表_Excel【15時】!$A$1,4,L91-1),""),"")</f>
        <v/>
      </c>
      <c r="N91" t="str">
        <f ca="1">IF(L91&lt;&gt;"",
OFFSET(数出表_Excel【15時】!$A$1,A91+3,L91-1),"")</f>
        <v/>
      </c>
      <c r="O91" t="str">
        <f ca="1">IF(L91&lt;&gt;"",
IF(AND(OFFSET(数出表_Excel【15時】!$A$1,A91+3,L91)&lt;&gt;"",OFFSET(数出表_Excel【15時】!$A$1,A91+3,L91)&lt;&gt;0),
OFFSET(数出表_Excel【15時】!$A$1,A91+3,L91),""),"")</f>
        <v/>
      </c>
      <c r="AH91" t="str">
        <f t="array" aca="1" ref="AH91" ca="1">IFERROR(SMALL(IF(O$1:O$307&lt;&gt;0,O$1:O$307),ROW(AH91)),"")</f>
        <v/>
      </c>
      <c r="AI91" t="str">
        <f t="array" aca="1" ref="AI91" ca="1">IF($T91&lt;&gt;"",
SUBSTITUTE(SUBSTITUTE(INDIRECT("B"&amp;$T91&amp;"")," 週3ｺｰｽ","")," 週5ｺｰｽ",""),"")</f>
        <v/>
      </c>
    </row>
    <row r="92" spans="1:35">
      <c r="A92" t="str">
        <f t="shared" ca="1" si="1"/>
        <v/>
      </c>
      <c r="B92" t="str">
        <f t="array" aca="1" ref="B92" ca="1">IF(OR(COUNTIF(数出表_Excel【15時】!AO96,"*修正*"),COUNTIF(数出表_Excel【15時】!AO97,"*修正*")),
IF(ISEVEN(ROW()+4),INDIRECT("数出表_Excel【15時】!A"&amp;ROW()+4&amp;""),INDIRECT("数出表_Excel【15時】!A"&amp;ROW()+4-1&amp;"")),"")</f>
        <v/>
      </c>
      <c r="C92" t="str">
        <f t="array" aca="1" ref="C92" ca="1">IF(OR(COUNTIF(数出表_Excel【15時】!AO96,"*修正*"),COUNTIF(数出表_Excel【15時】!AO97,"*修正*")),
IF(ISEVEN(ROW()+4),INDIRECT("数出表_Excel【15時】!A"&amp;ROW()+4+1&amp;""),INDIRECT("数出表_Excel【15時】!A"&amp;ROW()+4&amp;"")),"")</f>
        <v/>
      </c>
      <c r="D92" s="209" t="str">
        <f t="array" aca="1" ref="D92" ca="1">IF(B92&lt;&gt;"",
IFERROR(MATCH(TRUE,ISNUMBER(INDIRECT("数出表_Excel【15時】!B"&amp;(A92+4)&amp;":ZZ"&amp;(A92+4))),0)+1,""),"")</f>
        <v/>
      </c>
      <c r="E92" t="str">
        <f ca="1">IF(D92&lt;&gt;"",
OFFSET(数出表_Excel【15時】!$A$1,2,D92-1)
&amp;IFERROR(OFFSET(数出表_Excel【15時】!$A$1,3,D92-1),"")
&amp;IFERROR(OFFSET(数出表_Excel【15時】!$A$1,4,D92-1),""),"")</f>
        <v/>
      </c>
      <c r="F92" t="str">
        <f ca="1">IF(D92&lt;&gt;"",
OFFSET(数出表_Excel【15時】!$A$1,A92+3,D92-1),"")</f>
        <v/>
      </c>
      <c r="G92" t="str">
        <f ca="1">IF(D92&lt;&gt;"",
IF(AND(OFFSET(数出表_Excel【15時】!$A$1,A92+3,D92)&lt;&gt;"",OFFSET(数出表_Excel【15時】!$A$1,A92+3,D92)&lt;&gt;0),
OFFSET(数出表_Excel【15時】!$A$1,A92+3,D92),""),"")</f>
        <v/>
      </c>
      <c r="H92" s="209" t="str">
        <f t="array" aca="1" ref="H92" ca="1">IF(B92&lt;&gt;"",
IFERROR(MATCH(TRUE,ISNUMBER(INDIRECT("数出表_Excel【15時】!"&amp;SUBSTITUTE(ADDRESS(1,D92+2,4),"1","")&amp;(A92+4)&amp;":ZZ"&amp;(A92+4))),0)+D92+1,""),"")</f>
        <v/>
      </c>
      <c r="I92" t="str">
        <f ca="1">IF(H92&lt;&gt;"",
OFFSET(数出表_Excel【15時】!$A$1,2,H92-1)
&amp;IFERROR(OFFSET(数出表_Excel【15時】!$A$1,3,H92-1),"")
&amp;IFERROR(OFFSET(数出表_Excel【15時】!$A$1,4,H92-1),""),"")</f>
        <v/>
      </c>
      <c r="J92" t="str">
        <f ca="1">IF(H92&lt;&gt;"",
OFFSET(数出表_Excel【15時】!$A$1,A92+3,H92-1),"")</f>
        <v/>
      </c>
      <c r="K92" t="str">
        <f ca="1">IF(H92&lt;&gt;"",
IF(AND(OFFSET(数出表_Excel【15時】!$A$1,A92+3,H92)&lt;&gt;"",OFFSET(数出表_Excel【15時】!$A$1,A92+3,H92)&lt;&gt;0),
OFFSET(数出表_Excel【15時】!$A$1,A92+3,H92),""),"")</f>
        <v/>
      </c>
      <c r="L92" s="209" t="str">
        <f t="array" aca="1" ref="L92" ca="1">IF(B92&lt;&gt;"",
IFERROR(MATCH(TRUE,ISNUMBER(INDIRECT("数出表_Excel【15時】!"&amp;SUBSTITUTE(ADDRESS(1,H92+2,4),"1","")&amp;(A92+4)&amp;":ZZ"&amp;(A92+4))),0)+H92+1,""),"")</f>
        <v/>
      </c>
      <c r="M92" t="str">
        <f ca="1">IF(L92&lt;&gt;"",
OFFSET(数出表_Excel【15時】!$A$1,2,L92-1)
&amp;IFERROR(OFFSET(数出表_Excel【15時】!$A$1,3,L92-1),"")
&amp;IFERROR(OFFSET(数出表_Excel【15時】!$A$1,4,L92-1),""),"")</f>
        <v/>
      </c>
      <c r="N92" t="str">
        <f ca="1">IF(L92&lt;&gt;"",
OFFSET(数出表_Excel【15時】!$A$1,A92+3,L92-1),"")</f>
        <v/>
      </c>
      <c r="O92" t="str">
        <f ca="1">IF(L92&lt;&gt;"",
IF(AND(OFFSET(数出表_Excel【15時】!$A$1,A92+3,L92)&lt;&gt;"",OFFSET(数出表_Excel【15時】!$A$1,A92+3,L92)&lt;&gt;0),
OFFSET(数出表_Excel【15時】!$A$1,A92+3,L92),""),"")</f>
        <v/>
      </c>
      <c r="Q92" t="str">
        <f ca="1">IF(C92&lt;&gt;"",
IF(E92&lt;&gt;"",1,0)+IF(I92&lt;&gt;"",1,0)+IF(M92&lt;&gt;"",1,0),"")</f>
        <v/>
      </c>
      <c r="AH92" t="str">
        <f t="array" aca="1" ref="AH92" ca="1">IFERROR(SMALL(IF(O$1:O$307&lt;&gt;0,O$1:O$307),ROW(AH92)),"")</f>
        <v/>
      </c>
      <c r="AI92" t="str">
        <f t="array" aca="1" ref="AI92" ca="1">IF($T92&lt;&gt;"",
SUBSTITUTE(SUBSTITUTE(INDIRECT("B"&amp;$T92&amp;"")," 週3ｺｰｽ","")," 週5ｺｰｽ",""),"")</f>
        <v/>
      </c>
    </row>
    <row r="93" spans="1:35">
      <c r="A93" t="str">
        <f t="shared" ca="1" si="1"/>
        <v/>
      </c>
      <c r="B93" t="str">
        <f t="array" aca="1" ref="B93" ca="1">IF(OR(COUNTIF(数出表_Excel【15時】!AO96,"*修正*"),COUNTIF(数出表_Excel【15時】!AO97,"*修正*")),
IF(ISEVEN(ROW()+4),INDIRECT("数出表_Excel【15時】!A"&amp;ROW()+4&amp;""),INDIRECT("数出表_Excel【15時】!A"&amp;ROW()+4-1&amp;"")),"")</f>
        <v/>
      </c>
      <c r="C93" t="str">
        <f t="array" aca="1" ref="C93" ca="1">IF(OR(COUNTIF(数出表_Excel【15時】!AO96,"*修正*"),COUNTIF(数出表_Excel【15時】!AO97,"*修正*")),
IF(ISEVEN(ROW()+4),INDIRECT("数出表_Excel【15時】!A"&amp;ROW()+4+1&amp;""),INDIRECT("数出表_Excel【15時】!A"&amp;ROW()+4&amp;"")),"")</f>
        <v/>
      </c>
      <c r="D93" s="209" t="str">
        <f t="array" aca="1" ref="D93" ca="1">IF(B93&lt;&gt;"",
IFERROR(MATCH(TRUE,ISNUMBER(INDIRECT("数出表_Excel【15時】!B"&amp;(A93+4)&amp;":ZZ"&amp;(A93+4))),0)+1,""),"")</f>
        <v/>
      </c>
      <c r="E93" t="str">
        <f ca="1">IF(D93&lt;&gt;"",
OFFSET(数出表_Excel【15時】!$A$1,2,D93-1)
&amp;IFERROR(OFFSET(数出表_Excel【15時】!$A$1,3,D93-1),"")
&amp;IFERROR(OFFSET(数出表_Excel【15時】!$A$1,4,D93-1),""),"")</f>
        <v/>
      </c>
      <c r="F93" t="str">
        <f ca="1">IF(D93&lt;&gt;"",
OFFSET(数出表_Excel【15時】!$A$1,A93+3,D93-1),"")</f>
        <v/>
      </c>
      <c r="G93" t="str">
        <f ca="1">IF(D93&lt;&gt;"",
IF(AND(OFFSET(数出表_Excel【15時】!$A$1,A93+3,D93)&lt;&gt;"",OFFSET(数出表_Excel【15時】!$A$1,A93+3,D93)&lt;&gt;0),
OFFSET(数出表_Excel【15時】!$A$1,A93+3,D93),""),"")</f>
        <v/>
      </c>
      <c r="H93" s="209" t="str">
        <f t="array" aca="1" ref="H93" ca="1">IF(B93&lt;&gt;"",
IFERROR(MATCH(TRUE,ISNUMBER(INDIRECT("数出表_Excel【15時】!"&amp;SUBSTITUTE(ADDRESS(1,D93+2,4),"1","")&amp;(A93+4)&amp;":ZZ"&amp;(A93+4))),0)+D93+1,""),"")</f>
        <v/>
      </c>
      <c r="I93" t="str">
        <f ca="1">IF(H93&lt;&gt;"",
OFFSET(数出表_Excel【15時】!$A$1,2,H93-1)
&amp;IFERROR(OFFSET(数出表_Excel【15時】!$A$1,3,H93-1),"")
&amp;IFERROR(OFFSET(数出表_Excel【15時】!$A$1,4,H93-1),""),"")</f>
        <v/>
      </c>
      <c r="J93" t="str">
        <f ca="1">IF(H93&lt;&gt;"",
OFFSET(数出表_Excel【15時】!$A$1,A93+3,H93-1),"")</f>
        <v/>
      </c>
      <c r="K93" t="str">
        <f ca="1">IF(H93&lt;&gt;"",
IF(AND(OFFSET(数出表_Excel【15時】!$A$1,A93+3,H93)&lt;&gt;"",OFFSET(数出表_Excel【15時】!$A$1,A93+3,H93)&lt;&gt;0),
OFFSET(数出表_Excel【15時】!$A$1,A93+3,H93),""),"")</f>
        <v/>
      </c>
      <c r="L93" s="209" t="str">
        <f t="array" aca="1" ref="L93" ca="1">IF(B93&lt;&gt;"",
IFERROR(MATCH(TRUE,ISNUMBER(INDIRECT("数出表_Excel【15時】!"&amp;SUBSTITUTE(ADDRESS(1,H93+2,4),"1","")&amp;(A93+4)&amp;":ZZ"&amp;(A93+4))),0)+H93+1,""),"")</f>
        <v/>
      </c>
      <c r="M93" t="str">
        <f ca="1">IF(L93&lt;&gt;"",
OFFSET(数出表_Excel【15時】!$A$1,2,L93-1)
&amp;IFERROR(OFFSET(数出表_Excel【15時】!$A$1,3,L93-1),"")
&amp;IFERROR(OFFSET(数出表_Excel【15時】!$A$1,4,L93-1),""),"")</f>
        <v/>
      </c>
      <c r="N93" t="str">
        <f ca="1">IF(L93&lt;&gt;"",
OFFSET(数出表_Excel【15時】!$A$1,A93+3,L93-1),"")</f>
        <v/>
      </c>
      <c r="O93" t="str">
        <f ca="1">IF(L93&lt;&gt;"",
IF(AND(OFFSET(数出表_Excel【15時】!$A$1,A93+3,L93)&lt;&gt;"",OFFSET(数出表_Excel【15時】!$A$1,A93+3,L93)&lt;&gt;0),
OFFSET(数出表_Excel【15時】!$A$1,A93+3,L93),""),"")</f>
        <v/>
      </c>
      <c r="AH93" t="str">
        <f t="array" aca="1" ref="AH93" ca="1">IFERROR(SMALL(IF(O$1:O$307&lt;&gt;0,O$1:O$307),ROW(AH93)),"")</f>
        <v/>
      </c>
      <c r="AI93" t="str">
        <f t="array" aca="1" ref="AI93" ca="1">IF($T93&lt;&gt;"",
SUBSTITUTE(SUBSTITUTE(INDIRECT("B"&amp;$T93&amp;"")," 週3ｺｰｽ","")," 週5ｺｰｽ",""),"")</f>
        <v/>
      </c>
    </row>
    <row r="94" spans="1:35">
      <c r="A94" t="str">
        <f t="shared" ca="1" si="1"/>
        <v/>
      </c>
      <c r="B94" t="str">
        <f t="array" aca="1" ref="B94" ca="1">IF(OR(COUNTIF(数出表_Excel【15時】!AO98,"*修正*"),COUNTIF(数出表_Excel【15時】!AO99,"*修正*")),
IF(ISEVEN(ROW()+4),INDIRECT("数出表_Excel【15時】!A"&amp;ROW()+4&amp;""),INDIRECT("数出表_Excel【15時】!A"&amp;ROW()+4-1&amp;"")),"")</f>
        <v/>
      </c>
      <c r="C94" t="str">
        <f t="array" aca="1" ref="C94" ca="1">IF(OR(COUNTIF(数出表_Excel【15時】!AO98,"*修正*"),COUNTIF(数出表_Excel【15時】!AO99,"*修正*")),
IF(ISEVEN(ROW()+4),INDIRECT("数出表_Excel【15時】!A"&amp;ROW()+4+1&amp;""),INDIRECT("数出表_Excel【15時】!A"&amp;ROW()+4&amp;"")),"")</f>
        <v/>
      </c>
      <c r="D94" s="209" t="str">
        <f t="array" aca="1" ref="D94" ca="1">IF(B94&lt;&gt;"",
IFERROR(MATCH(TRUE,ISNUMBER(INDIRECT("数出表_Excel【15時】!B"&amp;(A94+4)&amp;":ZZ"&amp;(A94+4))),0)+1,""),"")</f>
        <v/>
      </c>
      <c r="E94" t="str">
        <f ca="1">IF(D94&lt;&gt;"",
OFFSET(数出表_Excel【15時】!$A$1,2,D94-1)
&amp;IFERROR(OFFSET(数出表_Excel【15時】!$A$1,3,D94-1),"")
&amp;IFERROR(OFFSET(数出表_Excel【15時】!$A$1,4,D94-1),""),"")</f>
        <v/>
      </c>
      <c r="F94" t="str">
        <f ca="1">IF(D94&lt;&gt;"",
OFFSET(数出表_Excel【15時】!$A$1,A94+3,D94-1),"")</f>
        <v/>
      </c>
      <c r="G94" t="str">
        <f ca="1">IF(D94&lt;&gt;"",
IF(AND(OFFSET(数出表_Excel【15時】!$A$1,A94+3,D94)&lt;&gt;"",OFFSET(数出表_Excel【15時】!$A$1,A94+3,D94)&lt;&gt;0),
OFFSET(数出表_Excel【15時】!$A$1,A94+3,D94),""),"")</f>
        <v/>
      </c>
      <c r="H94" s="209" t="str">
        <f t="array" aca="1" ref="H94" ca="1">IF(B94&lt;&gt;"",
IFERROR(MATCH(TRUE,ISNUMBER(INDIRECT("数出表_Excel【15時】!"&amp;SUBSTITUTE(ADDRESS(1,D94+2,4),"1","")&amp;(A94+4)&amp;":ZZ"&amp;(A94+4))),0)+D94+1,""),"")</f>
        <v/>
      </c>
      <c r="I94" t="str">
        <f ca="1">IF(H94&lt;&gt;"",
OFFSET(数出表_Excel【15時】!$A$1,2,H94-1)
&amp;IFERROR(OFFSET(数出表_Excel【15時】!$A$1,3,H94-1),"")
&amp;IFERROR(OFFSET(数出表_Excel【15時】!$A$1,4,H94-1),""),"")</f>
        <v/>
      </c>
      <c r="J94" t="str">
        <f ca="1">IF(H94&lt;&gt;"",
OFFSET(数出表_Excel【15時】!$A$1,A94+3,H94-1),"")</f>
        <v/>
      </c>
      <c r="K94" t="str">
        <f ca="1">IF(H94&lt;&gt;"",
IF(AND(OFFSET(数出表_Excel【15時】!$A$1,A94+3,H94)&lt;&gt;"",OFFSET(数出表_Excel【15時】!$A$1,A94+3,H94)&lt;&gt;0),
OFFSET(数出表_Excel【15時】!$A$1,A94+3,H94),""),"")</f>
        <v/>
      </c>
      <c r="L94" s="209" t="str">
        <f t="array" aca="1" ref="L94" ca="1">IF(B94&lt;&gt;"",
IFERROR(MATCH(TRUE,ISNUMBER(INDIRECT("数出表_Excel【15時】!"&amp;SUBSTITUTE(ADDRESS(1,H94+2,4),"1","")&amp;(A94+4)&amp;":ZZ"&amp;(A94+4))),0)+H94+1,""),"")</f>
        <v/>
      </c>
      <c r="M94" t="str">
        <f ca="1">IF(L94&lt;&gt;"",
OFFSET(数出表_Excel【15時】!$A$1,2,L94-1)
&amp;IFERROR(OFFSET(数出表_Excel【15時】!$A$1,3,L94-1),"")
&amp;IFERROR(OFFSET(数出表_Excel【15時】!$A$1,4,L94-1),""),"")</f>
        <v/>
      </c>
      <c r="N94" t="str">
        <f ca="1">IF(L94&lt;&gt;"",
OFFSET(数出表_Excel【15時】!$A$1,A94+3,L94-1),"")</f>
        <v/>
      </c>
      <c r="O94" t="str">
        <f ca="1">IF(L94&lt;&gt;"",
IF(AND(OFFSET(数出表_Excel【15時】!$A$1,A94+3,L94)&lt;&gt;"",OFFSET(数出表_Excel【15時】!$A$1,A94+3,L94)&lt;&gt;0),
OFFSET(数出表_Excel【15時】!$A$1,A94+3,L94),""),"")</f>
        <v/>
      </c>
      <c r="Q94" t="str">
        <f ca="1">IF(C94&lt;&gt;"",
IF(E94&lt;&gt;"",1,0)+IF(I94&lt;&gt;"",1,0)+IF(M94&lt;&gt;"",1,0),"")</f>
        <v/>
      </c>
      <c r="AH94" t="str">
        <f t="array" aca="1" ref="AH94" ca="1">IFERROR(SMALL(IF(O$1:O$307&lt;&gt;0,O$1:O$307),ROW(AH94)),"")</f>
        <v/>
      </c>
      <c r="AI94" t="str">
        <f t="array" aca="1" ref="AI94" ca="1">IF($T94&lt;&gt;"",
SUBSTITUTE(SUBSTITUTE(INDIRECT("B"&amp;$T94&amp;"")," 週3ｺｰｽ","")," 週5ｺｰｽ",""),"")</f>
        <v/>
      </c>
    </row>
    <row r="95" spans="1:35">
      <c r="A95" t="str">
        <f t="shared" ca="1" si="1"/>
        <v/>
      </c>
      <c r="B95" t="str">
        <f t="array" aca="1" ref="B95" ca="1">IF(OR(COUNTIF(数出表_Excel【15時】!AO98,"*修正*"),COUNTIF(数出表_Excel【15時】!AO99,"*修正*")),
IF(ISEVEN(ROW()+4),INDIRECT("数出表_Excel【15時】!A"&amp;ROW()+4&amp;""),INDIRECT("数出表_Excel【15時】!A"&amp;ROW()+4-1&amp;"")),"")</f>
        <v/>
      </c>
      <c r="C95" t="str">
        <f t="array" aca="1" ref="C95" ca="1">IF(OR(COUNTIF(数出表_Excel【15時】!AO98,"*修正*"),COUNTIF(数出表_Excel【15時】!AO99,"*修正*")),
IF(ISEVEN(ROW()+4),INDIRECT("数出表_Excel【15時】!A"&amp;ROW()+4+1&amp;""),INDIRECT("数出表_Excel【15時】!A"&amp;ROW()+4&amp;"")),"")</f>
        <v/>
      </c>
      <c r="D95" s="209" t="str">
        <f t="array" aca="1" ref="D95" ca="1">IF(B95&lt;&gt;"",
IFERROR(MATCH(TRUE,ISNUMBER(INDIRECT("数出表_Excel【15時】!B"&amp;(A95+4)&amp;":ZZ"&amp;(A95+4))),0)+1,""),"")</f>
        <v/>
      </c>
      <c r="E95" t="str">
        <f ca="1">IF(D95&lt;&gt;"",
OFFSET(数出表_Excel【15時】!$A$1,2,D95-1)
&amp;IFERROR(OFFSET(数出表_Excel【15時】!$A$1,3,D95-1),"")
&amp;IFERROR(OFFSET(数出表_Excel【15時】!$A$1,4,D95-1),""),"")</f>
        <v/>
      </c>
      <c r="F95" t="str">
        <f ca="1">IF(D95&lt;&gt;"",
OFFSET(数出表_Excel【15時】!$A$1,A95+3,D95-1),"")</f>
        <v/>
      </c>
      <c r="G95" t="str">
        <f ca="1">IF(D95&lt;&gt;"",
IF(AND(OFFSET(数出表_Excel【15時】!$A$1,A95+3,D95)&lt;&gt;"",OFFSET(数出表_Excel【15時】!$A$1,A95+3,D95)&lt;&gt;0),
OFFSET(数出表_Excel【15時】!$A$1,A95+3,D95),""),"")</f>
        <v/>
      </c>
      <c r="H95" s="209" t="str">
        <f t="array" aca="1" ref="H95" ca="1">IF(B95&lt;&gt;"",
IFERROR(MATCH(TRUE,ISNUMBER(INDIRECT("数出表_Excel【15時】!"&amp;SUBSTITUTE(ADDRESS(1,D95+2,4),"1","")&amp;(A95+4)&amp;":ZZ"&amp;(A95+4))),0)+D95+1,""),"")</f>
        <v/>
      </c>
      <c r="I95" t="str">
        <f ca="1">IF(H95&lt;&gt;"",
OFFSET(数出表_Excel【15時】!$A$1,2,H95-1)
&amp;IFERROR(OFFSET(数出表_Excel【15時】!$A$1,3,H95-1),"")
&amp;IFERROR(OFFSET(数出表_Excel【15時】!$A$1,4,H95-1),""),"")</f>
        <v/>
      </c>
      <c r="J95" t="str">
        <f ca="1">IF(H95&lt;&gt;"",
OFFSET(数出表_Excel【15時】!$A$1,A95+3,H95-1),"")</f>
        <v/>
      </c>
      <c r="K95" t="str">
        <f ca="1">IF(H95&lt;&gt;"",
IF(AND(OFFSET(数出表_Excel【15時】!$A$1,A95+3,H95)&lt;&gt;"",OFFSET(数出表_Excel【15時】!$A$1,A95+3,H95)&lt;&gt;0),
OFFSET(数出表_Excel【15時】!$A$1,A95+3,H95),""),"")</f>
        <v/>
      </c>
      <c r="L95" s="209" t="str">
        <f t="array" aca="1" ref="L95" ca="1">IF(B95&lt;&gt;"",
IFERROR(MATCH(TRUE,ISNUMBER(INDIRECT("数出表_Excel【15時】!"&amp;SUBSTITUTE(ADDRESS(1,H95+2,4),"1","")&amp;(A95+4)&amp;":ZZ"&amp;(A95+4))),0)+H95+1,""),"")</f>
        <v/>
      </c>
      <c r="M95" t="str">
        <f ca="1">IF(L95&lt;&gt;"",
OFFSET(数出表_Excel【15時】!$A$1,2,L95-1)
&amp;IFERROR(OFFSET(数出表_Excel【15時】!$A$1,3,L95-1),"")
&amp;IFERROR(OFFSET(数出表_Excel【15時】!$A$1,4,L95-1),""),"")</f>
        <v/>
      </c>
      <c r="N95" t="str">
        <f ca="1">IF(L95&lt;&gt;"",
OFFSET(数出表_Excel【15時】!$A$1,A95+3,L95-1),"")</f>
        <v/>
      </c>
      <c r="O95" t="str">
        <f ca="1">IF(L95&lt;&gt;"",
IF(AND(OFFSET(数出表_Excel【15時】!$A$1,A95+3,L95)&lt;&gt;"",OFFSET(数出表_Excel【15時】!$A$1,A95+3,L95)&lt;&gt;0),
OFFSET(数出表_Excel【15時】!$A$1,A95+3,L95),""),"")</f>
        <v/>
      </c>
      <c r="AH95" t="str">
        <f t="array" aca="1" ref="AH95" ca="1">IFERROR(SMALL(IF(O$1:O$307&lt;&gt;0,O$1:O$307),ROW(AH95)),"")</f>
        <v/>
      </c>
      <c r="AI95" t="str">
        <f t="array" aca="1" ref="AI95" ca="1">IF($T95&lt;&gt;"",
SUBSTITUTE(SUBSTITUTE(INDIRECT("B"&amp;$T95&amp;"")," 週3ｺｰｽ","")," 週5ｺｰｽ",""),"")</f>
        <v/>
      </c>
    </row>
    <row r="96" spans="1:35">
      <c r="A96" t="str">
        <f t="shared" ca="1" si="1"/>
        <v/>
      </c>
      <c r="B96" t="str">
        <f t="array" aca="1" ref="B96" ca="1">IF(OR(COUNTIF(数出表_Excel【15時】!AO100,"*修正*"),COUNTIF(数出表_Excel【15時】!AO101,"*修正*")),
IF(ISEVEN(ROW()+4),INDIRECT("数出表_Excel【15時】!A"&amp;ROW()+4&amp;""),INDIRECT("数出表_Excel【15時】!A"&amp;ROW()+4-1&amp;"")),"")</f>
        <v/>
      </c>
      <c r="C96" t="str">
        <f t="array" aca="1" ref="C96" ca="1">IF(OR(COUNTIF(数出表_Excel【15時】!AO100,"*修正*"),COUNTIF(数出表_Excel【15時】!AO101,"*修正*")),
IF(ISEVEN(ROW()+4),INDIRECT("数出表_Excel【15時】!A"&amp;ROW()+4+1&amp;""),INDIRECT("数出表_Excel【15時】!A"&amp;ROW()+4&amp;"")),"")</f>
        <v/>
      </c>
      <c r="D96" s="209" t="str">
        <f t="array" aca="1" ref="D96" ca="1">IF(B96&lt;&gt;"",
IFERROR(MATCH(TRUE,ISNUMBER(INDIRECT("数出表_Excel【15時】!B"&amp;(A96+4)&amp;":ZZ"&amp;(A96+4))),0)+1,""),"")</f>
        <v/>
      </c>
      <c r="E96" t="str">
        <f ca="1">IF(D96&lt;&gt;"",
OFFSET(数出表_Excel【15時】!$A$1,2,D96-1)
&amp;IFERROR(OFFSET(数出表_Excel【15時】!$A$1,3,D96-1),"")
&amp;IFERROR(OFFSET(数出表_Excel【15時】!$A$1,4,D96-1),""),"")</f>
        <v/>
      </c>
      <c r="F96" t="str">
        <f ca="1">IF(D96&lt;&gt;"",
OFFSET(数出表_Excel【15時】!$A$1,A96+3,D96-1),"")</f>
        <v/>
      </c>
      <c r="G96" t="str">
        <f ca="1">IF(D96&lt;&gt;"",
IF(AND(OFFSET(数出表_Excel【15時】!$A$1,A96+3,D96)&lt;&gt;"",OFFSET(数出表_Excel【15時】!$A$1,A96+3,D96)&lt;&gt;0),
OFFSET(数出表_Excel【15時】!$A$1,A96+3,D96),""),"")</f>
        <v/>
      </c>
      <c r="H96" s="209" t="str">
        <f t="array" aca="1" ref="H96" ca="1">IF(B96&lt;&gt;"",
IFERROR(MATCH(TRUE,ISNUMBER(INDIRECT("数出表_Excel【15時】!"&amp;SUBSTITUTE(ADDRESS(1,D96+2,4),"1","")&amp;(A96+4)&amp;":ZZ"&amp;(A96+4))),0)+D96+1,""),"")</f>
        <v/>
      </c>
      <c r="I96" t="str">
        <f ca="1">IF(H96&lt;&gt;"",
OFFSET(数出表_Excel【15時】!$A$1,2,H96-1)
&amp;IFERROR(OFFSET(数出表_Excel【15時】!$A$1,3,H96-1),"")
&amp;IFERROR(OFFSET(数出表_Excel【15時】!$A$1,4,H96-1),""),"")</f>
        <v/>
      </c>
      <c r="J96" t="str">
        <f ca="1">IF(H96&lt;&gt;"",
OFFSET(数出表_Excel【15時】!$A$1,A96+3,H96-1),"")</f>
        <v/>
      </c>
      <c r="K96" t="str">
        <f ca="1">IF(H96&lt;&gt;"",
IF(AND(OFFSET(数出表_Excel【15時】!$A$1,A96+3,H96)&lt;&gt;"",OFFSET(数出表_Excel【15時】!$A$1,A96+3,H96)&lt;&gt;0),
OFFSET(数出表_Excel【15時】!$A$1,A96+3,H96),""),"")</f>
        <v/>
      </c>
      <c r="L96" s="209" t="str">
        <f t="array" aca="1" ref="L96" ca="1">IF(B96&lt;&gt;"",
IFERROR(MATCH(TRUE,ISNUMBER(INDIRECT("数出表_Excel【15時】!"&amp;SUBSTITUTE(ADDRESS(1,H96+2,4),"1","")&amp;(A96+4)&amp;":ZZ"&amp;(A96+4))),0)+H96+1,""),"")</f>
        <v/>
      </c>
      <c r="M96" t="str">
        <f ca="1">IF(L96&lt;&gt;"",
OFFSET(数出表_Excel【15時】!$A$1,2,L96-1)
&amp;IFERROR(OFFSET(数出表_Excel【15時】!$A$1,3,L96-1),"")
&amp;IFERROR(OFFSET(数出表_Excel【15時】!$A$1,4,L96-1),""),"")</f>
        <v/>
      </c>
      <c r="N96" t="str">
        <f ca="1">IF(L96&lt;&gt;"",
OFFSET(数出表_Excel【15時】!$A$1,A96+3,L96-1),"")</f>
        <v/>
      </c>
      <c r="O96" t="str">
        <f ca="1">IF(L96&lt;&gt;"",
IF(AND(OFFSET(数出表_Excel【15時】!$A$1,A96+3,L96)&lt;&gt;"",OFFSET(数出表_Excel【15時】!$A$1,A96+3,L96)&lt;&gt;0),
OFFSET(数出表_Excel【15時】!$A$1,A96+3,L96),""),"")</f>
        <v/>
      </c>
      <c r="Q96" t="str">
        <f ca="1">IF(C96&lt;&gt;"",
IF(E96&lt;&gt;"",1,0)+IF(I96&lt;&gt;"",1,0)+IF(M96&lt;&gt;"",1,0),"")</f>
        <v/>
      </c>
      <c r="AH96" t="str">
        <f t="array" aca="1" ref="AH96" ca="1">IFERROR(SMALL(IF(O$1:O$307&lt;&gt;0,O$1:O$307),ROW(AH96)),"")</f>
        <v/>
      </c>
      <c r="AI96" t="str">
        <f t="array" aca="1" ref="AI96" ca="1">IF($T96&lt;&gt;"",
SUBSTITUTE(SUBSTITUTE(INDIRECT("B"&amp;$T96&amp;"")," 週3ｺｰｽ","")," 週5ｺｰｽ",""),"")</f>
        <v/>
      </c>
    </row>
    <row r="97" spans="1:35">
      <c r="A97" t="str">
        <f t="shared" ca="1" si="1"/>
        <v/>
      </c>
      <c r="B97" t="str">
        <f t="array" aca="1" ref="B97" ca="1">IF(OR(COUNTIF(数出表_Excel【15時】!AO100,"*修正*"),COUNTIF(数出表_Excel【15時】!AO101,"*修正*")),
IF(ISEVEN(ROW()+4),INDIRECT("数出表_Excel【15時】!A"&amp;ROW()+4&amp;""),INDIRECT("数出表_Excel【15時】!A"&amp;ROW()+4-1&amp;"")),"")</f>
        <v/>
      </c>
      <c r="C97" t="str">
        <f t="array" aca="1" ref="C97" ca="1">IF(OR(COUNTIF(数出表_Excel【15時】!AO100,"*修正*"),COUNTIF(数出表_Excel【15時】!AO101,"*修正*")),
IF(ISEVEN(ROW()+4),INDIRECT("数出表_Excel【15時】!A"&amp;ROW()+4+1&amp;""),INDIRECT("数出表_Excel【15時】!A"&amp;ROW()+4&amp;"")),"")</f>
        <v/>
      </c>
      <c r="D97" s="209" t="str">
        <f t="array" aca="1" ref="D97" ca="1">IF(B97&lt;&gt;"",
IFERROR(MATCH(TRUE,ISNUMBER(INDIRECT("数出表_Excel【15時】!B"&amp;(A97+4)&amp;":ZZ"&amp;(A97+4))),0)+1,""),"")</f>
        <v/>
      </c>
      <c r="E97" t="str">
        <f ca="1">IF(D97&lt;&gt;"",
OFFSET(数出表_Excel【15時】!$A$1,2,D97-1)
&amp;IFERROR(OFFSET(数出表_Excel【15時】!$A$1,3,D97-1),"")
&amp;IFERROR(OFFSET(数出表_Excel【15時】!$A$1,4,D97-1),""),"")</f>
        <v/>
      </c>
      <c r="F97" t="str">
        <f ca="1">IF(D97&lt;&gt;"",
OFFSET(数出表_Excel【15時】!$A$1,A97+3,D97-1),"")</f>
        <v/>
      </c>
      <c r="G97" t="str">
        <f ca="1">IF(D97&lt;&gt;"",
IF(AND(OFFSET(数出表_Excel【15時】!$A$1,A97+3,D97)&lt;&gt;"",OFFSET(数出表_Excel【15時】!$A$1,A97+3,D97)&lt;&gt;0),
OFFSET(数出表_Excel【15時】!$A$1,A97+3,D97),""),"")</f>
        <v/>
      </c>
      <c r="H97" s="209" t="str">
        <f t="array" aca="1" ref="H97" ca="1">IF(B97&lt;&gt;"",
IFERROR(MATCH(TRUE,ISNUMBER(INDIRECT("数出表_Excel【15時】!"&amp;SUBSTITUTE(ADDRESS(1,D97+2,4),"1","")&amp;(A97+4)&amp;":ZZ"&amp;(A97+4))),0)+D97+1,""),"")</f>
        <v/>
      </c>
      <c r="I97" t="str">
        <f ca="1">IF(H97&lt;&gt;"",
OFFSET(数出表_Excel【15時】!$A$1,2,H97-1)
&amp;IFERROR(OFFSET(数出表_Excel【15時】!$A$1,3,H97-1),"")
&amp;IFERROR(OFFSET(数出表_Excel【15時】!$A$1,4,H97-1),""),"")</f>
        <v/>
      </c>
      <c r="J97" t="str">
        <f ca="1">IF(H97&lt;&gt;"",
OFFSET(数出表_Excel【15時】!$A$1,A97+3,H97-1),"")</f>
        <v/>
      </c>
      <c r="K97" t="str">
        <f ca="1">IF(H97&lt;&gt;"",
IF(AND(OFFSET(数出表_Excel【15時】!$A$1,A97+3,H97)&lt;&gt;"",OFFSET(数出表_Excel【15時】!$A$1,A97+3,H97)&lt;&gt;0),
OFFSET(数出表_Excel【15時】!$A$1,A97+3,H97),""),"")</f>
        <v/>
      </c>
      <c r="L97" s="209" t="str">
        <f t="array" aca="1" ref="L97" ca="1">IF(B97&lt;&gt;"",
IFERROR(MATCH(TRUE,ISNUMBER(INDIRECT("数出表_Excel【15時】!"&amp;SUBSTITUTE(ADDRESS(1,H97+2,4),"1","")&amp;(A97+4)&amp;":ZZ"&amp;(A97+4))),0)+H97+1,""),"")</f>
        <v/>
      </c>
      <c r="M97" t="str">
        <f ca="1">IF(L97&lt;&gt;"",
OFFSET(数出表_Excel【15時】!$A$1,2,L97-1)
&amp;IFERROR(OFFSET(数出表_Excel【15時】!$A$1,3,L97-1),"")
&amp;IFERROR(OFFSET(数出表_Excel【15時】!$A$1,4,L97-1),""),"")</f>
        <v/>
      </c>
      <c r="N97" t="str">
        <f ca="1">IF(L97&lt;&gt;"",
OFFSET(数出表_Excel【15時】!$A$1,A97+3,L97-1),"")</f>
        <v/>
      </c>
      <c r="O97" t="str">
        <f ca="1">IF(L97&lt;&gt;"",
IF(AND(OFFSET(数出表_Excel【15時】!$A$1,A97+3,L97)&lt;&gt;"",OFFSET(数出表_Excel【15時】!$A$1,A97+3,L97)&lt;&gt;0),
OFFSET(数出表_Excel【15時】!$A$1,A97+3,L97),""),"")</f>
        <v/>
      </c>
      <c r="AH97" t="str">
        <f t="array" aca="1" ref="AH97" ca="1">IFERROR(SMALL(IF(O$1:O$307&lt;&gt;0,O$1:O$307),ROW(AH97)),"")</f>
        <v/>
      </c>
      <c r="AI97" t="str">
        <f t="array" aca="1" ref="AI97" ca="1">IF($T97&lt;&gt;"",
SUBSTITUTE(SUBSTITUTE(INDIRECT("B"&amp;$T97&amp;"")," 週3ｺｰｽ","")," 週5ｺｰｽ",""),"")</f>
        <v/>
      </c>
    </row>
    <row r="98" spans="1:35">
      <c r="A98" t="str">
        <f t="shared" ca="1" si="1"/>
        <v/>
      </c>
      <c r="B98" t="str">
        <f t="array" aca="1" ref="B98" ca="1">IF(OR(COUNTIF(数出表_Excel【15時】!AO102,"*修正*"),COUNTIF(数出表_Excel【15時】!AO103,"*修正*")),
IF(ISEVEN(ROW()+4),INDIRECT("数出表_Excel【15時】!A"&amp;ROW()+4&amp;""),INDIRECT("数出表_Excel【15時】!A"&amp;ROW()+4-1&amp;"")),"")</f>
        <v/>
      </c>
      <c r="C98" t="str">
        <f t="array" aca="1" ref="C98" ca="1">IF(OR(COUNTIF(数出表_Excel【15時】!AO102,"*修正*"),COUNTIF(数出表_Excel【15時】!AO103,"*修正*")),
IF(ISEVEN(ROW()+4),INDIRECT("数出表_Excel【15時】!A"&amp;ROW()+4+1&amp;""),INDIRECT("数出表_Excel【15時】!A"&amp;ROW()+4&amp;"")),"")</f>
        <v/>
      </c>
      <c r="D98" s="209" t="str">
        <f t="array" aca="1" ref="D98" ca="1">IF(B98&lt;&gt;"",
IFERROR(MATCH(TRUE,ISNUMBER(INDIRECT("数出表_Excel【15時】!B"&amp;(A98+4)&amp;":ZZ"&amp;(A98+4))),0)+1,""),"")</f>
        <v/>
      </c>
      <c r="E98" t="str">
        <f ca="1">IF(D98&lt;&gt;"",
OFFSET(数出表_Excel【15時】!$A$1,2,D98-1)
&amp;IFERROR(OFFSET(数出表_Excel【15時】!$A$1,3,D98-1),"")
&amp;IFERROR(OFFSET(数出表_Excel【15時】!$A$1,4,D98-1),""),"")</f>
        <v/>
      </c>
      <c r="F98" t="str">
        <f ca="1">IF(D98&lt;&gt;"",
OFFSET(数出表_Excel【15時】!$A$1,A98+3,D98-1),"")</f>
        <v/>
      </c>
      <c r="G98" t="str">
        <f ca="1">IF(D98&lt;&gt;"",
IF(AND(OFFSET(数出表_Excel【15時】!$A$1,A98+3,D98)&lt;&gt;"",OFFSET(数出表_Excel【15時】!$A$1,A98+3,D98)&lt;&gt;0),
OFFSET(数出表_Excel【15時】!$A$1,A98+3,D98),""),"")</f>
        <v/>
      </c>
      <c r="H98" s="209" t="str">
        <f t="array" aca="1" ref="H98" ca="1">IF(B98&lt;&gt;"",
IFERROR(MATCH(TRUE,ISNUMBER(INDIRECT("数出表_Excel【15時】!"&amp;SUBSTITUTE(ADDRESS(1,D98+2,4),"1","")&amp;(A98+4)&amp;":ZZ"&amp;(A98+4))),0)+D98+1,""),"")</f>
        <v/>
      </c>
      <c r="I98" t="str">
        <f ca="1">IF(H98&lt;&gt;"",
OFFSET(数出表_Excel【15時】!$A$1,2,H98-1)
&amp;IFERROR(OFFSET(数出表_Excel【15時】!$A$1,3,H98-1),"")
&amp;IFERROR(OFFSET(数出表_Excel【15時】!$A$1,4,H98-1),""),"")</f>
        <v/>
      </c>
      <c r="J98" t="str">
        <f ca="1">IF(H98&lt;&gt;"",
OFFSET(数出表_Excel【15時】!$A$1,A98+3,H98-1),"")</f>
        <v/>
      </c>
      <c r="K98" t="str">
        <f ca="1">IF(H98&lt;&gt;"",
IF(AND(OFFSET(数出表_Excel【15時】!$A$1,A98+3,H98)&lt;&gt;"",OFFSET(数出表_Excel【15時】!$A$1,A98+3,H98)&lt;&gt;0),
OFFSET(数出表_Excel【15時】!$A$1,A98+3,H98),""),"")</f>
        <v/>
      </c>
      <c r="L98" s="209" t="str">
        <f t="array" aca="1" ref="L98" ca="1">IF(B98&lt;&gt;"",
IFERROR(MATCH(TRUE,ISNUMBER(INDIRECT("数出表_Excel【15時】!"&amp;SUBSTITUTE(ADDRESS(1,H98+2,4),"1","")&amp;(A98+4)&amp;":ZZ"&amp;(A98+4))),0)+H98+1,""),"")</f>
        <v/>
      </c>
      <c r="M98" t="str">
        <f ca="1">IF(L98&lt;&gt;"",
OFFSET(数出表_Excel【15時】!$A$1,2,L98-1)
&amp;IFERROR(OFFSET(数出表_Excel【15時】!$A$1,3,L98-1),"")
&amp;IFERROR(OFFSET(数出表_Excel【15時】!$A$1,4,L98-1),""),"")</f>
        <v/>
      </c>
      <c r="N98" t="str">
        <f ca="1">IF(L98&lt;&gt;"",
OFFSET(数出表_Excel【15時】!$A$1,A98+3,L98-1),"")</f>
        <v/>
      </c>
      <c r="O98" t="str">
        <f ca="1">IF(L98&lt;&gt;"",
IF(AND(OFFSET(数出表_Excel【15時】!$A$1,A98+3,L98)&lt;&gt;"",OFFSET(数出表_Excel【15時】!$A$1,A98+3,L98)&lt;&gt;0),
OFFSET(数出表_Excel【15時】!$A$1,A98+3,L98),""),"")</f>
        <v/>
      </c>
      <c r="Q98" t="str">
        <f ca="1">IF(C98&lt;&gt;"",
IF(E98&lt;&gt;"",1,0)+IF(I98&lt;&gt;"",1,0)+IF(M98&lt;&gt;"",1,0),"")</f>
        <v/>
      </c>
      <c r="AH98" t="str">
        <f t="array" aca="1" ref="AH98" ca="1">IFERROR(SMALL(IF(O$1:O$307&lt;&gt;0,O$1:O$307),ROW(AH98)),"")</f>
        <v/>
      </c>
      <c r="AI98" t="str">
        <f t="array" aca="1" ref="AI98" ca="1">IF($T98&lt;&gt;"",
SUBSTITUTE(SUBSTITUTE(INDIRECT("B"&amp;$T98&amp;"")," 週3ｺｰｽ","")," 週5ｺｰｽ",""),"")</f>
        <v/>
      </c>
    </row>
    <row r="99" spans="1:35">
      <c r="A99" t="str">
        <f t="shared" ca="1" si="1"/>
        <v/>
      </c>
      <c r="B99" t="str">
        <f t="array" aca="1" ref="B99" ca="1">IF(OR(COUNTIF(数出表_Excel【15時】!AO102,"*修正*"),COUNTIF(数出表_Excel【15時】!AO103,"*修正*")),
IF(ISEVEN(ROW()+4),INDIRECT("数出表_Excel【15時】!A"&amp;ROW()+4&amp;""),INDIRECT("数出表_Excel【15時】!A"&amp;ROW()+4-1&amp;"")),"")</f>
        <v/>
      </c>
      <c r="C99" t="str">
        <f t="array" aca="1" ref="C99" ca="1">IF(OR(COUNTIF(数出表_Excel【15時】!AO102,"*修正*"),COUNTIF(数出表_Excel【15時】!AO103,"*修正*")),
IF(ISEVEN(ROW()+4),INDIRECT("数出表_Excel【15時】!A"&amp;ROW()+4+1&amp;""),INDIRECT("数出表_Excel【15時】!A"&amp;ROW()+4&amp;"")),"")</f>
        <v/>
      </c>
      <c r="D99" s="209" t="str">
        <f t="array" aca="1" ref="D99" ca="1">IF(B99&lt;&gt;"",
IFERROR(MATCH(TRUE,ISNUMBER(INDIRECT("数出表_Excel【15時】!B"&amp;(A99+4)&amp;":ZZ"&amp;(A99+4))),0)+1,""),"")</f>
        <v/>
      </c>
      <c r="E99" t="str">
        <f ca="1">IF(D99&lt;&gt;"",
OFFSET(数出表_Excel【15時】!$A$1,2,D99-1)
&amp;IFERROR(OFFSET(数出表_Excel【15時】!$A$1,3,D99-1),"")
&amp;IFERROR(OFFSET(数出表_Excel【15時】!$A$1,4,D99-1),""),"")</f>
        <v/>
      </c>
      <c r="F99" t="str">
        <f ca="1">IF(D99&lt;&gt;"",
OFFSET(数出表_Excel【15時】!$A$1,A99+3,D99-1),"")</f>
        <v/>
      </c>
      <c r="G99" t="str">
        <f ca="1">IF(D99&lt;&gt;"",
IF(AND(OFFSET(数出表_Excel【15時】!$A$1,A99+3,D99)&lt;&gt;"",OFFSET(数出表_Excel【15時】!$A$1,A99+3,D99)&lt;&gt;0),
OFFSET(数出表_Excel【15時】!$A$1,A99+3,D99),""),"")</f>
        <v/>
      </c>
      <c r="H99" s="209" t="str">
        <f t="array" aca="1" ref="H99" ca="1">IF(B99&lt;&gt;"",
IFERROR(MATCH(TRUE,ISNUMBER(INDIRECT("数出表_Excel【15時】!"&amp;SUBSTITUTE(ADDRESS(1,D99+2,4),"1","")&amp;(A99+4)&amp;":ZZ"&amp;(A99+4))),0)+D99+1,""),"")</f>
        <v/>
      </c>
      <c r="I99" t="str">
        <f ca="1">IF(H99&lt;&gt;"",
OFFSET(数出表_Excel【15時】!$A$1,2,H99-1)
&amp;IFERROR(OFFSET(数出表_Excel【15時】!$A$1,3,H99-1),"")
&amp;IFERROR(OFFSET(数出表_Excel【15時】!$A$1,4,H99-1),""),"")</f>
        <v/>
      </c>
      <c r="J99" t="str">
        <f ca="1">IF(H99&lt;&gt;"",
OFFSET(数出表_Excel【15時】!$A$1,A99+3,H99-1),"")</f>
        <v/>
      </c>
      <c r="K99" t="str">
        <f ca="1">IF(H99&lt;&gt;"",
IF(AND(OFFSET(数出表_Excel【15時】!$A$1,A99+3,H99)&lt;&gt;"",OFFSET(数出表_Excel【15時】!$A$1,A99+3,H99)&lt;&gt;0),
OFFSET(数出表_Excel【15時】!$A$1,A99+3,H99),""),"")</f>
        <v/>
      </c>
      <c r="L99" s="209" t="str">
        <f t="array" aca="1" ref="L99" ca="1">IF(B99&lt;&gt;"",
IFERROR(MATCH(TRUE,ISNUMBER(INDIRECT("数出表_Excel【15時】!"&amp;SUBSTITUTE(ADDRESS(1,H99+2,4),"1","")&amp;(A99+4)&amp;":ZZ"&amp;(A99+4))),0)+H99+1,""),"")</f>
        <v/>
      </c>
      <c r="M99" t="str">
        <f ca="1">IF(L99&lt;&gt;"",
OFFSET(数出表_Excel【15時】!$A$1,2,L99-1)
&amp;IFERROR(OFFSET(数出表_Excel【15時】!$A$1,3,L99-1),"")
&amp;IFERROR(OFFSET(数出表_Excel【15時】!$A$1,4,L99-1),""),"")</f>
        <v/>
      </c>
      <c r="N99" t="str">
        <f ca="1">IF(L99&lt;&gt;"",
OFFSET(数出表_Excel【15時】!$A$1,A99+3,L99-1),"")</f>
        <v/>
      </c>
      <c r="O99" t="str">
        <f ca="1">IF(L99&lt;&gt;"",
IF(AND(OFFSET(数出表_Excel【15時】!$A$1,A99+3,L99)&lt;&gt;"",OFFSET(数出表_Excel【15時】!$A$1,A99+3,L99)&lt;&gt;0),
OFFSET(数出表_Excel【15時】!$A$1,A99+3,L99),""),"")</f>
        <v/>
      </c>
      <c r="AH99" t="str">
        <f t="array" aca="1" ref="AH99" ca="1">IFERROR(SMALL(IF(O$1:O$307&lt;&gt;0,O$1:O$307),ROW(AH99)),"")</f>
        <v/>
      </c>
      <c r="AI99" t="str">
        <f t="array" aca="1" ref="AI99" ca="1">IF($T99&lt;&gt;"",
SUBSTITUTE(SUBSTITUTE(INDIRECT("B"&amp;$T99&amp;"")," 週3ｺｰｽ","")," 週5ｺｰｽ",""),"")</f>
        <v/>
      </c>
    </row>
    <row r="100" spans="1:35">
      <c r="A100" t="str">
        <f t="shared" ca="1" si="1"/>
        <v/>
      </c>
      <c r="B100" t="str">
        <f t="array" aca="1" ref="B100" ca="1">IF(OR(COUNTIF(数出表_Excel【15時】!AO104,"*修正*"),COUNTIF(数出表_Excel【15時】!AO105,"*修正*")),
IF(ISEVEN(ROW()+4),INDIRECT("数出表_Excel【15時】!A"&amp;ROW()+4&amp;""),INDIRECT("数出表_Excel【15時】!A"&amp;ROW()+4-1&amp;"")),"")</f>
        <v/>
      </c>
      <c r="C100" t="str">
        <f t="array" aca="1" ref="C100" ca="1">IF(OR(COUNTIF(数出表_Excel【15時】!AO104,"*修正*"),COUNTIF(数出表_Excel【15時】!AO105,"*修正*")),
IF(ISEVEN(ROW()+4),INDIRECT("数出表_Excel【15時】!A"&amp;ROW()+4+1&amp;""),INDIRECT("数出表_Excel【15時】!A"&amp;ROW()+4&amp;"")),"")</f>
        <v/>
      </c>
      <c r="D100" s="209" t="str">
        <f t="array" aca="1" ref="D100" ca="1">IF(B100&lt;&gt;"",
IFERROR(MATCH(TRUE,ISNUMBER(INDIRECT("数出表_Excel【15時】!B"&amp;(A100+4)&amp;":ZZ"&amp;(A100+4))),0)+1,""),"")</f>
        <v/>
      </c>
      <c r="E100" t="str">
        <f ca="1">IF(D100&lt;&gt;"",
OFFSET(数出表_Excel【15時】!$A$1,2,D100-1)
&amp;IFERROR(OFFSET(数出表_Excel【15時】!$A$1,3,D100-1),"")
&amp;IFERROR(OFFSET(数出表_Excel【15時】!$A$1,4,D100-1),""),"")</f>
        <v/>
      </c>
      <c r="F100" t="str">
        <f ca="1">IF(D100&lt;&gt;"",
OFFSET(数出表_Excel【15時】!$A$1,A100+3,D100-1),"")</f>
        <v/>
      </c>
      <c r="G100" t="str">
        <f ca="1">IF(D100&lt;&gt;"",
IF(AND(OFFSET(数出表_Excel【15時】!$A$1,A100+3,D100)&lt;&gt;"",OFFSET(数出表_Excel【15時】!$A$1,A100+3,D100)&lt;&gt;0),
OFFSET(数出表_Excel【15時】!$A$1,A100+3,D100),""),"")</f>
        <v/>
      </c>
      <c r="H100" s="209" t="str">
        <f t="array" aca="1" ref="H100" ca="1">IF(B100&lt;&gt;"",
IFERROR(MATCH(TRUE,ISNUMBER(INDIRECT("数出表_Excel【15時】!"&amp;SUBSTITUTE(ADDRESS(1,D100+2,4),"1","")&amp;(A100+4)&amp;":ZZ"&amp;(A100+4))),0)+D100+1,""),"")</f>
        <v/>
      </c>
      <c r="I100" t="str">
        <f ca="1">IF(H100&lt;&gt;"",
OFFSET(数出表_Excel【15時】!$A$1,2,H100-1)
&amp;IFERROR(OFFSET(数出表_Excel【15時】!$A$1,3,H100-1),"")
&amp;IFERROR(OFFSET(数出表_Excel【15時】!$A$1,4,H100-1),""),"")</f>
        <v/>
      </c>
      <c r="J100" t="str">
        <f ca="1">IF(H100&lt;&gt;"",
OFFSET(数出表_Excel【15時】!$A$1,A100+3,H100-1),"")</f>
        <v/>
      </c>
      <c r="K100" t="str">
        <f ca="1">IF(H100&lt;&gt;"",
IF(AND(OFFSET(数出表_Excel【15時】!$A$1,A100+3,H100)&lt;&gt;"",OFFSET(数出表_Excel【15時】!$A$1,A100+3,H100)&lt;&gt;0),
OFFSET(数出表_Excel【15時】!$A$1,A100+3,H100),""),"")</f>
        <v/>
      </c>
      <c r="L100" s="209" t="str">
        <f t="array" aca="1" ref="L100" ca="1">IF(B100&lt;&gt;"",
IFERROR(MATCH(TRUE,ISNUMBER(INDIRECT("数出表_Excel【15時】!"&amp;SUBSTITUTE(ADDRESS(1,H100+2,4),"1","")&amp;(A100+4)&amp;":ZZ"&amp;(A100+4))),0)+H100+1,""),"")</f>
        <v/>
      </c>
      <c r="M100" t="str">
        <f ca="1">IF(L100&lt;&gt;"",
OFFSET(数出表_Excel【15時】!$A$1,2,L100-1)
&amp;IFERROR(OFFSET(数出表_Excel【15時】!$A$1,3,L100-1),"")
&amp;IFERROR(OFFSET(数出表_Excel【15時】!$A$1,4,L100-1),""),"")</f>
        <v/>
      </c>
      <c r="N100" t="str">
        <f ca="1">IF(L100&lt;&gt;"",
OFFSET(数出表_Excel【15時】!$A$1,A100+3,L100-1),"")</f>
        <v/>
      </c>
      <c r="O100" t="str">
        <f ca="1">IF(L100&lt;&gt;"",
IF(AND(OFFSET(数出表_Excel【15時】!$A$1,A100+3,L100)&lt;&gt;"",OFFSET(数出表_Excel【15時】!$A$1,A100+3,L100)&lt;&gt;0),
OFFSET(数出表_Excel【15時】!$A$1,A100+3,L100),""),"")</f>
        <v/>
      </c>
      <c r="Q100" t="str">
        <f ca="1">IF(C100&lt;&gt;"",
IF(E100&lt;&gt;"",1,0)+IF(I100&lt;&gt;"",1,0)+IF(M100&lt;&gt;"",1,0),"")</f>
        <v/>
      </c>
      <c r="AH100" t="str">
        <f t="array" aca="1" ref="AH100" ca="1">IFERROR(SMALL(IF(O$1:O$307&lt;&gt;0,O$1:O$307),ROW(AH100)),"")</f>
        <v/>
      </c>
      <c r="AI100" t="str">
        <f t="array" aca="1" ref="AI100" ca="1">IF($T100&lt;&gt;"",
SUBSTITUTE(SUBSTITUTE(INDIRECT("B"&amp;$T100&amp;"")," 週3ｺｰｽ","")," 週5ｺｰｽ",""),"")</f>
        <v/>
      </c>
    </row>
    <row r="101" spans="1:35">
      <c r="A101" t="str">
        <f t="shared" ca="1" si="1"/>
        <v/>
      </c>
      <c r="B101" t="str">
        <f t="array" aca="1" ref="B101" ca="1">IF(OR(COUNTIF(数出表_Excel【15時】!AO104,"*修正*"),COUNTIF(数出表_Excel【15時】!AO105,"*修正*")),
IF(ISEVEN(ROW()+4),INDIRECT("数出表_Excel【15時】!A"&amp;ROW()+4&amp;""),INDIRECT("数出表_Excel【15時】!A"&amp;ROW()+4-1&amp;"")),"")</f>
        <v/>
      </c>
      <c r="C101" t="str">
        <f t="array" aca="1" ref="C101" ca="1">IF(OR(COUNTIF(数出表_Excel【15時】!AO104,"*修正*"),COUNTIF(数出表_Excel【15時】!AO105,"*修正*")),
IF(ISEVEN(ROW()+4),INDIRECT("数出表_Excel【15時】!A"&amp;ROW()+4+1&amp;""),INDIRECT("数出表_Excel【15時】!A"&amp;ROW()+4&amp;"")),"")</f>
        <v/>
      </c>
      <c r="D101" s="209" t="str">
        <f t="array" aca="1" ref="D101" ca="1">IF(B101&lt;&gt;"",
IFERROR(MATCH(TRUE,ISNUMBER(INDIRECT("数出表_Excel【15時】!B"&amp;(A101+4)&amp;":ZZ"&amp;(A101+4))),0)+1,""),"")</f>
        <v/>
      </c>
      <c r="E101" t="str">
        <f ca="1">IF(D101&lt;&gt;"",
OFFSET(数出表_Excel【15時】!$A$1,2,D101-1)
&amp;IFERROR(OFFSET(数出表_Excel【15時】!$A$1,3,D101-1),"")
&amp;IFERROR(OFFSET(数出表_Excel【15時】!$A$1,4,D101-1),""),"")</f>
        <v/>
      </c>
      <c r="F101" t="str">
        <f ca="1">IF(D101&lt;&gt;"",
OFFSET(数出表_Excel【15時】!$A$1,A101+3,D101-1),"")</f>
        <v/>
      </c>
      <c r="G101" t="str">
        <f ca="1">IF(D101&lt;&gt;"",
IF(AND(OFFSET(数出表_Excel【15時】!$A$1,A101+3,D101)&lt;&gt;"",OFFSET(数出表_Excel【15時】!$A$1,A101+3,D101)&lt;&gt;0),
OFFSET(数出表_Excel【15時】!$A$1,A101+3,D101),""),"")</f>
        <v/>
      </c>
      <c r="H101" s="209" t="str">
        <f t="array" aca="1" ref="H101" ca="1">IF(B101&lt;&gt;"",
IFERROR(MATCH(TRUE,ISNUMBER(INDIRECT("数出表_Excel【15時】!"&amp;SUBSTITUTE(ADDRESS(1,D101+2,4),"1","")&amp;(A101+4)&amp;":ZZ"&amp;(A101+4))),0)+D101+1,""),"")</f>
        <v/>
      </c>
      <c r="I101" t="str">
        <f ca="1">IF(H101&lt;&gt;"",
OFFSET(数出表_Excel【15時】!$A$1,2,H101-1)
&amp;IFERROR(OFFSET(数出表_Excel【15時】!$A$1,3,H101-1),"")
&amp;IFERROR(OFFSET(数出表_Excel【15時】!$A$1,4,H101-1),""),"")</f>
        <v/>
      </c>
      <c r="J101" t="str">
        <f ca="1">IF(H101&lt;&gt;"",
OFFSET(数出表_Excel【15時】!$A$1,A101+3,H101-1),"")</f>
        <v/>
      </c>
      <c r="K101" t="str">
        <f ca="1">IF(H101&lt;&gt;"",
IF(AND(OFFSET(数出表_Excel【15時】!$A$1,A101+3,H101)&lt;&gt;"",OFFSET(数出表_Excel【15時】!$A$1,A101+3,H101)&lt;&gt;0),
OFFSET(数出表_Excel【15時】!$A$1,A101+3,H101),""),"")</f>
        <v/>
      </c>
      <c r="L101" s="209" t="str">
        <f t="array" aca="1" ref="L101" ca="1">IF(B101&lt;&gt;"",
IFERROR(MATCH(TRUE,ISNUMBER(INDIRECT("数出表_Excel【15時】!"&amp;SUBSTITUTE(ADDRESS(1,H101+2,4),"1","")&amp;(A101+4)&amp;":ZZ"&amp;(A101+4))),0)+H101+1,""),"")</f>
        <v/>
      </c>
      <c r="M101" t="str">
        <f ca="1">IF(L101&lt;&gt;"",
OFFSET(数出表_Excel【15時】!$A$1,2,L101-1)
&amp;IFERROR(OFFSET(数出表_Excel【15時】!$A$1,3,L101-1),"")
&amp;IFERROR(OFFSET(数出表_Excel【15時】!$A$1,4,L101-1),""),"")</f>
        <v/>
      </c>
      <c r="N101" t="str">
        <f ca="1">IF(L101&lt;&gt;"",
OFFSET(数出表_Excel【15時】!$A$1,A101+3,L101-1),"")</f>
        <v/>
      </c>
      <c r="O101" t="str">
        <f ca="1">IF(L101&lt;&gt;"",
IF(AND(OFFSET(数出表_Excel【15時】!$A$1,A101+3,L101)&lt;&gt;"",OFFSET(数出表_Excel【15時】!$A$1,A101+3,L101)&lt;&gt;0),
OFFSET(数出表_Excel【15時】!$A$1,A101+3,L101),""),"")</f>
        <v/>
      </c>
      <c r="AH101" t="str">
        <f t="array" aca="1" ref="AH101" ca="1">IFERROR(SMALL(IF(O$1:O$307&lt;&gt;0,O$1:O$307),ROW(AH101)),"")</f>
        <v/>
      </c>
      <c r="AI101" t="str">
        <f t="array" aca="1" ref="AI101" ca="1">IF($T101&lt;&gt;"",
SUBSTITUTE(SUBSTITUTE(INDIRECT("B"&amp;$T101&amp;"")," 週3ｺｰｽ","")," 週5ｺｰｽ",""),"")</f>
        <v/>
      </c>
    </row>
    <row r="102" spans="1:35">
      <c r="A102" t="str">
        <f t="shared" ca="1" si="1"/>
        <v/>
      </c>
      <c r="B102" t="str">
        <f t="array" aca="1" ref="B102" ca="1">IF(OR(COUNTIF(数出表_Excel【15時】!AO106,"*修正*"),COUNTIF(数出表_Excel【15時】!AO107,"*修正*")),
IF(ISEVEN(ROW()+4),INDIRECT("数出表_Excel【15時】!A"&amp;ROW()+4&amp;""),INDIRECT("数出表_Excel【15時】!A"&amp;ROW()+4-1&amp;"")),"")</f>
        <v/>
      </c>
      <c r="C102" t="str">
        <f t="array" aca="1" ref="C102" ca="1">IF(OR(COUNTIF(数出表_Excel【15時】!AO106,"*修正*"),COUNTIF(数出表_Excel【15時】!AO107,"*修正*")),
IF(ISEVEN(ROW()+4),INDIRECT("数出表_Excel【15時】!A"&amp;ROW()+4+1&amp;""),INDIRECT("数出表_Excel【15時】!A"&amp;ROW()+4&amp;"")),"")</f>
        <v/>
      </c>
      <c r="D102" s="209" t="str">
        <f t="array" aca="1" ref="D102" ca="1">IF(B102&lt;&gt;"",
IFERROR(MATCH(TRUE,ISNUMBER(INDIRECT("数出表_Excel【15時】!B"&amp;(A102+4)&amp;":ZZ"&amp;(A102+4))),0)+1,""),"")</f>
        <v/>
      </c>
      <c r="E102" t="str">
        <f ca="1">IF(D102&lt;&gt;"",
OFFSET(数出表_Excel【15時】!$A$1,2,D102-1)
&amp;IFERROR(OFFSET(数出表_Excel【15時】!$A$1,3,D102-1),"")
&amp;IFERROR(OFFSET(数出表_Excel【15時】!$A$1,4,D102-1),""),"")</f>
        <v/>
      </c>
      <c r="F102" t="str">
        <f ca="1">IF(D102&lt;&gt;"",
OFFSET(数出表_Excel【15時】!$A$1,A102+3,D102-1),"")</f>
        <v/>
      </c>
      <c r="G102" t="str">
        <f ca="1">IF(D102&lt;&gt;"",
IF(AND(OFFSET(数出表_Excel【15時】!$A$1,A102+3,D102)&lt;&gt;"",OFFSET(数出表_Excel【15時】!$A$1,A102+3,D102)&lt;&gt;0),
OFFSET(数出表_Excel【15時】!$A$1,A102+3,D102),""),"")</f>
        <v/>
      </c>
      <c r="H102" s="209" t="str">
        <f t="array" aca="1" ref="H102" ca="1">IF(B102&lt;&gt;"",
IFERROR(MATCH(TRUE,ISNUMBER(INDIRECT("数出表_Excel【15時】!"&amp;SUBSTITUTE(ADDRESS(1,D102+2,4),"1","")&amp;(A102+4)&amp;":ZZ"&amp;(A102+4))),0)+D102+1,""),"")</f>
        <v/>
      </c>
      <c r="I102" t="str">
        <f ca="1">IF(H102&lt;&gt;"",
OFFSET(数出表_Excel【15時】!$A$1,2,H102-1)
&amp;IFERROR(OFFSET(数出表_Excel【15時】!$A$1,3,H102-1),"")
&amp;IFERROR(OFFSET(数出表_Excel【15時】!$A$1,4,H102-1),""),"")</f>
        <v/>
      </c>
      <c r="J102" t="str">
        <f ca="1">IF(H102&lt;&gt;"",
OFFSET(数出表_Excel【15時】!$A$1,A102+3,H102-1),"")</f>
        <v/>
      </c>
      <c r="K102" t="str">
        <f ca="1">IF(H102&lt;&gt;"",
IF(AND(OFFSET(数出表_Excel【15時】!$A$1,A102+3,H102)&lt;&gt;"",OFFSET(数出表_Excel【15時】!$A$1,A102+3,H102)&lt;&gt;0),
OFFSET(数出表_Excel【15時】!$A$1,A102+3,H102),""),"")</f>
        <v/>
      </c>
      <c r="L102" s="209" t="str">
        <f t="array" aca="1" ref="L102" ca="1">IF(B102&lt;&gt;"",
IFERROR(MATCH(TRUE,ISNUMBER(INDIRECT("数出表_Excel【15時】!"&amp;SUBSTITUTE(ADDRESS(1,H102+2,4),"1","")&amp;(A102+4)&amp;":ZZ"&amp;(A102+4))),0)+H102+1,""),"")</f>
        <v/>
      </c>
      <c r="M102" t="str">
        <f ca="1">IF(L102&lt;&gt;"",
OFFSET(数出表_Excel【15時】!$A$1,2,L102-1)
&amp;IFERROR(OFFSET(数出表_Excel【15時】!$A$1,3,L102-1),"")
&amp;IFERROR(OFFSET(数出表_Excel【15時】!$A$1,4,L102-1),""),"")</f>
        <v/>
      </c>
      <c r="N102" t="str">
        <f ca="1">IF(L102&lt;&gt;"",
OFFSET(数出表_Excel【15時】!$A$1,A102+3,L102-1),"")</f>
        <v/>
      </c>
      <c r="O102" t="str">
        <f ca="1">IF(L102&lt;&gt;"",
IF(AND(OFFSET(数出表_Excel【15時】!$A$1,A102+3,L102)&lt;&gt;"",OFFSET(数出表_Excel【15時】!$A$1,A102+3,L102)&lt;&gt;0),
OFFSET(数出表_Excel【15時】!$A$1,A102+3,L102),""),"")</f>
        <v/>
      </c>
      <c r="Q102" t="str">
        <f ca="1">IF(C102&lt;&gt;"",
IF(E102&lt;&gt;"",1,0)+IF(I102&lt;&gt;"",1,0)+IF(M102&lt;&gt;"",1,0),"")</f>
        <v/>
      </c>
      <c r="AH102" t="str">
        <f t="array" aca="1" ref="AH102" ca="1">IFERROR(SMALL(IF(O$1:O$307&lt;&gt;0,O$1:O$307),ROW(AH102)),"")</f>
        <v/>
      </c>
      <c r="AI102" t="str">
        <f t="array" aca="1" ref="AI102" ca="1">IF($T102&lt;&gt;"",
SUBSTITUTE(SUBSTITUTE(INDIRECT("B"&amp;$T102&amp;"")," 週3ｺｰｽ","")," 週5ｺｰｽ",""),"")</f>
        <v/>
      </c>
    </row>
    <row r="103" spans="1:35">
      <c r="A103" t="str">
        <f t="shared" ca="1" si="1"/>
        <v/>
      </c>
      <c r="B103" t="str">
        <f t="array" aca="1" ref="B103" ca="1">IF(OR(COUNTIF(数出表_Excel【15時】!AO106,"*修正*"),COUNTIF(数出表_Excel【15時】!AO107,"*修正*")),
IF(ISEVEN(ROW()+4),INDIRECT("数出表_Excel【15時】!A"&amp;ROW()+4&amp;""),INDIRECT("数出表_Excel【15時】!A"&amp;ROW()+4-1&amp;"")),"")</f>
        <v/>
      </c>
      <c r="C103" t="str">
        <f t="array" aca="1" ref="C103" ca="1">IF(OR(COUNTIF(数出表_Excel【15時】!AO106,"*修正*"),COUNTIF(数出表_Excel【15時】!AO107,"*修正*")),
IF(ISEVEN(ROW()+4),INDIRECT("数出表_Excel【15時】!A"&amp;ROW()+4+1&amp;""),INDIRECT("数出表_Excel【15時】!A"&amp;ROW()+4&amp;"")),"")</f>
        <v/>
      </c>
      <c r="D103" s="209" t="str">
        <f t="array" aca="1" ref="D103" ca="1">IF(B103&lt;&gt;"",
IFERROR(MATCH(TRUE,ISNUMBER(INDIRECT("数出表_Excel【15時】!B"&amp;(A103+4)&amp;":ZZ"&amp;(A103+4))),0)+1,""),"")</f>
        <v/>
      </c>
      <c r="E103" t="str">
        <f ca="1">IF(D103&lt;&gt;"",
OFFSET(数出表_Excel【15時】!$A$1,2,D103-1)
&amp;IFERROR(OFFSET(数出表_Excel【15時】!$A$1,3,D103-1),"")
&amp;IFERROR(OFFSET(数出表_Excel【15時】!$A$1,4,D103-1),""),"")</f>
        <v/>
      </c>
      <c r="F103" t="str">
        <f ca="1">IF(D103&lt;&gt;"",
OFFSET(数出表_Excel【15時】!$A$1,A103+3,D103-1),"")</f>
        <v/>
      </c>
      <c r="G103" t="str">
        <f ca="1">IF(D103&lt;&gt;"",
IF(AND(OFFSET(数出表_Excel【15時】!$A$1,A103+3,D103)&lt;&gt;"",OFFSET(数出表_Excel【15時】!$A$1,A103+3,D103)&lt;&gt;0),
OFFSET(数出表_Excel【15時】!$A$1,A103+3,D103),""),"")</f>
        <v/>
      </c>
      <c r="H103" s="209" t="str">
        <f t="array" aca="1" ref="H103" ca="1">IF(B103&lt;&gt;"",
IFERROR(MATCH(TRUE,ISNUMBER(INDIRECT("数出表_Excel【15時】!"&amp;SUBSTITUTE(ADDRESS(1,D103+2,4),"1","")&amp;(A103+4)&amp;":ZZ"&amp;(A103+4))),0)+D103+1,""),"")</f>
        <v/>
      </c>
      <c r="I103" t="str">
        <f ca="1">IF(H103&lt;&gt;"",
OFFSET(数出表_Excel【15時】!$A$1,2,H103-1)
&amp;IFERROR(OFFSET(数出表_Excel【15時】!$A$1,3,H103-1),"")
&amp;IFERROR(OFFSET(数出表_Excel【15時】!$A$1,4,H103-1),""),"")</f>
        <v/>
      </c>
      <c r="J103" t="str">
        <f ca="1">IF(H103&lt;&gt;"",
OFFSET(数出表_Excel【15時】!$A$1,A103+3,H103-1),"")</f>
        <v/>
      </c>
      <c r="K103" t="str">
        <f ca="1">IF(H103&lt;&gt;"",
IF(AND(OFFSET(数出表_Excel【15時】!$A$1,A103+3,H103)&lt;&gt;"",OFFSET(数出表_Excel【15時】!$A$1,A103+3,H103)&lt;&gt;0),
OFFSET(数出表_Excel【15時】!$A$1,A103+3,H103),""),"")</f>
        <v/>
      </c>
      <c r="L103" s="209" t="str">
        <f t="array" aca="1" ref="L103" ca="1">IF(B103&lt;&gt;"",
IFERROR(MATCH(TRUE,ISNUMBER(INDIRECT("数出表_Excel【15時】!"&amp;SUBSTITUTE(ADDRESS(1,H103+2,4),"1","")&amp;(A103+4)&amp;":ZZ"&amp;(A103+4))),0)+H103+1,""),"")</f>
        <v/>
      </c>
      <c r="M103" t="str">
        <f ca="1">IF(L103&lt;&gt;"",
OFFSET(数出表_Excel【15時】!$A$1,2,L103-1)
&amp;IFERROR(OFFSET(数出表_Excel【15時】!$A$1,3,L103-1),"")
&amp;IFERROR(OFFSET(数出表_Excel【15時】!$A$1,4,L103-1),""),"")</f>
        <v/>
      </c>
      <c r="N103" t="str">
        <f ca="1">IF(L103&lt;&gt;"",
OFFSET(数出表_Excel【15時】!$A$1,A103+3,L103-1),"")</f>
        <v/>
      </c>
      <c r="O103" t="str">
        <f ca="1">IF(L103&lt;&gt;"",
IF(AND(OFFSET(数出表_Excel【15時】!$A$1,A103+3,L103)&lt;&gt;"",OFFSET(数出表_Excel【15時】!$A$1,A103+3,L103)&lt;&gt;0),
OFFSET(数出表_Excel【15時】!$A$1,A103+3,L103),""),"")</f>
        <v/>
      </c>
      <c r="AH103" t="str">
        <f t="array" aca="1" ref="AH103" ca="1">IFERROR(SMALL(IF(O$1:O$307&lt;&gt;0,O$1:O$307),ROW(AH103)),"")</f>
        <v/>
      </c>
      <c r="AI103" t="str">
        <f t="array" aca="1" ref="AI103" ca="1">IF($T103&lt;&gt;"",
SUBSTITUTE(SUBSTITUTE(INDIRECT("B"&amp;$T103&amp;"")," 週3ｺｰｽ","")," 週5ｺｰｽ",""),"")</f>
        <v/>
      </c>
    </row>
    <row r="104" spans="1:35">
      <c r="A104" t="str">
        <f t="shared" ca="1" si="1"/>
        <v/>
      </c>
      <c r="B104" t="str">
        <f t="array" aca="1" ref="B104" ca="1">IF(OR(COUNTIF(数出表_Excel【15時】!AO108,"*修正*"),COUNTIF(数出表_Excel【15時】!AO109,"*修正*")),
IF(ISEVEN(ROW()+4),INDIRECT("数出表_Excel【15時】!A"&amp;ROW()+4&amp;""),INDIRECT("数出表_Excel【15時】!A"&amp;ROW()+4-1&amp;"")),"")</f>
        <v/>
      </c>
      <c r="C104" t="str">
        <f t="array" aca="1" ref="C104" ca="1">IF(OR(COUNTIF(数出表_Excel【15時】!AO108,"*修正*"),COUNTIF(数出表_Excel【15時】!AO109,"*修正*")),
IF(ISEVEN(ROW()+4),INDIRECT("数出表_Excel【15時】!A"&amp;ROW()+4+1&amp;""),INDIRECT("数出表_Excel【15時】!A"&amp;ROW()+4&amp;"")),"")</f>
        <v/>
      </c>
      <c r="D104" s="209" t="str">
        <f t="array" aca="1" ref="D104" ca="1">IF(B104&lt;&gt;"",
IFERROR(MATCH(TRUE,ISNUMBER(INDIRECT("数出表_Excel【15時】!B"&amp;(A104+4)&amp;":ZZ"&amp;(A104+4))),0)+1,""),"")</f>
        <v/>
      </c>
      <c r="E104" t="str">
        <f ca="1">IF(D104&lt;&gt;"",
OFFSET(数出表_Excel【15時】!$A$1,2,D104-1)
&amp;IFERROR(OFFSET(数出表_Excel【15時】!$A$1,3,D104-1),"")
&amp;IFERROR(OFFSET(数出表_Excel【15時】!$A$1,4,D104-1),""),"")</f>
        <v/>
      </c>
      <c r="F104" t="str">
        <f ca="1">IF(D104&lt;&gt;"",
OFFSET(数出表_Excel【15時】!$A$1,A104+3,D104-1),"")</f>
        <v/>
      </c>
      <c r="G104" t="str">
        <f ca="1">IF(D104&lt;&gt;"",
IF(AND(OFFSET(数出表_Excel【15時】!$A$1,A104+3,D104)&lt;&gt;"",OFFSET(数出表_Excel【15時】!$A$1,A104+3,D104)&lt;&gt;0),
OFFSET(数出表_Excel【15時】!$A$1,A104+3,D104),""),"")</f>
        <v/>
      </c>
      <c r="H104" s="209" t="str">
        <f t="array" aca="1" ref="H104" ca="1">IF(B104&lt;&gt;"",
IFERROR(MATCH(TRUE,ISNUMBER(INDIRECT("数出表_Excel【15時】!"&amp;SUBSTITUTE(ADDRESS(1,D104+2,4),"1","")&amp;(A104+4)&amp;":ZZ"&amp;(A104+4))),0)+D104+1,""),"")</f>
        <v/>
      </c>
      <c r="I104" t="str">
        <f ca="1">IF(H104&lt;&gt;"",
OFFSET(数出表_Excel【15時】!$A$1,2,H104-1)
&amp;IFERROR(OFFSET(数出表_Excel【15時】!$A$1,3,H104-1),"")
&amp;IFERROR(OFFSET(数出表_Excel【15時】!$A$1,4,H104-1),""),"")</f>
        <v/>
      </c>
      <c r="J104" t="str">
        <f ca="1">IF(H104&lt;&gt;"",
OFFSET(数出表_Excel【15時】!$A$1,A104+3,H104-1),"")</f>
        <v/>
      </c>
      <c r="K104" t="str">
        <f ca="1">IF(H104&lt;&gt;"",
IF(AND(OFFSET(数出表_Excel【15時】!$A$1,A104+3,H104)&lt;&gt;"",OFFSET(数出表_Excel【15時】!$A$1,A104+3,H104)&lt;&gt;0),
OFFSET(数出表_Excel【15時】!$A$1,A104+3,H104),""),"")</f>
        <v/>
      </c>
      <c r="L104" s="209" t="str">
        <f t="array" aca="1" ref="L104" ca="1">IF(B104&lt;&gt;"",
IFERROR(MATCH(TRUE,ISNUMBER(INDIRECT("数出表_Excel【15時】!"&amp;SUBSTITUTE(ADDRESS(1,H104+2,4),"1","")&amp;(A104+4)&amp;":ZZ"&amp;(A104+4))),0)+H104+1,""),"")</f>
        <v/>
      </c>
      <c r="M104" t="str">
        <f ca="1">IF(L104&lt;&gt;"",
OFFSET(数出表_Excel【15時】!$A$1,2,L104-1)
&amp;IFERROR(OFFSET(数出表_Excel【15時】!$A$1,3,L104-1),"")
&amp;IFERROR(OFFSET(数出表_Excel【15時】!$A$1,4,L104-1),""),"")</f>
        <v/>
      </c>
      <c r="N104" t="str">
        <f ca="1">IF(L104&lt;&gt;"",
OFFSET(数出表_Excel【15時】!$A$1,A104+3,L104-1),"")</f>
        <v/>
      </c>
      <c r="O104" t="str">
        <f ca="1">IF(L104&lt;&gt;"",
IF(AND(OFFSET(数出表_Excel【15時】!$A$1,A104+3,L104)&lt;&gt;"",OFFSET(数出表_Excel【15時】!$A$1,A104+3,L104)&lt;&gt;0),
OFFSET(数出表_Excel【15時】!$A$1,A104+3,L104),""),"")</f>
        <v/>
      </c>
      <c r="Q104" t="str">
        <f ca="1">IF(C104&lt;&gt;"",
IF(E104&lt;&gt;"",1,0)+IF(I104&lt;&gt;"",1,0)+IF(M104&lt;&gt;"",1,0),"")</f>
        <v/>
      </c>
      <c r="AH104" t="str">
        <f t="array" aca="1" ref="AH104" ca="1">IFERROR(SMALL(IF(O$1:O$307&lt;&gt;0,O$1:O$307),ROW(AH104)),"")</f>
        <v/>
      </c>
      <c r="AI104" t="str">
        <f t="array" aca="1" ref="AI104" ca="1">IF($T104&lt;&gt;"",
SUBSTITUTE(SUBSTITUTE(INDIRECT("B"&amp;$T104&amp;"")," 週3ｺｰｽ","")," 週5ｺｰｽ",""),"")</f>
        <v/>
      </c>
    </row>
    <row r="105" spans="1:35">
      <c r="A105" t="str">
        <f t="shared" ca="1" si="1"/>
        <v/>
      </c>
      <c r="B105" t="str">
        <f t="array" aca="1" ref="B105" ca="1">IF(OR(COUNTIF(数出表_Excel【15時】!AO108,"*修正*"),COUNTIF(数出表_Excel【15時】!AO109,"*修正*")),
IF(ISEVEN(ROW()+4),INDIRECT("数出表_Excel【15時】!A"&amp;ROW()+4&amp;""),INDIRECT("数出表_Excel【15時】!A"&amp;ROW()+4-1&amp;"")),"")</f>
        <v/>
      </c>
      <c r="C105" t="str">
        <f t="array" aca="1" ref="C105" ca="1">IF(OR(COUNTIF(数出表_Excel【15時】!AO108,"*修正*"),COUNTIF(数出表_Excel【15時】!AO109,"*修正*")),
IF(ISEVEN(ROW()+4),INDIRECT("数出表_Excel【15時】!A"&amp;ROW()+4+1&amp;""),INDIRECT("数出表_Excel【15時】!A"&amp;ROW()+4&amp;"")),"")</f>
        <v/>
      </c>
      <c r="D105" s="209" t="str">
        <f t="array" aca="1" ref="D105" ca="1">IF(B105&lt;&gt;"",
IFERROR(MATCH(TRUE,ISNUMBER(INDIRECT("数出表_Excel【15時】!B"&amp;(A105+4)&amp;":ZZ"&amp;(A105+4))),0)+1,""),"")</f>
        <v/>
      </c>
      <c r="E105" t="str">
        <f ca="1">IF(D105&lt;&gt;"",
OFFSET(数出表_Excel【15時】!$A$1,2,D105-1)
&amp;IFERROR(OFFSET(数出表_Excel【15時】!$A$1,3,D105-1),"")
&amp;IFERROR(OFFSET(数出表_Excel【15時】!$A$1,4,D105-1),""),"")</f>
        <v/>
      </c>
      <c r="F105" t="str">
        <f ca="1">IF(D105&lt;&gt;"",
OFFSET(数出表_Excel【15時】!$A$1,A105+3,D105-1),"")</f>
        <v/>
      </c>
      <c r="G105" t="str">
        <f ca="1">IF(D105&lt;&gt;"",
IF(AND(OFFSET(数出表_Excel【15時】!$A$1,A105+3,D105)&lt;&gt;"",OFFSET(数出表_Excel【15時】!$A$1,A105+3,D105)&lt;&gt;0),
OFFSET(数出表_Excel【15時】!$A$1,A105+3,D105),""),"")</f>
        <v/>
      </c>
      <c r="H105" s="209" t="str">
        <f t="array" aca="1" ref="H105" ca="1">IF(B105&lt;&gt;"",
IFERROR(MATCH(TRUE,ISNUMBER(INDIRECT("数出表_Excel【15時】!"&amp;SUBSTITUTE(ADDRESS(1,D105+2,4),"1","")&amp;(A105+4)&amp;":ZZ"&amp;(A105+4))),0)+D105+1,""),"")</f>
        <v/>
      </c>
      <c r="I105" t="str">
        <f ca="1">IF(H105&lt;&gt;"",
OFFSET(数出表_Excel【15時】!$A$1,2,H105-1)
&amp;IFERROR(OFFSET(数出表_Excel【15時】!$A$1,3,H105-1),"")
&amp;IFERROR(OFFSET(数出表_Excel【15時】!$A$1,4,H105-1),""),"")</f>
        <v/>
      </c>
      <c r="J105" t="str">
        <f ca="1">IF(H105&lt;&gt;"",
OFFSET(数出表_Excel【15時】!$A$1,A105+3,H105-1),"")</f>
        <v/>
      </c>
      <c r="K105" t="str">
        <f ca="1">IF(H105&lt;&gt;"",
IF(AND(OFFSET(数出表_Excel【15時】!$A$1,A105+3,H105)&lt;&gt;"",OFFSET(数出表_Excel【15時】!$A$1,A105+3,H105)&lt;&gt;0),
OFFSET(数出表_Excel【15時】!$A$1,A105+3,H105),""),"")</f>
        <v/>
      </c>
      <c r="L105" s="209" t="str">
        <f t="array" aca="1" ref="L105" ca="1">IF(B105&lt;&gt;"",
IFERROR(MATCH(TRUE,ISNUMBER(INDIRECT("数出表_Excel【15時】!"&amp;SUBSTITUTE(ADDRESS(1,H105+2,4),"1","")&amp;(A105+4)&amp;":ZZ"&amp;(A105+4))),0)+H105+1,""),"")</f>
        <v/>
      </c>
      <c r="M105" t="str">
        <f ca="1">IF(L105&lt;&gt;"",
OFFSET(数出表_Excel【15時】!$A$1,2,L105-1)
&amp;IFERROR(OFFSET(数出表_Excel【15時】!$A$1,3,L105-1),"")
&amp;IFERROR(OFFSET(数出表_Excel【15時】!$A$1,4,L105-1),""),"")</f>
        <v/>
      </c>
      <c r="N105" t="str">
        <f ca="1">IF(L105&lt;&gt;"",
OFFSET(数出表_Excel【15時】!$A$1,A105+3,L105-1),"")</f>
        <v/>
      </c>
      <c r="O105" t="str">
        <f ca="1">IF(L105&lt;&gt;"",
IF(AND(OFFSET(数出表_Excel【15時】!$A$1,A105+3,L105)&lt;&gt;"",OFFSET(数出表_Excel【15時】!$A$1,A105+3,L105)&lt;&gt;0),
OFFSET(数出表_Excel【15時】!$A$1,A105+3,L105),""),"")</f>
        <v/>
      </c>
      <c r="AH105" t="str">
        <f t="array" aca="1" ref="AH105" ca="1">IFERROR(SMALL(IF(O$1:O$307&lt;&gt;0,O$1:O$307),ROW(AH105)),"")</f>
        <v/>
      </c>
      <c r="AI105" t="str">
        <f t="array" aca="1" ref="AI105" ca="1">IF($T105&lt;&gt;"",
SUBSTITUTE(SUBSTITUTE(INDIRECT("B"&amp;$T105&amp;"")," 週3ｺｰｽ","")," 週5ｺｰｽ",""),"")</f>
        <v/>
      </c>
    </row>
    <row r="106" spans="1:35">
      <c r="A106" t="str">
        <f t="shared" ca="1" si="1"/>
        <v/>
      </c>
      <c r="B106" t="str">
        <f t="array" aca="1" ref="B106" ca="1">IF(OR(COUNTIF(数出表_Excel【15時】!AO110,"*修正*"),COUNTIF(数出表_Excel【15時】!AO111,"*修正*")),
IF(ISEVEN(ROW()+4),INDIRECT("数出表_Excel【15時】!A"&amp;ROW()+4&amp;""),INDIRECT("数出表_Excel【15時】!A"&amp;ROW()+4-1&amp;"")),"")</f>
        <v/>
      </c>
      <c r="C106" t="str">
        <f t="array" aca="1" ref="C106" ca="1">IF(OR(COUNTIF(数出表_Excel【15時】!AO110,"*修正*"),COUNTIF(数出表_Excel【15時】!AO111,"*修正*")),
IF(ISEVEN(ROW()+4),INDIRECT("数出表_Excel【15時】!A"&amp;ROW()+4+1&amp;""),INDIRECT("数出表_Excel【15時】!A"&amp;ROW()+4&amp;"")),"")</f>
        <v/>
      </c>
      <c r="D106" s="209" t="str">
        <f t="array" aca="1" ref="D106" ca="1">IF(B106&lt;&gt;"",
IFERROR(MATCH(TRUE,ISNUMBER(INDIRECT("数出表_Excel【15時】!B"&amp;(A106+4)&amp;":ZZ"&amp;(A106+4))),0)+1,""),"")</f>
        <v/>
      </c>
      <c r="E106" t="str">
        <f ca="1">IF(D106&lt;&gt;"",
OFFSET(数出表_Excel【15時】!$A$1,2,D106-1)
&amp;IFERROR(OFFSET(数出表_Excel【15時】!$A$1,3,D106-1),"")
&amp;IFERROR(OFFSET(数出表_Excel【15時】!$A$1,4,D106-1),""),"")</f>
        <v/>
      </c>
      <c r="F106" t="str">
        <f ca="1">IF(D106&lt;&gt;"",
OFFSET(数出表_Excel【15時】!$A$1,A106+3,D106-1),"")</f>
        <v/>
      </c>
      <c r="G106" t="str">
        <f ca="1">IF(D106&lt;&gt;"",
IF(AND(OFFSET(数出表_Excel【15時】!$A$1,A106+3,D106)&lt;&gt;"",OFFSET(数出表_Excel【15時】!$A$1,A106+3,D106)&lt;&gt;0),
OFFSET(数出表_Excel【15時】!$A$1,A106+3,D106),""),"")</f>
        <v/>
      </c>
      <c r="H106" s="209" t="str">
        <f t="array" aca="1" ref="H106" ca="1">IF(B106&lt;&gt;"",
IFERROR(MATCH(TRUE,ISNUMBER(INDIRECT("数出表_Excel【15時】!"&amp;SUBSTITUTE(ADDRESS(1,D106+2,4),"1","")&amp;(A106+4)&amp;":ZZ"&amp;(A106+4))),0)+D106+1,""),"")</f>
        <v/>
      </c>
      <c r="I106" t="str">
        <f ca="1">IF(H106&lt;&gt;"",
OFFSET(数出表_Excel【15時】!$A$1,2,H106-1)
&amp;IFERROR(OFFSET(数出表_Excel【15時】!$A$1,3,H106-1),"")
&amp;IFERROR(OFFSET(数出表_Excel【15時】!$A$1,4,H106-1),""),"")</f>
        <v/>
      </c>
      <c r="J106" t="str">
        <f ca="1">IF(H106&lt;&gt;"",
OFFSET(数出表_Excel【15時】!$A$1,A106+3,H106-1),"")</f>
        <v/>
      </c>
      <c r="K106" t="str">
        <f ca="1">IF(H106&lt;&gt;"",
IF(AND(OFFSET(数出表_Excel【15時】!$A$1,A106+3,H106)&lt;&gt;"",OFFSET(数出表_Excel【15時】!$A$1,A106+3,H106)&lt;&gt;0),
OFFSET(数出表_Excel【15時】!$A$1,A106+3,H106),""),"")</f>
        <v/>
      </c>
      <c r="L106" s="209" t="str">
        <f t="array" aca="1" ref="L106" ca="1">IF(B106&lt;&gt;"",
IFERROR(MATCH(TRUE,ISNUMBER(INDIRECT("数出表_Excel【15時】!"&amp;SUBSTITUTE(ADDRESS(1,H106+2,4),"1","")&amp;(A106+4)&amp;":ZZ"&amp;(A106+4))),0)+H106+1,""),"")</f>
        <v/>
      </c>
      <c r="M106" t="str">
        <f ca="1">IF(L106&lt;&gt;"",
OFFSET(数出表_Excel【15時】!$A$1,2,L106-1)
&amp;IFERROR(OFFSET(数出表_Excel【15時】!$A$1,3,L106-1),"")
&amp;IFERROR(OFFSET(数出表_Excel【15時】!$A$1,4,L106-1),""),"")</f>
        <v/>
      </c>
      <c r="N106" t="str">
        <f ca="1">IF(L106&lt;&gt;"",
OFFSET(数出表_Excel【15時】!$A$1,A106+3,L106-1),"")</f>
        <v/>
      </c>
      <c r="O106" t="str">
        <f ca="1">IF(L106&lt;&gt;"",
IF(AND(OFFSET(数出表_Excel【15時】!$A$1,A106+3,L106)&lt;&gt;"",OFFSET(数出表_Excel【15時】!$A$1,A106+3,L106)&lt;&gt;0),
OFFSET(数出表_Excel【15時】!$A$1,A106+3,L106),""),"")</f>
        <v/>
      </c>
      <c r="Q106" t="str">
        <f ca="1">IF(C106&lt;&gt;"",
IF(E106&lt;&gt;"",1,0)+IF(I106&lt;&gt;"",1,0)+IF(M106&lt;&gt;"",1,0),"")</f>
        <v/>
      </c>
      <c r="AH106" t="str">
        <f t="array" aca="1" ref="AH106" ca="1">IFERROR(SMALL(IF(O$1:O$307&lt;&gt;0,O$1:O$307),ROW(AH106)),"")</f>
        <v/>
      </c>
      <c r="AI106" t="str">
        <f t="array" aca="1" ref="AI106" ca="1">IF($T106&lt;&gt;"",
SUBSTITUTE(SUBSTITUTE(INDIRECT("B"&amp;$T106&amp;"")," 週3ｺｰｽ","")," 週5ｺｰｽ",""),"")</f>
        <v/>
      </c>
    </row>
    <row r="107" spans="1:35">
      <c r="A107" t="str">
        <f t="shared" ca="1" si="1"/>
        <v/>
      </c>
      <c r="B107" t="str">
        <f t="array" aca="1" ref="B107" ca="1">IF(OR(COUNTIF(数出表_Excel【15時】!AO110,"*修正*"),COUNTIF(数出表_Excel【15時】!AO111,"*修正*")),
IF(ISEVEN(ROW()+4),INDIRECT("数出表_Excel【15時】!A"&amp;ROW()+4&amp;""),INDIRECT("数出表_Excel【15時】!A"&amp;ROW()+4-1&amp;"")),"")</f>
        <v/>
      </c>
      <c r="C107" t="str">
        <f t="array" aca="1" ref="C107" ca="1">IF(OR(COUNTIF(数出表_Excel【15時】!AO110,"*修正*"),COUNTIF(数出表_Excel【15時】!AO111,"*修正*")),
IF(ISEVEN(ROW()+4),INDIRECT("数出表_Excel【15時】!A"&amp;ROW()+4+1&amp;""),INDIRECT("数出表_Excel【15時】!A"&amp;ROW()+4&amp;"")),"")</f>
        <v/>
      </c>
      <c r="D107" s="209" t="str">
        <f t="array" aca="1" ref="D107" ca="1">IF(B107&lt;&gt;"",
IFERROR(MATCH(TRUE,ISNUMBER(INDIRECT("数出表_Excel【15時】!B"&amp;(A107+4)&amp;":ZZ"&amp;(A107+4))),0)+1,""),"")</f>
        <v/>
      </c>
      <c r="E107" t="str">
        <f ca="1">IF(D107&lt;&gt;"",
OFFSET(数出表_Excel【15時】!$A$1,2,D107-1)
&amp;IFERROR(OFFSET(数出表_Excel【15時】!$A$1,3,D107-1),"")
&amp;IFERROR(OFFSET(数出表_Excel【15時】!$A$1,4,D107-1),""),"")</f>
        <v/>
      </c>
      <c r="F107" t="str">
        <f ca="1">IF(D107&lt;&gt;"",
OFFSET(数出表_Excel【15時】!$A$1,A107+3,D107-1),"")</f>
        <v/>
      </c>
      <c r="G107" t="str">
        <f ca="1">IF(D107&lt;&gt;"",
IF(AND(OFFSET(数出表_Excel【15時】!$A$1,A107+3,D107)&lt;&gt;"",OFFSET(数出表_Excel【15時】!$A$1,A107+3,D107)&lt;&gt;0),
OFFSET(数出表_Excel【15時】!$A$1,A107+3,D107),""),"")</f>
        <v/>
      </c>
      <c r="H107" s="209" t="str">
        <f t="array" aca="1" ref="H107" ca="1">IF(B107&lt;&gt;"",
IFERROR(MATCH(TRUE,ISNUMBER(INDIRECT("数出表_Excel【15時】!"&amp;SUBSTITUTE(ADDRESS(1,D107+2,4),"1","")&amp;(A107+4)&amp;":ZZ"&amp;(A107+4))),0)+D107+1,""),"")</f>
        <v/>
      </c>
      <c r="I107" t="str">
        <f ca="1">IF(H107&lt;&gt;"",
OFFSET(数出表_Excel【15時】!$A$1,2,H107-1)
&amp;IFERROR(OFFSET(数出表_Excel【15時】!$A$1,3,H107-1),"")
&amp;IFERROR(OFFSET(数出表_Excel【15時】!$A$1,4,H107-1),""),"")</f>
        <v/>
      </c>
      <c r="J107" t="str">
        <f ca="1">IF(H107&lt;&gt;"",
OFFSET(数出表_Excel【15時】!$A$1,A107+3,H107-1),"")</f>
        <v/>
      </c>
      <c r="K107" t="str">
        <f ca="1">IF(H107&lt;&gt;"",
IF(AND(OFFSET(数出表_Excel【15時】!$A$1,A107+3,H107)&lt;&gt;"",OFFSET(数出表_Excel【15時】!$A$1,A107+3,H107)&lt;&gt;0),
OFFSET(数出表_Excel【15時】!$A$1,A107+3,H107),""),"")</f>
        <v/>
      </c>
      <c r="L107" s="209" t="str">
        <f t="array" aca="1" ref="L107" ca="1">IF(B107&lt;&gt;"",
IFERROR(MATCH(TRUE,ISNUMBER(INDIRECT("数出表_Excel【15時】!"&amp;SUBSTITUTE(ADDRESS(1,H107+2,4),"1","")&amp;(A107+4)&amp;":ZZ"&amp;(A107+4))),0)+H107+1,""),"")</f>
        <v/>
      </c>
      <c r="M107" t="str">
        <f ca="1">IF(L107&lt;&gt;"",
OFFSET(数出表_Excel【15時】!$A$1,2,L107-1)
&amp;IFERROR(OFFSET(数出表_Excel【15時】!$A$1,3,L107-1),"")
&amp;IFERROR(OFFSET(数出表_Excel【15時】!$A$1,4,L107-1),""),"")</f>
        <v/>
      </c>
      <c r="N107" t="str">
        <f ca="1">IF(L107&lt;&gt;"",
OFFSET(数出表_Excel【15時】!$A$1,A107+3,L107-1),"")</f>
        <v/>
      </c>
      <c r="O107" t="str">
        <f ca="1">IF(L107&lt;&gt;"",
IF(AND(OFFSET(数出表_Excel【15時】!$A$1,A107+3,L107)&lt;&gt;"",OFFSET(数出表_Excel【15時】!$A$1,A107+3,L107)&lt;&gt;0),
OFFSET(数出表_Excel【15時】!$A$1,A107+3,L107),""),"")</f>
        <v/>
      </c>
      <c r="AH107" t="str">
        <f t="array" aca="1" ref="AH107" ca="1">IFERROR(SMALL(IF(O$1:O$307&lt;&gt;0,O$1:O$307),ROW(AH107)),"")</f>
        <v/>
      </c>
      <c r="AI107" t="str">
        <f t="array" aca="1" ref="AI107" ca="1">IF($T107&lt;&gt;"",
SUBSTITUTE(SUBSTITUTE(INDIRECT("B"&amp;$T107&amp;"")," 週3ｺｰｽ","")," 週5ｺｰｽ",""),"")</f>
        <v/>
      </c>
    </row>
    <row r="108" spans="1:35">
      <c r="A108" t="str">
        <f t="shared" ca="1" si="1"/>
        <v/>
      </c>
      <c r="B108" t="str">
        <f t="array" aca="1" ref="B108" ca="1">IF(OR(COUNTIF(数出表_Excel【15時】!AO112,"*修正*"),COUNTIF(数出表_Excel【15時】!AO113,"*修正*")),
IF(ISEVEN(ROW()+4),INDIRECT("数出表_Excel【15時】!A"&amp;ROW()+4&amp;""),INDIRECT("数出表_Excel【15時】!A"&amp;ROW()+4-1&amp;"")),"")</f>
        <v/>
      </c>
      <c r="C108" t="str">
        <f t="array" aca="1" ref="C108" ca="1">IF(OR(COUNTIF(数出表_Excel【15時】!AO112,"*修正*"),COUNTIF(数出表_Excel【15時】!AO113,"*修正*")),
IF(ISEVEN(ROW()+4),INDIRECT("数出表_Excel【15時】!A"&amp;ROW()+4+1&amp;""),INDIRECT("数出表_Excel【15時】!A"&amp;ROW()+4&amp;"")),"")</f>
        <v/>
      </c>
      <c r="D108" s="209" t="str">
        <f t="array" aca="1" ref="D108" ca="1">IF(B108&lt;&gt;"",
IFERROR(MATCH(TRUE,ISNUMBER(INDIRECT("数出表_Excel【15時】!B"&amp;(A108+4)&amp;":ZZ"&amp;(A108+4))),0)+1,""),"")</f>
        <v/>
      </c>
      <c r="E108" t="str">
        <f ca="1">IF(D108&lt;&gt;"",
OFFSET(数出表_Excel【15時】!$A$1,2,D108-1)
&amp;IFERROR(OFFSET(数出表_Excel【15時】!$A$1,3,D108-1),"")
&amp;IFERROR(OFFSET(数出表_Excel【15時】!$A$1,4,D108-1),""),"")</f>
        <v/>
      </c>
      <c r="F108" t="str">
        <f ca="1">IF(D108&lt;&gt;"",
OFFSET(数出表_Excel【15時】!$A$1,A108+3,D108-1),"")</f>
        <v/>
      </c>
      <c r="G108" t="str">
        <f ca="1">IF(D108&lt;&gt;"",
IF(AND(OFFSET(数出表_Excel【15時】!$A$1,A108+3,D108)&lt;&gt;"",OFFSET(数出表_Excel【15時】!$A$1,A108+3,D108)&lt;&gt;0),
OFFSET(数出表_Excel【15時】!$A$1,A108+3,D108),""),"")</f>
        <v/>
      </c>
      <c r="H108" s="209" t="str">
        <f t="array" aca="1" ref="H108" ca="1">IF(B108&lt;&gt;"",
IFERROR(MATCH(TRUE,ISNUMBER(INDIRECT("数出表_Excel【15時】!"&amp;SUBSTITUTE(ADDRESS(1,D108+2,4),"1","")&amp;(A108+4)&amp;":ZZ"&amp;(A108+4))),0)+D108+1,""),"")</f>
        <v/>
      </c>
      <c r="I108" t="str">
        <f ca="1">IF(H108&lt;&gt;"",
OFFSET(数出表_Excel【15時】!$A$1,2,H108-1)
&amp;IFERROR(OFFSET(数出表_Excel【15時】!$A$1,3,H108-1),"")
&amp;IFERROR(OFFSET(数出表_Excel【15時】!$A$1,4,H108-1),""),"")</f>
        <v/>
      </c>
      <c r="J108" t="str">
        <f ca="1">IF(H108&lt;&gt;"",
OFFSET(数出表_Excel【15時】!$A$1,A108+3,H108-1),"")</f>
        <v/>
      </c>
      <c r="K108" t="str">
        <f ca="1">IF(H108&lt;&gt;"",
IF(AND(OFFSET(数出表_Excel【15時】!$A$1,A108+3,H108)&lt;&gt;"",OFFSET(数出表_Excel【15時】!$A$1,A108+3,H108)&lt;&gt;0),
OFFSET(数出表_Excel【15時】!$A$1,A108+3,H108),""),"")</f>
        <v/>
      </c>
      <c r="L108" s="209" t="str">
        <f t="array" aca="1" ref="L108" ca="1">IF(B108&lt;&gt;"",
IFERROR(MATCH(TRUE,ISNUMBER(INDIRECT("数出表_Excel【15時】!"&amp;SUBSTITUTE(ADDRESS(1,H108+2,4),"1","")&amp;(A108+4)&amp;":ZZ"&amp;(A108+4))),0)+H108+1,""),"")</f>
        <v/>
      </c>
      <c r="M108" t="str">
        <f ca="1">IF(L108&lt;&gt;"",
OFFSET(数出表_Excel【15時】!$A$1,2,L108-1)
&amp;IFERROR(OFFSET(数出表_Excel【15時】!$A$1,3,L108-1),"")
&amp;IFERROR(OFFSET(数出表_Excel【15時】!$A$1,4,L108-1),""),"")</f>
        <v/>
      </c>
      <c r="N108" t="str">
        <f ca="1">IF(L108&lt;&gt;"",
OFFSET(数出表_Excel【15時】!$A$1,A108+3,L108-1),"")</f>
        <v/>
      </c>
      <c r="O108" t="str">
        <f ca="1">IF(L108&lt;&gt;"",
IF(AND(OFFSET(数出表_Excel【15時】!$A$1,A108+3,L108)&lt;&gt;"",OFFSET(数出表_Excel【15時】!$A$1,A108+3,L108)&lt;&gt;0),
OFFSET(数出表_Excel【15時】!$A$1,A108+3,L108),""),"")</f>
        <v/>
      </c>
      <c r="Q108" t="str">
        <f ca="1">IF(C108&lt;&gt;"",
IF(E108&lt;&gt;"",1,0)+IF(I108&lt;&gt;"",1,0)+IF(M108&lt;&gt;"",1,0),"")</f>
        <v/>
      </c>
      <c r="AH108" t="str">
        <f t="array" aca="1" ref="AH108" ca="1">IFERROR(SMALL(IF(O$1:O$307&lt;&gt;0,O$1:O$307),ROW(AH108)),"")</f>
        <v/>
      </c>
      <c r="AI108" t="str">
        <f t="array" aca="1" ref="AI108" ca="1">IF($T108&lt;&gt;"",
SUBSTITUTE(SUBSTITUTE(INDIRECT("B"&amp;$T108&amp;"")," 週3ｺｰｽ","")," 週5ｺｰｽ",""),"")</f>
        <v/>
      </c>
    </row>
    <row r="109" spans="1:35">
      <c r="A109" t="str">
        <f t="shared" ca="1" si="1"/>
        <v/>
      </c>
      <c r="B109" t="str">
        <f t="array" aca="1" ref="B109" ca="1">IF(OR(COUNTIF(数出表_Excel【15時】!AO112,"*修正*"),COUNTIF(数出表_Excel【15時】!AO113,"*修正*")),
IF(ISEVEN(ROW()+4),INDIRECT("数出表_Excel【15時】!A"&amp;ROW()+4&amp;""),INDIRECT("数出表_Excel【15時】!A"&amp;ROW()+4-1&amp;"")),"")</f>
        <v/>
      </c>
      <c r="C109" t="str">
        <f t="array" aca="1" ref="C109" ca="1">IF(OR(COUNTIF(数出表_Excel【15時】!AO112,"*修正*"),COUNTIF(数出表_Excel【15時】!AO113,"*修正*")),
IF(ISEVEN(ROW()+4),INDIRECT("数出表_Excel【15時】!A"&amp;ROW()+4+1&amp;""),INDIRECT("数出表_Excel【15時】!A"&amp;ROW()+4&amp;"")),"")</f>
        <v/>
      </c>
      <c r="D109" s="209" t="str">
        <f t="array" aca="1" ref="D109" ca="1">IF(B109&lt;&gt;"",
IFERROR(MATCH(TRUE,ISNUMBER(INDIRECT("数出表_Excel【15時】!B"&amp;(A109+4)&amp;":ZZ"&amp;(A109+4))),0)+1,""),"")</f>
        <v/>
      </c>
      <c r="E109" t="str">
        <f ca="1">IF(D109&lt;&gt;"",
OFFSET(数出表_Excel【15時】!$A$1,2,D109-1)
&amp;IFERROR(OFFSET(数出表_Excel【15時】!$A$1,3,D109-1),"")
&amp;IFERROR(OFFSET(数出表_Excel【15時】!$A$1,4,D109-1),""),"")</f>
        <v/>
      </c>
      <c r="F109" t="str">
        <f ca="1">IF(D109&lt;&gt;"",
OFFSET(数出表_Excel【15時】!$A$1,A109+3,D109-1),"")</f>
        <v/>
      </c>
      <c r="G109" t="str">
        <f ca="1">IF(D109&lt;&gt;"",
IF(AND(OFFSET(数出表_Excel【15時】!$A$1,A109+3,D109)&lt;&gt;"",OFFSET(数出表_Excel【15時】!$A$1,A109+3,D109)&lt;&gt;0),
OFFSET(数出表_Excel【15時】!$A$1,A109+3,D109),""),"")</f>
        <v/>
      </c>
      <c r="H109" s="209" t="str">
        <f t="array" aca="1" ref="H109" ca="1">IF(B109&lt;&gt;"",
IFERROR(MATCH(TRUE,ISNUMBER(INDIRECT("数出表_Excel【15時】!"&amp;SUBSTITUTE(ADDRESS(1,D109+2,4),"1","")&amp;(A109+4)&amp;":ZZ"&amp;(A109+4))),0)+D109+1,""),"")</f>
        <v/>
      </c>
      <c r="I109" t="str">
        <f ca="1">IF(H109&lt;&gt;"",
OFFSET(数出表_Excel【15時】!$A$1,2,H109-1)
&amp;IFERROR(OFFSET(数出表_Excel【15時】!$A$1,3,H109-1),"")
&amp;IFERROR(OFFSET(数出表_Excel【15時】!$A$1,4,H109-1),""),"")</f>
        <v/>
      </c>
      <c r="J109" t="str">
        <f ca="1">IF(H109&lt;&gt;"",
OFFSET(数出表_Excel【15時】!$A$1,A109+3,H109-1),"")</f>
        <v/>
      </c>
      <c r="K109" t="str">
        <f ca="1">IF(H109&lt;&gt;"",
IF(AND(OFFSET(数出表_Excel【15時】!$A$1,A109+3,H109)&lt;&gt;"",OFFSET(数出表_Excel【15時】!$A$1,A109+3,H109)&lt;&gt;0),
OFFSET(数出表_Excel【15時】!$A$1,A109+3,H109),""),"")</f>
        <v/>
      </c>
      <c r="L109" s="209" t="str">
        <f t="array" aca="1" ref="L109" ca="1">IF(B109&lt;&gt;"",
IFERROR(MATCH(TRUE,ISNUMBER(INDIRECT("数出表_Excel【15時】!"&amp;SUBSTITUTE(ADDRESS(1,H109+2,4),"1","")&amp;(A109+4)&amp;":ZZ"&amp;(A109+4))),0)+H109+1,""),"")</f>
        <v/>
      </c>
      <c r="M109" t="str">
        <f ca="1">IF(L109&lt;&gt;"",
OFFSET(数出表_Excel【15時】!$A$1,2,L109-1)
&amp;IFERROR(OFFSET(数出表_Excel【15時】!$A$1,3,L109-1),"")
&amp;IFERROR(OFFSET(数出表_Excel【15時】!$A$1,4,L109-1),""),"")</f>
        <v/>
      </c>
      <c r="N109" t="str">
        <f ca="1">IF(L109&lt;&gt;"",
OFFSET(数出表_Excel【15時】!$A$1,A109+3,L109-1),"")</f>
        <v/>
      </c>
      <c r="O109" t="str">
        <f ca="1">IF(L109&lt;&gt;"",
IF(AND(OFFSET(数出表_Excel【15時】!$A$1,A109+3,L109)&lt;&gt;"",OFFSET(数出表_Excel【15時】!$A$1,A109+3,L109)&lt;&gt;0),
OFFSET(数出表_Excel【15時】!$A$1,A109+3,L109),""),"")</f>
        <v/>
      </c>
      <c r="AH109" t="str">
        <f t="array" aca="1" ref="AH109" ca="1">IFERROR(SMALL(IF(O$1:O$307&lt;&gt;0,O$1:O$307),ROW(AH109)),"")</f>
        <v/>
      </c>
      <c r="AI109" t="str">
        <f t="array" aca="1" ref="AI109" ca="1">IF($T109&lt;&gt;"",
SUBSTITUTE(SUBSTITUTE(INDIRECT("B"&amp;$T109&amp;"")," 週3ｺｰｽ","")," 週5ｺｰｽ",""),"")</f>
        <v/>
      </c>
    </row>
    <row r="110" spans="1:35">
      <c r="A110" t="str">
        <f t="shared" ca="1" si="1"/>
        <v/>
      </c>
      <c r="B110" t="str">
        <f t="array" aca="1" ref="B110" ca="1">IF(OR(COUNTIF(数出表_Excel【15時】!AO114,"*修正*"),COUNTIF(数出表_Excel【15時】!AO115,"*修正*")),
IF(ISEVEN(ROW()+4),INDIRECT("数出表_Excel【15時】!A"&amp;ROW()+4&amp;""),INDIRECT("数出表_Excel【15時】!A"&amp;ROW()+4-1&amp;"")),"")</f>
        <v/>
      </c>
      <c r="C110" t="str">
        <f t="array" aca="1" ref="C110" ca="1">IF(OR(COUNTIF(数出表_Excel【15時】!AO114,"*修正*"),COUNTIF(数出表_Excel【15時】!AO115,"*修正*")),
IF(ISEVEN(ROW()+4),INDIRECT("数出表_Excel【15時】!A"&amp;ROW()+4+1&amp;""),INDIRECT("数出表_Excel【15時】!A"&amp;ROW()+4&amp;"")),"")</f>
        <v/>
      </c>
      <c r="D110" s="209" t="str">
        <f t="array" aca="1" ref="D110" ca="1">IF(B110&lt;&gt;"",
IFERROR(MATCH(TRUE,ISNUMBER(INDIRECT("数出表_Excel【15時】!B"&amp;(A110+4)&amp;":ZZ"&amp;(A110+4))),0)+1,""),"")</f>
        <v/>
      </c>
      <c r="E110" t="str">
        <f ca="1">IF(D110&lt;&gt;"",
OFFSET(数出表_Excel【15時】!$A$1,2,D110-1)
&amp;IFERROR(OFFSET(数出表_Excel【15時】!$A$1,3,D110-1),"")
&amp;IFERROR(OFFSET(数出表_Excel【15時】!$A$1,4,D110-1),""),"")</f>
        <v/>
      </c>
      <c r="F110" t="str">
        <f ca="1">IF(D110&lt;&gt;"",
OFFSET(数出表_Excel【15時】!$A$1,A110+3,D110-1),"")</f>
        <v/>
      </c>
      <c r="G110" t="str">
        <f ca="1">IF(D110&lt;&gt;"",
IF(AND(OFFSET(数出表_Excel【15時】!$A$1,A110+3,D110)&lt;&gt;"",OFFSET(数出表_Excel【15時】!$A$1,A110+3,D110)&lt;&gt;0),
OFFSET(数出表_Excel【15時】!$A$1,A110+3,D110),""),"")</f>
        <v/>
      </c>
      <c r="H110" s="209" t="str">
        <f t="array" aca="1" ref="H110" ca="1">IF(B110&lt;&gt;"",
IFERROR(MATCH(TRUE,ISNUMBER(INDIRECT("数出表_Excel【15時】!"&amp;SUBSTITUTE(ADDRESS(1,D110+2,4),"1","")&amp;(A110+4)&amp;":ZZ"&amp;(A110+4))),0)+D110+1,""),"")</f>
        <v/>
      </c>
      <c r="I110" t="str">
        <f ca="1">IF(H110&lt;&gt;"",
OFFSET(数出表_Excel【15時】!$A$1,2,H110-1)
&amp;IFERROR(OFFSET(数出表_Excel【15時】!$A$1,3,H110-1),"")
&amp;IFERROR(OFFSET(数出表_Excel【15時】!$A$1,4,H110-1),""),"")</f>
        <v/>
      </c>
      <c r="J110" t="str">
        <f ca="1">IF(H110&lt;&gt;"",
OFFSET(数出表_Excel【15時】!$A$1,A110+3,H110-1),"")</f>
        <v/>
      </c>
      <c r="K110" t="str">
        <f ca="1">IF(H110&lt;&gt;"",
IF(AND(OFFSET(数出表_Excel【15時】!$A$1,A110+3,H110)&lt;&gt;"",OFFSET(数出表_Excel【15時】!$A$1,A110+3,H110)&lt;&gt;0),
OFFSET(数出表_Excel【15時】!$A$1,A110+3,H110),""),"")</f>
        <v/>
      </c>
      <c r="L110" s="209" t="str">
        <f t="array" aca="1" ref="L110" ca="1">IF(B110&lt;&gt;"",
IFERROR(MATCH(TRUE,ISNUMBER(INDIRECT("数出表_Excel【15時】!"&amp;SUBSTITUTE(ADDRESS(1,H110+2,4),"1","")&amp;(A110+4)&amp;":ZZ"&amp;(A110+4))),0)+H110+1,""),"")</f>
        <v/>
      </c>
      <c r="M110" t="str">
        <f ca="1">IF(L110&lt;&gt;"",
OFFSET(数出表_Excel【15時】!$A$1,2,L110-1)
&amp;IFERROR(OFFSET(数出表_Excel【15時】!$A$1,3,L110-1),"")
&amp;IFERROR(OFFSET(数出表_Excel【15時】!$A$1,4,L110-1),""),"")</f>
        <v/>
      </c>
      <c r="N110" t="str">
        <f ca="1">IF(L110&lt;&gt;"",
OFFSET(数出表_Excel【15時】!$A$1,A110+3,L110-1),"")</f>
        <v/>
      </c>
      <c r="O110" t="str">
        <f ca="1">IF(L110&lt;&gt;"",
IF(AND(OFFSET(数出表_Excel【15時】!$A$1,A110+3,L110)&lt;&gt;"",OFFSET(数出表_Excel【15時】!$A$1,A110+3,L110)&lt;&gt;0),
OFFSET(数出表_Excel【15時】!$A$1,A110+3,L110),""),"")</f>
        <v/>
      </c>
      <c r="Q110" t="str">
        <f ca="1">IF(C110&lt;&gt;"",
IF(E110&lt;&gt;"",1,0)+IF(I110&lt;&gt;"",1,0)+IF(M110&lt;&gt;"",1,0),"")</f>
        <v/>
      </c>
      <c r="AH110" t="str">
        <f t="array" aca="1" ref="AH110" ca="1">IFERROR(SMALL(IF(O$1:O$307&lt;&gt;0,O$1:O$307),ROW(AH110)),"")</f>
        <v/>
      </c>
      <c r="AI110" t="str">
        <f t="array" aca="1" ref="AI110" ca="1">IF($T110&lt;&gt;"",
SUBSTITUTE(SUBSTITUTE(INDIRECT("B"&amp;$T110&amp;"")," 週3ｺｰｽ","")," 週5ｺｰｽ",""),"")</f>
        <v/>
      </c>
    </row>
    <row r="111" spans="1:35">
      <c r="A111" t="str">
        <f t="shared" ca="1" si="1"/>
        <v/>
      </c>
      <c r="B111" t="str">
        <f t="array" aca="1" ref="B111" ca="1">IF(OR(COUNTIF(数出表_Excel【15時】!AO114,"*修正*"),COUNTIF(数出表_Excel【15時】!AO115,"*修正*")),
IF(ISEVEN(ROW()+4),INDIRECT("数出表_Excel【15時】!A"&amp;ROW()+4&amp;""),INDIRECT("数出表_Excel【15時】!A"&amp;ROW()+4-1&amp;"")),"")</f>
        <v/>
      </c>
      <c r="C111" t="str">
        <f t="array" aca="1" ref="C111" ca="1">IF(OR(COUNTIF(数出表_Excel【15時】!AO114,"*修正*"),COUNTIF(数出表_Excel【15時】!AO115,"*修正*")),
IF(ISEVEN(ROW()+4),INDIRECT("数出表_Excel【15時】!A"&amp;ROW()+4+1&amp;""),INDIRECT("数出表_Excel【15時】!A"&amp;ROW()+4&amp;"")),"")</f>
        <v/>
      </c>
      <c r="D111" s="209" t="str">
        <f t="array" aca="1" ref="D111" ca="1">IF(B111&lt;&gt;"",
IFERROR(MATCH(TRUE,ISNUMBER(INDIRECT("数出表_Excel【15時】!B"&amp;(A111+4)&amp;":ZZ"&amp;(A111+4))),0)+1,""),"")</f>
        <v/>
      </c>
      <c r="E111" t="str">
        <f ca="1">IF(D111&lt;&gt;"",
OFFSET(数出表_Excel【15時】!$A$1,2,D111-1)
&amp;IFERROR(OFFSET(数出表_Excel【15時】!$A$1,3,D111-1),"")
&amp;IFERROR(OFFSET(数出表_Excel【15時】!$A$1,4,D111-1),""),"")</f>
        <v/>
      </c>
      <c r="F111" t="str">
        <f ca="1">IF(D111&lt;&gt;"",
OFFSET(数出表_Excel【15時】!$A$1,A111+3,D111-1),"")</f>
        <v/>
      </c>
      <c r="G111" t="str">
        <f ca="1">IF(D111&lt;&gt;"",
IF(AND(OFFSET(数出表_Excel【15時】!$A$1,A111+3,D111)&lt;&gt;"",OFFSET(数出表_Excel【15時】!$A$1,A111+3,D111)&lt;&gt;0),
OFFSET(数出表_Excel【15時】!$A$1,A111+3,D111),""),"")</f>
        <v/>
      </c>
      <c r="H111" s="209" t="str">
        <f t="array" aca="1" ref="H111" ca="1">IF(B111&lt;&gt;"",
IFERROR(MATCH(TRUE,ISNUMBER(INDIRECT("数出表_Excel【15時】!"&amp;SUBSTITUTE(ADDRESS(1,D111+2,4),"1","")&amp;(A111+4)&amp;":ZZ"&amp;(A111+4))),0)+D111+1,""),"")</f>
        <v/>
      </c>
      <c r="I111" t="str">
        <f ca="1">IF(H111&lt;&gt;"",
OFFSET(数出表_Excel【15時】!$A$1,2,H111-1)
&amp;IFERROR(OFFSET(数出表_Excel【15時】!$A$1,3,H111-1),"")
&amp;IFERROR(OFFSET(数出表_Excel【15時】!$A$1,4,H111-1),""),"")</f>
        <v/>
      </c>
      <c r="J111" t="str">
        <f ca="1">IF(H111&lt;&gt;"",
OFFSET(数出表_Excel【15時】!$A$1,A111+3,H111-1),"")</f>
        <v/>
      </c>
      <c r="K111" t="str">
        <f ca="1">IF(H111&lt;&gt;"",
IF(AND(OFFSET(数出表_Excel【15時】!$A$1,A111+3,H111)&lt;&gt;"",OFFSET(数出表_Excel【15時】!$A$1,A111+3,H111)&lt;&gt;0),
OFFSET(数出表_Excel【15時】!$A$1,A111+3,H111),""),"")</f>
        <v/>
      </c>
      <c r="L111" s="209" t="str">
        <f t="array" aca="1" ref="L111" ca="1">IF(B111&lt;&gt;"",
IFERROR(MATCH(TRUE,ISNUMBER(INDIRECT("数出表_Excel【15時】!"&amp;SUBSTITUTE(ADDRESS(1,H111+2,4),"1","")&amp;(A111+4)&amp;":ZZ"&amp;(A111+4))),0)+H111+1,""),"")</f>
        <v/>
      </c>
      <c r="M111" t="str">
        <f ca="1">IF(L111&lt;&gt;"",
OFFSET(数出表_Excel【15時】!$A$1,2,L111-1)
&amp;IFERROR(OFFSET(数出表_Excel【15時】!$A$1,3,L111-1),"")
&amp;IFERROR(OFFSET(数出表_Excel【15時】!$A$1,4,L111-1),""),"")</f>
        <v/>
      </c>
      <c r="N111" t="str">
        <f ca="1">IF(L111&lt;&gt;"",
OFFSET(数出表_Excel【15時】!$A$1,A111+3,L111-1),"")</f>
        <v/>
      </c>
      <c r="O111" t="str">
        <f ca="1">IF(L111&lt;&gt;"",
IF(AND(OFFSET(数出表_Excel【15時】!$A$1,A111+3,L111)&lt;&gt;"",OFFSET(数出表_Excel【15時】!$A$1,A111+3,L111)&lt;&gt;0),
OFFSET(数出表_Excel【15時】!$A$1,A111+3,L111),""),"")</f>
        <v/>
      </c>
      <c r="AH111" t="str">
        <f t="array" aca="1" ref="AH111" ca="1">IFERROR(SMALL(IF(O$1:O$307&lt;&gt;0,O$1:O$307),ROW(AH111)),"")</f>
        <v/>
      </c>
      <c r="AI111" t="str">
        <f t="array" aca="1" ref="AI111" ca="1">IF($T111&lt;&gt;"",
SUBSTITUTE(SUBSTITUTE(INDIRECT("B"&amp;$T111&amp;"")," 週3ｺｰｽ","")," 週5ｺｰｽ",""),"")</f>
        <v/>
      </c>
    </row>
    <row r="112" spans="1:35">
      <c r="A112" t="str">
        <f t="shared" ca="1" si="1"/>
        <v/>
      </c>
      <c r="B112" t="str">
        <f t="array" aca="1" ref="B112" ca="1">IF(OR(COUNTIF(数出表_Excel【15時】!AO116,"*修正*"),COUNTIF(数出表_Excel【15時】!AO117,"*修正*")),
IF(ISEVEN(ROW()+4),INDIRECT("数出表_Excel【15時】!A"&amp;ROW()+4&amp;""),INDIRECT("数出表_Excel【15時】!A"&amp;ROW()+4-1&amp;"")),"")</f>
        <v/>
      </c>
      <c r="C112" t="str">
        <f t="array" aca="1" ref="C112" ca="1">IF(OR(COUNTIF(数出表_Excel【15時】!AO116,"*修正*"),COUNTIF(数出表_Excel【15時】!AO117,"*修正*")),
IF(ISEVEN(ROW()+4),INDIRECT("数出表_Excel【15時】!A"&amp;ROW()+4+1&amp;""),INDIRECT("数出表_Excel【15時】!A"&amp;ROW()+4&amp;"")),"")</f>
        <v/>
      </c>
      <c r="D112" s="209" t="str">
        <f t="array" aca="1" ref="D112" ca="1">IF(B112&lt;&gt;"",
IFERROR(MATCH(TRUE,ISNUMBER(INDIRECT("数出表_Excel【15時】!B"&amp;(A112+4)&amp;":ZZ"&amp;(A112+4))),0)+1,""),"")</f>
        <v/>
      </c>
      <c r="E112" t="str">
        <f ca="1">IF(D112&lt;&gt;"",
OFFSET(数出表_Excel【15時】!$A$1,2,D112-1)
&amp;IFERROR(OFFSET(数出表_Excel【15時】!$A$1,3,D112-1),"")
&amp;IFERROR(OFFSET(数出表_Excel【15時】!$A$1,4,D112-1),""),"")</f>
        <v/>
      </c>
      <c r="F112" t="str">
        <f ca="1">IF(D112&lt;&gt;"",
OFFSET(数出表_Excel【15時】!$A$1,A112+3,D112-1),"")</f>
        <v/>
      </c>
      <c r="G112" t="str">
        <f ca="1">IF(D112&lt;&gt;"",
IF(AND(OFFSET(数出表_Excel【15時】!$A$1,A112+3,D112)&lt;&gt;"",OFFSET(数出表_Excel【15時】!$A$1,A112+3,D112)&lt;&gt;0),
OFFSET(数出表_Excel【15時】!$A$1,A112+3,D112),""),"")</f>
        <v/>
      </c>
      <c r="H112" s="209" t="str">
        <f t="array" aca="1" ref="H112" ca="1">IF(B112&lt;&gt;"",
IFERROR(MATCH(TRUE,ISNUMBER(INDIRECT("数出表_Excel【15時】!"&amp;SUBSTITUTE(ADDRESS(1,D112+2,4),"1","")&amp;(A112+4)&amp;":ZZ"&amp;(A112+4))),0)+D112+1,""),"")</f>
        <v/>
      </c>
      <c r="I112" t="str">
        <f ca="1">IF(H112&lt;&gt;"",
OFFSET(数出表_Excel【15時】!$A$1,2,H112-1)
&amp;IFERROR(OFFSET(数出表_Excel【15時】!$A$1,3,H112-1),"")
&amp;IFERROR(OFFSET(数出表_Excel【15時】!$A$1,4,H112-1),""),"")</f>
        <v/>
      </c>
      <c r="J112" t="str">
        <f ca="1">IF(H112&lt;&gt;"",
OFFSET(数出表_Excel【15時】!$A$1,A112+3,H112-1),"")</f>
        <v/>
      </c>
      <c r="K112" t="str">
        <f ca="1">IF(H112&lt;&gt;"",
IF(AND(OFFSET(数出表_Excel【15時】!$A$1,A112+3,H112)&lt;&gt;"",OFFSET(数出表_Excel【15時】!$A$1,A112+3,H112)&lt;&gt;0),
OFFSET(数出表_Excel【15時】!$A$1,A112+3,H112),""),"")</f>
        <v/>
      </c>
      <c r="L112" s="209" t="str">
        <f t="array" aca="1" ref="L112" ca="1">IF(B112&lt;&gt;"",
IFERROR(MATCH(TRUE,ISNUMBER(INDIRECT("数出表_Excel【15時】!"&amp;SUBSTITUTE(ADDRESS(1,H112+2,4),"1","")&amp;(A112+4)&amp;":ZZ"&amp;(A112+4))),0)+H112+1,""),"")</f>
        <v/>
      </c>
      <c r="M112" t="str">
        <f ca="1">IF(L112&lt;&gt;"",
OFFSET(数出表_Excel【15時】!$A$1,2,L112-1)
&amp;IFERROR(OFFSET(数出表_Excel【15時】!$A$1,3,L112-1),"")
&amp;IFERROR(OFFSET(数出表_Excel【15時】!$A$1,4,L112-1),""),"")</f>
        <v/>
      </c>
      <c r="N112" t="str">
        <f ca="1">IF(L112&lt;&gt;"",
OFFSET(数出表_Excel【15時】!$A$1,A112+3,L112-1),"")</f>
        <v/>
      </c>
      <c r="O112" t="str">
        <f ca="1">IF(L112&lt;&gt;"",
IF(AND(OFFSET(数出表_Excel【15時】!$A$1,A112+3,L112)&lt;&gt;"",OFFSET(数出表_Excel【15時】!$A$1,A112+3,L112)&lt;&gt;0),
OFFSET(数出表_Excel【15時】!$A$1,A112+3,L112),""),"")</f>
        <v/>
      </c>
      <c r="Q112" t="str">
        <f ca="1">IF(C112&lt;&gt;"",
IF(E112&lt;&gt;"",1,0)+IF(I112&lt;&gt;"",1,0)+IF(M112&lt;&gt;"",1,0),"")</f>
        <v/>
      </c>
      <c r="AH112" t="str">
        <f t="array" aca="1" ref="AH112" ca="1">IFERROR(SMALL(IF(O$1:O$307&lt;&gt;0,O$1:O$307),ROW(AH112)),"")</f>
        <v/>
      </c>
      <c r="AI112" t="str">
        <f t="array" aca="1" ref="AI112" ca="1">IF($T112&lt;&gt;"",
SUBSTITUTE(SUBSTITUTE(INDIRECT("B"&amp;$T112&amp;"")," 週3ｺｰｽ","")," 週5ｺｰｽ",""),"")</f>
        <v/>
      </c>
    </row>
    <row r="113" spans="1:35">
      <c r="A113" t="str">
        <f t="shared" ca="1" si="1"/>
        <v/>
      </c>
      <c r="B113" t="str">
        <f t="array" aca="1" ref="B113" ca="1">IF(OR(COUNTIF(数出表_Excel【15時】!AO116,"*修正*"),COUNTIF(数出表_Excel【15時】!AO117,"*修正*")),
IF(ISEVEN(ROW()+4),INDIRECT("数出表_Excel【15時】!A"&amp;ROW()+4&amp;""),INDIRECT("数出表_Excel【15時】!A"&amp;ROW()+4-1&amp;"")),"")</f>
        <v/>
      </c>
      <c r="C113" t="str">
        <f t="array" aca="1" ref="C113" ca="1">IF(OR(COUNTIF(数出表_Excel【15時】!AO116,"*修正*"),COUNTIF(数出表_Excel【15時】!AO117,"*修正*")),
IF(ISEVEN(ROW()+4),INDIRECT("数出表_Excel【15時】!A"&amp;ROW()+4+1&amp;""),INDIRECT("数出表_Excel【15時】!A"&amp;ROW()+4&amp;"")),"")</f>
        <v/>
      </c>
      <c r="D113" s="209" t="str">
        <f t="array" aca="1" ref="D113" ca="1">IF(B113&lt;&gt;"",
IFERROR(MATCH(TRUE,ISNUMBER(INDIRECT("数出表_Excel【15時】!B"&amp;(A113+4)&amp;":ZZ"&amp;(A113+4))),0)+1,""),"")</f>
        <v/>
      </c>
      <c r="E113" t="str">
        <f ca="1">IF(D113&lt;&gt;"",
OFFSET(数出表_Excel【15時】!$A$1,2,D113-1)
&amp;IFERROR(OFFSET(数出表_Excel【15時】!$A$1,3,D113-1),"")
&amp;IFERROR(OFFSET(数出表_Excel【15時】!$A$1,4,D113-1),""),"")</f>
        <v/>
      </c>
      <c r="F113" t="str">
        <f ca="1">IF(D113&lt;&gt;"",
OFFSET(数出表_Excel【15時】!$A$1,A113+3,D113-1),"")</f>
        <v/>
      </c>
      <c r="G113" t="str">
        <f ca="1">IF(D113&lt;&gt;"",
IF(AND(OFFSET(数出表_Excel【15時】!$A$1,A113+3,D113)&lt;&gt;"",OFFSET(数出表_Excel【15時】!$A$1,A113+3,D113)&lt;&gt;0),
OFFSET(数出表_Excel【15時】!$A$1,A113+3,D113),""),"")</f>
        <v/>
      </c>
      <c r="H113" s="209" t="str">
        <f t="array" aca="1" ref="H113" ca="1">IF(B113&lt;&gt;"",
IFERROR(MATCH(TRUE,ISNUMBER(INDIRECT("数出表_Excel【15時】!"&amp;SUBSTITUTE(ADDRESS(1,D113+2,4),"1","")&amp;(A113+4)&amp;":ZZ"&amp;(A113+4))),0)+D113+1,""),"")</f>
        <v/>
      </c>
      <c r="I113" t="str">
        <f ca="1">IF(H113&lt;&gt;"",
OFFSET(数出表_Excel【15時】!$A$1,2,H113-1)
&amp;IFERROR(OFFSET(数出表_Excel【15時】!$A$1,3,H113-1),"")
&amp;IFERROR(OFFSET(数出表_Excel【15時】!$A$1,4,H113-1),""),"")</f>
        <v/>
      </c>
      <c r="J113" t="str">
        <f ca="1">IF(H113&lt;&gt;"",
OFFSET(数出表_Excel【15時】!$A$1,A113+3,H113-1),"")</f>
        <v/>
      </c>
      <c r="K113" t="str">
        <f ca="1">IF(H113&lt;&gt;"",
IF(AND(OFFSET(数出表_Excel【15時】!$A$1,A113+3,H113)&lt;&gt;"",OFFSET(数出表_Excel【15時】!$A$1,A113+3,H113)&lt;&gt;0),
OFFSET(数出表_Excel【15時】!$A$1,A113+3,H113),""),"")</f>
        <v/>
      </c>
      <c r="L113" s="209" t="str">
        <f t="array" aca="1" ref="L113" ca="1">IF(B113&lt;&gt;"",
IFERROR(MATCH(TRUE,ISNUMBER(INDIRECT("数出表_Excel【15時】!"&amp;SUBSTITUTE(ADDRESS(1,H113+2,4),"1","")&amp;(A113+4)&amp;":ZZ"&amp;(A113+4))),0)+H113+1,""),"")</f>
        <v/>
      </c>
      <c r="M113" t="str">
        <f ca="1">IF(L113&lt;&gt;"",
OFFSET(数出表_Excel【15時】!$A$1,2,L113-1)
&amp;IFERROR(OFFSET(数出表_Excel【15時】!$A$1,3,L113-1),"")
&amp;IFERROR(OFFSET(数出表_Excel【15時】!$A$1,4,L113-1),""),"")</f>
        <v/>
      </c>
      <c r="N113" t="str">
        <f ca="1">IF(L113&lt;&gt;"",
OFFSET(数出表_Excel【15時】!$A$1,A113+3,L113-1),"")</f>
        <v/>
      </c>
      <c r="O113" t="str">
        <f ca="1">IF(L113&lt;&gt;"",
IF(AND(OFFSET(数出表_Excel【15時】!$A$1,A113+3,L113)&lt;&gt;"",OFFSET(数出表_Excel【15時】!$A$1,A113+3,L113)&lt;&gt;0),
OFFSET(数出表_Excel【15時】!$A$1,A113+3,L113),""),"")</f>
        <v/>
      </c>
      <c r="AH113" t="str">
        <f t="array" aca="1" ref="AH113" ca="1">IFERROR(SMALL(IF(O$1:O$307&lt;&gt;0,O$1:O$307),ROW(AH113)),"")</f>
        <v/>
      </c>
      <c r="AI113" t="str">
        <f t="array" aca="1" ref="AI113" ca="1">IF($T113&lt;&gt;"",
SUBSTITUTE(SUBSTITUTE(INDIRECT("B"&amp;$T113&amp;"")," 週3ｺｰｽ","")," 週5ｺｰｽ",""),"")</f>
        <v/>
      </c>
    </row>
    <row r="114" spans="1:35">
      <c r="A114" t="str">
        <f t="shared" ca="1" si="1"/>
        <v/>
      </c>
      <c r="B114" t="str">
        <f t="array" aca="1" ref="B114" ca="1">IF(OR(COUNTIF(数出表_Excel【15時】!AO118,"*修正*"),COUNTIF(数出表_Excel【15時】!AO119,"*修正*")),
IF(ISEVEN(ROW()+4),INDIRECT("数出表_Excel【15時】!A"&amp;ROW()+4&amp;""),INDIRECT("数出表_Excel【15時】!A"&amp;ROW()+4-1&amp;"")),"")</f>
        <v/>
      </c>
      <c r="C114" t="str">
        <f t="array" aca="1" ref="C114" ca="1">IF(OR(COUNTIF(数出表_Excel【15時】!AO118,"*修正*"),COUNTIF(数出表_Excel【15時】!AO119,"*修正*")),
IF(ISEVEN(ROW()+4),INDIRECT("数出表_Excel【15時】!A"&amp;ROW()+4+1&amp;""),INDIRECT("数出表_Excel【15時】!A"&amp;ROW()+4&amp;"")),"")</f>
        <v/>
      </c>
      <c r="D114" s="209" t="str">
        <f t="array" aca="1" ref="D114" ca="1">IF(B114&lt;&gt;"",
IFERROR(MATCH(TRUE,ISNUMBER(INDIRECT("数出表_Excel【15時】!B"&amp;(A114+4)&amp;":ZZ"&amp;(A114+4))),0)+1,""),"")</f>
        <v/>
      </c>
      <c r="E114" t="str">
        <f ca="1">IF(D114&lt;&gt;"",
OFFSET(数出表_Excel【15時】!$A$1,2,D114-1)
&amp;IFERROR(OFFSET(数出表_Excel【15時】!$A$1,3,D114-1),"")
&amp;IFERROR(OFFSET(数出表_Excel【15時】!$A$1,4,D114-1),""),"")</f>
        <v/>
      </c>
      <c r="F114" t="str">
        <f ca="1">IF(D114&lt;&gt;"",
OFFSET(数出表_Excel【15時】!$A$1,A114+3,D114-1),"")</f>
        <v/>
      </c>
      <c r="G114" t="str">
        <f ca="1">IF(D114&lt;&gt;"",
IF(AND(OFFSET(数出表_Excel【15時】!$A$1,A114+3,D114)&lt;&gt;"",OFFSET(数出表_Excel【15時】!$A$1,A114+3,D114)&lt;&gt;0),
OFFSET(数出表_Excel【15時】!$A$1,A114+3,D114),""),"")</f>
        <v/>
      </c>
      <c r="H114" s="209" t="str">
        <f t="array" aca="1" ref="H114" ca="1">IF(B114&lt;&gt;"",
IFERROR(MATCH(TRUE,ISNUMBER(INDIRECT("数出表_Excel【15時】!"&amp;SUBSTITUTE(ADDRESS(1,D114+2,4),"1","")&amp;(A114+4)&amp;":ZZ"&amp;(A114+4))),0)+D114+1,""),"")</f>
        <v/>
      </c>
      <c r="I114" t="str">
        <f ca="1">IF(H114&lt;&gt;"",
OFFSET(数出表_Excel【15時】!$A$1,2,H114-1)
&amp;IFERROR(OFFSET(数出表_Excel【15時】!$A$1,3,H114-1),"")
&amp;IFERROR(OFFSET(数出表_Excel【15時】!$A$1,4,H114-1),""),"")</f>
        <v/>
      </c>
      <c r="J114" t="str">
        <f ca="1">IF(H114&lt;&gt;"",
OFFSET(数出表_Excel【15時】!$A$1,A114+3,H114-1),"")</f>
        <v/>
      </c>
      <c r="K114" t="str">
        <f ca="1">IF(H114&lt;&gt;"",
IF(AND(OFFSET(数出表_Excel【15時】!$A$1,A114+3,H114)&lt;&gt;"",OFFSET(数出表_Excel【15時】!$A$1,A114+3,H114)&lt;&gt;0),
OFFSET(数出表_Excel【15時】!$A$1,A114+3,H114),""),"")</f>
        <v/>
      </c>
      <c r="L114" s="209" t="str">
        <f t="array" aca="1" ref="L114" ca="1">IF(B114&lt;&gt;"",
IFERROR(MATCH(TRUE,ISNUMBER(INDIRECT("数出表_Excel【15時】!"&amp;SUBSTITUTE(ADDRESS(1,H114+2,4),"1","")&amp;(A114+4)&amp;":ZZ"&amp;(A114+4))),0)+H114+1,""),"")</f>
        <v/>
      </c>
      <c r="M114" t="str">
        <f ca="1">IF(L114&lt;&gt;"",
OFFSET(数出表_Excel【15時】!$A$1,2,L114-1)
&amp;IFERROR(OFFSET(数出表_Excel【15時】!$A$1,3,L114-1),"")
&amp;IFERROR(OFFSET(数出表_Excel【15時】!$A$1,4,L114-1),""),"")</f>
        <v/>
      </c>
      <c r="N114" t="str">
        <f ca="1">IF(L114&lt;&gt;"",
OFFSET(数出表_Excel【15時】!$A$1,A114+3,L114-1),"")</f>
        <v/>
      </c>
      <c r="O114" t="str">
        <f ca="1">IF(L114&lt;&gt;"",
IF(AND(OFFSET(数出表_Excel【15時】!$A$1,A114+3,L114)&lt;&gt;"",OFFSET(数出表_Excel【15時】!$A$1,A114+3,L114)&lt;&gt;0),
OFFSET(数出表_Excel【15時】!$A$1,A114+3,L114),""),"")</f>
        <v/>
      </c>
      <c r="Q114" t="str">
        <f ca="1">IF(C114&lt;&gt;"",
IF(E114&lt;&gt;"",1,0)+IF(I114&lt;&gt;"",1,0)+IF(M114&lt;&gt;"",1,0),"")</f>
        <v/>
      </c>
      <c r="AH114" t="str">
        <f t="array" aca="1" ref="AH114" ca="1">IFERROR(SMALL(IF(O$1:O$307&lt;&gt;0,O$1:O$307),ROW(AH114)),"")</f>
        <v/>
      </c>
      <c r="AI114" t="str">
        <f t="array" aca="1" ref="AI114" ca="1">IF($T114&lt;&gt;"",
SUBSTITUTE(SUBSTITUTE(INDIRECT("B"&amp;$T114&amp;"")," 週3ｺｰｽ","")," 週5ｺｰｽ",""),"")</f>
        <v/>
      </c>
    </row>
    <row r="115" spans="1:35">
      <c r="A115" t="str">
        <f t="shared" ca="1" si="1"/>
        <v/>
      </c>
      <c r="B115" t="str">
        <f t="array" aca="1" ref="B115" ca="1">IF(OR(COUNTIF(数出表_Excel【15時】!AO118,"*修正*"),COUNTIF(数出表_Excel【15時】!AO119,"*修正*")),
IF(ISEVEN(ROW()+4),INDIRECT("数出表_Excel【15時】!A"&amp;ROW()+4&amp;""),INDIRECT("数出表_Excel【15時】!A"&amp;ROW()+4-1&amp;"")),"")</f>
        <v/>
      </c>
      <c r="C115" t="str">
        <f t="array" aca="1" ref="C115" ca="1">IF(OR(COUNTIF(数出表_Excel【15時】!AO118,"*修正*"),COUNTIF(数出表_Excel【15時】!AO119,"*修正*")),
IF(ISEVEN(ROW()+4),INDIRECT("数出表_Excel【15時】!A"&amp;ROW()+4+1&amp;""),INDIRECT("数出表_Excel【15時】!A"&amp;ROW()+4&amp;"")),"")</f>
        <v/>
      </c>
      <c r="D115" s="209" t="str">
        <f t="array" aca="1" ref="D115" ca="1">IF(B115&lt;&gt;"",
IFERROR(MATCH(TRUE,ISNUMBER(INDIRECT("数出表_Excel【15時】!B"&amp;(A115+4)&amp;":ZZ"&amp;(A115+4))),0)+1,""),"")</f>
        <v/>
      </c>
      <c r="E115" t="str">
        <f ca="1">IF(D115&lt;&gt;"",
OFFSET(数出表_Excel【15時】!$A$1,2,D115-1)
&amp;IFERROR(OFFSET(数出表_Excel【15時】!$A$1,3,D115-1),"")
&amp;IFERROR(OFFSET(数出表_Excel【15時】!$A$1,4,D115-1),""),"")</f>
        <v/>
      </c>
      <c r="F115" t="str">
        <f ca="1">IF(D115&lt;&gt;"",
OFFSET(数出表_Excel【15時】!$A$1,A115+3,D115-1),"")</f>
        <v/>
      </c>
      <c r="G115" t="str">
        <f ca="1">IF(D115&lt;&gt;"",
IF(AND(OFFSET(数出表_Excel【15時】!$A$1,A115+3,D115)&lt;&gt;"",OFFSET(数出表_Excel【15時】!$A$1,A115+3,D115)&lt;&gt;0),
OFFSET(数出表_Excel【15時】!$A$1,A115+3,D115),""),"")</f>
        <v/>
      </c>
      <c r="H115" s="209" t="str">
        <f t="array" aca="1" ref="H115" ca="1">IF(B115&lt;&gt;"",
IFERROR(MATCH(TRUE,ISNUMBER(INDIRECT("数出表_Excel【15時】!"&amp;SUBSTITUTE(ADDRESS(1,D115+2,4),"1","")&amp;(A115+4)&amp;":ZZ"&amp;(A115+4))),0)+D115+1,""),"")</f>
        <v/>
      </c>
      <c r="I115" t="str">
        <f ca="1">IF(H115&lt;&gt;"",
OFFSET(数出表_Excel【15時】!$A$1,2,H115-1)
&amp;IFERROR(OFFSET(数出表_Excel【15時】!$A$1,3,H115-1),"")
&amp;IFERROR(OFFSET(数出表_Excel【15時】!$A$1,4,H115-1),""),"")</f>
        <v/>
      </c>
      <c r="J115" t="str">
        <f ca="1">IF(H115&lt;&gt;"",
OFFSET(数出表_Excel【15時】!$A$1,A115+3,H115-1),"")</f>
        <v/>
      </c>
      <c r="K115" t="str">
        <f ca="1">IF(H115&lt;&gt;"",
IF(AND(OFFSET(数出表_Excel【15時】!$A$1,A115+3,H115)&lt;&gt;"",OFFSET(数出表_Excel【15時】!$A$1,A115+3,H115)&lt;&gt;0),
OFFSET(数出表_Excel【15時】!$A$1,A115+3,H115),""),"")</f>
        <v/>
      </c>
      <c r="L115" s="209" t="str">
        <f t="array" aca="1" ref="L115" ca="1">IF(B115&lt;&gt;"",
IFERROR(MATCH(TRUE,ISNUMBER(INDIRECT("数出表_Excel【15時】!"&amp;SUBSTITUTE(ADDRESS(1,H115+2,4),"1","")&amp;(A115+4)&amp;":ZZ"&amp;(A115+4))),0)+H115+1,""),"")</f>
        <v/>
      </c>
      <c r="M115" t="str">
        <f ca="1">IF(L115&lt;&gt;"",
OFFSET(数出表_Excel【15時】!$A$1,2,L115-1)
&amp;IFERROR(OFFSET(数出表_Excel【15時】!$A$1,3,L115-1),"")
&amp;IFERROR(OFFSET(数出表_Excel【15時】!$A$1,4,L115-1),""),"")</f>
        <v/>
      </c>
      <c r="N115" t="str">
        <f ca="1">IF(L115&lt;&gt;"",
OFFSET(数出表_Excel【15時】!$A$1,A115+3,L115-1),"")</f>
        <v/>
      </c>
      <c r="O115" t="str">
        <f ca="1">IF(L115&lt;&gt;"",
IF(AND(OFFSET(数出表_Excel【15時】!$A$1,A115+3,L115)&lt;&gt;"",OFFSET(数出表_Excel【15時】!$A$1,A115+3,L115)&lt;&gt;0),
OFFSET(数出表_Excel【15時】!$A$1,A115+3,L115),""),"")</f>
        <v/>
      </c>
      <c r="AH115" t="str">
        <f t="array" aca="1" ref="AH115" ca="1">IFERROR(SMALL(IF(O$1:O$307&lt;&gt;0,O$1:O$307),ROW(AH115)),"")</f>
        <v/>
      </c>
      <c r="AI115" t="str">
        <f t="array" aca="1" ref="AI115" ca="1">IF($T115&lt;&gt;"",
SUBSTITUTE(SUBSTITUTE(INDIRECT("B"&amp;$T115&amp;"")," 週3ｺｰｽ","")," 週5ｺｰｽ",""),"")</f>
        <v/>
      </c>
    </row>
    <row r="116" spans="1:35">
      <c r="A116" t="str">
        <f t="shared" ca="1" si="1"/>
        <v/>
      </c>
      <c r="B116" t="str">
        <f t="array" aca="1" ref="B116" ca="1">IF(OR(COUNTIF(数出表_Excel【15時】!AO120,"*修正*"),COUNTIF(数出表_Excel【15時】!AO121,"*修正*")),
IF(ISEVEN(ROW()+4),INDIRECT("数出表_Excel【15時】!A"&amp;ROW()+4&amp;""),INDIRECT("数出表_Excel【15時】!A"&amp;ROW()+4-1&amp;"")),"")</f>
        <v/>
      </c>
      <c r="C116" t="str">
        <f t="array" aca="1" ref="C116" ca="1">IF(OR(COUNTIF(数出表_Excel【15時】!AO120,"*修正*"),COUNTIF(数出表_Excel【15時】!AO121,"*修正*")),
IF(ISEVEN(ROW()+4),INDIRECT("数出表_Excel【15時】!A"&amp;ROW()+4+1&amp;""),INDIRECT("数出表_Excel【15時】!A"&amp;ROW()+4&amp;"")),"")</f>
        <v/>
      </c>
      <c r="D116" s="209" t="str">
        <f t="array" aca="1" ref="D116" ca="1">IF(B116&lt;&gt;"",
IFERROR(MATCH(TRUE,ISNUMBER(INDIRECT("数出表_Excel【15時】!B"&amp;(A116+4)&amp;":ZZ"&amp;(A116+4))),0)+1,""),"")</f>
        <v/>
      </c>
      <c r="E116" t="str">
        <f ca="1">IF(D116&lt;&gt;"",
OFFSET(数出表_Excel【15時】!$A$1,2,D116-1)
&amp;IFERROR(OFFSET(数出表_Excel【15時】!$A$1,3,D116-1),"")
&amp;IFERROR(OFFSET(数出表_Excel【15時】!$A$1,4,D116-1),""),"")</f>
        <v/>
      </c>
      <c r="F116" t="str">
        <f ca="1">IF(D116&lt;&gt;"",
OFFSET(数出表_Excel【15時】!$A$1,A116+3,D116-1),"")</f>
        <v/>
      </c>
      <c r="G116" t="str">
        <f ca="1">IF(D116&lt;&gt;"",
IF(AND(OFFSET(数出表_Excel【15時】!$A$1,A116+3,D116)&lt;&gt;"",OFFSET(数出表_Excel【15時】!$A$1,A116+3,D116)&lt;&gt;0),
OFFSET(数出表_Excel【15時】!$A$1,A116+3,D116),""),"")</f>
        <v/>
      </c>
      <c r="H116" s="209" t="str">
        <f t="array" aca="1" ref="H116" ca="1">IF(B116&lt;&gt;"",
IFERROR(MATCH(TRUE,ISNUMBER(INDIRECT("数出表_Excel【15時】!"&amp;SUBSTITUTE(ADDRESS(1,D116+2,4),"1","")&amp;(A116+4)&amp;":ZZ"&amp;(A116+4))),0)+D116+1,""),"")</f>
        <v/>
      </c>
      <c r="I116" t="str">
        <f ca="1">IF(H116&lt;&gt;"",
OFFSET(数出表_Excel【15時】!$A$1,2,H116-1)
&amp;IFERROR(OFFSET(数出表_Excel【15時】!$A$1,3,H116-1),"")
&amp;IFERROR(OFFSET(数出表_Excel【15時】!$A$1,4,H116-1),""),"")</f>
        <v/>
      </c>
      <c r="J116" t="str">
        <f ca="1">IF(H116&lt;&gt;"",
OFFSET(数出表_Excel【15時】!$A$1,A116+3,H116-1),"")</f>
        <v/>
      </c>
      <c r="K116" t="str">
        <f ca="1">IF(H116&lt;&gt;"",
IF(AND(OFFSET(数出表_Excel【15時】!$A$1,A116+3,H116)&lt;&gt;"",OFFSET(数出表_Excel【15時】!$A$1,A116+3,H116)&lt;&gt;0),
OFFSET(数出表_Excel【15時】!$A$1,A116+3,H116),""),"")</f>
        <v/>
      </c>
      <c r="L116" s="209" t="str">
        <f t="array" aca="1" ref="L116" ca="1">IF(B116&lt;&gt;"",
IFERROR(MATCH(TRUE,ISNUMBER(INDIRECT("数出表_Excel【15時】!"&amp;SUBSTITUTE(ADDRESS(1,H116+2,4),"1","")&amp;(A116+4)&amp;":ZZ"&amp;(A116+4))),0)+H116+1,""),"")</f>
        <v/>
      </c>
      <c r="M116" t="str">
        <f ca="1">IF(L116&lt;&gt;"",
OFFSET(数出表_Excel【15時】!$A$1,2,L116-1)
&amp;IFERROR(OFFSET(数出表_Excel【15時】!$A$1,3,L116-1),"")
&amp;IFERROR(OFFSET(数出表_Excel【15時】!$A$1,4,L116-1),""),"")</f>
        <v/>
      </c>
      <c r="N116" t="str">
        <f ca="1">IF(L116&lt;&gt;"",
OFFSET(数出表_Excel【15時】!$A$1,A116+3,L116-1),"")</f>
        <v/>
      </c>
      <c r="O116" t="str">
        <f ca="1">IF(L116&lt;&gt;"",
IF(AND(OFFSET(数出表_Excel【15時】!$A$1,A116+3,L116)&lt;&gt;"",OFFSET(数出表_Excel【15時】!$A$1,A116+3,L116)&lt;&gt;0),
OFFSET(数出表_Excel【15時】!$A$1,A116+3,L116),""),"")</f>
        <v/>
      </c>
      <c r="Q116" t="str">
        <f ca="1">IF(C116&lt;&gt;"",
IF(E116&lt;&gt;"",1,0)+IF(I116&lt;&gt;"",1,0)+IF(M116&lt;&gt;"",1,0),"")</f>
        <v/>
      </c>
      <c r="AH116" t="str">
        <f t="array" aca="1" ref="AH116" ca="1">IFERROR(SMALL(IF(O$1:O$307&lt;&gt;0,O$1:O$307),ROW(AH116)),"")</f>
        <v/>
      </c>
      <c r="AI116" t="str">
        <f t="array" aca="1" ref="AI116" ca="1">IF($T116&lt;&gt;"",
SUBSTITUTE(SUBSTITUTE(INDIRECT("B"&amp;$T116&amp;"")," 週3ｺｰｽ","")," 週5ｺｰｽ",""),"")</f>
        <v/>
      </c>
    </row>
    <row r="117" spans="1:35">
      <c r="A117" t="str">
        <f t="shared" ca="1" si="1"/>
        <v/>
      </c>
      <c r="B117" t="str">
        <f t="array" aca="1" ref="B117" ca="1">IF(OR(COUNTIF(数出表_Excel【15時】!AO120,"*修正*"),COUNTIF(数出表_Excel【15時】!AO121,"*修正*")),
IF(ISEVEN(ROW()+4),INDIRECT("数出表_Excel【15時】!A"&amp;ROW()+4&amp;""),INDIRECT("数出表_Excel【15時】!A"&amp;ROW()+4-1&amp;"")),"")</f>
        <v/>
      </c>
      <c r="C117" t="str">
        <f t="array" aca="1" ref="C117" ca="1">IF(OR(COUNTIF(数出表_Excel【15時】!AO120,"*修正*"),COUNTIF(数出表_Excel【15時】!AO121,"*修正*")),
IF(ISEVEN(ROW()+4),INDIRECT("数出表_Excel【15時】!A"&amp;ROW()+4+1&amp;""),INDIRECT("数出表_Excel【15時】!A"&amp;ROW()+4&amp;"")),"")</f>
        <v/>
      </c>
      <c r="D117" s="209" t="str">
        <f t="array" aca="1" ref="D117" ca="1">IF(B117&lt;&gt;"",
IFERROR(MATCH(TRUE,ISNUMBER(INDIRECT("数出表_Excel【15時】!B"&amp;(A117+4)&amp;":ZZ"&amp;(A117+4))),0)+1,""),"")</f>
        <v/>
      </c>
      <c r="E117" t="str">
        <f ca="1">IF(D117&lt;&gt;"",
OFFSET(数出表_Excel【15時】!$A$1,2,D117-1)
&amp;IFERROR(OFFSET(数出表_Excel【15時】!$A$1,3,D117-1),"")
&amp;IFERROR(OFFSET(数出表_Excel【15時】!$A$1,4,D117-1),""),"")</f>
        <v/>
      </c>
      <c r="F117" t="str">
        <f ca="1">IF(D117&lt;&gt;"",
OFFSET(数出表_Excel【15時】!$A$1,A117+3,D117-1),"")</f>
        <v/>
      </c>
      <c r="G117" t="str">
        <f ca="1">IF(D117&lt;&gt;"",
IF(AND(OFFSET(数出表_Excel【15時】!$A$1,A117+3,D117)&lt;&gt;"",OFFSET(数出表_Excel【15時】!$A$1,A117+3,D117)&lt;&gt;0),
OFFSET(数出表_Excel【15時】!$A$1,A117+3,D117),""),"")</f>
        <v/>
      </c>
      <c r="H117" s="209" t="str">
        <f t="array" aca="1" ref="H117" ca="1">IF(B117&lt;&gt;"",
IFERROR(MATCH(TRUE,ISNUMBER(INDIRECT("数出表_Excel【15時】!"&amp;SUBSTITUTE(ADDRESS(1,D117+2,4),"1","")&amp;(A117+4)&amp;":ZZ"&amp;(A117+4))),0)+D117+1,""),"")</f>
        <v/>
      </c>
      <c r="I117" t="str">
        <f ca="1">IF(H117&lt;&gt;"",
OFFSET(数出表_Excel【15時】!$A$1,2,H117-1)
&amp;IFERROR(OFFSET(数出表_Excel【15時】!$A$1,3,H117-1),"")
&amp;IFERROR(OFFSET(数出表_Excel【15時】!$A$1,4,H117-1),""),"")</f>
        <v/>
      </c>
      <c r="J117" t="str">
        <f ca="1">IF(H117&lt;&gt;"",
OFFSET(数出表_Excel【15時】!$A$1,A117+3,H117-1),"")</f>
        <v/>
      </c>
      <c r="K117" t="str">
        <f ca="1">IF(H117&lt;&gt;"",
IF(AND(OFFSET(数出表_Excel【15時】!$A$1,A117+3,H117)&lt;&gt;"",OFFSET(数出表_Excel【15時】!$A$1,A117+3,H117)&lt;&gt;0),
OFFSET(数出表_Excel【15時】!$A$1,A117+3,H117),""),"")</f>
        <v/>
      </c>
      <c r="L117" s="209" t="str">
        <f t="array" aca="1" ref="L117" ca="1">IF(B117&lt;&gt;"",
IFERROR(MATCH(TRUE,ISNUMBER(INDIRECT("数出表_Excel【15時】!"&amp;SUBSTITUTE(ADDRESS(1,H117+2,4),"1","")&amp;(A117+4)&amp;":ZZ"&amp;(A117+4))),0)+H117+1,""),"")</f>
        <v/>
      </c>
      <c r="M117" t="str">
        <f ca="1">IF(L117&lt;&gt;"",
OFFSET(数出表_Excel【15時】!$A$1,2,L117-1)
&amp;IFERROR(OFFSET(数出表_Excel【15時】!$A$1,3,L117-1),"")
&amp;IFERROR(OFFSET(数出表_Excel【15時】!$A$1,4,L117-1),""),"")</f>
        <v/>
      </c>
      <c r="N117" t="str">
        <f ca="1">IF(L117&lt;&gt;"",
OFFSET(数出表_Excel【15時】!$A$1,A117+3,L117-1),"")</f>
        <v/>
      </c>
      <c r="O117" t="str">
        <f ca="1">IF(L117&lt;&gt;"",
IF(AND(OFFSET(数出表_Excel【15時】!$A$1,A117+3,L117)&lt;&gt;"",OFFSET(数出表_Excel【15時】!$A$1,A117+3,L117)&lt;&gt;0),
OFFSET(数出表_Excel【15時】!$A$1,A117+3,L117),""),"")</f>
        <v/>
      </c>
      <c r="AH117" t="str">
        <f t="array" aca="1" ref="AH117" ca="1">IFERROR(SMALL(IF(O$1:O$307&lt;&gt;0,O$1:O$307),ROW(AH117)),"")</f>
        <v/>
      </c>
      <c r="AI117" t="str">
        <f t="array" aca="1" ref="AI117" ca="1">IF($T117&lt;&gt;"",
SUBSTITUTE(SUBSTITUTE(INDIRECT("B"&amp;$T117&amp;"")," 週3ｺｰｽ","")," 週5ｺｰｽ",""),"")</f>
        <v/>
      </c>
    </row>
    <row r="118" spans="1:35">
      <c r="A118" t="str">
        <f t="shared" ca="1" si="1"/>
        <v/>
      </c>
      <c r="B118" t="str">
        <f t="array" aca="1" ref="B118" ca="1">IF(OR(COUNTIF(数出表_Excel【15時】!AO122,"*修正*"),COUNTIF(数出表_Excel【15時】!AO123,"*修正*")),
IF(ISEVEN(ROW()+4),INDIRECT("数出表_Excel【15時】!A"&amp;ROW()+4&amp;""),INDIRECT("数出表_Excel【15時】!A"&amp;ROW()+4-1&amp;"")),"")</f>
        <v/>
      </c>
      <c r="C118" t="str">
        <f t="array" aca="1" ref="C118" ca="1">IF(OR(COUNTIF(数出表_Excel【15時】!AO122,"*修正*"),COUNTIF(数出表_Excel【15時】!AO123,"*修正*")),
IF(ISEVEN(ROW()+4),INDIRECT("数出表_Excel【15時】!A"&amp;ROW()+4+1&amp;""),INDIRECT("数出表_Excel【15時】!A"&amp;ROW()+4&amp;"")),"")</f>
        <v/>
      </c>
      <c r="D118" s="209" t="str">
        <f t="array" aca="1" ref="D118" ca="1">IF(B118&lt;&gt;"",
IFERROR(MATCH(TRUE,ISNUMBER(INDIRECT("数出表_Excel【15時】!B"&amp;(A118+4)&amp;":ZZ"&amp;(A118+4))),0)+1,""),"")</f>
        <v/>
      </c>
      <c r="E118" t="str">
        <f ca="1">IF(D118&lt;&gt;"",
OFFSET(数出表_Excel【15時】!$A$1,2,D118-1)
&amp;IFERROR(OFFSET(数出表_Excel【15時】!$A$1,3,D118-1),"")
&amp;IFERROR(OFFSET(数出表_Excel【15時】!$A$1,4,D118-1),""),"")</f>
        <v/>
      </c>
      <c r="F118" t="str">
        <f ca="1">IF(D118&lt;&gt;"",
OFFSET(数出表_Excel【15時】!$A$1,A118+3,D118-1),"")</f>
        <v/>
      </c>
      <c r="G118" t="str">
        <f ca="1">IF(D118&lt;&gt;"",
IF(AND(OFFSET(数出表_Excel【15時】!$A$1,A118+3,D118)&lt;&gt;"",OFFSET(数出表_Excel【15時】!$A$1,A118+3,D118)&lt;&gt;0),
OFFSET(数出表_Excel【15時】!$A$1,A118+3,D118),""),"")</f>
        <v/>
      </c>
      <c r="H118" s="209" t="str">
        <f t="array" aca="1" ref="H118" ca="1">IF(B118&lt;&gt;"",
IFERROR(MATCH(TRUE,ISNUMBER(INDIRECT("数出表_Excel【15時】!"&amp;SUBSTITUTE(ADDRESS(1,D118+2,4),"1","")&amp;(A118+4)&amp;":ZZ"&amp;(A118+4))),0)+D118+1,""),"")</f>
        <v/>
      </c>
      <c r="I118" t="str">
        <f ca="1">IF(H118&lt;&gt;"",
OFFSET(数出表_Excel【15時】!$A$1,2,H118-1)
&amp;IFERROR(OFFSET(数出表_Excel【15時】!$A$1,3,H118-1),"")
&amp;IFERROR(OFFSET(数出表_Excel【15時】!$A$1,4,H118-1),""),"")</f>
        <v/>
      </c>
      <c r="J118" t="str">
        <f ca="1">IF(H118&lt;&gt;"",
OFFSET(数出表_Excel【15時】!$A$1,A118+3,H118-1),"")</f>
        <v/>
      </c>
      <c r="K118" t="str">
        <f ca="1">IF(H118&lt;&gt;"",
IF(AND(OFFSET(数出表_Excel【15時】!$A$1,A118+3,H118)&lt;&gt;"",OFFSET(数出表_Excel【15時】!$A$1,A118+3,H118)&lt;&gt;0),
OFFSET(数出表_Excel【15時】!$A$1,A118+3,H118),""),"")</f>
        <v/>
      </c>
      <c r="L118" s="209" t="str">
        <f t="array" aca="1" ref="L118" ca="1">IF(B118&lt;&gt;"",
IFERROR(MATCH(TRUE,ISNUMBER(INDIRECT("数出表_Excel【15時】!"&amp;SUBSTITUTE(ADDRESS(1,H118+2,4),"1","")&amp;(A118+4)&amp;":ZZ"&amp;(A118+4))),0)+H118+1,""),"")</f>
        <v/>
      </c>
      <c r="M118" t="str">
        <f ca="1">IF(L118&lt;&gt;"",
OFFSET(数出表_Excel【15時】!$A$1,2,L118-1)
&amp;IFERROR(OFFSET(数出表_Excel【15時】!$A$1,3,L118-1),"")
&amp;IFERROR(OFFSET(数出表_Excel【15時】!$A$1,4,L118-1),""),"")</f>
        <v/>
      </c>
      <c r="N118" t="str">
        <f ca="1">IF(L118&lt;&gt;"",
OFFSET(数出表_Excel【15時】!$A$1,A118+3,L118-1),"")</f>
        <v/>
      </c>
      <c r="O118" t="str">
        <f ca="1">IF(L118&lt;&gt;"",
IF(AND(OFFSET(数出表_Excel【15時】!$A$1,A118+3,L118)&lt;&gt;"",OFFSET(数出表_Excel【15時】!$A$1,A118+3,L118)&lt;&gt;0),
OFFSET(数出表_Excel【15時】!$A$1,A118+3,L118),""),"")</f>
        <v/>
      </c>
      <c r="Q118" t="str">
        <f ca="1">IF(C118&lt;&gt;"",
IF(E118&lt;&gt;"",1,0)+IF(I118&lt;&gt;"",1,0)+IF(M118&lt;&gt;"",1,0),"")</f>
        <v/>
      </c>
      <c r="AH118" t="str">
        <f t="array" aca="1" ref="AH118" ca="1">IFERROR(SMALL(IF(O$1:O$307&lt;&gt;0,O$1:O$307),ROW(AH118)),"")</f>
        <v/>
      </c>
      <c r="AI118" t="str">
        <f t="array" aca="1" ref="AI118" ca="1">IF($T118&lt;&gt;"",
SUBSTITUTE(SUBSTITUTE(INDIRECT("B"&amp;$T118&amp;"")," 週3ｺｰｽ","")," 週5ｺｰｽ",""),"")</f>
        <v/>
      </c>
    </row>
    <row r="119" spans="1:35">
      <c r="A119" t="str">
        <f t="shared" ca="1" si="1"/>
        <v/>
      </c>
      <c r="B119" t="str">
        <f t="array" aca="1" ref="B119" ca="1">IF(OR(COUNTIF(数出表_Excel【15時】!AO122,"*修正*"),COUNTIF(数出表_Excel【15時】!AO123,"*修正*")),
IF(ISEVEN(ROW()+4),INDIRECT("数出表_Excel【15時】!A"&amp;ROW()+4&amp;""),INDIRECT("数出表_Excel【15時】!A"&amp;ROW()+4-1&amp;"")),"")</f>
        <v/>
      </c>
      <c r="C119" t="str">
        <f t="array" aca="1" ref="C119" ca="1">IF(OR(COUNTIF(数出表_Excel【15時】!AO122,"*修正*"),COUNTIF(数出表_Excel【15時】!AO123,"*修正*")),
IF(ISEVEN(ROW()+4),INDIRECT("数出表_Excel【15時】!A"&amp;ROW()+4+1&amp;""),INDIRECT("数出表_Excel【15時】!A"&amp;ROW()+4&amp;"")),"")</f>
        <v/>
      </c>
      <c r="D119" s="209" t="str">
        <f t="array" aca="1" ref="D119" ca="1">IF(B119&lt;&gt;"",
IFERROR(MATCH(TRUE,ISNUMBER(INDIRECT("数出表_Excel【15時】!B"&amp;(A119+4)&amp;":ZZ"&amp;(A119+4))),0)+1,""),"")</f>
        <v/>
      </c>
      <c r="E119" t="str">
        <f ca="1">IF(D119&lt;&gt;"",
OFFSET(数出表_Excel【15時】!$A$1,2,D119-1)
&amp;IFERROR(OFFSET(数出表_Excel【15時】!$A$1,3,D119-1),"")
&amp;IFERROR(OFFSET(数出表_Excel【15時】!$A$1,4,D119-1),""),"")</f>
        <v/>
      </c>
      <c r="F119" t="str">
        <f ca="1">IF(D119&lt;&gt;"",
OFFSET(数出表_Excel【15時】!$A$1,A119+3,D119-1),"")</f>
        <v/>
      </c>
      <c r="G119" t="str">
        <f ca="1">IF(D119&lt;&gt;"",
IF(AND(OFFSET(数出表_Excel【15時】!$A$1,A119+3,D119)&lt;&gt;"",OFFSET(数出表_Excel【15時】!$A$1,A119+3,D119)&lt;&gt;0),
OFFSET(数出表_Excel【15時】!$A$1,A119+3,D119),""),"")</f>
        <v/>
      </c>
      <c r="H119" s="209" t="str">
        <f t="array" aca="1" ref="H119" ca="1">IF(B119&lt;&gt;"",
IFERROR(MATCH(TRUE,ISNUMBER(INDIRECT("数出表_Excel【15時】!"&amp;SUBSTITUTE(ADDRESS(1,D119+2,4),"1","")&amp;(A119+4)&amp;":ZZ"&amp;(A119+4))),0)+D119+1,""),"")</f>
        <v/>
      </c>
      <c r="I119" t="str">
        <f ca="1">IF(H119&lt;&gt;"",
OFFSET(数出表_Excel【15時】!$A$1,2,H119-1)
&amp;IFERROR(OFFSET(数出表_Excel【15時】!$A$1,3,H119-1),"")
&amp;IFERROR(OFFSET(数出表_Excel【15時】!$A$1,4,H119-1),""),"")</f>
        <v/>
      </c>
      <c r="J119" t="str">
        <f ca="1">IF(H119&lt;&gt;"",
OFFSET(数出表_Excel【15時】!$A$1,A119+3,H119-1),"")</f>
        <v/>
      </c>
      <c r="K119" t="str">
        <f ca="1">IF(H119&lt;&gt;"",
IF(AND(OFFSET(数出表_Excel【15時】!$A$1,A119+3,H119)&lt;&gt;"",OFFSET(数出表_Excel【15時】!$A$1,A119+3,H119)&lt;&gt;0),
OFFSET(数出表_Excel【15時】!$A$1,A119+3,H119),""),"")</f>
        <v/>
      </c>
      <c r="L119" s="209" t="str">
        <f t="array" aca="1" ref="L119" ca="1">IF(B119&lt;&gt;"",
IFERROR(MATCH(TRUE,ISNUMBER(INDIRECT("数出表_Excel【15時】!"&amp;SUBSTITUTE(ADDRESS(1,H119+2,4),"1","")&amp;(A119+4)&amp;":ZZ"&amp;(A119+4))),0)+H119+1,""),"")</f>
        <v/>
      </c>
      <c r="M119" t="str">
        <f ca="1">IF(L119&lt;&gt;"",
OFFSET(数出表_Excel【15時】!$A$1,2,L119-1)
&amp;IFERROR(OFFSET(数出表_Excel【15時】!$A$1,3,L119-1),"")
&amp;IFERROR(OFFSET(数出表_Excel【15時】!$A$1,4,L119-1),""),"")</f>
        <v/>
      </c>
      <c r="N119" t="str">
        <f ca="1">IF(L119&lt;&gt;"",
OFFSET(数出表_Excel【15時】!$A$1,A119+3,L119-1),"")</f>
        <v/>
      </c>
      <c r="O119" t="str">
        <f ca="1">IF(L119&lt;&gt;"",
IF(AND(OFFSET(数出表_Excel【15時】!$A$1,A119+3,L119)&lt;&gt;"",OFFSET(数出表_Excel【15時】!$A$1,A119+3,L119)&lt;&gt;0),
OFFSET(数出表_Excel【15時】!$A$1,A119+3,L119),""),"")</f>
        <v/>
      </c>
      <c r="AH119" t="str">
        <f t="array" aca="1" ref="AH119" ca="1">IFERROR(SMALL(IF(O$1:O$307&lt;&gt;0,O$1:O$307),ROW(AH119)),"")</f>
        <v/>
      </c>
      <c r="AI119" t="str">
        <f t="array" aca="1" ref="AI119" ca="1">IF($T119&lt;&gt;"",
SUBSTITUTE(SUBSTITUTE(INDIRECT("B"&amp;$T119&amp;"")," 週3ｺｰｽ","")," 週5ｺｰｽ",""),"")</f>
        <v/>
      </c>
    </row>
    <row r="120" spans="1:35">
      <c r="A120" t="str">
        <f t="shared" ca="1" si="1"/>
        <v/>
      </c>
      <c r="B120" t="str">
        <f t="array" aca="1" ref="B120" ca="1">IF(OR(COUNTIF(数出表_Excel【15時】!AO124,"*修正*"),COUNTIF(数出表_Excel【15時】!AO125,"*修正*")),
IF(ISEVEN(ROW()+4),INDIRECT("数出表_Excel【15時】!A"&amp;ROW()+4&amp;""),INDIRECT("数出表_Excel【15時】!A"&amp;ROW()+4-1&amp;"")),"")</f>
        <v/>
      </c>
      <c r="C120" t="str">
        <f t="array" aca="1" ref="C120" ca="1">IF(OR(COUNTIF(数出表_Excel【15時】!AO124,"*修正*"),COUNTIF(数出表_Excel【15時】!AO125,"*修正*")),
IF(ISEVEN(ROW()+4),INDIRECT("数出表_Excel【15時】!A"&amp;ROW()+4+1&amp;""),INDIRECT("数出表_Excel【15時】!A"&amp;ROW()+4&amp;"")),"")</f>
        <v/>
      </c>
      <c r="D120" s="209" t="str">
        <f t="array" aca="1" ref="D120" ca="1">IF(B120&lt;&gt;"",
IFERROR(MATCH(TRUE,ISNUMBER(INDIRECT("数出表_Excel【15時】!B"&amp;(A120+4)&amp;":ZZ"&amp;(A120+4))),0)+1,""),"")</f>
        <v/>
      </c>
      <c r="E120" t="str">
        <f ca="1">IF(D120&lt;&gt;"",
OFFSET(数出表_Excel【15時】!$A$1,2,D120-1)
&amp;IFERROR(OFFSET(数出表_Excel【15時】!$A$1,3,D120-1),"")
&amp;IFERROR(OFFSET(数出表_Excel【15時】!$A$1,4,D120-1),""),"")</f>
        <v/>
      </c>
      <c r="F120" t="str">
        <f ca="1">IF(D120&lt;&gt;"",
OFFSET(数出表_Excel【15時】!$A$1,A120+3,D120-1),"")</f>
        <v/>
      </c>
      <c r="G120" t="str">
        <f ca="1">IF(D120&lt;&gt;"",
IF(AND(OFFSET(数出表_Excel【15時】!$A$1,A120+3,D120)&lt;&gt;"",OFFSET(数出表_Excel【15時】!$A$1,A120+3,D120)&lt;&gt;0),
OFFSET(数出表_Excel【15時】!$A$1,A120+3,D120),""),"")</f>
        <v/>
      </c>
      <c r="H120" s="209" t="str">
        <f t="array" aca="1" ref="H120" ca="1">IF(B120&lt;&gt;"",
IFERROR(MATCH(TRUE,ISNUMBER(INDIRECT("数出表_Excel【15時】!"&amp;SUBSTITUTE(ADDRESS(1,D120+2,4),"1","")&amp;(A120+4)&amp;":ZZ"&amp;(A120+4))),0)+D120+1,""),"")</f>
        <v/>
      </c>
      <c r="I120" t="str">
        <f ca="1">IF(H120&lt;&gt;"",
OFFSET(数出表_Excel【15時】!$A$1,2,H120-1)
&amp;IFERROR(OFFSET(数出表_Excel【15時】!$A$1,3,H120-1),"")
&amp;IFERROR(OFFSET(数出表_Excel【15時】!$A$1,4,H120-1),""),"")</f>
        <v/>
      </c>
      <c r="J120" t="str">
        <f ca="1">IF(H120&lt;&gt;"",
OFFSET(数出表_Excel【15時】!$A$1,A120+3,H120-1),"")</f>
        <v/>
      </c>
      <c r="K120" t="str">
        <f ca="1">IF(H120&lt;&gt;"",
IF(AND(OFFSET(数出表_Excel【15時】!$A$1,A120+3,H120)&lt;&gt;"",OFFSET(数出表_Excel【15時】!$A$1,A120+3,H120)&lt;&gt;0),
OFFSET(数出表_Excel【15時】!$A$1,A120+3,H120),""),"")</f>
        <v/>
      </c>
      <c r="L120" s="209" t="str">
        <f t="array" aca="1" ref="L120" ca="1">IF(B120&lt;&gt;"",
IFERROR(MATCH(TRUE,ISNUMBER(INDIRECT("数出表_Excel【15時】!"&amp;SUBSTITUTE(ADDRESS(1,H120+2,4),"1","")&amp;(A120+4)&amp;":ZZ"&amp;(A120+4))),0)+H120+1,""),"")</f>
        <v/>
      </c>
      <c r="M120" t="str">
        <f ca="1">IF(L120&lt;&gt;"",
OFFSET(数出表_Excel【15時】!$A$1,2,L120-1)
&amp;IFERROR(OFFSET(数出表_Excel【15時】!$A$1,3,L120-1),"")
&amp;IFERROR(OFFSET(数出表_Excel【15時】!$A$1,4,L120-1),""),"")</f>
        <v/>
      </c>
      <c r="N120" t="str">
        <f ca="1">IF(L120&lt;&gt;"",
OFFSET(数出表_Excel【15時】!$A$1,A120+3,L120-1),"")</f>
        <v/>
      </c>
      <c r="O120" t="str">
        <f ca="1">IF(L120&lt;&gt;"",
IF(AND(OFFSET(数出表_Excel【15時】!$A$1,A120+3,L120)&lt;&gt;"",OFFSET(数出表_Excel【15時】!$A$1,A120+3,L120)&lt;&gt;0),
OFFSET(数出表_Excel【15時】!$A$1,A120+3,L120),""),"")</f>
        <v/>
      </c>
      <c r="Q120" t="str">
        <f ca="1">IF(C120&lt;&gt;"",
IF(E120&lt;&gt;"",1,0)+IF(I120&lt;&gt;"",1,0)+IF(M120&lt;&gt;"",1,0),"")</f>
        <v/>
      </c>
      <c r="AH120" t="str">
        <f t="array" aca="1" ref="AH120" ca="1">IFERROR(SMALL(IF(O$1:O$307&lt;&gt;0,O$1:O$307),ROW(AH120)),"")</f>
        <v/>
      </c>
      <c r="AI120" t="str">
        <f t="array" aca="1" ref="AI120" ca="1">IF($T120&lt;&gt;"",
SUBSTITUTE(SUBSTITUTE(INDIRECT("B"&amp;$T120&amp;"")," 週3ｺｰｽ","")," 週5ｺｰｽ",""),"")</f>
        <v/>
      </c>
    </row>
    <row r="121" spans="1:35">
      <c r="A121" t="str">
        <f t="shared" ca="1" si="1"/>
        <v/>
      </c>
      <c r="B121" t="str">
        <f t="array" aca="1" ref="B121" ca="1">IF(OR(COUNTIF(数出表_Excel【15時】!AO124,"*修正*"),COUNTIF(数出表_Excel【15時】!AO125,"*修正*")),
IF(ISEVEN(ROW()+4),INDIRECT("数出表_Excel【15時】!A"&amp;ROW()+4&amp;""),INDIRECT("数出表_Excel【15時】!A"&amp;ROW()+4-1&amp;"")),"")</f>
        <v/>
      </c>
      <c r="C121" t="str">
        <f t="array" aca="1" ref="C121" ca="1">IF(OR(COUNTIF(数出表_Excel【15時】!AO124,"*修正*"),COUNTIF(数出表_Excel【15時】!AO125,"*修正*")),
IF(ISEVEN(ROW()+4),INDIRECT("数出表_Excel【15時】!A"&amp;ROW()+4+1&amp;""),INDIRECT("数出表_Excel【15時】!A"&amp;ROW()+4&amp;"")),"")</f>
        <v/>
      </c>
      <c r="D121" s="209" t="str">
        <f t="array" aca="1" ref="D121" ca="1">IF(B121&lt;&gt;"",
IFERROR(MATCH(TRUE,ISNUMBER(INDIRECT("数出表_Excel【15時】!B"&amp;(A121+4)&amp;":ZZ"&amp;(A121+4))),0)+1,""),"")</f>
        <v/>
      </c>
      <c r="E121" t="str">
        <f ca="1">IF(D121&lt;&gt;"",
OFFSET(数出表_Excel【15時】!$A$1,2,D121-1)
&amp;IFERROR(OFFSET(数出表_Excel【15時】!$A$1,3,D121-1),"")
&amp;IFERROR(OFFSET(数出表_Excel【15時】!$A$1,4,D121-1),""),"")</f>
        <v/>
      </c>
      <c r="F121" t="str">
        <f ca="1">IF(D121&lt;&gt;"",
OFFSET(数出表_Excel【15時】!$A$1,A121+3,D121-1),"")</f>
        <v/>
      </c>
      <c r="G121" t="str">
        <f ca="1">IF(D121&lt;&gt;"",
IF(AND(OFFSET(数出表_Excel【15時】!$A$1,A121+3,D121)&lt;&gt;"",OFFSET(数出表_Excel【15時】!$A$1,A121+3,D121)&lt;&gt;0),
OFFSET(数出表_Excel【15時】!$A$1,A121+3,D121),""),"")</f>
        <v/>
      </c>
      <c r="H121" s="209" t="str">
        <f t="array" aca="1" ref="H121" ca="1">IF(B121&lt;&gt;"",
IFERROR(MATCH(TRUE,ISNUMBER(INDIRECT("数出表_Excel【15時】!"&amp;SUBSTITUTE(ADDRESS(1,D121+2,4),"1","")&amp;(A121+4)&amp;":ZZ"&amp;(A121+4))),0)+D121+1,""),"")</f>
        <v/>
      </c>
      <c r="I121" t="str">
        <f ca="1">IF(H121&lt;&gt;"",
OFFSET(数出表_Excel【15時】!$A$1,2,H121-1)
&amp;IFERROR(OFFSET(数出表_Excel【15時】!$A$1,3,H121-1),"")
&amp;IFERROR(OFFSET(数出表_Excel【15時】!$A$1,4,H121-1),""),"")</f>
        <v/>
      </c>
      <c r="J121" t="str">
        <f ca="1">IF(H121&lt;&gt;"",
OFFSET(数出表_Excel【15時】!$A$1,A121+3,H121-1),"")</f>
        <v/>
      </c>
      <c r="K121" t="str">
        <f ca="1">IF(H121&lt;&gt;"",
IF(AND(OFFSET(数出表_Excel【15時】!$A$1,A121+3,H121)&lt;&gt;"",OFFSET(数出表_Excel【15時】!$A$1,A121+3,H121)&lt;&gt;0),
OFFSET(数出表_Excel【15時】!$A$1,A121+3,H121),""),"")</f>
        <v/>
      </c>
      <c r="L121" s="209" t="str">
        <f t="array" aca="1" ref="L121" ca="1">IF(B121&lt;&gt;"",
IFERROR(MATCH(TRUE,ISNUMBER(INDIRECT("数出表_Excel【15時】!"&amp;SUBSTITUTE(ADDRESS(1,H121+2,4),"1","")&amp;(A121+4)&amp;":ZZ"&amp;(A121+4))),0)+H121+1,""),"")</f>
        <v/>
      </c>
      <c r="M121" t="str">
        <f ca="1">IF(L121&lt;&gt;"",
OFFSET(数出表_Excel【15時】!$A$1,2,L121-1)
&amp;IFERROR(OFFSET(数出表_Excel【15時】!$A$1,3,L121-1),"")
&amp;IFERROR(OFFSET(数出表_Excel【15時】!$A$1,4,L121-1),""),"")</f>
        <v/>
      </c>
      <c r="N121" t="str">
        <f ca="1">IF(L121&lt;&gt;"",
OFFSET(数出表_Excel【15時】!$A$1,A121+3,L121-1),"")</f>
        <v/>
      </c>
      <c r="O121" t="str">
        <f ca="1">IF(L121&lt;&gt;"",
IF(AND(OFFSET(数出表_Excel【15時】!$A$1,A121+3,L121)&lt;&gt;"",OFFSET(数出表_Excel【15時】!$A$1,A121+3,L121)&lt;&gt;0),
OFFSET(数出表_Excel【15時】!$A$1,A121+3,L121),""),"")</f>
        <v/>
      </c>
      <c r="AH121" t="str">
        <f t="array" aca="1" ref="AH121" ca="1">IFERROR(SMALL(IF(O$1:O$307&lt;&gt;0,O$1:O$307),ROW(AH121)),"")</f>
        <v/>
      </c>
      <c r="AI121" t="str">
        <f t="array" aca="1" ref="AI121" ca="1">IF($T121&lt;&gt;"",
SUBSTITUTE(SUBSTITUTE(INDIRECT("B"&amp;$T121&amp;"")," 週3ｺｰｽ","")," 週5ｺｰｽ",""),"")</f>
        <v/>
      </c>
    </row>
    <row r="122" spans="1:35">
      <c r="A122" t="str">
        <f t="shared" ca="1" si="1"/>
        <v/>
      </c>
      <c r="B122" t="str">
        <f t="array" aca="1" ref="B122" ca="1">IF(OR(COUNTIF(数出表_Excel【15時】!AO126,"*修正*"),COUNTIF(数出表_Excel【15時】!AO127,"*修正*")),
IF(ISEVEN(ROW()+4),INDIRECT("数出表_Excel【15時】!A"&amp;ROW()+4&amp;""),INDIRECT("数出表_Excel【15時】!A"&amp;ROW()+4-1&amp;"")),"")</f>
        <v/>
      </c>
      <c r="C122" t="str">
        <f t="array" aca="1" ref="C122" ca="1">IF(OR(COUNTIF(数出表_Excel【15時】!AO126,"*修正*"),COUNTIF(数出表_Excel【15時】!AO127,"*修正*")),
IF(ISEVEN(ROW()+4),INDIRECT("数出表_Excel【15時】!A"&amp;ROW()+4+1&amp;""),INDIRECT("数出表_Excel【15時】!A"&amp;ROW()+4&amp;"")),"")</f>
        <v/>
      </c>
      <c r="D122" s="209" t="str">
        <f t="array" aca="1" ref="D122" ca="1">IF(B122&lt;&gt;"",
IFERROR(MATCH(TRUE,ISNUMBER(INDIRECT("数出表_Excel【15時】!B"&amp;(A122+4)&amp;":ZZ"&amp;(A122+4))),0)+1,""),"")</f>
        <v/>
      </c>
      <c r="E122" t="str">
        <f ca="1">IF(D122&lt;&gt;"",
OFFSET(数出表_Excel【15時】!$A$1,2,D122-1)
&amp;IFERROR(OFFSET(数出表_Excel【15時】!$A$1,3,D122-1),"")
&amp;IFERROR(OFFSET(数出表_Excel【15時】!$A$1,4,D122-1),""),"")</f>
        <v/>
      </c>
      <c r="F122" t="str">
        <f ca="1">IF(D122&lt;&gt;"",
OFFSET(数出表_Excel【15時】!$A$1,A122+3,D122-1),"")</f>
        <v/>
      </c>
      <c r="G122" t="str">
        <f ca="1">IF(D122&lt;&gt;"",
IF(AND(OFFSET(数出表_Excel【15時】!$A$1,A122+3,D122)&lt;&gt;"",OFFSET(数出表_Excel【15時】!$A$1,A122+3,D122)&lt;&gt;0),
OFFSET(数出表_Excel【15時】!$A$1,A122+3,D122),""),"")</f>
        <v/>
      </c>
      <c r="H122" s="209" t="str">
        <f t="array" aca="1" ref="H122" ca="1">IF(B122&lt;&gt;"",
IFERROR(MATCH(TRUE,ISNUMBER(INDIRECT("数出表_Excel【15時】!"&amp;SUBSTITUTE(ADDRESS(1,D122+2,4),"1","")&amp;(A122+4)&amp;":ZZ"&amp;(A122+4))),0)+D122+1,""),"")</f>
        <v/>
      </c>
      <c r="I122" t="str">
        <f ca="1">IF(H122&lt;&gt;"",
OFFSET(数出表_Excel【15時】!$A$1,2,H122-1)
&amp;IFERROR(OFFSET(数出表_Excel【15時】!$A$1,3,H122-1),"")
&amp;IFERROR(OFFSET(数出表_Excel【15時】!$A$1,4,H122-1),""),"")</f>
        <v/>
      </c>
      <c r="J122" t="str">
        <f ca="1">IF(H122&lt;&gt;"",
OFFSET(数出表_Excel【15時】!$A$1,A122+3,H122-1),"")</f>
        <v/>
      </c>
      <c r="K122" t="str">
        <f ca="1">IF(H122&lt;&gt;"",
IF(AND(OFFSET(数出表_Excel【15時】!$A$1,A122+3,H122)&lt;&gt;"",OFFSET(数出表_Excel【15時】!$A$1,A122+3,H122)&lt;&gt;0),
OFFSET(数出表_Excel【15時】!$A$1,A122+3,H122),""),"")</f>
        <v/>
      </c>
      <c r="L122" s="209" t="str">
        <f t="array" aca="1" ref="L122" ca="1">IF(B122&lt;&gt;"",
IFERROR(MATCH(TRUE,ISNUMBER(INDIRECT("数出表_Excel【15時】!"&amp;SUBSTITUTE(ADDRESS(1,H122+2,4),"1","")&amp;(A122+4)&amp;":ZZ"&amp;(A122+4))),0)+H122+1,""),"")</f>
        <v/>
      </c>
      <c r="M122" t="str">
        <f ca="1">IF(L122&lt;&gt;"",
OFFSET(数出表_Excel【15時】!$A$1,2,L122-1)
&amp;IFERROR(OFFSET(数出表_Excel【15時】!$A$1,3,L122-1),"")
&amp;IFERROR(OFFSET(数出表_Excel【15時】!$A$1,4,L122-1),""),"")</f>
        <v/>
      </c>
      <c r="N122" t="str">
        <f ca="1">IF(L122&lt;&gt;"",
OFFSET(数出表_Excel【15時】!$A$1,A122+3,L122-1),"")</f>
        <v/>
      </c>
      <c r="O122" t="str">
        <f ca="1">IF(L122&lt;&gt;"",
IF(AND(OFFSET(数出表_Excel【15時】!$A$1,A122+3,L122)&lt;&gt;"",OFFSET(数出表_Excel【15時】!$A$1,A122+3,L122)&lt;&gt;0),
OFFSET(数出表_Excel【15時】!$A$1,A122+3,L122),""),"")</f>
        <v/>
      </c>
      <c r="Q122" t="str">
        <f ca="1">IF(C122&lt;&gt;"",
IF(E122&lt;&gt;"",1,0)+IF(I122&lt;&gt;"",1,0)+IF(M122&lt;&gt;"",1,0),"")</f>
        <v/>
      </c>
      <c r="AH122" t="str">
        <f t="array" aca="1" ref="AH122" ca="1">IFERROR(SMALL(IF(O$1:O$307&lt;&gt;0,O$1:O$307),ROW(AH122)),"")</f>
        <v/>
      </c>
      <c r="AI122" t="str">
        <f t="array" aca="1" ref="AI122" ca="1">IF($T122&lt;&gt;"",
SUBSTITUTE(SUBSTITUTE(INDIRECT("B"&amp;$T122&amp;"")," 週3ｺｰｽ","")," 週5ｺｰｽ",""),"")</f>
        <v/>
      </c>
    </row>
    <row r="123" spans="1:35">
      <c r="A123" t="str">
        <f t="shared" ca="1" si="1"/>
        <v/>
      </c>
      <c r="B123" t="str">
        <f t="array" aca="1" ref="B123" ca="1">IF(OR(COUNTIF(数出表_Excel【15時】!AO126,"*修正*"),COUNTIF(数出表_Excel【15時】!AO127,"*修正*")),
IF(ISEVEN(ROW()+4),INDIRECT("数出表_Excel【15時】!A"&amp;ROW()+4&amp;""),INDIRECT("数出表_Excel【15時】!A"&amp;ROW()+4-1&amp;"")),"")</f>
        <v/>
      </c>
      <c r="C123" t="str">
        <f t="array" aca="1" ref="C123" ca="1">IF(OR(COUNTIF(数出表_Excel【15時】!AO126,"*修正*"),COUNTIF(数出表_Excel【15時】!AO127,"*修正*")),
IF(ISEVEN(ROW()+4),INDIRECT("数出表_Excel【15時】!A"&amp;ROW()+4+1&amp;""),INDIRECT("数出表_Excel【15時】!A"&amp;ROW()+4&amp;"")),"")</f>
        <v/>
      </c>
      <c r="D123" s="209" t="str">
        <f t="array" aca="1" ref="D123" ca="1">IF(B123&lt;&gt;"",
IFERROR(MATCH(TRUE,ISNUMBER(INDIRECT("数出表_Excel【15時】!B"&amp;(A123+4)&amp;":ZZ"&amp;(A123+4))),0)+1,""),"")</f>
        <v/>
      </c>
      <c r="E123" t="str">
        <f ca="1">IF(D123&lt;&gt;"",
OFFSET(数出表_Excel【15時】!$A$1,2,D123-1)
&amp;IFERROR(OFFSET(数出表_Excel【15時】!$A$1,3,D123-1),"")
&amp;IFERROR(OFFSET(数出表_Excel【15時】!$A$1,4,D123-1),""),"")</f>
        <v/>
      </c>
      <c r="F123" t="str">
        <f ca="1">IF(D123&lt;&gt;"",
OFFSET(数出表_Excel【15時】!$A$1,A123+3,D123-1),"")</f>
        <v/>
      </c>
      <c r="G123" t="str">
        <f ca="1">IF(D123&lt;&gt;"",
IF(AND(OFFSET(数出表_Excel【15時】!$A$1,A123+3,D123)&lt;&gt;"",OFFSET(数出表_Excel【15時】!$A$1,A123+3,D123)&lt;&gt;0),
OFFSET(数出表_Excel【15時】!$A$1,A123+3,D123),""),"")</f>
        <v/>
      </c>
      <c r="H123" s="209" t="str">
        <f t="array" aca="1" ref="H123" ca="1">IF(B123&lt;&gt;"",
IFERROR(MATCH(TRUE,ISNUMBER(INDIRECT("数出表_Excel【15時】!"&amp;SUBSTITUTE(ADDRESS(1,D123+2,4),"1","")&amp;(A123+4)&amp;":ZZ"&amp;(A123+4))),0)+D123+1,""),"")</f>
        <v/>
      </c>
      <c r="I123" t="str">
        <f ca="1">IF(H123&lt;&gt;"",
OFFSET(数出表_Excel【15時】!$A$1,2,H123-1)
&amp;IFERROR(OFFSET(数出表_Excel【15時】!$A$1,3,H123-1),"")
&amp;IFERROR(OFFSET(数出表_Excel【15時】!$A$1,4,H123-1),""),"")</f>
        <v/>
      </c>
      <c r="J123" t="str">
        <f ca="1">IF(H123&lt;&gt;"",
OFFSET(数出表_Excel【15時】!$A$1,A123+3,H123-1),"")</f>
        <v/>
      </c>
      <c r="K123" t="str">
        <f ca="1">IF(H123&lt;&gt;"",
IF(AND(OFFSET(数出表_Excel【15時】!$A$1,A123+3,H123)&lt;&gt;"",OFFSET(数出表_Excel【15時】!$A$1,A123+3,H123)&lt;&gt;0),
OFFSET(数出表_Excel【15時】!$A$1,A123+3,H123),""),"")</f>
        <v/>
      </c>
      <c r="L123" s="209" t="str">
        <f t="array" aca="1" ref="L123" ca="1">IF(B123&lt;&gt;"",
IFERROR(MATCH(TRUE,ISNUMBER(INDIRECT("数出表_Excel【15時】!"&amp;SUBSTITUTE(ADDRESS(1,H123+2,4),"1","")&amp;(A123+4)&amp;":ZZ"&amp;(A123+4))),0)+H123+1,""),"")</f>
        <v/>
      </c>
      <c r="M123" t="str">
        <f ca="1">IF(L123&lt;&gt;"",
OFFSET(数出表_Excel【15時】!$A$1,2,L123-1)
&amp;IFERROR(OFFSET(数出表_Excel【15時】!$A$1,3,L123-1),"")
&amp;IFERROR(OFFSET(数出表_Excel【15時】!$A$1,4,L123-1),""),"")</f>
        <v/>
      </c>
      <c r="N123" t="str">
        <f ca="1">IF(L123&lt;&gt;"",
OFFSET(数出表_Excel【15時】!$A$1,A123+3,L123-1),"")</f>
        <v/>
      </c>
      <c r="O123" t="str">
        <f ca="1">IF(L123&lt;&gt;"",
IF(AND(OFFSET(数出表_Excel【15時】!$A$1,A123+3,L123)&lt;&gt;"",OFFSET(数出表_Excel【15時】!$A$1,A123+3,L123)&lt;&gt;0),
OFFSET(数出表_Excel【15時】!$A$1,A123+3,L123),""),"")</f>
        <v/>
      </c>
      <c r="AH123" t="str">
        <f t="array" aca="1" ref="AH123" ca="1">IFERROR(SMALL(IF(O$1:O$307&lt;&gt;0,O$1:O$307),ROW(AH123)),"")</f>
        <v/>
      </c>
      <c r="AI123" t="str">
        <f t="array" aca="1" ref="AI123" ca="1">IF($T123&lt;&gt;"",
SUBSTITUTE(SUBSTITUTE(INDIRECT("B"&amp;$T123&amp;"")," 週3ｺｰｽ","")," 週5ｺｰｽ",""),"")</f>
        <v/>
      </c>
    </row>
    <row r="124" spans="1:35">
      <c r="A124" t="str">
        <f t="shared" ca="1" si="1"/>
        <v/>
      </c>
      <c r="B124" t="str">
        <f t="array" aca="1" ref="B124" ca="1">IF(OR(COUNTIF(数出表_Excel【15時】!AO128,"*修正*"),COUNTIF(数出表_Excel【15時】!AO129,"*修正*")),
IF(ISEVEN(ROW()+4),INDIRECT("数出表_Excel【15時】!A"&amp;ROW()+4&amp;""),INDIRECT("数出表_Excel【15時】!A"&amp;ROW()+4-1&amp;"")),"")</f>
        <v/>
      </c>
      <c r="C124" t="str">
        <f t="array" aca="1" ref="C124" ca="1">IF(OR(COUNTIF(数出表_Excel【15時】!AO128,"*修正*"),COUNTIF(数出表_Excel【15時】!AO129,"*修正*")),
IF(ISEVEN(ROW()+4),INDIRECT("数出表_Excel【15時】!A"&amp;ROW()+4+1&amp;""),INDIRECT("数出表_Excel【15時】!A"&amp;ROW()+4&amp;"")),"")</f>
        <v/>
      </c>
      <c r="D124" s="209" t="str">
        <f t="array" aca="1" ref="D124" ca="1">IF(B124&lt;&gt;"",
IFERROR(MATCH(TRUE,ISNUMBER(INDIRECT("数出表_Excel【15時】!B"&amp;(A124+4)&amp;":ZZ"&amp;(A124+4))),0)+1,""),"")</f>
        <v/>
      </c>
      <c r="E124" t="str">
        <f ca="1">IF(D124&lt;&gt;"",
OFFSET(数出表_Excel【15時】!$A$1,2,D124-1)
&amp;IFERROR(OFFSET(数出表_Excel【15時】!$A$1,3,D124-1),"")
&amp;IFERROR(OFFSET(数出表_Excel【15時】!$A$1,4,D124-1),""),"")</f>
        <v/>
      </c>
      <c r="F124" t="str">
        <f ca="1">IF(D124&lt;&gt;"",
OFFSET(数出表_Excel【15時】!$A$1,A124+3,D124-1),"")</f>
        <v/>
      </c>
      <c r="G124" t="str">
        <f ca="1">IF(D124&lt;&gt;"",
IF(AND(OFFSET(数出表_Excel【15時】!$A$1,A124+3,D124)&lt;&gt;"",OFFSET(数出表_Excel【15時】!$A$1,A124+3,D124)&lt;&gt;0),
OFFSET(数出表_Excel【15時】!$A$1,A124+3,D124),""),"")</f>
        <v/>
      </c>
      <c r="H124" s="209" t="str">
        <f t="array" aca="1" ref="H124" ca="1">IF(B124&lt;&gt;"",
IFERROR(MATCH(TRUE,ISNUMBER(INDIRECT("数出表_Excel【15時】!"&amp;SUBSTITUTE(ADDRESS(1,D124+2,4),"1","")&amp;(A124+4)&amp;":ZZ"&amp;(A124+4))),0)+D124+1,""),"")</f>
        <v/>
      </c>
      <c r="I124" t="str">
        <f ca="1">IF(H124&lt;&gt;"",
OFFSET(数出表_Excel【15時】!$A$1,2,H124-1)
&amp;IFERROR(OFFSET(数出表_Excel【15時】!$A$1,3,H124-1),"")
&amp;IFERROR(OFFSET(数出表_Excel【15時】!$A$1,4,H124-1),""),"")</f>
        <v/>
      </c>
      <c r="J124" t="str">
        <f ca="1">IF(H124&lt;&gt;"",
OFFSET(数出表_Excel【15時】!$A$1,A124+3,H124-1),"")</f>
        <v/>
      </c>
      <c r="K124" t="str">
        <f ca="1">IF(H124&lt;&gt;"",
IF(AND(OFFSET(数出表_Excel【15時】!$A$1,A124+3,H124)&lt;&gt;"",OFFSET(数出表_Excel【15時】!$A$1,A124+3,H124)&lt;&gt;0),
OFFSET(数出表_Excel【15時】!$A$1,A124+3,H124),""),"")</f>
        <v/>
      </c>
      <c r="L124" s="209" t="str">
        <f t="array" aca="1" ref="L124" ca="1">IF(B124&lt;&gt;"",
IFERROR(MATCH(TRUE,ISNUMBER(INDIRECT("数出表_Excel【15時】!"&amp;SUBSTITUTE(ADDRESS(1,H124+2,4),"1","")&amp;(A124+4)&amp;":ZZ"&amp;(A124+4))),0)+H124+1,""),"")</f>
        <v/>
      </c>
      <c r="M124" t="str">
        <f ca="1">IF(L124&lt;&gt;"",
OFFSET(数出表_Excel【15時】!$A$1,2,L124-1)
&amp;IFERROR(OFFSET(数出表_Excel【15時】!$A$1,3,L124-1),"")
&amp;IFERROR(OFFSET(数出表_Excel【15時】!$A$1,4,L124-1),""),"")</f>
        <v/>
      </c>
      <c r="N124" t="str">
        <f ca="1">IF(L124&lt;&gt;"",
OFFSET(数出表_Excel【15時】!$A$1,A124+3,L124-1),"")</f>
        <v/>
      </c>
      <c r="O124" t="str">
        <f ca="1">IF(L124&lt;&gt;"",
IF(AND(OFFSET(数出表_Excel【15時】!$A$1,A124+3,L124)&lt;&gt;"",OFFSET(数出表_Excel【15時】!$A$1,A124+3,L124)&lt;&gt;0),
OFFSET(数出表_Excel【15時】!$A$1,A124+3,L124),""),"")</f>
        <v/>
      </c>
      <c r="Q124" t="str">
        <f ca="1">IF(C124&lt;&gt;"",
IF(E124&lt;&gt;"",1,0)+IF(I124&lt;&gt;"",1,0)+IF(M124&lt;&gt;"",1,0),"")</f>
        <v/>
      </c>
      <c r="AH124" t="str">
        <f t="array" aca="1" ref="AH124" ca="1">IFERROR(SMALL(IF(O$1:O$307&lt;&gt;0,O$1:O$307),ROW(AH124)),"")</f>
        <v/>
      </c>
      <c r="AI124" t="str">
        <f t="array" aca="1" ref="AI124" ca="1">IF($T124&lt;&gt;"",
SUBSTITUTE(SUBSTITUTE(INDIRECT("B"&amp;$T124&amp;"")," 週3ｺｰｽ","")," 週5ｺｰｽ",""),"")</f>
        <v/>
      </c>
    </row>
    <row r="125" spans="1:35">
      <c r="A125" t="str">
        <f t="shared" ca="1" si="1"/>
        <v/>
      </c>
      <c r="B125" t="str">
        <f t="array" aca="1" ref="B125" ca="1">IF(OR(COUNTIF(数出表_Excel【15時】!AO128,"*修正*"),COUNTIF(数出表_Excel【15時】!AO129,"*修正*")),
IF(ISEVEN(ROW()+4),INDIRECT("数出表_Excel【15時】!A"&amp;ROW()+4&amp;""),INDIRECT("数出表_Excel【15時】!A"&amp;ROW()+4-1&amp;"")),"")</f>
        <v/>
      </c>
      <c r="C125" t="str">
        <f t="array" aca="1" ref="C125" ca="1">IF(OR(COUNTIF(数出表_Excel【15時】!AO128,"*修正*"),COUNTIF(数出表_Excel【15時】!AO129,"*修正*")),
IF(ISEVEN(ROW()+4),INDIRECT("数出表_Excel【15時】!A"&amp;ROW()+4+1&amp;""),INDIRECT("数出表_Excel【15時】!A"&amp;ROW()+4&amp;"")),"")</f>
        <v/>
      </c>
      <c r="D125" s="209" t="str">
        <f t="array" aca="1" ref="D125" ca="1">IF(B125&lt;&gt;"",
IFERROR(MATCH(TRUE,ISNUMBER(INDIRECT("数出表_Excel【15時】!B"&amp;(A125+4)&amp;":ZZ"&amp;(A125+4))),0)+1,""),"")</f>
        <v/>
      </c>
      <c r="E125" t="str">
        <f ca="1">IF(D125&lt;&gt;"",
OFFSET(数出表_Excel【15時】!$A$1,2,D125-1)
&amp;IFERROR(OFFSET(数出表_Excel【15時】!$A$1,3,D125-1),"")
&amp;IFERROR(OFFSET(数出表_Excel【15時】!$A$1,4,D125-1),""),"")</f>
        <v/>
      </c>
      <c r="F125" t="str">
        <f ca="1">IF(D125&lt;&gt;"",
OFFSET(数出表_Excel【15時】!$A$1,A125+3,D125-1),"")</f>
        <v/>
      </c>
      <c r="G125" t="str">
        <f ca="1">IF(D125&lt;&gt;"",
IF(AND(OFFSET(数出表_Excel【15時】!$A$1,A125+3,D125)&lt;&gt;"",OFFSET(数出表_Excel【15時】!$A$1,A125+3,D125)&lt;&gt;0),
OFFSET(数出表_Excel【15時】!$A$1,A125+3,D125),""),"")</f>
        <v/>
      </c>
      <c r="H125" s="209" t="str">
        <f t="array" aca="1" ref="H125" ca="1">IF(B125&lt;&gt;"",
IFERROR(MATCH(TRUE,ISNUMBER(INDIRECT("数出表_Excel【15時】!"&amp;SUBSTITUTE(ADDRESS(1,D125+2,4),"1","")&amp;(A125+4)&amp;":ZZ"&amp;(A125+4))),0)+D125+1,""),"")</f>
        <v/>
      </c>
      <c r="I125" t="str">
        <f ca="1">IF(H125&lt;&gt;"",
OFFSET(数出表_Excel【15時】!$A$1,2,H125-1)
&amp;IFERROR(OFFSET(数出表_Excel【15時】!$A$1,3,H125-1),"")
&amp;IFERROR(OFFSET(数出表_Excel【15時】!$A$1,4,H125-1),""),"")</f>
        <v/>
      </c>
      <c r="J125" t="str">
        <f ca="1">IF(H125&lt;&gt;"",
OFFSET(数出表_Excel【15時】!$A$1,A125+3,H125-1),"")</f>
        <v/>
      </c>
      <c r="K125" t="str">
        <f ca="1">IF(H125&lt;&gt;"",
IF(AND(OFFSET(数出表_Excel【15時】!$A$1,A125+3,H125)&lt;&gt;"",OFFSET(数出表_Excel【15時】!$A$1,A125+3,H125)&lt;&gt;0),
OFFSET(数出表_Excel【15時】!$A$1,A125+3,H125),""),"")</f>
        <v/>
      </c>
      <c r="L125" s="209" t="str">
        <f t="array" aca="1" ref="L125" ca="1">IF(B125&lt;&gt;"",
IFERROR(MATCH(TRUE,ISNUMBER(INDIRECT("数出表_Excel【15時】!"&amp;SUBSTITUTE(ADDRESS(1,H125+2,4),"1","")&amp;(A125+4)&amp;":ZZ"&amp;(A125+4))),0)+H125+1,""),"")</f>
        <v/>
      </c>
      <c r="M125" t="str">
        <f ca="1">IF(L125&lt;&gt;"",
OFFSET(数出表_Excel【15時】!$A$1,2,L125-1)
&amp;IFERROR(OFFSET(数出表_Excel【15時】!$A$1,3,L125-1),"")
&amp;IFERROR(OFFSET(数出表_Excel【15時】!$A$1,4,L125-1),""),"")</f>
        <v/>
      </c>
      <c r="N125" t="str">
        <f ca="1">IF(L125&lt;&gt;"",
OFFSET(数出表_Excel【15時】!$A$1,A125+3,L125-1),"")</f>
        <v/>
      </c>
      <c r="O125" t="str">
        <f ca="1">IF(L125&lt;&gt;"",
IF(AND(OFFSET(数出表_Excel【15時】!$A$1,A125+3,L125)&lt;&gt;"",OFFSET(数出表_Excel【15時】!$A$1,A125+3,L125)&lt;&gt;0),
OFFSET(数出表_Excel【15時】!$A$1,A125+3,L125),""),"")</f>
        <v/>
      </c>
      <c r="AH125" t="str">
        <f t="array" aca="1" ref="AH125" ca="1">IFERROR(SMALL(IF(O$1:O$307&lt;&gt;0,O$1:O$307),ROW(AH125)),"")</f>
        <v/>
      </c>
      <c r="AI125" t="str">
        <f t="array" aca="1" ref="AI125" ca="1">IF($T125&lt;&gt;"",
SUBSTITUTE(SUBSTITUTE(INDIRECT("B"&amp;$T125&amp;"")," 週3ｺｰｽ","")," 週5ｺｰｽ",""),"")</f>
        <v/>
      </c>
    </row>
    <row r="126" spans="1:35">
      <c r="A126" t="str">
        <f t="shared" ca="1" si="1"/>
        <v/>
      </c>
      <c r="B126" t="str">
        <f t="array" aca="1" ref="B126" ca="1">IF(OR(COUNTIF(数出表_Excel【15時】!AO130,"*修正*"),COUNTIF(数出表_Excel【15時】!AO131,"*修正*")),
IF(ISEVEN(ROW()+4),INDIRECT("数出表_Excel【15時】!A"&amp;ROW()+4&amp;""),INDIRECT("数出表_Excel【15時】!A"&amp;ROW()+4-1&amp;"")),"")</f>
        <v/>
      </c>
      <c r="C126" t="str">
        <f t="array" aca="1" ref="C126" ca="1">IF(OR(COUNTIF(数出表_Excel【15時】!AO130,"*修正*"),COUNTIF(数出表_Excel【15時】!AO131,"*修正*")),
IF(ISEVEN(ROW()+4),INDIRECT("数出表_Excel【15時】!A"&amp;ROW()+4+1&amp;""),INDIRECT("数出表_Excel【15時】!A"&amp;ROW()+4&amp;"")),"")</f>
        <v/>
      </c>
      <c r="D126" s="209" t="str">
        <f t="array" aca="1" ref="D126" ca="1">IF(B126&lt;&gt;"",
IFERROR(MATCH(TRUE,ISNUMBER(INDIRECT("数出表_Excel【15時】!B"&amp;(A126+4)&amp;":ZZ"&amp;(A126+4))),0)+1,""),"")</f>
        <v/>
      </c>
      <c r="E126" t="str">
        <f ca="1">IF(D126&lt;&gt;"",
OFFSET(数出表_Excel【15時】!$A$1,2,D126-1)
&amp;IFERROR(OFFSET(数出表_Excel【15時】!$A$1,3,D126-1),"")
&amp;IFERROR(OFFSET(数出表_Excel【15時】!$A$1,4,D126-1),""),"")</f>
        <v/>
      </c>
      <c r="F126" t="str">
        <f ca="1">IF(D126&lt;&gt;"",
OFFSET(数出表_Excel【15時】!$A$1,A126+3,D126-1),"")</f>
        <v/>
      </c>
      <c r="G126" t="str">
        <f ca="1">IF(D126&lt;&gt;"",
IF(AND(OFFSET(数出表_Excel【15時】!$A$1,A126+3,D126)&lt;&gt;"",OFFSET(数出表_Excel【15時】!$A$1,A126+3,D126)&lt;&gt;0),
OFFSET(数出表_Excel【15時】!$A$1,A126+3,D126),""),"")</f>
        <v/>
      </c>
      <c r="H126" s="209" t="str">
        <f t="array" aca="1" ref="H126" ca="1">IF(B126&lt;&gt;"",
IFERROR(MATCH(TRUE,ISNUMBER(INDIRECT("数出表_Excel【15時】!"&amp;SUBSTITUTE(ADDRESS(1,D126+2,4),"1","")&amp;(A126+4)&amp;":ZZ"&amp;(A126+4))),0)+D126+1,""),"")</f>
        <v/>
      </c>
      <c r="I126" t="str">
        <f ca="1">IF(H126&lt;&gt;"",
OFFSET(数出表_Excel【15時】!$A$1,2,H126-1)
&amp;IFERROR(OFFSET(数出表_Excel【15時】!$A$1,3,H126-1),"")
&amp;IFERROR(OFFSET(数出表_Excel【15時】!$A$1,4,H126-1),""),"")</f>
        <v/>
      </c>
      <c r="J126" t="str">
        <f ca="1">IF(H126&lt;&gt;"",
OFFSET(数出表_Excel【15時】!$A$1,A126+3,H126-1),"")</f>
        <v/>
      </c>
      <c r="K126" t="str">
        <f ca="1">IF(H126&lt;&gt;"",
IF(AND(OFFSET(数出表_Excel【15時】!$A$1,A126+3,H126)&lt;&gt;"",OFFSET(数出表_Excel【15時】!$A$1,A126+3,H126)&lt;&gt;0),
OFFSET(数出表_Excel【15時】!$A$1,A126+3,H126),""),"")</f>
        <v/>
      </c>
      <c r="L126" s="209" t="str">
        <f t="array" aca="1" ref="L126" ca="1">IF(B126&lt;&gt;"",
IFERROR(MATCH(TRUE,ISNUMBER(INDIRECT("数出表_Excel【15時】!"&amp;SUBSTITUTE(ADDRESS(1,H126+2,4),"1","")&amp;(A126+4)&amp;":ZZ"&amp;(A126+4))),0)+H126+1,""),"")</f>
        <v/>
      </c>
      <c r="M126" t="str">
        <f ca="1">IF(L126&lt;&gt;"",
OFFSET(数出表_Excel【15時】!$A$1,2,L126-1)
&amp;IFERROR(OFFSET(数出表_Excel【15時】!$A$1,3,L126-1),"")
&amp;IFERROR(OFFSET(数出表_Excel【15時】!$A$1,4,L126-1),""),"")</f>
        <v/>
      </c>
      <c r="N126" t="str">
        <f ca="1">IF(L126&lt;&gt;"",
OFFSET(数出表_Excel【15時】!$A$1,A126+3,L126-1),"")</f>
        <v/>
      </c>
      <c r="O126" t="str">
        <f ca="1">IF(L126&lt;&gt;"",
IF(AND(OFFSET(数出表_Excel【15時】!$A$1,A126+3,L126)&lt;&gt;"",OFFSET(数出表_Excel【15時】!$A$1,A126+3,L126)&lt;&gt;0),
OFFSET(数出表_Excel【15時】!$A$1,A126+3,L126),""),"")</f>
        <v/>
      </c>
      <c r="Q126" t="str">
        <f ca="1">IF(C126&lt;&gt;"",
IF(E126&lt;&gt;"",1,0)+IF(I126&lt;&gt;"",1,0)+IF(M126&lt;&gt;"",1,0),"")</f>
        <v/>
      </c>
      <c r="AH126" t="str">
        <f t="array" aca="1" ref="AH126" ca="1">IFERROR(SMALL(IF(O$1:O$307&lt;&gt;0,O$1:O$307),ROW(AH126)),"")</f>
        <v/>
      </c>
      <c r="AI126" t="str">
        <f t="array" aca="1" ref="AI126" ca="1">IF($T126&lt;&gt;"",
SUBSTITUTE(SUBSTITUTE(INDIRECT("B"&amp;$T126&amp;"")," 週3ｺｰｽ","")," 週5ｺｰｽ",""),"")</f>
        <v/>
      </c>
    </row>
    <row r="127" spans="1:35">
      <c r="A127" t="str">
        <f t="shared" ca="1" si="1"/>
        <v/>
      </c>
      <c r="B127" t="str">
        <f t="array" aca="1" ref="B127" ca="1">IF(OR(COUNTIF(数出表_Excel【15時】!AO130,"*修正*"),COUNTIF(数出表_Excel【15時】!AO131,"*修正*")),
IF(ISEVEN(ROW()+4),INDIRECT("数出表_Excel【15時】!A"&amp;ROW()+4&amp;""),INDIRECT("数出表_Excel【15時】!A"&amp;ROW()+4-1&amp;"")),"")</f>
        <v/>
      </c>
      <c r="C127" t="str">
        <f t="array" aca="1" ref="C127" ca="1">IF(OR(COUNTIF(数出表_Excel【15時】!AO130,"*修正*"),COUNTIF(数出表_Excel【15時】!AO131,"*修正*")),
IF(ISEVEN(ROW()+4),INDIRECT("数出表_Excel【15時】!A"&amp;ROW()+4+1&amp;""),INDIRECT("数出表_Excel【15時】!A"&amp;ROW()+4&amp;"")),"")</f>
        <v/>
      </c>
      <c r="D127" s="209" t="str">
        <f t="array" aca="1" ref="D127" ca="1">IF(B127&lt;&gt;"",
IFERROR(MATCH(TRUE,ISNUMBER(INDIRECT("数出表_Excel【15時】!B"&amp;(A127+4)&amp;":ZZ"&amp;(A127+4))),0)+1,""),"")</f>
        <v/>
      </c>
      <c r="E127" t="str">
        <f ca="1">IF(D127&lt;&gt;"",
OFFSET(数出表_Excel【15時】!$A$1,2,D127-1)
&amp;IFERROR(OFFSET(数出表_Excel【15時】!$A$1,3,D127-1),"")
&amp;IFERROR(OFFSET(数出表_Excel【15時】!$A$1,4,D127-1),""),"")</f>
        <v/>
      </c>
      <c r="F127" t="str">
        <f ca="1">IF(D127&lt;&gt;"",
OFFSET(数出表_Excel【15時】!$A$1,A127+3,D127-1),"")</f>
        <v/>
      </c>
      <c r="G127" t="str">
        <f ca="1">IF(D127&lt;&gt;"",
IF(AND(OFFSET(数出表_Excel【15時】!$A$1,A127+3,D127)&lt;&gt;"",OFFSET(数出表_Excel【15時】!$A$1,A127+3,D127)&lt;&gt;0),
OFFSET(数出表_Excel【15時】!$A$1,A127+3,D127),""),"")</f>
        <v/>
      </c>
      <c r="H127" s="209" t="str">
        <f t="array" aca="1" ref="H127" ca="1">IF(B127&lt;&gt;"",
IFERROR(MATCH(TRUE,ISNUMBER(INDIRECT("数出表_Excel【15時】!"&amp;SUBSTITUTE(ADDRESS(1,D127+2,4),"1","")&amp;(A127+4)&amp;":ZZ"&amp;(A127+4))),0)+D127+1,""),"")</f>
        <v/>
      </c>
      <c r="I127" t="str">
        <f ca="1">IF(H127&lt;&gt;"",
OFFSET(数出表_Excel【15時】!$A$1,2,H127-1)
&amp;IFERROR(OFFSET(数出表_Excel【15時】!$A$1,3,H127-1),"")
&amp;IFERROR(OFFSET(数出表_Excel【15時】!$A$1,4,H127-1),""),"")</f>
        <v/>
      </c>
      <c r="J127" t="str">
        <f ca="1">IF(H127&lt;&gt;"",
OFFSET(数出表_Excel【15時】!$A$1,A127+3,H127-1),"")</f>
        <v/>
      </c>
      <c r="K127" t="str">
        <f ca="1">IF(H127&lt;&gt;"",
IF(AND(OFFSET(数出表_Excel【15時】!$A$1,A127+3,H127)&lt;&gt;"",OFFSET(数出表_Excel【15時】!$A$1,A127+3,H127)&lt;&gt;0),
OFFSET(数出表_Excel【15時】!$A$1,A127+3,H127),""),"")</f>
        <v/>
      </c>
      <c r="L127" s="209" t="str">
        <f t="array" aca="1" ref="L127" ca="1">IF(B127&lt;&gt;"",
IFERROR(MATCH(TRUE,ISNUMBER(INDIRECT("数出表_Excel【15時】!"&amp;SUBSTITUTE(ADDRESS(1,H127+2,4),"1","")&amp;(A127+4)&amp;":ZZ"&amp;(A127+4))),0)+H127+1,""),"")</f>
        <v/>
      </c>
      <c r="M127" t="str">
        <f ca="1">IF(L127&lt;&gt;"",
OFFSET(数出表_Excel【15時】!$A$1,2,L127-1)
&amp;IFERROR(OFFSET(数出表_Excel【15時】!$A$1,3,L127-1),"")
&amp;IFERROR(OFFSET(数出表_Excel【15時】!$A$1,4,L127-1),""),"")</f>
        <v/>
      </c>
      <c r="N127" t="str">
        <f ca="1">IF(L127&lt;&gt;"",
OFFSET(数出表_Excel【15時】!$A$1,A127+3,L127-1),"")</f>
        <v/>
      </c>
      <c r="O127" t="str">
        <f ca="1">IF(L127&lt;&gt;"",
IF(AND(OFFSET(数出表_Excel【15時】!$A$1,A127+3,L127)&lt;&gt;"",OFFSET(数出表_Excel【15時】!$A$1,A127+3,L127)&lt;&gt;0),
OFFSET(数出表_Excel【15時】!$A$1,A127+3,L127),""),"")</f>
        <v/>
      </c>
      <c r="AH127" t="str">
        <f t="array" aca="1" ref="AH127" ca="1">IFERROR(SMALL(IF(O$1:O$307&lt;&gt;0,O$1:O$307),ROW(AH127)),"")</f>
        <v/>
      </c>
      <c r="AI127" t="str">
        <f t="array" aca="1" ref="AI127" ca="1">IF($T127&lt;&gt;"",
SUBSTITUTE(SUBSTITUTE(INDIRECT("B"&amp;$T127&amp;"")," 週3ｺｰｽ","")," 週5ｺｰｽ",""),"")</f>
        <v/>
      </c>
    </row>
    <row r="128" spans="1:35">
      <c r="A128" t="str">
        <f t="shared" ca="1" si="1"/>
        <v/>
      </c>
      <c r="B128" t="str">
        <f t="array" aca="1" ref="B128" ca="1">IF(OR(COUNTIF(数出表_Excel【15時】!AO132,"*修正*"),COUNTIF(数出表_Excel【15時】!AO133,"*修正*")),
IF(ISEVEN(ROW()+4),INDIRECT("数出表_Excel【15時】!A"&amp;ROW()+4&amp;""),INDIRECT("数出表_Excel【15時】!A"&amp;ROW()+4-1&amp;"")),"")</f>
        <v/>
      </c>
      <c r="C128" t="str">
        <f t="array" aca="1" ref="C128" ca="1">IF(OR(COUNTIF(数出表_Excel【15時】!AO132,"*修正*"),COUNTIF(数出表_Excel【15時】!AO133,"*修正*")),
IF(ISEVEN(ROW()+4),INDIRECT("数出表_Excel【15時】!A"&amp;ROW()+4+1&amp;""),INDIRECT("数出表_Excel【15時】!A"&amp;ROW()+4&amp;"")),"")</f>
        <v/>
      </c>
      <c r="D128" s="209" t="str">
        <f t="array" aca="1" ref="D128" ca="1">IF(B128&lt;&gt;"",
IFERROR(MATCH(TRUE,ISNUMBER(INDIRECT("数出表_Excel【15時】!B"&amp;(A128+4)&amp;":ZZ"&amp;(A128+4))),0)+1,""),"")</f>
        <v/>
      </c>
      <c r="E128" t="str">
        <f ca="1">IF(D128&lt;&gt;"",
OFFSET(数出表_Excel【15時】!$A$1,2,D128-1)
&amp;IFERROR(OFFSET(数出表_Excel【15時】!$A$1,3,D128-1),"")
&amp;IFERROR(OFFSET(数出表_Excel【15時】!$A$1,4,D128-1),""),"")</f>
        <v/>
      </c>
      <c r="F128" t="str">
        <f ca="1">IF(D128&lt;&gt;"",
OFFSET(数出表_Excel【15時】!$A$1,A128+3,D128-1),"")</f>
        <v/>
      </c>
      <c r="G128" t="str">
        <f ca="1">IF(D128&lt;&gt;"",
IF(AND(OFFSET(数出表_Excel【15時】!$A$1,A128+3,D128)&lt;&gt;"",OFFSET(数出表_Excel【15時】!$A$1,A128+3,D128)&lt;&gt;0),
OFFSET(数出表_Excel【15時】!$A$1,A128+3,D128),""),"")</f>
        <v/>
      </c>
      <c r="H128" s="209" t="str">
        <f t="array" aca="1" ref="H128" ca="1">IF(B128&lt;&gt;"",
IFERROR(MATCH(TRUE,ISNUMBER(INDIRECT("数出表_Excel【15時】!"&amp;SUBSTITUTE(ADDRESS(1,D128+2,4),"1","")&amp;(A128+4)&amp;":ZZ"&amp;(A128+4))),0)+D128+1,""),"")</f>
        <v/>
      </c>
      <c r="I128" t="str">
        <f ca="1">IF(H128&lt;&gt;"",
OFFSET(数出表_Excel【15時】!$A$1,2,H128-1)
&amp;IFERROR(OFFSET(数出表_Excel【15時】!$A$1,3,H128-1),"")
&amp;IFERROR(OFFSET(数出表_Excel【15時】!$A$1,4,H128-1),""),"")</f>
        <v/>
      </c>
      <c r="J128" t="str">
        <f ca="1">IF(H128&lt;&gt;"",
OFFSET(数出表_Excel【15時】!$A$1,A128+3,H128-1),"")</f>
        <v/>
      </c>
      <c r="K128" t="str">
        <f ca="1">IF(H128&lt;&gt;"",
IF(AND(OFFSET(数出表_Excel【15時】!$A$1,A128+3,H128)&lt;&gt;"",OFFSET(数出表_Excel【15時】!$A$1,A128+3,H128)&lt;&gt;0),
OFFSET(数出表_Excel【15時】!$A$1,A128+3,H128),""),"")</f>
        <v/>
      </c>
      <c r="L128" s="209" t="str">
        <f t="array" aca="1" ref="L128" ca="1">IF(B128&lt;&gt;"",
IFERROR(MATCH(TRUE,ISNUMBER(INDIRECT("数出表_Excel【15時】!"&amp;SUBSTITUTE(ADDRESS(1,H128+2,4),"1","")&amp;(A128+4)&amp;":ZZ"&amp;(A128+4))),0)+H128+1,""),"")</f>
        <v/>
      </c>
      <c r="M128" t="str">
        <f ca="1">IF(L128&lt;&gt;"",
OFFSET(数出表_Excel【15時】!$A$1,2,L128-1)
&amp;IFERROR(OFFSET(数出表_Excel【15時】!$A$1,3,L128-1),"")
&amp;IFERROR(OFFSET(数出表_Excel【15時】!$A$1,4,L128-1),""),"")</f>
        <v/>
      </c>
      <c r="N128" t="str">
        <f ca="1">IF(L128&lt;&gt;"",
OFFSET(数出表_Excel【15時】!$A$1,A128+3,L128-1),"")</f>
        <v/>
      </c>
      <c r="O128" t="str">
        <f ca="1">IF(L128&lt;&gt;"",
IF(AND(OFFSET(数出表_Excel【15時】!$A$1,A128+3,L128)&lt;&gt;"",OFFSET(数出表_Excel【15時】!$A$1,A128+3,L128)&lt;&gt;0),
OFFSET(数出表_Excel【15時】!$A$1,A128+3,L128),""),"")</f>
        <v/>
      </c>
      <c r="Q128" t="str">
        <f ca="1">IF(C128&lt;&gt;"",
IF(E128&lt;&gt;"",1,0)+IF(I128&lt;&gt;"",1,0)+IF(M128&lt;&gt;"",1,0),"")</f>
        <v/>
      </c>
      <c r="AH128" t="str">
        <f t="array" aca="1" ref="AH128" ca="1">IFERROR(SMALL(IF(O$1:O$307&lt;&gt;0,O$1:O$307),ROW(AH128)),"")</f>
        <v/>
      </c>
      <c r="AI128" t="str">
        <f t="array" aca="1" ref="AI128" ca="1">IF($T128&lt;&gt;"",
SUBSTITUTE(SUBSTITUTE(INDIRECT("B"&amp;$T128&amp;"")," 週3ｺｰｽ","")," 週5ｺｰｽ",""),"")</f>
        <v/>
      </c>
    </row>
    <row r="129" spans="1:35">
      <c r="A129" t="str">
        <f t="shared" ca="1" si="1"/>
        <v/>
      </c>
      <c r="B129" t="str">
        <f t="array" aca="1" ref="B129" ca="1">IF(OR(COUNTIF(数出表_Excel【15時】!AO132,"*修正*"),COUNTIF(数出表_Excel【15時】!AO133,"*修正*")),
IF(ISEVEN(ROW()+4),INDIRECT("数出表_Excel【15時】!A"&amp;ROW()+4&amp;""),INDIRECT("数出表_Excel【15時】!A"&amp;ROW()+4-1&amp;"")),"")</f>
        <v/>
      </c>
      <c r="C129" t="str">
        <f t="array" aca="1" ref="C129" ca="1">IF(OR(COUNTIF(数出表_Excel【15時】!AO132,"*修正*"),COUNTIF(数出表_Excel【15時】!AO133,"*修正*")),
IF(ISEVEN(ROW()+4),INDIRECT("数出表_Excel【15時】!A"&amp;ROW()+4+1&amp;""),INDIRECT("数出表_Excel【15時】!A"&amp;ROW()+4&amp;"")),"")</f>
        <v/>
      </c>
      <c r="D129" s="209" t="str">
        <f t="array" aca="1" ref="D129" ca="1">IF(B129&lt;&gt;"",
IFERROR(MATCH(TRUE,ISNUMBER(INDIRECT("数出表_Excel【15時】!B"&amp;(A129+4)&amp;":ZZ"&amp;(A129+4))),0)+1,""),"")</f>
        <v/>
      </c>
      <c r="E129" t="str">
        <f ca="1">IF(D129&lt;&gt;"",
OFFSET(数出表_Excel【15時】!$A$1,2,D129-1)
&amp;IFERROR(OFFSET(数出表_Excel【15時】!$A$1,3,D129-1),"")
&amp;IFERROR(OFFSET(数出表_Excel【15時】!$A$1,4,D129-1),""),"")</f>
        <v/>
      </c>
      <c r="F129" t="str">
        <f ca="1">IF(D129&lt;&gt;"",
OFFSET(数出表_Excel【15時】!$A$1,A129+3,D129-1),"")</f>
        <v/>
      </c>
      <c r="G129" t="str">
        <f ca="1">IF(D129&lt;&gt;"",
IF(AND(OFFSET(数出表_Excel【15時】!$A$1,A129+3,D129)&lt;&gt;"",OFFSET(数出表_Excel【15時】!$A$1,A129+3,D129)&lt;&gt;0),
OFFSET(数出表_Excel【15時】!$A$1,A129+3,D129),""),"")</f>
        <v/>
      </c>
      <c r="H129" s="209" t="str">
        <f t="array" aca="1" ref="H129" ca="1">IF(B129&lt;&gt;"",
IFERROR(MATCH(TRUE,ISNUMBER(INDIRECT("数出表_Excel【15時】!"&amp;SUBSTITUTE(ADDRESS(1,D129+2,4),"1","")&amp;(A129+4)&amp;":ZZ"&amp;(A129+4))),0)+D129+1,""),"")</f>
        <v/>
      </c>
      <c r="I129" t="str">
        <f ca="1">IF(H129&lt;&gt;"",
OFFSET(数出表_Excel【15時】!$A$1,2,H129-1)
&amp;IFERROR(OFFSET(数出表_Excel【15時】!$A$1,3,H129-1),"")
&amp;IFERROR(OFFSET(数出表_Excel【15時】!$A$1,4,H129-1),""),"")</f>
        <v/>
      </c>
      <c r="J129" t="str">
        <f ca="1">IF(H129&lt;&gt;"",
OFFSET(数出表_Excel【15時】!$A$1,A129+3,H129-1),"")</f>
        <v/>
      </c>
      <c r="K129" t="str">
        <f ca="1">IF(H129&lt;&gt;"",
IF(AND(OFFSET(数出表_Excel【15時】!$A$1,A129+3,H129)&lt;&gt;"",OFFSET(数出表_Excel【15時】!$A$1,A129+3,H129)&lt;&gt;0),
OFFSET(数出表_Excel【15時】!$A$1,A129+3,H129),""),"")</f>
        <v/>
      </c>
      <c r="L129" s="209" t="str">
        <f t="array" aca="1" ref="L129" ca="1">IF(B129&lt;&gt;"",
IFERROR(MATCH(TRUE,ISNUMBER(INDIRECT("数出表_Excel【15時】!"&amp;SUBSTITUTE(ADDRESS(1,H129+2,4),"1","")&amp;(A129+4)&amp;":ZZ"&amp;(A129+4))),0)+H129+1,""),"")</f>
        <v/>
      </c>
      <c r="M129" t="str">
        <f ca="1">IF(L129&lt;&gt;"",
OFFSET(数出表_Excel【15時】!$A$1,2,L129-1)
&amp;IFERROR(OFFSET(数出表_Excel【15時】!$A$1,3,L129-1),"")
&amp;IFERROR(OFFSET(数出表_Excel【15時】!$A$1,4,L129-1),""),"")</f>
        <v/>
      </c>
      <c r="N129" t="str">
        <f ca="1">IF(L129&lt;&gt;"",
OFFSET(数出表_Excel【15時】!$A$1,A129+3,L129-1),"")</f>
        <v/>
      </c>
      <c r="O129" t="str">
        <f ca="1">IF(L129&lt;&gt;"",
IF(AND(OFFSET(数出表_Excel【15時】!$A$1,A129+3,L129)&lt;&gt;"",OFFSET(数出表_Excel【15時】!$A$1,A129+3,L129)&lt;&gt;0),
OFFSET(数出表_Excel【15時】!$A$1,A129+3,L129),""),"")</f>
        <v/>
      </c>
      <c r="AH129" t="str">
        <f t="array" aca="1" ref="AH129" ca="1">IFERROR(SMALL(IF(O$1:O$307&lt;&gt;0,O$1:O$307),ROW(AH129)),"")</f>
        <v/>
      </c>
      <c r="AI129" t="str">
        <f t="array" aca="1" ref="AI129" ca="1">IF($T129&lt;&gt;"",
SUBSTITUTE(SUBSTITUTE(INDIRECT("B"&amp;$T129&amp;"")," 週3ｺｰｽ","")," 週5ｺｰｽ",""),"")</f>
        <v/>
      </c>
    </row>
    <row r="130" spans="1:35">
      <c r="A130" t="str">
        <f t="shared" ref="A130:A193" ca="1" si="2">IF(B130&lt;&gt;"",
ROW(),"")</f>
        <v/>
      </c>
      <c r="B130" t="str">
        <f t="array" aca="1" ref="B130" ca="1">IF(OR(COUNTIF(数出表_Excel【15時】!AO134,"*修正*"),COUNTIF(数出表_Excel【15時】!AO135,"*修正*")),
IF(ISEVEN(ROW()+4),INDIRECT("数出表_Excel【15時】!A"&amp;ROW()+4&amp;""),INDIRECT("数出表_Excel【15時】!A"&amp;ROW()+4-1&amp;"")),"")</f>
        <v/>
      </c>
      <c r="C130" t="str">
        <f t="array" aca="1" ref="C130" ca="1">IF(OR(COUNTIF(数出表_Excel【15時】!AO134,"*修正*"),COUNTIF(数出表_Excel【15時】!AO135,"*修正*")),
IF(ISEVEN(ROW()+4),INDIRECT("数出表_Excel【15時】!A"&amp;ROW()+4+1&amp;""),INDIRECT("数出表_Excel【15時】!A"&amp;ROW()+4&amp;"")),"")</f>
        <v/>
      </c>
      <c r="D130" s="209" t="str">
        <f t="array" aca="1" ref="D130" ca="1">IF(B130&lt;&gt;"",
IFERROR(MATCH(TRUE,ISNUMBER(INDIRECT("数出表_Excel【15時】!B"&amp;(A130+4)&amp;":ZZ"&amp;(A130+4))),0)+1,""),"")</f>
        <v/>
      </c>
      <c r="E130" t="str">
        <f ca="1">IF(D130&lt;&gt;"",
OFFSET(数出表_Excel【15時】!$A$1,2,D130-1)
&amp;IFERROR(OFFSET(数出表_Excel【15時】!$A$1,3,D130-1),"")
&amp;IFERROR(OFFSET(数出表_Excel【15時】!$A$1,4,D130-1),""),"")</f>
        <v/>
      </c>
      <c r="F130" t="str">
        <f ca="1">IF(D130&lt;&gt;"",
OFFSET(数出表_Excel【15時】!$A$1,A130+3,D130-1),"")</f>
        <v/>
      </c>
      <c r="G130" t="str">
        <f ca="1">IF(D130&lt;&gt;"",
IF(AND(OFFSET(数出表_Excel【15時】!$A$1,A130+3,D130)&lt;&gt;"",OFFSET(数出表_Excel【15時】!$A$1,A130+3,D130)&lt;&gt;0),
OFFSET(数出表_Excel【15時】!$A$1,A130+3,D130),""),"")</f>
        <v/>
      </c>
      <c r="H130" s="209" t="str">
        <f t="array" aca="1" ref="H130" ca="1">IF(B130&lt;&gt;"",
IFERROR(MATCH(TRUE,ISNUMBER(INDIRECT("数出表_Excel【15時】!"&amp;SUBSTITUTE(ADDRESS(1,D130+2,4),"1","")&amp;(A130+4)&amp;":ZZ"&amp;(A130+4))),0)+D130+1,""),"")</f>
        <v/>
      </c>
      <c r="I130" t="str">
        <f ca="1">IF(H130&lt;&gt;"",
OFFSET(数出表_Excel【15時】!$A$1,2,H130-1)
&amp;IFERROR(OFFSET(数出表_Excel【15時】!$A$1,3,H130-1),"")
&amp;IFERROR(OFFSET(数出表_Excel【15時】!$A$1,4,H130-1),""),"")</f>
        <v/>
      </c>
      <c r="J130" t="str">
        <f ca="1">IF(H130&lt;&gt;"",
OFFSET(数出表_Excel【15時】!$A$1,A130+3,H130-1),"")</f>
        <v/>
      </c>
      <c r="K130" t="str">
        <f ca="1">IF(H130&lt;&gt;"",
IF(AND(OFFSET(数出表_Excel【15時】!$A$1,A130+3,H130)&lt;&gt;"",OFFSET(数出表_Excel【15時】!$A$1,A130+3,H130)&lt;&gt;0),
OFFSET(数出表_Excel【15時】!$A$1,A130+3,H130),""),"")</f>
        <v/>
      </c>
      <c r="L130" s="209" t="str">
        <f t="array" aca="1" ref="L130" ca="1">IF(B130&lt;&gt;"",
IFERROR(MATCH(TRUE,ISNUMBER(INDIRECT("数出表_Excel【15時】!"&amp;SUBSTITUTE(ADDRESS(1,H130+2,4),"1","")&amp;(A130+4)&amp;":ZZ"&amp;(A130+4))),0)+H130+1,""),"")</f>
        <v/>
      </c>
      <c r="M130" t="str">
        <f ca="1">IF(L130&lt;&gt;"",
OFFSET(数出表_Excel【15時】!$A$1,2,L130-1)
&amp;IFERROR(OFFSET(数出表_Excel【15時】!$A$1,3,L130-1),"")
&amp;IFERROR(OFFSET(数出表_Excel【15時】!$A$1,4,L130-1),""),"")</f>
        <v/>
      </c>
      <c r="N130" t="str">
        <f ca="1">IF(L130&lt;&gt;"",
OFFSET(数出表_Excel【15時】!$A$1,A130+3,L130-1),"")</f>
        <v/>
      </c>
      <c r="O130" t="str">
        <f ca="1">IF(L130&lt;&gt;"",
IF(AND(OFFSET(数出表_Excel【15時】!$A$1,A130+3,L130)&lt;&gt;"",OFFSET(数出表_Excel【15時】!$A$1,A130+3,L130)&lt;&gt;0),
OFFSET(数出表_Excel【15時】!$A$1,A130+3,L130),""),"")</f>
        <v/>
      </c>
      <c r="Q130" t="str">
        <f ca="1">IF(C130&lt;&gt;"",
IF(E130&lt;&gt;"",1,0)+IF(I130&lt;&gt;"",1,0)+IF(M130&lt;&gt;"",1,0),"")</f>
        <v/>
      </c>
      <c r="AH130" t="str">
        <f t="array" aca="1" ref="AH130" ca="1">IFERROR(SMALL(IF(O$1:O$307&lt;&gt;0,O$1:O$307),ROW(AH130)),"")</f>
        <v/>
      </c>
      <c r="AI130" t="str">
        <f t="array" aca="1" ref="AI130" ca="1">IF($T130&lt;&gt;"",
SUBSTITUTE(SUBSTITUTE(INDIRECT("B"&amp;$T130&amp;"")," 週3ｺｰｽ","")," 週5ｺｰｽ",""),"")</f>
        <v/>
      </c>
    </row>
    <row r="131" spans="1:35">
      <c r="A131" t="str">
        <f t="shared" ca="1" si="2"/>
        <v/>
      </c>
      <c r="B131" t="str">
        <f t="array" aca="1" ref="B131" ca="1">IF(OR(COUNTIF(数出表_Excel【15時】!AO134,"*修正*"),COUNTIF(数出表_Excel【15時】!AO135,"*修正*")),
IF(ISEVEN(ROW()+4),INDIRECT("数出表_Excel【15時】!A"&amp;ROW()+4&amp;""),INDIRECT("数出表_Excel【15時】!A"&amp;ROW()+4-1&amp;"")),"")</f>
        <v/>
      </c>
      <c r="C131" t="str">
        <f t="array" aca="1" ref="C131" ca="1">IF(OR(COUNTIF(数出表_Excel【15時】!AO134,"*修正*"),COUNTIF(数出表_Excel【15時】!AO135,"*修正*")),
IF(ISEVEN(ROW()+4),INDIRECT("数出表_Excel【15時】!A"&amp;ROW()+4+1&amp;""),INDIRECT("数出表_Excel【15時】!A"&amp;ROW()+4&amp;"")),"")</f>
        <v/>
      </c>
      <c r="D131" s="209" t="str">
        <f t="array" aca="1" ref="D131" ca="1">IF(B131&lt;&gt;"",
IFERROR(MATCH(TRUE,ISNUMBER(INDIRECT("数出表_Excel【15時】!B"&amp;(A131+4)&amp;":ZZ"&amp;(A131+4))),0)+1,""),"")</f>
        <v/>
      </c>
      <c r="E131" t="str">
        <f ca="1">IF(D131&lt;&gt;"",
OFFSET(数出表_Excel【15時】!$A$1,2,D131-1)
&amp;IFERROR(OFFSET(数出表_Excel【15時】!$A$1,3,D131-1),"")
&amp;IFERROR(OFFSET(数出表_Excel【15時】!$A$1,4,D131-1),""),"")</f>
        <v/>
      </c>
      <c r="F131" t="str">
        <f ca="1">IF(D131&lt;&gt;"",
OFFSET(数出表_Excel【15時】!$A$1,A131+3,D131-1),"")</f>
        <v/>
      </c>
      <c r="G131" t="str">
        <f ca="1">IF(D131&lt;&gt;"",
IF(AND(OFFSET(数出表_Excel【15時】!$A$1,A131+3,D131)&lt;&gt;"",OFFSET(数出表_Excel【15時】!$A$1,A131+3,D131)&lt;&gt;0),
OFFSET(数出表_Excel【15時】!$A$1,A131+3,D131),""),"")</f>
        <v/>
      </c>
      <c r="H131" s="209" t="str">
        <f t="array" aca="1" ref="H131" ca="1">IF(B131&lt;&gt;"",
IFERROR(MATCH(TRUE,ISNUMBER(INDIRECT("数出表_Excel【15時】!"&amp;SUBSTITUTE(ADDRESS(1,D131+2,4),"1","")&amp;(A131+4)&amp;":ZZ"&amp;(A131+4))),0)+D131+1,""),"")</f>
        <v/>
      </c>
      <c r="I131" t="str">
        <f ca="1">IF(H131&lt;&gt;"",
OFFSET(数出表_Excel【15時】!$A$1,2,H131-1)
&amp;IFERROR(OFFSET(数出表_Excel【15時】!$A$1,3,H131-1),"")
&amp;IFERROR(OFFSET(数出表_Excel【15時】!$A$1,4,H131-1),""),"")</f>
        <v/>
      </c>
      <c r="J131" t="str">
        <f ca="1">IF(H131&lt;&gt;"",
OFFSET(数出表_Excel【15時】!$A$1,A131+3,H131-1),"")</f>
        <v/>
      </c>
      <c r="K131" t="str">
        <f ca="1">IF(H131&lt;&gt;"",
IF(AND(OFFSET(数出表_Excel【15時】!$A$1,A131+3,H131)&lt;&gt;"",OFFSET(数出表_Excel【15時】!$A$1,A131+3,H131)&lt;&gt;0),
OFFSET(数出表_Excel【15時】!$A$1,A131+3,H131),""),"")</f>
        <v/>
      </c>
      <c r="L131" s="209" t="str">
        <f t="array" aca="1" ref="L131" ca="1">IF(B131&lt;&gt;"",
IFERROR(MATCH(TRUE,ISNUMBER(INDIRECT("数出表_Excel【15時】!"&amp;SUBSTITUTE(ADDRESS(1,H131+2,4),"1","")&amp;(A131+4)&amp;":ZZ"&amp;(A131+4))),0)+H131+1,""),"")</f>
        <v/>
      </c>
      <c r="M131" t="str">
        <f ca="1">IF(L131&lt;&gt;"",
OFFSET(数出表_Excel【15時】!$A$1,2,L131-1)
&amp;IFERROR(OFFSET(数出表_Excel【15時】!$A$1,3,L131-1),"")
&amp;IFERROR(OFFSET(数出表_Excel【15時】!$A$1,4,L131-1),""),"")</f>
        <v/>
      </c>
      <c r="N131" t="str">
        <f ca="1">IF(L131&lt;&gt;"",
OFFSET(数出表_Excel【15時】!$A$1,A131+3,L131-1),"")</f>
        <v/>
      </c>
      <c r="O131" t="str">
        <f ca="1">IF(L131&lt;&gt;"",
IF(AND(OFFSET(数出表_Excel【15時】!$A$1,A131+3,L131)&lt;&gt;"",OFFSET(数出表_Excel【15時】!$A$1,A131+3,L131)&lt;&gt;0),
OFFSET(数出表_Excel【15時】!$A$1,A131+3,L131),""),"")</f>
        <v/>
      </c>
      <c r="AH131" t="str">
        <f t="array" aca="1" ref="AH131" ca="1">IFERROR(SMALL(IF(O$1:O$307&lt;&gt;0,O$1:O$307),ROW(AH131)),"")</f>
        <v/>
      </c>
      <c r="AI131" t="str">
        <f t="array" aca="1" ref="AI131" ca="1">IF($T131&lt;&gt;"",
SUBSTITUTE(SUBSTITUTE(INDIRECT("B"&amp;$T131&amp;"")," 週3ｺｰｽ","")," 週5ｺｰｽ",""),"")</f>
        <v/>
      </c>
    </row>
    <row r="132" spans="1:35">
      <c r="A132" t="str">
        <f t="shared" ca="1" si="2"/>
        <v/>
      </c>
      <c r="B132" t="str">
        <f t="array" aca="1" ref="B132" ca="1">IF(OR(COUNTIF(数出表_Excel【15時】!AO136,"*修正*"),COUNTIF(数出表_Excel【15時】!AO137,"*修正*")),
IF(ISEVEN(ROW()+4),INDIRECT("数出表_Excel【15時】!A"&amp;ROW()+4&amp;""),INDIRECT("数出表_Excel【15時】!A"&amp;ROW()+4-1&amp;"")),"")</f>
        <v/>
      </c>
      <c r="C132" t="str">
        <f t="array" aca="1" ref="C132" ca="1">IF(OR(COUNTIF(数出表_Excel【15時】!AO136,"*修正*"),COUNTIF(数出表_Excel【15時】!AO137,"*修正*")),
IF(ISEVEN(ROW()+4),INDIRECT("数出表_Excel【15時】!A"&amp;ROW()+4+1&amp;""),INDIRECT("数出表_Excel【15時】!A"&amp;ROW()+4&amp;"")),"")</f>
        <v/>
      </c>
      <c r="D132" s="209" t="str">
        <f t="array" aca="1" ref="D132" ca="1">IF(B132&lt;&gt;"",
IFERROR(MATCH(TRUE,ISNUMBER(INDIRECT("数出表_Excel【15時】!B"&amp;(A132+4)&amp;":ZZ"&amp;(A132+4))),0)+1,""),"")</f>
        <v/>
      </c>
      <c r="E132" t="str">
        <f ca="1">IF(D132&lt;&gt;"",
OFFSET(数出表_Excel【15時】!$A$1,2,D132-1)
&amp;IFERROR(OFFSET(数出表_Excel【15時】!$A$1,3,D132-1),"")
&amp;IFERROR(OFFSET(数出表_Excel【15時】!$A$1,4,D132-1),""),"")</f>
        <v/>
      </c>
      <c r="F132" t="str">
        <f ca="1">IF(D132&lt;&gt;"",
OFFSET(数出表_Excel【15時】!$A$1,A132+3,D132-1),"")</f>
        <v/>
      </c>
      <c r="G132" t="str">
        <f ca="1">IF(D132&lt;&gt;"",
IF(AND(OFFSET(数出表_Excel【15時】!$A$1,A132+3,D132)&lt;&gt;"",OFFSET(数出表_Excel【15時】!$A$1,A132+3,D132)&lt;&gt;0),
OFFSET(数出表_Excel【15時】!$A$1,A132+3,D132),""),"")</f>
        <v/>
      </c>
      <c r="H132" s="209" t="str">
        <f t="array" aca="1" ref="H132" ca="1">IF(B132&lt;&gt;"",
IFERROR(MATCH(TRUE,ISNUMBER(INDIRECT("数出表_Excel【15時】!"&amp;SUBSTITUTE(ADDRESS(1,D132+2,4),"1","")&amp;(A132+4)&amp;":ZZ"&amp;(A132+4))),0)+D132+1,""),"")</f>
        <v/>
      </c>
      <c r="I132" t="str">
        <f ca="1">IF(H132&lt;&gt;"",
OFFSET(数出表_Excel【15時】!$A$1,2,H132-1)
&amp;IFERROR(OFFSET(数出表_Excel【15時】!$A$1,3,H132-1),"")
&amp;IFERROR(OFFSET(数出表_Excel【15時】!$A$1,4,H132-1),""),"")</f>
        <v/>
      </c>
      <c r="J132" t="str">
        <f ca="1">IF(H132&lt;&gt;"",
OFFSET(数出表_Excel【15時】!$A$1,A132+3,H132-1),"")</f>
        <v/>
      </c>
      <c r="K132" t="str">
        <f ca="1">IF(H132&lt;&gt;"",
IF(AND(OFFSET(数出表_Excel【15時】!$A$1,A132+3,H132)&lt;&gt;"",OFFSET(数出表_Excel【15時】!$A$1,A132+3,H132)&lt;&gt;0),
OFFSET(数出表_Excel【15時】!$A$1,A132+3,H132),""),"")</f>
        <v/>
      </c>
      <c r="L132" s="209" t="str">
        <f t="array" aca="1" ref="L132" ca="1">IF(B132&lt;&gt;"",
IFERROR(MATCH(TRUE,ISNUMBER(INDIRECT("数出表_Excel【15時】!"&amp;SUBSTITUTE(ADDRESS(1,H132+2,4),"1","")&amp;(A132+4)&amp;":ZZ"&amp;(A132+4))),0)+H132+1,""),"")</f>
        <v/>
      </c>
      <c r="M132" t="str">
        <f ca="1">IF(L132&lt;&gt;"",
OFFSET(数出表_Excel【15時】!$A$1,2,L132-1)
&amp;IFERROR(OFFSET(数出表_Excel【15時】!$A$1,3,L132-1),"")
&amp;IFERROR(OFFSET(数出表_Excel【15時】!$A$1,4,L132-1),""),"")</f>
        <v/>
      </c>
      <c r="N132" t="str">
        <f ca="1">IF(L132&lt;&gt;"",
OFFSET(数出表_Excel【15時】!$A$1,A132+3,L132-1),"")</f>
        <v/>
      </c>
      <c r="O132" t="str">
        <f ca="1">IF(L132&lt;&gt;"",
IF(AND(OFFSET(数出表_Excel【15時】!$A$1,A132+3,L132)&lt;&gt;"",OFFSET(数出表_Excel【15時】!$A$1,A132+3,L132)&lt;&gt;0),
OFFSET(数出表_Excel【15時】!$A$1,A132+3,L132),""),"")</f>
        <v/>
      </c>
      <c r="Q132" t="str">
        <f ca="1">IF(C132&lt;&gt;"",
IF(E132&lt;&gt;"",1,0)+IF(I132&lt;&gt;"",1,0)+IF(M132&lt;&gt;"",1,0),"")</f>
        <v/>
      </c>
      <c r="AH132" t="str">
        <f t="array" aca="1" ref="AH132" ca="1">IFERROR(SMALL(IF(O$1:O$307&lt;&gt;0,O$1:O$307),ROW(AH132)),"")</f>
        <v/>
      </c>
      <c r="AI132" t="str">
        <f t="array" aca="1" ref="AI132" ca="1">IF($T132&lt;&gt;"",
SUBSTITUTE(SUBSTITUTE(INDIRECT("B"&amp;$T132&amp;"")," 週3ｺｰｽ","")," 週5ｺｰｽ",""),"")</f>
        <v/>
      </c>
    </row>
    <row r="133" spans="1:35">
      <c r="A133" t="str">
        <f t="shared" ca="1" si="2"/>
        <v/>
      </c>
      <c r="B133" t="str">
        <f t="array" aca="1" ref="B133" ca="1">IF(OR(COUNTIF(数出表_Excel【15時】!AO136,"*修正*"),COUNTIF(数出表_Excel【15時】!AO137,"*修正*")),
IF(ISEVEN(ROW()+4),INDIRECT("数出表_Excel【15時】!A"&amp;ROW()+4&amp;""),INDIRECT("数出表_Excel【15時】!A"&amp;ROW()+4-1&amp;"")),"")</f>
        <v/>
      </c>
      <c r="C133" t="str">
        <f t="array" aca="1" ref="C133" ca="1">IF(OR(COUNTIF(数出表_Excel【15時】!AO136,"*修正*"),COUNTIF(数出表_Excel【15時】!AO137,"*修正*")),
IF(ISEVEN(ROW()+4),INDIRECT("数出表_Excel【15時】!A"&amp;ROW()+4+1&amp;""),INDIRECT("数出表_Excel【15時】!A"&amp;ROW()+4&amp;"")),"")</f>
        <v/>
      </c>
      <c r="D133" s="209" t="str">
        <f t="array" aca="1" ref="D133" ca="1">IF(B133&lt;&gt;"",
IFERROR(MATCH(TRUE,ISNUMBER(INDIRECT("数出表_Excel【15時】!B"&amp;(A133+4)&amp;":ZZ"&amp;(A133+4))),0)+1,""),"")</f>
        <v/>
      </c>
      <c r="E133" t="str">
        <f ca="1">IF(D133&lt;&gt;"",
OFFSET(数出表_Excel【15時】!$A$1,2,D133-1)
&amp;IFERROR(OFFSET(数出表_Excel【15時】!$A$1,3,D133-1),"")
&amp;IFERROR(OFFSET(数出表_Excel【15時】!$A$1,4,D133-1),""),"")</f>
        <v/>
      </c>
      <c r="F133" t="str">
        <f ca="1">IF(D133&lt;&gt;"",
OFFSET(数出表_Excel【15時】!$A$1,A133+3,D133-1),"")</f>
        <v/>
      </c>
      <c r="G133" t="str">
        <f ca="1">IF(D133&lt;&gt;"",
IF(AND(OFFSET(数出表_Excel【15時】!$A$1,A133+3,D133)&lt;&gt;"",OFFSET(数出表_Excel【15時】!$A$1,A133+3,D133)&lt;&gt;0),
OFFSET(数出表_Excel【15時】!$A$1,A133+3,D133),""),"")</f>
        <v/>
      </c>
      <c r="H133" s="209" t="str">
        <f t="array" aca="1" ref="H133" ca="1">IF(B133&lt;&gt;"",
IFERROR(MATCH(TRUE,ISNUMBER(INDIRECT("数出表_Excel【15時】!"&amp;SUBSTITUTE(ADDRESS(1,D133+2,4),"1","")&amp;(A133+4)&amp;":ZZ"&amp;(A133+4))),0)+D133+1,""),"")</f>
        <v/>
      </c>
      <c r="I133" t="str">
        <f ca="1">IF(H133&lt;&gt;"",
OFFSET(数出表_Excel【15時】!$A$1,2,H133-1)
&amp;IFERROR(OFFSET(数出表_Excel【15時】!$A$1,3,H133-1),"")
&amp;IFERROR(OFFSET(数出表_Excel【15時】!$A$1,4,H133-1),""),"")</f>
        <v/>
      </c>
      <c r="J133" t="str">
        <f ca="1">IF(H133&lt;&gt;"",
OFFSET(数出表_Excel【15時】!$A$1,A133+3,H133-1),"")</f>
        <v/>
      </c>
      <c r="K133" t="str">
        <f ca="1">IF(H133&lt;&gt;"",
IF(AND(OFFSET(数出表_Excel【15時】!$A$1,A133+3,H133)&lt;&gt;"",OFFSET(数出表_Excel【15時】!$A$1,A133+3,H133)&lt;&gt;0),
OFFSET(数出表_Excel【15時】!$A$1,A133+3,H133),""),"")</f>
        <v/>
      </c>
      <c r="L133" s="209" t="str">
        <f t="array" aca="1" ref="L133" ca="1">IF(B133&lt;&gt;"",
IFERROR(MATCH(TRUE,ISNUMBER(INDIRECT("数出表_Excel【15時】!"&amp;SUBSTITUTE(ADDRESS(1,H133+2,4),"1","")&amp;(A133+4)&amp;":ZZ"&amp;(A133+4))),0)+H133+1,""),"")</f>
        <v/>
      </c>
      <c r="M133" t="str">
        <f ca="1">IF(L133&lt;&gt;"",
OFFSET(数出表_Excel【15時】!$A$1,2,L133-1)
&amp;IFERROR(OFFSET(数出表_Excel【15時】!$A$1,3,L133-1),"")
&amp;IFERROR(OFFSET(数出表_Excel【15時】!$A$1,4,L133-1),""),"")</f>
        <v/>
      </c>
      <c r="N133" t="str">
        <f ca="1">IF(L133&lt;&gt;"",
OFFSET(数出表_Excel【15時】!$A$1,A133+3,L133-1),"")</f>
        <v/>
      </c>
      <c r="O133" t="str">
        <f ca="1">IF(L133&lt;&gt;"",
IF(AND(OFFSET(数出表_Excel【15時】!$A$1,A133+3,L133)&lt;&gt;"",OFFSET(数出表_Excel【15時】!$A$1,A133+3,L133)&lt;&gt;0),
OFFSET(数出表_Excel【15時】!$A$1,A133+3,L133),""),"")</f>
        <v/>
      </c>
      <c r="AH133" t="str">
        <f t="array" aca="1" ref="AH133" ca="1">IFERROR(SMALL(IF(O$1:O$307&lt;&gt;0,O$1:O$307),ROW(AH133)),"")</f>
        <v/>
      </c>
      <c r="AI133" t="str">
        <f t="array" aca="1" ref="AI133" ca="1">IF($T133&lt;&gt;"",
SUBSTITUTE(SUBSTITUTE(INDIRECT("B"&amp;$T133&amp;"")," 週3ｺｰｽ","")," 週5ｺｰｽ",""),"")</f>
        <v/>
      </c>
    </row>
    <row r="134" spans="1:35">
      <c r="A134" t="str">
        <f t="shared" ca="1" si="2"/>
        <v/>
      </c>
      <c r="B134" t="str">
        <f t="array" aca="1" ref="B134" ca="1">IF(OR(COUNTIF(数出表_Excel【15時】!AO138,"*修正*"),COUNTIF(数出表_Excel【15時】!AO139,"*修正*")),
IF(ISEVEN(ROW()+4),INDIRECT("数出表_Excel【15時】!A"&amp;ROW()+4&amp;""),INDIRECT("数出表_Excel【15時】!A"&amp;ROW()+4-1&amp;"")),"")</f>
        <v/>
      </c>
      <c r="C134" t="str">
        <f t="array" aca="1" ref="C134" ca="1">IF(OR(COUNTIF(数出表_Excel【15時】!AO138,"*修正*"),COUNTIF(数出表_Excel【15時】!AO139,"*修正*")),
IF(ISEVEN(ROW()+4),INDIRECT("数出表_Excel【15時】!A"&amp;ROW()+4+1&amp;""),INDIRECT("数出表_Excel【15時】!A"&amp;ROW()+4&amp;"")),"")</f>
        <v/>
      </c>
      <c r="D134" s="209" t="str">
        <f t="array" aca="1" ref="D134" ca="1">IF(B134&lt;&gt;"",
IFERROR(MATCH(TRUE,ISNUMBER(INDIRECT("数出表_Excel【15時】!B"&amp;(A134+4)&amp;":ZZ"&amp;(A134+4))),0)+1,""),"")</f>
        <v/>
      </c>
      <c r="E134" t="str">
        <f ca="1">IF(D134&lt;&gt;"",
OFFSET(数出表_Excel【15時】!$A$1,2,D134-1)
&amp;IFERROR(OFFSET(数出表_Excel【15時】!$A$1,3,D134-1),"")
&amp;IFERROR(OFFSET(数出表_Excel【15時】!$A$1,4,D134-1),""),"")</f>
        <v/>
      </c>
      <c r="F134" t="str">
        <f ca="1">IF(D134&lt;&gt;"",
OFFSET(数出表_Excel【15時】!$A$1,A134+3,D134-1),"")</f>
        <v/>
      </c>
      <c r="G134" t="str">
        <f ca="1">IF(D134&lt;&gt;"",
IF(AND(OFFSET(数出表_Excel【15時】!$A$1,A134+3,D134)&lt;&gt;"",OFFSET(数出表_Excel【15時】!$A$1,A134+3,D134)&lt;&gt;0),
OFFSET(数出表_Excel【15時】!$A$1,A134+3,D134),""),"")</f>
        <v/>
      </c>
      <c r="H134" s="209" t="str">
        <f t="array" aca="1" ref="H134" ca="1">IF(B134&lt;&gt;"",
IFERROR(MATCH(TRUE,ISNUMBER(INDIRECT("数出表_Excel【15時】!"&amp;SUBSTITUTE(ADDRESS(1,D134+2,4),"1","")&amp;(A134+4)&amp;":ZZ"&amp;(A134+4))),0)+D134+1,""),"")</f>
        <v/>
      </c>
      <c r="I134" t="str">
        <f ca="1">IF(H134&lt;&gt;"",
OFFSET(数出表_Excel【15時】!$A$1,2,H134-1)
&amp;IFERROR(OFFSET(数出表_Excel【15時】!$A$1,3,H134-1),"")
&amp;IFERROR(OFFSET(数出表_Excel【15時】!$A$1,4,H134-1),""),"")</f>
        <v/>
      </c>
      <c r="J134" t="str">
        <f ca="1">IF(H134&lt;&gt;"",
OFFSET(数出表_Excel【15時】!$A$1,A134+3,H134-1),"")</f>
        <v/>
      </c>
      <c r="K134" t="str">
        <f ca="1">IF(H134&lt;&gt;"",
IF(AND(OFFSET(数出表_Excel【15時】!$A$1,A134+3,H134)&lt;&gt;"",OFFSET(数出表_Excel【15時】!$A$1,A134+3,H134)&lt;&gt;0),
OFFSET(数出表_Excel【15時】!$A$1,A134+3,H134),""),"")</f>
        <v/>
      </c>
      <c r="L134" s="209" t="str">
        <f t="array" aca="1" ref="L134" ca="1">IF(B134&lt;&gt;"",
IFERROR(MATCH(TRUE,ISNUMBER(INDIRECT("数出表_Excel【15時】!"&amp;SUBSTITUTE(ADDRESS(1,H134+2,4),"1","")&amp;(A134+4)&amp;":ZZ"&amp;(A134+4))),0)+H134+1,""),"")</f>
        <v/>
      </c>
      <c r="M134" t="str">
        <f ca="1">IF(L134&lt;&gt;"",
OFFSET(数出表_Excel【15時】!$A$1,2,L134-1)
&amp;IFERROR(OFFSET(数出表_Excel【15時】!$A$1,3,L134-1),"")
&amp;IFERROR(OFFSET(数出表_Excel【15時】!$A$1,4,L134-1),""),"")</f>
        <v/>
      </c>
      <c r="N134" t="str">
        <f ca="1">IF(L134&lt;&gt;"",
OFFSET(数出表_Excel【15時】!$A$1,A134+3,L134-1),"")</f>
        <v/>
      </c>
      <c r="O134" t="str">
        <f ca="1">IF(L134&lt;&gt;"",
IF(AND(OFFSET(数出表_Excel【15時】!$A$1,A134+3,L134)&lt;&gt;"",OFFSET(数出表_Excel【15時】!$A$1,A134+3,L134)&lt;&gt;0),
OFFSET(数出表_Excel【15時】!$A$1,A134+3,L134),""),"")</f>
        <v/>
      </c>
      <c r="Q134" t="str">
        <f ca="1">IF(C134&lt;&gt;"",
IF(E134&lt;&gt;"",1,0)+IF(I134&lt;&gt;"",1,0)+IF(M134&lt;&gt;"",1,0),"")</f>
        <v/>
      </c>
      <c r="AH134" t="str">
        <f t="array" aca="1" ref="AH134" ca="1">IFERROR(SMALL(IF(O$1:O$307&lt;&gt;0,O$1:O$307),ROW(AH134)),"")</f>
        <v/>
      </c>
      <c r="AI134" t="str">
        <f t="array" aca="1" ref="AI134" ca="1">IF($T134&lt;&gt;"",
SUBSTITUTE(SUBSTITUTE(INDIRECT("B"&amp;$T134&amp;"")," 週3ｺｰｽ","")," 週5ｺｰｽ",""),"")</f>
        <v/>
      </c>
    </row>
    <row r="135" spans="1:35">
      <c r="A135" t="str">
        <f t="shared" ca="1" si="2"/>
        <v/>
      </c>
      <c r="B135" t="str">
        <f t="array" aca="1" ref="B135" ca="1">IF(OR(COUNTIF(数出表_Excel【15時】!AO138,"*修正*"),COUNTIF(数出表_Excel【15時】!AO139,"*修正*")),
IF(ISEVEN(ROW()+4),INDIRECT("数出表_Excel【15時】!A"&amp;ROW()+4&amp;""),INDIRECT("数出表_Excel【15時】!A"&amp;ROW()+4-1&amp;"")),"")</f>
        <v/>
      </c>
      <c r="C135" t="str">
        <f t="array" aca="1" ref="C135" ca="1">IF(OR(COUNTIF(数出表_Excel【15時】!AO138,"*修正*"),COUNTIF(数出表_Excel【15時】!AO139,"*修正*")),
IF(ISEVEN(ROW()+4),INDIRECT("数出表_Excel【15時】!A"&amp;ROW()+4+1&amp;""),INDIRECT("数出表_Excel【15時】!A"&amp;ROW()+4&amp;"")),"")</f>
        <v/>
      </c>
      <c r="D135" s="209" t="str">
        <f t="array" aca="1" ref="D135" ca="1">IF(B135&lt;&gt;"",
IFERROR(MATCH(TRUE,ISNUMBER(INDIRECT("数出表_Excel【15時】!B"&amp;(A135+4)&amp;":ZZ"&amp;(A135+4))),0)+1,""),"")</f>
        <v/>
      </c>
      <c r="E135" t="str">
        <f ca="1">IF(D135&lt;&gt;"",
OFFSET(数出表_Excel【15時】!$A$1,2,D135-1)
&amp;IFERROR(OFFSET(数出表_Excel【15時】!$A$1,3,D135-1),"")
&amp;IFERROR(OFFSET(数出表_Excel【15時】!$A$1,4,D135-1),""),"")</f>
        <v/>
      </c>
      <c r="F135" t="str">
        <f ca="1">IF(D135&lt;&gt;"",
OFFSET(数出表_Excel【15時】!$A$1,A135+3,D135-1),"")</f>
        <v/>
      </c>
      <c r="G135" t="str">
        <f ca="1">IF(D135&lt;&gt;"",
IF(AND(OFFSET(数出表_Excel【15時】!$A$1,A135+3,D135)&lt;&gt;"",OFFSET(数出表_Excel【15時】!$A$1,A135+3,D135)&lt;&gt;0),
OFFSET(数出表_Excel【15時】!$A$1,A135+3,D135),""),"")</f>
        <v/>
      </c>
      <c r="H135" s="209" t="str">
        <f t="array" aca="1" ref="H135" ca="1">IF(B135&lt;&gt;"",
IFERROR(MATCH(TRUE,ISNUMBER(INDIRECT("数出表_Excel【15時】!"&amp;SUBSTITUTE(ADDRESS(1,D135+2,4),"1","")&amp;(A135+4)&amp;":ZZ"&amp;(A135+4))),0)+D135+1,""),"")</f>
        <v/>
      </c>
      <c r="I135" t="str">
        <f ca="1">IF(H135&lt;&gt;"",
OFFSET(数出表_Excel【15時】!$A$1,2,H135-1)
&amp;IFERROR(OFFSET(数出表_Excel【15時】!$A$1,3,H135-1),"")
&amp;IFERROR(OFFSET(数出表_Excel【15時】!$A$1,4,H135-1),""),"")</f>
        <v/>
      </c>
      <c r="J135" t="str">
        <f ca="1">IF(H135&lt;&gt;"",
OFFSET(数出表_Excel【15時】!$A$1,A135+3,H135-1),"")</f>
        <v/>
      </c>
      <c r="K135" t="str">
        <f ca="1">IF(H135&lt;&gt;"",
IF(AND(OFFSET(数出表_Excel【15時】!$A$1,A135+3,H135)&lt;&gt;"",OFFSET(数出表_Excel【15時】!$A$1,A135+3,H135)&lt;&gt;0),
OFFSET(数出表_Excel【15時】!$A$1,A135+3,H135),""),"")</f>
        <v/>
      </c>
      <c r="L135" s="209" t="str">
        <f t="array" aca="1" ref="L135" ca="1">IF(B135&lt;&gt;"",
IFERROR(MATCH(TRUE,ISNUMBER(INDIRECT("数出表_Excel【15時】!"&amp;SUBSTITUTE(ADDRESS(1,H135+2,4),"1","")&amp;(A135+4)&amp;":ZZ"&amp;(A135+4))),0)+H135+1,""),"")</f>
        <v/>
      </c>
      <c r="M135" t="str">
        <f ca="1">IF(L135&lt;&gt;"",
OFFSET(数出表_Excel【15時】!$A$1,2,L135-1)
&amp;IFERROR(OFFSET(数出表_Excel【15時】!$A$1,3,L135-1),"")
&amp;IFERROR(OFFSET(数出表_Excel【15時】!$A$1,4,L135-1),""),"")</f>
        <v/>
      </c>
      <c r="N135" t="str">
        <f ca="1">IF(L135&lt;&gt;"",
OFFSET(数出表_Excel【15時】!$A$1,A135+3,L135-1),"")</f>
        <v/>
      </c>
      <c r="O135" t="str">
        <f ca="1">IF(L135&lt;&gt;"",
IF(AND(OFFSET(数出表_Excel【15時】!$A$1,A135+3,L135)&lt;&gt;"",OFFSET(数出表_Excel【15時】!$A$1,A135+3,L135)&lt;&gt;0),
OFFSET(数出表_Excel【15時】!$A$1,A135+3,L135),""),"")</f>
        <v/>
      </c>
      <c r="AH135" t="str">
        <f t="array" aca="1" ref="AH135" ca="1">IFERROR(SMALL(IF(O$1:O$307&lt;&gt;0,O$1:O$307),ROW(AH135)),"")</f>
        <v/>
      </c>
      <c r="AI135" t="str">
        <f t="array" aca="1" ref="AI135" ca="1">IF($T135&lt;&gt;"",
SUBSTITUTE(SUBSTITUTE(INDIRECT("B"&amp;$T135&amp;"")," 週3ｺｰｽ","")," 週5ｺｰｽ",""),"")</f>
        <v/>
      </c>
    </row>
    <row r="136" spans="1:35">
      <c r="A136" t="str">
        <f t="shared" ca="1" si="2"/>
        <v/>
      </c>
      <c r="B136" t="str">
        <f t="array" aca="1" ref="B136" ca="1">IF(OR(COUNTIF(数出表_Excel【15時】!AO140,"*修正*"),COUNTIF(数出表_Excel【15時】!AO141,"*修正*")),
IF(ISEVEN(ROW()+4),INDIRECT("数出表_Excel【15時】!A"&amp;ROW()+4&amp;""),INDIRECT("数出表_Excel【15時】!A"&amp;ROW()+4-1&amp;"")),"")</f>
        <v/>
      </c>
      <c r="C136" t="str">
        <f t="array" aca="1" ref="C136" ca="1">IF(OR(COUNTIF(数出表_Excel【15時】!AO140,"*修正*"),COUNTIF(数出表_Excel【15時】!AO141,"*修正*")),
IF(ISEVEN(ROW()+4),INDIRECT("数出表_Excel【15時】!A"&amp;ROW()+4+1&amp;""),INDIRECT("数出表_Excel【15時】!A"&amp;ROW()+4&amp;"")),"")</f>
        <v/>
      </c>
      <c r="D136" s="209" t="str">
        <f t="array" aca="1" ref="D136" ca="1">IF(B136&lt;&gt;"",
IFERROR(MATCH(TRUE,ISNUMBER(INDIRECT("数出表_Excel【15時】!B"&amp;(A136+4)&amp;":ZZ"&amp;(A136+4))),0)+1,""),"")</f>
        <v/>
      </c>
      <c r="E136" t="str">
        <f ca="1">IF(D136&lt;&gt;"",
OFFSET(数出表_Excel【15時】!$A$1,2,D136-1)
&amp;IFERROR(OFFSET(数出表_Excel【15時】!$A$1,3,D136-1),"")
&amp;IFERROR(OFFSET(数出表_Excel【15時】!$A$1,4,D136-1),""),"")</f>
        <v/>
      </c>
      <c r="F136" t="str">
        <f ca="1">IF(D136&lt;&gt;"",
OFFSET(数出表_Excel【15時】!$A$1,A136+3,D136-1),"")</f>
        <v/>
      </c>
      <c r="G136" t="str">
        <f ca="1">IF(D136&lt;&gt;"",
IF(AND(OFFSET(数出表_Excel【15時】!$A$1,A136+3,D136)&lt;&gt;"",OFFSET(数出表_Excel【15時】!$A$1,A136+3,D136)&lt;&gt;0),
OFFSET(数出表_Excel【15時】!$A$1,A136+3,D136),""),"")</f>
        <v/>
      </c>
      <c r="H136" s="209" t="str">
        <f t="array" aca="1" ref="H136" ca="1">IF(B136&lt;&gt;"",
IFERROR(MATCH(TRUE,ISNUMBER(INDIRECT("数出表_Excel【15時】!"&amp;SUBSTITUTE(ADDRESS(1,D136+2,4),"1","")&amp;(A136+4)&amp;":ZZ"&amp;(A136+4))),0)+D136+1,""),"")</f>
        <v/>
      </c>
      <c r="I136" t="str">
        <f ca="1">IF(H136&lt;&gt;"",
OFFSET(数出表_Excel【15時】!$A$1,2,H136-1)
&amp;IFERROR(OFFSET(数出表_Excel【15時】!$A$1,3,H136-1),"")
&amp;IFERROR(OFFSET(数出表_Excel【15時】!$A$1,4,H136-1),""),"")</f>
        <v/>
      </c>
      <c r="J136" t="str">
        <f ca="1">IF(H136&lt;&gt;"",
OFFSET(数出表_Excel【15時】!$A$1,A136+3,H136-1),"")</f>
        <v/>
      </c>
      <c r="K136" t="str">
        <f ca="1">IF(H136&lt;&gt;"",
IF(AND(OFFSET(数出表_Excel【15時】!$A$1,A136+3,H136)&lt;&gt;"",OFFSET(数出表_Excel【15時】!$A$1,A136+3,H136)&lt;&gt;0),
OFFSET(数出表_Excel【15時】!$A$1,A136+3,H136),""),"")</f>
        <v/>
      </c>
      <c r="L136" s="209" t="str">
        <f t="array" aca="1" ref="L136" ca="1">IF(B136&lt;&gt;"",
IFERROR(MATCH(TRUE,ISNUMBER(INDIRECT("数出表_Excel【15時】!"&amp;SUBSTITUTE(ADDRESS(1,H136+2,4),"1","")&amp;(A136+4)&amp;":ZZ"&amp;(A136+4))),0)+H136+1,""),"")</f>
        <v/>
      </c>
      <c r="M136" t="str">
        <f ca="1">IF(L136&lt;&gt;"",
OFFSET(数出表_Excel【15時】!$A$1,2,L136-1)
&amp;IFERROR(OFFSET(数出表_Excel【15時】!$A$1,3,L136-1),"")
&amp;IFERROR(OFFSET(数出表_Excel【15時】!$A$1,4,L136-1),""),"")</f>
        <v/>
      </c>
      <c r="N136" t="str">
        <f ca="1">IF(L136&lt;&gt;"",
OFFSET(数出表_Excel【15時】!$A$1,A136+3,L136-1),"")</f>
        <v/>
      </c>
      <c r="O136" t="str">
        <f ca="1">IF(L136&lt;&gt;"",
IF(AND(OFFSET(数出表_Excel【15時】!$A$1,A136+3,L136)&lt;&gt;"",OFFSET(数出表_Excel【15時】!$A$1,A136+3,L136)&lt;&gt;0),
OFFSET(数出表_Excel【15時】!$A$1,A136+3,L136),""),"")</f>
        <v/>
      </c>
      <c r="Q136" t="str">
        <f ca="1">IF(C136&lt;&gt;"",
IF(E136&lt;&gt;"",1,0)+IF(I136&lt;&gt;"",1,0)+IF(M136&lt;&gt;"",1,0),"")</f>
        <v/>
      </c>
      <c r="AH136" t="str">
        <f t="array" aca="1" ref="AH136" ca="1">IFERROR(SMALL(IF(O$1:O$307&lt;&gt;0,O$1:O$307),ROW(AH136)),"")</f>
        <v/>
      </c>
      <c r="AI136" t="str">
        <f t="array" aca="1" ref="AI136" ca="1">IF($T136&lt;&gt;"",
SUBSTITUTE(SUBSTITUTE(INDIRECT("B"&amp;$T136&amp;"")," 週3ｺｰｽ","")," 週5ｺｰｽ",""),"")</f>
        <v/>
      </c>
    </row>
    <row r="137" spans="1:35">
      <c r="A137" t="str">
        <f t="shared" ca="1" si="2"/>
        <v/>
      </c>
      <c r="B137" t="str">
        <f t="array" aca="1" ref="B137" ca="1">IF(OR(COUNTIF(数出表_Excel【15時】!AO140,"*修正*"),COUNTIF(数出表_Excel【15時】!AO141,"*修正*")),
IF(ISEVEN(ROW()+4),INDIRECT("数出表_Excel【15時】!A"&amp;ROW()+4&amp;""),INDIRECT("数出表_Excel【15時】!A"&amp;ROW()+4-1&amp;"")),"")</f>
        <v/>
      </c>
      <c r="C137" t="str">
        <f t="array" aca="1" ref="C137" ca="1">IF(OR(COUNTIF(数出表_Excel【15時】!AO140,"*修正*"),COUNTIF(数出表_Excel【15時】!AO141,"*修正*")),
IF(ISEVEN(ROW()+4),INDIRECT("数出表_Excel【15時】!A"&amp;ROW()+4+1&amp;""),INDIRECT("数出表_Excel【15時】!A"&amp;ROW()+4&amp;"")),"")</f>
        <v/>
      </c>
      <c r="D137" s="209" t="str">
        <f t="array" aca="1" ref="D137" ca="1">IF(B137&lt;&gt;"",
IFERROR(MATCH(TRUE,ISNUMBER(INDIRECT("数出表_Excel【15時】!B"&amp;(A137+4)&amp;":ZZ"&amp;(A137+4))),0)+1,""),"")</f>
        <v/>
      </c>
      <c r="E137" t="str">
        <f ca="1">IF(D137&lt;&gt;"",
OFFSET(数出表_Excel【15時】!$A$1,2,D137-1)
&amp;IFERROR(OFFSET(数出表_Excel【15時】!$A$1,3,D137-1),"")
&amp;IFERROR(OFFSET(数出表_Excel【15時】!$A$1,4,D137-1),""),"")</f>
        <v/>
      </c>
      <c r="F137" t="str">
        <f ca="1">IF(D137&lt;&gt;"",
OFFSET(数出表_Excel【15時】!$A$1,A137+3,D137-1),"")</f>
        <v/>
      </c>
      <c r="G137" t="str">
        <f ca="1">IF(D137&lt;&gt;"",
IF(AND(OFFSET(数出表_Excel【15時】!$A$1,A137+3,D137)&lt;&gt;"",OFFSET(数出表_Excel【15時】!$A$1,A137+3,D137)&lt;&gt;0),
OFFSET(数出表_Excel【15時】!$A$1,A137+3,D137),""),"")</f>
        <v/>
      </c>
      <c r="H137" s="209" t="str">
        <f t="array" aca="1" ref="H137" ca="1">IF(B137&lt;&gt;"",
IFERROR(MATCH(TRUE,ISNUMBER(INDIRECT("数出表_Excel【15時】!"&amp;SUBSTITUTE(ADDRESS(1,D137+2,4),"1","")&amp;(A137+4)&amp;":ZZ"&amp;(A137+4))),0)+D137+1,""),"")</f>
        <v/>
      </c>
      <c r="I137" t="str">
        <f ca="1">IF(H137&lt;&gt;"",
OFFSET(数出表_Excel【15時】!$A$1,2,H137-1)
&amp;IFERROR(OFFSET(数出表_Excel【15時】!$A$1,3,H137-1),"")
&amp;IFERROR(OFFSET(数出表_Excel【15時】!$A$1,4,H137-1),""),"")</f>
        <v/>
      </c>
      <c r="J137" t="str">
        <f ca="1">IF(H137&lt;&gt;"",
OFFSET(数出表_Excel【15時】!$A$1,A137+3,H137-1),"")</f>
        <v/>
      </c>
      <c r="K137" t="str">
        <f ca="1">IF(H137&lt;&gt;"",
IF(AND(OFFSET(数出表_Excel【15時】!$A$1,A137+3,H137)&lt;&gt;"",OFFSET(数出表_Excel【15時】!$A$1,A137+3,H137)&lt;&gt;0),
OFFSET(数出表_Excel【15時】!$A$1,A137+3,H137),""),"")</f>
        <v/>
      </c>
      <c r="L137" s="209" t="str">
        <f t="array" aca="1" ref="L137" ca="1">IF(B137&lt;&gt;"",
IFERROR(MATCH(TRUE,ISNUMBER(INDIRECT("数出表_Excel【15時】!"&amp;SUBSTITUTE(ADDRESS(1,H137+2,4),"1","")&amp;(A137+4)&amp;":ZZ"&amp;(A137+4))),0)+H137+1,""),"")</f>
        <v/>
      </c>
      <c r="M137" t="str">
        <f ca="1">IF(L137&lt;&gt;"",
OFFSET(数出表_Excel【15時】!$A$1,2,L137-1)
&amp;IFERROR(OFFSET(数出表_Excel【15時】!$A$1,3,L137-1),"")
&amp;IFERROR(OFFSET(数出表_Excel【15時】!$A$1,4,L137-1),""),"")</f>
        <v/>
      </c>
      <c r="N137" t="str">
        <f ca="1">IF(L137&lt;&gt;"",
OFFSET(数出表_Excel【15時】!$A$1,A137+3,L137-1),"")</f>
        <v/>
      </c>
      <c r="O137" t="str">
        <f ca="1">IF(L137&lt;&gt;"",
IF(AND(OFFSET(数出表_Excel【15時】!$A$1,A137+3,L137)&lt;&gt;"",OFFSET(数出表_Excel【15時】!$A$1,A137+3,L137)&lt;&gt;0),
OFFSET(数出表_Excel【15時】!$A$1,A137+3,L137),""),"")</f>
        <v/>
      </c>
      <c r="AH137" t="str">
        <f t="array" aca="1" ref="AH137" ca="1">IFERROR(SMALL(IF(O$1:O$307&lt;&gt;0,O$1:O$307),ROW(AH137)),"")</f>
        <v/>
      </c>
      <c r="AI137" t="str">
        <f t="array" aca="1" ref="AI137" ca="1">IF($T137&lt;&gt;"",
SUBSTITUTE(SUBSTITUTE(INDIRECT("B"&amp;$T137&amp;"")," 週3ｺｰｽ","")," 週5ｺｰｽ",""),"")</f>
        <v/>
      </c>
    </row>
    <row r="138" spans="1:35">
      <c r="A138" t="str">
        <f t="shared" ca="1" si="2"/>
        <v/>
      </c>
      <c r="B138" t="str">
        <f t="array" aca="1" ref="B138" ca="1">IF(OR(COUNTIF(数出表_Excel【15時】!AO142,"*修正*"),COUNTIF(数出表_Excel【15時】!AO143,"*修正*")),
IF(ISEVEN(ROW()+4),INDIRECT("数出表_Excel【15時】!A"&amp;ROW()+4&amp;""),INDIRECT("数出表_Excel【15時】!A"&amp;ROW()+4-1&amp;"")),"")</f>
        <v/>
      </c>
      <c r="C138" t="str">
        <f t="array" aca="1" ref="C138" ca="1">IF(OR(COUNTIF(数出表_Excel【15時】!AO142,"*修正*"),COUNTIF(数出表_Excel【15時】!AO143,"*修正*")),
IF(ISEVEN(ROW()+4),INDIRECT("数出表_Excel【15時】!A"&amp;ROW()+4+1&amp;""),INDIRECT("数出表_Excel【15時】!A"&amp;ROW()+4&amp;"")),"")</f>
        <v/>
      </c>
      <c r="D138" s="209" t="str">
        <f t="array" aca="1" ref="D138" ca="1">IF(B138&lt;&gt;"",
IFERROR(MATCH(TRUE,ISNUMBER(INDIRECT("数出表_Excel【15時】!B"&amp;(A138+4)&amp;":ZZ"&amp;(A138+4))),0)+1,""),"")</f>
        <v/>
      </c>
      <c r="E138" t="str">
        <f ca="1">IF(D138&lt;&gt;"",
OFFSET(数出表_Excel【15時】!$A$1,2,D138-1)
&amp;IFERROR(OFFSET(数出表_Excel【15時】!$A$1,3,D138-1),"")
&amp;IFERROR(OFFSET(数出表_Excel【15時】!$A$1,4,D138-1),""),"")</f>
        <v/>
      </c>
      <c r="F138" t="str">
        <f ca="1">IF(D138&lt;&gt;"",
OFFSET(数出表_Excel【15時】!$A$1,A138+3,D138-1),"")</f>
        <v/>
      </c>
      <c r="G138" t="str">
        <f ca="1">IF(D138&lt;&gt;"",
IF(AND(OFFSET(数出表_Excel【15時】!$A$1,A138+3,D138)&lt;&gt;"",OFFSET(数出表_Excel【15時】!$A$1,A138+3,D138)&lt;&gt;0),
OFFSET(数出表_Excel【15時】!$A$1,A138+3,D138),""),"")</f>
        <v/>
      </c>
      <c r="H138" s="209" t="str">
        <f t="array" aca="1" ref="H138" ca="1">IF(B138&lt;&gt;"",
IFERROR(MATCH(TRUE,ISNUMBER(INDIRECT("数出表_Excel【15時】!"&amp;SUBSTITUTE(ADDRESS(1,D138+2,4),"1","")&amp;(A138+4)&amp;":ZZ"&amp;(A138+4))),0)+D138+1,""),"")</f>
        <v/>
      </c>
      <c r="I138" t="str">
        <f ca="1">IF(H138&lt;&gt;"",
OFFSET(数出表_Excel【15時】!$A$1,2,H138-1)
&amp;IFERROR(OFFSET(数出表_Excel【15時】!$A$1,3,H138-1),"")
&amp;IFERROR(OFFSET(数出表_Excel【15時】!$A$1,4,H138-1),""),"")</f>
        <v/>
      </c>
      <c r="J138" t="str">
        <f ca="1">IF(H138&lt;&gt;"",
OFFSET(数出表_Excel【15時】!$A$1,A138+3,H138-1),"")</f>
        <v/>
      </c>
      <c r="K138" t="str">
        <f ca="1">IF(H138&lt;&gt;"",
IF(AND(OFFSET(数出表_Excel【15時】!$A$1,A138+3,H138)&lt;&gt;"",OFFSET(数出表_Excel【15時】!$A$1,A138+3,H138)&lt;&gt;0),
OFFSET(数出表_Excel【15時】!$A$1,A138+3,H138),""),"")</f>
        <v/>
      </c>
      <c r="L138" s="209" t="str">
        <f t="array" aca="1" ref="L138" ca="1">IF(B138&lt;&gt;"",
IFERROR(MATCH(TRUE,ISNUMBER(INDIRECT("数出表_Excel【15時】!"&amp;SUBSTITUTE(ADDRESS(1,H138+2,4),"1","")&amp;(A138+4)&amp;":ZZ"&amp;(A138+4))),0)+H138+1,""),"")</f>
        <v/>
      </c>
      <c r="M138" t="str">
        <f ca="1">IF(L138&lt;&gt;"",
OFFSET(数出表_Excel【15時】!$A$1,2,L138-1)
&amp;IFERROR(OFFSET(数出表_Excel【15時】!$A$1,3,L138-1),"")
&amp;IFERROR(OFFSET(数出表_Excel【15時】!$A$1,4,L138-1),""),"")</f>
        <v/>
      </c>
      <c r="N138" t="str">
        <f ca="1">IF(L138&lt;&gt;"",
OFFSET(数出表_Excel【15時】!$A$1,A138+3,L138-1),"")</f>
        <v/>
      </c>
      <c r="O138" t="str">
        <f ca="1">IF(L138&lt;&gt;"",
IF(AND(OFFSET(数出表_Excel【15時】!$A$1,A138+3,L138)&lt;&gt;"",OFFSET(数出表_Excel【15時】!$A$1,A138+3,L138)&lt;&gt;0),
OFFSET(数出表_Excel【15時】!$A$1,A138+3,L138),""),"")</f>
        <v/>
      </c>
      <c r="Q138" t="str">
        <f ca="1">IF(C138&lt;&gt;"",
IF(E138&lt;&gt;"",1,0)+IF(I138&lt;&gt;"",1,0)+IF(M138&lt;&gt;"",1,0),"")</f>
        <v/>
      </c>
      <c r="AH138" t="str">
        <f t="array" aca="1" ref="AH138" ca="1">IFERROR(SMALL(IF(O$1:O$307&lt;&gt;0,O$1:O$307),ROW(AH138)),"")</f>
        <v/>
      </c>
      <c r="AI138" t="str">
        <f t="array" aca="1" ref="AI138" ca="1">IF($T138&lt;&gt;"",
SUBSTITUTE(SUBSTITUTE(INDIRECT("B"&amp;$T138&amp;"")," 週3ｺｰｽ","")," 週5ｺｰｽ",""),"")</f>
        <v/>
      </c>
    </row>
    <row r="139" spans="1:35">
      <c r="A139" t="str">
        <f t="shared" ca="1" si="2"/>
        <v/>
      </c>
      <c r="B139" t="str">
        <f t="array" aca="1" ref="B139" ca="1">IF(OR(COUNTIF(数出表_Excel【15時】!AO142,"*修正*"),COUNTIF(数出表_Excel【15時】!AO143,"*修正*")),
IF(ISEVEN(ROW()+4),INDIRECT("数出表_Excel【15時】!A"&amp;ROW()+4&amp;""),INDIRECT("数出表_Excel【15時】!A"&amp;ROW()+4-1&amp;"")),"")</f>
        <v/>
      </c>
      <c r="C139" t="str">
        <f t="array" aca="1" ref="C139" ca="1">IF(OR(COUNTIF(数出表_Excel【15時】!AO142,"*修正*"),COUNTIF(数出表_Excel【15時】!AO143,"*修正*")),
IF(ISEVEN(ROW()+4),INDIRECT("数出表_Excel【15時】!A"&amp;ROW()+4+1&amp;""),INDIRECT("数出表_Excel【15時】!A"&amp;ROW()+4&amp;"")),"")</f>
        <v/>
      </c>
      <c r="D139" s="209" t="str">
        <f t="array" aca="1" ref="D139" ca="1">IF(B139&lt;&gt;"",
IFERROR(MATCH(TRUE,ISNUMBER(INDIRECT("数出表_Excel【15時】!B"&amp;(A139+4)&amp;":ZZ"&amp;(A139+4))),0)+1,""),"")</f>
        <v/>
      </c>
      <c r="E139" t="str">
        <f ca="1">IF(D139&lt;&gt;"",
OFFSET(数出表_Excel【15時】!$A$1,2,D139-1)
&amp;IFERROR(OFFSET(数出表_Excel【15時】!$A$1,3,D139-1),"")
&amp;IFERROR(OFFSET(数出表_Excel【15時】!$A$1,4,D139-1),""),"")</f>
        <v/>
      </c>
      <c r="F139" t="str">
        <f ca="1">IF(D139&lt;&gt;"",
OFFSET(数出表_Excel【15時】!$A$1,A139+3,D139-1),"")</f>
        <v/>
      </c>
      <c r="G139" t="str">
        <f ca="1">IF(D139&lt;&gt;"",
IF(AND(OFFSET(数出表_Excel【15時】!$A$1,A139+3,D139)&lt;&gt;"",OFFSET(数出表_Excel【15時】!$A$1,A139+3,D139)&lt;&gt;0),
OFFSET(数出表_Excel【15時】!$A$1,A139+3,D139),""),"")</f>
        <v/>
      </c>
      <c r="H139" s="209" t="str">
        <f t="array" aca="1" ref="H139" ca="1">IF(B139&lt;&gt;"",
IFERROR(MATCH(TRUE,ISNUMBER(INDIRECT("数出表_Excel【15時】!"&amp;SUBSTITUTE(ADDRESS(1,D139+2,4),"1","")&amp;(A139+4)&amp;":ZZ"&amp;(A139+4))),0)+D139+1,""),"")</f>
        <v/>
      </c>
      <c r="I139" t="str">
        <f ca="1">IF(H139&lt;&gt;"",
OFFSET(数出表_Excel【15時】!$A$1,2,H139-1)
&amp;IFERROR(OFFSET(数出表_Excel【15時】!$A$1,3,H139-1),"")
&amp;IFERROR(OFFSET(数出表_Excel【15時】!$A$1,4,H139-1),""),"")</f>
        <v/>
      </c>
      <c r="J139" t="str">
        <f ca="1">IF(H139&lt;&gt;"",
OFFSET(数出表_Excel【15時】!$A$1,A139+3,H139-1),"")</f>
        <v/>
      </c>
      <c r="K139" t="str">
        <f ca="1">IF(H139&lt;&gt;"",
IF(AND(OFFSET(数出表_Excel【15時】!$A$1,A139+3,H139)&lt;&gt;"",OFFSET(数出表_Excel【15時】!$A$1,A139+3,H139)&lt;&gt;0),
OFFSET(数出表_Excel【15時】!$A$1,A139+3,H139),""),"")</f>
        <v/>
      </c>
      <c r="L139" s="209" t="str">
        <f t="array" aca="1" ref="L139" ca="1">IF(B139&lt;&gt;"",
IFERROR(MATCH(TRUE,ISNUMBER(INDIRECT("数出表_Excel【15時】!"&amp;SUBSTITUTE(ADDRESS(1,H139+2,4),"1","")&amp;(A139+4)&amp;":ZZ"&amp;(A139+4))),0)+H139+1,""),"")</f>
        <v/>
      </c>
      <c r="M139" t="str">
        <f ca="1">IF(L139&lt;&gt;"",
OFFSET(数出表_Excel【15時】!$A$1,2,L139-1)
&amp;IFERROR(OFFSET(数出表_Excel【15時】!$A$1,3,L139-1),"")
&amp;IFERROR(OFFSET(数出表_Excel【15時】!$A$1,4,L139-1),""),"")</f>
        <v/>
      </c>
      <c r="N139" t="str">
        <f ca="1">IF(L139&lt;&gt;"",
OFFSET(数出表_Excel【15時】!$A$1,A139+3,L139-1),"")</f>
        <v/>
      </c>
      <c r="O139" t="str">
        <f ca="1">IF(L139&lt;&gt;"",
IF(AND(OFFSET(数出表_Excel【15時】!$A$1,A139+3,L139)&lt;&gt;"",OFFSET(数出表_Excel【15時】!$A$1,A139+3,L139)&lt;&gt;0),
OFFSET(数出表_Excel【15時】!$A$1,A139+3,L139),""),"")</f>
        <v/>
      </c>
      <c r="AH139" t="str">
        <f t="array" aca="1" ref="AH139" ca="1">IFERROR(SMALL(IF(O$1:O$307&lt;&gt;0,O$1:O$307),ROW(AH139)),"")</f>
        <v/>
      </c>
      <c r="AI139" t="str">
        <f t="array" aca="1" ref="AI139" ca="1">IF($T139&lt;&gt;"",
SUBSTITUTE(SUBSTITUTE(INDIRECT("B"&amp;$T139&amp;"")," 週3ｺｰｽ","")," 週5ｺｰｽ",""),"")</f>
        <v/>
      </c>
    </row>
    <row r="140" spans="1:35">
      <c r="A140" t="str">
        <f t="shared" ca="1" si="2"/>
        <v/>
      </c>
      <c r="B140" t="str">
        <f t="array" aca="1" ref="B140" ca="1">IF(OR(COUNTIF(数出表_Excel【15時】!AO144,"*修正*"),COUNTIF(数出表_Excel【15時】!AO145,"*修正*")),
IF(ISEVEN(ROW()+4),INDIRECT("数出表_Excel【15時】!A"&amp;ROW()+4&amp;""),INDIRECT("数出表_Excel【15時】!A"&amp;ROW()+4-1&amp;"")),"")</f>
        <v/>
      </c>
      <c r="C140" t="str">
        <f t="array" aca="1" ref="C140" ca="1">IF(OR(COUNTIF(数出表_Excel【15時】!AO144,"*修正*"),COUNTIF(数出表_Excel【15時】!AO145,"*修正*")),
IF(ISEVEN(ROW()+4),INDIRECT("数出表_Excel【15時】!A"&amp;ROW()+4+1&amp;""),INDIRECT("数出表_Excel【15時】!A"&amp;ROW()+4&amp;"")),"")</f>
        <v/>
      </c>
      <c r="D140" s="209" t="str">
        <f t="array" aca="1" ref="D140" ca="1">IF(B140&lt;&gt;"",
IFERROR(MATCH(TRUE,ISNUMBER(INDIRECT("数出表_Excel【15時】!B"&amp;(A140+4)&amp;":ZZ"&amp;(A140+4))),0)+1,""),"")</f>
        <v/>
      </c>
      <c r="E140" t="str">
        <f ca="1">IF(D140&lt;&gt;"",
OFFSET(数出表_Excel【15時】!$A$1,2,D140-1)
&amp;IFERROR(OFFSET(数出表_Excel【15時】!$A$1,3,D140-1),"")
&amp;IFERROR(OFFSET(数出表_Excel【15時】!$A$1,4,D140-1),""),"")</f>
        <v/>
      </c>
      <c r="F140" t="str">
        <f ca="1">IF(D140&lt;&gt;"",
OFFSET(数出表_Excel【15時】!$A$1,A140+3,D140-1),"")</f>
        <v/>
      </c>
      <c r="G140" t="str">
        <f ca="1">IF(D140&lt;&gt;"",
IF(AND(OFFSET(数出表_Excel【15時】!$A$1,A140+3,D140)&lt;&gt;"",OFFSET(数出表_Excel【15時】!$A$1,A140+3,D140)&lt;&gt;0),
OFFSET(数出表_Excel【15時】!$A$1,A140+3,D140),""),"")</f>
        <v/>
      </c>
      <c r="H140" s="209" t="str">
        <f t="array" aca="1" ref="H140" ca="1">IF(B140&lt;&gt;"",
IFERROR(MATCH(TRUE,ISNUMBER(INDIRECT("数出表_Excel【15時】!"&amp;SUBSTITUTE(ADDRESS(1,D140+2,4),"1","")&amp;(A140+4)&amp;":ZZ"&amp;(A140+4))),0)+D140+1,""),"")</f>
        <v/>
      </c>
      <c r="I140" t="str">
        <f ca="1">IF(H140&lt;&gt;"",
OFFSET(数出表_Excel【15時】!$A$1,2,H140-1)
&amp;IFERROR(OFFSET(数出表_Excel【15時】!$A$1,3,H140-1),"")
&amp;IFERROR(OFFSET(数出表_Excel【15時】!$A$1,4,H140-1),""),"")</f>
        <v/>
      </c>
      <c r="J140" t="str">
        <f ca="1">IF(H140&lt;&gt;"",
OFFSET(数出表_Excel【15時】!$A$1,A140+3,H140-1),"")</f>
        <v/>
      </c>
      <c r="K140" t="str">
        <f ca="1">IF(H140&lt;&gt;"",
IF(AND(OFFSET(数出表_Excel【15時】!$A$1,A140+3,H140)&lt;&gt;"",OFFSET(数出表_Excel【15時】!$A$1,A140+3,H140)&lt;&gt;0),
OFFSET(数出表_Excel【15時】!$A$1,A140+3,H140),""),"")</f>
        <v/>
      </c>
      <c r="L140" s="209" t="str">
        <f t="array" aca="1" ref="L140" ca="1">IF(B140&lt;&gt;"",
IFERROR(MATCH(TRUE,ISNUMBER(INDIRECT("数出表_Excel【15時】!"&amp;SUBSTITUTE(ADDRESS(1,H140+2,4),"1","")&amp;(A140+4)&amp;":ZZ"&amp;(A140+4))),0)+H140+1,""),"")</f>
        <v/>
      </c>
      <c r="M140" t="str">
        <f ca="1">IF(L140&lt;&gt;"",
OFFSET(数出表_Excel【15時】!$A$1,2,L140-1)
&amp;IFERROR(OFFSET(数出表_Excel【15時】!$A$1,3,L140-1),"")
&amp;IFERROR(OFFSET(数出表_Excel【15時】!$A$1,4,L140-1),""),"")</f>
        <v/>
      </c>
      <c r="N140" t="str">
        <f ca="1">IF(L140&lt;&gt;"",
OFFSET(数出表_Excel【15時】!$A$1,A140+3,L140-1),"")</f>
        <v/>
      </c>
      <c r="O140" t="str">
        <f ca="1">IF(L140&lt;&gt;"",
IF(AND(OFFSET(数出表_Excel【15時】!$A$1,A140+3,L140)&lt;&gt;"",OFFSET(数出表_Excel【15時】!$A$1,A140+3,L140)&lt;&gt;0),
OFFSET(数出表_Excel【15時】!$A$1,A140+3,L140),""),"")</f>
        <v/>
      </c>
      <c r="Q140" t="str">
        <f ca="1">IF(C140&lt;&gt;"",
IF(E140&lt;&gt;"",1,0)+IF(I140&lt;&gt;"",1,0)+IF(M140&lt;&gt;"",1,0),"")</f>
        <v/>
      </c>
      <c r="AH140" t="str">
        <f t="array" aca="1" ref="AH140" ca="1">IFERROR(SMALL(IF(O$1:O$307&lt;&gt;0,O$1:O$307),ROW(AH140)),"")</f>
        <v/>
      </c>
      <c r="AI140" t="str">
        <f t="array" aca="1" ref="AI140" ca="1">IF($T140&lt;&gt;"",
SUBSTITUTE(SUBSTITUTE(INDIRECT("B"&amp;$T140&amp;"")," 週3ｺｰｽ","")," 週5ｺｰｽ",""),"")</f>
        <v/>
      </c>
    </row>
    <row r="141" spans="1:35">
      <c r="A141" t="str">
        <f t="shared" ca="1" si="2"/>
        <v/>
      </c>
      <c r="B141" t="str">
        <f t="array" aca="1" ref="B141" ca="1">IF(OR(COUNTIF(数出表_Excel【15時】!AO144,"*修正*"),COUNTIF(数出表_Excel【15時】!AO145,"*修正*")),
IF(ISEVEN(ROW()+4),INDIRECT("数出表_Excel【15時】!A"&amp;ROW()+4&amp;""),INDIRECT("数出表_Excel【15時】!A"&amp;ROW()+4-1&amp;"")),"")</f>
        <v/>
      </c>
      <c r="C141" t="str">
        <f t="array" aca="1" ref="C141" ca="1">IF(OR(COUNTIF(数出表_Excel【15時】!AO144,"*修正*"),COUNTIF(数出表_Excel【15時】!AO145,"*修正*")),
IF(ISEVEN(ROW()+4),INDIRECT("数出表_Excel【15時】!A"&amp;ROW()+4+1&amp;""),INDIRECT("数出表_Excel【15時】!A"&amp;ROW()+4&amp;"")),"")</f>
        <v/>
      </c>
      <c r="D141" s="209" t="str">
        <f t="array" aca="1" ref="D141" ca="1">IF(B141&lt;&gt;"",
IFERROR(MATCH(TRUE,ISNUMBER(INDIRECT("数出表_Excel【15時】!B"&amp;(A141+4)&amp;":ZZ"&amp;(A141+4))),0)+1,""),"")</f>
        <v/>
      </c>
      <c r="E141" t="str">
        <f ca="1">IF(D141&lt;&gt;"",
OFFSET(数出表_Excel【15時】!$A$1,2,D141-1)
&amp;IFERROR(OFFSET(数出表_Excel【15時】!$A$1,3,D141-1),"")
&amp;IFERROR(OFFSET(数出表_Excel【15時】!$A$1,4,D141-1),""),"")</f>
        <v/>
      </c>
      <c r="F141" t="str">
        <f ca="1">IF(D141&lt;&gt;"",
OFFSET(数出表_Excel【15時】!$A$1,A141+3,D141-1),"")</f>
        <v/>
      </c>
      <c r="G141" t="str">
        <f ca="1">IF(D141&lt;&gt;"",
IF(AND(OFFSET(数出表_Excel【15時】!$A$1,A141+3,D141)&lt;&gt;"",OFFSET(数出表_Excel【15時】!$A$1,A141+3,D141)&lt;&gt;0),
OFFSET(数出表_Excel【15時】!$A$1,A141+3,D141),""),"")</f>
        <v/>
      </c>
      <c r="H141" s="209" t="str">
        <f t="array" aca="1" ref="H141" ca="1">IF(B141&lt;&gt;"",
IFERROR(MATCH(TRUE,ISNUMBER(INDIRECT("数出表_Excel【15時】!"&amp;SUBSTITUTE(ADDRESS(1,D141+2,4),"1","")&amp;(A141+4)&amp;":ZZ"&amp;(A141+4))),0)+D141+1,""),"")</f>
        <v/>
      </c>
      <c r="I141" t="str">
        <f ca="1">IF(H141&lt;&gt;"",
OFFSET(数出表_Excel【15時】!$A$1,2,H141-1)
&amp;IFERROR(OFFSET(数出表_Excel【15時】!$A$1,3,H141-1),"")
&amp;IFERROR(OFFSET(数出表_Excel【15時】!$A$1,4,H141-1),""),"")</f>
        <v/>
      </c>
      <c r="J141" t="str">
        <f ca="1">IF(H141&lt;&gt;"",
OFFSET(数出表_Excel【15時】!$A$1,A141+3,H141-1),"")</f>
        <v/>
      </c>
      <c r="K141" t="str">
        <f ca="1">IF(H141&lt;&gt;"",
IF(AND(OFFSET(数出表_Excel【15時】!$A$1,A141+3,H141)&lt;&gt;"",OFFSET(数出表_Excel【15時】!$A$1,A141+3,H141)&lt;&gt;0),
OFFSET(数出表_Excel【15時】!$A$1,A141+3,H141),""),"")</f>
        <v/>
      </c>
      <c r="L141" s="209" t="str">
        <f t="array" aca="1" ref="L141" ca="1">IF(B141&lt;&gt;"",
IFERROR(MATCH(TRUE,ISNUMBER(INDIRECT("数出表_Excel【15時】!"&amp;SUBSTITUTE(ADDRESS(1,H141+2,4),"1","")&amp;(A141+4)&amp;":ZZ"&amp;(A141+4))),0)+H141+1,""),"")</f>
        <v/>
      </c>
      <c r="M141" t="str">
        <f ca="1">IF(L141&lt;&gt;"",
OFFSET(数出表_Excel【15時】!$A$1,2,L141-1)
&amp;IFERROR(OFFSET(数出表_Excel【15時】!$A$1,3,L141-1),"")
&amp;IFERROR(OFFSET(数出表_Excel【15時】!$A$1,4,L141-1),""),"")</f>
        <v/>
      </c>
      <c r="N141" t="str">
        <f ca="1">IF(L141&lt;&gt;"",
OFFSET(数出表_Excel【15時】!$A$1,A141+3,L141-1),"")</f>
        <v/>
      </c>
      <c r="O141" t="str">
        <f ca="1">IF(L141&lt;&gt;"",
IF(AND(OFFSET(数出表_Excel【15時】!$A$1,A141+3,L141)&lt;&gt;"",OFFSET(数出表_Excel【15時】!$A$1,A141+3,L141)&lt;&gt;0),
OFFSET(数出表_Excel【15時】!$A$1,A141+3,L141),""),"")</f>
        <v/>
      </c>
      <c r="AH141" t="str">
        <f t="array" aca="1" ref="AH141" ca="1">IFERROR(SMALL(IF(O$1:O$307&lt;&gt;0,O$1:O$307),ROW(AH141)),"")</f>
        <v/>
      </c>
      <c r="AI141" t="str">
        <f t="array" aca="1" ref="AI141" ca="1">IF($T141&lt;&gt;"",
SUBSTITUTE(SUBSTITUTE(INDIRECT("B"&amp;$T141&amp;"")," 週3ｺｰｽ","")," 週5ｺｰｽ",""),"")</f>
        <v/>
      </c>
    </row>
    <row r="142" spans="1:35">
      <c r="A142" t="str">
        <f t="shared" ca="1" si="2"/>
        <v/>
      </c>
      <c r="B142" t="str">
        <f t="array" aca="1" ref="B142" ca="1">IF(OR(COUNTIF(数出表_Excel【15時】!AO146,"*修正*"),COUNTIF(数出表_Excel【15時】!AO147,"*修正*")),
IF(ISEVEN(ROW()+4),INDIRECT("数出表_Excel【15時】!A"&amp;ROW()+4&amp;""),INDIRECT("数出表_Excel【15時】!A"&amp;ROW()+4-1&amp;"")),"")</f>
        <v/>
      </c>
      <c r="C142" t="str">
        <f t="array" aca="1" ref="C142" ca="1">IF(OR(COUNTIF(数出表_Excel【15時】!AO146,"*修正*"),COUNTIF(数出表_Excel【15時】!AO147,"*修正*")),
IF(ISEVEN(ROW()+4),INDIRECT("数出表_Excel【15時】!A"&amp;ROW()+4+1&amp;""),INDIRECT("数出表_Excel【15時】!A"&amp;ROW()+4&amp;"")),"")</f>
        <v/>
      </c>
      <c r="D142" s="209" t="str">
        <f t="array" aca="1" ref="D142" ca="1">IF(B142&lt;&gt;"",
IFERROR(MATCH(TRUE,ISNUMBER(INDIRECT("数出表_Excel【15時】!B"&amp;(A142+4)&amp;":ZZ"&amp;(A142+4))),0)+1,""),"")</f>
        <v/>
      </c>
      <c r="E142" t="str">
        <f ca="1">IF(D142&lt;&gt;"",
OFFSET(数出表_Excel【15時】!$A$1,2,D142-1)
&amp;IFERROR(OFFSET(数出表_Excel【15時】!$A$1,3,D142-1),"")
&amp;IFERROR(OFFSET(数出表_Excel【15時】!$A$1,4,D142-1),""),"")</f>
        <v/>
      </c>
      <c r="F142" t="str">
        <f ca="1">IF(D142&lt;&gt;"",
OFFSET(数出表_Excel【15時】!$A$1,A142+3,D142-1),"")</f>
        <v/>
      </c>
      <c r="G142" t="str">
        <f ca="1">IF(D142&lt;&gt;"",
IF(AND(OFFSET(数出表_Excel【15時】!$A$1,A142+3,D142)&lt;&gt;"",OFFSET(数出表_Excel【15時】!$A$1,A142+3,D142)&lt;&gt;0),
OFFSET(数出表_Excel【15時】!$A$1,A142+3,D142),""),"")</f>
        <v/>
      </c>
      <c r="H142" s="209" t="str">
        <f t="array" aca="1" ref="H142" ca="1">IF(B142&lt;&gt;"",
IFERROR(MATCH(TRUE,ISNUMBER(INDIRECT("数出表_Excel【15時】!"&amp;SUBSTITUTE(ADDRESS(1,D142+2,4),"1","")&amp;(A142+4)&amp;":ZZ"&amp;(A142+4))),0)+D142+1,""),"")</f>
        <v/>
      </c>
      <c r="I142" t="str">
        <f ca="1">IF(H142&lt;&gt;"",
OFFSET(数出表_Excel【15時】!$A$1,2,H142-1)
&amp;IFERROR(OFFSET(数出表_Excel【15時】!$A$1,3,H142-1),"")
&amp;IFERROR(OFFSET(数出表_Excel【15時】!$A$1,4,H142-1),""),"")</f>
        <v/>
      </c>
      <c r="J142" t="str">
        <f ca="1">IF(H142&lt;&gt;"",
OFFSET(数出表_Excel【15時】!$A$1,A142+3,H142-1),"")</f>
        <v/>
      </c>
      <c r="K142" t="str">
        <f ca="1">IF(H142&lt;&gt;"",
IF(AND(OFFSET(数出表_Excel【15時】!$A$1,A142+3,H142)&lt;&gt;"",OFFSET(数出表_Excel【15時】!$A$1,A142+3,H142)&lt;&gt;0),
OFFSET(数出表_Excel【15時】!$A$1,A142+3,H142),""),"")</f>
        <v/>
      </c>
      <c r="L142" s="209" t="str">
        <f t="array" aca="1" ref="L142" ca="1">IF(B142&lt;&gt;"",
IFERROR(MATCH(TRUE,ISNUMBER(INDIRECT("数出表_Excel【15時】!"&amp;SUBSTITUTE(ADDRESS(1,H142+2,4),"1","")&amp;(A142+4)&amp;":ZZ"&amp;(A142+4))),0)+H142+1,""),"")</f>
        <v/>
      </c>
      <c r="M142" t="str">
        <f ca="1">IF(L142&lt;&gt;"",
OFFSET(数出表_Excel【15時】!$A$1,2,L142-1)
&amp;IFERROR(OFFSET(数出表_Excel【15時】!$A$1,3,L142-1),"")
&amp;IFERROR(OFFSET(数出表_Excel【15時】!$A$1,4,L142-1),""),"")</f>
        <v/>
      </c>
      <c r="N142" t="str">
        <f ca="1">IF(L142&lt;&gt;"",
OFFSET(数出表_Excel【15時】!$A$1,A142+3,L142-1),"")</f>
        <v/>
      </c>
      <c r="O142" t="str">
        <f ca="1">IF(L142&lt;&gt;"",
IF(AND(OFFSET(数出表_Excel【15時】!$A$1,A142+3,L142)&lt;&gt;"",OFFSET(数出表_Excel【15時】!$A$1,A142+3,L142)&lt;&gt;0),
OFFSET(数出表_Excel【15時】!$A$1,A142+3,L142),""),"")</f>
        <v/>
      </c>
      <c r="Q142" t="str">
        <f ca="1">IF(C142&lt;&gt;"",
IF(E142&lt;&gt;"",1,0)+IF(I142&lt;&gt;"",1,0)+IF(M142&lt;&gt;"",1,0),"")</f>
        <v/>
      </c>
      <c r="AH142" t="str">
        <f t="array" aca="1" ref="AH142" ca="1">IFERROR(SMALL(IF(O$1:O$307&lt;&gt;0,O$1:O$307),ROW(AH142)),"")</f>
        <v/>
      </c>
      <c r="AI142" t="str">
        <f t="array" aca="1" ref="AI142" ca="1">IF($T142&lt;&gt;"",
SUBSTITUTE(SUBSTITUTE(INDIRECT("B"&amp;$T142&amp;"")," 週3ｺｰｽ","")," 週5ｺｰｽ",""),"")</f>
        <v/>
      </c>
    </row>
    <row r="143" spans="1:35">
      <c r="A143" t="str">
        <f t="shared" ca="1" si="2"/>
        <v/>
      </c>
      <c r="B143" t="str">
        <f t="array" aca="1" ref="B143" ca="1">IF(OR(COUNTIF(数出表_Excel【15時】!AO146,"*修正*"),COUNTIF(数出表_Excel【15時】!AO147,"*修正*")),
IF(ISEVEN(ROW()+4),INDIRECT("数出表_Excel【15時】!A"&amp;ROW()+4&amp;""),INDIRECT("数出表_Excel【15時】!A"&amp;ROW()+4-1&amp;"")),"")</f>
        <v/>
      </c>
      <c r="C143" t="str">
        <f t="array" aca="1" ref="C143" ca="1">IF(OR(COUNTIF(数出表_Excel【15時】!AO146,"*修正*"),COUNTIF(数出表_Excel【15時】!AO147,"*修正*")),
IF(ISEVEN(ROW()+4),INDIRECT("数出表_Excel【15時】!A"&amp;ROW()+4+1&amp;""),INDIRECT("数出表_Excel【15時】!A"&amp;ROW()+4&amp;"")),"")</f>
        <v/>
      </c>
      <c r="D143" s="209" t="str">
        <f t="array" aca="1" ref="D143" ca="1">IF(B143&lt;&gt;"",
IFERROR(MATCH(TRUE,ISNUMBER(INDIRECT("数出表_Excel【15時】!B"&amp;(A143+4)&amp;":ZZ"&amp;(A143+4))),0)+1,""),"")</f>
        <v/>
      </c>
      <c r="E143" t="str">
        <f ca="1">IF(D143&lt;&gt;"",
OFFSET(数出表_Excel【15時】!$A$1,2,D143-1)
&amp;IFERROR(OFFSET(数出表_Excel【15時】!$A$1,3,D143-1),"")
&amp;IFERROR(OFFSET(数出表_Excel【15時】!$A$1,4,D143-1),""),"")</f>
        <v/>
      </c>
      <c r="F143" t="str">
        <f ca="1">IF(D143&lt;&gt;"",
OFFSET(数出表_Excel【15時】!$A$1,A143+3,D143-1),"")</f>
        <v/>
      </c>
      <c r="G143" t="str">
        <f ca="1">IF(D143&lt;&gt;"",
IF(AND(OFFSET(数出表_Excel【15時】!$A$1,A143+3,D143)&lt;&gt;"",OFFSET(数出表_Excel【15時】!$A$1,A143+3,D143)&lt;&gt;0),
OFFSET(数出表_Excel【15時】!$A$1,A143+3,D143),""),"")</f>
        <v/>
      </c>
      <c r="H143" s="209" t="str">
        <f t="array" aca="1" ref="H143" ca="1">IF(B143&lt;&gt;"",
IFERROR(MATCH(TRUE,ISNUMBER(INDIRECT("数出表_Excel【15時】!"&amp;SUBSTITUTE(ADDRESS(1,D143+2,4),"1","")&amp;(A143+4)&amp;":ZZ"&amp;(A143+4))),0)+D143+1,""),"")</f>
        <v/>
      </c>
      <c r="I143" t="str">
        <f ca="1">IF(H143&lt;&gt;"",
OFFSET(数出表_Excel【15時】!$A$1,2,H143-1)
&amp;IFERROR(OFFSET(数出表_Excel【15時】!$A$1,3,H143-1),"")
&amp;IFERROR(OFFSET(数出表_Excel【15時】!$A$1,4,H143-1),""),"")</f>
        <v/>
      </c>
      <c r="J143" t="str">
        <f ca="1">IF(H143&lt;&gt;"",
OFFSET(数出表_Excel【15時】!$A$1,A143+3,H143-1),"")</f>
        <v/>
      </c>
      <c r="K143" t="str">
        <f ca="1">IF(H143&lt;&gt;"",
IF(AND(OFFSET(数出表_Excel【15時】!$A$1,A143+3,H143)&lt;&gt;"",OFFSET(数出表_Excel【15時】!$A$1,A143+3,H143)&lt;&gt;0),
OFFSET(数出表_Excel【15時】!$A$1,A143+3,H143),""),"")</f>
        <v/>
      </c>
      <c r="L143" s="209" t="str">
        <f t="array" aca="1" ref="L143" ca="1">IF(B143&lt;&gt;"",
IFERROR(MATCH(TRUE,ISNUMBER(INDIRECT("数出表_Excel【15時】!"&amp;SUBSTITUTE(ADDRESS(1,H143+2,4),"1","")&amp;(A143+4)&amp;":ZZ"&amp;(A143+4))),0)+H143+1,""),"")</f>
        <v/>
      </c>
      <c r="M143" t="str">
        <f ca="1">IF(L143&lt;&gt;"",
OFFSET(数出表_Excel【15時】!$A$1,2,L143-1)
&amp;IFERROR(OFFSET(数出表_Excel【15時】!$A$1,3,L143-1),"")
&amp;IFERROR(OFFSET(数出表_Excel【15時】!$A$1,4,L143-1),""),"")</f>
        <v/>
      </c>
      <c r="N143" t="str">
        <f ca="1">IF(L143&lt;&gt;"",
OFFSET(数出表_Excel【15時】!$A$1,A143+3,L143-1),"")</f>
        <v/>
      </c>
      <c r="O143" t="str">
        <f ca="1">IF(L143&lt;&gt;"",
IF(AND(OFFSET(数出表_Excel【15時】!$A$1,A143+3,L143)&lt;&gt;"",OFFSET(数出表_Excel【15時】!$A$1,A143+3,L143)&lt;&gt;0),
OFFSET(数出表_Excel【15時】!$A$1,A143+3,L143),""),"")</f>
        <v/>
      </c>
      <c r="AH143" t="str">
        <f t="array" aca="1" ref="AH143" ca="1">IFERROR(SMALL(IF(O$1:O$307&lt;&gt;0,O$1:O$307),ROW(AH143)),"")</f>
        <v/>
      </c>
      <c r="AI143" t="str">
        <f t="array" aca="1" ref="AI143" ca="1">IF($T143&lt;&gt;"",
SUBSTITUTE(SUBSTITUTE(INDIRECT("B"&amp;$T143&amp;"")," 週3ｺｰｽ","")," 週5ｺｰｽ",""),"")</f>
        <v/>
      </c>
    </row>
    <row r="144" spans="1:35">
      <c r="A144" t="str">
        <f t="shared" ca="1" si="2"/>
        <v/>
      </c>
      <c r="B144" t="str">
        <f t="array" aca="1" ref="B144" ca="1">IF(OR(COUNTIF(数出表_Excel【15時】!AO148,"*修正*"),COUNTIF(数出表_Excel【15時】!AO149,"*修正*")),
IF(ISEVEN(ROW()+4),INDIRECT("数出表_Excel【15時】!A"&amp;ROW()+4&amp;""),INDIRECT("数出表_Excel【15時】!A"&amp;ROW()+4-1&amp;"")),"")</f>
        <v/>
      </c>
      <c r="C144" t="str">
        <f t="array" aca="1" ref="C144" ca="1">IF(OR(COUNTIF(数出表_Excel【15時】!AO148,"*修正*"),COUNTIF(数出表_Excel【15時】!AO149,"*修正*")),
IF(ISEVEN(ROW()+4),INDIRECT("数出表_Excel【15時】!A"&amp;ROW()+4+1&amp;""),INDIRECT("数出表_Excel【15時】!A"&amp;ROW()+4&amp;"")),"")</f>
        <v/>
      </c>
      <c r="D144" s="209" t="str">
        <f t="array" aca="1" ref="D144" ca="1">IF(B144&lt;&gt;"",
IFERROR(MATCH(TRUE,ISNUMBER(INDIRECT("数出表_Excel【15時】!B"&amp;(A144+4)&amp;":ZZ"&amp;(A144+4))),0)+1,""),"")</f>
        <v/>
      </c>
      <c r="E144" t="str">
        <f ca="1">IF(D144&lt;&gt;"",
OFFSET(数出表_Excel【15時】!$A$1,2,D144-1)
&amp;IFERROR(OFFSET(数出表_Excel【15時】!$A$1,3,D144-1),"")
&amp;IFERROR(OFFSET(数出表_Excel【15時】!$A$1,4,D144-1),""),"")</f>
        <v/>
      </c>
      <c r="F144" t="str">
        <f ca="1">IF(D144&lt;&gt;"",
OFFSET(数出表_Excel【15時】!$A$1,A144+3,D144-1),"")</f>
        <v/>
      </c>
      <c r="G144" t="str">
        <f ca="1">IF(D144&lt;&gt;"",
IF(AND(OFFSET(数出表_Excel【15時】!$A$1,A144+3,D144)&lt;&gt;"",OFFSET(数出表_Excel【15時】!$A$1,A144+3,D144)&lt;&gt;0),
OFFSET(数出表_Excel【15時】!$A$1,A144+3,D144),""),"")</f>
        <v/>
      </c>
      <c r="H144" s="209" t="str">
        <f t="array" aca="1" ref="H144" ca="1">IF(B144&lt;&gt;"",
IFERROR(MATCH(TRUE,ISNUMBER(INDIRECT("数出表_Excel【15時】!"&amp;SUBSTITUTE(ADDRESS(1,D144+2,4),"1","")&amp;(A144+4)&amp;":ZZ"&amp;(A144+4))),0)+D144+1,""),"")</f>
        <v/>
      </c>
      <c r="I144" t="str">
        <f ca="1">IF(H144&lt;&gt;"",
OFFSET(数出表_Excel【15時】!$A$1,2,H144-1)
&amp;IFERROR(OFFSET(数出表_Excel【15時】!$A$1,3,H144-1),"")
&amp;IFERROR(OFFSET(数出表_Excel【15時】!$A$1,4,H144-1),""),"")</f>
        <v/>
      </c>
      <c r="J144" t="str">
        <f ca="1">IF(H144&lt;&gt;"",
OFFSET(数出表_Excel【15時】!$A$1,A144+3,H144-1),"")</f>
        <v/>
      </c>
      <c r="K144" t="str">
        <f ca="1">IF(H144&lt;&gt;"",
IF(AND(OFFSET(数出表_Excel【15時】!$A$1,A144+3,H144)&lt;&gt;"",OFFSET(数出表_Excel【15時】!$A$1,A144+3,H144)&lt;&gt;0),
OFFSET(数出表_Excel【15時】!$A$1,A144+3,H144),""),"")</f>
        <v/>
      </c>
      <c r="L144" s="209" t="str">
        <f t="array" aca="1" ref="L144" ca="1">IF(B144&lt;&gt;"",
IFERROR(MATCH(TRUE,ISNUMBER(INDIRECT("数出表_Excel【15時】!"&amp;SUBSTITUTE(ADDRESS(1,H144+2,4),"1","")&amp;(A144+4)&amp;":ZZ"&amp;(A144+4))),0)+H144+1,""),"")</f>
        <v/>
      </c>
      <c r="M144" t="str">
        <f ca="1">IF(L144&lt;&gt;"",
OFFSET(数出表_Excel【15時】!$A$1,2,L144-1)
&amp;IFERROR(OFFSET(数出表_Excel【15時】!$A$1,3,L144-1),"")
&amp;IFERROR(OFFSET(数出表_Excel【15時】!$A$1,4,L144-1),""),"")</f>
        <v/>
      </c>
      <c r="N144" t="str">
        <f ca="1">IF(L144&lt;&gt;"",
OFFSET(数出表_Excel【15時】!$A$1,A144+3,L144-1),"")</f>
        <v/>
      </c>
      <c r="O144" t="str">
        <f ca="1">IF(L144&lt;&gt;"",
IF(AND(OFFSET(数出表_Excel【15時】!$A$1,A144+3,L144)&lt;&gt;"",OFFSET(数出表_Excel【15時】!$A$1,A144+3,L144)&lt;&gt;0),
OFFSET(数出表_Excel【15時】!$A$1,A144+3,L144),""),"")</f>
        <v/>
      </c>
      <c r="Q144" t="str">
        <f ca="1">IF(C144&lt;&gt;"",
IF(E144&lt;&gt;"",1,0)+IF(I144&lt;&gt;"",1,0)+IF(M144&lt;&gt;"",1,0),"")</f>
        <v/>
      </c>
      <c r="AH144" t="str">
        <f t="array" aca="1" ref="AH144" ca="1">IFERROR(SMALL(IF(O$1:O$307&lt;&gt;0,O$1:O$307),ROW(AH144)),"")</f>
        <v/>
      </c>
      <c r="AI144" t="str">
        <f t="array" aca="1" ref="AI144" ca="1">IF($T144&lt;&gt;"",
SUBSTITUTE(SUBSTITUTE(INDIRECT("B"&amp;$T144&amp;"")," 週3ｺｰｽ","")," 週5ｺｰｽ",""),"")</f>
        <v/>
      </c>
    </row>
    <row r="145" spans="1:35">
      <c r="A145" t="str">
        <f t="shared" ca="1" si="2"/>
        <v/>
      </c>
      <c r="B145" t="str">
        <f t="array" aca="1" ref="B145" ca="1">IF(OR(COUNTIF(数出表_Excel【15時】!AO148,"*修正*"),COUNTIF(数出表_Excel【15時】!AO149,"*修正*")),
IF(ISEVEN(ROW()+4),INDIRECT("数出表_Excel【15時】!A"&amp;ROW()+4&amp;""),INDIRECT("数出表_Excel【15時】!A"&amp;ROW()+4-1&amp;"")),"")</f>
        <v/>
      </c>
      <c r="C145" t="str">
        <f t="array" aca="1" ref="C145" ca="1">IF(OR(COUNTIF(数出表_Excel【15時】!AO148,"*修正*"),COUNTIF(数出表_Excel【15時】!AO149,"*修正*")),
IF(ISEVEN(ROW()+4),INDIRECT("数出表_Excel【15時】!A"&amp;ROW()+4+1&amp;""),INDIRECT("数出表_Excel【15時】!A"&amp;ROW()+4&amp;"")),"")</f>
        <v/>
      </c>
      <c r="D145" s="209" t="str">
        <f t="array" aca="1" ref="D145" ca="1">IF(B145&lt;&gt;"",
IFERROR(MATCH(TRUE,ISNUMBER(INDIRECT("数出表_Excel【15時】!B"&amp;(A145+4)&amp;":ZZ"&amp;(A145+4))),0)+1,""),"")</f>
        <v/>
      </c>
      <c r="E145" t="str">
        <f ca="1">IF(D145&lt;&gt;"",
OFFSET(数出表_Excel【15時】!$A$1,2,D145-1)
&amp;IFERROR(OFFSET(数出表_Excel【15時】!$A$1,3,D145-1),"")
&amp;IFERROR(OFFSET(数出表_Excel【15時】!$A$1,4,D145-1),""),"")</f>
        <v/>
      </c>
      <c r="F145" t="str">
        <f ca="1">IF(D145&lt;&gt;"",
OFFSET(数出表_Excel【15時】!$A$1,A145+3,D145-1),"")</f>
        <v/>
      </c>
      <c r="G145" t="str">
        <f ca="1">IF(D145&lt;&gt;"",
IF(AND(OFFSET(数出表_Excel【15時】!$A$1,A145+3,D145)&lt;&gt;"",OFFSET(数出表_Excel【15時】!$A$1,A145+3,D145)&lt;&gt;0),
OFFSET(数出表_Excel【15時】!$A$1,A145+3,D145),""),"")</f>
        <v/>
      </c>
      <c r="H145" s="209" t="str">
        <f t="array" aca="1" ref="H145" ca="1">IF(B145&lt;&gt;"",
IFERROR(MATCH(TRUE,ISNUMBER(INDIRECT("数出表_Excel【15時】!"&amp;SUBSTITUTE(ADDRESS(1,D145+2,4),"1","")&amp;(A145+4)&amp;":ZZ"&amp;(A145+4))),0)+D145+1,""),"")</f>
        <v/>
      </c>
      <c r="I145" t="str">
        <f ca="1">IF(H145&lt;&gt;"",
OFFSET(数出表_Excel【15時】!$A$1,2,H145-1)
&amp;IFERROR(OFFSET(数出表_Excel【15時】!$A$1,3,H145-1),"")
&amp;IFERROR(OFFSET(数出表_Excel【15時】!$A$1,4,H145-1),""),"")</f>
        <v/>
      </c>
      <c r="J145" t="str">
        <f ca="1">IF(H145&lt;&gt;"",
OFFSET(数出表_Excel【15時】!$A$1,A145+3,H145-1),"")</f>
        <v/>
      </c>
      <c r="K145" t="str">
        <f ca="1">IF(H145&lt;&gt;"",
IF(AND(OFFSET(数出表_Excel【15時】!$A$1,A145+3,H145)&lt;&gt;"",OFFSET(数出表_Excel【15時】!$A$1,A145+3,H145)&lt;&gt;0),
OFFSET(数出表_Excel【15時】!$A$1,A145+3,H145),""),"")</f>
        <v/>
      </c>
      <c r="L145" s="209" t="str">
        <f t="array" aca="1" ref="L145" ca="1">IF(B145&lt;&gt;"",
IFERROR(MATCH(TRUE,ISNUMBER(INDIRECT("数出表_Excel【15時】!"&amp;SUBSTITUTE(ADDRESS(1,H145+2,4),"1","")&amp;(A145+4)&amp;":ZZ"&amp;(A145+4))),0)+H145+1,""),"")</f>
        <v/>
      </c>
      <c r="M145" t="str">
        <f ca="1">IF(L145&lt;&gt;"",
OFFSET(数出表_Excel【15時】!$A$1,2,L145-1)
&amp;IFERROR(OFFSET(数出表_Excel【15時】!$A$1,3,L145-1),"")
&amp;IFERROR(OFFSET(数出表_Excel【15時】!$A$1,4,L145-1),""),"")</f>
        <v/>
      </c>
      <c r="N145" t="str">
        <f ca="1">IF(L145&lt;&gt;"",
OFFSET(数出表_Excel【15時】!$A$1,A145+3,L145-1),"")</f>
        <v/>
      </c>
      <c r="O145" t="str">
        <f ca="1">IF(L145&lt;&gt;"",
IF(AND(OFFSET(数出表_Excel【15時】!$A$1,A145+3,L145)&lt;&gt;"",OFFSET(数出表_Excel【15時】!$A$1,A145+3,L145)&lt;&gt;0),
OFFSET(数出表_Excel【15時】!$A$1,A145+3,L145),""),"")</f>
        <v/>
      </c>
      <c r="AH145" t="str">
        <f t="array" aca="1" ref="AH145" ca="1">IFERROR(SMALL(IF(O$1:O$307&lt;&gt;0,O$1:O$307),ROW(AH145)),"")</f>
        <v/>
      </c>
      <c r="AI145" t="str">
        <f t="array" aca="1" ref="AI145" ca="1">IF($T145&lt;&gt;"",
SUBSTITUTE(SUBSTITUTE(INDIRECT("B"&amp;$T145&amp;"")," 週3ｺｰｽ","")," 週5ｺｰｽ",""),"")</f>
        <v/>
      </c>
    </row>
    <row r="146" spans="1:35">
      <c r="A146" t="str">
        <f t="shared" ca="1" si="2"/>
        <v/>
      </c>
      <c r="B146" t="str">
        <f t="array" aca="1" ref="B146" ca="1">IF(OR(COUNTIF(数出表_Excel【15時】!AO150,"*修正*"),COUNTIF(数出表_Excel【15時】!AO151,"*修正*")),
IF(ISEVEN(ROW()+4),INDIRECT("数出表_Excel【15時】!A"&amp;ROW()+4&amp;""),INDIRECT("数出表_Excel【15時】!A"&amp;ROW()+4-1&amp;"")),"")</f>
        <v/>
      </c>
      <c r="C146" t="str">
        <f t="array" aca="1" ref="C146" ca="1">IF(OR(COUNTIF(数出表_Excel【15時】!AO150,"*修正*"),COUNTIF(数出表_Excel【15時】!AO151,"*修正*")),
IF(ISEVEN(ROW()+4),INDIRECT("数出表_Excel【15時】!A"&amp;ROW()+4+1&amp;""),INDIRECT("数出表_Excel【15時】!A"&amp;ROW()+4&amp;"")),"")</f>
        <v/>
      </c>
      <c r="D146" s="209" t="str">
        <f t="array" aca="1" ref="D146" ca="1">IF(B146&lt;&gt;"",
IFERROR(MATCH(TRUE,ISNUMBER(INDIRECT("数出表_Excel【15時】!B"&amp;(A146+4)&amp;":ZZ"&amp;(A146+4))),0)+1,""),"")</f>
        <v/>
      </c>
      <c r="E146" t="str">
        <f ca="1">IF(D146&lt;&gt;"",
OFFSET(数出表_Excel【15時】!$A$1,2,D146-1)
&amp;IFERROR(OFFSET(数出表_Excel【15時】!$A$1,3,D146-1),"")
&amp;IFERROR(OFFSET(数出表_Excel【15時】!$A$1,4,D146-1),""),"")</f>
        <v/>
      </c>
      <c r="F146" t="str">
        <f ca="1">IF(D146&lt;&gt;"",
OFFSET(数出表_Excel【15時】!$A$1,A146+3,D146-1),"")</f>
        <v/>
      </c>
      <c r="G146" t="str">
        <f ca="1">IF(D146&lt;&gt;"",
IF(AND(OFFSET(数出表_Excel【15時】!$A$1,A146+3,D146)&lt;&gt;"",OFFSET(数出表_Excel【15時】!$A$1,A146+3,D146)&lt;&gt;0),
OFFSET(数出表_Excel【15時】!$A$1,A146+3,D146),""),"")</f>
        <v/>
      </c>
      <c r="H146" s="209" t="str">
        <f t="array" aca="1" ref="H146" ca="1">IF(B146&lt;&gt;"",
IFERROR(MATCH(TRUE,ISNUMBER(INDIRECT("数出表_Excel【15時】!"&amp;SUBSTITUTE(ADDRESS(1,D146+2,4),"1","")&amp;(A146+4)&amp;":ZZ"&amp;(A146+4))),0)+D146+1,""),"")</f>
        <v/>
      </c>
      <c r="I146" t="str">
        <f ca="1">IF(H146&lt;&gt;"",
OFFSET(数出表_Excel【15時】!$A$1,2,H146-1)
&amp;IFERROR(OFFSET(数出表_Excel【15時】!$A$1,3,H146-1),"")
&amp;IFERROR(OFFSET(数出表_Excel【15時】!$A$1,4,H146-1),""),"")</f>
        <v/>
      </c>
      <c r="J146" t="str">
        <f ca="1">IF(H146&lt;&gt;"",
OFFSET(数出表_Excel【15時】!$A$1,A146+3,H146-1),"")</f>
        <v/>
      </c>
      <c r="K146" t="str">
        <f ca="1">IF(H146&lt;&gt;"",
IF(AND(OFFSET(数出表_Excel【15時】!$A$1,A146+3,H146)&lt;&gt;"",OFFSET(数出表_Excel【15時】!$A$1,A146+3,H146)&lt;&gt;0),
OFFSET(数出表_Excel【15時】!$A$1,A146+3,H146),""),"")</f>
        <v/>
      </c>
      <c r="L146" s="209" t="str">
        <f t="array" aca="1" ref="L146" ca="1">IF(B146&lt;&gt;"",
IFERROR(MATCH(TRUE,ISNUMBER(INDIRECT("数出表_Excel【15時】!"&amp;SUBSTITUTE(ADDRESS(1,H146+2,4),"1","")&amp;(A146+4)&amp;":ZZ"&amp;(A146+4))),0)+H146+1,""),"")</f>
        <v/>
      </c>
      <c r="M146" t="str">
        <f ca="1">IF(L146&lt;&gt;"",
OFFSET(数出表_Excel【15時】!$A$1,2,L146-1)
&amp;IFERROR(OFFSET(数出表_Excel【15時】!$A$1,3,L146-1),"")
&amp;IFERROR(OFFSET(数出表_Excel【15時】!$A$1,4,L146-1),""),"")</f>
        <v/>
      </c>
      <c r="N146" t="str">
        <f ca="1">IF(L146&lt;&gt;"",
OFFSET(数出表_Excel【15時】!$A$1,A146+3,L146-1),"")</f>
        <v/>
      </c>
      <c r="O146" t="str">
        <f ca="1">IF(L146&lt;&gt;"",
IF(AND(OFFSET(数出表_Excel【15時】!$A$1,A146+3,L146)&lt;&gt;"",OFFSET(数出表_Excel【15時】!$A$1,A146+3,L146)&lt;&gt;0),
OFFSET(数出表_Excel【15時】!$A$1,A146+3,L146),""),"")</f>
        <v/>
      </c>
      <c r="Q146" t="str">
        <f ca="1">IF(C146&lt;&gt;"",
IF(E146&lt;&gt;"",1,0)+IF(I146&lt;&gt;"",1,0)+IF(M146&lt;&gt;"",1,0),"")</f>
        <v/>
      </c>
      <c r="AH146" t="str">
        <f t="array" aca="1" ref="AH146" ca="1">IFERROR(SMALL(IF(O$1:O$307&lt;&gt;0,O$1:O$307),ROW(AH146)),"")</f>
        <v/>
      </c>
      <c r="AI146" t="str">
        <f t="array" aca="1" ref="AI146" ca="1">IF($T146&lt;&gt;"",
SUBSTITUTE(SUBSTITUTE(INDIRECT("B"&amp;$T146&amp;"")," 週3ｺｰｽ","")," 週5ｺｰｽ",""),"")</f>
        <v/>
      </c>
    </row>
    <row r="147" spans="1:35">
      <c r="A147" t="str">
        <f t="shared" ca="1" si="2"/>
        <v/>
      </c>
      <c r="B147" t="str">
        <f t="array" aca="1" ref="B147" ca="1">IF(OR(COUNTIF(数出表_Excel【15時】!AO150,"*修正*"),COUNTIF(数出表_Excel【15時】!AO151,"*修正*")),
IF(ISEVEN(ROW()+4),INDIRECT("数出表_Excel【15時】!A"&amp;ROW()+4&amp;""),INDIRECT("数出表_Excel【15時】!A"&amp;ROW()+4-1&amp;"")),"")</f>
        <v/>
      </c>
      <c r="C147" t="str">
        <f t="array" aca="1" ref="C147" ca="1">IF(OR(COUNTIF(数出表_Excel【15時】!AO150,"*修正*"),COUNTIF(数出表_Excel【15時】!AO151,"*修正*")),
IF(ISEVEN(ROW()+4),INDIRECT("数出表_Excel【15時】!A"&amp;ROW()+4+1&amp;""),INDIRECT("数出表_Excel【15時】!A"&amp;ROW()+4&amp;"")),"")</f>
        <v/>
      </c>
      <c r="D147" s="209" t="str">
        <f t="array" aca="1" ref="D147" ca="1">IF(B147&lt;&gt;"",
IFERROR(MATCH(TRUE,ISNUMBER(INDIRECT("数出表_Excel【15時】!B"&amp;(A147+4)&amp;":ZZ"&amp;(A147+4))),0)+1,""),"")</f>
        <v/>
      </c>
      <c r="E147" t="str">
        <f ca="1">IF(D147&lt;&gt;"",
OFFSET(数出表_Excel【15時】!$A$1,2,D147-1)
&amp;IFERROR(OFFSET(数出表_Excel【15時】!$A$1,3,D147-1),"")
&amp;IFERROR(OFFSET(数出表_Excel【15時】!$A$1,4,D147-1),""),"")</f>
        <v/>
      </c>
      <c r="F147" t="str">
        <f ca="1">IF(D147&lt;&gt;"",
OFFSET(数出表_Excel【15時】!$A$1,A147+3,D147-1),"")</f>
        <v/>
      </c>
      <c r="G147" t="str">
        <f ca="1">IF(D147&lt;&gt;"",
IF(AND(OFFSET(数出表_Excel【15時】!$A$1,A147+3,D147)&lt;&gt;"",OFFSET(数出表_Excel【15時】!$A$1,A147+3,D147)&lt;&gt;0),
OFFSET(数出表_Excel【15時】!$A$1,A147+3,D147),""),"")</f>
        <v/>
      </c>
      <c r="H147" s="209" t="str">
        <f t="array" aca="1" ref="H147" ca="1">IF(B147&lt;&gt;"",
IFERROR(MATCH(TRUE,ISNUMBER(INDIRECT("数出表_Excel【15時】!"&amp;SUBSTITUTE(ADDRESS(1,D147+2,4),"1","")&amp;(A147+4)&amp;":ZZ"&amp;(A147+4))),0)+D147+1,""),"")</f>
        <v/>
      </c>
      <c r="I147" t="str">
        <f ca="1">IF(H147&lt;&gt;"",
OFFSET(数出表_Excel【15時】!$A$1,2,H147-1)
&amp;IFERROR(OFFSET(数出表_Excel【15時】!$A$1,3,H147-1),"")
&amp;IFERROR(OFFSET(数出表_Excel【15時】!$A$1,4,H147-1),""),"")</f>
        <v/>
      </c>
      <c r="J147" t="str">
        <f ca="1">IF(H147&lt;&gt;"",
OFFSET(数出表_Excel【15時】!$A$1,A147+3,H147-1),"")</f>
        <v/>
      </c>
      <c r="K147" t="str">
        <f ca="1">IF(H147&lt;&gt;"",
IF(AND(OFFSET(数出表_Excel【15時】!$A$1,A147+3,H147)&lt;&gt;"",OFFSET(数出表_Excel【15時】!$A$1,A147+3,H147)&lt;&gt;0),
OFFSET(数出表_Excel【15時】!$A$1,A147+3,H147),""),"")</f>
        <v/>
      </c>
      <c r="L147" s="209" t="str">
        <f t="array" aca="1" ref="L147" ca="1">IF(B147&lt;&gt;"",
IFERROR(MATCH(TRUE,ISNUMBER(INDIRECT("数出表_Excel【15時】!"&amp;SUBSTITUTE(ADDRESS(1,H147+2,4),"1","")&amp;(A147+4)&amp;":ZZ"&amp;(A147+4))),0)+H147+1,""),"")</f>
        <v/>
      </c>
      <c r="M147" t="str">
        <f ca="1">IF(L147&lt;&gt;"",
OFFSET(数出表_Excel【15時】!$A$1,2,L147-1)
&amp;IFERROR(OFFSET(数出表_Excel【15時】!$A$1,3,L147-1),"")
&amp;IFERROR(OFFSET(数出表_Excel【15時】!$A$1,4,L147-1),""),"")</f>
        <v/>
      </c>
      <c r="N147" t="str">
        <f ca="1">IF(L147&lt;&gt;"",
OFFSET(数出表_Excel【15時】!$A$1,A147+3,L147-1),"")</f>
        <v/>
      </c>
      <c r="O147" t="str">
        <f ca="1">IF(L147&lt;&gt;"",
IF(AND(OFFSET(数出表_Excel【15時】!$A$1,A147+3,L147)&lt;&gt;"",OFFSET(数出表_Excel【15時】!$A$1,A147+3,L147)&lt;&gt;0),
OFFSET(数出表_Excel【15時】!$A$1,A147+3,L147),""),"")</f>
        <v/>
      </c>
      <c r="AH147" t="str">
        <f t="array" aca="1" ref="AH147" ca="1">IFERROR(SMALL(IF(O$1:O$307&lt;&gt;0,O$1:O$307),ROW(AH147)),"")</f>
        <v/>
      </c>
      <c r="AI147" t="str">
        <f t="array" aca="1" ref="AI147" ca="1">IF($T147&lt;&gt;"",
SUBSTITUTE(SUBSTITUTE(INDIRECT("B"&amp;$T147&amp;"")," 週3ｺｰｽ","")," 週5ｺｰｽ",""),"")</f>
        <v/>
      </c>
    </row>
    <row r="148" spans="1:35">
      <c r="A148" t="str">
        <f t="shared" ca="1" si="2"/>
        <v/>
      </c>
      <c r="B148" t="str">
        <f t="array" aca="1" ref="B148" ca="1">IF(OR(COUNTIF(数出表_Excel【15時】!AO152,"*修正*"),COUNTIF(数出表_Excel【15時】!AO153,"*修正*")),
IF(ISEVEN(ROW()+4),INDIRECT("数出表_Excel【15時】!A"&amp;ROW()+4&amp;""),INDIRECT("数出表_Excel【15時】!A"&amp;ROW()+4-1&amp;"")),"")</f>
        <v/>
      </c>
      <c r="C148" t="str">
        <f t="array" aca="1" ref="C148" ca="1">IF(OR(COUNTIF(数出表_Excel【15時】!AO152,"*修正*"),COUNTIF(数出表_Excel【15時】!AO153,"*修正*")),
IF(ISEVEN(ROW()+4),INDIRECT("数出表_Excel【15時】!A"&amp;ROW()+4+1&amp;""),INDIRECT("数出表_Excel【15時】!A"&amp;ROW()+4&amp;"")),"")</f>
        <v/>
      </c>
      <c r="D148" s="209" t="str">
        <f t="array" aca="1" ref="D148" ca="1">IF(B148&lt;&gt;"",
IFERROR(MATCH(TRUE,ISNUMBER(INDIRECT("数出表_Excel【15時】!B"&amp;(A148+4)&amp;":ZZ"&amp;(A148+4))),0)+1,""),"")</f>
        <v/>
      </c>
      <c r="E148" t="str">
        <f ca="1">IF(D148&lt;&gt;"",
OFFSET(数出表_Excel【15時】!$A$1,2,D148-1)
&amp;IFERROR(OFFSET(数出表_Excel【15時】!$A$1,3,D148-1),"")
&amp;IFERROR(OFFSET(数出表_Excel【15時】!$A$1,4,D148-1),""),"")</f>
        <v/>
      </c>
      <c r="F148" t="str">
        <f ca="1">IF(D148&lt;&gt;"",
OFFSET(数出表_Excel【15時】!$A$1,A148+3,D148-1),"")</f>
        <v/>
      </c>
      <c r="G148" t="str">
        <f ca="1">IF(D148&lt;&gt;"",
IF(AND(OFFSET(数出表_Excel【15時】!$A$1,A148+3,D148)&lt;&gt;"",OFFSET(数出表_Excel【15時】!$A$1,A148+3,D148)&lt;&gt;0),
OFFSET(数出表_Excel【15時】!$A$1,A148+3,D148),""),"")</f>
        <v/>
      </c>
      <c r="H148" s="209" t="str">
        <f t="array" aca="1" ref="H148" ca="1">IF(B148&lt;&gt;"",
IFERROR(MATCH(TRUE,ISNUMBER(INDIRECT("数出表_Excel【15時】!"&amp;SUBSTITUTE(ADDRESS(1,D148+2,4),"1","")&amp;(A148+4)&amp;":ZZ"&amp;(A148+4))),0)+D148+1,""),"")</f>
        <v/>
      </c>
      <c r="I148" t="str">
        <f ca="1">IF(H148&lt;&gt;"",
OFFSET(数出表_Excel【15時】!$A$1,2,H148-1)
&amp;IFERROR(OFFSET(数出表_Excel【15時】!$A$1,3,H148-1),"")
&amp;IFERROR(OFFSET(数出表_Excel【15時】!$A$1,4,H148-1),""),"")</f>
        <v/>
      </c>
      <c r="J148" t="str">
        <f ca="1">IF(H148&lt;&gt;"",
OFFSET(数出表_Excel【15時】!$A$1,A148+3,H148-1),"")</f>
        <v/>
      </c>
      <c r="K148" t="str">
        <f ca="1">IF(H148&lt;&gt;"",
IF(AND(OFFSET(数出表_Excel【15時】!$A$1,A148+3,H148)&lt;&gt;"",OFFSET(数出表_Excel【15時】!$A$1,A148+3,H148)&lt;&gt;0),
OFFSET(数出表_Excel【15時】!$A$1,A148+3,H148),""),"")</f>
        <v/>
      </c>
      <c r="L148" s="209" t="str">
        <f t="array" aca="1" ref="L148" ca="1">IF(B148&lt;&gt;"",
IFERROR(MATCH(TRUE,ISNUMBER(INDIRECT("数出表_Excel【15時】!"&amp;SUBSTITUTE(ADDRESS(1,H148+2,4),"1","")&amp;(A148+4)&amp;":ZZ"&amp;(A148+4))),0)+H148+1,""),"")</f>
        <v/>
      </c>
      <c r="M148" t="str">
        <f ca="1">IF(L148&lt;&gt;"",
OFFSET(数出表_Excel【15時】!$A$1,2,L148-1)
&amp;IFERROR(OFFSET(数出表_Excel【15時】!$A$1,3,L148-1),"")
&amp;IFERROR(OFFSET(数出表_Excel【15時】!$A$1,4,L148-1),""),"")</f>
        <v/>
      </c>
      <c r="N148" t="str">
        <f ca="1">IF(L148&lt;&gt;"",
OFFSET(数出表_Excel【15時】!$A$1,A148+3,L148-1),"")</f>
        <v/>
      </c>
      <c r="O148" t="str">
        <f ca="1">IF(L148&lt;&gt;"",
IF(AND(OFFSET(数出表_Excel【15時】!$A$1,A148+3,L148)&lt;&gt;"",OFFSET(数出表_Excel【15時】!$A$1,A148+3,L148)&lt;&gt;0),
OFFSET(数出表_Excel【15時】!$A$1,A148+3,L148),""),"")</f>
        <v/>
      </c>
      <c r="Q148" t="str">
        <f ca="1">IF(C148&lt;&gt;"",
IF(E148&lt;&gt;"",1,0)+IF(I148&lt;&gt;"",1,0)+IF(M148&lt;&gt;"",1,0),"")</f>
        <v/>
      </c>
      <c r="AH148" t="str">
        <f t="array" aca="1" ref="AH148" ca="1">IFERROR(SMALL(IF(O$1:O$307&lt;&gt;0,O$1:O$307),ROW(AH148)),"")</f>
        <v/>
      </c>
      <c r="AI148" t="str">
        <f t="array" aca="1" ref="AI148" ca="1">IF($T148&lt;&gt;"",
SUBSTITUTE(SUBSTITUTE(INDIRECT("B"&amp;$T148&amp;"")," 週3ｺｰｽ","")," 週5ｺｰｽ",""),"")</f>
        <v/>
      </c>
    </row>
    <row r="149" spans="1:35">
      <c r="A149" t="str">
        <f t="shared" ca="1" si="2"/>
        <v/>
      </c>
      <c r="B149" t="str">
        <f t="array" aca="1" ref="B149" ca="1">IF(OR(COUNTIF(数出表_Excel【15時】!AO152,"*修正*"),COUNTIF(数出表_Excel【15時】!AO153,"*修正*")),
IF(ISEVEN(ROW()+4),INDIRECT("数出表_Excel【15時】!A"&amp;ROW()+4&amp;""),INDIRECT("数出表_Excel【15時】!A"&amp;ROW()+4-1&amp;"")),"")</f>
        <v/>
      </c>
      <c r="C149" t="str">
        <f t="array" aca="1" ref="C149" ca="1">IF(OR(COUNTIF(数出表_Excel【15時】!AO152,"*修正*"),COUNTIF(数出表_Excel【15時】!AO153,"*修正*")),
IF(ISEVEN(ROW()+4),INDIRECT("数出表_Excel【15時】!A"&amp;ROW()+4+1&amp;""),INDIRECT("数出表_Excel【15時】!A"&amp;ROW()+4&amp;"")),"")</f>
        <v/>
      </c>
      <c r="D149" s="209" t="str">
        <f t="array" aca="1" ref="D149" ca="1">IF(B149&lt;&gt;"",
IFERROR(MATCH(TRUE,ISNUMBER(INDIRECT("数出表_Excel【15時】!B"&amp;(A149+4)&amp;":ZZ"&amp;(A149+4))),0)+1,""),"")</f>
        <v/>
      </c>
      <c r="E149" t="str">
        <f ca="1">IF(D149&lt;&gt;"",
OFFSET(数出表_Excel【15時】!$A$1,2,D149-1)
&amp;IFERROR(OFFSET(数出表_Excel【15時】!$A$1,3,D149-1),"")
&amp;IFERROR(OFFSET(数出表_Excel【15時】!$A$1,4,D149-1),""),"")</f>
        <v/>
      </c>
      <c r="F149" t="str">
        <f ca="1">IF(D149&lt;&gt;"",
OFFSET(数出表_Excel【15時】!$A$1,A149+3,D149-1),"")</f>
        <v/>
      </c>
      <c r="G149" t="str">
        <f ca="1">IF(D149&lt;&gt;"",
IF(AND(OFFSET(数出表_Excel【15時】!$A$1,A149+3,D149)&lt;&gt;"",OFFSET(数出表_Excel【15時】!$A$1,A149+3,D149)&lt;&gt;0),
OFFSET(数出表_Excel【15時】!$A$1,A149+3,D149),""),"")</f>
        <v/>
      </c>
      <c r="H149" s="209" t="str">
        <f t="array" aca="1" ref="H149" ca="1">IF(B149&lt;&gt;"",
IFERROR(MATCH(TRUE,ISNUMBER(INDIRECT("数出表_Excel【15時】!"&amp;SUBSTITUTE(ADDRESS(1,D149+2,4),"1","")&amp;(A149+4)&amp;":ZZ"&amp;(A149+4))),0)+D149+1,""),"")</f>
        <v/>
      </c>
      <c r="I149" t="str">
        <f ca="1">IF(H149&lt;&gt;"",
OFFSET(数出表_Excel【15時】!$A$1,2,H149-1)
&amp;IFERROR(OFFSET(数出表_Excel【15時】!$A$1,3,H149-1),"")
&amp;IFERROR(OFFSET(数出表_Excel【15時】!$A$1,4,H149-1),""),"")</f>
        <v/>
      </c>
      <c r="J149" t="str">
        <f ca="1">IF(H149&lt;&gt;"",
OFFSET(数出表_Excel【15時】!$A$1,A149+3,H149-1),"")</f>
        <v/>
      </c>
      <c r="K149" t="str">
        <f ca="1">IF(H149&lt;&gt;"",
IF(AND(OFFSET(数出表_Excel【15時】!$A$1,A149+3,H149)&lt;&gt;"",OFFSET(数出表_Excel【15時】!$A$1,A149+3,H149)&lt;&gt;0),
OFFSET(数出表_Excel【15時】!$A$1,A149+3,H149),""),"")</f>
        <v/>
      </c>
      <c r="L149" s="209" t="str">
        <f t="array" aca="1" ref="L149" ca="1">IF(B149&lt;&gt;"",
IFERROR(MATCH(TRUE,ISNUMBER(INDIRECT("数出表_Excel【15時】!"&amp;SUBSTITUTE(ADDRESS(1,H149+2,4),"1","")&amp;(A149+4)&amp;":ZZ"&amp;(A149+4))),0)+H149+1,""),"")</f>
        <v/>
      </c>
      <c r="M149" t="str">
        <f ca="1">IF(L149&lt;&gt;"",
OFFSET(数出表_Excel【15時】!$A$1,2,L149-1)
&amp;IFERROR(OFFSET(数出表_Excel【15時】!$A$1,3,L149-1),"")
&amp;IFERROR(OFFSET(数出表_Excel【15時】!$A$1,4,L149-1),""),"")</f>
        <v/>
      </c>
      <c r="N149" t="str">
        <f ca="1">IF(L149&lt;&gt;"",
OFFSET(数出表_Excel【15時】!$A$1,A149+3,L149-1),"")</f>
        <v/>
      </c>
      <c r="O149" t="str">
        <f ca="1">IF(L149&lt;&gt;"",
IF(AND(OFFSET(数出表_Excel【15時】!$A$1,A149+3,L149)&lt;&gt;"",OFFSET(数出表_Excel【15時】!$A$1,A149+3,L149)&lt;&gt;0),
OFFSET(数出表_Excel【15時】!$A$1,A149+3,L149),""),"")</f>
        <v/>
      </c>
      <c r="AH149" t="str">
        <f t="array" aca="1" ref="AH149" ca="1">IFERROR(SMALL(IF(O$1:O$307&lt;&gt;0,O$1:O$307),ROW(AH149)),"")</f>
        <v/>
      </c>
      <c r="AI149" t="str">
        <f t="array" aca="1" ref="AI149" ca="1">IF($T149&lt;&gt;"",
SUBSTITUTE(SUBSTITUTE(INDIRECT("B"&amp;$T149&amp;"")," 週3ｺｰｽ","")," 週5ｺｰｽ",""),"")</f>
        <v/>
      </c>
    </row>
    <row r="150" spans="1:35">
      <c r="A150" t="str">
        <f t="shared" ca="1" si="2"/>
        <v/>
      </c>
      <c r="B150" t="str">
        <f t="array" aca="1" ref="B150" ca="1">IF(OR(COUNTIF(数出表_Excel【15時】!AO154,"*修正*"),COUNTIF(数出表_Excel【15時】!AO155,"*修正*")),
IF(ISEVEN(ROW()+4),INDIRECT("数出表_Excel【15時】!A"&amp;ROW()+4&amp;""),INDIRECT("数出表_Excel【15時】!A"&amp;ROW()+4-1&amp;"")),"")</f>
        <v/>
      </c>
      <c r="C150" t="str">
        <f t="array" aca="1" ref="C150" ca="1">IF(OR(COUNTIF(数出表_Excel【15時】!AO154,"*修正*"),COUNTIF(数出表_Excel【15時】!AO155,"*修正*")),
IF(ISEVEN(ROW()+4),INDIRECT("数出表_Excel【15時】!A"&amp;ROW()+4+1&amp;""),INDIRECT("数出表_Excel【15時】!A"&amp;ROW()+4&amp;"")),"")</f>
        <v/>
      </c>
      <c r="D150" s="209" t="str">
        <f t="array" aca="1" ref="D150" ca="1">IF(B150&lt;&gt;"",
IFERROR(MATCH(TRUE,ISNUMBER(INDIRECT("数出表_Excel【15時】!B"&amp;(A150+4)&amp;":ZZ"&amp;(A150+4))),0)+1,""),"")</f>
        <v/>
      </c>
      <c r="E150" t="str">
        <f ca="1">IF(D150&lt;&gt;"",
OFFSET(数出表_Excel【15時】!$A$1,2,D150-1)
&amp;IFERROR(OFFSET(数出表_Excel【15時】!$A$1,3,D150-1),"")
&amp;IFERROR(OFFSET(数出表_Excel【15時】!$A$1,4,D150-1),""),"")</f>
        <v/>
      </c>
      <c r="F150" t="str">
        <f ca="1">IF(D150&lt;&gt;"",
OFFSET(数出表_Excel【15時】!$A$1,A150+3,D150-1),"")</f>
        <v/>
      </c>
      <c r="G150" t="str">
        <f ca="1">IF(D150&lt;&gt;"",
IF(AND(OFFSET(数出表_Excel【15時】!$A$1,A150+3,D150)&lt;&gt;"",OFFSET(数出表_Excel【15時】!$A$1,A150+3,D150)&lt;&gt;0),
OFFSET(数出表_Excel【15時】!$A$1,A150+3,D150),""),"")</f>
        <v/>
      </c>
      <c r="H150" s="209" t="str">
        <f t="array" aca="1" ref="H150" ca="1">IF(B150&lt;&gt;"",
IFERROR(MATCH(TRUE,ISNUMBER(INDIRECT("数出表_Excel【15時】!"&amp;SUBSTITUTE(ADDRESS(1,D150+2,4),"1","")&amp;(A150+4)&amp;":ZZ"&amp;(A150+4))),0)+D150+1,""),"")</f>
        <v/>
      </c>
      <c r="I150" t="str">
        <f ca="1">IF(H150&lt;&gt;"",
OFFSET(数出表_Excel【15時】!$A$1,2,H150-1)
&amp;IFERROR(OFFSET(数出表_Excel【15時】!$A$1,3,H150-1),"")
&amp;IFERROR(OFFSET(数出表_Excel【15時】!$A$1,4,H150-1),""),"")</f>
        <v/>
      </c>
      <c r="J150" t="str">
        <f ca="1">IF(H150&lt;&gt;"",
OFFSET(数出表_Excel【15時】!$A$1,A150+3,H150-1),"")</f>
        <v/>
      </c>
      <c r="K150" t="str">
        <f ca="1">IF(H150&lt;&gt;"",
IF(AND(OFFSET(数出表_Excel【15時】!$A$1,A150+3,H150)&lt;&gt;"",OFFSET(数出表_Excel【15時】!$A$1,A150+3,H150)&lt;&gt;0),
OFFSET(数出表_Excel【15時】!$A$1,A150+3,H150),""),"")</f>
        <v/>
      </c>
      <c r="L150" s="209" t="str">
        <f t="array" aca="1" ref="L150" ca="1">IF(B150&lt;&gt;"",
IFERROR(MATCH(TRUE,ISNUMBER(INDIRECT("数出表_Excel【15時】!"&amp;SUBSTITUTE(ADDRESS(1,H150+2,4),"1","")&amp;(A150+4)&amp;":ZZ"&amp;(A150+4))),0)+H150+1,""),"")</f>
        <v/>
      </c>
      <c r="M150" t="str">
        <f ca="1">IF(L150&lt;&gt;"",
OFFSET(数出表_Excel【15時】!$A$1,2,L150-1)
&amp;IFERROR(OFFSET(数出表_Excel【15時】!$A$1,3,L150-1),"")
&amp;IFERROR(OFFSET(数出表_Excel【15時】!$A$1,4,L150-1),""),"")</f>
        <v/>
      </c>
      <c r="N150" t="str">
        <f ca="1">IF(L150&lt;&gt;"",
OFFSET(数出表_Excel【15時】!$A$1,A150+3,L150-1),"")</f>
        <v/>
      </c>
      <c r="O150" t="str">
        <f ca="1">IF(L150&lt;&gt;"",
IF(AND(OFFSET(数出表_Excel【15時】!$A$1,A150+3,L150)&lt;&gt;"",OFFSET(数出表_Excel【15時】!$A$1,A150+3,L150)&lt;&gt;0),
OFFSET(数出表_Excel【15時】!$A$1,A150+3,L150),""),"")</f>
        <v/>
      </c>
      <c r="Q150" t="str">
        <f ca="1">IF(C150&lt;&gt;"",
IF(E150&lt;&gt;"",1,0)+IF(I150&lt;&gt;"",1,0)+IF(M150&lt;&gt;"",1,0),"")</f>
        <v/>
      </c>
      <c r="AH150" t="str">
        <f t="array" aca="1" ref="AH150" ca="1">IFERROR(SMALL(IF(O$1:O$307&lt;&gt;0,O$1:O$307),ROW(AH150)),"")</f>
        <v/>
      </c>
      <c r="AI150" t="str">
        <f t="array" aca="1" ref="AI150" ca="1">IF($T150&lt;&gt;"",
SUBSTITUTE(SUBSTITUTE(INDIRECT("B"&amp;$T150&amp;"")," 週3ｺｰｽ","")," 週5ｺｰｽ",""),"")</f>
        <v/>
      </c>
    </row>
    <row r="151" spans="1:35">
      <c r="A151" t="str">
        <f t="shared" ca="1" si="2"/>
        <v/>
      </c>
      <c r="B151" t="str">
        <f t="array" aca="1" ref="B151" ca="1">IF(OR(COUNTIF(数出表_Excel【15時】!AO154,"*修正*"),COUNTIF(数出表_Excel【15時】!AO155,"*修正*")),
IF(ISEVEN(ROW()+4),INDIRECT("数出表_Excel【15時】!A"&amp;ROW()+4&amp;""),INDIRECT("数出表_Excel【15時】!A"&amp;ROW()+4-1&amp;"")),"")</f>
        <v/>
      </c>
      <c r="C151" t="str">
        <f t="array" aca="1" ref="C151" ca="1">IF(OR(COUNTIF(数出表_Excel【15時】!AO154,"*修正*"),COUNTIF(数出表_Excel【15時】!AO155,"*修正*")),
IF(ISEVEN(ROW()+4),INDIRECT("数出表_Excel【15時】!A"&amp;ROW()+4+1&amp;""),INDIRECT("数出表_Excel【15時】!A"&amp;ROW()+4&amp;"")),"")</f>
        <v/>
      </c>
      <c r="D151" s="209" t="str">
        <f t="array" aca="1" ref="D151" ca="1">IF(B151&lt;&gt;"",
IFERROR(MATCH(TRUE,ISNUMBER(INDIRECT("数出表_Excel【15時】!B"&amp;(A151+4)&amp;":ZZ"&amp;(A151+4))),0)+1,""),"")</f>
        <v/>
      </c>
      <c r="E151" t="str">
        <f ca="1">IF(D151&lt;&gt;"",
OFFSET(数出表_Excel【15時】!$A$1,2,D151-1)
&amp;IFERROR(OFFSET(数出表_Excel【15時】!$A$1,3,D151-1),"")
&amp;IFERROR(OFFSET(数出表_Excel【15時】!$A$1,4,D151-1),""),"")</f>
        <v/>
      </c>
      <c r="F151" t="str">
        <f ca="1">IF(D151&lt;&gt;"",
OFFSET(数出表_Excel【15時】!$A$1,A151+3,D151-1),"")</f>
        <v/>
      </c>
      <c r="G151" t="str">
        <f ca="1">IF(D151&lt;&gt;"",
IF(AND(OFFSET(数出表_Excel【15時】!$A$1,A151+3,D151)&lt;&gt;"",OFFSET(数出表_Excel【15時】!$A$1,A151+3,D151)&lt;&gt;0),
OFFSET(数出表_Excel【15時】!$A$1,A151+3,D151),""),"")</f>
        <v/>
      </c>
      <c r="H151" s="209" t="str">
        <f t="array" aca="1" ref="H151" ca="1">IF(B151&lt;&gt;"",
IFERROR(MATCH(TRUE,ISNUMBER(INDIRECT("数出表_Excel【15時】!"&amp;SUBSTITUTE(ADDRESS(1,D151+2,4),"1","")&amp;(A151+4)&amp;":ZZ"&amp;(A151+4))),0)+D151+1,""),"")</f>
        <v/>
      </c>
      <c r="I151" t="str">
        <f ca="1">IF(H151&lt;&gt;"",
OFFSET(数出表_Excel【15時】!$A$1,2,H151-1)
&amp;IFERROR(OFFSET(数出表_Excel【15時】!$A$1,3,H151-1),"")
&amp;IFERROR(OFFSET(数出表_Excel【15時】!$A$1,4,H151-1),""),"")</f>
        <v/>
      </c>
      <c r="J151" t="str">
        <f ca="1">IF(H151&lt;&gt;"",
OFFSET(数出表_Excel【15時】!$A$1,A151+3,H151-1),"")</f>
        <v/>
      </c>
      <c r="K151" t="str">
        <f ca="1">IF(H151&lt;&gt;"",
IF(AND(OFFSET(数出表_Excel【15時】!$A$1,A151+3,H151)&lt;&gt;"",OFFSET(数出表_Excel【15時】!$A$1,A151+3,H151)&lt;&gt;0),
OFFSET(数出表_Excel【15時】!$A$1,A151+3,H151),""),"")</f>
        <v/>
      </c>
      <c r="L151" s="209" t="str">
        <f t="array" aca="1" ref="L151" ca="1">IF(B151&lt;&gt;"",
IFERROR(MATCH(TRUE,ISNUMBER(INDIRECT("数出表_Excel【15時】!"&amp;SUBSTITUTE(ADDRESS(1,H151+2,4),"1","")&amp;(A151+4)&amp;":ZZ"&amp;(A151+4))),0)+H151+1,""),"")</f>
        <v/>
      </c>
      <c r="M151" t="str">
        <f ca="1">IF(L151&lt;&gt;"",
OFFSET(数出表_Excel【15時】!$A$1,2,L151-1)
&amp;IFERROR(OFFSET(数出表_Excel【15時】!$A$1,3,L151-1),"")
&amp;IFERROR(OFFSET(数出表_Excel【15時】!$A$1,4,L151-1),""),"")</f>
        <v/>
      </c>
      <c r="N151" t="str">
        <f ca="1">IF(L151&lt;&gt;"",
OFFSET(数出表_Excel【15時】!$A$1,A151+3,L151-1),"")</f>
        <v/>
      </c>
      <c r="O151" t="str">
        <f ca="1">IF(L151&lt;&gt;"",
IF(AND(OFFSET(数出表_Excel【15時】!$A$1,A151+3,L151)&lt;&gt;"",OFFSET(数出表_Excel【15時】!$A$1,A151+3,L151)&lt;&gt;0),
OFFSET(数出表_Excel【15時】!$A$1,A151+3,L151),""),"")</f>
        <v/>
      </c>
    </row>
    <row r="152" spans="1:35">
      <c r="A152" t="str">
        <f t="shared" ca="1" si="2"/>
        <v/>
      </c>
      <c r="B152" t="str">
        <f t="array" aca="1" ref="B152" ca="1">IF(OR(COUNTIF(数出表_Excel【15時】!AO156,"*修正*"),COUNTIF(数出表_Excel【15時】!AO157,"*修正*")),
IF(ISEVEN(ROW()+4),INDIRECT("数出表_Excel【15時】!A"&amp;ROW()+4&amp;""),INDIRECT("数出表_Excel【15時】!A"&amp;ROW()+4-1&amp;"")),"")</f>
        <v/>
      </c>
      <c r="C152" t="str">
        <f t="array" aca="1" ref="C152" ca="1">IF(OR(COUNTIF(数出表_Excel【15時】!AO156,"*修正*"),COUNTIF(数出表_Excel【15時】!AO157,"*修正*")),
IF(ISEVEN(ROW()+4),INDIRECT("数出表_Excel【15時】!A"&amp;ROW()+4+1&amp;""),INDIRECT("数出表_Excel【15時】!A"&amp;ROW()+4&amp;"")),"")</f>
        <v/>
      </c>
      <c r="D152" s="209" t="str">
        <f t="array" aca="1" ref="D152" ca="1">IF(B152&lt;&gt;"",
IFERROR(MATCH(TRUE,ISNUMBER(INDIRECT("数出表_Excel【15時】!B"&amp;(A152+4)&amp;":ZZ"&amp;(A152+4))),0)+1,""),"")</f>
        <v/>
      </c>
      <c r="E152" t="str">
        <f ca="1">IF(D152&lt;&gt;"",
OFFSET(数出表_Excel【15時】!$A$1,2,D152-1)
&amp;IFERROR(OFFSET(数出表_Excel【15時】!$A$1,3,D152-1),"")
&amp;IFERROR(OFFSET(数出表_Excel【15時】!$A$1,4,D152-1),""),"")</f>
        <v/>
      </c>
      <c r="F152" t="str">
        <f ca="1">IF(D152&lt;&gt;"",
OFFSET(数出表_Excel【15時】!$A$1,A152+3,D152-1),"")</f>
        <v/>
      </c>
      <c r="G152" t="str">
        <f ca="1">IF(D152&lt;&gt;"",
IF(AND(OFFSET(数出表_Excel【15時】!$A$1,A152+3,D152)&lt;&gt;"",OFFSET(数出表_Excel【15時】!$A$1,A152+3,D152)&lt;&gt;0),
OFFSET(数出表_Excel【15時】!$A$1,A152+3,D152),""),"")</f>
        <v/>
      </c>
      <c r="H152" s="209" t="str">
        <f t="array" aca="1" ref="H152" ca="1">IF(B152&lt;&gt;"",
IFERROR(MATCH(TRUE,ISNUMBER(INDIRECT("数出表_Excel【15時】!"&amp;SUBSTITUTE(ADDRESS(1,D152+2,4),"1","")&amp;(A152+4)&amp;":ZZ"&amp;(A152+4))),0)+D152+1,""),"")</f>
        <v/>
      </c>
      <c r="I152" t="str">
        <f ca="1">IF(H152&lt;&gt;"",
OFFSET(数出表_Excel【15時】!$A$1,2,H152-1)
&amp;IFERROR(OFFSET(数出表_Excel【15時】!$A$1,3,H152-1),"")
&amp;IFERROR(OFFSET(数出表_Excel【15時】!$A$1,4,H152-1),""),"")</f>
        <v/>
      </c>
      <c r="J152" t="str">
        <f ca="1">IF(H152&lt;&gt;"",
OFFSET(数出表_Excel【15時】!$A$1,A152+3,H152-1),"")</f>
        <v/>
      </c>
      <c r="K152" t="str">
        <f ca="1">IF(H152&lt;&gt;"",
IF(AND(OFFSET(数出表_Excel【15時】!$A$1,A152+3,H152)&lt;&gt;"",OFFSET(数出表_Excel【15時】!$A$1,A152+3,H152)&lt;&gt;0),
OFFSET(数出表_Excel【15時】!$A$1,A152+3,H152),""),"")</f>
        <v/>
      </c>
      <c r="L152" s="209" t="str">
        <f t="array" aca="1" ref="L152" ca="1">IF(B152&lt;&gt;"",
IFERROR(MATCH(TRUE,ISNUMBER(INDIRECT("数出表_Excel【15時】!"&amp;SUBSTITUTE(ADDRESS(1,H152+2,4),"1","")&amp;(A152+4)&amp;":ZZ"&amp;(A152+4))),0)+H152+1,""),"")</f>
        <v/>
      </c>
      <c r="M152" t="str">
        <f ca="1">IF(L152&lt;&gt;"",
OFFSET(数出表_Excel【15時】!$A$1,2,L152-1)
&amp;IFERROR(OFFSET(数出表_Excel【15時】!$A$1,3,L152-1),"")
&amp;IFERROR(OFFSET(数出表_Excel【15時】!$A$1,4,L152-1),""),"")</f>
        <v/>
      </c>
      <c r="N152" t="str">
        <f ca="1">IF(L152&lt;&gt;"",
OFFSET(数出表_Excel【15時】!$A$1,A152+3,L152-1),"")</f>
        <v/>
      </c>
      <c r="O152" t="str">
        <f ca="1">IF(L152&lt;&gt;"",
IF(AND(OFFSET(数出表_Excel【15時】!$A$1,A152+3,L152)&lt;&gt;"",OFFSET(数出表_Excel【15時】!$A$1,A152+3,L152)&lt;&gt;0),
OFFSET(数出表_Excel【15時】!$A$1,A152+3,L152),""),"")</f>
        <v/>
      </c>
      <c r="Q152" t="str">
        <f ca="1">IF(C152&lt;&gt;"",
IF(E152&lt;&gt;"",1,0)+IF(I152&lt;&gt;"",1,0)+IF(M152&lt;&gt;"",1,0),"")</f>
        <v/>
      </c>
    </row>
    <row r="153" spans="1:35">
      <c r="A153" t="str">
        <f t="shared" ca="1" si="2"/>
        <v/>
      </c>
      <c r="B153" t="str">
        <f t="array" aca="1" ref="B153" ca="1">IF(OR(COUNTIF(数出表_Excel【15時】!AO156,"*修正*"),COUNTIF(数出表_Excel【15時】!AO157,"*修正*")),
IF(ISEVEN(ROW()+4),INDIRECT("数出表_Excel【15時】!A"&amp;ROW()+4&amp;""),INDIRECT("数出表_Excel【15時】!A"&amp;ROW()+4-1&amp;"")),"")</f>
        <v/>
      </c>
      <c r="C153" t="str">
        <f t="array" aca="1" ref="C153" ca="1">IF(OR(COUNTIF(数出表_Excel【15時】!AO156,"*修正*"),COUNTIF(数出表_Excel【15時】!AO157,"*修正*")),
IF(ISEVEN(ROW()+4),INDIRECT("数出表_Excel【15時】!A"&amp;ROW()+4+1&amp;""),INDIRECT("数出表_Excel【15時】!A"&amp;ROW()+4&amp;"")),"")</f>
        <v/>
      </c>
      <c r="D153" s="209" t="str">
        <f t="array" aca="1" ref="D153" ca="1">IF(B153&lt;&gt;"",
IFERROR(MATCH(TRUE,ISNUMBER(INDIRECT("数出表_Excel【15時】!B"&amp;(A153+4)&amp;":ZZ"&amp;(A153+4))),0)+1,""),"")</f>
        <v/>
      </c>
      <c r="E153" t="str">
        <f ca="1">IF(D153&lt;&gt;"",
OFFSET(数出表_Excel【15時】!$A$1,2,D153-1)
&amp;IFERROR(OFFSET(数出表_Excel【15時】!$A$1,3,D153-1),"")
&amp;IFERROR(OFFSET(数出表_Excel【15時】!$A$1,4,D153-1),""),"")</f>
        <v/>
      </c>
      <c r="F153" t="str">
        <f ca="1">IF(D153&lt;&gt;"",
OFFSET(数出表_Excel【15時】!$A$1,A153+3,D153-1),"")</f>
        <v/>
      </c>
      <c r="G153" t="str">
        <f ca="1">IF(D153&lt;&gt;"",
IF(AND(OFFSET(数出表_Excel【15時】!$A$1,A153+3,D153)&lt;&gt;"",OFFSET(数出表_Excel【15時】!$A$1,A153+3,D153)&lt;&gt;0),
OFFSET(数出表_Excel【15時】!$A$1,A153+3,D153),""),"")</f>
        <v/>
      </c>
      <c r="H153" s="209" t="str">
        <f t="array" aca="1" ref="H153" ca="1">IF(B153&lt;&gt;"",
IFERROR(MATCH(TRUE,ISNUMBER(INDIRECT("数出表_Excel【15時】!"&amp;SUBSTITUTE(ADDRESS(1,D153+2,4),"1","")&amp;(A153+4)&amp;":ZZ"&amp;(A153+4))),0)+D153+1,""),"")</f>
        <v/>
      </c>
      <c r="I153" t="str">
        <f ca="1">IF(H153&lt;&gt;"",
OFFSET(数出表_Excel【15時】!$A$1,2,H153-1)
&amp;IFERROR(OFFSET(数出表_Excel【15時】!$A$1,3,H153-1),"")
&amp;IFERROR(OFFSET(数出表_Excel【15時】!$A$1,4,H153-1),""),"")</f>
        <v/>
      </c>
      <c r="J153" t="str">
        <f ca="1">IF(H153&lt;&gt;"",
OFFSET(数出表_Excel【15時】!$A$1,A153+3,H153-1),"")</f>
        <v/>
      </c>
      <c r="K153" t="str">
        <f ca="1">IF(H153&lt;&gt;"",
IF(AND(OFFSET(数出表_Excel【15時】!$A$1,A153+3,H153)&lt;&gt;"",OFFSET(数出表_Excel【15時】!$A$1,A153+3,H153)&lt;&gt;0),
OFFSET(数出表_Excel【15時】!$A$1,A153+3,H153),""),"")</f>
        <v/>
      </c>
      <c r="L153" s="209" t="str">
        <f t="array" aca="1" ref="L153" ca="1">IF(B153&lt;&gt;"",
IFERROR(MATCH(TRUE,ISNUMBER(INDIRECT("数出表_Excel【15時】!"&amp;SUBSTITUTE(ADDRESS(1,H153+2,4),"1","")&amp;(A153+4)&amp;":ZZ"&amp;(A153+4))),0)+H153+1,""),"")</f>
        <v/>
      </c>
      <c r="M153" t="str">
        <f ca="1">IF(L153&lt;&gt;"",
OFFSET(数出表_Excel【15時】!$A$1,2,L153-1)
&amp;IFERROR(OFFSET(数出表_Excel【15時】!$A$1,3,L153-1),"")
&amp;IFERROR(OFFSET(数出表_Excel【15時】!$A$1,4,L153-1),""),"")</f>
        <v/>
      </c>
      <c r="N153" t="str">
        <f ca="1">IF(L153&lt;&gt;"",
OFFSET(数出表_Excel【15時】!$A$1,A153+3,L153-1),"")</f>
        <v/>
      </c>
      <c r="O153" t="str">
        <f ca="1">IF(L153&lt;&gt;"",
IF(AND(OFFSET(数出表_Excel【15時】!$A$1,A153+3,L153)&lt;&gt;"",OFFSET(数出表_Excel【15時】!$A$1,A153+3,L153)&lt;&gt;0),
OFFSET(数出表_Excel【15時】!$A$1,A153+3,L153),""),"")</f>
        <v/>
      </c>
    </row>
    <row r="154" spans="1:35">
      <c r="A154" t="str">
        <f t="shared" ca="1" si="2"/>
        <v/>
      </c>
      <c r="B154" t="str">
        <f t="array" aca="1" ref="B154" ca="1">IF(OR(COUNTIF(数出表_Excel【15時】!AO158,"*修正*"),COUNTIF(数出表_Excel【15時】!AO159,"*修正*")),
IF(ISEVEN(ROW()+4),INDIRECT("数出表_Excel【15時】!A"&amp;ROW()+4&amp;""),INDIRECT("数出表_Excel【15時】!A"&amp;ROW()+4-1&amp;"")),"")</f>
        <v/>
      </c>
      <c r="C154" t="str">
        <f t="array" aca="1" ref="C154" ca="1">IF(OR(COUNTIF(数出表_Excel【15時】!AO158,"*修正*"),COUNTIF(数出表_Excel【15時】!AO159,"*修正*")),
IF(ISEVEN(ROW()+4),INDIRECT("数出表_Excel【15時】!A"&amp;ROW()+4+1&amp;""),INDIRECT("数出表_Excel【15時】!A"&amp;ROW()+4&amp;"")),"")</f>
        <v/>
      </c>
      <c r="D154" s="209" t="str">
        <f t="array" aca="1" ref="D154" ca="1">IF(B154&lt;&gt;"",
IFERROR(MATCH(TRUE,ISNUMBER(INDIRECT("数出表_Excel【15時】!B"&amp;(A154+4)&amp;":ZZ"&amp;(A154+4))),0)+1,""),"")</f>
        <v/>
      </c>
      <c r="E154" t="str">
        <f ca="1">IF(D154&lt;&gt;"",
OFFSET(数出表_Excel【15時】!$A$1,2,D154-1)
&amp;IFERROR(OFFSET(数出表_Excel【15時】!$A$1,3,D154-1),"")
&amp;IFERROR(OFFSET(数出表_Excel【15時】!$A$1,4,D154-1),""),"")</f>
        <v/>
      </c>
      <c r="F154" t="str">
        <f ca="1">IF(D154&lt;&gt;"",
OFFSET(数出表_Excel【15時】!$A$1,A154+3,D154-1),"")</f>
        <v/>
      </c>
      <c r="G154" t="str">
        <f ca="1">IF(D154&lt;&gt;"",
IF(AND(OFFSET(数出表_Excel【15時】!$A$1,A154+3,D154)&lt;&gt;"",OFFSET(数出表_Excel【15時】!$A$1,A154+3,D154)&lt;&gt;0),
OFFSET(数出表_Excel【15時】!$A$1,A154+3,D154),""),"")</f>
        <v/>
      </c>
      <c r="H154" s="209" t="str">
        <f t="array" aca="1" ref="H154" ca="1">IF(B154&lt;&gt;"",
IFERROR(MATCH(TRUE,ISNUMBER(INDIRECT("数出表_Excel【15時】!"&amp;SUBSTITUTE(ADDRESS(1,D154+2,4),"1","")&amp;(A154+4)&amp;":ZZ"&amp;(A154+4))),0)+D154+1,""),"")</f>
        <v/>
      </c>
      <c r="I154" t="str">
        <f ca="1">IF(H154&lt;&gt;"",
OFFSET(数出表_Excel【15時】!$A$1,2,H154-1)
&amp;IFERROR(OFFSET(数出表_Excel【15時】!$A$1,3,H154-1),"")
&amp;IFERROR(OFFSET(数出表_Excel【15時】!$A$1,4,H154-1),""),"")</f>
        <v/>
      </c>
      <c r="J154" t="str">
        <f ca="1">IF(H154&lt;&gt;"",
OFFSET(数出表_Excel【15時】!$A$1,A154+3,H154-1),"")</f>
        <v/>
      </c>
      <c r="K154" t="str">
        <f ca="1">IF(H154&lt;&gt;"",
IF(AND(OFFSET(数出表_Excel【15時】!$A$1,A154+3,H154)&lt;&gt;"",OFFSET(数出表_Excel【15時】!$A$1,A154+3,H154)&lt;&gt;0),
OFFSET(数出表_Excel【15時】!$A$1,A154+3,H154),""),"")</f>
        <v/>
      </c>
      <c r="L154" s="209" t="str">
        <f t="array" aca="1" ref="L154" ca="1">IF(B154&lt;&gt;"",
IFERROR(MATCH(TRUE,ISNUMBER(INDIRECT("数出表_Excel【15時】!"&amp;SUBSTITUTE(ADDRESS(1,H154+2,4),"1","")&amp;(A154+4)&amp;":ZZ"&amp;(A154+4))),0)+H154+1,""),"")</f>
        <v/>
      </c>
      <c r="M154" t="str">
        <f ca="1">IF(L154&lt;&gt;"",
OFFSET(数出表_Excel【15時】!$A$1,2,L154-1)
&amp;IFERROR(OFFSET(数出表_Excel【15時】!$A$1,3,L154-1),"")
&amp;IFERROR(OFFSET(数出表_Excel【15時】!$A$1,4,L154-1),""),"")</f>
        <v/>
      </c>
      <c r="N154" t="str">
        <f ca="1">IF(L154&lt;&gt;"",
OFFSET(数出表_Excel【15時】!$A$1,A154+3,L154-1),"")</f>
        <v/>
      </c>
      <c r="O154" t="str">
        <f ca="1">IF(L154&lt;&gt;"",
IF(AND(OFFSET(数出表_Excel【15時】!$A$1,A154+3,L154)&lt;&gt;"",OFFSET(数出表_Excel【15時】!$A$1,A154+3,L154)&lt;&gt;0),
OFFSET(数出表_Excel【15時】!$A$1,A154+3,L154),""),"")</f>
        <v/>
      </c>
      <c r="Q154" t="str">
        <f ca="1">IF(C154&lt;&gt;"",
IF(E154&lt;&gt;"",1,0)+IF(I154&lt;&gt;"",1,0)+IF(M154&lt;&gt;"",1,0),"")</f>
        <v/>
      </c>
    </row>
    <row r="155" spans="1:35">
      <c r="A155" t="str">
        <f t="shared" ca="1" si="2"/>
        <v/>
      </c>
      <c r="B155" t="str">
        <f t="array" aca="1" ref="B155" ca="1">IF(OR(COUNTIF(数出表_Excel【15時】!AO158,"*修正*"),COUNTIF(数出表_Excel【15時】!AO159,"*修正*")),
IF(ISEVEN(ROW()+4),INDIRECT("数出表_Excel【15時】!A"&amp;ROW()+4&amp;""),INDIRECT("数出表_Excel【15時】!A"&amp;ROW()+4-1&amp;"")),"")</f>
        <v/>
      </c>
      <c r="C155" t="str">
        <f t="array" aca="1" ref="C155" ca="1">IF(OR(COUNTIF(数出表_Excel【15時】!AO158,"*修正*"),COUNTIF(数出表_Excel【15時】!AO159,"*修正*")),
IF(ISEVEN(ROW()+4),INDIRECT("数出表_Excel【15時】!A"&amp;ROW()+4+1&amp;""),INDIRECT("数出表_Excel【15時】!A"&amp;ROW()+4&amp;"")),"")</f>
        <v/>
      </c>
      <c r="D155" s="209" t="str">
        <f t="array" aca="1" ref="D155" ca="1">IF(B155&lt;&gt;"",
IFERROR(MATCH(TRUE,ISNUMBER(INDIRECT("数出表_Excel【15時】!B"&amp;(A155+4)&amp;":ZZ"&amp;(A155+4))),0)+1,""),"")</f>
        <v/>
      </c>
      <c r="E155" t="str">
        <f ca="1">IF(D155&lt;&gt;"",
OFFSET(数出表_Excel【15時】!$A$1,2,D155-1)
&amp;IFERROR(OFFSET(数出表_Excel【15時】!$A$1,3,D155-1),"")
&amp;IFERROR(OFFSET(数出表_Excel【15時】!$A$1,4,D155-1),""),"")</f>
        <v/>
      </c>
      <c r="F155" t="str">
        <f ca="1">IF(D155&lt;&gt;"",
OFFSET(数出表_Excel【15時】!$A$1,A155+3,D155-1),"")</f>
        <v/>
      </c>
      <c r="G155" t="str">
        <f ca="1">IF(D155&lt;&gt;"",
IF(AND(OFFSET(数出表_Excel【15時】!$A$1,A155+3,D155)&lt;&gt;"",OFFSET(数出表_Excel【15時】!$A$1,A155+3,D155)&lt;&gt;0),
OFFSET(数出表_Excel【15時】!$A$1,A155+3,D155),""),"")</f>
        <v/>
      </c>
      <c r="H155" s="209" t="str">
        <f t="array" aca="1" ref="H155" ca="1">IF(B155&lt;&gt;"",
IFERROR(MATCH(TRUE,ISNUMBER(INDIRECT("数出表_Excel【15時】!"&amp;SUBSTITUTE(ADDRESS(1,D155+2,4),"1","")&amp;(A155+4)&amp;":ZZ"&amp;(A155+4))),0)+D155+1,""),"")</f>
        <v/>
      </c>
      <c r="I155" t="str">
        <f ca="1">IF(H155&lt;&gt;"",
OFFSET(数出表_Excel【15時】!$A$1,2,H155-1)
&amp;IFERROR(OFFSET(数出表_Excel【15時】!$A$1,3,H155-1),"")
&amp;IFERROR(OFFSET(数出表_Excel【15時】!$A$1,4,H155-1),""),"")</f>
        <v/>
      </c>
      <c r="J155" t="str">
        <f ca="1">IF(H155&lt;&gt;"",
OFFSET(数出表_Excel【15時】!$A$1,A155+3,H155-1),"")</f>
        <v/>
      </c>
      <c r="K155" t="str">
        <f ca="1">IF(H155&lt;&gt;"",
IF(AND(OFFSET(数出表_Excel【15時】!$A$1,A155+3,H155)&lt;&gt;"",OFFSET(数出表_Excel【15時】!$A$1,A155+3,H155)&lt;&gt;0),
OFFSET(数出表_Excel【15時】!$A$1,A155+3,H155),""),"")</f>
        <v/>
      </c>
      <c r="L155" s="209" t="str">
        <f t="array" aca="1" ref="L155" ca="1">IF(B155&lt;&gt;"",
IFERROR(MATCH(TRUE,ISNUMBER(INDIRECT("数出表_Excel【15時】!"&amp;SUBSTITUTE(ADDRESS(1,H155+2,4),"1","")&amp;(A155+4)&amp;":ZZ"&amp;(A155+4))),0)+H155+1,""),"")</f>
        <v/>
      </c>
      <c r="M155" t="str">
        <f ca="1">IF(L155&lt;&gt;"",
OFFSET(数出表_Excel【15時】!$A$1,2,L155-1)
&amp;IFERROR(OFFSET(数出表_Excel【15時】!$A$1,3,L155-1),"")
&amp;IFERROR(OFFSET(数出表_Excel【15時】!$A$1,4,L155-1),""),"")</f>
        <v/>
      </c>
      <c r="N155" t="str">
        <f ca="1">IF(L155&lt;&gt;"",
OFFSET(数出表_Excel【15時】!$A$1,A155+3,L155-1),"")</f>
        <v/>
      </c>
      <c r="O155" t="str">
        <f ca="1">IF(L155&lt;&gt;"",
IF(AND(OFFSET(数出表_Excel【15時】!$A$1,A155+3,L155)&lt;&gt;"",OFFSET(数出表_Excel【15時】!$A$1,A155+3,L155)&lt;&gt;0),
OFFSET(数出表_Excel【15時】!$A$1,A155+3,L155),""),"")</f>
        <v/>
      </c>
    </row>
    <row r="156" spans="1:35">
      <c r="A156" t="str">
        <f t="shared" ca="1" si="2"/>
        <v/>
      </c>
      <c r="B156" t="str">
        <f t="array" aca="1" ref="B156" ca="1">IF(OR(COUNTIF(数出表_Excel【15時】!AO160,"*修正*"),COUNTIF(数出表_Excel【15時】!AO161,"*修正*")),
IF(ISEVEN(ROW()+4),INDIRECT("数出表_Excel【15時】!A"&amp;ROW()+4&amp;""),INDIRECT("数出表_Excel【15時】!A"&amp;ROW()+4-1&amp;"")),"")</f>
        <v/>
      </c>
      <c r="C156" t="str">
        <f t="array" aca="1" ref="C156" ca="1">IF(OR(COUNTIF(数出表_Excel【15時】!AO160,"*修正*"),COUNTIF(数出表_Excel【15時】!AO161,"*修正*")),
IF(ISEVEN(ROW()+4),INDIRECT("数出表_Excel【15時】!A"&amp;ROW()+4+1&amp;""),INDIRECT("数出表_Excel【15時】!A"&amp;ROW()+4&amp;"")),"")</f>
        <v/>
      </c>
      <c r="D156" s="209" t="str">
        <f t="array" aca="1" ref="D156" ca="1">IF(B156&lt;&gt;"",
IFERROR(MATCH(TRUE,ISNUMBER(INDIRECT("数出表_Excel【15時】!B"&amp;(A156+4)&amp;":ZZ"&amp;(A156+4))),0)+1,""),"")</f>
        <v/>
      </c>
      <c r="E156" t="str">
        <f ca="1">IF(D156&lt;&gt;"",
OFFSET(数出表_Excel【15時】!$A$1,2,D156-1)
&amp;IFERROR(OFFSET(数出表_Excel【15時】!$A$1,3,D156-1),"")
&amp;IFERROR(OFFSET(数出表_Excel【15時】!$A$1,4,D156-1),""),"")</f>
        <v/>
      </c>
      <c r="F156" t="str">
        <f ca="1">IF(D156&lt;&gt;"",
OFFSET(数出表_Excel【15時】!$A$1,A156+3,D156-1),"")</f>
        <v/>
      </c>
      <c r="G156" t="str">
        <f ca="1">IF(D156&lt;&gt;"",
IF(AND(OFFSET(数出表_Excel【15時】!$A$1,A156+3,D156)&lt;&gt;"",OFFSET(数出表_Excel【15時】!$A$1,A156+3,D156)&lt;&gt;0),
OFFSET(数出表_Excel【15時】!$A$1,A156+3,D156),""),"")</f>
        <v/>
      </c>
      <c r="H156" s="209" t="str">
        <f t="array" aca="1" ref="H156" ca="1">IF(B156&lt;&gt;"",
IFERROR(MATCH(TRUE,ISNUMBER(INDIRECT("数出表_Excel【15時】!"&amp;SUBSTITUTE(ADDRESS(1,D156+2,4),"1","")&amp;(A156+4)&amp;":ZZ"&amp;(A156+4))),0)+D156+1,""),"")</f>
        <v/>
      </c>
      <c r="I156" t="str">
        <f ca="1">IF(H156&lt;&gt;"",
OFFSET(数出表_Excel【15時】!$A$1,2,H156-1)
&amp;IFERROR(OFFSET(数出表_Excel【15時】!$A$1,3,H156-1),"")
&amp;IFERROR(OFFSET(数出表_Excel【15時】!$A$1,4,H156-1),""),"")</f>
        <v/>
      </c>
      <c r="J156" t="str">
        <f ca="1">IF(H156&lt;&gt;"",
OFFSET(数出表_Excel【15時】!$A$1,A156+3,H156-1),"")</f>
        <v/>
      </c>
      <c r="K156" t="str">
        <f ca="1">IF(H156&lt;&gt;"",
IF(AND(OFFSET(数出表_Excel【15時】!$A$1,A156+3,H156)&lt;&gt;"",OFFSET(数出表_Excel【15時】!$A$1,A156+3,H156)&lt;&gt;0),
OFFSET(数出表_Excel【15時】!$A$1,A156+3,H156),""),"")</f>
        <v/>
      </c>
      <c r="L156" s="209" t="str">
        <f t="array" aca="1" ref="L156" ca="1">IF(B156&lt;&gt;"",
IFERROR(MATCH(TRUE,ISNUMBER(INDIRECT("数出表_Excel【15時】!"&amp;SUBSTITUTE(ADDRESS(1,H156+2,4),"1","")&amp;(A156+4)&amp;":ZZ"&amp;(A156+4))),0)+H156+1,""),"")</f>
        <v/>
      </c>
      <c r="M156" t="str">
        <f ca="1">IF(L156&lt;&gt;"",
OFFSET(数出表_Excel【15時】!$A$1,2,L156-1)
&amp;IFERROR(OFFSET(数出表_Excel【15時】!$A$1,3,L156-1),"")
&amp;IFERROR(OFFSET(数出表_Excel【15時】!$A$1,4,L156-1),""),"")</f>
        <v/>
      </c>
      <c r="N156" t="str">
        <f ca="1">IF(L156&lt;&gt;"",
OFFSET(数出表_Excel【15時】!$A$1,A156+3,L156-1),"")</f>
        <v/>
      </c>
      <c r="O156" t="str">
        <f ca="1">IF(L156&lt;&gt;"",
IF(AND(OFFSET(数出表_Excel【15時】!$A$1,A156+3,L156)&lt;&gt;"",OFFSET(数出表_Excel【15時】!$A$1,A156+3,L156)&lt;&gt;0),
OFFSET(数出表_Excel【15時】!$A$1,A156+3,L156),""),"")</f>
        <v/>
      </c>
      <c r="Q156" t="str">
        <f ca="1">IF(C156&lt;&gt;"",
IF(E156&lt;&gt;"",1,0)+IF(I156&lt;&gt;"",1,0)+IF(M156&lt;&gt;"",1,0),"")</f>
        <v/>
      </c>
    </row>
    <row r="157" spans="1:35">
      <c r="A157" t="str">
        <f t="shared" ca="1" si="2"/>
        <v/>
      </c>
      <c r="B157" t="str">
        <f t="array" aca="1" ref="B157" ca="1">IF(OR(COUNTIF(数出表_Excel【15時】!AO160,"*修正*"),COUNTIF(数出表_Excel【15時】!AO161,"*修正*")),
IF(ISEVEN(ROW()+4),INDIRECT("数出表_Excel【15時】!A"&amp;ROW()+4&amp;""),INDIRECT("数出表_Excel【15時】!A"&amp;ROW()+4-1&amp;"")),"")</f>
        <v/>
      </c>
      <c r="C157" t="str">
        <f t="array" aca="1" ref="C157" ca="1">IF(OR(COUNTIF(数出表_Excel【15時】!AO160,"*修正*"),COUNTIF(数出表_Excel【15時】!AO161,"*修正*")),
IF(ISEVEN(ROW()+4),INDIRECT("数出表_Excel【15時】!A"&amp;ROW()+4+1&amp;""),INDIRECT("数出表_Excel【15時】!A"&amp;ROW()+4&amp;"")),"")</f>
        <v/>
      </c>
      <c r="D157" s="209" t="str">
        <f t="array" aca="1" ref="D157" ca="1">IF(B157&lt;&gt;"",
IFERROR(MATCH(TRUE,ISNUMBER(INDIRECT("数出表_Excel【15時】!B"&amp;(A157+4)&amp;":ZZ"&amp;(A157+4))),0)+1,""),"")</f>
        <v/>
      </c>
      <c r="E157" t="str">
        <f ca="1">IF(D157&lt;&gt;"",
OFFSET(数出表_Excel【15時】!$A$1,2,D157-1)
&amp;IFERROR(OFFSET(数出表_Excel【15時】!$A$1,3,D157-1),"")
&amp;IFERROR(OFFSET(数出表_Excel【15時】!$A$1,4,D157-1),""),"")</f>
        <v/>
      </c>
      <c r="F157" t="str">
        <f ca="1">IF(D157&lt;&gt;"",
OFFSET(数出表_Excel【15時】!$A$1,A157+3,D157-1),"")</f>
        <v/>
      </c>
      <c r="G157" t="str">
        <f ca="1">IF(D157&lt;&gt;"",
IF(AND(OFFSET(数出表_Excel【15時】!$A$1,A157+3,D157)&lt;&gt;"",OFFSET(数出表_Excel【15時】!$A$1,A157+3,D157)&lt;&gt;0),
OFFSET(数出表_Excel【15時】!$A$1,A157+3,D157),""),"")</f>
        <v/>
      </c>
      <c r="H157" s="209" t="str">
        <f t="array" aca="1" ref="H157" ca="1">IF(B157&lt;&gt;"",
IFERROR(MATCH(TRUE,ISNUMBER(INDIRECT("数出表_Excel【15時】!"&amp;SUBSTITUTE(ADDRESS(1,D157+2,4),"1","")&amp;(A157+4)&amp;":ZZ"&amp;(A157+4))),0)+D157+1,""),"")</f>
        <v/>
      </c>
      <c r="I157" t="str">
        <f ca="1">IF(H157&lt;&gt;"",
OFFSET(数出表_Excel【15時】!$A$1,2,H157-1)
&amp;IFERROR(OFFSET(数出表_Excel【15時】!$A$1,3,H157-1),"")
&amp;IFERROR(OFFSET(数出表_Excel【15時】!$A$1,4,H157-1),""),"")</f>
        <v/>
      </c>
      <c r="J157" t="str">
        <f ca="1">IF(H157&lt;&gt;"",
OFFSET(数出表_Excel【15時】!$A$1,A157+3,H157-1),"")</f>
        <v/>
      </c>
      <c r="K157" t="str">
        <f ca="1">IF(H157&lt;&gt;"",
IF(AND(OFFSET(数出表_Excel【15時】!$A$1,A157+3,H157)&lt;&gt;"",OFFSET(数出表_Excel【15時】!$A$1,A157+3,H157)&lt;&gt;0),
OFFSET(数出表_Excel【15時】!$A$1,A157+3,H157),""),"")</f>
        <v/>
      </c>
      <c r="L157" s="209" t="str">
        <f t="array" aca="1" ref="L157" ca="1">IF(B157&lt;&gt;"",
IFERROR(MATCH(TRUE,ISNUMBER(INDIRECT("数出表_Excel【15時】!"&amp;SUBSTITUTE(ADDRESS(1,H157+2,4),"1","")&amp;(A157+4)&amp;":ZZ"&amp;(A157+4))),0)+H157+1,""),"")</f>
        <v/>
      </c>
      <c r="M157" t="str">
        <f ca="1">IF(L157&lt;&gt;"",
OFFSET(数出表_Excel【15時】!$A$1,2,L157-1)
&amp;IFERROR(OFFSET(数出表_Excel【15時】!$A$1,3,L157-1),"")
&amp;IFERROR(OFFSET(数出表_Excel【15時】!$A$1,4,L157-1),""),"")</f>
        <v/>
      </c>
      <c r="N157" t="str">
        <f ca="1">IF(L157&lt;&gt;"",
OFFSET(数出表_Excel【15時】!$A$1,A157+3,L157-1),"")</f>
        <v/>
      </c>
      <c r="O157" t="str">
        <f ca="1">IF(L157&lt;&gt;"",
IF(AND(OFFSET(数出表_Excel【15時】!$A$1,A157+3,L157)&lt;&gt;"",OFFSET(数出表_Excel【15時】!$A$1,A157+3,L157)&lt;&gt;0),
OFFSET(数出表_Excel【15時】!$A$1,A157+3,L157),""),"")</f>
        <v/>
      </c>
    </row>
    <row r="158" spans="1:35">
      <c r="A158" t="str">
        <f t="shared" ca="1" si="2"/>
        <v/>
      </c>
      <c r="B158" t="str">
        <f t="array" aca="1" ref="B158" ca="1">IF(OR(COUNTIF(数出表_Excel【15時】!AO162,"*修正*"),COUNTIF(数出表_Excel【15時】!AO163,"*修正*")),
IF(ISEVEN(ROW()+4),INDIRECT("数出表_Excel【15時】!A"&amp;ROW()+4&amp;""),INDIRECT("数出表_Excel【15時】!A"&amp;ROW()+4-1&amp;"")),"")</f>
        <v/>
      </c>
      <c r="C158" t="str">
        <f t="array" aca="1" ref="C158" ca="1">IF(OR(COUNTIF(数出表_Excel【15時】!AO162,"*修正*"),COUNTIF(数出表_Excel【15時】!AO163,"*修正*")),
IF(ISEVEN(ROW()+4),INDIRECT("数出表_Excel【15時】!A"&amp;ROW()+4+1&amp;""),INDIRECT("数出表_Excel【15時】!A"&amp;ROW()+4&amp;"")),"")</f>
        <v/>
      </c>
      <c r="D158" s="209" t="str">
        <f t="array" aca="1" ref="D158" ca="1">IF(B158&lt;&gt;"",
IFERROR(MATCH(TRUE,ISNUMBER(INDIRECT("数出表_Excel【15時】!B"&amp;(A158+4)&amp;":ZZ"&amp;(A158+4))),0)+1,""),"")</f>
        <v/>
      </c>
      <c r="E158" t="str">
        <f ca="1">IF(D158&lt;&gt;"",
OFFSET(数出表_Excel【15時】!$A$1,2,D158-1)
&amp;IFERROR(OFFSET(数出表_Excel【15時】!$A$1,3,D158-1),"")
&amp;IFERROR(OFFSET(数出表_Excel【15時】!$A$1,4,D158-1),""),"")</f>
        <v/>
      </c>
      <c r="F158" t="str">
        <f ca="1">IF(D158&lt;&gt;"",
OFFSET(数出表_Excel【15時】!$A$1,A158+3,D158-1),"")</f>
        <v/>
      </c>
      <c r="G158" t="str">
        <f ca="1">IF(D158&lt;&gt;"",
IF(AND(OFFSET(数出表_Excel【15時】!$A$1,A158+3,D158)&lt;&gt;"",OFFSET(数出表_Excel【15時】!$A$1,A158+3,D158)&lt;&gt;0),
OFFSET(数出表_Excel【15時】!$A$1,A158+3,D158),""),"")</f>
        <v/>
      </c>
      <c r="H158" s="209" t="str">
        <f t="array" aca="1" ref="H158" ca="1">IF(B158&lt;&gt;"",
IFERROR(MATCH(TRUE,ISNUMBER(INDIRECT("数出表_Excel【15時】!"&amp;SUBSTITUTE(ADDRESS(1,D158+2,4),"1","")&amp;(A158+4)&amp;":ZZ"&amp;(A158+4))),0)+D158+1,""),"")</f>
        <v/>
      </c>
      <c r="I158" t="str">
        <f ca="1">IF(H158&lt;&gt;"",
OFFSET(数出表_Excel【15時】!$A$1,2,H158-1)
&amp;IFERROR(OFFSET(数出表_Excel【15時】!$A$1,3,H158-1),"")
&amp;IFERROR(OFFSET(数出表_Excel【15時】!$A$1,4,H158-1),""),"")</f>
        <v/>
      </c>
      <c r="J158" t="str">
        <f ca="1">IF(H158&lt;&gt;"",
OFFSET(数出表_Excel【15時】!$A$1,A158+3,H158-1),"")</f>
        <v/>
      </c>
      <c r="K158" t="str">
        <f ca="1">IF(H158&lt;&gt;"",
IF(AND(OFFSET(数出表_Excel【15時】!$A$1,A158+3,H158)&lt;&gt;"",OFFSET(数出表_Excel【15時】!$A$1,A158+3,H158)&lt;&gt;0),
OFFSET(数出表_Excel【15時】!$A$1,A158+3,H158),""),"")</f>
        <v/>
      </c>
      <c r="L158" s="209" t="str">
        <f t="array" aca="1" ref="L158" ca="1">IF(B158&lt;&gt;"",
IFERROR(MATCH(TRUE,ISNUMBER(INDIRECT("数出表_Excel【15時】!"&amp;SUBSTITUTE(ADDRESS(1,H158+2,4),"1","")&amp;(A158+4)&amp;":ZZ"&amp;(A158+4))),0)+H158+1,""),"")</f>
        <v/>
      </c>
      <c r="M158" t="str">
        <f ca="1">IF(L158&lt;&gt;"",
OFFSET(数出表_Excel【15時】!$A$1,2,L158-1)
&amp;IFERROR(OFFSET(数出表_Excel【15時】!$A$1,3,L158-1),"")
&amp;IFERROR(OFFSET(数出表_Excel【15時】!$A$1,4,L158-1),""),"")</f>
        <v/>
      </c>
      <c r="N158" t="str">
        <f ca="1">IF(L158&lt;&gt;"",
OFFSET(数出表_Excel【15時】!$A$1,A158+3,L158-1),"")</f>
        <v/>
      </c>
      <c r="O158" t="str">
        <f ca="1">IF(L158&lt;&gt;"",
IF(AND(OFFSET(数出表_Excel【15時】!$A$1,A158+3,L158)&lt;&gt;"",OFFSET(数出表_Excel【15時】!$A$1,A158+3,L158)&lt;&gt;0),
OFFSET(数出表_Excel【15時】!$A$1,A158+3,L158),""),"")</f>
        <v/>
      </c>
      <c r="Q158" t="str">
        <f ca="1">IF(C158&lt;&gt;"",
IF(E158&lt;&gt;"",1,0)+IF(I158&lt;&gt;"",1,0)+IF(M158&lt;&gt;"",1,0),"")</f>
        <v/>
      </c>
    </row>
    <row r="159" spans="1:35">
      <c r="A159" t="str">
        <f t="shared" ca="1" si="2"/>
        <v/>
      </c>
      <c r="B159" t="str">
        <f t="array" aca="1" ref="B159" ca="1">IF(OR(COUNTIF(数出表_Excel【15時】!AO162,"*修正*"),COUNTIF(数出表_Excel【15時】!AO163,"*修正*")),
IF(ISEVEN(ROW()+4),INDIRECT("数出表_Excel【15時】!A"&amp;ROW()+4&amp;""),INDIRECT("数出表_Excel【15時】!A"&amp;ROW()+4-1&amp;"")),"")</f>
        <v/>
      </c>
      <c r="C159" t="str">
        <f t="array" aca="1" ref="C159" ca="1">IF(OR(COUNTIF(数出表_Excel【15時】!AO162,"*修正*"),COUNTIF(数出表_Excel【15時】!AO163,"*修正*")),
IF(ISEVEN(ROW()+4),INDIRECT("数出表_Excel【15時】!A"&amp;ROW()+4+1&amp;""),INDIRECT("数出表_Excel【15時】!A"&amp;ROW()+4&amp;"")),"")</f>
        <v/>
      </c>
      <c r="D159" s="209" t="str">
        <f t="array" aca="1" ref="D159" ca="1">IF(B159&lt;&gt;"",
IFERROR(MATCH(TRUE,ISNUMBER(INDIRECT("数出表_Excel【15時】!B"&amp;(A159+4)&amp;":ZZ"&amp;(A159+4))),0)+1,""),"")</f>
        <v/>
      </c>
      <c r="E159" t="str">
        <f ca="1">IF(D159&lt;&gt;"",
OFFSET(数出表_Excel【15時】!$A$1,2,D159-1)
&amp;IFERROR(OFFSET(数出表_Excel【15時】!$A$1,3,D159-1),"")
&amp;IFERROR(OFFSET(数出表_Excel【15時】!$A$1,4,D159-1),""),"")</f>
        <v/>
      </c>
      <c r="F159" t="str">
        <f ca="1">IF(D159&lt;&gt;"",
OFFSET(数出表_Excel【15時】!$A$1,A159+3,D159-1),"")</f>
        <v/>
      </c>
      <c r="G159" t="str">
        <f ca="1">IF(D159&lt;&gt;"",
IF(AND(OFFSET(数出表_Excel【15時】!$A$1,A159+3,D159)&lt;&gt;"",OFFSET(数出表_Excel【15時】!$A$1,A159+3,D159)&lt;&gt;0),
OFFSET(数出表_Excel【15時】!$A$1,A159+3,D159),""),"")</f>
        <v/>
      </c>
      <c r="H159" s="209" t="str">
        <f t="array" aca="1" ref="H159" ca="1">IF(B159&lt;&gt;"",
IFERROR(MATCH(TRUE,ISNUMBER(INDIRECT("数出表_Excel【15時】!"&amp;SUBSTITUTE(ADDRESS(1,D159+2,4),"1","")&amp;(A159+4)&amp;":ZZ"&amp;(A159+4))),0)+D159+1,""),"")</f>
        <v/>
      </c>
      <c r="I159" t="str">
        <f ca="1">IF(H159&lt;&gt;"",
OFFSET(数出表_Excel【15時】!$A$1,2,H159-1)
&amp;IFERROR(OFFSET(数出表_Excel【15時】!$A$1,3,H159-1),"")
&amp;IFERROR(OFFSET(数出表_Excel【15時】!$A$1,4,H159-1),""),"")</f>
        <v/>
      </c>
      <c r="J159" t="str">
        <f ca="1">IF(H159&lt;&gt;"",
OFFSET(数出表_Excel【15時】!$A$1,A159+3,H159-1),"")</f>
        <v/>
      </c>
      <c r="K159" t="str">
        <f ca="1">IF(H159&lt;&gt;"",
IF(AND(OFFSET(数出表_Excel【15時】!$A$1,A159+3,H159)&lt;&gt;"",OFFSET(数出表_Excel【15時】!$A$1,A159+3,H159)&lt;&gt;0),
OFFSET(数出表_Excel【15時】!$A$1,A159+3,H159),""),"")</f>
        <v/>
      </c>
      <c r="L159" s="209" t="str">
        <f t="array" aca="1" ref="L159" ca="1">IF(B159&lt;&gt;"",
IFERROR(MATCH(TRUE,ISNUMBER(INDIRECT("数出表_Excel【15時】!"&amp;SUBSTITUTE(ADDRESS(1,H159+2,4),"1","")&amp;(A159+4)&amp;":ZZ"&amp;(A159+4))),0)+H159+1,""),"")</f>
        <v/>
      </c>
      <c r="M159" t="str">
        <f ca="1">IF(L159&lt;&gt;"",
OFFSET(数出表_Excel【15時】!$A$1,2,L159-1)
&amp;IFERROR(OFFSET(数出表_Excel【15時】!$A$1,3,L159-1),"")
&amp;IFERROR(OFFSET(数出表_Excel【15時】!$A$1,4,L159-1),""),"")</f>
        <v/>
      </c>
      <c r="N159" t="str">
        <f ca="1">IF(L159&lt;&gt;"",
OFFSET(数出表_Excel【15時】!$A$1,A159+3,L159-1),"")</f>
        <v/>
      </c>
      <c r="O159" t="str">
        <f ca="1">IF(L159&lt;&gt;"",
IF(AND(OFFSET(数出表_Excel【15時】!$A$1,A159+3,L159)&lt;&gt;"",OFFSET(数出表_Excel【15時】!$A$1,A159+3,L159)&lt;&gt;0),
OFFSET(数出表_Excel【15時】!$A$1,A159+3,L159),""),"")</f>
        <v/>
      </c>
    </row>
    <row r="160" spans="1:35">
      <c r="A160" t="str">
        <f t="shared" ca="1" si="2"/>
        <v/>
      </c>
      <c r="B160" t="str">
        <f t="array" aca="1" ref="B160" ca="1">IF(OR(COUNTIF(数出表_Excel【15時】!AO164,"*修正*"),COUNTIF(数出表_Excel【15時】!AO165,"*修正*")),
IF(ISEVEN(ROW()+4),INDIRECT("数出表_Excel【15時】!A"&amp;ROW()+4&amp;""),INDIRECT("数出表_Excel【15時】!A"&amp;ROW()+4-1&amp;"")),"")</f>
        <v/>
      </c>
      <c r="C160" t="str">
        <f t="array" aca="1" ref="C160" ca="1">IF(OR(COUNTIF(数出表_Excel【15時】!AO164,"*修正*"),COUNTIF(数出表_Excel【15時】!AO165,"*修正*")),
IF(ISEVEN(ROW()+4),INDIRECT("数出表_Excel【15時】!A"&amp;ROW()+4+1&amp;""),INDIRECT("数出表_Excel【15時】!A"&amp;ROW()+4&amp;"")),"")</f>
        <v/>
      </c>
      <c r="D160" s="209" t="str">
        <f t="array" aca="1" ref="D160" ca="1">IF(B160&lt;&gt;"",
IFERROR(MATCH(TRUE,ISNUMBER(INDIRECT("数出表_Excel【15時】!B"&amp;(A160+4)&amp;":ZZ"&amp;(A160+4))),0)+1,""),"")</f>
        <v/>
      </c>
      <c r="E160" t="str">
        <f ca="1">IF(D160&lt;&gt;"",
OFFSET(数出表_Excel【15時】!$A$1,2,D160-1)
&amp;IFERROR(OFFSET(数出表_Excel【15時】!$A$1,3,D160-1),"")
&amp;IFERROR(OFFSET(数出表_Excel【15時】!$A$1,4,D160-1),""),"")</f>
        <v/>
      </c>
      <c r="F160" t="str">
        <f ca="1">IF(D160&lt;&gt;"",
OFFSET(数出表_Excel【15時】!$A$1,A160+3,D160-1),"")</f>
        <v/>
      </c>
      <c r="G160" t="str">
        <f ca="1">IF(D160&lt;&gt;"",
IF(AND(OFFSET(数出表_Excel【15時】!$A$1,A160+3,D160)&lt;&gt;"",OFFSET(数出表_Excel【15時】!$A$1,A160+3,D160)&lt;&gt;0),
OFFSET(数出表_Excel【15時】!$A$1,A160+3,D160),""),"")</f>
        <v/>
      </c>
      <c r="H160" s="209" t="str">
        <f t="array" aca="1" ref="H160" ca="1">IF(B160&lt;&gt;"",
IFERROR(MATCH(TRUE,ISNUMBER(INDIRECT("数出表_Excel【15時】!"&amp;SUBSTITUTE(ADDRESS(1,D160+2,4),"1","")&amp;(A160+4)&amp;":ZZ"&amp;(A160+4))),0)+D160+1,""),"")</f>
        <v/>
      </c>
      <c r="I160" t="str">
        <f ca="1">IF(H160&lt;&gt;"",
OFFSET(数出表_Excel【15時】!$A$1,2,H160-1)
&amp;IFERROR(OFFSET(数出表_Excel【15時】!$A$1,3,H160-1),"")
&amp;IFERROR(OFFSET(数出表_Excel【15時】!$A$1,4,H160-1),""),"")</f>
        <v/>
      </c>
      <c r="J160" t="str">
        <f ca="1">IF(H160&lt;&gt;"",
OFFSET(数出表_Excel【15時】!$A$1,A160+3,H160-1),"")</f>
        <v/>
      </c>
      <c r="K160" t="str">
        <f ca="1">IF(H160&lt;&gt;"",
IF(AND(OFFSET(数出表_Excel【15時】!$A$1,A160+3,H160)&lt;&gt;"",OFFSET(数出表_Excel【15時】!$A$1,A160+3,H160)&lt;&gt;0),
OFFSET(数出表_Excel【15時】!$A$1,A160+3,H160),""),"")</f>
        <v/>
      </c>
      <c r="L160" s="209" t="str">
        <f t="array" aca="1" ref="L160" ca="1">IF(B160&lt;&gt;"",
IFERROR(MATCH(TRUE,ISNUMBER(INDIRECT("数出表_Excel【15時】!"&amp;SUBSTITUTE(ADDRESS(1,H160+2,4),"1","")&amp;(A160+4)&amp;":ZZ"&amp;(A160+4))),0)+H160+1,""),"")</f>
        <v/>
      </c>
      <c r="M160" t="str">
        <f ca="1">IF(L160&lt;&gt;"",
OFFSET(数出表_Excel【15時】!$A$1,2,L160-1)
&amp;IFERROR(OFFSET(数出表_Excel【15時】!$A$1,3,L160-1),"")
&amp;IFERROR(OFFSET(数出表_Excel【15時】!$A$1,4,L160-1),""),"")</f>
        <v/>
      </c>
      <c r="N160" t="str">
        <f ca="1">IF(L160&lt;&gt;"",
OFFSET(数出表_Excel【15時】!$A$1,A160+3,L160-1),"")</f>
        <v/>
      </c>
      <c r="O160" t="str">
        <f ca="1">IF(L160&lt;&gt;"",
IF(AND(OFFSET(数出表_Excel【15時】!$A$1,A160+3,L160)&lt;&gt;"",OFFSET(数出表_Excel【15時】!$A$1,A160+3,L160)&lt;&gt;0),
OFFSET(数出表_Excel【15時】!$A$1,A160+3,L160),""),"")</f>
        <v/>
      </c>
      <c r="Q160" t="str">
        <f ca="1">IF(C160&lt;&gt;"",
IF(E160&lt;&gt;"",1,0)+IF(I160&lt;&gt;"",1,0)+IF(M160&lt;&gt;"",1,0),"")</f>
        <v/>
      </c>
    </row>
    <row r="161" spans="1:17">
      <c r="A161" t="str">
        <f t="shared" ca="1" si="2"/>
        <v/>
      </c>
      <c r="B161" t="str">
        <f t="array" aca="1" ref="B161" ca="1">IF(OR(COUNTIF(数出表_Excel【15時】!AO164,"*修正*"),COUNTIF(数出表_Excel【15時】!AO165,"*修正*")),
IF(ISEVEN(ROW()+4),INDIRECT("数出表_Excel【15時】!A"&amp;ROW()+4&amp;""),INDIRECT("数出表_Excel【15時】!A"&amp;ROW()+4-1&amp;"")),"")</f>
        <v/>
      </c>
      <c r="C161" t="str">
        <f t="array" aca="1" ref="C161" ca="1">IF(OR(COUNTIF(数出表_Excel【15時】!AO164,"*修正*"),COUNTIF(数出表_Excel【15時】!AO165,"*修正*")),
IF(ISEVEN(ROW()+4),INDIRECT("数出表_Excel【15時】!A"&amp;ROW()+4+1&amp;""),INDIRECT("数出表_Excel【15時】!A"&amp;ROW()+4&amp;"")),"")</f>
        <v/>
      </c>
      <c r="D161" s="209" t="str">
        <f t="array" aca="1" ref="D161" ca="1">IF(B161&lt;&gt;"",
IFERROR(MATCH(TRUE,ISNUMBER(INDIRECT("数出表_Excel【15時】!B"&amp;(A161+4)&amp;":ZZ"&amp;(A161+4))),0)+1,""),"")</f>
        <v/>
      </c>
      <c r="E161" t="str">
        <f ca="1">IF(D161&lt;&gt;"",
OFFSET(数出表_Excel【15時】!$A$1,2,D161-1)
&amp;IFERROR(OFFSET(数出表_Excel【15時】!$A$1,3,D161-1),"")
&amp;IFERROR(OFFSET(数出表_Excel【15時】!$A$1,4,D161-1),""),"")</f>
        <v/>
      </c>
      <c r="F161" t="str">
        <f ca="1">IF(D161&lt;&gt;"",
OFFSET(数出表_Excel【15時】!$A$1,A161+3,D161-1),"")</f>
        <v/>
      </c>
      <c r="G161" t="str">
        <f ca="1">IF(D161&lt;&gt;"",
IF(AND(OFFSET(数出表_Excel【15時】!$A$1,A161+3,D161)&lt;&gt;"",OFFSET(数出表_Excel【15時】!$A$1,A161+3,D161)&lt;&gt;0),
OFFSET(数出表_Excel【15時】!$A$1,A161+3,D161),""),"")</f>
        <v/>
      </c>
      <c r="H161" s="209" t="str">
        <f t="array" aca="1" ref="H161" ca="1">IF(B161&lt;&gt;"",
IFERROR(MATCH(TRUE,ISNUMBER(INDIRECT("数出表_Excel【15時】!"&amp;SUBSTITUTE(ADDRESS(1,D161+2,4),"1","")&amp;(A161+4)&amp;":ZZ"&amp;(A161+4))),0)+D161+1,""),"")</f>
        <v/>
      </c>
      <c r="I161" t="str">
        <f ca="1">IF(H161&lt;&gt;"",
OFFSET(数出表_Excel【15時】!$A$1,2,H161-1)
&amp;IFERROR(OFFSET(数出表_Excel【15時】!$A$1,3,H161-1),"")
&amp;IFERROR(OFFSET(数出表_Excel【15時】!$A$1,4,H161-1),""),"")</f>
        <v/>
      </c>
      <c r="J161" t="str">
        <f ca="1">IF(H161&lt;&gt;"",
OFFSET(数出表_Excel【15時】!$A$1,A161+3,H161-1),"")</f>
        <v/>
      </c>
      <c r="K161" t="str">
        <f ca="1">IF(H161&lt;&gt;"",
IF(AND(OFFSET(数出表_Excel【15時】!$A$1,A161+3,H161)&lt;&gt;"",OFFSET(数出表_Excel【15時】!$A$1,A161+3,H161)&lt;&gt;0),
OFFSET(数出表_Excel【15時】!$A$1,A161+3,H161),""),"")</f>
        <v/>
      </c>
      <c r="L161" s="209" t="str">
        <f t="array" aca="1" ref="L161" ca="1">IF(B161&lt;&gt;"",
IFERROR(MATCH(TRUE,ISNUMBER(INDIRECT("数出表_Excel【15時】!"&amp;SUBSTITUTE(ADDRESS(1,H161+2,4),"1","")&amp;(A161+4)&amp;":ZZ"&amp;(A161+4))),0)+H161+1,""),"")</f>
        <v/>
      </c>
      <c r="M161" t="str">
        <f ca="1">IF(L161&lt;&gt;"",
OFFSET(数出表_Excel【15時】!$A$1,2,L161-1)
&amp;IFERROR(OFFSET(数出表_Excel【15時】!$A$1,3,L161-1),"")
&amp;IFERROR(OFFSET(数出表_Excel【15時】!$A$1,4,L161-1),""),"")</f>
        <v/>
      </c>
      <c r="N161" t="str">
        <f ca="1">IF(L161&lt;&gt;"",
OFFSET(数出表_Excel【15時】!$A$1,A161+3,L161-1),"")</f>
        <v/>
      </c>
      <c r="O161" t="str">
        <f ca="1">IF(L161&lt;&gt;"",
IF(AND(OFFSET(数出表_Excel【15時】!$A$1,A161+3,L161)&lt;&gt;"",OFFSET(数出表_Excel【15時】!$A$1,A161+3,L161)&lt;&gt;0),
OFFSET(数出表_Excel【15時】!$A$1,A161+3,L161),""),"")</f>
        <v/>
      </c>
    </row>
    <row r="162" spans="1:17">
      <c r="A162" t="str">
        <f t="shared" ca="1" si="2"/>
        <v/>
      </c>
      <c r="B162" t="str">
        <f t="array" aca="1" ref="B162" ca="1">IF(OR(COUNTIF(数出表_Excel【15時】!AO166,"*修正*"),COUNTIF(数出表_Excel【15時】!AO167,"*修正*")),
IF(ISEVEN(ROW()+4),INDIRECT("数出表_Excel【15時】!A"&amp;ROW()+4&amp;""),INDIRECT("数出表_Excel【15時】!A"&amp;ROW()+4-1&amp;"")),"")</f>
        <v/>
      </c>
      <c r="C162" t="str">
        <f t="array" aca="1" ref="C162" ca="1">IF(OR(COUNTIF(数出表_Excel【15時】!AO166,"*修正*"),COUNTIF(数出表_Excel【15時】!AO167,"*修正*")),
IF(ISEVEN(ROW()+4),INDIRECT("数出表_Excel【15時】!A"&amp;ROW()+4+1&amp;""),INDIRECT("数出表_Excel【15時】!A"&amp;ROW()+4&amp;"")),"")</f>
        <v/>
      </c>
      <c r="D162" s="209" t="str">
        <f t="array" aca="1" ref="D162" ca="1">IF(B162&lt;&gt;"",
IFERROR(MATCH(TRUE,ISNUMBER(INDIRECT("数出表_Excel【15時】!B"&amp;(A162+4)&amp;":ZZ"&amp;(A162+4))),0)+1,""),"")</f>
        <v/>
      </c>
      <c r="E162" t="str">
        <f ca="1">IF(D162&lt;&gt;"",
OFFSET(数出表_Excel【15時】!$A$1,2,D162-1)
&amp;IFERROR(OFFSET(数出表_Excel【15時】!$A$1,3,D162-1),"")
&amp;IFERROR(OFFSET(数出表_Excel【15時】!$A$1,4,D162-1),""),"")</f>
        <v/>
      </c>
      <c r="F162" t="str">
        <f ca="1">IF(D162&lt;&gt;"",
OFFSET(数出表_Excel【15時】!$A$1,A162+3,D162-1),"")</f>
        <v/>
      </c>
      <c r="G162" t="str">
        <f ca="1">IF(D162&lt;&gt;"",
IF(AND(OFFSET(数出表_Excel【15時】!$A$1,A162+3,D162)&lt;&gt;"",OFFSET(数出表_Excel【15時】!$A$1,A162+3,D162)&lt;&gt;0),
OFFSET(数出表_Excel【15時】!$A$1,A162+3,D162),""),"")</f>
        <v/>
      </c>
      <c r="H162" s="209" t="str">
        <f t="array" aca="1" ref="H162" ca="1">IF(B162&lt;&gt;"",
IFERROR(MATCH(TRUE,ISNUMBER(INDIRECT("数出表_Excel【15時】!"&amp;SUBSTITUTE(ADDRESS(1,D162+2,4),"1","")&amp;(A162+4)&amp;":ZZ"&amp;(A162+4))),0)+D162+1,""),"")</f>
        <v/>
      </c>
      <c r="I162" t="str">
        <f ca="1">IF(H162&lt;&gt;"",
OFFSET(数出表_Excel【15時】!$A$1,2,H162-1)
&amp;IFERROR(OFFSET(数出表_Excel【15時】!$A$1,3,H162-1),"")
&amp;IFERROR(OFFSET(数出表_Excel【15時】!$A$1,4,H162-1),""),"")</f>
        <v/>
      </c>
      <c r="J162" t="str">
        <f ca="1">IF(H162&lt;&gt;"",
OFFSET(数出表_Excel【15時】!$A$1,A162+3,H162-1),"")</f>
        <v/>
      </c>
      <c r="K162" t="str">
        <f ca="1">IF(H162&lt;&gt;"",
IF(AND(OFFSET(数出表_Excel【15時】!$A$1,A162+3,H162)&lt;&gt;"",OFFSET(数出表_Excel【15時】!$A$1,A162+3,H162)&lt;&gt;0),
OFFSET(数出表_Excel【15時】!$A$1,A162+3,H162),""),"")</f>
        <v/>
      </c>
      <c r="L162" s="209" t="str">
        <f t="array" aca="1" ref="L162" ca="1">IF(B162&lt;&gt;"",
IFERROR(MATCH(TRUE,ISNUMBER(INDIRECT("数出表_Excel【15時】!"&amp;SUBSTITUTE(ADDRESS(1,H162+2,4),"1","")&amp;(A162+4)&amp;":ZZ"&amp;(A162+4))),0)+H162+1,""),"")</f>
        <v/>
      </c>
      <c r="M162" t="str">
        <f ca="1">IF(L162&lt;&gt;"",
OFFSET(数出表_Excel【15時】!$A$1,2,L162-1)
&amp;IFERROR(OFFSET(数出表_Excel【15時】!$A$1,3,L162-1),"")
&amp;IFERROR(OFFSET(数出表_Excel【15時】!$A$1,4,L162-1),""),"")</f>
        <v/>
      </c>
      <c r="N162" t="str">
        <f ca="1">IF(L162&lt;&gt;"",
OFFSET(数出表_Excel【15時】!$A$1,A162+3,L162-1),"")</f>
        <v/>
      </c>
      <c r="O162" t="str">
        <f ca="1">IF(L162&lt;&gt;"",
IF(AND(OFFSET(数出表_Excel【15時】!$A$1,A162+3,L162)&lt;&gt;"",OFFSET(数出表_Excel【15時】!$A$1,A162+3,L162)&lt;&gt;0),
OFFSET(数出表_Excel【15時】!$A$1,A162+3,L162),""),"")</f>
        <v/>
      </c>
      <c r="Q162" t="str">
        <f ca="1">IF(C162&lt;&gt;"",
IF(E162&lt;&gt;"",1,0)+IF(I162&lt;&gt;"",1,0)+IF(M162&lt;&gt;"",1,0),"")</f>
        <v/>
      </c>
    </row>
    <row r="163" spans="1:17">
      <c r="A163" t="str">
        <f t="shared" ca="1" si="2"/>
        <v/>
      </c>
      <c r="B163" t="str">
        <f t="array" aca="1" ref="B163" ca="1">IF(OR(COUNTIF(数出表_Excel【15時】!AO166,"*修正*"),COUNTIF(数出表_Excel【15時】!AO167,"*修正*")),
IF(ISEVEN(ROW()+4),INDIRECT("数出表_Excel【15時】!A"&amp;ROW()+4&amp;""),INDIRECT("数出表_Excel【15時】!A"&amp;ROW()+4-1&amp;"")),"")</f>
        <v/>
      </c>
      <c r="C163" t="str">
        <f t="array" aca="1" ref="C163" ca="1">IF(OR(COUNTIF(数出表_Excel【15時】!AO166,"*修正*"),COUNTIF(数出表_Excel【15時】!AO167,"*修正*")),
IF(ISEVEN(ROW()+4),INDIRECT("数出表_Excel【15時】!A"&amp;ROW()+4+1&amp;""),INDIRECT("数出表_Excel【15時】!A"&amp;ROW()+4&amp;"")),"")</f>
        <v/>
      </c>
      <c r="D163" s="209" t="str">
        <f t="array" aca="1" ref="D163" ca="1">IF(B163&lt;&gt;"",
IFERROR(MATCH(TRUE,ISNUMBER(INDIRECT("数出表_Excel【15時】!B"&amp;(A163+4)&amp;":ZZ"&amp;(A163+4))),0)+1,""),"")</f>
        <v/>
      </c>
      <c r="E163" t="str">
        <f ca="1">IF(D163&lt;&gt;"",
OFFSET(数出表_Excel【15時】!$A$1,2,D163-1)
&amp;IFERROR(OFFSET(数出表_Excel【15時】!$A$1,3,D163-1),"")
&amp;IFERROR(OFFSET(数出表_Excel【15時】!$A$1,4,D163-1),""),"")</f>
        <v/>
      </c>
      <c r="F163" t="str">
        <f ca="1">IF(D163&lt;&gt;"",
OFFSET(数出表_Excel【15時】!$A$1,A163+3,D163-1),"")</f>
        <v/>
      </c>
      <c r="G163" t="str">
        <f ca="1">IF(D163&lt;&gt;"",
IF(AND(OFFSET(数出表_Excel【15時】!$A$1,A163+3,D163)&lt;&gt;"",OFFSET(数出表_Excel【15時】!$A$1,A163+3,D163)&lt;&gt;0),
OFFSET(数出表_Excel【15時】!$A$1,A163+3,D163),""),"")</f>
        <v/>
      </c>
      <c r="H163" s="209" t="str">
        <f t="array" aca="1" ref="H163" ca="1">IF(B163&lt;&gt;"",
IFERROR(MATCH(TRUE,ISNUMBER(INDIRECT("数出表_Excel【15時】!"&amp;SUBSTITUTE(ADDRESS(1,D163+2,4),"1","")&amp;(A163+4)&amp;":ZZ"&amp;(A163+4))),0)+D163+1,""),"")</f>
        <v/>
      </c>
      <c r="I163" t="str">
        <f ca="1">IF(H163&lt;&gt;"",
OFFSET(数出表_Excel【15時】!$A$1,2,H163-1)
&amp;IFERROR(OFFSET(数出表_Excel【15時】!$A$1,3,H163-1),"")
&amp;IFERROR(OFFSET(数出表_Excel【15時】!$A$1,4,H163-1),""),"")</f>
        <v/>
      </c>
      <c r="J163" t="str">
        <f ca="1">IF(H163&lt;&gt;"",
OFFSET(数出表_Excel【15時】!$A$1,A163+3,H163-1),"")</f>
        <v/>
      </c>
      <c r="K163" t="str">
        <f ca="1">IF(H163&lt;&gt;"",
IF(AND(OFFSET(数出表_Excel【15時】!$A$1,A163+3,H163)&lt;&gt;"",OFFSET(数出表_Excel【15時】!$A$1,A163+3,H163)&lt;&gt;0),
OFFSET(数出表_Excel【15時】!$A$1,A163+3,H163),""),"")</f>
        <v/>
      </c>
      <c r="L163" s="209" t="str">
        <f t="array" aca="1" ref="L163" ca="1">IF(B163&lt;&gt;"",
IFERROR(MATCH(TRUE,ISNUMBER(INDIRECT("数出表_Excel【15時】!"&amp;SUBSTITUTE(ADDRESS(1,H163+2,4),"1","")&amp;(A163+4)&amp;":ZZ"&amp;(A163+4))),0)+H163+1,""),"")</f>
        <v/>
      </c>
      <c r="M163" t="str">
        <f ca="1">IF(L163&lt;&gt;"",
OFFSET(数出表_Excel【15時】!$A$1,2,L163-1)
&amp;IFERROR(OFFSET(数出表_Excel【15時】!$A$1,3,L163-1),"")
&amp;IFERROR(OFFSET(数出表_Excel【15時】!$A$1,4,L163-1),""),"")</f>
        <v/>
      </c>
      <c r="N163" t="str">
        <f ca="1">IF(L163&lt;&gt;"",
OFFSET(数出表_Excel【15時】!$A$1,A163+3,L163-1),"")</f>
        <v/>
      </c>
      <c r="O163" t="str">
        <f ca="1">IF(L163&lt;&gt;"",
IF(AND(OFFSET(数出表_Excel【15時】!$A$1,A163+3,L163)&lt;&gt;"",OFFSET(数出表_Excel【15時】!$A$1,A163+3,L163)&lt;&gt;0),
OFFSET(数出表_Excel【15時】!$A$1,A163+3,L163),""),"")</f>
        <v/>
      </c>
    </row>
    <row r="164" spans="1:17">
      <c r="A164" t="str">
        <f t="shared" ca="1" si="2"/>
        <v/>
      </c>
      <c r="B164" t="str">
        <f t="array" aca="1" ref="B164" ca="1">IF(OR(COUNTIF(数出表_Excel【15時】!AO168,"*修正*"),COUNTIF(数出表_Excel【15時】!AO169,"*修正*")),
IF(ISEVEN(ROW()+4),INDIRECT("数出表_Excel【15時】!A"&amp;ROW()+4&amp;""),INDIRECT("数出表_Excel【15時】!A"&amp;ROW()+4-1&amp;"")),"")</f>
        <v/>
      </c>
      <c r="C164" t="str">
        <f t="array" aca="1" ref="C164" ca="1">IF(OR(COUNTIF(数出表_Excel【15時】!AO168,"*修正*"),COUNTIF(数出表_Excel【15時】!AO169,"*修正*")),
IF(ISEVEN(ROW()+4),INDIRECT("数出表_Excel【15時】!A"&amp;ROW()+4+1&amp;""),INDIRECT("数出表_Excel【15時】!A"&amp;ROW()+4&amp;"")),"")</f>
        <v/>
      </c>
      <c r="D164" s="209" t="str">
        <f t="array" aca="1" ref="D164" ca="1">IF(B164&lt;&gt;"",
IFERROR(MATCH(TRUE,ISNUMBER(INDIRECT("数出表_Excel【15時】!B"&amp;(A164+4)&amp;":ZZ"&amp;(A164+4))),0)+1,""),"")</f>
        <v/>
      </c>
      <c r="E164" t="str">
        <f ca="1">IF(D164&lt;&gt;"",
OFFSET(数出表_Excel【15時】!$A$1,2,D164-1)
&amp;IFERROR(OFFSET(数出表_Excel【15時】!$A$1,3,D164-1),"")
&amp;IFERROR(OFFSET(数出表_Excel【15時】!$A$1,4,D164-1),""),"")</f>
        <v/>
      </c>
      <c r="F164" t="str">
        <f ca="1">IF(D164&lt;&gt;"",
OFFSET(数出表_Excel【15時】!$A$1,A164+3,D164-1),"")</f>
        <v/>
      </c>
      <c r="G164" t="str">
        <f ca="1">IF(D164&lt;&gt;"",
IF(AND(OFFSET(数出表_Excel【15時】!$A$1,A164+3,D164)&lt;&gt;"",OFFSET(数出表_Excel【15時】!$A$1,A164+3,D164)&lt;&gt;0),
OFFSET(数出表_Excel【15時】!$A$1,A164+3,D164),""),"")</f>
        <v/>
      </c>
      <c r="H164" s="209" t="str">
        <f t="array" aca="1" ref="H164" ca="1">IF(B164&lt;&gt;"",
IFERROR(MATCH(TRUE,ISNUMBER(INDIRECT("数出表_Excel【15時】!"&amp;SUBSTITUTE(ADDRESS(1,D164+2,4),"1","")&amp;(A164+4)&amp;":ZZ"&amp;(A164+4))),0)+D164+1,""),"")</f>
        <v/>
      </c>
      <c r="I164" t="str">
        <f ca="1">IF(H164&lt;&gt;"",
OFFSET(数出表_Excel【15時】!$A$1,2,H164-1)
&amp;IFERROR(OFFSET(数出表_Excel【15時】!$A$1,3,H164-1),"")
&amp;IFERROR(OFFSET(数出表_Excel【15時】!$A$1,4,H164-1),""),"")</f>
        <v/>
      </c>
      <c r="J164" t="str">
        <f ca="1">IF(H164&lt;&gt;"",
OFFSET(数出表_Excel【15時】!$A$1,A164+3,H164-1),"")</f>
        <v/>
      </c>
      <c r="K164" t="str">
        <f ca="1">IF(H164&lt;&gt;"",
IF(AND(OFFSET(数出表_Excel【15時】!$A$1,A164+3,H164)&lt;&gt;"",OFFSET(数出表_Excel【15時】!$A$1,A164+3,H164)&lt;&gt;0),
OFFSET(数出表_Excel【15時】!$A$1,A164+3,H164),""),"")</f>
        <v/>
      </c>
      <c r="L164" s="209" t="str">
        <f t="array" aca="1" ref="L164" ca="1">IF(B164&lt;&gt;"",
IFERROR(MATCH(TRUE,ISNUMBER(INDIRECT("数出表_Excel【15時】!"&amp;SUBSTITUTE(ADDRESS(1,H164+2,4),"1","")&amp;(A164+4)&amp;":ZZ"&amp;(A164+4))),0)+H164+1,""),"")</f>
        <v/>
      </c>
      <c r="M164" t="str">
        <f ca="1">IF(L164&lt;&gt;"",
OFFSET(数出表_Excel【15時】!$A$1,2,L164-1)
&amp;IFERROR(OFFSET(数出表_Excel【15時】!$A$1,3,L164-1),"")
&amp;IFERROR(OFFSET(数出表_Excel【15時】!$A$1,4,L164-1),""),"")</f>
        <v/>
      </c>
      <c r="N164" t="str">
        <f ca="1">IF(L164&lt;&gt;"",
OFFSET(数出表_Excel【15時】!$A$1,A164+3,L164-1),"")</f>
        <v/>
      </c>
      <c r="O164" t="str">
        <f ca="1">IF(L164&lt;&gt;"",
IF(AND(OFFSET(数出表_Excel【15時】!$A$1,A164+3,L164)&lt;&gt;"",OFFSET(数出表_Excel【15時】!$A$1,A164+3,L164)&lt;&gt;0),
OFFSET(数出表_Excel【15時】!$A$1,A164+3,L164),""),"")</f>
        <v/>
      </c>
      <c r="Q164" t="str">
        <f ca="1">IF(C164&lt;&gt;"",
IF(E164&lt;&gt;"",1,0)+IF(I164&lt;&gt;"",1,0)+IF(M164&lt;&gt;"",1,0),"")</f>
        <v/>
      </c>
    </row>
    <row r="165" spans="1:17">
      <c r="A165" t="str">
        <f t="shared" ca="1" si="2"/>
        <v/>
      </c>
      <c r="B165" t="str">
        <f t="array" aca="1" ref="B165" ca="1">IF(OR(COUNTIF(数出表_Excel【15時】!AO168,"*修正*"),COUNTIF(数出表_Excel【15時】!AO169,"*修正*")),
IF(ISEVEN(ROW()+4),INDIRECT("数出表_Excel【15時】!A"&amp;ROW()+4&amp;""),INDIRECT("数出表_Excel【15時】!A"&amp;ROW()+4-1&amp;"")),"")</f>
        <v/>
      </c>
      <c r="C165" t="str">
        <f t="array" aca="1" ref="C165" ca="1">IF(OR(COUNTIF(数出表_Excel【15時】!AO168,"*修正*"),COUNTIF(数出表_Excel【15時】!AO169,"*修正*")),
IF(ISEVEN(ROW()+4),INDIRECT("数出表_Excel【15時】!A"&amp;ROW()+4+1&amp;""),INDIRECT("数出表_Excel【15時】!A"&amp;ROW()+4&amp;"")),"")</f>
        <v/>
      </c>
      <c r="D165" s="209" t="str">
        <f t="array" aca="1" ref="D165" ca="1">IF(B165&lt;&gt;"",
IFERROR(MATCH(TRUE,ISNUMBER(INDIRECT("数出表_Excel【15時】!B"&amp;(A165+4)&amp;":ZZ"&amp;(A165+4))),0)+1,""),"")</f>
        <v/>
      </c>
      <c r="E165" t="str">
        <f ca="1">IF(D165&lt;&gt;"",
OFFSET(数出表_Excel【15時】!$A$1,2,D165-1)
&amp;IFERROR(OFFSET(数出表_Excel【15時】!$A$1,3,D165-1),"")
&amp;IFERROR(OFFSET(数出表_Excel【15時】!$A$1,4,D165-1),""),"")</f>
        <v/>
      </c>
      <c r="F165" t="str">
        <f ca="1">IF(D165&lt;&gt;"",
OFFSET(数出表_Excel【15時】!$A$1,A165+3,D165-1),"")</f>
        <v/>
      </c>
      <c r="G165" t="str">
        <f ca="1">IF(D165&lt;&gt;"",
IF(AND(OFFSET(数出表_Excel【15時】!$A$1,A165+3,D165)&lt;&gt;"",OFFSET(数出表_Excel【15時】!$A$1,A165+3,D165)&lt;&gt;0),
OFFSET(数出表_Excel【15時】!$A$1,A165+3,D165),""),"")</f>
        <v/>
      </c>
      <c r="H165" s="209" t="str">
        <f t="array" aca="1" ref="H165" ca="1">IF(B165&lt;&gt;"",
IFERROR(MATCH(TRUE,ISNUMBER(INDIRECT("数出表_Excel【15時】!"&amp;SUBSTITUTE(ADDRESS(1,D165+2,4),"1","")&amp;(A165+4)&amp;":ZZ"&amp;(A165+4))),0)+D165+1,""),"")</f>
        <v/>
      </c>
      <c r="I165" t="str">
        <f ca="1">IF(H165&lt;&gt;"",
OFFSET(数出表_Excel【15時】!$A$1,2,H165-1)
&amp;IFERROR(OFFSET(数出表_Excel【15時】!$A$1,3,H165-1),"")
&amp;IFERROR(OFFSET(数出表_Excel【15時】!$A$1,4,H165-1),""),"")</f>
        <v/>
      </c>
      <c r="J165" t="str">
        <f ca="1">IF(H165&lt;&gt;"",
OFFSET(数出表_Excel【15時】!$A$1,A165+3,H165-1),"")</f>
        <v/>
      </c>
      <c r="K165" t="str">
        <f ca="1">IF(H165&lt;&gt;"",
IF(AND(OFFSET(数出表_Excel【15時】!$A$1,A165+3,H165)&lt;&gt;"",OFFSET(数出表_Excel【15時】!$A$1,A165+3,H165)&lt;&gt;0),
OFFSET(数出表_Excel【15時】!$A$1,A165+3,H165),""),"")</f>
        <v/>
      </c>
      <c r="L165" s="209" t="str">
        <f t="array" aca="1" ref="L165" ca="1">IF(B165&lt;&gt;"",
IFERROR(MATCH(TRUE,ISNUMBER(INDIRECT("数出表_Excel【15時】!"&amp;SUBSTITUTE(ADDRESS(1,H165+2,4),"1","")&amp;(A165+4)&amp;":ZZ"&amp;(A165+4))),0)+H165+1,""),"")</f>
        <v/>
      </c>
      <c r="M165" t="str">
        <f ca="1">IF(L165&lt;&gt;"",
OFFSET(数出表_Excel【15時】!$A$1,2,L165-1)
&amp;IFERROR(OFFSET(数出表_Excel【15時】!$A$1,3,L165-1),"")
&amp;IFERROR(OFFSET(数出表_Excel【15時】!$A$1,4,L165-1),""),"")</f>
        <v/>
      </c>
      <c r="N165" t="str">
        <f ca="1">IF(L165&lt;&gt;"",
OFFSET(数出表_Excel【15時】!$A$1,A165+3,L165-1),"")</f>
        <v/>
      </c>
      <c r="O165" t="str">
        <f ca="1">IF(L165&lt;&gt;"",
IF(AND(OFFSET(数出表_Excel【15時】!$A$1,A165+3,L165)&lt;&gt;"",OFFSET(数出表_Excel【15時】!$A$1,A165+3,L165)&lt;&gt;0),
OFFSET(数出表_Excel【15時】!$A$1,A165+3,L165),""),"")</f>
        <v/>
      </c>
    </row>
    <row r="166" spans="1:17">
      <c r="A166" t="str">
        <f t="shared" ca="1" si="2"/>
        <v/>
      </c>
      <c r="B166" t="str">
        <f t="array" aca="1" ref="B166" ca="1">IF(OR(COUNTIF(数出表_Excel【15時】!AO170,"*修正*"),COUNTIF(数出表_Excel【15時】!AO171,"*修正*")),
IF(ISEVEN(ROW()+4),INDIRECT("数出表_Excel【15時】!A"&amp;ROW()+4&amp;""),INDIRECT("数出表_Excel【15時】!A"&amp;ROW()+4-1&amp;"")),"")</f>
        <v/>
      </c>
      <c r="C166" t="str">
        <f t="array" aca="1" ref="C166" ca="1">IF(OR(COUNTIF(数出表_Excel【15時】!AO170,"*修正*"),COUNTIF(数出表_Excel【15時】!AO171,"*修正*")),
IF(ISEVEN(ROW()+4),INDIRECT("数出表_Excel【15時】!A"&amp;ROW()+4+1&amp;""),INDIRECT("数出表_Excel【15時】!A"&amp;ROW()+4&amp;"")),"")</f>
        <v/>
      </c>
      <c r="D166" s="209" t="str">
        <f t="array" aca="1" ref="D166" ca="1">IF(B166&lt;&gt;"",
IFERROR(MATCH(TRUE,ISNUMBER(INDIRECT("数出表_Excel【15時】!B"&amp;(A166+4)&amp;":ZZ"&amp;(A166+4))),0)+1,""),"")</f>
        <v/>
      </c>
      <c r="E166" t="str">
        <f ca="1">IF(D166&lt;&gt;"",
OFFSET(数出表_Excel【15時】!$A$1,2,D166-1)
&amp;IFERROR(OFFSET(数出表_Excel【15時】!$A$1,3,D166-1),"")
&amp;IFERROR(OFFSET(数出表_Excel【15時】!$A$1,4,D166-1),""),"")</f>
        <v/>
      </c>
      <c r="F166" t="str">
        <f ca="1">IF(D166&lt;&gt;"",
OFFSET(数出表_Excel【15時】!$A$1,A166+3,D166-1),"")</f>
        <v/>
      </c>
      <c r="G166" t="str">
        <f ca="1">IF(D166&lt;&gt;"",
IF(AND(OFFSET(数出表_Excel【15時】!$A$1,A166+3,D166)&lt;&gt;"",OFFSET(数出表_Excel【15時】!$A$1,A166+3,D166)&lt;&gt;0),
OFFSET(数出表_Excel【15時】!$A$1,A166+3,D166),""),"")</f>
        <v/>
      </c>
      <c r="H166" s="209" t="str">
        <f t="array" aca="1" ref="H166" ca="1">IF(B166&lt;&gt;"",
IFERROR(MATCH(TRUE,ISNUMBER(INDIRECT("数出表_Excel【15時】!"&amp;SUBSTITUTE(ADDRESS(1,D166+2,4),"1","")&amp;(A166+4)&amp;":ZZ"&amp;(A166+4))),0)+D166+1,""),"")</f>
        <v/>
      </c>
      <c r="I166" t="str">
        <f ca="1">IF(H166&lt;&gt;"",
OFFSET(数出表_Excel【15時】!$A$1,2,H166-1)
&amp;IFERROR(OFFSET(数出表_Excel【15時】!$A$1,3,H166-1),"")
&amp;IFERROR(OFFSET(数出表_Excel【15時】!$A$1,4,H166-1),""),"")</f>
        <v/>
      </c>
      <c r="J166" t="str">
        <f ca="1">IF(H166&lt;&gt;"",
OFFSET(数出表_Excel【15時】!$A$1,A166+3,H166-1),"")</f>
        <v/>
      </c>
      <c r="K166" t="str">
        <f ca="1">IF(H166&lt;&gt;"",
IF(AND(OFFSET(数出表_Excel【15時】!$A$1,A166+3,H166)&lt;&gt;"",OFFSET(数出表_Excel【15時】!$A$1,A166+3,H166)&lt;&gt;0),
OFFSET(数出表_Excel【15時】!$A$1,A166+3,H166),""),"")</f>
        <v/>
      </c>
      <c r="L166" s="209" t="str">
        <f t="array" aca="1" ref="L166" ca="1">IF(B166&lt;&gt;"",
IFERROR(MATCH(TRUE,ISNUMBER(INDIRECT("数出表_Excel【15時】!"&amp;SUBSTITUTE(ADDRESS(1,H166+2,4),"1","")&amp;(A166+4)&amp;":ZZ"&amp;(A166+4))),0)+H166+1,""),"")</f>
        <v/>
      </c>
      <c r="M166" t="str">
        <f ca="1">IF(L166&lt;&gt;"",
OFFSET(数出表_Excel【15時】!$A$1,2,L166-1)
&amp;IFERROR(OFFSET(数出表_Excel【15時】!$A$1,3,L166-1),"")
&amp;IFERROR(OFFSET(数出表_Excel【15時】!$A$1,4,L166-1),""),"")</f>
        <v/>
      </c>
      <c r="N166" t="str">
        <f ca="1">IF(L166&lt;&gt;"",
OFFSET(数出表_Excel【15時】!$A$1,A166+3,L166-1),"")</f>
        <v/>
      </c>
      <c r="O166" t="str">
        <f ca="1">IF(L166&lt;&gt;"",
IF(AND(OFFSET(数出表_Excel【15時】!$A$1,A166+3,L166)&lt;&gt;"",OFFSET(数出表_Excel【15時】!$A$1,A166+3,L166)&lt;&gt;0),
OFFSET(数出表_Excel【15時】!$A$1,A166+3,L166),""),"")</f>
        <v/>
      </c>
      <c r="Q166" t="str">
        <f ca="1">IF(C166&lt;&gt;"",
IF(E166&lt;&gt;"",1,0)+IF(I166&lt;&gt;"",1,0)+IF(M166&lt;&gt;"",1,0),"")</f>
        <v/>
      </c>
    </row>
    <row r="167" spans="1:17">
      <c r="A167" t="str">
        <f t="shared" ca="1" si="2"/>
        <v/>
      </c>
      <c r="B167" t="str">
        <f t="array" aca="1" ref="B167" ca="1">IF(OR(COUNTIF(数出表_Excel【15時】!AO170,"*修正*"),COUNTIF(数出表_Excel【15時】!AO171,"*修正*")),
IF(ISEVEN(ROW()+4),INDIRECT("数出表_Excel【15時】!A"&amp;ROW()+4&amp;""),INDIRECT("数出表_Excel【15時】!A"&amp;ROW()+4-1&amp;"")),"")</f>
        <v/>
      </c>
      <c r="C167" t="str">
        <f t="array" aca="1" ref="C167" ca="1">IF(OR(COUNTIF(数出表_Excel【15時】!AO170,"*修正*"),COUNTIF(数出表_Excel【15時】!AO171,"*修正*")),
IF(ISEVEN(ROW()+4),INDIRECT("数出表_Excel【15時】!A"&amp;ROW()+4+1&amp;""),INDIRECT("数出表_Excel【15時】!A"&amp;ROW()+4&amp;"")),"")</f>
        <v/>
      </c>
      <c r="D167" s="209" t="str">
        <f t="array" aca="1" ref="D167" ca="1">IF(B167&lt;&gt;"",
IFERROR(MATCH(TRUE,ISNUMBER(INDIRECT("数出表_Excel【15時】!B"&amp;(A167+4)&amp;":ZZ"&amp;(A167+4))),0)+1,""),"")</f>
        <v/>
      </c>
      <c r="E167" t="str">
        <f ca="1">IF(D167&lt;&gt;"",
OFFSET(数出表_Excel【15時】!$A$1,2,D167-1)
&amp;IFERROR(OFFSET(数出表_Excel【15時】!$A$1,3,D167-1),"")
&amp;IFERROR(OFFSET(数出表_Excel【15時】!$A$1,4,D167-1),""),"")</f>
        <v/>
      </c>
      <c r="F167" t="str">
        <f ca="1">IF(D167&lt;&gt;"",
OFFSET(数出表_Excel【15時】!$A$1,A167+3,D167-1),"")</f>
        <v/>
      </c>
      <c r="G167" t="str">
        <f ca="1">IF(D167&lt;&gt;"",
IF(AND(OFFSET(数出表_Excel【15時】!$A$1,A167+3,D167)&lt;&gt;"",OFFSET(数出表_Excel【15時】!$A$1,A167+3,D167)&lt;&gt;0),
OFFSET(数出表_Excel【15時】!$A$1,A167+3,D167),""),"")</f>
        <v/>
      </c>
      <c r="H167" s="209" t="str">
        <f t="array" aca="1" ref="H167" ca="1">IF(B167&lt;&gt;"",
IFERROR(MATCH(TRUE,ISNUMBER(INDIRECT("数出表_Excel【15時】!"&amp;SUBSTITUTE(ADDRESS(1,D167+2,4),"1","")&amp;(A167+4)&amp;":ZZ"&amp;(A167+4))),0)+D167+1,""),"")</f>
        <v/>
      </c>
      <c r="I167" t="str">
        <f ca="1">IF(H167&lt;&gt;"",
OFFSET(数出表_Excel【15時】!$A$1,2,H167-1)
&amp;IFERROR(OFFSET(数出表_Excel【15時】!$A$1,3,H167-1),"")
&amp;IFERROR(OFFSET(数出表_Excel【15時】!$A$1,4,H167-1),""),"")</f>
        <v/>
      </c>
      <c r="J167" t="str">
        <f ca="1">IF(H167&lt;&gt;"",
OFFSET(数出表_Excel【15時】!$A$1,A167+3,H167-1),"")</f>
        <v/>
      </c>
      <c r="K167" t="str">
        <f ca="1">IF(H167&lt;&gt;"",
IF(AND(OFFSET(数出表_Excel【15時】!$A$1,A167+3,H167)&lt;&gt;"",OFFSET(数出表_Excel【15時】!$A$1,A167+3,H167)&lt;&gt;0),
OFFSET(数出表_Excel【15時】!$A$1,A167+3,H167),""),"")</f>
        <v/>
      </c>
      <c r="L167" s="209" t="str">
        <f t="array" aca="1" ref="L167" ca="1">IF(B167&lt;&gt;"",
IFERROR(MATCH(TRUE,ISNUMBER(INDIRECT("数出表_Excel【15時】!"&amp;SUBSTITUTE(ADDRESS(1,H167+2,4),"1","")&amp;(A167+4)&amp;":ZZ"&amp;(A167+4))),0)+H167+1,""),"")</f>
        <v/>
      </c>
      <c r="M167" t="str">
        <f ca="1">IF(L167&lt;&gt;"",
OFFSET(数出表_Excel【15時】!$A$1,2,L167-1)
&amp;IFERROR(OFFSET(数出表_Excel【15時】!$A$1,3,L167-1),"")
&amp;IFERROR(OFFSET(数出表_Excel【15時】!$A$1,4,L167-1),""),"")</f>
        <v/>
      </c>
      <c r="N167" t="str">
        <f ca="1">IF(L167&lt;&gt;"",
OFFSET(数出表_Excel【15時】!$A$1,A167+3,L167-1),"")</f>
        <v/>
      </c>
      <c r="O167" t="str">
        <f ca="1">IF(L167&lt;&gt;"",
IF(AND(OFFSET(数出表_Excel【15時】!$A$1,A167+3,L167)&lt;&gt;"",OFFSET(数出表_Excel【15時】!$A$1,A167+3,L167)&lt;&gt;0),
OFFSET(数出表_Excel【15時】!$A$1,A167+3,L167),""),"")</f>
        <v/>
      </c>
    </row>
    <row r="168" spans="1:17">
      <c r="A168" t="str">
        <f t="shared" ca="1" si="2"/>
        <v/>
      </c>
      <c r="B168" t="str">
        <f t="array" aca="1" ref="B168" ca="1">IF(OR(COUNTIF(数出表_Excel【15時】!AO172,"*修正*"),COUNTIF(数出表_Excel【15時】!AO173,"*修正*")),
IF(ISEVEN(ROW()+4),INDIRECT("数出表_Excel【15時】!A"&amp;ROW()+4&amp;""),INDIRECT("数出表_Excel【15時】!A"&amp;ROW()+4-1&amp;"")),"")</f>
        <v/>
      </c>
      <c r="C168" t="str">
        <f t="array" aca="1" ref="C168" ca="1">IF(OR(COUNTIF(数出表_Excel【15時】!AO172,"*修正*"),COUNTIF(数出表_Excel【15時】!AO173,"*修正*")),
IF(ISEVEN(ROW()+4),INDIRECT("数出表_Excel【15時】!A"&amp;ROW()+4+1&amp;""),INDIRECT("数出表_Excel【15時】!A"&amp;ROW()+4&amp;"")),"")</f>
        <v/>
      </c>
      <c r="D168" s="209" t="str">
        <f t="array" aca="1" ref="D168" ca="1">IF(B168&lt;&gt;"",
IFERROR(MATCH(TRUE,ISNUMBER(INDIRECT("数出表_Excel【15時】!B"&amp;(A168+4)&amp;":ZZ"&amp;(A168+4))),0)+1,""),"")</f>
        <v/>
      </c>
      <c r="E168" t="str">
        <f ca="1">IF(D168&lt;&gt;"",
OFFSET(数出表_Excel【15時】!$A$1,2,D168-1)
&amp;IFERROR(OFFSET(数出表_Excel【15時】!$A$1,3,D168-1),"")
&amp;IFERROR(OFFSET(数出表_Excel【15時】!$A$1,4,D168-1),""),"")</f>
        <v/>
      </c>
      <c r="F168" t="str">
        <f ca="1">IF(D168&lt;&gt;"",
OFFSET(数出表_Excel【15時】!$A$1,A168+3,D168-1),"")</f>
        <v/>
      </c>
      <c r="G168" t="str">
        <f ca="1">IF(D168&lt;&gt;"",
IF(AND(OFFSET(数出表_Excel【15時】!$A$1,A168+3,D168)&lt;&gt;"",OFFSET(数出表_Excel【15時】!$A$1,A168+3,D168)&lt;&gt;0),
OFFSET(数出表_Excel【15時】!$A$1,A168+3,D168),""),"")</f>
        <v/>
      </c>
      <c r="H168" s="209" t="str">
        <f t="array" aca="1" ref="H168" ca="1">IF(B168&lt;&gt;"",
IFERROR(MATCH(TRUE,ISNUMBER(INDIRECT("数出表_Excel【15時】!"&amp;SUBSTITUTE(ADDRESS(1,D168+2,4),"1","")&amp;(A168+4)&amp;":ZZ"&amp;(A168+4))),0)+D168+1,""),"")</f>
        <v/>
      </c>
      <c r="I168" t="str">
        <f ca="1">IF(H168&lt;&gt;"",
OFFSET(数出表_Excel【15時】!$A$1,2,H168-1)
&amp;IFERROR(OFFSET(数出表_Excel【15時】!$A$1,3,H168-1),"")
&amp;IFERROR(OFFSET(数出表_Excel【15時】!$A$1,4,H168-1),""),"")</f>
        <v/>
      </c>
      <c r="J168" t="str">
        <f ca="1">IF(H168&lt;&gt;"",
OFFSET(数出表_Excel【15時】!$A$1,A168+3,H168-1),"")</f>
        <v/>
      </c>
      <c r="K168" t="str">
        <f ca="1">IF(H168&lt;&gt;"",
IF(AND(OFFSET(数出表_Excel【15時】!$A$1,A168+3,H168)&lt;&gt;"",OFFSET(数出表_Excel【15時】!$A$1,A168+3,H168)&lt;&gt;0),
OFFSET(数出表_Excel【15時】!$A$1,A168+3,H168),""),"")</f>
        <v/>
      </c>
      <c r="L168" s="209" t="str">
        <f t="array" aca="1" ref="L168" ca="1">IF(B168&lt;&gt;"",
IFERROR(MATCH(TRUE,ISNUMBER(INDIRECT("数出表_Excel【15時】!"&amp;SUBSTITUTE(ADDRESS(1,H168+2,4),"1","")&amp;(A168+4)&amp;":ZZ"&amp;(A168+4))),0)+H168+1,""),"")</f>
        <v/>
      </c>
      <c r="M168" t="str">
        <f ca="1">IF(L168&lt;&gt;"",
OFFSET(数出表_Excel【15時】!$A$1,2,L168-1)
&amp;IFERROR(OFFSET(数出表_Excel【15時】!$A$1,3,L168-1),"")
&amp;IFERROR(OFFSET(数出表_Excel【15時】!$A$1,4,L168-1),""),"")</f>
        <v/>
      </c>
      <c r="N168" t="str">
        <f ca="1">IF(L168&lt;&gt;"",
OFFSET(数出表_Excel【15時】!$A$1,A168+3,L168-1),"")</f>
        <v/>
      </c>
      <c r="O168" t="str">
        <f ca="1">IF(L168&lt;&gt;"",
IF(AND(OFFSET(数出表_Excel【15時】!$A$1,A168+3,L168)&lt;&gt;"",OFFSET(数出表_Excel【15時】!$A$1,A168+3,L168)&lt;&gt;0),
OFFSET(数出表_Excel【15時】!$A$1,A168+3,L168),""),"")</f>
        <v/>
      </c>
      <c r="Q168" t="str">
        <f ca="1">IF(C168&lt;&gt;"",
IF(E168&lt;&gt;"",1,0)+IF(I168&lt;&gt;"",1,0)+IF(M168&lt;&gt;"",1,0),"")</f>
        <v/>
      </c>
    </row>
    <row r="169" spans="1:17">
      <c r="A169" t="str">
        <f t="shared" ca="1" si="2"/>
        <v/>
      </c>
      <c r="B169" t="str">
        <f t="array" aca="1" ref="B169" ca="1">IF(OR(COUNTIF(数出表_Excel【15時】!AO172,"*修正*"),COUNTIF(数出表_Excel【15時】!AO173,"*修正*")),
IF(ISEVEN(ROW()+4),INDIRECT("数出表_Excel【15時】!A"&amp;ROW()+4&amp;""),INDIRECT("数出表_Excel【15時】!A"&amp;ROW()+4-1&amp;"")),"")</f>
        <v/>
      </c>
      <c r="C169" t="str">
        <f t="array" aca="1" ref="C169" ca="1">IF(OR(COUNTIF(数出表_Excel【15時】!AO172,"*修正*"),COUNTIF(数出表_Excel【15時】!AO173,"*修正*")),
IF(ISEVEN(ROW()+4),INDIRECT("数出表_Excel【15時】!A"&amp;ROW()+4+1&amp;""),INDIRECT("数出表_Excel【15時】!A"&amp;ROW()+4&amp;"")),"")</f>
        <v/>
      </c>
      <c r="D169" s="209" t="str">
        <f t="array" aca="1" ref="D169" ca="1">IF(B169&lt;&gt;"",
IFERROR(MATCH(TRUE,ISNUMBER(INDIRECT("数出表_Excel【15時】!B"&amp;(A169+4)&amp;":ZZ"&amp;(A169+4))),0)+1,""),"")</f>
        <v/>
      </c>
      <c r="E169" t="str">
        <f ca="1">IF(D169&lt;&gt;"",
OFFSET(数出表_Excel【15時】!$A$1,2,D169-1)
&amp;IFERROR(OFFSET(数出表_Excel【15時】!$A$1,3,D169-1),"")
&amp;IFERROR(OFFSET(数出表_Excel【15時】!$A$1,4,D169-1),""),"")</f>
        <v/>
      </c>
      <c r="F169" t="str">
        <f ca="1">IF(D169&lt;&gt;"",
OFFSET(数出表_Excel【15時】!$A$1,A169+3,D169-1),"")</f>
        <v/>
      </c>
      <c r="G169" t="str">
        <f ca="1">IF(D169&lt;&gt;"",
IF(AND(OFFSET(数出表_Excel【15時】!$A$1,A169+3,D169)&lt;&gt;"",OFFSET(数出表_Excel【15時】!$A$1,A169+3,D169)&lt;&gt;0),
OFFSET(数出表_Excel【15時】!$A$1,A169+3,D169),""),"")</f>
        <v/>
      </c>
      <c r="H169" s="209" t="str">
        <f t="array" aca="1" ref="H169" ca="1">IF(B169&lt;&gt;"",
IFERROR(MATCH(TRUE,ISNUMBER(INDIRECT("数出表_Excel【15時】!"&amp;SUBSTITUTE(ADDRESS(1,D169+2,4),"1","")&amp;(A169+4)&amp;":ZZ"&amp;(A169+4))),0)+D169+1,""),"")</f>
        <v/>
      </c>
      <c r="I169" t="str">
        <f ca="1">IF(H169&lt;&gt;"",
OFFSET(数出表_Excel【15時】!$A$1,2,H169-1)
&amp;IFERROR(OFFSET(数出表_Excel【15時】!$A$1,3,H169-1),"")
&amp;IFERROR(OFFSET(数出表_Excel【15時】!$A$1,4,H169-1),""),"")</f>
        <v/>
      </c>
      <c r="J169" t="str">
        <f ca="1">IF(H169&lt;&gt;"",
OFFSET(数出表_Excel【15時】!$A$1,A169+3,H169-1),"")</f>
        <v/>
      </c>
      <c r="K169" t="str">
        <f ca="1">IF(H169&lt;&gt;"",
IF(AND(OFFSET(数出表_Excel【15時】!$A$1,A169+3,H169)&lt;&gt;"",OFFSET(数出表_Excel【15時】!$A$1,A169+3,H169)&lt;&gt;0),
OFFSET(数出表_Excel【15時】!$A$1,A169+3,H169),""),"")</f>
        <v/>
      </c>
      <c r="L169" s="209" t="str">
        <f t="array" aca="1" ref="L169" ca="1">IF(B169&lt;&gt;"",
IFERROR(MATCH(TRUE,ISNUMBER(INDIRECT("数出表_Excel【15時】!"&amp;SUBSTITUTE(ADDRESS(1,H169+2,4),"1","")&amp;(A169+4)&amp;":ZZ"&amp;(A169+4))),0)+H169+1,""),"")</f>
        <v/>
      </c>
      <c r="M169" t="str">
        <f ca="1">IF(L169&lt;&gt;"",
OFFSET(数出表_Excel【15時】!$A$1,2,L169-1)
&amp;IFERROR(OFFSET(数出表_Excel【15時】!$A$1,3,L169-1),"")
&amp;IFERROR(OFFSET(数出表_Excel【15時】!$A$1,4,L169-1),""),"")</f>
        <v/>
      </c>
      <c r="N169" t="str">
        <f ca="1">IF(L169&lt;&gt;"",
OFFSET(数出表_Excel【15時】!$A$1,A169+3,L169-1),"")</f>
        <v/>
      </c>
      <c r="O169" t="str">
        <f ca="1">IF(L169&lt;&gt;"",
IF(AND(OFFSET(数出表_Excel【15時】!$A$1,A169+3,L169)&lt;&gt;"",OFFSET(数出表_Excel【15時】!$A$1,A169+3,L169)&lt;&gt;0),
OFFSET(数出表_Excel【15時】!$A$1,A169+3,L169),""),"")</f>
        <v/>
      </c>
    </row>
    <row r="170" spans="1:17">
      <c r="A170" t="str">
        <f t="shared" ca="1" si="2"/>
        <v/>
      </c>
      <c r="B170" t="str">
        <f t="array" aca="1" ref="B170" ca="1">IF(OR(COUNTIF(数出表_Excel【15時】!AO174,"*修正*"),COUNTIF(数出表_Excel【15時】!AO175,"*修正*")),
IF(ISEVEN(ROW()+4),INDIRECT("数出表_Excel【15時】!A"&amp;ROW()+4&amp;""),INDIRECT("数出表_Excel【15時】!A"&amp;ROW()+4-1&amp;"")),"")</f>
        <v/>
      </c>
      <c r="C170" t="str">
        <f t="array" aca="1" ref="C170" ca="1">IF(OR(COUNTIF(数出表_Excel【15時】!AO174,"*修正*"),COUNTIF(数出表_Excel【15時】!AO175,"*修正*")),
IF(ISEVEN(ROW()+4),INDIRECT("数出表_Excel【15時】!A"&amp;ROW()+4+1&amp;""),INDIRECT("数出表_Excel【15時】!A"&amp;ROW()+4&amp;"")),"")</f>
        <v/>
      </c>
      <c r="D170" s="209" t="str">
        <f t="array" aca="1" ref="D170" ca="1">IF(B170&lt;&gt;"",
IFERROR(MATCH(TRUE,ISNUMBER(INDIRECT("数出表_Excel【15時】!B"&amp;(A170+4)&amp;":ZZ"&amp;(A170+4))),0)+1,""),"")</f>
        <v/>
      </c>
      <c r="E170" t="str">
        <f ca="1">IF(D170&lt;&gt;"",
OFFSET(数出表_Excel【15時】!$A$1,2,D170-1)
&amp;IFERROR(OFFSET(数出表_Excel【15時】!$A$1,3,D170-1),"")
&amp;IFERROR(OFFSET(数出表_Excel【15時】!$A$1,4,D170-1),""),"")</f>
        <v/>
      </c>
      <c r="F170" t="str">
        <f ca="1">IF(D170&lt;&gt;"",
OFFSET(数出表_Excel【15時】!$A$1,A170+3,D170-1),"")</f>
        <v/>
      </c>
      <c r="G170" t="str">
        <f ca="1">IF(D170&lt;&gt;"",
IF(AND(OFFSET(数出表_Excel【15時】!$A$1,A170+3,D170)&lt;&gt;"",OFFSET(数出表_Excel【15時】!$A$1,A170+3,D170)&lt;&gt;0),
OFFSET(数出表_Excel【15時】!$A$1,A170+3,D170),""),"")</f>
        <v/>
      </c>
      <c r="H170" s="209" t="str">
        <f t="array" aca="1" ref="H170" ca="1">IF(B170&lt;&gt;"",
IFERROR(MATCH(TRUE,ISNUMBER(INDIRECT("数出表_Excel【15時】!"&amp;SUBSTITUTE(ADDRESS(1,D170+2,4),"1","")&amp;(A170+4)&amp;":ZZ"&amp;(A170+4))),0)+D170+1,""),"")</f>
        <v/>
      </c>
      <c r="I170" t="str">
        <f ca="1">IF(H170&lt;&gt;"",
OFFSET(数出表_Excel【15時】!$A$1,2,H170-1)
&amp;IFERROR(OFFSET(数出表_Excel【15時】!$A$1,3,H170-1),"")
&amp;IFERROR(OFFSET(数出表_Excel【15時】!$A$1,4,H170-1),""),"")</f>
        <v/>
      </c>
      <c r="J170" t="str">
        <f ca="1">IF(H170&lt;&gt;"",
OFFSET(数出表_Excel【15時】!$A$1,A170+3,H170-1),"")</f>
        <v/>
      </c>
      <c r="K170" t="str">
        <f ca="1">IF(H170&lt;&gt;"",
IF(AND(OFFSET(数出表_Excel【15時】!$A$1,A170+3,H170)&lt;&gt;"",OFFSET(数出表_Excel【15時】!$A$1,A170+3,H170)&lt;&gt;0),
OFFSET(数出表_Excel【15時】!$A$1,A170+3,H170),""),"")</f>
        <v/>
      </c>
      <c r="L170" s="209" t="str">
        <f t="array" aca="1" ref="L170" ca="1">IF(B170&lt;&gt;"",
IFERROR(MATCH(TRUE,ISNUMBER(INDIRECT("数出表_Excel【15時】!"&amp;SUBSTITUTE(ADDRESS(1,H170+2,4),"1","")&amp;(A170+4)&amp;":ZZ"&amp;(A170+4))),0)+H170+1,""),"")</f>
        <v/>
      </c>
      <c r="M170" t="str">
        <f ca="1">IF(L170&lt;&gt;"",
OFFSET(数出表_Excel【15時】!$A$1,2,L170-1)
&amp;IFERROR(OFFSET(数出表_Excel【15時】!$A$1,3,L170-1),"")
&amp;IFERROR(OFFSET(数出表_Excel【15時】!$A$1,4,L170-1),""),"")</f>
        <v/>
      </c>
      <c r="N170" t="str">
        <f ca="1">IF(L170&lt;&gt;"",
OFFSET(数出表_Excel【15時】!$A$1,A170+3,L170-1),"")</f>
        <v/>
      </c>
      <c r="O170" t="str">
        <f ca="1">IF(L170&lt;&gt;"",
IF(AND(OFFSET(数出表_Excel【15時】!$A$1,A170+3,L170)&lt;&gt;"",OFFSET(数出表_Excel【15時】!$A$1,A170+3,L170)&lt;&gt;0),
OFFSET(数出表_Excel【15時】!$A$1,A170+3,L170),""),"")</f>
        <v/>
      </c>
      <c r="Q170" t="str">
        <f ca="1">IF(C170&lt;&gt;"",
IF(E170&lt;&gt;"",1,0)+IF(I170&lt;&gt;"",1,0)+IF(M170&lt;&gt;"",1,0),"")</f>
        <v/>
      </c>
    </row>
    <row r="171" spans="1:17">
      <c r="A171" t="str">
        <f t="shared" ca="1" si="2"/>
        <v/>
      </c>
      <c r="B171" t="str">
        <f t="array" aca="1" ref="B171" ca="1">IF(OR(COUNTIF(数出表_Excel【15時】!AO174,"*修正*"),COUNTIF(数出表_Excel【15時】!AO175,"*修正*")),
IF(ISEVEN(ROW()+4),INDIRECT("数出表_Excel【15時】!A"&amp;ROW()+4&amp;""),INDIRECT("数出表_Excel【15時】!A"&amp;ROW()+4-1&amp;"")),"")</f>
        <v/>
      </c>
      <c r="C171" t="str">
        <f t="array" aca="1" ref="C171" ca="1">IF(OR(COUNTIF(数出表_Excel【15時】!AO174,"*修正*"),COUNTIF(数出表_Excel【15時】!AO175,"*修正*")),
IF(ISEVEN(ROW()+4),INDIRECT("数出表_Excel【15時】!A"&amp;ROW()+4+1&amp;""),INDIRECT("数出表_Excel【15時】!A"&amp;ROW()+4&amp;"")),"")</f>
        <v/>
      </c>
      <c r="D171" s="209" t="str">
        <f t="array" aca="1" ref="D171" ca="1">IF(B171&lt;&gt;"",
IFERROR(MATCH(TRUE,ISNUMBER(INDIRECT("数出表_Excel【15時】!B"&amp;(A171+4)&amp;":ZZ"&amp;(A171+4))),0)+1,""),"")</f>
        <v/>
      </c>
      <c r="E171" t="str">
        <f ca="1">IF(D171&lt;&gt;"",
OFFSET(数出表_Excel【15時】!$A$1,2,D171-1)
&amp;IFERROR(OFFSET(数出表_Excel【15時】!$A$1,3,D171-1),"")
&amp;IFERROR(OFFSET(数出表_Excel【15時】!$A$1,4,D171-1),""),"")</f>
        <v/>
      </c>
      <c r="F171" t="str">
        <f ca="1">IF(D171&lt;&gt;"",
OFFSET(数出表_Excel【15時】!$A$1,A171+3,D171-1),"")</f>
        <v/>
      </c>
      <c r="G171" t="str">
        <f ca="1">IF(D171&lt;&gt;"",
IF(AND(OFFSET(数出表_Excel【15時】!$A$1,A171+3,D171)&lt;&gt;"",OFFSET(数出表_Excel【15時】!$A$1,A171+3,D171)&lt;&gt;0),
OFFSET(数出表_Excel【15時】!$A$1,A171+3,D171),""),"")</f>
        <v/>
      </c>
      <c r="H171" s="209" t="str">
        <f t="array" aca="1" ref="H171" ca="1">IF(B171&lt;&gt;"",
IFERROR(MATCH(TRUE,ISNUMBER(INDIRECT("数出表_Excel【15時】!"&amp;SUBSTITUTE(ADDRESS(1,D171+2,4),"1","")&amp;(A171+4)&amp;":ZZ"&amp;(A171+4))),0)+D171+1,""),"")</f>
        <v/>
      </c>
      <c r="I171" t="str">
        <f ca="1">IF(H171&lt;&gt;"",
OFFSET(数出表_Excel【15時】!$A$1,2,H171-1)
&amp;IFERROR(OFFSET(数出表_Excel【15時】!$A$1,3,H171-1),"")
&amp;IFERROR(OFFSET(数出表_Excel【15時】!$A$1,4,H171-1),""),"")</f>
        <v/>
      </c>
      <c r="J171" t="str">
        <f ca="1">IF(H171&lt;&gt;"",
OFFSET(数出表_Excel【15時】!$A$1,A171+3,H171-1),"")</f>
        <v/>
      </c>
      <c r="K171" t="str">
        <f ca="1">IF(H171&lt;&gt;"",
IF(AND(OFFSET(数出表_Excel【15時】!$A$1,A171+3,H171)&lt;&gt;"",OFFSET(数出表_Excel【15時】!$A$1,A171+3,H171)&lt;&gt;0),
OFFSET(数出表_Excel【15時】!$A$1,A171+3,H171),""),"")</f>
        <v/>
      </c>
      <c r="L171" s="209" t="str">
        <f t="array" aca="1" ref="L171" ca="1">IF(B171&lt;&gt;"",
IFERROR(MATCH(TRUE,ISNUMBER(INDIRECT("数出表_Excel【15時】!"&amp;SUBSTITUTE(ADDRESS(1,H171+2,4),"1","")&amp;(A171+4)&amp;":ZZ"&amp;(A171+4))),0)+H171+1,""),"")</f>
        <v/>
      </c>
      <c r="M171" t="str">
        <f ca="1">IF(L171&lt;&gt;"",
OFFSET(数出表_Excel【15時】!$A$1,2,L171-1)
&amp;IFERROR(OFFSET(数出表_Excel【15時】!$A$1,3,L171-1),"")
&amp;IFERROR(OFFSET(数出表_Excel【15時】!$A$1,4,L171-1),""),"")</f>
        <v/>
      </c>
      <c r="N171" t="str">
        <f ca="1">IF(L171&lt;&gt;"",
OFFSET(数出表_Excel【15時】!$A$1,A171+3,L171-1),"")</f>
        <v/>
      </c>
      <c r="O171" t="str">
        <f ca="1">IF(L171&lt;&gt;"",
IF(AND(OFFSET(数出表_Excel【15時】!$A$1,A171+3,L171)&lt;&gt;"",OFFSET(数出表_Excel【15時】!$A$1,A171+3,L171)&lt;&gt;0),
OFFSET(数出表_Excel【15時】!$A$1,A171+3,L171),""),"")</f>
        <v/>
      </c>
    </row>
    <row r="172" spans="1:17">
      <c r="A172" t="str">
        <f t="shared" ca="1" si="2"/>
        <v/>
      </c>
      <c r="B172" t="str">
        <f t="array" aca="1" ref="B172" ca="1">IF(OR(COUNTIF(数出表_Excel【15時】!AO176,"*修正*"),COUNTIF(数出表_Excel【15時】!AO177,"*修正*")),
IF(ISEVEN(ROW()+4),INDIRECT("数出表_Excel【15時】!A"&amp;ROW()+4&amp;""),INDIRECT("数出表_Excel【15時】!A"&amp;ROW()+4-1&amp;"")),"")</f>
        <v/>
      </c>
      <c r="C172" t="str">
        <f t="array" aca="1" ref="C172" ca="1">IF(OR(COUNTIF(数出表_Excel【15時】!AO176,"*修正*"),COUNTIF(数出表_Excel【15時】!AO177,"*修正*")),
IF(ISEVEN(ROW()+4),INDIRECT("数出表_Excel【15時】!A"&amp;ROW()+4+1&amp;""),INDIRECT("数出表_Excel【15時】!A"&amp;ROW()+4&amp;"")),"")</f>
        <v/>
      </c>
      <c r="D172" s="209" t="str">
        <f t="array" aca="1" ref="D172" ca="1">IF(B172&lt;&gt;"",
IFERROR(MATCH(TRUE,ISNUMBER(INDIRECT("数出表_Excel【15時】!B"&amp;(A172+4)&amp;":ZZ"&amp;(A172+4))),0)+1,""),"")</f>
        <v/>
      </c>
      <c r="E172" t="str">
        <f ca="1">IF(D172&lt;&gt;"",
OFFSET(数出表_Excel【15時】!$A$1,2,D172-1)
&amp;IFERROR(OFFSET(数出表_Excel【15時】!$A$1,3,D172-1),"")
&amp;IFERROR(OFFSET(数出表_Excel【15時】!$A$1,4,D172-1),""),"")</f>
        <v/>
      </c>
      <c r="F172" t="str">
        <f ca="1">IF(D172&lt;&gt;"",
OFFSET(数出表_Excel【15時】!$A$1,A172+3,D172-1),"")</f>
        <v/>
      </c>
      <c r="G172" t="str">
        <f ca="1">IF(D172&lt;&gt;"",
IF(AND(OFFSET(数出表_Excel【15時】!$A$1,A172+3,D172)&lt;&gt;"",OFFSET(数出表_Excel【15時】!$A$1,A172+3,D172)&lt;&gt;0),
OFFSET(数出表_Excel【15時】!$A$1,A172+3,D172),""),"")</f>
        <v/>
      </c>
      <c r="H172" s="209" t="str">
        <f t="array" aca="1" ref="H172" ca="1">IF(B172&lt;&gt;"",
IFERROR(MATCH(TRUE,ISNUMBER(INDIRECT("数出表_Excel【15時】!"&amp;SUBSTITUTE(ADDRESS(1,D172+2,4),"1","")&amp;(A172+4)&amp;":ZZ"&amp;(A172+4))),0)+D172+1,""),"")</f>
        <v/>
      </c>
      <c r="I172" t="str">
        <f ca="1">IF(H172&lt;&gt;"",
OFFSET(数出表_Excel【15時】!$A$1,2,H172-1)
&amp;IFERROR(OFFSET(数出表_Excel【15時】!$A$1,3,H172-1),"")
&amp;IFERROR(OFFSET(数出表_Excel【15時】!$A$1,4,H172-1),""),"")</f>
        <v/>
      </c>
      <c r="J172" t="str">
        <f ca="1">IF(H172&lt;&gt;"",
OFFSET(数出表_Excel【15時】!$A$1,A172+3,H172-1),"")</f>
        <v/>
      </c>
      <c r="K172" t="str">
        <f ca="1">IF(H172&lt;&gt;"",
IF(AND(OFFSET(数出表_Excel【15時】!$A$1,A172+3,H172)&lt;&gt;"",OFFSET(数出表_Excel【15時】!$A$1,A172+3,H172)&lt;&gt;0),
OFFSET(数出表_Excel【15時】!$A$1,A172+3,H172),""),"")</f>
        <v/>
      </c>
      <c r="L172" s="209" t="str">
        <f t="array" aca="1" ref="L172" ca="1">IF(B172&lt;&gt;"",
IFERROR(MATCH(TRUE,ISNUMBER(INDIRECT("数出表_Excel【15時】!"&amp;SUBSTITUTE(ADDRESS(1,H172+2,4),"1","")&amp;(A172+4)&amp;":ZZ"&amp;(A172+4))),0)+H172+1,""),"")</f>
        <v/>
      </c>
      <c r="M172" t="str">
        <f ca="1">IF(L172&lt;&gt;"",
OFFSET(数出表_Excel【15時】!$A$1,2,L172-1)
&amp;IFERROR(OFFSET(数出表_Excel【15時】!$A$1,3,L172-1),"")
&amp;IFERROR(OFFSET(数出表_Excel【15時】!$A$1,4,L172-1),""),"")</f>
        <v/>
      </c>
      <c r="N172" t="str">
        <f ca="1">IF(L172&lt;&gt;"",
OFFSET(数出表_Excel【15時】!$A$1,A172+3,L172-1),"")</f>
        <v/>
      </c>
      <c r="O172" t="str">
        <f ca="1">IF(L172&lt;&gt;"",
IF(AND(OFFSET(数出表_Excel【15時】!$A$1,A172+3,L172)&lt;&gt;"",OFFSET(数出表_Excel【15時】!$A$1,A172+3,L172)&lt;&gt;0),
OFFSET(数出表_Excel【15時】!$A$1,A172+3,L172),""),"")</f>
        <v/>
      </c>
      <c r="Q172" t="str">
        <f ca="1">IF(C172&lt;&gt;"",
IF(E172&lt;&gt;"",1,0)+IF(I172&lt;&gt;"",1,0)+IF(M172&lt;&gt;"",1,0),"")</f>
        <v/>
      </c>
    </row>
    <row r="173" spans="1:17">
      <c r="A173" t="str">
        <f t="shared" ca="1" si="2"/>
        <v/>
      </c>
      <c r="B173" t="str">
        <f t="array" aca="1" ref="B173" ca="1">IF(OR(COUNTIF(数出表_Excel【15時】!AO176,"*修正*"),COUNTIF(数出表_Excel【15時】!AO177,"*修正*")),
IF(ISEVEN(ROW()+4),INDIRECT("数出表_Excel【15時】!A"&amp;ROW()+4&amp;""),INDIRECT("数出表_Excel【15時】!A"&amp;ROW()+4-1&amp;"")),"")</f>
        <v/>
      </c>
      <c r="C173" t="str">
        <f t="array" aca="1" ref="C173" ca="1">IF(OR(COUNTIF(数出表_Excel【15時】!AO176,"*修正*"),COUNTIF(数出表_Excel【15時】!AO177,"*修正*")),
IF(ISEVEN(ROW()+4),INDIRECT("数出表_Excel【15時】!A"&amp;ROW()+4+1&amp;""),INDIRECT("数出表_Excel【15時】!A"&amp;ROW()+4&amp;"")),"")</f>
        <v/>
      </c>
      <c r="D173" s="209" t="str">
        <f t="array" aca="1" ref="D173" ca="1">IF(B173&lt;&gt;"",
IFERROR(MATCH(TRUE,ISNUMBER(INDIRECT("数出表_Excel【15時】!B"&amp;(A173+4)&amp;":ZZ"&amp;(A173+4))),0)+1,""),"")</f>
        <v/>
      </c>
      <c r="E173" t="str">
        <f ca="1">IF(D173&lt;&gt;"",
OFFSET(数出表_Excel【15時】!$A$1,2,D173-1)
&amp;IFERROR(OFFSET(数出表_Excel【15時】!$A$1,3,D173-1),"")
&amp;IFERROR(OFFSET(数出表_Excel【15時】!$A$1,4,D173-1),""),"")</f>
        <v/>
      </c>
      <c r="F173" t="str">
        <f ca="1">IF(D173&lt;&gt;"",
OFFSET(数出表_Excel【15時】!$A$1,A173+3,D173-1),"")</f>
        <v/>
      </c>
      <c r="G173" t="str">
        <f ca="1">IF(D173&lt;&gt;"",
IF(AND(OFFSET(数出表_Excel【15時】!$A$1,A173+3,D173)&lt;&gt;"",OFFSET(数出表_Excel【15時】!$A$1,A173+3,D173)&lt;&gt;0),
OFFSET(数出表_Excel【15時】!$A$1,A173+3,D173),""),"")</f>
        <v/>
      </c>
      <c r="H173" s="209" t="str">
        <f t="array" aca="1" ref="H173" ca="1">IF(B173&lt;&gt;"",
IFERROR(MATCH(TRUE,ISNUMBER(INDIRECT("数出表_Excel【15時】!"&amp;SUBSTITUTE(ADDRESS(1,D173+2,4),"1","")&amp;(A173+4)&amp;":ZZ"&amp;(A173+4))),0)+D173+1,""),"")</f>
        <v/>
      </c>
      <c r="I173" t="str">
        <f ca="1">IF(H173&lt;&gt;"",
OFFSET(数出表_Excel【15時】!$A$1,2,H173-1)
&amp;IFERROR(OFFSET(数出表_Excel【15時】!$A$1,3,H173-1),"")
&amp;IFERROR(OFFSET(数出表_Excel【15時】!$A$1,4,H173-1),""),"")</f>
        <v/>
      </c>
      <c r="J173" t="str">
        <f ca="1">IF(H173&lt;&gt;"",
OFFSET(数出表_Excel【15時】!$A$1,A173+3,H173-1),"")</f>
        <v/>
      </c>
      <c r="K173" t="str">
        <f ca="1">IF(H173&lt;&gt;"",
IF(AND(OFFSET(数出表_Excel【15時】!$A$1,A173+3,H173)&lt;&gt;"",OFFSET(数出表_Excel【15時】!$A$1,A173+3,H173)&lt;&gt;0),
OFFSET(数出表_Excel【15時】!$A$1,A173+3,H173),""),"")</f>
        <v/>
      </c>
      <c r="L173" s="209" t="str">
        <f t="array" aca="1" ref="L173" ca="1">IF(B173&lt;&gt;"",
IFERROR(MATCH(TRUE,ISNUMBER(INDIRECT("数出表_Excel【15時】!"&amp;SUBSTITUTE(ADDRESS(1,H173+2,4),"1","")&amp;(A173+4)&amp;":ZZ"&amp;(A173+4))),0)+H173+1,""),"")</f>
        <v/>
      </c>
      <c r="M173" t="str">
        <f ca="1">IF(L173&lt;&gt;"",
OFFSET(数出表_Excel【15時】!$A$1,2,L173-1)
&amp;IFERROR(OFFSET(数出表_Excel【15時】!$A$1,3,L173-1),"")
&amp;IFERROR(OFFSET(数出表_Excel【15時】!$A$1,4,L173-1),""),"")</f>
        <v/>
      </c>
      <c r="N173" t="str">
        <f ca="1">IF(L173&lt;&gt;"",
OFFSET(数出表_Excel【15時】!$A$1,A173+3,L173-1),"")</f>
        <v/>
      </c>
      <c r="O173" t="str">
        <f ca="1">IF(L173&lt;&gt;"",
IF(AND(OFFSET(数出表_Excel【15時】!$A$1,A173+3,L173)&lt;&gt;"",OFFSET(数出表_Excel【15時】!$A$1,A173+3,L173)&lt;&gt;0),
OFFSET(数出表_Excel【15時】!$A$1,A173+3,L173),""),"")</f>
        <v/>
      </c>
    </row>
    <row r="174" spans="1:17">
      <c r="A174" t="str">
        <f t="shared" ca="1" si="2"/>
        <v/>
      </c>
      <c r="B174" t="str">
        <f t="array" aca="1" ref="B174" ca="1">IF(OR(COUNTIF(数出表_Excel【15時】!AO178,"*修正*"),COUNTIF(数出表_Excel【15時】!AO179,"*修正*")),
IF(ISEVEN(ROW()+4),INDIRECT("数出表_Excel【15時】!A"&amp;ROW()+4&amp;""),INDIRECT("数出表_Excel【15時】!A"&amp;ROW()+4-1&amp;"")),"")</f>
        <v/>
      </c>
      <c r="C174" t="str">
        <f t="array" aca="1" ref="C174" ca="1">IF(OR(COUNTIF(数出表_Excel【15時】!AO178,"*修正*"),COUNTIF(数出表_Excel【15時】!AO179,"*修正*")),
IF(ISEVEN(ROW()+4),INDIRECT("数出表_Excel【15時】!A"&amp;ROW()+4+1&amp;""),INDIRECT("数出表_Excel【15時】!A"&amp;ROW()+4&amp;"")),"")</f>
        <v/>
      </c>
      <c r="D174" s="209" t="str">
        <f t="array" aca="1" ref="D174" ca="1">IF(B174&lt;&gt;"",
IFERROR(MATCH(TRUE,ISNUMBER(INDIRECT("数出表_Excel【15時】!B"&amp;(A174+4)&amp;":ZZ"&amp;(A174+4))),0)+1,""),"")</f>
        <v/>
      </c>
      <c r="E174" t="str">
        <f ca="1">IF(D174&lt;&gt;"",
OFFSET(数出表_Excel【15時】!$A$1,2,D174-1)
&amp;IFERROR(OFFSET(数出表_Excel【15時】!$A$1,3,D174-1),"")
&amp;IFERROR(OFFSET(数出表_Excel【15時】!$A$1,4,D174-1),""),"")</f>
        <v/>
      </c>
      <c r="F174" t="str">
        <f ca="1">IF(D174&lt;&gt;"",
OFFSET(数出表_Excel【15時】!$A$1,A174+3,D174-1),"")</f>
        <v/>
      </c>
      <c r="G174" t="str">
        <f ca="1">IF(D174&lt;&gt;"",
IF(AND(OFFSET(数出表_Excel【15時】!$A$1,A174+3,D174)&lt;&gt;"",OFFSET(数出表_Excel【15時】!$A$1,A174+3,D174)&lt;&gt;0),
OFFSET(数出表_Excel【15時】!$A$1,A174+3,D174),""),"")</f>
        <v/>
      </c>
      <c r="H174" s="209" t="str">
        <f t="array" aca="1" ref="H174" ca="1">IF(B174&lt;&gt;"",
IFERROR(MATCH(TRUE,ISNUMBER(INDIRECT("数出表_Excel【15時】!"&amp;SUBSTITUTE(ADDRESS(1,D174+2,4),"1","")&amp;(A174+4)&amp;":ZZ"&amp;(A174+4))),0)+D174+1,""),"")</f>
        <v/>
      </c>
      <c r="I174" t="str">
        <f ca="1">IF(H174&lt;&gt;"",
OFFSET(数出表_Excel【15時】!$A$1,2,H174-1)
&amp;IFERROR(OFFSET(数出表_Excel【15時】!$A$1,3,H174-1),"")
&amp;IFERROR(OFFSET(数出表_Excel【15時】!$A$1,4,H174-1),""),"")</f>
        <v/>
      </c>
      <c r="J174" t="str">
        <f ca="1">IF(H174&lt;&gt;"",
OFFSET(数出表_Excel【15時】!$A$1,A174+3,H174-1),"")</f>
        <v/>
      </c>
      <c r="K174" t="str">
        <f ca="1">IF(H174&lt;&gt;"",
IF(AND(OFFSET(数出表_Excel【15時】!$A$1,A174+3,H174)&lt;&gt;"",OFFSET(数出表_Excel【15時】!$A$1,A174+3,H174)&lt;&gt;0),
OFFSET(数出表_Excel【15時】!$A$1,A174+3,H174),""),"")</f>
        <v/>
      </c>
      <c r="L174" s="209" t="str">
        <f t="array" aca="1" ref="L174" ca="1">IF(B174&lt;&gt;"",
IFERROR(MATCH(TRUE,ISNUMBER(INDIRECT("数出表_Excel【15時】!"&amp;SUBSTITUTE(ADDRESS(1,H174+2,4),"1","")&amp;(A174+4)&amp;":ZZ"&amp;(A174+4))),0)+H174+1,""),"")</f>
        <v/>
      </c>
      <c r="M174" t="str">
        <f ca="1">IF(L174&lt;&gt;"",
OFFSET(数出表_Excel【15時】!$A$1,2,L174-1)
&amp;IFERROR(OFFSET(数出表_Excel【15時】!$A$1,3,L174-1),"")
&amp;IFERROR(OFFSET(数出表_Excel【15時】!$A$1,4,L174-1),""),"")</f>
        <v/>
      </c>
      <c r="N174" t="str">
        <f ca="1">IF(L174&lt;&gt;"",
OFFSET(数出表_Excel【15時】!$A$1,A174+3,L174-1),"")</f>
        <v/>
      </c>
      <c r="O174" t="str">
        <f ca="1">IF(L174&lt;&gt;"",
IF(AND(OFFSET(数出表_Excel【15時】!$A$1,A174+3,L174)&lt;&gt;"",OFFSET(数出表_Excel【15時】!$A$1,A174+3,L174)&lt;&gt;0),
OFFSET(数出表_Excel【15時】!$A$1,A174+3,L174),""),"")</f>
        <v/>
      </c>
      <c r="Q174" t="str">
        <f ca="1">IF(C174&lt;&gt;"",
IF(E174&lt;&gt;"",1,0)+IF(I174&lt;&gt;"",1,0)+IF(M174&lt;&gt;"",1,0),"")</f>
        <v/>
      </c>
    </row>
    <row r="175" spans="1:17">
      <c r="A175" t="str">
        <f t="shared" ca="1" si="2"/>
        <v/>
      </c>
      <c r="B175" t="str">
        <f t="array" aca="1" ref="B175" ca="1">IF(OR(COUNTIF(数出表_Excel【15時】!AO178,"*修正*"),COUNTIF(数出表_Excel【15時】!AO179,"*修正*")),
IF(ISEVEN(ROW()+4),INDIRECT("数出表_Excel【15時】!A"&amp;ROW()+4&amp;""),INDIRECT("数出表_Excel【15時】!A"&amp;ROW()+4-1&amp;"")),"")</f>
        <v/>
      </c>
      <c r="C175" t="str">
        <f t="array" aca="1" ref="C175" ca="1">IF(OR(COUNTIF(数出表_Excel【15時】!AO178,"*修正*"),COUNTIF(数出表_Excel【15時】!AO179,"*修正*")),
IF(ISEVEN(ROW()+4),INDIRECT("数出表_Excel【15時】!A"&amp;ROW()+4+1&amp;""),INDIRECT("数出表_Excel【15時】!A"&amp;ROW()+4&amp;"")),"")</f>
        <v/>
      </c>
      <c r="D175" s="209" t="str">
        <f t="array" aca="1" ref="D175" ca="1">IF(B175&lt;&gt;"",
IFERROR(MATCH(TRUE,ISNUMBER(INDIRECT("数出表_Excel【15時】!B"&amp;(A175+4)&amp;":ZZ"&amp;(A175+4))),0)+1,""),"")</f>
        <v/>
      </c>
      <c r="E175" t="str">
        <f ca="1">IF(D175&lt;&gt;"",
OFFSET(数出表_Excel【15時】!$A$1,2,D175-1)
&amp;IFERROR(OFFSET(数出表_Excel【15時】!$A$1,3,D175-1),"")
&amp;IFERROR(OFFSET(数出表_Excel【15時】!$A$1,4,D175-1),""),"")</f>
        <v/>
      </c>
      <c r="F175" t="str">
        <f ca="1">IF(D175&lt;&gt;"",
OFFSET(数出表_Excel【15時】!$A$1,A175+3,D175-1),"")</f>
        <v/>
      </c>
      <c r="G175" t="str">
        <f ca="1">IF(D175&lt;&gt;"",
IF(AND(OFFSET(数出表_Excel【15時】!$A$1,A175+3,D175)&lt;&gt;"",OFFSET(数出表_Excel【15時】!$A$1,A175+3,D175)&lt;&gt;0),
OFFSET(数出表_Excel【15時】!$A$1,A175+3,D175),""),"")</f>
        <v/>
      </c>
      <c r="H175" s="209" t="str">
        <f t="array" aca="1" ref="H175" ca="1">IF(B175&lt;&gt;"",
IFERROR(MATCH(TRUE,ISNUMBER(INDIRECT("数出表_Excel【15時】!"&amp;SUBSTITUTE(ADDRESS(1,D175+2,4),"1","")&amp;(A175+4)&amp;":ZZ"&amp;(A175+4))),0)+D175+1,""),"")</f>
        <v/>
      </c>
      <c r="I175" t="str">
        <f ca="1">IF(H175&lt;&gt;"",
OFFSET(数出表_Excel【15時】!$A$1,2,H175-1)
&amp;IFERROR(OFFSET(数出表_Excel【15時】!$A$1,3,H175-1),"")
&amp;IFERROR(OFFSET(数出表_Excel【15時】!$A$1,4,H175-1),""),"")</f>
        <v/>
      </c>
      <c r="J175" t="str">
        <f ca="1">IF(H175&lt;&gt;"",
OFFSET(数出表_Excel【15時】!$A$1,A175+3,H175-1),"")</f>
        <v/>
      </c>
      <c r="K175" t="str">
        <f ca="1">IF(H175&lt;&gt;"",
IF(AND(OFFSET(数出表_Excel【15時】!$A$1,A175+3,H175)&lt;&gt;"",OFFSET(数出表_Excel【15時】!$A$1,A175+3,H175)&lt;&gt;0),
OFFSET(数出表_Excel【15時】!$A$1,A175+3,H175),""),"")</f>
        <v/>
      </c>
      <c r="L175" s="209" t="str">
        <f t="array" aca="1" ref="L175" ca="1">IF(B175&lt;&gt;"",
IFERROR(MATCH(TRUE,ISNUMBER(INDIRECT("数出表_Excel【15時】!"&amp;SUBSTITUTE(ADDRESS(1,H175+2,4),"1","")&amp;(A175+4)&amp;":ZZ"&amp;(A175+4))),0)+H175+1,""),"")</f>
        <v/>
      </c>
      <c r="M175" t="str">
        <f ca="1">IF(L175&lt;&gt;"",
OFFSET(数出表_Excel【15時】!$A$1,2,L175-1)
&amp;IFERROR(OFFSET(数出表_Excel【15時】!$A$1,3,L175-1),"")
&amp;IFERROR(OFFSET(数出表_Excel【15時】!$A$1,4,L175-1),""),"")</f>
        <v/>
      </c>
      <c r="N175" t="str">
        <f ca="1">IF(L175&lt;&gt;"",
OFFSET(数出表_Excel【15時】!$A$1,A175+3,L175-1),"")</f>
        <v/>
      </c>
      <c r="O175" t="str">
        <f ca="1">IF(L175&lt;&gt;"",
IF(AND(OFFSET(数出表_Excel【15時】!$A$1,A175+3,L175)&lt;&gt;"",OFFSET(数出表_Excel【15時】!$A$1,A175+3,L175)&lt;&gt;0),
OFFSET(数出表_Excel【15時】!$A$1,A175+3,L175),""),"")</f>
        <v/>
      </c>
    </row>
    <row r="176" spans="1:17">
      <c r="A176" t="str">
        <f t="shared" ca="1" si="2"/>
        <v/>
      </c>
      <c r="B176" t="str">
        <f t="array" aca="1" ref="B176" ca="1">IF(OR(COUNTIF(数出表_Excel【15時】!AO180,"*修正*"),COUNTIF(数出表_Excel【15時】!AO181,"*修正*")),
IF(ISEVEN(ROW()+4),INDIRECT("数出表_Excel【15時】!A"&amp;ROW()+4&amp;""),INDIRECT("数出表_Excel【15時】!A"&amp;ROW()+4-1&amp;"")),"")</f>
        <v/>
      </c>
      <c r="C176" t="str">
        <f t="array" aca="1" ref="C176" ca="1">IF(OR(COUNTIF(数出表_Excel【15時】!AO180,"*修正*"),COUNTIF(数出表_Excel【15時】!AO181,"*修正*")),
IF(ISEVEN(ROW()+4),INDIRECT("数出表_Excel【15時】!A"&amp;ROW()+4+1&amp;""),INDIRECT("数出表_Excel【15時】!A"&amp;ROW()+4&amp;"")),"")</f>
        <v/>
      </c>
      <c r="D176" s="209" t="str">
        <f t="array" aca="1" ref="D176" ca="1">IF(B176&lt;&gt;"",
IFERROR(MATCH(TRUE,ISNUMBER(INDIRECT("数出表_Excel【15時】!B"&amp;(A176+4)&amp;":ZZ"&amp;(A176+4))),0)+1,""),"")</f>
        <v/>
      </c>
      <c r="E176" t="str">
        <f ca="1">IF(D176&lt;&gt;"",
OFFSET(数出表_Excel【15時】!$A$1,2,D176-1)
&amp;IFERROR(OFFSET(数出表_Excel【15時】!$A$1,3,D176-1),"")
&amp;IFERROR(OFFSET(数出表_Excel【15時】!$A$1,4,D176-1),""),"")</f>
        <v/>
      </c>
      <c r="F176" t="str">
        <f ca="1">IF(D176&lt;&gt;"",
OFFSET(数出表_Excel【15時】!$A$1,A176+3,D176-1),"")</f>
        <v/>
      </c>
      <c r="G176" t="str">
        <f ca="1">IF(D176&lt;&gt;"",
IF(AND(OFFSET(数出表_Excel【15時】!$A$1,A176+3,D176)&lt;&gt;"",OFFSET(数出表_Excel【15時】!$A$1,A176+3,D176)&lt;&gt;0),
OFFSET(数出表_Excel【15時】!$A$1,A176+3,D176),""),"")</f>
        <v/>
      </c>
      <c r="H176" s="209" t="str">
        <f t="array" aca="1" ref="H176" ca="1">IF(B176&lt;&gt;"",
IFERROR(MATCH(TRUE,ISNUMBER(INDIRECT("数出表_Excel【15時】!"&amp;SUBSTITUTE(ADDRESS(1,D176+2,4),"1","")&amp;(A176+4)&amp;":ZZ"&amp;(A176+4))),0)+D176+1,""),"")</f>
        <v/>
      </c>
      <c r="I176" t="str">
        <f ca="1">IF(H176&lt;&gt;"",
OFFSET(数出表_Excel【15時】!$A$1,2,H176-1)
&amp;IFERROR(OFFSET(数出表_Excel【15時】!$A$1,3,H176-1),"")
&amp;IFERROR(OFFSET(数出表_Excel【15時】!$A$1,4,H176-1),""),"")</f>
        <v/>
      </c>
      <c r="J176" t="str">
        <f ca="1">IF(H176&lt;&gt;"",
OFFSET(数出表_Excel【15時】!$A$1,A176+3,H176-1),"")</f>
        <v/>
      </c>
      <c r="K176" t="str">
        <f ca="1">IF(H176&lt;&gt;"",
IF(AND(OFFSET(数出表_Excel【15時】!$A$1,A176+3,H176)&lt;&gt;"",OFFSET(数出表_Excel【15時】!$A$1,A176+3,H176)&lt;&gt;0),
OFFSET(数出表_Excel【15時】!$A$1,A176+3,H176),""),"")</f>
        <v/>
      </c>
      <c r="L176" s="209" t="str">
        <f t="array" aca="1" ref="L176" ca="1">IF(B176&lt;&gt;"",
IFERROR(MATCH(TRUE,ISNUMBER(INDIRECT("数出表_Excel【15時】!"&amp;SUBSTITUTE(ADDRESS(1,H176+2,4),"1","")&amp;(A176+4)&amp;":ZZ"&amp;(A176+4))),0)+H176+1,""),"")</f>
        <v/>
      </c>
      <c r="M176" t="str">
        <f ca="1">IF(L176&lt;&gt;"",
OFFSET(数出表_Excel【15時】!$A$1,2,L176-1)
&amp;IFERROR(OFFSET(数出表_Excel【15時】!$A$1,3,L176-1),"")
&amp;IFERROR(OFFSET(数出表_Excel【15時】!$A$1,4,L176-1),""),"")</f>
        <v/>
      </c>
      <c r="N176" t="str">
        <f ca="1">IF(L176&lt;&gt;"",
OFFSET(数出表_Excel【15時】!$A$1,A176+3,L176-1),"")</f>
        <v/>
      </c>
      <c r="O176" t="str">
        <f ca="1">IF(L176&lt;&gt;"",
IF(AND(OFFSET(数出表_Excel【15時】!$A$1,A176+3,L176)&lt;&gt;"",OFFSET(数出表_Excel【15時】!$A$1,A176+3,L176)&lt;&gt;0),
OFFSET(数出表_Excel【15時】!$A$1,A176+3,L176),""),"")</f>
        <v/>
      </c>
      <c r="Q176" t="str">
        <f ca="1">IF(C176&lt;&gt;"",
IF(E176&lt;&gt;"",1,0)+IF(I176&lt;&gt;"",1,0)+IF(M176&lt;&gt;"",1,0),"")</f>
        <v/>
      </c>
    </row>
    <row r="177" spans="1:17">
      <c r="A177" t="str">
        <f t="shared" ca="1" si="2"/>
        <v/>
      </c>
      <c r="B177" t="str">
        <f t="array" aca="1" ref="B177" ca="1">IF(OR(COUNTIF(数出表_Excel【15時】!AO180,"*修正*"),COUNTIF(数出表_Excel【15時】!AO181,"*修正*")),
IF(ISEVEN(ROW()+4),INDIRECT("数出表_Excel【15時】!A"&amp;ROW()+4&amp;""),INDIRECT("数出表_Excel【15時】!A"&amp;ROW()+4-1&amp;"")),"")</f>
        <v/>
      </c>
      <c r="C177" t="str">
        <f t="array" aca="1" ref="C177" ca="1">IF(OR(COUNTIF(数出表_Excel【15時】!AO180,"*修正*"),COUNTIF(数出表_Excel【15時】!AO181,"*修正*")),
IF(ISEVEN(ROW()+4),INDIRECT("数出表_Excel【15時】!A"&amp;ROW()+4+1&amp;""),INDIRECT("数出表_Excel【15時】!A"&amp;ROW()+4&amp;"")),"")</f>
        <v/>
      </c>
      <c r="D177" s="209" t="str">
        <f t="array" aca="1" ref="D177" ca="1">IF(B177&lt;&gt;"",
IFERROR(MATCH(TRUE,ISNUMBER(INDIRECT("数出表_Excel【15時】!B"&amp;(A177+4)&amp;":ZZ"&amp;(A177+4))),0)+1,""),"")</f>
        <v/>
      </c>
      <c r="E177" t="str">
        <f ca="1">IF(D177&lt;&gt;"",
OFFSET(数出表_Excel【15時】!$A$1,2,D177-1)
&amp;IFERROR(OFFSET(数出表_Excel【15時】!$A$1,3,D177-1),"")
&amp;IFERROR(OFFSET(数出表_Excel【15時】!$A$1,4,D177-1),""),"")</f>
        <v/>
      </c>
      <c r="F177" t="str">
        <f ca="1">IF(D177&lt;&gt;"",
OFFSET(数出表_Excel【15時】!$A$1,A177+3,D177-1),"")</f>
        <v/>
      </c>
      <c r="G177" t="str">
        <f ca="1">IF(D177&lt;&gt;"",
IF(AND(OFFSET(数出表_Excel【15時】!$A$1,A177+3,D177)&lt;&gt;"",OFFSET(数出表_Excel【15時】!$A$1,A177+3,D177)&lt;&gt;0),
OFFSET(数出表_Excel【15時】!$A$1,A177+3,D177),""),"")</f>
        <v/>
      </c>
      <c r="H177" s="209" t="str">
        <f t="array" aca="1" ref="H177" ca="1">IF(B177&lt;&gt;"",
IFERROR(MATCH(TRUE,ISNUMBER(INDIRECT("数出表_Excel【15時】!"&amp;SUBSTITUTE(ADDRESS(1,D177+2,4),"1","")&amp;(A177+4)&amp;":ZZ"&amp;(A177+4))),0)+D177+1,""),"")</f>
        <v/>
      </c>
      <c r="I177" t="str">
        <f ca="1">IF(H177&lt;&gt;"",
OFFSET(数出表_Excel【15時】!$A$1,2,H177-1)
&amp;IFERROR(OFFSET(数出表_Excel【15時】!$A$1,3,H177-1),"")
&amp;IFERROR(OFFSET(数出表_Excel【15時】!$A$1,4,H177-1),""),"")</f>
        <v/>
      </c>
      <c r="J177" t="str">
        <f ca="1">IF(H177&lt;&gt;"",
OFFSET(数出表_Excel【15時】!$A$1,A177+3,H177-1),"")</f>
        <v/>
      </c>
      <c r="K177" t="str">
        <f ca="1">IF(H177&lt;&gt;"",
IF(AND(OFFSET(数出表_Excel【15時】!$A$1,A177+3,H177)&lt;&gt;"",OFFSET(数出表_Excel【15時】!$A$1,A177+3,H177)&lt;&gt;0),
OFFSET(数出表_Excel【15時】!$A$1,A177+3,H177),""),"")</f>
        <v/>
      </c>
      <c r="L177" s="209" t="str">
        <f t="array" aca="1" ref="L177" ca="1">IF(B177&lt;&gt;"",
IFERROR(MATCH(TRUE,ISNUMBER(INDIRECT("数出表_Excel【15時】!"&amp;SUBSTITUTE(ADDRESS(1,H177+2,4),"1","")&amp;(A177+4)&amp;":ZZ"&amp;(A177+4))),0)+H177+1,""),"")</f>
        <v/>
      </c>
      <c r="M177" t="str">
        <f ca="1">IF(L177&lt;&gt;"",
OFFSET(数出表_Excel【15時】!$A$1,2,L177-1)
&amp;IFERROR(OFFSET(数出表_Excel【15時】!$A$1,3,L177-1),"")
&amp;IFERROR(OFFSET(数出表_Excel【15時】!$A$1,4,L177-1),""),"")</f>
        <v/>
      </c>
      <c r="N177" t="str">
        <f ca="1">IF(L177&lt;&gt;"",
OFFSET(数出表_Excel【15時】!$A$1,A177+3,L177-1),"")</f>
        <v/>
      </c>
      <c r="O177" t="str">
        <f ca="1">IF(L177&lt;&gt;"",
IF(AND(OFFSET(数出表_Excel【15時】!$A$1,A177+3,L177)&lt;&gt;"",OFFSET(数出表_Excel【15時】!$A$1,A177+3,L177)&lt;&gt;0),
OFFSET(数出表_Excel【15時】!$A$1,A177+3,L177),""),"")</f>
        <v/>
      </c>
    </row>
    <row r="178" spans="1:17">
      <c r="A178" t="str">
        <f t="shared" ca="1" si="2"/>
        <v/>
      </c>
      <c r="B178" t="str">
        <f t="array" aca="1" ref="B178" ca="1">IF(OR(COUNTIF(数出表_Excel【15時】!AO182,"*修正*"),COUNTIF(数出表_Excel【15時】!AO183,"*修正*")),
IF(ISEVEN(ROW()+4),INDIRECT("数出表_Excel【15時】!A"&amp;ROW()+4&amp;""),INDIRECT("数出表_Excel【15時】!A"&amp;ROW()+4-1&amp;"")),"")</f>
        <v/>
      </c>
      <c r="C178" t="str">
        <f t="array" aca="1" ref="C178" ca="1">IF(OR(COUNTIF(数出表_Excel【15時】!AO182,"*修正*"),COUNTIF(数出表_Excel【15時】!AO183,"*修正*")),
IF(ISEVEN(ROW()+4),INDIRECT("数出表_Excel【15時】!A"&amp;ROW()+4+1&amp;""),INDIRECT("数出表_Excel【15時】!A"&amp;ROW()+4&amp;"")),"")</f>
        <v/>
      </c>
      <c r="D178" s="209" t="str">
        <f t="array" aca="1" ref="D178" ca="1">IF(B178&lt;&gt;"",
IFERROR(MATCH(TRUE,ISNUMBER(INDIRECT("数出表_Excel【15時】!B"&amp;(A178+4)&amp;":ZZ"&amp;(A178+4))),0)+1,""),"")</f>
        <v/>
      </c>
      <c r="E178" t="str">
        <f ca="1">IF(D178&lt;&gt;"",
OFFSET(数出表_Excel【15時】!$A$1,2,D178-1)
&amp;IFERROR(OFFSET(数出表_Excel【15時】!$A$1,3,D178-1),"")
&amp;IFERROR(OFFSET(数出表_Excel【15時】!$A$1,4,D178-1),""),"")</f>
        <v/>
      </c>
      <c r="F178" t="str">
        <f ca="1">IF(D178&lt;&gt;"",
OFFSET(数出表_Excel【15時】!$A$1,A178+3,D178-1),"")</f>
        <v/>
      </c>
      <c r="G178" t="str">
        <f ca="1">IF(D178&lt;&gt;"",
IF(AND(OFFSET(数出表_Excel【15時】!$A$1,A178+3,D178)&lt;&gt;"",OFFSET(数出表_Excel【15時】!$A$1,A178+3,D178)&lt;&gt;0),
OFFSET(数出表_Excel【15時】!$A$1,A178+3,D178),""),"")</f>
        <v/>
      </c>
      <c r="H178" s="209" t="str">
        <f t="array" aca="1" ref="H178" ca="1">IF(B178&lt;&gt;"",
IFERROR(MATCH(TRUE,ISNUMBER(INDIRECT("数出表_Excel【15時】!"&amp;SUBSTITUTE(ADDRESS(1,D178+2,4),"1","")&amp;(A178+4)&amp;":ZZ"&amp;(A178+4))),0)+D178+1,""),"")</f>
        <v/>
      </c>
      <c r="I178" t="str">
        <f ca="1">IF(H178&lt;&gt;"",
OFFSET(数出表_Excel【15時】!$A$1,2,H178-1)
&amp;IFERROR(OFFSET(数出表_Excel【15時】!$A$1,3,H178-1),"")
&amp;IFERROR(OFFSET(数出表_Excel【15時】!$A$1,4,H178-1),""),"")</f>
        <v/>
      </c>
      <c r="J178" t="str">
        <f ca="1">IF(H178&lt;&gt;"",
OFFSET(数出表_Excel【15時】!$A$1,A178+3,H178-1),"")</f>
        <v/>
      </c>
      <c r="K178" t="str">
        <f ca="1">IF(H178&lt;&gt;"",
IF(AND(OFFSET(数出表_Excel【15時】!$A$1,A178+3,H178)&lt;&gt;"",OFFSET(数出表_Excel【15時】!$A$1,A178+3,H178)&lt;&gt;0),
OFFSET(数出表_Excel【15時】!$A$1,A178+3,H178),""),"")</f>
        <v/>
      </c>
      <c r="L178" s="209" t="str">
        <f t="array" aca="1" ref="L178" ca="1">IF(B178&lt;&gt;"",
IFERROR(MATCH(TRUE,ISNUMBER(INDIRECT("数出表_Excel【15時】!"&amp;SUBSTITUTE(ADDRESS(1,H178+2,4),"1","")&amp;(A178+4)&amp;":ZZ"&amp;(A178+4))),0)+H178+1,""),"")</f>
        <v/>
      </c>
      <c r="M178" t="str">
        <f ca="1">IF(L178&lt;&gt;"",
OFFSET(数出表_Excel【15時】!$A$1,2,L178-1)
&amp;IFERROR(OFFSET(数出表_Excel【15時】!$A$1,3,L178-1),"")
&amp;IFERROR(OFFSET(数出表_Excel【15時】!$A$1,4,L178-1),""),"")</f>
        <v/>
      </c>
      <c r="N178" t="str">
        <f ca="1">IF(L178&lt;&gt;"",
OFFSET(数出表_Excel【15時】!$A$1,A178+3,L178-1),"")</f>
        <v/>
      </c>
      <c r="O178" t="str">
        <f ca="1">IF(L178&lt;&gt;"",
IF(AND(OFFSET(数出表_Excel【15時】!$A$1,A178+3,L178)&lt;&gt;"",OFFSET(数出表_Excel【15時】!$A$1,A178+3,L178)&lt;&gt;0),
OFFSET(数出表_Excel【15時】!$A$1,A178+3,L178),""),"")</f>
        <v/>
      </c>
      <c r="Q178" t="str">
        <f ca="1">IF(C178&lt;&gt;"",
IF(E178&lt;&gt;"",1,0)+IF(I178&lt;&gt;"",1,0)+IF(M178&lt;&gt;"",1,0),"")</f>
        <v/>
      </c>
    </row>
    <row r="179" spans="1:17">
      <c r="A179" t="str">
        <f t="shared" ca="1" si="2"/>
        <v/>
      </c>
      <c r="B179" t="str">
        <f t="array" aca="1" ref="B179" ca="1">IF(OR(COUNTIF(数出表_Excel【15時】!AO182,"*修正*"),COUNTIF(数出表_Excel【15時】!AO183,"*修正*")),
IF(ISEVEN(ROW()+4),INDIRECT("数出表_Excel【15時】!A"&amp;ROW()+4&amp;""),INDIRECT("数出表_Excel【15時】!A"&amp;ROW()+4-1&amp;"")),"")</f>
        <v/>
      </c>
      <c r="C179" t="str">
        <f t="array" aca="1" ref="C179" ca="1">IF(OR(COUNTIF(数出表_Excel【15時】!AO182,"*修正*"),COUNTIF(数出表_Excel【15時】!AO183,"*修正*")),
IF(ISEVEN(ROW()+4),INDIRECT("数出表_Excel【15時】!A"&amp;ROW()+4+1&amp;""),INDIRECT("数出表_Excel【15時】!A"&amp;ROW()+4&amp;"")),"")</f>
        <v/>
      </c>
      <c r="D179" s="209" t="str">
        <f t="array" aca="1" ref="D179" ca="1">IF(B179&lt;&gt;"",
IFERROR(MATCH(TRUE,ISNUMBER(INDIRECT("数出表_Excel【15時】!B"&amp;(A179+4)&amp;":ZZ"&amp;(A179+4))),0)+1,""),"")</f>
        <v/>
      </c>
      <c r="E179" t="str">
        <f ca="1">IF(D179&lt;&gt;"",
OFFSET(数出表_Excel【15時】!$A$1,2,D179-1)
&amp;IFERROR(OFFSET(数出表_Excel【15時】!$A$1,3,D179-1),"")
&amp;IFERROR(OFFSET(数出表_Excel【15時】!$A$1,4,D179-1),""),"")</f>
        <v/>
      </c>
      <c r="F179" t="str">
        <f ca="1">IF(D179&lt;&gt;"",
OFFSET(数出表_Excel【15時】!$A$1,A179+3,D179-1),"")</f>
        <v/>
      </c>
      <c r="G179" t="str">
        <f ca="1">IF(D179&lt;&gt;"",
IF(AND(OFFSET(数出表_Excel【15時】!$A$1,A179+3,D179)&lt;&gt;"",OFFSET(数出表_Excel【15時】!$A$1,A179+3,D179)&lt;&gt;0),
OFFSET(数出表_Excel【15時】!$A$1,A179+3,D179),""),"")</f>
        <v/>
      </c>
      <c r="H179" s="209" t="str">
        <f t="array" aca="1" ref="H179" ca="1">IF(B179&lt;&gt;"",
IFERROR(MATCH(TRUE,ISNUMBER(INDIRECT("数出表_Excel【15時】!"&amp;SUBSTITUTE(ADDRESS(1,D179+2,4),"1","")&amp;(A179+4)&amp;":ZZ"&amp;(A179+4))),0)+D179+1,""),"")</f>
        <v/>
      </c>
      <c r="I179" t="str">
        <f ca="1">IF(H179&lt;&gt;"",
OFFSET(数出表_Excel【15時】!$A$1,2,H179-1)
&amp;IFERROR(OFFSET(数出表_Excel【15時】!$A$1,3,H179-1),"")
&amp;IFERROR(OFFSET(数出表_Excel【15時】!$A$1,4,H179-1),""),"")</f>
        <v/>
      </c>
      <c r="J179" t="str">
        <f ca="1">IF(H179&lt;&gt;"",
OFFSET(数出表_Excel【15時】!$A$1,A179+3,H179-1),"")</f>
        <v/>
      </c>
      <c r="K179" t="str">
        <f ca="1">IF(H179&lt;&gt;"",
IF(AND(OFFSET(数出表_Excel【15時】!$A$1,A179+3,H179)&lt;&gt;"",OFFSET(数出表_Excel【15時】!$A$1,A179+3,H179)&lt;&gt;0),
OFFSET(数出表_Excel【15時】!$A$1,A179+3,H179),""),"")</f>
        <v/>
      </c>
      <c r="L179" s="209" t="str">
        <f t="array" aca="1" ref="L179" ca="1">IF(B179&lt;&gt;"",
IFERROR(MATCH(TRUE,ISNUMBER(INDIRECT("数出表_Excel【15時】!"&amp;SUBSTITUTE(ADDRESS(1,H179+2,4),"1","")&amp;(A179+4)&amp;":ZZ"&amp;(A179+4))),0)+H179+1,""),"")</f>
        <v/>
      </c>
      <c r="M179" t="str">
        <f ca="1">IF(L179&lt;&gt;"",
OFFSET(数出表_Excel【15時】!$A$1,2,L179-1)
&amp;IFERROR(OFFSET(数出表_Excel【15時】!$A$1,3,L179-1),"")
&amp;IFERROR(OFFSET(数出表_Excel【15時】!$A$1,4,L179-1),""),"")</f>
        <v/>
      </c>
      <c r="N179" t="str">
        <f ca="1">IF(L179&lt;&gt;"",
OFFSET(数出表_Excel【15時】!$A$1,A179+3,L179-1),"")</f>
        <v/>
      </c>
      <c r="O179" t="str">
        <f ca="1">IF(L179&lt;&gt;"",
IF(AND(OFFSET(数出表_Excel【15時】!$A$1,A179+3,L179)&lt;&gt;"",OFFSET(数出表_Excel【15時】!$A$1,A179+3,L179)&lt;&gt;0),
OFFSET(数出表_Excel【15時】!$A$1,A179+3,L179),""),"")</f>
        <v/>
      </c>
    </row>
    <row r="180" spans="1:17">
      <c r="A180" t="str">
        <f t="shared" ca="1" si="2"/>
        <v/>
      </c>
      <c r="B180" t="str">
        <f t="array" aca="1" ref="B180" ca="1">IF(OR(COUNTIF(数出表_Excel【15時】!AO184,"*修正*"),COUNTIF(数出表_Excel【15時】!AO185,"*修正*")),
IF(ISEVEN(ROW()+4),INDIRECT("数出表_Excel【15時】!A"&amp;ROW()+4&amp;""),INDIRECT("数出表_Excel【15時】!A"&amp;ROW()+4-1&amp;"")),"")</f>
        <v/>
      </c>
      <c r="C180" t="str">
        <f t="array" aca="1" ref="C180" ca="1">IF(OR(COUNTIF(数出表_Excel【15時】!AO184,"*修正*"),COUNTIF(数出表_Excel【15時】!AO185,"*修正*")),
IF(ISEVEN(ROW()+4),INDIRECT("数出表_Excel【15時】!A"&amp;ROW()+4+1&amp;""),INDIRECT("数出表_Excel【15時】!A"&amp;ROW()+4&amp;"")),"")</f>
        <v/>
      </c>
      <c r="D180" s="209" t="str">
        <f t="array" aca="1" ref="D180" ca="1">IF(B180&lt;&gt;"",
IFERROR(MATCH(TRUE,ISNUMBER(INDIRECT("数出表_Excel【15時】!B"&amp;(A180+4)&amp;":ZZ"&amp;(A180+4))),0)+1,""),"")</f>
        <v/>
      </c>
      <c r="E180" t="str">
        <f ca="1">IF(D180&lt;&gt;"",
OFFSET(数出表_Excel【15時】!$A$1,2,D180-1)
&amp;IFERROR(OFFSET(数出表_Excel【15時】!$A$1,3,D180-1),"")
&amp;IFERROR(OFFSET(数出表_Excel【15時】!$A$1,4,D180-1),""),"")</f>
        <v/>
      </c>
      <c r="F180" t="str">
        <f ca="1">IF(D180&lt;&gt;"",
OFFSET(数出表_Excel【15時】!$A$1,A180+3,D180-1),"")</f>
        <v/>
      </c>
      <c r="G180" t="str">
        <f ca="1">IF(D180&lt;&gt;"",
IF(AND(OFFSET(数出表_Excel【15時】!$A$1,A180+3,D180)&lt;&gt;"",OFFSET(数出表_Excel【15時】!$A$1,A180+3,D180)&lt;&gt;0),
OFFSET(数出表_Excel【15時】!$A$1,A180+3,D180),""),"")</f>
        <v/>
      </c>
      <c r="H180" s="209" t="str">
        <f t="array" aca="1" ref="H180" ca="1">IF(B180&lt;&gt;"",
IFERROR(MATCH(TRUE,ISNUMBER(INDIRECT("数出表_Excel【15時】!"&amp;SUBSTITUTE(ADDRESS(1,D180+2,4),"1","")&amp;(A180+4)&amp;":ZZ"&amp;(A180+4))),0)+D180+1,""),"")</f>
        <v/>
      </c>
      <c r="I180" t="str">
        <f ca="1">IF(H180&lt;&gt;"",
OFFSET(数出表_Excel【15時】!$A$1,2,H180-1)
&amp;IFERROR(OFFSET(数出表_Excel【15時】!$A$1,3,H180-1),"")
&amp;IFERROR(OFFSET(数出表_Excel【15時】!$A$1,4,H180-1),""),"")</f>
        <v/>
      </c>
      <c r="J180" t="str">
        <f ca="1">IF(H180&lt;&gt;"",
OFFSET(数出表_Excel【15時】!$A$1,A180+3,H180-1),"")</f>
        <v/>
      </c>
      <c r="K180" t="str">
        <f ca="1">IF(H180&lt;&gt;"",
IF(AND(OFFSET(数出表_Excel【15時】!$A$1,A180+3,H180)&lt;&gt;"",OFFSET(数出表_Excel【15時】!$A$1,A180+3,H180)&lt;&gt;0),
OFFSET(数出表_Excel【15時】!$A$1,A180+3,H180),""),"")</f>
        <v/>
      </c>
      <c r="L180" s="209" t="str">
        <f t="array" aca="1" ref="L180" ca="1">IF(B180&lt;&gt;"",
IFERROR(MATCH(TRUE,ISNUMBER(INDIRECT("数出表_Excel【15時】!"&amp;SUBSTITUTE(ADDRESS(1,H180+2,4),"1","")&amp;(A180+4)&amp;":ZZ"&amp;(A180+4))),0)+H180+1,""),"")</f>
        <v/>
      </c>
      <c r="M180" t="str">
        <f ca="1">IF(L180&lt;&gt;"",
OFFSET(数出表_Excel【15時】!$A$1,2,L180-1)
&amp;IFERROR(OFFSET(数出表_Excel【15時】!$A$1,3,L180-1),"")
&amp;IFERROR(OFFSET(数出表_Excel【15時】!$A$1,4,L180-1),""),"")</f>
        <v/>
      </c>
      <c r="N180" t="str">
        <f ca="1">IF(L180&lt;&gt;"",
OFFSET(数出表_Excel【15時】!$A$1,A180+3,L180-1),"")</f>
        <v/>
      </c>
      <c r="O180" t="str">
        <f ca="1">IF(L180&lt;&gt;"",
IF(AND(OFFSET(数出表_Excel【15時】!$A$1,A180+3,L180)&lt;&gt;"",OFFSET(数出表_Excel【15時】!$A$1,A180+3,L180)&lt;&gt;0),
OFFSET(数出表_Excel【15時】!$A$1,A180+3,L180),""),"")</f>
        <v/>
      </c>
      <c r="Q180" t="str">
        <f ca="1">IF(C180&lt;&gt;"",
IF(E180&lt;&gt;"",1,0)+IF(I180&lt;&gt;"",1,0)+IF(M180&lt;&gt;"",1,0),"")</f>
        <v/>
      </c>
    </row>
    <row r="181" spans="1:17">
      <c r="A181" t="str">
        <f t="shared" ca="1" si="2"/>
        <v/>
      </c>
      <c r="B181" t="str">
        <f t="array" aca="1" ref="B181" ca="1">IF(OR(COUNTIF(数出表_Excel【15時】!AO184,"*修正*"),COUNTIF(数出表_Excel【15時】!AO185,"*修正*")),
IF(ISEVEN(ROW()+4),INDIRECT("数出表_Excel【15時】!A"&amp;ROW()+4&amp;""),INDIRECT("数出表_Excel【15時】!A"&amp;ROW()+4-1&amp;"")),"")</f>
        <v/>
      </c>
      <c r="C181" t="str">
        <f t="array" aca="1" ref="C181" ca="1">IF(OR(COUNTIF(数出表_Excel【15時】!AO184,"*修正*"),COUNTIF(数出表_Excel【15時】!AO185,"*修正*")),
IF(ISEVEN(ROW()+4),INDIRECT("数出表_Excel【15時】!A"&amp;ROW()+4+1&amp;""),INDIRECT("数出表_Excel【15時】!A"&amp;ROW()+4&amp;"")),"")</f>
        <v/>
      </c>
      <c r="D181" s="209" t="str">
        <f t="array" aca="1" ref="D181" ca="1">IF(B181&lt;&gt;"",
IFERROR(MATCH(TRUE,ISNUMBER(INDIRECT("数出表_Excel【15時】!B"&amp;(A181+4)&amp;":ZZ"&amp;(A181+4))),0)+1,""),"")</f>
        <v/>
      </c>
      <c r="E181" t="str">
        <f ca="1">IF(D181&lt;&gt;"",
OFFSET(数出表_Excel【15時】!$A$1,2,D181-1)
&amp;IFERROR(OFFSET(数出表_Excel【15時】!$A$1,3,D181-1),"")
&amp;IFERROR(OFFSET(数出表_Excel【15時】!$A$1,4,D181-1),""),"")</f>
        <v/>
      </c>
      <c r="F181" t="str">
        <f ca="1">IF(D181&lt;&gt;"",
OFFSET(数出表_Excel【15時】!$A$1,A181+3,D181-1),"")</f>
        <v/>
      </c>
      <c r="G181" t="str">
        <f ca="1">IF(D181&lt;&gt;"",
IF(AND(OFFSET(数出表_Excel【15時】!$A$1,A181+3,D181)&lt;&gt;"",OFFSET(数出表_Excel【15時】!$A$1,A181+3,D181)&lt;&gt;0),
OFFSET(数出表_Excel【15時】!$A$1,A181+3,D181),""),"")</f>
        <v/>
      </c>
      <c r="H181" s="209" t="str">
        <f t="array" aca="1" ref="H181" ca="1">IF(B181&lt;&gt;"",
IFERROR(MATCH(TRUE,ISNUMBER(INDIRECT("数出表_Excel【15時】!"&amp;SUBSTITUTE(ADDRESS(1,D181+2,4),"1","")&amp;(A181+4)&amp;":ZZ"&amp;(A181+4))),0)+D181+1,""),"")</f>
        <v/>
      </c>
      <c r="I181" t="str">
        <f ca="1">IF(H181&lt;&gt;"",
OFFSET(数出表_Excel【15時】!$A$1,2,H181-1)
&amp;IFERROR(OFFSET(数出表_Excel【15時】!$A$1,3,H181-1),"")
&amp;IFERROR(OFFSET(数出表_Excel【15時】!$A$1,4,H181-1),""),"")</f>
        <v/>
      </c>
      <c r="J181" t="str">
        <f ca="1">IF(H181&lt;&gt;"",
OFFSET(数出表_Excel【15時】!$A$1,A181+3,H181-1),"")</f>
        <v/>
      </c>
      <c r="K181" t="str">
        <f ca="1">IF(H181&lt;&gt;"",
IF(AND(OFFSET(数出表_Excel【15時】!$A$1,A181+3,H181)&lt;&gt;"",OFFSET(数出表_Excel【15時】!$A$1,A181+3,H181)&lt;&gt;0),
OFFSET(数出表_Excel【15時】!$A$1,A181+3,H181),""),"")</f>
        <v/>
      </c>
      <c r="L181" s="209" t="str">
        <f t="array" aca="1" ref="L181" ca="1">IF(B181&lt;&gt;"",
IFERROR(MATCH(TRUE,ISNUMBER(INDIRECT("数出表_Excel【15時】!"&amp;SUBSTITUTE(ADDRESS(1,H181+2,4),"1","")&amp;(A181+4)&amp;":ZZ"&amp;(A181+4))),0)+H181+1,""),"")</f>
        <v/>
      </c>
      <c r="M181" t="str">
        <f ca="1">IF(L181&lt;&gt;"",
OFFSET(数出表_Excel【15時】!$A$1,2,L181-1)
&amp;IFERROR(OFFSET(数出表_Excel【15時】!$A$1,3,L181-1),"")
&amp;IFERROR(OFFSET(数出表_Excel【15時】!$A$1,4,L181-1),""),"")</f>
        <v/>
      </c>
      <c r="N181" t="str">
        <f ca="1">IF(L181&lt;&gt;"",
OFFSET(数出表_Excel【15時】!$A$1,A181+3,L181-1),"")</f>
        <v/>
      </c>
      <c r="O181" t="str">
        <f ca="1">IF(L181&lt;&gt;"",
IF(AND(OFFSET(数出表_Excel【15時】!$A$1,A181+3,L181)&lt;&gt;"",OFFSET(数出表_Excel【15時】!$A$1,A181+3,L181)&lt;&gt;0),
OFFSET(数出表_Excel【15時】!$A$1,A181+3,L181),""),"")</f>
        <v/>
      </c>
    </row>
    <row r="182" spans="1:17">
      <c r="A182" t="str">
        <f t="shared" ca="1" si="2"/>
        <v/>
      </c>
      <c r="B182" t="str">
        <f t="array" aca="1" ref="B182" ca="1">IF(OR(COUNTIF(数出表_Excel【15時】!AO186,"*修正*"),COUNTIF(数出表_Excel【15時】!AO187,"*修正*")),
IF(ISEVEN(ROW()+4),INDIRECT("数出表_Excel【15時】!A"&amp;ROW()+4&amp;""),INDIRECT("数出表_Excel【15時】!A"&amp;ROW()+4-1&amp;"")),"")</f>
        <v/>
      </c>
      <c r="C182" t="str">
        <f t="array" aca="1" ref="C182" ca="1">IF(OR(COUNTIF(数出表_Excel【15時】!AO186,"*修正*"),COUNTIF(数出表_Excel【15時】!AO187,"*修正*")),
IF(ISEVEN(ROW()+4),INDIRECT("数出表_Excel【15時】!A"&amp;ROW()+4+1&amp;""),INDIRECT("数出表_Excel【15時】!A"&amp;ROW()+4&amp;"")),"")</f>
        <v/>
      </c>
      <c r="D182" s="209" t="str">
        <f t="array" aca="1" ref="D182" ca="1">IF(B182&lt;&gt;"",
IFERROR(MATCH(TRUE,ISNUMBER(INDIRECT("数出表_Excel【15時】!B"&amp;(A182+4)&amp;":ZZ"&amp;(A182+4))),0)+1,""),"")</f>
        <v/>
      </c>
      <c r="E182" t="str">
        <f ca="1">IF(D182&lt;&gt;"",
OFFSET(数出表_Excel【15時】!$A$1,2,D182-1)
&amp;IFERROR(OFFSET(数出表_Excel【15時】!$A$1,3,D182-1),"")
&amp;IFERROR(OFFSET(数出表_Excel【15時】!$A$1,4,D182-1),""),"")</f>
        <v/>
      </c>
      <c r="F182" t="str">
        <f ca="1">IF(D182&lt;&gt;"",
OFFSET(数出表_Excel【15時】!$A$1,A182+3,D182-1),"")</f>
        <v/>
      </c>
      <c r="G182" t="str">
        <f ca="1">IF(D182&lt;&gt;"",
IF(AND(OFFSET(数出表_Excel【15時】!$A$1,A182+3,D182)&lt;&gt;"",OFFSET(数出表_Excel【15時】!$A$1,A182+3,D182)&lt;&gt;0),
OFFSET(数出表_Excel【15時】!$A$1,A182+3,D182),""),"")</f>
        <v/>
      </c>
      <c r="H182" s="209" t="str">
        <f t="array" aca="1" ref="H182" ca="1">IF(B182&lt;&gt;"",
IFERROR(MATCH(TRUE,ISNUMBER(INDIRECT("数出表_Excel【15時】!"&amp;SUBSTITUTE(ADDRESS(1,D182+2,4),"1","")&amp;(A182+4)&amp;":ZZ"&amp;(A182+4))),0)+D182+1,""),"")</f>
        <v/>
      </c>
      <c r="I182" t="str">
        <f ca="1">IF(H182&lt;&gt;"",
OFFSET(数出表_Excel【15時】!$A$1,2,H182-1)
&amp;IFERROR(OFFSET(数出表_Excel【15時】!$A$1,3,H182-1),"")
&amp;IFERROR(OFFSET(数出表_Excel【15時】!$A$1,4,H182-1),""),"")</f>
        <v/>
      </c>
      <c r="J182" t="str">
        <f ca="1">IF(H182&lt;&gt;"",
OFFSET(数出表_Excel【15時】!$A$1,A182+3,H182-1),"")</f>
        <v/>
      </c>
      <c r="K182" t="str">
        <f ca="1">IF(H182&lt;&gt;"",
IF(AND(OFFSET(数出表_Excel【15時】!$A$1,A182+3,H182)&lt;&gt;"",OFFSET(数出表_Excel【15時】!$A$1,A182+3,H182)&lt;&gt;0),
OFFSET(数出表_Excel【15時】!$A$1,A182+3,H182),""),"")</f>
        <v/>
      </c>
      <c r="L182" s="209" t="str">
        <f t="array" aca="1" ref="L182" ca="1">IF(B182&lt;&gt;"",
IFERROR(MATCH(TRUE,ISNUMBER(INDIRECT("数出表_Excel【15時】!"&amp;SUBSTITUTE(ADDRESS(1,H182+2,4),"1","")&amp;(A182+4)&amp;":ZZ"&amp;(A182+4))),0)+H182+1,""),"")</f>
        <v/>
      </c>
      <c r="M182" t="str">
        <f ca="1">IF(L182&lt;&gt;"",
OFFSET(数出表_Excel【15時】!$A$1,2,L182-1)
&amp;IFERROR(OFFSET(数出表_Excel【15時】!$A$1,3,L182-1),"")
&amp;IFERROR(OFFSET(数出表_Excel【15時】!$A$1,4,L182-1),""),"")</f>
        <v/>
      </c>
      <c r="N182" t="str">
        <f ca="1">IF(L182&lt;&gt;"",
OFFSET(数出表_Excel【15時】!$A$1,A182+3,L182-1),"")</f>
        <v/>
      </c>
      <c r="O182" t="str">
        <f ca="1">IF(L182&lt;&gt;"",
IF(AND(OFFSET(数出表_Excel【15時】!$A$1,A182+3,L182)&lt;&gt;"",OFFSET(数出表_Excel【15時】!$A$1,A182+3,L182)&lt;&gt;0),
OFFSET(数出表_Excel【15時】!$A$1,A182+3,L182),""),"")</f>
        <v/>
      </c>
      <c r="Q182" t="str">
        <f ca="1">IF(C182&lt;&gt;"",
IF(E182&lt;&gt;"",1,0)+IF(I182&lt;&gt;"",1,0)+IF(M182&lt;&gt;"",1,0),"")</f>
        <v/>
      </c>
    </row>
    <row r="183" spans="1:17">
      <c r="A183" t="str">
        <f t="shared" ca="1" si="2"/>
        <v/>
      </c>
      <c r="B183" t="str">
        <f t="array" aca="1" ref="B183" ca="1">IF(OR(COUNTIF(数出表_Excel【15時】!AO186,"*修正*"),COUNTIF(数出表_Excel【15時】!AO187,"*修正*")),
IF(ISEVEN(ROW()+4),INDIRECT("数出表_Excel【15時】!A"&amp;ROW()+4&amp;""),INDIRECT("数出表_Excel【15時】!A"&amp;ROW()+4-1&amp;"")),"")</f>
        <v/>
      </c>
      <c r="C183" t="str">
        <f t="array" aca="1" ref="C183" ca="1">IF(OR(COUNTIF(数出表_Excel【15時】!AO186,"*修正*"),COUNTIF(数出表_Excel【15時】!AO187,"*修正*")),
IF(ISEVEN(ROW()+4),INDIRECT("数出表_Excel【15時】!A"&amp;ROW()+4+1&amp;""),INDIRECT("数出表_Excel【15時】!A"&amp;ROW()+4&amp;"")),"")</f>
        <v/>
      </c>
      <c r="D183" s="209" t="str">
        <f t="array" aca="1" ref="D183" ca="1">IF(B183&lt;&gt;"",
IFERROR(MATCH(TRUE,ISNUMBER(INDIRECT("数出表_Excel【15時】!B"&amp;(A183+4)&amp;":ZZ"&amp;(A183+4))),0)+1,""),"")</f>
        <v/>
      </c>
      <c r="E183" t="str">
        <f ca="1">IF(D183&lt;&gt;"",
OFFSET(数出表_Excel【15時】!$A$1,2,D183-1)
&amp;IFERROR(OFFSET(数出表_Excel【15時】!$A$1,3,D183-1),"")
&amp;IFERROR(OFFSET(数出表_Excel【15時】!$A$1,4,D183-1),""),"")</f>
        <v/>
      </c>
      <c r="F183" t="str">
        <f ca="1">IF(D183&lt;&gt;"",
OFFSET(数出表_Excel【15時】!$A$1,A183+3,D183-1),"")</f>
        <v/>
      </c>
      <c r="G183" t="str">
        <f ca="1">IF(D183&lt;&gt;"",
IF(AND(OFFSET(数出表_Excel【15時】!$A$1,A183+3,D183)&lt;&gt;"",OFFSET(数出表_Excel【15時】!$A$1,A183+3,D183)&lt;&gt;0),
OFFSET(数出表_Excel【15時】!$A$1,A183+3,D183),""),"")</f>
        <v/>
      </c>
      <c r="H183" s="209" t="str">
        <f t="array" aca="1" ref="H183" ca="1">IF(B183&lt;&gt;"",
IFERROR(MATCH(TRUE,ISNUMBER(INDIRECT("数出表_Excel【15時】!"&amp;SUBSTITUTE(ADDRESS(1,D183+2,4),"1","")&amp;(A183+4)&amp;":ZZ"&amp;(A183+4))),0)+D183+1,""),"")</f>
        <v/>
      </c>
      <c r="I183" t="str">
        <f ca="1">IF(H183&lt;&gt;"",
OFFSET(数出表_Excel【15時】!$A$1,2,H183-1)
&amp;IFERROR(OFFSET(数出表_Excel【15時】!$A$1,3,H183-1),"")
&amp;IFERROR(OFFSET(数出表_Excel【15時】!$A$1,4,H183-1),""),"")</f>
        <v/>
      </c>
      <c r="J183" t="str">
        <f ca="1">IF(H183&lt;&gt;"",
OFFSET(数出表_Excel【15時】!$A$1,A183+3,H183-1),"")</f>
        <v/>
      </c>
      <c r="K183" t="str">
        <f ca="1">IF(H183&lt;&gt;"",
IF(AND(OFFSET(数出表_Excel【15時】!$A$1,A183+3,H183)&lt;&gt;"",OFFSET(数出表_Excel【15時】!$A$1,A183+3,H183)&lt;&gt;0),
OFFSET(数出表_Excel【15時】!$A$1,A183+3,H183),""),"")</f>
        <v/>
      </c>
      <c r="L183" s="209" t="str">
        <f t="array" aca="1" ref="L183" ca="1">IF(B183&lt;&gt;"",
IFERROR(MATCH(TRUE,ISNUMBER(INDIRECT("数出表_Excel【15時】!"&amp;SUBSTITUTE(ADDRESS(1,H183+2,4),"1","")&amp;(A183+4)&amp;":ZZ"&amp;(A183+4))),0)+H183+1,""),"")</f>
        <v/>
      </c>
      <c r="M183" t="str">
        <f ca="1">IF(L183&lt;&gt;"",
OFFSET(数出表_Excel【15時】!$A$1,2,L183-1)
&amp;IFERROR(OFFSET(数出表_Excel【15時】!$A$1,3,L183-1),"")
&amp;IFERROR(OFFSET(数出表_Excel【15時】!$A$1,4,L183-1),""),"")</f>
        <v/>
      </c>
      <c r="N183" t="str">
        <f ca="1">IF(L183&lt;&gt;"",
OFFSET(数出表_Excel【15時】!$A$1,A183+3,L183-1),"")</f>
        <v/>
      </c>
      <c r="O183" t="str">
        <f ca="1">IF(L183&lt;&gt;"",
IF(AND(OFFSET(数出表_Excel【15時】!$A$1,A183+3,L183)&lt;&gt;"",OFFSET(数出表_Excel【15時】!$A$1,A183+3,L183)&lt;&gt;0),
OFFSET(数出表_Excel【15時】!$A$1,A183+3,L183),""),"")</f>
        <v/>
      </c>
    </row>
    <row r="184" spans="1:17">
      <c r="A184" t="str">
        <f t="shared" ca="1" si="2"/>
        <v/>
      </c>
      <c r="B184" t="str">
        <f t="array" aca="1" ref="B184" ca="1">IF(OR(COUNTIF(数出表_Excel【15時】!AO188,"*修正*"),COUNTIF(数出表_Excel【15時】!AO189,"*修正*")),
IF(ISEVEN(ROW()+4),INDIRECT("数出表_Excel【15時】!A"&amp;ROW()+4&amp;""),INDIRECT("数出表_Excel【15時】!A"&amp;ROW()+4-1&amp;"")),"")</f>
        <v/>
      </c>
      <c r="C184" t="str">
        <f t="array" aca="1" ref="C184" ca="1">IF(OR(COUNTIF(数出表_Excel【15時】!AO188,"*修正*"),COUNTIF(数出表_Excel【15時】!AO189,"*修正*")),
IF(ISEVEN(ROW()+4),INDIRECT("数出表_Excel【15時】!A"&amp;ROW()+4+1&amp;""),INDIRECT("数出表_Excel【15時】!A"&amp;ROW()+4&amp;"")),"")</f>
        <v/>
      </c>
      <c r="D184" s="209" t="str">
        <f t="array" aca="1" ref="D184" ca="1">IF(B184&lt;&gt;"",
IFERROR(MATCH(TRUE,ISNUMBER(INDIRECT("数出表_Excel【15時】!B"&amp;(A184+4)&amp;":ZZ"&amp;(A184+4))),0)+1,""),"")</f>
        <v/>
      </c>
      <c r="E184" t="str">
        <f ca="1">IF(D184&lt;&gt;"",
OFFSET(数出表_Excel【15時】!$A$1,2,D184-1)
&amp;IFERROR(OFFSET(数出表_Excel【15時】!$A$1,3,D184-1),"")
&amp;IFERROR(OFFSET(数出表_Excel【15時】!$A$1,4,D184-1),""),"")</f>
        <v/>
      </c>
      <c r="F184" t="str">
        <f ca="1">IF(D184&lt;&gt;"",
OFFSET(数出表_Excel【15時】!$A$1,A184+3,D184-1),"")</f>
        <v/>
      </c>
      <c r="G184" t="str">
        <f ca="1">IF(D184&lt;&gt;"",
IF(AND(OFFSET(数出表_Excel【15時】!$A$1,A184+3,D184)&lt;&gt;"",OFFSET(数出表_Excel【15時】!$A$1,A184+3,D184)&lt;&gt;0),
OFFSET(数出表_Excel【15時】!$A$1,A184+3,D184),""),"")</f>
        <v/>
      </c>
      <c r="H184" s="209" t="str">
        <f t="array" aca="1" ref="H184" ca="1">IF(B184&lt;&gt;"",
IFERROR(MATCH(TRUE,ISNUMBER(INDIRECT("数出表_Excel【15時】!"&amp;SUBSTITUTE(ADDRESS(1,D184+2,4),"1","")&amp;(A184+4)&amp;":ZZ"&amp;(A184+4))),0)+D184+1,""),"")</f>
        <v/>
      </c>
      <c r="I184" t="str">
        <f ca="1">IF(H184&lt;&gt;"",
OFFSET(数出表_Excel【15時】!$A$1,2,H184-1)
&amp;IFERROR(OFFSET(数出表_Excel【15時】!$A$1,3,H184-1),"")
&amp;IFERROR(OFFSET(数出表_Excel【15時】!$A$1,4,H184-1),""),"")</f>
        <v/>
      </c>
      <c r="J184" t="str">
        <f ca="1">IF(H184&lt;&gt;"",
OFFSET(数出表_Excel【15時】!$A$1,A184+3,H184-1),"")</f>
        <v/>
      </c>
      <c r="K184" t="str">
        <f ca="1">IF(H184&lt;&gt;"",
IF(AND(OFFSET(数出表_Excel【15時】!$A$1,A184+3,H184)&lt;&gt;"",OFFSET(数出表_Excel【15時】!$A$1,A184+3,H184)&lt;&gt;0),
OFFSET(数出表_Excel【15時】!$A$1,A184+3,H184),""),"")</f>
        <v/>
      </c>
      <c r="L184" s="209" t="str">
        <f t="array" aca="1" ref="L184" ca="1">IF(B184&lt;&gt;"",
IFERROR(MATCH(TRUE,ISNUMBER(INDIRECT("数出表_Excel【15時】!"&amp;SUBSTITUTE(ADDRESS(1,H184+2,4),"1","")&amp;(A184+4)&amp;":ZZ"&amp;(A184+4))),0)+H184+1,""),"")</f>
        <v/>
      </c>
      <c r="M184" t="str">
        <f ca="1">IF(L184&lt;&gt;"",
OFFSET(数出表_Excel【15時】!$A$1,2,L184-1)
&amp;IFERROR(OFFSET(数出表_Excel【15時】!$A$1,3,L184-1),"")
&amp;IFERROR(OFFSET(数出表_Excel【15時】!$A$1,4,L184-1),""),"")</f>
        <v/>
      </c>
      <c r="N184" t="str">
        <f ca="1">IF(L184&lt;&gt;"",
OFFSET(数出表_Excel【15時】!$A$1,A184+3,L184-1),"")</f>
        <v/>
      </c>
      <c r="O184" t="str">
        <f ca="1">IF(L184&lt;&gt;"",
IF(AND(OFFSET(数出表_Excel【15時】!$A$1,A184+3,L184)&lt;&gt;"",OFFSET(数出表_Excel【15時】!$A$1,A184+3,L184)&lt;&gt;0),
OFFSET(数出表_Excel【15時】!$A$1,A184+3,L184),""),"")</f>
        <v/>
      </c>
      <c r="Q184" t="str">
        <f ca="1">IF(C184&lt;&gt;"",
IF(E184&lt;&gt;"",1,0)+IF(I184&lt;&gt;"",1,0)+IF(M184&lt;&gt;"",1,0),"")</f>
        <v/>
      </c>
    </row>
    <row r="185" spans="1:17">
      <c r="A185" t="str">
        <f t="shared" ca="1" si="2"/>
        <v/>
      </c>
      <c r="B185" t="str">
        <f t="array" aca="1" ref="B185" ca="1">IF(OR(COUNTIF(数出表_Excel【15時】!AO188,"*修正*"),COUNTIF(数出表_Excel【15時】!AO189,"*修正*")),
IF(ISEVEN(ROW()+4),INDIRECT("数出表_Excel【15時】!A"&amp;ROW()+4&amp;""),INDIRECT("数出表_Excel【15時】!A"&amp;ROW()+4-1&amp;"")),"")</f>
        <v/>
      </c>
      <c r="C185" t="str">
        <f t="array" aca="1" ref="C185" ca="1">IF(OR(COUNTIF(数出表_Excel【15時】!AO188,"*修正*"),COUNTIF(数出表_Excel【15時】!AO189,"*修正*")),
IF(ISEVEN(ROW()+4),INDIRECT("数出表_Excel【15時】!A"&amp;ROW()+4+1&amp;""),INDIRECT("数出表_Excel【15時】!A"&amp;ROW()+4&amp;"")),"")</f>
        <v/>
      </c>
      <c r="D185" s="209" t="str">
        <f t="array" aca="1" ref="D185" ca="1">IF(B185&lt;&gt;"",
IFERROR(MATCH(TRUE,ISNUMBER(INDIRECT("数出表_Excel【15時】!B"&amp;(A185+4)&amp;":ZZ"&amp;(A185+4))),0)+1,""),"")</f>
        <v/>
      </c>
      <c r="E185" t="str">
        <f ca="1">IF(D185&lt;&gt;"",
OFFSET(数出表_Excel【15時】!$A$1,2,D185-1)
&amp;IFERROR(OFFSET(数出表_Excel【15時】!$A$1,3,D185-1),"")
&amp;IFERROR(OFFSET(数出表_Excel【15時】!$A$1,4,D185-1),""),"")</f>
        <v/>
      </c>
      <c r="F185" t="str">
        <f ca="1">IF(D185&lt;&gt;"",
OFFSET(数出表_Excel【15時】!$A$1,A185+3,D185-1),"")</f>
        <v/>
      </c>
      <c r="G185" t="str">
        <f ca="1">IF(D185&lt;&gt;"",
IF(AND(OFFSET(数出表_Excel【15時】!$A$1,A185+3,D185)&lt;&gt;"",OFFSET(数出表_Excel【15時】!$A$1,A185+3,D185)&lt;&gt;0),
OFFSET(数出表_Excel【15時】!$A$1,A185+3,D185),""),"")</f>
        <v/>
      </c>
      <c r="H185" s="209" t="str">
        <f t="array" aca="1" ref="H185" ca="1">IF(B185&lt;&gt;"",
IFERROR(MATCH(TRUE,ISNUMBER(INDIRECT("数出表_Excel【15時】!"&amp;SUBSTITUTE(ADDRESS(1,D185+2,4),"1","")&amp;(A185+4)&amp;":ZZ"&amp;(A185+4))),0)+D185+1,""),"")</f>
        <v/>
      </c>
      <c r="I185" t="str">
        <f ca="1">IF(H185&lt;&gt;"",
OFFSET(数出表_Excel【15時】!$A$1,2,H185-1)
&amp;IFERROR(OFFSET(数出表_Excel【15時】!$A$1,3,H185-1),"")
&amp;IFERROR(OFFSET(数出表_Excel【15時】!$A$1,4,H185-1),""),"")</f>
        <v/>
      </c>
      <c r="J185" t="str">
        <f ca="1">IF(H185&lt;&gt;"",
OFFSET(数出表_Excel【15時】!$A$1,A185+3,H185-1),"")</f>
        <v/>
      </c>
      <c r="K185" t="str">
        <f ca="1">IF(H185&lt;&gt;"",
IF(AND(OFFSET(数出表_Excel【15時】!$A$1,A185+3,H185)&lt;&gt;"",OFFSET(数出表_Excel【15時】!$A$1,A185+3,H185)&lt;&gt;0),
OFFSET(数出表_Excel【15時】!$A$1,A185+3,H185),""),"")</f>
        <v/>
      </c>
      <c r="L185" s="209" t="str">
        <f t="array" aca="1" ref="L185" ca="1">IF(B185&lt;&gt;"",
IFERROR(MATCH(TRUE,ISNUMBER(INDIRECT("数出表_Excel【15時】!"&amp;SUBSTITUTE(ADDRESS(1,H185+2,4),"1","")&amp;(A185+4)&amp;":ZZ"&amp;(A185+4))),0)+H185+1,""),"")</f>
        <v/>
      </c>
      <c r="M185" t="str">
        <f ca="1">IF(L185&lt;&gt;"",
OFFSET(数出表_Excel【15時】!$A$1,2,L185-1)
&amp;IFERROR(OFFSET(数出表_Excel【15時】!$A$1,3,L185-1),"")
&amp;IFERROR(OFFSET(数出表_Excel【15時】!$A$1,4,L185-1),""),"")</f>
        <v/>
      </c>
      <c r="N185" t="str">
        <f ca="1">IF(L185&lt;&gt;"",
OFFSET(数出表_Excel【15時】!$A$1,A185+3,L185-1),"")</f>
        <v/>
      </c>
      <c r="O185" t="str">
        <f ca="1">IF(L185&lt;&gt;"",
IF(AND(OFFSET(数出表_Excel【15時】!$A$1,A185+3,L185)&lt;&gt;"",OFFSET(数出表_Excel【15時】!$A$1,A185+3,L185)&lt;&gt;0),
OFFSET(数出表_Excel【15時】!$A$1,A185+3,L185),""),"")</f>
        <v/>
      </c>
    </row>
    <row r="186" spans="1:17">
      <c r="A186" t="str">
        <f t="shared" ca="1" si="2"/>
        <v/>
      </c>
      <c r="B186" t="str">
        <f t="array" aca="1" ref="B186" ca="1">IF(OR(COUNTIF(数出表_Excel【15時】!AO190,"*修正*"),COUNTIF(数出表_Excel【15時】!AO191,"*修正*")),
IF(ISEVEN(ROW()+4),INDIRECT("数出表_Excel【15時】!A"&amp;ROW()+4&amp;""),INDIRECT("数出表_Excel【15時】!A"&amp;ROW()+4-1&amp;"")),"")</f>
        <v/>
      </c>
      <c r="C186" t="str">
        <f t="array" aca="1" ref="C186" ca="1">IF(OR(COUNTIF(数出表_Excel【15時】!AO190,"*修正*"),COUNTIF(数出表_Excel【15時】!AO191,"*修正*")),
IF(ISEVEN(ROW()+4),INDIRECT("数出表_Excel【15時】!A"&amp;ROW()+4+1&amp;""),INDIRECT("数出表_Excel【15時】!A"&amp;ROW()+4&amp;"")),"")</f>
        <v/>
      </c>
      <c r="D186" s="209" t="str">
        <f t="array" aca="1" ref="D186" ca="1">IF(B186&lt;&gt;"",
IFERROR(MATCH(TRUE,ISNUMBER(INDIRECT("数出表_Excel【15時】!B"&amp;(A186+4)&amp;":ZZ"&amp;(A186+4))),0)+1,""),"")</f>
        <v/>
      </c>
      <c r="E186" t="str">
        <f ca="1">IF(D186&lt;&gt;"",
OFFSET(数出表_Excel【15時】!$A$1,2,D186-1)
&amp;IFERROR(OFFSET(数出表_Excel【15時】!$A$1,3,D186-1),"")
&amp;IFERROR(OFFSET(数出表_Excel【15時】!$A$1,4,D186-1),""),"")</f>
        <v/>
      </c>
      <c r="F186" t="str">
        <f ca="1">IF(D186&lt;&gt;"",
OFFSET(数出表_Excel【15時】!$A$1,A186+3,D186-1),"")</f>
        <v/>
      </c>
      <c r="G186" t="str">
        <f ca="1">IF(D186&lt;&gt;"",
IF(AND(OFFSET(数出表_Excel【15時】!$A$1,A186+3,D186)&lt;&gt;"",OFFSET(数出表_Excel【15時】!$A$1,A186+3,D186)&lt;&gt;0),
OFFSET(数出表_Excel【15時】!$A$1,A186+3,D186),""),"")</f>
        <v/>
      </c>
      <c r="H186" s="209" t="str">
        <f t="array" aca="1" ref="H186" ca="1">IF(B186&lt;&gt;"",
IFERROR(MATCH(TRUE,ISNUMBER(INDIRECT("数出表_Excel【15時】!"&amp;SUBSTITUTE(ADDRESS(1,D186+2,4),"1","")&amp;(A186+4)&amp;":ZZ"&amp;(A186+4))),0)+D186+1,""),"")</f>
        <v/>
      </c>
      <c r="I186" t="str">
        <f ca="1">IF(H186&lt;&gt;"",
OFFSET(数出表_Excel【15時】!$A$1,2,H186-1)
&amp;IFERROR(OFFSET(数出表_Excel【15時】!$A$1,3,H186-1),"")
&amp;IFERROR(OFFSET(数出表_Excel【15時】!$A$1,4,H186-1),""),"")</f>
        <v/>
      </c>
      <c r="J186" t="str">
        <f ca="1">IF(H186&lt;&gt;"",
OFFSET(数出表_Excel【15時】!$A$1,A186+3,H186-1),"")</f>
        <v/>
      </c>
      <c r="K186" t="str">
        <f ca="1">IF(H186&lt;&gt;"",
IF(AND(OFFSET(数出表_Excel【15時】!$A$1,A186+3,H186)&lt;&gt;"",OFFSET(数出表_Excel【15時】!$A$1,A186+3,H186)&lt;&gt;0),
OFFSET(数出表_Excel【15時】!$A$1,A186+3,H186),""),"")</f>
        <v/>
      </c>
      <c r="L186" s="209" t="str">
        <f t="array" aca="1" ref="L186" ca="1">IF(B186&lt;&gt;"",
IFERROR(MATCH(TRUE,ISNUMBER(INDIRECT("数出表_Excel【15時】!"&amp;SUBSTITUTE(ADDRESS(1,H186+2,4),"1","")&amp;(A186+4)&amp;":ZZ"&amp;(A186+4))),0)+H186+1,""),"")</f>
        <v/>
      </c>
      <c r="M186" t="str">
        <f ca="1">IF(L186&lt;&gt;"",
OFFSET(数出表_Excel【15時】!$A$1,2,L186-1)
&amp;IFERROR(OFFSET(数出表_Excel【15時】!$A$1,3,L186-1),"")
&amp;IFERROR(OFFSET(数出表_Excel【15時】!$A$1,4,L186-1),""),"")</f>
        <v/>
      </c>
      <c r="N186" t="str">
        <f ca="1">IF(L186&lt;&gt;"",
OFFSET(数出表_Excel【15時】!$A$1,A186+3,L186-1),"")</f>
        <v/>
      </c>
      <c r="O186" t="str">
        <f ca="1">IF(L186&lt;&gt;"",
IF(AND(OFFSET(数出表_Excel【15時】!$A$1,A186+3,L186)&lt;&gt;"",OFFSET(数出表_Excel【15時】!$A$1,A186+3,L186)&lt;&gt;0),
OFFSET(数出表_Excel【15時】!$A$1,A186+3,L186),""),"")</f>
        <v/>
      </c>
      <c r="Q186" t="str">
        <f ca="1">IF(C186&lt;&gt;"",
IF(E186&lt;&gt;"",1,0)+IF(I186&lt;&gt;"",1,0)+IF(M186&lt;&gt;"",1,0),"")</f>
        <v/>
      </c>
    </row>
    <row r="187" spans="1:17">
      <c r="A187" t="str">
        <f t="shared" ca="1" si="2"/>
        <v/>
      </c>
      <c r="B187" t="str">
        <f t="array" aca="1" ref="B187" ca="1">IF(OR(COUNTIF(数出表_Excel【15時】!AO190,"*修正*"),COUNTIF(数出表_Excel【15時】!AO191,"*修正*")),
IF(ISEVEN(ROW()+4),INDIRECT("数出表_Excel【15時】!A"&amp;ROW()+4&amp;""),INDIRECT("数出表_Excel【15時】!A"&amp;ROW()+4-1&amp;"")),"")</f>
        <v/>
      </c>
      <c r="C187" t="str">
        <f t="array" aca="1" ref="C187" ca="1">IF(OR(COUNTIF(数出表_Excel【15時】!AO190,"*修正*"),COUNTIF(数出表_Excel【15時】!AO191,"*修正*")),
IF(ISEVEN(ROW()+4),INDIRECT("数出表_Excel【15時】!A"&amp;ROW()+4+1&amp;""),INDIRECT("数出表_Excel【15時】!A"&amp;ROW()+4&amp;"")),"")</f>
        <v/>
      </c>
      <c r="D187" s="209" t="str">
        <f t="array" aca="1" ref="D187" ca="1">IF(B187&lt;&gt;"",
IFERROR(MATCH(TRUE,ISNUMBER(INDIRECT("数出表_Excel【15時】!B"&amp;(A187+4)&amp;":ZZ"&amp;(A187+4))),0)+1,""),"")</f>
        <v/>
      </c>
      <c r="E187" t="str">
        <f ca="1">IF(D187&lt;&gt;"",
OFFSET(数出表_Excel【15時】!$A$1,2,D187-1)
&amp;IFERROR(OFFSET(数出表_Excel【15時】!$A$1,3,D187-1),"")
&amp;IFERROR(OFFSET(数出表_Excel【15時】!$A$1,4,D187-1),""),"")</f>
        <v/>
      </c>
      <c r="F187" t="str">
        <f ca="1">IF(D187&lt;&gt;"",
OFFSET(数出表_Excel【15時】!$A$1,A187+3,D187-1),"")</f>
        <v/>
      </c>
      <c r="G187" t="str">
        <f ca="1">IF(D187&lt;&gt;"",
IF(AND(OFFSET(数出表_Excel【15時】!$A$1,A187+3,D187)&lt;&gt;"",OFFSET(数出表_Excel【15時】!$A$1,A187+3,D187)&lt;&gt;0),
OFFSET(数出表_Excel【15時】!$A$1,A187+3,D187),""),"")</f>
        <v/>
      </c>
      <c r="H187" s="209" t="str">
        <f t="array" aca="1" ref="H187" ca="1">IF(B187&lt;&gt;"",
IFERROR(MATCH(TRUE,ISNUMBER(INDIRECT("数出表_Excel【15時】!"&amp;SUBSTITUTE(ADDRESS(1,D187+2,4),"1","")&amp;(A187+4)&amp;":ZZ"&amp;(A187+4))),0)+D187+1,""),"")</f>
        <v/>
      </c>
      <c r="I187" t="str">
        <f ca="1">IF(H187&lt;&gt;"",
OFFSET(数出表_Excel【15時】!$A$1,2,H187-1)
&amp;IFERROR(OFFSET(数出表_Excel【15時】!$A$1,3,H187-1),"")
&amp;IFERROR(OFFSET(数出表_Excel【15時】!$A$1,4,H187-1),""),"")</f>
        <v/>
      </c>
      <c r="J187" t="str">
        <f ca="1">IF(H187&lt;&gt;"",
OFFSET(数出表_Excel【15時】!$A$1,A187+3,H187-1),"")</f>
        <v/>
      </c>
      <c r="K187" t="str">
        <f ca="1">IF(H187&lt;&gt;"",
IF(AND(OFFSET(数出表_Excel【15時】!$A$1,A187+3,H187)&lt;&gt;"",OFFSET(数出表_Excel【15時】!$A$1,A187+3,H187)&lt;&gt;0),
OFFSET(数出表_Excel【15時】!$A$1,A187+3,H187),""),"")</f>
        <v/>
      </c>
      <c r="L187" s="209" t="str">
        <f t="array" aca="1" ref="L187" ca="1">IF(B187&lt;&gt;"",
IFERROR(MATCH(TRUE,ISNUMBER(INDIRECT("数出表_Excel【15時】!"&amp;SUBSTITUTE(ADDRESS(1,H187+2,4),"1","")&amp;(A187+4)&amp;":ZZ"&amp;(A187+4))),0)+H187+1,""),"")</f>
        <v/>
      </c>
      <c r="M187" t="str">
        <f ca="1">IF(L187&lt;&gt;"",
OFFSET(数出表_Excel【15時】!$A$1,2,L187-1)
&amp;IFERROR(OFFSET(数出表_Excel【15時】!$A$1,3,L187-1),"")
&amp;IFERROR(OFFSET(数出表_Excel【15時】!$A$1,4,L187-1),""),"")</f>
        <v/>
      </c>
      <c r="N187" t="str">
        <f ca="1">IF(L187&lt;&gt;"",
OFFSET(数出表_Excel【15時】!$A$1,A187+3,L187-1),"")</f>
        <v/>
      </c>
      <c r="O187" t="str">
        <f ca="1">IF(L187&lt;&gt;"",
IF(AND(OFFSET(数出表_Excel【15時】!$A$1,A187+3,L187)&lt;&gt;"",OFFSET(数出表_Excel【15時】!$A$1,A187+3,L187)&lt;&gt;0),
OFFSET(数出表_Excel【15時】!$A$1,A187+3,L187),""),"")</f>
        <v/>
      </c>
    </row>
    <row r="188" spans="1:17">
      <c r="A188" t="str">
        <f t="shared" ca="1" si="2"/>
        <v/>
      </c>
      <c r="B188" t="str">
        <f t="array" aca="1" ref="B188" ca="1">IF(OR(COUNTIF(数出表_Excel【15時】!AO192,"*修正*"),COUNTIF(数出表_Excel【15時】!AO193,"*修正*")),
IF(ISEVEN(ROW()+4),INDIRECT("数出表_Excel【15時】!A"&amp;ROW()+4&amp;""),INDIRECT("数出表_Excel【15時】!A"&amp;ROW()+4-1&amp;"")),"")</f>
        <v/>
      </c>
      <c r="C188" t="str">
        <f t="array" aca="1" ref="C188" ca="1">IF(OR(COUNTIF(数出表_Excel【15時】!AO192,"*修正*"),COUNTIF(数出表_Excel【15時】!AO193,"*修正*")),
IF(ISEVEN(ROW()+4),INDIRECT("数出表_Excel【15時】!A"&amp;ROW()+4+1&amp;""),INDIRECT("数出表_Excel【15時】!A"&amp;ROW()+4&amp;"")),"")</f>
        <v/>
      </c>
      <c r="D188" s="209" t="str">
        <f t="array" aca="1" ref="D188" ca="1">IF(B188&lt;&gt;"",
IFERROR(MATCH(TRUE,ISNUMBER(INDIRECT("数出表_Excel【15時】!B"&amp;(A188+4)&amp;":ZZ"&amp;(A188+4))),0)+1,""),"")</f>
        <v/>
      </c>
      <c r="E188" t="str">
        <f ca="1">IF(D188&lt;&gt;"",
OFFSET(数出表_Excel【15時】!$A$1,2,D188-1)
&amp;IFERROR(OFFSET(数出表_Excel【15時】!$A$1,3,D188-1),"")
&amp;IFERROR(OFFSET(数出表_Excel【15時】!$A$1,4,D188-1),""),"")</f>
        <v/>
      </c>
      <c r="F188" t="str">
        <f ca="1">IF(D188&lt;&gt;"",
OFFSET(数出表_Excel【15時】!$A$1,A188+3,D188-1),"")</f>
        <v/>
      </c>
      <c r="G188" t="str">
        <f ca="1">IF(D188&lt;&gt;"",
IF(AND(OFFSET(数出表_Excel【15時】!$A$1,A188+3,D188)&lt;&gt;"",OFFSET(数出表_Excel【15時】!$A$1,A188+3,D188)&lt;&gt;0),
OFFSET(数出表_Excel【15時】!$A$1,A188+3,D188),""),"")</f>
        <v/>
      </c>
      <c r="H188" s="209" t="str">
        <f t="array" aca="1" ref="H188" ca="1">IF(B188&lt;&gt;"",
IFERROR(MATCH(TRUE,ISNUMBER(INDIRECT("数出表_Excel【15時】!"&amp;SUBSTITUTE(ADDRESS(1,D188+2,4),"1","")&amp;(A188+4)&amp;":ZZ"&amp;(A188+4))),0)+D188+1,""),"")</f>
        <v/>
      </c>
      <c r="I188" t="str">
        <f ca="1">IF(H188&lt;&gt;"",
OFFSET(数出表_Excel【15時】!$A$1,2,H188-1)
&amp;IFERROR(OFFSET(数出表_Excel【15時】!$A$1,3,H188-1),"")
&amp;IFERROR(OFFSET(数出表_Excel【15時】!$A$1,4,H188-1),""),"")</f>
        <v/>
      </c>
      <c r="J188" t="str">
        <f ca="1">IF(H188&lt;&gt;"",
OFFSET(数出表_Excel【15時】!$A$1,A188+3,H188-1),"")</f>
        <v/>
      </c>
      <c r="K188" t="str">
        <f ca="1">IF(H188&lt;&gt;"",
IF(AND(OFFSET(数出表_Excel【15時】!$A$1,A188+3,H188)&lt;&gt;"",OFFSET(数出表_Excel【15時】!$A$1,A188+3,H188)&lt;&gt;0),
OFFSET(数出表_Excel【15時】!$A$1,A188+3,H188),""),"")</f>
        <v/>
      </c>
      <c r="L188" s="209" t="str">
        <f t="array" aca="1" ref="L188" ca="1">IF(B188&lt;&gt;"",
IFERROR(MATCH(TRUE,ISNUMBER(INDIRECT("数出表_Excel【15時】!"&amp;SUBSTITUTE(ADDRESS(1,H188+2,4),"1","")&amp;(A188+4)&amp;":ZZ"&amp;(A188+4))),0)+H188+1,""),"")</f>
        <v/>
      </c>
      <c r="M188" t="str">
        <f ca="1">IF(L188&lt;&gt;"",
OFFSET(数出表_Excel【15時】!$A$1,2,L188-1)
&amp;IFERROR(OFFSET(数出表_Excel【15時】!$A$1,3,L188-1),"")
&amp;IFERROR(OFFSET(数出表_Excel【15時】!$A$1,4,L188-1),""),"")</f>
        <v/>
      </c>
      <c r="N188" t="str">
        <f ca="1">IF(L188&lt;&gt;"",
OFFSET(数出表_Excel【15時】!$A$1,A188+3,L188-1),"")</f>
        <v/>
      </c>
      <c r="O188" t="str">
        <f ca="1">IF(L188&lt;&gt;"",
IF(AND(OFFSET(数出表_Excel【15時】!$A$1,A188+3,L188)&lt;&gt;"",OFFSET(数出表_Excel【15時】!$A$1,A188+3,L188)&lt;&gt;0),
OFFSET(数出表_Excel【15時】!$A$1,A188+3,L188),""),"")</f>
        <v/>
      </c>
      <c r="Q188" t="str">
        <f ca="1">IF(C188&lt;&gt;"",
IF(E188&lt;&gt;"",1,0)+IF(I188&lt;&gt;"",1,0)+IF(M188&lt;&gt;"",1,0),"")</f>
        <v/>
      </c>
    </row>
    <row r="189" spans="1:17">
      <c r="A189" t="str">
        <f t="shared" ca="1" si="2"/>
        <v/>
      </c>
      <c r="B189" t="str">
        <f t="array" aca="1" ref="B189" ca="1">IF(OR(COUNTIF(数出表_Excel【15時】!AO192,"*修正*"),COUNTIF(数出表_Excel【15時】!AO193,"*修正*")),
IF(ISEVEN(ROW()+4),INDIRECT("数出表_Excel【15時】!A"&amp;ROW()+4&amp;""),INDIRECT("数出表_Excel【15時】!A"&amp;ROW()+4-1&amp;"")),"")</f>
        <v/>
      </c>
      <c r="C189" t="str">
        <f t="array" aca="1" ref="C189" ca="1">IF(OR(COUNTIF(数出表_Excel【15時】!AO192,"*修正*"),COUNTIF(数出表_Excel【15時】!AO193,"*修正*")),
IF(ISEVEN(ROW()+4),INDIRECT("数出表_Excel【15時】!A"&amp;ROW()+4+1&amp;""),INDIRECT("数出表_Excel【15時】!A"&amp;ROW()+4&amp;"")),"")</f>
        <v/>
      </c>
      <c r="D189" s="209" t="str">
        <f t="array" aca="1" ref="D189" ca="1">IF(B189&lt;&gt;"",
IFERROR(MATCH(TRUE,ISNUMBER(INDIRECT("数出表_Excel【15時】!B"&amp;(A189+4)&amp;":ZZ"&amp;(A189+4))),0)+1,""),"")</f>
        <v/>
      </c>
      <c r="E189" t="str">
        <f ca="1">IF(D189&lt;&gt;"",
OFFSET(数出表_Excel【15時】!$A$1,2,D189-1)
&amp;IFERROR(OFFSET(数出表_Excel【15時】!$A$1,3,D189-1),"")
&amp;IFERROR(OFFSET(数出表_Excel【15時】!$A$1,4,D189-1),""),"")</f>
        <v/>
      </c>
      <c r="F189" t="str">
        <f ca="1">IF(D189&lt;&gt;"",
OFFSET(数出表_Excel【15時】!$A$1,A189+3,D189-1),"")</f>
        <v/>
      </c>
      <c r="G189" t="str">
        <f ca="1">IF(D189&lt;&gt;"",
IF(AND(OFFSET(数出表_Excel【15時】!$A$1,A189+3,D189)&lt;&gt;"",OFFSET(数出表_Excel【15時】!$A$1,A189+3,D189)&lt;&gt;0),
OFFSET(数出表_Excel【15時】!$A$1,A189+3,D189),""),"")</f>
        <v/>
      </c>
      <c r="H189" s="209" t="str">
        <f t="array" aca="1" ref="H189" ca="1">IF(B189&lt;&gt;"",
IFERROR(MATCH(TRUE,ISNUMBER(INDIRECT("数出表_Excel【15時】!"&amp;SUBSTITUTE(ADDRESS(1,D189+2,4),"1","")&amp;(A189+4)&amp;":ZZ"&amp;(A189+4))),0)+D189+1,""),"")</f>
        <v/>
      </c>
      <c r="I189" t="str">
        <f ca="1">IF(H189&lt;&gt;"",
OFFSET(数出表_Excel【15時】!$A$1,2,H189-1)
&amp;IFERROR(OFFSET(数出表_Excel【15時】!$A$1,3,H189-1),"")
&amp;IFERROR(OFFSET(数出表_Excel【15時】!$A$1,4,H189-1),""),"")</f>
        <v/>
      </c>
      <c r="J189" t="str">
        <f ca="1">IF(H189&lt;&gt;"",
OFFSET(数出表_Excel【15時】!$A$1,A189+3,H189-1),"")</f>
        <v/>
      </c>
      <c r="K189" t="str">
        <f ca="1">IF(H189&lt;&gt;"",
IF(AND(OFFSET(数出表_Excel【15時】!$A$1,A189+3,H189)&lt;&gt;"",OFFSET(数出表_Excel【15時】!$A$1,A189+3,H189)&lt;&gt;0),
OFFSET(数出表_Excel【15時】!$A$1,A189+3,H189),""),"")</f>
        <v/>
      </c>
      <c r="L189" s="209" t="str">
        <f t="array" aca="1" ref="L189" ca="1">IF(B189&lt;&gt;"",
IFERROR(MATCH(TRUE,ISNUMBER(INDIRECT("数出表_Excel【15時】!"&amp;SUBSTITUTE(ADDRESS(1,H189+2,4),"1","")&amp;(A189+4)&amp;":ZZ"&amp;(A189+4))),0)+H189+1,""),"")</f>
        <v/>
      </c>
      <c r="M189" t="str">
        <f ca="1">IF(L189&lt;&gt;"",
OFFSET(数出表_Excel【15時】!$A$1,2,L189-1)
&amp;IFERROR(OFFSET(数出表_Excel【15時】!$A$1,3,L189-1),"")
&amp;IFERROR(OFFSET(数出表_Excel【15時】!$A$1,4,L189-1),""),"")</f>
        <v/>
      </c>
      <c r="N189" t="str">
        <f ca="1">IF(L189&lt;&gt;"",
OFFSET(数出表_Excel【15時】!$A$1,A189+3,L189-1),"")</f>
        <v/>
      </c>
      <c r="O189" t="str">
        <f ca="1">IF(L189&lt;&gt;"",
IF(AND(OFFSET(数出表_Excel【15時】!$A$1,A189+3,L189)&lt;&gt;"",OFFSET(数出表_Excel【15時】!$A$1,A189+3,L189)&lt;&gt;0),
OFFSET(数出表_Excel【15時】!$A$1,A189+3,L189),""),"")</f>
        <v/>
      </c>
    </row>
    <row r="190" spans="1:17">
      <c r="A190" t="str">
        <f t="shared" ca="1" si="2"/>
        <v/>
      </c>
      <c r="B190" t="str">
        <f t="array" aca="1" ref="B190" ca="1">IF(OR(COUNTIF(数出表_Excel【15時】!AO194,"*修正*"),COUNTIF(数出表_Excel【15時】!AO195,"*修正*")),
IF(ISEVEN(ROW()+4),INDIRECT("数出表_Excel【15時】!A"&amp;ROW()+4&amp;""),INDIRECT("数出表_Excel【15時】!A"&amp;ROW()+4-1&amp;"")),"")</f>
        <v/>
      </c>
      <c r="C190" t="str">
        <f t="array" aca="1" ref="C190" ca="1">IF(OR(COUNTIF(数出表_Excel【15時】!AO194,"*修正*"),COUNTIF(数出表_Excel【15時】!AO195,"*修正*")),
IF(ISEVEN(ROW()+4),INDIRECT("数出表_Excel【15時】!A"&amp;ROW()+4+1&amp;""),INDIRECT("数出表_Excel【15時】!A"&amp;ROW()+4&amp;"")),"")</f>
        <v/>
      </c>
      <c r="D190" s="209" t="str">
        <f t="array" aca="1" ref="D190" ca="1">IF(B190&lt;&gt;"",
IFERROR(MATCH(TRUE,ISNUMBER(INDIRECT("数出表_Excel【15時】!B"&amp;(A190+4)&amp;":ZZ"&amp;(A190+4))),0)+1,""),"")</f>
        <v/>
      </c>
      <c r="E190" t="str">
        <f ca="1">IF(D190&lt;&gt;"",
OFFSET(数出表_Excel【15時】!$A$1,2,D190-1)
&amp;IFERROR(OFFSET(数出表_Excel【15時】!$A$1,3,D190-1),"")
&amp;IFERROR(OFFSET(数出表_Excel【15時】!$A$1,4,D190-1),""),"")</f>
        <v/>
      </c>
      <c r="F190" t="str">
        <f ca="1">IF(D190&lt;&gt;"",
OFFSET(数出表_Excel【15時】!$A$1,A190+3,D190-1),"")</f>
        <v/>
      </c>
      <c r="G190" t="str">
        <f ca="1">IF(D190&lt;&gt;"",
IF(AND(OFFSET(数出表_Excel【15時】!$A$1,A190+3,D190)&lt;&gt;"",OFFSET(数出表_Excel【15時】!$A$1,A190+3,D190)&lt;&gt;0),
OFFSET(数出表_Excel【15時】!$A$1,A190+3,D190),""),"")</f>
        <v/>
      </c>
      <c r="H190" s="209" t="str">
        <f t="array" aca="1" ref="H190" ca="1">IF(B190&lt;&gt;"",
IFERROR(MATCH(TRUE,ISNUMBER(INDIRECT("数出表_Excel【15時】!"&amp;SUBSTITUTE(ADDRESS(1,D190+2,4),"1","")&amp;(A190+4)&amp;":ZZ"&amp;(A190+4))),0)+D190+1,""),"")</f>
        <v/>
      </c>
      <c r="I190" t="str">
        <f ca="1">IF(H190&lt;&gt;"",
OFFSET(数出表_Excel【15時】!$A$1,2,H190-1)
&amp;IFERROR(OFFSET(数出表_Excel【15時】!$A$1,3,H190-1),"")
&amp;IFERROR(OFFSET(数出表_Excel【15時】!$A$1,4,H190-1),""),"")</f>
        <v/>
      </c>
      <c r="J190" t="str">
        <f ca="1">IF(H190&lt;&gt;"",
OFFSET(数出表_Excel【15時】!$A$1,A190+3,H190-1),"")</f>
        <v/>
      </c>
      <c r="K190" t="str">
        <f ca="1">IF(H190&lt;&gt;"",
IF(AND(OFFSET(数出表_Excel【15時】!$A$1,A190+3,H190)&lt;&gt;"",OFFSET(数出表_Excel【15時】!$A$1,A190+3,H190)&lt;&gt;0),
OFFSET(数出表_Excel【15時】!$A$1,A190+3,H190),""),"")</f>
        <v/>
      </c>
      <c r="L190" s="209" t="str">
        <f t="array" aca="1" ref="L190" ca="1">IF(B190&lt;&gt;"",
IFERROR(MATCH(TRUE,ISNUMBER(INDIRECT("数出表_Excel【15時】!"&amp;SUBSTITUTE(ADDRESS(1,H190+2,4),"1","")&amp;(A190+4)&amp;":ZZ"&amp;(A190+4))),0)+H190+1,""),"")</f>
        <v/>
      </c>
      <c r="M190" t="str">
        <f ca="1">IF(L190&lt;&gt;"",
OFFSET(数出表_Excel【15時】!$A$1,2,L190-1)
&amp;IFERROR(OFFSET(数出表_Excel【15時】!$A$1,3,L190-1),"")
&amp;IFERROR(OFFSET(数出表_Excel【15時】!$A$1,4,L190-1),""),"")</f>
        <v/>
      </c>
      <c r="N190" t="str">
        <f ca="1">IF(L190&lt;&gt;"",
OFFSET(数出表_Excel【15時】!$A$1,A190+3,L190-1),"")</f>
        <v/>
      </c>
      <c r="O190" t="str">
        <f ca="1">IF(L190&lt;&gt;"",
IF(AND(OFFSET(数出表_Excel【15時】!$A$1,A190+3,L190)&lt;&gt;"",OFFSET(数出表_Excel【15時】!$A$1,A190+3,L190)&lt;&gt;0),
OFFSET(数出表_Excel【15時】!$A$1,A190+3,L190),""),"")</f>
        <v/>
      </c>
      <c r="Q190" t="str">
        <f ca="1">IF(C190&lt;&gt;"",
IF(E190&lt;&gt;"",1,0)+IF(I190&lt;&gt;"",1,0)+IF(M190&lt;&gt;"",1,0),"")</f>
        <v/>
      </c>
    </row>
    <row r="191" spans="1:17">
      <c r="A191" t="str">
        <f t="shared" ca="1" si="2"/>
        <v/>
      </c>
      <c r="B191" t="str">
        <f t="array" aca="1" ref="B191" ca="1">IF(OR(COUNTIF(数出表_Excel【15時】!AO194,"*修正*"),COUNTIF(数出表_Excel【15時】!AO195,"*修正*")),
IF(ISEVEN(ROW()+4),INDIRECT("数出表_Excel【15時】!A"&amp;ROW()+4&amp;""),INDIRECT("数出表_Excel【15時】!A"&amp;ROW()+4-1&amp;"")),"")</f>
        <v/>
      </c>
      <c r="C191" t="str">
        <f t="array" aca="1" ref="C191" ca="1">IF(OR(COUNTIF(数出表_Excel【15時】!AO194,"*修正*"),COUNTIF(数出表_Excel【15時】!AO195,"*修正*")),
IF(ISEVEN(ROW()+4),INDIRECT("数出表_Excel【15時】!A"&amp;ROW()+4+1&amp;""),INDIRECT("数出表_Excel【15時】!A"&amp;ROW()+4&amp;"")),"")</f>
        <v/>
      </c>
      <c r="D191" s="209" t="str">
        <f t="array" aca="1" ref="D191" ca="1">IF(B191&lt;&gt;"",
IFERROR(MATCH(TRUE,ISNUMBER(INDIRECT("数出表_Excel【15時】!B"&amp;(A191+4)&amp;":ZZ"&amp;(A191+4))),0)+1,""),"")</f>
        <v/>
      </c>
      <c r="E191" t="str">
        <f ca="1">IF(D191&lt;&gt;"",
OFFSET(数出表_Excel【15時】!$A$1,2,D191-1)
&amp;IFERROR(OFFSET(数出表_Excel【15時】!$A$1,3,D191-1),"")
&amp;IFERROR(OFFSET(数出表_Excel【15時】!$A$1,4,D191-1),""),"")</f>
        <v/>
      </c>
      <c r="F191" t="str">
        <f ca="1">IF(D191&lt;&gt;"",
OFFSET(数出表_Excel【15時】!$A$1,A191+3,D191-1),"")</f>
        <v/>
      </c>
      <c r="G191" t="str">
        <f ca="1">IF(D191&lt;&gt;"",
IF(AND(OFFSET(数出表_Excel【15時】!$A$1,A191+3,D191)&lt;&gt;"",OFFSET(数出表_Excel【15時】!$A$1,A191+3,D191)&lt;&gt;0),
OFFSET(数出表_Excel【15時】!$A$1,A191+3,D191),""),"")</f>
        <v/>
      </c>
      <c r="H191" s="209" t="str">
        <f t="array" aca="1" ref="H191" ca="1">IF(B191&lt;&gt;"",
IFERROR(MATCH(TRUE,ISNUMBER(INDIRECT("数出表_Excel【15時】!"&amp;SUBSTITUTE(ADDRESS(1,D191+2,4),"1","")&amp;(A191+4)&amp;":ZZ"&amp;(A191+4))),0)+D191+1,""),"")</f>
        <v/>
      </c>
      <c r="I191" t="str">
        <f ca="1">IF(H191&lt;&gt;"",
OFFSET(数出表_Excel【15時】!$A$1,2,H191-1)
&amp;IFERROR(OFFSET(数出表_Excel【15時】!$A$1,3,H191-1),"")
&amp;IFERROR(OFFSET(数出表_Excel【15時】!$A$1,4,H191-1),""),"")</f>
        <v/>
      </c>
      <c r="J191" t="str">
        <f ca="1">IF(H191&lt;&gt;"",
OFFSET(数出表_Excel【15時】!$A$1,A191+3,H191-1),"")</f>
        <v/>
      </c>
      <c r="K191" t="str">
        <f ca="1">IF(H191&lt;&gt;"",
IF(AND(OFFSET(数出表_Excel【15時】!$A$1,A191+3,H191)&lt;&gt;"",OFFSET(数出表_Excel【15時】!$A$1,A191+3,H191)&lt;&gt;0),
OFFSET(数出表_Excel【15時】!$A$1,A191+3,H191),""),"")</f>
        <v/>
      </c>
      <c r="L191" s="209" t="str">
        <f t="array" aca="1" ref="L191" ca="1">IF(B191&lt;&gt;"",
IFERROR(MATCH(TRUE,ISNUMBER(INDIRECT("数出表_Excel【15時】!"&amp;SUBSTITUTE(ADDRESS(1,H191+2,4),"1","")&amp;(A191+4)&amp;":ZZ"&amp;(A191+4))),0)+H191+1,""),"")</f>
        <v/>
      </c>
      <c r="M191" t="str">
        <f ca="1">IF(L191&lt;&gt;"",
OFFSET(数出表_Excel【15時】!$A$1,2,L191-1)
&amp;IFERROR(OFFSET(数出表_Excel【15時】!$A$1,3,L191-1),"")
&amp;IFERROR(OFFSET(数出表_Excel【15時】!$A$1,4,L191-1),""),"")</f>
        <v/>
      </c>
      <c r="N191" t="str">
        <f ca="1">IF(L191&lt;&gt;"",
OFFSET(数出表_Excel【15時】!$A$1,A191+3,L191-1),"")</f>
        <v/>
      </c>
      <c r="O191" t="str">
        <f ca="1">IF(L191&lt;&gt;"",
IF(AND(OFFSET(数出表_Excel【15時】!$A$1,A191+3,L191)&lt;&gt;"",OFFSET(数出表_Excel【15時】!$A$1,A191+3,L191)&lt;&gt;0),
OFFSET(数出表_Excel【15時】!$A$1,A191+3,L191),""),"")</f>
        <v/>
      </c>
    </row>
    <row r="192" spans="1:17">
      <c r="A192" t="str">
        <f t="shared" ca="1" si="2"/>
        <v/>
      </c>
      <c r="B192" t="str">
        <f t="array" aca="1" ref="B192" ca="1">IF(OR(COUNTIF(数出表_Excel【15時】!AO196,"*修正*"),COUNTIF(数出表_Excel【15時】!AO197,"*修正*")),
IF(ISEVEN(ROW()+4),INDIRECT("数出表_Excel【15時】!A"&amp;ROW()+4&amp;""),INDIRECT("数出表_Excel【15時】!A"&amp;ROW()+4-1&amp;"")),"")</f>
        <v/>
      </c>
      <c r="C192" t="str">
        <f t="array" aca="1" ref="C192" ca="1">IF(OR(COUNTIF(数出表_Excel【15時】!AO196,"*修正*"),COUNTIF(数出表_Excel【15時】!AO197,"*修正*")),
IF(ISEVEN(ROW()+4),INDIRECT("数出表_Excel【15時】!A"&amp;ROW()+4+1&amp;""),INDIRECT("数出表_Excel【15時】!A"&amp;ROW()+4&amp;"")),"")</f>
        <v/>
      </c>
      <c r="D192" s="209" t="str">
        <f t="array" aca="1" ref="D192" ca="1">IF(B192&lt;&gt;"",
IFERROR(MATCH(TRUE,ISNUMBER(INDIRECT("数出表_Excel【15時】!B"&amp;(A192+4)&amp;":ZZ"&amp;(A192+4))),0)+1,""),"")</f>
        <v/>
      </c>
      <c r="E192" t="str">
        <f ca="1">IF(D192&lt;&gt;"",
OFFSET(数出表_Excel【15時】!$A$1,2,D192-1)
&amp;IFERROR(OFFSET(数出表_Excel【15時】!$A$1,3,D192-1),"")
&amp;IFERROR(OFFSET(数出表_Excel【15時】!$A$1,4,D192-1),""),"")</f>
        <v/>
      </c>
      <c r="F192" t="str">
        <f ca="1">IF(D192&lt;&gt;"",
OFFSET(数出表_Excel【15時】!$A$1,A192+3,D192-1),"")</f>
        <v/>
      </c>
      <c r="G192" t="str">
        <f ca="1">IF(D192&lt;&gt;"",
IF(AND(OFFSET(数出表_Excel【15時】!$A$1,A192+3,D192)&lt;&gt;"",OFFSET(数出表_Excel【15時】!$A$1,A192+3,D192)&lt;&gt;0),
OFFSET(数出表_Excel【15時】!$A$1,A192+3,D192),""),"")</f>
        <v/>
      </c>
      <c r="H192" s="209" t="str">
        <f t="array" aca="1" ref="H192" ca="1">IF(B192&lt;&gt;"",
IFERROR(MATCH(TRUE,ISNUMBER(INDIRECT("数出表_Excel【15時】!"&amp;SUBSTITUTE(ADDRESS(1,D192+2,4),"1","")&amp;(A192+4)&amp;":ZZ"&amp;(A192+4))),0)+D192+1,""),"")</f>
        <v/>
      </c>
      <c r="I192" t="str">
        <f ca="1">IF(H192&lt;&gt;"",
OFFSET(数出表_Excel【15時】!$A$1,2,H192-1)
&amp;IFERROR(OFFSET(数出表_Excel【15時】!$A$1,3,H192-1),"")
&amp;IFERROR(OFFSET(数出表_Excel【15時】!$A$1,4,H192-1),""),"")</f>
        <v/>
      </c>
      <c r="J192" t="str">
        <f ca="1">IF(H192&lt;&gt;"",
OFFSET(数出表_Excel【15時】!$A$1,A192+3,H192-1),"")</f>
        <v/>
      </c>
      <c r="K192" t="str">
        <f ca="1">IF(H192&lt;&gt;"",
IF(AND(OFFSET(数出表_Excel【15時】!$A$1,A192+3,H192)&lt;&gt;"",OFFSET(数出表_Excel【15時】!$A$1,A192+3,H192)&lt;&gt;0),
OFFSET(数出表_Excel【15時】!$A$1,A192+3,H192),""),"")</f>
        <v/>
      </c>
      <c r="L192" s="209" t="str">
        <f t="array" aca="1" ref="L192" ca="1">IF(B192&lt;&gt;"",
IFERROR(MATCH(TRUE,ISNUMBER(INDIRECT("数出表_Excel【15時】!"&amp;SUBSTITUTE(ADDRESS(1,H192+2,4),"1","")&amp;(A192+4)&amp;":ZZ"&amp;(A192+4))),0)+H192+1,""),"")</f>
        <v/>
      </c>
      <c r="M192" t="str">
        <f ca="1">IF(L192&lt;&gt;"",
OFFSET(数出表_Excel【15時】!$A$1,2,L192-1)
&amp;IFERROR(OFFSET(数出表_Excel【15時】!$A$1,3,L192-1),"")
&amp;IFERROR(OFFSET(数出表_Excel【15時】!$A$1,4,L192-1),""),"")</f>
        <v/>
      </c>
      <c r="N192" t="str">
        <f ca="1">IF(L192&lt;&gt;"",
OFFSET(数出表_Excel【15時】!$A$1,A192+3,L192-1),"")</f>
        <v/>
      </c>
      <c r="O192" t="str">
        <f ca="1">IF(L192&lt;&gt;"",
IF(AND(OFFSET(数出表_Excel【15時】!$A$1,A192+3,L192)&lt;&gt;"",OFFSET(数出表_Excel【15時】!$A$1,A192+3,L192)&lt;&gt;0),
OFFSET(数出表_Excel【15時】!$A$1,A192+3,L192),""),"")</f>
        <v/>
      </c>
      <c r="Q192" t="str">
        <f ca="1">IF(C192&lt;&gt;"",
IF(E192&lt;&gt;"",1,0)+IF(I192&lt;&gt;"",1,0)+IF(M192&lt;&gt;"",1,0),"")</f>
        <v/>
      </c>
    </row>
    <row r="193" spans="1:17">
      <c r="A193" t="str">
        <f t="shared" ca="1" si="2"/>
        <v/>
      </c>
      <c r="B193" t="str">
        <f t="array" aca="1" ref="B193" ca="1">IF(OR(COUNTIF(数出表_Excel【15時】!AO196,"*修正*"),COUNTIF(数出表_Excel【15時】!AO197,"*修正*")),
IF(ISEVEN(ROW()+4),INDIRECT("数出表_Excel【15時】!A"&amp;ROW()+4&amp;""),INDIRECT("数出表_Excel【15時】!A"&amp;ROW()+4-1&amp;"")),"")</f>
        <v/>
      </c>
      <c r="C193" t="str">
        <f t="array" aca="1" ref="C193" ca="1">IF(OR(COUNTIF(数出表_Excel【15時】!AO196,"*修正*"),COUNTIF(数出表_Excel【15時】!AO197,"*修正*")),
IF(ISEVEN(ROW()+4),INDIRECT("数出表_Excel【15時】!A"&amp;ROW()+4+1&amp;""),INDIRECT("数出表_Excel【15時】!A"&amp;ROW()+4&amp;"")),"")</f>
        <v/>
      </c>
      <c r="D193" s="209" t="str">
        <f t="array" aca="1" ref="D193" ca="1">IF(B193&lt;&gt;"",
IFERROR(MATCH(TRUE,ISNUMBER(INDIRECT("数出表_Excel【15時】!B"&amp;(A193+4)&amp;":ZZ"&amp;(A193+4))),0)+1,""),"")</f>
        <v/>
      </c>
      <c r="E193" t="str">
        <f ca="1">IF(D193&lt;&gt;"",
OFFSET(数出表_Excel【15時】!$A$1,2,D193-1)
&amp;IFERROR(OFFSET(数出表_Excel【15時】!$A$1,3,D193-1),"")
&amp;IFERROR(OFFSET(数出表_Excel【15時】!$A$1,4,D193-1),""),"")</f>
        <v/>
      </c>
      <c r="F193" t="str">
        <f ca="1">IF(D193&lt;&gt;"",
OFFSET(数出表_Excel【15時】!$A$1,A193+3,D193-1),"")</f>
        <v/>
      </c>
      <c r="G193" t="str">
        <f ca="1">IF(D193&lt;&gt;"",
IF(AND(OFFSET(数出表_Excel【15時】!$A$1,A193+3,D193)&lt;&gt;"",OFFSET(数出表_Excel【15時】!$A$1,A193+3,D193)&lt;&gt;0),
OFFSET(数出表_Excel【15時】!$A$1,A193+3,D193),""),"")</f>
        <v/>
      </c>
      <c r="H193" s="209" t="str">
        <f t="array" aca="1" ref="H193" ca="1">IF(B193&lt;&gt;"",
IFERROR(MATCH(TRUE,ISNUMBER(INDIRECT("数出表_Excel【15時】!"&amp;SUBSTITUTE(ADDRESS(1,D193+2,4),"1","")&amp;(A193+4)&amp;":ZZ"&amp;(A193+4))),0)+D193+1,""),"")</f>
        <v/>
      </c>
      <c r="I193" t="str">
        <f ca="1">IF(H193&lt;&gt;"",
OFFSET(数出表_Excel【15時】!$A$1,2,H193-1)
&amp;IFERROR(OFFSET(数出表_Excel【15時】!$A$1,3,H193-1),"")
&amp;IFERROR(OFFSET(数出表_Excel【15時】!$A$1,4,H193-1),""),"")</f>
        <v/>
      </c>
      <c r="J193" t="str">
        <f ca="1">IF(H193&lt;&gt;"",
OFFSET(数出表_Excel【15時】!$A$1,A193+3,H193-1),"")</f>
        <v/>
      </c>
      <c r="K193" t="str">
        <f ca="1">IF(H193&lt;&gt;"",
IF(AND(OFFSET(数出表_Excel【15時】!$A$1,A193+3,H193)&lt;&gt;"",OFFSET(数出表_Excel【15時】!$A$1,A193+3,H193)&lt;&gt;0),
OFFSET(数出表_Excel【15時】!$A$1,A193+3,H193),""),"")</f>
        <v/>
      </c>
      <c r="L193" s="209" t="str">
        <f t="array" aca="1" ref="L193" ca="1">IF(B193&lt;&gt;"",
IFERROR(MATCH(TRUE,ISNUMBER(INDIRECT("数出表_Excel【15時】!"&amp;SUBSTITUTE(ADDRESS(1,H193+2,4),"1","")&amp;(A193+4)&amp;":ZZ"&amp;(A193+4))),0)+H193+1,""),"")</f>
        <v/>
      </c>
      <c r="M193" t="str">
        <f ca="1">IF(L193&lt;&gt;"",
OFFSET(数出表_Excel【15時】!$A$1,2,L193-1)
&amp;IFERROR(OFFSET(数出表_Excel【15時】!$A$1,3,L193-1),"")
&amp;IFERROR(OFFSET(数出表_Excel【15時】!$A$1,4,L193-1),""),"")</f>
        <v/>
      </c>
      <c r="N193" t="str">
        <f ca="1">IF(L193&lt;&gt;"",
OFFSET(数出表_Excel【15時】!$A$1,A193+3,L193-1),"")</f>
        <v/>
      </c>
      <c r="O193" t="str">
        <f ca="1">IF(L193&lt;&gt;"",
IF(AND(OFFSET(数出表_Excel【15時】!$A$1,A193+3,L193)&lt;&gt;"",OFFSET(数出表_Excel【15時】!$A$1,A193+3,L193)&lt;&gt;0),
OFFSET(数出表_Excel【15時】!$A$1,A193+3,L193),""),"")</f>
        <v/>
      </c>
    </row>
    <row r="194" spans="1:17">
      <c r="A194" t="str">
        <f t="shared" ref="A194:A257" ca="1" si="3">IF(B194&lt;&gt;"",
ROW(),"")</f>
        <v/>
      </c>
      <c r="B194" t="str">
        <f t="array" aca="1" ref="B194" ca="1">IF(OR(COUNTIF(数出表_Excel【15時】!AO198,"*修正*"),COUNTIF(数出表_Excel【15時】!AO199,"*修正*")),
IF(ISEVEN(ROW()+4),INDIRECT("数出表_Excel【15時】!A"&amp;ROW()+4&amp;""),INDIRECT("数出表_Excel【15時】!A"&amp;ROW()+4-1&amp;"")),"")</f>
        <v/>
      </c>
      <c r="C194" t="str">
        <f t="array" aca="1" ref="C194" ca="1">IF(OR(COUNTIF(数出表_Excel【15時】!AO198,"*修正*"),COUNTIF(数出表_Excel【15時】!AO199,"*修正*")),
IF(ISEVEN(ROW()+4),INDIRECT("数出表_Excel【15時】!A"&amp;ROW()+4+1&amp;""),INDIRECT("数出表_Excel【15時】!A"&amp;ROW()+4&amp;"")),"")</f>
        <v/>
      </c>
      <c r="D194" s="209" t="str">
        <f t="array" aca="1" ref="D194" ca="1">IF(B194&lt;&gt;"",
IFERROR(MATCH(TRUE,ISNUMBER(INDIRECT("数出表_Excel【15時】!B"&amp;(A194+4)&amp;":ZZ"&amp;(A194+4))),0)+1,""),"")</f>
        <v/>
      </c>
      <c r="E194" t="str">
        <f ca="1">IF(D194&lt;&gt;"",
OFFSET(数出表_Excel【15時】!$A$1,2,D194-1)
&amp;IFERROR(OFFSET(数出表_Excel【15時】!$A$1,3,D194-1),"")
&amp;IFERROR(OFFSET(数出表_Excel【15時】!$A$1,4,D194-1),""),"")</f>
        <v/>
      </c>
      <c r="F194" t="str">
        <f ca="1">IF(D194&lt;&gt;"",
OFFSET(数出表_Excel【15時】!$A$1,A194+3,D194-1),"")</f>
        <v/>
      </c>
      <c r="G194" t="str">
        <f ca="1">IF(D194&lt;&gt;"",
IF(AND(OFFSET(数出表_Excel【15時】!$A$1,A194+3,D194)&lt;&gt;"",OFFSET(数出表_Excel【15時】!$A$1,A194+3,D194)&lt;&gt;0),
OFFSET(数出表_Excel【15時】!$A$1,A194+3,D194),""),"")</f>
        <v/>
      </c>
      <c r="H194" s="209" t="str">
        <f t="array" aca="1" ref="H194" ca="1">IF(B194&lt;&gt;"",
IFERROR(MATCH(TRUE,ISNUMBER(INDIRECT("数出表_Excel【15時】!"&amp;SUBSTITUTE(ADDRESS(1,D194+2,4),"1","")&amp;(A194+4)&amp;":ZZ"&amp;(A194+4))),0)+D194+1,""),"")</f>
        <v/>
      </c>
      <c r="I194" t="str">
        <f ca="1">IF(H194&lt;&gt;"",
OFFSET(数出表_Excel【15時】!$A$1,2,H194-1)
&amp;IFERROR(OFFSET(数出表_Excel【15時】!$A$1,3,H194-1),"")
&amp;IFERROR(OFFSET(数出表_Excel【15時】!$A$1,4,H194-1),""),"")</f>
        <v/>
      </c>
      <c r="J194" t="str">
        <f ca="1">IF(H194&lt;&gt;"",
OFFSET(数出表_Excel【15時】!$A$1,A194+3,H194-1),"")</f>
        <v/>
      </c>
      <c r="K194" t="str">
        <f ca="1">IF(H194&lt;&gt;"",
IF(AND(OFFSET(数出表_Excel【15時】!$A$1,A194+3,H194)&lt;&gt;"",OFFSET(数出表_Excel【15時】!$A$1,A194+3,H194)&lt;&gt;0),
OFFSET(数出表_Excel【15時】!$A$1,A194+3,H194),""),"")</f>
        <v/>
      </c>
      <c r="L194" s="209" t="str">
        <f t="array" aca="1" ref="L194" ca="1">IF(B194&lt;&gt;"",
IFERROR(MATCH(TRUE,ISNUMBER(INDIRECT("数出表_Excel【15時】!"&amp;SUBSTITUTE(ADDRESS(1,H194+2,4),"1","")&amp;(A194+4)&amp;":ZZ"&amp;(A194+4))),0)+H194+1,""),"")</f>
        <v/>
      </c>
      <c r="M194" t="str">
        <f ca="1">IF(L194&lt;&gt;"",
OFFSET(数出表_Excel【15時】!$A$1,2,L194-1)
&amp;IFERROR(OFFSET(数出表_Excel【15時】!$A$1,3,L194-1),"")
&amp;IFERROR(OFFSET(数出表_Excel【15時】!$A$1,4,L194-1),""),"")</f>
        <v/>
      </c>
      <c r="N194" t="str">
        <f ca="1">IF(L194&lt;&gt;"",
OFFSET(数出表_Excel【15時】!$A$1,A194+3,L194-1),"")</f>
        <v/>
      </c>
      <c r="O194" t="str">
        <f ca="1">IF(L194&lt;&gt;"",
IF(AND(OFFSET(数出表_Excel【15時】!$A$1,A194+3,L194)&lt;&gt;"",OFFSET(数出表_Excel【15時】!$A$1,A194+3,L194)&lt;&gt;0),
OFFSET(数出表_Excel【15時】!$A$1,A194+3,L194),""),"")</f>
        <v/>
      </c>
      <c r="Q194" t="str">
        <f ca="1">IF(C194&lt;&gt;"",
IF(E194&lt;&gt;"",1,0)+IF(I194&lt;&gt;"",1,0)+IF(M194&lt;&gt;"",1,0),"")</f>
        <v/>
      </c>
    </row>
    <row r="195" spans="1:17">
      <c r="A195" t="str">
        <f t="shared" ca="1" si="3"/>
        <v/>
      </c>
      <c r="B195" t="str">
        <f t="array" aca="1" ref="B195" ca="1">IF(OR(COUNTIF(数出表_Excel【15時】!AO198,"*修正*"),COUNTIF(数出表_Excel【15時】!AO199,"*修正*")),
IF(ISEVEN(ROW()+4),INDIRECT("数出表_Excel【15時】!A"&amp;ROW()+4&amp;""),INDIRECT("数出表_Excel【15時】!A"&amp;ROW()+4-1&amp;"")),"")</f>
        <v/>
      </c>
      <c r="C195" t="str">
        <f t="array" aca="1" ref="C195" ca="1">IF(OR(COUNTIF(数出表_Excel【15時】!AO198,"*修正*"),COUNTIF(数出表_Excel【15時】!AO199,"*修正*")),
IF(ISEVEN(ROW()+4),INDIRECT("数出表_Excel【15時】!A"&amp;ROW()+4+1&amp;""),INDIRECT("数出表_Excel【15時】!A"&amp;ROW()+4&amp;"")),"")</f>
        <v/>
      </c>
      <c r="D195" s="209" t="str">
        <f t="array" aca="1" ref="D195" ca="1">IF(B195&lt;&gt;"",
IFERROR(MATCH(TRUE,ISNUMBER(INDIRECT("数出表_Excel【15時】!B"&amp;(A195+4)&amp;":ZZ"&amp;(A195+4))),0)+1,""),"")</f>
        <v/>
      </c>
      <c r="E195" t="str">
        <f ca="1">IF(D195&lt;&gt;"",
OFFSET(数出表_Excel【15時】!$A$1,2,D195-1)
&amp;IFERROR(OFFSET(数出表_Excel【15時】!$A$1,3,D195-1),"")
&amp;IFERROR(OFFSET(数出表_Excel【15時】!$A$1,4,D195-1),""),"")</f>
        <v/>
      </c>
      <c r="F195" t="str">
        <f ca="1">IF(D195&lt;&gt;"",
OFFSET(数出表_Excel【15時】!$A$1,A195+3,D195-1),"")</f>
        <v/>
      </c>
      <c r="G195" t="str">
        <f ca="1">IF(D195&lt;&gt;"",
IF(AND(OFFSET(数出表_Excel【15時】!$A$1,A195+3,D195)&lt;&gt;"",OFFSET(数出表_Excel【15時】!$A$1,A195+3,D195)&lt;&gt;0),
OFFSET(数出表_Excel【15時】!$A$1,A195+3,D195),""),"")</f>
        <v/>
      </c>
      <c r="H195" s="209" t="str">
        <f t="array" aca="1" ref="H195" ca="1">IF(B195&lt;&gt;"",
IFERROR(MATCH(TRUE,ISNUMBER(INDIRECT("数出表_Excel【15時】!"&amp;SUBSTITUTE(ADDRESS(1,D195+2,4),"1","")&amp;(A195+4)&amp;":ZZ"&amp;(A195+4))),0)+D195+1,""),"")</f>
        <v/>
      </c>
      <c r="I195" t="str">
        <f ca="1">IF(H195&lt;&gt;"",
OFFSET(数出表_Excel【15時】!$A$1,2,H195-1)
&amp;IFERROR(OFFSET(数出表_Excel【15時】!$A$1,3,H195-1),"")
&amp;IFERROR(OFFSET(数出表_Excel【15時】!$A$1,4,H195-1),""),"")</f>
        <v/>
      </c>
      <c r="J195" t="str">
        <f ca="1">IF(H195&lt;&gt;"",
OFFSET(数出表_Excel【15時】!$A$1,A195+3,H195-1),"")</f>
        <v/>
      </c>
      <c r="K195" t="str">
        <f ca="1">IF(H195&lt;&gt;"",
IF(AND(OFFSET(数出表_Excel【15時】!$A$1,A195+3,H195)&lt;&gt;"",OFFSET(数出表_Excel【15時】!$A$1,A195+3,H195)&lt;&gt;0),
OFFSET(数出表_Excel【15時】!$A$1,A195+3,H195),""),"")</f>
        <v/>
      </c>
      <c r="L195" s="209" t="str">
        <f t="array" aca="1" ref="L195" ca="1">IF(B195&lt;&gt;"",
IFERROR(MATCH(TRUE,ISNUMBER(INDIRECT("数出表_Excel【15時】!"&amp;SUBSTITUTE(ADDRESS(1,H195+2,4),"1","")&amp;(A195+4)&amp;":ZZ"&amp;(A195+4))),0)+H195+1,""),"")</f>
        <v/>
      </c>
      <c r="M195" t="str">
        <f ca="1">IF(L195&lt;&gt;"",
OFFSET(数出表_Excel【15時】!$A$1,2,L195-1)
&amp;IFERROR(OFFSET(数出表_Excel【15時】!$A$1,3,L195-1),"")
&amp;IFERROR(OFFSET(数出表_Excel【15時】!$A$1,4,L195-1),""),"")</f>
        <v/>
      </c>
      <c r="N195" t="str">
        <f ca="1">IF(L195&lt;&gt;"",
OFFSET(数出表_Excel【15時】!$A$1,A195+3,L195-1),"")</f>
        <v/>
      </c>
      <c r="O195" t="str">
        <f ca="1">IF(L195&lt;&gt;"",
IF(AND(OFFSET(数出表_Excel【15時】!$A$1,A195+3,L195)&lt;&gt;"",OFFSET(数出表_Excel【15時】!$A$1,A195+3,L195)&lt;&gt;0),
OFFSET(数出表_Excel【15時】!$A$1,A195+3,L195),""),"")</f>
        <v/>
      </c>
    </row>
    <row r="196" spans="1:17">
      <c r="A196" t="str">
        <f t="shared" ca="1" si="3"/>
        <v/>
      </c>
      <c r="B196" t="str">
        <f t="array" aca="1" ref="B196" ca="1">IF(OR(COUNTIF(数出表_Excel【15時】!AO200,"*修正*"),COUNTIF(数出表_Excel【15時】!AO201,"*修正*")),
IF(ISEVEN(ROW()+4),INDIRECT("数出表_Excel【15時】!A"&amp;ROW()+4&amp;""),INDIRECT("数出表_Excel【15時】!A"&amp;ROW()+4-1&amp;"")),"")</f>
        <v/>
      </c>
      <c r="C196" t="str">
        <f t="array" aca="1" ref="C196" ca="1">IF(OR(COUNTIF(数出表_Excel【15時】!AO200,"*修正*"),COUNTIF(数出表_Excel【15時】!AO201,"*修正*")),
IF(ISEVEN(ROW()+4),INDIRECT("数出表_Excel【15時】!A"&amp;ROW()+4+1&amp;""),INDIRECT("数出表_Excel【15時】!A"&amp;ROW()+4&amp;"")),"")</f>
        <v/>
      </c>
      <c r="D196" s="209" t="str">
        <f t="array" aca="1" ref="D196" ca="1">IF(B196&lt;&gt;"",
IFERROR(MATCH(TRUE,ISNUMBER(INDIRECT("数出表_Excel【15時】!B"&amp;(A196+4)&amp;":ZZ"&amp;(A196+4))),0)+1,""),"")</f>
        <v/>
      </c>
      <c r="E196" t="str">
        <f ca="1">IF(D196&lt;&gt;"",
OFFSET(数出表_Excel【15時】!$A$1,2,D196-1)
&amp;IFERROR(OFFSET(数出表_Excel【15時】!$A$1,3,D196-1),"")
&amp;IFERROR(OFFSET(数出表_Excel【15時】!$A$1,4,D196-1),""),"")</f>
        <v/>
      </c>
      <c r="F196" t="str">
        <f ca="1">IF(D196&lt;&gt;"",
OFFSET(数出表_Excel【15時】!$A$1,A196+3,D196-1),"")</f>
        <v/>
      </c>
      <c r="G196" t="str">
        <f ca="1">IF(D196&lt;&gt;"",
IF(AND(OFFSET(数出表_Excel【15時】!$A$1,A196+3,D196)&lt;&gt;"",OFFSET(数出表_Excel【15時】!$A$1,A196+3,D196)&lt;&gt;0),
OFFSET(数出表_Excel【15時】!$A$1,A196+3,D196),""),"")</f>
        <v/>
      </c>
      <c r="H196" s="209" t="str">
        <f t="array" aca="1" ref="H196" ca="1">IF(B196&lt;&gt;"",
IFERROR(MATCH(TRUE,ISNUMBER(INDIRECT("数出表_Excel【15時】!"&amp;SUBSTITUTE(ADDRESS(1,D196+2,4),"1","")&amp;(A196+4)&amp;":ZZ"&amp;(A196+4))),0)+D196+1,""),"")</f>
        <v/>
      </c>
      <c r="I196" t="str">
        <f ca="1">IF(H196&lt;&gt;"",
OFFSET(数出表_Excel【15時】!$A$1,2,H196-1)
&amp;IFERROR(OFFSET(数出表_Excel【15時】!$A$1,3,H196-1),"")
&amp;IFERROR(OFFSET(数出表_Excel【15時】!$A$1,4,H196-1),""),"")</f>
        <v/>
      </c>
      <c r="J196" t="str">
        <f ca="1">IF(H196&lt;&gt;"",
OFFSET(数出表_Excel【15時】!$A$1,A196+3,H196-1),"")</f>
        <v/>
      </c>
      <c r="K196" t="str">
        <f ca="1">IF(H196&lt;&gt;"",
IF(AND(OFFSET(数出表_Excel【15時】!$A$1,A196+3,H196)&lt;&gt;"",OFFSET(数出表_Excel【15時】!$A$1,A196+3,H196)&lt;&gt;0),
OFFSET(数出表_Excel【15時】!$A$1,A196+3,H196),""),"")</f>
        <v/>
      </c>
      <c r="L196" s="209" t="str">
        <f t="array" aca="1" ref="L196" ca="1">IF(B196&lt;&gt;"",
IFERROR(MATCH(TRUE,ISNUMBER(INDIRECT("数出表_Excel【15時】!"&amp;SUBSTITUTE(ADDRESS(1,H196+2,4),"1","")&amp;(A196+4)&amp;":ZZ"&amp;(A196+4))),0)+H196+1,""),"")</f>
        <v/>
      </c>
      <c r="M196" t="str">
        <f ca="1">IF(L196&lt;&gt;"",
OFFSET(数出表_Excel【15時】!$A$1,2,L196-1)
&amp;IFERROR(OFFSET(数出表_Excel【15時】!$A$1,3,L196-1),"")
&amp;IFERROR(OFFSET(数出表_Excel【15時】!$A$1,4,L196-1),""),"")</f>
        <v/>
      </c>
      <c r="N196" t="str">
        <f ca="1">IF(L196&lt;&gt;"",
OFFSET(数出表_Excel【15時】!$A$1,A196+3,L196-1),"")</f>
        <v/>
      </c>
      <c r="O196" t="str">
        <f ca="1">IF(L196&lt;&gt;"",
IF(AND(OFFSET(数出表_Excel【15時】!$A$1,A196+3,L196)&lt;&gt;"",OFFSET(数出表_Excel【15時】!$A$1,A196+3,L196)&lt;&gt;0),
OFFSET(数出表_Excel【15時】!$A$1,A196+3,L196),""),"")</f>
        <v/>
      </c>
      <c r="Q196" t="str">
        <f ca="1">IF(C196&lt;&gt;"",
IF(E196&lt;&gt;"",1,0)+IF(I196&lt;&gt;"",1,0)+IF(M196&lt;&gt;"",1,0),"")</f>
        <v/>
      </c>
    </row>
    <row r="197" spans="1:17">
      <c r="A197" t="str">
        <f t="shared" ca="1" si="3"/>
        <v/>
      </c>
      <c r="B197" t="str">
        <f t="array" aca="1" ref="B197" ca="1">IF(OR(COUNTIF(数出表_Excel【15時】!AO200,"*修正*"),COUNTIF(数出表_Excel【15時】!AO201,"*修正*")),
IF(ISEVEN(ROW()+4),INDIRECT("数出表_Excel【15時】!A"&amp;ROW()+4&amp;""),INDIRECT("数出表_Excel【15時】!A"&amp;ROW()+4-1&amp;"")),"")</f>
        <v/>
      </c>
      <c r="C197" t="str">
        <f t="array" aca="1" ref="C197" ca="1">IF(OR(COUNTIF(数出表_Excel【15時】!AO200,"*修正*"),COUNTIF(数出表_Excel【15時】!AO201,"*修正*")),
IF(ISEVEN(ROW()+4),INDIRECT("数出表_Excel【15時】!A"&amp;ROW()+4+1&amp;""),INDIRECT("数出表_Excel【15時】!A"&amp;ROW()+4&amp;"")),"")</f>
        <v/>
      </c>
      <c r="D197" s="209" t="str">
        <f t="array" aca="1" ref="D197" ca="1">IF(B197&lt;&gt;"",
IFERROR(MATCH(TRUE,ISNUMBER(INDIRECT("数出表_Excel【15時】!B"&amp;(A197+4)&amp;":ZZ"&amp;(A197+4))),0)+1,""),"")</f>
        <v/>
      </c>
      <c r="E197" t="str">
        <f ca="1">IF(D197&lt;&gt;"",
OFFSET(数出表_Excel【15時】!$A$1,2,D197-1)
&amp;IFERROR(OFFSET(数出表_Excel【15時】!$A$1,3,D197-1),"")
&amp;IFERROR(OFFSET(数出表_Excel【15時】!$A$1,4,D197-1),""),"")</f>
        <v/>
      </c>
      <c r="F197" t="str">
        <f ca="1">IF(D197&lt;&gt;"",
OFFSET(数出表_Excel【15時】!$A$1,A197+3,D197-1),"")</f>
        <v/>
      </c>
      <c r="G197" t="str">
        <f ca="1">IF(D197&lt;&gt;"",
IF(AND(OFFSET(数出表_Excel【15時】!$A$1,A197+3,D197)&lt;&gt;"",OFFSET(数出表_Excel【15時】!$A$1,A197+3,D197)&lt;&gt;0),
OFFSET(数出表_Excel【15時】!$A$1,A197+3,D197),""),"")</f>
        <v/>
      </c>
      <c r="H197" s="209" t="str">
        <f t="array" aca="1" ref="H197" ca="1">IF(B197&lt;&gt;"",
IFERROR(MATCH(TRUE,ISNUMBER(INDIRECT("数出表_Excel【15時】!"&amp;SUBSTITUTE(ADDRESS(1,D197+2,4),"1","")&amp;(A197+4)&amp;":ZZ"&amp;(A197+4))),0)+D197+1,""),"")</f>
        <v/>
      </c>
      <c r="I197" t="str">
        <f ca="1">IF(H197&lt;&gt;"",
OFFSET(数出表_Excel【15時】!$A$1,2,H197-1)
&amp;IFERROR(OFFSET(数出表_Excel【15時】!$A$1,3,H197-1),"")
&amp;IFERROR(OFFSET(数出表_Excel【15時】!$A$1,4,H197-1),""),"")</f>
        <v/>
      </c>
      <c r="J197" t="str">
        <f ca="1">IF(H197&lt;&gt;"",
OFFSET(数出表_Excel【15時】!$A$1,A197+3,H197-1),"")</f>
        <v/>
      </c>
      <c r="K197" t="str">
        <f ca="1">IF(H197&lt;&gt;"",
IF(AND(OFFSET(数出表_Excel【15時】!$A$1,A197+3,H197)&lt;&gt;"",OFFSET(数出表_Excel【15時】!$A$1,A197+3,H197)&lt;&gt;0),
OFFSET(数出表_Excel【15時】!$A$1,A197+3,H197),""),"")</f>
        <v/>
      </c>
      <c r="L197" s="209" t="str">
        <f t="array" aca="1" ref="L197" ca="1">IF(B197&lt;&gt;"",
IFERROR(MATCH(TRUE,ISNUMBER(INDIRECT("数出表_Excel【15時】!"&amp;SUBSTITUTE(ADDRESS(1,H197+2,4),"1","")&amp;(A197+4)&amp;":ZZ"&amp;(A197+4))),0)+H197+1,""),"")</f>
        <v/>
      </c>
      <c r="M197" t="str">
        <f ca="1">IF(L197&lt;&gt;"",
OFFSET(数出表_Excel【15時】!$A$1,2,L197-1)
&amp;IFERROR(OFFSET(数出表_Excel【15時】!$A$1,3,L197-1),"")
&amp;IFERROR(OFFSET(数出表_Excel【15時】!$A$1,4,L197-1),""),"")</f>
        <v/>
      </c>
      <c r="N197" t="str">
        <f ca="1">IF(L197&lt;&gt;"",
OFFSET(数出表_Excel【15時】!$A$1,A197+3,L197-1),"")</f>
        <v/>
      </c>
      <c r="O197" t="str">
        <f ca="1">IF(L197&lt;&gt;"",
IF(AND(OFFSET(数出表_Excel【15時】!$A$1,A197+3,L197)&lt;&gt;"",OFFSET(数出表_Excel【15時】!$A$1,A197+3,L197)&lt;&gt;0),
OFFSET(数出表_Excel【15時】!$A$1,A197+3,L197),""),"")</f>
        <v/>
      </c>
    </row>
    <row r="198" spans="1:17">
      <c r="A198" t="str">
        <f t="shared" ca="1" si="3"/>
        <v/>
      </c>
      <c r="B198" t="str">
        <f t="array" aca="1" ref="B198" ca="1">IF(OR(COUNTIF(数出表_Excel【15時】!AO202,"*修正*"),COUNTIF(数出表_Excel【15時】!AO203,"*修正*")),
IF(ISEVEN(ROW()+4),INDIRECT("数出表_Excel【15時】!A"&amp;ROW()+4&amp;""),INDIRECT("数出表_Excel【15時】!A"&amp;ROW()+4-1&amp;"")),"")</f>
        <v/>
      </c>
      <c r="C198" t="str">
        <f t="array" aca="1" ref="C198" ca="1">IF(OR(COUNTIF(数出表_Excel【15時】!AO202,"*修正*"),COUNTIF(数出表_Excel【15時】!AO203,"*修正*")),
IF(ISEVEN(ROW()+4),INDIRECT("数出表_Excel【15時】!A"&amp;ROW()+4+1&amp;""),INDIRECT("数出表_Excel【15時】!A"&amp;ROW()+4&amp;"")),"")</f>
        <v/>
      </c>
      <c r="D198" s="209" t="str">
        <f t="array" aca="1" ref="D198" ca="1">IF(B198&lt;&gt;"",
IFERROR(MATCH(TRUE,ISNUMBER(INDIRECT("数出表_Excel【15時】!B"&amp;(A198+4)&amp;":ZZ"&amp;(A198+4))),0)+1,""),"")</f>
        <v/>
      </c>
      <c r="E198" t="str">
        <f ca="1">IF(D198&lt;&gt;"",
OFFSET(数出表_Excel【15時】!$A$1,2,D198-1)
&amp;IFERROR(OFFSET(数出表_Excel【15時】!$A$1,3,D198-1),"")
&amp;IFERROR(OFFSET(数出表_Excel【15時】!$A$1,4,D198-1),""),"")</f>
        <v/>
      </c>
      <c r="F198" t="str">
        <f ca="1">IF(D198&lt;&gt;"",
OFFSET(数出表_Excel【15時】!$A$1,A198+3,D198-1),"")</f>
        <v/>
      </c>
      <c r="G198" t="str">
        <f ca="1">IF(D198&lt;&gt;"",
IF(AND(OFFSET(数出表_Excel【15時】!$A$1,A198+3,D198)&lt;&gt;"",OFFSET(数出表_Excel【15時】!$A$1,A198+3,D198)&lt;&gt;0),
OFFSET(数出表_Excel【15時】!$A$1,A198+3,D198),""),"")</f>
        <v/>
      </c>
      <c r="H198" s="209" t="str">
        <f t="array" aca="1" ref="H198" ca="1">IF(B198&lt;&gt;"",
IFERROR(MATCH(TRUE,ISNUMBER(INDIRECT("数出表_Excel【15時】!"&amp;SUBSTITUTE(ADDRESS(1,D198+2,4),"1","")&amp;(A198+4)&amp;":ZZ"&amp;(A198+4))),0)+D198+1,""),"")</f>
        <v/>
      </c>
      <c r="I198" t="str">
        <f ca="1">IF(H198&lt;&gt;"",
OFFSET(数出表_Excel【15時】!$A$1,2,H198-1)
&amp;IFERROR(OFFSET(数出表_Excel【15時】!$A$1,3,H198-1),"")
&amp;IFERROR(OFFSET(数出表_Excel【15時】!$A$1,4,H198-1),""),"")</f>
        <v/>
      </c>
      <c r="J198" t="str">
        <f ca="1">IF(H198&lt;&gt;"",
OFFSET(数出表_Excel【15時】!$A$1,A198+3,H198-1),"")</f>
        <v/>
      </c>
      <c r="K198" t="str">
        <f ca="1">IF(H198&lt;&gt;"",
IF(AND(OFFSET(数出表_Excel【15時】!$A$1,A198+3,H198)&lt;&gt;"",OFFSET(数出表_Excel【15時】!$A$1,A198+3,H198)&lt;&gt;0),
OFFSET(数出表_Excel【15時】!$A$1,A198+3,H198),""),"")</f>
        <v/>
      </c>
      <c r="L198" s="209" t="str">
        <f t="array" aca="1" ref="L198" ca="1">IF(B198&lt;&gt;"",
IFERROR(MATCH(TRUE,ISNUMBER(INDIRECT("数出表_Excel【15時】!"&amp;SUBSTITUTE(ADDRESS(1,H198+2,4),"1","")&amp;(A198+4)&amp;":ZZ"&amp;(A198+4))),0)+H198+1,""),"")</f>
        <v/>
      </c>
      <c r="M198" t="str">
        <f ca="1">IF(L198&lt;&gt;"",
OFFSET(数出表_Excel【15時】!$A$1,2,L198-1)
&amp;IFERROR(OFFSET(数出表_Excel【15時】!$A$1,3,L198-1),"")
&amp;IFERROR(OFFSET(数出表_Excel【15時】!$A$1,4,L198-1),""),"")</f>
        <v/>
      </c>
      <c r="N198" t="str">
        <f ca="1">IF(L198&lt;&gt;"",
OFFSET(数出表_Excel【15時】!$A$1,A198+3,L198-1),"")</f>
        <v/>
      </c>
      <c r="O198" t="str">
        <f ca="1">IF(L198&lt;&gt;"",
IF(AND(OFFSET(数出表_Excel【15時】!$A$1,A198+3,L198)&lt;&gt;"",OFFSET(数出表_Excel【15時】!$A$1,A198+3,L198)&lt;&gt;0),
OFFSET(数出表_Excel【15時】!$A$1,A198+3,L198),""),"")</f>
        <v/>
      </c>
      <c r="Q198" t="str">
        <f ca="1">IF(C198&lt;&gt;"",
IF(E198&lt;&gt;"",1,0)+IF(I198&lt;&gt;"",1,0)+IF(M198&lt;&gt;"",1,0),"")</f>
        <v/>
      </c>
    </row>
    <row r="199" spans="1:17">
      <c r="A199" t="str">
        <f t="shared" ca="1" si="3"/>
        <v/>
      </c>
      <c r="B199" t="str">
        <f t="array" aca="1" ref="B199" ca="1">IF(OR(COUNTIF(数出表_Excel【15時】!AO202,"*修正*"),COUNTIF(数出表_Excel【15時】!AO203,"*修正*")),
IF(ISEVEN(ROW()+4),INDIRECT("数出表_Excel【15時】!A"&amp;ROW()+4&amp;""),INDIRECT("数出表_Excel【15時】!A"&amp;ROW()+4-1&amp;"")),"")</f>
        <v/>
      </c>
      <c r="C199" t="str">
        <f t="array" aca="1" ref="C199" ca="1">IF(OR(COUNTIF(数出表_Excel【15時】!AO202,"*修正*"),COUNTIF(数出表_Excel【15時】!AO203,"*修正*")),
IF(ISEVEN(ROW()+4),INDIRECT("数出表_Excel【15時】!A"&amp;ROW()+4+1&amp;""),INDIRECT("数出表_Excel【15時】!A"&amp;ROW()+4&amp;"")),"")</f>
        <v/>
      </c>
      <c r="D199" s="209" t="str">
        <f t="array" aca="1" ref="D199" ca="1">IF(B199&lt;&gt;"",
IFERROR(MATCH(TRUE,ISNUMBER(INDIRECT("数出表_Excel【15時】!B"&amp;(A199+4)&amp;":ZZ"&amp;(A199+4))),0)+1,""),"")</f>
        <v/>
      </c>
      <c r="E199" t="str">
        <f ca="1">IF(D199&lt;&gt;"",
OFFSET(数出表_Excel【15時】!$A$1,2,D199-1)
&amp;IFERROR(OFFSET(数出表_Excel【15時】!$A$1,3,D199-1),"")
&amp;IFERROR(OFFSET(数出表_Excel【15時】!$A$1,4,D199-1),""),"")</f>
        <v/>
      </c>
      <c r="F199" t="str">
        <f ca="1">IF(D199&lt;&gt;"",
OFFSET(数出表_Excel【15時】!$A$1,A199+3,D199-1),"")</f>
        <v/>
      </c>
      <c r="G199" t="str">
        <f ca="1">IF(D199&lt;&gt;"",
IF(AND(OFFSET(数出表_Excel【15時】!$A$1,A199+3,D199)&lt;&gt;"",OFFSET(数出表_Excel【15時】!$A$1,A199+3,D199)&lt;&gt;0),
OFFSET(数出表_Excel【15時】!$A$1,A199+3,D199),""),"")</f>
        <v/>
      </c>
      <c r="H199" s="209" t="str">
        <f t="array" aca="1" ref="H199" ca="1">IF(B199&lt;&gt;"",
IFERROR(MATCH(TRUE,ISNUMBER(INDIRECT("数出表_Excel【15時】!"&amp;SUBSTITUTE(ADDRESS(1,D199+2,4),"1","")&amp;(A199+4)&amp;":ZZ"&amp;(A199+4))),0)+D199+1,""),"")</f>
        <v/>
      </c>
      <c r="I199" t="str">
        <f ca="1">IF(H199&lt;&gt;"",
OFFSET(数出表_Excel【15時】!$A$1,2,H199-1)
&amp;IFERROR(OFFSET(数出表_Excel【15時】!$A$1,3,H199-1),"")
&amp;IFERROR(OFFSET(数出表_Excel【15時】!$A$1,4,H199-1),""),"")</f>
        <v/>
      </c>
      <c r="J199" t="str">
        <f ca="1">IF(H199&lt;&gt;"",
OFFSET(数出表_Excel【15時】!$A$1,A199+3,H199-1),"")</f>
        <v/>
      </c>
      <c r="K199" t="str">
        <f ca="1">IF(H199&lt;&gt;"",
IF(AND(OFFSET(数出表_Excel【15時】!$A$1,A199+3,H199)&lt;&gt;"",OFFSET(数出表_Excel【15時】!$A$1,A199+3,H199)&lt;&gt;0),
OFFSET(数出表_Excel【15時】!$A$1,A199+3,H199),""),"")</f>
        <v/>
      </c>
      <c r="L199" s="209" t="str">
        <f t="array" aca="1" ref="L199" ca="1">IF(B199&lt;&gt;"",
IFERROR(MATCH(TRUE,ISNUMBER(INDIRECT("数出表_Excel【15時】!"&amp;SUBSTITUTE(ADDRESS(1,H199+2,4),"1","")&amp;(A199+4)&amp;":ZZ"&amp;(A199+4))),0)+H199+1,""),"")</f>
        <v/>
      </c>
      <c r="M199" t="str">
        <f ca="1">IF(L199&lt;&gt;"",
OFFSET(数出表_Excel【15時】!$A$1,2,L199-1)
&amp;IFERROR(OFFSET(数出表_Excel【15時】!$A$1,3,L199-1),"")
&amp;IFERROR(OFFSET(数出表_Excel【15時】!$A$1,4,L199-1),""),"")</f>
        <v/>
      </c>
      <c r="N199" t="str">
        <f ca="1">IF(L199&lt;&gt;"",
OFFSET(数出表_Excel【15時】!$A$1,A199+3,L199-1),"")</f>
        <v/>
      </c>
      <c r="O199" t="str">
        <f ca="1">IF(L199&lt;&gt;"",
IF(AND(OFFSET(数出表_Excel【15時】!$A$1,A199+3,L199)&lt;&gt;"",OFFSET(数出表_Excel【15時】!$A$1,A199+3,L199)&lt;&gt;0),
OFFSET(数出表_Excel【15時】!$A$1,A199+3,L199),""),"")</f>
        <v/>
      </c>
    </row>
    <row r="200" spans="1:17">
      <c r="A200" t="str">
        <f t="shared" ca="1" si="3"/>
        <v/>
      </c>
      <c r="B200" t="str">
        <f t="array" aca="1" ref="B200" ca="1">IF(OR(COUNTIF(数出表_Excel【15時】!AO204,"*修正*"),COUNTIF(数出表_Excel【15時】!AO205,"*修正*")),
IF(ISEVEN(ROW()+4),INDIRECT("数出表_Excel【15時】!A"&amp;ROW()+4&amp;""),INDIRECT("数出表_Excel【15時】!A"&amp;ROW()+4-1&amp;"")),"")</f>
        <v/>
      </c>
      <c r="C200" t="str">
        <f t="array" aca="1" ref="C200" ca="1">IF(OR(COUNTIF(数出表_Excel【15時】!AO204,"*修正*"),COUNTIF(数出表_Excel【15時】!AO205,"*修正*")),
IF(ISEVEN(ROW()+4),INDIRECT("数出表_Excel【15時】!A"&amp;ROW()+4+1&amp;""),INDIRECT("数出表_Excel【15時】!A"&amp;ROW()+4&amp;"")),"")</f>
        <v/>
      </c>
      <c r="D200" s="209" t="str">
        <f t="array" aca="1" ref="D200" ca="1">IF(B200&lt;&gt;"",
IFERROR(MATCH(TRUE,ISNUMBER(INDIRECT("数出表_Excel【15時】!B"&amp;(A200+4)&amp;":ZZ"&amp;(A200+4))),0)+1,""),"")</f>
        <v/>
      </c>
      <c r="E200" t="str">
        <f ca="1">IF(D200&lt;&gt;"",
OFFSET(数出表_Excel【15時】!$A$1,2,D200-1)
&amp;IFERROR(OFFSET(数出表_Excel【15時】!$A$1,3,D200-1),"")
&amp;IFERROR(OFFSET(数出表_Excel【15時】!$A$1,4,D200-1),""),"")</f>
        <v/>
      </c>
      <c r="F200" t="str">
        <f ca="1">IF(D200&lt;&gt;"",
OFFSET(数出表_Excel【15時】!$A$1,A200+3,D200-1),"")</f>
        <v/>
      </c>
      <c r="G200" t="str">
        <f ca="1">IF(D200&lt;&gt;"",
IF(AND(OFFSET(数出表_Excel【15時】!$A$1,A200+3,D200)&lt;&gt;"",OFFSET(数出表_Excel【15時】!$A$1,A200+3,D200)&lt;&gt;0),
OFFSET(数出表_Excel【15時】!$A$1,A200+3,D200),""),"")</f>
        <v/>
      </c>
      <c r="H200" s="209" t="str">
        <f t="array" aca="1" ref="H200" ca="1">IF(B200&lt;&gt;"",
IFERROR(MATCH(TRUE,ISNUMBER(INDIRECT("数出表_Excel【15時】!"&amp;SUBSTITUTE(ADDRESS(1,D200+2,4),"1","")&amp;(A200+4)&amp;":ZZ"&amp;(A200+4))),0)+D200+1,""),"")</f>
        <v/>
      </c>
      <c r="I200" t="str">
        <f ca="1">IF(H200&lt;&gt;"",
OFFSET(数出表_Excel【15時】!$A$1,2,H200-1)
&amp;IFERROR(OFFSET(数出表_Excel【15時】!$A$1,3,H200-1),"")
&amp;IFERROR(OFFSET(数出表_Excel【15時】!$A$1,4,H200-1),""),"")</f>
        <v/>
      </c>
      <c r="J200" t="str">
        <f ca="1">IF(H200&lt;&gt;"",
OFFSET(数出表_Excel【15時】!$A$1,A200+3,H200-1),"")</f>
        <v/>
      </c>
      <c r="K200" t="str">
        <f ca="1">IF(H200&lt;&gt;"",
IF(AND(OFFSET(数出表_Excel【15時】!$A$1,A200+3,H200)&lt;&gt;"",OFFSET(数出表_Excel【15時】!$A$1,A200+3,H200)&lt;&gt;0),
OFFSET(数出表_Excel【15時】!$A$1,A200+3,H200),""),"")</f>
        <v/>
      </c>
      <c r="L200" s="209" t="str">
        <f t="array" aca="1" ref="L200" ca="1">IF(B200&lt;&gt;"",
IFERROR(MATCH(TRUE,ISNUMBER(INDIRECT("数出表_Excel【15時】!"&amp;SUBSTITUTE(ADDRESS(1,H200+2,4),"1","")&amp;(A200+4)&amp;":ZZ"&amp;(A200+4))),0)+H200+1,""),"")</f>
        <v/>
      </c>
      <c r="M200" t="str">
        <f ca="1">IF(L200&lt;&gt;"",
OFFSET(数出表_Excel【15時】!$A$1,2,L200-1)
&amp;IFERROR(OFFSET(数出表_Excel【15時】!$A$1,3,L200-1),"")
&amp;IFERROR(OFFSET(数出表_Excel【15時】!$A$1,4,L200-1),""),"")</f>
        <v/>
      </c>
      <c r="N200" t="str">
        <f ca="1">IF(L200&lt;&gt;"",
OFFSET(数出表_Excel【15時】!$A$1,A200+3,L200-1),"")</f>
        <v/>
      </c>
      <c r="O200" t="str">
        <f ca="1">IF(L200&lt;&gt;"",
IF(AND(OFFSET(数出表_Excel【15時】!$A$1,A200+3,L200)&lt;&gt;"",OFFSET(数出表_Excel【15時】!$A$1,A200+3,L200)&lt;&gt;0),
OFFSET(数出表_Excel【15時】!$A$1,A200+3,L200),""),"")</f>
        <v/>
      </c>
      <c r="Q200" t="str">
        <f ca="1">IF(C200&lt;&gt;"",
IF(E200&lt;&gt;"",1,0)+IF(I200&lt;&gt;"",1,0)+IF(M200&lt;&gt;"",1,0),"")</f>
        <v/>
      </c>
    </row>
    <row r="201" spans="1:17">
      <c r="A201" t="str">
        <f t="shared" ca="1" si="3"/>
        <v/>
      </c>
      <c r="B201" t="str">
        <f t="array" aca="1" ref="B201" ca="1">IF(OR(COUNTIF(数出表_Excel【15時】!AO204,"*修正*"),COUNTIF(数出表_Excel【15時】!AO205,"*修正*")),
IF(ISEVEN(ROW()+4),INDIRECT("数出表_Excel【15時】!A"&amp;ROW()+4&amp;""),INDIRECT("数出表_Excel【15時】!A"&amp;ROW()+4-1&amp;"")),"")</f>
        <v/>
      </c>
      <c r="C201" t="str">
        <f t="array" aca="1" ref="C201" ca="1">IF(OR(COUNTIF(数出表_Excel【15時】!AO204,"*修正*"),COUNTIF(数出表_Excel【15時】!AO205,"*修正*")),
IF(ISEVEN(ROW()+4),INDIRECT("数出表_Excel【15時】!A"&amp;ROW()+4+1&amp;""),INDIRECT("数出表_Excel【15時】!A"&amp;ROW()+4&amp;"")),"")</f>
        <v/>
      </c>
      <c r="D201" s="209" t="str">
        <f t="array" aca="1" ref="D201" ca="1">IF(B201&lt;&gt;"",
IFERROR(MATCH(TRUE,ISNUMBER(INDIRECT("数出表_Excel【15時】!B"&amp;(A201+4)&amp;":ZZ"&amp;(A201+4))),0)+1,""),"")</f>
        <v/>
      </c>
      <c r="E201" t="str">
        <f ca="1">IF(D201&lt;&gt;"",
OFFSET(数出表_Excel【15時】!$A$1,2,D201-1)
&amp;IFERROR(OFFSET(数出表_Excel【15時】!$A$1,3,D201-1),"")
&amp;IFERROR(OFFSET(数出表_Excel【15時】!$A$1,4,D201-1),""),"")</f>
        <v/>
      </c>
      <c r="F201" t="str">
        <f ca="1">IF(D201&lt;&gt;"",
OFFSET(数出表_Excel【15時】!$A$1,A201+3,D201-1),"")</f>
        <v/>
      </c>
      <c r="G201" t="str">
        <f ca="1">IF(D201&lt;&gt;"",
IF(AND(OFFSET(数出表_Excel【15時】!$A$1,A201+3,D201)&lt;&gt;"",OFFSET(数出表_Excel【15時】!$A$1,A201+3,D201)&lt;&gt;0),
OFFSET(数出表_Excel【15時】!$A$1,A201+3,D201),""),"")</f>
        <v/>
      </c>
      <c r="H201" s="209" t="str">
        <f t="array" aca="1" ref="H201" ca="1">IF(B201&lt;&gt;"",
IFERROR(MATCH(TRUE,ISNUMBER(INDIRECT("数出表_Excel【15時】!"&amp;SUBSTITUTE(ADDRESS(1,D201+2,4),"1","")&amp;(A201+4)&amp;":ZZ"&amp;(A201+4))),0)+D201+1,""),"")</f>
        <v/>
      </c>
      <c r="I201" t="str">
        <f ca="1">IF(H201&lt;&gt;"",
OFFSET(数出表_Excel【15時】!$A$1,2,H201-1)
&amp;IFERROR(OFFSET(数出表_Excel【15時】!$A$1,3,H201-1),"")
&amp;IFERROR(OFFSET(数出表_Excel【15時】!$A$1,4,H201-1),""),"")</f>
        <v/>
      </c>
      <c r="J201" t="str">
        <f ca="1">IF(H201&lt;&gt;"",
OFFSET(数出表_Excel【15時】!$A$1,A201+3,H201-1),"")</f>
        <v/>
      </c>
      <c r="K201" t="str">
        <f ca="1">IF(H201&lt;&gt;"",
IF(AND(OFFSET(数出表_Excel【15時】!$A$1,A201+3,H201)&lt;&gt;"",OFFSET(数出表_Excel【15時】!$A$1,A201+3,H201)&lt;&gt;0),
OFFSET(数出表_Excel【15時】!$A$1,A201+3,H201),""),"")</f>
        <v/>
      </c>
      <c r="L201" s="209" t="str">
        <f t="array" aca="1" ref="L201" ca="1">IF(B201&lt;&gt;"",
IFERROR(MATCH(TRUE,ISNUMBER(INDIRECT("数出表_Excel【15時】!"&amp;SUBSTITUTE(ADDRESS(1,H201+2,4),"1","")&amp;(A201+4)&amp;":ZZ"&amp;(A201+4))),0)+H201+1,""),"")</f>
        <v/>
      </c>
      <c r="M201" t="str">
        <f ca="1">IF(L201&lt;&gt;"",
OFFSET(数出表_Excel【15時】!$A$1,2,L201-1)
&amp;IFERROR(OFFSET(数出表_Excel【15時】!$A$1,3,L201-1),"")
&amp;IFERROR(OFFSET(数出表_Excel【15時】!$A$1,4,L201-1),""),"")</f>
        <v/>
      </c>
      <c r="N201" t="str">
        <f ca="1">IF(L201&lt;&gt;"",
OFFSET(数出表_Excel【15時】!$A$1,A201+3,L201-1),"")</f>
        <v/>
      </c>
      <c r="O201" t="str">
        <f ca="1">IF(L201&lt;&gt;"",
IF(AND(OFFSET(数出表_Excel【15時】!$A$1,A201+3,L201)&lt;&gt;"",OFFSET(数出表_Excel【15時】!$A$1,A201+3,L201)&lt;&gt;0),
OFFSET(数出表_Excel【15時】!$A$1,A201+3,L201),""),"")</f>
        <v/>
      </c>
    </row>
    <row r="202" spans="1:17">
      <c r="A202" t="str">
        <f t="shared" ca="1" si="3"/>
        <v/>
      </c>
      <c r="B202" t="str">
        <f t="array" aca="1" ref="B202" ca="1">IF(OR(COUNTIF(数出表_Excel【15時】!AO206,"*修正*"),COUNTIF(数出表_Excel【15時】!AO207,"*修正*")),
IF(ISEVEN(ROW()+4),INDIRECT("数出表_Excel【15時】!A"&amp;ROW()+4&amp;""),INDIRECT("数出表_Excel【15時】!A"&amp;ROW()+4-1&amp;"")),"")</f>
        <v/>
      </c>
      <c r="C202" t="str">
        <f t="array" aca="1" ref="C202" ca="1">IF(OR(COUNTIF(数出表_Excel【15時】!AO206,"*修正*"),COUNTIF(数出表_Excel【15時】!AO207,"*修正*")),
IF(ISEVEN(ROW()+4),INDIRECT("数出表_Excel【15時】!A"&amp;ROW()+4+1&amp;""),INDIRECT("数出表_Excel【15時】!A"&amp;ROW()+4&amp;"")),"")</f>
        <v/>
      </c>
      <c r="D202" s="209" t="str">
        <f t="array" aca="1" ref="D202" ca="1">IF(B202&lt;&gt;"",
IFERROR(MATCH(TRUE,ISNUMBER(INDIRECT("数出表_Excel【15時】!B"&amp;(A202+4)&amp;":ZZ"&amp;(A202+4))),0)+1,""),"")</f>
        <v/>
      </c>
      <c r="E202" t="str">
        <f ca="1">IF(D202&lt;&gt;"",
OFFSET(数出表_Excel【15時】!$A$1,2,D202-1)
&amp;IFERROR(OFFSET(数出表_Excel【15時】!$A$1,3,D202-1),"")
&amp;IFERROR(OFFSET(数出表_Excel【15時】!$A$1,4,D202-1),""),"")</f>
        <v/>
      </c>
      <c r="F202" t="str">
        <f ca="1">IF(D202&lt;&gt;"",
OFFSET(数出表_Excel【15時】!$A$1,A202+3,D202-1),"")</f>
        <v/>
      </c>
      <c r="G202" t="str">
        <f ca="1">IF(D202&lt;&gt;"",
IF(AND(OFFSET(数出表_Excel【15時】!$A$1,A202+3,D202)&lt;&gt;"",OFFSET(数出表_Excel【15時】!$A$1,A202+3,D202)&lt;&gt;0),
OFFSET(数出表_Excel【15時】!$A$1,A202+3,D202),""),"")</f>
        <v/>
      </c>
      <c r="H202" s="209" t="str">
        <f t="array" aca="1" ref="H202" ca="1">IF(B202&lt;&gt;"",
IFERROR(MATCH(TRUE,ISNUMBER(INDIRECT("数出表_Excel【15時】!"&amp;SUBSTITUTE(ADDRESS(1,D202+2,4),"1","")&amp;(A202+4)&amp;":ZZ"&amp;(A202+4))),0)+D202+1,""),"")</f>
        <v/>
      </c>
      <c r="I202" t="str">
        <f ca="1">IF(H202&lt;&gt;"",
OFFSET(数出表_Excel【15時】!$A$1,2,H202-1)
&amp;IFERROR(OFFSET(数出表_Excel【15時】!$A$1,3,H202-1),"")
&amp;IFERROR(OFFSET(数出表_Excel【15時】!$A$1,4,H202-1),""),"")</f>
        <v/>
      </c>
      <c r="J202" t="str">
        <f ca="1">IF(H202&lt;&gt;"",
OFFSET(数出表_Excel【15時】!$A$1,A202+3,H202-1),"")</f>
        <v/>
      </c>
      <c r="K202" t="str">
        <f ca="1">IF(H202&lt;&gt;"",
IF(AND(OFFSET(数出表_Excel【15時】!$A$1,A202+3,H202)&lt;&gt;"",OFFSET(数出表_Excel【15時】!$A$1,A202+3,H202)&lt;&gt;0),
OFFSET(数出表_Excel【15時】!$A$1,A202+3,H202),""),"")</f>
        <v/>
      </c>
      <c r="L202" s="209" t="str">
        <f t="array" aca="1" ref="L202" ca="1">IF(B202&lt;&gt;"",
IFERROR(MATCH(TRUE,ISNUMBER(INDIRECT("数出表_Excel【15時】!"&amp;SUBSTITUTE(ADDRESS(1,H202+2,4),"1","")&amp;(A202+4)&amp;":ZZ"&amp;(A202+4))),0)+H202+1,""),"")</f>
        <v/>
      </c>
      <c r="M202" t="str">
        <f ca="1">IF(L202&lt;&gt;"",
OFFSET(数出表_Excel【15時】!$A$1,2,L202-1)
&amp;IFERROR(OFFSET(数出表_Excel【15時】!$A$1,3,L202-1),"")
&amp;IFERROR(OFFSET(数出表_Excel【15時】!$A$1,4,L202-1),""),"")</f>
        <v/>
      </c>
      <c r="N202" t="str">
        <f ca="1">IF(L202&lt;&gt;"",
OFFSET(数出表_Excel【15時】!$A$1,A202+3,L202-1),"")</f>
        <v/>
      </c>
      <c r="O202" t="str">
        <f ca="1">IF(L202&lt;&gt;"",
IF(AND(OFFSET(数出表_Excel【15時】!$A$1,A202+3,L202)&lt;&gt;"",OFFSET(数出表_Excel【15時】!$A$1,A202+3,L202)&lt;&gt;0),
OFFSET(数出表_Excel【15時】!$A$1,A202+3,L202),""),"")</f>
        <v/>
      </c>
      <c r="Q202" t="str">
        <f ca="1">IF(C202&lt;&gt;"",
IF(E202&lt;&gt;"",1,0)+IF(I202&lt;&gt;"",1,0)+IF(M202&lt;&gt;"",1,0),"")</f>
        <v/>
      </c>
    </row>
    <row r="203" spans="1:17">
      <c r="A203" t="str">
        <f t="shared" ca="1" si="3"/>
        <v/>
      </c>
      <c r="B203" t="str">
        <f t="array" aca="1" ref="B203" ca="1">IF(OR(COUNTIF(数出表_Excel【15時】!AO206,"*修正*"),COUNTIF(数出表_Excel【15時】!AO207,"*修正*")),
IF(ISEVEN(ROW()+4),INDIRECT("数出表_Excel【15時】!A"&amp;ROW()+4&amp;""),INDIRECT("数出表_Excel【15時】!A"&amp;ROW()+4-1&amp;"")),"")</f>
        <v/>
      </c>
      <c r="C203" t="str">
        <f t="array" aca="1" ref="C203" ca="1">IF(OR(COUNTIF(数出表_Excel【15時】!AO206,"*修正*"),COUNTIF(数出表_Excel【15時】!AO207,"*修正*")),
IF(ISEVEN(ROW()+4),INDIRECT("数出表_Excel【15時】!A"&amp;ROW()+4+1&amp;""),INDIRECT("数出表_Excel【15時】!A"&amp;ROW()+4&amp;"")),"")</f>
        <v/>
      </c>
      <c r="D203" s="209" t="str">
        <f t="array" aca="1" ref="D203" ca="1">IF(B203&lt;&gt;"",
IFERROR(MATCH(TRUE,ISNUMBER(INDIRECT("数出表_Excel【15時】!B"&amp;(A203+4)&amp;":ZZ"&amp;(A203+4))),0)+1,""),"")</f>
        <v/>
      </c>
      <c r="E203" t="str">
        <f ca="1">IF(D203&lt;&gt;"",
OFFSET(数出表_Excel【15時】!$A$1,2,D203-1)
&amp;IFERROR(OFFSET(数出表_Excel【15時】!$A$1,3,D203-1),"")
&amp;IFERROR(OFFSET(数出表_Excel【15時】!$A$1,4,D203-1),""),"")</f>
        <v/>
      </c>
      <c r="F203" t="str">
        <f ca="1">IF(D203&lt;&gt;"",
OFFSET(数出表_Excel【15時】!$A$1,A203+3,D203-1),"")</f>
        <v/>
      </c>
      <c r="G203" t="str">
        <f ca="1">IF(D203&lt;&gt;"",
IF(AND(OFFSET(数出表_Excel【15時】!$A$1,A203+3,D203)&lt;&gt;"",OFFSET(数出表_Excel【15時】!$A$1,A203+3,D203)&lt;&gt;0),
OFFSET(数出表_Excel【15時】!$A$1,A203+3,D203),""),"")</f>
        <v/>
      </c>
      <c r="H203" s="209" t="str">
        <f t="array" aca="1" ref="H203" ca="1">IF(B203&lt;&gt;"",
IFERROR(MATCH(TRUE,ISNUMBER(INDIRECT("数出表_Excel【15時】!"&amp;SUBSTITUTE(ADDRESS(1,D203+2,4),"1","")&amp;(A203+4)&amp;":ZZ"&amp;(A203+4))),0)+D203+1,""),"")</f>
        <v/>
      </c>
      <c r="I203" t="str">
        <f ca="1">IF(H203&lt;&gt;"",
OFFSET(数出表_Excel【15時】!$A$1,2,H203-1)
&amp;IFERROR(OFFSET(数出表_Excel【15時】!$A$1,3,H203-1),"")
&amp;IFERROR(OFFSET(数出表_Excel【15時】!$A$1,4,H203-1),""),"")</f>
        <v/>
      </c>
      <c r="J203" t="str">
        <f ca="1">IF(H203&lt;&gt;"",
OFFSET(数出表_Excel【15時】!$A$1,A203+3,H203-1),"")</f>
        <v/>
      </c>
      <c r="K203" t="str">
        <f ca="1">IF(H203&lt;&gt;"",
IF(AND(OFFSET(数出表_Excel【15時】!$A$1,A203+3,H203)&lt;&gt;"",OFFSET(数出表_Excel【15時】!$A$1,A203+3,H203)&lt;&gt;0),
OFFSET(数出表_Excel【15時】!$A$1,A203+3,H203),""),"")</f>
        <v/>
      </c>
      <c r="L203" s="209" t="str">
        <f t="array" aca="1" ref="L203" ca="1">IF(B203&lt;&gt;"",
IFERROR(MATCH(TRUE,ISNUMBER(INDIRECT("数出表_Excel【15時】!"&amp;SUBSTITUTE(ADDRESS(1,H203+2,4),"1","")&amp;(A203+4)&amp;":ZZ"&amp;(A203+4))),0)+H203+1,""),"")</f>
        <v/>
      </c>
      <c r="M203" t="str">
        <f ca="1">IF(L203&lt;&gt;"",
OFFSET(数出表_Excel【15時】!$A$1,2,L203-1)
&amp;IFERROR(OFFSET(数出表_Excel【15時】!$A$1,3,L203-1),"")
&amp;IFERROR(OFFSET(数出表_Excel【15時】!$A$1,4,L203-1),""),"")</f>
        <v/>
      </c>
      <c r="N203" t="str">
        <f ca="1">IF(L203&lt;&gt;"",
OFFSET(数出表_Excel【15時】!$A$1,A203+3,L203-1),"")</f>
        <v/>
      </c>
      <c r="O203" t="str">
        <f ca="1">IF(L203&lt;&gt;"",
IF(AND(OFFSET(数出表_Excel【15時】!$A$1,A203+3,L203)&lt;&gt;"",OFFSET(数出表_Excel【15時】!$A$1,A203+3,L203)&lt;&gt;0),
OFFSET(数出表_Excel【15時】!$A$1,A203+3,L203),""),"")</f>
        <v/>
      </c>
    </row>
    <row r="204" spans="1:17">
      <c r="A204" t="str">
        <f t="shared" ca="1" si="3"/>
        <v/>
      </c>
      <c r="B204" t="str">
        <f t="array" aca="1" ref="B204" ca="1">IF(OR(COUNTIF(数出表_Excel【15時】!AO208,"*修正*"),COUNTIF(数出表_Excel【15時】!AO209,"*修正*")),
IF(ISEVEN(ROW()+4),INDIRECT("数出表_Excel【15時】!A"&amp;ROW()+4&amp;""),INDIRECT("数出表_Excel【15時】!A"&amp;ROW()+4-1&amp;"")),"")</f>
        <v/>
      </c>
      <c r="C204" t="str">
        <f t="array" aca="1" ref="C204" ca="1">IF(OR(COUNTIF(数出表_Excel【15時】!AO208,"*修正*"),COUNTIF(数出表_Excel【15時】!AO209,"*修正*")),
IF(ISEVEN(ROW()+4),INDIRECT("数出表_Excel【15時】!A"&amp;ROW()+4+1&amp;""),INDIRECT("数出表_Excel【15時】!A"&amp;ROW()+4&amp;"")),"")</f>
        <v/>
      </c>
      <c r="D204" s="209" t="str">
        <f t="array" aca="1" ref="D204" ca="1">IF(B204&lt;&gt;"",
IFERROR(MATCH(TRUE,ISNUMBER(INDIRECT("数出表_Excel【15時】!B"&amp;(A204+4)&amp;":ZZ"&amp;(A204+4))),0)+1,""),"")</f>
        <v/>
      </c>
      <c r="E204" t="str">
        <f ca="1">IF(D204&lt;&gt;"",
OFFSET(数出表_Excel【15時】!$A$1,2,D204-1)
&amp;IFERROR(OFFSET(数出表_Excel【15時】!$A$1,3,D204-1),"")
&amp;IFERROR(OFFSET(数出表_Excel【15時】!$A$1,4,D204-1),""),"")</f>
        <v/>
      </c>
      <c r="F204" t="str">
        <f ca="1">IF(D204&lt;&gt;"",
OFFSET(数出表_Excel【15時】!$A$1,A204+3,D204-1),"")</f>
        <v/>
      </c>
      <c r="G204" t="str">
        <f ca="1">IF(D204&lt;&gt;"",
IF(AND(OFFSET(数出表_Excel【15時】!$A$1,A204+3,D204)&lt;&gt;"",OFFSET(数出表_Excel【15時】!$A$1,A204+3,D204)&lt;&gt;0),
OFFSET(数出表_Excel【15時】!$A$1,A204+3,D204),""),"")</f>
        <v/>
      </c>
      <c r="H204" s="209" t="str">
        <f t="array" aca="1" ref="H204" ca="1">IF(B204&lt;&gt;"",
IFERROR(MATCH(TRUE,ISNUMBER(INDIRECT("数出表_Excel【15時】!"&amp;SUBSTITUTE(ADDRESS(1,D204+2,4),"1","")&amp;(A204+4)&amp;":ZZ"&amp;(A204+4))),0)+D204+1,""),"")</f>
        <v/>
      </c>
      <c r="I204" t="str">
        <f ca="1">IF(H204&lt;&gt;"",
OFFSET(数出表_Excel【15時】!$A$1,2,H204-1)
&amp;IFERROR(OFFSET(数出表_Excel【15時】!$A$1,3,H204-1),"")
&amp;IFERROR(OFFSET(数出表_Excel【15時】!$A$1,4,H204-1),""),"")</f>
        <v/>
      </c>
      <c r="J204" t="str">
        <f ca="1">IF(H204&lt;&gt;"",
OFFSET(数出表_Excel【15時】!$A$1,A204+3,H204-1),"")</f>
        <v/>
      </c>
      <c r="K204" t="str">
        <f ca="1">IF(H204&lt;&gt;"",
IF(AND(OFFSET(数出表_Excel【15時】!$A$1,A204+3,H204)&lt;&gt;"",OFFSET(数出表_Excel【15時】!$A$1,A204+3,H204)&lt;&gt;0),
OFFSET(数出表_Excel【15時】!$A$1,A204+3,H204),""),"")</f>
        <v/>
      </c>
      <c r="L204" s="209" t="str">
        <f t="array" aca="1" ref="L204" ca="1">IF(B204&lt;&gt;"",
IFERROR(MATCH(TRUE,ISNUMBER(INDIRECT("数出表_Excel【15時】!"&amp;SUBSTITUTE(ADDRESS(1,H204+2,4),"1","")&amp;(A204+4)&amp;":ZZ"&amp;(A204+4))),0)+H204+1,""),"")</f>
        <v/>
      </c>
      <c r="M204" t="str">
        <f ca="1">IF(L204&lt;&gt;"",
OFFSET(数出表_Excel【15時】!$A$1,2,L204-1)
&amp;IFERROR(OFFSET(数出表_Excel【15時】!$A$1,3,L204-1),"")
&amp;IFERROR(OFFSET(数出表_Excel【15時】!$A$1,4,L204-1),""),"")</f>
        <v/>
      </c>
      <c r="N204" t="str">
        <f ca="1">IF(L204&lt;&gt;"",
OFFSET(数出表_Excel【15時】!$A$1,A204+3,L204-1),"")</f>
        <v/>
      </c>
      <c r="O204" t="str">
        <f ca="1">IF(L204&lt;&gt;"",
IF(AND(OFFSET(数出表_Excel【15時】!$A$1,A204+3,L204)&lt;&gt;"",OFFSET(数出表_Excel【15時】!$A$1,A204+3,L204)&lt;&gt;0),
OFFSET(数出表_Excel【15時】!$A$1,A204+3,L204),""),"")</f>
        <v/>
      </c>
      <c r="Q204" t="str">
        <f ca="1">IF(C204&lt;&gt;"",
IF(E204&lt;&gt;"",1,0)+IF(I204&lt;&gt;"",1,0)+IF(M204&lt;&gt;"",1,0),"")</f>
        <v/>
      </c>
    </row>
    <row r="205" spans="1:17">
      <c r="A205" t="str">
        <f t="shared" ca="1" si="3"/>
        <v/>
      </c>
      <c r="B205" t="str">
        <f t="array" aca="1" ref="B205" ca="1">IF(OR(COUNTIF(数出表_Excel【15時】!AO208,"*修正*"),COUNTIF(数出表_Excel【15時】!AO209,"*修正*")),
IF(ISEVEN(ROW()+4),INDIRECT("数出表_Excel【15時】!A"&amp;ROW()+4&amp;""),INDIRECT("数出表_Excel【15時】!A"&amp;ROW()+4-1&amp;"")),"")</f>
        <v/>
      </c>
      <c r="C205" t="str">
        <f t="array" aca="1" ref="C205" ca="1">IF(OR(COUNTIF(数出表_Excel【15時】!AO208,"*修正*"),COUNTIF(数出表_Excel【15時】!AO209,"*修正*")),
IF(ISEVEN(ROW()+4),INDIRECT("数出表_Excel【15時】!A"&amp;ROW()+4+1&amp;""),INDIRECT("数出表_Excel【15時】!A"&amp;ROW()+4&amp;"")),"")</f>
        <v/>
      </c>
      <c r="D205" s="209" t="str">
        <f t="array" aca="1" ref="D205" ca="1">IF(B205&lt;&gt;"",
IFERROR(MATCH(TRUE,ISNUMBER(INDIRECT("数出表_Excel【15時】!B"&amp;(A205+4)&amp;":ZZ"&amp;(A205+4))),0)+1,""),"")</f>
        <v/>
      </c>
      <c r="E205" t="str">
        <f ca="1">IF(D205&lt;&gt;"",
OFFSET(数出表_Excel【15時】!$A$1,2,D205-1)
&amp;IFERROR(OFFSET(数出表_Excel【15時】!$A$1,3,D205-1),"")
&amp;IFERROR(OFFSET(数出表_Excel【15時】!$A$1,4,D205-1),""),"")</f>
        <v/>
      </c>
      <c r="F205" t="str">
        <f ca="1">IF(D205&lt;&gt;"",
OFFSET(数出表_Excel【15時】!$A$1,A205+3,D205-1),"")</f>
        <v/>
      </c>
      <c r="G205" t="str">
        <f ca="1">IF(D205&lt;&gt;"",
IF(AND(OFFSET(数出表_Excel【15時】!$A$1,A205+3,D205)&lt;&gt;"",OFFSET(数出表_Excel【15時】!$A$1,A205+3,D205)&lt;&gt;0),
OFFSET(数出表_Excel【15時】!$A$1,A205+3,D205),""),"")</f>
        <v/>
      </c>
      <c r="H205" s="209" t="str">
        <f t="array" aca="1" ref="H205" ca="1">IF(B205&lt;&gt;"",
IFERROR(MATCH(TRUE,ISNUMBER(INDIRECT("数出表_Excel【15時】!"&amp;SUBSTITUTE(ADDRESS(1,D205+2,4),"1","")&amp;(A205+4)&amp;":ZZ"&amp;(A205+4))),0)+D205+1,""),"")</f>
        <v/>
      </c>
      <c r="I205" t="str">
        <f ca="1">IF(H205&lt;&gt;"",
OFFSET(数出表_Excel【15時】!$A$1,2,H205-1)
&amp;IFERROR(OFFSET(数出表_Excel【15時】!$A$1,3,H205-1),"")
&amp;IFERROR(OFFSET(数出表_Excel【15時】!$A$1,4,H205-1),""),"")</f>
        <v/>
      </c>
      <c r="J205" t="str">
        <f ca="1">IF(H205&lt;&gt;"",
OFFSET(数出表_Excel【15時】!$A$1,A205+3,H205-1),"")</f>
        <v/>
      </c>
      <c r="K205" t="str">
        <f ca="1">IF(H205&lt;&gt;"",
IF(AND(OFFSET(数出表_Excel【15時】!$A$1,A205+3,H205)&lt;&gt;"",OFFSET(数出表_Excel【15時】!$A$1,A205+3,H205)&lt;&gt;0),
OFFSET(数出表_Excel【15時】!$A$1,A205+3,H205),""),"")</f>
        <v/>
      </c>
      <c r="L205" s="209" t="str">
        <f t="array" aca="1" ref="L205" ca="1">IF(B205&lt;&gt;"",
IFERROR(MATCH(TRUE,ISNUMBER(INDIRECT("数出表_Excel【15時】!"&amp;SUBSTITUTE(ADDRESS(1,H205+2,4),"1","")&amp;(A205+4)&amp;":ZZ"&amp;(A205+4))),0)+H205+1,""),"")</f>
        <v/>
      </c>
      <c r="M205" t="str">
        <f ca="1">IF(L205&lt;&gt;"",
OFFSET(数出表_Excel【15時】!$A$1,2,L205-1)
&amp;IFERROR(OFFSET(数出表_Excel【15時】!$A$1,3,L205-1),"")
&amp;IFERROR(OFFSET(数出表_Excel【15時】!$A$1,4,L205-1),""),"")</f>
        <v/>
      </c>
      <c r="N205" t="str">
        <f ca="1">IF(L205&lt;&gt;"",
OFFSET(数出表_Excel【15時】!$A$1,A205+3,L205-1),"")</f>
        <v/>
      </c>
      <c r="O205" t="str">
        <f ca="1">IF(L205&lt;&gt;"",
IF(AND(OFFSET(数出表_Excel【15時】!$A$1,A205+3,L205)&lt;&gt;"",OFFSET(数出表_Excel【15時】!$A$1,A205+3,L205)&lt;&gt;0),
OFFSET(数出表_Excel【15時】!$A$1,A205+3,L205),""),"")</f>
        <v/>
      </c>
    </row>
    <row r="206" spans="1:17">
      <c r="A206" t="str">
        <f t="shared" ca="1" si="3"/>
        <v/>
      </c>
      <c r="B206" t="str">
        <f t="array" aca="1" ref="B206" ca="1">IF(OR(COUNTIF(数出表_Excel【15時】!AO210,"*修正*"),COUNTIF(数出表_Excel【15時】!AO211,"*修正*")),
IF(ISEVEN(ROW()+4),INDIRECT("数出表_Excel【15時】!A"&amp;ROW()+4&amp;""),INDIRECT("数出表_Excel【15時】!A"&amp;ROW()+4-1&amp;"")),"")</f>
        <v/>
      </c>
      <c r="C206" t="str">
        <f t="array" aca="1" ref="C206" ca="1">IF(OR(COUNTIF(数出表_Excel【15時】!AO210,"*修正*"),COUNTIF(数出表_Excel【15時】!AO211,"*修正*")),
IF(ISEVEN(ROW()+4),INDIRECT("数出表_Excel【15時】!A"&amp;ROW()+4+1&amp;""),INDIRECT("数出表_Excel【15時】!A"&amp;ROW()+4&amp;"")),"")</f>
        <v/>
      </c>
      <c r="D206" s="209" t="str">
        <f t="array" aca="1" ref="D206" ca="1">IF(B206&lt;&gt;"",
IFERROR(MATCH(TRUE,ISNUMBER(INDIRECT("数出表_Excel【15時】!B"&amp;(A206+4)&amp;":ZZ"&amp;(A206+4))),0)+1,""),"")</f>
        <v/>
      </c>
      <c r="E206" t="str">
        <f ca="1">IF(D206&lt;&gt;"",
OFFSET(数出表_Excel【15時】!$A$1,2,D206-1)
&amp;IFERROR(OFFSET(数出表_Excel【15時】!$A$1,3,D206-1),"")
&amp;IFERROR(OFFSET(数出表_Excel【15時】!$A$1,4,D206-1),""),"")</f>
        <v/>
      </c>
      <c r="F206" t="str">
        <f ca="1">IF(D206&lt;&gt;"",
OFFSET(数出表_Excel【15時】!$A$1,A206+3,D206-1),"")</f>
        <v/>
      </c>
      <c r="G206" t="str">
        <f ca="1">IF(D206&lt;&gt;"",
IF(AND(OFFSET(数出表_Excel【15時】!$A$1,A206+3,D206)&lt;&gt;"",OFFSET(数出表_Excel【15時】!$A$1,A206+3,D206)&lt;&gt;0),
OFFSET(数出表_Excel【15時】!$A$1,A206+3,D206),""),"")</f>
        <v/>
      </c>
      <c r="H206" s="209" t="str">
        <f t="array" aca="1" ref="H206" ca="1">IF(B206&lt;&gt;"",
IFERROR(MATCH(TRUE,ISNUMBER(INDIRECT("数出表_Excel【15時】!"&amp;SUBSTITUTE(ADDRESS(1,D206+2,4),"1","")&amp;(A206+4)&amp;":ZZ"&amp;(A206+4))),0)+D206+1,""),"")</f>
        <v/>
      </c>
      <c r="I206" t="str">
        <f ca="1">IF(H206&lt;&gt;"",
OFFSET(数出表_Excel【15時】!$A$1,2,H206-1)
&amp;IFERROR(OFFSET(数出表_Excel【15時】!$A$1,3,H206-1),"")
&amp;IFERROR(OFFSET(数出表_Excel【15時】!$A$1,4,H206-1),""),"")</f>
        <v/>
      </c>
      <c r="J206" t="str">
        <f ca="1">IF(H206&lt;&gt;"",
OFFSET(数出表_Excel【15時】!$A$1,A206+3,H206-1),"")</f>
        <v/>
      </c>
      <c r="K206" t="str">
        <f ca="1">IF(H206&lt;&gt;"",
IF(AND(OFFSET(数出表_Excel【15時】!$A$1,A206+3,H206)&lt;&gt;"",OFFSET(数出表_Excel【15時】!$A$1,A206+3,H206)&lt;&gt;0),
OFFSET(数出表_Excel【15時】!$A$1,A206+3,H206),""),"")</f>
        <v/>
      </c>
      <c r="L206" s="209" t="str">
        <f t="array" aca="1" ref="L206" ca="1">IF(B206&lt;&gt;"",
IFERROR(MATCH(TRUE,ISNUMBER(INDIRECT("数出表_Excel【15時】!"&amp;SUBSTITUTE(ADDRESS(1,H206+2,4),"1","")&amp;(A206+4)&amp;":ZZ"&amp;(A206+4))),0)+H206+1,""),"")</f>
        <v/>
      </c>
      <c r="M206" t="str">
        <f ca="1">IF(L206&lt;&gt;"",
OFFSET(数出表_Excel【15時】!$A$1,2,L206-1)
&amp;IFERROR(OFFSET(数出表_Excel【15時】!$A$1,3,L206-1),"")
&amp;IFERROR(OFFSET(数出表_Excel【15時】!$A$1,4,L206-1),""),"")</f>
        <v/>
      </c>
      <c r="N206" t="str">
        <f ca="1">IF(L206&lt;&gt;"",
OFFSET(数出表_Excel【15時】!$A$1,A206+3,L206-1),"")</f>
        <v/>
      </c>
      <c r="O206" t="str">
        <f ca="1">IF(L206&lt;&gt;"",
IF(AND(OFFSET(数出表_Excel【15時】!$A$1,A206+3,L206)&lt;&gt;"",OFFSET(数出表_Excel【15時】!$A$1,A206+3,L206)&lt;&gt;0),
OFFSET(数出表_Excel【15時】!$A$1,A206+3,L206),""),"")</f>
        <v/>
      </c>
      <c r="Q206" t="str">
        <f ca="1">IF(C206&lt;&gt;"",
IF(E206&lt;&gt;"",1,0)+IF(I206&lt;&gt;"",1,0)+IF(M206&lt;&gt;"",1,0),"")</f>
        <v/>
      </c>
    </row>
    <row r="207" spans="1:17">
      <c r="A207" t="str">
        <f t="shared" ca="1" si="3"/>
        <v/>
      </c>
      <c r="B207" t="str">
        <f t="array" aca="1" ref="B207" ca="1">IF(OR(COUNTIF(数出表_Excel【15時】!AO210,"*修正*"),COUNTIF(数出表_Excel【15時】!AO211,"*修正*")),
IF(ISEVEN(ROW()+4),INDIRECT("数出表_Excel【15時】!A"&amp;ROW()+4&amp;""),INDIRECT("数出表_Excel【15時】!A"&amp;ROW()+4-1&amp;"")),"")</f>
        <v/>
      </c>
      <c r="C207" t="str">
        <f t="array" aca="1" ref="C207" ca="1">IF(OR(COUNTIF(数出表_Excel【15時】!AO210,"*修正*"),COUNTIF(数出表_Excel【15時】!AO211,"*修正*")),
IF(ISEVEN(ROW()+4),INDIRECT("数出表_Excel【15時】!A"&amp;ROW()+4+1&amp;""),INDIRECT("数出表_Excel【15時】!A"&amp;ROW()+4&amp;"")),"")</f>
        <v/>
      </c>
      <c r="D207" s="209" t="str">
        <f t="array" aca="1" ref="D207" ca="1">IF(B207&lt;&gt;"",
IFERROR(MATCH(TRUE,ISNUMBER(INDIRECT("数出表_Excel【15時】!B"&amp;(A207+4)&amp;":ZZ"&amp;(A207+4))),0)+1,""),"")</f>
        <v/>
      </c>
      <c r="E207" t="str">
        <f ca="1">IF(D207&lt;&gt;"",
OFFSET(数出表_Excel【15時】!$A$1,2,D207-1)
&amp;IFERROR(OFFSET(数出表_Excel【15時】!$A$1,3,D207-1),"")
&amp;IFERROR(OFFSET(数出表_Excel【15時】!$A$1,4,D207-1),""),"")</f>
        <v/>
      </c>
      <c r="F207" t="str">
        <f ca="1">IF(D207&lt;&gt;"",
OFFSET(数出表_Excel【15時】!$A$1,A207+3,D207-1),"")</f>
        <v/>
      </c>
      <c r="G207" t="str">
        <f ca="1">IF(D207&lt;&gt;"",
IF(AND(OFFSET(数出表_Excel【15時】!$A$1,A207+3,D207)&lt;&gt;"",OFFSET(数出表_Excel【15時】!$A$1,A207+3,D207)&lt;&gt;0),
OFFSET(数出表_Excel【15時】!$A$1,A207+3,D207),""),"")</f>
        <v/>
      </c>
      <c r="H207" s="209" t="str">
        <f t="array" aca="1" ref="H207" ca="1">IF(B207&lt;&gt;"",
IFERROR(MATCH(TRUE,ISNUMBER(INDIRECT("数出表_Excel【15時】!"&amp;SUBSTITUTE(ADDRESS(1,D207+2,4),"1","")&amp;(A207+4)&amp;":ZZ"&amp;(A207+4))),0)+D207+1,""),"")</f>
        <v/>
      </c>
      <c r="I207" t="str">
        <f ca="1">IF(H207&lt;&gt;"",
OFFSET(数出表_Excel【15時】!$A$1,2,H207-1)
&amp;IFERROR(OFFSET(数出表_Excel【15時】!$A$1,3,H207-1),"")
&amp;IFERROR(OFFSET(数出表_Excel【15時】!$A$1,4,H207-1),""),"")</f>
        <v/>
      </c>
      <c r="J207" t="str">
        <f ca="1">IF(H207&lt;&gt;"",
OFFSET(数出表_Excel【15時】!$A$1,A207+3,H207-1),"")</f>
        <v/>
      </c>
      <c r="K207" t="str">
        <f ca="1">IF(H207&lt;&gt;"",
IF(AND(OFFSET(数出表_Excel【15時】!$A$1,A207+3,H207)&lt;&gt;"",OFFSET(数出表_Excel【15時】!$A$1,A207+3,H207)&lt;&gt;0),
OFFSET(数出表_Excel【15時】!$A$1,A207+3,H207),""),"")</f>
        <v/>
      </c>
      <c r="L207" s="209" t="str">
        <f t="array" aca="1" ref="L207" ca="1">IF(B207&lt;&gt;"",
IFERROR(MATCH(TRUE,ISNUMBER(INDIRECT("数出表_Excel【15時】!"&amp;SUBSTITUTE(ADDRESS(1,H207+2,4),"1","")&amp;(A207+4)&amp;":ZZ"&amp;(A207+4))),0)+H207+1,""),"")</f>
        <v/>
      </c>
      <c r="M207" t="str">
        <f ca="1">IF(L207&lt;&gt;"",
OFFSET(数出表_Excel【15時】!$A$1,2,L207-1)
&amp;IFERROR(OFFSET(数出表_Excel【15時】!$A$1,3,L207-1),"")
&amp;IFERROR(OFFSET(数出表_Excel【15時】!$A$1,4,L207-1),""),"")</f>
        <v/>
      </c>
      <c r="N207" t="str">
        <f ca="1">IF(L207&lt;&gt;"",
OFFSET(数出表_Excel【15時】!$A$1,A207+3,L207-1),"")</f>
        <v/>
      </c>
      <c r="O207" t="str">
        <f ca="1">IF(L207&lt;&gt;"",
IF(AND(OFFSET(数出表_Excel【15時】!$A$1,A207+3,L207)&lt;&gt;"",OFFSET(数出表_Excel【15時】!$A$1,A207+3,L207)&lt;&gt;0),
OFFSET(数出表_Excel【15時】!$A$1,A207+3,L207),""),"")</f>
        <v/>
      </c>
    </row>
    <row r="208" spans="1:17">
      <c r="A208" t="str">
        <f t="shared" ca="1" si="3"/>
        <v/>
      </c>
      <c r="B208" t="str">
        <f t="array" aca="1" ref="B208" ca="1">IF(OR(COUNTIF(数出表_Excel【15時】!AO212,"*修正*"),COUNTIF(数出表_Excel【15時】!AO213,"*修正*")),
IF(ISEVEN(ROW()+4),INDIRECT("数出表_Excel【15時】!A"&amp;ROW()+4&amp;""),INDIRECT("数出表_Excel【15時】!A"&amp;ROW()+4-1&amp;"")),"")</f>
        <v/>
      </c>
      <c r="C208" t="str">
        <f t="array" aca="1" ref="C208" ca="1">IF(OR(COUNTIF(数出表_Excel【15時】!AO212,"*修正*"),COUNTIF(数出表_Excel【15時】!AO213,"*修正*")),
IF(ISEVEN(ROW()+4),INDIRECT("数出表_Excel【15時】!A"&amp;ROW()+4+1&amp;""),INDIRECT("数出表_Excel【15時】!A"&amp;ROW()+4&amp;"")),"")</f>
        <v/>
      </c>
      <c r="D208" s="209" t="str">
        <f t="array" aca="1" ref="D208" ca="1">IF(B208&lt;&gt;"",
IFERROR(MATCH(TRUE,ISNUMBER(INDIRECT("数出表_Excel【15時】!B"&amp;(A208+4)&amp;":ZZ"&amp;(A208+4))),0)+1,""),"")</f>
        <v/>
      </c>
      <c r="E208" t="str">
        <f ca="1">IF(D208&lt;&gt;"",
OFFSET(数出表_Excel【15時】!$A$1,2,D208-1)
&amp;IFERROR(OFFSET(数出表_Excel【15時】!$A$1,3,D208-1),"")
&amp;IFERROR(OFFSET(数出表_Excel【15時】!$A$1,4,D208-1),""),"")</f>
        <v/>
      </c>
      <c r="F208" t="str">
        <f ca="1">IF(D208&lt;&gt;"",
OFFSET(数出表_Excel【15時】!$A$1,A208+3,D208-1),"")</f>
        <v/>
      </c>
      <c r="G208" t="str">
        <f ca="1">IF(D208&lt;&gt;"",
IF(AND(OFFSET(数出表_Excel【15時】!$A$1,A208+3,D208)&lt;&gt;"",OFFSET(数出表_Excel【15時】!$A$1,A208+3,D208)&lt;&gt;0),
OFFSET(数出表_Excel【15時】!$A$1,A208+3,D208),""),"")</f>
        <v/>
      </c>
      <c r="H208" s="209" t="str">
        <f t="array" aca="1" ref="H208" ca="1">IF(B208&lt;&gt;"",
IFERROR(MATCH(TRUE,ISNUMBER(INDIRECT("数出表_Excel【15時】!"&amp;SUBSTITUTE(ADDRESS(1,D208+2,4),"1","")&amp;(A208+4)&amp;":ZZ"&amp;(A208+4))),0)+D208+1,""),"")</f>
        <v/>
      </c>
      <c r="I208" t="str">
        <f ca="1">IF(H208&lt;&gt;"",
OFFSET(数出表_Excel【15時】!$A$1,2,H208-1)
&amp;IFERROR(OFFSET(数出表_Excel【15時】!$A$1,3,H208-1),"")
&amp;IFERROR(OFFSET(数出表_Excel【15時】!$A$1,4,H208-1),""),"")</f>
        <v/>
      </c>
      <c r="J208" t="str">
        <f ca="1">IF(H208&lt;&gt;"",
OFFSET(数出表_Excel【15時】!$A$1,A208+3,H208-1),"")</f>
        <v/>
      </c>
      <c r="K208" t="str">
        <f ca="1">IF(H208&lt;&gt;"",
IF(AND(OFFSET(数出表_Excel【15時】!$A$1,A208+3,H208)&lt;&gt;"",OFFSET(数出表_Excel【15時】!$A$1,A208+3,H208)&lt;&gt;0),
OFFSET(数出表_Excel【15時】!$A$1,A208+3,H208),""),"")</f>
        <v/>
      </c>
      <c r="L208" s="209" t="str">
        <f t="array" aca="1" ref="L208" ca="1">IF(B208&lt;&gt;"",
IFERROR(MATCH(TRUE,ISNUMBER(INDIRECT("数出表_Excel【15時】!"&amp;SUBSTITUTE(ADDRESS(1,H208+2,4),"1","")&amp;(A208+4)&amp;":ZZ"&amp;(A208+4))),0)+H208+1,""),"")</f>
        <v/>
      </c>
      <c r="M208" t="str">
        <f ca="1">IF(L208&lt;&gt;"",
OFFSET(数出表_Excel【15時】!$A$1,2,L208-1)
&amp;IFERROR(OFFSET(数出表_Excel【15時】!$A$1,3,L208-1),"")
&amp;IFERROR(OFFSET(数出表_Excel【15時】!$A$1,4,L208-1),""),"")</f>
        <v/>
      </c>
      <c r="N208" t="str">
        <f ca="1">IF(L208&lt;&gt;"",
OFFSET(数出表_Excel【15時】!$A$1,A208+3,L208-1),"")</f>
        <v/>
      </c>
      <c r="O208" t="str">
        <f ca="1">IF(L208&lt;&gt;"",
IF(AND(OFFSET(数出表_Excel【15時】!$A$1,A208+3,L208)&lt;&gt;"",OFFSET(数出表_Excel【15時】!$A$1,A208+3,L208)&lt;&gt;0),
OFFSET(数出表_Excel【15時】!$A$1,A208+3,L208),""),"")</f>
        <v/>
      </c>
      <c r="Q208" t="str">
        <f ca="1">IF(C208&lt;&gt;"",
IF(E208&lt;&gt;"",1,0)+IF(I208&lt;&gt;"",1,0)+IF(M208&lt;&gt;"",1,0),"")</f>
        <v/>
      </c>
    </row>
    <row r="209" spans="1:17">
      <c r="A209" t="str">
        <f t="shared" ca="1" si="3"/>
        <v/>
      </c>
      <c r="B209" t="str">
        <f t="array" aca="1" ref="B209" ca="1">IF(OR(COUNTIF(数出表_Excel【15時】!AO212,"*修正*"),COUNTIF(数出表_Excel【15時】!AO213,"*修正*")),
IF(ISEVEN(ROW()+4),INDIRECT("数出表_Excel【15時】!A"&amp;ROW()+4&amp;""),INDIRECT("数出表_Excel【15時】!A"&amp;ROW()+4-1&amp;"")),"")</f>
        <v/>
      </c>
      <c r="C209" t="str">
        <f t="array" aca="1" ref="C209" ca="1">IF(OR(COUNTIF(数出表_Excel【15時】!AO212,"*修正*"),COUNTIF(数出表_Excel【15時】!AO213,"*修正*")),
IF(ISEVEN(ROW()+4),INDIRECT("数出表_Excel【15時】!A"&amp;ROW()+4+1&amp;""),INDIRECT("数出表_Excel【15時】!A"&amp;ROW()+4&amp;"")),"")</f>
        <v/>
      </c>
      <c r="D209" s="209" t="str">
        <f t="array" aca="1" ref="D209" ca="1">IF(B209&lt;&gt;"",
IFERROR(MATCH(TRUE,ISNUMBER(INDIRECT("数出表_Excel【15時】!B"&amp;(A209+4)&amp;":ZZ"&amp;(A209+4))),0)+1,""),"")</f>
        <v/>
      </c>
      <c r="E209" t="str">
        <f ca="1">IF(D209&lt;&gt;"",
OFFSET(数出表_Excel【15時】!$A$1,2,D209-1)
&amp;IFERROR(OFFSET(数出表_Excel【15時】!$A$1,3,D209-1),"")
&amp;IFERROR(OFFSET(数出表_Excel【15時】!$A$1,4,D209-1),""),"")</f>
        <v/>
      </c>
      <c r="F209" t="str">
        <f ca="1">IF(D209&lt;&gt;"",
OFFSET(数出表_Excel【15時】!$A$1,A209+3,D209-1),"")</f>
        <v/>
      </c>
      <c r="G209" t="str">
        <f ca="1">IF(D209&lt;&gt;"",
IF(AND(OFFSET(数出表_Excel【15時】!$A$1,A209+3,D209)&lt;&gt;"",OFFSET(数出表_Excel【15時】!$A$1,A209+3,D209)&lt;&gt;0),
OFFSET(数出表_Excel【15時】!$A$1,A209+3,D209),""),"")</f>
        <v/>
      </c>
      <c r="H209" s="209" t="str">
        <f t="array" aca="1" ref="H209" ca="1">IF(B209&lt;&gt;"",
IFERROR(MATCH(TRUE,ISNUMBER(INDIRECT("数出表_Excel【15時】!"&amp;SUBSTITUTE(ADDRESS(1,D209+2,4),"1","")&amp;(A209+4)&amp;":ZZ"&amp;(A209+4))),0)+D209+1,""),"")</f>
        <v/>
      </c>
      <c r="I209" t="str">
        <f ca="1">IF(H209&lt;&gt;"",
OFFSET(数出表_Excel【15時】!$A$1,2,H209-1)
&amp;IFERROR(OFFSET(数出表_Excel【15時】!$A$1,3,H209-1),"")
&amp;IFERROR(OFFSET(数出表_Excel【15時】!$A$1,4,H209-1),""),"")</f>
        <v/>
      </c>
      <c r="J209" t="str">
        <f ca="1">IF(H209&lt;&gt;"",
OFFSET(数出表_Excel【15時】!$A$1,A209+3,H209-1),"")</f>
        <v/>
      </c>
      <c r="K209" t="str">
        <f ca="1">IF(H209&lt;&gt;"",
IF(AND(OFFSET(数出表_Excel【15時】!$A$1,A209+3,H209)&lt;&gt;"",OFFSET(数出表_Excel【15時】!$A$1,A209+3,H209)&lt;&gt;0),
OFFSET(数出表_Excel【15時】!$A$1,A209+3,H209),""),"")</f>
        <v/>
      </c>
      <c r="L209" s="209" t="str">
        <f t="array" aca="1" ref="L209" ca="1">IF(B209&lt;&gt;"",
IFERROR(MATCH(TRUE,ISNUMBER(INDIRECT("数出表_Excel【15時】!"&amp;SUBSTITUTE(ADDRESS(1,H209+2,4),"1","")&amp;(A209+4)&amp;":ZZ"&amp;(A209+4))),0)+H209+1,""),"")</f>
        <v/>
      </c>
      <c r="M209" t="str">
        <f ca="1">IF(L209&lt;&gt;"",
OFFSET(数出表_Excel【15時】!$A$1,2,L209-1)
&amp;IFERROR(OFFSET(数出表_Excel【15時】!$A$1,3,L209-1),"")
&amp;IFERROR(OFFSET(数出表_Excel【15時】!$A$1,4,L209-1),""),"")</f>
        <v/>
      </c>
      <c r="N209" t="str">
        <f ca="1">IF(L209&lt;&gt;"",
OFFSET(数出表_Excel【15時】!$A$1,A209+3,L209-1),"")</f>
        <v/>
      </c>
      <c r="O209" t="str">
        <f ca="1">IF(L209&lt;&gt;"",
IF(AND(OFFSET(数出表_Excel【15時】!$A$1,A209+3,L209)&lt;&gt;"",OFFSET(数出表_Excel【15時】!$A$1,A209+3,L209)&lt;&gt;0),
OFFSET(数出表_Excel【15時】!$A$1,A209+3,L209),""),"")</f>
        <v/>
      </c>
    </row>
    <row r="210" spans="1:17">
      <c r="A210" t="str">
        <f t="shared" ca="1" si="3"/>
        <v/>
      </c>
      <c r="B210" t="str">
        <f t="array" aca="1" ref="B210" ca="1">IF(OR(COUNTIF(数出表_Excel【15時】!AO214,"*修正*"),COUNTIF(数出表_Excel【15時】!AO215,"*修正*")),
IF(ISEVEN(ROW()+4),INDIRECT("数出表_Excel【15時】!A"&amp;ROW()+4&amp;""),INDIRECT("数出表_Excel【15時】!A"&amp;ROW()+4-1&amp;"")),"")</f>
        <v/>
      </c>
      <c r="C210" t="str">
        <f t="array" aca="1" ref="C210" ca="1">IF(OR(COUNTIF(数出表_Excel【15時】!AO214,"*修正*"),COUNTIF(数出表_Excel【15時】!AO215,"*修正*")),
IF(ISEVEN(ROW()+4),INDIRECT("数出表_Excel【15時】!A"&amp;ROW()+4+1&amp;""),INDIRECT("数出表_Excel【15時】!A"&amp;ROW()+4&amp;"")),"")</f>
        <v/>
      </c>
      <c r="D210" s="209" t="str">
        <f t="array" aca="1" ref="D210" ca="1">IF(B210&lt;&gt;"",
IFERROR(MATCH(TRUE,ISNUMBER(INDIRECT("数出表_Excel【15時】!B"&amp;(A210+4)&amp;":ZZ"&amp;(A210+4))),0)+1,""),"")</f>
        <v/>
      </c>
      <c r="E210" t="str">
        <f ca="1">IF(D210&lt;&gt;"",
OFFSET(数出表_Excel【15時】!$A$1,2,D210-1)
&amp;IFERROR(OFFSET(数出表_Excel【15時】!$A$1,3,D210-1),"")
&amp;IFERROR(OFFSET(数出表_Excel【15時】!$A$1,4,D210-1),""),"")</f>
        <v/>
      </c>
      <c r="F210" t="str">
        <f ca="1">IF(D210&lt;&gt;"",
OFFSET(数出表_Excel【15時】!$A$1,A210+3,D210-1),"")</f>
        <v/>
      </c>
      <c r="G210" t="str">
        <f ca="1">IF(D210&lt;&gt;"",
IF(AND(OFFSET(数出表_Excel【15時】!$A$1,A210+3,D210)&lt;&gt;"",OFFSET(数出表_Excel【15時】!$A$1,A210+3,D210)&lt;&gt;0),
OFFSET(数出表_Excel【15時】!$A$1,A210+3,D210),""),"")</f>
        <v/>
      </c>
      <c r="H210" s="209" t="str">
        <f t="array" aca="1" ref="H210" ca="1">IF(B210&lt;&gt;"",
IFERROR(MATCH(TRUE,ISNUMBER(INDIRECT("数出表_Excel【15時】!"&amp;SUBSTITUTE(ADDRESS(1,D210+2,4),"1","")&amp;(A210+4)&amp;":ZZ"&amp;(A210+4))),0)+D210+1,""),"")</f>
        <v/>
      </c>
      <c r="I210" t="str">
        <f ca="1">IF(H210&lt;&gt;"",
OFFSET(数出表_Excel【15時】!$A$1,2,H210-1)
&amp;IFERROR(OFFSET(数出表_Excel【15時】!$A$1,3,H210-1),"")
&amp;IFERROR(OFFSET(数出表_Excel【15時】!$A$1,4,H210-1),""),"")</f>
        <v/>
      </c>
      <c r="J210" t="str">
        <f ca="1">IF(H210&lt;&gt;"",
OFFSET(数出表_Excel【15時】!$A$1,A210+3,H210-1),"")</f>
        <v/>
      </c>
      <c r="K210" t="str">
        <f ca="1">IF(H210&lt;&gt;"",
IF(AND(OFFSET(数出表_Excel【15時】!$A$1,A210+3,H210)&lt;&gt;"",OFFSET(数出表_Excel【15時】!$A$1,A210+3,H210)&lt;&gt;0),
OFFSET(数出表_Excel【15時】!$A$1,A210+3,H210),""),"")</f>
        <v/>
      </c>
      <c r="L210" s="209" t="str">
        <f t="array" aca="1" ref="L210" ca="1">IF(B210&lt;&gt;"",
IFERROR(MATCH(TRUE,ISNUMBER(INDIRECT("数出表_Excel【15時】!"&amp;SUBSTITUTE(ADDRESS(1,H210+2,4),"1","")&amp;(A210+4)&amp;":ZZ"&amp;(A210+4))),0)+H210+1,""),"")</f>
        <v/>
      </c>
      <c r="M210" t="str">
        <f ca="1">IF(L210&lt;&gt;"",
OFFSET(数出表_Excel【15時】!$A$1,2,L210-1)
&amp;IFERROR(OFFSET(数出表_Excel【15時】!$A$1,3,L210-1),"")
&amp;IFERROR(OFFSET(数出表_Excel【15時】!$A$1,4,L210-1),""),"")</f>
        <v/>
      </c>
      <c r="N210" t="str">
        <f ca="1">IF(L210&lt;&gt;"",
OFFSET(数出表_Excel【15時】!$A$1,A210+3,L210-1),"")</f>
        <v/>
      </c>
      <c r="O210" t="str">
        <f ca="1">IF(L210&lt;&gt;"",
IF(AND(OFFSET(数出表_Excel【15時】!$A$1,A210+3,L210)&lt;&gt;"",OFFSET(数出表_Excel【15時】!$A$1,A210+3,L210)&lt;&gt;0),
OFFSET(数出表_Excel【15時】!$A$1,A210+3,L210),""),"")</f>
        <v/>
      </c>
      <c r="Q210" t="str">
        <f ca="1">IF(C210&lt;&gt;"",
IF(E210&lt;&gt;"",1,0)+IF(I210&lt;&gt;"",1,0)+IF(M210&lt;&gt;"",1,0),"")</f>
        <v/>
      </c>
    </row>
    <row r="211" spans="1:17">
      <c r="A211" t="str">
        <f t="shared" ca="1" si="3"/>
        <v/>
      </c>
      <c r="B211" t="str">
        <f t="array" aca="1" ref="B211" ca="1">IF(OR(COUNTIF(数出表_Excel【15時】!AO214,"*修正*"),COUNTIF(数出表_Excel【15時】!AO215,"*修正*")),
IF(ISEVEN(ROW()+4),INDIRECT("数出表_Excel【15時】!A"&amp;ROW()+4&amp;""),INDIRECT("数出表_Excel【15時】!A"&amp;ROW()+4-1&amp;"")),"")</f>
        <v/>
      </c>
      <c r="C211" t="str">
        <f t="array" aca="1" ref="C211" ca="1">IF(OR(COUNTIF(数出表_Excel【15時】!AO214,"*修正*"),COUNTIF(数出表_Excel【15時】!AO215,"*修正*")),
IF(ISEVEN(ROW()+4),INDIRECT("数出表_Excel【15時】!A"&amp;ROW()+4+1&amp;""),INDIRECT("数出表_Excel【15時】!A"&amp;ROW()+4&amp;"")),"")</f>
        <v/>
      </c>
      <c r="D211" s="209" t="str">
        <f t="array" aca="1" ref="D211" ca="1">IF(B211&lt;&gt;"",
IFERROR(MATCH(TRUE,ISNUMBER(INDIRECT("数出表_Excel【15時】!B"&amp;(A211+4)&amp;":ZZ"&amp;(A211+4))),0)+1,""),"")</f>
        <v/>
      </c>
      <c r="E211" t="str">
        <f ca="1">IF(D211&lt;&gt;"",
OFFSET(数出表_Excel【15時】!$A$1,2,D211-1)
&amp;IFERROR(OFFSET(数出表_Excel【15時】!$A$1,3,D211-1),"")
&amp;IFERROR(OFFSET(数出表_Excel【15時】!$A$1,4,D211-1),""),"")</f>
        <v/>
      </c>
      <c r="F211" t="str">
        <f ca="1">IF(D211&lt;&gt;"",
OFFSET(数出表_Excel【15時】!$A$1,A211+3,D211-1),"")</f>
        <v/>
      </c>
      <c r="G211" t="str">
        <f ca="1">IF(D211&lt;&gt;"",
IF(AND(OFFSET(数出表_Excel【15時】!$A$1,A211+3,D211)&lt;&gt;"",OFFSET(数出表_Excel【15時】!$A$1,A211+3,D211)&lt;&gt;0),
OFFSET(数出表_Excel【15時】!$A$1,A211+3,D211),""),"")</f>
        <v/>
      </c>
      <c r="H211" s="209" t="str">
        <f t="array" aca="1" ref="H211" ca="1">IF(B211&lt;&gt;"",
IFERROR(MATCH(TRUE,ISNUMBER(INDIRECT("数出表_Excel【15時】!"&amp;SUBSTITUTE(ADDRESS(1,D211+2,4),"1","")&amp;(A211+4)&amp;":ZZ"&amp;(A211+4))),0)+D211+1,""),"")</f>
        <v/>
      </c>
      <c r="I211" t="str">
        <f ca="1">IF(H211&lt;&gt;"",
OFFSET(数出表_Excel【15時】!$A$1,2,H211-1)
&amp;IFERROR(OFFSET(数出表_Excel【15時】!$A$1,3,H211-1),"")
&amp;IFERROR(OFFSET(数出表_Excel【15時】!$A$1,4,H211-1),""),"")</f>
        <v/>
      </c>
      <c r="J211" t="str">
        <f ca="1">IF(H211&lt;&gt;"",
OFFSET(数出表_Excel【15時】!$A$1,A211+3,H211-1),"")</f>
        <v/>
      </c>
      <c r="K211" t="str">
        <f ca="1">IF(H211&lt;&gt;"",
IF(AND(OFFSET(数出表_Excel【15時】!$A$1,A211+3,H211)&lt;&gt;"",OFFSET(数出表_Excel【15時】!$A$1,A211+3,H211)&lt;&gt;0),
OFFSET(数出表_Excel【15時】!$A$1,A211+3,H211),""),"")</f>
        <v/>
      </c>
      <c r="L211" s="209" t="str">
        <f t="array" aca="1" ref="L211" ca="1">IF(B211&lt;&gt;"",
IFERROR(MATCH(TRUE,ISNUMBER(INDIRECT("数出表_Excel【15時】!"&amp;SUBSTITUTE(ADDRESS(1,H211+2,4),"1","")&amp;(A211+4)&amp;":ZZ"&amp;(A211+4))),0)+H211+1,""),"")</f>
        <v/>
      </c>
      <c r="M211" t="str">
        <f ca="1">IF(L211&lt;&gt;"",
OFFSET(数出表_Excel【15時】!$A$1,2,L211-1)
&amp;IFERROR(OFFSET(数出表_Excel【15時】!$A$1,3,L211-1),"")
&amp;IFERROR(OFFSET(数出表_Excel【15時】!$A$1,4,L211-1),""),"")</f>
        <v/>
      </c>
      <c r="N211" t="str">
        <f ca="1">IF(L211&lt;&gt;"",
OFFSET(数出表_Excel【15時】!$A$1,A211+3,L211-1),"")</f>
        <v/>
      </c>
      <c r="O211" t="str">
        <f ca="1">IF(L211&lt;&gt;"",
IF(AND(OFFSET(数出表_Excel【15時】!$A$1,A211+3,L211)&lt;&gt;"",OFFSET(数出表_Excel【15時】!$A$1,A211+3,L211)&lt;&gt;0),
OFFSET(数出表_Excel【15時】!$A$1,A211+3,L211),""),"")</f>
        <v/>
      </c>
    </row>
    <row r="212" spans="1:17">
      <c r="A212" t="str">
        <f t="shared" ca="1" si="3"/>
        <v/>
      </c>
      <c r="B212" t="str">
        <f t="array" aca="1" ref="B212" ca="1">IF(OR(COUNTIF(数出表_Excel【15時】!AO216,"*修正*"),COUNTIF(数出表_Excel【15時】!AO217,"*修正*")),
IF(ISEVEN(ROW()+4),INDIRECT("数出表_Excel【15時】!A"&amp;ROW()+4&amp;""),INDIRECT("数出表_Excel【15時】!A"&amp;ROW()+4-1&amp;"")),"")</f>
        <v/>
      </c>
      <c r="C212" t="str">
        <f t="array" aca="1" ref="C212" ca="1">IF(OR(COUNTIF(数出表_Excel【15時】!AO216,"*修正*"),COUNTIF(数出表_Excel【15時】!AO217,"*修正*")),
IF(ISEVEN(ROW()+4),INDIRECT("数出表_Excel【15時】!A"&amp;ROW()+4+1&amp;""),INDIRECT("数出表_Excel【15時】!A"&amp;ROW()+4&amp;"")),"")</f>
        <v/>
      </c>
      <c r="D212" s="209" t="str">
        <f t="array" aca="1" ref="D212" ca="1">IF(B212&lt;&gt;"",
IFERROR(MATCH(TRUE,ISNUMBER(INDIRECT("数出表_Excel【15時】!B"&amp;(A212+4)&amp;":ZZ"&amp;(A212+4))),0)+1,""),"")</f>
        <v/>
      </c>
      <c r="E212" t="str">
        <f ca="1">IF(D212&lt;&gt;"",
OFFSET(数出表_Excel【15時】!$A$1,2,D212-1)
&amp;IFERROR(OFFSET(数出表_Excel【15時】!$A$1,3,D212-1),"")
&amp;IFERROR(OFFSET(数出表_Excel【15時】!$A$1,4,D212-1),""),"")</f>
        <v/>
      </c>
      <c r="F212" t="str">
        <f ca="1">IF(D212&lt;&gt;"",
OFFSET(数出表_Excel【15時】!$A$1,A212+3,D212-1),"")</f>
        <v/>
      </c>
      <c r="G212" t="str">
        <f ca="1">IF(D212&lt;&gt;"",
IF(AND(OFFSET(数出表_Excel【15時】!$A$1,A212+3,D212)&lt;&gt;"",OFFSET(数出表_Excel【15時】!$A$1,A212+3,D212)&lt;&gt;0),
OFFSET(数出表_Excel【15時】!$A$1,A212+3,D212),""),"")</f>
        <v/>
      </c>
      <c r="H212" s="209" t="str">
        <f t="array" aca="1" ref="H212" ca="1">IF(B212&lt;&gt;"",
IFERROR(MATCH(TRUE,ISNUMBER(INDIRECT("数出表_Excel【15時】!"&amp;SUBSTITUTE(ADDRESS(1,D212+2,4),"1","")&amp;(A212+4)&amp;":ZZ"&amp;(A212+4))),0)+D212+1,""),"")</f>
        <v/>
      </c>
      <c r="I212" t="str">
        <f ca="1">IF(H212&lt;&gt;"",
OFFSET(数出表_Excel【15時】!$A$1,2,H212-1)
&amp;IFERROR(OFFSET(数出表_Excel【15時】!$A$1,3,H212-1),"")
&amp;IFERROR(OFFSET(数出表_Excel【15時】!$A$1,4,H212-1),""),"")</f>
        <v/>
      </c>
      <c r="J212" t="str">
        <f ca="1">IF(H212&lt;&gt;"",
OFFSET(数出表_Excel【15時】!$A$1,A212+3,H212-1),"")</f>
        <v/>
      </c>
      <c r="K212" t="str">
        <f ca="1">IF(H212&lt;&gt;"",
IF(AND(OFFSET(数出表_Excel【15時】!$A$1,A212+3,H212)&lt;&gt;"",OFFSET(数出表_Excel【15時】!$A$1,A212+3,H212)&lt;&gt;0),
OFFSET(数出表_Excel【15時】!$A$1,A212+3,H212),""),"")</f>
        <v/>
      </c>
      <c r="L212" s="209" t="str">
        <f t="array" aca="1" ref="L212" ca="1">IF(B212&lt;&gt;"",
IFERROR(MATCH(TRUE,ISNUMBER(INDIRECT("数出表_Excel【15時】!"&amp;SUBSTITUTE(ADDRESS(1,H212+2,4),"1","")&amp;(A212+4)&amp;":ZZ"&amp;(A212+4))),0)+H212+1,""),"")</f>
        <v/>
      </c>
      <c r="M212" t="str">
        <f ca="1">IF(L212&lt;&gt;"",
OFFSET(数出表_Excel【15時】!$A$1,2,L212-1)
&amp;IFERROR(OFFSET(数出表_Excel【15時】!$A$1,3,L212-1),"")
&amp;IFERROR(OFFSET(数出表_Excel【15時】!$A$1,4,L212-1),""),"")</f>
        <v/>
      </c>
      <c r="N212" t="str">
        <f ca="1">IF(L212&lt;&gt;"",
OFFSET(数出表_Excel【15時】!$A$1,A212+3,L212-1),"")</f>
        <v/>
      </c>
      <c r="O212" t="str">
        <f ca="1">IF(L212&lt;&gt;"",
IF(AND(OFFSET(数出表_Excel【15時】!$A$1,A212+3,L212)&lt;&gt;"",OFFSET(数出表_Excel【15時】!$A$1,A212+3,L212)&lt;&gt;0),
OFFSET(数出表_Excel【15時】!$A$1,A212+3,L212),""),"")</f>
        <v/>
      </c>
      <c r="Q212" t="str">
        <f ca="1">IF(C212&lt;&gt;"",
IF(E212&lt;&gt;"",1,0)+IF(I212&lt;&gt;"",1,0)+IF(M212&lt;&gt;"",1,0),"")</f>
        <v/>
      </c>
    </row>
    <row r="213" spans="1:17">
      <c r="A213" t="str">
        <f t="shared" ca="1" si="3"/>
        <v/>
      </c>
      <c r="B213" t="str">
        <f t="array" aca="1" ref="B213" ca="1">IF(OR(COUNTIF(数出表_Excel【15時】!AO216,"*修正*"),COUNTIF(数出表_Excel【15時】!AO217,"*修正*")),
IF(ISEVEN(ROW()+4),INDIRECT("数出表_Excel【15時】!A"&amp;ROW()+4&amp;""),INDIRECT("数出表_Excel【15時】!A"&amp;ROW()+4-1&amp;"")),"")</f>
        <v/>
      </c>
      <c r="C213" t="str">
        <f t="array" aca="1" ref="C213" ca="1">IF(OR(COUNTIF(数出表_Excel【15時】!AO216,"*修正*"),COUNTIF(数出表_Excel【15時】!AO217,"*修正*")),
IF(ISEVEN(ROW()+4),INDIRECT("数出表_Excel【15時】!A"&amp;ROW()+4+1&amp;""),INDIRECT("数出表_Excel【15時】!A"&amp;ROW()+4&amp;"")),"")</f>
        <v/>
      </c>
      <c r="D213" s="209" t="str">
        <f t="array" aca="1" ref="D213" ca="1">IF(B213&lt;&gt;"",
IFERROR(MATCH(TRUE,ISNUMBER(INDIRECT("数出表_Excel【15時】!B"&amp;(A213+4)&amp;":ZZ"&amp;(A213+4))),0)+1,""),"")</f>
        <v/>
      </c>
      <c r="E213" t="str">
        <f ca="1">IF(D213&lt;&gt;"",
OFFSET(数出表_Excel【15時】!$A$1,2,D213-1)
&amp;IFERROR(OFFSET(数出表_Excel【15時】!$A$1,3,D213-1),"")
&amp;IFERROR(OFFSET(数出表_Excel【15時】!$A$1,4,D213-1),""),"")</f>
        <v/>
      </c>
      <c r="F213" t="str">
        <f ca="1">IF(D213&lt;&gt;"",
OFFSET(数出表_Excel【15時】!$A$1,A213+3,D213-1),"")</f>
        <v/>
      </c>
      <c r="G213" t="str">
        <f ca="1">IF(D213&lt;&gt;"",
IF(AND(OFFSET(数出表_Excel【15時】!$A$1,A213+3,D213)&lt;&gt;"",OFFSET(数出表_Excel【15時】!$A$1,A213+3,D213)&lt;&gt;0),
OFFSET(数出表_Excel【15時】!$A$1,A213+3,D213),""),"")</f>
        <v/>
      </c>
      <c r="H213" s="209" t="str">
        <f t="array" aca="1" ref="H213" ca="1">IF(B213&lt;&gt;"",
IFERROR(MATCH(TRUE,ISNUMBER(INDIRECT("数出表_Excel【15時】!"&amp;SUBSTITUTE(ADDRESS(1,D213+2,4),"1","")&amp;(A213+4)&amp;":ZZ"&amp;(A213+4))),0)+D213+1,""),"")</f>
        <v/>
      </c>
      <c r="I213" t="str">
        <f ca="1">IF(H213&lt;&gt;"",
OFFSET(数出表_Excel【15時】!$A$1,2,H213-1)
&amp;IFERROR(OFFSET(数出表_Excel【15時】!$A$1,3,H213-1),"")
&amp;IFERROR(OFFSET(数出表_Excel【15時】!$A$1,4,H213-1),""),"")</f>
        <v/>
      </c>
      <c r="J213" t="str">
        <f ca="1">IF(H213&lt;&gt;"",
OFFSET(数出表_Excel【15時】!$A$1,A213+3,H213-1),"")</f>
        <v/>
      </c>
      <c r="K213" t="str">
        <f ca="1">IF(H213&lt;&gt;"",
IF(AND(OFFSET(数出表_Excel【15時】!$A$1,A213+3,H213)&lt;&gt;"",OFFSET(数出表_Excel【15時】!$A$1,A213+3,H213)&lt;&gt;0),
OFFSET(数出表_Excel【15時】!$A$1,A213+3,H213),""),"")</f>
        <v/>
      </c>
      <c r="L213" s="209" t="str">
        <f t="array" aca="1" ref="L213" ca="1">IF(B213&lt;&gt;"",
IFERROR(MATCH(TRUE,ISNUMBER(INDIRECT("数出表_Excel【15時】!"&amp;SUBSTITUTE(ADDRESS(1,H213+2,4),"1","")&amp;(A213+4)&amp;":ZZ"&amp;(A213+4))),0)+H213+1,""),"")</f>
        <v/>
      </c>
      <c r="M213" t="str">
        <f ca="1">IF(L213&lt;&gt;"",
OFFSET(数出表_Excel【15時】!$A$1,2,L213-1)
&amp;IFERROR(OFFSET(数出表_Excel【15時】!$A$1,3,L213-1),"")
&amp;IFERROR(OFFSET(数出表_Excel【15時】!$A$1,4,L213-1),""),"")</f>
        <v/>
      </c>
      <c r="N213" t="str">
        <f ca="1">IF(L213&lt;&gt;"",
OFFSET(数出表_Excel【15時】!$A$1,A213+3,L213-1),"")</f>
        <v/>
      </c>
      <c r="O213" t="str">
        <f ca="1">IF(L213&lt;&gt;"",
IF(AND(OFFSET(数出表_Excel【15時】!$A$1,A213+3,L213)&lt;&gt;"",OFFSET(数出表_Excel【15時】!$A$1,A213+3,L213)&lt;&gt;0),
OFFSET(数出表_Excel【15時】!$A$1,A213+3,L213),""),"")</f>
        <v/>
      </c>
    </row>
    <row r="214" spans="1:17">
      <c r="A214" t="str">
        <f t="shared" ca="1" si="3"/>
        <v/>
      </c>
      <c r="B214" t="str">
        <f t="array" aca="1" ref="B214" ca="1">IF(OR(COUNTIF(数出表_Excel【15時】!AO218,"*修正*"),COUNTIF(数出表_Excel【15時】!AO219,"*修正*")),
IF(ISEVEN(ROW()+4),INDIRECT("数出表_Excel【15時】!A"&amp;ROW()+4&amp;""),INDIRECT("数出表_Excel【15時】!A"&amp;ROW()+4-1&amp;"")),"")</f>
        <v/>
      </c>
      <c r="C214" t="str">
        <f t="array" aca="1" ref="C214" ca="1">IF(OR(COUNTIF(数出表_Excel【15時】!AO218,"*修正*"),COUNTIF(数出表_Excel【15時】!AO219,"*修正*")),
IF(ISEVEN(ROW()+4),INDIRECT("数出表_Excel【15時】!A"&amp;ROW()+4+1&amp;""),INDIRECT("数出表_Excel【15時】!A"&amp;ROW()+4&amp;"")),"")</f>
        <v/>
      </c>
      <c r="D214" s="209" t="str">
        <f t="array" aca="1" ref="D214" ca="1">IF(B214&lt;&gt;"",
IFERROR(MATCH(TRUE,ISNUMBER(INDIRECT("数出表_Excel【15時】!B"&amp;(A214+4)&amp;":ZZ"&amp;(A214+4))),0)+1,""),"")</f>
        <v/>
      </c>
      <c r="E214" t="str">
        <f ca="1">IF(D214&lt;&gt;"",
OFFSET(数出表_Excel【15時】!$A$1,2,D214-1)
&amp;IFERROR(OFFSET(数出表_Excel【15時】!$A$1,3,D214-1),"")
&amp;IFERROR(OFFSET(数出表_Excel【15時】!$A$1,4,D214-1),""),"")</f>
        <v/>
      </c>
      <c r="F214" t="str">
        <f ca="1">IF(D214&lt;&gt;"",
OFFSET(数出表_Excel【15時】!$A$1,A214+3,D214-1),"")</f>
        <v/>
      </c>
      <c r="G214" t="str">
        <f ca="1">IF(D214&lt;&gt;"",
IF(AND(OFFSET(数出表_Excel【15時】!$A$1,A214+3,D214)&lt;&gt;"",OFFSET(数出表_Excel【15時】!$A$1,A214+3,D214)&lt;&gt;0),
OFFSET(数出表_Excel【15時】!$A$1,A214+3,D214),""),"")</f>
        <v/>
      </c>
      <c r="H214" s="209" t="str">
        <f t="array" aca="1" ref="H214" ca="1">IF(B214&lt;&gt;"",
IFERROR(MATCH(TRUE,ISNUMBER(INDIRECT("数出表_Excel【15時】!"&amp;SUBSTITUTE(ADDRESS(1,D214+2,4),"1","")&amp;(A214+4)&amp;":ZZ"&amp;(A214+4))),0)+D214+1,""),"")</f>
        <v/>
      </c>
      <c r="I214" t="str">
        <f ca="1">IF(H214&lt;&gt;"",
OFFSET(数出表_Excel【15時】!$A$1,2,H214-1)
&amp;IFERROR(OFFSET(数出表_Excel【15時】!$A$1,3,H214-1),"")
&amp;IFERROR(OFFSET(数出表_Excel【15時】!$A$1,4,H214-1),""),"")</f>
        <v/>
      </c>
      <c r="J214" t="str">
        <f ca="1">IF(H214&lt;&gt;"",
OFFSET(数出表_Excel【15時】!$A$1,A214+3,H214-1),"")</f>
        <v/>
      </c>
      <c r="K214" t="str">
        <f ca="1">IF(H214&lt;&gt;"",
IF(AND(OFFSET(数出表_Excel【15時】!$A$1,A214+3,H214)&lt;&gt;"",OFFSET(数出表_Excel【15時】!$A$1,A214+3,H214)&lt;&gt;0),
OFFSET(数出表_Excel【15時】!$A$1,A214+3,H214),""),"")</f>
        <v/>
      </c>
      <c r="L214" s="209" t="str">
        <f t="array" aca="1" ref="L214" ca="1">IF(B214&lt;&gt;"",
IFERROR(MATCH(TRUE,ISNUMBER(INDIRECT("数出表_Excel【15時】!"&amp;SUBSTITUTE(ADDRESS(1,H214+2,4),"1","")&amp;(A214+4)&amp;":ZZ"&amp;(A214+4))),0)+H214+1,""),"")</f>
        <v/>
      </c>
      <c r="M214" t="str">
        <f ca="1">IF(L214&lt;&gt;"",
OFFSET(数出表_Excel【15時】!$A$1,2,L214-1)
&amp;IFERROR(OFFSET(数出表_Excel【15時】!$A$1,3,L214-1),"")
&amp;IFERROR(OFFSET(数出表_Excel【15時】!$A$1,4,L214-1),""),"")</f>
        <v/>
      </c>
      <c r="N214" t="str">
        <f ca="1">IF(L214&lt;&gt;"",
OFFSET(数出表_Excel【15時】!$A$1,A214+3,L214-1),"")</f>
        <v/>
      </c>
      <c r="O214" t="str">
        <f ca="1">IF(L214&lt;&gt;"",
IF(AND(OFFSET(数出表_Excel【15時】!$A$1,A214+3,L214)&lt;&gt;"",OFFSET(数出表_Excel【15時】!$A$1,A214+3,L214)&lt;&gt;0),
OFFSET(数出表_Excel【15時】!$A$1,A214+3,L214),""),"")</f>
        <v/>
      </c>
      <c r="Q214" t="str">
        <f ca="1">IF(C214&lt;&gt;"",
IF(E214&lt;&gt;"",1,0)+IF(I214&lt;&gt;"",1,0)+IF(M214&lt;&gt;"",1,0),"")</f>
        <v/>
      </c>
    </row>
    <row r="215" spans="1:17">
      <c r="A215" t="str">
        <f t="shared" ca="1" si="3"/>
        <v/>
      </c>
      <c r="B215" t="str">
        <f t="array" aca="1" ref="B215" ca="1">IF(OR(COUNTIF(数出表_Excel【15時】!AO218,"*修正*"),COUNTIF(数出表_Excel【15時】!AO219,"*修正*")),
IF(ISEVEN(ROW()+4),INDIRECT("数出表_Excel【15時】!A"&amp;ROW()+4&amp;""),INDIRECT("数出表_Excel【15時】!A"&amp;ROW()+4-1&amp;"")),"")</f>
        <v/>
      </c>
      <c r="C215" t="str">
        <f t="array" aca="1" ref="C215" ca="1">IF(OR(COUNTIF(数出表_Excel【15時】!AO218,"*修正*"),COUNTIF(数出表_Excel【15時】!AO219,"*修正*")),
IF(ISEVEN(ROW()+4),INDIRECT("数出表_Excel【15時】!A"&amp;ROW()+4+1&amp;""),INDIRECT("数出表_Excel【15時】!A"&amp;ROW()+4&amp;"")),"")</f>
        <v/>
      </c>
      <c r="D215" s="209" t="str">
        <f t="array" aca="1" ref="D215" ca="1">IF(B215&lt;&gt;"",
IFERROR(MATCH(TRUE,ISNUMBER(INDIRECT("数出表_Excel【15時】!B"&amp;(A215+4)&amp;":ZZ"&amp;(A215+4))),0)+1,""),"")</f>
        <v/>
      </c>
      <c r="E215" t="str">
        <f ca="1">IF(D215&lt;&gt;"",
OFFSET(数出表_Excel【15時】!$A$1,2,D215-1)
&amp;IFERROR(OFFSET(数出表_Excel【15時】!$A$1,3,D215-1),"")
&amp;IFERROR(OFFSET(数出表_Excel【15時】!$A$1,4,D215-1),""),"")</f>
        <v/>
      </c>
      <c r="F215" t="str">
        <f ca="1">IF(D215&lt;&gt;"",
OFFSET(数出表_Excel【15時】!$A$1,A215+3,D215-1),"")</f>
        <v/>
      </c>
      <c r="G215" t="str">
        <f ca="1">IF(D215&lt;&gt;"",
IF(AND(OFFSET(数出表_Excel【15時】!$A$1,A215+3,D215)&lt;&gt;"",OFFSET(数出表_Excel【15時】!$A$1,A215+3,D215)&lt;&gt;0),
OFFSET(数出表_Excel【15時】!$A$1,A215+3,D215),""),"")</f>
        <v/>
      </c>
      <c r="H215" s="209" t="str">
        <f t="array" aca="1" ref="H215" ca="1">IF(B215&lt;&gt;"",
IFERROR(MATCH(TRUE,ISNUMBER(INDIRECT("数出表_Excel【15時】!"&amp;SUBSTITUTE(ADDRESS(1,D215+2,4),"1","")&amp;(A215+4)&amp;":ZZ"&amp;(A215+4))),0)+D215+1,""),"")</f>
        <v/>
      </c>
      <c r="I215" t="str">
        <f ca="1">IF(H215&lt;&gt;"",
OFFSET(数出表_Excel【15時】!$A$1,2,H215-1)
&amp;IFERROR(OFFSET(数出表_Excel【15時】!$A$1,3,H215-1),"")
&amp;IFERROR(OFFSET(数出表_Excel【15時】!$A$1,4,H215-1),""),"")</f>
        <v/>
      </c>
      <c r="J215" t="str">
        <f ca="1">IF(H215&lt;&gt;"",
OFFSET(数出表_Excel【15時】!$A$1,A215+3,H215-1),"")</f>
        <v/>
      </c>
      <c r="K215" t="str">
        <f ca="1">IF(H215&lt;&gt;"",
IF(AND(OFFSET(数出表_Excel【15時】!$A$1,A215+3,H215)&lt;&gt;"",OFFSET(数出表_Excel【15時】!$A$1,A215+3,H215)&lt;&gt;0),
OFFSET(数出表_Excel【15時】!$A$1,A215+3,H215),""),"")</f>
        <v/>
      </c>
      <c r="L215" s="209" t="str">
        <f t="array" aca="1" ref="L215" ca="1">IF(B215&lt;&gt;"",
IFERROR(MATCH(TRUE,ISNUMBER(INDIRECT("数出表_Excel【15時】!"&amp;SUBSTITUTE(ADDRESS(1,H215+2,4),"1","")&amp;(A215+4)&amp;":ZZ"&amp;(A215+4))),0)+H215+1,""),"")</f>
        <v/>
      </c>
      <c r="M215" t="str">
        <f ca="1">IF(L215&lt;&gt;"",
OFFSET(数出表_Excel【15時】!$A$1,2,L215-1)
&amp;IFERROR(OFFSET(数出表_Excel【15時】!$A$1,3,L215-1),"")
&amp;IFERROR(OFFSET(数出表_Excel【15時】!$A$1,4,L215-1),""),"")</f>
        <v/>
      </c>
      <c r="N215" t="str">
        <f ca="1">IF(L215&lt;&gt;"",
OFFSET(数出表_Excel【15時】!$A$1,A215+3,L215-1),"")</f>
        <v/>
      </c>
      <c r="O215" t="str">
        <f ca="1">IF(L215&lt;&gt;"",
IF(AND(OFFSET(数出表_Excel【15時】!$A$1,A215+3,L215)&lt;&gt;"",OFFSET(数出表_Excel【15時】!$A$1,A215+3,L215)&lt;&gt;0),
OFFSET(数出表_Excel【15時】!$A$1,A215+3,L215),""),"")</f>
        <v/>
      </c>
    </row>
    <row r="216" spans="1:17">
      <c r="A216" t="str">
        <f t="shared" ca="1" si="3"/>
        <v/>
      </c>
      <c r="B216" t="str">
        <f t="array" aca="1" ref="B216" ca="1">IF(OR(COUNTIF(数出表_Excel【15時】!AO220,"*修正*"),COUNTIF(数出表_Excel【15時】!AO221,"*修正*")),
IF(ISEVEN(ROW()+4),INDIRECT("数出表_Excel【15時】!A"&amp;ROW()+4&amp;""),INDIRECT("数出表_Excel【15時】!A"&amp;ROW()+4-1&amp;"")),"")</f>
        <v/>
      </c>
      <c r="C216" t="str">
        <f t="array" aca="1" ref="C216" ca="1">IF(OR(COUNTIF(数出表_Excel【15時】!AO220,"*修正*"),COUNTIF(数出表_Excel【15時】!AO221,"*修正*")),
IF(ISEVEN(ROW()+4),INDIRECT("数出表_Excel【15時】!A"&amp;ROW()+4+1&amp;""),INDIRECT("数出表_Excel【15時】!A"&amp;ROW()+4&amp;"")),"")</f>
        <v/>
      </c>
      <c r="D216" s="209" t="str">
        <f t="array" aca="1" ref="D216" ca="1">IF(B216&lt;&gt;"",
IFERROR(MATCH(TRUE,ISNUMBER(INDIRECT("数出表_Excel【15時】!B"&amp;(A216+4)&amp;":ZZ"&amp;(A216+4))),0)+1,""),"")</f>
        <v/>
      </c>
      <c r="E216" t="str">
        <f ca="1">IF(D216&lt;&gt;"",
OFFSET(数出表_Excel【15時】!$A$1,2,D216-1)
&amp;IFERROR(OFFSET(数出表_Excel【15時】!$A$1,3,D216-1),"")
&amp;IFERROR(OFFSET(数出表_Excel【15時】!$A$1,4,D216-1),""),"")</f>
        <v/>
      </c>
      <c r="F216" t="str">
        <f ca="1">IF(D216&lt;&gt;"",
OFFSET(数出表_Excel【15時】!$A$1,A216+3,D216-1),"")</f>
        <v/>
      </c>
      <c r="G216" t="str">
        <f ca="1">IF(D216&lt;&gt;"",
IF(AND(OFFSET(数出表_Excel【15時】!$A$1,A216+3,D216)&lt;&gt;"",OFFSET(数出表_Excel【15時】!$A$1,A216+3,D216)&lt;&gt;0),
OFFSET(数出表_Excel【15時】!$A$1,A216+3,D216),""),"")</f>
        <v/>
      </c>
      <c r="H216" s="209" t="str">
        <f t="array" aca="1" ref="H216" ca="1">IF(B216&lt;&gt;"",
IFERROR(MATCH(TRUE,ISNUMBER(INDIRECT("数出表_Excel【15時】!"&amp;SUBSTITUTE(ADDRESS(1,D216+2,4),"1","")&amp;(A216+4)&amp;":ZZ"&amp;(A216+4))),0)+D216+1,""),"")</f>
        <v/>
      </c>
      <c r="I216" t="str">
        <f ca="1">IF(H216&lt;&gt;"",
OFFSET(数出表_Excel【15時】!$A$1,2,H216-1)
&amp;IFERROR(OFFSET(数出表_Excel【15時】!$A$1,3,H216-1),"")
&amp;IFERROR(OFFSET(数出表_Excel【15時】!$A$1,4,H216-1),""),"")</f>
        <v/>
      </c>
      <c r="J216" t="str">
        <f ca="1">IF(H216&lt;&gt;"",
OFFSET(数出表_Excel【15時】!$A$1,A216+3,H216-1),"")</f>
        <v/>
      </c>
      <c r="K216" t="str">
        <f ca="1">IF(H216&lt;&gt;"",
IF(AND(OFFSET(数出表_Excel【15時】!$A$1,A216+3,H216)&lt;&gt;"",OFFSET(数出表_Excel【15時】!$A$1,A216+3,H216)&lt;&gt;0),
OFFSET(数出表_Excel【15時】!$A$1,A216+3,H216),""),"")</f>
        <v/>
      </c>
      <c r="L216" s="209" t="str">
        <f t="array" aca="1" ref="L216" ca="1">IF(B216&lt;&gt;"",
IFERROR(MATCH(TRUE,ISNUMBER(INDIRECT("数出表_Excel【15時】!"&amp;SUBSTITUTE(ADDRESS(1,H216+2,4),"1","")&amp;(A216+4)&amp;":ZZ"&amp;(A216+4))),0)+H216+1,""),"")</f>
        <v/>
      </c>
      <c r="M216" t="str">
        <f ca="1">IF(L216&lt;&gt;"",
OFFSET(数出表_Excel【15時】!$A$1,2,L216-1)
&amp;IFERROR(OFFSET(数出表_Excel【15時】!$A$1,3,L216-1),"")
&amp;IFERROR(OFFSET(数出表_Excel【15時】!$A$1,4,L216-1),""),"")</f>
        <v/>
      </c>
      <c r="N216" t="str">
        <f ca="1">IF(L216&lt;&gt;"",
OFFSET(数出表_Excel【15時】!$A$1,A216+3,L216-1),"")</f>
        <v/>
      </c>
      <c r="O216" t="str">
        <f ca="1">IF(L216&lt;&gt;"",
IF(AND(OFFSET(数出表_Excel【15時】!$A$1,A216+3,L216)&lt;&gt;"",OFFSET(数出表_Excel【15時】!$A$1,A216+3,L216)&lt;&gt;0),
OFFSET(数出表_Excel【15時】!$A$1,A216+3,L216),""),"")</f>
        <v/>
      </c>
      <c r="Q216" t="str">
        <f ca="1">IF(C216&lt;&gt;"",
IF(E216&lt;&gt;"",1,0)+IF(I216&lt;&gt;"",1,0)+IF(M216&lt;&gt;"",1,0),"")</f>
        <v/>
      </c>
    </row>
    <row r="217" spans="1:17">
      <c r="A217" t="str">
        <f t="shared" ca="1" si="3"/>
        <v/>
      </c>
      <c r="B217" t="str">
        <f t="array" aca="1" ref="B217" ca="1">IF(OR(COUNTIF(数出表_Excel【15時】!AO220,"*修正*"),COUNTIF(数出表_Excel【15時】!AO221,"*修正*")),
IF(ISEVEN(ROW()+4),INDIRECT("数出表_Excel【15時】!A"&amp;ROW()+4&amp;""),INDIRECT("数出表_Excel【15時】!A"&amp;ROW()+4-1&amp;"")),"")</f>
        <v/>
      </c>
      <c r="C217" t="str">
        <f t="array" aca="1" ref="C217" ca="1">IF(OR(COUNTIF(数出表_Excel【15時】!AO220,"*修正*"),COUNTIF(数出表_Excel【15時】!AO221,"*修正*")),
IF(ISEVEN(ROW()+4),INDIRECT("数出表_Excel【15時】!A"&amp;ROW()+4+1&amp;""),INDIRECT("数出表_Excel【15時】!A"&amp;ROW()+4&amp;"")),"")</f>
        <v/>
      </c>
      <c r="D217" s="209" t="str">
        <f t="array" aca="1" ref="D217" ca="1">IF(B217&lt;&gt;"",
IFERROR(MATCH(TRUE,ISNUMBER(INDIRECT("数出表_Excel【15時】!B"&amp;(A217+4)&amp;":ZZ"&amp;(A217+4))),0)+1,""),"")</f>
        <v/>
      </c>
      <c r="E217" t="str">
        <f ca="1">IF(D217&lt;&gt;"",
OFFSET(数出表_Excel【15時】!$A$1,2,D217-1)
&amp;IFERROR(OFFSET(数出表_Excel【15時】!$A$1,3,D217-1),"")
&amp;IFERROR(OFFSET(数出表_Excel【15時】!$A$1,4,D217-1),""),"")</f>
        <v/>
      </c>
      <c r="F217" t="str">
        <f ca="1">IF(D217&lt;&gt;"",
OFFSET(数出表_Excel【15時】!$A$1,A217+3,D217-1),"")</f>
        <v/>
      </c>
      <c r="G217" t="str">
        <f ca="1">IF(D217&lt;&gt;"",
IF(AND(OFFSET(数出表_Excel【15時】!$A$1,A217+3,D217)&lt;&gt;"",OFFSET(数出表_Excel【15時】!$A$1,A217+3,D217)&lt;&gt;0),
OFFSET(数出表_Excel【15時】!$A$1,A217+3,D217),""),"")</f>
        <v/>
      </c>
      <c r="H217" s="209" t="str">
        <f t="array" aca="1" ref="H217" ca="1">IF(B217&lt;&gt;"",
IFERROR(MATCH(TRUE,ISNUMBER(INDIRECT("数出表_Excel【15時】!"&amp;SUBSTITUTE(ADDRESS(1,D217+2,4),"1","")&amp;(A217+4)&amp;":ZZ"&amp;(A217+4))),0)+D217+1,""),"")</f>
        <v/>
      </c>
      <c r="I217" t="str">
        <f ca="1">IF(H217&lt;&gt;"",
OFFSET(数出表_Excel【15時】!$A$1,2,H217-1)
&amp;IFERROR(OFFSET(数出表_Excel【15時】!$A$1,3,H217-1),"")
&amp;IFERROR(OFFSET(数出表_Excel【15時】!$A$1,4,H217-1),""),"")</f>
        <v/>
      </c>
      <c r="J217" t="str">
        <f ca="1">IF(H217&lt;&gt;"",
OFFSET(数出表_Excel【15時】!$A$1,A217+3,H217-1),"")</f>
        <v/>
      </c>
      <c r="K217" t="str">
        <f ca="1">IF(H217&lt;&gt;"",
IF(AND(OFFSET(数出表_Excel【15時】!$A$1,A217+3,H217)&lt;&gt;"",OFFSET(数出表_Excel【15時】!$A$1,A217+3,H217)&lt;&gt;0),
OFFSET(数出表_Excel【15時】!$A$1,A217+3,H217),""),"")</f>
        <v/>
      </c>
      <c r="L217" s="209" t="str">
        <f t="array" aca="1" ref="L217" ca="1">IF(B217&lt;&gt;"",
IFERROR(MATCH(TRUE,ISNUMBER(INDIRECT("数出表_Excel【15時】!"&amp;SUBSTITUTE(ADDRESS(1,H217+2,4),"1","")&amp;(A217+4)&amp;":ZZ"&amp;(A217+4))),0)+H217+1,""),"")</f>
        <v/>
      </c>
      <c r="M217" t="str">
        <f ca="1">IF(L217&lt;&gt;"",
OFFSET(数出表_Excel【15時】!$A$1,2,L217-1)
&amp;IFERROR(OFFSET(数出表_Excel【15時】!$A$1,3,L217-1),"")
&amp;IFERROR(OFFSET(数出表_Excel【15時】!$A$1,4,L217-1),""),"")</f>
        <v/>
      </c>
      <c r="N217" t="str">
        <f ca="1">IF(L217&lt;&gt;"",
OFFSET(数出表_Excel【15時】!$A$1,A217+3,L217-1),"")</f>
        <v/>
      </c>
      <c r="O217" t="str">
        <f ca="1">IF(L217&lt;&gt;"",
IF(AND(OFFSET(数出表_Excel【15時】!$A$1,A217+3,L217)&lt;&gt;"",OFFSET(数出表_Excel【15時】!$A$1,A217+3,L217)&lt;&gt;0),
OFFSET(数出表_Excel【15時】!$A$1,A217+3,L217),""),"")</f>
        <v/>
      </c>
    </row>
    <row r="218" spans="1:17">
      <c r="A218" t="str">
        <f t="shared" ca="1" si="3"/>
        <v/>
      </c>
      <c r="B218" t="str">
        <f t="array" aca="1" ref="B218" ca="1">IF(OR(COUNTIF(数出表_Excel【15時】!AO222,"*修正*"),COUNTIF(数出表_Excel【15時】!AO223,"*修正*")),
IF(ISEVEN(ROW()+4),INDIRECT("数出表_Excel【15時】!A"&amp;ROW()+4&amp;""),INDIRECT("数出表_Excel【15時】!A"&amp;ROW()+4-1&amp;"")),"")</f>
        <v/>
      </c>
      <c r="C218" t="str">
        <f t="array" aca="1" ref="C218" ca="1">IF(OR(COUNTIF(数出表_Excel【15時】!AO222,"*修正*"),COUNTIF(数出表_Excel【15時】!AO223,"*修正*")),
IF(ISEVEN(ROW()+4),INDIRECT("数出表_Excel【15時】!A"&amp;ROW()+4+1&amp;""),INDIRECT("数出表_Excel【15時】!A"&amp;ROW()+4&amp;"")),"")</f>
        <v/>
      </c>
      <c r="D218" s="209" t="str">
        <f t="array" aca="1" ref="D218" ca="1">IF(B218&lt;&gt;"",
IFERROR(MATCH(TRUE,ISNUMBER(INDIRECT("数出表_Excel【15時】!B"&amp;(A218+4)&amp;":ZZ"&amp;(A218+4))),0)+1,""),"")</f>
        <v/>
      </c>
      <c r="E218" t="str">
        <f ca="1">IF(D218&lt;&gt;"",
OFFSET(数出表_Excel【15時】!$A$1,2,D218-1)
&amp;IFERROR(OFFSET(数出表_Excel【15時】!$A$1,3,D218-1),"")
&amp;IFERROR(OFFSET(数出表_Excel【15時】!$A$1,4,D218-1),""),"")</f>
        <v/>
      </c>
      <c r="F218" t="str">
        <f ca="1">IF(D218&lt;&gt;"",
OFFSET(数出表_Excel【15時】!$A$1,A218+3,D218-1),"")</f>
        <v/>
      </c>
      <c r="G218" t="str">
        <f ca="1">IF(D218&lt;&gt;"",
IF(AND(OFFSET(数出表_Excel【15時】!$A$1,A218+3,D218)&lt;&gt;"",OFFSET(数出表_Excel【15時】!$A$1,A218+3,D218)&lt;&gt;0),
OFFSET(数出表_Excel【15時】!$A$1,A218+3,D218),""),"")</f>
        <v/>
      </c>
      <c r="H218" s="209" t="str">
        <f t="array" aca="1" ref="H218" ca="1">IF(B218&lt;&gt;"",
IFERROR(MATCH(TRUE,ISNUMBER(INDIRECT("数出表_Excel【15時】!"&amp;SUBSTITUTE(ADDRESS(1,D218+2,4),"1","")&amp;(A218+4)&amp;":ZZ"&amp;(A218+4))),0)+D218+1,""),"")</f>
        <v/>
      </c>
      <c r="I218" t="str">
        <f ca="1">IF(H218&lt;&gt;"",
OFFSET(数出表_Excel【15時】!$A$1,2,H218-1)
&amp;IFERROR(OFFSET(数出表_Excel【15時】!$A$1,3,H218-1),"")
&amp;IFERROR(OFFSET(数出表_Excel【15時】!$A$1,4,H218-1),""),"")</f>
        <v/>
      </c>
      <c r="J218" t="str">
        <f ca="1">IF(H218&lt;&gt;"",
OFFSET(数出表_Excel【15時】!$A$1,A218+3,H218-1),"")</f>
        <v/>
      </c>
      <c r="K218" t="str">
        <f ca="1">IF(H218&lt;&gt;"",
IF(AND(OFFSET(数出表_Excel【15時】!$A$1,A218+3,H218)&lt;&gt;"",OFFSET(数出表_Excel【15時】!$A$1,A218+3,H218)&lt;&gt;0),
OFFSET(数出表_Excel【15時】!$A$1,A218+3,H218),""),"")</f>
        <v/>
      </c>
      <c r="L218" s="209" t="str">
        <f t="array" aca="1" ref="L218" ca="1">IF(B218&lt;&gt;"",
IFERROR(MATCH(TRUE,ISNUMBER(INDIRECT("数出表_Excel【15時】!"&amp;SUBSTITUTE(ADDRESS(1,H218+2,4),"1","")&amp;(A218+4)&amp;":ZZ"&amp;(A218+4))),0)+H218+1,""),"")</f>
        <v/>
      </c>
      <c r="M218" t="str">
        <f ca="1">IF(L218&lt;&gt;"",
OFFSET(数出表_Excel【15時】!$A$1,2,L218-1)
&amp;IFERROR(OFFSET(数出表_Excel【15時】!$A$1,3,L218-1),"")
&amp;IFERROR(OFFSET(数出表_Excel【15時】!$A$1,4,L218-1),""),"")</f>
        <v/>
      </c>
      <c r="N218" t="str">
        <f ca="1">IF(L218&lt;&gt;"",
OFFSET(数出表_Excel【15時】!$A$1,A218+3,L218-1),"")</f>
        <v/>
      </c>
      <c r="O218" t="str">
        <f ca="1">IF(L218&lt;&gt;"",
IF(AND(OFFSET(数出表_Excel【15時】!$A$1,A218+3,L218)&lt;&gt;"",OFFSET(数出表_Excel【15時】!$A$1,A218+3,L218)&lt;&gt;0),
OFFSET(数出表_Excel【15時】!$A$1,A218+3,L218),""),"")</f>
        <v/>
      </c>
      <c r="Q218" t="str">
        <f ca="1">IF(C218&lt;&gt;"",
IF(E218&lt;&gt;"",1,0)+IF(I218&lt;&gt;"",1,0)+IF(M218&lt;&gt;"",1,0),"")</f>
        <v/>
      </c>
    </row>
    <row r="219" spans="1:17">
      <c r="A219" t="str">
        <f t="shared" ca="1" si="3"/>
        <v/>
      </c>
      <c r="B219" t="str">
        <f t="array" aca="1" ref="B219" ca="1">IF(OR(COUNTIF(数出表_Excel【15時】!AO222,"*修正*"),COUNTIF(数出表_Excel【15時】!AO223,"*修正*")),
IF(ISEVEN(ROW()+4),INDIRECT("数出表_Excel【15時】!A"&amp;ROW()+4&amp;""),INDIRECT("数出表_Excel【15時】!A"&amp;ROW()+4-1&amp;"")),"")</f>
        <v/>
      </c>
      <c r="C219" t="str">
        <f t="array" aca="1" ref="C219" ca="1">IF(OR(COUNTIF(数出表_Excel【15時】!AO222,"*修正*"),COUNTIF(数出表_Excel【15時】!AO223,"*修正*")),
IF(ISEVEN(ROW()+4),INDIRECT("数出表_Excel【15時】!A"&amp;ROW()+4+1&amp;""),INDIRECT("数出表_Excel【15時】!A"&amp;ROW()+4&amp;"")),"")</f>
        <v/>
      </c>
      <c r="D219" s="209" t="str">
        <f t="array" aca="1" ref="D219" ca="1">IF(B219&lt;&gt;"",
IFERROR(MATCH(TRUE,ISNUMBER(INDIRECT("数出表_Excel【15時】!B"&amp;(A219+4)&amp;":ZZ"&amp;(A219+4))),0)+1,""),"")</f>
        <v/>
      </c>
      <c r="E219" t="str">
        <f ca="1">IF(D219&lt;&gt;"",
OFFSET(数出表_Excel【15時】!$A$1,2,D219-1)
&amp;IFERROR(OFFSET(数出表_Excel【15時】!$A$1,3,D219-1),"")
&amp;IFERROR(OFFSET(数出表_Excel【15時】!$A$1,4,D219-1),""),"")</f>
        <v/>
      </c>
      <c r="F219" t="str">
        <f ca="1">IF(D219&lt;&gt;"",
OFFSET(数出表_Excel【15時】!$A$1,A219+3,D219-1),"")</f>
        <v/>
      </c>
      <c r="G219" t="str">
        <f ca="1">IF(D219&lt;&gt;"",
IF(AND(OFFSET(数出表_Excel【15時】!$A$1,A219+3,D219)&lt;&gt;"",OFFSET(数出表_Excel【15時】!$A$1,A219+3,D219)&lt;&gt;0),
OFFSET(数出表_Excel【15時】!$A$1,A219+3,D219),""),"")</f>
        <v/>
      </c>
      <c r="H219" s="209" t="str">
        <f t="array" aca="1" ref="H219" ca="1">IF(B219&lt;&gt;"",
IFERROR(MATCH(TRUE,ISNUMBER(INDIRECT("数出表_Excel【15時】!"&amp;SUBSTITUTE(ADDRESS(1,D219+2,4),"1","")&amp;(A219+4)&amp;":ZZ"&amp;(A219+4))),0)+D219+1,""),"")</f>
        <v/>
      </c>
      <c r="I219" t="str">
        <f ca="1">IF(H219&lt;&gt;"",
OFFSET(数出表_Excel【15時】!$A$1,2,H219-1)
&amp;IFERROR(OFFSET(数出表_Excel【15時】!$A$1,3,H219-1),"")
&amp;IFERROR(OFFSET(数出表_Excel【15時】!$A$1,4,H219-1),""),"")</f>
        <v/>
      </c>
      <c r="J219" t="str">
        <f ca="1">IF(H219&lt;&gt;"",
OFFSET(数出表_Excel【15時】!$A$1,A219+3,H219-1),"")</f>
        <v/>
      </c>
      <c r="K219" t="str">
        <f ca="1">IF(H219&lt;&gt;"",
IF(AND(OFFSET(数出表_Excel【15時】!$A$1,A219+3,H219)&lt;&gt;"",OFFSET(数出表_Excel【15時】!$A$1,A219+3,H219)&lt;&gt;0),
OFFSET(数出表_Excel【15時】!$A$1,A219+3,H219),""),"")</f>
        <v/>
      </c>
      <c r="L219" s="209" t="str">
        <f t="array" aca="1" ref="L219" ca="1">IF(B219&lt;&gt;"",
IFERROR(MATCH(TRUE,ISNUMBER(INDIRECT("数出表_Excel【15時】!"&amp;SUBSTITUTE(ADDRESS(1,H219+2,4),"1","")&amp;(A219+4)&amp;":ZZ"&amp;(A219+4))),0)+H219+1,""),"")</f>
        <v/>
      </c>
      <c r="M219" t="str">
        <f ca="1">IF(L219&lt;&gt;"",
OFFSET(数出表_Excel【15時】!$A$1,2,L219-1)
&amp;IFERROR(OFFSET(数出表_Excel【15時】!$A$1,3,L219-1),"")
&amp;IFERROR(OFFSET(数出表_Excel【15時】!$A$1,4,L219-1),""),"")</f>
        <v/>
      </c>
      <c r="N219" t="str">
        <f ca="1">IF(L219&lt;&gt;"",
OFFSET(数出表_Excel【15時】!$A$1,A219+3,L219-1),"")</f>
        <v/>
      </c>
      <c r="O219" t="str">
        <f ca="1">IF(L219&lt;&gt;"",
IF(AND(OFFSET(数出表_Excel【15時】!$A$1,A219+3,L219)&lt;&gt;"",OFFSET(数出表_Excel【15時】!$A$1,A219+3,L219)&lt;&gt;0),
OFFSET(数出表_Excel【15時】!$A$1,A219+3,L219),""),"")</f>
        <v/>
      </c>
    </row>
    <row r="220" spans="1:17">
      <c r="A220" t="str">
        <f t="shared" ca="1" si="3"/>
        <v/>
      </c>
      <c r="B220" t="str">
        <f t="array" aca="1" ref="B220" ca="1">IF(OR(COUNTIF(数出表_Excel【15時】!AO224,"*修正*"),COUNTIF(数出表_Excel【15時】!AO225,"*修正*")),
IF(ISEVEN(ROW()+4),INDIRECT("数出表_Excel【15時】!A"&amp;ROW()+4&amp;""),INDIRECT("数出表_Excel【15時】!A"&amp;ROW()+4-1&amp;"")),"")</f>
        <v/>
      </c>
      <c r="C220" t="str">
        <f t="array" aca="1" ref="C220" ca="1">IF(OR(COUNTIF(数出表_Excel【15時】!AO224,"*修正*"),COUNTIF(数出表_Excel【15時】!AO225,"*修正*")),
IF(ISEVEN(ROW()+4),INDIRECT("数出表_Excel【15時】!A"&amp;ROW()+4+1&amp;""),INDIRECT("数出表_Excel【15時】!A"&amp;ROW()+4&amp;"")),"")</f>
        <v/>
      </c>
      <c r="D220" s="209" t="str">
        <f t="array" aca="1" ref="D220" ca="1">IF(B220&lt;&gt;"",
IFERROR(MATCH(TRUE,ISNUMBER(INDIRECT("数出表_Excel【15時】!B"&amp;(A220+4)&amp;":ZZ"&amp;(A220+4))),0)+1,""),"")</f>
        <v/>
      </c>
      <c r="E220" t="str">
        <f ca="1">IF(D220&lt;&gt;"",
OFFSET(数出表_Excel【15時】!$A$1,2,D220-1)
&amp;IFERROR(OFFSET(数出表_Excel【15時】!$A$1,3,D220-1),"")
&amp;IFERROR(OFFSET(数出表_Excel【15時】!$A$1,4,D220-1),""),"")</f>
        <v/>
      </c>
      <c r="F220" t="str">
        <f ca="1">IF(D220&lt;&gt;"",
OFFSET(数出表_Excel【15時】!$A$1,A220+3,D220-1),"")</f>
        <v/>
      </c>
      <c r="G220" t="str">
        <f ca="1">IF(D220&lt;&gt;"",
IF(AND(OFFSET(数出表_Excel【15時】!$A$1,A220+3,D220)&lt;&gt;"",OFFSET(数出表_Excel【15時】!$A$1,A220+3,D220)&lt;&gt;0),
OFFSET(数出表_Excel【15時】!$A$1,A220+3,D220),""),"")</f>
        <v/>
      </c>
      <c r="H220" s="209" t="str">
        <f t="array" aca="1" ref="H220" ca="1">IF(B220&lt;&gt;"",
IFERROR(MATCH(TRUE,ISNUMBER(INDIRECT("数出表_Excel【15時】!"&amp;SUBSTITUTE(ADDRESS(1,D220+2,4),"1","")&amp;(A220+4)&amp;":ZZ"&amp;(A220+4))),0)+D220+1,""),"")</f>
        <v/>
      </c>
      <c r="I220" t="str">
        <f ca="1">IF(H220&lt;&gt;"",
OFFSET(数出表_Excel【15時】!$A$1,2,H220-1)
&amp;IFERROR(OFFSET(数出表_Excel【15時】!$A$1,3,H220-1),"")
&amp;IFERROR(OFFSET(数出表_Excel【15時】!$A$1,4,H220-1),""),"")</f>
        <v/>
      </c>
      <c r="J220" t="str">
        <f ca="1">IF(H220&lt;&gt;"",
OFFSET(数出表_Excel【15時】!$A$1,A220+3,H220-1),"")</f>
        <v/>
      </c>
      <c r="K220" t="str">
        <f ca="1">IF(H220&lt;&gt;"",
IF(AND(OFFSET(数出表_Excel【15時】!$A$1,A220+3,H220)&lt;&gt;"",OFFSET(数出表_Excel【15時】!$A$1,A220+3,H220)&lt;&gt;0),
OFFSET(数出表_Excel【15時】!$A$1,A220+3,H220),""),"")</f>
        <v/>
      </c>
      <c r="L220" s="209" t="str">
        <f t="array" aca="1" ref="L220" ca="1">IF(B220&lt;&gt;"",
IFERROR(MATCH(TRUE,ISNUMBER(INDIRECT("数出表_Excel【15時】!"&amp;SUBSTITUTE(ADDRESS(1,H220+2,4),"1","")&amp;(A220+4)&amp;":ZZ"&amp;(A220+4))),0)+H220+1,""),"")</f>
        <v/>
      </c>
      <c r="M220" t="str">
        <f ca="1">IF(L220&lt;&gt;"",
OFFSET(数出表_Excel【15時】!$A$1,2,L220-1)
&amp;IFERROR(OFFSET(数出表_Excel【15時】!$A$1,3,L220-1),"")
&amp;IFERROR(OFFSET(数出表_Excel【15時】!$A$1,4,L220-1),""),"")</f>
        <v/>
      </c>
      <c r="N220" t="str">
        <f ca="1">IF(L220&lt;&gt;"",
OFFSET(数出表_Excel【15時】!$A$1,A220+3,L220-1),"")</f>
        <v/>
      </c>
      <c r="O220" t="str">
        <f ca="1">IF(L220&lt;&gt;"",
IF(AND(OFFSET(数出表_Excel【15時】!$A$1,A220+3,L220)&lt;&gt;"",OFFSET(数出表_Excel【15時】!$A$1,A220+3,L220)&lt;&gt;0),
OFFSET(数出表_Excel【15時】!$A$1,A220+3,L220),""),"")</f>
        <v/>
      </c>
      <c r="Q220" t="str">
        <f ca="1">IF(C220&lt;&gt;"",
IF(E220&lt;&gt;"",1,0)+IF(I220&lt;&gt;"",1,0)+IF(M220&lt;&gt;"",1,0),"")</f>
        <v/>
      </c>
    </row>
    <row r="221" spans="1:17">
      <c r="A221" t="str">
        <f t="shared" ca="1" si="3"/>
        <v/>
      </c>
      <c r="B221" t="str">
        <f t="array" aca="1" ref="B221" ca="1">IF(OR(COUNTIF(数出表_Excel【15時】!AO224,"*修正*"),COUNTIF(数出表_Excel【15時】!AO225,"*修正*")),
IF(ISEVEN(ROW()+4),INDIRECT("数出表_Excel【15時】!A"&amp;ROW()+4&amp;""),INDIRECT("数出表_Excel【15時】!A"&amp;ROW()+4-1&amp;"")),"")</f>
        <v/>
      </c>
      <c r="C221" t="str">
        <f t="array" aca="1" ref="C221" ca="1">IF(OR(COUNTIF(数出表_Excel【15時】!AO224,"*修正*"),COUNTIF(数出表_Excel【15時】!AO225,"*修正*")),
IF(ISEVEN(ROW()+4),INDIRECT("数出表_Excel【15時】!A"&amp;ROW()+4+1&amp;""),INDIRECT("数出表_Excel【15時】!A"&amp;ROW()+4&amp;"")),"")</f>
        <v/>
      </c>
      <c r="D221" s="209" t="str">
        <f t="array" aca="1" ref="D221" ca="1">IF(B221&lt;&gt;"",
IFERROR(MATCH(TRUE,ISNUMBER(INDIRECT("数出表_Excel【15時】!B"&amp;(A221+4)&amp;":ZZ"&amp;(A221+4))),0)+1,""),"")</f>
        <v/>
      </c>
      <c r="E221" t="str">
        <f ca="1">IF(D221&lt;&gt;"",
OFFSET(数出表_Excel【15時】!$A$1,2,D221-1)
&amp;IFERROR(OFFSET(数出表_Excel【15時】!$A$1,3,D221-1),"")
&amp;IFERROR(OFFSET(数出表_Excel【15時】!$A$1,4,D221-1),""),"")</f>
        <v/>
      </c>
      <c r="F221" t="str">
        <f ca="1">IF(D221&lt;&gt;"",
OFFSET(数出表_Excel【15時】!$A$1,A221+3,D221-1),"")</f>
        <v/>
      </c>
      <c r="G221" t="str">
        <f ca="1">IF(D221&lt;&gt;"",
IF(AND(OFFSET(数出表_Excel【15時】!$A$1,A221+3,D221)&lt;&gt;"",OFFSET(数出表_Excel【15時】!$A$1,A221+3,D221)&lt;&gt;0),
OFFSET(数出表_Excel【15時】!$A$1,A221+3,D221),""),"")</f>
        <v/>
      </c>
      <c r="H221" s="209" t="str">
        <f t="array" aca="1" ref="H221" ca="1">IF(B221&lt;&gt;"",
IFERROR(MATCH(TRUE,ISNUMBER(INDIRECT("数出表_Excel【15時】!"&amp;SUBSTITUTE(ADDRESS(1,D221+2,4),"1","")&amp;(A221+4)&amp;":ZZ"&amp;(A221+4))),0)+D221+1,""),"")</f>
        <v/>
      </c>
      <c r="I221" t="str">
        <f ca="1">IF(H221&lt;&gt;"",
OFFSET(数出表_Excel【15時】!$A$1,2,H221-1)
&amp;IFERROR(OFFSET(数出表_Excel【15時】!$A$1,3,H221-1),"")
&amp;IFERROR(OFFSET(数出表_Excel【15時】!$A$1,4,H221-1),""),"")</f>
        <v/>
      </c>
      <c r="J221" t="str">
        <f ca="1">IF(H221&lt;&gt;"",
OFFSET(数出表_Excel【15時】!$A$1,A221+3,H221-1),"")</f>
        <v/>
      </c>
      <c r="K221" t="str">
        <f ca="1">IF(H221&lt;&gt;"",
IF(AND(OFFSET(数出表_Excel【15時】!$A$1,A221+3,H221)&lt;&gt;"",OFFSET(数出表_Excel【15時】!$A$1,A221+3,H221)&lt;&gt;0),
OFFSET(数出表_Excel【15時】!$A$1,A221+3,H221),""),"")</f>
        <v/>
      </c>
      <c r="L221" s="209" t="str">
        <f t="array" aca="1" ref="L221" ca="1">IF(B221&lt;&gt;"",
IFERROR(MATCH(TRUE,ISNUMBER(INDIRECT("数出表_Excel【15時】!"&amp;SUBSTITUTE(ADDRESS(1,H221+2,4),"1","")&amp;(A221+4)&amp;":ZZ"&amp;(A221+4))),0)+H221+1,""),"")</f>
        <v/>
      </c>
      <c r="M221" t="str">
        <f ca="1">IF(L221&lt;&gt;"",
OFFSET(数出表_Excel【15時】!$A$1,2,L221-1)
&amp;IFERROR(OFFSET(数出表_Excel【15時】!$A$1,3,L221-1),"")
&amp;IFERROR(OFFSET(数出表_Excel【15時】!$A$1,4,L221-1),""),"")</f>
        <v/>
      </c>
      <c r="N221" t="str">
        <f ca="1">IF(L221&lt;&gt;"",
OFFSET(数出表_Excel【15時】!$A$1,A221+3,L221-1),"")</f>
        <v/>
      </c>
      <c r="O221" t="str">
        <f ca="1">IF(L221&lt;&gt;"",
IF(AND(OFFSET(数出表_Excel【15時】!$A$1,A221+3,L221)&lt;&gt;"",OFFSET(数出表_Excel【15時】!$A$1,A221+3,L221)&lt;&gt;0),
OFFSET(数出表_Excel【15時】!$A$1,A221+3,L221),""),"")</f>
        <v/>
      </c>
    </row>
    <row r="222" spans="1:17">
      <c r="A222" t="str">
        <f t="shared" ca="1" si="3"/>
        <v/>
      </c>
      <c r="B222" t="str">
        <f t="array" aca="1" ref="B222" ca="1">IF(OR(COUNTIF(数出表_Excel【15時】!AO226,"*修正*"),COUNTIF(数出表_Excel【15時】!AO227,"*修正*")),
IF(ISEVEN(ROW()+4),INDIRECT("数出表_Excel【15時】!A"&amp;ROW()+4&amp;""),INDIRECT("数出表_Excel【15時】!A"&amp;ROW()+4-1&amp;"")),"")</f>
        <v/>
      </c>
      <c r="C222" t="str">
        <f t="array" aca="1" ref="C222" ca="1">IF(OR(COUNTIF(数出表_Excel【15時】!AO226,"*修正*"),COUNTIF(数出表_Excel【15時】!AO227,"*修正*")),
IF(ISEVEN(ROW()+4),INDIRECT("数出表_Excel【15時】!A"&amp;ROW()+4+1&amp;""),INDIRECT("数出表_Excel【15時】!A"&amp;ROW()+4&amp;"")),"")</f>
        <v/>
      </c>
      <c r="D222" s="209" t="str">
        <f t="array" aca="1" ref="D222" ca="1">IF(B222&lt;&gt;"",
IFERROR(MATCH(TRUE,ISNUMBER(INDIRECT("数出表_Excel【15時】!B"&amp;(A222+4)&amp;":ZZ"&amp;(A222+4))),0)+1,""),"")</f>
        <v/>
      </c>
      <c r="E222" t="str">
        <f ca="1">IF(D222&lt;&gt;"",
OFFSET(数出表_Excel【15時】!$A$1,2,D222-1)
&amp;IFERROR(OFFSET(数出表_Excel【15時】!$A$1,3,D222-1),"")
&amp;IFERROR(OFFSET(数出表_Excel【15時】!$A$1,4,D222-1),""),"")</f>
        <v/>
      </c>
      <c r="F222" t="str">
        <f ca="1">IF(D222&lt;&gt;"",
OFFSET(数出表_Excel【15時】!$A$1,A222+3,D222-1),"")</f>
        <v/>
      </c>
      <c r="G222" t="str">
        <f ca="1">IF(D222&lt;&gt;"",
IF(AND(OFFSET(数出表_Excel【15時】!$A$1,A222+3,D222)&lt;&gt;"",OFFSET(数出表_Excel【15時】!$A$1,A222+3,D222)&lt;&gt;0),
OFFSET(数出表_Excel【15時】!$A$1,A222+3,D222),""),"")</f>
        <v/>
      </c>
      <c r="H222" s="209" t="str">
        <f t="array" aca="1" ref="H222" ca="1">IF(B222&lt;&gt;"",
IFERROR(MATCH(TRUE,ISNUMBER(INDIRECT("数出表_Excel【15時】!"&amp;SUBSTITUTE(ADDRESS(1,D222+2,4),"1","")&amp;(A222+4)&amp;":ZZ"&amp;(A222+4))),0)+D222+1,""),"")</f>
        <v/>
      </c>
      <c r="I222" t="str">
        <f ca="1">IF(H222&lt;&gt;"",
OFFSET(数出表_Excel【15時】!$A$1,2,H222-1)
&amp;IFERROR(OFFSET(数出表_Excel【15時】!$A$1,3,H222-1),"")
&amp;IFERROR(OFFSET(数出表_Excel【15時】!$A$1,4,H222-1),""),"")</f>
        <v/>
      </c>
      <c r="J222" t="str">
        <f ca="1">IF(H222&lt;&gt;"",
OFFSET(数出表_Excel【15時】!$A$1,A222+3,H222-1),"")</f>
        <v/>
      </c>
      <c r="K222" t="str">
        <f ca="1">IF(H222&lt;&gt;"",
IF(AND(OFFSET(数出表_Excel【15時】!$A$1,A222+3,H222)&lt;&gt;"",OFFSET(数出表_Excel【15時】!$A$1,A222+3,H222)&lt;&gt;0),
OFFSET(数出表_Excel【15時】!$A$1,A222+3,H222),""),"")</f>
        <v/>
      </c>
      <c r="L222" s="209" t="str">
        <f t="array" aca="1" ref="L222" ca="1">IF(B222&lt;&gt;"",
IFERROR(MATCH(TRUE,ISNUMBER(INDIRECT("数出表_Excel【15時】!"&amp;SUBSTITUTE(ADDRESS(1,H222+2,4),"1","")&amp;(A222+4)&amp;":ZZ"&amp;(A222+4))),0)+H222+1,""),"")</f>
        <v/>
      </c>
      <c r="M222" t="str">
        <f ca="1">IF(L222&lt;&gt;"",
OFFSET(数出表_Excel【15時】!$A$1,2,L222-1)
&amp;IFERROR(OFFSET(数出表_Excel【15時】!$A$1,3,L222-1),"")
&amp;IFERROR(OFFSET(数出表_Excel【15時】!$A$1,4,L222-1),""),"")</f>
        <v/>
      </c>
      <c r="N222" t="str">
        <f ca="1">IF(L222&lt;&gt;"",
OFFSET(数出表_Excel【15時】!$A$1,A222+3,L222-1),"")</f>
        <v/>
      </c>
      <c r="O222" t="str">
        <f ca="1">IF(L222&lt;&gt;"",
IF(AND(OFFSET(数出表_Excel【15時】!$A$1,A222+3,L222)&lt;&gt;"",OFFSET(数出表_Excel【15時】!$A$1,A222+3,L222)&lt;&gt;0),
OFFSET(数出表_Excel【15時】!$A$1,A222+3,L222),""),"")</f>
        <v/>
      </c>
      <c r="Q222" t="str">
        <f ca="1">IF(C222&lt;&gt;"",
IF(E222&lt;&gt;"",1,0)+IF(I222&lt;&gt;"",1,0)+IF(M222&lt;&gt;"",1,0),"")</f>
        <v/>
      </c>
    </row>
    <row r="223" spans="1:17">
      <c r="A223" t="str">
        <f t="shared" ca="1" si="3"/>
        <v/>
      </c>
      <c r="B223" t="str">
        <f t="array" aca="1" ref="B223" ca="1">IF(OR(COUNTIF(数出表_Excel【15時】!AO226,"*修正*"),COUNTIF(数出表_Excel【15時】!AO227,"*修正*")),
IF(ISEVEN(ROW()+4),INDIRECT("数出表_Excel【15時】!A"&amp;ROW()+4&amp;""),INDIRECT("数出表_Excel【15時】!A"&amp;ROW()+4-1&amp;"")),"")</f>
        <v/>
      </c>
      <c r="C223" t="str">
        <f t="array" aca="1" ref="C223" ca="1">IF(OR(COUNTIF(数出表_Excel【15時】!AO226,"*修正*"),COUNTIF(数出表_Excel【15時】!AO227,"*修正*")),
IF(ISEVEN(ROW()+4),INDIRECT("数出表_Excel【15時】!A"&amp;ROW()+4+1&amp;""),INDIRECT("数出表_Excel【15時】!A"&amp;ROW()+4&amp;"")),"")</f>
        <v/>
      </c>
      <c r="D223" s="209" t="str">
        <f t="array" aca="1" ref="D223" ca="1">IF(B223&lt;&gt;"",
IFERROR(MATCH(TRUE,ISNUMBER(INDIRECT("数出表_Excel【15時】!B"&amp;(A223+4)&amp;":ZZ"&amp;(A223+4))),0)+1,""),"")</f>
        <v/>
      </c>
      <c r="E223" t="str">
        <f ca="1">IF(D223&lt;&gt;"",
OFFSET(数出表_Excel【15時】!$A$1,2,D223-1)
&amp;IFERROR(OFFSET(数出表_Excel【15時】!$A$1,3,D223-1),"")
&amp;IFERROR(OFFSET(数出表_Excel【15時】!$A$1,4,D223-1),""),"")</f>
        <v/>
      </c>
      <c r="F223" t="str">
        <f ca="1">IF(D223&lt;&gt;"",
OFFSET(数出表_Excel【15時】!$A$1,A223+3,D223-1),"")</f>
        <v/>
      </c>
      <c r="G223" t="str">
        <f ca="1">IF(D223&lt;&gt;"",
IF(AND(OFFSET(数出表_Excel【15時】!$A$1,A223+3,D223)&lt;&gt;"",OFFSET(数出表_Excel【15時】!$A$1,A223+3,D223)&lt;&gt;0),
OFFSET(数出表_Excel【15時】!$A$1,A223+3,D223),""),"")</f>
        <v/>
      </c>
      <c r="H223" s="209" t="str">
        <f t="array" aca="1" ref="H223" ca="1">IF(B223&lt;&gt;"",
IFERROR(MATCH(TRUE,ISNUMBER(INDIRECT("数出表_Excel【15時】!"&amp;SUBSTITUTE(ADDRESS(1,D223+2,4),"1","")&amp;(A223+4)&amp;":ZZ"&amp;(A223+4))),0)+D223+1,""),"")</f>
        <v/>
      </c>
      <c r="I223" t="str">
        <f ca="1">IF(H223&lt;&gt;"",
OFFSET(数出表_Excel【15時】!$A$1,2,H223-1)
&amp;IFERROR(OFFSET(数出表_Excel【15時】!$A$1,3,H223-1),"")
&amp;IFERROR(OFFSET(数出表_Excel【15時】!$A$1,4,H223-1),""),"")</f>
        <v/>
      </c>
      <c r="J223" t="str">
        <f ca="1">IF(H223&lt;&gt;"",
OFFSET(数出表_Excel【15時】!$A$1,A223+3,H223-1),"")</f>
        <v/>
      </c>
      <c r="K223" t="str">
        <f ca="1">IF(H223&lt;&gt;"",
IF(AND(OFFSET(数出表_Excel【15時】!$A$1,A223+3,H223)&lt;&gt;"",OFFSET(数出表_Excel【15時】!$A$1,A223+3,H223)&lt;&gt;0),
OFFSET(数出表_Excel【15時】!$A$1,A223+3,H223),""),"")</f>
        <v/>
      </c>
      <c r="L223" s="209" t="str">
        <f t="array" aca="1" ref="L223" ca="1">IF(B223&lt;&gt;"",
IFERROR(MATCH(TRUE,ISNUMBER(INDIRECT("数出表_Excel【15時】!"&amp;SUBSTITUTE(ADDRESS(1,H223+2,4),"1","")&amp;(A223+4)&amp;":ZZ"&amp;(A223+4))),0)+H223+1,""),"")</f>
        <v/>
      </c>
      <c r="M223" t="str">
        <f ca="1">IF(L223&lt;&gt;"",
OFFSET(数出表_Excel【15時】!$A$1,2,L223-1)
&amp;IFERROR(OFFSET(数出表_Excel【15時】!$A$1,3,L223-1),"")
&amp;IFERROR(OFFSET(数出表_Excel【15時】!$A$1,4,L223-1),""),"")</f>
        <v/>
      </c>
      <c r="N223" t="str">
        <f ca="1">IF(L223&lt;&gt;"",
OFFSET(数出表_Excel【15時】!$A$1,A223+3,L223-1),"")</f>
        <v/>
      </c>
      <c r="O223" t="str">
        <f ca="1">IF(L223&lt;&gt;"",
IF(AND(OFFSET(数出表_Excel【15時】!$A$1,A223+3,L223)&lt;&gt;"",OFFSET(数出表_Excel【15時】!$A$1,A223+3,L223)&lt;&gt;0),
OFFSET(数出表_Excel【15時】!$A$1,A223+3,L223),""),"")</f>
        <v/>
      </c>
    </row>
    <row r="224" spans="1:17">
      <c r="A224" t="str">
        <f t="shared" ca="1" si="3"/>
        <v/>
      </c>
      <c r="B224" t="str">
        <f t="array" aca="1" ref="B224" ca="1">IF(OR(COUNTIF(数出表_Excel【15時】!AO228,"*修正*"),COUNTIF(数出表_Excel【15時】!AO229,"*修正*")),
IF(ISEVEN(ROW()+4),INDIRECT("数出表_Excel【15時】!A"&amp;ROW()+4&amp;""),INDIRECT("数出表_Excel【15時】!A"&amp;ROW()+4-1&amp;"")),"")</f>
        <v/>
      </c>
      <c r="C224" t="str">
        <f t="array" aca="1" ref="C224" ca="1">IF(OR(COUNTIF(数出表_Excel【15時】!AO228,"*修正*"),COUNTIF(数出表_Excel【15時】!AO229,"*修正*")),
IF(ISEVEN(ROW()+4),INDIRECT("数出表_Excel【15時】!A"&amp;ROW()+4+1&amp;""),INDIRECT("数出表_Excel【15時】!A"&amp;ROW()+4&amp;"")),"")</f>
        <v/>
      </c>
      <c r="D224" s="209" t="str">
        <f t="array" aca="1" ref="D224" ca="1">IF(B224&lt;&gt;"",
IFERROR(MATCH(TRUE,ISNUMBER(INDIRECT("数出表_Excel【15時】!B"&amp;(A224+4)&amp;":ZZ"&amp;(A224+4))),0)+1,""),"")</f>
        <v/>
      </c>
      <c r="E224" t="str">
        <f ca="1">IF(D224&lt;&gt;"",
OFFSET(数出表_Excel【15時】!$A$1,2,D224-1)
&amp;IFERROR(OFFSET(数出表_Excel【15時】!$A$1,3,D224-1),"")
&amp;IFERROR(OFFSET(数出表_Excel【15時】!$A$1,4,D224-1),""),"")</f>
        <v/>
      </c>
      <c r="F224" t="str">
        <f ca="1">IF(D224&lt;&gt;"",
OFFSET(数出表_Excel【15時】!$A$1,A224+3,D224-1),"")</f>
        <v/>
      </c>
      <c r="G224" t="str">
        <f ca="1">IF(D224&lt;&gt;"",
IF(AND(OFFSET(数出表_Excel【15時】!$A$1,A224+3,D224)&lt;&gt;"",OFFSET(数出表_Excel【15時】!$A$1,A224+3,D224)&lt;&gt;0),
OFFSET(数出表_Excel【15時】!$A$1,A224+3,D224),""),"")</f>
        <v/>
      </c>
      <c r="H224" s="209" t="str">
        <f t="array" aca="1" ref="H224" ca="1">IF(B224&lt;&gt;"",
IFERROR(MATCH(TRUE,ISNUMBER(INDIRECT("数出表_Excel【15時】!"&amp;SUBSTITUTE(ADDRESS(1,D224+2,4),"1","")&amp;(A224+4)&amp;":ZZ"&amp;(A224+4))),0)+D224+1,""),"")</f>
        <v/>
      </c>
      <c r="I224" t="str">
        <f ca="1">IF(H224&lt;&gt;"",
OFFSET(数出表_Excel【15時】!$A$1,2,H224-1)
&amp;IFERROR(OFFSET(数出表_Excel【15時】!$A$1,3,H224-1),"")
&amp;IFERROR(OFFSET(数出表_Excel【15時】!$A$1,4,H224-1),""),"")</f>
        <v/>
      </c>
      <c r="J224" t="str">
        <f ca="1">IF(H224&lt;&gt;"",
OFFSET(数出表_Excel【15時】!$A$1,A224+3,H224-1),"")</f>
        <v/>
      </c>
      <c r="K224" t="str">
        <f ca="1">IF(H224&lt;&gt;"",
IF(AND(OFFSET(数出表_Excel【15時】!$A$1,A224+3,H224)&lt;&gt;"",OFFSET(数出表_Excel【15時】!$A$1,A224+3,H224)&lt;&gt;0),
OFFSET(数出表_Excel【15時】!$A$1,A224+3,H224),""),"")</f>
        <v/>
      </c>
      <c r="L224" s="209" t="str">
        <f t="array" aca="1" ref="L224" ca="1">IF(B224&lt;&gt;"",
IFERROR(MATCH(TRUE,ISNUMBER(INDIRECT("数出表_Excel【15時】!"&amp;SUBSTITUTE(ADDRESS(1,H224+2,4),"1","")&amp;(A224+4)&amp;":ZZ"&amp;(A224+4))),0)+H224+1,""),"")</f>
        <v/>
      </c>
      <c r="M224" t="str">
        <f ca="1">IF(L224&lt;&gt;"",
OFFSET(数出表_Excel【15時】!$A$1,2,L224-1)
&amp;IFERROR(OFFSET(数出表_Excel【15時】!$A$1,3,L224-1),"")
&amp;IFERROR(OFFSET(数出表_Excel【15時】!$A$1,4,L224-1),""),"")</f>
        <v/>
      </c>
      <c r="N224" t="str">
        <f ca="1">IF(L224&lt;&gt;"",
OFFSET(数出表_Excel【15時】!$A$1,A224+3,L224-1),"")</f>
        <v/>
      </c>
      <c r="O224" t="str">
        <f ca="1">IF(L224&lt;&gt;"",
IF(AND(OFFSET(数出表_Excel【15時】!$A$1,A224+3,L224)&lt;&gt;"",OFFSET(数出表_Excel【15時】!$A$1,A224+3,L224)&lt;&gt;0),
OFFSET(数出表_Excel【15時】!$A$1,A224+3,L224),""),"")</f>
        <v/>
      </c>
      <c r="Q224" t="str">
        <f ca="1">IF(C224&lt;&gt;"",
IF(E224&lt;&gt;"",1,0)+IF(I224&lt;&gt;"",1,0)+IF(M224&lt;&gt;"",1,0),"")</f>
        <v/>
      </c>
    </row>
    <row r="225" spans="1:17">
      <c r="A225" t="str">
        <f t="shared" ca="1" si="3"/>
        <v/>
      </c>
      <c r="B225" t="str">
        <f t="array" aca="1" ref="B225" ca="1">IF(OR(COUNTIF(数出表_Excel【15時】!AO228,"*修正*"),COUNTIF(数出表_Excel【15時】!AO229,"*修正*")),
IF(ISEVEN(ROW()+4),INDIRECT("数出表_Excel【15時】!A"&amp;ROW()+4&amp;""),INDIRECT("数出表_Excel【15時】!A"&amp;ROW()+4-1&amp;"")),"")</f>
        <v/>
      </c>
      <c r="C225" t="str">
        <f t="array" aca="1" ref="C225" ca="1">IF(OR(COUNTIF(数出表_Excel【15時】!AO228,"*修正*"),COUNTIF(数出表_Excel【15時】!AO229,"*修正*")),
IF(ISEVEN(ROW()+4),INDIRECT("数出表_Excel【15時】!A"&amp;ROW()+4+1&amp;""),INDIRECT("数出表_Excel【15時】!A"&amp;ROW()+4&amp;"")),"")</f>
        <v/>
      </c>
      <c r="D225" s="209" t="str">
        <f t="array" aca="1" ref="D225" ca="1">IF(B225&lt;&gt;"",
IFERROR(MATCH(TRUE,ISNUMBER(INDIRECT("数出表_Excel【15時】!B"&amp;(A225+4)&amp;":ZZ"&amp;(A225+4))),0)+1,""),"")</f>
        <v/>
      </c>
      <c r="E225" t="str">
        <f ca="1">IF(D225&lt;&gt;"",
OFFSET(数出表_Excel【15時】!$A$1,2,D225-1)
&amp;IFERROR(OFFSET(数出表_Excel【15時】!$A$1,3,D225-1),"")
&amp;IFERROR(OFFSET(数出表_Excel【15時】!$A$1,4,D225-1),""),"")</f>
        <v/>
      </c>
      <c r="F225" t="str">
        <f ca="1">IF(D225&lt;&gt;"",
OFFSET(数出表_Excel【15時】!$A$1,A225+3,D225-1),"")</f>
        <v/>
      </c>
      <c r="G225" t="str">
        <f ca="1">IF(D225&lt;&gt;"",
IF(AND(OFFSET(数出表_Excel【15時】!$A$1,A225+3,D225)&lt;&gt;"",OFFSET(数出表_Excel【15時】!$A$1,A225+3,D225)&lt;&gt;0),
OFFSET(数出表_Excel【15時】!$A$1,A225+3,D225),""),"")</f>
        <v/>
      </c>
      <c r="H225" s="209" t="str">
        <f t="array" aca="1" ref="H225" ca="1">IF(B225&lt;&gt;"",
IFERROR(MATCH(TRUE,ISNUMBER(INDIRECT("数出表_Excel【15時】!"&amp;SUBSTITUTE(ADDRESS(1,D225+2,4),"1","")&amp;(A225+4)&amp;":ZZ"&amp;(A225+4))),0)+D225+1,""),"")</f>
        <v/>
      </c>
      <c r="I225" t="str">
        <f ca="1">IF(H225&lt;&gt;"",
OFFSET(数出表_Excel【15時】!$A$1,2,H225-1)
&amp;IFERROR(OFFSET(数出表_Excel【15時】!$A$1,3,H225-1),"")
&amp;IFERROR(OFFSET(数出表_Excel【15時】!$A$1,4,H225-1),""),"")</f>
        <v/>
      </c>
      <c r="J225" t="str">
        <f ca="1">IF(H225&lt;&gt;"",
OFFSET(数出表_Excel【15時】!$A$1,A225+3,H225-1),"")</f>
        <v/>
      </c>
      <c r="K225" t="str">
        <f ca="1">IF(H225&lt;&gt;"",
IF(AND(OFFSET(数出表_Excel【15時】!$A$1,A225+3,H225)&lt;&gt;"",OFFSET(数出表_Excel【15時】!$A$1,A225+3,H225)&lt;&gt;0),
OFFSET(数出表_Excel【15時】!$A$1,A225+3,H225),""),"")</f>
        <v/>
      </c>
      <c r="L225" s="209" t="str">
        <f t="array" aca="1" ref="L225" ca="1">IF(B225&lt;&gt;"",
IFERROR(MATCH(TRUE,ISNUMBER(INDIRECT("数出表_Excel【15時】!"&amp;SUBSTITUTE(ADDRESS(1,H225+2,4),"1","")&amp;(A225+4)&amp;":ZZ"&amp;(A225+4))),0)+H225+1,""),"")</f>
        <v/>
      </c>
      <c r="M225" t="str">
        <f ca="1">IF(L225&lt;&gt;"",
OFFSET(数出表_Excel【15時】!$A$1,2,L225-1)
&amp;IFERROR(OFFSET(数出表_Excel【15時】!$A$1,3,L225-1),"")
&amp;IFERROR(OFFSET(数出表_Excel【15時】!$A$1,4,L225-1),""),"")</f>
        <v/>
      </c>
      <c r="N225" t="str">
        <f ca="1">IF(L225&lt;&gt;"",
OFFSET(数出表_Excel【15時】!$A$1,A225+3,L225-1),"")</f>
        <v/>
      </c>
      <c r="O225" t="str">
        <f ca="1">IF(L225&lt;&gt;"",
IF(AND(OFFSET(数出表_Excel【15時】!$A$1,A225+3,L225)&lt;&gt;"",OFFSET(数出表_Excel【15時】!$A$1,A225+3,L225)&lt;&gt;0),
OFFSET(数出表_Excel【15時】!$A$1,A225+3,L225),""),"")</f>
        <v/>
      </c>
    </row>
    <row r="226" spans="1:17">
      <c r="A226" t="str">
        <f t="shared" ca="1" si="3"/>
        <v/>
      </c>
      <c r="B226" t="str">
        <f t="array" aca="1" ref="B226" ca="1">IF(OR(COUNTIF(数出表_Excel【15時】!AO230,"*修正*"),COUNTIF(数出表_Excel【15時】!AO231,"*修正*")),
IF(ISEVEN(ROW()+4),INDIRECT("数出表_Excel【15時】!A"&amp;ROW()+4&amp;""),INDIRECT("数出表_Excel【15時】!A"&amp;ROW()+4-1&amp;"")),"")</f>
        <v/>
      </c>
      <c r="C226" t="str">
        <f t="array" aca="1" ref="C226" ca="1">IF(OR(COUNTIF(数出表_Excel【15時】!AO230,"*修正*"),COUNTIF(数出表_Excel【15時】!AO231,"*修正*")),
IF(ISEVEN(ROW()+4),INDIRECT("数出表_Excel【15時】!A"&amp;ROW()+4+1&amp;""),INDIRECT("数出表_Excel【15時】!A"&amp;ROW()+4&amp;"")),"")</f>
        <v/>
      </c>
      <c r="D226" s="209" t="str">
        <f t="array" aca="1" ref="D226" ca="1">IF(B226&lt;&gt;"",
IFERROR(MATCH(TRUE,ISNUMBER(INDIRECT("数出表_Excel【15時】!B"&amp;(A226+4)&amp;":ZZ"&amp;(A226+4))),0)+1,""),"")</f>
        <v/>
      </c>
      <c r="E226" t="str">
        <f ca="1">IF(D226&lt;&gt;"",
OFFSET(数出表_Excel【15時】!$A$1,2,D226-1)
&amp;IFERROR(OFFSET(数出表_Excel【15時】!$A$1,3,D226-1),"")
&amp;IFERROR(OFFSET(数出表_Excel【15時】!$A$1,4,D226-1),""),"")</f>
        <v/>
      </c>
      <c r="F226" t="str">
        <f ca="1">IF(D226&lt;&gt;"",
OFFSET(数出表_Excel【15時】!$A$1,A226+3,D226-1),"")</f>
        <v/>
      </c>
      <c r="G226" t="str">
        <f ca="1">IF(D226&lt;&gt;"",
IF(AND(OFFSET(数出表_Excel【15時】!$A$1,A226+3,D226)&lt;&gt;"",OFFSET(数出表_Excel【15時】!$A$1,A226+3,D226)&lt;&gt;0),
OFFSET(数出表_Excel【15時】!$A$1,A226+3,D226),""),"")</f>
        <v/>
      </c>
      <c r="H226" s="209" t="str">
        <f t="array" aca="1" ref="H226" ca="1">IF(B226&lt;&gt;"",
IFERROR(MATCH(TRUE,ISNUMBER(INDIRECT("数出表_Excel【15時】!"&amp;SUBSTITUTE(ADDRESS(1,D226+2,4),"1","")&amp;(A226+4)&amp;":ZZ"&amp;(A226+4))),0)+D226+1,""),"")</f>
        <v/>
      </c>
      <c r="I226" t="str">
        <f ca="1">IF(H226&lt;&gt;"",
OFFSET(数出表_Excel【15時】!$A$1,2,H226-1)
&amp;IFERROR(OFFSET(数出表_Excel【15時】!$A$1,3,H226-1),"")
&amp;IFERROR(OFFSET(数出表_Excel【15時】!$A$1,4,H226-1),""),"")</f>
        <v/>
      </c>
      <c r="J226" t="str">
        <f ca="1">IF(H226&lt;&gt;"",
OFFSET(数出表_Excel【15時】!$A$1,A226+3,H226-1),"")</f>
        <v/>
      </c>
      <c r="K226" t="str">
        <f ca="1">IF(H226&lt;&gt;"",
IF(AND(OFFSET(数出表_Excel【15時】!$A$1,A226+3,H226)&lt;&gt;"",OFFSET(数出表_Excel【15時】!$A$1,A226+3,H226)&lt;&gt;0),
OFFSET(数出表_Excel【15時】!$A$1,A226+3,H226),""),"")</f>
        <v/>
      </c>
      <c r="L226" s="209" t="str">
        <f t="array" aca="1" ref="L226" ca="1">IF(B226&lt;&gt;"",
IFERROR(MATCH(TRUE,ISNUMBER(INDIRECT("数出表_Excel【15時】!"&amp;SUBSTITUTE(ADDRESS(1,H226+2,4),"1","")&amp;(A226+4)&amp;":ZZ"&amp;(A226+4))),0)+H226+1,""),"")</f>
        <v/>
      </c>
      <c r="M226" t="str">
        <f ca="1">IF(L226&lt;&gt;"",
OFFSET(数出表_Excel【15時】!$A$1,2,L226-1)
&amp;IFERROR(OFFSET(数出表_Excel【15時】!$A$1,3,L226-1),"")
&amp;IFERROR(OFFSET(数出表_Excel【15時】!$A$1,4,L226-1),""),"")</f>
        <v/>
      </c>
      <c r="N226" t="str">
        <f ca="1">IF(L226&lt;&gt;"",
OFFSET(数出表_Excel【15時】!$A$1,A226+3,L226-1),"")</f>
        <v/>
      </c>
      <c r="O226" t="str">
        <f ca="1">IF(L226&lt;&gt;"",
IF(AND(OFFSET(数出表_Excel【15時】!$A$1,A226+3,L226)&lt;&gt;"",OFFSET(数出表_Excel【15時】!$A$1,A226+3,L226)&lt;&gt;0),
OFFSET(数出表_Excel【15時】!$A$1,A226+3,L226),""),"")</f>
        <v/>
      </c>
      <c r="Q226" t="str">
        <f ca="1">IF(C226&lt;&gt;"",
IF(E226&lt;&gt;"",1,0)+IF(I226&lt;&gt;"",1,0)+IF(M226&lt;&gt;"",1,0),"")</f>
        <v/>
      </c>
    </row>
    <row r="227" spans="1:17">
      <c r="A227" t="str">
        <f t="shared" ca="1" si="3"/>
        <v/>
      </c>
      <c r="B227" t="str">
        <f t="array" aca="1" ref="B227" ca="1">IF(OR(COUNTIF(数出表_Excel【15時】!AO230,"*修正*"),COUNTIF(数出表_Excel【15時】!AO231,"*修正*")),
IF(ISEVEN(ROW()+4),INDIRECT("数出表_Excel【15時】!A"&amp;ROW()+4&amp;""),INDIRECT("数出表_Excel【15時】!A"&amp;ROW()+4-1&amp;"")),"")</f>
        <v/>
      </c>
      <c r="C227" t="str">
        <f t="array" aca="1" ref="C227" ca="1">IF(OR(COUNTIF(数出表_Excel【15時】!AO230,"*修正*"),COUNTIF(数出表_Excel【15時】!AO231,"*修正*")),
IF(ISEVEN(ROW()+4),INDIRECT("数出表_Excel【15時】!A"&amp;ROW()+4+1&amp;""),INDIRECT("数出表_Excel【15時】!A"&amp;ROW()+4&amp;"")),"")</f>
        <v/>
      </c>
      <c r="D227" s="209" t="str">
        <f t="array" aca="1" ref="D227" ca="1">IF(B227&lt;&gt;"",
IFERROR(MATCH(TRUE,ISNUMBER(INDIRECT("数出表_Excel【15時】!B"&amp;(A227+4)&amp;":ZZ"&amp;(A227+4))),0)+1,""),"")</f>
        <v/>
      </c>
      <c r="E227" t="str">
        <f ca="1">IF(D227&lt;&gt;"",
OFFSET(数出表_Excel【15時】!$A$1,2,D227-1)
&amp;IFERROR(OFFSET(数出表_Excel【15時】!$A$1,3,D227-1),"")
&amp;IFERROR(OFFSET(数出表_Excel【15時】!$A$1,4,D227-1),""),"")</f>
        <v/>
      </c>
      <c r="F227" t="str">
        <f ca="1">IF(D227&lt;&gt;"",
OFFSET(数出表_Excel【15時】!$A$1,A227+3,D227-1),"")</f>
        <v/>
      </c>
      <c r="G227" t="str">
        <f ca="1">IF(D227&lt;&gt;"",
IF(AND(OFFSET(数出表_Excel【15時】!$A$1,A227+3,D227)&lt;&gt;"",OFFSET(数出表_Excel【15時】!$A$1,A227+3,D227)&lt;&gt;0),
OFFSET(数出表_Excel【15時】!$A$1,A227+3,D227),""),"")</f>
        <v/>
      </c>
      <c r="H227" s="209" t="str">
        <f t="array" aca="1" ref="H227" ca="1">IF(B227&lt;&gt;"",
IFERROR(MATCH(TRUE,ISNUMBER(INDIRECT("数出表_Excel【15時】!"&amp;SUBSTITUTE(ADDRESS(1,D227+2,4),"1","")&amp;(A227+4)&amp;":ZZ"&amp;(A227+4))),0)+D227+1,""),"")</f>
        <v/>
      </c>
      <c r="I227" t="str">
        <f ca="1">IF(H227&lt;&gt;"",
OFFSET(数出表_Excel【15時】!$A$1,2,H227-1)
&amp;IFERROR(OFFSET(数出表_Excel【15時】!$A$1,3,H227-1),"")
&amp;IFERROR(OFFSET(数出表_Excel【15時】!$A$1,4,H227-1),""),"")</f>
        <v/>
      </c>
      <c r="J227" t="str">
        <f ca="1">IF(H227&lt;&gt;"",
OFFSET(数出表_Excel【15時】!$A$1,A227+3,H227-1),"")</f>
        <v/>
      </c>
      <c r="K227" t="str">
        <f ca="1">IF(H227&lt;&gt;"",
IF(AND(OFFSET(数出表_Excel【15時】!$A$1,A227+3,H227)&lt;&gt;"",OFFSET(数出表_Excel【15時】!$A$1,A227+3,H227)&lt;&gt;0),
OFFSET(数出表_Excel【15時】!$A$1,A227+3,H227),""),"")</f>
        <v/>
      </c>
      <c r="L227" s="209" t="str">
        <f t="array" aca="1" ref="L227" ca="1">IF(B227&lt;&gt;"",
IFERROR(MATCH(TRUE,ISNUMBER(INDIRECT("数出表_Excel【15時】!"&amp;SUBSTITUTE(ADDRESS(1,H227+2,4),"1","")&amp;(A227+4)&amp;":ZZ"&amp;(A227+4))),0)+H227+1,""),"")</f>
        <v/>
      </c>
      <c r="M227" t="str">
        <f ca="1">IF(L227&lt;&gt;"",
OFFSET(数出表_Excel【15時】!$A$1,2,L227-1)
&amp;IFERROR(OFFSET(数出表_Excel【15時】!$A$1,3,L227-1),"")
&amp;IFERROR(OFFSET(数出表_Excel【15時】!$A$1,4,L227-1),""),"")</f>
        <v/>
      </c>
      <c r="N227" t="str">
        <f ca="1">IF(L227&lt;&gt;"",
OFFSET(数出表_Excel【15時】!$A$1,A227+3,L227-1),"")</f>
        <v/>
      </c>
      <c r="O227" t="str">
        <f ca="1">IF(L227&lt;&gt;"",
IF(AND(OFFSET(数出表_Excel【15時】!$A$1,A227+3,L227)&lt;&gt;"",OFFSET(数出表_Excel【15時】!$A$1,A227+3,L227)&lt;&gt;0),
OFFSET(数出表_Excel【15時】!$A$1,A227+3,L227),""),"")</f>
        <v/>
      </c>
    </row>
    <row r="228" spans="1:17">
      <c r="A228" t="str">
        <f t="shared" ca="1" si="3"/>
        <v/>
      </c>
      <c r="B228" t="str">
        <f t="array" aca="1" ref="B228" ca="1">IF(OR(COUNTIF(数出表_Excel【15時】!AO232,"*修正*"),COUNTIF(数出表_Excel【15時】!AO233,"*修正*")),
IF(ISEVEN(ROW()+4),INDIRECT("数出表_Excel【15時】!A"&amp;ROW()+4&amp;""),INDIRECT("数出表_Excel【15時】!A"&amp;ROW()+4-1&amp;"")),"")</f>
        <v/>
      </c>
      <c r="C228" t="str">
        <f t="array" aca="1" ref="C228" ca="1">IF(OR(COUNTIF(数出表_Excel【15時】!AO232,"*修正*"),COUNTIF(数出表_Excel【15時】!AO233,"*修正*")),
IF(ISEVEN(ROW()+4),INDIRECT("数出表_Excel【15時】!A"&amp;ROW()+4+1&amp;""),INDIRECT("数出表_Excel【15時】!A"&amp;ROW()+4&amp;"")),"")</f>
        <v/>
      </c>
      <c r="D228" s="209" t="str">
        <f t="array" aca="1" ref="D228" ca="1">IF(B228&lt;&gt;"",
IFERROR(MATCH(TRUE,ISNUMBER(INDIRECT("数出表_Excel【15時】!B"&amp;(A228+4)&amp;":ZZ"&amp;(A228+4))),0)+1,""),"")</f>
        <v/>
      </c>
      <c r="E228" t="str">
        <f ca="1">IF(D228&lt;&gt;"",
OFFSET(数出表_Excel【15時】!$A$1,2,D228-1)
&amp;IFERROR(OFFSET(数出表_Excel【15時】!$A$1,3,D228-1),"")
&amp;IFERROR(OFFSET(数出表_Excel【15時】!$A$1,4,D228-1),""),"")</f>
        <v/>
      </c>
      <c r="F228" t="str">
        <f ca="1">IF(D228&lt;&gt;"",
OFFSET(数出表_Excel【15時】!$A$1,A228+3,D228-1),"")</f>
        <v/>
      </c>
      <c r="G228" t="str">
        <f ca="1">IF(D228&lt;&gt;"",
IF(AND(OFFSET(数出表_Excel【15時】!$A$1,A228+3,D228)&lt;&gt;"",OFFSET(数出表_Excel【15時】!$A$1,A228+3,D228)&lt;&gt;0),
OFFSET(数出表_Excel【15時】!$A$1,A228+3,D228),""),"")</f>
        <v/>
      </c>
      <c r="H228" s="209" t="str">
        <f t="array" aca="1" ref="H228" ca="1">IF(B228&lt;&gt;"",
IFERROR(MATCH(TRUE,ISNUMBER(INDIRECT("数出表_Excel【15時】!"&amp;SUBSTITUTE(ADDRESS(1,D228+2,4),"1","")&amp;(A228+4)&amp;":ZZ"&amp;(A228+4))),0)+D228+1,""),"")</f>
        <v/>
      </c>
      <c r="I228" t="str">
        <f ca="1">IF(H228&lt;&gt;"",
OFFSET(数出表_Excel【15時】!$A$1,2,H228-1)
&amp;IFERROR(OFFSET(数出表_Excel【15時】!$A$1,3,H228-1),"")
&amp;IFERROR(OFFSET(数出表_Excel【15時】!$A$1,4,H228-1),""),"")</f>
        <v/>
      </c>
      <c r="J228" t="str">
        <f ca="1">IF(H228&lt;&gt;"",
OFFSET(数出表_Excel【15時】!$A$1,A228+3,H228-1),"")</f>
        <v/>
      </c>
      <c r="K228" t="str">
        <f ca="1">IF(H228&lt;&gt;"",
IF(AND(OFFSET(数出表_Excel【15時】!$A$1,A228+3,H228)&lt;&gt;"",OFFSET(数出表_Excel【15時】!$A$1,A228+3,H228)&lt;&gt;0),
OFFSET(数出表_Excel【15時】!$A$1,A228+3,H228),""),"")</f>
        <v/>
      </c>
      <c r="L228" s="209" t="str">
        <f t="array" aca="1" ref="L228" ca="1">IF(B228&lt;&gt;"",
IFERROR(MATCH(TRUE,ISNUMBER(INDIRECT("数出表_Excel【15時】!"&amp;SUBSTITUTE(ADDRESS(1,H228+2,4),"1","")&amp;(A228+4)&amp;":ZZ"&amp;(A228+4))),0)+H228+1,""),"")</f>
        <v/>
      </c>
      <c r="M228" t="str">
        <f ca="1">IF(L228&lt;&gt;"",
OFFSET(数出表_Excel【15時】!$A$1,2,L228-1)
&amp;IFERROR(OFFSET(数出表_Excel【15時】!$A$1,3,L228-1),"")
&amp;IFERROR(OFFSET(数出表_Excel【15時】!$A$1,4,L228-1),""),"")</f>
        <v/>
      </c>
      <c r="N228" t="str">
        <f ca="1">IF(L228&lt;&gt;"",
OFFSET(数出表_Excel【15時】!$A$1,A228+3,L228-1),"")</f>
        <v/>
      </c>
      <c r="O228" t="str">
        <f ca="1">IF(L228&lt;&gt;"",
IF(AND(OFFSET(数出表_Excel【15時】!$A$1,A228+3,L228)&lt;&gt;"",OFFSET(数出表_Excel【15時】!$A$1,A228+3,L228)&lt;&gt;0),
OFFSET(数出表_Excel【15時】!$A$1,A228+3,L228),""),"")</f>
        <v/>
      </c>
      <c r="Q228" t="str">
        <f ca="1">IF(C228&lt;&gt;"",
IF(E228&lt;&gt;"",1,0)+IF(I228&lt;&gt;"",1,0)+IF(M228&lt;&gt;"",1,0),"")</f>
        <v/>
      </c>
    </row>
    <row r="229" spans="1:17">
      <c r="A229" t="str">
        <f t="shared" ca="1" si="3"/>
        <v/>
      </c>
      <c r="B229" t="str">
        <f t="array" aca="1" ref="B229" ca="1">IF(OR(COUNTIF(数出表_Excel【15時】!AO232,"*修正*"),COUNTIF(数出表_Excel【15時】!AO233,"*修正*")),
IF(ISEVEN(ROW()+4),INDIRECT("数出表_Excel【15時】!A"&amp;ROW()+4&amp;""),INDIRECT("数出表_Excel【15時】!A"&amp;ROW()+4-1&amp;"")),"")</f>
        <v/>
      </c>
      <c r="C229" t="str">
        <f t="array" aca="1" ref="C229" ca="1">IF(OR(COUNTIF(数出表_Excel【15時】!AO232,"*修正*"),COUNTIF(数出表_Excel【15時】!AO233,"*修正*")),
IF(ISEVEN(ROW()+4),INDIRECT("数出表_Excel【15時】!A"&amp;ROW()+4+1&amp;""),INDIRECT("数出表_Excel【15時】!A"&amp;ROW()+4&amp;"")),"")</f>
        <v/>
      </c>
      <c r="D229" s="209" t="str">
        <f t="array" aca="1" ref="D229" ca="1">IF(B229&lt;&gt;"",
IFERROR(MATCH(TRUE,ISNUMBER(INDIRECT("数出表_Excel【15時】!B"&amp;(A229+4)&amp;":ZZ"&amp;(A229+4))),0)+1,""),"")</f>
        <v/>
      </c>
      <c r="E229" t="str">
        <f ca="1">IF(D229&lt;&gt;"",
OFFSET(数出表_Excel【15時】!$A$1,2,D229-1)
&amp;IFERROR(OFFSET(数出表_Excel【15時】!$A$1,3,D229-1),"")
&amp;IFERROR(OFFSET(数出表_Excel【15時】!$A$1,4,D229-1),""),"")</f>
        <v/>
      </c>
      <c r="F229" t="str">
        <f ca="1">IF(D229&lt;&gt;"",
OFFSET(数出表_Excel【15時】!$A$1,A229+3,D229-1),"")</f>
        <v/>
      </c>
      <c r="G229" t="str">
        <f ca="1">IF(D229&lt;&gt;"",
IF(AND(OFFSET(数出表_Excel【15時】!$A$1,A229+3,D229)&lt;&gt;"",OFFSET(数出表_Excel【15時】!$A$1,A229+3,D229)&lt;&gt;0),
OFFSET(数出表_Excel【15時】!$A$1,A229+3,D229),""),"")</f>
        <v/>
      </c>
      <c r="H229" s="209" t="str">
        <f t="array" aca="1" ref="H229" ca="1">IF(B229&lt;&gt;"",
IFERROR(MATCH(TRUE,ISNUMBER(INDIRECT("数出表_Excel【15時】!"&amp;SUBSTITUTE(ADDRESS(1,D229+2,4),"1","")&amp;(A229+4)&amp;":ZZ"&amp;(A229+4))),0)+D229+1,""),"")</f>
        <v/>
      </c>
      <c r="I229" t="str">
        <f ca="1">IF(H229&lt;&gt;"",
OFFSET(数出表_Excel【15時】!$A$1,2,H229-1)
&amp;IFERROR(OFFSET(数出表_Excel【15時】!$A$1,3,H229-1),"")
&amp;IFERROR(OFFSET(数出表_Excel【15時】!$A$1,4,H229-1),""),"")</f>
        <v/>
      </c>
      <c r="J229" t="str">
        <f ca="1">IF(H229&lt;&gt;"",
OFFSET(数出表_Excel【15時】!$A$1,A229+3,H229-1),"")</f>
        <v/>
      </c>
      <c r="K229" t="str">
        <f ca="1">IF(H229&lt;&gt;"",
IF(AND(OFFSET(数出表_Excel【15時】!$A$1,A229+3,H229)&lt;&gt;"",OFFSET(数出表_Excel【15時】!$A$1,A229+3,H229)&lt;&gt;0),
OFFSET(数出表_Excel【15時】!$A$1,A229+3,H229),""),"")</f>
        <v/>
      </c>
      <c r="L229" s="209" t="str">
        <f t="array" aca="1" ref="L229" ca="1">IF(B229&lt;&gt;"",
IFERROR(MATCH(TRUE,ISNUMBER(INDIRECT("数出表_Excel【15時】!"&amp;SUBSTITUTE(ADDRESS(1,H229+2,4),"1","")&amp;(A229+4)&amp;":ZZ"&amp;(A229+4))),0)+H229+1,""),"")</f>
        <v/>
      </c>
      <c r="M229" t="str">
        <f ca="1">IF(L229&lt;&gt;"",
OFFSET(数出表_Excel【15時】!$A$1,2,L229-1)
&amp;IFERROR(OFFSET(数出表_Excel【15時】!$A$1,3,L229-1),"")
&amp;IFERROR(OFFSET(数出表_Excel【15時】!$A$1,4,L229-1),""),"")</f>
        <v/>
      </c>
      <c r="N229" t="str">
        <f ca="1">IF(L229&lt;&gt;"",
OFFSET(数出表_Excel【15時】!$A$1,A229+3,L229-1),"")</f>
        <v/>
      </c>
      <c r="O229" t="str">
        <f ca="1">IF(L229&lt;&gt;"",
IF(AND(OFFSET(数出表_Excel【15時】!$A$1,A229+3,L229)&lt;&gt;"",OFFSET(数出表_Excel【15時】!$A$1,A229+3,L229)&lt;&gt;0),
OFFSET(数出表_Excel【15時】!$A$1,A229+3,L229),""),"")</f>
        <v/>
      </c>
    </row>
    <row r="230" spans="1:17">
      <c r="A230" t="str">
        <f t="shared" ca="1" si="3"/>
        <v/>
      </c>
      <c r="B230" t="str">
        <f t="array" aca="1" ref="B230" ca="1">IF(OR(COUNTIF(数出表_Excel【15時】!AO234,"*修正*"),COUNTIF(数出表_Excel【15時】!AO235,"*修正*")),
IF(ISEVEN(ROW()+4),INDIRECT("数出表_Excel【15時】!A"&amp;ROW()+4&amp;""),INDIRECT("数出表_Excel【15時】!A"&amp;ROW()+4-1&amp;"")),"")</f>
        <v/>
      </c>
      <c r="C230" t="str">
        <f t="array" aca="1" ref="C230" ca="1">IF(OR(COUNTIF(数出表_Excel【15時】!AO234,"*修正*"),COUNTIF(数出表_Excel【15時】!AO235,"*修正*")),
IF(ISEVEN(ROW()+4),INDIRECT("数出表_Excel【15時】!A"&amp;ROW()+4+1&amp;""),INDIRECT("数出表_Excel【15時】!A"&amp;ROW()+4&amp;"")),"")</f>
        <v/>
      </c>
      <c r="D230" s="209" t="str">
        <f t="array" aca="1" ref="D230" ca="1">IF(B230&lt;&gt;"",
IFERROR(MATCH(TRUE,ISNUMBER(INDIRECT("数出表_Excel【15時】!B"&amp;(A230+4)&amp;":ZZ"&amp;(A230+4))),0)+1,""),"")</f>
        <v/>
      </c>
      <c r="E230" t="str">
        <f ca="1">IF(D230&lt;&gt;"",
OFFSET(数出表_Excel【15時】!$A$1,2,D230-1)
&amp;IFERROR(OFFSET(数出表_Excel【15時】!$A$1,3,D230-1),"")
&amp;IFERROR(OFFSET(数出表_Excel【15時】!$A$1,4,D230-1),""),"")</f>
        <v/>
      </c>
      <c r="F230" t="str">
        <f ca="1">IF(D230&lt;&gt;"",
OFFSET(数出表_Excel【15時】!$A$1,A230+3,D230-1),"")</f>
        <v/>
      </c>
      <c r="G230" t="str">
        <f ca="1">IF(D230&lt;&gt;"",
IF(AND(OFFSET(数出表_Excel【15時】!$A$1,A230+3,D230)&lt;&gt;"",OFFSET(数出表_Excel【15時】!$A$1,A230+3,D230)&lt;&gt;0),
OFFSET(数出表_Excel【15時】!$A$1,A230+3,D230),""),"")</f>
        <v/>
      </c>
      <c r="H230" s="209" t="str">
        <f t="array" aca="1" ref="H230" ca="1">IF(B230&lt;&gt;"",
IFERROR(MATCH(TRUE,ISNUMBER(INDIRECT("数出表_Excel【15時】!"&amp;SUBSTITUTE(ADDRESS(1,D230+2,4),"1","")&amp;(A230+4)&amp;":ZZ"&amp;(A230+4))),0)+D230+1,""),"")</f>
        <v/>
      </c>
      <c r="I230" t="str">
        <f ca="1">IF(H230&lt;&gt;"",
OFFSET(数出表_Excel【15時】!$A$1,2,H230-1)
&amp;IFERROR(OFFSET(数出表_Excel【15時】!$A$1,3,H230-1),"")
&amp;IFERROR(OFFSET(数出表_Excel【15時】!$A$1,4,H230-1),""),"")</f>
        <v/>
      </c>
      <c r="J230" t="str">
        <f ca="1">IF(H230&lt;&gt;"",
OFFSET(数出表_Excel【15時】!$A$1,A230+3,H230-1),"")</f>
        <v/>
      </c>
      <c r="K230" t="str">
        <f ca="1">IF(H230&lt;&gt;"",
IF(AND(OFFSET(数出表_Excel【15時】!$A$1,A230+3,H230)&lt;&gt;"",OFFSET(数出表_Excel【15時】!$A$1,A230+3,H230)&lt;&gt;0),
OFFSET(数出表_Excel【15時】!$A$1,A230+3,H230),""),"")</f>
        <v/>
      </c>
      <c r="L230" s="209" t="str">
        <f t="array" aca="1" ref="L230" ca="1">IF(B230&lt;&gt;"",
IFERROR(MATCH(TRUE,ISNUMBER(INDIRECT("数出表_Excel【15時】!"&amp;SUBSTITUTE(ADDRESS(1,H230+2,4),"1","")&amp;(A230+4)&amp;":ZZ"&amp;(A230+4))),0)+H230+1,""),"")</f>
        <v/>
      </c>
      <c r="M230" t="str">
        <f ca="1">IF(L230&lt;&gt;"",
OFFSET(数出表_Excel【15時】!$A$1,2,L230-1)
&amp;IFERROR(OFFSET(数出表_Excel【15時】!$A$1,3,L230-1),"")
&amp;IFERROR(OFFSET(数出表_Excel【15時】!$A$1,4,L230-1),""),"")</f>
        <v/>
      </c>
      <c r="N230" t="str">
        <f ca="1">IF(L230&lt;&gt;"",
OFFSET(数出表_Excel【15時】!$A$1,A230+3,L230-1),"")</f>
        <v/>
      </c>
      <c r="O230" t="str">
        <f ca="1">IF(L230&lt;&gt;"",
IF(AND(OFFSET(数出表_Excel【15時】!$A$1,A230+3,L230)&lt;&gt;"",OFFSET(数出表_Excel【15時】!$A$1,A230+3,L230)&lt;&gt;0),
OFFSET(数出表_Excel【15時】!$A$1,A230+3,L230),""),"")</f>
        <v/>
      </c>
      <c r="Q230" t="str">
        <f ca="1">IF(C230&lt;&gt;"",
IF(E230&lt;&gt;"",1,0)+IF(I230&lt;&gt;"",1,0)+IF(M230&lt;&gt;"",1,0),"")</f>
        <v/>
      </c>
    </row>
    <row r="231" spans="1:17">
      <c r="A231" t="str">
        <f t="shared" ca="1" si="3"/>
        <v/>
      </c>
      <c r="B231" t="str">
        <f t="array" aca="1" ref="B231" ca="1">IF(OR(COUNTIF(数出表_Excel【15時】!AO234,"*修正*"),COUNTIF(数出表_Excel【15時】!AO235,"*修正*")),
IF(ISEVEN(ROW()+4),INDIRECT("数出表_Excel【15時】!A"&amp;ROW()+4&amp;""),INDIRECT("数出表_Excel【15時】!A"&amp;ROW()+4-1&amp;"")),"")</f>
        <v/>
      </c>
      <c r="C231" t="str">
        <f t="array" aca="1" ref="C231" ca="1">IF(OR(COUNTIF(数出表_Excel【15時】!AO234,"*修正*"),COUNTIF(数出表_Excel【15時】!AO235,"*修正*")),
IF(ISEVEN(ROW()+4),INDIRECT("数出表_Excel【15時】!A"&amp;ROW()+4+1&amp;""),INDIRECT("数出表_Excel【15時】!A"&amp;ROW()+4&amp;"")),"")</f>
        <v/>
      </c>
      <c r="D231" s="209" t="str">
        <f t="array" aca="1" ref="D231" ca="1">IF(B231&lt;&gt;"",
IFERROR(MATCH(TRUE,ISNUMBER(INDIRECT("数出表_Excel【15時】!B"&amp;(A231+4)&amp;":ZZ"&amp;(A231+4))),0)+1,""),"")</f>
        <v/>
      </c>
      <c r="E231" t="str">
        <f ca="1">IF(D231&lt;&gt;"",
OFFSET(数出表_Excel【15時】!$A$1,2,D231-1)
&amp;IFERROR(OFFSET(数出表_Excel【15時】!$A$1,3,D231-1),"")
&amp;IFERROR(OFFSET(数出表_Excel【15時】!$A$1,4,D231-1),""),"")</f>
        <v/>
      </c>
      <c r="F231" t="str">
        <f ca="1">IF(D231&lt;&gt;"",
OFFSET(数出表_Excel【15時】!$A$1,A231+3,D231-1),"")</f>
        <v/>
      </c>
      <c r="G231" t="str">
        <f ca="1">IF(D231&lt;&gt;"",
IF(AND(OFFSET(数出表_Excel【15時】!$A$1,A231+3,D231)&lt;&gt;"",OFFSET(数出表_Excel【15時】!$A$1,A231+3,D231)&lt;&gt;0),
OFFSET(数出表_Excel【15時】!$A$1,A231+3,D231),""),"")</f>
        <v/>
      </c>
      <c r="H231" s="209" t="str">
        <f t="array" aca="1" ref="H231" ca="1">IF(B231&lt;&gt;"",
IFERROR(MATCH(TRUE,ISNUMBER(INDIRECT("数出表_Excel【15時】!"&amp;SUBSTITUTE(ADDRESS(1,D231+2,4),"1","")&amp;(A231+4)&amp;":ZZ"&amp;(A231+4))),0)+D231+1,""),"")</f>
        <v/>
      </c>
      <c r="I231" t="str">
        <f ca="1">IF(H231&lt;&gt;"",
OFFSET(数出表_Excel【15時】!$A$1,2,H231-1)
&amp;IFERROR(OFFSET(数出表_Excel【15時】!$A$1,3,H231-1),"")
&amp;IFERROR(OFFSET(数出表_Excel【15時】!$A$1,4,H231-1),""),"")</f>
        <v/>
      </c>
      <c r="J231" t="str">
        <f ca="1">IF(H231&lt;&gt;"",
OFFSET(数出表_Excel【15時】!$A$1,A231+3,H231-1),"")</f>
        <v/>
      </c>
      <c r="K231" t="str">
        <f ca="1">IF(H231&lt;&gt;"",
IF(AND(OFFSET(数出表_Excel【15時】!$A$1,A231+3,H231)&lt;&gt;"",OFFSET(数出表_Excel【15時】!$A$1,A231+3,H231)&lt;&gt;0),
OFFSET(数出表_Excel【15時】!$A$1,A231+3,H231),""),"")</f>
        <v/>
      </c>
      <c r="L231" s="209" t="str">
        <f t="array" aca="1" ref="L231" ca="1">IF(B231&lt;&gt;"",
IFERROR(MATCH(TRUE,ISNUMBER(INDIRECT("数出表_Excel【15時】!"&amp;SUBSTITUTE(ADDRESS(1,H231+2,4),"1","")&amp;(A231+4)&amp;":ZZ"&amp;(A231+4))),0)+H231+1,""),"")</f>
        <v/>
      </c>
      <c r="M231" t="str">
        <f ca="1">IF(L231&lt;&gt;"",
OFFSET(数出表_Excel【15時】!$A$1,2,L231-1)
&amp;IFERROR(OFFSET(数出表_Excel【15時】!$A$1,3,L231-1),"")
&amp;IFERROR(OFFSET(数出表_Excel【15時】!$A$1,4,L231-1),""),"")</f>
        <v/>
      </c>
      <c r="N231" t="str">
        <f ca="1">IF(L231&lt;&gt;"",
OFFSET(数出表_Excel【15時】!$A$1,A231+3,L231-1),"")</f>
        <v/>
      </c>
      <c r="O231" t="str">
        <f ca="1">IF(L231&lt;&gt;"",
IF(AND(OFFSET(数出表_Excel【15時】!$A$1,A231+3,L231)&lt;&gt;"",OFFSET(数出表_Excel【15時】!$A$1,A231+3,L231)&lt;&gt;0),
OFFSET(数出表_Excel【15時】!$A$1,A231+3,L231),""),"")</f>
        <v/>
      </c>
    </row>
    <row r="232" spans="1:17">
      <c r="A232" t="str">
        <f t="shared" ca="1" si="3"/>
        <v/>
      </c>
      <c r="B232" t="str">
        <f t="array" aca="1" ref="B232" ca="1">IF(OR(COUNTIF(数出表_Excel【15時】!AO236,"*修正*"),COUNTIF(数出表_Excel【15時】!AO237,"*修正*")),
IF(ISEVEN(ROW()+4),INDIRECT("数出表_Excel【15時】!A"&amp;ROW()+4&amp;""),INDIRECT("数出表_Excel【15時】!A"&amp;ROW()+4-1&amp;"")),"")</f>
        <v/>
      </c>
      <c r="C232" t="str">
        <f t="array" aca="1" ref="C232" ca="1">IF(OR(COUNTIF(数出表_Excel【15時】!AO236,"*修正*"),COUNTIF(数出表_Excel【15時】!AO237,"*修正*")),
IF(ISEVEN(ROW()+4),INDIRECT("数出表_Excel【15時】!A"&amp;ROW()+4+1&amp;""),INDIRECT("数出表_Excel【15時】!A"&amp;ROW()+4&amp;"")),"")</f>
        <v/>
      </c>
      <c r="D232" s="209" t="str">
        <f t="array" aca="1" ref="D232" ca="1">IF(B232&lt;&gt;"",
IFERROR(MATCH(TRUE,ISNUMBER(INDIRECT("数出表_Excel【15時】!B"&amp;(A232+4)&amp;":ZZ"&amp;(A232+4))),0)+1,""),"")</f>
        <v/>
      </c>
      <c r="E232" t="str">
        <f ca="1">IF(D232&lt;&gt;"",
OFFSET(数出表_Excel【15時】!$A$1,2,D232-1)
&amp;IFERROR(OFFSET(数出表_Excel【15時】!$A$1,3,D232-1),"")
&amp;IFERROR(OFFSET(数出表_Excel【15時】!$A$1,4,D232-1),""),"")</f>
        <v/>
      </c>
      <c r="F232" t="str">
        <f ca="1">IF(D232&lt;&gt;"",
OFFSET(数出表_Excel【15時】!$A$1,A232+3,D232-1),"")</f>
        <v/>
      </c>
      <c r="G232" t="str">
        <f ca="1">IF(D232&lt;&gt;"",
IF(AND(OFFSET(数出表_Excel【15時】!$A$1,A232+3,D232)&lt;&gt;"",OFFSET(数出表_Excel【15時】!$A$1,A232+3,D232)&lt;&gt;0),
OFFSET(数出表_Excel【15時】!$A$1,A232+3,D232),""),"")</f>
        <v/>
      </c>
      <c r="H232" s="209" t="str">
        <f t="array" aca="1" ref="H232" ca="1">IF(B232&lt;&gt;"",
IFERROR(MATCH(TRUE,ISNUMBER(INDIRECT("数出表_Excel【15時】!"&amp;SUBSTITUTE(ADDRESS(1,D232+2,4),"1","")&amp;(A232+4)&amp;":ZZ"&amp;(A232+4))),0)+D232+1,""),"")</f>
        <v/>
      </c>
      <c r="I232" t="str">
        <f ca="1">IF(H232&lt;&gt;"",
OFFSET(数出表_Excel【15時】!$A$1,2,H232-1)
&amp;IFERROR(OFFSET(数出表_Excel【15時】!$A$1,3,H232-1),"")
&amp;IFERROR(OFFSET(数出表_Excel【15時】!$A$1,4,H232-1),""),"")</f>
        <v/>
      </c>
      <c r="J232" t="str">
        <f ca="1">IF(H232&lt;&gt;"",
OFFSET(数出表_Excel【15時】!$A$1,A232+3,H232-1),"")</f>
        <v/>
      </c>
      <c r="K232" t="str">
        <f ca="1">IF(H232&lt;&gt;"",
IF(AND(OFFSET(数出表_Excel【15時】!$A$1,A232+3,H232)&lt;&gt;"",OFFSET(数出表_Excel【15時】!$A$1,A232+3,H232)&lt;&gt;0),
OFFSET(数出表_Excel【15時】!$A$1,A232+3,H232),""),"")</f>
        <v/>
      </c>
      <c r="L232" s="209" t="str">
        <f t="array" aca="1" ref="L232" ca="1">IF(B232&lt;&gt;"",
IFERROR(MATCH(TRUE,ISNUMBER(INDIRECT("数出表_Excel【15時】!"&amp;SUBSTITUTE(ADDRESS(1,H232+2,4),"1","")&amp;(A232+4)&amp;":ZZ"&amp;(A232+4))),0)+H232+1,""),"")</f>
        <v/>
      </c>
      <c r="M232" t="str">
        <f ca="1">IF(L232&lt;&gt;"",
OFFSET(数出表_Excel【15時】!$A$1,2,L232-1)
&amp;IFERROR(OFFSET(数出表_Excel【15時】!$A$1,3,L232-1),"")
&amp;IFERROR(OFFSET(数出表_Excel【15時】!$A$1,4,L232-1),""),"")</f>
        <v/>
      </c>
      <c r="N232" t="str">
        <f ca="1">IF(L232&lt;&gt;"",
OFFSET(数出表_Excel【15時】!$A$1,A232+3,L232-1),"")</f>
        <v/>
      </c>
      <c r="O232" t="str">
        <f ca="1">IF(L232&lt;&gt;"",
IF(AND(OFFSET(数出表_Excel【15時】!$A$1,A232+3,L232)&lt;&gt;"",OFFSET(数出表_Excel【15時】!$A$1,A232+3,L232)&lt;&gt;0),
OFFSET(数出表_Excel【15時】!$A$1,A232+3,L232),""),"")</f>
        <v/>
      </c>
      <c r="Q232" t="str">
        <f ca="1">IF(C232&lt;&gt;"",
IF(E232&lt;&gt;"",1,0)+IF(I232&lt;&gt;"",1,0)+IF(M232&lt;&gt;"",1,0),"")</f>
        <v/>
      </c>
    </row>
    <row r="233" spans="1:17">
      <c r="A233" t="str">
        <f t="shared" ca="1" si="3"/>
        <v/>
      </c>
      <c r="B233" t="str">
        <f t="array" aca="1" ref="B233" ca="1">IF(OR(COUNTIF(数出表_Excel【15時】!AO236,"*修正*"),COUNTIF(数出表_Excel【15時】!AO237,"*修正*")),
IF(ISEVEN(ROW()+4),INDIRECT("数出表_Excel【15時】!A"&amp;ROW()+4&amp;""),INDIRECT("数出表_Excel【15時】!A"&amp;ROW()+4-1&amp;"")),"")</f>
        <v/>
      </c>
      <c r="C233" t="str">
        <f t="array" aca="1" ref="C233" ca="1">IF(OR(COUNTIF(数出表_Excel【15時】!AO236,"*修正*"),COUNTIF(数出表_Excel【15時】!AO237,"*修正*")),
IF(ISEVEN(ROW()+4),INDIRECT("数出表_Excel【15時】!A"&amp;ROW()+4+1&amp;""),INDIRECT("数出表_Excel【15時】!A"&amp;ROW()+4&amp;"")),"")</f>
        <v/>
      </c>
      <c r="D233" s="209" t="str">
        <f t="array" aca="1" ref="D233" ca="1">IF(B233&lt;&gt;"",
IFERROR(MATCH(TRUE,ISNUMBER(INDIRECT("数出表_Excel【15時】!B"&amp;(A233+4)&amp;":ZZ"&amp;(A233+4))),0)+1,""),"")</f>
        <v/>
      </c>
      <c r="E233" t="str">
        <f ca="1">IF(D233&lt;&gt;"",
OFFSET(数出表_Excel【15時】!$A$1,2,D233-1)
&amp;IFERROR(OFFSET(数出表_Excel【15時】!$A$1,3,D233-1),"")
&amp;IFERROR(OFFSET(数出表_Excel【15時】!$A$1,4,D233-1),""),"")</f>
        <v/>
      </c>
      <c r="F233" t="str">
        <f ca="1">IF(D233&lt;&gt;"",
OFFSET(数出表_Excel【15時】!$A$1,A233+3,D233-1),"")</f>
        <v/>
      </c>
      <c r="G233" t="str">
        <f ca="1">IF(D233&lt;&gt;"",
IF(AND(OFFSET(数出表_Excel【15時】!$A$1,A233+3,D233)&lt;&gt;"",OFFSET(数出表_Excel【15時】!$A$1,A233+3,D233)&lt;&gt;0),
OFFSET(数出表_Excel【15時】!$A$1,A233+3,D233),""),"")</f>
        <v/>
      </c>
      <c r="H233" s="209" t="str">
        <f t="array" aca="1" ref="H233" ca="1">IF(B233&lt;&gt;"",
IFERROR(MATCH(TRUE,ISNUMBER(INDIRECT("数出表_Excel【15時】!"&amp;SUBSTITUTE(ADDRESS(1,D233+2,4),"1","")&amp;(A233+4)&amp;":ZZ"&amp;(A233+4))),0)+D233+1,""),"")</f>
        <v/>
      </c>
      <c r="I233" t="str">
        <f ca="1">IF(H233&lt;&gt;"",
OFFSET(数出表_Excel【15時】!$A$1,2,H233-1)
&amp;IFERROR(OFFSET(数出表_Excel【15時】!$A$1,3,H233-1),"")
&amp;IFERROR(OFFSET(数出表_Excel【15時】!$A$1,4,H233-1),""),"")</f>
        <v/>
      </c>
      <c r="J233" t="str">
        <f ca="1">IF(H233&lt;&gt;"",
OFFSET(数出表_Excel【15時】!$A$1,A233+3,H233-1),"")</f>
        <v/>
      </c>
      <c r="K233" t="str">
        <f ca="1">IF(H233&lt;&gt;"",
IF(AND(OFFSET(数出表_Excel【15時】!$A$1,A233+3,H233)&lt;&gt;"",OFFSET(数出表_Excel【15時】!$A$1,A233+3,H233)&lt;&gt;0),
OFFSET(数出表_Excel【15時】!$A$1,A233+3,H233),""),"")</f>
        <v/>
      </c>
      <c r="L233" s="209" t="str">
        <f t="array" aca="1" ref="L233" ca="1">IF(B233&lt;&gt;"",
IFERROR(MATCH(TRUE,ISNUMBER(INDIRECT("数出表_Excel【15時】!"&amp;SUBSTITUTE(ADDRESS(1,H233+2,4),"1","")&amp;(A233+4)&amp;":ZZ"&amp;(A233+4))),0)+H233+1,""),"")</f>
        <v/>
      </c>
      <c r="M233" t="str">
        <f ca="1">IF(L233&lt;&gt;"",
OFFSET(数出表_Excel【15時】!$A$1,2,L233-1)
&amp;IFERROR(OFFSET(数出表_Excel【15時】!$A$1,3,L233-1),"")
&amp;IFERROR(OFFSET(数出表_Excel【15時】!$A$1,4,L233-1),""),"")</f>
        <v/>
      </c>
      <c r="N233" t="str">
        <f ca="1">IF(L233&lt;&gt;"",
OFFSET(数出表_Excel【15時】!$A$1,A233+3,L233-1),"")</f>
        <v/>
      </c>
      <c r="O233" t="str">
        <f ca="1">IF(L233&lt;&gt;"",
IF(AND(OFFSET(数出表_Excel【15時】!$A$1,A233+3,L233)&lt;&gt;"",OFFSET(数出表_Excel【15時】!$A$1,A233+3,L233)&lt;&gt;0),
OFFSET(数出表_Excel【15時】!$A$1,A233+3,L233),""),"")</f>
        <v/>
      </c>
    </row>
    <row r="234" spans="1:17">
      <c r="A234" t="str">
        <f t="shared" ca="1" si="3"/>
        <v/>
      </c>
      <c r="B234" t="str">
        <f t="array" aca="1" ref="B234" ca="1">IF(OR(COUNTIF(数出表_Excel【15時】!AO238,"*修正*"),COUNTIF(数出表_Excel【15時】!AO239,"*修正*")),
IF(ISEVEN(ROW()+4),INDIRECT("数出表_Excel【15時】!A"&amp;ROW()+4&amp;""),INDIRECT("数出表_Excel【15時】!A"&amp;ROW()+4-1&amp;"")),"")</f>
        <v/>
      </c>
      <c r="C234" t="str">
        <f t="array" aca="1" ref="C234" ca="1">IF(OR(COUNTIF(数出表_Excel【15時】!AO238,"*修正*"),COUNTIF(数出表_Excel【15時】!AO239,"*修正*")),
IF(ISEVEN(ROW()+4),INDIRECT("数出表_Excel【15時】!A"&amp;ROW()+4+1&amp;""),INDIRECT("数出表_Excel【15時】!A"&amp;ROW()+4&amp;"")),"")</f>
        <v/>
      </c>
      <c r="D234" s="209" t="str">
        <f t="array" aca="1" ref="D234" ca="1">IF(B234&lt;&gt;"",
IFERROR(MATCH(TRUE,ISNUMBER(INDIRECT("数出表_Excel【15時】!B"&amp;(A234+4)&amp;":ZZ"&amp;(A234+4))),0)+1,""),"")</f>
        <v/>
      </c>
      <c r="E234" t="str">
        <f ca="1">IF(D234&lt;&gt;"",
OFFSET(数出表_Excel【15時】!$A$1,2,D234-1)
&amp;IFERROR(OFFSET(数出表_Excel【15時】!$A$1,3,D234-1),"")
&amp;IFERROR(OFFSET(数出表_Excel【15時】!$A$1,4,D234-1),""),"")</f>
        <v/>
      </c>
      <c r="F234" t="str">
        <f ca="1">IF(D234&lt;&gt;"",
OFFSET(数出表_Excel【15時】!$A$1,A234+3,D234-1),"")</f>
        <v/>
      </c>
      <c r="G234" t="str">
        <f ca="1">IF(D234&lt;&gt;"",
IF(AND(OFFSET(数出表_Excel【15時】!$A$1,A234+3,D234)&lt;&gt;"",OFFSET(数出表_Excel【15時】!$A$1,A234+3,D234)&lt;&gt;0),
OFFSET(数出表_Excel【15時】!$A$1,A234+3,D234),""),"")</f>
        <v/>
      </c>
      <c r="H234" s="209" t="str">
        <f t="array" aca="1" ref="H234" ca="1">IF(B234&lt;&gt;"",
IFERROR(MATCH(TRUE,ISNUMBER(INDIRECT("数出表_Excel【15時】!"&amp;SUBSTITUTE(ADDRESS(1,D234+2,4),"1","")&amp;(A234+4)&amp;":ZZ"&amp;(A234+4))),0)+D234+1,""),"")</f>
        <v/>
      </c>
      <c r="I234" t="str">
        <f ca="1">IF(H234&lt;&gt;"",
OFFSET(数出表_Excel【15時】!$A$1,2,H234-1)
&amp;IFERROR(OFFSET(数出表_Excel【15時】!$A$1,3,H234-1),"")
&amp;IFERROR(OFFSET(数出表_Excel【15時】!$A$1,4,H234-1),""),"")</f>
        <v/>
      </c>
      <c r="J234" t="str">
        <f ca="1">IF(H234&lt;&gt;"",
OFFSET(数出表_Excel【15時】!$A$1,A234+3,H234-1),"")</f>
        <v/>
      </c>
      <c r="K234" t="str">
        <f ca="1">IF(H234&lt;&gt;"",
IF(AND(OFFSET(数出表_Excel【15時】!$A$1,A234+3,H234)&lt;&gt;"",OFFSET(数出表_Excel【15時】!$A$1,A234+3,H234)&lt;&gt;0),
OFFSET(数出表_Excel【15時】!$A$1,A234+3,H234),""),"")</f>
        <v/>
      </c>
      <c r="L234" s="209" t="str">
        <f t="array" aca="1" ref="L234" ca="1">IF(B234&lt;&gt;"",
IFERROR(MATCH(TRUE,ISNUMBER(INDIRECT("数出表_Excel【15時】!"&amp;SUBSTITUTE(ADDRESS(1,H234+2,4),"1","")&amp;(A234+4)&amp;":ZZ"&amp;(A234+4))),0)+H234+1,""),"")</f>
        <v/>
      </c>
      <c r="M234" t="str">
        <f ca="1">IF(L234&lt;&gt;"",
OFFSET(数出表_Excel【15時】!$A$1,2,L234-1)
&amp;IFERROR(OFFSET(数出表_Excel【15時】!$A$1,3,L234-1),"")
&amp;IFERROR(OFFSET(数出表_Excel【15時】!$A$1,4,L234-1),""),"")</f>
        <v/>
      </c>
      <c r="N234" t="str">
        <f ca="1">IF(L234&lt;&gt;"",
OFFSET(数出表_Excel【15時】!$A$1,A234+3,L234-1),"")</f>
        <v/>
      </c>
      <c r="O234" t="str">
        <f ca="1">IF(L234&lt;&gt;"",
IF(AND(OFFSET(数出表_Excel【15時】!$A$1,A234+3,L234)&lt;&gt;"",OFFSET(数出表_Excel【15時】!$A$1,A234+3,L234)&lt;&gt;0),
OFFSET(数出表_Excel【15時】!$A$1,A234+3,L234),""),"")</f>
        <v/>
      </c>
      <c r="Q234" t="str">
        <f ca="1">IF(C234&lt;&gt;"",
IF(E234&lt;&gt;"",1,0)+IF(I234&lt;&gt;"",1,0)+IF(M234&lt;&gt;"",1,0),"")</f>
        <v/>
      </c>
    </row>
    <row r="235" spans="1:17">
      <c r="A235" t="str">
        <f t="shared" ca="1" si="3"/>
        <v/>
      </c>
      <c r="B235" t="str">
        <f t="array" aca="1" ref="B235" ca="1">IF(OR(COUNTIF(数出表_Excel【15時】!AO238,"*修正*"),COUNTIF(数出表_Excel【15時】!AO239,"*修正*")),
IF(ISEVEN(ROW()+4),INDIRECT("数出表_Excel【15時】!A"&amp;ROW()+4&amp;""),INDIRECT("数出表_Excel【15時】!A"&amp;ROW()+4-1&amp;"")),"")</f>
        <v/>
      </c>
      <c r="C235" t="str">
        <f t="array" aca="1" ref="C235" ca="1">IF(OR(COUNTIF(数出表_Excel【15時】!AO238,"*修正*"),COUNTIF(数出表_Excel【15時】!AO239,"*修正*")),
IF(ISEVEN(ROW()+4),INDIRECT("数出表_Excel【15時】!A"&amp;ROW()+4+1&amp;""),INDIRECT("数出表_Excel【15時】!A"&amp;ROW()+4&amp;"")),"")</f>
        <v/>
      </c>
      <c r="D235" s="209" t="str">
        <f t="array" aca="1" ref="D235" ca="1">IF(B235&lt;&gt;"",
IFERROR(MATCH(TRUE,ISNUMBER(INDIRECT("数出表_Excel【15時】!B"&amp;(A235+4)&amp;":ZZ"&amp;(A235+4))),0)+1,""),"")</f>
        <v/>
      </c>
      <c r="E235" t="str">
        <f ca="1">IF(D235&lt;&gt;"",
OFFSET(数出表_Excel【15時】!$A$1,2,D235-1)
&amp;IFERROR(OFFSET(数出表_Excel【15時】!$A$1,3,D235-1),"")
&amp;IFERROR(OFFSET(数出表_Excel【15時】!$A$1,4,D235-1),""),"")</f>
        <v/>
      </c>
      <c r="F235" t="str">
        <f ca="1">IF(D235&lt;&gt;"",
OFFSET(数出表_Excel【15時】!$A$1,A235+3,D235-1),"")</f>
        <v/>
      </c>
      <c r="G235" t="str">
        <f ca="1">IF(D235&lt;&gt;"",
IF(AND(OFFSET(数出表_Excel【15時】!$A$1,A235+3,D235)&lt;&gt;"",OFFSET(数出表_Excel【15時】!$A$1,A235+3,D235)&lt;&gt;0),
OFFSET(数出表_Excel【15時】!$A$1,A235+3,D235),""),"")</f>
        <v/>
      </c>
      <c r="H235" s="209" t="str">
        <f t="array" aca="1" ref="H235" ca="1">IF(B235&lt;&gt;"",
IFERROR(MATCH(TRUE,ISNUMBER(INDIRECT("数出表_Excel【15時】!"&amp;SUBSTITUTE(ADDRESS(1,D235+2,4),"1","")&amp;(A235+4)&amp;":ZZ"&amp;(A235+4))),0)+D235+1,""),"")</f>
        <v/>
      </c>
      <c r="I235" t="str">
        <f ca="1">IF(H235&lt;&gt;"",
OFFSET(数出表_Excel【15時】!$A$1,2,H235-1)
&amp;IFERROR(OFFSET(数出表_Excel【15時】!$A$1,3,H235-1),"")
&amp;IFERROR(OFFSET(数出表_Excel【15時】!$A$1,4,H235-1),""),"")</f>
        <v/>
      </c>
      <c r="J235" t="str">
        <f ca="1">IF(H235&lt;&gt;"",
OFFSET(数出表_Excel【15時】!$A$1,A235+3,H235-1),"")</f>
        <v/>
      </c>
      <c r="K235" t="str">
        <f ca="1">IF(H235&lt;&gt;"",
IF(AND(OFFSET(数出表_Excel【15時】!$A$1,A235+3,H235)&lt;&gt;"",OFFSET(数出表_Excel【15時】!$A$1,A235+3,H235)&lt;&gt;0),
OFFSET(数出表_Excel【15時】!$A$1,A235+3,H235),""),"")</f>
        <v/>
      </c>
      <c r="L235" s="209" t="str">
        <f t="array" aca="1" ref="L235" ca="1">IF(B235&lt;&gt;"",
IFERROR(MATCH(TRUE,ISNUMBER(INDIRECT("数出表_Excel【15時】!"&amp;SUBSTITUTE(ADDRESS(1,H235+2,4),"1","")&amp;(A235+4)&amp;":ZZ"&amp;(A235+4))),0)+H235+1,""),"")</f>
        <v/>
      </c>
      <c r="M235" t="str">
        <f ca="1">IF(L235&lt;&gt;"",
OFFSET(数出表_Excel【15時】!$A$1,2,L235-1)
&amp;IFERROR(OFFSET(数出表_Excel【15時】!$A$1,3,L235-1),"")
&amp;IFERROR(OFFSET(数出表_Excel【15時】!$A$1,4,L235-1),""),"")</f>
        <v/>
      </c>
      <c r="N235" t="str">
        <f ca="1">IF(L235&lt;&gt;"",
OFFSET(数出表_Excel【15時】!$A$1,A235+3,L235-1),"")</f>
        <v/>
      </c>
      <c r="O235" t="str">
        <f ca="1">IF(L235&lt;&gt;"",
IF(AND(OFFSET(数出表_Excel【15時】!$A$1,A235+3,L235)&lt;&gt;"",OFFSET(数出表_Excel【15時】!$A$1,A235+3,L235)&lt;&gt;0),
OFFSET(数出表_Excel【15時】!$A$1,A235+3,L235),""),"")</f>
        <v/>
      </c>
    </row>
    <row r="236" spans="1:17">
      <c r="A236" t="str">
        <f t="shared" ca="1" si="3"/>
        <v/>
      </c>
      <c r="B236" t="str">
        <f t="array" aca="1" ref="B236" ca="1">IF(OR(COUNTIF(数出表_Excel【15時】!AO240,"*修正*"),COUNTIF(数出表_Excel【15時】!AO241,"*修正*")),
IF(ISEVEN(ROW()+4),INDIRECT("数出表_Excel【15時】!A"&amp;ROW()+4&amp;""),INDIRECT("数出表_Excel【15時】!A"&amp;ROW()+4-1&amp;"")),"")</f>
        <v/>
      </c>
      <c r="C236" t="str">
        <f t="array" aca="1" ref="C236" ca="1">IF(OR(COUNTIF(数出表_Excel【15時】!AO240,"*修正*"),COUNTIF(数出表_Excel【15時】!AO241,"*修正*")),
IF(ISEVEN(ROW()+4),INDIRECT("数出表_Excel【15時】!A"&amp;ROW()+4+1&amp;""),INDIRECT("数出表_Excel【15時】!A"&amp;ROW()+4&amp;"")),"")</f>
        <v/>
      </c>
      <c r="D236" s="209" t="str">
        <f t="array" aca="1" ref="D236" ca="1">IF(B236&lt;&gt;"",
IFERROR(MATCH(TRUE,ISNUMBER(INDIRECT("数出表_Excel【15時】!B"&amp;(A236+4)&amp;":ZZ"&amp;(A236+4))),0)+1,""),"")</f>
        <v/>
      </c>
      <c r="E236" t="str">
        <f ca="1">IF(D236&lt;&gt;"",
OFFSET(数出表_Excel【15時】!$A$1,2,D236-1)
&amp;IFERROR(OFFSET(数出表_Excel【15時】!$A$1,3,D236-1),"")
&amp;IFERROR(OFFSET(数出表_Excel【15時】!$A$1,4,D236-1),""),"")</f>
        <v/>
      </c>
      <c r="F236" t="str">
        <f ca="1">IF(D236&lt;&gt;"",
OFFSET(数出表_Excel【15時】!$A$1,A236+3,D236-1),"")</f>
        <v/>
      </c>
      <c r="G236" t="str">
        <f ca="1">IF(D236&lt;&gt;"",
IF(AND(OFFSET(数出表_Excel【15時】!$A$1,A236+3,D236)&lt;&gt;"",OFFSET(数出表_Excel【15時】!$A$1,A236+3,D236)&lt;&gt;0),
OFFSET(数出表_Excel【15時】!$A$1,A236+3,D236),""),"")</f>
        <v/>
      </c>
      <c r="H236" s="209" t="str">
        <f t="array" aca="1" ref="H236" ca="1">IF(B236&lt;&gt;"",
IFERROR(MATCH(TRUE,ISNUMBER(INDIRECT("数出表_Excel【15時】!"&amp;SUBSTITUTE(ADDRESS(1,D236+2,4),"1","")&amp;(A236+4)&amp;":ZZ"&amp;(A236+4))),0)+D236+1,""),"")</f>
        <v/>
      </c>
      <c r="I236" t="str">
        <f ca="1">IF(H236&lt;&gt;"",
OFFSET(数出表_Excel【15時】!$A$1,2,H236-1)
&amp;IFERROR(OFFSET(数出表_Excel【15時】!$A$1,3,H236-1),"")
&amp;IFERROR(OFFSET(数出表_Excel【15時】!$A$1,4,H236-1),""),"")</f>
        <v/>
      </c>
      <c r="J236" t="str">
        <f ca="1">IF(H236&lt;&gt;"",
OFFSET(数出表_Excel【15時】!$A$1,A236+3,H236-1),"")</f>
        <v/>
      </c>
      <c r="K236" t="str">
        <f ca="1">IF(H236&lt;&gt;"",
IF(AND(OFFSET(数出表_Excel【15時】!$A$1,A236+3,H236)&lt;&gt;"",OFFSET(数出表_Excel【15時】!$A$1,A236+3,H236)&lt;&gt;0),
OFFSET(数出表_Excel【15時】!$A$1,A236+3,H236),""),"")</f>
        <v/>
      </c>
      <c r="L236" s="209" t="str">
        <f t="array" aca="1" ref="L236" ca="1">IF(B236&lt;&gt;"",
IFERROR(MATCH(TRUE,ISNUMBER(INDIRECT("数出表_Excel【15時】!"&amp;SUBSTITUTE(ADDRESS(1,H236+2,4),"1","")&amp;(A236+4)&amp;":ZZ"&amp;(A236+4))),0)+H236+1,""),"")</f>
        <v/>
      </c>
      <c r="M236" t="str">
        <f ca="1">IF(L236&lt;&gt;"",
OFFSET(数出表_Excel【15時】!$A$1,2,L236-1)
&amp;IFERROR(OFFSET(数出表_Excel【15時】!$A$1,3,L236-1),"")
&amp;IFERROR(OFFSET(数出表_Excel【15時】!$A$1,4,L236-1),""),"")</f>
        <v/>
      </c>
      <c r="N236" t="str">
        <f ca="1">IF(L236&lt;&gt;"",
OFFSET(数出表_Excel【15時】!$A$1,A236+3,L236-1),"")</f>
        <v/>
      </c>
      <c r="O236" t="str">
        <f ca="1">IF(L236&lt;&gt;"",
IF(AND(OFFSET(数出表_Excel【15時】!$A$1,A236+3,L236)&lt;&gt;"",OFFSET(数出表_Excel【15時】!$A$1,A236+3,L236)&lt;&gt;0),
OFFSET(数出表_Excel【15時】!$A$1,A236+3,L236),""),"")</f>
        <v/>
      </c>
      <c r="Q236" t="str">
        <f ca="1">IF(C236&lt;&gt;"",
IF(E236&lt;&gt;"",1,0)+IF(I236&lt;&gt;"",1,0)+IF(M236&lt;&gt;"",1,0),"")</f>
        <v/>
      </c>
    </row>
    <row r="237" spans="1:17">
      <c r="A237" t="str">
        <f t="shared" ca="1" si="3"/>
        <v/>
      </c>
      <c r="B237" t="str">
        <f t="array" aca="1" ref="B237" ca="1">IF(OR(COUNTIF(数出表_Excel【15時】!AO240,"*修正*"),COUNTIF(数出表_Excel【15時】!AO241,"*修正*")),
IF(ISEVEN(ROW()+4),INDIRECT("数出表_Excel【15時】!A"&amp;ROW()+4&amp;""),INDIRECT("数出表_Excel【15時】!A"&amp;ROW()+4-1&amp;"")),"")</f>
        <v/>
      </c>
      <c r="C237" t="str">
        <f t="array" aca="1" ref="C237" ca="1">IF(OR(COUNTIF(数出表_Excel【15時】!AO240,"*修正*"),COUNTIF(数出表_Excel【15時】!AO241,"*修正*")),
IF(ISEVEN(ROW()+4),INDIRECT("数出表_Excel【15時】!A"&amp;ROW()+4+1&amp;""),INDIRECT("数出表_Excel【15時】!A"&amp;ROW()+4&amp;"")),"")</f>
        <v/>
      </c>
      <c r="D237" s="209" t="str">
        <f t="array" aca="1" ref="D237" ca="1">IF(B237&lt;&gt;"",
IFERROR(MATCH(TRUE,ISNUMBER(INDIRECT("数出表_Excel【15時】!B"&amp;(A237+4)&amp;":ZZ"&amp;(A237+4))),0)+1,""),"")</f>
        <v/>
      </c>
      <c r="E237" t="str">
        <f ca="1">IF(D237&lt;&gt;"",
OFFSET(数出表_Excel【15時】!$A$1,2,D237-1)
&amp;IFERROR(OFFSET(数出表_Excel【15時】!$A$1,3,D237-1),"")
&amp;IFERROR(OFFSET(数出表_Excel【15時】!$A$1,4,D237-1),""),"")</f>
        <v/>
      </c>
      <c r="F237" t="str">
        <f ca="1">IF(D237&lt;&gt;"",
OFFSET(数出表_Excel【15時】!$A$1,A237+3,D237-1),"")</f>
        <v/>
      </c>
      <c r="G237" t="str">
        <f ca="1">IF(D237&lt;&gt;"",
IF(AND(OFFSET(数出表_Excel【15時】!$A$1,A237+3,D237)&lt;&gt;"",OFFSET(数出表_Excel【15時】!$A$1,A237+3,D237)&lt;&gt;0),
OFFSET(数出表_Excel【15時】!$A$1,A237+3,D237),""),"")</f>
        <v/>
      </c>
      <c r="H237" s="209" t="str">
        <f t="array" aca="1" ref="H237" ca="1">IF(B237&lt;&gt;"",
IFERROR(MATCH(TRUE,ISNUMBER(INDIRECT("数出表_Excel【15時】!"&amp;SUBSTITUTE(ADDRESS(1,D237+2,4),"1","")&amp;(A237+4)&amp;":ZZ"&amp;(A237+4))),0)+D237+1,""),"")</f>
        <v/>
      </c>
      <c r="I237" t="str">
        <f ca="1">IF(H237&lt;&gt;"",
OFFSET(数出表_Excel【15時】!$A$1,2,H237-1)
&amp;IFERROR(OFFSET(数出表_Excel【15時】!$A$1,3,H237-1),"")
&amp;IFERROR(OFFSET(数出表_Excel【15時】!$A$1,4,H237-1),""),"")</f>
        <v/>
      </c>
      <c r="J237" t="str">
        <f ca="1">IF(H237&lt;&gt;"",
OFFSET(数出表_Excel【15時】!$A$1,A237+3,H237-1),"")</f>
        <v/>
      </c>
      <c r="K237" t="str">
        <f ca="1">IF(H237&lt;&gt;"",
IF(AND(OFFSET(数出表_Excel【15時】!$A$1,A237+3,H237)&lt;&gt;"",OFFSET(数出表_Excel【15時】!$A$1,A237+3,H237)&lt;&gt;0),
OFFSET(数出表_Excel【15時】!$A$1,A237+3,H237),""),"")</f>
        <v/>
      </c>
      <c r="L237" s="209" t="str">
        <f t="array" aca="1" ref="L237" ca="1">IF(B237&lt;&gt;"",
IFERROR(MATCH(TRUE,ISNUMBER(INDIRECT("数出表_Excel【15時】!"&amp;SUBSTITUTE(ADDRESS(1,H237+2,4),"1","")&amp;(A237+4)&amp;":ZZ"&amp;(A237+4))),0)+H237+1,""),"")</f>
        <v/>
      </c>
      <c r="M237" t="str">
        <f ca="1">IF(L237&lt;&gt;"",
OFFSET(数出表_Excel【15時】!$A$1,2,L237-1)
&amp;IFERROR(OFFSET(数出表_Excel【15時】!$A$1,3,L237-1),"")
&amp;IFERROR(OFFSET(数出表_Excel【15時】!$A$1,4,L237-1),""),"")</f>
        <v/>
      </c>
      <c r="N237" t="str">
        <f ca="1">IF(L237&lt;&gt;"",
OFFSET(数出表_Excel【15時】!$A$1,A237+3,L237-1),"")</f>
        <v/>
      </c>
      <c r="O237" t="str">
        <f ca="1">IF(L237&lt;&gt;"",
IF(AND(OFFSET(数出表_Excel【15時】!$A$1,A237+3,L237)&lt;&gt;"",OFFSET(数出表_Excel【15時】!$A$1,A237+3,L237)&lt;&gt;0),
OFFSET(数出表_Excel【15時】!$A$1,A237+3,L237),""),"")</f>
        <v/>
      </c>
    </row>
    <row r="238" spans="1:17">
      <c r="A238" t="str">
        <f t="shared" ca="1" si="3"/>
        <v/>
      </c>
      <c r="B238" t="str">
        <f t="array" aca="1" ref="B238" ca="1">IF(OR(COUNTIF(数出表_Excel【15時】!AO242,"*修正*"),COUNTIF(数出表_Excel【15時】!AO243,"*修正*")),
IF(ISEVEN(ROW()+4),INDIRECT("数出表_Excel【15時】!A"&amp;ROW()+4&amp;""),INDIRECT("数出表_Excel【15時】!A"&amp;ROW()+4-1&amp;"")),"")</f>
        <v/>
      </c>
      <c r="C238" t="str">
        <f t="array" aca="1" ref="C238" ca="1">IF(OR(COUNTIF(数出表_Excel【15時】!AO242,"*修正*"),COUNTIF(数出表_Excel【15時】!AO243,"*修正*")),
IF(ISEVEN(ROW()+4),INDIRECT("数出表_Excel【15時】!A"&amp;ROW()+4+1&amp;""),INDIRECT("数出表_Excel【15時】!A"&amp;ROW()+4&amp;"")),"")</f>
        <v/>
      </c>
      <c r="D238" s="209" t="str">
        <f t="array" aca="1" ref="D238" ca="1">IF(B238&lt;&gt;"",
IFERROR(MATCH(TRUE,ISNUMBER(INDIRECT("数出表_Excel【15時】!B"&amp;(A238+4)&amp;":ZZ"&amp;(A238+4))),0)+1,""),"")</f>
        <v/>
      </c>
      <c r="E238" t="str">
        <f ca="1">IF(D238&lt;&gt;"",
OFFSET(数出表_Excel【15時】!$A$1,2,D238-1)
&amp;IFERROR(OFFSET(数出表_Excel【15時】!$A$1,3,D238-1),"")
&amp;IFERROR(OFFSET(数出表_Excel【15時】!$A$1,4,D238-1),""),"")</f>
        <v/>
      </c>
      <c r="F238" t="str">
        <f ca="1">IF(D238&lt;&gt;"",
OFFSET(数出表_Excel【15時】!$A$1,A238+3,D238-1),"")</f>
        <v/>
      </c>
      <c r="G238" t="str">
        <f ca="1">IF(D238&lt;&gt;"",
IF(AND(OFFSET(数出表_Excel【15時】!$A$1,A238+3,D238)&lt;&gt;"",OFFSET(数出表_Excel【15時】!$A$1,A238+3,D238)&lt;&gt;0),
OFFSET(数出表_Excel【15時】!$A$1,A238+3,D238),""),"")</f>
        <v/>
      </c>
      <c r="H238" s="209" t="str">
        <f t="array" aca="1" ref="H238" ca="1">IF(B238&lt;&gt;"",
IFERROR(MATCH(TRUE,ISNUMBER(INDIRECT("数出表_Excel【15時】!"&amp;SUBSTITUTE(ADDRESS(1,D238+2,4),"1","")&amp;(A238+4)&amp;":ZZ"&amp;(A238+4))),0)+D238+1,""),"")</f>
        <v/>
      </c>
      <c r="I238" t="str">
        <f ca="1">IF(H238&lt;&gt;"",
OFFSET(数出表_Excel【15時】!$A$1,2,H238-1)
&amp;IFERROR(OFFSET(数出表_Excel【15時】!$A$1,3,H238-1),"")
&amp;IFERROR(OFFSET(数出表_Excel【15時】!$A$1,4,H238-1),""),"")</f>
        <v/>
      </c>
      <c r="J238" t="str">
        <f ca="1">IF(H238&lt;&gt;"",
OFFSET(数出表_Excel【15時】!$A$1,A238+3,H238-1),"")</f>
        <v/>
      </c>
      <c r="K238" t="str">
        <f ca="1">IF(H238&lt;&gt;"",
IF(AND(OFFSET(数出表_Excel【15時】!$A$1,A238+3,H238)&lt;&gt;"",OFFSET(数出表_Excel【15時】!$A$1,A238+3,H238)&lt;&gt;0),
OFFSET(数出表_Excel【15時】!$A$1,A238+3,H238),""),"")</f>
        <v/>
      </c>
      <c r="L238" s="209" t="str">
        <f t="array" aca="1" ref="L238" ca="1">IF(B238&lt;&gt;"",
IFERROR(MATCH(TRUE,ISNUMBER(INDIRECT("数出表_Excel【15時】!"&amp;SUBSTITUTE(ADDRESS(1,H238+2,4),"1","")&amp;(A238+4)&amp;":ZZ"&amp;(A238+4))),0)+H238+1,""),"")</f>
        <v/>
      </c>
      <c r="M238" t="str">
        <f ca="1">IF(L238&lt;&gt;"",
OFFSET(数出表_Excel【15時】!$A$1,2,L238-1)
&amp;IFERROR(OFFSET(数出表_Excel【15時】!$A$1,3,L238-1),"")
&amp;IFERROR(OFFSET(数出表_Excel【15時】!$A$1,4,L238-1),""),"")</f>
        <v/>
      </c>
      <c r="N238" t="str">
        <f ca="1">IF(L238&lt;&gt;"",
OFFSET(数出表_Excel【15時】!$A$1,A238+3,L238-1),"")</f>
        <v/>
      </c>
      <c r="O238" t="str">
        <f ca="1">IF(L238&lt;&gt;"",
IF(AND(OFFSET(数出表_Excel【15時】!$A$1,A238+3,L238)&lt;&gt;"",OFFSET(数出表_Excel【15時】!$A$1,A238+3,L238)&lt;&gt;0),
OFFSET(数出表_Excel【15時】!$A$1,A238+3,L238),""),"")</f>
        <v/>
      </c>
      <c r="Q238" t="str">
        <f ca="1">IF(C238&lt;&gt;"",
IF(E238&lt;&gt;"",1,0)+IF(I238&lt;&gt;"",1,0)+IF(M238&lt;&gt;"",1,0),"")</f>
        <v/>
      </c>
    </row>
    <row r="239" spans="1:17">
      <c r="A239" t="str">
        <f t="shared" ca="1" si="3"/>
        <v/>
      </c>
      <c r="B239" t="str">
        <f t="array" aca="1" ref="B239" ca="1">IF(OR(COUNTIF(数出表_Excel【15時】!AO242,"*修正*"),COUNTIF(数出表_Excel【15時】!AO243,"*修正*")),
IF(ISEVEN(ROW()+4),INDIRECT("数出表_Excel【15時】!A"&amp;ROW()+4&amp;""),INDIRECT("数出表_Excel【15時】!A"&amp;ROW()+4-1&amp;"")),"")</f>
        <v/>
      </c>
      <c r="C239" t="str">
        <f t="array" aca="1" ref="C239" ca="1">IF(OR(COUNTIF(数出表_Excel【15時】!AO242,"*修正*"),COUNTIF(数出表_Excel【15時】!AO243,"*修正*")),
IF(ISEVEN(ROW()+4),INDIRECT("数出表_Excel【15時】!A"&amp;ROW()+4+1&amp;""),INDIRECT("数出表_Excel【15時】!A"&amp;ROW()+4&amp;"")),"")</f>
        <v/>
      </c>
      <c r="D239" s="209" t="str">
        <f t="array" aca="1" ref="D239" ca="1">IF(B239&lt;&gt;"",
IFERROR(MATCH(TRUE,ISNUMBER(INDIRECT("数出表_Excel【15時】!B"&amp;(A239+4)&amp;":ZZ"&amp;(A239+4))),0)+1,""),"")</f>
        <v/>
      </c>
      <c r="E239" t="str">
        <f ca="1">IF(D239&lt;&gt;"",
OFFSET(数出表_Excel【15時】!$A$1,2,D239-1)
&amp;IFERROR(OFFSET(数出表_Excel【15時】!$A$1,3,D239-1),"")
&amp;IFERROR(OFFSET(数出表_Excel【15時】!$A$1,4,D239-1),""),"")</f>
        <v/>
      </c>
      <c r="F239" t="str">
        <f ca="1">IF(D239&lt;&gt;"",
OFFSET(数出表_Excel【15時】!$A$1,A239+3,D239-1),"")</f>
        <v/>
      </c>
      <c r="G239" t="str">
        <f ca="1">IF(D239&lt;&gt;"",
IF(AND(OFFSET(数出表_Excel【15時】!$A$1,A239+3,D239)&lt;&gt;"",OFFSET(数出表_Excel【15時】!$A$1,A239+3,D239)&lt;&gt;0),
OFFSET(数出表_Excel【15時】!$A$1,A239+3,D239),""),"")</f>
        <v/>
      </c>
      <c r="H239" s="209" t="str">
        <f t="array" aca="1" ref="H239" ca="1">IF(B239&lt;&gt;"",
IFERROR(MATCH(TRUE,ISNUMBER(INDIRECT("数出表_Excel【15時】!"&amp;SUBSTITUTE(ADDRESS(1,D239+2,4),"1","")&amp;(A239+4)&amp;":ZZ"&amp;(A239+4))),0)+D239+1,""),"")</f>
        <v/>
      </c>
      <c r="I239" t="str">
        <f ca="1">IF(H239&lt;&gt;"",
OFFSET(数出表_Excel【15時】!$A$1,2,H239-1)
&amp;IFERROR(OFFSET(数出表_Excel【15時】!$A$1,3,H239-1),"")
&amp;IFERROR(OFFSET(数出表_Excel【15時】!$A$1,4,H239-1),""),"")</f>
        <v/>
      </c>
      <c r="J239" t="str">
        <f ca="1">IF(H239&lt;&gt;"",
OFFSET(数出表_Excel【15時】!$A$1,A239+3,H239-1),"")</f>
        <v/>
      </c>
      <c r="K239" t="str">
        <f ca="1">IF(H239&lt;&gt;"",
IF(AND(OFFSET(数出表_Excel【15時】!$A$1,A239+3,H239)&lt;&gt;"",OFFSET(数出表_Excel【15時】!$A$1,A239+3,H239)&lt;&gt;0),
OFFSET(数出表_Excel【15時】!$A$1,A239+3,H239),""),"")</f>
        <v/>
      </c>
      <c r="L239" s="209" t="str">
        <f t="array" aca="1" ref="L239" ca="1">IF(B239&lt;&gt;"",
IFERROR(MATCH(TRUE,ISNUMBER(INDIRECT("数出表_Excel【15時】!"&amp;SUBSTITUTE(ADDRESS(1,H239+2,4),"1","")&amp;(A239+4)&amp;":ZZ"&amp;(A239+4))),0)+H239+1,""),"")</f>
        <v/>
      </c>
      <c r="M239" t="str">
        <f ca="1">IF(L239&lt;&gt;"",
OFFSET(数出表_Excel【15時】!$A$1,2,L239-1)
&amp;IFERROR(OFFSET(数出表_Excel【15時】!$A$1,3,L239-1),"")
&amp;IFERROR(OFFSET(数出表_Excel【15時】!$A$1,4,L239-1),""),"")</f>
        <v/>
      </c>
      <c r="N239" t="str">
        <f ca="1">IF(L239&lt;&gt;"",
OFFSET(数出表_Excel【15時】!$A$1,A239+3,L239-1),"")</f>
        <v/>
      </c>
      <c r="O239" t="str">
        <f ca="1">IF(L239&lt;&gt;"",
IF(AND(OFFSET(数出表_Excel【15時】!$A$1,A239+3,L239)&lt;&gt;"",OFFSET(数出表_Excel【15時】!$A$1,A239+3,L239)&lt;&gt;0),
OFFSET(数出表_Excel【15時】!$A$1,A239+3,L239),""),"")</f>
        <v/>
      </c>
    </row>
    <row r="240" spans="1:17">
      <c r="A240" t="str">
        <f t="shared" ca="1" si="3"/>
        <v/>
      </c>
      <c r="B240" t="str">
        <f t="array" aca="1" ref="B240" ca="1">IF(OR(COUNTIF(数出表_Excel【15時】!AO244,"*修正*"),COUNTIF(数出表_Excel【15時】!AO245,"*修正*")),
IF(ISEVEN(ROW()+4),INDIRECT("数出表_Excel【15時】!A"&amp;ROW()+4&amp;""),INDIRECT("数出表_Excel【15時】!A"&amp;ROW()+4-1&amp;"")),"")</f>
        <v/>
      </c>
      <c r="C240" t="str">
        <f t="array" aca="1" ref="C240" ca="1">IF(OR(COUNTIF(数出表_Excel【15時】!AO244,"*修正*"),COUNTIF(数出表_Excel【15時】!AO245,"*修正*")),
IF(ISEVEN(ROW()+4),INDIRECT("数出表_Excel【15時】!A"&amp;ROW()+4+1&amp;""),INDIRECT("数出表_Excel【15時】!A"&amp;ROW()+4&amp;"")),"")</f>
        <v/>
      </c>
      <c r="D240" s="209" t="str">
        <f t="array" aca="1" ref="D240" ca="1">IF(B240&lt;&gt;"",
IFERROR(MATCH(TRUE,ISNUMBER(INDIRECT("数出表_Excel【15時】!B"&amp;(A240+4)&amp;":ZZ"&amp;(A240+4))),0)+1,""),"")</f>
        <v/>
      </c>
      <c r="E240" t="str">
        <f ca="1">IF(D240&lt;&gt;"",
OFFSET(数出表_Excel【15時】!$A$1,2,D240-1)
&amp;IFERROR(OFFSET(数出表_Excel【15時】!$A$1,3,D240-1),"")
&amp;IFERROR(OFFSET(数出表_Excel【15時】!$A$1,4,D240-1),""),"")</f>
        <v/>
      </c>
      <c r="F240" t="str">
        <f ca="1">IF(D240&lt;&gt;"",
OFFSET(数出表_Excel【15時】!$A$1,A240+3,D240-1),"")</f>
        <v/>
      </c>
      <c r="G240" t="str">
        <f ca="1">IF(D240&lt;&gt;"",
IF(AND(OFFSET(数出表_Excel【15時】!$A$1,A240+3,D240)&lt;&gt;"",OFFSET(数出表_Excel【15時】!$A$1,A240+3,D240)&lt;&gt;0),
OFFSET(数出表_Excel【15時】!$A$1,A240+3,D240),""),"")</f>
        <v/>
      </c>
      <c r="H240" s="209" t="str">
        <f t="array" aca="1" ref="H240" ca="1">IF(B240&lt;&gt;"",
IFERROR(MATCH(TRUE,ISNUMBER(INDIRECT("数出表_Excel【15時】!"&amp;SUBSTITUTE(ADDRESS(1,D240+2,4),"1","")&amp;(A240+4)&amp;":ZZ"&amp;(A240+4))),0)+D240+1,""),"")</f>
        <v/>
      </c>
      <c r="I240" t="str">
        <f ca="1">IF(H240&lt;&gt;"",
OFFSET(数出表_Excel【15時】!$A$1,2,H240-1)
&amp;IFERROR(OFFSET(数出表_Excel【15時】!$A$1,3,H240-1),"")
&amp;IFERROR(OFFSET(数出表_Excel【15時】!$A$1,4,H240-1),""),"")</f>
        <v/>
      </c>
      <c r="J240" t="str">
        <f ca="1">IF(H240&lt;&gt;"",
OFFSET(数出表_Excel【15時】!$A$1,A240+3,H240-1),"")</f>
        <v/>
      </c>
      <c r="K240" t="str">
        <f ca="1">IF(H240&lt;&gt;"",
IF(AND(OFFSET(数出表_Excel【15時】!$A$1,A240+3,H240)&lt;&gt;"",OFFSET(数出表_Excel【15時】!$A$1,A240+3,H240)&lt;&gt;0),
OFFSET(数出表_Excel【15時】!$A$1,A240+3,H240),""),"")</f>
        <v/>
      </c>
      <c r="L240" s="209" t="str">
        <f t="array" aca="1" ref="L240" ca="1">IF(B240&lt;&gt;"",
IFERROR(MATCH(TRUE,ISNUMBER(INDIRECT("数出表_Excel【15時】!"&amp;SUBSTITUTE(ADDRESS(1,H240+2,4),"1","")&amp;(A240+4)&amp;":ZZ"&amp;(A240+4))),0)+H240+1,""),"")</f>
        <v/>
      </c>
      <c r="M240" t="str">
        <f ca="1">IF(L240&lt;&gt;"",
OFFSET(数出表_Excel【15時】!$A$1,2,L240-1)
&amp;IFERROR(OFFSET(数出表_Excel【15時】!$A$1,3,L240-1),"")
&amp;IFERROR(OFFSET(数出表_Excel【15時】!$A$1,4,L240-1),""),"")</f>
        <v/>
      </c>
      <c r="N240" t="str">
        <f ca="1">IF(L240&lt;&gt;"",
OFFSET(数出表_Excel【15時】!$A$1,A240+3,L240-1),"")</f>
        <v/>
      </c>
      <c r="O240" t="str">
        <f ca="1">IF(L240&lt;&gt;"",
IF(AND(OFFSET(数出表_Excel【15時】!$A$1,A240+3,L240)&lt;&gt;"",OFFSET(数出表_Excel【15時】!$A$1,A240+3,L240)&lt;&gt;0),
OFFSET(数出表_Excel【15時】!$A$1,A240+3,L240),""),"")</f>
        <v/>
      </c>
      <c r="Q240" t="str">
        <f ca="1">IF(C240&lt;&gt;"",
IF(E240&lt;&gt;"",1,0)+IF(I240&lt;&gt;"",1,0)+IF(M240&lt;&gt;"",1,0),"")</f>
        <v/>
      </c>
    </row>
    <row r="241" spans="1:17">
      <c r="A241" t="str">
        <f t="shared" ca="1" si="3"/>
        <v/>
      </c>
      <c r="B241" t="str">
        <f t="array" aca="1" ref="B241" ca="1">IF(OR(COUNTIF(数出表_Excel【15時】!AO244,"*修正*"),COUNTIF(数出表_Excel【15時】!AO245,"*修正*")),
IF(ISEVEN(ROW()+4),INDIRECT("数出表_Excel【15時】!A"&amp;ROW()+4&amp;""),INDIRECT("数出表_Excel【15時】!A"&amp;ROW()+4-1&amp;"")),"")</f>
        <v/>
      </c>
      <c r="C241" t="str">
        <f t="array" aca="1" ref="C241" ca="1">IF(OR(COUNTIF(数出表_Excel【15時】!AO244,"*修正*"),COUNTIF(数出表_Excel【15時】!AO245,"*修正*")),
IF(ISEVEN(ROW()+4),INDIRECT("数出表_Excel【15時】!A"&amp;ROW()+4+1&amp;""),INDIRECT("数出表_Excel【15時】!A"&amp;ROW()+4&amp;"")),"")</f>
        <v/>
      </c>
      <c r="D241" s="209" t="str">
        <f t="array" aca="1" ref="D241" ca="1">IF(B241&lt;&gt;"",
IFERROR(MATCH(TRUE,ISNUMBER(INDIRECT("数出表_Excel【15時】!B"&amp;(A241+4)&amp;":ZZ"&amp;(A241+4))),0)+1,""),"")</f>
        <v/>
      </c>
      <c r="E241" t="str">
        <f ca="1">IF(D241&lt;&gt;"",
OFFSET(数出表_Excel【15時】!$A$1,2,D241-1)
&amp;IFERROR(OFFSET(数出表_Excel【15時】!$A$1,3,D241-1),"")
&amp;IFERROR(OFFSET(数出表_Excel【15時】!$A$1,4,D241-1),""),"")</f>
        <v/>
      </c>
      <c r="F241" t="str">
        <f ca="1">IF(D241&lt;&gt;"",
OFFSET(数出表_Excel【15時】!$A$1,A241+3,D241-1),"")</f>
        <v/>
      </c>
      <c r="G241" t="str">
        <f ca="1">IF(D241&lt;&gt;"",
IF(AND(OFFSET(数出表_Excel【15時】!$A$1,A241+3,D241)&lt;&gt;"",OFFSET(数出表_Excel【15時】!$A$1,A241+3,D241)&lt;&gt;0),
OFFSET(数出表_Excel【15時】!$A$1,A241+3,D241),""),"")</f>
        <v/>
      </c>
      <c r="H241" s="209" t="str">
        <f t="array" aca="1" ref="H241" ca="1">IF(B241&lt;&gt;"",
IFERROR(MATCH(TRUE,ISNUMBER(INDIRECT("数出表_Excel【15時】!"&amp;SUBSTITUTE(ADDRESS(1,D241+2,4),"1","")&amp;(A241+4)&amp;":ZZ"&amp;(A241+4))),0)+D241+1,""),"")</f>
        <v/>
      </c>
      <c r="I241" t="str">
        <f ca="1">IF(H241&lt;&gt;"",
OFFSET(数出表_Excel【15時】!$A$1,2,H241-1)
&amp;IFERROR(OFFSET(数出表_Excel【15時】!$A$1,3,H241-1),"")
&amp;IFERROR(OFFSET(数出表_Excel【15時】!$A$1,4,H241-1),""),"")</f>
        <v/>
      </c>
      <c r="J241" t="str">
        <f ca="1">IF(H241&lt;&gt;"",
OFFSET(数出表_Excel【15時】!$A$1,A241+3,H241-1),"")</f>
        <v/>
      </c>
      <c r="K241" t="str">
        <f ca="1">IF(H241&lt;&gt;"",
IF(AND(OFFSET(数出表_Excel【15時】!$A$1,A241+3,H241)&lt;&gt;"",OFFSET(数出表_Excel【15時】!$A$1,A241+3,H241)&lt;&gt;0),
OFFSET(数出表_Excel【15時】!$A$1,A241+3,H241),""),"")</f>
        <v/>
      </c>
      <c r="L241" s="209" t="str">
        <f t="array" aca="1" ref="L241" ca="1">IF(B241&lt;&gt;"",
IFERROR(MATCH(TRUE,ISNUMBER(INDIRECT("数出表_Excel【15時】!"&amp;SUBSTITUTE(ADDRESS(1,H241+2,4),"1","")&amp;(A241+4)&amp;":ZZ"&amp;(A241+4))),0)+H241+1,""),"")</f>
        <v/>
      </c>
      <c r="M241" t="str">
        <f ca="1">IF(L241&lt;&gt;"",
OFFSET(数出表_Excel【15時】!$A$1,2,L241-1)
&amp;IFERROR(OFFSET(数出表_Excel【15時】!$A$1,3,L241-1),"")
&amp;IFERROR(OFFSET(数出表_Excel【15時】!$A$1,4,L241-1),""),"")</f>
        <v/>
      </c>
      <c r="N241" t="str">
        <f ca="1">IF(L241&lt;&gt;"",
OFFSET(数出表_Excel【15時】!$A$1,A241+3,L241-1),"")</f>
        <v/>
      </c>
      <c r="O241" t="str">
        <f ca="1">IF(L241&lt;&gt;"",
IF(AND(OFFSET(数出表_Excel【15時】!$A$1,A241+3,L241)&lt;&gt;"",OFFSET(数出表_Excel【15時】!$A$1,A241+3,L241)&lt;&gt;0),
OFFSET(数出表_Excel【15時】!$A$1,A241+3,L241),""),"")</f>
        <v/>
      </c>
    </row>
    <row r="242" spans="1:17">
      <c r="A242" t="str">
        <f t="shared" ca="1" si="3"/>
        <v/>
      </c>
      <c r="B242" t="str">
        <f t="array" aca="1" ref="B242" ca="1">IF(OR(COUNTIF(数出表_Excel【15時】!AO246,"*修正*"),COUNTIF(数出表_Excel【15時】!AO247,"*修正*")),
IF(ISEVEN(ROW()+4),INDIRECT("数出表_Excel【15時】!A"&amp;ROW()+4&amp;""),INDIRECT("数出表_Excel【15時】!A"&amp;ROW()+4-1&amp;"")),"")</f>
        <v/>
      </c>
      <c r="C242" t="str">
        <f t="array" aca="1" ref="C242" ca="1">IF(OR(COUNTIF(数出表_Excel【15時】!AO246,"*修正*"),COUNTIF(数出表_Excel【15時】!AO247,"*修正*")),
IF(ISEVEN(ROW()+4),INDIRECT("数出表_Excel【15時】!A"&amp;ROW()+4+1&amp;""),INDIRECT("数出表_Excel【15時】!A"&amp;ROW()+4&amp;"")),"")</f>
        <v/>
      </c>
      <c r="D242" s="209" t="str">
        <f t="array" aca="1" ref="D242" ca="1">IF(B242&lt;&gt;"",
IFERROR(MATCH(TRUE,ISNUMBER(INDIRECT("数出表_Excel【15時】!B"&amp;(A242+4)&amp;":ZZ"&amp;(A242+4))),0)+1,""),"")</f>
        <v/>
      </c>
      <c r="E242" t="str">
        <f ca="1">IF(D242&lt;&gt;"",
OFFSET(数出表_Excel【15時】!$A$1,2,D242-1)
&amp;IFERROR(OFFSET(数出表_Excel【15時】!$A$1,3,D242-1),"")
&amp;IFERROR(OFFSET(数出表_Excel【15時】!$A$1,4,D242-1),""),"")</f>
        <v/>
      </c>
      <c r="F242" t="str">
        <f ca="1">IF(D242&lt;&gt;"",
OFFSET(数出表_Excel【15時】!$A$1,A242+3,D242-1),"")</f>
        <v/>
      </c>
      <c r="G242" t="str">
        <f ca="1">IF(D242&lt;&gt;"",
IF(AND(OFFSET(数出表_Excel【15時】!$A$1,A242+3,D242)&lt;&gt;"",OFFSET(数出表_Excel【15時】!$A$1,A242+3,D242)&lt;&gt;0),
OFFSET(数出表_Excel【15時】!$A$1,A242+3,D242),""),"")</f>
        <v/>
      </c>
      <c r="H242" s="209" t="str">
        <f t="array" aca="1" ref="H242" ca="1">IF(B242&lt;&gt;"",
IFERROR(MATCH(TRUE,ISNUMBER(INDIRECT("数出表_Excel【15時】!"&amp;SUBSTITUTE(ADDRESS(1,D242+2,4),"1","")&amp;(A242+4)&amp;":ZZ"&amp;(A242+4))),0)+D242+1,""),"")</f>
        <v/>
      </c>
      <c r="I242" t="str">
        <f ca="1">IF(H242&lt;&gt;"",
OFFSET(数出表_Excel【15時】!$A$1,2,H242-1)
&amp;IFERROR(OFFSET(数出表_Excel【15時】!$A$1,3,H242-1),"")
&amp;IFERROR(OFFSET(数出表_Excel【15時】!$A$1,4,H242-1),""),"")</f>
        <v/>
      </c>
      <c r="J242" t="str">
        <f ca="1">IF(H242&lt;&gt;"",
OFFSET(数出表_Excel【15時】!$A$1,A242+3,H242-1),"")</f>
        <v/>
      </c>
      <c r="K242" t="str">
        <f ca="1">IF(H242&lt;&gt;"",
IF(AND(OFFSET(数出表_Excel【15時】!$A$1,A242+3,H242)&lt;&gt;"",OFFSET(数出表_Excel【15時】!$A$1,A242+3,H242)&lt;&gt;0),
OFFSET(数出表_Excel【15時】!$A$1,A242+3,H242),""),"")</f>
        <v/>
      </c>
      <c r="L242" s="209" t="str">
        <f t="array" aca="1" ref="L242" ca="1">IF(B242&lt;&gt;"",
IFERROR(MATCH(TRUE,ISNUMBER(INDIRECT("数出表_Excel【15時】!"&amp;SUBSTITUTE(ADDRESS(1,H242+2,4),"1","")&amp;(A242+4)&amp;":ZZ"&amp;(A242+4))),0)+H242+1,""),"")</f>
        <v/>
      </c>
      <c r="M242" t="str">
        <f ca="1">IF(L242&lt;&gt;"",
OFFSET(数出表_Excel【15時】!$A$1,2,L242-1)
&amp;IFERROR(OFFSET(数出表_Excel【15時】!$A$1,3,L242-1),"")
&amp;IFERROR(OFFSET(数出表_Excel【15時】!$A$1,4,L242-1),""),"")</f>
        <v/>
      </c>
      <c r="N242" t="str">
        <f ca="1">IF(L242&lt;&gt;"",
OFFSET(数出表_Excel【15時】!$A$1,A242+3,L242-1),"")</f>
        <v/>
      </c>
      <c r="O242" t="str">
        <f ca="1">IF(L242&lt;&gt;"",
IF(AND(OFFSET(数出表_Excel【15時】!$A$1,A242+3,L242)&lt;&gt;"",OFFSET(数出表_Excel【15時】!$A$1,A242+3,L242)&lt;&gt;0),
OFFSET(数出表_Excel【15時】!$A$1,A242+3,L242),""),"")</f>
        <v/>
      </c>
      <c r="Q242" t="str">
        <f ca="1">IF(C242&lt;&gt;"",
IF(E242&lt;&gt;"",1,0)+IF(I242&lt;&gt;"",1,0)+IF(M242&lt;&gt;"",1,0),"")</f>
        <v/>
      </c>
    </row>
    <row r="243" spans="1:17">
      <c r="A243" t="str">
        <f t="shared" ca="1" si="3"/>
        <v/>
      </c>
      <c r="B243" t="str">
        <f t="array" aca="1" ref="B243" ca="1">IF(OR(COUNTIF(数出表_Excel【15時】!AO246,"*修正*"),COUNTIF(数出表_Excel【15時】!AO247,"*修正*")),
IF(ISEVEN(ROW()+4),INDIRECT("数出表_Excel【15時】!A"&amp;ROW()+4&amp;""),INDIRECT("数出表_Excel【15時】!A"&amp;ROW()+4-1&amp;"")),"")</f>
        <v/>
      </c>
      <c r="C243" t="str">
        <f t="array" aca="1" ref="C243" ca="1">IF(OR(COUNTIF(数出表_Excel【15時】!AO246,"*修正*"),COUNTIF(数出表_Excel【15時】!AO247,"*修正*")),
IF(ISEVEN(ROW()+4),INDIRECT("数出表_Excel【15時】!A"&amp;ROW()+4+1&amp;""),INDIRECT("数出表_Excel【15時】!A"&amp;ROW()+4&amp;"")),"")</f>
        <v/>
      </c>
      <c r="D243" s="209" t="str">
        <f t="array" aca="1" ref="D243" ca="1">IF(B243&lt;&gt;"",
IFERROR(MATCH(TRUE,ISNUMBER(INDIRECT("数出表_Excel【15時】!B"&amp;(A243+4)&amp;":ZZ"&amp;(A243+4))),0)+1,""),"")</f>
        <v/>
      </c>
      <c r="E243" t="str">
        <f ca="1">IF(D243&lt;&gt;"",
OFFSET(数出表_Excel【15時】!$A$1,2,D243-1)
&amp;IFERROR(OFFSET(数出表_Excel【15時】!$A$1,3,D243-1),"")
&amp;IFERROR(OFFSET(数出表_Excel【15時】!$A$1,4,D243-1),""),"")</f>
        <v/>
      </c>
      <c r="F243" t="str">
        <f ca="1">IF(D243&lt;&gt;"",
OFFSET(数出表_Excel【15時】!$A$1,A243+3,D243-1),"")</f>
        <v/>
      </c>
      <c r="G243" t="str">
        <f ca="1">IF(D243&lt;&gt;"",
IF(AND(OFFSET(数出表_Excel【15時】!$A$1,A243+3,D243)&lt;&gt;"",OFFSET(数出表_Excel【15時】!$A$1,A243+3,D243)&lt;&gt;0),
OFFSET(数出表_Excel【15時】!$A$1,A243+3,D243),""),"")</f>
        <v/>
      </c>
      <c r="H243" s="209" t="str">
        <f t="array" aca="1" ref="H243" ca="1">IF(B243&lt;&gt;"",
IFERROR(MATCH(TRUE,ISNUMBER(INDIRECT("数出表_Excel【15時】!"&amp;SUBSTITUTE(ADDRESS(1,D243+2,4),"1","")&amp;(A243+4)&amp;":ZZ"&amp;(A243+4))),0)+D243+1,""),"")</f>
        <v/>
      </c>
      <c r="I243" t="str">
        <f ca="1">IF(H243&lt;&gt;"",
OFFSET(数出表_Excel【15時】!$A$1,2,H243-1)
&amp;IFERROR(OFFSET(数出表_Excel【15時】!$A$1,3,H243-1),"")
&amp;IFERROR(OFFSET(数出表_Excel【15時】!$A$1,4,H243-1),""),"")</f>
        <v/>
      </c>
      <c r="J243" t="str">
        <f ca="1">IF(H243&lt;&gt;"",
OFFSET(数出表_Excel【15時】!$A$1,A243+3,H243-1),"")</f>
        <v/>
      </c>
      <c r="K243" t="str">
        <f ca="1">IF(H243&lt;&gt;"",
IF(AND(OFFSET(数出表_Excel【15時】!$A$1,A243+3,H243)&lt;&gt;"",OFFSET(数出表_Excel【15時】!$A$1,A243+3,H243)&lt;&gt;0),
OFFSET(数出表_Excel【15時】!$A$1,A243+3,H243),""),"")</f>
        <v/>
      </c>
      <c r="L243" s="209" t="str">
        <f t="array" aca="1" ref="L243" ca="1">IF(B243&lt;&gt;"",
IFERROR(MATCH(TRUE,ISNUMBER(INDIRECT("数出表_Excel【15時】!"&amp;SUBSTITUTE(ADDRESS(1,H243+2,4),"1","")&amp;(A243+4)&amp;":ZZ"&amp;(A243+4))),0)+H243+1,""),"")</f>
        <v/>
      </c>
      <c r="M243" t="str">
        <f ca="1">IF(L243&lt;&gt;"",
OFFSET(数出表_Excel【15時】!$A$1,2,L243-1)
&amp;IFERROR(OFFSET(数出表_Excel【15時】!$A$1,3,L243-1),"")
&amp;IFERROR(OFFSET(数出表_Excel【15時】!$A$1,4,L243-1),""),"")</f>
        <v/>
      </c>
      <c r="N243" t="str">
        <f ca="1">IF(L243&lt;&gt;"",
OFFSET(数出表_Excel【15時】!$A$1,A243+3,L243-1),"")</f>
        <v/>
      </c>
      <c r="O243" t="str">
        <f ca="1">IF(L243&lt;&gt;"",
IF(AND(OFFSET(数出表_Excel【15時】!$A$1,A243+3,L243)&lt;&gt;"",OFFSET(数出表_Excel【15時】!$A$1,A243+3,L243)&lt;&gt;0),
OFFSET(数出表_Excel【15時】!$A$1,A243+3,L243),""),"")</f>
        <v/>
      </c>
    </row>
    <row r="244" spans="1:17">
      <c r="A244" t="str">
        <f t="shared" ca="1" si="3"/>
        <v/>
      </c>
      <c r="B244" t="str">
        <f t="array" aca="1" ref="B244" ca="1">IF(OR(COUNTIF(数出表_Excel【15時】!AO248,"*修正*"),COUNTIF(数出表_Excel【15時】!AO249,"*修正*")),
IF(ISEVEN(ROW()+4),INDIRECT("数出表_Excel【15時】!A"&amp;ROW()+4&amp;""),INDIRECT("数出表_Excel【15時】!A"&amp;ROW()+4-1&amp;"")),"")</f>
        <v/>
      </c>
      <c r="C244" t="str">
        <f t="array" aca="1" ref="C244" ca="1">IF(OR(COUNTIF(数出表_Excel【15時】!AO248,"*修正*"),COUNTIF(数出表_Excel【15時】!AO249,"*修正*")),
IF(ISEVEN(ROW()+4),INDIRECT("数出表_Excel【15時】!A"&amp;ROW()+4+1&amp;""),INDIRECT("数出表_Excel【15時】!A"&amp;ROW()+4&amp;"")),"")</f>
        <v/>
      </c>
      <c r="D244" s="209" t="str">
        <f t="array" aca="1" ref="D244" ca="1">IF(B244&lt;&gt;"",
IFERROR(MATCH(TRUE,ISNUMBER(INDIRECT("数出表_Excel【15時】!B"&amp;(A244+4)&amp;":ZZ"&amp;(A244+4))),0)+1,""),"")</f>
        <v/>
      </c>
      <c r="E244" t="str">
        <f ca="1">IF(D244&lt;&gt;"",
OFFSET(数出表_Excel【15時】!$A$1,2,D244-1)
&amp;IFERROR(OFFSET(数出表_Excel【15時】!$A$1,3,D244-1),"")
&amp;IFERROR(OFFSET(数出表_Excel【15時】!$A$1,4,D244-1),""),"")</f>
        <v/>
      </c>
      <c r="F244" t="str">
        <f ca="1">IF(D244&lt;&gt;"",
OFFSET(数出表_Excel【15時】!$A$1,A244+3,D244-1),"")</f>
        <v/>
      </c>
      <c r="G244" t="str">
        <f ca="1">IF(D244&lt;&gt;"",
IF(AND(OFFSET(数出表_Excel【15時】!$A$1,A244+3,D244)&lt;&gt;"",OFFSET(数出表_Excel【15時】!$A$1,A244+3,D244)&lt;&gt;0),
OFFSET(数出表_Excel【15時】!$A$1,A244+3,D244),""),"")</f>
        <v/>
      </c>
      <c r="H244" s="209" t="str">
        <f t="array" aca="1" ref="H244" ca="1">IF(B244&lt;&gt;"",
IFERROR(MATCH(TRUE,ISNUMBER(INDIRECT("数出表_Excel【15時】!"&amp;SUBSTITUTE(ADDRESS(1,D244+2,4),"1","")&amp;(A244+4)&amp;":ZZ"&amp;(A244+4))),0)+D244+1,""),"")</f>
        <v/>
      </c>
      <c r="I244" t="str">
        <f ca="1">IF(H244&lt;&gt;"",
OFFSET(数出表_Excel【15時】!$A$1,2,H244-1)
&amp;IFERROR(OFFSET(数出表_Excel【15時】!$A$1,3,H244-1),"")
&amp;IFERROR(OFFSET(数出表_Excel【15時】!$A$1,4,H244-1),""),"")</f>
        <v/>
      </c>
      <c r="J244" t="str">
        <f ca="1">IF(H244&lt;&gt;"",
OFFSET(数出表_Excel【15時】!$A$1,A244+3,H244-1),"")</f>
        <v/>
      </c>
      <c r="K244" t="str">
        <f ca="1">IF(H244&lt;&gt;"",
IF(AND(OFFSET(数出表_Excel【15時】!$A$1,A244+3,H244)&lt;&gt;"",OFFSET(数出表_Excel【15時】!$A$1,A244+3,H244)&lt;&gt;0),
OFFSET(数出表_Excel【15時】!$A$1,A244+3,H244),""),"")</f>
        <v/>
      </c>
      <c r="L244" s="209" t="str">
        <f t="array" aca="1" ref="L244" ca="1">IF(B244&lt;&gt;"",
IFERROR(MATCH(TRUE,ISNUMBER(INDIRECT("数出表_Excel【15時】!"&amp;SUBSTITUTE(ADDRESS(1,H244+2,4),"1","")&amp;(A244+4)&amp;":ZZ"&amp;(A244+4))),0)+H244+1,""),"")</f>
        <v/>
      </c>
      <c r="M244" t="str">
        <f ca="1">IF(L244&lt;&gt;"",
OFFSET(数出表_Excel【15時】!$A$1,2,L244-1)
&amp;IFERROR(OFFSET(数出表_Excel【15時】!$A$1,3,L244-1),"")
&amp;IFERROR(OFFSET(数出表_Excel【15時】!$A$1,4,L244-1),""),"")</f>
        <v/>
      </c>
      <c r="N244" t="str">
        <f ca="1">IF(L244&lt;&gt;"",
OFFSET(数出表_Excel【15時】!$A$1,A244+3,L244-1),"")</f>
        <v/>
      </c>
      <c r="O244" t="str">
        <f ca="1">IF(L244&lt;&gt;"",
IF(AND(OFFSET(数出表_Excel【15時】!$A$1,A244+3,L244)&lt;&gt;"",OFFSET(数出表_Excel【15時】!$A$1,A244+3,L244)&lt;&gt;0),
OFFSET(数出表_Excel【15時】!$A$1,A244+3,L244),""),"")</f>
        <v/>
      </c>
      <c r="Q244" t="str">
        <f ca="1">IF(C244&lt;&gt;"",
IF(E244&lt;&gt;"",1,0)+IF(I244&lt;&gt;"",1,0)+IF(M244&lt;&gt;"",1,0),"")</f>
        <v/>
      </c>
    </row>
    <row r="245" spans="1:17">
      <c r="A245" t="str">
        <f t="shared" ca="1" si="3"/>
        <v/>
      </c>
      <c r="B245" t="str">
        <f t="array" aca="1" ref="B245" ca="1">IF(OR(COUNTIF(数出表_Excel【15時】!AO248,"*修正*"),COUNTIF(数出表_Excel【15時】!AO249,"*修正*")),
IF(ISEVEN(ROW()+4),INDIRECT("数出表_Excel【15時】!A"&amp;ROW()+4&amp;""),INDIRECT("数出表_Excel【15時】!A"&amp;ROW()+4-1&amp;"")),"")</f>
        <v/>
      </c>
      <c r="C245" t="str">
        <f t="array" aca="1" ref="C245" ca="1">IF(OR(COUNTIF(数出表_Excel【15時】!AO248,"*修正*"),COUNTIF(数出表_Excel【15時】!AO249,"*修正*")),
IF(ISEVEN(ROW()+4),INDIRECT("数出表_Excel【15時】!A"&amp;ROW()+4+1&amp;""),INDIRECT("数出表_Excel【15時】!A"&amp;ROW()+4&amp;"")),"")</f>
        <v/>
      </c>
      <c r="D245" s="209" t="str">
        <f t="array" aca="1" ref="D245" ca="1">IF(B245&lt;&gt;"",
IFERROR(MATCH(TRUE,ISNUMBER(INDIRECT("数出表_Excel【15時】!B"&amp;(A245+4)&amp;":ZZ"&amp;(A245+4))),0)+1,""),"")</f>
        <v/>
      </c>
      <c r="E245" t="str">
        <f ca="1">IF(D245&lt;&gt;"",
OFFSET(数出表_Excel【15時】!$A$1,2,D245-1)
&amp;IFERROR(OFFSET(数出表_Excel【15時】!$A$1,3,D245-1),"")
&amp;IFERROR(OFFSET(数出表_Excel【15時】!$A$1,4,D245-1),""),"")</f>
        <v/>
      </c>
      <c r="F245" t="str">
        <f ca="1">IF(D245&lt;&gt;"",
OFFSET(数出表_Excel【15時】!$A$1,A245+3,D245-1),"")</f>
        <v/>
      </c>
      <c r="G245" t="str">
        <f ca="1">IF(D245&lt;&gt;"",
IF(AND(OFFSET(数出表_Excel【15時】!$A$1,A245+3,D245)&lt;&gt;"",OFFSET(数出表_Excel【15時】!$A$1,A245+3,D245)&lt;&gt;0),
OFFSET(数出表_Excel【15時】!$A$1,A245+3,D245),""),"")</f>
        <v/>
      </c>
      <c r="H245" s="209" t="str">
        <f t="array" aca="1" ref="H245" ca="1">IF(B245&lt;&gt;"",
IFERROR(MATCH(TRUE,ISNUMBER(INDIRECT("数出表_Excel【15時】!"&amp;SUBSTITUTE(ADDRESS(1,D245+2,4),"1","")&amp;(A245+4)&amp;":ZZ"&amp;(A245+4))),0)+D245+1,""),"")</f>
        <v/>
      </c>
      <c r="I245" t="str">
        <f ca="1">IF(H245&lt;&gt;"",
OFFSET(数出表_Excel【15時】!$A$1,2,H245-1)
&amp;IFERROR(OFFSET(数出表_Excel【15時】!$A$1,3,H245-1),"")
&amp;IFERROR(OFFSET(数出表_Excel【15時】!$A$1,4,H245-1),""),"")</f>
        <v/>
      </c>
      <c r="J245" t="str">
        <f ca="1">IF(H245&lt;&gt;"",
OFFSET(数出表_Excel【15時】!$A$1,A245+3,H245-1),"")</f>
        <v/>
      </c>
      <c r="K245" t="str">
        <f ca="1">IF(H245&lt;&gt;"",
IF(AND(OFFSET(数出表_Excel【15時】!$A$1,A245+3,H245)&lt;&gt;"",OFFSET(数出表_Excel【15時】!$A$1,A245+3,H245)&lt;&gt;0),
OFFSET(数出表_Excel【15時】!$A$1,A245+3,H245),""),"")</f>
        <v/>
      </c>
      <c r="L245" s="209" t="str">
        <f t="array" aca="1" ref="L245" ca="1">IF(B245&lt;&gt;"",
IFERROR(MATCH(TRUE,ISNUMBER(INDIRECT("数出表_Excel【15時】!"&amp;SUBSTITUTE(ADDRESS(1,H245+2,4),"1","")&amp;(A245+4)&amp;":ZZ"&amp;(A245+4))),0)+H245+1,""),"")</f>
        <v/>
      </c>
      <c r="M245" t="str">
        <f ca="1">IF(L245&lt;&gt;"",
OFFSET(数出表_Excel【15時】!$A$1,2,L245-1)
&amp;IFERROR(OFFSET(数出表_Excel【15時】!$A$1,3,L245-1),"")
&amp;IFERROR(OFFSET(数出表_Excel【15時】!$A$1,4,L245-1),""),"")</f>
        <v/>
      </c>
      <c r="N245" t="str">
        <f ca="1">IF(L245&lt;&gt;"",
OFFSET(数出表_Excel【15時】!$A$1,A245+3,L245-1),"")</f>
        <v/>
      </c>
      <c r="O245" t="str">
        <f ca="1">IF(L245&lt;&gt;"",
IF(AND(OFFSET(数出表_Excel【15時】!$A$1,A245+3,L245)&lt;&gt;"",OFFSET(数出表_Excel【15時】!$A$1,A245+3,L245)&lt;&gt;0),
OFFSET(数出表_Excel【15時】!$A$1,A245+3,L245),""),"")</f>
        <v/>
      </c>
    </row>
    <row r="246" spans="1:17">
      <c r="A246" t="str">
        <f t="shared" ca="1" si="3"/>
        <v/>
      </c>
      <c r="B246" t="str">
        <f t="array" aca="1" ref="B246" ca="1">IF(OR(COUNTIF(数出表_Excel【15時】!AO250,"*修正*"),COUNTIF(数出表_Excel【15時】!AO251,"*修正*")),
IF(ISEVEN(ROW()+4),INDIRECT("数出表_Excel【15時】!A"&amp;ROW()+4&amp;""),INDIRECT("数出表_Excel【15時】!A"&amp;ROW()+4-1&amp;"")),"")</f>
        <v/>
      </c>
      <c r="C246" t="str">
        <f t="array" aca="1" ref="C246" ca="1">IF(OR(COUNTIF(数出表_Excel【15時】!AO250,"*修正*"),COUNTIF(数出表_Excel【15時】!AO251,"*修正*")),
IF(ISEVEN(ROW()+4),INDIRECT("数出表_Excel【15時】!A"&amp;ROW()+4+1&amp;""),INDIRECT("数出表_Excel【15時】!A"&amp;ROW()+4&amp;"")),"")</f>
        <v/>
      </c>
      <c r="D246" s="209" t="str">
        <f t="array" aca="1" ref="D246" ca="1">IF(B246&lt;&gt;"",
IFERROR(MATCH(TRUE,ISNUMBER(INDIRECT("数出表_Excel【15時】!B"&amp;(A246+4)&amp;":ZZ"&amp;(A246+4))),0)+1,""),"")</f>
        <v/>
      </c>
      <c r="E246" t="str">
        <f ca="1">IF(D246&lt;&gt;"",
OFFSET(数出表_Excel【15時】!$A$1,2,D246-1)
&amp;IFERROR(OFFSET(数出表_Excel【15時】!$A$1,3,D246-1),"")
&amp;IFERROR(OFFSET(数出表_Excel【15時】!$A$1,4,D246-1),""),"")</f>
        <v/>
      </c>
      <c r="F246" t="str">
        <f ca="1">IF(D246&lt;&gt;"",
OFFSET(数出表_Excel【15時】!$A$1,A246+3,D246-1),"")</f>
        <v/>
      </c>
      <c r="G246" t="str">
        <f ca="1">IF(D246&lt;&gt;"",
IF(AND(OFFSET(数出表_Excel【15時】!$A$1,A246+3,D246)&lt;&gt;"",OFFSET(数出表_Excel【15時】!$A$1,A246+3,D246)&lt;&gt;0),
OFFSET(数出表_Excel【15時】!$A$1,A246+3,D246),""),"")</f>
        <v/>
      </c>
      <c r="H246" s="209" t="str">
        <f t="array" aca="1" ref="H246" ca="1">IF(B246&lt;&gt;"",
IFERROR(MATCH(TRUE,ISNUMBER(INDIRECT("数出表_Excel【15時】!"&amp;SUBSTITUTE(ADDRESS(1,D246+2,4),"1","")&amp;(A246+4)&amp;":ZZ"&amp;(A246+4))),0)+D246+1,""),"")</f>
        <v/>
      </c>
      <c r="I246" t="str">
        <f ca="1">IF(H246&lt;&gt;"",
OFFSET(数出表_Excel【15時】!$A$1,2,H246-1)
&amp;IFERROR(OFFSET(数出表_Excel【15時】!$A$1,3,H246-1),"")
&amp;IFERROR(OFFSET(数出表_Excel【15時】!$A$1,4,H246-1),""),"")</f>
        <v/>
      </c>
      <c r="J246" t="str">
        <f ca="1">IF(H246&lt;&gt;"",
OFFSET(数出表_Excel【15時】!$A$1,A246+3,H246-1),"")</f>
        <v/>
      </c>
      <c r="K246" t="str">
        <f ca="1">IF(H246&lt;&gt;"",
IF(AND(OFFSET(数出表_Excel【15時】!$A$1,A246+3,H246)&lt;&gt;"",OFFSET(数出表_Excel【15時】!$A$1,A246+3,H246)&lt;&gt;0),
OFFSET(数出表_Excel【15時】!$A$1,A246+3,H246),""),"")</f>
        <v/>
      </c>
      <c r="L246" s="209" t="str">
        <f t="array" aca="1" ref="L246" ca="1">IF(B246&lt;&gt;"",
IFERROR(MATCH(TRUE,ISNUMBER(INDIRECT("数出表_Excel【15時】!"&amp;SUBSTITUTE(ADDRESS(1,H246+2,4),"1","")&amp;(A246+4)&amp;":ZZ"&amp;(A246+4))),0)+H246+1,""),"")</f>
        <v/>
      </c>
      <c r="M246" t="str">
        <f ca="1">IF(L246&lt;&gt;"",
OFFSET(数出表_Excel【15時】!$A$1,2,L246-1)
&amp;IFERROR(OFFSET(数出表_Excel【15時】!$A$1,3,L246-1),"")
&amp;IFERROR(OFFSET(数出表_Excel【15時】!$A$1,4,L246-1),""),"")</f>
        <v/>
      </c>
      <c r="N246" t="str">
        <f ca="1">IF(L246&lt;&gt;"",
OFFSET(数出表_Excel【15時】!$A$1,A246+3,L246-1),"")</f>
        <v/>
      </c>
      <c r="O246" t="str">
        <f ca="1">IF(L246&lt;&gt;"",
IF(AND(OFFSET(数出表_Excel【15時】!$A$1,A246+3,L246)&lt;&gt;"",OFFSET(数出表_Excel【15時】!$A$1,A246+3,L246)&lt;&gt;0),
OFFSET(数出表_Excel【15時】!$A$1,A246+3,L246),""),"")</f>
        <v/>
      </c>
      <c r="Q246" t="str">
        <f ca="1">IF(C246&lt;&gt;"",
IF(E246&lt;&gt;"",1,0)+IF(I246&lt;&gt;"",1,0)+IF(M246&lt;&gt;"",1,0),"")</f>
        <v/>
      </c>
    </row>
    <row r="247" spans="1:17">
      <c r="A247" t="str">
        <f t="shared" ca="1" si="3"/>
        <v/>
      </c>
      <c r="B247" t="str">
        <f t="array" aca="1" ref="B247" ca="1">IF(OR(COUNTIF(数出表_Excel【15時】!AO250,"*修正*"),COUNTIF(数出表_Excel【15時】!AO251,"*修正*")),
IF(ISEVEN(ROW()+4),INDIRECT("数出表_Excel【15時】!A"&amp;ROW()+4&amp;""),INDIRECT("数出表_Excel【15時】!A"&amp;ROW()+4-1&amp;"")),"")</f>
        <v/>
      </c>
      <c r="C247" t="str">
        <f t="array" aca="1" ref="C247" ca="1">IF(OR(COUNTIF(数出表_Excel【15時】!AO250,"*修正*"),COUNTIF(数出表_Excel【15時】!AO251,"*修正*")),
IF(ISEVEN(ROW()+4),INDIRECT("数出表_Excel【15時】!A"&amp;ROW()+4+1&amp;""),INDIRECT("数出表_Excel【15時】!A"&amp;ROW()+4&amp;"")),"")</f>
        <v/>
      </c>
      <c r="D247" s="209" t="str">
        <f t="array" aca="1" ref="D247" ca="1">IF(B247&lt;&gt;"",
IFERROR(MATCH(TRUE,ISNUMBER(INDIRECT("数出表_Excel【15時】!B"&amp;(A247+4)&amp;":ZZ"&amp;(A247+4))),0)+1,""),"")</f>
        <v/>
      </c>
      <c r="E247" t="str">
        <f ca="1">IF(D247&lt;&gt;"",
OFFSET(数出表_Excel【15時】!$A$1,2,D247-1)
&amp;IFERROR(OFFSET(数出表_Excel【15時】!$A$1,3,D247-1),"")
&amp;IFERROR(OFFSET(数出表_Excel【15時】!$A$1,4,D247-1),""),"")</f>
        <v/>
      </c>
      <c r="F247" t="str">
        <f ca="1">IF(D247&lt;&gt;"",
OFFSET(数出表_Excel【15時】!$A$1,A247+3,D247-1),"")</f>
        <v/>
      </c>
      <c r="G247" t="str">
        <f ca="1">IF(D247&lt;&gt;"",
IF(AND(OFFSET(数出表_Excel【15時】!$A$1,A247+3,D247)&lt;&gt;"",OFFSET(数出表_Excel【15時】!$A$1,A247+3,D247)&lt;&gt;0),
OFFSET(数出表_Excel【15時】!$A$1,A247+3,D247),""),"")</f>
        <v/>
      </c>
      <c r="H247" s="209" t="str">
        <f t="array" aca="1" ref="H247" ca="1">IF(B247&lt;&gt;"",
IFERROR(MATCH(TRUE,ISNUMBER(INDIRECT("数出表_Excel【15時】!"&amp;SUBSTITUTE(ADDRESS(1,D247+2,4),"1","")&amp;(A247+4)&amp;":ZZ"&amp;(A247+4))),0)+D247+1,""),"")</f>
        <v/>
      </c>
      <c r="I247" t="str">
        <f ca="1">IF(H247&lt;&gt;"",
OFFSET(数出表_Excel【15時】!$A$1,2,H247-1)
&amp;IFERROR(OFFSET(数出表_Excel【15時】!$A$1,3,H247-1),"")
&amp;IFERROR(OFFSET(数出表_Excel【15時】!$A$1,4,H247-1),""),"")</f>
        <v/>
      </c>
      <c r="J247" t="str">
        <f ca="1">IF(H247&lt;&gt;"",
OFFSET(数出表_Excel【15時】!$A$1,A247+3,H247-1),"")</f>
        <v/>
      </c>
      <c r="K247" t="str">
        <f ca="1">IF(H247&lt;&gt;"",
IF(AND(OFFSET(数出表_Excel【15時】!$A$1,A247+3,H247)&lt;&gt;"",OFFSET(数出表_Excel【15時】!$A$1,A247+3,H247)&lt;&gt;0),
OFFSET(数出表_Excel【15時】!$A$1,A247+3,H247),""),"")</f>
        <v/>
      </c>
      <c r="L247" s="209" t="str">
        <f t="array" aca="1" ref="L247" ca="1">IF(B247&lt;&gt;"",
IFERROR(MATCH(TRUE,ISNUMBER(INDIRECT("数出表_Excel【15時】!"&amp;SUBSTITUTE(ADDRESS(1,H247+2,4),"1","")&amp;(A247+4)&amp;":ZZ"&amp;(A247+4))),0)+H247+1,""),"")</f>
        <v/>
      </c>
      <c r="M247" t="str">
        <f ca="1">IF(L247&lt;&gt;"",
OFFSET(数出表_Excel【15時】!$A$1,2,L247-1)
&amp;IFERROR(OFFSET(数出表_Excel【15時】!$A$1,3,L247-1),"")
&amp;IFERROR(OFFSET(数出表_Excel【15時】!$A$1,4,L247-1),""),"")</f>
        <v/>
      </c>
      <c r="N247" t="str">
        <f ca="1">IF(L247&lt;&gt;"",
OFFSET(数出表_Excel【15時】!$A$1,A247+3,L247-1),"")</f>
        <v/>
      </c>
      <c r="O247" t="str">
        <f ca="1">IF(L247&lt;&gt;"",
IF(AND(OFFSET(数出表_Excel【15時】!$A$1,A247+3,L247)&lt;&gt;"",OFFSET(数出表_Excel【15時】!$A$1,A247+3,L247)&lt;&gt;0),
OFFSET(数出表_Excel【15時】!$A$1,A247+3,L247),""),"")</f>
        <v/>
      </c>
    </row>
    <row r="248" spans="1:17">
      <c r="A248" t="str">
        <f t="shared" ca="1" si="3"/>
        <v/>
      </c>
      <c r="B248" t="str">
        <f t="array" aca="1" ref="B248" ca="1">IF(OR(COUNTIF(数出表_Excel【15時】!AO252,"*修正*"),COUNTIF(数出表_Excel【15時】!AO253,"*修正*")),
IF(ISEVEN(ROW()+4),INDIRECT("数出表_Excel【15時】!A"&amp;ROW()+4&amp;""),INDIRECT("数出表_Excel【15時】!A"&amp;ROW()+4-1&amp;"")),"")</f>
        <v/>
      </c>
      <c r="C248" t="str">
        <f t="array" aca="1" ref="C248" ca="1">IF(OR(COUNTIF(数出表_Excel【15時】!AO252,"*修正*"),COUNTIF(数出表_Excel【15時】!AO253,"*修正*")),
IF(ISEVEN(ROW()+4),INDIRECT("数出表_Excel【15時】!A"&amp;ROW()+4+1&amp;""),INDIRECT("数出表_Excel【15時】!A"&amp;ROW()+4&amp;"")),"")</f>
        <v/>
      </c>
      <c r="D248" s="209" t="str">
        <f t="array" aca="1" ref="D248" ca="1">IF(B248&lt;&gt;"",
IFERROR(MATCH(TRUE,ISNUMBER(INDIRECT("数出表_Excel【15時】!B"&amp;(A248+4)&amp;":ZZ"&amp;(A248+4))),0)+1,""),"")</f>
        <v/>
      </c>
      <c r="E248" t="str">
        <f ca="1">IF(D248&lt;&gt;"",
OFFSET(数出表_Excel【15時】!$A$1,2,D248-1)
&amp;IFERROR(OFFSET(数出表_Excel【15時】!$A$1,3,D248-1),"")
&amp;IFERROR(OFFSET(数出表_Excel【15時】!$A$1,4,D248-1),""),"")</f>
        <v/>
      </c>
      <c r="F248" t="str">
        <f ca="1">IF(D248&lt;&gt;"",
OFFSET(数出表_Excel【15時】!$A$1,A248+3,D248-1),"")</f>
        <v/>
      </c>
      <c r="G248" t="str">
        <f ca="1">IF(D248&lt;&gt;"",
IF(AND(OFFSET(数出表_Excel【15時】!$A$1,A248+3,D248)&lt;&gt;"",OFFSET(数出表_Excel【15時】!$A$1,A248+3,D248)&lt;&gt;0),
OFFSET(数出表_Excel【15時】!$A$1,A248+3,D248),""),"")</f>
        <v/>
      </c>
      <c r="H248" s="209" t="str">
        <f t="array" aca="1" ref="H248" ca="1">IF(B248&lt;&gt;"",
IFERROR(MATCH(TRUE,ISNUMBER(INDIRECT("数出表_Excel【15時】!"&amp;SUBSTITUTE(ADDRESS(1,D248+2,4),"1","")&amp;(A248+4)&amp;":ZZ"&amp;(A248+4))),0)+D248+1,""),"")</f>
        <v/>
      </c>
      <c r="I248" t="str">
        <f ca="1">IF(H248&lt;&gt;"",
OFFSET(数出表_Excel【15時】!$A$1,2,H248-1)
&amp;IFERROR(OFFSET(数出表_Excel【15時】!$A$1,3,H248-1),"")
&amp;IFERROR(OFFSET(数出表_Excel【15時】!$A$1,4,H248-1),""),"")</f>
        <v/>
      </c>
      <c r="J248" t="str">
        <f ca="1">IF(H248&lt;&gt;"",
OFFSET(数出表_Excel【15時】!$A$1,A248+3,H248-1),"")</f>
        <v/>
      </c>
      <c r="K248" t="str">
        <f ca="1">IF(H248&lt;&gt;"",
IF(AND(OFFSET(数出表_Excel【15時】!$A$1,A248+3,H248)&lt;&gt;"",OFFSET(数出表_Excel【15時】!$A$1,A248+3,H248)&lt;&gt;0),
OFFSET(数出表_Excel【15時】!$A$1,A248+3,H248),""),"")</f>
        <v/>
      </c>
      <c r="L248" s="209" t="str">
        <f t="array" aca="1" ref="L248" ca="1">IF(B248&lt;&gt;"",
IFERROR(MATCH(TRUE,ISNUMBER(INDIRECT("数出表_Excel【15時】!"&amp;SUBSTITUTE(ADDRESS(1,H248+2,4),"1","")&amp;(A248+4)&amp;":ZZ"&amp;(A248+4))),0)+H248+1,""),"")</f>
        <v/>
      </c>
      <c r="M248" t="str">
        <f ca="1">IF(L248&lt;&gt;"",
OFFSET(数出表_Excel【15時】!$A$1,2,L248-1)
&amp;IFERROR(OFFSET(数出表_Excel【15時】!$A$1,3,L248-1),"")
&amp;IFERROR(OFFSET(数出表_Excel【15時】!$A$1,4,L248-1),""),"")</f>
        <v/>
      </c>
      <c r="N248" t="str">
        <f ca="1">IF(L248&lt;&gt;"",
OFFSET(数出表_Excel【15時】!$A$1,A248+3,L248-1),"")</f>
        <v/>
      </c>
      <c r="O248" t="str">
        <f ca="1">IF(L248&lt;&gt;"",
IF(AND(OFFSET(数出表_Excel【15時】!$A$1,A248+3,L248)&lt;&gt;"",OFFSET(数出表_Excel【15時】!$A$1,A248+3,L248)&lt;&gt;0),
OFFSET(数出表_Excel【15時】!$A$1,A248+3,L248),""),"")</f>
        <v/>
      </c>
      <c r="Q248" t="str">
        <f ca="1">IF(C248&lt;&gt;"",
IF(E248&lt;&gt;"",1,0)+IF(I248&lt;&gt;"",1,0)+IF(M248&lt;&gt;"",1,0),"")</f>
        <v/>
      </c>
    </row>
    <row r="249" spans="1:17">
      <c r="A249" t="str">
        <f t="shared" ca="1" si="3"/>
        <v/>
      </c>
      <c r="B249" t="str">
        <f t="array" aca="1" ref="B249" ca="1">IF(OR(COUNTIF(数出表_Excel【15時】!AO252,"*修正*"),COUNTIF(数出表_Excel【15時】!AO253,"*修正*")),
IF(ISEVEN(ROW()+4),INDIRECT("数出表_Excel【15時】!A"&amp;ROW()+4&amp;""),INDIRECT("数出表_Excel【15時】!A"&amp;ROW()+4-1&amp;"")),"")</f>
        <v/>
      </c>
      <c r="C249" t="str">
        <f t="array" aca="1" ref="C249" ca="1">IF(OR(COUNTIF(数出表_Excel【15時】!AO252,"*修正*"),COUNTIF(数出表_Excel【15時】!AO253,"*修正*")),
IF(ISEVEN(ROW()+4),INDIRECT("数出表_Excel【15時】!A"&amp;ROW()+4+1&amp;""),INDIRECT("数出表_Excel【15時】!A"&amp;ROW()+4&amp;"")),"")</f>
        <v/>
      </c>
      <c r="D249" s="209" t="str">
        <f t="array" aca="1" ref="D249" ca="1">IF(B249&lt;&gt;"",
IFERROR(MATCH(TRUE,ISNUMBER(INDIRECT("数出表_Excel【15時】!B"&amp;(A249+4)&amp;":ZZ"&amp;(A249+4))),0)+1,""),"")</f>
        <v/>
      </c>
      <c r="E249" t="str">
        <f ca="1">IF(D249&lt;&gt;"",
OFFSET(数出表_Excel【15時】!$A$1,2,D249-1)
&amp;IFERROR(OFFSET(数出表_Excel【15時】!$A$1,3,D249-1),"")
&amp;IFERROR(OFFSET(数出表_Excel【15時】!$A$1,4,D249-1),""),"")</f>
        <v/>
      </c>
      <c r="F249" t="str">
        <f ca="1">IF(D249&lt;&gt;"",
OFFSET(数出表_Excel【15時】!$A$1,A249+3,D249-1),"")</f>
        <v/>
      </c>
      <c r="G249" t="str">
        <f ca="1">IF(D249&lt;&gt;"",
IF(AND(OFFSET(数出表_Excel【15時】!$A$1,A249+3,D249)&lt;&gt;"",OFFSET(数出表_Excel【15時】!$A$1,A249+3,D249)&lt;&gt;0),
OFFSET(数出表_Excel【15時】!$A$1,A249+3,D249),""),"")</f>
        <v/>
      </c>
      <c r="H249" s="209" t="str">
        <f t="array" aca="1" ref="H249" ca="1">IF(B249&lt;&gt;"",
IFERROR(MATCH(TRUE,ISNUMBER(INDIRECT("数出表_Excel【15時】!"&amp;SUBSTITUTE(ADDRESS(1,D249+2,4),"1","")&amp;(A249+4)&amp;":ZZ"&amp;(A249+4))),0)+D249+1,""),"")</f>
        <v/>
      </c>
      <c r="I249" t="str">
        <f ca="1">IF(H249&lt;&gt;"",
OFFSET(数出表_Excel【15時】!$A$1,2,H249-1)
&amp;IFERROR(OFFSET(数出表_Excel【15時】!$A$1,3,H249-1),"")
&amp;IFERROR(OFFSET(数出表_Excel【15時】!$A$1,4,H249-1),""),"")</f>
        <v/>
      </c>
      <c r="J249" t="str">
        <f ca="1">IF(H249&lt;&gt;"",
OFFSET(数出表_Excel【15時】!$A$1,A249+3,H249-1),"")</f>
        <v/>
      </c>
      <c r="K249" t="str">
        <f ca="1">IF(H249&lt;&gt;"",
IF(AND(OFFSET(数出表_Excel【15時】!$A$1,A249+3,H249)&lt;&gt;"",OFFSET(数出表_Excel【15時】!$A$1,A249+3,H249)&lt;&gt;0),
OFFSET(数出表_Excel【15時】!$A$1,A249+3,H249),""),"")</f>
        <v/>
      </c>
      <c r="L249" s="209" t="str">
        <f t="array" aca="1" ref="L249" ca="1">IF(B249&lt;&gt;"",
IFERROR(MATCH(TRUE,ISNUMBER(INDIRECT("数出表_Excel【15時】!"&amp;SUBSTITUTE(ADDRESS(1,H249+2,4),"1","")&amp;(A249+4)&amp;":ZZ"&amp;(A249+4))),0)+H249+1,""),"")</f>
        <v/>
      </c>
      <c r="M249" t="str">
        <f ca="1">IF(L249&lt;&gt;"",
OFFSET(数出表_Excel【15時】!$A$1,2,L249-1)
&amp;IFERROR(OFFSET(数出表_Excel【15時】!$A$1,3,L249-1),"")
&amp;IFERROR(OFFSET(数出表_Excel【15時】!$A$1,4,L249-1),""),"")</f>
        <v/>
      </c>
      <c r="N249" t="str">
        <f ca="1">IF(L249&lt;&gt;"",
OFFSET(数出表_Excel【15時】!$A$1,A249+3,L249-1),"")</f>
        <v/>
      </c>
      <c r="O249" t="str">
        <f ca="1">IF(L249&lt;&gt;"",
IF(AND(OFFSET(数出表_Excel【15時】!$A$1,A249+3,L249)&lt;&gt;"",OFFSET(数出表_Excel【15時】!$A$1,A249+3,L249)&lt;&gt;0),
OFFSET(数出表_Excel【15時】!$A$1,A249+3,L249),""),"")</f>
        <v/>
      </c>
    </row>
    <row r="250" spans="1:17">
      <c r="A250" t="str">
        <f t="shared" ca="1" si="3"/>
        <v/>
      </c>
      <c r="B250" t="str">
        <f t="array" aca="1" ref="B250" ca="1">IF(OR(COUNTIF(数出表_Excel【15時】!AO254,"*修正*"),COUNTIF(数出表_Excel【15時】!AO255,"*修正*")),
IF(ISEVEN(ROW()+4),INDIRECT("数出表_Excel【15時】!A"&amp;ROW()+4&amp;""),INDIRECT("数出表_Excel【15時】!A"&amp;ROW()+4-1&amp;"")),"")</f>
        <v/>
      </c>
      <c r="C250" t="str">
        <f t="array" aca="1" ref="C250" ca="1">IF(OR(COUNTIF(数出表_Excel【15時】!AO254,"*修正*"),COUNTIF(数出表_Excel【15時】!AO255,"*修正*")),
IF(ISEVEN(ROW()+4),INDIRECT("数出表_Excel【15時】!A"&amp;ROW()+4+1&amp;""),INDIRECT("数出表_Excel【15時】!A"&amp;ROW()+4&amp;"")),"")</f>
        <v/>
      </c>
      <c r="D250" s="209" t="str">
        <f t="array" aca="1" ref="D250" ca="1">IF(B250&lt;&gt;"",
IFERROR(MATCH(TRUE,ISNUMBER(INDIRECT("数出表_Excel【15時】!B"&amp;(A250+4)&amp;":ZZ"&amp;(A250+4))),0)+1,""),"")</f>
        <v/>
      </c>
      <c r="E250" t="str">
        <f ca="1">IF(D250&lt;&gt;"",
OFFSET(数出表_Excel【15時】!$A$1,2,D250-1)
&amp;IFERROR(OFFSET(数出表_Excel【15時】!$A$1,3,D250-1),"")
&amp;IFERROR(OFFSET(数出表_Excel【15時】!$A$1,4,D250-1),""),"")</f>
        <v/>
      </c>
      <c r="F250" t="str">
        <f ca="1">IF(D250&lt;&gt;"",
OFFSET(数出表_Excel【15時】!$A$1,A250+3,D250-1),"")</f>
        <v/>
      </c>
      <c r="G250" t="str">
        <f ca="1">IF(D250&lt;&gt;"",
IF(AND(OFFSET(数出表_Excel【15時】!$A$1,A250+3,D250)&lt;&gt;"",OFFSET(数出表_Excel【15時】!$A$1,A250+3,D250)&lt;&gt;0),
OFFSET(数出表_Excel【15時】!$A$1,A250+3,D250),""),"")</f>
        <v/>
      </c>
      <c r="H250" s="209" t="str">
        <f t="array" aca="1" ref="H250" ca="1">IF(B250&lt;&gt;"",
IFERROR(MATCH(TRUE,ISNUMBER(INDIRECT("数出表_Excel【15時】!"&amp;SUBSTITUTE(ADDRESS(1,D250+2,4),"1","")&amp;(A250+4)&amp;":ZZ"&amp;(A250+4))),0)+D250+1,""),"")</f>
        <v/>
      </c>
      <c r="I250" t="str">
        <f ca="1">IF(H250&lt;&gt;"",
OFFSET(数出表_Excel【15時】!$A$1,2,H250-1)
&amp;IFERROR(OFFSET(数出表_Excel【15時】!$A$1,3,H250-1),"")
&amp;IFERROR(OFFSET(数出表_Excel【15時】!$A$1,4,H250-1),""),"")</f>
        <v/>
      </c>
      <c r="J250" t="str">
        <f ca="1">IF(H250&lt;&gt;"",
OFFSET(数出表_Excel【15時】!$A$1,A250+3,H250-1),"")</f>
        <v/>
      </c>
      <c r="K250" t="str">
        <f ca="1">IF(H250&lt;&gt;"",
IF(AND(OFFSET(数出表_Excel【15時】!$A$1,A250+3,H250)&lt;&gt;"",OFFSET(数出表_Excel【15時】!$A$1,A250+3,H250)&lt;&gt;0),
OFFSET(数出表_Excel【15時】!$A$1,A250+3,H250),""),"")</f>
        <v/>
      </c>
      <c r="L250" s="209" t="str">
        <f t="array" aca="1" ref="L250" ca="1">IF(B250&lt;&gt;"",
IFERROR(MATCH(TRUE,ISNUMBER(INDIRECT("数出表_Excel【15時】!"&amp;SUBSTITUTE(ADDRESS(1,H250+2,4),"1","")&amp;(A250+4)&amp;":ZZ"&amp;(A250+4))),0)+H250+1,""),"")</f>
        <v/>
      </c>
      <c r="M250" t="str">
        <f ca="1">IF(L250&lt;&gt;"",
OFFSET(数出表_Excel【15時】!$A$1,2,L250-1)
&amp;IFERROR(OFFSET(数出表_Excel【15時】!$A$1,3,L250-1),"")
&amp;IFERROR(OFFSET(数出表_Excel【15時】!$A$1,4,L250-1),""),"")</f>
        <v/>
      </c>
      <c r="N250" t="str">
        <f ca="1">IF(L250&lt;&gt;"",
OFFSET(数出表_Excel【15時】!$A$1,A250+3,L250-1),"")</f>
        <v/>
      </c>
      <c r="O250" t="str">
        <f ca="1">IF(L250&lt;&gt;"",
IF(AND(OFFSET(数出表_Excel【15時】!$A$1,A250+3,L250)&lt;&gt;"",OFFSET(数出表_Excel【15時】!$A$1,A250+3,L250)&lt;&gt;0),
OFFSET(数出表_Excel【15時】!$A$1,A250+3,L250),""),"")</f>
        <v/>
      </c>
      <c r="Q250" t="str">
        <f ca="1">IF(C250&lt;&gt;"",
IF(E250&lt;&gt;"",1,0)+IF(I250&lt;&gt;"",1,0)+IF(M250&lt;&gt;"",1,0),"")</f>
        <v/>
      </c>
    </row>
    <row r="251" spans="1:17">
      <c r="A251" t="str">
        <f t="shared" ca="1" si="3"/>
        <v/>
      </c>
      <c r="B251" t="str">
        <f t="array" aca="1" ref="B251" ca="1">IF(OR(COUNTIF(数出表_Excel【15時】!AO254,"*修正*"),COUNTIF(数出表_Excel【15時】!AO255,"*修正*")),
IF(ISEVEN(ROW()+4),INDIRECT("数出表_Excel【15時】!A"&amp;ROW()+4&amp;""),INDIRECT("数出表_Excel【15時】!A"&amp;ROW()+4-1&amp;"")),"")</f>
        <v/>
      </c>
      <c r="C251" t="str">
        <f t="array" aca="1" ref="C251" ca="1">IF(OR(COUNTIF(数出表_Excel【15時】!AO254,"*修正*"),COUNTIF(数出表_Excel【15時】!AO255,"*修正*")),
IF(ISEVEN(ROW()+4),INDIRECT("数出表_Excel【15時】!A"&amp;ROW()+4+1&amp;""),INDIRECT("数出表_Excel【15時】!A"&amp;ROW()+4&amp;"")),"")</f>
        <v/>
      </c>
      <c r="D251" s="209" t="str">
        <f t="array" aca="1" ref="D251" ca="1">IF(B251&lt;&gt;"",
IFERROR(MATCH(TRUE,ISNUMBER(INDIRECT("数出表_Excel【15時】!B"&amp;(A251+4)&amp;":ZZ"&amp;(A251+4))),0)+1,""),"")</f>
        <v/>
      </c>
      <c r="E251" t="str">
        <f ca="1">IF(D251&lt;&gt;"",
OFFSET(数出表_Excel【15時】!$A$1,2,D251-1)
&amp;IFERROR(OFFSET(数出表_Excel【15時】!$A$1,3,D251-1),"")
&amp;IFERROR(OFFSET(数出表_Excel【15時】!$A$1,4,D251-1),""),"")</f>
        <v/>
      </c>
      <c r="F251" t="str">
        <f ca="1">IF(D251&lt;&gt;"",
OFFSET(数出表_Excel【15時】!$A$1,A251+3,D251-1),"")</f>
        <v/>
      </c>
      <c r="G251" t="str">
        <f ca="1">IF(D251&lt;&gt;"",
IF(AND(OFFSET(数出表_Excel【15時】!$A$1,A251+3,D251)&lt;&gt;"",OFFSET(数出表_Excel【15時】!$A$1,A251+3,D251)&lt;&gt;0),
OFFSET(数出表_Excel【15時】!$A$1,A251+3,D251),""),"")</f>
        <v/>
      </c>
      <c r="H251" s="209" t="str">
        <f t="array" aca="1" ref="H251" ca="1">IF(B251&lt;&gt;"",
IFERROR(MATCH(TRUE,ISNUMBER(INDIRECT("数出表_Excel【15時】!"&amp;SUBSTITUTE(ADDRESS(1,D251+2,4),"1","")&amp;(A251+4)&amp;":ZZ"&amp;(A251+4))),0)+D251+1,""),"")</f>
        <v/>
      </c>
      <c r="I251" t="str">
        <f ca="1">IF(H251&lt;&gt;"",
OFFSET(数出表_Excel【15時】!$A$1,2,H251-1)
&amp;IFERROR(OFFSET(数出表_Excel【15時】!$A$1,3,H251-1),"")
&amp;IFERROR(OFFSET(数出表_Excel【15時】!$A$1,4,H251-1),""),"")</f>
        <v/>
      </c>
      <c r="J251" t="str">
        <f ca="1">IF(H251&lt;&gt;"",
OFFSET(数出表_Excel【15時】!$A$1,A251+3,H251-1),"")</f>
        <v/>
      </c>
      <c r="K251" t="str">
        <f ca="1">IF(H251&lt;&gt;"",
IF(AND(OFFSET(数出表_Excel【15時】!$A$1,A251+3,H251)&lt;&gt;"",OFFSET(数出表_Excel【15時】!$A$1,A251+3,H251)&lt;&gt;0),
OFFSET(数出表_Excel【15時】!$A$1,A251+3,H251),""),"")</f>
        <v/>
      </c>
      <c r="L251" s="209" t="str">
        <f t="array" aca="1" ref="L251" ca="1">IF(B251&lt;&gt;"",
IFERROR(MATCH(TRUE,ISNUMBER(INDIRECT("数出表_Excel【15時】!"&amp;SUBSTITUTE(ADDRESS(1,H251+2,4),"1","")&amp;(A251+4)&amp;":ZZ"&amp;(A251+4))),0)+H251+1,""),"")</f>
        <v/>
      </c>
      <c r="M251" t="str">
        <f ca="1">IF(L251&lt;&gt;"",
OFFSET(数出表_Excel【15時】!$A$1,2,L251-1)
&amp;IFERROR(OFFSET(数出表_Excel【15時】!$A$1,3,L251-1),"")
&amp;IFERROR(OFFSET(数出表_Excel【15時】!$A$1,4,L251-1),""),"")</f>
        <v/>
      </c>
      <c r="N251" t="str">
        <f ca="1">IF(L251&lt;&gt;"",
OFFSET(数出表_Excel【15時】!$A$1,A251+3,L251-1),"")</f>
        <v/>
      </c>
      <c r="O251" t="str">
        <f ca="1">IF(L251&lt;&gt;"",
IF(AND(OFFSET(数出表_Excel【15時】!$A$1,A251+3,L251)&lt;&gt;"",OFFSET(数出表_Excel【15時】!$A$1,A251+3,L251)&lt;&gt;0),
OFFSET(数出表_Excel【15時】!$A$1,A251+3,L251),""),"")</f>
        <v/>
      </c>
    </row>
    <row r="252" spans="1:17">
      <c r="A252" t="str">
        <f t="shared" ca="1" si="3"/>
        <v/>
      </c>
      <c r="B252" t="str">
        <f t="array" aca="1" ref="B252" ca="1">IF(OR(COUNTIF(数出表_Excel【15時】!AO256,"*修正*"),COUNTIF(数出表_Excel【15時】!AO257,"*修正*")),
IF(ISEVEN(ROW()+4),INDIRECT("数出表_Excel【15時】!A"&amp;ROW()+4&amp;""),INDIRECT("数出表_Excel【15時】!A"&amp;ROW()+4-1&amp;"")),"")</f>
        <v/>
      </c>
      <c r="C252" t="str">
        <f t="array" aca="1" ref="C252" ca="1">IF(OR(COUNTIF(数出表_Excel【15時】!AO256,"*修正*"),COUNTIF(数出表_Excel【15時】!AO257,"*修正*")),
IF(ISEVEN(ROW()+4),INDIRECT("数出表_Excel【15時】!A"&amp;ROW()+4+1&amp;""),INDIRECT("数出表_Excel【15時】!A"&amp;ROW()+4&amp;"")),"")</f>
        <v/>
      </c>
      <c r="D252" s="209" t="str">
        <f t="array" aca="1" ref="D252" ca="1">IF(B252&lt;&gt;"",
IFERROR(MATCH(TRUE,ISNUMBER(INDIRECT("数出表_Excel【15時】!B"&amp;(A252+4)&amp;":ZZ"&amp;(A252+4))),0)+1,""),"")</f>
        <v/>
      </c>
      <c r="E252" t="str">
        <f ca="1">IF(D252&lt;&gt;"",
OFFSET(数出表_Excel【15時】!$A$1,2,D252-1)
&amp;IFERROR(OFFSET(数出表_Excel【15時】!$A$1,3,D252-1),"")
&amp;IFERROR(OFFSET(数出表_Excel【15時】!$A$1,4,D252-1),""),"")</f>
        <v/>
      </c>
      <c r="F252" t="str">
        <f ca="1">IF(D252&lt;&gt;"",
OFFSET(数出表_Excel【15時】!$A$1,A252+3,D252-1),"")</f>
        <v/>
      </c>
      <c r="G252" t="str">
        <f ca="1">IF(D252&lt;&gt;"",
IF(AND(OFFSET(数出表_Excel【15時】!$A$1,A252+3,D252)&lt;&gt;"",OFFSET(数出表_Excel【15時】!$A$1,A252+3,D252)&lt;&gt;0),
OFFSET(数出表_Excel【15時】!$A$1,A252+3,D252),""),"")</f>
        <v/>
      </c>
      <c r="H252" s="209" t="str">
        <f t="array" aca="1" ref="H252" ca="1">IF(B252&lt;&gt;"",
IFERROR(MATCH(TRUE,ISNUMBER(INDIRECT("数出表_Excel【15時】!"&amp;SUBSTITUTE(ADDRESS(1,D252+2,4),"1","")&amp;(A252+4)&amp;":ZZ"&amp;(A252+4))),0)+D252+1,""),"")</f>
        <v/>
      </c>
      <c r="I252" t="str">
        <f ca="1">IF(H252&lt;&gt;"",
OFFSET(数出表_Excel【15時】!$A$1,2,H252-1)
&amp;IFERROR(OFFSET(数出表_Excel【15時】!$A$1,3,H252-1),"")
&amp;IFERROR(OFFSET(数出表_Excel【15時】!$A$1,4,H252-1),""),"")</f>
        <v/>
      </c>
      <c r="J252" t="str">
        <f ca="1">IF(H252&lt;&gt;"",
OFFSET(数出表_Excel【15時】!$A$1,A252+3,H252-1),"")</f>
        <v/>
      </c>
      <c r="K252" t="str">
        <f ca="1">IF(H252&lt;&gt;"",
IF(AND(OFFSET(数出表_Excel【15時】!$A$1,A252+3,H252)&lt;&gt;"",OFFSET(数出表_Excel【15時】!$A$1,A252+3,H252)&lt;&gt;0),
OFFSET(数出表_Excel【15時】!$A$1,A252+3,H252),""),"")</f>
        <v/>
      </c>
      <c r="L252" s="209" t="str">
        <f t="array" aca="1" ref="L252" ca="1">IF(B252&lt;&gt;"",
IFERROR(MATCH(TRUE,ISNUMBER(INDIRECT("数出表_Excel【15時】!"&amp;SUBSTITUTE(ADDRESS(1,H252+2,4),"1","")&amp;(A252+4)&amp;":ZZ"&amp;(A252+4))),0)+H252+1,""),"")</f>
        <v/>
      </c>
      <c r="M252" t="str">
        <f ca="1">IF(L252&lt;&gt;"",
OFFSET(数出表_Excel【15時】!$A$1,2,L252-1)
&amp;IFERROR(OFFSET(数出表_Excel【15時】!$A$1,3,L252-1),"")
&amp;IFERROR(OFFSET(数出表_Excel【15時】!$A$1,4,L252-1),""),"")</f>
        <v/>
      </c>
      <c r="N252" t="str">
        <f ca="1">IF(L252&lt;&gt;"",
OFFSET(数出表_Excel【15時】!$A$1,A252+3,L252-1),"")</f>
        <v/>
      </c>
      <c r="O252" t="str">
        <f ca="1">IF(L252&lt;&gt;"",
IF(AND(OFFSET(数出表_Excel【15時】!$A$1,A252+3,L252)&lt;&gt;"",OFFSET(数出表_Excel【15時】!$A$1,A252+3,L252)&lt;&gt;0),
OFFSET(数出表_Excel【15時】!$A$1,A252+3,L252),""),"")</f>
        <v/>
      </c>
      <c r="Q252" t="str">
        <f ca="1">IF(C252&lt;&gt;"",
IF(E252&lt;&gt;"",1,0)+IF(I252&lt;&gt;"",1,0)+IF(M252&lt;&gt;"",1,0),"")</f>
        <v/>
      </c>
    </row>
    <row r="253" spans="1:17">
      <c r="A253" t="str">
        <f t="shared" ca="1" si="3"/>
        <v/>
      </c>
      <c r="B253" t="str">
        <f t="array" aca="1" ref="B253" ca="1">IF(OR(COUNTIF(数出表_Excel【15時】!AO256,"*修正*"),COUNTIF(数出表_Excel【15時】!AO257,"*修正*")),
IF(ISEVEN(ROW()+4),INDIRECT("数出表_Excel【15時】!A"&amp;ROW()+4&amp;""),INDIRECT("数出表_Excel【15時】!A"&amp;ROW()+4-1&amp;"")),"")</f>
        <v/>
      </c>
      <c r="C253" t="str">
        <f t="array" aca="1" ref="C253" ca="1">IF(OR(COUNTIF(数出表_Excel【15時】!AO256,"*修正*"),COUNTIF(数出表_Excel【15時】!AO257,"*修正*")),
IF(ISEVEN(ROW()+4),INDIRECT("数出表_Excel【15時】!A"&amp;ROW()+4+1&amp;""),INDIRECT("数出表_Excel【15時】!A"&amp;ROW()+4&amp;"")),"")</f>
        <v/>
      </c>
      <c r="D253" s="209" t="str">
        <f t="array" aca="1" ref="D253" ca="1">IF(B253&lt;&gt;"",
IFERROR(MATCH(TRUE,ISNUMBER(INDIRECT("数出表_Excel【15時】!B"&amp;(A253+4)&amp;":ZZ"&amp;(A253+4))),0)+1,""),"")</f>
        <v/>
      </c>
      <c r="E253" t="str">
        <f ca="1">IF(D253&lt;&gt;"",
OFFSET(数出表_Excel【15時】!$A$1,2,D253-1)
&amp;IFERROR(OFFSET(数出表_Excel【15時】!$A$1,3,D253-1),"")
&amp;IFERROR(OFFSET(数出表_Excel【15時】!$A$1,4,D253-1),""),"")</f>
        <v/>
      </c>
      <c r="F253" t="str">
        <f ca="1">IF(D253&lt;&gt;"",
OFFSET(数出表_Excel【15時】!$A$1,A253+3,D253-1),"")</f>
        <v/>
      </c>
      <c r="G253" t="str">
        <f ca="1">IF(D253&lt;&gt;"",
IF(AND(OFFSET(数出表_Excel【15時】!$A$1,A253+3,D253)&lt;&gt;"",OFFSET(数出表_Excel【15時】!$A$1,A253+3,D253)&lt;&gt;0),
OFFSET(数出表_Excel【15時】!$A$1,A253+3,D253),""),"")</f>
        <v/>
      </c>
      <c r="H253" s="209" t="str">
        <f t="array" aca="1" ref="H253" ca="1">IF(B253&lt;&gt;"",
IFERROR(MATCH(TRUE,ISNUMBER(INDIRECT("数出表_Excel【15時】!"&amp;SUBSTITUTE(ADDRESS(1,D253+2,4),"1","")&amp;(A253+4)&amp;":ZZ"&amp;(A253+4))),0)+D253+1,""),"")</f>
        <v/>
      </c>
      <c r="I253" t="str">
        <f ca="1">IF(H253&lt;&gt;"",
OFFSET(数出表_Excel【15時】!$A$1,2,H253-1)
&amp;IFERROR(OFFSET(数出表_Excel【15時】!$A$1,3,H253-1),"")
&amp;IFERROR(OFFSET(数出表_Excel【15時】!$A$1,4,H253-1),""),"")</f>
        <v/>
      </c>
      <c r="J253" t="str">
        <f ca="1">IF(H253&lt;&gt;"",
OFFSET(数出表_Excel【15時】!$A$1,A253+3,H253-1),"")</f>
        <v/>
      </c>
      <c r="K253" t="str">
        <f ca="1">IF(H253&lt;&gt;"",
IF(AND(OFFSET(数出表_Excel【15時】!$A$1,A253+3,H253)&lt;&gt;"",OFFSET(数出表_Excel【15時】!$A$1,A253+3,H253)&lt;&gt;0),
OFFSET(数出表_Excel【15時】!$A$1,A253+3,H253),""),"")</f>
        <v/>
      </c>
      <c r="L253" s="209" t="str">
        <f t="array" aca="1" ref="L253" ca="1">IF(B253&lt;&gt;"",
IFERROR(MATCH(TRUE,ISNUMBER(INDIRECT("数出表_Excel【15時】!"&amp;SUBSTITUTE(ADDRESS(1,H253+2,4),"1","")&amp;(A253+4)&amp;":ZZ"&amp;(A253+4))),0)+H253+1,""),"")</f>
        <v/>
      </c>
      <c r="M253" t="str">
        <f ca="1">IF(L253&lt;&gt;"",
OFFSET(数出表_Excel【15時】!$A$1,2,L253-1)
&amp;IFERROR(OFFSET(数出表_Excel【15時】!$A$1,3,L253-1),"")
&amp;IFERROR(OFFSET(数出表_Excel【15時】!$A$1,4,L253-1),""),"")</f>
        <v/>
      </c>
      <c r="N253" t="str">
        <f ca="1">IF(L253&lt;&gt;"",
OFFSET(数出表_Excel【15時】!$A$1,A253+3,L253-1),"")</f>
        <v/>
      </c>
      <c r="O253" t="str">
        <f ca="1">IF(L253&lt;&gt;"",
IF(AND(OFFSET(数出表_Excel【15時】!$A$1,A253+3,L253)&lt;&gt;"",OFFSET(数出表_Excel【15時】!$A$1,A253+3,L253)&lt;&gt;0),
OFFSET(数出表_Excel【15時】!$A$1,A253+3,L253),""),"")</f>
        <v/>
      </c>
    </row>
    <row r="254" spans="1:17">
      <c r="A254" t="str">
        <f t="shared" ca="1" si="3"/>
        <v/>
      </c>
      <c r="B254" t="str">
        <f t="array" aca="1" ref="B254" ca="1">IF(OR(COUNTIF(数出表_Excel【15時】!AO258,"*修正*"),COUNTIF(数出表_Excel【15時】!AO259,"*修正*")),
IF(ISEVEN(ROW()+4),INDIRECT("数出表_Excel【15時】!A"&amp;ROW()+4&amp;""),INDIRECT("数出表_Excel【15時】!A"&amp;ROW()+4-1&amp;"")),"")</f>
        <v/>
      </c>
      <c r="C254" t="str">
        <f t="array" aca="1" ref="C254" ca="1">IF(OR(COUNTIF(数出表_Excel【15時】!AO258,"*修正*"),COUNTIF(数出表_Excel【15時】!AO259,"*修正*")),
IF(ISEVEN(ROW()+4),INDIRECT("数出表_Excel【15時】!A"&amp;ROW()+4+1&amp;""),INDIRECT("数出表_Excel【15時】!A"&amp;ROW()+4&amp;"")),"")</f>
        <v/>
      </c>
      <c r="D254" s="209" t="str">
        <f t="array" aca="1" ref="D254" ca="1">IF(B254&lt;&gt;"",
IFERROR(MATCH(TRUE,ISNUMBER(INDIRECT("数出表_Excel【15時】!B"&amp;(A254+4)&amp;":ZZ"&amp;(A254+4))),0)+1,""),"")</f>
        <v/>
      </c>
      <c r="E254" t="str">
        <f ca="1">IF(D254&lt;&gt;"",
OFFSET(数出表_Excel【15時】!$A$1,2,D254-1)
&amp;IFERROR(OFFSET(数出表_Excel【15時】!$A$1,3,D254-1),"")
&amp;IFERROR(OFFSET(数出表_Excel【15時】!$A$1,4,D254-1),""),"")</f>
        <v/>
      </c>
      <c r="F254" t="str">
        <f ca="1">IF(D254&lt;&gt;"",
OFFSET(数出表_Excel【15時】!$A$1,A254+3,D254-1),"")</f>
        <v/>
      </c>
      <c r="G254" t="str">
        <f ca="1">IF(D254&lt;&gt;"",
IF(AND(OFFSET(数出表_Excel【15時】!$A$1,A254+3,D254)&lt;&gt;"",OFFSET(数出表_Excel【15時】!$A$1,A254+3,D254)&lt;&gt;0),
OFFSET(数出表_Excel【15時】!$A$1,A254+3,D254),""),"")</f>
        <v/>
      </c>
      <c r="H254" s="209" t="str">
        <f t="array" aca="1" ref="H254" ca="1">IF(B254&lt;&gt;"",
IFERROR(MATCH(TRUE,ISNUMBER(INDIRECT("数出表_Excel【15時】!"&amp;SUBSTITUTE(ADDRESS(1,D254+2,4),"1","")&amp;(A254+4)&amp;":ZZ"&amp;(A254+4))),0)+D254+1,""),"")</f>
        <v/>
      </c>
      <c r="I254" t="str">
        <f ca="1">IF(H254&lt;&gt;"",
OFFSET(数出表_Excel【15時】!$A$1,2,H254-1)
&amp;IFERROR(OFFSET(数出表_Excel【15時】!$A$1,3,H254-1),"")
&amp;IFERROR(OFFSET(数出表_Excel【15時】!$A$1,4,H254-1),""),"")</f>
        <v/>
      </c>
      <c r="J254" t="str">
        <f ca="1">IF(H254&lt;&gt;"",
OFFSET(数出表_Excel【15時】!$A$1,A254+3,H254-1),"")</f>
        <v/>
      </c>
      <c r="K254" t="str">
        <f ca="1">IF(H254&lt;&gt;"",
IF(AND(OFFSET(数出表_Excel【15時】!$A$1,A254+3,H254)&lt;&gt;"",OFFSET(数出表_Excel【15時】!$A$1,A254+3,H254)&lt;&gt;0),
OFFSET(数出表_Excel【15時】!$A$1,A254+3,H254),""),"")</f>
        <v/>
      </c>
      <c r="L254" s="209" t="str">
        <f t="array" aca="1" ref="L254" ca="1">IF(B254&lt;&gt;"",
IFERROR(MATCH(TRUE,ISNUMBER(INDIRECT("数出表_Excel【15時】!"&amp;SUBSTITUTE(ADDRESS(1,H254+2,4),"1","")&amp;(A254+4)&amp;":ZZ"&amp;(A254+4))),0)+H254+1,""),"")</f>
        <v/>
      </c>
      <c r="M254" t="str">
        <f ca="1">IF(L254&lt;&gt;"",
OFFSET(数出表_Excel【15時】!$A$1,2,L254-1)
&amp;IFERROR(OFFSET(数出表_Excel【15時】!$A$1,3,L254-1),"")
&amp;IFERROR(OFFSET(数出表_Excel【15時】!$A$1,4,L254-1),""),"")</f>
        <v/>
      </c>
      <c r="N254" t="str">
        <f ca="1">IF(L254&lt;&gt;"",
OFFSET(数出表_Excel【15時】!$A$1,A254+3,L254-1),"")</f>
        <v/>
      </c>
      <c r="O254" t="str">
        <f ca="1">IF(L254&lt;&gt;"",
IF(AND(OFFSET(数出表_Excel【15時】!$A$1,A254+3,L254)&lt;&gt;"",OFFSET(数出表_Excel【15時】!$A$1,A254+3,L254)&lt;&gt;0),
OFFSET(数出表_Excel【15時】!$A$1,A254+3,L254),""),"")</f>
        <v/>
      </c>
      <c r="Q254" t="str">
        <f ca="1">IF(C254&lt;&gt;"",
IF(E254&lt;&gt;"",1,0)+IF(I254&lt;&gt;"",1,0)+IF(M254&lt;&gt;"",1,0),"")</f>
        <v/>
      </c>
    </row>
    <row r="255" spans="1:17">
      <c r="A255" t="str">
        <f t="shared" ca="1" si="3"/>
        <v/>
      </c>
      <c r="B255" t="str">
        <f t="array" aca="1" ref="B255" ca="1">IF(OR(COUNTIF(数出表_Excel【15時】!AO258,"*修正*"),COUNTIF(数出表_Excel【15時】!AO259,"*修正*")),
IF(ISEVEN(ROW()+4),INDIRECT("数出表_Excel【15時】!A"&amp;ROW()+4&amp;""),INDIRECT("数出表_Excel【15時】!A"&amp;ROW()+4-1&amp;"")),"")</f>
        <v/>
      </c>
      <c r="C255" t="str">
        <f t="array" aca="1" ref="C255" ca="1">IF(OR(COUNTIF(数出表_Excel【15時】!AO258,"*修正*"),COUNTIF(数出表_Excel【15時】!AO259,"*修正*")),
IF(ISEVEN(ROW()+4),INDIRECT("数出表_Excel【15時】!A"&amp;ROW()+4+1&amp;""),INDIRECT("数出表_Excel【15時】!A"&amp;ROW()+4&amp;"")),"")</f>
        <v/>
      </c>
      <c r="D255" s="209" t="str">
        <f t="array" aca="1" ref="D255" ca="1">IF(B255&lt;&gt;"",
IFERROR(MATCH(TRUE,ISNUMBER(INDIRECT("数出表_Excel【15時】!B"&amp;(A255+4)&amp;":ZZ"&amp;(A255+4))),0)+1,""),"")</f>
        <v/>
      </c>
      <c r="E255" t="str">
        <f ca="1">IF(D255&lt;&gt;"",
OFFSET(数出表_Excel【15時】!$A$1,2,D255-1)
&amp;IFERROR(OFFSET(数出表_Excel【15時】!$A$1,3,D255-1),"")
&amp;IFERROR(OFFSET(数出表_Excel【15時】!$A$1,4,D255-1),""),"")</f>
        <v/>
      </c>
      <c r="F255" t="str">
        <f ca="1">IF(D255&lt;&gt;"",
OFFSET(数出表_Excel【15時】!$A$1,A255+3,D255-1),"")</f>
        <v/>
      </c>
      <c r="G255" t="str">
        <f ca="1">IF(D255&lt;&gt;"",
IF(AND(OFFSET(数出表_Excel【15時】!$A$1,A255+3,D255)&lt;&gt;"",OFFSET(数出表_Excel【15時】!$A$1,A255+3,D255)&lt;&gt;0),
OFFSET(数出表_Excel【15時】!$A$1,A255+3,D255),""),"")</f>
        <v/>
      </c>
      <c r="H255" s="209" t="str">
        <f t="array" aca="1" ref="H255" ca="1">IF(B255&lt;&gt;"",
IFERROR(MATCH(TRUE,ISNUMBER(INDIRECT("数出表_Excel【15時】!"&amp;SUBSTITUTE(ADDRESS(1,D255+2,4),"1","")&amp;(A255+4)&amp;":ZZ"&amp;(A255+4))),0)+D255+1,""),"")</f>
        <v/>
      </c>
      <c r="I255" t="str">
        <f ca="1">IF(H255&lt;&gt;"",
OFFSET(数出表_Excel【15時】!$A$1,2,H255-1)
&amp;IFERROR(OFFSET(数出表_Excel【15時】!$A$1,3,H255-1),"")
&amp;IFERROR(OFFSET(数出表_Excel【15時】!$A$1,4,H255-1),""),"")</f>
        <v/>
      </c>
      <c r="J255" t="str">
        <f ca="1">IF(H255&lt;&gt;"",
OFFSET(数出表_Excel【15時】!$A$1,A255+3,H255-1),"")</f>
        <v/>
      </c>
      <c r="K255" t="str">
        <f ca="1">IF(H255&lt;&gt;"",
IF(AND(OFFSET(数出表_Excel【15時】!$A$1,A255+3,H255)&lt;&gt;"",OFFSET(数出表_Excel【15時】!$A$1,A255+3,H255)&lt;&gt;0),
OFFSET(数出表_Excel【15時】!$A$1,A255+3,H255),""),"")</f>
        <v/>
      </c>
      <c r="L255" s="209" t="str">
        <f t="array" aca="1" ref="L255" ca="1">IF(B255&lt;&gt;"",
IFERROR(MATCH(TRUE,ISNUMBER(INDIRECT("数出表_Excel【15時】!"&amp;SUBSTITUTE(ADDRESS(1,H255+2,4),"1","")&amp;(A255+4)&amp;":ZZ"&amp;(A255+4))),0)+H255+1,""),"")</f>
        <v/>
      </c>
      <c r="M255" t="str">
        <f ca="1">IF(L255&lt;&gt;"",
OFFSET(数出表_Excel【15時】!$A$1,2,L255-1)
&amp;IFERROR(OFFSET(数出表_Excel【15時】!$A$1,3,L255-1),"")
&amp;IFERROR(OFFSET(数出表_Excel【15時】!$A$1,4,L255-1),""),"")</f>
        <v/>
      </c>
      <c r="N255" t="str">
        <f ca="1">IF(L255&lt;&gt;"",
OFFSET(数出表_Excel【15時】!$A$1,A255+3,L255-1),"")</f>
        <v/>
      </c>
      <c r="O255" t="str">
        <f ca="1">IF(L255&lt;&gt;"",
IF(AND(OFFSET(数出表_Excel【15時】!$A$1,A255+3,L255)&lt;&gt;"",OFFSET(数出表_Excel【15時】!$A$1,A255+3,L255)&lt;&gt;0),
OFFSET(数出表_Excel【15時】!$A$1,A255+3,L255),""),"")</f>
        <v/>
      </c>
    </row>
    <row r="256" spans="1:17">
      <c r="A256" t="str">
        <f t="shared" ca="1" si="3"/>
        <v/>
      </c>
      <c r="B256" t="str">
        <f t="array" aca="1" ref="B256" ca="1">IF(OR(COUNTIF(数出表_Excel【15時】!AO260,"*修正*"),COUNTIF(数出表_Excel【15時】!AO261,"*修正*")),
IF(ISEVEN(ROW()+4),INDIRECT("数出表_Excel【15時】!A"&amp;ROW()+4&amp;""),INDIRECT("数出表_Excel【15時】!A"&amp;ROW()+4-1&amp;"")),"")</f>
        <v/>
      </c>
      <c r="C256" t="str">
        <f t="array" aca="1" ref="C256" ca="1">IF(OR(COUNTIF(数出表_Excel【15時】!AO260,"*修正*"),COUNTIF(数出表_Excel【15時】!AO261,"*修正*")),
IF(ISEVEN(ROW()+4),INDIRECT("数出表_Excel【15時】!A"&amp;ROW()+4+1&amp;""),INDIRECT("数出表_Excel【15時】!A"&amp;ROW()+4&amp;"")),"")</f>
        <v/>
      </c>
      <c r="D256" s="209" t="str">
        <f t="array" aca="1" ref="D256" ca="1">IF(B256&lt;&gt;"",
IFERROR(MATCH(TRUE,ISNUMBER(INDIRECT("数出表_Excel【15時】!B"&amp;(A256+4)&amp;":ZZ"&amp;(A256+4))),0)+1,""),"")</f>
        <v/>
      </c>
      <c r="E256" t="str">
        <f ca="1">IF(D256&lt;&gt;"",
OFFSET(数出表_Excel【15時】!$A$1,2,D256-1)
&amp;IFERROR(OFFSET(数出表_Excel【15時】!$A$1,3,D256-1),"")
&amp;IFERROR(OFFSET(数出表_Excel【15時】!$A$1,4,D256-1),""),"")</f>
        <v/>
      </c>
      <c r="F256" t="str">
        <f ca="1">IF(D256&lt;&gt;"",
OFFSET(数出表_Excel【15時】!$A$1,A256+3,D256-1),"")</f>
        <v/>
      </c>
      <c r="G256" t="str">
        <f ca="1">IF(D256&lt;&gt;"",
IF(AND(OFFSET(数出表_Excel【15時】!$A$1,A256+3,D256)&lt;&gt;"",OFFSET(数出表_Excel【15時】!$A$1,A256+3,D256)&lt;&gt;0),
OFFSET(数出表_Excel【15時】!$A$1,A256+3,D256),""),"")</f>
        <v/>
      </c>
      <c r="H256" s="209" t="str">
        <f t="array" aca="1" ref="H256" ca="1">IF(B256&lt;&gt;"",
IFERROR(MATCH(TRUE,ISNUMBER(INDIRECT("数出表_Excel【15時】!"&amp;SUBSTITUTE(ADDRESS(1,D256+2,4),"1","")&amp;(A256+4)&amp;":ZZ"&amp;(A256+4))),0)+D256+1,""),"")</f>
        <v/>
      </c>
      <c r="I256" t="str">
        <f ca="1">IF(H256&lt;&gt;"",
OFFSET(数出表_Excel【15時】!$A$1,2,H256-1)
&amp;IFERROR(OFFSET(数出表_Excel【15時】!$A$1,3,H256-1),"")
&amp;IFERROR(OFFSET(数出表_Excel【15時】!$A$1,4,H256-1),""),"")</f>
        <v/>
      </c>
      <c r="J256" t="str">
        <f ca="1">IF(H256&lt;&gt;"",
OFFSET(数出表_Excel【15時】!$A$1,A256+3,H256-1),"")</f>
        <v/>
      </c>
      <c r="K256" t="str">
        <f ca="1">IF(H256&lt;&gt;"",
IF(AND(OFFSET(数出表_Excel【15時】!$A$1,A256+3,H256)&lt;&gt;"",OFFSET(数出表_Excel【15時】!$A$1,A256+3,H256)&lt;&gt;0),
OFFSET(数出表_Excel【15時】!$A$1,A256+3,H256),""),"")</f>
        <v/>
      </c>
      <c r="L256" s="209" t="str">
        <f t="array" aca="1" ref="L256" ca="1">IF(B256&lt;&gt;"",
IFERROR(MATCH(TRUE,ISNUMBER(INDIRECT("数出表_Excel【15時】!"&amp;SUBSTITUTE(ADDRESS(1,H256+2,4),"1","")&amp;(A256+4)&amp;":ZZ"&amp;(A256+4))),0)+H256+1,""),"")</f>
        <v/>
      </c>
      <c r="M256" t="str">
        <f ca="1">IF(L256&lt;&gt;"",
OFFSET(数出表_Excel【15時】!$A$1,2,L256-1)
&amp;IFERROR(OFFSET(数出表_Excel【15時】!$A$1,3,L256-1),"")
&amp;IFERROR(OFFSET(数出表_Excel【15時】!$A$1,4,L256-1),""),"")</f>
        <v/>
      </c>
      <c r="N256" t="str">
        <f ca="1">IF(L256&lt;&gt;"",
OFFSET(数出表_Excel【15時】!$A$1,A256+3,L256-1),"")</f>
        <v/>
      </c>
      <c r="O256" t="str">
        <f ca="1">IF(L256&lt;&gt;"",
IF(AND(OFFSET(数出表_Excel【15時】!$A$1,A256+3,L256)&lt;&gt;"",OFFSET(数出表_Excel【15時】!$A$1,A256+3,L256)&lt;&gt;0),
OFFSET(数出表_Excel【15時】!$A$1,A256+3,L256),""),"")</f>
        <v/>
      </c>
      <c r="Q256" t="str">
        <f ca="1">IF(C256&lt;&gt;"",
IF(E256&lt;&gt;"",1,0)+IF(I256&lt;&gt;"",1,0)+IF(M256&lt;&gt;"",1,0),"")</f>
        <v/>
      </c>
    </row>
    <row r="257" spans="1:17">
      <c r="A257" t="str">
        <f t="shared" ca="1" si="3"/>
        <v/>
      </c>
      <c r="B257" t="str">
        <f t="array" aca="1" ref="B257" ca="1">IF(OR(COUNTIF(数出表_Excel【15時】!AO260,"*修正*"),COUNTIF(数出表_Excel【15時】!AO261,"*修正*")),
IF(ISEVEN(ROW()+4),INDIRECT("数出表_Excel【15時】!A"&amp;ROW()+4&amp;""),INDIRECT("数出表_Excel【15時】!A"&amp;ROW()+4-1&amp;"")),"")</f>
        <v/>
      </c>
      <c r="C257" t="str">
        <f t="array" aca="1" ref="C257" ca="1">IF(OR(COUNTIF(数出表_Excel【15時】!AO260,"*修正*"),COUNTIF(数出表_Excel【15時】!AO261,"*修正*")),
IF(ISEVEN(ROW()+4),INDIRECT("数出表_Excel【15時】!A"&amp;ROW()+4+1&amp;""),INDIRECT("数出表_Excel【15時】!A"&amp;ROW()+4&amp;"")),"")</f>
        <v/>
      </c>
      <c r="D257" s="209" t="str">
        <f t="array" aca="1" ref="D257" ca="1">IF(B257&lt;&gt;"",
IFERROR(MATCH(TRUE,ISNUMBER(INDIRECT("数出表_Excel【15時】!B"&amp;(A257+4)&amp;":ZZ"&amp;(A257+4))),0)+1,""),"")</f>
        <v/>
      </c>
      <c r="E257" t="str">
        <f ca="1">IF(D257&lt;&gt;"",
OFFSET(数出表_Excel【15時】!$A$1,2,D257-1)
&amp;IFERROR(OFFSET(数出表_Excel【15時】!$A$1,3,D257-1),"")
&amp;IFERROR(OFFSET(数出表_Excel【15時】!$A$1,4,D257-1),""),"")</f>
        <v/>
      </c>
      <c r="F257" t="str">
        <f ca="1">IF(D257&lt;&gt;"",
OFFSET(数出表_Excel【15時】!$A$1,A257+3,D257-1),"")</f>
        <v/>
      </c>
      <c r="G257" t="str">
        <f ca="1">IF(D257&lt;&gt;"",
IF(AND(OFFSET(数出表_Excel【15時】!$A$1,A257+3,D257)&lt;&gt;"",OFFSET(数出表_Excel【15時】!$A$1,A257+3,D257)&lt;&gt;0),
OFFSET(数出表_Excel【15時】!$A$1,A257+3,D257),""),"")</f>
        <v/>
      </c>
      <c r="H257" s="209" t="str">
        <f t="array" aca="1" ref="H257" ca="1">IF(B257&lt;&gt;"",
IFERROR(MATCH(TRUE,ISNUMBER(INDIRECT("数出表_Excel【15時】!"&amp;SUBSTITUTE(ADDRESS(1,D257+2,4),"1","")&amp;(A257+4)&amp;":ZZ"&amp;(A257+4))),0)+D257+1,""),"")</f>
        <v/>
      </c>
      <c r="I257" t="str">
        <f ca="1">IF(H257&lt;&gt;"",
OFFSET(数出表_Excel【15時】!$A$1,2,H257-1)
&amp;IFERROR(OFFSET(数出表_Excel【15時】!$A$1,3,H257-1),"")
&amp;IFERROR(OFFSET(数出表_Excel【15時】!$A$1,4,H257-1),""),"")</f>
        <v/>
      </c>
      <c r="J257" t="str">
        <f ca="1">IF(H257&lt;&gt;"",
OFFSET(数出表_Excel【15時】!$A$1,A257+3,H257-1),"")</f>
        <v/>
      </c>
      <c r="K257" t="str">
        <f ca="1">IF(H257&lt;&gt;"",
IF(AND(OFFSET(数出表_Excel【15時】!$A$1,A257+3,H257)&lt;&gt;"",OFFSET(数出表_Excel【15時】!$A$1,A257+3,H257)&lt;&gt;0),
OFFSET(数出表_Excel【15時】!$A$1,A257+3,H257),""),"")</f>
        <v/>
      </c>
      <c r="L257" s="209" t="str">
        <f t="array" aca="1" ref="L257" ca="1">IF(B257&lt;&gt;"",
IFERROR(MATCH(TRUE,ISNUMBER(INDIRECT("数出表_Excel【15時】!"&amp;SUBSTITUTE(ADDRESS(1,H257+2,4),"1","")&amp;(A257+4)&amp;":ZZ"&amp;(A257+4))),0)+H257+1,""),"")</f>
        <v/>
      </c>
      <c r="M257" t="str">
        <f ca="1">IF(L257&lt;&gt;"",
OFFSET(数出表_Excel【15時】!$A$1,2,L257-1)
&amp;IFERROR(OFFSET(数出表_Excel【15時】!$A$1,3,L257-1),"")
&amp;IFERROR(OFFSET(数出表_Excel【15時】!$A$1,4,L257-1),""),"")</f>
        <v/>
      </c>
      <c r="N257" t="str">
        <f ca="1">IF(L257&lt;&gt;"",
OFFSET(数出表_Excel【15時】!$A$1,A257+3,L257-1),"")</f>
        <v/>
      </c>
      <c r="O257" t="str">
        <f ca="1">IF(L257&lt;&gt;"",
IF(AND(OFFSET(数出表_Excel【15時】!$A$1,A257+3,L257)&lt;&gt;"",OFFSET(数出表_Excel【15時】!$A$1,A257+3,L257)&lt;&gt;0),
OFFSET(数出表_Excel【15時】!$A$1,A257+3,L257),""),"")</f>
        <v/>
      </c>
    </row>
    <row r="258" spans="1:17">
      <c r="A258" t="str">
        <f t="shared" ref="A258:A321" ca="1" si="4">IF(B258&lt;&gt;"",
ROW(),"")</f>
        <v/>
      </c>
      <c r="B258" t="str">
        <f t="array" aca="1" ref="B258" ca="1">IF(OR(COUNTIF(数出表_Excel【15時】!AO262,"*修正*"),COUNTIF(数出表_Excel【15時】!AO263,"*修正*")),
IF(ISEVEN(ROW()+4),INDIRECT("数出表_Excel【15時】!A"&amp;ROW()+4&amp;""),INDIRECT("数出表_Excel【15時】!A"&amp;ROW()+4-1&amp;"")),"")</f>
        <v/>
      </c>
      <c r="C258" t="str">
        <f t="array" aca="1" ref="C258" ca="1">IF(OR(COUNTIF(数出表_Excel【15時】!AO262,"*修正*"),COUNTIF(数出表_Excel【15時】!AO263,"*修正*")),
IF(ISEVEN(ROW()+4),INDIRECT("数出表_Excel【15時】!A"&amp;ROW()+4+1&amp;""),INDIRECT("数出表_Excel【15時】!A"&amp;ROW()+4&amp;"")),"")</f>
        <v/>
      </c>
      <c r="D258" s="209" t="str">
        <f t="array" aca="1" ref="D258" ca="1">IF(B258&lt;&gt;"",
IFERROR(MATCH(TRUE,ISNUMBER(INDIRECT("数出表_Excel【15時】!B"&amp;(A258+4)&amp;":ZZ"&amp;(A258+4))),0)+1,""),"")</f>
        <v/>
      </c>
      <c r="E258" t="str">
        <f ca="1">IF(D258&lt;&gt;"",
OFFSET(数出表_Excel【15時】!$A$1,2,D258-1)
&amp;IFERROR(OFFSET(数出表_Excel【15時】!$A$1,3,D258-1),"")
&amp;IFERROR(OFFSET(数出表_Excel【15時】!$A$1,4,D258-1),""),"")</f>
        <v/>
      </c>
      <c r="F258" t="str">
        <f ca="1">IF(D258&lt;&gt;"",
OFFSET(数出表_Excel【15時】!$A$1,A258+3,D258-1),"")</f>
        <v/>
      </c>
      <c r="G258" t="str">
        <f ca="1">IF(D258&lt;&gt;"",
IF(AND(OFFSET(数出表_Excel【15時】!$A$1,A258+3,D258)&lt;&gt;"",OFFSET(数出表_Excel【15時】!$A$1,A258+3,D258)&lt;&gt;0),
OFFSET(数出表_Excel【15時】!$A$1,A258+3,D258),""),"")</f>
        <v/>
      </c>
      <c r="H258" s="209" t="str">
        <f t="array" aca="1" ref="H258" ca="1">IF(B258&lt;&gt;"",
IFERROR(MATCH(TRUE,ISNUMBER(INDIRECT("数出表_Excel【15時】!"&amp;SUBSTITUTE(ADDRESS(1,D258+2,4),"1","")&amp;(A258+4)&amp;":ZZ"&amp;(A258+4))),0)+D258+1,""),"")</f>
        <v/>
      </c>
      <c r="I258" t="str">
        <f ca="1">IF(H258&lt;&gt;"",
OFFSET(数出表_Excel【15時】!$A$1,2,H258-1)
&amp;IFERROR(OFFSET(数出表_Excel【15時】!$A$1,3,H258-1),"")
&amp;IFERROR(OFFSET(数出表_Excel【15時】!$A$1,4,H258-1),""),"")</f>
        <v/>
      </c>
      <c r="J258" t="str">
        <f ca="1">IF(H258&lt;&gt;"",
OFFSET(数出表_Excel【15時】!$A$1,A258+3,H258-1),"")</f>
        <v/>
      </c>
      <c r="K258" t="str">
        <f ca="1">IF(H258&lt;&gt;"",
IF(AND(OFFSET(数出表_Excel【15時】!$A$1,A258+3,H258)&lt;&gt;"",OFFSET(数出表_Excel【15時】!$A$1,A258+3,H258)&lt;&gt;0),
OFFSET(数出表_Excel【15時】!$A$1,A258+3,H258),""),"")</f>
        <v/>
      </c>
      <c r="L258" s="209" t="str">
        <f t="array" aca="1" ref="L258" ca="1">IF(B258&lt;&gt;"",
IFERROR(MATCH(TRUE,ISNUMBER(INDIRECT("数出表_Excel【15時】!"&amp;SUBSTITUTE(ADDRESS(1,H258+2,4),"1","")&amp;(A258+4)&amp;":ZZ"&amp;(A258+4))),0)+H258+1,""),"")</f>
        <v/>
      </c>
      <c r="M258" t="str">
        <f ca="1">IF(L258&lt;&gt;"",
OFFSET(数出表_Excel【15時】!$A$1,2,L258-1)
&amp;IFERROR(OFFSET(数出表_Excel【15時】!$A$1,3,L258-1),"")
&amp;IFERROR(OFFSET(数出表_Excel【15時】!$A$1,4,L258-1),""),"")</f>
        <v/>
      </c>
      <c r="N258" t="str">
        <f ca="1">IF(L258&lt;&gt;"",
OFFSET(数出表_Excel【15時】!$A$1,A258+3,L258-1),"")</f>
        <v/>
      </c>
      <c r="O258" t="str">
        <f ca="1">IF(L258&lt;&gt;"",
IF(AND(OFFSET(数出表_Excel【15時】!$A$1,A258+3,L258)&lt;&gt;"",OFFSET(数出表_Excel【15時】!$A$1,A258+3,L258)&lt;&gt;0),
OFFSET(数出表_Excel【15時】!$A$1,A258+3,L258),""),"")</f>
        <v/>
      </c>
      <c r="Q258" t="str">
        <f ca="1">IF(C258&lt;&gt;"",
IF(E258&lt;&gt;"",1,0)+IF(I258&lt;&gt;"",1,0)+IF(M258&lt;&gt;"",1,0),"")</f>
        <v/>
      </c>
    </row>
    <row r="259" spans="1:17">
      <c r="A259" t="str">
        <f t="shared" ca="1" si="4"/>
        <v/>
      </c>
      <c r="B259" t="str">
        <f t="array" aca="1" ref="B259" ca="1">IF(OR(COUNTIF(数出表_Excel【15時】!AO262,"*修正*"),COUNTIF(数出表_Excel【15時】!AO263,"*修正*")),
IF(ISEVEN(ROW()+4),INDIRECT("数出表_Excel【15時】!A"&amp;ROW()+4&amp;""),INDIRECT("数出表_Excel【15時】!A"&amp;ROW()+4-1&amp;"")),"")</f>
        <v/>
      </c>
      <c r="C259" t="str">
        <f t="array" aca="1" ref="C259" ca="1">IF(OR(COUNTIF(数出表_Excel【15時】!AO262,"*修正*"),COUNTIF(数出表_Excel【15時】!AO263,"*修正*")),
IF(ISEVEN(ROW()+4),INDIRECT("数出表_Excel【15時】!A"&amp;ROW()+4+1&amp;""),INDIRECT("数出表_Excel【15時】!A"&amp;ROW()+4&amp;"")),"")</f>
        <v/>
      </c>
      <c r="D259" s="209" t="str">
        <f t="array" aca="1" ref="D259" ca="1">IF(B259&lt;&gt;"",
IFERROR(MATCH(TRUE,ISNUMBER(INDIRECT("数出表_Excel【15時】!B"&amp;(A259+4)&amp;":ZZ"&amp;(A259+4))),0)+1,""),"")</f>
        <v/>
      </c>
      <c r="E259" t="str">
        <f ca="1">IF(D259&lt;&gt;"",
OFFSET(数出表_Excel【15時】!$A$1,2,D259-1)
&amp;IFERROR(OFFSET(数出表_Excel【15時】!$A$1,3,D259-1),"")
&amp;IFERROR(OFFSET(数出表_Excel【15時】!$A$1,4,D259-1),""),"")</f>
        <v/>
      </c>
      <c r="F259" t="str">
        <f ca="1">IF(D259&lt;&gt;"",
OFFSET(数出表_Excel【15時】!$A$1,A259+3,D259-1),"")</f>
        <v/>
      </c>
      <c r="G259" t="str">
        <f ca="1">IF(D259&lt;&gt;"",
IF(AND(OFFSET(数出表_Excel【15時】!$A$1,A259+3,D259)&lt;&gt;"",OFFSET(数出表_Excel【15時】!$A$1,A259+3,D259)&lt;&gt;0),
OFFSET(数出表_Excel【15時】!$A$1,A259+3,D259),""),"")</f>
        <v/>
      </c>
      <c r="H259" s="209" t="str">
        <f t="array" aca="1" ref="H259" ca="1">IF(B259&lt;&gt;"",
IFERROR(MATCH(TRUE,ISNUMBER(INDIRECT("数出表_Excel【15時】!"&amp;SUBSTITUTE(ADDRESS(1,D259+2,4),"1","")&amp;(A259+4)&amp;":ZZ"&amp;(A259+4))),0)+D259+1,""),"")</f>
        <v/>
      </c>
      <c r="I259" t="str">
        <f ca="1">IF(H259&lt;&gt;"",
OFFSET(数出表_Excel【15時】!$A$1,2,H259-1)
&amp;IFERROR(OFFSET(数出表_Excel【15時】!$A$1,3,H259-1),"")
&amp;IFERROR(OFFSET(数出表_Excel【15時】!$A$1,4,H259-1),""),"")</f>
        <v/>
      </c>
      <c r="J259" t="str">
        <f ca="1">IF(H259&lt;&gt;"",
OFFSET(数出表_Excel【15時】!$A$1,A259+3,H259-1),"")</f>
        <v/>
      </c>
      <c r="K259" t="str">
        <f ca="1">IF(H259&lt;&gt;"",
IF(AND(OFFSET(数出表_Excel【15時】!$A$1,A259+3,H259)&lt;&gt;"",OFFSET(数出表_Excel【15時】!$A$1,A259+3,H259)&lt;&gt;0),
OFFSET(数出表_Excel【15時】!$A$1,A259+3,H259),""),"")</f>
        <v/>
      </c>
      <c r="L259" s="209" t="str">
        <f t="array" aca="1" ref="L259" ca="1">IF(B259&lt;&gt;"",
IFERROR(MATCH(TRUE,ISNUMBER(INDIRECT("数出表_Excel【15時】!"&amp;SUBSTITUTE(ADDRESS(1,H259+2,4),"1","")&amp;(A259+4)&amp;":ZZ"&amp;(A259+4))),0)+H259+1,""),"")</f>
        <v/>
      </c>
      <c r="M259" t="str">
        <f ca="1">IF(L259&lt;&gt;"",
OFFSET(数出表_Excel【15時】!$A$1,2,L259-1)
&amp;IFERROR(OFFSET(数出表_Excel【15時】!$A$1,3,L259-1),"")
&amp;IFERROR(OFFSET(数出表_Excel【15時】!$A$1,4,L259-1),""),"")</f>
        <v/>
      </c>
      <c r="N259" t="str">
        <f ca="1">IF(L259&lt;&gt;"",
OFFSET(数出表_Excel【15時】!$A$1,A259+3,L259-1),"")</f>
        <v/>
      </c>
      <c r="O259" t="str">
        <f ca="1">IF(L259&lt;&gt;"",
IF(AND(OFFSET(数出表_Excel【15時】!$A$1,A259+3,L259)&lt;&gt;"",OFFSET(数出表_Excel【15時】!$A$1,A259+3,L259)&lt;&gt;0),
OFFSET(数出表_Excel【15時】!$A$1,A259+3,L259),""),"")</f>
        <v/>
      </c>
    </row>
    <row r="260" spans="1:17">
      <c r="A260" t="str">
        <f t="shared" ca="1" si="4"/>
        <v/>
      </c>
      <c r="B260" t="str">
        <f t="array" aca="1" ref="B260" ca="1">IF(OR(COUNTIF(数出表_Excel【15時】!AO264,"*修正*"),COUNTIF(数出表_Excel【15時】!AO265,"*修正*")),
IF(ISEVEN(ROW()+4),INDIRECT("数出表_Excel【15時】!A"&amp;ROW()+4&amp;""),INDIRECT("数出表_Excel【15時】!A"&amp;ROW()+4-1&amp;"")),"")</f>
        <v/>
      </c>
      <c r="C260" t="str">
        <f t="array" aca="1" ref="C260" ca="1">IF(OR(COUNTIF(数出表_Excel【15時】!AO264,"*修正*"),COUNTIF(数出表_Excel【15時】!AO265,"*修正*")),
IF(ISEVEN(ROW()+4),INDIRECT("数出表_Excel【15時】!A"&amp;ROW()+4+1&amp;""),INDIRECT("数出表_Excel【15時】!A"&amp;ROW()+4&amp;"")),"")</f>
        <v/>
      </c>
      <c r="D260" s="209" t="str">
        <f t="array" aca="1" ref="D260" ca="1">IF(B260&lt;&gt;"",
IFERROR(MATCH(TRUE,ISNUMBER(INDIRECT("数出表_Excel【15時】!B"&amp;(A260+4)&amp;":ZZ"&amp;(A260+4))),0)+1,""),"")</f>
        <v/>
      </c>
      <c r="E260" t="str">
        <f ca="1">IF(D260&lt;&gt;"",
OFFSET(数出表_Excel【15時】!$A$1,2,D260-1)
&amp;IFERROR(OFFSET(数出表_Excel【15時】!$A$1,3,D260-1),"")
&amp;IFERROR(OFFSET(数出表_Excel【15時】!$A$1,4,D260-1),""),"")</f>
        <v/>
      </c>
      <c r="F260" t="str">
        <f ca="1">IF(D260&lt;&gt;"",
OFFSET(数出表_Excel【15時】!$A$1,A260+3,D260-1),"")</f>
        <v/>
      </c>
      <c r="G260" t="str">
        <f ca="1">IF(D260&lt;&gt;"",
IF(AND(OFFSET(数出表_Excel【15時】!$A$1,A260+3,D260)&lt;&gt;"",OFFSET(数出表_Excel【15時】!$A$1,A260+3,D260)&lt;&gt;0),
OFFSET(数出表_Excel【15時】!$A$1,A260+3,D260),""),"")</f>
        <v/>
      </c>
      <c r="H260" s="209" t="str">
        <f t="array" aca="1" ref="H260" ca="1">IF(B260&lt;&gt;"",
IFERROR(MATCH(TRUE,ISNUMBER(INDIRECT("数出表_Excel【15時】!"&amp;SUBSTITUTE(ADDRESS(1,D260+2,4),"1","")&amp;(A260+4)&amp;":ZZ"&amp;(A260+4))),0)+D260+1,""),"")</f>
        <v/>
      </c>
      <c r="I260" t="str">
        <f ca="1">IF(H260&lt;&gt;"",
OFFSET(数出表_Excel【15時】!$A$1,2,H260-1)
&amp;IFERROR(OFFSET(数出表_Excel【15時】!$A$1,3,H260-1),"")
&amp;IFERROR(OFFSET(数出表_Excel【15時】!$A$1,4,H260-1),""),"")</f>
        <v/>
      </c>
      <c r="J260" t="str">
        <f ca="1">IF(H260&lt;&gt;"",
OFFSET(数出表_Excel【15時】!$A$1,A260+3,H260-1),"")</f>
        <v/>
      </c>
      <c r="K260" t="str">
        <f ca="1">IF(H260&lt;&gt;"",
IF(AND(OFFSET(数出表_Excel【15時】!$A$1,A260+3,H260)&lt;&gt;"",OFFSET(数出表_Excel【15時】!$A$1,A260+3,H260)&lt;&gt;0),
OFFSET(数出表_Excel【15時】!$A$1,A260+3,H260),""),"")</f>
        <v/>
      </c>
      <c r="L260" s="209" t="str">
        <f t="array" aca="1" ref="L260" ca="1">IF(B260&lt;&gt;"",
IFERROR(MATCH(TRUE,ISNUMBER(INDIRECT("数出表_Excel【15時】!"&amp;SUBSTITUTE(ADDRESS(1,H260+2,4),"1","")&amp;(A260+4)&amp;":ZZ"&amp;(A260+4))),0)+H260+1,""),"")</f>
        <v/>
      </c>
      <c r="M260" t="str">
        <f ca="1">IF(L260&lt;&gt;"",
OFFSET(数出表_Excel【15時】!$A$1,2,L260-1)
&amp;IFERROR(OFFSET(数出表_Excel【15時】!$A$1,3,L260-1),"")
&amp;IFERROR(OFFSET(数出表_Excel【15時】!$A$1,4,L260-1),""),"")</f>
        <v/>
      </c>
      <c r="N260" t="str">
        <f ca="1">IF(L260&lt;&gt;"",
OFFSET(数出表_Excel【15時】!$A$1,A260+3,L260-1),"")</f>
        <v/>
      </c>
      <c r="O260" t="str">
        <f ca="1">IF(L260&lt;&gt;"",
IF(AND(OFFSET(数出表_Excel【15時】!$A$1,A260+3,L260)&lt;&gt;"",OFFSET(数出表_Excel【15時】!$A$1,A260+3,L260)&lt;&gt;0),
OFFSET(数出表_Excel【15時】!$A$1,A260+3,L260),""),"")</f>
        <v/>
      </c>
      <c r="Q260" t="str">
        <f ca="1">IF(C260&lt;&gt;"",
IF(E260&lt;&gt;"",1,0)+IF(I260&lt;&gt;"",1,0)+IF(M260&lt;&gt;"",1,0),"")</f>
        <v/>
      </c>
    </row>
    <row r="261" spans="1:17">
      <c r="A261" t="str">
        <f t="shared" ca="1" si="4"/>
        <v/>
      </c>
      <c r="B261" t="str">
        <f t="array" aca="1" ref="B261" ca="1">IF(OR(COUNTIF(数出表_Excel【15時】!AO264,"*修正*"),COUNTIF(数出表_Excel【15時】!AO265,"*修正*")),
IF(ISEVEN(ROW()+4),INDIRECT("数出表_Excel【15時】!A"&amp;ROW()+4&amp;""),INDIRECT("数出表_Excel【15時】!A"&amp;ROW()+4-1&amp;"")),"")</f>
        <v/>
      </c>
      <c r="C261" t="str">
        <f t="array" aca="1" ref="C261" ca="1">IF(OR(COUNTIF(数出表_Excel【15時】!AO264,"*修正*"),COUNTIF(数出表_Excel【15時】!AO265,"*修正*")),
IF(ISEVEN(ROW()+4),INDIRECT("数出表_Excel【15時】!A"&amp;ROW()+4+1&amp;""),INDIRECT("数出表_Excel【15時】!A"&amp;ROW()+4&amp;"")),"")</f>
        <v/>
      </c>
      <c r="D261" s="209" t="str">
        <f t="array" aca="1" ref="D261" ca="1">IF(B261&lt;&gt;"",
IFERROR(MATCH(TRUE,ISNUMBER(INDIRECT("数出表_Excel【15時】!B"&amp;(A261+4)&amp;":ZZ"&amp;(A261+4))),0)+1,""),"")</f>
        <v/>
      </c>
      <c r="E261" t="str">
        <f ca="1">IF(D261&lt;&gt;"",
OFFSET(数出表_Excel【15時】!$A$1,2,D261-1)
&amp;IFERROR(OFFSET(数出表_Excel【15時】!$A$1,3,D261-1),"")
&amp;IFERROR(OFFSET(数出表_Excel【15時】!$A$1,4,D261-1),""),"")</f>
        <v/>
      </c>
      <c r="F261" t="str">
        <f ca="1">IF(D261&lt;&gt;"",
OFFSET(数出表_Excel【15時】!$A$1,A261+3,D261-1),"")</f>
        <v/>
      </c>
      <c r="G261" t="str">
        <f ca="1">IF(D261&lt;&gt;"",
IF(AND(OFFSET(数出表_Excel【15時】!$A$1,A261+3,D261)&lt;&gt;"",OFFSET(数出表_Excel【15時】!$A$1,A261+3,D261)&lt;&gt;0),
OFFSET(数出表_Excel【15時】!$A$1,A261+3,D261),""),"")</f>
        <v/>
      </c>
      <c r="H261" s="209" t="str">
        <f t="array" aca="1" ref="H261" ca="1">IF(B261&lt;&gt;"",
IFERROR(MATCH(TRUE,ISNUMBER(INDIRECT("数出表_Excel【15時】!"&amp;SUBSTITUTE(ADDRESS(1,D261+2,4),"1","")&amp;(A261+4)&amp;":ZZ"&amp;(A261+4))),0)+D261+1,""),"")</f>
        <v/>
      </c>
      <c r="I261" t="str">
        <f ca="1">IF(H261&lt;&gt;"",
OFFSET(数出表_Excel【15時】!$A$1,2,H261-1)
&amp;IFERROR(OFFSET(数出表_Excel【15時】!$A$1,3,H261-1),"")
&amp;IFERROR(OFFSET(数出表_Excel【15時】!$A$1,4,H261-1),""),"")</f>
        <v/>
      </c>
      <c r="J261" t="str">
        <f ca="1">IF(H261&lt;&gt;"",
OFFSET(数出表_Excel【15時】!$A$1,A261+3,H261-1),"")</f>
        <v/>
      </c>
      <c r="K261" t="str">
        <f ca="1">IF(H261&lt;&gt;"",
IF(AND(OFFSET(数出表_Excel【15時】!$A$1,A261+3,H261)&lt;&gt;"",OFFSET(数出表_Excel【15時】!$A$1,A261+3,H261)&lt;&gt;0),
OFFSET(数出表_Excel【15時】!$A$1,A261+3,H261),""),"")</f>
        <v/>
      </c>
      <c r="L261" s="209" t="str">
        <f t="array" aca="1" ref="L261" ca="1">IF(B261&lt;&gt;"",
IFERROR(MATCH(TRUE,ISNUMBER(INDIRECT("数出表_Excel【15時】!"&amp;SUBSTITUTE(ADDRESS(1,H261+2,4),"1","")&amp;(A261+4)&amp;":ZZ"&amp;(A261+4))),0)+H261+1,""),"")</f>
        <v/>
      </c>
      <c r="M261" t="str">
        <f ca="1">IF(L261&lt;&gt;"",
OFFSET(数出表_Excel【15時】!$A$1,2,L261-1)
&amp;IFERROR(OFFSET(数出表_Excel【15時】!$A$1,3,L261-1),"")
&amp;IFERROR(OFFSET(数出表_Excel【15時】!$A$1,4,L261-1),""),"")</f>
        <v/>
      </c>
      <c r="N261" t="str">
        <f ca="1">IF(L261&lt;&gt;"",
OFFSET(数出表_Excel【15時】!$A$1,A261+3,L261-1),"")</f>
        <v/>
      </c>
      <c r="O261" t="str">
        <f ca="1">IF(L261&lt;&gt;"",
IF(AND(OFFSET(数出表_Excel【15時】!$A$1,A261+3,L261)&lt;&gt;"",OFFSET(数出表_Excel【15時】!$A$1,A261+3,L261)&lt;&gt;0),
OFFSET(数出表_Excel【15時】!$A$1,A261+3,L261),""),"")</f>
        <v/>
      </c>
    </row>
    <row r="262" spans="1:17">
      <c r="A262" t="str">
        <f t="shared" ca="1" si="4"/>
        <v/>
      </c>
      <c r="B262" t="str">
        <f t="array" aca="1" ref="B262" ca="1">IF(OR(COUNTIF(数出表_Excel【15時】!AO266,"*修正*"),COUNTIF(数出表_Excel【15時】!AO267,"*修正*")),
IF(ISEVEN(ROW()+4),INDIRECT("数出表_Excel【15時】!A"&amp;ROW()+4&amp;""),INDIRECT("数出表_Excel【15時】!A"&amp;ROW()+4-1&amp;"")),"")</f>
        <v/>
      </c>
      <c r="C262" t="str">
        <f t="array" aca="1" ref="C262" ca="1">IF(OR(COUNTIF(数出表_Excel【15時】!AO266,"*修正*"),COUNTIF(数出表_Excel【15時】!AO267,"*修正*")),
IF(ISEVEN(ROW()+4),INDIRECT("数出表_Excel【15時】!A"&amp;ROW()+4+1&amp;""),INDIRECT("数出表_Excel【15時】!A"&amp;ROW()+4&amp;"")),"")</f>
        <v/>
      </c>
      <c r="D262" s="209" t="str">
        <f t="array" aca="1" ref="D262" ca="1">IF(B262&lt;&gt;"",
IFERROR(MATCH(TRUE,ISNUMBER(INDIRECT("数出表_Excel【15時】!B"&amp;(A262+4)&amp;":ZZ"&amp;(A262+4))),0)+1,""),"")</f>
        <v/>
      </c>
      <c r="E262" t="str">
        <f ca="1">IF(D262&lt;&gt;"",
OFFSET(数出表_Excel【15時】!$A$1,2,D262-1)
&amp;IFERROR(OFFSET(数出表_Excel【15時】!$A$1,3,D262-1),"")
&amp;IFERROR(OFFSET(数出表_Excel【15時】!$A$1,4,D262-1),""),"")</f>
        <v/>
      </c>
      <c r="F262" t="str">
        <f ca="1">IF(D262&lt;&gt;"",
OFFSET(数出表_Excel【15時】!$A$1,A262+3,D262-1),"")</f>
        <v/>
      </c>
      <c r="G262" t="str">
        <f ca="1">IF(D262&lt;&gt;"",
IF(AND(OFFSET(数出表_Excel【15時】!$A$1,A262+3,D262)&lt;&gt;"",OFFSET(数出表_Excel【15時】!$A$1,A262+3,D262)&lt;&gt;0),
OFFSET(数出表_Excel【15時】!$A$1,A262+3,D262),""),"")</f>
        <v/>
      </c>
      <c r="H262" s="209" t="str">
        <f t="array" aca="1" ref="H262" ca="1">IF(B262&lt;&gt;"",
IFERROR(MATCH(TRUE,ISNUMBER(INDIRECT("数出表_Excel【15時】!"&amp;SUBSTITUTE(ADDRESS(1,D262+2,4),"1","")&amp;(A262+4)&amp;":ZZ"&amp;(A262+4))),0)+D262+1,""),"")</f>
        <v/>
      </c>
      <c r="I262" t="str">
        <f ca="1">IF(H262&lt;&gt;"",
OFFSET(数出表_Excel【15時】!$A$1,2,H262-1)
&amp;IFERROR(OFFSET(数出表_Excel【15時】!$A$1,3,H262-1),"")
&amp;IFERROR(OFFSET(数出表_Excel【15時】!$A$1,4,H262-1),""),"")</f>
        <v/>
      </c>
      <c r="J262" t="str">
        <f ca="1">IF(H262&lt;&gt;"",
OFFSET(数出表_Excel【15時】!$A$1,A262+3,H262-1),"")</f>
        <v/>
      </c>
      <c r="K262" t="str">
        <f ca="1">IF(H262&lt;&gt;"",
IF(AND(OFFSET(数出表_Excel【15時】!$A$1,A262+3,H262)&lt;&gt;"",OFFSET(数出表_Excel【15時】!$A$1,A262+3,H262)&lt;&gt;0),
OFFSET(数出表_Excel【15時】!$A$1,A262+3,H262),""),"")</f>
        <v/>
      </c>
      <c r="L262" s="209" t="str">
        <f t="array" aca="1" ref="L262" ca="1">IF(B262&lt;&gt;"",
IFERROR(MATCH(TRUE,ISNUMBER(INDIRECT("数出表_Excel【15時】!"&amp;SUBSTITUTE(ADDRESS(1,H262+2,4),"1","")&amp;(A262+4)&amp;":ZZ"&amp;(A262+4))),0)+H262+1,""),"")</f>
        <v/>
      </c>
      <c r="M262" t="str">
        <f ca="1">IF(L262&lt;&gt;"",
OFFSET(数出表_Excel【15時】!$A$1,2,L262-1)
&amp;IFERROR(OFFSET(数出表_Excel【15時】!$A$1,3,L262-1),"")
&amp;IFERROR(OFFSET(数出表_Excel【15時】!$A$1,4,L262-1),""),"")</f>
        <v/>
      </c>
      <c r="N262" t="str">
        <f ca="1">IF(L262&lt;&gt;"",
OFFSET(数出表_Excel【15時】!$A$1,A262+3,L262-1),"")</f>
        <v/>
      </c>
      <c r="O262" t="str">
        <f ca="1">IF(L262&lt;&gt;"",
IF(AND(OFFSET(数出表_Excel【15時】!$A$1,A262+3,L262)&lt;&gt;"",OFFSET(数出表_Excel【15時】!$A$1,A262+3,L262)&lt;&gt;0),
OFFSET(数出表_Excel【15時】!$A$1,A262+3,L262),""),"")</f>
        <v/>
      </c>
      <c r="Q262" t="str">
        <f ca="1">IF(C262&lt;&gt;"",
IF(E262&lt;&gt;"",1,0)+IF(I262&lt;&gt;"",1,0)+IF(M262&lt;&gt;"",1,0),"")</f>
        <v/>
      </c>
    </row>
    <row r="263" spans="1:17">
      <c r="A263" t="str">
        <f t="shared" ca="1" si="4"/>
        <v/>
      </c>
      <c r="B263" t="str">
        <f t="array" aca="1" ref="B263" ca="1">IF(OR(COUNTIF(数出表_Excel【15時】!AO266,"*修正*"),COUNTIF(数出表_Excel【15時】!AO267,"*修正*")),
IF(ISEVEN(ROW()+4),INDIRECT("数出表_Excel【15時】!A"&amp;ROW()+4&amp;""),INDIRECT("数出表_Excel【15時】!A"&amp;ROW()+4-1&amp;"")),"")</f>
        <v/>
      </c>
      <c r="C263" t="str">
        <f t="array" aca="1" ref="C263" ca="1">IF(OR(COUNTIF(数出表_Excel【15時】!AO266,"*修正*"),COUNTIF(数出表_Excel【15時】!AO267,"*修正*")),
IF(ISEVEN(ROW()+4),INDIRECT("数出表_Excel【15時】!A"&amp;ROW()+4+1&amp;""),INDIRECT("数出表_Excel【15時】!A"&amp;ROW()+4&amp;"")),"")</f>
        <v/>
      </c>
      <c r="D263" s="209" t="str">
        <f t="array" aca="1" ref="D263" ca="1">IF(B263&lt;&gt;"",
IFERROR(MATCH(TRUE,ISNUMBER(INDIRECT("数出表_Excel【15時】!B"&amp;(A263+4)&amp;":ZZ"&amp;(A263+4))),0)+1,""),"")</f>
        <v/>
      </c>
      <c r="E263" t="str">
        <f ca="1">IF(D263&lt;&gt;"",
OFFSET(数出表_Excel【15時】!$A$1,2,D263-1)
&amp;IFERROR(OFFSET(数出表_Excel【15時】!$A$1,3,D263-1),"")
&amp;IFERROR(OFFSET(数出表_Excel【15時】!$A$1,4,D263-1),""),"")</f>
        <v/>
      </c>
      <c r="F263" t="str">
        <f ca="1">IF(D263&lt;&gt;"",
OFFSET(数出表_Excel【15時】!$A$1,A263+3,D263-1),"")</f>
        <v/>
      </c>
      <c r="G263" t="str">
        <f ca="1">IF(D263&lt;&gt;"",
IF(AND(OFFSET(数出表_Excel【15時】!$A$1,A263+3,D263)&lt;&gt;"",OFFSET(数出表_Excel【15時】!$A$1,A263+3,D263)&lt;&gt;0),
OFFSET(数出表_Excel【15時】!$A$1,A263+3,D263),""),"")</f>
        <v/>
      </c>
      <c r="H263" s="209" t="str">
        <f t="array" aca="1" ref="H263" ca="1">IF(B263&lt;&gt;"",
IFERROR(MATCH(TRUE,ISNUMBER(INDIRECT("数出表_Excel【15時】!"&amp;SUBSTITUTE(ADDRESS(1,D263+2,4),"1","")&amp;(A263+4)&amp;":ZZ"&amp;(A263+4))),0)+D263+1,""),"")</f>
        <v/>
      </c>
      <c r="I263" t="str">
        <f ca="1">IF(H263&lt;&gt;"",
OFFSET(数出表_Excel【15時】!$A$1,2,H263-1)
&amp;IFERROR(OFFSET(数出表_Excel【15時】!$A$1,3,H263-1),"")
&amp;IFERROR(OFFSET(数出表_Excel【15時】!$A$1,4,H263-1),""),"")</f>
        <v/>
      </c>
      <c r="J263" t="str">
        <f ca="1">IF(H263&lt;&gt;"",
OFFSET(数出表_Excel【15時】!$A$1,A263+3,H263-1),"")</f>
        <v/>
      </c>
      <c r="K263" t="str">
        <f ca="1">IF(H263&lt;&gt;"",
IF(AND(OFFSET(数出表_Excel【15時】!$A$1,A263+3,H263)&lt;&gt;"",OFFSET(数出表_Excel【15時】!$A$1,A263+3,H263)&lt;&gt;0),
OFFSET(数出表_Excel【15時】!$A$1,A263+3,H263),""),"")</f>
        <v/>
      </c>
      <c r="L263" s="209" t="str">
        <f t="array" aca="1" ref="L263" ca="1">IF(B263&lt;&gt;"",
IFERROR(MATCH(TRUE,ISNUMBER(INDIRECT("数出表_Excel【15時】!"&amp;SUBSTITUTE(ADDRESS(1,H263+2,4),"1","")&amp;(A263+4)&amp;":ZZ"&amp;(A263+4))),0)+H263+1,""),"")</f>
        <v/>
      </c>
      <c r="M263" t="str">
        <f ca="1">IF(L263&lt;&gt;"",
OFFSET(数出表_Excel【15時】!$A$1,2,L263-1)
&amp;IFERROR(OFFSET(数出表_Excel【15時】!$A$1,3,L263-1),"")
&amp;IFERROR(OFFSET(数出表_Excel【15時】!$A$1,4,L263-1),""),"")</f>
        <v/>
      </c>
      <c r="N263" t="str">
        <f ca="1">IF(L263&lt;&gt;"",
OFFSET(数出表_Excel【15時】!$A$1,A263+3,L263-1),"")</f>
        <v/>
      </c>
      <c r="O263" t="str">
        <f ca="1">IF(L263&lt;&gt;"",
IF(AND(OFFSET(数出表_Excel【15時】!$A$1,A263+3,L263)&lt;&gt;"",OFFSET(数出表_Excel【15時】!$A$1,A263+3,L263)&lt;&gt;0),
OFFSET(数出表_Excel【15時】!$A$1,A263+3,L263),""),"")</f>
        <v/>
      </c>
    </row>
    <row r="264" spans="1:17">
      <c r="A264" t="str">
        <f t="shared" ca="1" si="4"/>
        <v/>
      </c>
      <c r="B264" t="str">
        <f t="array" aca="1" ref="B264" ca="1">IF(OR(COUNTIF(数出表_Excel【15時】!AO268,"*修正*"),COUNTIF(数出表_Excel【15時】!AO269,"*修正*")),
IF(ISEVEN(ROW()+4),INDIRECT("数出表_Excel【15時】!A"&amp;ROW()+4&amp;""),INDIRECT("数出表_Excel【15時】!A"&amp;ROW()+4-1&amp;"")),"")</f>
        <v/>
      </c>
      <c r="C264" t="str">
        <f t="array" aca="1" ref="C264" ca="1">IF(OR(COUNTIF(数出表_Excel【15時】!AO268,"*修正*"),COUNTIF(数出表_Excel【15時】!AO269,"*修正*")),
IF(ISEVEN(ROW()+4),INDIRECT("数出表_Excel【15時】!A"&amp;ROW()+4+1&amp;""),INDIRECT("数出表_Excel【15時】!A"&amp;ROW()+4&amp;"")),"")</f>
        <v/>
      </c>
      <c r="D264" s="209" t="str">
        <f t="array" aca="1" ref="D264" ca="1">IF(B264&lt;&gt;"",
IFERROR(MATCH(TRUE,ISNUMBER(INDIRECT("数出表_Excel【15時】!B"&amp;(A264+4)&amp;":ZZ"&amp;(A264+4))),0)+1,""),"")</f>
        <v/>
      </c>
      <c r="E264" t="str">
        <f ca="1">IF(D264&lt;&gt;"",
OFFSET(数出表_Excel【15時】!$A$1,2,D264-1)
&amp;IFERROR(OFFSET(数出表_Excel【15時】!$A$1,3,D264-1),"")
&amp;IFERROR(OFFSET(数出表_Excel【15時】!$A$1,4,D264-1),""),"")</f>
        <v/>
      </c>
      <c r="F264" t="str">
        <f ca="1">IF(D264&lt;&gt;"",
OFFSET(数出表_Excel【15時】!$A$1,A264+3,D264-1),"")</f>
        <v/>
      </c>
      <c r="G264" t="str">
        <f ca="1">IF(D264&lt;&gt;"",
IF(AND(OFFSET(数出表_Excel【15時】!$A$1,A264+3,D264)&lt;&gt;"",OFFSET(数出表_Excel【15時】!$A$1,A264+3,D264)&lt;&gt;0),
OFFSET(数出表_Excel【15時】!$A$1,A264+3,D264),""),"")</f>
        <v/>
      </c>
      <c r="H264" s="209" t="str">
        <f t="array" aca="1" ref="H264" ca="1">IF(B264&lt;&gt;"",
IFERROR(MATCH(TRUE,ISNUMBER(INDIRECT("数出表_Excel【15時】!"&amp;SUBSTITUTE(ADDRESS(1,D264+2,4),"1","")&amp;(A264+4)&amp;":ZZ"&amp;(A264+4))),0)+D264+1,""),"")</f>
        <v/>
      </c>
      <c r="I264" t="str">
        <f ca="1">IF(H264&lt;&gt;"",
OFFSET(数出表_Excel【15時】!$A$1,2,H264-1)
&amp;IFERROR(OFFSET(数出表_Excel【15時】!$A$1,3,H264-1),"")
&amp;IFERROR(OFFSET(数出表_Excel【15時】!$A$1,4,H264-1),""),"")</f>
        <v/>
      </c>
      <c r="J264" t="str">
        <f ca="1">IF(H264&lt;&gt;"",
OFFSET(数出表_Excel【15時】!$A$1,A264+3,H264-1),"")</f>
        <v/>
      </c>
      <c r="K264" t="str">
        <f ca="1">IF(H264&lt;&gt;"",
IF(AND(OFFSET(数出表_Excel【15時】!$A$1,A264+3,H264)&lt;&gt;"",OFFSET(数出表_Excel【15時】!$A$1,A264+3,H264)&lt;&gt;0),
OFFSET(数出表_Excel【15時】!$A$1,A264+3,H264),""),"")</f>
        <v/>
      </c>
      <c r="L264" s="209" t="str">
        <f t="array" aca="1" ref="L264" ca="1">IF(B264&lt;&gt;"",
IFERROR(MATCH(TRUE,ISNUMBER(INDIRECT("数出表_Excel【15時】!"&amp;SUBSTITUTE(ADDRESS(1,H264+2,4),"1","")&amp;(A264+4)&amp;":ZZ"&amp;(A264+4))),0)+H264+1,""),"")</f>
        <v/>
      </c>
      <c r="M264" t="str">
        <f ca="1">IF(L264&lt;&gt;"",
OFFSET(数出表_Excel【15時】!$A$1,2,L264-1)
&amp;IFERROR(OFFSET(数出表_Excel【15時】!$A$1,3,L264-1),"")
&amp;IFERROR(OFFSET(数出表_Excel【15時】!$A$1,4,L264-1),""),"")</f>
        <v/>
      </c>
      <c r="N264" t="str">
        <f ca="1">IF(L264&lt;&gt;"",
OFFSET(数出表_Excel【15時】!$A$1,A264+3,L264-1),"")</f>
        <v/>
      </c>
      <c r="O264" t="str">
        <f ca="1">IF(L264&lt;&gt;"",
IF(AND(OFFSET(数出表_Excel【15時】!$A$1,A264+3,L264)&lt;&gt;"",OFFSET(数出表_Excel【15時】!$A$1,A264+3,L264)&lt;&gt;0),
OFFSET(数出表_Excel【15時】!$A$1,A264+3,L264),""),"")</f>
        <v/>
      </c>
      <c r="Q264" t="str">
        <f ca="1">IF(C264&lt;&gt;"",
IF(E264&lt;&gt;"",1,0)+IF(I264&lt;&gt;"",1,0)+IF(M264&lt;&gt;"",1,0),"")</f>
        <v/>
      </c>
    </row>
    <row r="265" spans="1:17">
      <c r="A265" t="str">
        <f t="shared" ca="1" si="4"/>
        <v/>
      </c>
      <c r="B265" t="str">
        <f t="array" aca="1" ref="B265" ca="1">IF(OR(COUNTIF(数出表_Excel【15時】!AO268,"*修正*"),COUNTIF(数出表_Excel【15時】!AO269,"*修正*")),
IF(ISEVEN(ROW()+4),INDIRECT("数出表_Excel【15時】!A"&amp;ROW()+4&amp;""),INDIRECT("数出表_Excel【15時】!A"&amp;ROW()+4-1&amp;"")),"")</f>
        <v/>
      </c>
      <c r="C265" t="str">
        <f t="array" aca="1" ref="C265" ca="1">IF(OR(COUNTIF(数出表_Excel【15時】!AO268,"*修正*"),COUNTIF(数出表_Excel【15時】!AO269,"*修正*")),
IF(ISEVEN(ROW()+4),INDIRECT("数出表_Excel【15時】!A"&amp;ROW()+4+1&amp;""),INDIRECT("数出表_Excel【15時】!A"&amp;ROW()+4&amp;"")),"")</f>
        <v/>
      </c>
      <c r="D265" s="209" t="str">
        <f t="array" aca="1" ref="D265" ca="1">IF(B265&lt;&gt;"",
IFERROR(MATCH(TRUE,ISNUMBER(INDIRECT("数出表_Excel【15時】!B"&amp;(A265+4)&amp;":ZZ"&amp;(A265+4))),0)+1,""),"")</f>
        <v/>
      </c>
      <c r="E265" t="str">
        <f ca="1">IF(D265&lt;&gt;"",
OFFSET(数出表_Excel【15時】!$A$1,2,D265-1)
&amp;IFERROR(OFFSET(数出表_Excel【15時】!$A$1,3,D265-1),"")
&amp;IFERROR(OFFSET(数出表_Excel【15時】!$A$1,4,D265-1),""),"")</f>
        <v/>
      </c>
      <c r="F265" t="str">
        <f ca="1">IF(D265&lt;&gt;"",
OFFSET(数出表_Excel【15時】!$A$1,A265+3,D265-1),"")</f>
        <v/>
      </c>
      <c r="G265" t="str">
        <f ca="1">IF(D265&lt;&gt;"",
IF(AND(OFFSET(数出表_Excel【15時】!$A$1,A265+3,D265)&lt;&gt;"",OFFSET(数出表_Excel【15時】!$A$1,A265+3,D265)&lt;&gt;0),
OFFSET(数出表_Excel【15時】!$A$1,A265+3,D265),""),"")</f>
        <v/>
      </c>
      <c r="H265" s="209" t="str">
        <f t="array" aca="1" ref="H265" ca="1">IF(B265&lt;&gt;"",
IFERROR(MATCH(TRUE,ISNUMBER(INDIRECT("数出表_Excel【15時】!"&amp;SUBSTITUTE(ADDRESS(1,D265+2,4),"1","")&amp;(A265+4)&amp;":ZZ"&amp;(A265+4))),0)+D265+1,""),"")</f>
        <v/>
      </c>
      <c r="I265" t="str">
        <f ca="1">IF(H265&lt;&gt;"",
OFFSET(数出表_Excel【15時】!$A$1,2,H265-1)
&amp;IFERROR(OFFSET(数出表_Excel【15時】!$A$1,3,H265-1),"")
&amp;IFERROR(OFFSET(数出表_Excel【15時】!$A$1,4,H265-1),""),"")</f>
        <v/>
      </c>
      <c r="J265" t="str">
        <f ca="1">IF(H265&lt;&gt;"",
OFFSET(数出表_Excel【15時】!$A$1,A265+3,H265-1),"")</f>
        <v/>
      </c>
      <c r="K265" t="str">
        <f ca="1">IF(H265&lt;&gt;"",
IF(AND(OFFSET(数出表_Excel【15時】!$A$1,A265+3,H265)&lt;&gt;"",OFFSET(数出表_Excel【15時】!$A$1,A265+3,H265)&lt;&gt;0),
OFFSET(数出表_Excel【15時】!$A$1,A265+3,H265),""),"")</f>
        <v/>
      </c>
      <c r="L265" s="209" t="str">
        <f t="array" aca="1" ref="L265" ca="1">IF(B265&lt;&gt;"",
IFERROR(MATCH(TRUE,ISNUMBER(INDIRECT("数出表_Excel【15時】!"&amp;SUBSTITUTE(ADDRESS(1,H265+2,4),"1","")&amp;(A265+4)&amp;":ZZ"&amp;(A265+4))),0)+H265+1,""),"")</f>
        <v/>
      </c>
      <c r="M265" t="str">
        <f ca="1">IF(L265&lt;&gt;"",
OFFSET(数出表_Excel【15時】!$A$1,2,L265-1)
&amp;IFERROR(OFFSET(数出表_Excel【15時】!$A$1,3,L265-1),"")
&amp;IFERROR(OFFSET(数出表_Excel【15時】!$A$1,4,L265-1),""),"")</f>
        <v/>
      </c>
      <c r="N265" t="str">
        <f ca="1">IF(L265&lt;&gt;"",
OFFSET(数出表_Excel【15時】!$A$1,A265+3,L265-1),"")</f>
        <v/>
      </c>
      <c r="O265" t="str">
        <f ca="1">IF(L265&lt;&gt;"",
IF(AND(OFFSET(数出表_Excel【15時】!$A$1,A265+3,L265)&lt;&gt;"",OFFSET(数出表_Excel【15時】!$A$1,A265+3,L265)&lt;&gt;0),
OFFSET(数出表_Excel【15時】!$A$1,A265+3,L265),""),"")</f>
        <v/>
      </c>
    </row>
    <row r="266" spans="1:17">
      <c r="A266" t="str">
        <f t="shared" ca="1" si="4"/>
        <v/>
      </c>
      <c r="B266" t="str">
        <f t="array" aca="1" ref="B266" ca="1">IF(OR(COUNTIF(数出表_Excel【15時】!AO270,"*修正*"),COUNTIF(数出表_Excel【15時】!AO271,"*修正*")),
IF(ISEVEN(ROW()+4),INDIRECT("数出表_Excel【15時】!A"&amp;ROW()+4&amp;""),INDIRECT("数出表_Excel【15時】!A"&amp;ROW()+4-1&amp;"")),"")</f>
        <v/>
      </c>
      <c r="C266" t="str">
        <f t="array" aca="1" ref="C266" ca="1">IF(OR(COUNTIF(数出表_Excel【15時】!AO270,"*修正*"),COUNTIF(数出表_Excel【15時】!AO271,"*修正*")),
IF(ISEVEN(ROW()+4),INDIRECT("数出表_Excel【15時】!A"&amp;ROW()+4+1&amp;""),INDIRECT("数出表_Excel【15時】!A"&amp;ROW()+4&amp;"")),"")</f>
        <v/>
      </c>
      <c r="D266" s="209" t="str">
        <f t="array" aca="1" ref="D266" ca="1">IF(B266&lt;&gt;"",
IFERROR(MATCH(TRUE,ISNUMBER(INDIRECT("数出表_Excel【15時】!B"&amp;(A266+4)&amp;":ZZ"&amp;(A266+4))),0)+1,""),"")</f>
        <v/>
      </c>
      <c r="E266" t="str">
        <f ca="1">IF(D266&lt;&gt;"",
OFFSET(数出表_Excel【15時】!$A$1,2,D266-1)
&amp;IFERROR(OFFSET(数出表_Excel【15時】!$A$1,3,D266-1),"")
&amp;IFERROR(OFFSET(数出表_Excel【15時】!$A$1,4,D266-1),""),"")</f>
        <v/>
      </c>
      <c r="F266" t="str">
        <f ca="1">IF(D266&lt;&gt;"",
OFFSET(数出表_Excel【15時】!$A$1,A266+3,D266-1),"")</f>
        <v/>
      </c>
      <c r="G266" t="str">
        <f ca="1">IF(D266&lt;&gt;"",
IF(AND(OFFSET(数出表_Excel【15時】!$A$1,A266+3,D266)&lt;&gt;"",OFFSET(数出表_Excel【15時】!$A$1,A266+3,D266)&lt;&gt;0),
OFFSET(数出表_Excel【15時】!$A$1,A266+3,D266),""),"")</f>
        <v/>
      </c>
      <c r="H266" s="209" t="str">
        <f t="array" aca="1" ref="H266" ca="1">IF(B266&lt;&gt;"",
IFERROR(MATCH(TRUE,ISNUMBER(INDIRECT("数出表_Excel【15時】!"&amp;SUBSTITUTE(ADDRESS(1,D266+2,4),"1","")&amp;(A266+4)&amp;":ZZ"&amp;(A266+4))),0)+D266+1,""),"")</f>
        <v/>
      </c>
      <c r="I266" t="str">
        <f ca="1">IF(H266&lt;&gt;"",
OFFSET(数出表_Excel【15時】!$A$1,2,H266-1)
&amp;IFERROR(OFFSET(数出表_Excel【15時】!$A$1,3,H266-1),"")
&amp;IFERROR(OFFSET(数出表_Excel【15時】!$A$1,4,H266-1),""),"")</f>
        <v/>
      </c>
      <c r="J266" t="str">
        <f ca="1">IF(H266&lt;&gt;"",
OFFSET(数出表_Excel【15時】!$A$1,A266+3,H266-1),"")</f>
        <v/>
      </c>
      <c r="K266" t="str">
        <f ca="1">IF(H266&lt;&gt;"",
IF(AND(OFFSET(数出表_Excel【15時】!$A$1,A266+3,H266)&lt;&gt;"",OFFSET(数出表_Excel【15時】!$A$1,A266+3,H266)&lt;&gt;0),
OFFSET(数出表_Excel【15時】!$A$1,A266+3,H266),""),"")</f>
        <v/>
      </c>
      <c r="L266" s="209" t="str">
        <f t="array" aca="1" ref="L266" ca="1">IF(B266&lt;&gt;"",
IFERROR(MATCH(TRUE,ISNUMBER(INDIRECT("数出表_Excel【15時】!"&amp;SUBSTITUTE(ADDRESS(1,H266+2,4),"1","")&amp;(A266+4)&amp;":ZZ"&amp;(A266+4))),0)+H266+1,""),"")</f>
        <v/>
      </c>
      <c r="M266" t="str">
        <f ca="1">IF(L266&lt;&gt;"",
OFFSET(数出表_Excel【15時】!$A$1,2,L266-1)
&amp;IFERROR(OFFSET(数出表_Excel【15時】!$A$1,3,L266-1),"")
&amp;IFERROR(OFFSET(数出表_Excel【15時】!$A$1,4,L266-1),""),"")</f>
        <v/>
      </c>
      <c r="N266" t="str">
        <f ca="1">IF(L266&lt;&gt;"",
OFFSET(数出表_Excel【15時】!$A$1,A266+3,L266-1),"")</f>
        <v/>
      </c>
      <c r="O266" t="str">
        <f ca="1">IF(L266&lt;&gt;"",
IF(AND(OFFSET(数出表_Excel【15時】!$A$1,A266+3,L266)&lt;&gt;"",OFFSET(数出表_Excel【15時】!$A$1,A266+3,L266)&lt;&gt;0),
OFFSET(数出表_Excel【15時】!$A$1,A266+3,L266),""),"")</f>
        <v/>
      </c>
      <c r="Q266" t="str">
        <f ca="1">IF(C266&lt;&gt;"",
IF(E266&lt;&gt;"",1,0)+IF(I266&lt;&gt;"",1,0)+IF(M266&lt;&gt;"",1,0),"")</f>
        <v/>
      </c>
    </row>
    <row r="267" spans="1:17">
      <c r="A267" t="str">
        <f t="shared" ca="1" si="4"/>
        <v/>
      </c>
      <c r="B267" t="str">
        <f t="array" aca="1" ref="B267" ca="1">IF(OR(COUNTIF(数出表_Excel【15時】!AO270,"*修正*"),COUNTIF(数出表_Excel【15時】!AO271,"*修正*")),
IF(ISEVEN(ROW()+4),INDIRECT("数出表_Excel【15時】!A"&amp;ROW()+4&amp;""),INDIRECT("数出表_Excel【15時】!A"&amp;ROW()+4-1&amp;"")),"")</f>
        <v/>
      </c>
      <c r="C267" t="str">
        <f t="array" aca="1" ref="C267" ca="1">IF(OR(COUNTIF(数出表_Excel【15時】!AO270,"*修正*"),COUNTIF(数出表_Excel【15時】!AO271,"*修正*")),
IF(ISEVEN(ROW()+4),INDIRECT("数出表_Excel【15時】!A"&amp;ROW()+4+1&amp;""),INDIRECT("数出表_Excel【15時】!A"&amp;ROW()+4&amp;"")),"")</f>
        <v/>
      </c>
      <c r="D267" s="209" t="str">
        <f t="array" aca="1" ref="D267" ca="1">IF(B267&lt;&gt;"",
IFERROR(MATCH(TRUE,ISNUMBER(INDIRECT("数出表_Excel【15時】!B"&amp;(A267+4)&amp;":ZZ"&amp;(A267+4))),0)+1,""),"")</f>
        <v/>
      </c>
      <c r="E267" t="str">
        <f ca="1">IF(D267&lt;&gt;"",
OFFSET(数出表_Excel【15時】!$A$1,2,D267-1)
&amp;IFERROR(OFFSET(数出表_Excel【15時】!$A$1,3,D267-1),"")
&amp;IFERROR(OFFSET(数出表_Excel【15時】!$A$1,4,D267-1),""),"")</f>
        <v/>
      </c>
      <c r="F267" t="str">
        <f ca="1">IF(D267&lt;&gt;"",
OFFSET(数出表_Excel【15時】!$A$1,A267+3,D267-1),"")</f>
        <v/>
      </c>
      <c r="G267" t="str">
        <f ca="1">IF(D267&lt;&gt;"",
IF(AND(OFFSET(数出表_Excel【15時】!$A$1,A267+3,D267)&lt;&gt;"",OFFSET(数出表_Excel【15時】!$A$1,A267+3,D267)&lt;&gt;0),
OFFSET(数出表_Excel【15時】!$A$1,A267+3,D267),""),"")</f>
        <v/>
      </c>
      <c r="H267" s="209" t="str">
        <f t="array" aca="1" ref="H267" ca="1">IF(B267&lt;&gt;"",
IFERROR(MATCH(TRUE,ISNUMBER(INDIRECT("数出表_Excel【15時】!"&amp;SUBSTITUTE(ADDRESS(1,D267+2,4),"1","")&amp;(A267+4)&amp;":ZZ"&amp;(A267+4))),0)+D267+1,""),"")</f>
        <v/>
      </c>
      <c r="I267" t="str">
        <f ca="1">IF(H267&lt;&gt;"",
OFFSET(数出表_Excel【15時】!$A$1,2,H267-1)
&amp;IFERROR(OFFSET(数出表_Excel【15時】!$A$1,3,H267-1),"")
&amp;IFERROR(OFFSET(数出表_Excel【15時】!$A$1,4,H267-1),""),"")</f>
        <v/>
      </c>
      <c r="J267" t="str">
        <f ca="1">IF(H267&lt;&gt;"",
OFFSET(数出表_Excel【15時】!$A$1,A267+3,H267-1),"")</f>
        <v/>
      </c>
      <c r="K267" t="str">
        <f ca="1">IF(H267&lt;&gt;"",
IF(AND(OFFSET(数出表_Excel【15時】!$A$1,A267+3,H267)&lt;&gt;"",OFFSET(数出表_Excel【15時】!$A$1,A267+3,H267)&lt;&gt;0),
OFFSET(数出表_Excel【15時】!$A$1,A267+3,H267),""),"")</f>
        <v/>
      </c>
      <c r="L267" s="209" t="str">
        <f t="array" aca="1" ref="L267" ca="1">IF(B267&lt;&gt;"",
IFERROR(MATCH(TRUE,ISNUMBER(INDIRECT("数出表_Excel【15時】!"&amp;SUBSTITUTE(ADDRESS(1,H267+2,4),"1","")&amp;(A267+4)&amp;":ZZ"&amp;(A267+4))),0)+H267+1,""),"")</f>
        <v/>
      </c>
      <c r="M267" t="str">
        <f ca="1">IF(L267&lt;&gt;"",
OFFSET(数出表_Excel【15時】!$A$1,2,L267-1)
&amp;IFERROR(OFFSET(数出表_Excel【15時】!$A$1,3,L267-1),"")
&amp;IFERROR(OFFSET(数出表_Excel【15時】!$A$1,4,L267-1),""),"")</f>
        <v/>
      </c>
      <c r="N267" t="str">
        <f ca="1">IF(L267&lt;&gt;"",
OFFSET(数出表_Excel【15時】!$A$1,A267+3,L267-1),"")</f>
        <v/>
      </c>
      <c r="O267" t="str">
        <f ca="1">IF(L267&lt;&gt;"",
IF(AND(OFFSET(数出表_Excel【15時】!$A$1,A267+3,L267)&lt;&gt;"",OFFSET(数出表_Excel【15時】!$A$1,A267+3,L267)&lt;&gt;0),
OFFSET(数出表_Excel【15時】!$A$1,A267+3,L267),""),"")</f>
        <v/>
      </c>
    </row>
    <row r="268" spans="1:17">
      <c r="A268" t="str">
        <f t="shared" ca="1" si="4"/>
        <v/>
      </c>
      <c r="B268" t="str">
        <f t="array" aca="1" ref="B268" ca="1">IF(OR(COUNTIF(数出表_Excel【15時】!AO272,"*修正*"),COUNTIF(数出表_Excel【15時】!AO273,"*修正*")),
IF(ISEVEN(ROW()+4),INDIRECT("数出表_Excel【15時】!A"&amp;ROW()+4&amp;""),INDIRECT("数出表_Excel【15時】!A"&amp;ROW()+4-1&amp;"")),"")</f>
        <v/>
      </c>
      <c r="C268" t="str">
        <f t="array" aca="1" ref="C268" ca="1">IF(OR(COUNTIF(数出表_Excel【15時】!AO272,"*修正*"),COUNTIF(数出表_Excel【15時】!AO273,"*修正*")),
IF(ISEVEN(ROW()+4),INDIRECT("数出表_Excel【15時】!A"&amp;ROW()+4+1&amp;""),INDIRECT("数出表_Excel【15時】!A"&amp;ROW()+4&amp;"")),"")</f>
        <v/>
      </c>
      <c r="D268" s="209" t="str">
        <f t="array" aca="1" ref="D268" ca="1">IF(B268&lt;&gt;"",
IFERROR(MATCH(TRUE,ISNUMBER(INDIRECT("数出表_Excel【15時】!B"&amp;(A268+4)&amp;":ZZ"&amp;(A268+4))),0)+1,""),"")</f>
        <v/>
      </c>
      <c r="E268" t="str">
        <f ca="1">IF(D268&lt;&gt;"",
OFFSET(数出表_Excel【15時】!$A$1,2,D268-1)
&amp;IFERROR(OFFSET(数出表_Excel【15時】!$A$1,3,D268-1),"")
&amp;IFERROR(OFFSET(数出表_Excel【15時】!$A$1,4,D268-1),""),"")</f>
        <v/>
      </c>
      <c r="F268" t="str">
        <f ca="1">IF(D268&lt;&gt;"",
OFFSET(数出表_Excel【15時】!$A$1,A268+3,D268-1),"")</f>
        <v/>
      </c>
      <c r="G268" t="str">
        <f ca="1">IF(D268&lt;&gt;"",
IF(AND(OFFSET(数出表_Excel【15時】!$A$1,A268+3,D268)&lt;&gt;"",OFFSET(数出表_Excel【15時】!$A$1,A268+3,D268)&lt;&gt;0),
OFFSET(数出表_Excel【15時】!$A$1,A268+3,D268),""),"")</f>
        <v/>
      </c>
      <c r="H268" s="209" t="str">
        <f t="array" aca="1" ref="H268" ca="1">IF(B268&lt;&gt;"",
IFERROR(MATCH(TRUE,ISNUMBER(INDIRECT("数出表_Excel【15時】!"&amp;SUBSTITUTE(ADDRESS(1,D268+2,4),"1","")&amp;(A268+4)&amp;":ZZ"&amp;(A268+4))),0)+D268+1,""),"")</f>
        <v/>
      </c>
      <c r="I268" t="str">
        <f ca="1">IF(H268&lt;&gt;"",
OFFSET(数出表_Excel【15時】!$A$1,2,H268-1)
&amp;IFERROR(OFFSET(数出表_Excel【15時】!$A$1,3,H268-1),"")
&amp;IFERROR(OFFSET(数出表_Excel【15時】!$A$1,4,H268-1),""),"")</f>
        <v/>
      </c>
      <c r="J268" t="str">
        <f ca="1">IF(H268&lt;&gt;"",
OFFSET(数出表_Excel【15時】!$A$1,A268+3,H268-1),"")</f>
        <v/>
      </c>
      <c r="K268" t="str">
        <f ca="1">IF(H268&lt;&gt;"",
IF(AND(OFFSET(数出表_Excel【15時】!$A$1,A268+3,H268)&lt;&gt;"",OFFSET(数出表_Excel【15時】!$A$1,A268+3,H268)&lt;&gt;0),
OFFSET(数出表_Excel【15時】!$A$1,A268+3,H268),""),"")</f>
        <v/>
      </c>
      <c r="L268" s="209" t="str">
        <f t="array" aca="1" ref="L268" ca="1">IF(B268&lt;&gt;"",
IFERROR(MATCH(TRUE,ISNUMBER(INDIRECT("数出表_Excel【15時】!"&amp;SUBSTITUTE(ADDRESS(1,H268+2,4),"1","")&amp;(A268+4)&amp;":ZZ"&amp;(A268+4))),0)+H268+1,""),"")</f>
        <v/>
      </c>
      <c r="M268" t="str">
        <f ca="1">IF(L268&lt;&gt;"",
OFFSET(数出表_Excel【15時】!$A$1,2,L268-1)
&amp;IFERROR(OFFSET(数出表_Excel【15時】!$A$1,3,L268-1),"")
&amp;IFERROR(OFFSET(数出表_Excel【15時】!$A$1,4,L268-1),""),"")</f>
        <v/>
      </c>
      <c r="N268" t="str">
        <f ca="1">IF(L268&lt;&gt;"",
OFFSET(数出表_Excel【15時】!$A$1,A268+3,L268-1),"")</f>
        <v/>
      </c>
      <c r="O268" t="str">
        <f ca="1">IF(L268&lt;&gt;"",
IF(AND(OFFSET(数出表_Excel【15時】!$A$1,A268+3,L268)&lt;&gt;"",OFFSET(数出表_Excel【15時】!$A$1,A268+3,L268)&lt;&gt;0),
OFFSET(数出表_Excel【15時】!$A$1,A268+3,L268),""),"")</f>
        <v/>
      </c>
      <c r="Q268" t="str">
        <f ca="1">IF(C268&lt;&gt;"",
IF(E268&lt;&gt;"",1,0)+IF(I268&lt;&gt;"",1,0)+IF(M268&lt;&gt;"",1,0),"")</f>
        <v/>
      </c>
    </row>
    <row r="269" spans="1:17">
      <c r="A269" t="str">
        <f t="shared" ca="1" si="4"/>
        <v/>
      </c>
      <c r="B269" t="str">
        <f t="array" aca="1" ref="B269" ca="1">IF(OR(COUNTIF(数出表_Excel【15時】!AO272,"*修正*"),COUNTIF(数出表_Excel【15時】!AO273,"*修正*")),
IF(ISEVEN(ROW()+4),INDIRECT("数出表_Excel【15時】!A"&amp;ROW()+4&amp;""),INDIRECT("数出表_Excel【15時】!A"&amp;ROW()+4-1&amp;"")),"")</f>
        <v/>
      </c>
      <c r="C269" t="str">
        <f t="array" aca="1" ref="C269" ca="1">IF(OR(COUNTIF(数出表_Excel【15時】!AO272,"*修正*"),COUNTIF(数出表_Excel【15時】!AO273,"*修正*")),
IF(ISEVEN(ROW()+4),INDIRECT("数出表_Excel【15時】!A"&amp;ROW()+4+1&amp;""),INDIRECT("数出表_Excel【15時】!A"&amp;ROW()+4&amp;"")),"")</f>
        <v/>
      </c>
      <c r="D269" s="209" t="str">
        <f t="array" aca="1" ref="D269" ca="1">IF(B269&lt;&gt;"",
IFERROR(MATCH(TRUE,ISNUMBER(INDIRECT("数出表_Excel【15時】!B"&amp;(A269+4)&amp;":ZZ"&amp;(A269+4))),0)+1,""),"")</f>
        <v/>
      </c>
      <c r="E269" t="str">
        <f ca="1">IF(D269&lt;&gt;"",
OFFSET(数出表_Excel【15時】!$A$1,2,D269-1)
&amp;IFERROR(OFFSET(数出表_Excel【15時】!$A$1,3,D269-1),"")
&amp;IFERROR(OFFSET(数出表_Excel【15時】!$A$1,4,D269-1),""),"")</f>
        <v/>
      </c>
      <c r="F269" t="str">
        <f ca="1">IF(D269&lt;&gt;"",
OFFSET(数出表_Excel【15時】!$A$1,A269+3,D269-1),"")</f>
        <v/>
      </c>
      <c r="G269" t="str">
        <f ca="1">IF(D269&lt;&gt;"",
IF(AND(OFFSET(数出表_Excel【15時】!$A$1,A269+3,D269)&lt;&gt;"",OFFSET(数出表_Excel【15時】!$A$1,A269+3,D269)&lt;&gt;0),
OFFSET(数出表_Excel【15時】!$A$1,A269+3,D269),""),"")</f>
        <v/>
      </c>
      <c r="H269" s="209" t="str">
        <f t="array" aca="1" ref="H269" ca="1">IF(B269&lt;&gt;"",
IFERROR(MATCH(TRUE,ISNUMBER(INDIRECT("数出表_Excel【15時】!"&amp;SUBSTITUTE(ADDRESS(1,D269+2,4),"1","")&amp;(A269+4)&amp;":ZZ"&amp;(A269+4))),0)+D269+1,""),"")</f>
        <v/>
      </c>
      <c r="I269" t="str">
        <f ca="1">IF(H269&lt;&gt;"",
OFFSET(数出表_Excel【15時】!$A$1,2,H269-1)
&amp;IFERROR(OFFSET(数出表_Excel【15時】!$A$1,3,H269-1),"")
&amp;IFERROR(OFFSET(数出表_Excel【15時】!$A$1,4,H269-1),""),"")</f>
        <v/>
      </c>
      <c r="J269" t="str">
        <f ca="1">IF(H269&lt;&gt;"",
OFFSET(数出表_Excel【15時】!$A$1,A269+3,H269-1),"")</f>
        <v/>
      </c>
      <c r="K269" t="str">
        <f ca="1">IF(H269&lt;&gt;"",
IF(AND(OFFSET(数出表_Excel【15時】!$A$1,A269+3,H269)&lt;&gt;"",OFFSET(数出表_Excel【15時】!$A$1,A269+3,H269)&lt;&gt;0),
OFFSET(数出表_Excel【15時】!$A$1,A269+3,H269),""),"")</f>
        <v/>
      </c>
      <c r="L269" s="209" t="str">
        <f t="array" aca="1" ref="L269" ca="1">IF(B269&lt;&gt;"",
IFERROR(MATCH(TRUE,ISNUMBER(INDIRECT("数出表_Excel【15時】!"&amp;SUBSTITUTE(ADDRESS(1,H269+2,4),"1","")&amp;(A269+4)&amp;":ZZ"&amp;(A269+4))),0)+H269+1,""),"")</f>
        <v/>
      </c>
      <c r="M269" t="str">
        <f ca="1">IF(L269&lt;&gt;"",
OFFSET(数出表_Excel【15時】!$A$1,2,L269-1)
&amp;IFERROR(OFFSET(数出表_Excel【15時】!$A$1,3,L269-1),"")
&amp;IFERROR(OFFSET(数出表_Excel【15時】!$A$1,4,L269-1),""),"")</f>
        <v/>
      </c>
      <c r="N269" t="str">
        <f ca="1">IF(L269&lt;&gt;"",
OFFSET(数出表_Excel【15時】!$A$1,A269+3,L269-1),"")</f>
        <v/>
      </c>
      <c r="O269" t="str">
        <f ca="1">IF(L269&lt;&gt;"",
IF(AND(OFFSET(数出表_Excel【15時】!$A$1,A269+3,L269)&lt;&gt;"",OFFSET(数出表_Excel【15時】!$A$1,A269+3,L269)&lt;&gt;0),
OFFSET(数出表_Excel【15時】!$A$1,A269+3,L269),""),"")</f>
        <v/>
      </c>
    </row>
    <row r="270" spans="1:17">
      <c r="A270" t="str">
        <f t="shared" ca="1" si="4"/>
        <v/>
      </c>
      <c r="B270" t="str">
        <f t="array" aca="1" ref="B270" ca="1">IF(OR(COUNTIF(数出表_Excel【15時】!AO274,"*修正*"),COUNTIF(数出表_Excel【15時】!AO275,"*修正*")),
IF(ISEVEN(ROW()+4),INDIRECT("数出表_Excel【15時】!A"&amp;ROW()+4&amp;""),INDIRECT("数出表_Excel【15時】!A"&amp;ROW()+4-1&amp;"")),"")</f>
        <v/>
      </c>
      <c r="C270" t="str">
        <f t="array" aca="1" ref="C270" ca="1">IF(OR(COUNTIF(数出表_Excel【15時】!AO274,"*修正*"),COUNTIF(数出表_Excel【15時】!AO275,"*修正*")),
IF(ISEVEN(ROW()+4),INDIRECT("数出表_Excel【15時】!A"&amp;ROW()+4+1&amp;""),INDIRECT("数出表_Excel【15時】!A"&amp;ROW()+4&amp;"")),"")</f>
        <v/>
      </c>
      <c r="D270" s="209" t="str">
        <f t="array" aca="1" ref="D270" ca="1">IF(B270&lt;&gt;"",
IFERROR(MATCH(TRUE,ISNUMBER(INDIRECT("数出表_Excel【15時】!B"&amp;(A270+4)&amp;":ZZ"&amp;(A270+4))),0)+1,""),"")</f>
        <v/>
      </c>
      <c r="E270" t="str">
        <f ca="1">IF(D270&lt;&gt;"",
OFFSET(数出表_Excel【15時】!$A$1,2,D270-1)
&amp;IFERROR(OFFSET(数出表_Excel【15時】!$A$1,3,D270-1),"")
&amp;IFERROR(OFFSET(数出表_Excel【15時】!$A$1,4,D270-1),""),"")</f>
        <v/>
      </c>
      <c r="F270" t="str">
        <f ca="1">IF(D270&lt;&gt;"",
OFFSET(数出表_Excel【15時】!$A$1,A270+3,D270-1),"")</f>
        <v/>
      </c>
      <c r="G270" t="str">
        <f ca="1">IF(D270&lt;&gt;"",
IF(AND(OFFSET(数出表_Excel【15時】!$A$1,A270+3,D270)&lt;&gt;"",OFFSET(数出表_Excel【15時】!$A$1,A270+3,D270)&lt;&gt;0),
OFFSET(数出表_Excel【15時】!$A$1,A270+3,D270),""),"")</f>
        <v/>
      </c>
      <c r="H270" s="209" t="str">
        <f t="array" aca="1" ref="H270" ca="1">IF(B270&lt;&gt;"",
IFERROR(MATCH(TRUE,ISNUMBER(INDIRECT("数出表_Excel【15時】!"&amp;SUBSTITUTE(ADDRESS(1,D270+2,4),"1","")&amp;(A270+4)&amp;":ZZ"&amp;(A270+4))),0)+D270+1,""),"")</f>
        <v/>
      </c>
      <c r="I270" t="str">
        <f ca="1">IF(H270&lt;&gt;"",
OFFSET(数出表_Excel【15時】!$A$1,2,H270-1)
&amp;IFERROR(OFFSET(数出表_Excel【15時】!$A$1,3,H270-1),"")
&amp;IFERROR(OFFSET(数出表_Excel【15時】!$A$1,4,H270-1),""),"")</f>
        <v/>
      </c>
      <c r="J270" t="str">
        <f ca="1">IF(H270&lt;&gt;"",
OFFSET(数出表_Excel【15時】!$A$1,A270+3,H270-1),"")</f>
        <v/>
      </c>
      <c r="K270" t="str">
        <f ca="1">IF(H270&lt;&gt;"",
IF(AND(OFFSET(数出表_Excel【15時】!$A$1,A270+3,H270)&lt;&gt;"",OFFSET(数出表_Excel【15時】!$A$1,A270+3,H270)&lt;&gt;0),
OFFSET(数出表_Excel【15時】!$A$1,A270+3,H270),""),"")</f>
        <v/>
      </c>
      <c r="L270" s="209" t="str">
        <f t="array" aca="1" ref="L270" ca="1">IF(B270&lt;&gt;"",
IFERROR(MATCH(TRUE,ISNUMBER(INDIRECT("数出表_Excel【15時】!"&amp;SUBSTITUTE(ADDRESS(1,H270+2,4),"1","")&amp;(A270+4)&amp;":ZZ"&amp;(A270+4))),0)+H270+1,""),"")</f>
        <v/>
      </c>
      <c r="M270" t="str">
        <f ca="1">IF(L270&lt;&gt;"",
OFFSET(数出表_Excel【15時】!$A$1,2,L270-1)
&amp;IFERROR(OFFSET(数出表_Excel【15時】!$A$1,3,L270-1),"")
&amp;IFERROR(OFFSET(数出表_Excel【15時】!$A$1,4,L270-1),""),"")</f>
        <v/>
      </c>
      <c r="N270" t="str">
        <f ca="1">IF(L270&lt;&gt;"",
OFFSET(数出表_Excel【15時】!$A$1,A270+3,L270-1),"")</f>
        <v/>
      </c>
      <c r="O270" t="str">
        <f ca="1">IF(L270&lt;&gt;"",
IF(AND(OFFSET(数出表_Excel【15時】!$A$1,A270+3,L270)&lt;&gt;"",OFFSET(数出表_Excel【15時】!$A$1,A270+3,L270)&lt;&gt;0),
OFFSET(数出表_Excel【15時】!$A$1,A270+3,L270),""),"")</f>
        <v/>
      </c>
      <c r="Q270" t="str">
        <f ca="1">IF(C270&lt;&gt;"",
IF(E270&lt;&gt;"",1,0)+IF(I270&lt;&gt;"",1,0)+IF(M270&lt;&gt;"",1,0),"")</f>
        <v/>
      </c>
    </row>
    <row r="271" spans="1:17">
      <c r="A271" t="str">
        <f t="shared" ca="1" si="4"/>
        <v/>
      </c>
      <c r="B271" t="str">
        <f t="array" aca="1" ref="B271" ca="1">IF(OR(COUNTIF(数出表_Excel【15時】!AO274,"*修正*"),COUNTIF(数出表_Excel【15時】!AO275,"*修正*")),
IF(ISEVEN(ROW()+4),INDIRECT("数出表_Excel【15時】!A"&amp;ROW()+4&amp;""),INDIRECT("数出表_Excel【15時】!A"&amp;ROW()+4-1&amp;"")),"")</f>
        <v/>
      </c>
      <c r="C271" t="str">
        <f t="array" aca="1" ref="C271" ca="1">IF(OR(COUNTIF(数出表_Excel【15時】!AO274,"*修正*"),COUNTIF(数出表_Excel【15時】!AO275,"*修正*")),
IF(ISEVEN(ROW()+4),INDIRECT("数出表_Excel【15時】!A"&amp;ROW()+4+1&amp;""),INDIRECT("数出表_Excel【15時】!A"&amp;ROW()+4&amp;"")),"")</f>
        <v/>
      </c>
      <c r="D271" s="209" t="str">
        <f t="array" aca="1" ref="D271" ca="1">IF(B271&lt;&gt;"",
IFERROR(MATCH(TRUE,ISNUMBER(INDIRECT("数出表_Excel【15時】!B"&amp;(A271+4)&amp;":ZZ"&amp;(A271+4))),0)+1,""),"")</f>
        <v/>
      </c>
      <c r="E271" t="str">
        <f ca="1">IF(D271&lt;&gt;"",
OFFSET(数出表_Excel【15時】!$A$1,2,D271-1)
&amp;IFERROR(OFFSET(数出表_Excel【15時】!$A$1,3,D271-1),"")
&amp;IFERROR(OFFSET(数出表_Excel【15時】!$A$1,4,D271-1),""),"")</f>
        <v/>
      </c>
      <c r="F271" t="str">
        <f ca="1">IF(D271&lt;&gt;"",
OFFSET(数出表_Excel【15時】!$A$1,A271+3,D271-1),"")</f>
        <v/>
      </c>
      <c r="G271" t="str">
        <f ca="1">IF(D271&lt;&gt;"",
IF(AND(OFFSET(数出表_Excel【15時】!$A$1,A271+3,D271)&lt;&gt;"",OFFSET(数出表_Excel【15時】!$A$1,A271+3,D271)&lt;&gt;0),
OFFSET(数出表_Excel【15時】!$A$1,A271+3,D271),""),"")</f>
        <v/>
      </c>
      <c r="H271" s="209" t="str">
        <f t="array" aca="1" ref="H271" ca="1">IF(B271&lt;&gt;"",
IFERROR(MATCH(TRUE,ISNUMBER(INDIRECT("数出表_Excel【15時】!"&amp;SUBSTITUTE(ADDRESS(1,D271+2,4),"1","")&amp;(A271+4)&amp;":ZZ"&amp;(A271+4))),0)+D271+1,""),"")</f>
        <v/>
      </c>
      <c r="I271" t="str">
        <f ca="1">IF(H271&lt;&gt;"",
OFFSET(数出表_Excel【15時】!$A$1,2,H271-1)
&amp;IFERROR(OFFSET(数出表_Excel【15時】!$A$1,3,H271-1),"")
&amp;IFERROR(OFFSET(数出表_Excel【15時】!$A$1,4,H271-1),""),"")</f>
        <v/>
      </c>
      <c r="J271" t="str">
        <f ca="1">IF(H271&lt;&gt;"",
OFFSET(数出表_Excel【15時】!$A$1,A271+3,H271-1),"")</f>
        <v/>
      </c>
      <c r="K271" t="str">
        <f ca="1">IF(H271&lt;&gt;"",
IF(AND(OFFSET(数出表_Excel【15時】!$A$1,A271+3,H271)&lt;&gt;"",OFFSET(数出表_Excel【15時】!$A$1,A271+3,H271)&lt;&gt;0),
OFFSET(数出表_Excel【15時】!$A$1,A271+3,H271),""),"")</f>
        <v/>
      </c>
      <c r="L271" s="209" t="str">
        <f t="array" aca="1" ref="L271" ca="1">IF(B271&lt;&gt;"",
IFERROR(MATCH(TRUE,ISNUMBER(INDIRECT("数出表_Excel【15時】!"&amp;SUBSTITUTE(ADDRESS(1,H271+2,4),"1","")&amp;(A271+4)&amp;":ZZ"&amp;(A271+4))),0)+H271+1,""),"")</f>
        <v/>
      </c>
      <c r="M271" t="str">
        <f ca="1">IF(L271&lt;&gt;"",
OFFSET(数出表_Excel【15時】!$A$1,2,L271-1)
&amp;IFERROR(OFFSET(数出表_Excel【15時】!$A$1,3,L271-1),"")
&amp;IFERROR(OFFSET(数出表_Excel【15時】!$A$1,4,L271-1),""),"")</f>
        <v/>
      </c>
      <c r="N271" t="str">
        <f ca="1">IF(L271&lt;&gt;"",
OFFSET(数出表_Excel【15時】!$A$1,A271+3,L271-1),"")</f>
        <v/>
      </c>
      <c r="O271" t="str">
        <f ca="1">IF(L271&lt;&gt;"",
IF(AND(OFFSET(数出表_Excel【15時】!$A$1,A271+3,L271)&lt;&gt;"",OFFSET(数出表_Excel【15時】!$A$1,A271+3,L271)&lt;&gt;0),
OFFSET(数出表_Excel【15時】!$A$1,A271+3,L271),""),"")</f>
        <v/>
      </c>
    </row>
    <row r="272" spans="1:17">
      <c r="A272" t="str">
        <f t="shared" ca="1" si="4"/>
        <v/>
      </c>
      <c r="B272" t="str">
        <f t="array" aca="1" ref="B272" ca="1">IF(OR(COUNTIF(数出表_Excel【15時】!AO276,"*修正*"),COUNTIF(数出表_Excel【15時】!AO277,"*修正*")),
IF(ISEVEN(ROW()+4),INDIRECT("数出表_Excel【15時】!A"&amp;ROW()+4&amp;""),INDIRECT("数出表_Excel【15時】!A"&amp;ROW()+4-1&amp;"")),"")</f>
        <v/>
      </c>
      <c r="C272" t="str">
        <f t="array" aca="1" ref="C272" ca="1">IF(OR(COUNTIF(数出表_Excel【15時】!AO276,"*修正*"),COUNTIF(数出表_Excel【15時】!AO277,"*修正*")),
IF(ISEVEN(ROW()+4),INDIRECT("数出表_Excel【15時】!A"&amp;ROW()+4+1&amp;""),INDIRECT("数出表_Excel【15時】!A"&amp;ROW()+4&amp;"")),"")</f>
        <v/>
      </c>
      <c r="D272" s="209" t="str">
        <f t="array" aca="1" ref="D272" ca="1">IF(B272&lt;&gt;"",
IFERROR(MATCH(TRUE,ISNUMBER(INDIRECT("数出表_Excel【15時】!B"&amp;(A272+4)&amp;":ZZ"&amp;(A272+4))),0)+1,""),"")</f>
        <v/>
      </c>
      <c r="E272" t="str">
        <f ca="1">IF(D272&lt;&gt;"",
OFFSET(数出表_Excel【15時】!$A$1,2,D272-1)
&amp;IFERROR(OFFSET(数出表_Excel【15時】!$A$1,3,D272-1),"")
&amp;IFERROR(OFFSET(数出表_Excel【15時】!$A$1,4,D272-1),""),"")</f>
        <v/>
      </c>
      <c r="F272" t="str">
        <f ca="1">IF(D272&lt;&gt;"",
OFFSET(数出表_Excel【15時】!$A$1,A272+3,D272-1),"")</f>
        <v/>
      </c>
      <c r="G272" t="str">
        <f ca="1">IF(D272&lt;&gt;"",
IF(AND(OFFSET(数出表_Excel【15時】!$A$1,A272+3,D272)&lt;&gt;"",OFFSET(数出表_Excel【15時】!$A$1,A272+3,D272)&lt;&gt;0),
OFFSET(数出表_Excel【15時】!$A$1,A272+3,D272),""),"")</f>
        <v/>
      </c>
      <c r="H272" s="209" t="str">
        <f t="array" aca="1" ref="H272" ca="1">IF(B272&lt;&gt;"",
IFERROR(MATCH(TRUE,ISNUMBER(INDIRECT("数出表_Excel【15時】!"&amp;SUBSTITUTE(ADDRESS(1,D272+2,4),"1","")&amp;(A272+4)&amp;":ZZ"&amp;(A272+4))),0)+D272+1,""),"")</f>
        <v/>
      </c>
      <c r="I272" t="str">
        <f ca="1">IF(H272&lt;&gt;"",
OFFSET(数出表_Excel【15時】!$A$1,2,H272-1)
&amp;IFERROR(OFFSET(数出表_Excel【15時】!$A$1,3,H272-1),"")
&amp;IFERROR(OFFSET(数出表_Excel【15時】!$A$1,4,H272-1),""),"")</f>
        <v/>
      </c>
      <c r="J272" t="str">
        <f ca="1">IF(H272&lt;&gt;"",
OFFSET(数出表_Excel【15時】!$A$1,A272+3,H272-1),"")</f>
        <v/>
      </c>
      <c r="K272" t="str">
        <f ca="1">IF(H272&lt;&gt;"",
IF(AND(OFFSET(数出表_Excel【15時】!$A$1,A272+3,H272)&lt;&gt;"",OFFSET(数出表_Excel【15時】!$A$1,A272+3,H272)&lt;&gt;0),
OFFSET(数出表_Excel【15時】!$A$1,A272+3,H272),""),"")</f>
        <v/>
      </c>
      <c r="L272" s="209" t="str">
        <f t="array" aca="1" ref="L272" ca="1">IF(B272&lt;&gt;"",
IFERROR(MATCH(TRUE,ISNUMBER(INDIRECT("数出表_Excel【15時】!"&amp;SUBSTITUTE(ADDRESS(1,H272+2,4),"1","")&amp;(A272+4)&amp;":ZZ"&amp;(A272+4))),0)+H272+1,""),"")</f>
        <v/>
      </c>
      <c r="M272" t="str">
        <f ca="1">IF(L272&lt;&gt;"",
OFFSET(数出表_Excel【15時】!$A$1,2,L272-1)
&amp;IFERROR(OFFSET(数出表_Excel【15時】!$A$1,3,L272-1),"")
&amp;IFERROR(OFFSET(数出表_Excel【15時】!$A$1,4,L272-1),""),"")</f>
        <v/>
      </c>
      <c r="N272" t="str">
        <f ca="1">IF(L272&lt;&gt;"",
OFFSET(数出表_Excel【15時】!$A$1,A272+3,L272-1),"")</f>
        <v/>
      </c>
      <c r="O272" t="str">
        <f ca="1">IF(L272&lt;&gt;"",
IF(AND(OFFSET(数出表_Excel【15時】!$A$1,A272+3,L272)&lt;&gt;"",OFFSET(数出表_Excel【15時】!$A$1,A272+3,L272)&lt;&gt;0),
OFFSET(数出表_Excel【15時】!$A$1,A272+3,L272),""),"")</f>
        <v/>
      </c>
      <c r="Q272" t="str">
        <f ca="1">IF(C272&lt;&gt;"",
IF(E272&lt;&gt;"",1,0)+IF(I272&lt;&gt;"",1,0)+IF(M272&lt;&gt;"",1,0),"")</f>
        <v/>
      </c>
    </row>
    <row r="273" spans="1:17">
      <c r="A273" t="str">
        <f t="shared" ca="1" si="4"/>
        <v/>
      </c>
      <c r="B273" t="str">
        <f t="array" aca="1" ref="B273" ca="1">IF(OR(COUNTIF(数出表_Excel【15時】!AO276,"*修正*"),COUNTIF(数出表_Excel【15時】!AO277,"*修正*")),
IF(ISEVEN(ROW()+4),INDIRECT("数出表_Excel【15時】!A"&amp;ROW()+4&amp;""),INDIRECT("数出表_Excel【15時】!A"&amp;ROW()+4-1&amp;"")),"")</f>
        <v/>
      </c>
      <c r="C273" t="str">
        <f t="array" aca="1" ref="C273" ca="1">IF(OR(COUNTIF(数出表_Excel【15時】!AO276,"*修正*"),COUNTIF(数出表_Excel【15時】!AO277,"*修正*")),
IF(ISEVEN(ROW()+4),INDIRECT("数出表_Excel【15時】!A"&amp;ROW()+4+1&amp;""),INDIRECT("数出表_Excel【15時】!A"&amp;ROW()+4&amp;"")),"")</f>
        <v/>
      </c>
      <c r="D273" s="209" t="str">
        <f t="array" aca="1" ref="D273" ca="1">IF(B273&lt;&gt;"",
IFERROR(MATCH(TRUE,ISNUMBER(INDIRECT("数出表_Excel【15時】!B"&amp;(A273+4)&amp;":ZZ"&amp;(A273+4))),0)+1,""),"")</f>
        <v/>
      </c>
      <c r="E273" t="str">
        <f ca="1">IF(D273&lt;&gt;"",
OFFSET(数出表_Excel【15時】!$A$1,2,D273-1)
&amp;IFERROR(OFFSET(数出表_Excel【15時】!$A$1,3,D273-1),"")
&amp;IFERROR(OFFSET(数出表_Excel【15時】!$A$1,4,D273-1),""),"")</f>
        <v/>
      </c>
      <c r="F273" t="str">
        <f ca="1">IF(D273&lt;&gt;"",
OFFSET(数出表_Excel【15時】!$A$1,A273+3,D273-1),"")</f>
        <v/>
      </c>
      <c r="G273" t="str">
        <f ca="1">IF(D273&lt;&gt;"",
IF(AND(OFFSET(数出表_Excel【15時】!$A$1,A273+3,D273)&lt;&gt;"",OFFSET(数出表_Excel【15時】!$A$1,A273+3,D273)&lt;&gt;0),
OFFSET(数出表_Excel【15時】!$A$1,A273+3,D273),""),"")</f>
        <v/>
      </c>
      <c r="H273" s="209" t="str">
        <f t="array" aca="1" ref="H273" ca="1">IF(B273&lt;&gt;"",
IFERROR(MATCH(TRUE,ISNUMBER(INDIRECT("数出表_Excel【15時】!"&amp;SUBSTITUTE(ADDRESS(1,D273+2,4),"1","")&amp;(A273+4)&amp;":ZZ"&amp;(A273+4))),0)+D273+1,""),"")</f>
        <v/>
      </c>
      <c r="I273" t="str">
        <f ca="1">IF(H273&lt;&gt;"",
OFFSET(数出表_Excel【15時】!$A$1,2,H273-1)
&amp;IFERROR(OFFSET(数出表_Excel【15時】!$A$1,3,H273-1),"")
&amp;IFERROR(OFFSET(数出表_Excel【15時】!$A$1,4,H273-1),""),"")</f>
        <v/>
      </c>
      <c r="J273" t="str">
        <f ca="1">IF(H273&lt;&gt;"",
OFFSET(数出表_Excel【15時】!$A$1,A273+3,H273-1),"")</f>
        <v/>
      </c>
      <c r="K273" t="str">
        <f ca="1">IF(H273&lt;&gt;"",
IF(AND(OFFSET(数出表_Excel【15時】!$A$1,A273+3,H273)&lt;&gt;"",OFFSET(数出表_Excel【15時】!$A$1,A273+3,H273)&lt;&gt;0),
OFFSET(数出表_Excel【15時】!$A$1,A273+3,H273),""),"")</f>
        <v/>
      </c>
      <c r="L273" s="209" t="str">
        <f t="array" aca="1" ref="L273" ca="1">IF(B273&lt;&gt;"",
IFERROR(MATCH(TRUE,ISNUMBER(INDIRECT("数出表_Excel【15時】!"&amp;SUBSTITUTE(ADDRESS(1,H273+2,4),"1","")&amp;(A273+4)&amp;":ZZ"&amp;(A273+4))),0)+H273+1,""),"")</f>
        <v/>
      </c>
      <c r="M273" t="str">
        <f ca="1">IF(L273&lt;&gt;"",
OFFSET(数出表_Excel【15時】!$A$1,2,L273-1)
&amp;IFERROR(OFFSET(数出表_Excel【15時】!$A$1,3,L273-1),"")
&amp;IFERROR(OFFSET(数出表_Excel【15時】!$A$1,4,L273-1),""),"")</f>
        <v/>
      </c>
      <c r="N273" t="str">
        <f ca="1">IF(L273&lt;&gt;"",
OFFSET(数出表_Excel【15時】!$A$1,A273+3,L273-1),"")</f>
        <v/>
      </c>
      <c r="O273" t="str">
        <f ca="1">IF(L273&lt;&gt;"",
IF(AND(OFFSET(数出表_Excel【15時】!$A$1,A273+3,L273)&lt;&gt;"",OFFSET(数出表_Excel【15時】!$A$1,A273+3,L273)&lt;&gt;0),
OFFSET(数出表_Excel【15時】!$A$1,A273+3,L273),""),"")</f>
        <v/>
      </c>
    </row>
    <row r="274" spans="1:17">
      <c r="A274" t="str">
        <f t="shared" ca="1" si="4"/>
        <v/>
      </c>
      <c r="B274" t="str">
        <f t="array" aca="1" ref="B274" ca="1">IF(OR(COUNTIF(数出表_Excel【15時】!AO278,"*修正*"),COUNTIF(数出表_Excel【15時】!AO279,"*修正*")),
IF(ISEVEN(ROW()+4),INDIRECT("数出表_Excel【15時】!A"&amp;ROW()+4&amp;""),INDIRECT("数出表_Excel【15時】!A"&amp;ROW()+4-1&amp;"")),"")</f>
        <v/>
      </c>
      <c r="C274" t="str">
        <f t="array" aca="1" ref="C274" ca="1">IF(OR(COUNTIF(数出表_Excel【15時】!AO278,"*修正*"),COUNTIF(数出表_Excel【15時】!AO279,"*修正*")),
IF(ISEVEN(ROW()+4),INDIRECT("数出表_Excel【15時】!A"&amp;ROW()+4+1&amp;""),INDIRECT("数出表_Excel【15時】!A"&amp;ROW()+4&amp;"")),"")</f>
        <v/>
      </c>
      <c r="D274" s="209" t="str">
        <f t="array" aca="1" ref="D274" ca="1">IF(B274&lt;&gt;"",
IFERROR(MATCH(TRUE,ISNUMBER(INDIRECT("数出表_Excel【15時】!B"&amp;(A274+4)&amp;":ZZ"&amp;(A274+4))),0)+1,""),"")</f>
        <v/>
      </c>
      <c r="E274" t="str">
        <f ca="1">IF(D274&lt;&gt;"",
OFFSET(数出表_Excel【15時】!$A$1,2,D274-1)
&amp;IFERROR(OFFSET(数出表_Excel【15時】!$A$1,3,D274-1),"")
&amp;IFERROR(OFFSET(数出表_Excel【15時】!$A$1,4,D274-1),""),"")</f>
        <v/>
      </c>
      <c r="F274" t="str">
        <f ca="1">IF(D274&lt;&gt;"",
OFFSET(数出表_Excel【15時】!$A$1,A274+3,D274-1),"")</f>
        <v/>
      </c>
      <c r="G274" t="str">
        <f ca="1">IF(D274&lt;&gt;"",
IF(AND(OFFSET(数出表_Excel【15時】!$A$1,A274+3,D274)&lt;&gt;"",OFFSET(数出表_Excel【15時】!$A$1,A274+3,D274)&lt;&gt;0),
OFFSET(数出表_Excel【15時】!$A$1,A274+3,D274),""),"")</f>
        <v/>
      </c>
      <c r="H274" s="209" t="str">
        <f t="array" aca="1" ref="H274" ca="1">IF(B274&lt;&gt;"",
IFERROR(MATCH(TRUE,ISNUMBER(INDIRECT("数出表_Excel【15時】!"&amp;SUBSTITUTE(ADDRESS(1,D274+2,4),"1","")&amp;(A274+4)&amp;":ZZ"&amp;(A274+4))),0)+D274+1,""),"")</f>
        <v/>
      </c>
      <c r="I274" t="str">
        <f ca="1">IF(H274&lt;&gt;"",
OFFSET(数出表_Excel【15時】!$A$1,2,H274-1)
&amp;IFERROR(OFFSET(数出表_Excel【15時】!$A$1,3,H274-1),"")
&amp;IFERROR(OFFSET(数出表_Excel【15時】!$A$1,4,H274-1),""),"")</f>
        <v/>
      </c>
      <c r="J274" t="str">
        <f ca="1">IF(H274&lt;&gt;"",
OFFSET(数出表_Excel【15時】!$A$1,A274+3,H274-1),"")</f>
        <v/>
      </c>
      <c r="K274" t="str">
        <f ca="1">IF(H274&lt;&gt;"",
IF(AND(OFFSET(数出表_Excel【15時】!$A$1,A274+3,H274)&lt;&gt;"",OFFSET(数出表_Excel【15時】!$A$1,A274+3,H274)&lt;&gt;0),
OFFSET(数出表_Excel【15時】!$A$1,A274+3,H274),""),"")</f>
        <v/>
      </c>
      <c r="L274" s="209" t="str">
        <f t="array" aca="1" ref="L274" ca="1">IF(B274&lt;&gt;"",
IFERROR(MATCH(TRUE,ISNUMBER(INDIRECT("数出表_Excel【15時】!"&amp;SUBSTITUTE(ADDRESS(1,H274+2,4),"1","")&amp;(A274+4)&amp;":ZZ"&amp;(A274+4))),0)+H274+1,""),"")</f>
        <v/>
      </c>
      <c r="M274" t="str">
        <f ca="1">IF(L274&lt;&gt;"",
OFFSET(数出表_Excel【15時】!$A$1,2,L274-1)
&amp;IFERROR(OFFSET(数出表_Excel【15時】!$A$1,3,L274-1),"")
&amp;IFERROR(OFFSET(数出表_Excel【15時】!$A$1,4,L274-1),""),"")</f>
        <v/>
      </c>
      <c r="N274" t="str">
        <f ca="1">IF(L274&lt;&gt;"",
OFFSET(数出表_Excel【15時】!$A$1,A274+3,L274-1),"")</f>
        <v/>
      </c>
      <c r="O274" t="str">
        <f ca="1">IF(L274&lt;&gt;"",
IF(AND(OFFSET(数出表_Excel【15時】!$A$1,A274+3,L274)&lt;&gt;"",OFFSET(数出表_Excel【15時】!$A$1,A274+3,L274)&lt;&gt;0),
OFFSET(数出表_Excel【15時】!$A$1,A274+3,L274),""),"")</f>
        <v/>
      </c>
      <c r="Q274" t="str">
        <f ca="1">IF(C274&lt;&gt;"",
IF(E274&lt;&gt;"",1,0)+IF(I274&lt;&gt;"",1,0)+IF(M274&lt;&gt;"",1,0),"")</f>
        <v/>
      </c>
    </row>
    <row r="275" spans="1:17">
      <c r="A275" t="str">
        <f t="shared" ca="1" si="4"/>
        <v/>
      </c>
      <c r="B275" t="str">
        <f t="array" aca="1" ref="B275" ca="1">IF(OR(COUNTIF(数出表_Excel【15時】!AO278,"*修正*"),COUNTIF(数出表_Excel【15時】!AO279,"*修正*")),
IF(ISEVEN(ROW()+4),INDIRECT("数出表_Excel【15時】!A"&amp;ROW()+4&amp;""),INDIRECT("数出表_Excel【15時】!A"&amp;ROW()+4-1&amp;"")),"")</f>
        <v/>
      </c>
      <c r="C275" t="str">
        <f t="array" aca="1" ref="C275" ca="1">IF(OR(COUNTIF(数出表_Excel【15時】!AO278,"*修正*"),COUNTIF(数出表_Excel【15時】!AO279,"*修正*")),
IF(ISEVEN(ROW()+4),INDIRECT("数出表_Excel【15時】!A"&amp;ROW()+4+1&amp;""),INDIRECT("数出表_Excel【15時】!A"&amp;ROW()+4&amp;"")),"")</f>
        <v/>
      </c>
      <c r="D275" s="209" t="str">
        <f t="array" aca="1" ref="D275" ca="1">IF(B275&lt;&gt;"",
IFERROR(MATCH(TRUE,ISNUMBER(INDIRECT("数出表_Excel【15時】!B"&amp;(A275+4)&amp;":ZZ"&amp;(A275+4))),0)+1,""),"")</f>
        <v/>
      </c>
      <c r="E275" t="str">
        <f ca="1">IF(D275&lt;&gt;"",
OFFSET(数出表_Excel【15時】!$A$1,2,D275-1)
&amp;IFERROR(OFFSET(数出表_Excel【15時】!$A$1,3,D275-1),"")
&amp;IFERROR(OFFSET(数出表_Excel【15時】!$A$1,4,D275-1),""),"")</f>
        <v/>
      </c>
      <c r="F275" t="str">
        <f ca="1">IF(D275&lt;&gt;"",
OFFSET(数出表_Excel【15時】!$A$1,A275+3,D275-1),"")</f>
        <v/>
      </c>
      <c r="G275" t="str">
        <f ca="1">IF(D275&lt;&gt;"",
IF(AND(OFFSET(数出表_Excel【15時】!$A$1,A275+3,D275)&lt;&gt;"",OFFSET(数出表_Excel【15時】!$A$1,A275+3,D275)&lt;&gt;0),
OFFSET(数出表_Excel【15時】!$A$1,A275+3,D275),""),"")</f>
        <v/>
      </c>
      <c r="H275" s="209" t="str">
        <f t="array" aca="1" ref="H275" ca="1">IF(B275&lt;&gt;"",
IFERROR(MATCH(TRUE,ISNUMBER(INDIRECT("数出表_Excel【15時】!"&amp;SUBSTITUTE(ADDRESS(1,D275+2,4),"1","")&amp;(A275+4)&amp;":ZZ"&amp;(A275+4))),0)+D275+1,""),"")</f>
        <v/>
      </c>
      <c r="I275" t="str">
        <f ca="1">IF(H275&lt;&gt;"",
OFFSET(数出表_Excel【15時】!$A$1,2,H275-1)
&amp;IFERROR(OFFSET(数出表_Excel【15時】!$A$1,3,H275-1),"")
&amp;IFERROR(OFFSET(数出表_Excel【15時】!$A$1,4,H275-1),""),"")</f>
        <v/>
      </c>
      <c r="J275" t="str">
        <f ca="1">IF(H275&lt;&gt;"",
OFFSET(数出表_Excel【15時】!$A$1,A275+3,H275-1),"")</f>
        <v/>
      </c>
      <c r="K275" t="str">
        <f ca="1">IF(H275&lt;&gt;"",
IF(AND(OFFSET(数出表_Excel【15時】!$A$1,A275+3,H275)&lt;&gt;"",OFFSET(数出表_Excel【15時】!$A$1,A275+3,H275)&lt;&gt;0),
OFFSET(数出表_Excel【15時】!$A$1,A275+3,H275),""),"")</f>
        <v/>
      </c>
      <c r="L275" s="209" t="str">
        <f t="array" aca="1" ref="L275" ca="1">IF(B275&lt;&gt;"",
IFERROR(MATCH(TRUE,ISNUMBER(INDIRECT("数出表_Excel【15時】!"&amp;SUBSTITUTE(ADDRESS(1,H275+2,4),"1","")&amp;(A275+4)&amp;":ZZ"&amp;(A275+4))),0)+H275+1,""),"")</f>
        <v/>
      </c>
      <c r="M275" t="str">
        <f ca="1">IF(L275&lt;&gt;"",
OFFSET(数出表_Excel【15時】!$A$1,2,L275-1)
&amp;IFERROR(OFFSET(数出表_Excel【15時】!$A$1,3,L275-1),"")
&amp;IFERROR(OFFSET(数出表_Excel【15時】!$A$1,4,L275-1),""),"")</f>
        <v/>
      </c>
      <c r="N275" t="str">
        <f ca="1">IF(L275&lt;&gt;"",
OFFSET(数出表_Excel【15時】!$A$1,A275+3,L275-1),"")</f>
        <v/>
      </c>
      <c r="O275" t="str">
        <f ca="1">IF(L275&lt;&gt;"",
IF(AND(OFFSET(数出表_Excel【15時】!$A$1,A275+3,L275)&lt;&gt;"",OFFSET(数出表_Excel【15時】!$A$1,A275+3,L275)&lt;&gt;0),
OFFSET(数出表_Excel【15時】!$A$1,A275+3,L275),""),"")</f>
        <v/>
      </c>
    </row>
    <row r="276" spans="1:17">
      <c r="A276" t="str">
        <f t="shared" ca="1" si="4"/>
        <v/>
      </c>
      <c r="B276" t="str">
        <f t="array" aca="1" ref="B276" ca="1">IF(OR(COUNTIF(数出表_Excel【15時】!AO280,"*修正*"),COUNTIF(数出表_Excel【15時】!AO281,"*修正*")),
IF(ISEVEN(ROW()+4),INDIRECT("数出表_Excel【15時】!A"&amp;ROW()+4&amp;""),INDIRECT("数出表_Excel【15時】!A"&amp;ROW()+4-1&amp;"")),"")</f>
        <v/>
      </c>
      <c r="C276" t="str">
        <f t="array" aca="1" ref="C276" ca="1">IF(OR(COUNTIF(数出表_Excel【15時】!AO280,"*修正*"),COUNTIF(数出表_Excel【15時】!AO281,"*修正*")),
IF(ISEVEN(ROW()+4),INDIRECT("数出表_Excel【15時】!A"&amp;ROW()+4+1&amp;""),INDIRECT("数出表_Excel【15時】!A"&amp;ROW()+4&amp;"")),"")</f>
        <v/>
      </c>
      <c r="D276" s="209" t="str">
        <f t="array" aca="1" ref="D276" ca="1">IF(B276&lt;&gt;"",
IFERROR(MATCH(TRUE,ISNUMBER(INDIRECT("数出表_Excel【15時】!B"&amp;(A276+4)&amp;":ZZ"&amp;(A276+4))),0)+1,""),"")</f>
        <v/>
      </c>
      <c r="E276" t="str">
        <f ca="1">IF(D276&lt;&gt;"",
OFFSET(数出表_Excel【15時】!$A$1,2,D276-1)
&amp;IFERROR(OFFSET(数出表_Excel【15時】!$A$1,3,D276-1),"")
&amp;IFERROR(OFFSET(数出表_Excel【15時】!$A$1,4,D276-1),""),"")</f>
        <v/>
      </c>
      <c r="F276" t="str">
        <f ca="1">IF(D276&lt;&gt;"",
OFFSET(数出表_Excel【15時】!$A$1,A276+3,D276-1),"")</f>
        <v/>
      </c>
      <c r="G276" t="str">
        <f ca="1">IF(D276&lt;&gt;"",
IF(AND(OFFSET(数出表_Excel【15時】!$A$1,A276+3,D276)&lt;&gt;"",OFFSET(数出表_Excel【15時】!$A$1,A276+3,D276)&lt;&gt;0),
OFFSET(数出表_Excel【15時】!$A$1,A276+3,D276),""),"")</f>
        <v/>
      </c>
      <c r="H276" s="209" t="str">
        <f t="array" aca="1" ref="H276" ca="1">IF(B276&lt;&gt;"",
IFERROR(MATCH(TRUE,ISNUMBER(INDIRECT("数出表_Excel【15時】!"&amp;SUBSTITUTE(ADDRESS(1,D276+2,4),"1","")&amp;(A276+4)&amp;":ZZ"&amp;(A276+4))),0)+D276+1,""),"")</f>
        <v/>
      </c>
      <c r="I276" t="str">
        <f ca="1">IF(H276&lt;&gt;"",
OFFSET(数出表_Excel【15時】!$A$1,2,H276-1)
&amp;IFERROR(OFFSET(数出表_Excel【15時】!$A$1,3,H276-1),"")
&amp;IFERROR(OFFSET(数出表_Excel【15時】!$A$1,4,H276-1),""),"")</f>
        <v/>
      </c>
      <c r="J276" t="str">
        <f ca="1">IF(H276&lt;&gt;"",
OFFSET(数出表_Excel【15時】!$A$1,A276+3,H276-1),"")</f>
        <v/>
      </c>
      <c r="K276" t="str">
        <f ca="1">IF(H276&lt;&gt;"",
IF(AND(OFFSET(数出表_Excel【15時】!$A$1,A276+3,H276)&lt;&gt;"",OFFSET(数出表_Excel【15時】!$A$1,A276+3,H276)&lt;&gt;0),
OFFSET(数出表_Excel【15時】!$A$1,A276+3,H276),""),"")</f>
        <v/>
      </c>
      <c r="L276" s="209" t="str">
        <f t="array" aca="1" ref="L276" ca="1">IF(B276&lt;&gt;"",
IFERROR(MATCH(TRUE,ISNUMBER(INDIRECT("数出表_Excel【15時】!"&amp;SUBSTITUTE(ADDRESS(1,H276+2,4),"1","")&amp;(A276+4)&amp;":ZZ"&amp;(A276+4))),0)+H276+1,""),"")</f>
        <v/>
      </c>
      <c r="M276" t="str">
        <f ca="1">IF(L276&lt;&gt;"",
OFFSET(数出表_Excel【15時】!$A$1,2,L276-1)
&amp;IFERROR(OFFSET(数出表_Excel【15時】!$A$1,3,L276-1),"")
&amp;IFERROR(OFFSET(数出表_Excel【15時】!$A$1,4,L276-1),""),"")</f>
        <v/>
      </c>
      <c r="N276" t="str">
        <f ca="1">IF(L276&lt;&gt;"",
OFFSET(数出表_Excel【15時】!$A$1,A276+3,L276-1),"")</f>
        <v/>
      </c>
      <c r="O276" t="str">
        <f ca="1">IF(L276&lt;&gt;"",
IF(AND(OFFSET(数出表_Excel【15時】!$A$1,A276+3,L276)&lt;&gt;"",OFFSET(数出表_Excel【15時】!$A$1,A276+3,L276)&lt;&gt;0),
OFFSET(数出表_Excel【15時】!$A$1,A276+3,L276),""),"")</f>
        <v/>
      </c>
      <c r="Q276" t="str">
        <f ca="1">IF(C276&lt;&gt;"",
IF(E276&lt;&gt;"",1,0)+IF(I276&lt;&gt;"",1,0)+IF(M276&lt;&gt;"",1,0),"")</f>
        <v/>
      </c>
    </row>
    <row r="277" spans="1:17">
      <c r="A277" t="str">
        <f t="shared" ca="1" si="4"/>
        <v/>
      </c>
      <c r="B277" t="str">
        <f t="array" aca="1" ref="B277" ca="1">IF(OR(COUNTIF(数出表_Excel【15時】!AO280,"*修正*"),COUNTIF(数出表_Excel【15時】!AO281,"*修正*")),
IF(ISEVEN(ROW()+4),INDIRECT("数出表_Excel【15時】!A"&amp;ROW()+4&amp;""),INDIRECT("数出表_Excel【15時】!A"&amp;ROW()+4-1&amp;"")),"")</f>
        <v/>
      </c>
      <c r="C277" t="str">
        <f t="array" aca="1" ref="C277" ca="1">IF(OR(COUNTIF(数出表_Excel【15時】!AO280,"*修正*"),COUNTIF(数出表_Excel【15時】!AO281,"*修正*")),
IF(ISEVEN(ROW()+4),INDIRECT("数出表_Excel【15時】!A"&amp;ROW()+4+1&amp;""),INDIRECT("数出表_Excel【15時】!A"&amp;ROW()+4&amp;"")),"")</f>
        <v/>
      </c>
      <c r="D277" s="209" t="str">
        <f t="array" aca="1" ref="D277" ca="1">IF(B277&lt;&gt;"",
IFERROR(MATCH(TRUE,ISNUMBER(INDIRECT("数出表_Excel【15時】!B"&amp;(A277+4)&amp;":ZZ"&amp;(A277+4))),0)+1,""),"")</f>
        <v/>
      </c>
      <c r="E277" t="str">
        <f ca="1">IF(D277&lt;&gt;"",
OFFSET(数出表_Excel【15時】!$A$1,2,D277-1)
&amp;IFERROR(OFFSET(数出表_Excel【15時】!$A$1,3,D277-1),"")
&amp;IFERROR(OFFSET(数出表_Excel【15時】!$A$1,4,D277-1),""),"")</f>
        <v/>
      </c>
      <c r="F277" t="str">
        <f ca="1">IF(D277&lt;&gt;"",
OFFSET(数出表_Excel【15時】!$A$1,A277+3,D277-1),"")</f>
        <v/>
      </c>
      <c r="G277" t="str">
        <f ca="1">IF(D277&lt;&gt;"",
IF(AND(OFFSET(数出表_Excel【15時】!$A$1,A277+3,D277)&lt;&gt;"",OFFSET(数出表_Excel【15時】!$A$1,A277+3,D277)&lt;&gt;0),
OFFSET(数出表_Excel【15時】!$A$1,A277+3,D277),""),"")</f>
        <v/>
      </c>
      <c r="H277" s="209" t="str">
        <f t="array" aca="1" ref="H277" ca="1">IF(B277&lt;&gt;"",
IFERROR(MATCH(TRUE,ISNUMBER(INDIRECT("数出表_Excel【15時】!"&amp;SUBSTITUTE(ADDRESS(1,D277+2,4),"1","")&amp;(A277+4)&amp;":ZZ"&amp;(A277+4))),0)+D277+1,""),"")</f>
        <v/>
      </c>
      <c r="I277" t="str">
        <f ca="1">IF(H277&lt;&gt;"",
OFFSET(数出表_Excel【15時】!$A$1,2,H277-1)
&amp;IFERROR(OFFSET(数出表_Excel【15時】!$A$1,3,H277-1),"")
&amp;IFERROR(OFFSET(数出表_Excel【15時】!$A$1,4,H277-1),""),"")</f>
        <v/>
      </c>
      <c r="J277" t="str">
        <f ca="1">IF(H277&lt;&gt;"",
OFFSET(数出表_Excel【15時】!$A$1,A277+3,H277-1),"")</f>
        <v/>
      </c>
      <c r="K277" t="str">
        <f ca="1">IF(H277&lt;&gt;"",
IF(AND(OFFSET(数出表_Excel【15時】!$A$1,A277+3,H277)&lt;&gt;"",OFFSET(数出表_Excel【15時】!$A$1,A277+3,H277)&lt;&gt;0),
OFFSET(数出表_Excel【15時】!$A$1,A277+3,H277),""),"")</f>
        <v/>
      </c>
      <c r="L277" s="209" t="str">
        <f t="array" aca="1" ref="L277" ca="1">IF(B277&lt;&gt;"",
IFERROR(MATCH(TRUE,ISNUMBER(INDIRECT("数出表_Excel【15時】!"&amp;SUBSTITUTE(ADDRESS(1,H277+2,4),"1","")&amp;(A277+4)&amp;":ZZ"&amp;(A277+4))),0)+H277+1,""),"")</f>
        <v/>
      </c>
      <c r="M277" t="str">
        <f ca="1">IF(L277&lt;&gt;"",
OFFSET(数出表_Excel【15時】!$A$1,2,L277-1)
&amp;IFERROR(OFFSET(数出表_Excel【15時】!$A$1,3,L277-1),"")
&amp;IFERROR(OFFSET(数出表_Excel【15時】!$A$1,4,L277-1),""),"")</f>
        <v/>
      </c>
      <c r="N277" t="str">
        <f ca="1">IF(L277&lt;&gt;"",
OFFSET(数出表_Excel【15時】!$A$1,A277+3,L277-1),"")</f>
        <v/>
      </c>
      <c r="O277" t="str">
        <f ca="1">IF(L277&lt;&gt;"",
IF(AND(OFFSET(数出表_Excel【15時】!$A$1,A277+3,L277)&lt;&gt;"",OFFSET(数出表_Excel【15時】!$A$1,A277+3,L277)&lt;&gt;0),
OFFSET(数出表_Excel【15時】!$A$1,A277+3,L277),""),"")</f>
        <v/>
      </c>
    </row>
    <row r="278" spans="1:17">
      <c r="A278" t="str">
        <f t="shared" ca="1" si="4"/>
        <v/>
      </c>
      <c r="B278" t="str">
        <f t="array" aca="1" ref="B278" ca="1">IF(OR(COUNTIF(数出表_Excel【15時】!AO282,"*修正*"),COUNTIF(数出表_Excel【15時】!AO283,"*修正*")),
IF(ISEVEN(ROW()+4),INDIRECT("数出表_Excel【15時】!A"&amp;ROW()+4&amp;""),INDIRECT("数出表_Excel【15時】!A"&amp;ROW()+4-1&amp;"")),"")</f>
        <v/>
      </c>
      <c r="C278" t="str">
        <f t="array" aca="1" ref="C278" ca="1">IF(OR(COUNTIF(数出表_Excel【15時】!AO282,"*修正*"),COUNTIF(数出表_Excel【15時】!AO283,"*修正*")),
IF(ISEVEN(ROW()+4),INDIRECT("数出表_Excel【15時】!A"&amp;ROW()+4+1&amp;""),INDIRECT("数出表_Excel【15時】!A"&amp;ROW()+4&amp;"")),"")</f>
        <v/>
      </c>
      <c r="D278" s="209" t="str">
        <f t="array" aca="1" ref="D278" ca="1">IF(B278&lt;&gt;"",
IFERROR(MATCH(TRUE,ISNUMBER(INDIRECT("数出表_Excel【15時】!B"&amp;(A278+4)&amp;":ZZ"&amp;(A278+4))),0)+1,""),"")</f>
        <v/>
      </c>
      <c r="E278" t="str">
        <f ca="1">IF(D278&lt;&gt;"",
OFFSET(数出表_Excel【15時】!$A$1,2,D278-1)
&amp;IFERROR(OFFSET(数出表_Excel【15時】!$A$1,3,D278-1),"")
&amp;IFERROR(OFFSET(数出表_Excel【15時】!$A$1,4,D278-1),""),"")</f>
        <v/>
      </c>
      <c r="F278" t="str">
        <f ca="1">IF(D278&lt;&gt;"",
OFFSET(数出表_Excel【15時】!$A$1,A278+3,D278-1),"")</f>
        <v/>
      </c>
      <c r="G278" t="str">
        <f ca="1">IF(D278&lt;&gt;"",
IF(AND(OFFSET(数出表_Excel【15時】!$A$1,A278+3,D278)&lt;&gt;"",OFFSET(数出表_Excel【15時】!$A$1,A278+3,D278)&lt;&gt;0),
OFFSET(数出表_Excel【15時】!$A$1,A278+3,D278),""),"")</f>
        <v/>
      </c>
      <c r="H278" s="209" t="str">
        <f t="array" aca="1" ref="H278" ca="1">IF(B278&lt;&gt;"",
IFERROR(MATCH(TRUE,ISNUMBER(INDIRECT("数出表_Excel【15時】!"&amp;SUBSTITUTE(ADDRESS(1,D278+2,4),"1","")&amp;(A278+4)&amp;":ZZ"&amp;(A278+4))),0)+D278+1,""),"")</f>
        <v/>
      </c>
      <c r="I278" t="str">
        <f ca="1">IF(H278&lt;&gt;"",
OFFSET(数出表_Excel【15時】!$A$1,2,H278-1)
&amp;IFERROR(OFFSET(数出表_Excel【15時】!$A$1,3,H278-1),"")
&amp;IFERROR(OFFSET(数出表_Excel【15時】!$A$1,4,H278-1),""),"")</f>
        <v/>
      </c>
      <c r="J278" t="str">
        <f ca="1">IF(H278&lt;&gt;"",
OFFSET(数出表_Excel【15時】!$A$1,A278+3,H278-1),"")</f>
        <v/>
      </c>
      <c r="K278" t="str">
        <f ca="1">IF(H278&lt;&gt;"",
IF(AND(OFFSET(数出表_Excel【15時】!$A$1,A278+3,H278)&lt;&gt;"",OFFSET(数出表_Excel【15時】!$A$1,A278+3,H278)&lt;&gt;0),
OFFSET(数出表_Excel【15時】!$A$1,A278+3,H278),""),"")</f>
        <v/>
      </c>
      <c r="L278" s="209" t="str">
        <f t="array" aca="1" ref="L278" ca="1">IF(B278&lt;&gt;"",
IFERROR(MATCH(TRUE,ISNUMBER(INDIRECT("数出表_Excel【15時】!"&amp;SUBSTITUTE(ADDRESS(1,H278+2,4),"1","")&amp;(A278+4)&amp;":ZZ"&amp;(A278+4))),0)+H278+1,""),"")</f>
        <v/>
      </c>
      <c r="M278" t="str">
        <f ca="1">IF(L278&lt;&gt;"",
OFFSET(数出表_Excel【15時】!$A$1,2,L278-1)
&amp;IFERROR(OFFSET(数出表_Excel【15時】!$A$1,3,L278-1),"")
&amp;IFERROR(OFFSET(数出表_Excel【15時】!$A$1,4,L278-1),""),"")</f>
        <v/>
      </c>
      <c r="N278" t="str">
        <f ca="1">IF(L278&lt;&gt;"",
OFFSET(数出表_Excel【15時】!$A$1,A278+3,L278-1),"")</f>
        <v/>
      </c>
      <c r="O278" t="str">
        <f ca="1">IF(L278&lt;&gt;"",
IF(AND(OFFSET(数出表_Excel【15時】!$A$1,A278+3,L278)&lt;&gt;"",OFFSET(数出表_Excel【15時】!$A$1,A278+3,L278)&lt;&gt;0),
OFFSET(数出表_Excel【15時】!$A$1,A278+3,L278),""),"")</f>
        <v/>
      </c>
      <c r="Q278" t="str">
        <f ca="1">IF(C278&lt;&gt;"",
IF(E278&lt;&gt;"",1,0)+IF(I278&lt;&gt;"",1,0)+IF(M278&lt;&gt;"",1,0),"")</f>
        <v/>
      </c>
    </row>
    <row r="279" spans="1:17">
      <c r="A279" t="str">
        <f t="shared" ca="1" si="4"/>
        <v/>
      </c>
      <c r="B279" t="str">
        <f t="array" aca="1" ref="B279" ca="1">IF(OR(COUNTIF(数出表_Excel【15時】!AO282,"*修正*"),COUNTIF(数出表_Excel【15時】!AO283,"*修正*")),
IF(ISEVEN(ROW()+4),INDIRECT("数出表_Excel【15時】!A"&amp;ROW()+4&amp;""),INDIRECT("数出表_Excel【15時】!A"&amp;ROW()+4-1&amp;"")),"")</f>
        <v/>
      </c>
      <c r="C279" t="str">
        <f t="array" aca="1" ref="C279" ca="1">IF(OR(COUNTIF(数出表_Excel【15時】!AO282,"*修正*"),COUNTIF(数出表_Excel【15時】!AO283,"*修正*")),
IF(ISEVEN(ROW()+4),INDIRECT("数出表_Excel【15時】!A"&amp;ROW()+4+1&amp;""),INDIRECT("数出表_Excel【15時】!A"&amp;ROW()+4&amp;"")),"")</f>
        <v/>
      </c>
      <c r="D279" s="209" t="str">
        <f t="array" aca="1" ref="D279" ca="1">IF(B279&lt;&gt;"",
IFERROR(MATCH(TRUE,ISNUMBER(INDIRECT("数出表_Excel【15時】!B"&amp;(A279+4)&amp;":ZZ"&amp;(A279+4))),0)+1,""),"")</f>
        <v/>
      </c>
      <c r="E279" t="str">
        <f ca="1">IF(D279&lt;&gt;"",
OFFSET(数出表_Excel【15時】!$A$1,2,D279-1)
&amp;IFERROR(OFFSET(数出表_Excel【15時】!$A$1,3,D279-1),"")
&amp;IFERROR(OFFSET(数出表_Excel【15時】!$A$1,4,D279-1),""),"")</f>
        <v/>
      </c>
      <c r="F279" t="str">
        <f ca="1">IF(D279&lt;&gt;"",
OFFSET(数出表_Excel【15時】!$A$1,A279+3,D279-1),"")</f>
        <v/>
      </c>
      <c r="G279" t="str">
        <f ca="1">IF(D279&lt;&gt;"",
IF(AND(OFFSET(数出表_Excel【15時】!$A$1,A279+3,D279)&lt;&gt;"",OFFSET(数出表_Excel【15時】!$A$1,A279+3,D279)&lt;&gt;0),
OFFSET(数出表_Excel【15時】!$A$1,A279+3,D279),""),"")</f>
        <v/>
      </c>
      <c r="H279" s="209" t="str">
        <f t="array" aca="1" ref="H279" ca="1">IF(B279&lt;&gt;"",
IFERROR(MATCH(TRUE,ISNUMBER(INDIRECT("数出表_Excel【15時】!"&amp;SUBSTITUTE(ADDRESS(1,D279+2,4),"1","")&amp;(A279+4)&amp;":ZZ"&amp;(A279+4))),0)+D279+1,""),"")</f>
        <v/>
      </c>
      <c r="I279" t="str">
        <f ca="1">IF(H279&lt;&gt;"",
OFFSET(数出表_Excel【15時】!$A$1,2,H279-1)
&amp;IFERROR(OFFSET(数出表_Excel【15時】!$A$1,3,H279-1),"")
&amp;IFERROR(OFFSET(数出表_Excel【15時】!$A$1,4,H279-1),""),"")</f>
        <v/>
      </c>
      <c r="J279" t="str">
        <f ca="1">IF(H279&lt;&gt;"",
OFFSET(数出表_Excel【15時】!$A$1,A279+3,H279-1),"")</f>
        <v/>
      </c>
      <c r="K279" t="str">
        <f ca="1">IF(H279&lt;&gt;"",
IF(AND(OFFSET(数出表_Excel【15時】!$A$1,A279+3,H279)&lt;&gt;"",OFFSET(数出表_Excel【15時】!$A$1,A279+3,H279)&lt;&gt;0),
OFFSET(数出表_Excel【15時】!$A$1,A279+3,H279),""),"")</f>
        <v/>
      </c>
      <c r="L279" s="209" t="str">
        <f t="array" aca="1" ref="L279" ca="1">IF(B279&lt;&gt;"",
IFERROR(MATCH(TRUE,ISNUMBER(INDIRECT("数出表_Excel【15時】!"&amp;SUBSTITUTE(ADDRESS(1,H279+2,4),"1","")&amp;(A279+4)&amp;":ZZ"&amp;(A279+4))),0)+H279+1,""),"")</f>
        <v/>
      </c>
      <c r="M279" t="str">
        <f ca="1">IF(L279&lt;&gt;"",
OFFSET(数出表_Excel【15時】!$A$1,2,L279-1)
&amp;IFERROR(OFFSET(数出表_Excel【15時】!$A$1,3,L279-1),"")
&amp;IFERROR(OFFSET(数出表_Excel【15時】!$A$1,4,L279-1),""),"")</f>
        <v/>
      </c>
      <c r="N279" t="str">
        <f ca="1">IF(L279&lt;&gt;"",
OFFSET(数出表_Excel【15時】!$A$1,A279+3,L279-1),"")</f>
        <v/>
      </c>
      <c r="O279" t="str">
        <f ca="1">IF(L279&lt;&gt;"",
IF(AND(OFFSET(数出表_Excel【15時】!$A$1,A279+3,L279)&lt;&gt;"",OFFSET(数出表_Excel【15時】!$A$1,A279+3,L279)&lt;&gt;0),
OFFSET(数出表_Excel【15時】!$A$1,A279+3,L279),""),"")</f>
        <v/>
      </c>
    </row>
    <row r="280" spans="1:17">
      <c r="A280" t="str">
        <f t="shared" ca="1" si="4"/>
        <v/>
      </c>
      <c r="B280" t="str">
        <f t="array" aca="1" ref="B280" ca="1">IF(OR(COUNTIF(数出表_Excel【15時】!AO284,"*修正*"),COUNTIF(数出表_Excel【15時】!AO285,"*修正*")),
IF(ISEVEN(ROW()+4),INDIRECT("数出表_Excel【15時】!A"&amp;ROW()+4&amp;""),INDIRECT("数出表_Excel【15時】!A"&amp;ROW()+4-1&amp;"")),"")</f>
        <v/>
      </c>
      <c r="C280" t="str">
        <f t="array" aca="1" ref="C280" ca="1">IF(OR(COUNTIF(数出表_Excel【15時】!AO284,"*修正*"),COUNTIF(数出表_Excel【15時】!AO285,"*修正*")),
IF(ISEVEN(ROW()+4),INDIRECT("数出表_Excel【15時】!A"&amp;ROW()+4+1&amp;""),INDIRECT("数出表_Excel【15時】!A"&amp;ROW()+4&amp;"")),"")</f>
        <v/>
      </c>
      <c r="D280" s="209" t="str">
        <f t="array" aca="1" ref="D280" ca="1">IF(B280&lt;&gt;"",
IFERROR(MATCH(TRUE,ISNUMBER(INDIRECT("数出表_Excel【15時】!B"&amp;(A280+4)&amp;":ZZ"&amp;(A280+4))),0)+1,""),"")</f>
        <v/>
      </c>
      <c r="E280" t="str">
        <f ca="1">IF(D280&lt;&gt;"",
OFFSET(数出表_Excel【15時】!$A$1,2,D280-1)
&amp;IFERROR(OFFSET(数出表_Excel【15時】!$A$1,3,D280-1),"")
&amp;IFERROR(OFFSET(数出表_Excel【15時】!$A$1,4,D280-1),""),"")</f>
        <v/>
      </c>
      <c r="F280" t="str">
        <f ca="1">IF(D280&lt;&gt;"",
OFFSET(数出表_Excel【15時】!$A$1,A280+3,D280-1),"")</f>
        <v/>
      </c>
      <c r="G280" t="str">
        <f ca="1">IF(D280&lt;&gt;"",
IF(AND(OFFSET(数出表_Excel【15時】!$A$1,A280+3,D280)&lt;&gt;"",OFFSET(数出表_Excel【15時】!$A$1,A280+3,D280)&lt;&gt;0),
OFFSET(数出表_Excel【15時】!$A$1,A280+3,D280),""),"")</f>
        <v/>
      </c>
      <c r="H280" s="209" t="str">
        <f t="array" aca="1" ref="H280" ca="1">IF(B280&lt;&gt;"",
IFERROR(MATCH(TRUE,ISNUMBER(INDIRECT("数出表_Excel【15時】!"&amp;SUBSTITUTE(ADDRESS(1,D280+2,4),"1","")&amp;(A280+4)&amp;":ZZ"&amp;(A280+4))),0)+D280+1,""),"")</f>
        <v/>
      </c>
      <c r="I280" t="str">
        <f ca="1">IF(H280&lt;&gt;"",
OFFSET(数出表_Excel【15時】!$A$1,2,H280-1)
&amp;IFERROR(OFFSET(数出表_Excel【15時】!$A$1,3,H280-1),"")
&amp;IFERROR(OFFSET(数出表_Excel【15時】!$A$1,4,H280-1),""),"")</f>
        <v/>
      </c>
      <c r="J280" t="str">
        <f ca="1">IF(H280&lt;&gt;"",
OFFSET(数出表_Excel【15時】!$A$1,A280+3,H280-1),"")</f>
        <v/>
      </c>
      <c r="K280" t="str">
        <f ca="1">IF(H280&lt;&gt;"",
IF(AND(OFFSET(数出表_Excel【15時】!$A$1,A280+3,H280)&lt;&gt;"",OFFSET(数出表_Excel【15時】!$A$1,A280+3,H280)&lt;&gt;0),
OFFSET(数出表_Excel【15時】!$A$1,A280+3,H280),""),"")</f>
        <v/>
      </c>
      <c r="L280" s="209" t="str">
        <f t="array" aca="1" ref="L280" ca="1">IF(B280&lt;&gt;"",
IFERROR(MATCH(TRUE,ISNUMBER(INDIRECT("数出表_Excel【15時】!"&amp;SUBSTITUTE(ADDRESS(1,H280+2,4),"1","")&amp;(A280+4)&amp;":ZZ"&amp;(A280+4))),0)+H280+1,""),"")</f>
        <v/>
      </c>
      <c r="M280" t="str">
        <f ca="1">IF(L280&lt;&gt;"",
OFFSET(数出表_Excel【15時】!$A$1,2,L280-1)
&amp;IFERROR(OFFSET(数出表_Excel【15時】!$A$1,3,L280-1),"")
&amp;IFERROR(OFFSET(数出表_Excel【15時】!$A$1,4,L280-1),""),"")</f>
        <v/>
      </c>
      <c r="N280" t="str">
        <f ca="1">IF(L280&lt;&gt;"",
OFFSET(数出表_Excel【15時】!$A$1,A280+3,L280-1),"")</f>
        <v/>
      </c>
      <c r="O280" t="str">
        <f ca="1">IF(L280&lt;&gt;"",
IF(AND(OFFSET(数出表_Excel【15時】!$A$1,A280+3,L280)&lt;&gt;"",OFFSET(数出表_Excel【15時】!$A$1,A280+3,L280)&lt;&gt;0),
OFFSET(数出表_Excel【15時】!$A$1,A280+3,L280),""),"")</f>
        <v/>
      </c>
      <c r="Q280" t="str">
        <f ca="1">IF(C280&lt;&gt;"",
IF(E280&lt;&gt;"",1,0)+IF(I280&lt;&gt;"",1,0)+IF(M280&lt;&gt;"",1,0),"")</f>
        <v/>
      </c>
    </row>
    <row r="281" spans="1:17">
      <c r="A281" t="str">
        <f t="shared" ca="1" si="4"/>
        <v/>
      </c>
      <c r="B281" t="str">
        <f t="array" aca="1" ref="B281" ca="1">IF(OR(COUNTIF(数出表_Excel【15時】!AO284,"*修正*"),COUNTIF(数出表_Excel【15時】!AO285,"*修正*")),
IF(ISEVEN(ROW()+4),INDIRECT("数出表_Excel【15時】!A"&amp;ROW()+4&amp;""),INDIRECT("数出表_Excel【15時】!A"&amp;ROW()+4-1&amp;"")),"")</f>
        <v/>
      </c>
      <c r="C281" t="str">
        <f t="array" aca="1" ref="C281" ca="1">IF(OR(COUNTIF(数出表_Excel【15時】!AO284,"*修正*"),COUNTIF(数出表_Excel【15時】!AO285,"*修正*")),
IF(ISEVEN(ROW()+4),INDIRECT("数出表_Excel【15時】!A"&amp;ROW()+4+1&amp;""),INDIRECT("数出表_Excel【15時】!A"&amp;ROW()+4&amp;"")),"")</f>
        <v/>
      </c>
      <c r="D281" s="209" t="str">
        <f t="array" aca="1" ref="D281" ca="1">IF(B281&lt;&gt;"",
IFERROR(MATCH(TRUE,ISNUMBER(INDIRECT("数出表_Excel【15時】!B"&amp;(A281+4)&amp;":ZZ"&amp;(A281+4))),0)+1,""),"")</f>
        <v/>
      </c>
      <c r="E281" t="str">
        <f ca="1">IF(D281&lt;&gt;"",
OFFSET(数出表_Excel【15時】!$A$1,2,D281-1)
&amp;IFERROR(OFFSET(数出表_Excel【15時】!$A$1,3,D281-1),"")
&amp;IFERROR(OFFSET(数出表_Excel【15時】!$A$1,4,D281-1),""),"")</f>
        <v/>
      </c>
      <c r="F281" t="str">
        <f ca="1">IF(D281&lt;&gt;"",
OFFSET(数出表_Excel【15時】!$A$1,A281+3,D281-1),"")</f>
        <v/>
      </c>
      <c r="G281" t="str">
        <f ca="1">IF(D281&lt;&gt;"",
IF(AND(OFFSET(数出表_Excel【15時】!$A$1,A281+3,D281)&lt;&gt;"",OFFSET(数出表_Excel【15時】!$A$1,A281+3,D281)&lt;&gt;0),
OFFSET(数出表_Excel【15時】!$A$1,A281+3,D281),""),"")</f>
        <v/>
      </c>
      <c r="H281" s="209" t="str">
        <f t="array" aca="1" ref="H281" ca="1">IF(B281&lt;&gt;"",
IFERROR(MATCH(TRUE,ISNUMBER(INDIRECT("数出表_Excel【15時】!"&amp;SUBSTITUTE(ADDRESS(1,D281+2,4),"1","")&amp;(A281+4)&amp;":ZZ"&amp;(A281+4))),0)+D281+1,""),"")</f>
        <v/>
      </c>
      <c r="I281" t="str">
        <f ca="1">IF(H281&lt;&gt;"",
OFFSET(数出表_Excel【15時】!$A$1,2,H281-1)
&amp;IFERROR(OFFSET(数出表_Excel【15時】!$A$1,3,H281-1),"")
&amp;IFERROR(OFFSET(数出表_Excel【15時】!$A$1,4,H281-1),""),"")</f>
        <v/>
      </c>
      <c r="J281" t="str">
        <f ca="1">IF(H281&lt;&gt;"",
OFFSET(数出表_Excel【15時】!$A$1,A281+3,H281-1),"")</f>
        <v/>
      </c>
      <c r="K281" t="str">
        <f ca="1">IF(H281&lt;&gt;"",
IF(AND(OFFSET(数出表_Excel【15時】!$A$1,A281+3,H281)&lt;&gt;"",OFFSET(数出表_Excel【15時】!$A$1,A281+3,H281)&lt;&gt;0),
OFFSET(数出表_Excel【15時】!$A$1,A281+3,H281),""),"")</f>
        <v/>
      </c>
      <c r="L281" s="209" t="str">
        <f t="array" aca="1" ref="L281" ca="1">IF(B281&lt;&gt;"",
IFERROR(MATCH(TRUE,ISNUMBER(INDIRECT("数出表_Excel【15時】!"&amp;SUBSTITUTE(ADDRESS(1,H281+2,4),"1","")&amp;(A281+4)&amp;":ZZ"&amp;(A281+4))),0)+H281+1,""),"")</f>
        <v/>
      </c>
      <c r="M281" t="str">
        <f ca="1">IF(L281&lt;&gt;"",
OFFSET(数出表_Excel【15時】!$A$1,2,L281-1)
&amp;IFERROR(OFFSET(数出表_Excel【15時】!$A$1,3,L281-1),"")
&amp;IFERROR(OFFSET(数出表_Excel【15時】!$A$1,4,L281-1),""),"")</f>
        <v/>
      </c>
      <c r="N281" t="str">
        <f ca="1">IF(L281&lt;&gt;"",
OFFSET(数出表_Excel【15時】!$A$1,A281+3,L281-1),"")</f>
        <v/>
      </c>
      <c r="O281" t="str">
        <f ca="1">IF(L281&lt;&gt;"",
IF(AND(OFFSET(数出表_Excel【15時】!$A$1,A281+3,L281)&lt;&gt;"",OFFSET(数出表_Excel【15時】!$A$1,A281+3,L281)&lt;&gt;0),
OFFSET(数出表_Excel【15時】!$A$1,A281+3,L281),""),"")</f>
        <v/>
      </c>
    </row>
    <row r="282" spans="1:17">
      <c r="A282" t="str">
        <f t="shared" ca="1" si="4"/>
        <v/>
      </c>
      <c r="B282" t="str">
        <f t="array" aca="1" ref="B282" ca="1">IF(OR(COUNTIF(数出表_Excel【15時】!AO286,"*修正*"),COUNTIF(数出表_Excel【15時】!AO287,"*修正*")),
IF(ISEVEN(ROW()+4),INDIRECT("数出表_Excel【15時】!A"&amp;ROW()+4&amp;""),INDIRECT("数出表_Excel【15時】!A"&amp;ROW()+4-1&amp;"")),"")</f>
        <v/>
      </c>
      <c r="C282" t="str">
        <f t="array" aca="1" ref="C282" ca="1">IF(OR(COUNTIF(数出表_Excel【15時】!AO286,"*修正*"),COUNTIF(数出表_Excel【15時】!AO287,"*修正*")),
IF(ISEVEN(ROW()+4),INDIRECT("数出表_Excel【15時】!A"&amp;ROW()+4+1&amp;""),INDIRECT("数出表_Excel【15時】!A"&amp;ROW()+4&amp;"")),"")</f>
        <v/>
      </c>
      <c r="D282" s="209" t="str">
        <f t="array" aca="1" ref="D282" ca="1">IF(B282&lt;&gt;"",
IFERROR(MATCH(TRUE,ISNUMBER(INDIRECT("数出表_Excel【15時】!B"&amp;(A282+4)&amp;":ZZ"&amp;(A282+4))),0)+1,""),"")</f>
        <v/>
      </c>
      <c r="E282" t="str">
        <f ca="1">IF(D282&lt;&gt;"",
OFFSET(数出表_Excel【15時】!$A$1,2,D282-1)
&amp;IFERROR(OFFSET(数出表_Excel【15時】!$A$1,3,D282-1),"")
&amp;IFERROR(OFFSET(数出表_Excel【15時】!$A$1,4,D282-1),""),"")</f>
        <v/>
      </c>
      <c r="F282" t="str">
        <f ca="1">IF(D282&lt;&gt;"",
OFFSET(数出表_Excel【15時】!$A$1,A282+3,D282-1),"")</f>
        <v/>
      </c>
      <c r="G282" t="str">
        <f ca="1">IF(D282&lt;&gt;"",
IF(AND(OFFSET(数出表_Excel【15時】!$A$1,A282+3,D282)&lt;&gt;"",OFFSET(数出表_Excel【15時】!$A$1,A282+3,D282)&lt;&gt;0),
OFFSET(数出表_Excel【15時】!$A$1,A282+3,D282),""),"")</f>
        <v/>
      </c>
      <c r="H282" s="209" t="str">
        <f t="array" aca="1" ref="H282" ca="1">IF(B282&lt;&gt;"",
IFERROR(MATCH(TRUE,ISNUMBER(INDIRECT("数出表_Excel【15時】!"&amp;SUBSTITUTE(ADDRESS(1,D282+2,4),"1","")&amp;(A282+4)&amp;":ZZ"&amp;(A282+4))),0)+D282+1,""),"")</f>
        <v/>
      </c>
      <c r="I282" t="str">
        <f ca="1">IF(H282&lt;&gt;"",
OFFSET(数出表_Excel【15時】!$A$1,2,H282-1)
&amp;IFERROR(OFFSET(数出表_Excel【15時】!$A$1,3,H282-1),"")
&amp;IFERROR(OFFSET(数出表_Excel【15時】!$A$1,4,H282-1),""),"")</f>
        <v/>
      </c>
      <c r="J282" t="str">
        <f ca="1">IF(H282&lt;&gt;"",
OFFSET(数出表_Excel【15時】!$A$1,A282+3,H282-1),"")</f>
        <v/>
      </c>
      <c r="K282" t="str">
        <f ca="1">IF(H282&lt;&gt;"",
IF(AND(OFFSET(数出表_Excel【15時】!$A$1,A282+3,H282)&lt;&gt;"",OFFSET(数出表_Excel【15時】!$A$1,A282+3,H282)&lt;&gt;0),
OFFSET(数出表_Excel【15時】!$A$1,A282+3,H282),""),"")</f>
        <v/>
      </c>
      <c r="L282" s="209" t="str">
        <f t="array" aca="1" ref="L282" ca="1">IF(B282&lt;&gt;"",
IFERROR(MATCH(TRUE,ISNUMBER(INDIRECT("数出表_Excel【15時】!"&amp;SUBSTITUTE(ADDRESS(1,H282+2,4),"1","")&amp;(A282+4)&amp;":ZZ"&amp;(A282+4))),0)+H282+1,""),"")</f>
        <v/>
      </c>
      <c r="M282" t="str">
        <f ca="1">IF(L282&lt;&gt;"",
OFFSET(数出表_Excel【15時】!$A$1,2,L282-1)
&amp;IFERROR(OFFSET(数出表_Excel【15時】!$A$1,3,L282-1),"")
&amp;IFERROR(OFFSET(数出表_Excel【15時】!$A$1,4,L282-1),""),"")</f>
        <v/>
      </c>
      <c r="N282" t="str">
        <f ca="1">IF(L282&lt;&gt;"",
OFFSET(数出表_Excel【15時】!$A$1,A282+3,L282-1),"")</f>
        <v/>
      </c>
      <c r="O282" t="str">
        <f ca="1">IF(L282&lt;&gt;"",
IF(AND(OFFSET(数出表_Excel【15時】!$A$1,A282+3,L282)&lt;&gt;"",OFFSET(数出表_Excel【15時】!$A$1,A282+3,L282)&lt;&gt;0),
OFFSET(数出表_Excel【15時】!$A$1,A282+3,L282),""),"")</f>
        <v/>
      </c>
      <c r="Q282" t="str">
        <f ca="1">IF(C282&lt;&gt;"",
IF(E282&lt;&gt;"",1,0)+IF(I282&lt;&gt;"",1,0)+IF(M282&lt;&gt;"",1,0),"")</f>
        <v/>
      </c>
    </row>
    <row r="283" spans="1:17">
      <c r="A283" t="str">
        <f t="shared" ca="1" si="4"/>
        <v/>
      </c>
      <c r="B283" t="str">
        <f t="array" aca="1" ref="B283" ca="1">IF(OR(COUNTIF(数出表_Excel【15時】!AO286,"*修正*"),COUNTIF(数出表_Excel【15時】!AO287,"*修正*")),
IF(ISEVEN(ROW()+4),INDIRECT("数出表_Excel【15時】!A"&amp;ROW()+4&amp;""),INDIRECT("数出表_Excel【15時】!A"&amp;ROW()+4-1&amp;"")),"")</f>
        <v/>
      </c>
      <c r="C283" t="str">
        <f t="array" aca="1" ref="C283" ca="1">IF(OR(COUNTIF(数出表_Excel【15時】!AO286,"*修正*"),COUNTIF(数出表_Excel【15時】!AO287,"*修正*")),
IF(ISEVEN(ROW()+4),INDIRECT("数出表_Excel【15時】!A"&amp;ROW()+4+1&amp;""),INDIRECT("数出表_Excel【15時】!A"&amp;ROW()+4&amp;"")),"")</f>
        <v/>
      </c>
      <c r="D283" s="209" t="str">
        <f t="array" aca="1" ref="D283" ca="1">IF(B283&lt;&gt;"",
IFERROR(MATCH(TRUE,ISNUMBER(INDIRECT("数出表_Excel【15時】!B"&amp;(A283+4)&amp;":ZZ"&amp;(A283+4))),0)+1,""),"")</f>
        <v/>
      </c>
      <c r="E283" t="str">
        <f ca="1">IF(D283&lt;&gt;"",
OFFSET(数出表_Excel【15時】!$A$1,2,D283-1)
&amp;IFERROR(OFFSET(数出表_Excel【15時】!$A$1,3,D283-1),"")
&amp;IFERROR(OFFSET(数出表_Excel【15時】!$A$1,4,D283-1),""),"")</f>
        <v/>
      </c>
      <c r="F283" t="str">
        <f ca="1">IF(D283&lt;&gt;"",
OFFSET(数出表_Excel【15時】!$A$1,A283+3,D283-1),"")</f>
        <v/>
      </c>
      <c r="G283" t="str">
        <f ca="1">IF(D283&lt;&gt;"",
IF(AND(OFFSET(数出表_Excel【15時】!$A$1,A283+3,D283)&lt;&gt;"",OFFSET(数出表_Excel【15時】!$A$1,A283+3,D283)&lt;&gt;0),
OFFSET(数出表_Excel【15時】!$A$1,A283+3,D283),""),"")</f>
        <v/>
      </c>
      <c r="H283" s="209" t="str">
        <f t="array" aca="1" ref="H283" ca="1">IF(B283&lt;&gt;"",
IFERROR(MATCH(TRUE,ISNUMBER(INDIRECT("数出表_Excel【15時】!"&amp;SUBSTITUTE(ADDRESS(1,D283+2,4),"1","")&amp;(A283+4)&amp;":ZZ"&amp;(A283+4))),0)+D283+1,""),"")</f>
        <v/>
      </c>
      <c r="I283" t="str">
        <f ca="1">IF(H283&lt;&gt;"",
OFFSET(数出表_Excel【15時】!$A$1,2,H283-1)
&amp;IFERROR(OFFSET(数出表_Excel【15時】!$A$1,3,H283-1),"")
&amp;IFERROR(OFFSET(数出表_Excel【15時】!$A$1,4,H283-1),""),"")</f>
        <v/>
      </c>
      <c r="J283" t="str">
        <f ca="1">IF(H283&lt;&gt;"",
OFFSET(数出表_Excel【15時】!$A$1,A283+3,H283-1),"")</f>
        <v/>
      </c>
      <c r="K283" t="str">
        <f ca="1">IF(H283&lt;&gt;"",
IF(AND(OFFSET(数出表_Excel【15時】!$A$1,A283+3,H283)&lt;&gt;"",OFFSET(数出表_Excel【15時】!$A$1,A283+3,H283)&lt;&gt;0),
OFFSET(数出表_Excel【15時】!$A$1,A283+3,H283),""),"")</f>
        <v/>
      </c>
      <c r="L283" s="209" t="str">
        <f t="array" aca="1" ref="L283" ca="1">IF(B283&lt;&gt;"",
IFERROR(MATCH(TRUE,ISNUMBER(INDIRECT("数出表_Excel【15時】!"&amp;SUBSTITUTE(ADDRESS(1,H283+2,4),"1","")&amp;(A283+4)&amp;":ZZ"&amp;(A283+4))),0)+H283+1,""),"")</f>
        <v/>
      </c>
      <c r="M283" t="str">
        <f ca="1">IF(L283&lt;&gt;"",
OFFSET(数出表_Excel【15時】!$A$1,2,L283-1)
&amp;IFERROR(OFFSET(数出表_Excel【15時】!$A$1,3,L283-1),"")
&amp;IFERROR(OFFSET(数出表_Excel【15時】!$A$1,4,L283-1),""),"")</f>
        <v/>
      </c>
      <c r="N283" t="str">
        <f ca="1">IF(L283&lt;&gt;"",
OFFSET(数出表_Excel【15時】!$A$1,A283+3,L283-1),"")</f>
        <v/>
      </c>
      <c r="O283" t="str">
        <f ca="1">IF(L283&lt;&gt;"",
IF(AND(OFFSET(数出表_Excel【15時】!$A$1,A283+3,L283)&lt;&gt;"",OFFSET(数出表_Excel【15時】!$A$1,A283+3,L283)&lt;&gt;0),
OFFSET(数出表_Excel【15時】!$A$1,A283+3,L283),""),"")</f>
        <v/>
      </c>
    </row>
    <row r="284" spans="1:17">
      <c r="A284" t="str">
        <f t="shared" ca="1" si="4"/>
        <v/>
      </c>
      <c r="B284" t="str">
        <f t="array" aca="1" ref="B284" ca="1">IF(OR(COUNTIF(数出表_Excel【15時】!AO288,"*修正*"),COUNTIF(数出表_Excel【15時】!AO289,"*修正*")),
IF(ISEVEN(ROW()+4),INDIRECT("数出表_Excel【15時】!A"&amp;ROW()+4&amp;""),INDIRECT("数出表_Excel【15時】!A"&amp;ROW()+4-1&amp;"")),"")</f>
        <v/>
      </c>
      <c r="C284" t="str">
        <f t="array" aca="1" ref="C284" ca="1">IF(OR(COUNTIF(数出表_Excel【15時】!AO288,"*修正*"),COUNTIF(数出表_Excel【15時】!AO289,"*修正*")),
IF(ISEVEN(ROW()+4),INDIRECT("数出表_Excel【15時】!A"&amp;ROW()+4+1&amp;""),INDIRECT("数出表_Excel【15時】!A"&amp;ROW()+4&amp;"")),"")</f>
        <v/>
      </c>
      <c r="D284" s="209" t="str">
        <f t="array" aca="1" ref="D284" ca="1">IF(B284&lt;&gt;"",
IFERROR(MATCH(TRUE,ISNUMBER(INDIRECT("数出表_Excel【15時】!B"&amp;(A284+4)&amp;":ZZ"&amp;(A284+4))),0)+1,""),"")</f>
        <v/>
      </c>
      <c r="E284" t="str">
        <f ca="1">IF(D284&lt;&gt;"",
OFFSET(数出表_Excel【15時】!$A$1,2,D284-1)
&amp;IFERROR(OFFSET(数出表_Excel【15時】!$A$1,3,D284-1),"")
&amp;IFERROR(OFFSET(数出表_Excel【15時】!$A$1,4,D284-1),""),"")</f>
        <v/>
      </c>
      <c r="F284" t="str">
        <f ca="1">IF(D284&lt;&gt;"",
OFFSET(数出表_Excel【15時】!$A$1,A284+3,D284-1),"")</f>
        <v/>
      </c>
      <c r="G284" t="str">
        <f ca="1">IF(D284&lt;&gt;"",
IF(AND(OFFSET(数出表_Excel【15時】!$A$1,A284+3,D284)&lt;&gt;"",OFFSET(数出表_Excel【15時】!$A$1,A284+3,D284)&lt;&gt;0),
OFFSET(数出表_Excel【15時】!$A$1,A284+3,D284),""),"")</f>
        <v/>
      </c>
      <c r="H284" s="209" t="str">
        <f t="array" aca="1" ref="H284" ca="1">IF(B284&lt;&gt;"",
IFERROR(MATCH(TRUE,ISNUMBER(INDIRECT("数出表_Excel【15時】!"&amp;SUBSTITUTE(ADDRESS(1,D284+2,4),"1","")&amp;(A284+4)&amp;":ZZ"&amp;(A284+4))),0)+D284+1,""),"")</f>
        <v/>
      </c>
      <c r="I284" t="str">
        <f ca="1">IF(H284&lt;&gt;"",
OFFSET(数出表_Excel【15時】!$A$1,2,H284-1)
&amp;IFERROR(OFFSET(数出表_Excel【15時】!$A$1,3,H284-1),"")
&amp;IFERROR(OFFSET(数出表_Excel【15時】!$A$1,4,H284-1),""),"")</f>
        <v/>
      </c>
      <c r="J284" t="str">
        <f ca="1">IF(H284&lt;&gt;"",
OFFSET(数出表_Excel【15時】!$A$1,A284+3,H284-1),"")</f>
        <v/>
      </c>
      <c r="K284" t="str">
        <f ca="1">IF(H284&lt;&gt;"",
IF(AND(OFFSET(数出表_Excel【15時】!$A$1,A284+3,H284)&lt;&gt;"",OFFSET(数出表_Excel【15時】!$A$1,A284+3,H284)&lt;&gt;0),
OFFSET(数出表_Excel【15時】!$A$1,A284+3,H284),""),"")</f>
        <v/>
      </c>
      <c r="L284" s="209" t="str">
        <f t="array" aca="1" ref="L284" ca="1">IF(B284&lt;&gt;"",
IFERROR(MATCH(TRUE,ISNUMBER(INDIRECT("数出表_Excel【15時】!"&amp;SUBSTITUTE(ADDRESS(1,H284+2,4),"1","")&amp;(A284+4)&amp;":ZZ"&amp;(A284+4))),0)+H284+1,""),"")</f>
        <v/>
      </c>
      <c r="M284" t="str">
        <f ca="1">IF(L284&lt;&gt;"",
OFFSET(数出表_Excel【15時】!$A$1,2,L284-1)
&amp;IFERROR(OFFSET(数出表_Excel【15時】!$A$1,3,L284-1),"")
&amp;IFERROR(OFFSET(数出表_Excel【15時】!$A$1,4,L284-1),""),"")</f>
        <v/>
      </c>
      <c r="N284" t="str">
        <f ca="1">IF(L284&lt;&gt;"",
OFFSET(数出表_Excel【15時】!$A$1,A284+3,L284-1),"")</f>
        <v/>
      </c>
      <c r="O284" t="str">
        <f ca="1">IF(L284&lt;&gt;"",
IF(AND(OFFSET(数出表_Excel【15時】!$A$1,A284+3,L284)&lt;&gt;"",OFFSET(数出表_Excel【15時】!$A$1,A284+3,L284)&lt;&gt;0),
OFFSET(数出表_Excel【15時】!$A$1,A284+3,L284),""),"")</f>
        <v/>
      </c>
      <c r="Q284" t="str">
        <f ca="1">IF(C284&lt;&gt;"",
IF(E284&lt;&gt;"",1,0)+IF(I284&lt;&gt;"",1,0)+IF(M284&lt;&gt;"",1,0),"")</f>
        <v/>
      </c>
    </row>
    <row r="285" spans="1:17">
      <c r="A285" t="str">
        <f t="shared" ca="1" si="4"/>
        <v/>
      </c>
      <c r="B285" t="str">
        <f t="array" aca="1" ref="B285" ca="1">IF(OR(COUNTIF(数出表_Excel【15時】!AO288,"*修正*"),COUNTIF(数出表_Excel【15時】!AO289,"*修正*")),
IF(ISEVEN(ROW()+4),INDIRECT("数出表_Excel【15時】!A"&amp;ROW()+4&amp;""),INDIRECT("数出表_Excel【15時】!A"&amp;ROW()+4-1&amp;"")),"")</f>
        <v/>
      </c>
      <c r="C285" t="str">
        <f t="array" aca="1" ref="C285" ca="1">IF(OR(COUNTIF(数出表_Excel【15時】!AO288,"*修正*"),COUNTIF(数出表_Excel【15時】!AO289,"*修正*")),
IF(ISEVEN(ROW()+4),INDIRECT("数出表_Excel【15時】!A"&amp;ROW()+4+1&amp;""),INDIRECT("数出表_Excel【15時】!A"&amp;ROW()+4&amp;"")),"")</f>
        <v/>
      </c>
      <c r="D285" s="209" t="str">
        <f t="array" aca="1" ref="D285" ca="1">IF(B285&lt;&gt;"",
IFERROR(MATCH(TRUE,ISNUMBER(INDIRECT("数出表_Excel【15時】!B"&amp;(A285+4)&amp;":ZZ"&amp;(A285+4))),0)+1,""),"")</f>
        <v/>
      </c>
      <c r="E285" t="str">
        <f ca="1">IF(D285&lt;&gt;"",
OFFSET(数出表_Excel【15時】!$A$1,2,D285-1)
&amp;IFERROR(OFFSET(数出表_Excel【15時】!$A$1,3,D285-1),"")
&amp;IFERROR(OFFSET(数出表_Excel【15時】!$A$1,4,D285-1),""),"")</f>
        <v/>
      </c>
      <c r="F285" t="str">
        <f ca="1">IF(D285&lt;&gt;"",
OFFSET(数出表_Excel【15時】!$A$1,A285+3,D285-1),"")</f>
        <v/>
      </c>
      <c r="G285" t="str">
        <f ca="1">IF(D285&lt;&gt;"",
IF(AND(OFFSET(数出表_Excel【15時】!$A$1,A285+3,D285)&lt;&gt;"",OFFSET(数出表_Excel【15時】!$A$1,A285+3,D285)&lt;&gt;0),
OFFSET(数出表_Excel【15時】!$A$1,A285+3,D285),""),"")</f>
        <v/>
      </c>
      <c r="H285" s="209" t="str">
        <f t="array" aca="1" ref="H285" ca="1">IF(B285&lt;&gt;"",
IFERROR(MATCH(TRUE,ISNUMBER(INDIRECT("数出表_Excel【15時】!"&amp;SUBSTITUTE(ADDRESS(1,D285+2,4),"1","")&amp;(A285+4)&amp;":ZZ"&amp;(A285+4))),0)+D285+1,""),"")</f>
        <v/>
      </c>
      <c r="I285" t="str">
        <f ca="1">IF(H285&lt;&gt;"",
OFFSET(数出表_Excel【15時】!$A$1,2,H285-1)
&amp;IFERROR(OFFSET(数出表_Excel【15時】!$A$1,3,H285-1),"")
&amp;IFERROR(OFFSET(数出表_Excel【15時】!$A$1,4,H285-1),""),"")</f>
        <v/>
      </c>
      <c r="J285" t="str">
        <f ca="1">IF(H285&lt;&gt;"",
OFFSET(数出表_Excel【15時】!$A$1,A285+3,H285-1),"")</f>
        <v/>
      </c>
      <c r="K285" t="str">
        <f ca="1">IF(H285&lt;&gt;"",
IF(AND(OFFSET(数出表_Excel【15時】!$A$1,A285+3,H285)&lt;&gt;"",OFFSET(数出表_Excel【15時】!$A$1,A285+3,H285)&lt;&gt;0),
OFFSET(数出表_Excel【15時】!$A$1,A285+3,H285),""),"")</f>
        <v/>
      </c>
      <c r="L285" s="209" t="str">
        <f t="array" aca="1" ref="L285" ca="1">IF(B285&lt;&gt;"",
IFERROR(MATCH(TRUE,ISNUMBER(INDIRECT("数出表_Excel【15時】!"&amp;SUBSTITUTE(ADDRESS(1,H285+2,4),"1","")&amp;(A285+4)&amp;":ZZ"&amp;(A285+4))),0)+H285+1,""),"")</f>
        <v/>
      </c>
      <c r="M285" t="str">
        <f ca="1">IF(L285&lt;&gt;"",
OFFSET(数出表_Excel【15時】!$A$1,2,L285-1)
&amp;IFERROR(OFFSET(数出表_Excel【15時】!$A$1,3,L285-1),"")
&amp;IFERROR(OFFSET(数出表_Excel【15時】!$A$1,4,L285-1),""),"")</f>
        <v/>
      </c>
      <c r="N285" t="str">
        <f ca="1">IF(L285&lt;&gt;"",
OFFSET(数出表_Excel【15時】!$A$1,A285+3,L285-1),"")</f>
        <v/>
      </c>
      <c r="O285" t="str">
        <f ca="1">IF(L285&lt;&gt;"",
IF(AND(OFFSET(数出表_Excel【15時】!$A$1,A285+3,L285)&lt;&gt;"",OFFSET(数出表_Excel【15時】!$A$1,A285+3,L285)&lt;&gt;0),
OFFSET(数出表_Excel【15時】!$A$1,A285+3,L285),""),"")</f>
        <v/>
      </c>
    </row>
    <row r="286" spans="1:17">
      <c r="A286" t="str">
        <f t="shared" ca="1" si="4"/>
        <v/>
      </c>
      <c r="B286" t="str">
        <f t="array" aca="1" ref="B286" ca="1">IF(OR(COUNTIF(数出表_Excel【15時】!AO290,"*修正*"),COUNTIF(数出表_Excel【15時】!AO291,"*修正*")),
IF(ISEVEN(ROW()+4),INDIRECT("数出表_Excel【15時】!A"&amp;ROW()+4&amp;""),INDIRECT("数出表_Excel【15時】!A"&amp;ROW()+4-1&amp;"")),"")</f>
        <v/>
      </c>
      <c r="C286" t="str">
        <f t="array" aca="1" ref="C286" ca="1">IF(OR(COUNTIF(数出表_Excel【15時】!AO290,"*修正*"),COUNTIF(数出表_Excel【15時】!AO291,"*修正*")),
IF(ISEVEN(ROW()+4),INDIRECT("数出表_Excel【15時】!A"&amp;ROW()+4+1&amp;""),INDIRECT("数出表_Excel【15時】!A"&amp;ROW()+4&amp;"")),"")</f>
        <v/>
      </c>
      <c r="D286" s="209" t="str">
        <f t="array" aca="1" ref="D286" ca="1">IF(B286&lt;&gt;"",
IFERROR(MATCH(TRUE,ISNUMBER(INDIRECT("数出表_Excel【15時】!B"&amp;(A286+4)&amp;":ZZ"&amp;(A286+4))),0)+1,""),"")</f>
        <v/>
      </c>
      <c r="E286" t="str">
        <f ca="1">IF(D286&lt;&gt;"",
OFFSET(数出表_Excel【15時】!$A$1,2,D286-1)
&amp;IFERROR(OFFSET(数出表_Excel【15時】!$A$1,3,D286-1),"")
&amp;IFERROR(OFFSET(数出表_Excel【15時】!$A$1,4,D286-1),""),"")</f>
        <v/>
      </c>
      <c r="F286" t="str">
        <f ca="1">IF(D286&lt;&gt;"",
OFFSET(数出表_Excel【15時】!$A$1,A286+3,D286-1),"")</f>
        <v/>
      </c>
      <c r="G286" t="str">
        <f ca="1">IF(D286&lt;&gt;"",
IF(AND(OFFSET(数出表_Excel【15時】!$A$1,A286+3,D286)&lt;&gt;"",OFFSET(数出表_Excel【15時】!$A$1,A286+3,D286)&lt;&gt;0),
OFFSET(数出表_Excel【15時】!$A$1,A286+3,D286),""),"")</f>
        <v/>
      </c>
      <c r="H286" s="209" t="str">
        <f t="array" aca="1" ref="H286" ca="1">IF(B286&lt;&gt;"",
IFERROR(MATCH(TRUE,ISNUMBER(INDIRECT("数出表_Excel【15時】!"&amp;SUBSTITUTE(ADDRESS(1,D286+2,4),"1","")&amp;(A286+4)&amp;":ZZ"&amp;(A286+4))),0)+D286+1,""),"")</f>
        <v/>
      </c>
      <c r="I286" t="str">
        <f ca="1">IF(H286&lt;&gt;"",
OFFSET(数出表_Excel【15時】!$A$1,2,H286-1)
&amp;IFERROR(OFFSET(数出表_Excel【15時】!$A$1,3,H286-1),"")
&amp;IFERROR(OFFSET(数出表_Excel【15時】!$A$1,4,H286-1),""),"")</f>
        <v/>
      </c>
      <c r="J286" t="str">
        <f ca="1">IF(H286&lt;&gt;"",
OFFSET(数出表_Excel【15時】!$A$1,A286+3,H286-1),"")</f>
        <v/>
      </c>
      <c r="K286" t="str">
        <f ca="1">IF(H286&lt;&gt;"",
IF(AND(OFFSET(数出表_Excel【15時】!$A$1,A286+3,H286)&lt;&gt;"",OFFSET(数出表_Excel【15時】!$A$1,A286+3,H286)&lt;&gt;0),
OFFSET(数出表_Excel【15時】!$A$1,A286+3,H286),""),"")</f>
        <v/>
      </c>
      <c r="L286" s="209" t="str">
        <f t="array" aca="1" ref="L286" ca="1">IF(B286&lt;&gt;"",
IFERROR(MATCH(TRUE,ISNUMBER(INDIRECT("数出表_Excel【15時】!"&amp;SUBSTITUTE(ADDRESS(1,H286+2,4),"1","")&amp;(A286+4)&amp;":ZZ"&amp;(A286+4))),0)+H286+1,""),"")</f>
        <v/>
      </c>
      <c r="M286" t="str">
        <f ca="1">IF(L286&lt;&gt;"",
OFFSET(数出表_Excel【15時】!$A$1,2,L286-1)
&amp;IFERROR(OFFSET(数出表_Excel【15時】!$A$1,3,L286-1),"")
&amp;IFERROR(OFFSET(数出表_Excel【15時】!$A$1,4,L286-1),""),"")</f>
        <v/>
      </c>
      <c r="N286" t="str">
        <f ca="1">IF(L286&lt;&gt;"",
OFFSET(数出表_Excel【15時】!$A$1,A286+3,L286-1),"")</f>
        <v/>
      </c>
      <c r="O286" t="str">
        <f ca="1">IF(L286&lt;&gt;"",
IF(AND(OFFSET(数出表_Excel【15時】!$A$1,A286+3,L286)&lt;&gt;"",OFFSET(数出表_Excel【15時】!$A$1,A286+3,L286)&lt;&gt;0),
OFFSET(数出表_Excel【15時】!$A$1,A286+3,L286),""),"")</f>
        <v/>
      </c>
      <c r="Q286" t="str">
        <f ca="1">IF(C286&lt;&gt;"",
IF(E286&lt;&gt;"",1,0)+IF(I286&lt;&gt;"",1,0)+IF(M286&lt;&gt;"",1,0),"")</f>
        <v/>
      </c>
    </row>
    <row r="287" spans="1:17">
      <c r="A287" t="str">
        <f t="shared" ca="1" si="4"/>
        <v/>
      </c>
      <c r="B287" t="str">
        <f t="array" aca="1" ref="B287" ca="1">IF(OR(COUNTIF(数出表_Excel【15時】!AO290,"*修正*"),COUNTIF(数出表_Excel【15時】!AO291,"*修正*")),
IF(ISEVEN(ROW()+4),INDIRECT("数出表_Excel【15時】!A"&amp;ROW()+4&amp;""),INDIRECT("数出表_Excel【15時】!A"&amp;ROW()+4-1&amp;"")),"")</f>
        <v/>
      </c>
      <c r="C287" t="str">
        <f t="array" aca="1" ref="C287" ca="1">IF(OR(COUNTIF(数出表_Excel【15時】!AO290,"*修正*"),COUNTIF(数出表_Excel【15時】!AO291,"*修正*")),
IF(ISEVEN(ROW()+4),INDIRECT("数出表_Excel【15時】!A"&amp;ROW()+4+1&amp;""),INDIRECT("数出表_Excel【15時】!A"&amp;ROW()+4&amp;"")),"")</f>
        <v/>
      </c>
      <c r="D287" s="209" t="str">
        <f t="array" aca="1" ref="D287" ca="1">IF(B287&lt;&gt;"",
IFERROR(MATCH(TRUE,ISNUMBER(INDIRECT("数出表_Excel【15時】!B"&amp;(A287+4)&amp;":ZZ"&amp;(A287+4))),0)+1,""),"")</f>
        <v/>
      </c>
      <c r="E287" t="str">
        <f ca="1">IF(D287&lt;&gt;"",
OFFSET(数出表_Excel【15時】!$A$1,2,D287-1)
&amp;IFERROR(OFFSET(数出表_Excel【15時】!$A$1,3,D287-1),"")
&amp;IFERROR(OFFSET(数出表_Excel【15時】!$A$1,4,D287-1),""),"")</f>
        <v/>
      </c>
      <c r="F287" t="str">
        <f ca="1">IF(D287&lt;&gt;"",
OFFSET(数出表_Excel【15時】!$A$1,A287+3,D287-1),"")</f>
        <v/>
      </c>
      <c r="G287" t="str">
        <f ca="1">IF(D287&lt;&gt;"",
IF(AND(OFFSET(数出表_Excel【15時】!$A$1,A287+3,D287)&lt;&gt;"",OFFSET(数出表_Excel【15時】!$A$1,A287+3,D287)&lt;&gt;0),
OFFSET(数出表_Excel【15時】!$A$1,A287+3,D287),""),"")</f>
        <v/>
      </c>
      <c r="H287" s="209" t="str">
        <f t="array" aca="1" ref="H287" ca="1">IF(B287&lt;&gt;"",
IFERROR(MATCH(TRUE,ISNUMBER(INDIRECT("数出表_Excel【15時】!"&amp;SUBSTITUTE(ADDRESS(1,D287+2,4),"1","")&amp;(A287+4)&amp;":ZZ"&amp;(A287+4))),0)+D287+1,""),"")</f>
        <v/>
      </c>
      <c r="I287" t="str">
        <f ca="1">IF(H287&lt;&gt;"",
OFFSET(数出表_Excel【15時】!$A$1,2,H287-1)
&amp;IFERROR(OFFSET(数出表_Excel【15時】!$A$1,3,H287-1),"")
&amp;IFERROR(OFFSET(数出表_Excel【15時】!$A$1,4,H287-1),""),"")</f>
        <v/>
      </c>
      <c r="J287" t="str">
        <f ca="1">IF(H287&lt;&gt;"",
OFFSET(数出表_Excel【15時】!$A$1,A287+3,H287-1),"")</f>
        <v/>
      </c>
      <c r="K287" t="str">
        <f ca="1">IF(H287&lt;&gt;"",
IF(AND(OFFSET(数出表_Excel【15時】!$A$1,A287+3,H287)&lt;&gt;"",OFFSET(数出表_Excel【15時】!$A$1,A287+3,H287)&lt;&gt;0),
OFFSET(数出表_Excel【15時】!$A$1,A287+3,H287),""),"")</f>
        <v/>
      </c>
      <c r="L287" s="209" t="str">
        <f t="array" aca="1" ref="L287" ca="1">IF(B287&lt;&gt;"",
IFERROR(MATCH(TRUE,ISNUMBER(INDIRECT("数出表_Excel【15時】!"&amp;SUBSTITUTE(ADDRESS(1,H287+2,4),"1","")&amp;(A287+4)&amp;":ZZ"&amp;(A287+4))),0)+H287+1,""),"")</f>
        <v/>
      </c>
      <c r="M287" t="str">
        <f ca="1">IF(L287&lt;&gt;"",
OFFSET(数出表_Excel【15時】!$A$1,2,L287-1)
&amp;IFERROR(OFFSET(数出表_Excel【15時】!$A$1,3,L287-1),"")
&amp;IFERROR(OFFSET(数出表_Excel【15時】!$A$1,4,L287-1),""),"")</f>
        <v/>
      </c>
      <c r="N287" t="str">
        <f ca="1">IF(L287&lt;&gt;"",
OFFSET(数出表_Excel【15時】!$A$1,A287+3,L287-1),"")</f>
        <v/>
      </c>
      <c r="O287" t="str">
        <f ca="1">IF(L287&lt;&gt;"",
IF(AND(OFFSET(数出表_Excel【15時】!$A$1,A287+3,L287)&lt;&gt;"",OFFSET(数出表_Excel【15時】!$A$1,A287+3,L287)&lt;&gt;0),
OFFSET(数出表_Excel【15時】!$A$1,A287+3,L287),""),"")</f>
        <v/>
      </c>
    </row>
    <row r="288" spans="1:17">
      <c r="A288" t="str">
        <f t="shared" ca="1" si="4"/>
        <v/>
      </c>
      <c r="B288" t="str">
        <f t="array" aca="1" ref="B288" ca="1">IF(OR(COUNTIF(数出表_Excel【15時】!AO292,"*修正*"),COUNTIF(数出表_Excel【15時】!AO293,"*修正*")),
IF(ISEVEN(ROW()+4),INDIRECT("数出表_Excel【15時】!A"&amp;ROW()+4&amp;""),INDIRECT("数出表_Excel【15時】!A"&amp;ROW()+4-1&amp;"")),"")</f>
        <v/>
      </c>
      <c r="C288" t="str">
        <f t="array" aca="1" ref="C288" ca="1">IF(OR(COUNTIF(数出表_Excel【15時】!AO292,"*修正*"),COUNTIF(数出表_Excel【15時】!AO293,"*修正*")),
IF(ISEVEN(ROW()+4),INDIRECT("数出表_Excel【15時】!A"&amp;ROW()+4+1&amp;""),INDIRECT("数出表_Excel【15時】!A"&amp;ROW()+4&amp;"")),"")</f>
        <v/>
      </c>
      <c r="D288" s="209" t="str">
        <f t="array" aca="1" ref="D288" ca="1">IF(B288&lt;&gt;"",
IFERROR(MATCH(TRUE,ISNUMBER(INDIRECT("数出表_Excel【15時】!B"&amp;(A288+4)&amp;":ZZ"&amp;(A288+4))),0)+1,""),"")</f>
        <v/>
      </c>
      <c r="E288" t="str">
        <f ca="1">IF(D288&lt;&gt;"",
OFFSET(数出表_Excel【15時】!$A$1,2,D288-1)
&amp;IFERROR(OFFSET(数出表_Excel【15時】!$A$1,3,D288-1),"")
&amp;IFERROR(OFFSET(数出表_Excel【15時】!$A$1,4,D288-1),""),"")</f>
        <v/>
      </c>
      <c r="F288" t="str">
        <f ca="1">IF(D288&lt;&gt;"",
OFFSET(数出表_Excel【15時】!$A$1,A288+3,D288-1),"")</f>
        <v/>
      </c>
      <c r="G288" t="str">
        <f ca="1">IF(D288&lt;&gt;"",
IF(AND(OFFSET(数出表_Excel【15時】!$A$1,A288+3,D288)&lt;&gt;"",OFFSET(数出表_Excel【15時】!$A$1,A288+3,D288)&lt;&gt;0),
OFFSET(数出表_Excel【15時】!$A$1,A288+3,D288),""),"")</f>
        <v/>
      </c>
      <c r="H288" s="209" t="str">
        <f t="array" aca="1" ref="H288" ca="1">IF(B288&lt;&gt;"",
IFERROR(MATCH(TRUE,ISNUMBER(INDIRECT("数出表_Excel【15時】!"&amp;SUBSTITUTE(ADDRESS(1,D288+2,4),"1","")&amp;(A288+4)&amp;":ZZ"&amp;(A288+4))),0)+D288+1,""),"")</f>
        <v/>
      </c>
      <c r="I288" t="str">
        <f ca="1">IF(H288&lt;&gt;"",
OFFSET(数出表_Excel【15時】!$A$1,2,H288-1)
&amp;IFERROR(OFFSET(数出表_Excel【15時】!$A$1,3,H288-1),"")
&amp;IFERROR(OFFSET(数出表_Excel【15時】!$A$1,4,H288-1),""),"")</f>
        <v/>
      </c>
      <c r="J288" t="str">
        <f ca="1">IF(H288&lt;&gt;"",
OFFSET(数出表_Excel【15時】!$A$1,A288+3,H288-1),"")</f>
        <v/>
      </c>
      <c r="K288" t="str">
        <f ca="1">IF(H288&lt;&gt;"",
IF(AND(OFFSET(数出表_Excel【15時】!$A$1,A288+3,H288)&lt;&gt;"",OFFSET(数出表_Excel【15時】!$A$1,A288+3,H288)&lt;&gt;0),
OFFSET(数出表_Excel【15時】!$A$1,A288+3,H288),""),"")</f>
        <v/>
      </c>
      <c r="L288" s="209" t="str">
        <f t="array" aca="1" ref="L288" ca="1">IF(B288&lt;&gt;"",
IFERROR(MATCH(TRUE,ISNUMBER(INDIRECT("数出表_Excel【15時】!"&amp;SUBSTITUTE(ADDRESS(1,H288+2,4),"1","")&amp;(A288+4)&amp;":ZZ"&amp;(A288+4))),0)+H288+1,""),"")</f>
        <v/>
      </c>
      <c r="M288" t="str">
        <f ca="1">IF(L288&lt;&gt;"",
OFFSET(数出表_Excel【15時】!$A$1,2,L288-1)
&amp;IFERROR(OFFSET(数出表_Excel【15時】!$A$1,3,L288-1),"")
&amp;IFERROR(OFFSET(数出表_Excel【15時】!$A$1,4,L288-1),""),"")</f>
        <v/>
      </c>
      <c r="N288" t="str">
        <f ca="1">IF(L288&lt;&gt;"",
OFFSET(数出表_Excel【15時】!$A$1,A288+3,L288-1),"")</f>
        <v/>
      </c>
      <c r="O288" t="str">
        <f ca="1">IF(L288&lt;&gt;"",
IF(AND(OFFSET(数出表_Excel【15時】!$A$1,A288+3,L288)&lt;&gt;"",OFFSET(数出表_Excel【15時】!$A$1,A288+3,L288)&lt;&gt;0),
OFFSET(数出表_Excel【15時】!$A$1,A288+3,L288),""),"")</f>
        <v/>
      </c>
      <c r="Q288" t="str">
        <f ca="1">IF(C288&lt;&gt;"",
IF(E288&lt;&gt;"",1,0)+IF(I288&lt;&gt;"",1,0)+IF(M288&lt;&gt;"",1,0),"")</f>
        <v/>
      </c>
    </row>
    <row r="289" spans="1:17">
      <c r="A289" t="str">
        <f t="shared" ca="1" si="4"/>
        <v/>
      </c>
      <c r="B289" t="str">
        <f t="array" aca="1" ref="B289" ca="1">IF(OR(COUNTIF(数出表_Excel【15時】!AO292,"*修正*"),COUNTIF(数出表_Excel【15時】!AO293,"*修正*")),
IF(ISEVEN(ROW()+4),INDIRECT("数出表_Excel【15時】!A"&amp;ROW()+4&amp;""),INDIRECT("数出表_Excel【15時】!A"&amp;ROW()+4-1&amp;"")),"")</f>
        <v/>
      </c>
      <c r="C289" t="str">
        <f t="array" aca="1" ref="C289" ca="1">IF(OR(COUNTIF(数出表_Excel【15時】!AO292,"*修正*"),COUNTIF(数出表_Excel【15時】!AO293,"*修正*")),
IF(ISEVEN(ROW()+4),INDIRECT("数出表_Excel【15時】!A"&amp;ROW()+4+1&amp;""),INDIRECT("数出表_Excel【15時】!A"&amp;ROW()+4&amp;"")),"")</f>
        <v/>
      </c>
      <c r="D289" s="209" t="str">
        <f t="array" aca="1" ref="D289" ca="1">IF(B289&lt;&gt;"",
IFERROR(MATCH(TRUE,ISNUMBER(INDIRECT("数出表_Excel【15時】!B"&amp;(A289+4)&amp;":ZZ"&amp;(A289+4))),0)+1,""),"")</f>
        <v/>
      </c>
      <c r="E289" t="str">
        <f ca="1">IF(D289&lt;&gt;"",
OFFSET(数出表_Excel【15時】!$A$1,2,D289-1)
&amp;IFERROR(OFFSET(数出表_Excel【15時】!$A$1,3,D289-1),"")
&amp;IFERROR(OFFSET(数出表_Excel【15時】!$A$1,4,D289-1),""),"")</f>
        <v/>
      </c>
      <c r="F289" t="str">
        <f ca="1">IF(D289&lt;&gt;"",
OFFSET(数出表_Excel【15時】!$A$1,A289+3,D289-1),"")</f>
        <v/>
      </c>
      <c r="G289" t="str">
        <f ca="1">IF(D289&lt;&gt;"",
IF(AND(OFFSET(数出表_Excel【15時】!$A$1,A289+3,D289)&lt;&gt;"",OFFSET(数出表_Excel【15時】!$A$1,A289+3,D289)&lt;&gt;0),
OFFSET(数出表_Excel【15時】!$A$1,A289+3,D289),""),"")</f>
        <v/>
      </c>
      <c r="H289" s="209" t="str">
        <f t="array" aca="1" ref="H289" ca="1">IF(B289&lt;&gt;"",
IFERROR(MATCH(TRUE,ISNUMBER(INDIRECT("数出表_Excel【15時】!"&amp;SUBSTITUTE(ADDRESS(1,D289+2,4),"1","")&amp;(A289+4)&amp;":ZZ"&amp;(A289+4))),0)+D289+1,""),"")</f>
        <v/>
      </c>
      <c r="I289" t="str">
        <f ca="1">IF(H289&lt;&gt;"",
OFFSET(数出表_Excel【15時】!$A$1,2,H289-1)
&amp;IFERROR(OFFSET(数出表_Excel【15時】!$A$1,3,H289-1),"")
&amp;IFERROR(OFFSET(数出表_Excel【15時】!$A$1,4,H289-1),""),"")</f>
        <v/>
      </c>
      <c r="J289" t="str">
        <f ca="1">IF(H289&lt;&gt;"",
OFFSET(数出表_Excel【15時】!$A$1,A289+3,H289-1),"")</f>
        <v/>
      </c>
      <c r="K289" t="str">
        <f ca="1">IF(H289&lt;&gt;"",
IF(AND(OFFSET(数出表_Excel【15時】!$A$1,A289+3,H289)&lt;&gt;"",OFFSET(数出表_Excel【15時】!$A$1,A289+3,H289)&lt;&gt;0),
OFFSET(数出表_Excel【15時】!$A$1,A289+3,H289),""),"")</f>
        <v/>
      </c>
      <c r="L289" s="209" t="str">
        <f t="array" aca="1" ref="L289" ca="1">IF(B289&lt;&gt;"",
IFERROR(MATCH(TRUE,ISNUMBER(INDIRECT("数出表_Excel【15時】!"&amp;SUBSTITUTE(ADDRESS(1,H289+2,4),"1","")&amp;(A289+4)&amp;":ZZ"&amp;(A289+4))),0)+H289+1,""),"")</f>
        <v/>
      </c>
      <c r="M289" t="str">
        <f ca="1">IF(L289&lt;&gt;"",
OFFSET(数出表_Excel【15時】!$A$1,2,L289-1)
&amp;IFERROR(OFFSET(数出表_Excel【15時】!$A$1,3,L289-1),"")
&amp;IFERROR(OFFSET(数出表_Excel【15時】!$A$1,4,L289-1),""),"")</f>
        <v/>
      </c>
      <c r="N289" t="str">
        <f ca="1">IF(L289&lt;&gt;"",
OFFSET(数出表_Excel【15時】!$A$1,A289+3,L289-1),"")</f>
        <v/>
      </c>
      <c r="O289" t="str">
        <f ca="1">IF(L289&lt;&gt;"",
IF(AND(OFFSET(数出表_Excel【15時】!$A$1,A289+3,L289)&lt;&gt;"",OFFSET(数出表_Excel【15時】!$A$1,A289+3,L289)&lt;&gt;0),
OFFSET(数出表_Excel【15時】!$A$1,A289+3,L289),""),"")</f>
        <v/>
      </c>
    </row>
    <row r="290" spans="1:17">
      <c r="A290" t="str">
        <f t="shared" ca="1" si="4"/>
        <v/>
      </c>
      <c r="B290" t="str">
        <f t="array" aca="1" ref="B290" ca="1">IF(OR(COUNTIF(数出表_Excel【15時】!AO294,"*修正*"),COUNTIF(数出表_Excel【15時】!AO295,"*修正*")),
IF(ISEVEN(ROW()+4),INDIRECT("数出表_Excel【15時】!A"&amp;ROW()+4&amp;""),INDIRECT("数出表_Excel【15時】!A"&amp;ROW()+4-1&amp;"")),"")</f>
        <v/>
      </c>
      <c r="C290" t="str">
        <f t="array" aca="1" ref="C290" ca="1">IF(OR(COUNTIF(数出表_Excel【15時】!AO294,"*修正*"),COUNTIF(数出表_Excel【15時】!AO295,"*修正*")),
IF(ISEVEN(ROW()+4),INDIRECT("数出表_Excel【15時】!A"&amp;ROW()+4+1&amp;""),INDIRECT("数出表_Excel【15時】!A"&amp;ROW()+4&amp;"")),"")</f>
        <v/>
      </c>
      <c r="D290" s="209" t="str">
        <f t="array" aca="1" ref="D290" ca="1">IF(B290&lt;&gt;"",
IFERROR(MATCH(TRUE,ISNUMBER(INDIRECT("数出表_Excel【15時】!B"&amp;(A290+4)&amp;":ZZ"&amp;(A290+4))),0)+1,""),"")</f>
        <v/>
      </c>
      <c r="E290" t="str">
        <f ca="1">IF(D290&lt;&gt;"",
OFFSET(数出表_Excel【15時】!$A$1,2,D290-1)
&amp;IFERROR(OFFSET(数出表_Excel【15時】!$A$1,3,D290-1),"")
&amp;IFERROR(OFFSET(数出表_Excel【15時】!$A$1,4,D290-1),""),"")</f>
        <v/>
      </c>
      <c r="F290" t="str">
        <f ca="1">IF(D290&lt;&gt;"",
OFFSET(数出表_Excel【15時】!$A$1,A290+3,D290-1),"")</f>
        <v/>
      </c>
      <c r="G290" t="str">
        <f ca="1">IF(D290&lt;&gt;"",
IF(AND(OFFSET(数出表_Excel【15時】!$A$1,A290+3,D290)&lt;&gt;"",OFFSET(数出表_Excel【15時】!$A$1,A290+3,D290)&lt;&gt;0),
OFFSET(数出表_Excel【15時】!$A$1,A290+3,D290),""),"")</f>
        <v/>
      </c>
      <c r="H290" s="209" t="str">
        <f t="array" aca="1" ref="H290" ca="1">IF(B290&lt;&gt;"",
IFERROR(MATCH(TRUE,ISNUMBER(INDIRECT("数出表_Excel【15時】!"&amp;SUBSTITUTE(ADDRESS(1,D290+2,4),"1","")&amp;(A290+4)&amp;":ZZ"&amp;(A290+4))),0)+D290+1,""),"")</f>
        <v/>
      </c>
      <c r="I290" t="str">
        <f ca="1">IF(H290&lt;&gt;"",
OFFSET(数出表_Excel【15時】!$A$1,2,H290-1)
&amp;IFERROR(OFFSET(数出表_Excel【15時】!$A$1,3,H290-1),"")
&amp;IFERROR(OFFSET(数出表_Excel【15時】!$A$1,4,H290-1),""),"")</f>
        <v/>
      </c>
      <c r="J290" t="str">
        <f ca="1">IF(H290&lt;&gt;"",
OFFSET(数出表_Excel【15時】!$A$1,A290+3,H290-1),"")</f>
        <v/>
      </c>
      <c r="K290" t="str">
        <f ca="1">IF(H290&lt;&gt;"",
IF(AND(OFFSET(数出表_Excel【15時】!$A$1,A290+3,H290)&lt;&gt;"",OFFSET(数出表_Excel【15時】!$A$1,A290+3,H290)&lt;&gt;0),
OFFSET(数出表_Excel【15時】!$A$1,A290+3,H290),""),"")</f>
        <v/>
      </c>
      <c r="L290" s="209" t="str">
        <f t="array" aca="1" ref="L290" ca="1">IF(B290&lt;&gt;"",
IFERROR(MATCH(TRUE,ISNUMBER(INDIRECT("数出表_Excel【15時】!"&amp;SUBSTITUTE(ADDRESS(1,H290+2,4),"1","")&amp;(A290+4)&amp;":ZZ"&amp;(A290+4))),0)+H290+1,""),"")</f>
        <v/>
      </c>
      <c r="M290" t="str">
        <f ca="1">IF(L290&lt;&gt;"",
OFFSET(数出表_Excel【15時】!$A$1,2,L290-1)
&amp;IFERROR(OFFSET(数出表_Excel【15時】!$A$1,3,L290-1),"")
&amp;IFERROR(OFFSET(数出表_Excel【15時】!$A$1,4,L290-1),""),"")</f>
        <v/>
      </c>
      <c r="N290" t="str">
        <f ca="1">IF(L290&lt;&gt;"",
OFFSET(数出表_Excel【15時】!$A$1,A290+3,L290-1),"")</f>
        <v/>
      </c>
      <c r="O290" t="str">
        <f ca="1">IF(L290&lt;&gt;"",
IF(AND(OFFSET(数出表_Excel【15時】!$A$1,A290+3,L290)&lt;&gt;"",OFFSET(数出表_Excel【15時】!$A$1,A290+3,L290)&lt;&gt;0),
OFFSET(数出表_Excel【15時】!$A$1,A290+3,L290),""),"")</f>
        <v/>
      </c>
      <c r="Q290" t="str">
        <f ca="1">IF(C290&lt;&gt;"",
IF(E290&lt;&gt;"",1,0)+IF(I290&lt;&gt;"",1,0)+IF(M290&lt;&gt;"",1,0),"")</f>
        <v/>
      </c>
    </row>
    <row r="291" spans="1:17">
      <c r="A291" t="str">
        <f t="shared" ca="1" si="4"/>
        <v/>
      </c>
      <c r="B291" t="str">
        <f t="array" aca="1" ref="B291" ca="1">IF(OR(COUNTIF(数出表_Excel【15時】!AO294,"*修正*"),COUNTIF(数出表_Excel【15時】!AO295,"*修正*")),
IF(ISEVEN(ROW()+4),INDIRECT("数出表_Excel【15時】!A"&amp;ROW()+4&amp;""),INDIRECT("数出表_Excel【15時】!A"&amp;ROW()+4-1&amp;"")),"")</f>
        <v/>
      </c>
      <c r="C291" t="str">
        <f t="array" aca="1" ref="C291" ca="1">IF(OR(COUNTIF(数出表_Excel【15時】!AO294,"*修正*"),COUNTIF(数出表_Excel【15時】!AO295,"*修正*")),
IF(ISEVEN(ROW()+4),INDIRECT("数出表_Excel【15時】!A"&amp;ROW()+4+1&amp;""),INDIRECT("数出表_Excel【15時】!A"&amp;ROW()+4&amp;"")),"")</f>
        <v/>
      </c>
      <c r="D291" s="209" t="str">
        <f t="array" aca="1" ref="D291" ca="1">IF(B291&lt;&gt;"",
IFERROR(MATCH(TRUE,ISNUMBER(INDIRECT("数出表_Excel【15時】!B"&amp;(A291+4)&amp;":ZZ"&amp;(A291+4))),0)+1,""),"")</f>
        <v/>
      </c>
      <c r="E291" t="str">
        <f ca="1">IF(D291&lt;&gt;"",
OFFSET(数出表_Excel【15時】!$A$1,2,D291-1)
&amp;IFERROR(OFFSET(数出表_Excel【15時】!$A$1,3,D291-1),"")
&amp;IFERROR(OFFSET(数出表_Excel【15時】!$A$1,4,D291-1),""),"")</f>
        <v/>
      </c>
      <c r="F291" t="str">
        <f ca="1">IF(D291&lt;&gt;"",
OFFSET(数出表_Excel【15時】!$A$1,A291+3,D291-1),"")</f>
        <v/>
      </c>
      <c r="G291" t="str">
        <f ca="1">IF(D291&lt;&gt;"",
IF(AND(OFFSET(数出表_Excel【15時】!$A$1,A291+3,D291)&lt;&gt;"",OFFSET(数出表_Excel【15時】!$A$1,A291+3,D291)&lt;&gt;0),
OFFSET(数出表_Excel【15時】!$A$1,A291+3,D291),""),"")</f>
        <v/>
      </c>
      <c r="H291" s="209" t="str">
        <f t="array" aca="1" ref="H291" ca="1">IF(B291&lt;&gt;"",
IFERROR(MATCH(TRUE,ISNUMBER(INDIRECT("数出表_Excel【15時】!"&amp;SUBSTITUTE(ADDRESS(1,D291+2,4),"1","")&amp;(A291+4)&amp;":ZZ"&amp;(A291+4))),0)+D291+1,""),"")</f>
        <v/>
      </c>
      <c r="I291" t="str">
        <f ca="1">IF(H291&lt;&gt;"",
OFFSET(数出表_Excel【15時】!$A$1,2,H291-1)
&amp;IFERROR(OFFSET(数出表_Excel【15時】!$A$1,3,H291-1),"")
&amp;IFERROR(OFFSET(数出表_Excel【15時】!$A$1,4,H291-1),""),"")</f>
        <v/>
      </c>
      <c r="J291" t="str">
        <f ca="1">IF(H291&lt;&gt;"",
OFFSET(数出表_Excel【15時】!$A$1,A291+3,H291-1),"")</f>
        <v/>
      </c>
      <c r="K291" t="str">
        <f ca="1">IF(H291&lt;&gt;"",
IF(AND(OFFSET(数出表_Excel【15時】!$A$1,A291+3,H291)&lt;&gt;"",OFFSET(数出表_Excel【15時】!$A$1,A291+3,H291)&lt;&gt;0),
OFFSET(数出表_Excel【15時】!$A$1,A291+3,H291),""),"")</f>
        <v/>
      </c>
      <c r="L291" s="209" t="str">
        <f t="array" aca="1" ref="L291" ca="1">IF(B291&lt;&gt;"",
IFERROR(MATCH(TRUE,ISNUMBER(INDIRECT("数出表_Excel【15時】!"&amp;SUBSTITUTE(ADDRESS(1,H291+2,4),"1","")&amp;(A291+4)&amp;":ZZ"&amp;(A291+4))),0)+H291+1,""),"")</f>
        <v/>
      </c>
      <c r="M291" t="str">
        <f ca="1">IF(L291&lt;&gt;"",
OFFSET(数出表_Excel【15時】!$A$1,2,L291-1)
&amp;IFERROR(OFFSET(数出表_Excel【15時】!$A$1,3,L291-1),"")
&amp;IFERROR(OFFSET(数出表_Excel【15時】!$A$1,4,L291-1),""),"")</f>
        <v/>
      </c>
      <c r="N291" t="str">
        <f ca="1">IF(L291&lt;&gt;"",
OFFSET(数出表_Excel【15時】!$A$1,A291+3,L291-1),"")</f>
        <v/>
      </c>
      <c r="O291" t="str">
        <f ca="1">IF(L291&lt;&gt;"",
IF(AND(OFFSET(数出表_Excel【15時】!$A$1,A291+3,L291)&lt;&gt;"",OFFSET(数出表_Excel【15時】!$A$1,A291+3,L291)&lt;&gt;0),
OFFSET(数出表_Excel【15時】!$A$1,A291+3,L291),""),"")</f>
        <v/>
      </c>
    </row>
    <row r="292" spans="1:17">
      <c r="A292" t="str">
        <f t="shared" ca="1" si="4"/>
        <v/>
      </c>
      <c r="B292" t="str">
        <f t="array" aca="1" ref="B292" ca="1">IF(OR(COUNTIF(数出表_Excel【15時】!AO296,"*修正*"),COUNTIF(数出表_Excel【15時】!AO297,"*修正*")),
IF(ISEVEN(ROW()+4),INDIRECT("数出表_Excel【15時】!A"&amp;ROW()+4&amp;""),INDIRECT("数出表_Excel【15時】!A"&amp;ROW()+4-1&amp;"")),"")</f>
        <v/>
      </c>
      <c r="C292" t="str">
        <f t="array" aca="1" ref="C292" ca="1">IF(OR(COUNTIF(数出表_Excel【15時】!AO296,"*修正*"),COUNTIF(数出表_Excel【15時】!AO297,"*修正*")),
IF(ISEVEN(ROW()+4),INDIRECT("数出表_Excel【15時】!A"&amp;ROW()+4+1&amp;""),INDIRECT("数出表_Excel【15時】!A"&amp;ROW()+4&amp;"")),"")</f>
        <v/>
      </c>
      <c r="D292" s="209" t="str">
        <f t="array" aca="1" ref="D292" ca="1">IF(B292&lt;&gt;"",
IFERROR(MATCH(TRUE,ISNUMBER(INDIRECT("数出表_Excel【15時】!B"&amp;(A292+4)&amp;":ZZ"&amp;(A292+4))),0)+1,""),"")</f>
        <v/>
      </c>
      <c r="E292" t="str">
        <f ca="1">IF(D292&lt;&gt;"",
OFFSET(数出表_Excel【15時】!$A$1,2,D292-1)
&amp;IFERROR(OFFSET(数出表_Excel【15時】!$A$1,3,D292-1),"")
&amp;IFERROR(OFFSET(数出表_Excel【15時】!$A$1,4,D292-1),""),"")</f>
        <v/>
      </c>
      <c r="F292" t="str">
        <f ca="1">IF(D292&lt;&gt;"",
OFFSET(数出表_Excel【15時】!$A$1,A292+3,D292-1),"")</f>
        <v/>
      </c>
      <c r="G292" t="str">
        <f ca="1">IF(D292&lt;&gt;"",
IF(AND(OFFSET(数出表_Excel【15時】!$A$1,A292+3,D292)&lt;&gt;"",OFFSET(数出表_Excel【15時】!$A$1,A292+3,D292)&lt;&gt;0),
OFFSET(数出表_Excel【15時】!$A$1,A292+3,D292),""),"")</f>
        <v/>
      </c>
      <c r="H292" s="209" t="str">
        <f t="array" aca="1" ref="H292" ca="1">IF(B292&lt;&gt;"",
IFERROR(MATCH(TRUE,ISNUMBER(INDIRECT("数出表_Excel【15時】!"&amp;SUBSTITUTE(ADDRESS(1,D292+2,4),"1","")&amp;(A292+4)&amp;":ZZ"&amp;(A292+4))),0)+D292+1,""),"")</f>
        <v/>
      </c>
      <c r="I292" t="str">
        <f ca="1">IF(H292&lt;&gt;"",
OFFSET(数出表_Excel【15時】!$A$1,2,H292-1)
&amp;IFERROR(OFFSET(数出表_Excel【15時】!$A$1,3,H292-1),"")
&amp;IFERROR(OFFSET(数出表_Excel【15時】!$A$1,4,H292-1),""),"")</f>
        <v/>
      </c>
      <c r="J292" t="str">
        <f ca="1">IF(H292&lt;&gt;"",
OFFSET(数出表_Excel【15時】!$A$1,A292+3,H292-1),"")</f>
        <v/>
      </c>
      <c r="K292" t="str">
        <f ca="1">IF(H292&lt;&gt;"",
IF(AND(OFFSET(数出表_Excel【15時】!$A$1,A292+3,H292)&lt;&gt;"",OFFSET(数出表_Excel【15時】!$A$1,A292+3,H292)&lt;&gt;0),
OFFSET(数出表_Excel【15時】!$A$1,A292+3,H292),""),"")</f>
        <v/>
      </c>
      <c r="L292" s="209" t="str">
        <f t="array" aca="1" ref="L292" ca="1">IF(B292&lt;&gt;"",
IFERROR(MATCH(TRUE,ISNUMBER(INDIRECT("数出表_Excel【15時】!"&amp;SUBSTITUTE(ADDRESS(1,H292+2,4),"1","")&amp;(A292+4)&amp;":ZZ"&amp;(A292+4))),0)+H292+1,""),"")</f>
        <v/>
      </c>
      <c r="M292" t="str">
        <f ca="1">IF(L292&lt;&gt;"",
OFFSET(数出表_Excel【15時】!$A$1,2,L292-1)
&amp;IFERROR(OFFSET(数出表_Excel【15時】!$A$1,3,L292-1),"")
&amp;IFERROR(OFFSET(数出表_Excel【15時】!$A$1,4,L292-1),""),"")</f>
        <v/>
      </c>
      <c r="N292" t="str">
        <f ca="1">IF(L292&lt;&gt;"",
OFFSET(数出表_Excel【15時】!$A$1,A292+3,L292-1),"")</f>
        <v/>
      </c>
      <c r="O292" t="str">
        <f ca="1">IF(L292&lt;&gt;"",
IF(AND(OFFSET(数出表_Excel【15時】!$A$1,A292+3,L292)&lt;&gt;"",OFFSET(数出表_Excel【15時】!$A$1,A292+3,L292)&lt;&gt;0),
OFFSET(数出表_Excel【15時】!$A$1,A292+3,L292),""),"")</f>
        <v/>
      </c>
      <c r="Q292" t="str">
        <f ca="1">IF(C292&lt;&gt;"",
IF(E292&lt;&gt;"",1,0)+IF(I292&lt;&gt;"",1,0)+IF(M292&lt;&gt;"",1,0),"")</f>
        <v/>
      </c>
    </row>
    <row r="293" spans="1:17">
      <c r="A293" t="str">
        <f t="shared" ca="1" si="4"/>
        <v/>
      </c>
      <c r="B293" t="str">
        <f t="array" aca="1" ref="B293" ca="1">IF(OR(COUNTIF(数出表_Excel【15時】!AO296,"*修正*"),COUNTIF(数出表_Excel【15時】!AO297,"*修正*")),
IF(ISEVEN(ROW()+4),INDIRECT("数出表_Excel【15時】!A"&amp;ROW()+4&amp;""),INDIRECT("数出表_Excel【15時】!A"&amp;ROW()+4-1&amp;"")),"")</f>
        <v/>
      </c>
      <c r="C293" t="str">
        <f t="array" aca="1" ref="C293" ca="1">IF(OR(COUNTIF(数出表_Excel【15時】!AO296,"*修正*"),COUNTIF(数出表_Excel【15時】!AO297,"*修正*")),
IF(ISEVEN(ROW()+4),INDIRECT("数出表_Excel【15時】!A"&amp;ROW()+4+1&amp;""),INDIRECT("数出表_Excel【15時】!A"&amp;ROW()+4&amp;"")),"")</f>
        <v/>
      </c>
      <c r="D293" s="209" t="str">
        <f t="array" aca="1" ref="D293" ca="1">IF(B293&lt;&gt;"",
IFERROR(MATCH(TRUE,ISNUMBER(INDIRECT("数出表_Excel【15時】!B"&amp;(A293+4)&amp;":ZZ"&amp;(A293+4))),0)+1,""),"")</f>
        <v/>
      </c>
      <c r="E293" t="str">
        <f ca="1">IF(D293&lt;&gt;"",
OFFSET(数出表_Excel【15時】!$A$1,2,D293-1)
&amp;IFERROR(OFFSET(数出表_Excel【15時】!$A$1,3,D293-1),"")
&amp;IFERROR(OFFSET(数出表_Excel【15時】!$A$1,4,D293-1),""),"")</f>
        <v/>
      </c>
      <c r="F293" t="str">
        <f ca="1">IF(D293&lt;&gt;"",
OFFSET(数出表_Excel【15時】!$A$1,A293+3,D293-1),"")</f>
        <v/>
      </c>
      <c r="G293" t="str">
        <f ca="1">IF(D293&lt;&gt;"",
IF(AND(OFFSET(数出表_Excel【15時】!$A$1,A293+3,D293)&lt;&gt;"",OFFSET(数出表_Excel【15時】!$A$1,A293+3,D293)&lt;&gt;0),
OFFSET(数出表_Excel【15時】!$A$1,A293+3,D293),""),"")</f>
        <v/>
      </c>
      <c r="H293" s="209" t="str">
        <f t="array" aca="1" ref="H293" ca="1">IF(B293&lt;&gt;"",
IFERROR(MATCH(TRUE,ISNUMBER(INDIRECT("数出表_Excel【15時】!"&amp;SUBSTITUTE(ADDRESS(1,D293+2,4),"1","")&amp;(A293+4)&amp;":ZZ"&amp;(A293+4))),0)+D293+1,""),"")</f>
        <v/>
      </c>
      <c r="I293" t="str">
        <f ca="1">IF(H293&lt;&gt;"",
OFFSET(数出表_Excel【15時】!$A$1,2,H293-1)
&amp;IFERROR(OFFSET(数出表_Excel【15時】!$A$1,3,H293-1),"")
&amp;IFERROR(OFFSET(数出表_Excel【15時】!$A$1,4,H293-1),""),"")</f>
        <v/>
      </c>
      <c r="J293" t="str">
        <f ca="1">IF(H293&lt;&gt;"",
OFFSET(数出表_Excel【15時】!$A$1,A293+3,H293-1),"")</f>
        <v/>
      </c>
      <c r="K293" t="str">
        <f ca="1">IF(H293&lt;&gt;"",
IF(AND(OFFSET(数出表_Excel【15時】!$A$1,A293+3,H293)&lt;&gt;"",OFFSET(数出表_Excel【15時】!$A$1,A293+3,H293)&lt;&gt;0),
OFFSET(数出表_Excel【15時】!$A$1,A293+3,H293),""),"")</f>
        <v/>
      </c>
      <c r="L293" s="209" t="str">
        <f t="array" aca="1" ref="L293" ca="1">IF(B293&lt;&gt;"",
IFERROR(MATCH(TRUE,ISNUMBER(INDIRECT("数出表_Excel【15時】!"&amp;SUBSTITUTE(ADDRESS(1,H293+2,4),"1","")&amp;(A293+4)&amp;":ZZ"&amp;(A293+4))),0)+H293+1,""),"")</f>
        <v/>
      </c>
      <c r="M293" t="str">
        <f ca="1">IF(L293&lt;&gt;"",
OFFSET(数出表_Excel【15時】!$A$1,2,L293-1)
&amp;IFERROR(OFFSET(数出表_Excel【15時】!$A$1,3,L293-1),"")
&amp;IFERROR(OFFSET(数出表_Excel【15時】!$A$1,4,L293-1),""),"")</f>
        <v/>
      </c>
      <c r="N293" t="str">
        <f ca="1">IF(L293&lt;&gt;"",
OFFSET(数出表_Excel【15時】!$A$1,A293+3,L293-1),"")</f>
        <v/>
      </c>
      <c r="O293" t="str">
        <f ca="1">IF(L293&lt;&gt;"",
IF(AND(OFFSET(数出表_Excel【15時】!$A$1,A293+3,L293)&lt;&gt;"",OFFSET(数出表_Excel【15時】!$A$1,A293+3,L293)&lt;&gt;0),
OFFSET(数出表_Excel【15時】!$A$1,A293+3,L293),""),"")</f>
        <v/>
      </c>
    </row>
    <row r="294" spans="1:17">
      <c r="A294" t="str">
        <f t="shared" ca="1" si="4"/>
        <v/>
      </c>
      <c r="B294" t="str">
        <f t="array" aca="1" ref="B294" ca="1">IF(OR(COUNTIF(数出表_Excel【15時】!AO298,"*修正*"),COUNTIF(数出表_Excel【15時】!AO299,"*修正*")),
IF(ISEVEN(ROW()+4),INDIRECT("数出表_Excel【15時】!A"&amp;ROW()+4&amp;""),INDIRECT("数出表_Excel【15時】!A"&amp;ROW()+4-1&amp;"")),"")</f>
        <v/>
      </c>
      <c r="C294" t="str">
        <f t="array" aca="1" ref="C294" ca="1">IF(OR(COUNTIF(数出表_Excel【15時】!AO298,"*修正*"),COUNTIF(数出表_Excel【15時】!AO299,"*修正*")),
IF(ISEVEN(ROW()+4),INDIRECT("数出表_Excel【15時】!A"&amp;ROW()+4+1&amp;""),INDIRECT("数出表_Excel【15時】!A"&amp;ROW()+4&amp;"")),"")</f>
        <v/>
      </c>
      <c r="D294" s="209" t="str">
        <f t="array" aca="1" ref="D294" ca="1">IF(B294&lt;&gt;"",
IFERROR(MATCH(TRUE,ISNUMBER(INDIRECT("数出表_Excel【15時】!B"&amp;(A294+4)&amp;":ZZ"&amp;(A294+4))),0)+1,""),"")</f>
        <v/>
      </c>
      <c r="E294" t="str">
        <f ca="1">IF(D294&lt;&gt;"",
OFFSET(数出表_Excel【15時】!$A$1,2,D294-1)
&amp;IFERROR(OFFSET(数出表_Excel【15時】!$A$1,3,D294-1),"")
&amp;IFERROR(OFFSET(数出表_Excel【15時】!$A$1,4,D294-1),""),"")</f>
        <v/>
      </c>
      <c r="F294" t="str">
        <f ca="1">IF(D294&lt;&gt;"",
OFFSET(数出表_Excel【15時】!$A$1,A294+3,D294-1),"")</f>
        <v/>
      </c>
      <c r="G294" t="str">
        <f ca="1">IF(D294&lt;&gt;"",
IF(AND(OFFSET(数出表_Excel【15時】!$A$1,A294+3,D294)&lt;&gt;"",OFFSET(数出表_Excel【15時】!$A$1,A294+3,D294)&lt;&gt;0),
OFFSET(数出表_Excel【15時】!$A$1,A294+3,D294),""),"")</f>
        <v/>
      </c>
      <c r="H294" s="209" t="str">
        <f t="array" aca="1" ref="H294" ca="1">IF(B294&lt;&gt;"",
IFERROR(MATCH(TRUE,ISNUMBER(INDIRECT("数出表_Excel【15時】!"&amp;SUBSTITUTE(ADDRESS(1,D294+2,4),"1","")&amp;(A294+4)&amp;":ZZ"&amp;(A294+4))),0)+D294+1,""),"")</f>
        <v/>
      </c>
      <c r="I294" t="str">
        <f ca="1">IF(H294&lt;&gt;"",
OFFSET(数出表_Excel【15時】!$A$1,2,H294-1)
&amp;IFERROR(OFFSET(数出表_Excel【15時】!$A$1,3,H294-1),"")
&amp;IFERROR(OFFSET(数出表_Excel【15時】!$A$1,4,H294-1),""),"")</f>
        <v/>
      </c>
      <c r="J294" t="str">
        <f ca="1">IF(H294&lt;&gt;"",
OFFSET(数出表_Excel【15時】!$A$1,A294+3,H294-1),"")</f>
        <v/>
      </c>
      <c r="K294" t="str">
        <f ca="1">IF(H294&lt;&gt;"",
IF(AND(OFFSET(数出表_Excel【15時】!$A$1,A294+3,H294)&lt;&gt;"",OFFSET(数出表_Excel【15時】!$A$1,A294+3,H294)&lt;&gt;0),
OFFSET(数出表_Excel【15時】!$A$1,A294+3,H294),""),"")</f>
        <v/>
      </c>
      <c r="L294" s="209" t="str">
        <f t="array" aca="1" ref="L294" ca="1">IF(B294&lt;&gt;"",
IFERROR(MATCH(TRUE,ISNUMBER(INDIRECT("数出表_Excel【15時】!"&amp;SUBSTITUTE(ADDRESS(1,H294+2,4),"1","")&amp;(A294+4)&amp;":ZZ"&amp;(A294+4))),0)+H294+1,""),"")</f>
        <v/>
      </c>
      <c r="M294" t="str">
        <f ca="1">IF(L294&lt;&gt;"",
OFFSET(数出表_Excel【15時】!$A$1,2,L294-1)
&amp;IFERROR(OFFSET(数出表_Excel【15時】!$A$1,3,L294-1),"")
&amp;IFERROR(OFFSET(数出表_Excel【15時】!$A$1,4,L294-1),""),"")</f>
        <v/>
      </c>
      <c r="N294" t="str">
        <f ca="1">IF(L294&lt;&gt;"",
OFFSET(数出表_Excel【15時】!$A$1,A294+3,L294-1),"")</f>
        <v/>
      </c>
      <c r="O294" t="str">
        <f ca="1">IF(L294&lt;&gt;"",
IF(AND(OFFSET(数出表_Excel【15時】!$A$1,A294+3,L294)&lt;&gt;"",OFFSET(数出表_Excel【15時】!$A$1,A294+3,L294)&lt;&gt;0),
OFFSET(数出表_Excel【15時】!$A$1,A294+3,L294),""),"")</f>
        <v/>
      </c>
      <c r="Q294" t="str">
        <f ca="1">IF(C294&lt;&gt;"",
IF(E294&lt;&gt;"",1,0)+IF(I294&lt;&gt;"",1,0)+IF(M294&lt;&gt;"",1,0),"")</f>
        <v/>
      </c>
    </row>
    <row r="295" spans="1:17">
      <c r="A295" t="str">
        <f t="shared" ca="1" si="4"/>
        <v/>
      </c>
      <c r="B295" t="str">
        <f t="array" aca="1" ref="B295" ca="1">IF(OR(COUNTIF(数出表_Excel【15時】!AO298,"*修正*"),COUNTIF(数出表_Excel【15時】!AO299,"*修正*")),
IF(ISEVEN(ROW()+4),INDIRECT("数出表_Excel【15時】!A"&amp;ROW()+4&amp;""),INDIRECT("数出表_Excel【15時】!A"&amp;ROW()+4-1&amp;"")),"")</f>
        <v/>
      </c>
      <c r="C295" t="str">
        <f t="array" aca="1" ref="C295" ca="1">IF(OR(COUNTIF(数出表_Excel【15時】!AO298,"*修正*"),COUNTIF(数出表_Excel【15時】!AO299,"*修正*")),
IF(ISEVEN(ROW()+4),INDIRECT("数出表_Excel【15時】!A"&amp;ROW()+4+1&amp;""),INDIRECT("数出表_Excel【15時】!A"&amp;ROW()+4&amp;"")),"")</f>
        <v/>
      </c>
      <c r="D295" s="209" t="str">
        <f t="array" aca="1" ref="D295" ca="1">IF(B295&lt;&gt;"",
IFERROR(MATCH(TRUE,ISNUMBER(INDIRECT("数出表_Excel【15時】!B"&amp;(A295+4)&amp;":ZZ"&amp;(A295+4))),0)+1,""),"")</f>
        <v/>
      </c>
      <c r="E295" t="str">
        <f ca="1">IF(D295&lt;&gt;"",
OFFSET(数出表_Excel【15時】!$A$1,2,D295-1)
&amp;IFERROR(OFFSET(数出表_Excel【15時】!$A$1,3,D295-1),"")
&amp;IFERROR(OFFSET(数出表_Excel【15時】!$A$1,4,D295-1),""),"")</f>
        <v/>
      </c>
      <c r="F295" t="str">
        <f ca="1">IF(D295&lt;&gt;"",
OFFSET(数出表_Excel【15時】!$A$1,A295+3,D295-1),"")</f>
        <v/>
      </c>
      <c r="G295" t="str">
        <f ca="1">IF(D295&lt;&gt;"",
IF(AND(OFFSET(数出表_Excel【15時】!$A$1,A295+3,D295)&lt;&gt;"",OFFSET(数出表_Excel【15時】!$A$1,A295+3,D295)&lt;&gt;0),
OFFSET(数出表_Excel【15時】!$A$1,A295+3,D295),""),"")</f>
        <v/>
      </c>
      <c r="H295" s="209" t="str">
        <f t="array" aca="1" ref="H295" ca="1">IF(B295&lt;&gt;"",
IFERROR(MATCH(TRUE,ISNUMBER(INDIRECT("数出表_Excel【15時】!"&amp;SUBSTITUTE(ADDRESS(1,D295+2,4),"1","")&amp;(A295+4)&amp;":ZZ"&amp;(A295+4))),0)+D295+1,""),"")</f>
        <v/>
      </c>
      <c r="I295" t="str">
        <f ca="1">IF(H295&lt;&gt;"",
OFFSET(数出表_Excel【15時】!$A$1,2,H295-1)
&amp;IFERROR(OFFSET(数出表_Excel【15時】!$A$1,3,H295-1),"")
&amp;IFERROR(OFFSET(数出表_Excel【15時】!$A$1,4,H295-1),""),"")</f>
        <v/>
      </c>
      <c r="J295" t="str">
        <f ca="1">IF(H295&lt;&gt;"",
OFFSET(数出表_Excel【15時】!$A$1,A295+3,H295-1),"")</f>
        <v/>
      </c>
      <c r="K295" t="str">
        <f ca="1">IF(H295&lt;&gt;"",
IF(AND(OFFSET(数出表_Excel【15時】!$A$1,A295+3,H295)&lt;&gt;"",OFFSET(数出表_Excel【15時】!$A$1,A295+3,H295)&lt;&gt;0),
OFFSET(数出表_Excel【15時】!$A$1,A295+3,H295),""),"")</f>
        <v/>
      </c>
      <c r="L295" s="209" t="str">
        <f t="array" aca="1" ref="L295" ca="1">IF(B295&lt;&gt;"",
IFERROR(MATCH(TRUE,ISNUMBER(INDIRECT("数出表_Excel【15時】!"&amp;SUBSTITUTE(ADDRESS(1,H295+2,4),"1","")&amp;(A295+4)&amp;":ZZ"&amp;(A295+4))),0)+H295+1,""),"")</f>
        <v/>
      </c>
      <c r="M295" t="str">
        <f ca="1">IF(L295&lt;&gt;"",
OFFSET(数出表_Excel【15時】!$A$1,2,L295-1)
&amp;IFERROR(OFFSET(数出表_Excel【15時】!$A$1,3,L295-1),"")
&amp;IFERROR(OFFSET(数出表_Excel【15時】!$A$1,4,L295-1),""),"")</f>
        <v/>
      </c>
      <c r="N295" t="str">
        <f ca="1">IF(L295&lt;&gt;"",
OFFSET(数出表_Excel【15時】!$A$1,A295+3,L295-1),"")</f>
        <v/>
      </c>
      <c r="O295" t="str">
        <f ca="1">IF(L295&lt;&gt;"",
IF(AND(OFFSET(数出表_Excel【15時】!$A$1,A295+3,L295)&lt;&gt;"",OFFSET(数出表_Excel【15時】!$A$1,A295+3,L295)&lt;&gt;0),
OFFSET(数出表_Excel【15時】!$A$1,A295+3,L295),""),"")</f>
        <v/>
      </c>
    </row>
    <row r="296" spans="1:17">
      <c r="A296" t="str">
        <f t="shared" ca="1" si="4"/>
        <v/>
      </c>
      <c r="B296" t="str">
        <f t="array" aca="1" ref="B296" ca="1">IF(OR(COUNTIF(数出表_Excel【15時】!AO300,"*修正*"),COUNTIF(数出表_Excel【15時】!AO301,"*修正*")),
IF(ISEVEN(ROW()+4),INDIRECT("数出表_Excel【15時】!A"&amp;ROW()+4&amp;""),INDIRECT("数出表_Excel【15時】!A"&amp;ROW()+4-1&amp;"")),"")</f>
        <v/>
      </c>
      <c r="C296" t="str">
        <f t="array" aca="1" ref="C296" ca="1">IF(OR(COUNTIF(数出表_Excel【15時】!AO300,"*修正*"),COUNTIF(数出表_Excel【15時】!AO301,"*修正*")),
IF(ISEVEN(ROW()+4),INDIRECT("数出表_Excel【15時】!A"&amp;ROW()+4+1&amp;""),INDIRECT("数出表_Excel【15時】!A"&amp;ROW()+4&amp;"")),"")</f>
        <v/>
      </c>
      <c r="D296" s="209" t="str">
        <f t="array" aca="1" ref="D296" ca="1">IF(B296&lt;&gt;"",
IFERROR(MATCH(TRUE,ISNUMBER(INDIRECT("数出表_Excel【15時】!B"&amp;(A296+4)&amp;":ZZ"&amp;(A296+4))),0)+1,""),"")</f>
        <v/>
      </c>
      <c r="E296" t="str">
        <f ca="1">IF(D296&lt;&gt;"",
OFFSET(数出表_Excel【15時】!$A$1,2,D296-1)
&amp;IFERROR(OFFSET(数出表_Excel【15時】!$A$1,3,D296-1),"")
&amp;IFERROR(OFFSET(数出表_Excel【15時】!$A$1,4,D296-1),""),"")</f>
        <v/>
      </c>
      <c r="F296" t="str">
        <f ca="1">IF(D296&lt;&gt;"",
OFFSET(数出表_Excel【15時】!$A$1,A296+3,D296-1),"")</f>
        <v/>
      </c>
      <c r="G296" t="str">
        <f ca="1">IF(D296&lt;&gt;"",
IF(AND(OFFSET(数出表_Excel【15時】!$A$1,A296+3,D296)&lt;&gt;"",OFFSET(数出表_Excel【15時】!$A$1,A296+3,D296)&lt;&gt;0),
OFFSET(数出表_Excel【15時】!$A$1,A296+3,D296),""),"")</f>
        <v/>
      </c>
      <c r="H296" s="209" t="str">
        <f t="array" aca="1" ref="H296" ca="1">IF(B296&lt;&gt;"",
IFERROR(MATCH(TRUE,ISNUMBER(INDIRECT("数出表_Excel【15時】!"&amp;SUBSTITUTE(ADDRESS(1,D296+2,4),"1","")&amp;(A296+4)&amp;":ZZ"&amp;(A296+4))),0)+D296+1,""),"")</f>
        <v/>
      </c>
      <c r="I296" t="str">
        <f ca="1">IF(H296&lt;&gt;"",
OFFSET(数出表_Excel【15時】!$A$1,2,H296-1)
&amp;IFERROR(OFFSET(数出表_Excel【15時】!$A$1,3,H296-1),"")
&amp;IFERROR(OFFSET(数出表_Excel【15時】!$A$1,4,H296-1),""),"")</f>
        <v/>
      </c>
      <c r="J296" t="str">
        <f ca="1">IF(H296&lt;&gt;"",
OFFSET(数出表_Excel【15時】!$A$1,A296+3,H296-1),"")</f>
        <v/>
      </c>
      <c r="K296" t="str">
        <f ca="1">IF(H296&lt;&gt;"",
IF(AND(OFFSET(数出表_Excel【15時】!$A$1,A296+3,H296)&lt;&gt;"",OFFSET(数出表_Excel【15時】!$A$1,A296+3,H296)&lt;&gt;0),
OFFSET(数出表_Excel【15時】!$A$1,A296+3,H296),""),"")</f>
        <v/>
      </c>
      <c r="L296" s="209" t="str">
        <f t="array" aca="1" ref="L296" ca="1">IF(B296&lt;&gt;"",
IFERROR(MATCH(TRUE,ISNUMBER(INDIRECT("数出表_Excel【15時】!"&amp;SUBSTITUTE(ADDRESS(1,H296+2,4),"1","")&amp;(A296+4)&amp;":ZZ"&amp;(A296+4))),0)+H296+1,""),"")</f>
        <v/>
      </c>
      <c r="M296" t="str">
        <f ca="1">IF(L296&lt;&gt;"",
OFFSET(数出表_Excel【15時】!$A$1,2,L296-1)
&amp;IFERROR(OFFSET(数出表_Excel【15時】!$A$1,3,L296-1),"")
&amp;IFERROR(OFFSET(数出表_Excel【15時】!$A$1,4,L296-1),""),"")</f>
        <v/>
      </c>
      <c r="N296" t="str">
        <f ca="1">IF(L296&lt;&gt;"",
OFFSET(数出表_Excel【15時】!$A$1,A296+3,L296-1),"")</f>
        <v/>
      </c>
      <c r="O296" t="str">
        <f ca="1">IF(L296&lt;&gt;"",
IF(AND(OFFSET(数出表_Excel【15時】!$A$1,A296+3,L296)&lt;&gt;"",OFFSET(数出表_Excel【15時】!$A$1,A296+3,L296)&lt;&gt;0),
OFFSET(数出表_Excel【15時】!$A$1,A296+3,L296),""),"")</f>
        <v/>
      </c>
      <c r="Q296" t="str">
        <f ca="1">IF(C296&lt;&gt;"",
IF(E296&lt;&gt;"",1,0)+IF(I296&lt;&gt;"",1,0)+IF(M296&lt;&gt;"",1,0),"")</f>
        <v/>
      </c>
    </row>
    <row r="297" spans="1:17">
      <c r="A297" t="str">
        <f t="shared" ca="1" si="4"/>
        <v/>
      </c>
      <c r="B297" t="str">
        <f t="array" aca="1" ref="B297" ca="1">IF(OR(COUNTIF(数出表_Excel【15時】!AO300,"*修正*"),COUNTIF(数出表_Excel【15時】!AO301,"*修正*")),
IF(ISEVEN(ROW()+4),INDIRECT("数出表_Excel【15時】!A"&amp;ROW()+4&amp;""),INDIRECT("数出表_Excel【15時】!A"&amp;ROW()+4-1&amp;"")),"")</f>
        <v/>
      </c>
      <c r="C297" t="str">
        <f t="array" aca="1" ref="C297" ca="1">IF(OR(COUNTIF(数出表_Excel【15時】!AO300,"*修正*"),COUNTIF(数出表_Excel【15時】!AO301,"*修正*")),
IF(ISEVEN(ROW()+4),INDIRECT("数出表_Excel【15時】!A"&amp;ROW()+4+1&amp;""),INDIRECT("数出表_Excel【15時】!A"&amp;ROW()+4&amp;"")),"")</f>
        <v/>
      </c>
      <c r="D297" s="209" t="str">
        <f t="array" aca="1" ref="D297" ca="1">IF(B297&lt;&gt;"",
IFERROR(MATCH(TRUE,ISNUMBER(INDIRECT("数出表_Excel【15時】!B"&amp;(A297+4)&amp;":ZZ"&amp;(A297+4))),0)+1,""),"")</f>
        <v/>
      </c>
      <c r="E297" t="str">
        <f ca="1">IF(D297&lt;&gt;"",
OFFSET(数出表_Excel【15時】!$A$1,2,D297-1)
&amp;IFERROR(OFFSET(数出表_Excel【15時】!$A$1,3,D297-1),"")
&amp;IFERROR(OFFSET(数出表_Excel【15時】!$A$1,4,D297-1),""),"")</f>
        <v/>
      </c>
      <c r="F297" t="str">
        <f ca="1">IF(D297&lt;&gt;"",
OFFSET(数出表_Excel【15時】!$A$1,A297+3,D297-1),"")</f>
        <v/>
      </c>
      <c r="G297" t="str">
        <f ca="1">IF(D297&lt;&gt;"",
IF(AND(OFFSET(数出表_Excel【15時】!$A$1,A297+3,D297)&lt;&gt;"",OFFSET(数出表_Excel【15時】!$A$1,A297+3,D297)&lt;&gt;0),
OFFSET(数出表_Excel【15時】!$A$1,A297+3,D297),""),"")</f>
        <v/>
      </c>
      <c r="H297" s="209" t="str">
        <f t="array" aca="1" ref="H297" ca="1">IF(B297&lt;&gt;"",
IFERROR(MATCH(TRUE,ISNUMBER(INDIRECT("数出表_Excel【15時】!"&amp;SUBSTITUTE(ADDRESS(1,D297+2,4),"1","")&amp;(A297+4)&amp;":ZZ"&amp;(A297+4))),0)+D297+1,""),"")</f>
        <v/>
      </c>
      <c r="I297" t="str">
        <f ca="1">IF(H297&lt;&gt;"",
OFFSET(数出表_Excel【15時】!$A$1,2,H297-1)
&amp;IFERROR(OFFSET(数出表_Excel【15時】!$A$1,3,H297-1),"")
&amp;IFERROR(OFFSET(数出表_Excel【15時】!$A$1,4,H297-1),""),"")</f>
        <v/>
      </c>
      <c r="J297" t="str">
        <f ca="1">IF(H297&lt;&gt;"",
OFFSET(数出表_Excel【15時】!$A$1,A297+3,H297-1),"")</f>
        <v/>
      </c>
      <c r="K297" t="str">
        <f ca="1">IF(H297&lt;&gt;"",
IF(AND(OFFSET(数出表_Excel【15時】!$A$1,A297+3,H297)&lt;&gt;"",OFFSET(数出表_Excel【15時】!$A$1,A297+3,H297)&lt;&gt;0),
OFFSET(数出表_Excel【15時】!$A$1,A297+3,H297),""),"")</f>
        <v/>
      </c>
      <c r="L297" s="209" t="str">
        <f t="array" aca="1" ref="L297" ca="1">IF(B297&lt;&gt;"",
IFERROR(MATCH(TRUE,ISNUMBER(INDIRECT("数出表_Excel【15時】!"&amp;SUBSTITUTE(ADDRESS(1,H297+2,4),"1","")&amp;(A297+4)&amp;":ZZ"&amp;(A297+4))),0)+H297+1,""),"")</f>
        <v/>
      </c>
      <c r="M297" t="str">
        <f ca="1">IF(L297&lt;&gt;"",
OFFSET(数出表_Excel【15時】!$A$1,2,L297-1)
&amp;IFERROR(OFFSET(数出表_Excel【15時】!$A$1,3,L297-1),"")
&amp;IFERROR(OFFSET(数出表_Excel【15時】!$A$1,4,L297-1),""),"")</f>
        <v/>
      </c>
      <c r="N297" t="str">
        <f ca="1">IF(L297&lt;&gt;"",
OFFSET(数出表_Excel【15時】!$A$1,A297+3,L297-1),"")</f>
        <v/>
      </c>
      <c r="O297" t="str">
        <f ca="1">IF(L297&lt;&gt;"",
IF(AND(OFFSET(数出表_Excel【15時】!$A$1,A297+3,L297)&lt;&gt;"",OFFSET(数出表_Excel【15時】!$A$1,A297+3,L297)&lt;&gt;0),
OFFSET(数出表_Excel【15時】!$A$1,A297+3,L297),""),"")</f>
        <v/>
      </c>
    </row>
    <row r="298" spans="1:17">
      <c r="A298" t="str">
        <f t="shared" ca="1" si="4"/>
        <v/>
      </c>
      <c r="B298" t="str">
        <f t="array" aca="1" ref="B298" ca="1">IF(OR(COUNTIF(数出表_Excel【15時】!AO302,"*修正*"),COUNTIF(数出表_Excel【15時】!AO303,"*修正*")),
IF(ISEVEN(ROW()+4),INDIRECT("数出表_Excel【15時】!A"&amp;ROW()+4&amp;""),INDIRECT("数出表_Excel【15時】!A"&amp;ROW()+4-1&amp;"")),"")</f>
        <v/>
      </c>
      <c r="C298" t="str">
        <f t="array" aca="1" ref="C298" ca="1">IF(OR(COUNTIF(数出表_Excel【15時】!AO302,"*修正*"),COUNTIF(数出表_Excel【15時】!AO303,"*修正*")),
IF(ISEVEN(ROW()+4),INDIRECT("数出表_Excel【15時】!A"&amp;ROW()+4+1&amp;""),INDIRECT("数出表_Excel【15時】!A"&amp;ROW()+4&amp;"")),"")</f>
        <v/>
      </c>
      <c r="D298" s="209" t="str">
        <f t="array" aca="1" ref="D298" ca="1">IF(B298&lt;&gt;"",
IFERROR(MATCH(TRUE,ISNUMBER(INDIRECT("数出表_Excel【15時】!B"&amp;(A298+4)&amp;":ZZ"&amp;(A298+4))),0)+1,""),"")</f>
        <v/>
      </c>
      <c r="E298" t="str">
        <f ca="1">IF(D298&lt;&gt;"",
OFFSET(数出表_Excel【15時】!$A$1,2,D298-1)
&amp;IFERROR(OFFSET(数出表_Excel【15時】!$A$1,3,D298-1),"")
&amp;IFERROR(OFFSET(数出表_Excel【15時】!$A$1,4,D298-1),""),"")</f>
        <v/>
      </c>
      <c r="F298" t="str">
        <f ca="1">IF(D298&lt;&gt;"",
OFFSET(数出表_Excel【15時】!$A$1,A298+3,D298-1),"")</f>
        <v/>
      </c>
      <c r="G298" t="str">
        <f ca="1">IF(D298&lt;&gt;"",
IF(AND(OFFSET(数出表_Excel【15時】!$A$1,A298+3,D298)&lt;&gt;"",OFFSET(数出表_Excel【15時】!$A$1,A298+3,D298)&lt;&gt;0),
OFFSET(数出表_Excel【15時】!$A$1,A298+3,D298),""),"")</f>
        <v/>
      </c>
      <c r="H298" s="209" t="str">
        <f t="array" aca="1" ref="H298" ca="1">IF(B298&lt;&gt;"",
IFERROR(MATCH(TRUE,ISNUMBER(INDIRECT("数出表_Excel【15時】!"&amp;SUBSTITUTE(ADDRESS(1,D298+2,4),"1","")&amp;(A298+4)&amp;":ZZ"&amp;(A298+4))),0)+D298+1,""),"")</f>
        <v/>
      </c>
      <c r="I298" t="str">
        <f ca="1">IF(H298&lt;&gt;"",
OFFSET(数出表_Excel【15時】!$A$1,2,H298-1)
&amp;IFERROR(OFFSET(数出表_Excel【15時】!$A$1,3,H298-1),"")
&amp;IFERROR(OFFSET(数出表_Excel【15時】!$A$1,4,H298-1),""),"")</f>
        <v/>
      </c>
      <c r="J298" t="str">
        <f ca="1">IF(H298&lt;&gt;"",
OFFSET(数出表_Excel【15時】!$A$1,A298+3,H298-1),"")</f>
        <v/>
      </c>
      <c r="K298" t="str">
        <f ca="1">IF(H298&lt;&gt;"",
IF(AND(OFFSET(数出表_Excel【15時】!$A$1,A298+3,H298)&lt;&gt;"",OFFSET(数出表_Excel【15時】!$A$1,A298+3,H298)&lt;&gt;0),
OFFSET(数出表_Excel【15時】!$A$1,A298+3,H298),""),"")</f>
        <v/>
      </c>
      <c r="L298" s="209" t="str">
        <f t="array" aca="1" ref="L298" ca="1">IF(B298&lt;&gt;"",
IFERROR(MATCH(TRUE,ISNUMBER(INDIRECT("数出表_Excel【15時】!"&amp;SUBSTITUTE(ADDRESS(1,H298+2,4),"1","")&amp;(A298+4)&amp;":ZZ"&amp;(A298+4))),0)+H298+1,""),"")</f>
        <v/>
      </c>
      <c r="M298" t="str">
        <f ca="1">IF(L298&lt;&gt;"",
OFFSET(数出表_Excel【15時】!$A$1,2,L298-1)
&amp;IFERROR(OFFSET(数出表_Excel【15時】!$A$1,3,L298-1),"")
&amp;IFERROR(OFFSET(数出表_Excel【15時】!$A$1,4,L298-1),""),"")</f>
        <v/>
      </c>
      <c r="N298" t="str">
        <f ca="1">IF(L298&lt;&gt;"",
OFFSET(数出表_Excel【15時】!$A$1,A298+3,L298-1),"")</f>
        <v/>
      </c>
      <c r="O298" t="str">
        <f ca="1">IF(L298&lt;&gt;"",
IF(AND(OFFSET(数出表_Excel【15時】!$A$1,A298+3,L298)&lt;&gt;"",OFFSET(数出表_Excel【15時】!$A$1,A298+3,L298)&lt;&gt;0),
OFFSET(数出表_Excel【15時】!$A$1,A298+3,L298),""),"")</f>
        <v/>
      </c>
      <c r="Q298" t="str">
        <f ca="1">IF(C298&lt;&gt;"",
IF(E298&lt;&gt;"",1,0)+IF(I298&lt;&gt;"",1,0)+IF(M298&lt;&gt;"",1,0),"")</f>
        <v/>
      </c>
    </row>
    <row r="299" spans="1:17">
      <c r="A299" t="str">
        <f t="shared" ca="1" si="4"/>
        <v/>
      </c>
      <c r="B299" t="str">
        <f t="array" aca="1" ref="B299" ca="1">IF(OR(COUNTIF(数出表_Excel【15時】!AO302,"*修正*"),COUNTIF(数出表_Excel【15時】!AO303,"*修正*")),
IF(ISEVEN(ROW()+4),INDIRECT("数出表_Excel【15時】!A"&amp;ROW()+4&amp;""),INDIRECT("数出表_Excel【15時】!A"&amp;ROW()+4-1&amp;"")),"")</f>
        <v/>
      </c>
      <c r="C299" t="str">
        <f t="array" aca="1" ref="C299" ca="1">IF(OR(COUNTIF(数出表_Excel【15時】!AO302,"*修正*"),COUNTIF(数出表_Excel【15時】!AO303,"*修正*")),
IF(ISEVEN(ROW()+4),INDIRECT("数出表_Excel【15時】!A"&amp;ROW()+4+1&amp;""),INDIRECT("数出表_Excel【15時】!A"&amp;ROW()+4&amp;"")),"")</f>
        <v/>
      </c>
      <c r="D299" s="209" t="str">
        <f t="array" aca="1" ref="D299" ca="1">IF(B299&lt;&gt;"",
IFERROR(MATCH(TRUE,ISNUMBER(INDIRECT("数出表_Excel【15時】!B"&amp;(A299+4)&amp;":ZZ"&amp;(A299+4))),0)+1,""),"")</f>
        <v/>
      </c>
      <c r="E299" t="str">
        <f ca="1">IF(D299&lt;&gt;"",
OFFSET(数出表_Excel【15時】!$A$1,2,D299-1)
&amp;IFERROR(OFFSET(数出表_Excel【15時】!$A$1,3,D299-1),"")
&amp;IFERROR(OFFSET(数出表_Excel【15時】!$A$1,4,D299-1),""),"")</f>
        <v/>
      </c>
      <c r="F299" t="str">
        <f ca="1">IF(D299&lt;&gt;"",
OFFSET(数出表_Excel【15時】!$A$1,A299+3,D299-1),"")</f>
        <v/>
      </c>
      <c r="G299" t="str">
        <f ca="1">IF(D299&lt;&gt;"",
IF(AND(OFFSET(数出表_Excel【15時】!$A$1,A299+3,D299)&lt;&gt;"",OFFSET(数出表_Excel【15時】!$A$1,A299+3,D299)&lt;&gt;0),
OFFSET(数出表_Excel【15時】!$A$1,A299+3,D299),""),"")</f>
        <v/>
      </c>
      <c r="H299" s="209" t="str">
        <f t="array" aca="1" ref="H299" ca="1">IF(B299&lt;&gt;"",
IFERROR(MATCH(TRUE,ISNUMBER(INDIRECT("数出表_Excel【15時】!"&amp;SUBSTITUTE(ADDRESS(1,D299+2,4),"1","")&amp;(A299+4)&amp;":ZZ"&amp;(A299+4))),0)+D299+1,""),"")</f>
        <v/>
      </c>
      <c r="I299" t="str">
        <f ca="1">IF(H299&lt;&gt;"",
OFFSET(数出表_Excel【15時】!$A$1,2,H299-1)
&amp;IFERROR(OFFSET(数出表_Excel【15時】!$A$1,3,H299-1),"")
&amp;IFERROR(OFFSET(数出表_Excel【15時】!$A$1,4,H299-1),""),"")</f>
        <v/>
      </c>
      <c r="J299" t="str">
        <f ca="1">IF(H299&lt;&gt;"",
OFFSET(数出表_Excel【15時】!$A$1,A299+3,H299-1),"")</f>
        <v/>
      </c>
      <c r="K299" t="str">
        <f ca="1">IF(H299&lt;&gt;"",
IF(AND(OFFSET(数出表_Excel【15時】!$A$1,A299+3,H299)&lt;&gt;"",OFFSET(数出表_Excel【15時】!$A$1,A299+3,H299)&lt;&gt;0),
OFFSET(数出表_Excel【15時】!$A$1,A299+3,H299),""),"")</f>
        <v/>
      </c>
      <c r="L299" s="209" t="str">
        <f t="array" aca="1" ref="L299" ca="1">IF(B299&lt;&gt;"",
IFERROR(MATCH(TRUE,ISNUMBER(INDIRECT("数出表_Excel【15時】!"&amp;SUBSTITUTE(ADDRESS(1,H299+2,4),"1","")&amp;(A299+4)&amp;":ZZ"&amp;(A299+4))),0)+H299+1,""),"")</f>
        <v/>
      </c>
      <c r="M299" t="str">
        <f ca="1">IF(L299&lt;&gt;"",
OFFSET(数出表_Excel【15時】!$A$1,2,L299-1)
&amp;IFERROR(OFFSET(数出表_Excel【15時】!$A$1,3,L299-1),"")
&amp;IFERROR(OFFSET(数出表_Excel【15時】!$A$1,4,L299-1),""),"")</f>
        <v/>
      </c>
      <c r="N299" t="str">
        <f ca="1">IF(L299&lt;&gt;"",
OFFSET(数出表_Excel【15時】!$A$1,A299+3,L299-1),"")</f>
        <v/>
      </c>
      <c r="O299" t="str">
        <f ca="1">IF(L299&lt;&gt;"",
IF(AND(OFFSET(数出表_Excel【15時】!$A$1,A299+3,L299)&lt;&gt;"",OFFSET(数出表_Excel【15時】!$A$1,A299+3,L299)&lt;&gt;0),
OFFSET(数出表_Excel【15時】!$A$1,A299+3,L299),""),"")</f>
        <v/>
      </c>
    </row>
    <row r="300" spans="1:17">
      <c r="A300" t="str">
        <f t="shared" ca="1" si="4"/>
        <v/>
      </c>
      <c r="B300" t="str">
        <f t="array" aca="1" ref="B300" ca="1">IF(OR(COUNTIF(数出表_Excel【15時】!AO304,"*修正*"),COUNTIF(数出表_Excel【15時】!AO305,"*修正*")),
IF(ISEVEN(ROW()+4),INDIRECT("数出表_Excel【15時】!A"&amp;ROW()+4&amp;""),INDIRECT("数出表_Excel【15時】!A"&amp;ROW()+4-1&amp;"")),"")</f>
        <v/>
      </c>
      <c r="C300" t="str">
        <f t="array" aca="1" ref="C300" ca="1">IF(OR(COUNTIF(数出表_Excel【15時】!AO304,"*修正*"),COUNTIF(数出表_Excel【15時】!AO305,"*修正*")),
IF(ISEVEN(ROW()+4),INDIRECT("数出表_Excel【15時】!A"&amp;ROW()+4+1&amp;""),INDIRECT("数出表_Excel【15時】!A"&amp;ROW()+4&amp;"")),"")</f>
        <v/>
      </c>
      <c r="D300" s="209" t="str">
        <f t="array" aca="1" ref="D300" ca="1">IF(B300&lt;&gt;"",
IFERROR(MATCH(TRUE,ISNUMBER(INDIRECT("数出表_Excel【15時】!B"&amp;(A300+4)&amp;":ZZ"&amp;(A300+4))),0)+1,""),"")</f>
        <v/>
      </c>
      <c r="E300" t="str">
        <f ca="1">IF(D300&lt;&gt;"",
OFFSET(数出表_Excel【15時】!$A$1,2,D300-1)
&amp;IFERROR(OFFSET(数出表_Excel【15時】!$A$1,3,D300-1),"")
&amp;IFERROR(OFFSET(数出表_Excel【15時】!$A$1,4,D300-1),""),"")</f>
        <v/>
      </c>
      <c r="F300" t="str">
        <f ca="1">IF(D300&lt;&gt;"",
OFFSET(数出表_Excel【15時】!$A$1,A300+3,D300-1),"")</f>
        <v/>
      </c>
      <c r="G300" t="str">
        <f ca="1">IF(D300&lt;&gt;"",
IF(AND(OFFSET(数出表_Excel【15時】!$A$1,A300+3,D300)&lt;&gt;"",OFFSET(数出表_Excel【15時】!$A$1,A300+3,D300)&lt;&gt;0),
OFFSET(数出表_Excel【15時】!$A$1,A300+3,D300),""),"")</f>
        <v/>
      </c>
      <c r="H300" s="209" t="str">
        <f t="array" aca="1" ref="H300" ca="1">IF(B300&lt;&gt;"",
IFERROR(MATCH(TRUE,ISNUMBER(INDIRECT("数出表_Excel【15時】!"&amp;SUBSTITUTE(ADDRESS(1,D300+2,4),"1","")&amp;(A300+4)&amp;":ZZ"&amp;(A300+4))),0)+D300+1,""),"")</f>
        <v/>
      </c>
      <c r="I300" t="str">
        <f ca="1">IF(H300&lt;&gt;"",
OFFSET(数出表_Excel【15時】!$A$1,2,H300-1)
&amp;IFERROR(OFFSET(数出表_Excel【15時】!$A$1,3,H300-1),"")
&amp;IFERROR(OFFSET(数出表_Excel【15時】!$A$1,4,H300-1),""),"")</f>
        <v/>
      </c>
      <c r="J300" t="str">
        <f ca="1">IF(H300&lt;&gt;"",
OFFSET(数出表_Excel【15時】!$A$1,A300+3,H300-1),"")</f>
        <v/>
      </c>
      <c r="K300" t="str">
        <f ca="1">IF(H300&lt;&gt;"",
IF(AND(OFFSET(数出表_Excel【15時】!$A$1,A300+3,H300)&lt;&gt;"",OFFSET(数出表_Excel【15時】!$A$1,A300+3,H300)&lt;&gt;0),
OFFSET(数出表_Excel【15時】!$A$1,A300+3,H300),""),"")</f>
        <v/>
      </c>
      <c r="L300" s="209" t="str">
        <f t="array" aca="1" ref="L300" ca="1">IF(B300&lt;&gt;"",
IFERROR(MATCH(TRUE,ISNUMBER(INDIRECT("数出表_Excel【15時】!"&amp;SUBSTITUTE(ADDRESS(1,H300+2,4),"1","")&amp;(A300+4)&amp;":ZZ"&amp;(A300+4))),0)+H300+1,""),"")</f>
        <v/>
      </c>
      <c r="M300" t="str">
        <f ca="1">IF(L300&lt;&gt;"",
OFFSET(数出表_Excel【15時】!$A$1,2,L300-1)
&amp;IFERROR(OFFSET(数出表_Excel【15時】!$A$1,3,L300-1),"")
&amp;IFERROR(OFFSET(数出表_Excel【15時】!$A$1,4,L300-1),""),"")</f>
        <v/>
      </c>
      <c r="N300" t="str">
        <f ca="1">IF(L300&lt;&gt;"",
OFFSET(数出表_Excel【15時】!$A$1,A300+3,L300-1),"")</f>
        <v/>
      </c>
      <c r="O300" t="str">
        <f ca="1">IF(L300&lt;&gt;"",
IF(AND(OFFSET(数出表_Excel【15時】!$A$1,A300+3,L300)&lt;&gt;"",OFFSET(数出表_Excel【15時】!$A$1,A300+3,L300)&lt;&gt;0),
OFFSET(数出表_Excel【15時】!$A$1,A300+3,L300),""),"")</f>
        <v/>
      </c>
      <c r="Q300" t="str">
        <f ca="1">IF(C300&lt;&gt;"",
IF(E300&lt;&gt;"",1,0)+IF(I300&lt;&gt;"",1,0)+IF(M300&lt;&gt;"",1,0),"")</f>
        <v/>
      </c>
    </row>
    <row r="301" spans="1:17">
      <c r="A301" t="str">
        <f t="shared" ca="1" si="4"/>
        <v/>
      </c>
      <c r="B301" t="str">
        <f t="array" aca="1" ref="B301" ca="1">IF(OR(COUNTIF(数出表_Excel【15時】!AO304,"*修正*"),COUNTIF(数出表_Excel【15時】!AO305,"*修正*")),
IF(ISEVEN(ROW()+4),INDIRECT("数出表_Excel【15時】!A"&amp;ROW()+4&amp;""),INDIRECT("数出表_Excel【15時】!A"&amp;ROW()+4-1&amp;"")),"")</f>
        <v/>
      </c>
      <c r="C301" t="str">
        <f t="array" aca="1" ref="C301" ca="1">IF(OR(COUNTIF(数出表_Excel【15時】!AO304,"*修正*"),COUNTIF(数出表_Excel【15時】!AO305,"*修正*")),
IF(ISEVEN(ROW()+4),INDIRECT("数出表_Excel【15時】!A"&amp;ROW()+4+1&amp;""),INDIRECT("数出表_Excel【15時】!A"&amp;ROW()+4&amp;"")),"")</f>
        <v/>
      </c>
      <c r="D301" s="209" t="str">
        <f t="array" aca="1" ref="D301" ca="1">IF(B301&lt;&gt;"",
IFERROR(MATCH(TRUE,ISNUMBER(INDIRECT("数出表_Excel【15時】!B"&amp;(A301+4)&amp;":ZZ"&amp;(A301+4))),0)+1,""),"")</f>
        <v/>
      </c>
      <c r="E301" t="str">
        <f ca="1">IF(D301&lt;&gt;"",
OFFSET(数出表_Excel【15時】!$A$1,2,D301-1)
&amp;IFERROR(OFFSET(数出表_Excel【15時】!$A$1,3,D301-1),"")
&amp;IFERROR(OFFSET(数出表_Excel【15時】!$A$1,4,D301-1),""),"")</f>
        <v/>
      </c>
      <c r="F301" t="str">
        <f ca="1">IF(D301&lt;&gt;"",
OFFSET(数出表_Excel【15時】!$A$1,A301+3,D301-1),"")</f>
        <v/>
      </c>
      <c r="G301" t="str">
        <f ca="1">IF(D301&lt;&gt;"",
IF(AND(OFFSET(数出表_Excel【15時】!$A$1,A301+3,D301)&lt;&gt;"",OFFSET(数出表_Excel【15時】!$A$1,A301+3,D301)&lt;&gt;0),
OFFSET(数出表_Excel【15時】!$A$1,A301+3,D301),""),"")</f>
        <v/>
      </c>
      <c r="H301" s="209" t="str">
        <f t="array" aca="1" ref="H301" ca="1">IF(B301&lt;&gt;"",
IFERROR(MATCH(TRUE,ISNUMBER(INDIRECT("数出表_Excel【15時】!"&amp;SUBSTITUTE(ADDRESS(1,D301+2,4),"1","")&amp;(A301+4)&amp;":ZZ"&amp;(A301+4))),0)+D301+1,""),"")</f>
        <v/>
      </c>
      <c r="I301" t="str">
        <f ca="1">IF(H301&lt;&gt;"",
OFFSET(数出表_Excel【15時】!$A$1,2,H301-1)
&amp;IFERROR(OFFSET(数出表_Excel【15時】!$A$1,3,H301-1),"")
&amp;IFERROR(OFFSET(数出表_Excel【15時】!$A$1,4,H301-1),""),"")</f>
        <v/>
      </c>
      <c r="J301" t="str">
        <f ca="1">IF(H301&lt;&gt;"",
OFFSET(数出表_Excel【15時】!$A$1,A301+3,H301-1),"")</f>
        <v/>
      </c>
      <c r="K301" t="str">
        <f ca="1">IF(H301&lt;&gt;"",
IF(AND(OFFSET(数出表_Excel【15時】!$A$1,A301+3,H301)&lt;&gt;"",OFFSET(数出表_Excel【15時】!$A$1,A301+3,H301)&lt;&gt;0),
OFFSET(数出表_Excel【15時】!$A$1,A301+3,H301),""),"")</f>
        <v/>
      </c>
      <c r="L301" s="209" t="str">
        <f t="array" aca="1" ref="L301" ca="1">IF(B301&lt;&gt;"",
IFERROR(MATCH(TRUE,ISNUMBER(INDIRECT("数出表_Excel【15時】!"&amp;SUBSTITUTE(ADDRESS(1,H301+2,4),"1","")&amp;(A301+4)&amp;":ZZ"&amp;(A301+4))),0)+H301+1,""),"")</f>
        <v/>
      </c>
      <c r="M301" t="str">
        <f ca="1">IF(L301&lt;&gt;"",
OFFSET(数出表_Excel【15時】!$A$1,2,L301-1)
&amp;IFERROR(OFFSET(数出表_Excel【15時】!$A$1,3,L301-1),"")
&amp;IFERROR(OFFSET(数出表_Excel【15時】!$A$1,4,L301-1),""),"")</f>
        <v/>
      </c>
      <c r="N301" t="str">
        <f ca="1">IF(L301&lt;&gt;"",
OFFSET(数出表_Excel【15時】!$A$1,A301+3,L301-1),"")</f>
        <v/>
      </c>
      <c r="O301" t="str">
        <f ca="1">IF(L301&lt;&gt;"",
IF(AND(OFFSET(数出表_Excel【15時】!$A$1,A301+3,L301)&lt;&gt;"",OFFSET(数出表_Excel【15時】!$A$1,A301+3,L301)&lt;&gt;0),
OFFSET(数出表_Excel【15時】!$A$1,A301+3,L301),""),"")</f>
        <v/>
      </c>
    </row>
    <row r="302" spans="1:17">
      <c r="A302" t="str">
        <f t="shared" ca="1" si="4"/>
        <v/>
      </c>
      <c r="B302" t="str">
        <f t="array" aca="1" ref="B302" ca="1">IF(OR(COUNTIF(数出表_Excel【15時】!AO306,"*修正*"),COUNTIF(数出表_Excel【15時】!AO307,"*修正*")),
IF(ISEVEN(ROW()+4),INDIRECT("数出表_Excel【15時】!A"&amp;ROW()+4&amp;""),INDIRECT("数出表_Excel【15時】!A"&amp;ROW()+4-1&amp;"")),"")</f>
        <v/>
      </c>
      <c r="C302" t="str">
        <f t="array" aca="1" ref="C302" ca="1">IF(OR(COUNTIF(数出表_Excel【15時】!AO306,"*修正*"),COUNTIF(数出表_Excel【15時】!AO307,"*修正*")),
IF(ISEVEN(ROW()+4),INDIRECT("数出表_Excel【15時】!A"&amp;ROW()+4+1&amp;""),INDIRECT("数出表_Excel【15時】!A"&amp;ROW()+4&amp;"")),"")</f>
        <v/>
      </c>
      <c r="D302" s="209" t="str">
        <f t="array" aca="1" ref="D302" ca="1">IF(B302&lt;&gt;"",
IFERROR(MATCH(TRUE,ISNUMBER(INDIRECT("数出表_Excel【15時】!B"&amp;(A302+4)&amp;":ZZ"&amp;(A302+4))),0)+1,""),"")</f>
        <v/>
      </c>
      <c r="E302" t="str">
        <f ca="1">IF(D302&lt;&gt;"",
OFFSET(数出表_Excel【15時】!$A$1,2,D302-1)
&amp;IFERROR(OFFSET(数出表_Excel【15時】!$A$1,3,D302-1),"")
&amp;IFERROR(OFFSET(数出表_Excel【15時】!$A$1,4,D302-1),""),"")</f>
        <v/>
      </c>
      <c r="F302" t="str">
        <f ca="1">IF(D302&lt;&gt;"",
OFFSET(数出表_Excel【15時】!$A$1,A302+3,D302-1),"")</f>
        <v/>
      </c>
      <c r="G302" t="str">
        <f ca="1">IF(D302&lt;&gt;"",
IF(AND(OFFSET(数出表_Excel【15時】!$A$1,A302+3,D302)&lt;&gt;"",OFFSET(数出表_Excel【15時】!$A$1,A302+3,D302)&lt;&gt;0),
OFFSET(数出表_Excel【15時】!$A$1,A302+3,D302),""),"")</f>
        <v/>
      </c>
      <c r="H302" s="209" t="str">
        <f t="array" aca="1" ref="H302" ca="1">IF(B302&lt;&gt;"",
IFERROR(MATCH(TRUE,ISNUMBER(INDIRECT("数出表_Excel【15時】!"&amp;SUBSTITUTE(ADDRESS(1,D302+2,4),"1","")&amp;(A302+4)&amp;":ZZ"&amp;(A302+4))),0)+D302+1,""),"")</f>
        <v/>
      </c>
      <c r="I302" t="str">
        <f ca="1">IF(H302&lt;&gt;"",
OFFSET(数出表_Excel【15時】!$A$1,2,H302-1)
&amp;IFERROR(OFFSET(数出表_Excel【15時】!$A$1,3,H302-1),"")
&amp;IFERROR(OFFSET(数出表_Excel【15時】!$A$1,4,H302-1),""),"")</f>
        <v/>
      </c>
      <c r="J302" t="str">
        <f ca="1">IF(H302&lt;&gt;"",
OFFSET(数出表_Excel【15時】!$A$1,A302+3,H302-1),"")</f>
        <v/>
      </c>
      <c r="K302" t="str">
        <f ca="1">IF(H302&lt;&gt;"",
IF(AND(OFFSET(数出表_Excel【15時】!$A$1,A302+3,H302)&lt;&gt;"",OFFSET(数出表_Excel【15時】!$A$1,A302+3,H302)&lt;&gt;0),
OFFSET(数出表_Excel【15時】!$A$1,A302+3,H302),""),"")</f>
        <v/>
      </c>
      <c r="L302" s="209" t="str">
        <f t="array" aca="1" ref="L302" ca="1">IF(B302&lt;&gt;"",
IFERROR(MATCH(TRUE,ISNUMBER(INDIRECT("数出表_Excel【15時】!"&amp;SUBSTITUTE(ADDRESS(1,H302+2,4),"1","")&amp;(A302+4)&amp;":ZZ"&amp;(A302+4))),0)+H302+1,""),"")</f>
        <v/>
      </c>
      <c r="M302" t="str">
        <f ca="1">IF(L302&lt;&gt;"",
OFFSET(数出表_Excel【15時】!$A$1,2,L302-1)
&amp;IFERROR(OFFSET(数出表_Excel【15時】!$A$1,3,L302-1),"")
&amp;IFERROR(OFFSET(数出表_Excel【15時】!$A$1,4,L302-1),""),"")</f>
        <v/>
      </c>
      <c r="N302" t="str">
        <f ca="1">IF(L302&lt;&gt;"",
OFFSET(数出表_Excel【15時】!$A$1,A302+3,L302-1),"")</f>
        <v/>
      </c>
      <c r="O302" t="str">
        <f ca="1">IF(L302&lt;&gt;"",
IF(AND(OFFSET(数出表_Excel【15時】!$A$1,A302+3,L302)&lt;&gt;"",OFFSET(数出表_Excel【15時】!$A$1,A302+3,L302)&lt;&gt;0),
OFFSET(数出表_Excel【15時】!$A$1,A302+3,L302),""),"")</f>
        <v/>
      </c>
      <c r="Q302" t="str">
        <f ca="1">IF(C302&lt;&gt;"",
IF(E302&lt;&gt;"",1,0)+IF(I302&lt;&gt;"",1,0)+IF(M302&lt;&gt;"",1,0),"")</f>
        <v/>
      </c>
    </row>
    <row r="303" spans="1:17">
      <c r="A303" t="str">
        <f t="shared" ca="1" si="4"/>
        <v/>
      </c>
      <c r="B303" t="str">
        <f t="array" aca="1" ref="B303" ca="1">IF(OR(COUNTIF(数出表_Excel【15時】!AO306,"*修正*"),COUNTIF(数出表_Excel【15時】!AO307,"*修正*")),
IF(ISEVEN(ROW()+4),INDIRECT("数出表_Excel【15時】!A"&amp;ROW()+4&amp;""),INDIRECT("数出表_Excel【15時】!A"&amp;ROW()+4-1&amp;"")),"")</f>
        <v/>
      </c>
      <c r="C303" t="str">
        <f t="array" aca="1" ref="C303" ca="1">IF(OR(COUNTIF(数出表_Excel【15時】!AO306,"*修正*"),COUNTIF(数出表_Excel【15時】!AO307,"*修正*")),
IF(ISEVEN(ROW()+4),INDIRECT("数出表_Excel【15時】!A"&amp;ROW()+4+1&amp;""),INDIRECT("数出表_Excel【15時】!A"&amp;ROW()+4&amp;"")),"")</f>
        <v/>
      </c>
      <c r="D303" s="209" t="str">
        <f t="array" aca="1" ref="D303" ca="1">IF(B303&lt;&gt;"",
IFERROR(MATCH(TRUE,ISNUMBER(INDIRECT("数出表_Excel【15時】!B"&amp;(A303+4)&amp;":ZZ"&amp;(A303+4))),0)+1,""),"")</f>
        <v/>
      </c>
      <c r="E303" t="str">
        <f ca="1">IF(D303&lt;&gt;"",
OFFSET(数出表_Excel【15時】!$A$1,2,D303-1)
&amp;IFERROR(OFFSET(数出表_Excel【15時】!$A$1,3,D303-1),"")
&amp;IFERROR(OFFSET(数出表_Excel【15時】!$A$1,4,D303-1),""),"")</f>
        <v/>
      </c>
      <c r="F303" t="str">
        <f ca="1">IF(D303&lt;&gt;"",
OFFSET(数出表_Excel【15時】!$A$1,A303+3,D303-1),"")</f>
        <v/>
      </c>
      <c r="G303" t="str">
        <f ca="1">IF(D303&lt;&gt;"",
IF(AND(OFFSET(数出表_Excel【15時】!$A$1,A303+3,D303)&lt;&gt;"",OFFSET(数出表_Excel【15時】!$A$1,A303+3,D303)&lt;&gt;0),
OFFSET(数出表_Excel【15時】!$A$1,A303+3,D303),""),"")</f>
        <v/>
      </c>
      <c r="H303" s="209" t="str">
        <f t="array" aca="1" ref="H303" ca="1">IF(B303&lt;&gt;"",
IFERROR(MATCH(TRUE,ISNUMBER(INDIRECT("数出表_Excel【15時】!"&amp;SUBSTITUTE(ADDRESS(1,D303+2,4),"1","")&amp;(A303+4)&amp;":ZZ"&amp;(A303+4))),0)+D303+1,""),"")</f>
        <v/>
      </c>
      <c r="I303" t="str">
        <f ca="1">IF(H303&lt;&gt;"",
OFFSET(数出表_Excel【15時】!$A$1,2,H303-1)
&amp;IFERROR(OFFSET(数出表_Excel【15時】!$A$1,3,H303-1),"")
&amp;IFERROR(OFFSET(数出表_Excel【15時】!$A$1,4,H303-1),""),"")</f>
        <v/>
      </c>
      <c r="J303" t="str">
        <f ca="1">IF(H303&lt;&gt;"",
OFFSET(数出表_Excel【15時】!$A$1,A303+3,H303-1),"")</f>
        <v/>
      </c>
      <c r="K303" t="str">
        <f ca="1">IF(H303&lt;&gt;"",
IF(AND(OFFSET(数出表_Excel【15時】!$A$1,A303+3,H303)&lt;&gt;"",OFFSET(数出表_Excel【15時】!$A$1,A303+3,H303)&lt;&gt;0),
OFFSET(数出表_Excel【15時】!$A$1,A303+3,H303),""),"")</f>
        <v/>
      </c>
      <c r="L303" s="209" t="str">
        <f t="array" aca="1" ref="L303" ca="1">IF(B303&lt;&gt;"",
IFERROR(MATCH(TRUE,ISNUMBER(INDIRECT("数出表_Excel【15時】!"&amp;SUBSTITUTE(ADDRESS(1,H303+2,4),"1","")&amp;(A303+4)&amp;":ZZ"&amp;(A303+4))),0)+H303+1,""),"")</f>
        <v/>
      </c>
      <c r="M303" t="str">
        <f ca="1">IF(L303&lt;&gt;"",
OFFSET(数出表_Excel【15時】!$A$1,2,L303-1)
&amp;IFERROR(OFFSET(数出表_Excel【15時】!$A$1,3,L303-1),"")
&amp;IFERROR(OFFSET(数出表_Excel【15時】!$A$1,4,L303-1),""),"")</f>
        <v/>
      </c>
      <c r="N303" t="str">
        <f ca="1">IF(L303&lt;&gt;"",
OFFSET(数出表_Excel【15時】!$A$1,A303+3,L303-1),"")</f>
        <v/>
      </c>
      <c r="O303" t="str">
        <f ca="1">IF(L303&lt;&gt;"",
IF(AND(OFFSET(数出表_Excel【15時】!$A$1,A303+3,L303)&lt;&gt;"",OFFSET(数出表_Excel【15時】!$A$1,A303+3,L303)&lt;&gt;0),
OFFSET(数出表_Excel【15時】!$A$1,A303+3,L303),""),"")</f>
        <v/>
      </c>
    </row>
    <row r="304" spans="1:17">
      <c r="A304" t="str">
        <f t="shared" ca="1" si="4"/>
        <v/>
      </c>
      <c r="B304" t="str">
        <f t="array" aca="1" ref="B304" ca="1">IF(OR(COUNTIF(数出表_Excel【15時】!AO308,"*修正*"),COUNTIF(数出表_Excel【15時】!AO309,"*修正*")),
IF(ISEVEN(ROW()+4),INDIRECT("数出表_Excel【15時】!A"&amp;ROW()+4&amp;""),INDIRECT("数出表_Excel【15時】!A"&amp;ROW()+4-1&amp;"")),"")</f>
        <v/>
      </c>
      <c r="C304" t="str">
        <f t="array" aca="1" ref="C304" ca="1">IF(OR(COUNTIF(数出表_Excel【15時】!AO308,"*修正*"),COUNTIF(数出表_Excel【15時】!AO309,"*修正*")),
IF(ISEVEN(ROW()+4),INDIRECT("数出表_Excel【15時】!A"&amp;ROW()+4+1&amp;""),INDIRECT("数出表_Excel【15時】!A"&amp;ROW()+4&amp;"")),"")</f>
        <v/>
      </c>
      <c r="D304" s="209" t="str">
        <f t="array" aca="1" ref="D304" ca="1">IF(B304&lt;&gt;"",
IFERROR(MATCH(TRUE,ISNUMBER(INDIRECT("数出表_Excel【15時】!B"&amp;(A304+4)&amp;":ZZ"&amp;(A304+4))),0)+1,""),"")</f>
        <v/>
      </c>
      <c r="E304" t="str">
        <f ca="1">IF(D304&lt;&gt;"",
OFFSET(数出表_Excel【15時】!$A$1,2,D304-1)
&amp;IFERROR(OFFSET(数出表_Excel【15時】!$A$1,3,D304-1),"")
&amp;IFERROR(OFFSET(数出表_Excel【15時】!$A$1,4,D304-1),""),"")</f>
        <v/>
      </c>
      <c r="F304" t="str">
        <f ca="1">IF(D304&lt;&gt;"",
OFFSET(数出表_Excel【15時】!$A$1,A304+3,D304-1),"")</f>
        <v/>
      </c>
      <c r="G304" t="str">
        <f ca="1">IF(D304&lt;&gt;"",
IF(AND(OFFSET(数出表_Excel【15時】!$A$1,A304+3,D304)&lt;&gt;"",OFFSET(数出表_Excel【15時】!$A$1,A304+3,D304)&lt;&gt;0),
OFFSET(数出表_Excel【15時】!$A$1,A304+3,D304),""),"")</f>
        <v/>
      </c>
      <c r="H304" s="209" t="str">
        <f t="array" aca="1" ref="H304" ca="1">IF(B304&lt;&gt;"",
IFERROR(MATCH(TRUE,ISNUMBER(INDIRECT("数出表_Excel【15時】!"&amp;SUBSTITUTE(ADDRESS(1,D304+2,4),"1","")&amp;(A304+4)&amp;":ZZ"&amp;(A304+4))),0)+D304+1,""),"")</f>
        <v/>
      </c>
      <c r="I304" t="str">
        <f ca="1">IF(H304&lt;&gt;"",
OFFSET(数出表_Excel【15時】!$A$1,2,H304-1)
&amp;IFERROR(OFFSET(数出表_Excel【15時】!$A$1,3,H304-1),"")
&amp;IFERROR(OFFSET(数出表_Excel【15時】!$A$1,4,H304-1),""),"")</f>
        <v/>
      </c>
      <c r="J304" t="str">
        <f ca="1">IF(H304&lt;&gt;"",
OFFSET(数出表_Excel【15時】!$A$1,A304+3,H304-1),"")</f>
        <v/>
      </c>
      <c r="K304" t="str">
        <f ca="1">IF(H304&lt;&gt;"",
IF(AND(OFFSET(数出表_Excel【15時】!$A$1,A304+3,H304)&lt;&gt;"",OFFSET(数出表_Excel【15時】!$A$1,A304+3,H304)&lt;&gt;0),
OFFSET(数出表_Excel【15時】!$A$1,A304+3,H304),""),"")</f>
        <v/>
      </c>
      <c r="L304" s="209" t="str">
        <f t="array" aca="1" ref="L304" ca="1">IF(B304&lt;&gt;"",
IFERROR(MATCH(TRUE,ISNUMBER(INDIRECT("数出表_Excel【15時】!"&amp;SUBSTITUTE(ADDRESS(1,H304+2,4),"1","")&amp;(A304+4)&amp;":ZZ"&amp;(A304+4))),0)+H304+1,""),"")</f>
        <v/>
      </c>
      <c r="M304" t="str">
        <f ca="1">IF(L304&lt;&gt;"",
OFFSET(数出表_Excel【15時】!$A$1,2,L304-1)
&amp;IFERROR(OFFSET(数出表_Excel【15時】!$A$1,3,L304-1),"")
&amp;IFERROR(OFFSET(数出表_Excel【15時】!$A$1,4,L304-1),""),"")</f>
        <v/>
      </c>
      <c r="N304" t="str">
        <f ca="1">IF(L304&lt;&gt;"",
OFFSET(数出表_Excel【15時】!$A$1,A304+3,L304-1),"")</f>
        <v/>
      </c>
      <c r="O304" t="str">
        <f ca="1">IF(L304&lt;&gt;"",
IF(AND(OFFSET(数出表_Excel【15時】!$A$1,A304+3,L304)&lt;&gt;"",OFFSET(数出表_Excel【15時】!$A$1,A304+3,L304)&lt;&gt;0),
OFFSET(数出表_Excel【15時】!$A$1,A304+3,L304),""),"")</f>
        <v/>
      </c>
      <c r="Q304" t="str">
        <f ca="1">IF(C304&lt;&gt;"",
IF(E304&lt;&gt;"",1,0)+IF(I304&lt;&gt;"",1,0)+IF(M304&lt;&gt;"",1,0),"")</f>
        <v/>
      </c>
    </row>
    <row r="305" spans="1:17">
      <c r="A305" t="str">
        <f t="shared" ca="1" si="4"/>
        <v/>
      </c>
      <c r="B305" t="str">
        <f t="array" aca="1" ref="B305" ca="1">IF(OR(COUNTIF(数出表_Excel【15時】!AO308,"*修正*"),COUNTIF(数出表_Excel【15時】!AO309,"*修正*")),
IF(ISEVEN(ROW()+4),INDIRECT("数出表_Excel【15時】!A"&amp;ROW()+4&amp;""),INDIRECT("数出表_Excel【15時】!A"&amp;ROW()+4-1&amp;"")),"")</f>
        <v/>
      </c>
      <c r="C305" t="str">
        <f t="array" aca="1" ref="C305" ca="1">IF(OR(COUNTIF(数出表_Excel【15時】!AO308,"*修正*"),COUNTIF(数出表_Excel【15時】!AO309,"*修正*")),
IF(ISEVEN(ROW()+4),INDIRECT("数出表_Excel【15時】!A"&amp;ROW()+4+1&amp;""),INDIRECT("数出表_Excel【15時】!A"&amp;ROW()+4&amp;"")),"")</f>
        <v/>
      </c>
      <c r="D305" s="209" t="str">
        <f t="array" aca="1" ref="D305" ca="1">IF(B305&lt;&gt;"",
IFERROR(MATCH(TRUE,ISNUMBER(INDIRECT("数出表_Excel【15時】!B"&amp;(A305+4)&amp;":ZZ"&amp;(A305+4))),0)+1,""),"")</f>
        <v/>
      </c>
      <c r="E305" t="str">
        <f ca="1">IF(D305&lt;&gt;"",
OFFSET(数出表_Excel【15時】!$A$1,2,D305-1)
&amp;IFERROR(OFFSET(数出表_Excel【15時】!$A$1,3,D305-1),"")
&amp;IFERROR(OFFSET(数出表_Excel【15時】!$A$1,4,D305-1),""),"")</f>
        <v/>
      </c>
      <c r="F305" t="str">
        <f ca="1">IF(D305&lt;&gt;"",
OFFSET(数出表_Excel【15時】!$A$1,A305+3,D305-1),"")</f>
        <v/>
      </c>
      <c r="G305" t="str">
        <f ca="1">IF(D305&lt;&gt;"",
IF(AND(OFFSET(数出表_Excel【15時】!$A$1,A305+3,D305)&lt;&gt;"",OFFSET(数出表_Excel【15時】!$A$1,A305+3,D305)&lt;&gt;0),
OFFSET(数出表_Excel【15時】!$A$1,A305+3,D305),""),"")</f>
        <v/>
      </c>
      <c r="H305" s="209" t="str">
        <f t="array" aca="1" ref="H305" ca="1">IF(B305&lt;&gt;"",
IFERROR(MATCH(TRUE,ISNUMBER(INDIRECT("数出表_Excel【15時】!"&amp;SUBSTITUTE(ADDRESS(1,D305+2,4),"1","")&amp;(A305+4)&amp;":ZZ"&amp;(A305+4))),0)+D305+1,""),"")</f>
        <v/>
      </c>
      <c r="I305" t="str">
        <f ca="1">IF(H305&lt;&gt;"",
OFFSET(数出表_Excel【15時】!$A$1,2,H305-1)
&amp;IFERROR(OFFSET(数出表_Excel【15時】!$A$1,3,H305-1),"")
&amp;IFERROR(OFFSET(数出表_Excel【15時】!$A$1,4,H305-1),""),"")</f>
        <v/>
      </c>
      <c r="J305" t="str">
        <f ca="1">IF(H305&lt;&gt;"",
OFFSET(数出表_Excel【15時】!$A$1,A305+3,H305-1),"")</f>
        <v/>
      </c>
      <c r="K305" t="str">
        <f ca="1">IF(H305&lt;&gt;"",
IF(AND(OFFSET(数出表_Excel【15時】!$A$1,A305+3,H305)&lt;&gt;"",OFFSET(数出表_Excel【15時】!$A$1,A305+3,H305)&lt;&gt;0),
OFFSET(数出表_Excel【15時】!$A$1,A305+3,H305),""),"")</f>
        <v/>
      </c>
      <c r="L305" s="209" t="str">
        <f t="array" aca="1" ref="L305" ca="1">IF(B305&lt;&gt;"",
IFERROR(MATCH(TRUE,ISNUMBER(INDIRECT("数出表_Excel【15時】!"&amp;SUBSTITUTE(ADDRESS(1,H305+2,4),"1","")&amp;(A305+4)&amp;":ZZ"&amp;(A305+4))),0)+H305+1,""),"")</f>
        <v/>
      </c>
      <c r="M305" t="str">
        <f ca="1">IF(L305&lt;&gt;"",
OFFSET(数出表_Excel【15時】!$A$1,2,L305-1)
&amp;IFERROR(OFFSET(数出表_Excel【15時】!$A$1,3,L305-1),"")
&amp;IFERROR(OFFSET(数出表_Excel【15時】!$A$1,4,L305-1),""),"")</f>
        <v/>
      </c>
      <c r="N305" t="str">
        <f ca="1">IF(L305&lt;&gt;"",
OFFSET(数出表_Excel【15時】!$A$1,A305+3,L305-1),"")</f>
        <v/>
      </c>
      <c r="O305" t="str">
        <f ca="1">IF(L305&lt;&gt;"",
IF(AND(OFFSET(数出表_Excel【15時】!$A$1,A305+3,L305)&lt;&gt;"",OFFSET(数出表_Excel【15時】!$A$1,A305+3,L305)&lt;&gt;0),
OFFSET(数出表_Excel【15時】!$A$1,A305+3,L305),""),"")</f>
        <v/>
      </c>
    </row>
    <row r="306" spans="1:17">
      <c r="A306" t="str">
        <f t="shared" ca="1" si="4"/>
        <v/>
      </c>
      <c r="B306" t="str">
        <f t="array" aca="1" ref="B306" ca="1">IF(OR(COUNTIF(数出表_Excel【15時】!AO310,"*修正*"),COUNTIF(数出表_Excel【15時】!AO311,"*修正*")),
IF(ISEVEN(ROW()+4),INDIRECT("数出表_Excel【15時】!A"&amp;ROW()+4&amp;""),INDIRECT("数出表_Excel【15時】!A"&amp;ROW()+4-1&amp;"")),"")</f>
        <v/>
      </c>
      <c r="C306" t="str">
        <f t="array" aca="1" ref="C306" ca="1">IF(OR(COUNTIF(数出表_Excel【15時】!AO310,"*修正*"),COUNTIF(数出表_Excel【15時】!AO311,"*修正*")),
IF(ISEVEN(ROW()+4),INDIRECT("数出表_Excel【15時】!A"&amp;ROW()+4+1&amp;""),INDIRECT("数出表_Excel【15時】!A"&amp;ROW()+4&amp;"")),"")</f>
        <v/>
      </c>
      <c r="D306" s="209" t="str">
        <f t="array" aca="1" ref="D306" ca="1">IF(B306&lt;&gt;"",
IFERROR(MATCH(TRUE,ISNUMBER(INDIRECT("数出表_Excel【15時】!B"&amp;(A306+4)&amp;":ZZ"&amp;(A306+4))),0)+1,""),"")</f>
        <v/>
      </c>
      <c r="E306" t="str">
        <f ca="1">IF(D306&lt;&gt;"",
OFFSET(数出表_Excel【15時】!$A$1,2,D306-1)
&amp;IFERROR(OFFSET(数出表_Excel【15時】!$A$1,3,D306-1),"")
&amp;IFERROR(OFFSET(数出表_Excel【15時】!$A$1,4,D306-1),""),"")</f>
        <v/>
      </c>
      <c r="F306" t="str">
        <f ca="1">IF(D306&lt;&gt;"",
OFFSET(数出表_Excel【15時】!$A$1,A306+3,D306-1),"")</f>
        <v/>
      </c>
      <c r="G306" t="str">
        <f ca="1">IF(D306&lt;&gt;"",
IF(AND(OFFSET(数出表_Excel【15時】!$A$1,A306+3,D306)&lt;&gt;"",OFFSET(数出表_Excel【15時】!$A$1,A306+3,D306)&lt;&gt;0),
OFFSET(数出表_Excel【15時】!$A$1,A306+3,D306),""),"")</f>
        <v/>
      </c>
      <c r="H306" s="209" t="str">
        <f t="array" aca="1" ref="H306" ca="1">IF(B306&lt;&gt;"",
IFERROR(MATCH(TRUE,ISNUMBER(INDIRECT("数出表_Excel【15時】!"&amp;SUBSTITUTE(ADDRESS(1,D306+2,4),"1","")&amp;(A306+4)&amp;":ZZ"&amp;(A306+4))),0)+D306+1,""),"")</f>
        <v/>
      </c>
      <c r="I306" t="str">
        <f ca="1">IF(H306&lt;&gt;"",
OFFSET(数出表_Excel【15時】!$A$1,2,H306-1)
&amp;IFERROR(OFFSET(数出表_Excel【15時】!$A$1,3,H306-1),"")
&amp;IFERROR(OFFSET(数出表_Excel【15時】!$A$1,4,H306-1),""),"")</f>
        <v/>
      </c>
      <c r="J306" t="str">
        <f ca="1">IF(H306&lt;&gt;"",
OFFSET(数出表_Excel【15時】!$A$1,A306+3,H306-1),"")</f>
        <v/>
      </c>
      <c r="K306" t="str">
        <f ca="1">IF(H306&lt;&gt;"",
IF(AND(OFFSET(数出表_Excel【15時】!$A$1,A306+3,H306)&lt;&gt;"",OFFSET(数出表_Excel【15時】!$A$1,A306+3,H306)&lt;&gt;0),
OFFSET(数出表_Excel【15時】!$A$1,A306+3,H306),""),"")</f>
        <v/>
      </c>
      <c r="L306" s="209" t="str">
        <f t="array" aca="1" ref="L306" ca="1">IF(B306&lt;&gt;"",
IFERROR(MATCH(TRUE,ISNUMBER(INDIRECT("数出表_Excel【15時】!"&amp;SUBSTITUTE(ADDRESS(1,H306+2,4),"1","")&amp;(A306+4)&amp;":ZZ"&amp;(A306+4))),0)+H306+1,""),"")</f>
        <v/>
      </c>
      <c r="M306" t="str">
        <f ca="1">IF(L306&lt;&gt;"",
OFFSET(数出表_Excel【15時】!$A$1,2,L306-1)
&amp;IFERROR(OFFSET(数出表_Excel【15時】!$A$1,3,L306-1),"")
&amp;IFERROR(OFFSET(数出表_Excel【15時】!$A$1,4,L306-1),""),"")</f>
        <v/>
      </c>
      <c r="N306" t="str">
        <f ca="1">IF(L306&lt;&gt;"",
OFFSET(数出表_Excel【15時】!$A$1,A306+3,L306-1),"")</f>
        <v/>
      </c>
      <c r="O306" t="str">
        <f ca="1">IF(L306&lt;&gt;"",
IF(AND(OFFSET(数出表_Excel【15時】!$A$1,A306+3,L306)&lt;&gt;"",OFFSET(数出表_Excel【15時】!$A$1,A306+3,L306)&lt;&gt;0),
OFFSET(数出表_Excel【15時】!$A$1,A306+3,L306),""),"")</f>
        <v/>
      </c>
      <c r="Q306" t="str">
        <f ca="1">IF(C306&lt;&gt;"",
IF(E306&lt;&gt;"",1,0)+IF(I306&lt;&gt;"",1,0)+IF(M306&lt;&gt;"",1,0),"")</f>
        <v/>
      </c>
    </row>
    <row r="307" spans="1:17">
      <c r="A307" t="str">
        <f t="shared" ca="1" si="4"/>
        <v/>
      </c>
      <c r="B307" t="str">
        <f t="array" aca="1" ref="B307" ca="1">IF(OR(COUNTIF(数出表_Excel【15時】!AO310,"*修正*"),COUNTIF(数出表_Excel【15時】!AO311,"*修正*")),
IF(ISEVEN(ROW()+4),INDIRECT("数出表_Excel【15時】!A"&amp;ROW()+4&amp;""),INDIRECT("数出表_Excel【15時】!A"&amp;ROW()+4-1&amp;"")),"")</f>
        <v/>
      </c>
      <c r="C307" t="str">
        <f t="array" aca="1" ref="C307" ca="1">IF(OR(COUNTIF(数出表_Excel【15時】!AO310,"*修正*"),COUNTIF(数出表_Excel【15時】!AO311,"*修正*")),
IF(ISEVEN(ROW()+4),INDIRECT("数出表_Excel【15時】!A"&amp;ROW()+4+1&amp;""),INDIRECT("数出表_Excel【15時】!A"&amp;ROW()+4&amp;"")),"")</f>
        <v/>
      </c>
      <c r="D307" s="209" t="str">
        <f t="array" aca="1" ref="D307" ca="1">IF(B307&lt;&gt;"",
IFERROR(MATCH(TRUE,ISNUMBER(INDIRECT("数出表_Excel【15時】!B"&amp;(A307+4)&amp;":ZZ"&amp;(A307+4))),0)+1,""),"")</f>
        <v/>
      </c>
      <c r="E307" t="str">
        <f ca="1">IF(D307&lt;&gt;"",
OFFSET(数出表_Excel【15時】!$A$1,2,D307-1)
&amp;IFERROR(OFFSET(数出表_Excel【15時】!$A$1,3,D307-1),"")
&amp;IFERROR(OFFSET(数出表_Excel【15時】!$A$1,4,D307-1),""),"")</f>
        <v/>
      </c>
      <c r="F307" t="str">
        <f ca="1">IF(D307&lt;&gt;"",
OFFSET(数出表_Excel【15時】!$A$1,A307+3,D307-1),"")</f>
        <v/>
      </c>
      <c r="G307" t="str">
        <f ca="1">IF(D307&lt;&gt;"",
IF(AND(OFFSET(数出表_Excel【15時】!$A$1,A307+3,D307)&lt;&gt;"",OFFSET(数出表_Excel【15時】!$A$1,A307+3,D307)&lt;&gt;0),
OFFSET(数出表_Excel【15時】!$A$1,A307+3,D307),""),"")</f>
        <v/>
      </c>
      <c r="H307" s="209" t="str">
        <f t="array" aca="1" ref="H307" ca="1">IF(B307&lt;&gt;"",
IFERROR(MATCH(TRUE,ISNUMBER(INDIRECT("数出表_Excel【15時】!"&amp;SUBSTITUTE(ADDRESS(1,D307+2,4),"1","")&amp;(A307+4)&amp;":ZZ"&amp;(A307+4))),0)+D307+1,""),"")</f>
        <v/>
      </c>
      <c r="I307" t="str">
        <f ca="1">IF(H307&lt;&gt;"",
OFFSET(数出表_Excel【15時】!$A$1,2,H307-1)
&amp;IFERROR(OFFSET(数出表_Excel【15時】!$A$1,3,H307-1),"")
&amp;IFERROR(OFFSET(数出表_Excel【15時】!$A$1,4,H307-1),""),"")</f>
        <v/>
      </c>
      <c r="J307" t="str">
        <f ca="1">IF(H307&lt;&gt;"",
OFFSET(数出表_Excel【15時】!$A$1,A307+3,H307-1),"")</f>
        <v/>
      </c>
      <c r="K307" t="str">
        <f ca="1">IF(H307&lt;&gt;"",
IF(AND(OFFSET(数出表_Excel【15時】!$A$1,A307+3,H307)&lt;&gt;"",OFFSET(数出表_Excel【15時】!$A$1,A307+3,H307)&lt;&gt;0),
OFFSET(数出表_Excel【15時】!$A$1,A307+3,H307),""),"")</f>
        <v/>
      </c>
      <c r="L307" s="209" t="str">
        <f t="array" aca="1" ref="L307" ca="1">IF(B307&lt;&gt;"",
IFERROR(MATCH(TRUE,ISNUMBER(INDIRECT("数出表_Excel【15時】!"&amp;SUBSTITUTE(ADDRESS(1,H307+2,4),"1","")&amp;(A307+4)&amp;":ZZ"&amp;(A307+4))),0)+H307+1,""),"")</f>
        <v/>
      </c>
      <c r="M307" t="str">
        <f ca="1">IF(L307&lt;&gt;"",
OFFSET(数出表_Excel【15時】!$A$1,2,L307-1)
&amp;IFERROR(OFFSET(数出表_Excel【15時】!$A$1,3,L307-1),"")
&amp;IFERROR(OFFSET(数出表_Excel【15時】!$A$1,4,L307-1),""),"")</f>
        <v/>
      </c>
      <c r="N307" t="str">
        <f ca="1">IF(L307&lt;&gt;"",
OFFSET(数出表_Excel【15時】!$A$1,A307+3,L307-1),"")</f>
        <v/>
      </c>
      <c r="O307" t="str">
        <f ca="1">IF(L307&lt;&gt;"",
IF(AND(OFFSET(数出表_Excel【15時】!$A$1,A307+3,L307)&lt;&gt;"",OFFSET(数出表_Excel【15時】!$A$1,A307+3,L307)&lt;&gt;0),
OFFSET(数出表_Excel【15時】!$A$1,A307+3,L307),""),"")</f>
        <v/>
      </c>
    </row>
    <row r="308" spans="1:17">
      <c r="A308" t="str">
        <f t="shared" ca="1" si="4"/>
        <v/>
      </c>
      <c r="B308" t="str">
        <f t="array" aca="1" ref="B308" ca="1">IF(OR(COUNTIF(数出表_Excel【15時】!AO312,"*修正*"),COUNTIF(数出表_Excel【15時】!AO313,"*修正*")),
IF(ISEVEN(ROW()+4),INDIRECT("数出表_Excel【15時】!A"&amp;ROW()+4&amp;""),INDIRECT("数出表_Excel【15時】!A"&amp;ROW()+4-1&amp;"")),"")</f>
        <v/>
      </c>
      <c r="C308" t="str">
        <f t="array" aca="1" ref="C308" ca="1">IF(OR(COUNTIF(数出表_Excel【15時】!AO312,"*修正*"),COUNTIF(数出表_Excel【15時】!AO313,"*修正*")),
IF(ISEVEN(ROW()+4),INDIRECT("数出表_Excel【15時】!A"&amp;ROW()+4+1&amp;""),INDIRECT("数出表_Excel【15時】!A"&amp;ROW()+4&amp;"")),"")</f>
        <v/>
      </c>
      <c r="D308" s="209" t="str">
        <f t="array" aca="1" ref="D308" ca="1">IF(B308&lt;&gt;"",
IFERROR(MATCH(TRUE,ISNUMBER(INDIRECT("数出表_Excel【15時】!B"&amp;(A308+4)&amp;":ZZ"&amp;(A308+4))),0)+1,""),"")</f>
        <v/>
      </c>
      <c r="E308" t="str">
        <f ca="1">IF(D308&lt;&gt;"",
OFFSET(数出表_Excel【15時】!$A$1,2,D308-1)
&amp;IFERROR(OFFSET(数出表_Excel【15時】!$A$1,3,D308-1),"")
&amp;IFERROR(OFFSET(数出表_Excel【15時】!$A$1,4,D308-1),""),"")</f>
        <v/>
      </c>
      <c r="F308" t="str">
        <f ca="1">IF(D308&lt;&gt;"",
OFFSET(数出表_Excel【15時】!$A$1,A308+3,D308-1),"")</f>
        <v/>
      </c>
      <c r="G308" t="str">
        <f ca="1">IF(D308&lt;&gt;"",
IF(AND(OFFSET(数出表_Excel【15時】!$A$1,A308+3,D308)&lt;&gt;"",OFFSET(数出表_Excel【15時】!$A$1,A308+3,D308)&lt;&gt;0),
OFFSET(数出表_Excel【15時】!$A$1,A308+3,D308),""),"")</f>
        <v/>
      </c>
      <c r="H308" s="209" t="str">
        <f t="array" aca="1" ref="H308" ca="1">IF(B308&lt;&gt;"",
IFERROR(MATCH(TRUE,ISNUMBER(INDIRECT("数出表_Excel【15時】!"&amp;SUBSTITUTE(ADDRESS(1,D308+2,4),"1","")&amp;(A308+4)&amp;":ZZ"&amp;(A308+4))),0)+D308+1,""),"")</f>
        <v/>
      </c>
      <c r="I308" t="str">
        <f ca="1">IF(H308&lt;&gt;"",
OFFSET(数出表_Excel【15時】!$A$1,2,H308-1)
&amp;IFERROR(OFFSET(数出表_Excel【15時】!$A$1,3,H308-1),"")
&amp;IFERROR(OFFSET(数出表_Excel【15時】!$A$1,4,H308-1),""),"")</f>
        <v/>
      </c>
      <c r="J308" t="str">
        <f ca="1">IF(H308&lt;&gt;"",
OFFSET(数出表_Excel【15時】!$A$1,A308+3,H308-1),"")</f>
        <v/>
      </c>
      <c r="K308" t="str">
        <f ca="1">IF(H308&lt;&gt;"",
IF(AND(OFFSET(数出表_Excel【15時】!$A$1,A308+3,H308)&lt;&gt;"",OFFSET(数出表_Excel【15時】!$A$1,A308+3,H308)&lt;&gt;0),
OFFSET(数出表_Excel【15時】!$A$1,A308+3,H308),""),"")</f>
        <v/>
      </c>
      <c r="L308" s="209" t="str">
        <f t="array" aca="1" ref="L308" ca="1">IF(B308&lt;&gt;"",
IFERROR(MATCH(TRUE,ISNUMBER(INDIRECT("数出表_Excel【15時】!"&amp;SUBSTITUTE(ADDRESS(1,H308+2,4),"1","")&amp;(A308+4)&amp;":ZZ"&amp;(A308+4))),0)+H308+1,""),"")</f>
        <v/>
      </c>
      <c r="M308" t="str">
        <f ca="1">IF(L308&lt;&gt;"",
OFFSET(数出表_Excel【15時】!$A$1,2,L308-1)
&amp;IFERROR(OFFSET(数出表_Excel【15時】!$A$1,3,L308-1),"")
&amp;IFERROR(OFFSET(数出表_Excel【15時】!$A$1,4,L308-1),""),"")</f>
        <v/>
      </c>
      <c r="N308" t="str">
        <f ca="1">IF(L308&lt;&gt;"",
OFFSET(数出表_Excel【15時】!$A$1,A308+3,L308-1),"")</f>
        <v/>
      </c>
      <c r="O308" t="str">
        <f ca="1">IF(L308&lt;&gt;"",
IF(AND(OFFSET(数出表_Excel【15時】!$A$1,A308+3,L308)&lt;&gt;"",OFFSET(数出表_Excel【15時】!$A$1,A308+3,L308)&lt;&gt;0),
OFFSET(数出表_Excel【15時】!$A$1,A308+3,L308),""),"")</f>
        <v/>
      </c>
      <c r="Q308" t="str">
        <f ca="1">IF(C308&lt;&gt;"",
IF(E308&lt;&gt;"",1,0)+IF(I308&lt;&gt;"",1,0)+IF(M308&lt;&gt;"",1,0),"")</f>
        <v/>
      </c>
    </row>
    <row r="309" spans="1:17">
      <c r="A309" t="str">
        <f t="shared" ca="1" si="4"/>
        <v/>
      </c>
      <c r="B309" t="str">
        <f t="array" aca="1" ref="B309" ca="1">IF(OR(COUNTIF(数出表_Excel【15時】!AO312,"*修正*"),COUNTIF(数出表_Excel【15時】!AO313,"*修正*")),
IF(ISEVEN(ROW()+4),INDIRECT("数出表_Excel【15時】!A"&amp;ROW()+4&amp;""),INDIRECT("数出表_Excel【15時】!A"&amp;ROW()+4-1&amp;"")),"")</f>
        <v/>
      </c>
      <c r="C309" t="str">
        <f t="array" aca="1" ref="C309" ca="1">IF(OR(COUNTIF(数出表_Excel【15時】!AO312,"*修正*"),COUNTIF(数出表_Excel【15時】!AO313,"*修正*")),
IF(ISEVEN(ROW()+4),INDIRECT("数出表_Excel【15時】!A"&amp;ROW()+4+1&amp;""),INDIRECT("数出表_Excel【15時】!A"&amp;ROW()+4&amp;"")),"")</f>
        <v/>
      </c>
      <c r="D309" s="209" t="str">
        <f t="array" aca="1" ref="D309" ca="1">IF(B309&lt;&gt;"",
IFERROR(MATCH(TRUE,ISNUMBER(INDIRECT("数出表_Excel【15時】!B"&amp;(A309+4)&amp;":ZZ"&amp;(A309+4))),0)+1,""),"")</f>
        <v/>
      </c>
      <c r="E309" t="str">
        <f ca="1">IF(D309&lt;&gt;"",
OFFSET(数出表_Excel【15時】!$A$1,2,D309-1)
&amp;IFERROR(OFFSET(数出表_Excel【15時】!$A$1,3,D309-1),"")
&amp;IFERROR(OFFSET(数出表_Excel【15時】!$A$1,4,D309-1),""),"")</f>
        <v/>
      </c>
      <c r="F309" t="str">
        <f ca="1">IF(D309&lt;&gt;"",
OFFSET(数出表_Excel【15時】!$A$1,A309+3,D309-1),"")</f>
        <v/>
      </c>
      <c r="G309" t="str">
        <f ca="1">IF(D309&lt;&gt;"",
IF(AND(OFFSET(数出表_Excel【15時】!$A$1,A309+3,D309)&lt;&gt;"",OFFSET(数出表_Excel【15時】!$A$1,A309+3,D309)&lt;&gt;0),
OFFSET(数出表_Excel【15時】!$A$1,A309+3,D309),""),"")</f>
        <v/>
      </c>
      <c r="H309" s="209" t="str">
        <f t="array" aca="1" ref="H309" ca="1">IF(B309&lt;&gt;"",
IFERROR(MATCH(TRUE,ISNUMBER(INDIRECT("数出表_Excel【15時】!"&amp;SUBSTITUTE(ADDRESS(1,D309+2,4),"1","")&amp;(A309+4)&amp;":ZZ"&amp;(A309+4))),0)+D309+1,""),"")</f>
        <v/>
      </c>
      <c r="I309" t="str">
        <f ca="1">IF(H309&lt;&gt;"",
OFFSET(数出表_Excel【15時】!$A$1,2,H309-1)
&amp;IFERROR(OFFSET(数出表_Excel【15時】!$A$1,3,H309-1),"")
&amp;IFERROR(OFFSET(数出表_Excel【15時】!$A$1,4,H309-1),""),"")</f>
        <v/>
      </c>
      <c r="J309" t="str">
        <f ca="1">IF(H309&lt;&gt;"",
OFFSET(数出表_Excel【15時】!$A$1,A309+3,H309-1),"")</f>
        <v/>
      </c>
      <c r="K309" t="str">
        <f ca="1">IF(H309&lt;&gt;"",
IF(AND(OFFSET(数出表_Excel【15時】!$A$1,A309+3,H309)&lt;&gt;"",OFFSET(数出表_Excel【15時】!$A$1,A309+3,H309)&lt;&gt;0),
OFFSET(数出表_Excel【15時】!$A$1,A309+3,H309),""),"")</f>
        <v/>
      </c>
      <c r="L309" s="209" t="str">
        <f t="array" aca="1" ref="L309" ca="1">IF(B309&lt;&gt;"",
IFERROR(MATCH(TRUE,ISNUMBER(INDIRECT("数出表_Excel【15時】!"&amp;SUBSTITUTE(ADDRESS(1,H309+2,4),"1","")&amp;(A309+4)&amp;":ZZ"&amp;(A309+4))),0)+H309+1,""),"")</f>
        <v/>
      </c>
      <c r="M309" t="str">
        <f ca="1">IF(L309&lt;&gt;"",
OFFSET(数出表_Excel【15時】!$A$1,2,L309-1)
&amp;IFERROR(OFFSET(数出表_Excel【15時】!$A$1,3,L309-1),"")
&amp;IFERROR(OFFSET(数出表_Excel【15時】!$A$1,4,L309-1),""),"")</f>
        <v/>
      </c>
      <c r="N309" t="str">
        <f ca="1">IF(L309&lt;&gt;"",
OFFSET(数出表_Excel【15時】!$A$1,A309+3,L309-1),"")</f>
        <v/>
      </c>
      <c r="O309" t="str">
        <f ca="1">IF(L309&lt;&gt;"",
IF(AND(OFFSET(数出表_Excel【15時】!$A$1,A309+3,L309)&lt;&gt;"",OFFSET(数出表_Excel【15時】!$A$1,A309+3,L309)&lt;&gt;0),
OFFSET(数出表_Excel【15時】!$A$1,A309+3,L309),""),"")</f>
        <v/>
      </c>
    </row>
    <row r="310" spans="1:17">
      <c r="A310" t="str">
        <f t="shared" ca="1" si="4"/>
        <v/>
      </c>
      <c r="B310" t="str">
        <f t="array" aca="1" ref="B310" ca="1">IF(OR(COUNTIF(数出表_Excel【15時】!AO314,"*修正*"),COUNTIF(数出表_Excel【15時】!AO315,"*修正*")),
IF(ISEVEN(ROW()+4),INDIRECT("数出表_Excel【15時】!A"&amp;ROW()+4&amp;""),INDIRECT("数出表_Excel【15時】!A"&amp;ROW()+4-1&amp;"")),"")</f>
        <v/>
      </c>
      <c r="C310" t="str">
        <f t="array" aca="1" ref="C310" ca="1">IF(OR(COUNTIF(数出表_Excel【15時】!AO314,"*修正*"),COUNTIF(数出表_Excel【15時】!AO315,"*修正*")),
IF(ISEVEN(ROW()+4),INDIRECT("数出表_Excel【15時】!A"&amp;ROW()+4+1&amp;""),INDIRECT("数出表_Excel【15時】!A"&amp;ROW()+4&amp;"")),"")</f>
        <v/>
      </c>
      <c r="D310" s="209" t="str">
        <f t="array" aca="1" ref="D310" ca="1">IF(B310&lt;&gt;"",
IFERROR(MATCH(TRUE,ISNUMBER(INDIRECT("数出表_Excel【15時】!B"&amp;(A310+4)&amp;":ZZ"&amp;(A310+4))),0)+1,""),"")</f>
        <v/>
      </c>
      <c r="E310" t="str">
        <f ca="1">IF(D310&lt;&gt;"",
OFFSET(数出表_Excel【15時】!$A$1,2,D310-1)
&amp;IFERROR(OFFSET(数出表_Excel【15時】!$A$1,3,D310-1),"")
&amp;IFERROR(OFFSET(数出表_Excel【15時】!$A$1,4,D310-1),""),"")</f>
        <v/>
      </c>
      <c r="F310" t="str">
        <f ca="1">IF(D310&lt;&gt;"",
OFFSET(数出表_Excel【15時】!$A$1,A310+3,D310-1),"")</f>
        <v/>
      </c>
      <c r="G310" t="str">
        <f ca="1">IF(D310&lt;&gt;"",
IF(AND(OFFSET(数出表_Excel【15時】!$A$1,A310+3,D310)&lt;&gt;"",OFFSET(数出表_Excel【15時】!$A$1,A310+3,D310)&lt;&gt;0),
OFFSET(数出表_Excel【15時】!$A$1,A310+3,D310),""),"")</f>
        <v/>
      </c>
      <c r="H310" s="209" t="str">
        <f t="array" aca="1" ref="H310" ca="1">IF(B310&lt;&gt;"",
IFERROR(MATCH(TRUE,ISNUMBER(INDIRECT("数出表_Excel【15時】!"&amp;SUBSTITUTE(ADDRESS(1,D310+2,4),"1","")&amp;(A310+4)&amp;":ZZ"&amp;(A310+4))),0)+D310+1,""),"")</f>
        <v/>
      </c>
      <c r="I310" t="str">
        <f ca="1">IF(H310&lt;&gt;"",
OFFSET(数出表_Excel【15時】!$A$1,2,H310-1)
&amp;IFERROR(OFFSET(数出表_Excel【15時】!$A$1,3,H310-1),"")
&amp;IFERROR(OFFSET(数出表_Excel【15時】!$A$1,4,H310-1),""),"")</f>
        <v/>
      </c>
      <c r="J310" t="str">
        <f ca="1">IF(H310&lt;&gt;"",
OFFSET(数出表_Excel【15時】!$A$1,A310+3,H310-1),"")</f>
        <v/>
      </c>
      <c r="K310" t="str">
        <f ca="1">IF(H310&lt;&gt;"",
IF(AND(OFFSET(数出表_Excel【15時】!$A$1,A310+3,H310)&lt;&gt;"",OFFSET(数出表_Excel【15時】!$A$1,A310+3,H310)&lt;&gt;0),
OFFSET(数出表_Excel【15時】!$A$1,A310+3,H310),""),"")</f>
        <v/>
      </c>
      <c r="L310" s="209" t="str">
        <f t="array" aca="1" ref="L310" ca="1">IF(B310&lt;&gt;"",
IFERROR(MATCH(TRUE,ISNUMBER(INDIRECT("数出表_Excel【15時】!"&amp;SUBSTITUTE(ADDRESS(1,H310+2,4),"1","")&amp;(A310+4)&amp;":ZZ"&amp;(A310+4))),0)+H310+1,""),"")</f>
        <v/>
      </c>
      <c r="M310" t="str">
        <f ca="1">IF(L310&lt;&gt;"",
OFFSET(数出表_Excel【15時】!$A$1,2,L310-1)
&amp;IFERROR(OFFSET(数出表_Excel【15時】!$A$1,3,L310-1),"")
&amp;IFERROR(OFFSET(数出表_Excel【15時】!$A$1,4,L310-1),""),"")</f>
        <v/>
      </c>
      <c r="N310" t="str">
        <f ca="1">IF(L310&lt;&gt;"",
OFFSET(数出表_Excel【15時】!$A$1,A310+3,L310-1),"")</f>
        <v/>
      </c>
      <c r="O310" t="str">
        <f ca="1">IF(L310&lt;&gt;"",
IF(AND(OFFSET(数出表_Excel【15時】!$A$1,A310+3,L310)&lt;&gt;"",OFFSET(数出表_Excel【15時】!$A$1,A310+3,L310)&lt;&gt;0),
OFFSET(数出表_Excel【15時】!$A$1,A310+3,L310),""),"")</f>
        <v/>
      </c>
      <c r="Q310" t="str">
        <f ca="1">IF(C310&lt;&gt;"",
IF(E310&lt;&gt;"",1,0)+IF(I310&lt;&gt;"",1,0)+IF(M310&lt;&gt;"",1,0),"")</f>
        <v/>
      </c>
    </row>
    <row r="311" spans="1:17">
      <c r="A311" t="str">
        <f t="shared" ca="1" si="4"/>
        <v/>
      </c>
      <c r="B311" t="str">
        <f t="array" aca="1" ref="B311" ca="1">IF(OR(COUNTIF(数出表_Excel【15時】!AO314,"*修正*"),COUNTIF(数出表_Excel【15時】!AO315,"*修正*")),
IF(ISEVEN(ROW()+4),INDIRECT("数出表_Excel【15時】!A"&amp;ROW()+4&amp;""),INDIRECT("数出表_Excel【15時】!A"&amp;ROW()+4-1&amp;"")),"")</f>
        <v/>
      </c>
      <c r="C311" t="str">
        <f t="array" aca="1" ref="C311" ca="1">IF(OR(COUNTIF(数出表_Excel【15時】!AO314,"*修正*"),COUNTIF(数出表_Excel【15時】!AO315,"*修正*")),
IF(ISEVEN(ROW()+4),INDIRECT("数出表_Excel【15時】!A"&amp;ROW()+4+1&amp;""),INDIRECT("数出表_Excel【15時】!A"&amp;ROW()+4&amp;"")),"")</f>
        <v/>
      </c>
      <c r="D311" s="209" t="str">
        <f t="array" aca="1" ref="D311" ca="1">IF(B311&lt;&gt;"",
IFERROR(MATCH(TRUE,ISNUMBER(INDIRECT("数出表_Excel【15時】!B"&amp;(A311+4)&amp;":ZZ"&amp;(A311+4))),0)+1,""),"")</f>
        <v/>
      </c>
      <c r="E311" t="str">
        <f ca="1">IF(D311&lt;&gt;"",
OFFSET(数出表_Excel【15時】!$A$1,2,D311-1)
&amp;IFERROR(OFFSET(数出表_Excel【15時】!$A$1,3,D311-1),"")
&amp;IFERROR(OFFSET(数出表_Excel【15時】!$A$1,4,D311-1),""),"")</f>
        <v/>
      </c>
      <c r="F311" t="str">
        <f ca="1">IF(D311&lt;&gt;"",
OFFSET(数出表_Excel【15時】!$A$1,A311+3,D311-1),"")</f>
        <v/>
      </c>
      <c r="G311" t="str">
        <f ca="1">IF(D311&lt;&gt;"",
IF(AND(OFFSET(数出表_Excel【15時】!$A$1,A311+3,D311)&lt;&gt;"",OFFSET(数出表_Excel【15時】!$A$1,A311+3,D311)&lt;&gt;0),
OFFSET(数出表_Excel【15時】!$A$1,A311+3,D311),""),"")</f>
        <v/>
      </c>
      <c r="H311" s="209" t="str">
        <f t="array" aca="1" ref="H311" ca="1">IF(B311&lt;&gt;"",
IFERROR(MATCH(TRUE,ISNUMBER(INDIRECT("数出表_Excel【15時】!"&amp;SUBSTITUTE(ADDRESS(1,D311+2,4),"1","")&amp;(A311+4)&amp;":ZZ"&amp;(A311+4))),0)+D311+1,""),"")</f>
        <v/>
      </c>
      <c r="I311" t="str">
        <f ca="1">IF(H311&lt;&gt;"",
OFFSET(数出表_Excel【15時】!$A$1,2,H311-1)
&amp;IFERROR(OFFSET(数出表_Excel【15時】!$A$1,3,H311-1),"")
&amp;IFERROR(OFFSET(数出表_Excel【15時】!$A$1,4,H311-1),""),"")</f>
        <v/>
      </c>
      <c r="J311" t="str">
        <f ca="1">IF(H311&lt;&gt;"",
OFFSET(数出表_Excel【15時】!$A$1,A311+3,H311-1),"")</f>
        <v/>
      </c>
      <c r="K311" t="str">
        <f ca="1">IF(H311&lt;&gt;"",
IF(AND(OFFSET(数出表_Excel【15時】!$A$1,A311+3,H311)&lt;&gt;"",OFFSET(数出表_Excel【15時】!$A$1,A311+3,H311)&lt;&gt;0),
OFFSET(数出表_Excel【15時】!$A$1,A311+3,H311),""),"")</f>
        <v/>
      </c>
      <c r="L311" s="209" t="str">
        <f t="array" aca="1" ref="L311" ca="1">IF(B311&lt;&gt;"",
IFERROR(MATCH(TRUE,ISNUMBER(INDIRECT("数出表_Excel【15時】!"&amp;SUBSTITUTE(ADDRESS(1,H311+2,4),"1","")&amp;(A311+4)&amp;":ZZ"&amp;(A311+4))),0)+H311+1,""),"")</f>
        <v/>
      </c>
      <c r="M311" t="str">
        <f ca="1">IF(L311&lt;&gt;"",
OFFSET(数出表_Excel【15時】!$A$1,2,L311-1)
&amp;IFERROR(OFFSET(数出表_Excel【15時】!$A$1,3,L311-1),"")
&amp;IFERROR(OFFSET(数出表_Excel【15時】!$A$1,4,L311-1),""),"")</f>
        <v/>
      </c>
      <c r="N311" t="str">
        <f ca="1">IF(L311&lt;&gt;"",
OFFSET(数出表_Excel【15時】!$A$1,A311+3,L311-1),"")</f>
        <v/>
      </c>
      <c r="O311" t="str">
        <f ca="1">IF(L311&lt;&gt;"",
IF(AND(OFFSET(数出表_Excel【15時】!$A$1,A311+3,L311)&lt;&gt;"",OFFSET(数出表_Excel【15時】!$A$1,A311+3,L311)&lt;&gt;0),
OFFSET(数出表_Excel【15時】!$A$1,A311+3,L311),""),"")</f>
        <v/>
      </c>
    </row>
    <row r="312" spans="1:17">
      <c r="A312" t="str">
        <f t="shared" ca="1" si="4"/>
        <v/>
      </c>
      <c r="B312" t="str">
        <f t="array" aca="1" ref="B312" ca="1">IF(OR(COUNTIF(数出表_Excel【15時】!AO316,"*修正*"),COUNTIF(数出表_Excel【15時】!AO317,"*修正*")),
IF(ISEVEN(ROW()+4),INDIRECT("数出表_Excel【15時】!A"&amp;ROW()+4&amp;""),INDIRECT("数出表_Excel【15時】!A"&amp;ROW()+4-1&amp;"")),"")</f>
        <v/>
      </c>
      <c r="C312" t="str">
        <f t="array" aca="1" ref="C312" ca="1">IF(OR(COUNTIF(数出表_Excel【15時】!AO316,"*修正*"),COUNTIF(数出表_Excel【15時】!AO317,"*修正*")),
IF(ISEVEN(ROW()+4),INDIRECT("数出表_Excel【15時】!A"&amp;ROW()+4+1&amp;""),INDIRECT("数出表_Excel【15時】!A"&amp;ROW()+4&amp;"")),"")</f>
        <v/>
      </c>
      <c r="D312" s="209" t="str">
        <f t="array" aca="1" ref="D312" ca="1">IF(B312&lt;&gt;"",
IFERROR(MATCH(TRUE,ISNUMBER(INDIRECT("数出表_Excel【15時】!B"&amp;(A312+4)&amp;":ZZ"&amp;(A312+4))),0)+1,""),"")</f>
        <v/>
      </c>
      <c r="E312" t="str">
        <f ca="1">IF(D312&lt;&gt;"",
OFFSET(数出表_Excel【15時】!$A$1,2,D312-1)
&amp;IFERROR(OFFSET(数出表_Excel【15時】!$A$1,3,D312-1),"")
&amp;IFERROR(OFFSET(数出表_Excel【15時】!$A$1,4,D312-1),""),"")</f>
        <v/>
      </c>
      <c r="F312" t="str">
        <f ca="1">IF(D312&lt;&gt;"",
OFFSET(数出表_Excel【15時】!$A$1,A312+3,D312-1),"")</f>
        <v/>
      </c>
      <c r="G312" t="str">
        <f ca="1">IF(D312&lt;&gt;"",
IF(AND(OFFSET(数出表_Excel【15時】!$A$1,A312+3,D312)&lt;&gt;"",OFFSET(数出表_Excel【15時】!$A$1,A312+3,D312)&lt;&gt;0),
OFFSET(数出表_Excel【15時】!$A$1,A312+3,D312),""),"")</f>
        <v/>
      </c>
      <c r="H312" s="209" t="str">
        <f t="array" aca="1" ref="H312" ca="1">IF(B312&lt;&gt;"",
IFERROR(MATCH(TRUE,ISNUMBER(INDIRECT("数出表_Excel【15時】!"&amp;SUBSTITUTE(ADDRESS(1,D312+2,4),"1","")&amp;(A312+4)&amp;":ZZ"&amp;(A312+4))),0)+D312+1,""),"")</f>
        <v/>
      </c>
      <c r="I312" t="str">
        <f ca="1">IF(H312&lt;&gt;"",
OFFSET(数出表_Excel【15時】!$A$1,2,H312-1)
&amp;IFERROR(OFFSET(数出表_Excel【15時】!$A$1,3,H312-1),"")
&amp;IFERROR(OFFSET(数出表_Excel【15時】!$A$1,4,H312-1),""),"")</f>
        <v/>
      </c>
      <c r="J312" t="str">
        <f ca="1">IF(H312&lt;&gt;"",
OFFSET(数出表_Excel【15時】!$A$1,A312+3,H312-1),"")</f>
        <v/>
      </c>
      <c r="K312" t="str">
        <f ca="1">IF(H312&lt;&gt;"",
IF(AND(OFFSET(数出表_Excel【15時】!$A$1,A312+3,H312)&lt;&gt;"",OFFSET(数出表_Excel【15時】!$A$1,A312+3,H312)&lt;&gt;0),
OFFSET(数出表_Excel【15時】!$A$1,A312+3,H312),""),"")</f>
        <v/>
      </c>
      <c r="L312" s="209" t="str">
        <f t="array" aca="1" ref="L312" ca="1">IF(B312&lt;&gt;"",
IFERROR(MATCH(TRUE,ISNUMBER(INDIRECT("数出表_Excel【15時】!"&amp;SUBSTITUTE(ADDRESS(1,H312+2,4),"1","")&amp;(A312+4)&amp;":ZZ"&amp;(A312+4))),0)+H312+1,""),"")</f>
        <v/>
      </c>
      <c r="M312" t="str">
        <f ca="1">IF(L312&lt;&gt;"",
OFFSET(数出表_Excel【15時】!$A$1,2,L312-1)
&amp;IFERROR(OFFSET(数出表_Excel【15時】!$A$1,3,L312-1),"")
&amp;IFERROR(OFFSET(数出表_Excel【15時】!$A$1,4,L312-1),""),"")</f>
        <v/>
      </c>
      <c r="N312" t="str">
        <f ca="1">IF(L312&lt;&gt;"",
OFFSET(数出表_Excel【15時】!$A$1,A312+3,L312-1),"")</f>
        <v/>
      </c>
      <c r="O312" t="str">
        <f ca="1">IF(L312&lt;&gt;"",
IF(AND(OFFSET(数出表_Excel【15時】!$A$1,A312+3,L312)&lt;&gt;"",OFFSET(数出表_Excel【15時】!$A$1,A312+3,L312)&lt;&gt;0),
OFFSET(数出表_Excel【15時】!$A$1,A312+3,L312),""),"")</f>
        <v/>
      </c>
      <c r="Q312" t="str">
        <f ca="1">IF(C312&lt;&gt;"",
IF(E312&lt;&gt;"",1,0)+IF(I312&lt;&gt;"",1,0)+IF(M312&lt;&gt;"",1,0),"")</f>
        <v/>
      </c>
    </row>
    <row r="313" spans="1:17">
      <c r="A313" t="str">
        <f t="shared" ca="1" si="4"/>
        <v/>
      </c>
      <c r="B313" t="str">
        <f t="array" aca="1" ref="B313" ca="1">IF(OR(COUNTIF(数出表_Excel【15時】!AO316,"*修正*"),COUNTIF(数出表_Excel【15時】!AO317,"*修正*")),
IF(ISEVEN(ROW()+4),INDIRECT("数出表_Excel【15時】!A"&amp;ROW()+4&amp;""),INDIRECT("数出表_Excel【15時】!A"&amp;ROW()+4-1&amp;"")),"")</f>
        <v/>
      </c>
      <c r="C313" t="str">
        <f t="array" aca="1" ref="C313" ca="1">IF(OR(COUNTIF(数出表_Excel【15時】!AO316,"*修正*"),COUNTIF(数出表_Excel【15時】!AO317,"*修正*")),
IF(ISEVEN(ROW()+4),INDIRECT("数出表_Excel【15時】!A"&amp;ROW()+4+1&amp;""),INDIRECT("数出表_Excel【15時】!A"&amp;ROW()+4&amp;"")),"")</f>
        <v/>
      </c>
      <c r="D313" s="209" t="str">
        <f t="array" aca="1" ref="D313" ca="1">IF(B313&lt;&gt;"",
IFERROR(MATCH(TRUE,ISNUMBER(INDIRECT("数出表_Excel【15時】!B"&amp;(A313+4)&amp;":ZZ"&amp;(A313+4))),0)+1,""),"")</f>
        <v/>
      </c>
      <c r="E313" t="str">
        <f ca="1">IF(D313&lt;&gt;"",
OFFSET(数出表_Excel【15時】!$A$1,2,D313-1)
&amp;IFERROR(OFFSET(数出表_Excel【15時】!$A$1,3,D313-1),"")
&amp;IFERROR(OFFSET(数出表_Excel【15時】!$A$1,4,D313-1),""),"")</f>
        <v/>
      </c>
      <c r="F313" t="str">
        <f ca="1">IF(D313&lt;&gt;"",
OFFSET(数出表_Excel【15時】!$A$1,A313+3,D313-1),"")</f>
        <v/>
      </c>
      <c r="G313" t="str">
        <f ca="1">IF(D313&lt;&gt;"",
IF(AND(OFFSET(数出表_Excel【15時】!$A$1,A313+3,D313)&lt;&gt;"",OFFSET(数出表_Excel【15時】!$A$1,A313+3,D313)&lt;&gt;0),
OFFSET(数出表_Excel【15時】!$A$1,A313+3,D313),""),"")</f>
        <v/>
      </c>
      <c r="H313" s="209" t="str">
        <f t="array" aca="1" ref="H313" ca="1">IF(B313&lt;&gt;"",
IFERROR(MATCH(TRUE,ISNUMBER(INDIRECT("数出表_Excel【15時】!"&amp;SUBSTITUTE(ADDRESS(1,D313+2,4),"1","")&amp;(A313+4)&amp;":ZZ"&amp;(A313+4))),0)+D313+1,""),"")</f>
        <v/>
      </c>
      <c r="I313" t="str">
        <f ca="1">IF(H313&lt;&gt;"",
OFFSET(数出表_Excel【15時】!$A$1,2,H313-1)
&amp;IFERROR(OFFSET(数出表_Excel【15時】!$A$1,3,H313-1),"")
&amp;IFERROR(OFFSET(数出表_Excel【15時】!$A$1,4,H313-1),""),"")</f>
        <v/>
      </c>
      <c r="J313" t="str">
        <f ca="1">IF(H313&lt;&gt;"",
OFFSET(数出表_Excel【15時】!$A$1,A313+3,H313-1),"")</f>
        <v/>
      </c>
      <c r="K313" t="str">
        <f ca="1">IF(H313&lt;&gt;"",
IF(AND(OFFSET(数出表_Excel【15時】!$A$1,A313+3,H313)&lt;&gt;"",OFFSET(数出表_Excel【15時】!$A$1,A313+3,H313)&lt;&gt;0),
OFFSET(数出表_Excel【15時】!$A$1,A313+3,H313),""),"")</f>
        <v/>
      </c>
      <c r="L313" s="209" t="str">
        <f t="array" aca="1" ref="L313" ca="1">IF(B313&lt;&gt;"",
IFERROR(MATCH(TRUE,ISNUMBER(INDIRECT("数出表_Excel【15時】!"&amp;SUBSTITUTE(ADDRESS(1,H313+2,4),"1","")&amp;(A313+4)&amp;":ZZ"&amp;(A313+4))),0)+H313+1,""),"")</f>
        <v/>
      </c>
      <c r="M313" t="str">
        <f ca="1">IF(L313&lt;&gt;"",
OFFSET(数出表_Excel【15時】!$A$1,2,L313-1)
&amp;IFERROR(OFFSET(数出表_Excel【15時】!$A$1,3,L313-1),"")
&amp;IFERROR(OFFSET(数出表_Excel【15時】!$A$1,4,L313-1),""),"")</f>
        <v/>
      </c>
      <c r="N313" t="str">
        <f ca="1">IF(L313&lt;&gt;"",
OFFSET(数出表_Excel【15時】!$A$1,A313+3,L313-1),"")</f>
        <v/>
      </c>
      <c r="O313" t="str">
        <f ca="1">IF(L313&lt;&gt;"",
IF(AND(OFFSET(数出表_Excel【15時】!$A$1,A313+3,L313)&lt;&gt;"",OFFSET(数出表_Excel【15時】!$A$1,A313+3,L313)&lt;&gt;0),
OFFSET(数出表_Excel【15時】!$A$1,A313+3,L313),""),"")</f>
        <v/>
      </c>
    </row>
    <row r="314" spans="1:17">
      <c r="A314" t="str">
        <f t="shared" ca="1" si="4"/>
        <v/>
      </c>
      <c r="B314" t="str">
        <f t="array" aca="1" ref="B314" ca="1">IF(OR(COUNTIF(数出表_Excel【15時】!AO318,"*修正*"),COUNTIF(数出表_Excel【15時】!AO319,"*修正*")),
IF(ISEVEN(ROW()+4),INDIRECT("数出表_Excel【15時】!A"&amp;ROW()+4&amp;""),INDIRECT("数出表_Excel【15時】!A"&amp;ROW()+4-1&amp;"")),"")</f>
        <v/>
      </c>
      <c r="C314" t="str">
        <f t="array" aca="1" ref="C314" ca="1">IF(OR(COUNTIF(数出表_Excel【15時】!AO318,"*修正*"),COUNTIF(数出表_Excel【15時】!AO319,"*修正*")),
IF(ISEVEN(ROW()+4),INDIRECT("数出表_Excel【15時】!A"&amp;ROW()+4+1&amp;""),INDIRECT("数出表_Excel【15時】!A"&amp;ROW()+4&amp;"")),"")</f>
        <v/>
      </c>
      <c r="D314" s="209" t="str">
        <f t="array" aca="1" ref="D314" ca="1">IF(B314&lt;&gt;"",
IFERROR(MATCH(TRUE,ISNUMBER(INDIRECT("数出表_Excel【15時】!B"&amp;(A314+4)&amp;":ZZ"&amp;(A314+4))),0)+1,""),"")</f>
        <v/>
      </c>
      <c r="E314" t="str">
        <f ca="1">IF(D314&lt;&gt;"",
OFFSET(数出表_Excel【15時】!$A$1,2,D314-1)
&amp;IFERROR(OFFSET(数出表_Excel【15時】!$A$1,3,D314-1),"")
&amp;IFERROR(OFFSET(数出表_Excel【15時】!$A$1,4,D314-1),""),"")</f>
        <v/>
      </c>
      <c r="F314" t="str">
        <f ca="1">IF(D314&lt;&gt;"",
OFFSET(数出表_Excel【15時】!$A$1,A314+3,D314-1),"")</f>
        <v/>
      </c>
      <c r="G314" t="str">
        <f ca="1">IF(D314&lt;&gt;"",
IF(AND(OFFSET(数出表_Excel【15時】!$A$1,A314+3,D314)&lt;&gt;"",OFFSET(数出表_Excel【15時】!$A$1,A314+3,D314)&lt;&gt;0),
OFFSET(数出表_Excel【15時】!$A$1,A314+3,D314),""),"")</f>
        <v/>
      </c>
      <c r="H314" s="209" t="str">
        <f t="array" aca="1" ref="H314" ca="1">IF(B314&lt;&gt;"",
IFERROR(MATCH(TRUE,ISNUMBER(INDIRECT("数出表_Excel【15時】!"&amp;SUBSTITUTE(ADDRESS(1,D314+2,4),"1","")&amp;(A314+4)&amp;":ZZ"&amp;(A314+4))),0)+D314+1,""),"")</f>
        <v/>
      </c>
      <c r="I314" t="str">
        <f ca="1">IF(H314&lt;&gt;"",
OFFSET(数出表_Excel【15時】!$A$1,2,H314-1)
&amp;IFERROR(OFFSET(数出表_Excel【15時】!$A$1,3,H314-1),"")
&amp;IFERROR(OFFSET(数出表_Excel【15時】!$A$1,4,H314-1),""),"")</f>
        <v/>
      </c>
      <c r="J314" t="str">
        <f ca="1">IF(H314&lt;&gt;"",
OFFSET(数出表_Excel【15時】!$A$1,A314+3,H314-1),"")</f>
        <v/>
      </c>
      <c r="K314" t="str">
        <f ca="1">IF(H314&lt;&gt;"",
IF(AND(OFFSET(数出表_Excel【15時】!$A$1,A314+3,H314)&lt;&gt;"",OFFSET(数出表_Excel【15時】!$A$1,A314+3,H314)&lt;&gt;0),
OFFSET(数出表_Excel【15時】!$A$1,A314+3,H314),""),"")</f>
        <v/>
      </c>
      <c r="L314" s="209" t="str">
        <f t="array" aca="1" ref="L314" ca="1">IF(B314&lt;&gt;"",
IFERROR(MATCH(TRUE,ISNUMBER(INDIRECT("数出表_Excel【15時】!"&amp;SUBSTITUTE(ADDRESS(1,H314+2,4),"1","")&amp;(A314+4)&amp;":ZZ"&amp;(A314+4))),0)+H314+1,""),"")</f>
        <v/>
      </c>
      <c r="M314" t="str">
        <f ca="1">IF(L314&lt;&gt;"",
OFFSET(数出表_Excel【15時】!$A$1,2,L314-1)
&amp;IFERROR(OFFSET(数出表_Excel【15時】!$A$1,3,L314-1),"")
&amp;IFERROR(OFFSET(数出表_Excel【15時】!$A$1,4,L314-1),""),"")</f>
        <v/>
      </c>
      <c r="N314" t="str">
        <f ca="1">IF(L314&lt;&gt;"",
OFFSET(数出表_Excel【15時】!$A$1,A314+3,L314-1),"")</f>
        <v/>
      </c>
      <c r="O314" t="str">
        <f ca="1">IF(L314&lt;&gt;"",
IF(AND(OFFSET(数出表_Excel【15時】!$A$1,A314+3,L314)&lt;&gt;"",OFFSET(数出表_Excel【15時】!$A$1,A314+3,L314)&lt;&gt;0),
OFFSET(数出表_Excel【15時】!$A$1,A314+3,L314),""),"")</f>
        <v/>
      </c>
      <c r="Q314" t="str">
        <f ca="1">IF(C314&lt;&gt;"",
IF(E314&lt;&gt;"",1,0)+IF(I314&lt;&gt;"",1,0)+IF(M314&lt;&gt;"",1,0),"")</f>
        <v/>
      </c>
    </row>
    <row r="315" spans="1:17">
      <c r="A315" t="str">
        <f t="shared" ca="1" si="4"/>
        <v/>
      </c>
      <c r="B315" t="str">
        <f t="array" aca="1" ref="B315" ca="1">IF(OR(COUNTIF(数出表_Excel【15時】!AO318,"*修正*"),COUNTIF(数出表_Excel【15時】!AO319,"*修正*")),
IF(ISEVEN(ROW()+4),INDIRECT("数出表_Excel【15時】!A"&amp;ROW()+4&amp;""),INDIRECT("数出表_Excel【15時】!A"&amp;ROW()+4-1&amp;"")),"")</f>
        <v/>
      </c>
      <c r="C315" t="str">
        <f t="array" aca="1" ref="C315" ca="1">IF(OR(COUNTIF(数出表_Excel【15時】!AO318,"*修正*"),COUNTIF(数出表_Excel【15時】!AO319,"*修正*")),
IF(ISEVEN(ROW()+4),INDIRECT("数出表_Excel【15時】!A"&amp;ROW()+4+1&amp;""),INDIRECT("数出表_Excel【15時】!A"&amp;ROW()+4&amp;"")),"")</f>
        <v/>
      </c>
      <c r="D315" s="209" t="str">
        <f t="array" aca="1" ref="D315" ca="1">IF(B315&lt;&gt;"",
IFERROR(MATCH(TRUE,ISNUMBER(INDIRECT("数出表_Excel【15時】!B"&amp;(A315+4)&amp;":ZZ"&amp;(A315+4))),0)+1,""),"")</f>
        <v/>
      </c>
      <c r="E315" t="str">
        <f ca="1">IF(D315&lt;&gt;"",
OFFSET(数出表_Excel【15時】!$A$1,2,D315-1)
&amp;IFERROR(OFFSET(数出表_Excel【15時】!$A$1,3,D315-1),"")
&amp;IFERROR(OFFSET(数出表_Excel【15時】!$A$1,4,D315-1),""),"")</f>
        <v/>
      </c>
      <c r="F315" t="str">
        <f ca="1">IF(D315&lt;&gt;"",
OFFSET(数出表_Excel【15時】!$A$1,A315+3,D315-1),"")</f>
        <v/>
      </c>
      <c r="G315" t="str">
        <f ca="1">IF(D315&lt;&gt;"",
IF(AND(OFFSET(数出表_Excel【15時】!$A$1,A315+3,D315)&lt;&gt;"",OFFSET(数出表_Excel【15時】!$A$1,A315+3,D315)&lt;&gt;0),
OFFSET(数出表_Excel【15時】!$A$1,A315+3,D315),""),"")</f>
        <v/>
      </c>
      <c r="H315" s="209" t="str">
        <f t="array" aca="1" ref="H315" ca="1">IF(B315&lt;&gt;"",
IFERROR(MATCH(TRUE,ISNUMBER(INDIRECT("数出表_Excel【15時】!"&amp;SUBSTITUTE(ADDRESS(1,D315+2,4),"1","")&amp;(A315+4)&amp;":ZZ"&amp;(A315+4))),0)+D315+1,""),"")</f>
        <v/>
      </c>
      <c r="I315" t="str">
        <f ca="1">IF(H315&lt;&gt;"",
OFFSET(数出表_Excel【15時】!$A$1,2,H315-1)
&amp;IFERROR(OFFSET(数出表_Excel【15時】!$A$1,3,H315-1),"")
&amp;IFERROR(OFFSET(数出表_Excel【15時】!$A$1,4,H315-1),""),"")</f>
        <v/>
      </c>
      <c r="J315" t="str">
        <f ca="1">IF(H315&lt;&gt;"",
OFFSET(数出表_Excel【15時】!$A$1,A315+3,H315-1),"")</f>
        <v/>
      </c>
      <c r="K315" t="str">
        <f ca="1">IF(H315&lt;&gt;"",
IF(AND(OFFSET(数出表_Excel【15時】!$A$1,A315+3,H315)&lt;&gt;"",OFFSET(数出表_Excel【15時】!$A$1,A315+3,H315)&lt;&gt;0),
OFFSET(数出表_Excel【15時】!$A$1,A315+3,H315),""),"")</f>
        <v/>
      </c>
      <c r="L315" s="209" t="str">
        <f t="array" aca="1" ref="L315" ca="1">IF(B315&lt;&gt;"",
IFERROR(MATCH(TRUE,ISNUMBER(INDIRECT("数出表_Excel【15時】!"&amp;SUBSTITUTE(ADDRESS(1,H315+2,4),"1","")&amp;(A315+4)&amp;":ZZ"&amp;(A315+4))),0)+H315+1,""),"")</f>
        <v/>
      </c>
      <c r="M315" t="str">
        <f ca="1">IF(L315&lt;&gt;"",
OFFSET(数出表_Excel【15時】!$A$1,2,L315-1)
&amp;IFERROR(OFFSET(数出表_Excel【15時】!$A$1,3,L315-1),"")
&amp;IFERROR(OFFSET(数出表_Excel【15時】!$A$1,4,L315-1),""),"")</f>
        <v/>
      </c>
      <c r="N315" t="str">
        <f ca="1">IF(L315&lt;&gt;"",
OFFSET(数出表_Excel【15時】!$A$1,A315+3,L315-1),"")</f>
        <v/>
      </c>
      <c r="O315" t="str">
        <f ca="1">IF(L315&lt;&gt;"",
IF(AND(OFFSET(数出表_Excel【15時】!$A$1,A315+3,L315)&lt;&gt;"",OFFSET(数出表_Excel【15時】!$A$1,A315+3,L315)&lt;&gt;0),
OFFSET(数出表_Excel【15時】!$A$1,A315+3,L315),""),"")</f>
        <v/>
      </c>
    </row>
    <row r="316" spans="1:17">
      <c r="A316" t="str">
        <f t="shared" ca="1" si="4"/>
        <v/>
      </c>
      <c r="B316" t="str">
        <f t="array" aca="1" ref="B316" ca="1">IF(OR(COUNTIF(数出表_Excel【15時】!AO320,"*修正*"),COUNTIF(数出表_Excel【15時】!AO321,"*修正*")),
IF(ISEVEN(ROW()+4),INDIRECT("数出表_Excel【15時】!A"&amp;ROW()+4&amp;""),INDIRECT("数出表_Excel【15時】!A"&amp;ROW()+4-1&amp;"")),"")</f>
        <v/>
      </c>
      <c r="C316" t="str">
        <f t="array" aca="1" ref="C316" ca="1">IF(OR(COUNTIF(数出表_Excel【15時】!AO320,"*修正*"),COUNTIF(数出表_Excel【15時】!AO321,"*修正*")),
IF(ISEVEN(ROW()+4),INDIRECT("数出表_Excel【15時】!A"&amp;ROW()+4+1&amp;""),INDIRECT("数出表_Excel【15時】!A"&amp;ROW()+4&amp;"")),"")</f>
        <v/>
      </c>
      <c r="D316" s="209" t="str">
        <f t="array" aca="1" ref="D316" ca="1">IF(B316&lt;&gt;"",
IFERROR(MATCH(TRUE,ISNUMBER(INDIRECT("数出表_Excel【15時】!B"&amp;(A316+4)&amp;":ZZ"&amp;(A316+4))),0)+1,""),"")</f>
        <v/>
      </c>
      <c r="E316" t="str">
        <f ca="1">IF(D316&lt;&gt;"",
OFFSET(数出表_Excel【15時】!$A$1,2,D316-1)
&amp;IFERROR(OFFSET(数出表_Excel【15時】!$A$1,3,D316-1),"")
&amp;IFERROR(OFFSET(数出表_Excel【15時】!$A$1,4,D316-1),""),"")</f>
        <v/>
      </c>
      <c r="F316" t="str">
        <f ca="1">IF(D316&lt;&gt;"",
OFFSET(数出表_Excel【15時】!$A$1,A316+3,D316-1),"")</f>
        <v/>
      </c>
      <c r="G316" t="str">
        <f ca="1">IF(D316&lt;&gt;"",
IF(AND(OFFSET(数出表_Excel【15時】!$A$1,A316+3,D316)&lt;&gt;"",OFFSET(数出表_Excel【15時】!$A$1,A316+3,D316)&lt;&gt;0),
OFFSET(数出表_Excel【15時】!$A$1,A316+3,D316),""),"")</f>
        <v/>
      </c>
      <c r="H316" s="209" t="str">
        <f t="array" aca="1" ref="H316" ca="1">IF(B316&lt;&gt;"",
IFERROR(MATCH(TRUE,ISNUMBER(INDIRECT("数出表_Excel【15時】!"&amp;SUBSTITUTE(ADDRESS(1,D316+2,4),"1","")&amp;(A316+4)&amp;":ZZ"&amp;(A316+4))),0)+D316+1,""),"")</f>
        <v/>
      </c>
      <c r="I316" t="str">
        <f ca="1">IF(H316&lt;&gt;"",
OFFSET(数出表_Excel【15時】!$A$1,2,H316-1)
&amp;IFERROR(OFFSET(数出表_Excel【15時】!$A$1,3,H316-1),"")
&amp;IFERROR(OFFSET(数出表_Excel【15時】!$A$1,4,H316-1),""),"")</f>
        <v/>
      </c>
      <c r="J316" t="str">
        <f ca="1">IF(H316&lt;&gt;"",
OFFSET(数出表_Excel【15時】!$A$1,A316+3,H316-1),"")</f>
        <v/>
      </c>
      <c r="K316" t="str">
        <f ca="1">IF(H316&lt;&gt;"",
IF(AND(OFFSET(数出表_Excel【15時】!$A$1,A316+3,H316)&lt;&gt;"",OFFSET(数出表_Excel【15時】!$A$1,A316+3,H316)&lt;&gt;0),
OFFSET(数出表_Excel【15時】!$A$1,A316+3,H316),""),"")</f>
        <v/>
      </c>
      <c r="L316" s="209" t="str">
        <f t="array" aca="1" ref="L316" ca="1">IF(B316&lt;&gt;"",
IFERROR(MATCH(TRUE,ISNUMBER(INDIRECT("数出表_Excel【15時】!"&amp;SUBSTITUTE(ADDRESS(1,H316+2,4),"1","")&amp;(A316+4)&amp;":ZZ"&amp;(A316+4))),0)+H316+1,""),"")</f>
        <v/>
      </c>
      <c r="M316" t="str">
        <f ca="1">IF(L316&lt;&gt;"",
OFFSET(数出表_Excel【15時】!$A$1,2,L316-1)
&amp;IFERROR(OFFSET(数出表_Excel【15時】!$A$1,3,L316-1),"")
&amp;IFERROR(OFFSET(数出表_Excel【15時】!$A$1,4,L316-1),""),"")</f>
        <v/>
      </c>
      <c r="N316" t="str">
        <f ca="1">IF(L316&lt;&gt;"",
OFFSET(数出表_Excel【15時】!$A$1,A316+3,L316-1),"")</f>
        <v/>
      </c>
      <c r="O316" t="str">
        <f ca="1">IF(L316&lt;&gt;"",
IF(AND(OFFSET(数出表_Excel【15時】!$A$1,A316+3,L316)&lt;&gt;"",OFFSET(数出表_Excel【15時】!$A$1,A316+3,L316)&lt;&gt;0),
OFFSET(数出表_Excel【15時】!$A$1,A316+3,L316),""),"")</f>
        <v/>
      </c>
      <c r="Q316" t="str">
        <f ca="1">IF(C316&lt;&gt;"",
IF(E316&lt;&gt;"",1,0)+IF(I316&lt;&gt;"",1,0)+IF(M316&lt;&gt;"",1,0),"")</f>
        <v/>
      </c>
    </row>
    <row r="317" spans="1:17">
      <c r="A317" t="str">
        <f t="shared" ca="1" si="4"/>
        <v/>
      </c>
      <c r="B317" t="str">
        <f t="array" aca="1" ref="B317" ca="1">IF(OR(COUNTIF(数出表_Excel【15時】!AO320,"*修正*"),COUNTIF(数出表_Excel【15時】!AO321,"*修正*")),
IF(ISEVEN(ROW()+4),INDIRECT("数出表_Excel【15時】!A"&amp;ROW()+4&amp;""),INDIRECT("数出表_Excel【15時】!A"&amp;ROW()+4-1&amp;"")),"")</f>
        <v/>
      </c>
      <c r="C317" t="str">
        <f t="array" aca="1" ref="C317" ca="1">IF(OR(COUNTIF(数出表_Excel【15時】!AO320,"*修正*"),COUNTIF(数出表_Excel【15時】!AO321,"*修正*")),
IF(ISEVEN(ROW()+4),INDIRECT("数出表_Excel【15時】!A"&amp;ROW()+4+1&amp;""),INDIRECT("数出表_Excel【15時】!A"&amp;ROW()+4&amp;"")),"")</f>
        <v/>
      </c>
      <c r="D317" s="209" t="str">
        <f t="array" aca="1" ref="D317" ca="1">IF(B317&lt;&gt;"",
IFERROR(MATCH(TRUE,ISNUMBER(INDIRECT("数出表_Excel【15時】!B"&amp;(A317+4)&amp;":ZZ"&amp;(A317+4))),0)+1,""),"")</f>
        <v/>
      </c>
      <c r="E317" t="str">
        <f ca="1">IF(D317&lt;&gt;"",
OFFSET(数出表_Excel【15時】!$A$1,2,D317-1)
&amp;IFERROR(OFFSET(数出表_Excel【15時】!$A$1,3,D317-1),"")
&amp;IFERROR(OFFSET(数出表_Excel【15時】!$A$1,4,D317-1),""),"")</f>
        <v/>
      </c>
      <c r="F317" t="str">
        <f ca="1">IF(D317&lt;&gt;"",
OFFSET(数出表_Excel【15時】!$A$1,A317+3,D317-1),"")</f>
        <v/>
      </c>
      <c r="G317" t="str">
        <f ca="1">IF(D317&lt;&gt;"",
IF(AND(OFFSET(数出表_Excel【15時】!$A$1,A317+3,D317)&lt;&gt;"",OFFSET(数出表_Excel【15時】!$A$1,A317+3,D317)&lt;&gt;0),
OFFSET(数出表_Excel【15時】!$A$1,A317+3,D317),""),"")</f>
        <v/>
      </c>
      <c r="H317" s="209" t="str">
        <f t="array" aca="1" ref="H317" ca="1">IF(B317&lt;&gt;"",
IFERROR(MATCH(TRUE,ISNUMBER(INDIRECT("数出表_Excel【15時】!"&amp;SUBSTITUTE(ADDRESS(1,D317+2,4),"1","")&amp;(A317+4)&amp;":ZZ"&amp;(A317+4))),0)+D317+1,""),"")</f>
        <v/>
      </c>
      <c r="I317" t="str">
        <f ca="1">IF(H317&lt;&gt;"",
OFFSET(数出表_Excel【15時】!$A$1,2,H317-1)
&amp;IFERROR(OFFSET(数出表_Excel【15時】!$A$1,3,H317-1),"")
&amp;IFERROR(OFFSET(数出表_Excel【15時】!$A$1,4,H317-1),""),"")</f>
        <v/>
      </c>
      <c r="J317" t="str">
        <f ca="1">IF(H317&lt;&gt;"",
OFFSET(数出表_Excel【15時】!$A$1,A317+3,H317-1),"")</f>
        <v/>
      </c>
      <c r="K317" t="str">
        <f ca="1">IF(H317&lt;&gt;"",
IF(AND(OFFSET(数出表_Excel【15時】!$A$1,A317+3,H317)&lt;&gt;"",OFFSET(数出表_Excel【15時】!$A$1,A317+3,H317)&lt;&gt;0),
OFFSET(数出表_Excel【15時】!$A$1,A317+3,H317),""),"")</f>
        <v/>
      </c>
      <c r="L317" s="209" t="str">
        <f t="array" aca="1" ref="L317" ca="1">IF(B317&lt;&gt;"",
IFERROR(MATCH(TRUE,ISNUMBER(INDIRECT("数出表_Excel【15時】!"&amp;SUBSTITUTE(ADDRESS(1,H317+2,4),"1","")&amp;(A317+4)&amp;":ZZ"&amp;(A317+4))),0)+H317+1,""),"")</f>
        <v/>
      </c>
      <c r="M317" t="str">
        <f ca="1">IF(L317&lt;&gt;"",
OFFSET(数出表_Excel【15時】!$A$1,2,L317-1)
&amp;IFERROR(OFFSET(数出表_Excel【15時】!$A$1,3,L317-1),"")
&amp;IFERROR(OFFSET(数出表_Excel【15時】!$A$1,4,L317-1),""),"")</f>
        <v/>
      </c>
      <c r="N317" t="str">
        <f ca="1">IF(L317&lt;&gt;"",
OFFSET(数出表_Excel【15時】!$A$1,A317+3,L317-1),"")</f>
        <v/>
      </c>
      <c r="O317" t="str">
        <f ca="1">IF(L317&lt;&gt;"",
IF(AND(OFFSET(数出表_Excel【15時】!$A$1,A317+3,L317)&lt;&gt;"",OFFSET(数出表_Excel【15時】!$A$1,A317+3,L317)&lt;&gt;0),
OFFSET(数出表_Excel【15時】!$A$1,A317+3,L317),""),"")</f>
        <v/>
      </c>
    </row>
    <row r="318" spans="1:17">
      <c r="A318" t="str">
        <f t="shared" ca="1" si="4"/>
        <v/>
      </c>
      <c r="B318" t="str">
        <f t="array" aca="1" ref="B318" ca="1">IF(OR(COUNTIF(数出表_Excel【15時】!AO322,"*修正*"),COUNTIF(数出表_Excel【15時】!AO323,"*修正*")),
IF(ISEVEN(ROW()+4),INDIRECT("数出表_Excel【15時】!A"&amp;ROW()+4&amp;""),INDIRECT("数出表_Excel【15時】!A"&amp;ROW()+4-1&amp;"")),"")</f>
        <v/>
      </c>
      <c r="C318" t="str">
        <f t="array" aca="1" ref="C318" ca="1">IF(OR(COUNTIF(数出表_Excel【15時】!AO322,"*修正*"),COUNTIF(数出表_Excel【15時】!AO323,"*修正*")),
IF(ISEVEN(ROW()+4),INDIRECT("数出表_Excel【15時】!A"&amp;ROW()+4+1&amp;""),INDIRECT("数出表_Excel【15時】!A"&amp;ROW()+4&amp;"")),"")</f>
        <v/>
      </c>
      <c r="D318" s="209" t="str">
        <f t="array" aca="1" ref="D318" ca="1">IF(B318&lt;&gt;"",
IFERROR(MATCH(TRUE,ISNUMBER(INDIRECT("数出表_Excel【15時】!B"&amp;(A318+4)&amp;":ZZ"&amp;(A318+4))),0)+1,""),"")</f>
        <v/>
      </c>
      <c r="E318" t="str">
        <f ca="1">IF(D318&lt;&gt;"",
OFFSET(数出表_Excel【15時】!$A$1,2,D318-1)
&amp;IFERROR(OFFSET(数出表_Excel【15時】!$A$1,3,D318-1),"")
&amp;IFERROR(OFFSET(数出表_Excel【15時】!$A$1,4,D318-1),""),"")</f>
        <v/>
      </c>
      <c r="F318" t="str">
        <f ca="1">IF(D318&lt;&gt;"",
OFFSET(数出表_Excel【15時】!$A$1,A318+3,D318-1),"")</f>
        <v/>
      </c>
      <c r="G318" t="str">
        <f ca="1">IF(D318&lt;&gt;"",
IF(AND(OFFSET(数出表_Excel【15時】!$A$1,A318+3,D318)&lt;&gt;"",OFFSET(数出表_Excel【15時】!$A$1,A318+3,D318)&lt;&gt;0),
OFFSET(数出表_Excel【15時】!$A$1,A318+3,D318),""),"")</f>
        <v/>
      </c>
      <c r="H318" s="209" t="str">
        <f t="array" aca="1" ref="H318" ca="1">IF(B318&lt;&gt;"",
IFERROR(MATCH(TRUE,ISNUMBER(INDIRECT("数出表_Excel【15時】!"&amp;SUBSTITUTE(ADDRESS(1,D318+2,4),"1","")&amp;(A318+4)&amp;":ZZ"&amp;(A318+4))),0)+D318+1,""),"")</f>
        <v/>
      </c>
      <c r="I318" t="str">
        <f ca="1">IF(H318&lt;&gt;"",
OFFSET(数出表_Excel【15時】!$A$1,2,H318-1)
&amp;IFERROR(OFFSET(数出表_Excel【15時】!$A$1,3,H318-1),"")
&amp;IFERROR(OFFSET(数出表_Excel【15時】!$A$1,4,H318-1),""),"")</f>
        <v/>
      </c>
      <c r="J318" t="str">
        <f ca="1">IF(H318&lt;&gt;"",
OFFSET(数出表_Excel【15時】!$A$1,A318+3,H318-1),"")</f>
        <v/>
      </c>
      <c r="K318" t="str">
        <f ca="1">IF(H318&lt;&gt;"",
IF(AND(OFFSET(数出表_Excel【15時】!$A$1,A318+3,H318)&lt;&gt;"",OFFSET(数出表_Excel【15時】!$A$1,A318+3,H318)&lt;&gt;0),
OFFSET(数出表_Excel【15時】!$A$1,A318+3,H318),""),"")</f>
        <v/>
      </c>
      <c r="L318" s="209" t="str">
        <f t="array" aca="1" ref="L318" ca="1">IF(B318&lt;&gt;"",
IFERROR(MATCH(TRUE,ISNUMBER(INDIRECT("数出表_Excel【15時】!"&amp;SUBSTITUTE(ADDRESS(1,H318+2,4),"1","")&amp;(A318+4)&amp;":ZZ"&amp;(A318+4))),0)+H318+1,""),"")</f>
        <v/>
      </c>
      <c r="M318" t="str">
        <f ca="1">IF(L318&lt;&gt;"",
OFFSET(数出表_Excel【15時】!$A$1,2,L318-1)
&amp;IFERROR(OFFSET(数出表_Excel【15時】!$A$1,3,L318-1),"")
&amp;IFERROR(OFFSET(数出表_Excel【15時】!$A$1,4,L318-1),""),"")</f>
        <v/>
      </c>
      <c r="N318" t="str">
        <f ca="1">IF(L318&lt;&gt;"",
OFFSET(数出表_Excel【15時】!$A$1,A318+3,L318-1),"")</f>
        <v/>
      </c>
      <c r="O318" t="str">
        <f ca="1">IF(L318&lt;&gt;"",
IF(AND(OFFSET(数出表_Excel【15時】!$A$1,A318+3,L318)&lt;&gt;"",OFFSET(数出表_Excel【15時】!$A$1,A318+3,L318)&lt;&gt;0),
OFFSET(数出表_Excel【15時】!$A$1,A318+3,L318),""),"")</f>
        <v/>
      </c>
      <c r="Q318" t="str">
        <f ca="1">IF(C318&lt;&gt;"",
IF(E318&lt;&gt;"",1,0)+IF(I318&lt;&gt;"",1,0)+IF(M318&lt;&gt;"",1,0),"")</f>
        <v/>
      </c>
    </row>
    <row r="319" spans="1:17">
      <c r="A319" t="str">
        <f t="shared" ca="1" si="4"/>
        <v/>
      </c>
      <c r="B319" t="str">
        <f t="array" aca="1" ref="B319" ca="1">IF(OR(COUNTIF(数出表_Excel【15時】!AO322,"*修正*"),COUNTIF(数出表_Excel【15時】!AO323,"*修正*")),
IF(ISEVEN(ROW()+4),INDIRECT("数出表_Excel【15時】!A"&amp;ROW()+4&amp;""),INDIRECT("数出表_Excel【15時】!A"&amp;ROW()+4-1&amp;"")),"")</f>
        <v/>
      </c>
      <c r="C319" t="str">
        <f t="array" aca="1" ref="C319" ca="1">IF(OR(COUNTIF(数出表_Excel【15時】!AO322,"*修正*"),COUNTIF(数出表_Excel【15時】!AO323,"*修正*")),
IF(ISEVEN(ROW()+4),INDIRECT("数出表_Excel【15時】!A"&amp;ROW()+4+1&amp;""),INDIRECT("数出表_Excel【15時】!A"&amp;ROW()+4&amp;"")),"")</f>
        <v/>
      </c>
      <c r="D319" s="209" t="str">
        <f t="array" aca="1" ref="D319" ca="1">IF(B319&lt;&gt;"",
IFERROR(MATCH(TRUE,ISNUMBER(INDIRECT("数出表_Excel【15時】!B"&amp;(A319+4)&amp;":ZZ"&amp;(A319+4))),0)+1,""),"")</f>
        <v/>
      </c>
      <c r="E319" t="str">
        <f ca="1">IF(D319&lt;&gt;"",
OFFSET(数出表_Excel【15時】!$A$1,2,D319-1)
&amp;IFERROR(OFFSET(数出表_Excel【15時】!$A$1,3,D319-1),"")
&amp;IFERROR(OFFSET(数出表_Excel【15時】!$A$1,4,D319-1),""),"")</f>
        <v/>
      </c>
      <c r="F319" t="str">
        <f ca="1">IF(D319&lt;&gt;"",
OFFSET(数出表_Excel【15時】!$A$1,A319+3,D319-1),"")</f>
        <v/>
      </c>
      <c r="G319" t="str">
        <f ca="1">IF(D319&lt;&gt;"",
IF(AND(OFFSET(数出表_Excel【15時】!$A$1,A319+3,D319)&lt;&gt;"",OFFSET(数出表_Excel【15時】!$A$1,A319+3,D319)&lt;&gt;0),
OFFSET(数出表_Excel【15時】!$A$1,A319+3,D319),""),"")</f>
        <v/>
      </c>
      <c r="H319" s="209" t="str">
        <f t="array" aca="1" ref="H319" ca="1">IF(B319&lt;&gt;"",
IFERROR(MATCH(TRUE,ISNUMBER(INDIRECT("数出表_Excel【15時】!"&amp;SUBSTITUTE(ADDRESS(1,D319+2,4),"1","")&amp;(A319+4)&amp;":ZZ"&amp;(A319+4))),0)+D319+1,""),"")</f>
        <v/>
      </c>
      <c r="I319" t="str">
        <f ca="1">IF(H319&lt;&gt;"",
OFFSET(数出表_Excel【15時】!$A$1,2,H319-1)
&amp;IFERROR(OFFSET(数出表_Excel【15時】!$A$1,3,H319-1),"")
&amp;IFERROR(OFFSET(数出表_Excel【15時】!$A$1,4,H319-1),""),"")</f>
        <v/>
      </c>
      <c r="J319" t="str">
        <f ca="1">IF(H319&lt;&gt;"",
OFFSET(数出表_Excel【15時】!$A$1,A319+3,H319-1),"")</f>
        <v/>
      </c>
      <c r="K319" t="str">
        <f ca="1">IF(H319&lt;&gt;"",
IF(AND(OFFSET(数出表_Excel【15時】!$A$1,A319+3,H319)&lt;&gt;"",OFFSET(数出表_Excel【15時】!$A$1,A319+3,H319)&lt;&gt;0),
OFFSET(数出表_Excel【15時】!$A$1,A319+3,H319),""),"")</f>
        <v/>
      </c>
      <c r="L319" s="209" t="str">
        <f t="array" aca="1" ref="L319" ca="1">IF(B319&lt;&gt;"",
IFERROR(MATCH(TRUE,ISNUMBER(INDIRECT("数出表_Excel【15時】!"&amp;SUBSTITUTE(ADDRESS(1,H319+2,4),"1","")&amp;(A319+4)&amp;":ZZ"&amp;(A319+4))),0)+H319+1,""),"")</f>
        <v/>
      </c>
      <c r="M319" t="str">
        <f ca="1">IF(L319&lt;&gt;"",
OFFSET(数出表_Excel【15時】!$A$1,2,L319-1)
&amp;IFERROR(OFFSET(数出表_Excel【15時】!$A$1,3,L319-1),"")
&amp;IFERROR(OFFSET(数出表_Excel【15時】!$A$1,4,L319-1),""),"")</f>
        <v/>
      </c>
      <c r="N319" t="str">
        <f ca="1">IF(L319&lt;&gt;"",
OFFSET(数出表_Excel【15時】!$A$1,A319+3,L319-1),"")</f>
        <v/>
      </c>
      <c r="O319" t="str">
        <f ca="1">IF(L319&lt;&gt;"",
IF(AND(OFFSET(数出表_Excel【15時】!$A$1,A319+3,L319)&lt;&gt;"",OFFSET(数出表_Excel【15時】!$A$1,A319+3,L319)&lt;&gt;0),
OFFSET(数出表_Excel【15時】!$A$1,A319+3,L319),""),"")</f>
        <v/>
      </c>
    </row>
    <row r="320" spans="1:17">
      <c r="A320" t="str">
        <f t="shared" ca="1" si="4"/>
        <v/>
      </c>
      <c r="B320" t="str">
        <f t="array" aca="1" ref="B320" ca="1">IF(OR(COUNTIF(数出表_Excel【15時】!AO324,"*修正*"),COUNTIF(数出表_Excel【15時】!AO325,"*修正*")),
IF(ISEVEN(ROW()+4),INDIRECT("数出表_Excel【15時】!A"&amp;ROW()+4&amp;""),INDIRECT("数出表_Excel【15時】!A"&amp;ROW()+4-1&amp;"")),"")</f>
        <v/>
      </c>
      <c r="C320" t="str">
        <f t="array" aca="1" ref="C320" ca="1">IF(OR(COUNTIF(数出表_Excel【15時】!AO324,"*修正*"),COUNTIF(数出表_Excel【15時】!AO325,"*修正*")),
IF(ISEVEN(ROW()+4),INDIRECT("数出表_Excel【15時】!A"&amp;ROW()+4+1&amp;""),INDIRECT("数出表_Excel【15時】!A"&amp;ROW()+4&amp;"")),"")</f>
        <v/>
      </c>
      <c r="D320" s="209" t="str">
        <f t="array" aca="1" ref="D320" ca="1">IF(B320&lt;&gt;"",
IFERROR(MATCH(TRUE,ISNUMBER(INDIRECT("数出表_Excel【15時】!B"&amp;(A320+4)&amp;":ZZ"&amp;(A320+4))),0)+1,""),"")</f>
        <v/>
      </c>
      <c r="E320" t="str">
        <f ca="1">IF(D320&lt;&gt;"",
OFFSET(数出表_Excel【15時】!$A$1,2,D320-1)
&amp;IFERROR(OFFSET(数出表_Excel【15時】!$A$1,3,D320-1),"")
&amp;IFERROR(OFFSET(数出表_Excel【15時】!$A$1,4,D320-1),""),"")</f>
        <v/>
      </c>
      <c r="F320" t="str">
        <f ca="1">IF(D320&lt;&gt;"",
OFFSET(数出表_Excel【15時】!$A$1,A320+3,D320-1),"")</f>
        <v/>
      </c>
      <c r="G320" t="str">
        <f ca="1">IF(D320&lt;&gt;"",
IF(AND(OFFSET(数出表_Excel【15時】!$A$1,A320+3,D320)&lt;&gt;"",OFFSET(数出表_Excel【15時】!$A$1,A320+3,D320)&lt;&gt;0),
OFFSET(数出表_Excel【15時】!$A$1,A320+3,D320),""),"")</f>
        <v/>
      </c>
      <c r="H320" s="209" t="str">
        <f t="array" aca="1" ref="H320" ca="1">IF(B320&lt;&gt;"",
IFERROR(MATCH(TRUE,ISNUMBER(INDIRECT("数出表_Excel【15時】!"&amp;SUBSTITUTE(ADDRESS(1,D320+2,4),"1","")&amp;(A320+4)&amp;":ZZ"&amp;(A320+4))),0)+D320+1,""),"")</f>
        <v/>
      </c>
      <c r="I320" t="str">
        <f ca="1">IF(H320&lt;&gt;"",
OFFSET(数出表_Excel【15時】!$A$1,2,H320-1)
&amp;IFERROR(OFFSET(数出表_Excel【15時】!$A$1,3,H320-1),"")
&amp;IFERROR(OFFSET(数出表_Excel【15時】!$A$1,4,H320-1),""),"")</f>
        <v/>
      </c>
      <c r="J320" t="str">
        <f ca="1">IF(H320&lt;&gt;"",
OFFSET(数出表_Excel【15時】!$A$1,A320+3,H320-1),"")</f>
        <v/>
      </c>
      <c r="K320" t="str">
        <f ca="1">IF(H320&lt;&gt;"",
IF(AND(OFFSET(数出表_Excel【15時】!$A$1,A320+3,H320)&lt;&gt;"",OFFSET(数出表_Excel【15時】!$A$1,A320+3,H320)&lt;&gt;0),
OFFSET(数出表_Excel【15時】!$A$1,A320+3,H320),""),"")</f>
        <v/>
      </c>
      <c r="L320" s="209" t="str">
        <f t="array" aca="1" ref="L320" ca="1">IF(B320&lt;&gt;"",
IFERROR(MATCH(TRUE,ISNUMBER(INDIRECT("数出表_Excel【15時】!"&amp;SUBSTITUTE(ADDRESS(1,H320+2,4),"1","")&amp;(A320+4)&amp;":ZZ"&amp;(A320+4))),0)+H320+1,""),"")</f>
        <v/>
      </c>
      <c r="M320" t="str">
        <f ca="1">IF(L320&lt;&gt;"",
OFFSET(数出表_Excel【15時】!$A$1,2,L320-1)
&amp;IFERROR(OFFSET(数出表_Excel【15時】!$A$1,3,L320-1),"")
&amp;IFERROR(OFFSET(数出表_Excel【15時】!$A$1,4,L320-1),""),"")</f>
        <v/>
      </c>
      <c r="N320" t="str">
        <f ca="1">IF(L320&lt;&gt;"",
OFFSET(数出表_Excel【15時】!$A$1,A320+3,L320-1),"")</f>
        <v/>
      </c>
      <c r="O320" t="str">
        <f ca="1">IF(L320&lt;&gt;"",
IF(AND(OFFSET(数出表_Excel【15時】!$A$1,A320+3,L320)&lt;&gt;"",OFFSET(数出表_Excel【15時】!$A$1,A320+3,L320)&lt;&gt;0),
OFFSET(数出表_Excel【15時】!$A$1,A320+3,L320),""),"")</f>
        <v/>
      </c>
      <c r="Q320" t="str">
        <f ca="1">IF(C320&lt;&gt;"",
IF(E320&lt;&gt;"",1,0)+IF(I320&lt;&gt;"",1,0)+IF(M320&lt;&gt;"",1,0),"")</f>
        <v/>
      </c>
    </row>
    <row r="321" spans="1:17">
      <c r="A321" t="str">
        <f t="shared" ca="1" si="4"/>
        <v/>
      </c>
      <c r="B321" t="str">
        <f t="array" aca="1" ref="B321" ca="1">IF(OR(COUNTIF(数出表_Excel【15時】!AO324,"*修正*"),COUNTIF(数出表_Excel【15時】!AO325,"*修正*")),
IF(ISEVEN(ROW()+4),INDIRECT("数出表_Excel【15時】!A"&amp;ROW()+4&amp;""),INDIRECT("数出表_Excel【15時】!A"&amp;ROW()+4-1&amp;"")),"")</f>
        <v/>
      </c>
      <c r="C321" t="str">
        <f t="array" aca="1" ref="C321" ca="1">IF(OR(COUNTIF(数出表_Excel【15時】!AO324,"*修正*"),COUNTIF(数出表_Excel【15時】!AO325,"*修正*")),
IF(ISEVEN(ROW()+4),INDIRECT("数出表_Excel【15時】!A"&amp;ROW()+4+1&amp;""),INDIRECT("数出表_Excel【15時】!A"&amp;ROW()+4&amp;"")),"")</f>
        <v/>
      </c>
      <c r="D321" s="209" t="str">
        <f t="array" aca="1" ref="D321" ca="1">IF(B321&lt;&gt;"",
IFERROR(MATCH(TRUE,ISNUMBER(INDIRECT("数出表_Excel【15時】!B"&amp;(A321+4)&amp;":ZZ"&amp;(A321+4))),0)+1,""),"")</f>
        <v/>
      </c>
      <c r="E321" t="str">
        <f ca="1">IF(D321&lt;&gt;"",
OFFSET(数出表_Excel【15時】!$A$1,2,D321-1)
&amp;IFERROR(OFFSET(数出表_Excel【15時】!$A$1,3,D321-1),"")
&amp;IFERROR(OFFSET(数出表_Excel【15時】!$A$1,4,D321-1),""),"")</f>
        <v/>
      </c>
      <c r="F321" t="str">
        <f ca="1">IF(D321&lt;&gt;"",
OFFSET(数出表_Excel【15時】!$A$1,A321+3,D321-1),"")</f>
        <v/>
      </c>
      <c r="G321" t="str">
        <f ca="1">IF(D321&lt;&gt;"",
IF(AND(OFFSET(数出表_Excel【15時】!$A$1,A321+3,D321)&lt;&gt;"",OFFSET(数出表_Excel【15時】!$A$1,A321+3,D321)&lt;&gt;0),
OFFSET(数出表_Excel【15時】!$A$1,A321+3,D321),""),"")</f>
        <v/>
      </c>
      <c r="H321" s="209" t="str">
        <f t="array" aca="1" ref="H321" ca="1">IF(B321&lt;&gt;"",
IFERROR(MATCH(TRUE,ISNUMBER(INDIRECT("数出表_Excel【15時】!"&amp;SUBSTITUTE(ADDRESS(1,D321+2,4),"1","")&amp;(A321+4)&amp;":ZZ"&amp;(A321+4))),0)+D321+1,""),"")</f>
        <v/>
      </c>
      <c r="I321" t="str">
        <f ca="1">IF(H321&lt;&gt;"",
OFFSET(数出表_Excel【15時】!$A$1,2,H321-1)
&amp;IFERROR(OFFSET(数出表_Excel【15時】!$A$1,3,H321-1),"")
&amp;IFERROR(OFFSET(数出表_Excel【15時】!$A$1,4,H321-1),""),"")</f>
        <v/>
      </c>
      <c r="J321" t="str">
        <f ca="1">IF(H321&lt;&gt;"",
OFFSET(数出表_Excel【15時】!$A$1,A321+3,H321-1),"")</f>
        <v/>
      </c>
      <c r="K321" t="str">
        <f ca="1">IF(H321&lt;&gt;"",
IF(AND(OFFSET(数出表_Excel【15時】!$A$1,A321+3,H321)&lt;&gt;"",OFFSET(数出表_Excel【15時】!$A$1,A321+3,H321)&lt;&gt;0),
OFFSET(数出表_Excel【15時】!$A$1,A321+3,H321),""),"")</f>
        <v/>
      </c>
      <c r="L321" s="209" t="str">
        <f t="array" aca="1" ref="L321" ca="1">IF(B321&lt;&gt;"",
IFERROR(MATCH(TRUE,ISNUMBER(INDIRECT("数出表_Excel【15時】!"&amp;SUBSTITUTE(ADDRESS(1,H321+2,4),"1","")&amp;(A321+4)&amp;":ZZ"&amp;(A321+4))),0)+H321+1,""),"")</f>
        <v/>
      </c>
      <c r="M321" t="str">
        <f ca="1">IF(L321&lt;&gt;"",
OFFSET(数出表_Excel【15時】!$A$1,2,L321-1)
&amp;IFERROR(OFFSET(数出表_Excel【15時】!$A$1,3,L321-1),"")
&amp;IFERROR(OFFSET(数出表_Excel【15時】!$A$1,4,L321-1),""),"")</f>
        <v/>
      </c>
      <c r="N321" t="str">
        <f ca="1">IF(L321&lt;&gt;"",
OFFSET(数出表_Excel【15時】!$A$1,A321+3,L321-1),"")</f>
        <v/>
      </c>
      <c r="O321" t="str">
        <f ca="1">IF(L321&lt;&gt;"",
IF(AND(OFFSET(数出表_Excel【15時】!$A$1,A321+3,L321)&lt;&gt;"",OFFSET(数出表_Excel【15時】!$A$1,A321+3,L321)&lt;&gt;0),
OFFSET(数出表_Excel【15時】!$A$1,A321+3,L321),""),"")</f>
        <v/>
      </c>
    </row>
    <row r="322" spans="1:17">
      <c r="A322" t="str">
        <f t="shared" ref="A322:A385" ca="1" si="5">IF(B322&lt;&gt;"",
ROW(),"")</f>
        <v/>
      </c>
      <c r="B322" t="str">
        <f t="array" aca="1" ref="B322" ca="1">IF(OR(COUNTIF(数出表_Excel【15時】!AO326,"*修正*"),COUNTIF(数出表_Excel【15時】!AO327,"*修正*")),
IF(ISEVEN(ROW()+4),INDIRECT("数出表_Excel【15時】!A"&amp;ROW()+4&amp;""),INDIRECT("数出表_Excel【15時】!A"&amp;ROW()+4-1&amp;"")),"")</f>
        <v/>
      </c>
      <c r="C322" t="str">
        <f t="array" aca="1" ref="C322" ca="1">IF(OR(COUNTIF(数出表_Excel【15時】!AO326,"*修正*"),COUNTIF(数出表_Excel【15時】!AO327,"*修正*")),
IF(ISEVEN(ROW()+4),INDIRECT("数出表_Excel【15時】!A"&amp;ROW()+4+1&amp;""),INDIRECT("数出表_Excel【15時】!A"&amp;ROW()+4&amp;"")),"")</f>
        <v/>
      </c>
      <c r="D322" s="209" t="str">
        <f t="array" aca="1" ref="D322" ca="1">IF(B322&lt;&gt;"",
IFERROR(MATCH(TRUE,ISNUMBER(INDIRECT("数出表_Excel【15時】!B"&amp;(A322+4)&amp;":ZZ"&amp;(A322+4))),0)+1,""),"")</f>
        <v/>
      </c>
      <c r="E322" t="str">
        <f ca="1">IF(D322&lt;&gt;"",
OFFSET(数出表_Excel【15時】!$A$1,2,D322-1)
&amp;IFERROR(OFFSET(数出表_Excel【15時】!$A$1,3,D322-1),"")
&amp;IFERROR(OFFSET(数出表_Excel【15時】!$A$1,4,D322-1),""),"")</f>
        <v/>
      </c>
      <c r="F322" t="str">
        <f ca="1">IF(D322&lt;&gt;"",
OFFSET(数出表_Excel【15時】!$A$1,A322+3,D322-1),"")</f>
        <v/>
      </c>
      <c r="G322" t="str">
        <f ca="1">IF(D322&lt;&gt;"",
IF(AND(OFFSET(数出表_Excel【15時】!$A$1,A322+3,D322)&lt;&gt;"",OFFSET(数出表_Excel【15時】!$A$1,A322+3,D322)&lt;&gt;0),
OFFSET(数出表_Excel【15時】!$A$1,A322+3,D322),""),"")</f>
        <v/>
      </c>
      <c r="H322" s="209" t="str">
        <f t="array" aca="1" ref="H322" ca="1">IF(B322&lt;&gt;"",
IFERROR(MATCH(TRUE,ISNUMBER(INDIRECT("数出表_Excel【15時】!"&amp;SUBSTITUTE(ADDRESS(1,D322+2,4),"1","")&amp;(A322+4)&amp;":ZZ"&amp;(A322+4))),0)+D322+1,""),"")</f>
        <v/>
      </c>
      <c r="I322" t="str">
        <f ca="1">IF(H322&lt;&gt;"",
OFFSET(数出表_Excel【15時】!$A$1,2,H322-1)
&amp;IFERROR(OFFSET(数出表_Excel【15時】!$A$1,3,H322-1),"")
&amp;IFERROR(OFFSET(数出表_Excel【15時】!$A$1,4,H322-1),""),"")</f>
        <v/>
      </c>
      <c r="J322" t="str">
        <f ca="1">IF(H322&lt;&gt;"",
OFFSET(数出表_Excel【15時】!$A$1,A322+3,H322-1),"")</f>
        <v/>
      </c>
      <c r="K322" t="str">
        <f ca="1">IF(H322&lt;&gt;"",
IF(AND(OFFSET(数出表_Excel【15時】!$A$1,A322+3,H322)&lt;&gt;"",OFFSET(数出表_Excel【15時】!$A$1,A322+3,H322)&lt;&gt;0),
OFFSET(数出表_Excel【15時】!$A$1,A322+3,H322),""),"")</f>
        <v/>
      </c>
      <c r="L322" s="209" t="str">
        <f t="array" aca="1" ref="L322" ca="1">IF(B322&lt;&gt;"",
IFERROR(MATCH(TRUE,ISNUMBER(INDIRECT("数出表_Excel【15時】!"&amp;SUBSTITUTE(ADDRESS(1,H322+2,4),"1","")&amp;(A322+4)&amp;":ZZ"&amp;(A322+4))),0)+H322+1,""),"")</f>
        <v/>
      </c>
      <c r="M322" t="str">
        <f ca="1">IF(L322&lt;&gt;"",
OFFSET(数出表_Excel【15時】!$A$1,2,L322-1)
&amp;IFERROR(OFFSET(数出表_Excel【15時】!$A$1,3,L322-1),"")
&amp;IFERROR(OFFSET(数出表_Excel【15時】!$A$1,4,L322-1),""),"")</f>
        <v/>
      </c>
      <c r="N322" t="str">
        <f ca="1">IF(L322&lt;&gt;"",
OFFSET(数出表_Excel【15時】!$A$1,A322+3,L322-1),"")</f>
        <v/>
      </c>
      <c r="O322" t="str">
        <f ca="1">IF(L322&lt;&gt;"",
IF(AND(OFFSET(数出表_Excel【15時】!$A$1,A322+3,L322)&lt;&gt;"",OFFSET(数出表_Excel【15時】!$A$1,A322+3,L322)&lt;&gt;0),
OFFSET(数出表_Excel【15時】!$A$1,A322+3,L322),""),"")</f>
        <v/>
      </c>
      <c r="Q322" t="str">
        <f ca="1">IF(C322&lt;&gt;"",
IF(E322&lt;&gt;"",1,0)+IF(I322&lt;&gt;"",1,0)+IF(M322&lt;&gt;"",1,0),"")</f>
        <v/>
      </c>
    </row>
    <row r="323" spans="1:17">
      <c r="A323" t="str">
        <f t="shared" ca="1" si="5"/>
        <v/>
      </c>
      <c r="B323" t="str">
        <f t="array" aca="1" ref="B323" ca="1">IF(OR(COUNTIF(数出表_Excel【15時】!AO326,"*修正*"),COUNTIF(数出表_Excel【15時】!AO327,"*修正*")),
IF(ISEVEN(ROW()+4),INDIRECT("数出表_Excel【15時】!A"&amp;ROW()+4&amp;""),INDIRECT("数出表_Excel【15時】!A"&amp;ROW()+4-1&amp;"")),"")</f>
        <v/>
      </c>
      <c r="C323" t="str">
        <f t="array" aca="1" ref="C323" ca="1">IF(OR(COUNTIF(数出表_Excel【15時】!AO326,"*修正*"),COUNTIF(数出表_Excel【15時】!AO327,"*修正*")),
IF(ISEVEN(ROW()+4),INDIRECT("数出表_Excel【15時】!A"&amp;ROW()+4+1&amp;""),INDIRECT("数出表_Excel【15時】!A"&amp;ROW()+4&amp;"")),"")</f>
        <v/>
      </c>
      <c r="D323" s="209" t="str">
        <f t="array" aca="1" ref="D323" ca="1">IF(B323&lt;&gt;"",
IFERROR(MATCH(TRUE,ISNUMBER(INDIRECT("数出表_Excel【15時】!B"&amp;(A323+4)&amp;":ZZ"&amp;(A323+4))),0)+1,""),"")</f>
        <v/>
      </c>
      <c r="E323" t="str">
        <f ca="1">IF(D323&lt;&gt;"",
OFFSET(数出表_Excel【15時】!$A$1,2,D323-1)
&amp;IFERROR(OFFSET(数出表_Excel【15時】!$A$1,3,D323-1),"")
&amp;IFERROR(OFFSET(数出表_Excel【15時】!$A$1,4,D323-1),""),"")</f>
        <v/>
      </c>
      <c r="F323" t="str">
        <f ca="1">IF(D323&lt;&gt;"",
OFFSET(数出表_Excel【15時】!$A$1,A323+3,D323-1),"")</f>
        <v/>
      </c>
      <c r="G323" t="str">
        <f ca="1">IF(D323&lt;&gt;"",
IF(AND(OFFSET(数出表_Excel【15時】!$A$1,A323+3,D323)&lt;&gt;"",OFFSET(数出表_Excel【15時】!$A$1,A323+3,D323)&lt;&gt;0),
OFFSET(数出表_Excel【15時】!$A$1,A323+3,D323),""),"")</f>
        <v/>
      </c>
      <c r="H323" s="209" t="str">
        <f t="array" aca="1" ref="H323" ca="1">IF(B323&lt;&gt;"",
IFERROR(MATCH(TRUE,ISNUMBER(INDIRECT("数出表_Excel【15時】!"&amp;SUBSTITUTE(ADDRESS(1,D323+2,4),"1","")&amp;(A323+4)&amp;":ZZ"&amp;(A323+4))),0)+D323+1,""),"")</f>
        <v/>
      </c>
      <c r="I323" t="str">
        <f ca="1">IF(H323&lt;&gt;"",
OFFSET(数出表_Excel【15時】!$A$1,2,H323-1)
&amp;IFERROR(OFFSET(数出表_Excel【15時】!$A$1,3,H323-1),"")
&amp;IFERROR(OFFSET(数出表_Excel【15時】!$A$1,4,H323-1),""),"")</f>
        <v/>
      </c>
      <c r="J323" t="str">
        <f ca="1">IF(H323&lt;&gt;"",
OFFSET(数出表_Excel【15時】!$A$1,A323+3,H323-1),"")</f>
        <v/>
      </c>
      <c r="K323" t="str">
        <f ca="1">IF(H323&lt;&gt;"",
IF(AND(OFFSET(数出表_Excel【15時】!$A$1,A323+3,H323)&lt;&gt;"",OFFSET(数出表_Excel【15時】!$A$1,A323+3,H323)&lt;&gt;0),
OFFSET(数出表_Excel【15時】!$A$1,A323+3,H323),""),"")</f>
        <v/>
      </c>
      <c r="L323" s="209" t="str">
        <f t="array" aca="1" ref="L323" ca="1">IF(B323&lt;&gt;"",
IFERROR(MATCH(TRUE,ISNUMBER(INDIRECT("数出表_Excel【15時】!"&amp;SUBSTITUTE(ADDRESS(1,H323+2,4),"1","")&amp;(A323+4)&amp;":ZZ"&amp;(A323+4))),0)+H323+1,""),"")</f>
        <v/>
      </c>
      <c r="M323" t="str">
        <f ca="1">IF(L323&lt;&gt;"",
OFFSET(数出表_Excel【15時】!$A$1,2,L323-1)
&amp;IFERROR(OFFSET(数出表_Excel【15時】!$A$1,3,L323-1),"")
&amp;IFERROR(OFFSET(数出表_Excel【15時】!$A$1,4,L323-1),""),"")</f>
        <v/>
      </c>
      <c r="N323" t="str">
        <f ca="1">IF(L323&lt;&gt;"",
OFFSET(数出表_Excel【15時】!$A$1,A323+3,L323-1),"")</f>
        <v/>
      </c>
      <c r="O323" t="str">
        <f ca="1">IF(L323&lt;&gt;"",
IF(AND(OFFSET(数出表_Excel【15時】!$A$1,A323+3,L323)&lt;&gt;"",OFFSET(数出表_Excel【15時】!$A$1,A323+3,L323)&lt;&gt;0),
OFFSET(数出表_Excel【15時】!$A$1,A323+3,L323),""),"")</f>
        <v/>
      </c>
    </row>
    <row r="324" spans="1:17">
      <c r="A324" t="str">
        <f t="shared" ca="1" si="5"/>
        <v/>
      </c>
      <c r="B324" t="str">
        <f t="array" aca="1" ref="B324" ca="1">IF(OR(COUNTIF(数出表_Excel【15時】!AO328,"*修正*"),COUNTIF(数出表_Excel【15時】!AO329,"*修正*")),
IF(ISEVEN(ROW()+4),INDIRECT("数出表_Excel【15時】!A"&amp;ROW()+4&amp;""),INDIRECT("数出表_Excel【15時】!A"&amp;ROW()+4-1&amp;"")),"")</f>
        <v/>
      </c>
      <c r="C324" t="str">
        <f t="array" aca="1" ref="C324" ca="1">IF(OR(COUNTIF(数出表_Excel【15時】!AO328,"*修正*"),COUNTIF(数出表_Excel【15時】!AO329,"*修正*")),
IF(ISEVEN(ROW()+4),INDIRECT("数出表_Excel【15時】!A"&amp;ROW()+4+1&amp;""),INDIRECT("数出表_Excel【15時】!A"&amp;ROW()+4&amp;"")),"")</f>
        <v/>
      </c>
      <c r="D324" s="209" t="str">
        <f t="array" aca="1" ref="D324" ca="1">IF(B324&lt;&gt;"",
IFERROR(MATCH(TRUE,ISNUMBER(INDIRECT("数出表_Excel【15時】!B"&amp;(A324+4)&amp;":ZZ"&amp;(A324+4))),0)+1,""),"")</f>
        <v/>
      </c>
      <c r="E324" t="str">
        <f ca="1">IF(D324&lt;&gt;"",
OFFSET(数出表_Excel【15時】!$A$1,2,D324-1)
&amp;IFERROR(OFFSET(数出表_Excel【15時】!$A$1,3,D324-1),"")
&amp;IFERROR(OFFSET(数出表_Excel【15時】!$A$1,4,D324-1),""),"")</f>
        <v/>
      </c>
      <c r="F324" t="str">
        <f ca="1">IF(D324&lt;&gt;"",
OFFSET(数出表_Excel【15時】!$A$1,A324+3,D324-1),"")</f>
        <v/>
      </c>
      <c r="G324" t="str">
        <f ca="1">IF(D324&lt;&gt;"",
IF(AND(OFFSET(数出表_Excel【15時】!$A$1,A324+3,D324)&lt;&gt;"",OFFSET(数出表_Excel【15時】!$A$1,A324+3,D324)&lt;&gt;0),
OFFSET(数出表_Excel【15時】!$A$1,A324+3,D324),""),"")</f>
        <v/>
      </c>
      <c r="H324" s="209" t="str">
        <f t="array" aca="1" ref="H324" ca="1">IF(B324&lt;&gt;"",
IFERROR(MATCH(TRUE,ISNUMBER(INDIRECT("数出表_Excel【15時】!"&amp;SUBSTITUTE(ADDRESS(1,D324+2,4),"1","")&amp;(A324+4)&amp;":ZZ"&amp;(A324+4))),0)+D324+1,""),"")</f>
        <v/>
      </c>
      <c r="I324" t="str">
        <f ca="1">IF(H324&lt;&gt;"",
OFFSET(数出表_Excel【15時】!$A$1,2,H324-1)
&amp;IFERROR(OFFSET(数出表_Excel【15時】!$A$1,3,H324-1),"")
&amp;IFERROR(OFFSET(数出表_Excel【15時】!$A$1,4,H324-1),""),"")</f>
        <v/>
      </c>
      <c r="J324" t="str">
        <f ca="1">IF(H324&lt;&gt;"",
OFFSET(数出表_Excel【15時】!$A$1,A324+3,H324-1),"")</f>
        <v/>
      </c>
      <c r="K324" t="str">
        <f ca="1">IF(H324&lt;&gt;"",
IF(AND(OFFSET(数出表_Excel【15時】!$A$1,A324+3,H324)&lt;&gt;"",OFFSET(数出表_Excel【15時】!$A$1,A324+3,H324)&lt;&gt;0),
OFFSET(数出表_Excel【15時】!$A$1,A324+3,H324),""),"")</f>
        <v/>
      </c>
      <c r="L324" s="209" t="str">
        <f t="array" aca="1" ref="L324" ca="1">IF(B324&lt;&gt;"",
IFERROR(MATCH(TRUE,ISNUMBER(INDIRECT("数出表_Excel【15時】!"&amp;SUBSTITUTE(ADDRESS(1,H324+2,4),"1","")&amp;(A324+4)&amp;":ZZ"&amp;(A324+4))),0)+H324+1,""),"")</f>
        <v/>
      </c>
      <c r="M324" t="str">
        <f ca="1">IF(L324&lt;&gt;"",
OFFSET(数出表_Excel【15時】!$A$1,2,L324-1)
&amp;IFERROR(OFFSET(数出表_Excel【15時】!$A$1,3,L324-1),"")
&amp;IFERROR(OFFSET(数出表_Excel【15時】!$A$1,4,L324-1),""),"")</f>
        <v/>
      </c>
      <c r="N324" t="str">
        <f ca="1">IF(L324&lt;&gt;"",
OFFSET(数出表_Excel【15時】!$A$1,A324+3,L324-1),"")</f>
        <v/>
      </c>
      <c r="O324" t="str">
        <f ca="1">IF(L324&lt;&gt;"",
IF(AND(OFFSET(数出表_Excel【15時】!$A$1,A324+3,L324)&lt;&gt;"",OFFSET(数出表_Excel【15時】!$A$1,A324+3,L324)&lt;&gt;0),
OFFSET(数出表_Excel【15時】!$A$1,A324+3,L324),""),"")</f>
        <v/>
      </c>
      <c r="Q324" t="str">
        <f ca="1">IF(C324&lt;&gt;"",
IF(E324&lt;&gt;"",1,0)+IF(I324&lt;&gt;"",1,0)+IF(M324&lt;&gt;"",1,0),"")</f>
        <v/>
      </c>
    </row>
    <row r="325" spans="1:17">
      <c r="A325" t="str">
        <f t="shared" ca="1" si="5"/>
        <v/>
      </c>
      <c r="B325" t="str">
        <f t="array" aca="1" ref="B325" ca="1">IF(OR(COUNTIF(数出表_Excel【15時】!AO328,"*修正*"),COUNTIF(数出表_Excel【15時】!AO329,"*修正*")),
IF(ISEVEN(ROW()+4),INDIRECT("数出表_Excel【15時】!A"&amp;ROW()+4&amp;""),INDIRECT("数出表_Excel【15時】!A"&amp;ROW()+4-1&amp;"")),"")</f>
        <v/>
      </c>
      <c r="C325" t="str">
        <f t="array" aca="1" ref="C325" ca="1">IF(OR(COUNTIF(数出表_Excel【15時】!AO328,"*修正*"),COUNTIF(数出表_Excel【15時】!AO329,"*修正*")),
IF(ISEVEN(ROW()+4),INDIRECT("数出表_Excel【15時】!A"&amp;ROW()+4+1&amp;""),INDIRECT("数出表_Excel【15時】!A"&amp;ROW()+4&amp;"")),"")</f>
        <v/>
      </c>
      <c r="D325" s="209" t="str">
        <f t="array" aca="1" ref="D325" ca="1">IF(B325&lt;&gt;"",
IFERROR(MATCH(TRUE,ISNUMBER(INDIRECT("数出表_Excel【15時】!B"&amp;(A325+4)&amp;":ZZ"&amp;(A325+4))),0)+1,""),"")</f>
        <v/>
      </c>
      <c r="E325" t="str">
        <f ca="1">IF(D325&lt;&gt;"",
OFFSET(数出表_Excel【15時】!$A$1,2,D325-1)
&amp;IFERROR(OFFSET(数出表_Excel【15時】!$A$1,3,D325-1),"")
&amp;IFERROR(OFFSET(数出表_Excel【15時】!$A$1,4,D325-1),""),"")</f>
        <v/>
      </c>
      <c r="F325" t="str">
        <f ca="1">IF(D325&lt;&gt;"",
OFFSET(数出表_Excel【15時】!$A$1,A325+3,D325-1),"")</f>
        <v/>
      </c>
      <c r="G325" t="str">
        <f ca="1">IF(D325&lt;&gt;"",
IF(AND(OFFSET(数出表_Excel【15時】!$A$1,A325+3,D325)&lt;&gt;"",OFFSET(数出表_Excel【15時】!$A$1,A325+3,D325)&lt;&gt;0),
OFFSET(数出表_Excel【15時】!$A$1,A325+3,D325),""),"")</f>
        <v/>
      </c>
      <c r="H325" s="209" t="str">
        <f t="array" aca="1" ref="H325" ca="1">IF(B325&lt;&gt;"",
IFERROR(MATCH(TRUE,ISNUMBER(INDIRECT("数出表_Excel【15時】!"&amp;SUBSTITUTE(ADDRESS(1,D325+2,4),"1","")&amp;(A325+4)&amp;":ZZ"&amp;(A325+4))),0)+D325+1,""),"")</f>
        <v/>
      </c>
      <c r="I325" t="str">
        <f ca="1">IF(H325&lt;&gt;"",
OFFSET(数出表_Excel【15時】!$A$1,2,H325-1)
&amp;IFERROR(OFFSET(数出表_Excel【15時】!$A$1,3,H325-1),"")
&amp;IFERROR(OFFSET(数出表_Excel【15時】!$A$1,4,H325-1),""),"")</f>
        <v/>
      </c>
      <c r="J325" t="str">
        <f ca="1">IF(H325&lt;&gt;"",
OFFSET(数出表_Excel【15時】!$A$1,A325+3,H325-1),"")</f>
        <v/>
      </c>
      <c r="K325" t="str">
        <f ca="1">IF(H325&lt;&gt;"",
IF(AND(OFFSET(数出表_Excel【15時】!$A$1,A325+3,H325)&lt;&gt;"",OFFSET(数出表_Excel【15時】!$A$1,A325+3,H325)&lt;&gt;0),
OFFSET(数出表_Excel【15時】!$A$1,A325+3,H325),""),"")</f>
        <v/>
      </c>
      <c r="L325" s="209" t="str">
        <f t="array" aca="1" ref="L325" ca="1">IF(B325&lt;&gt;"",
IFERROR(MATCH(TRUE,ISNUMBER(INDIRECT("数出表_Excel【15時】!"&amp;SUBSTITUTE(ADDRESS(1,H325+2,4),"1","")&amp;(A325+4)&amp;":ZZ"&amp;(A325+4))),0)+H325+1,""),"")</f>
        <v/>
      </c>
      <c r="M325" t="str">
        <f ca="1">IF(L325&lt;&gt;"",
OFFSET(数出表_Excel【15時】!$A$1,2,L325-1)
&amp;IFERROR(OFFSET(数出表_Excel【15時】!$A$1,3,L325-1),"")
&amp;IFERROR(OFFSET(数出表_Excel【15時】!$A$1,4,L325-1),""),"")</f>
        <v/>
      </c>
      <c r="N325" t="str">
        <f ca="1">IF(L325&lt;&gt;"",
OFFSET(数出表_Excel【15時】!$A$1,A325+3,L325-1),"")</f>
        <v/>
      </c>
      <c r="O325" t="str">
        <f ca="1">IF(L325&lt;&gt;"",
IF(AND(OFFSET(数出表_Excel【15時】!$A$1,A325+3,L325)&lt;&gt;"",OFFSET(数出表_Excel【15時】!$A$1,A325+3,L325)&lt;&gt;0),
OFFSET(数出表_Excel【15時】!$A$1,A325+3,L325),""),"")</f>
        <v/>
      </c>
    </row>
    <row r="326" spans="1:17">
      <c r="A326" t="str">
        <f t="shared" ca="1" si="5"/>
        <v/>
      </c>
      <c r="B326" t="str">
        <f t="array" aca="1" ref="B326" ca="1">IF(OR(COUNTIF(数出表_Excel【15時】!AO330,"*修正*"),COUNTIF(数出表_Excel【15時】!AO331,"*修正*")),
IF(ISEVEN(ROW()+4),INDIRECT("数出表_Excel【15時】!A"&amp;ROW()+4&amp;""),INDIRECT("数出表_Excel【15時】!A"&amp;ROW()+4-1&amp;"")),"")</f>
        <v/>
      </c>
      <c r="C326" t="str">
        <f t="array" aca="1" ref="C326" ca="1">IF(OR(COUNTIF(数出表_Excel【15時】!AO330,"*修正*"),COUNTIF(数出表_Excel【15時】!AO331,"*修正*")),
IF(ISEVEN(ROW()+4),INDIRECT("数出表_Excel【15時】!A"&amp;ROW()+4+1&amp;""),INDIRECT("数出表_Excel【15時】!A"&amp;ROW()+4&amp;"")),"")</f>
        <v/>
      </c>
      <c r="D326" s="209" t="str">
        <f t="array" aca="1" ref="D326" ca="1">IF(B326&lt;&gt;"",
IFERROR(MATCH(TRUE,ISNUMBER(INDIRECT("数出表_Excel【15時】!B"&amp;(A326+4)&amp;":ZZ"&amp;(A326+4))),0)+1,""),"")</f>
        <v/>
      </c>
      <c r="E326" t="str">
        <f ca="1">IF(D326&lt;&gt;"",
OFFSET(数出表_Excel【15時】!$A$1,2,D326-1)
&amp;IFERROR(OFFSET(数出表_Excel【15時】!$A$1,3,D326-1),"")
&amp;IFERROR(OFFSET(数出表_Excel【15時】!$A$1,4,D326-1),""),"")</f>
        <v/>
      </c>
      <c r="F326" t="str">
        <f ca="1">IF(D326&lt;&gt;"",
OFFSET(数出表_Excel【15時】!$A$1,A326+3,D326-1),"")</f>
        <v/>
      </c>
      <c r="G326" t="str">
        <f ca="1">IF(D326&lt;&gt;"",
IF(AND(OFFSET(数出表_Excel【15時】!$A$1,A326+3,D326)&lt;&gt;"",OFFSET(数出表_Excel【15時】!$A$1,A326+3,D326)&lt;&gt;0),
OFFSET(数出表_Excel【15時】!$A$1,A326+3,D326),""),"")</f>
        <v/>
      </c>
      <c r="H326" s="209" t="str">
        <f t="array" aca="1" ref="H326" ca="1">IF(B326&lt;&gt;"",
IFERROR(MATCH(TRUE,ISNUMBER(INDIRECT("数出表_Excel【15時】!"&amp;SUBSTITUTE(ADDRESS(1,D326+2,4),"1","")&amp;(A326+4)&amp;":ZZ"&amp;(A326+4))),0)+D326+1,""),"")</f>
        <v/>
      </c>
      <c r="I326" t="str">
        <f ca="1">IF(H326&lt;&gt;"",
OFFSET(数出表_Excel【15時】!$A$1,2,H326-1)
&amp;IFERROR(OFFSET(数出表_Excel【15時】!$A$1,3,H326-1),"")
&amp;IFERROR(OFFSET(数出表_Excel【15時】!$A$1,4,H326-1),""),"")</f>
        <v/>
      </c>
      <c r="J326" t="str">
        <f ca="1">IF(H326&lt;&gt;"",
OFFSET(数出表_Excel【15時】!$A$1,A326+3,H326-1),"")</f>
        <v/>
      </c>
      <c r="K326" t="str">
        <f ca="1">IF(H326&lt;&gt;"",
IF(AND(OFFSET(数出表_Excel【15時】!$A$1,A326+3,H326)&lt;&gt;"",OFFSET(数出表_Excel【15時】!$A$1,A326+3,H326)&lt;&gt;0),
OFFSET(数出表_Excel【15時】!$A$1,A326+3,H326),""),"")</f>
        <v/>
      </c>
      <c r="L326" s="209" t="str">
        <f t="array" aca="1" ref="L326" ca="1">IF(B326&lt;&gt;"",
IFERROR(MATCH(TRUE,ISNUMBER(INDIRECT("数出表_Excel【15時】!"&amp;SUBSTITUTE(ADDRESS(1,H326+2,4),"1","")&amp;(A326+4)&amp;":ZZ"&amp;(A326+4))),0)+H326+1,""),"")</f>
        <v/>
      </c>
      <c r="M326" t="str">
        <f ca="1">IF(L326&lt;&gt;"",
OFFSET(数出表_Excel【15時】!$A$1,2,L326-1)
&amp;IFERROR(OFFSET(数出表_Excel【15時】!$A$1,3,L326-1),"")
&amp;IFERROR(OFFSET(数出表_Excel【15時】!$A$1,4,L326-1),""),"")</f>
        <v/>
      </c>
      <c r="N326" t="str">
        <f ca="1">IF(L326&lt;&gt;"",
OFFSET(数出表_Excel【15時】!$A$1,A326+3,L326-1),"")</f>
        <v/>
      </c>
      <c r="O326" t="str">
        <f ca="1">IF(L326&lt;&gt;"",
IF(AND(OFFSET(数出表_Excel【15時】!$A$1,A326+3,L326)&lt;&gt;"",OFFSET(数出表_Excel【15時】!$A$1,A326+3,L326)&lt;&gt;0),
OFFSET(数出表_Excel【15時】!$A$1,A326+3,L326),""),"")</f>
        <v/>
      </c>
      <c r="Q326" t="str">
        <f ca="1">IF(C326&lt;&gt;"",
IF(E326&lt;&gt;"",1,0)+IF(I326&lt;&gt;"",1,0)+IF(M326&lt;&gt;"",1,0),"")</f>
        <v/>
      </c>
    </row>
    <row r="327" spans="1:17">
      <c r="A327" t="str">
        <f t="shared" ca="1" si="5"/>
        <v/>
      </c>
      <c r="B327" t="str">
        <f t="array" aca="1" ref="B327" ca="1">IF(OR(COUNTIF(数出表_Excel【15時】!AO330,"*修正*"),COUNTIF(数出表_Excel【15時】!AO331,"*修正*")),
IF(ISEVEN(ROW()+4),INDIRECT("数出表_Excel【15時】!A"&amp;ROW()+4&amp;""),INDIRECT("数出表_Excel【15時】!A"&amp;ROW()+4-1&amp;"")),"")</f>
        <v/>
      </c>
      <c r="C327" t="str">
        <f t="array" aca="1" ref="C327" ca="1">IF(OR(COUNTIF(数出表_Excel【15時】!AO330,"*修正*"),COUNTIF(数出表_Excel【15時】!AO331,"*修正*")),
IF(ISEVEN(ROW()+4),INDIRECT("数出表_Excel【15時】!A"&amp;ROW()+4+1&amp;""),INDIRECT("数出表_Excel【15時】!A"&amp;ROW()+4&amp;"")),"")</f>
        <v/>
      </c>
      <c r="D327" s="209" t="str">
        <f t="array" aca="1" ref="D327" ca="1">IF(B327&lt;&gt;"",
IFERROR(MATCH(TRUE,ISNUMBER(INDIRECT("数出表_Excel【15時】!B"&amp;(A327+4)&amp;":ZZ"&amp;(A327+4))),0)+1,""),"")</f>
        <v/>
      </c>
      <c r="E327" t="str">
        <f ca="1">IF(D327&lt;&gt;"",
OFFSET(数出表_Excel【15時】!$A$1,2,D327-1)
&amp;IFERROR(OFFSET(数出表_Excel【15時】!$A$1,3,D327-1),"")
&amp;IFERROR(OFFSET(数出表_Excel【15時】!$A$1,4,D327-1),""),"")</f>
        <v/>
      </c>
      <c r="F327" t="str">
        <f ca="1">IF(D327&lt;&gt;"",
OFFSET(数出表_Excel【15時】!$A$1,A327+3,D327-1),"")</f>
        <v/>
      </c>
      <c r="G327" t="str">
        <f ca="1">IF(D327&lt;&gt;"",
IF(AND(OFFSET(数出表_Excel【15時】!$A$1,A327+3,D327)&lt;&gt;"",OFFSET(数出表_Excel【15時】!$A$1,A327+3,D327)&lt;&gt;0),
OFFSET(数出表_Excel【15時】!$A$1,A327+3,D327),""),"")</f>
        <v/>
      </c>
      <c r="H327" s="209" t="str">
        <f t="array" aca="1" ref="H327" ca="1">IF(B327&lt;&gt;"",
IFERROR(MATCH(TRUE,ISNUMBER(INDIRECT("数出表_Excel【15時】!"&amp;SUBSTITUTE(ADDRESS(1,D327+2,4),"1","")&amp;(A327+4)&amp;":ZZ"&amp;(A327+4))),0)+D327+1,""),"")</f>
        <v/>
      </c>
      <c r="I327" t="str">
        <f ca="1">IF(H327&lt;&gt;"",
OFFSET(数出表_Excel【15時】!$A$1,2,H327-1)
&amp;IFERROR(OFFSET(数出表_Excel【15時】!$A$1,3,H327-1),"")
&amp;IFERROR(OFFSET(数出表_Excel【15時】!$A$1,4,H327-1),""),"")</f>
        <v/>
      </c>
      <c r="J327" t="str">
        <f ca="1">IF(H327&lt;&gt;"",
OFFSET(数出表_Excel【15時】!$A$1,A327+3,H327-1),"")</f>
        <v/>
      </c>
      <c r="K327" t="str">
        <f ca="1">IF(H327&lt;&gt;"",
IF(AND(OFFSET(数出表_Excel【15時】!$A$1,A327+3,H327)&lt;&gt;"",OFFSET(数出表_Excel【15時】!$A$1,A327+3,H327)&lt;&gt;0),
OFFSET(数出表_Excel【15時】!$A$1,A327+3,H327),""),"")</f>
        <v/>
      </c>
      <c r="L327" s="209" t="str">
        <f t="array" aca="1" ref="L327" ca="1">IF(B327&lt;&gt;"",
IFERROR(MATCH(TRUE,ISNUMBER(INDIRECT("数出表_Excel【15時】!"&amp;SUBSTITUTE(ADDRESS(1,H327+2,4),"1","")&amp;(A327+4)&amp;":ZZ"&amp;(A327+4))),0)+H327+1,""),"")</f>
        <v/>
      </c>
      <c r="M327" t="str">
        <f ca="1">IF(L327&lt;&gt;"",
OFFSET(数出表_Excel【15時】!$A$1,2,L327-1)
&amp;IFERROR(OFFSET(数出表_Excel【15時】!$A$1,3,L327-1),"")
&amp;IFERROR(OFFSET(数出表_Excel【15時】!$A$1,4,L327-1),""),"")</f>
        <v/>
      </c>
      <c r="N327" t="str">
        <f ca="1">IF(L327&lt;&gt;"",
OFFSET(数出表_Excel【15時】!$A$1,A327+3,L327-1),"")</f>
        <v/>
      </c>
      <c r="O327" t="str">
        <f ca="1">IF(L327&lt;&gt;"",
IF(AND(OFFSET(数出表_Excel【15時】!$A$1,A327+3,L327)&lt;&gt;"",OFFSET(数出表_Excel【15時】!$A$1,A327+3,L327)&lt;&gt;0),
OFFSET(数出表_Excel【15時】!$A$1,A327+3,L327),""),"")</f>
        <v/>
      </c>
    </row>
    <row r="328" spans="1:17">
      <c r="A328" t="str">
        <f t="shared" ca="1" si="5"/>
        <v/>
      </c>
      <c r="B328" t="str">
        <f t="array" aca="1" ref="B328" ca="1">IF(OR(COUNTIF(数出表_Excel【15時】!AO332,"*修正*"),COUNTIF(数出表_Excel【15時】!AO333,"*修正*")),
IF(ISEVEN(ROW()+4),INDIRECT("数出表_Excel【15時】!A"&amp;ROW()+4&amp;""),INDIRECT("数出表_Excel【15時】!A"&amp;ROW()+4-1&amp;"")),"")</f>
        <v/>
      </c>
      <c r="C328" t="str">
        <f t="array" aca="1" ref="C328" ca="1">IF(OR(COUNTIF(数出表_Excel【15時】!AO332,"*修正*"),COUNTIF(数出表_Excel【15時】!AO333,"*修正*")),
IF(ISEVEN(ROW()+4),INDIRECT("数出表_Excel【15時】!A"&amp;ROW()+4+1&amp;""),INDIRECT("数出表_Excel【15時】!A"&amp;ROW()+4&amp;"")),"")</f>
        <v/>
      </c>
      <c r="D328" s="209" t="str">
        <f t="array" aca="1" ref="D328" ca="1">IF(B328&lt;&gt;"",
IFERROR(MATCH(TRUE,ISNUMBER(INDIRECT("数出表_Excel【15時】!B"&amp;(A328+4)&amp;":ZZ"&amp;(A328+4))),0)+1,""),"")</f>
        <v/>
      </c>
      <c r="E328" t="str">
        <f ca="1">IF(D328&lt;&gt;"",
OFFSET(数出表_Excel【15時】!$A$1,2,D328-1)
&amp;IFERROR(OFFSET(数出表_Excel【15時】!$A$1,3,D328-1),"")
&amp;IFERROR(OFFSET(数出表_Excel【15時】!$A$1,4,D328-1),""),"")</f>
        <v/>
      </c>
      <c r="F328" t="str">
        <f ca="1">IF(D328&lt;&gt;"",
OFFSET(数出表_Excel【15時】!$A$1,A328+3,D328-1),"")</f>
        <v/>
      </c>
      <c r="G328" t="str">
        <f ca="1">IF(D328&lt;&gt;"",
IF(AND(OFFSET(数出表_Excel【15時】!$A$1,A328+3,D328)&lt;&gt;"",OFFSET(数出表_Excel【15時】!$A$1,A328+3,D328)&lt;&gt;0),
OFFSET(数出表_Excel【15時】!$A$1,A328+3,D328),""),"")</f>
        <v/>
      </c>
      <c r="H328" s="209" t="str">
        <f t="array" aca="1" ref="H328" ca="1">IF(B328&lt;&gt;"",
IFERROR(MATCH(TRUE,ISNUMBER(INDIRECT("数出表_Excel【15時】!"&amp;SUBSTITUTE(ADDRESS(1,D328+2,4),"1","")&amp;(A328+4)&amp;":ZZ"&amp;(A328+4))),0)+D328+1,""),"")</f>
        <v/>
      </c>
      <c r="I328" t="str">
        <f ca="1">IF(H328&lt;&gt;"",
OFFSET(数出表_Excel【15時】!$A$1,2,H328-1)
&amp;IFERROR(OFFSET(数出表_Excel【15時】!$A$1,3,H328-1),"")
&amp;IFERROR(OFFSET(数出表_Excel【15時】!$A$1,4,H328-1),""),"")</f>
        <v/>
      </c>
      <c r="J328" t="str">
        <f ca="1">IF(H328&lt;&gt;"",
OFFSET(数出表_Excel【15時】!$A$1,A328+3,H328-1),"")</f>
        <v/>
      </c>
      <c r="K328" t="str">
        <f ca="1">IF(H328&lt;&gt;"",
IF(AND(OFFSET(数出表_Excel【15時】!$A$1,A328+3,H328)&lt;&gt;"",OFFSET(数出表_Excel【15時】!$A$1,A328+3,H328)&lt;&gt;0),
OFFSET(数出表_Excel【15時】!$A$1,A328+3,H328),""),"")</f>
        <v/>
      </c>
      <c r="L328" s="209" t="str">
        <f t="array" aca="1" ref="L328" ca="1">IF(B328&lt;&gt;"",
IFERROR(MATCH(TRUE,ISNUMBER(INDIRECT("数出表_Excel【15時】!"&amp;SUBSTITUTE(ADDRESS(1,H328+2,4),"1","")&amp;(A328+4)&amp;":ZZ"&amp;(A328+4))),0)+H328+1,""),"")</f>
        <v/>
      </c>
      <c r="M328" t="str">
        <f ca="1">IF(L328&lt;&gt;"",
OFFSET(数出表_Excel【15時】!$A$1,2,L328-1)
&amp;IFERROR(OFFSET(数出表_Excel【15時】!$A$1,3,L328-1),"")
&amp;IFERROR(OFFSET(数出表_Excel【15時】!$A$1,4,L328-1),""),"")</f>
        <v/>
      </c>
      <c r="N328" t="str">
        <f ca="1">IF(L328&lt;&gt;"",
OFFSET(数出表_Excel【15時】!$A$1,A328+3,L328-1),"")</f>
        <v/>
      </c>
      <c r="O328" t="str">
        <f ca="1">IF(L328&lt;&gt;"",
IF(AND(OFFSET(数出表_Excel【15時】!$A$1,A328+3,L328)&lt;&gt;"",OFFSET(数出表_Excel【15時】!$A$1,A328+3,L328)&lt;&gt;0),
OFFSET(数出表_Excel【15時】!$A$1,A328+3,L328),""),"")</f>
        <v/>
      </c>
      <c r="Q328" t="str">
        <f ca="1">IF(C328&lt;&gt;"",
IF(E328&lt;&gt;"",1,0)+IF(I328&lt;&gt;"",1,0)+IF(M328&lt;&gt;"",1,0),"")</f>
        <v/>
      </c>
    </row>
    <row r="329" spans="1:17">
      <c r="A329" t="str">
        <f t="shared" ca="1" si="5"/>
        <v/>
      </c>
      <c r="B329" t="str">
        <f t="array" aca="1" ref="B329" ca="1">IF(OR(COUNTIF(数出表_Excel【15時】!AO332,"*修正*"),COUNTIF(数出表_Excel【15時】!AO333,"*修正*")),
IF(ISEVEN(ROW()+4),INDIRECT("数出表_Excel【15時】!A"&amp;ROW()+4&amp;""),INDIRECT("数出表_Excel【15時】!A"&amp;ROW()+4-1&amp;"")),"")</f>
        <v/>
      </c>
      <c r="C329" t="str">
        <f t="array" aca="1" ref="C329" ca="1">IF(OR(COUNTIF(数出表_Excel【15時】!AO332,"*修正*"),COUNTIF(数出表_Excel【15時】!AO333,"*修正*")),
IF(ISEVEN(ROW()+4),INDIRECT("数出表_Excel【15時】!A"&amp;ROW()+4+1&amp;""),INDIRECT("数出表_Excel【15時】!A"&amp;ROW()+4&amp;"")),"")</f>
        <v/>
      </c>
      <c r="D329" s="209" t="str">
        <f t="array" aca="1" ref="D329" ca="1">IF(B329&lt;&gt;"",
IFERROR(MATCH(TRUE,ISNUMBER(INDIRECT("数出表_Excel【15時】!B"&amp;(A329+4)&amp;":ZZ"&amp;(A329+4))),0)+1,""),"")</f>
        <v/>
      </c>
      <c r="E329" t="str">
        <f ca="1">IF(D329&lt;&gt;"",
OFFSET(数出表_Excel【15時】!$A$1,2,D329-1)
&amp;IFERROR(OFFSET(数出表_Excel【15時】!$A$1,3,D329-1),"")
&amp;IFERROR(OFFSET(数出表_Excel【15時】!$A$1,4,D329-1),""),"")</f>
        <v/>
      </c>
      <c r="F329" t="str">
        <f ca="1">IF(D329&lt;&gt;"",
OFFSET(数出表_Excel【15時】!$A$1,A329+3,D329-1),"")</f>
        <v/>
      </c>
      <c r="G329" t="str">
        <f ca="1">IF(D329&lt;&gt;"",
IF(AND(OFFSET(数出表_Excel【15時】!$A$1,A329+3,D329)&lt;&gt;"",OFFSET(数出表_Excel【15時】!$A$1,A329+3,D329)&lt;&gt;0),
OFFSET(数出表_Excel【15時】!$A$1,A329+3,D329),""),"")</f>
        <v/>
      </c>
      <c r="H329" s="209" t="str">
        <f t="array" aca="1" ref="H329" ca="1">IF(B329&lt;&gt;"",
IFERROR(MATCH(TRUE,ISNUMBER(INDIRECT("数出表_Excel【15時】!"&amp;SUBSTITUTE(ADDRESS(1,D329+2,4),"1","")&amp;(A329+4)&amp;":ZZ"&amp;(A329+4))),0)+D329+1,""),"")</f>
        <v/>
      </c>
      <c r="I329" t="str">
        <f ca="1">IF(H329&lt;&gt;"",
OFFSET(数出表_Excel【15時】!$A$1,2,H329-1)
&amp;IFERROR(OFFSET(数出表_Excel【15時】!$A$1,3,H329-1),"")
&amp;IFERROR(OFFSET(数出表_Excel【15時】!$A$1,4,H329-1),""),"")</f>
        <v/>
      </c>
      <c r="J329" t="str">
        <f ca="1">IF(H329&lt;&gt;"",
OFFSET(数出表_Excel【15時】!$A$1,A329+3,H329-1),"")</f>
        <v/>
      </c>
      <c r="K329" t="str">
        <f ca="1">IF(H329&lt;&gt;"",
IF(AND(OFFSET(数出表_Excel【15時】!$A$1,A329+3,H329)&lt;&gt;"",OFFSET(数出表_Excel【15時】!$A$1,A329+3,H329)&lt;&gt;0),
OFFSET(数出表_Excel【15時】!$A$1,A329+3,H329),""),"")</f>
        <v/>
      </c>
      <c r="L329" s="209" t="str">
        <f t="array" aca="1" ref="L329" ca="1">IF(B329&lt;&gt;"",
IFERROR(MATCH(TRUE,ISNUMBER(INDIRECT("数出表_Excel【15時】!"&amp;SUBSTITUTE(ADDRESS(1,H329+2,4),"1","")&amp;(A329+4)&amp;":ZZ"&amp;(A329+4))),0)+H329+1,""),"")</f>
        <v/>
      </c>
      <c r="M329" t="str">
        <f ca="1">IF(L329&lt;&gt;"",
OFFSET(数出表_Excel【15時】!$A$1,2,L329-1)
&amp;IFERROR(OFFSET(数出表_Excel【15時】!$A$1,3,L329-1),"")
&amp;IFERROR(OFFSET(数出表_Excel【15時】!$A$1,4,L329-1),""),"")</f>
        <v/>
      </c>
      <c r="N329" t="str">
        <f ca="1">IF(L329&lt;&gt;"",
OFFSET(数出表_Excel【15時】!$A$1,A329+3,L329-1),"")</f>
        <v/>
      </c>
      <c r="O329" t="str">
        <f ca="1">IF(L329&lt;&gt;"",
IF(AND(OFFSET(数出表_Excel【15時】!$A$1,A329+3,L329)&lt;&gt;"",OFFSET(数出表_Excel【15時】!$A$1,A329+3,L329)&lt;&gt;0),
OFFSET(数出表_Excel【15時】!$A$1,A329+3,L329),""),"")</f>
        <v/>
      </c>
    </row>
    <row r="330" spans="1:17">
      <c r="A330" t="str">
        <f t="shared" ca="1" si="5"/>
        <v/>
      </c>
      <c r="B330" t="str">
        <f t="array" aca="1" ref="B330" ca="1">IF(OR(COUNTIF(数出表_Excel【15時】!AO334,"*修正*"),COUNTIF(数出表_Excel【15時】!AO335,"*修正*")),
IF(ISEVEN(ROW()+4),INDIRECT("数出表_Excel【15時】!A"&amp;ROW()+4&amp;""),INDIRECT("数出表_Excel【15時】!A"&amp;ROW()+4-1&amp;"")),"")</f>
        <v/>
      </c>
      <c r="C330" t="str">
        <f t="array" aca="1" ref="C330" ca="1">IF(OR(COUNTIF(数出表_Excel【15時】!AO334,"*修正*"),COUNTIF(数出表_Excel【15時】!AO335,"*修正*")),
IF(ISEVEN(ROW()+4),INDIRECT("数出表_Excel【15時】!A"&amp;ROW()+4+1&amp;""),INDIRECT("数出表_Excel【15時】!A"&amp;ROW()+4&amp;"")),"")</f>
        <v/>
      </c>
      <c r="D330" s="209" t="str">
        <f t="array" aca="1" ref="D330" ca="1">IF(B330&lt;&gt;"",
IFERROR(MATCH(TRUE,ISNUMBER(INDIRECT("数出表_Excel【15時】!B"&amp;(A330+4)&amp;":ZZ"&amp;(A330+4))),0)+1,""),"")</f>
        <v/>
      </c>
      <c r="E330" t="str">
        <f ca="1">IF(D330&lt;&gt;"",
OFFSET(数出表_Excel【15時】!$A$1,2,D330-1)
&amp;IFERROR(OFFSET(数出表_Excel【15時】!$A$1,3,D330-1),"")
&amp;IFERROR(OFFSET(数出表_Excel【15時】!$A$1,4,D330-1),""),"")</f>
        <v/>
      </c>
      <c r="F330" t="str">
        <f ca="1">IF(D330&lt;&gt;"",
OFFSET(数出表_Excel【15時】!$A$1,A330+3,D330-1),"")</f>
        <v/>
      </c>
      <c r="G330" t="str">
        <f ca="1">IF(D330&lt;&gt;"",
IF(AND(OFFSET(数出表_Excel【15時】!$A$1,A330+3,D330)&lt;&gt;"",OFFSET(数出表_Excel【15時】!$A$1,A330+3,D330)&lt;&gt;0),
OFFSET(数出表_Excel【15時】!$A$1,A330+3,D330),""),"")</f>
        <v/>
      </c>
      <c r="H330" s="209" t="str">
        <f t="array" aca="1" ref="H330" ca="1">IF(B330&lt;&gt;"",
IFERROR(MATCH(TRUE,ISNUMBER(INDIRECT("数出表_Excel【15時】!"&amp;SUBSTITUTE(ADDRESS(1,D330+2,4),"1","")&amp;(A330+4)&amp;":ZZ"&amp;(A330+4))),0)+D330+1,""),"")</f>
        <v/>
      </c>
      <c r="I330" t="str">
        <f ca="1">IF(H330&lt;&gt;"",
OFFSET(数出表_Excel【15時】!$A$1,2,H330-1)
&amp;IFERROR(OFFSET(数出表_Excel【15時】!$A$1,3,H330-1),"")
&amp;IFERROR(OFFSET(数出表_Excel【15時】!$A$1,4,H330-1),""),"")</f>
        <v/>
      </c>
      <c r="J330" t="str">
        <f ca="1">IF(H330&lt;&gt;"",
OFFSET(数出表_Excel【15時】!$A$1,A330+3,H330-1),"")</f>
        <v/>
      </c>
      <c r="K330" t="str">
        <f ca="1">IF(H330&lt;&gt;"",
IF(AND(OFFSET(数出表_Excel【15時】!$A$1,A330+3,H330)&lt;&gt;"",OFFSET(数出表_Excel【15時】!$A$1,A330+3,H330)&lt;&gt;0),
OFFSET(数出表_Excel【15時】!$A$1,A330+3,H330),""),"")</f>
        <v/>
      </c>
      <c r="L330" s="209" t="str">
        <f t="array" aca="1" ref="L330" ca="1">IF(B330&lt;&gt;"",
IFERROR(MATCH(TRUE,ISNUMBER(INDIRECT("数出表_Excel【15時】!"&amp;SUBSTITUTE(ADDRESS(1,H330+2,4),"1","")&amp;(A330+4)&amp;":ZZ"&amp;(A330+4))),0)+H330+1,""),"")</f>
        <v/>
      </c>
      <c r="M330" t="str">
        <f ca="1">IF(L330&lt;&gt;"",
OFFSET(数出表_Excel【15時】!$A$1,2,L330-1)
&amp;IFERROR(OFFSET(数出表_Excel【15時】!$A$1,3,L330-1),"")
&amp;IFERROR(OFFSET(数出表_Excel【15時】!$A$1,4,L330-1),""),"")</f>
        <v/>
      </c>
      <c r="N330" t="str">
        <f ca="1">IF(L330&lt;&gt;"",
OFFSET(数出表_Excel【15時】!$A$1,A330+3,L330-1),"")</f>
        <v/>
      </c>
      <c r="O330" t="str">
        <f ca="1">IF(L330&lt;&gt;"",
IF(AND(OFFSET(数出表_Excel【15時】!$A$1,A330+3,L330)&lt;&gt;"",OFFSET(数出表_Excel【15時】!$A$1,A330+3,L330)&lt;&gt;0),
OFFSET(数出表_Excel【15時】!$A$1,A330+3,L330),""),"")</f>
        <v/>
      </c>
      <c r="Q330" t="str">
        <f ca="1">IF(C330&lt;&gt;"",
IF(E330&lt;&gt;"",1,0)+IF(I330&lt;&gt;"",1,0)+IF(M330&lt;&gt;"",1,0),"")</f>
        <v/>
      </c>
    </row>
    <row r="331" spans="1:17">
      <c r="A331" t="str">
        <f t="shared" ca="1" si="5"/>
        <v/>
      </c>
      <c r="B331" t="str">
        <f t="array" aca="1" ref="B331" ca="1">IF(OR(COUNTIF(数出表_Excel【15時】!AO334,"*修正*"),COUNTIF(数出表_Excel【15時】!AO335,"*修正*")),
IF(ISEVEN(ROW()+4),INDIRECT("数出表_Excel【15時】!A"&amp;ROW()+4&amp;""),INDIRECT("数出表_Excel【15時】!A"&amp;ROW()+4-1&amp;"")),"")</f>
        <v/>
      </c>
      <c r="C331" t="str">
        <f t="array" aca="1" ref="C331" ca="1">IF(OR(COUNTIF(数出表_Excel【15時】!AO334,"*修正*"),COUNTIF(数出表_Excel【15時】!AO335,"*修正*")),
IF(ISEVEN(ROW()+4),INDIRECT("数出表_Excel【15時】!A"&amp;ROW()+4+1&amp;""),INDIRECT("数出表_Excel【15時】!A"&amp;ROW()+4&amp;"")),"")</f>
        <v/>
      </c>
      <c r="D331" s="209" t="str">
        <f t="array" aca="1" ref="D331" ca="1">IF(B331&lt;&gt;"",
IFERROR(MATCH(TRUE,ISNUMBER(INDIRECT("数出表_Excel【15時】!B"&amp;(A331+4)&amp;":ZZ"&amp;(A331+4))),0)+1,""),"")</f>
        <v/>
      </c>
      <c r="E331" t="str">
        <f ca="1">IF(D331&lt;&gt;"",
OFFSET(数出表_Excel【15時】!$A$1,2,D331-1)
&amp;IFERROR(OFFSET(数出表_Excel【15時】!$A$1,3,D331-1),"")
&amp;IFERROR(OFFSET(数出表_Excel【15時】!$A$1,4,D331-1),""),"")</f>
        <v/>
      </c>
      <c r="F331" t="str">
        <f ca="1">IF(D331&lt;&gt;"",
OFFSET(数出表_Excel【15時】!$A$1,A331+3,D331-1),"")</f>
        <v/>
      </c>
      <c r="G331" t="str">
        <f ca="1">IF(D331&lt;&gt;"",
IF(AND(OFFSET(数出表_Excel【15時】!$A$1,A331+3,D331)&lt;&gt;"",OFFSET(数出表_Excel【15時】!$A$1,A331+3,D331)&lt;&gt;0),
OFFSET(数出表_Excel【15時】!$A$1,A331+3,D331),""),"")</f>
        <v/>
      </c>
      <c r="H331" s="209" t="str">
        <f t="array" aca="1" ref="H331" ca="1">IF(B331&lt;&gt;"",
IFERROR(MATCH(TRUE,ISNUMBER(INDIRECT("数出表_Excel【15時】!"&amp;SUBSTITUTE(ADDRESS(1,D331+2,4),"1","")&amp;(A331+4)&amp;":ZZ"&amp;(A331+4))),0)+D331+1,""),"")</f>
        <v/>
      </c>
      <c r="I331" t="str">
        <f ca="1">IF(H331&lt;&gt;"",
OFFSET(数出表_Excel【15時】!$A$1,2,H331-1)
&amp;IFERROR(OFFSET(数出表_Excel【15時】!$A$1,3,H331-1),"")
&amp;IFERROR(OFFSET(数出表_Excel【15時】!$A$1,4,H331-1),""),"")</f>
        <v/>
      </c>
      <c r="J331" t="str">
        <f ca="1">IF(H331&lt;&gt;"",
OFFSET(数出表_Excel【15時】!$A$1,A331+3,H331-1),"")</f>
        <v/>
      </c>
      <c r="K331" t="str">
        <f ca="1">IF(H331&lt;&gt;"",
IF(AND(OFFSET(数出表_Excel【15時】!$A$1,A331+3,H331)&lt;&gt;"",OFFSET(数出表_Excel【15時】!$A$1,A331+3,H331)&lt;&gt;0),
OFFSET(数出表_Excel【15時】!$A$1,A331+3,H331),""),"")</f>
        <v/>
      </c>
      <c r="L331" s="209" t="str">
        <f t="array" aca="1" ref="L331" ca="1">IF(B331&lt;&gt;"",
IFERROR(MATCH(TRUE,ISNUMBER(INDIRECT("数出表_Excel【15時】!"&amp;SUBSTITUTE(ADDRESS(1,H331+2,4),"1","")&amp;(A331+4)&amp;":ZZ"&amp;(A331+4))),0)+H331+1,""),"")</f>
        <v/>
      </c>
      <c r="M331" t="str">
        <f ca="1">IF(L331&lt;&gt;"",
OFFSET(数出表_Excel【15時】!$A$1,2,L331-1)
&amp;IFERROR(OFFSET(数出表_Excel【15時】!$A$1,3,L331-1),"")
&amp;IFERROR(OFFSET(数出表_Excel【15時】!$A$1,4,L331-1),""),"")</f>
        <v/>
      </c>
      <c r="N331" t="str">
        <f ca="1">IF(L331&lt;&gt;"",
OFFSET(数出表_Excel【15時】!$A$1,A331+3,L331-1),"")</f>
        <v/>
      </c>
      <c r="O331" t="str">
        <f ca="1">IF(L331&lt;&gt;"",
IF(AND(OFFSET(数出表_Excel【15時】!$A$1,A331+3,L331)&lt;&gt;"",OFFSET(数出表_Excel【15時】!$A$1,A331+3,L331)&lt;&gt;0),
OFFSET(数出表_Excel【15時】!$A$1,A331+3,L331),""),"")</f>
        <v/>
      </c>
    </row>
    <row r="332" spans="1:17">
      <c r="A332" t="str">
        <f t="shared" ca="1" si="5"/>
        <v/>
      </c>
      <c r="B332" t="str">
        <f t="array" aca="1" ref="B332" ca="1">IF(OR(COUNTIF(数出表_Excel【15時】!AO336,"*修正*"),COUNTIF(数出表_Excel【15時】!AO337,"*修正*")),
IF(ISEVEN(ROW()+4),INDIRECT("数出表_Excel【15時】!A"&amp;ROW()+4&amp;""),INDIRECT("数出表_Excel【15時】!A"&amp;ROW()+4-1&amp;"")),"")</f>
        <v/>
      </c>
      <c r="C332" t="str">
        <f t="array" aca="1" ref="C332" ca="1">IF(OR(COUNTIF(数出表_Excel【15時】!AO336,"*修正*"),COUNTIF(数出表_Excel【15時】!AO337,"*修正*")),
IF(ISEVEN(ROW()+4),INDIRECT("数出表_Excel【15時】!A"&amp;ROW()+4+1&amp;""),INDIRECT("数出表_Excel【15時】!A"&amp;ROW()+4&amp;"")),"")</f>
        <v/>
      </c>
      <c r="D332" s="209" t="str">
        <f t="array" aca="1" ref="D332" ca="1">IF(B332&lt;&gt;"",
IFERROR(MATCH(TRUE,ISNUMBER(INDIRECT("数出表_Excel【15時】!B"&amp;(A332+4)&amp;":ZZ"&amp;(A332+4))),0)+1,""),"")</f>
        <v/>
      </c>
      <c r="E332" t="str">
        <f ca="1">IF(D332&lt;&gt;"",
OFFSET(数出表_Excel【15時】!$A$1,2,D332-1)
&amp;IFERROR(OFFSET(数出表_Excel【15時】!$A$1,3,D332-1),"")
&amp;IFERROR(OFFSET(数出表_Excel【15時】!$A$1,4,D332-1),""),"")</f>
        <v/>
      </c>
      <c r="F332" t="str">
        <f ca="1">IF(D332&lt;&gt;"",
OFFSET(数出表_Excel【15時】!$A$1,A332+3,D332-1),"")</f>
        <v/>
      </c>
      <c r="G332" t="str">
        <f ca="1">IF(D332&lt;&gt;"",
IF(AND(OFFSET(数出表_Excel【15時】!$A$1,A332+3,D332)&lt;&gt;"",OFFSET(数出表_Excel【15時】!$A$1,A332+3,D332)&lt;&gt;0),
OFFSET(数出表_Excel【15時】!$A$1,A332+3,D332),""),"")</f>
        <v/>
      </c>
      <c r="H332" s="209" t="str">
        <f t="array" aca="1" ref="H332" ca="1">IF(B332&lt;&gt;"",
IFERROR(MATCH(TRUE,ISNUMBER(INDIRECT("数出表_Excel【15時】!"&amp;SUBSTITUTE(ADDRESS(1,D332+2,4),"1","")&amp;(A332+4)&amp;":ZZ"&amp;(A332+4))),0)+D332+1,""),"")</f>
        <v/>
      </c>
      <c r="I332" t="str">
        <f ca="1">IF(H332&lt;&gt;"",
OFFSET(数出表_Excel【15時】!$A$1,2,H332-1)
&amp;IFERROR(OFFSET(数出表_Excel【15時】!$A$1,3,H332-1),"")
&amp;IFERROR(OFFSET(数出表_Excel【15時】!$A$1,4,H332-1),""),"")</f>
        <v/>
      </c>
      <c r="J332" t="str">
        <f ca="1">IF(H332&lt;&gt;"",
OFFSET(数出表_Excel【15時】!$A$1,A332+3,H332-1),"")</f>
        <v/>
      </c>
      <c r="K332" t="str">
        <f ca="1">IF(H332&lt;&gt;"",
IF(AND(OFFSET(数出表_Excel【15時】!$A$1,A332+3,H332)&lt;&gt;"",OFFSET(数出表_Excel【15時】!$A$1,A332+3,H332)&lt;&gt;0),
OFFSET(数出表_Excel【15時】!$A$1,A332+3,H332),""),"")</f>
        <v/>
      </c>
      <c r="L332" s="209" t="str">
        <f t="array" aca="1" ref="L332" ca="1">IF(B332&lt;&gt;"",
IFERROR(MATCH(TRUE,ISNUMBER(INDIRECT("数出表_Excel【15時】!"&amp;SUBSTITUTE(ADDRESS(1,H332+2,4),"1","")&amp;(A332+4)&amp;":ZZ"&amp;(A332+4))),0)+H332+1,""),"")</f>
        <v/>
      </c>
      <c r="M332" t="str">
        <f ca="1">IF(L332&lt;&gt;"",
OFFSET(数出表_Excel【15時】!$A$1,2,L332-1)
&amp;IFERROR(OFFSET(数出表_Excel【15時】!$A$1,3,L332-1),"")
&amp;IFERROR(OFFSET(数出表_Excel【15時】!$A$1,4,L332-1),""),"")</f>
        <v/>
      </c>
      <c r="N332" t="str">
        <f ca="1">IF(L332&lt;&gt;"",
OFFSET(数出表_Excel【15時】!$A$1,A332+3,L332-1),"")</f>
        <v/>
      </c>
      <c r="O332" t="str">
        <f ca="1">IF(L332&lt;&gt;"",
IF(AND(OFFSET(数出表_Excel【15時】!$A$1,A332+3,L332)&lt;&gt;"",OFFSET(数出表_Excel【15時】!$A$1,A332+3,L332)&lt;&gt;0),
OFFSET(数出表_Excel【15時】!$A$1,A332+3,L332),""),"")</f>
        <v/>
      </c>
      <c r="Q332" t="str">
        <f ca="1">IF(C332&lt;&gt;"",
IF(E332&lt;&gt;"",1,0)+IF(I332&lt;&gt;"",1,0)+IF(M332&lt;&gt;"",1,0),"")</f>
        <v/>
      </c>
    </row>
    <row r="333" spans="1:17">
      <c r="A333" t="str">
        <f t="shared" ca="1" si="5"/>
        <v/>
      </c>
      <c r="B333" t="str">
        <f t="array" aca="1" ref="B333" ca="1">IF(OR(COUNTIF(数出表_Excel【15時】!AO336,"*修正*"),COUNTIF(数出表_Excel【15時】!AO337,"*修正*")),
IF(ISEVEN(ROW()+4),INDIRECT("数出表_Excel【15時】!A"&amp;ROW()+4&amp;""),INDIRECT("数出表_Excel【15時】!A"&amp;ROW()+4-1&amp;"")),"")</f>
        <v/>
      </c>
      <c r="C333" t="str">
        <f t="array" aca="1" ref="C333" ca="1">IF(OR(COUNTIF(数出表_Excel【15時】!AO336,"*修正*"),COUNTIF(数出表_Excel【15時】!AO337,"*修正*")),
IF(ISEVEN(ROW()+4),INDIRECT("数出表_Excel【15時】!A"&amp;ROW()+4+1&amp;""),INDIRECT("数出表_Excel【15時】!A"&amp;ROW()+4&amp;"")),"")</f>
        <v/>
      </c>
      <c r="D333" s="209" t="str">
        <f t="array" aca="1" ref="D333" ca="1">IF(B333&lt;&gt;"",
IFERROR(MATCH(TRUE,ISNUMBER(INDIRECT("数出表_Excel【15時】!B"&amp;(A333+4)&amp;":ZZ"&amp;(A333+4))),0)+1,""),"")</f>
        <v/>
      </c>
      <c r="E333" t="str">
        <f ca="1">IF(D333&lt;&gt;"",
OFFSET(数出表_Excel【15時】!$A$1,2,D333-1)
&amp;IFERROR(OFFSET(数出表_Excel【15時】!$A$1,3,D333-1),"")
&amp;IFERROR(OFFSET(数出表_Excel【15時】!$A$1,4,D333-1),""),"")</f>
        <v/>
      </c>
      <c r="F333" t="str">
        <f ca="1">IF(D333&lt;&gt;"",
OFFSET(数出表_Excel【15時】!$A$1,A333+3,D333-1),"")</f>
        <v/>
      </c>
      <c r="G333" t="str">
        <f ca="1">IF(D333&lt;&gt;"",
IF(AND(OFFSET(数出表_Excel【15時】!$A$1,A333+3,D333)&lt;&gt;"",OFFSET(数出表_Excel【15時】!$A$1,A333+3,D333)&lt;&gt;0),
OFFSET(数出表_Excel【15時】!$A$1,A333+3,D333),""),"")</f>
        <v/>
      </c>
      <c r="H333" s="209" t="str">
        <f t="array" aca="1" ref="H333" ca="1">IF(B333&lt;&gt;"",
IFERROR(MATCH(TRUE,ISNUMBER(INDIRECT("数出表_Excel【15時】!"&amp;SUBSTITUTE(ADDRESS(1,D333+2,4),"1","")&amp;(A333+4)&amp;":ZZ"&amp;(A333+4))),0)+D333+1,""),"")</f>
        <v/>
      </c>
      <c r="I333" t="str">
        <f ca="1">IF(H333&lt;&gt;"",
OFFSET(数出表_Excel【15時】!$A$1,2,H333-1)
&amp;IFERROR(OFFSET(数出表_Excel【15時】!$A$1,3,H333-1),"")
&amp;IFERROR(OFFSET(数出表_Excel【15時】!$A$1,4,H333-1),""),"")</f>
        <v/>
      </c>
      <c r="J333" t="str">
        <f ca="1">IF(H333&lt;&gt;"",
OFFSET(数出表_Excel【15時】!$A$1,A333+3,H333-1),"")</f>
        <v/>
      </c>
      <c r="K333" t="str">
        <f ca="1">IF(H333&lt;&gt;"",
IF(AND(OFFSET(数出表_Excel【15時】!$A$1,A333+3,H333)&lt;&gt;"",OFFSET(数出表_Excel【15時】!$A$1,A333+3,H333)&lt;&gt;0),
OFFSET(数出表_Excel【15時】!$A$1,A333+3,H333),""),"")</f>
        <v/>
      </c>
      <c r="L333" s="209" t="str">
        <f t="array" aca="1" ref="L333" ca="1">IF(B333&lt;&gt;"",
IFERROR(MATCH(TRUE,ISNUMBER(INDIRECT("数出表_Excel【15時】!"&amp;SUBSTITUTE(ADDRESS(1,H333+2,4),"1","")&amp;(A333+4)&amp;":ZZ"&amp;(A333+4))),0)+H333+1,""),"")</f>
        <v/>
      </c>
      <c r="M333" t="str">
        <f ca="1">IF(L333&lt;&gt;"",
OFFSET(数出表_Excel【15時】!$A$1,2,L333-1)
&amp;IFERROR(OFFSET(数出表_Excel【15時】!$A$1,3,L333-1),"")
&amp;IFERROR(OFFSET(数出表_Excel【15時】!$A$1,4,L333-1),""),"")</f>
        <v/>
      </c>
      <c r="N333" t="str">
        <f ca="1">IF(L333&lt;&gt;"",
OFFSET(数出表_Excel【15時】!$A$1,A333+3,L333-1),"")</f>
        <v/>
      </c>
      <c r="O333" t="str">
        <f ca="1">IF(L333&lt;&gt;"",
IF(AND(OFFSET(数出表_Excel【15時】!$A$1,A333+3,L333)&lt;&gt;"",OFFSET(数出表_Excel【15時】!$A$1,A333+3,L333)&lt;&gt;0),
OFFSET(数出表_Excel【15時】!$A$1,A333+3,L333),""),"")</f>
        <v/>
      </c>
    </row>
    <row r="334" spans="1:17">
      <c r="A334" t="str">
        <f t="shared" ca="1" si="5"/>
        <v/>
      </c>
      <c r="B334" t="str">
        <f t="array" aca="1" ref="B334" ca="1">IF(OR(COUNTIF(数出表_Excel【15時】!AO338,"*修正*"),COUNTIF(数出表_Excel【15時】!AO339,"*修正*")),
IF(ISEVEN(ROW()+4),INDIRECT("数出表_Excel【15時】!A"&amp;ROW()+4&amp;""),INDIRECT("数出表_Excel【15時】!A"&amp;ROW()+4-1&amp;"")),"")</f>
        <v/>
      </c>
      <c r="C334" t="str">
        <f t="array" aca="1" ref="C334" ca="1">IF(OR(COUNTIF(数出表_Excel【15時】!AO338,"*修正*"),COUNTIF(数出表_Excel【15時】!AO339,"*修正*")),
IF(ISEVEN(ROW()+4),INDIRECT("数出表_Excel【15時】!A"&amp;ROW()+4+1&amp;""),INDIRECT("数出表_Excel【15時】!A"&amp;ROW()+4&amp;"")),"")</f>
        <v/>
      </c>
      <c r="D334" s="209" t="str">
        <f t="array" aca="1" ref="D334" ca="1">IF(B334&lt;&gt;"",
IFERROR(MATCH(TRUE,ISNUMBER(INDIRECT("数出表_Excel【15時】!B"&amp;(A334+4)&amp;":ZZ"&amp;(A334+4))),0)+1,""),"")</f>
        <v/>
      </c>
      <c r="E334" t="str">
        <f ca="1">IF(D334&lt;&gt;"",
OFFSET(数出表_Excel【15時】!$A$1,2,D334-1)
&amp;IFERROR(OFFSET(数出表_Excel【15時】!$A$1,3,D334-1),"")
&amp;IFERROR(OFFSET(数出表_Excel【15時】!$A$1,4,D334-1),""),"")</f>
        <v/>
      </c>
      <c r="F334" t="str">
        <f ca="1">IF(D334&lt;&gt;"",
OFFSET(数出表_Excel【15時】!$A$1,A334+3,D334-1),"")</f>
        <v/>
      </c>
      <c r="G334" t="str">
        <f ca="1">IF(D334&lt;&gt;"",
IF(AND(OFFSET(数出表_Excel【15時】!$A$1,A334+3,D334)&lt;&gt;"",OFFSET(数出表_Excel【15時】!$A$1,A334+3,D334)&lt;&gt;0),
OFFSET(数出表_Excel【15時】!$A$1,A334+3,D334),""),"")</f>
        <v/>
      </c>
      <c r="H334" s="209" t="str">
        <f t="array" aca="1" ref="H334" ca="1">IF(B334&lt;&gt;"",
IFERROR(MATCH(TRUE,ISNUMBER(INDIRECT("数出表_Excel【15時】!"&amp;SUBSTITUTE(ADDRESS(1,D334+2,4),"1","")&amp;(A334+4)&amp;":ZZ"&amp;(A334+4))),0)+D334+1,""),"")</f>
        <v/>
      </c>
      <c r="I334" t="str">
        <f ca="1">IF(H334&lt;&gt;"",
OFFSET(数出表_Excel【15時】!$A$1,2,H334-1)
&amp;IFERROR(OFFSET(数出表_Excel【15時】!$A$1,3,H334-1),"")
&amp;IFERROR(OFFSET(数出表_Excel【15時】!$A$1,4,H334-1),""),"")</f>
        <v/>
      </c>
      <c r="J334" t="str">
        <f ca="1">IF(H334&lt;&gt;"",
OFFSET(数出表_Excel【15時】!$A$1,A334+3,H334-1),"")</f>
        <v/>
      </c>
      <c r="K334" t="str">
        <f ca="1">IF(H334&lt;&gt;"",
IF(AND(OFFSET(数出表_Excel【15時】!$A$1,A334+3,H334)&lt;&gt;"",OFFSET(数出表_Excel【15時】!$A$1,A334+3,H334)&lt;&gt;0),
OFFSET(数出表_Excel【15時】!$A$1,A334+3,H334),""),"")</f>
        <v/>
      </c>
      <c r="L334" s="209" t="str">
        <f t="array" aca="1" ref="L334" ca="1">IF(B334&lt;&gt;"",
IFERROR(MATCH(TRUE,ISNUMBER(INDIRECT("数出表_Excel【15時】!"&amp;SUBSTITUTE(ADDRESS(1,H334+2,4),"1","")&amp;(A334+4)&amp;":ZZ"&amp;(A334+4))),0)+H334+1,""),"")</f>
        <v/>
      </c>
      <c r="M334" t="str">
        <f ca="1">IF(L334&lt;&gt;"",
OFFSET(数出表_Excel【15時】!$A$1,2,L334-1)
&amp;IFERROR(OFFSET(数出表_Excel【15時】!$A$1,3,L334-1),"")
&amp;IFERROR(OFFSET(数出表_Excel【15時】!$A$1,4,L334-1),""),"")</f>
        <v/>
      </c>
      <c r="N334" t="str">
        <f ca="1">IF(L334&lt;&gt;"",
OFFSET(数出表_Excel【15時】!$A$1,A334+3,L334-1),"")</f>
        <v/>
      </c>
      <c r="O334" t="str">
        <f ca="1">IF(L334&lt;&gt;"",
IF(AND(OFFSET(数出表_Excel【15時】!$A$1,A334+3,L334)&lt;&gt;"",OFFSET(数出表_Excel【15時】!$A$1,A334+3,L334)&lt;&gt;0),
OFFSET(数出表_Excel【15時】!$A$1,A334+3,L334),""),"")</f>
        <v/>
      </c>
      <c r="Q334" t="str">
        <f ca="1">IF(C334&lt;&gt;"",
IF(E334&lt;&gt;"",1,0)+IF(I334&lt;&gt;"",1,0)+IF(M334&lt;&gt;"",1,0),"")</f>
        <v/>
      </c>
    </row>
    <row r="335" spans="1:17">
      <c r="A335" t="str">
        <f t="shared" ca="1" si="5"/>
        <v/>
      </c>
      <c r="B335" t="str">
        <f t="array" aca="1" ref="B335" ca="1">IF(OR(COUNTIF(数出表_Excel【15時】!AO338,"*修正*"),COUNTIF(数出表_Excel【15時】!AO339,"*修正*")),
IF(ISEVEN(ROW()+4),INDIRECT("数出表_Excel【15時】!A"&amp;ROW()+4&amp;""),INDIRECT("数出表_Excel【15時】!A"&amp;ROW()+4-1&amp;"")),"")</f>
        <v/>
      </c>
      <c r="C335" t="str">
        <f t="array" aca="1" ref="C335" ca="1">IF(OR(COUNTIF(数出表_Excel【15時】!AO338,"*修正*"),COUNTIF(数出表_Excel【15時】!AO339,"*修正*")),
IF(ISEVEN(ROW()+4),INDIRECT("数出表_Excel【15時】!A"&amp;ROW()+4+1&amp;""),INDIRECT("数出表_Excel【15時】!A"&amp;ROW()+4&amp;"")),"")</f>
        <v/>
      </c>
      <c r="D335" s="209" t="str">
        <f t="array" aca="1" ref="D335" ca="1">IF(B335&lt;&gt;"",
IFERROR(MATCH(TRUE,ISNUMBER(INDIRECT("数出表_Excel【15時】!B"&amp;(A335+4)&amp;":ZZ"&amp;(A335+4))),0)+1,""),"")</f>
        <v/>
      </c>
      <c r="E335" t="str">
        <f ca="1">IF(D335&lt;&gt;"",
OFFSET(数出表_Excel【15時】!$A$1,2,D335-1)
&amp;IFERROR(OFFSET(数出表_Excel【15時】!$A$1,3,D335-1),"")
&amp;IFERROR(OFFSET(数出表_Excel【15時】!$A$1,4,D335-1),""),"")</f>
        <v/>
      </c>
      <c r="F335" t="str">
        <f ca="1">IF(D335&lt;&gt;"",
OFFSET(数出表_Excel【15時】!$A$1,A335+3,D335-1),"")</f>
        <v/>
      </c>
      <c r="G335" t="str">
        <f ca="1">IF(D335&lt;&gt;"",
IF(AND(OFFSET(数出表_Excel【15時】!$A$1,A335+3,D335)&lt;&gt;"",OFFSET(数出表_Excel【15時】!$A$1,A335+3,D335)&lt;&gt;0),
OFFSET(数出表_Excel【15時】!$A$1,A335+3,D335),""),"")</f>
        <v/>
      </c>
      <c r="H335" s="209" t="str">
        <f t="array" aca="1" ref="H335" ca="1">IF(B335&lt;&gt;"",
IFERROR(MATCH(TRUE,ISNUMBER(INDIRECT("数出表_Excel【15時】!"&amp;SUBSTITUTE(ADDRESS(1,D335+2,4),"1","")&amp;(A335+4)&amp;":ZZ"&amp;(A335+4))),0)+D335+1,""),"")</f>
        <v/>
      </c>
      <c r="I335" t="str">
        <f ca="1">IF(H335&lt;&gt;"",
OFFSET(数出表_Excel【15時】!$A$1,2,H335-1)
&amp;IFERROR(OFFSET(数出表_Excel【15時】!$A$1,3,H335-1),"")
&amp;IFERROR(OFFSET(数出表_Excel【15時】!$A$1,4,H335-1),""),"")</f>
        <v/>
      </c>
      <c r="J335" t="str">
        <f ca="1">IF(H335&lt;&gt;"",
OFFSET(数出表_Excel【15時】!$A$1,A335+3,H335-1),"")</f>
        <v/>
      </c>
      <c r="K335" t="str">
        <f ca="1">IF(H335&lt;&gt;"",
IF(AND(OFFSET(数出表_Excel【15時】!$A$1,A335+3,H335)&lt;&gt;"",OFFSET(数出表_Excel【15時】!$A$1,A335+3,H335)&lt;&gt;0),
OFFSET(数出表_Excel【15時】!$A$1,A335+3,H335),""),"")</f>
        <v/>
      </c>
      <c r="L335" s="209" t="str">
        <f t="array" aca="1" ref="L335" ca="1">IF(B335&lt;&gt;"",
IFERROR(MATCH(TRUE,ISNUMBER(INDIRECT("数出表_Excel【15時】!"&amp;SUBSTITUTE(ADDRESS(1,H335+2,4),"1","")&amp;(A335+4)&amp;":ZZ"&amp;(A335+4))),0)+H335+1,""),"")</f>
        <v/>
      </c>
      <c r="M335" t="str">
        <f ca="1">IF(L335&lt;&gt;"",
OFFSET(数出表_Excel【15時】!$A$1,2,L335-1)
&amp;IFERROR(OFFSET(数出表_Excel【15時】!$A$1,3,L335-1),"")
&amp;IFERROR(OFFSET(数出表_Excel【15時】!$A$1,4,L335-1),""),"")</f>
        <v/>
      </c>
      <c r="N335" t="str">
        <f ca="1">IF(L335&lt;&gt;"",
OFFSET(数出表_Excel【15時】!$A$1,A335+3,L335-1),"")</f>
        <v/>
      </c>
      <c r="O335" t="str">
        <f ca="1">IF(L335&lt;&gt;"",
IF(AND(OFFSET(数出表_Excel【15時】!$A$1,A335+3,L335)&lt;&gt;"",OFFSET(数出表_Excel【15時】!$A$1,A335+3,L335)&lt;&gt;0),
OFFSET(数出表_Excel【15時】!$A$1,A335+3,L335),""),"")</f>
        <v/>
      </c>
    </row>
    <row r="336" spans="1:17">
      <c r="A336" t="str">
        <f t="shared" ca="1" si="5"/>
        <v/>
      </c>
      <c r="B336" t="str">
        <f t="array" aca="1" ref="B336" ca="1">IF(OR(COUNTIF(数出表_Excel【15時】!AO340,"*修正*"),COUNTIF(数出表_Excel【15時】!AO341,"*修正*")),
IF(ISEVEN(ROW()+4),INDIRECT("数出表_Excel【15時】!A"&amp;ROW()+4&amp;""),INDIRECT("数出表_Excel【15時】!A"&amp;ROW()+4-1&amp;"")),"")</f>
        <v/>
      </c>
      <c r="C336" t="str">
        <f t="array" aca="1" ref="C336" ca="1">IF(OR(COUNTIF(数出表_Excel【15時】!AO340,"*修正*"),COUNTIF(数出表_Excel【15時】!AO341,"*修正*")),
IF(ISEVEN(ROW()+4),INDIRECT("数出表_Excel【15時】!A"&amp;ROW()+4+1&amp;""),INDIRECT("数出表_Excel【15時】!A"&amp;ROW()+4&amp;"")),"")</f>
        <v/>
      </c>
      <c r="D336" s="209" t="str">
        <f t="array" aca="1" ref="D336" ca="1">IF(B336&lt;&gt;"",
IFERROR(MATCH(TRUE,ISNUMBER(INDIRECT("数出表_Excel【15時】!B"&amp;(A336+4)&amp;":ZZ"&amp;(A336+4))),0)+1,""),"")</f>
        <v/>
      </c>
      <c r="E336" t="str">
        <f ca="1">IF(D336&lt;&gt;"",
OFFSET(数出表_Excel【15時】!$A$1,2,D336-1)
&amp;IFERROR(OFFSET(数出表_Excel【15時】!$A$1,3,D336-1),"")
&amp;IFERROR(OFFSET(数出表_Excel【15時】!$A$1,4,D336-1),""),"")</f>
        <v/>
      </c>
      <c r="F336" t="str">
        <f ca="1">IF(D336&lt;&gt;"",
OFFSET(数出表_Excel【15時】!$A$1,A336+3,D336-1),"")</f>
        <v/>
      </c>
      <c r="G336" t="str">
        <f ca="1">IF(D336&lt;&gt;"",
IF(AND(OFFSET(数出表_Excel【15時】!$A$1,A336+3,D336)&lt;&gt;"",OFFSET(数出表_Excel【15時】!$A$1,A336+3,D336)&lt;&gt;0),
OFFSET(数出表_Excel【15時】!$A$1,A336+3,D336),""),"")</f>
        <v/>
      </c>
      <c r="H336" s="209" t="str">
        <f t="array" aca="1" ref="H336" ca="1">IF(B336&lt;&gt;"",
IFERROR(MATCH(TRUE,ISNUMBER(INDIRECT("数出表_Excel【15時】!"&amp;SUBSTITUTE(ADDRESS(1,D336+2,4),"1","")&amp;(A336+4)&amp;":ZZ"&amp;(A336+4))),0)+D336+1,""),"")</f>
        <v/>
      </c>
      <c r="I336" t="str">
        <f ca="1">IF(H336&lt;&gt;"",
OFFSET(数出表_Excel【15時】!$A$1,2,H336-1)
&amp;IFERROR(OFFSET(数出表_Excel【15時】!$A$1,3,H336-1),"")
&amp;IFERROR(OFFSET(数出表_Excel【15時】!$A$1,4,H336-1),""),"")</f>
        <v/>
      </c>
      <c r="J336" t="str">
        <f ca="1">IF(H336&lt;&gt;"",
OFFSET(数出表_Excel【15時】!$A$1,A336+3,H336-1),"")</f>
        <v/>
      </c>
      <c r="K336" t="str">
        <f ca="1">IF(H336&lt;&gt;"",
IF(AND(OFFSET(数出表_Excel【15時】!$A$1,A336+3,H336)&lt;&gt;"",OFFSET(数出表_Excel【15時】!$A$1,A336+3,H336)&lt;&gt;0),
OFFSET(数出表_Excel【15時】!$A$1,A336+3,H336),""),"")</f>
        <v/>
      </c>
      <c r="L336" s="209" t="str">
        <f t="array" aca="1" ref="L336" ca="1">IF(B336&lt;&gt;"",
IFERROR(MATCH(TRUE,ISNUMBER(INDIRECT("数出表_Excel【15時】!"&amp;SUBSTITUTE(ADDRESS(1,H336+2,4),"1","")&amp;(A336+4)&amp;":ZZ"&amp;(A336+4))),0)+H336+1,""),"")</f>
        <v/>
      </c>
      <c r="M336" t="str">
        <f ca="1">IF(L336&lt;&gt;"",
OFFSET(数出表_Excel【15時】!$A$1,2,L336-1)
&amp;IFERROR(OFFSET(数出表_Excel【15時】!$A$1,3,L336-1),"")
&amp;IFERROR(OFFSET(数出表_Excel【15時】!$A$1,4,L336-1),""),"")</f>
        <v/>
      </c>
      <c r="N336" t="str">
        <f ca="1">IF(L336&lt;&gt;"",
OFFSET(数出表_Excel【15時】!$A$1,A336+3,L336-1),"")</f>
        <v/>
      </c>
      <c r="O336" t="str">
        <f ca="1">IF(L336&lt;&gt;"",
IF(AND(OFFSET(数出表_Excel【15時】!$A$1,A336+3,L336)&lt;&gt;"",OFFSET(数出表_Excel【15時】!$A$1,A336+3,L336)&lt;&gt;0),
OFFSET(数出表_Excel【15時】!$A$1,A336+3,L336),""),"")</f>
        <v/>
      </c>
      <c r="Q336" t="str">
        <f ca="1">IF(C336&lt;&gt;"",
IF(E336&lt;&gt;"",1,0)+IF(I336&lt;&gt;"",1,0)+IF(M336&lt;&gt;"",1,0),"")</f>
        <v/>
      </c>
    </row>
    <row r="337" spans="1:17">
      <c r="A337" t="str">
        <f t="shared" ca="1" si="5"/>
        <v/>
      </c>
      <c r="B337" t="str">
        <f t="array" aca="1" ref="B337" ca="1">IF(OR(COUNTIF(数出表_Excel【15時】!AO340,"*修正*"),COUNTIF(数出表_Excel【15時】!AO341,"*修正*")),
IF(ISEVEN(ROW()+4),INDIRECT("数出表_Excel【15時】!A"&amp;ROW()+4&amp;""),INDIRECT("数出表_Excel【15時】!A"&amp;ROW()+4-1&amp;"")),"")</f>
        <v/>
      </c>
      <c r="C337" t="str">
        <f t="array" aca="1" ref="C337" ca="1">IF(OR(COUNTIF(数出表_Excel【15時】!AO340,"*修正*"),COUNTIF(数出表_Excel【15時】!AO341,"*修正*")),
IF(ISEVEN(ROW()+4),INDIRECT("数出表_Excel【15時】!A"&amp;ROW()+4+1&amp;""),INDIRECT("数出表_Excel【15時】!A"&amp;ROW()+4&amp;"")),"")</f>
        <v/>
      </c>
      <c r="D337" s="209" t="str">
        <f t="array" aca="1" ref="D337" ca="1">IF(B337&lt;&gt;"",
IFERROR(MATCH(TRUE,ISNUMBER(INDIRECT("数出表_Excel【15時】!B"&amp;(A337+4)&amp;":ZZ"&amp;(A337+4))),0)+1,""),"")</f>
        <v/>
      </c>
      <c r="E337" t="str">
        <f ca="1">IF(D337&lt;&gt;"",
OFFSET(数出表_Excel【15時】!$A$1,2,D337-1)
&amp;IFERROR(OFFSET(数出表_Excel【15時】!$A$1,3,D337-1),"")
&amp;IFERROR(OFFSET(数出表_Excel【15時】!$A$1,4,D337-1),""),"")</f>
        <v/>
      </c>
      <c r="F337" t="str">
        <f ca="1">IF(D337&lt;&gt;"",
OFFSET(数出表_Excel【15時】!$A$1,A337+3,D337-1),"")</f>
        <v/>
      </c>
      <c r="G337" t="str">
        <f ca="1">IF(D337&lt;&gt;"",
IF(AND(OFFSET(数出表_Excel【15時】!$A$1,A337+3,D337)&lt;&gt;"",OFFSET(数出表_Excel【15時】!$A$1,A337+3,D337)&lt;&gt;0),
OFFSET(数出表_Excel【15時】!$A$1,A337+3,D337),""),"")</f>
        <v/>
      </c>
      <c r="H337" s="209" t="str">
        <f t="array" aca="1" ref="H337" ca="1">IF(B337&lt;&gt;"",
IFERROR(MATCH(TRUE,ISNUMBER(INDIRECT("数出表_Excel【15時】!"&amp;SUBSTITUTE(ADDRESS(1,D337+2,4),"1","")&amp;(A337+4)&amp;":ZZ"&amp;(A337+4))),0)+D337+1,""),"")</f>
        <v/>
      </c>
      <c r="I337" t="str">
        <f ca="1">IF(H337&lt;&gt;"",
OFFSET(数出表_Excel【15時】!$A$1,2,H337-1)
&amp;IFERROR(OFFSET(数出表_Excel【15時】!$A$1,3,H337-1),"")
&amp;IFERROR(OFFSET(数出表_Excel【15時】!$A$1,4,H337-1),""),"")</f>
        <v/>
      </c>
      <c r="J337" t="str">
        <f ca="1">IF(H337&lt;&gt;"",
OFFSET(数出表_Excel【15時】!$A$1,A337+3,H337-1),"")</f>
        <v/>
      </c>
      <c r="K337" t="str">
        <f ca="1">IF(H337&lt;&gt;"",
IF(AND(OFFSET(数出表_Excel【15時】!$A$1,A337+3,H337)&lt;&gt;"",OFFSET(数出表_Excel【15時】!$A$1,A337+3,H337)&lt;&gt;0),
OFFSET(数出表_Excel【15時】!$A$1,A337+3,H337),""),"")</f>
        <v/>
      </c>
      <c r="L337" s="209" t="str">
        <f t="array" aca="1" ref="L337" ca="1">IF(B337&lt;&gt;"",
IFERROR(MATCH(TRUE,ISNUMBER(INDIRECT("数出表_Excel【15時】!"&amp;SUBSTITUTE(ADDRESS(1,H337+2,4),"1","")&amp;(A337+4)&amp;":ZZ"&amp;(A337+4))),0)+H337+1,""),"")</f>
        <v/>
      </c>
      <c r="M337" t="str">
        <f ca="1">IF(L337&lt;&gt;"",
OFFSET(数出表_Excel【15時】!$A$1,2,L337-1)
&amp;IFERROR(OFFSET(数出表_Excel【15時】!$A$1,3,L337-1),"")
&amp;IFERROR(OFFSET(数出表_Excel【15時】!$A$1,4,L337-1),""),"")</f>
        <v/>
      </c>
      <c r="N337" t="str">
        <f ca="1">IF(L337&lt;&gt;"",
OFFSET(数出表_Excel【15時】!$A$1,A337+3,L337-1),"")</f>
        <v/>
      </c>
      <c r="O337" t="str">
        <f ca="1">IF(L337&lt;&gt;"",
IF(AND(OFFSET(数出表_Excel【15時】!$A$1,A337+3,L337)&lt;&gt;"",OFFSET(数出表_Excel【15時】!$A$1,A337+3,L337)&lt;&gt;0),
OFFSET(数出表_Excel【15時】!$A$1,A337+3,L337),""),"")</f>
        <v/>
      </c>
    </row>
    <row r="338" spans="1:17">
      <c r="A338" t="str">
        <f t="shared" ca="1" si="5"/>
        <v/>
      </c>
      <c r="B338" t="str">
        <f t="array" aca="1" ref="B338" ca="1">IF(OR(COUNTIF(数出表_Excel【15時】!AO342,"*修正*"),COUNTIF(数出表_Excel【15時】!AO343,"*修正*")),
IF(ISEVEN(ROW()+4),INDIRECT("数出表_Excel【15時】!A"&amp;ROW()+4&amp;""),INDIRECT("数出表_Excel【15時】!A"&amp;ROW()+4-1&amp;"")),"")</f>
        <v/>
      </c>
      <c r="C338" t="str">
        <f t="array" aca="1" ref="C338" ca="1">IF(OR(COUNTIF(数出表_Excel【15時】!AO342,"*修正*"),COUNTIF(数出表_Excel【15時】!AO343,"*修正*")),
IF(ISEVEN(ROW()+4),INDIRECT("数出表_Excel【15時】!A"&amp;ROW()+4+1&amp;""),INDIRECT("数出表_Excel【15時】!A"&amp;ROW()+4&amp;"")),"")</f>
        <v/>
      </c>
      <c r="D338" s="209" t="str">
        <f t="array" aca="1" ref="D338" ca="1">IF(B338&lt;&gt;"",
IFERROR(MATCH(TRUE,ISNUMBER(INDIRECT("数出表_Excel【15時】!B"&amp;(A338+4)&amp;":ZZ"&amp;(A338+4))),0)+1,""),"")</f>
        <v/>
      </c>
      <c r="E338" t="str">
        <f ca="1">IF(D338&lt;&gt;"",
OFFSET(数出表_Excel【15時】!$A$1,2,D338-1)
&amp;IFERROR(OFFSET(数出表_Excel【15時】!$A$1,3,D338-1),"")
&amp;IFERROR(OFFSET(数出表_Excel【15時】!$A$1,4,D338-1),""),"")</f>
        <v/>
      </c>
      <c r="F338" t="str">
        <f ca="1">IF(D338&lt;&gt;"",
OFFSET(数出表_Excel【15時】!$A$1,A338+3,D338-1),"")</f>
        <v/>
      </c>
      <c r="G338" t="str">
        <f ca="1">IF(D338&lt;&gt;"",
IF(AND(OFFSET(数出表_Excel【15時】!$A$1,A338+3,D338)&lt;&gt;"",OFFSET(数出表_Excel【15時】!$A$1,A338+3,D338)&lt;&gt;0),
OFFSET(数出表_Excel【15時】!$A$1,A338+3,D338),""),"")</f>
        <v/>
      </c>
      <c r="H338" s="209" t="str">
        <f t="array" aca="1" ref="H338" ca="1">IF(B338&lt;&gt;"",
IFERROR(MATCH(TRUE,ISNUMBER(INDIRECT("数出表_Excel【15時】!"&amp;SUBSTITUTE(ADDRESS(1,D338+2,4),"1","")&amp;(A338+4)&amp;":ZZ"&amp;(A338+4))),0)+D338+1,""),"")</f>
        <v/>
      </c>
      <c r="I338" t="str">
        <f ca="1">IF(H338&lt;&gt;"",
OFFSET(数出表_Excel【15時】!$A$1,2,H338-1)
&amp;IFERROR(OFFSET(数出表_Excel【15時】!$A$1,3,H338-1),"")
&amp;IFERROR(OFFSET(数出表_Excel【15時】!$A$1,4,H338-1),""),"")</f>
        <v/>
      </c>
      <c r="J338" t="str">
        <f ca="1">IF(H338&lt;&gt;"",
OFFSET(数出表_Excel【15時】!$A$1,A338+3,H338-1),"")</f>
        <v/>
      </c>
      <c r="K338" t="str">
        <f ca="1">IF(H338&lt;&gt;"",
IF(AND(OFFSET(数出表_Excel【15時】!$A$1,A338+3,H338)&lt;&gt;"",OFFSET(数出表_Excel【15時】!$A$1,A338+3,H338)&lt;&gt;0),
OFFSET(数出表_Excel【15時】!$A$1,A338+3,H338),""),"")</f>
        <v/>
      </c>
      <c r="L338" s="209" t="str">
        <f t="array" aca="1" ref="L338" ca="1">IF(B338&lt;&gt;"",
IFERROR(MATCH(TRUE,ISNUMBER(INDIRECT("数出表_Excel【15時】!"&amp;SUBSTITUTE(ADDRESS(1,H338+2,4),"1","")&amp;(A338+4)&amp;":ZZ"&amp;(A338+4))),0)+H338+1,""),"")</f>
        <v/>
      </c>
      <c r="M338" t="str">
        <f ca="1">IF(L338&lt;&gt;"",
OFFSET(数出表_Excel【15時】!$A$1,2,L338-1)
&amp;IFERROR(OFFSET(数出表_Excel【15時】!$A$1,3,L338-1),"")
&amp;IFERROR(OFFSET(数出表_Excel【15時】!$A$1,4,L338-1),""),"")</f>
        <v/>
      </c>
      <c r="N338" t="str">
        <f ca="1">IF(L338&lt;&gt;"",
OFFSET(数出表_Excel【15時】!$A$1,A338+3,L338-1),"")</f>
        <v/>
      </c>
      <c r="O338" t="str">
        <f ca="1">IF(L338&lt;&gt;"",
IF(AND(OFFSET(数出表_Excel【15時】!$A$1,A338+3,L338)&lt;&gt;"",OFFSET(数出表_Excel【15時】!$A$1,A338+3,L338)&lt;&gt;0),
OFFSET(数出表_Excel【15時】!$A$1,A338+3,L338),""),"")</f>
        <v/>
      </c>
      <c r="Q338" t="str">
        <f ca="1">IF(C338&lt;&gt;"",
IF(E338&lt;&gt;"",1,0)+IF(I338&lt;&gt;"",1,0)+IF(M338&lt;&gt;"",1,0),"")</f>
        <v/>
      </c>
    </row>
    <row r="339" spans="1:17">
      <c r="A339" t="str">
        <f t="shared" ca="1" si="5"/>
        <v/>
      </c>
      <c r="B339" t="str">
        <f t="array" aca="1" ref="B339" ca="1">IF(OR(COUNTIF(数出表_Excel【15時】!AO342,"*修正*"),COUNTIF(数出表_Excel【15時】!AO343,"*修正*")),
IF(ISEVEN(ROW()+4),INDIRECT("数出表_Excel【15時】!A"&amp;ROW()+4&amp;""),INDIRECT("数出表_Excel【15時】!A"&amp;ROW()+4-1&amp;"")),"")</f>
        <v/>
      </c>
      <c r="C339" t="str">
        <f t="array" aca="1" ref="C339" ca="1">IF(OR(COUNTIF(数出表_Excel【15時】!AO342,"*修正*"),COUNTIF(数出表_Excel【15時】!AO343,"*修正*")),
IF(ISEVEN(ROW()+4),INDIRECT("数出表_Excel【15時】!A"&amp;ROW()+4+1&amp;""),INDIRECT("数出表_Excel【15時】!A"&amp;ROW()+4&amp;"")),"")</f>
        <v/>
      </c>
      <c r="D339" s="209" t="str">
        <f t="array" aca="1" ref="D339" ca="1">IF(B339&lt;&gt;"",
IFERROR(MATCH(TRUE,ISNUMBER(INDIRECT("数出表_Excel【15時】!B"&amp;(A339+4)&amp;":ZZ"&amp;(A339+4))),0)+1,""),"")</f>
        <v/>
      </c>
      <c r="E339" t="str">
        <f ca="1">IF(D339&lt;&gt;"",
OFFSET(数出表_Excel【15時】!$A$1,2,D339-1)
&amp;IFERROR(OFFSET(数出表_Excel【15時】!$A$1,3,D339-1),"")
&amp;IFERROR(OFFSET(数出表_Excel【15時】!$A$1,4,D339-1),""),"")</f>
        <v/>
      </c>
      <c r="F339" t="str">
        <f ca="1">IF(D339&lt;&gt;"",
OFFSET(数出表_Excel【15時】!$A$1,A339+3,D339-1),"")</f>
        <v/>
      </c>
      <c r="G339" t="str">
        <f ca="1">IF(D339&lt;&gt;"",
IF(AND(OFFSET(数出表_Excel【15時】!$A$1,A339+3,D339)&lt;&gt;"",OFFSET(数出表_Excel【15時】!$A$1,A339+3,D339)&lt;&gt;0),
OFFSET(数出表_Excel【15時】!$A$1,A339+3,D339),""),"")</f>
        <v/>
      </c>
      <c r="H339" s="209" t="str">
        <f t="array" aca="1" ref="H339" ca="1">IF(B339&lt;&gt;"",
IFERROR(MATCH(TRUE,ISNUMBER(INDIRECT("数出表_Excel【15時】!"&amp;SUBSTITUTE(ADDRESS(1,D339+2,4),"1","")&amp;(A339+4)&amp;":ZZ"&amp;(A339+4))),0)+D339+1,""),"")</f>
        <v/>
      </c>
      <c r="I339" t="str">
        <f ca="1">IF(H339&lt;&gt;"",
OFFSET(数出表_Excel【15時】!$A$1,2,H339-1)
&amp;IFERROR(OFFSET(数出表_Excel【15時】!$A$1,3,H339-1),"")
&amp;IFERROR(OFFSET(数出表_Excel【15時】!$A$1,4,H339-1),""),"")</f>
        <v/>
      </c>
      <c r="J339" t="str">
        <f ca="1">IF(H339&lt;&gt;"",
OFFSET(数出表_Excel【15時】!$A$1,A339+3,H339-1),"")</f>
        <v/>
      </c>
      <c r="K339" t="str">
        <f ca="1">IF(H339&lt;&gt;"",
IF(AND(OFFSET(数出表_Excel【15時】!$A$1,A339+3,H339)&lt;&gt;"",OFFSET(数出表_Excel【15時】!$A$1,A339+3,H339)&lt;&gt;0),
OFFSET(数出表_Excel【15時】!$A$1,A339+3,H339),""),"")</f>
        <v/>
      </c>
      <c r="L339" s="209" t="str">
        <f t="array" aca="1" ref="L339" ca="1">IF(B339&lt;&gt;"",
IFERROR(MATCH(TRUE,ISNUMBER(INDIRECT("数出表_Excel【15時】!"&amp;SUBSTITUTE(ADDRESS(1,H339+2,4),"1","")&amp;(A339+4)&amp;":ZZ"&amp;(A339+4))),0)+H339+1,""),"")</f>
        <v/>
      </c>
      <c r="M339" t="str">
        <f ca="1">IF(L339&lt;&gt;"",
OFFSET(数出表_Excel【15時】!$A$1,2,L339-1)
&amp;IFERROR(OFFSET(数出表_Excel【15時】!$A$1,3,L339-1),"")
&amp;IFERROR(OFFSET(数出表_Excel【15時】!$A$1,4,L339-1),""),"")</f>
        <v/>
      </c>
      <c r="N339" t="str">
        <f ca="1">IF(L339&lt;&gt;"",
OFFSET(数出表_Excel【15時】!$A$1,A339+3,L339-1),"")</f>
        <v/>
      </c>
      <c r="O339" t="str">
        <f ca="1">IF(L339&lt;&gt;"",
IF(AND(OFFSET(数出表_Excel【15時】!$A$1,A339+3,L339)&lt;&gt;"",OFFSET(数出表_Excel【15時】!$A$1,A339+3,L339)&lt;&gt;0),
OFFSET(数出表_Excel【15時】!$A$1,A339+3,L339),""),"")</f>
        <v/>
      </c>
    </row>
    <row r="340" spans="1:17">
      <c r="A340" t="str">
        <f t="shared" ca="1" si="5"/>
        <v/>
      </c>
      <c r="B340" t="str">
        <f t="array" aca="1" ref="B340" ca="1">IF(OR(COUNTIF(数出表_Excel【15時】!AO344,"*修正*"),COUNTIF(数出表_Excel【15時】!AO345,"*修正*")),
IF(ISEVEN(ROW()+4),INDIRECT("数出表_Excel【15時】!A"&amp;ROW()+4&amp;""),INDIRECT("数出表_Excel【15時】!A"&amp;ROW()+4-1&amp;"")),"")</f>
        <v/>
      </c>
      <c r="C340" t="str">
        <f t="array" aca="1" ref="C340" ca="1">IF(OR(COUNTIF(数出表_Excel【15時】!AO344,"*修正*"),COUNTIF(数出表_Excel【15時】!AO345,"*修正*")),
IF(ISEVEN(ROW()+4),INDIRECT("数出表_Excel【15時】!A"&amp;ROW()+4+1&amp;""),INDIRECT("数出表_Excel【15時】!A"&amp;ROW()+4&amp;"")),"")</f>
        <v/>
      </c>
      <c r="D340" s="209" t="str">
        <f t="array" aca="1" ref="D340" ca="1">IF(B340&lt;&gt;"",
IFERROR(MATCH(TRUE,ISNUMBER(INDIRECT("数出表_Excel【15時】!B"&amp;(A340+4)&amp;":ZZ"&amp;(A340+4))),0)+1,""),"")</f>
        <v/>
      </c>
      <c r="E340" t="str">
        <f ca="1">IF(D340&lt;&gt;"",
OFFSET(数出表_Excel【15時】!$A$1,2,D340-1)
&amp;IFERROR(OFFSET(数出表_Excel【15時】!$A$1,3,D340-1),"")
&amp;IFERROR(OFFSET(数出表_Excel【15時】!$A$1,4,D340-1),""),"")</f>
        <v/>
      </c>
      <c r="F340" t="str">
        <f ca="1">IF(D340&lt;&gt;"",
OFFSET(数出表_Excel【15時】!$A$1,A340+3,D340-1),"")</f>
        <v/>
      </c>
      <c r="G340" t="str">
        <f ca="1">IF(D340&lt;&gt;"",
IF(AND(OFFSET(数出表_Excel【15時】!$A$1,A340+3,D340)&lt;&gt;"",OFFSET(数出表_Excel【15時】!$A$1,A340+3,D340)&lt;&gt;0),
OFFSET(数出表_Excel【15時】!$A$1,A340+3,D340),""),"")</f>
        <v/>
      </c>
      <c r="H340" s="209" t="str">
        <f t="array" aca="1" ref="H340" ca="1">IF(B340&lt;&gt;"",
IFERROR(MATCH(TRUE,ISNUMBER(INDIRECT("数出表_Excel【15時】!"&amp;SUBSTITUTE(ADDRESS(1,D340+2,4),"1","")&amp;(A340+4)&amp;":ZZ"&amp;(A340+4))),0)+D340+1,""),"")</f>
        <v/>
      </c>
      <c r="I340" t="str">
        <f ca="1">IF(H340&lt;&gt;"",
OFFSET(数出表_Excel【15時】!$A$1,2,H340-1)
&amp;IFERROR(OFFSET(数出表_Excel【15時】!$A$1,3,H340-1),"")
&amp;IFERROR(OFFSET(数出表_Excel【15時】!$A$1,4,H340-1),""),"")</f>
        <v/>
      </c>
      <c r="J340" t="str">
        <f ca="1">IF(H340&lt;&gt;"",
OFFSET(数出表_Excel【15時】!$A$1,A340+3,H340-1),"")</f>
        <v/>
      </c>
      <c r="K340" t="str">
        <f ca="1">IF(H340&lt;&gt;"",
IF(AND(OFFSET(数出表_Excel【15時】!$A$1,A340+3,H340)&lt;&gt;"",OFFSET(数出表_Excel【15時】!$A$1,A340+3,H340)&lt;&gt;0),
OFFSET(数出表_Excel【15時】!$A$1,A340+3,H340),""),"")</f>
        <v/>
      </c>
      <c r="L340" s="209" t="str">
        <f t="array" aca="1" ref="L340" ca="1">IF(B340&lt;&gt;"",
IFERROR(MATCH(TRUE,ISNUMBER(INDIRECT("数出表_Excel【15時】!"&amp;SUBSTITUTE(ADDRESS(1,H340+2,4),"1","")&amp;(A340+4)&amp;":ZZ"&amp;(A340+4))),0)+H340+1,""),"")</f>
        <v/>
      </c>
      <c r="M340" t="str">
        <f ca="1">IF(L340&lt;&gt;"",
OFFSET(数出表_Excel【15時】!$A$1,2,L340-1)
&amp;IFERROR(OFFSET(数出表_Excel【15時】!$A$1,3,L340-1),"")
&amp;IFERROR(OFFSET(数出表_Excel【15時】!$A$1,4,L340-1),""),"")</f>
        <v/>
      </c>
      <c r="N340" t="str">
        <f ca="1">IF(L340&lt;&gt;"",
OFFSET(数出表_Excel【15時】!$A$1,A340+3,L340-1),"")</f>
        <v/>
      </c>
      <c r="O340" t="str">
        <f ca="1">IF(L340&lt;&gt;"",
IF(AND(OFFSET(数出表_Excel【15時】!$A$1,A340+3,L340)&lt;&gt;"",OFFSET(数出表_Excel【15時】!$A$1,A340+3,L340)&lt;&gt;0),
OFFSET(数出表_Excel【15時】!$A$1,A340+3,L340),""),"")</f>
        <v/>
      </c>
      <c r="Q340" t="str">
        <f ca="1">IF(C340&lt;&gt;"",
IF(E340&lt;&gt;"",1,0)+IF(I340&lt;&gt;"",1,0)+IF(M340&lt;&gt;"",1,0),"")</f>
        <v/>
      </c>
    </row>
    <row r="341" spans="1:17">
      <c r="A341" t="str">
        <f t="shared" ca="1" si="5"/>
        <v/>
      </c>
      <c r="B341" t="str">
        <f t="array" aca="1" ref="B341" ca="1">IF(OR(COUNTIF(数出表_Excel【15時】!AO344,"*修正*"),COUNTIF(数出表_Excel【15時】!AO345,"*修正*")),
IF(ISEVEN(ROW()+4),INDIRECT("数出表_Excel【15時】!A"&amp;ROW()+4&amp;""),INDIRECT("数出表_Excel【15時】!A"&amp;ROW()+4-1&amp;"")),"")</f>
        <v/>
      </c>
      <c r="C341" t="str">
        <f t="array" aca="1" ref="C341" ca="1">IF(OR(COUNTIF(数出表_Excel【15時】!AO344,"*修正*"),COUNTIF(数出表_Excel【15時】!AO345,"*修正*")),
IF(ISEVEN(ROW()+4),INDIRECT("数出表_Excel【15時】!A"&amp;ROW()+4+1&amp;""),INDIRECT("数出表_Excel【15時】!A"&amp;ROW()+4&amp;"")),"")</f>
        <v/>
      </c>
      <c r="D341" s="209" t="str">
        <f t="array" aca="1" ref="D341" ca="1">IF(B341&lt;&gt;"",
IFERROR(MATCH(TRUE,ISNUMBER(INDIRECT("数出表_Excel【15時】!B"&amp;(A341+4)&amp;":ZZ"&amp;(A341+4))),0)+1,""),"")</f>
        <v/>
      </c>
      <c r="E341" t="str">
        <f ca="1">IF(D341&lt;&gt;"",
OFFSET(数出表_Excel【15時】!$A$1,2,D341-1)
&amp;IFERROR(OFFSET(数出表_Excel【15時】!$A$1,3,D341-1),"")
&amp;IFERROR(OFFSET(数出表_Excel【15時】!$A$1,4,D341-1),""),"")</f>
        <v/>
      </c>
      <c r="F341" t="str">
        <f ca="1">IF(D341&lt;&gt;"",
OFFSET(数出表_Excel【15時】!$A$1,A341+3,D341-1),"")</f>
        <v/>
      </c>
      <c r="G341" t="str">
        <f ca="1">IF(D341&lt;&gt;"",
IF(AND(OFFSET(数出表_Excel【15時】!$A$1,A341+3,D341)&lt;&gt;"",OFFSET(数出表_Excel【15時】!$A$1,A341+3,D341)&lt;&gt;0),
OFFSET(数出表_Excel【15時】!$A$1,A341+3,D341),""),"")</f>
        <v/>
      </c>
      <c r="H341" s="209" t="str">
        <f t="array" aca="1" ref="H341" ca="1">IF(B341&lt;&gt;"",
IFERROR(MATCH(TRUE,ISNUMBER(INDIRECT("数出表_Excel【15時】!"&amp;SUBSTITUTE(ADDRESS(1,D341+2,4),"1","")&amp;(A341+4)&amp;":ZZ"&amp;(A341+4))),0)+D341+1,""),"")</f>
        <v/>
      </c>
      <c r="I341" t="str">
        <f ca="1">IF(H341&lt;&gt;"",
OFFSET(数出表_Excel【15時】!$A$1,2,H341-1)
&amp;IFERROR(OFFSET(数出表_Excel【15時】!$A$1,3,H341-1),"")
&amp;IFERROR(OFFSET(数出表_Excel【15時】!$A$1,4,H341-1),""),"")</f>
        <v/>
      </c>
      <c r="J341" t="str">
        <f ca="1">IF(H341&lt;&gt;"",
OFFSET(数出表_Excel【15時】!$A$1,A341+3,H341-1),"")</f>
        <v/>
      </c>
      <c r="K341" t="str">
        <f ca="1">IF(H341&lt;&gt;"",
IF(AND(OFFSET(数出表_Excel【15時】!$A$1,A341+3,H341)&lt;&gt;"",OFFSET(数出表_Excel【15時】!$A$1,A341+3,H341)&lt;&gt;0),
OFFSET(数出表_Excel【15時】!$A$1,A341+3,H341),""),"")</f>
        <v/>
      </c>
      <c r="L341" s="209" t="str">
        <f t="array" aca="1" ref="L341" ca="1">IF(B341&lt;&gt;"",
IFERROR(MATCH(TRUE,ISNUMBER(INDIRECT("数出表_Excel【15時】!"&amp;SUBSTITUTE(ADDRESS(1,H341+2,4),"1","")&amp;(A341+4)&amp;":ZZ"&amp;(A341+4))),0)+H341+1,""),"")</f>
        <v/>
      </c>
      <c r="M341" t="str">
        <f ca="1">IF(L341&lt;&gt;"",
OFFSET(数出表_Excel【15時】!$A$1,2,L341-1)
&amp;IFERROR(OFFSET(数出表_Excel【15時】!$A$1,3,L341-1),"")
&amp;IFERROR(OFFSET(数出表_Excel【15時】!$A$1,4,L341-1),""),"")</f>
        <v/>
      </c>
      <c r="N341" t="str">
        <f ca="1">IF(L341&lt;&gt;"",
OFFSET(数出表_Excel【15時】!$A$1,A341+3,L341-1),"")</f>
        <v/>
      </c>
      <c r="O341" t="str">
        <f ca="1">IF(L341&lt;&gt;"",
IF(AND(OFFSET(数出表_Excel【15時】!$A$1,A341+3,L341)&lt;&gt;"",OFFSET(数出表_Excel【15時】!$A$1,A341+3,L341)&lt;&gt;0),
OFFSET(数出表_Excel【15時】!$A$1,A341+3,L341),""),"")</f>
        <v/>
      </c>
    </row>
    <row r="342" spans="1:17">
      <c r="A342" t="str">
        <f t="shared" ca="1" si="5"/>
        <v/>
      </c>
      <c r="B342" t="str">
        <f t="array" aca="1" ref="B342" ca="1">IF(OR(COUNTIF(数出表_Excel【15時】!AO346,"*修正*"),COUNTIF(数出表_Excel【15時】!AO347,"*修正*")),
IF(ISEVEN(ROW()+4),INDIRECT("数出表_Excel【15時】!A"&amp;ROW()+4&amp;""),INDIRECT("数出表_Excel【15時】!A"&amp;ROW()+4-1&amp;"")),"")</f>
        <v/>
      </c>
      <c r="C342" t="str">
        <f t="array" aca="1" ref="C342" ca="1">IF(OR(COUNTIF(数出表_Excel【15時】!AO346,"*修正*"),COUNTIF(数出表_Excel【15時】!AO347,"*修正*")),
IF(ISEVEN(ROW()+4),INDIRECT("数出表_Excel【15時】!A"&amp;ROW()+4+1&amp;""),INDIRECT("数出表_Excel【15時】!A"&amp;ROW()+4&amp;"")),"")</f>
        <v/>
      </c>
      <c r="D342" s="209" t="str">
        <f t="array" aca="1" ref="D342" ca="1">IF(B342&lt;&gt;"",
IFERROR(MATCH(TRUE,ISNUMBER(INDIRECT("数出表_Excel【15時】!B"&amp;(A342+4)&amp;":ZZ"&amp;(A342+4))),0)+1,""),"")</f>
        <v/>
      </c>
      <c r="E342" t="str">
        <f ca="1">IF(D342&lt;&gt;"",
OFFSET(数出表_Excel【15時】!$A$1,2,D342-1)
&amp;IFERROR(OFFSET(数出表_Excel【15時】!$A$1,3,D342-1),"")
&amp;IFERROR(OFFSET(数出表_Excel【15時】!$A$1,4,D342-1),""),"")</f>
        <v/>
      </c>
      <c r="F342" t="str">
        <f ca="1">IF(D342&lt;&gt;"",
OFFSET(数出表_Excel【15時】!$A$1,A342+3,D342-1),"")</f>
        <v/>
      </c>
      <c r="G342" t="str">
        <f ca="1">IF(D342&lt;&gt;"",
IF(AND(OFFSET(数出表_Excel【15時】!$A$1,A342+3,D342)&lt;&gt;"",OFFSET(数出表_Excel【15時】!$A$1,A342+3,D342)&lt;&gt;0),
OFFSET(数出表_Excel【15時】!$A$1,A342+3,D342),""),"")</f>
        <v/>
      </c>
      <c r="H342" s="209" t="str">
        <f t="array" aca="1" ref="H342" ca="1">IF(B342&lt;&gt;"",
IFERROR(MATCH(TRUE,ISNUMBER(INDIRECT("数出表_Excel【15時】!"&amp;SUBSTITUTE(ADDRESS(1,D342+2,4),"1","")&amp;(A342+4)&amp;":ZZ"&amp;(A342+4))),0)+D342+1,""),"")</f>
        <v/>
      </c>
      <c r="I342" t="str">
        <f ca="1">IF(H342&lt;&gt;"",
OFFSET(数出表_Excel【15時】!$A$1,2,H342-1)
&amp;IFERROR(OFFSET(数出表_Excel【15時】!$A$1,3,H342-1),"")
&amp;IFERROR(OFFSET(数出表_Excel【15時】!$A$1,4,H342-1),""),"")</f>
        <v/>
      </c>
      <c r="J342" t="str">
        <f ca="1">IF(H342&lt;&gt;"",
OFFSET(数出表_Excel【15時】!$A$1,A342+3,H342-1),"")</f>
        <v/>
      </c>
      <c r="K342" t="str">
        <f ca="1">IF(H342&lt;&gt;"",
IF(AND(OFFSET(数出表_Excel【15時】!$A$1,A342+3,H342)&lt;&gt;"",OFFSET(数出表_Excel【15時】!$A$1,A342+3,H342)&lt;&gt;0),
OFFSET(数出表_Excel【15時】!$A$1,A342+3,H342),""),"")</f>
        <v/>
      </c>
      <c r="L342" s="209" t="str">
        <f t="array" aca="1" ref="L342" ca="1">IF(B342&lt;&gt;"",
IFERROR(MATCH(TRUE,ISNUMBER(INDIRECT("数出表_Excel【15時】!"&amp;SUBSTITUTE(ADDRESS(1,H342+2,4),"1","")&amp;(A342+4)&amp;":ZZ"&amp;(A342+4))),0)+H342+1,""),"")</f>
        <v/>
      </c>
      <c r="M342" t="str">
        <f ca="1">IF(L342&lt;&gt;"",
OFFSET(数出表_Excel【15時】!$A$1,2,L342-1)
&amp;IFERROR(OFFSET(数出表_Excel【15時】!$A$1,3,L342-1),"")
&amp;IFERROR(OFFSET(数出表_Excel【15時】!$A$1,4,L342-1),""),"")</f>
        <v/>
      </c>
      <c r="N342" t="str">
        <f ca="1">IF(L342&lt;&gt;"",
OFFSET(数出表_Excel【15時】!$A$1,A342+3,L342-1),"")</f>
        <v/>
      </c>
      <c r="O342" t="str">
        <f ca="1">IF(L342&lt;&gt;"",
IF(AND(OFFSET(数出表_Excel【15時】!$A$1,A342+3,L342)&lt;&gt;"",OFFSET(数出表_Excel【15時】!$A$1,A342+3,L342)&lt;&gt;0),
OFFSET(数出表_Excel【15時】!$A$1,A342+3,L342),""),"")</f>
        <v/>
      </c>
      <c r="Q342" t="str">
        <f ca="1">IF(C342&lt;&gt;"",
IF(E342&lt;&gt;"",1,0)+IF(I342&lt;&gt;"",1,0)+IF(M342&lt;&gt;"",1,0),"")</f>
        <v/>
      </c>
    </row>
    <row r="343" spans="1:17">
      <c r="A343" t="str">
        <f t="shared" ca="1" si="5"/>
        <v/>
      </c>
      <c r="B343" t="str">
        <f t="array" aca="1" ref="B343" ca="1">IF(OR(COUNTIF(数出表_Excel【15時】!AO346,"*修正*"),COUNTIF(数出表_Excel【15時】!AO347,"*修正*")),
IF(ISEVEN(ROW()+4),INDIRECT("数出表_Excel【15時】!A"&amp;ROW()+4&amp;""),INDIRECT("数出表_Excel【15時】!A"&amp;ROW()+4-1&amp;"")),"")</f>
        <v/>
      </c>
      <c r="C343" t="str">
        <f t="array" aca="1" ref="C343" ca="1">IF(OR(COUNTIF(数出表_Excel【15時】!AO346,"*修正*"),COUNTIF(数出表_Excel【15時】!AO347,"*修正*")),
IF(ISEVEN(ROW()+4),INDIRECT("数出表_Excel【15時】!A"&amp;ROW()+4+1&amp;""),INDIRECT("数出表_Excel【15時】!A"&amp;ROW()+4&amp;"")),"")</f>
        <v/>
      </c>
      <c r="D343" s="209" t="str">
        <f t="array" aca="1" ref="D343" ca="1">IF(B343&lt;&gt;"",
IFERROR(MATCH(TRUE,ISNUMBER(INDIRECT("数出表_Excel【15時】!B"&amp;(A343+4)&amp;":ZZ"&amp;(A343+4))),0)+1,""),"")</f>
        <v/>
      </c>
      <c r="E343" t="str">
        <f ca="1">IF(D343&lt;&gt;"",
OFFSET(数出表_Excel【15時】!$A$1,2,D343-1)
&amp;IFERROR(OFFSET(数出表_Excel【15時】!$A$1,3,D343-1),"")
&amp;IFERROR(OFFSET(数出表_Excel【15時】!$A$1,4,D343-1),""),"")</f>
        <v/>
      </c>
      <c r="F343" t="str">
        <f ca="1">IF(D343&lt;&gt;"",
OFFSET(数出表_Excel【15時】!$A$1,A343+3,D343-1),"")</f>
        <v/>
      </c>
      <c r="G343" t="str">
        <f ca="1">IF(D343&lt;&gt;"",
IF(AND(OFFSET(数出表_Excel【15時】!$A$1,A343+3,D343)&lt;&gt;"",OFFSET(数出表_Excel【15時】!$A$1,A343+3,D343)&lt;&gt;0),
OFFSET(数出表_Excel【15時】!$A$1,A343+3,D343),""),"")</f>
        <v/>
      </c>
      <c r="H343" s="209" t="str">
        <f t="array" aca="1" ref="H343" ca="1">IF(B343&lt;&gt;"",
IFERROR(MATCH(TRUE,ISNUMBER(INDIRECT("数出表_Excel【15時】!"&amp;SUBSTITUTE(ADDRESS(1,D343+2,4),"1","")&amp;(A343+4)&amp;":ZZ"&amp;(A343+4))),0)+D343+1,""),"")</f>
        <v/>
      </c>
      <c r="I343" t="str">
        <f ca="1">IF(H343&lt;&gt;"",
OFFSET(数出表_Excel【15時】!$A$1,2,H343-1)
&amp;IFERROR(OFFSET(数出表_Excel【15時】!$A$1,3,H343-1),"")
&amp;IFERROR(OFFSET(数出表_Excel【15時】!$A$1,4,H343-1),""),"")</f>
        <v/>
      </c>
      <c r="J343" t="str">
        <f ca="1">IF(H343&lt;&gt;"",
OFFSET(数出表_Excel【15時】!$A$1,A343+3,H343-1),"")</f>
        <v/>
      </c>
      <c r="K343" t="str">
        <f ca="1">IF(H343&lt;&gt;"",
IF(AND(OFFSET(数出表_Excel【15時】!$A$1,A343+3,H343)&lt;&gt;"",OFFSET(数出表_Excel【15時】!$A$1,A343+3,H343)&lt;&gt;0),
OFFSET(数出表_Excel【15時】!$A$1,A343+3,H343),""),"")</f>
        <v/>
      </c>
      <c r="L343" s="209" t="str">
        <f t="array" aca="1" ref="L343" ca="1">IF(B343&lt;&gt;"",
IFERROR(MATCH(TRUE,ISNUMBER(INDIRECT("数出表_Excel【15時】!"&amp;SUBSTITUTE(ADDRESS(1,H343+2,4),"1","")&amp;(A343+4)&amp;":ZZ"&amp;(A343+4))),0)+H343+1,""),"")</f>
        <v/>
      </c>
      <c r="M343" t="str">
        <f ca="1">IF(L343&lt;&gt;"",
OFFSET(数出表_Excel【15時】!$A$1,2,L343-1)
&amp;IFERROR(OFFSET(数出表_Excel【15時】!$A$1,3,L343-1),"")
&amp;IFERROR(OFFSET(数出表_Excel【15時】!$A$1,4,L343-1),""),"")</f>
        <v/>
      </c>
      <c r="N343" t="str">
        <f ca="1">IF(L343&lt;&gt;"",
OFFSET(数出表_Excel【15時】!$A$1,A343+3,L343-1),"")</f>
        <v/>
      </c>
      <c r="O343" t="str">
        <f ca="1">IF(L343&lt;&gt;"",
IF(AND(OFFSET(数出表_Excel【15時】!$A$1,A343+3,L343)&lt;&gt;"",OFFSET(数出表_Excel【15時】!$A$1,A343+3,L343)&lt;&gt;0),
OFFSET(数出表_Excel【15時】!$A$1,A343+3,L343),""),"")</f>
        <v/>
      </c>
    </row>
    <row r="344" spans="1:17">
      <c r="A344" t="str">
        <f t="shared" ca="1" si="5"/>
        <v/>
      </c>
      <c r="B344" t="str">
        <f t="array" aca="1" ref="B344" ca="1">IF(OR(COUNTIF(数出表_Excel【15時】!AO348,"*修正*"),COUNTIF(数出表_Excel【15時】!AO349,"*修正*")),
IF(ISEVEN(ROW()+4),INDIRECT("数出表_Excel【15時】!A"&amp;ROW()+4&amp;""),INDIRECT("数出表_Excel【15時】!A"&amp;ROW()+4-1&amp;"")),"")</f>
        <v/>
      </c>
      <c r="C344" t="str">
        <f t="array" aca="1" ref="C344" ca="1">IF(OR(COUNTIF(数出表_Excel【15時】!AO348,"*修正*"),COUNTIF(数出表_Excel【15時】!AO349,"*修正*")),
IF(ISEVEN(ROW()+4),INDIRECT("数出表_Excel【15時】!A"&amp;ROW()+4+1&amp;""),INDIRECT("数出表_Excel【15時】!A"&amp;ROW()+4&amp;"")),"")</f>
        <v/>
      </c>
      <c r="D344" s="209" t="str">
        <f t="array" aca="1" ref="D344" ca="1">IF(B344&lt;&gt;"",
IFERROR(MATCH(TRUE,ISNUMBER(INDIRECT("数出表_Excel【15時】!B"&amp;(A344+4)&amp;":ZZ"&amp;(A344+4))),0)+1,""),"")</f>
        <v/>
      </c>
      <c r="E344" t="str">
        <f ca="1">IF(D344&lt;&gt;"",
OFFSET(数出表_Excel【15時】!$A$1,2,D344-1)
&amp;IFERROR(OFFSET(数出表_Excel【15時】!$A$1,3,D344-1),"")
&amp;IFERROR(OFFSET(数出表_Excel【15時】!$A$1,4,D344-1),""),"")</f>
        <v/>
      </c>
      <c r="F344" t="str">
        <f ca="1">IF(D344&lt;&gt;"",
OFFSET(数出表_Excel【15時】!$A$1,A344+3,D344-1),"")</f>
        <v/>
      </c>
      <c r="G344" t="str">
        <f ca="1">IF(D344&lt;&gt;"",
IF(AND(OFFSET(数出表_Excel【15時】!$A$1,A344+3,D344)&lt;&gt;"",OFFSET(数出表_Excel【15時】!$A$1,A344+3,D344)&lt;&gt;0),
OFFSET(数出表_Excel【15時】!$A$1,A344+3,D344),""),"")</f>
        <v/>
      </c>
      <c r="H344" s="209" t="str">
        <f t="array" aca="1" ref="H344" ca="1">IF(B344&lt;&gt;"",
IFERROR(MATCH(TRUE,ISNUMBER(INDIRECT("数出表_Excel【15時】!"&amp;SUBSTITUTE(ADDRESS(1,D344+2,4),"1","")&amp;(A344+4)&amp;":ZZ"&amp;(A344+4))),0)+D344+1,""),"")</f>
        <v/>
      </c>
      <c r="I344" t="str">
        <f ca="1">IF(H344&lt;&gt;"",
OFFSET(数出表_Excel【15時】!$A$1,2,H344-1)
&amp;IFERROR(OFFSET(数出表_Excel【15時】!$A$1,3,H344-1),"")
&amp;IFERROR(OFFSET(数出表_Excel【15時】!$A$1,4,H344-1),""),"")</f>
        <v/>
      </c>
      <c r="J344" t="str">
        <f ca="1">IF(H344&lt;&gt;"",
OFFSET(数出表_Excel【15時】!$A$1,A344+3,H344-1),"")</f>
        <v/>
      </c>
      <c r="K344" t="str">
        <f ca="1">IF(H344&lt;&gt;"",
IF(AND(OFFSET(数出表_Excel【15時】!$A$1,A344+3,H344)&lt;&gt;"",OFFSET(数出表_Excel【15時】!$A$1,A344+3,H344)&lt;&gt;0),
OFFSET(数出表_Excel【15時】!$A$1,A344+3,H344),""),"")</f>
        <v/>
      </c>
      <c r="L344" s="209" t="str">
        <f t="array" aca="1" ref="L344" ca="1">IF(B344&lt;&gt;"",
IFERROR(MATCH(TRUE,ISNUMBER(INDIRECT("数出表_Excel【15時】!"&amp;SUBSTITUTE(ADDRESS(1,H344+2,4),"1","")&amp;(A344+4)&amp;":ZZ"&amp;(A344+4))),0)+H344+1,""),"")</f>
        <v/>
      </c>
      <c r="M344" t="str">
        <f ca="1">IF(L344&lt;&gt;"",
OFFSET(数出表_Excel【15時】!$A$1,2,L344-1)
&amp;IFERROR(OFFSET(数出表_Excel【15時】!$A$1,3,L344-1),"")
&amp;IFERROR(OFFSET(数出表_Excel【15時】!$A$1,4,L344-1),""),"")</f>
        <v/>
      </c>
      <c r="N344" t="str">
        <f ca="1">IF(L344&lt;&gt;"",
OFFSET(数出表_Excel【15時】!$A$1,A344+3,L344-1),"")</f>
        <v/>
      </c>
      <c r="O344" t="str">
        <f ca="1">IF(L344&lt;&gt;"",
IF(AND(OFFSET(数出表_Excel【15時】!$A$1,A344+3,L344)&lt;&gt;"",OFFSET(数出表_Excel【15時】!$A$1,A344+3,L344)&lt;&gt;0),
OFFSET(数出表_Excel【15時】!$A$1,A344+3,L344),""),"")</f>
        <v/>
      </c>
      <c r="Q344" t="str">
        <f ca="1">IF(C344&lt;&gt;"",
IF(E344&lt;&gt;"",1,0)+IF(I344&lt;&gt;"",1,0)+IF(M344&lt;&gt;"",1,0),"")</f>
        <v/>
      </c>
    </row>
    <row r="345" spans="1:17">
      <c r="A345" t="str">
        <f t="shared" ca="1" si="5"/>
        <v/>
      </c>
      <c r="B345" t="str">
        <f t="array" aca="1" ref="B345" ca="1">IF(OR(COUNTIF(数出表_Excel【15時】!AO348,"*修正*"),COUNTIF(数出表_Excel【15時】!AO349,"*修正*")),
IF(ISEVEN(ROW()+4),INDIRECT("数出表_Excel【15時】!A"&amp;ROW()+4&amp;""),INDIRECT("数出表_Excel【15時】!A"&amp;ROW()+4-1&amp;"")),"")</f>
        <v/>
      </c>
      <c r="C345" t="str">
        <f t="array" aca="1" ref="C345" ca="1">IF(OR(COUNTIF(数出表_Excel【15時】!AO348,"*修正*"),COUNTIF(数出表_Excel【15時】!AO349,"*修正*")),
IF(ISEVEN(ROW()+4),INDIRECT("数出表_Excel【15時】!A"&amp;ROW()+4+1&amp;""),INDIRECT("数出表_Excel【15時】!A"&amp;ROW()+4&amp;"")),"")</f>
        <v/>
      </c>
      <c r="D345" s="209" t="str">
        <f t="array" aca="1" ref="D345" ca="1">IF(B345&lt;&gt;"",
IFERROR(MATCH(TRUE,ISNUMBER(INDIRECT("数出表_Excel【15時】!B"&amp;(A345+4)&amp;":ZZ"&amp;(A345+4))),0)+1,""),"")</f>
        <v/>
      </c>
      <c r="E345" t="str">
        <f ca="1">IF(D345&lt;&gt;"",
OFFSET(数出表_Excel【15時】!$A$1,2,D345-1)
&amp;IFERROR(OFFSET(数出表_Excel【15時】!$A$1,3,D345-1),"")
&amp;IFERROR(OFFSET(数出表_Excel【15時】!$A$1,4,D345-1),""),"")</f>
        <v/>
      </c>
      <c r="F345" t="str">
        <f ca="1">IF(D345&lt;&gt;"",
OFFSET(数出表_Excel【15時】!$A$1,A345+3,D345-1),"")</f>
        <v/>
      </c>
      <c r="G345" t="str">
        <f ca="1">IF(D345&lt;&gt;"",
IF(AND(OFFSET(数出表_Excel【15時】!$A$1,A345+3,D345)&lt;&gt;"",OFFSET(数出表_Excel【15時】!$A$1,A345+3,D345)&lt;&gt;0),
OFFSET(数出表_Excel【15時】!$A$1,A345+3,D345),""),"")</f>
        <v/>
      </c>
      <c r="H345" s="209" t="str">
        <f t="array" aca="1" ref="H345" ca="1">IF(B345&lt;&gt;"",
IFERROR(MATCH(TRUE,ISNUMBER(INDIRECT("数出表_Excel【15時】!"&amp;SUBSTITUTE(ADDRESS(1,D345+2,4),"1","")&amp;(A345+4)&amp;":ZZ"&amp;(A345+4))),0)+D345+1,""),"")</f>
        <v/>
      </c>
      <c r="I345" t="str">
        <f ca="1">IF(H345&lt;&gt;"",
OFFSET(数出表_Excel【15時】!$A$1,2,H345-1)
&amp;IFERROR(OFFSET(数出表_Excel【15時】!$A$1,3,H345-1),"")
&amp;IFERROR(OFFSET(数出表_Excel【15時】!$A$1,4,H345-1),""),"")</f>
        <v/>
      </c>
      <c r="J345" t="str">
        <f ca="1">IF(H345&lt;&gt;"",
OFFSET(数出表_Excel【15時】!$A$1,A345+3,H345-1),"")</f>
        <v/>
      </c>
      <c r="K345" t="str">
        <f ca="1">IF(H345&lt;&gt;"",
IF(AND(OFFSET(数出表_Excel【15時】!$A$1,A345+3,H345)&lt;&gt;"",OFFSET(数出表_Excel【15時】!$A$1,A345+3,H345)&lt;&gt;0),
OFFSET(数出表_Excel【15時】!$A$1,A345+3,H345),""),"")</f>
        <v/>
      </c>
      <c r="L345" s="209" t="str">
        <f t="array" aca="1" ref="L345" ca="1">IF(B345&lt;&gt;"",
IFERROR(MATCH(TRUE,ISNUMBER(INDIRECT("数出表_Excel【15時】!"&amp;SUBSTITUTE(ADDRESS(1,H345+2,4),"1","")&amp;(A345+4)&amp;":ZZ"&amp;(A345+4))),0)+H345+1,""),"")</f>
        <v/>
      </c>
      <c r="M345" t="str">
        <f ca="1">IF(L345&lt;&gt;"",
OFFSET(数出表_Excel【15時】!$A$1,2,L345-1)
&amp;IFERROR(OFFSET(数出表_Excel【15時】!$A$1,3,L345-1),"")
&amp;IFERROR(OFFSET(数出表_Excel【15時】!$A$1,4,L345-1),""),"")</f>
        <v/>
      </c>
      <c r="N345" t="str">
        <f ca="1">IF(L345&lt;&gt;"",
OFFSET(数出表_Excel【15時】!$A$1,A345+3,L345-1),"")</f>
        <v/>
      </c>
      <c r="O345" t="str">
        <f ca="1">IF(L345&lt;&gt;"",
IF(AND(OFFSET(数出表_Excel【15時】!$A$1,A345+3,L345)&lt;&gt;"",OFFSET(数出表_Excel【15時】!$A$1,A345+3,L345)&lt;&gt;0),
OFFSET(数出表_Excel【15時】!$A$1,A345+3,L345),""),"")</f>
        <v/>
      </c>
    </row>
    <row r="346" spans="1:17">
      <c r="A346" t="str">
        <f t="shared" ca="1" si="5"/>
        <v/>
      </c>
      <c r="B346" t="str">
        <f t="array" aca="1" ref="B346" ca="1">IF(OR(COUNTIF(数出表_Excel【15時】!AO350,"*修正*"),COUNTIF(数出表_Excel【15時】!AO351,"*修正*")),
IF(ISEVEN(ROW()+4),INDIRECT("数出表_Excel【15時】!A"&amp;ROW()+4&amp;""),INDIRECT("数出表_Excel【15時】!A"&amp;ROW()+4-1&amp;"")),"")</f>
        <v/>
      </c>
      <c r="C346" t="str">
        <f t="array" aca="1" ref="C346" ca="1">IF(OR(COUNTIF(数出表_Excel【15時】!AO350,"*修正*"),COUNTIF(数出表_Excel【15時】!AO351,"*修正*")),
IF(ISEVEN(ROW()+4),INDIRECT("数出表_Excel【15時】!A"&amp;ROW()+4+1&amp;""),INDIRECT("数出表_Excel【15時】!A"&amp;ROW()+4&amp;"")),"")</f>
        <v/>
      </c>
      <c r="D346" s="209" t="str">
        <f t="array" aca="1" ref="D346" ca="1">IF(B346&lt;&gt;"",
IFERROR(MATCH(TRUE,ISNUMBER(INDIRECT("数出表_Excel【15時】!B"&amp;(A346+4)&amp;":ZZ"&amp;(A346+4))),0)+1,""),"")</f>
        <v/>
      </c>
      <c r="E346" t="str">
        <f ca="1">IF(D346&lt;&gt;"",
OFFSET(数出表_Excel【15時】!$A$1,2,D346-1)
&amp;IFERROR(OFFSET(数出表_Excel【15時】!$A$1,3,D346-1),"")
&amp;IFERROR(OFFSET(数出表_Excel【15時】!$A$1,4,D346-1),""),"")</f>
        <v/>
      </c>
      <c r="F346" t="str">
        <f ca="1">IF(D346&lt;&gt;"",
OFFSET(数出表_Excel【15時】!$A$1,A346+3,D346-1),"")</f>
        <v/>
      </c>
      <c r="G346" t="str">
        <f ca="1">IF(D346&lt;&gt;"",
IF(AND(OFFSET(数出表_Excel【15時】!$A$1,A346+3,D346)&lt;&gt;"",OFFSET(数出表_Excel【15時】!$A$1,A346+3,D346)&lt;&gt;0),
OFFSET(数出表_Excel【15時】!$A$1,A346+3,D346),""),"")</f>
        <v/>
      </c>
      <c r="H346" s="209" t="str">
        <f t="array" aca="1" ref="H346" ca="1">IF(B346&lt;&gt;"",
IFERROR(MATCH(TRUE,ISNUMBER(INDIRECT("数出表_Excel【15時】!"&amp;SUBSTITUTE(ADDRESS(1,D346+2,4),"1","")&amp;(A346+4)&amp;":ZZ"&amp;(A346+4))),0)+D346+1,""),"")</f>
        <v/>
      </c>
      <c r="I346" t="str">
        <f ca="1">IF(H346&lt;&gt;"",
OFFSET(数出表_Excel【15時】!$A$1,2,H346-1)
&amp;IFERROR(OFFSET(数出表_Excel【15時】!$A$1,3,H346-1),"")
&amp;IFERROR(OFFSET(数出表_Excel【15時】!$A$1,4,H346-1),""),"")</f>
        <v/>
      </c>
      <c r="J346" t="str">
        <f ca="1">IF(H346&lt;&gt;"",
OFFSET(数出表_Excel【15時】!$A$1,A346+3,H346-1),"")</f>
        <v/>
      </c>
      <c r="K346" t="str">
        <f ca="1">IF(H346&lt;&gt;"",
IF(AND(OFFSET(数出表_Excel【15時】!$A$1,A346+3,H346)&lt;&gt;"",OFFSET(数出表_Excel【15時】!$A$1,A346+3,H346)&lt;&gt;0),
OFFSET(数出表_Excel【15時】!$A$1,A346+3,H346),""),"")</f>
        <v/>
      </c>
      <c r="L346" s="209" t="str">
        <f t="array" aca="1" ref="L346" ca="1">IF(B346&lt;&gt;"",
IFERROR(MATCH(TRUE,ISNUMBER(INDIRECT("数出表_Excel【15時】!"&amp;SUBSTITUTE(ADDRESS(1,H346+2,4),"1","")&amp;(A346+4)&amp;":ZZ"&amp;(A346+4))),0)+H346+1,""),"")</f>
        <v/>
      </c>
      <c r="M346" t="str">
        <f ca="1">IF(L346&lt;&gt;"",
OFFSET(数出表_Excel【15時】!$A$1,2,L346-1)
&amp;IFERROR(OFFSET(数出表_Excel【15時】!$A$1,3,L346-1),"")
&amp;IFERROR(OFFSET(数出表_Excel【15時】!$A$1,4,L346-1),""),"")</f>
        <v/>
      </c>
      <c r="N346" t="str">
        <f ca="1">IF(L346&lt;&gt;"",
OFFSET(数出表_Excel【15時】!$A$1,A346+3,L346-1),"")</f>
        <v/>
      </c>
      <c r="O346" t="str">
        <f ca="1">IF(L346&lt;&gt;"",
IF(AND(OFFSET(数出表_Excel【15時】!$A$1,A346+3,L346)&lt;&gt;"",OFFSET(数出表_Excel【15時】!$A$1,A346+3,L346)&lt;&gt;0),
OFFSET(数出表_Excel【15時】!$A$1,A346+3,L346),""),"")</f>
        <v/>
      </c>
      <c r="Q346" t="str">
        <f ca="1">IF(C346&lt;&gt;"",
IF(E346&lt;&gt;"",1,0)+IF(I346&lt;&gt;"",1,0)+IF(M346&lt;&gt;"",1,0),"")</f>
        <v/>
      </c>
    </row>
    <row r="347" spans="1:17">
      <c r="A347" t="str">
        <f t="shared" ca="1" si="5"/>
        <v/>
      </c>
      <c r="B347" t="str">
        <f t="array" aca="1" ref="B347" ca="1">IF(OR(COUNTIF(数出表_Excel【15時】!AO350,"*修正*"),COUNTIF(数出表_Excel【15時】!AO351,"*修正*")),
IF(ISEVEN(ROW()+4),INDIRECT("数出表_Excel【15時】!A"&amp;ROW()+4&amp;""),INDIRECT("数出表_Excel【15時】!A"&amp;ROW()+4-1&amp;"")),"")</f>
        <v/>
      </c>
      <c r="C347" t="str">
        <f t="array" aca="1" ref="C347" ca="1">IF(OR(COUNTIF(数出表_Excel【15時】!AO350,"*修正*"),COUNTIF(数出表_Excel【15時】!AO351,"*修正*")),
IF(ISEVEN(ROW()+4),INDIRECT("数出表_Excel【15時】!A"&amp;ROW()+4+1&amp;""),INDIRECT("数出表_Excel【15時】!A"&amp;ROW()+4&amp;"")),"")</f>
        <v/>
      </c>
      <c r="D347" s="209" t="str">
        <f t="array" aca="1" ref="D347" ca="1">IF(B347&lt;&gt;"",
IFERROR(MATCH(TRUE,ISNUMBER(INDIRECT("数出表_Excel【15時】!B"&amp;(A347+4)&amp;":ZZ"&amp;(A347+4))),0)+1,""),"")</f>
        <v/>
      </c>
      <c r="E347" t="str">
        <f ca="1">IF(D347&lt;&gt;"",
OFFSET(数出表_Excel【15時】!$A$1,2,D347-1)
&amp;IFERROR(OFFSET(数出表_Excel【15時】!$A$1,3,D347-1),"")
&amp;IFERROR(OFFSET(数出表_Excel【15時】!$A$1,4,D347-1),""),"")</f>
        <v/>
      </c>
      <c r="F347" t="str">
        <f ca="1">IF(D347&lt;&gt;"",
OFFSET(数出表_Excel【15時】!$A$1,A347+3,D347-1),"")</f>
        <v/>
      </c>
      <c r="G347" t="str">
        <f ca="1">IF(D347&lt;&gt;"",
IF(AND(OFFSET(数出表_Excel【15時】!$A$1,A347+3,D347)&lt;&gt;"",OFFSET(数出表_Excel【15時】!$A$1,A347+3,D347)&lt;&gt;0),
OFFSET(数出表_Excel【15時】!$A$1,A347+3,D347),""),"")</f>
        <v/>
      </c>
      <c r="H347" s="209" t="str">
        <f t="array" aca="1" ref="H347" ca="1">IF(B347&lt;&gt;"",
IFERROR(MATCH(TRUE,ISNUMBER(INDIRECT("数出表_Excel【15時】!"&amp;SUBSTITUTE(ADDRESS(1,D347+2,4),"1","")&amp;(A347+4)&amp;":ZZ"&amp;(A347+4))),0)+D347+1,""),"")</f>
        <v/>
      </c>
      <c r="I347" t="str">
        <f ca="1">IF(H347&lt;&gt;"",
OFFSET(数出表_Excel【15時】!$A$1,2,H347-1)
&amp;IFERROR(OFFSET(数出表_Excel【15時】!$A$1,3,H347-1),"")
&amp;IFERROR(OFFSET(数出表_Excel【15時】!$A$1,4,H347-1),""),"")</f>
        <v/>
      </c>
      <c r="J347" t="str">
        <f ca="1">IF(H347&lt;&gt;"",
OFFSET(数出表_Excel【15時】!$A$1,A347+3,H347-1),"")</f>
        <v/>
      </c>
      <c r="K347" t="str">
        <f ca="1">IF(H347&lt;&gt;"",
IF(AND(OFFSET(数出表_Excel【15時】!$A$1,A347+3,H347)&lt;&gt;"",OFFSET(数出表_Excel【15時】!$A$1,A347+3,H347)&lt;&gt;0),
OFFSET(数出表_Excel【15時】!$A$1,A347+3,H347),""),"")</f>
        <v/>
      </c>
      <c r="L347" s="209" t="str">
        <f t="array" aca="1" ref="L347" ca="1">IF(B347&lt;&gt;"",
IFERROR(MATCH(TRUE,ISNUMBER(INDIRECT("数出表_Excel【15時】!"&amp;SUBSTITUTE(ADDRESS(1,H347+2,4),"1","")&amp;(A347+4)&amp;":ZZ"&amp;(A347+4))),0)+H347+1,""),"")</f>
        <v/>
      </c>
      <c r="M347" t="str">
        <f ca="1">IF(L347&lt;&gt;"",
OFFSET(数出表_Excel【15時】!$A$1,2,L347-1)
&amp;IFERROR(OFFSET(数出表_Excel【15時】!$A$1,3,L347-1),"")
&amp;IFERROR(OFFSET(数出表_Excel【15時】!$A$1,4,L347-1),""),"")</f>
        <v/>
      </c>
      <c r="N347" t="str">
        <f ca="1">IF(L347&lt;&gt;"",
OFFSET(数出表_Excel【15時】!$A$1,A347+3,L347-1),"")</f>
        <v/>
      </c>
      <c r="O347" t="str">
        <f ca="1">IF(L347&lt;&gt;"",
IF(AND(OFFSET(数出表_Excel【15時】!$A$1,A347+3,L347)&lt;&gt;"",OFFSET(数出表_Excel【15時】!$A$1,A347+3,L347)&lt;&gt;0),
OFFSET(数出表_Excel【15時】!$A$1,A347+3,L347),""),"")</f>
        <v/>
      </c>
    </row>
    <row r="348" spans="1:17">
      <c r="A348" t="str">
        <f t="shared" ca="1" si="5"/>
        <v/>
      </c>
      <c r="B348" t="str">
        <f t="array" aca="1" ref="B348" ca="1">IF(OR(COUNTIF(数出表_Excel【15時】!AO352,"*修正*"),COUNTIF(数出表_Excel【15時】!AO353,"*修正*")),
IF(ISEVEN(ROW()+4),INDIRECT("数出表_Excel【15時】!A"&amp;ROW()+4&amp;""),INDIRECT("数出表_Excel【15時】!A"&amp;ROW()+4-1&amp;"")),"")</f>
        <v/>
      </c>
      <c r="C348" t="str">
        <f t="array" aca="1" ref="C348" ca="1">IF(OR(COUNTIF(数出表_Excel【15時】!AO352,"*修正*"),COUNTIF(数出表_Excel【15時】!AO353,"*修正*")),
IF(ISEVEN(ROW()+4),INDIRECT("数出表_Excel【15時】!A"&amp;ROW()+4+1&amp;""),INDIRECT("数出表_Excel【15時】!A"&amp;ROW()+4&amp;"")),"")</f>
        <v/>
      </c>
      <c r="D348" s="209" t="str">
        <f t="array" aca="1" ref="D348" ca="1">IF(B348&lt;&gt;"",
IFERROR(MATCH(TRUE,ISNUMBER(INDIRECT("数出表_Excel【15時】!B"&amp;(A348+4)&amp;":ZZ"&amp;(A348+4))),0)+1,""),"")</f>
        <v/>
      </c>
      <c r="E348" t="str">
        <f ca="1">IF(D348&lt;&gt;"",
OFFSET(数出表_Excel【15時】!$A$1,2,D348-1)
&amp;IFERROR(OFFSET(数出表_Excel【15時】!$A$1,3,D348-1),"")
&amp;IFERROR(OFFSET(数出表_Excel【15時】!$A$1,4,D348-1),""),"")</f>
        <v/>
      </c>
      <c r="F348" t="str">
        <f ca="1">IF(D348&lt;&gt;"",
OFFSET(数出表_Excel【15時】!$A$1,A348+3,D348-1),"")</f>
        <v/>
      </c>
      <c r="G348" t="str">
        <f ca="1">IF(D348&lt;&gt;"",
IF(AND(OFFSET(数出表_Excel【15時】!$A$1,A348+3,D348)&lt;&gt;"",OFFSET(数出表_Excel【15時】!$A$1,A348+3,D348)&lt;&gt;0),
OFFSET(数出表_Excel【15時】!$A$1,A348+3,D348),""),"")</f>
        <v/>
      </c>
      <c r="H348" s="209" t="str">
        <f t="array" aca="1" ref="H348" ca="1">IF(B348&lt;&gt;"",
IFERROR(MATCH(TRUE,ISNUMBER(INDIRECT("数出表_Excel【15時】!"&amp;SUBSTITUTE(ADDRESS(1,D348+2,4),"1","")&amp;(A348+4)&amp;":ZZ"&amp;(A348+4))),0)+D348+1,""),"")</f>
        <v/>
      </c>
      <c r="I348" t="str">
        <f ca="1">IF(H348&lt;&gt;"",
OFFSET(数出表_Excel【15時】!$A$1,2,H348-1)
&amp;IFERROR(OFFSET(数出表_Excel【15時】!$A$1,3,H348-1),"")
&amp;IFERROR(OFFSET(数出表_Excel【15時】!$A$1,4,H348-1),""),"")</f>
        <v/>
      </c>
      <c r="J348" t="str">
        <f ca="1">IF(H348&lt;&gt;"",
OFFSET(数出表_Excel【15時】!$A$1,A348+3,H348-1),"")</f>
        <v/>
      </c>
      <c r="K348" t="str">
        <f ca="1">IF(H348&lt;&gt;"",
IF(AND(OFFSET(数出表_Excel【15時】!$A$1,A348+3,H348)&lt;&gt;"",OFFSET(数出表_Excel【15時】!$A$1,A348+3,H348)&lt;&gt;0),
OFFSET(数出表_Excel【15時】!$A$1,A348+3,H348),""),"")</f>
        <v/>
      </c>
      <c r="L348" s="209" t="str">
        <f t="array" aca="1" ref="L348" ca="1">IF(B348&lt;&gt;"",
IFERROR(MATCH(TRUE,ISNUMBER(INDIRECT("数出表_Excel【15時】!"&amp;SUBSTITUTE(ADDRESS(1,H348+2,4),"1","")&amp;(A348+4)&amp;":ZZ"&amp;(A348+4))),0)+H348+1,""),"")</f>
        <v/>
      </c>
      <c r="M348" t="str">
        <f ca="1">IF(L348&lt;&gt;"",
OFFSET(数出表_Excel【15時】!$A$1,2,L348-1)
&amp;IFERROR(OFFSET(数出表_Excel【15時】!$A$1,3,L348-1),"")
&amp;IFERROR(OFFSET(数出表_Excel【15時】!$A$1,4,L348-1),""),"")</f>
        <v/>
      </c>
      <c r="N348" t="str">
        <f ca="1">IF(L348&lt;&gt;"",
OFFSET(数出表_Excel【15時】!$A$1,A348+3,L348-1),"")</f>
        <v/>
      </c>
      <c r="O348" t="str">
        <f ca="1">IF(L348&lt;&gt;"",
IF(AND(OFFSET(数出表_Excel【15時】!$A$1,A348+3,L348)&lt;&gt;"",OFFSET(数出表_Excel【15時】!$A$1,A348+3,L348)&lt;&gt;0),
OFFSET(数出表_Excel【15時】!$A$1,A348+3,L348),""),"")</f>
        <v/>
      </c>
      <c r="Q348" t="str">
        <f ca="1">IF(C348&lt;&gt;"",
IF(E348&lt;&gt;"",1,0)+IF(I348&lt;&gt;"",1,0)+IF(M348&lt;&gt;"",1,0),"")</f>
        <v/>
      </c>
    </row>
    <row r="349" spans="1:17">
      <c r="A349" t="str">
        <f t="shared" ca="1" si="5"/>
        <v/>
      </c>
      <c r="B349" t="str">
        <f t="array" aca="1" ref="B349" ca="1">IF(OR(COUNTIF(数出表_Excel【15時】!AO352,"*修正*"),COUNTIF(数出表_Excel【15時】!AO353,"*修正*")),
IF(ISEVEN(ROW()+4),INDIRECT("数出表_Excel【15時】!A"&amp;ROW()+4&amp;""),INDIRECT("数出表_Excel【15時】!A"&amp;ROW()+4-1&amp;"")),"")</f>
        <v/>
      </c>
      <c r="C349" t="str">
        <f t="array" aca="1" ref="C349" ca="1">IF(OR(COUNTIF(数出表_Excel【15時】!AO352,"*修正*"),COUNTIF(数出表_Excel【15時】!AO353,"*修正*")),
IF(ISEVEN(ROW()+4),INDIRECT("数出表_Excel【15時】!A"&amp;ROW()+4+1&amp;""),INDIRECT("数出表_Excel【15時】!A"&amp;ROW()+4&amp;"")),"")</f>
        <v/>
      </c>
      <c r="D349" s="209" t="str">
        <f t="array" aca="1" ref="D349" ca="1">IF(B349&lt;&gt;"",
IFERROR(MATCH(TRUE,ISNUMBER(INDIRECT("数出表_Excel【15時】!B"&amp;(A349+4)&amp;":ZZ"&amp;(A349+4))),0)+1,""),"")</f>
        <v/>
      </c>
      <c r="E349" t="str">
        <f ca="1">IF(D349&lt;&gt;"",
OFFSET(数出表_Excel【15時】!$A$1,2,D349-1)
&amp;IFERROR(OFFSET(数出表_Excel【15時】!$A$1,3,D349-1),"")
&amp;IFERROR(OFFSET(数出表_Excel【15時】!$A$1,4,D349-1),""),"")</f>
        <v/>
      </c>
      <c r="F349" t="str">
        <f ca="1">IF(D349&lt;&gt;"",
OFFSET(数出表_Excel【15時】!$A$1,A349+3,D349-1),"")</f>
        <v/>
      </c>
      <c r="G349" t="str">
        <f ca="1">IF(D349&lt;&gt;"",
IF(AND(OFFSET(数出表_Excel【15時】!$A$1,A349+3,D349)&lt;&gt;"",OFFSET(数出表_Excel【15時】!$A$1,A349+3,D349)&lt;&gt;0),
OFFSET(数出表_Excel【15時】!$A$1,A349+3,D349),""),"")</f>
        <v/>
      </c>
      <c r="H349" s="209" t="str">
        <f t="array" aca="1" ref="H349" ca="1">IF(B349&lt;&gt;"",
IFERROR(MATCH(TRUE,ISNUMBER(INDIRECT("数出表_Excel【15時】!"&amp;SUBSTITUTE(ADDRESS(1,D349+2,4),"1","")&amp;(A349+4)&amp;":ZZ"&amp;(A349+4))),0)+D349+1,""),"")</f>
        <v/>
      </c>
      <c r="I349" t="str">
        <f ca="1">IF(H349&lt;&gt;"",
OFFSET(数出表_Excel【15時】!$A$1,2,H349-1)
&amp;IFERROR(OFFSET(数出表_Excel【15時】!$A$1,3,H349-1),"")
&amp;IFERROR(OFFSET(数出表_Excel【15時】!$A$1,4,H349-1),""),"")</f>
        <v/>
      </c>
      <c r="J349" t="str">
        <f ca="1">IF(H349&lt;&gt;"",
OFFSET(数出表_Excel【15時】!$A$1,A349+3,H349-1),"")</f>
        <v/>
      </c>
      <c r="K349" t="str">
        <f ca="1">IF(H349&lt;&gt;"",
IF(AND(OFFSET(数出表_Excel【15時】!$A$1,A349+3,H349)&lt;&gt;"",OFFSET(数出表_Excel【15時】!$A$1,A349+3,H349)&lt;&gt;0),
OFFSET(数出表_Excel【15時】!$A$1,A349+3,H349),""),"")</f>
        <v/>
      </c>
      <c r="L349" s="209" t="str">
        <f t="array" aca="1" ref="L349" ca="1">IF(B349&lt;&gt;"",
IFERROR(MATCH(TRUE,ISNUMBER(INDIRECT("数出表_Excel【15時】!"&amp;SUBSTITUTE(ADDRESS(1,H349+2,4),"1","")&amp;(A349+4)&amp;":ZZ"&amp;(A349+4))),0)+H349+1,""),"")</f>
        <v/>
      </c>
      <c r="M349" t="str">
        <f ca="1">IF(L349&lt;&gt;"",
OFFSET(数出表_Excel【15時】!$A$1,2,L349-1)
&amp;IFERROR(OFFSET(数出表_Excel【15時】!$A$1,3,L349-1),"")
&amp;IFERROR(OFFSET(数出表_Excel【15時】!$A$1,4,L349-1),""),"")</f>
        <v/>
      </c>
      <c r="N349" t="str">
        <f ca="1">IF(L349&lt;&gt;"",
OFFSET(数出表_Excel【15時】!$A$1,A349+3,L349-1),"")</f>
        <v/>
      </c>
      <c r="O349" t="str">
        <f ca="1">IF(L349&lt;&gt;"",
IF(AND(OFFSET(数出表_Excel【15時】!$A$1,A349+3,L349)&lt;&gt;"",OFFSET(数出表_Excel【15時】!$A$1,A349+3,L349)&lt;&gt;0),
OFFSET(数出表_Excel【15時】!$A$1,A349+3,L349),""),"")</f>
        <v/>
      </c>
    </row>
    <row r="350" spans="1:17">
      <c r="A350" t="str">
        <f t="shared" ca="1" si="5"/>
        <v/>
      </c>
      <c r="B350" t="str">
        <f t="array" aca="1" ref="B350" ca="1">IF(OR(COUNTIF(数出表_Excel【15時】!AO354,"*修正*"),COUNTIF(数出表_Excel【15時】!AO355,"*修正*")),
IF(ISEVEN(ROW()+4),INDIRECT("数出表_Excel【15時】!A"&amp;ROW()+4&amp;""),INDIRECT("数出表_Excel【15時】!A"&amp;ROW()+4-1&amp;"")),"")</f>
        <v/>
      </c>
      <c r="C350" t="str">
        <f t="array" aca="1" ref="C350" ca="1">IF(OR(COUNTIF(数出表_Excel【15時】!AO354,"*修正*"),COUNTIF(数出表_Excel【15時】!AO355,"*修正*")),
IF(ISEVEN(ROW()+4),INDIRECT("数出表_Excel【15時】!A"&amp;ROW()+4+1&amp;""),INDIRECT("数出表_Excel【15時】!A"&amp;ROW()+4&amp;"")),"")</f>
        <v/>
      </c>
      <c r="D350" s="209" t="str">
        <f t="array" aca="1" ref="D350" ca="1">IF(B350&lt;&gt;"",
IFERROR(MATCH(TRUE,ISNUMBER(INDIRECT("数出表_Excel【15時】!B"&amp;(A350+4)&amp;":ZZ"&amp;(A350+4))),0)+1,""),"")</f>
        <v/>
      </c>
      <c r="E350" t="str">
        <f ca="1">IF(D350&lt;&gt;"",
OFFSET(数出表_Excel【15時】!$A$1,2,D350-1)
&amp;IFERROR(OFFSET(数出表_Excel【15時】!$A$1,3,D350-1),"")
&amp;IFERROR(OFFSET(数出表_Excel【15時】!$A$1,4,D350-1),""),"")</f>
        <v/>
      </c>
      <c r="F350" t="str">
        <f ca="1">IF(D350&lt;&gt;"",
OFFSET(数出表_Excel【15時】!$A$1,A350+3,D350-1),"")</f>
        <v/>
      </c>
      <c r="G350" t="str">
        <f ca="1">IF(D350&lt;&gt;"",
IF(AND(OFFSET(数出表_Excel【15時】!$A$1,A350+3,D350)&lt;&gt;"",OFFSET(数出表_Excel【15時】!$A$1,A350+3,D350)&lt;&gt;0),
OFFSET(数出表_Excel【15時】!$A$1,A350+3,D350),""),"")</f>
        <v/>
      </c>
      <c r="H350" s="209" t="str">
        <f t="array" aca="1" ref="H350" ca="1">IF(B350&lt;&gt;"",
IFERROR(MATCH(TRUE,ISNUMBER(INDIRECT("数出表_Excel【15時】!"&amp;SUBSTITUTE(ADDRESS(1,D350+2,4),"1","")&amp;(A350+4)&amp;":ZZ"&amp;(A350+4))),0)+D350+1,""),"")</f>
        <v/>
      </c>
      <c r="I350" t="str">
        <f ca="1">IF(H350&lt;&gt;"",
OFFSET(数出表_Excel【15時】!$A$1,2,H350-1)
&amp;IFERROR(OFFSET(数出表_Excel【15時】!$A$1,3,H350-1),"")
&amp;IFERROR(OFFSET(数出表_Excel【15時】!$A$1,4,H350-1),""),"")</f>
        <v/>
      </c>
      <c r="J350" t="str">
        <f ca="1">IF(H350&lt;&gt;"",
OFFSET(数出表_Excel【15時】!$A$1,A350+3,H350-1),"")</f>
        <v/>
      </c>
      <c r="K350" t="str">
        <f ca="1">IF(H350&lt;&gt;"",
IF(AND(OFFSET(数出表_Excel【15時】!$A$1,A350+3,H350)&lt;&gt;"",OFFSET(数出表_Excel【15時】!$A$1,A350+3,H350)&lt;&gt;0),
OFFSET(数出表_Excel【15時】!$A$1,A350+3,H350),""),"")</f>
        <v/>
      </c>
      <c r="L350" s="209" t="str">
        <f t="array" aca="1" ref="L350" ca="1">IF(B350&lt;&gt;"",
IFERROR(MATCH(TRUE,ISNUMBER(INDIRECT("数出表_Excel【15時】!"&amp;SUBSTITUTE(ADDRESS(1,H350+2,4),"1","")&amp;(A350+4)&amp;":ZZ"&amp;(A350+4))),0)+H350+1,""),"")</f>
        <v/>
      </c>
      <c r="M350" t="str">
        <f ca="1">IF(L350&lt;&gt;"",
OFFSET(数出表_Excel【15時】!$A$1,2,L350-1)
&amp;IFERROR(OFFSET(数出表_Excel【15時】!$A$1,3,L350-1),"")
&amp;IFERROR(OFFSET(数出表_Excel【15時】!$A$1,4,L350-1),""),"")</f>
        <v/>
      </c>
      <c r="N350" t="str">
        <f ca="1">IF(L350&lt;&gt;"",
OFFSET(数出表_Excel【15時】!$A$1,A350+3,L350-1),"")</f>
        <v/>
      </c>
      <c r="O350" t="str">
        <f ca="1">IF(L350&lt;&gt;"",
IF(AND(OFFSET(数出表_Excel【15時】!$A$1,A350+3,L350)&lt;&gt;"",OFFSET(数出表_Excel【15時】!$A$1,A350+3,L350)&lt;&gt;0),
OFFSET(数出表_Excel【15時】!$A$1,A350+3,L350),""),"")</f>
        <v/>
      </c>
      <c r="Q350" t="str">
        <f ca="1">IF(C350&lt;&gt;"",
IF(E350&lt;&gt;"",1,0)+IF(I350&lt;&gt;"",1,0)+IF(M350&lt;&gt;"",1,0),"")</f>
        <v/>
      </c>
    </row>
    <row r="351" spans="1:17">
      <c r="A351" t="str">
        <f t="shared" ca="1" si="5"/>
        <v/>
      </c>
      <c r="B351" t="str">
        <f t="array" aca="1" ref="B351" ca="1">IF(OR(COUNTIF(数出表_Excel【15時】!AO354,"*修正*"),COUNTIF(数出表_Excel【15時】!AO355,"*修正*")),
IF(ISEVEN(ROW()+4),INDIRECT("数出表_Excel【15時】!A"&amp;ROW()+4&amp;""),INDIRECT("数出表_Excel【15時】!A"&amp;ROW()+4-1&amp;"")),"")</f>
        <v/>
      </c>
      <c r="C351" t="str">
        <f t="array" aca="1" ref="C351" ca="1">IF(OR(COUNTIF(数出表_Excel【15時】!AO354,"*修正*"),COUNTIF(数出表_Excel【15時】!AO355,"*修正*")),
IF(ISEVEN(ROW()+4),INDIRECT("数出表_Excel【15時】!A"&amp;ROW()+4+1&amp;""),INDIRECT("数出表_Excel【15時】!A"&amp;ROW()+4&amp;"")),"")</f>
        <v/>
      </c>
      <c r="D351" s="209" t="str">
        <f t="array" aca="1" ref="D351" ca="1">IF(B351&lt;&gt;"",
IFERROR(MATCH(TRUE,ISNUMBER(INDIRECT("数出表_Excel【15時】!B"&amp;(A351+4)&amp;":ZZ"&amp;(A351+4))),0)+1,""),"")</f>
        <v/>
      </c>
      <c r="E351" t="str">
        <f ca="1">IF(D351&lt;&gt;"",
OFFSET(数出表_Excel【15時】!$A$1,2,D351-1)
&amp;IFERROR(OFFSET(数出表_Excel【15時】!$A$1,3,D351-1),"")
&amp;IFERROR(OFFSET(数出表_Excel【15時】!$A$1,4,D351-1),""),"")</f>
        <v/>
      </c>
      <c r="F351" t="str">
        <f ca="1">IF(D351&lt;&gt;"",
OFFSET(数出表_Excel【15時】!$A$1,A351+3,D351-1),"")</f>
        <v/>
      </c>
      <c r="G351" t="str">
        <f ca="1">IF(D351&lt;&gt;"",
IF(AND(OFFSET(数出表_Excel【15時】!$A$1,A351+3,D351)&lt;&gt;"",OFFSET(数出表_Excel【15時】!$A$1,A351+3,D351)&lt;&gt;0),
OFFSET(数出表_Excel【15時】!$A$1,A351+3,D351),""),"")</f>
        <v/>
      </c>
      <c r="H351" s="209" t="str">
        <f t="array" aca="1" ref="H351" ca="1">IF(B351&lt;&gt;"",
IFERROR(MATCH(TRUE,ISNUMBER(INDIRECT("数出表_Excel【15時】!"&amp;SUBSTITUTE(ADDRESS(1,D351+2,4),"1","")&amp;(A351+4)&amp;":ZZ"&amp;(A351+4))),0)+D351+1,""),"")</f>
        <v/>
      </c>
      <c r="I351" t="str">
        <f ca="1">IF(H351&lt;&gt;"",
OFFSET(数出表_Excel【15時】!$A$1,2,H351-1)
&amp;IFERROR(OFFSET(数出表_Excel【15時】!$A$1,3,H351-1),"")
&amp;IFERROR(OFFSET(数出表_Excel【15時】!$A$1,4,H351-1),""),"")</f>
        <v/>
      </c>
      <c r="J351" t="str">
        <f ca="1">IF(H351&lt;&gt;"",
OFFSET(数出表_Excel【15時】!$A$1,A351+3,H351-1),"")</f>
        <v/>
      </c>
      <c r="K351" t="str">
        <f ca="1">IF(H351&lt;&gt;"",
IF(AND(OFFSET(数出表_Excel【15時】!$A$1,A351+3,H351)&lt;&gt;"",OFFSET(数出表_Excel【15時】!$A$1,A351+3,H351)&lt;&gt;0),
OFFSET(数出表_Excel【15時】!$A$1,A351+3,H351),""),"")</f>
        <v/>
      </c>
      <c r="L351" s="209" t="str">
        <f t="array" aca="1" ref="L351" ca="1">IF(B351&lt;&gt;"",
IFERROR(MATCH(TRUE,ISNUMBER(INDIRECT("数出表_Excel【15時】!"&amp;SUBSTITUTE(ADDRESS(1,H351+2,4),"1","")&amp;(A351+4)&amp;":ZZ"&amp;(A351+4))),0)+H351+1,""),"")</f>
        <v/>
      </c>
      <c r="M351" t="str">
        <f ca="1">IF(L351&lt;&gt;"",
OFFSET(数出表_Excel【15時】!$A$1,2,L351-1)
&amp;IFERROR(OFFSET(数出表_Excel【15時】!$A$1,3,L351-1),"")
&amp;IFERROR(OFFSET(数出表_Excel【15時】!$A$1,4,L351-1),""),"")</f>
        <v/>
      </c>
      <c r="N351" t="str">
        <f ca="1">IF(L351&lt;&gt;"",
OFFSET(数出表_Excel【15時】!$A$1,A351+3,L351-1),"")</f>
        <v/>
      </c>
      <c r="O351" t="str">
        <f ca="1">IF(L351&lt;&gt;"",
IF(AND(OFFSET(数出表_Excel【15時】!$A$1,A351+3,L351)&lt;&gt;"",OFFSET(数出表_Excel【15時】!$A$1,A351+3,L351)&lt;&gt;0),
OFFSET(数出表_Excel【15時】!$A$1,A351+3,L351),""),"")</f>
        <v/>
      </c>
    </row>
    <row r="352" spans="1:17">
      <c r="A352" t="str">
        <f t="shared" ca="1" si="5"/>
        <v/>
      </c>
      <c r="B352" t="str">
        <f t="array" aca="1" ref="B352" ca="1">IF(OR(COUNTIF(数出表_Excel【15時】!AO356,"*修正*"),COUNTIF(数出表_Excel【15時】!AO357,"*修正*")),
IF(ISEVEN(ROW()+4),INDIRECT("数出表_Excel【15時】!A"&amp;ROW()+4&amp;""),INDIRECT("数出表_Excel【15時】!A"&amp;ROW()+4-1&amp;"")),"")</f>
        <v/>
      </c>
      <c r="C352" t="str">
        <f t="array" aca="1" ref="C352" ca="1">IF(OR(COUNTIF(数出表_Excel【15時】!AO356,"*修正*"),COUNTIF(数出表_Excel【15時】!AO357,"*修正*")),
IF(ISEVEN(ROW()+4),INDIRECT("数出表_Excel【15時】!A"&amp;ROW()+4+1&amp;""),INDIRECT("数出表_Excel【15時】!A"&amp;ROW()+4&amp;"")),"")</f>
        <v/>
      </c>
      <c r="D352" s="209" t="str">
        <f t="array" aca="1" ref="D352" ca="1">IF(B352&lt;&gt;"",
IFERROR(MATCH(TRUE,ISNUMBER(INDIRECT("数出表_Excel【15時】!B"&amp;(A352+4)&amp;":ZZ"&amp;(A352+4))),0)+1,""),"")</f>
        <v/>
      </c>
      <c r="E352" t="str">
        <f ca="1">IF(D352&lt;&gt;"",
OFFSET(数出表_Excel【15時】!$A$1,2,D352-1)
&amp;IFERROR(OFFSET(数出表_Excel【15時】!$A$1,3,D352-1),"")
&amp;IFERROR(OFFSET(数出表_Excel【15時】!$A$1,4,D352-1),""),"")</f>
        <v/>
      </c>
      <c r="F352" t="str">
        <f ca="1">IF(D352&lt;&gt;"",
OFFSET(数出表_Excel【15時】!$A$1,A352+3,D352-1),"")</f>
        <v/>
      </c>
      <c r="G352" t="str">
        <f ca="1">IF(D352&lt;&gt;"",
IF(AND(OFFSET(数出表_Excel【15時】!$A$1,A352+3,D352)&lt;&gt;"",OFFSET(数出表_Excel【15時】!$A$1,A352+3,D352)&lt;&gt;0),
OFFSET(数出表_Excel【15時】!$A$1,A352+3,D352),""),"")</f>
        <v/>
      </c>
      <c r="H352" s="209" t="str">
        <f t="array" aca="1" ref="H352" ca="1">IF(B352&lt;&gt;"",
IFERROR(MATCH(TRUE,ISNUMBER(INDIRECT("数出表_Excel【15時】!"&amp;SUBSTITUTE(ADDRESS(1,D352+2,4),"1","")&amp;(A352+4)&amp;":ZZ"&amp;(A352+4))),0)+D352+1,""),"")</f>
        <v/>
      </c>
      <c r="I352" t="str">
        <f ca="1">IF(H352&lt;&gt;"",
OFFSET(数出表_Excel【15時】!$A$1,2,H352-1)
&amp;IFERROR(OFFSET(数出表_Excel【15時】!$A$1,3,H352-1),"")
&amp;IFERROR(OFFSET(数出表_Excel【15時】!$A$1,4,H352-1),""),"")</f>
        <v/>
      </c>
      <c r="J352" t="str">
        <f ca="1">IF(H352&lt;&gt;"",
OFFSET(数出表_Excel【15時】!$A$1,A352+3,H352-1),"")</f>
        <v/>
      </c>
      <c r="K352" t="str">
        <f ca="1">IF(H352&lt;&gt;"",
IF(AND(OFFSET(数出表_Excel【15時】!$A$1,A352+3,H352)&lt;&gt;"",OFFSET(数出表_Excel【15時】!$A$1,A352+3,H352)&lt;&gt;0),
OFFSET(数出表_Excel【15時】!$A$1,A352+3,H352),""),"")</f>
        <v/>
      </c>
      <c r="L352" s="209" t="str">
        <f t="array" aca="1" ref="L352" ca="1">IF(B352&lt;&gt;"",
IFERROR(MATCH(TRUE,ISNUMBER(INDIRECT("数出表_Excel【15時】!"&amp;SUBSTITUTE(ADDRESS(1,H352+2,4),"1","")&amp;(A352+4)&amp;":ZZ"&amp;(A352+4))),0)+H352+1,""),"")</f>
        <v/>
      </c>
      <c r="M352" t="str">
        <f ca="1">IF(L352&lt;&gt;"",
OFFSET(数出表_Excel【15時】!$A$1,2,L352-1)
&amp;IFERROR(OFFSET(数出表_Excel【15時】!$A$1,3,L352-1),"")
&amp;IFERROR(OFFSET(数出表_Excel【15時】!$A$1,4,L352-1),""),"")</f>
        <v/>
      </c>
      <c r="N352" t="str">
        <f ca="1">IF(L352&lt;&gt;"",
OFFSET(数出表_Excel【15時】!$A$1,A352+3,L352-1),"")</f>
        <v/>
      </c>
      <c r="O352" t="str">
        <f ca="1">IF(L352&lt;&gt;"",
IF(AND(OFFSET(数出表_Excel【15時】!$A$1,A352+3,L352)&lt;&gt;"",OFFSET(数出表_Excel【15時】!$A$1,A352+3,L352)&lt;&gt;0),
OFFSET(数出表_Excel【15時】!$A$1,A352+3,L352),""),"")</f>
        <v/>
      </c>
      <c r="Q352" t="str">
        <f ca="1">IF(C352&lt;&gt;"",
IF(E352&lt;&gt;"",1,0)+IF(I352&lt;&gt;"",1,0)+IF(M352&lt;&gt;"",1,0),"")</f>
        <v/>
      </c>
    </row>
    <row r="353" spans="1:17">
      <c r="A353" t="str">
        <f t="shared" ca="1" si="5"/>
        <v/>
      </c>
      <c r="B353" t="str">
        <f t="array" aca="1" ref="B353" ca="1">IF(OR(COUNTIF(数出表_Excel【15時】!AO356,"*修正*"),COUNTIF(数出表_Excel【15時】!AO357,"*修正*")),
IF(ISEVEN(ROW()+4),INDIRECT("数出表_Excel【15時】!A"&amp;ROW()+4&amp;""),INDIRECT("数出表_Excel【15時】!A"&amp;ROW()+4-1&amp;"")),"")</f>
        <v/>
      </c>
      <c r="C353" t="str">
        <f t="array" aca="1" ref="C353" ca="1">IF(OR(COUNTIF(数出表_Excel【15時】!AO356,"*修正*"),COUNTIF(数出表_Excel【15時】!AO357,"*修正*")),
IF(ISEVEN(ROW()+4),INDIRECT("数出表_Excel【15時】!A"&amp;ROW()+4+1&amp;""),INDIRECT("数出表_Excel【15時】!A"&amp;ROW()+4&amp;"")),"")</f>
        <v/>
      </c>
      <c r="D353" s="209" t="str">
        <f t="array" aca="1" ref="D353" ca="1">IF(B353&lt;&gt;"",
IFERROR(MATCH(TRUE,ISNUMBER(INDIRECT("数出表_Excel【15時】!B"&amp;(A353+4)&amp;":ZZ"&amp;(A353+4))),0)+1,""),"")</f>
        <v/>
      </c>
      <c r="E353" t="str">
        <f ca="1">IF(D353&lt;&gt;"",
OFFSET(数出表_Excel【15時】!$A$1,2,D353-1)
&amp;IFERROR(OFFSET(数出表_Excel【15時】!$A$1,3,D353-1),"")
&amp;IFERROR(OFFSET(数出表_Excel【15時】!$A$1,4,D353-1),""),"")</f>
        <v/>
      </c>
      <c r="F353" t="str">
        <f ca="1">IF(D353&lt;&gt;"",
OFFSET(数出表_Excel【15時】!$A$1,A353+3,D353-1),"")</f>
        <v/>
      </c>
      <c r="G353" t="str">
        <f ca="1">IF(D353&lt;&gt;"",
IF(AND(OFFSET(数出表_Excel【15時】!$A$1,A353+3,D353)&lt;&gt;"",OFFSET(数出表_Excel【15時】!$A$1,A353+3,D353)&lt;&gt;0),
OFFSET(数出表_Excel【15時】!$A$1,A353+3,D353),""),"")</f>
        <v/>
      </c>
      <c r="H353" s="209" t="str">
        <f t="array" aca="1" ref="H353" ca="1">IF(B353&lt;&gt;"",
IFERROR(MATCH(TRUE,ISNUMBER(INDIRECT("数出表_Excel【15時】!"&amp;SUBSTITUTE(ADDRESS(1,D353+2,4),"1","")&amp;(A353+4)&amp;":ZZ"&amp;(A353+4))),0)+D353+1,""),"")</f>
        <v/>
      </c>
      <c r="I353" t="str">
        <f ca="1">IF(H353&lt;&gt;"",
OFFSET(数出表_Excel【15時】!$A$1,2,H353-1)
&amp;IFERROR(OFFSET(数出表_Excel【15時】!$A$1,3,H353-1),"")
&amp;IFERROR(OFFSET(数出表_Excel【15時】!$A$1,4,H353-1),""),"")</f>
        <v/>
      </c>
      <c r="J353" t="str">
        <f ca="1">IF(H353&lt;&gt;"",
OFFSET(数出表_Excel【15時】!$A$1,A353+3,H353-1),"")</f>
        <v/>
      </c>
      <c r="K353" t="str">
        <f ca="1">IF(H353&lt;&gt;"",
IF(AND(OFFSET(数出表_Excel【15時】!$A$1,A353+3,H353)&lt;&gt;"",OFFSET(数出表_Excel【15時】!$A$1,A353+3,H353)&lt;&gt;0),
OFFSET(数出表_Excel【15時】!$A$1,A353+3,H353),""),"")</f>
        <v/>
      </c>
      <c r="L353" s="209" t="str">
        <f t="array" aca="1" ref="L353" ca="1">IF(B353&lt;&gt;"",
IFERROR(MATCH(TRUE,ISNUMBER(INDIRECT("数出表_Excel【15時】!"&amp;SUBSTITUTE(ADDRESS(1,H353+2,4),"1","")&amp;(A353+4)&amp;":ZZ"&amp;(A353+4))),0)+H353+1,""),"")</f>
        <v/>
      </c>
      <c r="M353" t="str">
        <f ca="1">IF(L353&lt;&gt;"",
OFFSET(数出表_Excel【15時】!$A$1,2,L353-1)
&amp;IFERROR(OFFSET(数出表_Excel【15時】!$A$1,3,L353-1),"")
&amp;IFERROR(OFFSET(数出表_Excel【15時】!$A$1,4,L353-1),""),"")</f>
        <v/>
      </c>
      <c r="N353" t="str">
        <f ca="1">IF(L353&lt;&gt;"",
OFFSET(数出表_Excel【15時】!$A$1,A353+3,L353-1),"")</f>
        <v/>
      </c>
      <c r="O353" t="str">
        <f ca="1">IF(L353&lt;&gt;"",
IF(AND(OFFSET(数出表_Excel【15時】!$A$1,A353+3,L353)&lt;&gt;"",OFFSET(数出表_Excel【15時】!$A$1,A353+3,L353)&lt;&gt;0),
OFFSET(数出表_Excel【15時】!$A$1,A353+3,L353),""),"")</f>
        <v/>
      </c>
    </row>
    <row r="354" spans="1:17">
      <c r="A354" t="str">
        <f t="shared" ca="1" si="5"/>
        <v/>
      </c>
      <c r="B354" t="str">
        <f t="array" aca="1" ref="B354" ca="1">IF(OR(COUNTIF(数出表_Excel【15時】!AO358,"*修正*"),COUNTIF(数出表_Excel【15時】!AO359,"*修正*")),
IF(ISEVEN(ROW()+4),INDIRECT("数出表_Excel【15時】!A"&amp;ROW()+4&amp;""),INDIRECT("数出表_Excel【15時】!A"&amp;ROW()+4-1&amp;"")),"")</f>
        <v/>
      </c>
      <c r="C354" t="str">
        <f t="array" aca="1" ref="C354" ca="1">IF(OR(COUNTIF(数出表_Excel【15時】!AO358,"*修正*"),COUNTIF(数出表_Excel【15時】!AO359,"*修正*")),
IF(ISEVEN(ROW()+4),INDIRECT("数出表_Excel【15時】!A"&amp;ROW()+4+1&amp;""),INDIRECT("数出表_Excel【15時】!A"&amp;ROW()+4&amp;"")),"")</f>
        <v/>
      </c>
      <c r="D354" s="209" t="str">
        <f t="array" aca="1" ref="D354" ca="1">IF(B354&lt;&gt;"",
IFERROR(MATCH(TRUE,ISNUMBER(INDIRECT("数出表_Excel【15時】!B"&amp;(A354+4)&amp;":ZZ"&amp;(A354+4))),0)+1,""),"")</f>
        <v/>
      </c>
      <c r="E354" t="str">
        <f ca="1">IF(D354&lt;&gt;"",
OFFSET(数出表_Excel【15時】!$A$1,2,D354-1)
&amp;IFERROR(OFFSET(数出表_Excel【15時】!$A$1,3,D354-1),"")
&amp;IFERROR(OFFSET(数出表_Excel【15時】!$A$1,4,D354-1),""),"")</f>
        <v/>
      </c>
      <c r="F354" t="str">
        <f ca="1">IF(D354&lt;&gt;"",
OFFSET(数出表_Excel【15時】!$A$1,A354+3,D354-1),"")</f>
        <v/>
      </c>
      <c r="G354" t="str">
        <f ca="1">IF(D354&lt;&gt;"",
IF(AND(OFFSET(数出表_Excel【15時】!$A$1,A354+3,D354)&lt;&gt;"",OFFSET(数出表_Excel【15時】!$A$1,A354+3,D354)&lt;&gt;0),
OFFSET(数出表_Excel【15時】!$A$1,A354+3,D354),""),"")</f>
        <v/>
      </c>
      <c r="H354" s="209" t="str">
        <f t="array" aca="1" ref="H354" ca="1">IF(B354&lt;&gt;"",
IFERROR(MATCH(TRUE,ISNUMBER(INDIRECT("数出表_Excel【15時】!"&amp;SUBSTITUTE(ADDRESS(1,D354+2,4),"1","")&amp;(A354+4)&amp;":ZZ"&amp;(A354+4))),0)+D354+1,""),"")</f>
        <v/>
      </c>
      <c r="I354" t="str">
        <f ca="1">IF(H354&lt;&gt;"",
OFFSET(数出表_Excel【15時】!$A$1,2,H354-1)
&amp;IFERROR(OFFSET(数出表_Excel【15時】!$A$1,3,H354-1),"")
&amp;IFERROR(OFFSET(数出表_Excel【15時】!$A$1,4,H354-1),""),"")</f>
        <v/>
      </c>
      <c r="J354" t="str">
        <f ca="1">IF(H354&lt;&gt;"",
OFFSET(数出表_Excel【15時】!$A$1,A354+3,H354-1),"")</f>
        <v/>
      </c>
      <c r="K354" t="str">
        <f ca="1">IF(H354&lt;&gt;"",
IF(AND(OFFSET(数出表_Excel【15時】!$A$1,A354+3,H354)&lt;&gt;"",OFFSET(数出表_Excel【15時】!$A$1,A354+3,H354)&lt;&gt;0),
OFFSET(数出表_Excel【15時】!$A$1,A354+3,H354),""),"")</f>
        <v/>
      </c>
      <c r="L354" s="209" t="str">
        <f t="array" aca="1" ref="L354" ca="1">IF(B354&lt;&gt;"",
IFERROR(MATCH(TRUE,ISNUMBER(INDIRECT("数出表_Excel【15時】!"&amp;SUBSTITUTE(ADDRESS(1,H354+2,4),"1","")&amp;(A354+4)&amp;":ZZ"&amp;(A354+4))),0)+H354+1,""),"")</f>
        <v/>
      </c>
      <c r="M354" t="str">
        <f ca="1">IF(L354&lt;&gt;"",
OFFSET(数出表_Excel【15時】!$A$1,2,L354-1)
&amp;IFERROR(OFFSET(数出表_Excel【15時】!$A$1,3,L354-1),"")
&amp;IFERROR(OFFSET(数出表_Excel【15時】!$A$1,4,L354-1),""),"")</f>
        <v/>
      </c>
      <c r="N354" t="str">
        <f ca="1">IF(L354&lt;&gt;"",
OFFSET(数出表_Excel【15時】!$A$1,A354+3,L354-1),"")</f>
        <v/>
      </c>
      <c r="O354" t="str">
        <f ca="1">IF(L354&lt;&gt;"",
IF(AND(OFFSET(数出表_Excel【15時】!$A$1,A354+3,L354)&lt;&gt;"",OFFSET(数出表_Excel【15時】!$A$1,A354+3,L354)&lt;&gt;0),
OFFSET(数出表_Excel【15時】!$A$1,A354+3,L354),""),"")</f>
        <v/>
      </c>
      <c r="Q354" t="str">
        <f ca="1">IF(C354&lt;&gt;"",
IF(E354&lt;&gt;"",1,0)+IF(I354&lt;&gt;"",1,0)+IF(M354&lt;&gt;"",1,0),"")</f>
        <v/>
      </c>
    </row>
    <row r="355" spans="1:17">
      <c r="A355" t="str">
        <f t="shared" ca="1" si="5"/>
        <v/>
      </c>
      <c r="B355" t="str">
        <f t="array" aca="1" ref="B355" ca="1">IF(OR(COUNTIF(数出表_Excel【15時】!AO358,"*修正*"),COUNTIF(数出表_Excel【15時】!AO359,"*修正*")),
IF(ISEVEN(ROW()+4),INDIRECT("数出表_Excel【15時】!A"&amp;ROW()+4&amp;""),INDIRECT("数出表_Excel【15時】!A"&amp;ROW()+4-1&amp;"")),"")</f>
        <v/>
      </c>
      <c r="C355" t="str">
        <f t="array" aca="1" ref="C355" ca="1">IF(OR(COUNTIF(数出表_Excel【15時】!AO358,"*修正*"),COUNTIF(数出表_Excel【15時】!AO359,"*修正*")),
IF(ISEVEN(ROW()+4),INDIRECT("数出表_Excel【15時】!A"&amp;ROW()+4+1&amp;""),INDIRECT("数出表_Excel【15時】!A"&amp;ROW()+4&amp;"")),"")</f>
        <v/>
      </c>
      <c r="D355" s="209" t="str">
        <f t="array" aca="1" ref="D355" ca="1">IF(B355&lt;&gt;"",
IFERROR(MATCH(TRUE,ISNUMBER(INDIRECT("数出表_Excel【15時】!B"&amp;(A355+4)&amp;":ZZ"&amp;(A355+4))),0)+1,""),"")</f>
        <v/>
      </c>
      <c r="E355" t="str">
        <f ca="1">IF(D355&lt;&gt;"",
OFFSET(数出表_Excel【15時】!$A$1,2,D355-1)
&amp;IFERROR(OFFSET(数出表_Excel【15時】!$A$1,3,D355-1),"")
&amp;IFERROR(OFFSET(数出表_Excel【15時】!$A$1,4,D355-1),""),"")</f>
        <v/>
      </c>
      <c r="F355" t="str">
        <f ca="1">IF(D355&lt;&gt;"",
OFFSET(数出表_Excel【15時】!$A$1,A355+3,D355-1),"")</f>
        <v/>
      </c>
      <c r="G355" t="str">
        <f ca="1">IF(D355&lt;&gt;"",
IF(AND(OFFSET(数出表_Excel【15時】!$A$1,A355+3,D355)&lt;&gt;"",OFFSET(数出表_Excel【15時】!$A$1,A355+3,D355)&lt;&gt;0),
OFFSET(数出表_Excel【15時】!$A$1,A355+3,D355),""),"")</f>
        <v/>
      </c>
      <c r="H355" s="209" t="str">
        <f t="array" aca="1" ref="H355" ca="1">IF(B355&lt;&gt;"",
IFERROR(MATCH(TRUE,ISNUMBER(INDIRECT("数出表_Excel【15時】!"&amp;SUBSTITUTE(ADDRESS(1,D355+2,4),"1","")&amp;(A355+4)&amp;":ZZ"&amp;(A355+4))),0)+D355+1,""),"")</f>
        <v/>
      </c>
      <c r="I355" t="str">
        <f ca="1">IF(H355&lt;&gt;"",
OFFSET(数出表_Excel【15時】!$A$1,2,H355-1)
&amp;IFERROR(OFFSET(数出表_Excel【15時】!$A$1,3,H355-1),"")
&amp;IFERROR(OFFSET(数出表_Excel【15時】!$A$1,4,H355-1),""),"")</f>
        <v/>
      </c>
      <c r="J355" t="str">
        <f ca="1">IF(H355&lt;&gt;"",
OFFSET(数出表_Excel【15時】!$A$1,A355+3,H355-1),"")</f>
        <v/>
      </c>
      <c r="K355" t="str">
        <f ca="1">IF(H355&lt;&gt;"",
IF(AND(OFFSET(数出表_Excel【15時】!$A$1,A355+3,H355)&lt;&gt;"",OFFSET(数出表_Excel【15時】!$A$1,A355+3,H355)&lt;&gt;0),
OFFSET(数出表_Excel【15時】!$A$1,A355+3,H355),""),"")</f>
        <v/>
      </c>
      <c r="L355" s="209" t="str">
        <f t="array" aca="1" ref="L355" ca="1">IF(B355&lt;&gt;"",
IFERROR(MATCH(TRUE,ISNUMBER(INDIRECT("数出表_Excel【15時】!"&amp;SUBSTITUTE(ADDRESS(1,H355+2,4),"1","")&amp;(A355+4)&amp;":ZZ"&amp;(A355+4))),0)+H355+1,""),"")</f>
        <v/>
      </c>
      <c r="M355" t="str">
        <f ca="1">IF(L355&lt;&gt;"",
OFFSET(数出表_Excel【15時】!$A$1,2,L355-1)
&amp;IFERROR(OFFSET(数出表_Excel【15時】!$A$1,3,L355-1),"")
&amp;IFERROR(OFFSET(数出表_Excel【15時】!$A$1,4,L355-1),""),"")</f>
        <v/>
      </c>
      <c r="N355" t="str">
        <f ca="1">IF(L355&lt;&gt;"",
OFFSET(数出表_Excel【15時】!$A$1,A355+3,L355-1),"")</f>
        <v/>
      </c>
      <c r="O355" t="str">
        <f ca="1">IF(L355&lt;&gt;"",
IF(AND(OFFSET(数出表_Excel【15時】!$A$1,A355+3,L355)&lt;&gt;"",OFFSET(数出表_Excel【15時】!$A$1,A355+3,L355)&lt;&gt;0),
OFFSET(数出表_Excel【15時】!$A$1,A355+3,L355),""),"")</f>
        <v/>
      </c>
    </row>
    <row r="356" spans="1:17">
      <c r="A356" t="str">
        <f t="shared" ca="1" si="5"/>
        <v/>
      </c>
      <c r="B356" t="str">
        <f t="array" aca="1" ref="B356" ca="1">IF(OR(COUNTIF(数出表_Excel【15時】!AO360,"*修正*"),COUNTIF(数出表_Excel【15時】!AO361,"*修正*")),
IF(ISEVEN(ROW()+4),INDIRECT("数出表_Excel【15時】!A"&amp;ROW()+4&amp;""),INDIRECT("数出表_Excel【15時】!A"&amp;ROW()+4-1&amp;"")),"")</f>
        <v/>
      </c>
      <c r="C356" t="str">
        <f t="array" aca="1" ref="C356" ca="1">IF(OR(COUNTIF(数出表_Excel【15時】!AO360,"*修正*"),COUNTIF(数出表_Excel【15時】!AO361,"*修正*")),
IF(ISEVEN(ROW()+4),INDIRECT("数出表_Excel【15時】!A"&amp;ROW()+4+1&amp;""),INDIRECT("数出表_Excel【15時】!A"&amp;ROW()+4&amp;"")),"")</f>
        <v/>
      </c>
      <c r="D356" s="209" t="str">
        <f t="array" aca="1" ref="D356" ca="1">IF(B356&lt;&gt;"",
IFERROR(MATCH(TRUE,ISNUMBER(INDIRECT("数出表_Excel【15時】!B"&amp;(A356+4)&amp;":ZZ"&amp;(A356+4))),0)+1,""),"")</f>
        <v/>
      </c>
      <c r="E356" t="str">
        <f ca="1">IF(D356&lt;&gt;"",
OFFSET(数出表_Excel【15時】!$A$1,2,D356-1)
&amp;IFERROR(OFFSET(数出表_Excel【15時】!$A$1,3,D356-1),"")
&amp;IFERROR(OFFSET(数出表_Excel【15時】!$A$1,4,D356-1),""),"")</f>
        <v/>
      </c>
      <c r="F356" t="str">
        <f ca="1">IF(D356&lt;&gt;"",
OFFSET(数出表_Excel【15時】!$A$1,A356+3,D356-1),"")</f>
        <v/>
      </c>
      <c r="G356" t="str">
        <f ca="1">IF(D356&lt;&gt;"",
IF(AND(OFFSET(数出表_Excel【15時】!$A$1,A356+3,D356)&lt;&gt;"",OFFSET(数出表_Excel【15時】!$A$1,A356+3,D356)&lt;&gt;0),
OFFSET(数出表_Excel【15時】!$A$1,A356+3,D356),""),"")</f>
        <v/>
      </c>
      <c r="H356" s="209" t="str">
        <f t="array" aca="1" ref="H356" ca="1">IF(B356&lt;&gt;"",
IFERROR(MATCH(TRUE,ISNUMBER(INDIRECT("数出表_Excel【15時】!"&amp;SUBSTITUTE(ADDRESS(1,D356+2,4),"1","")&amp;(A356+4)&amp;":ZZ"&amp;(A356+4))),0)+D356+1,""),"")</f>
        <v/>
      </c>
      <c r="I356" t="str">
        <f ca="1">IF(H356&lt;&gt;"",
OFFSET(数出表_Excel【15時】!$A$1,2,H356-1)
&amp;IFERROR(OFFSET(数出表_Excel【15時】!$A$1,3,H356-1),"")
&amp;IFERROR(OFFSET(数出表_Excel【15時】!$A$1,4,H356-1),""),"")</f>
        <v/>
      </c>
      <c r="J356" t="str">
        <f ca="1">IF(H356&lt;&gt;"",
OFFSET(数出表_Excel【15時】!$A$1,A356+3,H356-1),"")</f>
        <v/>
      </c>
      <c r="K356" t="str">
        <f ca="1">IF(H356&lt;&gt;"",
IF(AND(OFFSET(数出表_Excel【15時】!$A$1,A356+3,H356)&lt;&gt;"",OFFSET(数出表_Excel【15時】!$A$1,A356+3,H356)&lt;&gt;0),
OFFSET(数出表_Excel【15時】!$A$1,A356+3,H356),""),"")</f>
        <v/>
      </c>
      <c r="L356" s="209" t="str">
        <f t="array" aca="1" ref="L356" ca="1">IF(B356&lt;&gt;"",
IFERROR(MATCH(TRUE,ISNUMBER(INDIRECT("数出表_Excel【15時】!"&amp;SUBSTITUTE(ADDRESS(1,H356+2,4),"1","")&amp;(A356+4)&amp;":ZZ"&amp;(A356+4))),0)+H356+1,""),"")</f>
        <v/>
      </c>
      <c r="M356" t="str">
        <f ca="1">IF(L356&lt;&gt;"",
OFFSET(数出表_Excel【15時】!$A$1,2,L356-1)
&amp;IFERROR(OFFSET(数出表_Excel【15時】!$A$1,3,L356-1),"")
&amp;IFERROR(OFFSET(数出表_Excel【15時】!$A$1,4,L356-1),""),"")</f>
        <v/>
      </c>
      <c r="N356" t="str">
        <f ca="1">IF(L356&lt;&gt;"",
OFFSET(数出表_Excel【15時】!$A$1,A356+3,L356-1),"")</f>
        <v/>
      </c>
      <c r="O356" t="str">
        <f ca="1">IF(L356&lt;&gt;"",
IF(AND(OFFSET(数出表_Excel【15時】!$A$1,A356+3,L356)&lt;&gt;"",OFFSET(数出表_Excel【15時】!$A$1,A356+3,L356)&lt;&gt;0),
OFFSET(数出表_Excel【15時】!$A$1,A356+3,L356),""),"")</f>
        <v/>
      </c>
      <c r="Q356" t="str">
        <f ca="1">IF(C356&lt;&gt;"",
IF(E356&lt;&gt;"",1,0)+IF(I356&lt;&gt;"",1,0)+IF(M356&lt;&gt;"",1,0),"")</f>
        <v/>
      </c>
    </row>
    <row r="357" spans="1:17">
      <c r="A357" t="str">
        <f t="shared" ca="1" si="5"/>
        <v/>
      </c>
      <c r="B357" t="str">
        <f t="array" aca="1" ref="B357" ca="1">IF(OR(COUNTIF(数出表_Excel【15時】!AO360,"*修正*"),COUNTIF(数出表_Excel【15時】!AO361,"*修正*")),
IF(ISEVEN(ROW()+4),INDIRECT("数出表_Excel【15時】!A"&amp;ROW()+4&amp;""),INDIRECT("数出表_Excel【15時】!A"&amp;ROW()+4-1&amp;"")),"")</f>
        <v/>
      </c>
      <c r="C357" t="str">
        <f t="array" aca="1" ref="C357" ca="1">IF(OR(COUNTIF(数出表_Excel【15時】!AO360,"*修正*"),COUNTIF(数出表_Excel【15時】!AO361,"*修正*")),
IF(ISEVEN(ROW()+4),INDIRECT("数出表_Excel【15時】!A"&amp;ROW()+4+1&amp;""),INDIRECT("数出表_Excel【15時】!A"&amp;ROW()+4&amp;"")),"")</f>
        <v/>
      </c>
      <c r="D357" s="209" t="str">
        <f t="array" aca="1" ref="D357" ca="1">IF(B357&lt;&gt;"",
IFERROR(MATCH(TRUE,ISNUMBER(INDIRECT("数出表_Excel【15時】!B"&amp;(A357+4)&amp;":ZZ"&amp;(A357+4))),0)+1,""),"")</f>
        <v/>
      </c>
      <c r="E357" t="str">
        <f ca="1">IF(D357&lt;&gt;"",
OFFSET(数出表_Excel【15時】!$A$1,2,D357-1)
&amp;IFERROR(OFFSET(数出表_Excel【15時】!$A$1,3,D357-1),"")
&amp;IFERROR(OFFSET(数出表_Excel【15時】!$A$1,4,D357-1),""),"")</f>
        <v/>
      </c>
      <c r="F357" t="str">
        <f ca="1">IF(D357&lt;&gt;"",
OFFSET(数出表_Excel【15時】!$A$1,A357+3,D357-1),"")</f>
        <v/>
      </c>
      <c r="G357" t="str">
        <f ca="1">IF(D357&lt;&gt;"",
IF(AND(OFFSET(数出表_Excel【15時】!$A$1,A357+3,D357)&lt;&gt;"",OFFSET(数出表_Excel【15時】!$A$1,A357+3,D357)&lt;&gt;0),
OFFSET(数出表_Excel【15時】!$A$1,A357+3,D357),""),"")</f>
        <v/>
      </c>
      <c r="H357" s="209" t="str">
        <f t="array" aca="1" ref="H357" ca="1">IF(B357&lt;&gt;"",
IFERROR(MATCH(TRUE,ISNUMBER(INDIRECT("数出表_Excel【15時】!"&amp;SUBSTITUTE(ADDRESS(1,D357+2,4),"1","")&amp;(A357+4)&amp;":ZZ"&amp;(A357+4))),0)+D357+1,""),"")</f>
        <v/>
      </c>
      <c r="I357" t="str">
        <f ca="1">IF(H357&lt;&gt;"",
OFFSET(数出表_Excel【15時】!$A$1,2,H357-1)
&amp;IFERROR(OFFSET(数出表_Excel【15時】!$A$1,3,H357-1),"")
&amp;IFERROR(OFFSET(数出表_Excel【15時】!$A$1,4,H357-1),""),"")</f>
        <v/>
      </c>
      <c r="J357" t="str">
        <f ca="1">IF(H357&lt;&gt;"",
OFFSET(数出表_Excel【15時】!$A$1,A357+3,H357-1),"")</f>
        <v/>
      </c>
      <c r="K357" t="str">
        <f ca="1">IF(H357&lt;&gt;"",
IF(AND(OFFSET(数出表_Excel【15時】!$A$1,A357+3,H357)&lt;&gt;"",OFFSET(数出表_Excel【15時】!$A$1,A357+3,H357)&lt;&gt;0),
OFFSET(数出表_Excel【15時】!$A$1,A357+3,H357),""),"")</f>
        <v/>
      </c>
      <c r="L357" s="209" t="str">
        <f t="array" aca="1" ref="L357" ca="1">IF(B357&lt;&gt;"",
IFERROR(MATCH(TRUE,ISNUMBER(INDIRECT("数出表_Excel【15時】!"&amp;SUBSTITUTE(ADDRESS(1,H357+2,4),"1","")&amp;(A357+4)&amp;":ZZ"&amp;(A357+4))),0)+H357+1,""),"")</f>
        <v/>
      </c>
      <c r="M357" t="str">
        <f ca="1">IF(L357&lt;&gt;"",
OFFSET(数出表_Excel【15時】!$A$1,2,L357-1)
&amp;IFERROR(OFFSET(数出表_Excel【15時】!$A$1,3,L357-1),"")
&amp;IFERROR(OFFSET(数出表_Excel【15時】!$A$1,4,L357-1),""),"")</f>
        <v/>
      </c>
      <c r="N357" t="str">
        <f ca="1">IF(L357&lt;&gt;"",
OFFSET(数出表_Excel【15時】!$A$1,A357+3,L357-1),"")</f>
        <v/>
      </c>
      <c r="O357" t="str">
        <f ca="1">IF(L357&lt;&gt;"",
IF(AND(OFFSET(数出表_Excel【15時】!$A$1,A357+3,L357)&lt;&gt;"",OFFSET(数出表_Excel【15時】!$A$1,A357+3,L357)&lt;&gt;0),
OFFSET(数出表_Excel【15時】!$A$1,A357+3,L357),""),"")</f>
        <v/>
      </c>
    </row>
    <row r="358" spans="1:17">
      <c r="A358" t="str">
        <f t="shared" ca="1" si="5"/>
        <v/>
      </c>
      <c r="B358" t="str">
        <f t="array" aca="1" ref="B358" ca="1">IF(OR(COUNTIF(数出表_Excel【15時】!AO362,"*修正*"),COUNTIF(数出表_Excel【15時】!AO363,"*修正*")),
IF(ISEVEN(ROW()+4),INDIRECT("数出表_Excel【15時】!A"&amp;ROW()+4&amp;""),INDIRECT("数出表_Excel【15時】!A"&amp;ROW()+4-1&amp;"")),"")</f>
        <v/>
      </c>
      <c r="C358" t="str">
        <f t="array" aca="1" ref="C358" ca="1">IF(OR(COUNTIF(数出表_Excel【15時】!AO362,"*修正*"),COUNTIF(数出表_Excel【15時】!AO363,"*修正*")),
IF(ISEVEN(ROW()+4),INDIRECT("数出表_Excel【15時】!A"&amp;ROW()+4+1&amp;""),INDIRECT("数出表_Excel【15時】!A"&amp;ROW()+4&amp;"")),"")</f>
        <v/>
      </c>
      <c r="D358" s="209" t="str">
        <f t="array" aca="1" ref="D358" ca="1">IF(B358&lt;&gt;"",
IFERROR(MATCH(TRUE,ISNUMBER(INDIRECT("数出表_Excel【15時】!B"&amp;(A358+4)&amp;":ZZ"&amp;(A358+4))),0)+1,""),"")</f>
        <v/>
      </c>
      <c r="E358" t="str">
        <f ca="1">IF(D358&lt;&gt;"",
OFFSET(数出表_Excel【15時】!$A$1,2,D358-1)
&amp;IFERROR(OFFSET(数出表_Excel【15時】!$A$1,3,D358-1),"")
&amp;IFERROR(OFFSET(数出表_Excel【15時】!$A$1,4,D358-1),""),"")</f>
        <v/>
      </c>
      <c r="F358" t="str">
        <f ca="1">IF(D358&lt;&gt;"",
OFFSET(数出表_Excel【15時】!$A$1,A358+3,D358-1),"")</f>
        <v/>
      </c>
      <c r="G358" t="str">
        <f ca="1">IF(D358&lt;&gt;"",
IF(AND(OFFSET(数出表_Excel【15時】!$A$1,A358+3,D358)&lt;&gt;"",OFFSET(数出表_Excel【15時】!$A$1,A358+3,D358)&lt;&gt;0),
OFFSET(数出表_Excel【15時】!$A$1,A358+3,D358),""),"")</f>
        <v/>
      </c>
      <c r="H358" s="209" t="str">
        <f t="array" aca="1" ref="H358" ca="1">IF(B358&lt;&gt;"",
IFERROR(MATCH(TRUE,ISNUMBER(INDIRECT("数出表_Excel【15時】!"&amp;SUBSTITUTE(ADDRESS(1,D358+2,4),"1","")&amp;(A358+4)&amp;":ZZ"&amp;(A358+4))),0)+D358+1,""),"")</f>
        <v/>
      </c>
      <c r="I358" t="str">
        <f ca="1">IF(H358&lt;&gt;"",
OFFSET(数出表_Excel【15時】!$A$1,2,H358-1)
&amp;IFERROR(OFFSET(数出表_Excel【15時】!$A$1,3,H358-1),"")
&amp;IFERROR(OFFSET(数出表_Excel【15時】!$A$1,4,H358-1),""),"")</f>
        <v/>
      </c>
      <c r="J358" t="str">
        <f ca="1">IF(H358&lt;&gt;"",
OFFSET(数出表_Excel【15時】!$A$1,A358+3,H358-1),"")</f>
        <v/>
      </c>
      <c r="K358" t="str">
        <f ca="1">IF(H358&lt;&gt;"",
IF(AND(OFFSET(数出表_Excel【15時】!$A$1,A358+3,H358)&lt;&gt;"",OFFSET(数出表_Excel【15時】!$A$1,A358+3,H358)&lt;&gt;0),
OFFSET(数出表_Excel【15時】!$A$1,A358+3,H358),""),"")</f>
        <v/>
      </c>
      <c r="L358" s="209" t="str">
        <f t="array" aca="1" ref="L358" ca="1">IF(B358&lt;&gt;"",
IFERROR(MATCH(TRUE,ISNUMBER(INDIRECT("数出表_Excel【15時】!"&amp;SUBSTITUTE(ADDRESS(1,H358+2,4),"1","")&amp;(A358+4)&amp;":ZZ"&amp;(A358+4))),0)+H358+1,""),"")</f>
        <v/>
      </c>
      <c r="M358" t="str">
        <f ca="1">IF(L358&lt;&gt;"",
OFFSET(数出表_Excel【15時】!$A$1,2,L358-1)
&amp;IFERROR(OFFSET(数出表_Excel【15時】!$A$1,3,L358-1),"")
&amp;IFERROR(OFFSET(数出表_Excel【15時】!$A$1,4,L358-1),""),"")</f>
        <v/>
      </c>
      <c r="N358" t="str">
        <f ca="1">IF(L358&lt;&gt;"",
OFFSET(数出表_Excel【15時】!$A$1,A358+3,L358-1),"")</f>
        <v/>
      </c>
      <c r="O358" t="str">
        <f ca="1">IF(L358&lt;&gt;"",
IF(AND(OFFSET(数出表_Excel【15時】!$A$1,A358+3,L358)&lt;&gt;"",OFFSET(数出表_Excel【15時】!$A$1,A358+3,L358)&lt;&gt;0),
OFFSET(数出表_Excel【15時】!$A$1,A358+3,L358),""),"")</f>
        <v/>
      </c>
      <c r="Q358" t="str">
        <f ca="1">IF(C358&lt;&gt;"",
IF(E358&lt;&gt;"",1,0)+IF(I358&lt;&gt;"",1,0)+IF(M358&lt;&gt;"",1,0),"")</f>
        <v/>
      </c>
    </row>
    <row r="359" spans="1:17">
      <c r="A359" t="str">
        <f t="shared" ca="1" si="5"/>
        <v/>
      </c>
      <c r="B359" t="str">
        <f t="array" aca="1" ref="B359" ca="1">IF(OR(COUNTIF(数出表_Excel【15時】!AO362,"*修正*"),COUNTIF(数出表_Excel【15時】!AO363,"*修正*")),
IF(ISEVEN(ROW()+4),INDIRECT("数出表_Excel【15時】!A"&amp;ROW()+4&amp;""),INDIRECT("数出表_Excel【15時】!A"&amp;ROW()+4-1&amp;"")),"")</f>
        <v/>
      </c>
      <c r="C359" t="str">
        <f t="array" aca="1" ref="C359" ca="1">IF(OR(COUNTIF(数出表_Excel【15時】!AO362,"*修正*"),COUNTIF(数出表_Excel【15時】!AO363,"*修正*")),
IF(ISEVEN(ROW()+4),INDIRECT("数出表_Excel【15時】!A"&amp;ROW()+4+1&amp;""),INDIRECT("数出表_Excel【15時】!A"&amp;ROW()+4&amp;"")),"")</f>
        <v/>
      </c>
      <c r="D359" s="209" t="str">
        <f t="array" aca="1" ref="D359" ca="1">IF(B359&lt;&gt;"",
IFERROR(MATCH(TRUE,ISNUMBER(INDIRECT("数出表_Excel【15時】!B"&amp;(A359+4)&amp;":ZZ"&amp;(A359+4))),0)+1,""),"")</f>
        <v/>
      </c>
      <c r="E359" t="str">
        <f ca="1">IF(D359&lt;&gt;"",
OFFSET(数出表_Excel【15時】!$A$1,2,D359-1)
&amp;IFERROR(OFFSET(数出表_Excel【15時】!$A$1,3,D359-1),"")
&amp;IFERROR(OFFSET(数出表_Excel【15時】!$A$1,4,D359-1),""),"")</f>
        <v/>
      </c>
      <c r="F359" t="str">
        <f ca="1">IF(D359&lt;&gt;"",
OFFSET(数出表_Excel【15時】!$A$1,A359+3,D359-1),"")</f>
        <v/>
      </c>
      <c r="G359" t="str">
        <f ca="1">IF(D359&lt;&gt;"",
IF(AND(OFFSET(数出表_Excel【15時】!$A$1,A359+3,D359)&lt;&gt;"",OFFSET(数出表_Excel【15時】!$A$1,A359+3,D359)&lt;&gt;0),
OFFSET(数出表_Excel【15時】!$A$1,A359+3,D359),""),"")</f>
        <v/>
      </c>
      <c r="H359" s="209" t="str">
        <f t="array" aca="1" ref="H359" ca="1">IF(B359&lt;&gt;"",
IFERROR(MATCH(TRUE,ISNUMBER(INDIRECT("数出表_Excel【15時】!"&amp;SUBSTITUTE(ADDRESS(1,D359+2,4),"1","")&amp;(A359+4)&amp;":ZZ"&amp;(A359+4))),0)+D359+1,""),"")</f>
        <v/>
      </c>
      <c r="I359" t="str">
        <f ca="1">IF(H359&lt;&gt;"",
OFFSET(数出表_Excel【15時】!$A$1,2,H359-1)
&amp;IFERROR(OFFSET(数出表_Excel【15時】!$A$1,3,H359-1),"")
&amp;IFERROR(OFFSET(数出表_Excel【15時】!$A$1,4,H359-1),""),"")</f>
        <v/>
      </c>
      <c r="J359" t="str">
        <f ca="1">IF(H359&lt;&gt;"",
OFFSET(数出表_Excel【15時】!$A$1,A359+3,H359-1),"")</f>
        <v/>
      </c>
      <c r="K359" t="str">
        <f ca="1">IF(H359&lt;&gt;"",
IF(AND(OFFSET(数出表_Excel【15時】!$A$1,A359+3,H359)&lt;&gt;"",OFFSET(数出表_Excel【15時】!$A$1,A359+3,H359)&lt;&gt;0),
OFFSET(数出表_Excel【15時】!$A$1,A359+3,H359),""),"")</f>
        <v/>
      </c>
      <c r="L359" s="209" t="str">
        <f t="array" aca="1" ref="L359" ca="1">IF(B359&lt;&gt;"",
IFERROR(MATCH(TRUE,ISNUMBER(INDIRECT("数出表_Excel【15時】!"&amp;SUBSTITUTE(ADDRESS(1,H359+2,4),"1","")&amp;(A359+4)&amp;":ZZ"&amp;(A359+4))),0)+H359+1,""),"")</f>
        <v/>
      </c>
      <c r="M359" t="str">
        <f ca="1">IF(L359&lt;&gt;"",
OFFSET(数出表_Excel【15時】!$A$1,2,L359-1)
&amp;IFERROR(OFFSET(数出表_Excel【15時】!$A$1,3,L359-1),"")
&amp;IFERROR(OFFSET(数出表_Excel【15時】!$A$1,4,L359-1),""),"")</f>
        <v/>
      </c>
      <c r="N359" t="str">
        <f ca="1">IF(L359&lt;&gt;"",
OFFSET(数出表_Excel【15時】!$A$1,A359+3,L359-1),"")</f>
        <v/>
      </c>
      <c r="O359" t="str">
        <f ca="1">IF(L359&lt;&gt;"",
IF(AND(OFFSET(数出表_Excel【15時】!$A$1,A359+3,L359)&lt;&gt;"",OFFSET(数出表_Excel【15時】!$A$1,A359+3,L359)&lt;&gt;0),
OFFSET(数出表_Excel【15時】!$A$1,A359+3,L359),""),"")</f>
        <v/>
      </c>
    </row>
    <row r="360" spans="1:17">
      <c r="A360" t="str">
        <f t="shared" ca="1" si="5"/>
        <v/>
      </c>
      <c r="B360" t="str">
        <f t="array" aca="1" ref="B360" ca="1">IF(OR(COUNTIF(数出表_Excel【15時】!AO364,"*修正*"),COUNTIF(数出表_Excel【15時】!AO365,"*修正*")),
IF(ISEVEN(ROW()+4),INDIRECT("数出表_Excel【15時】!A"&amp;ROW()+4&amp;""),INDIRECT("数出表_Excel【15時】!A"&amp;ROW()+4-1&amp;"")),"")</f>
        <v/>
      </c>
      <c r="C360" t="str">
        <f t="array" aca="1" ref="C360" ca="1">IF(OR(COUNTIF(数出表_Excel【15時】!AO364,"*修正*"),COUNTIF(数出表_Excel【15時】!AO365,"*修正*")),
IF(ISEVEN(ROW()+4),INDIRECT("数出表_Excel【15時】!A"&amp;ROW()+4+1&amp;""),INDIRECT("数出表_Excel【15時】!A"&amp;ROW()+4&amp;"")),"")</f>
        <v/>
      </c>
      <c r="D360" s="209" t="str">
        <f t="array" aca="1" ref="D360" ca="1">IF(B360&lt;&gt;"",
IFERROR(MATCH(TRUE,ISNUMBER(INDIRECT("数出表_Excel【15時】!B"&amp;(A360+4)&amp;":ZZ"&amp;(A360+4))),0)+1,""),"")</f>
        <v/>
      </c>
      <c r="E360" t="str">
        <f ca="1">IF(D360&lt;&gt;"",
OFFSET(数出表_Excel【15時】!$A$1,2,D360-1)
&amp;IFERROR(OFFSET(数出表_Excel【15時】!$A$1,3,D360-1),"")
&amp;IFERROR(OFFSET(数出表_Excel【15時】!$A$1,4,D360-1),""),"")</f>
        <v/>
      </c>
      <c r="F360" t="str">
        <f ca="1">IF(D360&lt;&gt;"",
OFFSET(数出表_Excel【15時】!$A$1,A360+3,D360-1),"")</f>
        <v/>
      </c>
      <c r="G360" t="str">
        <f ca="1">IF(D360&lt;&gt;"",
IF(AND(OFFSET(数出表_Excel【15時】!$A$1,A360+3,D360)&lt;&gt;"",OFFSET(数出表_Excel【15時】!$A$1,A360+3,D360)&lt;&gt;0),
OFFSET(数出表_Excel【15時】!$A$1,A360+3,D360),""),"")</f>
        <v/>
      </c>
      <c r="H360" s="209" t="str">
        <f t="array" aca="1" ref="H360" ca="1">IF(B360&lt;&gt;"",
IFERROR(MATCH(TRUE,ISNUMBER(INDIRECT("数出表_Excel【15時】!"&amp;SUBSTITUTE(ADDRESS(1,D360+2,4),"1","")&amp;(A360+4)&amp;":ZZ"&amp;(A360+4))),0)+D360+1,""),"")</f>
        <v/>
      </c>
      <c r="I360" t="str">
        <f ca="1">IF(H360&lt;&gt;"",
OFFSET(数出表_Excel【15時】!$A$1,2,H360-1)
&amp;IFERROR(OFFSET(数出表_Excel【15時】!$A$1,3,H360-1),"")
&amp;IFERROR(OFFSET(数出表_Excel【15時】!$A$1,4,H360-1),""),"")</f>
        <v/>
      </c>
      <c r="J360" t="str">
        <f ca="1">IF(H360&lt;&gt;"",
OFFSET(数出表_Excel【15時】!$A$1,A360+3,H360-1),"")</f>
        <v/>
      </c>
      <c r="K360" t="str">
        <f ca="1">IF(H360&lt;&gt;"",
IF(AND(OFFSET(数出表_Excel【15時】!$A$1,A360+3,H360)&lt;&gt;"",OFFSET(数出表_Excel【15時】!$A$1,A360+3,H360)&lt;&gt;0),
OFFSET(数出表_Excel【15時】!$A$1,A360+3,H360),""),"")</f>
        <v/>
      </c>
      <c r="L360" s="209" t="str">
        <f t="array" aca="1" ref="L360" ca="1">IF(B360&lt;&gt;"",
IFERROR(MATCH(TRUE,ISNUMBER(INDIRECT("数出表_Excel【15時】!"&amp;SUBSTITUTE(ADDRESS(1,H360+2,4),"1","")&amp;(A360+4)&amp;":ZZ"&amp;(A360+4))),0)+H360+1,""),"")</f>
        <v/>
      </c>
      <c r="M360" t="str">
        <f ca="1">IF(L360&lt;&gt;"",
OFFSET(数出表_Excel【15時】!$A$1,2,L360-1)
&amp;IFERROR(OFFSET(数出表_Excel【15時】!$A$1,3,L360-1),"")
&amp;IFERROR(OFFSET(数出表_Excel【15時】!$A$1,4,L360-1),""),"")</f>
        <v/>
      </c>
      <c r="N360" t="str">
        <f ca="1">IF(L360&lt;&gt;"",
OFFSET(数出表_Excel【15時】!$A$1,A360+3,L360-1),"")</f>
        <v/>
      </c>
      <c r="O360" t="str">
        <f ca="1">IF(L360&lt;&gt;"",
IF(AND(OFFSET(数出表_Excel【15時】!$A$1,A360+3,L360)&lt;&gt;"",OFFSET(数出表_Excel【15時】!$A$1,A360+3,L360)&lt;&gt;0),
OFFSET(数出表_Excel【15時】!$A$1,A360+3,L360),""),"")</f>
        <v/>
      </c>
      <c r="Q360" t="str">
        <f ca="1">IF(C360&lt;&gt;"",
IF(E360&lt;&gt;"",1,0)+IF(I360&lt;&gt;"",1,0)+IF(M360&lt;&gt;"",1,0),"")</f>
        <v/>
      </c>
    </row>
    <row r="361" spans="1:17">
      <c r="A361" t="str">
        <f t="shared" ca="1" si="5"/>
        <v/>
      </c>
      <c r="B361" t="str">
        <f t="array" aca="1" ref="B361" ca="1">IF(OR(COUNTIF(数出表_Excel【15時】!AO364,"*修正*"),COUNTIF(数出表_Excel【15時】!AO365,"*修正*")),
IF(ISEVEN(ROW()+4),INDIRECT("数出表_Excel【15時】!A"&amp;ROW()+4&amp;""),INDIRECT("数出表_Excel【15時】!A"&amp;ROW()+4-1&amp;"")),"")</f>
        <v/>
      </c>
      <c r="C361" t="str">
        <f t="array" aca="1" ref="C361" ca="1">IF(OR(COUNTIF(数出表_Excel【15時】!AO364,"*修正*"),COUNTIF(数出表_Excel【15時】!AO365,"*修正*")),
IF(ISEVEN(ROW()+4),INDIRECT("数出表_Excel【15時】!A"&amp;ROW()+4+1&amp;""),INDIRECT("数出表_Excel【15時】!A"&amp;ROW()+4&amp;"")),"")</f>
        <v/>
      </c>
      <c r="D361" s="209" t="str">
        <f t="array" aca="1" ref="D361" ca="1">IF(B361&lt;&gt;"",
IFERROR(MATCH(TRUE,ISNUMBER(INDIRECT("数出表_Excel【15時】!B"&amp;(A361+4)&amp;":ZZ"&amp;(A361+4))),0)+1,""),"")</f>
        <v/>
      </c>
      <c r="E361" t="str">
        <f ca="1">IF(D361&lt;&gt;"",
OFFSET(数出表_Excel【15時】!$A$1,2,D361-1)
&amp;IFERROR(OFFSET(数出表_Excel【15時】!$A$1,3,D361-1),"")
&amp;IFERROR(OFFSET(数出表_Excel【15時】!$A$1,4,D361-1),""),"")</f>
        <v/>
      </c>
      <c r="F361" t="str">
        <f ca="1">IF(D361&lt;&gt;"",
OFFSET(数出表_Excel【15時】!$A$1,A361+3,D361-1),"")</f>
        <v/>
      </c>
      <c r="G361" t="str">
        <f ca="1">IF(D361&lt;&gt;"",
IF(AND(OFFSET(数出表_Excel【15時】!$A$1,A361+3,D361)&lt;&gt;"",OFFSET(数出表_Excel【15時】!$A$1,A361+3,D361)&lt;&gt;0),
OFFSET(数出表_Excel【15時】!$A$1,A361+3,D361),""),"")</f>
        <v/>
      </c>
      <c r="H361" s="209" t="str">
        <f t="array" aca="1" ref="H361" ca="1">IF(B361&lt;&gt;"",
IFERROR(MATCH(TRUE,ISNUMBER(INDIRECT("数出表_Excel【15時】!"&amp;SUBSTITUTE(ADDRESS(1,D361+2,4),"1","")&amp;(A361+4)&amp;":ZZ"&amp;(A361+4))),0)+D361+1,""),"")</f>
        <v/>
      </c>
      <c r="I361" t="str">
        <f ca="1">IF(H361&lt;&gt;"",
OFFSET(数出表_Excel【15時】!$A$1,2,H361-1)
&amp;IFERROR(OFFSET(数出表_Excel【15時】!$A$1,3,H361-1),"")
&amp;IFERROR(OFFSET(数出表_Excel【15時】!$A$1,4,H361-1),""),"")</f>
        <v/>
      </c>
      <c r="J361" t="str">
        <f ca="1">IF(H361&lt;&gt;"",
OFFSET(数出表_Excel【15時】!$A$1,A361+3,H361-1),"")</f>
        <v/>
      </c>
      <c r="K361" t="str">
        <f ca="1">IF(H361&lt;&gt;"",
IF(AND(OFFSET(数出表_Excel【15時】!$A$1,A361+3,H361)&lt;&gt;"",OFFSET(数出表_Excel【15時】!$A$1,A361+3,H361)&lt;&gt;0),
OFFSET(数出表_Excel【15時】!$A$1,A361+3,H361),""),"")</f>
        <v/>
      </c>
      <c r="L361" s="209" t="str">
        <f t="array" aca="1" ref="L361" ca="1">IF(B361&lt;&gt;"",
IFERROR(MATCH(TRUE,ISNUMBER(INDIRECT("数出表_Excel【15時】!"&amp;SUBSTITUTE(ADDRESS(1,H361+2,4),"1","")&amp;(A361+4)&amp;":ZZ"&amp;(A361+4))),0)+H361+1,""),"")</f>
        <v/>
      </c>
      <c r="M361" t="str">
        <f ca="1">IF(L361&lt;&gt;"",
OFFSET(数出表_Excel【15時】!$A$1,2,L361-1)
&amp;IFERROR(OFFSET(数出表_Excel【15時】!$A$1,3,L361-1),"")
&amp;IFERROR(OFFSET(数出表_Excel【15時】!$A$1,4,L361-1),""),"")</f>
        <v/>
      </c>
      <c r="N361" t="str">
        <f ca="1">IF(L361&lt;&gt;"",
OFFSET(数出表_Excel【15時】!$A$1,A361+3,L361-1),"")</f>
        <v/>
      </c>
      <c r="O361" t="str">
        <f ca="1">IF(L361&lt;&gt;"",
IF(AND(OFFSET(数出表_Excel【15時】!$A$1,A361+3,L361)&lt;&gt;"",OFFSET(数出表_Excel【15時】!$A$1,A361+3,L361)&lt;&gt;0),
OFFSET(数出表_Excel【15時】!$A$1,A361+3,L361),""),"")</f>
        <v/>
      </c>
    </row>
    <row r="362" spans="1:17">
      <c r="A362" t="str">
        <f t="shared" ca="1" si="5"/>
        <v/>
      </c>
      <c r="B362" t="str">
        <f t="array" aca="1" ref="B362" ca="1">IF(OR(COUNTIF(数出表_Excel【15時】!AO366,"*修正*"),COUNTIF(数出表_Excel【15時】!AO367,"*修正*")),
IF(ISEVEN(ROW()+4),INDIRECT("数出表_Excel【15時】!A"&amp;ROW()+4&amp;""),INDIRECT("数出表_Excel【15時】!A"&amp;ROW()+4-1&amp;"")),"")</f>
        <v/>
      </c>
      <c r="C362" t="str">
        <f t="array" aca="1" ref="C362" ca="1">IF(OR(COUNTIF(数出表_Excel【15時】!AO366,"*修正*"),COUNTIF(数出表_Excel【15時】!AO367,"*修正*")),
IF(ISEVEN(ROW()+4),INDIRECT("数出表_Excel【15時】!A"&amp;ROW()+4+1&amp;""),INDIRECT("数出表_Excel【15時】!A"&amp;ROW()+4&amp;"")),"")</f>
        <v/>
      </c>
      <c r="D362" s="209" t="str">
        <f t="array" aca="1" ref="D362" ca="1">IF(B362&lt;&gt;"",
IFERROR(MATCH(TRUE,ISNUMBER(INDIRECT("数出表_Excel【15時】!B"&amp;(A362+4)&amp;":ZZ"&amp;(A362+4))),0)+1,""),"")</f>
        <v/>
      </c>
      <c r="E362" t="str">
        <f ca="1">IF(D362&lt;&gt;"",
OFFSET(数出表_Excel【15時】!$A$1,2,D362-1)
&amp;IFERROR(OFFSET(数出表_Excel【15時】!$A$1,3,D362-1),"")
&amp;IFERROR(OFFSET(数出表_Excel【15時】!$A$1,4,D362-1),""),"")</f>
        <v/>
      </c>
      <c r="F362" t="str">
        <f ca="1">IF(D362&lt;&gt;"",
OFFSET(数出表_Excel【15時】!$A$1,A362+3,D362-1),"")</f>
        <v/>
      </c>
      <c r="G362" t="str">
        <f ca="1">IF(D362&lt;&gt;"",
IF(AND(OFFSET(数出表_Excel【15時】!$A$1,A362+3,D362)&lt;&gt;"",OFFSET(数出表_Excel【15時】!$A$1,A362+3,D362)&lt;&gt;0),
OFFSET(数出表_Excel【15時】!$A$1,A362+3,D362),""),"")</f>
        <v/>
      </c>
      <c r="H362" s="209" t="str">
        <f t="array" aca="1" ref="H362" ca="1">IF(B362&lt;&gt;"",
IFERROR(MATCH(TRUE,ISNUMBER(INDIRECT("数出表_Excel【15時】!"&amp;SUBSTITUTE(ADDRESS(1,D362+2,4),"1","")&amp;(A362+4)&amp;":ZZ"&amp;(A362+4))),0)+D362+1,""),"")</f>
        <v/>
      </c>
      <c r="I362" t="str">
        <f ca="1">IF(H362&lt;&gt;"",
OFFSET(数出表_Excel【15時】!$A$1,2,H362-1)
&amp;IFERROR(OFFSET(数出表_Excel【15時】!$A$1,3,H362-1),"")
&amp;IFERROR(OFFSET(数出表_Excel【15時】!$A$1,4,H362-1),""),"")</f>
        <v/>
      </c>
      <c r="J362" t="str">
        <f ca="1">IF(H362&lt;&gt;"",
OFFSET(数出表_Excel【15時】!$A$1,A362+3,H362-1),"")</f>
        <v/>
      </c>
      <c r="K362" t="str">
        <f ca="1">IF(H362&lt;&gt;"",
IF(AND(OFFSET(数出表_Excel【15時】!$A$1,A362+3,H362)&lt;&gt;"",OFFSET(数出表_Excel【15時】!$A$1,A362+3,H362)&lt;&gt;0),
OFFSET(数出表_Excel【15時】!$A$1,A362+3,H362),""),"")</f>
        <v/>
      </c>
      <c r="L362" s="209" t="str">
        <f t="array" aca="1" ref="L362" ca="1">IF(B362&lt;&gt;"",
IFERROR(MATCH(TRUE,ISNUMBER(INDIRECT("数出表_Excel【15時】!"&amp;SUBSTITUTE(ADDRESS(1,H362+2,4),"1","")&amp;(A362+4)&amp;":ZZ"&amp;(A362+4))),0)+H362+1,""),"")</f>
        <v/>
      </c>
      <c r="M362" t="str">
        <f ca="1">IF(L362&lt;&gt;"",
OFFSET(数出表_Excel【15時】!$A$1,2,L362-1)
&amp;IFERROR(OFFSET(数出表_Excel【15時】!$A$1,3,L362-1),"")
&amp;IFERROR(OFFSET(数出表_Excel【15時】!$A$1,4,L362-1),""),"")</f>
        <v/>
      </c>
      <c r="N362" t="str">
        <f ca="1">IF(L362&lt;&gt;"",
OFFSET(数出表_Excel【15時】!$A$1,A362+3,L362-1),"")</f>
        <v/>
      </c>
      <c r="O362" t="str">
        <f ca="1">IF(L362&lt;&gt;"",
IF(AND(OFFSET(数出表_Excel【15時】!$A$1,A362+3,L362)&lt;&gt;"",OFFSET(数出表_Excel【15時】!$A$1,A362+3,L362)&lt;&gt;0),
OFFSET(数出表_Excel【15時】!$A$1,A362+3,L362),""),"")</f>
        <v/>
      </c>
      <c r="Q362" t="str">
        <f ca="1">IF(C362&lt;&gt;"",
IF(E362&lt;&gt;"",1,0)+IF(I362&lt;&gt;"",1,0)+IF(M362&lt;&gt;"",1,0),"")</f>
        <v/>
      </c>
    </row>
    <row r="363" spans="1:17">
      <c r="A363" t="str">
        <f t="shared" ca="1" si="5"/>
        <v/>
      </c>
      <c r="B363" t="str">
        <f t="array" aca="1" ref="B363" ca="1">IF(OR(COUNTIF(数出表_Excel【15時】!AO366,"*修正*"),COUNTIF(数出表_Excel【15時】!AO367,"*修正*")),
IF(ISEVEN(ROW()+4),INDIRECT("数出表_Excel【15時】!A"&amp;ROW()+4&amp;""),INDIRECT("数出表_Excel【15時】!A"&amp;ROW()+4-1&amp;"")),"")</f>
        <v/>
      </c>
      <c r="C363" t="str">
        <f t="array" aca="1" ref="C363" ca="1">IF(OR(COUNTIF(数出表_Excel【15時】!AO366,"*修正*"),COUNTIF(数出表_Excel【15時】!AO367,"*修正*")),
IF(ISEVEN(ROW()+4),INDIRECT("数出表_Excel【15時】!A"&amp;ROW()+4+1&amp;""),INDIRECT("数出表_Excel【15時】!A"&amp;ROW()+4&amp;"")),"")</f>
        <v/>
      </c>
      <c r="D363" s="209" t="str">
        <f t="array" aca="1" ref="D363" ca="1">IF(B363&lt;&gt;"",
IFERROR(MATCH(TRUE,ISNUMBER(INDIRECT("数出表_Excel【15時】!B"&amp;(A363+4)&amp;":ZZ"&amp;(A363+4))),0)+1,""),"")</f>
        <v/>
      </c>
      <c r="E363" t="str">
        <f ca="1">IF(D363&lt;&gt;"",
OFFSET(数出表_Excel【15時】!$A$1,2,D363-1)
&amp;IFERROR(OFFSET(数出表_Excel【15時】!$A$1,3,D363-1),"")
&amp;IFERROR(OFFSET(数出表_Excel【15時】!$A$1,4,D363-1),""),"")</f>
        <v/>
      </c>
      <c r="F363" t="str">
        <f ca="1">IF(D363&lt;&gt;"",
OFFSET(数出表_Excel【15時】!$A$1,A363+3,D363-1),"")</f>
        <v/>
      </c>
      <c r="G363" t="str">
        <f ca="1">IF(D363&lt;&gt;"",
IF(AND(OFFSET(数出表_Excel【15時】!$A$1,A363+3,D363)&lt;&gt;"",OFFSET(数出表_Excel【15時】!$A$1,A363+3,D363)&lt;&gt;0),
OFFSET(数出表_Excel【15時】!$A$1,A363+3,D363),""),"")</f>
        <v/>
      </c>
      <c r="H363" s="209" t="str">
        <f t="array" aca="1" ref="H363" ca="1">IF(B363&lt;&gt;"",
IFERROR(MATCH(TRUE,ISNUMBER(INDIRECT("数出表_Excel【15時】!"&amp;SUBSTITUTE(ADDRESS(1,D363+2,4),"1","")&amp;(A363+4)&amp;":ZZ"&amp;(A363+4))),0)+D363+1,""),"")</f>
        <v/>
      </c>
      <c r="I363" t="str">
        <f ca="1">IF(H363&lt;&gt;"",
OFFSET(数出表_Excel【15時】!$A$1,2,H363-1)
&amp;IFERROR(OFFSET(数出表_Excel【15時】!$A$1,3,H363-1),"")
&amp;IFERROR(OFFSET(数出表_Excel【15時】!$A$1,4,H363-1),""),"")</f>
        <v/>
      </c>
      <c r="J363" t="str">
        <f ca="1">IF(H363&lt;&gt;"",
OFFSET(数出表_Excel【15時】!$A$1,A363+3,H363-1),"")</f>
        <v/>
      </c>
      <c r="K363" t="str">
        <f ca="1">IF(H363&lt;&gt;"",
IF(AND(OFFSET(数出表_Excel【15時】!$A$1,A363+3,H363)&lt;&gt;"",OFFSET(数出表_Excel【15時】!$A$1,A363+3,H363)&lt;&gt;0),
OFFSET(数出表_Excel【15時】!$A$1,A363+3,H363),""),"")</f>
        <v/>
      </c>
      <c r="L363" s="209" t="str">
        <f t="array" aca="1" ref="L363" ca="1">IF(B363&lt;&gt;"",
IFERROR(MATCH(TRUE,ISNUMBER(INDIRECT("数出表_Excel【15時】!"&amp;SUBSTITUTE(ADDRESS(1,H363+2,4),"1","")&amp;(A363+4)&amp;":ZZ"&amp;(A363+4))),0)+H363+1,""),"")</f>
        <v/>
      </c>
      <c r="M363" t="str">
        <f ca="1">IF(L363&lt;&gt;"",
OFFSET(数出表_Excel【15時】!$A$1,2,L363-1)
&amp;IFERROR(OFFSET(数出表_Excel【15時】!$A$1,3,L363-1),"")
&amp;IFERROR(OFFSET(数出表_Excel【15時】!$A$1,4,L363-1),""),"")</f>
        <v/>
      </c>
      <c r="N363" t="str">
        <f ca="1">IF(L363&lt;&gt;"",
OFFSET(数出表_Excel【15時】!$A$1,A363+3,L363-1),"")</f>
        <v/>
      </c>
      <c r="O363" t="str">
        <f ca="1">IF(L363&lt;&gt;"",
IF(AND(OFFSET(数出表_Excel【15時】!$A$1,A363+3,L363)&lt;&gt;"",OFFSET(数出表_Excel【15時】!$A$1,A363+3,L363)&lt;&gt;0),
OFFSET(数出表_Excel【15時】!$A$1,A363+3,L363),""),"")</f>
        <v/>
      </c>
    </row>
    <row r="364" spans="1:17">
      <c r="A364" t="str">
        <f t="shared" ca="1" si="5"/>
        <v/>
      </c>
      <c r="B364" t="str">
        <f t="array" aca="1" ref="B364" ca="1">IF(OR(COUNTIF(数出表_Excel【15時】!AO368,"*修正*"),COUNTIF(数出表_Excel【15時】!AO369,"*修正*")),
IF(ISEVEN(ROW()+4),INDIRECT("数出表_Excel【15時】!A"&amp;ROW()+4&amp;""),INDIRECT("数出表_Excel【15時】!A"&amp;ROW()+4-1&amp;"")),"")</f>
        <v/>
      </c>
      <c r="C364" t="str">
        <f t="array" aca="1" ref="C364" ca="1">IF(OR(COUNTIF(数出表_Excel【15時】!AO368,"*修正*"),COUNTIF(数出表_Excel【15時】!AO369,"*修正*")),
IF(ISEVEN(ROW()+4),INDIRECT("数出表_Excel【15時】!A"&amp;ROW()+4+1&amp;""),INDIRECT("数出表_Excel【15時】!A"&amp;ROW()+4&amp;"")),"")</f>
        <v/>
      </c>
      <c r="D364" s="209" t="str">
        <f t="array" aca="1" ref="D364" ca="1">IF(B364&lt;&gt;"",
IFERROR(MATCH(TRUE,ISNUMBER(INDIRECT("数出表_Excel【15時】!B"&amp;(A364+4)&amp;":ZZ"&amp;(A364+4))),0)+1,""),"")</f>
        <v/>
      </c>
      <c r="E364" t="str">
        <f ca="1">IF(D364&lt;&gt;"",
OFFSET(数出表_Excel【15時】!$A$1,2,D364-1)
&amp;IFERROR(OFFSET(数出表_Excel【15時】!$A$1,3,D364-1),"")
&amp;IFERROR(OFFSET(数出表_Excel【15時】!$A$1,4,D364-1),""),"")</f>
        <v/>
      </c>
      <c r="F364" t="str">
        <f ca="1">IF(D364&lt;&gt;"",
OFFSET(数出表_Excel【15時】!$A$1,A364+3,D364-1),"")</f>
        <v/>
      </c>
      <c r="G364" t="str">
        <f ca="1">IF(D364&lt;&gt;"",
IF(AND(OFFSET(数出表_Excel【15時】!$A$1,A364+3,D364)&lt;&gt;"",OFFSET(数出表_Excel【15時】!$A$1,A364+3,D364)&lt;&gt;0),
OFFSET(数出表_Excel【15時】!$A$1,A364+3,D364),""),"")</f>
        <v/>
      </c>
      <c r="H364" s="209" t="str">
        <f t="array" aca="1" ref="H364" ca="1">IF(B364&lt;&gt;"",
IFERROR(MATCH(TRUE,ISNUMBER(INDIRECT("数出表_Excel【15時】!"&amp;SUBSTITUTE(ADDRESS(1,D364+2,4),"1","")&amp;(A364+4)&amp;":ZZ"&amp;(A364+4))),0)+D364+1,""),"")</f>
        <v/>
      </c>
      <c r="I364" t="str">
        <f ca="1">IF(H364&lt;&gt;"",
OFFSET(数出表_Excel【15時】!$A$1,2,H364-1)
&amp;IFERROR(OFFSET(数出表_Excel【15時】!$A$1,3,H364-1),"")
&amp;IFERROR(OFFSET(数出表_Excel【15時】!$A$1,4,H364-1),""),"")</f>
        <v/>
      </c>
      <c r="J364" t="str">
        <f ca="1">IF(H364&lt;&gt;"",
OFFSET(数出表_Excel【15時】!$A$1,A364+3,H364-1),"")</f>
        <v/>
      </c>
      <c r="K364" t="str">
        <f ca="1">IF(H364&lt;&gt;"",
IF(AND(OFFSET(数出表_Excel【15時】!$A$1,A364+3,H364)&lt;&gt;"",OFFSET(数出表_Excel【15時】!$A$1,A364+3,H364)&lt;&gt;0),
OFFSET(数出表_Excel【15時】!$A$1,A364+3,H364),""),"")</f>
        <v/>
      </c>
      <c r="L364" s="209" t="str">
        <f t="array" aca="1" ref="L364" ca="1">IF(B364&lt;&gt;"",
IFERROR(MATCH(TRUE,ISNUMBER(INDIRECT("数出表_Excel【15時】!"&amp;SUBSTITUTE(ADDRESS(1,H364+2,4),"1","")&amp;(A364+4)&amp;":ZZ"&amp;(A364+4))),0)+H364+1,""),"")</f>
        <v/>
      </c>
      <c r="M364" t="str">
        <f ca="1">IF(L364&lt;&gt;"",
OFFSET(数出表_Excel【15時】!$A$1,2,L364-1)
&amp;IFERROR(OFFSET(数出表_Excel【15時】!$A$1,3,L364-1),"")
&amp;IFERROR(OFFSET(数出表_Excel【15時】!$A$1,4,L364-1),""),"")</f>
        <v/>
      </c>
      <c r="N364" t="str">
        <f ca="1">IF(L364&lt;&gt;"",
OFFSET(数出表_Excel【15時】!$A$1,A364+3,L364-1),"")</f>
        <v/>
      </c>
      <c r="O364" t="str">
        <f ca="1">IF(L364&lt;&gt;"",
IF(AND(OFFSET(数出表_Excel【15時】!$A$1,A364+3,L364)&lt;&gt;"",OFFSET(数出表_Excel【15時】!$A$1,A364+3,L364)&lt;&gt;0),
OFFSET(数出表_Excel【15時】!$A$1,A364+3,L364),""),"")</f>
        <v/>
      </c>
      <c r="Q364" t="str">
        <f ca="1">IF(C364&lt;&gt;"",
IF(E364&lt;&gt;"",1,0)+IF(I364&lt;&gt;"",1,0)+IF(M364&lt;&gt;"",1,0),"")</f>
        <v/>
      </c>
    </row>
    <row r="365" spans="1:17">
      <c r="A365" t="str">
        <f t="shared" ca="1" si="5"/>
        <v/>
      </c>
      <c r="B365" t="str">
        <f t="array" aca="1" ref="B365" ca="1">IF(OR(COUNTIF(数出表_Excel【15時】!AO368,"*修正*"),COUNTIF(数出表_Excel【15時】!AO369,"*修正*")),
IF(ISEVEN(ROW()+4),INDIRECT("数出表_Excel【15時】!A"&amp;ROW()+4&amp;""),INDIRECT("数出表_Excel【15時】!A"&amp;ROW()+4-1&amp;"")),"")</f>
        <v/>
      </c>
      <c r="C365" t="str">
        <f t="array" aca="1" ref="C365" ca="1">IF(OR(COUNTIF(数出表_Excel【15時】!AO368,"*修正*"),COUNTIF(数出表_Excel【15時】!AO369,"*修正*")),
IF(ISEVEN(ROW()+4),INDIRECT("数出表_Excel【15時】!A"&amp;ROW()+4+1&amp;""),INDIRECT("数出表_Excel【15時】!A"&amp;ROW()+4&amp;"")),"")</f>
        <v/>
      </c>
      <c r="D365" s="209" t="str">
        <f t="array" aca="1" ref="D365" ca="1">IF(B365&lt;&gt;"",
IFERROR(MATCH(TRUE,ISNUMBER(INDIRECT("数出表_Excel【15時】!B"&amp;(A365+4)&amp;":ZZ"&amp;(A365+4))),0)+1,""),"")</f>
        <v/>
      </c>
      <c r="E365" t="str">
        <f ca="1">IF(D365&lt;&gt;"",
OFFSET(数出表_Excel【15時】!$A$1,2,D365-1)
&amp;IFERROR(OFFSET(数出表_Excel【15時】!$A$1,3,D365-1),"")
&amp;IFERROR(OFFSET(数出表_Excel【15時】!$A$1,4,D365-1),""),"")</f>
        <v/>
      </c>
      <c r="F365" t="str">
        <f ca="1">IF(D365&lt;&gt;"",
OFFSET(数出表_Excel【15時】!$A$1,A365+3,D365-1),"")</f>
        <v/>
      </c>
      <c r="G365" t="str">
        <f ca="1">IF(D365&lt;&gt;"",
IF(AND(OFFSET(数出表_Excel【15時】!$A$1,A365+3,D365)&lt;&gt;"",OFFSET(数出表_Excel【15時】!$A$1,A365+3,D365)&lt;&gt;0),
OFFSET(数出表_Excel【15時】!$A$1,A365+3,D365),""),"")</f>
        <v/>
      </c>
      <c r="H365" s="209" t="str">
        <f t="array" aca="1" ref="H365" ca="1">IF(B365&lt;&gt;"",
IFERROR(MATCH(TRUE,ISNUMBER(INDIRECT("数出表_Excel【15時】!"&amp;SUBSTITUTE(ADDRESS(1,D365+2,4),"1","")&amp;(A365+4)&amp;":ZZ"&amp;(A365+4))),0)+D365+1,""),"")</f>
        <v/>
      </c>
      <c r="I365" t="str">
        <f ca="1">IF(H365&lt;&gt;"",
OFFSET(数出表_Excel【15時】!$A$1,2,H365-1)
&amp;IFERROR(OFFSET(数出表_Excel【15時】!$A$1,3,H365-1),"")
&amp;IFERROR(OFFSET(数出表_Excel【15時】!$A$1,4,H365-1),""),"")</f>
        <v/>
      </c>
      <c r="J365" t="str">
        <f ca="1">IF(H365&lt;&gt;"",
OFFSET(数出表_Excel【15時】!$A$1,A365+3,H365-1),"")</f>
        <v/>
      </c>
      <c r="K365" t="str">
        <f ca="1">IF(H365&lt;&gt;"",
IF(AND(OFFSET(数出表_Excel【15時】!$A$1,A365+3,H365)&lt;&gt;"",OFFSET(数出表_Excel【15時】!$A$1,A365+3,H365)&lt;&gt;0),
OFFSET(数出表_Excel【15時】!$A$1,A365+3,H365),""),"")</f>
        <v/>
      </c>
      <c r="L365" s="209" t="str">
        <f t="array" aca="1" ref="L365" ca="1">IF(B365&lt;&gt;"",
IFERROR(MATCH(TRUE,ISNUMBER(INDIRECT("数出表_Excel【15時】!"&amp;SUBSTITUTE(ADDRESS(1,H365+2,4),"1","")&amp;(A365+4)&amp;":ZZ"&amp;(A365+4))),0)+H365+1,""),"")</f>
        <v/>
      </c>
      <c r="M365" t="str">
        <f ca="1">IF(L365&lt;&gt;"",
OFFSET(数出表_Excel【15時】!$A$1,2,L365-1)
&amp;IFERROR(OFFSET(数出表_Excel【15時】!$A$1,3,L365-1),"")
&amp;IFERROR(OFFSET(数出表_Excel【15時】!$A$1,4,L365-1),""),"")</f>
        <v/>
      </c>
      <c r="N365" t="str">
        <f ca="1">IF(L365&lt;&gt;"",
OFFSET(数出表_Excel【15時】!$A$1,A365+3,L365-1),"")</f>
        <v/>
      </c>
      <c r="O365" t="str">
        <f ca="1">IF(L365&lt;&gt;"",
IF(AND(OFFSET(数出表_Excel【15時】!$A$1,A365+3,L365)&lt;&gt;"",OFFSET(数出表_Excel【15時】!$A$1,A365+3,L365)&lt;&gt;0),
OFFSET(数出表_Excel【15時】!$A$1,A365+3,L365),""),"")</f>
        <v/>
      </c>
    </row>
    <row r="366" spans="1:17">
      <c r="A366" t="str">
        <f t="shared" ca="1" si="5"/>
        <v/>
      </c>
      <c r="B366" t="str">
        <f t="array" aca="1" ref="B366" ca="1">IF(OR(COUNTIF(数出表_Excel【15時】!AO370,"*修正*"),COUNTIF(数出表_Excel【15時】!AO371,"*修正*")),
IF(ISEVEN(ROW()+4),INDIRECT("数出表_Excel【15時】!A"&amp;ROW()+4&amp;""),INDIRECT("数出表_Excel【15時】!A"&amp;ROW()+4-1&amp;"")),"")</f>
        <v/>
      </c>
      <c r="C366" t="str">
        <f t="array" aca="1" ref="C366" ca="1">IF(OR(COUNTIF(数出表_Excel【15時】!AO370,"*修正*"),COUNTIF(数出表_Excel【15時】!AO371,"*修正*")),
IF(ISEVEN(ROW()+4),INDIRECT("数出表_Excel【15時】!A"&amp;ROW()+4+1&amp;""),INDIRECT("数出表_Excel【15時】!A"&amp;ROW()+4&amp;"")),"")</f>
        <v/>
      </c>
      <c r="D366" s="209" t="str">
        <f t="array" aca="1" ref="D366" ca="1">IF(B366&lt;&gt;"",
IFERROR(MATCH(TRUE,ISNUMBER(INDIRECT("数出表_Excel【15時】!B"&amp;(A366+4)&amp;":ZZ"&amp;(A366+4))),0)+1,""),"")</f>
        <v/>
      </c>
      <c r="E366" t="str">
        <f ca="1">IF(D366&lt;&gt;"",
OFFSET(数出表_Excel【15時】!$A$1,2,D366-1)
&amp;IFERROR(OFFSET(数出表_Excel【15時】!$A$1,3,D366-1),"")
&amp;IFERROR(OFFSET(数出表_Excel【15時】!$A$1,4,D366-1),""),"")</f>
        <v/>
      </c>
      <c r="F366" t="str">
        <f ca="1">IF(D366&lt;&gt;"",
OFFSET(数出表_Excel【15時】!$A$1,A366+3,D366-1),"")</f>
        <v/>
      </c>
      <c r="G366" t="str">
        <f ca="1">IF(D366&lt;&gt;"",
IF(AND(OFFSET(数出表_Excel【15時】!$A$1,A366+3,D366)&lt;&gt;"",OFFSET(数出表_Excel【15時】!$A$1,A366+3,D366)&lt;&gt;0),
OFFSET(数出表_Excel【15時】!$A$1,A366+3,D366),""),"")</f>
        <v/>
      </c>
      <c r="H366" s="209" t="str">
        <f t="array" aca="1" ref="H366" ca="1">IF(B366&lt;&gt;"",
IFERROR(MATCH(TRUE,ISNUMBER(INDIRECT("数出表_Excel【15時】!"&amp;SUBSTITUTE(ADDRESS(1,D366+2,4),"1","")&amp;(A366+4)&amp;":ZZ"&amp;(A366+4))),0)+D366+1,""),"")</f>
        <v/>
      </c>
      <c r="I366" t="str">
        <f ca="1">IF(H366&lt;&gt;"",
OFFSET(数出表_Excel【15時】!$A$1,2,H366-1)
&amp;IFERROR(OFFSET(数出表_Excel【15時】!$A$1,3,H366-1),"")
&amp;IFERROR(OFFSET(数出表_Excel【15時】!$A$1,4,H366-1),""),"")</f>
        <v/>
      </c>
      <c r="J366" t="str">
        <f ca="1">IF(H366&lt;&gt;"",
OFFSET(数出表_Excel【15時】!$A$1,A366+3,H366-1),"")</f>
        <v/>
      </c>
      <c r="K366" t="str">
        <f ca="1">IF(H366&lt;&gt;"",
IF(AND(OFFSET(数出表_Excel【15時】!$A$1,A366+3,H366)&lt;&gt;"",OFFSET(数出表_Excel【15時】!$A$1,A366+3,H366)&lt;&gt;0),
OFFSET(数出表_Excel【15時】!$A$1,A366+3,H366),""),"")</f>
        <v/>
      </c>
      <c r="L366" s="209" t="str">
        <f t="array" aca="1" ref="L366" ca="1">IF(B366&lt;&gt;"",
IFERROR(MATCH(TRUE,ISNUMBER(INDIRECT("数出表_Excel【15時】!"&amp;SUBSTITUTE(ADDRESS(1,H366+2,4),"1","")&amp;(A366+4)&amp;":ZZ"&amp;(A366+4))),0)+H366+1,""),"")</f>
        <v/>
      </c>
      <c r="M366" t="str">
        <f ca="1">IF(L366&lt;&gt;"",
OFFSET(数出表_Excel【15時】!$A$1,2,L366-1)
&amp;IFERROR(OFFSET(数出表_Excel【15時】!$A$1,3,L366-1),"")
&amp;IFERROR(OFFSET(数出表_Excel【15時】!$A$1,4,L366-1),""),"")</f>
        <v/>
      </c>
      <c r="N366" t="str">
        <f ca="1">IF(L366&lt;&gt;"",
OFFSET(数出表_Excel【15時】!$A$1,A366+3,L366-1),"")</f>
        <v/>
      </c>
      <c r="O366" t="str">
        <f ca="1">IF(L366&lt;&gt;"",
IF(AND(OFFSET(数出表_Excel【15時】!$A$1,A366+3,L366)&lt;&gt;"",OFFSET(数出表_Excel【15時】!$A$1,A366+3,L366)&lt;&gt;0),
OFFSET(数出表_Excel【15時】!$A$1,A366+3,L366),""),"")</f>
        <v/>
      </c>
      <c r="Q366" t="str">
        <f ca="1">IF(C366&lt;&gt;"",
IF(E366&lt;&gt;"",1,0)+IF(I366&lt;&gt;"",1,0)+IF(M366&lt;&gt;"",1,0),"")</f>
        <v/>
      </c>
    </row>
    <row r="367" spans="1:17">
      <c r="A367" t="str">
        <f t="shared" ca="1" si="5"/>
        <v/>
      </c>
      <c r="B367" t="str">
        <f t="array" aca="1" ref="B367" ca="1">IF(OR(COUNTIF(数出表_Excel【15時】!AO370,"*修正*"),COUNTIF(数出表_Excel【15時】!AO371,"*修正*")),
IF(ISEVEN(ROW()+4),INDIRECT("数出表_Excel【15時】!A"&amp;ROW()+4&amp;""),INDIRECT("数出表_Excel【15時】!A"&amp;ROW()+4-1&amp;"")),"")</f>
        <v/>
      </c>
      <c r="C367" t="str">
        <f t="array" aca="1" ref="C367" ca="1">IF(OR(COUNTIF(数出表_Excel【15時】!AO370,"*修正*"),COUNTIF(数出表_Excel【15時】!AO371,"*修正*")),
IF(ISEVEN(ROW()+4),INDIRECT("数出表_Excel【15時】!A"&amp;ROW()+4+1&amp;""),INDIRECT("数出表_Excel【15時】!A"&amp;ROW()+4&amp;"")),"")</f>
        <v/>
      </c>
      <c r="D367" s="209" t="str">
        <f t="array" aca="1" ref="D367" ca="1">IF(B367&lt;&gt;"",
IFERROR(MATCH(TRUE,ISNUMBER(INDIRECT("数出表_Excel【15時】!B"&amp;(A367+4)&amp;":ZZ"&amp;(A367+4))),0)+1,""),"")</f>
        <v/>
      </c>
      <c r="E367" t="str">
        <f ca="1">IF(D367&lt;&gt;"",
OFFSET(数出表_Excel【15時】!$A$1,2,D367-1)
&amp;IFERROR(OFFSET(数出表_Excel【15時】!$A$1,3,D367-1),"")
&amp;IFERROR(OFFSET(数出表_Excel【15時】!$A$1,4,D367-1),""),"")</f>
        <v/>
      </c>
      <c r="F367" t="str">
        <f ca="1">IF(D367&lt;&gt;"",
OFFSET(数出表_Excel【15時】!$A$1,A367+3,D367-1),"")</f>
        <v/>
      </c>
      <c r="G367" t="str">
        <f ca="1">IF(D367&lt;&gt;"",
IF(AND(OFFSET(数出表_Excel【15時】!$A$1,A367+3,D367)&lt;&gt;"",OFFSET(数出表_Excel【15時】!$A$1,A367+3,D367)&lt;&gt;0),
OFFSET(数出表_Excel【15時】!$A$1,A367+3,D367),""),"")</f>
        <v/>
      </c>
      <c r="H367" s="209" t="str">
        <f t="array" aca="1" ref="H367" ca="1">IF(B367&lt;&gt;"",
IFERROR(MATCH(TRUE,ISNUMBER(INDIRECT("数出表_Excel【15時】!"&amp;SUBSTITUTE(ADDRESS(1,D367+2,4),"1","")&amp;(A367+4)&amp;":ZZ"&amp;(A367+4))),0)+D367+1,""),"")</f>
        <v/>
      </c>
      <c r="I367" t="str">
        <f ca="1">IF(H367&lt;&gt;"",
OFFSET(数出表_Excel【15時】!$A$1,2,H367-1)
&amp;IFERROR(OFFSET(数出表_Excel【15時】!$A$1,3,H367-1),"")
&amp;IFERROR(OFFSET(数出表_Excel【15時】!$A$1,4,H367-1),""),"")</f>
        <v/>
      </c>
      <c r="J367" t="str">
        <f ca="1">IF(H367&lt;&gt;"",
OFFSET(数出表_Excel【15時】!$A$1,A367+3,H367-1),"")</f>
        <v/>
      </c>
      <c r="K367" t="str">
        <f ca="1">IF(H367&lt;&gt;"",
IF(AND(OFFSET(数出表_Excel【15時】!$A$1,A367+3,H367)&lt;&gt;"",OFFSET(数出表_Excel【15時】!$A$1,A367+3,H367)&lt;&gt;0),
OFFSET(数出表_Excel【15時】!$A$1,A367+3,H367),""),"")</f>
        <v/>
      </c>
      <c r="L367" s="209" t="str">
        <f t="array" aca="1" ref="L367" ca="1">IF(B367&lt;&gt;"",
IFERROR(MATCH(TRUE,ISNUMBER(INDIRECT("数出表_Excel【15時】!"&amp;SUBSTITUTE(ADDRESS(1,H367+2,4),"1","")&amp;(A367+4)&amp;":ZZ"&amp;(A367+4))),0)+H367+1,""),"")</f>
        <v/>
      </c>
      <c r="M367" t="str">
        <f ca="1">IF(L367&lt;&gt;"",
OFFSET(数出表_Excel【15時】!$A$1,2,L367-1)
&amp;IFERROR(OFFSET(数出表_Excel【15時】!$A$1,3,L367-1),"")
&amp;IFERROR(OFFSET(数出表_Excel【15時】!$A$1,4,L367-1),""),"")</f>
        <v/>
      </c>
      <c r="N367" t="str">
        <f ca="1">IF(L367&lt;&gt;"",
OFFSET(数出表_Excel【15時】!$A$1,A367+3,L367-1),"")</f>
        <v/>
      </c>
      <c r="O367" t="str">
        <f ca="1">IF(L367&lt;&gt;"",
IF(AND(OFFSET(数出表_Excel【15時】!$A$1,A367+3,L367)&lt;&gt;"",OFFSET(数出表_Excel【15時】!$A$1,A367+3,L367)&lt;&gt;0),
OFFSET(数出表_Excel【15時】!$A$1,A367+3,L367),""),"")</f>
        <v/>
      </c>
    </row>
    <row r="368" spans="1:17">
      <c r="A368" t="str">
        <f t="shared" ca="1" si="5"/>
        <v/>
      </c>
      <c r="B368" t="str">
        <f t="array" aca="1" ref="B368" ca="1">IF(OR(COUNTIF(数出表_Excel【15時】!AO372,"*修正*"),COUNTIF(数出表_Excel【15時】!AO373,"*修正*")),
IF(ISEVEN(ROW()+4),INDIRECT("数出表_Excel【15時】!A"&amp;ROW()+4&amp;""),INDIRECT("数出表_Excel【15時】!A"&amp;ROW()+4-1&amp;"")),"")</f>
        <v/>
      </c>
      <c r="C368" t="str">
        <f t="array" aca="1" ref="C368" ca="1">IF(OR(COUNTIF(数出表_Excel【15時】!AO372,"*修正*"),COUNTIF(数出表_Excel【15時】!AO373,"*修正*")),
IF(ISEVEN(ROW()+4),INDIRECT("数出表_Excel【15時】!A"&amp;ROW()+4+1&amp;""),INDIRECT("数出表_Excel【15時】!A"&amp;ROW()+4&amp;"")),"")</f>
        <v/>
      </c>
      <c r="D368" s="209" t="str">
        <f t="array" aca="1" ref="D368" ca="1">IF(B368&lt;&gt;"",
IFERROR(MATCH(TRUE,ISNUMBER(INDIRECT("数出表_Excel【15時】!B"&amp;(A368+4)&amp;":ZZ"&amp;(A368+4))),0)+1,""),"")</f>
        <v/>
      </c>
      <c r="E368" t="str">
        <f ca="1">IF(D368&lt;&gt;"",
OFFSET(数出表_Excel【15時】!$A$1,2,D368-1)
&amp;IFERROR(OFFSET(数出表_Excel【15時】!$A$1,3,D368-1),"")
&amp;IFERROR(OFFSET(数出表_Excel【15時】!$A$1,4,D368-1),""),"")</f>
        <v/>
      </c>
      <c r="F368" t="str">
        <f ca="1">IF(D368&lt;&gt;"",
OFFSET(数出表_Excel【15時】!$A$1,A368+3,D368-1),"")</f>
        <v/>
      </c>
      <c r="G368" t="str">
        <f ca="1">IF(D368&lt;&gt;"",
IF(AND(OFFSET(数出表_Excel【15時】!$A$1,A368+3,D368)&lt;&gt;"",OFFSET(数出表_Excel【15時】!$A$1,A368+3,D368)&lt;&gt;0),
OFFSET(数出表_Excel【15時】!$A$1,A368+3,D368),""),"")</f>
        <v/>
      </c>
      <c r="H368" s="209" t="str">
        <f t="array" aca="1" ref="H368" ca="1">IF(B368&lt;&gt;"",
IFERROR(MATCH(TRUE,ISNUMBER(INDIRECT("数出表_Excel【15時】!"&amp;SUBSTITUTE(ADDRESS(1,D368+2,4),"1","")&amp;(A368+4)&amp;":ZZ"&amp;(A368+4))),0)+D368+1,""),"")</f>
        <v/>
      </c>
      <c r="I368" t="str">
        <f ca="1">IF(H368&lt;&gt;"",
OFFSET(数出表_Excel【15時】!$A$1,2,H368-1)
&amp;IFERROR(OFFSET(数出表_Excel【15時】!$A$1,3,H368-1),"")
&amp;IFERROR(OFFSET(数出表_Excel【15時】!$A$1,4,H368-1),""),"")</f>
        <v/>
      </c>
      <c r="J368" t="str">
        <f ca="1">IF(H368&lt;&gt;"",
OFFSET(数出表_Excel【15時】!$A$1,A368+3,H368-1),"")</f>
        <v/>
      </c>
      <c r="K368" t="str">
        <f ca="1">IF(H368&lt;&gt;"",
IF(AND(OFFSET(数出表_Excel【15時】!$A$1,A368+3,H368)&lt;&gt;"",OFFSET(数出表_Excel【15時】!$A$1,A368+3,H368)&lt;&gt;0),
OFFSET(数出表_Excel【15時】!$A$1,A368+3,H368),""),"")</f>
        <v/>
      </c>
      <c r="L368" s="209" t="str">
        <f t="array" aca="1" ref="L368" ca="1">IF(B368&lt;&gt;"",
IFERROR(MATCH(TRUE,ISNUMBER(INDIRECT("数出表_Excel【15時】!"&amp;SUBSTITUTE(ADDRESS(1,H368+2,4),"1","")&amp;(A368+4)&amp;":ZZ"&amp;(A368+4))),0)+H368+1,""),"")</f>
        <v/>
      </c>
      <c r="M368" t="str">
        <f ca="1">IF(L368&lt;&gt;"",
OFFSET(数出表_Excel【15時】!$A$1,2,L368-1)
&amp;IFERROR(OFFSET(数出表_Excel【15時】!$A$1,3,L368-1),"")
&amp;IFERROR(OFFSET(数出表_Excel【15時】!$A$1,4,L368-1),""),"")</f>
        <v/>
      </c>
      <c r="N368" t="str">
        <f ca="1">IF(L368&lt;&gt;"",
OFFSET(数出表_Excel【15時】!$A$1,A368+3,L368-1),"")</f>
        <v/>
      </c>
      <c r="O368" t="str">
        <f ca="1">IF(L368&lt;&gt;"",
IF(AND(OFFSET(数出表_Excel【15時】!$A$1,A368+3,L368)&lt;&gt;"",OFFSET(数出表_Excel【15時】!$A$1,A368+3,L368)&lt;&gt;0),
OFFSET(数出表_Excel【15時】!$A$1,A368+3,L368),""),"")</f>
        <v/>
      </c>
      <c r="Q368" t="str">
        <f ca="1">IF(C368&lt;&gt;"",
IF(E368&lt;&gt;"",1,0)+IF(I368&lt;&gt;"",1,0)+IF(M368&lt;&gt;"",1,0),"")</f>
        <v/>
      </c>
    </row>
    <row r="369" spans="1:17">
      <c r="A369" t="str">
        <f t="shared" ca="1" si="5"/>
        <v/>
      </c>
      <c r="B369" t="str">
        <f t="array" aca="1" ref="B369" ca="1">IF(OR(COUNTIF(数出表_Excel【15時】!AO372,"*修正*"),COUNTIF(数出表_Excel【15時】!AO373,"*修正*")),
IF(ISEVEN(ROW()+4),INDIRECT("数出表_Excel【15時】!A"&amp;ROW()+4&amp;""),INDIRECT("数出表_Excel【15時】!A"&amp;ROW()+4-1&amp;"")),"")</f>
        <v/>
      </c>
      <c r="C369" t="str">
        <f t="array" aca="1" ref="C369" ca="1">IF(OR(COUNTIF(数出表_Excel【15時】!AO372,"*修正*"),COUNTIF(数出表_Excel【15時】!AO373,"*修正*")),
IF(ISEVEN(ROW()+4),INDIRECT("数出表_Excel【15時】!A"&amp;ROW()+4+1&amp;""),INDIRECT("数出表_Excel【15時】!A"&amp;ROW()+4&amp;"")),"")</f>
        <v/>
      </c>
      <c r="D369" s="209" t="str">
        <f t="array" aca="1" ref="D369" ca="1">IF(B369&lt;&gt;"",
IFERROR(MATCH(TRUE,ISNUMBER(INDIRECT("数出表_Excel【15時】!B"&amp;(A369+4)&amp;":ZZ"&amp;(A369+4))),0)+1,""),"")</f>
        <v/>
      </c>
      <c r="E369" t="str">
        <f ca="1">IF(D369&lt;&gt;"",
OFFSET(数出表_Excel【15時】!$A$1,2,D369-1)
&amp;IFERROR(OFFSET(数出表_Excel【15時】!$A$1,3,D369-1),"")
&amp;IFERROR(OFFSET(数出表_Excel【15時】!$A$1,4,D369-1),""),"")</f>
        <v/>
      </c>
      <c r="F369" t="str">
        <f ca="1">IF(D369&lt;&gt;"",
OFFSET(数出表_Excel【15時】!$A$1,A369+3,D369-1),"")</f>
        <v/>
      </c>
      <c r="G369" t="str">
        <f ca="1">IF(D369&lt;&gt;"",
IF(AND(OFFSET(数出表_Excel【15時】!$A$1,A369+3,D369)&lt;&gt;"",OFFSET(数出表_Excel【15時】!$A$1,A369+3,D369)&lt;&gt;0),
OFFSET(数出表_Excel【15時】!$A$1,A369+3,D369),""),"")</f>
        <v/>
      </c>
      <c r="H369" s="209" t="str">
        <f t="array" aca="1" ref="H369" ca="1">IF(B369&lt;&gt;"",
IFERROR(MATCH(TRUE,ISNUMBER(INDIRECT("数出表_Excel【15時】!"&amp;SUBSTITUTE(ADDRESS(1,D369+2,4),"1","")&amp;(A369+4)&amp;":ZZ"&amp;(A369+4))),0)+D369+1,""),"")</f>
        <v/>
      </c>
      <c r="I369" t="str">
        <f ca="1">IF(H369&lt;&gt;"",
OFFSET(数出表_Excel【15時】!$A$1,2,H369-1)
&amp;IFERROR(OFFSET(数出表_Excel【15時】!$A$1,3,H369-1),"")
&amp;IFERROR(OFFSET(数出表_Excel【15時】!$A$1,4,H369-1),""),"")</f>
        <v/>
      </c>
      <c r="J369" t="str">
        <f ca="1">IF(H369&lt;&gt;"",
OFFSET(数出表_Excel【15時】!$A$1,A369+3,H369-1),"")</f>
        <v/>
      </c>
      <c r="K369" t="str">
        <f ca="1">IF(H369&lt;&gt;"",
IF(AND(OFFSET(数出表_Excel【15時】!$A$1,A369+3,H369)&lt;&gt;"",OFFSET(数出表_Excel【15時】!$A$1,A369+3,H369)&lt;&gt;0),
OFFSET(数出表_Excel【15時】!$A$1,A369+3,H369),""),"")</f>
        <v/>
      </c>
      <c r="L369" s="209" t="str">
        <f t="array" aca="1" ref="L369" ca="1">IF(B369&lt;&gt;"",
IFERROR(MATCH(TRUE,ISNUMBER(INDIRECT("数出表_Excel【15時】!"&amp;SUBSTITUTE(ADDRESS(1,H369+2,4),"1","")&amp;(A369+4)&amp;":ZZ"&amp;(A369+4))),0)+H369+1,""),"")</f>
        <v/>
      </c>
      <c r="M369" t="str">
        <f ca="1">IF(L369&lt;&gt;"",
OFFSET(数出表_Excel【15時】!$A$1,2,L369-1)
&amp;IFERROR(OFFSET(数出表_Excel【15時】!$A$1,3,L369-1),"")
&amp;IFERROR(OFFSET(数出表_Excel【15時】!$A$1,4,L369-1),""),"")</f>
        <v/>
      </c>
      <c r="N369" t="str">
        <f ca="1">IF(L369&lt;&gt;"",
OFFSET(数出表_Excel【15時】!$A$1,A369+3,L369-1),"")</f>
        <v/>
      </c>
      <c r="O369" t="str">
        <f ca="1">IF(L369&lt;&gt;"",
IF(AND(OFFSET(数出表_Excel【15時】!$A$1,A369+3,L369)&lt;&gt;"",OFFSET(数出表_Excel【15時】!$A$1,A369+3,L369)&lt;&gt;0),
OFFSET(数出表_Excel【15時】!$A$1,A369+3,L369),""),"")</f>
        <v/>
      </c>
    </row>
    <row r="370" spans="1:17">
      <c r="A370" t="str">
        <f t="shared" ca="1" si="5"/>
        <v/>
      </c>
      <c r="B370" t="str">
        <f t="array" aca="1" ref="B370" ca="1">IF(OR(COUNTIF(数出表_Excel【15時】!AO374,"*修正*"),COUNTIF(数出表_Excel【15時】!AO375,"*修正*")),
IF(ISEVEN(ROW()+4),INDIRECT("数出表_Excel【15時】!A"&amp;ROW()+4&amp;""),INDIRECT("数出表_Excel【15時】!A"&amp;ROW()+4-1&amp;"")),"")</f>
        <v/>
      </c>
      <c r="C370" t="str">
        <f t="array" aca="1" ref="C370" ca="1">IF(OR(COUNTIF(数出表_Excel【15時】!AO374,"*修正*"),COUNTIF(数出表_Excel【15時】!AO375,"*修正*")),
IF(ISEVEN(ROW()+4),INDIRECT("数出表_Excel【15時】!A"&amp;ROW()+4+1&amp;""),INDIRECT("数出表_Excel【15時】!A"&amp;ROW()+4&amp;"")),"")</f>
        <v/>
      </c>
      <c r="D370" s="209" t="str">
        <f t="array" aca="1" ref="D370" ca="1">IF(B370&lt;&gt;"",
IFERROR(MATCH(TRUE,ISNUMBER(INDIRECT("数出表_Excel【15時】!B"&amp;(A370+4)&amp;":ZZ"&amp;(A370+4))),0)+1,""),"")</f>
        <v/>
      </c>
      <c r="E370" t="str">
        <f ca="1">IF(D370&lt;&gt;"",
OFFSET(数出表_Excel【15時】!$A$1,2,D370-1)
&amp;IFERROR(OFFSET(数出表_Excel【15時】!$A$1,3,D370-1),"")
&amp;IFERROR(OFFSET(数出表_Excel【15時】!$A$1,4,D370-1),""),"")</f>
        <v/>
      </c>
      <c r="F370" t="str">
        <f ca="1">IF(D370&lt;&gt;"",
OFFSET(数出表_Excel【15時】!$A$1,A370+3,D370-1),"")</f>
        <v/>
      </c>
      <c r="G370" t="str">
        <f ca="1">IF(D370&lt;&gt;"",
IF(AND(OFFSET(数出表_Excel【15時】!$A$1,A370+3,D370)&lt;&gt;"",OFFSET(数出表_Excel【15時】!$A$1,A370+3,D370)&lt;&gt;0),
OFFSET(数出表_Excel【15時】!$A$1,A370+3,D370),""),"")</f>
        <v/>
      </c>
      <c r="H370" s="209" t="str">
        <f t="array" aca="1" ref="H370" ca="1">IF(B370&lt;&gt;"",
IFERROR(MATCH(TRUE,ISNUMBER(INDIRECT("数出表_Excel【15時】!"&amp;SUBSTITUTE(ADDRESS(1,D370+2,4),"1","")&amp;(A370+4)&amp;":ZZ"&amp;(A370+4))),0)+D370+1,""),"")</f>
        <v/>
      </c>
      <c r="I370" t="str">
        <f ca="1">IF(H370&lt;&gt;"",
OFFSET(数出表_Excel【15時】!$A$1,2,H370-1)
&amp;IFERROR(OFFSET(数出表_Excel【15時】!$A$1,3,H370-1),"")
&amp;IFERROR(OFFSET(数出表_Excel【15時】!$A$1,4,H370-1),""),"")</f>
        <v/>
      </c>
      <c r="J370" t="str">
        <f ca="1">IF(H370&lt;&gt;"",
OFFSET(数出表_Excel【15時】!$A$1,A370+3,H370-1),"")</f>
        <v/>
      </c>
      <c r="K370" t="str">
        <f ca="1">IF(H370&lt;&gt;"",
IF(AND(OFFSET(数出表_Excel【15時】!$A$1,A370+3,H370)&lt;&gt;"",OFFSET(数出表_Excel【15時】!$A$1,A370+3,H370)&lt;&gt;0),
OFFSET(数出表_Excel【15時】!$A$1,A370+3,H370),""),"")</f>
        <v/>
      </c>
      <c r="L370" s="209" t="str">
        <f t="array" aca="1" ref="L370" ca="1">IF(B370&lt;&gt;"",
IFERROR(MATCH(TRUE,ISNUMBER(INDIRECT("数出表_Excel【15時】!"&amp;SUBSTITUTE(ADDRESS(1,H370+2,4),"1","")&amp;(A370+4)&amp;":ZZ"&amp;(A370+4))),0)+H370+1,""),"")</f>
        <v/>
      </c>
      <c r="M370" t="str">
        <f ca="1">IF(L370&lt;&gt;"",
OFFSET(数出表_Excel【15時】!$A$1,2,L370-1)
&amp;IFERROR(OFFSET(数出表_Excel【15時】!$A$1,3,L370-1),"")
&amp;IFERROR(OFFSET(数出表_Excel【15時】!$A$1,4,L370-1),""),"")</f>
        <v/>
      </c>
      <c r="N370" t="str">
        <f ca="1">IF(L370&lt;&gt;"",
OFFSET(数出表_Excel【15時】!$A$1,A370+3,L370-1),"")</f>
        <v/>
      </c>
      <c r="O370" t="str">
        <f ca="1">IF(L370&lt;&gt;"",
IF(AND(OFFSET(数出表_Excel【15時】!$A$1,A370+3,L370)&lt;&gt;"",OFFSET(数出表_Excel【15時】!$A$1,A370+3,L370)&lt;&gt;0),
OFFSET(数出表_Excel【15時】!$A$1,A370+3,L370),""),"")</f>
        <v/>
      </c>
      <c r="Q370" t="str">
        <f ca="1">IF(C370&lt;&gt;"",
IF(E370&lt;&gt;"",1,0)+IF(I370&lt;&gt;"",1,0)+IF(M370&lt;&gt;"",1,0),"")</f>
        <v/>
      </c>
    </row>
    <row r="371" spans="1:17">
      <c r="A371" t="str">
        <f t="shared" ca="1" si="5"/>
        <v/>
      </c>
      <c r="B371" t="str">
        <f t="array" aca="1" ref="B371" ca="1">IF(OR(COUNTIF(数出表_Excel【15時】!AO374,"*修正*"),COUNTIF(数出表_Excel【15時】!AO375,"*修正*")),
IF(ISEVEN(ROW()+4),INDIRECT("数出表_Excel【15時】!A"&amp;ROW()+4&amp;""),INDIRECT("数出表_Excel【15時】!A"&amp;ROW()+4-1&amp;"")),"")</f>
        <v/>
      </c>
      <c r="C371" t="str">
        <f t="array" aca="1" ref="C371" ca="1">IF(OR(COUNTIF(数出表_Excel【15時】!AO374,"*修正*"),COUNTIF(数出表_Excel【15時】!AO375,"*修正*")),
IF(ISEVEN(ROW()+4),INDIRECT("数出表_Excel【15時】!A"&amp;ROW()+4+1&amp;""),INDIRECT("数出表_Excel【15時】!A"&amp;ROW()+4&amp;"")),"")</f>
        <v/>
      </c>
      <c r="D371" s="209" t="str">
        <f t="array" aca="1" ref="D371" ca="1">IF(B371&lt;&gt;"",
IFERROR(MATCH(TRUE,ISNUMBER(INDIRECT("数出表_Excel【15時】!B"&amp;(A371+4)&amp;":ZZ"&amp;(A371+4))),0)+1,""),"")</f>
        <v/>
      </c>
      <c r="E371" t="str">
        <f ca="1">IF(D371&lt;&gt;"",
OFFSET(数出表_Excel【15時】!$A$1,2,D371-1)
&amp;IFERROR(OFFSET(数出表_Excel【15時】!$A$1,3,D371-1),"")
&amp;IFERROR(OFFSET(数出表_Excel【15時】!$A$1,4,D371-1),""),"")</f>
        <v/>
      </c>
      <c r="F371" t="str">
        <f ca="1">IF(D371&lt;&gt;"",
OFFSET(数出表_Excel【15時】!$A$1,A371+3,D371-1),"")</f>
        <v/>
      </c>
      <c r="G371" t="str">
        <f ca="1">IF(D371&lt;&gt;"",
IF(AND(OFFSET(数出表_Excel【15時】!$A$1,A371+3,D371)&lt;&gt;"",OFFSET(数出表_Excel【15時】!$A$1,A371+3,D371)&lt;&gt;0),
OFFSET(数出表_Excel【15時】!$A$1,A371+3,D371),""),"")</f>
        <v/>
      </c>
      <c r="H371" s="209" t="str">
        <f t="array" aca="1" ref="H371" ca="1">IF(B371&lt;&gt;"",
IFERROR(MATCH(TRUE,ISNUMBER(INDIRECT("数出表_Excel【15時】!"&amp;SUBSTITUTE(ADDRESS(1,D371+2,4),"1","")&amp;(A371+4)&amp;":ZZ"&amp;(A371+4))),0)+D371+1,""),"")</f>
        <v/>
      </c>
      <c r="I371" t="str">
        <f ca="1">IF(H371&lt;&gt;"",
OFFSET(数出表_Excel【15時】!$A$1,2,H371-1)
&amp;IFERROR(OFFSET(数出表_Excel【15時】!$A$1,3,H371-1),"")
&amp;IFERROR(OFFSET(数出表_Excel【15時】!$A$1,4,H371-1),""),"")</f>
        <v/>
      </c>
      <c r="J371" t="str">
        <f ca="1">IF(H371&lt;&gt;"",
OFFSET(数出表_Excel【15時】!$A$1,A371+3,H371-1),"")</f>
        <v/>
      </c>
      <c r="K371" t="str">
        <f ca="1">IF(H371&lt;&gt;"",
IF(AND(OFFSET(数出表_Excel【15時】!$A$1,A371+3,H371)&lt;&gt;"",OFFSET(数出表_Excel【15時】!$A$1,A371+3,H371)&lt;&gt;0),
OFFSET(数出表_Excel【15時】!$A$1,A371+3,H371),""),"")</f>
        <v/>
      </c>
      <c r="L371" s="209" t="str">
        <f t="array" aca="1" ref="L371" ca="1">IF(B371&lt;&gt;"",
IFERROR(MATCH(TRUE,ISNUMBER(INDIRECT("数出表_Excel【15時】!"&amp;SUBSTITUTE(ADDRESS(1,H371+2,4),"1","")&amp;(A371+4)&amp;":ZZ"&amp;(A371+4))),0)+H371+1,""),"")</f>
        <v/>
      </c>
      <c r="M371" t="str">
        <f ca="1">IF(L371&lt;&gt;"",
OFFSET(数出表_Excel【15時】!$A$1,2,L371-1)
&amp;IFERROR(OFFSET(数出表_Excel【15時】!$A$1,3,L371-1),"")
&amp;IFERROR(OFFSET(数出表_Excel【15時】!$A$1,4,L371-1),""),"")</f>
        <v/>
      </c>
      <c r="N371" t="str">
        <f ca="1">IF(L371&lt;&gt;"",
OFFSET(数出表_Excel【15時】!$A$1,A371+3,L371-1),"")</f>
        <v/>
      </c>
      <c r="O371" t="str">
        <f ca="1">IF(L371&lt;&gt;"",
IF(AND(OFFSET(数出表_Excel【15時】!$A$1,A371+3,L371)&lt;&gt;"",OFFSET(数出表_Excel【15時】!$A$1,A371+3,L371)&lt;&gt;0),
OFFSET(数出表_Excel【15時】!$A$1,A371+3,L371),""),"")</f>
        <v/>
      </c>
    </row>
    <row r="372" spans="1:17">
      <c r="A372" t="str">
        <f t="shared" ca="1" si="5"/>
        <v/>
      </c>
      <c r="B372" t="str">
        <f t="array" aca="1" ref="B372" ca="1">IF(OR(COUNTIF(数出表_Excel【15時】!AO376,"*修正*"),COUNTIF(数出表_Excel【15時】!AO377,"*修正*")),
IF(ISEVEN(ROW()+4),INDIRECT("数出表_Excel【15時】!A"&amp;ROW()+4&amp;""),INDIRECT("数出表_Excel【15時】!A"&amp;ROW()+4-1&amp;"")),"")</f>
        <v/>
      </c>
      <c r="C372" t="str">
        <f t="array" aca="1" ref="C372" ca="1">IF(OR(COUNTIF(数出表_Excel【15時】!AO376,"*修正*"),COUNTIF(数出表_Excel【15時】!AO377,"*修正*")),
IF(ISEVEN(ROW()+4),INDIRECT("数出表_Excel【15時】!A"&amp;ROW()+4+1&amp;""),INDIRECT("数出表_Excel【15時】!A"&amp;ROW()+4&amp;"")),"")</f>
        <v/>
      </c>
      <c r="D372" s="209" t="str">
        <f t="array" aca="1" ref="D372" ca="1">IF(B372&lt;&gt;"",
IFERROR(MATCH(TRUE,ISNUMBER(INDIRECT("数出表_Excel【15時】!B"&amp;(A372+4)&amp;":ZZ"&amp;(A372+4))),0)+1,""),"")</f>
        <v/>
      </c>
      <c r="E372" t="str">
        <f ca="1">IF(D372&lt;&gt;"",
OFFSET(数出表_Excel【15時】!$A$1,2,D372-1)
&amp;IFERROR(OFFSET(数出表_Excel【15時】!$A$1,3,D372-1),"")
&amp;IFERROR(OFFSET(数出表_Excel【15時】!$A$1,4,D372-1),""),"")</f>
        <v/>
      </c>
      <c r="F372" t="str">
        <f ca="1">IF(D372&lt;&gt;"",
OFFSET(数出表_Excel【15時】!$A$1,A372+3,D372-1),"")</f>
        <v/>
      </c>
      <c r="G372" t="str">
        <f ca="1">IF(D372&lt;&gt;"",
IF(AND(OFFSET(数出表_Excel【15時】!$A$1,A372+3,D372)&lt;&gt;"",OFFSET(数出表_Excel【15時】!$A$1,A372+3,D372)&lt;&gt;0),
OFFSET(数出表_Excel【15時】!$A$1,A372+3,D372),""),"")</f>
        <v/>
      </c>
      <c r="H372" s="209" t="str">
        <f t="array" aca="1" ref="H372" ca="1">IF(B372&lt;&gt;"",
IFERROR(MATCH(TRUE,ISNUMBER(INDIRECT("数出表_Excel【15時】!"&amp;SUBSTITUTE(ADDRESS(1,D372+2,4),"1","")&amp;(A372+4)&amp;":ZZ"&amp;(A372+4))),0)+D372+1,""),"")</f>
        <v/>
      </c>
      <c r="I372" t="str">
        <f ca="1">IF(H372&lt;&gt;"",
OFFSET(数出表_Excel【15時】!$A$1,2,H372-1)
&amp;IFERROR(OFFSET(数出表_Excel【15時】!$A$1,3,H372-1),"")
&amp;IFERROR(OFFSET(数出表_Excel【15時】!$A$1,4,H372-1),""),"")</f>
        <v/>
      </c>
      <c r="J372" t="str">
        <f ca="1">IF(H372&lt;&gt;"",
OFFSET(数出表_Excel【15時】!$A$1,A372+3,H372-1),"")</f>
        <v/>
      </c>
      <c r="K372" t="str">
        <f ca="1">IF(H372&lt;&gt;"",
IF(AND(OFFSET(数出表_Excel【15時】!$A$1,A372+3,H372)&lt;&gt;"",OFFSET(数出表_Excel【15時】!$A$1,A372+3,H372)&lt;&gt;0),
OFFSET(数出表_Excel【15時】!$A$1,A372+3,H372),""),"")</f>
        <v/>
      </c>
      <c r="L372" s="209" t="str">
        <f t="array" aca="1" ref="L372" ca="1">IF(B372&lt;&gt;"",
IFERROR(MATCH(TRUE,ISNUMBER(INDIRECT("数出表_Excel【15時】!"&amp;SUBSTITUTE(ADDRESS(1,H372+2,4),"1","")&amp;(A372+4)&amp;":ZZ"&amp;(A372+4))),0)+H372+1,""),"")</f>
        <v/>
      </c>
      <c r="M372" t="str">
        <f ca="1">IF(L372&lt;&gt;"",
OFFSET(数出表_Excel【15時】!$A$1,2,L372-1)
&amp;IFERROR(OFFSET(数出表_Excel【15時】!$A$1,3,L372-1),"")
&amp;IFERROR(OFFSET(数出表_Excel【15時】!$A$1,4,L372-1),""),"")</f>
        <v/>
      </c>
      <c r="N372" t="str">
        <f ca="1">IF(L372&lt;&gt;"",
OFFSET(数出表_Excel【15時】!$A$1,A372+3,L372-1),"")</f>
        <v/>
      </c>
      <c r="O372" t="str">
        <f ca="1">IF(L372&lt;&gt;"",
IF(AND(OFFSET(数出表_Excel【15時】!$A$1,A372+3,L372)&lt;&gt;"",OFFSET(数出表_Excel【15時】!$A$1,A372+3,L372)&lt;&gt;0),
OFFSET(数出表_Excel【15時】!$A$1,A372+3,L372),""),"")</f>
        <v/>
      </c>
      <c r="Q372" t="str">
        <f ca="1">IF(C372&lt;&gt;"",
IF(E372&lt;&gt;"",1,0)+IF(I372&lt;&gt;"",1,0)+IF(M372&lt;&gt;"",1,0),"")</f>
        <v/>
      </c>
    </row>
    <row r="373" spans="1:17">
      <c r="A373" t="str">
        <f t="shared" ca="1" si="5"/>
        <v/>
      </c>
      <c r="B373" t="str">
        <f t="array" aca="1" ref="B373" ca="1">IF(OR(COUNTIF(数出表_Excel【15時】!AO376,"*修正*"),COUNTIF(数出表_Excel【15時】!AO377,"*修正*")),
IF(ISEVEN(ROW()+4),INDIRECT("数出表_Excel【15時】!A"&amp;ROW()+4&amp;""),INDIRECT("数出表_Excel【15時】!A"&amp;ROW()+4-1&amp;"")),"")</f>
        <v/>
      </c>
      <c r="C373" t="str">
        <f t="array" aca="1" ref="C373" ca="1">IF(OR(COUNTIF(数出表_Excel【15時】!AO376,"*修正*"),COUNTIF(数出表_Excel【15時】!AO377,"*修正*")),
IF(ISEVEN(ROW()+4),INDIRECT("数出表_Excel【15時】!A"&amp;ROW()+4+1&amp;""),INDIRECT("数出表_Excel【15時】!A"&amp;ROW()+4&amp;"")),"")</f>
        <v/>
      </c>
      <c r="D373" s="209" t="str">
        <f t="array" aca="1" ref="D373" ca="1">IF(B373&lt;&gt;"",
IFERROR(MATCH(TRUE,ISNUMBER(INDIRECT("数出表_Excel【15時】!B"&amp;(A373+4)&amp;":ZZ"&amp;(A373+4))),0)+1,""),"")</f>
        <v/>
      </c>
      <c r="E373" t="str">
        <f ca="1">IF(D373&lt;&gt;"",
OFFSET(数出表_Excel【15時】!$A$1,2,D373-1)
&amp;IFERROR(OFFSET(数出表_Excel【15時】!$A$1,3,D373-1),"")
&amp;IFERROR(OFFSET(数出表_Excel【15時】!$A$1,4,D373-1),""),"")</f>
        <v/>
      </c>
      <c r="F373" t="str">
        <f ca="1">IF(D373&lt;&gt;"",
OFFSET(数出表_Excel【15時】!$A$1,A373+3,D373-1),"")</f>
        <v/>
      </c>
      <c r="G373" t="str">
        <f ca="1">IF(D373&lt;&gt;"",
IF(AND(OFFSET(数出表_Excel【15時】!$A$1,A373+3,D373)&lt;&gt;"",OFFSET(数出表_Excel【15時】!$A$1,A373+3,D373)&lt;&gt;0),
OFFSET(数出表_Excel【15時】!$A$1,A373+3,D373),""),"")</f>
        <v/>
      </c>
      <c r="H373" s="209" t="str">
        <f t="array" aca="1" ref="H373" ca="1">IF(B373&lt;&gt;"",
IFERROR(MATCH(TRUE,ISNUMBER(INDIRECT("数出表_Excel【15時】!"&amp;SUBSTITUTE(ADDRESS(1,D373+2,4),"1","")&amp;(A373+4)&amp;":ZZ"&amp;(A373+4))),0)+D373+1,""),"")</f>
        <v/>
      </c>
      <c r="I373" t="str">
        <f ca="1">IF(H373&lt;&gt;"",
OFFSET(数出表_Excel【15時】!$A$1,2,H373-1)
&amp;IFERROR(OFFSET(数出表_Excel【15時】!$A$1,3,H373-1),"")
&amp;IFERROR(OFFSET(数出表_Excel【15時】!$A$1,4,H373-1),""),"")</f>
        <v/>
      </c>
      <c r="J373" t="str">
        <f ca="1">IF(H373&lt;&gt;"",
OFFSET(数出表_Excel【15時】!$A$1,A373+3,H373-1),"")</f>
        <v/>
      </c>
      <c r="K373" t="str">
        <f ca="1">IF(H373&lt;&gt;"",
IF(AND(OFFSET(数出表_Excel【15時】!$A$1,A373+3,H373)&lt;&gt;"",OFFSET(数出表_Excel【15時】!$A$1,A373+3,H373)&lt;&gt;0),
OFFSET(数出表_Excel【15時】!$A$1,A373+3,H373),""),"")</f>
        <v/>
      </c>
      <c r="L373" s="209" t="str">
        <f t="array" aca="1" ref="L373" ca="1">IF(B373&lt;&gt;"",
IFERROR(MATCH(TRUE,ISNUMBER(INDIRECT("数出表_Excel【15時】!"&amp;SUBSTITUTE(ADDRESS(1,H373+2,4),"1","")&amp;(A373+4)&amp;":ZZ"&amp;(A373+4))),0)+H373+1,""),"")</f>
        <v/>
      </c>
      <c r="M373" t="str">
        <f ca="1">IF(L373&lt;&gt;"",
OFFSET(数出表_Excel【15時】!$A$1,2,L373-1)
&amp;IFERROR(OFFSET(数出表_Excel【15時】!$A$1,3,L373-1),"")
&amp;IFERROR(OFFSET(数出表_Excel【15時】!$A$1,4,L373-1),""),"")</f>
        <v/>
      </c>
      <c r="N373" t="str">
        <f ca="1">IF(L373&lt;&gt;"",
OFFSET(数出表_Excel【15時】!$A$1,A373+3,L373-1),"")</f>
        <v/>
      </c>
      <c r="O373" t="str">
        <f ca="1">IF(L373&lt;&gt;"",
IF(AND(OFFSET(数出表_Excel【15時】!$A$1,A373+3,L373)&lt;&gt;"",OFFSET(数出表_Excel【15時】!$A$1,A373+3,L373)&lt;&gt;0),
OFFSET(数出表_Excel【15時】!$A$1,A373+3,L373),""),"")</f>
        <v/>
      </c>
    </row>
    <row r="374" spans="1:17">
      <c r="A374" t="str">
        <f t="shared" ca="1" si="5"/>
        <v/>
      </c>
      <c r="B374" t="str">
        <f t="array" aca="1" ref="B374" ca="1">IF(OR(COUNTIF(数出表_Excel【15時】!AO378,"*修正*"),COUNTIF(数出表_Excel【15時】!AO379,"*修正*")),
IF(ISEVEN(ROW()+4),INDIRECT("数出表_Excel【15時】!A"&amp;ROW()+4&amp;""),INDIRECT("数出表_Excel【15時】!A"&amp;ROW()+4-1&amp;"")),"")</f>
        <v/>
      </c>
      <c r="C374" t="str">
        <f t="array" aca="1" ref="C374" ca="1">IF(OR(COUNTIF(数出表_Excel【15時】!AO378,"*修正*"),COUNTIF(数出表_Excel【15時】!AO379,"*修正*")),
IF(ISEVEN(ROW()+4),INDIRECT("数出表_Excel【15時】!A"&amp;ROW()+4+1&amp;""),INDIRECT("数出表_Excel【15時】!A"&amp;ROW()+4&amp;"")),"")</f>
        <v/>
      </c>
      <c r="D374" s="209" t="str">
        <f t="array" aca="1" ref="D374" ca="1">IF(B374&lt;&gt;"",
IFERROR(MATCH(TRUE,ISNUMBER(INDIRECT("数出表_Excel【15時】!B"&amp;(A374+4)&amp;":ZZ"&amp;(A374+4))),0)+1,""),"")</f>
        <v/>
      </c>
      <c r="E374" t="str">
        <f ca="1">IF(D374&lt;&gt;"",
OFFSET(数出表_Excel【15時】!$A$1,2,D374-1)
&amp;IFERROR(OFFSET(数出表_Excel【15時】!$A$1,3,D374-1),"")
&amp;IFERROR(OFFSET(数出表_Excel【15時】!$A$1,4,D374-1),""),"")</f>
        <v/>
      </c>
      <c r="F374" t="str">
        <f ca="1">IF(D374&lt;&gt;"",
OFFSET(数出表_Excel【15時】!$A$1,A374+3,D374-1),"")</f>
        <v/>
      </c>
      <c r="G374" t="str">
        <f ca="1">IF(D374&lt;&gt;"",
IF(AND(OFFSET(数出表_Excel【15時】!$A$1,A374+3,D374)&lt;&gt;"",OFFSET(数出表_Excel【15時】!$A$1,A374+3,D374)&lt;&gt;0),
OFFSET(数出表_Excel【15時】!$A$1,A374+3,D374),""),"")</f>
        <v/>
      </c>
      <c r="H374" s="209" t="str">
        <f t="array" aca="1" ref="H374" ca="1">IF(B374&lt;&gt;"",
IFERROR(MATCH(TRUE,ISNUMBER(INDIRECT("数出表_Excel【15時】!"&amp;SUBSTITUTE(ADDRESS(1,D374+2,4),"1","")&amp;(A374+4)&amp;":ZZ"&amp;(A374+4))),0)+D374+1,""),"")</f>
        <v/>
      </c>
      <c r="I374" t="str">
        <f ca="1">IF(H374&lt;&gt;"",
OFFSET(数出表_Excel【15時】!$A$1,2,H374-1)
&amp;IFERROR(OFFSET(数出表_Excel【15時】!$A$1,3,H374-1),"")
&amp;IFERROR(OFFSET(数出表_Excel【15時】!$A$1,4,H374-1),""),"")</f>
        <v/>
      </c>
      <c r="J374" t="str">
        <f ca="1">IF(H374&lt;&gt;"",
OFFSET(数出表_Excel【15時】!$A$1,A374+3,H374-1),"")</f>
        <v/>
      </c>
      <c r="K374" t="str">
        <f ca="1">IF(H374&lt;&gt;"",
IF(AND(OFFSET(数出表_Excel【15時】!$A$1,A374+3,H374)&lt;&gt;"",OFFSET(数出表_Excel【15時】!$A$1,A374+3,H374)&lt;&gt;0),
OFFSET(数出表_Excel【15時】!$A$1,A374+3,H374),""),"")</f>
        <v/>
      </c>
      <c r="L374" s="209" t="str">
        <f t="array" aca="1" ref="L374" ca="1">IF(B374&lt;&gt;"",
IFERROR(MATCH(TRUE,ISNUMBER(INDIRECT("数出表_Excel【15時】!"&amp;SUBSTITUTE(ADDRESS(1,H374+2,4),"1","")&amp;(A374+4)&amp;":ZZ"&amp;(A374+4))),0)+H374+1,""),"")</f>
        <v/>
      </c>
      <c r="M374" t="str">
        <f ca="1">IF(L374&lt;&gt;"",
OFFSET(数出表_Excel【15時】!$A$1,2,L374-1)
&amp;IFERROR(OFFSET(数出表_Excel【15時】!$A$1,3,L374-1),"")
&amp;IFERROR(OFFSET(数出表_Excel【15時】!$A$1,4,L374-1),""),"")</f>
        <v/>
      </c>
      <c r="N374" t="str">
        <f ca="1">IF(L374&lt;&gt;"",
OFFSET(数出表_Excel【15時】!$A$1,A374+3,L374-1),"")</f>
        <v/>
      </c>
      <c r="O374" t="str">
        <f ca="1">IF(L374&lt;&gt;"",
IF(AND(OFFSET(数出表_Excel【15時】!$A$1,A374+3,L374)&lt;&gt;"",OFFSET(数出表_Excel【15時】!$A$1,A374+3,L374)&lt;&gt;0),
OFFSET(数出表_Excel【15時】!$A$1,A374+3,L374),""),"")</f>
        <v/>
      </c>
      <c r="Q374" t="str">
        <f ca="1">IF(C374&lt;&gt;"",
IF(E374&lt;&gt;"",1,0)+IF(I374&lt;&gt;"",1,0)+IF(M374&lt;&gt;"",1,0),"")</f>
        <v/>
      </c>
    </row>
    <row r="375" spans="1:17">
      <c r="A375" t="str">
        <f t="shared" ca="1" si="5"/>
        <v/>
      </c>
      <c r="B375" t="str">
        <f t="array" aca="1" ref="B375" ca="1">IF(OR(COUNTIF(数出表_Excel【15時】!AO378,"*修正*"),COUNTIF(数出表_Excel【15時】!AO379,"*修正*")),
IF(ISEVEN(ROW()+4),INDIRECT("数出表_Excel【15時】!A"&amp;ROW()+4&amp;""),INDIRECT("数出表_Excel【15時】!A"&amp;ROW()+4-1&amp;"")),"")</f>
        <v/>
      </c>
      <c r="C375" t="str">
        <f t="array" aca="1" ref="C375" ca="1">IF(OR(COUNTIF(数出表_Excel【15時】!AO378,"*修正*"),COUNTIF(数出表_Excel【15時】!AO379,"*修正*")),
IF(ISEVEN(ROW()+4),INDIRECT("数出表_Excel【15時】!A"&amp;ROW()+4+1&amp;""),INDIRECT("数出表_Excel【15時】!A"&amp;ROW()+4&amp;"")),"")</f>
        <v/>
      </c>
      <c r="D375" s="209" t="str">
        <f t="array" aca="1" ref="D375" ca="1">IF(B375&lt;&gt;"",
IFERROR(MATCH(TRUE,ISNUMBER(INDIRECT("数出表_Excel【15時】!B"&amp;(A375+4)&amp;":ZZ"&amp;(A375+4))),0)+1,""),"")</f>
        <v/>
      </c>
      <c r="E375" t="str">
        <f ca="1">IF(D375&lt;&gt;"",
OFFSET(数出表_Excel【15時】!$A$1,2,D375-1)
&amp;IFERROR(OFFSET(数出表_Excel【15時】!$A$1,3,D375-1),"")
&amp;IFERROR(OFFSET(数出表_Excel【15時】!$A$1,4,D375-1),""),"")</f>
        <v/>
      </c>
      <c r="F375" t="str">
        <f ca="1">IF(D375&lt;&gt;"",
OFFSET(数出表_Excel【15時】!$A$1,A375+3,D375-1),"")</f>
        <v/>
      </c>
      <c r="G375" t="str">
        <f ca="1">IF(D375&lt;&gt;"",
IF(AND(OFFSET(数出表_Excel【15時】!$A$1,A375+3,D375)&lt;&gt;"",OFFSET(数出表_Excel【15時】!$A$1,A375+3,D375)&lt;&gt;0),
OFFSET(数出表_Excel【15時】!$A$1,A375+3,D375),""),"")</f>
        <v/>
      </c>
      <c r="H375" s="209" t="str">
        <f t="array" aca="1" ref="H375" ca="1">IF(B375&lt;&gt;"",
IFERROR(MATCH(TRUE,ISNUMBER(INDIRECT("数出表_Excel【15時】!"&amp;SUBSTITUTE(ADDRESS(1,D375+2,4),"1","")&amp;(A375+4)&amp;":ZZ"&amp;(A375+4))),0)+D375+1,""),"")</f>
        <v/>
      </c>
      <c r="I375" t="str">
        <f ca="1">IF(H375&lt;&gt;"",
OFFSET(数出表_Excel【15時】!$A$1,2,H375-1)
&amp;IFERROR(OFFSET(数出表_Excel【15時】!$A$1,3,H375-1),"")
&amp;IFERROR(OFFSET(数出表_Excel【15時】!$A$1,4,H375-1),""),"")</f>
        <v/>
      </c>
      <c r="J375" t="str">
        <f ca="1">IF(H375&lt;&gt;"",
OFFSET(数出表_Excel【15時】!$A$1,A375+3,H375-1),"")</f>
        <v/>
      </c>
      <c r="K375" t="str">
        <f ca="1">IF(H375&lt;&gt;"",
IF(AND(OFFSET(数出表_Excel【15時】!$A$1,A375+3,H375)&lt;&gt;"",OFFSET(数出表_Excel【15時】!$A$1,A375+3,H375)&lt;&gt;0),
OFFSET(数出表_Excel【15時】!$A$1,A375+3,H375),""),"")</f>
        <v/>
      </c>
      <c r="L375" s="209" t="str">
        <f t="array" aca="1" ref="L375" ca="1">IF(B375&lt;&gt;"",
IFERROR(MATCH(TRUE,ISNUMBER(INDIRECT("数出表_Excel【15時】!"&amp;SUBSTITUTE(ADDRESS(1,H375+2,4),"1","")&amp;(A375+4)&amp;":ZZ"&amp;(A375+4))),0)+H375+1,""),"")</f>
        <v/>
      </c>
      <c r="M375" t="str">
        <f ca="1">IF(L375&lt;&gt;"",
OFFSET(数出表_Excel【15時】!$A$1,2,L375-1)
&amp;IFERROR(OFFSET(数出表_Excel【15時】!$A$1,3,L375-1),"")
&amp;IFERROR(OFFSET(数出表_Excel【15時】!$A$1,4,L375-1),""),"")</f>
        <v/>
      </c>
      <c r="N375" t="str">
        <f ca="1">IF(L375&lt;&gt;"",
OFFSET(数出表_Excel【15時】!$A$1,A375+3,L375-1),"")</f>
        <v/>
      </c>
      <c r="O375" t="str">
        <f ca="1">IF(L375&lt;&gt;"",
IF(AND(OFFSET(数出表_Excel【15時】!$A$1,A375+3,L375)&lt;&gt;"",OFFSET(数出表_Excel【15時】!$A$1,A375+3,L375)&lt;&gt;0),
OFFSET(数出表_Excel【15時】!$A$1,A375+3,L375),""),"")</f>
        <v/>
      </c>
    </row>
    <row r="376" spans="1:17">
      <c r="A376" t="str">
        <f t="shared" ca="1" si="5"/>
        <v/>
      </c>
      <c r="B376" t="str">
        <f t="array" aca="1" ref="B376" ca="1">IF(OR(COUNTIF(数出表_Excel【15時】!AO380,"*修正*"),COUNTIF(数出表_Excel【15時】!AO381,"*修正*")),
IF(ISEVEN(ROW()+4),INDIRECT("数出表_Excel【15時】!A"&amp;ROW()+4&amp;""),INDIRECT("数出表_Excel【15時】!A"&amp;ROW()+4-1&amp;"")),"")</f>
        <v/>
      </c>
      <c r="C376" t="str">
        <f t="array" aca="1" ref="C376" ca="1">IF(OR(COUNTIF(数出表_Excel【15時】!AO380,"*修正*"),COUNTIF(数出表_Excel【15時】!AO381,"*修正*")),
IF(ISEVEN(ROW()+4),INDIRECT("数出表_Excel【15時】!A"&amp;ROW()+4+1&amp;""),INDIRECT("数出表_Excel【15時】!A"&amp;ROW()+4&amp;"")),"")</f>
        <v/>
      </c>
      <c r="D376" s="209" t="str">
        <f t="array" aca="1" ref="D376" ca="1">IF(B376&lt;&gt;"",
IFERROR(MATCH(TRUE,ISNUMBER(INDIRECT("数出表_Excel【15時】!B"&amp;(A376+4)&amp;":ZZ"&amp;(A376+4))),0)+1,""),"")</f>
        <v/>
      </c>
      <c r="E376" t="str">
        <f ca="1">IF(D376&lt;&gt;"",
OFFSET(数出表_Excel【15時】!$A$1,2,D376-1)
&amp;IFERROR(OFFSET(数出表_Excel【15時】!$A$1,3,D376-1),"")
&amp;IFERROR(OFFSET(数出表_Excel【15時】!$A$1,4,D376-1),""),"")</f>
        <v/>
      </c>
      <c r="F376" t="str">
        <f ca="1">IF(D376&lt;&gt;"",
OFFSET(数出表_Excel【15時】!$A$1,A376+3,D376-1),"")</f>
        <v/>
      </c>
      <c r="G376" t="str">
        <f ca="1">IF(D376&lt;&gt;"",
IF(AND(OFFSET(数出表_Excel【15時】!$A$1,A376+3,D376)&lt;&gt;"",OFFSET(数出表_Excel【15時】!$A$1,A376+3,D376)&lt;&gt;0),
OFFSET(数出表_Excel【15時】!$A$1,A376+3,D376),""),"")</f>
        <v/>
      </c>
      <c r="H376" s="209" t="str">
        <f t="array" aca="1" ref="H376" ca="1">IF(B376&lt;&gt;"",
IFERROR(MATCH(TRUE,ISNUMBER(INDIRECT("数出表_Excel【15時】!"&amp;SUBSTITUTE(ADDRESS(1,D376+2,4),"1","")&amp;(A376+4)&amp;":ZZ"&amp;(A376+4))),0)+D376+1,""),"")</f>
        <v/>
      </c>
      <c r="I376" t="str">
        <f ca="1">IF(H376&lt;&gt;"",
OFFSET(数出表_Excel【15時】!$A$1,2,H376-1)
&amp;IFERROR(OFFSET(数出表_Excel【15時】!$A$1,3,H376-1),"")
&amp;IFERROR(OFFSET(数出表_Excel【15時】!$A$1,4,H376-1),""),"")</f>
        <v/>
      </c>
      <c r="J376" t="str">
        <f ca="1">IF(H376&lt;&gt;"",
OFFSET(数出表_Excel【15時】!$A$1,A376+3,H376-1),"")</f>
        <v/>
      </c>
      <c r="K376" t="str">
        <f ca="1">IF(H376&lt;&gt;"",
IF(AND(OFFSET(数出表_Excel【15時】!$A$1,A376+3,H376)&lt;&gt;"",OFFSET(数出表_Excel【15時】!$A$1,A376+3,H376)&lt;&gt;0),
OFFSET(数出表_Excel【15時】!$A$1,A376+3,H376),""),"")</f>
        <v/>
      </c>
      <c r="L376" s="209" t="str">
        <f t="array" aca="1" ref="L376" ca="1">IF(B376&lt;&gt;"",
IFERROR(MATCH(TRUE,ISNUMBER(INDIRECT("数出表_Excel【15時】!"&amp;SUBSTITUTE(ADDRESS(1,H376+2,4),"1","")&amp;(A376+4)&amp;":ZZ"&amp;(A376+4))),0)+H376+1,""),"")</f>
        <v/>
      </c>
      <c r="M376" t="str">
        <f ca="1">IF(L376&lt;&gt;"",
OFFSET(数出表_Excel【15時】!$A$1,2,L376-1)
&amp;IFERROR(OFFSET(数出表_Excel【15時】!$A$1,3,L376-1),"")
&amp;IFERROR(OFFSET(数出表_Excel【15時】!$A$1,4,L376-1),""),"")</f>
        <v/>
      </c>
      <c r="N376" t="str">
        <f ca="1">IF(L376&lt;&gt;"",
OFFSET(数出表_Excel【15時】!$A$1,A376+3,L376-1),"")</f>
        <v/>
      </c>
      <c r="O376" t="str">
        <f ca="1">IF(L376&lt;&gt;"",
IF(AND(OFFSET(数出表_Excel【15時】!$A$1,A376+3,L376)&lt;&gt;"",OFFSET(数出表_Excel【15時】!$A$1,A376+3,L376)&lt;&gt;0),
OFFSET(数出表_Excel【15時】!$A$1,A376+3,L376),""),"")</f>
        <v/>
      </c>
      <c r="Q376" t="str">
        <f ca="1">IF(C376&lt;&gt;"",
IF(E376&lt;&gt;"",1,0)+IF(I376&lt;&gt;"",1,0)+IF(M376&lt;&gt;"",1,0),"")</f>
        <v/>
      </c>
    </row>
    <row r="377" spans="1:17">
      <c r="A377" t="str">
        <f t="shared" ca="1" si="5"/>
        <v/>
      </c>
      <c r="B377" t="str">
        <f t="array" aca="1" ref="B377" ca="1">IF(OR(COUNTIF(数出表_Excel【15時】!AO380,"*修正*"),COUNTIF(数出表_Excel【15時】!AO381,"*修正*")),
IF(ISEVEN(ROW()+4),INDIRECT("数出表_Excel【15時】!A"&amp;ROW()+4&amp;""),INDIRECT("数出表_Excel【15時】!A"&amp;ROW()+4-1&amp;"")),"")</f>
        <v/>
      </c>
      <c r="C377" t="str">
        <f t="array" aca="1" ref="C377" ca="1">IF(OR(COUNTIF(数出表_Excel【15時】!AO380,"*修正*"),COUNTIF(数出表_Excel【15時】!AO381,"*修正*")),
IF(ISEVEN(ROW()+4),INDIRECT("数出表_Excel【15時】!A"&amp;ROW()+4+1&amp;""),INDIRECT("数出表_Excel【15時】!A"&amp;ROW()+4&amp;"")),"")</f>
        <v/>
      </c>
      <c r="D377" s="209" t="str">
        <f t="array" aca="1" ref="D377" ca="1">IF(B377&lt;&gt;"",
IFERROR(MATCH(TRUE,ISNUMBER(INDIRECT("数出表_Excel【15時】!B"&amp;(A377+4)&amp;":ZZ"&amp;(A377+4))),0)+1,""),"")</f>
        <v/>
      </c>
      <c r="E377" t="str">
        <f ca="1">IF(D377&lt;&gt;"",
OFFSET(数出表_Excel【15時】!$A$1,2,D377-1)
&amp;IFERROR(OFFSET(数出表_Excel【15時】!$A$1,3,D377-1),"")
&amp;IFERROR(OFFSET(数出表_Excel【15時】!$A$1,4,D377-1),""),"")</f>
        <v/>
      </c>
      <c r="F377" t="str">
        <f ca="1">IF(D377&lt;&gt;"",
OFFSET(数出表_Excel【15時】!$A$1,A377+3,D377-1),"")</f>
        <v/>
      </c>
      <c r="G377" t="str">
        <f ca="1">IF(D377&lt;&gt;"",
IF(AND(OFFSET(数出表_Excel【15時】!$A$1,A377+3,D377)&lt;&gt;"",OFFSET(数出表_Excel【15時】!$A$1,A377+3,D377)&lt;&gt;0),
OFFSET(数出表_Excel【15時】!$A$1,A377+3,D377),""),"")</f>
        <v/>
      </c>
      <c r="H377" s="209" t="str">
        <f t="array" aca="1" ref="H377" ca="1">IF(B377&lt;&gt;"",
IFERROR(MATCH(TRUE,ISNUMBER(INDIRECT("数出表_Excel【15時】!"&amp;SUBSTITUTE(ADDRESS(1,D377+2,4),"1","")&amp;(A377+4)&amp;":ZZ"&amp;(A377+4))),0)+D377+1,""),"")</f>
        <v/>
      </c>
      <c r="I377" t="str">
        <f ca="1">IF(H377&lt;&gt;"",
OFFSET(数出表_Excel【15時】!$A$1,2,H377-1)
&amp;IFERROR(OFFSET(数出表_Excel【15時】!$A$1,3,H377-1),"")
&amp;IFERROR(OFFSET(数出表_Excel【15時】!$A$1,4,H377-1),""),"")</f>
        <v/>
      </c>
      <c r="J377" t="str">
        <f ca="1">IF(H377&lt;&gt;"",
OFFSET(数出表_Excel【15時】!$A$1,A377+3,H377-1),"")</f>
        <v/>
      </c>
      <c r="K377" t="str">
        <f ca="1">IF(H377&lt;&gt;"",
IF(AND(OFFSET(数出表_Excel【15時】!$A$1,A377+3,H377)&lt;&gt;"",OFFSET(数出表_Excel【15時】!$A$1,A377+3,H377)&lt;&gt;0),
OFFSET(数出表_Excel【15時】!$A$1,A377+3,H377),""),"")</f>
        <v/>
      </c>
      <c r="L377" s="209" t="str">
        <f t="array" aca="1" ref="L377" ca="1">IF(B377&lt;&gt;"",
IFERROR(MATCH(TRUE,ISNUMBER(INDIRECT("数出表_Excel【15時】!"&amp;SUBSTITUTE(ADDRESS(1,H377+2,4),"1","")&amp;(A377+4)&amp;":ZZ"&amp;(A377+4))),0)+H377+1,""),"")</f>
        <v/>
      </c>
      <c r="M377" t="str">
        <f ca="1">IF(L377&lt;&gt;"",
OFFSET(数出表_Excel【15時】!$A$1,2,L377-1)
&amp;IFERROR(OFFSET(数出表_Excel【15時】!$A$1,3,L377-1),"")
&amp;IFERROR(OFFSET(数出表_Excel【15時】!$A$1,4,L377-1),""),"")</f>
        <v/>
      </c>
      <c r="N377" t="str">
        <f ca="1">IF(L377&lt;&gt;"",
OFFSET(数出表_Excel【15時】!$A$1,A377+3,L377-1),"")</f>
        <v/>
      </c>
      <c r="O377" t="str">
        <f ca="1">IF(L377&lt;&gt;"",
IF(AND(OFFSET(数出表_Excel【15時】!$A$1,A377+3,L377)&lt;&gt;"",OFFSET(数出表_Excel【15時】!$A$1,A377+3,L377)&lt;&gt;0),
OFFSET(数出表_Excel【15時】!$A$1,A377+3,L377),""),"")</f>
        <v/>
      </c>
    </row>
    <row r="378" spans="1:17">
      <c r="A378" t="str">
        <f t="shared" ca="1" si="5"/>
        <v/>
      </c>
      <c r="B378" t="str">
        <f t="array" aca="1" ref="B378" ca="1">IF(OR(COUNTIF(数出表_Excel【15時】!AO382,"*修正*"),COUNTIF(数出表_Excel【15時】!AO383,"*修正*")),
IF(ISEVEN(ROW()+4),INDIRECT("数出表_Excel【15時】!A"&amp;ROW()+4&amp;""),INDIRECT("数出表_Excel【15時】!A"&amp;ROW()+4-1&amp;"")),"")</f>
        <v/>
      </c>
      <c r="C378" t="str">
        <f t="array" aca="1" ref="C378" ca="1">IF(OR(COUNTIF(数出表_Excel【15時】!AO382,"*修正*"),COUNTIF(数出表_Excel【15時】!AO383,"*修正*")),
IF(ISEVEN(ROW()+4),INDIRECT("数出表_Excel【15時】!A"&amp;ROW()+4+1&amp;""),INDIRECT("数出表_Excel【15時】!A"&amp;ROW()+4&amp;"")),"")</f>
        <v/>
      </c>
      <c r="D378" s="209" t="str">
        <f t="array" aca="1" ref="D378" ca="1">IF(B378&lt;&gt;"",
IFERROR(MATCH(TRUE,ISNUMBER(INDIRECT("数出表_Excel【15時】!B"&amp;(A378+4)&amp;":ZZ"&amp;(A378+4))),0)+1,""),"")</f>
        <v/>
      </c>
      <c r="E378" t="str">
        <f ca="1">IF(D378&lt;&gt;"",
OFFSET(数出表_Excel【15時】!$A$1,2,D378-1)
&amp;IFERROR(OFFSET(数出表_Excel【15時】!$A$1,3,D378-1),"")
&amp;IFERROR(OFFSET(数出表_Excel【15時】!$A$1,4,D378-1),""),"")</f>
        <v/>
      </c>
      <c r="F378" t="str">
        <f ca="1">IF(D378&lt;&gt;"",
OFFSET(数出表_Excel【15時】!$A$1,A378+3,D378-1),"")</f>
        <v/>
      </c>
      <c r="G378" t="str">
        <f ca="1">IF(D378&lt;&gt;"",
IF(AND(OFFSET(数出表_Excel【15時】!$A$1,A378+3,D378)&lt;&gt;"",OFFSET(数出表_Excel【15時】!$A$1,A378+3,D378)&lt;&gt;0),
OFFSET(数出表_Excel【15時】!$A$1,A378+3,D378),""),"")</f>
        <v/>
      </c>
      <c r="H378" s="209" t="str">
        <f t="array" aca="1" ref="H378" ca="1">IF(B378&lt;&gt;"",
IFERROR(MATCH(TRUE,ISNUMBER(INDIRECT("数出表_Excel【15時】!"&amp;SUBSTITUTE(ADDRESS(1,D378+2,4),"1","")&amp;(A378+4)&amp;":ZZ"&amp;(A378+4))),0)+D378+1,""),"")</f>
        <v/>
      </c>
      <c r="I378" t="str">
        <f ca="1">IF(H378&lt;&gt;"",
OFFSET(数出表_Excel【15時】!$A$1,2,H378-1)
&amp;IFERROR(OFFSET(数出表_Excel【15時】!$A$1,3,H378-1),"")
&amp;IFERROR(OFFSET(数出表_Excel【15時】!$A$1,4,H378-1),""),"")</f>
        <v/>
      </c>
      <c r="J378" t="str">
        <f ca="1">IF(H378&lt;&gt;"",
OFFSET(数出表_Excel【15時】!$A$1,A378+3,H378-1),"")</f>
        <v/>
      </c>
      <c r="K378" t="str">
        <f ca="1">IF(H378&lt;&gt;"",
IF(AND(OFFSET(数出表_Excel【15時】!$A$1,A378+3,H378)&lt;&gt;"",OFFSET(数出表_Excel【15時】!$A$1,A378+3,H378)&lt;&gt;0),
OFFSET(数出表_Excel【15時】!$A$1,A378+3,H378),""),"")</f>
        <v/>
      </c>
      <c r="L378" s="209" t="str">
        <f t="array" aca="1" ref="L378" ca="1">IF(B378&lt;&gt;"",
IFERROR(MATCH(TRUE,ISNUMBER(INDIRECT("数出表_Excel【15時】!"&amp;SUBSTITUTE(ADDRESS(1,H378+2,4),"1","")&amp;(A378+4)&amp;":ZZ"&amp;(A378+4))),0)+H378+1,""),"")</f>
        <v/>
      </c>
      <c r="M378" t="str">
        <f ca="1">IF(L378&lt;&gt;"",
OFFSET(数出表_Excel【15時】!$A$1,2,L378-1)
&amp;IFERROR(OFFSET(数出表_Excel【15時】!$A$1,3,L378-1),"")
&amp;IFERROR(OFFSET(数出表_Excel【15時】!$A$1,4,L378-1),""),"")</f>
        <v/>
      </c>
      <c r="N378" t="str">
        <f ca="1">IF(L378&lt;&gt;"",
OFFSET(数出表_Excel【15時】!$A$1,A378+3,L378-1),"")</f>
        <v/>
      </c>
      <c r="O378" t="str">
        <f ca="1">IF(L378&lt;&gt;"",
IF(AND(OFFSET(数出表_Excel【15時】!$A$1,A378+3,L378)&lt;&gt;"",OFFSET(数出表_Excel【15時】!$A$1,A378+3,L378)&lt;&gt;0),
OFFSET(数出表_Excel【15時】!$A$1,A378+3,L378),""),"")</f>
        <v/>
      </c>
      <c r="Q378" t="str">
        <f ca="1">IF(C378&lt;&gt;"",
IF(E378&lt;&gt;"",1,0)+IF(I378&lt;&gt;"",1,0)+IF(M378&lt;&gt;"",1,0),"")</f>
        <v/>
      </c>
    </row>
    <row r="379" spans="1:17">
      <c r="A379" t="str">
        <f t="shared" ca="1" si="5"/>
        <v/>
      </c>
      <c r="B379" t="str">
        <f t="array" aca="1" ref="B379" ca="1">IF(OR(COUNTIF(数出表_Excel【15時】!AO382,"*修正*"),COUNTIF(数出表_Excel【15時】!AO383,"*修正*")),
IF(ISEVEN(ROW()+4),INDIRECT("数出表_Excel【15時】!A"&amp;ROW()+4&amp;""),INDIRECT("数出表_Excel【15時】!A"&amp;ROW()+4-1&amp;"")),"")</f>
        <v/>
      </c>
      <c r="C379" t="str">
        <f t="array" aca="1" ref="C379" ca="1">IF(OR(COUNTIF(数出表_Excel【15時】!AO382,"*修正*"),COUNTIF(数出表_Excel【15時】!AO383,"*修正*")),
IF(ISEVEN(ROW()+4),INDIRECT("数出表_Excel【15時】!A"&amp;ROW()+4+1&amp;""),INDIRECT("数出表_Excel【15時】!A"&amp;ROW()+4&amp;"")),"")</f>
        <v/>
      </c>
      <c r="D379" s="209" t="str">
        <f t="array" aca="1" ref="D379" ca="1">IF(B379&lt;&gt;"",
IFERROR(MATCH(TRUE,ISNUMBER(INDIRECT("数出表_Excel【15時】!B"&amp;(A379+4)&amp;":ZZ"&amp;(A379+4))),0)+1,""),"")</f>
        <v/>
      </c>
      <c r="E379" t="str">
        <f ca="1">IF(D379&lt;&gt;"",
OFFSET(数出表_Excel【15時】!$A$1,2,D379-1)
&amp;IFERROR(OFFSET(数出表_Excel【15時】!$A$1,3,D379-1),"")
&amp;IFERROR(OFFSET(数出表_Excel【15時】!$A$1,4,D379-1),""),"")</f>
        <v/>
      </c>
      <c r="F379" t="str">
        <f ca="1">IF(D379&lt;&gt;"",
OFFSET(数出表_Excel【15時】!$A$1,A379+3,D379-1),"")</f>
        <v/>
      </c>
      <c r="G379" t="str">
        <f ca="1">IF(D379&lt;&gt;"",
IF(AND(OFFSET(数出表_Excel【15時】!$A$1,A379+3,D379)&lt;&gt;"",OFFSET(数出表_Excel【15時】!$A$1,A379+3,D379)&lt;&gt;0),
OFFSET(数出表_Excel【15時】!$A$1,A379+3,D379),""),"")</f>
        <v/>
      </c>
      <c r="H379" s="209" t="str">
        <f t="array" aca="1" ref="H379" ca="1">IF(B379&lt;&gt;"",
IFERROR(MATCH(TRUE,ISNUMBER(INDIRECT("数出表_Excel【15時】!"&amp;SUBSTITUTE(ADDRESS(1,D379+2,4),"1","")&amp;(A379+4)&amp;":ZZ"&amp;(A379+4))),0)+D379+1,""),"")</f>
        <v/>
      </c>
      <c r="I379" t="str">
        <f ca="1">IF(H379&lt;&gt;"",
OFFSET(数出表_Excel【15時】!$A$1,2,H379-1)
&amp;IFERROR(OFFSET(数出表_Excel【15時】!$A$1,3,H379-1),"")
&amp;IFERROR(OFFSET(数出表_Excel【15時】!$A$1,4,H379-1),""),"")</f>
        <v/>
      </c>
      <c r="J379" t="str">
        <f ca="1">IF(H379&lt;&gt;"",
OFFSET(数出表_Excel【15時】!$A$1,A379+3,H379-1),"")</f>
        <v/>
      </c>
      <c r="K379" t="str">
        <f ca="1">IF(H379&lt;&gt;"",
IF(AND(OFFSET(数出表_Excel【15時】!$A$1,A379+3,H379)&lt;&gt;"",OFFSET(数出表_Excel【15時】!$A$1,A379+3,H379)&lt;&gt;0),
OFFSET(数出表_Excel【15時】!$A$1,A379+3,H379),""),"")</f>
        <v/>
      </c>
      <c r="L379" s="209" t="str">
        <f t="array" aca="1" ref="L379" ca="1">IF(B379&lt;&gt;"",
IFERROR(MATCH(TRUE,ISNUMBER(INDIRECT("数出表_Excel【15時】!"&amp;SUBSTITUTE(ADDRESS(1,H379+2,4),"1","")&amp;(A379+4)&amp;":ZZ"&amp;(A379+4))),0)+H379+1,""),"")</f>
        <v/>
      </c>
      <c r="M379" t="str">
        <f ca="1">IF(L379&lt;&gt;"",
OFFSET(数出表_Excel【15時】!$A$1,2,L379-1)
&amp;IFERROR(OFFSET(数出表_Excel【15時】!$A$1,3,L379-1),"")
&amp;IFERROR(OFFSET(数出表_Excel【15時】!$A$1,4,L379-1),""),"")</f>
        <v/>
      </c>
      <c r="N379" t="str">
        <f ca="1">IF(L379&lt;&gt;"",
OFFSET(数出表_Excel【15時】!$A$1,A379+3,L379-1),"")</f>
        <v/>
      </c>
      <c r="O379" t="str">
        <f ca="1">IF(L379&lt;&gt;"",
IF(AND(OFFSET(数出表_Excel【15時】!$A$1,A379+3,L379)&lt;&gt;"",OFFSET(数出表_Excel【15時】!$A$1,A379+3,L379)&lt;&gt;0),
OFFSET(数出表_Excel【15時】!$A$1,A379+3,L379),""),"")</f>
        <v/>
      </c>
    </row>
    <row r="380" spans="1:17">
      <c r="A380" t="str">
        <f t="shared" ca="1" si="5"/>
        <v/>
      </c>
      <c r="B380" t="str">
        <f t="array" aca="1" ref="B380" ca="1">IF(OR(COUNTIF(数出表_Excel【15時】!AO384,"*修正*"),COUNTIF(数出表_Excel【15時】!AO385,"*修正*")),
IF(ISEVEN(ROW()+4),INDIRECT("数出表_Excel【15時】!A"&amp;ROW()+4&amp;""),INDIRECT("数出表_Excel【15時】!A"&amp;ROW()+4-1&amp;"")),"")</f>
        <v/>
      </c>
      <c r="C380" t="str">
        <f t="array" aca="1" ref="C380" ca="1">IF(OR(COUNTIF(数出表_Excel【15時】!AO384,"*修正*"),COUNTIF(数出表_Excel【15時】!AO385,"*修正*")),
IF(ISEVEN(ROW()+4),INDIRECT("数出表_Excel【15時】!A"&amp;ROW()+4+1&amp;""),INDIRECT("数出表_Excel【15時】!A"&amp;ROW()+4&amp;"")),"")</f>
        <v/>
      </c>
      <c r="D380" s="209" t="str">
        <f t="array" aca="1" ref="D380" ca="1">IF(B380&lt;&gt;"",
IFERROR(MATCH(TRUE,ISNUMBER(INDIRECT("数出表_Excel【15時】!B"&amp;(A380+4)&amp;":ZZ"&amp;(A380+4))),0)+1,""),"")</f>
        <v/>
      </c>
      <c r="E380" t="str">
        <f ca="1">IF(D380&lt;&gt;"",
OFFSET(数出表_Excel【15時】!$A$1,2,D380-1)
&amp;IFERROR(OFFSET(数出表_Excel【15時】!$A$1,3,D380-1),"")
&amp;IFERROR(OFFSET(数出表_Excel【15時】!$A$1,4,D380-1),""),"")</f>
        <v/>
      </c>
      <c r="F380" t="str">
        <f ca="1">IF(D380&lt;&gt;"",
OFFSET(数出表_Excel【15時】!$A$1,A380+3,D380-1),"")</f>
        <v/>
      </c>
      <c r="G380" t="str">
        <f ca="1">IF(D380&lt;&gt;"",
IF(AND(OFFSET(数出表_Excel【15時】!$A$1,A380+3,D380)&lt;&gt;"",OFFSET(数出表_Excel【15時】!$A$1,A380+3,D380)&lt;&gt;0),
OFFSET(数出表_Excel【15時】!$A$1,A380+3,D380),""),"")</f>
        <v/>
      </c>
      <c r="H380" s="209" t="str">
        <f t="array" aca="1" ref="H380" ca="1">IF(B380&lt;&gt;"",
IFERROR(MATCH(TRUE,ISNUMBER(INDIRECT("数出表_Excel【15時】!"&amp;SUBSTITUTE(ADDRESS(1,D380+2,4),"1","")&amp;(A380+4)&amp;":ZZ"&amp;(A380+4))),0)+D380+1,""),"")</f>
        <v/>
      </c>
      <c r="I380" t="str">
        <f ca="1">IF(H380&lt;&gt;"",
OFFSET(数出表_Excel【15時】!$A$1,2,H380-1)
&amp;IFERROR(OFFSET(数出表_Excel【15時】!$A$1,3,H380-1),"")
&amp;IFERROR(OFFSET(数出表_Excel【15時】!$A$1,4,H380-1),""),"")</f>
        <v/>
      </c>
      <c r="J380" t="str">
        <f ca="1">IF(H380&lt;&gt;"",
OFFSET(数出表_Excel【15時】!$A$1,A380+3,H380-1),"")</f>
        <v/>
      </c>
      <c r="K380" t="str">
        <f ca="1">IF(H380&lt;&gt;"",
IF(AND(OFFSET(数出表_Excel【15時】!$A$1,A380+3,H380)&lt;&gt;"",OFFSET(数出表_Excel【15時】!$A$1,A380+3,H380)&lt;&gt;0),
OFFSET(数出表_Excel【15時】!$A$1,A380+3,H380),""),"")</f>
        <v/>
      </c>
      <c r="L380" s="209" t="str">
        <f t="array" aca="1" ref="L380" ca="1">IF(B380&lt;&gt;"",
IFERROR(MATCH(TRUE,ISNUMBER(INDIRECT("数出表_Excel【15時】!"&amp;SUBSTITUTE(ADDRESS(1,H380+2,4),"1","")&amp;(A380+4)&amp;":ZZ"&amp;(A380+4))),0)+H380+1,""),"")</f>
        <v/>
      </c>
      <c r="M380" t="str">
        <f ca="1">IF(L380&lt;&gt;"",
OFFSET(数出表_Excel【15時】!$A$1,2,L380-1)
&amp;IFERROR(OFFSET(数出表_Excel【15時】!$A$1,3,L380-1),"")
&amp;IFERROR(OFFSET(数出表_Excel【15時】!$A$1,4,L380-1),""),"")</f>
        <v/>
      </c>
      <c r="N380" t="str">
        <f ca="1">IF(L380&lt;&gt;"",
OFFSET(数出表_Excel【15時】!$A$1,A380+3,L380-1),"")</f>
        <v/>
      </c>
      <c r="O380" t="str">
        <f ca="1">IF(L380&lt;&gt;"",
IF(AND(OFFSET(数出表_Excel【15時】!$A$1,A380+3,L380)&lt;&gt;"",OFFSET(数出表_Excel【15時】!$A$1,A380+3,L380)&lt;&gt;0),
OFFSET(数出表_Excel【15時】!$A$1,A380+3,L380),""),"")</f>
        <v/>
      </c>
      <c r="Q380" t="str">
        <f ca="1">IF(C380&lt;&gt;"",
IF(E380&lt;&gt;"",1,0)+IF(I380&lt;&gt;"",1,0)+IF(M380&lt;&gt;"",1,0),"")</f>
        <v/>
      </c>
    </row>
    <row r="381" spans="1:17">
      <c r="A381" t="str">
        <f t="shared" ca="1" si="5"/>
        <v/>
      </c>
      <c r="B381" t="str">
        <f t="array" aca="1" ref="B381" ca="1">IF(OR(COUNTIF(数出表_Excel【15時】!AO384,"*修正*"),COUNTIF(数出表_Excel【15時】!AO385,"*修正*")),
IF(ISEVEN(ROW()+4),INDIRECT("数出表_Excel【15時】!A"&amp;ROW()+4&amp;""),INDIRECT("数出表_Excel【15時】!A"&amp;ROW()+4-1&amp;"")),"")</f>
        <v/>
      </c>
      <c r="C381" t="str">
        <f t="array" aca="1" ref="C381" ca="1">IF(OR(COUNTIF(数出表_Excel【15時】!AO384,"*修正*"),COUNTIF(数出表_Excel【15時】!AO385,"*修正*")),
IF(ISEVEN(ROW()+4),INDIRECT("数出表_Excel【15時】!A"&amp;ROW()+4+1&amp;""),INDIRECT("数出表_Excel【15時】!A"&amp;ROW()+4&amp;"")),"")</f>
        <v/>
      </c>
      <c r="D381" s="209" t="str">
        <f t="array" aca="1" ref="D381" ca="1">IF(B381&lt;&gt;"",
IFERROR(MATCH(TRUE,ISNUMBER(INDIRECT("数出表_Excel【15時】!B"&amp;(A381+4)&amp;":ZZ"&amp;(A381+4))),0)+1,""),"")</f>
        <v/>
      </c>
      <c r="E381" t="str">
        <f ca="1">IF(D381&lt;&gt;"",
OFFSET(数出表_Excel【15時】!$A$1,2,D381-1)
&amp;IFERROR(OFFSET(数出表_Excel【15時】!$A$1,3,D381-1),"")
&amp;IFERROR(OFFSET(数出表_Excel【15時】!$A$1,4,D381-1),""),"")</f>
        <v/>
      </c>
      <c r="F381" t="str">
        <f ca="1">IF(D381&lt;&gt;"",
OFFSET(数出表_Excel【15時】!$A$1,A381+3,D381-1),"")</f>
        <v/>
      </c>
      <c r="G381" t="str">
        <f ca="1">IF(D381&lt;&gt;"",
IF(AND(OFFSET(数出表_Excel【15時】!$A$1,A381+3,D381)&lt;&gt;"",OFFSET(数出表_Excel【15時】!$A$1,A381+3,D381)&lt;&gt;0),
OFFSET(数出表_Excel【15時】!$A$1,A381+3,D381),""),"")</f>
        <v/>
      </c>
      <c r="H381" s="209" t="str">
        <f t="array" aca="1" ref="H381" ca="1">IF(B381&lt;&gt;"",
IFERROR(MATCH(TRUE,ISNUMBER(INDIRECT("数出表_Excel【15時】!"&amp;SUBSTITUTE(ADDRESS(1,D381+2,4),"1","")&amp;(A381+4)&amp;":ZZ"&amp;(A381+4))),0)+D381+1,""),"")</f>
        <v/>
      </c>
      <c r="I381" t="str">
        <f ca="1">IF(H381&lt;&gt;"",
OFFSET(数出表_Excel【15時】!$A$1,2,H381-1)
&amp;IFERROR(OFFSET(数出表_Excel【15時】!$A$1,3,H381-1),"")
&amp;IFERROR(OFFSET(数出表_Excel【15時】!$A$1,4,H381-1),""),"")</f>
        <v/>
      </c>
      <c r="J381" t="str">
        <f ca="1">IF(H381&lt;&gt;"",
OFFSET(数出表_Excel【15時】!$A$1,A381+3,H381-1),"")</f>
        <v/>
      </c>
      <c r="K381" t="str">
        <f ca="1">IF(H381&lt;&gt;"",
IF(AND(OFFSET(数出表_Excel【15時】!$A$1,A381+3,H381)&lt;&gt;"",OFFSET(数出表_Excel【15時】!$A$1,A381+3,H381)&lt;&gt;0),
OFFSET(数出表_Excel【15時】!$A$1,A381+3,H381),""),"")</f>
        <v/>
      </c>
      <c r="L381" s="209" t="str">
        <f t="array" aca="1" ref="L381" ca="1">IF(B381&lt;&gt;"",
IFERROR(MATCH(TRUE,ISNUMBER(INDIRECT("数出表_Excel【15時】!"&amp;SUBSTITUTE(ADDRESS(1,H381+2,4),"1","")&amp;(A381+4)&amp;":ZZ"&amp;(A381+4))),0)+H381+1,""),"")</f>
        <v/>
      </c>
      <c r="M381" t="str">
        <f ca="1">IF(L381&lt;&gt;"",
OFFSET(数出表_Excel【15時】!$A$1,2,L381-1)
&amp;IFERROR(OFFSET(数出表_Excel【15時】!$A$1,3,L381-1),"")
&amp;IFERROR(OFFSET(数出表_Excel【15時】!$A$1,4,L381-1),""),"")</f>
        <v/>
      </c>
      <c r="N381" t="str">
        <f ca="1">IF(L381&lt;&gt;"",
OFFSET(数出表_Excel【15時】!$A$1,A381+3,L381-1),"")</f>
        <v/>
      </c>
      <c r="O381" t="str">
        <f ca="1">IF(L381&lt;&gt;"",
IF(AND(OFFSET(数出表_Excel【15時】!$A$1,A381+3,L381)&lt;&gt;"",OFFSET(数出表_Excel【15時】!$A$1,A381+3,L381)&lt;&gt;0),
OFFSET(数出表_Excel【15時】!$A$1,A381+3,L381),""),"")</f>
        <v/>
      </c>
    </row>
    <row r="382" spans="1:17">
      <c r="A382" t="str">
        <f t="shared" ca="1" si="5"/>
        <v/>
      </c>
      <c r="B382" t="str">
        <f t="array" aca="1" ref="B382" ca="1">IF(OR(COUNTIF(数出表_Excel【15時】!AO386,"*修正*"),COUNTIF(数出表_Excel【15時】!AO387,"*修正*")),
IF(ISEVEN(ROW()+4),INDIRECT("数出表_Excel【15時】!A"&amp;ROW()+4&amp;""),INDIRECT("数出表_Excel【15時】!A"&amp;ROW()+4-1&amp;"")),"")</f>
        <v/>
      </c>
      <c r="C382" t="str">
        <f t="array" aca="1" ref="C382" ca="1">IF(OR(COUNTIF(数出表_Excel【15時】!AO386,"*修正*"),COUNTIF(数出表_Excel【15時】!AO387,"*修正*")),
IF(ISEVEN(ROW()+4),INDIRECT("数出表_Excel【15時】!A"&amp;ROW()+4+1&amp;""),INDIRECT("数出表_Excel【15時】!A"&amp;ROW()+4&amp;"")),"")</f>
        <v/>
      </c>
      <c r="D382" s="209" t="str">
        <f t="array" aca="1" ref="D382" ca="1">IF(B382&lt;&gt;"",
IFERROR(MATCH(TRUE,ISNUMBER(INDIRECT("数出表_Excel【15時】!B"&amp;(A382+4)&amp;":ZZ"&amp;(A382+4))),0)+1,""),"")</f>
        <v/>
      </c>
      <c r="E382" t="str">
        <f ca="1">IF(D382&lt;&gt;"",
OFFSET(数出表_Excel【15時】!$A$1,2,D382-1)
&amp;IFERROR(OFFSET(数出表_Excel【15時】!$A$1,3,D382-1),"")
&amp;IFERROR(OFFSET(数出表_Excel【15時】!$A$1,4,D382-1),""),"")</f>
        <v/>
      </c>
      <c r="F382" t="str">
        <f ca="1">IF(D382&lt;&gt;"",
OFFSET(数出表_Excel【15時】!$A$1,A382+3,D382-1),"")</f>
        <v/>
      </c>
      <c r="G382" t="str">
        <f ca="1">IF(D382&lt;&gt;"",
IF(AND(OFFSET(数出表_Excel【15時】!$A$1,A382+3,D382)&lt;&gt;"",OFFSET(数出表_Excel【15時】!$A$1,A382+3,D382)&lt;&gt;0),
OFFSET(数出表_Excel【15時】!$A$1,A382+3,D382),""),"")</f>
        <v/>
      </c>
      <c r="H382" s="209" t="str">
        <f t="array" aca="1" ref="H382" ca="1">IF(B382&lt;&gt;"",
IFERROR(MATCH(TRUE,ISNUMBER(INDIRECT("数出表_Excel【15時】!"&amp;SUBSTITUTE(ADDRESS(1,D382+2,4),"1","")&amp;(A382+4)&amp;":ZZ"&amp;(A382+4))),0)+D382+1,""),"")</f>
        <v/>
      </c>
      <c r="I382" t="str">
        <f ca="1">IF(H382&lt;&gt;"",
OFFSET(数出表_Excel【15時】!$A$1,2,H382-1)
&amp;IFERROR(OFFSET(数出表_Excel【15時】!$A$1,3,H382-1),"")
&amp;IFERROR(OFFSET(数出表_Excel【15時】!$A$1,4,H382-1),""),"")</f>
        <v/>
      </c>
      <c r="J382" t="str">
        <f ca="1">IF(H382&lt;&gt;"",
OFFSET(数出表_Excel【15時】!$A$1,A382+3,H382-1),"")</f>
        <v/>
      </c>
      <c r="K382" t="str">
        <f ca="1">IF(H382&lt;&gt;"",
IF(AND(OFFSET(数出表_Excel【15時】!$A$1,A382+3,H382)&lt;&gt;"",OFFSET(数出表_Excel【15時】!$A$1,A382+3,H382)&lt;&gt;0),
OFFSET(数出表_Excel【15時】!$A$1,A382+3,H382),""),"")</f>
        <v/>
      </c>
      <c r="L382" s="209" t="str">
        <f t="array" aca="1" ref="L382" ca="1">IF(B382&lt;&gt;"",
IFERROR(MATCH(TRUE,ISNUMBER(INDIRECT("数出表_Excel【15時】!"&amp;SUBSTITUTE(ADDRESS(1,H382+2,4),"1","")&amp;(A382+4)&amp;":ZZ"&amp;(A382+4))),0)+H382+1,""),"")</f>
        <v/>
      </c>
      <c r="M382" t="str">
        <f ca="1">IF(L382&lt;&gt;"",
OFFSET(数出表_Excel【15時】!$A$1,2,L382-1)
&amp;IFERROR(OFFSET(数出表_Excel【15時】!$A$1,3,L382-1),"")
&amp;IFERROR(OFFSET(数出表_Excel【15時】!$A$1,4,L382-1),""),"")</f>
        <v/>
      </c>
      <c r="N382" t="str">
        <f ca="1">IF(L382&lt;&gt;"",
OFFSET(数出表_Excel【15時】!$A$1,A382+3,L382-1),"")</f>
        <v/>
      </c>
      <c r="O382" t="str">
        <f ca="1">IF(L382&lt;&gt;"",
IF(AND(OFFSET(数出表_Excel【15時】!$A$1,A382+3,L382)&lt;&gt;"",OFFSET(数出表_Excel【15時】!$A$1,A382+3,L382)&lt;&gt;0),
OFFSET(数出表_Excel【15時】!$A$1,A382+3,L382),""),"")</f>
        <v/>
      </c>
      <c r="Q382" t="str">
        <f ca="1">IF(C382&lt;&gt;"",
IF(E382&lt;&gt;"",1,0)+IF(I382&lt;&gt;"",1,0)+IF(M382&lt;&gt;"",1,0),"")</f>
        <v/>
      </c>
    </row>
    <row r="383" spans="1:17">
      <c r="A383" t="str">
        <f t="shared" ca="1" si="5"/>
        <v/>
      </c>
      <c r="B383" t="str">
        <f t="array" aca="1" ref="B383" ca="1">IF(OR(COUNTIF(数出表_Excel【15時】!AO386,"*修正*"),COUNTIF(数出表_Excel【15時】!AO387,"*修正*")),
IF(ISEVEN(ROW()+4),INDIRECT("数出表_Excel【15時】!A"&amp;ROW()+4&amp;""),INDIRECT("数出表_Excel【15時】!A"&amp;ROW()+4-1&amp;"")),"")</f>
        <v/>
      </c>
      <c r="C383" t="str">
        <f t="array" aca="1" ref="C383" ca="1">IF(OR(COUNTIF(数出表_Excel【15時】!AO386,"*修正*"),COUNTIF(数出表_Excel【15時】!AO387,"*修正*")),
IF(ISEVEN(ROW()+4),INDIRECT("数出表_Excel【15時】!A"&amp;ROW()+4+1&amp;""),INDIRECT("数出表_Excel【15時】!A"&amp;ROW()+4&amp;"")),"")</f>
        <v/>
      </c>
      <c r="D383" s="209" t="str">
        <f t="array" aca="1" ref="D383" ca="1">IF(B383&lt;&gt;"",
IFERROR(MATCH(TRUE,ISNUMBER(INDIRECT("数出表_Excel【15時】!B"&amp;(A383+4)&amp;":ZZ"&amp;(A383+4))),0)+1,""),"")</f>
        <v/>
      </c>
      <c r="E383" t="str">
        <f ca="1">IF(D383&lt;&gt;"",
OFFSET(数出表_Excel【15時】!$A$1,2,D383-1)
&amp;IFERROR(OFFSET(数出表_Excel【15時】!$A$1,3,D383-1),"")
&amp;IFERROR(OFFSET(数出表_Excel【15時】!$A$1,4,D383-1),""),"")</f>
        <v/>
      </c>
      <c r="F383" t="str">
        <f ca="1">IF(D383&lt;&gt;"",
OFFSET(数出表_Excel【15時】!$A$1,A383+3,D383-1),"")</f>
        <v/>
      </c>
      <c r="G383" t="str">
        <f ca="1">IF(D383&lt;&gt;"",
IF(AND(OFFSET(数出表_Excel【15時】!$A$1,A383+3,D383)&lt;&gt;"",OFFSET(数出表_Excel【15時】!$A$1,A383+3,D383)&lt;&gt;0),
OFFSET(数出表_Excel【15時】!$A$1,A383+3,D383),""),"")</f>
        <v/>
      </c>
      <c r="H383" s="209" t="str">
        <f t="array" aca="1" ref="H383" ca="1">IF(B383&lt;&gt;"",
IFERROR(MATCH(TRUE,ISNUMBER(INDIRECT("数出表_Excel【15時】!"&amp;SUBSTITUTE(ADDRESS(1,D383+2,4),"1","")&amp;(A383+4)&amp;":ZZ"&amp;(A383+4))),0)+D383+1,""),"")</f>
        <v/>
      </c>
      <c r="I383" t="str">
        <f ca="1">IF(H383&lt;&gt;"",
OFFSET(数出表_Excel【15時】!$A$1,2,H383-1)
&amp;IFERROR(OFFSET(数出表_Excel【15時】!$A$1,3,H383-1),"")
&amp;IFERROR(OFFSET(数出表_Excel【15時】!$A$1,4,H383-1),""),"")</f>
        <v/>
      </c>
      <c r="J383" t="str">
        <f ca="1">IF(H383&lt;&gt;"",
OFFSET(数出表_Excel【15時】!$A$1,A383+3,H383-1),"")</f>
        <v/>
      </c>
      <c r="K383" t="str">
        <f ca="1">IF(H383&lt;&gt;"",
IF(AND(OFFSET(数出表_Excel【15時】!$A$1,A383+3,H383)&lt;&gt;"",OFFSET(数出表_Excel【15時】!$A$1,A383+3,H383)&lt;&gt;0),
OFFSET(数出表_Excel【15時】!$A$1,A383+3,H383),""),"")</f>
        <v/>
      </c>
      <c r="L383" s="209" t="str">
        <f t="array" aca="1" ref="L383" ca="1">IF(B383&lt;&gt;"",
IFERROR(MATCH(TRUE,ISNUMBER(INDIRECT("数出表_Excel【15時】!"&amp;SUBSTITUTE(ADDRESS(1,H383+2,4),"1","")&amp;(A383+4)&amp;":ZZ"&amp;(A383+4))),0)+H383+1,""),"")</f>
        <v/>
      </c>
      <c r="M383" t="str">
        <f ca="1">IF(L383&lt;&gt;"",
OFFSET(数出表_Excel【15時】!$A$1,2,L383-1)
&amp;IFERROR(OFFSET(数出表_Excel【15時】!$A$1,3,L383-1),"")
&amp;IFERROR(OFFSET(数出表_Excel【15時】!$A$1,4,L383-1),""),"")</f>
        <v/>
      </c>
      <c r="N383" t="str">
        <f ca="1">IF(L383&lt;&gt;"",
OFFSET(数出表_Excel【15時】!$A$1,A383+3,L383-1),"")</f>
        <v/>
      </c>
      <c r="O383" t="str">
        <f ca="1">IF(L383&lt;&gt;"",
IF(AND(OFFSET(数出表_Excel【15時】!$A$1,A383+3,L383)&lt;&gt;"",OFFSET(数出表_Excel【15時】!$A$1,A383+3,L383)&lt;&gt;0),
OFFSET(数出表_Excel【15時】!$A$1,A383+3,L383),""),"")</f>
        <v/>
      </c>
    </row>
    <row r="384" spans="1:17">
      <c r="A384" t="str">
        <f t="shared" ca="1" si="5"/>
        <v/>
      </c>
      <c r="B384" t="str">
        <f t="array" aca="1" ref="B384" ca="1">IF(OR(COUNTIF(数出表_Excel【15時】!AO388,"*修正*"),COUNTIF(数出表_Excel【15時】!AO389,"*修正*")),
IF(ISEVEN(ROW()+4),INDIRECT("数出表_Excel【15時】!A"&amp;ROW()+4&amp;""),INDIRECT("数出表_Excel【15時】!A"&amp;ROW()+4-1&amp;"")),"")</f>
        <v/>
      </c>
      <c r="C384" t="str">
        <f t="array" aca="1" ref="C384" ca="1">IF(OR(COUNTIF(数出表_Excel【15時】!AO388,"*修正*"),COUNTIF(数出表_Excel【15時】!AO389,"*修正*")),
IF(ISEVEN(ROW()+4),INDIRECT("数出表_Excel【15時】!A"&amp;ROW()+4+1&amp;""),INDIRECT("数出表_Excel【15時】!A"&amp;ROW()+4&amp;"")),"")</f>
        <v/>
      </c>
      <c r="D384" s="209" t="str">
        <f t="array" aca="1" ref="D384" ca="1">IF(B384&lt;&gt;"",
IFERROR(MATCH(TRUE,ISNUMBER(INDIRECT("数出表_Excel【15時】!B"&amp;(A384+4)&amp;":ZZ"&amp;(A384+4))),0)+1,""),"")</f>
        <v/>
      </c>
      <c r="E384" t="str">
        <f ca="1">IF(D384&lt;&gt;"",
OFFSET(数出表_Excel【15時】!$A$1,2,D384-1)
&amp;IFERROR(OFFSET(数出表_Excel【15時】!$A$1,3,D384-1),"")
&amp;IFERROR(OFFSET(数出表_Excel【15時】!$A$1,4,D384-1),""),"")</f>
        <v/>
      </c>
      <c r="F384" t="str">
        <f ca="1">IF(D384&lt;&gt;"",
OFFSET(数出表_Excel【15時】!$A$1,A384+3,D384-1),"")</f>
        <v/>
      </c>
      <c r="G384" t="str">
        <f ca="1">IF(D384&lt;&gt;"",
IF(AND(OFFSET(数出表_Excel【15時】!$A$1,A384+3,D384)&lt;&gt;"",OFFSET(数出表_Excel【15時】!$A$1,A384+3,D384)&lt;&gt;0),
OFFSET(数出表_Excel【15時】!$A$1,A384+3,D384),""),"")</f>
        <v/>
      </c>
      <c r="H384" s="209" t="str">
        <f t="array" aca="1" ref="H384" ca="1">IF(B384&lt;&gt;"",
IFERROR(MATCH(TRUE,ISNUMBER(INDIRECT("数出表_Excel【15時】!"&amp;SUBSTITUTE(ADDRESS(1,D384+2,4),"1","")&amp;(A384+4)&amp;":ZZ"&amp;(A384+4))),0)+D384+1,""),"")</f>
        <v/>
      </c>
      <c r="I384" t="str">
        <f ca="1">IF(H384&lt;&gt;"",
OFFSET(数出表_Excel【15時】!$A$1,2,H384-1)
&amp;IFERROR(OFFSET(数出表_Excel【15時】!$A$1,3,H384-1),"")
&amp;IFERROR(OFFSET(数出表_Excel【15時】!$A$1,4,H384-1),""),"")</f>
        <v/>
      </c>
      <c r="J384" t="str">
        <f ca="1">IF(H384&lt;&gt;"",
OFFSET(数出表_Excel【15時】!$A$1,A384+3,H384-1),"")</f>
        <v/>
      </c>
      <c r="K384" t="str">
        <f ca="1">IF(H384&lt;&gt;"",
IF(AND(OFFSET(数出表_Excel【15時】!$A$1,A384+3,H384)&lt;&gt;"",OFFSET(数出表_Excel【15時】!$A$1,A384+3,H384)&lt;&gt;0),
OFFSET(数出表_Excel【15時】!$A$1,A384+3,H384),""),"")</f>
        <v/>
      </c>
      <c r="L384" s="209" t="str">
        <f t="array" aca="1" ref="L384" ca="1">IF(B384&lt;&gt;"",
IFERROR(MATCH(TRUE,ISNUMBER(INDIRECT("数出表_Excel【15時】!"&amp;SUBSTITUTE(ADDRESS(1,H384+2,4),"1","")&amp;(A384+4)&amp;":ZZ"&amp;(A384+4))),0)+H384+1,""),"")</f>
        <v/>
      </c>
      <c r="M384" t="str">
        <f ca="1">IF(L384&lt;&gt;"",
OFFSET(数出表_Excel【15時】!$A$1,2,L384-1)
&amp;IFERROR(OFFSET(数出表_Excel【15時】!$A$1,3,L384-1),"")
&amp;IFERROR(OFFSET(数出表_Excel【15時】!$A$1,4,L384-1),""),"")</f>
        <v/>
      </c>
      <c r="N384" t="str">
        <f ca="1">IF(L384&lt;&gt;"",
OFFSET(数出表_Excel【15時】!$A$1,A384+3,L384-1),"")</f>
        <v/>
      </c>
      <c r="O384" t="str">
        <f ca="1">IF(L384&lt;&gt;"",
IF(AND(OFFSET(数出表_Excel【15時】!$A$1,A384+3,L384)&lt;&gt;"",OFFSET(数出表_Excel【15時】!$A$1,A384+3,L384)&lt;&gt;0),
OFFSET(数出表_Excel【15時】!$A$1,A384+3,L384),""),"")</f>
        <v/>
      </c>
      <c r="Q384" t="str">
        <f ca="1">IF(C384&lt;&gt;"",
IF(E384&lt;&gt;"",1,0)+IF(I384&lt;&gt;"",1,0)+IF(M384&lt;&gt;"",1,0),"")</f>
        <v/>
      </c>
    </row>
    <row r="385" spans="1:17">
      <c r="A385" t="str">
        <f t="shared" ca="1" si="5"/>
        <v/>
      </c>
      <c r="B385" t="str">
        <f t="array" aca="1" ref="B385" ca="1">IF(OR(COUNTIF(数出表_Excel【15時】!AO388,"*修正*"),COUNTIF(数出表_Excel【15時】!AO389,"*修正*")),
IF(ISEVEN(ROW()+4),INDIRECT("数出表_Excel【15時】!A"&amp;ROW()+4&amp;""),INDIRECT("数出表_Excel【15時】!A"&amp;ROW()+4-1&amp;"")),"")</f>
        <v/>
      </c>
      <c r="C385" t="str">
        <f t="array" aca="1" ref="C385" ca="1">IF(OR(COUNTIF(数出表_Excel【15時】!AO388,"*修正*"),COUNTIF(数出表_Excel【15時】!AO389,"*修正*")),
IF(ISEVEN(ROW()+4),INDIRECT("数出表_Excel【15時】!A"&amp;ROW()+4+1&amp;""),INDIRECT("数出表_Excel【15時】!A"&amp;ROW()+4&amp;"")),"")</f>
        <v/>
      </c>
      <c r="D385" s="209" t="str">
        <f t="array" aca="1" ref="D385" ca="1">IF(B385&lt;&gt;"",
IFERROR(MATCH(TRUE,ISNUMBER(INDIRECT("数出表_Excel【15時】!B"&amp;(A385+4)&amp;":ZZ"&amp;(A385+4))),0)+1,""),"")</f>
        <v/>
      </c>
      <c r="E385" t="str">
        <f ca="1">IF(D385&lt;&gt;"",
OFFSET(数出表_Excel【15時】!$A$1,2,D385-1)
&amp;IFERROR(OFFSET(数出表_Excel【15時】!$A$1,3,D385-1),"")
&amp;IFERROR(OFFSET(数出表_Excel【15時】!$A$1,4,D385-1),""),"")</f>
        <v/>
      </c>
      <c r="F385" t="str">
        <f ca="1">IF(D385&lt;&gt;"",
OFFSET(数出表_Excel【15時】!$A$1,A385+3,D385-1),"")</f>
        <v/>
      </c>
      <c r="G385" t="str">
        <f ca="1">IF(D385&lt;&gt;"",
IF(AND(OFFSET(数出表_Excel【15時】!$A$1,A385+3,D385)&lt;&gt;"",OFFSET(数出表_Excel【15時】!$A$1,A385+3,D385)&lt;&gt;0),
OFFSET(数出表_Excel【15時】!$A$1,A385+3,D385),""),"")</f>
        <v/>
      </c>
      <c r="H385" s="209" t="str">
        <f t="array" aca="1" ref="H385" ca="1">IF(B385&lt;&gt;"",
IFERROR(MATCH(TRUE,ISNUMBER(INDIRECT("数出表_Excel【15時】!"&amp;SUBSTITUTE(ADDRESS(1,D385+2,4),"1","")&amp;(A385+4)&amp;":ZZ"&amp;(A385+4))),0)+D385+1,""),"")</f>
        <v/>
      </c>
      <c r="I385" t="str">
        <f ca="1">IF(H385&lt;&gt;"",
OFFSET(数出表_Excel【15時】!$A$1,2,H385-1)
&amp;IFERROR(OFFSET(数出表_Excel【15時】!$A$1,3,H385-1),"")
&amp;IFERROR(OFFSET(数出表_Excel【15時】!$A$1,4,H385-1),""),"")</f>
        <v/>
      </c>
      <c r="J385" t="str">
        <f ca="1">IF(H385&lt;&gt;"",
OFFSET(数出表_Excel【15時】!$A$1,A385+3,H385-1),"")</f>
        <v/>
      </c>
      <c r="K385" t="str">
        <f ca="1">IF(H385&lt;&gt;"",
IF(AND(OFFSET(数出表_Excel【15時】!$A$1,A385+3,H385)&lt;&gt;"",OFFSET(数出表_Excel【15時】!$A$1,A385+3,H385)&lt;&gt;0),
OFFSET(数出表_Excel【15時】!$A$1,A385+3,H385),""),"")</f>
        <v/>
      </c>
      <c r="L385" s="209" t="str">
        <f t="array" aca="1" ref="L385" ca="1">IF(B385&lt;&gt;"",
IFERROR(MATCH(TRUE,ISNUMBER(INDIRECT("数出表_Excel【15時】!"&amp;SUBSTITUTE(ADDRESS(1,H385+2,4),"1","")&amp;(A385+4)&amp;":ZZ"&amp;(A385+4))),0)+H385+1,""),"")</f>
        <v/>
      </c>
      <c r="M385" t="str">
        <f ca="1">IF(L385&lt;&gt;"",
OFFSET(数出表_Excel【15時】!$A$1,2,L385-1)
&amp;IFERROR(OFFSET(数出表_Excel【15時】!$A$1,3,L385-1),"")
&amp;IFERROR(OFFSET(数出表_Excel【15時】!$A$1,4,L385-1),""),"")</f>
        <v/>
      </c>
      <c r="N385" t="str">
        <f ca="1">IF(L385&lt;&gt;"",
OFFSET(数出表_Excel【15時】!$A$1,A385+3,L385-1),"")</f>
        <v/>
      </c>
      <c r="O385" t="str">
        <f ca="1">IF(L385&lt;&gt;"",
IF(AND(OFFSET(数出表_Excel【15時】!$A$1,A385+3,L385)&lt;&gt;"",OFFSET(数出表_Excel【15時】!$A$1,A385+3,L385)&lt;&gt;0),
OFFSET(数出表_Excel【15時】!$A$1,A385+3,L385),""),"")</f>
        <v/>
      </c>
    </row>
    <row r="386" spans="1:17">
      <c r="A386" t="str">
        <f t="shared" ref="A386:A449" ca="1" si="6">IF(B386&lt;&gt;"",
ROW(),"")</f>
        <v/>
      </c>
      <c r="B386" t="str">
        <f t="array" aca="1" ref="B386" ca="1">IF(OR(COUNTIF(数出表_Excel【15時】!AO390,"*修正*"),COUNTIF(数出表_Excel【15時】!AO391,"*修正*")),
IF(ISEVEN(ROW()+4),INDIRECT("数出表_Excel【15時】!A"&amp;ROW()+4&amp;""),INDIRECT("数出表_Excel【15時】!A"&amp;ROW()+4-1&amp;"")),"")</f>
        <v/>
      </c>
      <c r="C386" t="str">
        <f t="array" aca="1" ref="C386" ca="1">IF(OR(COUNTIF(数出表_Excel【15時】!AO390,"*修正*"),COUNTIF(数出表_Excel【15時】!AO391,"*修正*")),
IF(ISEVEN(ROW()+4),INDIRECT("数出表_Excel【15時】!A"&amp;ROW()+4+1&amp;""),INDIRECT("数出表_Excel【15時】!A"&amp;ROW()+4&amp;"")),"")</f>
        <v/>
      </c>
      <c r="D386" s="209" t="str">
        <f t="array" aca="1" ref="D386" ca="1">IF(B386&lt;&gt;"",
IFERROR(MATCH(TRUE,ISNUMBER(INDIRECT("数出表_Excel【15時】!B"&amp;(A386+4)&amp;":ZZ"&amp;(A386+4))),0)+1,""),"")</f>
        <v/>
      </c>
      <c r="E386" t="str">
        <f ca="1">IF(D386&lt;&gt;"",
OFFSET(数出表_Excel【15時】!$A$1,2,D386-1)
&amp;IFERROR(OFFSET(数出表_Excel【15時】!$A$1,3,D386-1),"")
&amp;IFERROR(OFFSET(数出表_Excel【15時】!$A$1,4,D386-1),""),"")</f>
        <v/>
      </c>
      <c r="F386" t="str">
        <f ca="1">IF(D386&lt;&gt;"",
OFFSET(数出表_Excel【15時】!$A$1,A386+3,D386-1),"")</f>
        <v/>
      </c>
      <c r="G386" t="str">
        <f ca="1">IF(D386&lt;&gt;"",
IF(AND(OFFSET(数出表_Excel【15時】!$A$1,A386+3,D386)&lt;&gt;"",OFFSET(数出表_Excel【15時】!$A$1,A386+3,D386)&lt;&gt;0),
OFFSET(数出表_Excel【15時】!$A$1,A386+3,D386),""),"")</f>
        <v/>
      </c>
      <c r="H386" s="209" t="str">
        <f t="array" aca="1" ref="H386" ca="1">IF(B386&lt;&gt;"",
IFERROR(MATCH(TRUE,ISNUMBER(INDIRECT("数出表_Excel【15時】!"&amp;SUBSTITUTE(ADDRESS(1,D386+2,4),"1","")&amp;(A386+4)&amp;":ZZ"&amp;(A386+4))),0)+D386+1,""),"")</f>
        <v/>
      </c>
      <c r="I386" t="str">
        <f ca="1">IF(H386&lt;&gt;"",
OFFSET(数出表_Excel【15時】!$A$1,2,H386-1)
&amp;IFERROR(OFFSET(数出表_Excel【15時】!$A$1,3,H386-1),"")
&amp;IFERROR(OFFSET(数出表_Excel【15時】!$A$1,4,H386-1),""),"")</f>
        <v/>
      </c>
      <c r="J386" t="str">
        <f ca="1">IF(H386&lt;&gt;"",
OFFSET(数出表_Excel【15時】!$A$1,A386+3,H386-1),"")</f>
        <v/>
      </c>
      <c r="K386" t="str">
        <f ca="1">IF(H386&lt;&gt;"",
IF(AND(OFFSET(数出表_Excel【15時】!$A$1,A386+3,H386)&lt;&gt;"",OFFSET(数出表_Excel【15時】!$A$1,A386+3,H386)&lt;&gt;0),
OFFSET(数出表_Excel【15時】!$A$1,A386+3,H386),""),"")</f>
        <v/>
      </c>
      <c r="L386" s="209" t="str">
        <f t="array" aca="1" ref="L386" ca="1">IF(B386&lt;&gt;"",
IFERROR(MATCH(TRUE,ISNUMBER(INDIRECT("数出表_Excel【15時】!"&amp;SUBSTITUTE(ADDRESS(1,H386+2,4),"1","")&amp;(A386+4)&amp;":ZZ"&amp;(A386+4))),0)+H386+1,""),"")</f>
        <v/>
      </c>
      <c r="M386" t="str">
        <f ca="1">IF(L386&lt;&gt;"",
OFFSET(数出表_Excel【15時】!$A$1,2,L386-1)
&amp;IFERROR(OFFSET(数出表_Excel【15時】!$A$1,3,L386-1),"")
&amp;IFERROR(OFFSET(数出表_Excel【15時】!$A$1,4,L386-1),""),"")</f>
        <v/>
      </c>
      <c r="N386" t="str">
        <f ca="1">IF(L386&lt;&gt;"",
OFFSET(数出表_Excel【15時】!$A$1,A386+3,L386-1),"")</f>
        <v/>
      </c>
      <c r="O386" t="str">
        <f ca="1">IF(L386&lt;&gt;"",
IF(AND(OFFSET(数出表_Excel【15時】!$A$1,A386+3,L386)&lt;&gt;"",OFFSET(数出表_Excel【15時】!$A$1,A386+3,L386)&lt;&gt;0),
OFFSET(数出表_Excel【15時】!$A$1,A386+3,L386),""),"")</f>
        <v/>
      </c>
      <c r="Q386" t="str">
        <f ca="1">IF(C386&lt;&gt;"",
IF(E386&lt;&gt;"",1,0)+IF(I386&lt;&gt;"",1,0)+IF(M386&lt;&gt;"",1,0),"")</f>
        <v/>
      </c>
    </row>
    <row r="387" spans="1:17">
      <c r="A387" t="str">
        <f t="shared" ca="1" si="6"/>
        <v/>
      </c>
      <c r="B387" t="str">
        <f t="array" aca="1" ref="B387" ca="1">IF(OR(COUNTIF(数出表_Excel【15時】!AO390,"*修正*"),COUNTIF(数出表_Excel【15時】!AO391,"*修正*")),
IF(ISEVEN(ROW()+4),INDIRECT("数出表_Excel【15時】!A"&amp;ROW()+4&amp;""),INDIRECT("数出表_Excel【15時】!A"&amp;ROW()+4-1&amp;"")),"")</f>
        <v/>
      </c>
      <c r="C387" t="str">
        <f t="array" aca="1" ref="C387" ca="1">IF(OR(COUNTIF(数出表_Excel【15時】!AO390,"*修正*"),COUNTIF(数出表_Excel【15時】!AO391,"*修正*")),
IF(ISEVEN(ROW()+4),INDIRECT("数出表_Excel【15時】!A"&amp;ROW()+4+1&amp;""),INDIRECT("数出表_Excel【15時】!A"&amp;ROW()+4&amp;"")),"")</f>
        <v/>
      </c>
      <c r="D387" s="209" t="str">
        <f t="array" aca="1" ref="D387" ca="1">IF(B387&lt;&gt;"",
IFERROR(MATCH(TRUE,ISNUMBER(INDIRECT("数出表_Excel【15時】!B"&amp;(A387+4)&amp;":ZZ"&amp;(A387+4))),0)+1,""),"")</f>
        <v/>
      </c>
      <c r="E387" t="str">
        <f ca="1">IF(D387&lt;&gt;"",
OFFSET(数出表_Excel【15時】!$A$1,2,D387-1)
&amp;IFERROR(OFFSET(数出表_Excel【15時】!$A$1,3,D387-1),"")
&amp;IFERROR(OFFSET(数出表_Excel【15時】!$A$1,4,D387-1),""),"")</f>
        <v/>
      </c>
      <c r="F387" t="str">
        <f ca="1">IF(D387&lt;&gt;"",
OFFSET(数出表_Excel【15時】!$A$1,A387+3,D387-1),"")</f>
        <v/>
      </c>
      <c r="G387" t="str">
        <f ca="1">IF(D387&lt;&gt;"",
IF(AND(OFFSET(数出表_Excel【15時】!$A$1,A387+3,D387)&lt;&gt;"",OFFSET(数出表_Excel【15時】!$A$1,A387+3,D387)&lt;&gt;0),
OFFSET(数出表_Excel【15時】!$A$1,A387+3,D387),""),"")</f>
        <v/>
      </c>
      <c r="H387" s="209" t="str">
        <f t="array" aca="1" ref="H387" ca="1">IF(B387&lt;&gt;"",
IFERROR(MATCH(TRUE,ISNUMBER(INDIRECT("数出表_Excel【15時】!"&amp;SUBSTITUTE(ADDRESS(1,D387+2,4),"1","")&amp;(A387+4)&amp;":ZZ"&amp;(A387+4))),0)+D387+1,""),"")</f>
        <v/>
      </c>
      <c r="I387" t="str">
        <f ca="1">IF(H387&lt;&gt;"",
OFFSET(数出表_Excel【15時】!$A$1,2,H387-1)
&amp;IFERROR(OFFSET(数出表_Excel【15時】!$A$1,3,H387-1),"")
&amp;IFERROR(OFFSET(数出表_Excel【15時】!$A$1,4,H387-1),""),"")</f>
        <v/>
      </c>
      <c r="J387" t="str">
        <f ca="1">IF(H387&lt;&gt;"",
OFFSET(数出表_Excel【15時】!$A$1,A387+3,H387-1),"")</f>
        <v/>
      </c>
      <c r="K387" t="str">
        <f ca="1">IF(H387&lt;&gt;"",
IF(AND(OFFSET(数出表_Excel【15時】!$A$1,A387+3,H387)&lt;&gt;"",OFFSET(数出表_Excel【15時】!$A$1,A387+3,H387)&lt;&gt;0),
OFFSET(数出表_Excel【15時】!$A$1,A387+3,H387),""),"")</f>
        <v/>
      </c>
      <c r="L387" s="209" t="str">
        <f t="array" aca="1" ref="L387" ca="1">IF(B387&lt;&gt;"",
IFERROR(MATCH(TRUE,ISNUMBER(INDIRECT("数出表_Excel【15時】!"&amp;SUBSTITUTE(ADDRESS(1,H387+2,4),"1","")&amp;(A387+4)&amp;":ZZ"&amp;(A387+4))),0)+H387+1,""),"")</f>
        <v/>
      </c>
      <c r="M387" t="str">
        <f ca="1">IF(L387&lt;&gt;"",
OFFSET(数出表_Excel【15時】!$A$1,2,L387-1)
&amp;IFERROR(OFFSET(数出表_Excel【15時】!$A$1,3,L387-1),"")
&amp;IFERROR(OFFSET(数出表_Excel【15時】!$A$1,4,L387-1),""),"")</f>
        <v/>
      </c>
      <c r="N387" t="str">
        <f ca="1">IF(L387&lt;&gt;"",
OFFSET(数出表_Excel【15時】!$A$1,A387+3,L387-1),"")</f>
        <v/>
      </c>
      <c r="O387" t="str">
        <f ca="1">IF(L387&lt;&gt;"",
IF(AND(OFFSET(数出表_Excel【15時】!$A$1,A387+3,L387)&lt;&gt;"",OFFSET(数出表_Excel【15時】!$A$1,A387+3,L387)&lt;&gt;0),
OFFSET(数出表_Excel【15時】!$A$1,A387+3,L387),""),"")</f>
        <v/>
      </c>
    </row>
    <row r="388" spans="1:17">
      <c r="A388" t="str">
        <f t="shared" ca="1" si="6"/>
        <v/>
      </c>
      <c r="B388" t="str">
        <f t="array" aca="1" ref="B388" ca="1">IF(OR(COUNTIF(数出表_Excel【15時】!AO392,"*修正*"),COUNTIF(数出表_Excel【15時】!AO393,"*修正*")),
IF(ISEVEN(ROW()+4),INDIRECT("数出表_Excel【15時】!A"&amp;ROW()+4&amp;""),INDIRECT("数出表_Excel【15時】!A"&amp;ROW()+4-1&amp;"")),"")</f>
        <v/>
      </c>
      <c r="C388" t="str">
        <f t="array" aca="1" ref="C388" ca="1">IF(OR(COUNTIF(数出表_Excel【15時】!AO392,"*修正*"),COUNTIF(数出表_Excel【15時】!AO393,"*修正*")),
IF(ISEVEN(ROW()+4),INDIRECT("数出表_Excel【15時】!A"&amp;ROW()+4+1&amp;""),INDIRECT("数出表_Excel【15時】!A"&amp;ROW()+4&amp;"")),"")</f>
        <v/>
      </c>
      <c r="D388" s="209" t="str">
        <f t="array" aca="1" ref="D388" ca="1">IF(B388&lt;&gt;"",
IFERROR(MATCH(TRUE,ISNUMBER(INDIRECT("数出表_Excel【15時】!B"&amp;(A388+4)&amp;":ZZ"&amp;(A388+4))),0)+1,""),"")</f>
        <v/>
      </c>
      <c r="E388" t="str">
        <f ca="1">IF(D388&lt;&gt;"",
OFFSET(数出表_Excel【15時】!$A$1,2,D388-1)
&amp;IFERROR(OFFSET(数出表_Excel【15時】!$A$1,3,D388-1),"")
&amp;IFERROR(OFFSET(数出表_Excel【15時】!$A$1,4,D388-1),""),"")</f>
        <v/>
      </c>
      <c r="F388" t="str">
        <f ca="1">IF(D388&lt;&gt;"",
OFFSET(数出表_Excel【15時】!$A$1,A388+3,D388-1),"")</f>
        <v/>
      </c>
      <c r="G388" t="str">
        <f ca="1">IF(D388&lt;&gt;"",
IF(AND(OFFSET(数出表_Excel【15時】!$A$1,A388+3,D388)&lt;&gt;"",OFFSET(数出表_Excel【15時】!$A$1,A388+3,D388)&lt;&gt;0),
OFFSET(数出表_Excel【15時】!$A$1,A388+3,D388),""),"")</f>
        <v/>
      </c>
      <c r="H388" s="209" t="str">
        <f t="array" aca="1" ref="H388" ca="1">IF(B388&lt;&gt;"",
IFERROR(MATCH(TRUE,ISNUMBER(INDIRECT("数出表_Excel【15時】!"&amp;SUBSTITUTE(ADDRESS(1,D388+2,4),"1","")&amp;(A388+4)&amp;":ZZ"&amp;(A388+4))),0)+D388+1,""),"")</f>
        <v/>
      </c>
      <c r="I388" t="str">
        <f ca="1">IF(H388&lt;&gt;"",
OFFSET(数出表_Excel【15時】!$A$1,2,H388-1)
&amp;IFERROR(OFFSET(数出表_Excel【15時】!$A$1,3,H388-1),"")
&amp;IFERROR(OFFSET(数出表_Excel【15時】!$A$1,4,H388-1),""),"")</f>
        <v/>
      </c>
      <c r="J388" t="str">
        <f ca="1">IF(H388&lt;&gt;"",
OFFSET(数出表_Excel【15時】!$A$1,A388+3,H388-1),"")</f>
        <v/>
      </c>
      <c r="K388" t="str">
        <f ca="1">IF(H388&lt;&gt;"",
IF(AND(OFFSET(数出表_Excel【15時】!$A$1,A388+3,H388)&lt;&gt;"",OFFSET(数出表_Excel【15時】!$A$1,A388+3,H388)&lt;&gt;0),
OFFSET(数出表_Excel【15時】!$A$1,A388+3,H388),""),"")</f>
        <v/>
      </c>
      <c r="L388" s="209" t="str">
        <f t="array" aca="1" ref="L388" ca="1">IF(B388&lt;&gt;"",
IFERROR(MATCH(TRUE,ISNUMBER(INDIRECT("数出表_Excel【15時】!"&amp;SUBSTITUTE(ADDRESS(1,H388+2,4),"1","")&amp;(A388+4)&amp;":ZZ"&amp;(A388+4))),0)+H388+1,""),"")</f>
        <v/>
      </c>
      <c r="M388" t="str">
        <f ca="1">IF(L388&lt;&gt;"",
OFFSET(数出表_Excel【15時】!$A$1,2,L388-1)
&amp;IFERROR(OFFSET(数出表_Excel【15時】!$A$1,3,L388-1),"")
&amp;IFERROR(OFFSET(数出表_Excel【15時】!$A$1,4,L388-1),""),"")</f>
        <v/>
      </c>
      <c r="N388" t="str">
        <f ca="1">IF(L388&lt;&gt;"",
OFFSET(数出表_Excel【15時】!$A$1,A388+3,L388-1),"")</f>
        <v/>
      </c>
      <c r="O388" t="str">
        <f ca="1">IF(L388&lt;&gt;"",
IF(AND(OFFSET(数出表_Excel【15時】!$A$1,A388+3,L388)&lt;&gt;"",OFFSET(数出表_Excel【15時】!$A$1,A388+3,L388)&lt;&gt;0),
OFFSET(数出表_Excel【15時】!$A$1,A388+3,L388),""),"")</f>
        <v/>
      </c>
      <c r="Q388" t="str">
        <f ca="1">IF(C388&lt;&gt;"",
IF(E388&lt;&gt;"",1,0)+IF(I388&lt;&gt;"",1,0)+IF(M388&lt;&gt;"",1,0),"")</f>
        <v/>
      </c>
    </row>
    <row r="389" spans="1:17">
      <c r="A389" t="str">
        <f t="shared" ca="1" si="6"/>
        <v/>
      </c>
      <c r="B389" t="str">
        <f t="array" aca="1" ref="B389" ca="1">IF(OR(COUNTIF(数出表_Excel【15時】!AO392,"*修正*"),COUNTIF(数出表_Excel【15時】!AO393,"*修正*")),
IF(ISEVEN(ROW()+4),INDIRECT("数出表_Excel【15時】!A"&amp;ROW()+4&amp;""),INDIRECT("数出表_Excel【15時】!A"&amp;ROW()+4-1&amp;"")),"")</f>
        <v/>
      </c>
      <c r="C389" t="str">
        <f t="array" aca="1" ref="C389" ca="1">IF(OR(COUNTIF(数出表_Excel【15時】!AO392,"*修正*"),COUNTIF(数出表_Excel【15時】!AO393,"*修正*")),
IF(ISEVEN(ROW()+4),INDIRECT("数出表_Excel【15時】!A"&amp;ROW()+4+1&amp;""),INDIRECT("数出表_Excel【15時】!A"&amp;ROW()+4&amp;"")),"")</f>
        <v/>
      </c>
      <c r="D389" s="209" t="str">
        <f t="array" aca="1" ref="D389" ca="1">IF(B389&lt;&gt;"",
IFERROR(MATCH(TRUE,ISNUMBER(INDIRECT("数出表_Excel【15時】!B"&amp;(A389+4)&amp;":ZZ"&amp;(A389+4))),0)+1,""),"")</f>
        <v/>
      </c>
      <c r="E389" t="str">
        <f ca="1">IF(D389&lt;&gt;"",
OFFSET(数出表_Excel【15時】!$A$1,2,D389-1)
&amp;IFERROR(OFFSET(数出表_Excel【15時】!$A$1,3,D389-1),"")
&amp;IFERROR(OFFSET(数出表_Excel【15時】!$A$1,4,D389-1),""),"")</f>
        <v/>
      </c>
      <c r="F389" t="str">
        <f ca="1">IF(D389&lt;&gt;"",
OFFSET(数出表_Excel【15時】!$A$1,A389+3,D389-1),"")</f>
        <v/>
      </c>
      <c r="G389" t="str">
        <f ca="1">IF(D389&lt;&gt;"",
IF(AND(OFFSET(数出表_Excel【15時】!$A$1,A389+3,D389)&lt;&gt;"",OFFSET(数出表_Excel【15時】!$A$1,A389+3,D389)&lt;&gt;0),
OFFSET(数出表_Excel【15時】!$A$1,A389+3,D389),""),"")</f>
        <v/>
      </c>
      <c r="H389" s="209" t="str">
        <f t="array" aca="1" ref="H389" ca="1">IF(B389&lt;&gt;"",
IFERROR(MATCH(TRUE,ISNUMBER(INDIRECT("数出表_Excel【15時】!"&amp;SUBSTITUTE(ADDRESS(1,D389+2,4),"1","")&amp;(A389+4)&amp;":ZZ"&amp;(A389+4))),0)+D389+1,""),"")</f>
        <v/>
      </c>
      <c r="I389" t="str">
        <f ca="1">IF(H389&lt;&gt;"",
OFFSET(数出表_Excel【15時】!$A$1,2,H389-1)
&amp;IFERROR(OFFSET(数出表_Excel【15時】!$A$1,3,H389-1),"")
&amp;IFERROR(OFFSET(数出表_Excel【15時】!$A$1,4,H389-1),""),"")</f>
        <v/>
      </c>
      <c r="J389" t="str">
        <f ca="1">IF(H389&lt;&gt;"",
OFFSET(数出表_Excel【15時】!$A$1,A389+3,H389-1),"")</f>
        <v/>
      </c>
      <c r="K389" t="str">
        <f ca="1">IF(H389&lt;&gt;"",
IF(AND(OFFSET(数出表_Excel【15時】!$A$1,A389+3,H389)&lt;&gt;"",OFFSET(数出表_Excel【15時】!$A$1,A389+3,H389)&lt;&gt;0),
OFFSET(数出表_Excel【15時】!$A$1,A389+3,H389),""),"")</f>
        <v/>
      </c>
      <c r="L389" s="209" t="str">
        <f t="array" aca="1" ref="L389" ca="1">IF(B389&lt;&gt;"",
IFERROR(MATCH(TRUE,ISNUMBER(INDIRECT("数出表_Excel【15時】!"&amp;SUBSTITUTE(ADDRESS(1,H389+2,4),"1","")&amp;(A389+4)&amp;":ZZ"&amp;(A389+4))),0)+H389+1,""),"")</f>
        <v/>
      </c>
      <c r="M389" t="str">
        <f ca="1">IF(L389&lt;&gt;"",
OFFSET(数出表_Excel【15時】!$A$1,2,L389-1)
&amp;IFERROR(OFFSET(数出表_Excel【15時】!$A$1,3,L389-1),"")
&amp;IFERROR(OFFSET(数出表_Excel【15時】!$A$1,4,L389-1),""),"")</f>
        <v/>
      </c>
      <c r="N389" t="str">
        <f ca="1">IF(L389&lt;&gt;"",
OFFSET(数出表_Excel【15時】!$A$1,A389+3,L389-1),"")</f>
        <v/>
      </c>
      <c r="O389" t="str">
        <f ca="1">IF(L389&lt;&gt;"",
IF(AND(OFFSET(数出表_Excel【15時】!$A$1,A389+3,L389)&lt;&gt;"",OFFSET(数出表_Excel【15時】!$A$1,A389+3,L389)&lt;&gt;0),
OFFSET(数出表_Excel【15時】!$A$1,A389+3,L389),""),"")</f>
        <v/>
      </c>
    </row>
    <row r="390" spans="1:17">
      <c r="A390" t="str">
        <f t="shared" ca="1" si="6"/>
        <v/>
      </c>
      <c r="B390" t="str">
        <f t="array" aca="1" ref="B390" ca="1">IF(OR(COUNTIF(数出表_Excel【15時】!AO394,"*修正*"),COUNTIF(数出表_Excel【15時】!AO395,"*修正*")),
IF(ISEVEN(ROW()+4),INDIRECT("数出表_Excel【15時】!A"&amp;ROW()+4&amp;""),INDIRECT("数出表_Excel【15時】!A"&amp;ROW()+4-1&amp;"")),"")</f>
        <v/>
      </c>
      <c r="C390" t="str">
        <f t="array" aca="1" ref="C390" ca="1">IF(OR(COUNTIF(数出表_Excel【15時】!AO394,"*修正*"),COUNTIF(数出表_Excel【15時】!AO395,"*修正*")),
IF(ISEVEN(ROW()+4),INDIRECT("数出表_Excel【15時】!A"&amp;ROW()+4+1&amp;""),INDIRECT("数出表_Excel【15時】!A"&amp;ROW()+4&amp;"")),"")</f>
        <v/>
      </c>
      <c r="D390" s="209" t="str">
        <f t="array" aca="1" ref="D390" ca="1">IF(B390&lt;&gt;"",
IFERROR(MATCH(TRUE,ISNUMBER(INDIRECT("数出表_Excel【15時】!B"&amp;(A390+4)&amp;":ZZ"&amp;(A390+4))),0)+1,""),"")</f>
        <v/>
      </c>
      <c r="E390" t="str">
        <f ca="1">IF(D390&lt;&gt;"",
OFFSET(数出表_Excel【15時】!$A$1,2,D390-1)
&amp;IFERROR(OFFSET(数出表_Excel【15時】!$A$1,3,D390-1),"")
&amp;IFERROR(OFFSET(数出表_Excel【15時】!$A$1,4,D390-1),""),"")</f>
        <v/>
      </c>
      <c r="F390" t="str">
        <f ca="1">IF(D390&lt;&gt;"",
OFFSET(数出表_Excel【15時】!$A$1,A390+3,D390-1),"")</f>
        <v/>
      </c>
      <c r="G390" t="str">
        <f ca="1">IF(D390&lt;&gt;"",
IF(AND(OFFSET(数出表_Excel【15時】!$A$1,A390+3,D390)&lt;&gt;"",OFFSET(数出表_Excel【15時】!$A$1,A390+3,D390)&lt;&gt;0),
OFFSET(数出表_Excel【15時】!$A$1,A390+3,D390),""),"")</f>
        <v/>
      </c>
      <c r="H390" s="209" t="str">
        <f t="array" aca="1" ref="H390" ca="1">IF(B390&lt;&gt;"",
IFERROR(MATCH(TRUE,ISNUMBER(INDIRECT("数出表_Excel【15時】!"&amp;SUBSTITUTE(ADDRESS(1,D390+2,4),"1","")&amp;(A390+4)&amp;":ZZ"&amp;(A390+4))),0)+D390+1,""),"")</f>
        <v/>
      </c>
      <c r="I390" t="str">
        <f ca="1">IF(H390&lt;&gt;"",
OFFSET(数出表_Excel【15時】!$A$1,2,H390-1)
&amp;IFERROR(OFFSET(数出表_Excel【15時】!$A$1,3,H390-1),"")
&amp;IFERROR(OFFSET(数出表_Excel【15時】!$A$1,4,H390-1),""),"")</f>
        <v/>
      </c>
      <c r="J390" t="str">
        <f ca="1">IF(H390&lt;&gt;"",
OFFSET(数出表_Excel【15時】!$A$1,A390+3,H390-1),"")</f>
        <v/>
      </c>
      <c r="K390" t="str">
        <f ca="1">IF(H390&lt;&gt;"",
IF(AND(OFFSET(数出表_Excel【15時】!$A$1,A390+3,H390)&lt;&gt;"",OFFSET(数出表_Excel【15時】!$A$1,A390+3,H390)&lt;&gt;0),
OFFSET(数出表_Excel【15時】!$A$1,A390+3,H390),""),"")</f>
        <v/>
      </c>
      <c r="L390" s="209" t="str">
        <f t="array" aca="1" ref="L390" ca="1">IF(B390&lt;&gt;"",
IFERROR(MATCH(TRUE,ISNUMBER(INDIRECT("数出表_Excel【15時】!"&amp;SUBSTITUTE(ADDRESS(1,H390+2,4),"1","")&amp;(A390+4)&amp;":ZZ"&amp;(A390+4))),0)+H390+1,""),"")</f>
        <v/>
      </c>
      <c r="M390" t="str">
        <f ca="1">IF(L390&lt;&gt;"",
OFFSET(数出表_Excel【15時】!$A$1,2,L390-1)
&amp;IFERROR(OFFSET(数出表_Excel【15時】!$A$1,3,L390-1),"")
&amp;IFERROR(OFFSET(数出表_Excel【15時】!$A$1,4,L390-1),""),"")</f>
        <v/>
      </c>
      <c r="N390" t="str">
        <f ca="1">IF(L390&lt;&gt;"",
OFFSET(数出表_Excel【15時】!$A$1,A390+3,L390-1),"")</f>
        <v/>
      </c>
      <c r="O390" t="str">
        <f ca="1">IF(L390&lt;&gt;"",
IF(AND(OFFSET(数出表_Excel【15時】!$A$1,A390+3,L390)&lt;&gt;"",OFFSET(数出表_Excel【15時】!$A$1,A390+3,L390)&lt;&gt;0),
OFFSET(数出表_Excel【15時】!$A$1,A390+3,L390),""),"")</f>
        <v/>
      </c>
      <c r="Q390" t="str">
        <f ca="1">IF(C390&lt;&gt;"",
IF(E390&lt;&gt;"",1,0)+IF(I390&lt;&gt;"",1,0)+IF(M390&lt;&gt;"",1,0),"")</f>
        <v/>
      </c>
    </row>
    <row r="391" spans="1:17">
      <c r="A391" t="str">
        <f t="shared" ca="1" si="6"/>
        <v/>
      </c>
      <c r="B391" t="str">
        <f t="array" aca="1" ref="B391" ca="1">IF(OR(COUNTIF(数出表_Excel【15時】!AO394,"*修正*"),COUNTIF(数出表_Excel【15時】!AO395,"*修正*")),
IF(ISEVEN(ROW()+4),INDIRECT("数出表_Excel【15時】!A"&amp;ROW()+4&amp;""),INDIRECT("数出表_Excel【15時】!A"&amp;ROW()+4-1&amp;"")),"")</f>
        <v/>
      </c>
      <c r="C391" t="str">
        <f t="array" aca="1" ref="C391" ca="1">IF(OR(COUNTIF(数出表_Excel【15時】!AO394,"*修正*"),COUNTIF(数出表_Excel【15時】!AO395,"*修正*")),
IF(ISEVEN(ROW()+4),INDIRECT("数出表_Excel【15時】!A"&amp;ROW()+4+1&amp;""),INDIRECT("数出表_Excel【15時】!A"&amp;ROW()+4&amp;"")),"")</f>
        <v/>
      </c>
      <c r="D391" s="209" t="str">
        <f t="array" aca="1" ref="D391" ca="1">IF(B391&lt;&gt;"",
IFERROR(MATCH(TRUE,ISNUMBER(INDIRECT("数出表_Excel【15時】!B"&amp;(A391+4)&amp;":ZZ"&amp;(A391+4))),0)+1,""),"")</f>
        <v/>
      </c>
      <c r="E391" t="str">
        <f ca="1">IF(D391&lt;&gt;"",
OFFSET(数出表_Excel【15時】!$A$1,2,D391-1)
&amp;IFERROR(OFFSET(数出表_Excel【15時】!$A$1,3,D391-1),"")
&amp;IFERROR(OFFSET(数出表_Excel【15時】!$A$1,4,D391-1),""),"")</f>
        <v/>
      </c>
      <c r="F391" t="str">
        <f ca="1">IF(D391&lt;&gt;"",
OFFSET(数出表_Excel【15時】!$A$1,A391+3,D391-1),"")</f>
        <v/>
      </c>
      <c r="G391" t="str">
        <f ca="1">IF(D391&lt;&gt;"",
IF(AND(OFFSET(数出表_Excel【15時】!$A$1,A391+3,D391)&lt;&gt;"",OFFSET(数出表_Excel【15時】!$A$1,A391+3,D391)&lt;&gt;0),
OFFSET(数出表_Excel【15時】!$A$1,A391+3,D391),""),"")</f>
        <v/>
      </c>
      <c r="H391" s="209" t="str">
        <f t="array" aca="1" ref="H391" ca="1">IF(B391&lt;&gt;"",
IFERROR(MATCH(TRUE,ISNUMBER(INDIRECT("数出表_Excel【15時】!"&amp;SUBSTITUTE(ADDRESS(1,D391+2,4),"1","")&amp;(A391+4)&amp;":ZZ"&amp;(A391+4))),0)+D391+1,""),"")</f>
        <v/>
      </c>
      <c r="I391" t="str">
        <f ca="1">IF(H391&lt;&gt;"",
OFFSET(数出表_Excel【15時】!$A$1,2,H391-1)
&amp;IFERROR(OFFSET(数出表_Excel【15時】!$A$1,3,H391-1),"")
&amp;IFERROR(OFFSET(数出表_Excel【15時】!$A$1,4,H391-1),""),"")</f>
        <v/>
      </c>
      <c r="J391" t="str">
        <f ca="1">IF(H391&lt;&gt;"",
OFFSET(数出表_Excel【15時】!$A$1,A391+3,H391-1),"")</f>
        <v/>
      </c>
      <c r="K391" t="str">
        <f ca="1">IF(H391&lt;&gt;"",
IF(AND(OFFSET(数出表_Excel【15時】!$A$1,A391+3,H391)&lt;&gt;"",OFFSET(数出表_Excel【15時】!$A$1,A391+3,H391)&lt;&gt;0),
OFFSET(数出表_Excel【15時】!$A$1,A391+3,H391),""),"")</f>
        <v/>
      </c>
      <c r="L391" s="209" t="str">
        <f t="array" aca="1" ref="L391" ca="1">IF(B391&lt;&gt;"",
IFERROR(MATCH(TRUE,ISNUMBER(INDIRECT("数出表_Excel【15時】!"&amp;SUBSTITUTE(ADDRESS(1,H391+2,4),"1","")&amp;(A391+4)&amp;":ZZ"&amp;(A391+4))),0)+H391+1,""),"")</f>
        <v/>
      </c>
      <c r="M391" t="str">
        <f ca="1">IF(L391&lt;&gt;"",
OFFSET(数出表_Excel【15時】!$A$1,2,L391-1)
&amp;IFERROR(OFFSET(数出表_Excel【15時】!$A$1,3,L391-1),"")
&amp;IFERROR(OFFSET(数出表_Excel【15時】!$A$1,4,L391-1),""),"")</f>
        <v/>
      </c>
      <c r="N391" t="str">
        <f ca="1">IF(L391&lt;&gt;"",
OFFSET(数出表_Excel【15時】!$A$1,A391+3,L391-1),"")</f>
        <v/>
      </c>
      <c r="O391" t="str">
        <f ca="1">IF(L391&lt;&gt;"",
IF(AND(OFFSET(数出表_Excel【15時】!$A$1,A391+3,L391)&lt;&gt;"",OFFSET(数出表_Excel【15時】!$A$1,A391+3,L391)&lt;&gt;0),
OFFSET(数出表_Excel【15時】!$A$1,A391+3,L391),""),"")</f>
        <v/>
      </c>
    </row>
    <row r="392" spans="1:17">
      <c r="A392" t="str">
        <f t="shared" ca="1" si="6"/>
        <v/>
      </c>
      <c r="B392" t="str">
        <f t="array" aca="1" ref="B392" ca="1">IF(OR(COUNTIF(数出表_Excel【15時】!AO396,"*修正*"),COUNTIF(数出表_Excel【15時】!AO397,"*修正*")),
IF(ISEVEN(ROW()+4),INDIRECT("数出表_Excel【15時】!A"&amp;ROW()+4&amp;""),INDIRECT("数出表_Excel【15時】!A"&amp;ROW()+4-1&amp;"")),"")</f>
        <v/>
      </c>
      <c r="C392" t="str">
        <f t="array" aca="1" ref="C392" ca="1">IF(OR(COUNTIF(数出表_Excel【15時】!AO396,"*修正*"),COUNTIF(数出表_Excel【15時】!AO397,"*修正*")),
IF(ISEVEN(ROW()+4),INDIRECT("数出表_Excel【15時】!A"&amp;ROW()+4+1&amp;""),INDIRECT("数出表_Excel【15時】!A"&amp;ROW()+4&amp;"")),"")</f>
        <v/>
      </c>
      <c r="D392" s="209" t="str">
        <f t="array" aca="1" ref="D392" ca="1">IF(B392&lt;&gt;"",
IFERROR(MATCH(TRUE,ISNUMBER(INDIRECT("数出表_Excel【15時】!B"&amp;(A392+4)&amp;":ZZ"&amp;(A392+4))),0)+1,""),"")</f>
        <v/>
      </c>
      <c r="E392" t="str">
        <f ca="1">IF(D392&lt;&gt;"",
OFFSET(数出表_Excel【15時】!$A$1,2,D392-1)
&amp;IFERROR(OFFSET(数出表_Excel【15時】!$A$1,3,D392-1),"")
&amp;IFERROR(OFFSET(数出表_Excel【15時】!$A$1,4,D392-1),""),"")</f>
        <v/>
      </c>
      <c r="F392" t="str">
        <f ca="1">IF(D392&lt;&gt;"",
OFFSET(数出表_Excel【15時】!$A$1,A392+3,D392-1),"")</f>
        <v/>
      </c>
      <c r="G392" t="str">
        <f ca="1">IF(D392&lt;&gt;"",
IF(AND(OFFSET(数出表_Excel【15時】!$A$1,A392+3,D392)&lt;&gt;"",OFFSET(数出表_Excel【15時】!$A$1,A392+3,D392)&lt;&gt;0),
OFFSET(数出表_Excel【15時】!$A$1,A392+3,D392),""),"")</f>
        <v/>
      </c>
      <c r="H392" s="209" t="str">
        <f t="array" aca="1" ref="H392" ca="1">IF(B392&lt;&gt;"",
IFERROR(MATCH(TRUE,ISNUMBER(INDIRECT("数出表_Excel【15時】!"&amp;SUBSTITUTE(ADDRESS(1,D392+2,4),"1","")&amp;(A392+4)&amp;":ZZ"&amp;(A392+4))),0)+D392+1,""),"")</f>
        <v/>
      </c>
      <c r="I392" t="str">
        <f ca="1">IF(H392&lt;&gt;"",
OFFSET(数出表_Excel【15時】!$A$1,2,H392-1)
&amp;IFERROR(OFFSET(数出表_Excel【15時】!$A$1,3,H392-1),"")
&amp;IFERROR(OFFSET(数出表_Excel【15時】!$A$1,4,H392-1),""),"")</f>
        <v/>
      </c>
      <c r="J392" t="str">
        <f ca="1">IF(H392&lt;&gt;"",
OFFSET(数出表_Excel【15時】!$A$1,A392+3,H392-1),"")</f>
        <v/>
      </c>
      <c r="K392" t="str">
        <f ca="1">IF(H392&lt;&gt;"",
IF(AND(OFFSET(数出表_Excel【15時】!$A$1,A392+3,H392)&lt;&gt;"",OFFSET(数出表_Excel【15時】!$A$1,A392+3,H392)&lt;&gt;0),
OFFSET(数出表_Excel【15時】!$A$1,A392+3,H392),""),"")</f>
        <v/>
      </c>
      <c r="L392" s="209" t="str">
        <f t="array" aca="1" ref="L392" ca="1">IF(B392&lt;&gt;"",
IFERROR(MATCH(TRUE,ISNUMBER(INDIRECT("数出表_Excel【15時】!"&amp;SUBSTITUTE(ADDRESS(1,H392+2,4),"1","")&amp;(A392+4)&amp;":ZZ"&amp;(A392+4))),0)+H392+1,""),"")</f>
        <v/>
      </c>
      <c r="M392" t="str">
        <f ca="1">IF(L392&lt;&gt;"",
OFFSET(数出表_Excel【15時】!$A$1,2,L392-1)
&amp;IFERROR(OFFSET(数出表_Excel【15時】!$A$1,3,L392-1),"")
&amp;IFERROR(OFFSET(数出表_Excel【15時】!$A$1,4,L392-1),""),"")</f>
        <v/>
      </c>
      <c r="N392" t="str">
        <f ca="1">IF(L392&lt;&gt;"",
OFFSET(数出表_Excel【15時】!$A$1,A392+3,L392-1),"")</f>
        <v/>
      </c>
      <c r="O392" t="str">
        <f ca="1">IF(L392&lt;&gt;"",
IF(AND(OFFSET(数出表_Excel【15時】!$A$1,A392+3,L392)&lt;&gt;"",OFFSET(数出表_Excel【15時】!$A$1,A392+3,L392)&lt;&gt;0),
OFFSET(数出表_Excel【15時】!$A$1,A392+3,L392),""),"")</f>
        <v/>
      </c>
      <c r="Q392" t="str">
        <f ca="1">IF(C392&lt;&gt;"",
IF(E392&lt;&gt;"",1,0)+IF(I392&lt;&gt;"",1,0)+IF(M392&lt;&gt;"",1,0),"")</f>
        <v/>
      </c>
    </row>
    <row r="393" spans="1:17">
      <c r="A393" t="str">
        <f t="shared" ca="1" si="6"/>
        <v/>
      </c>
      <c r="B393" t="str">
        <f t="array" aca="1" ref="B393" ca="1">IF(OR(COUNTIF(数出表_Excel【15時】!AO396,"*修正*"),COUNTIF(数出表_Excel【15時】!AO397,"*修正*")),
IF(ISEVEN(ROW()+4),INDIRECT("数出表_Excel【15時】!A"&amp;ROW()+4&amp;""),INDIRECT("数出表_Excel【15時】!A"&amp;ROW()+4-1&amp;"")),"")</f>
        <v/>
      </c>
      <c r="C393" t="str">
        <f t="array" aca="1" ref="C393" ca="1">IF(OR(COUNTIF(数出表_Excel【15時】!AO396,"*修正*"),COUNTIF(数出表_Excel【15時】!AO397,"*修正*")),
IF(ISEVEN(ROW()+4),INDIRECT("数出表_Excel【15時】!A"&amp;ROW()+4+1&amp;""),INDIRECT("数出表_Excel【15時】!A"&amp;ROW()+4&amp;"")),"")</f>
        <v/>
      </c>
      <c r="D393" s="209" t="str">
        <f t="array" aca="1" ref="D393" ca="1">IF(B393&lt;&gt;"",
IFERROR(MATCH(TRUE,ISNUMBER(INDIRECT("数出表_Excel【15時】!B"&amp;(A393+4)&amp;":ZZ"&amp;(A393+4))),0)+1,""),"")</f>
        <v/>
      </c>
      <c r="E393" t="str">
        <f ca="1">IF(D393&lt;&gt;"",
OFFSET(数出表_Excel【15時】!$A$1,2,D393-1)
&amp;IFERROR(OFFSET(数出表_Excel【15時】!$A$1,3,D393-1),"")
&amp;IFERROR(OFFSET(数出表_Excel【15時】!$A$1,4,D393-1),""),"")</f>
        <v/>
      </c>
      <c r="F393" t="str">
        <f ca="1">IF(D393&lt;&gt;"",
OFFSET(数出表_Excel【15時】!$A$1,A393+3,D393-1),"")</f>
        <v/>
      </c>
      <c r="G393" t="str">
        <f ca="1">IF(D393&lt;&gt;"",
IF(AND(OFFSET(数出表_Excel【15時】!$A$1,A393+3,D393)&lt;&gt;"",OFFSET(数出表_Excel【15時】!$A$1,A393+3,D393)&lt;&gt;0),
OFFSET(数出表_Excel【15時】!$A$1,A393+3,D393),""),"")</f>
        <v/>
      </c>
      <c r="H393" s="209" t="str">
        <f t="array" aca="1" ref="H393" ca="1">IF(B393&lt;&gt;"",
IFERROR(MATCH(TRUE,ISNUMBER(INDIRECT("数出表_Excel【15時】!"&amp;SUBSTITUTE(ADDRESS(1,D393+2,4),"1","")&amp;(A393+4)&amp;":ZZ"&amp;(A393+4))),0)+D393+1,""),"")</f>
        <v/>
      </c>
      <c r="I393" t="str">
        <f ca="1">IF(H393&lt;&gt;"",
OFFSET(数出表_Excel【15時】!$A$1,2,H393-1)
&amp;IFERROR(OFFSET(数出表_Excel【15時】!$A$1,3,H393-1),"")
&amp;IFERROR(OFFSET(数出表_Excel【15時】!$A$1,4,H393-1),""),"")</f>
        <v/>
      </c>
      <c r="J393" t="str">
        <f ca="1">IF(H393&lt;&gt;"",
OFFSET(数出表_Excel【15時】!$A$1,A393+3,H393-1),"")</f>
        <v/>
      </c>
      <c r="K393" t="str">
        <f ca="1">IF(H393&lt;&gt;"",
IF(AND(OFFSET(数出表_Excel【15時】!$A$1,A393+3,H393)&lt;&gt;"",OFFSET(数出表_Excel【15時】!$A$1,A393+3,H393)&lt;&gt;0),
OFFSET(数出表_Excel【15時】!$A$1,A393+3,H393),""),"")</f>
        <v/>
      </c>
      <c r="L393" s="209" t="str">
        <f t="array" aca="1" ref="L393" ca="1">IF(B393&lt;&gt;"",
IFERROR(MATCH(TRUE,ISNUMBER(INDIRECT("数出表_Excel【15時】!"&amp;SUBSTITUTE(ADDRESS(1,H393+2,4),"1","")&amp;(A393+4)&amp;":ZZ"&amp;(A393+4))),0)+H393+1,""),"")</f>
        <v/>
      </c>
      <c r="M393" t="str">
        <f ca="1">IF(L393&lt;&gt;"",
OFFSET(数出表_Excel【15時】!$A$1,2,L393-1)
&amp;IFERROR(OFFSET(数出表_Excel【15時】!$A$1,3,L393-1),"")
&amp;IFERROR(OFFSET(数出表_Excel【15時】!$A$1,4,L393-1),""),"")</f>
        <v/>
      </c>
      <c r="N393" t="str">
        <f ca="1">IF(L393&lt;&gt;"",
OFFSET(数出表_Excel【15時】!$A$1,A393+3,L393-1),"")</f>
        <v/>
      </c>
      <c r="O393" t="str">
        <f ca="1">IF(L393&lt;&gt;"",
IF(AND(OFFSET(数出表_Excel【15時】!$A$1,A393+3,L393)&lt;&gt;"",OFFSET(数出表_Excel【15時】!$A$1,A393+3,L393)&lt;&gt;0),
OFFSET(数出表_Excel【15時】!$A$1,A393+3,L393),""),"")</f>
        <v/>
      </c>
    </row>
    <row r="394" spans="1:17">
      <c r="A394" t="str">
        <f t="shared" ca="1" si="6"/>
        <v/>
      </c>
      <c r="B394" t="str">
        <f t="array" aca="1" ref="B394" ca="1">IF(OR(COUNTIF(数出表_Excel【15時】!AO398,"*修正*"),COUNTIF(数出表_Excel【15時】!AO399,"*修正*")),
IF(ISEVEN(ROW()+4),INDIRECT("数出表_Excel【15時】!A"&amp;ROW()+4&amp;""),INDIRECT("数出表_Excel【15時】!A"&amp;ROW()+4-1&amp;"")),"")</f>
        <v/>
      </c>
      <c r="C394" t="str">
        <f t="array" aca="1" ref="C394" ca="1">IF(OR(COUNTIF(数出表_Excel【15時】!AO398,"*修正*"),COUNTIF(数出表_Excel【15時】!AO399,"*修正*")),
IF(ISEVEN(ROW()+4),INDIRECT("数出表_Excel【15時】!A"&amp;ROW()+4+1&amp;""),INDIRECT("数出表_Excel【15時】!A"&amp;ROW()+4&amp;"")),"")</f>
        <v/>
      </c>
      <c r="D394" s="209" t="str">
        <f t="array" aca="1" ref="D394" ca="1">IF(B394&lt;&gt;"",
IFERROR(MATCH(TRUE,ISNUMBER(INDIRECT("数出表_Excel【15時】!B"&amp;(A394+4)&amp;":ZZ"&amp;(A394+4))),0)+1,""),"")</f>
        <v/>
      </c>
      <c r="E394" t="str">
        <f ca="1">IF(D394&lt;&gt;"",
OFFSET(数出表_Excel【15時】!$A$1,2,D394-1)
&amp;IFERROR(OFFSET(数出表_Excel【15時】!$A$1,3,D394-1),"")
&amp;IFERROR(OFFSET(数出表_Excel【15時】!$A$1,4,D394-1),""),"")</f>
        <v/>
      </c>
      <c r="F394" t="str">
        <f ca="1">IF(D394&lt;&gt;"",
OFFSET(数出表_Excel【15時】!$A$1,A394+3,D394-1),"")</f>
        <v/>
      </c>
      <c r="G394" t="str">
        <f ca="1">IF(D394&lt;&gt;"",
IF(AND(OFFSET(数出表_Excel【15時】!$A$1,A394+3,D394)&lt;&gt;"",OFFSET(数出表_Excel【15時】!$A$1,A394+3,D394)&lt;&gt;0),
OFFSET(数出表_Excel【15時】!$A$1,A394+3,D394),""),"")</f>
        <v/>
      </c>
      <c r="H394" s="209" t="str">
        <f t="array" aca="1" ref="H394" ca="1">IF(B394&lt;&gt;"",
IFERROR(MATCH(TRUE,ISNUMBER(INDIRECT("数出表_Excel【15時】!"&amp;SUBSTITUTE(ADDRESS(1,D394+2,4),"1","")&amp;(A394+4)&amp;":ZZ"&amp;(A394+4))),0)+D394+1,""),"")</f>
        <v/>
      </c>
      <c r="I394" t="str">
        <f ca="1">IF(H394&lt;&gt;"",
OFFSET(数出表_Excel【15時】!$A$1,2,H394-1)
&amp;IFERROR(OFFSET(数出表_Excel【15時】!$A$1,3,H394-1),"")
&amp;IFERROR(OFFSET(数出表_Excel【15時】!$A$1,4,H394-1),""),"")</f>
        <v/>
      </c>
      <c r="J394" t="str">
        <f ca="1">IF(H394&lt;&gt;"",
OFFSET(数出表_Excel【15時】!$A$1,A394+3,H394-1),"")</f>
        <v/>
      </c>
      <c r="K394" t="str">
        <f ca="1">IF(H394&lt;&gt;"",
IF(AND(OFFSET(数出表_Excel【15時】!$A$1,A394+3,H394)&lt;&gt;"",OFFSET(数出表_Excel【15時】!$A$1,A394+3,H394)&lt;&gt;0),
OFFSET(数出表_Excel【15時】!$A$1,A394+3,H394),""),"")</f>
        <v/>
      </c>
      <c r="L394" s="209" t="str">
        <f t="array" aca="1" ref="L394" ca="1">IF(B394&lt;&gt;"",
IFERROR(MATCH(TRUE,ISNUMBER(INDIRECT("数出表_Excel【15時】!"&amp;SUBSTITUTE(ADDRESS(1,H394+2,4),"1","")&amp;(A394+4)&amp;":ZZ"&amp;(A394+4))),0)+H394+1,""),"")</f>
        <v/>
      </c>
      <c r="M394" t="str">
        <f ca="1">IF(L394&lt;&gt;"",
OFFSET(数出表_Excel【15時】!$A$1,2,L394-1)
&amp;IFERROR(OFFSET(数出表_Excel【15時】!$A$1,3,L394-1),"")
&amp;IFERROR(OFFSET(数出表_Excel【15時】!$A$1,4,L394-1),""),"")</f>
        <v/>
      </c>
      <c r="N394" t="str">
        <f ca="1">IF(L394&lt;&gt;"",
OFFSET(数出表_Excel【15時】!$A$1,A394+3,L394-1),"")</f>
        <v/>
      </c>
      <c r="O394" t="str">
        <f ca="1">IF(L394&lt;&gt;"",
IF(AND(OFFSET(数出表_Excel【15時】!$A$1,A394+3,L394)&lt;&gt;"",OFFSET(数出表_Excel【15時】!$A$1,A394+3,L394)&lt;&gt;0),
OFFSET(数出表_Excel【15時】!$A$1,A394+3,L394),""),"")</f>
        <v/>
      </c>
      <c r="Q394" t="str">
        <f ca="1">IF(C394&lt;&gt;"",
IF(E394&lt;&gt;"",1,0)+IF(I394&lt;&gt;"",1,0)+IF(M394&lt;&gt;"",1,0),"")</f>
        <v/>
      </c>
    </row>
    <row r="395" spans="1:17">
      <c r="A395" t="str">
        <f t="shared" ca="1" si="6"/>
        <v/>
      </c>
      <c r="B395" t="str">
        <f t="array" aca="1" ref="B395" ca="1">IF(OR(COUNTIF(数出表_Excel【15時】!AO398,"*修正*"),COUNTIF(数出表_Excel【15時】!AO399,"*修正*")),
IF(ISEVEN(ROW()+4),INDIRECT("数出表_Excel【15時】!A"&amp;ROW()+4&amp;""),INDIRECT("数出表_Excel【15時】!A"&amp;ROW()+4-1&amp;"")),"")</f>
        <v/>
      </c>
      <c r="C395" t="str">
        <f t="array" aca="1" ref="C395" ca="1">IF(OR(COUNTIF(数出表_Excel【15時】!AO398,"*修正*"),COUNTIF(数出表_Excel【15時】!AO399,"*修正*")),
IF(ISEVEN(ROW()+4),INDIRECT("数出表_Excel【15時】!A"&amp;ROW()+4+1&amp;""),INDIRECT("数出表_Excel【15時】!A"&amp;ROW()+4&amp;"")),"")</f>
        <v/>
      </c>
      <c r="D395" s="209" t="str">
        <f t="array" aca="1" ref="D395" ca="1">IF(B395&lt;&gt;"",
IFERROR(MATCH(TRUE,ISNUMBER(INDIRECT("数出表_Excel【15時】!B"&amp;(A395+4)&amp;":ZZ"&amp;(A395+4))),0)+1,""),"")</f>
        <v/>
      </c>
      <c r="E395" t="str">
        <f ca="1">IF(D395&lt;&gt;"",
OFFSET(数出表_Excel【15時】!$A$1,2,D395-1)
&amp;IFERROR(OFFSET(数出表_Excel【15時】!$A$1,3,D395-1),"")
&amp;IFERROR(OFFSET(数出表_Excel【15時】!$A$1,4,D395-1),""),"")</f>
        <v/>
      </c>
      <c r="F395" t="str">
        <f ca="1">IF(D395&lt;&gt;"",
OFFSET(数出表_Excel【15時】!$A$1,A395+3,D395-1),"")</f>
        <v/>
      </c>
      <c r="G395" t="str">
        <f ca="1">IF(D395&lt;&gt;"",
IF(AND(OFFSET(数出表_Excel【15時】!$A$1,A395+3,D395)&lt;&gt;"",OFFSET(数出表_Excel【15時】!$A$1,A395+3,D395)&lt;&gt;0),
OFFSET(数出表_Excel【15時】!$A$1,A395+3,D395),""),"")</f>
        <v/>
      </c>
      <c r="H395" s="209" t="str">
        <f t="array" aca="1" ref="H395" ca="1">IF(B395&lt;&gt;"",
IFERROR(MATCH(TRUE,ISNUMBER(INDIRECT("数出表_Excel【15時】!"&amp;SUBSTITUTE(ADDRESS(1,D395+2,4),"1","")&amp;(A395+4)&amp;":ZZ"&amp;(A395+4))),0)+D395+1,""),"")</f>
        <v/>
      </c>
      <c r="I395" t="str">
        <f ca="1">IF(H395&lt;&gt;"",
OFFSET(数出表_Excel【15時】!$A$1,2,H395-1)
&amp;IFERROR(OFFSET(数出表_Excel【15時】!$A$1,3,H395-1),"")
&amp;IFERROR(OFFSET(数出表_Excel【15時】!$A$1,4,H395-1),""),"")</f>
        <v/>
      </c>
      <c r="J395" t="str">
        <f ca="1">IF(H395&lt;&gt;"",
OFFSET(数出表_Excel【15時】!$A$1,A395+3,H395-1),"")</f>
        <v/>
      </c>
      <c r="K395" t="str">
        <f ca="1">IF(H395&lt;&gt;"",
IF(AND(OFFSET(数出表_Excel【15時】!$A$1,A395+3,H395)&lt;&gt;"",OFFSET(数出表_Excel【15時】!$A$1,A395+3,H395)&lt;&gt;0),
OFFSET(数出表_Excel【15時】!$A$1,A395+3,H395),""),"")</f>
        <v/>
      </c>
      <c r="L395" s="209" t="str">
        <f t="array" aca="1" ref="L395" ca="1">IF(B395&lt;&gt;"",
IFERROR(MATCH(TRUE,ISNUMBER(INDIRECT("数出表_Excel【15時】!"&amp;SUBSTITUTE(ADDRESS(1,H395+2,4),"1","")&amp;(A395+4)&amp;":ZZ"&amp;(A395+4))),0)+H395+1,""),"")</f>
        <v/>
      </c>
      <c r="M395" t="str">
        <f ca="1">IF(L395&lt;&gt;"",
OFFSET(数出表_Excel【15時】!$A$1,2,L395-1)
&amp;IFERROR(OFFSET(数出表_Excel【15時】!$A$1,3,L395-1),"")
&amp;IFERROR(OFFSET(数出表_Excel【15時】!$A$1,4,L395-1),""),"")</f>
        <v/>
      </c>
      <c r="N395" t="str">
        <f ca="1">IF(L395&lt;&gt;"",
OFFSET(数出表_Excel【15時】!$A$1,A395+3,L395-1),"")</f>
        <v/>
      </c>
      <c r="O395" t="str">
        <f ca="1">IF(L395&lt;&gt;"",
IF(AND(OFFSET(数出表_Excel【15時】!$A$1,A395+3,L395)&lt;&gt;"",OFFSET(数出表_Excel【15時】!$A$1,A395+3,L395)&lt;&gt;0),
OFFSET(数出表_Excel【15時】!$A$1,A395+3,L395),""),"")</f>
        <v/>
      </c>
    </row>
    <row r="396" spans="1:17">
      <c r="A396" t="str">
        <f t="shared" ca="1" si="6"/>
        <v/>
      </c>
      <c r="B396" t="str">
        <f t="array" aca="1" ref="B396" ca="1">IF(OR(COUNTIF(数出表_Excel【15時】!AO400,"*修正*"),COUNTIF(数出表_Excel【15時】!AO401,"*修正*")),
IF(ISEVEN(ROW()+4),INDIRECT("数出表_Excel【15時】!A"&amp;ROW()+4&amp;""),INDIRECT("数出表_Excel【15時】!A"&amp;ROW()+4-1&amp;"")),"")</f>
        <v/>
      </c>
      <c r="C396" t="str">
        <f t="array" aca="1" ref="C396" ca="1">IF(OR(COUNTIF(数出表_Excel【15時】!AO400,"*修正*"),COUNTIF(数出表_Excel【15時】!AO401,"*修正*")),
IF(ISEVEN(ROW()+4),INDIRECT("数出表_Excel【15時】!A"&amp;ROW()+4+1&amp;""),INDIRECT("数出表_Excel【15時】!A"&amp;ROW()+4&amp;"")),"")</f>
        <v/>
      </c>
      <c r="D396" s="209" t="str">
        <f t="array" aca="1" ref="D396" ca="1">IF(B396&lt;&gt;"",
IFERROR(MATCH(TRUE,ISNUMBER(INDIRECT("数出表_Excel【15時】!B"&amp;(A396+4)&amp;":ZZ"&amp;(A396+4))),0)+1,""),"")</f>
        <v/>
      </c>
      <c r="E396" t="str">
        <f ca="1">IF(D396&lt;&gt;"",
OFFSET(数出表_Excel【15時】!$A$1,2,D396-1)
&amp;IFERROR(OFFSET(数出表_Excel【15時】!$A$1,3,D396-1),"")
&amp;IFERROR(OFFSET(数出表_Excel【15時】!$A$1,4,D396-1),""),"")</f>
        <v/>
      </c>
      <c r="F396" t="str">
        <f ca="1">IF(D396&lt;&gt;"",
OFFSET(数出表_Excel【15時】!$A$1,A396+3,D396-1),"")</f>
        <v/>
      </c>
      <c r="G396" t="str">
        <f ca="1">IF(D396&lt;&gt;"",
IF(AND(OFFSET(数出表_Excel【15時】!$A$1,A396+3,D396)&lt;&gt;"",OFFSET(数出表_Excel【15時】!$A$1,A396+3,D396)&lt;&gt;0),
OFFSET(数出表_Excel【15時】!$A$1,A396+3,D396),""),"")</f>
        <v/>
      </c>
      <c r="H396" s="209" t="str">
        <f t="array" aca="1" ref="H396" ca="1">IF(B396&lt;&gt;"",
IFERROR(MATCH(TRUE,ISNUMBER(INDIRECT("数出表_Excel【15時】!"&amp;SUBSTITUTE(ADDRESS(1,D396+2,4),"1","")&amp;(A396+4)&amp;":ZZ"&amp;(A396+4))),0)+D396+1,""),"")</f>
        <v/>
      </c>
      <c r="I396" t="str">
        <f ca="1">IF(H396&lt;&gt;"",
OFFSET(数出表_Excel【15時】!$A$1,2,H396-1)
&amp;IFERROR(OFFSET(数出表_Excel【15時】!$A$1,3,H396-1),"")
&amp;IFERROR(OFFSET(数出表_Excel【15時】!$A$1,4,H396-1),""),"")</f>
        <v/>
      </c>
      <c r="J396" t="str">
        <f ca="1">IF(H396&lt;&gt;"",
OFFSET(数出表_Excel【15時】!$A$1,A396+3,H396-1),"")</f>
        <v/>
      </c>
      <c r="K396" t="str">
        <f ca="1">IF(H396&lt;&gt;"",
IF(AND(OFFSET(数出表_Excel【15時】!$A$1,A396+3,H396)&lt;&gt;"",OFFSET(数出表_Excel【15時】!$A$1,A396+3,H396)&lt;&gt;0),
OFFSET(数出表_Excel【15時】!$A$1,A396+3,H396),""),"")</f>
        <v/>
      </c>
      <c r="L396" s="209" t="str">
        <f t="array" aca="1" ref="L396" ca="1">IF(B396&lt;&gt;"",
IFERROR(MATCH(TRUE,ISNUMBER(INDIRECT("数出表_Excel【15時】!"&amp;SUBSTITUTE(ADDRESS(1,H396+2,4),"1","")&amp;(A396+4)&amp;":ZZ"&amp;(A396+4))),0)+H396+1,""),"")</f>
        <v/>
      </c>
      <c r="M396" t="str">
        <f ca="1">IF(L396&lt;&gt;"",
OFFSET(数出表_Excel【15時】!$A$1,2,L396-1)
&amp;IFERROR(OFFSET(数出表_Excel【15時】!$A$1,3,L396-1),"")
&amp;IFERROR(OFFSET(数出表_Excel【15時】!$A$1,4,L396-1),""),"")</f>
        <v/>
      </c>
      <c r="N396" t="str">
        <f ca="1">IF(L396&lt;&gt;"",
OFFSET(数出表_Excel【15時】!$A$1,A396+3,L396-1),"")</f>
        <v/>
      </c>
      <c r="O396" t="str">
        <f ca="1">IF(L396&lt;&gt;"",
IF(AND(OFFSET(数出表_Excel【15時】!$A$1,A396+3,L396)&lt;&gt;"",OFFSET(数出表_Excel【15時】!$A$1,A396+3,L396)&lt;&gt;0),
OFFSET(数出表_Excel【15時】!$A$1,A396+3,L396),""),"")</f>
        <v/>
      </c>
      <c r="Q396" t="str">
        <f ca="1">IF(C396&lt;&gt;"",
IF(E396&lt;&gt;"",1,0)+IF(I396&lt;&gt;"",1,0)+IF(M396&lt;&gt;"",1,0),"")</f>
        <v/>
      </c>
    </row>
    <row r="397" spans="1:17">
      <c r="A397" t="str">
        <f t="shared" ca="1" si="6"/>
        <v/>
      </c>
      <c r="B397" t="str">
        <f t="array" aca="1" ref="B397" ca="1">IF(OR(COUNTIF(数出表_Excel【15時】!AO400,"*修正*"),COUNTIF(数出表_Excel【15時】!AO401,"*修正*")),
IF(ISEVEN(ROW()+4),INDIRECT("数出表_Excel【15時】!A"&amp;ROW()+4&amp;""),INDIRECT("数出表_Excel【15時】!A"&amp;ROW()+4-1&amp;"")),"")</f>
        <v/>
      </c>
      <c r="C397" t="str">
        <f t="array" aca="1" ref="C397" ca="1">IF(OR(COUNTIF(数出表_Excel【15時】!AO400,"*修正*"),COUNTIF(数出表_Excel【15時】!AO401,"*修正*")),
IF(ISEVEN(ROW()+4),INDIRECT("数出表_Excel【15時】!A"&amp;ROW()+4+1&amp;""),INDIRECT("数出表_Excel【15時】!A"&amp;ROW()+4&amp;"")),"")</f>
        <v/>
      </c>
      <c r="D397" s="209" t="str">
        <f t="array" aca="1" ref="D397" ca="1">IF(B397&lt;&gt;"",
IFERROR(MATCH(TRUE,ISNUMBER(INDIRECT("数出表_Excel【15時】!B"&amp;(A397+4)&amp;":ZZ"&amp;(A397+4))),0)+1,""),"")</f>
        <v/>
      </c>
      <c r="E397" t="str">
        <f ca="1">IF(D397&lt;&gt;"",
OFFSET(数出表_Excel【15時】!$A$1,2,D397-1)
&amp;IFERROR(OFFSET(数出表_Excel【15時】!$A$1,3,D397-1),"")
&amp;IFERROR(OFFSET(数出表_Excel【15時】!$A$1,4,D397-1),""),"")</f>
        <v/>
      </c>
      <c r="F397" t="str">
        <f ca="1">IF(D397&lt;&gt;"",
OFFSET(数出表_Excel【15時】!$A$1,A397+3,D397-1),"")</f>
        <v/>
      </c>
      <c r="G397" t="str">
        <f ca="1">IF(D397&lt;&gt;"",
IF(AND(OFFSET(数出表_Excel【15時】!$A$1,A397+3,D397)&lt;&gt;"",OFFSET(数出表_Excel【15時】!$A$1,A397+3,D397)&lt;&gt;0),
OFFSET(数出表_Excel【15時】!$A$1,A397+3,D397),""),"")</f>
        <v/>
      </c>
      <c r="H397" s="209" t="str">
        <f t="array" aca="1" ref="H397" ca="1">IF(B397&lt;&gt;"",
IFERROR(MATCH(TRUE,ISNUMBER(INDIRECT("数出表_Excel【15時】!"&amp;SUBSTITUTE(ADDRESS(1,D397+2,4),"1","")&amp;(A397+4)&amp;":ZZ"&amp;(A397+4))),0)+D397+1,""),"")</f>
        <v/>
      </c>
      <c r="I397" t="str">
        <f ca="1">IF(H397&lt;&gt;"",
OFFSET(数出表_Excel【15時】!$A$1,2,H397-1)
&amp;IFERROR(OFFSET(数出表_Excel【15時】!$A$1,3,H397-1),"")
&amp;IFERROR(OFFSET(数出表_Excel【15時】!$A$1,4,H397-1),""),"")</f>
        <v/>
      </c>
      <c r="J397" t="str">
        <f ca="1">IF(H397&lt;&gt;"",
OFFSET(数出表_Excel【15時】!$A$1,A397+3,H397-1),"")</f>
        <v/>
      </c>
      <c r="K397" t="str">
        <f ca="1">IF(H397&lt;&gt;"",
IF(AND(OFFSET(数出表_Excel【15時】!$A$1,A397+3,H397)&lt;&gt;"",OFFSET(数出表_Excel【15時】!$A$1,A397+3,H397)&lt;&gt;0),
OFFSET(数出表_Excel【15時】!$A$1,A397+3,H397),""),"")</f>
        <v/>
      </c>
      <c r="L397" s="209" t="str">
        <f t="array" aca="1" ref="L397" ca="1">IF(B397&lt;&gt;"",
IFERROR(MATCH(TRUE,ISNUMBER(INDIRECT("数出表_Excel【15時】!"&amp;SUBSTITUTE(ADDRESS(1,H397+2,4),"1","")&amp;(A397+4)&amp;":ZZ"&amp;(A397+4))),0)+H397+1,""),"")</f>
        <v/>
      </c>
      <c r="M397" t="str">
        <f ca="1">IF(L397&lt;&gt;"",
OFFSET(数出表_Excel【15時】!$A$1,2,L397-1)
&amp;IFERROR(OFFSET(数出表_Excel【15時】!$A$1,3,L397-1),"")
&amp;IFERROR(OFFSET(数出表_Excel【15時】!$A$1,4,L397-1),""),"")</f>
        <v/>
      </c>
      <c r="N397" t="str">
        <f ca="1">IF(L397&lt;&gt;"",
OFFSET(数出表_Excel【15時】!$A$1,A397+3,L397-1),"")</f>
        <v/>
      </c>
      <c r="O397" t="str">
        <f ca="1">IF(L397&lt;&gt;"",
IF(AND(OFFSET(数出表_Excel【15時】!$A$1,A397+3,L397)&lt;&gt;"",OFFSET(数出表_Excel【15時】!$A$1,A397+3,L397)&lt;&gt;0),
OFFSET(数出表_Excel【15時】!$A$1,A397+3,L397),""),"")</f>
        <v/>
      </c>
    </row>
    <row r="398" spans="1:17">
      <c r="A398" t="str">
        <f t="shared" ca="1" si="6"/>
        <v/>
      </c>
      <c r="B398" t="str">
        <f t="array" aca="1" ref="B398" ca="1">IF(OR(COUNTIF(数出表_Excel【15時】!AO402,"*修正*"),COUNTIF(数出表_Excel【15時】!AO403,"*修正*")),
IF(ISEVEN(ROW()+4),INDIRECT("数出表_Excel【15時】!A"&amp;ROW()+4&amp;""),INDIRECT("数出表_Excel【15時】!A"&amp;ROW()+4-1&amp;"")),"")</f>
        <v/>
      </c>
      <c r="C398" t="str">
        <f t="array" aca="1" ref="C398" ca="1">IF(OR(COUNTIF(数出表_Excel【15時】!AO402,"*修正*"),COUNTIF(数出表_Excel【15時】!AO403,"*修正*")),
IF(ISEVEN(ROW()+4),INDIRECT("数出表_Excel【15時】!A"&amp;ROW()+4+1&amp;""),INDIRECT("数出表_Excel【15時】!A"&amp;ROW()+4&amp;"")),"")</f>
        <v/>
      </c>
      <c r="D398" s="209" t="str">
        <f t="array" aca="1" ref="D398" ca="1">IF(B398&lt;&gt;"",
IFERROR(MATCH(TRUE,ISNUMBER(INDIRECT("数出表_Excel【15時】!B"&amp;(A398+4)&amp;":ZZ"&amp;(A398+4))),0)+1,""),"")</f>
        <v/>
      </c>
      <c r="E398" t="str">
        <f ca="1">IF(D398&lt;&gt;"",
OFFSET(数出表_Excel【15時】!$A$1,2,D398-1)
&amp;IFERROR(OFFSET(数出表_Excel【15時】!$A$1,3,D398-1),"")
&amp;IFERROR(OFFSET(数出表_Excel【15時】!$A$1,4,D398-1),""),"")</f>
        <v/>
      </c>
      <c r="F398" t="str">
        <f ca="1">IF(D398&lt;&gt;"",
OFFSET(数出表_Excel【15時】!$A$1,A398+3,D398-1),"")</f>
        <v/>
      </c>
      <c r="G398" t="str">
        <f ca="1">IF(D398&lt;&gt;"",
IF(AND(OFFSET(数出表_Excel【15時】!$A$1,A398+3,D398)&lt;&gt;"",OFFSET(数出表_Excel【15時】!$A$1,A398+3,D398)&lt;&gt;0),
OFFSET(数出表_Excel【15時】!$A$1,A398+3,D398),""),"")</f>
        <v/>
      </c>
      <c r="H398" s="209" t="str">
        <f t="array" aca="1" ref="H398" ca="1">IF(B398&lt;&gt;"",
IFERROR(MATCH(TRUE,ISNUMBER(INDIRECT("数出表_Excel【15時】!"&amp;SUBSTITUTE(ADDRESS(1,D398+2,4),"1","")&amp;(A398+4)&amp;":ZZ"&amp;(A398+4))),0)+D398+1,""),"")</f>
        <v/>
      </c>
      <c r="I398" t="str">
        <f ca="1">IF(H398&lt;&gt;"",
OFFSET(数出表_Excel【15時】!$A$1,2,H398-1)
&amp;IFERROR(OFFSET(数出表_Excel【15時】!$A$1,3,H398-1),"")
&amp;IFERROR(OFFSET(数出表_Excel【15時】!$A$1,4,H398-1),""),"")</f>
        <v/>
      </c>
      <c r="J398" t="str">
        <f ca="1">IF(H398&lt;&gt;"",
OFFSET(数出表_Excel【15時】!$A$1,A398+3,H398-1),"")</f>
        <v/>
      </c>
      <c r="K398" t="str">
        <f ca="1">IF(H398&lt;&gt;"",
IF(AND(OFFSET(数出表_Excel【15時】!$A$1,A398+3,H398)&lt;&gt;"",OFFSET(数出表_Excel【15時】!$A$1,A398+3,H398)&lt;&gt;0),
OFFSET(数出表_Excel【15時】!$A$1,A398+3,H398),""),"")</f>
        <v/>
      </c>
      <c r="L398" s="209" t="str">
        <f t="array" aca="1" ref="L398" ca="1">IF(B398&lt;&gt;"",
IFERROR(MATCH(TRUE,ISNUMBER(INDIRECT("数出表_Excel【15時】!"&amp;SUBSTITUTE(ADDRESS(1,H398+2,4),"1","")&amp;(A398+4)&amp;":ZZ"&amp;(A398+4))),0)+H398+1,""),"")</f>
        <v/>
      </c>
      <c r="M398" t="str">
        <f ca="1">IF(L398&lt;&gt;"",
OFFSET(数出表_Excel【15時】!$A$1,2,L398-1)
&amp;IFERROR(OFFSET(数出表_Excel【15時】!$A$1,3,L398-1),"")
&amp;IFERROR(OFFSET(数出表_Excel【15時】!$A$1,4,L398-1),""),"")</f>
        <v/>
      </c>
      <c r="N398" t="str">
        <f ca="1">IF(L398&lt;&gt;"",
OFFSET(数出表_Excel【15時】!$A$1,A398+3,L398-1),"")</f>
        <v/>
      </c>
      <c r="O398" t="str">
        <f ca="1">IF(L398&lt;&gt;"",
IF(AND(OFFSET(数出表_Excel【15時】!$A$1,A398+3,L398)&lt;&gt;"",OFFSET(数出表_Excel【15時】!$A$1,A398+3,L398)&lt;&gt;0),
OFFSET(数出表_Excel【15時】!$A$1,A398+3,L398),""),"")</f>
        <v/>
      </c>
      <c r="Q398" t="str">
        <f ca="1">IF(C398&lt;&gt;"",
IF(E398&lt;&gt;"",1,0)+IF(I398&lt;&gt;"",1,0)+IF(M398&lt;&gt;"",1,0),"")</f>
        <v/>
      </c>
    </row>
    <row r="399" spans="1:17">
      <c r="A399" t="str">
        <f t="shared" ca="1" si="6"/>
        <v/>
      </c>
      <c r="B399" t="str">
        <f t="array" aca="1" ref="B399" ca="1">IF(OR(COUNTIF(数出表_Excel【15時】!AO402,"*修正*"),COUNTIF(数出表_Excel【15時】!AO403,"*修正*")),
IF(ISEVEN(ROW()+4),INDIRECT("数出表_Excel【15時】!A"&amp;ROW()+4&amp;""),INDIRECT("数出表_Excel【15時】!A"&amp;ROW()+4-1&amp;"")),"")</f>
        <v/>
      </c>
      <c r="C399" t="str">
        <f t="array" aca="1" ref="C399" ca="1">IF(OR(COUNTIF(数出表_Excel【15時】!AO402,"*修正*"),COUNTIF(数出表_Excel【15時】!AO403,"*修正*")),
IF(ISEVEN(ROW()+4),INDIRECT("数出表_Excel【15時】!A"&amp;ROW()+4+1&amp;""),INDIRECT("数出表_Excel【15時】!A"&amp;ROW()+4&amp;"")),"")</f>
        <v/>
      </c>
      <c r="D399" s="209" t="str">
        <f t="array" aca="1" ref="D399" ca="1">IF(B399&lt;&gt;"",
IFERROR(MATCH(TRUE,ISNUMBER(INDIRECT("数出表_Excel【15時】!B"&amp;(A399+4)&amp;":ZZ"&amp;(A399+4))),0)+1,""),"")</f>
        <v/>
      </c>
      <c r="E399" t="str">
        <f ca="1">IF(D399&lt;&gt;"",
OFFSET(数出表_Excel【15時】!$A$1,2,D399-1)
&amp;IFERROR(OFFSET(数出表_Excel【15時】!$A$1,3,D399-1),"")
&amp;IFERROR(OFFSET(数出表_Excel【15時】!$A$1,4,D399-1),""),"")</f>
        <v/>
      </c>
      <c r="F399" t="str">
        <f ca="1">IF(D399&lt;&gt;"",
OFFSET(数出表_Excel【15時】!$A$1,A399+3,D399-1),"")</f>
        <v/>
      </c>
      <c r="G399" t="str">
        <f ca="1">IF(D399&lt;&gt;"",
IF(AND(OFFSET(数出表_Excel【15時】!$A$1,A399+3,D399)&lt;&gt;"",OFFSET(数出表_Excel【15時】!$A$1,A399+3,D399)&lt;&gt;0),
OFFSET(数出表_Excel【15時】!$A$1,A399+3,D399),""),"")</f>
        <v/>
      </c>
      <c r="H399" s="209" t="str">
        <f t="array" aca="1" ref="H399" ca="1">IF(B399&lt;&gt;"",
IFERROR(MATCH(TRUE,ISNUMBER(INDIRECT("数出表_Excel【15時】!"&amp;SUBSTITUTE(ADDRESS(1,D399+2,4),"1","")&amp;(A399+4)&amp;":ZZ"&amp;(A399+4))),0)+D399+1,""),"")</f>
        <v/>
      </c>
      <c r="I399" t="str">
        <f ca="1">IF(H399&lt;&gt;"",
OFFSET(数出表_Excel【15時】!$A$1,2,H399-1)
&amp;IFERROR(OFFSET(数出表_Excel【15時】!$A$1,3,H399-1),"")
&amp;IFERROR(OFFSET(数出表_Excel【15時】!$A$1,4,H399-1),""),"")</f>
        <v/>
      </c>
      <c r="J399" t="str">
        <f ca="1">IF(H399&lt;&gt;"",
OFFSET(数出表_Excel【15時】!$A$1,A399+3,H399-1),"")</f>
        <v/>
      </c>
      <c r="K399" t="str">
        <f ca="1">IF(H399&lt;&gt;"",
IF(AND(OFFSET(数出表_Excel【15時】!$A$1,A399+3,H399)&lt;&gt;"",OFFSET(数出表_Excel【15時】!$A$1,A399+3,H399)&lt;&gt;0),
OFFSET(数出表_Excel【15時】!$A$1,A399+3,H399),""),"")</f>
        <v/>
      </c>
      <c r="L399" s="209" t="str">
        <f t="array" aca="1" ref="L399" ca="1">IF(B399&lt;&gt;"",
IFERROR(MATCH(TRUE,ISNUMBER(INDIRECT("数出表_Excel【15時】!"&amp;SUBSTITUTE(ADDRESS(1,H399+2,4),"1","")&amp;(A399+4)&amp;":ZZ"&amp;(A399+4))),0)+H399+1,""),"")</f>
        <v/>
      </c>
      <c r="M399" t="str">
        <f ca="1">IF(L399&lt;&gt;"",
OFFSET(数出表_Excel【15時】!$A$1,2,L399-1)
&amp;IFERROR(OFFSET(数出表_Excel【15時】!$A$1,3,L399-1),"")
&amp;IFERROR(OFFSET(数出表_Excel【15時】!$A$1,4,L399-1),""),"")</f>
        <v/>
      </c>
      <c r="N399" t="str">
        <f ca="1">IF(L399&lt;&gt;"",
OFFSET(数出表_Excel【15時】!$A$1,A399+3,L399-1),"")</f>
        <v/>
      </c>
      <c r="O399" t="str">
        <f ca="1">IF(L399&lt;&gt;"",
IF(AND(OFFSET(数出表_Excel【15時】!$A$1,A399+3,L399)&lt;&gt;"",OFFSET(数出表_Excel【15時】!$A$1,A399+3,L399)&lt;&gt;0),
OFFSET(数出表_Excel【15時】!$A$1,A399+3,L399),""),"")</f>
        <v/>
      </c>
    </row>
    <row r="400" spans="1:17">
      <c r="A400" t="str">
        <f t="shared" ca="1" si="6"/>
        <v/>
      </c>
      <c r="B400" t="str">
        <f t="array" aca="1" ref="B400" ca="1">IF(OR(COUNTIF(数出表_Excel【15時】!AO404,"*修正*"),COUNTIF(数出表_Excel【15時】!AO405,"*修正*")),
IF(ISEVEN(ROW()+4),INDIRECT("数出表_Excel【15時】!A"&amp;ROW()+4&amp;""),INDIRECT("数出表_Excel【15時】!A"&amp;ROW()+4-1&amp;"")),"")</f>
        <v/>
      </c>
      <c r="C400" t="str">
        <f t="array" aca="1" ref="C400" ca="1">IF(OR(COUNTIF(数出表_Excel【15時】!AO404,"*修正*"),COUNTIF(数出表_Excel【15時】!AO405,"*修正*")),
IF(ISEVEN(ROW()+4),INDIRECT("数出表_Excel【15時】!A"&amp;ROW()+4+1&amp;""),INDIRECT("数出表_Excel【15時】!A"&amp;ROW()+4&amp;"")),"")</f>
        <v/>
      </c>
      <c r="D400" s="209" t="str">
        <f t="array" aca="1" ref="D400" ca="1">IF(B400&lt;&gt;"",
IFERROR(MATCH(TRUE,ISNUMBER(INDIRECT("数出表_Excel【15時】!B"&amp;(A400+4)&amp;":ZZ"&amp;(A400+4))),0)+1,""),"")</f>
        <v/>
      </c>
      <c r="E400" t="str">
        <f ca="1">IF(D400&lt;&gt;"",
OFFSET(数出表_Excel【15時】!$A$1,2,D400-1)
&amp;IFERROR(OFFSET(数出表_Excel【15時】!$A$1,3,D400-1),"")
&amp;IFERROR(OFFSET(数出表_Excel【15時】!$A$1,4,D400-1),""),"")</f>
        <v/>
      </c>
      <c r="F400" t="str">
        <f ca="1">IF(D400&lt;&gt;"",
OFFSET(数出表_Excel【15時】!$A$1,A400+3,D400-1),"")</f>
        <v/>
      </c>
      <c r="G400" t="str">
        <f ca="1">IF(D400&lt;&gt;"",
IF(AND(OFFSET(数出表_Excel【15時】!$A$1,A400+3,D400)&lt;&gt;"",OFFSET(数出表_Excel【15時】!$A$1,A400+3,D400)&lt;&gt;0),
OFFSET(数出表_Excel【15時】!$A$1,A400+3,D400),""),"")</f>
        <v/>
      </c>
      <c r="H400" s="209" t="str">
        <f t="array" aca="1" ref="H400" ca="1">IF(B400&lt;&gt;"",
IFERROR(MATCH(TRUE,ISNUMBER(INDIRECT("数出表_Excel【15時】!"&amp;SUBSTITUTE(ADDRESS(1,D400+2,4),"1","")&amp;(A400+4)&amp;":ZZ"&amp;(A400+4))),0)+D400+1,""),"")</f>
        <v/>
      </c>
      <c r="I400" t="str">
        <f ca="1">IF(H400&lt;&gt;"",
OFFSET(数出表_Excel【15時】!$A$1,2,H400-1)
&amp;IFERROR(OFFSET(数出表_Excel【15時】!$A$1,3,H400-1),"")
&amp;IFERROR(OFFSET(数出表_Excel【15時】!$A$1,4,H400-1),""),"")</f>
        <v/>
      </c>
      <c r="J400" t="str">
        <f ca="1">IF(H400&lt;&gt;"",
OFFSET(数出表_Excel【15時】!$A$1,A400+3,H400-1),"")</f>
        <v/>
      </c>
      <c r="K400" t="str">
        <f ca="1">IF(H400&lt;&gt;"",
IF(AND(OFFSET(数出表_Excel【15時】!$A$1,A400+3,H400)&lt;&gt;"",OFFSET(数出表_Excel【15時】!$A$1,A400+3,H400)&lt;&gt;0),
OFFSET(数出表_Excel【15時】!$A$1,A400+3,H400),""),"")</f>
        <v/>
      </c>
      <c r="L400" s="209" t="str">
        <f t="array" aca="1" ref="L400" ca="1">IF(B400&lt;&gt;"",
IFERROR(MATCH(TRUE,ISNUMBER(INDIRECT("数出表_Excel【15時】!"&amp;SUBSTITUTE(ADDRESS(1,H400+2,4),"1","")&amp;(A400+4)&amp;":ZZ"&amp;(A400+4))),0)+H400+1,""),"")</f>
        <v/>
      </c>
      <c r="M400" t="str">
        <f ca="1">IF(L400&lt;&gt;"",
OFFSET(数出表_Excel【15時】!$A$1,2,L400-1)
&amp;IFERROR(OFFSET(数出表_Excel【15時】!$A$1,3,L400-1),"")
&amp;IFERROR(OFFSET(数出表_Excel【15時】!$A$1,4,L400-1),""),"")</f>
        <v/>
      </c>
      <c r="N400" t="str">
        <f ca="1">IF(L400&lt;&gt;"",
OFFSET(数出表_Excel【15時】!$A$1,A400+3,L400-1),"")</f>
        <v/>
      </c>
      <c r="O400" t="str">
        <f ca="1">IF(L400&lt;&gt;"",
IF(AND(OFFSET(数出表_Excel【15時】!$A$1,A400+3,L400)&lt;&gt;"",OFFSET(数出表_Excel【15時】!$A$1,A400+3,L400)&lt;&gt;0),
OFFSET(数出表_Excel【15時】!$A$1,A400+3,L400),""),"")</f>
        <v/>
      </c>
      <c r="Q400" t="str">
        <f ca="1">IF(C400&lt;&gt;"",
IF(E400&lt;&gt;"",1,0)+IF(I400&lt;&gt;"",1,0)+IF(M400&lt;&gt;"",1,0),"")</f>
        <v/>
      </c>
    </row>
    <row r="401" spans="1:17">
      <c r="A401" t="str">
        <f t="shared" ca="1" si="6"/>
        <v/>
      </c>
      <c r="B401" t="str">
        <f t="array" aca="1" ref="B401" ca="1">IF(OR(COUNTIF(数出表_Excel【15時】!AO404,"*修正*"),COUNTIF(数出表_Excel【15時】!AO405,"*修正*")),
IF(ISEVEN(ROW()+4),INDIRECT("数出表_Excel【15時】!A"&amp;ROW()+4&amp;""),INDIRECT("数出表_Excel【15時】!A"&amp;ROW()+4-1&amp;"")),"")</f>
        <v/>
      </c>
      <c r="C401" t="str">
        <f t="array" aca="1" ref="C401" ca="1">IF(OR(COUNTIF(数出表_Excel【15時】!AO404,"*修正*"),COUNTIF(数出表_Excel【15時】!AO405,"*修正*")),
IF(ISEVEN(ROW()+4),INDIRECT("数出表_Excel【15時】!A"&amp;ROW()+4+1&amp;""),INDIRECT("数出表_Excel【15時】!A"&amp;ROW()+4&amp;"")),"")</f>
        <v/>
      </c>
      <c r="D401" s="209" t="str">
        <f t="array" aca="1" ref="D401" ca="1">IF(B401&lt;&gt;"",
IFERROR(MATCH(TRUE,ISNUMBER(INDIRECT("数出表_Excel【15時】!B"&amp;(A401+4)&amp;":ZZ"&amp;(A401+4))),0)+1,""),"")</f>
        <v/>
      </c>
      <c r="E401" t="str">
        <f ca="1">IF(D401&lt;&gt;"",
OFFSET(数出表_Excel【15時】!$A$1,2,D401-1)
&amp;IFERROR(OFFSET(数出表_Excel【15時】!$A$1,3,D401-1),"")
&amp;IFERROR(OFFSET(数出表_Excel【15時】!$A$1,4,D401-1),""),"")</f>
        <v/>
      </c>
      <c r="F401" t="str">
        <f ca="1">IF(D401&lt;&gt;"",
OFFSET(数出表_Excel【15時】!$A$1,A401+3,D401-1),"")</f>
        <v/>
      </c>
      <c r="G401" t="str">
        <f ca="1">IF(D401&lt;&gt;"",
IF(AND(OFFSET(数出表_Excel【15時】!$A$1,A401+3,D401)&lt;&gt;"",OFFSET(数出表_Excel【15時】!$A$1,A401+3,D401)&lt;&gt;0),
OFFSET(数出表_Excel【15時】!$A$1,A401+3,D401),""),"")</f>
        <v/>
      </c>
      <c r="H401" s="209" t="str">
        <f t="array" aca="1" ref="H401" ca="1">IF(B401&lt;&gt;"",
IFERROR(MATCH(TRUE,ISNUMBER(INDIRECT("数出表_Excel【15時】!"&amp;SUBSTITUTE(ADDRESS(1,D401+2,4),"1","")&amp;(A401+4)&amp;":ZZ"&amp;(A401+4))),0)+D401+1,""),"")</f>
        <v/>
      </c>
      <c r="I401" t="str">
        <f ca="1">IF(H401&lt;&gt;"",
OFFSET(数出表_Excel【15時】!$A$1,2,H401-1)
&amp;IFERROR(OFFSET(数出表_Excel【15時】!$A$1,3,H401-1),"")
&amp;IFERROR(OFFSET(数出表_Excel【15時】!$A$1,4,H401-1),""),"")</f>
        <v/>
      </c>
      <c r="J401" t="str">
        <f ca="1">IF(H401&lt;&gt;"",
OFFSET(数出表_Excel【15時】!$A$1,A401+3,H401-1),"")</f>
        <v/>
      </c>
      <c r="K401" t="str">
        <f ca="1">IF(H401&lt;&gt;"",
IF(AND(OFFSET(数出表_Excel【15時】!$A$1,A401+3,H401)&lt;&gt;"",OFFSET(数出表_Excel【15時】!$A$1,A401+3,H401)&lt;&gt;0),
OFFSET(数出表_Excel【15時】!$A$1,A401+3,H401),""),"")</f>
        <v/>
      </c>
      <c r="L401" s="209" t="str">
        <f t="array" aca="1" ref="L401" ca="1">IF(B401&lt;&gt;"",
IFERROR(MATCH(TRUE,ISNUMBER(INDIRECT("数出表_Excel【15時】!"&amp;SUBSTITUTE(ADDRESS(1,H401+2,4),"1","")&amp;(A401+4)&amp;":ZZ"&amp;(A401+4))),0)+H401+1,""),"")</f>
        <v/>
      </c>
      <c r="M401" t="str">
        <f ca="1">IF(L401&lt;&gt;"",
OFFSET(数出表_Excel【15時】!$A$1,2,L401-1)
&amp;IFERROR(OFFSET(数出表_Excel【15時】!$A$1,3,L401-1),"")
&amp;IFERROR(OFFSET(数出表_Excel【15時】!$A$1,4,L401-1),""),"")</f>
        <v/>
      </c>
      <c r="N401" t="str">
        <f ca="1">IF(L401&lt;&gt;"",
OFFSET(数出表_Excel【15時】!$A$1,A401+3,L401-1),"")</f>
        <v/>
      </c>
      <c r="O401" t="str">
        <f ca="1">IF(L401&lt;&gt;"",
IF(AND(OFFSET(数出表_Excel【15時】!$A$1,A401+3,L401)&lt;&gt;"",OFFSET(数出表_Excel【15時】!$A$1,A401+3,L401)&lt;&gt;0),
OFFSET(数出表_Excel【15時】!$A$1,A401+3,L401),""),"")</f>
        <v/>
      </c>
    </row>
    <row r="402" spans="1:17">
      <c r="A402" t="str">
        <f t="shared" ca="1" si="6"/>
        <v/>
      </c>
      <c r="B402" t="str">
        <f t="array" aca="1" ref="B402" ca="1">IF(OR(COUNTIF(数出表_Excel【15時】!AO406,"*修正*"),COUNTIF(数出表_Excel【15時】!AO407,"*修正*")),
IF(ISEVEN(ROW()+4),INDIRECT("数出表_Excel【15時】!A"&amp;ROW()+4&amp;""),INDIRECT("数出表_Excel【15時】!A"&amp;ROW()+4-1&amp;"")),"")</f>
        <v/>
      </c>
      <c r="C402" t="str">
        <f t="array" aca="1" ref="C402" ca="1">IF(OR(COUNTIF(数出表_Excel【15時】!AO406,"*修正*"),COUNTIF(数出表_Excel【15時】!AO407,"*修正*")),
IF(ISEVEN(ROW()+4),INDIRECT("数出表_Excel【15時】!A"&amp;ROW()+4+1&amp;""),INDIRECT("数出表_Excel【15時】!A"&amp;ROW()+4&amp;"")),"")</f>
        <v/>
      </c>
      <c r="D402" s="209" t="str">
        <f t="array" aca="1" ref="D402" ca="1">IF(B402&lt;&gt;"",
IFERROR(MATCH(TRUE,ISNUMBER(INDIRECT("数出表_Excel【15時】!B"&amp;(A402+4)&amp;":ZZ"&amp;(A402+4))),0)+1,""),"")</f>
        <v/>
      </c>
      <c r="E402" t="str">
        <f ca="1">IF(D402&lt;&gt;"",
OFFSET(数出表_Excel【15時】!$A$1,2,D402-1)
&amp;IFERROR(OFFSET(数出表_Excel【15時】!$A$1,3,D402-1),"")
&amp;IFERROR(OFFSET(数出表_Excel【15時】!$A$1,4,D402-1),""),"")</f>
        <v/>
      </c>
      <c r="F402" t="str">
        <f ca="1">IF(D402&lt;&gt;"",
OFFSET(数出表_Excel【15時】!$A$1,A402+3,D402-1),"")</f>
        <v/>
      </c>
      <c r="G402" t="str">
        <f ca="1">IF(D402&lt;&gt;"",
IF(AND(OFFSET(数出表_Excel【15時】!$A$1,A402+3,D402)&lt;&gt;"",OFFSET(数出表_Excel【15時】!$A$1,A402+3,D402)&lt;&gt;0),
OFFSET(数出表_Excel【15時】!$A$1,A402+3,D402),""),"")</f>
        <v/>
      </c>
      <c r="H402" s="209" t="str">
        <f t="array" aca="1" ref="H402" ca="1">IF(B402&lt;&gt;"",
IFERROR(MATCH(TRUE,ISNUMBER(INDIRECT("数出表_Excel【15時】!"&amp;SUBSTITUTE(ADDRESS(1,D402+2,4),"1","")&amp;(A402+4)&amp;":ZZ"&amp;(A402+4))),0)+D402+1,""),"")</f>
        <v/>
      </c>
      <c r="I402" t="str">
        <f ca="1">IF(H402&lt;&gt;"",
OFFSET(数出表_Excel【15時】!$A$1,2,H402-1)
&amp;IFERROR(OFFSET(数出表_Excel【15時】!$A$1,3,H402-1),"")
&amp;IFERROR(OFFSET(数出表_Excel【15時】!$A$1,4,H402-1),""),"")</f>
        <v/>
      </c>
      <c r="J402" t="str">
        <f ca="1">IF(H402&lt;&gt;"",
OFFSET(数出表_Excel【15時】!$A$1,A402+3,H402-1),"")</f>
        <v/>
      </c>
      <c r="K402" t="str">
        <f ca="1">IF(H402&lt;&gt;"",
IF(AND(OFFSET(数出表_Excel【15時】!$A$1,A402+3,H402)&lt;&gt;"",OFFSET(数出表_Excel【15時】!$A$1,A402+3,H402)&lt;&gt;0),
OFFSET(数出表_Excel【15時】!$A$1,A402+3,H402),""),"")</f>
        <v/>
      </c>
      <c r="L402" s="209" t="str">
        <f t="array" aca="1" ref="L402" ca="1">IF(B402&lt;&gt;"",
IFERROR(MATCH(TRUE,ISNUMBER(INDIRECT("数出表_Excel【15時】!"&amp;SUBSTITUTE(ADDRESS(1,H402+2,4),"1","")&amp;(A402+4)&amp;":ZZ"&amp;(A402+4))),0)+H402+1,""),"")</f>
        <v/>
      </c>
      <c r="M402" t="str">
        <f ca="1">IF(L402&lt;&gt;"",
OFFSET(数出表_Excel【15時】!$A$1,2,L402-1)
&amp;IFERROR(OFFSET(数出表_Excel【15時】!$A$1,3,L402-1),"")
&amp;IFERROR(OFFSET(数出表_Excel【15時】!$A$1,4,L402-1),""),"")</f>
        <v/>
      </c>
      <c r="N402" t="str">
        <f ca="1">IF(L402&lt;&gt;"",
OFFSET(数出表_Excel【15時】!$A$1,A402+3,L402-1),"")</f>
        <v/>
      </c>
      <c r="O402" t="str">
        <f ca="1">IF(L402&lt;&gt;"",
IF(AND(OFFSET(数出表_Excel【15時】!$A$1,A402+3,L402)&lt;&gt;"",OFFSET(数出表_Excel【15時】!$A$1,A402+3,L402)&lt;&gt;0),
OFFSET(数出表_Excel【15時】!$A$1,A402+3,L402),""),"")</f>
        <v/>
      </c>
      <c r="Q402" t="str">
        <f ca="1">IF(C402&lt;&gt;"",
IF(E402&lt;&gt;"",1,0)+IF(I402&lt;&gt;"",1,0)+IF(M402&lt;&gt;"",1,0),"")</f>
        <v/>
      </c>
    </row>
    <row r="403" spans="1:17">
      <c r="A403" t="str">
        <f t="shared" ca="1" si="6"/>
        <v/>
      </c>
      <c r="B403" t="str">
        <f t="array" aca="1" ref="B403" ca="1">IF(OR(COUNTIF(数出表_Excel【15時】!AO406,"*修正*"),COUNTIF(数出表_Excel【15時】!AO407,"*修正*")),
IF(ISEVEN(ROW()+4),INDIRECT("数出表_Excel【15時】!A"&amp;ROW()+4&amp;""),INDIRECT("数出表_Excel【15時】!A"&amp;ROW()+4-1&amp;"")),"")</f>
        <v/>
      </c>
      <c r="C403" t="str">
        <f t="array" aca="1" ref="C403" ca="1">IF(OR(COUNTIF(数出表_Excel【15時】!AO406,"*修正*"),COUNTIF(数出表_Excel【15時】!AO407,"*修正*")),
IF(ISEVEN(ROW()+4),INDIRECT("数出表_Excel【15時】!A"&amp;ROW()+4+1&amp;""),INDIRECT("数出表_Excel【15時】!A"&amp;ROW()+4&amp;"")),"")</f>
        <v/>
      </c>
      <c r="D403" s="209" t="str">
        <f t="array" aca="1" ref="D403" ca="1">IF(B403&lt;&gt;"",
IFERROR(MATCH(TRUE,ISNUMBER(INDIRECT("数出表_Excel【15時】!B"&amp;(A403+4)&amp;":ZZ"&amp;(A403+4))),0)+1,""),"")</f>
        <v/>
      </c>
      <c r="E403" t="str">
        <f ca="1">IF(D403&lt;&gt;"",
OFFSET(数出表_Excel【15時】!$A$1,2,D403-1)
&amp;IFERROR(OFFSET(数出表_Excel【15時】!$A$1,3,D403-1),"")
&amp;IFERROR(OFFSET(数出表_Excel【15時】!$A$1,4,D403-1),""),"")</f>
        <v/>
      </c>
      <c r="F403" t="str">
        <f ca="1">IF(D403&lt;&gt;"",
OFFSET(数出表_Excel【15時】!$A$1,A403+3,D403-1),"")</f>
        <v/>
      </c>
      <c r="G403" t="str">
        <f ca="1">IF(D403&lt;&gt;"",
IF(AND(OFFSET(数出表_Excel【15時】!$A$1,A403+3,D403)&lt;&gt;"",OFFSET(数出表_Excel【15時】!$A$1,A403+3,D403)&lt;&gt;0),
OFFSET(数出表_Excel【15時】!$A$1,A403+3,D403),""),"")</f>
        <v/>
      </c>
      <c r="H403" s="209" t="str">
        <f t="array" aca="1" ref="H403" ca="1">IF(B403&lt;&gt;"",
IFERROR(MATCH(TRUE,ISNUMBER(INDIRECT("数出表_Excel【15時】!"&amp;SUBSTITUTE(ADDRESS(1,D403+2,4),"1","")&amp;(A403+4)&amp;":ZZ"&amp;(A403+4))),0)+D403+1,""),"")</f>
        <v/>
      </c>
      <c r="I403" t="str">
        <f ca="1">IF(H403&lt;&gt;"",
OFFSET(数出表_Excel【15時】!$A$1,2,H403-1)
&amp;IFERROR(OFFSET(数出表_Excel【15時】!$A$1,3,H403-1),"")
&amp;IFERROR(OFFSET(数出表_Excel【15時】!$A$1,4,H403-1),""),"")</f>
        <v/>
      </c>
      <c r="J403" t="str">
        <f ca="1">IF(H403&lt;&gt;"",
OFFSET(数出表_Excel【15時】!$A$1,A403+3,H403-1),"")</f>
        <v/>
      </c>
      <c r="K403" t="str">
        <f ca="1">IF(H403&lt;&gt;"",
IF(AND(OFFSET(数出表_Excel【15時】!$A$1,A403+3,H403)&lt;&gt;"",OFFSET(数出表_Excel【15時】!$A$1,A403+3,H403)&lt;&gt;0),
OFFSET(数出表_Excel【15時】!$A$1,A403+3,H403),""),"")</f>
        <v/>
      </c>
      <c r="L403" s="209" t="str">
        <f t="array" aca="1" ref="L403" ca="1">IF(B403&lt;&gt;"",
IFERROR(MATCH(TRUE,ISNUMBER(INDIRECT("数出表_Excel【15時】!"&amp;SUBSTITUTE(ADDRESS(1,H403+2,4),"1","")&amp;(A403+4)&amp;":ZZ"&amp;(A403+4))),0)+H403+1,""),"")</f>
        <v/>
      </c>
      <c r="M403" t="str">
        <f ca="1">IF(L403&lt;&gt;"",
OFFSET(数出表_Excel【15時】!$A$1,2,L403-1)
&amp;IFERROR(OFFSET(数出表_Excel【15時】!$A$1,3,L403-1),"")
&amp;IFERROR(OFFSET(数出表_Excel【15時】!$A$1,4,L403-1),""),"")</f>
        <v/>
      </c>
      <c r="N403" t="str">
        <f ca="1">IF(L403&lt;&gt;"",
OFFSET(数出表_Excel【15時】!$A$1,A403+3,L403-1),"")</f>
        <v/>
      </c>
      <c r="O403" t="str">
        <f ca="1">IF(L403&lt;&gt;"",
IF(AND(OFFSET(数出表_Excel【15時】!$A$1,A403+3,L403)&lt;&gt;"",OFFSET(数出表_Excel【15時】!$A$1,A403+3,L403)&lt;&gt;0),
OFFSET(数出表_Excel【15時】!$A$1,A403+3,L403),""),"")</f>
        <v/>
      </c>
    </row>
    <row r="404" spans="1:17">
      <c r="A404" t="str">
        <f t="shared" ca="1" si="6"/>
        <v/>
      </c>
      <c r="B404" t="str">
        <f t="array" aca="1" ref="B404" ca="1">IF(OR(COUNTIF(数出表_Excel【15時】!AO408,"*修正*"),COUNTIF(数出表_Excel【15時】!AO409,"*修正*")),
IF(ISEVEN(ROW()+4),INDIRECT("数出表_Excel【15時】!A"&amp;ROW()+4&amp;""),INDIRECT("数出表_Excel【15時】!A"&amp;ROW()+4-1&amp;"")),"")</f>
        <v/>
      </c>
      <c r="C404" t="str">
        <f t="array" aca="1" ref="C404" ca="1">IF(OR(COUNTIF(数出表_Excel【15時】!AO408,"*修正*"),COUNTIF(数出表_Excel【15時】!AO409,"*修正*")),
IF(ISEVEN(ROW()+4),INDIRECT("数出表_Excel【15時】!A"&amp;ROW()+4+1&amp;""),INDIRECT("数出表_Excel【15時】!A"&amp;ROW()+4&amp;"")),"")</f>
        <v/>
      </c>
      <c r="D404" s="209" t="str">
        <f t="array" aca="1" ref="D404" ca="1">IF(B404&lt;&gt;"",
IFERROR(MATCH(TRUE,ISNUMBER(INDIRECT("数出表_Excel【15時】!B"&amp;(A404+4)&amp;":ZZ"&amp;(A404+4))),0)+1,""),"")</f>
        <v/>
      </c>
      <c r="E404" t="str">
        <f ca="1">IF(D404&lt;&gt;"",
OFFSET(数出表_Excel【15時】!$A$1,2,D404-1)
&amp;IFERROR(OFFSET(数出表_Excel【15時】!$A$1,3,D404-1),"")
&amp;IFERROR(OFFSET(数出表_Excel【15時】!$A$1,4,D404-1),""),"")</f>
        <v/>
      </c>
      <c r="F404" t="str">
        <f ca="1">IF(D404&lt;&gt;"",
OFFSET(数出表_Excel【15時】!$A$1,A404+3,D404-1),"")</f>
        <v/>
      </c>
      <c r="G404" t="str">
        <f ca="1">IF(D404&lt;&gt;"",
IF(AND(OFFSET(数出表_Excel【15時】!$A$1,A404+3,D404)&lt;&gt;"",OFFSET(数出表_Excel【15時】!$A$1,A404+3,D404)&lt;&gt;0),
OFFSET(数出表_Excel【15時】!$A$1,A404+3,D404),""),"")</f>
        <v/>
      </c>
      <c r="H404" s="209" t="str">
        <f t="array" aca="1" ref="H404" ca="1">IF(B404&lt;&gt;"",
IFERROR(MATCH(TRUE,ISNUMBER(INDIRECT("数出表_Excel【15時】!"&amp;SUBSTITUTE(ADDRESS(1,D404+2,4),"1","")&amp;(A404+4)&amp;":ZZ"&amp;(A404+4))),0)+D404+1,""),"")</f>
        <v/>
      </c>
      <c r="I404" t="str">
        <f ca="1">IF(H404&lt;&gt;"",
OFFSET(数出表_Excel【15時】!$A$1,2,H404-1)
&amp;IFERROR(OFFSET(数出表_Excel【15時】!$A$1,3,H404-1),"")
&amp;IFERROR(OFFSET(数出表_Excel【15時】!$A$1,4,H404-1),""),"")</f>
        <v/>
      </c>
      <c r="J404" t="str">
        <f ca="1">IF(H404&lt;&gt;"",
OFFSET(数出表_Excel【15時】!$A$1,A404+3,H404-1),"")</f>
        <v/>
      </c>
      <c r="K404" t="str">
        <f ca="1">IF(H404&lt;&gt;"",
IF(AND(OFFSET(数出表_Excel【15時】!$A$1,A404+3,H404)&lt;&gt;"",OFFSET(数出表_Excel【15時】!$A$1,A404+3,H404)&lt;&gt;0),
OFFSET(数出表_Excel【15時】!$A$1,A404+3,H404),""),"")</f>
        <v/>
      </c>
      <c r="L404" s="209" t="str">
        <f t="array" aca="1" ref="L404" ca="1">IF(B404&lt;&gt;"",
IFERROR(MATCH(TRUE,ISNUMBER(INDIRECT("数出表_Excel【15時】!"&amp;SUBSTITUTE(ADDRESS(1,H404+2,4),"1","")&amp;(A404+4)&amp;":ZZ"&amp;(A404+4))),0)+H404+1,""),"")</f>
        <v/>
      </c>
      <c r="M404" t="str">
        <f ca="1">IF(L404&lt;&gt;"",
OFFSET(数出表_Excel【15時】!$A$1,2,L404-1)
&amp;IFERROR(OFFSET(数出表_Excel【15時】!$A$1,3,L404-1),"")
&amp;IFERROR(OFFSET(数出表_Excel【15時】!$A$1,4,L404-1),""),"")</f>
        <v/>
      </c>
      <c r="N404" t="str">
        <f ca="1">IF(L404&lt;&gt;"",
OFFSET(数出表_Excel【15時】!$A$1,A404+3,L404-1),"")</f>
        <v/>
      </c>
      <c r="O404" t="str">
        <f ca="1">IF(L404&lt;&gt;"",
IF(AND(OFFSET(数出表_Excel【15時】!$A$1,A404+3,L404)&lt;&gt;"",OFFSET(数出表_Excel【15時】!$A$1,A404+3,L404)&lt;&gt;0),
OFFSET(数出表_Excel【15時】!$A$1,A404+3,L404),""),"")</f>
        <v/>
      </c>
      <c r="Q404" t="str">
        <f ca="1">IF(C404&lt;&gt;"",
IF(E404&lt;&gt;"",1,0)+IF(I404&lt;&gt;"",1,0)+IF(M404&lt;&gt;"",1,0),"")</f>
        <v/>
      </c>
    </row>
    <row r="405" spans="1:17">
      <c r="A405" t="str">
        <f t="shared" ca="1" si="6"/>
        <v/>
      </c>
      <c r="B405" t="str">
        <f t="array" aca="1" ref="B405" ca="1">IF(OR(COUNTIF(数出表_Excel【15時】!AO408,"*修正*"),COUNTIF(数出表_Excel【15時】!AO409,"*修正*")),
IF(ISEVEN(ROW()+4),INDIRECT("数出表_Excel【15時】!A"&amp;ROW()+4&amp;""),INDIRECT("数出表_Excel【15時】!A"&amp;ROW()+4-1&amp;"")),"")</f>
        <v/>
      </c>
      <c r="C405" t="str">
        <f t="array" aca="1" ref="C405" ca="1">IF(OR(COUNTIF(数出表_Excel【15時】!AO408,"*修正*"),COUNTIF(数出表_Excel【15時】!AO409,"*修正*")),
IF(ISEVEN(ROW()+4),INDIRECT("数出表_Excel【15時】!A"&amp;ROW()+4+1&amp;""),INDIRECT("数出表_Excel【15時】!A"&amp;ROW()+4&amp;"")),"")</f>
        <v/>
      </c>
      <c r="D405" s="209" t="str">
        <f t="array" aca="1" ref="D405" ca="1">IF(B405&lt;&gt;"",
IFERROR(MATCH(TRUE,ISNUMBER(INDIRECT("数出表_Excel【15時】!B"&amp;(A405+4)&amp;":ZZ"&amp;(A405+4))),0)+1,""),"")</f>
        <v/>
      </c>
      <c r="E405" t="str">
        <f ca="1">IF(D405&lt;&gt;"",
OFFSET(数出表_Excel【15時】!$A$1,2,D405-1)
&amp;IFERROR(OFFSET(数出表_Excel【15時】!$A$1,3,D405-1),"")
&amp;IFERROR(OFFSET(数出表_Excel【15時】!$A$1,4,D405-1),""),"")</f>
        <v/>
      </c>
      <c r="F405" t="str">
        <f ca="1">IF(D405&lt;&gt;"",
OFFSET(数出表_Excel【15時】!$A$1,A405+3,D405-1),"")</f>
        <v/>
      </c>
      <c r="G405" t="str">
        <f ca="1">IF(D405&lt;&gt;"",
IF(AND(OFFSET(数出表_Excel【15時】!$A$1,A405+3,D405)&lt;&gt;"",OFFSET(数出表_Excel【15時】!$A$1,A405+3,D405)&lt;&gt;0),
OFFSET(数出表_Excel【15時】!$A$1,A405+3,D405),""),"")</f>
        <v/>
      </c>
      <c r="H405" s="209" t="str">
        <f t="array" aca="1" ref="H405" ca="1">IF(B405&lt;&gt;"",
IFERROR(MATCH(TRUE,ISNUMBER(INDIRECT("数出表_Excel【15時】!"&amp;SUBSTITUTE(ADDRESS(1,D405+2,4),"1","")&amp;(A405+4)&amp;":ZZ"&amp;(A405+4))),0)+D405+1,""),"")</f>
        <v/>
      </c>
      <c r="I405" t="str">
        <f ca="1">IF(H405&lt;&gt;"",
OFFSET(数出表_Excel【15時】!$A$1,2,H405-1)
&amp;IFERROR(OFFSET(数出表_Excel【15時】!$A$1,3,H405-1),"")
&amp;IFERROR(OFFSET(数出表_Excel【15時】!$A$1,4,H405-1),""),"")</f>
        <v/>
      </c>
      <c r="J405" t="str">
        <f ca="1">IF(H405&lt;&gt;"",
OFFSET(数出表_Excel【15時】!$A$1,A405+3,H405-1),"")</f>
        <v/>
      </c>
      <c r="K405" t="str">
        <f ca="1">IF(H405&lt;&gt;"",
IF(AND(OFFSET(数出表_Excel【15時】!$A$1,A405+3,H405)&lt;&gt;"",OFFSET(数出表_Excel【15時】!$A$1,A405+3,H405)&lt;&gt;0),
OFFSET(数出表_Excel【15時】!$A$1,A405+3,H405),""),"")</f>
        <v/>
      </c>
      <c r="L405" s="209" t="str">
        <f t="array" aca="1" ref="L405" ca="1">IF(B405&lt;&gt;"",
IFERROR(MATCH(TRUE,ISNUMBER(INDIRECT("数出表_Excel【15時】!"&amp;SUBSTITUTE(ADDRESS(1,H405+2,4),"1","")&amp;(A405+4)&amp;":ZZ"&amp;(A405+4))),0)+H405+1,""),"")</f>
        <v/>
      </c>
      <c r="M405" t="str">
        <f ca="1">IF(L405&lt;&gt;"",
OFFSET(数出表_Excel【15時】!$A$1,2,L405-1)
&amp;IFERROR(OFFSET(数出表_Excel【15時】!$A$1,3,L405-1),"")
&amp;IFERROR(OFFSET(数出表_Excel【15時】!$A$1,4,L405-1),""),"")</f>
        <v/>
      </c>
      <c r="N405" t="str">
        <f ca="1">IF(L405&lt;&gt;"",
OFFSET(数出表_Excel【15時】!$A$1,A405+3,L405-1),"")</f>
        <v/>
      </c>
      <c r="O405" t="str">
        <f ca="1">IF(L405&lt;&gt;"",
IF(AND(OFFSET(数出表_Excel【15時】!$A$1,A405+3,L405)&lt;&gt;"",OFFSET(数出表_Excel【15時】!$A$1,A405+3,L405)&lt;&gt;0),
OFFSET(数出表_Excel【15時】!$A$1,A405+3,L405),""),"")</f>
        <v/>
      </c>
    </row>
    <row r="406" spans="1:17">
      <c r="A406" t="str">
        <f t="shared" ca="1" si="6"/>
        <v/>
      </c>
      <c r="B406" t="str">
        <f t="array" aca="1" ref="B406" ca="1">IF(OR(COUNTIF(数出表_Excel【15時】!AO410,"*修正*"),COUNTIF(数出表_Excel【15時】!AO411,"*修正*")),
IF(ISEVEN(ROW()+4),INDIRECT("数出表_Excel【15時】!A"&amp;ROW()+4&amp;""),INDIRECT("数出表_Excel【15時】!A"&amp;ROW()+4-1&amp;"")),"")</f>
        <v/>
      </c>
      <c r="C406" t="str">
        <f t="array" aca="1" ref="C406" ca="1">IF(OR(COUNTIF(数出表_Excel【15時】!AO410,"*修正*"),COUNTIF(数出表_Excel【15時】!AO411,"*修正*")),
IF(ISEVEN(ROW()+4),INDIRECT("数出表_Excel【15時】!A"&amp;ROW()+4+1&amp;""),INDIRECT("数出表_Excel【15時】!A"&amp;ROW()+4&amp;"")),"")</f>
        <v/>
      </c>
      <c r="D406" s="209" t="str">
        <f t="array" aca="1" ref="D406" ca="1">IF(B406&lt;&gt;"",
IFERROR(MATCH(TRUE,ISNUMBER(INDIRECT("数出表_Excel【15時】!B"&amp;(A406+4)&amp;":ZZ"&amp;(A406+4))),0)+1,""),"")</f>
        <v/>
      </c>
      <c r="E406" t="str">
        <f ca="1">IF(D406&lt;&gt;"",
OFFSET(数出表_Excel【15時】!$A$1,2,D406-1)
&amp;IFERROR(OFFSET(数出表_Excel【15時】!$A$1,3,D406-1),"")
&amp;IFERROR(OFFSET(数出表_Excel【15時】!$A$1,4,D406-1),""),"")</f>
        <v/>
      </c>
      <c r="F406" t="str">
        <f ca="1">IF(D406&lt;&gt;"",
OFFSET(数出表_Excel【15時】!$A$1,A406+3,D406-1),"")</f>
        <v/>
      </c>
      <c r="G406" t="str">
        <f ca="1">IF(D406&lt;&gt;"",
IF(AND(OFFSET(数出表_Excel【15時】!$A$1,A406+3,D406)&lt;&gt;"",OFFSET(数出表_Excel【15時】!$A$1,A406+3,D406)&lt;&gt;0),
OFFSET(数出表_Excel【15時】!$A$1,A406+3,D406),""),"")</f>
        <v/>
      </c>
      <c r="H406" s="209" t="str">
        <f t="array" aca="1" ref="H406" ca="1">IF(B406&lt;&gt;"",
IFERROR(MATCH(TRUE,ISNUMBER(INDIRECT("数出表_Excel【15時】!"&amp;SUBSTITUTE(ADDRESS(1,D406+2,4),"1","")&amp;(A406+4)&amp;":ZZ"&amp;(A406+4))),0)+D406+1,""),"")</f>
        <v/>
      </c>
      <c r="I406" t="str">
        <f ca="1">IF(H406&lt;&gt;"",
OFFSET(数出表_Excel【15時】!$A$1,2,H406-1)
&amp;IFERROR(OFFSET(数出表_Excel【15時】!$A$1,3,H406-1),"")
&amp;IFERROR(OFFSET(数出表_Excel【15時】!$A$1,4,H406-1),""),"")</f>
        <v/>
      </c>
      <c r="J406" t="str">
        <f ca="1">IF(H406&lt;&gt;"",
OFFSET(数出表_Excel【15時】!$A$1,A406+3,H406-1),"")</f>
        <v/>
      </c>
      <c r="K406" t="str">
        <f ca="1">IF(H406&lt;&gt;"",
IF(AND(OFFSET(数出表_Excel【15時】!$A$1,A406+3,H406)&lt;&gt;"",OFFSET(数出表_Excel【15時】!$A$1,A406+3,H406)&lt;&gt;0),
OFFSET(数出表_Excel【15時】!$A$1,A406+3,H406),""),"")</f>
        <v/>
      </c>
      <c r="L406" s="209" t="str">
        <f t="array" aca="1" ref="L406" ca="1">IF(B406&lt;&gt;"",
IFERROR(MATCH(TRUE,ISNUMBER(INDIRECT("数出表_Excel【15時】!"&amp;SUBSTITUTE(ADDRESS(1,H406+2,4),"1","")&amp;(A406+4)&amp;":ZZ"&amp;(A406+4))),0)+H406+1,""),"")</f>
        <v/>
      </c>
      <c r="M406" t="str">
        <f ca="1">IF(L406&lt;&gt;"",
OFFSET(数出表_Excel【15時】!$A$1,2,L406-1)
&amp;IFERROR(OFFSET(数出表_Excel【15時】!$A$1,3,L406-1),"")
&amp;IFERROR(OFFSET(数出表_Excel【15時】!$A$1,4,L406-1),""),"")</f>
        <v/>
      </c>
      <c r="N406" t="str">
        <f ca="1">IF(L406&lt;&gt;"",
OFFSET(数出表_Excel【15時】!$A$1,A406+3,L406-1),"")</f>
        <v/>
      </c>
      <c r="O406" t="str">
        <f ca="1">IF(L406&lt;&gt;"",
IF(AND(OFFSET(数出表_Excel【15時】!$A$1,A406+3,L406)&lt;&gt;"",OFFSET(数出表_Excel【15時】!$A$1,A406+3,L406)&lt;&gt;0),
OFFSET(数出表_Excel【15時】!$A$1,A406+3,L406),""),"")</f>
        <v/>
      </c>
      <c r="Q406" t="str">
        <f ca="1">IF(C406&lt;&gt;"",
IF(E406&lt;&gt;"",1,0)+IF(I406&lt;&gt;"",1,0)+IF(M406&lt;&gt;"",1,0),"")</f>
        <v/>
      </c>
    </row>
    <row r="407" spans="1:17">
      <c r="A407" t="str">
        <f t="shared" ca="1" si="6"/>
        <v/>
      </c>
      <c r="B407" t="str">
        <f t="array" aca="1" ref="B407" ca="1">IF(OR(COUNTIF(数出表_Excel【15時】!AO410,"*修正*"),COUNTIF(数出表_Excel【15時】!AO411,"*修正*")),
IF(ISEVEN(ROW()+4),INDIRECT("数出表_Excel【15時】!A"&amp;ROW()+4&amp;""),INDIRECT("数出表_Excel【15時】!A"&amp;ROW()+4-1&amp;"")),"")</f>
        <v/>
      </c>
      <c r="C407" t="str">
        <f t="array" aca="1" ref="C407" ca="1">IF(OR(COUNTIF(数出表_Excel【15時】!AO410,"*修正*"),COUNTIF(数出表_Excel【15時】!AO411,"*修正*")),
IF(ISEVEN(ROW()+4),INDIRECT("数出表_Excel【15時】!A"&amp;ROW()+4+1&amp;""),INDIRECT("数出表_Excel【15時】!A"&amp;ROW()+4&amp;"")),"")</f>
        <v/>
      </c>
      <c r="D407" s="209" t="str">
        <f t="array" aca="1" ref="D407" ca="1">IF(B407&lt;&gt;"",
IFERROR(MATCH(TRUE,ISNUMBER(INDIRECT("数出表_Excel【15時】!B"&amp;(A407+4)&amp;":ZZ"&amp;(A407+4))),0)+1,""),"")</f>
        <v/>
      </c>
      <c r="E407" t="str">
        <f ca="1">IF(D407&lt;&gt;"",
OFFSET(数出表_Excel【15時】!$A$1,2,D407-1)
&amp;IFERROR(OFFSET(数出表_Excel【15時】!$A$1,3,D407-1),"")
&amp;IFERROR(OFFSET(数出表_Excel【15時】!$A$1,4,D407-1),""),"")</f>
        <v/>
      </c>
      <c r="F407" t="str">
        <f ca="1">IF(D407&lt;&gt;"",
OFFSET(数出表_Excel【15時】!$A$1,A407+3,D407-1),"")</f>
        <v/>
      </c>
      <c r="G407" t="str">
        <f ca="1">IF(D407&lt;&gt;"",
IF(AND(OFFSET(数出表_Excel【15時】!$A$1,A407+3,D407)&lt;&gt;"",OFFSET(数出表_Excel【15時】!$A$1,A407+3,D407)&lt;&gt;0),
OFFSET(数出表_Excel【15時】!$A$1,A407+3,D407),""),"")</f>
        <v/>
      </c>
      <c r="H407" s="209" t="str">
        <f t="array" aca="1" ref="H407" ca="1">IF(B407&lt;&gt;"",
IFERROR(MATCH(TRUE,ISNUMBER(INDIRECT("数出表_Excel【15時】!"&amp;SUBSTITUTE(ADDRESS(1,D407+2,4),"1","")&amp;(A407+4)&amp;":ZZ"&amp;(A407+4))),0)+D407+1,""),"")</f>
        <v/>
      </c>
      <c r="I407" t="str">
        <f ca="1">IF(H407&lt;&gt;"",
OFFSET(数出表_Excel【15時】!$A$1,2,H407-1)
&amp;IFERROR(OFFSET(数出表_Excel【15時】!$A$1,3,H407-1),"")
&amp;IFERROR(OFFSET(数出表_Excel【15時】!$A$1,4,H407-1),""),"")</f>
        <v/>
      </c>
      <c r="J407" t="str">
        <f ca="1">IF(H407&lt;&gt;"",
OFFSET(数出表_Excel【15時】!$A$1,A407+3,H407-1),"")</f>
        <v/>
      </c>
      <c r="K407" t="str">
        <f ca="1">IF(H407&lt;&gt;"",
IF(AND(OFFSET(数出表_Excel【15時】!$A$1,A407+3,H407)&lt;&gt;"",OFFSET(数出表_Excel【15時】!$A$1,A407+3,H407)&lt;&gt;0),
OFFSET(数出表_Excel【15時】!$A$1,A407+3,H407),""),"")</f>
        <v/>
      </c>
      <c r="L407" s="209" t="str">
        <f t="array" aca="1" ref="L407" ca="1">IF(B407&lt;&gt;"",
IFERROR(MATCH(TRUE,ISNUMBER(INDIRECT("数出表_Excel【15時】!"&amp;SUBSTITUTE(ADDRESS(1,H407+2,4),"1","")&amp;(A407+4)&amp;":ZZ"&amp;(A407+4))),0)+H407+1,""),"")</f>
        <v/>
      </c>
      <c r="M407" t="str">
        <f ca="1">IF(L407&lt;&gt;"",
OFFSET(数出表_Excel【15時】!$A$1,2,L407-1)
&amp;IFERROR(OFFSET(数出表_Excel【15時】!$A$1,3,L407-1),"")
&amp;IFERROR(OFFSET(数出表_Excel【15時】!$A$1,4,L407-1),""),"")</f>
        <v/>
      </c>
      <c r="N407" t="str">
        <f ca="1">IF(L407&lt;&gt;"",
OFFSET(数出表_Excel【15時】!$A$1,A407+3,L407-1),"")</f>
        <v/>
      </c>
      <c r="O407" t="str">
        <f ca="1">IF(L407&lt;&gt;"",
IF(AND(OFFSET(数出表_Excel【15時】!$A$1,A407+3,L407)&lt;&gt;"",OFFSET(数出表_Excel【15時】!$A$1,A407+3,L407)&lt;&gt;0),
OFFSET(数出表_Excel【15時】!$A$1,A407+3,L407),""),"")</f>
        <v/>
      </c>
    </row>
    <row r="408" spans="1:17">
      <c r="A408" t="str">
        <f t="shared" ca="1" si="6"/>
        <v/>
      </c>
      <c r="B408" t="str">
        <f t="array" aca="1" ref="B408" ca="1">IF(OR(COUNTIF(数出表_Excel【15時】!AO412,"*修正*"),COUNTIF(数出表_Excel【15時】!AO413,"*修正*")),
IF(ISEVEN(ROW()+4),INDIRECT("数出表_Excel【15時】!A"&amp;ROW()+4&amp;""),INDIRECT("数出表_Excel【15時】!A"&amp;ROW()+4-1&amp;"")),"")</f>
        <v/>
      </c>
      <c r="C408" t="str">
        <f t="array" aca="1" ref="C408" ca="1">IF(OR(COUNTIF(数出表_Excel【15時】!AO412,"*修正*"),COUNTIF(数出表_Excel【15時】!AO413,"*修正*")),
IF(ISEVEN(ROW()+4),INDIRECT("数出表_Excel【15時】!A"&amp;ROW()+4+1&amp;""),INDIRECT("数出表_Excel【15時】!A"&amp;ROW()+4&amp;"")),"")</f>
        <v/>
      </c>
      <c r="D408" s="209" t="str">
        <f t="array" aca="1" ref="D408" ca="1">IF(B408&lt;&gt;"",
IFERROR(MATCH(TRUE,ISNUMBER(INDIRECT("数出表_Excel【15時】!B"&amp;(A408+4)&amp;":ZZ"&amp;(A408+4))),0)+1,""),"")</f>
        <v/>
      </c>
      <c r="E408" t="str">
        <f ca="1">IF(D408&lt;&gt;"",
OFFSET(数出表_Excel【15時】!$A$1,2,D408-1)
&amp;IFERROR(OFFSET(数出表_Excel【15時】!$A$1,3,D408-1),"")
&amp;IFERROR(OFFSET(数出表_Excel【15時】!$A$1,4,D408-1),""),"")</f>
        <v/>
      </c>
      <c r="F408" t="str">
        <f ca="1">IF(D408&lt;&gt;"",
OFFSET(数出表_Excel【15時】!$A$1,A408+3,D408-1),"")</f>
        <v/>
      </c>
      <c r="G408" t="str">
        <f ca="1">IF(D408&lt;&gt;"",
IF(AND(OFFSET(数出表_Excel【15時】!$A$1,A408+3,D408)&lt;&gt;"",OFFSET(数出表_Excel【15時】!$A$1,A408+3,D408)&lt;&gt;0),
OFFSET(数出表_Excel【15時】!$A$1,A408+3,D408),""),"")</f>
        <v/>
      </c>
      <c r="H408" s="209" t="str">
        <f t="array" aca="1" ref="H408" ca="1">IF(B408&lt;&gt;"",
IFERROR(MATCH(TRUE,ISNUMBER(INDIRECT("数出表_Excel【15時】!"&amp;SUBSTITUTE(ADDRESS(1,D408+2,4),"1","")&amp;(A408+4)&amp;":ZZ"&amp;(A408+4))),0)+D408+1,""),"")</f>
        <v/>
      </c>
      <c r="I408" t="str">
        <f ca="1">IF(H408&lt;&gt;"",
OFFSET(数出表_Excel【15時】!$A$1,2,H408-1)
&amp;IFERROR(OFFSET(数出表_Excel【15時】!$A$1,3,H408-1),"")
&amp;IFERROR(OFFSET(数出表_Excel【15時】!$A$1,4,H408-1),""),"")</f>
        <v/>
      </c>
      <c r="J408" t="str">
        <f ca="1">IF(H408&lt;&gt;"",
OFFSET(数出表_Excel【15時】!$A$1,A408+3,H408-1),"")</f>
        <v/>
      </c>
      <c r="K408" t="str">
        <f ca="1">IF(H408&lt;&gt;"",
IF(AND(OFFSET(数出表_Excel【15時】!$A$1,A408+3,H408)&lt;&gt;"",OFFSET(数出表_Excel【15時】!$A$1,A408+3,H408)&lt;&gt;0),
OFFSET(数出表_Excel【15時】!$A$1,A408+3,H408),""),"")</f>
        <v/>
      </c>
      <c r="L408" s="209" t="str">
        <f t="array" aca="1" ref="L408" ca="1">IF(B408&lt;&gt;"",
IFERROR(MATCH(TRUE,ISNUMBER(INDIRECT("数出表_Excel【15時】!"&amp;SUBSTITUTE(ADDRESS(1,H408+2,4),"1","")&amp;(A408+4)&amp;":ZZ"&amp;(A408+4))),0)+H408+1,""),"")</f>
        <v/>
      </c>
      <c r="M408" t="str">
        <f ca="1">IF(L408&lt;&gt;"",
OFFSET(数出表_Excel【15時】!$A$1,2,L408-1)
&amp;IFERROR(OFFSET(数出表_Excel【15時】!$A$1,3,L408-1),"")
&amp;IFERROR(OFFSET(数出表_Excel【15時】!$A$1,4,L408-1),""),"")</f>
        <v/>
      </c>
      <c r="N408" t="str">
        <f ca="1">IF(L408&lt;&gt;"",
OFFSET(数出表_Excel【15時】!$A$1,A408+3,L408-1),"")</f>
        <v/>
      </c>
      <c r="O408" t="str">
        <f ca="1">IF(L408&lt;&gt;"",
IF(AND(OFFSET(数出表_Excel【15時】!$A$1,A408+3,L408)&lt;&gt;"",OFFSET(数出表_Excel【15時】!$A$1,A408+3,L408)&lt;&gt;0),
OFFSET(数出表_Excel【15時】!$A$1,A408+3,L408),""),"")</f>
        <v/>
      </c>
      <c r="Q408" t="str">
        <f ca="1">IF(C408&lt;&gt;"",
IF(E408&lt;&gt;"",1,0)+IF(I408&lt;&gt;"",1,0)+IF(M408&lt;&gt;"",1,0),"")</f>
        <v/>
      </c>
    </row>
    <row r="409" spans="1:17">
      <c r="A409" t="str">
        <f t="shared" ca="1" si="6"/>
        <v/>
      </c>
      <c r="B409" t="str">
        <f t="array" aca="1" ref="B409" ca="1">IF(OR(COUNTIF(数出表_Excel【15時】!AO412,"*修正*"),COUNTIF(数出表_Excel【15時】!AO413,"*修正*")),
IF(ISEVEN(ROW()+4),INDIRECT("数出表_Excel【15時】!A"&amp;ROW()+4&amp;""),INDIRECT("数出表_Excel【15時】!A"&amp;ROW()+4-1&amp;"")),"")</f>
        <v/>
      </c>
      <c r="C409" t="str">
        <f t="array" aca="1" ref="C409" ca="1">IF(OR(COUNTIF(数出表_Excel【15時】!AO412,"*修正*"),COUNTIF(数出表_Excel【15時】!AO413,"*修正*")),
IF(ISEVEN(ROW()+4),INDIRECT("数出表_Excel【15時】!A"&amp;ROW()+4+1&amp;""),INDIRECT("数出表_Excel【15時】!A"&amp;ROW()+4&amp;"")),"")</f>
        <v/>
      </c>
      <c r="D409" s="209" t="str">
        <f t="array" aca="1" ref="D409" ca="1">IF(B409&lt;&gt;"",
IFERROR(MATCH(TRUE,ISNUMBER(INDIRECT("数出表_Excel【15時】!B"&amp;(A409+4)&amp;":ZZ"&amp;(A409+4))),0)+1,""),"")</f>
        <v/>
      </c>
      <c r="E409" t="str">
        <f ca="1">IF(D409&lt;&gt;"",
OFFSET(数出表_Excel【15時】!$A$1,2,D409-1)
&amp;IFERROR(OFFSET(数出表_Excel【15時】!$A$1,3,D409-1),"")
&amp;IFERROR(OFFSET(数出表_Excel【15時】!$A$1,4,D409-1),""),"")</f>
        <v/>
      </c>
      <c r="F409" t="str">
        <f ca="1">IF(D409&lt;&gt;"",
OFFSET(数出表_Excel【15時】!$A$1,A409+3,D409-1),"")</f>
        <v/>
      </c>
      <c r="G409" t="str">
        <f ca="1">IF(D409&lt;&gt;"",
IF(AND(OFFSET(数出表_Excel【15時】!$A$1,A409+3,D409)&lt;&gt;"",OFFSET(数出表_Excel【15時】!$A$1,A409+3,D409)&lt;&gt;0),
OFFSET(数出表_Excel【15時】!$A$1,A409+3,D409),""),"")</f>
        <v/>
      </c>
      <c r="H409" s="209" t="str">
        <f t="array" aca="1" ref="H409" ca="1">IF(B409&lt;&gt;"",
IFERROR(MATCH(TRUE,ISNUMBER(INDIRECT("数出表_Excel【15時】!"&amp;SUBSTITUTE(ADDRESS(1,D409+2,4),"1","")&amp;(A409+4)&amp;":ZZ"&amp;(A409+4))),0)+D409+1,""),"")</f>
        <v/>
      </c>
      <c r="I409" t="str">
        <f ca="1">IF(H409&lt;&gt;"",
OFFSET(数出表_Excel【15時】!$A$1,2,H409-1)
&amp;IFERROR(OFFSET(数出表_Excel【15時】!$A$1,3,H409-1),"")
&amp;IFERROR(OFFSET(数出表_Excel【15時】!$A$1,4,H409-1),""),"")</f>
        <v/>
      </c>
      <c r="J409" t="str">
        <f ca="1">IF(H409&lt;&gt;"",
OFFSET(数出表_Excel【15時】!$A$1,A409+3,H409-1),"")</f>
        <v/>
      </c>
      <c r="K409" t="str">
        <f ca="1">IF(H409&lt;&gt;"",
IF(AND(OFFSET(数出表_Excel【15時】!$A$1,A409+3,H409)&lt;&gt;"",OFFSET(数出表_Excel【15時】!$A$1,A409+3,H409)&lt;&gt;0),
OFFSET(数出表_Excel【15時】!$A$1,A409+3,H409),""),"")</f>
        <v/>
      </c>
      <c r="L409" s="209" t="str">
        <f t="array" aca="1" ref="L409" ca="1">IF(B409&lt;&gt;"",
IFERROR(MATCH(TRUE,ISNUMBER(INDIRECT("数出表_Excel【15時】!"&amp;SUBSTITUTE(ADDRESS(1,H409+2,4),"1","")&amp;(A409+4)&amp;":ZZ"&amp;(A409+4))),0)+H409+1,""),"")</f>
        <v/>
      </c>
      <c r="M409" t="str">
        <f ca="1">IF(L409&lt;&gt;"",
OFFSET(数出表_Excel【15時】!$A$1,2,L409-1)
&amp;IFERROR(OFFSET(数出表_Excel【15時】!$A$1,3,L409-1),"")
&amp;IFERROR(OFFSET(数出表_Excel【15時】!$A$1,4,L409-1),""),"")</f>
        <v/>
      </c>
      <c r="N409" t="str">
        <f ca="1">IF(L409&lt;&gt;"",
OFFSET(数出表_Excel【15時】!$A$1,A409+3,L409-1),"")</f>
        <v/>
      </c>
      <c r="O409" t="str">
        <f ca="1">IF(L409&lt;&gt;"",
IF(AND(OFFSET(数出表_Excel【15時】!$A$1,A409+3,L409)&lt;&gt;"",OFFSET(数出表_Excel【15時】!$A$1,A409+3,L409)&lt;&gt;0),
OFFSET(数出表_Excel【15時】!$A$1,A409+3,L409),""),"")</f>
        <v/>
      </c>
    </row>
    <row r="410" spans="1:17">
      <c r="A410" t="str">
        <f t="shared" ca="1" si="6"/>
        <v/>
      </c>
      <c r="B410" t="str">
        <f t="array" aca="1" ref="B410" ca="1">IF(OR(COUNTIF(数出表_Excel【15時】!AO414,"*修正*"),COUNTIF(数出表_Excel【15時】!AO415,"*修正*")),
IF(ISEVEN(ROW()+4),INDIRECT("数出表_Excel【15時】!A"&amp;ROW()+4&amp;""),INDIRECT("数出表_Excel【15時】!A"&amp;ROW()+4-1&amp;"")),"")</f>
        <v/>
      </c>
      <c r="C410" t="str">
        <f t="array" aca="1" ref="C410" ca="1">IF(OR(COUNTIF(数出表_Excel【15時】!AO414,"*修正*"),COUNTIF(数出表_Excel【15時】!AO415,"*修正*")),
IF(ISEVEN(ROW()+4),INDIRECT("数出表_Excel【15時】!A"&amp;ROW()+4+1&amp;""),INDIRECT("数出表_Excel【15時】!A"&amp;ROW()+4&amp;"")),"")</f>
        <v/>
      </c>
      <c r="D410" s="209" t="str">
        <f t="array" aca="1" ref="D410" ca="1">IF(B410&lt;&gt;"",
IFERROR(MATCH(TRUE,ISNUMBER(INDIRECT("数出表_Excel【15時】!B"&amp;(A410+4)&amp;":ZZ"&amp;(A410+4))),0)+1,""),"")</f>
        <v/>
      </c>
      <c r="E410" t="str">
        <f ca="1">IF(D410&lt;&gt;"",
OFFSET(数出表_Excel【15時】!$A$1,2,D410-1)
&amp;IFERROR(OFFSET(数出表_Excel【15時】!$A$1,3,D410-1),"")
&amp;IFERROR(OFFSET(数出表_Excel【15時】!$A$1,4,D410-1),""),"")</f>
        <v/>
      </c>
      <c r="F410" t="str">
        <f ca="1">IF(D410&lt;&gt;"",
OFFSET(数出表_Excel【15時】!$A$1,A410+3,D410-1),"")</f>
        <v/>
      </c>
      <c r="G410" t="str">
        <f ca="1">IF(D410&lt;&gt;"",
IF(AND(OFFSET(数出表_Excel【15時】!$A$1,A410+3,D410)&lt;&gt;"",OFFSET(数出表_Excel【15時】!$A$1,A410+3,D410)&lt;&gt;0),
OFFSET(数出表_Excel【15時】!$A$1,A410+3,D410),""),"")</f>
        <v/>
      </c>
      <c r="H410" s="209" t="str">
        <f t="array" aca="1" ref="H410" ca="1">IF(B410&lt;&gt;"",
IFERROR(MATCH(TRUE,ISNUMBER(INDIRECT("数出表_Excel【15時】!"&amp;SUBSTITUTE(ADDRESS(1,D410+2,4),"1","")&amp;(A410+4)&amp;":ZZ"&amp;(A410+4))),0)+D410+1,""),"")</f>
        <v/>
      </c>
      <c r="I410" t="str">
        <f ca="1">IF(H410&lt;&gt;"",
OFFSET(数出表_Excel【15時】!$A$1,2,H410-1)
&amp;IFERROR(OFFSET(数出表_Excel【15時】!$A$1,3,H410-1),"")
&amp;IFERROR(OFFSET(数出表_Excel【15時】!$A$1,4,H410-1),""),"")</f>
        <v/>
      </c>
      <c r="J410" t="str">
        <f ca="1">IF(H410&lt;&gt;"",
OFFSET(数出表_Excel【15時】!$A$1,A410+3,H410-1),"")</f>
        <v/>
      </c>
      <c r="K410" t="str">
        <f ca="1">IF(H410&lt;&gt;"",
IF(AND(OFFSET(数出表_Excel【15時】!$A$1,A410+3,H410)&lt;&gt;"",OFFSET(数出表_Excel【15時】!$A$1,A410+3,H410)&lt;&gt;0),
OFFSET(数出表_Excel【15時】!$A$1,A410+3,H410),""),"")</f>
        <v/>
      </c>
      <c r="L410" s="209" t="str">
        <f t="array" aca="1" ref="L410" ca="1">IF(B410&lt;&gt;"",
IFERROR(MATCH(TRUE,ISNUMBER(INDIRECT("数出表_Excel【15時】!"&amp;SUBSTITUTE(ADDRESS(1,H410+2,4),"1","")&amp;(A410+4)&amp;":ZZ"&amp;(A410+4))),0)+H410+1,""),"")</f>
        <v/>
      </c>
      <c r="M410" t="str">
        <f ca="1">IF(L410&lt;&gt;"",
OFFSET(数出表_Excel【15時】!$A$1,2,L410-1)
&amp;IFERROR(OFFSET(数出表_Excel【15時】!$A$1,3,L410-1),"")
&amp;IFERROR(OFFSET(数出表_Excel【15時】!$A$1,4,L410-1),""),"")</f>
        <v/>
      </c>
      <c r="N410" t="str">
        <f ca="1">IF(L410&lt;&gt;"",
OFFSET(数出表_Excel【15時】!$A$1,A410+3,L410-1),"")</f>
        <v/>
      </c>
      <c r="O410" t="str">
        <f ca="1">IF(L410&lt;&gt;"",
IF(AND(OFFSET(数出表_Excel【15時】!$A$1,A410+3,L410)&lt;&gt;"",OFFSET(数出表_Excel【15時】!$A$1,A410+3,L410)&lt;&gt;0),
OFFSET(数出表_Excel【15時】!$A$1,A410+3,L410),""),"")</f>
        <v/>
      </c>
      <c r="Q410" t="str">
        <f ca="1">IF(C410&lt;&gt;"",
IF(E410&lt;&gt;"",1,0)+IF(I410&lt;&gt;"",1,0)+IF(M410&lt;&gt;"",1,0),"")</f>
        <v/>
      </c>
    </row>
    <row r="411" spans="1:17">
      <c r="A411" t="str">
        <f t="shared" ca="1" si="6"/>
        <v/>
      </c>
      <c r="B411" t="str">
        <f t="array" aca="1" ref="B411" ca="1">IF(OR(COUNTIF(数出表_Excel【15時】!AO414,"*修正*"),COUNTIF(数出表_Excel【15時】!AO415,"*修正*")),
IF(ISEVEN(ROW()+4),INDIRECT("数出表_Excel【15時】!A"&amp;ROW()+4&amp;""),INDIRECT("数出表_Excel【15時】!A"&amp;ROW()+4-1&amp;"")),"")</f>
        <v/>
      </c>
      <c r="C411" t="str">
        <f t="array" aca="1" ref="C411" ca="1">IF(OR(COUNTIF(数出表_Excel【15時】!AO414,"*修正*"),COUNTIF(数出表_Excel【15時】!AO415,"*修正*")),
IF(ISEVEN(ROW()+4),INDIRECT("数出表_Excel【15時】!A"&amp;ROW()+4+1&amp;""),INDIRECT("数出表_Excel【15時】!A"&amp;ROW()+4&amp;"")),"")</f>
        <v/>
      </c>
      <c r="D411" s="209" t="str">
        <f t="array" aca="1" ref="D411" ca="1">IF(B411&lt;&gt;"",
IFERROR(MATCH(TRUE,ISNUMBER(INDIRECT("数出表_Excel【15時】!B"&amp;(A411+4)&amp;":ZZ"&amp;(A411+4))),0)+1,""),"")</f>
        <v/>
      </c>
      <c r="E411" t="str">
        <f ca="1">IF(D411&lt;&gt;"",
OFFSET(数出表_Excel【15時】!$A$1,2,D411-1)
&amp;IFERROR(OFFSET(数出表_Excel【15時】!$A$1,3,D411-1),"")
&amp;IFERROR(OFFSET(数出表_Excel【15時】!$A$1,4,D411-1),""),"")</f>
        <v/>
      </c>
      <c r="F411" t="str">
        <f ca="1">IF(D411&lt;&gt;"",
OFFSET(数出表_Excel【15時】!$A$1,A411+3,D411-1),"")</f>
        <v/>
      </c>
      <c r="G411" t="str">
        <f ca="1">IF(D411&lt;&gt;"",
IF(AND(OFFSET(数出表_Excel【15時】!$A$1,A411+3,D411)&lt;&gt;"",OFFSET(数出表_Excel【15時】!$A$1,A411+3,D411)&lt;&gt;0),
OFFSET(数出表_Excel【15時】!$A$1,A411+3,D411),""),"")</f>
        <v/>
      </c>
      <c r="H411" s="209" t="str">
        <f t="array" aca="1" ref="H411" ca="1">IF(B411&lt;&gt;"",
IFERROR(MATCH(TRUE,ISNUMBER(INDIRECT("数出表_Excel【15時】!"&amp;SUBSTITUTE(ADDRESS(1,D411+2,4),"1","")&amp;(A411+4)&amp;":ZZ"&amp;(A411+4))),0)+D411+1,""),"")</f>
        <v/>
      </c>
      <c r="I411" t="str">
        <f ca="1">IF(H411&lt;&gt;"",
OFFSET(数出表_Excel【15時】!$A$1,2,H411-1)
&amp;IFERROR(OFFSET(数出表_Excel【15時】!$A$1,3,H411-1),"")
&amp;IFERROR(OFFSET(数出表_Excel【15時】!$A$1,4,H411-1),""),"")</f>
        <v/>
      </c>
      <c r="J411" t="str">
        <f ca="1">IF(H411&lt;&gt;"",
OFFSET(数出表_Excel【15時】!$A$1,A411+3,H411-1),"")</f>
        <v/>
      </c>
      <c r="K411" t="str">
        <f ca="1">IF(H411&lt;&gt;"",
IF(AND(OFFSET(数出表_Excel【15時】!$A$1,A411+3,H411)&lt;&gt;"",OFFSET(数出表_Excel【15時】!$A$1,A411+3,H411)&lt;&gt;0),
OFFSET(数出表_Excel【15時】!$A$1,A411+3,H411),""),"")</f>
        <v/>
      </c>
      <c r="L411" s="209" t="str">
        <f t="array" aca="1" ref="L411" ca="1">IF(B411&lt;&gt;"",
IFERROR(MATCH(TRUE,ISNUMBER(INDIRECT("数出表_Excel【15時】!"&amp;SUBSTITUTE(ADDRESS(1,H411+2,4),"1","")&amp;(A411+4)&amp;":ZZ"&amp;(A411+4))),0)+H411+1,""),"")</f>
        <v/>
      </c>
      <c r="M411" t="str">
        <f ca="1">IF(L411&lt;&gt;"",
OFFSET(数出表_Excel【15時】!$A$1,2,L411-1)
&amp;IFERROR(OFFSET(数出表_Excel【15時】!$A$1,3,L411-1),"")
&amp;IFERROR(OFFSET(数出表_Excel【15時】!$A$1,4,L411-1),""),"")</f>
        <v/>
      </c>
      <c r="N411" t="str">
        <f ca="1">IF(L411&lt;&gt;"",
OFFSET(数出表_Excel【15時】!$A$1,A411+3,L411-1),"")</f>
        <v/>
      </c>
      <c r="O411" t="str">
        <f ca="1">IF(L411&lt;&gt;"",
IF(AND(OFFSET(数出表_Excel【15時】!$A$1,A411+3,L411)&lt;&gt;"",OFFSET(数出表_Excel【15時】!$A$1,A411+3,L411)&lt;&gt;0),
OFFSET(数出表_Excel【15時】!$A$1,A411+3,L411),""),"")</f>
        <v/>
      </c>
    </row>
    <row r="412" spans="1:17">
      <c r="A412" t="str">
        <f t="shared" ca="1" si="6"/>
        <v/>
      </c>
      <c r="B412" t="str">
        <f t="array" aca="1" ref="B412" ca="1">IF(OR(COUNTIF(数出表_Excel【15時】!AO416,"*修正*"),COUNTIF(数出表_Excel【15時】!AO417,"*修正*")),
IF(ISEVEN(ROW()+4),INDIRECT("数出表_Excel【15時】!A"&amp;ROW()+4&amp;""),INDIRECT("数出表_Excel【15時】!A"&amp;ROW()+4-1&amp;"")),"")</f>
        <v/>
      </c>
      <c r="C412" t="str">
        <f t="array" aca="1" ref="C412" ca="1">IF(OR(COUNTIF(数出表_Excel【15時】!AO416,"*修正*"),COUNTIF(数出表_Excel【15時】!AO417,"*修正*")),
IF(ISEVEN(ROW()+4),INDIRECT("数出表_Excel【15時】!A"&amp;ROW()+4+1&amp;""),INDIRECT("数出表_Excel【15時】!A"&amp;ROW()+4&amp;"")),"")</f>
        <v/>
      </c>
      <c r="D412" s="209" t="str">
        <f t="array" aca="1" ref="D412" ca="1">IF(B412&lt;&gt;"",
IFERROR(MATCH(TRUE,ISNUMBER(INDIRECT("数出表_Excel【15時】!B"&amp;(A412+4)&amp;":ZZ"&amp;(A412+4))),0)+1,""),"")</f>
        <v/>
      </c>
      <c r="E412" t="str">
        <f ca="1">IF(D412&lt;&gt;"",
OFFSET(数出表_Excel【15時】!$A$1,2,D412-1)
&amp;IFERROR(OFFSET(数出表_Excel【15時】!$A$1,3,D412-1),"")
&amp;IFERROR(OFFSET(数出表_Excel【15時】!$A$1,4,D412-1),""),"")</f>
        <v/>
      </c>
      <c r="F412" t="str">
        <f ca="1">IF(D412&lt;&gt;"",
OFFSET(数出表_Excel【15時】!$A$1,A412+3,D412-1),"")</f>
        <v/>
      </c>
      <c r="G412" t="str">
        <f ca="1">IF(D412&lt;&gt;"",
IF(AND(OFFSET(数出表_Excel【15時】!$A$1,A412+3,D412)&lt;&gt;"",OFFSET(数出表_Excel【15時】!$A$1,A412+3,D412)&lt;&gt;0),
OFFSET(数出表_Excel【15時】!$A$1,A412+3,D412),""),"")</f>
        <v/>
      </c>
      <c r="H412" s="209" t="str">
        <f t="array" aca="1" ref="H412" ca="1">IF(B412&lt;&gt;"",
IFERROR(MATCH(TRUE,ISNUMBER(INDIRECT("数出表_Excel【15時】!"&amp;SUBSTITUTE(ADDRESS(1,D412+2,4),"1","")&amp;(A412+4)&amp;":ZZ"&amp;(A412+4))),0)+D412+1,""),"")</f>
        <v/>
      </c>
      <c r="I412" t="str">
        <f ca="1">IF(H412&lt;&gt;"",
OFFSET(数出表_Excel【15時】!$A$1,2,H412-1)
&amp;IFERROR(OFFSET(数出表_Excel【15時】!$A$1,3,H412-1),"")
&amp;IFERROR(OFFSET(数出表_Excel【15時】!$A$1,4,H412-1),""),"")</f>
        <v/>
      </c>
      <c r="J412" t="str">
        <f ca="1">IF(H412&lt;&gt;"",
OFFSET(数出表_Excel【15時】!$A$1,A412+3,H412-1),"")</f>
        <v/>
      </c>
      <c r="K412" t="str">
        <f ca="1">IF(H412&lt;&gt;"",
IF(AND(OFFSET(数出表_Excel【15時】!$A$1,A412+3,H412)&lt;&gt;"",OFFSET(数出表_Excel【15時】!$A$1,A412+3,H412)&lt;&gt;0),
OFFSET(数出表_Excel【15時】!$A$1,A412+3,H412),""),"")</f>
        <v/>
      </c>
      <c r="L412" s="209" t="str">
        <f t="array" aca="1" ref="L412" ca="1">IF(B412&lt;&gt;"",
IFERROR(MATCH(TRUE,ISNUMBER(INDIRECT("数出表_Excel【15時】!"&amp;SUBSTITUTE(ADDRESS(1,H412+2,4),"1","")&amp;(A412+4)&amp;":ZZ"&amp;(A412+4))),0)+H412+1,""),"")</f>
        <v/>
      </c>
      <c r="M412" t="str">
        <f ca="1">IF(L412&lt;&gt;"",
OFFSET(数出表_Excel【15時】!$A$1,2,L412-1)
&amp;IFERROR(OFFSET(数出表_Excel【15時】!$A$1,3,L412-1),"")
&amp;IFERROR(OFFSET(数出表_Excel【15時】!$A$1,4,L412-1),""),"")</f>
        <v/>
      </c>
      <c r="N412" t="str">
        <f ca="1">IF(L412&lt;&gt;"",
OFFSET(数出表_Excel【15時】!$A$1,A412+3,L412-1),"")</f>
        <v/>
      </c>
      <c r="O412" t="str">
        <f ca="1">IF(L412&lt;&gt;"",
IF(AND(OFFSET(数出表_Excel【15時】!$A$1,A412+3,L412)&lt;&gt;"",OFFSET(数出表_Excel【15時】!$A$1,A412+3,L412)&lt;&gt;0),
OFFSET(数出表_Excel【15時】!$A$1,A412+3,L412),""),"")</f>
        <v/>
      </c>
      <c r="Q412" t="str">
        <f ca="1">IF(C412&lt;&gt;"",
IF(E412&lt;&gt;"",1,0)+IF(I412&lt;&gt;"",1,0)+IF(M412&lt;&gt;"",1,0),"")</f>
        <v/>
      </c>
    </row>
    <row r="413" spans="1:17">
      <c r="A413" t="str">
        <f t="shared" ca="1" si="6"/>
        <v/>
      </c>
      <c r="B413" t="str">
        <f t="array" aca="1" ref="B413" ca="1">IF(OR(COUNTIF(数出表_Excel【15時】!AO416,"*修正*"),COUNTIF(数出表_Excel【15時】!AO417,"*修正*")),
IF(ISEVEN(ROW()+4),INDIRECT("数出表_Excel【15時】!A"&amp;ROW()+4&amp;""),INDIRECT("数出表_Excel【15時】!A"&amp;ROW()+4-1&amp;"")),"")</f>
        <v/>
      </c>
      <c r="C413" t="str">
        <f t="array" aca="1" ref="C413" ca="1">IF(OR(COUNTIF(数出表_Excel【15時】!AO416,"*修正*"),COUNTIF(数出表_Excel【15時】!AO417,"*修正*")),
IF(ISEVEN(ROW()+4),INDIRECT("数出表_Excel【15時】!A"&amp;ROW()+4+1&amp;""),INDIRECT("数出表_Excel【15時】!A"&amp;ROW()+4&amp;"")),"")</f>
        <v/>
      </c>
      <c r="D413" s="209" t="str">
        <f t="array" aca="1" ref="D413" ca="1">IF(B413&lt;&gt;"",
IFERROR(MATCH(TRUE,ISNUMBER(INDIRECT("数出表_Excel【15時】!B"&amp;(A413+4)&amp;":ZZ"&amp;(A413+4))),0)+1,""),"")</f>
        <v/>
      </c>
      <c r="E413" t="str">
        <f ca="1">IF(D413&lt;&gt;"",
OFFSET(数出表_Excel【15時】!$A$1,2,D413-1)
&amp;IFERROR(OFFSET(数出表_Excel【15時】!$A$1,3,D413-1),"")
&amp;IFERROR(OFFSET(数出表_Excel【15時】!$A$1,4,D413-1),""),"")</f>
        <v/>
      </c>
      <c r="F413" t="str">
        <f ca="1">IF(D413&lt;&gt;"",
OFFSET(数出表_Excel【15時】!$A$1,A413+3,D413-1),"")</f>
        <v/>
      </c>
      <c r="G413" t="str">
        <f ca="1">IF(D413&lt;&gt;"",
IF(AND(OFFSET(数出表_Excel【15時】!$A$1,A413+3,D413)&lt;&gt;"",OFFSET(数出表_Excel【15時】!$A$1,A413+3,D413)&lt;&gt;0),
OFFSET(数出表_Excel【15時】!$A$1,A413+3,D413),""),"")</f>
        <v/>
      </c>
      <c r="H413" s="209" t="str">
        <f t="array" aca="1" ref="H413" ca="1">IF(B413&lt;&gt;"",
IFERROR(MATCH(TRUE,ISNUMBER(INDIRECT("数出表_Excel【15時】!"&amp;SUBSTITUTE(ADDRESS(1,D413+2,4),"1","")&amp;(A413+4)&amp;":ZZ"&amp;(A413+4))),0)+D413+1,""),"")</f>
        <v/>
      </c>
      <c r="I413" t="str">
        <f ca="1">IF(H413&lt;&gt;"",
OFFSET(数出表_Excel【15時】!$A$1,2,H413-1)
&amp;IFERROR(OFFSET(数出表_Excel【15時】!$A$1,3,H413-1),"")
&amp;IFERROR(OFFSET(数出表_Excel【15時】!$A$1,4,H413-1),""),"")</f>
        <v/>
      </c>
      <c r="J413" t="str">
        <f ca="1">IF(H413&lt;&gt;"",
OFFSET(数出表_Excel【15時】!$A$1,A413+3,H413-1),"")</f>
        <v/>
      </c>
      <c r="K413" t="str">
        <f ca="1">IF(H413&lt;&gt;"",
IF(AND(OFFSET(数出表_Excel【15時】!$A$1,A413+3,H413)&lt;&gt;"",OFFSET(数出表_Excel【15時】!$A$1,A413+3,H413)&lt;&gt;0),
OFFSET(数出表_Excel【15時】!$A$1,A413+3,H413),""),"")</f>
        <v/>
      </c>
      <c r="L413" s="209" t="str">
        <f t="array" aca="1" ref="L413" ca="1">IF(B413&lt;&gt;"",
IFERROR(MATCH(TRUE,ISNUMBER(INDIRECT("数出表_Excel【15時】!"&amp;SUBSTITUTE(ADDRESS(1,H413+2,4),"1","")&amp;(A413+4)&amp;":ZZ"&amp;(A413+4))),0)+H413+1,""),"")</f>
        <v/>
      </c>
      <c r="M413" t="str">
        <f ca="1">IF(L413&lt;&gt;"",
OFFSET(数出表_Excel【15時】!$A$1,2,L413-1)
&amp;IFERROR(OFFSET(数出表_Excel【15時】!$A$1,3,L413-1),"")
&amp;IFERROR(OFFSET(数出表_Excel【15時】!$A$1,4,L413-1),""),"")</f>
        <v/>
      </c>
      <c r="N413" t="str">
        <f ca="1">IF(L413&lt;&gt;"",
OFFSET(数出表_Excel【15時】!$A$1,A413+3,L413-1),"")</f>
        <v/>
      </c>
      <c r="O413" t="str">
        <f ca="1">IF(L413&lt;&gt;"",
IF(AND(OFFSET(数出表_Excel【15時】!$A$1,A413+3,L413)&lt;&gt;"",OFFSET(数出表_Excel【15時】!$A$1,A413+3,L413)&lt;&gt;0),
OFFSET(数出表_Excel【15時】!$A$1,A413+3,L413),""),"")</f>
        <v/>
      </c>
    </row>
    <row r="414" spans="1:17">
      <c r="A414" t="str">
        <f t="shared" ca="1" si="6"/>
        <v/>
      </c>
      <c r="B414" t="str">
        <f t="array" aca="1" ref="B414" ca="1">IF(OR(COUNTIF(数出表_Excel【15時】!AO418,"*修正*"),COUNTIF(数出表_Excel【15時】!AO419,"*修正*")),
IF(ISEVEN(ROW()+4),INDIRECT("数出表_Excel【15時】!A"&amp;ROW()+4&amp;""),INDIRECT("数出表_Excel【15時】!A"&amp;ROW()+4-1&amp;"")),"")</f>
        <v/>
      </c>
      <c r="C414" t="str">
        <f t="array" aca="1" ref="C414" ca="1">IF(OR(COUNTIF(数出表_Excel【15時】!AO418,"*修正*"),COUNTIF(数出表_Excel【15時】!AO419,"*修正*")),
IF(ISEVEN(ROW()+4),INDIRECT("数出表_Excel【15時】!A"&amp;ROW()+4+1&amp;""),INDIRECT("数出表_Excel【15時】!A"&amp;ROW()+4&amp;"")),"")</f>
        <v/>
      </c>
      <c r="D414" s="209" t="str">
        <f t="array" aca="1" ref="D414" ca="1">IF(B414&lt;&gt;"",
IFERROR(MATCH(TRUE,ISNUMBER(INDIRECT("数出表_Excel【15時】!B"&amp;(A414+4)&amp;":ZZ"&amp;(A414+4))),0)+1,""),"")</f>
        <v/>
      </c>
      <c r="E414" t="str">
        <f ca="1">IF(D414&lt;&gt;"",
OFFSET(数出表_Excel【15時】!$A$1,2,D414-1)
&amp;IFERROR(OFFSET(数出表_Excel【15時】!$A$1,3,D414-1),"")
&amp;IFERROR(OFFSET(数出表_Excel【15時】!$A$1,4,D414-1),""),"")</f>
        <v/>
      </c>
      <c r="F414" t="str">
        <f ca="1">IF(D414&lt;&gt;"",
OFFSET(数出表_Excel【15時】!$A$1,A414+3,D414-1),"")</f>
        <v/>
      </c>
      <c r="G414" t="str">
        <f ca="1">IF(D414&lt;&gt;"",
IF(AND(OFFSET(数出表_Excel【15時】!$A$1,A414+3,D414)&lt;&gt;"",OFFSET(数出表_Excel【15時】!$A$1,A414+3,D414)&lt;&gt;0),
OFFSET(数出表_Excel【15時】!$A$1,A414+3,D414),""),"")</f>
        <v/>
      </c>
      <c r="H414" s="209" t="str">
        <f t="array" aca="1" ref="H414" ca="1">IF(B414&lt;&gt;"",
IFERROR(MATCH(TRUE,ISNUMBER(INDIRECT("数出表_Excel【15時】!"&amp;SUBSTITUTE(ADDRESS(1,D414+2,4),"1","")&amp;(A414+4)&amp;":ZZ"&amp;(A414+4))),0)+D414+1,""),"")</f>
        <v/>
      </c>
      <c r="I414" t="str">
        <f ca="1">IF(H414&lt;&gt;"",
OFFSET(数出表_Excel【15時】!$A$1,2,H414-1)
&amp;IFERROR(OFFSET(数出表_Excel【15時】!$A$1,3,H414-1),"")
&amp;IFERROR(OFFSET(数出表_Excel【15時】!$A$1,4,H414-1),""),"")</f>
        <v/>
      </c>
      <c r="J414" t="str">
        <f ca="1">IF(H414&lt;&gt;"",
OFFSET(数出表_Excel【15時】!$A$1,A414+3,H414-1),"")</f>
        <v/>
      </c>
      <c r="K414" t="str">
        <f ca="1">IF(H414&lt;&gt;"",
IF(AND(OFFSET(数出表_Excel【15時】!$A$1,A414+3,H414)&lt;&gt;"",OFFSET(数出表_Excel【15時】!$A$1,A414+3,H414)&lt;&gt;0),
OFFSET(数出表_Excel【15時】!$A$1,A414+3,H414),""),"")</f>
        <v/>
      </c>
      <c r="L414" s="209" t="str">
        <f t="array" aca="1" ref="L414" ca="1">IF(B414&lt;&gt;"",
IFERROR(MATCH(TRUE,ISNUMBER(INDIRECT("数出表_Excel【15時】!"&amp;SUBSTITUTE(ADDRESS(1,H414+2,4),"1","")&amp;(A414+4)&amp;":ZZ"&amp;(A414+4))),0)+H414+1,""),"")</f>
        <v/>
      </c>
      <c r="M414" t="str">
        <f ca="1">IF(L414&lt;&gt;"",
OFFSET(数出表_Excel【15時】!$A$1,2,L414-1)
&amp;IFERROR(OFFSET(数出表_Excel【15時】!$A$1,3,L414-1),"")
&amp;IFERROR(OFFSET(数出表_Excel【15時】!$A$1,4,L414-1),""),"")</f>
        <v/>
      </c>
      <c r="N414" t="str">
        <f ca="1">IF(L414&lt;&gt;"",
OFFSET(数出表_Excel【15時】!$A$1,A414+3,L414-1),"")</f>
        <v/>
      </c>
      <c r="O414" t="str">
        <f ca="1">IF(L414&lt;&gt;"",
IF(AND(OFFSET(数出表_Excel【15時】!$A$1,A414+3,L414)&lt;&gt;"",OFFSET(数出表_Excel【15時】!$A$1,A414+3,L414)&lt;&gt;0),
OFFSET(数出表_Excel【15時】!$A$1,A414+3,L414),""),"")</f>
        <v/>
      </c>
      <c r="Q414" t="str">
        <f ca="1">IF(C414&lt;&gt;"",
IF(E414&lt;&gt;"",1,0)+IF(I414&lt;&gt;"",1,0)+IF(M414&lt;&gt;"",1,0),"")</f>
        <v/>
      </c>
    </row>
    <row r="415" spans="1:17">
      <c r="A415" t="str">
        <f t="shared" ca="1" si="6"/>
        <v/>
      </c>
      <c r="B415" t="str">
        <f t="array" aca="1" ref="B415" ca="1">IF(OR(COUNTIF(数出表_Excel【15時】!AO418,"*修正*"),COUNTIF(数出表_Excel【15時】!AO419,"*修正*")),
IF(ISEVEN(ROW()+4),INDIRECT("数出表_Excel【15時】!A"&amp;ROW()+4&amp;""),INDIRECT("数出表_Excel【15時】!A"&amp;ROW()+4-1&amp;"")),"")</f>
        <v/>
      </c>
      <c r="C415" t="str">
        <f t="array" aca="1" ref="C415" ca="1">IF(OR(COUNTIF(数出表_Excel【15時】!AO418,"*修正*"),COUNTIF(数出表_Excel【15時】!AO419,"*修正*")),
IF(ISEVEN(ROW()+4),INDIRECT("数出表_Excel【15時】!A"&amp;ROW()+4+1&amp;""),INDIRECT("数出表_Excel【15時】!A"&amp;ROW()+4&amp;"")),"")</f>
        <v/>
      </c>
      <c r="D415" s="209" t="str">
        <f t="array" aca="1" ref="D415" ca="1">IF(B415&lt;&gt;"",
IFERROR(MATCH(TRUE,ISNUMBER(INDIRECT("数出表_Excel【15時】!B"&amp;(A415+4)&amp;":ZZ"&amp;(A415+4))),0)+1,""),"")</f>
        <v/>
      </c>
      <c r="E415" t="str">
        <f ca="1">IF(D415&lt;&gt;"",
OFFSET(数出表_Excel【15時】!$A$1,2,D415-1)
&amp;IFERROR(OFFSET(数出表_Excel【15時】!$A$1,3,D415-1),"")
&amp;IFERROR(OFFSET(数出表_Excel【15時】!$A$1,4,D415-1),""),"")</f>
        <v/>
      </c>
      <c r="F415" t="str">
        <f ca="1">IF(D415&lt;&gt;"",
OFFSET(数出表_Excel【15時】!$A$1,A415+3,D415-1),"")</f>
        <v/>
      </c>
      <c r="G415" t="str">
        <f ca="1">IF(D415&lt;&gt;"",
IF(AND(OFFSET(数出表_Excel【15時】!$A$1,A415+3,D415)&lt;&gt;"",OFFSET(数出表_Excel【15時】!$A$1,A415+3,D415)&lt;&gt;0),
OFFSET(数出表_Excel【15時】!$A$1,A415+3,D415),""),"")</f>
        <v/>
      </c>
      <c r="H415" s="209" t="str">
        <f t="array" aca="1" ref="H415" ca="1">IF(B415&lt;&gt;"",
IFERROR(MATCH(TRUE,ISNUMBER(INDIRECT("数出表_Excel【15時】!"&amp;SUBSTITUTE(ADDRESS(1,D415+2,4),"1","")&amp;(A415+4)&amp;":ZZ"&amp;(A415+4))),0)+D415+1,""),"")</f>
        <v/>
      </c>
      <c r="I415" t="str">
        <f ca="1">IF(H415&lt;&gt;"",
OFFSET(数出表_Excel【15時】!$A$1,2,H415-1)
&amp;IFERROR(OFFSET(数出表_Excel【15時】!$A$1,3,H415-1),"")
&amp;IFERROR(OFFSET(数出表_Excel【15時】!$A$1,4,H415-1),""),"")</f>
        <v/>
      </c>
      <c r="J415" t="str">
        <f ca="1">IF(H415&lt;&gt;"",
OFFSET(数出表_Excel【15時】!$A$1,A415+3,H415-1),"")</f>
        <v/>
      </c>
      <c r="K415" t="str">
        <f ca="1">IF(H415&lt;&gt;"",
IF(AND(OFFSET(数出表_Excel【15時】!$A$1,A415+3,H415)&lt;&gt;"",OFFSET(数出表_Excel【15時】!$A$1,A415+3,H415)&lt;&gt;0),
OFFSET(数出表_Excel【15時】!$A$1,A415+3,H415),""),"")</f>
        <v/>
      </c>
      <c r="L415" s="209" t="str">
        <f t="array" aca="1" ref="L415" ca="1">IF(B415&lt;&gt;"",
IFERROR(MATCH(TRUE,ISNUMBER(INDIRECT("数出表_Excel【15時】!"&amp;SUBSTITUTE(ADDRESS(1,H415+2,4),"1","")&amp;(A415+4)&amp;":ZZ"&amp;(A415+4))),0)+H415+1,""),"")</f>
        <v/>
      </c>
      <c r="M415" t="str">
        <f ca="1">IF(L415&lt;&gt;"",
OFFSET(数出表_Excel【15時】!$A$1,2,L415-1)
&amp;IFERROR(OFFSET(数出表_Excel【15時】!$A$1,3,L415-1),"")
&amp;IFERROR(OFFSET(数出表_Excel【15時】!$A$1,4,L415-1),""),"")</f>
        <v/>
      </c>
      <c r="N415" t="str">
        <f ca="1">IF(L415&lt;&gt;"",
OFFSET(数出表_Excel【15時】!$A$1,A415+3,L415-1),"")</f>
        <v/>
      </c>
      <c r="O415" t="str">
        <f ca="1">IF(L415&lt;&gt;"",
IF(AND(OFFSET(数出表_Excel【15時】!$A$1,A415+3,L415)&lt;&gt;"",OFFSET(数出表_Excel【15時】!$A$1,A415+3,L415)&lt;&gt;0),
OFFSET(数出表_Excel【15時】!$A$1,A415+3,L415),""),"")</f>
        <v/>
      </c>
    </row>
    <row r="416" spans="1:17">
      <c r="A416" t="str">
        <f t="shared" ca="1" si="6"/>
        <v/>
      </c>
      <c r="B416" t="str">
        <f t="array" aca="1" ref="B416" ca="1">IF(OR(COUNTIF(数出表_Excel【15時】!AO420,"*修正*"),COUNTIF(数出表_Excel【15時】!AO421,"*修正*")),
IF(ISEVEN(ROW()+4),INDIRECT("数出表_Excel【15時】!A"&amp;ROW()+4&amp;""),INDIRECT("数出表_Excel【15時】!A"&amp;ROW()+4-1&amp;"")),"")</f>
        <v/>
      </c>
      <c r="C416" t="str">
        <f t="array" aca="1" ref="C416" ca="1">IF(OR(COUNTIF(数出表_Excel【15時】!AO420,"*修正*"),COUNTIF(数出表_Excel【15時】!AO421,"*修正*")),
IF(ISEVEN(ROW()+4),INDIRECT("数出表_Excel【15時】!A"&amp;ROW()+4+1&amp;""),INDIRECT("数出表_Excel【15時】!A"&amp;ROW()+4&amp;"")),"")</f>
        <v/>
      </c>
      <c r="D416" s="209" t="str">
        <f t="array" aca="1" ref="D416" ca="1">IF(B416&lt;&gt;"",
IFERROR(MATCH(TRUE,ISNUMBER(INDIRECT("数出表_Excel【15時】!B"&amp;(A416+4)&amp;":ZZ"&amp;(A416+4))),0)+1,""),"")</f>
        <v/>
      </c>
      <c r="E416" t="str">
        <f ca="1">IF(D416&lt;&gt;"",
OFFSET(数出表_Excel【15時】!$A$1,2,D416-1)
&amp;IFERROR(OFFSET(数出表_Excel【15時】!$A$1,3,D416-1),"")
&amp;IFERROR(OFFSET(数出表_Excel【15時】!$A$1,4,D416-1),""),"")</f>
        <v/>
      </c>
      <c r="F416" t="str">
        <f ca="1">IF(D416&lt;&gt;"",
OFFSET(数出表_Excel【15時】!$A$1,A416+3,D416-1),"")</f>
        <v/>
      </c>
      <c r="G416" t="str">
        <f ca="1">IF(D416&lt;&gt;"",
IF(AND(OFFSET(数出表_Excel【15時】!$A$1,A416+3,D416)&lt;&gt;"",OFFSET(数出表_Excel【15時】!$A$1,A416+3,D416)&lt;&gt;0),
OFFSET(数出表_Excel【15時】!$A$1,A416+3,D416),""),"")</f>
        <v/>
      </c>
      <c r="H416" s="209" t="str">
        <f t="array" aca="1" ref="H416" ca="1">IF(B416&lt;&gt;"",
IFERROR(MATCH(TRUE,ISNUMBER(INDIRECT("数出表_Excel【15時】!"&amp;SUBSTITUTE(ADDRESS(1,D416+2,4),"1","")&amp;(A416+4)&amp;":ZZ"&amp;(A416+4))),0)+D416+1,""),"")</f>
        <v/>
      </c>
      <c r="I416" t="str">
        <f ca="1">IF(H416&lt;&gt;"",
OFFSET(数出表_Excel【15時】!$A$1,2,H416-1)
&amp;IFERROR(OFFSET(数出表_Excel【15時】!$A$1,3,H416-1),"")
&amp;IFERROR(OFFSET(数出表_Excel【15時】!$A$1,4,H416-1),""),"")</f>
        <v/>
      </c>
      <c r="J416" t="str">
        <f ca="1">IF(H416&lt;&gt;"",
OFFSET(数出表_Excel【15時】!$A$1,A416+3,H416-1),"")</f>
        <v/>
      </c>
      <c r="K416" t="str">
        <f ca="1">IF(H416&lt;&gt;"",
IF(AND(OFFSET(数出表_Excel【15時】!$A$1,A416+3,H416)&lt;&gt;"",OFFSET(数出表_Excel【15時】!$A$1,A416+3,H416)&lt;&gt;0),
OFFSET(数出表_Excel【15時】!$A$1,A416+3,H416),""),"")</f>
        <v/>
      </c>
      <c r="L416" s="209" t="str">
        <f t="array" aca="1" ref="L416" ca="1">IF(B416&lt;&gt;"",
IFERROR(MATCH(TRUE,ISNUMBER(INDIRECT("数出表_Excel【15時】!"&amp;SUBSTITUTE(ADDRESS(1,H416+2,4),"1","")&amp;(A416+4)&amp;":ZZ"&amp;(A416+4))),0)+H416+1,""),"")</f>
        <v/>
      </c>
      <c r="M416" t="str">
        <f ca="1">IF(L416&lt;&gt;"",
OFFSET(数出表_Excel【15時】!$A$1,2,L416-1)
&amp;IFERROR(OFFSET(数出表_Excel【15時】!$A$1,3,L416-1),"")
&amp;IFERROR(OFFSET(数出表_Excel【15時】!$A$1,4,L416-1),""),"")</f>
        <v/>
      </c>
      <c r="N416" t="str">
        <f ca="1">IF(L416&lt;&gt;"",
OFFSET(数出表_Excel【15時】!$A$1,A416+3,L416-1),"")</f>
        <v/>
      </c>
      <c r="O416" t="str">
        <f ca="1">IF(L416&lt;&gt;"",
IF(AND(OFFSET(数出表_Excel【15時】!$A$1,A416+3,L416)&lt;&gt;"",OFFSET(数出表_Excel【15時】!$A$1,A416+3,L416)&lt;&gt;0),
OFFSET(数出表_Excel【15時】!$A$1,A416+3,L416),""),"")</f>
        <v/>
      </c>
      <c r="Q416" t="str">
        <f ca="1">IF(C416&lt;&gt;"",
IF(E416&lt;&gt;"",1,0)+IF(I416&lt;&gt;"",1,0)+IF(M416&lt;&gt;"",1,0),"")</f>
        <v/>
      </c>
    </row>
    <row r="417" spans="1:17">
      <c r="A417" t="str">
        <f t="shared" ca="1" si="6"/>
        <v/>
      </c>
      <c r="B417" t="str">
        <f t="array" aca="1" ref="B417" ca="1">IF(OR(COUNTIF(数出表_Excel【15時】!AO420,"*修正*"),COUNTIF(数出表_Excel【15時】!AO421,"*修正*")),
IF(ISEVEN(ROW()+4),INDIRECT("数出表_Excel【15時】!A"&amp;ROW()+4&amp;""),INDIRECT("数出表_Excel【15時】!A"&amp;ROW()+4-1&amp;"")),"")</f>
        <v/>
      </c>
      <c r="C417" t="str">
        <f t="array" aca="1" ref="C417" ca="1">IF(OR(COUNTIF(数出表_Excel【15時】!AO420,"*修正*"),COUNTIF(数出表_Excel【15時】!AO421,"*修正*")),
IF(ISEVEN(ROW()+4),INDIRECT("数出表_Excel【15時】!A"&amp;ROW()+4+1&amp;""),INDIRECT("数出表_Excel【15時】!A"&amp;ROW()+4&amp;"")),"")</f>
        <v/>
      </c>
      <c r="D417" s="209" t="str">
        <f t="array" aca="1" ref="D417" ca="1">IF(B417&lt;&gt;"",
IFERROR(MATCH(TRUE,ISNUMBER(INDIRECT("数出表_Excel【15時】!B"&amp;(A417+4)&amp;":ZZ"&amp;(A417+4))),0)+1,""),"")</f>
        <v/>
      </c>
      <c r="E417" t="str">
        <f ca="1">IF(D417&lt;&gt;"",
OFFSET(数出表_Excel【15時】!$A$1,2,D417-1)
&amp;IFERROR(OFFSET(数出表_Excel【15時】!$A$1,3,D417-1),"")
&amp;IFERROR(OFFSET(数出表_Excel【15時】!$A$1,4,D417-1),""),"")</f>
        <v/>
      </c>
      <c r="F417" t="str">
        <f ca="1">IF(D417&lt;&gt;"",
OFFSET(数出表_Excel【15時】!$A$1,A417+3,D417-1),"")</f>
        <v/>
      </c>
      <c r="G417" t="str">
        <f ca="1">IF(D417&lt;&gt;"",
IF(AND(OFFSET(数出表_Excel【15時】!$A$1,A417+3,D417)&lt;&gt;"",OFFSET(数出表_Excel【15時】!$A$1,A417+3,D417)&lt;&gt;0),
OFFSET(数出表_Excel【15時】!$A$1,A417+3,D417),""),"")</f>
        <v/>
      </c>
      <c r="H417" s="209" t="str">
        <f t="array" aca="1" ref="H417" ca="1">IF(B417&lt;&gt;"",
IFERROR(MATCH(TRUE,ISNUMBER(INDIRECT("数出表_Excel【15時】!"&amp;SUBSTITUTE(ADDRESS(1,D417+2,4),"1","")&amp;(A417+4)&amp;":ZZ"&amp;(A417+4))),0)+D417+1,""),"")</f>
        <v/>
      </c>
      <c r="I417" t="str">
        <f ca="1">IF(H417&lt;&gt;"",
OFFSET(数出表_Excel【15時】!$A$1,2,H417-1)
&amp;IFERROR(OFFSET(数出表_Excel【15時】!$A$1,3,H417-1),"")
&amp;IFERROR(OFFSET(数出表_Excel【15時】!$A$1,4,H417-1),""),"")</f>
        <v/>
      </c>
      <c r="J417" t="str">
        <f ca="1">IF(H417&lt;&gt;"",
OFFSET(数出表_Excel【15時】!$A$1,A417+3,H417-1),"")</f>
        <v/>
      </c>
      <c r="K417" t="str">
        <f ca="1">IF(H417&lt;&gt;"",
IF(AND(OFFSET(数出表_Excel【15時】!$A$1,A417+3,H417)&lt;&gt;"",OFFSET(数出表_Excel【15時】!$A$1,A417+3,H417)&lt;&gt;0),
OFFSET(数出表_Excel【15時】!$A$1,A417+3,H417),""),"")</f>
        <v/>
      </c>
      <c r="L417" s="209" t="str">
        <f t="array" aca="1" ref="L417" ca="1">IF(B417&lt;&gt;"",
IFERROR(MATCH(TRUE,ISNUMBER(INDIRECT("数出表_Excel【15時】!"&amp;SUBSTITUTE(ADDRESS(1,H417+2,4),"1","")&amp;(A417+4)&amp;":ZZ"&amp;(A417+4))),0)+H417+1,""),"")</f>
        <v/>
      </c>
      <c r="M417" t="str">
        <f ca="1">IF(L417&lt;&gt;"",
OFFSET(数出表_Excel【15時】!$A$1,2,L417-1)
&amp;IFERROR(OFFSET(数出表_Excel【15時】!$A$1,3,L417-1),"")
&amp;IFERROR(OFFSET(数出表_Excel【15時】!$A$1,4,L417-1),""),"")</f>
        <v/>
      </c>
      <c r="N417" t="str">
        <f ca="1">IF(L417&lt;&gt;"",
OFFSET(数出表_Excel【15時】!$A$1,A417+3,L417-1),"")</f>
        <v/>
      </c>
      <c r="O417" t="str">
        <f ca="1">IF(L417&lt;&gt;"",
IF(AND(OFFSET(数出表_Excel【15時】!$A$1,A417+3,L417)&lt;&gt;"",OFFSET(数出表_Excel【15時】!$A$1,A417+3,L417)&lt;&gt;0),
OFFSET(数出表_Excel【15時】!$A$1,A417+3,L417),""),"")</f>
        <v/>
      </c>
    </row>
    <row r="418" spans="1:17">
      <c r="A418" t="str">
        <f t="shared" ca="1" si="6"/>
        <v/>
      </c>
      <c r="B418" t="str">
        <f t="array" aca="1" ref="B418" ca="1">IF(OR(COUNTIF(数出表_Excel【15時】!AO422,"*修正*"),COUNTIF(数出表_Excel【15時】!AO423,"*修正*")),
IF(ISEVEN(ROW()+4),INDIRECT("数出表_Excel【15時】!A"&amp;ROW()+4&amp;""),INDIRECT("数出表_Excel【15時】!A"&amp;ROW()+4-1&amp;"")),"")</f>
        <v/>
      </c>
      <c r="C418" t="str">
        <f t="array" aca="1" ref="C418" ca="1">IF(OR(COUNTIF(数出表_Excel【15時】!AO422,"*修正*"),COUNTIF(数出表_Excel【15時】!AO423,"*修正*")),
IF(ISEVEN(ROW()+4),INDIRECT("数出表_Excel【15時】!A"&amp;ROW()+4+1&amp;""),INDIRECT("数出表_Excel【15時】!A"&amp;ROW()+4&amp;"")),"")</f>
        <v/>
      </c>
      <c r="D418" s="209" t="str">
        <f t="array" aca="1" ref="D418" ca="1">IF(B418&lt;&gt;"",
IFERROR(MATCH(TRUE,ISNUMBER(INDIRECT("数出表_Excel【15時】!B"&amp;(A418+4)&amp;":ZZ"&amp;(A418+4))),0)+1,""),"")</f>
        <v/>
      </c>
      <c r="E418" t="str">
        <f ca="1">IF(D418&lt;&gt;"",
OFFSET(数出表_Excel【15時】!$A$1,2,D418-1)
&amp;IFERROR(OFFSET(数出表_Excel【15時】!$A$1,3,D418-1),"")
&amp;IFERROR(OFFSET(数出表_Excel【15時】!$A$1,4,D418-1),""),"")</f>
        <v/>
      </c>
      <c r="F418" t="str">
        <f ca="1">IF(D418&lt;&gt;"",
OFFSET(数出表_Excel【15時】!$A$1,A418+3,D418-1),"")</f>
        <v/>
      </c>
      <c r="G418" t="str">
        <f ca="1">IF(D418&lt;&gt;"",
IF(AND(OFFSET(数出表_Excel【15時】!$A$1,A418+3,D418)&lt;&gt;"",OFFSET(数出表_Excel【15時】!$A$1,A418+3,D418)&lt;&gt;0),
OFFSET(数出表_Excel【15時】!$A$1,A418+3,D418),""),"")</f>
        <v/>
      </c>
      <c r="H418" s="209" t="str">
        <f t="array" aca="1" ref="H418" ca="1">IF(B418&lt;&gt;"",
IFERROR(MATCH(TRUE,ISNUMBER(INDIRECT("数出表_Excel【15時】!"&amp;SUBSTITUTE(ADDRESS(1,D418+2,4),"1","")&amp;(A418+4)&amp;":ZZ"&amp;(A418+4))),0)+D418+1,""),"")</f>
        <v/>
      </c>
      <c r="I418" t="str">
        <f ca="1">IF(H418&lt;&gt;"",
OFFSET(数出表_Excel【15時】!$A$1,2,H418-1)
&amp;IFERROR(OFFSET(数出表_Excel【15時】!$A$1,3,H418-1),"")
&amp;IFERROR(OFFSET(数出表_Excel【15時】!$A$1,4,H418-1),""),"")</f>
        <v/>
      </c>
      <c r="J418" t="str">
        <f ca="1">IF(H418&lt;&gt;"",
OFFSET(数出表_Excel【15時】!$A$1,A418+3,H418-1),"")</f>
        <v/>
      </c>
      <c r="K418" t="str">
        <f ca="1">IF(H418&lt;&gt;"",
IF(AND(OFFSET(数出表_Excel【15時】!$A$1,A418+3,H418)&lt;&gt;"",OFFSET(数出表_Excel【15時】!$A$1,A418+3,H418)&lt;&gt;0),
OFFSET(数出表_Excel【15時】!$A$1,A418+3,H418),""),"")</f>
        <v/>
      </c>
      <c r="L418" s="209" t="str">
        <f t="array" aca="1" ref="L418" ca="1">IF(B418&lt;&gt;"",
IFERROR(MATCH(TRUE,ISNUMBER(INDIRECT("数出表_Excel【15時】!"&amp;SUBSTITUTE(ADDRESS(1,H418+2,4),"1","")&amp;(A418+4)&amp;":ZZ"&amp;(A418+4))),0)+H418+1,""),"")</f>
        <v/>
      </c>
      <c r="M418" t="str">
        <f ca="1">IF(L418&lt;&gt;"",
OFFSET(数出表_Excel【15時】!$A$1,2,L418-1)
&amp;IFERROR(OFFSET(数出表_Excel【15時】!$A$1,3,L418-1),"")
&amp;IFERROR(OFFSET(数出表_Excel【15時】!$A$1,4,L418-1),""),"")</f>
        <v/>
      </c>
      <c r="N418" t="str">
        <f ca="1">IF(L418&lt;&gt;"",
OFFSET(数出表_Excel【15時】!$A$1,A418+3,L418-1),"")</f>
        <v/>
      </c>
      <c r="O418" t="str">
        <f ca="1">IF(L418&lt;&gt;"",
IF(AND(OFFSET(数出表_Excel【15時】!$A$1,A418+3,L418)&lt;&gt;"",OFFSET(数出表_Excel【15時】!$A$1,A418+3,L418)&lt;&gt;0),
OFFSET(数出表_Excel【15時】!$A$1,A418+3,L418),""),"")</f>
        <v/>
      </c>
      <c r="Q418" t="str">
        <f ca="1">IF(C418&lt;&gt;"",
IF(E418&lt;&gt;"",1,0)+IF(I418&lt;&gt;"",1,0)+IF(M418&lt;&gt;"",1,0),"")</f>
        <v/>
      </c>
    </row>
    <row r="419" spans="1:17">
      <c r="A419" t="str">
        <f t="shared" ca="1" si="6"/>
        <v/>
      </c>
      <c r="B419" t="str">
        <f t="array" aca="1" ref="B419" ca="1">IF(OR(COUNTIF(数出表_Excel【15時】!AO422,"*修正*"),COUNTIF(数出表_Excel【15時】!AO423,"*修正*")),
IF(ISEVEN(ROW()+4),INDIRECT("数出表_Excel【15時】!A"&amp;ROW()+4&amp;""),INDIRECT("数出表_Excel【15時】!A"&amp;ROW()+4-1&amp;"")),"")</f>
        <v/>
      </c>
      <c r="C419" t="str">
        <f t="array" aca="1" ref="C419" ca="1">IF(OR(COUNTIF(数出表_Excel【15時】!AO422,"*修正*"),COUNTIF(数出表_Excel【15時】!AO423,"*修正*")),
IF(ISEVEN(ROW()+4),INDIRECT("数出表_Excel【15時】!A"&amp;ROW()+4+1&amp;""),INDIRECT("数出表_Excel【15時】!A"&amp;ROW()+4&amp;"")),"")</f>
        <v/>
      </c>
      <c r="D419" s="209" t="str">
        <f t="array" aca="1" ref="D419" ca="1">IF(B419&lt;&gt;"",
IFERROR(MATCH(TRUE,ISNUMBER(INDIRECT("数出表_Excel【15時】!B"&amp;(A419+4)&amp;":ZZ"&amp;(A419+4))),0)+1,""),"")</f>
        <v/>
      </c>
      <c r="E419" t="str">
        <f ca="1">IF(D419&lt;&gt;"",
OFFSET(数出表_Excel【15時】!$A$1,2,D419-1)
&amp;IFERROR(OFFSET(数出表_Excel【15時】!$A$1,3,D419-1),"")
&amp;IFERROR(OFFSET(数出表_Excel【15時】!$A$1,4,D419-1),""),"")</f>
        <v/>
      </c>
      <c r="F419" t="str">
        <f ca="1">IF(D419&lt;&gt;"",
OFFSET(数出表_Excel【15時】!$A$1,A419+3,D419-1),"")</f>
        <v/>
      </c>
      <c r="G419" t="str">
        <f ca="1">IF(D419&lt;&gt;"",
IF(AND(OFFSET(数出表_Excel【15時】!$A$1,A419+3,D419)&lt;&gt;"",OFFSET(数出表_Excel【15時】!$A$1,A419+3,D419)&lt;&gt;0),
OFFSET(数出表_Excel【15時】!$A$1,A419+3,D419),""),"")</f>
        <v/>
      </c>
      <c r="H419" s="209" t="str">
        <f t="array" aca="1" ref="H419" ca="1">IF(B419&lt;&gt;"",
IFERROR(MATCH(TRUE,ISNUMBER(INDIRECT("数出表_Excel【15時】!"&amp;SUBSTITUTE(ADDRESS(1,D419+2,4),"1","")&amp;(A419+4)&amp;":ZZ"&amp;(A419+4))),0)+D419+1,""),"")</f>
        <v/>
      </c>
      <c r="I419" t="str">
        <f ca="1">IF(H419&lt;&gt;"",
OFFSET(数出表_Excel【15時】!$A$1,2,H419-1)
&amp;IFERROR(OFFSET(数出表_Excel【15時】!$A$1,3,H419-1),"")
&amp;IFERROR(OFFSET(数出表_Excel【15時】!$A$1,4,H419-1),""),"")</f>
        <v/>
      </c>
      <c r="J419" t="str">
        <f ca="1">IF(H419&lt;&gt;"",
OFFSET(数出表_Excel【15時】!$A$1,A419+3,H419-1),"")</f>
        <v/>
      </c>
      <c r="K419" t="str">
        <f ca="1">IF(H419&lt;&gt;"",
IF(AND(OFFSET(数出表_Excel【15時】!$A$1,A419+3,H419)&lt;&gt;"",OFFSET(数出表_Excel【15時】!$A$1,A419+3,H419)&lt;&gt;0),
OFFSET(数出表_Excel【15時】!$A$1,A419+3,H419),""),"")</f>
        <v/>
      </c>
      <c r="L419" s="209" t="str">
        <f t="array" aca="1" ref="L419" ca="1">IF(B419&lt;&gt;"",
IFERROR(MATCH(TRUE,ISNUMBER(INDIRECT("数出表_Excel【15時】!"&amp;SUBSTITUTE(ADDRESS(1,H419+2,4),"1","")&amp;(A419+4)&amp;":ZZ"&amp;(A419+4))),0)+H419+1,""),"")</f>
        <v/>
      </c>
      <c r="M419" t="str">
        <f ca="1">IF(L419&lt;&gt;"",
OFFSET(数出表_Excel【15時】!$A$1,2,L419-1)
&amp;IFERROR(OFFSET(数出表_Excel【15時】!$A$1,3,L419-1),"")
&amp;IFERROR(OFFSET(数出表_Excel【15時】!$A$1,4,L419-1),""),"")</f>
        <v/>
      </c>
      <c r="N419" t="str">
        <f ca="1">IF(L419&lt;&gt;"",
OFFSET(数出表_Excel【15時】!$A$1,A419+3,L419-1),"")</f>
        <v/>
      </c>
      <c r="O419" t="str">
        <f ca="1">IF(L419&lt;&gt;"",
IF(AND(OFFSET(数出表_Excel【15時】!$A$1,A419+3,L419)&lt;&gt;"",OFFSET(数出表_Excel【15時】!$A$1,A419+3,L419)&lt;&gt;0),
OFFSET(数出表_Excel【15時】!$A$1,A419+3,L419),""),"")</f>
        <v/>
      </c>
    </row>
    <row r="420" spans="1:17">
      <c r="A420" t="str">
        <f t="shared" ca="1" si="6"/>
        <v/>
      </c>
      <c r="B420" t="str">
        <f t="array" aca="1" ref="B420" ca="1">IF(OR(COUNTIF(数出表_Excel【15時】!AO424,"*修正*"),COUNTIF(数出表_Excel【15時】!AO425,"*修正*")),
IF(ISEVEN(ROW()+4),INDIRECT("数出表_Excel【15時】!A"&amp;ROW()+4&amp;""),INDIRECT("数出表_Excel【15時】!A"&amp;ROW()+4-1&amp;"")),"")</f>
        <v/>
      </c>
      <c r="C420" t="str">
        <f t="array" aca="1" ref="C420" ca="1">IF(OR(COUNTIF(数出表_Excel【15時】!AO424,"*修正*"),COUNTIF(数出表_Excel【15時】!AO425,"*修正*")),
IF(ISEVEN(ROW()+4),INDIRECT("数出表_Excel【15時】!A"&amp;ROW()+4+1&amp;""),INDIRECT("数出表_Excel【15時】!A"&amp;ROW()+4&amp;"")),"")</f>
        <v/>
      </c>
      <c r="D420" s="209" t="str">
        <f t="array" aca="1" ref="D420" ca="1">IF(B420&lt;&gt;"",
IFERROR(MATCH(TRUE,ISNUMBER(INDIRECT("数出表_Excel【15時】!B"&amp;(A420+4)&amp;":ZZ"&amp;(A420+4))),0)+1,""),"")</f>
        <v/>
      </c>
      <c r="E420" t="str">
        <f ca="1">IF(D420&lt;&gt;"",
OFFSET(数出表_Excel【15時】!$A$1,2,D420-1)
&amp;IFERROR(OFFSET(数出表_Excel【15時】!$A$1,3,D420-1),"")
&amp;IFERROR(OFFSET(数出表_Excel【15時】!$A$1,4,D420-1),""),"")</f>
        <v/>
      </c>
      <c r="F420" t="str">
        <f ca="1">IF(D420&lt;&gt;"",
OFFSET(数出表_Excel【15時】!$A$1,A420+3,D420-1),"")</f>
        <v/>
      </c>
      <c r="G420" t="str">
        <f ca="1">IF(D420&lt;&gt;"",
IF(AND(OFFSET(数出表_Excel【15時】!$A$1,A420+3,D420)&lt;&gt;"",OFFSET(数出表_Excel【15時】!$A$1,A420+3,D420)&lt;&gt;0),
OFFSET(数出表_Excel【15時】!$A$1,A420+3,D420),""),"")</f>
        <v/>
      </c>
      <c r="H420" s="209" t="str">
        <f t="array" aca="1" ref="H420" ca="1">IF(B420&lt;&gt;"",
IFERROR(MATCH(TRUE,ISNUMBER(INDIRECT("数出表_Excel【15時】!"&amp;SUBSTITUTE(ADDRESS(1,D420+2,4),"1","")&amp;(A420+4)&amp;":ZZ"&amp;(A420+4))),0)+D420+1,""),"")</f>
        <v/>
      </c>
      <c r="I420" t="str">
        <f ca="1">IF(H420&lt;&gt;"",
OFFSET(数出表_Excel【15時】!$A$1,2,H420-1)
&amp;IFERROR(OFFSET(数出表_Excel【15時】!$A$1,3,H420-1),"")
&amp;IFERROR(OFFSET(数出表_Excel【15時】!$A$1,4,H420-1),""),"")</f>
        <v/>
      </c>
      <c r="J420" t="str">
        <f ca="1">IF(H420&lt;&gt;"",
OFFSET(数出表_Excel【15時】!$A$1,A420+3,H420-1),"")</f>
        <v/>
      </c>
      <c r="K420" t="str">
        <f ca="1">IF(H420&lt;&gt;"",
IF(AND(OFFSET(数出表_Excel【15時】!$A$1,A420+3,H420)&lt;&gt;"",OFFSET(数出表_Excel【15時】!$A$1,A420+3,H420)&lt;&gt;0),
OFFSET(数出表_Excel【15時】!$A$1,A420+3,H420),""),"")</f>
        <v/>
      </c>
      <c r="L420" s="209" t="str">
        <f t="array" aca="1" ref="L420" ca="1">IF(B420&lt;&gt;"",
IFERROR(MATCH(TRUE,ISNUMBER(INDIRECT("数出表_Excel【15時】!"&amp;SUBSTITUTE(ADDRESS(1,H420+2,4),"1","")&amp;(A420+4)&amp;":ZZ"&amp;(A420+4))),0)+H420+1,""),"")</f>
        <v/>
      </c>
      <c r="M420" t="str">
        <f ca="1">IF(L420&lt;&gt;"",
OFFSET(数出表_Excel【15時】!$A$1,2,L420-1)
&amp;IFERROR(OFFSET(数出表_Excel【15時】!$A$1,3,L420-1),"")
&amp;IFERROR(OFFSET(数出表_Excel【15時】!$A$1,4,L420-1),""),"")</f>
        <v/>
      </c>
      <c r="N420" t="str">
        <f ca="1">IF(L420&lt;&gt;"",
OFFSET(数出表_Excel【15時】!$A$1,A420+3,L420-1),"")</f>
        <v/>
      </c>
      <c r="O420" t="str">
        <f ca="1">IF(L420&lt;&gt;"",
IF(AND(OFFSET(数出表_Excel【15時】!$A$1,A420+3,L420)&lt;&gt;"",OFFSET(数出表_Excel【15時】!$A$1,A420+3,L420)&lt;&gt;0),
OFFSET(数出表_Excel【15時】!$A$1,A420+3,L420),""),"")</f>
        <v/>
      </c>
      <c r="Q420" t="str">
        <f ca="1">IF(C420&lt;&gt;"",
IF(E420&lt;&gt;"",1,0)+IF(I420&lt;&gt;"",1,0)+IF(M420&lt;&gt;"",1,0),"")</f>
        <v/>
      </c>
    </row>
    <row r="421" spans="1:17">
      <c r="A421" t="str">
        <f t="shared" ca="1" si="6"/>
        <v/>
      </c>
      <c r="B421" t="str">
        <f t="array" aca="1" ref="B421" ca="1">IF(OR(COUNTIF(数出表_Excel【15時】!AO424,"*修正*"),COUNTIF(数出表_Excel【15時】!AO425,"*修正*")),
IF(ISEVEN(ROW()+4),INDIRECT("数出表_Excel【15時】!A"&amp;ROW()+4&amp;""),INDIRECT("数出表_Excel【15時】!A"&amp;ROW()+4-1&amp;"")),"")</f>
        <v/>
      </c>
      <c r="C421" t="str">
        <f t="array" aca="1" ref="C421" ca="1">IF(OR(COUNTIF(数出表_Excel【15時】!AO424,"*修正*"),COUNTIF(数出表_Excel【15時】!AO425,"*修正*")),
IF(ISEVEN(ROW()+4),INDIRECT("数出表_Excel【15時】!A"&amp;ROW()+4+1&amp;""),INDIRECT("数出表_Excel【15時】!A"&amp;ROW()+4&amp;"")),"")</f>
        <v/>
      </c>
      <c r="D421" s="209" t="str">
        <f t="array" aca="1" ref="D421" ca="1">IF(B421&lt;&gt;"",
IFERROR(MATCH(TRUE,ISNUMBER(INDIRECT("数出表_Excel【15時】!B"&amp;(A421+4)&amp;":ZZ"&amp;(A421+4))),0)+1,""),"")</f>
        <v/>
      </c>
      <c r="E421" t="str">
        <f ca="1">IF(D421&lt;&gt;"",
OFFSET(数出表_Excel【15時】!$A$1,2,D421-1)
&amp;IFERROR(OFFSET(数出表_Excel【15時】!$A$1,3,D421-1),"")
&amp;IFERROR(OFFSET(数出表_Excel【15時】!$A$1,4,D421-1),""),"")</f>
        <v/>
      </c>
      <c r="F421" t="str">
        <f ca="1">IF(D421&lt;&gt;"",
OFFSET(数出表_Excel【15時】!$A$1,A421+3,D421-1),"")</f>
        <v/>
      </c>
      <c r="G421" t="str">
        <f ca="1">IF(D421&lt;&gt;"",
IF(AND(OFFSET(数出表_Excel【15時】!$A$1,A421+3,D421)&lt;&gt;"",OFFSET(数出表_Excel【15時】!$A$1,A421+3,D421)&lt;&gt;0),
OFFSET(数出表_Excel【15時】!$A$1,A421+3,D421),""),"")</f>
        <v/>
      </c>
      <c r="H421" s="209" t="str">
        <f t="array" aca="1" ref="H421" ca="1">IF(B421&lt;&gt;"",
IFERROR(MATCH(TRUE,ISNUMBER(INDIRECT("数出表_Excel【15時】!"&amp;SUBSTITUTE(ADDRESS(1,D421+2,4),"1","")&amp;(A421+4)&amp;":ZZ"&amp;(A421+4))),0)+D421+1,""),"")</f>
        <v/>
      </c>
      <c r="I421" t="str">
        <f ca="1">IF(H421&lt;&gt;"",
OFFSET(数出表_Excel【15時】!$A$1,2,H421-1)
&amp;IFERROR(OFFSET(数出表_Excel【15時】!$A$1,3,H421-1),"")
&amp;IFERROR(OFFSET(数出表_Excel【15時】!$A$1,4,H421-1),""),"")</f>
        <v/>
      </c>
      <c r="J421" t="str">
        <f ca="1">IF(H421&lt;&gt;"",
OFFSET(数出表_Excel【15時】!$A$1,A421+3,H421-1),"")</f>
        <v/>
      </c>
      <c r="K421" t="str">
        <f ca="1">IF(H421&lt;&gt;"",
IF(AND(OFFSET(数出表_Excel【15時】!$A$1,A421+3,H421)&lt;&gt;"",OFFSET(数出表_Excel【15時】!$A$1,A421+3,H421)&lt;&gt;0),
OFFSET(数出表_Excel【15時】!$A$1,A421+3,H421),""),"")</f>
        <v/>
      </c>
      <c r="L421" s="209" t="str">
        <f t="array" aca="1" ref="L421" ca="1">IF(B421&lt;&gt;"",
IFERROR(MATCH(TRUE,ISNUMBER(INDIRECT("数出表_Excel【15時】!"&amp;SUBSTITUTE(ADDRESS(1,H421+2,4),"1","")&amp;(A421+4)&amp;":ZZ"&amp;(A421+4))),0)+H421+1,""),"")</f>
        <v/>
      </c>
      <c r="M421" t="str">
        <f ca="1">IF(L421&lt;&gt;"",
OFFSET(数出表_Excel【15時】!$A$1,2,L421-1)
&amp;IFERROR(OFFSET(数出表_Excel【15時】!$A$1,3,L421-1),"")
&amp;IFERROR(OFFSET(数出表_Excel【15時】!$A$1,4,L421-1),""),"")</f>
        <v/>
      </c>
      <c r="N421" t="str">
        <f ca="1">IF(L421&lt;&gt;"",
OFFSET(数出表_Excel【15時】!$A$1,A421+3,L421-1),"")</f>
        <v/>
      </c>
      <c r="O421" t="str">
        <f ca="1">IF(L421&lt;&gt;"",
IF(AND(OFFSET(数出表_Excel【15時】!$A$1,A421+3,L421)&lt;&gt;"",OFFSET(数出表_Excel【15時】!$A$1,A421+3,L421)&lt;&gt;0),
OFFSET(数出表_Excel【15時】!$A$1,A421+3,L421),""),"")</f>
        <v/>
      </c>
    </row>
    <row r="422" spans="1:17">
      <c r="A422" t="str">
        <f t="shared" ca="1" si="6"/>
        <v/>
      </c>
      <c r="B422" t="str">
        <f t="array" aca="1" ref="B422" ca="1">IF(OR(COUNTIF(数出表_Excel【15時】!AO426,"*修正*"),COUNTIF(数出表_Excel【15時】!AO427,"*修正*")),
IF(ISEVEN(ROW()+4),INDIRECT("数出表_Excel【15時】!A"&amp;ROW()+4&amp;""),INDIRECT("数出表_Excel【15時】!A"&amp;ROW()+4-1&amp;"")),"")</f>
        <v/>
      </c>
      <c r="C422" t="str">
        <f t="array" aca="1" ref="C422" ca="1">IF(OR(COUNTIF(数出表_Excel【15時】!AO426,"*修正*"),COUNTIF(数出表_Excel【15時】!AO427,"*修正*")),
IF(ISEVEN(ROW()+4),INDIRECT("数出表_Excel【15時】!A"&amp;ROW()+4+1&amp;""),INDIRECT("数出表_Excel【15時】!A"&amp;ROW()+4&amp;"")),"")</f>
        <v/>
      </c>
      <c r="D422" s="209" t="str">
        <f t="array" aca="1" ref="D422" ca="1">IF(B422&lt;&gt;"",
IFERROR(MATCH(TRUE,ISNUMBER(INDIRECT("数出表_Excel【15時】!B"&amp;(A422+4)&amp;":ZZ"&amp;(A422+4))),0)+1,""),"")</f>
        <v/>
      </c>
      <c r="E422" t="str">
        <f ca="1">IF(D422&lt;&gt;"",
OFFSET(数出表_Excel【15時】!$A$1,2,D422-1)
&amp;IFERROR(OFFSET(数出表_Excel【15時】!$A$1,3,D422-1),"")
&amp;IFERROR(OFFSET(数出表_Excel【15時】!$A$1,4,D422-1),""),"")</f>
        <v/>
      </c>
      <c r="F422" t="str">
        <f ca="1">IF(D422&lt;&gt;"",
OFFSET(数出表_Excel【15時】!$A$1,A422+3,D422-1),"")</f>
        <v/>
      </c>
      <c r="G422" t="str">
        <f ca="1">IF(D422&lt;&gt;"",
IF(AND(OFFSET(数出表_Excel【15時】!$A$1,A422+3,D422)&lt;&gt;"",OFFSET(数出表_Excel【15時】!$A$1,A422+3,D422)&lt;&gt;0),
OFFSET(数出表_Excel【15時】!$A$1,A422+3,D422),""),"")</f>
        <v/>
      </c>
      <c r="H422" s="209" t="str">
        <f t="array" aca="1" ref="H422" ca="1">IF(B422&lt;&gt;"",
IFERROR(MATCH(TRUE,ISNUMBER(INDIRECT("数出表_Excel【15時】!"&amp;SUBSTITUTE(ADDRESS(1,D422+2,4),"1","")&amp;(A422+4)&amp;":ZZ"&amp;(A422+4))),0)+D422+1,""),"")</f>
        <v/>
      </c>
      <c r="I422" t="str">
        <f ca="1">IF(H422&lt;&gt;"",
OFFSET(数出表_Excel【15時】!$A$1,2,H422-1)
&amp;IFERROR(OFFSET(数出表_Excel【15時】!$A$1,3,H422-1),"")
&amp;IFERROR(OFFSET(数出表_Excel【15時】!$A$1,4,H422-1),""),"")</f>
        <v/>
      </c>
      <c r="J422" t="str">
        <f ca="1">IF(H422&lt;&gt;"",
OFFSET(数出表_Excel【15時】!$A$1,A422+3,H422-1),"")</f>
        <v/>
      </c>
      <c r="K422" t="str">
        <f ca="1">IF(H422&lt;&gt;"",
IF(AND(OFFSET(数出表_Excel【15時】!$A$1,A422+3,H422)&lt;&gt;"",OFFSET(数出表_Excel【15時】!$A$1,A422+3,H422)&lt;&gt;0),
OFFSET(数出表_Excel【15時】!$A$1,A422+3,H422),""),"")</f>
        <v/>
      </c>
      <c r="L422" s="209" t="str">
        <f t="array" aca="1" ref="L422" ca="1">IF(B422&lt;&gt;"",
IFERROR(MATCH(TRUE,ISNUMBER(INDIRECT("数出表_Excel【15時】!"&amp;SUBSTITUTE(ADDRESS(1,H422+2,4),"1","")&amp;(A422+4)&amp;":ZZ"&amp;(A422+4))),0)+H422+1,""),"")</f>
        <v/>
      </c>
      <c r="M422" t="str">
        <f ca="1">IF(L422&lt;&gt;"",
OFFSET(数出表_Excel【15時】!$A$1,2,L422-1)
&amp;IFERROR(OFFSET(数出表_Excel【15時】!$A$1,3,L422-1),"")
&amp;IFERROR(OFFSET(数出表_Excel【15時】!$A$1,4,L422-1),""),"")</f>
        <v/>
      </c>
      <c r="N422" t="str">
        <f ca="1">IF(L422&lt;&gt;"",
OFFSET(数出表_Excel【15時】!$A$1,A422+3,L422-1),"")</f>
        <v/>
      </c>
      <c r="O422" t="str">
        <f ca="1">IF(L422&lt;&gt;"",
IF(AND(OFFSET(数出表_Excel【15時】!$A$1,A422+3,L422)&lt;&gt;"",OFFSET(数出表_Excel【15時】!$A$1,A422+3,L422)&lt;&gt;0),
OFFSET(数出表_Excel【15時】!$A$1,A422+3,L422),""),"")</f>
        <v/>
      </c>
      <c r="Q422" t="str">
        <f ca="1">IF(C422&lt;&gt;"",
IF(E422&lt;&gt;"",1,0)+IF(I422&lt;&gt;"",1,0)+IF(M422&lt;&gt;"",1,0),"")</f>
        <v/>
      </c>
    </row>
    <row r="423" spans="1:17">
      <c r="A423" t="str">
        <f t="shared" ca="1" si="6"/>
        <v/>
      </c>
      <c r="B423" t="str">
        <f t="array" aca="1" ref="B423" ca="1">IF(OR(COUNTIF(数出表_Excel【15時】!AO426,"*修正*"),COUNTIF(数出表_Excel【15時】!AO427,"*修正*")),
IF(ISEVEN(ROW()+4),INDIRECT("数出表_Excel【15時】!A"&amp;ROW()+4&amp;""),INDIRECT("数出表_Excel【15時】!A"&amp;ROW()+4-1&amp;"")),"")</f>
        <v/>
      </c>
      <c r="C423" t="str">
        <f t="array" aca="1" ref="C423" ca="1">IF(OR(COUNTIF(数出表_Excel【15時】!AO426,"*修正*"),COUNTIF(数出表_Excel【15時】!AO427,"*修正*")),
IF(ISEVEN(ROW()+4),INDIRECT("数出表_Excel【15時】!A"&amp;ROW()+4+1&amp;""),INDIRECT("数出表_Excel【15時】!A"&amp;ROW()+4&amp;"")),"")</f>
        <v/>
      </c>
      <c r="D423" s="209" t="str">
        <f t="array" aca="1" ref="D423" ca="1">IF(B423&lt;&gt;"",
IFERROR(MATCH(TRUE,ISNUMBER(INDIRECT("数出表_Excel【15時】!B"&amp;(A423+4)&amp;":ZZ"&amp;(A423+4))),0)+1,""),"")</f>
        <v/>
      </c>
      <c r="E423" t="str">
        <f ca="1">IF(D423&lt;&gt;"",
OFFSET(数出表_Excel【15時】!$A$1,2,D423-1)
&amp;IFERROR(OFFSET(数出表_Excel【15時】!$A$1,3,D423-1),"")
&amp;IFERROR(OFFSET(数出表_Excel【15時】!$A$1,4,D423-1),""),"")</f>
        <v/>
      </c>
      <c r="F423" t="str">
        <f ca="1">IF(D423&lt;&gt;"",
OFFSET(数出表_Excel【15時】!$A$1,A423+3,D423-1),"")</f>
        <v/>
      </c>
      <c r="G423" t="str">
        <f ca="1">IF(D423&lt;&gt;"",
IF(AND(OFFSET(数出表_Excel【15時】!$A$1,A423+3,D423)&lt;&gt;"",OFFSET(数出表_Excel【15時】!$A$1,A423+3,D423)&lt;&gt;0),
OFFSET(数出表_Excel【15時】!$A$1,A423+3,D423),""),"")</f>
        <v/>
      </c>
      <c r="H423" s="209" t="str">
        <f t="array" aca="1" ref="H423" ca="1">IF(B423&lt;&gt;"",
IFERROR(MATCH(TRUE,ISNUMBER(INDIRECT("数出表_Excel【15時】!"&amp;SUBSTITUTE(ADDRESS(1,D423+2,4),"1","")&amp;(A423+4)&amp;":ZZ"&amp;(A423+4))),0)+D423+1,""),"")</f>
        <v/>
      </c>
      <c r="I423" t="str">
        <f ca="1">IF(H423&lt;&gt;"",
OFFSET(数出表_Excel【15時】!$A$1,2,H423-1)
&amp;IFERROR(OFFSET(数出表_Excel【15時】!$A$1,3,H423-1),"")
&amp;IFERROR(OFFSET(数出表_Excel【15時】!$A$1,4,H423-1),""),"")</f>
        <v/>
      </c>
      <c r="J423" t="str">
        <f ca="1">IF(H423&lt;&gt;"",
OFFSET(数出表_Excel【15時】!$A$1,A423+3,H423-1),"")</f>
        <v/>
      </c>
      <c r="K423" t="str">
        <f ca="1">IF(H423&lt;&gt;"",
IF(AND(OFFSET(数出表_Excel【15時】!$A$1,A423+3,H423)&lt;&gt;"",OFFSET(数出表_Excel【15時】!$A$1,A423+3,H423)&lt;&gt;0),
OFFSET(数出表_Excel【15時】!$A$1,A423+3,H423),""),"")</f>
        <v/>
      </c>
      <c r="L423" s="209" t="str">
        <f t="array" aca="1" ref="L423" ca="1">IF(B423&lt;&gt;"",
IFERROR(MATCH(TRUE,ISNUMBER(INDIRECT("数出表_Excel【15時】!"&amp;SUBSTITUTE(ADDRESS(1,H423+2,4),"1","")&amp;(A423+4)&amp;":ZZ"&amp;(A423+4))),0)+H423+1,""),"")</f>
        <v/>
      </c>
      <c r="M423" t="str">
        <f ca="1">IF(L423&lt;&gt;"",
OFFSET(数出表_Excel【15時】!$A$1,2,L423-1)
&amp;IFERROR(OFFSET(数出表_Excel【15時】!$A$1,3,L423-1),"")
&amp;IFERROR(OFFSET(数出表_Excel【15時】!$A$1,4,L423-1),""),"")</f>
        <v/>
      </c>
      <c r="N423" t="str">
        <f ca="1">IF(L423&lt;&gt;"",
OFFSET(数出表_Excel【15時】!$A$1,A423+3,L423-1),"")</f>
        <v/>
      </c>
      <c r="O423" t="str">
        <f ca="1">IF(L423&lt;&gt;"",
IF(AND(OFFSET(数出表_Excel【15時】!$A$1,A423+3,L423)&lt;&gt;"",OFFSET(数出表_Excel【15時】!$A$1,A423+3,L423)&lt;&gt;0),
OFFSET(数出表_Excel【15時】!$A$1,A423+3,L423),""),"")</f>
        <v/>
      </c>
    </row>
    <row r="424" spans="1:17">
      <c r="A424" t="str">
        <f t="shared" ca="1" si="6"/>
        <v/>
      </c>
      <c r="B424" t="str">
        <f t="array" aca="1" ref="B424" ca="1">IF(OR(COUNTIF(数出表_Excel【15時】!AO428,"*修正*"),COUNTIF(数出表_Excel【15時】!AO429,"*修正*")),
IF(ISEVEN(ROW()+4),INDIRECT("数出表_Excel【15時】!A"&amp;ROW()+4&amp;""),INDIRECT("数出表_Excel【15時】!A"&amp;ROW()+4-1&amp;"")),"")</f>
        <v/>
      </c>
      <c r="C424" t="str">
        <f t="array" aca="1" ref="C424" ca="1">IF(OR(COUNTIF(数出表_Excel【15時】!AO428,"*修正*"),COUNTIF(数出表_Excel【15時】!AO429,"*修正*")),
IF(ISEVEN(ROW()+4),INDIRECT("数出表_Excel【15時】!A"&amp;ROW()+4+1&amp;""),INDIRECT("数出表_Excel【15時】!A"&amp;ROW()+4&amp;"")),"")</f>
        <v/>
      </c>
      <c r="D424" s="209" t="str">
        <f t="array" aca="1" ref="D424" ca="1">IF(B424&lt;&gt;"",
IFERROR(MATCH(TRUE,ISNUMBER(INDIRECT("数出表_Excel【15時】!B"&amp;(A424+4)&amp;":ZZ"&amp;(A424+4))),0)+1,""),"")</f>
        <v/>
      </c>
      <c r="E424" t="str">
        <f ca="1">IF(D424&lt;&gt;"",
OFFSET(数出表_Excel【15時】!$A$1,2,D424-1)
&amp;IFERROR(OFFSET(数出表_Excel【15時】!$A$1,3,D424-1),"")
&amp;IFERROR(OFFSET(数出表_Excel【15時】!$A$1,4,D424-1),""),"")</f>
        <v/>
      </c>
      <c r="F424" t="str">
        <f ca="1">IF(D424&lt;&gt;"",
OFFSET(数出表_Excel【15時】!$A$1,A424+3,D424-1),"")</f>
        <v/>
      </c>
      <c r="G424" t="str">
        <f ca="1">IF(D424&lt;&gt;"",
IF(AND(OFFSET(数出表_Excel【15時】!$A$1,A424+3,D424)&lt;&gt;"",OFFSET(数出表_Excel【15時】!$A$1,A424+3,D424)&lt;&gt;0),
OFFSET(数出表_Excel【15時】!$A$1,A424+3,D424),""),"")</f>
        <v/>
      </c>
      <c r="H424" s="209" t="str">
        <f t="array" aca="1" ref="H424" ca="1">IF(B424&lt;&gt;"",
IFERROR(MATCH(TRUE,ISNUMBER(INDIRECT("数出表_Excel【15時】!"&amp;SUBSTITUTE(ADDRESS(1,D424+2,4),"1","")&amp;(A424+4)&amp;":ZZ"&amp;(A424+4))),0)+D424+1,""),"")</f>
        <v/>
      </c>
      <c r="I424" t="str">
        <f ca="1">IF(H424&lt;&gt;"",
OFFSET(数出表_Excel【15時】!$A$1,2,H424-1)
&amp;IFERROR(OFFSET(数出表_Excel【15時】!$A$1,3,H424-1),"")
&amp;IFERROR(OFFSET(数出表_Excel【15時】!$A$1,4,H424-1),""),"")</f>
        <v/>
      </c>
      <c r="J424" t="str">
        <f ca="1">IF(H424&lt;&gt;"",
OFFSET(数出表_Excel【15時】!$A$1,A424+3,H424-1),"")</f>
        <v/>
      </c>
      <c r="K424" t="str">
        <f ca="1">IF(H424&lt;&gt;"",
IF(AND(OFFSET(数出表_Excel【15時】!$A$1,A424+3,H424)&lt;&gt;"",OFFSET(数出表_Excel【15時】!$A$1,A424+3,H424)&lt;&gt;0),
OFFSET(数出表_Excel【15時】!$A$1,A424+3,H424),""),"")</f>
        <v/>
      </c>
      <c r="L424" s="209" t="str">
        <f t="array" aca="1" ref="L424" ca="1">IF(B424&lt;&gt;"",
IFERROR(MATCH(TRUE,ISNUMBER(INDIRECT("数出表_Excel【15時】!"&amp;SUBSTITUTE(ADDRESS(1,H424+2,4),"1","")&amp;(A424+4)&amp;":ZZ"&amp;(A424+4))),0)+H424+1,""),"")</f>
        <v/>
      </c>
      <c r="M424" t="str">
        <f ca="1">IF(L424&lt;&gt;"",
OFFSET(数出表_Excel【15時】!$A$1,2,L424-1)
&amp;IFERROR(OFFSET(数出表_Excel【15時】!$A$1,3,L424-1),"")
&amp;IFERROR(OFFSET(数出表_Excel【15時】!$A$1,4,L424-1),""),"")</f>
        <v/>
      </c>
      <c r="N424" t="str">
        <f ca="1">IF(L424&lt;&gt;"",
OFFSET(数出表_Excel【15時】!$A$1,A424+3,L424-1),"")</f>
        <v/>
      </c>
      <c r="O424" t="str">
        <f ca="1">IF(L424&lt;&gt;"",
IF(AND(OFFSET(数出表_Excel【15時】!$A$1,A424+3,L424)&lt;&gt;"",OFFSET(数出表_Excel【15時】!$A$1,A424+3,L424)&lt;&gt;0),
OFFSET(数出表_Excel【15時】!$A$1,A424+3,L424),""),"")</f>
        <v/>
      </c>
      <c r="Q424" t="str">
        <f ca="1">IF(C424&lt;&gt;"",
IF(E424&lt;&gt;"",1,0)+IF(I424&lt;&gt;"",1,0)+IF(M424&lt;&gt;"",1,0),"")</f>
        <v/>
      </c>
    </row>
    <row r="425" spans="1:17">
      <c r="A425" t="str">
        <f t="shared" ca="1" si="6"/>
        <v/>
      </c>
      <c r="B425" t="str">
        <f t="array" aca="1" ref="B425" ca="1">IF(OR(COUNTIF(数出表_Excel【15時】!AO428,"*修正*"),COUNTIF(数出表_Excel【15時】!AO429,"*修正*")),
IF(ISEVEN(ROW()+4),INDIRECT("数出表_Excel【15時】!A"&amp;ROW()+4&amp;""),INDIRECT("数出表_Excel【15時】!A"&amp;ROW()+4-1&amp;"")),"")</f>
        <v/>
      </c>
      <c r="C425" t="str">
        <f t="array" aca="1" ref="C425" ca="1">IF(OR(COUNTIF(数出表_Excel【15時】!AO428,"*修正*"),COUNTIF(数出表_Excel【15時】!AO429,"*修正*")),
IF(ISEVEN(ROW()+4),INDIRECT("数出表_Excel【15時】!A"&amp;ROW()+4+1&amp;""),INDIRECT("数出表_Excel【15時】!A"&amp;ROW()+4&amp;"")),"")</f>
        <v/>
      </c>
      <c r="D425" s="209" t="str">
        <f t="array" aca="1" ref="D425" ca="1">IF(B425&lt;&gt;"",
IFERROR(MATCH(TRUE,ISNUMBER(INDIRECT("数出表_Excel【15時】!B"&amp;(A425+4)&amp;":ZZ"&amp;(A425+4))),0)+1,""),"")</f>
        <v/>
      </c>
      <c r="E425" t="str">
        <f ca="1">IF(D425&lt;&gt;"",
OFFSET(数出表_Excel【15時】!$A$1,2,D425-1)
&amp;IFERROR(OFFSET(数出表_Excel【15時】!$A$1,3,D425-1),"")
&amp;IFERROR(OFFSET(数出表_Excel【15時】!$A$1,4,D425-1),""),"")</f>
        <v/>
      </c>
      <c r="F425" t="str">
        <f ca="1">IF(D425&lt;&gt;"",
OFFSET(数出表_Excel【15時】!$A$1,A425+3,D425-1),"")</f>
        <v/>
      </c>
      <c r="G425" t="str">
        <f ca="1">IF(D425&lt;&gt;"",
IF(AND(OFFSET(数出表_Excel【15時】!$A$1,A425+3,D425)&lt;&gt;"",OFFSET(数出表_Excel【15時】!$A$1,A425+3,D425)&lt;&gt;0),
OFFSET(数出表_Excel【15時】!$A$1,A425+3,D425),""),"")</f>
        <v/>
      </c>
      <c r="H425" s="209" t="str">
        <f t="array" aca="1" ref="H425" ca="1">IF(B425&lt;&gt;"",
IFERROR(MATCH(TRUE,ISNUMBER(INDIRECT("数出表_Excel【15時】!"&amp;SUBSTITUTE(ADDRESS(1,D425+2,4),"1","")&amp;(A425+4)&amp;":ZZ"&amp;(A425+4))),0)+D425+1,""),"")</f>
        <v/>
      </c>
      <c r="I425" t="str">
        <f ca="1">IF(H425&lt;&gt;"",
OFFSET(数出表_Excel【15時】!$A$1,2,H425-1)
&amp;IFERROR(OFFSET(数出表_Excel【15時】!$A$1,3,H425-1),"")
&amp;IFERROR(OFFSET(数出表_Excel【15時】!$A$1,4,H425-1),""),"")</f>
        <v/>
      </c>
      <c r="J425" t="str">
        <f ca="1">IF(H425&lt;&gt;"",
OFFSET(数出表_Excel【15時】!$A$1,A425+3,H425-1),"")</f>
        <v/>
      </c>
      <c r="K425" t="str">
        <f ca="1">IF(H425&lt;&gt;"",
IF(AND(OFFSET(数出表_Excel【15時】!$A$1,A425+3,H425)&lt;&gt;"",OFFSET(数出表_Excel【15時】!$A$1,A425+3,H425)&lt;&gt;0),
OFFSET(数出表_Excel【15時】!$A$1,A425+3,H425),""),"")</f>
        <v/>
      </c>
      <c r="L425" s="209" t="str">
        <f t="array" aca="1" ref="L425" ca="1">IF(B425&lt;&gt;"",
IFERROR(MATCH(TRUE,ISNUMBER(INDIRECT("数出表_Excel【15時】!"&amp;SUBSTITUTE(ADDRESS(1,H425+2,4),"1","")&amp;(A425+4)&amp;":ZZ"&amp;(A425+4))),0)+H425+1,""),"")</f>
        <v/>
      </c>
      <c r="M425" t="str">
        <f ca="1">IF(L425&lt;&gt;"",
OFFSET(数出表_Excel【15時】!$A$1,2,L425-1)
&amp;IFERROR(OFFSET(数出表_Excel【15時】!$A$1,3,L425-1),"")
&amp;IFERROR(OFFSET(数出表_Excel【15時】!$A$1,4,L425-1),""),"")</f>
        <v/>
      </c>
      <c r="N425" t="str">
        <f ca="1">IF(L425&lt;&gt;"",
OFFSET(数出表_Excel【15時】!$A$1,A425+3,L425-1),"")</f>
        <v/>
      </c>
      <c r="O425" t="str">
        <f ca="1">IF(L425&lt;&gt;"",
IF(AND(OFFSET(数出表_Excel【15時】!$A$1,A425+3,L425)&lt;&gt;"",OFFSET(数出表_Excel【15時】!$A$1,A425+3,L425)&lt;&gt;0),
OFFSET(数出表_Excel【15時】!$A$1,A425+3,L425),""),"")</f>
        <v/>
      </c>
    </row>
    <row r="426" spans="1:17">
      <c r="A426" t="str">
        <f t="shared" ca="1" si="6"/>
        <v/>
      </c>
      <c r="B426" t="str">
        <f t="array" aca="1" ref="B426" ca="1">IF(OR(COUNTIF(数出表_Excel【15時】!AO430,"*修正*"),COUNTIF(数出表_Excel【15時】!AO431,"*修正*")),
IF(ISEVEN(ROW()+4),INDIRECT("数出表_Excel【15時】!A"&amp;ROW()+4&amp;""),INDIRECT("数出表_Excel【15時】!A"&amp;ROW()+4-1&amp;"")),"")</f>
        <v/>
      </c>
      <c r="C426" t="str">
        <f t="array" aca="1" ref="C426" ca="1">IF(OR(COUNTIF(数出表_Excel【15時】!AO430,"*修正*"),COUNTIF(数出表_Excel【15時】!AO431,"*修正*")),
IF(ISEVEN(ROW()+4),INDIRECT("数出表_Excel【15時】!A"&amp;ROW()+4+1&amp;""),INDIRECT("数出表_Excel【15時】!A"&amp;ROW()+4&amp;"")),"")</f>
        <v/>
      </c>
      <c r="D426" s="209" t="str">
        <f t="array" aca="1" ref="D426" ca="1">IF(B426&lt;&gt;"",
IFERROR(MATCH(TRUE,ISNUMBER(INDIRECT("数出表_Excel【15時】!B"&amp;(A426+4)&amp;":ZZ"&amp;(A426+4))),0)+1,""),"")</f>
        <v/>
      </c>
      <c r="E426" t="str">
        <f ca="1">IF(D426&lt;&gt;"",
OFFSET(数出表_Excel【15時】!$A$1,2,D426-1)
&amp;IFERROR(OFFSET(数出表_Excel【15時】!$A$1,3,D426-1),"")
&amp;IFERROR(OFFSET(数出表_Excel【15時】!$A$1,4,D426-1),""),"")</f>
        <v/>
      </c>
      <c r="F426" t="str">
        <f ca="1">IF(D426&lt;&gt;"",
OFFSET(数出表_Excel【15時】!$A$1,A426+3,D426-1),"")</f>
        <v/>
      </c>
      <c r="G426" t="str">
        <f ca="1">IF(D426&lt;&gt;"",
IF(AND(OFFSET(数出表_Excel【15時】!$A$1,A426+3,D426)&lt;&gt;"",OFFSET(数出表_Excel【15時】!$A$1,A426+3,D426)&lt;&gt;0),
OFFSET(数出表_Excel【15時】!$A$1,A426+3,D426),""),"")</f>
        <v/>
      </c>
      <c r="H426" s="209" t="str">
        <f t="array" aca="1" ref="H426" ca="1">IF(B426&lt;&gt;"",
IFERROR(MATCH(TRUE,ISNUMBER(INDIRECT("数出表_Excel【15時】!"&amp;SUBSTITUTE(ADDRESS(1,D426+2,4),"1","")&amp;(A426+4)&amp;":ZZ"&amp;(A426+4))),0)+D426+1,""),"")</f>
        <v/>
      </c>
      <c r="I426" t="str">
        <f ca="1">IF(H426&lt;&gt;"",
OFFSET(数出表_Excel【15時】!$A$1,2,H426-1)
&amp;IFERROR(OFFSET(数出表_Excel【15時】!$A$1,3,H426-1),"")
&amp;IFERROR(OFFSET(数出表_Excel【15時】!$A$1,4,H426-1),""),"")</f>
        <v/>
      </c>
      <c r="J426" t="str">
        <f ca="1">IF(H426&lt;&gt;"",
OFFSET(数出表_Excel【15時】!$A$1,A426+3,H426-1),"")</f>
        <v/>
      </c>
      <c r="K426" t="str">
        <f ca="1">IF(H426&lt;&gt;"",
IF(AND(OFFSET(数出表_Excel【15時】!$A$1,A426+3,H426)&lt;&gt;"",OFFSET(数出表_Excel【15時】!$A$1,A426+3,H426)&lt;&gt;0),
OFFSET(数出表_Excel【15時】!$A$1,A426+3,H426),""),"")</f>
        <v/>
      </c>
      <c r="L426" s="209" t="str">
        <f t="array" aca="1" ref="L426" ca="1">IF(B426&lt;&gt;"",
IFERROR(MATCH(TRUE,ISNUMBER(INDIRECT("数出表_Excel【15時】!"&amp;SUBSTITUTE(ADDRESS(1,H426+2,4),"1","")&amp;(A426+4)&amp;":ZZ"&amp;(A426+4))),0)+H426+1,""),"")</f>
        <v/>
      </c>
      <c r="M426" t="str">
        <f ca="1">IF(L426&lt;&gt;"",
OFFSET(数出表_Excel【15時】!$A$1,2,L426-1)
&amp;IFERROR(OFFSET(数出表_Excel【15時】!$A$1,3,L426-1),"")
&amp;IFERROR(OFFSET(数出表_Excel【15時】!$A$1,4,L426-1),""),"")</f>
        <v/>
      </c>
      <c r="N426" t="str">
        <f ca="1">IF(L426&lt;&gt;"",
OFFSET(数出表_Excel【15時】!$A$1,A426+3,L426-1),"")</f>
        <v/>
      </c>
      <c r="O426" t="str">
        <f ca="1">IF(L426&lt;&gt;"",
IF(AND(OFFSET(数出表_Excel【15時】!$A$1,A426+3,L426)&lt;&gt;"",OFFSET(数出表_Excel【15時】!$A$1,A426+3,L426)&lt;&gt;0),
OFFSET(数出表_Excel【15時】!$A$1,A426+3,L426),""),"")</f>
        <v/>
      </c>
      <c r="Q426" t="str">
        <f ca="1">IF(C426&lt;&gt;"",
IF(E426&lt;&gt;"",1,0)+IF(I426&lt;&gt;"",1,0)+IF(M426&lt;&gt;"",1,0),"")</f>
        <v/>
      </c>
    </row>
    <row r="427" spans="1:17">
      <c r="A427" t="str">
        <f t="shared" ca="1" si="6"/>
        <v/>
      </c>
      <c r="B427" t="str">
        <f t="array" aca="1" ref="B427" ca="1">IF(OR(COUNTIF(数出表_Excel【15時】!AO430,"*修正*"),COUNTIF(数出表_Excel【15時】!AO431,"*修正*")),
IF(ISEVEN(ROW()+4),INDIRECT("数出表_Excel【15時】!A"&amp;ROW()+4&amp;""),INDIRECT("数出表_Excel【15時】!A"&amp;ROW()+4-1&amp;"")),"")</f>
        <v/>
      </c>
      <c r="C427" t="str">
        <f t="array" aca="1" ref="C427" ca="1">IF(OR(COUNTIF(数出表_Excel【15時】!AO430,"*修正*"),COUNTIF(数出表_Excel【15時】!AO431,"*修正*")),
IF(ISEVEN(ROW()+4),INDIRECT("数出表_Excel【15時】!A"&amp;ROW()+4+1&amp;""),INDIRECT("数出表_Excel【15時】!A"&amp;ROW()+4&amp;"")),"")</f>
        <v/>
      </c>
      <c r="D427" s="209" t="str">
        <f t="array" aca="1" ref="D427" ca="1">IF(B427&lt;&gt;"",
IFERROR(MATCH(TRUE,ISNUMBER(INDIRECT("数出表_Excel【15時】!B"&amp;(A427+4)&amp;":ZZ"&amp;(A427+4))),0)+1,""),"")</f>
        <v/>
      </c>
      <c r="E427" t="str">
        <f ca="1">IF(D427&lt;&gt;"",
OFFSET(数出表_Excel【15時】!$A$1,2,D427-1)
&amp;IFERROR(OFFSET(数出表_Excel【15時】!$A$1,3,D427-1),"")
&amp;IFERROR(OFFSET(数出表_Excel【15時】!$A$1,4,D427-1),""),"")</f>
        <v/>
      </c>
      <c r="F427" t="str">
        <f ca="1">IF(D427&lt;&gt;"",
OFFSET(数出表_Excel【15時】!$A$1,A427+3,D427-1),"")</f>
        <v/>
      </c>
      <c r="G427" t="str">
        <f ca="1">IF(D427&lt;&gt;"",
IF(AND(OFFSET(数出表_Excel【15時】!$A$1,A427+3,D427)&lt;&gt;"",OFFSET(数出表_Excel【15時】!$A$1,A427+3,D427)&lt;&gt;0),
OFFSET(数出表_Excel【15時】!$A$1,A427+3,D427),""),"")</f>
        <v/>
      </c>
      <c r="H427" s="209" t="str">
        <f t="array" aca="1" ref="H427" ca="1">IF(B427&lt;&gt;"",
IFERROR(MATCH(TRUE,ISNUMBER(INDIRECT("数出表_Excel【15時】!"&amp;SUBSTITUTE(ADDRESS(1,D427+2,4),"1","")&amp;(A427+4)&amp;":ZZ"&amp;(A427+4))),0)+D427+1,""),"")</f>
        <v/>
      </c>
      <c r="I427" t="str">
        <f ca="1">IF(H427&lt;&gt;"",
OFFSET(数出表_Excel【15時】!$A$1,2,H427-1)
&amp;IFERROR(OFFSET(数出表_Excel【15時】!$A$1,3,H427-1),"")
&amp;IFERROR(OFFSET(数出表_Excel【15時】!$A$1,4,H427-1),""),"")</f>
        <v/>
      </c>
      <c r="J427" t="str">
        <f ca="1">IF(H427&lt;&gt;"",
OFFSET(数出表_Excel【15時】!$A$1,A427+3,H427-1),"")</f>
        <v/>
      </c>
      <c r="K427" t="str">
        <f ca="1">IF(H427&lt;&gt;"",
IF(AND(OFFSET(数出表_Excel【15時】!$A$1,A427+3,H427)&lt;&gt;"",OFFSET(数出表_Excel【15時】!$A$1,A427+3,H427)&lt;&gt;0),
OFFSET(数出表_Excel【15時】!$A$1,A427+3,H427),""),"")</f>
        <v/>
      </c>
      <c r="L427" s="209" t="str">
        <f t="array" aca="1" ref="L427" ca="1">IF(B427&lt;&gt;"",
IFERROR(MATCH(TRUE,ISNUMBER(INDIRECT("数出表_Excel【15時】!"&amp;SUBSTITUTE(ADDRESS(1,H427+2,4),"1","")&amp;(A427+4)&amp;":ZZ"&amp;(A427+4))),0)+H427+1,""),"")</f>
        <v/>
      </c>
      <c r="M427" t="str">
        <f ca="1">IF(L427&lt;&gt;"",
OFFSET(数出表_Excel【15時】!$A$1,2,L427-1)
&amp;IFERROR(OFFSET(数出表_Excel【15時】!$A$1,3,L427-1),"")
&amp;IFERROR(OFFSET(数出表_Excel【15時】!$A$1,4,L427-1),""),"")</f>
        <v/>
      </c>
      <c r="N427" t="str">
        <f ca="1">IF(L427&lt;&gt;"",
OFFSET(数出表_Excel【15時】!$A$1,A427+3,L427-1),"")</f>
        <v/>
      </c>
      <c r="O427" t="str">
        <f ca="1">IF(L427&lt;&gt;"",
IF(AND(OFFSET(数出表_Excel【15時】!$A$1,A427+3,L427)&lt;&gt;"",OFFSET(数出表_Excel【15時】!$A$1,A427+3,L427)&lt;&gt;0),
OFFSET(数出表_Excel【15時】!$A$1,A427+3,L427),""),"")</f>
        <v/>
      </c>
    </row>
    <row r="428" spans="1:17">
      <c r="A428" t="str">
        <f t="shared" ca="1" si="6"/>
        <v/>
      </c>
      <c r="B428" t="str">
        <f t="array" aca="1" ref="B428" ca="1">IF(OR(COUNTIF(数出表_Excel【15時】!AO432,"*修正*"),COUNTIF(数出表_Excel【15時】!AO433,"*修正*")),
IF(ISEVEN(ROW()+4),INDIRECT("数出表_Excel【15時】!A"&amp;ROW()+4&amp;""),INDIRECT("数出表_Excel【15時】!A"&amp;ROW()+4-1&amp;"")),"")</f>
        <v/>
      </c>
      <c r="C428" t="str">
        <f t="array" aca="1" ref="C428" ca="1">IF(OR(COUNTIF(数出表_Excel【15時】!AO432,"*修正*"),COUNTIF(数出表_Excel【15時】!AO433,"*修正*")),
IF(ISEVEN(ROW()+4),INDIRECT("数出表_Excel【15時】!A"&amp;ROW()+4+1&amp;""),INDIRECT("数出表_Excel【15時】!A"&amp;ROW()+4&amp;"")),"")</f>
        <v/>
      </c>
      <c r="D428" s="209" t="str">
        <f t="array" aca="1" ref="D428" ca="1">IF(B428&lt;&gt;"",
IFERROR(MATCH(TRUE,ISNUMBER(INDIRECT("数出表_Excel【15時】!B"&amp;(A428+4)&amp;":ZZ"&amp;(A428+4))),0)+1,""),"")</f>
        <v/>
      </c>
      <c r="E428" t="str">
        <f ca="1">IF(D428&lt;&gt;"",
OFFSET(数出表_Excel【15時】!$A$1,2,D428-1)
&amp;IFERROR(OFFSET(数出表_Excel【15時】!$A$1,3,D428-1),"")
&amp;IFERROR(OFFSET(数出表_Excel【15時】!$A$1,4,D428-1),""),"")</f>
        <v/>
      </c>
      <c r="F428" t="str">
        <f ca="1">IF(D428&lt;&gt;"",
OFFSET(数出表_Excel【15時】!$A$1,A428+3,D428-1),"")</f>
        <v/>
      </c>
      <c r="G428" t="str">
        <f ca="1">IF(D428&lt;&gt;"",
IF(AND(OFFSET(数出表_Excel【15時】!$A$1,A428+3,D428)&lt;&gt;"",OFFSET(数出表_Excel【15時】!$A$1,A428+3,D428)&lt;&gt;0),
OFFSET(数出表_Excel【15時】!$A$1,A428+3,D428),""),"")</f>
        <v/>
      </c>
      <c r="H428" s="209" t="str">
        <f t="array" aca="1" ref="H428" ca="1">IF(B428&lt;&gt;"",
IFERROR(MATCH(TRUE,ISNUMBER(INDIRECT("数出表_Excel【15時】!"&amp;SUBSTITUTE(ADDRESS(1,D428+2,4),"1","")&amp;(A428+4)&amp;":ZZ"&amp;(A428+4))),0)+D428+1,""),"")</f>
        <v/>
      </c>
      <c r="I428" t="str">
        <f ca="1">IF(H428&lt;&gt;"",
OFFSET(数出表_Excel【15時】!$A$1,2,H428-1)
&amp;IFERROR(OFFSET(数出表_Excel【15時】!$A$1,3,H428-1),"")
&amp;IFERROR(OFFSET(数出表_Excel【15時】!$A$1,4,H428-1),""),"")</f>
        <v/>
      </c>
      <c r="J428" t="str">
        <f ca="1">IF(H428&lt;&gt;"",
OFFSET(数出表_Excel【15時】!$A$1,A428+3,H428-1),"")</f>
        <v/>
      </c>
      <c r="K428" t="str">
        <f ca="1">IF(H428&lt;&gt;"",
IF(AND(OFFSET(数出表_Excel【15時】!$A$1,A428+3,H428)&lt;&gt;"",OFFSET(数出表_Excel【15時】!$A$1,A428+3,H428)&lt;&gt;0),
OFFSET(数出表_Excel【15時】!$A$1,A428+3,H428),""),"")</f>
        <v/>
      </c>
      <c r="L428" s="209" t="str">
        <f t="array" aca="1" ref="L428" ca="1">IF(B428&lt;&gt;"",
IFERROR(MATCH(TRUE,ISNUMBER(INDIRECT("数出表_Excel【15時】!"&amp;SUBSTITUTE(ADDRESS(1,H428+2,4),"1","")&amp;(A428+4)&amp;":ZZ"&amp;(A428+4))),0)+H428+1,""),"")</f>
        <v/>
      </c>
      <c r="M428" t="str">
        <f ca="1">IF(L428&lt;&gt;"",
OFFSET(数出表_Excel【15時】!$A$1,2,L428-1)
&amp;IFERROR(OFFSET(数出表_Excel【15時】!$A$1,3,L428-1),"")
&amp;IFERROR(OFFSET(数出表_Excel【15時】!$A$1,4,L428-1),""),"")</f>
        <v/>
      </c>
      <c r="N428" t="str">
        <f ca="1">IF(L428&lt;&gt;"",
OFFSET(数出表_Excel【15時】!$A$1,A428+3,L428-1),"")</f>
        <v/>
      </c>
      <c r="O428" t="str">
        <f ca="1">IF(L428&lt;&gt;"",
IF(AND(OFFSET(数出表_Excel【15時】!$A$1,A428+3,L428)&lt;&gt;"",OFFSET(数出表_Excel【15時】!$A$1,A428+3,L428)&lt;&gt;0),
OFFSET(数出表_Excel【15時】!$A$1,A428+3,L428),""),"")</f>
        <v/>
      </c>
      <c r="Q428" t="str">
        <f ca="1">IF(C428&lt;&gt;"",
IF(E428&lt;&gt;"",1,0)+IF(I428&lt;&gt;"",1,0)+IF(M428&lt;&gt;"",1,0),"")</f>
        <v/>
      </c>
    </row>
    <row r="429" spans="1:17">
      <c r="A429" t="str">
        <f t="shared" ca="1" si="6"/>
        <v/>
      </c>
      <c r="B429" t="str">
        <f t="array" aca="1" ref="B429" ca="1">IF(OR(COUNTIF(数出表_Excel【15時】!AO432,"*修正*"),COUNTIF(数出表_Excel【15時】!AO433,"*修正*")),
IF(ISEVEN(ROW()+4),INDIRECT("数出表_Excel【15時】!A"&amp;ROW()+4&amp;""),INDIRECT("数出表_Excel【15時】!A"&amp;ROW()+4-1&amp;"")),"")</f>
        <v/>
      </c>
      <c r="C429" t="str">
        <f t="array" aca="1" ref="C429" ca="1">IF(OR(COUNTIF(数出表_Excel【15時】!AO432,"*修正*"),COUNTIF(数出表_Excel【15時】!AO433,"*修正*")),
IF(ISEVEN(ROW()+4),INDIRECT("数出表_Excel【15時】!A"&amp;ROW()+4+1&amp;""),INDIRECT("数出表_Excel【15時】!A"&amp;ROW()+4&amp;"")),"")</f>
        <v/>
      </c>
      <c r="D429" s="209" t="str">
        <f t="array" aca="1" ref="D429" ca="1">IF(B429&lt;&gt;"",
IFERROR(MATCH(TRUE,ISNUMBER(INDIRECT("数出表_Excel【15時】!B"&amp;(A429+4)&amp;":ZZ"&amp;(A429+4))),0)+1,""),"")</f>
        <v/>
      </c>
      <c r="E429" t="str">
        <f ca="1">IF(D429&lt;&gt;"",
OFFSET(数出表_Excel【15時】!$A$1,2,D429-1)
&amp;IFERROR(OFFSET(数出表_Excel【15時】!$A$1,3,D429-1),"")
&amp;IFERROR(OFFSET(数出表_Excel【15時】!$A$1,4,D429-1),""),"")</f>
        <v/>
      </c>
      <c r="F429" t="str">
        <f ca="1">IF(D429&lt;&gt;"",
OFFSET(数出表_Excel【15時】!$A$1,A429+3,D429-1),"")</f>
        <v/>
      </c>
      <c r="G429" t="str">
        <f ca="1">IF(D429&lt;&gt;"",
IF(AND(OFFSET(数出表_Excel【15時】!$A$1,A429+3,D429)&lt;&gt;"",OFFSET(数出表_Excel【15時】!$A$1,A429+3,D429)&lt;&gt;0),
OFFSET(数出表_Excel【15時】!$A$1,A429+3,D429),""),"")</f>
        <v/>
      </c>
      <c r="H429" s="209" t="str">
        <f t="array" aca="1" ref="H429" ca="1">IF(B429&lt;&gt;"",
IFERROR(MATCH(TRUE,ISNUMBER(INDIRECT("数出表_Excel【15時】!"&amp;SUBSTITUTE(ADDRESS(1,D429+2,4),"1","")&amp;(A429+4)&amp;":ZZ"&amp;(A429+4))),0)+D429+1,""),"")</f>
        <v/>
      </c>
      <c r="I429" t="str">
        <f ca="1">IF(H429&lt;&gt;"",
OFFSET(数出表_Excel【15時】!$A$1,2,H429-1)
&amp;IFERROR(OFFSET(数出表_Excel【15時】!$A$1,3,H429-1),"")
&amp;IFERROR(OFFSET(数出表_Excel【15時】!$A$1,4,H429-1),""),"")</f>
        <v/>
      </c>
      <c r="J429" t="str">
        <f ca="1">IF(H429&lt;&gt;"",
OFFSET(数出表_Excel【15時】!$A$1,A429+3,H429-1),"")</f>
        <v/>
      </c>
      <c r="K429" t="str">
        <f ca="1">IF(H429&lt;&gt;"",
IF(AND(OFFSET(数出表_Excel【15時】!$A$1,A429+3,H429)&lt;&gt;"",OFFSET(数出表_Excel【15時】!$A$1,A429+3,H429)&lt;&gt;0),
OFFSET(数出表_Excel【15時】!$A$1,A429+3,H429),""),"")</f>
        <v/>
      </c>
      <c r="L429" s="209" t="str">
        <f t="array" aca="1" ref="L429" ca="1">IF(B429&lt;&gt;"",
IFERROR(MATCH(TRUE,ISNUMBER(INDIRECT("数出表_Excel【15時】!"&amp;SUBSTITUTE(ADDRESS(1,H429+2,4),"1","")&amp;(A429+4)&amp;":ZZ"&amp;(A429+4))),0)+H429+1,""),"")</f>
        <v/>
      </c>
      <c r="M429" t="str">
        <f ca="1">IF(L429&lt;&gt;"",
OFFSET(数出表_Excel【15時】!$A$1,2,L429-1)
&amp;IFERROR(OFFSET(数出表_Excel【15時】!$A$1,3,L429-1),"")
&amp;IFERROR(OFFSET(数出表_Excel【15時】!$A$1,4,L429-1),""),"")</f>
        <v/>
      </c>
      <c r="N429" t="str">
        <f ca="1">IF(L429&lt;&gt;"",
OFFSET(数出表_Excel【15時】!$A$1,A429+3,L429-1),"")</f>
        <v/>
      </c>
      <c r="O429" t="str">
        <f ca="1">IF(L429&lt;&gt;"",
IF(AND(OFFSET(数出表_Excel【15時】!$A$1,A429+3,L429)&lt;&gt;"",OFFSET(数出表_Excel【15時】!$A$1,A429+3,L429)&lt;&gt;0),
OFFSET(数出表_Excel【15時】!$A$1,A429+3,L429),""),"")</f>
        <v/>
      </c>
    </row>
    <row r="430" spans="1:17">
      <c r="A430" t="str">
        <f t="shared" ca="1" si="6"/>
        <v/>
      </c>
      <c r="B430" t="str">
        <f t="array" aca="1" ref="B430" ca="1">IF(OR(COUNTIF(数出表_Excel【15時】!AO434,"*修正*"),COUNTIF(数出表_Excel【15時】!AO435,"*修正*")),
IF(ISEVEN(ROW()+4),INDIRECT("数出表_Excel【15時】!A"&amp;ROW()+4&amp;""),INDIRECT("数出表_Excel【15時】!A"&amp;ROW()+4-1&amp;"")),"")</f>
        <v/>
      </c>
      <c r="C430" t="str">
        <f t="array" aca="1" ref="C430" ca="1">IF(OR(COUNTIF(数出表_Excel【15時】!AO434,"*修正*"),COUNTIF(数出表_Excel【15時】!AO435,"*修正*")),
IF(ISEVEN(ROW()+4),INDIRECT("数出表_Excel【15時】!A"&amp;ROW()+4+1&amp;""),INDIRECT("数出表_Excel【15時】!A"&amp;ROW()+4&amp;"")),"")</f>
        <v/>
      </c>
      <c r="D430" s="209" t="str">
        <f t="array" aca="1" ref="D430" ca="1">IF(B430&lt;&gt;"",
IFERROR(MATCH(TRUE,ISNUMBER(INDIRECT("数出表_Excel【15時】!B"&amp;(A430+4)&amp;":ZZ"&amp;(A430+4))),0)+1,""),"")</f>
        <v/>
      </c>
      <c r="E430" t="str">
        <f ca="1">IF(D430&lt;&gt;"",
OFFSET(数出表_Excel【15時】!$A$1,2,D430-1)
&amp;IFERROR(OFFSET(数出表_Excel【15時】!$A$1,3,D430-1),"")
&amp;IFERROR(OFFSET(数出表_Excel【15時】!$A$1,4,D430-1),""),"")</f>
        <v/>
      </c>
      <c r="F430" t="str">
        <f ca="1">IF(D430&lt;&gt;"",
OFFSET(数出表_Excel【15時】!$A$1,A430+3,D430-1),"")</f>
        <v/>
      </c>
      <c r="G430" t="str">
        <f ca="1">IF(D430&lt;&gt;"",
IF(AND(OFFSET(数出表_Excel【15時】!$A$1,A430+3,D430)&lt;&gt;"",OFFSET(数出表_Excel【15時】!$A$1,A430+3,D430)&lt;&gt;0),
OFFSET(数出表_Excel【15時】!$A$1,A430+3,D430),""),"")</f>
        <v/>
      </c>
      <c r="H430" s="209" t="str">
        <f t="array" aca="1" ref="H430" ca="1">IF(B430&lt;&gt;"",
IFERROR(MATCH(TRUE,ISNUMBER(INDIRECT("数出表_Excel【15時】!"&amp;SUBSTITUTE(ADDRESS(1,D430+2,4),"1","")&amp;(A430+4)&amp;":ZZ"&amp;(A430+4))),0)+D430+1,""),"")</f>
        <v/>
      </c>
      <c r="I430" t="str">
        <f ca="1">IF(H430&lt;&gt;"",
OFFSET(数出表_Excel【15時】!$A$1,2,H430-1)
&amp;IFERROR(OFFSET(数出表_Excel【15時】!$A$1,3,H430-1),"")
&amp;IFERROR(OFFSET(数出表_Excel【15時】!$A$1,4,H430-1),""),"")</f>
        <v/>
      </c>
      <c r="J430" t="str">
        <f ca="1">IF(H430&lt;&gt;"",
OFFSET(数出表_Excel【15時】!$A$1,A430+3,H430-1),"")</f>
        <v/>
      </c>
      <c r="K430" t="str">
        <f ca="1">IF(H430&lt;&gt;"",
IF(AND(OFFSET(数出表_Excel【15時】!$A$1,A430+3,H430)&lt;&gt;"",OFFSET(数出表_Excel【15時】!$A$1,A430+3,H430)&lt;&gt;0),
OFFSET(数出表_Excel【15時】!$A$1,A430+3,H430),""),"")</f>
        <v/>
      </c>
      <c r="L430" s="209" t="str">
        <f t="array" aca="1" ref="L430" ca="1">IF(B430&lt;&gt;"",
IFERROR(MATCH(TRUE,ISNUMBER(INDIRECT("数出表_Excel【15時】!"&amp;SUBSTITUTE(ADDRESS(1,H430+2,4),"1","")&amp;(A430+4)&amp;":ZZ"&amp;(A430+4))),0)+H430+1,""),"")</f>
        <v/>
      </c>
      <c r="M430" t="str">
        <f ca="1">IF(L430&lt;&gt;"",
OFFSET(数出表_Excel【15時】!$A$1,2,L430-1)
&amp;IFERROR(OFFSET(数出表_Excel【15時】!$A$1,3,L430-1),"")
&amp;IFERROR(OFFSET(数出表_Excel【15時】!$A$1,4,L430-1),""),"")</f>
        <v/>
      </c>
      <c r="N430" t="str">
        <f ca="1">IF(L430&lt;&gt;"",
OFFSET(数出表_Excel【15時】!$A$1,A430+3,L430-1),"")</f>
        <v/>
      </c>
      <c r="O430" t="str">
        <f ca="1">IF(L430&lt;&gt;"",
IF(AND(OFFSET(数出表_Excel【15時】!$A$1,A430+3,L430)&lt;&gt;"",OFFSET(数出表_Excel【15時】!$A$1,A430+3,L430)&lt;&gt;0),
OFFSET(数出表_Excel【15時】!$A$1,A430+3,L430),""),"")</f>
        <v/>
      </c>
      <c r="Q430" t="str">
        <f ca="1">IF(C430&lt;&gt;"",
IF(E430&lt;&gt;"",1,0)+IF(I430&lt;&gt;"",1,0)+IF(M430&lt;&gt;"",1,0),"")</f>
        <v/>
      </c>
    </row>
    <row r="431" spans="1:17">
      <c r="A431" t="str">
        <f t="shared" ca="1" si="6"/>
        <v/>
      </c>
      <c r="B431" t="str">
        <f t="array" aca="1" ref="B431" ca="1">IF(OR(COUNTIF(数出表_Excel【15時】!AO434,"*修正*"),COUNTIF(数出表_Excel【15時】!AO435,"*修正*")),
IF(ISEVEN(ROW()+4),INDIRECT("数出表_Excel【15時】!A"&amp;ROW()+4&amp;""),INDIRECT("数出表_Excel【15時】!A"&amp;ROW()+4-1&amp;"")),"")</f>
        <v/>
      </c>
      <c r="C431" t="str">
        <f t="array" aca="1" ref="C431" ca="1">IF(OR(COUNTIF(数出表_Excel【15時】!AO434,"*修正*"),COUNTIF(数出表_Excel【15時】!AO435,"*修正*")),
IF(ISEVEN(ROW()+4),INDIRECT("数出表_Excel【15時】!A"&amp;ROW()+4+1&amp;""),INDIRECT("数出表_Excel【15時】!A"&amp;ROW()+4&amp;"")),"")</f>
        <v/>
      </c>
      <c r="D431" s="209" t="str">
        <f t="array" aca="1" ref="D431" ca="1">IF(B431&lt;&gt;"",
IFERROR(MATCH(TRUE,ISNUMBER(INDIRECT("数出表_Excel【15時】!B"&amp;(A431+4)&amp;":ZZ"&amp;(A431+4))),0)+1,""),"")</f>
        <v/>
      </c>
      <c r="E431" t="str">
        <f ca="1">IF(D431&lt;&gt;"",
OFFSET(数出表_Excel【15時】!$A$1,2,D431-1)
&amp;IFERROR(OFFSET(数出表_Excel【15時】!$A$1,3,D431-1),"")
&amp;IFERROR(OFFSET(数出表_Excel【15時】!$A$1,4,D431-1),""),"")</f>
        <v/>
      </c>
      <c r="F431" t="str">
        <f ca="1">IF(D431&lt;&gt;"",
OFFSET(数出表_Excel【15時】!$A$1,A431+3,D431-1),"")</f>
        <v/>
      </c>
      <c r="G431" t="str">
        <f ca="1">IF(D431&lt;&gt;"",
IF(AND(OFFSET(数出表_Excel【15時】!$A$1,A431+3,D431)&lt;&gt;"",OFFSET(数出表_Excel【15時】!$A$1,A431+3,D431)&lt;&gt;0),
OFFSET(数出表_Excel【15時】!$A$1,A431+3,D431),""),"")</f>
        <v/>
      </c>
      <c r="H431" s="209" t="str">
        <f t="array" aca="1" ref="H431" ca="1">IF(B431&lt;&gt;"",
IFERROR(MATCH(TRUE,ISNUMBER(INDIRECT("数出表_Excel【15時】!"&amp;SUBSTITUTE(ADDRESS(1,D431+2,4),"1","")&amp;(A431+4)&amp;":ZZ"&amp;(A431+4))),0)+D431+1,""),"")</f>
        <v/>
      </c>
      <c r="I431" t="str">
        <f ca="1">IF(H431&lt;&gt;"",
OFFSET(数出表_Excel【15時】!$A$1,2,H431-1)
&amp;IFERROR(OFFSET(数出表_Excel【15時】!$A$1,3,H431-1),"")
&amp;IFERROR(OFFSET(数出表_Excel【15時】!$A$1,4,H431-1),""),"")</f>
        <v/>
      </c>
      <c r="J431" t="str">
        <f ca="1">IF(H431&lt;&gt;"",
OFFSET(数出表_Excel【15時】!$A$1,A431+3,H431-1),"")</f>
        <v/>
      </c>
      <c r="K431" t="str">
        <f ca="1">IF(H431&lt;&gt;"",
IF(AND(OFFSET(数出表_Excel【15時】!$A$1,A431+3,H431)&lt;&gt;"",OFFSET(数出表_Excel【15時】!$A$1,A431+3,H431)&lt;&gt;0),
OFFSET(数出表_Excel【15時】!$A$1,A431+3,H431),""),"")</f>
        <v/>
      </c>
      <c r="L431" s="209" t="str">
        <f t="array" aca="1" ref="L431" ca="1">IF(B431&lt;&gt;"",
IFERROR(MATCH(TRUE,ISNUMBER(INDIRECT("数出表_Excel【15時】!"&amp;SUBSTITUTE(ADDRESS(1,H431+2,4),"1","")&amp;(A431+4)&amp;":ZZ"&amp;(A431+4))),0)+H431+1,""),"")</f>
        <v/>
      </c>
      <c r="M431" t="str">
        <f ca="1">IF(L431&lt;&gt;"",
OFFSET(数出表_Excel【15時】!$A$1,2,L431-1)
&amp;IFERROR(OFFSET(数出表_Excel【15時】!$A$1,3,L431-1),"")
&amp;IFERROR(OFFSET(数出表_Excel【15時】!$A$1,4,L431-1),""),"")</f>
        <v/>
      </c>
      <c r="N431" t="str">
        <f ca="1">IF(L431&lt;&gt;"",
OFFSET(数出表_Excel【15時】!$A$1,A431+3,L431-1),"")</f>
        <v/>
      </c>
      <c r="O431" t="str">
        <f ca="1">IF(L431&lt;&gt;"",
IF(AND(OFFSET(数出表_Excel【15時】!$A$1,A431+3,L431)&lt;&gt;"",OFFSET(数出表_Excel【15時】!$A$1,A431+3,L431)&lt;&gt;0),
OFFSET(数出表_Excel【15時】!$A$1,A431+3,L431),""),"")</f>
        <v/>
      </c>
    </row>
    <row r="432" spans="1:17">
      <c r="A432" t="str">
        <f t="shared" ca="1" si="6"/>
        <v/>
      </c>
      <c r="B432" t="str">
        <f t="array" aca="1" ref="B432" ca="1">IF(OR(COUNTIF(数出表_Excel【15時】!AO436,"*修正*"),COUNTIF(数出表_Excel【15時】!AO437,"*修正*")),
IF(ISEVEN(ROW()+4),INDIRECT("数出表_Excel【15時】!A"&amp;ROW()+4&amp;""),INDIRECT("数出表_Excel【15時】!A"&amp;ROW()+4-1&amp;"")),"")</f>
        <v/>
      </c>
      <c r="C432" t="str">
        <f t="array" aca="1" ref="C432" ca="1">IF(OR(COUNTIF(数出表_Excel【15時】!AO436,"*修正*"),COUNTIF(数出表_Excel【15時】!AO437,"*修正*")),
IF(ISEVEN(ROW()+4),INDIRECT("数出表_Excel【15時】!A"&amp;ROW()+4+1&amp;""),INDIRECT("数出表_Excel【15時】!A"&amp;ROW()+4&amp;"")),"")</f>
        <v/>
      </c>
      <c r="D432" s="209" t="str">
        <f t="array" aca="1" ref="D432" ca="1">IF(B432&lt;&gt;"",
IFERROR(MATCH(TRUE,ISNUMBER(INDIRECT("数出表_Excel【15時】!B"&amp;(A432+4)&amp;":ZZ"&amp;(A432+4))),0)+1,""),"")</f>
        <v/>
      </c>
      <c r="E432" t="str">
        <f ca="1">IF(D432&lt;&gt;"",
OFFSET(数出表_Excel【15時】!$A$1,2,D432-1)
&amp;IFERROR(OFFSET(数出表_Excel【15時】!$A$1,3,D432-1),"")
&amp;IFERROR(OFFSET(数出表_Excel【15時】!$A$1,4,D432-1),""),"")</f>
        <v/>
      </c>
      <c r="F432" t="str">
        <f ca="1">IF(D432&lt;&gt;"",
OFFSET(数出表_Excel【15時】!$A$1,A432+3,D432-1),"")</f>
        <v/>
      </c>
      <c r="G432" t="str">
        <f ca="1">IF(D432&lt;&gt;"",
IF(AND(OFFSET(数出表_Excel【15時】!$A$1,A432+3,D432)&lt;&gt;"",OFFSET(数出表_Excel【15時】!$A$1,A432+3,D432)&lt;&gt;0),
OFFSET(数出表_Excel【15時】!$A$1,A432+3,D432),""),"")</f>
        <v/>
      </c>
      <c r="H432" s="209" t="str">
        <f t="array" aca="1" ref="H432" ca="1">IF(B432&lt;&gt;"",
IFERROR(MATCH(TRUE,ISNUMBER(INDIRECT("数出表_Excel【15時】!"&amp;SUBSTITUTE(ADDRESS(1,D432+2,4),"1","")&amp;(A432+4)&amp;":ZZ"&amp;(A432+4))),0)+D432+1,""),"")</f>
        <v/>
      </c>
      <c r="I432" t="str">
        <f ca="1">IF(H432&lt;&gt;"",
OFFSET(数出表_Excel【15時】!$A$1,2,H432-1)
&amp;IFERROR(OFFSET(数出表_Excel【15時】!$A$1,3,H432-1),"")
&amp;IFERROR(OFFSET(数出表_Excel【15時】!$A$1,4,H432-1),""),"")</f>
        <v/>
      </c>
      <c r="J432" t="str">
        <f ca="1">IF(H432&lt;&gt;"",
OFFSET(数出表_Excel【15時】!$A$1,A432+3,H432-1),"")</f>
        <v/>
      </c>
      <c r="K432" t="str">
        <f ca="1">IF(H432&lt;&gt;"",
IF(AND(OFFSET(数出表_Excel【15時】!$A$1,A432+3,H432)&lt;&gt;"",OFFSET(数出表_Excel【15時】!$A$1,A432+3,H432)&lt;&gt;0),
OFFSET(数出表_Excel【15時】!$A$1,A432+3,H432),""),"")</f>
        <v/>
      </c>
      <c r="L432" s="209" t="str">
        <f t="array" aca="1" ref="L432" ca="1">IF(B432&lt;&gt;"",
IFERROR(MATCH(TRUE,ISNUMBER(INDIRECT("数出表_Excel【15時】!"&amp;SUBSTITUTE(ADDRESS(1,H432+2,4),"1","")&amp;(A432+4)&amp;":ZZ"&amp;(A432+4))),0)+H432+1,""),"")</f>
        <v/>
      </c>
      <c r="M432" t="str">
        <f ca="1">IF(L432&lt;&gt;"",
OFFSET(数出表_Excel【15時】!$A$1,2,L432-1)
&amp;IFERROR(OFFSET(数出表_Excel【15時】!$A$1,3,L432-1),"")
&amp;IFERROR(OFFSET(数出表_Excel【15時】!$A$1,4,L432-1),""),"")</f>
        <v/>
      </c>
      <c r="N432" t="str">
        <f ca="1">IF(L432&lt;&gt;"",
OFFSET(数出表_Excel【15時】!$A$1,A432+3,L432-1),"")</f>
        <v/>
      </c>
      <c r="O432" t="str">
        <f ca="1">IF(L432&lt;&gt;"",
IF(AND(OFFSET(数出表_Excel【15時】!$A$1,A432+3,L432)&lt;&gt;"",OFFSET(数出表_Excel【15時】!$A$1,A432+3,L432)&lt;&gt;0),
OFFSET(数出表_Excel【15時】!$A$1,A432+3,L432),""),"")</f>
        <v/>
      </c>
      <c r="Q432" t="str">
        <f ca="1">IF(C432&lt;&gt;"",
IF(E432&lt;&gt;"",1,0)+IF(I432&lt;&gt;"",1,0)+IF(M432&lt;&gt;"",1,0),"")</f>
        <v/>
      </c>
    </row>
    <row r="433" spans="1:17">
      <c r="A433" t="str">
        <f t="shared" ca="1" si="6"/>
        <v/>
      </c>
      <c r="B433" t="str">
        <f t="array" aca="1" ref="B433" ca="1">IF(OR(COUNTIF(数出表_Excel【15時】!AO436,"*修正*"),COUNTIF(数出表_Excel【15時】!AO437,"*修正*")),
IF(ISEVEN(ROW()+4),INDIRECT("数出表_Excel【15時】!A"&amp;ROW()+4&amp;""),INDIRECT("数出表_Excel【15時】!A"&amp;ROW()+4-1&amp;"")),"")</f>
        <v/>
      </c>
      <c r="C433" t="str">
        <f t="array" aca="1" ref="C433" ca="1">IF(OR(COUNTIF(数出表_Excel【15時】!AO436,"*修正*"),COUNTIF(数出表_Excel【15時】!AO437,"*修正*")),
IF(ISEVEN(ROW()+4),INDIRECT("数出表_Excel【15時】!A"&amp;ROW()+4+1&amp;""),INDIRECT("数出表_Excel【15時】!A"&amp;ROW()+4&amp;"")),"")</f>
        <v/>
      </c>
      <c r="D433" s="209" t="str">
        <f t="array" aca="1" ref="D433" ca="1">IF(B433&lt;&gt;"",
IFERROR(MATCH(TRUE,ISNUMBER(INDIRECT("数出表_Excel【15時】!B"&amp;(A433+4)&amp;":ZZ"&amp;(A433+4))),0)+1,""),"")</f>
        <v/>
      </c>
      <c r="E433" t="str">
        <f ca="1">IF(D433&lt;&gt;"",
OFFSET(数出表_Excel【15時】!$A$1,2,D433-1)
&amp;IFERROR(OFFSET(数出表_Excel【15時】!$A$1,3,D433-1),"")
&amp;IFERROR(OFFSET(数出表_Excel【15時】!$A$1,4,D433-1),""),"")</f>
        <v/>
      </c>
      <c r="F433" t="str">
        <f ca="1">IF(D433&lt;&gt;"",
OFFSET(数出表_Excel【15時】!$A$1,A433+3,D433-1),"")</f>
        <v/>
      </c>
      <c r="G433" t="str">
        <f ca="1">IF(D433&lt;&gt;"",
IF(AND(OFFSET(数出表_Excel【15時】!$A$1,A433+3,D433)&lt;&gt;"",OFFSET(数出表_Excel【15時】!$A$1,A433+3,D433)&lt;&gt;0),
OFFSET(数出表_Excel【15時】!$A$1,A433+3,D433),""),"")</f>
        <v/>
      </c>
      <c r="H433" s="209" t="str">
        <f t="array" aca="1" ref="H433" ca="1">IF(B433&lt;&gt;"",
IFERROR(MATCH(TRUE,ISNUMBER(INDIRECT("数出表_Excel【15時】!"&amp;SUBSTITUTE(ADDRESS(1,D433+2,4),"1","")&amp;(A433+4)&amp;":ZZ"&amp;(A433+4))),0)+D433+1,""),"")</f>
        <v/>
      </c>
      <c r="I433" t="str">
        <f ca="1">IF(H433&lt;&gt;"",
OFFSET(数出表_Excel【15時】!$A$1,2,H433-1)
&amp;IFERROR(OFFSET(数出表_Excel【15時】!$A$1,3,H433-1),"")
&amp;IFERROR(OFFSET(数出表_Excel【15時】!$A$1,4,H433-1),""),"")</f>
        <v/>
      </c>
      <c r="J433" t="str">
        <f ca="1">IF(H433&lt;&gt;"",
OFFSET(数出表_Excel【15時】!$A$1,A433+3,H433-1),"")</f>
        <v/>
      </c>
      <c r="K433" t="str">
        <f ca="1">IF(H433&lt;&gt;"",
IF(AND(OFFSET(数出表_Excel【15時】!$A$1,A433+3,H433)&lt;&gt;"",OFFSET(数出表_Excel【15時】!$A$1,A433+3,H433)&lt;&gt;0),
OFFSET(数出表_Excel【15時】!$A$1,A433+3,H433),""),"")</f>
        <v/>
      </c>
      <c r="L433" s="209" t="str">
        <f t="array" aca="1" ref="L433" ca="1">IF(B433&lt;&gt;"",
IFERROR(MATCH(TRUE,ISNUMBER(INDIRECT("数出表_Excel【15時】!"&amp;SUBSTITUTE(ADDRESS(1,H433+2,4),"1","")&amp;(A433+4)&amp;":ZZ"&amp;(A433+4))),0)+H433+1,""),"")</f>
        <v/>
      </c>
      <c r="M433" t="str">
        <f ca="1">IF(L433&lt;&gt;"",
OFFSET(数出表_Excel【15時】!$A$1,2,L433-1)
&amp;IFERROR(OFFSET(数出表_Excel【15時】!$A$1,3,L433-1),"")
&amp;IFERROR(OFFSET(数出表_Excel【15時】!$A$1,4,L433-1),""),"")</f>
        <v/>
      </c>
      <c r="N433" t="str">
        <f ca="1">IF(L433&lt;&gt;"",
OFFSET(数出表_Excel【15時】!$A$1,A433+3,L433-1),"")</f>
        <v/>
      </c>
      <c r="O433" t="str">
        <f ca="1">IF(L433&lt;&gt;"",
IF(AND(OFFSET(数出表_Excel【15時】!$A$1,A433+3,L433)&lt;&gt;"",OFFSET(数出表_Excel【15時】!$A$1,A433+3,L433)&lt;&gt;0),
OFFSET(数出表_Excel【15時】!$A$1,A433+3,L433),""),"")</f>
        <v/>
      </c>
    </row>
    <row r="434" spans="1:17">
      <c r="A434" t="str">
        <f t="shared" ca="1" si="6"/>
        <v/>
      </c>
      <c r="B434" t="str">
        <f t="array" aca="1" ref="B434" ca="1">IF(OR(COUNTIF(数出表_Excel【15時】!AO438,"*修正*"),COUNTIF(数出表_Excel【15時】!AO439,"*修正*")),
IF(ISEVEN(ROW()+4),INDIRECT("数出表_Excel【15時】!A"&amp;ROW()+4&amp;""),INDIRECT("数出表_Excel【15時】!A"&amp;ROW()+4-1&amp;"")),"")</f>
        <v/>
      </c>
      <c r="C434" t="str">
        <f t="array" aca="1" ref="C434" ca="1">IF(OR(COUNTIF(数出表_Excel【15時】!AO438,"*修正*"),COUNTIF(数出表_Excel【15時】!AO439,"*修正*")),
IF(ISEVEN(ROW()+4),INDIRECT("数出表_Excel【15時】!A"&amp;ROW()+4+1&amp;""),INDIRECT("数出表_Excel【15時】!A"&amp;ROW()+4&amp;"")),"")</f>
        <v/>
      </c>
      <c r="D434" s="209" t="str">
        <f t="array" aca="1" ref="D434" ca="1">IF(B434&lt;&gt;"",
IFERROR(MATCH(TRUE,ISNUMBER(INDIRECT("数出表_Excel【15時】!B"&amp;(A434+4)&amp;":ZZ"&amp;(A434+4))),0)+1,""),"")</f>
        <v/>
      </c>
      <c r="E434" t="str">
        <f ca="1">IF(D434&lt;&gt;"",
OFFSET(数出表_Excel【15時】!$A$1,2,D434-1)
&amp;IFERROR(OFFSET(数出表_Excel【15時】!$A$1,3,D434-1),"")
&amp;IFERROR(OFFSET(数出表_Excel【15時】!$A$1,4,D434-1),""),"")</f>
        <v/>
      </c>
      <c r="F434" t="str">
        <f ca="1">IF(D434&lt;&gt;"",
OFFSET(数出表_Excel【15時】!$A$1,A434+3,D434-1),"")</f>
        <v/>
      </c>
      <c r="G434" t="str">
        <f ca="1">IF(D434&lt;&gt;"",
IF(AND(OFFSET(数出表_Excel【15時】!$A$1,A434+3,D434)&lt;&gt;"",OFFSET(数出表_Excel【15時】!$A$1,A434+3,D434)&lt;&gt;0),
OFFSET(数出表_Excel【15時】!$A$1,A434+3,D434),""),"")</f>
        <v/>
      </c>
      <c r="H434" s="209" t="str">
        <f t="array" aca="1" ref="H434" ca="1">IF(B434&lt;&gt;"",
IFERROR(MATCH(TRUE,ISNUMBER(INDIRECT("数出表_Excel【15時】!"&amp;SUBSTITUTE(ADDRESS(1,D434+2,4),"1","")&amp;(A434+4)&amp;":ZZ"&amp;(A434+4))),0)+D434+1,""),"")</f>
        <v/>
      </c>
      <c r="I434" t="str">
        <f ca="1">IF(H434&lt;&gt;"",
OFFSET(数出表_Excel【15時】!$A$1,2,H434-1)
&amp;IFERROR(OFFSET(数出表_Excel【15時】!$A$1,3,H434-1),"")
&amp;IFERROR(OFFSET(数出表_Excel【15時】!$A$1,4,H434-1),""),"")</f>
        <v/>
      </c>
      <c r="J434" t="str">
        <f ca="1">IF(H434&lt;&gt;"",
OFFSET(数出表_Excel【15時】!$A$1,A434+3,H434-1),"")</f>
        <v/>
      </c>
      <c r="K434" t="str">
        <f ca="1">IF(H434&lt;&gt;"",
IF(AND(OFFSET(数出表_Excel【15時】!$A$1,A434+3,H434)&lt;&gt;"",OFFSET(数出表_Excel【15時】!$A$1,A434+3,H434)&lt;&gt;0),
OFFSET(数出表_Excel【15時】!$A$1,A434+3,H434),""),"")</f>
        <v/>
      </c>
      <c r="L434" s="209" t="str">
        <f t="array" aca="1" ref="L434" ca="1">IF(B434&lt;&gt;"",
IFERROR(MATCH(TRUE,ISNUMBER(INDIRECT("数出表_Excel【15時】!"&amp;SUBSTITUTE(ADDRESS(1,H434+2,4),"1","")&amp;(A434+4)&amp;":ZZ"&amp;(A434+4))),0)+H434+1,""),"")</f>
        <v/>
      </c>
      <c r="M434" t="str">
        <f ca="1">IF(L434&lt;&gt;"",
OFFSET(数出表_Excel【15時】!$A$1,2,L434-1)
&amp;IFERROR(OFFSET(数出表_Excel【15時】!$A$1,3,L434-1),"")
&amp;IFERROR(OFFSET(数出表_Excel【15時】!$A$1,4,L434-1),""),"")</f>
        <v/>
      </c>
      <c r="N434" t="str">
        <f ca="1">IF(L434&lt;&gt;"",
OFFSET(数出表_Excel【15時】!$A$1,A434+3,L434-1),"")</f>
        <v/>
      </c>
      <c r="O434" t="str">
        <f ca="1">IF(L434&lt;&gt;"",
IF(AND(OFFSET(数出表_Excel【15時】!$A$1,A434+3,L434)&lt;&gt;"",OFFSET(数出表_Excel【15時】!$A$1,A434+3,L434)&lt;&gt;0),
OFFSET(数出表_Excel【15時】!$A$1,A434+3,L434),""),"")</f>
        <v/>
      </c>
      <c r="Q434" t="str">
        <f ca="1">IF(C434&lt;&gt;"",
IF(E434&lt;&gt;"",1,0)+IF(I434&lt;&gt;"",1,0)+IF(M434&lt;&gt;"",1,0),"")</f>
        <v/>
      </c>
    </row>
    <row r="435" spans="1:17">
      <c r="A435" t="str">
        <f t="shared" ca="1" si="6"/>
        <v/>
      </c>
      <c r="B435" t="str">
        <f t="array" aca="1" ref="B435" ca="1">IF(OR(COUNTIF(数出表_Excel【15時】!AO438,"*修正*"),COUNTIF(数出表_Excel【15時】!AO439,"*修正*")),
IF(ISEVEN(ROW()+4),INDIRECT("数出表_Excel【15時】!A"&amp;ROW()+4&amp;""),INDIRECT("数出表_Excel【15時】!A"&amp;ROW()+4-1&amp;"")),"")</f>
        <v/>
      </c>
      <c r="C435" t="str">
        <f t="array" aca="1" ref="C435" ca="1">IF(OR(COUNTIF(数出表_Excel【15時】!AO438,"*修正*"),COUNTIF(数出表_Excel【15時】!AO439,"*修正*")),
IF(ISEVEN(ROW()+4),INDIRECT("数出表_Excel【15時】!A"&amp;ROW()+4+1&amp;""),INDIRECT("数出表_Excel【15時】!A"&amp;ROW()+4&amp;"")),"")</f>
        <v/>
      </c>
      <c r="D435" s="209" t="str">
        <f t="array" aca="1" ref="D435" ca="1">IF(B435&lt;&gt;"",
IFERROR(MATCH(TRUE,ISNUMBER(INDIRECT("数出表_Excel【15時】!B"&amp;(A435+4)&amp;":ZZ"&amp;(A435+4))),0)+1,""),"")</f>
        <v/>
      </c>
      <c r="E435" t="str">
        <f ca="1">IF(D435&lt;&gt;"",
OFFSET(数出表_Excel【15時】!$A$1,2,D435-1)
&amp;IFERROR(OFFSET(数出表_Excel【15時】!$A$1,3,D435-1),"")
&amp;IFERROR(OFFSET(数出表_Excel【15時】!$A$1,4,D435-1),""),"")</f>
        <v/>
      </c>
      <c r="F435" t="str">
        <f ca="1">IF(D435&lt;&gt;"",
OFFSET(数出表_Excel【15時】!$A$1,A435+3,D435-1),"")</f>
        <v/>
      </c>
      <c r="G435" t="str">
        <f ca="1">IF(D435&lt;&gt;"",
IF(AND(OFFSET(数出表_Excel【15時】!$A$1,A435+3,D435)&lt;&gt;"",OFFSET(数出表_Excel【15時】!$A$1,A435+3,D435)&lt;&gt;0),
OFFSET(数出表_Excel【15時】!$A$1,A435+3,D435),""),"")</f>
        <v/>
      </c>
      <c r="H435" s="209" t="str">
        <f t="array" aca="1" ref="H435" ca="1">IF(B435&lt;&gt;"",
IFERROR(MATCH(TRUE,ISNUMBER(INDIRECT("数出表_Excel【15時】!"&amp;SUBSTITUTE(ADDRESS(1,D435+2,4),"1","")&amp;(A435+4)&amp;":ZZ"&amp;(A435+4))),0)+D435+1,""),"")</f>
        <v/>
      </c>
      <c r="I435" t="str">
        <f ca="1">IF(H435&lt;&gt;"",
OFFSET(数出表_Excel【15時】!$A$1,2,H435-1)
&amp;IFERROR(OFFSET(数出表_Excel【15時】!$A$1,3,H435-1),"")
&amp;IFERROR(OFFSET(数出表_Excel【15時】!$A$1,4,H435-1),""),"")</f>
        <v/>
      </c>
      <c r="J435" t="str">
        <f ca="1">IF(H435&lt;&gt;"",
OFFSET(数出表_Excel【15時】!$A$1,A435+3,H435-1),"")</f>
        <v/>
      </c>
      <c r="K435" t="str">
        <f ca="1">IF(H435&lt;&gt;"",
IF(AND(OFFSET(数出表_Excel【15時】!$A$1,A435+3,H435)&lt;&gt;"",OFFSET(数出表_Excel【15時】!$A$1,A435+3,H435)&lt;&gt;0),
OFFSET(数出表_Excel【15時】!$A$1,A435+3,H435),""),"")</f>
        <v/>
      </c>
      <c r="L435" s="209" t="str">
        <f t="array" aca="1" ref="L435" ca="1">IF(B435&lt;&gt;"",
IFERROR(MATCH(TRUE,ISNUMBER(INDIRECT("数出表_Excel【15時】!"&amp;SUBSTITUTE(ADDRESS(1,H435+2,4),"1","")&amp;(A435+4)&amp;":ZZ"&amp;(A435+4))),0)+H435+1,""),"")</f>
        <v/>
      </c>
      <c r="M435" t="str">
        <f ca="1">IF(L435&lt;&gt;"",
OFFSET(数出表_Excel【15時】!$A$1,2,L435-1)
&amp;IFERROR(OFFSET(数出表_Excel【15時】!$A$1,3,L435-1),"")
&amp;IFERROR(OFFSET(数出表_Excel【15時】!$A$1,4,L435-1),""),"")</f>
        <v/>
      </c>
      <c r="N435" t="str">
        <f ca="1">IF(L435&lt;&gt;"",
OFFSET(数出表_Excel【15時】!$A$1,A435+3,L435-1),"")</f>
        <v/>
      </c>
      <c r="O435" t="str">
        <f ca="1">IF(L435&lt;&gt;"",
IF(AND(OFFSET(数出表_Excel【15時】!$A$1,A435+3,L435)&lt;&gt;"",OFFSET(数出表_Excel【15時】!$A$1,A435+3,L435)&lt;&gt;0),
OFFSET(数出表_Excel【15時】!$A$1,A435+3,L435),""),"")</f>
        <v/>
      </c>
    </row>
    <row r="436" spans="1:17">
      <c r="A436" t="str">
        <f t="shared" ca="1" si="6"/>
        <v/>
      </c>
      <c r="B436" t="str">
        <f t="array" aca="1" ref="B436" ca="1">IF(OR(COUNTIF(数出表_Excel【15時】!AO440,"*修正*"),COUNTIF(数出表_Excel【15時】!AO441,"*修正*")),
IF(ISEVEN(ROW()+4),INDIRECT("数出表_Excel【15時】!A"&amp;ROW()+4&amp;""),INDIRECT("数出表_Excel【15時】!A"&amp;ROW()+4-1&amp;"")),"")</f>
        <v/>
      </c>
      <c r="C436" t="str">
        <f t="array" aca="1" ref="C436" ca="1">IF(OR(COUNTIF(数出表_Excel【15時】!AO440,"*修正*"),COUNTIF(数出表_Excel【15時】!AO441,"*修正*")),
IF(ISEVEN(ROW()+4),INDIRECT("数出表_Excel【15時】!A"&amp;ROW()+4+1&amp;""),INDIRECT("数出表_Excel【15時】!A"&amp;ROW()+4&amp;"")),"")</f>
        <v/>
      </c>
      <c r="D436" s="209" t="str">
        <f t="array" aca="1" ref="D436" ca="1">IF(B436&lt;&gt;"",
IFERROR(MATCH(TRUE,ISNUMBER(INDIRECT("数出表_Excel【15時】!B"&amp;(A436+4)&amp;":ZZ"&amp;(A436+4))),0)+1,""),"")</f>
        <v/>
      </c>
      <c r="E436" t="str">
        <f ca="1">IF(D436&lt;&gt;"",
OFFSET(数出表_Excel【15時】!$A$1,2,D436-1)
&amp;IFERROR(OFFSET(数出表_Excel【15時】!$A$1,3,D436-1),"")
&amp;IFERROR(OFFSET(数出表_Excel【15時】!$A$1,4,D436-1),""),"")</f>
        <v/>
      </c>
      <c r="F436" t="str">
        <f ca="1">IF(D436&lt;&gt;"",
OFFSET(数出表_Excel【15時】!$A$1,A436+3,D436-1),"")</f>
        <v/>
      </c>
      <c r="G436" t="str">
        <f ca="1">IF(D436&lt;&gt;"",
IF(AND(OFFSET(数出表_Excel【15時】!$A$1,A436+3,D436)&lt;&gt;"",OFFSET(数出表_Excel【15時】!$A$1,A436+3,D436)&lt;&gt;0),
OFFSET(数出表_Excel【15時】!$A$1,A436+3,D436),""),"")</f>
        <v/>
      </c>
      <c r="H436" s="209" t="str">
        <f t="array" aca="1" ref="H436" ca="1">IF(B436&lt;&gt;"",
IFERROR(MATCH(TRUE,ISNUMBER(INDIRECT("数出表_Excel【15時】!"&amp;SUBSTITUTE(ADDRESS(1,D436+2,4),"1","")&amp;(A436+4)&amp;":ZZ"&amp;(A436+4))),0)+D436+1,""),"")</f>
        <v/>
      </c>
      <c r="I436" t="str">
        <f ca="1">IF(H436&lt;&gt;"",
OFFSET(数出表_Excel【15時】!$A$1,2,H436-1)
&amp;IFERROR(OFFSET(数出表_Excel【15時】!$A$1,3,H436-1),"")
&amp;IFERROR(OFFSET(数出表_Excel【15時】!$A$1,4,H436-1),""),"")</f>
        <v/>
      </c>
      <c r="J436" t="str">
        <f ca="1">IF(H436&lt;&gt;"",
OFFSET(数出表_Excel【15時】!$A$1,A436+3,H436-1),"")</f>
        <v/>
      </c>
      <c r="K436" t="str">
        <f ca="1">IF(H436&lt;&gt;"",
IF(AND(OFFSET(数出表_Excel【15時】!$A$1,A436+3,H436)&lt;&gt;"",OFFSET(数出表_Excel【15時】!$A$1,A436+3,H436)&lt;&gt;0),
OFFSET(数出表_Excel【15時】!$A$1,A436+3,H436),""),"")</f>
        <v/>
      </c>
      <c r="L436" s="209" t="str">
        <f t="array" aca="1" ref="L436" ca="1">IF(B436&lt;&gt;"",
IFERROR(MATCH(TRUE,ISNUMBER(INDIRECT("数出表_Excel【15時】!"&amp;SUBSTITUTE(ADDRESS(1,H436+2,4),"1","")&amp;(A436+4)&amp;":ZZ"&amp;(A436+4))),0)+H436+1,""),"")</f>
        <v/>
      </c>
      <c r="M436" t="str">
        <f ca="1">IF(L436&lt;&gt;"",
OFFSET(数出表_Excel【15時】!$A$1,2,L436-1)
&amp;IFERROR(OFFSET(数出表_Excel【15時】!$A$1,3,L436-1),"")
&amp;IFERROR(OFFSET(数出表_Excel【15時】!$A$1,4,L436-1),""),"")</f>
        <v/>
      </c>
      <c r="N436" t="str">
        <f ca="1">IF(L436&lt;&gt;"",
OFFSET(数出表_Excel【15時】!$A$1,A436+3,L436-1),"")</f>
        <v/>
      </c>
      <c r="O436" t="str">
        <f ca="1">IF(L436&lt;&gt;"",
IF(AND(OFFSET(数出表_Excel【15時】!$A$1,A436+3,L436)&lt;&gt;"",OFFSET(数出表_Excel【15時】!$A$1,A436+3,L436)&lt;&gt;0),
OFFSET(数出表_Excel【15時】!$A$1,A436+3,L436),""),"")</f>
        <v/>
      </c>
      <c r="Q436" t="str">
        <f ca="1">IF(C436&lt;&gt;"",
IF(E436&lt;&gt;"",1,0)+IF(I436&lt;&gt;"",1,0)+IF(M436&lt;&gt;"",1,0),"")</f>
        <v/>
      </c>
    </row>
    <row r="437" spans="1:17">
      <c r="A437" t="str">
        <f t="shared" ca="1" si="6"/>
        <v/>
      </c>
      <c r="B437" t="str">
        <f t="array" aca="1" ref="B437" ca="1">IF(OR(COUNTIF(数出表_Excel【15時】!AO440,"*修正*"),COUNTIF(数出表_Excel【15時】!AO441,"*修正*")),
IF(ISEVEN(ROW()+4),INDIRECT("数出表_Excel【15時】!A"&amp;ROW()+4&amp;""),INDIRECT("数出表_Excel【15時】!A"&amp;ROW()+4-1&amp;"")),"")</f>
        <v/>
      </c>
      <c r="C437" t="str">
        <f t="array" aca="1" ref="C437" ca="1">IF(OR(COUNTIF(数出表_Excel【15時】!AO440,"*修正*"),COUNTIF(数出表_Excel【15時】!AO441,"*修正*")),
IF(ISEVEN(ROW()+4),INDIRECT("数出表_Excel【15時】!A"&amp;ROW()+4+1&amp;""),INDIRECT("数出表_Excel【15時】!A"&amp;ROW()+4&amp;"")),"")</f>
        <v/>
      </c>
      <c r="D437" s="209" t="str">
        <f t="array" aca="1" ref="D437" ca="1">IF(B437&lt;&gt;"",
IFERROR(MATCH(TRUE,ISNUMBER(INDIRECT("数出表_Excel【15時】!B"&amp;(A437+4)&amp;":ZZ"&amp;(A437+4))),0)+1,""),"")</f>
        <v/>
      </c>
      <c r="E437" t="str">
        <f ca="1">IF(D437&lt;&gt;"",
OFFSET(数出表_Excel【15時】!$A$1,2,D437-1)
&amp;IFERROR(OFFSET(数出表_Excel【15時】!$A$1,3,D437-1),"")
&amp;IFERROR(OFFSET(数出表_Excel【15時】!$A$1,4,D437-1),""),"")</f>
        <v/>
      </c>
      <c r="F437" t="str">
        <f ca="1">IF(D437&lt;&gt;"",
OFFSET(数出表_Excel【15時】!$A$1,A437+3,D437-1),"")</f>
        <v/>
      </c>
      <c r="G437" t="str">
        <f ca="1">IF(D437&lt;&gt;"",
IF(AND(OFFSET(数出表_Excel【15時】!$A$1,A437+3,D437)&lt;&gt;"",OFFSET(数出表_Excel【15時】!$A$1,A437+3,D437)&lt;&gt;0),
OFFSET(数出表_Excel【15時】!$A$1,A437+3,D437),""),"")</f>
        <v/>
      </c>
      <c r="H437" s="209" t="str">
        <f t="array" aca="1" ref="H437" ca="1">IF(B437&lt;&gt;"",
IFERROR(MATCH(TRUE,ISNUMBER(INDIRECT("数出表_Excel【15時】!"&amp;SUBSTITUTE(ADDRESS(1,D437+2,4),"1","")&amp;(A437+4)&amp;":ZZ"&amp;(A437+4))),0)+D437+1,""),"")</f>
        <v/>
      </c>
      <c r="I437" t="str">
        <f ca="1">IF(H437&lt;&gt;"",
OFFSET(数出表_Excel【15時】!$A$1,2,H437-1)
&amp;IFERROR(OFFSET(数出表_Excel【15時】!$A$1,3,H437-1),"")
&amp;IFERROR(OFFSET(数出表_Excel【15時】!$A$1,4,H437-1),""),"")</f>
        <v/>
      </c>
      <c r="J437" t="str">
        <f ca="1">IF(H437&lt;&gt;"",
OFFSET(数出表_Excel【15時】!$A$1,A437+3,H437-1),"")</f>
        <v/>
      </c>
      <c r="K437" t="str">
        <f ca="1">IF(H437&lt;&gt;"",
IF(AND(OFFSET(数出表_Excel【15時】!$A$1,A437+3,H437)&lt;&gt;"",OFFSET(数出表_Excel【15時】!$A$1,A437+3,H437)&lt;&gt;0),
OFFSET(数出表_Excel【15時】!$A$1,A437+3,H437),""),"")</f>
        <v/>
      </c>
      <c r="L437" s="209" t="str">
        <f t="array" aca="1" ref="L437" ca="1">IF(B437&lt;&gt;"",
IFERROR(MATCH(TRUE,ISNUMBER(INDIRECT("数出表_Excel【15時】!"&amp;SUBSTITUTE(ADDRESS(1,H437+2,4),"1","")&amp;(A437+4)&amp;":ZZ"&amp;(A437+4))),0)+H437+1,""),"")</f>
        <v/>
      </c>
      <c r="M437" t="str">
        <f ca="1">IF(L437&lt;&gt;"",
OFFSET(数出表_Excel【15時】!$A$1,2,L437-1)
&amp;IFERROR(OFFSET(数出表_Excel【15時】!$A$1,3,L437-1),"")
&amp;IFERROR(OFFSET(数出表_Excel【15時】!$A$1,4,L437-1),""),"")</f>
        <v/>
      </c>
      <c r="N437" t="str">
        <f ca="1">IF(L437&lt;&gt;"",
OFFSET(数出表_Excel【15時】!$A$1,A437+3,L437-1),"")</f>
        <v/>
      </c>
      <c r="O437" t="str">
        <f ca="1">IF(L437&lt;&gt;"",
IF(AND(OFFSET(数出表_Excel【15時】!$A$1,A437+3,L437)&lt;&gt;"",OFFSET(数出表_Excel【15時】!$A$1,A437+3,L437)&lt;&gt;0),
OFFSET(数出表_Excel【15時】!$A$1,A437+3,L437),""),"")</f>
        <v/>
      </c>
    </row>
    <row r="438" spans="1:17">
      <c r="A438" t="str">
        <f t="shared" ca="1" si="6"/>
        <v/>
      </c>
      <c r="B438" t="str">
        <f t="array" aca="1" ref="B438" ca="1">IF(OR(COUNTIF(数出表_Excel【15時】!AO442,"*修正*"),COUNTIF(数出表_Excel【15時】!AO443,"*修正*")),
IF(ISEVEN(ROW()+4),INDIRECT("数出表_Excel【15時】!A"&amp;ROW()+4&amp;""),INDIRECT("数出表_Excel【15時】!A"&amp;ROW()+4-1&amp;"")),"")</f>
        <v/>
      </c>
      <c r="C438" t="str">
        <f t="array" aca="1" ref="C438" ca="1">IF(OR(COUNTIF(数出表_Excel【15時】!AO442,"*修正*"),COUNTIF(数出表_Excel【15時】!AO443,"*修正*")),
IF(ISEVEN(ROW()+4),INDIRECT("数出表_Excel【15時】!A"&amp;ROW()+4+1&amp;""),INDIRECT("数出表_Excel【15時】!A"&amp;ROW()+4&amp;"")),"")</f>
        <v/>
      </c>
      <c r="D438" s="209" t="str">
        <f t="array" aca="1" ref="D438" ca="1">IF(B438&lt;&gt;"",
IFERROR(MATCH(TRUE,ISNUMBER(INDIRECT("数出表_Excel【15時】!B"&amp;(A438+4)&amp;":ZZ"&amp;(A438+4))),0)+1,""),"")</f>
        <v/>
      </c>
      <c r="E438" t="str">
        <f ca="1">IF(D438&lt;&gt;"",
OFFSET(数出表_Excel【15時】!$A$1,2,D438-1)
&amp;IFERROR(OFFSET(数出表_Excel【15時】!$A$1,3,D438-1),"")
&amp;IFERROR(OFFSET(数出表_Excel【15時】!$A$1,4,D438-1),""),"")</f>
        <v/>
      </c>
      <c r="F438" t="str">
        <f ca="1">IF(D438&lt;&gt;"",
OFFSET(数出表_Excel【15時】!$A$1,A438+3,D438-1),"")</f>
        <v/>
      </c>
      <c r="G438" t="str">
        <f ca="1">IF(D438&lt;&gt;"",
IF(AND(OFFSET(数出表_Excel【15時】!$A$1,A438+3,D438)&lt;&gt;"",OFFSET(数出表_Excel【15時】!$A$1,A438+3,D438)&lt;&gt;0),
OFFSET(数出表_Excel【15時】!$A$1,A438+3,D438),""),"")</f>
        <v/>
      </c>
      <c r="H438" s="209" t="str">
        <f t="array" aca="1" ref="H438" ca="1">IF(B438&lt;&gt;"",
IFERROR(MATCH(TRUE,ISNUMBER(INDIRECT("数出表_Excel【15時】!"&amp;SUBSTITUTE(ADDRESS(1,D438+2,4),"1","")&amp;(A438+4)&amp;":ZZ"&amp;(A438+4))),0)+D438+1,""),"")</f>
        <v/>
      </c>
      <c r="I438" t="str">
        <f ca="1">IF(H438&lt;&gt;"",
OFFSET(数出表_Excel【15時】!$A$1,2,H438-1)
&amp;IFERROR(OFFSET(数出表_Excel【15時】!$A$1,3,H438-1),"")
&amp;IFERROR(OFFSET(数出表_Excel【15時】!$A$1,4,H438-1),""),"")</f>
        <v/>
      </c>
      <c r="J438" t="str">
        <f ca="1">IF(H438&lt;&gt;"",
OFFSET(数出表_Excel【15時】!$A$1,A438+3,H438-1),"")</f>
        <v/>
      </c>
      <c r="K438" t="str">
        <f ca="1">IF(H438&lt;&gt;"",
IF(AND(OFFSET(数出表_Excel【15時】!$A$1,A438+3,H438)&lt;&gt;"",OFFSET(数出表_Excel【15時】!$A$1,A438+3,H438)&lt;&gt;0),
OFFSET(数出表_Excel【15時】!$A$1,A438+3,H438),""),"")</f>
        <v/>
      </c>
      <c r="L438" s="209" t="str">
        <f t="array" aca="1" ref="L438" ca="1">IF(B438&lt;&gt;"",
IFERROR(MATCH(TRUE,ISNUMBER(INDIRECT("数出表_Excel【15時】!"&amp;SUBSTITUTE(ADDRESS(1,H438+2,4),"1","")&amp;(A438+4)&amp;":ZZ"&amp;(A438+4))),0)+H438+1,""),"")</f>
        <v/>
      </c>
      <c r="M438" t="str">
        <f ca="1">IF(L438&lt;&gt;"",
OFFSET(数出表_Excel【15時】!$A$1,2,L438-1)
&amp;IFERROR(OFFSET(数出表_Excel【15時】!$A$1,3,L438-1),"")
&amp;IFERROR(OFFSET(数出表_Excel【15時】!$A$1,4,L438-1),""),"")</f>
        <v/>
      </c>
      <c r="N438" t="str">
        <f ca="1">IF(L438&lt;&gt;"",
OFFSET(数出表_Excel【15時】!$A$1,A438+3,L438-1),"")</f>
        <v/>
      </c>
      <c r="O438" t="str">
        <f ca="1">IF(L438&lt;&gt;"",
IF(AND(OFFSET(数出表_Excel【15時】!$A$1,A438+3,L438)&lt;&gt;"",OFFSET(数出表_Excel【15時】!$A$1,A438+3,L438)&lt;&gt;0),
OFFSET(数出表_Excel【15時】!$A$1,A438+3,L438),""),"")</f>
        <v/>
      </c>
      <c r="Q438" t="str">
        <f ca="1">IF(C438&lt;&gt;"",
IF(E438&lt;&gt;"",1,0)+IF(I438&lt;&gt;"",1,0)+IF(M438&lt;&gt;"",1,0),"")</f>
        <v/>
      </c>
    </row>
    <row r="439" spans="1:17">
      <c r="A439" t="str">
        <f t="shared" ca="1" si="6"/>
        <v/>
      </c>
      <c r="B439" t="str">
        <f t="array" aca="1" ref="B439" ca="1">IF(OR(COUNTIF(数出表_Excel【15時】!AO442,"*修正*"),COUNTIF(数出表_Excel【15時】!AO443,"*修正*")),
IF(ISEVEN(ROW()+4),INDIRECT("数出表_Excel【15時】!A"&amp;ROW()+4&amp;""),INDIRECT("数出表_Excel【15時】!A"&amp;ROW()+4-1&amp;"")),"")</f>
        <v/>
      </c>
      <c r="C439" t="str">
        <f t="array" aca="1" ref="C439" ca="1">IF(OR(COUNTIF(数出表_Excel【15時】!AO442,"*修正*"),COUNTIF(数出表_Excel【15時】!AO443,"*修正*")),
IF(ISEVEN(ROW()+4),INDIRECT("数出表_Excel【15時】!A"&amp;ROW()+4+1&amp;""),INDIRECT("数出表_Excel【15時】!A"&amp;ROW()+4&amp;"")),"")</f>
        <v/>
      </c>
      <c r="D439" s="209" t="str">
        <f t="array" aca="1" ref="D439" ca="1">IF(B439&lt;&gt;"",
IFERROR(MATCH(TRUE,ISNUMBER(INDIRECT("数出表_Excel【15時】!B"&amp;(A439+4)&amp;":ZZ"&amp;(A439+4))),0)+1,""),"")</f>
        <v/>
      </c>
      <c r="E439" t="str">
        <f ca="1">IF(D439&lt;&gt;"",
OFFSET(数出表_Excel【15時】!$A$1,2,D439-1)
&amp;IFERROR(OFFSET(数出表_Excel【15時】!$A$1,3,D439-1),"")
&amp;IFERROR(OFFSET(数出表_Excel【15時】!$A$1,4,D439-1),""),"")</f>
        <v/>
      </c>
      <c r="F439" t="str">
        <f ca="1">IF(D439&lt;&gt;"",
OFFSET(数出表_Excel【15時】!$A$1,A439+3,D439-1),"")</f>
        <v/>
      </c>
      <c r="G439" t="str">
        <f ca="1">IF(D439&lt;&gt;"",
IF(AND(OFFSET(数出表_Excel【15時】!$A$1,A439+3,D439)&lt;&gt;"",OFFSET(数出表_Excel【15時】!$A$1,A439+3,D439)&lt;&gt;0),
OFFSET(数出表_Excel【15時】!$A$1,A439+3,D439),""),"")</f>
        <v/>
      </c>
      <c r="H439" s="209" t="str">
        <f t="array" aca="1" ref="H439" ca="1">IF(B439&lt;&gt;"",
IFERROR(MATCH(TRUE,ISNUMBER(INDIRECT("数出表_Excel【15時】!"&amp;SUBSTITUTE(ADDRESS(1,D439+2,4),"1","")&amp;(A439+4)&amp;":ZZ"&amp;(A439+4))),0)+D439+1,""),"")</f>
        <v/>
      </c>
      <c r="I439" t="str">
        <f ca="1">IF(H439&lt;&gt;"",
OFFSET(数出表_Excel【15時】!$A$1,2,H439-1)
&amp;IFERROR(OFFSET(数出表_Excel【15時】!$A$1,3,H439-1),"")
&amp;IFERROR(OFFSET(数出表_Excel【15時】!$A$1,4,H439-1),""),"")</f>
        <v/>
      </c>
      <c r="J439" t="str">
        <f ca="1">IF(H439&lt;&gt;"",
OFFSET(数出表_Excel【15時】!$A$1,A439+3,H439-1),"")</f>
        <v/>
      </c>
      <c r="K439" t="str">
        <f ca="1">IF(H439&lt;&gt;"",
IF(AND(OFFSET(数出表_Excel【15時】!$A$1,A439+3,H439)&lt;&gt;"",OFFSET(数出表_Excel【15時】!$A$1,A439+3,H439)&lt;&gt;0),
OFFSET(数出表_Excel【15時】!$A$1,A439+3,H439),""),"")</f>
        <v/>
      </c>
      <c r="L439" s="209" t="str">
        <f t="array" aca="1" ref="L439" ca="1">IF(B439&lt;&gt;"",
IFERROR(MATCH(TRUE,ISNUMBER(INDIRECT("数出表_Excel【15時】!"&amp;SUBSTITUTE(ADDRESS(1,H439+2,4),"1","")&amp;(A439+4)&amp;":ZZ"&amp;(A439+4))),0)+H439+1,""),"")</f>
        <v/>
      </c>
      <c r="M439" t="str">
        <f ca="1">IF(L439&lt;&gt;"",
OFFSET(数出表_Excel【15時】!$A$1,2,L439-1)
&amp;IFERROR(OFFSET(数出表_Excel【15時】!$A$1,3,L439-1),"")
&amp;IFERROR(OFFSET(数出表_Excel【15時】!$A$1,4,L439-1),""),"")</f>
        <v/>
      </c>
      <c r="N439" t="str">
        <f ca="1">IF(L439&lt;&gt;"",
OFFSET(数出表_Excel【15時】!$A$1,A439+3,L439-1),"")</f>
        <v/>
      </c>
      <c r="O439" t="str">
        <f ca="1">IF(L439&lt;&gt;"",
IF(AND(OFFSET(数出表_Excel【15時】!$A$1,A439+3,L439)&lt;&gt;"",OFFSET(数出表_Excel【15時】!$A$1,A439+3,L439)&lt;&gt;0),
OFFSET(数出表_Excel【15時】!$A$1,A439+3,L439),""),"")</f>
        <v/>
      </c>
    </row>
    <row r="440" spans="1:17">
      <c r="A440" t="str">
        <f t="shared" ca="1" si="6"/>
        <v/>
      </c>
      <c r="B440" t="str">
        <f t="array" aca="1" ref="B440" ca="1">IF(OR(COUNTIF(数出表_Excel【15時】!AO444,"*修正*"),COUNTIF(数出表_Excel【15時】!AO445,"*修正*")),
IF(ISEVEN(ROW()+4),INDIRECT("数出表_Excel【15時】!A"&amp;ROW()+4&amp;""),INDIRECT("数出表_Excel【15時】!A"&amp;ROW()+4-1&amp;"")),"")</f>
        <v/>
      </c>
      <c r="C440" t="str">
        <f t="array" aca="1" ref="C440" ca="1">IF(OR(COUNTIF(数出表_Excel【15時】!AO444,"*修正*"),COUNTIF(数出表_Excel【15時】!AO445,"*修正*")),
IF(ISEVEN(ROW()+4),INDIRECT("数出表_Excel【15時】!A"&amp;ROW()+4+1&amp;""),INDIRECT("数出表_Excel【15時】!A"&amp;ROW()+4&amp;"")),"")</f>
        <v/>
      </c>
      <c r="D440" s="209" t="str">
        <f t="array" aca="1" ref="D440" ca="1">IF(B440&lt;&gt;"",
IFERROR(MATCH(TRUE,ISNUMBER(INDIRECT("数出表_Excel【15時】!B"&amp;(A440+4)&amp;":ZZ"&amp;(A440+4))),0)+1,""),"")</f>
        <v/>
      </c>
      <c r="E440" t="str">
        <f ca="1">IF(D440&lt;&gt;"",
OFFSET(数出表_Excel【15時】!$A$1,2,D440-1)
&amp;IFERROR(OFFSET(数出表_Excel【15時】!$A$1,3,D440-1),"")
&amp;IFERROR(OFFSET(数出表_Excel【15時】!$A$1,4,D440-1),""),"")</f>
        <v/>
      </c>
      <c r="F440" t="str">
        <f ca="1">IF(D440&lt;&gt;"",
OFFSET(数出表_Excel【15時】!$A$1,A440+3,D440-1),"")</f>
        <v/>
      </c>
      <c r="G440" t="str">
        <f ca="1">IF(D440&lt;&gt;"",
IF(AND(OFFSET(数出表_Excel【15時】!$A$1,A440+3,D440)&lt;&gt;"",OFFSET(数出表_Excel【15時】!$A$1,A440+3,D440)&lt;&gt;0),
OFFSET(数出表_Excel【15時】!$A$1,A440+3,D440),""),"")</f>
        <v/>
      </c>
      <c r="H440" s="209" t="str">
        <f t="array" aca="1" ref="H440" ca="1">IF(B440&lt;&gt;"",
IFERROR(MATCH(TRUE,ISNUMBER(INDIRECT("数出表_Excel【15時】!"&amp;SUBSTITUTE(ADDRESS(1,D440+2,4),"1","")&amp;(A440+4)&amp;":ZZ"&amp;(A440+4))),0)+D440+1,""),"")</f>
        <v/>
      </c>
      <c r="I440" t="str">
        <f ca="1">IF(H440&lt;&gt;"",
OFFSET(数出表_Excel【15時】!$A$1,2,H440-1)
&amp;IFERROR(OFFSET(数出表_Excel【15時】!$A$1,3,H440-1),"")
&amp;IFERROR(OFFSET(数出表_Excel【15時】!$A$1,4,H440-1),""),"")</f>
        <v/>
      </c>
      <c r="J440" t="str">
        <f ca="1">IF(H440&lt;&gt;"",
OFFSET(数出表_Excel【15時】!$A$1,A440+3,H440-1),"")</f>
        <v/>
      </c>
      <c r="K440" t="str">
        <f ca="1">IF(H440&lt;&gt;"",
IF(AND(OFFSET(数出表_Excel【15時】!$A$1,A440+3,H440)&lt;&gt;"",OFFSET(数出表_Excel【15時】!$A$1,A440+3,H440)&lt;&gt;0),
OFFSET(数出表_Excel【15時】!$A$1,A440+3,H440),""),"")</f>
        <v/>
      </c>
      <c r="L440" s="209" t="str">
        <f t="array" aca="1" ref="L440" ca="1">IF(B440&lt;&gt;"",
IFERROR(MATCH(TRUE,ISNUMBER(INDIRECT("数出表_Excel【15時】!"&amp;SUBSTITUTE(ADDRESS(1,H440+2,4),"1","")&amp;(A440+4)&amp;":ZZ"&amp;(A440+4))),0)+H440+1,""),"")</f>
        <v/>
      </c>
      <c r="M440" t="str">
        <f ca="1">IF(L440&lt;&gt;"",
OFFSET(数出表_Excel【15時】!$A$1,2,L440-1)
&amp;IFERROR(OFFSET(数出表_Excel【15時】!$A$1,3,L440-1),"")
&amp;IFERROR(OFFSET(数出表_Excel【15時】!$A$1,4,L440-1),""),"")</f>
        <v/>
      </c>
      <c r="N440" t="str">
        <f ca="1">IF(L440&lt;&gt;"",
OFFSET(数出表_Excel【15時】!$A$1,A440+3,L440-1),"")</f>
        <v/>
      </c>
      <c r="O440" t="str">
        <f ca="1">IF(L440&lt;&gt;"",
IF(AND(OFFSET(数出表_Excel【15時】!$A$1,A440+3,L440)&lt;&gt;"",OFFSET(数出表_Excel【15時】!$A$1,A440+3,L440)&lt;&gt;0),
OFFSET(数出表_Excel【15時】!$A$1,A440+3,L440),""),"")</f>
        <v/>
      </c>
      <c r="Q440" t="str">
        <f ca="1">IF(C440&lt;&gt;"",
IF(E440&lt;&gt;"",1,0)+IF(I440&lt;&gt;"",1,0)+IF(M440&lt;&gt;"",1,0),"")</f>
        <v/>
      </c>
    </row>
    <row r="441" spans="1:17">
      <c r="A441" t="str">
        <f t="shared" ca="1" si="6"/>
        <v/>
      </c>
      <c r="B441" t="str">
        <f t="array" aca="1" ref="B441" ca="1">IF(OR(COUNTIF(数出表_Excel【15時】!AO444,"*修正*"),COUNTIF(数出表_Excel【15時】!AO445,"*修正*")),
IF(ISEVEN(ROW()+4),INDIRECT("数出表_Excel【15時】!A"&amp;ROW()+4&amp;""),INDIRECT("数出表_Excel【15時】!A"&amp;ROW()+4-1&amp;"")),"")</f>
        <v/>
      </c>
      <c r="C441" t="str">
        <f t="array" aca="1" ref="C441" ca="1">IF(OR(COUNTIF(数出表_Excel【15時】!AO444,"*修正*"),COUNTIF(数出表_Excel【15時】!AO445,"*修正*")),
IF(ISEVEN(ROW()+4),INDIRECT("数出表_Excel【15時】!A"&amp;ROW()+4+1&amp;""),INDIRECT("数出表_Excel【15時】!A"&amp;ROW()+4&amp;"")),"")</f>
        <v/>
      </c>
      <c r="D441" s="209" t="str">
        <f t="array" aca="1" ref="D441" ca="1">IF(B441&lt;&gt;"",
IFERROR(MATCH(TRUE,ISNUMBER(INDIRECT("数出表_Excel【15時】!B"&amp;(A441+4)&amp;":ZZ"&amp;(A441+4))),0)+1,""),"")</f>
        <v/>
      </c>
      <c r="E441" t="str">
        <f ca="1">IF(D441&lt;&gt;"",
OFFSET(数出表_Excel【15時】!$A$1,2,D441-1)
&amp;IFERROR(OFFSET(数出表_Excel【15時】!$A$1,3,D441-1),"")
&amp;IFERROR(OFFSET(数出表_Excel【15時】!$A$1,4,D441-1),""),"")</f>
        <v/>
      </c>
      <c r="F441" t="str">
        <f ca="1">IF(D441&lt;&gt;"",
OFFSET(数出表_Excel【15時】!$A$1,A441+3,D441-1),"")</f>
        <v/>
      </c>
      <c r="G441" t="str">
        <f ca="1">IF(D441&lt;&gt;"",
IF(AND(OFFSET(数出表_Excel【15時】!$A$1,A441+3,D441)&lt;&gt;"",OFFSET(数出表_Excel【15時】!$A$1,A441+3,D441)&lt;&gt;0),
OFFSET(数出表_Excel【15時】!$A$1,A441+3,D441),""),"")</f>
        <v/>
      </c>
      <c r="H441" s="209" t="str">
        <f t="array" aca="1" ref="H441" ca="1">IF(B441&lt;&gt;"",
IFERROR(MATCH(TRUE,ISNUMBER(INDIRECT("数出表_Excel【15時】!"&amp;SUBSTITUTE(ADDRESS(1,D441+2,4),"1","")&amp;(A441+4)&amp;":ZZ"&amp;(A441+4))),0)+D441+1,""),"")</f>
        <v/>
      </c>
      <c r="I441" t="str">
        <f ca="1">IF(H441&lt;&gt;"",
OFFSET(数出表_Excel【15時】!$A$1,2,H441-1)
&amp;IFERROR(OFFSET(数出表_Excel【15時】!$A$1,3,H441-1),"")
&amp;IFERROR(OFFSET(数出表_Excel【15時】!$A$1,4,H441-1),""),"")</f>
        <v/>
      </c>
      <c r="J441" t="str">
        <f ca="1">IF(H441&lt;&gt;"",
OFFSET(数出表_Excel【15時】!$A$1,A441+3,H441-1),"")</f>
        <v/>
      </c>
      <c r="K441" t="str">
        <f ca="1">IF(H441&lt;&gt;"",
IF(AND(OFFSET(数出表_Excel【15時】!$A$1,A441+3,H441)&lt;&gt;"",OFFSET(数出表_Excel【15時】!$A$1,A441+3,H441)&lt;&gt;0),
OFFSET(数出表_Excel【15時】!$A$1,A441+3,H441),""),"")</f>
        <v/>
      </c>
      <c r="L441" s="209" t="str">
        <f t="array" aca="1" ref="L441" ca="1">IF(B441&lt;&gt;"",
IFERROR(MATCH(TRUE,ISNUMBER(INDIRECT("数出表_Excel【15時】!"&amp;SUBSTITUTE(ADDRESS(1,H441+2,4),"1","")&amp;(A441+4)&amp;":ZZ"&amp;(A441+4))),0)+H441+1,""),"")</f>
        <v/>
      </c>
      <c r="M441" t="str">
        <f ca="1">IF(L441&lt;&gt;"",
OFFSET(数出表_Excel【15時】!$A$1,2,L441-1)
&amp;IFERROR(OFFSET(数出表_Excel【15時】!$A$1,3,L441-1),"")
&amp;IFERROR(OFFSET(数出表_Excel【15時】!$A$1,4,L441-1),""),"")</f>
        <v/>
      </c>
      <c r="N441" t="str">
        <f ca="1">IF(L441&lt;&gt;"",
OFFSET(数出表_Excel【15時】!$A$1,A441+3,L441-1),"")</f>
        <v/>
      </c>
      <c r="O441" t="str">
        <f ca="1">IF(L441&lt;&gt;"",
IF(AND(OFFSET(数出表_Excel【15時】!$A$1,A441+3,L441)&lt;&gt;"",OFFSET(数出表_Excel【15時】!$A$1,A441+3,L441)&lt;&gt;0),
OFFSET(数出表_Excel【15時】!$A$1,A441+3,L441),""),"")</f>
        <v/>
      </c>
    </row>
    <row r="442" spans="1:17">
      <c r="A442" t="str">
        <f t="shared" ca="1" si="6"/>
        <v/>
      </c>
      <c r="B442" t="str">
        <f t="array" aca="1" ref="B442" ca="1">IF(OR(COUNTIF(数出表_Excel【15時】!AO446,"*修正*"),COUNTIF(数出表_Excel【15時】!AO447,"*修正*")),
IF(ISEVEN(ROW()+4),INDIRECT("数出表_Excel【15時】!A"&amp;ROW()+4&amp;""),INDIRECT("数出表_Excel【15時】!A"&amp;ROW()+4-1&amp;"")),"")</f>
        <v/>
      </c>
      <c r="C442" t="str">
        <f t="array" aca="1" ref="C442" ca="1">IF(OR(COUNTIF(数出表_Excel【15時】!AO446,"*修正*"),COUNTIF(数出表_Excel【15時】!AO447,"*修正*")),
IF(ISEVEN(ROW()+4),INDIRECT("数出表_Excel【15時】!A"&amp;ROW()+4+1&amp;""),INDIRECT("数出表_Excel【15時】!A"&amp;ROW()+4&amp;"")),"")</f>
        <v/>
      </c>
      <c r="D442" s="209" t="str">
        <f t="array" aca="1" ref="D442" ca="1">IF(B442&lt;&gt;"",
IFERROR(MATCH(TRUE,ISNUMBER(INDIRECT("数出表_Excel【15時】!B"&amp;(A442+4)&amp;":ZZ"&amp;(A442+4))),0)+1,""),"")</f>
        <v/>
      </c>
      <c r="E442" t="str">
        <f ca="1">IF(D442&lt;&gt;"",
OFFSET(数出表_Excel【15時】!$A$1,2,D442-1)
&amp;IFERROR(OFFSET(数出表_Excel【15時】!$A$1,3,D442-1),"")
&amp;IFERROR(OFFSET(数出表_Excel【15時】!$A$1,4,D442-1),""),"")</f>
        <v/>
      </c>
      <c r="F442" t="str">
        <f ca="1">IF(D442&lt;&gt;"",
OFFSET(数出表_Excel【15時】!$A$1,A442+3,D442-1),"")</f>
        <v/>
      </c>
      <c r="G442" t="str">
        <f ca="1">IF(D442&lt;&gt;"",
IF(AND(OFFSET(数出表_Excel【15時】!$A$1,A442+3,D442)&lt;&gt;"",OFFSET(数出表_Excel【15時】!$A$1,A442+3,D442)&lt;&gt;0),
OFFSET(数出表_Excel【15時】!$A$1,A442+3,D442),""),"")</f>
        <v/>
      </c>
      <c r="H442" s="209" t="str">
        <f t="array" aca="1" ref="H442" ca="1">IF(B442&lt;&gt;"",
IFERROR(MATCH(TRUE,ISNUMBER(INDIRECT("数出表_Excel【15時】!"&amp;SUBSTITUTE(ADDRESS(1,D442+2,4),"1","")&amp;(A442+4)&amp;":ZZ"&amp;(A442+4))),0)+D442+1,""),"")</f>
        <v/>
      </c>
      <c r="I442" t="str">
        <f ca="1">IF(H442&lt;&gt;"",
OFFSET(数出表_Excel【15時】!$A$1,2,H442-1)
&amp;IFERROR(OFFSET(数出表_Excel【15時】!$A$1,3,H442-1),"")
&amp;IFERROR(OFFSET(数出表_Excel【15時】!$A$1,4,H442-1),""),"")</f>
        <v/>
      </c>
      <c r="J442" t="str">
        <f ca="1">IF(H442&lt;&gt;"",
OFFSET(数出表_Excel【15時】!$A$1,A442+3,H442-1),"")</f>
        <v/>
      </c>
      <c r="K442" t="str">
        <f ca="1">IF(H442&lt;&gt;"",
IF(AND(OFFSET(数出表_Excel【15時】!$A$1,A442+3,H442)&lt;&gt;"",OFFSET(数出表_Excel【15時】!$A$1,A442+3,H442)&lt;&gt;0),
OFFSET(数出表_Excel【15時】!$A$1,A442+3,H442),""),"")</f>
        <v/>
      </c>
      <c r="L442" s="209" t="str">
        <f t="array" aca="1" ref="L442" ca="1">IF(B442&lt;&gt;"",
IFERROR(MATCH(TRUE,ISNUMBER(INDIRECT("数出表_Excel【15時】!"&amp;SUBSTITUTE(ADDRESS(1,H442+2,4),"1","")&amp;(A442+4)&amp;":ZZ"&amp;(A442+4))),0)+H442+1,""),"")</f>
        <v/>
      </c>
      <c r="M442" t="str">
        <f ca="1">IF(L442&lt;&gt;"",
OFFSET(数出表_Excel【15時】!$A$1,2,L442-1)
&amp;IFERROR(OFFSET(数出表_Excel【15時】!$A$1,3,L442-1),"")
&amp;IFERROR(OFFSET(数出表_Excel【15時】!$A$1,4,L442-1),""),"")</f>
        <v/>
      </c>
      <c r="N442" t="str">
        <f ca="1">IF(L442&lt;&gt;"",
OFFSET(数出表_Excel【15時】!$A$1,A442+3,L442-1),"")</f>
        <v/>
      </c>
      <c r="O442" t="str">
        <f ca="1">IF(L442&lt;&gt;"",
IF(AND(OFFSET(数出表_Excel【15時】!$A$1,A442+3,L442)&lt;&gt;"",OFFSET(数出表_Excel【15時】!$A$1,A442+3,L442)&lt;&gt;0),
OFFSET(数出表_Excel【15時】!$A$1,A442+3,L442),""),"")</f>
        <v/>
      </c>
      <c r="Q442" t="str">
        <f ca="1">IF(C442&lt;&gt;"",
IF(E442&lt;&gt;"",1,0)+IF(I442&lt;&gt;"",1,0)+IF(M442&lt;&gt;"",1,0),"")</f>
        <v/>
      </c>
    </row>
    <row r="443" spans="1:17">
      <c r="A443" t="str">
        <f t="shared" ca="1" si="6"/>
        <v/>
      </c>
      <c r="B443" t="str">
        <f t="array" aca="1" ref="B443" ca="1">IF(OR(COUNTIF(数出表_Excel【15時】!AO446,"*修正*"),COUNTIF(数出表_Excel【15時】!AO447,"*修正*")),
IF(ISEVEN(ROW()+4),INDIRECT("数出表_Excel【15時】!A"&amp;ROW()+4&amp;""),INDIRECT("数出表_Excel【15時】!A"&amp;ROW()+4-1&amp;"")),"")</f>
        <v/>
      </c>
      <c r="C443" t="str">
        <f t="array" aca="1" ref="C443" ca="1">IF(OR(COUNTIF(数出表_Excel【15時】!AO446,"*修正*"),COUNTIF(数出表_Excel【15時】!AO447,"*修正*")),
IF(ISEVEN(ROW()+4),INDIRECT("数出表_Excel【15時】!A"&amp;ROW()+4+1&amp;""),INDIRECT("数出表_Excel【15時】!A"&amp;ROW()+4&amp;"")),"")</f>
        <v/>
      </c>
      <c r="D443" s="209" t="str">
        <f t="array" aca="1" ref="D443" ca="1">IF(B443&lt;&gt;"",
IFERROR(MATCH(TRUE,ISNUMBER(INDIRECT("数出表_Excel【15時】!B"&amp;(A443+4)&amp;":ZZ"&amp;(A443+4))),0)+1,""),"")</f>
        <v/>
      </c>
      <c r="E443" t="str">
        <f ca="1">IF(D443&lt;&gt;"",
OFFSET(数出表_Excel【15時】!$A$1,2,D443-1)
&amp;IFERROR(OFFSET(数出表_Excel【15時】!$A$1,3,D443-1),"")
&amp;IFERROR(OFFSET(数出表_Excel【15時】!$A$1,4,D443-1),""),"")</f>
        <v/>
      </c>
      <c r="F443" t="str">
        <f ca="1">IF(D443&lt;&gt;"",
OFFSET(数出表_Excel【15時】!$A$1,A443+3,D443-1),"")</f>
        <v/>
      </c>
      <c r="G443" t="str">
        <f ca="1">IF(D443&lt;&gt;"",
IF(AND(OFFSET(数出表_Excel【15時】!$A$1,A443+3,D443)&lt;&gt;"",OFFSET(数出表_Excel【15時】!$A$1,A443+3,D443)&lt;&gt;0),
OFFSET(数出表_Excel【15時】!$A$1,A443+3,D443),""),"")</f>
        <v/>
      </c>
      <c r="H443" s="209" t="str">
        <f t="array" aca="1" ref="H443" ca="1">IF(B443&lt;&gt;"",
IFERROR(MATCH(TRUE,ISNUMBER(INDIRECT("数出表_Excel【15時】!"&amp;SUBSTITUTE(ADDRESS(1,D443+2,4),"1","")&amp;(A443+4)&amp;":ZZ"&amp;(A443+4))),0)+D443+1,""),"")</f>
        <v/>
      </c>
      <c r="I443" t="str">
        <f ca="1">IF(H443&lt;&gt;"",
OFFSET(数出表_Excel【15時】!$A$1,2,H443-1)
&amp;IFERROR(OFFSET(数出表_Excel【15時】!$A$1,3,H443-1),"")
&amp;IFERROR(OFFSET(数出表_Excel【15時】!$A$1,4,H443-1),""),"")</f>
        <v/>
      </c>
      <c r="J443" t="str">
        <f ca="1">IF(H443&lt;&gt;"",
OFFSET(数出表_Excel【15時】!$A$1,A443+3,H443-1),"")</f>
        <v/>
      </c>
      <c r="K443" t="str">
        <f ca="1">IF(H443&lt;&gt;"",
IF(AND(OFFSET(数出表_Excel【15時】!$A$1,A443+3,H443)&lt;&gt;"",OFFSET(数出表_Excel【15時】!$A$1,A443+3,H443)&lt;&gt;0),
OFFSET(数出表_Excel【15時】!$A$1,A443+3,H443),""),"")</f>
        <v/>
      </c>
      <c r="L443" s="209" t="str">
        <f t="array" aca="1" ref="L443" ca="1">IF(B443&lt;&gt;"",
IFERROR(MATCH(TRUE,ISNUMBER(INDIRECT("数出表_Excel【15時】!"&amp;SUBSTITUTE(ADDRESS(1,H443+2,4),"1","")&amp;(A443+4)&amp;":ZZ"&amp;(A443+4))),0)+H443+1,""),"")</f>
        <v/>
      </c>
      <c r="M443" t="str">
        <f ca="1">IF(L443&lt;&gt;"",
OFFSET(数出表_Excel【15時】!$A$1,2,L443-1)
&amp;IFERROR(OFFSET(数出表_Excel【15時】!$A$1,3,L443-1),"")
&amp;IFERROR(OFFSET(数出表_Excel【15時】!$A$1,4,L443-1),""),"")</f>
        <v/>
      </c>
      <c r="N443" t="str">
        <f ca="1">IF(L443&lt;&gt;"",
OFFSET(数出表_Excel【15時】!$A$1,A443+3,L443-1),"")</f>
        <v/>
      </c>
      <c r="O443" t="str">
        <f ca="1">IF(L443&lt;&gt;"",
IF(AND(OFFSET(数出表_Excel【15時】!$A$1,A443+3,L443)&lt;&gt;"",OFFSET(数出表_Excel【15時】!$A$1,A443+3,L443)&lt;&gt;0),
OFFSET(数出表_Excel【15時】!$A$1,A443+3,L443),""),"")</f>
        <v/>
      </c>
    </row>
    <row r="444" spans="1:17">
      <c r="A444" t="str">
        <f t="shared" ca="1" si="6"/>
        <v/>
      </c>
      <c r="B444" t="str">
        <f t="array" aca="1" ref="B444" ca="1">IF(OR(COUNTIF(数出表_Excel【15時】!AO448,"*修正*"),COUNTIF(数出表_Excel【15時】!AO449,"*修正*")),
IF(ISEVEN(ROW()+4),INDIRECT("数出表_Excel【15時】!A"&amp;ROW()+4&amp;""),INDIRECT("数出表_Excel【15時】!A"&amp;ROW()+4-1&amp;"")),"")</f>
        <v/>
      </c>
      <c r="C444" t="str">
        <f t="array" aca="1" ref="C444" ca="1">IF(OR(COUNTIF(数出表_Excel【15時】!AO448,"*修正*"),COUNTIF(数出表_Excel【15時】!AO449,"*修正*")),
IF(ISEVEN(ROW()+4),INDIRECT("数出表_Excel【15時】!A"&amp;ROW()+4+1&amp;""),INDIRECT("数出表_Excel【15時】!A"&amp;ROW()+4&amp;"")),"")</f>
        <v/>
      </c>
      <c r="D444" s="209" t="str">
        <f t="array" aca="1" ref="D444" ca="1">IF(B444&lt;&gt;"",
IFERROR(MATCH(TRUE,ISNUMBER(INDIRECT("数出表_Excel【15時】!B"&amp;(A444+4)&amp;":ZZ"&amp;(A444+4))),0)+1,""),"")</f>
        <v/>
      </c>
      <c r="E444" t="str">
        <f ca="1">IF(D444&lt;&gt;"",
OFFSET(数出表_Excel【15時】!$A$1,2,D444-1)
&amp;IFERROR(OFFSET(数出表_Excel【15時】!$A$1,3,D444-1),"")
&amp;IFERROR(OFFSET(数出表_Excel【15時】!$A$1,4,D444-1),""),"")</f>
        <v/>
      </c>
      <c r="F444" t="str">
        <f ca="1">IF(D444&lt;&gt;"",
OFFSET(数出表_Excel【15時】!$A$1,A444+3,D444-1),"")</f>
        <v/>
      </c>
      <c r="G444" t="str">
        <f ca="1">IF(D444&lt;&gt;"",
IF(AND(OFFSET(数出表_Excel【15時】!$A$1,A444+3,D444)&lt;&gt;"",OFFSET(数出表_Excel【15時】!$A$1,A444+3,D444)&lt;&gt;0),
OFFSET(数出表_Excel【15時】!$A$1,A444+3,D444),""),"")</f>
        <v/>
      </c>
      <c r="H444" s="209" t="str">
        <f t="array" aca="1" ref="H444" ca="1">IF(B444&lt;&gt;"",
IFERROR(MATCH(TRUE,ISNUMBER(INDIRECT("数出表_Excel【15時】!"&amp;SUBSTITUTE(ADDRESS(1,D444+2,4),"1","")&amp;(A444+4)&amp;":ZZ"&amp;(A444+4))),0)+D444+1,""),"")</f>
        <v/>
      </c>
      <c r="I444" t="str">
        <f ca="1">IF(H444&lt;&gt;"",
OFFSET(数出表_Excel【15時】!$A$1,2,H444-1)
&amp;IFERROR(OFFSET(数出表_Excel【15時】!$A$1,3,H444-1),"")
&amp;IFERROR(OFFSET(数出表_Excel【15時】!$A$1,4,H444-1),""),"")</f>
        <v/>
      </c>
      <c r="J444" t="str">
        <f ca="1">IF(H444&lt;&gt;"",
OFFSET(数出表_Excel【15時】!$A$1,A444+3,H444-1),"")</f>
        <v/>
      </c>
      <c r="K444" t="str">
        <f ca="1">IF(H444&lt;&gt;"",
IF(AND(OFFSET(数出表_Excel【15時】!$A$1,A444+3,H444)&lt;&gt;"",OFFSET(数出表_Excel【15時】!$A$1,A444+3,H444)&lt;&gt;0),
OFFSET(数出表_Excel【15時】!$A$1,A444+3,H444),""),"")</f>
        <v/>
      </c>
      <c r="L444" s="209" t="str">
        <f t="array" aca="1" ref="L444" ca="1">IF(B444&lt;&gt;"",
IFERROR(MATCH(TRUE,ISNUMBER(INDIRECT("数出表_Excel【15時】!"&amp;SUBSTITUTE(ADDRESS(1,H444+2,4),"1","")&amp;(A444+4)&amp;":ZZ"&amp;(A444+4))),0)+H444+1,""),"")</f>
        <v/>
      </c>
      <c r="M444" t="str">
        <f ca="1">IF(L444&lt;&gt;"",
OFFSET(数出表_Excel【15時】!$A$1,2,L444-1)
&amp;IFERROR(OFFSET(数出表_Excel【15時】!$A$1,3,L444-1),"")
&amp;IFERROR(OFFSET(数出表_Excel【15時】!$A$1,4,L444-1),""),"")</f>
        <v/>
      </c>
      <c r="N444" t="str">
        <f ca="1">IF(L444&lt;&gt;"",
OFFSET(数出表_Excel【15時】!$A$1,A444+3,L444-1),"")</f>
        <v/>
      </c>
      <c r="O444" t="str">
        <f ca="1">IF(L444&lt;&gt;"",
IF(AND(OFFSET(数出表_Excel【15時】!$A$1,A444+3,L444)&lt;&gt;"",OFFSET(数出表_Excel【15時】!$A$1,A444+3,L444)&lt;&gt;0),
OFFSET(数出表_Excel【15時】!$A$1,A444+3,L444),""),"")</f>
        <v/>
      </c>
      <c r="Q444" t="str">
        <f ca="1">IF(C444&lt;&gt;"",
IF(E444&lt;&gt;"",1,0)+IF(I444&lt;&gt;"",1,0)+IF(M444&lt;&gt;"",1,0),"")</f>
        <v/>
      </c>
    </row>
    <row r="445" spans="1:17">
      <c r="A445" t="str">
        <f t="shared" ca="1" si="6"/>
        <v/>
      </c>
      <c r="B445" t="str">
        <f t="array" aca="1" ref="B445" ca="1">IF(OR(COUNTIF(数出表_Excel【15時】!AO448,"*修正*"),COUNTIF(数出表_Excel【15時】!AO449,"*修正*")),
IF(ISEVEN(ROW()+4),INDIRECT("数出表_Excel【15時】!A"&amp;ROW()+4&amp;""),INDIRECT("数出表_Excel【15時】!A"&amp;ROW()+4-1&amp;"")),"")</f>
        <v/>
      </c>
      <c r="C445" t="str">
        <f t="array" aca="1" ref="C445" ca="1">IF(OR(COUNTIF(数出表_Excel【15時】!AO448,"*修正*"),COUNTIF(数出表_Excel【15時】!AO449,"*修正*")),
IF(ISEVEN(ROW()+4),INDIRECT("数出表_Excel【15時】!A"&amp;ROW()+4+1&amp;""),INDIRECT("数出表_Excel【15時】!A"&amp;ROW()+4&amp;"")),"")</f>
        <v/>
      </c>
      <c r="D445" s="209" t="str">
        <f t="array" aca="1" ref="D445" ca="1">IF(B445&lt;&gt;"",
IFERROR(MATCH(TRUE,ISNUMBER(INDIRECT("数出表_Excel【15時】!B"&amp;(A445+4)&amp;":ZZ"&amp;(A445+4))),0)+1,""),"")</f>
        <v/>
      </c>
      <c r="E445" t="str">
        <f ca="1">IF(D445&lt;&gt;"",
OFFSET(数出表_Excel【15時】!$A$1,2,D445-1)
&amp;IFERROR(OFFSET(数出表_Excel【15時】!$A$1,3,D445-1),"")
&amp;IFERROR(OFFSET(数出表_Excel【15時】!$A$1,4,D445-1),""),"")</f>
        <v/>
      </c>
      <c r="F445" t="str">
        <f ca="1">IF(D445&lt;&gt;"",
OFFSET(数出表_Excel【15時】!$A$1,A445+3,D445-1),"")</f>
        <v/>
      </c>
      <c r="G445" t="str">
        <f ca="1">IF(D445&lt;&gt;"",
IF(AND(OFFSET(数出表_Excel【15時】!$A$1,A445+3,D445)&lt;&gt;"",OFFSET(数出表_Excel【15時】!$A$1,A445+3,D445)&lt;&gt;0),
OFFSET(数出表_Excel【15時】!$A$1,A445+3,D445),""),"")</f>
        <v/>
      </c>
      <c r="H445" s="209" t="str">
        <f t="array" aca="1" ref="H445" ca="1">IF(B445&lt;&gt;"",
IFERROR(MATCH(TRUE,ISNUMBER(INDIRECT("数出表_Excel【15時】!"&amp;SUBSTITUTE(ADDRESS(1,D445+2,4),"1","")&amp;(A445+4)&amp;":ZZ"&amp;(A445+4))),0)+D445+1,""),"")</f>
        <v/>
      </c>
      <c r="I445" t="str">
        <f ca="1">IF(H445&lt;&gt;"",
OFFSET(数出表_Excel【15時】!$A$1,2,H445-1)
&amp;IFERROR(OFFSET(数出表_Excel【15時】!$A$1,3,H445-1),"")
&amp;IFERROR(OFFSET(数出表_Excel【15時】!$A$1,4,H445-1),""),"")</f>
        <v/>
      </c>
      <c r="J445" t="str">
        <f ca="1">IF(H445&lt;&gt;"",
OFFSET(数出表_Excel【15時】!$A$1,A445+3,H445-1),"")</f>
        <v/>
      </c>
      <c r="K445" t="str">
        <f ca="1">IF(H445&lt;&gt;"",
IF(AND(OFFSET(数出表_Excel【15時】!$A$1,A445+3,H445)&lt;&gt;"",OFFSET(数出表_Excel【15時】!$A$1,A445+3,H445)&lt;&gt;0),
OFFSET(数出表_Excel【15時】!$A$1,A445+3,H445),""),"")</f>
        <v/>
      </c>
      <c r="L445" s="209" t="str">
        <f t="array" aca="1" ref="L445" ca="1">IF(B445&lt;&gt;"",
IFERROR(MATCH(TRUE,ISNUMBER(INDIRECT("数出表_Excel【15時】!"&amp;SUBSTITUTE(ADDRESS(1,H445+2,4),"1","")&amp;(A445+4)&amp;":ZZ"&amp;(A445+4))),0)+H445+1,""),"")</f>
        <v/>
      </c>
      <c r="M445" t="str">
        <f ca="1">IF(L445&lt;&gt;"",
OFFSET(数出表_Excel【15時】!$A$1,2,L445-1)
&amp;IFERROR(OFFSET(数出表_Excel【15時】!$A$1,3,L445-1),"")
&amp;IFERROR(OFFSET(数出表_Excel【15時】!$A$1,4,L445-1),""),"")</f>
        <v/>
      </c>
      <c r="N445" t="str">
        <f ca="1">IF(L445&lt;&gt;"",
OFFSET(数出表_Excel【15時】!$A$1,A445+3,L445-1),"")</f>
        <v/>
      </c>
      <c r="O445" t="str">
        <f ca="1">IF(L445&lt;&gt;"",
IF(AND(OFFSET(数出表_Excel【15時】!$A$1,A445+3,L445)&lt;&gt;"",OFFSET(数出表_Excel【15時】!$A$1,A445+3,L445)&lt;&gt;0),
OFFSET(数出表_Excel【15時】!$A$1,A445+3,L445),""),"")</f>
        <v/>
      </c>
    </row>
    <row r="446" spans="1:17">
      <c r="A446" t="str">
        <f t="shared" ca="1" si="6"/>
        <v/>
      </c>
      <c r="B446" t="str">
        <f t="array" aca="1" ref="B446" ca="1">IF(OR(COUNTIF(数出表_Excel【15時】!AO450,"*修正*"),COUNTIF(数出表_Excel【15時】!AO451,"*修正*")),
IF(ISEVEN(ROW()+4),INDIRECT("数出表_Excel【15時】!A"&amp;ROW()+4&amp;""),INDIRECT("数出表_Excel【15時】!A"&amp;ROW()+4-1&amp;"")),"")</f>
        <v/>
      </c>
      <c r="C446" t="str">
        <f t="array" aca="1" ref="C446" ca="1">IF(OR(COUNTIF(数出表_Excel【15時】!AO450,"*修正*"),COUNTIF(数出表_Excel【15時】!AO451,"*修正*")),
IF(ISEVEN(ROW()+4),INDIRECT("数出表_Excel【15時】!A"&amp;ROW()+4+1&amp;""),INDIRECT("数出表_Excel【15時】!A"&amp;ROW()+4&amp;"")),"")</f>
        <v/>
      </c>
      <c r="D446" s="209" t="str">
        <f t="array" aca="1" ref="D446" ca="1">IF(B446&lt;&gt;"",
IFERROR(MATCH(TRUE,ISNUMBER(INDIRECT("数出表_Excel【15時】!B"&amp;(A446+4)&amp;":ZZ"&amp;(A446+4))),0)+1,""),"")</f>
        <v/>
      </c>
      <c r="E446" t="str">
        <f ca="1">IF(D446&lt;&gt;"",
OFFSET(数出表_Excel【15時】!$A$1,2,D446-1)
&amp;IFERROR(OFFSET(数出表_Excel【15時】!$A$1,3,D446-1),"")
&amp;IFERROR(OFFSET(数出表_Excel【15時】!$A$1,4,D446-1),""),"")</f>
        <v/>
      </c>
      <c r="F446" t="str">
        <f ca="1">IF(D446&lt;&gt;"",
OFFSET(数出表_Excel【15時】!$A$1,A446+3,D446-1),"")</f>
        <v/>
      </c>
      <c r="G446" t="str">
        <f ca="1">IF(D446&lt;&gt;"",
IF(AND(OFFSET(数出表_Excel【15時】!$A$1,A446+3,D446)&lt;&gt;"",OFFSET(数出表_Excel【15時】!$A$1,A446+3,D446)&lt;&gt;0),
OFFSET(数出表_Excel【15時】!$A$1,A446+3,D446),""),"")</f>
        <v/>
      </c>
      <c r="H446" s="209" t="str">
        <f t="array" aca="1" ref="H446" ca="1">IF(B446&lt;&gt;"",
IFERROR(MATCH(TRUE,ISNUMBER(INDIRECT("数出表_Excel【15時】!"&amp;SUBSTITUTE(ADDRESS(1,D446+2,4),"1","")&amp;(A446+4)&amp;":ZZ"&amp;(A446+4))),0)+D446+1,""),"")</f>
        <v/>
      </c>
      <c r="I446" t="str">
        <f ca="1">IF(H446&lt;&gt;"",
OFFSET(数出表_Excel【15時】!$A$1,2,H446-1)
&amp;IFERROR(OFFSET(数出表_Excel【15時】!$A$1,3,H446-1),"")
&amp;IFERROR(OFFSET(数出表_Excel【15時】!$A$1,4,H446-1),""),"")</f>
        <v/>
      </c>
      <c r="J446" t="str">
        <f ca="1">IF(H446&lt;&gt;"",
OFFSET(数出表_Excel【15時】!$A$1,A446+3,H446-1),"")</f>
        <v/>
      </c>
      <c r="K446" t="str">
        <f ca="1">IF(H446&lt;&gt;"",
IF(AND(OFFSET(数出表_Excel【15時】!$A$1,A446+3,H446)&lt;&gt;"",OFFSET(数出表_Excel【15時】!$A$1,A446+3,H446)&lt;&gt;0),
OFFSET(数出表_Excel【15時】!$A$1,A446+3,H446),""),"")</f>
        <v/>
      </c>
      <c r="L446" s="209" t="str">
        <f t="array" aca="1" ref="L446" ca="1">IF(B446&lt;&gt;"",
IFERROR(MATCH(TRUE,ISNUMBER(INDIRECT("数出表_Excel【15時】!"&amp;SUBSTITUTE(ADDRESS(1,H446+2,4),"1","")&amp;(A446+4)&amp;":ZZ"&amp;(A446+4))),0)+H446+1,""),"")</f>
        <v/>
      </c>
      <c r="M446" t="str">
        <f ca="1">IF(L446&lt;&gt;"",
OFFSET(数出表_Excel【15時】!$A$1,2,L446-1)
&amp;IFERROR(OFFSET(数出表_Excel【15時】!$A$1,3,L446-1),"")
&amp;IFERROR(OFFSET(数出表_Excel【15時】!$A$1,4,L446-1),""),"")</f>
        <v/>
      </c>
      <c r="N446" t="str">
        <f ca="1">IF(L446&lt;&gt;"",
OFFSET(数出表_Excel【15時】!$A$1,A446+3,L446-1),"")</f>
        <v/>
      </c>
      <c r="O446" t="str">
        <f ca="1">IF(L446&lt;&gt;"",
IF(AND(OFFSET(数出表_Excel【15時】!$A$1,A446+3,L446)&lt;&gt;"",OFFSET(数出表_Excel【15時】!$A$1,A446+3,L446)&lt;&gt;0),
OFFSET(数出表_Excel【15時】!$A$1,A446+3,L446),""),"")</f>
        <v/>
      </c>
      <c r="Q446" t="str">
        <f ca="1">IF(C446&lt;&gt;"",
IF(E446&lt;&gt;"",1,0)+IF(I446&lt;&gt;"",1,0)+IF(M446&lt;&gt;"",1,0),"")</f>
        <v/>
      </c>
    </row>
    <row r="447" spans="1:17">
      <c r="A447" t="str">
        <f t="shared" ca="1" si="6"/>
        <v/>
      </c>
      <c r="B447" t="str">
        <f t="array" aca="1" ref="B447" ca="1">IF(OR(COUNTIF(数出表_Excel【15時】!AO450,"*修正*"),COUNTIF(数出表_Excel【15時】!AO451,"*修正*")),
IF(ISEVEN(ROW()+4),INDIRECT("数出表_Excel【15時】!A"&amp;ROW()+4&amp;""),INDIRECT("数出表_Excel【15時】!A"&amp;ROW()+4-1&amp;"")),"")</f>
        <v/>
      </c>
      <c r="C447" t="str">
        <f t="array" aca="1" ref="C447" ca="1">IF(OR(COUNTIF(数出表_Excel【15時】!AO450,"*修正*"),COUNTIF(数出表_Excel【15時】!AO451,"*修正*")),
IF(ISEVEN(ROW()+4),INDIRECT("数出表_Excel【15時】!A"&amp;ROW()+4+1&amp;""),INDIRECT("数出表_Excel【15時】!A"&amp;ROW()+4&amp;"")),"")</f>
        <v/>
      </c>
      <c r="D447" s="209" t="str">
        <f t="array" aca="1" ref="D447" ca="1">IF(B447&lt;&gt;"",
IFERROR(MATCH(TRUE,ISNUMBER(INDIRECT("数出表_Excel【15時】!B"&amp;(A447+4)&amp;":ZZ"&amp;(A447+4))),0)+1,""),"")</f>
        <v/>
      </c>
      <c r="E447" t="str">
        <f ca="1">IF(D447&lt;&gt;"",
OFFSET(数出表_Excel【15時】!$A$1,2,D447-1)
&amp;IFERROR(OFFSET(数出表_Excel【15時】!$A$1,3,D447-1),"")
&amp;IFERROR(OFFSET(数出表_Excel【15時】!$A$1,4,D447-1),""),"")</f>
        <v/>
      </c>
      <c r="F447" t="str">
        <f ca="1">IF(D447&lt;&gt;"",
OFFSET(数出表_Excel【15時】!$A$1,A447+3,D447-1),"")</f>
        <v/>
      </c>
      <c r="G447" t="str">
        <f ca="1">IF(D447&lt;&gt;"",
IF(AND(OFFSET(数出表_Excel【15時】!$A$1,A447+3,D447)&lt;&gt;"",OFFSET(数出表_Excel【15時】!$A$1,A447+3,D447)&lt;&gt;0),
OFFSET(数出表_Excel【15時】!$A$1,A447+3,D447),""),"")</f>
        <v/>
      </c>
      <c r="H447" s="209" t="str">
        <f t="array" aca="1" ref="H447" ca="1">IF(B447&lt;&gt;"",
IFERROR(MATCH(TRUE,ISNUMBER(INDIRECT("数出表_Excel【15時】!"&amp;SUBSTITUTE(ADDRESS(1,D447+2,4),"1","")&amp;(A447+4)&amp;":ZZ"&amp;(A447+4))),0)+D447+1,""),"")</f>
        <v/>
      </c>
      <c r="I447" t="str">
        <f ca="1">IF(H447&lt;&gt;"",
OFFSET(数出表_Excel【15時】!$A$1,2,H447-1)
&amp;IFERROR(OFFSET(数出表_Excel【15時】!$A$1,3,H447-1),"")
&amp;IFERROR(OFFSET(数出表_Excel【15時】!$A$1,4,H447-1),""),"")</f>
        <v/>
      </c>
      <c r="J447" t="str">
        <f ca="1">IF(H447&lt;&gt;"",
OFFSET(数出表_Excel【15時】!$A$1,A447+3,H447-1),"")</f>
        <v/>
      </c>
      <c r="K447" t="str">
        <f ca="1">IF(H447&lt;&gt;"",
IF(AND(OFFSET(数出表_Excel【15時】!$A$1,A447+3,H447)&lt;&gt;"",OFFSET(数出表_Excel【15時】!$A$1,A447+3,H447)&lt;&gt;0),
OFFSET(数出表_Excel【15時】!$A$1,A447+3,H447),""),"")</f>
        <v/>
      </c>
      <c r="L447" s="209" t="str">
        <f t="array" aca="1" ref="L447" ca="1">IF(B447&lt;&gt;"",
IFERROR(MATCH(TRUE,ISNUMBER(INDIRECT("数出表_Excel【15時】!"&amp;SUBSTITUTE(ADDRESS(1,H447+2,4),"1","")&amp;(A447+4)&amp;":ZZ"&amp;(A447+4))),0)+H447+1,""),"")</f>
        <v/>
      </c>
      <c r="M447" t="str">
        <f ca="1">IF(L447&lt;&gt;"",
OFFSET(数出表_Excel【15時】!$A$1,2,L447-1)
&amp;IFERROR(OFFSET(数出表_Excel【15時】!$A$1,3,L447-1),"")
&amp;IFERROR(OFFSET(数出表_Excel【15時】!$A$1,4,L447-1),""),"")</f>
        <v/>
      </c>
      <c r="N447" t="str">
        <f ca="1">IF(L447&lt;&gt;"",
OFFSET(数出表_Excel【15時】!$A$1,A447+3,L447-1),"")</f>
        <v/>
      </c>
      <c r="O447" t="str">
        <f ca="1">IF(L447&lt;&gt;"",
IF(AND(OFFSET(数出表_Excel【15時】!$A$1,A447+3,L447)&lt;&gt;"",OFFSET(数出表_Excel【15時】!$A$1,A447+3,L447)&lt;&gt;0),
OFFSET(数出表_Excel【15時】!$A$1,A447+3,L447),""),"")</f>
        <v/>
      </c>
    </row>
    <row r="448" spans="1:17">
      <c r="A448" t="str">
        <f t="shared" ca="1" si="6"/>
        <v/>
      </c>
      <c r="B448" t="str">
        <f t="array" aca="1" ref="B448" ca="1">IF(OR(COUNTIF(数出表_Excel【15時】!AO452,"*修正*"),COUNTIF(数出表_Excel【15時】!AO453,"*修正*")),
IF(ISEVEN(ROW()+4),INDIRECT("数出表_Excel【15時】!A"&amp;ROW()+4&amp;""),INDIRECT("数出表_Excel【15時】!A"&amp;ROW()+4-1&amp;"")),"")</f>
        <v/>
      </c>
      <c r="C448" t="str">
        <f t="array" aca="1" ref="C448" ca="1">IF(OR(COUNTIF(数出表_Excel【15時】!AO452,"*修正*"),COUNTIF(数出表_Excel【15時】!AO453,"*修正*")),
IF(ISEVEN(ROW()+4),INDIRECT("数出表_Excel【15時】!A"&amp;ROW()+4+1&amp;""),INDIRECT("数出表_Excel【15時】!A"&amp;ROW()+4&amp;"")),"")</f>
        <v/>
      </c>
      <c r="D448" s="209" t="str">
        <f t="array" aca="1" ref="D448" ca="1">IF(B448&lt;&gt;"",
IFERROR(MATCH(TRUE,ISNUMBER(INDIRECT("数出表_Excel【15時】!B"&amp;(A448+4)&amp;":ZZ"&amp;(A448+4))),0)+1,""),"")</f>
        <v/>
      </c>
      <c r="E448" t="str">
        <f ca="1">IF(D448&lt;&gt;"",
OFFSET(数出表_Excel【15時】!$A$1,2,D448-1)
&amp;IFERROR(OFFSET(数出表_Excel【15時】!$A$1,3,D448-1),"")
&amp;IFERROR(OFFSET(数出表_Excel【15時】!$A$1,4,D448-1),""),"")</f>
        <v/>
      </c>
      <c r="F448" t="str">
        <f ca="1">IF(D448&lt;&gt;"",
OFFSET(数出表_Excel【15時】!$A$1,A448+3,D448-1),"")</f>
        <v/>
      </c>
      <c r="G448" t="str">
        <f ca="1">IF(D448&lt;&gt;"",
IF(AND(OFFSET(数出表_Excel【15時】!$A$1,A448+3,D448)&lt;&gt;"",OFFSET(数出表_Excel【15時】!$A$1,A448+3,D448)&lt;&gt;0),
OFFSET(数出表_Excel【15時】!$A$1,A448+3,D448),""),"")</f>
        <v/>
      </c>
      <c r="H448" s="209" t="str">
        <f t="array" aca="1" ref="H448" ca="1">IF(B448&lt;&gt;"",
IFERROR(MATCH(TRUE,ISNUMBER(INDIRECT("数出表_Excel【15時】!"&amp;SUBSTITUTE(ADDRESS(1,D448+2,4),"1","")&amp;(A448+4)&amp;":ZZ"&amp;(A448+4))),0)+D448+1,""),"")</f>
        <v/>
      </c>
      <c r="I448" t="str">
        <f ca="1">IF(H448&lt;&gt;"",
OFFSET(数出表_Excel【15時】!$A$1,2,H448-1)
&amp;IFERROR(OFFSET(数出表_Excel【15時】!$A$1,3,H448-1),"")
&amp;IFERROR(OFFSET(数出表_Excel【15時】!$A$1,4,H448-1),""),"")</f>
        <v/>
      </c>
      <c r="J448" t="str">
        <f ca="1">IF(H448&lt;&gt;"",
OFFSET(数出表_Excel【15時】!$A$1,A448+3,H448-1),"")</f>
        <v/>
      </c>
      <c r="K448" t="str">
        <f ca="1">IF(H448&lt;&gt;"",
IF(AND(OFFSET(数出表_Excel【15時】!$A$1,A448+3,H448)&lt;&gt;"",OFFSET(数出表_Excel【15時】!$A$1,A448+3,H448)&lt;&gt;0),
OFFSET(数出表_Excel【15時】!$A$1,A448+3,H448),""),"")</f>
        <v/>
      </c>
      <c r="L448" s="209" t="str">
        <f t="array" aca="1" ref="L448" ca="1">IF(B448&lt;&gt;"",
IFERROR(MATCH(TRUE,ISNUMBER(INDIRECT("数出表_Excel【15時】!"&amp;SUBSTITUTE(ADDRESS(1,H448+2,4),"1","")&amp;(A448+4)&amp;":ZZ"&amp;(A448+4))),0)+H448+1,""),"")</f>
        <v/>
      </c>
      <c r="M448" t="str">
        <f ca="1">IF(L448&lt;&gt;"",
OFFSET(数出表_Excel【15時】!$A$1,2,L448-1)
&amp;IFERROR(OFFSET(数出表_Excel【15時】!$A$1,3,L448-1),"")
&amp;IFERROR(OFFSET(数出表_Excel【15時】!$A$1,4,L448-1),""),"")</f>
        <v/>
      </c>
      <c r="N448" t="str">
        <f ca="1">IF(L448&lt;&gt;"",
OFFSET(数出表_Excel【15時】!$A$1,A448+3,L448-1),"")</f>
        <v/>
      </c>
      <c r="O448" t="str">
        <f ca="1">IF(L448&lt;&gt;"",
IF(AND(OFFSET(数出表_Excel【15時】!$A$1,A448+3,L448)&lt;&gt;"",OFFSET(数出表_Excel【15時】!$A$1,A448+3,L448)&lt;&gt;0),
OFFSET(数出表_Excel【15時】!$A$1,A448+3,L448),""),"")</f>
        <v/>
      </c>
      <c r="Q448" t="str">
        <f ca="1">IF(C448&lt;&gt;"",
IF(E448&lt;&gt;"",1,0)+IF(I448&lt;&gt;"",1,0)+IF(M448&lt;&gt;"",1,0),"")</f>
        <v/>
      </c>
    </row>
    <row r="449" spans="1:17">
      <c r="A449" t="str">
        <f t="shared" ca="1" si="6"/>
        <v/>
      </c>
      <c r="B449" t="str">
        <f t="array" aca="1" ref="B449" ca="1">IF(OR(COUNTIF(数出表_Excel【15時】!AO452,"*修正*"),COUNTIF(数出表_Excel【15時】!AO453,"*修正*")),
IF(ISEVEN(ROW()+4),INDIRECT("数出表_Excel【15時】!A"&amp;ROW()+4&amp;""),INDIRECT("数出表_Excel【15時】!A"&amp;ROW()+4-1&amp;"")),"")</f>
        <v/>
      </c>
      <c r="C449" t="str">
        <f t="array" aca="1" ref="C449" ca="1">IF(OR(COUNTIF(数出表_Excel【15時】!AO452,"*修正*"),COUNTIF(数出表_Excel【15時】!AO453,"*修正*")),
IF(ISEVEN(ROW()+4),INDIRECT("数出表_Excel【15時】!A"&amp;ROW()+4+1&amp;""),INDIRECT("数出表_Excel【15時】!A"&amp;ROW()+4&amp;"")),"")</f>
        <v/>
      </c>
      <c r="D449" s="209" t="str">
        <f t="array" aca="1" ref="D449" ca="1">IF(B449&lt;&gt;"",
IFERROR(MATCH(TRUE,ISNUMBER(INDIRECT("数出表_Excel【15時】!B"&amp;(A449+4)&amp;":ZZ"&amp;(A449+4))),0)+1,""),"")</f>
        <v/>
      </c>
      <c r="E449" t="str">
        <f ca="1">IF(D449&lt;&gt;"",
OFFSET(数出表_Excel【15時】!$A$1,2,D449-1)
&amp;IFERROR(OFFSET(数出表_Excel【15時】!$A$1,3,D449-1),"")
&amp;IFERROR(OFFSET(数出表_Excel【15時】!$A$1,4,D449-1),""),"")</f>
        <v/>
      </c>
      <c r="F449" t="str">
        <f ca="1">IF(D449&lt;&gt;"",
OFFSET(数出表_Excel【15時】!$A$1,A449+3,D449-1),"")</f>
        <v/>
      </c>
      <c r="G449" t="str">
        <f ca="1">IF(D449&lt;&gt;"",
IF(AND(OFFSET(数出表_Excel【15時】!$A$1,A449+3,D449)&lt;&gt;"",OFFSET(数出表_Excel【15時】!$A$1,A449+3,D449)&lt;&gt;0),
OFFSET(数出表_Excel【15時】!$A$1,A449+3,D449),""),"")</f>
        <v/>
      </c>
      <c r="H449" s="209" t="str">
        <f t="array" aca="1" ref="H449" ca="1">IF(B449&lt;&gt;"",
IFERROR(MATCH(TRUE,ISNUMBER(INDIRECT("数出表_Excel【15時】!"&amp;SUBSTITUTE(ADDRESS(1,D449+2,4),"1","")&amp;(A449+4)&amp;":ZZ"&amp;(A449+4))),0)+D449+1,""),"")</f>
        <v/>
      </c>
      <c r="I449" t="str">
        <f ca="1">IF(H449&lt;&gt;"",
OFFSET(数出表_Excel【15時】!$A$1,2,H449-1)
&amp;IFERROR(OFFSET(数出表_Excel【15時】!$A$1,3,H449-1),"")
&amp;IFERROR(OFFSET(数出表_Excel【15時】!$A$1,4,H449-1),""),"")</f>
        <v/>
      </c>
      <c r="J449" t="str">
        <f ca="1">IF(H449&lt;&gt;"",
OFFSET(数出表_Excel【15時】!$A$1,A449+3,H449-1),"")</f>
        <v/>
      </c>
      <c r="K449" t="str">
        <f ca="1">IF(H449&lt;&gt;"",
IF(AND(OFFSET(数出表_Excel【15時】!$A$1,A449+3,H449)&lt;&gt;"",OFFSET(数出表_Excel【15時】!$A$1,A449+3,H449)&lt;&gt;0),
OFFSET(数出表_Excel【15時】!$A$1,A449+3,H449),""),"")</f>
        <v/>
      </c>
      <c r="L449" s="209" t="str">
        <f t="array" aca="1" ref="L449" ca="1">IF(B449&lt;&gt;"",
IFERROR(MATCH(TRUE,ISNUMBER(INDIRECT("数出表_Excel【15時】!"&amp;SUBSTITUTE(ADDRESS(1,H449+2,4),"1","")&amp;(A449+4)&amp;":ZZ"&amp;(A449+4))),0)+H449+1,""),"")</f>
        <v/>
      </c>
      <c r="M449" t="str">
        <f ca="1">IF(L449&lt;&gt;"",
OFFSET(数出表_Excel【15時】!$A$1,2,L449-1)
&amp;IFERROR(OFFSET(数出表_Excel【15時】!$A$1,3,L449-1),"")
&amp;IFERROR(OFFSET(数出表_Excel【15時】!$A$1,4,L449-1),""),"")</f>
        <v/>
      </c>
      <c r="N449" t="str">
        <f ca="1">IF(L449&lt;&gt;"",
OFFSET(数出表_Excel【15時】!$A$1,A449+3,L449-1),"")</f>
        <v/>
      </c>
      <c r="O449" t="str">
        <f ca="1">IF(L449&lt;&gt;"",
IF(AND(OFFSET(数出表_Excel【15時】!$A$1,A449+3,L449)&lt;&gt;"",OFFSET(数出表_Excel【15時】!$A$1,A449+3,L449)&lt;&gt;0),
OFFSET(数出表_Excel【15時】!$A$1,A449+3,L449),""),"")</f>
        <v/>
      </c>
    </row>
    <row r="450" spans="1:17">
      <c r="A450" t="str">
        <f t="shared" ref="A450:A451" ca="1" si="7">IF(B450&lt;&gt;"",
ROW(),"")</f>
        <v/>
      </c>
      <c r="B450" t="str">
        <f t="array" aca="1" ref="B450" ca="1">IF(OR(COUNTIF(数出表_Excel【15時】!AO454,"*修正*"),COUNTIF(数出表_Excel【15時】!AO455,"*修正*")),
IF(ISEVEN(ROW()+4),INDIRECT("数出表_Excel【15時】!A"&amp;ROW()+4&amp;""),INDIRECT("数出表_Excel【15時】!A"&amp;ROW()+4-1&amp;"")),"")</f>
        <v/>
      </c>
      <c r="C450" t="str">
        <f t="array" aca="1" ref="C450" ca="1">IF(OR(COUNTIF(数出表_Excel【15時】!AO454,"*修正*"),COUNTIF(数出表_Excel【15時】!AO455,"*修正*")),
IF(ISEVEN(ROW()+4),INDIRECT("数出表_Excel【15時】!A"&amp;ROW()+4+1&amp;""),INDIRECT("数出表_Excel【15時】!A"&amp;ROW()+4&amp;"")),"")</f>
        <v/>
      </c>
      <c r="D450" s="209" t="str">
        <f t="array" aca="1" ref="D450" ca="1">IF(B450&lt;&gt;"",
IFERROR(MATCH(TRUE,ISNUMBER(INDIRECT("数出表_Excel【15時】!B"&amp;(A450+4)&amp;":ZZ"&amp;(A450+4))),0)+1,""),"")</f>
        <v/>
      </c>
      <c r="E450" t="str">
        <f ca="1">IF(D450&lt;&gt;"",
OFFSET(数出表_Excel【15時】!$A$1,2,D450-1)
&amp;IFERROR(OFFSET(数出表_Excel【15時】!$A$1,3,D450-1),"")
&amp;IFERROR(OFFSET(数出表_Excel【15時】!$A$1,4,D450-1),""),"")</f>
        <v/>
      </c>
      <c r="F450" t="str">
        <f ca="1">IF(D450&lt;&gt;"",
OFFSET(数出表_Excel【15時】!$A$1,A450+3,D450-1),"")</f>
        <v/>
      </c>
      <c r="G450" t="str">
        <f ca="1">IF(D450&lt;&gt;"",
IF(AND(OFFSET(数出表_Excel【15時】!$A$1,A450+3,D450)&lt;&gt;"",OFFSET(数出表_Excel【15時】!$A$1,A450+3,D450)&lt;&gt;0),
OFFSET(数出表_Excel【15時】!$A$1,A450+3,D450),""),"")</f>
        <v/>
      </c>
      <c r="H450" s="209" t="str">
        <f t="array" aca="1" ref="H450" ca="1">IF(B450&lt;&gt;"",
IFERROR(MATCH(TRUE,ISNUMBER(INDIRECT("数出表_Excel【15時】!"&amp;SUBSTITUTE(ADDRESS(1,D450+2,4),"1","")&amp;(A450+4)&amp;":ZZ"&amp;(A450+4))),0)+D450+1,""),"")</f>
        <v/>
      </c>
      <c r="I450" t="str">
        <f ca="1">IF(H450&lt;&gt;"",
OFFSET(数出表_Excel【15時】!$A$1,2,H450-1)
&amp;IFERROR(OFFSET(数出表_Excel【15時】!$A$1,3,H450-1),"")
&amp;IFERROR(OFFSET(数出表_Excel【15時】!$A$1,4,H450-1),""),"")</f>
        <v/>
      </c>
      <c r="J450" t="str">
        <f ca="1">IF(H450&lt;&gt;"",
OFFSET(数出表_Excel【15時】!$A$1,A450+3,H450-1),"")</f>
        <v/>
      </c>
      <c r="K450" t="str">
        <f ca="1">IF(H450&lt;&gt;"",
IF(AND(OFFSET(数出表_Excel【15時】!$A$1,A450+3,H450)&lt;&gt;"",OFFSET(数出表_Excel【15時】!$A$1,A450+3,H450)&lt;&gt;0),
OFFSET(数出表_Excel【15時】!$A$1,A450+3,H450),""),"")</f>
        <v/>
      </c>
      <c r="L450" s="209" t="str">
        <f t="array" aca="1" ref="L450" ca="1">IF(B450&lt;&gt;"",
IFERROR(MATCH(TRUE,ISNUMBER(INDIRECT("数出表_Excel【15時】!"&amp;SUBSTITUTE(ADDRESS(1,H450+2,4),"1","")&amp;(A450+4)&amp;":ZZ"&amp;(A450+4))),0)+H450+1,""),"")</f>
        <v/>
      </c>
      <c r="M450" t="str">
        <f ca="1">IF(L450&lt;&gt;"",
OFFSET(数出表_Excel【15時】!$A$1,2,L450-1)
&amp;IFERROR(OFFSET(数出表_Excel【15時】!$A$1,3,L450-1),"")
&amp;IFERROR(OFFSET(数出表_Excel【15時】!$A$1,4,L450-1),""),"")</f>
        <v/>
      </c>
      <c r="N450" t="str">
        <f ca="1">IF(L450&lt;&gt;"",
OFFSET(数出表_Excel【15時】!$A$1,A450+3,L450-1),"")</f>
        <v/>
      </c>
      <c r="O450" t="str">
        <f ca="1">IF(L450&lt;&gt;"",
IF(AND(OFFSET(数出表_Excel【15時】!$A$1,A450+3,L450)&lt;&gt;"",OFFSET(数出表_Excel【15時】!$A$1,A450+3,L450)&lt;&gt;0),
OFFSET(数出表_Excel【15時】!$A$1,A450+3,L450),""),"")</f>
        <v/>
      </c>
      <c r="Q450" t="str">
        <f ca="1">IF(C450&lt;&gt;"",
IF(E450&lt;&gt;"",1,0)+IF(I450&lt;&gt;"",1,0)+IF(M450&lt;&gt;"",1,0),"")</f>
        <v/>
      </c>
    </row>
    <row r="451" spans="1:17">
      <c r="A451" t="str">
        <f t="shared" ca="1" si="7"/>
        <v/>
      </c>
      <c r="B451" t="str">
        <f t="array" aca="1" ref="B451" ca="1">IF(OR(COUNTIF(数出表_Excel【15時】!AO454,"*修正*"),COUNTIF(数出表_Excel【15時】!AO455,"*修正*")),
IF(ISEVEN(ROW()+4),INDIRECT("数出表_Excel【15時】!A"&amp;ROW()+4&amp;""),INDIRECT("数出表_Excel【15時】!A"&amp;ROW()+4-1&amp;"")),"")</f>
        <v/>
      </c>
      <c r="C451" t="str">
        <f t="array" aca="1" ref="C451" ca="1">IF(OR(COUNTIF(数出表_Excel【15時】!AO454,"*修正*"),COUNTIF(数出表_Excel【15時】!AO455,"*修正*")),
IF(ISEVEN(ROW()+4),INDIRECT("数出表_Excel【15時】!A"&amp;ROW()+4+1&amp;""),INDIRECT("数出表_Excel【15時】!A"&amp;ROW()+4&amp;"")),"")</f>
        <v/>
      </c>
      <c r="D451" s="209" t="str">
        <f t="array" aca="1" ref="D451" ca="1">IF(B451&lt;&gt;"",
IFERROR(MATCH(TRUE,ISNUMBER(INDIRECT("数出表_Excel【15時】!B"&amp;(A451+4)&amp;":ZZ"&amp;(A451+4))),0)+1,""),"")</f>
        <v/>
      </c>
      <c r="E451" t="str">
        <f ca="1">IF(D451&lt;&gt;"",
OFFSET(数出表_Excel【15時】!$A$1,2,D451-1)
&amp;IFERROR(OFFSET(数出表_Excel【15時】!$A$1,3,D451-1),"")
&amp;IFERROR(OFFSET(数出表_Excel【15時】!$A$1,4,D451-1),""),"")</f>
        <v/>
      </c>
      <c r="F451" t="str">
        <f ca="1">IF(D451&lt;&gt;"",
OFFSET(数出表_Excel【15時】!$A$1,A451+3,D451-1),"")</f>
        <v/>
      </c>
      <c r="G451" t="str">
        <f ca="1">IF(D451&lt;&gt;"",
IF(AND(OFFSET(数出表_Excel【15時】!$A$1,A451+3,D451)&lt;&gt;"",OFFSET(数出表_Excel【15時】!$A$1,A451+3,D451)&lt;&gt;0),
OFFSET(数出表_Excel【15時】!$A$1,A451+3,D451),""),"")</f>
        <v/>
      </c>
      <c r="H451" s="209" t="str">
        <f t="array" aca="1" ref="H451" ca="1">IF(B451&lt;&gt;"",
IFERROR(MATCH(TRUE,ISNUMBER(INDIRECT("数出表_Excel【15時】!"&amp;SUBSTITUTE(ADDRESS(1,D451+2,4),"1","")&amp;(A451+4)&amp;":ZZ"&amp;(A451+4))),0)+D451+1,""),"")</f>
        <v/>
      </c>
      <c r="I451" t="str">
        <f ca="1">IF(H451&lt;&gt;"",
OFFSET(数出表_Excel【15時】!$A$1,2,H451-1)
&amp;IFERROR(OFFSET(数出表_Excel【15時】!$A$1,3,H451-1),"")
&amp;IFERROR(OFFSET(数出表_Excel【15時】!$A$1,4,H451-1),""),"")</f>
        <v/>
      </c>
      <c r="J451" t="str">
        <f ca="1">IF(H451&lt;&gt;"",
OFFSET(数出表_Excel【15時】!$A$1,A451+3,H451-1),"")</f>
        <v/>
      </c>
      <c r="K451" t="str">
        <f ca="1">IF(H451&lt;&gt;"",
IF(AND(OFFSET(数出表_Excel【15時】!$A$1,A451+3,H451)&lt;&gt;"",OFFSET(数出表_Excel【15時】!$A$1,A451+3,H451)&lt;&gt;0),
OFFSET(数出表_Excel【15時】!$A$1,A451+3,H451),""),"")</f>
        <v/>
      </c>
      <c r="L451" s="209" t="str">
        <f t="array" aca="1" ref="L451" ca="1">IF(B451&lt;&gt;"",
IFERROR(MATCH(TRUE,ISNUMBER(INDIRECT("数出表_Excel【15時】!"&amp;SUBSTITUTE(ADDRESS(1,H451+2,4),"1","")&amp;(A451+4)&amp;":ZZ"&amp;(A451+4))),0)+H451+1,""),"")</f>
        <v/>
      </c>
      <c r="M451" t="str">
        <f ca="1">IF(L451&lt;&gt;"",
OFFSET(数出表_Excel【15時】!$A$1,2,L451-1)
&amp;IFERROR(OFFSET(数出表_Excel【15時】!$A$1,3,L451-1),"")
&amp;IFERROR(OFFSET(数出表_Excel【15時】!$A$1,4,L451-1),""),"")</f>
        <v/>
      </c>
      <c r="N451" t="str">
        <f ca="1">IF(L451&lt;&gt;"",
OFFSET(数出表_Excel【15時】!$A$1,A451+3,L451-1),"")</f>
        <v/>
      </c>
      <c r="O451" t="str">
        <f ca="1">IF(L451&lt;&gt;"",
IF(AND(OFFSET(数出表_Excel【15時】!$A$1,A451+3,L451)&lt;&gt;"",OFFSET(数出表_Excel【15時】!$A$1,A451+3,L451)&lt;&gt;0),
OFFSET(数出表_Excel【15時】!$A$1,A451+3,L451),""),"")</f>
        <v/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/>
  <dimension ref="A1:ET47"/>
  <sheetViews>
    <sheetView zoomScale="70" zoomScaleNormal="70" zoomScalePageLayoutView="55" workbookViewId="0">
      <selection activeCell="I31" sqref="B30:J31"/>
    </sheetView>
  </sheetViews>
  <sheetFormatPr defaultRowHeight="22.2"/>
  <cols>
    <col min="1" max="1" width="2.796875" style="54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1" customWidth="1"/>
    <col min="8" max="8" width="8.5" style="29" hidden="1" customWidth="1"/>
    <col min="9" max="9" width="8.5" style="29" customWidth="1"/>
    <col min="10" max="12" width="7.59765625" style="29" customWidth="1"/>
    <col min="13" max="13" width="12.19921875" style="29" customWidth="1"/>
    <col min="14" max="14" width="4.19921875" style="38" customWidth="1"/>
    <col min="15" max="15" width="2.796875" style="29" customWidth="1"/>
    <col min="16" max="16" width="2.796875" style="54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1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8" customWidth="1"/>
    <col min="30" max="30" width="2.796875" style="29" customWidth="1"/>
    <col min="31" max="31" width="2.796875" style="54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1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8" customWidth="1"/>
    <col min="45" max="45" width="2.796875" style="29" customWidth="1"/>
    <col min="46" max="46" width="2.796875" style="54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1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8" customWidth="1"/>
    <col min="60" max="60" width="2.796875" style="29" customWidth="1"/>
    <col min="61" max="61" width="2.796875" style="54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1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8" customWidth="1"/>
    <col min="75" max="75" width="2.796875" style="29" customWidth="1"/>
    <col min="76" max="76" width="2.796875" style="54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1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8" customWidth="1"/>
    <col min="90" max="90" width="2.796875" style="29" customWidth="1"/>
    <col min="91" max="91" width="2.796875" style="54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1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8" customWidth="1"/>
    <col min="105" max="105" width="2.796875" style="29" customWidth="1"/>
    <col min="106" max="106" width="2.796875" style="54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1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8" customWidth="1"/>
    <col min="120" max="120" width="2.796875" style="29" customWidth="1"/>
    <col min="121" max="121" width="2.796875" style="54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1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8" customWidth="1"/>
    <col min="135" max="135" width="2.796875" style="29" customWidth="1"/>
    <col min="136" max="136" width="2.796875" style="54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1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8" customWidth="1"/>
    <col min="150" max="150" width="2.796875" style="29" customWidth="1"/>
  </cols>
  <sheetData>
    <row r="1" spans="1:150" s="32" customFormat="1" ht="25.8" customHeight="1">
      <c r="A1" s="31"/>
      <c r="B1" s="43"/>
      <c r="C1" s="250"/>
      <c r="D1" s="251"/>
      <c r="E1" s="251"/>
      <c r="F1" s="251"/>
      <c r="G1" s="42"/>
      <c r="H1" s="36"/>
      <c r="I1" s="43"/>
      <c r="J1" s="250"/>
      <c r="K1" s="251"/>
      <c r="L1" s="251"/>
      <c r="M1" s="251"/>
      <c r="N1" s="42"/>
      <c r="O1" s="22"/>
      <c r="P1" s="31"/>
      <c r="Q1" s="43"/>
      <c r="R1" s="250"/>
      <c r="S1" s="251"/>
      <c r="T1" s="251"/>
      <c r="U1" s="251"/>
      <c r="V1" s="42"/>
      <c r="W1" s="36"/>
      <c r="X1" s="43"/>
      <c r="Y1" s="250"/>
      <c r="Z1" s="251"/>
      <c r="AA1" s="251"/>
      <c r="AB1" s="251"/>
      <c r="AC1" s="42"/>
      <c r="AD1" s="22"/>
      <c r="AE1" s="31"/>
      <c r="AF1" s="43"/>
      <c r="AG1" s="250"/>
      <c r="AH1" s="251"/>
      <c r="AI1" s="251"/>
      <c r="AJ1" s="251"/>
      <c r="AK1" s="42"/>
      <c r="AL1" s="36"/>
      <c r="AM1" s="43"/>
      <c r="AN1" s="250"/>
      <c r="AO1" s="251"/>
      <c r="AP1" s="251"/>
      <c r="AQ1" s="251"/>
      <c r="AR1" s="42"/>
      <c r="AS1" s="22"/>
      <c r="AT1" s="31"/>
      <c r="AU1" s="43"/>
      <c r="AV1" s="250"/>
      <c r="AW1" s="251"/>
      <c r="AX1" s="251"/>
      <c r="AY1" s="251"/>
      <c r="AZ1" s="42"/>
      <c r="BA1" s="36"/>
      <c r="BB1" s="43"/>
      <c r="BC1" s="250"/>
      <c r="BD1" s="251"/>
      <c r="BE1" s="251"/>
      <c r="BF1" s="251"/>
      <c r="BG1" s="42"/>
      <c r="BH1" s="22"/>
      <c r="BI1" s="31"/>
      <c r="BJ1" s="43"/>
      <c r="BK1" s="250"/>
      <c r="BL1" s="251"/>
      <c r="BM1" s="251"/>
      <c r="BN1" s="251"/>
      <c r="BO1" s="42"/>
      <c r="BP1" s="36"/>
      <c r="BQ1" s="43"/>
      <c r="BR1" s="250"/>
      <c r="BS1" s="251"/>
      <c r="BT1" s="251"/>
      <c r="BU1" s="251"/>
      <c r="BV1" s="42"/>
      <c r="BW1" s="22"/>
      <c r="BX1" s="31"/>
      <c r="BY1" s="43"/>
      <c r="BZ1" s="250"/>
      <c r="CA1" s="251"/>
      <c r="CB1" s="251"/>
      <c r="CC1" s="251"/>
      <c r="CD1" s="42"/>
      <c r="CE1" s="36"/>
      <c r="CF1" s="43"/>
      <c r="CG1" s="250"/>
      <c r="CH1" s="251"/>
      <c r="CI1" s="251"/>
      <c r="CJ1" s="251"/>
      <c r="CK1" s="42"/>
      <c r="CL1" s="22"/>
      <c r="CM1" s="31"/>
      <c r="CN1" s="43"/>
      <c r="CO1" s="250"/>
      <c r="CP1" s="251"/>
      <c r="CQ1" s="251"/>
      <c r="CR1" s="251"/>
      <c r="CS1" s="42"/>
      <c r="CT1" s="36"/>
      <c r="CU1" s="43"/>
      <c r="CV1" s="250"/>
      <c r="CW1" s="251"/>
      <c r="CX1" s="251"/>
      <c r="CY1" s="251"/>
      <c r="CZ1" s="42"/>
      <c r="DA1" s="22"/>
      <c r="DB1" s="31"/>
      <c r="DC1" s="43"/>
      <c r="DD1" s="250"/>
      <c r="DE1" s="251"/>
      <c r="DF1" s="251"/>
      <c r="DG1" s="251"/>
      <c r="DH1" s="42"/>
      <c r="DI1" s="36"/>
      <c r="DJ1" s="43"/>
      <c r="DK1" s="250"/>
      <c r="DL1" s="251"/>
      <c r="DM1" s="251"/>
      <c r="DN1" s="251"/>
      <c r="DO1" s="42"/>
      <c r="DP1" s="22"/>
      <c r="DQ1" s="31"/>
      <c r="DR1" s="43"/>
      <c r="DS1" s="250"/>
      <c r="DT1" s="251"/>
      <c r="DU1" s="251"/>
      <c r="DV1" s="251"/>
      <c r="DW1" s="42"/>
      <c r="DX1" s="36"/>
      <c r="DY1" s="43"/>
      <c r="DZ1" s="250"/>
      <c r="EA1" s="251"/>
      <c r="EB1" s="251"/>
      <c r="EC1" s="251"/>
      <c r="ED1" s="42"/>
      <c r="EE1" s="22"/>
      <c r="EF1" s="31"/>
      <c r="EG1" s="43"/>
      <c r="EH1" s="250"/>
      <c r="EI1" s="251"/>
      <c r="EJ1" s="251"/>
      <c r="EK1" s="251"/>
      <c r="EL1" s="42"/>
      <c r="EM1" s="36"/>
      <c r="EN1" s="43"/>
      <c r="EO1" s="250"/>
      <c r="EP1" s="251"/>
      <c r="EQ1" s="251"/>
      <c r="ER1" s="251"/>
      <c r="ES1" s="42"/>
      <c r="ET1" s="22"/>
    </row>
    <row r="2" spans="1:150" s="32" customFormat="1">
      <c r="A2" s="31"/>
      <c r="B2" s="178"/>
      <c r="C2" s="47"/>
      <c r="D2" s="41"/>
      <c r="E2" s="41"/>
      <c r="F2" s="48"/>
      <c r="G2" s="39"/>
      <c r="H2" s="49"/>
      <c r="I2" s="178"/>
      <c r="J2" s="47"/>
      <c r="K2" s="41"/>
      <c r="L2" s="41"/>
      <c r="M2" s="48"/>
      <c r="N2" s="39"/>
      <c r="O2" s="22"/>
      <c r="P2" s="31"/>
      <c r="Q2" s="33"/>
      <c r="R2" s="47"/>
      <c r="S2" s="41"/>
      <c r="T2" s="41"/>
      <c r="U2" s="48"/>
      <c r="V2" s="39"/>
      <c r="W2" s="49"/>
      <c r="X2" s="33"/>
      <c r="Y2" s="47"/>
      <c r="Z2" s="41"/>
      <c r="AA2" s="41"/>
      <c r="AB2" s="48"/>
      <c r="AC2" s="39"/>
      <c r="AD2" s="22"/>
      <c r="AE2" s="31"/>
      <c r="AF2" s="33"/>
      <c r="AG2" s="47"/>
      <c r="AH2" s="41"/>
      <c r="AI2" s="41"/>
      <c r="AJ2" s="48"/>
      <c r="AK2" s="39"/>
      <c r="AL2" s="49"/>
      <c r="AM2" s="33"/>
      <c r="AN2" s="47"/>
      <c r="AO2" s="41"/>
      <c r="AP2" s="41"/>
      <c r="AQ2" s="48"/>
      <c r="AR2" s="39"/>
      <c r="AS2" s="22"/>
      <c r="AT2" s="31"/>
      <c r="AU2" s="33"/>
      <c r="AV2" s="47"/>
      <c r="AW2" s="41"/>
      <c r="AX2" s="41"/>
      <c r="AY2" s="48"/>
      <c r="AZ2" s="39"/>
      <c r="BA2" s="49"/>
      <c r="BB2" s="33"/>
      <c r="BC2" s="47"/>
      <c r="BD2" s="41"/>
      <c r="BE2" s="41"/>
      <c r="BF2" s="48"/>
      <c r="BG2" s="39"/>
      <c r="BH2" s="22"/>
      <c r="BI2" s="31"/>
      <c r="BJ2" s="33"/>
      <c r="BK2" s="47"/>
      <c r="BL2" s="41"/>
      <c r="BM2" s="41"/>
      <c r="BN2" s="48"/>
      <c r="BO2" s="39"/>
      <c r="BP2" s="49"/>
      <c r="BQ2" s="33"/>
      <c r="BR2" s="47"/>
      <c r="BS2" s="41"/>
      <c r="BT2" s="41"/>
      <c r="BU2" s="48"/>
      <c r="BV2" s="39"/>
      <c r="BW2" s="22"/>
      <c r="BX2" s="31"/>
      <c r="BY2" s="33"/>
      <c r="BZ2" s="47"/>
      <c r="CA2" s="41"/>
      <c r="CB2" s="41"/>
      <c r="CC2" s="48"/>
      <c r="CD2" s="39"/>
      <c r="CE2" s="49"/>
      <c r="CF2" s="33"/>
      <c r="CG2" s="47"/>
      <c r="CH2" s="41"/>
      <c r="CI2" s="41"/>
      <c r="CJ2" s="48"/>
      <c r="CK2" s="39"/>
      <c r="CL2" s="22"/>
      <c r="CM2" s="31"/>
      <c r="CN2" s="33"/>
      <c r="CO2" s="47"/>
      <c r="CP2" s="41"/>
      <c r="CQ2" s="41"/>
      <c r="CR2" s="48"/>
      <c r="CS2" s="39"/>
      <c r="CT2" s="49"/>
      <c r="CU2" s="33"/>
      <c r="CV2" s="47"/>
      <c r="CW2" s="41"/>
      <c r="CX2" s="41"/>
      <c r="CY2" s="48"/>
      <c r="CZ2" s="39"/>
      <c r="DA2" s="22"/>
      <c r="DB2" s="31"/>
      <c r="DC2" s="33"/>
      <c r="DD2" s="47"/>
      <c r="DE2" s="41"/>
      <c r="DF2" s="41"/>
      <c r="DG2" s="48"/>
      <c r="DH2" s="39"/>
      <c r="DI2" s="49"/>
      <c r="DJ2" s="33"/>
      <c r="DK2" s="47"/>
      <c r="DL2" s="41"/>
      <c r="DM2" s="41"/>
      <c r="DN2" s="48"/>
      <c r="DO2" s="39"/>
      <c r="DP2" s="22"/>
      <c r="DQ2" s="31"/>
      <c r="DR2" s="33"/>
      <c r="DS2" s="47"/>
      <c r="DT2" s="41"/>
      <c r="DU2" s="41"/>
      <c r="DV2" s="48"/>
      <c r="DW2" s="39"/>
      <c r="DX2" s="49"/>
      <c r="DY2" s="33"/>
      <c r="DZ2" s="47"/>
      <c r="EA2" s="41"/>
      <c r="EB2" s="41"/>
      <c r="EC2" s="48"/>
      <c r="ED2" s="39"/>
      <c r="EE2" s="22"/>
      <c r="EF2" s="31"/>
      <c r="EG2" s="33"/>
      <c r="EH2" s="47"/>
      <c r="EI2" s="41"/>
      <c r="EJ2" s="41"/>
      <c r="EK2" s="48"/>
      <c r="EL2" s="39"/>
      <c r="EM2" s="49"/>
      <c r="EN2" s="33"/>
      <c r="EO2" s="47"/>
      <c r="EP2" s="41"/>
      <c r="EQ2" s="41"/>
      <c r="ER2" s="48"/>
      <c r="ES2" s="39"/>
      <c r="ET2" s="22"/>
    </row>
    <row r="3" spans="1:150" s="32" customFormat="1">
      <c r="A3" s="31"/>
      <c r="B3" s="34"/>
      <c r="C3" s="248"/>
      <c r="D3" s="249"/>
      <c r="E3" s="22"/>
      <c r="G3" s="40"/>
      <c r="H3" s="36"/>
      <c r="I3" s="34"/>
      <c r="J3" s="248"/>
      <c r="K3" s="249"/>
      <c r="L3" s="22"/>
      <c r="N3" s="40"/>
      <c r="O3" s="22"/>
      <c r="P3" s="31"/>
      <c r="Q3" s="34"/>
      <c r="R3" s="248"/>
      <c r="S3" s="249"/>
      <c r="T3" s="22"/>
      <c r="V3" s="40"/>
      <c r="W3" s="36"/>
      <c r="X3" s="34"/>
      <c r="Y3" s="248"/>
      <c r="Z3" s="249"/>
      <c r="AA3" s="22"/>
      <c r="AC3" s="40"/>
      <c r="AD3" s="22"/>
      <c r="AE3" s="31"/>
      <c r="AF3" s="34"/>
      <c r="AG3" s="248"/>
      <c r="AH3" s="249"/>
      <c r="AI3" s="22"/>
      <c r="AK3" s="40"/>
      <c r="AL3" s="36"/>
      <c r="AM3" s="34"/>
      <c r="AN3" s="248"/>
      <c r="AO3" s="249"/>
      <c r="AP3" s="22"/>
      <c r="AR3" s="40"/>
      <c r="AS3" s="22"/>
      <c r="AT3" s="31"/>
      <c r="AU3" s="34"/>
      <c r="AV3" s="248"/>
      <c r="AW3" s="249"/>
      <c r="AX3" s="22"/>
      <c r="AZ3" s="40"/>
      <c r="BA3" s="36"/>
      <c r="BB3" s="34"/>
      <c r="BC3" s="248"/>
      <c r="BD3" s="249"/>
      <c r="BE3" s="22"/>
      <c r="BG3" s="40"/>
      <c r="BH3" s="22"/>
      <c r="BI3" s="31"/>
      <c r="BJ3" s="34"/>
      <c r="BK3" s="248"/>
      <c r="BL3" s="249"/>
      <c r="BM3" s="22"/>
      <c r="BO3" s="40"/>
      <c r="BP3" s="36"/>
      <c r="BQ3" s="34"/>
      <c r="BR3" s="248"/>
      <c r="BS3" s="249"/>
      <c r="BT3" s="22"/>
      <c r="BV3" s="40"/>
      <c r="BW3" s="22"/>
      <c r="BX3" s="31"/>
      <c r="BY3" s="34"/>
      <c r="BZ3" s="248"/>
      <c r="CA3" s="249"/>
      <c r="CB3" s="22"/>
      <c r="CD3" s="40"/>
      <c r="CE3" s="36"/>
      <c r="CF3" s="34"/>
      <c r="CG3" s="248"/>
      <c r="CH3" s="249"/>
      <c r="CI3" s="22"/>
      <c r="CK3" s="40"/>
      <c r="CL3" s="22"/>
      <c r="CM3" s="31"/>
      <c r="CN3" s="34"/>
      <c r="CO3" s="248"/>
      <c r="CP3" s="249"/>
      <c r="CQ3" s="22"/>
      <c r="CS3" s="40"/>
      <c r="CT3" s="36"/>
      <c r="CU3" s="34"/>
      <c r="CV3" s="248"/>
      <c r="CW3" s="249"/>
      <c r="CX3" s="22"/>
      <c r="CZ3" s="40"/>
      <c r="DA3" s="22"/>
      <c r="DB3" s="31"/>
      <c r="DC3" s="34"/>
      <c r="DD3" s="248"/>
      <c r="DE3" s="249"/>
      <c r="DF3" s="22"/>
      <c r="DH3" s="40"/>
      <c r="DI3" s="36"/>
      <c r="DJ3" s="34"/>
      <c r="DK3" s="248"/>
      <c r="DL3" s="249"/>
      <c r="DM3" s="22"/>
      <c r="DO3" s="40"/>
      <c r="DP3" s="22"/>
      <c r="DQ3" s="31"/>
      <c r="DR3" s="34"/>
      <c r="DS3" s="248"/>
      <c r="DT3" s="249"/>
      <c r="DU3" s="22"/>
      <c r="DW3" s="40"/>
      <c r="DX3" s="36"/>
      <c r="DY3" s="34"/>
      <c r="DZ3" s="248"/>
      <c r="EA3" s="249"/>
      <c r="EB3" s="22"/>
      <c r="ED3" s="40"/>
      <c r="EE3" s="22"/>
      <c r="EF3" s="31"/>
      <c r="EG3" s="34"/>
      <c r="EH3" s="248"/>
      <c r="EI3" s="249"/>
      <c r="EJ3" s="22"/>
      <c r="EL3" s="40"/>
      <c r="EM3" s="36"/>
      <c r="EN3" s="34"/>
      <c r="EO3" s="248"/>
      <c r="EP3" s="249"/>
      <c r="EQ3" s="22"/>
      <c r="ES3" s="40"/>
      <c r="ET3" s="22"/>
    </row>
    <row r="4" spans="1:150" ht="15.6" customHeight="1">
      <c r="B4" s="25"/>
      <c r="C4" s="254"/>
      <c r="D4" s="255"/>
      <c r="E4" s="50"/>
      <c r="F4" s="257"/>
      <c r="G4" s="258"/>
      <c r="H4" s="26"/>
      <c r="I4" s="25"/>
      <c r="J4" s="254"/>
      <c r="K4" s="255"/>
      <c r="L4" s="50"/>
      <c r="M4" s="257"/>
      <c r="N4" s="258"/>
      <c r="Q4" s="25"/>
      <c r="R4" s="254"/>
      <c r="S4" s="255"/>
      <c r="T4" s="50"/>
      <c r="U4" s="257"/>
      <c r="V4" s="258"/>
      <c r="W4" s="26"/>
      <c r="X4" s="25"/>
      <c r="Y4" s="254"/>
      <c r="Z4" s="255"/>
      <c r="AA4" s="50"/>
      <c r="AB4" s="257"/>
      <c r="AC4" s="258"/>
      <c r="AF4" s="25"/>
      <c r="AG4" s="254"/>
      <c r="AH4" s="255"/>
      <c r="AI4" s="50"/>
      <c r="AJ4" s="257"/>
      <c r="AK4" s="258"/>
      <c r="AL4" s="26"/>
      <c r="AM4" s="25"/>
      <c r="AN4" s="254"/>
      <c r="AO4" s="255"/>
      <c r="AP4" s="50"/>
      <c r="AQ4" s="257"/>
      <c r="AR4" s="258"/>
      <c r="AU4" s="25"/>
      <c r="AV4" s="254"/>
      <c r="AW4" s="255"/>
      <c r="AX4" s="50"/>
      <c r="AY4" s="257"/>
      <c r="AZ4" s="258"/>
      <c r="BA4" s="26"/>
      <c r="BB4" s="25"/>
      <c r="BC4" s="254"/>
      <c r="BD4" s="255"/>
      <c r="BE4" s="50"/>
      <c r="BF4" s="257"/>
      <c r="BG4" s="258"/>
      <c r="BJ4" s="25"/>
      <c r="BK4" s="254"/>
      <c r="BL4" s="255"/>
      <c r="BM4" s="50"/>
      <c r="BN4" s="257"/>
      <c r="BO4" s="258"/>
      <c r="BP4" s="26"/>
      <c r="BQ4" s="25"/>
      <c r="BR4" s="254"/>
      <c r="BS4" s="255"/>
      <c r="BT4" s="50"/>
      <c r="BU4" s="257"/>
      <c r="BV4" s="258"/>
      <c r="BY4" s="25"/>
      <c r="BZ4" s="254"/>
      <c r="CA4" s="255"/>
      <c r="CB4" s="50"/>
      <c r="CC4" s="257"/>
      <c r="CD4" s="258"/>
      <c r="CE4" s="26"/>
      <c r="CF4" s="25"/>
      <c r="CG4" s="254"/>
      <c r="CH4" s="255"/>
      <c r="CI4" s="50"/>
      <c r="CJ4" s="257"/>
      <c r="CK4" s="258"/>
      <c r="CN4" s="25"/>
      <c r="CO4" s="254"/>
      <c r="CP4" s="255"/>
      <c r="CQ4" s="50"/>
      <c r="CR4" s="257"/>
      <c r="CS4" s="258"/>
      <c r="CT4" s="26"/>
      <c r="CU4" s="25"/>
      <c r="CV4" s="254"/>
      <c r="CW4" s="255"/>
      <c r="CX4" s="50"/>
      <c r="CY4" s="257"/>
      <c r="CZ4" s="258"/>
      <c r="DC4" s="25"/>
      <c r="DD4" s="254"/>
      <c r="DE4" s="255"/>
      <c r="DF4" s="50"/>
      <c r="DG4" s="257"/>
      <c r="DH4" s="258"/>
      <c r="DI4" s="26"/>
      <c r="DJ4" s="25"/>
      <c r="DK4" s="254"/>
      <c r="DL4" s="255"/>
      <c r="DM4" s="50"/>
      <c r="DN4" s="257"/>
      <c r="DO4" s="258"/>
      <c r="DR4" s="25"/>
      <c r="DS4" s="254"/>
      <c r="DT4" s="255"/>
      <c r="DU4" s="50"/>
      <c r="DV4" s="257"/>
      <c r="DW4" s="258"/>
      <c r="DX4" s="26"/>
      <c r="DY4" s="25"/>
      <c r="DZ4" s="254"/>
      <c r="EA4" s="255"/>
      <c r="EB4" s="50"/>
      <c r="EC4" s="257"/>
      <c r="ED4" s="258"/>
      <c r="EG4" s="25"/>
      <c r="EH4" s="254"/>
      <c r="EI4" s="255"/>
      <c r="EJ4" s="50"/>
      <c r="EK4" s="257"/>
      <c r="EL4" s="258"/>
      <c r="EM4" s="26"/>
      <c r="EN4" s="25"/>
      <c r="EO4" s="254"/>
      <c r="EP4" s="255"/>
      <c r="EQ4" s="50"/>
      <c r="ER4" s="257"/>
      <c r="ES4" s="258"/>
    </row>
    <row r="5" spans="1:150" ht="15.6" customHeight="1">
      <c r="B5" s="27"/>
      <c r="C5" s="256"/>
      <c r="D5" s="256"/>
      <c r="E5" s="44"/>
      <c r="F5" s="256"/>
      <c r="G5" s="253"/>
      <c r="H5" s="26"/>
      <c r="I5" s="27"/>
      <c r="J5" s="256"/>
      <c r="K5" s="256"/>
      <c r="L5" s="44"/>
      <c r="M5" s="256"/>
      <c r="N5" s="253"/>
      <c r="Q5" s="27"/>
      <c r="R5" s="256"/>
      <c r="S5" s="256"/>
      <c r="T5" s="44"/>
      <c r="U5" s="256"/>
      <c r="V5" s="253"/>
      <c r="W5" s="26"/>
      <c r="X5" s="27"/>
      <c r="Y5" s="256"/>
      <c r="Z5" s="256"/>
      <c r="AA5" s="44"/>
      <c r="AB5" s="256"/>
      <c r="AC5" s="253"/>
      <c r="AF5" s="27"/>
      <c r="AG5" s="256"/>
      <c r="AH5" s="256"/>
      <c r="AI5" s="44"/>
      <c r="AJ5" s="256"/>
      <c r="AK5" s="253"/>
      <c r="AL5" s="26"/>
      <c r="AM5" s="27"/>
      <c r="AN5" s="256"/>
      <c r="AO5" s="256"/>
      <c r="AP5" s="44"/>
      <c r="AQ5" s="256"/>
      <c r="AR5" s="253"/>
      <c r="AU5" s="27"/>
      <c r="AV5" s="256"/>
      <c r="AW5" s="256"/>
      <c r="AX5" s="44"/>
      <c r="AY5" s="256"/>
      <c r="AZ5" s="253"/>
      <c r="BA5" s="26"/>
      <c r="BB5" s="27"/>
      <c r="BC5" s="256"/>
      <c r="BD5" s="256"/>
      <c r="BE5" s="44"/>
      <c r="BF5" s="256"/>
      <c r="BG5" s="253"/>
      <c r="BJ5" s="27"/>
      <c r="BK5" s="256"/>
      <c r="BL5" s="256"/>
      <c r="BM5" s="44"/>
      <c r="BN5" s="256"/>
      <c r="BO5" s="253"/>
      <c r="BP5" s="26"/>
      <c r="BQ5" s="27"/>
      <c r="BR5" s="256"/>
      <c r="BS5" s="256"/>
      <c r="BT5" s="44"/>
      <c r="BU5" s="256"/>
      <c r="BV5" s="253"/>
      <c r="BY5" s="27"/>
      <c r="BZ5" s="256"/>
      <c r="CA5" s="256"/>
      <c r="CB5" s="44"/>
      <c r="CC5" s="256"/>
      <c r="CD5" s="253"/>
      <c r="CE5" s="26"/>
      <c r="CF5" s="27"/>
      <c r="CG5" s="256"/>
      <c r="CH5" s="256"/>
      <c r="CI5" s="44"/>
      <c r="CJ5" s="256"/>
      <c r="CK5" s="253"/>
      <c r="CN5" s="27"/>
      <c r="CO5" s="256"/>
      <c r="CP5" s="256"/>
      <c r="CQ5" s="44"/>
      <c r="CR5" s="256"/>
      <c r="CS5" s="253"/>
      <c r="CT5" s="26"/>
      <c r="CU5" s="27"/>
      <c r="CV5" s="256"/>
      <c r="CW5" s="256"/>
      <c r="CX5" s="44"/>
      <c r="CY5" s="256"/>
      <c r="CZ5" s="253"/>
      <c r="DC5" s="27"/>
      <c r="DD5" s="256"/>
      <c r="DE5" s="256"/>
      <c r="DF5" s="44"/>
      <c r="DG5" s="256"/>
      <c r="DH5" s="253"/>
      <c r="DI5" s="26"/>
      <c r="DJ5" s="27"/>
      <c r="DK5" s="256"/>
      <c r="DL5" s="256"/>
      <c r="DM5" s="44"/>
      <c r="DN5" s="256"/>
      <c r="DO5" s="253"/>
      <c r="DR5" s="27"/>
      <c r="DS5" s="256"/>
      <c r="DT5" s="256"/>
      <c r="DU5" s="44"/>
      <c r="DV5" s="256"/>
      <c r="DW5" s="253"/>
      <c r="DX5" s="26"/>
      <c r="DY5" s="27"/>
      <c r="DZ5" s="256"/>
      <c r="EA5" s="256"/>
      <c r="EB5" s="44"/>
      <c r="EC5" s="256"/>
      <c r="ED5" s="253"/>
      <c r="EG5" s="27"/>
      <c r="EH5" s="256"/>
      <c r="EI5" s="256"/>
      <c r="EJ5" s="44"/>
      <c r="EK5" s="256"/>
      <c r="EL5" s="253"/>
      <c r="EM5" s="26"/>
      <c r="EN5" s="27"/>
      <c r="EO5" s="256"/>
      <c r="EP5" s="256"/>
      <c r="EQ5" s="44"/>
      <c r="ER5" s="256"/>
      <c r="ES5" s="253"/>
    </row>
    <row r="6" spans="1:150" s="32" customFormat="1">
      <c r="A6" s="31"/>
      <c r="B6" s="37"/>
      <c r="C6" s="35"/>
      <c r="D6" s="37"/>
      <c r="E6" s="35"/>
      <c r="F6" s="37"/>
      <c r="G6" s="40"/>
      <c r="H6" s="22"/>
      <c r="I6" s="37"/>
      <c r="J6" s="35"/>
      <c r="K6" s="37"/>
      <c r="L6" s="35"/>
      <c r="M6" s="37"/>
      <c r="N6" s="40"/>
      <c r="O6" s="22"/>
      <c r="P6" s="31"/>
      <c r="Q6" s="37"/>
      <c r="R6" s="35"/>
      <c r="S6" s="37"/>
      <c r="T6" s="35"/>
      <c r="U6" s="37"/>
      <c r="V6" s="40"/>
      <c r="W6" s="22"/>
      <c r="X6" s="37"/>
      <c r="Y6" s="35"/>
      <c r="Z6" s="37"/>
      <c r="AA6" s="35"/>
      <c r="AB6" s="37"/>
      <c r="AC6" s="40"/>
      <c r="AD6" s="22"/>
      <c r="AE6" s="31"/>
      <c r="AF6" s="37"/>
      <c r="AG6" s="35"/>
      <c r="AH6" s="37"/>
      <c r="AI6" s="35"/>
      <c r="AJ6" s="37"/>
      <c r="AK6" s="40"/>
      <c r="AL6" s="22"/>
      <c r="AM6" s="37"/>
      <c r="AN6" s="35"/>
      <c r="AO6" s="37"/>
      <c r="AP6" s="35"/>
      <c r="AQ6" s="37"/>
      <c r="AR6" s="40"/>
      <c r="AS6" s="22"/>
      <c r="AT6" s="31"/>
      <c r="AU6" s="37"/>
      <c r="AV6" s="35"/>
      <c r="AW6" s="37"/>
      <c r="AX6" s="35"/>
      <c r="AY6" s="37"/>
      <c r="AZ6" s="40"/>
      <c r="BA6" s="22"/>
      <c r="BB6" s="37"/>
      <c r="BC6" s="35"/>
      <c r="BD6" s="37"/>
      <c r="BE6" s="35"/>
      <c r="BF6" s="37"/>
      <c r="BG6" s="40"/>
      <c r="BH6" s="22"/>
      <c r="BI6" s="31"/>
      <c r="BJ6" s="37"/>
      <c r="BK6" s="35"/>
      <c r="BL6" s="37"/>
      <c r="BM6" s="35"/>
      <c r="BN6" s="37"/>
      <c r="BO6" s="40"/>
      <c r="BP6" s="22"/>
      <c r="BQ6" s="37"/>
      <c r="BR6" s="35"/>
      <c r="BS6" s="37"/>
      <c r="BT6" s="35"/>
      <c r="BU6" s="37"/>
      <c r="BV6" s="40"/>
      <c r="BW6" s="22"/>
      <c r="BX6" s="31"/>
      <c r="BY6" s="37"/>
      <c r="BZ6" s="35"/>
      <c r="CA6" s="37"/>
      <c r="CB6" s="35"/>
      <c r="CC6" s="37"/>
      <c r="CD6" s="40"/>
      <c r="CE6" s="22"/>
      <c r="CF6" s="37"/>
      <c r="CG6" s="35"/>
      <c r="CH6" s="37"/>
      <c r="CI6" s="35"/>
      <c r="CJ6" s="37"/>
      <c r="CK6" s="40"/>
      <c r="CL6" s="22"/>
      <c r="CM6" s="31"/>
      <c r="CN6" s="37"/>
      <c r="CO6" s="35"/>
      <c r="CP6" s="37"/>
      <c r="CQ6" s="35"/>
      <c r="CR6" s="37"/>
      <c r="CS6" s="40"/>
      <c r="CT6" s="22"/>
      <c r="CU6" s="37"/>
      <c r="CV6" s="35"/>
      <c r="CW6" s="37"/>
      <c r="CX6" s="35"/>
      <c r="CY6" s="37"/>
      <c r="CZ6" s="40"/>
      <c r="DA6" s="22"/>
      <c r="DB6" s="31"/>
      <c r="DC6" s="37"/>
      <c r="DD6" s="35"/>
      <c r="DE6" s="37"/>
      <c r="DF6" s="35"/>
      <c r="DG6" s="37"/>
      <c r="DH6" s="40"/>
      <c r="DI6" s="22"/>
      <c r="DJ6" s="37"/>
      <c r="DK6" s="35"/>
      <c r="DL6" s="37"/>
      <c r="DM6" s="35"/>
      <c r="DN6" s="37"/>
      <c r="DO6" s="40"/>
      <c r="DP6" s="22"/>
      <c r="DQ6" s="31"/>
      <c r="DR6" s="37"/>
      <c r="DS6" s="35"/>
      <c r="DT6" s="37"/>
      <c r="DU6" s="35"/>
      <c r="DV6" s="37"/>
      <c r="DW6" s="40"/>
      <c r="DX6" s="22"/>
      <c r="DY6" s="37"/>
      <c r="DZ6" s="35"/>
      <c r="EA6" s="37"/>
      <c r="EB6" s="35"/>
      <c r="EC6" s="37"/>
      <c r="ED6" s="40"/>
      <c r="EE6" s="22"/>
      <c r="EF6" s="31"/>
      <c r="EG6" s="37"/>
      <c r="EH6" s="35"/>
      <c r="EI6" s="37"/>
      <c r="EJ6" s="35"/>
      <c r="EK6" s="37"/>
      <c r="EL6" s="40"/>
      <c r="EM6" s="22"/>
      <c r="EN6" s="37"/>
      <c r="EO6" s="35"/>
      <c r="EP6" s="37"/>
      <c r="EQ6" s="35"/>
      <c r="ER6" s="37"/>
      <c r="ES6" s="40"/>
      <c r="ET6" s="22"/>
    </row>
    <row r="7" spans="1:150" ht="27.6" customHeight="1">
      <c r="B7" s="259"/>
      <c r="C7" s="253"/>
      <c r="D7" s="259"/>
      <c r="E7" s="253"/>
      <c r="F7" s="252"/>
      <c r="G7" s="253"/>
      <c r="I7" s="259"/>
      <c r="J7" s="253"/>
      <c r="K7" s="259"/>
      <c r="L7" s="253"/>
      <c r="M7" s="252"/>
      <c r="N7" s="253"/>
      <c r="Q7" s="259"/>
      <c r="R7" s="253"/>
      <c r="S7" s="259"/>
      <c r="T7" s="253"/>
      <c r="U7" s="252"/>
      <c r="V7" s="253"/>
      <c r="X7" s="259"/>
      <c r="Y7" s="253"/>
      <c r="Z7" s="259"/>
      <c r="AA7" s="253"/>
      <c r="AB7" s="252"/>
      <c r="AC7" s="253"/>
      <c r="AF7" s="259"/>
      <c r="AG7" s="253"/>
      <c r="AH7" s="259"/>
      <c r="AI7" s="253"/>
      <c r="AJ7" s="252"/>
      <c r="AK7" s="253"/>
      <c r="AM7" s="259"/>
      <c r="AN7" s="253"/>
      <c r="AO7" s="259"/>
      <c r="AP7" s="253"/>
      <c r="AQ7" s="252"/>
      <c r="AR7" s="253"/>
      <c r="AU7" s="259"/>
      <c r="AV7" s="253"/>
      <c r="AW7" s="259"/>
      <c r="AX7" s="253"/>
      <c r="AY7" s="252"/>
      <c r="AZ7" s="253"/>
      <c r="BB7" s="259"/>
      <c r="BC7" s="253"/>
      <c r="BD7" s="259"/>
      <c r="BE7" s="253"/>
      <c r="BF7" s="252"/>
      <c r="BG7" s="253"/>
      <c r="BJ7" s="259"/>
      <c r="BK7" s="253"/>
      <c r="BL7" s="259"/>
      <c r="BM7" s="253"/>
      <c r="BN7" s="252"/>
      <c r="BO7" s="253"/>
      <c r="BQ7" s="259"/>
      <c r="BR7" s="253"/>
      <c r="BS7" s="259"/>
      <c r="BT7" s="253"/>
      <c r="BU7" s="252"/>
      <c r="BV7" s="253"/>
      <c r="BY7" s="259"/>
      <c r="BZ7" s="253"/>
      <c r="CA7" s="259"/>
      <c r="CB7" s="253"/>
      <c r="CC7" s="252"/>
      <c r="CD7" s="253"/>
      <c r="CF7" s="259"/>
      <c r="CG7" s="253"/>
      <c r="CH7" s="259"/>
      <c r="CI7" s="253"/>
      <c r="CJ7" s="252"/>
      <c r="CK7" s="253"/>
      <c r="CN7" s="259"/>
      <c r="CO7" s="253"/>
      <c r="CP7" s="259"/>
      <c r="CQ7" s="253"/>
      <c r="CR7" s="252"/>
      <c r="CS7" s="253"/>
      <c r="CU7" s="259"/>
      <c r="CV7" s="253"/>
      <c r="CW7" s="259"/>
      <c r="CX7" s="253"/>
      <c r="CY7" s="252"/>
      <c r="CZ7" s="253"/>
      <c r="DC7" s="259"/>
      <c r="DD7" s="253"/>
      <c r="DE7" s="259"/>
      <c r="DF7" s="253"/>
      <c r="DG7" s="252"/>
      <c r="DH7" s="253"/>
      <c r="DJ7" s="259"/>
      <c r="DK7" s="253"/>
      <c r="DL7" s="259"/>
      <c r="DM7" s="253"/>
      <c r="DN7" s="252"/>
      <c r="DO7" s="253"/>
      <c r="DR7" s="259"/>
      <c r="DS7" s="253"/>
      <c r="DT7" s="259"/>
      <c r="DU7" s="253"/>
      <c r="DV7" s="252"/>
      <c r="DW7" s="253"/>
      <c r="DY7" s="259"/>
      <c r="DZ7" s="253"/>
      <c r="EA7" s="259"/>
      <c r="EB7" s="253"/>
      <c r="EC7" s="252"/>
      <c r="ED7" s="253"/>
      <c r="EG7" s="259"/>
      <c r="EH7" s="253"/>
      <c r="EI7" s="259"/>
      <c r="EJ7" s="253"/>
      <c r="EK7" s="252"/>
      <c r="EL7" s="253"/>
      <c r="EN7" s="259"/>
      <c r="EO7" s="253"/>
      <c r="EP7" s="259"/>
      <c r="EQ7" s="253"/>
      <c r="ER7" s="252"/>
      <c r="ES7" s="253"/>
    </row>
    <row r="8" spans="1:150" ht="6.6" customHeight="1">
      <c r="B8" s="45"/>
      <c r="D8" s="45"/>
      <c r="F8" s="46"/>
      <c r="I8" s="45"/>
      <c r="K8" s="45"/>
      <c r="M8" s="46"/>
      <c r="Q8" s="45"/>
      <c r="S8" s="45"/>
      <c r="U8" s="46"/>
      <c r="X8" s="45"/>
      <c r="Z8" s="45"/>
      <c r="AB8" s="46"/>
      <c r="AF8" s="45"/>
      <c r="AH8" s="45"/>
      <c r="AJ8" s="46"/>
      <c r="AM8" s="45"/>
      <c r="AO8" s="45"/>
      <c r="AQ8" s="46"/>
      <c r="AU8" s="45"/>
      <c r="AW8" s="45"/>
      <c r="AY8" s="46"/>
      <c r="BB8" s="45"/>
      <c r="BD8" s="45"/>
      <c r="BF8" s="46"/>
      <c r="BJ8" s="45"/>
      <c r="BL8" s="45"/>
      <c r="BN8" s="46"/>
      <c r="BQ8" s="45"/>
      <c r="BS8" s="45"/>
      <c r="BU8" s="46"/>
      <c r="BY8" s="45"/>
      <c r="CA8" s="45"/>
      <c r="CC8" s="46"/>
      <c r="CF8" s="45"/>
      <c r="CH8" s="45"/>
      <c r="CJ8" s="46"/>
      <c r="CN8" s="45"/>
      <c r="CP8" s="45"/>
      <c r="CR8" s="46"/>
      <c r="CU8" s="45"/>
      <c r="CW8" s="45"/>
      <c r="CY8" s="46"/>
      <c r="DC8" s="45"/>
      <c r="DE8" s="45"/>
      <c r="DG8" s="46"/>
      <c r="DJ8" s="45"/>
      <c r="DL8" s="45"/>
      <c r="DN8" s="46"/>
      <c r="DR8" s="45"/>
      <c r="DT8" s="45"/>
      <c r="DV8" s="46"/>
      <c r="DY8" s="45"/>
      <c r="EA8" s="45"/>
      <c r="EC8" s="46"/>
      <c r="EG8" s="45"/>
      <c r="EI8" s="45"/>
      <c r="EK8" s="46"/>
      <c r="EN8" s="45"/>
      <c r="EP8" s="45"/>
      <c r="ER8" s="46"/>
    </row>
    <row r="9" spans="1:150" s="32" customFormat="1" ht="25.8" customHeight="1">
      <c r="A9" s="31"/>
      <c r="B9" s="43"/>
      <c r="C9" s="250"/>
      <c r="D9" s="251"/>
      <c r="E9" s="251"/>
      <c r="F9" s="251"/>
      <c r="G9" s="42"/>
      <c r="H9" s="36"/>
      <c r="I9" s="43"/>
      <c r="J9" s="250"/>
      <c r="K9" s="251"/>
      <c r="L9" s="251"/>
      <c r="M9" s="251"/>
      <c r="N9" s="42"/>
      <c r="O9" s="22"/>
      <c r="P9" s="31"/>
      <c r="Q9" s="43"/>
      <c r="R9" s="250"/>
      <c r="S9" s="251"/>
      <c r="T9" s="251"/>
      <c r="U9" s="251"/>
      <c r="V9" s="42"/>
      <c r="W9" s="36"/>
      <c r="X9" s="43"/>
      <c r="Y9" s="250"/>
      <c r="Z9" s="251"/>
      <c r="AA9" s="251"/>
      <c r="AB9" s="251"/>
      <c r="AC9" s="42"/>
      <c r="AD9" s="22"/>
      <c r="AE9" s="31"/>
      <c r="AF9" s="43"/>
      <c r="AG9" s="250"/>
      <c r="AH9" s="251"/>
      <c r="AI9" s="251"/>
      <c r="AJ9" s="251"/>
      <c r="AK9" s="42"/>
      <c r="AL9" s="36"/>
      <c r="AM9" s="43"/>
      <c r="AN9" s="250"/>
      <c r="AO9" s="251"/>
      <c r="AP9" s="251"/>
      <c r="AQ9" s="251"/>
      <c r="AR9" s="42"/>
      <c r="AS9" s="22"/>
      <c r="AT9" s="31"/>
      <c r="AU9" s="43"/>
      <c r="AV9" s="250"/>
      <c r="AW9" s="251"/>
      <c r="AX9" s="251"/>
      <c r="AY9" s="251"/>
      <c r="AZ9" s="42"/>
      <c r="BA9" s="36"/>
      <c r="BB9" s="43"/>
      <c r="BC9" s="250"/>
      <c r="BD9" s="251"/>
      <c r="BE9" s="251"/>
      <c r="BF9" s="251"/>
      <c r="BG9" s="42"/>
      <c r="BH9" s="22"/>
      <c r="BI9" s="31"/>
      <c r="BJ9" s="43"/>
      <c r="BK9" s="250"/>
      <c r="BL9" s="251"/>
      <c r="BM9" s="251"/>
      <c r="BN9" s="251"/>
      <c r="BO9" s="42"/>
      <c r="BP9" s="36"/>
      <c r="BQ9" s="43"/>
      <c r="BR9" s="250"/>
      <c r="BS9" s="251"/>
      <c r="BT9" s="251"/>
      <c r="BU9" s="251"/>
      <c r="BV9" s="42"/>
      <c r="BW9" s="22"/>
      <c r="BX9" s="31"/>
      <c r="BY9" s="43"/>
      <c r="BZ9" s="250"/>
      <c r="CA9" s="251"/>
      <c r="CB9" s="251"/>
      <c r="CC9" s="251"/>
      <c r="CD9" s="42"/>
      <c r="CE9" s="36"/>
      <c r="CF9" s="43"/>
      <c r="CG9" s="250"/>
      <c r="CH9" s="251"/>
      <c r="CI9" s="251"/>
      <c r="CJ9" s="251"/>
      <c r="CK9" s="42"/>
      <c r="CL9" s="22"/>
      <c r="CM9" s="31"/>
      <c r="CN9" s="43"/>
      <c r="CO9" s="250"/>
      <c r="CP9" s="251"/>
      <c r="CQ9" s="251"/>
      <c r="CR9" s="251"/>
      <c r="CS9" s="42"/>
      <c r="CT9" s="36"/>
      <c r="CU9" s="43"/>
      <c r="CV9" s="250"/>
      <c r="CW9" s="251"/>
      <c r="CX9" s="251"/>
      <c r="CY9" s="251"/>
      <c r="CZ9" s="42"/>
      <c r="DA9" s="22"/>
      <c r="DB9" s="31"/>
      <c r="DC9" s="43"/>
      <c r="DD9" s="250"/>
      <c r="DE9" s="251"/>
      <c r="DF9" s="251"/>
      <c r="DG9" s="251"/>
      <c r="DH9" s="42"/>
      <c r="DI9" s="36"/>
      <c r="DJ9" s="43"/>
      <c r="DK9" s="250"/>
      <c r="DL9" s="251"/>
      <c r="DM9" s="251"/>
      <c r="DN9" s="251"/>
      <c r="DO9" s="42"/>
      <c r="DP9" s="22"/>
      <c r="DQ9" s="31"/>
      <c r="DR9" s="43"/>
      <c r="DS9" s="250"/>
      <c r="DT9" s="251"/>
      <c r="DU9" s="251"/>
      <c r="DV9" s="251"/>
      <c r="DW9" s="42"/>
      <c r="DX9" s="36"/>
      <c r="DY9" s="43"/>
      <c r="DZ9" s="250"/>
      <c r="EA9" s="251"/>
      <c r="EB9" s="251"/>
      <c r="EC9" s="251"/>
      <c r="ED9" s="42"/>
      <c r="EE9" s="22"/>
      <c r="EF9" s="31"/>
      <c r="EG9" s="43"/>
      <c r="EH9" s="250"/>
      <c r="EI9" s="251"/>
      <c r="EJ9" s="251"/>
      <c r="EK9" s="251"/>
      <c r="EL9" s="42"/>
      <c r="EM9" s="36"/>
      <c r="EN9" s="43"/>
      <c r="EO9" s="250"/>
      <c r="EP9" s="251"/>
      <c r="EQ9" s="251"/>
      <c r="ER9" s="251"/>
      <c r="ES9" s="42"/>
      <c r="ET9" s="22"/>
    </row>
    <row r="10" spans="1:150" s="32" customFormat="1">
      <c r="A10" s="31"/>
      <c r="B10" s="178"/>
      <c r="C10" s="47"/>
      <c r="D10" s="41"/>
      <c r="E10" s="41"/>
      <c r="F10" s="48"/>
      <c r="G10" s="39"/>
      <c r="H10" s="49"/>
      <c r="I10" s="178"/>
      <c r="J10" s="47"/>
      <c r="K10" s="41"/>
      <c r="L10" s="41"/>
      <c r="M10" s="48"/>
      <c r="N10" s="39"/>
      <c r="O10" s="22"/>
      <c r="P10" s="31"/>
      <c r="Q10" s="33"/>
      <c r="R10" s="47"/>
      <c r="S10" s="41"/>
      <c r="T10" s="41"/>
      <c r="U10" s="48"/>
      <c r="V10" s="39"/>
      <c r="W10" s="49"/>
      <c r="X10" s="33"/>
      <c r="Y10" s="47"/>
      <c r="Z10" s="41"/>
      <c r="AA10" s="41"/>
      <c r="AB10" s="48"/>
      <c r="AC10" s="39"/>
      <c r="AD10" s="22"/>
      <c r="AE10" s="31"/>
      <c r="AF10" s="33"/>
      <c r="AG10" s="47"/>
      <c r="AH10" s="41"/>
      <c r="AI10" s="41"/>
      <c r="AJ10" s="48"/>
      <c r="AK10" s="39"/>
      <c r="AL10" s="49"/>
      <c r="AM10" s="33"/>
      <c r="AN10" s="47"/>
      <c r="AO10" s="41"/>
      <c r="AP10" s="41"/>
      <c r="AQ10" s="48"/>
      <c r="AR10" s="39"/>
      <c r="AS10" s="22"/>
      <c r="AT10" s="31"/>
      <c r="AU10" s="33"/>
      <c r="AV10" s="47"/>
      <c r="AW10" s="41"/>
      <c r="AX10" s="41"/>
      <c r="AY10" s="48"/>
      <c r="AZ10" s="39"/>
      <c r="BA10" s="49"/>
      <c r="BB10" s="33"/>
      <c r="BC10" s="47"/>
      <c r="BD10" s="41"/>
      <c r="BE10" s="41"/>
      <c r="BF10" s="48"/>
      <c r="BG10" s="39"/>
      <c r="BH10" s="22"/>
      <c r="BI10" s="31"/>
      <c r="BJ10" s="33"/>
      <c r="BK10" s="47"/>
      <c r="BL10" s="41"/>
      <c r="BM10" s="41"/>
      <c r="BN10" s="48"/>
      <c r="BO10" s="39"/>
      <c r="BP10" s="49"/>
      <c r="BQ10" s="33"/>
      <c r="BR10" s="47"/>
      <c r="BS10" s="41"/>
      <c r="BT10" s="41"/>
      <c r="BU10" s="48"/>
      <c r="BV10" s="39"/>
      <c r="BW10" s="22"/>
      <c r="BX10" s="31"/>
      <c r="BY10" s="33"/>
      <c r="BZ10" s="47"/>
      <c r="CA10" s="41"/>
      <c r="CB10" s="41"/>
      <c r="CC10" s="48"/>
      <c r="CD10" s="39"/>
      <c r="CE10" s="49"/>
      <c r="CF10" s="33"/>
      <c r="CG10" s="47"/>
      <c r="CH10" s="41"/>
      <c r="CI10" s="41"/>
      <c r="CJ10" s="48"/>
      <c r="CK10" s="39"/>
      <c r="CL10" s="22"/>
      <c r="CM10" s="31"/>
      <c r="CN10" s="33"/>
      <c r="CO10" s="47"/>
      <c r="CP10" s="41"/>
      <c r="CQ10" s="41"/>
      <c r="CR10" s="48"/>
      <c r="CS10" s="39"/>
      <c r="CT10" s="49"/>
      <c r="CU10" s="33"/>
      <c r="CV10" s="47"/>
      <c r="CW10" s="41"/>
      <c r="CX10" s="41"/>
      <c r="CY10" s="48"/>
      <c r="CZ10" s="39"/>
      <c r="DA10" s="22"/>
      <c r="DB10" s="31"/>
      <c r="DC10" s="33"/>
      <c r="DD10" s="47"/>
      <c r="DE10" s="41"/>
      <c r="DF10" s="41"/>
      <c r="DG10" s="48"/>
      <c r="DH10" s="39"/>
      <c r="DI10" s="49"/>
      <c r="DJ10" s="33"/>
      <c r="DK10" s="47"/>
      <c r="DL10" s="41"/>
      <c r="DM10" s="41"/>
      <c r="DN10" s="48"/>
      <c r="DO10" s="39"/>
      <c r="DP10" s="22"/>
      <c r="DQ10" s="31"/>
      <c r="DR10" s="33"/>
      <c r="DS10" s="47"/>
      <c r="DT10" s="41"/>
      <c r="DU10" s="41"/>
      <c r="DV10" s="48"/>
      <c r="DW10" s="39"/>
      <c r="DX10" s="49"/>
      <c r="DY10" s="33"/>
      <c r="DZ10" s="47"/>
      <c r="EA10" s="41"/>
      <c r="EB10" s="41"/>
      <c r="EC10" s="48"/>
      <c r="ED10" s="39"/>
      <c r="EE10" s="22"/>
      <c r="EF10" s="31"/>
      <c r="EG10" s="33"/>
      <c r="EH10" s="47"/>
      <c r="EI10" s="41"/>
      <c r="EJ10" s="41"/>
      <c r="EK10" s="48"/>
      <c r="EL10" s="39"/>
      <c r="EM10" s="49"/>
      <c r="EN10" s="33"/>
      <c r="EO10" s="47"/>
      <c r="EP10" s="41"/>
      <c r="EQ10" s="41"/>
      <c r="ER10" s="48"/>
      <c r="ES10" s="39"/>
      <c r="ET10" s="22"/>
    </row>
    <row r="11" spans="1:150" s="32" customFormat="1">
      <c r="A11" s="31"/>
      <c r="B11" s="34"/>
      <c r="C11" s="248"/>
      <c r="D11" s="249"/>
      <c r="E11" s="22"/>
      <c r="G11" s="40"/>
      <c r="H11" s="36"/>
      <c r="I11" s="34"/>
      <c r="J11" s="248"/>
      <c r="K11" s="249"/>
      <c r="L11" s="22"/>
      <c r="N11" s="40"/>
      <c r="O11" s="22"/>
      <c r="P11" s="31"/>
      <c r="Q11" s="34"/>
      <c r="R11" s="248"/>
      <c r="S11" s="249"/>
      <c r="T11" s="22"/>
      <c r="V11" s="40"/>
      <c r="W11" s="36"/>
      <c r="X11" s="34"/>
      <c r="Y11" s="248"/>
      <c r="Z11" s="249"/>
      <c r="AA11" s="22"/>
      <c r="AC11" s="40"/>
      <c r="AD11" s="22"/>
      <c r="AE11" s="31"/>
      <c r="AF11" s="34"/>
      <c r="AG11" s="248"/>
      <c r="AH11" s="249"/>
      <c r="AI11" s="22"/>
      <c r="AK11" s="40"/>
      <c r="AL11" s="36"/>
      <c r="AM11" s="34"/>
      <c r="AN11" s="248"/>
      <c r="AO11" s="249"/>
      <c r="AP11" s="22"/>
      <c r="AR11" s="40"/>
      <c r="AS11" s="22"/>
      <c r="AT11" s="31"/>
      <c r="AU11" s="34"/>
      <c r="AV11" s="248"/>
      <c r="AW11" s="249"/>
      <c r="AX11" s="22"/>
      <c r="AZ11" s="40"/>
      <c r="BA11" s="36"/>
      <c r="BB11" s="34"/>
      <c r="BC11" s="248"/>
      <c r="BD11" s="249"/>
      <c r="BE11" s="22"/>
      <c r="BG11" s="40"/>
      <c r="BH11" s="22"/>
      <c r="BI11" s="31"/>
      <c r="BJ11" s="34"/>
      <c r="BK11" s="248"/>
      <c r="BL11" s="249"/>
      <c r="BM11" s="22"/>
      <c r="BO11" s="40"/>
      <c r="BP11" s="36"/>
      <c r="BQ11" s="34"/>
      <c r="BR11" s="248"/>
      <c r="BS11" s="249"/>
      <c r="BT11" s="22"/>
      <c r="BV11" s="40"/>
      <c r="BW11" s="22"/>
      <c r="BX11" s="31"/>
      <c r="BY11" s="34"/>
      <c r="BZ11" s="248"/>
      <c r="CA11" s="249"/>
      <c r="CB11" s="22"/>
      <c r="CD11" s="40"/>
      <c r="CE11" s="36"/>
      <c r="CF11" s="34"/>
      <c r="CG11" s="248"/>
      <c r="CH11" s="249"/>
      <c r="CI11" s="22"/>
      <c r="CK11" s="40"/>
      <c r="CL11" s="22"/>
      <c r="CM11" s="31"/>
      <c r="CN11" s="34"/>
      <c r="CO11" s="248"/>
      <c r="CP11" s="249"/>
      <c r="CQ11" s="22"/>
      <c r="CS11" s="40"/>
      <c r="CT11" s="36"/>
      <c r="CU11" s="34"/>
      <c r="CV11" s="248"/>
      <c r="CW11" s="249"/>
      <c r="CX11" s="22"/>
      <c r="CZ11" s="40"/>
      <c r="DA11" s="22"/>
      <c r="DB11" s="31"/>
      <c r="DC11" s="34"/>
      <c r="DD11" s="248"/>
      <c r="DE11" s="249"/>
      <c r="DF11" s="22"/>
      <c r="DH11" s="40"/>
      <c r="DI11" s="36"/>
      <c r="DJ11" s="34"/>
      <c r="DK11" s="248"/>
      <c r="DL11" s="249"/>
      <c r="DM11" s="22"/>
      <c r="DO11" s="40"/>
      <c r="DP11" s="22"/>
      <c r="DQ11" s="31"/>
      <c r="DR11" s="34"/>
      <c r="DS11" s="248"/>
      <c r="DT11" s="249"/>
      <c r="DU11" s="22"/>
      <c r="DW11" s="40"/>
      <c r="DX11" s="36"/>
      <c r="DY11" s="34"/>
      <c r="DZ11" s="248"/>
      <c r="EA11" s="249"/>
      <c r="EB11" s="22"/>
      <c r="ED11" s="40"/>
      <c r="EE11" s="22"/>
      <c r="EF11" s="31"/>
      <c r="EG11" s="34"/>
      <c r="EH11" s="248"/>
      <c r="EI11" s="249"/>
      <c r="EJ11" s="22"/>
      <c r="EL11" s="40"/>
      <c r="EM11" s="36"/>
      <c r="EN11" s="34"/>
      <c r="EO11" s="248"/>
      <c r="EP11" s="249"/>
      <c r="EQ11" s="22"/>
      <c r="ES11" s="40"/>
      <c r="ET11" s="22"/>
    </row>
    <row r="12" spans="1:150" ht="15.6" customHeight="1">
      <c r="B12" s="25"/>
      <c r="C12" s="254"/>
      <c r="D12" s="255"/>
      <c r="E12" s="50"/>
      <c r="F12" s="257"/>
      <c r="G12" s="258"/>
      <c r="H12" s="26"/>
      <c r="I12" s="25"/>
      <c r="J12" s="254"/>
      <c r="K12" s="255"/>
      <c r="L12" s="50"/>
      <c r="M12" s="257"/>
      <c r="N12" s="258"/>
      <c r="Q12" s="25"/>
      <c r="R12" s="254"/>
      <c r="S12" s="255"/>
      <c r="T12" s="50"/>
      <c r="U12" s="257"/>
      <c r="V12" s="258"/>
      <c r="W12" s="26"/>
      <c r="X12" s="25"/>
      <c r="Y12" s="254"/>
      <c r="Z12" s="255"/>
      <c r="AA12" s="50"/>
      <c r="AB12" s="257"/>
      <c r="AC12" s="258"/>
      <c r="AF12" s="25"/>
      <c r="AG12" s="254"/>
      <c r="AH12" s="255"/>
      <c r="AI12" s="50"/>
      <c r="AJ12" s="257"/>
      <c r="AK12" s="258"/>
      <c r="AL12" s="26"/>
      <c r="AM12" s="25"/>
      <c r="AN12" s="254"/>
      <c r="AO12" s="255"/>
      <c r="AP12" s="50"/>
      <c r="AQ12" s="257"/>
      <c r="AR12" s="258"/>
      <c r="AU12" s="25"/>
      <c r="AV12" s="254"/>
      <c r="AW12" s="255"/>
      <c r="AX12" s="50"/>
      <c r="AY12" s="257"/>
      <c r="AZ12" s="258"/>
      <c r="BA12" s="26"/>
      <c r="BB12" s="25"/>
      <c r="BC12" s="254"/>
      <c r="BD12" s="255"/>
      <c r="BE12" s="50"/>
      <c r="BF12" s="257"/>
      <c r="BG12" s="258"/>
      <c r="BJ12" s="25"/>
      <c r="BK12" s="254"/>
      <c r="BL12" s="255"/>
      <c r="BM12" s="50"/>
      <c r="BN12" s="257"/>
      <c r="BO12" s="258"/>
      <c r="BP12" s="26"/>
      <c r="BQ12" s="25"/>
      <c r="BR12" s="254"/>
      <c r="BS12" s="255"/>
      <c r="BT12" s="50"/>
      <c r="BU12" s="257"/>
      <c r="BV12" s="258"/>
      <c r="BY12" s="25"/>
      <c r="BZ12" s="254"/>
      <c r="CA12" s="255"/>
      <c r="CB12" s="50"/>
      <c r="CC12" s="257"/>
      <c r="CD12" s="258"/>
      <c r="CE12" s="26"/>
      <c r="CF12" s="25"/>
      <c r="CG12" s="254"/>
      <c r="CH12" s="255"/>
      <c r="CI12" s="50"/>
      <c r="CJ12" s="257"/>
      <c r="CK12" s="258"/>
      <c r="CN12" s="25"/>
      <c r="CO12" s="254"/>
      <c r="CP12" s="255"/>
      <c r="CQ12" s="50"/>
      <c r="CR12" s="257"/>
      <c r="CS12" s="258"/>
      <c r="CT12" s="26"/>
      <c r="CU12" s="25"/>
      <c r="CV12" s="254"/>
      <c r="CW12" s="255"/>
      <c r="CX12" s="50"/>
      <c r="CY12" s="257"/>
      <c r="CZ12" s="258"/>
      <c r="DC12" s="25"/>
      <c r="DD12" s="254"/>
      <c r="DE12" s="255"/>
      <c r="DF12" s="50"/>
      <c r="DG12" s="257"/>
      <c r="DH12" s="258"/>
      <c r="DI12" s="26"/>
      <c r="DJ12" s="25"/>
      <c r="DK12" s="254"/>
      <c r="DL12" s="255"/>
      <c r="DM12" s="50"/>
      <c r="DN12" s="257"/>
      <c r="DO12" s="258"/>
      <c r="DR12" s="25"/>
      <c r="DS12" s="254"/>
      <c r="DT12" s="255"/>
      <c r="DU12" s="50"/>
      <c r="DV12" s="257"/>
      <c r="DW12" s="258"/>
      <c r="DX12" s="26"/>
      <c r="DY12" s="25"/>
      <c r="DZ12" s="254"/>
      <c r="EA12" s="255"/>
      <c r="EB12" s="50"/>
      <c r="EC12" s="257"/>
      <c r="ED12" s="258"/>
      <c r="EG12" s="25"/>
      <c r="EH12" s="254"/>
      <c r="EI12" s="255"/>
      <c r="EJ12" s="50"/>
      <c r="EK12" s="257"/>
      <c r="EL12" s="258"/>
      <c r="EM12" s="26"/>
      <c r="EN12" s="25"/>
      <c r="EO12" s="254"/>
      <c r="EP12" s="255"/>
      <c r="EQ12" s="50"/>
      <c r="ER12" s="257"/>
      <c r="ES12" s="258"/>
    </row>
    <row r="13" spans="1:150" ht="15.6" customHeight="1">
      <c r="B13" s="27"/>
      <c r="C13" s="256"/>
      <c r="D13" s="256"/>
      <c r="E13" s="44"/>
      <c r="F13" s="256"/>
      <c r="G13" s="253"/>
      <c r="H13" s="26"/>
      <c r="I13" s="27"/>
      <c r="J13" s="256"/>
      <c r="K13" s="256"/>
      <c r="L13" s="44"/>
      <c r="M13" s="256"/>
      <c r="N13" s="253"/>
      <c r="Q13" s="27"/>
      <c r="R13" s="256"/>
      <c r="S13" s="256"/>
      <c r="T13" s="44"/>
      <c r="U13" s="256"/>
      <c r="V13" s="253"/>
      <c r="W13" s="26"/>
      <c r="X13" s="27"/>
      <c r="Y13" s="256"/>
      <c r="Z13" s="256"/>
      <c r="AA13" s="44"/>
      <c r="AB13" s="256"/>
      <c r="AC13" s="253"/>
      <c r="AF13" s="27"/>
      <c r="AG13" s="256"/>
      <c r="AH13" s="256"/>
      <c r="AI13" s="44"/>
      <c r="AJ13" s="256"/>
      <c r="AK13" s="253"/>
      <c r="AL13" s="26"/>
      <c r="AM13" s="27"/>
      <c r="AN13" s="256"/>
      <c r="AO13" s="256"/>
      <c r="AP13" s="44"/>
      <c r="AQ13" s="256"/>
      <c r="AR13" s="253"/>
      <c r="AU13" s="27"/>
      <c r="AV13" s="256"/>
      <c r="AW13" s="256"/>
      <c r="AX13" s="44"/>
      <c r="AY13" s="256"/>
      <c r="AZ13" s="253"/>
      <c r="BA13" s="26"/>
      <c r="BB13" s="27"/>
      <c r="BC13" s="256"/>
      <c r="BD13" s="256"/>
      <c r="BE13" s="44"/>
      <c r="BF13" s="256"/>
      <c r="BG13" s="253"/>
      <c r="BJ13" s="27"/>
      <c r="BK13" s="256"/>
      <c r="BL13" s="256"/>
      <c r="BM13" s="44"/>
      <c r="BN13" s="256"/>
      <c r="BO13" s="253"/>
      <c r="BP13" s="26"/>
      <c r="BQ13" s="27"/>
      <c r="BR13" s="256"/>
      <c r="BS13" s="256"/>
      <c r="BT13" s="44"/>
      <c r="BU13" s="256"/>
      <c r="BV13" s="253"/>
      <c r="BY13" s="27"/>
      <c r="BZ13" s="256"/>
      <c r="CA13" s="256"/>
      <c r="CB13" s="44"/>
      <c r="CC13" s="256"/>
      <c r="CD13" s="253"/>
      <c r="CE13" s="26"/>
      <c r="CF13" s="27"/>
      <c r="CG13" s="256"/>
      <c r="CH13" s="256"/>
      <c r="CI13" s="44"/>
      <c r="CJ13" s="256"/>
      <c r="CK13" s="253"/>
      <c r="CN13" s="27"/>
      <c r="CO13" s="256"/>
      <c r="CP13" s="256"/>
      <c r="CQ13" s="44"/>
      <c r="CR13" s="256"/>
      <c r="CS13" s="253"/>
      <c r="CT13" s="26"/>
      <c r="CU13" s="27"/>
      <c r="CV13" s="256"/>
      <c r="CW13" s="256"/>
      <c r="CX13" s="44"/>
      <c r="CY13" s="256"/>
      <c r="CZ13" s="253"/>
      <c r="DC13" s="27"/>
      <c r="DD13" s="256"/>
      <c r="DE13" s="256"/>
      <c r="DF13" s="44"/>
      <c r="DG13" s="256"/>
      <c r="DH13" s="253"/>
      <c r="DI13" s="26"/>
      <c r="DJ13" s="27"/>
      <c r="DK13" s="256"/>
      <c r="DL13" s="256"/>
      <c r="DM13" s="44"/>
      <c r="DN13" s="256"/>
      <c r="DO13" s="253"/>
      <c r="DR13" s="27"/>
      <c r="DS13" s="256"/>
      <c r="DT13" s="256"/>
      <c r="DU13" s="44"/>
      <c r="DV13" s="256"/>
      <c r="DW13" s="253"/>
      <c r="DX13" s="26"/>
      <c r="DY13" s="27"/>
      <c r="DZ13" s="256"/>
      <c r="EA13" s="256"/>
      <c r="EB13" s="44"/>
      <c r="EC13" s="256"/>
      <c r="ED13" s="253"/>
      <c r="EG13" s="27"/>
      <c r="EH13" s="256"/>
      <c r="EI13" s="256"/>
      <c r="EJ13" s="44"/>
      <c r="EK13" s="256"/>
      <c r="EL13" s="253"/>
      <c r="EM13" s="26"/>
      <c r="EN13" s="27"/>
      <c r="EO13" s="256"/>
      <c r="EP13" s="256"/>
      <c r="EQ13" s="44"/>
      <c r="ER13" s="256"/>
      <c r="ES13" s="253"/>
    </row>
    <row r="14" spans="1:150" s="32" customFormat="1">
      <c r="A14" s="31"/>
      <c r="B14" s="37"/>
      <c r="C14" s="35"/>
      <c r="D14" s="37"/>
      <c r="E14" s="35"/>
      <c r="F14" s="37"/>
      <c r="G14" s="40"/>
      <c r="H14" s="22"/>
      <c r="I14" s="37"/>
      <c r="J14" s="35"/>
      <c r="K14" s="37"/>
      <c r="L14" s="35"/>
      <c r="M14" s="37"/>
      <c r="N14" s="40"/>
      <c r="O14" s="22"/>
      <c r="P14" s="31"/>
      <c r="Q14" s="37"/>
      <c r="R14" s="35"/>
      <c r="S14" s="37"/>
      <c r="T14" s="35"/>
      <c r="U14" s="37"/>
      <c r="V14" s="40"/>
      <c r="W14" s="22"/>
      <c r="X14" s="37"/>
      <c r="Y14" s="35"/>
      <c r="Z14" s="37"/>
      <c r="AA14" s="35"/>
      <c r="AB14" s="37"/>
      <c r="AC14" s="40"/>
      <c r="AD14" s="22"/>
      <c r="AE14" s="31"/>
      <c r="AF14" s="37"/>
      <c r="AG14" s="35"/>
      <c r="AH14" s="37"/>
      <c r="AI14" s="35"/>
      <c r="AJ14" s="37"/>
      <c r="AK14" s="40"/>
      <c r="AL14" s="22"/>
      <c r="AM14" s="37"/>
      <c r="AN14" s="35"/>
      <c r="AO14" s="37"/>
      <c r="AP14" s="35"/>
      <c r="AQ14" s="37"/>
      <c r="AR14" s="40"/>
      <c r="AS14" s="22"/>
      <c r="AT14" s="31"/>
      <c r="AU14" s="37"/>
      <c r="AV14" s="35"/>
      <c r="AW14" s="37"/>
      <c r="AX14" s="35"/>
      <c r="AY14" s="37"/>
      <c r="AZ14" s="40"/>
      <c r="BA14" s="22"/>
      <c r="BB14" s="37"/>
      <c r="BC14" s="35"/>
      <c r="BD14" s="37"/>
      <c r="BE14" s="35"/>
      <c r="BF14" s="37"/>
      <c r="BG14" s="40"/>
      <c r="BH14" s="22"/>
      <c r="BI14" s="31"/>
      <c r="BJ14" s="37"/>
      <c r="BK14" s="35"/>
      <c r="BL14" s="37"/>
      <c r="BM14" s="35"/>
      <c r="BN14" s="37"/>
      <c r="BO14" s="40"/>
      <c r="BP14" s="22"/>
      <c r="BQ14" s="37"/>
      <c r="BR14" s="35"/>
      <c r="BS14" s="37"/>
      <c r="BT14" s="35"/>
      <c r="BU14" s="37"/>
      <c r="BV14" s="40"/>
      <c r="BW14" s="22"/>
      <c r="BX14" s="31"/>
      <c r="BY14" s="37"/>
      <c r="BZ14" s="35"/>
      <c r="CA14" s="37"/>
      <c r="CB14" s="35"/>
      <c r="CC14" s="37"/>
      <c r="CD14" s="40"/>
      <c r="CE14" s="22"/>
      <c r="CF14" s="37"/>
      <c r="CG14" s="35"/>
      <c r="CH14" s="37"/>
      <c r="CI14" s="35"/>
      <c r="CJ14" s="37"/>
      <c r="CK14" s="40"/>
      <c r="CL14" s="22"/>
      <c r="CM14" s="31"/>
      <c r="CN14" s="37"/>
      <c r="CO14" s="35"/>
      <c r="CP14" s="37"/>
      <c r="CQ14" s="35"/>
      <c r="CR14" s="37"/>
      <c r="CS14" s="40"/>
      <c r="CT14" s="22"/>
      <c r="CU14" s="37"/>
      <c r="CV14" s="35"/>
      <c r="CW14" s="37"/>
      <c r="CX14" s="35"/>
      <c r="CY14" s="37"/>
      <c r="CZ14" s="40"/>
      <c r="DA14" s="22"/>
      <c r="DB14" s="31"/>
      <c r="DC14" s="37"/>
      <c r="DD14" s="35"/>
      <c r="DE14" s="37"/>
      <c r="DF14" s="35"/>
      <c r="DG14" s="37"/>
      <c r="DH14" s="40"/>
      <c r="DI14" s="22"/>
      <c r="DJ14" s="37"/>
      <c r="DK14" s="35"/>
      <c r="DL14" s="37"/>
      <c r="DM14" s="35"/>
      <c r="DN14" s="37"/>
      <c r="DO14" s="40"/>
      <c r="DP14" s="22"/>
      <c r="DQ14" s="31"/>
      <c r="DR14" s="37"/>
      <c r="DS14" s="35"/>
      <c r="DT14" s="37"/>
      <c r="DU14" s="35"/>
      <c r="DV14" s="37"/>
      <c r="DW14" s="40"/>
      <c r="DX14" s="22"/>
      <c r="DY14" s="37"/>
      <c r="DZ14" s="35"/>
      <c r="EA14" s="37"/>
      <c r="EB14" s="35"/>
      <c r="EC14" s="37"/>
      <c r="ED14" s="40"/>
      <c r="EE14" s="22"/>
      <c r="EF14" s="31"/>
      <c r="EG14" s="37"/>
      <c r="EH14" s="35"/>
      <c r="EI14" s="37"/>
      <c r="EJ14" s="35"/>
      <c r="EK14" s="37"/>
      <c r="EL14" s="40"/>
      <c r="EM14" s="22"/>
      <c r="EN14" s="37"/>
      <c r="EO14" s="35"/>
      <c r="EP14" s="37"/>
      <c r="EQ14" s="35"/>
      <c r="ER14" s="37"/>
      <c r="ES14" s="40"/>
      <c r="ET14" s="22"/>
    </row>
    <row r="15" spans="1:150" ht="27.6" customHeight="1">
      <c r="B15" s="259"/>
      <c r="C15" s="253"/>
      <c r="D15" s="259"/>
      <c r="E15" s="253"/>
      <c r="F15" s="252"/>
      <c r="G15" s="253"/>
      <c r="I15" s="259"/>
      <c r="J15" s="253"/>
      <c r="K15" s="259"/>
      <c r="L15" s="253"/>
      <c r="M15" s="252"/>
      <c r="N15" s="253"/>
      <c r="Q15" s="259"/>
      <c r="R15" s="253"/>
      <c r="S15" s="259"/>
      <c r="T15" s="253"/>
      <c r="U15" s="252"/>
      <c r="V15" s="253"/>
      <c r="X15" s="259"/>
      <c r="Y15" s="253"/>
      <c r="Z15" s="259"/>
      <c r="AA15" s="253"/>
      <c r="AB15" s="252"/>
      <c r="AC15" s="253"/>
      <c r="AF15" s="259"/>
      <c r="AG15" s="253"/>
      <c r="AH15" s="259"/>
      <c r="AI15" s="253"/>
      <c r="AJ15" s="252"/>
      <c r="AK15" s="253"/>
      <c r="AM15" s="259"/>
      <c r="AN15" s="253"/>
      <c r="AO15" s="259"/>
      <c r="AP15" s="253"/>
      <c r="AQ15" s="252"/>
      <c r="AR15" s="253"/>
      <c r="AU15" s="259"/>
      <c r="AV15" s="253"/>
      <c r="AW15" s="259"/>
      <c r="AX15" s="253"/>
      <c r="AY15" s="252"/>
      <c r="AZ15" s="253"/>
      <c r="BB15" s="259"/>
      <c r="BC15" s="253"/>
      <c r="BD15" s="259"/>
      <c r="BE15" s="253"/>
      <c r="BF15" s="252"/>
      <c r="BG15" s="253"/>
      <c r="BJ15" s="259"/>
      <c r="BK15" s="253"/>
      <c r="BL15" s="259"/>
      <c r="BM15" s="253"/>
      <c r="BN15" s="252"/>
      <c r="BO15" s="253"/>
      <c r="BQ15" s="259"/>
      <c r="BR15" s="253"/>
      <c r="BS15" s="259"/>
      <c r="BT15" s="253"/>
      <c r="BU15" s="252"/>
      <c r="BV15" s="253"/>
      <c r="BY15" s="259"/>
      <c r="BZ15" s="253"/>
      <c r="CA15" s="259"/>
      <c r="CB15" s="253"/>
      <c r="CC15" s="252"/>
      <c r="CD15" s="253"/>
      <c r="CF15" s="259"/>
      <c r="CG15" s="253"/>
      <c r="CH15" s="259"/>
      <c r="CI15" s="253"/>
      <c r="CJ15" s="252"/>
      <c r="CK15" s="253"/>
      <c r="CN15" s="259"/>
      <c r="CO15" s="253"/>
      <c r="CP15" s="259"/>
      <c r="CQ15" s="253"/>
      <c r="CR15" s="252"/>
      <c r="CS15" s="253"/>
      <c r="CU15" s="259"/>
      <c r="CV15" s="253"/>
      <c r="CW15" s="259"/>
      <c r="CX15" s="253"/>
      <c r="CY15" s="252"/>
      <c r="CZ15" s="253"/>
      <c r="DC15" s="259"/>
      <c r="DD15" s="253"/>
      <c r="DE15" s="259"/>
      <c r="DF15" s="253"/>
      <c r="DG15" s="252"/>
      <c r="DH15" s="253"/>
      <c r="DJ15" s="259"/>
      <c r="DK15" s="253"/>
      <c r="DL15" s="259"/>
      <c r="DM15" s="253"/>
      <c r="DN15" s="252"/>
      <c r="DO15" s="253"/>
      <c r="DR15" s="259"/>
      <c r="DS15" s="253"/>
      <c r="DT15" s="259"/>
      <c r="DU15" s="253"/>
      <c r="DV15" s="252"/>
      <c r="DW15" s="253"/>
      <c r="DY15" s="259"/>
      <c r="DZ15" s="253"/>
      <c r="EA15" s="259"/>
      <c r="EB15" s="253"/>
      <c r="EC15" s="252"/>
      <c r="ED15" s="253"/>
      <c r="EG15" s="259"/>
      <c r="EH15" s="253"/>
      <c r="EI15" s="259"/>
      <c r="EJ15" s="253"/>
      <c r="EK15" s="252"/>
      <c r="EL15" s="253"/>
      <c r="EN15" s="259"/>
      <c r="EO15" s="253"/>
      <c r="EP15" s="259"/>
      <c r="EQ15" s="253"/>
      <c r="ER15" s="252"/>
      <c r="ES15" s="253"/>
    </row>
    <row r="16" spans="1:150" ht="6.6" customHeight="1">
      <c r="B16" s="45"/>
      <c r="D16" s="45"/>
      <c r="F16" s="46"/>
      <c r="I16" s="45"/>
      <c r="K16" s="45"/>
      <c r="M16" s="46"/>
      <c r="Q16" s="45"/>
      <c r="S16" s="45"/>
      <c r="U16" s="46"/>
      <c r="X16" s="45"/>
      <c r="Z16" s="45"/>
      <c r="AB16" s="46"/>
      <c r="AF16" s="45"/>
      <c r="AH16" s="45"/>
      <c r="AJ16" s="46"/>
      <c r="AM16" s="45"/>
      <c r="AO16" s="45"/>
      <c r="AQ16" s="46"/>
      <c r="AU16" s="45"/>
      <c r="AW16" s="45"/>
      <c r="AY16" s="46"/>
      <c r="BB16" s="45"/>
      <c r="BD16" s="45"/>
      <c r="BF16" s="46"/>
      <c r="BJ16" s="45"/>
      <c r="BL16" s="45"/>
      <c r="BN16" s="46"/>
      <c r="BQ16" s="45"/>
      <c r="BS16" s="45"/>
      <c r="BU16" s="46"/>
      <c r="BY16" s="45"/>
      <c r="CA16" s="45"/>
      <c r="CC16" s="46"/>
      <c r="CF16" s="45"/>
      <c r="CH16" s="45"/>
      <c r="CJ16" s="46"/>
      <c r="CN16" s="45"/>
      <c r="CP16" s="45"/>
      <c r="CR16" s="46"/>
      <c r="CU16" s="45"/>
      <c r="CW16" s="45"/>
      <c r="CY16" s="46"/>
      <c r="DC16" s="45"/>
      <c r="DE16" s="45"/>
      <c r="DG16" s="46"/>
      <c r="DJ16" s="45"/>
      <c r="DL16" s="45"/>
      <c r="DN16" s="46"/>
      <c r="DR16" s="45"/>
      <c r="DT16" s="45"/>
      <c r="DV16" s="46"/>
      <c r="DY16" s="45"/>
      <c r="EA16" s="45"/>
      <c r="EC16" s="46"/>
      <c r="EG16" s="45"/>
      <c r="EI16" s="45"/>
      <c r="EK16" s="46"/>
      <c r="EN16" s="45"/>
      <c r="EP16" s="45"/>
      <c r="ER16" s="46"/>
    </row>
    <row r="17" spans="1:150" s="32" customFormat="1" ht="25.8" customHeight="1">
      <c r="A17" s="31"/>
      <c r="B17" s="43"/>
      <c r="C17" s="250"/>
      <c r="D17" s="251"/>
      <c r="E17" s="251"/>
      <c r="F17" s="251"/>
      <c r="G17" s="42"/>
      <c r="H17" s="36"/>
      <c r="I17" s="43"/>
      <c r="J17" s="250"/>
      <c r="K17" s="251"/>
      <c r="L17" s="251"/>
      <c r="M17" s="251"/>
      <c r="N17" s="42"/>
      <c r="O17" s="22"/>
      <c r="P17" s="31"/>
      <c r="Q17" s="43"/>
      <c r="R17" s="250"/>
      <c r="S17" s="251"/>
      <c r="T17" s="251"/>
      <c r="U17" s="251"/>
      <c r="V17" s="42"/>
      <c r="W17" s="36"/>
      <c r="X17" s="43"/>
      <c r="Y17" s="250"/>
      <c r="Z17" s="251"/>
      <c r="AA17" s="251"/>
      <c r="AB17" s="251"/>
      <c r="AC17" s="42"/>
      <c r="AD17" s="22"/>
      <c r="AE17" s="31"/>
      <c r="AF17" s="43"/>
      <c r="AG17" s="250"/>
      <c r="AH17" s="251"/>
      <c r="AI17" s="251"/>
      <c r="AJ17" s="251"/>
      <c r="AK17" s="42"/>
      <c r="AL17" s="36"/>
      <c r="AM17" s="43"/>
      <c r="AN17" s="250"/>
      <c r="AO17" s="251"/>
      <c r="AP17" s="251"/>
      <c r="AQ17" s="251"/>
      <c r="AR17" s="42"/>
      <c r="AS17" s="22"/>
      <c r="AT17" s="31"/>
      <c r="AU17" s="43"/>
      <c r="AV17" s="250"/>
      <c r="AW17" s="251"/>
      <c r="AX17" s="251"/>
      <c r="AY17" s="251"/>
      <c r="AZ17" s="42"/>
      <c r="BA17" s="36"/>
      <c r="BB17" s="43"/>
      <c r="BC17" s="250"/>
      <c r="BD17" s="251"/>
      <c r="BE17" s="251"/>
      <c r="BF17" s="251"/>
      <c r="BG17" s="42"/>
      <c r="BH17" s="22"/>
      <c r="BI17" s="31"/>
      <c r="BJ17" s="43"/>
      <c r="BK17" s="250"/>
      <c r="BL17" s="251"/>
      <c r="BM17" s="251"/>
      <c r="BN17" s="251"/>
      <c r="BO17" s="42"/>
      <c r="BP17" s="36"/>
      <c r="BQ17" s="43"/>
      <c r="BR17" s="250"/>
      <c r="BS17" s="251"/>
      <c r="BT17" s="251"/>
      <c r="BU17" s="251"/>
      <c r="BV17" s="42"/>
      <c r="BW17" s="22"/>
      <c r="BX17" s="31"/>
      <c r="BY17" s="43"/>
      <c r="BZ17" s="250"/>
      <c r="CA17" s="251"/>
      <c r="CB17" s="251"/>
      <c r="CC17" s="251"/>
      <c r="CD17" s="42"/>
      <c r="CE17" s="36"/>
      <c r="CF17" s="43"/>
      <c r="CG17" s="250"/>
      <c r="CH17" s="251"/>
      <c r="CI17" s="251"/>
      <c r="CJ17" s="251"/>
      <c r="CK17" s="42"/>
      <c r="CL17" s="22"/>
      <c r="CM17" s="31"/>
      <c r="CN17" s="43"/>
      <c r="CO17" s="250"/>
      <c r="CP17" s="251"/>
      <c r="CQ17" s="251"/>
      <c r="CR17" s="251"/>
      <c r="CS17" s="42"/>
      <c r="CT17" s="36"/>
      <c r="CU17" s="43"/>
      <c r="CV17" s="250"/>
      <c r="CW17" s="251"/>
      <c r="CX17" s="251"/>
      <c r="CY17" s="251"/>
      <c r="CZ17" s="42"/>
      <c r="DA17" s="22"/>
      <c r="DB17" s="31"/>
      <c r="DC17" s="43"/>
      <c r="DD17" s="250"/>
      <c r="DE17" s="251"/>
      <c r="DF17" s="251"/>
      <c r="DG17" s="251"/>
      <c r="DH17" s="42"/>
      <c r="DI17" s="36"/>
      <c r="DJ17" s="43"/>
      <c r="DK17" s="250"/>
      <c r="DL17" s="251"/>
      <c r="DM17" s="251"/>
      <c r="DN17" s="251"/>
      <c r="DO17" s="42"/>
      <c r="DP17" s="22"/>
      <c r="DQ17" s="31"/>
      <c r="DR17" s="43"/>
      <c r="DS17" s="250"/>
      <c r="DT17" s="251"/>
      <c r="DU17" s="251"/>
      <c r="DV17" s="251"/>
      <c r="DW17" s="42"/>
      <c r="DX17" s="36"/>
      <c r="DY17" s="43"/>
      <c r="DZ17" s="250"/>
      <c r="EA17" s="251"/>
      <c r="EB17" s="251"/>
      <c r="EC17" s="251"/>
      <c r="ED17" s="42"/>
      <c r="EE17" s="22"/>
      <c r="EF17" s="31"/>
      <c r="EG17" s="43"/>
      <c r="EH17" s="250"/>
      <c r="EI17" s="251"/>
      <c r="EJ17" s="251"/>
      <c r="EK17" s="251"/>
      <c r="EL17" s="42"/>
      <c r="EM17" s="36"/>
      <c r="EN17" s="43"/>
      <c r="EO17" s="250"/>
      <c r="EP17" s="251"/>
      <c r="EQ17" s="251"/>
      <c r="ER17" s="251"/>
      <c r="ES17" s="42"/>
      <c r="ET17" s="22"/>
    </row>
    <row r="18" spans="1:150" s="32" customFormat="1">
      <c r="A18" s="31"/>
      <c r="B18" s="33"/>
      <c r="C18" s="47"/>
      <c r="D18" s="41"/>
      <c r="E18" s="41"/>
      <c r="F18" s="48"/>
      <c r="G18" s="39"/>
      <c r="H18" s="49"/>
      <c r="I18" s="33"/>
      <c r="J18" s="47"/>
      <c r="K18" s="41"/>
      <c r="L18" s="41"/>
      <c r="M18" s="48"/>
      <c r="N18" s="39"/>
      <c r="O18" s="22"/>
      <c r="P18" s="31"/>
      <c r="Q18" s="33"/>
      <c r="R18" s="47"/>
      <c r="S18" s="41"/>
      <c r="T18" s="41"/>
      <c r="U18" s="48"/>
      <c r="V18" s="39"/>
      <c r="W18" s="49"/>
      <c r="X18" s="33"/>
      <c r="Y18" s="47"/>
      <c r="Z18" s="41"/>
      <c r="AA18" s="41"/>
      <c r="AB18" s="48"/>
      <c r="AC18" s="39"/>
      <c r="AD18" s="22"/>
      <c r="AE18" s="31"/>
      <c r="AF18" s="33"/>
      <c r="AG18" s="47"/>
      <c r="AH18" s="41"/>
      <c r="AI18" s="41"/>
      <c r="AJ18" s="48"/>
      <c r="AK18" s="39"/>
      <c r="AL18" s="49"/>
      <c r="AM18" s="33"/>
      <c r="AN18" s="47"/>
      <c r="AO18" s="41"/>
      <c r="AP18" s="41"/>
      <c r="AQ18" s="48"/>
      <c r="AR18" s="39"/>
      <c r="AS18" s="22"/>
      <c r="AT18" s="31"/>
      <c r="AU18" s="33"/>
      <c r="AV18" s="47"/>
      <c r="AW18" s="41"/>
      <c r="AX18" s="41"/>
      <c r="AY18" s="48"/>
      <c r="AZ18" s="39"/>
      <c r="BA18" s="49"/>
      <c r="BB18" s="33"/>
      <c r="BC18" s="47"/>
      <c r="BD18" s="41"/>
      <c r="BE18" s="41"/>
      <c r="BF18" s="48"/>
      <c r="BG18" s="39"/>
      <c r="BH18" s="22"/>
      <c r="BI18" s="31"/>
      <c r="BJ18" s="33"/>
      <c r="BK18" s="47"/>
      <c r="BL18" s="41"/>
      <c r="BM18" s="41"/>
      <c r="BN18" s="48"/>
      <c r="BO18" s="39"/>
      <c r="BP18" s="49"/>
      <c r="BQ18" s="33"/>
      <c r="BR18" s="47"/>
      <c r="BS18" s="41"/>
      <c r="BT18" s="41"/>
      <c r="BU18" s="48"/>
      <c r="BV18" s="39"/>
      <c r="BW18" s="22"/>
      <c r="BX18" s="31"/>
      <c r="BY18" s="33"/>
      <c r="BZ18" s="47"/>
      <c r="CA18" s="41"/>
      <c r="CB18" s="41"/>
      <c r="CC18" s="48"/>
      <c r="CD18" s="39"/>
      <c r="CE18" s="49"/>
      <c r="CF18" s="33"/>
      <c r="CG18" s="47"/>
      <c r="CH18" s="41"/>
      <c r="CI18" s="41"/>
      <c r="CJ18" s="48"/>
      <c r="CK18" s="39"/>
      <c r="CL18" s="22"/>
      <c r="CM18" s="31"/>
      <c r="CN18" s="33"/>
      <c r="CO18" s="47"/>
      <c r="CP18" s="41"/>
      <c r="CQ18" s="41"/>
      <c r="CR18" s="48"/>
      <c r="CS18" s="39"/>
      <c r="CT18" s="49"/>
      <c r="CU18" s="33"/>
      <c r="CV18" s="47"/>
      <c r="CW18" s="41"/>
      <c r="CX18" s="41"/>
      <c r="CY18" s="48"/>
      <c r="CZ18" s="39"/>
      <c r="DA18" s="22"/>
      <c r="DB18" s="31"/>
      <c r="DC18" s="33"/>
      <c r="DD18" s="47"/>
      <c r="DE18" s="41"/>
      <c r="DF18" s="41"/>
      <c r="DG18" s="48"/>
      <c r="DH18" s="39"/>
      <c r="DI18" s="49"/>
      <c r="DJ18" s="33"/>
      <c r="DK18" s="47"/>
      <c r="DL18" s="41"/>
      <c r="DM18" s="41"/>
      <c r="DN18" s="48"/>
      <c r="DO18" s="39"/>
      <c r="DP18" s="22"/>
      <c r="DQ18" s="31"/>
      <c r="DR18" s="33"/>
      <c r="DS18" s="47"/>
      <c r="DT18" s="41"/>
      <c r="DU18" s="41"/>
      <c r="DV18" s="48"/>
      <c r="DW18" s="39"/>
      <c r="DX18" s="49"/>
      <c r="DY18" s="33"/>
      <c r="DZ18" s="47"/>
      <c r="EA18" s="41"/>
      <c r="EB18" s="41"/>
      <c r="EC18" s="48"/>
      <c r="ED18" s="39"/>
      <c r="EE18" s="22"/>
      <c r="EF18" s="31"/>
      <c r="EG18" s="33"/>
      <c r="EH18" s="47"/>
      <c r="EI18" s="41"/>
      <c r="EJ18" s="41"/>
      <c r="EK18" s="48"/>
      <c r="EL18" s="39"/>
      <c r="EM18" s="49"/>
      <c r="EN18" s="33"/>
      <c r="EO18" s="47"/>
      <c r="EP18" s="41"/>
      <c r="EQ18" s="41"/>
      <c r="ER18" s="48"/>
      <c r="ES18" s="39"/>
      <c r="ET18" s="22"/>
    </row>
    <row r="19" spans="1:150" s="32" customFormat="1">
      <c r="A19" s="31"/>
      <c r="B19" s="34"/>
      <c r="C19" s="248"/>
      <c r="D19" s="249"/>
      <c r="E19" s="22"/>
      <c r="G19" s="40"/>
      <c r="H19" s="36"/>
      <c r="I19" s="34"/>
      <c r="J19" s="248"/>
      <c r="K19" s="249"/>
      <c r="L19" s="22"/>
      <c r="N19" s="40"/>
      <c r="O19" s="22"/>
      <c r="P19" s="31"/>
      <c r="Q19" s="34"/>
      <c r="R19" s="248"/>
      <c r="S19" s="249"/>
      <c r="T19" s="22"/>
      <c r="V19" s="40"/>
      <c r="W19" s="36"/>
      <c r="X19" s="34"/>
      <c r="Y19" s="248"/>
      <c r="Z19" s="249"/>
      <c r="AA19" s="22"/>
      <c r="AC19" s="40"/>
      <c r="AD19" s="22"/>
      <c r="AE19" s="31"/>
      <c r="AF19" s="34"/>
      <c r="AG19" s="248"/>
      <c r="AH19" s="249"/>
      <c r="AI19" s="22"/>
      <c r="AK19" s="40"/>
      <c r="AL19" s="36"/>
      <c r="AM19" s="34"/>
      <c r="AN19" s="248"/>
      <c r="AO19" s="249"/>
      <c r="AP19" s="22"/>
      <c r="AR19" s="40"/>
      <c r="AS19" s="22"/>
      <c r="AT19" s="31"/>
      <c r="AU19" s="34"/>
      <c r="AV19" s="248"/>
      <c r="AW19" s="249"/>
      <c r="AX19" s="22"/>
      <c r="AZ19" s="40"/>
      <c r="BA19" s="36"/>
      <c r="BB19" s="34"/>
      <c r="BC19" s="248"/>
      <c r="BD19" s="249"/>
      <c r="BE19" s="22"/>
      <c r="BG19" s="40"/>
      <c r="BH19" s="22"/>
      <c r="BI19" s="31"/>
      <c r="BJ19" s="34"/>
      <c r="BK19" s="248"/>
      <c r="BL19" s="249"/>
      <c r="BM19" s="22"/>
      <c r="BO19" s="40"/>
      <c r="BP19" s="36"/>
      <c r="BQ19" s="34"/>
      <c r="BR19" s="248"/>
      <c r="BS19" s="249"/>
      <c r="BT19" s="22"/>
      <c r="BV19" s="40"/>
      <c r="BW19" s="22"/>
      <c r="BX19" s="31"/>
      <c r="BY19" s="34"/>
      <c r="BZ19" s="248"/>
      <c r="CA19" s="249"/>
      <c r="CB19" s="22"/>
      <c r="CD19" s="40"/>
      <c r="CE19" s="36"/>
      <c r="CF19" s="34"/>
      <c r="CG19" s="248"/>
      <c r="CH19" s="249"/>
      <c r="CI19" s="22"/>
      <c r="CK19" s="40"/>
      <c r="CL19" s="22"/>
      <c r="CM19" s="31"/>
      <c r="CN19" s="34"/>
      <c r="CO19" s="248"/>
      <c r="CP19" s="249"/>
      <c r="CQ19" s="22"/>
      <c r="CS19" s="40"/>
      <c r="CT19" s="36"/>
      <c r="CU19" s="34"/>
      <c r="CV19" s="248"/>
      <c r="CW19" s="249"/>
      <c r="CX19" s="22"/>
      <c r="CZ19" s="40"/>
      <c r="DA19" s="22"/>
      <c r="DB19" s="31"/>
      <c r="DC19" s="34"/>
      <c r="DD19" s="248"/>
      <c r="DE19" s="249"/>
      <c r="DF19" s="22"/>
      <c r="DH19" s="40"/>
      <c r="DI19" s="36"/>
      <c r="DJ19" s="34"/>
      <c r="DK19" s="248"/>
      <c r="DL19" s="249"/>
      <c r="DM19" s="22"/>
      <c r="DO19" s="40"/>
      <c r="DP19" s="22"/>
      <c r="DQ19" s="31"/>
      <c r="DR19" s="34"/>
      <c r="DS19" s="248"/>
      <c r="DT19" s="249"/>
      <c r="DU19" s="22"/>
      <c r="DW19" s="40"/>
      <c r="DX19" s="36"/>
      <c r="DY19" s="34"/>
      <c r="DZ19" s="248"/>
      <c r="EA19" s="249"/>
      <c r="EB19" s="22"/>
      <c r="ED19" s="40"/>
      <c r="EE19" s="22"/>
      <c r="EF19" s="31"/>
      <c r="EG19" s="34"/>
      <c r="EH19" s="248"/>
      <c r="EI19" s="249"/>
      <c r="EJ19" s="22"/>
      <c r="EL19" s="40"/>
      <c r="EM19" s="36"/>
      <c r="EN19" s="34"/>
      <c r="EO19" s="248"/>
      <c r="EP19" s="249"/>
      <c r="EQ19" s="22"/>
      <c r="ES19" s="40"/>
      <c r="ET19" s="22"/>
    </row>
    <row r="20" spans="1:150" ht="15.6" customHeight="1">
      <c r="B20" s="25"/>
      <c r="C20" s="254"/>
      <c r="D20" s="255"/>
      <c r="E20" s="50"/>
      <c r="F20" s="257"/>
      <c r="G20" s="258"/>
      <c r="H20" s="26"/>
      <c r="I20" s="25"/>
      <c r="J20" s="254"/>
      <c r="K20" s="255"/>
      <c r="L20" s="50"/>
      <c r="M20" s="257"/>
      <c r="N20" s="258"/>
      <c r="Q20" s="25"/>
      <c r="R20" s="254"/>
      <c r="S20" s="255"/>
      <c r="T20" s="50"/>
      <c r="U20" s="257"/>
      <c r="V20" s="258"/>
      <c r="W20" s="26"/>
      <c r="X20" s="25"/>
      <c r="Y20" s="254"/>
      <c r="Z20" s="255"/>
      <c r="AA20" s="50"/>
      <c r="AB20" s="257"/>
      <c r="AC20" s="258"/>
      <c r="AF20" s="25"/>
      <c r="AG20" s="254"/>
      <c r="AH20" s="255"/>
      <c r="AI20" s="50"/>
      <c r="AJ20" s="257"/>
      <c r="AK20" s="258"/>
      <c r="AL20" s="26"/>
      <c r="AM20" s="25"/>
      <c r="AN20" s="254"/>
      <c r="AO20" s="255"/>
      <c r="AP20" s="50"/>
      <c r="AQ20" s="257"/>
      <c r="AR20" s="258"/>
      <c r="AU20" s="25"/>
      <c r="AV20" s="254"/>
      <c r="AW20" s="255"/>
      <c r="AX20" s="50"/>
      <c r="AY20" s="257"/>
      <c r="AZ20" s="258"/>
      <c r="BA20" s="26"/>
      <c r="BB20" s="25"/>
      <c r="BC20" s="254"/>
      <c r="BD20" s="255"/>
      <c r="BE20" s="50"/>
      <c r="BF20" s="257"/>
      <c r="BG20" s="258"/>
      <c r="BJ20" s="25"/>
      <c r="BK20" s="254"/>
      <c r="BL20" s="255"/>
      <c r="BM20" s="50"/>
      <c r="BN20" s="257"/>
      <c r="BO20" s="258"/>
      <c r="BP20" s="26"/>
      <c r="BQ20" s="25"/>
      <c r="BR20" s="254"/>
      <c r="BS20" s="255"/>
      <c r="BT20" s="50"/>
      <c r="BU20" s="257"/>
      <c r="BV20" s="258"/>
      <c r="BY20" s="25"/>
      <c r="BZ20" s="254"/>
      <c r="CA20" s="255"/>
      <c r="CB20" s="50"/>
      <c r="CC20" s="257"/>
      <c r="CD20" s="258"/>
      <c r="CE20" s="26"/>
      <c r="CF20" s="25"/>
      <c r="CG20" s="254"/>
      <c r="CH20" s="255"/>
      <c r="CI20" s="50"/>
      <c r="CJ20" s="257"/>
      <c r="CK20" s="258"/>
      <c r="CN20" s="25"/>
      <c r="CO20" s="254"/>
      <c r="CP20" s="255"/>
      <c r="CQ20" s="50"/>
      <c r="CR20" s="257"/>
      <c r="CS20" s="258"/>
      <c r="CT20" s="26"/>
      <c r="CU20" s="25"/>
      <c r="CV20" s="254"/>
      <c r="CW20" s="255"/>
      <c r="CX20" s="50"/>
      <c r="CY20" s="257"/>
      <c r="CZ20" s="258"/>
      <c r="DC20" s="25"/>
      <c r="DD20" s="254"/>
      <c r="DE20" s="255"/>
      <c r="DF20" s="50"/>
      <c r="DG20" s="257"/>
      <c r="DH20" s="258"/>
      <c r="DI20" s="26"/>
      <c r="DJ20" s="25"/>
      <c r="DK20" s="254"/>
      <c r="DL20" s="255"/>
      <c r="DM20" s="50"/>
      <c r="DN20" s="257"/>
      <c r="DO20" s="258"/>
      <c r="DR20" s="25"/>
      <c r="DS20" s="254"/>
      <c r="DT20" s="255"/>
      <c r="DU20" s="50"/>
      <c r="DV20" s="257"/>
      <c r="DW20" s="258"/>
      <c r="DX20" s="26"/>
      <c r="DY20" s="25"/>
      <c r="DZ20" s="254"/>
      <c r="EA20" s="255"/>
      <c r="EB20" s="50"/>
      <c r="EC20" s="257"/>
      <c r="ED20" s="258"/>
      <c r="EG20" s="25"/>
      <c r="EH20" s="254"/>
      <c r="EI20" s="255"/>
      <c r="EJ20" s="50"/>
      <c r="EK20" s="257"/>
      <c r="EL20" s="258"/>
      <c r="EM20" s="26"/>
      <c r="EN20" s="25"/>
      <c r="EO20" s="254"/>
      <c r="EP20" s="255"/>
      <c r="EQ20" s="50"/>
      <c r="ER20" s="257"/>
      <c r="ES20" s="258"/>
    </row>
    <row r="21" spans="1:150" ht="15.6" customHeight="1">
      <c r="B21" s="27"/>
      <c r="C21" s="256"/>
      <c r="D21" s="256"/>
      <c r="E21" s="44"/>
      <c r="F21" s="256"/>
      <c r="G21" s="253"/>
      <c r="H21" s="26"/>
      <c r="I21" s="27"/>
      <c r="J21" s="256"/>
      <c r="K21" s="256"/>
      <c r="L21" s="44"/>
      <c r="M21" s="256"/>
      <c r="N21" s="253"/>
      <c r="Q21" s="27"/>
      <c r="R21" s="256"/>
      <c r="S21" s="256"/>
      <c r="T21" s="44"/>
      <c r="U21" s="256"/>
      <c r="V21" s="253"/>
      <c r="W21" s="26"/>
      <c r="X21" s="27"/>
      <c r="Y21" s="256"/>
      <c r="Z21" s="256"/>
      <c r="AA21" s="44"/>
      <c r="AB21" s="256"/>
      <c r="AC21" s="253"/>
      <c r="AF21" s="27"/>
      <c r="AG21" s="256"/>
      <c r="AH21" s="256"/>
      <c r="AI21" s="44"/>
      <c r="AJ21" s="256"/>
      <c r="AK21" s="253"/>
      <c r="AL21" s="26"/>
      <c r="AM21" s="27"/>
      <c r="AN21" s="256"/>
      <c r="AO21" s="256"/>
      <c r="AP21" s="44"/>
      <c r="AQ21" s="256"/>
      <c r="AR21" s="253"/>
      <c r="AU21" s="27"/>
      <c r="AV21" s="256"/>
      <c r="AW21" s="256"/>
      <c r="AX21" s="44"/>
      <c r="AY21" s="256"/>
      <c r="AZ21" s="253"/>
      <c r="BA21" s="26"/>
      <c r="BB21" s="27"/>
      <c r="BC21" s="256"/>
      <c r="BD21" s="256"/>
      <c r="BE21" s="44"/>
      <c r="BF21" s="256"/>
      <c r="BG21" s="253"/>
      <c r="BJ21" s="27"/>
      <c r="BK21" s="256"/>
      <c r="BL21" s="256"/>
      <c r="BM21" s="44"/>
      <c r="BN21" s="256"/>
      <c r="BO21" s="253"/>
      <c r="BP21" s="26"/>
      <c r="BQ21" s="27"/>
      <c r="BR21" s="256"/>
      <c r="BS21" s="256"/>
      <c r="BT21" s="44"/>
      <c r="BU21" s="256"/>
      <c r="BV21" s="253"/>
      <c r="BY21" s="27"/>
      <c r="BZ21" s="256"/>
      <c r="CA21" s="256"/>
      <c r="CB21" s="44"/>
      <c r="CC21" s="256"/>
      <c r="CD21" s="253"/>
      <c r="CE21" s="26"/>
      <c r="CF21" s="27"/>
      <c r="CG21" s="256"/>
      <c r="CH21" s="256"/>
      <c r="CI21" s="44"/>
      <c r="CJ21" s="256"/>
      <c r="CK21" s="253"/>
      <c r="CN21" s="27"/>
      <c r="CO21" s="256"/>
      <c r="CP21" s="256"/>
      <c r="CQ21" s="44"/>
      <c r="CR21" s="256"/>
      <c r="CS21" s="253"/>
      <c r="CT21" s="26"/>
      <c r="CU21" s="27"/>
      <c r="CV21" s="256"/>
      <c r="CW21" s="256"/>
      <c r="CX21" s="44"/>
      <c r="CY21" s="256"/>
      <c r="CZ21" s="253"/>
      <c r="DC21" s="27"/>
      <c r="DD21" s="256"/>
      <c r="DE21" s="256"/>
      <c r="DF21" s="44"/>
      <c r="DG21" s="256"/>
      <c r="DH21" s="253"/>
      <c r="DI21" s="26"/>
      <c r="DJ21" s="27"/>
      <c r="DK21" s="256"/>
      <c r="DL21" s="256"/>
      <c r="DM21" s="44"/>
      <c r="DN21" s="256"/>
      <c r="DO21" s="253"/>
      <c r="DR21" s="27"/>
      <c r="DS21" s="256"/>
      <c r="DT21" s="256"/>
      <c r="DU21" s="44"/>
      <c r="DV21" s="256"/>
      <c r="DW21" s="253"/>
      <c r="DX21" s="26"/>
      <c r="DY21" s="27"/>
      <c r="DZ21" s="256"/>
      <c r="EA21" s="256"/>
      <c r="EB21" s="44"/>
      <c r="EC21" s="256"/>
      <c r="ED21" s="253"/>
      <c r="EG21" s="27"/>
      <c r="EH21" s="256"/>
      <c r="EI21" s="256"/>
      <c r="EJ21" s="44"/>
      <c r="EK21" s="256"/>
      <c r="EL21" s="253"/>
      <c r="EM21" s="26"/>
      <c r="EN21" s="27"/>
      <c r="EO21" s="256"/>
      <c r="EP21" s="256"/>
      <c r="EQ21" s="44"/>
      <c r="ER21" s="256"/>
      <c r="ES21" s="253"/>
    </row>
    <row r="22" spans="1:150" s="32" customFormat="1">
      <c r="A22" s="31"/>
      <c r="B22" s="37"/>
      <c r="C22" s="35"/>
      <c r="D22" s="37"/>
      <c r="E22" s="35"/>
      <c r="F22" s="37"/>
      <c r="G22" s="40"/>
      <c r="H22" s="22"/>
      <c r="I22" s="37"/>
      <c r="J22" s="35"/>
      <c r="K22" s="37"/>
      <c r="L22" s="35"/>
      <c r="M22" s="37"/>
      <c r="N22" s="40"/>
      <c r="O22" s="22"/>
      <c r="P22" s="31"/>
      <c r="Q22" s="37"/>
      <c r="R22" s="35"/>
      <c r="S22" s="37"/>
      <c r="T22" s="35"/>
      <c r="U22" s="37"/>
      <c r="V22" s="40"/>
      <c r="W22" s="22"/>
      <c r="X22" s="37"/>
      <c r="Y22" s="35"/>
      <c r="Z22" s="37"/>
      <c r="AA22" s="35"/>
      <c r="AB22" s="37"/>
      <c r="AC22" s="40"/>
      <c r="AD22" s="22"/>
      <c r="AE22" s="31"/>
      <c r="AF22" s="37"/>
      <c r="AG22" s="35"/>
      <c r="AH22" s="37"/>
      <c r="AI22" s="35"/>
      <c r="AJ22" s="37"/>
      <c r="AK22" s="40"/>
      <c r="AL22" s="22"/>
      <c r="AM22" s="37"/>
      <c r="AN22" s="35"/>
      <c r="AO22" s="37"/>
      <c r="AP22" s="35"/>
      <c r="AQ22" s="37"/>
      <c r="AR22" s="40"/>
      <c r="AS22" s="22"/>
      <c r="AT22" s="31"/>
      <c r="AU22" s="37"/>
      <c r="AV22" s="35"/>
      <c r="AW22" s="37"/>
      <c r="AX22" s="35"/>
      <c r="AY22" s="37"/>
      <c r="AZ22" s="40"/>
      <c r="BA22" s="22"/>
      <c r="BB22" s="37"/>
      <c r="BC22" s="35"/>
      <c r="BD22" s="37"/>
      <c r="BE22" s="35"/>
      <c r="BF22" s="37"/>
      <c r="BG22" s="40"/>
      <c r="BH22" s="22"/>
      <c r="BI22" s="31"/>
      <c r="BJ22" s="37"/>
      <c r="BK22" s="35"/>
      <c r="BL22" s="37"/>
      <c r="BM22" s="35"/>
      <c r="BN22" s="37"/>
      <c r="BO22" s="40"/>
      <c r="BP22" s="22"/>
      <c r="BQ22" s="37"/>
      <c r="BR22" s="35"/>
      <c r="BS22" s="37"/>
      <c r="BT22" s="35"/>
      <c r="BU22" s="37"/>
      <c r="BV22" s="40"/>
      <c r="BW22" s="22"/>
      <c r="BX22" s="31"/>
      <c r="BY22" s="37"/>
      <c r="BZ22" s="35"/>
      <c r="CA22" s="37"/>
      <c r="CB22" s="35"/>
      <c r="CC22" s="37"/>
      <c r="CD22" s="40"/>
      <c r="CE22" s="22"/>
      <c r="CF22" s="37"/>
      <c r="CG22" s="35"/>
      <c r="CH22" s="37"/>
      <c r="CI22" s="35"/>
      <c r="CJ22" s="37"/>
      <c r="CK22" s="40"/>
      <c r="CL22" s="22"/>
      <c r="CM22" s="31"/>
      <c r="CN22" s="37"/>
      <c r="CO22" s="35"/>
      <c r="CP22" s="37"/>
      <c r="CQ22" s="35"/>
      <c r="CR22" s="37"/>
      <c r="CS22" s="40"/>
      <c r="CT22" s="22"/>
      <c r="CU22" s="37"/>
      <c r="CV22" s="35"/>
      <c r="CW22" s="37"/>
      <c r="CX22" s="35"/>
      <c r="CY22" s="37"/>
      <c r="CZ22" s="40"/>
      <c r="DA22" s="22"/>
      <c r="DB22" s="31"/>
      <c r="DC22" s="37"/>
      <c r="DD22" s="35"/>
      <c r="DE22" s="37"/>
      <c r="DF22" s="35"/>
      <c r="DG22" s="37"/>
      <c r="DH22" s="40"/>
      <c r="DI22" s="22"/>
      <c r="DJ22" s="37"/>
      <c r="DK22" s="35"/>
      <c r="DL22" s="37"/>
      <c r="DM22" s="35"/>
      <c r="DN22" s="37"/>
      <c r="DO22" s="40"/>
      <c r="DP22" s="22"/>
      <c r="DQ22" s="31"/>
      <c r="DR22" s="37"/>
      <c r="DS22" s="35"/>
      <c r="DT22" s="37"/>
      <c r="DU22" s="35"/>
      <c r="DV22" s="37"/>
      <c r="DW22" s="40"/>
      <c r="DX22" s="22"/>
      <c r="DY22" s="37"/>
      <c r="DZ22" s="35"/>
      <c r="EA22" s="37"/>
      <c r="EB22" s="35"/>
      <c r="EC22" s="37"/>
      <c r="ED22" s="40"/>
      <c r="EE22" s="22"/>
      <c r="EF22" s="31"/>
      <c r="EG22" s="37"/>
      <c r="EH22" s="35"/>
      <c r="EI22" s="37"/>
      <c r="EJ22" s="35"/>
      <c r="EK22" s="37"/>
      <c r="EL22" s="40"/>
      <c r="EM22" s="22"/>
      <c r="EN22" s="37"/>
      <c r="EO22" s="35"/>
      <c r="EP22" s="37"/>
      <c r="EQ22" s="35"/>
      <c r="ER22" s="37"/>
      <c r="ES22" s="40"/>
      <c r="ET22" s="22"/>
    </row>
    <row r="23" spans="1:150" ht="27.6" customHeight="1">
      <c r="B23" s="259"/>
      <c r="C23" s="253"/>
      <c r="D23" s="259"/>
      <c r="E23" s="253"/>
      <c r="F23" s="252"/>
      <c r="G23" s="253"/>
      <c r="I23" s="259"/>
      <c r="J23" s="253"/>
      <c r="K23" s="259"/>
      <c r="L23" s="253"/>
      <c r="M23" s="252"/>
      <c r="N23" s="253"/>
      <c r="Q23" s="259"/>
      <c r="R23" s="253"/>
      <c r="S23" s="259"/>
      <c r="T23" s="253"/>
      <c r="U23" s="252"/>
      <c r="V23" s="253"/>
      <c r="X23" s="259"/>
      <c r="Y23" s="253"/>
      <c r="Z23" s="259"/>
      <c r="AA23" s="253"/>
      <c r="AB23" s="252"/>
      <c r="AC23" s="253"/>
      <c r="AF23" s="259"/>
      <c r="AG23" s="253"/>
      <c r="AH23" s="259"/>
      <c r="AI23" s="253"/>
      <c r="AJ23" s="252"/>
      <c r="AK23" s="253"/>
      <c r="AM23" s="259"/>
      <c r="AN23" s="253"/>
      <c r="AO23" s="259"/>
      <c r="AP23" s="253"/>
      <c r="AQ23" s="252"/>
      <c r="AR23" s="253"/>
      <c r="AU23" s="259"/>
      <c r="AV23" s="253"/>
      <c r="AW23" s="259"/>
      <c r="AX23" s="253"/>
      <c r="AY23" s="252"/>
      <c r="AZ23" s="253"/>
      <c r="BB23" s="259"/>
      <c r="BC23" s="253"/>
      <c r="BD23" s="259"/>
      <c r="BE23" s="253"/>
      <c r="BF23" s="252"/>
      <c r="BG23" s="253"/>
      <c r="BJ23" s="259"/>
      <c r="BK23" s="253"/>
      <c r="BL23" s="259"/>
      <c r="BM23" s="253"/>
      <c r="BN23" s="252"/>
      <c r="BO23" s="253"/>
      <c r="BQ23" s="259"/>
      <c r="BR23" s="253"/>
      <c r="BS23" s="259"/>
      <c r="BT23" s="253"/>
      <c r="BU23" s="252"/>
      <c r="BV23" s="253"/>
      <c r="BY23" s="259"/>
      <c r="BZ23" s="253"/>
      <c r="CA23" s="259"/>
      <c r="CB23" s="253"/>
      <c r="CC23" s="252"/>
      <c r="CD23" s="253"/>
      <c r="CF23" s="259"/>
      <c r="CG23" s="253"/>
      <c r="CH23" s="259"/>
      <c r="CI23" s="253"/>
      <c r="CJ23" s="252"/>
      <c r="CK23" s="253"/>
      <c r="CN23" s="259"/>
      <c r="CO23" s="253"/>
      <c r="CP23" s="259"/>
      <c r="CQ23" s="253"/>
      <c r="CR23" s="252"/>
      <c r="CS23" s="253"/>
      <c r="CU23" s="259"/>
      <c r="CV23" s="253"/>
      <c r="CW23" s="259"/>
      <c r="CX23" s="253"/>
      <c r="CY23" s="252"/>
      <c r="CZ23" s="253"/>
      <c r="DC23" s="259"/>
      <c r="DD23" s="253"/>
      <c r="DE23" s="259"/>
      <c r="DF23" s="253"/>
      <c r="DG23" s="252"/>
      <c r="DH23" s="253"/>
      <c r="DJ23" s="259"/>
      <c r="DK23" s="253"/>
      <c r="DL23" s="259"/>
      <c r="DM23" s="253"/>
      <c r="DN23" s="252"/>
      <c r="DO23" s="253"/>
      <c r="DR23" s="259"/>
      <c r="DS23" s="253"/>
      <c r="DT23" s="259"/>
      <c r="DU23" s="253"/>
      <c r="DV23" s="252"/>
      <c r="DW23" s="253"/>
      <c r="DY23" s="259"/>
      <c r="DZ23" s="253"/>
      <c r="EA23" s="259"/>
      <c r="EB23" s="253"/>
      <c r="EC23" s="252"/>
      <c r="ED23" s="253"/>
      <c r="EG23" s="259"/>
      <c r="EH23" s="253"/>
      <c r="EI23" s="259"/>
      <c r="EJ23" s="253"/>
      <c r="EK23" s="252"/>
      <c r="EL23" s="253"/>
      <c r="EN23" s="259"/>
      <c r="EO23" s="253"/>
      <c r="EP23" s="259"/>
      <c r="EQ23" s="253"/>
      <c r="ER23" s="252"/>
      <c r="ES23" s="253"/>
    </row>
    <row r="24" spans="1:150" ht="6.6" customHeight="1">
      <c r="B24" s="45"/>
      <c r="D24" s="45"/>
      <c r="F24" s="46"/>
      <c r="I24" s="45"/>
      <c r="K24" s="45"/>
      <c r="M24" s="46"/>
      <c r="Q24" s="45"/>
      <c r="S24" s="45"/>
      <c r="U24" s="46"/>
      <c r="X24" s="45"/>
      <c r="Z24" s="45"/>
      <c r="AB24" s="46"/>
      <c r="AF24" s="45"/>
      <c r="AH24" s="45"/>
      <c r="AJ24" s="46"/>
      <c r="AM24" s="45"/>
      <c r="AO24" s="45"/>
      <c r="AQ24" s="46"/>
      <c r="AU24" s="45"/>
      <c r="AW24" s="45"/>
      <c r="AY24" s="46"/>
      <c r="BB24" s="45"/>
      <c r="BD24" s="45"/>
      <c r="BF24" s="46"/>
      <c r="BJ24" s="45"/>
      <c r="BL24" s="45"/>
      <c r="BN24" s="46"/>
      <c r="BQ24" s="45"/>
      <c r="BS24" s="45"/>
      <c r="BU24" s="46"/>
      <c r="BY24" s="45"/>
      <c r="CA24" s="45"/>
      <c r="CC24" s="46"/>
      <c r="CF24" s="45"/>
      <c r="CH24" s="45"/>
      <c r="CJ24" s="46"/>
      <c r="CN24" s="45"/>
      <c r="CP24" s="45"/>
      <c r="CR24" s="46"/>
      <c r="CU24" s="45"/>
      <c r="CW24" s="45"/>
      <c r="CY24" s="46"/>
      <c r="DC24" s="45"/>
      <c r="DE24" s="45"/>
      <c r="DG24" s="46"/>
      <c r="DJ24" s="45"/>
      <c r="DL24" s="45"/>
      <c r="DN24" s="46"/>
      <c r="DR24" s="45"/>
      <c r="DT24" s="45"/>
      <c r="DV24" s="46"/>
      <c r="DY24" s="45"/>
      <c r="EA24" s="45"/>
      <c r="EC24" s="46"/>
      <c r="EG24" s="45"/>
      <c r="EI24" s="45"/>
      <c r="EK24" s="46"/>
      <c r="EN24" s="45"/>
      <c r="EP24" s="45"/>
      <c r="ER24" s="46"/>
    </row>
    <row r="25" spans="1:150" s="32" customFormat="1" ht="25.8" customHeight="1">
      <c r="A25" s="31"/>
      <c r="B25" s="43"/>
      <c r="C25" s="250"/>
      <c r="D25" s="251"/>
      <c r="E25" s="251"/>
      <c r="F25" s="251"/>
      <c r="G25" s="42"/>
      <c r="H25" s="36"/>
      <c r="I25" s="43"/>
      <c r="J25" s="250"/>
      <c r="K25" s="251"/>
      <c r="L25" s="251"/>
      <c r="M25" s="251"/>
      <c r="N25" s="42"/>
      <c r="O25" s="22"/>
      <c r="P25" s="31"/>
      <c r="Q25" s="43"/>
      <c r="R25" s="250"/>
      <c r="S25" s="251"/>
      <c r="T25" s="251"/>
      <c r="U25" s="251"/>
      <c r="V25" s="42"/>
      <c r="W25" s="36"/>
      <c r="X25" s="43"/>
      <c r="Y25" s="250"/>
      <c r="Z25" s="251"/>
      <c r="AA25" s="251"/>
      <c r="AB25" s="251"/>
      <c r="AC25" s="42"/>
      <c r="AD25" s="22"/>
      <c r="AE25" s="31"/>
      <c r="AF25" s="43"/>
      <c r="AG25" s="250"/>
      <c r="AH25" s="251"/>
      <c r="AI25" s="251"/>
      <c r="AJ25" s="251"/>
      <c r="AK25" s="42"/>
      <c r="AL25" s="36"/>
      <c r="AM25" s="43"/>
      <c r="AN25" s="250"/>
      <c r="AO25" s="251"/>
      <c r="AP25" s="251"/>
      <c r="AQ25" s="251"/>
      <c r="AR25" s="42"/>
      <c r="AS25" s="22"/>
      <c r="AT25" s="31"/>
      <c r="AU25" s="43"/>
      <c r="AV25" s="250"/>
      <c r="AW25" s="251"/>
      <c r="AX25" s="251"/>
      <c r="AY25" s="251"/>
      <c r="AZ25" s="42"/>
      <c r="BA25" s="36"/>
      <c r="BB25" s="43"/>
      <c r="BC25" s="250"/>
      <c r="BD25" s="251"/>
      <c r="BE25" s="251"/>
      <c r="BF25" s="251"/>
      <c r="BG25" s="42"/>
      <c r="BH25" s="22"/>
      <c r="BI25" s="31"/>
      <c r="BJ25" s="43"/>
      <c r="BK25" s="250"/>
      <c r="BL25" s="251"/>
      <c r="BM25" s="251"/>
      <c r="BN25" s="251"/>
      <c r="BO25" s="42"/>
      <c r="BP25" s="36"/>
      <c r="BQ25" s="43"/>
      <c r="BR25" s="250"/>
      <c r="BS25" s="251"/>
      <c r="BT25" s="251"/>
      <c r="BU25" s="251"/>
      <c r="BV25" s="42"/>
      <c r="BW25" s="22"/>
      <c r="BX25" s="31"/>
      <c r="BY25" s="43"/>
      <c r="BZ25" s="250"/>
      <c r="CA25" s="251"/>
      <c r="CB25" s="251"/>
      <c r="CC25" s="251"/>
      <c r="CD25" s="42"/>
      <c r="CE25" s="36"/>
      <c r="CF25" s="43"/>
      <c r="CG25" s="250"/>
      <c r="CH25" s="251"/>
      <c r="CI25" s="251"/>
      <c r="CJ25" s="251"/>
      <c r="CK25" s="42"/>
      <c r="CL25" s="22"/>
      <c r="CM25" s="31"/>
      <c r="CN25" s="43"/>
      <c r="CO25" s="250"/>
      <c r="CP25" s="251"/>
      <c r="CQ25" s="251"/>
      <c r="CR25" s="251"/>
      <c r="CS25" s="42"/>
      <c r="CT25" s="36"/>
      <c r="CU25" s="43"/>
      <c r="CV25" s="250"/>
      <c r="CW25" s="251"/>
      <c r="CX25" s="251"/>
      <c r="CY25" s="251"/>
      <c r="CZ25" s="42"/>
      <c r="DA25" s="22"/>
      <c r="DB25" s="31"/>
      <c r="DC25" s="43"/>
      <c r="DD25" s="250"/>
      <c r="DE25" s="251"/>
      <c r="DF25" s="251"/>
      <c r="DG25" s="251"/>
      <c r="DH25" s="42"/>
      <c r="DI25" s="36"/>
      <c r="DJ25" s="43"/>
      <c r="DK25" s="250"/>
      <c r="DL25" s="251"/>
      <c r="DM25" s="251"/>
      <c r="DN25" s="251"/>
      <c r="DO25" s="42"/>
      <c r="DP25" s="22"/>
      <c r="DQ25" s="31"/>
      <c r="DR25" s="43"/>
      <c r="DS25" s="250"/>
      <c r="DT25" s="251"/>
      <c r="DU25" s="251"/>
      <c r="DV25" s="251"/>
      <c r="DW25" s="42"/>
      <c r="DX25" s="36"/>
      <c r="DY25" s="43"/>
      <c r="DZ25" s="250"/>
      <c r="EA25" s="251"/>
      <c r="EB25" s="251"/>
      <c r="EC25" s="251"/>
      <c r="ED25" s="42"/>
      <c r="EE25" s="22"/>
      <c r="EF25" s="31"/>
      <c r="EG25" s="43"/>
      <c r="EH25" s="250"/>
      <c r="EI25" s="251"/>
      <c r="EJ25" s="251"/>
      <c r="EK25" s="251"/>
      <c r="EL25" s="42"/>
      <c r="EM25" s="36"/>
      <c r="EN25" s="43"/>
      <c r="EO25" s="250"/>
      <c r="EP25" s="251"/>
      <c r="EQ25" s="251"/>
      <c r="ER25" s="251"/>
      <c r="ES25" s="42"/>
      <c r="ET25" s="22"/>
    </row>
    <row r="26" spans="1:150" s="32" customFormat="1">
      <c r="A26" s="31"/>
      <c r="B26" s="33"/>
      <c r="C26" s="47"/>
      <c r="D26" s="41"/>
      <c r="E26" s="41"/>
      <c r="F26" s="48"/>
      <c r="G26" s="39"/>
      <c r="H26" s="49"/>
      <c r="I26" s="33"/>
      <c r="J26" s="47"/>
      <c r="K26" s="41"/>
      <c r="L26" s="41"/>
      <c r="M26" s="48"/>
      <c r="N26" s="39"/>
      <c r="O26" s="22"/>
      <c r="P26" s="31"/>
      <c r="Q26" s="33"/>
      <c r="R26" s="47"/>
      <c r="S26" s="41"/>
      <c r="T26" s="41"/>
      <c r="U26" s="48"/>
      <c r="V26" s="39"/>
      <c r="W26" s="49"/>
      <c r="X26" s="33"/>
      <c r="Y26" s="47"/>
      <c r="Z26" s="41"/>
      <c r="AA26" s="41"/>
      <c r="AB26" s="48"/>
      <c r="AC26" s="39"/>
      <c r="AD26" s="22"/>
      <c r="AE26" s="31"/>
      <c r="AF26" s="33"/>
      <c r="AG26" s="47"/>
      <c r="AH26" s="41"/>
      <c r="AI26" s="41"/>
      <c r="AJ26" s="48"/>
      <c r="AK26" s="39"/>
      <c r="AL26" s="49"/>
      <c r="AM26" s="33"/>
      <c r="AN26" s="47"/>
      <c r="AO26" s="41"/>
      <c r="AP26" s="41"/>
      <c r="AQ26" s="48"/>
      <c r="AR26" s="39"/>
      <c r="AS26" s="22"/>
      <c r="AT26" s="31"/>
      <c r="AU26" s="33"/>
      <c r="AV26" s="47"/>
      <c r="AW26" s="41"/>
      <c r="AX26" s="41"/>
      <c r="AY26" s="48"/>
      <c r="AZ26" s="39"/>
      <c r="BA26" s="49"/>
      <c r="BB26" s="33"/>
      <c r="BC26" s="47"/>
      <c r="BD26" s="41"/>
      <c r="BE26" s="41"/>
      <c r="BF26" s="48"/>
      <c r="BG26" s="39"/>
      <c r="BH26" s="22"/>
      <c r="BI26" s="31"/>
      <c r="BJ26" s="33"/>
      <c r="BK26" s="47"/>
      <c r="BL26" s="41"/>
      <c r="BM26" s="41"/>
      <c r="BN26" s="48"/>
      <c r="BO26" s="39"/>
      <c r="BP26" s="49"/>
      <c r="BQ26" s="33"/>
      <c r="BR26" s="47"/>
      <c r="BS26" s="41"/>
      <c r="BT26" s="41"/>
      <c r="BU26" s="48"/>
      <c r="BV26" s="39"/>
      <c r="BW26" s="22"/>
      <c r="BX26" s="31"/>
      <c r="BY26" s="33"/>
      <c r="BZ26" s="47"/>
      <c r="CA26" s="41"/>
      <c r="CB26" s="41"/>
      <c r="CC26" s="48"/>
      <c r="CD26" s="39"/>
      <c r="CE26" s="49"/>
      <c r="CF26" s="33"/>
      <c r="CG26" s="47"/>
      <c r="CH26" s="41"/>
      <c r="CI26" s="41"/>
      <c r="CJ26" s="48"/>
      <c r="CK26" s="39"/>
      <c r="CL26" s="22"/>
      <c r="CM26" s="31"/>
      <c r="CN26" s="33"/>
      <c r="CO26" s="47"/>
      <c r="CP26" s="41"/>
      <c r="CQ26" s="41"/>
      <c r="CR26" s="48"/>
      <c r="CS26" s="39"/>
      <c r="CT26" s="49"/>
      <c r="CU26" s="33"/>
      <c r="CV26" s="47"/>
      <c r="CW26" s="41"/>
      <c r="CX26" s="41"/>
      <c r="CY26" s="48"/>
      <c r="CZ26" s="39"/>
      <c r="DA26" s="22"/>
      <c r="DB26" s="31"/>
      <c r="DC26" s="33"/>
      <c r="DD26" s="47"/>
      <c r="DE26" s="41"/>
      <c r="DF26" s="41"/>
      <c r="DG26" s="48"/>
      <c r="DH26" s="39"/>
      <c r="DI26" s="49"/>
      <c r="DJ26" s="33"/>
      <c r="DK26" s="47"/>
      <c r="DL26" s="41"/>
      <c r="DM26" s="41"/>
      <c r="DN26" s="48"/>
      <c r="DO26" s="39"/>
      <c r="DP26" s="22"/>
      <c r="DQ26" s="31"/>
      <c r="DR26" s="33"/>
      <c r="DS26" s="47"/>
      <c r="DT26" s="41"/>
      <c r="DU26" s="41"/>
      <c r="DV26" s="48"/>
      <c r="DW26" s="39"/>
      <c r="DX26" s="49"/>
      <c r="DY26" s="33"/>
      <c r="DZ26" s="47"/>
      <c r="EA26" s="41"/>
      <c r="EB26" s="41"/>
      <c r="EC26" s="48"/>
      <c r="ED26" s="39"/>
      <c r="EE26" s="22"/>
      <c r="EF26" s="31"/>
      <c r="EG26" s="33"/>
      <c r="EH26" s="47"/>
      <c r="EI26" s="41"/>
      <c r="EJ26" s="41"/>
      <c r="EK26" s="48"/>
      <c r="EL26" s="39"/>
      <c r="EM26" s="49"/>
      <c r="EN26" s="33"/>
      <c r="EO26" s="47"/>
      <c r="EP26" s="41"/>
      <c r="EQ26" s="41"/>
      <c r="ER26" s="48"/>
      <c r="ES26" s="39"/>
      <c r="ET26" s="22"/>
    </row>
    <row r="27" spans="1:150" s="32" customFormat="1">
      <c r="A27" s="31"/>
      <c r="B27" s="34"/>
      <c r="C27" s="248"/>
      <c r="D27" s="249"/>
      <c r="E27" s="22"/>
      <c r="G27" s="40"/>
      <c r="H27" s="36"/>
      <c r="I27" s="34"/>
      <c r="J27" s="248"/>
      <c r="K27" s="249"/>
      <c r="L27" s="22"/>
      <c r="N27" s="40"/>
      <c r="O27" s="22"/>
      <c r="P27" s="31"/>
      <c r="Q27" s="34"/>
      <c r="R27" s="248"/>
      <c r="S27" s="249"/>
      <c r="T27" s="22"/>
      <c r="V27" s="40"/>
      <c r="W27" s="36"/>
      <c r="X27" s="34"/>
      <c r="Y27" s="248"/>
      <c r="Z27" s="249"/>
      <c r="AA27" s="22"/>
      <c r="AC27" s="40"/>
      <c r="AD27" s="22"/>
      <c r="AE27" s="31"/>
      <c r="AF27" s="34"/>
      <c r="AG27" s="248"/>
      <c r="AH27" s="249"/>
      <c r="AI27" s="22"/>
      <c r="AK27" s="40"/>
      <c r="AL27" s="36"/>
      <c r="AM27" s="34"/>
      <c r="AN27" s="248"/>
      <c r="AO27" s="249"/>
      <c r="AP27" s="22"/>
      <c r="AR27" s="40"/>
      <c r="AS27" s="22"/>
      <c r="AT27" s="31"/>
      <c r="AU27" s="34"/>
      <c r="AV27" s="248"/>
      <c r="AW27" s="249"/>
      <c r="AX27" s="22"/>
      <c r="AZ27" s="40"/>
      <c r="BA27" s="36"/>
      <c r="BB27" s="34"/>
      <c r="BC27" s="248"/>
      <c r="BD27" s="249"/>
      <c r="BE27" s="22"/>
      <c r="BG27" s="40"/>
      <c r="BH27" s="22"/>
      <c r="BI27" s="31"/>
      <c r="BJ27" s="34"/>
      <c r="BK27" s="248"/>
      <c r="BL27" s="249"/>
      <c r="BM27" s="22"/>
      <c r="BO27" s="40"/>
      <c r="BP27" s="36"/>
      <c r="BQ27" s="34"/>
      <c r="BR27" s="248"/>
      <c r="BS27" s="249"/>
      <c r="BT27" s="22"/>
      <c r="BV27" s="40"/>
      <c r="BW27" s="22"/>
      <c r="BX27" s="31"/>
      <c r="BY27" s="34"/>
      <c r="BZ27" s="248"/>
      <c r="CA27" s="249"/>
      <c r="CB27" s="22"/>
      <c r="CD27" s="40"/>
      <c r="CE27" s="36"/>
      <c r="CF27" s="34"/>
      <c r="CG27" s="248"/>
      <c r="CH27" s="249"/>
      <c r="CI27" s="22"/>
      <c r="CK27" s="40"/>
      <c r="CL27" s="22"/>
      <c r="CM27" s="31"/>
      <c r="CN27" s="34"/>
      <c r="CO27" s="248"/>
      <c r="CP27" s="249"/>
      <c r="CQ27" s="22"/>
      <c r="CS27" s="40"/>
      <c r="CT27" s="36"/>
      <c r="CU27" s="34"/>
      <c r="CV27" s="248"/>
      <c r="CW27" s="249"/>
      <c r="CX27" s="22"/>
      <c r="CZ27" s="40"/>
      <c r="DA27" s="22"/>
      <c r="DB27" s="31"/>
      <c r="DC27" s="34"/>
      <c r="DD27" s="248"/>
      <c r="DE27" s="249"/>
      <c r="DF27" s="22"/>
      <c r="DH27" s="40"/>
      <c r="DI27" s="36"/>
      <c r="DJ27" s="34"/>
      <c r="DK27" s="248"/>
      <c r="DL27" s="249"/>
      <c r="DM27" s="22"/>
      <c r="DO27" s="40"/>
      <c r="DP27" s="22"/>
      <c r="DQ27" s="31"/>
      <c r="DR27" s="34"/>
      <c r="DS27" s="248"/>
      <c r="DT27" s="249"/>
      <c r="DU27" s="22"/>
      <c r="DW27" s="40"/>
      <c r="DX27" s="36"/>
      <c r="DY27" s="34"/>
      <c r="DZ27" s="248"/>
      <c r="EA27" s="249"/>
      <c r="EB27" s="22"/>
      <c r="ED27" s="40"/>
      <c r="EE27" s="22"/>
      <c r="EF27" s="31"/>
      <c r="EG27" s="34"/>
      <c r="EH27" s="248"/>
      <c r="EI27" s="249"/>
      <c r="EJ27" s="22"/>
      <c r="EL27" s="40"/>
      <c r="EM27" s="36"/>
      <c r="EN27" s="34"/>
      <c r="EO27" s="248"/>
      <c r="EP27" s="249"/>
      <c r="EQ27" s="22"/>
      <c r="ES27" s="40"/>
      <c r="ET27" s="22"/>
    </row>
    <row r="28" spans="1:150" ht="15.6" customHeight="1">
      <c r="B28" s="25"/>
      <c r="C28" s="254"/>
      <c r="D28" s="255"/>
      <c r="E28" s="50"/>
      <c r="F28" s="257"/>
      <c r="G28" s="258"/>
      <c r="H28" s="26"/>
      <c r="I28" s="25"/>
      <c r="J28" s="254"/>
      <c r="K28" s="255"/>
      <c r="L28" s="50"/>
      <c r="M28" s="257"/>
      <c r="N28" s="258"/>
      <c r="Q28" s="25"/>
      <c r="R28" s="254"/>
      <c r="S28" s="255"/>
      <c r="T28" s="50"/>
      <c r="U28" s="257"/>
      <c r="V28" s="258"/>
      <c r="W28" s="26"/>
      <c r="X28" s="25"/>
      <c r="Y28" s="254"/>
      <c r="Z28" s="255"/>
      <c r="AA28" s="50"/>
      <c r="AB28" s="257"/>
      <c r="AC28" s="258"/>
      <c r="AF28" s="25"/>
      <c r="AG28" s="254"/>
      <c r="AH28" s="255"/>
      <c r="AI28" s="50"/>
      <c r="AJ28" s="257"/>
      <c r="AK28" s="258"/>
      <c r="AL28" s="26"/>
      <c r="AM28" s="25"/>
      <c r="AN28" s="254"/>
      <c r="AO28" s="255"/>
      <c r="AP28" s="50"/>
      <c r="AQ28" s="257"/>
      <c r="AR28" s="258"/>
      <c r="AU28" s="25"/>
      <c r="AV28" s="254"/>
      <c r="AW28" s="255"/>
      <c r="AX28" s="50"/>
      <c r="AY28" s="257"/>
      <c r="AZ28" s="258"/>
      <c r="BA28" s="26"/>
      <c r="BB28" s="25"/>
      <c r="BC28" s="254"/>
      <c r="BD28" s="255"/>
      <c r="BE28" s="50"/>
      <c r="BF28" s="257"/>
      <c r="BG28" s="258"/>
      <c r="BJ28" s="25"/>
      <c r="BK28" s="254"/>
      <c r="BL28" s="255"/>
      <c r="BM28" s="50"/>
      <c r="BN28" s="257"/>
      <c r="BO28" s="258"/>
      <c r="BP28" s="26"/>
      <c r="BQ28" s="25"/>
      <c r="BR28" s="254"/>
      <c r="BS28" s="255"/>
      <c r="BT28" s="50"/>
      <c r="BU28" s="257"/>
      <c r="BV28" s="258"/>
      <c r="BY28" s="25"/>
      <c r="BZ28" s="254"/>
      <c r="CA28" s="255"/>
      <c r="CB28" s="50"/>
      <c r="CC28" s="257"/>
      <c r="CD28" s="258"/>
      <c r="CE28" s="26"/>
      <c r="CF28" s="25"/>
      <c r="CG28" s="254"/>
      <c r="CH28" s="255"/>
      <c r="CI28" s="50"/>
      <c r="CJ28" s="257"/>
      <c r="CK28" s="258"/>
      <c r="CN28" s="25"/>
      <c r="CO28" s="254"/>
      <c r="CP28" s="255"/>
      <c r="CQ28" s="50"/>
      <c r="CR28" s="257"/>
      <c r="CS28" s="258"/>
      <c r="CT28" s="26"/>
      <c r="CU28" s="25"/>
      <c r="CV28" s="254"/>
      <c r="CW28" s="255"/>
      <c r="CX28" s="50"/>
      <c r="CY28" s="257"/>
      <c r="CZ28" s="258"/>
      <c r="DC28" s="25"/>
      <c r="DD28" s="254"/>
      <c r="DE28" s="255"/>
      <c r="DF28" s="50"/>
      <c r="DG28" s="257"/>
      <c r="DH28" s="258"/>
      <c r="DI28" s="26"/>
      <c r="DJ28" s="25"/>
      <c r="DK28" s="254"/>
      <c r="DL28" s="255"/>
      <c r="DM28" s="50"/>
      <c r="DN28" s="257"/>
      <c r="DO28" s="258"/>
      <c r="DR28" s="25"/>
      <c r="DS28" s="254"/>
      <c r="DT28" s="255"/>
      <c r="DU28" s="50"/>
      <c r="DV28" s="257"/>
      <c r="DW28" s="258"/>
      <c r="DX28" s="26"/>
      <c r="DY28" s="25"/>
      <c r="DZ28" s="254"/>
      <c r="EA28" s="255"/>
      <c r="EB28" s="50"/>
      <c r="EC28" s="257"/>
      <c r="ED28" s="258"/>
      <c r="EG28" s="25"/>
      <c r="EH28" s="254"/>
      <c r="EI28" s="255"/>
      <c r="EJ28" s="50"/>
      <c r="EK28" s="257"/>
      <c r="EL28" s="258"/>
      <c r="EM28" s="26"/>
      <c r="EN28" s="25"/>
      <c r="EO28" s="254"/>
      <c r="EP28" s="255"/>
      <c r="EQ28" s="50"/>
      <c r="ER28" s="257"/>
      <c r="ES28" s="258"/>
    </row>
    <row r="29" spans="1:150" ht="15.6" customHeight="1">
      <c r="B29" s="27"/>
      <c r="C29" s="256"/>
      <c r="D29" s="256"/>
      <c r="E29" s="44"/>
      <c r="F29" s="256"/>
      <c r="G29" s="253"/>
      <c r="H29" s="26"/>
      <c r="I29" s="27"/>
      <c r="J29" s="256"/>
      <c r="K29" s="256"/>
      <c r="L29" s="44"/>
      <c r="M29" s="256"/>
      <c r="N29" s="253"/>
      <c r="Q29" s="27"/>
      <c r="R29" s="256"/>
      <c r="S29" s="256"/>
      <c r="T29" s="44"/>
      <c r="U29" s="256"/>
      <c r="V29" s="253"/>
      <c r="W29" s="26"/>
      <c r="X29" s="27"/>
      <c r="Y29" s="256"/>
      <c r="Z29" s="256"/>
      <c r="AA29" s="44"/>
      <c r="AB29" s="256"/>
      <c r="AC29" s="253"/>
      <c r="AF29" s="27"/>
      <c r="AG29" s="256"/>
      <c r="AH29" s="256"/>
      <c r="AI29" s="44"/>
      <c r="AJ29" s="256"/>
      <c r="AK29" s="253"/>
      <c r="AL29" s="26"/>
      <c r="AM29" s="27"/>
      <c r="AN29" s="256"/>
      <c r="AO29" s="256"/>
      <c r="AP29" s="44"/>
      <c r="AQ29" s="256"/>
      <c r="AR29" s="253"/>
      <c r="AU29" s="27"/>
      <c r="AV29" s="256"/>
      <c r="AW29" s="256"/>
      <c r="AX29" s="44"/>
      <c r="AY29" s="256"/>
      <c r="AZ29" s="253"/>
      <c r="BA29" s="26"/>
      <c r="BB29" s="27"/>
      <c r="BC29" s="256"/>
      <c r="BD29" s="256"/>
      <c r="BE29" s="44"/>
      <c r="BF29" s="256"/>
      <c r="BG29" s="253"/>
      <c r="BJ29" s="27"/>
      <c r="BK29" s="256"/>
      <c r="BL29" s="256"/>
      <c r="BM29" s="44"/>
      <c r="BN29" s="256"/>
      <c r="BO29" s="253"/>
      <c r="BP29" s="26"/>
      <c r="BQ29" s="27"/>
      <c r="BR29" s="256"/>
      <c r="BS29" s="256"/>
      <c r="BT29" s="44"/>
      <c r="BU29" s="256"/>
      <c r="BV29" s="253"/>
      <c r="BY29" s="27"/>
      <c r="BZ29" s="256"/>
      <c r="CA29" s="256"/>
      <c r="CB29" s="44"/>
      <c r="CC29" s="256"/>
      <c r="CD29" s="253"/>
      <c r="CE29" s="26"/>
      <c r="CF29" s="27"/>
      <c r="CG29" s="256"/>
      <c r="CH29" s="256"/>
      <c r="CI29" s="44"/>
      <c r="CJ29" s="256"/>
      <c r="CK29" s="253"/>
      <c r="CN29" s="27"/>
      <c r="CO29" s="256"/>
      <c r="CP29" s="256"/>
      <c r="CQ29" s="44"/>
      <c r="CR29" s="256"/>
      <c r="CS29" s="253"/>
      <c r="CT29" s="26"/>
      <c r="CU29" s="27"/>
      <c r="CV29" s="256"/>
      <c r="CW29" s="256"/>
      <c r="CX29" s="44"/>
      <c r="CY29" s="256"/>
      <c r="CZ29" s="253"/>
      <c r="DC29" s="27"/>
      <c r="DD29" s="256"/>
      <c r="DE29" s="256"/>
      <c r="DF29" s="44"/>
      <c r="DG29" s="256"/>
      <c r="DH29" s="253"/>
      <c r="DI29" s="26"/>
      <c r="DJ29" s="27"/>
      <c r="DK29" s="256"/>
      <c r="DL29" s="256"/>
      <c r="DM29" s="44"/>
      <c r="DN29" s="256"/>
      <c r="DO29" s="253"/>
      <c r="DR29" s="27"/>
      <c r="DS29" s="256"/>
      <c r="DT29" s="256"/>
      <c r="DU29" s="44"/>
      <c r="DV29" s="256"/>
      <c r="DW29" s="253"/>
      <c r="DX29" s="26"/>
      <c r="DY29" s="27"/>
      <c r="DZ29" s="256"/>
      <c r="EA29" s="256"/>
      <c r="EB29" s="44"/>
      <c r="EC29" s="256"/>
      <c r="ED29" s="253"/>
      <c r="EG29" s="27"/>
      <c r="EH29" s="256"/>
      <c r="EI29" s="256"/>
      <c r="EJ29" s="44"/>
      <c r="EK29" s="256"/>
      <c r="EL29" s="253"/>
      <c r="EM29" s="26"/>
      <c r="EN29" s="27"/>
      <c r="EO29" s="256"/>
      <c r="EP29" s="256"/>
      <c r="EQ29" s="44"/>
      <c r="ER29" s="256"/>
      <c r="ES29" s="253"/>
    </row>
    <row r="30" spans="1:150" s="32" customFormat="1">
      <c r="A30" s="31"/>
      <c r="B30" s="37"/>
      <c r="C30" s="35"/>
      <c r="D30" s="37"/>
      <c r="E30" s="35"/>
      <c r="F30" s="37"/>
      <c r="G30" s="40"/>
      <c r="H30" s="22"/>
      <c r="I30" s="37"/>
      <c r="J30" s="35"/>
      <c r="K30" s="37"/>
      <c r="L30" s="35"/>
      <c r="M30" s="37"/>
      <c r="N30" s="40"/>
      <c r="O30" s="22"/>
      <c r="P30" s="31"/>
      <c r="Q30" s="37"/>
      <c r="R30" s="35"/>
      <c r="S30" s="37"/>
      <c r="T30" s="35"/>
      <c r="U30" s="37"/>
      <c r="V30" s="40"/>
      <c r="W30" s="22"/>
      <c r="X30" s="37"/>
      <c r="Y30" s="35"/>
      <c r="Z30" s="37"/>
      <c r="AA30" s="35"/>
      <c r="AB30" s="37"/>
      <c r="AC30" s="40"/>
      <c r="AD30" s="22"/>
      <c r="AE30" s="31"/>
      <c r="AF30" s="37"/>
      <c r="AG30" s="35"/>
      <c r="AH30" s="37"/>
      <c r="AI30" s="35"/>
      <c r="AJ30" s="37"/>
      <c r="AK30" s="40"/>
      <c r="AL30" s="22"/>
      <c r="AM30" s="37"/>
      <c r="AN30" s="35"/>
      <c r="AO30" s="37"/>
      <c r="AP30" s="35"/>
      <c r="AQ30" s="37"/>
      <c r="AR30" s="40"/>
      <c r="AS30" s="22"/>
      <c r="AT30" s="31"/>
      <c r="AU30" s="37"/>
      <c r="AV30" s="35"/>
      <c r="AW30" s="37"/>
      <c r="AX30" s="35"/>
      <c r="AY30" s="37"/>
      <c r="AZ30" s="40"/>
      <c r="BA30" s="22"/>
      <c r="BB30" s="37"/>
      <c r="BC30" s="35"/>
      <c r="BD30" s="37"/>
      <c r="BE30" s="35"/>
      <c r="BF30" s="37"/>
      <c r="BG30" s="40"/>
      <c r="BH30" s="22"/>
      <c r="BI30" s="31"/>
      <c r="BJ30" s="37"/>
      <c r="BK30" s="35"/>
      <c r="BL30" s="37"/>
      <c r="BM30" s="35"/>
      <c r="BN30" s="37"/>
      <c r="BO30" s="40"/>
      <c r="BP30" s="22"/>
      <c r="BQ30" s="37"/>
      <c r="BR30" s="35"/>
      <c r="BS30" s="37"/>
      <c r="BT30" s="35"/>
      <c r="BU30" s="37"/>
      <c r="BV30" s="40"/>
      <c r="BW30" s="22"/>
      <c r="BX30" s="31"/>
      <c r="BY30" s="37"/>
      <c r="BZ30" s="35"/>
      <c r="CA30" s="37"/>
      <c r="CB30" s="35"/>
      <c r="CC30" s="37"/>
      <c r="CD30" s="40"/>
      <c r="CE30" s="22"/>
      <c r="CF30" s="37"/>
      <c r="CG30" s="35"/>
      <c r="CH30" s="37"/>
      <c r="CI30" s="35"/>
      <c r="CJ30" s="37"/>
      <c r="CK30" s="40"/>
      <c r="CL30" s="22"/>
      <c r="CM30" s="31"/>
      <c r="CN30" s="37"/>
      <c r="CO30" s="35"/>
      <c r="CP30" s="37"/>
      <c r="CQ30" s="35"/>
      <c r="CR30" s="37"/>
      <c r="CS30" s="40"/>
      <c r="CT30" s="22"/>
      <c r="CU30" s="37"/>
      <c r="CV30" s="35"/>
      <c r="CW30" s="37"/>
      <c r="CX30" s="35"/>
      <c r="CY30" s="37"/>
      <c r="CZ30" s="40"/>
      <c r="DA30" s="22"/>
      <c r="DB30" s="31"/>
      <c r="DC30" s="37"/>
      <c r="DD30" s="35"/>
      <c r="DE30" s="37"/>
      <c r="DF30" s="35"/>
      <c r="DG30" s="37"/>
      <c r="DH30" s="40"/>
      <c r="DI30" s="22"/>
      <c r="DJ30" s="37"/>
      <c r="DK30" s="35"/>
      <c r="DL30" s="37"/>
      <c r="DM30" s="35"/>
      <c r="DN30" s="37"/>
      <c r="DO30" s="40"/>
      <c r="DP30" s="22"/>
      <c r="DQ30" s="31"/>
      <c r="DR30" s="37"/>
      <c r="DS30" s="35"/>
      <c r="DT30" s="37"/>
      <c r="DU30" s="35"/>
      <c r="DV30" s="37"/>
      <c r="DW30" s="40"/>
      <c r="DX30" s="22"/>
      <c r="DY30" s="37"/>
      <c r="DZ30" s="35"/>
      <c r="EA30" s="37"/>
      <c r="EB30" s="35"/>
      <c r="EC30" s="37"/>
      <c r="ED30" s="40"/>
      <c r="EE30" s="22"/>
      <c r="EF30" s="31"/>
      <c r="EG30" s="37"/>
      <c r="EH30" s="35"/>
      <c r="EI30" s="37"/>
      <c r="EJ30" s="35"/>
      <c r="EK30" s="37"/>
      <c r="EL30" s="40"/>
      <c r="EM30" s="22"/>
      <c r="EN30" s="37"/>
      <c r="EO30" s="35"/>
      <c r="EP30" s="37"/>
      <c r="EQ30" s="35"/>
      <c r="ER30" s="37"/>
      <c r="ES30" s="40"/>
      <c r="ET30" s="22"/>
    </row>
    <row r="31" spans="1:150" ht="27.6" customHeight="1">
      <c r="B31" s="259"/>
      <c r="C31" s="253"/>
      <c r="D31" s="259"/>
      <c r="E31" s="253"/>
      <c r="F31" s="252"/>
      <c r="G31" s="253"/>
      <c r="I31" s="259"/>
      <c r="J31" s="253"/>
      <c r="K31" s="259"/>
      <c r="L31" s="253"/>
      <c r="M31" s="252"/>
      <c r="N31" s="253"/>
      <c r="Q31" s="259"/>
      <c r="R31" s="253"/>
      <c r="S31" s="259"/>
      <c r="T31" s="253"/>
      <c r="U31" s="252"/>
      <c r="V31" s="253"/>
      <c r="X31" s="259"/>
      <c r="Y31" s="253"/>
      <c r="Z31" s="259"/>
      <c r="AA31" s="253"/>
      <c r="AB31" s="252"/>
      <c r="AC31" s="253"/>
      <c r="AF31" s="259"/>
      <c r="AG31" s="253"/>
      <c r="AH31" s="259"/>
      <c r="AI31" s="253"/>
      <c r="AJ31" s="252"/>
      <c r="AK31" s="253"/>
      <c r="AM31" s="259"/>
      <c r="AN31" s="253"/>
      <c r="AO31" s="259"/>
      <c r="AP31" s="253"/>
      <c r="AQ31" s="252"/>
      <c r="AR31" s="253"/>
      <c r="AU31" s="259"/>
      <c r="AV31" s="253"/>
      <c r="AW31" s="259"/>
      <c r="AX31" s="253"/>
      <c r="AY31" s="252"/>
      <c r="AZ31" s="253"/>
      <c r="BB31" s="259"/>
      <c r="BC31" s="253"/>
      <c r="BD31" s="259"/>
      <c r="BE31" s="253"/>
      <c r="BF31" s="252"/>
      <c r="BG31" s="253"/>
      <c r="BJ31" s="259"/>
      <c r="BK31" s="253"/>
      <c r="BL31" s="259"/>
      <c r="BM31" s="253"/>
      <c r="BN31" s="252"/>
      <c r="BO31" s="253"/>
      <c r="BQ31" s="259"/>
      <c r="BR31" s="253"/>
      <c r="BS31" s="259"/>
      <c r="BT31" s="253"/>
      <c r="BU31" s="252"/>
      <c r="BV31" s="253"/>
      <c r="BY31" s="259"/>
      <c r="BZ31" s="253"/>
      <c r="CA31" s="259"/>
      <c r="CB31" s="253"/>
      <c r="CC31" s="252"/>
      <c r="CD31" s="253"/>
      <c r="CF31" s="259"/>
      <c r="CG31" s="253"/>
      <c r="CH31" s="259"/>
      <c r="CI31" s="253"/>
      <c r="CJ31" s="252"/>
      <c r="CK31" s="253"/>
      <c r="CN31" s="259"/>
      <c r="CO31" s="253"/>
      <c r="CP31" s="259"/>
      <c r="CQ31" s="253"/>
      <c r="CR31" s="252"/>
      <c r="CS31" s="253"/>
      <c r="CU31" s="259"/>
      <c r="CV31" s="253"/>
      <c r="CW31" s="259"/>
      <c r="CX31" s="253"/>
      <c r="CY31" s="252"/>
      <c r="CZ31" s="253"/>
      <c r="DC31" s="259"/>
      <c r="DD31" s="253"/>
      <c r="DE31" s="259"/>
      <c r="DF31" s="253"/>
      <c r="DG31" s="252"/>
      <c r="DH31" s="253"/>
      <c r="DJ31" s="259"/>
      <c r="DK31" s="253"/>
      <c r="DL31" s="259"/>
      <c r="DM31" s="253"/>
      <c r="DN31" s="252"/>
      <c r="DO31" s="253"/>
      <c r="DR31" s="259"/>
      <c r="DS31" s="253"/>
      <c r="DT31" s="259"/>
      <c r="DU31" s="253"/>
      <c r="DV31" s="252"/>
      <c r="DW31" s="253"/>
      <c r="DY31" s="259"/>
      <c r="DZ31" s="253"/>
      <c r="EA31" s="259"/>
      <c r="EB31" s="253"/>
      <c r="EC31" s="252"/>
      <c r="ED31" s="253"/>
      <c r="EG31" s="259"/>
      <c r="EH31" s="253"/>
      <c r="EI31" s="259"/>
      <c r="EJ31" s="253"/>
      <c r="EK31" s="252"/>
      <c r="EL31" s="253"/>
      <c r="EN31" s="259"/>
      <c r="EO31" s="253"/>
      <c r="EP31" s="259"/>
      <c r="EQ31" s="253"/>
      <c r="ER31" s="252"/>
      <c r="ES31" s="253"/>
    </row>
    <row r="32" spans="1:150" ht="6.6" customHeight="1">
      <c r="B32" s="45"/>
      <c r="D32" s="45"/>
      <c r="F32" s="46"/>
      <c r="I32" s="45"/>
      <c r="K32" s="45"/>
      <c r="M32" s="46"/>
      <c r="Q32" s="45"/>
      <c r="S32" s="45"/>
      <c r="U32" s="46"/>
      <c r="X32" s="45"/>
      <c r="Z32" s="45"/>
      <c r="AB32" s="46"/>
      <c r="AF32" s="45"/>
      <c r="AH32" s="45"/>
      <c r="AJ32" s="46"/>
      <c r="AM32" s="45"/>
      <c r="AO32" s="45"/>
      <c r="AQ32" s="46"/>
      <c r="AU32" s="45"/>
      <c r="AW32" s="45"/>
      <c r="AY32" s="46"/>
      <c r="BB32" s="45"/>
      <c r="BD32" s="45"/>
      <c r="BF32" s="46"/>
      <c r="BJ32" s="45"/>
      <c r="BL32" s="45"/>
      <c r="BN32" s="46"/>
      <c r="BQ32" s="45"/>
      <c r="BS32" s="45"/>
      <c r="BU32" s="46"/>
      <c r="BY32" s="45"/>
      <c r="CA32" s="45"/>
      <c r="CC32" s="46"/>
      <c r="CF32" s="45"/>
      <c r="CH32" s="45"/>
      <c r="CJ32" s="46"/>
      <c r="CN32" s="45"/>
      <c r="CP32" s="45"/>
      <c r="CR32" s="46"/>
      <c r="CU32" s="45"/>
      <c r="CW32" s="45"/>
      <c r="CY32" s="46"/>
      <c r="DC32" s="45"/>
      <c r="DE32" s="45"/>
      <c r="DG32" s="46"/>
      <c r="DJ32" s="45"/>
      <c r="DL32" s="45"/>
      <c r="DN32" s="46"/>
      <c r="DR32" s="45"/>
      <c r="DT32" s="45"/>
      <c r="DV32" s="46"/>
      <c r="DY32" s="45"/>
      <c r="EA32" s="45"/>
      <c r="EC32" s="46"/>
      <c r="EG32" s="45"/>
      <c r="EI32" s="45"/>
      <c r="EK32" s="46"/>
      <c r="EN32" s="45"/>
      <c r="EP32" s="45"/>
      <c r="ER32" s="46"/>
    </row>
    <row r="33" spans="1:150" s="32" customFormat="1" ht="25.8" customHeight="1">
      <c r="A33" s="31"/>
      <c r="B33" s="43"/>
      <c r="C33" s="250"/>
      <c r="D33" s="251"/>
      <c r="E33" s="251"/>
      <c r="F33" s="251"/>
      <c r="G33" s="42"/>
      <c r="H33" s="36"/>
      <c r="I33" s="43"/>
      <c r="J33" s="250"/>
      <c r="K33" s="251"/>
      <c r="L33" s="251"/>
      <c r="M33" s="251"/>
      <c r="N33" s="42"/>
      <c r="O33" s="22"/>
      <c r="P33" s="31"/>
      <c r="Q33" s="43"/>
      <c r="R33" s="250"/>
      <c r="S33" s="251"/>
      <c r="T33" s="251"/>
      <c r="U33" s="251"/>
      <c r="V33" s="42"/>
      <c r="W33" s="36"/>
      <c r="X33" s="43"/>
      <c r="Y33" s="250"/>
      <c r="Z33" s="251"/>
      <c r="AA33" s="251"/>
      <c r="AB33" s="251"/>
      <c r="AC33" s="42"/>
      <c r="AD33" s="22"/>
      <c r="AE33" s="31"/>
      <c r="AF33" s="43"/>
      <c r="AG33" s="250"/>
      <c r="AH33" s="251"/>
      <c r="AI33" s="251"/>
      <c r="AJ33" s="251"/>
      <c r="AK33" s="42"/>
      <c r="AL33" s="36"/>
      <c r="AM33" s="43"/>
      <c r="AN33" s="250"/>
      <c r="AO33" s="251"/>
      <c r="AP33" s="251"/>
      <c r="AQ33" s="251"/>
      <c r="AR33" s="42"/>
      <c r="AS33" s="22"/>
      <c r="AT33" s="31"/>
      <c r="AU33" s="43"/>
      <c r="AV33" s="250"/>
      <c r="AW33" s="251"/>
      <c r="AX33" s="251"/>
      <c r="AY33" s="251"/>
      <c r="AZ33" s="42"/>
      <c r="BA33" s="36"/>
      <c r="BB33" s="43"/>
      <c r="BC33" s="250"/>
      <c r="BD33" s="251"/>
      <c r="BE33" s="251"/>
      <c r="BF33" s="251"/>
      <c r="BG33" s="42"/>
      <c r="BH33" s="22"/>
      <c r="BI33" s="31"/>
      <c r="BJ33" s="43"/>
      <c r="BK33" s="250"/>
      <c r="BL33" s="251"/>
      <c r="BM33" s="251"/>
      <c r="BN33" s="251"/>
      <c r="BO33" s="42"/>
      <c r="BP33" s="36"/>
      <c r="BQ33" s="43"/>
      <c r="BR33" s="250"/>
      <c r="BS33" s="251"/>
      <c r="BT33" s="251"/>
      <c r="BU33" s="251"/>
      <c r="BV33" s="42"/>
      <c r="BW33" s="22"/>
      <c r="BX33" s="31"/>
      <c r="BY33" s="43"/>
      <c r="BZ33" s="250"/>
      <c r="CA33" s="251"/>
      <c r="CB33" s="251"/>
      <c r="CC33" s="251"/>
      <c r="CD33" s="42"/>
      <c r="CE33" s="36"/>
      <c r="CF33" s="43"/>
      <c r="CG33" s="250"/>
      <c r="CH33" s="251"/>
      <c r="CI33" s="251"/>
      <c r="CJ33" s="251"/>
      <c r="CK33" s="42"/>
      <c r="CL33" s="22"/>
      <c r="CM33" s="31"/>
      <c r="CN33" s="43"/>
      <c r="CO33" s="250"/>
      <c r="CP33" s="251"/>
      <c r="CQ33" s="251"/>
      <c r="CR33" s="251"/>
      <c r="CS33" s="42"/>
      <c r="CT33" s="36"/>
      <c r="CU33" s="43"/>
      <c r="CV33" s="250"/>
      <c r="CW33" s="251"/>
      <c r="CX33" s="251"/>
      <c r="CY33" s="251"/>
      <c r="CZ33" s="42"/>
      <c r="DA33" s="22"/>
      <c r="DB33" s="31"/>
      <c r="DC33" s="43"/>
      <c r="DD33" s="250"/>
      <c r="DE33" s="251"/>
      <c r="DF33" s="251"/>
      <c r="DG33" s="251"/>
      <c r="DH33" s="42"/>
      <c r="DI33" s="36"/>
      <c r="DJ33" s="43"/>
      <c r="DK33" s="250"/>
      <c r="DL33" s="251"/>
      <c r="DM33" s="251"/>
      <c r="DN33" s="251"/>
      <c r="DO33" s="42"/>
      <c r="DP33" s="22"/>
      <c r="DQ33" s="31"/>
      <c r="DR33" s="43"/>
      <c r="DS33" s="250"/>
      <c r="DT33" s="251"/>
      <c r="DU33" s="251"/>
      <c r="DV33" s="251"/>
      <c r="DW33" s="42"/>
      <c r="DX33" s="36"/>
      <c r="DY33" s="43"/>
      <c r="DZ33" s="250"/>
      <c r="EA33" s="251"/>
      <c r="EB33" s="251"/>
      <c r="EC33" s="251"/>
      <c r="ED33" s="42"/>
      <c r="EE33" s="22"/>
      <c r="EF33" s="31"/>
      <c r="EG33" s="43"/>
      <c r="EH33" s="250"/>
      <c r="EI33" s="251"/>
      <c r="EJ33" s="251"/>
      <c r="EK33" s="251"/>
      <c r="EL33" s="42"/>
      <c r="EM33" s="36"/>
      <c r="EN33" s="43"/>
      <c r="EO33" s="250"/>
      <c r="EP33" s="251"/>
      <c r="EQ33" s="251"/>
      <c r="ER33" s="251"/>
      <c r="ES33" s="42"/>
      <c r="ET33" s="22"/>
    </row>
    <row r="34" spans="1:150" s="32" customFormat="1">
      <c r="A34" s="31"/>
      <c r="B34" s="33"/>
      <c r="C34" s="47"/>
      <c r="D34" s="41"/>
      <c r="E34" s="41"/>
      <c r="F34" s="48"/>
      <c r="G34" s="39"/>
      <c r="H34" s="49"/>
      <c r="I34" s="33"/>
      <c r="J34" s="47"/>
      <c r="K34" s="41"/>
      <c r="L34" s="41"/>
      <c r="M34" s="48"/>
      <c r="N34" s="39"/>
      <c r="O34" s="22"/>
      <c r="P34" s="31"/>
      <c r="Q34" s="33"/>
      <c r="R34" s="47"/>
      <c r="S34" s="41"/>
      <c r="T34" s="41"/>
      <c r="U34" s="48"/>
      <c r="V34" s="39"/>
      <c r="W34" s="49"/>
      <c r="X34" s="33"/>
      <c r="Y34" s="47"/>
      <c r="Z34" s="41"/>
      <c r="AA34" s="41"/>
      <c r="AB34" s="48"/>
      <c r="AC34" s="39"/>
      <c r="AD34" s="22"/>
      <c r="AE34" s="31"/>
      <c r="AF34" s="33"/>
      <c r="AG34" s="47"/>
      <c r="AH34" s="41"/>
      <c r="AI34" s="41"/>
      <c r="AJ34" s="48"/>
      <c r="AK34" s="39"/>
      <c r="AL34" s="49"/>
      <c r="AM34" s="33"/>
      <c r="AN34" s="47"/>
      <c r="AO34" s="41"/>
      <c r="AP34" s="41"/>
      <c r="AQ34" s="48"/>
      <c r="AR34" s="39"/>
      <c r="AS34" s="22"/>
      <c r="AT34" s="31"/>
      <c r="AU34" s="33"/>
      <c r="AV34" s="47"/>
      <c r="AW34" s="41"/>
      <c r="AX34" s="41"/>
      <c r="AY34" s="48"/>
      <c r="AZ34" s="39"/>
      <c r="BA34" s="49"/>
      <c r="BB34" s="33"/>
      <c r="BC34" s="47"/>
      <c r="BD34" s="41"/>
      <c r="BE34" s="41"/>
      <c r="BF34" s="48"/>
      <c r="BG34" s="39"/>
      <c r="BH34" s="22"/>
      <c r="BI34" s="31"/>
      <c r="BJ34" s="33"/>
      <c r="BK34" s="47"/>
      <c r="BL34" s="41"/>
      <c r="BM34" s="41"/>
      <c r="BN34" s="48"/>
      <c r="BO34" s="39"/>
      <c r="BP34" s="49"/>
      <c r="BQ34" s="33"/>
      <c r="BR34" s="47"/>
      <c r="BS34" s="41"/>
      <c r="BT34" s="41"/>
      <c r="BU34" s="48"/>
      <c r="BV34" s="39"/>
      <c r="BW34" s="22"/>
      <c r="BX34" s="31"/>
      <c r="BY34" s="33"/>
      <c r="BZ34" s="47"/>
      <c r="CA34" s="41"/>
      <c r="CB34" s="41"/>
      <c r="CC34" s="48"/>
      <c r="CD34" s="39"/>
      <c r="CE34" s="49"/>
      <c r="CF34" s="33"/>
      <c r="CG34" s="47"/>
      <c r="CH34" s="41"/>
      <c r="CI34" s="41"/>
      <c r="CJ34" s="48"/>
      <c r="CK34" s="39"/>
      <c r="CL34" s="22"/>
      <c r="CM34" s="31"/>
      <c r="CN34" s="33"/>
      <c r="CO34" s="47"/>
      <c r="CP34" s="41"/>
      <c r="CQ34" s="41"/>
      <c r="CR34" s="48"/>
      <c r="CS34" s="39"/>
      <c r="CT34" s="49"/>
      <c r="CU34" s="33"/>
      <c r="CV34" s="47"/>
      <c r="CW34" s="41"/>
      <c r="CX34" s="41"/>
      <c r="CY34" s="48"/>
      <c r="CZ34" s="39"/>
      <c r="DA34" s="22"/>
      <c r="DB34" s="31"/>
      <c r="DC34" s="33"/>
      <c r="DD34" s="47"/>
      <c r="DE34" s="41"/>
      <c r="DF34" s="41"/>
      <c r="DG34" s="48"/>
      <c r="DH34" s="39"/>
      <c r="DI34" s="49"/>
      <c r="DJ34" s="33"/>
      <c r="DK34" s="47"/>
      <c r="DL34" s="41"/>
      <c r="DM34" s="41"/>
      <c r="DN34" s="48"/>
      <c r="DO34" s="39"/>
      <c r="DP34" s="22"/>
      <c r="DQ34" s="31"/>
      <c r="DR34" s="33"/>
      <c r="DS34" s="47"/>
      <c r="DT34" s="41"/>
      <c r="DU34" s="41"/>
      <c r="DV34" s="48"/>
      <c r="DW34" s="39"/>
      <c r="DX34" s="49"/>
      <c r="DY34" s="33"/>
      <c r="DZ34" s="47"/>
      <c r="EA34" s="41"/>
      <c r="EB34" s="41"/>
      <c r="EC34" s="48"/>
      <c r="ED34" s="39"/>
      <c r="EE34" s="22"/>
      <c r="EF34" s="31"/>
      <c r="EG34" s="33"/>
      <c r="EH34" s="47"/>
      <c r="EI34" s="41"/>
      <c r="EJ34" s="41"/>
      <c r="EK34" s="48"/>
      <c r="EL34" s="39"/>
      <c r="EM34" s="49"/>
      <c r="EN34" s="33"/>
      <c r="EO34" s="47"/>
      <c r="EP34" s="41"/>
      <c r="EQ34" s="41"/>
      <c r="ER34" s="48"/>
      <c r="ES34" s="39"/>
      <c r="ET34" s="22"/>
    </row>
    <row r="35" spans="1:150" s="32" customFormat="1">
      <c r="A35" s="31"/>
      <c r="B35" s="34"/>
      <c r="C35" s="248"/>
      <c r="D35" s="249"/>
      <c r="E35" s="22"/>
      <c r="G35" s="40"/>
      <c r="H35" s="36"/>
      <c r="I35" s="34"/>
      <c r="J35" s="248"/>
      <c r="K35" s="249"/>
      <c r="L35" s="22"/>
      <c r="N35" s="40"/>
      <c r="O35" s="22"/>
      <c r="P35" s="31"/>
      <c r="Q35" s="34"/>
      <c r="R35" s="248"/>
      <c r="S35" s="249"/>
      <c r="T35" s="22"/>
      <c r="V35" s="40"/>
      <c r="W35" s="36"/>
      <c r="X35" s="34"/>
      <c r="Y35" s="248"/>
      <c r="Z35" s="249"/>
      <c r="AA35" s="22"/>
      <c r="AC35" s="40"/>
      <c r="AD35" s="22"/>
      <c r="AE35" s="31"/>
      <c r="AF35" s="34"/>
      <c r="AG35" s="248"/>
      <c r="AH35" s="249"/>
      <c r="AI35" s="22"/>
      <c r="AK35" s="40"/>
      <c r="AL35" s="36"/>
      <c r="AM35" s="34"/>
      <c r="AN35" s="248"/>
      <c r="AO35" s="249"/>
      <c r="AP35" s="22"/>
      <c r="AR35" s="40"/>
      <c r="AS35" s="22"/>
      <c r="AT35" s="31"/>
      <c r="AU35" s="34"/>
      <c r="AV35" s="248"/>
      <c r="AW35" s="249"/>
      <c r="AX35" s="22"/>
      <c r="AZ35" s="40"/>
      <c r="BA35" s="36"/>
      <c r="BB35" s="34"/>
      <c r="BC35" s="248"/>
      <c r="BD35" s="249"/>
      <c r="BE35" s="22"/>
      <c r="BG35" s="40"/>
      <c r="BH35" s="22"/>
      <c r="BI35" s="31"/>
      <c r="BJ35" s="34"/>
      <c r="BK35" s="248"/>
      <c r="BL35" s="249"/>
      <c r="BM35" s="22"/>
      <c r="BO35" s="40"/>
      <c r="BP35" s="36"/>
      <c r="BQ35" s="34"/>
      <c r="BR35" s="248"/>
      <c r="BS35" s="249"/>
      <c r="BT35" s="22"/>
      <c r="BV35" s="40"/>
      <c r="BW35" s="22"/>
      <c r="BX35" s="31"/>
      <c r="BY35" s="34"/>
      <c r="BZ35" s="248"/>
      <c r="CA35" s="249"/>
      <c r="CB35" s="22"/>
      <c r="CD35" s="40"/>
      <c r="CE35" s="36"/>
      <c r="CF35" s="34"/>
      <c r="CG35" s="248"/>
      <c r="CH35" s="249"/>
      <c r="CI35" s="22"/>
      <c r="CK35" s="40"/>
      <c r="CL35" s="22"/>
      <c r="CM35" s="31"/>
      <c r="CN35" s="34"/>
      <c r="CO35" s="248"/>
      <c r="CP35" s="249"/>
      <c r="CQ35" s="22"/>
      <c r="CS35" s="40"/>
      <c r="CT35" s="36"/>
      <c r="CU35" s="34"/>
      <c r="CV35" s="248"/>
      <c r="CW35" s="249"/>
      <c r="CX35" s="22"/>
      <c r="CZ35" s="40"/>
      <c r="DA35" s="22"/>
      <c r="DB35" s="31"/>
      <c r="DC35" s="34"/>
      <c r="DD35" s="248"/>
      <c r="DE35" s="249"/>
      <c r="DF35" s="22"/>
      <c r="DH35" s="40"/>
      <c r="DI35" s="36"/>
      <c r="DJ35" s="34"/>
      <c r="DK35" s="248"/>
      <c r="DL35" s="249"/>
      <c r="DM35" s="22"/>
      <c r="DO35" s="40"/>
      <c r="DP35" s="22"/>
      <c r="DQ35" s="31"/>
      <c r="DR35" s="34"/>
      <c r="DS35" s="248"/>
      <c r="DT35" s="249"/>
      <c r="DU35" s="22"/>
      <c r="DW35" s="40"/>
      <c r="DX35" s="36"/>
      <c r="DY35" s="34"/>
      <c r="DZ35" s="248"/>
      <c r="EA35" s="249"/>
      <c r="EB35" s="22"/>
      <c r="ED35" s="40"/>
      <c r="EE35" s="22"/>
      <c r="EF35" s="31"/>
      <c r="EG35" s="34"/>
      <c r="EH35" s="248"/>
      <c r="EI35" s="249"/>
      <c r="EJ35" s="22"/>
      <c r="EL35" s="40"/>
      <c r="EM35" s="36"/>
      <c r="EN35" s="34"/>
      <c r="EO35" s="248"/>
      <c r="EP35" s="249"/>
      <c r="EQ35" s="22"/>
      <c r="ES35" s="40"/>
      <c r="ET35" s="22"/>
    </row>
    <row r="36" spans="1:150" ht="15.6" customHeight="1">
      <c r="B36" s="25"/>
      <c r="C36" s="254"/>
      <c r="D36" s="255"/>
      <c r="E36" s="50"/>
      <c r="F36" s="257"/>
      <c r="G36" s="258"/>
      <c r="H36" s="26"/>
      <c r="I36" s="25"/>
      <c r="J36" s="254"/>
      <c r="K36" s="255"/>
      <c r="L36" s="50"/>
      <c r="M36" s="257"/>
      <c r="N36" s="258"/>
      <c r="Q36" s="25"/>
      <c r="R36" s="254"/>
      <c r="S36" s="255"/>
      <c r="T36" s="50"/>
      <c r="U36" s="257"/>
      <c r="V36" s="258"/>
      <c r="W36" s="26"/>
      <c r="X36" s="25"/>
      <c r="Y36" s="254"/>
      <c r="Z36" s="255"/>
      <c r="AA36" s="50"/>
      <c r="AB36" s="257"/>
      <c r="AC36" s="258"/>
      <c r="AF36" s="25"/>
      <c r="AG36" s="254"/>
      <c r="AH36" s="255"/>
      <c r="AI36" s="50"/>
      <c r="AJ36" s="257"/>
      <c r="AK36" s="258"/>
      <c r="AL36" s="26"/>
      <c r="AM36" s="25"/>
      <c r="AN36" s="254"/>
      <c r="AO36" s="255"/>
      <c r="AP36" s="50"/>
      <c r="AQ36" s="257"/>
      <c r="AR36" s="258"/>
      <c r="AU36" s="25"/>
      <c r="AV36" s="254"/>
      <c r="AW36" s="255"/>
      <c r="AX36" s="50"/>
      <c r="AY36" s="257"/>
      <c r="AZ36" s="258"/>
      <c r="BA36" s="26"/>
      <c r="BB36" s="25"/>
      <c r="BC36" s="254"/>
      <c r="BD36" s="255"/>
      <c r="BE36" s="50"/>
      <c r="BF36" s="257"/>
      <c r="BG36" s="258"/>
      <c r="BJ36" s="25"/>
      <c r="BK36" s="254"/>
      <c r="BL36" s="255"/>
      <c r="BM36" s="50"/>
      <c r="BN36" s="257"/>
      <c r="BO36" s="258"/>
      <c r="BP36" s="26"/>
      <c r="BQ36" s="25"/>
      <c r="BR36" s="254"/>
      <c r="BS36" s="255"/>
      <c r="BT36" s="50"/>
      <c r="BU36" s="257"/>
      <c r="BV36" s="258"/>
      <c r="BY36" s="25"/>
      <c r="BZ36" s="254"/>
      <c r="CA36" s="255"/>
      <c r="CB36" s="50"/>
      <c r="CC36" s="257"/>
      <c r="CD36" s="258"/>
      <c r="CE36" s="26"/>
      <c r="CF36" s="25"/>
      <c r="CG36" s="254"/>
      <c r="CH36" s="255"/>
      <c r="CI36" s="50"/>
      <c r="CJ36" s="257"/>
      <c r="CK36" s="258"/>
      <c r="CN36" s="25"/>
      <c r="CO36" s="254"/>
      <c r="CP36" s="255"/>
      <c r="CQ36" s="50"/>
      <c r="CR36" s="257"/>
      <c r="CS36" s="258"/>
      <c r="CT36" s="26"/>
      <c r="CU36" s="25"/>
      <c r="CV36" s="254"/>
      <c r="CW36" s="255"/>
      <c r="CX36" s="50"/>
      <c r="CY36" s="257"/>
      <c r="CZ36" s="258"/>
      <c r="DC36" s="25"/>
      <c r="DD36" s="254"/>
      <c r="DE36" s="255"/>
      <c r="DF36" s="50"/>
      <c r="DG36" s="257"/>
      <c r="DH36" s="258"/>
      <c r="DI36" s="26"/>
      <c r="DJ36" s="25"/>
      <c r="DK36" s="254"/>
      <c r="DL36" s="255"/>
      <c r="DM36" s="50"/>
      <c r="DN36" s="257"/>
      <c r="DO36" s="258"/>
      <c r="DR36" s="25"/>
      <c r="DS36" s="254"/>
      <c r="DT36" s="255"/>
      <c r="DU36" s="50"/>
      <c r="DV36" s="257"/>
      <c r="DW36" s="258"/>
      <c r="DX36" s="26"/>
      <c r="DY36" s="25"/>
      <c r="DZ36" s="254"/>
      <c r="EA36" s="255"/>
      <c r="EB36" s="50"/>
      <c r="EC36" s="257"/>
      <c r="ED36" s="258"/>
      <c r="EG36" s="25"/>
      <c r="EH36" s="254"/>
      <c r="EI36" s="255"/>
      <c r="EJ36" s="50"/>
      <c r="EK36" s="257"/>
      <c r="EL36" s="258"/>
      <c r="EM36" s="26"/>
      <c r="EN36" s="25"/>
      <c r="EO36" s="254"/>
      <c r="EP36" s="255"/>
      <c r="EQ36" s="50"/>
      <c r="ER36" s="257"/>
      <c r="ES36" s="258"/>
    </row>
    <row r="37" spans="1:150" ht="15.6" customHeight="1">
      <c r="B37" s="27"/>
      <c r="C37" s="256"/>
      <c r="D37" s="256"/>
      <c r="E37" s="44"/>
      <c r="F37" s="256"/>
      <c r="G37" s="253"/>
      <c r="H37" s="26"/>
      <c r="I37" s="27"/>
      <c r="J37" s="256"/>
      <c r="K37" s="256"/>
      <c r="L37" s="44"/>
      <c r="M37" s="256"/>
      <c r="N37" s="253"/>
      <c r="Q37" s="27"/>
      <c r="R37" s="256"/>
      <c r="S37" s="256"/>
      <c r="T37" s="44"/>
      <c r="U37" s="256"/>
      <c r="V37" s="253"/>
      <c r="W37" s="26"/>
      <c r="X37" s="27"/>
      <c r="Y37" s="256"/>
      <c r="Z37" s="256"/>
      <c r="AA37" s="44"/>
      <c r="AB37" s="256"/>
      <c r="AC37" s="253"/>
      <c r="AF37" s="27"/>
      <c r="AG37" s="256"/>
      <c r="AH37" s="256"/>
      <c r="AI37" s="44"/>
      <c r="AJ37" s="256"/>
      <c r="AK37" s="253"/>
      <c r="AL37" s="26"/>
      <c r="AM37" s="27"/>
      <c r="AN37" s="256"/>
      <c r="AO37" s="256"/>
      <c r="AP37" s="44"/>
      <c r="AQ37" s="256"/>
      <c r="AR37" s="253"/>
      <c r="AU37" s="27"/>
      <c r="AV37" s="256"/>
      <c r="AW37" s="256"/>
      <c r="AX37" s="44"/>
      <c r="AY37" s="256"/>
      <c r="AZ37" s="253"/>
      <c r="BA37" s="26"/>
      <c r="BB37" s="27"/>
      <c r="BC37" s="256"/>
      <c r="BD37" s="256"/>
      <c r="BE37" s="44"/>
      <c r="BF37" s="256"/>
      <c r="BG37" s="253"/>
      <c r="BJ37" s="27"/>
      <c r="BK37" s="256"/>
      <c r="BL37" s="256"/>
      <c r="BM37" s="44"/>
      <c r="BN37" s="256"/>
      <c r="BO37" s="253"/>
      <c r="BP37" s="26"/>
      <c r="BQ37" s="27"/>
      <c r="BR37" s="256"/>
      <c r="BS37" s="256"/>
      <c r="BT37" s="44"/>
      <c r="BU37" s="256"/>
      <c r="BV37" s="253"/>
      <c r="BY37" s="27"/>
      <c r="BZ37" s="256"/>
      <c r="CA37" s="256"/>
      <c r="CB37" s="44"/>
      <c r="CC37" s="256"/>
      <c r="CD37" s="253"/>
      <c r="CE37" s="26"/>
      <c r="CF37" s="27"/>
      <c r="CG37" s="256"/>
      <c r="CH37" s="256"/>
      <c r="CI37" s="44"/>
      <c r="CJ37" s="256"/>
      <c r="CK37" s="253"/>
      <c r="CN37" s="27"/>
      <c r="CO37" s="256"/>
      <c r="CP37" s="256"/>
      <c r="CQ37" s="44"/>
      <c r="CR37" s="256"/>
      <c r="CS37" s="253"/>
      <c r="CT37" s="26"/>
      <c r="CU37" s="27"/>
      <c r="CV37" s="256"/>
      <c r="CW37" s="256"/>
      <c r="CX37" s="44"/>
      <c r="CY37" s="256"/>
      <c r="CZ37" s="253"/>
      <c r="DC37" s="27"/>
      <c r="DD37" s="256"/>
      <c r="DE37" s="256"/>
      <c r="DF37" s="44"/>
      <c r="DG37" s="256"/>
      <c r="DH37" s="253"/>
      <c r="DI37" s="26"/>
      <c r="DJ37" s="27"/>
      <c r="DK37" s="256"/>
      <c r="DL37" s="256"/>
      <c r="DM37" s="44"/>
      <c r="DN37" s="256"/>
      <c r="DO37" s="253"/>
      <c r="DR37" s="27"/>
      <c r="DS37" s="256"/>
      <c r="DT37" s="256"/>
      <c r="DU37" s="44"/>
      <c r="DV37" s="256"/>
      <c r="DW37" s="253"/>
      <c r="DX37" s="26"/>
      <c r="DY37" s="27"/>
      <c r="DZ37" s="256"/>
      <c r="EA37" s="256"/>
      <c r="EB37" s="44"/>
      <c r="EC37" s="256"/>
      <c r="ED37" s="253"/>
      <c r="EG37" s="27"/>
      <c r="EH37" s="256"/>
      <c r="EI37" s="256"/>
      <c r="EJ37" s="44"/>
      <c r="EK37" s="256"/>
      <c r="EL37" s="253"/>
      <c r="EM37" s="26"/>
      <c r="EN37" s="27"/>
      <c r="EO37" s="256"/>
      <c r="EP37" s="256"/>
      <c r="EQ37" s="44"/>
      <c r="ER37" s="256"/>
      <c r="ES37" s="253"/>
    </row>
    <row r="38" spans="1:150" s="32" customFormat="1">
      <c r="A38" s="31"/>
      <c r="B38" s="37"/>
      <c r="C38" s="35"/>
      <c r="D38" s="37"/>
      <c r="E38" s="35"/>
      <c r="F38" s="37"/>
      <c r="G38" s="40"/>
      <c r="H38" s="22"/>
      <c r="I38" s="37"/>
      <c r="J38" s="35"/>
      <c r="K38" s="37"/>
      <c r="L38" s="35"/>
      <c r="M38" s="37"/>
      <c r="N38" s="40"/>
      <c r="O38" s="22"/>
      <c r="P38" s="31"/>
      <c r="Q38" s="37"/>
      <c r="R38" s="35"/>
      <c r="S38" s="37"/>
      <c r="T38" s="35"/>
      <c r="U38" s="37"/>
      <c r="V38" s="40"/>
      <c r="W38" s="22"/>
      <c r="X38" s="37"/>
      <c r="Y38" s="35"/>
      <c r="Z38" s="37"/>
      <c r="AA38" s="35"/>
      <c r="AB38" s="37"/>
      <c r="AC38" s="40"/>
      <c r="AD38" s="22"/>
      <c r="AE38" s="31"/>
      <c r="AF38" s="37"/>
      <c r="AG38" s="35"/>
      <c r="AH38" s="37"/>
      <c r="AI38" s="35"/>
      <c r="AJ38" s="37"/>
      <c r="AK38" s="40"/>
      <c r="AL38" s="22"/>
      <c r="AM38" s="37"/>
      <c r="AN38" s="35"/>
      <c r="AO38" s="37"/>
      <c r="AP38" s="35"/>
      <c r="AQ38" s="37"/>
      <c r="AR38" s="40"/>
      <c r="AS38" s="22"/>
      <c r="AT38" s="31"/>
      <c r="AU38" s="37"/>
      <c r="AV38" s="35"/>
      <c r="AW38" s="37"/>
      <c r="AX38" s="35"/>
      <c r="AY38" s="37"/>
      <c r="AZ38" s="40"/>
      <c r="BA38" s="22"/>
      <c r="BB38" s="37"/>
      <c r="BC38" s="35"/>
      <c r="BD38" s="37"/>
      <c r="BE38" s="35"/>
      <c r="BF38" s="37"/>
      <c r="BG38" s="40"/>
      <c r="BH38" s="22"/>
      <c r="BI38" s="31"/>
      <c r="BJ38" s="37"/>
      <c r="BK38" s="35"/>
      <c r="BL38" s="37"/>
      <c r="BM38" s="35"/>
      <c r="BN38" s="37"/>
      <c r="BO38" s="40"/>
      <c r="BP38" s="22"/>
      <c r="BQ38" s="37"/>
      <c r="BR38" s="35"/>
      <c r="BS38" s="37"/>
      <c r="BT38" s="35"/>
      <c r="BU38" s="37"/>
      <c r="BV38" s="40"/>
      <c r="BW38" s="22"/>
      <c r="BX38" s="31"/>
      <c r="BY38" s="37"/>
      <c r="BZ38" s="35"/>
      <c r="CA38" s="37"/>
      <c r="CB38" s="35"/>
      <c r="CC38" s="37"/>
      <c r="CD38" s="40"/>
      <c r="CE38" s="22"/>
      <c r="CF38" s="37"/>
      <c r="CG38" s="35"/>
      <c r="CH38" s="37"/>
      <c r="CI38" s="35"/>
      <c r="CJ38" s="37"/>
      <c r="CK38" s="40"/>
      <c r="CL38" s="22"/>
      <c r="CM38" s="31"/>
      <c r="CN38" s="37"/>
      <c r="CO38" s="35"/>
      <c r="CP38" s="37"/>
      <c r="CQ38" s="35"/>
      <c r="CR38" s="37"/>
      <c r="CS38" s="40"/>
      <c r="CT38" s="22"/>
      <c r="CU38" s="37"/>
      <c r="CV38" s="35"/>
      <c r="CW38" s="37"/>
      <c r="CX38" s="35"/>
      <c r="CY38" s="37"/>
      <c r="CZ38" s="40"/>
      <c r="DA38" s="22"/>
      <c r="DB38" s="31"/>
      <c r="DC38" s="37"/>
      <c r="DD38" s="35"/>
      <c r="DE38" s="37"/>
      <c r="DF38" s="35"/>
      <c r="DG38" s="37"/>
      <c r="DH38" s="40"/>
      <c r="DI38" s="22"/>
      <c r="DJ38" s="37"/>
      <c r="DK38" s="35"/>
      <c r="DL38" s="37"/>
      <c r="DM38" s="35"/>
      <c r="DN38" s="37"/>
      <c r="DO38" s="40"/>
      <c r="DP38" s="22"/>
      <c r="DQ38" s="31"/>
      <c r="DR38" s="37"/>
      <c r="DS38" s="35"/>
      <c r="DT38" s="37"/>
      <c r="DU38" s="35"/>
      <c r="DV38" s="37"/>
      <c r="DW38" s="40"/>
      <c r="DX38" s="22"/>
      <c r="DY38" s="37"/>
      <c r="DZ38" s="35"/>
      <c r="EA38" s="37"/>
      <c r="EB38" s="35"/>
      <c r="EC38" s="37"/>
      <c r="ED38" s="40"/>
      <c r="EE38" s="22"/>
      <c r="EF38" s="31"/>
      <c r="EG38" s="37"/>
      <c r="EH38" s="35"/>
      <c r="EI38" s="37"/>
      <c r="EJ38" s="35"/>
      <c r="EK38" s="37"/>
      <c r="EL38" s="40"/>
      <c r="EM38" s="22"/>
      <c r="EN38" s="37"/>
      <c r="EO38" s="35"/>
      <c r="EP38" s="37"/>
      <c r="EQ38" s="35"/>
      <c r="ER38" s="37"/>
      <c r="ES38" s="40"/>
      <c r="ET38" s="22"/>
    </row>
    <row r="39" spans="1:150" ht="27.6" customHeight="1">
      <c r="B39" s="259"/>
      <c r="C39" s="253"/>
      <c r="D39" s="259"/>
      <c r="E39" s="253"/>
      <c r="F39" s="252"/>
      <c r="G39" s="253"/>
      <c r="I39" s="259"/>
      <c r="J39" s="253"/>
      <c r="K39" s="259"/>
      <c r="L39" s="253"/>
      <c r="M39" s="252"/>
      <c r="N39" s="253"/>
      <c r="Q39" s="259"/>
      <c r="R39" s="253"/>
      <c r="S39" s="259"/>
      <c r="T39" s="253"/>
      <c r="U39" s="252"/>
      <c r="V39" s="253"/>
      <c r="X39" s="259"/>
      <c r="Y39" s="253"/>
      <c r="Z39" s="259"/>
      <c r="AA39" s="253"/>
      <c r="AB39" s="252"/>
      <c r="AC39" s="253"/>
      <c r="AF39" s="259"/>
      <c r="AG39" s="253"/>
      <c r="AH39" s="259"/>
      <c r="AI39" s="253"/>
      <c r="AJ39" s="252"/>
      <c r="AK39" s="253"/>
      <c r="AM39" s="259"/>
      <c r="AN39" s="253"/>
      <c r="AO39" s="259"/>
      <c r="AP39" s="253"/>
      <c r="AQ39" s="252"/>
      <c r="AR39" s="253"/>
      <c r="AU39" s="259"/>
      <c r="AV39" s="253"/>
      <c r="AW39" s="259"/>
      <c r="AX39" s="253"/>
      <c r="AY39" s="252"/>
      <c r="AZ39" s="253"/>
      <c r="BB39" s="259"/>
      <c r="BC39" s="253"/>
      <c r="BD39" s="259"/>
      <c r="BE39" s="253"/>
      <c r="BF39" s="252"/>
      <c r="BG39" s="253"/>
      <c r="BJ39" s="259"/>
      <c r="BK39" s="253"/>
      <c r="BL39" s="259"/>
      <c r="BM39" s="253"/>
      <c r="BN39" s="252"/>
      <c r="BO39" s="253"/>
      <c r="BQ39" s="259"/>
      <c r="BR39" s="253"/>
      <c r="BS39" s="259"/>
      <c r="BT39" s="253"/>
      <c r="BU39" s="252"/>
      <c r="BV39" s="253"/>
      <c r="BY39" s="259"/>
      <c r="BZ39" s="253"/>
      <c r="CA39" s="259"/>
      <c r="CB39" s="253"/>
      <c r="CC39" s="252"/>
      <c r="CD39" s="253"/>
      <c r="CF39" s="259"/>
      <c r="CG39" s="253"/>
      <c r="CH39" s="259"/>
      <c r="CI39" s="253"/>
      <c r="CJ39" s="252"/>
      <c r="CK39" s="253"/>
      <c r="CN39" s="259"/>
      <c r="CO39" s="253"/>
      <c r="CP39" s="259"/>
      <c r="CQ39" s="253"/>
      <c r="CR39" s="252"/>
      <c r="CS39" s="253"/>
      <c r="CU39" s="259"/>
      <c r="CV39" s="253"/>
      <c r="CW39" s="259"/>
      <c r="CX39" s="253"/>
      <c r="CY39" s="252"/>
      <c r="CZ39" s="253"/>
      <c r="DC39" s="259"/>
      <c r="DD39" s="253"/>
      <c r="DE39" s="259"/>
      <c r="DF39" s="253"/>
      <c r="DG39" s="252"/>
      <c r="DH39" s="253"/>
      <c r="DJ39" s="259"/>
      <c r="DK39" s="253"/>
      <c r="DL39" s="259"/>
      <c r="DM39" s="253"/>
      <c r="DN39" s="252"/>
      <c r="DO39" s="253"/>
      <c r="DR39" s="259"/>
      <c r="DS39" s="253"/>
      <c r="DT39" s="259"/>
      <c r="DU39" s="253"/>
      <c r="DV39" s="252"/>
      <c r="DW39" s="253"/>
      <c r="DY39" s="259"/>
      <c r="DZ39" s="253"/>
      <c r="EA39" s="259"/>
      <c r="EB39" s="253"/>
      <c r="EC39" s="252"/>
      <c r="ED39" s="253"/>
      <c r="EG39" s="259"/>
      <c r="EH39" s="253"/>
      <c r="EI39" s="259"/>
      <c r="EJ39" s="253"/>
      <c r="EK39" s="252"/>
      <c r="EL39" s="253"/>
      <c r="EN39" s="259"/>
      <c r="EO39" s="253"/>
      <c r="EP39" s="259"/>
      <c r="EQ39" s="253"/>
      <c r="ER39" s="252"/>
      <c r="ES39" s="253"/>
    </row>
    <row r="40" spans="1:150" ht="6.6" customHeight="1">
      <c r="B40" s="45"/>
      <c r="D40" s="45"/>
      <c r="F40" s="46"/>
      <c r="I40" s="45"/>
      <c r="K40" s="45"/>
      <c r="M40" s="46"/>
      <c r="Q40" s="45"/>
      <c r="S40" s="45"/>
      <c r="U40" s="46"/>
      <c r="X40" s="45"/>
      <c r="Z40" s="45"/>
      <c r="AB40" s="46"/>
      <c r="AF40" s="45"/>
      <c r="AH40" s="45"/>
      <c r="AJ40" s="46"/>
      <c r="AM40" s="45"/>
      <c r="AO40" s="45"/>
      <c r="AQ40" s="46"/>
      <c r="AU40" s="45"/>
      <c r="AW40" s="45"/>
      <c r="AY40" s="46"/>
      <c r="BB40" s="45"/>
      <c r="BD40" s="45"/>
      <c r="BF40" s="46"/>
      <c r="BJ40" s="45"/>
      <c r="BL40" s="45"/>
      <c r="BN40" s="46"/>
      <c r="BQ40" s="45"/>
      <c r="BS40" s="45"/>
      <c r="BU40" s="46"/>
      <c r="BY40" s="45"/>
      <c r="CA40" s="45"/>
      <c r="CC40" s="46"/>
      <c r="CF40" s="45"/>
      <c r="CH40" s="45"/>
      <c r="CJ40" s="46"/>
      <c r="CN40" s="45"/>
      <c r="CP40" s="45"/>
      <c r="CR40" s="46"/>
      <c r="CU40" s="45"/>
      <c r="CW40" s="45"/>
      <c r="CY40" s="46"/>
      <c r="DC40" s="45"/>
      <c r="DE40" s="45"/>
      <c r="DG40" s="46"/>
      <c r="DJ40" s="45"/>
      <c r="DL40" s="45"/>
      <c r="DN40" s="46"/>
      <c r="DR40" s="45"/>
      <c r="DT40" s="45"/>
      <c r="DV40" s="46"/>
      <c r="DY40" s="45"/>
      <c r="EA40" s="45"/>
      <c r="EC40" s="46"/>
      <c r="EG40" s="45"/>
      <c r="EI40" s="45"/>
      <c r="EK40" s="46"/>
      <c r="EN40" s="45"/>
      <c r="EP40" s="45"/>
      <c r="ER40" s="46"/>
    </row>
    <row r="41" spans="1:150" s="32" customFormat="1" ht="25.8" customHeight="1">
      <c r="A41" s="31"/>
      <c r="B41" s="43"/>
      <c r="C41" s="250"/>
      <c r="D41" s="251"/>
      <c r="E41" s="251"/>
      <c r="F41" s="251"/>
      <c r="G41" s="42"/>
      <c r="H41" s="36"/>
      <c r="I41" s="43"/>
      <c r="J41" s="250"/>
      <c r="K41" s="251"/>
      <c r="L41" s="251"/>
      <c r="M41" s="251"/>
      <c r="N41" s="42"/>
      <c r="O41" s="22"/>
      <c r="P41" s="31"/>
      <c r="Q41" s="43"/>
      <c r="R41" s="250"/>
      <c r="S41" s="251"/>
      <c r="T41" s="251"/>
      <c r="U41" s="251"/>
      <c r="V41" s="42"/>
      <c r="W41" s="36"/>
      <c r="X41" s="43"/>
      <c r="Y41" s="250"/>
      <c r="Z41" s="251"/>
      <c r="AA41" s="251"/>
      <c r="AB41" s="251"/>
      <c r="AC41" s="42"/>
      <c r="AD41" s="22"/>
      <c r="AE41" s="31"/>
      <c r="AF41" s="43"/>
      <c r="AG41" s="250"/>
      <c r="AH41" s="251"/>
      <c r="AI41" s="251"/>
      <c r="AJ41" s="251"/>
      <c r="AK41" s="42"/>
      <c r="AL41" s="36"/>
      <c r="AM41" s="43"/>
      <c r="AN41" s="250"/>
      <c r="AO41" s="251"/>
      <c r="AP41" s="251"/>
      <c r="AQ41" s="251"/>
      <c r="AR41" s="42"/>
      <c r="AS41" s="22"/>
      <c r="AT41" s="31"/>
      <c r="AU41" s="43"/>
      <c r="AV41" s="250"/>
      <c r="AW41" s="251"/>
      <c r="AX41" s="251"/>
      <c r="AY41" s="251"/>
      <c r="AZ41" s="42"/>
      <c r="BA41" s="36"/>
      <c r="BB41" s="43"/>
      <c r="BC41" s="250"/>
      <c r="BD41" s="251"/>
      <c r="BE41" s="251"/>
      <c r="BF41" s="251"/>
      <c r="BG41" s="42"/>
      <c r="BH41" s="22"/>
      <c r="BI41" s="31"/>
      <c r="BJ41" s="43"/>
      <c r="BK41" s="250"/>
      <c r="BL41" s="251"/>
      <c r="BM41" s="251"/>
      <c r="BN41" s="251"/>
      <c r="BO41" s="42"/>
      <c r="BP41" s="36"/>
      <c r="BQ41" s="43"/>
      <c r="BR41" s="250"/>
      <c r="BS41" s="251"/>
      <c r="BT41" s="251"/>
      <c r="BU41" s="251"/>
      <c r="BV41" s="42"/>
      <c r="BW41" s="22"/>
      <c r="BX41" s="31"/>
      <c r="BY41" s="43"/>
      <c r="BZ41" s="250"/>
      <c r="CA41" s="251"/>
      <c r="CB41" s="251"/>
      <c r="CC41" s="251"/>
      <c r="CD41" s="42"/>
      <c r="CE41" s="36"/>
      <c r="CF41" s="43"/>
      <c r="CG41" s="250"/>
      <c r="CH41" s="251"/>
      <c r="CI41" s="251"/>
      <c r="CJ41" s="251"/>
      <c r="CK41" s="42"/>
      <c r="CL41" s="22"/>
      <c r="CM41" s="31"/>
      <c r="CN41" s="43"/>
      <c r="CO41" s="250"/>
      <c r="CP41" s="251"/>
      <c r="CQ41" s="251"/>
      <c r="CR41" s="251"/>
      <c r="CS41" s="42"/>
      <c r="CT41" s="36"/>
      <c r="CU41" s="43"/>
      <c r="CV41" s="250"/>
      <c r="CW41" s="251"/>
      <c r="CX41" s="251"/>
      <c r="CY41" s="251"/>
      <c r="CZ41" s="42"/>
      <c r="DA41" s="22"/>
      <c r="DB41" s="31"/>
      <c r="DC41" s="43"/>
      <c r="DD41" s="250"/>
      <c r="DE41" s="251"/>
      <c r="DF41" s="251"/>
      <c r="DG41" s="251"/>
      <c r="DH41" s="42"/>
      <c r="DI41" s="36"/>
      <c r="DJ41" s="43"/>
      <c r="DK41" s="250"/>
      <c r="DL41" s="251"/>
      <c r="DM41" s="251"/>
      <c r="DN41" s="251"/>
      <c r="DO41" s="42"/>
      <c r="DP41" s="22"/>
      <c r="DQ41" s="31"/>
      <c r="DR41" s="43"/>
      <c r="DS41" s="250"/>
      <c r="DT41" s="251"/>
      <c r="DU41" s="251"/>
      <c r="DV41" s="251"/>
      <c r="DW41" s="42"/>
      <c r="DX41" s="36"/>
      <c r="DY41" s="43"/>
      <c r="DZ41" s="250"/>
      <c r="EA41" s="251"/>
      <c r="EB41" s="251"/>
      <c r="EC41" s="251"/>
      <c r="ED41" s="42"/>
      <c r="EE41" s="22"/>
      <c r="EF41" s="31"/>
      <c r="EG41" s="43"/>
      <c r="EH41" s="250"/>
      <c r="EI41" s="251"/>
      <c r="EJ41" s="251"/>
      <c r="EK41" s="251"/>
      <c r="EL41" s="42"/>
      <c r="EM41" s="36"/>
      <c r="EN41" s="43"/>
      <c r="EO41" s="250"/>
      <c r="EP41" s="251"/>
      <c r="EQ41" s="251"/>
      <c r="ER41" s="251"/>
      <c r="ES41" s="42"/>
      <c r="ET41" s="22"/>
    </row>
    <row r="42" spans="1:150" s="32" customFormat="1">
      <c r="A42" s="31"/>
      <c r="B42" s="33"/>
      <c r="C42" s="47"/>
      <c r="D42" s="41"/>
      <c r="E42" s="41"/>
      <c r="F42" s="48"/>
      <c r="G42" s="39"/>
      <c r="H42" s="49"/>
      <c r="I42" s="33"/>
      <c r="J42" s="47"/>
      <c r="K42" s="41"/>
      <c r="L42" s="41"/>
      <c r="M42" s="48"/>
      <c r="N42" s="39"/>
      <c r="O42" s="22"/>
      <c r="P42" s="31"/>
      <c r="Q42" s="33"/>
      <c r="R42" s="47"/>
      <c r="S42" s="41"/>
      <c r="T42" s="41"/>
      <c r="U42" s="48"/>
      <c r="V42" s="39"/>
      <c r="W42" s="49"/>
      <c r="X42" s="33"/>
      <c r="Y42" s="47"/>
      <c r="Z42" s="41"/>
      <c r="AA42" s="41"/>
      <c r="AB42" s="48"/>
      <c r="AC42" s="39"/>
      <c r="AD42" s="22"/>
      <c r="AE42" s="31"/>
      <c r="AF42" s="33"/>
      <c r="AG42" s="47"/>
      <c r="AH42" s="41"/>
      <c r="AI42" s="41"/>
      <c r="AJ42" s="48"/>
      <c r="AK42" s="39"/>
      <c r="AL42" s="49"/>
      <c r="AM42" s="33"/>
      <c r="AN42" s="47"/>
      <c r="AO42" s="41"/>
      <c r="AP42" s="41"/>
      <c r="AQ42" s="48"/>
      <c r="AR42" s="39"/>
      <c r="AS42" s="22"/>
      <c r="AT42" s="31"/>
      <c r="AU42" s="33"/>
      <c r="AV42" s="47"/>
      <c r="AW42" s="41"/>
      <c r="AX42" s="41"/>
      <c r="AY42" s="48"/>
      <c r="AZ42" s="39"/>
      <c r="BA42" s="49"/>
      <c r="BB42" s="33"/>
      <c r="BC42" s="47"/>
      <c r="BD42" s="41"/>
      <c r="BE42" s="41"/>
      <c r="BF42" s="48"/>
      <c r="BG42" s="39"/>
      <c r="BH42" s="22"/>
      <c r="BI42" s="31"/>
      <c r="BJ42" s="33"/>
      <c r="BK42" s="47"/>
      <c r="BL42" s="41"/>
      <c r="BM42" s="41"/>
      <c r="BN42" s="48"/>
      <c r="BO42" s="39"/>
      <c r="BP42" s="49"/>
      <c r="BQ42" s="33"/>
      <c r="BR42" s="47"/>
      <c r="BS42" s="41"/>
      <c r="BT42" s="41"/>
      <c r="BU42" s="48"/>
      <c r="BV42" s="39"/>
      <c r="BW42" s="22"/>
      <c r="BX42" s="31"/>
      <c r="BY42" s="33"/>
      <c r="BZ42" s="47"/>
      <c r="CA42" s="41"/>
      <c r="CB42" s="41"/>
      <c r="CC42" s="48"/>
      <c r="CD42" s="39"/>
      <c r="CE42" s="49"/>
      <c r="CF42" s="33"/>
      <c r="CG42" s="47"/>
      <c r="CH42" s="41"/>
      <c r="CI42" s="41"/>
      <c r="CJ42" s="48"/>
      <c r="CK42" s="39"/>
      <c r="CL42" s="22"/>
      <c r="CM42" s="31"/>
      <c r="CN42" s="33"/>
      <c r="CO42" s="47"/>
      <c r="CP42" s="41"/>
      <c r="CQ42" s="41"/>
      <c r="CR42" s="48"/>
      <c r="CS42" s="39"/>
      <c r="CT42" s="49"/>
      <c r="CU42" s="33"/>
      <c r="CV42" s="47"/>
      <c r="CW42" s="41"/>
      <c r="CX42" s="41"/>
      <c r="CY42" s="48"/>
      <c r="CZ42" s="39"/>
      <c r="DA42" s="22"/>
      <c r="DB42" s="31"/>
      <c r="DC42" s="33"/>
      <c r="DD42" s="47"/>
      <c r="DE42" s="41"/>
      <c r="DF42" s="41"/>
      <c r="DG42" s="48"/>
      <c r="DH42" s="39"/>
      <c r="DI42" s="49"/>
      <c r="DJ42" s="33"/>
      <c r="DK42" s="47"/>
      <c r="DL42" s="41"/>
      <c r="DM42" s="41"/>
      <c r="DN42" s="48"/>
      <c r="DO42" s="39"/>
      <c r="DP42" s="22"/>
      <c r="DQ42" s="31"/>
      <c r="DR42" s="33"/>
      <c r="DS42" s="47"/>
      <c r="DT42" s="41"/>
      <c r="DU42" s="41"/>
      <c r="DV42" s="48"/>
      <c r="DW42" s="39"/>
      <c r="DX42" s="49"/>
      <c r="DY42" s="33"/>
      <c r="DZ42" s="47"/>
      <c r="EA42" s="41"/>
      <c r="EB42" s="41"/>
      <c r="EC42" s="48"/>
      <c r="ED42" s="39"/>
      <c r="EE42" s="22"/>
      <c r="EF42" s="31"/>
      <c r="EG42" s="33"/>
      <c r="EH42" s="47"/>
      <c r="EI42" s="41"/>
      <c r="EJ42" s="41"/>
      <c r="EK42" s="48"/>
      <c r="EL42" s="39"/>
      <c r="EM42" s="49"/>
      <c r="EN42" s="33"/>
      <c r="EO42" s="47"/>
      <c r="EP42" s="41"/>
      <c r="EQ42" s="41"/>
      <c r="ER42" s="48"/>
      <c r="ES42" s="39"/>
      <c r="ET42" s="22"/>
    </row>
    <row r="43" spans="1:150" s="32" customFormat="1">
      <c r="A43" s="31"/>
      <c r="B43" s="34"/>
      <c r="C43" s="248"/>
      <c r="D43" s="249"/>
      <c r="E43" s="22"/>
      <c r="G43" s="40"/>
      <c r="H43" s="36"/>
      <c r="I43" s="34"/>
      <c r="J43" s="248"/>
      <c r="K43" s="249"/>
      <c r="L43" s="22"/>
      <c r="N43" s="40"/>
      <c r="O43" s="22"/>
      <c r="P43" s="31"/>
      <c r="Q43" s="34"/>
      <c r="R43" s="248"/>
      <c r="S43" s="249"/>
      <c r="T43" s="22"/>
      <c r="V43" s="40"/>
      <c r="W43" s="36"/>
      <c r="X43" s="34"/>
      <c r="Y43" s="248"/>
      <c r="Z43" s="249"/>
      <c r="AA43" s="22"/>
      <c r="AC43" s="40"/>
      <c r="AD43" s="22"/>
      <c r="AE43" s="31"/>
      <c r="AF43" s="34"/>
      <c r="AG43" s="248"/>
      <c r="AH43" s="249"/>
      <c r="AI43" s="22"/>
      <c r="AK43" s="40"/>
      <c r="AL43" s="36"/>
      <c r="AM43" s="34"/>
      <c r="AN43" s="248"/>
      <c r="AO43" s="249"/>
      <c r="AP43" s="22"/>
      <c r="AR43" s="40"/>
      <c r="AS43" s="22"/>
      <c r="AT43" s="31"/>
      <c r="AU43" s="34"/>
      <c r="AV43" s="248"/>
      <c r="AW43" s="249"/>
      <c r="AX43" s="22"/>
      <c r="AZ43" s="40"/>
      <c r="BA43" s="36"/>
      <c r="BB43" s="34"/>
      <c r="BC43" s="248"/>
      <c r="BD43" s="249"/>
      <c r="BE43" s="22"/>
      <c r="BG43" s="40"/>
      <c r="BH43" s="22"/>
      <c r="BI43" s="31"/>
      <c r="BJ43" s="34"/>
      <c r="BK43" s="248"/>
      <c r="BL43" s="249"/>
      <c r="BM43" s="22"/>
      <c r="BO43" s="40"/>
      <c r="BP43" s="36"/>
      <c r="BQ43" s="34"/>
      <c r="BR43" s="248"/>
      <c r="BS43" s="249"/>
      <c r="BT43" s="22"/>
      <c r="BV43" s="40"/>
      <c r="BW43" s="22"/>
      <c r="BX43" s="31"/>
      <c r="BY43" s="34"/>
      <c r="BZ43" s="248"/>
      <c r="CA43" s="249"/>
      <c r="CB43" s="22"/>
      <c r="CD43" s="40"/>
      <c r="CE43" s="36"/>
      <c r="CF43" s="34"/>
      <c r="CG43" s="248"/>
      <c r="CH43" s="249"/>
      <c r="CI43" s="22"/>
      <c r="CK43" s="40"/>
      <c r="CL43" s="22"/>
      <c r="CM43" s="31"/>
      <c r="CN43" s="34"/>
      <c r="CO43" s="248"/>
      <c r="CP43" s="249"/>
      <c r="CQ43" s="22"/>
      <c r="CS43" s="40"/>
      <c r="CT43" s="36"/>
      <c r="CU43" s="34"/>
      <c r="CV43" s="248"/>
      <c r="CW43" s="249"/>
      <c r="CX43" s="22"/>
      <c r="CZ43" s="40"/>
      <c r="DA43" s="22"/>
      <c r="DB43" s="31"/>
      <c r="DC43" s="34"/>
      <c r="DD43" s="248"/>
      <c r="DE43" s="249"/>
      <c r="DF43" s="22"/>
      <c r="DH43" s="40"/>
      <c r="DI43" s="36"/>
      <c r="DJ43" s="34"/>
      <c r="DK43" s="248"/>
      <c r="DL43" s="249"/>
      <c r="DM43" s="22"/>
      <c r="DO43" s="40"/>
      <c r="DP43" s="22"/>
      <c r="DQ43" s="31"/>
      <c r="DR43" s="34"/>
      <c r="DS43" s="248"/>
      <c r="DT43" s="249"/>
      <c r="DU43" s="22"/>
      <c r="DW43" s="40"/>
      <c r="DX43" s="36"/>
      <c r="DY43" s="34"/>
      <c r="DZ43" s="248"/>
      <c r="EA43" s="249"/>
      <c r="EB43" s="22"/>
      <c r="ED43" s="40"/>
      <c r="EE43" s="22"/>
      <c r="EF43" s="31"/>
      <c r="EG43" s="34"/>
      <c r="EH43" s="248"/>
      <c r="EI43" s="249"/>
      <c r="EJ43" s="22"/>
      <c r="EL43" s="40"/>
      <c r="EM43" s="36"/>
      <c r="EN43" s="34"/>
      <c r="EO43" s="248"/>
      <c r="EP43" s="249"/>
      <c r="EQ43" s="22"/>
      <c r="ES43" s="40"/>
      <c r="ET43" s="22"/>
    </row>
    <row r="44" spans="1:150" ht="15.6" customHeight="1">
      <c r="B44" s="25"/>
      <c r="C44" s="254"/>
      <c r="D44" s="255"/>
      <c r="E44" s="50"/>
      <c r="F44" s="257"/>
      <c r="G44" s="258"/>
      <c r="H44" s="26"/>
      <c r="I44" s="25"/>
      <c r="J44" s="254"/>
      <c r="K44" s="255"/>
      <c r="L44" s="50"/>
      <c r="M44" s="257"/>
      <c r="N44" s="258"/>
      <c r="Q44" s="25"/>
      <c r="R44" s="254"/>
      <c r="S44" s="255"/>
      <c r="T44" s="50"/>
      <c r="U44" s="257"/>
      <c r="V44" s="258"/>
      <c r="W44" s="26"/>
      <c r="X44" s="25"/>
      <c r="Y44" s="254"/>
      <c r="Z44" s="255"/>
      <c r="AA44" s="50"/>
      <c r="AB44" s="257"/>
      <c r="AC44" s="258"/>
      <c r="AF44" s="25"/>
      <c r="AG44" s="254"/>
      <c r="AH44" s="255"/>
      <c r="AI44" s="50"/>
      <c r="AJ44" s="257"/>
      <c r="AK44" s="258"/>
      <c r="AL44" s="26"/>
      <c r="AM44" s="25"/>
      <c r="AN44" s="254"/>
      <c r="AO44" s="255"/>
      <c r="AP44" s="50"/>
      <c r="AQ44" s="257"/>
      <c r="AR44" s="258"/>
      <c r="AU44" s="25"/>
      <c r="AV44" s="254"/>
      <c r="AW44" s="255"/>
      <c r="AX44" s="50"/>
      <c r="AY44" s="257"/>
      <c r="AZ44" s="258"/>
      <c r="BA44" s="26"/>
      <c r="BB44" s="25"/>
      <c r="BC44" s="254"/>
      <c r="BD44" s="255"/>
      <c r="BE44" s="50"/>
      <c r="BF44" s="257"/>
      <c r="BG44" s="258"/>
      <c r="BJ44" s="25"/>
      <c r="BK44" s="254"/>
      <c r="BL44" s="255"/>
      <c r="BM44" s="50"/>
      <c r="BN44" s="257"/>
      <c r="BO44" s="258"/>
      <c r="BP44" s="26"/>
      <c r="BQ44" s="25"/>
      <c r="BR44" s="254"/>
      <c r="BS44" s="255"/>
      <c r="BT44" s="50"/>
      <c r="BU44" s="257"/>
      <c r="BV44" s="258"/>
      <c r="BY44" s="25"/>
      <c r="BZ44" s="254"/>
      <c r="CA44" s="255"/>
      <c r="CB44" s="50"/>
      <c r="CC44" s="257"/>
      <c r="CD44" s="258"/>
      <c r="CE44" s="26"/>
      <c r="CF44" s="25"/>
      <c r="CG44" s="254"/>
      <c r="CH44" s="255"/>
      <c r="CI44" s="50"/>
      <c r="CJ44" s="257"/>
      <c r="CK44" s="258"/>
      <c r="CN44" s="25"/>
      <c r="CO44" s="254"/>
      <c r="CP44" s="255"/>
      <c r="CQ44" s="50"/>
      <c r="CR44" s="257"/>
      <c r="CS44" s="258"/>
      <c r="CT44" s="26"/>
      <c r="CU44" s="25"/>
      <c r="CV44" s="254"/>
      <c r="CW44" s="255"/>
      <c r="CX44" s="50"/>
      <c r="CY44" s="257"/>
      <c r="CZ44" s="258"/>
      <c r="DC44" s="25"/>
      <c r="DD44" s="254"/>
      <c r="DE44" s="255"/>
      <c r="DF44" s="50"/>
      <c r="DG44" s="257"/>
      <c r="DH44" s="258"/>
      <c r="DI44" s="26"/>
      <c r="DJ44" s="25"/>
      <c r="DK44" s="254"/>
      <c r="DL44" s="255"/>
      <c r="DM44" s="50"/>
      <c r="DN44" s="257"/>
      <c r="DO44" s="258"/>
      <c r="DR44" s="25"/>
      <c r="DS44" s="254"/>
      <c r="DT44" s="255"/>
      <c r="DU44" s="50"/>
      <c r="DV44" s="257"/>
      <c r="DW44" s="258"/>
      <c r="DX44" s="26"/>
      <c r="DY44" s="25"/>
      <c r="DZ44" s="254"/>
      <c r="EA44" s="255"/>
      <c r="EB44" s="50"/>
      <c r="EC44" s="257"/>
      <c r="ED44" s="258"/>
      <c r="EG44" s="25"/>
      <c r="EH44" s="254"/>
      <c r="EI44" s="255"/>
      <c r="EJ44" s="50"/>
      <c r="EK44" s="257"/>
      <c r="EL44" s="258"/>
      <c r="EM44" s="26"/>
      <c r="EN44" s="25"/>
      <c r="EO44" s="254"/>
      <c r="EP44" s="255"/>
      <c r="EQ44" s="50"/>
      <c r="ER44" s="257"/>
      <c r="ES44" s="258"/>
    </row>
    <row r="45" spans="1:150" ht="15.6" customHeight="1">
      <c r="B45" s="27"/>
      <c r="C45" s="256"/>
      <c r="D45" s="256"/>
      <c r="E45" s="44"/>
      <c r="F45" s="256"/>
      <c r="G45" s="253"/>
      <c r="H45" s="26"/>
      <c r="I45" s="27"/>
      <c r="J45" s="256"/>
      <c r="K45" s="256"/>
      <c r="L45" s="44"/>
      <c r="M45" s="256"/>
      <c r="N45" s="253"/>
      <c r="Q45" s="27"/>
      <c r="R45" s="256"/>
      <c r="S45" s="256"/>
      <c r="T45" s="44"/>
      <c r="U45" s="256"/>
      <c r="V45" s="253"/>
      <c r="W45" s="26"/>
      <c r="X45" s="27"/>
      <c r="Y45" s="256"/>
      <c r="Z45" s="256"/>
      <c r="AA45" s="44"/>
      <c r="AB45" s="256"/>
      <c r="AC45" s="253"/>
      <c r="AF45" s="27"/>
      <c r="AG45" s="256"/>
      <c r="AH45" s="256"/>
      <c r="AI45" s="44"/>
      <c r="AJ45" s="256"/>
      <c r="AK45" s="253"/>
      <c r="AL45" s="26"/>
      <c r="AM45" s="27"/>
      <c r="AN45" s="256"/>
      <c r="AO45" s="256"/>
      <c r="AP45" s="44"/>
      <c r="AQ45" s="256"/>
      <c r="AR45" s="253"/>
      <c r="AU45" s="27"/>
      <c r="AV45" s="256"/>
      <c r="AW45" s="256"/>
      <c r="AX45" s="44"/>
      <c r="AY45" s="256"/>
      <c r="AZ45" s="253"/>
      <c r="BA45" s="26"/>
      <c r="BB45" s="27"/>
      <c r="BC45" s="256"/>
      <c r="BD45" s="256"/>
      <c r="BE45" s="44"/>
      <c r="BF45" s="256"/>
      <c r="BG45" s="253"/>
      <c r="BJ45" s="27"/>
      <c r="BK45" s="256"/>
      <c r="BL45" s="256"/>
      <c r="BM45" s="44"/>
      <c r="BN45" s="256"/>
      <c r="BO45" s="253"/>
      <c r="BP45" s="26"/>
      <c r="BQ45" s="27"/>
      <c r="BR45" s="256"/>
      <c r="BS45" s="256"/>
      <c r="BT45" s="44"/>
      <c r="BU45" s="256"/>
      <c r="BV45" s="253"/>
      <c r="BY45" s="27"/>
      <c r="BZ45" s="256"/>
      <c r="CA45" s="256"/>
      <c r="CB45" s="44"/>
      <c r="CC45" s="256"/>
      <c r="CD45" s="253"/>
      <c r="CE45" s="26"/>
      <c r="CF45" s="27"/>
      <c r="CG45" s="256"/>
      <c r="CH45" s="256"/>
      <c r="CI45" s="44"/>
      <c r="CJ45" s="256"/>
      <c r="CK45" s="253"/>
      <c r="CN45" s="27"/>
      <c r="CO45" s="256"/>
      <c r="CP45" s="256"/>
      <c r="CQ45" s="44"/>
      <c r="CR45" s="256"/>
      <c r="CS45" s="253"/>
      <c r="CT45" s="26"/>
      <c r="CU45" s="27"/>
      <c r="CV45" s="256"/>
      <c r="CW45" s="256"/>
      <c r="CX45" s="44"/>
      <c r="CY45" s="256"/>
      <c r="CZ45" s="253"/>
      <c r="DC45" s="27"/>
      <c r="DD45" s="256"/>
      <c r="DE45" s="256"/>
      <c r="DF45" s="44"/>
      <c r="DG45" s="256"/>
      <c r="DH45" s="253"/>
      <c r="DI45" s="26"/>
      <c r="DJ45" s="27"/>
      <c r="DK45" s="256"/>
      <c r="DL45" s="256"/>
      <c r="DM45" s="44"/>
      <c r="DN45" s="256"/>
      <c r="DO45" s="253"/>
      <c r="DR45" s="27"/>
      <c r="DS45" s="256"/>
      <c r="DT45" s="256"/>
      <c r="DU45" s="44"/>
      <c r="DV45" s="256"/>
      <c r="DW45" s="253"/>
      <c r="DX45" s="26"/>
      <c r="DY45" s="27"/>
      <c r="DZ45" s="256"/>
      <c r="EA45" s="256"/>
      <c r="EB45" s="44"/>
      <c r="EC45" s="256"/>
      <c r="ED45" s="253"/>
      <c r="EG45" s="27"/>
      <c r="EH45" s="256"/>
      <c r="EI45" s="256"/>
      <c r="EJ45" s="44"/>
      <c r="EK45" s="256"/>
      <c r="EL45" s="253"/>
      <c r="EM45" s="26"/>
      <c r="EN45" s="27"/>
      <c r="EO45" s="256"/>
      <c r="EP45" s="256"/>
      <c r="EQ45" s="44"/>
      <c r="ER45" s="256"/>
      <c r="ES45" s="253"/>
    </row>
    <row r="46" spans="1:150" s="32" customFormat="1">
      <c r="A46" s="31"/>
      <c r="B46" s="37"/>
      <c r="C46" s="35"/>
      <c r="D46" s="37"/>
      <c r="E46" s="35"/>
      <c r="F46" s="37"/>
      <c r="G46" s="40"/>
      <c r="H46" s="22"/>
      <c r="I46" s="37"/>
      <c r="J46" s="35"/>
      <c r="K46" s="37"/>
      <c r="L46" s="35"/>
      <c r="M46" s="37"/>
      <c r="N46" s="40"/>
      <c r="O46" s="22"/>
      <c r="P46" s="31"/>
      <c r="Q46" s="37"/>
      <c r="R46" s="35"/>
      <c r="S46" s="37"/>
      <c r="T46" s="35"/>
      <c r="U46" s="37"/>
      <c r="V46" s="40"/>
      <c r="W46" s="22"/>
      <c r="X46" s="37"/>
      <c r="Y46" s="35"/>
      <c r="Z46" s="37"/>
      <c r="AA46" s="35"/>
      <c r="AB46" s="37"/>
      <c r="AC46" s="40"/>
      <c r="AD46" s="22"/>
      <c r="AE46" s="31"/>
      <c r="AF46" s="37"/>
      <c r="AG46" s="35"/>
      <c r="AH46" s="37"/>
      <c r="AI46" s="35"/>
      <c r="AJ46" s="37"/>
      <c r="AK46" s="40"/>
      <c r="AL46" s="22"/>
      <c r="AM46" s="37"/>
      <c r="AN46" s="35"/>
      <c r="AO46" s="37"/>
      <c r="AP46" s="35"/>
      <c r="AQ46" s="37"/>
      <c r="AR46" s="40"/>
      <c r="AS46" s="22"/>
      <c r="AT46" s="31"/>
      <c r="AU46" s="37"/>
      <c r="AV46" s="35"/>
      <c r="AW46" s="37"/>
      <c r="AX46" s="35"/>
      <c r="AY46" s="37"/>
      <c r="AZ46" s="40"/>
      <c r="BA46" s="22"/>
      <c r="BB46" s="37"/>
      <c r="BC46" s="35"/>
      <c r="BD46" s="37"/>
      <c r="BE46" s="35"/>
      <c r="BF46" s="37"/>
      <c r="BG46" s="40"/>
      <c r="BH46" s="22"/>
      <c r="BI46" s="31"/>
      <c r="BJ46" s="37"/>
      <c r="BK46" s="35"/>
      <c r="BL46" s="37"/>
      <c r="BM46" s="35"/>
      <c r="BN46" s="37"/>
      <c r="BO46" s="40"/>
      <c r="BP46" s="22"/>
      <c r="BQ46" s="37"/>
      <c r="BR46" s="35"/>
      <c r="BS46" s="37"/>
      <c r="BT46" s="35"/>
      <c r="BU46" s="37"/>
      <c r="BV46" s="40"/>
      <c r="BW46" s="22"/>
      <c r="BX46" s="31"/>
      <c r="BY46" s="37"/>
      <c r="BZ46" s="35"/>
      <c r="CA46" s="37"/>
      <c r="CB46" s="35"/>
      <c r="CC46" s="37"/>
      <c r="CD46" s="40"/>
      <c r="CE46" s="22"/>
      <c r="CF46" s="37"/>
      <c r="CG46" s="35"/>
      <c r="CH46" s="37"/>
      <c r="CI46" s="35"/>
      <c r="CJ46" s="37"/>
      <c r="CK46" s="40"/>
      <c r="CL46" s="22"/>
      <c r="CM46" s="31"/>
      <c r="CN46" s="37"/>
      <c r="CO46" s="35"/>
      <c r="CP46" s="37"/>
      <c r="CQ46" s="35"/>
      <c r="CR46" s="37"/>
      <c r="CS46" s="40"/>
      <c r="CT46" s="22"/>
      <c r="CU46" s="37"/>
      <c r="CV46" s="35"/>
      <c r="CW46" s="37"/>
      <c r="CX46" s="35"/>
      <c r="CY46" s="37"/>
      <c r="CZ46" s="40"/>
      <c r="DA46" s="22"/>
      <c r="DB46" s="31"/>
      <c r="DC46" s="37"/>
      <c r="DD46" s="35"/>
      <c r="DE46" s="37"/>
      <c r="DF46" s="35"/>
      <c r="DG46" s="37"/>
      <c r="DH46" s="40"/>
      <c r="DI46" s="22"/>
      <c r="DJ46" s="37"/>
      <c r="DK46" s="35"/>
      <c r="DL46" s="37"/>
      <c r="DM46" s="35"/>
      <c r="DN46" s="37"/>
      <c r="DO46" s="40"/>
      <c r="DP46" s="22"/>
      <c r="DQ46" s="31"/>
      <c r="DR46" s="37"/>
      <c r="DS46" s="35"/>
      <c r="DT46" s="37"/>
      <c r="DU46" s="35"/>
      <c r="DV46" s="37"/>
      <c r="DW46" s="40"/>
      <c r="DX46" s="22"/>
      <c r="DY46" s="37"/>
      <c r="DZ46" s="35"/>
      <c r="EA46" s="37"/>
      <c r="EB46" s="35"/>
      <c r="EC46" s="37"/>
      <c r="ED46" s="40"/>
      <c r="EE46" s="22"/>
      <c r="EF46" s="31"/>
      <c r="EG46" s="37"/>
      <c r="EH46" s="35"/>
      <c r="EI46" s="37"/>
      <c r="EJ46" s="35"/>
      <c r="EK46" s="37"/>
      <c r="EL46" s="40"/>
      <c r="EM46" s="22"/>
      <c r="EN46" s="37"/>
      <c r="EO46" s="35"/>
      <c r="EP46" s="37"/>
      <c r="EQ46" s="35"/>
      <c r="ER46" s="37"/>
      <c r="ES46" s="40"/>
      <c r="ET46" s="22"/>
    </row>
    <row r="47" spans="1:150" ht="27.6" customHeight="1">
      <c r="B47" s="259"/>
      <c r="C47" s="253"/>
      <c r="D47" s="259"/>
      <c r="E47" s="253"/>
      <c r="F47" s="252"/>
      <c r="G47" s="253"/>
      <c r="I47" s="259"/>
      <c r="J47" s="253"/>
      <c r="K47" s="259"/>
      <c r="L47" s="253"/>
      <c r="M47" s="252"/>
      <c r="N47" s="253"/>
      <c r="Q47" s="259"/>
      <c r="R47" s="253"/>
      <c r="S47" s="259"/>
      <c r="T47" s="253"/>
      <c r="U47" s="252"/>
      <c r="V47" s="253"/>
      <c r="X47" s="259"/>
      <c r="Y47" s="253"/>
      <c r="Z47" s="259"/>
      <c r="AA47" s="253"/>
      <c r="AB47" s="252"/>
      <c r="AC47" s="253"/>
      <c r="AF47" s="259"/>
      <c r="AG47" s="253"/>
      <c r="AH47" s="259"/>
      <c r="AI47" s="253"/>
      <c r="AJ47" s="252"/>
      <c r="AK47" s="253"/>
      <c r="AM47" s="259"/>
      <c r="AN47" s="253"/>
      <c r="AO47" s="259"/>
      <c r="AP47" s="253"/>
      <c r="AQ47" s="252"/>
      <c r="AR47" s="253"/>
      <c r="AU47" s="259"/>
      <c r="AV47" s="253"/>
      <c r="AW47" s="259"/>
      <c r="AX47" s="253"/>
      <c r="AY47" s="252"/>
      <c r="AZ47" s="253"/>
      <c r="BB47" s="259"/>
      <c r="BC47" s="253"/>
      <c r="BD47" s="259"/>
      <c r="BE47" s="253"/>
      <c r="BF47" s="252"/>
      <c r="BG47" s="253"/>
      <c r="BJ47" s="259"/>
      <c r="BK47" s="253"/>
      <c r="BL47" s="259"/>
      <c r="BM47" s="253"/>
      <c r="BN47" s="252"/>
      <c r="BO47" s="253"/>
      <c r="BQ47" s="259"/>
      <c r="BR47" s="253"/>
      <c r="BS47" s="259"/>
      <c r="BT47" s="253"/>
      <c r="BU47" s="252"/>
      <c r="BV47" s="253"/>
      <c r="BY47" s="259"/>
      <c r="BZ47" s="253"/>
      <c r="CA47" s="259"/>
      <c r="CB47" s="253"/>
      <c r="CC47" s="252"/>
      <c r="CD47" s="253"/>
      <c r="CF47" s="259"/>
      <c r="CG47" s="253"/>
      <c r="CH47" s="259"/>
      <c r="CI47" s="253"/>
      <c r="CJ47" s="252"/>
      <c r="CK47" s="253"/>
      <c r="CN47" s="259"/>
      <c r="CO47" s="253"/>
      <c r="CP47" s="259"/>
      <c r="CQ47" s="253"/>
      <c r="CR47" s="252"/>
      <c r="CS47" s="253"/>
      <c r="CU47" s="259"/>
      <c r="CV47" s="253"/>
      <c r="CW47" s="259"/>
      <c r="CX47" s="253"/>
      <c r="CY47" s="252"/>
      <c r="CZ47" s="253"/>
      <c r="DC47" s="259"/>
      <c r="DD47" s="253"/>
      <c r="DE47" s="259"/>
      <c r="DF47" s="253"/>
      <c r="DG47" s="252"/>
      <c r="DH47" s="253"/>
      <c r="DJ47" s="259"/>
      <c r="DK47" s="253"/>
      <c r="DL47" s="259"/>
      <c r="DM47" s="253"/>
      <c r="DN47" s="252"/>
      <c r="DO47" s="253"/>
      <c r="DR47" s="259"/>
      <c r="DS47" s="253"/>
      <c r="DT47" s="259"/>
      <c r="DU47" s="253"/>
      <c r="DV47" s="252"/>
      <c r="DW47" s="253"/>
      <c r="DY47" s="259"/>
      <c r="DZ47" s="253"/>
      <c r="EA47" s="259"/>
      <c r="EB47" s="253"/>
      <c r="EC47" s="252"/>
      <c r="ED47" s="253"/>
      <c r="EG47" s="259"/>
      <c r="EH47" s="253"/>
      <c r="EI47" s="259"/>
      <c r="EJ47" s="253"/>
      <c r="EK47" s="252"/>
      <c r="EL47" s="253"/>
      <c r="EN47" s="259"/>
      <c r="EO47" s="253"/>
      <c r="EP47" s="259"/>
      <c r="EQ47" s="253"/>
      <c r="ER47" s="252"/>
      <c r="ES47" s="253"/>
    </row>
  </sheetData>
  <mergeCells count="840"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AB47:AC47"/>
    <mergeCell ref="DS12:DT13"/>
    <mergeCell ref="S7:T7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R47:DS47"/>
    <mergeCell ref="DJ47:DK47"/>
    <mergeCell ref="DT47:DU47"/>
    <mergeCell ref="AO47:AP47"/>
    <mergeCell ref="AQ47:AR47"/>
    <mergeCell ref="EI39:EJ39"/>
    <mergeCell ref="D7:E7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C35:D35"/>
    <mergeCell ref="F20:G21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B15:C15"/>
    <mergeCell ref="BZ35:CA35"/>
    <mergeCell ref="AF31:AG31"/>
    <mergeCell ref="D15:E15"/>
    <mergeCell ref="CV1:CY1"/>
    <mergeCell ref="DN44:DO45"/>
    <mergeCell ref="Y41:AB41"/>
    <mergeCell ref="AV3:AW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DK33:DN33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EH41:EK41"/>
    <mergeCell ref="C12:D13"/>
    <mergeCell ref="I15:J15"/>
    <mergeCell ref="K15:L15"/>
    <mergeCell ref="EH12:EI13"/>
    <mergeCell ref="ER28:ES29"/>
    <mergeCell ref="AG28:AH29"/>
    <mergeCell ref="EO35:EP35"/>
    <mergeCell ref="CU31:CV31"/>
    <mergeCell ref="Y28:Z29"/>
    <mergeCell ref="ER12:ES13"/>
    <mergeCell ref="M47:N47"/>
    <mergeCell ref="R43:S43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CF15:CG15"/>
    <mergeCell ref="BF7:BG7"/>
    <mergeCell ref="DK43:DL43"/>
    <mergeCell ref="CH15:CI15"/>
    <mergeCell ref="BC11:BD11"/>
    <mergeCell ref="BU28:BV29"/>
    <mergeCell ref="Q39:R39"/>
    <mergeCell ref="CG44:CH45"/>
    <mergeCell ref="S39:T39"/>
    <mergeCell ref="CR12:CS13"/>
    <mergeCell ref="U4:V5"/>
    <mergeCell ref="CW31:CX31"/>
    <mergeCell ref="AV1:AY1"/>
    <mergeCell ref="AU15:AV15"/>
    <mergeCell ref="AW15:AX15"/>
    <mergeCell ref="AV43:AW43"/>
    <mergeCell ref="M44:N45"/>
    <mergeCell ref="AN33:AQ33"/>
    <mergeCell ref="DG28:DH29"/>
    <mergeCell ref="AV41:AY41"/>
    <mergeCell ref="Z39:AA39"/>
    <mergeCell ref="J1:M1"/>
    <mergeCell ref="BZ36:CA37"/>
    <mergeCell ref="AN25:AQ25"/>
    <mergeCell ref="R9:U9"/>
    <mergeCell ref="AJ4:AK5"/>
    <mergeCell ref="AF7:AG7"/>
    <mergeCell ref="AH7:AI7"/>
    <mergeCell ref="Q7:R7"/>
    <mergeCell ref="U15:V15"/>
    <mergeCell ref="J19:K19"/>
    <mergeCell ref="J33:M33"/>
    <mergeCell ref="Y1:AB1"/>
    <mergeCell ref="M23:N23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EG39:EH39"/>
    <mergeCell ref="BF31:BG31"/>
    <mergeCell ref="CW47:CX47"/>
    <mergeCell ref="AG11:AH11"/>
    <mergeCell ref="Y11:Z11"/>
    <mergeCell ref="AV27:AW27"/>
    <mergeCell ref="DZ19:EA19"/>
    <mergeCell ref="AJ20:AK21"/>
    <mergeCell ref="J12:K13"/>
    <mergeCell ref="J9:M9"/>
    <mergeCell ref="CV33:CY33"/>
    <mergeCell ref="EC15:ED15"/>
    <mergeCell ref="CJ12:CK13"/>
    <mergeCell ref="DN28:DO29"/>
    <mergeCell ref="BU15:BV15"/>
    <mergeCell ref="DT23:DU23"/>
    <mergeCell ref="BU23:BV23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BC35:BD35"/>
    <mergeCell ref="EC4:ED5"/>
    <mergeCell ref="AQ7:AR7"/>
    <mergeCell ref="DG4:DH5"/>
    <mergeCell ref="EP7:EQ7"/>
    <mergeCell ref="EH20:EI21"/>
    <mergeCell ref="BU36:BV37"/>
    <mergeCell ref="BC44:BD45"/>
    <mergeCell ref="M4:N5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DD3:DE3"/>
    <mergeCell ref="CV3:CW3"/>
    <mergeCell ref="EP23:EQ23"/>
    <mergeCell ref="AN3:AO3"/>
    <mergeCell ref="BZ1:CC1"/>
    <mergeCell ref="M28:N29"/>
    <mergeCell ref="AM23:AN23"/>
    <mergeCell ref="AN17:AQ17"/>
    <mergeCell ref="AO23:AP23"/>
    <mergeCell ref="DK17:DN17"/>
    <mergeCell ref="BZ20:CA21"/>
    <mergeCell ref="ER4:ES5"/>
    <mergeCell ref="BF23:BG23"/>
    <mergeCell ref="CH31:CI31"/>
    <mergeCell ref="AN27:AO27"/>
    <mergeCell ref="I23:J23"/>
    <mergeCell ref="EK44:EL45"/>
    <mergeCell ref="K23:L23"/>
    <mergeCell ref="DD4:DE5"/>
    <mergeCell ref="DG36:DH37"/>
    <mergeCell ref="DG23:DH23"/>
    <mergeCell ref="AY4:AZ5"/>
    <mergeCell ref="CO44:CP45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DN12:DO13"/>
    <mergeCell ref="BJ23:BK23"/>
    <mergeCell ref="EP15:EQ15"/>
    <mergeCell ref="CY47:CZ47"/>
    <mergeCell ref="CA15:CB15"/>
    <mergeCell ref="DD20:DE21"/>
    <mergeCell ref="EK28:EL29"/>
    <mergeCell ref="R17:U17"/>
    <mergeCell ref="B47:C47"/>
    <mergeCell ref="AV33:AY33"/>
    <mergeCell ref="J4:K5"/>
    <mergeCell ref="EO36:EP37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F47:BG47"/>
    <mergeCell ref="AH15:AI15"/>
    <mergeCell ref="C11:D11"/>
    <mergeCell ref="AJ15:AK15"/>
    <mergeCell ref="AY36:AZ37"/>
    <mergeCell ref="C25:F25"/>
    <mergeCell ref="DL7:DM7"/>
    <mergeCell ref="AG44:AH45"/>
    <mergeCell ref="EN15:EO15"/>
    <mergeCell ref="DN7:DO7"/>
    <mergeCell ref="CV28:CW29"/>
    <mergeCell ref="DV39:DW39"/>
    <mergeCell ref="AW31:AX31"/>
    <mergeCell ref="DS43:DT43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EP31:EQ31"/>
    <mergeCell ref="DT7:DU7"/>
    <mergeCell ref="DV7:DW7"/>
    <mergeCell ref="I7:J7"/>
    <mergeCell ref="CF7:CG7"/>
    <mergeCell ref="CR4:CS5"/>
    <mergeCell ref="BS15:BT15"/>
    <mergeCell ref="F31:G31"/>
    <mergeCell ref="AN11:AO11"/>
    <mergeCell ref="EN31:EO31"/>
    <mergeCell ref="AQ44:AR45"/>
    <mergeCell ref="AW47:AX47"/>
    <mergeCell ref="AY47:AZ47"/>
    <mergeCell ref="EN39:EO39"/>
    <mergeCell ref="Q23:R23"/>
    <mergeCell ref="DV47:DW47"/>
    <mergeCell ref="S23:T23"/>
    <mergeCell ref="DK20:DL21"/>
    <mergeCell ref="BF20:BG21"/>
    <mergeCell ref="Q31:R31"/>
    <mergeCell ref="DE47:DF47"/>
    <mergeCell ref="DZ27:EA27"/>
    <mergeCell ref="CU23:CV23"/>
    <mergeCell ref="DG47:DH47"/>
    <mergeCell ref="DD33:DG33"/>
    <mergeCell ref="EA47:EB47"/>
    <mergeCell ref="AB31:AC31"/>
    <mergeCell ref="AG27:AH27"/>
    <mergeCell ref="BY23:BZ23"/>
    <mergeCell ref="DD36:DE37"/>
    <mergeCell ref="AG41:AJ41"/>
    <mergeCell ref="DN20:DO21"/>
    <mergeCell ref="BQ47:BR47"/>
    <mergeCell ref="EO20:EP21"/>
    <mergeCell ref="BR44:BS45"/>
    <mergeCell ref="R4:S5"/>
    <mergeCell ref="D39:E39"/>
    <mergeCell ref="CR20:CS21"/>
    <mergeCell ref="F39:G39"/>
    <mergeCell ref="J3:K3"/>
    <mergeCell ref="AB4:AC5"/>
    <mergeCell ref="R28:S29"/>
    <mergeCell ref="J28:K29"/>
    <mergeCell ref="CY7:CZ7"/>
    <mergeCell ref="AN36:AO37"/>
    <mergeCell ref="AB12:AC13"/>
    <mergeCell ref="AG43:AH43"/>
    <mergeCell ref="DD17:DG17"/>
    <mergeCell ref="AJ31:AK31"/>
    <mergeCell ref="AG35:AH35"/>
    <mergeCell ref="DK4:DL5"/>
    <mergeCell ref="DN36:DO37"/>
    <mergeCell ref="CV44:CW45"/>
    <mergeCell ref="BF4:BG5"/>
    <mergeCell ref="F44:G45"/>
    <mergeCell ref="EO9:ER9"/>
    <mergeCell ref="J25:M25"/>
    <mergeCell ref="EH4:EI5"/>
    <mergeCell ref="BY7:BZ7"/>
    <mergeCell ref="DZ28:EA29"/>
    <mergeCell ref="BU4:BV5"/>
    <mergeCell ref="DV4:DW5"/>
    <mergeCell ref="BC1:BF1"/>
    <mergeCell ref="BK9:BN9"/>
    <mergeCell ref="DG7:DH7"/>
    <mergeCell ref="CV11:CW11"/>
    <mergeCell ref="DS4:DT5"/>
    <mergeCell ref="BN4:BO5"/>
    <mergeCell ref="BC17:BF17"/>
    <mergeCell ref="DV12:DW13"/>
    <mergeCell ref="BK28:BL29"/>
    <mergeCell ref="EH1:EK1"/>
    <mergeCell ref="BZ3:CA3"/>
    <mergeCell ref="BZ17:CC17"/>
    <mergeCell ref="EH3:EI3"/>
    <mergeCell ref="DD9:DG9"/>
    <mergeCell ref="BD15:BE15"/>
    <mergeCell ref="EH17:EK17"/>
    <mergeCell ref="BF15:BG15"/>
    <mergeCell ref="EA15:EB15"/>
    <mergeCell ref="DZ4:EA5"/>
    <mergeCell ref="EH19:EI19"/>
    <mergeCell ref="CN15:CO15"/>
    <mergeCell ref="BN7:BO7"/>
    <mergeCell ref="AV28:AW29"/>
    <mergeCell ref="CP15:CQ15"/>
    <mergeCell ref="EK7:EL7"/>
    <mergeCell ref="CR15:CS15"/>
    <mergeCell ref="EH33:EK33"/>
    <mergeCell ref="EA31:EB31"/>
    <mergeCell ref="AV9:AY9"/>
    <mergeCell ref="AV12:AW13"/>
    <mergeCell ref="BN31:BO31"/>
    <mergeCell ref="CV20:CW21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BR41:BU41"/>
    <mergeCell ref="CG4:CH5"/>
    <mergeCell ref="DS44:DT45"/>
    <mergeCell ref="CG20:CH21"/>
    <mergeCell ref="CG12:CH13"/>
    <mergeCell ref="AQ20:AR21"/>
    <mergeCell ref="CC44:CD45"/>
    <mergeCell ref="DV23:DW23"/>
    <mergeCell ref="DD27:DE27"/>
    <mergeCell ref="AU7:AV7"/>
    <mergeCell ref="BZ33:CC33"/>
    <mergeCell ref="DK1:DN1"/>
    <mergeCell ref="CJ47:CK47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AN44:AO45"/>
    <mergeCell ref="DD25:DG25"/>
    <mergeCell ref="BB31:BC31"/>
    <mergeCell ref="BC41:BF41"/>
    <mergeCell ref="CY15:CZ15"/>
    <mergeCell ref="CO28:CP29"/>
    <mergeCell ref="DE15:DF15"/>
    <mergeCell ref="CV25:CY25"/>
    <mergeCell ref="DG15:DH15"/>
    <mergeCell ref="BL39:BM39"/>
    <mergeCell ref="DD19:DE19"/>
    <mergeCell ref="DC47:DD47"/>
    <mergeCell ref="BN39:BO39"/>
    <mergeCell ref="DD44:DE45"/>
    <mergeCell ref="BN47:BO47"/>
    <mergeCell ref="Q47:R47"/>
    <mergeCell ref="BN20:BO21"/>
    <mergeCell ref="R12:S13"/>
    <mergeCell ref="EG23:EH23"/>
    <mergeCell ref="DZ43:EA43"/>
    <mergeCell ref="CF39:CG39"/>
    <mergeCell ref="J36:K37"/>
    <mergeCell ref="BR11:BS11"/>
    <mergeCell ref="CH39:CI39"/>
    <mergeCell ref="BR25:BU25"/>
    <mergeCell ref="AJ39:AK39"/>
    <mergeCell ref="CR36:CS37"/>
    <mergeCell ref="BZ44:CA45"/>
    <mergeCell ref="DK12:DL13"/>
    <mergeCell ref="DN31:DO31"/>
    <mergeCell ref="AB28:AC29"/>
    <mergeCell ref="BL15:BM15"/>
    <mergeCell ref="BN15:BO15"/>
    <mergeCell ref="AV36:AW37"/>
    <mergeCell ref="DD11:DE11"/>
    <mergeCell ref="DT39:DU39"/>
    <mergeCell ref="DV28:DW29"/>
    <mergeCell ref="AG25:AJ25"/>
    <mergeCell ref="BK44:BL45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ER44:ES45"/>
    <mergeCell ref="DJ7:DK7"/>
    <mergeCell ref="DN4:DO5"/>
    <mergeCell ref="AG19:AH19"/>
    <mergeCell ref="AB23:AC23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B39:BC39"/>
    <mergeCell ref="AV11:AW11"/>
    <mergeCell ref="BD39:BE39"/>
    <mergeCell ref="CU47:CV47"/>
    <mergeCell ref="AN9:AQ9"/>
    <mergeCell ref="AV25:AY25"/>
    <mergeCell ref="DK9:DN9"/>
    <mergeCell ref="BN36:BO37"/>
    <mergeCell ref="BC20:BD21"/>
    <mergeCell ref="CR28:CS29"/>
    <mergeCell ref="EH43:EI43"/>
    <mergeCell ref="EK15:EL15"/>
    <mergeCell ref="CJ44:CK45"/>
    <mergeCell ref="CR47:CS47"/>
    <mergeCell ref="AM47:AN47"/>
    <mergeCell ref="DK41:DN41"/>
    <mergeCell ref="AJ23:AK23"/>
    <mergeCell ref="CH47:CI47"/>
    <mergeCell ref="EO41:ER41"/>
    <mergeCell ref="AU47:AV47"/>
    <mergeCell ref="CC39:CD39"/>
    <mergeCell ref="DG20:DH21"/>
    <mergeCell ref="CP31:CQ31"/>
    <mergeCell ref="CR31:CS31"/>
    <mergeCell ref="DL39:DM39"/>
    <mergeCell ref="EC47:ED47"/>
    <mergeCell ref="AW23:AX23"/>
    <mergeCell ref="DS17:DV17"/>
    <mergeCell ref="AN35:AO35"/>
    <mergeCell ref="CO35:CP35"/>
    <mergeCell ref="AU31:AV31"/>
    <mergeCell ref="BU39:BV39"/>
    <mergeCell ref="DK44:DL45"/>
    <mergeCell ref="BC28:BD29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CY4:CZ5"/>
    <mergeCell ref="DR15:DS15"/>
    <mergeCell ref="DK27:DL27"/>
    <mergeCell ref="AJ28:AK29"/>
    <mergeCell ref="BB7:BC7"/>
    <mergeCell ref="CY12:CZ13"/>
    <mergeCell ref="BD7:BE7"/>
    <mergeCell ref="CY20:CZ21"/>
    <mergeCell ref="AH23:AI23"/>
    <mergeCell ref="EH28:EI29"/>
    <mergeCell ref="AV19:AW19"/>
    <mergeCell ref="R25:U25"/>
    <mergeCell ref="EC20:ED21"/>
    <mergeCell ref="DK28:DL29"/>
    <mergeCell ref="EC7:ED7"/>
    <mergeCell ref="EO27:EP27"/>
    <mergeCell ref="DJ23:DK23"/>
    <mergeCell ref="BC36:BD37"/>
    <mergeCell ref="DS33:DV33"/>
    <mergeCell ref="BR19:BS19"/>
    <mergeCell ref="F36:G37"/>
    <mergeCell ref="K7:L7"/>
    <mergeCell ref="F12:G13"/>
    <mergeCell ref="CP39:CQ39"/>
    <mergeCell ref="BK35:BL35"/>
    <mergeCell ref="X39:Y39"/>
    <mergeCell ref="M39:N39"/>
    <mergeCell ref="EO33:ER33"/>
    <mergeCell ref="AH39:AI39"/>
    <mergeCell ref="DZ11:EA11"/>
    <mergeCell ref="BK12:BL13"/>
    <mergeCell ref="EI15:EJ15"/>
    <mergeCell ref="AJ12:AK13"/>
    <mergeCell ref="Z23:AA23"/>
    <mergeCell ref="F15:G15"/>
    <mergeCell ref="EC12:ED13"/>
    <mergeCell ref="BC9:BF9"/>
    <mergeCell ref="J27:K27"/>
    <mergeCell ref="CW15:CX15"/>
    <mergeCell ref="EO12:EP13"/>
    <mergeCell ref="AV35:AW35"/>
    <mergeCell ref="AO7:AP7"/>
    <mergeCell ref="BF44:BG45"/>
    <mergeCell ref="B39:C39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EA39:EB39"/>
    <mergeCell ref="F7:G7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X47:Y47"/>
    <mergeCell ref="Z47:AA47"/>
    <mergeCell ref="AH31:AI31"/>
    <mergeCell ref="DL23:DM23"/>
    <mergeCell ref="DR39:DS39"/>
    <mergeCell ref="CJ15:CK15"/>
    <mergeCell ref="BJ7:BK7"/>
    <mergeCell ref="M20:N21"/>
    <mergeCell ref="BL7:BM7"/>
    <mergeCell ref="DR7:DS7"/>
    <mergeCell ref="DS27:DT27"/>
    <mergeCell ref="DS41:DV41"/>
    <mergeCell ref="R35:S35"/>
    <mergeCell ref="AQ39:AR39"/>
    <mergeCell ref="BU20:BV21"/>
    <mergeCell ref="CY36:CZ37"/>
    <mergeCell ref="Y9:AB9"/>
    <mergeCell ref="AN43:AO43"/>
    <mergeCell ref="CO20:CP21"/>
    <mergeCell ref="BY47:BZ47"/>
    <mergeCell ref="AB44:AC45"/>
    <mergeCell ref="R41:U41"/>
    <mergeCell ref="S47:T47"/>
    <mergeCell ref="CG36:CH37"/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J35:K35"/>
    <mergeCell ref="C43:D43"/>
    <mergeCell ref="F4:G5"/>
    <mergeCell ref="X7:Y7"/>
    <mergeCell ref="CO43:CP43"/>
    <mergeCell ref="AU39:AV39"/>
    <mergeCell ref="AW39:AX39"/>
    <mergeCell ref="R20:S21"/>
    <mergeCell ref="AV4:AW5"/>
    <mergeCell ref="AB39:AC39"/>
    <mergeCell ref="AN28:AO29"/>
    <mergeCell ref="BK43:BL43"/>
    <mergeCell ref="B7:C7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"/>
  <sheetViews>
    <sheetView workbookViewId="0">
      <selection activeCell="I23" sqref="I23"/>
    </sheetView>
  </sheetViews>
  <sheetFormatPr defaultRowHeight="18"/>
  <sheetData/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/>
  <dimension ref="A1:U438"/>
  <sheetViews>
    <sheetView topLeftCell="A25" workbookViewId="0">
      <selection activeCell="D38" sqref="D38:H38"/>
    </sheetView>
  </sheetViews>
  <sheetFormatPr defaultRowHeight="18"/>
  <cols>
    <col min="3" max="3" width="25.296875" style="29" customWidth="1"/>
    <col min="4" max="4" width="20.296875" style="29" customWidth="1"/>
    <col min="6" max="6" width="12.19921875" style="29" customWidth="1"/>
    <col min="10" max="19" width="6.796875" style="29" customWidth="1"/>
  </cols>
  <sheetData>
    <row r="1" spans="1:21">
      <c r="A1" t="s">
        <v>41</v>
      </c>
      <c r="B1" t="s">
        <v>42</v>
      </c>
      <c r="C1" t="s">
        <v>43</v>
      </c>
      <c r="D1" t="s">
        <v>44</v>
      </c>
      <c r="E1" t="s">
        <v>45</v>
      </c>
      <c r="F1" t="s">
        <v>46</v>
      </c>
      <c r="G1" t="s">
        <v>47</v>
      </c>
      <c r="H1" t="s">
        <v>48</v>
      </c>
      <c r="I1" t="s">
        <v>49</v>
      </c>
      <c r="J1" t="s">
        <v>50</v>
      </c>
      <c r="K1" t="s">
        <v>51</v>
      </c>
      <c r="L1" t="s">
        <v>52</v>
      </c>
      <c r="M1" t="s">
        <v>53</v>
      </c>
      <c r="N1" t="s">
        <v>54</v>
      </c>
      <c r="O1" t="s">
        <v>55</v>
      </c>
      <c r="P1" t="s">
        <v>56</v>
      </c>
      <c r="Q1" t="s">
        <v>57</v>
      </c>
      <c r="R1" t="s">
        <v>58</v>
      </c>
      <c r="S1" t="s">
        <v>59</v>
      </c>
      <c r="T1" t="s">
        <v>60</v>
      </c>
      <c r="U1" t="s">
        <v>61</v>
      </c>
    </row>
    <row r="2" spans="1:21">
      <c r="A2">
        <v>1</v>
      </c>
      <c r="B2">
        <v>1</v>
      </c>
      <c r="C2" t="s">
        <v>62</v>
      </c>
      <c r="D2" t="s">
        <v>0</v>
      </c>
      <c r="E2" s="189">
        <v>88</v>
      </c>
      <c r="F2">
        <v>2</v>
      </c>
      <c r="G2">
        <v>0</v>
      </c>
      <c r="H2">
        <v>1</v>
      </c>
      <c r="I2">
        <v>24</v>
      </c>
      <c r="K2">
        <v>0</v>
      </c>
      <c r="M2">
        <v>0</v>
      </c>
      <c r="O2">
        <v>0</v>
      </c>
      <c r="Q2">
        <v>0</v>
      </c>
      <c r="S2">
        <v>0</v>
      </c>
      <c r="T2">
        <v>2</v>
      </c>
      <c r="U2" s="187">
        <v>43999.629166666673</v>
      </c>
    </row>
    <row r="3" spans="1:21">
      <c r="A3">
        <v>2</v>
      </c>
      <c r="B3">
        <v>0</v>
      </c>
      <c r="C3" t="s">
        <v>63</v>
      </c>
      <c r="D3" t="s">
        <v>64</v>
      </c>
      <c r="E3" s="189">
        <v>30</v>
      </c>
      <c r="F3">
        <v>0</v>
      </c>
      <c r="G3">
        <v>0</v>
      </c>
      <c r="H3">
        <v>1</v>
      </c>
      <c r="I3">
        <v>24</v>
      </c>
      <c r="K3">
        <v>0</v>
      </c>
      <c r="M3">
        <v>0</v>
      </c>
      <c r="O3">
        <v>0</v>
      </c>
      <c r="T3">
        <v>2</v>
      </c>
      <c r="U3" s="187">
        <v>40823.748611111107</v>
      </c>
    </row>
    <row r="4" spans="1:21">
      <c r="A4">
        <v>3</v>
      </c>
      <c r="B4">
        <v>1</v>
      </c>
      <c r="C4" t="s">
        <v>65</v>
      </c>
      <c r="D4" t="s">
        <v>66</v>
      </c>
      <c r="E4" s="189">
        <v>30</v>
      </c>
      <c r="F4">
        <v>3</v>
      </c>
      <c r="G4">
        <v>0</v>
      </c>
      <c r="H4">
        <v>1</v>
      </c>
      <c r="I4">
        <v>24</v>
      </c>
      <c r="K4">
        <v>0</v>
      </c>
      <c r="M4">
        <v>0</v>
      </c>
      <c r="O4">
        <v>0</v>
      </c>
      <c r="Q4">
        <v>0</v>
      </c>
      <c r="S4">
        <v>0</v>
      </c>
      <c r="T4">
        <v>2</v>
      </c>
      <c r="U4" s="187">
        <v>41936.67083333333</v>
      </c>
    </row>
    <row r="5" spans="1:21">
      <c r="A5">
        <v>4</v>
      </c>
      <c r="B5">
        <v>0</v>
      </c>
      <c r="C5" t="s">
        <v>63</v>
      </c>
      <c r="D5" t="s">
        <v>67</v>
      </c>
      <c r="E5" s="189">
        <v>30</v>
      </c>
      <c r="F5">
        <v>4</v>
      </c>
      <c r="G5">
        <v>0</v>
      </c>
      <c r="H5">
        <v>1</v>
      </c>
      <c r="I5">
        <v>24</v>
      </c>
      <c r="T5">
        <v>9999</v>
      </c>
      <c r="U5" s="187">
        <v>40800</v>
      </c>
    </row>
    <row r="6" spans="1:21">
      <c r="A6">
        <v>5</v>
      </c>
      <c r="B6">
        <v>0</v>
      </c>
      <c r="C6" t="s">
        <v>63</v>
      </c>
      <c r="D6" t="s">
        <v>68</v>
      </c>
      <c r="E6" s="189">
        <v>30</v>
      </c>
      <c r="F6">
        <v>5</v>
      </c>
      <c r="G6">
        <v>0</v>
      </c>
      <c r="H6">
        <v>1</v>
      </c>
      <c r="I6">
        <v>24</v>
      </c>
      <c r="T6">
        <v>9999</v>
      </c>
      <c r="U6" s="187">
        <v>40800</v>
      </c>
    </row>
    <row r="7" spans="1:21">
      <c r="A7">
        <v>6</v>
      </c>
      <c r="B7">
        <v>1</v>
      </c>
      <c r="C7" t="s">
        <v>69</v>
      </c>
      <c r="D7" t="s">
        <v>70</v>
      </c>
      <c r="E7" s="189"/>
      <c r="F7">
        <v>7</v>
      </c>
      <c r="G7">
        <v>1</v>
      </c>
      <c r="H7">
        <v>1</v>
      </c>
      <c r="I7">
        <v>0</v>
      </c>
      <c r="K7">
        <v>0</v>
      </c>
      <c r="M7">
        <v>0</v>
      </c>
      <c r="O7">
        <v>0</v>
      </c>
      <c r="Q7">
        <v>0</v>
      </c>
      <c r="S7">
        <v>0</v>
      </c>
      <c r="T7">
        <v>2</v>
      </c>
      <c r="U7" s="187">
        <v>42202.411805555559</v>
      </c>
    </row>
    <row r="8" spans="1:21">
      <c r="A8">
        <v>7</v>
      </c>
      <c r="B8">
        <v>1</v>
      </c>
      <c r="C8" t="s">
        <v>70</v>
      </c>
      <c r="D8" t="s">
        <v>71</v>
      </c>
      <c r="E8" s="189"/>
      <c r="F8">
        <v>0</v>
      </c>
      <c r="G8">
        <v>0</v>
      </c>
      <c r="H8">
        <v>1</v>
      </c>
      <c r="I8">
        <v>24</v>
      </c>
      <c r="J8" t="s">
        <v>72</v>
      </c>
      <c r="K8">
        <v>1</v>
      </c>
      <c r="M8">
        <v>0</v>
      </c>
      <c r="O8">
        <v>0</v>
      </c>
      <c r="Q8">
        <v>0</v>
      </c>
      <c r="S8">
        <v>0</v>
      </c>
      <c r="T8">
        <v>2</v>
      </c>
      <c r="U8" s="187">
        <v>42202.412499999999</v>
      </c>
    </row>
    <row r="9" spans="1:21">
      <c r="A9">
        <v>8</v>
      </c>
      <c r="B9">
        <v>0</v>
      </c>
      <c r="C9" t="s">
        <v>63</v>
      </c>
      <c r="D9" t="s">
        <v>2</v>
      </c>
      <c r="E9" s="189"/>
      <c r="F9">
        <v>0</v>
      </c>
      <c r="G9">
        <v>0</v>
      </c>
      <c r="H9">
        <v>1</v>
      </c>
      <c r="I9">
        <v>24</v>
      </c>
      <c r="T9">
        <v>1</v>
      </c>
      <c r="U9" s="187">
        <v>40766</v>
      </c>
    </row>
    <row r="10" spans="1:21">
      <c r="A10">
        <v>9</v>
      </c>
      <c r="B10">
        <v>0</v>
      </c>
      <c r="C10" t="s">
        <v>63</v>
      </c>
      <c r="D10" t="s">
        <v>73</v>
      </c>
      <c r="E10" s="189"/>
      <c r="F10">
        <v>9</v>
      </c>
      <c r="G10">
        <v>0</v>
      </c>
      <c r="H10">
        <v>1</v>
      </c>
      <c r="I10">
        <v>24</v>
      </c>
      <c r="T10">
        <v>9999</v>
      </c>
      <c r="U10" s="187">
        <v>40800</v>
      </c>
    </row>
    <row r="11" spans="1:21">
      <c r="A11">
        <v>10</v>
      </c>
      <c r="B11">
        <v>0</v>
      </c>
      <c r="C11" t="s">
        <v>63</v>
      </c>
      <c r="D11" t="s">
        <v>74</v>
      </c>
      <c r="E11" s="189"/>
      <c r="F11">
        <v>10</v>
      </c>
      <c r="G11">
        <v>0</v>
      </c>
      <c r="H11">
        <v>1</v>
      </c>
      <c r="I11">
        <v>24</v>
      </c>
      <c r="T11">
        <v>9999</v>
      </c>
      <c r="U11" s="187">
        <v>40800</v>
      </c>
    </row>
    <row r="12" spans="1:21">
      <c r="A12">
        <v>11</v>
      </c>
      <c r="B12">
        <v>0</v>
      </c>
      <c r="C12" t="s">
        <v>75</v>
      </c>
      <c r="D12" t="s">
        <v>76</v>
      </c>
      <c r="E12" s="189"/>
      <c r="F12">
        <v>11</v>
      </c>
      <c r="G12">
        <v>0</v>
      </c>
      <c r="H12">
        <v>1</v>
      </c>
      <c r="I12">
        <v>24</v>
      </c>
      <c r="K12">
        <v>0</v>
      </c>
      <c r="M12">
        <v>0</v>
      </c>
      <c r="O12">
        <v>0</v>
      </c>
      <c r="Q12">
        <v>0</v>
      </c>
      <c r="S12">
        <v>0</v>
      </c>
      <c r="T12">
        <v>2</v>
      </c>
      <c r="U12" s="187">
        <v>40857.65625</v>
      </c>
    </row>
    <row r="13" spans="1:21">
      <c r="A13">
        <v>13</v>
      </c>
      <c r="B13">
        <v>1</v>
      </c>
      <c r="C13" t="s">
        <v>62</v>
      </c>
      <c r="D13" t="s">
        <v>77</v>
      </c>
      <c r="E13" s="189">
        <v>71</v>
      </c>
      <c r="F13">
        <v>14</v>
      </c>
      <c r="G13">
        <v>0</v>
      </c>
      <c r="H13">
        <v>1</v>
      </c>
      <c r="I13">
        <v>24</v>
      </c>
      <c r="J13" t="s">
        <v>72</v>
      </c>
      <c r="K13">
        <v>1</v>
      </c>
      <c r="M13">
        <v>0</v>
      </c>
      <c r="O13">
        <v>0</v>
      </c>
      <c r="Q13">
        <v>0</v>
      </c>
      <c r="S13">
        <v>0</v>
      </c>
      <c r="T13">
        <v>2</v>
      </c>
      <c r="U13" s="187">
        <v>40987.674305555563</v>
      </c>
    </row>
    <row r="14" spans="1:21">
      <c r="A14">
        <v>14</v>
      </c>
      <c r="B14">
        <v>0</v>
      </c>
      <c r="C14" t="s">
        <v>63</v>
      </c>
      <c r="D14" t="s">
        <v>78</v>
      </c>
      <c r="E14" s="189">
        <v>30</v>
      </c>
      <c r="F14">
        <v>0</v>
      </c>
      <c r="G14">
        <v>0</v>
      </c>
      <c r="H14">
        <v>1</v>
      </c>
      <c r="I14">
        <v>24</v>
      </c>
      <c r="K14">
        <v>0</v>
      </c>
      <c r="M14">
        <v>0</v>
      </c>
      <c r="O14">
        <v>0</v>
      </c>
      <c r="Q14">
        <v>0</v>
      </c>
      <c r="S14">
        <v>0</v>
      </c>
      <c r="T14">
        <v>2</v>
      </c>
      <c r="U14" s="187">
        <v>40914.605555555558</v>
      </c>
    </row>
    <row r="15" spans="1:21">
      <c r="A15">
        <v>15</v>
      </c>
      <c r="B15">
        <v>1</v>
      </c>
      <c r="C15" t="s">
        <v>79</v>
      </c>
      <c r="D15" t="s">
        <v>80</v>
      </c>
      <c r="E15" s="189">
        <v>71</v>
      </c>
      <c r="F15">
        <v>16</v>
      </c>
      <c r="G15">
        <v>0</v>
      </c>
      <c r="H15">
        <v>1</v>
      </c>
      <c r="I15">
        <v>24</v>
      </c>
      <c r="J15" t="s">
        <v>81</v>
      </c>
      <c r="K15">
        <v>1</v>
      </c>
      <c r="M15">
        <v>0</v>
      </c>
      <c r="O15">
        <v>0</v>
      </c>
      <c r="Q15">
        <v>0</v>
      </c>
      <c r="S15">
        <v>0</v>
      </c>
      <c r="T15">
        <v>2</v>
      </c>
      <c r="U15" s="187">
        <v>40981.67291666667</v>
      </c>
    </row>
    <row r="16" spans="1:21">
      <c r="A16">
        <v>16</v>
      </c>
      <c r="B16">
        <v>0</v>
      </c>
      <c r="C16" t="s">
        <v>63</v>
      </c>
      <c r="D16" t="s">
        <v>82</v>
      </c>
      <c r="E16" s="189">
        <v>30</v>
      </c>
      <c r="F16">
        <v>0</v>
      </c>
      <c r="G16">
        <v>0</v>
      </c>
      <c r="H16">
        <v>0</v>
      </c>
      <c r="I16">
        <v>0</v>
      </c>
      <c r="K16">
        <v>0</v>
      </c>
      <c r="M16">
        <v>0</v>
      </c>
      <c r="O16">
        <v>0</v>
      </c>
      <c r="Q16">
        <v>0</v>
      </c>
      <c r="S16">
        <v>0</v>
      </c>
      <c r="T16">
        <v>2</v>
      </c>
      <c r="U16" s="187">
        <v>40914.447916666657</v>
      </c>
    </row>
    <row r="17" spans="1:21">
      <c r="A17">
        <v>17</v>
      </c>
      <c r="B17">
        <v>1</v>
      </c>
      <c r="C17" t="s">
        <v>62</v>
      </c>
      <c r="D17" t="s">
        <v>14</v>
      </c>
      <c r="E17" s="189"/>
      <c r="F17">
        <v>18</v>
      </c>
      <c r="G17">
        <v>1</v>
      </c>
      <c r="H17">
        <v>1</v>
      </c>
      <c r="I17">
        <v>30</v>
      </c>
      <c r="K17">
        <v>0</v>
      </c>
      <c r="M17">
        <v>0</v>
      </c>
      <c r="O17">
        <v>0</v>
      </c>
      <c r="Q17">
        <v>0</v>
      </c>
      <c r="S17">
        <v>0</v>
      </c>
      <c r="T17">
        <v>2</v>
      </c>
      <c r="U17" s="187">
        <v>44643.589583333327</v>
      </c>
    </row>
    <row r="18" spans="1:21">
      <c r="A18">
        <v>18</v>
      </c>
      <c r="B18">
        <v>0</v>
      </c>
      <c r="C18" t="s">
        <v>63</v>
      </c>
      <c r="D18" t="s">
        <v>83</v>
      </c>
      <c r="E18" s="189"/>
      <c r="F18">
        <v>0</v>
      </c>
      <c r="G18">
        <v>1</v>
      </c>
      <c r="H18">
        <v>1</v>
      </c>
      <c r="I18">
        <v>30</v>
      </c>
      <c r="K18">
        <v>0</v>
      </c>
      <c r="M18">
        <v>0</v>
      </c>
      <c r="O18">
        <v>0</v>
      </c>
      <c r="Q18">
        <v>0</v>
      </c>
      <c r="S18">
        <v>0</v>
      </c>
      <c r="T18">
        <v>2</v>
      </c>
      <c r="U18" s="187">
        <v>44634.582638888889</v>
      </c>
    </row>
    <row r="19" spans="1:21">
      <c r="A19">
        <v>19</v>
      </c>
      <c r="B19">
        <v>1</v>
      </c>
      <c r="C19" t="s">
        <v>62</v>
      </c>
      <c r="D19" t="s">
        <v>84</v>
      </c>
      <c r="E19" s="189"/>
      <c r="F19">
        <v>0</v>
      </c>
      <c r="G19">
        <v>0</v>
      </c>
      <c r="H19">
        <v>1</v>
      </c>
      <c r="I19">
        <v>30</v>
      </c>
      <c r="K19">
        <v>0</v>
      </c>
      <c r="M19">
        <v>0</v>
      </c>
      <c r="O19">
        <v>0</v>
      </c>
      <c r="T19">
        <v>2</v>
      </c>
      <c r="U19" s="187">
        <v>40823.75</v>
      </c>
    </row>
    <row r="20" spans="1:21">
      <c r="A20">
        <v>20</v>
      </c>
      <c r="B20">
        <v>0</v>
      </c>
      <c r="C20" t="s">
        <v>63</v>
      </c>
      <c r="D20" t="s">
        <v>85</v>
      </c>
      <c r="E20" s="189"/>
      <c r="F20">
        <v>20</v>
      </c>
      <c r="G20">
        <v>0</v>
      </c>
      <c r="H20">
        <v>1</v>
      </c>
      <c r="I20">
        <v>30</v>
      </c>
      <c r="T20">
        <v>9999</v>
      </c>
      <c r="U20" s="187">
        <v>40800</v>
      </c>
    </row>
    <row r="21" spans="1:21">
      <c r="A21">
        <v>21</v>
      </c>
      <c r="B21">
        <v>0</v>
      </c>
      <c r="C21" t="s">
        <v>63</v>
      </c>
      <c r="D21" t="s">
        <v>86</v>
      </c>
      <c r="E21" s="189"/>
      <c r="F21">
        <v>21</v>
      </c>
      <c r="G21">
        <v>0</v>
      </c>
      <c r="H21">
        <v>1</v>
      </c>
      <c r="I21">
        <v>30</v>
      </c>
      <c r="T21">
        <v>9999</v>
      </c>
      <c r="U21" s="187">
        <v>40800</v>
      </c>
    </row>
    <row r="22" spans="1:21">
      <c r="A22">
        <v>22</v>
      </c>
      <c r="B22">
        <v>1</v>
      </c>
      <c r="C22" t="s">
        <v>87</v>
      </c>
      <c r="D22" t="s">
        <v>88</v>
      </c>
      <c r="E22" s="189"/>
      <c r="F22">
        <v>23</v>
      </c>
      <c r="G22">
        <v>1</v>
      </c>
      <c r="H22">
        <v>2</v>
      </c>
      <c r="I22">
        <v>0</v>
      </c>
      <c r="J22" t="s">
        <v>88</v>
      </c>
      <c r="K22">
        <v>0</v>
      </c>
      <c r="L22" t="s">
        <v>89</v>
      </c>
      <c r="M22">
        <v>0</v>
      </c>
      <c r="O22">
        <v>0</v>
      </c>
      <c r="Q22">
        <v>0</v>
      </c>
      <c r="S22">
        <v>0</v>
      </c>
      <c r="T22">
        <v>2</v>
      </c>
      <c r="U22" s="187">
        <v>42048.504861111112</v>
      </c>
    </row>
    <row r="23" spans="1:21">
      <c r="A23">
        <v>23</v>
      </c>
      <c r="B23">
        <v>1</v>
      </c>
      <c r="C23" t="s">
        <v>90</v>
      </c>
      <c r="D23" t="s">
        <v>90</v>
      </c>
      <c r="E23" s="189"/>
      <c r="F23">
        <v>0</v>
      </c>
      <c r="G23">
        <v>1</v>
      </c>
      <c r="H23">
        <v>0</v>
      </c>
      <c r="I23">
        <v>0</v>
      </c>
      <c r="K23">
        <v>0</v>
      </c>
      <c r="M23">
        <v>0</v>
      </c>
      <c r="O23">
        <v>0</v>
      </c>
      <c r="Q23">
        <v>0</v>
      </c>
      <c r="S23">
        <v>0</v>
      </c>
      <c r="T23">
        <v>2</v>
      </c>
      <c r="U23" s="187">
        <v>42048.505555555559</v>
      </c>
    </row>
    <row r="24" spans="1:21">
      <c r="A24">
        <v>24</v>
      </c>
      <c r="B24">
        <v>1</v>
      </c>
      <c r="C24" t="s">
        <v>91</v>
      </c>
      <c r="D24" t="s">
        <v>14</v>
      </c>
      <c r="E24" s="189">
        <v>76</v>
      </c>
      <c r="F24">
        <v>25</v>
      </c>
      <c r="G24">
        <v>1</v>
      </c>
      <c r="H24">
        <v>1</v>
      </c>
      <c r="I24">
        <v>30</v>
      </c>
      <c r="K24">
        <v>0</v>
      </c>
      <c r="M24">
        <v>0</v>
      </c>
      <c r="O24">
        <v>0</v>
      </c>
      <c r="Q24">
        <v>0</v>
      </c>
      <c r="S24">
        <v>0</v>
      </c>
      <c r="T24">
        <v>2</v>
      </c>
      <c r="U24" s="187">
        <v>45779.536805555559</v>
      </c>
    </row>
    <row r="25" spans="1:21">
      <c r="A25">
        <v>25</v>
      </c>
      <c r="B25">
        <v>1</v>
      </c>
      <c r="C25" t="s">
        <v>92</v>
      </c>
      <c r="D25" t="s">
        <v>14</v>
      </c>
      <c r="E25" s="189">
        <v>76</v>
      </c>
      <c r="F25">
        <v>25</v>
      </c>
      <c r="G25">
        <v>1</v>
      </c>
      <c r="H25">
        <v>1</v>
      </c>
      <c r="I25">
        <v>30</v>
      </c>
      <c r="K25">
        <v>0</v>
      </c>
      <c r="M25">
        <v>0</v>
      </c>
      <c r="O25">
        <v>0</v>
      </c>
      <c r="Q25">
        <v>0</v>
      </c>
      <c r="S25">
        <v>0</v>
      </c>
      <c r="T25">
        <v>2</v>
      </c>
      <c r="U25" s="187">
        <v>45779.536805555559</v>
      </c>
    </row>
    <row r="26" spans="1:21">
      <c r="A26">
        <v>26</v>
      </c>
      <c r="B26">
        <v>1</v>
      </c>
      <c r="C26" t="s">
        <v>93</v>
      </c>
      <c r="D26" t="s">
        <v>93</v>
      </c>
      <c r="E26" s="189"/>
      <c r="F26">
        <v>0</v>
      </c>
      <c r="G26">
        <v>1</v>
      </c>
      <c r="H26">
        <v>0</v>
      </c>
      <c r="I26">
        <v>0</v>
      </c>
      <c r="K26">
        <v>0</v>
      </c>
      <c r="M26">
        <v>0</v>
      </c>
      <c r="O26">
        <v>0</v>
      </c>
      <c r="Q26">
        <v>0</v>
      </c>
      <c r="S26">
        <v>0</v>
      </c>
      <c r="T26">
        <v>2</v>
      </c>
      <c r="U26" s="187">
        <v>44817.400694444441</v>
      </c>
    </row>
    <row r="27" spans="1:21">
      <c r="A27">
        <v>27</v>
      </c>
      <c r="B27">
        <v>1</v>
      </c>
      <c r="C27" t="s">
        <v>94</v>
      </c>
      <c r="D27" t="s">
        <v>95</v>
      </c>
      <c r="E27" s="189"/>
      <c r="F27">
        <v>0</v>
      </c>
      <c r="G27">
        <v>1</v>
      </c>
      <c r="H27">
        <v>0</v>
      </c>
      <c r="I27">
        <v>0</v>
      </c>
      <c r="K27">
        <v>0</v>
      </c>
      <c r="M27">
        <v>0</v>
      </c>
      <c r="O27">
        <v>0</v>
      </c>
      <c r="Q27">
        <v>0</v>
      </c>
      <c r="S27">
        <v>0</v>
      </c>
      <c r="T27">
        <v>2</v>
      </c>
      <c r="U27" s="187">
        <v>44817.400694444441</v>
      </c>
    </row>
    <row r="28" spans="1:21">
      <c r="A28">
        <v>28</v>
      </c>
      <c r="B28">
        <v>0</v>
      </c>
      <c r="C28" t="s">
        <v>96</v>
      </c>
      <c r="D28" t="s">
        <v>96</v>
      </c>
      <c r="E28" s="189"/>
      <c r="F28">
        <v>0</v>
      </c>
      <c r="G28">
        <v>1</v>
      </c>
      <c r="H28">
        <v>0</v>
      </c>
      <c r="I28">
        <v>0</v>
      </c>
      <c r="K28">
        <v>0</v>
      </c>
      <c r="M28">
        <v>0</v>
      </c>
      <c r="O28">
        <v>0</v>
      </c>
      <c r="Q28">
        <v>0</v>
      </c>
      <c r="S28">
        <v>0</v>
      </c>
      <c r="T28">
        <v>6</v>
      </c>
      <c r="U28" s="187">
        <v>44679.605555555558</v>
      </c>
    </row>
    <row r="29" spans="1:21">
      <c r="A29">
        <v>29</v>
      </c>
      <c r="B29">
        <v>0</v>
      </c>
      <c r="C29" t="s">
        <v>97</v>
      </c>
      <c r="D29" t="s">
        <v>97</v>
      </c>
      <c r="E29" s="189"/>
      <c r="F29">
        <v>0</v>
      </c>
      <c r="G29">
        <v>1</v>
      </c>
      <c r="H29">
        <v>0</v>
      </c>
      <c r="I29">
        <v>0</v>
      </c>
      <c r="K29">
        <v>0</v>
      </c>
      <c r="M29">
        <v>0</v>
      </c>
      <c r="O29">
        <v>0</v>
      </c>
      <c r="Q29">
        <v>0</v>
      </c>
      <c r="S29">
        <v>0</v>
      </c>
      <c r="T29">
        <v>6</v>
      </c>
      <c r="U29" s="187">
        <v>44679.605555555558</v>
      </c>
    </row>
    <row r="30" spans="1:21">
      <c r="A30">
        <v>30</v>
      </c>
      <c r="B30">
        <v>0</v>
      </c>
      <c r="C30" t="s">
        <v>98</v>
      </c>
      <c r="D30" t="s">
        <v>98</v>
      </c>
      <c r="E30" s="189"/>
      <c r="F30">
        <v>31</v>
      </c>
      <c r="G30">
        <v>1</v>
      </c>
      <c r="H30">
        <v>0</v>
      </c>
      <c r="I30">
        <v>0</v>
      </c>
      <c r="K30">
        <v>0</v>
      </c>
      <c r="M30">
        <v>0</v>
      </c>
      <c r="O30">
        <v>0</v>
      </c>
      <c r="Q30">
        <v>0</v>
      </c>
      <c r="S30">
        <v>0</v>
      </c>
      <c r="T30">
        <v>6</v>
      </c>
      <c r="U30" s="187">
        <v>44679.605555555558</v>
      </c>
    </row>
    <row r="31" spans="1:21">
      <c r="A31">
        <v>31</v>
      </c>
      <c r="B31">
        <v>0</v>
      </c>
      <c r="C31" t="s">
        <v>99</v>
      </c>
      <c r="D31" t="s">
        <v>99</v>
      </c>
      <c r="E31" s="189"/>
      <c r="F31">
        <v>0</v>
      </c>
      <c r="G31">
        <v>1</v>
      </c>
      <c r="H31">
        <v>0</v>
      </c>
      <c r="I31">
        <v>0</v>
      </c>
      <c r="K31">
        <v>0</v>
      </c>
      <c r="M31">
        <v>0</v>
      </c>
      <c r="O31">
        <v>0</v>
      </c>
      <c r="Q31">
        <v>0</v>
      </c>
      <c r="S31">
        <v>0</v>
      </c>
      <c r="T31">
        <v>6</v>
      </c>
      <c r="U31" s="187">
        <v>44679.606249999997</v>
      </c>
    </row>
    <row r="32" spans="1:21">
      <c r="A32">
        <v>33</v>
      </c>
      <c r="B32">
        <v>1</v>
      </c>
      <c r="C32" t="s">
        <v>100</v>
      </c>
      <c r="D32" t="s">
        <v>101</v>
      </c>
      <c r="E32" s="189">
        <v>88</v>
      </c>
      <c r="F32">
        <v>34</v>
      </c>
      <c r="G32">
        <v>1</v>
      </c>
      <c r="H32">
        <v>1</v>
      </c>
      <c r="I32">
        <v>24</v>
      </c>
      <c r="K32">
        <v>0</v>
      </c>
      <c r="M32">
        <v>0</v>
      </c>
      <c r="O32">
        <v>0</v>
      </c>
      <c r="Q32">
        <v>0</v>
      </c>
      <c r="S32">
        <v>0</v>
      </c>
      <c r="T32">
        <v>2</v>
      </c>
      <c r="U32" s="187">
        <v>45835.455555555563</v>
      </c>
    </row>
    <row r="33" spans="1:21">
      <c r="A33">
        <v>34</v>
      </c>
      <c r="B33">
        <v>0</v>
      </c>
      <c r="C33" t="s">
        <v>102</v>
      </c>
      <c r="D33" t="s">
        <v>103</v>
      </c>
      <c r="E33" s="189">
        <v>30</v>
      </c>
      <c r="F33">
        <v>0</v>
      </c>
      <c r="G33">
        <v>1</v>
      </c>
      <c r="H33">
        <v>1</v>
      </c>
      <c r="I33">
        <v>0</v>
      </c>
      <c r="K33">
        <v>0</v>
      </c>
      <c r="M33">
        <v>0</v>
      </c>
      <c r="O33">
        <v>0</v>
      </c>
      <c r="Q33">
        <v>0</v>
      </c>
      <c r="S33">
        <v>0</v>
      </c>
      <c r="T33">
        <v>2</v>
      </c>
      <c r="U33" s="187">
        <v>45835.455555555563</v>
      </c>
    </row>
    <row r="34" spans="1:21">
      <c r="A34">
        <v>35</v>
      </c>
      <c r="B34">
        <v>1</v>
      </c>
      <c r="C34" t="s">
        <v>100</v>
      </c>
      <c r="D34" t="s">
        <v>104</v>
      </c>
      <c r="E34" s="189">
        <v>71</v>
      </c>
      <c r="F34">
        <v>36</v>
      </c>
      <c r="G34">
        <v>1</v>
      </c>
      <c r="H34">
        <v>1</v>
      </c>
      <c r="I34">
        <v>24</v>
      </c>
      <c r="K34">
        <v>0</v>
      </c>
      <c r="M34">
        <v>0</v>
      </c>
      <c r="O34">
        <v>0</v>
      </c>
      <c r="Q34">
        <v>0</v>
      </c>
      <c r="S34">
        <v>0</v>
      </c>
      <c r="T34">
        <v>2</v>
      </c>
      <c r="U34" s="187">
        <v>45835.455555555563</v>
      </c>
    </row>
    <row r="35" spans="1:21">
      <c r="A35">
        <v>36</v>
      </c>
      <c r="B35">
        <v>0</v>
      </c>
      <c r="C35" t="s">
        <v>102</v>
      </c>
      <c r="D35" t="s">
        <v>105</v>
      </c>
      <c r="E35" s="189">
        <v>30</v>
      </c>
      <c r="F35">
        <v>0</v>
      </c>
      <c r="G35">
        <v>1</v>
      </c>
      <c r="H35">
        <v>1</v>
      </c>
      <c r="I35">
        <v>0</v>
      </c>
      <c r="K35">
        <v>0</v>
      </c>
      <c r="M35">
        <v>0</v>
      </c>
      <c r="O35">
        <v>0</v>
      </c>
      <c r="Q35">
        <v>0</v>
      </c>
      <c r="S35">
        <v>0</v>
      </c>
      <c r="T35">
        <v>2</v>
      </c>
      <c r="U35" s="187">
        <v>45835.455555555563</v>
      </c>
    </row>
    <row r="36" spans="1:21">
      <c r="A36">
        <v>37</v>
      </c>
      <c r="B36">
        <v>1</v>
      </c>
      <c r="C36" t="s">
        <v>106</v>
      </c>
      <c r="D36" t="s">
        <v>4</v>
      </c>
      <c r="E36" s="189"/>
      <c r="F36">
        <v>38</v>
      </c>
      <c r="G36">
        <v>1</v>
      </c>
      <c r="H36">
        <v>1</v>
      </c>
      <c r="I36">
        <v>69</v>
      </c>
      <c r="J36" t="s">
        <v>89</v>
      </c>
      <c r="K36">
        <v>0</v>
      </c>
      <c r="M36">
        <v>0</v>
      </c>
      <c r="O36">
        <v>0</v>
      </c>
      <c r="Q36">
        <v>0</v>
      </c>
      <c r="S36">
        <v>0</v>
      </c>
      <c r="T36">
        <v>2</v>
      </c>
      <c r="U36" s="187">
        <v>45835.455555555563</v>
      </c>
    </row>
    <row r="37" spans="1:21">
      <c r="A37">
        <v>38</v>
      </c>
      <c r="B37">
        <v>0</v>
      </c>
      <c r="C37" t="s">
        <v>107</v>
      </c>
      <c r="D37" t="s">
        <v>108</v>
      </c>
      <c r="E37" s="189"/>
      <c r="F37">
        <v>0</v>
      </c>
      <c r="G37">
        <v>1</v>
      </c>
      <c r="H37">
        <v>1</v>
      </c>
      <c r="I37">
        <v>0</v>
      </c>
      <c r="K37">
        <v>0</v>
      </c>
      <c r="M37">
        <v>0</v>
      </c>
      <c r="O37">
        <v>0</v>
      </c>
      <c r="Q37">
        <v>0</v>
      </c>
      <c r="S37">
        <v>0</v>
      </c>
      <c r="T37">
        <v>2</v>
      </c>
      <c r="U37" s="187">
        <v>45835.455555555563</v>
      </c>
    </row>
    <row r="38" spans="1:21">
      <c r="A38">
        <v>39</v>
      </c>
      <c r="B38">
        <v>1</v>
      </c>
      <c r="C38" t="s">
        <v>109</v>
      </c>
      <c r="D38" t="s">
        <v>5</v>
      </c>
      <c r="E38" s="189">
        <v>65</v>
      </c>
      <c r="F38">
        <v>40</v>
      </c>
      <c r="G38">
        <v>1</v>
      </c>
      <c r="H38">
        <v>1</v>
      </c>
      <c r="I38">
        <v>18</v>
      </c>
      <c r="J38" t="s">
        <v>110</v>
      </c>
      <c r="K38">
        <v>0</v>
      </c>
      <c r="M38">
        <v>0</v>
      </c>
      <c r="O38">
        <v>0</v>
      </c>
      <c r="Q38">
        <v>0</v>
      </c>
      <c r="S38">
        <v>0</v>
      </c>
      <c r="T38">
        <v>2</v>
      </c>
      <c r="U38" s="187">
        <v>45070.729166666657</v>
      </c>
    </row>
    <row r="39" spans="1:21">
      <c r="A39">
        <v>40</v>
      </c>
      <c r="B39">
        <v>0</v>
      </c>
      <c r="C39" t="s">
        <v>111</v>
      </c>
      <c r="D39" t="s">
        <v>111</v>
      </c>
      <c r="E39" s="189"/>
      <c r="F39">
        <v>0</v>
      </c>
      <c r="G39">
        <v>1</v>
      </c>
      <c r="H39">
        <v>1</v>
      </c>
      <c r="I39">
        <v>0</v>
      </c>
      <c r="T39">
        <v>9999</v>
      </c>
      <c r="U39" s="187">
        <v>40800</v>
      </c>
    </row>
    <row r="40" spans="1:21">
      <c r="A40">
        <v>41</v>
      </c>
      <c r="B40">
        <v>1</v>
      </c>
      <c r="C40" t="s">
        <v>112</v>
      </c>
      <c r="D40" t="s">
        <v>113</v>
      </c>
      <c r="E40" s="189"/>
      <c r="F40">
        <v>42</v>
      </c>
      <c r="G40">
        <v>1</v>
      </c>
      <c r="H40">
        <v>1</v>
      </c>
      <c r="I40">
        <v>24</v>
      </c>
      <c r="K40">
        <v>0</v>
      </c>
      <c r="M40">
        <v>0</v>
      </c>
      <c r="O40">
        <v>0</v>
      </c>
      <c r="Q40">
        <v>0</v>
      </c>
      <c r="S40">
        <v>0</v>
      </c>
      <c r="T40">
        <v>3</v>
      </c>
      <c r="U40" s="187">
        <v>44743.711805555547</v>
      </c>
    </row>
    <row r="41" spans="1:21">
      <c r="A41">
        <v>42</v>
      </c>
      <c r="B41">
        <v>0</v>
      </c>
      <c r="C41" t="s">
        <v>114</v>
      </c>
      <c r="D41" t="s">
        <v>114</v>
      </c>
      <c r="E41" s="189"/>
      <c r="F41">
        <v>0</v>
      </c>
      <c r="G41">
        <v>1</v>
      </c>
      <c r="H41">
        <v>1</v>
      </c>
      <c r="I41">
        <v>0</v>
      </c>
      <c r="T41">
        <v>9999</v>
      </c>
      <c r="U41" s="187">
        <v>40800</v>
      </c>
    </row>
    <row r="42" spans="1:21">
      <c r="A42">
        <v>43</v>
      </c>
      <c r="B42">
        <v>1</v>
      </c>
      <c r="C42" t="s">
        <v>115</v>
      </c>
      <c r="D42" t="s">
        <v>116</v>
      </c>
      <c r="E42" s="189"/>
      <c r="F42">
        <v>44</v>
      </c>
      <c r="G42">
        <v>1</v>
      </c>
      <c r="H42">
        <v>1</v>
      </c>
      <c r="I42">
        <v>24</v>
      </c>
      <c r="K42">
        <v>0</v>
      </c>
      <c r="M42">
        <v>0</v>
      </c>
      <c r="O42">
        <v>0</v>
      </c>
      <c r="Q42">
        <v>0</v>
      </c>
      <c r="S42">
        <v>0</v>
      </c>
      <c r="T42">
        <v>4</v>
      </c>
      <c r="U42" s="187">
        <v>45266.568055555559</v>
      </c>
    </row>
    <row r="43" spans="1:21">
      <c r="A43">
        <v>44</v>
      </c>
      <c r="B43">
        <v>0</v>
      </c>
      <c r="C43" t="s">
        <v>117</v>
      </c>
      <c r="D43" t="s">
        <v>117</v>
      </c>
      <c r="E43" s="189"/>
      <c r="F43">
        <v>0</v>
      </c>
      <c r="G43">
        <v>1</v>
      </c>
      <c r="H43">
        <v>1</v>
      </c>
      <c r="I43">
        <v>0</v>
      </c>
      <c r="T43">
        <v>9999</v>
      </c>
      <c r="U43" s="187">
        <v>40800</v>
      </c>
    </row>
    <row r="44" spans="1:21">
      <c r="A44">
        <v>45</v>
      </c>
      <c r="B44">
        <v>1</v>
      </c>
      <c r="C44" t="s">
        <v>118</v>
      </c>
      <c r="D44" t="s">
        <v>119</v>
      </c>
      <c r="E44" s="189"/>
      <c r="F44">
        <v>46</v>
      </c>
      <c r="G44">
        <v>1</v>
      </c>
      <c r="H44">
        <v>1</v>
      </c>
      <c r="I44">
        <v>18</v>
      </c>
      <c r="K44">
        <v>0</v>
      </c>
      <c r="M44">
        <v>0</v>
      </c>
      <c r="O44">
        <v>0</v>
      </c>
      <c r="Q44">
        <v>0</v>
      </c>
      <c r="S44">
        <v>0</v>
      </c>
      <c r="T44">
        <v>4</v>
      </c>
      <c r="U44" s="187">
        <v>45716.407638888893</v>
      </c>
    </row>
    <row r="45" spans="1:21">
      <c r="A45">
        <v>46</v>
      </c>
      <c r="B45">
        <v>0</v>
      </c>
      <c r="C45" t="s">
        <v>120</v>
      </c>
      <c r="D45" t="s">
        <v>120</v>
      </c>
      <c r="E45" s="189"/>
      <c r="F45">
        <v>0</v>
      </c>
      <c r="G45">
        <v>1</v>
      </c>
      <c r="H45">
        <v>1</v>
      </c>
      <c r="I45">
        <v>0</v>
      </c>
      <c r="T45">
        <v>9999</v>
      </c>
      <c r="U45" s="187">
        <v>40800</v>
      </c>
    </row>
    <row r="46" spans="1:21">
      <c r="A46">
        <v>47</v>
      </c>
      <c r="B46">
        <v>1</v>
      </c>
      <c r="C46" t="s">
        <v>121</v>
      </c>
      <c r="D46" t="s">
        <v>122</v>
      </c>
      <c r="E46" s="189"/>
      <c r="F46">
        <v>48</v>
      </c>
      <c r="G46">
        <v>1</v>
      </c>
      <c r="H46">
        <v>1</v>
      </c>
      <c r="I46">
        <v>18</v>
      </c>
      <c r="K46">
        <v>0</v>
      </c>
      <c r="M46">
        <v>0</v>
      </c>
      <c r="O46">
        <v>0</v>
      </c>
      <c r="Q46">
        <v>0</v>
      </c>
      <c r="S46">
        <v>0</v>
      </c>
      <c r="T46">
        <v>2</v>
      </c>
      <c r="U46" s="187">
        <v>40857.586111111108</v>
      </c>
    </row>
    <row r="47" spans="1:21">
      <c r="A47">
        <v>48</v>
      </c>
      <c r="B47">
        <v>0</v>
      </c>
      <c r="C47" t="s">
        <v>123</v>
      </c>
      <c r="D47" t="s">
        <v>123</v>
      </c>
      <c r="E47" s="189"/>
      <c r="F47">
        <v>0</v>
      </c>
      <c r="G47">
        <v>1</v>
      </c>
      <c r="H47">
        <v>1</v>
      </c>
      <c r="I47">
        <v>0</v>
      </c>
      <c r="T47">
        <v>9999</v>
      </c>
      <c r="U47" s="187">
        <v>40800</v>
      </c>
    </row>
    <row r="48" spans="1:21">
      <c r="A48">
        <v>49</v>
      </c>
      <c r="B48">
        <v>1</v>
      </c>
      <c r="C48" t="s">
        <v>124</v>
      </c>
      <c r="D48" t="s">
        <v>6</v>
      </c>
      <c r="E48" s="189"/>
      <c r="F48">
        <v>50</v>
      </c>
      <c r="G48">
        <v>1</v>
      </c>
      <c r="H48">
        <v>2</v>
      </c>
      <c r="I48">
        <v>0</v>
      </c>
      <c r="J48" t="s">
        <v>72</v>
      </c>
      <c r="K48">
        <v>1</v>
      </c>
      <c r="L48" t="s">
        <v>125</v>
      </c>
      <c r="M48">
        <v>0</v>
      </c>
      <c r="N48" t="s">
        <v>89</v>
      </c>
      <c r="O48">
        <v>0</v>
      </c>
      <c r="Q48">
        <v>0</v>
      </c>
      <c r="S48">
        <v>0</v>
      </c>
      <c r="T48">
        <v>2</v>
      </c>
      <c r="U48" s="187">
        <v>42360.588194444441</v>
      </c>
    </row>
    <row r="49" spans="1:21">
      <c r="A49">
        <v>50</v>
      </c>
      <c r="B49">
        <v>0</v>
      </c>
      <c r="C49" t="s">
        <v>126</v>
      </c>
      <c r="D49" t="s">
        <v>126</v>
      </c>
      <c r="E49" s="189"/>
      <c r="F49">
        <v>0</v>
      </c>
      <c r="G49">
        <v>1</v>
      </c>
      <c r="H49">
        <v>2</v>
      </c>
      <c r="I49">
        <v>0</v>
      </c>
      <c r="T49">
        <v>9999</v>
      </c>
      <c r="U49" s="187">
        <v>40800</v>
      </c>
    </row>
    <row r="50" spans="1:21">
      <c r="A50">
        <v>51</v>
      </c>
      <c r="B50">
        <v>0</v>
      </c>
      <c r="C50" t="s">
        <v>126</v>
      </c>
      <c r="D50" t="s">
        <v>127</v>
      </c>
      <c r="E50" s="189"/>
      <c r="F50">
        <v>51</v>
      </c>
      <c r="G50">
        <v>1</v>
      </c>
      <c r="H50">
        <v>2</v>
      </c>
      <c r="I50">
        <v>0</v>
      </c>
      <c r="T50">
        <v>9999</v>
      </c>
      <c r="U50" s="187">
        <v>40800</v>
      </c>
    </row>
    <row r="51" spans="1:21">
      <c r="A51">
        <v>52</v>
      </c>
      <c r="B51">
        <v>1</v>
      </c>
      <c r="C51" t="s">
        <v>128</v>
      </c>
      <c r="D51" t="s">
        <v>129</v>
      </c>
      <c r="E51" s="189"/>
      <c r="F51">
        <v>53</v>
      </c>
      <c r="G51">
        <v>1</v>
      </c>
      <c r="H51">
        <v>2</v>
      </c>
      <c r="I51">
        <v>0</v>
      </c>
      <c r="J51" t="s">
        <v>72</v>
      </c>
      <c r="K51">
        <v>1</v>
      </c>
      <c r="L51" t="s">
        <v>125</v>
      </c>
      <c r="M51">
        <v>0</v>
      </c>
      <c r="N51" t="s">
        <v>89</v>
      </c>
      <c r="O51">
        <v>0</v>
      </c>
      <c r="Q51">
        <v>0</v>
      </c>
      <c r="S51">
        <v>0</v>
      </c>
      <c r="T51">
        <v>2</v>
      </c>
      <c r="U51" s="187">
        <v>40857.595138888893</v>
      </c>
    </row>
    <row r="52" spans="1:21">
      <c r="A52">
        <v>53</v>
      </c>
      <c r="B52">
        <v>0</v>
      </c>
      <c r="C52" t="s">
        <v>130</v>
      </c>
      <c r="D52" t="s">
        <v>130</v>
      </c>
      <c r="E52" s="189"/>
      <c r="F52">
        <v>0</v>
      </c>
      <c r="G52">
        <v>1</v>
      </c>
      <c r="H52">
        <v>2</v>
      </c>
      <c r="I52">
        <v>0</v>
      </c>
      <c r="J52" t="s">
        <v>72</v>
      </c>
      <c r="K52">
        <v>1</v>
      </c>
      <c r="L52" t="s">
        <v>125</v>
      </c>
      <c r="M52">
        <v>0</v>
      </c>
      <c r="N52" t="s">
        <v>89</v>
      </c>
      <c r="O52">
        <v>0</v>
      </c>
      <c r="T52">
        <v>2</v>
      </c>
      <c r="U52" s="187">
        <v>40823.696527777778</v>
      </c>
    </row>
    <row r="53" spans="1:21">
      <c r="A53">
        <v>54</v>
      </c>
      <c r="B53">
        <v>0</v>
      </c>
      <c r="C53" t="s">
        <v>130</v>
      </c>
      <c r="D53" t="s">
        <v>131</v>
      </c>
      <c r="E53" s="189"/>
      <c r="F53">
        <v>54</v>
      </c>
      <c r="G53">
        <v>1</v>
      </c>
      <c r="H53">
        <v>2</v>
      </c>
      <c r="I53">
        <v>0</v>
      </c>
      <c r="J53" t="s">
        <v>72</v>
      </c>
      <c r="K53">
        <v>1</v>
      </c>
      <c r="L53" t="s">
        <v>125</v>
      </c>
      <c r="M53">
        <v>0</v>
      </c>
      <c r="N53" t="s">
        <v>89</v>
      </c>
      <c r="O53">
        <v>0</v>
      </c>
      <c r="T53">
        <v>2</v>
      </c>
      <c r="U53" s="187">
        <v>40823.697222222218</v>
      </c>
    </row>
    <row r="54" spans="1:21">
      <c r="A54">
        <v>55</v>
      </c>
      <c r="B54">
        <v>1</v>
      </c>
      <c r="C54" t="s">
        <v>132</v>
      </c>
      <c r="D54" t="s">
        <v>133</v>
      </c>
      <c r="E54" s="189"/>
      <c r="F54">
        <v>56</v>
      </c>
      <c r="G54">
        <v>1</v>
      </c>
      <c r="H54">
        <v>2</v>
      </c>
      <c r="I54">
        <v>0</v>
      </c>
      <c r="J54" t="s">
        <v>133</v>
      </c>
      <c r="K54">
        <v>0</v>
      </c>
      <c r="L54" t="s">
        <v>89</v>
      </c>
      <c r="M54">
        <v>0</v>
      </c>
      <c r="O54">
        <v>0</v>
      </c>
      <c r="Q54">
        <v>0</v>
      </c>
      <c r="S54">
        <v>0</v>
      </c>
      <c r="T54">
        <v>2</v>
      </c>
      <c r="U54" s="187">
        <v>40863.760416666657</v>
      </c>
    </row>
    <row r="55" spans="1:21">
      <c r="A55">
        <v>56</v>
      </c>
      <c r="B55">
        <v>0</v>
      </c>
      <c r="C55" t="s">
        <v>134</v>
      </c>
      <c r="D55" t="s">
        <v>134</v>
      </c>
      <c r="E55" s="189"/>
      <c r="F55">
        <v>0</v>
      </c>
      <c r="G55">
        <v>1</v>
      </c>
      <c r="H55">
        <v>2</v>
      </c>
      <c r="I55">
        <v>0</v>
      </c>
      <c r="J55" t="s">
        <v>133</v>
      </c>
      <c r="K55">
        <v>0</v>
      </c>
      <c r="L55" t="s">
        <v>89</v>
      </c>
      <c r="M55">
        <v>0</v>
      </c>
      <c r="N55" t="s">
        <v>135</v>
      </c>
      <c r="O55">
        <v>0</v>
      </c>
      <c r="T55">
        <v>2</v>
      </c>
      <c r="U55" s="187">
        <v>40823.697916666657</v>
      </c>
    </row>
    <row r="56" spans="1:21">
      <c r="A56">
        <v>57</v>
      </c>
      <c r="B56">
        <v>0</v>
      </c>
      <c r="C56" t="s">
        <v>134</v>
      </c>
      <c r="D56" t="s">
        <v>136</v>
      </c>
      <c r="E56" s="189"/>
      <c r="F56">
        <v>57</v>
      </c>
      <c r="G56">
        <v>1</v>
      </c>
      <c r="H56">
        <v>2</v>
      </c>
      <c r="I56">
        <v>0</v>
      </c>
      <c r="J56" t="s">
        <v>133</v>
      </c>
      <c r="K56">
        <v>0</v>
      </c>
      <c r="L56" t="s">
        <v>89</v>
      </c>
      <c r="M56">
        <v>0</v>
      </c>
      <c r="N56" t="s">
        <v>135</v>
      </c>
      <c r="O56">
        <v>0</v>
      </c>
      <c r="T56">
        <v>2</v>
      </c>
      <c r="U56" s="187">
        <v>40823.697916666657</v>
      </c>
    </row>
    <row r="57" spans="1:21">
      <c r="A57">
        <v>58</v>
      </c>
      <c r="B57">
        <v>1</v>
      </c>
      <c r="C57" t="s">
        <v>137</v>
      </c>
      <c r="D57" t="s">
        <v>138</v>
      </c>
      <c r="E57" s="189"/>
      <c r="F57">
        <v>59</v>
      </c>
      <c r="G57">
        <v>1</v>
      </c>
      <c r="H57">
        <v>2</v>
      </c>
      <c r="I57">
        <v>0</v>
      </c>
      <c r="J57" t="s">
        <v>139</v>
      </c>
      <c r="K57">
        <v>0</v>
      </c>
      <c r="L57" t="s">
        <v>138</v>
      </c>
      <c r="M57">
        <v>0</v>
      </c>
      <c r="O57">
        <v>0</v>
      </c>
      <c r="Q57">
        <v>0</v>
      </c>
      <c r="S57">
        <v>0</v>
      </c>
      <c r="T57">
        <v>2</v>
      </c>
      <c r="U57" s="187">
        <v>45544.602083333331</v>
      </c>
    </row>
    <row r="58" spans="1:21">
      <c r="A58">
        <v>59</v>
      </c>
      <c r="B58">
        <v>0</v>
      </c>
      <c r="C58" t="s">
        <v>140</v>
      </c>
      <c r="D58" t="s">
        <v>140</v>
      </c>
      <c r="E58" s="189"/>
      <c r="F58">
        <v>0</v>
      </c>
      <c r="G58">
        <v>1</v>
      </c>
      <c r="H58">
        <v>2</v>
      </c>
      <c r="I58">
        <v>0</v>
      </c>
      <c r="J58" t="s">
        <v>135</v>
      </c>
      <c r="K58">
        <v>0</v>
      </c>
      <c r="L58" t="s">
        <v>138</v>
      </c>
      <c r="M58">
        <v>0</v>
      </c>
      <c r="O58">
        <v>0</v>
      </c>
      <c r="T58">
        <v>2</v>
      </c>
      <c r="U58" s="187">
        <v>40823.699305555558</v>
      </c>
    </row>
    <row r="59" spans="1:21">
      <c r="A59">
        <v>60</v>
      </c>
      <c r="B59">
        <v>1</v>
      </c>
      <c r="C59" t="s">
        <v>141</v>
      </c>
      <c r="D59" t="s">
        <v>142</v>
      </c>
      <c r="E59" s="189">
        <v>200</v>
      </c>
      <c r="F59">
        <v>61</v>
      </c>
      <c r="G59">
        <v>1</v>
      </c>
      <c r="H59">
        <v>2</v>
      </c>
      <c r="I59">
        <v>21</v>
      </c>
      <c r="J59" t="s">
        <v>72</v>
      </c>
      <c r="K59">
        <v>1</v>
      </c>
      <c r="L59" t="s">
        <v>138</v>
      </c>
      <c r="M59">
        <v>0</v>
      </c>
      <c r="N59" t="s">
        <v>143</v>
      </c>
      <c r="O59">
        <v>0</v>
      </c>
      <c r="Q59">
        <v>0</v>
      </c>
      <c r="S59">
        <v>0</v>
      </c>
      <c r="T59">
        <v>2</v>
      </c>
      <c r="U59" s="187">
        <v>42782.45208333333</v>
      </c>
    </row>
    <row r="60" spans="1:21">
      <c r="A60">
        <v>61</v>
      </c>
      <c r="B60">
        <v>0</v>
      </c>
      <c r="C60" t="s">
        <v>144</v>
      </c>
      <c r="D60" t="s">
        <v>144</v>
      </c>
      <c r="E60" s="189">
        <v>200</v>
      </c>
      <c r="F60">
        <v>0</v>
      </c>
      <c r="G60">
        <v>1</v>
      </c>
      <c r="H60">
        <v>2</v>
      </c>
      <c r="I60">
        <v>0</v>
      </c>
      <c r="J60" t="s">
        <v>72</v>
      </c>
      <c r="K60">
        <v>1</v>
      </c>
      <c r="L60" t="s">
        <v>138</v>
      </c>
      <c r="M60">
        <v>0</v>
      </c>
      <c r="N60" t="s">
        <v>143</v>
      </c>
      <c r="O60">
        <v>0</v>
      </c>
      <c r="T60">
        <v>2</v>
      </c>
      <c r="U60" s="187">
        <v>40823.700694444437</v>
      </c>
    </row>
    <row r="61" spans="1:21">
      <c r="A61">
        <v>62</v>
      </c>
      <c r="B61">
        <v>1</v>
      </c>
      <c r="C61" t="s">
        <v>145</v>
      </c>
      <c r="D61" t="s">
        <v>146</v>
      </c>
      <c r="E61" s="189"/>
      <c r="F61">
        <v>63</v>
      </c>
      <c r="G61">
        <v>1</v>
      </c>
      <c r="H61">
        <v>1</v>
      </c>
      <c r="I61">
        <v>20</v>
      </c>
      <c r="K61">
        <v>0</v>
      </c>
      <c r="M61">
        <v>0</v>
      </c>
      <c r="O61">
        <v>0</v>
      </c>
      <c r="Q61">
        <v>0</v>
      </c>
      <c r="S61">
        <v>0</v>
      </c>
      <c r="T61">
        <v>4</v>
      </c>
      <c r="U61" s="187">
        <v>45404.693749999999</v>
      </c>
    </row>
    <row r="62" spans="1:21">
      <c r="A62">
        <v>63</v>
      </c>
      <c r="B62">
        <v>0</v>
      </c>
      <c r="C62" t="s">
        <v>147</v>
      </c>
      <c r="D62" t="s">
        <v>147</v>
      </c>
      <c r="E62" s="189"/>
      <c r="F62">
        <v>0</v>
      </c>
      <c r="G62">
        <v>1</v>
      </c>
      <c r="H62">
        <v>2</v>
      </c>
      <c r="I62">
        <v>15</v>
      </c>
      <c r="K62">
        <v>0</v>
      </c>
      <c r="M62">
        <v>0</v>
      </c>
      <c r="O62">
        <v>0</v>
      </c>
      <c r="Q62">
        <v>0</v>
      </c>
      <c r="S62">
        <v>0</v>
      </c>
      <c r="T62">
        <v>2</v>
      </c>
      <c r="U62" s="187">
        <v>41334.615972222222</v>
      </c>
    </row>
    <row r="63" spans="1:21">
      <c r="A63">
        <v>64</v>
      </c>
      <c r="B63">
        <v>1</v>
      </c>
      <c r="C63" t="s">
        <v>148</v>
      </c>
      <c r="D63" t="s">
        <v>149</v>
      </c>
      <c r="E63" s="189"/>
      <c r="F63">
        <v>65</v>
      </c>
      <c r="G63">
        <v>1</v>
      </c>
      <c r="H63">
        <v>2</v>
      </c>
      <c r="I63">
        <v>0</v>
      </c>
      <c r="K63">
        <v>0</v>
      </c>
      <c r="M63">
        <v>0</v>
      </c>
      <c r="O63">
        <v>0</v>
      </c>
      <c r="Q63">
        <v>0</v>
      </c>
      <c r="S63">
        <v>0</v>
      </c>
      <c r="T63">
        <v>2</v>
      </c>
      <c r="U63" s="187">
        <v>42054.589583333327</v>
      </c>
    </row>
    <row r="64" spans="1:21">
      <c r="A64">
        <v>65</v>
      </c>
      <c r="B64">
        <v>0</v>
      </c>
      <c r="C64" t="s">
        <v>150</v>
      </c>
      <c r="D64" t="s">
        <v>150</v>
      </c>
      <c r="E64" s="189"/>
      <c r="F64">
        <v>0</v>
      </c>
      <c r="G64">
        <v>1</v>
      </c>
      <c r="H64">
        <v>1</v>
      </c>
      <c r="I64">
        <v>0</v>
      </c>
      <c r="K64">
        <v>0</v>
      </c>
      <c r="M64">
        <v>0</v>
      </c>
      <c r="O64">
        <v>0</v>
      </c>
      <c r="Q64">
        <v>0</v>
      </c>
      <c r="S64">
        <v>0</v>
      </c>
      <c r="T64">
        <v>2</v>
      </c>
      <c r="U64" s="187">
        <v>42054.594444444447</v>
      </c>
    </row>
    <row r="65" spans="1:21">
      <c r="A65">
        <v>66</v>
      </c>
      <c r="B65">
        <v>1</v>
      </c>
      <c r="C65" t="s">
        <v>151</v>
      </c>
      <c r="D65" t="s">
        <v>152</v>
      </c>
      <c r="E65" s="189"/>
      <c r="F65">
        <v>67</v>
      </c>
      <c r="G65">
        <v>1</v>
      </c>
      <c r="H65">
        <v>2</v>
      </c>
      <c r="I65">
        <v>0</v>
      </c>
      <c r="J65" t="s">
        <v>153</v>
      </c>
      <c r="K65">
        <v>0</v>
      </c>
      <c r="L65" t="s">
        <v>154</v>
      </c>
      <c r="M65">
        <v>0</v>
      </c>
      <c r="N65" t="s">
        <v>155</v>
      </c>
      <c r="O65">
        <v>0</v>
      </c>
      <c r="P65" t="s">
        <v>156</v>
      </c>
      <c r="Q65">
        <v>0</v>
      </c>
      <c r="R65" t="s">
        <v>157</v>
      </c>
      <c r="S65">
        <v>0</v>
      </c>
      <c r="T65">
        <v>2</v>
      </c>
      <c r="U65" s="187">
        <v>41059.626388888893</v>
      </c>
    </row>
    <row r="66" spans="1:21">
      <c r="A66">
        <v>67</v>
      </c>
      <c r="B66">
        <v>0</v>
      </c>
      <c r="C66" t="s">
        <v>158</v>
      </c>
      <c r="D66" t="s">
        <v>158</v>
      </c>
      <c r="E66" s="189"/>
      <c r="F66">
        <v>0</v>
      </c>
      <c r="G66">
        <v>1</v>
      </c>
      <c r="H66">
        <v>2</v>
      </c>
      <c r="I66">
        <v>0</v>
      </c>
      <c r="J66" t="s">
        <v>89</v>
      </c>
      <c r="K66">
        <v>0</v>
      </c>
      <c r="M66">
        <v>0</v>
      </c>
      <c r="O66">
        <v>0</v>
      </c>
      <c r="T66">
        <v>2</v>
      </c>
      <c r="U66" s="187">
        <v>40823.701388888891</v>
      </c>
    </row>
    <row r="67" spans="1:21">
      <c r="A67">
        <v>68</v>
      </c>
      <c r="B67">
        <v>0</v>
      </c>
      <c r="C67" t="s">
        <v>158</v>
      </c>
      <c r="D67" t="s">
        <v>159</v>
      </c>
      <c r="E67" s="189"/>
      <c r="F67">
        <v>68</v>
      </c>
      <c r="G67">
        <v>1</v>
      </c>
      <c r="H67">
        <v>2</v>
      </c>
      <c r="I67">
        <v>0</v>
      </c>
      <c r="J67" t="s">
        <v>89</v>
      </c>
      <c r="K67">
        <v>0</v>
      </c>
      <c r="M67">
        <v>0</v>
      </c>
      <c r="O67">
        <v>0</v>
      </c>
      <c r="T67">
        <v>2</v>
      </c>
      <c r="U67" s="187">
        <v>40823.701388888891</v>
      </c>
    </row>
    <row r="68" spans="1:21">
      <c r="A68">
        <v>69</v>
      </c>
      <c r="B68">
        <v>1</v>
      </c>
      <c r="C68" t="s">
        <v>160</v>
      </c>
      <c r="D68" t="s">
        <v>161</v>
      </c>
      <c r="E68" s="189"/>
      <c r="F68">
        <v>70</v>
      </c>
      <c r="G68">
        <v>1</v>
      </c>
      <c r="H68">
        <v>2</v>
      </c>
      <c r="I68">
        <v>0</v>
      </c>
      <c r="J68" t="s">
        <v>161</v>
      </c>
      <c r="K68">
        <v>1</v>
      </c>
      <c r="L68" t="s">
        <v>89</v>
      </c>
      <c r="M68">
        <v>0</v>
      </c>
      <c r="O68">
        <v>0</v>
      </c>
      <c r="Q68">
        <v>0</v>
      </c>
      <c r="S68">
        <v>0</v>
      </c>
      <c r="T68">
        <v>2</v>
      </c>
      <c r="U68" s="187">
        <v>44490.711805555547</v>
      </c>
    </row>
    <row r="69" spans="1:21">
      <c r="A69">
        <v>70</v>
      </c>
      <c r="B69">
        <v>0</v>
      </c>
      <c r="C69" t="s">
        <v>162</v>
      </c>
      <c r="D69" t="s">
        <v>162</v>
      </c>
      <c r="E69" s="189"/>
      <c r="F69">
        <v>0</v>
      </c>
      <c r="G69">
        <v>1</v>
      </c>
      <c r="H69">
        <v>2</v>
      </c>
      <c r="I69">
        <v>0</v>
      </c>
      <c r="J69" t="s">
        <v>161</v>
      </c>
      <c r="K69">
        <v>1</v>
      </c>
      <c r="L69" t="s">
        <v>89</v>
      </c>
      <c r="M69">
        <v>0</v>
      </c>
      <c r="O69">
        <v>0</v>
      </c>
      <c r="T69">
        <v>2</v>
      </c>
      <c r="U69" s="187">
        <v>40823.726388888892</v>
      </c>
    </row>
    <row r="70" spans="1:21">
      <c r="A70">
        <v>71</v>
      </c>
      <c r="B70">
        <v>0</v>
      </c>
      <c r="C70" t="s">
        <v>162</v>
      </c>
      <c r="D70" t="s">
        <v>163</v>
      </c>
      <c r="E70" s="189"/>
      <c r="F70">
        <v>71</v>
      </c>
      <c r="G70">
        <v>1</v>
      </c>
      <c r="H70">
        <v>2</v>
      </c>
      <c r="I70">
        <v>0</v>
      </c>
      <c r="J70" t="s">
        <v>161</v>
      </c>
      <c r="K70">
        <v>1</v>
      </c>
      <c r="L70" t="s">
        <v>89</v>
      </c>
      <c r="M70">
        <v>0</v>
      </c>
      <c r="O70">
        <v>0</v>
      </c>
      <c r="T70">
        <v>2</v>
      </c>
      <c r="U70" s="187">
        <v>40823.726388888892</v>
      </c>
    </row>
    <row r="71" spans="1:21">
      <c r="A71">
        <v>72</v>
      </c>
      <c r="B71">
        <v>1</v>
      </c>
      <c r="C71" t="s">
        <v>164</v>
      </c>
      <c r="D71" t="s">
        <v>165</v>
      </c>
      <c r="E71" s="189"/>
      <c r="F71">
        <v>73</v>
      </c>
      <c r="G71">
        <v>1</v>
      </c>
      <c r="H71">
        <v>2</v>
      </c>
      <c r="I71">
        <v>0</v>
      </c>
      <c r="J71" t="s">
        <v>165</v>
      </c>
      <c r="K71">
        <v>1</v>
      </c>
      <c r="L71" t="s">
        <v>89</v>
      </c>
      <c r="M71">
        <v>0</v>
      </c>
      <c r="O71">
        <v>0</v>
      </c>
      <c r="Q71">
        <v>0</v>
      </c>
      <c r="S71">
        <v>0</v>
      </c>
      <c r="T71">
        <v>2</v>
      </c>
      <c r="U71" s="187">
        <v>40857.59652777778</v>
      </c>
    </row>
    <row r="72" spans="1:21">
      <c r="A72">
        <v>73</v>
      </c>
      <c r="B72">
        <v>0</v>
      </c>
      <c r="C72" t="s">
        <v>166</v>
      </c>
      <c r="D72" t="s">
        <v>166</v>
      </c>
      <c r="E72" s="189"/>
      <c r="F72">
        <v>0</v>
      </c>
      <c r="G72">
        <v>1</v>
      </c>
      <c r="H72">
        <v>2</v>
      </c>
      <c r="I72">
        <v>0</v>
      </c>
      <c r="J72" t="s">
        <v>165</v>
      </c>
      <c r="K72">
        <v>1</v>
      </c>
      <c r="L72" t="s">
        <v>89</v>
      </c>
      <c r="M72">
        <v>0</v>
      </c>
      <c r="O72">
        <v>0</v>
      </c>
      <c r="T72">
        <v>2</v>
      </c>
      <c r="U72" s="187">
        <v>40823.725694444453</v>
      </c>
    </row>
    <row r="73" spans="1:21">
      <c r="A73">
        <v>74</v>
      </c>
      <c r="B73">
        <v>0</v>
      </c>
      <c r="C73" t="s">
        <v>166</v>
      </c>
      <c r="D73" t="s">
        <v>167</v>
      </c>
      <c r="E73" s="189"/>
      <c r="F73">
        <v>74</v>
      </c>
      <c r="G73">
        <v>1</v>
      </c>
      <c r="H73">
        <v>2</v>
      </c>
      <c r="I73">
        <v>0</v>
      </c>
      <c r="J73" t="s">
        <v>165</v>
      </c>
      <c r="K73">
        <v>1</v>
      </c>
      <c r="L73" t="s">
        <v>89</v>
      </c>
      <c r="M73">
        <v>0</v>
      </c>
      <c r="O73">
        <v>0</v>
      </c>
      <c r="T73">
        <v>2</v>
      </c>
      <c r="U73" s="187">
        <v>40823.726388888892</v>
      </c>
    </row>
    <row r="74" spans="1:21">
      <c r="A74">
        <v>75</v>
      </c>
      <c r="B74">
        <v>1</v>
      </c>
      <c r="C74" t="s">
        <v>168</v>
      </c>
      <c r="D74" t="s">
        <v>169</v>
      </c>
      <c r="E74" s="189"/>
      <c r="F74">
        <v>76</v>
      </c>
      <c r="G74">
        <v>1</v>
      </c>
      <c r="H74">
        <v>2</v>
      </c>
      <c r="I74">
        <v>0</v>
      </c>
      <c r="J74" t="s">
        <v>169</v>
      </c>
      <c r="K74">
        <v>1</v>
      </c>
      <c r="L74" t="s">
        <v>89</v>
      </c>
      <c r="M74">
        <v>0</v>
      </c>
      <c r="O74">
        <v>0</v>
      </c>
      <c r="Q74">
        <v>0</v>
      </c>
      <c r="S74">
        <v>0</v>
      </c>
      <c r="T74">
        <v>2</v>
      </c>
      <c r="U74" s="187">
        <v>40857.59652777778</v>
      </c>
    </row>
    <row r="75" spans="1:21">
      <c r="A75">
        <v>76</v>
      </c>
      <c r="B75">
        <v>0</v>
      </c>
      <c r="C75" t="s">
        <v>170</v>
      </c>
      <c r="D75" t="s">
        <v>170</v>
      </c>
      <c r="E75" s="189"/>
      <c r="F75">
        <v>0</v>
      </c>
      <c r="G75">
        <v>1</v>
      </c>
      <c r="H75">
        <v>2</v>
      </c>
      <c r="I75">
        <v>0</v>
      </c>
      <c r="J75" t="s">
        <v>169</v>
      </c>
      <c r="K75">
        <v>1</v>
      </c>
      <c r="L75" t="s">
        <v>89</v>
      </c>
      <c r="M75">
        <v>0</v>
      </c>
      <c r="O75">
        <v>0</v>
      </c>
      <c r="T75">
        <v>2</v>
      </c>
      <c r="U75" s="187">
        <v>40823.736805555563</v>
      </c>
    </row>
    <row r="76" spans="1:21">
      <c r="A76">
        <v>77</v>
      </c>
      <c r="B76">
        <v>0</v>
      </c>
      <c r="C76" t="s">
        <v>170</v>
      </c>
      <c r="D76" t="s">
        <v>171</v>
      </c>
      <c r="E76" s="189"/>
      <c r="F76">
        <v>77</v>
      </c>
      <c r="G76">
        <v>1</v>
      </c>
      <c r="H76">
        <v>2</v>
      </c>
      <c r="I76">
        <v>0</v>
      </c>
      <c r="J76" t="s">
        <v>169</v>
      </c>
      <c r="K76">
        <v>1</v>
      </c>
      <c r="L76" t="s">
        <v>89</v>
      </c>
      <c r="M76">
        <v>0</v>
      </c>
      <c r="O76">
        <v>0</v>
      </c>
      <c r="T76">
        <v>2</v>
      </c>
      <c r="U76" s="187">
        <v>40823.736805555563</v>
      </c>
    </row>
    <row r="77" spans="1:21">
      <c r="A77">
        <v>78</v>
      </c>
      <c r="B77">
        <v>1</v>
      </c>
      <c r="C77" t="s">
        <v>172</v>
      </c>
      <c r="D77" t="s">
        <v>173</v>
      </c>
      <c r="E77" s="189"/>
      <c r="F77">
        <v>79</v>
      </c>
      <c r="G77">
        <v>1</v>
      </c>
      <c r="H77">
        <v>2</v>
      </c>
      <c r="I77">
        <v>0</v>
      </c>
      <c r="J77" t="s">
        <v>72</v>
      </c>
      <c r="K77">
        <v>1</v>
      </c>
      <c r="L77" t="s">
        <v>89</v>
      </c>
      <c r="M77">
        <v>0</v>
      </c>
      <c r="N77" t="s">
        <v>174</v>
      </c>
      <c r="O77">
        <v>0</v>
      </c>
      <c r="Q77">
        <v>0</v>
      </c>
      <c r="S77">
        <v>0</v>
      </c>
      <c r="T77">
        <v>2</v>
      </c>
      <c r="U77" s="187">
        <v>40891.716666666667</v>
      </c>
    </row>
    <row r="78" spans="1:21">
      <c r="A78">
        <v>79</v>
      </c>
      <c r="B78">
        <v>0</v>
      </c>
      <c r="C78" t="s">
        <v>175</v>
      </c>
      <c r="D78" t="s">
        <v>175</v>
      </c>
      <c r="E78" s="189"/>
      <c r="F78">
        <v>0</v>
      </c>
      <c r="G78">
        <v>1</v>
      </c>
      <c r="H78">
        <v>2</v>
      </c>
      <c r="I78">
        <v>0</v>
      </c>
      <c r="J78" t="s">
        <v>72</v>
      </c>
      <c r="K78">
        <v>1</v>
      </c>
      <c r="L78" t="s">
        <v>89</v>
      </c>
      <c r="M78">
        <v>0</v>
      </c>
      <c r="N78" t="s">
        <v>173</v>
      </c>
      <c r="O78">
        <v>0</v>
      </c>
      <c r="T78">
        <v>2</v>
      </c>
      <c r="U78" s="187">
        <v>40823.737500000003</v>
      </c>
    </row>
    <row r="79" spans="1:21">
      <c r="A79">
        <v>80</v>
      </c>
      <c r="B79">
        <v>0</v>
      </c>
      <c r="C79" t="s">
        <v>175</v>
      </c>
      <c r="D79" t="s">
        <v>176</v>
      </c>
      <c r="E79" s="189"/>
      <c r="F79">
        <v>80</v>
      </c>
      <c r="G79">
        <v>1</v>
      </c>
      <c r="H79">
        <v>2</v>
      </c>
      <c r="I79">
        <v>0</v>
      </c>
      <c r="J79" t="s">
        <v>72</v>
      </c>
      <c r="K79">
        <v>1</v>
      </c>
      <c r="L79" t="s">
        <v>89</v>
      </c>
      <c r="M79">
        <v>0</v>
      </c>
      <c r="N79" t="s">
        <v>173</v>
      </c>
      <c r="O79">
        <v>0</v>
      </c>
      <c r="T79">
        <v>2</v>
      </c>
      <c r="U79" s="187">
        <v>40823.737500000003</v>
      </c>
    </row>
    <row r="80" spans="1:21">
      <c r="A80">
        <v>81</v>
      </c>
      <c r="B80">
        <v>1</v>
      </c>
      <c r="C80" t="s">
        <v>177</v>
      </c>
      <c r="D80" t="s">
        <v>178</v>
      </c>
      <c r="E80" s="189"/>
      <c r="F80">
        <v>82</v>
      </c>
      <c r="G80">
        <v>1</v>
      </c>
      <c r="H80">
        <v>2</v>
      </c>
      <c r="I80">
        <v>0</v>
      </c>
      <c r="J80" t="s">
        <v>72</v>
      </c>
      <c r="K80">
        <v>1</v>
      </c>
      <c r="L80" t="s">
        <v>89</v>
      </c>
      <c r="M80">
        <v>0</v>
      </c>
      <c r="N80" t="s">
        <v>178</v>
      </c>
      <c r="O80">
        <v>0</v>
      </c>
      <c r="Q80">
        <v>0</v>
      </c>
      <c r="S80">
        <v>0</v>
      </c>
      <c r="T80">
        <v>2</v>
      </c>
      <c r="U80" s="187">
        <v>40857.59652777778</v>
      </c>
    </row>
    <row r="81" spans="1:21">
      <c r="A81">
        <v>82</v>
      </c>
      <c r="B81">
        <v>0</v>
      </c>
      <c r="C81" t="s">
        <v>179</v>
      </c>
      <c r="D81" t="s">
        <v>179</v>
      </c>
      <c r="E81" s="189"/>
      <c r="F81">
        <v>0</v>
      </c>
      <c r="G81">
        <v>1</v>
      </c>
      <c r="H81">
        <v>2</v>
      </c>
      <c r="I81">
        <v>0</v>
      </c>
      <c r="J81" t="s">
        <v>72</v>
      </c>
      <c r="K81">
        <v>1</v>
      </c>
      <c r="L81" t="s">
        <v>89</v>
      </c>
      <c r="M81">
        <v>0</v>
      </c>
      <c r="N81" t="s">
        <v>178</v>
      </c>
      <c r="O81">
        <v>0</v>
      </c>
      <c r="T81">
        <v>2</v>
      </c>
      <c r="U81" s="187">
        <v>40823.738194444442</v>
      </c>
    </row>
    <row r="82" spans="1:21">
      <c r="A82">
        <v>83</v>
      </c>
      <c r="B82">
        <v>0</v>
      </c>
      <c r="C82" t="s">
        <v>179</v>
      </c>
      <c r="D82" t="s">
        <v>180</v>
      </c>
      <c r="E82" s="189"/>
      <c r="F82">
        <v>83</v>
      </c>
      <c r="G82">
        <v>1</v>
      </c>
      <c r="H82">
        <v>2</v>
      </c>
      <c r="I82">
        <v>0</v>
      </c>
      <c r="J82" t="s">
        <v>72</v>
      </c>
      <c r="K82">
        <v>1</v>
      </c>
      <c r="L82" t="s">
        <v>89</v>
      </c>
      <c r="M82">
        <v>0</v>
      </c>
      <c r="N82" t="s">
        <v>178</v>
      </c>
      <c r="O82">
        <v>0</v>
      </c>
      <c r="T82">
        <v>2</v>
      </c>
      <c r="U82" s="187">
        <v>40823.738194444442</v>
      </c>
    </row>
    <row r="83" spans="1:21">
      <c r="A83">
        <v>84</v>
      </c>
      <c r="B83">
        <v>1</v>
      </c>
      <c r="C83" t="s">
        <v>181</v>
      </c>
      <c r="D83" t="s">
        <v>182</v>
      </c>
      <c r="E83" s="189"/>
      <c r="F83">
        <v>85</v>
      </c>
      <c r="G83">
        <v>1</v>
      </c>
      <c r="H83">
        <v>2</v>
      </c>
      <c r="I83">
        <v>0</v>
      </c>
      <c r="J83" t="s">
        <v>72</v>
      </c>
      <c r="K83">
        <v>1</v>
      </c>
      <c r="L83" t="s">
        <v>89</v>
      </c>
      <c r="M83">
        <v>0</v>
      </c>
      <c r="N83" t="s">
        <v>182</v>
      </c>
      <c r="O83">
        <v>0</v>
      </c>
      <c r="Q83">
        <v>0</v>
      </c>
      <c r="S83">
        <v>0</v>
      </c>
      <c r="T83">
        <v>2</v>
      </c>
      <c r="U83" s="187">
        <v>40857.59652777778</v>
      </c>
    </row>
    <row r="84" spans="1:21">
      <c r="A84">
        <v>85</v>
      </c>
      <c r="B84">
        <v>0</v>
      </c>
      <c r="C84" t="s">
        <v>183</v>
      </c>
      <c r="D84" t="s">
        <v>183</v>
      </c>
      <c r="E84" s="189"/>
      <c r="F84">
        <v>0</v>
      </c>
      <c r="G84">
        <v>1</v>
      </c>
      <c r="H84">
        <v>2</v>
      </c>
      <c r="I84">
        <v>0</v>
      </c>
      <c r="J84" t="s">
        <v>72</v>
      </c>
      <c r="K84">
        <v>1</v>
      </c>
      <c r="L84" t="s">
        <v>89</v>
      </c>
      <c r="M84">
        <v>0</v>
      </c>
      <c r="N84" t="s">
        <v>182</v>
      </c>
      <c r="O84">
        <v>0</v>
      </c>
      <c r="T84">
        <v>2</v>
      </c>
      <c r="U84" s="187">
        <v>40823.738194444442</v>
      </c>
    </row>
    <row r="85" spans="1:21">
      <c r="A85">
        <v>86</v>
      </c>
      <c r="B85">
        <v>0</v>
      </c>
      <c r="C85" t="s">
        <v>183</v>
      </c>
      <c r="D85" t="s">
        <v>184</v>
      </c>
      <c r="E85" s="189"/>
      <c r="F85">
        <v>86</v>
      </c>
      <c r="G85">
        <v>1</v>
      </c>
      <c r="H85">
        <v>2</v>
      </c>
      <c r="I85">
        <v>0</v>
      </c>
      <c r="J85" t="s">
        <v>72</v>
      </c>
      <c r="K85">
        <v>1</v>
      </c>
      <c r="L85" t="s">
        <v>89</v>
      </c>
      <c r="M85">
        <v>0</v>
      </c>
      <c r="N85" t="s">
        <v>182</v>
      </c>
      <c r="O85">
        <v>0</v>
      </c>
      <c r="T85">
        <v>2</v>
      </c>
      <c r="U85" s="187">
        <v>40823.738888888889</v>
      </c>
    </row>
    <row r="86" spans="1:21">
      <c r="A86">
        <v>87</v>
      </c>
      <c r="B86">
        <v>1</v>
      </c>
      <c r="C86" t="s">
        <v>185</v>
      </c>
      <c r="D86" t="s">
        <v>186</v>
      </c>
      <c r="E86" s="189"/>
      <c r="F86">
        <v>88</v>
      </c>
      <c r="G86">
        <v>1</v>
      </c>
      <c r="H86">
        <v>2</v>
      </c>
      <c r="I86">
        <v>0</v>
      </c>
      <c r="J86" t="s">
        <v>72</v>
      </c>
      <c r="K86">
        <v>1</v>
      </c>
      <c r="L86" t="s">
        <v>186</v>
      </c>
      <c r="M86">
        <v>0</v>
      </c>
      <c r="N86" t="s">
        <v>89</v>
      </c>
      <c r="O86">
        <v>0</v>
      </c>
      <c r="Q86">
        <v>0</v>
      </c>
      <c r="S86">
        <v>0</v>
      </c>
      <c r="T86">
        <v>2</v>
      </c>
      <c r="U86" s="187">
        <v>40857.59652777778</v>
      </c>
    </row>
    <row r="87" spans="1:21">
      <c r="A87">
        <v>88</v>
      </c>
      <c r="B87">
        <v>0</v>
      </c>
      <c r="C87" t="s">
        <v>187</v>
      </c>
      <c r="D87" t="s">
        <v>187</v>
      </c>
      <c r="E87" s="189"/>
      <c r="F87">
        <v>0</v>
      </c>
      <c r="G87">
        <v>1</v>
      </c>
      <c r="H87">
        <v>2</v>
      </c>
      <c r="I87">
        <v>0</v>
      </c>
      <c r="J87" t="s">
        <v>72</v>
      </c>
      <c r="K87">
        <v>1</v>
      </c>
      <c r="L87" t="s">
        <v>186</v>
      </c>
      <c r="M87">
        <v>0</v>
      </c>
      <c r="N87" t="s">
        <v>89</v>
      </c>
      <c r="O87">
        <v>0</v>
      </c>
      <c r="T87">
        <v>2</v>
      </c>
      <c r="U87" s="187">
        <v>40823.739583333343</v>
      </c>
    </row>
    <row r="88" spans="1:21">
      <c r="A88">
        <v>89</v>
      </c>
      <c r="B88">
        <v>0</v>
      </c>
      <c r="C88" t="s">
        <v>187</v>
      </c>
      <c r="D88" t="s">
        <v>188</v>
      </c>
      <c r="E88" s="189"/>
      <c r="F88">
        <v>89</v>
      </c>
      <c r="G88">
        <v>1</v>
      </c>
      <c r="H88">
        <v>2</v>
      </c>
      <c r="I88">
        <v>0</v>
      </c>
      <c r="J88" t="s">
        <v>72</v>
      </c>
      <c r="K88">
        <v>1</v>
      </c>
      <c r="L88" t="s">
        <v>186</v>
      </c>
      <c r="M88">
        <v>0</v>
      </c>
      <c r="N88" t="s">
        <v>89</v>
      </c>
      <c r="O88">
        <v>0</v>
      </c>
      <c r="T88">
        <v>2</v>
      </c>
      <c r="U88" s="187">
        <v>40823.740277777782</v>
      </c>
    </row>
    <row r="89" spans="1:21">
      <c r="A89">
        <v>90</v>
      </c>
      <c r="B89">
        <v>1</v>
      </c>
      <c r="C89" t="s">
        <v>189</v>
      </c>
      <c r="D89" t="s">
        <v>190</v>
      </c>
      <c r="E89" s="189"/>
      <c r="F89">
        <v>91</v>
      </c>
      <c r="G89">
        <v>1</v>
      </c>
      <c r="H89">
        <v>2</v>
      </c>
      <c r="I89">
        <v>0</v>
      </c>
      <c r="J89" t="s">
        <v>190</v>
      </c>
      <c r="K89">
        <v>0</v>
      </c>
      <c r="L89" t="s">
        <v>139</v>
      </c>
      <c r="M89">
        <v>0</v>
      </c>
      <c r="O89">
        <v>0</v>
      </c>
      <c r="Q89">
        <v>0</v>
      </c>
      <c r="S89">
        <v>0</v>
      </c>
      <c r="T89">
        <v>2</v>
      </c>
      <c r="U89" s="187">
        <v>41213.614583333343</v>
      </c>
    </row>
    <row r="90" spans="1:21">
      <c r="A90">
        <v>91</v>
      </c>
      <c r="B90">
        <v>0</v>
      </c>
      <c r="C90" t="s">
        <v>191</v>
      </c>
      <c r="D90" t="s">
        <v>191</v>
      </c>
      <c r="E90" s="189"/>
      <c r="F90">
        <v>0</v>
      </c>
      <c r="G90">
        <v>1</v>
      </c>
      <c r="H90">
        <v>2</v>
      </c>
      <c r="I90">
        <v>0</v>
      </c>
      <c r="J90" t="s">
        <v>190</v>
      </c>
      <c r="K90">
        <v>0</v>
      </c>
      <c r="L90" t="s">
        <v>139</v>
      </c>
      <c r="M90">
        <v>0</v>
      </c>
      <c r="O90">
        <v>0</v>
      </c>
      <c r="T90">
        <v>2</v>
      </c>
      <c r="U90" s="187">
        <v>40823.740972222222</v>
      </c>
    </row>
    <row r="91" spans="1:21">
      <c r="A91">
        <v>92</v>
      </c>
      <c r="B91">
        <v>0</v>
      </c>
      <c r="C91" t="s">
        <v>191</v>
      </c>
      <c r="D91" t="s">
        <v>192</v>
      </c>
      <c r="E91" s="189"/>
      <c r="F91">
        <v>92</v>
      </c>
      <c r="G91">
        <v>1</v>
      </c>
      <c r="H91">
        <v>2</v>
      </c>
      <c r="I91">
        <v>0</v>
      </c>
      <c r="J91" t="s">
        <v>190</v>
      </c>
      <c r="K91">
        <v>0</v>
      </c>
      <c r="L91" t="s">
        <v>139</v>
      </c>
      <c r="M91">
        <v>0</v>
      </c>
      <c r="O91">
        <v>0</v>
      </c>
      <c r="T91">
        <v>2</v>
      </c>
      <c r="U91" s="187">
        <v>40823.740972222222</v>
      </c>
    </row>
    <row r="92" spans="1:21">
      <c r="A92">
        <v>93</v>
      </c>
      <c r="B92">
        <v>1</v>
      </c>
      <c r="C92" t="s">
        <v>193</v>
      </c>
      <c r="D92" t="s">
        <v>194</v>
      </c>
      <c r="E92" s="189"/>
      <c r="F92">
        <v>94</v>
      </c>
      <c r="G92">
        <v>1</v>
      </c>
      <c r="H92">
        <v>2</v>
      </c>
      <c r="I92">
        <v>0</v>
      </c>
      <c r="J92" t="s">
        <v>194</v>
      </c>
      <c r="K92">
        <v>1</v>
      </c>
      <c r="M92">
        <v>0</v>
      </c>
      <c r="O92">
        <v>0</v>
      </c>
      <c r="Q92">
        <v>0</v>
      </c>
      <c r="S92">
        <v>0</v>
      </c>
      <c r="T92">
        <v>2</v>
      </c>
      <c r="U92" s="187">
        <v>40932.67291666667</v>
      </c>
    </row>
    <row r="93" spans="1:21">
      <c r="A93">
        <v>94</v>
      </c>
      <c r="B93">
        <v>0</v>
      </c>
      <c r="C93" t="s">
        <v>195</v>
      </c>
      <c r="D93" t="s">
        <v>195</v>
      </c>
      <c r="E93" s="189"/>
      <c r="F93">
        <v>0</v>
      </c>
      <c r="G93">
        <v>1</v>
      </c>
      <c r="H93">
        <v>2</v>
      </c>
      <c r="I93">
        <v>0</v>
      </c>
      <c r="J93" t="s">
        <v>194</v>
      </c>
      <c r="K93">
        <v>1</v>
      </c>
      <c r="L93" t="s">
        <v>89</v>
      </c>
      <c r="M93">
        <v>0</v>
      </c>
      <c r="O93">
        <v>0</v>
      </c>
      <c r="T93">
        <v>2</v>
      </c>
      <c r="U93" s="187">
        <v>40823.741666666669</v>
      </c>
    </row>
    <row r="94" spans="1:21">
      <c r="A94">
        <v>95</v>
      </c>
      <c r="B94">
        <v>0</v>
      </c>
      <c r="C94" t="s">
        <v>195</v>
      </c>
      <c r="D94" t="s">
        <v>196</v>
      </c>
      <c r="E94" s="189"/>
      <c r="F94">
        <v>95</v>
      </c>
      <c r="G94">
        <v>1</v>
      </c>
      <c r="H94">
        <v>2</v>
      </c>
      <c r="I94">
        <v>0</v>
      </c>
      <c r="J94" t="s">
        <v>194</v>
      </c>
      <c r="K94">
        <v>1</v>
      </c>
      <c r="L94" t="s">
        <v>89</v>
      </c>
      <c r="M94">
        <v>0</v>
      </c>
      <c r="O94">
        <v>0</v>
      </c>
      <c r="T94">
        <v>2</v>
      </c>
      <c r="U94" s="187">
        <v>40823.741666666669</v>
      </c>
    </row>
    <row r="95" spans="1:21">
      <c r="A95">
        <v>96</v>
      </c>
      <c r="B95">
        <v>1</v>
      </c>
      <c r="C95" t="s">
        <v>197</v>
      </c>
      <c r="D95" t="s">
        <v>72</v>
      </c>
      <c r="E95" s="189"/>
      <c r="F95">
        <v>97</v>
      </c>
      <c r="G95">
        <v>1</v>
      </c>
      <c r="H95">
        <v>2</v>
      </c>
      <c r="I95">
        <v>0</v>
      </c>
      <c r="J95" t="s">
        <v>72</v>
      </c>
      <c r="K95">
        <v>1</v>
      </c>
      <c r="M95">
        <v>0</v>
      </c>
      <c r="O95">
        <v>0</v>
      </c>
      <c r="Q95">
        <v>0</v>
      </c>
      <c r="S95">
        <v>0</v>
      </c>
      <c r="T95">
        <v>2</v>
      </c>
      <c r="U95" s="187">
        <v>42191.624305555553</v>
      </c>
    </row>
    <row r="96" spans="1:21">
      <c r="A96">
        <v>97</v>
      </c>
      <c r="B96">
        <v>0</v>
      </c>
      <c r="C96" t="s">
        <v>198</v>
      </c>
      <c r="D96" t="s">
        <v>198</v>
      </c>
      <c r="E96" s="189"/>
      <c r="F96">
        <v>0</v>
      </c>
      <c r="G96">
        <v>1</v>
      </c>
      <c r="H96">
        <v>2</v>
      </c>
      <c r="I96">
        <v>0</v>
      </c>
      <c r="K96">
        <v>0</v>
      </c>
      <c r="M96">
        <v>0</v>
      </c>
      <c r="O96">
        <v>0</v>
      </c>
      <c r="Q96">
        <v>0</v>
      </c>
      <c r="S96">
        <v>0</v>
      </c>
      <c r="T96">
        <v>2</v>
      </c>
      <c r="U96" s="187">
        <v>41815.463194444441</v>
      </c>
    </row>
    <row r="97" spans="1:21">
      <c r="A97">
        <v>98</v>
      </c>
      <c r="B97">
        <v>1</v>
      </c>
      <c r="C97" t="s">
        <v>199</v>
      </c>
      <c r="D97" t="s">
        <v>18</v>
      </c>
      <c r="E97" s="189"/>
      <c r="F97">
        <v>99</v>
      </c>
      <c r="G97">
        <v>1</v>
      </c>
      <c r="H97">
        <v>1</v>
      </c>
      <c r="I97">
        <v>0</v>
      </c>
      <c r="K97">
        <v>0</v>
      </c>
      <c r="M97">
        <v>0</v>
      </c>
      <c r="O97">
        <v>0</v>
      </c>
      <c r="Q97">
        <v>0</v>
      </c>
      <c r="S97">
        <v>0</v>
      </c>
      <c r="T97">
        <v>2</v>
      </c>
      <c r="U97" s="187">
        <v>40857.597222222219</v>
      </c>
    </row>
    <row r="98" spans="1:21">
      <c r="A98">
        <v>99</v>
      </c>
      <c r="B98">
        <v>0</v>
      </c>
      <c r="C98" t="s">
        <v>200</v>
      </c>
      <c r="D98" t="s">
        <v>200</v>
      </c>
      <c r="E98" s="189"/>
      <c r="F98">
        <v>0</v>
      </c>
      <c r="G98">
        <v>1</v>
      </c>
      <c r="H98">
        <v>1</v>
      </c>
      <c r="I98">
        <v>0</v>
      </c>
      <c r="T98">
        <v>9999</v>
      </c>
      <c r="U98" s="187">
        <v>40800</v>
      </c>
    </row>
    <row r="99" spans="1:21">
      <c r="A99">
        <v>100</v>
      </c>
      <c r="B99">
        <v>1</v>
      </c>
      <c r="C99" t="s">
        <v>201</v>
      </c>
      <c r="D99" t="s">
        <v>201</v>
      </c>
      <c r="E99" s="189"/>
      <c r="F99">
        <v>101</v>
      </c>
      <c r="G99">
        <v>1</v>
      </c>
      <c r="H99">
        <v>1</v>
      </c>
      <c r="I99">
        <v>0</v>
      </c>
      <c r="K99">
        <v>0</v>
      </c>
      <c r="M99">
        <v>0</v>
      </c>
      <c r="O99">
        <v>0</v>
      </c>
      <c r="Q99">
        <v>0</v>
      </c>
      <c r="S99">
        <v>0</v>
      </c>
      <c r="T99">
        <v>7</v>
      </c>
      <c r="U99" s="187">
        <v>44831.722916666673</v>
      </c>
    </row>
    <row r="100" spans="1:21">
      <c r="A100">
        <v>101</v>
      </c>
      <c r="B100">
        <v>0</v>
      </c>
      <c r="C100" t="s">
        <v>202</v>
      </c>
      <c r="D100" t="s">
        <v>202</v>
      </c>
      <c r="E100" s="189"/>
      <c r="F100">
        <v>0</v>
      </c>
      <c r="G100">
        <v>1</v>
      </c>
      <c r="H100">
        <v>1</v>
      </c>
      <c r="I100">
        <v>0</v>
      </c>
      <c r="T100">
        <v>9999</v>
      </c>
      <c r="U100" s="187">
        <v>40800</v>
      </c>
    </row>
    <row r="101" spans="1:21">
      <c r="A101">
        <v>102</v>
      </c>
      <c r="B101">
        <v>1</v>
      </c>
      <c r="C101" t="s">
        <v>203</v>
      </c>
      <c r="D101" t="s">
        <v>204</v>
      </c>
      <c r="E101" s="189"/>
      <c r="F101">
        <v>103</v>
      </c>
      <c r="G101">
        <v>1</v>
      </c>
      <c r="H101">
        <v>2</v>
      </c>
      <c r="I101">
        <v>0</v>
      </c>
      <c r="K101">
        <v>0</v>
      </c>
      <c r="M101">
        <v>0</v>
      </c>
      <c r="O101">
        <v>0</v>
      </c>
      <c r="Q101">
        <v>0</v>
      </c>
      <c r="S101">
        <v>0</v>
      </c>
      <c r="T101">
        <v>2</v>
      </c>
      <c r="U101" s="187">
        <v>43999.628472222219</v>
      </c>
    </row>
    <row r="102" spans="1:21">
      <c r="A102">
        <v>103</v>
      </c>
      <c r="B102">
        <v>0</v>
      </c>
      <c r="C102" t="s">
        <v>205</v>
      </c>
      <c r="D102" t="s">
        <v>204</v>
      </c>
      <c r="E102" s="189"/>
      <c r="F102">
        <v>0</v>
      </c>
      <c r="G102">
        <v>1</v>
      </c>
      <c r="H102">
        <v>2</v>
      </c>
      <c r="I102">
        <v>0</v>
      </c>
      <c r="K102">
        <v>0</v>
      </c>
      <c r="M102">
        <v>0</v>
      </c>
      <c r="O102">
        <v>0</v>
      </c>
      <c r="Q102">
        <v>0</v>
      </c>
      <c r="S102">
        <v>0</v>
      </c>
      <c r="T102">
        <v>2</v>
      </c>
      <c r="U102" s="187">
        <v>43999.628472222219</v>
      </c>
    </row>
    <row r="103" spans="1:21">
      <c r="A103">
        <v>104</v>
      </c>
      <c r="B103">
        <v>1</v>
      </c>
      <c r="C103" t="s">
        <v>206</v>
      </c>
      <c r="D103" t="s">
        <v>207</v>
      </c>
      <c r="E103" s="189"/>
      <c r="F103">
        <v>105</v>
      </c>
      <c r="G103">
        <v>1</v>
      </c>
      <c r="H103">
        <v>2</v>
      </c>
      <c r="I103">
        <v>0</v>
      </c>
      <c r="K103">
        <v>0</v>
      </c>
      <c r="M103">
        <v>0</v>
      </c>
      <c r="O103">
        <v>0</v>
      </c>
      <c r="Q103">
        <v>0</v>
      </c>
      <c r="S103">
        <v>0</v>
      </c>
      <c r="T103">
        <v>2</v>
      </c>
      <c r="U103" s="187">
        <v>43999.629166666673</v>
      </c>
    </row>
    <row r="104" spans="1:21">
      <c r="A104">
        <v>105</v>
      </c>
      <c r="B104">
        <v>0</v>
      </c>
      <c r="C104" t="s">
        <v>208</v>
      </c>
      <c r="D104" t="s">
        <v>207</v>
      </c>
      <c r="E104" s="189"/>
      <c r="F104">
        <v>0</v>
      </c>
      <c r="G104">
        <v>1</v>
      </c>
      <c r="H104">
        <v>2</v>
      </c>
      <c r="I104">
        <v>0</v>
      </c>
      <c r="K104">
        <v>0</v>
      </c>
      <c r="M104">
        <v>0</v>
      </c>
      <c r="O104">
        <v>0</v>
      </c>
      <c r="Q104">
        <v>0</v>
      </c>
      <c r="S104">
        <v>0</v>
      </c>
      <c r="T104">
        <v>2</v>
      </c>
      <c r="U104" s="187">
        <v>43999.629166666673</v>
      </c>
    </row>
    <row r="105" spans="1:21">
      <c r="A105">
        <v>106</v>
      </c>
      <c r="B105">
        <v>1</v>
      </c>
      <c r="C105" t="s">
        <v>209</v>
      </c>
      <c r="D105" t="s">
        <v>210</v>
      </c>
      <c r="E105" s="189"/>
      <c r="F105">
        <v>107</v>
      </c>
      <c r="G105">
        <v>1</v>
      </c>
      <c r="H105">
        <v>2</v>
      </c>
      <c r="I105">
        <v>0</v>
      </c>
      <c r="K105">
        <v>0</v>
      </c>
      <c r="M105">
        <v>0</v>
      </c>
      <c r="O105">
        <v>0</v>
      </c>
      <c r="Q105">
        <v>0</v>
      </c>
      <c r="S105">
        <v>0</v>
      </c>
      <c r="T105">
        <v>2</v>
      </c>
      <c r="U105" s="187">
        <v>43999.629166666673</v>
      </c>
    </row>
    <row r="106" spans="1:21">
      <c r="A106">
        <v>107</v>
      </c>
      <c r="B106">
        <v>0</v>
      </c>
      <c r="C106" t="s">
        <v>211</v>
      </c>
      <c r="D106" t="s">
        <v>210</v>
      </c>
      <c r="E106" s="189"/>
      <c r="F106">
        <v>0</v>
      </c>
      <c r="G106">
        <v>1</v>
      </c>
      <c r="H106">
        <v>2</v>
      </c>
      <c r="I106">
        <v>0</v>
      </c>
      <c r="K106">
        <v>0</v>
      </c>
      <c r="M106">
        <v>0</v>
      </c>
      <c r="O106">
        <v>0</v>
      </c>
      <c r="Q106">
        <v>0</v>
      </c>
      <c r="S106">
        <v>0</v>
      </c>
      <c r="T106">
        <v>2</v>
      </c>
      <c r="U106" s="187">
        <v>43999.629166666673</v>
      </c>
    </row>
    <row r="107" spans="1:21">
      <c r="A107">
        <v>108</v>
      </c>
      <c r="B107">
        <v>1</v>
      </c>
      <c r="C107" t="s">
        <v>212</v>
      </c>
      <c r="D107" t="s">
        <v>212</v>
      </c>
      <c r="E107" s="189"/>
      <c r="F107">
        <v>109</v>
      </c>
      <c r="G107">
        <v>3</v>
      </c>
      <c r="H107">
        <v>0</v>
      </c>
      <c r="I107">
        <v>0</v>
      </c>
      <c r="T107">
        <v>9999</v>
      </c>
      <c r="U107" s="187">
        <v>40800</v>
      </c>
    </row>
    <row r="108" spans="1:21">
      <c r="A108">
        <v>109</v>
      </c>
      <c r="B108">
        <v>0</v>
      </c>
      <c r="C108" t="s">
        <v>213</v>
      </c>
      <c r="D108" t="s">
        <v>213</v>
      </c>
      <c r="E108" s="189"/>
      <c r="F108">
        <v>0</v>
      </c>
      <c r="G108">
        <v>3</v>
      </c>
      <c r="H108">
        <v>0</v>
      </c>
      <c r="I108">
        <v>0</v>
      </c>
      <c r="T108">
        <v>9999</v>
      </c>
      <c r="U108" s="187">
        <v>40800</v>
      </c>
    </row>
    <row r="109" spans="1:21">
      <c r="A109">
        <v>110</v>
      </c>
      <c r="B109">
        <v>1</v>
      </c>
      <c r="C109" t="s">
        <v>214</v>
      </c>
      <c r="D109" t="s">
        <v>215</v>
      </c>
      <c r="E109" s="189"/>
      <c r="F109">
        <v>111</v>
      </c>
      <c r="G109">
        <v>1</v>
      </c>
      <c r="H109">
        <v>2</v>
      </c>
      <c r="I109">
        <v>0</v>
      </c>
      <c r="J109" t="s">
        <v>215</v>
      </c>
      <c r="K109">
        <v>0</v>
      </c>
      <c r="L109" t="s">
        <v>139</v>
      </c>
      <c r="M109">
        <v>0</v>
      </c>
      <c r="O109">
        <v>0</v>
      </c>
      <c r="Q109">
        <v>0</v>
      </c>
      <c r="S109">
        <v>0</v>
      </c>
      <c r="T109">
        <v>2</v>
      </c>
      <c r="U109" s="187">
        <v>41304.588194444441</v>
      </c>
    </row>
    <row r="110" spans="1:21">
      <c r="A110">
        <v>111</v>
      </c>
      <c r="B110">
        <v>0</v>
      </c>
      <c r="C110" t="s">
        <v>216</v>
      </c>
      <c r="D110" t="s">
        <v>216</v>
      </c>
      <c r="E110" s="189"/>
      <c r="F110">
        <v>0</v>
      </c>
      <c r="G110">
        <v>3</v>
      </c>
      <c r="H110">
        <v>0</v>
      </c>
      <c r="I110">
        <v>0</v>
      </c>
      <c r="T110">
        <v>9999</v>
      </c>
      <c r="U110" s="187">
        <v>40800</v>
      </c>
    </row>
    <row r="111" spans="1:21">
      <c r="A111">
        <v>112</v>
      </c>
      <c r="B111">
        <v>1</v>
      </c>
      <c r="C111" t="s">
        <v>217</v>
      </c>
      <c r="D111" t="s">
        <v>217</v>
      </c>
      <c r="E111" s="189"/>
      <c r="F111">
        <v>113</v>
      </c>
      <c r="G111">
        <v>3</v>
      </c>
      <c r="H111">
        <v>0</v>
      </c>
      <c r="I111">
        <v>0</v>
      </c>
      <c r="T111">
        <v>9999</v>
      </c>
      <c r="U111" s="187">
        <v>40800</v>
      </c>
    </row>
    <row r="112" spans="1:21">
      <c r="A112">
        <v>113</v>
      </c>
      <c r="B112">
        <v>0</v>
      </c>
      <c r="C112" t="s">
        <v>218</v>
      </c>
      <c r="D112" t="s">
        <v>218</v>
      </c>
      <c r="E112" s="189"/>
      <c r="F112">
        <v>0</v>
      </c>
      <c r="G112">
        <v>3</v>
      </c>
      <c r="H112">
        <v>0</v>
      </c>
      <c r="I112">
        <v>0</v>
      </c>
      <c r="T112">
        <v>9999</v>
      </c>
      <c r="U112" s="187">
        <v>40800</v>
      </c>
    </row>
    <row r="113" spans="1:21">
      <c r="A113">
        <v>114</v>
      </c>
      <c r="B113">
        <v>1</v>
      </c>
      <c r="C113" t="s">
        <v>15</v>
      </c>
      <c r="D113" t="s">
        <v>15</v>
      </c>
      <c r="E113" s="189"/>
      <c r="F113">
        <v>484</v>
      </c>
      <c r="G113">
        <v>3</v>
      </c>
      <c r="H113">
        <v>0</v>
      </c>
      <c r="I113">
        <v>0</v>
      </c>
      <c r="K113">
        <v>0</v>
      </c>
      <c r="M113">
        <v>0</v>
      </c>
      <c r="O113">
        <v>0</v>
      </c>
      <c r="Q113">
        <v>0</v>
      </c>
      <c r="S113">
        <v>0</v>
      </c>
      <c r="T113">
        <v>2</v>
      </c>
      <c r="U113" s="187">
        <v>42242.440972222219</v>
      </c>
    </row>
    <row r="114" spans="1:21">
      <c r="A114">
        <v>115</v>
      </c>
      <c r="B114">
        <v>1</v>
      </c>
      <c r="C114" t="s">
        <v>219</v>
      </c>
      <c r="D114" t="s">
        <v>219</v>
      </c>
      <c r="E114" s="189"/>
      <c r="F114">
        <v>0</v>
      </c>
      <c r="G114">
        <v>3</v>
      </c>
      <c r="H114">
        <v>0</v>
      </c>
      <c r="I114">
        <v>0</v>
      </c>
      <c r="J114" t="s">
        <v>219</v>
      </c>
      <c r="K114">
        <v>0</v>
      </c>
      <c r="M114">
        <v>0</v>
      </c>
      <c r="O114">
        <v>0</v>
      </c>
      <c r="Q114">
        <v>0</v>
      </c>
      <c r="S114">
        <v>0</v>
      </c>
      <c r="T114">
        <v>2</v>
      </c>
      <c r="U114" s="187">
        <v>42636.577777777777</v>
      </c>
    </row>
    <row r="115" spans="1:21">
      <c r="A115">
        <v>116</v>
      </c>
      <c r="B115">
        <v>1</v>
      </c>
      <c r="C115" t="s">
        <v>220</v>
      </c>
      <c r="D115" t="s">
        <v>220</v>
      </c>
      <c r="E115" s="189"/>
      <c r="F115">
        <v>0</v>
      </c>
      <c r="G115">
        <v>3</v>
      </c>
      <c r="H115">
        <v>2</v>
      </c>
      <c r="I115">
        <v>0</v>
      </c>
      <c r="J115" t="s">
        <v>220</v>
      </c>
      <c r="K115">
        <v>0</v>
      </c>
      <c r="M115">
        <v>0</v>
      </c>
      <c r="O115">
        <v>0</v>
      </c>
      <c r="Q115">
        <v>0</v>
      </c>
      <c r="S115">
        <v>0</v>
      </c>
      <c r="T115">
        <v>2</v>
      </c>
      <c r="U115" s="187">
        <v>42356.577777777777</v>
      </c>
    </row>
    <row r="116" spans="1:21">
      <c r="A116">
        <v>117</v>
      </c>
      <c r="B116">
        <v>1</v>
      </c>
      <c r="C116" t="s">
        <v>221</v>
      </c>
      <c r="D116" t="s">
        <v>221</v>
      </c>
      <c r="E116" s="189"/>
      <c r="F116">
        <v>0</v>
      </c>
      <c r="G116">
        <v>3</v>
      </c>
      <c r="H116">
        <v>0</v>
      </c>
      <c r="I116">
        <v>0</v>
      </c>
      <c r="T116">
        <v>9999</v>
      </c>
      <c r="U116" s="187">
        <v>40800</v>
      </c>
    </row>
    <row r="117" spans="1:21">
      <c r="A117">
        <v>118</v>
      </c>
      <c r="B117">
        <v>1</v>
      </c>
      <c r="C117" t="s">
        <v>222</v>
      </c>
      <c r="D117" t="s">
        <v>222</v>
      </c>
      <c r="E117" s="189"/>
      <c r="F117">
        <v>0</v>
      </c>
      <c r="G117">
        <v>3</v>
      </c>
      <c r="H117">
        <v>0</v>
      </c>
      <c r="I117">
        <v>0</v>
      </c>
      <c r="T117">
        <v>9999</v>
      </c>
      <c r="U117" s="187">
        <v>40800</v>
      </c>
    </row>
    <row r="118" spans="1:21">
      <c r="A118">
        <v>119</v>
      </c>
      <c r="B118">
        <v>1</v>
      </c>
      <c r="C118" t="s">
        <v>223</v>
      </c>
      <c r="D118" t="s">
        <v>223</v>
      </c>
      <c r="E118" s="189"/>
      <c r="F118">
        <v>0</v>
      </c>
      <c r="G118">
        <v>3</v>
      </c>
      <c r="H118">
        <v>0</v>
      </c>
      <c r="I118">
        <v>0</v>
      </c>
      <c r="T118">
        <v>9999</v>
      </c>
      <c r="U118" s="187">
        <v>40800</v>
      </c>
    </row>
    <row r="119" spans="1:21">
      <c r="A119">
        <v>120</v>
      </c>
      <c r="B119">
        <v>1</v>
      </c>
      <c r="C119" t="s">
        <v>224</v>
      </c>
      <c r="D119" t="s">
        <v>224</v>
      </c>
      <c r="E119" s="189"/>
      <c r="F119">
        <v>0</v>
      </c>
      <c r="G119">
        <v>3</v>
      </c>
      <c r="H119">
        <v>0</v>
      </c>
      <c r="I119">
        <v>0</v>
      </c>
      <c r="T119">
        <v>9999</v>
      </c>
      <c r="U119" s="187">
        <v>40800</v>
      </c>
    </row>
    <row r="120" spans="1:21">
      <c r="A120">
        <v>121</v>
      </c>
      <c r="B120">
        <v>1</v>
      </c>
      <c r="C120" t="s">
        <v>225</v>
      </c>
      <c r="D120" t="s">
        <v>225</v>
      </c>
      <c r="E120" s="189"/>
      <c r="F120">
        <v>0</v>
      </c>
      <c r="G120">
        <v>3</v>
      </c>
      <c r="H120">
        <v>0</v>
      </c>
      <c r="I120">
        <v>0</v>
      </c>
      <c r="T120">
        <v>9999</v>
      </c>
      <c r="U120" s="187">
        <v>40800</v>
      </c>
    </row>
    <row r="121" spans="1:21">
      <c r="A121">
        <v>122</v>
      </c>
      <c r="B121">
        <v>1</v>
      </c>
      <c r="C121" t="s">
        <v>226</v>
      </c>
      <c r="D121" t="s">
        <v>226</v>
      </c>
      <c r="E121" s="189"/>
      <c r="F121">
        <v>0</v>
      </c>
      <c r="G121">
        <v>3</v>
      </c>
      <c r="H121">
        <v>0</v>
      </c>
      <c r="I121">
        <v>0</v>
      </c>
      <c r="T121">
        <v>9999</v>
      </c>
      <c r="U121" s="187">
        <v>40800</v>
      </c>
    </row>
    <row r="122" spans="1:21">
      <c r="A122">
        <v>123</v>
      </c>
      <c r="B122">
        <v>0</v>
      </c>
      <c r="C122" t="s">
        <v>227</v>
      </c>
      <c r="D122" t="s">
        <v>227</v>
      </c>
      <c r="E122" s="189"/>
      <c r="F122">
        <v>0</v>
      </c>
      <c r="G122">
        <v>1</v>
      </c>
      <c r="H122">
        <v>0</v>
      </c>
      <c r="I122">
        <v>0</v>
      </c>
      <c r="K122">
        <v>0</v>
      </c>
      <c r="M122">
        <v>0</v>
      </c>
      <c r="O122">
        <v>0</v>
      </c>
      <c r="Q122">
        <v>0</v>
      </c>
      <c r="S122">
        <v>0</v>
      </c>
      <c r="T122">
        <v>2</v>
      </c>
      <c r="U122" s="187">
        <v>45030.580555555563</v>
      </c>
    </row>
    <row r="123" spans="1:21">
      <c r="A123">
        <v>124</v>
      </c>
      <c r="B123">
        <v>1</v>
      </c>
      <c r="C123" t="s">
        <v>228</v>
      </c>
      <c r="D123" t="s">
        <v>228</v>
      </c>
      <c r="E123" s="189"/>
      <c r="F123">
        <v>0</v>
      </c>
      <c r="G123">
        <v>3</v>
      </c>
      <c r="H123">
        <v>0</v>
      </c>
      <c r="I123">
        <v>0</v>
      </c>
      <c r="K123">
        <v>0</v>
      </c>
      <c r="M123">
        <v>0</v>
      </c>
      <c r="O123">
        <v>0</v>
      </c>
      <c r="Q123">
        <v>0</v>
      </c>
      <c r="S123">
        <v>0</v>
      </c>
      <c r="T123">
        <v>2</v>
      </c>
      <c r="U123" s="187">
        <v>42356.578472222223</v>
      </c>
    </row>
    <row r="124" spans="1:21">
      <c r="A124">
        <v>125</v>
      </c>
      <c r="B124">
        <v>1</v>
      </c>
      <c r="C124" t="s">
        <v>229</v>
      </c>
      <c r="D124" t="s">
        <v>229</v>
      </c>
      <c r="E124" s="189"/>
      <c r="F124">
        <v>0</v>
      </c>
      <c r="G124">
        <v>3</v>
      </c>
      <c r="H124">
        <v>0</v>
      </c>
      <c r="I124">
        <v>0</v>
      </c>
      <c r="K124">
        <v>0</v>
      </c>
      <c r="M124">
        <v>0</v>
      </c>
      <c r="O124">
        <v>0</v>
      </c>
      <c r="Q124">
        <v>0</v>
      </c>
      <c r="S124">
        <v>0</v>
      </c>
      <c r="T124">
        <v>2</v>
      </c>
      <c r="U124" s="187">
        <v>43252.563194444447</v>
      </c>
    </row>
    <row r="125" spans="1:21">
      <c r="A125">
        <v>126</v>
      </c>
      <c r="B125">
        <v>1</v>
      </c>
      <c r="C125" t="s">
        <v>230</v>
      </c>
      <c r="D125" t="s">
        <v>230</v>
      </c>
      <c r="E125" s="189"/>
      <c r="F125">
        <v>0</v>
      </c>
      <c r="G125">
        <v>3</v>
      </c>
      <c r="H125">
        <v>0</v>
      </c>
      <c r="I125">
        <v>0</v>
      </c>
      <c r="T125">
        <v>9999</v>
      </c>
      <c r="U125" s="187">
        <v>40800</v>
      </c>
    </row>
    <row r="126" spans="1:21">
      <c r="A126">
        <v>127</v>
      </c>
      <c r="B126">
        <v>1</v>
      </c>
      <c r="C126" t="s">
        <v>231</v>
      </c>
      <c r="D126" t="s">
        <v>231</v>
      </c>
      <c r="E126" s="189"/>
      <c r="F126">
        <v>0</v>
      </c>
      <c r="G126">
        <v>3</v>
      </c>
      <c r="H126">
        <v>0</v>
      </c>
      <c r="I126">
        <v>0</v>
      </c>
      <c r="T126">
        <v>9999</v>
      </c>
      <c r="U126" s="187">
        <v>40800</v>
      </c>
    </row>
    <row r="127" spans="1:21">
      <c r="A127">
        <v>128</v>
      </c>
      <c r="B127">
        <v>1</v>
      </c>
      <c r="C127" t="s">
        <v>232</v>
      </c>
      <c r="D127" t="s">
        <v>232</v>
      </c>
      <c r="E127" s="189"/>
      <c r="F127">
        <v>0</v>
      </c>
      <c r="G127">
        <v>3</v>
      </c>
      <c r="H127">
        <v>0</v>
      </c>
      <c r="I127">
        <v>0</v>
      </c>
      <c r="T127">
        <v>9999</v>
      </c>
      <c r="U127" s="187">
        <v>40800</v>
      </c>
    </row>
    <row r="128" spans="1:21">
      <c r="A128">
        <v>129</v>
      </c>
      <c r="B128">
        <v>1</v>
      </c>
      <c r="C128" t="s">
        <v>233</v>
      </c>
      <c r="D128" t="s">
        <v>233</v>
      </c>
      <c r="E128" s="189"/>
      <c r="F128">
        <v>0</v>
      </c>
      <c r="G128">
        <v>1</v>
      </c>
      <c r="H128">
        <v>1</v>
      </c>
      <c r="I128">
        <v>69</v>
      </c>
      <c r="K128">
        <v>0</v>
      </c>
      <c r="M128">
        <v>0</v>
      </c>
      <c r="O128">
        <v>0</v>
      </c>
      <c r="Q128">
        <v>0</v>
      </c>
      <c r="S128">
        <v>0</v>
      </c>
      <c r="T128">
        <v>2</v>
      </c>
      <c r="U128" s="187">
        <v>43264.604166666657</v>
      </c>
    </row>
    <row r="129" spans="1:21">
      <c r="A129">
        <v>130</v>
      </c>
      <c r="B129">
        <v>1</v>
      </c>
      <c r="C129" t="s">
        <v>234</v>
      </c>
      <c r="D129" t="s">
        <v>234</v>
      </c>
      <c r="E129" s="189"/>
      <c r="F129">
        <v>0</v>
      </c>
      <c r="G129">
        <v>3</v>
      </c>
      <c r="H129">
        <v>0</v>
      </c>
      <c r="I129">
        <v>0</v>
      </c>
      <c r="K129">
        <v>0</v>
      </c>
      <c r="M129">
        <v>0</v>
      </c>
      <c r="O129">
        <v>0</v>
      </c>
      <c r="Q129">
        <v>0</v>
      </c>
      <c r="S129">
        <v>0</v>
      </c>
      <c r="T129">
        <v>2</v>
      </c>
      <c r="U129" s="187">
        <v>42535.40902777778</v>
      </c>
    </row>
    <row r="130" spans="1:21">
      <c r="A130">
        <v>131</v>
      </c>
      <c r="B130">
        <v>1</v>
      </c>
      <c r="C130" t="s">
        <v>235</v>
      </c>
      <c r="D130" t="s">
        <v>235</v>
      </c>
      <c r="E130" s="189"/>
      <c r="F130">
        <v>0</v>
      </c>
      <c r="G130">
        <v>3</v>
      </c>
      <c r="H130">
        <v>0</v>
      </c>
      <c r="I130">
        <v>0</v>
      </c>
      <c r="T130">
        <v>9999</v>
      </c>
      <c r="U130" s="187">
        <v>40800</v>
      </c>
    </row>
    <row r="131" spans="1:21">
      <c r="A131">
        <v>132</v>
      </c>
      <c r="B131">
        <v>1</v>
      </c>
      <c r="C131" t="s">
        <v>236</v>
      </c>
      <c r="D131" t="s">
        <v>236</v>
      </c>
      <c r="E131" s="189"/>
      <c r="F131">
        <v>0</v>
      </c>
      <c r="G131">
        <v>2</v>
      </c>
      <c r="H131">
        <v>0</v>
      </c>
      <c r="I131">
        <v>0</v>
      </c>
      <c r="T131">
        <v>9999</v>
      </c>
      <c r="U131" s="187">
        <v>40800</v>
      </c>
    </row>
    <row r="132" spans="1:21">
      <c r="A132">
        <v>133</v>
      </c>
      <c r="B132">
        <v>1</v>
      </c>
      <c r="C132" t="s">
        <v>237</v>
      </c>
      <c r="D132" t="s">
        <v>237</v>
      </c>
      <c r="E132" s="189"/>
      <c r="F132">
        <v>0</v>
      </c>
      <c r="G132">
        <v>2</v>
      </c>
      <c r="H132">
        <v>2</v>
      </c>
      <c r="I132">
        <v>0</v>
      </c>
      <c r="J132" t="s">
        <v>238</v>
      </c>
      <c r="K132">
        <v>0</v>
      </c>
      <c r="M132">
        <v>0</v>
      </c>
      <c r="O132">
        <v>0</v>
      </c>
      <c r="T132">
        <v>2</v>
      </c>
      <c r="U132" s="187">
        <v>40823.75277777778</v>
      </c>
    </row>
    <row r="133" spans="1:21">
      <c r="A133">
        <v>134</v>
      </c>
      <c r="B133">
        <v>1</v>
      </c>
      <c r="C133" t="s">
        <v>239</v>
      </c>
      <c r="D133" t="s">
        <v>239</v>
      </c>
      <c r="E133" s="189"/>
      <c r="F133">
        <v>604</v>
      </c>
      <c r="G133">
        <v>1</v>
      </c>
      <c r="H133">
        <v>1</v>
      </c>
      <c r="I133">
        <v>0</v>
      </c>
      <c r="K133">
        <v>0</v>
      </c>
      <c r="M133">
        <v>0</v>
      </c>
      <c r="O133">
        <v>0</v>
      </c>
      <c r="Q133">
        <v>0</v>
      </c>
      <c r="S133">
        <v>0</v>
      </c>
      <c r="T133">
        <v>1</v>
      </c>
      <c r="U133" s="187">
        <v>42711.476388888892</v>
      </c>
    </row>
    <row r="134" spans="1:21">
      <c r="A134">
        <v>135</v>
      </c>
      <c r="B134">
        <v>1</v>
      </c>
      <c r="C134" t="s">
        <v>240</v>
      </c>
      <c r="D134" t="s">
        <v>240</v>
      </c>
      <c r="E134" s="189"/>
      <c r="F134">
        <v>0</v>
      </c>
      <c r="G134">
        <v>2</v>
      </c>
      <c r="H134">
        <v>0</v>
      </c>
      <c r="I134">
        <v>0</v>
      </c>
      <c r="T134">
        <v>9999</v>
      </c>
      <c r="U134" s="187">
        <v>40800</v>
      </c>
    </row>
    <row r="135" spans="1:21">
      <c r="A135">
        <v>136</v>
      </c>
      <c r="B135">
        <v>1</v>
      </c>
      <c r="C135" t="s">
        <v>241</v>
      </c>
      <c r="D135" t="s">
        <v>241</v>
      </c>
      <c r="E135" s="189"/>
      <c r="F135">
        <v>522</v>
      </c>
      <c r="G135">
        <v>1</v>
      </c>
      <c r="H135">
        <v>2</v>
      </c>
      <c r="I135">
        <v>0</v>
      </c>
      <c r="J135" t="s">
        <v>241</v>
      </c>
      <c r="K135">
        <v>1</v>
      </c>
      <c r="M135">
        <v>0</v>
      </c>
      <c r="O135">
        <v>0</v>
      </c>
      <c r="Q135">
        <v>0</v>
      </c>
      <c r="S135">
        <v>0</v>
      </c>
      <c r="T135">
        <v>2</v>
      </c>
      <c r="U135" s="187">
        <v>43665.711111111108</v>
      </c>
    </row>
    <row r="136" spans="1:21">
      <c r="A136">
        <v>137</v>
      </c>
      <c r="B136">
        <v>1</v>
      </c>
      <c r="C136" t="s">
        <v>242</v>
      </c>
      <c r="D136" t="s">
        <v>242</v>
      </c>
      <c r="E136" s="189"/>
      <c r="F136">
        <v>492</v>
      </c>
      <c r="G136">
        <v>1</v>
      </c>
      <c r="H136">
        <v>2</v>
      </c>
      <c r="I136">
        <v>0</v>
      </c>
      <c r="J136" t="s">
        <v>72</v>
      </c>
      <c r="K136">
        <v>1</v>
      </c>
      <c r="L136" t="s">
        <v>138</v>
      </c>
      <c r="M136">
        <v>0</v>
      </c>
      <c r="N136" t="s">
        <v>89</v>
      </c>
      <c r="O136">
        <v>0</v>
      </c>
      <c r="P136" t="s">
        <v>135</v>
      </c>
      <c r="Q136">
        <v>0</v>
      </c>
      <c r="R136" t="s">
        <v>243</v>
      </c>
      <c r="S136">
        <v>0</v>
      </c>
      <c r="T136">
        <v>2</v>
      </c>
      <c r="U136" s="187">
        <v>44216.600694444453</v>
      </c>
    </row>
    <row r="137" spans="1:21">
      <c r="A137">
        <v>138</v>
      </c>
      <c r="B137">
        <v>1</v>
      </c>
      <c r="C137" t="s">
        <v>244</v>
      </c>
      <c r="D137" t="s">
        <v>244</v>
      </c>
      <c r="E137" s="189"/>
      <c r="F137">
        <v>0</v>
      </c>
      <c r="G137">
        <v>1</v>
      </c>
      <c r="H137">
        <v>0</v>
      </c>
      <c r="I137">
        <v>0</v>
      </c>
      <c r="K137">
        <v>0</v>
      </c>
      <c r="M137">
        <v>0</v>
      </c>
      <c r="O137">
        <v>0</v>
      </c>
      <c r="Q137">
        <v>0</v>
      </c>
      <c r="S137">
        <v>0</v>
      </c>
      <c r="T137">
        <v>2</v>
      </c>
      <c r="U137" s="187">
        <v>42051.667361111111</v>
      </c>
    </row>
    <row r="138" spans="1:21">
      <c r="A138">
        <v>139</v>
      </c>
      <c r="B138">
        <v>1</v>
      </c>
      <c r="C138" t="s">
        <v>245</v>
      </c>
      <c r="D138" t="s">
        <v>245</v>
      </c>
      <c r="E138" s="189"/>
      <c r="F138">
        <v>0</v>
      </c>
      <c r="G138">
        <v>1</v>
      </c>
      <c r="H138">
        <v>0</v>
      </c>
      <c r="I138">
        <v>0</v>
      </c>
      <c r="K138">
        <v>0</v>
      </c>
      <c r="M138">
        <v>0</v>
      </c>
      <c r="O138">
        <v>0</v>
      </c>
      <c r="Q138">
        <v>0</v>
      </c>
      <c r="S138">
        <v>0</v>
      </c>
      <c r="T138">
        <v>2</v>
      </c>
      <c r="U138" s="187">
        <v>42060.472222222219</v>
      </c>
    </row>
    <row r="139" spans="1:21">
      <c r="A139">
        <v>140</v>
      </c>
      <c r="B139">
        <v>1</v>
      </c>
      <c r="C139" t="s">
        <v>246</v>
      </c>
      <c r="D139" t="s">
        <v>246</v>
      </c>
      <c r="E139" s="189"/>
      <c r="F139">
        <v>0</v>
      </c>
      <c r="G139">
        <v>2</v>
      </c>
      <c r="H139">
        <v>0</v>
      </c>
      <c r="I139">
        <v>0</v>
      </c>
      <c r="T139">
        <v>9999</v>
      </c>
      <c r="U139" s="187">
        <v>40800</v>
      </c>
    </row>
    <row r="140" spans="1:21">
      <c r="A140">
        <v>141</v>
      </c>
      <c r="B140">
        <v>1</v>
      </c>
      <c r="C140" t="s">
        <v>247</v>
      </c>
      <c r="D140" t="s">
        <v>247</v>
      </c>
      <c r="E140" s="189"/>
      <c r="F140">
        <v>0</v>
      </c>
      <c r="G140">
        <v>0</v>
      </c>
      <c r="H140">
        <v>2</v>
      </c>
      <c r="I140">
        <v>0</v>
      </c>
      <c r="J140" t="s">
        <v>247</v>
      </c>
      <c r="K140">
        <v>0</v>
      </c>
      <c r="M140">
        <v>0</v>
      </c>
      <c r="O140">
        <v>0</v>
      </c>
      <c r="Q140">
        <v>0</v>
      </c>
      <c r="S140">
        <v>0</v>
      </c>
      <c r="T140">
        <v>3</v>
      </c>
      <c r="U140" s="187">
        <v>44998.709722222222</v>
      </c>
    </row>
    <row r="141" spans="1:21">
      <c r="A141">
        <v>142</v>
      </c>
      <c r="B141">
        <v>1</v>
      </c>
      <c r="C141" t="s">
        <v>248</v>
      </c>
      <c r="D141" t="s">
        <v>248</v>
      </c>
      <c r="E141" s="189"/>
      <c r="F141">
        <v>0</v>
      </c>
      <c r="G141">
        <v>3</v>
      </c>
      <c r="H141">
        <v>0</v>
      </c>
      <c r="I141">
        <v>0</v>
      </c>
      <c r="K141">
        <v>0</v>
      </c>
      <c r="M141">
        <v>0</v>
      </c>
      <c r="O141">
        <v>0</v>
      </c>
      <c r="Q141">
        <v>0</v>
      </c>
      <c r="S141">
        <v>0</v>
      </c>
      <c r="T141">
        <v>2</v>
      </c>
      <c r="U141" s="187">
        <v>40862.552777777782</v>
      </c>
    </row>
    <row r="142" spans="1:21">
      <c r="A142">
        <v>143</v>
      </c>
      <c r="B142">
        <v>1</v>
      </c>
      <c r="C142" t="s">
        <v>249</v>
      </c>
      <c r="D142" t="s">
        <v>250</v>
      </c>
      <c r="E142" s="189"/>
      <c r="F142">
        <v>0</v>
      </c>
      <c r="G142">
        <v>1</v>
      </c>
      <c r="H142">
        <v>0</v>
      </c>
      <c r="I142">
        <v>0</v>
      </c>
      <c r="K142">
        <v>0</v>
      </c>
      <c r="M142">
        <v>0</v>
      </c>
      <c r="O142">
        <v>0</v>
      </c>
      <c r="Q142">
        <v>0</v>
      </c>
      <c r="S142">
        <v>0</v>
      </c>
      <c r="T142">
        <v>2</v>
      </c>
      <c r="U142" s="187">
        <v>41718.542361111111</v>
      </c>
    </row>
    <row r="143" spans="1:21">
      <c r="A143">
        <v>148</v>
      </c>
      <c r="B143">
        <v>1</v>
      </c>
      <c r="C143" t="s">
        <v>251</v>
      </c>
      <c r="D143" t="s">
        <v>251</v>
      </c>
      <c r="E143" s="189"/>
      <c r="F143">
        <v>0</v>
      </c>
      <c r="G143">
        <v>2</v>
      </c>
      <c r="H143">
        <v>0</v>
      </c>
      <c r="I143">
        <v>0</v>
      </c>
      <c r="T143">
        <v>9999</v>
      </c>
      <c r="U143" s="187">
        <v>40800</v>
      </c>
    </row>
    <row r="144" spans="1:21">
      <c r="A144">
        <v>149</v>
      </c>
      <c r="B144">
        <v>1</v>
      </c>
      <c r="C144" t="s">
        <v>252</v>
      </c>
      <c r="D144" t="s">
        <v>252</v>
      </c>
      <c r="E144" s="189"/>
      <c r="F144">
        <v>0</v>
      </c>
      <c r="G144">
        <v>1</v>
      </c>
      <c r="H144">
        <v>0</v>
      </c>
      <c r="I144">
        <v>0</v>
      </c>
      <c r="K144">
        <v>0</v>
      </c>
      <c r="M144">
        <v>0</v>
      </c>
      <c r="O144">
        <v>0</v>
      </c>
      <c r="Q144">
        <v>0</v>
      </c>
      <c r="S144">
        <v>0</v>
      </c>
      <c r="T144">
        <v>2</v>
      </c>
      <c r="U144" s="187">
        <v>41829.661111111112</v>
      </c>
    </row>
    <row r="145" spans="1:21">
      <c r="A145">
        <v>150</v>
      </c>
      <c r="B145">
        <v>1</v>
      </c>
      <c r="C145" t="s">
        <v>253</v>
      </c>
      <c r="D145" t="s">
        <v>253</v>
      </c>
      <c r="E145" s="189"/>
      <c r="F145">
        <v>491</v>
      </c>
      <c r="G145">
        <v>1</v>
      </c>
      <c r="H145">
        <v>2</v>
      </c>
      <c r="I145">
        <v>0</v>
      </c>
      <c r="K145">
        <v>0</v>
      </c>
      <c r="M145">
        <v>0</v>
      </c>
      <c r="O145">
        <v>0</v>
      </c>
      <c r="Q145">
        <v>0</v>
      </c>
      <c r="S145">
        <v>0</v>
      </c>
      <c r="T145">
        <v>2</v>
      </c>
      <c r="U145" s="187">
        <v>42312.499305555553</v>
      </c>
    </row>
    <row r="146" spans="1:21">
      <c r="A146">
        <v>151</v>
      </c>
      <c r="B146">
        <v>0</v>
      </c>
      <c r="C146" t="s">
        <v>254</v>
      </c>
      <c r="D146" t="s">
        <v>253</v>
      </c>
      <c r="E146" s="189"/>
      <c r="F146">
        <v>0</v>
      </c>
      <c r="G146">
        <v>2</v>
      </c>
      <c r="H146">
        <v>0</v>
      </c>
      <c r="I146">
        <v>0</v>
      </c>
      <c r="T146">
        <v>9999</v>
      </c>
      <c r="U146" s="187">
        <v>40800</v>
      </c>
    </row>
    <row r="147" spans="1:21">
      <c r="A147">
        <v>152</v>
      </c>
      <c r="B147">
        <v>1</v>
      </c>
      <c r="C147" t="s">
        <v>70</v>
      </c>
      <c r="D147" t="s">
        <v>70</v>
      </c>
      <c r="E147" s="189"/>
      <c r="F147">
        <v>503</v>
      </c>
      <c r="G147">
        <v>1</v>
      </c>
      <c r="H147">
        <v>0</v>
      </c>
      <c r="I147">
        <v>0</v>
      </c>
      <c r="K147">
        <v>0</v>
      </c>
      <c r="M147">
        <v>0</v>
      </c>
      <c r="O147">
        <v>0</v>
      </c>
      <c r="Q147">
        <v>0</v>
      </c>
      <c r="S147">
        <v>0</v>
      </c>
      <c r="T147">
        <v>6</v>
      </c>
      <c r="U147" s="187">
        <v>42571.453472222223</v>
      </c>
    </row>
    <row r="148" spans="1:21">
      <c r="A148">
        <v>153</v>
      </c>
      <c r="B148">
        <v>0</v>
      </c>
      <c r="C148" t="s">
        <v>255</v>
      </c>
      <c r="D148" t="s">
        <v>253</v>
      </c>
      <c r="E148" s="189"/>
      <c r="F148">
        <v>0</v>
      </c>
      <c r="G148">
        <v>2</v>
      </c>
      <c r="H148">
        <v>0</v>
      </c>
      <c r="I148">
        <v>0</v>
      </c>
      <c r="T148">
        <v>9999</v>
      </c>
      <c r="U148" s="187">
        <v>40800</v>
      </c>
    </row>
    <row r="149" spans="1:21">
      <c r="A149">
        <v>154</v>
      </c>
      <c r="B149">
        <v>0</v>
      </c>
      <c r="C149" t="s">
        <v>256</v>
      </c>
      <c r="D149" t="s">
        <v>253</v>
      </c>
      <c r="E149" s="189"/>
      <c r="F149">
        <v>0</v>
      </c>
      <c r="G149">
        <v>2</v>
      </c>
      <c r="H149">
        <v>0</v>
      </c>
      <c r="I149">
        <v>0</v>
      </c>
      <c r="T149">
        <v>9999</v>
      </c>
      <c r="U149" s="187">
        <v>40800</v>
      </c>
    </row>
    <row r="150" spans="1:21">
      <c r="A150">
        <v>155</v>
      </c>
      <c r="B150">
        <v>0</v>
      </c>
      <c r="C150" t="s">
        <v>257</v>
      </c>
      <c r="D150" t="s">
        <v>253</v>
      </c>
      <c r="E150" s="189"/>
      <c r="F150">
        <v>0</v>
      </c>
      <c r="G150">
        <v>2</v>
      </c>
      <c r="H150">
        <v>0</v>
      </c>
      <c r="I150">
        <v>0</v>
      </c>
      <c r="T150">
        <v>9999</v>
      </c>
      <c r="U150" s="187">
        <v>40800</v>
      </c>
    </row>
    <row r="151" spans="1:21">
      <c r="A151">
        <v>156</v>
      </c>
      <c r="B151">
        <v>0</v>
      </c>
      <c r="C151" t="s">
        <v>258</v>
      </c>
      <c r="D151" t="s">
        <v>259</v>
      </c>
      <c r="E151" s="189"/>
      <c r="F151">
        <v>0</v>
      </c>
      <c r="G151">
        <v>1</v>
      </c>
      <c r="H151">
        <v>0</v>
      </c>
      <c r="I151">
        <v>0</v>
      </c>
      <c r="K151">
        <v>0</v>
      </c>
      <c r="M151">
        <v>0</v>
      </c>
      <c r="O151">
        <v>0</v>
      </c>
      <c r="Q151">
        <v>0</v>
      </c>
      <c r="S151">
        <v>0</v>
      </c>
      <c r="T151">
        <v>2</v>
      </c>
      <c r="U151" s="187">
        <v>41829.616666666669</v>
      </c>
    </row>
    <row r="152" spans="1:21">
      <c r="A152">
        <v>157</v>
      </c>
      <c r="B152">
        <v>1</v>
      </c>
      <c r="C152" t="s">
        <v>260</v>
      </c>
      <c r="D152" t="s">
        <v>261</v>
      </c>
      <c r="E152" s="189"/>
      <c r="F152">
        <v>0</v>
      </c>
      <c r="G152">
        <v>1</v>
      </c>
      <c r="H152">
        <v>0</v>
      </c>
      <c r="I152">
        <v>0</v>
      </c>
      <c r="K152">
        <v>0</v>
      </c>
      <c r="M152">
        <v>0</v>
      </c>
      <c r="O152">
        <v>0</v>
      </c>
      <c r="Q152">
        <v>0</v>
      </c>
      <c r="S152">
        <v>0</v>
      </c>
      <c r="T152">
        <v>2</v>
      </c>
      <c r="U152" s="187">
        <v>43252.563194444447</v>
      </c>
    </row>
    <row r="153" spans="1:21">
      <c r="A153">
        <v>158</v>
      </c>
      <c r="B153">
        <v>1</v>
      </c>
      <c r="C153" t="s">
        <v>262</v>
      </c>
      <c r="D153" t="s">
        <v>262</v>
      </c>
      <c r="E153" s="189"/>
      <c r="F153">
        <v>0</v>
      </c>
      <c r="G153">
        <v>1</v>
      </c>
      <c r="H153">
        <v>0</v>
      </c>
      <c r="I153">
        <v>0</v>
      </c>
      <c r="K153">
        <v>0</v>
      </c>
      <c r="M153">
        <v>0</v>
      </c>
      <c r="O153">
        <v>0</v>
      </c>
      <c r="Q153">
        <v>0</v>
      </c>
      <c r="S153">
        <v>0</v>
      </c>
      <c r="T153">
        <v>2</v>
      </c>
      <c r="U153" s="187">
        <v>43882.459722222222</v>
      </c>
    </row>
    <row r="154" spans="1:21">
      <c r="A154">
        <v>159</v>
      </c>
      <c r="B154">
        <v>1</v>
      </c>
      <c r="C154" t="s">
        <v>263</v>
      </c>
      <c r="D154" t="s">
        <v>263</v>
      </c>
      <c r="E154" s="189"/>
      <c r="F154">
        <v>0</v>
      </c>
      <c r="G154">
        <v>1</v>
      </c>
      <c r="H154">
        <v>0</v>
      </c>
      <c r="I154">
        <v>0</v>
      </c>
      <c r="K154">
        <v>0</v>
      </c>
      <c r="M154">
        <v>0</v>
      </c>
      <c r="O154">
        <v>0</v>
      </c>
      <c r="Q154">
        <v>0</v>
      </c>
      <c r="S154">
        <v>0</v>
      </c>
      <c r="T154">
        <v>2</v>
      </c>
      <c r="U154" s="187">
        <v>43252.563194444447</v>
      </c>
    </row>
    <row r="155" spans="1:21">
      <c r="A155">
        <v>160</v>
      </c>
      <c r="B155">
        <v>1</v>
      </c>
      <c r="C155" t="s">
        <v>264</v>
      </c>
      <c r="D155" t="s">
        <v>265</v>
      </c>
      <c r="E155" s="189"/>
      <c r="F155">
        <v>482</v>
      </c>
      <c r="G155">
        <v>1</v>
      </c>
      <c r="H155">
        <v>0</v>
      </c>
      <c r="I155">
        <v>0</v>
      </c>
      <c r="K155">
        <v>0</v>
      </c>
      <c r="M155">
        <v>0</v>
      </c>
      <c r="O155">
        <v>0</v>
      </c>
      <c r="Q155">
        <v>0</v>
      </c>
      <c r="S155">
        <v>0</v>
      </c>
      <c r="T155">
        <v>2</v>
      </c>
      <c r="U155" s="187">
        <v>42202.553472222222</v>
      </c>
    </row>
    <row r="156" spans="1:21">
      <c r="A156">
        <v>161</v>
      </c>
      <c r="B156">
        <v>0</v>
      </c>
      <c r="C156" t="s">
        <v>266</v>
      </c>
      <c r="D156" t="s">
        <v>267</v>
      </c>
      <c r="E156" s="189"/>
      <c r="F156">
        <v>0</v>
      </c>
      <c r="G156">
        <v>2</v>
      </c>
      <c r="H156">
        <v>0</v>
      </c>
      <c r="I156">
        <v>0</v>
      </c>
      <c r="K156">
        <v>0</v>
      </c>
      <c r="M156">
        <v>0</v>
      </c>
      <c r="O156">
        <v>0</v>
      </c>
      <c r="Q156">
        <v>0</v>
      </c>
      <c r="S156">
        <v>0</v>
      </c>
      <c r="T156">
        <v>2</v>
      </c>
      <c r="U156" s="187">
        <v>42202.545138888891</v>
      </c>
    </row>
    <row r="157" spans="1:21">
      <c r="A157">
        <v>162</v>
      </c>
      <c r="B157">
        <v>1</v>
      </c>
      <c r="C157" t="s">
        <v>268</v>
      </c>
      <c r="D157" t="s">
        <v>268</v>
      </c>
      <c r="E157" s="189"/>
      <c r="F157">
        <v>0</v>
      </c>
      <c r="G157">
        <v>1</v>
      </c>
      <c r="H157">
        <v>0</v>
      </c>
      <c r="I157">
        <v>42</v>
      </c>
      <c r="K157">
        <v>0</v>
      </c>
      <c r="M157">
        <v>0</v>
      </c>
      <c r="O157">
        <v>0</v>
      </c>
      <c r="Q157">
        <v>0</v>
      </c>
      <c r="S157">
        <v>0</v>
      </c>
      <c r="T157">
        <v>4</v>
      </c>
      <c r="U157" s="187">
        <v>45226.445138888892</v>
      </c>
    </row>
    <row r="158" spans="1:21">
      <c r="A158">
        <v>163</v>
      </c>
      <c r="B158">
        <v>0</v>
      </c>
      <c r="C158" t="s">
        <v>269</v>
      </c>
      <c r="D158" t="s">
        <v>267</v>
      </c>
      <c r="E158" s="189"/>
      <c r="F158">
        <v>0</v>
      </c>
      <c r="G158">
        <v>2</v>
      </c>
      <c r="H158">
        <v>0</v>
      </c>
      <c r="I158">
        <v>0</v>
      </c>
      <c r="K158">
        <v>0</v>
      </c>
      <c r="M158">
        <v>0</v>
      </c>
      <c r="O158">
        <v>0</v>
      </c>
      <c r="Q158">
        <v>0</v>
      </c>
      <c r="S158">
        <v>0</v>
      </c>
      <c r="T158">
        <v>2</v>
      </c>
      <c r="U158" s="187">
        <v>42202.545138888891</v>
      </c>
    </row>
    <row r="159" spans="1:21">
      <c r="A159">
        <v>164</v>
      </c>
      <c r="B159">
        <v>1</v>
      </c>
      <c r="C159" t="s">
        <v>270</v>
      </c>
      <c r="D159" t="s">
        <v>270</v>
      </c>
      <c r="E159" s="189"/>
      <c r="F159">
        <v>0</v>
      </c>
      <c r="G159">
        <v>1</v>
      </c>
      <c r="H159">
        <v>0</v>
      </c>
      <c r="I159">
        <v>0</v>
      </c>
      <c r="K159">
        <v>0</v>
      </c>
      <c r="M159">
        <v>0</v>
      </c>
      <c r="O159">
        <v>0</v>
      </c>
      <c r="Q159">
        <v>0</v>
      </c>
      <c r="S159">
        <v>0</v>
      </c>
      <c r="T159">
        <v>2</v>
      </c>
      <c r="U159" s="187">
        <v>42202.545138888891</v>
      </c>
    </row>
    <row r="160" spans="1:21">
      <c r="A160">
        <v>165</v>
      </c>
      <c r="B160">
        <v>0</v>
      </c>
      <c r="C160" t="s">
        <v>271</v>
      </c>
      <c r="D160" t="s">
        <v>267</v>
      </c>
      <c r="E160" s="189"/>
      <c r="F160">
        <v>0</v>
      </c>
      <c r="G160">
        <v>2</v>
      </c>
      <c r="H160">
        <v>0</v>
      </c>
      <c r="I160">
        <v>0</v>
      </c>
      <c r="K160">
        <v>0</v>
      </c>
      <c r="M160">
        <v>0</v>
      </c>
      <c r="O160">
        <v>0</v>
      </c>
      <c r="Q160">
        <v>0</v>
      </c>
      <c r="S160">
        <v>0</v>
      </c>
      <c r="T160">
        <v>2</v>
      </c>
      <c r="U160" s="187">
        <v>42202.54583333333</v>
      </c>
    </row>
    <row r="161" spans="1:21">
      <c r="A161">
        <v>166</v>
      </c>
      <c r="B161">
        <v>1</v>
      </c>
      <c r="C161" t="s">
        <v>272</v>
      </c>
      <c r="D161" t="s">
        <v>273</v>
      </c>
      <c r="E161" s="189"/>
      <c r="F161">
        <v>0</v>
      </c>
      <c r="G161">
        <v>1</v>
      </c>
      <c r="H161">
        <v>0</v>
      </c>
      <c r="I161">
        <v>0</v>
      </c>
      <c r="K161">
        <v>0</v>
      </c>
      <c r="M161">
        <v>0</v>
      </c>
      <c r="O161">
        <v>0</v>
      </c>
      <c r="Q161">
        <v>0</v>
      </c>
      <c r="S161">
        <v>0</v>
      </c>
      <c r="T161">
        <v>2</v>
      </c>
      <c r="U161" s="187">
        <v>42202.54583333333</v>
      </c>
    </row>
    <row r="162" spans="1:21">
      <c r="A162">
        <v>167</v>
      </c>
      <c r="B162">
        <v>1</v>
      </c>
      <c r="C162" t="s">
        <v>18</v>
      </c>
      <c r="D162" t="s">
        <v>18</v>
      </c>
      <c r="E162" s="189"/>
      <c r="F162">
        <v>0</v>
      </c>
      <c r="G162">
        <v>1</v>
      </c>
      <c r="H162">
        <v>0</v>
      </c>
      <c r="I162">
        <v>0</v>
      </c>
      <c r="K162">
        <v>0</v>
      </c>
      <c r="M162">
        <v>0</v>
      </c>
      <c r="O162">
        <v>0</v>
      </c>
      <c r="Q162">
        <v>0</v>
      </c>
      <c r="S162">
        <v>0</v>
      </c>
      <c r="T162">
        <v>2</v>
      </c>
      <c r="U162" s="187">
        <v>42291.458333333343</v>
      </c>
    </row>
    <row r="163" spans="1:21">
      <c r="A163">
        <v>168</v>
      </c>
      <c r="B163">
        <v>1</v>
      </c>
      <c r="C163" t="s">
        <v>274</v>
      </c>
      <c r="D163" t="s">
        <v>274</v>
      </c>
      <c r="E163" s="189"/>
      <c r="F163">
        <v>0</v>
      </c>
      <c r="G163">
        <v>1</v>
      </c>
      <c r="H163">
        <v>0</v>
      </c>
      <c r="I163">
        <v>42</v>
      </c>
      <c r="K163">
        <v>0</v>
      </c>
      <c r="M163">
        <v>0</v>
      </c>
      <c r="O163">
        <v>0</v>
      </c>
      <c r="Q163">
        <v>0</v>
      </c>
      <c r="S163">
        <v>0</v>
      </c>
      <c r="T163">
        <v>4</v>
      </c>
      <c r="U163" s="187">
        <v>45581.530555555553</v>
      </c>
    </row>
    <row r="164" spans="1:21">
      <c r="A164">
        <v>169</v>
      </c>
      <c r="B164">
        <v>1</v>
      </c>
      <c r="C164" t="s">
        <v>275</v>
      </c>
      <c r="D164" t="s">
        <v>276</v>
      </c>
      <c r="E164" s="189"/>
      <c r="F164">
        <v>0</v>
      </c>
      <c r="G164">
        <v>1</v>
      </c>
      <c r="H164">
        <v>1</v>
      </c>
      <c r="I164">
        <v>0</v>
      </c>
      <c r="K164">
        <v>0</v>
      </c>
      <c r="M164">
        <v>0</v>
      </c>
      <c r="O164">
        <v>0</v>
      </c>
      <c r="Q164">
        <v>0</v>
      </c>
      <c r="S164">
        <v>0</v>
      </c>
      <c r="T164">
        <v>7</v>
      </c>
      <c r="U164" s="187">
        <v>43010.552083333343</v>
      </c>
    </row>
    <row r="165" spans="1:21">
      <c r="A165">
        <v>170</v>
      </c>
      <c r="B165">
        <v>0</v>
      </c>
      <c r="C165" t="s">
        <v>277</v>
      </c>
      <c r="D165" t="s">
        <v>267</v>
      </c>
      <c r="E165" s="189"/>
      <c r="F165">
        <v>0</v>
      </c>
      <c r="G165">
        <v>2</v>
      </c>
      <c r="H165">
        <v>0</v>
      </c>
      <c r="I165">
        <v>0</v>
      </c>
      <c r="K165">
        <v>0</v>
      </c>
      <c r="M165">
        <v>0</v>
      </c>
      <c r="O165">
        <v>0</v>
      </c>
      <c r="Q165">
        <v>0</v>
      </c>
      <c r="S165">
        <v>0</v>
      </c>
      <c r="T165">
        <v>2</v>
      </c>
      <c r="U165" s="187">
        <v>42202.54583333333</v>
      </c>
    </row>
    <row r="166" spans="1:21">
      <c r="A166">
        <v>171</v>
      </c>
      <c r="B166">
        <v>1</v>
      </c>
      <c r="C166" t="s">
        <v>6</v>
      </c>
      <c r="D166" t="s">
        <v>278</v>
      </c>
      <c r="E166" s="189"/>
      <c r="F166">
        <v>0</v>
      </c>
      <c r="G166">
        <v>1</v>
      </c>
      <c r="H166">
        <v>2</v>
      </c>
      <c r="I166">
        <v>0</v>
      </c>
      <c r="J166" t="s">
        <v>72</v>
      </c>
      <c r="K166">
        <v>1</v>
      </c>
      <c r="L166" t="s">
        <v>125</v>
      </c>
      <c r="M166">
        <v>1</v>
      </c>
      <c r="N166" t="s">
        <v>89</v>
      </c>
      <c r="O166">
        <v>0</v>
      </c>
      <c r="Q166">
        <v>0</v>
      </c>
      <c r="S166">
        <v>0</v>
      </c>
      <c r="T166">
        <v>2</v>
      </c>
      <c r="U166" s="187">
        <v>43269.609027777777</v>
      </c>
    </row>
    <row r="167" spans="1:21">
      <c r="A167">
        <v>172</v>
      </c>
      <c r="B167">
        <v>0</v>
      </c>
      <c r="C167" t="s">
        <v>279</v>
      </c>
      <c r="D167" t="s">
        <v>267</v>
      </c>
      <c r="E167" s="189"/>
      <c r="F167">
        <v>0</v>
      </c>
      <c r="G167">
        <v>2</v>
      </c>
      <c r="H167">
        <v>0</v>
      </c>
      <c r="I167">
        <v>0</v>
      </c>
      <c r="K167">
        <v>0</v>
      </c>
      <c r="M167">
        <v>0</v>
      </c>
      <c r="O167">
        <v>0</v>
      </c>
      <c r="Q167">
        <v>0</v>
      </c>
      <c r="S167">
        <v>0</v>
      </c>
      <c r="T167">
        <v>2</v>
      </c>
      <c r="U167" s="187">
        <v>42202.54583333333</v>
      </c>
    </row>
    <row r="168" spans="1:21">
      <c r="A168">
        <v>173</v>
      </c>
      <c r="B168">
        <v>1</v>
      </c>
      <c r="C168" t="s">
        <v>280</v>
      </c>
      <c r="D168" t="s">
        <v>281</v>
      </c>
      <c r="E168" s="189"/>
      <c r="F168">
        <v>0</v>
      </c>
      <c r="G168">
        <v>1</v>
      </c>
      <c r="H168">
        <v>0</v>
      </c>
      <c r="I168">
        <v>0</v>
      </c>
      <c r="K168">
        <v>0</v>
      </c>
      <c r="M168">
        <v>0</v>
      </c>
      <c r="O168">
        <v>0</v>
      </c>
      <c r="Q168">
        <v>0</v>
      </c>
      <c r="S168">
        <v>0</v>
      </c>
      <c r="T168">
        <v>2</v>
      </c>
      <c r="U168" s="187">
        <v>42202.54583333333</v>
      </c>
    </row>
    <row r="169" spans="1:21">
      <c r="A169">
        <v>174</v>
      </c>
      <c r="B169">
        <v>0</v>
      </c>
      <c r="C169" t="s">
        <v>282</v>
      </c>
      <c r="D169" t="s">
        <v>267</v>
      </c>
      <c r="E169" s="189"/>
      <c r="F169">
        <v>0</v>
      </c>
      <c r="G169">
        <v>2</v>
      </c>
      <c r="H169">
        <v>0</v>
      </c>
      <c r="I169">
        <v>0</v>
      </c>
      <c r="K169">
        <v>0</v>
      </c>
      <c r="M169">
        <v>0</v>
      </c>
      <c r="O169">
        <v>0</v>
      </c>
      <c r="Q169">
        <v>0</v>
      </c>
      <c r="S169">
        <v>0</v>
      </c>
      <c r="T169">
        <v>2</v>
      </c>
      <c r="U169" s="187">
        <v>42202.546527777777</v>
      </c>
    </row>
    <row r="170" spans="1:21">
      <c r="A170">
        <v>175</v>
      </c>
      <c r="B170">
        <v>1</v>
      </c>
      <c r="C170" t="s">
        <v>283</v>
      </c>
      <c r="D170" t="s">
        <v>284</v>
      </c>
      <c r="E170" s="189"/>
      <c r="F170">
        <v>191</v>
      </c>
      <c r="G170">
        <v>1</v>
      </c>
      <c r="H170">
        <v>2</v>
      </c>
      <c r="I170">
        <v>0</v>
      </c>
      <c r="J170" t="s">
        <v>284</v>
      </c>
      <c r="K170">
        <v>0</v>
      </c>
      <c r="L170" t="s">
        <v>89</v>
      </c>
      <c r="M170">
        <v>0</v>
      </c>
      <c r="O170">
        <v>0</v>
      </c>
      <c r="Q170">
        <v>0</v>
      </c>
      <c r="S170">
        <v>0</v>
      </c>
      <c r="T170">
        <v>2</v>
      </c>
      <c r="U170" s="187">
        <v>42634.438888888893</v>
      </c>
    </row>
    <row r="171" spans="1:21">
      <c r="A171">
        <v>176</v>
      </c>
      <c r="B171">
        <v>1</v>
      </c>
      <c r="C171" t="s">
        <v>285</v>
      </c>
      <c r="D171" t="s">
        <v>286</v>
      </c>
      <c r="E171" s="189"/>
      <c r="F171">
        <v>0</v>
      </c>
      <c r="G171">
        <v>2</v>
      </c>
      <c r="H171">
        <v>0</v>
      </c>
      <c r="I171">
        <v>0</v>
      </c>
      <c r="K171">
        <v>0</v>
      </c>
      <c r="M171">
        <v>0</v>
      </c>
      <c r="O171">
        <v>0</v>
      </c>
      <c r="Q171">
        <v>0</v>
      </c>
      <c r="S171">
        <v>0</v>
      </c>
      <c r="T171">
        <v>2</v>
      </c>
      <c r="U171" s="187">
        <v>42202.546527777777</v>
      </c>
    </row>
    <row r="172" spans="1:21">
      <c r="A172">
        <v>177</v>
      </c>
      <c r="B172">
        <v>0</v>
      </c>
      <c r="C172" t="s">
        <v>287</v>
      </c>
      <c r="D172" t="s">
        <v>286</v>
      </c>
      <c r="E172" s="189"/>
      <c r="F172">
        <v>0</v>
      </c>
      <c r="G172">
        <v>2</v>
      </c>
      <c r="H172">
        <v>0</v>
      </c>
      <c r="I172">
        <v>0</v>
      </c>
      <c r="K172">
        <v>0</v>
      </c>
      <c r="M172">
        <v>0</v>
      </c>
      <c r="O172">
        <v>0</v>
      </c>
      <c r="Q172">
        <v>0</v>
      </c>
      <c r="S172">
        <v>0</v>
      </c>
      <c r="T172">
        <v>2</v>
      </c>
      <c r="U172" s="187">
        <v>42202.546527777777</v>
      </c>
    </row>
    <row r="173" spans="1:21">
      <c r="A173">
        <v>178</v>
      </c>
      <c r="B173">
        <v>0</v>
      </c>
      <c r="C173" t="s">
        <v>288</v>
      </c>
      <c r="D173" t="s">
        <v>286</v>
      </c>
      <c r="E173" s="189"/>
      <c r="F173">
        <v>0</v>
      </c>
      <c r="G173">
        <v>2</v>
      </c>
      <c r="H173">
        <v>0</v>
      </c>
      <c r="I173">
        <v>0</v>
      </c>
      <c r="K173">
        <v>0</v>
      </c>
      <c r="M173">
        <v>0</v>
      </c>
      <c r="O173">
        <v>0</v>
      </c>
      <c r="Q173">
        <v>0</v>
      </c>
      <c r="S173">
        <v>0</v>
      </c>
      <c r="T173">
        <v>2</v>
      </c>
      <c r="U173" s="187">
        <v>42202.546527777777</v>
      </c>
    </row>
    <row r="174" spans="1:21">
      <c r="A174">
        <v>179</v>
      </c>
      <c r="B174">
        <v>0</v>
      </c>
      <c r="C174" t="s">
        <v>289</v>
      </c>
      <c r="D174" t="s">
        <v>286</v>
      </c>
      <c r="E174" s="189"/>
      <c r="F174">
        <v>0</v>
      </c>
      <c r="G174">
        <v>2</v>
      </c>
      <c r="H174">
        <v>0</v>
      </c>
      <c r="I174">
        <v>0</v>
      </c>
      <c r="K174">
        <v>0</v>
      </c>
      <c r="M174">
        <v>0</v>
      </c>
      <c r="O174">
        <v>0</v>
      </c>
      <c r="Q174">
        <v>0</v>
      </c>
      <c r="S174">
        <v>0</v>
      </c>
      <c r="T174">
        <v>2</v>
      </c>
      <c r="U174" s="187">
        <v>42202.546527777777</v>
      </c>
    </row>
    <row r="175" spans="1:21">
      <c r="A175">
        <v>180</v>
      </c>
      <c r="B175">
        <v>0</v>
      </c>
      <c r="C175" t="s">
        <v>290</v>
      </c>
      <c r="D175" t="s">
        <v>286</v>
      </c>
      <c r="E175" s="189"/>
      <c r="F175">
        <v>0</v>
      </c>
      <c r="G175">
        <v>2</v>
      </c>
      <c r="H175">
        <v>0</v>
      </c>
      <c r="I175">
        <v>0</v>
      </c>
      <c r="K175">
        <v>0</v>
      </c>
      <c r="M175">
        <v>0</v>
      </c>
      <c r="O175">
        <v>0</v>
      </c>
      <c r="Q175">
        <v>0</v>
      </c>
      <c r="S175">
        <v>0</v>
      </c>
      <c r="T175">
        <v>2</v>
      </c>
      <c r="U175" s="187">
        <v>42202.546527777777</v>
      </c>
    </row>
    <row r="176" spans="1:21">
      <c r="A176">
        <v>181</v>
      </c>
      <c r="B176">
        <v>0</v>
      </c>
      <c r="C176" t="s">
        <v>291</v>
      </c>
      <c r="D176" t="s">
        <v>286</v>
      </c>
      <c r="E176" s="189"/>
      <c r="F176">
        <v>0</v>
      </c>
      <c r="G176">
        <v>2</v>
      </c>
      <c r="H176">
        <v>0</v>
      </c>
      <c r="I176">
        <v>0</v>
      </c>
      <c r="K176">
        <v>0</v>
      </c>
      <c r="M176">
        <v>0</v>
      </c>
      <c r="O176">
        <v>0</v>
      </c>
      <c r="Q176">
        <v>0</v>
      </c>
      <c r="S176">
        <v>0</v>
      </c>
      <c r="T176">
        <v>2</v>
      </c>
      <c r="U176" s="187">
        <v>42202.546527777777</v>
      </c>
    </row>
    <row r="177" spans="1:21">
      <c r="A177">
        <v>182</v>
      </c>
      <c r="B177">
        <v>0</v>
      </c>
      <c r="C177" t="s">
        <v>292</v>
      </c>
      <c r="D177" t="s">
        <v>286</v>
      </c>
      <c r="E177" s="189"/>
      <c r="F177">
        <v>0</v>
      </c>
      <c r="G177">
        <v>2</v>
      </c>
      <c r="H177">
        <v>0</v>
      </c>
      <c r="I177">
        <v>0</v>
      </c>
      <c r="K177">
        <v>0</v>
      </c>
      <c r="M177">
        <v>0</v>
      </c>
      <c r="O177">
        <v>0</v>
      </c>
      <c r="Q177">
        <v>0</v>
      </c>
      <c r="S177">
        <v>0</v>
      </c>
      <c r="T177">
        <v>2</v>
      </c>
      <c r="U177" s="187">
        <v>42202.546527777777</v>
      </c>
    </row>
    <row r="178" spans="1:21">
      <c r="A178">
        <v>183</v>
      </c>
      <c r="B178">
        <v>0</v>
      </c>
      <c r="C178" t="s">
        <v>293</v>
      </c>
      <c r="D178" t="s">
        <v>286</v>
      </c>
      <c r="E178" s="189"/>
      <c r="F178">
        <v>0</v>
      </c>
      <c r="G178">
        <v>2</v>
      </c>
      <c r="H178">
        <v>0</v>
      </c>
      <c r="I178">
        <v>0</v>
      </c>
      <c r="K178">
        <v>0</v>
      </c>
      <c r="M178">
        <v>0</v>
      </c>
      <c r="O178">
        <v>0</v>
      </c>
      <c r="Q178">
        <v>0</v>
      </c>
      <c r="S178">
        <v>0</v>
      </c>
      <c r="T178">
        <v>2</v>
      </c>
      <c r="U178" s="187">
        <v>42202.546527777777</v>
      </c>
    </row>
    <row r="179" spans="1:21">
      <c r="A179">
        <v>184</v>
      </c>
      <c r="B179">
        <v>0</v>
      </c>
      <c r="C179" t="s">
        <v>294</v>
      </c>
      <c r="D179" t="s">
        <v>286</v>
      </c>
      <c r="E179" s="189"/>
      <c r="F179">
        <v>0</v>
      </c>
      <c r="G179">
        <v>2</v>
      </c>
      <c r="H179">
        <v>0</v>
      </c>
      <c r="I179">
        <v>0</v>
      </c>
      <c r="K179">
        <v>0</v>
      </c>
      <c r="M179">
        <v>0</v>
      </c>
      <c r="O179">
        <v>0</v>
      </c>
      <c r="Q179">
        <v>0</v>
      </c>
      <c r="S179">
        <v>0</v>
      </c>
      <c r="T179">
        <v>3</v>
      </c>
      <c r="U179" s="187">
        <v>42298.729861111111</v>
      </c>
    </row>
    <row r="180" spans="1:21">
      <c r="A180">
        <v>185</v>
      </c>
      <c r="B180">
        <v>0</v>
      </c>
      <c r="C180" t="s">
        <v>295</v>
      </c>
      <c r="D180" t="s">
        <v>286</v>
      </c>
      <c r="E180" s="189"/>
      <c r="F180">
        <v>0</v>
      </c>
      <c r="G180">
        <v>2</v>
      </c>
      <c r="H180">
        <v>0</v>
      </c>
      <c r="I180">
        <v>0</v>
      </c>
      <c r="K180">
        <v>0</v>
      </c>
      <c r="M180">
        <v>0</v>
      </c>
      <c r="O180">
        <v>0</v>
      </c>
      <c r="Q180">
        <v>0</v>
      </c>
      <c r="S180">
        <v>0</v>
      </c>
      <c r="T180">
        <v>2</v>
      </c>
      <c r="U180" s="187">
        <v>42202.546527777777</v>
      </c>
    </row>
    <row r="181" spans="1:21">
      <c r="A181">
        <v>186</v>
      </c>
      <c r="B181">
        <v>0</v>
      </c>
      <c r="C181" t="s">
        <v>296</v>
      </c>
      <c r="D181" t="s">
        <v>286</v>
      </c>
      <c r="E181" s="189"/>
      <c r="F181">
        <v>0</v>
      </c>
      <c r="G181">
        <v>2</v>
      </c>
      <c r="H181">
        <v>0</v>
      </c>
      <c r="I181">
        <v>0</v>
      </c>
      <c r="K181">
        <v>0</v>
      </c>
      <c r="M181">
        <v>0</v>
      </c>
      <c r="O181">
        <v>0</v>
      </c>
      <c r="Q181">
        <v>0</v>
      </c>
      <c r="S181">
        <v>0</v>
      </c>
      <c r="T181">
        <v>2</v>
      </c>
      <c r="U181" s="187">
        <v>42202.546527777777</v>
      </c>
    </row>
    <row r="182" spans="1:21">
      <c r="A182">
        <v>187</v>
      </c>
      <c r="B182">
        <v>1</v>
      </c>
      <c r="C182" t="s">
        <v>297</v>
      </c>
      <c r="D182" t="s">
        <v>298</v>
      </c>
      <c r="E182" s="189"/>
      <c r="F182">
        <v>0</v>
      </c>
      <c r="G182">
        <v>1</v>
      </c>
      <c r="H182">
        <v>0</v>
      </c>
      <c r="I182">
        <v>0</v>
      </c>
      <c r="K182">
        <v>0</v>
      </c>
      <c r="M182">
        <v>0</v>
      </c>
      <c r="O182">
        <v>0</v>
      </c>
      <c r="Q182">
        <v>0</v>
      </c>
      <c r="S182">
        <v>0</v>
      </c>
      <c r="T182">
        <v>2</v>
      </c>
      <c r="U182" s="187">
        <v>42570.57708333333</v>
      </c>
    </row>
    <row r="183" spans="1:21">
      <c r="A183">
        <v>188</v>
      </c>
      <c r="B183">
        <v>1</v>
      </c>
      <c r="C183" t="s">
        <v>299</v>
      </c>
      <c r="D183" t="s">
        <v>300</v>
      </c>
      <c r="E183" s="189"/>
      <c r="F183">
        <v>0</v>
      </c>
      <c r="G183">
        <v>1</v>
      </c>
      <c r="H183">
        <v>0</v>
      </c>
      <c r="I183">
        <v>0</v>
      </c>
      <c r="K183">
        <v>0</v>
      </c>
      <c r="M183">
        <v>0</v>
      </c>
      <c r="O183">
        <v>0</v>
      </c>
      <c r="Q183">
        <v>0</v>
      </c>
      <c r="S183">
        <v>0</v>
      </c>
      <c r="T183">
        <v>2</v>
      </c>
      <c r="U183" s="187">
        <v>42291.458333333343</v>
      </c>
    </row>
    <row r="184" spans="1:21">
      <c r="A184">
        <v>189</v>
      </c>
      <c r="B184">
        <v>0</v>
      </c>
      <c r="C184" t="s">
        <v>301</v>
      </c>
      <c r="D184" t="s">
        <v>286</v>
      </c>
      <c r="E184" s="189"/>
      <c r="F184">
        <v>0</v>
      </c>
      <c r="G184">
        <v>2</v>
      </c>
      <c r="H184">
        <v>0</v>
      </c>
      <c r="I184">
        <v>0</v>
      </c>
      <c r="K184">
        <v>0</v>
      </c>
      <c r="M184">
        <v>0</v>
      </c>
      <c r="O184">
        <v>0</v>
      </c>
      <c r="Q184">
        <v>0</v>
      </c>
      <c r="S184">
        <v>0</v>
      </c>
      <c r="T184">
        <v>2</v>
      </c>
      <c r="U184" s="187">
        <v>42202.547222222223</v>
      </c>
    </row>
    <row r="185" spans="1:21">
      <c r="A185">
        <v>190</v>
      </c>
      <c r="B185">
        <v>0</v>
      </c>
      <c r="C185" t="s">
        <v>302</v>
      </c>
      <c r="D185" t="s">
        <v>286</v>
      </c>
      <c r="E185" s="189"/>
      <c r="F185">
        <v>0</v>
      </c>
      <c r="G185">
        <v>2</v>
      </c>
      <c r="H185">
        <v>0</v>
      </c>
      <c r="I185">
        <v>0</v>
      </c>
      <c r="K185">
        <v>0</v>
      </c>
      <c r="M185">
        <v>0</v>
      </c>
      <c r="O185">
        <v>0</v>
      </c>
      <c r="Q185">
        <v>0</v>
      </c>
      <c r="S185">
        <v>0</v>
      </c>
      <c r="T185">
        <v>2</v>
      </c>
      <c r="U185" s="187">
        <v>42202.547222222223</v>
      </c>
    </row>
    <row r="186" spans="1:21">
      <c r="A186">
        <v>191</v>
      </c>
      <c r="B186">
        <v>0</v>
      </c>
      <c r="C186" t="s">
        <v>303</v>
      </c>
      <c r="D186" t="s">
        <v>303</v>
      </c>
      <c r="E186" s="189"/>
      <c r="F186">
        <v>0</v>
      </c>
      <c r="G186">
        <v>1</v>
      </c>
      <c r="H186">
        <v>0</v>
      </c>
      <c r="I186">
        <v>0</v>
      </c>
      <c r="K186">
        <v>0</v>
      </c>
      <c r="M186">
        <v>0</v>
      </c>
      <c r="O186">
        <v>0</v>
      </c>
      <c r="Q186">
        <v>0</v>
      </c>
      <c r="S186">
        <v>0</v>
      </c>
      <c r="T186">
        <v>2</v>
      </c>
      <c r="U186" s="187">
        <v>42639.6</v>
      </c>
    </row>
    <row r="187" spans="1:21">
      <c r="A187">
        <v>192</v>
      </c>
      <c r="B187">
        <v>1</v>
      </c>
      <c r="C187" t="s">
        <v>304</v>
      </c>
      <c r="D187" t="s">
        <v>304</v>
      </c>
      <c r="E187" s="189"/>
      <c r="F187">
        <v>0</v>
      </c>
      <c r="G187">
        <v>1</v>
      </c>
      <c r="H187">
        <v>1</v>
      </c>
      <c r="I187">
        <v>0</v>
      </c>
      <c r="J187" t="s">
        <v>305</v>
      </c>
      <c r="K187">
        <v>0</v>
      </c>
      <c r="L187" t="s">
        <v>306</v>
      </c>
      <c r="M187">
        <v>0</v>
      </c>
      <c r="N187" t="s">
        <v>307</v>
      </c>
      <c r="O187">
        <v>0</v>
      </c>
      <c r="Q187">
        <v>0</v>
      </c>
      <c r="S187">
        <v>0</v>
      </c>
      <c r="T187">
        <v>2</v>
      </c>
      <c r="U187" s="187">
        <v>42202.547222222223</v>
      </c>
    </row>
    <row r="188" spans="1:21">
      <c r="A188">
        <v>193</v>
      </c>
      <c r="B188">
        <v>1</v>
      </c>
      <c r="C188" t="s">
        <v>308</v>
      </c>
      <c r="D188" t="s">
        <v>308</v>
      </c>
      <c r="E188" s="189"/>
      <c r="F188">
        <v>0</v>
      </c>
      <c r="G188">
        <v>0</v>
      </c>
      <c r="H188">
        <v>0</v>
      </c>
      <c r="I188">
        <v>0</v>
      </c>
      <c r="K188">
        <v>0</v>
      </c>
      <c r="M188">
        <v>0</v>
      </c>
      <c r="O188">
        <v>0</v>
      </c>
      <c r="Q188">
        <v>0</v>
      </c>
      <c r="S188">
        <v>0</v>
      </c>
      <c r="T188">
        <v>2</v>
      </c>
      <c r="U188" s="187">
        <v>42202.547222222223</v>
      </c>
    </row>
    <row r="189" spans="1:21">
      <c r="A189">
        <v>194</v>
      </c>
      <c r="B189">
        <v>1</v>
      </c>
      <c r="C189" t="s">
        <v>309</v>
      </c>
      <c r="D189" t="s">
        <v>309</v>
      </c>
      <c r="E189" s="189"/>
      <c r="F189">
        <v>194</v>
      </c>
      <c r="G189">
        <v>0</v>
      </c>
      <c r="H189">
        <v>0</v>
      </c>
      <c r="I189">
        <v>0</v>
      </c>
      <c r="K189">
        <v>0</v>
      </c>
      <c r="M189">
        <v>0</v>
      </c>
      <c r="O189">
        <v>0</v>
      </c>
      <c r="Q189">
        <v>0</v>
      </c>
      <c r="S189">
        <v>0</v>
      </c>
      <c r="T189">
        <v>2</v>
      </c>
      <c r="U189" s="187">
        <v>41936.684027777781</v>
      </c>
    </row>
    <row r="190" spans="1:21">
      <c r="A190">
        <v>195</v>
      </c>
      <c r="B190">
        <v>1</v>
      </c>
      <c r="C190" t="s">
        <v>310</v>
      </c>
      <c r="D190" t="s">
        <v>310</v>
      </c>
      <c r="E190" s="189"/>
      <c r="F190">
        <v>0</v>
      </c>
      <c r="G190">
        <v>0</v>
      </c>
      <c r="H190">
        <v>0</v>
      </c>
      <c r="I190">
        <v>0</v>
      </c>
      <c r="K190">
        <v>0</v>
      </c>
      <c r="M190">
        <v>0</v>
      </c>
      <c r="O190">
        <v>0</v>
      </c>
      <c r="Q190">
        <v>0</v>
      </c>
      <c r="S190">
        <v>0</v>
      </c>
      <c r="T190">
        <v>2</v>
      </c>
      <c r="U190" s="187">
        <v>42233.490277777782</v>
      </c>
    </row>
    <row r="191" spans="1:21">
      <c r="A191">
        <v>196</v>
      </c>
      <c r="B191">
        <v>1</v>
      </c>
      <c r="C191" t="s">
        <v>311</v>
      </c>
      <c r="D191" t="s">
        <v>311</v>
      </c>
      <c r="E191" s="189"/>
      <c r="F191">
        <v>0</v>
      </c>
      <c r="G191">
        <v>1</v>
      </c>
      <c r="H191">
        <v>0</v>
      </c>
      <c r="I191">
        <v>0</v>
      </c>
      <c r="K191">
        <v>0</v>
      </c>
      <c r="M191">
        <v>0</v>
      </c>
      <c r="O191">
        <v>0</v>
      </c>
      <c r="Q191">
        <v>0</v>
      </c>
      <c r="S191">
        <v>0</v>
      </c>
      <c r="T191">
        <v>2</v>
      </c>
      <c r="U191" s="187">
        <v>40864.594444444447</v>
      </c>
    </row>
    <row r="192" spans="1:21">
      <c r="A192">
        <v>197</v>
      </c>
      <c r="B192">
        <v>1</v>
      </c>
      <c r="C192" t="s">
        <v>312</v>
      </c>
      <c r="D192" t="s">
        <v>312</v>
      </c>
      <c r="E192" s="189"/>
      <c r="F192">
        <v>0</v>
      </c>
      <c r="G192">
        <v>1</v>
      </c>
      <c r="H192">
        <v>0</v>
      </c>
      <c r="I192">
        <v>0</v>
      </c>
      <c r="K192">
        <v>0</v>
      </c>
      <c r="M192">
        <v>0</v>
      </c>
      <c r="O192">
        <v>0</v>
      </c>
      <c r="Q192">
        <v>0</v>
      </c>
      <c r="S192">
        <v>0</v>
      </c>
      <c r="T192">
        <v>2</v>
      </c>
      <c r="U192" s="187">
        <v>40876.540277777778</v>
      </c>
    </row>
    <row r="193" spans="1:21">
      <c r="A193">
        <v>198</v>
      </c>
      <c r="B193">
        <v>1</v>
      </c>
      <c r="C193" t="s">
        <v>313</v>
      </c>
      <c r="D193" t="s">
        <v>313</v>
      </c>
      <c r="E193" s="189"/>
      <c r="F193">
        <v>0</v>
      </c>
      <c r="G193">
        <v>1</v>
      </c>
      <c r="H193">
        <v>0</v>
      </c>
      <c r="I193">
        <v>0</v>
      </c>
      <c r="K193">
        <v>0</v>
      </c>
      <c r="M193">
        <v>0</v>
      </c>
      <c r="O193">
        <v>0</v>
      </c>
      <c r="Q193">
        <v>0</v>
      </c>
      <c r="S193">
        <v>0</v>
      </c>
      <c r="T193">
        <v>2</v>
      </c>
      <c r="U193" s="187">
        <v>40897.466666666667</v>
      </c>
    </row>
    <row r="194" spans="1:21">
      <c r="A194">
        <v>199</v>
      </c>
      <c r="B194">
        <v>1</v>
      </c>
      <c r="C194" t="s">
        <v>314</v>
      </c>
      <c r="D194" t="s">
        <v>315</v>
      </c>
      <c r="E194" s="190"/>
      <c r="F194">
        <v>480</v>
      </c>
      <c r="G194">
        <v>1</v>
      </c>
      <c r="H194">
        <v>1</v>
      </c>
      <c r="I194">
        <v>18</v>
      </c>
      <c r="K194">
        <v>0</v>
      </c>
      <c r="M194">
        <v>0</v>
      </c>
      <c r="O194">
        <v>0</v>
      </c>
      <c r="Q194">
        <v>0</v>
      </c>
      <c r="S194">
        <v>0</v>
      </c>
      <c r="T194">
        <v>2</v>
      </c>
      <c r="U194" s="187">
        <v>43516.615972222222</v>
      </c>
    </row>
    <row r="195" spans="1:21">
      <c r="A195">
        <v>200</v>
      </c>
      <c r="B195">
        <v>1</v>
      </c>
      <c r="C195" t="s">
        <v>81</v>
      </c>
      <c r="D195" t="s">
        <v>81</v>
      </c>
      <c r="E195" s="189"/>
      <c r="F195">
        <v>0</v>
      </c>
      <c r="G195">
        <v>2</v>
      </c>
      <c r="H195">
        <v>2</v>
      </c>
      <c r="I195">
        <v>0</v>
      </c>
      <c r="J195" t="s">
        <v>72</v>
      </c>
      <c r="K195">
        <v>1</v>
      </c>
      <c r="M195">
        <v>0</v>
      </c>
      <c r="O195">
        <v>0</v>
      </c>
      <c r="Q195">
        <v>0</v>
      </c>
      <c r="S195">
        <v>0</v>
      </c>
      <c r="T195">
        <v>2</v>
      </c>
      <c r="U195" s="187">
        <v>45397.655555555553</v>
      </c>
    </row>
    <row r="196" spans="1:21">
      <c r="A196">
        <v>201</v>
      </c>
      <c r="B196">
        <v>2</v>
      </c>
      <c r="C196" t="s">
        <v>316</v>
      </c>
      <c r="D196" t="s">
        <v>316</v>
      </c>
      <c r="E196" s="189"/>
      <c r="F196">
        <v>0</v>
      </c>
      <c r="G196">
        <v>2</v>
      </c>
      <c r="H196">
        <v>2</v>
      </c>
      <c r="I196">
        <v>0</v>
      </c>
      <c r="J196" t="s">
        <v>317</v>
      </c>
      <c r="K196">
        <v>0</v>
      </c>
      <c r="M196">
        <v>0</v>
      </c>
      <c r="O196">
        <v>0</v>
      </c>
      <c r="Q196">
        <v>0</v>
      </c>
      <c r="S196">
        <v>0</v>
      </c>
      <c r="T196">
        <v>2</v>
      </c>
      <c r="U196" s="187">
        <v>41814.681944444441</v>
      </c>
    </row>
    <row r="197" spans="1:21">
      <c r="A197">
        <v>202</v>
      </c>
      <c r="B197">
        <v>2</v>
      </c>
      <c r="C197" t="s">
        <v>318</v>
      </c>
      <c r="D197" t="s">
        <v>318</v>
      </c>
      <c r="E197" s="189"/>
      <c r="F197">
        <v>0</v>
      </c>
      <c r="G197">
        <v>2</v>
      </c>
      <c r="H197">
        <v>2</v>
      </c>
      <c r="I197">
        <v>0</v>
      </c>
      <c r="J197" t="s">
        <v>319</v>
      </c>
      <c r="K197">
        <v>0</v>
      </c>
      <c r="M197">
        <v>0</v>
      </c>
      <c r="O197">
        <v>0</v>
      </c>
      <c r="Q197">
        <v>0</v>
      </c>
      <c r="S197">
        <v>0</v>
      </c>
      <c r="T197">
        <v>2</v>
      </c>
      <c r="U197" s="187">
        <v>45259.643750000003</v>
      </c>
    </row>
    <row r="198" spans="1:21">
      <c r="A198">
        <v>203</v>
      </c>
      <c r="B198">
        <v>2</v>
      </c>
      <c r="C198" t="s">
        <v>320</v>
      </c>
      <c r="D198" t="s">
        <v>320</v>
      </c>
      <c r="E198" s="189"/>
      <c r="F198">
        <v>0</v>
      </c>
      <c r="G198">
        <v>2</v>
      </c>
      <c r="H198">
        <v>2</v>
      </c>
      <c r="I198">
        <v>0</v>
      </c>
      <c r="J198" t="s">
        <v>320</v>
      </c>
      <c r="K198">
        <v>0</v>
      </c>
      <c r="M198">
        <v>0</v>
      </c>
      <c r="O198">
        <v>0</v>
      </c>
      <c r="Q198">
        <v>0</v>
      </c>
      <c r="S198">
        <v>0</v>
      </c>
      <c r="T198">
        <v>2</v>
      </c>
      <c r="U198" s="187">
        <v>45259.643055555563</v>
      </c>
    </row>
    <row r="199" spans="1:21">
      <c r="A199">
        <v>204</v>
      </c>
      <c r="B199">
        <v>2</v>
      </c>
      <c r="C199" t="s">
        <v>321</v>
      </c>
      <c r="D199" t="s">
        <v>321</v>
      </c>
      <c r="E199" s="189"/>
      <c r="F199">
        <v>0</v>
      </c>
      <c r="G199">
        <v>2</v>
      </c>
      <c r="H199">
        <v>2</v>
      </c>
      <c r="I199">
        <v>0</v>
      </c>
      <c r="J199" t="s">
        <v>321</v>
      </c>
      <c r="K199">
        <v>0</v>
      </c>
      <c r="M199">
        <v>0</v>
      </c>
      <c r="O199">
        <v>0</v>
      </c>
      <c r="T199">
        <v>2</v>
      </c>
      <c r="U199" s="187">
        <v>40827.634027777778</v>
      </c>
    </row>
    <row r="200" spans="1:21">
      <c r="A200">
        <v>205</v>
      </c>
      <c r="B200">
        <v>2</v>
      </c>
      <c r="C200" t="s">
        <v>322</v>
      </c>
      <c r="D200" t="s">
        <v>322</v>
      </c>
      <c r="E200" s="189"/>
      <c r="F200">
        <v>0</v>
      </c>
      <c r="G200">
        <v>2</v>
      </c>
      <c r="H200">
        <v>2</v>
      </c>
      <c r="I200">
        <v>0</v>
      </c>
      <c r="J200" t="s">
        <v>322</v>
      </c>
      <c r="K200">
        <v>0</v>
      </c>
      <c r="M200">
        <v>0</v>
      </c>
      <c r="O200">
        <v>0</v>
      </c>
      <c r="T200">
        <v>2</v>
      </c>
      <c r="U200" s="187">
        <v>40827.634027777778</v>
      </c>
    </row>
    <row r="201" spans="1:21">
      <c r="A201">
        <v>206</v>
      </c>
      <c r="B201">
        <v>2</v>
      </c>
      <c r="C201" t="s">
        <v>323</v>
      </c>
      <c r="D201" t="s">
        <v>323</v>
      </c>
      <c r="E201" s="189"/>
      <c r="F201">
        <v>0</v>
      </c>
      <c r="G201">
        <v>2</v>
      </c>
      <c r="H201">
        <v>2</v>
      </c>
      <c r="I201">
        <v>0</v>
      </c>
      <c r="J201" t="s">
        <v>324</v>
      </c>
      <c r="K201">
        <v>0</v>
      </c>
      <c r="M201">
        <v>0</v>
      </c>
      <c r="O201">
        <v>0</v>
      </c>
      <c r="Q201">
        <v>0</v>
      </c>
      <c r="S201">
        <v>0</v>
      </c>
      <c r="T201">
        <v>2</v>
      </c>
      <c r="U201" s="187">
        <v>40882.493750000001</v>
      </c>
    </row>
    <row r="202" spans="1:21">
      <c r="A202">
        <v>207</v>
      </c>
      <c r="B202">
        <v>2</v>
      </c>
      <c r="C202" t="s">
        <v>325</v>
      </c>
      <c r="D202" t="s">
        <v>325</v>
      </c>
      <c r="E202" s="189"/>
      <c r="F202">
        <v>0</v>
      </c>
      <c r="G202">
        <v>2</v>
      </c>
      <c r="H202">
        <v>2</v>
      </c>
      <c r="I202">
        <v>0</v>
      </c>
      <c r="J202" t="s">
        <v>324</v>
      </c>
      <c r="K202">
        <v>0</v>
      </c>
      <c r="M202">
        <v>0</v>
      </c>
      <c r="O202">
        <v>0</v>
      </c>
      <c r="Q202">
        <v>0</v>
      </c>
      <c r="S202">
        <v>0</v>
      </c>
      <c r="T202">
        <v>2</v>
      </c>
      <c r="U202" s="187">
        <v>45628.588194444441</v>
      </c>
    </row>
    <row r="203" spans="1:21">
      <c r="A203">
        <v>208</v>
      </c>
      <c r="B203">
        <v>2</v>
      </c>
      <c r="C203" t="s">
        <v>326</v>
      </c>
      <c r="D203" t="s">
        <v>326</v>
      </c>
      <c r="E203" s="189"/>
      <c r="F203">
        <v>0</v>
      </c>
      <c r="G203">
        <v>2</v>
      </c>
      <c r="H203">
        <v>2</v>
      </c>
      <c r="I203">
        <v>0</v>
      </c>
      <c r="J203" t="s">
        <v>324</v>
      </c>
      <c r="K203">
        <v>0</v>
      </c>
      <c r="M203">
        <v>0</v>
      </c>
      <c r="O203">
        <v>0</v>
      </c>
      <c r="Q203">
        <v>0</v>
      </c>
      <c r="S203">
        <v>0</v>
      </c>
      <c r="T203">
        <v>2</v>
      </c>
      <c r="U203" s="187">
        <v>40882.493750000001</v>
      </c>
    </row>
    <row r="204" spans="1:21">
      <c r="A204">
        <v>209</v>
      </c>
      <c r="B204">
        <v>2</v>
      </c>
      <c r="C204" t="s">
        <v>327</v>
      </c>
      <c r="D204" t="s">
        <v>327</v>
      </c>
      <c r="E204" s="189"/>
      <c r="F204">
        <v>0</v>
      </c>
      <c r="G204">
        <v>2</v>
      </c>
      <c r="H204">
        <v>2</v>
      </c>
      <c r="I204">
        <v>0</v>
      </c>
      <c r="J204" t="s">
        <v>324</v>
      </c>
      <c r="K204">
        <v>0</v>
      </c>
      <c r="M204">
        <v>0</v>
      </c>
      <c r="O204">
        <v>0</v>
      </c>
      <c r="Q204">
        <v>0</v>
      </c>
      <c r="S204">
        <v>0</v>
      </c>
      <c r="T204">
        <v>2</v>
      </c>
      <c r="U204" s="187">
        <v>40882.493750000001</v>
      </c>
    </row>
    <row r="205" spans="1:21">
      <c r="A205">
        <v>210</v>
      </c>
      <c r="B205">
        <v>2</v>
      </c>
      <c r="C205" t="s">
        <v>328</v>
      </c>
      <c r="D205" t="s">
        <v>328</v>
      </c>
      <c r="E205" s="189"/>
      <c r="F205">
        <v>0</v>
      </c>
      <c r="G205">
        <v>2</v>
      </c>
      <c r="H205">
        <v>2</v>
      </c>
      <c r="I205">
        <v>0</v>
      </c>
      <c r="J205" t="s">
        <v>324</v>
      </c>
      <c r="K205">
        <v>0</v>
      </c>
      <c r="M205">
        <v>0</v>
      </c>
      <c r="O205">
        <v>0</v>
      </c>
      <c r="Q205">
        <v>0</v>
      </c>
      <c r="S205">
        <v>0</v>
      </c>
      <c r="T205">
        <v>2</v>
      </c>
      <c r="U205" s="187">
        <v>43265.692361111112</v>
      </c>
    </row>
    <row r="206" spans="1:21">
      <c r="A206">
        <v>211</v>
      </c>
      <c r="B206">
        <v>2</v>
      </c>
      <c r="C206" t="s">
        <v>329</v>
      </c>
      <c r="D206" t="s">
        <v>329</v>
      </c>
      <c r="E206" s="189"/>
      <c r="F206">
        <v>0</v>
      </c>
      <c r="G206">
        <v>2</v>
      </c>
      <c r="H206">
        <v>2</v>
      </c>
      <c r="I206">
        <v>0</v>
      </c>
      <c r="J206" t="s">
        <v>324</v>
      </c>
      <c r="K206">
        <v>0</v>
      </c>
      <c r="M206">
        <v>0</v>
      </c>
      <c r="O206">
        <v>0</v>
      </c>
      <c r="Q206">
        <v>0</v>
      </c>
      <c r="S206">
        <v>0</v>
      </c>
      <c r="T206">
        <v>2</v>
      </c>
      <c r="U206" s="187">
        <v>43265.693055555559</v>
      </c>
    </row>
    <row r="207" spans="1:21">
      <c r="A207">
        <v>212</v>
      </c>
      <c r="B207">
        <v>2</v>
      </c>
      <c r="C207" t="s">
        <v>330</v>
      </c>
      <c r="D207" t="s">
        <v>331</v>
      </c>
      <c r="E207" s="189"/>
      <c r="F207">
        <v>0</v>
      </c>
      <c r="G207">
        <v>2</v>
      </c>
      <c r="H207">
        <v>2</v>
      </c>
      <c r="I207">
        <v>0</v>
      </c>
      <c r="J207" t="s">
        <v>324</v>
      </c>
      <c r="K207">
        <v>0</v>
      </c>
      <c r="M207">
        <v>0</v>
      </c>
      <c r="O207">
        <v>0</v>
      </c>
      <c r="Q207">
        <v>0</v>
      </c>
      <c r="S207">
        <v>0</v>
      </c>
      <c r="T207">
        <v>2</v>
      </c>
      <c r="U207" s="187">
        <v>43265.693055555559</v>
      </c>
    </row>
    <row r="208" spans="1:21">
      <c r="A208">
        <v>213</v>
      </c>
      <c r="B208">
        <v>2</v>
      </c>
      <c r="C208" t="s">
        <v>332</v>
      </c>
      <c r="D208" t="s">
        <v>332</v>
      </c>
      <c r="E208" s="189"/>
      <c r="F208">
        <v>0</v>
      </c>
      <c r="G208">
        <v>2</v>
      </c>
      <c r="H208">
        <v>2</v>
      </c>
      <c r="I208">
        <v>0</v>
      </c>
      <c r="J208" t="s">
        <v>332</v>
      </c>
      <c r="K208">
        <v>0</v>
      </c>
      <c r="M208">
        <v>0</v>
      </c>
      <c r="O208">
        <v>0</v>
      </c>
      <c r="Q208">
        <v>0</v>
      </c>
      <c r="S208">
        <v>0</v>
      </c>
      <c r="T208">
        <v>2</v>
      </c>
      <c r="U208" s="187">
        <v>40833.695138888892</v>
      </c>
    </row>
    <row r="209" spans="1:21">
      <c r="A209">
        <v>214</v>
      </c>
      <c r="B209">
        <v>2</v>
      </c>
      <c r="C209" t="s">
        <v>272</v>
      </c>
      <c r="D209" t="s">
        <v>272</v>
      </c>
      <c r="E209" s="189"/>
      <c r="F209">
        <v>0</v>
      </c>
      <c r="G209">
        <v>2</v>
      </c>
      <c r="H209">
        <v>2</v>
      </c>
      <c r="I209">
        <v>0</v>
      </c>
      <c r="J209" t="s">
        <v>272</v>
      </c>
      <c r="K209">
        <v>0</v>
      </c>
      <c r="M209">
        <v>0</v>
      </c>
      <c r="O209">
        <v>0</v>
      </c>
      <c r="Q209">
        <v>0</v>
      </c>
      <c r="S209">
        <v>0</v>
      </c>
      <c r="T209">
        <v>2</v>
      </c>
      <c r="U209" s="187">
        <v>40833.695833333331</v>
      </c>
    </row>
    <row r="210" spans="1:21">
      <c r="A210">
        <v>215</v>
      </c>
      <c r="B210">
        <v>2</v>
      </c>
      <c r="C210" t="s">
        <v>333</v>
      </c>
      <c r="D210" t="s">
        <v>333</v>
      </c>
      <c r="E210" s="189"/>
      <c r="F210">
        <v>0</v>
      </c>
      <c r="G210">
        <v>2</v>
      </c>
      <c r="H210">
        <v>2</v>
      </c>
      <c r="I210">
        <v>0</v>
      </c>
      <c r="J210" t="s">
        <v>333</v>
      </c>
      <c r="K210">
        <v>0</v>
      </c>
      <c r="M210">
        <v>0</v>
      </c>
      <c r="O210">
        <v>0</v>
      </c>
      <c r="Q210">
        <v>0</v>
      </c>
      <c r="S210">
        <v>0</v>
      </c>
      <c r="T210">
        <v>2</v>
      </c>
      <c r="U210" s="187">
        <v>40833.695833333331</v>
      </c>
    </row>
    <row r="211" spans="1:21">
      <c r="A211">
        <v>216</v>
      </c>
      <c r="B211">
        <v>2</v>
      </c>
      <c r="C211" t="s">
        <v>334</v>
      </c>
      <c r="D211" t="s">
        <v>334</v>
      </c>
      <c r="E211" s="189"/>
      <c r="F211">
        <v>0</v>
      </c>
      <c r="G211">
        <v>2</v>
      </c>
      <c r="H211">
        <v>2</v>
      </c>
      <c r="I211">
        <v>0</v>
      </c>
      <c r="J211" t="s">
        <v>334</v>
      </c>
      <c r="K211">
        <v>0</v>
      </c>
      <c r="M211">
        <v>0</v>
      </c>
      <c r="O211">
        <v>0</v>
      </c>
      <c r="Q211">
        <v>0</v>
      </c>
      <c r="S211">
        <v>0</v>
      </c>
      <c r="T211">
        <v>2</v>
      </c>
      <c r="U211" s="187">
        <v>40844.736805555563</v>
      </c>
    </row>
    <row r="212" spans="1:21">
      <c r="A212">
        <v>217</v>
      </c>
      <c r="B212">
        <v>2</v>
      </c>
      <c r="C212" t="s">
        <v>335</v>
      </c>
      <c r="D212" t="s">
        <v>336</v>
      </c>
      <c r="E212" s="189"/>
      <c r="F212">
        <v>0</v>
      </c>
      <c r="G212">
        <v>2</v>
      </c>
      <c r="H212">
        <v>2</v>
      </c>
      <c r="I212">
        <v>0</v>
      </c>
      <c r="J212" t="s">
        <v>336</v>
      </c>
      <c r="K212">
        <v>0</v>
      </c>
      <c r="M212">
        <v>0</v>
      </c>
      <c r="O212">
        <v>0</v>
      </c>
      <c r="Q212">
        <v>0</v>
      </c>
      <c r="S212">
        <v>0</v>
      </c>
      <c r="T212">
        <v>2</v>
      </c>
      <c r="U212" s="187">
        <v>40862.727777777778</v>
      </c>
    </row>
    <row r="213" spans="1:21">
      <c r="A213">
        <v>218</v>
      </c>
      <c r="B213">
        <v>2</v>
      </c>
      <c r="C213" t="s">
        <v>335</v>
      </c>
      <c r="D213" t="s">
        <v>237</v>
      </c>
      <c r="E213" s="189"/>
      <c r="F213">
        <v>0</v>
      </c>
      <c r="G213">
        <v>2</v>
      </c>
      <c r="H213">
        <v>2</v>
      </c>
      <c r="I213">
        <v>0</v>
      </c>
      <c r="J213" t="s">
        <v>237</v>
      </c>
      <c r="K213">
        <v>0</v>
      </c>
      <c r="M213">
        <v>0</v>
      </c>
      <c r="O213">
        <v>0</v>
      </c>
      <c r="Q213">
        <v>0</v>
      </c>
      <c r="S213">
        <v>0</v>
      </c>
      <c r="T213">
        <v>2</v>
      </c>
      <c r="U213" s="187">
        <v>40862.728472222218</v>
      </c>
    </row>
    <row r="214" spans="1:21">
      <c r="A214">
        <v>219</v>
      </c>
      <c r="B214">
        <v>2</v>
      </c>
      <c r="C214" t="s">
        <v>247</v>
      </c>
      <c r="D214" t="s">
        <v>337</v>
      </c>
      <c r="E214" s="189"/>
      <c r="F214">
        <v>0</v>
      </c>
      <c r="G214">
        <v>2</v>
      </c>
      <c r="H214">
        <v>2</v>
      </c>
      <c r="I214">
        <v>0</v>
      </c>
      <c r="J214" t="s">
        <v>337</v>
      </c>
      <c r="K214">
        <v>0</v>
      </c>
      <c r="M214">
        <v>0</v>
      </c>
      <c r="O214">
        <v>0</v>
      </c>
      <c r="Q214">
        <v>0</v>
      </c>
      <c r="S214">
        <v>0</v>
      </c>
      <c r="T214">
        <v>7</v>
      </c>
      <c r="U214" s="187">
        <v>45692.509027777778</v>
      </c>
    </row>
    <row r="215" spans="1:21">
      <c r="A215">
        <v>220</v>
      </c>
      <c r="B215">
        <v>2</v>
      </c>
      <c r="C215" t="s">
        <v>89</v>
      </c>
      <c r="D215" t="s">
        <v>89</v>
      </c>
      <c r="E215" s="189"/>
      <c r="F215">
        <v>0</v>
      </c>
      <c r="G215">
        <v>2</v>
      </c>
      <c r="H215">
        <v>2</v>
      </c>
      <c r="I215">
        <v>0</v>
      </c>
      <c r="J215" t="s">
        <v>89</v>
      </c>
      <c r="K215">
        <v>0</v>
      </c>
      <c r="M215">
        <v>0</v>
      </c>
      <c r="O215">
        <v>0</v>
      </c>
      <c r="Q215">
        <v>0</v>
      </c>
      <c r="S215">
        <v>0</v>
      </c>
      <c r="T215">
        <v>2</v>
      </c>
      <c r="U215" s="187">
        <v>40833.696527777778</v>
      </c>
    </row>
    <row r="216" spans="1:21">
      <c r="A216">
        <v>221</v>
      </c>
      <c r="B216">
        <v>2</v>
      </c>
      <c r="C216" t="s">
        <v>135</v>
      </c>
      <c r="D216" t="s">
        <v>135</v>
      </c>
      <c r="E216" s="189"/>
      <c r="F216">
        <v>0</v>
      </c>
      <c r="G216">
        <v>2</v>
      </c>
      <c r="H216">
        <v>2</v>
      </c>
      <c r="I216">
        <v>0</v>
      </c>
      <c r="J216" t="s">
        <v>135</v>
      </c>
      <c r="K216">
        <v>0</v>
      </c>
      <c r="M216">
        <v>0</v>
      </c>
      <c r="O216">
        <v>0</v>
      </c>
      <c r="Q216">
        <v>0</v>
      </c>
      <c r="S216">
        <v>0</v>
      </c>
      <c r="T216">
        <v>2</v>
      </c>
      <c r="U216" s="187">
        <v>42662.68472222222</v>
      </c>
    </row>
    <row r="217" spans="1:21">
      <c r="A217">
        <v>222</v>
      </c>
      <c r="B217">
        <v>2</v>
      </c>
      <c r="C217" t="s">
        <v>338</v>
      </c>
      <c r="D217" t="s">
        <v>339</v>
      </c>
      <c r="E217" s="189"/>
      <c r="F217">
        <v>0</v>
      </c>
      <c r="G217">
        <v>2</v>
      </c>
      <c r="H217">
        <v>2</v>
      </c>
      <c r="I217">
        <v>0</v>
      </c>
      <c r="J217" t="s">
        <v>339</v>
      </c>
      <c r="K217">
        <v>0</v>
      </c>
      <c r="M217">
        <v>0</v>
      </c>
      <c r="O217">
        <v>0</v>
      </c>
      <c r="Q217">
        <v>0</v>
      </c>
      <c r="S217">
        <v>0</v>
      </c>
      <c r="T217">
        <v>2</v>
      </c>
      <c r="U217" s="187">
        <v>44533.520833333343</v>
      </c>
    </row>
    <row r="218" spans="1:21">
      <c r="A218">
        <v>223</v>
      </c>
      <c r="B218">
        <v>2</v>
      </c>
      <c r="C218" t="s">
        <v>340</v>
      </c>
      <c r="D218" t="s">
        <v>340</v>
      </c>
      <c r="E218" s="189"/>
      <c r="F218">
        <v>0</v>
      </c>
      <c r="G218">
        <v>2</v>
      </c>
      <c r="H218">
        <v>2</v>
      </c>
      <c r="I218">
        <v>0</v>
      </c>
      <c r="J218" t="s">
        <v>340</v>
      </c>
      <c r="K218">
        <v>0</v>
      </c>
      <c r="M218">
        <v>0</v>
      </c>
      <c r="O218">
        <v>0</v>
      </c>
      <c r="Q218">
        <v>0</v>
      </c>
      <c r="S218">
        <v>0</v>
      </c>
      <c r="T218">
        <v>2</v>
      </c>
      <c r="U218" s="187">
        <v>41241.449999999997</v>
      </c>
    </row>
    <row r="219" spans="1:21">
      <c r="A219">
        <v>225</v>
      </c>
      <c r="B219">
        <v>2</v>
      </c>
      <c r="C219" t="s">
        <v>138</v>
      </c>
      <c r="D219" t="s">
        <v>138</v>
      </c>
      <c r="E219" s="189"/>
      <c r="F219">
        <v>0</v>
      </c>
      <c r="G219">
        <v>2</v>
      </c>
      <c r="H219">
        <v>2</v>
      </c>
      <c r="I219">
        <v>0</v>
      </c>
      <c r="J219" t="s">
        <v>138</v>
      </c>
      <c r="K219">
        <v>0</v>
      </c>
      <c r="L219" t="s">
        <v>139</v>
      </c>
      <c r="M219">
        <v>0</v>
      </c>
      <c r="O219">
        <v>0</v>
      </c>
      <c r="Q219">
        <v>0</v>
      </c>
      <c r="S219">
        <v>0</v>
      </c>
      <c r="T219">
        <v>2</v>
      </c>
      <c r="U219" s="187">
        <v>45033.597222222219</v>
      </c>
    </row>
    <row r="220" spans="1:21">
      <c r="A220">
        <v>226</v>
      </c>
      <c r="B220">
        <v>2</v>
      </c>
      <c r="D220" t="s">
        <v>341</v>
      </c>
      <c r="E220" s="189"/>
      <c r="F220">
        <v>0</v>
      </c>
      <c r="G220">
        <v>2</v>
      </c>
      <c r="H220">
        <v>2</v>
      </c>
      <c r="I220">
        <v>0</v>
      </c>
      <c r="J220" t="s">
        <v>342</v>
      </c>
      <c r="K220">
        <v>0</v>
      </c>
      <c r="M220">
        <v>0</v>
      </c>
      <c r="O220">
        <v>0</v>
      </c>
      <c r="Q220">
        <v>0</v>
      </c>
      <c r="S220">
        <v>0</v>
      </c>
      <c r="T220">
        <v>2</v>
      </c>
      <c r="U220" s="187">
        <v>41059.632638888892</v>
      </c>
    </row>
    <row r="221" spans="1:21">
      <c r="A221">
        <v>227</v>
      </c>
      <c r="B221">
        <v>2</v>
      </c>
      <c r="C221" t="s">
        <v>343</v>
      </c>
      <c r="D221" t="s">
        <v>343</v>
      </c>
      <c r="E221" s="189"/>
      <c r="F221">
        <v>0</v>
      </c>
      <c r="G221">
        <v>2</v>
      </c>
      <c r="H221">
        <v>2</v>
      </c>
      <c r="I221">
        <v>0</v>
      </c>
      <c r="J221" t="s">
        <v>343</v>
      </c>
      <c r="K221">
        <v>0</v>
      </c>
      <c r="M221">
        <v>0</v>
      </c>
      <c r="O221">
        <v>0</v>
      </c>
      <c r="Q221">
        <v>0</v>
      </c>
      <c r="S221">
        <v>0</v>
      </c>
      <c r="T221">
        <v>2</v>
      </c>
      <c r="U221" s="187">
        <v>41929.679166666669</v>
      </c>
    </row>
    <row r="222" spans="1:21">
      <c r="A222">
        <v>229</v>
      </c>
      <c r="B222">
        <v>0</v>
      </c>
      <c r="C222" t="s">
        <v>178</v>
      </c>
      <c r="E222" s="189"/>
      <c r="F222">
        <v>0</v>
      </c>
      <c r="G222">
        <v>0</v>
      </c>
      <c r="H222">
        <v>0</v>
      </c>
      <c r="I222">
        <v>0</v>
      </c>
      <c r="K222">
        <v>0</v>
      </c>
      <c r="M222">
        <v>0</v>
      </c>
      <c r="O222">
        <v>0</v>
      </c>
      <c r="Q222">
        <v>0</v>
      </c>
      <c r="S222">
        <v>0</v>
      </c>
      <c r="T222">
        <v>5</v>
      </c>
      <c r="U222" s="187">
        <v>41212.490277777782</v>
      </c>
    </row>
    <row r="223" spans="1:21">
      <c r="A223">
        <v>230</v>
      </c>
      <c r="B223">
        <v>1</v>
      </c>
      <c r="C223" t="s">
        <v>344</v>
      </c>
      <c r="D223" t="s">
        <v>344</v>
      </c>
      <c r="E223" s="189"/>
      <c r="F223">
        <v>0</v>
      </c>
      <c r="G223">
        <v>3</v>
      </c>
      <c r="H223">
        <v>2</v>
      </c>
      <c r="I223">
        <v>0</v>
      </c>
      <c r="J223" t="s">
        <v>345</v>
      </c>
      <c r="K223">
        <v>0</v>
      </c>
      <c r="M223">
        <v>0</v>
      </c>
      <c r="O223">
        <v>0</v>
      </c>
      <c r="Q223">
        <v>0</v>
      </c>
      <c r="S223">
        <v>0</v>
      </c>
      <c r="T223">
        <v>2</v>
      </c>
      <c r="U223" s="187">
        <v>44943.676388888889</v>
      </c>
    </row>
    <row r="224" spans="1:21">
      <c r="A224">
        <v>231</v>
      </c>
      <c r="B224">
        <v>1</v>
      </c>
      <c r="C224" t="s">
        <v>346</v>
      </c>
      <c r="D224" t="s">
        <v>346</v>
      </c>
      <c r="E224" s="189"/>
      <c r="F224">
        <v>0</v>
      </c>
      <c r="G224">
        <v>3</v>
      </c>
      <c r="H224">
        <v>2</v>
      </c>
      <c r="I224">
        <v>0</v>
      </c>
      <c r="J224" t="s">
        <v>347</v>
      </c>
      <c r="K224">
        <v>0</v>
      </c>
      <c r="M224">
        <v>0</v>
      </c>
      <c r="O224">
        <v>0</v>
      </c>
      <c r="Q224">
        <v>0</v>
      </c>
      <c r="S224">
        <v>0</v>
      </c>
      <c r="T224">
        <v>2</v>
      </c>
      <c r="U224" s="187">
        <v>44943.677083333343</v>
      </c>
    </row>
    <row r="225" spans="1:21">
      <c r="A225">
        <v>232</v>
      </c>
      <c r="B225">
        <v>1</v>
      </c>
      <c r="C225" t="s">
        <v>348</v>
      </c>
      <c r="D225" t="s">
        <v>348</v>
      </c>
      <c r="E225" s="189"/>
      <c r="F225">
        <v>0</v>
      </c>
      <c r="G225">
        <v>3</v>
      </c>
      <c r="H225">
        <v>2</v>
      </c>
      <c r="I225">
        <v>0</v>
      </c>
      <c r="J225" t="s">
        <v>349</v>
      </c>
      <c r="K225">
        <v>0</v>
      </c>
      <c r="M225">
        <v>0</v>
      </c>
      <c r="O225">
        <v>0</v>
      </c>
      <c r="Q225">
        <v>0</v>
      </c>
      <c r="S225">
        <v>0</v>
      </c>
      <c r="T225">
        <v>2</v>
      </c>
      <c r="U225" s="187">
        <v>44943.675000000003</v>
      </c>
    </row>
    <row r="226" spans="1:21">
      <c r="A226">
        <v>233</v>
      </c>
      <c r="B226">
        <v>1</v>
      </c>
      <c r="C226" t="s">
        <v>350</v>
      </c>
      <c r="D226" t="s">
        <v>350</v>
      </c>
      <c r="E226" s="189"/>
      <c r="F226">
        <v>0</v>
      </c>
      <c r="G226">
        <v>3</v>
      </c>
      <c r="H226">
        <v>2</v>
      </c>
      <c r="I226">
        <v>0</v>
      </c>
      <c r="J226" t="s">
        <v>351</v>
      </c>
      <c r="K226">
        <v>0</v>
      </c>
      <c r="M226">
        <v>0</v>
      </c>
      <c r="O226">
        <v>0</v>
      </c>
      <c r="Q226">
        <v>0</v>
      </c>
      <c r="S226">
        <v>0</v>
      </c>
      <c r="T226">
        <v>2</v>
      </c>
      <c r="U226" s="187">
        <v>44943.677777777782</v>
      </c>
    </row>
    <row r="227" spans="1:21">
      <c r="A227">
        <v>234</v>
      </c>
      <c r="B227">
        <v>1</v>
      </c>
      <c r="C227" t="s">
        <v>352</v>
      </c>
      <c r="D227" t="s">
        <v>352</v>
      </c>
      <c r="E227" s="189"/>
      <c r="F227">
        <v>0</v>
      </c>
      <c r="G227">
        <v>3</v>
      </c>
      <c r="H227">
        <v>2</v>
      </c>
      <c r="I227">
        <v>0</v>
      </c>
      <c r="J227" t="s">
        <v>353</v>
      </c>
      <c r="K227">
        <v>0</v>
      </c>
      <c r="M227">
        <v>0</v>
      </c>
      <c r="O227">
        <v>0</v>
      </c>
      <c r="Q227">
        <v>0</v>
      </c>
      <c r="S227">
        <v>0</v>
      </c>
      <c r="T227">
        <v>2</v>
      </c>
      <c r="U227" s="187">
        <v>44943.675000000003</v>
      </c>
    </row>
    <row r="228" spans="1:21">
      <c r="A228">
        <v>235</v>
      </c>
      <c r="B228">
        <v>1</v>
      </c>
      <c r="C228" t="s">
        <v>354</v>
      </c>
      <c r="D228" t="s">
        <v>354</v>
      </c>
      <c r="E228" s="189"/>
      <c r="F228">
        <v>0</v>
      </c>
      <c r="G228">
        <v>3</v>
      </c>
      <c r="H228">
        <v>2</v>
      </c>
      <c r="I228">
        <v>0</v>
      </c>
      <c r="J228" t="s">
        <v>355</v>
      </c>
      <c r="K228">
        <v>0</v>
      </c>
      <c r="M228">
        <v>0</v>
      </c>
      <c r="O228">
        <v>0</v>
      </c>
      <c r="Q228">
        <v>0</v>
      </c>
      <c r="S228">
        <v>0</v>
      </c>
      <c r="T228">
        <v>2</v>
      </c>
      <c r="U228" s="187">
        <v>44943.675000000003</v>
      </c>
    </row>
    <row r="229" spans="1:21">
      <c r="A229">
        <v>236</v>
      </c>
      <c r="B229">
        <v>1</v>
      </c>
      <c r="C229" t="s">
        <v>356</v>
      </c>
      <c r="D229" t="s">
        <v>356</v>
      </c>
      <c r="E229" s="189"/>
      <c r="F229">
        <v>237</v>
      </c>
      <c r="G229">
        <v>1</v>
      </c>
      <c r="H229">
        <v>2</v>
      </c>
      <c r="I229">
        <v>0</v>
      </c>
      <c r="J229" t="s">
        <v>357</v>
      </c>
      <c r="K229">
        <v>0</v>
      </c>
      <c r="L229" t="s">
        <v>358</v>
      </c>
      <c r="M229">
        <v>0</v>
      </c>
      <c r="N229" t="s">
        <v>89</v>
      </c>
      <c r="O229">
        <v>0</v>
      </c>
      <c r="Q229">
        <v>0</v>
      </c>
      <c r="S229">
        <v>0</v>
      </c>
      <c r="T229">
        <v>2</v>
      </c>
      <c r="U229" s="187">
        <v>41926.456944444442</v>
      </c>
    </row>
    <row r="230" spans="1:21">
      <c r="A230">
        <v>237</v>
      </c>
      <c r="B230">
        <v>1</v>
      </c>
      <c r="C230" t="s">
        <v>356</v>
      </c>
      <c r="D230" t="s">
        <v>356</v>
      </c>
      <c r="E230" s="189"/>
      <c r="F230">
        <v>237</v>
      </c>
      <c r="G230">
        <v>1</v>
      </c>
      <c r="H230">
        <v>2</v>
      </c>
      <c r="I230">
        <v>0</v>
      </c>
      <c r="J230" t="s">
        <v>357</v>
      </c>
      <c r="K230">
        <v>0</v>
      </c>
      <c r="L230" t="s">
        <v>358</v>
      </c>
      <c r="M230">
        <v>0</v>
      </c>
      <c r="N230" t="s">
        <v>89</v>
      </c>
      <c r="O230">
        <v>0</v>
      </c>
      <c r="Q230">
        <v>0</v>
      </c>
      <c r="S230">
        <v>0</v>
      </c>
      <c r="T230">
        <v>2</v>
      </c>
      <c r="U230" s="187">
        <v>42027.56527777778</v>
      </c>
    </row>
    <row r="231" spans="1:21">
      <c r="A231">
        <v>238</v>
      </c>
      <c r="B231">
        <v>2</v>
      </c>
      <c r="C231" t="s">
        <v>359</v>
      </c>
      <c r="D231" t="s">
        <v>359</v>
      </c>
      <c r="E231" s="189"/>
      <c r="F231">
        <v>239</v>
      </c>
      <c r="G231">
        <v>2</v>
      </c>
      <c r="H231">
        <v>0</v>
      </c>
      <c r="I231">
        <v>0</v>
      </c>
      <c r="J231" t="s">
        <v>359</v>
      </c>
      <c r="K231">
        <v>0</v>
      </c>
      <c r="L231" t="s">
        <v>139</v>
      </c>
      <c r="M231">
        <v>0</v>
      </c>
      <c r="O231">
        <v>0</v>
      </c>
      <c r="Q231">
        <v>0</v>
      </c>
      <c r="S231">
        <v>0</v>
      </c>
      <c r="T231">
        <v>2</v>
      </c>
      <c r="U231" s="187">
        <v>42283.689583333333</v>
      </c>
    </row>
    <row r="232" spans="1:21">
      <c r="A232">
        <v>240</v>
      </c>
      <c r="B232">
        <v>2</v>
      </c>
      <c r="C232" t="s">
        <v>360</v>
      </c>
      <c r="D232" t="s">
        <v>360</v>
      </c>
      <c r="E232" s="189"/>
      <c r="F232">
        <v>241</v>
      </c>
      <c r="G232">
        <v>2</v>
      </c>
      <c r="H232">
        <v>2</v>
      </c>
      <c r="I232">
        <v>0</v>
      </c>
      <c r="J232" t="s">
        <v>72</v>
      </c>
      <c r="K232">
        <v>1</v>
      </c>
      <c r="L232" t="s">
        <v>361</v>
      </c>
      <c r="M232">
        <v>0</v>
      </c>
      <c r="N232" t="s">
        <v>362</v>
      </c>
      <c r="O232">
        <v>0</v>
      </c>
      <c r="P232" t="s">
        <v>363</v>
      </c>
      <c r="Q232">
        <v>0</v>
      </c>
      <c r="R232" t="s">
        <v>139</v>
      </c>
      <c r="S232">
        <v>0</v>
      </c>
      <c r="T232">
        <v>7</v>
      </c>
      <c r="U232" s="187">
        <v>45824.580555555563</v>
      </c>
    </row>
    <row r="233" spans="1:21">
      <c r="A233">
        <v>241</v>
      </c>
      <c r="B233">
        <v>2</v>
      </c>
      <c r="C233" t="s">
        <v>364</v>
      </c>
      <c r="D233" t="s">
        <v>364</v>
      </c>
      <c r="E233" s="189"/>
      <c r="F233">
        <v>0</v>
      </c>
      <c r="G233">
        <v>2</v>
      </c>
      <c r="H233">
        <v>2</v>
      </c>
      <c r="I233">
        <v>0</v>
      </c>
      <c r="J233" t="s">
        <v>364</v>
      </c>
      <c r="K233">
        <v>0</v>
      </c>
      <c r="M233">
        <v>0</v>
      </c>
      <c r="O233">
        <v>0</v>
      </c>
      <c r="Q233">
        <v>0</v>
      </c>
      <c r="S233">
        <v>0</v>
      </c>
      <c r="T233">
        <v>2</v>
      </c>
      <c r="U233" s="187">
        <v>42662.714583333327</v>
      </c>
    </row>
    <row r="234" spans="1:21">
      <c r="A234">
        <v>242</v>
      </c>
      <c r="B234">
        <v>2</v>
      </c>
      <c r="C234" t="s">
        <v>365</v>
      </c>
      <c r="D234" t="s">
        <v>365</v>
      </c>
      <c r="E234" s="189"/>
      <c r="F234">
        <v>0</v>
      </c>
      <c r="G234">
        <v>2</v>
      </c>
      <c r="H234">
        <v>2</v>
      </c>
      <c r="I234">
        <v>0</v>
      </c>
      <c r="J234" t="s">
        <v>365</v>
      </c>
      <c r="K234">
        <v>0</v>
      </c>
      <c r="M234">
        <v>0</v>
      </c>
      <c r="O234">
        <v>0</v>
      </c>
      <c r="Q234">
        <v>0</v>
      </c>
      <c r="S234">
        <v>0</v>
      </c>
      <c r="T234">
        <v>2</v>
      </c>
      <c r="U234" s="187">
        <v>42662.715277777781</v>
      </c>
    </row>
    <row r="235" spans="1:21">
      <c r="A235">
        <v>243</v>
      </c>
      <c r="B235">
        <v>2</v>
      </c>
      <c r="C235" t="s">
        <v>366</v>
      </c>
      <c r="D235" t="s">
        <v>366</v>
      </c>
      <c r="E235" s="189"/>
      <c r="F235">
        <v>0</v>
      </c>
      <c r="G235">
        <v>2</v>
      </c>
      <c r="H235">
        <v>2</v>
      </c>
      <c r="I235">
        <v>0</v>
      </c>
      <c r="J235" t="s">
        <v>366</v>
      </c>
      <c r="K235">
        <v>0</v>
      </c>
      <c r="M235">
        <v>0</v>
      </c>
      <c r="O235">
        <v>0</v>
      </c>
      <c r="Q235">
        <v>0</v>
      </c>
      <c r="S235">
        <v>0</v>
      </c>
      <c r="T235">
        <v>2</v>
      </c>
      <c r="U235" s="187">
        <v>42997.616666666669</v>
      </c>
    </row>
    <row r="236" spans="1:21">
      <c r="A236">
        <v>244</v>
      </c>
      <c r="B236">
        <v>2</v>
      </c>
      <c r="C236" t="s">
        <v>367</v>
      </c>
      <c r="D236" t="s">
        <v>367</v>
      </c>
      <c r="E236" s="189"/>
      <c r="F236">
        <v>0</v>
      </c>
      <c r="G236">
        <v>2</v>
      </c>
      <c r="H236">
        <v>2</v>
      </c>
      <c r="I236">
        <v>0</v>
      </c>
      <c r="J236" t="s">
        <v>367</v>
      </c>
      <c r="K236">
        <v>0</v>
      </c>
      <c r="M236">
        <v>0</v>
      </c>
      <c r="O236">
        <v>0</v>
      </c>
      <c r="Q236">
        <v>0</v>
      </c>
      <c r="S236">
        <v>0</v>
      </c>
      <c r="T236">
        <v>2</v>
      </c>
      <c r="U236" s="187">
        <v>43059.659722222219</v>
      </c>
    </row>
    <row r="237" spans="1:21">
      <c r="A237">
        <v>245</v>
      </c>
      <c r="B237">
        <v>2</v>
      </c>
      <c r="C237" t="s">
        <v>368</v>
      </c>
      <c r="D237" t="s">
        <v>368</v>
      </c>
      <c r="E237" s="189"/>
      <c r="F237">
        <v>0</v>
      </c>
      <c r="G237">
        <v>2</v>
      </c>
      <c r="H237">
        <v>2</v>
      </c>
      <c r="I237">
        <v>0</v>
      </c>
      <c r="J237" t="s">
        <v>368</v>
      </c>
      <c r="K237">
        <v>0</v>
      </c>
      <c r="M237">
        <v>0</v>
      </c>
      <c r="O237">
        <v>0</v>
      </c>
      <c r="Q237">
        <v>0</v>
      </c>
      <c r="S237">
        <v>0</v>
      </c>
      <c r="T237">
        <v>2</v>
      </c>
      <c r="U237" s="187">
        <v>43221.536111111112</v>
      </c>
    </row>
    <row r="238" spans="1:21">
      <c r="A238">
        <v>246</v>
      </c>
      <c r="B238">
        <v>2</v>
      </c>
      <c r="C238" t="s">
        <v>369</v>
      </c>
      <c r="D238" t="s">
        <v>369</v>
      </c>
      <c r="E238" s="189"/>
      <c r="F238">
        <v>0</v>
      </c>
      <c r="G238">
        <v>2</v>
      </c>
      <c r="H238">
        <v>2</v>
      </c>
      <c r="I238">
        <v>0</v>
      </c>
      <c r="J238" t="s">
        <v>369</v>
      </c>
      <c r="K238">
        <v>0</v>
      </c>
      <c r="M238">
        <v>0</v>
      </c>
      <c r="O238">
        <v>0</v>
      </c>
      <c r="Q238">
        <v>0</v>
      </c>
      <c r="S238">
        <v>0</v>
      </c>
      <c r="T238">
        <v>2</v>
      </c>
      <c r="U238" s="187">
        <v>43462.695833333331</v>
      </c>
    </row>
    <row r="239" spans="1:21">
      <c r="A239">
        <v>247</v>
      </c>
      <c r="B239">
        <v>2</v>
      </c>
      <c r="C239" t="s">
        <v>370</v>
      </c>
      <c r="D239" t="s">
        <v>370</v>
      </c>
      <c r="E239" s="189"/>
      <c r="F239">
        <v>0</v>
      </c>
      <c r="G239">
        <v>2</v>
      </c>
      <c r="H239">
        <v>2</v>
      </c>
      <c r="I239">
        <v>0</v>
      </c>
      <c r="J239" t="s">
        <v>370</v>
      </c>
      <c r="K239">
        <v>0</v>
      </c>
      <c r="M239">
        <v>0</v>
      </c>
      <c r="O239">
        <v>0</v>
      </c>
      <c r="Q239">
        <v>0</v>
      </c>
      <c r="S239">
        <v>0</v>
      </c>
      <c r="T239">
        <v>2</v>
      </c>
      <c r="U239" s="187">
        <v>43719.580555555563</v>
      </c>
    </row>
    <row r="240" spans="1:21">
      <c r="A240">
        <v>248</v>
      </c>
      <c r="B240">
        <v>2</v>
      </c>
      <c r="C240" t="s">
        <v>371</v>
      </c>
      <c r="D240" t="s">
        <v>371</v>
      </c>
      <c r="E240" s="189"/>
      <c r="F240">
        <v>0</v>
      </c>
      <c r="G240">
        <v>2</v>
      </c>
      <c r="H240">
        <v>2</v>
      </c>
      <c r="I240">
        <v>0</v>
      </c>
      <c r="J240" t="s">
        <v>371</v>
      </c>
      <c r="K240">
        <v>0</v>
      </c>
      <c r="M240">
        <v>0</v>
      </c>
      <c r="O240">
        <v>0</v>
      </c>
      <c r="Q240">
        <v>0</v>
      </c>
      <c r="S240">
        <v>0</v>
      </c>
      <c r="T240">
        <v>2</v>
      </c>
      <c r="U240" s="187">
        <v>44533.520833333343</v>
      </c>
    </row>
    <row r="241" spans="1:21">
      <c r="A241">
        <v>250</v>
      </c>
      <c r="B241">
        <v>2</v>
      </c>
      <c r="C241" t="s">
        <v>372</v>
      </c>
      <c r="D241" t="s">
        <v>372</v>
      </c>
      <c r="E241" s="189"/>
      <c r="F241">
        <v>0</v>
      </c>
      <c r="G241">
        <v>2</v>
      </c>
      <c r="H241">
        <v>2</v>
      </c>
      <c r="I241">
        <v>0</v>
      </c>
      <c r="J241" t="s">
        <v>72</v>
      </c>
      <c r="K241">
        <v>1</v>
      </c>
      <c r="L241" t="s">
        <v>138</v>
      </c>
      <c r="M241">
        <v>0</v>
      </c>
      <c r="N241" t="s">
        <v>373</v>
      </c>
      <c r="O241">
        <v>0</v>
      </c>
      <c r="P241" t="s">
        <v>374</v>
      </c>
      <c r="Q241">
        <v>0</v>
      </c>
      <c r="R241" t="s">
        <v>375</v>
      </c>
      <c r="S241">
        <v>0</v>
      </c>
      <c r="T241">
        <v>2</v>
      </c>
      <c r="U241" s="187">
        <v>44280.711805555547</v>
      </c>
    </row>
    <row r="242" spans="1:21">
      <c r="A242">
        <v>251</v>
      </c>
      <c r="B242">
        <v>2</v>
      </c>
      <c r="C242" t="s">
        <v>376</v>
      </c>
      <c r="D242" t="s">
        <v>376</v>
      </c>
      <c r="E242" s="189"/>
      <c r="F242">
        <v>0</v>
      </c>
      <c r="G242">
        <v>2</v>
      </c>
      <c r="H242">
        <v>2</v>
      </c>
      <c r="I242">
        <v>0</v>
      </c>
      <c r="J242" t="s">
        <v>376</v>
      </c>
      <c r="K242">
        <v>0</v>
      </c>
      <c r="M242">
        <v>0</v>
      </c>
      <c r="O242">
        <v>0</v>
      </c>
      <c r="Q242">
        <v>0</v>
      </c>
      <c r="S242">
        <v>0</v>
      </c>
      <c r="T242">
        <v>7</v>
      </c>
      <c r="U242" s="187">
        <v>44538.546527777777</v>
      </c>
    </row>
    <row r="243" spans="1:21">
      <c r="A243">
        <v>252</v>
      </c>
      <c r="B243">
        <v>2</v>
      </c>
      <c r="C243" t="s">
        <v>377</v>
      </c>
      <c r="D243" t="s">
        <v>377</v>
      </c>
      <c r="E243" s="189"/>
      <c r="F243">
        <v>0</v>
      </c>
      <c r="G243">
        <v>2</v>
      </c>
      <c r="H243">
        <v>2</v>
      </c>
      <c r="I243">
        <v>0</v>
      </c>
      <c r="J243" t="s">
        <v>377</v>
      </c>
      <c r="K243">
        <v>0</v>
      </c>
      <c r="M243">
        <v>0</v>
      </c>
      <c r="O243">
        <v>0</v>
      </c>
      <c r="Q243">
        <v>0</v>
      </c>
      <c r="S243">
        <v>0</v>
      </c>
      <c r="T243">
        <v>7</v>
      </c>
      <c r="U243" s="187">
        <v>44538.547222222223</v>
      </c>
    </row>
    <row r="244" spans="1:21">
      <c r="A244">
        <v>253</v>
      </c>
      <c r="B244">
        <v>2</v>
      </c>
      <c r="C244" t="s">
        <v>378</v>
      </c>
      <c r="D244" t="s">
        <v>378</v>
      </c>
      <c r="E244" s="189"/>
      <c r="F244">
        <v>0</v>
      </c>
      <c r="G244">
        <v>2</v>
      </c>
      <c r="H244">
        <v>2</v>
      </c>
      <c r="I244">
        <v>0</v>
      </c>
      <c r="J244" t="s">
        <v>378</v>
      </c>
      <c r="K244">
        <v>0</v>
      </c>
      <c r="M244">
        <v>0</v>
      </c>
      <c r="O244">
        <v>0</v>
      </c>
      <c r="Q244">
        <v>0</v>
      </c>
      <c r="S244">
        <v>0</v>
      </c>
      <c r="T244">
        <v>2</v>
      </c>
      <c r="U244" s="187">
        <v>44974.582638888889</v>
      </c>
    </row>
    <row r="245" spans="1:21">
      <c r="A245">
        <v>254</v>
      </c>
      <c r="B245">
        <v>2</v>
      </c>
      <c r="C245" t="s">
        <v>379</v>
      </c>
      <c r="D245" t="s">
        <v>379</v>
      </c>
      <c r="E245" s="189"/>
      <c r="F245">
        <v>0</v>
      </c>
      <c r="G245">
        <v>2</v>
      </c>
      <c r="H245">
        <v>2</v>
      </c>
      <c r="I245">
        <v>0</v>
      </c>
      <c r="J245" t="s">
        <v>379</v>
      </c>
      <c r="K245">
        <v>0</v>
      </c>
      <c r="M245">
        <v>0</v>
      </c>
      <c r="O245">
        <v>0</v>
      </c>
      <c r="Q245">
        <v>0</v>
      </c>
      <c r="S245">
        <v>0</v>
      </c>
      <c r="T245">
        <v>2</v>
      </c>
      <c r="U245" s="187">
        <v>44974.582638888889</v>
      </c>
    </row>
    <row r="246" spans="1:21">
      <c r="A246">
        <v>255</v>
      </c>
      <c r="B246">
        <v>2</v>
      </c>
      <c r="C246" t="s">
        <v>380</v>
      </c>
      <c r="D246" t="s">
        <v>380</v>
      </c>
      <c r="E246" s="189"/>
      <c r="F246">
        <v>0</v>
      </c>
      <c r="G246">
        <v>2</v>
      </c>
      <c r="H246">
        <v>2</v>
      </c>
      <c r="I246">
        <v>0</v>
      </c>
      <c r="J246" t="s">
        <v>381</v>
      </c>
      <c r="K246">
        <v>0</v>
      </c>
      <c r="M246">
        <v>0</v>
      </c>
      <c r="O246">
        <v>0</v>
      </c>
      <c r="Q246">
        <v>0</v>
      </c>
      <c r="S246">
        <v>0</v>
      </c>
      <c r="T246">
        <v>2</v>
      </c>
      <c r="U246" s="187">
        <v>44974.582638888889</v>
      </c>
    </row>
    <row r="247" spans="1:21">
      <c r="A247">
        <v>256</v>
      </c>
      <c r="B247">
        <v>2</v>
      </c>
      <c r="C247" t="s">
        <v>382</v>
      </c>
      <c r="D247" t="s">
        <v>382</v>
      </c>
      <c r="E247" s="189"/>
      <c r="F247">
        <v>0</v>
      </c>
      <c r="G247">
        <v>2</v>
      </c>
      <c r="H247">
        <v>2</v>
      </c>
      <c r="I247">
        <v>0</v>
      </c>
      <c r="J247" t="s">
        <v>382</v>
      </c>
      <c r="K247">
        <v>0</v>
      </c>
      <c r="M247">
        <v>0</v>
      </c>
      <c r="O247">
        <v>0</v>
      </c>
      <c r="Q247">
        <v>0</v>
      </c>
      <c r="S247">
        <v>0</v>
      </c>
      <c r="T247">
        <v>7</v>
      </c>
      <c r="U247" s="187">
        <v>45072.6</v>
      </c>
    </row>
    <row r="248" spans="1:21">
      <c r="A248">
        <v>257</v>
      </c>
      <c r="B248">
        <v>2</v>
      </c>
      <c r="C248" t="s">
        <v>383</v>
      </c>
      <c r="D248" t="s">
        <v>383</v>
      </c>
      <c r="E248" s="189"/>
      <c r="F248">
        <v>0</v>
      </c>
      <c r="G248">
        <v>2</v>
      </c>
      <c r="H248">
        <v>2</v>
      </c>
      <c r="I248">
        <v>0</v>
      </c>
      <c r="J248" t="s">
        <v>383</v>
      </c>
      <c r="K248">
        <v>0</v>
      </c>
      <c r="M248">
        <v>0</v>
      </c>
      <c r="O248">
        <v>0</v>
      </c>
      <c r="Q248">
        <v>0</v>
      </c>
      <c r="S248">
        <v>0</v>
      </c>
      <c r="T248">
        <v>7</v>
      </c>
      <c r="U248" s="187">
        <v>45072.616666666669</v>
      </c>
    </row>
    <row r="249" spans="1:21">
      <c r="A249">
        <v>258</v>
      </c>
      <c r="B249">
        <v>2</v>
      </c>
      <c r="C249" t="s">
        <v>312</v>
      </c>
      <c r="D249" t="s">
        <v>312</v>
      </c>
      <c r="E249" s="189"/>
      <c r="F249">
        <v>0</v>
      </c>
      <c r="G249">
        <v>2</v>
      </c>
      <c r="H249">
        <v>2</v>
      </c>
      <c r="I249">
        <v>0</v>
      </c>
      <c r="J249" t="s">
        <v>312</v>
      </c>
      <c r="K249">
        <v>0</v>
      </c>
      <c r="M249">
        <v>0</v>
      </c>
      <c r="O249">
        <v>0</v>
      </c>
      <c r="Q249">
        <v>0</v>
      </c>
      <c r="S249">
        <v>0</v>
      </c>
      <c r="T249">
        <v>2</v>
      </c>
      <c r="U249" s="187">
        <v>45272.631249999999</v>
      </c>
    </row>
    <row r="250" spans="1:21">
      <c r="A250">
        <v>259</v>
      </c>
      <c r="B250">
        <v>2</v>
      </c>
      <c r="C250" t="s">
        <v>313</v>
      </c>
      <c r="D250" t="s">
        <v>313</v>
      </c>
      <c r="E250" s="189"/>
      <c r="F250">
        <v>0</v>
      </c>
      <c r="G250">
        <v>2</v>
      </c>
      <c r="H250">
        <v>2</v>
      </c>
      <c r="I250">
        <v>0</v>
      </c>
      <c r="J250" t="s">
        <v>313</v>
      </c>
      <c r="K250">
        <v>0</v>
      </c>
      <c r="M250">
        <v>0</v>
      </c>
      <c r="O250">
        <v>0</v>
      </c>
      <c r="Q250">
        <v>0</v>
      </c>
      <c r="S250">
        <v>0</v>
      </c>
      <c r="T250">
        <v>2</v>
      </c>
      <c r="U250" s="187">
        <v>45272.631249999999</v>
      </c>
    </row>
    <row r="251" spans="1:21">
      <c r="A251">
        <v>260</v>
      </c>
      <c r="B251">
        <v>2</v>
      </c>
      <c r="C251" t="s">
        <v>374</v>
      </c>
      <c r="D251" t="s">
        <v>374</v>
      </c>
      <c r="E251" s="189"/>
      <c r="F251">
        <v>0</v>
      </c>
      <c r="G251">
        <v>2</v>
      </c>
      <c r="H251">
        <v>2</v>
      </c>
      <c r="I251">
        <v>0</v>
      </c>
      <c r="J251" t="s">
        <v>374</v>
      </c>
      <c r="K251">
        <v>0</v>
      </c>
      <c r="M251">
        <v>0</v>
      </c>
      <c r="O251">
        <v>0</v>
      </c>
      <c r="Q251">
        <v>0</v>
      </c>
      <c r="S251">
        <v>0</v>
      </c>
      <c r="T251">
        <v>2</v>
      </c>
      <c r="U251" s="187">
        <v>45390.600694444453</v>
      </c>
    </row>
    <row r="252" spans="1:21">
      <c r="A252">
        <v>261</v>
      </c>
      <c r="B252">
        <v>2</v>
      </c>
      <c r="C252" t="s">
        <v>375</v>
      </c>
      <c r="D252" t="s">
        <v>375</v>
      </c>
      <c r="E252" s="189"/>
      <c r="F252">
        <v>0</v>
      </c>
      <c r="G252">
        <v>2</v>
      </c>
      <c r="H252">
        <v>2</v>
      </c>
      <c r="I252">
        <v>0</v>
      </c>
      <c r="J252" t="s">
        <v>375</v>
      </c>
      <c r="K252">
        <v>0</v>
      </c>
      <c r="M252">
        <v>0</v>
      </c>
      <c r="O252">
        <v>0</v>
      </c>
      <c r="Q252">
        <v>0</v>
      </c>
      <c r="S252">
        <v>0</v>
      </c>
      <c r="T252">
        <v>2</v>
      </c>
      <c r="U252" s="187">
        <v>45390.600694444453</v>
      </c>
    </row>
    <row r="253" spans="1:21">
      <c r="A253">
        <v>262</v>
      </c>
      <c r="B253">
        <v>2</v>
      </c>
      <c r="C253" t="s">
        <v>384</v>
      </c>
      <c r="D253" t="s">
        <v>384</v>
      </c>
      <c r="E253" s="190"/>
      <c r="F253">
        <v>0</v>
      </c>
      <c r="G253">
        <v>2</v>
      </c>
      <c r="H253">
        <v>2</v>
      </c>
      <c r="I253">
        <v>0</v>
      </c>
      <c r="J253" t="s">
        <v>138</v>
      </c>
      <c r="K253">
        <v>0</v>
      </c>
      <c r="M253">
        <v>0</v>
      </c>
      <c r="O253">
        <v>0</v>
      </c>
      <c r="Q253">
        <v>0</v>
      </c>
      <c r="S253">
        <v>0</v>
      </c>
      <c r="T253">
        <v>2</v>
      </c>
      <c r="U253" s="187">
        <v>45390.602083333331</v>
      </c>
    </row>
    <row r="254" spans="1:21">
      <c r="A254">
        <v>301</v>
      </c>
      <c r="B254">
        <v>2</v>
      </c>
      <c r="C254" t="s">
        <v>385</v>
      </c>
      <c r="D254" t="s">
        <v>385</v>
      </c>
      <c r="E254" s="188"/>
      <c r="F254">
        <v>0</v>
      </c>
      <c r="G254">
        <v>2</v>
      </c>
      <c r="H254">
        <v>2</v>
      </c>
      <c r="I254">
        <v>0</v>
      </c>
      <c r="T254">
        <v>2</v>
      </c>
      <c r="U254" s="187">
        <v>40801.599999999999</v>
      </c>
    </row>
    <row r="255" spans="1:21">
      <c r="A255">
        <v>302</v>
      </c>
      <c r="B255">
        <v>2</v>
      </c>
      <c r="C255" t="s">
        <v>386</v>
      </c>
      <c r="D255" t="s">
        <v>386</v>
      </c>
      <c r="E255" s="189"/>
      <c r="F255">
        <v>0</v>
      </c>
      <c r="G255">
        <v>2</v>
      </c>
      <c r="H255">
        <v>2</v>
      </c>
      <c r="I255">
        <v>0</v>
      </c>
      <c r="T255">
        <v>2</v>
      </c>
      <c r="U255" s="187">
        <v>40801.600694444453</v>
      </c>
    </row>
    <row r="256" spans="1:21">
      <c r="A256">
        <v>303</v>
      </c>
      <c r="B256">
        <v>2</v>
      </c>
      <c r="C256" t="s">
        <v>387</v>
      </c>
      <c r="D256" t="s">
        <v>387</v>
      </c>
      <c r="E256" s="189"/>
      <c r="F256">
        <v>0</v>
      </c>
      <c r="G256">
        <v>2</v>
      </c>
      <c r="H256">
        <v>2</v>
      </c>
      <c r="I256">
        <v>0</v>
      </c>
      <c r="T256">
        <v>2</v>
      </c>
      <c r="U256" s="187">
        <v>40801.601388888892</v>
      </c>
    </row>
    <row r="257" spans="1:21">
      <c r="A257">
        <v>304</v>
      </c>
      <c r="B257">
        <v>2</v>
      </c>
      <c r="C257" t="s">
        <v>388</v>
      </c>
      <c r="D257" t="s">
        <v>388</v>
      </c>
      <c r="E257" s="189"/>
      <c r="F257">
        <v>0</v>
      </c>
      <c r="G257">
        <v>2</v>
      </c>
      <c r="H257">
        <v>2</v>
      </c>
      <c r="I257">
        <v>0</v>
      </c>
      <c r="T257">
        <v>2</v>
      </c>
      <c r="U257" s="187">
        <v>40801.689583333333</v>
      </c>
    </row>
    <row r="258" spans="1:21">
      <c r="A258">
        <v>305</v>
      </c>
      <c r="B258">
        <v>2</v>
      </c>
      <c r="C258" t="s">
        <v>389</v>
      </c>
      <c r="D258" t="s">
        <v>389</v>
      </c>
      <c r="E258" s="189"/>
      <c r="F258">
        <v>0</v>
      </c>
      <c r="G258">
        <v>2</v>
      </c>
      <c r="H258">
        <v>2</v>
      </c>
      <c r="I258">
        <v>0</v>
      </c>
      <c r="T258">
        <v>2</v>
      </c>
      <c r="U258" s="187">
        <v>40801.601388888892</v>
      </c>
    </row>
    <row r="259" spans="1:21">
      <c r="A259">
        <v>306</v>
      </c>
      <c r="B259">
        <v>2</v>
      </c>
      <c r="C259" t="s">
        <v>390</v>
      </c>
      <c r="D259" t="s">
        <v>390</v>
      </c>
      <c r="E259" s="189"/>
      <c r="F259">
        <v>0</v>
      </c>
      <c r="G259">
        <v>2</v>
      </c>
      <c r="H259">
        <v>2</v>
      </c>
      <c r="I259">
        <v>0</v>
      </c>
      <c r="T259">
        <v>2</v>
      </c>
      <c r="U259" s="187">
        <v>40801.602083333331</v>
      </c>
    </row>
    <row r="260" spans="1:21">
      <c r="A260">
        <v>307</v>
      </c>
      <c r="B260">
        <v>2</v>
      </c>
      <c r="C260" t="s">
        <v>343</v>
      </c>
      <c r="D260" t="s">
        <v>343</v>
      </c>
      <c r="E260" s="189"/>
      <c r="F260">
        <v>0</v>
      </c>
      <c r="G260">
        <v>2</v>
      </c>
      <c r="H260">
        <v>2</v>
      </c>
      <c r="I260">
        <v>0</v>
      </c>
      <c r="T260">
        <v>2</v>
      </c>
      <c r="U260" s="187">
        <v>40801.602083333331</v>
      </c>
    </row>
    <row r="261" spans="1:21">
      <c r="A261">
        <v>308</v>
      </c>
      <c r="B261">
        <v>2</v>
      </c>
      <c r="C261" t="s">
        <v>135</v>
      </c>
      <c r="D261" t="s">
        <v>135</v>
      </c>
      <c r="E261" s="189"/>
      <c r="F261">
        <v>0</v>
      </c>
      <c r="G261">
        <v>2</v>
      </c>
      <c r="H261">
        <v>2</v>
      </c>
      <c r="I261">
        <v>0</v>
      </c>
      <c r="T261">
        <v>2</v>
      </c>
      <c r="U261" s="187">
        <v>40801.602083333331</v>
      </c>
    </row>
    <row r="262" spans="1:21">
      <c r="A262">
        <v>309</v>
      </c>
      <c r="B262">
        <v>2</v>
      </c>
      <c r="C262" t="s">
        <v>391</v>
      </c>
      <c r="D262" t="s">
        <v>391</v>
      </c>
      <c r="E262" s="189"/>
      <c r="F262">
        <v>0</v>
      </c>
      <c r="G262">
        <v>2</v>
      </c>
      <c r="H262">
        <v>2</v>
      </c>
      <c r="I262">
        <v>0</v>
      </c>
      <c r="T262">
        <v>2</v>
      </c>
      <c r="U262" s="187">
        <v>40801.602083333331</v>
      </c>
    </row>
    <row r="263" spans="1:21">
      <c r="A263">
        <v>310</v>
      </c>
      <c r="B263">
        <v>2</v>
      </c>
      <c r="C263" t="s">
        <v>392</v>
      </c>
      <c r="D263" t="s">
        <v>392</v>
      </c>
      <c r="E263" s="189"/>
      <c r="F263">
        <v>0</v>
      </c>
      <c r="G263">
        <v>2</v>
      </c>
      <c r="H263">
        <v>2</v>
      </c>
      <c r="I263">
        <v>0</v>
      </c>
      <c r="T263">
        <v>2</v>
      </c>
      <c r="U263" s="187">
        <v>40801.602777777778</v>
      </c>
    </row>
    <row r="264" spans="1:21">
      <c r="A264">
        <v>311</v>
      </c>
      <c r="B264">
        <v>2</v>
      </c>
      <c r="C264" t="s">
        <v>393</v>
      </c>
      <c r="D264" t="s">
        <v>393</v>
      </c>
      <c r="E264" s="189"/>
      <c r="F264">
        <v>0</v>
      </c>
      <c r="G264">
        <v>2</v>
      </c>
      <c r="H264">
        <v>2</v>
      </c>
      <c r="I264">
        <v>0</v>
      </c>
      <c r="T264">
        <v>2</v>
      </c>
      <c r="U264" s="187">
        <v>40801.602777777778</v>
      </c>
    </row>
    <row r="265" spans="1:21">
      <c r="A265">
        <v>312</v>
      </c>
      <c r="B265">
        <v>2</v>
      </c>
      <c r="C265" t="s">
        <v>394</v>
      </c>
      <c r="D265" t="s">
        <v>394</v>
      </c>
      <c r="E265" s="189"/>
      <c r="F265">
        <v>0</v>
      </c>
      <c r="G265">
        <v>2</v>
      </c>
      <c r="H265">
        <v>2</v>
      </c>
      <c r="I265">
        <v>0</v>
      </c>
      <c r="T265">
        <v>2</v>
      </c>
      <c r="U265" s="187">
        <v>40801.602777777778</v>
      </c>
    </row>
    <row r="266" spans="1:21">
      <c r="A266">
        <v>313</v>
      </c>
      <c r="B266">
        <v>2</v>
      </c>
      <c r="C266" t="s">
        <v>395</v>
      </c>
      <c r="D266" t="s">
        <v>395</v>
      </c>
      <c r="E266" s="189"/>
      <c r="F266">
        <v>0</v>
      </c>
      <c r="G266">
        <v>2</v>
      </c>
      <c r="H266">
        <v>2</v>
      </c>
      <c r="I266">
        <v>0</v>
      </c>
      <c r="T266">
        <v>2</v>
      </c>
      <c r="U266" s="187">
        <v>40801.603472222218</v>
      </c>
    </row>
    <row r="267" spans="1:21">
      <c r="A267">
        <v>314</v>
      </c>
      <c r="B267">
        <v>2</v>
      </c>
      <c r="C267" t="s">
        <v>396</v>
      </c>
      <c r="D267" t="s">
        <v>396</v>
      </c>
      <c r="E267" s="189"/>
      <c r="F267">
        <v>0</v>
      </c>
      <c r="G267">
        <v>2</v>
      </c>
      <c r="H267">
        <v>2</v>
      </c>
      <c r="I267">
        <v>0</v>
      </c>
      <c r="T267">
        <v>2</v>
      </c>
      <c r="U267" s="187">
        <v>40801.603472222218</v>
      </c>
    </row>
    <row r="268" spans="1:21">
      <c r="A268">
        <v>315</v>
      </c>
      <c r="B268">
        <v>2</v>
      </c>
      <c r="C268" t="s">
        <v>397</v>
      </c>
      <c r="D268" t="s">
        <v>397</v>
      </c>
      <c r="E268" s="189"/>
      <c r="F268">
        <v>0</v>
      </c>
      <c r="G268">
        <v>2</v>
      </c>
      <c r="H268">
        <v>2</v>
      </c>
      <c r="I268">
        <v>0</v>
      </c>
      <c r="T268">
        <v>2</v>
      </c>
      <c r="U268" s="187">
        <v>40801.603472222218</v>
      </c>
    </row>
    <row r="269" spans="1:21">
      <c r="A269">
        <v>316</v>
      </c>
      <c r="B269">
        <v>2</v>
      </c>
      <c r="C269" t="s">
        <v>398</v>
      </c>
      <c r="D269" t="s">
        <v>398</v>
      </c>
      <c r="E269" s="190"/>
      <c r="F269">
        <v>0</v>
      </c>
      <c r="G269">
        <v>2</v>
      </c>
      <c r="H269">
        <v>2</v>
      </c>
      <c r="I269">
        <v>0</v>
      </c>
      <c r="T269">
        <v>2</v>
      </c>
      <c r="U269" s="187">
        <v>40801.603472222218</v>
      </c>
    </row>
    <row r="270" spans="1:21">
      <c r="A270">
        <v>400</v>
      </c>
      <c r="B270">
        <v>1</v>
      </c>
      <c r="C270" t="s">
        <v>399</v>
      </c>
      <c r="D270" t="s">
        <v>400</v>
      </c>
      <c r="E270" s="189"/>
      <c r="F270">
        <v>401</v>
      </c>
      <c r="G270">
        <v>1</v>
      </c>
      <c r="H270">
        <v>2</v>
      </c>
      <c r="I270">
        <v>0</v>
      </c>
      <c r="K270">
        <v>0</v>
      </c>
      <c r="M270">
        <v>0</v>
      </c>
      <c r="O270">
        <v>0</v>
      </c>
      <c r="Q270">
        <v>0</v>
      </c>
      <c r="S270">
        <v>0</v>
      </c>
      <c r="T270">
        <v>2</v>
      </c>
      <c r="U270" s="187">
        <v>42054.595833333333</v>
      </c>
    </row>
    <row r="271" spans="1:21">
      <c r="A271">
        <v>401</v>
      </c>
      <c r="B271">
        <v>0</v>
      </c>
      <c r="C271" t="s">
        <v>401</v>
      </c>
      <c r="D271" t="s">
        <v>400</v>
      </c>
      <c r="E271" s="189"/>
      <c r="F271">
        <v>401</v>
      </c>
      <c r="G271">
        <v>1</v>
      </c>
      <c r="H271">
        <v>2</v>
      </c>
      <c r="I271">
        <v>0</v>
      </c>
      <c r="K271">
        <v>0</v>
      </c>
      <c r="M271">
        <v>0</v>
      </c>
      <c r="O271">
        <v>0</v>
      </c>
      <c r="Q271">
        <v>0</v>
      </c>
      <c r="S271">
        <v>0</v>
      </c>
      <c r="T271">
        <v>2</v>
      </c>
      <c r="U271" s="187">
        <v>42054.595833333333</v>
      </c>
    </row>
    <row r="272" spans="1:21">
      <c r="A272">
        <v>402</v>
      </c>
      <c r="B272">
        <v>1</v>
      </c>
      <c r="C272" t="s">
        <v>402</v>
      </c>
      <c r="D272" t="s">
        <v>402</v>
      </c>
      <c r="E272" s="189"/>
      <c r="F272">
        <v>0</v>
      </c>
      <c r="G272">
        <v>1</v>
      </c>
      <c r="H272">
        <v>0</v>
      </c>
      <c r="I272">
        <v>0</v>
      </c>
      <c r="K272">
        <v>0</v>
      </c>
      <c r="M272">
        <v>0</v>
      </c>
      <c r="O272">
        <v>0</v>
      </c>
      <c r="Q272">
        <v>0</v>
      </c>
      <c r="S272">
        <v>0</v>
      </c>
      <c r="T272">
        <v>2</v>
      </c>
      <c r="U272" s="187">
        <v>41829.61041666667</v>
      </c>
    </row>
    <row r="273" spans="1:21">
      <c r="A273">
        <v>403</v>
      </c>
      <c r="B273">
        <v>1</v>
      </c>
      <c r="C273" t="s">
        <v>403</v>
      </c>
      <c r="D273" t="s">
        <v>403</v>
      </c>
      <c r="E273" s="189"/>
      <c r="F273">
        <v>0</v>
      </c>
      <c r="G273">
        <v>3</v>
      </c>
      <c r="H273">
        <v>0</v>
      </c>
      <c r="I273">
        <v>0</v>
      </c>
      <c r="K273">
        <v>0</v>
      </c>
      <c r="M273">
        <v>0</v>
      </c>
      <c r="O273">
        <v>0</v>
      </c>
      <c r="Q273">
        <v>0</v>
      </c>
      <c r="S273">
        <v>0</v>
      </c>
      <c r="T273">
        <v>2</v>
      </c>
      <c r="U273" s="187">
        <v>43672.388194444437</v>
      </c>
    </row>
    <row r="274" spans="1:21">
      <c r="A274">
        <v>404</v>
      </c>
      <c r="B274">
        <v>1</v>
      </c>
      <c r="C274" t="s">
        <v>404</v>
      </c>
      <c r="D274" t="s">
        <v>405</v>
      </c>
      <c r="E274" s="189"/>
      <c r="F274">
        <v>405</v>
      </c>
      <c r="G274">
        <v>1</v>
      </c>
      <c r="H274">
        <v>2</v>
      </c>
      <c r="I274">
        <v>0</v>
      </c>
      <c r="J274" t="s">
        <v>89</v>
      </c>
      <c r="K274">
        <v>0</v>
      </c>
      <c r="L274" t="s">
        <v>406</v>
      </c>
      <c r="M274">
        <v>0</v>
      </c>
      <c r="O274">
        <v>0</v>
      </c>
      <c r="Q274">
        <v>0</v>
      </c>
      <c r="S274">
        <v>0</v>
      </c>
      <c r="T274">
        <v>3</v>
      </c>
      <c r="U274" s="187">
        <v>43810.755555555559</v>
      </c>
    </row>
    <row r="275" spans="1:21">
      <c r="A275">
        <v>405</v>
      </c>
      <c r="B275">
        <v>0</v>
      </c>
      <c r="C275" t="s">
        <v>407</v>
      </c>
      <c r="D275" t="s">
        <v>405</v>
      </c>
      <c r="E275" s="189"/>
      <c r="F275">
        <v>0</v>
      </c>
      <c r="G275">
        <v>1</v>
      </c>
      <c r="H275">
        <v>0</v>
      </c>
      <c r="I275">
        <v>0</v>
      </c>
      <c r="K275">
        <v>0</v>
      </c>
      <c r="M275">
        <v>0</v>
      </c>
      <c r="O275">
        <v>0</v>
      </c>
      <c r="Q275">
        <v>0</v>
      </c>
      <c r="S275">
        <v>0</v>
      </c>
      <c r="T275">
        <v>2</v>
      </c>
      <c r="U275" s="187">
        <v>43782.701388888891</v>
      </c>
    </row>
    <row r="276" spans="1:21">
      <c r="A276">
        <v>410</v>
      </c>
      <c r="B276">
        <v>1</v>
      </c>
      <c r="C276" t="s">
        <v>408</v>
      </c>
      <c r="D276" t="s">
        <v>409</v>
      </c>
      <c r="E276" s="189"/>
      <c r="F276">
        <v>411</v>
      </c>
      <c r="G276">
        <v>1</v>
      </c>
      <c r="H276">
        <v>1</v>
      </c>
      <c r="I276">
        <v>18</v>
      </c>
      <c r="J276" t="s">
        <v>334</v>
      </c>
      <c r="K276">
        <v>0</v>
      </c>
      <c r="M276">
        <v>0</v>
      </c>
      <c r="O276">
        <v>0</v>
      </c>
      <c r="Q276">
        <v>0</v>
      </c>
      <c r="S276">
        <v>0</v>
      </c>
      <c r="T276">
        <v>2</v>
      </c>
      <c r="U276" s="187">
        <v>41022.645833333343</v>
      </c>
    </row>
    <row r="277" spans="1:21">
      <c r="A277">
        <v>411</v>
      </c>
      <c r="B277">
        <v>1</v>
      </c>
      <c r="C277" t="s">
        <v>410</v>
      </c>
      <c r="D277" t="s">
        <v>409</v>
      </c>
      <c r="E277" s="189"/>
      <c r="F277">
        <v>411</v>
      </c>
      <c r="G277">
        <v>1</v>
      </c>
      <c r="H277">
        <v>1</v>
      </c>
      <c r="I277">
        <v>18</v>
      </c>
      <c r="J277" t="s">
        <v>334</v>
      </c>
      <c r="K277">
        <v>0</v>
      </c>
      <c r="M277">
        <v>0</v>
      </c>
      <c r="O277">
        <v>0</v>
      </c>
      <c r="Q277">
        <v>0</v>
      </c>
      <c r="S277">
        <v>0</v>
      </c>
      <c r="T277">
        <v>2</v>
      </c>
      <c r="U277" s="187">
        <v>42562.600694444453</v>
      </c>
    </row>
    <row r="278" spans="1:21">
      <c r="A278">
        <v>412</v>
      </c>
      <c r="B278">
        <v>0</v>
      </c>
      <c r="C278" t="s">
        <v>411</v>
      </c>
      <c r="D278" t="s">
        <v>411</v>
      </c>
      <c r="E278" s="189"/>
      <c r="F278">
        <v>0</v>
      </c>
      <c r="G278">
        <v>1</v>
      </c>
      <c r="H278">
        <v>0</v>
      </c>
      <c r="I278">
        <v>0</v>
      </c>
      <c r="K278">
        <v>0</v>
      </c>
      <c r="M278">
        <v>0</v>
      </c>
      <c r="O278">
        <v>0</v>
      </c>
      <c r="Q278">
        <v>0</v>
      </c>
      <c r="S278">
        <v>0</v>
      </c>
      <c r="T278">
        <v>5</v>
      </c>
      <c r="U278" s="187">
        <v>41067.478472222218</v>
      </c>
    </row>
    <row r="279" spans="1:21">
      <c r="A279">
        <v>413</v>
      </c>
      <c r="B279">
        <v>0</v>
      </c>
      <c r="C279" t="s">
        <v>412</v>
      </c>
      <c r="E279" s="189"/>
      <c r="F279">
        <v>0</v>
      </c>
      <c r="G279">
        <v>0</v>
      </c>
      <c r="H279">
        <v>0</v>
      </c>
      <c r="I279">
        <v>0</v>
      </c>
      <c r="K279">
        <v>0</v>
      </c>
      <c r="M279">
        <v>0</v>
      </c>
      <c r="O279">
        <v>0</v>
      </c>
      <c r="Q279">
        <v>0</v>
      </c>
      <c r="S279">
        <v>0</v>
      </c>
      <c r="T279">
        <v>5</v>
      </c>
      <c r="U279" s="187">
        <v>41212.493750000001</v>
      </c>
    </row>
    <row r="280" spans="1:21">
      <c r="A280">
        <v>414</v>
      </c>
      <c r="B280">
        <v>2</v>
      </c>
      <c r="C280" t="s">
        <v>339</v>
      </c>
      <c r="D280" t="s">
        <v>339</v>
      </c>
      <c r="E280" s="189"/>
      <c r="F280">
        <v>0</v>
      </c>
      <c r="G280">
        <v>4</v>
      </c>
      <c r="H280">
        <v>0</v>
      </c>
      <c r="I280">
        <v>0</v>
      </c>
      <c r="K280">
        <v>0</v>
      </c>
      <c r="M280">
        <v>0</v>
      </c>
      <c r="O280">
        <v>0</v>
      </c>
      <c r="Q280">
        <v>0</v>
      </c>
      <c r="S280">
        <v>0</v>
      </c>
      <c r="T280">
        <v>2</v>
      </c>
      <c r="U280" s="187">
        <v>45121.540277777778</v>
      </c>
    </row>
    <row r="281" spans="1:21">
      <c r="A281">
        <v>415</v>
      </c>
      <c r="B281">
        <v>0</v>
      </c>
      <c r="C281" t="s">
        <v>413</v>
      </c>
      <c r="E281" s="189"/>
      <c r="F281">
        <v>0</v>
      </c>
      <c r="G281">
        <v>0</v>
      </c>
      <c r="H281">
        <v>0</v>
      </c>
      <c r="I281">
        <v>0</v>
      </c>
      <c r="K281">
        <v>0</v>
      </c>
      <c r="M281">
        <v>0</v>
      </c>
      <c r="O281">
        <v>0</v>
      </c>
      <c r="Q281">
        <v>0</v>
      </c>
      <c r="S281">
        <v>0</v>
      </c>
      <c r="T281">
        <v>5</v>
      </c>
      <c r="U281" s="187">
        <v>41212.494444444441</v>
      </c>
    </row>
    <row r="282" spans="1:21">
      <c r="A282">
        <v>416</v>
      </c>
      <c r="B282">
        <v>0</v>
      </c>
      <c r="C282" t="s">
        <v>414</v>
      </c>
      <c r="E282" s="189"/>
      <c r="F282">
        <v>0</v>
      </c>
      <c r="G282">
        <v>0</v>
      </c>
      <c r="H282">
        <v>0</v>
      </c>
      <c r="I282">
        <v>0</v>
      </c>
      <c r="K282">
        <v>0</v>
      </c>
      <c r="M282">
        <v>0</v>
      </c>
      <c r="O282">
        <v>0</v>
      </c>
      <c r="Q282">
        <v>0</v>
      </c>
      <c r="S282">
        <v>0</v>
      </c>
      <c r="T282">
        <v>5</v>
      </c>
      <c r="U282" s="187">
        <v>41212.495138888888</v>
      </c>
    </row>
    <row r="283" spans="1:21">
      <c r="A283">
        <v>417</v>
      </c>
      <c r="B283">
        <v>0</v>
      </c>
      <c r="C283" t="s">
        <v>415</v>
      </c>
      <c r="E283" s="189"/>
      <c r="F283">
        <v>0</v>
      </c>
      <c r="G283">
        <v>0</v>
      </c>
      <c r="H283">
        <v>0</v>
      </c>
      <c r="I283">
        <v>0</v>
      </c>
      <c r="K283">
        <v>0</v>
      </c>
      <c r="M283">
        <v>0</v>
      </c>
      <c r="O283">
        <v>0</v>
      </c>
      <c r="Q283">
        <v>0</v>
      </c>
      <c r="S283">
        <v>0</v>
      </c>
      <c r="T283">
        <v>5</v>
      </c>
      <c r="U283" s="187">
        <v>41212.495833333327</v>
      </c>
    </row>
    <row r="284" spans="1:21">
      <c r="A284">
        <v>418</v>
      </c>
      <c r="B284">
        <v>0</v>
      </c>
      <c r="C284" t="s">
        <v>416</v>
      </c>
      <c r="E284" s="189"/>
      <c r="F284">
        <v>0</v>
      </c>
      <c r="G284">
        <v>0</v>
      </c>
      <c r="H284">
        <v>0</v>
      </c>
      <c r="I284">
        <v>0</v>
      </c>
      <c r="K284">
        <v>0</v>
      </c>
      <c r="M284">
        <v>0</v>
      </c>
      <c r="O284">
        <v>0</v>
      </c>
      <c r="Q284">
        <v>0</v>
      </c>
      <c r="S284">
        <v>0</v>
      </c>
      <c r="T284">
        <v>5</v>
      </c>
      <c r="U284" s="187">
        <v>41225.491666666669</v>
      </c>
    </row>
    <row r="285" spans="1:21">
      <c r="A285">
        <v>419</v>
      </c>
      <c r="B285">
        <v>0</v>
      </c>
      <c r="C285" t="s">
        <v>417</v>
      </c>
      <c r="E285" s="189"/>
      <c r="F285">
        <v>0</v>
      </c>
      <c r="G285">
        <v>0</v>
      </c>
      <c r="H285">
        <v>0</v>
      </c>
      <c r="I285">
        <v>0</v>
      </c>
      <c r="K285">
        <v>0</v>
      </c>
      <c r="M285">
        <v>0</v>
      </c>
      <c r="O285">
        <v>0</v>
      </c>
      <c r="Q285">
        <v>0</v>
      </c>
      <c r="S285">
        <v>0</v>
      </c>
      <c r="T285">
        <v>5</v>
      </c>
      <c r="U285" s="187">
        <v>41225.491666666669</v>
      </c>
    </row>
    <row r="286" spans="1:21">
      <c r="A286">
        <v>420</v>
      </c>
      <c r="B286">
        <v>1</v>
      </c>
      <c r="C286" t="s">
        <v>418</v>
      </c>
      <c r="D286" t="s">
        <v>419</v>
      </c>
      <c r="E286" s="189"/>
      <c r="F286">
        <v>421</v>
      </c>
      <c r="G286">
        <v>1</v>
      </c>
      <c r="H286">
        <v>2</v>
      </c>
      <c r="I286">
        <v>0</v>
      </c>
      <c r="J286" t="s">
        <v>419</v>
      </c>
      <c r="K286">
        <v>0</v>
      </c>
      <c r="L286" t="s">
        <v>420</v>
      </c>
      <c r="M286">
        <v>0</v>
      </c>
      <c r="N286" t="s">
        <v>139</v>
      </c>
      <c r="O286">
        <v>0</v>
      </c>
      <c r="Q286">
        <v>0</v>
      </c>
      <c r="S286">
        <v>0</v>
      </c>
      <c r="T286">
        <v>2</v>
      </c>
      <c r="U286" s="187">
        <v>43410.616666666669</v>
      </c>
    </row>
    <row r="287" spans="1:21">
      <c r="A287">
        <v>421</v>
      </c>
      <c r="B287">
        <v>1</v>
      </c>
      <c r="C287" t="s">
        <v>421</v>
      </c>
      <c r="D287" t="s">
        <v>419</v>
      </c>
      <c r="E287" s="189"/>
      <c r="F287">
        <v>0</v>
      </c>
      <c r="G287">
        <v>1</v>
      </c>
      <c r="H287">
        <v>2</v>
      </c>
      <c r="I287">
        <v>0</v>
      </c>
      <c r="J287" t="s">
        <v>419</v>
      </c>
      <c r="K287">
        <v>0</v>
      </c>
      <c r="L287" t="s">
        <v>138</v>
      </c>
      <c r="M287">
        <v>0</v>
      </c>
      <c r="N287" t="s">
        <v>139</v>
      </c>
      <c r="O287">
        <v>0</v>
      </c>
      <c r="Q287">
        <v>0</v>
      </c>
      <c r="S287">
        <v>0</v>
      </c>
      <c r="T287">
        <v>2</v>
      </c>
      <c r="U287" s="187">
        <v>43391.707638888889</v>
      </c>
    </row>
    <row r="288" spans="1:21">
      <c r="A288">
        <v>422</v>
      </c>
      <c r="B288">
        <v>0</v>
      </c>
      <c r="C288" t="s">
        <v>138</v>
      </c>
      <c r="E288" s="189"/>
      <c r="F288">
        <v>0</v>
      </c>
      <c r="G288">
        <v>0</v>
      </c>
      <c r="H288">
        <v>0</v>
      </c>
      <c r="I288">
        <v>0</v>
      </c>
      <c r="K288">
        <v>0</v>
      </c>
      <c r="M288">
        <v>0</v>
      </c>
      <c r="O288">
        <v>0</v>
      </c>
      <c r="Q288">
        <v>0</v>
      </c>
      <c r="S288">
        <v>0</v>
      </c>
      <c r="T288">
        <v>5</v>
      </c>
      <c r="U288" s="187">
        <v>41303.448611111111</v>
      </c>
    </row>
    <row r="289" spans="1:21">
      <c r="A289">
        <v>423</v>
      </c>
      <c r="B289">
        <v>0</v>
      </c>
      <c r="C289" t="s">
        <v>422</v>
      </c>
      <c r="E289" s="189"/>
      <c r="F289">
        <v>0</v>
      </c>
      <c r="G289">
        <v>0</v>
      </c>
      <c r="H289">
        <v>0</v>
      </c>
      <c r="I289">
        <v>0</v>
      </c>
      <c r="K289">
        <v>0</v>
      </c>
      <c r="M289">
        <v>0</v>
      </c>
      <c r="O289">
        <v>0</v>
      </c>
      <c r="Q289">
        <v>0</v>
      </c>
      <c r="S289">
        <v>0</v>
      </c>
      <c r="T289">
        <v>5</v>
      </c>
      <c r="U289" s="187">
        <v>41330.536111111112</v>
      </c>
    </row>
    <row r="290" spans="1:21">
      <c r="A290">
        <v>424</v>
      </c>
      <c r="B290">
        <v>0</v>
      </c>
      <c r="C290" t="s">
        <v>423</v>
      </c>
      <c r="E290" s="189"/>
      <c r="F290">
        <v>0</v>
      </c>
      <c r="G290">
        <v>0</v>
      </c>
      <c r="H290">
        <v>0</v>
      </c>
      <c r="I290">
        <v>0</v>
      </c>
      <c r="K290">
        <v>0</v>
      </c>
      <c r="M290">
        <v>0</v>
      </c>
      <c r="O290">
        <v>0</v>
      </c>
      <c r="Q290">
        <v>0</v>
      </c>
      <c r="S290">
        <v>0</v>
      </c>
      <c r="T290">
        <v>5</v>
      </c>
      <c r="U290" s="187">
        <v>41332.54791666667</v>
      </c>
    </row>
    <row r="291" spans="1:21">
      <c r="A291">
        <v>425</v>
      </c>
      <c r="B291">
        <v>0</v>
      </c>
      <c r="C291" t="s">
        <v>424</v>
      </c>
      <c r="E291" s="189"/>
      <c r="F291">
        <v>0</v>
      </c>
      <c r="G291">
        <v>0</v>
      </c>
      <c r="H291">
        <v>0</v>
      </c>
      <c r="I291">
        <v>0</v>
      </c>
      <c r="K291">
        <v>0</v>
      </c>
      <c r="M291">
        <v>0</v>
      </c>
      <c r="O291">
        <v>0</v>
      </c>
      <c r="Q291">
        <v>0</v>
      </c>
      <c r="S291">
        <v>0</v>
      </c>
      <c r="T291">
        <v>5</v>
      </c>
      <c r="U291" s="187">
        <v>41333.504166666673</v>
      </c>
    </row>
    <row r="292" spans="1:21">
      <c r="A292">
        <v>426</v>
      </c>
      <c r="B292">
        <v>0</v>
      </c>
      <c r="C292" t="s">
        <v>425</v>
      </c>
      <c r="E292" s="189"/>
      <c r="F292">
        <v>0</v>
      </c>
      <c r="G292">
        <v>0</v>
      </c>
      <c r="H292">
        <v>0</v>
      </c>
      <c r="I292">
        <v>0</v>
      </c>
      <c r="K292">
        <v>0</v>
      </c>
      <c r="M292">
        <v>0</v>
      </c>
      <c r="O292">
        <v>0</v>
      </c>
      <c r="Q292">
        <v>0</v>
      </c>
      <c r="S292">
        <v>0</v>
      </c>
      <c r="T292">
        <v>5</v>
      </c>
      <c r="U292" s="187">
        <v>41333.504166666673</v>
      </c>
    </row>
    <row r="293" spans="1:21">
      <c r="A293">
        <v>427</v>
      </c>
      <c r="B293">
        <v>0</v>
      </c>
      <c r="C293" t="s">
        <v>426</v>
      </c>
      <c r="D293" t="s">
        <v>427</v>
      </c>
      <c r="E293" s="189"/>
      <c r="F293">
        <v>0</v>
      </c>
      <c r="G293">
        <v>0</v>
      </c>
      <c r="H293">
        <v>0</v>
      </c>
      <c r="I293">
        <v>0</v>
      </c>
      <c r="K293">
        <v>0</v>
      </c>
      <c r="M293">
        <v>0</v>
      </c>
      <c r="O293">
        <v>0</v>
      </c>
      <c r="Q293">
        <v>0</v>
      </c>
      <c r="S293">
        <v>0</v>
      </c>
      <c r="T293">
        <v>5</v>
      </c>
      <c r="U293" s="187">
        <v>41338.46875</v>
      </c>
    </row>
    <row r="294" spans="1:21">
      <c r="A294">
        <v>430</v>
      </c>
      <c r="B294">
        <v>1</v>
      </c>
      <c r="C294" t="s">
        <v>428</v>
      </c>
      <c r="D294" t="s">
        <v>428</v>
      </c>
      <c r="E294" s="189"/>
      <c r="F294">
        <v>431</v>
      </c>
      <c r="G294">
        <v>1</v>
      </c>
      <c r="H294">
        <v>2</v>
      </c>
      <c r="I294">
        <v>0</v>
      </c>
      <c r="J294" t="s">
        <v>72</v>
      </c>
      <c r="K294">
        <v>1</v>
      </c>
      <c r="M294">
        <v>0</v>
      </c>
      <c r="O294">
        <v>0</v>
      </c>
      <c r="Q294">
        <v>0</v>
      </c>
      <c r="S294">
        <v>0</v>
      </c>
      <c r="T294">
        <v>2</v>
      </c>
      <c r="U294" s="187">
        <v>43474.438888888893</v>
      </c>
    </row>
    <row r="295" spans="1:21">
      <c r="A295">
        <v>431</v>
      </c>
      <c r="B295">
        <v>1</v>
      </c>
      <c r="C295" t="s">
        <v>207</v>
      </c>
      <c r="D295" t="s">
        <v>428</v>
      </c>
      <c r="E295" s="189"/>
      <c r="F295">
        <v>431</v>
      </c>
      <c r="G295">
        <v>1</v>
      </c>
      <c r="H295">
        <v>2</v>
      </c>
      <c r="I295">
        <v>0</v>
      </c>
      <c r="J295" t="s">
        <v>72</v>
      </c>
      <c r="K295">
        <v>1</v>
      </c>
      <c r="M295">
        <v>0</v>
      </c>
      <c r="O295">
        <v>0</v>
      </c>
      <c r="Q295">
        <v>0</v>
      </c>
      <c r="S295">
        <v>0</v>
      </c>
      <c r="T295">
        <v>2</v>
      </c>
      <c r="U295" s="187">
        <v>41383.786111111112</v>
      </c>
    </row>
    <row r="296" spans="1:21">
      <c r="A296">
        <v>432</v>
      </c>
      <c r="B296">
        <v>1</v>
      </c>
      <c r="C296" t="s">
        <v>429</v>
      </c>
      <c r="D296" t="s">
        <v>430</v>
      </c>
      <c r="E296" s="189"/>
      <c r="F296">
        <v>0</v>
      </c>
      <c r="G296">
        <v>1</v>
      </c>
      <c r="H296">
        <v>0</v>
      </c>
      <c r="I296">
        <v>0</v>
      </c>
      <c r="K296">
        <v>0</v>
      </c>
      <c r="M296">
        <v>0</v>
      </c>
      <c r="O296">
        <v>0</v>
      </c>
      <c r="Q296">
        <v>0</v>
      </c>
      <c r="S296">
        <v>0</v>
      </c>
      <c r="T296">
        <v>2</v>
      </c>
      <c r="U296" s="187">
        <v>42178.476388888892</v>
      </c>
    </row>
    <row r="297" spans="1:21">
      <c r="A297">
        <v>433</v>
      </c>
      <c r="B297">
        <v>0</v>
      </c>
      <c r="C297" t="s">
        <v>431</v>
      </c>
      <c r="E297" s="189"/>
      <c r="F297">
        <v>0</v>
      </c>
      <c r="G297">
        <v>0</v>
      </c>
      <c r="H297">
        <v>0</v>
      </c>
      <c r="I297">
        <v>0</v>
      </c>
      <c r="K297">
        <v>0</v>
      </c>
      <c r="M297">
        <v>0</v>
      </c>
      <c r="O297">
        <v>0</v>
      </c>
      <c r="Q297">
        <v>0</v>
      </c>
      <c r="S297">
        <v>0</v>
      </c>
      <c r="T297">
        <v>5</v>
      </c>
      <c r="U297" s="187">
        <v>41478.56527777778</v>
      </c>
    </row>
    <row r="298" spans="1:21">
      <c r="A298">
        <v>434</v>
      </c>
      <c r="B298">
        <v>1</v>
      </c>
      <c r="C298" t="s">
        <v>432</v>
      </c>
      <c r="D298" t="s">
        <v>432</v>
      </c>
      <c r="E298" s="189"/>
      <c r="F298">
        <v>0</v>
      </c>
      <c r="G298">
        <v>1</v>
      </c>
      <c r="H298">
        <v>0</v>
      </c>
      <c r="I298">
        <v>0</v>
      </c>
      <c r="K298">
        <v>0</v>
      </c>
      <c r="M298">
        <v>0</v>
      </c>
      <c r="O298">
        <v>0</v>
      </c>
      <c r="Q298">
        <v>0</v>
      </c>
      <c r="S298">
        <v>0</v>
      </c>
      <c r="T298">
        <v>2</v>
      </c>
      <c r="U298" s="187">
        <v>45216.575694444437</v>
      </c>
    </row>
    <row r="299" spans="1:21">
      <c r="A299">
        <v>435</v>
      </c>
      <c r="B299">
        <v>0</v>
      </c>
      <c r="C299" t="s">
        <v>433</v>
      </c>
      <c r="E299" s="189"/>
      <c r="F299">
        <v>0</v>
      </c>
      <c r="G299">
        <v>0</v>
      </c>
      <c r="H299">
        <v>0</v>
      </c>
      <c r="I299">
        <v>0</v>
      </c>
      <c r="K299">
        <v>0</v>
      </c>
      <c r="M299">
        <v>0</v>
      </c>
      <c r="O299">
        <v>0</v>
      </c>
      <c r="Q299">
        <v>0</v>
      </c>
      <c r="S299">
        <v>0</v>
      </c>
      <c r="T299">
        <v>5</v>
      </c>
      <c r="U299" s="187">
        <v>41512.532638888893</v>
      </c>
    </row>
    <row r="300" spans="1:21">
      <c r="A300">
        <v>436</v>
      </c>
      <c r="B300">
        <v>0</v>
      </c>
      <c r="C300" t="s">
        <v>434</v>
      </c>
      <c r="E300" s="189"/>
      <c r="F300">
        <v>0</v>
      </c>
      <c r="G300">
        <v>0</v>
      </c>
      <c r="H300">
        <v>0</v>
      </c>
      <c r="I300">
        <v>0</v>
      </c>
      <c r="K300">
        <v>0</v>
      </c>
      <c r="M300">
        <v>0</v>
      </c>
      <c r="O300">
        <v>0</v>
      </c>
      <c r="Q300">
        <v>0</v>
      </c>
      <c r="S300">
        <v>0</v>
      </c>
      <c r="T300">
        <v>5</v>
      </c>
      <c r="U300" s="187">
        <v>41512.533333333333</v>
      </c>
    </row>
    <row r="301" spans="1:21">
      <c r="A301">
        <v>438</v>
      </c>
      <c r="B301">
        <v>0</v>
      </c>
      <c r="C301" t="s">
        <v>435</v>
      </c>
      <c r="E301" s="189"/>
      <c r="F301">
        <v>0</v>
      </c>
      <c r="G301">
        <v>0</v>
      </c>
      <c r="H301">
        <v>0</v>
      </c>
      <c r="I301">
        <v>0</v>
      </c>
      <c r="K301">
        <v>0</v>
      </c>
      <c r="M301">
        <v>0</v>
      </c>
      <c r="O301">
        <v>0</v>
      </c>
      <c r="Q301">
        <v>0</v>
      </c>
      <c r="S301">
        <v>0</v>
      </c>
      <c r="T301">
        <v>5</v>
      </c>
      <c r="U301" s="187">
        <v>41512.534722222219</v>
      </c>
    </row>
    <row r="302" spans="1:21">
      <c r="A302">
        <v>439</v>
      </c>
      <c r="B302">
        <v>0</v>
      </c>
      <c r="C302" t="s">
        <v>436</v>
      </c>
      <c r="E302" s="189"/>
      <c r="F302">
        <v>0</v>
      </c>
      <c r="G302">
        <v>0</v>
      </c>
      <c r="H302">
        <v>0</v>
      </c>
      <c r="I302">
        <v>0</v>
      </c>
      <c r="K302">
        <v>0</v>
      </c>
      <c r="M302">
        <v>0</v>
      </c>
      <c r="O302">
        <v>0</v>
      </c>
      <c r="Q302">
        <v>0</v>
      </c>
      <c r="S302">
        <v>0</v>
      </c>
      <c r="T302">
        <v>5</v>
      </c>
      <c r="U302" s="187">
        <v>41522.586805555547</v>
      </c>
    </row>
    <row r="303" spans="1:21">
      <c r="A303">
        <v>440</v>
      </c>
      <c r="B303">
        <v>0</v>
      </c>
      <c r="C303" t="s">
        <v>437</v>
      </c>
      <c r="E303" s="189"/>
      <c r="F303">
        <v>0</v>
      </c>
      <c r="G303">
        <v>0</v>
      </c>
      <c r="H303">
        <v>0</v>
      </c>
      <c r="I303">
        <v>0</v>
      </c>
      <c r="K303">
        <v>0</v>
      </c>
      <c r="M303">
        <v>0</v>
      </c>
      <c r="O303">
        <v>0</v>
      </c>
      <c r="Q303">
        <v>0</v>
      </c>
      <c r="S303">
        <v>0</v>
      </c>
      <c r="T303">
        <v>5</v>
      </c>
      <c r="U303" s="187">
        <v>41522.588888888888</v>
      </c>
    </row>
    <row r="304" spans="1:21">
      <c r="A304">
        <v>441</v>
      </c>
      <c r="B304">
        <v>0</v>
      </c>
      <c r="C304" t="s">
        <v>438</v>
      </c>
      <c r="E304" s="189"/>
      <c r="F304">
        <v>0</v>
      </c>
      <c r="G304">
        <v>0</v>
      </c>
      <c r="H304">
        <v>0</v>
      </c>
      <c r="I304">
        <v>0</v>
      </c>
      <c r="K304">
        <v>0</v>
      </c>
      <c r="M304">
        <v>0</v>
      </c>
      <c r="O304">
        <v>0</v>
      </c>
      <c r="Q304">
        <v>0</v>
      </c>
      <c r="S304">
        <v>0</v>
      </c>
      <c r="T304">
        <v>5</v>
      </c>
      <c r="U304" s="187">
        <v>41527.534722222219</v>
      </c>
    </row>
    <row r="305" spans="1:21">
      <c r="A305">
        <v>442</v>
      </c>
      <c r="B305">
        <v>0</v>
      </c>
      <c r="C305" t="s">
        <v>439</v>
      </c>
      <c r="E305" s="189"/>
      <c r="F305">
        <v>0</v>
      </c>
      <c r="G305">
        <v>0</v>
      </c>
      <c r="H305">
        <v>0</v>
      </c>
      <c r="I305">
        <v>0</v>
      </c>
      <c r="K305">
        <v>0</v>
      </c>
      <c r="M305">
        <v>0</v>
      </c>
      <c r="O305">
        <v>0</v>
      </c>
      <c r="Q305">
        <v>0</v>
      </c>
      <c r="S305">
        <v>0</v>
      </c>
      <c r="T305">
        <v>5</v>
      </c>
      <c r="U305" s="187">
        <v>41527.534722222219</v>
      </c>
    </row>
    <row r="306" spans="1:21">
      <c r="A306">
        <v>443</v>
      </c>
      <c r="B306">
        <v>0</v>
      </c>
      <c r="C306" t="s">
        <v>440</v>
      </c>
      <c r="E306" s="189"/>
      <c r="F306">
        <v>0</v>
      </c>
      <c r="G306">
        <v>0</v>
      </c>
      <c r="H306">
        <v>0</v>
      </c>
      <c r="I306">
        <v>0</v>
      </c>
      <c r="K306">
        <v>0</v>
      </c>
      <c r="M306">
        <v>0</v>
      </c>
      <c r="O306">
        <v>0</v>
      </c>
      <c r="Q306">
        <v>0</v>
      </c>
      <c r="S306">
        <v>0</v>
      </c>
      <c r="T306">
        <v>2</v>
      </c>
      <c r="U306" s="187">
        <v>42178.479861111111</v>
      </c>
    </row>
    <row r="307" spans="1:21">
      <c r="A307">
        <v>444</v>
      </c>
      <c r="B307">
        <v>0</v>
      </c>
      <c r="C307" t="s">
        <v>441</v>
      </c>
      <c r="E307" s="189"/>
      <c r="F307">
        <v>0</v>
      </c>
      <c r="G307">
        <v>0</v>
      </c>
      <c r="H307">
        <v>0</v>
      </c>
      <c r="I307">
        <v>0</v>
      </c>
      <c r="K307">
        <v>0</v>
      </c>
      <c r="M307">
        <v>0</v>
      </c>
      <c r="O307">
        <v>0</v>
      </c>
      <c r="Q307">
        <v>0</v>
      </c>
      <c r="S307">
        <v>0</v>
      </c>
      <c r="T307">
        <v>5</v>
      </c>
      <c r="U307" s="187">
        <v>41534.566666666673</v>
      </c>
    </row>
    <row r="308" spans="1:21">
      <c r="A308">
        <v>445</v>
      </c>
      <c r="B308">
        <v>0</v>
      </c>
      <c r="C308" t="s">
        <v>442</v>
      </c>
      <c r="E308" s="189"/>
      <c r="F308">
        <v>0</v>
      </c>
      <c r="G308">
        <v>0</v>
      </c>
      <c r="H308">
        <v>0</v>
      </c>
      <c r="I308">
        <v>0</v>
      </c>
      <c r="K308">
        <v>0</v>
      </c>
      <c r="M308">
        <v>0</v>
      </c>
      <c r="O308">
        <v>0</v>
      </c>
      <c r="Q308">
        <v>0</v>
      </c>
      <c r="S308">
        <v>0</v>
      </c>
      <c r="T308">
        <v>5</v>
      </c>
      <c r="U308" s="187">
        <v>41535.584027777782</v>
      </c>
    </row>
    <row r="309" spans="1:21">
      <c r="A309">
        <v>446</v>
      </c>
      <c r="B309">
        <v>0</v>
      </c>
      <c r="C309" t="s">
        <v>443</v>
      </c>
      <c r="E309" s="189"/>
      <c r="F309">
        <v>0</v>
      </c>
      <c r="G309">
        <v>0</v>
      </c>
      <c r="H309">
        <v>0</v>
      </c>
      <c r="I309">
        <v>0</v>
      </c>
      <c r="K309">
        <v>0</v>
      </c>
      <c r="M309">
        <v>0</v>
      </c>
      <c r="O309">
        <v>0</v>
      </c>
      <c r="Q309">
        <v>0</v>
      </c>
      <c r="S309">
        <v>0</v>
      </c>
      <c r="T309">
        <v>5</v>
      </c>
      <c r="U309" s="187">
        <v>41535.584722222222</v>
      </c>
    </row>
    <row r="310" spans="1:21">
      <c r="A310">
        <v>447</v>
      </c>
      <c r="B310">
        <v>0</v>
      </c>
      <c r="C310" t="s">
        <v>444</v>
      </c>
      <c r="E310" s="189"/>
      <c r="F310">
        <v>0</v>
      </c>
      <c r="G310">
        <v>0</v>
      </c>
      <c r="H310">
        <v>0</v>
      </c>
      <c r="I310">
        <v>0</v>
      </c>
      <c r="K310">
        <v>0</v>
      </c>
      <c r="M310">
        <v>0</v>
      </c>
      <c r="O310">
        <v>0</v>
      </c>
      <c r="Q310">
        <v>0</v>
      </c>
      <c r="S310">
        <v>0</v>
      </c>
      <c r="T310">
        <v>5</v>
      </c>
      <c r="U310" s="187">
        <v>41554.56527777778</v>
      </c>
    </row>
    <row r="311" spans="1:21">
      <c r="A311">
        <v>448</v>
      </c>
      <c r="B311">
        <v>0</v>
      </c>
      <c r="C311" t="s">
        <v>445</v>
      </c>
      <c r="E311" s="189"/>
      <c r="F311">
        <v>0</v>
      </c>
      <c r="G311">
        <v>0</v>
      </c>
      <c r="H311">
        <v>0</v>
      </c>
      <c r="I311">
        <v>0</v>
      </c>
      <c r="K311">
        <v>0</v>
      </c>
      <c r="M311">
        <v>0</v>
      </c>
      <c r="O311">
        <v>0</v>
      </c>
      <c r="Q311">
        <v>0</v>
      </c>
      <c r="S311">
        <v>0</v>
      </c>
      <c r="T311">
        <v>5</v>
      </c>
      <c r="U311" s="187">
        <v>41554.565972222219</v>
      </c>
    </row>
    <row r="312" spans="1:21">
      <c r="A312">
        <v>451</v>
      </c>
      <c r="B312">
        <v>0</v>
      </c>
      <c r="C312" t="s">
        <v>446</v>
      </c>
      <c r="E312" s="189"/>
      <c r="F312">
        <v>0</v>
      </c>
      <c r="G312">
        <v>0</v>
      </c>
      <c r="H312">
        <v>0</v>
      </c>
      <c r="I312">
        <v>0</v>
      </c>
      <c r="K312">
        <v>0</v>
      </c>
      <c r="M312">
        <v>0</v>
      </c>
      <c r="O312">
        <v>0</v>
      </c>
      <c r="Q312">
        <v>0</v>
      </c>
      <c r="S312">
        <v>0</v>
      </c>
      <c r="T312">
        <v>2</v>
      </c>
      <c r="U312" s="187">
        <v>41977.621527777781</v>
      </c>
    </row>
    <row r="313" spans="1:21">
      <c r="A313">
        <v>452</v>
      </c>
      <c r="B313">
        <v>0</v>
      </c>
      <c r="C313" t="s">
        <v>447</v>
      </c>
      <c r="E313" s="189"/>
      <c r="F313">
        <v>0</v>
      </c>
      <c r="G313">
        <v>0</v>
      </c>
      <c r="H313">
        <v>0</v>
      </c>
      <c r="I313">
        <v>0</v>
      </c>
      <c r="K313">
        <v>0</v>
      </c>
      <c r="M313">
        <v>0</v>
      </c>
      <c r="O313">
        <v>0</v>
      </c>
      <c r="Q313">
        <v>0</v>
      </c>
      <c r="S313">
        <v>0</v>
      </c>
      <c r="T313">
        <v>2</v>
      </c>
      <c r="U313" s="187">
        <v>41977.621527777781</v>
      </c>
    </row>
    <row r="314" spans="1:21">
      <c r="A314">
        <v>453</v>
      </c>
      <c r="B314">
        <v>0</v>
      </c>
      <c r="C314" t="s">
        <v>448</v>
      </c>
      <c r="E314" s="189"/>
      <c r="F314">
        <v>0</v>
      </c>
      <c r="G314">
        <v>0</v>
      </c>
      <c r="H314">
        <v>0</v>
      </c>
      <c r="I314">
        <v>0</v>
      </c>
      <c r="K314">
        <v>0</v>
      </c>
      <c r="M314">
        <v>0</v>
      </c>
      <c r="O314">
        <v>0</v>
      </c>
      <c r="Q314">
        <v>0</v>
      </c>
      <c r="S314">
        <v>0</v>
      </c>
      <c r="T314">
        <v>2</v>
      </c>
      <c r="U314" s="187">
        <v>41977.621527777781</v>
      </c>
    </row>
    <row r="315" spans="1:21">
      <c r="A315">
        <v>454</v>
      </c>
      <c r="B315">
        <v>1</v>
      </c>
      <c r="C315" t="s">
        <v>449</v>
      </c>
      <c r="D315" t="s">
        <v>449</v>
      </c>
      <c r="E315" s="189"/>
      <c r="F315">
        <v>0</v>
      </c>
      <c r="G315">
        <v>1</v>
      </c>
      <c r="H315">
        <v>0</v>
      </c>
      <c r="I315">
        <v>0</v>
      </c>
      <c r="K315">
        <v>0</v>
      </c>
      <c r="M315">
        <v>0</v>
      </c>
      <c r="O315">
        <v>0</v>
      </c>
      <c r="Q315">
        <v>0</v>
      </c>
      <c r="S315">
        <v>0</v>
      </c>
      <c r="T315">
        <v>2</v>
      </c>
      <c r="U315" s="187">
        <v>45216.574999999997</v>
      </c>
    </row>
    <row r="316" spans="1:21">
      <c r="A316">
        <v>455</v>
      </c>
      <c r="B316">
        <v>0</v>
      </c>
      <c r="C316" t="s">
        <v>450</v>
      </c>
      <c r="E316" s="189"/>
      <c r="F316">
        <v>0</v>
      </c>
      <c r="G316">
        <v>0</v>
      </c>
      <c r="H316">
        <v>0</v>
      </c>
      <c r="I316">
        <v>0</v>
      </c>
      <c r="K316">
        <v>0</v>
      </c>
      <c r="M316">
        <v>0</v>
      </c>
      <c r="O316">
        <v>0</v>
      </c>
      <c r="Q316">
        <v>0</v>
      </c>
      <c r="S316">
        <v>0</v>
      </c>
      <c r="T316">
        <v>5</v>
      </c>
      <c r="U316" s="187">
        <v>41575.570833333331</v>
      </c>
    </row>
    <row r="317" spans="1:21">
      <c r="A317">
        <v>456</v>
      </c>
      <c r="B317">
        <v>0</v>
      </c>
      <c r="C317" t="s">
        <v>451</v>
      </c>
      <c r="E317" s="189"/>
      <c r="F317">
        <v>0</v>
      </c>
      <c r="G317">
        <v>0</v>
      </c>
      <c r="H317">
        <v>0</v>
      </c>
      <c r="I317">
        <v>0</v>
      </c>
      <c r="K317">
        <v>0</v>
      </c>
      <c r="M317">
        <v>0</v>
      </c>
      <c r="O317">
        <v>0</v>
      </c>
      <c r="Q317">
        <v>0</v>
      </c>
      <c r="S317">
        <v>0</v>
      </c>
      <c r="T317">
        <v>5</v>
      </c>
      <c r="U317" s="187">
        <v>41575.570833333331</v>
      </c>
    </row>
    <row r="318" spans="1:21">
      <c r="A318">
        <v>457</v>
      </c>
      <c r="B318">
        <v>1</v>
      </c>
      <c r="C318" t="s">
        <v>452</v>
      </c>
      <c r="D318" t="s">
        <v>452</v>
      </c>
      <c r="E318" s="189"/>
      <c r="F318">
        <v>603</v>
      </c>
      <c r="G318">
        <v>1</v>
      </c>
      <c r="H318">
        <v>0</v>
      </c>
      <c r="I318">
        <v>42</v>
      </c>
      <c r="K318">
        <v>0</v>
      </c>
      <c r="M318">
        <v>0</v>
      </c>
      <c r="O318">
        <v>0</v>
      </c>
      <c r="Q318">
        <v>0</v>
      </c>
      <c r="S318">
        <v>0</v>
      </c>
      <c r="T318">
        <v>4</v>
      </c>
      <c r="U318" s="187">
        <v>45226.444444444453</v>
      </c>
    </row>
    <row r="319" spans="1:21">
      <c r="A319">
        <v>458</v>
      </c>
      <c r="B319">
        <v>0</v>
      </c>
      <c r="C319" t="s">
        <v>453</v>
      </c>
      <c r="E319" s="189"/>
      <c r="F319">
        <v>0</v>
      </c>
      <c r="G319">
        <v>0</v>
      </c>
      <c r="H319">
        <v>0</v>
      </c>
      <c r="I319">
        <v>0</v>
      </c>
      <c r="K319">
        <v>0</v>
      </c>
      <c r="M319">
        <v>0</v>
      </c>
      <c r="O319">
        <v>0</v>
      </c>
      <c r="Q319">
        <v>0</v>
      </c>
      <c r="S319">
        <v>0</v>
      </c>
      <c r="T319">
        <v>5</v>
      </c>
      <c r="U319" s="187">
        <v>41575.572222222218</v>
      </c>
    </row>
    <row r="320" spans="1:21">
      <c r="A320">
        <v>459</v>
      </c>
      <c r="B320">
        <v>0</v>
      </c>
      <c r="C320" t="s">
        <v>454</v>
      </c>
      <c r="E320" s="189"/>
      <c r="F320">
        <v>0</v>
      </c>
      <c r="G320">
        <v>0</v>
      </c>
      <c r="H320">
        <v>0</v>
      </c>
      <c r="I320">
        <v>0</v>
      </c>
      <c r="K320">
        <v>0</v>
      </c>
      <c r="M320">
        <v>0</v>
      </c>
      <c r="O320">
        <v>0</v>
      </c>
      <c r="Q320">
        <v>0</v>
      </c>
      <c r="S320">
        <v>0</v>
      </c>
      <c r="T320">
        <v>3</v>
      </c>
      <c r="U320" s="187">
        <v>41834.582638888889</v>
      </c>
    </row>
    <row r="321" spans="1:21">
      <c r="A321">
        <v>460</v>
      </c>
      <c r="B321">
        <v>1</v>
      </c>
      <c r="C321" t="s">
        <v>455</v>
      </c>
      <c r="D321" t="s">
        <v>456</v>
      </c>
      <c r="E321" s="189"/>
      <c r="F321">
        <v>463</v>
      </c>
      <c r="G321">
        <v>1</v>
      </c>
      <c r="H321">
        <v>0</v>
      </c>
      <c r="I321">
        <v>0</v>
      </c>
      <c r="J321" t="s">
        <v>18</v>
      </c>
      <c r="K321">
        <v>0</v>
      </c>
      <c r="L321" t="s">
        <v>156</v>
      </c>
      <c r="M321">
        <v>0</v>
      </c>
      <c r="N321" t="s">
        <v>157</v>
      </c>
      <c r="O321">
        <v>0</v>
      </c>
      <c r="P321" t="s">
        <v>457</v>
      </c>
      <c r="Q321">
        <v>0</v>
      </c>
      <c r="R321" t="s">
        <v>458</v>
      </c>
      <c r="S321">
        <v>0</v>
      </c>
      <c r="T321">
        <v>2</v>
      </c>
      <c r="U321" s="187">
        <v>45097.559027777781</v>
      </c>
    </row>
    <row r="322" spans="1:21">
      <c r="A322">
        <v>461</v>
      </c>
      <c r="B322">
        <v>0</v>
      </c>
      <c r="C322" t="s">
        <v>459</v>
      </c>
      <c r="E322" s="189"/>
      <c r="F322">
        <v>0</v>
      </c>
      <c r="G322">
        <v>0</v>
      </c>
      <c r="H322">
        <v>0</v>
      </c>
      <c r="I322">
        <v>0</v>
      </c>
      <c r="K322">
        <v>0</v>
      </c>
      <c r="M322">
        <v>0</v>
      </c>
      <c r="O322">
        <v>0</v>
      </c>
      <c r="Q322">
        <v>0</v>
      </c>
      <c r="S322">
        <v>0</v>
      </c>
      <c r="T322">
        <v>5</v>
      </c>
      <c r="U322" s="187">
        <v>41718.425694444442</v>
      </c>
    </row>
    <row r="323" spans="1:21">
      <c r="A323">
        <v>462</v>
      </c>
      <c r="B323">
        <v>0</v>
      </c>
      <c r="C323" t="s">
        <v>460</v>
      </c>
      <c r="E323" s="189"/>
      <c r="F323">
        <v>0</v>
      </c>
      <c r="G323">
        <v>0</v>
      </c>
      <c r="H323">
        <v>0</v>
      </c>
      <c r="I323">
        <v>0</v>
      </c>
      <c r="K323">
        <v>0</v>
      </c>
      <c r="M323">
        <v>0</v>
      </c>
      <c r="O323">
        <v>0</v>
      </c>
      <c r="Q323">
        <v>0</v>
      </c>
      <c r="S323">
        <v>0</v>
      </c>
      <c r="T323">
        <v>5</v>
      </c>
      <c r="U323" s="187">
        <v>41718.426388888889</v>
      </c>
    </row>
    <row r="324" spans="1:21">
      <c r="A324">
        <v>463</v>
      </c>
      <c r="B324">
        <v>1</v>
      </c>
      <c r="C324" t="s">
        <v>461</v>
      </c>
      <c r="D324" t="s">
        <v>456</v>
      </c>
      <c r="E324" s="189"/>
      <c r="F324">
        <v>0</v>
      </c>
      <c r="G324">
        <v>1</v>
      </c>
      <c r="H324">
        <v>0</v>
      </c>
      <c r="I324">
        <v>0</v>
      </c>
      <c r="K324">
        <v>0</v>
      </c>
      <c r="M324">
        <v>0</v>
      </c>
      <c r="O324">
        <v>0</v>
      </c>
      <c r="Q324">
        <v>0</v>
      </c>
      <c r="S324">
        <v>0</v>
      </c>
      <c r="T324">
        <v>2</v>
      </c>
      <c r="U324" s="187">
        <v>41789.540277777778</v>
      </c>
    </row>
    <row r="325" spans="1:21">
      <c r="A325">
        <v>464</v>
      </c>
      <c r="B325">
        <v>1</v>
      </c>
      <c r="C325" t="s">
        <v>462</v>
      </c>
      <c r="D325" t="s">
        <v>7</v>
      </c>
      <c r="E325" s="189"/>
      <c r="F325">
        <v>465</v>
      </c>
      <c r="G325">
        <v>1</v>
      </c>
      <c r="H325">
        <v>1</v>
      </c>
      <c r="I325">
        <v>20</v>
      </c>
      <c r="K325">
        <v>0</v>
      </c>
      <c r="M325">
        <v>0</v>
      </c>
      <c r="O325">
        <v>0</v>
      </c>
      <c r="Q325">
        <v>0</v>
      </c>
      <c r="S325">
        <v>0</v>
      </c>
      <c r="T325">
        <v>4</v>
      </c>
      <c r="U325" s="187">
        <v>45583.434027777781</v>
      </c>
    </row>
    <row r="326" spans="1:21">
      <c r="A326">
        <v>465</v>
      </c>
      <c r="B326">
        <v>1</v>
      </c>
      <c r="C326" t="s">
        <v>462</v>
      </c>
      <c r="D326" t="s">
        <v>463</v>
      </c>
      <c r="E326" s="189"/>
      <c r="F326">
        <v>0</v>
      </c>
      <c r="G326">
        <v>1</v>
      </c>
      <c r="H326">
        <v>1</v>
      </c>
      <c r="I326">
        <v>15</v>
      </c>
      <c r="K326">
        <v>0</v>
      </c>
      <c r="M326">
        <v>0</v>
      </c>
      <c r="O326">
        <v>0</v>
      </c>
      <c r="Q326">
        <v>0</v>
      </c>
      <c r="S326">
        <v>0</v>
      </c>
      <c r="T326">
        <v>2</v>
      </c>
      <c r="U326" s="187">
        <v>42286.698611111111</v>
      </c>
    </row>
    <row r="327" spans="1:21">
      <c r="A327">
        <v>466</v>
      </c>
      <c r="B327">
        <v>1</v>
      </c>
      <c r="C327" t="s">
        <v>464</v>
      </c>
      <c r="D327" t="s">
        <v>253</v>
      </c>
      <c r="E327" s="189"/>
      <c r="F327">
        <v>0</v>
      </c>
      <c r="G327">
        <v>0</v>
      </c>
      <c r="H327">
        <v>0</v>
      </c>
      <c r="I327">
        <v>0</v>
      </c>
      <c r="K327">
        <v>0</v>
      </c>
      <c r="M327">
        <v>0</v>
      </c>
      <c r="O327">
        <v>0</v>
      </c>
      <c r="Q327">
        <v>0</v>
      </c>
      <c r="S327">
        <v>0</v>
      </c>
      <c r="T327">
        <v>2</v>
      </c>
      <c r="U327" s="187">
        <v>41948.513888888891</v>
      </c>
    </row>
    <row r="328" spans="1:21">
      <c r="A328">
        <v>467</v>
      </c>
      <c r="B328">
        <v>1</v>
      </c>
      <c r="C328" t="s">
        <v>465</v>
      </c>
      <c r="D328" t="s">
        <v>465</v>
      </c>
      <c r="E328" s="189"/>
      <c r="F328">
        <v>0</v>
      </c>
      <c r="G328">
        <v>0</v>
      </c>
      <c r="H328">
        <v>0</v>
      </c>
      <c r="I328">
        <v>0</v>
      </c>
      <c r="K328">
        <v>0</v>
      </c>
      <c r="M328">
        <v>0</v>
      </c>
      <c r="O328">
        <v>0</v>
      </c>
      <c r="Q328">
        <v>0</v>
      </c>
      <c r="S328">
        <v>0</v>
      </c>
      <c r="T328">
        <v>2</v>
      </c>
      <c r="U328" s="187">
        <v>41948.597916666673</v>
      </c>
    </row>
    <row r="329" spans="1:21">
      <c r="A329">
        <v>468</v>
      </c>
      <c r="B329">
        <v>1</v>
      </c>
      <c r="C329" t="s">
        <v>466</v>
      </c>
      <c r="D329" t="s">
        <v>466</v>
      </c>
      <c r="E329" s="189"/>
      <c r="F329">
        <v>0</v>
      </c>
      <c r="G329">
        <v>0</v>
      </c>
      <c r="H329">
        <v>0</v>
      </c>
      <c r="I329">
        <v>0</v>
      </c>
      <c r="K329">
        <v>0</v>
      </c>
      <c r="M329">
        <v>0</v>
      </c>
      <c r="O329">
        <v>0</v>
      </c>
      <c r="Q329">
        <v>0</v>
      </c>
      <c r="S329">
        <v>0</v>
      </c>
      <c r="T329">
        <v>2</v>
      </c>
      <c r="U329" s="187">
        <v>41948.597916666673</v>
      </c>
    </row>
    <row r="330" spans="1:21">
      <c r="A330">
        <v>469</v>
      </c>
      <c r="B330">
        <v>0</v>
      </c>
      <c r="C330" t="s">
        <v>467</v>
      </c>
      <c r="E330" s="189"/>
      <c r="F330">
        <v>0</v>
      </c>
      <c r="G330">
        <v>0</v>
      </c>
      <c r="H330">
        <v>0</v>
      </c>
      <c r="I330">
        <v>0</v>
      </c>
      <c r="K330">
        <v>0</v>
      </c>
      <c r="M330">
        <v>0</v>
      </c>
      <c r="O330">
        <v>0</v>
      </c>
      <c r="Q330">
        <v>0</v>
      </c>
      <c r="S330">
        <v>0</v>
      </c>
      <c r="T330">
        <v>6</v>
      </c>
      <c r="U330" s="187">
        <v>44741.589583333327</v>
      </c>
    </row>
    <row r="331" spans="1:21">
      <c r="A331">
        <v>470</v>
      </c>
      <c r="B331">
        <v>1</v>
      </c>
      <c r="C331" t="s">
        <v>468</v>
      </c>
      <c r="D331" t="s">
        <v>469</v>
      </c>
      <c r="E331" s="189"/>
      <c r="F331">
        <v>471</v>
      </c>
      <c r="G331">
        <v>1</v>
      </c>
      <c r="H331">
        <v>2</v>
      </c>
      <c r="I331">
        <v>0</v>
      </c>
      <c r="J331" t="s">
        <v>406</v>
      </c>
      <c r="K331">
        <v>0</v>
      </c>
      <c r="L331" t="s">
        <v>89</v>
      </c>
      <c r="M331">
        <v>0</v>
      </c>
      <c r="O331">
        <v>0</v>
      </c>
      <c r="Q331">
        <v>0</v>
      </c>
      <c r="S331">
        <v>0</v>
      </c>
      <c r="T331">
        <v>2</v>
      </c>
      <c r="U331" s="187">
        <v>43153.49722222222</v>
      </c>
    </row>
    <row r="332" spans="1:21">
      <c r="A332">
        <v>471</v>
      </c>
      <c r="B332">
        <v>0</v>
      </c>
      <c r="C332" t="s">
        <v>470</v>
      </c>
      <c r="D332" t="s">
        <v>470</v>
      </c>
      <c r="E332" s="189"/>
      <c r="F332">
        <v>0</v>
      </c>
      <c r="G332">
        <v>0</v>
      </c>
      <c r="H332">
        <v>0</v>
      </c>
      <c r="I332">
        <v>0</v>
      </c>
      <c r="K332">
        <v>0</v>
      </c>
      <c r="M332">
        <v>0</v>
      </c>
      <c r="O332">
        <v>0</v>
      </c>
      <c r="Q332">
        <v>0</v>
      </c>
      <c r="S332">
        <v>0</v>
      </c>
      <c r="T332">
        <v>2</v>
      </c>
      <c r="U332" s="187">
        <v>43153.49722222222</v>
      </c>
    </row>
    <row r="333" spans="1:21">
      <c r="A333">
        <v>472</v>
      </c>
      <c r="B333">
        <v>0</v>
      </c>
      <c r="C333" t="s">
        <v>471</v>
      </c>
      <c r="E333" s="189"/>
      <c r="F333">
        <v>0</v>
      </c>
      <c r="G333">
        <v>0</v>
      </c>
      <c r="H333">
        <v>0</v>
      </c>
      <c r="I333">
        <v>0</v>
      </c>
      <c r="K333">
        <v>0</v>
      </c>
      <c r="M333">
        <v>0</v>
      </c>
      <c r="O333">
        <v>0</v>
      </c>
      <c r="Q333">
        <v>0</v>
      </c>
      <c r="S333">
        <v>0</v>
      </c>
      <c r="T333">
        <v>2</v>
      </c>
      <c r="U333" s="187">
        <v>41977.624305555553</v>
      </c>
    </row>
    <row r="334" spans="1:21">
      <c r="A334">
        <v>473</v>
      </c>
      <c r="B334">
        <v>0</v>
      </c>
      <c r="C334" t="s">
        <v>472</v>
      </c>
      <c r="E334" s="189"/>
      <c r="F334">
        <v>0</v>
      </c>
      <c r="G334">
        <v>0</v>
      </c>
      <c r="H334">
        <v>0</v>
      </c>
      <c r="I334">
        <v>0</v>
      </c>
      <c r="K334">
        <v>0</v>
      </c>
      <c r="M334">
        <v>0</v>
      </c>
      <c r="O334">
        <v>0</v>
      </c>
      <c r="Q334">
        <v>0</v>
      </c>
      <c r="S334">
        <v>0</v>
      </c>
      <c r="T334">
        <v>2</v>
      </c>
      <c r="U334" s="187">
        <v>41977.622916666667</v>
      </c>
    </row>
    <row r="335" spans="1:21">
      <c r="A335">
        <v>474</v>
      </c>
      <c r="B335">
        <v>1</v>
      </c>
      <c r="C335" t="s">
        <v>473</v>
      </c>
      <c r="D335" t="s">
        <v>474</v>
      </c>
      <c r="E335" s="189"/>
      <c r="F335">
        <v>0</v>
      </c>
      <c r="G335">
        <v>1</v>
      </c>
      <c r="H335">
        <v>0</v>
      </c>
      <c r="I335">
        <v>0</v>
      </c>
      <c r="K335">
        <v>0</v>
      </c>
      <c r="M335">
        <v>0</v>
      </c>
      <c r="O335">
        <v>0</v>
      </c>
      <c r="Q335">
        <v>0</v>
      </c>
      <c r="S335">
        <v>0</v>
      </c>
      <c r="T335">
        <v>6</v>
      </c>
      <c r="U335" s="187">
        <v>44221.486805555563</v>
      </c>
    </row>
    <row r="336" spans="1:21">
      <c r="A336">
        <v>475</v>
      </c>
      <c r="B336">
        <v>1</v>
      </c>
      <c r="C336" t="s">
        <v>475</v>
      </c>
      <c r="D336" t="s">
        <v>476</v>
      </c>
      <c r="E336" s="189"/>
      <c r="F336">
        <v>0</v>
      </c>
      <c r="G336">
        <v>1</v>
      </c>
      <c r="H336">
        <v>0</v>
      </c>
      <c r="I336">
        <v>0</v>
      </c>
      <c r="K336">
        <v>0</v>
      </c>
      <c r="M336">
        <v>0</v>
      </c>
      <c r="O336">
        <v>0</v>
      </c>
      <c r="Q336">
        <v>0</v>
      </c>
      <c r="S336">
        <v>0</v>
      </c>
      <c r="T336">
        <v>2</v>
      </c>
      <c r="U336" s="187">
        <v>42026.43472222222</v>
      </c>
    </row>
    <row r="337" spans="1:21">
      <c r="A337">
        <v>476</v>
      </c>
      <c r="B337">
        <v>1</v>
      </c>
      <c r="C337" t="s">
        <v>348</v>
      </c>
      <c r="D337" t="s">
        <v>477</v>
      </c>
      <c r="E337" s="189"/>
      <c r="F337">
        <v>0</v>
      </c>
      <c r="G337">
        <v>1</v>
      </c>
      <c r="H337">
        <v>0</v>
      </c>
      <c r="I337">
        <v>0</v>
      </c>
      <c r="K337">
        <v>0</v>
      </c>
      <c r="M337">
        <v>0</v>
      </c>
      <c r="O337">
        <v>0</v>
      </c>
      <c r="Q337">
        <v>0</v>
      </c>
      <c r="S337">
        <v>0</v>
      </c>
      <c r="T337">
        <v>2</v>
      </c>
      <c r="U337" s="187">
        <v>42026.443055555559</v>
      </c>
    </row>
    <row r="338" spans="1:21">
      <c r="A338">
        <v>477</v>
      </c>
      <c r="B338">
        <v>1</v>
      </c>
      <c r="C338" t="s">
        <v>478</v>
      </c>
      <c r="D338" t="s">
        <v>478</v>
      </c>
      <c r="E338" s="189"/>
      <c r="F338">
        <v>0</v>
      </c>
      <c r="G338">
        <v>1</v>
      </c>
      <c r="H338">
        <v>0</v>
      </c>
      <c r="I338">
        <v>0</v>
      </c>
      <c r="K338">
        <v>0</v>
      </c>
      <c r="M338">
        <v>0</v>
      </c>
      <c r="O338">
        <v>0</v>
      </c>
      <c r="Q338">
        <v>0</v>
      </c>
      <c r="S338">
        <v>0</v>
      </c>
      <c r="T338">
        <v>2</v>
      </c>
      <c r="U338" s="187">
        <v>42026.443055555559</v>
      </c>
    </row>
    <row r="339" spans="1:21">
      <c r="A339">
        <v>478</v>
      </c>
      <c r="B339">
        <v>1</v>
      </c>
      <c r="C339" t="s">
        <v>479</v>
      </c>
      <c r="D339" t="s">
        <v>479</v>
      </c>
      <c r="E339" s="189"/>
      <c r="F339">
        <v>0</v>
      </c>
      <c r="G339">
        <v>1</v>
      </c>
      <c r="H339">
        <v>0</v>
      </c>
      <c r="I339">
        <v>0</v>
      </c>
      <c r="K339">
        <v>0</v>
      </c>
      <c r="M339">
        <v>0</v>
      </c>
      <c r="O339">
        <v>0</v>
      </c>
      <c r="Q339">
        <v>0</v>
      </c>
      <c r="S339">
        <v>0</v>
      </c>
      <c r="T339">
        <v>2</v>
      </c>
      <c r="U339" s="187">
        <v>42026.443749999999</v>
      </c>
    </row>
    <row r="340" spans="1:21">
      <c r="A340">
        <v>479</v>
      </c>
      <c r="B340">
        <v>1</v>
      </c>
      <c r="C340" t="s">
        <v>354</v>
      </c>
      <c r="D340" t="s">
        <v>354</v>
      </c>
      <c r="E340" s="189"/>
      <c r="F340">
        <v>0</v>
      </c>
      <c r="G340">
        <v>1</v>
      </c>
      <c r="H340">
        <v>0</v>
      </c>
      <c r="I340">
        <v>0</v>
      </c>
      <c r="K340">
        <v>0</v>
      </c>
      <c r="M340">
        <v>0</v>
      </c>
      <c r="O340">
        <v>0</v>
      </c>
      <c r="Q340">
        <v>0</v>
      </c>
      <c r="S340">
        <v>0</v>
      </c>
      <c r="T340">
        <v>2</v>
      </c>
      <c r="U340" s="187">
        <v>42026.444444444453</v>
      </c>
    </row>
    <row r="341" spans="1:21">
      <c r="A341">
        <v>480</v>
      </c>
      <c r="B341">
        <v>1</v>
      </c>
      <c r="C341" t="s">
        <v>480</v>
      </c>
      <c r="D341" t="s">
        <v>480</v>
      </c>
      <c r="E341" s="189"/>
      <c r="F341">
        <v>0</v>
      </c>
      <c r="G341">
        <v>1</v>
      </c>
      <c r="H341">
        <v>1</v>
      </c>
      <c r="I341">
        <v>18</v>
      </c>
      <c r="K341">
        <v>0</v>
      </c>
      <c r="M341">
        <v>0</v>
      </c>
      <c r="O341">
        <v>0</v>
      </c>
      <c r="Q341">
        <v>0</v>
      </c>
      <c r="S341">
        <v>0</v>
      </c>
      <c r="T341">
        <v>2</v>
      </c>
      <c r="U341" s="187">
        <v>42852.626388888893</v>
      </c>
    </row>
    <row r="342" spans="1:21">
      <c r="A342">
        <v>481</v>
      </c>
      <c r="B342">
        <v>1</v>
      </c>
      <c r="C342" t="s">
        <v>231</v>
      </c>
      <c r="D342" t="s">
        <v>231</v>
      </c>
      <c r="E342" s="189"/>
      <c r="F342">
        <v>0</v>
      </c>
      <c r="G342">
        <v>3</v>
      </c>
      <c r="H342">
        <v>0</v>
      </c>
      <c r="I342">
        <v>0</v>
      </c>
      <c r="K342">
        <v>0</v>
      </c>
      <c r="M342">
        <v>0</v>
      </c>
      <c r="O342">
        <v>0</v>
      </c>
      <c r="Q342">
        <v>0</v>
      </c>
      <c r="S342">
        <v>0</v>
      </c>
      <c r="T342">
        <v>4</v>
      </c>
      <c r="U342" s="187">
        <v>44979.555555555547</v>
      </c>
    </row>
    <row r="343" spans="1:21">
      <c r="A343">
        <v>482</v>
      </c>
      <c r="B343">
        <v>1</v>
      </c>
      <c r="C343" t="s">
        <v>481</v>
      </c>
      <c r="D343" t="s">
        <v>265</v>
      </c>
      <c r="E343" s="189"/>
      <c r="F343">
        <v>0</v>
      </c>
      <c r="G343">
        <v>1</v>
      </c>
      <c r="H343">
        <v>0</v>
      </c>
      <c r="I343">
        <v>0</v>
      </c>
      <c r="K343">
        <v>0</v>
      </c>
      <c r="M343">
        <v>0</v>
      </c>
      <c r="O343">
        <v>0</v>
      </c>
      <c r="Q343">
        <v>0</v>
      </c>
      <c r="S343">
        <v>0</v>
      </c>
      <c r="T343">
        <v>2</v>
      </c>
      <c r="U343" s="187">
        <v>42065.598611111112</v>
      </c>
    </row>
    <row r="344" spans="1:21">
      <c r="A344">
        <v>483</v>
      </c>
      <c r="B344">
        <v>1</v>
      </c>
      <c r="C344" t="s">
        <v>482</v>
      </c>
      <c r="D344" t="s">
        <v>482</v>
      </c>
      <c r="E344" s="189"/>
      <c r="F344">
        <v>0</v>
      </c>
      <c r="G344">
        <v>1</v>
      </c>
      <c r="H344">
        <v>0</v>
      </c>
      <c r="I344">
        <v>0</v>
      </c>
      <c r="K344">
        <v>0</v>
      </c>
      <c r="M344">
        <v>0</v>
      </c>
      <c r="O344">
        <v>0</v>
      </c>
      <c r="Q344">
        <v>0</v>
      </c>
      <c r="S344">
        <v>0</v>
      </c>
      <c r="T344">
        <v>2</v>
      </c>
      <c r="U344" s="187">
        <v>42178.481249999997</v>
      </c>
    </row>
    <row r="345" spans="1:21">
      <c r="A345">
        <v>484</v>
      </c>
      <c r="B345">
        <v>0</v>
      </c>
      <c r="C345" t="s">
        <v>483</v>
      </c>
      <c r="D345" t="s">
        <v>483</v>
      </c>
      <c r="E345" s="189"/>
      <c r="F345">
        <v>0</v>
      </c>
      <c r="G345">
        <v>3</v>
      </c>
      <c r="H345">
        <v>0</v>
      </c>
      <c r="I345">
        <v>0</v>
      </c>
      <c r="K345">
        <v>0</v>
      </c>
      <c r="M345">
        <v>0</v>
      </c>
      <c r="O345">
        <v>0</v>
      </c>
      <c r="Q345">
        <v>0</v>
      </c>
      <c r="S345">
        <v>0</v>
      </c>
      <c r="T345">
        <v>2</v>
      </c>
      <c r="U345" s="187">
        <v>42242.442361111112</v>
      </c>
    </row>
    <row r="346" spans="1:21">
      <c r="A346">
        <v>485</v>
      </c>
      <c r="B346">
        <v>1</v>
      </c>
      <c r="C346" t="s">
        <v>484</v>
      </c>
      <c r="D346" t="s">
        <v>484</v>
      </c>
      <c r="E346" s="189"/>
      <c r="F346">
        <v>486</v>
      </c>
      <c r="G346">
        <v>1</v>
      </c>
      <c r="H346">
        <v>0</v>
      </c>
      <c r="I346">
        <v>0</v>
      </c>
      <c r="K346">
        <v>0</v>
      </c>
      <c r="M346">
        <v>0</v>
      </c>
      <c r="O346">
        <v>0</v>
      </c>
      <c r="Q346">
        <v>0</v>
      </c>
      <c r="S346">
        <v>0</v>
      </c>
      <c r="T346">
        <v>2</v>
      </c>
      <c r="U346" s="187">
        <v>42291.447222222218</v>
      </c>
    </row>
    <row r="347" spans="1:21">
      <c r="A347">
        <v>486</v>
      </c>
      <c r="B347">
        <v>1</v>
      </c>
      <c r="C347" t="s">
        <v>485</v>
      </c>
      <c r="D347" t="s">
        <v>485</v>
      </c>
      <c r="E347" s="189"/>
      <c r="F347">
        <v>0</v>
      </c>
      <c r="G347">
        <v>1</v>
      </c>
      <c r="H347">
        <v>0</v>
      </c>
      <c r="I347">
        <v>0</v>
      </c>
      <c r="K347">
        <v>0</v>
      </c>
      <c r="M347">
        <v>0</v>
      </c>
      <c r="O347">
        <v>0</v>
      </c>
      <c r="Q347">
        <v>0</v>
      </c>
      <c r="S347">
        <v>0</v>
      </c>
      <c r="T347">
        <v>2</v>
      </c>
      <c r="U347" s="187">
        <v>42291.447916666657</v>
      </c>
    </row>
    <row r="348" spans="1:21">
      <c r="A348">
        <v>487</v>
      </c>
      <c r="B348">
        <v>1</v>
      </c>
      <c r="C348" t="s">
        <v>486</v>
      </c>
      <c r="D348" t="s">
        <v>486</v>
      </c>
      <c r="E348" s="189"/>
      <c r="F348">
        <v>0</v>
      </c>
      <c r="G348">
        <v>1</v>
      </c>
      <c r="H348">
        <v>0</v>
      </c>
      <c r="I348">
        <v>0</v>
      </c>
      <c r="K348">
        <v>0</v>
      </c>
      <c r="M348">
        <v>0</v>
      </c>
      <c r="O348">
        <v>0</v>
      </c>
      <c r="Q348">
        <v>0</v>
      </c>
      <c r="S348">
        <v>0</v>
      </c>
      <c r="T348">
        <v>2</v>
      </c>
      <c r="U348" s="187">
        <v>42291.447916666657</v>
      </c>
    </row>
    <row r="349" spans="1:21">
      <c r="A349">
        <v>488</v>
      </c>
      <c r="B349">
        <v>1</v>
      </c>
      <c r="C349" t="s">
        <v>487</v>
      </c>
      <c r="D349" t="s">
        <v>487</v>
      </c>
      <c r="E349" s="189"/>
      <c r="F349">
        <v>0</v>
      </c>
      <c r="G349">
        <v>1</v>
      </c>
      <c r="H349">
        <v>0</v>
      </c>
      <c r="I349">
        <v>0</v>
      </c>
      <c r="K349">
        <v>0</v>
      </c>
      <c r="M349">
        <v>0</v>
      </c>
      <c r="O349">
        <v>0</v>
      </c>
      <c r="Q349">
        <v>0</v>
      </c>
      <c r="S349">
        <v>0</v>
      </c>
      <c r="T349">
        <v>2</v>
      </c>
      <c r="U349" s="187">
        <v>43018.568749999999</v>
      </c>
    </row>
    <row r="350" spans="1:21">
      <c r="A350">
        <v>489</v>
      </c>
      <c r="B350">
        <v>1</v>
      </c>
      <c r="C350" t="s">
        <v>488</v>
      </c>
      <c r="D350" t="s">
        <v>488</v>
      </c>
      <c r="E350" s="189"/>
      <c r="F350">
        <v>0</v>
      </c>
      <c r="G350">
        <v>1</v>
      </c>
      <c r="H350">
        <v>0</v>
      </c>
      <c r="I350">
        <v>0</v>
      </c>
      <c r="K350">
        <v>0</v>
      </c>
      <c r="M350">
        <v>0</v>
      </c>
      <c r="O350">
        <v>0</v>
      </c>
      <c r="Q350">
        <v>0</v>
      </c>
      <c r="S350">
        <v>0</v>
      </c>
      <c r="T350">
        <v>2</v>
      </c>
      <c r="U350" s="187">
        <v>43018.568749999999</v>
      </c>
    </row>
    <row r="351" spans="1:21">
      <c r="A351">
        <v>490</v>
      </c>
      <c r="B351">
        <v>1</v>
      </c>
      <c r="C351" t="s">
        <v>489</v>
      </c>
      <c r="D351" t="s">
        <v>489</v>
      </c>
      <c r="E351" s="189"/>
      <c r="F351">
        <v>602</v>
      </c>
      <c r="G351">
        <v>3</v>
      </c>
      <c r="H351">
        <v>1</v>
      </c>
      <c r="I351">
        <v>0</v>
      </c>
      <c r="K351">
        <v>0</v>
      </c>
      <c r="M351">
        <v>0</v>
      </c>
      <c r="O351">
        <v>0</v>
      </c>
      <c r="Q351">
        <v>0</v>
      </c>
      <c r="S351">
        <v>0</v>
      </c>
      <c r="T351">
        <v>2</v>
      </c>
      <c r="U351" s="187">
        <v>43437.678472222222</v>
      </c>
    </row>
    <row r="352" spans="1:21">
      <c r="A352">
        <v>491</v>
      </c>
      <c r="B352">
        <v>0</v>
      </c>
      <c r="C352" t="s">
        <v>253</v>
      </c>
      <c r="D352" t="s">
        <v>253</v>
      </c>
      <c r="E352" s="189"/>
      <c r="F352">
        <v>0</v>
      </c>
      <c r="G352">
        <v>0</v>
      </c>
      <c r="H352">
        <v>0</v>
      </c>
      <c r="I352">
        <v>0</v>
      </c>
      <c r="K352">
        <v>0</v>
      </c>
      <c r="M352">
        <v>0</v>
      </c>
      <c r="O352">
        <v>0</v>
      </c>
      <c r="Q352">
        <v>0</v>
      </c>
      <c r="S352">
        <v>0</v>
      </c>
      <c r="T352">
        <v>2</v>
      </c>
      <c r="U352" s="187">
        <v>42312.498611111107</v>
      </c>
    </row>
    <row r="353" spans="1:21">
      <c r="A353">
        <v>492</v>
      </c>
      <c r="B353">
        <v>0</v>
      </c>
      <c r="C353" t="s">
        <v>490</v>
      </c>
      <c r="D353" t="s">
        <v>490</v>
      </c>
      <c r="E353" s="189"/>
      <c r="F353">
        <v>0</v>
      </c>
      <c r="G353">
        <v>0</v>
      </c>
      <c r="H353">
        <v>0</v>
      </c>
      <c r="I353">
        <v>0</v>
      </c>
      <c r="K353">
        <v>0</v>
      </c>
      <c r="M353">
        <v>0</v>
      </c>
      <c r="O353">
        <v>0</v>
      </c>
      <c r="Q353">
        <v>0</v>
      </c>
      <c r="S353">
        <v>0</v>
      </c>
      <c r="T353">
        <v>2</v>
      </c>
      <c r="U353" s="187">
        <v>42318.472222222219</v>
      </c>
    </row>
    <row r="354" spans="1:21">
      <c r="A354">
        <v>493</v>
      </c>
      <c r="B354">
        <v>0</v>
      </c>
      <c r="C354" t="s">
        <v>491</v>
      </c>
      <c r="D354" t="s">
        <v>491</v>
      </c>
      <c r="E354" s="189"/>
      <c r="F354">
        <v>0</v>
      </c>
      <c r="G354">
        <v>0</v>
      </c>
      <c r="H354">
        <v>0</v>
      </c>
      <c r="I354">
        <v>0</v>
      </c>
      <c r="K354">
        <v>0</v>
      </c>
      <c r="M354">
        <v>0</v>
      </c>
      <c r="O354">
        <v>0</v>
      </c>
      <c r="Q354">
        <v>0</v>
      </c>
      <c r="S354">
        <v>0</v>
      </c>
      <c r="T354">
        <v>2</v>
      </c>
      <c r="U354" s="187">
        <v>42390.62777777778</v>
      </c>
    </row>
    <row r="355" spans="1:21">
      <c r="A355">
        <v>494</v>
      </c>
      <c r="B355">
        <v>1</v>
      </c>
      <c r="C355" t="s">
        <v>492</v>
      </c>
      <c r="D355" t="s">
        <v>492</v>
      </c>
      <c r="E355" s="189"/>
      <c r="F355">
        <v>495</v>
      </c>
      <c r="G355">
        <v>3</v>
      </c>
      <c r="H355">
        <v>0</v>
      </c>
      <c r="I355">
        <v>0</v>
      </c>
      <c r="K355">
        <v>0</v>
      </c>
      <c r="M355">
        <v>0</v>
      </c>
      <c r="O355">
        <v>0</v>
      </c>
      <c r="Q355">
        <v>0</v>
      </c>
      <c r="S355">
        <v>0</v>
      </c>
      <c r="T355">
        <v>2</v>
      </c>
      <c r="U355" s="187">
        <v>42420.436805555553</v>
      </c>
    </row>
    <row r="356" spans="1:21">
      <c r="A356">
        <v>495</v>
      </c>
      <c r="B356">
        <v>1</v>
      </c>
      <c r="C356" t="s">
        <v>493</v>
      </c>
      <c r="D356" t="s">
        <v>494</v>
      </c>
      <c r="E356" s="189"/>
      <c r="F356">
        <v>0</v>
      </c>
      <c r="G356">
        <v>3</v>
      </c>
      <c r="H356">
        <v>0</v>
      </c>
      <c r="I356">
        <v>0</v>
      </c>
      <c r="K356">
        <v>0</v>
      </c>
      <c r="M356">
        <v>0</v>
      </c>
      <c r="O356">
        <v>0</v>
      </c>
      <c r="Q356">
        <v>0</v>
      </c>
      <c r="S356">
        <v>0</v>
      </c>
      <c r="T356">
        <v>2</v>
      </c>
      <c r="U356" s="187">
        <v>42420.436805555553</v>
      </c>
    </row>
    <row r="357" spans="1:21">
      <c r="A357">
        <v>496</v>
      </c>
      <c r="B357">
        <v>1</v>
      </c>
      <c r="C357" t="s">
        <v>495</v>
      </c>
      <c r="D357" t="s">
        <v>495</v>
      </c>
      <c r="E357" s="189"/>
      <c r="F357">
        <v>497</v>
      </c>
      <c r="G357">
        <v>3</v>
      </c>
      <c r="H357">
        <v>0</v>
      </c>
      <c r="I357">
        <v>0</v>
      </c>
      <c r="K357">
        <v>0</v>
      </c>
      <c r="M357">
        <v>0</v>
      </c>
      <c r="O357">
        <v>0</v>
      </c>
      <c r="Q357">
        <v>0</v>
      </c>
      <c r="S357">
        <v>0</v>
      </c>
      <c r="T357">
        <v>2</v>
      </c>
      <c r="U357" s="187">
        <v>42779.754166666673</v>
      </c>
    </row>
    <row r="358" spans="1:21">
      <c r="A358">
        <v>497</v>
      </c>
      <c r="B358">
        <v>1</v>
      </c>
      <c r="C358" t="s">
        <v>496</v>
      </c>
      <c r="D358" t="s">
        <v>496</v>
      </c>
      <c r="E358" s="189"/>
      <c r="F358">
        <v>0</v>
      </c>
      <c r="G358">
        <v>3</v>
      </c>
      <c r="H358">
        <v>0</v>
      </c>
      <c r="I358">
        <v>0</v>
      </c>
      <c r="K358">
        <v>0</v>
      </c>
      <c r="M358">
        <v>0</v>
      </c>
      <c r="O358">
        <v>0</v>
      </c>
      <c r="Q358">
        <v>0</v>
      </c>
      <c r="S358">
        <v>0</v>
      </c>
      <c r="T358">
        <v>2</v>
      </c>
      <c r="U358" s="187">
        <v>42415.618750000001</v>
      </c>
    </row>
    <row r="359" spans="1:21">
      <c r="A359">
        <v>498</v>
      </c>
      <c r="B359">
        <v>1</v>
      </c>
      <c r="C359" t="s">
        <v>497</v>
      </c>
      <c r="D359" t="s">
        <v>497</v>
      </c>
      <c r="E359" s="189"/>
      <c r="F359">
        <v>499</v>
      </c>
      <c r="G359">
        <v>1</v>
      </c>
      <c r="H359">
        <v>2</v>
      </c>
      <c r="I359">
        <v>0</v>
      </c>
      <c r="J359" t="s">
        <v>497</v>
      </c>
      <c r="K359">
        <v>0</v>
      </c>
      <c r="L359" t="s">
        <v>89</v>
      </c>
      <c r="M359">
        <v>0</v>
      </c>
      <c r="O359">
        <v>0</v>
      </c>
      <c r="Q359">
        <v>0</v>
      </c>
      <c r="S359">
        <v>0</v>
      </c>
      <c r="T359">
        <v>2</v>
      </c>
      <c r="U359" s="187">
        <v>42514.609027777777</v>
      </c>
    </row>
    <row r="360" spans="1:21">
      <c r="A360">
        <v>499</v>
      </c>
      <c r="B360">
        <v>1</v>
      </c>
      <c r="C360" t="s">
        <v>498</v>
      </c>
      <c r="D360" t="s">
        <v>498</v>
      </c>
      <c r="E360" s="189"/>
      <c r="F360">
        <v>0</v>
      </c>
      <c r="G360">
        <v>1</v>
      </c>
      <c r="H360">
        <v>2</v>
      </c>
      <c r="I360">
        <v>0</v>
      </c>
      <c r="K360">
        <v>0</v>
      </c>
      <c r="M360">
        <v>0</v>
      </c>
      <c r="O360">
        <v>0</v>
      </c>
      <c r="Q360">
        <v>0</v>
      </c>
      <c r="S360">
        <v>0</v>
      </c>
      <c r="T360">
        <v>2</v>
      </c>
      <c r="U360" s="187">
        <v>42514.609027777777</v>
      </c>
    </row>
    <row r="361" spans="1:21">
      <c r="A361">
        <v>500</v>
      </c>
      <c r="B361">
        <v>1</v>
      </c>
      <c r="C361" t="s">
        <v>499</v>
      </c>
      <c r="D361" t="s">
        <v>499</v>
      </c>
      <c r="E361" s="189"/>
      <c r="F361">
        <v>0</v>
      </c>
      <c r="G361">
        <v>0</v>
      </c>
      <c r="H361">
        <v>1</v>
      </c>
      <c r="I361">
        <v>24</v>
      </c>
      <c r="K361">
        <v>0</v>
      </c>
      <c r="M361">
        <v>0</v>
      </c>
      <c r="O361">
        <v>0</v>
      </c>
      <c r="Q361">
        <v>0</v>
      </c>
      <c r="S361">
        <v>0</v>
      </c>
      <c r="T361">
        <v>2</v>
      </c>
      <c r="U361" s="187">
        <v>42566.401388888888</v>
      </c>
    </row>
    <row r="362" spans="1:21">
      <c r="A362">
        <v>501</v>
      </c>
      <c r="B362">
        <v>1</v>
      </c>
      <c r="C362" t="s">
        <v>500</v>
      </c>
      <c r="D362" t="s">
        <v>500</v>
      </c>
      <c r="E362" s="189"/>
      <c r="F362">
        <v>0</v>
      </c>
      <c r="G362">
        <v>0</v>
      </c>
      <c r="H362">
        <v>1</v>
      </c>
      <c r="I362">
        <v>24</v>
      </c>
      <c r="K362">
        <v>0</v>
      </c>
      <c r="M362">
        <v>0</v>
      </c>
      <c r="O362">
        <v>0</v>
      </c>
      <c r="Q362">
        <v>0</v>
      </c>
      <c r="S362">
        <v>0</v>
      </c>
      <c r="T362">
        <v>2</v>
      </c>
      <c r="U362" s="187">
        <v>42566.401388888888</v>
      </c>
    </row>
    <row r="363" spans="1:21">
      <c r="A363">
        <v>502</v>
      </c>
      <c r="B363">
        <v>0</v>
      </c>
      <c r="C363" t="s">
        <v>501</v>
      </c>
      <c r="D363" t="s">
        <v>501</v>
      </c>
      <c r="E363" s="189">
        <v>88</v>
      </c>
      <c r="F363">
        <v>503</v>
      </c>
      <c r="G363">
        <v>0</v>
      </c>
      <c r="H363">
        <v>0</v>
      </c>
      <c r="I363">
        <v>0</v>
      </c>
      <c r="K363">
        <v>0</v>
      </c>
      <c r="M363">
        <v>0</v>
      </c>
      <c r="O363">
        <v>0</v>
      </c>
      <c r="Q363">
        <v>0</v>
      </c>
      <c r="S363">
        <v>0</v>
      </c>
      <c r="T363">
        <v>2</v>
      </c>
      <c r="U363" s="187">
        <v>41981.550694444442</v>
      </c>
    </row>
    <row r="364" spans="1:21">
      <c r="A364">
        <v>503</v>
      </c>
      <c r="B364">
        <v>0</v>
      </c>
      <c r="C364" t="s">
        <v>70</v>
      </c>
      <c r="D364" t="s">
        <v>70</v>
      </c>
      <c r="E364" s="189">
        <v>8</v>
      </c>
      <c r="F364">
        <v>0</v>
      </c>
      <c r="G364">
        <v>1</v>
      </c>
      <c r="H364">
        <v>0</v>
      </c>
      <c r="I364">
        <v>0</v>
      </c>
      <c r="K364">
        <v>0</v>
      </c>
      <c r="M364">
        <v>0</v>
      </c>
      <c r="O364">
        <v>0</v>
      </c>
      <c r="Q364">
        <v>0</v>
      </c>
      <c r="S364">
        <v>0</v>
      </c>
      <c r="T364">
        <v>6</v>
      </c>
      <c r="U364" s="187">
        <v>42571.453472222223</v>
      </c>
    </row>
    <row r="365" spans="1:21">
      <c r="A365">
        <v>504</v>
      </c>
      <c r="B365">
        <v>1</v>
      </c>
      <c r="C365" t="s">
        <v>502</v>
      </c>
      <c r="D365" t="s">
        <v>502</v>
      </c>
      <c r="E365" s="189"/>
      <c r="F365">
        <v>0</v>
      </c>
      <c r="G365">
        <v>1</v>
      </c>
      <c r="H365">
        <v>0</v>
      </c>
      <c r="I365">
        <v>0</v>
      </c>
      <c r="K365">
        <v>0</v>
      </c>
      <c r="M365">
        <v>0</v>
      </c>
      <c r="O365">
        <v>0</v>
      </c>
      <c r="Q365">
        <v>0</v>
      </c>
      <c r="S365">
        <v>0</v>
      </c>
      <c r="T365">
        <v>6</v>
      </c>
      <c r="U365" s="187">
        <v>42759.599305555559</v>
      </c>
    </row>
    <row r="366" spans="1:21">
      <c r="A366">
        <v>505</v>
      </c>
      <c r="B366">
        <v>1</v>
      </c>
      <c r="C366" t="s">
        <v>503</v>
      </c>
      <c r="D366" t="s">
        <v>503</v>
      </c>
      <c r="E366" s="189"/>
      <c r="F366">
        <v>0</v>
      </c>
      <c r="G366">
        <v>1</v>
      </c>
      <c r="H366">
        <v>0</v>
      </c>
      <c r="I366">
        <v>0</v>
      </c>
      <c r="K366">
        <v>0</v>
      </c>
      <c r="M366">
        <v>0</v>
      </c>
      <c r="O366">
        <v>0</v>
      </c>
      <c r="Q366">
        <v>0</v>
      </c>
      <c r="S366">
        <v>0</v>
      </c>
      <c r="T366">
        <v>6</v>
      </c>
      <c r="U366" s="187">
        <v>42759.598611111112</v>
      </c>
    </row>
    <row r="367" spans="1:21">
      <c r="A367">
        <v>506</v>
      </c>
      <c r="B367">
        <v>0</v>
      </c>
      <c r="C367" t="s">
        <v>504</v>
      </c>
      <c r="D367" t="s">
        <v>504</v>
      </c>
      <c r="E367" s="189"/>
      <c r="F367">
        <v>507</v>
      </c>
      <c r="G367">
        <v>1</v>
      </c>
      <c r="H367">
        <v>0</v>
      </c>
      <c r="I367">
        <v>0</v>
      </c>
      <c r="K367">
        <v>0</v>
      </c>
      <c r="M367">
        <v>0</v>
      </c>
      <c r="O367">
        <v>0</v>
      </c>
      <c r="Q367">
        <v>0</v>
      </c>
      <c r="S367">
        <v>0</v>
      </c>
      <c r="T367">
        <v>2</v>
      </c>
      <c r="U367" s="187">
        <v>42793.700694444437</v>
      </c>
    </row>
    <row r="368" spans="1:21">
      <c r="A368">
        <v>507</v>
      </c>
      <c r="B368">
        <v>0</v>
      </c>
      <c r="C368" t="s">
        <v>505</v>
      </c>
      <c r="D368" t="s">
        <v>505</v>
      </c>
      <c r="E368" s="189"/>
      <c r="F368">
        <v>0</v>
      </c>
      <c r="G368">
        <v>1</v>
      </c>
      <c r="H368">
        <v>0</v>
      </c>
      <c r="I368">
        <v>0</v>
      </c>
      <c r="K368">
        <v>0</v>
      </c>
      <c r="M368">
        <v>0</v>
      </c>
      <c r="O368">
        <v>0</v>
      </c>
      <c r="Q368">
        <v>0</v>
      </c>
      <c r="S368">
        <v>0</v>
      </c>
      <c r="T368">
        <v>2</v>
      </c>
      <c r="U368" s="187">
        <v>42793.700694444437</v>
      </c>
    </row>
    <row r="369" spans="1:21">
      <c r="A369">
        <v>508</v>
      </c>
      <c r="B369">
        <v>1</v>
      </c>
      <c r="C369" t="s">
        <v>506</v>
      </c>
      <c r="D369" t="s">
        <v>507</v>
      </c>
      <c r="E369" s="189"/>
      <c r="F369">
        <v>0</v>
      </c>
      <c r="G369">
        <v>0</v>
      </c>
      <c r="H369">
        <v>0</v>
      </c>
      <c r="I369">
        <v>24</v>
      </c>
      <c r="K369">
        <v>0</v>
      </c>
      <c r="M369">
        <v>0</v>
      </c>
      <c r="O369">
        <v>0</v>
      </c>
      <c r="Q369">
        <v>0</v>
      </c>
      <c r="S369">
        <v>0</v>
      </c>
      <c r="T369">
        <v>2</v>
      </c>
      <c r="U369" s="187">
        <v>42822.540972222218</v>
      </c>
    </row>
    <row r="370" spans="1:21">
      <c r="A370">
        <v>520</v>
      </c>
      <c r="B370">
        <v>1</v>
      </c>
      <c r="C370" t="s">
        <v>508</v>
      </c>
      <c r="D370" t="s">
        <v>509</v>
      </c>
      <c r="E370" s="189"/>
      <c r="F370">
        <v>521</v>
      </c>
      <c r="G370">
        <v>1</v>
      </c>
      <c r="H370">
        <v>2</v>
      </c>
      <c r="I370">
        <v>0</v>
      </c>
      <c r="J370" t="s">
        <v>509</v>
      </c>
      <c r="K370">
        <v>0</v>
      </c>
      <c r="L370" t="s">
        <v>138</v>
      </c>
      <c r="M370">
        <v>0</v>
      </c>
      <c r="N370" t="s">
        <v>89</v>
      </c>
      <c r="O370">
        <v>0</v>
      </c>
      <c r="Q370">
        <v>0</v>
      </c>
      <c r="S370">
        <v>0</v>
      </c>
      <c r="T370">
        <v>2</v>
      </c>
      <c r="U370" s="187">
        <v>43999.712500000001</v>
      </c>
    </row>
    <row r="371" spans="1:21">
      <c r="A371">
        <v>521</v>
      </c>
      <c r="B371">
        <v>1</v>
      </c>
      <c r="C371" t="s">
        <v>510</v>
      </c>
      <c r="D371" t="s">
        <v>509</v>
      </c>
      <c r="E371" s="189">
        <v>88</v>
      </c>
      <c r="F371">
        <v>0</v>
      </c>
      <c r="G371">
        <v>1</v>
      </c>
      <c r="H371">
        <v>2</v>
      </c>
      <c r="I371">
        <v>0</v>
      </c>
      <c r="K371">
        <v>0</v>
      </c>
      <c r="M371">
        <v>0</v>
      </c>
      <c r="O371">
        <v>0</v>
      </c>
      <c r="Q371">
        <v>0</v>
      </c>
      <c r="S371">
        <v>0</v>
      </c>
      <c r="T371">
        <v>2</v>
      </c>
      <c r="U371" s="187">
        <v>43364.460416666669</v>
      </c>
    </row>
    <row r="372" spans="1:21">
      <c r="A372">
        <v>522</v>
      </c>
      <c r="B372">
        <v>1</v>
      </c>
      <c r="C372" t="s">
        <v>241</v>
      </c>
      <c r="D372" t="s">
        <v>241</v>
      </c>
      <c r="E372" s="189"/>
      <c r="F372">
        <v>0</v>
      </c>
      <c r="G372">
        <v>0</v>
      </c>
      <c r="H372">
        <v>0</v>
      </c>
      <c r="I372">
        <v>0</v>
      </c>
      <c r="K372">
        <v>0</v>
      </c>
      <c r="M372">
        <v>0</v>
      </c>
      <c r="O372">
        <v>0</v>
      </c>
      <c r="Q372">
        <v>0</v>
      </c>
      <c r="S372">
        <v>0</v>
      </c>
      <c r="T372">
        <v>2</v>
      </c>
      <c r="U372" s="187">
        <v>42934.473611111112</v>
      </c>
    </row>
    <row r="373" spans="1:21">
      <c r="A373">
        <v>523</v>
      </c>
      <c r="B373">
        <v>1</v>
      </c>
      <c r="C373" t="s">
        <v>511</v>
      </c>
      <c r="D373" t="s">
        <v>511</v>
      </c>
      <c r="E373" s="189"/>
      <c r="F373">
        <v>0</v>
      </c>
      <c r="G373">
        <v>1</v>
      </c>
      <c r="H373">
        <v>0</v>
      </c>
      <c r="I373">
        <v>0</v>
      </c>
      <c r="K373">
        <v>0</v>
      </c>
      <c r="M373">
        <v>0</v>
      </c>
      <c r="O373">
        <v>0</v>
      </c>
      <c r="Q373">
        <v>0</v>
      </c>
      <c r="S373">
        <v>0</v>
      </c>
      <c r="T373">
        <v>5</v>
      </c>
      <c r="U373" s="187">
        <v>42935.651388888888</v>
      </c>
    </row>
    <row r="374" spans="1:21">
      <c r="A374">
        <v>524</v>
      </c>
      <c r="B374">
        <v>1</v>
      </c>
      <c r="C374" t="s">
        <v>512</v>
      </c>
      <c r="D374" t="s">
        <v>513</v>
      </c>
      <c r="E374" s="189"/>
      <c r="F374">
        <v>525</v>
      </c>
      <c r="G374">
        <v>1</v>
      </c>
      <c r="H374">
        <v>2</v>
      </c>
      <c r="I374">
        <v>0</v>
      </c>
      <c r="J374" t="s">
        <v>72</v>
      </c>
      <c r="K374">
        <v>1</v>
      </c>
      <c r="L374" t="s">
        <v>125</v>
      </c>
      <c r="M374">
        <v>1</v>
      </c>
      <c r="N374" t="s">
        <v>89</v>
      </c>
      <c r="O374">
        <v>0</v>
      </c>
      <c r="Q374">
        <v>0</v>
      </c>
      <c r="S374">
        <v>0</v>
      </c>
      <c r="T374">
        <v>2</v>
      </c>
      <c r="U374" s="187">
        <v>42948.600694444453</v>
      </c>
    </row>
    <row r="375" spans="1:21">
      <c r="A375">
        <v>525</v>
      </c>
      <c r="B375">
        <v>1</v>
      </c>
      <c r="C375" t="s">
        <v>514</v>
      </c>
      <c r="D375" t="s">
        <v>515</v>
      </c>
      <c r="E375" s="189"/>
      <c r="F375">
        <v>0</v>
      </c>
      <c r="G375">
        <v>1</v>
      </c>
      <c r="H375">
        <v>2</v>
      </c>
      <c r="I375">
        <v>0</v>
      </c>
      <c r="K375">
        <v>0</v>
      </c>
      <c r="M375">
        <v>0</v>
      </c>
      <c r="O375">
        <v>0</v>
      </c>
      <c r="Q375">
        <v>0</v>
      </c>
      <c r="S375">
        <v>0</v>
      </c>
      <c r="T375">
        <v>2</v>
      </c>
      <c r="U375" s="187">
        <v>42948.600694444453</v>
      </c>
    </row>
    <row r="376" spans="1:21">
      <c r="A376">
        <v>526</v>
      </c>
      <c r="B376">
        <v>1</v>
      </c>
      <c r="C376" t="s">
        <v>516</v>
      </c>
      <c r="D376" t="s">
        <v>517</v>
      </c>
      <c r="E376" s="189"/>
      <c r="F376">
        <v>527</v>
      </c>
      <c r="G376">
        <v>1</v>
      </c>
      <c r="H376">
        <v>2</v>
      </c>
      <c r="I376">
        <v>0</v>
      </c>
      <c r="J376" t="s">
        <v>517</v>
      </c>
      <c r="K376">
        <v>0</v>
      </c>
      <c r="L376" t="s">
        <v>138</v>
      </c>
      <c r="M376">
        <v>0</v>
      </c>
      <c r="N376" t="s">
        <v>139</v>
      </c>
      <c r="O376">
        <v>0</v>
      </c>
      <c r="Q376">
        <v>0</v>
      </c>
      <c r="S376">
        <v>0</v>
      </c>
      <c r="T376">
        <v>2</v>
      </c>
      <c r="U376" s="187">
        <v>43391.706944444442</v>
      </c>
    </row>
    <row r="377" spans="1:21">
      <c r="A377">
        <v>527</v>
      </c>
      <c r="B377">
        <v>1</v>
      </c>
      <c r="C377" t="s">
        <v>518</v>
      </c>
      <c r="D377" t="s">
        <v>517</v>
      </c>
      <c r="E377" s="189"/>
      <c r="F377">
        <v>0</v>
      </c>
      <c r="G377">
        <v>1</v>
      </c>
      <c r="H377">
        <v>2</v>
      </c>
      <c r="I377">
        <v>0</v>
      </c>
      <c r="J377" t="s">
        <v>517</v>
      </c>
      <c r="K377">
        <v>0</v>
      </c>
      <c r="L377" t="s">
        <v>138</v>
      </c>
      <c r="M377">
        <v>0</v>
      </c>
      <c r="N377" t="s">
        <v>139</v>
      </c>
      <c r="O377">
        <v>0</v>
      </c>
      <c r="Q377">
        <v>0</v>
      </c>
      <c r="S377">
        <v>0</v>
      </c>
      <c r="T377">
        <v>6</v>
      </c>
      <c r="U377" s="187">
        <v>43432.397916666669</v>
      </c>
    </row>
    <row r="378" spans="1:21">
      <c r="A378">
        <v>528</v>
      </c>
      <c r="B378">
        <v>1</v>
      </c>
      <c r="C378" t="s">
        <v>519</v>
      </c>
      <c r="D378" t="s">
        <v>520</v>
      </c>
      <c r="E378" s="189"/>
      <c r="F378">
        <v>529</v>
      </c>
      <c r="G378">
        <v>1</v>
      </c>
      <c r="H378">
        <v>2</v>
      </c>
      <c r="I378">
        <v>0</v>
      </c>
      <c r="J378" t="s">
        <v>161</v>
      </c>
      <c r="K378">
        <v>1</v>
      </c>
      <c r="L378" t="s">
        <v>89</v>
      </c>
      <c r="M378">
        <v>0</v>
      </c>
      <c r="N378" t="s">
        <v>521</v>
      </c>
      <c r="O378">
        <v>0</v>
      </c>
      <c r="Q378">
        <v>0</v>
      </c>
      <c r="S378">
        <v>0</v>
      </c>
      <c r="T378">
        <v>2</v>
      </c>
      <c r="U378" s="187">
        <v>43441.709027777782</v>
      </c>
    </row>
    <row r="379" spans="1:21">
      <c r="A379">
        <v>529</v>
      </c>
      <c r="B379">
        <v>0</v>
      </c>
      <c r="C379" t="s">
        <v>522</v>
      </c>
      <c r="D379" t="s">
        <v>522</v>
      </c>
      <c r="E379" s="189"/>
      <c r="F379">
        <v>0</v>
      </c>
      <c r="G379">
        <v>1</v>
      </c>
      <c r="H379">
        <v>2</v>
      </c>
      <c r="I379">
        <v>0</v>
      </c>
      <c r="J379" t="s">
        <v>161</v>
      </c>
      <c r="K379">
        <v>1</v>
      </c>
      <c r="L379" t="s">
        <v>89</v>
      </c>
      <c r="M379">
        <v>0</v>
      </c>
      <c r="N379" t="s">
        <v>521</v>
      </c>
      <c r="O379">
        <v>0</v>
      </c>
      <c r="Q379">
        <v>0</v>
      </c>
      <c r="S379">
        <v>0</v>
      </c>
      <c r="T379">
        <v>2</v>
      </c>
      <c r="U379" s="187">
        <v>43441.709027777782</v>
      </c>
    </row>
    <row r="380" spans="1:21">
      <c r="A380">
        <v>530</v>
      </c>
      <c r="B380">
        <v>1</v>
      </c>
      <c r="C380" t="s">
        <v>523</v>
      </c>
      <c r="D380" t="s">
        <v>524</v>
      </c>
      <c r="E380" s="189"/>
      <c r="F380">
        <v>531</v>
      </c>
      <c r="G380">
        <v>1</v>
      </c>
      <c r="H380">
        <v>2</v>
      </c>
      <c r="I380">
        <v>0</v>
      </c>
      <c r="J380" t="s">
        <v>383</v>
      </c>
      <c r="K380">
        <v>0</v>
      </c>
      <c r="L380" t="s">
        <v>525</v>
      </c>
      <c r="M380">
        <v>0</v>
      </c>
      <c r="N380" t="s">
        <v>89</v>
      </c>
      <c r="O380">
        <v>0</v>
      </c>
      <c r="Q380">
        <v>0</v>
      </c>
      <c r="S380">
        <v>0</v>
      </c>
      <c r="T380">
        <v>2</v>
      </c>
      <c r="U380" s="187">
        <v>43441.71597222222</v>
      </c>
    </row>
    <row r="381" spans="1:21">
      <c r="A381">
        <v>531</v>
      </c>
      <c r="B381">
        <v>1</v>
      </c>
      <c r="C381" t="s">
        <v>526</v>
      </c>
      <c r="D381" t="s">
        <v>526</v>
      </c>
      <c r="E381" s="189"/>
      <c r="F381">
        <v>0</v>
      </c>
      <c r="G381">
        <v>1</v>
      </c>
      <c r="H381">
        <v>2</v>
      </c>
      <c r="I381">
        <v>0</v>
      </c>
      <c r="K381">
        <v>0</v>
      </c>
      <c r="M381">
        <v>0</v>
      </c>
      <c r="O381">
        <v>0</v>
      </c>
      <c r="Q381">
        <v>0</v>
      </c>
      <c r="S381">
        <v>0</v>
      </c>
      <c r="T381">
        <v>2</v>
      </c>
      <c r="U381" s="187">
        <v>43441.710416666669</v>
      </c>
    </row>
    <row r="382" spans="1:21">
      <c r="A382">
        <v>532</v>
      </c>
      <c r="B382">
        <v>1</v>
      </c>
      <c r="C382" t="s">
        <v>527</v>
      </c>
      <c r="D382" t="s">
        <v>527</v>
      </c>
      <c r="E382" s="189"/>
      <c r="F382">
        <v>533</v>
      </c>
      <c r="G382">
        <v>1</v>
      </c>
      <c r="H382">
        <v>1</v>
      </c>
      <c r="I382">
        <v>0</v>
      </c>
      <c r="J382" t="s">
        <v>153</v>
      </c>
      <c r="K382">
        <v>0</v>
      </c>
      <c r="L382" t="s">
        <v>154</v>
      </c>
      <c r="M382">
        <v>0</v>
      </c>
      <c r="N382" t="s">
        <v>156</v>
      </c>
      <c r="O382">
        <v>0</v>
      </c>
      <c r="P382" t="s">
        <v>157</v>
      </c>
      <c r="Q382">
        <v>0</v>
      </c>
      <c r="R382" t="s">
        <v>457</v>
      </c>
      <c r="S382">
        <v>0</v>
      </c>
      <c r="T382">
        <v>2</v>
      </c>
      <c r="U382" s="187">
        <v>43602.65902777778</v>
      </c>
    </row>
    <row r="383" spans="1:21">
      <c r="A383">
        <v>533</v>
      </c>
      <c r="B383">
        <v>1</v>
      </c>
      <c r="C383" t="s">
        <v>528</v>
      </c>
      <c r="D383" t="s">
        <v>528</v>
      </c>
      <c r="E383" s="189"/>
      <c r="F383">
        <v>533</v>
      </c>
      <c r="G383">
        <v>1</v>
      </c>
      <c r="H383">
        <v>1</v>
      </c>
      <c r="I383">
        <v>0</v>
      </c>
      <c r="K383">
        <v>0</v>
      </c>
      <c r="M383">
        <v>0</v>
      </c>
      <c r="O383">
        <v>0</v>
      </c>
      <c r="Q383">
        <v>0</v>
      </c>
      <c r="S383">
        <v>0</v>
      </c>
      <c r="T383">
        <v>2</v>
      </c>
      <c r="U383" s="187">
        <v>43602.65902777778</v>
      </c>
    </row>
    <row r="384" spans="1:21">
      <c r="A384">
        <v>534</v>
      </c>
      <c r="B384">
        <v>1</v>
      </c>
      <c r="C384" t="s">
        <v>529</v>
      </c>
      <c r="D384" t="s">
        <v>8</v>
      </c>
      <c r="E384" s="189"/>
      <c r="F384">
        <v>535</v>
      </c>
      <c r="G384">
        <v>0</v>
      </c>
      <c r="H384">
        <v>2</v>
      </c>
      <c r="I384">
        <v>0</v>
      </c>
      <c r="J384" t="s">
        <v>72</v>
      </c>
      <c r="K384">
        <v>1</v>
      </c>
      <c r="L384" t="s">
        <v>138</v>
      </c>
      <c r="M384">
        <v>0</v>
      </c>
      <c r="N384" t="s">
        <v>89</v>
      </c>
      <c r="O384">
        <v>0</v>
      </c>
      <c r="P384" t="s">
        <v>374</v>
      </c>
      <c r="Q384">
        <v>0</v>
      </c>
      <c r="R384" t="s">
        <v>375</v>
      </c>
      <c r="S384">
        <v>0</v>
      </c>
      <c r="T384">
        <v>2</v>
      </c>
      <c r="U384" s="187">
        <v>45737.613194444442</v>
      </c>
    </row>
    <row r="385" spans="1:21">
      <c r="A385">
        <v>535</v>
      </c>
      <c r="B385">
        <v>1</v>
      </c>
      <c r="C385" t="s">
        <v>530</v>
      </c>
      <c r="D385" t="s">
        <v>531</v>
      </c>
      <c r="E385" s="189"/>
      <c r="F385">
        <v>0</v>
      </c>
      <c r="G385">
        <v>1</v>
      </c>
      <c r="H385">
        <v>2</v>
      </c>
      <c r="I385">
        <v>0</v>
      </c>
      <c r="K385">
        <v>0</v>
      </c>
      <c r="M385">
        <v>0</v>
      </c>
      <c r="O385">
        <v>0</v>
      </c>
      <c r="Q385">
        <v>0</v>
      </c>
      <c r="S385">
        <v>0</v>
      </c>
      <c r="T385">
        <v>2</v>
      </c>
      <c r="U385" s="187">
        <v>45370.575694444437</v>
      </c>
    </row>
    <row r="386" spans="1:21">
      <c r="A386">
        <v>536</v>
      </c>
      <c r="B386">
        <v>1</v>
      </c>
      <c r="C386" t="s">
        <v>532</v>
      </c>
      <c r="D386" t="s">
        <v>532</v>
      </c>
      <c r="E386" s="189"/>
      <c r="F386">
        <v>0</v>
      </c>
      <c r="G386">
        <v>0</v>
      </c>
      <c r="H386">
        <v>0</v>
      </c>
      <c r="I386">
        <v>0</v>
      </c>
      <c r="K386">
        <v>0</v>
      </c>
      <c r="M386">
        <v>0</v>
      </c>
      <c r="O386">
        <v>0</v>
      </c>
      <c r="Q386">
        <v>0</v>
      </c>
      <c r="S386">
        <v>0</v>
      </c>
      <c r="T386">
        <v>6</v>
      </c>
      <c r="U386" s="187">
        <v>43712.543055555558</v>
      </c>
    </row>
    <row r="387" spans="1:21">
      <c r="A387">
        <v>537</v>
      </c>
      <c r="B387">
        <v>1</v>
      </c>
      <c r="C387" t="s">
        <v>533</v>
      </c>
      <c r="D387" t="s">
        <v>533</v>
      </c>
      <c r="E387" s="189"/>
      <c r="F387">
        <v>0</v>
      </c>
      <c r="G387">
        <v>0</v>
      </c>
      <c r="H387">
        <v>0</v>
      </c>
      <c r="I387">
        <v>0</v>
      </c>
      <c r="K387">
        <v>0</v>
      </c>
      <c r="M387">
        <v>0</v>
      </c>
      <c r="O387">
        <v>0</v>
      </c>
      <c r="Q387">
        <v>0</v>
      </c>
      <c r="S387">
        <v>0</v>
      </c>
      <c r="T387">
        <v>6</v>
      </c>
      <c r="U387" s="187">
        <v>43712.543749999997</v>
      </c>
    </row>
    <row r="388" spans="1:21">
      <c r="A388">
        <v>538</v>
      </c>
      <c r="B388">
        <v>1</v>
      </c>
      <c r="C388" t="s">
        <v>534</v>
      </c>
      <c r="D388" t="s">
        <v>534</v>
      </c>
      <c r="E388" s="189"/>
      <c r="F388">
        <v>0</v>
      </c>
      <c r="G388">
        <v>0</v>
      </c>
      <c r="H388">
        <v>0</v>
      </c>
      <c r="I388">
        <v>0</v>
      </c>
      <c r="K388">
        <v>0</v>
      </c>
      <c r="M388">
        <v>0</v>
      </c>
      <c r="O388">
        <v>0</v>
      </c>
      <c r="Q388">
        <v>0</v>
      </c>
      <c r="S388">
        <v>0</v>
      </c>
      <c r="T388">
        <v>6</v>
      </c>
      <c r="U388" s="187">
        <v>43712.544444444437</v>
      </c>
    </row>
    <row r="389" spans="1:21">
      <c r="A389">
        <v>539</v>
      </c>
      <c r="B389">
        <v>1</v>
      </c>
      <c r="C389" t="s">
        <v>535</v>
      </c>
      <c r="D389" t="s">
        <v>535</v>
      </c>
      <c r="E389" s="189"/>
      <c r="F389">
        <v>0</v>
      </c>
      <c r="G389">
        <v>1</v>
      </c>
      <c r="H389">
        <v>0</v>
      </c>
      <c r="I389">
        <v>0</v>
      </c>
      <c r="K389">
        <v>0</v>
      </c>
      <c r="M389">
        <v>0</v>
      </c>
      <c r="O389">
        <v>0</v>
      </c>
      <c r="Q389">
        <v>0</v>
      </c>
      <c r="S389">
        <v>0</v>
      </c>
      <c r="T389">
        <v>2</v>
      </c>
      <c r="U389" s="187">
        <v>43761.571527777778</v>
      </c>
    </row>
    <row r="390" spans="1:21">
      <c r="A390">
        <v>540</v>
      </c>
      <c r="B390">
        <v>1</v>
      </c>
      <c r="C390" t="s">
        <v>536</v>
      </c>
      <c r="D390" t="s">
        <v>536</v>
      </c>
      <c r="E390" s="189"/>
      <c r="F390">
        <v>0</v>
      </c>
      <c r="G390">
        <v>1</v>
      </c>
      <c r="H390">
        <v>0</v>
      </c>
      <c r="I390">
        <v>0</v>
      </c>
      <c r="K390">
        <v>0</v>
      </c>
      <c r="M390">
        <v>0</v>
      </c>
      <c r="O390">
        <v>0</v>
      </c>
      <c r="Q390">
        <v>0</v>
      </c>
      <c r="S390">
        <v>0</v>
      </c>
      <c r="T390">
        <v>2</v>
      </c>
      <c r="U390" s="187">
        <v>43761.571527777778</v>
      </c>
    </row>
    <row r="391" spans="1:21">
      <c r="A391">
        <v>541</v>
      </c>
      <c r="B391">
        <v>1</v>
      </c>
      <c r="C391" t="s">
        <v>537</v>
      </c>
      <c r="D391" t="s">
        <v>537</v>
      </c>
      <c r="E391" s="189"/>
      <c r="F391">
        <v>542</v>
      </c>
      <c r="G391">
        <v>1</v>
      </c>
      <c r="H391">
        <v>2</v>
      </c>
      <c r="I391">
        <v>0</v>
      </c>
      <c r="J391" t="s">
        <v>89</v>
      </c>
      <c r="K391">
        <v>0</v>
      </c>
      <c r="M391">
        <v>0</v>
      </c>
      <c r="O391">
        <v>0</v>
      </c>
      <c r="Q391">
        <v>0</v>
      </c>
      <c r="S391">
        <v>0</v>
      </c>
      <c r="T391">
        <v>3</v>
      </c>
      <c r="U391" s="187">
        <v>43880.713194444441</v>
      </c>
    </row>
    <row r="392" spans="1:21">
      <c r="A392">
        <v>542</v>
      </c>
      <c r="B392">
        <v>1</v>
      </c>
      <c r="C392" t="s">
        <v>538</v>
      </c>
      <c r="D392" t="s">
        <v>538</v>
      </c>
      <c r="E392" s="189"/>
      <c r="F392">
        <v>0</v>
      </c>
      <c r="G392">
        <v>1</v>
      </c>
      <c r="H392">
        <v>2</v>
      </c>
      <c r="I392">
        <v>0</v>
      </c>
      <c r="J392" t="s">
        <v>89</v>
      </c>
      <c r="K392">
        <v>0</v>
      </c>
      <c r="M392">
        <v>0</v>
      </c>
      <c r="O392">
        <v>0</v>
      </c>
      <c r="Q392">
        <v>0</v>
      </c>
      <c r="S392">
        <v>0</v>
      </c>
      <c r="T392">
        <v>2</v>
      </c>
      <c r="U392" s="187">
        <v>43889.402777777781</v>
      </c>
    </row>
    <row r="393" spans="1:21">
      <c r="A393">
        <v>543</v>
      </c>
      <c r="B393">
        <v>1</v>
      </c>
      <c r="C393" t="s">
        <v>539</v>
      </c>
      <c r="D393" t="s">
        <v>539</v>
      </c>
      <c r="E393" s="189"/>
      <c r="F393">
        <v>0</v>
      </c>
      <c r="G393">
        <v>1</v>
      </c>
      <c r="H393">
        <v>2</v>
      </c>
      <c r="I393">
        <v>0</v>
      </c>
      <c r="J393" t="s">
        <v>334</v>
      </c>
      <c r="K393">
        <v>0</v>
      </c>
      <c r="M393">
        <v>0</v>
      </c>
      <c r="O393">
        <v>0</v>
      </c>
      <c r="Q393">
        <v>0</v>
      </c>
      <c r="S393">
        <v>0</v>
      </c>
      <c r="T393">
        <v>2</v>
      </c>
      <c r="U393" s="187">
        <v>44005.700694444437</v>
      </c>
    </row>
    <row r="394" spans="1:21">
      <c r="A394">
        <v>544</v>
      </c>
      <c r="B394">
        <v>1</v>
      </c>
      <c r="C394" t="s">
        <v>540</v>
      </c>
      <c r="D394" t="s">
        <v>541</v>
      </c>
      <c r="E394" s="189"/>
      <c r="F394">
        <v>545</v>
      </c>
      <c r="G394">
        <v>3</v>
      </c>
      <c r="H394">
        <v>0</v>
      </c>
      <c r="I394">
        <v>0</v>
      </c>
      <c r="K394">
        <v>0</v>
      </c>
      <c r="M394">
        <v>0</v>
      </c>
      <c r="O394">
        <v>0</v>
      </c>
      <c r="Q394">
        <v>0</v>
      </c>
      <c r="S394">
        <v>0</v>
      </c>
      <c r="T394">
        <v>7</v>
      </c>
      <c r="U394" s="187">
        <v>45244.493750000001</v>
      </c>
    </row>
    <row r="395" spans="1:21">
      <c r="A395">
        <v>545</v>
      </c>
      <c r="B395">
        <v>1</v>
      </c>
      <c r="C395" t="s">
        <v>542</v>
      </c>
      <c r="D395" t="s">
        <v>543</v>
      </c>
      <c r="E395" s="189"/>
      <c r="F395">
        <v>545</v>
      </c>
      <c r="G395">
        <v>3</v>
      </c>
      <c r="H395">
        <v>0</v>
      </c>
      <c r="I395">
        <v>0</v>
      </c>
      <c r="K395">
        <v>0</v>
      </c>
      <c r="M395">
        <v>0</v>
      </c>
      <c r="O395">
        <v>0</v>
      </c>
      <c r="Q395">
        <v>0</v>
      </c>
      <c r="S395">
        <v>0</v>
      </c>
      <c r="T395">
        <v>6</v>
      </c>
      <c r="U395" s="187">
        <v>44167.578472222223</v>
      </c>
    </row>
    <row r="396" spans="1:21">
      <c r="A396">
        <v>546</v>
      </c>
      <c r="B396">
        <v>1</v>
      </c>
      <c r="C396" t="s">
        <v>544</v>
      </c>
      <c r="D396" t="s">
        <v>544</v>
      </c>
      <c r="E396" s="189"/>
      <c r="F396">
        <v>547</v>
      </c>
      <c r="G396">
        <v>1</v>
      </c>
      <c r="H396">
        <v>0</v>
      </c>
      <c r="I396">
        <v>0</v>
      </c>
      <c r="J396" t="s">
        <v>545</v>
      </c>
      <c r="K396">
        <v>0</v>
      </c>
      <c r="L396" t="s">
        <v>89</v>
      </c>
      <c r="M396">
        <v>0</v>
      </c>
      <c r="O396">
        <v>0</v>
      </c>
      <c r="Q396">
        <v>0</v>
      </c>
      <c r="S396">
        <v>0</v>
      </c>
      <c r="T396">
        <v>2</v>
      </c>
      <c r="U396" s="187">
        <v>44532.731944444437</v>
      </c>
    </row>
    <row r="397" spans="1:21">
      <c r="A397">
        <v>547</v>
      </c>
      <c r="B397">
        <v>1</v>
      </c>
      <c r="C397" t="s">
        <v>546</v>
      </c>
      <c r="D397" t="s">
        <v>546</v>
      </c>
      <c r="E397" s="189"/>
      <c r="F397">
        <v>0</v>
      </c>
      <c r="G397">
        <v>1</v>
      </c>
      <c r="H397">
        <v>0</v>
      </c>
      <c r="I397">
        <v>0</v>
      </c>
      <c r="J397" t="s">
        <v>545</v>
      </c>
      <c r="K397">
        <v>0</v>
      </c>
      <c r="L397" t="s">
        <v>89</v>
      </c>
      <c r="M397">
        <v>0</v>
      </c>
      <c r="O397">
        <v>0</v>
      </c>
      <c r="Q397">
        <v>0</v>
      </c>
      <c r="S397">
        <v>0</v>
      </c>
      <c r="T397">
        <v>2</v>
      </c>
      <c r="U397" s="187">
        <v>44532.731944444437</v>
      </c>
    </row>
    <row r="398" spans="1:21">
      <c r="A398">
        <v>548</v>
      </c>
      <c r="B398">
        <v>1</v>
      </c>
      <c r="C398" t="s">
        <v>547</v>
      </c>
      <c r="D398" t="s">
        <v>547</v>
      </c>
      <c r="E398" s="189"/>
      <c r="F398">
        <v>549</v>
      </c>
      <c r="G398">
        <v>1</v>
      </c>
      <c r="H398">
        <v>2</v>
      </c>
      <c r="I398">
        <v>16</v>
      </c>
      <c r="J398" t="s">
        <v>138</v>
      </c>
      <c r="K398">
        <v>0</v>
      </c>
      <c r="M398">
        <v>0</v>
      </c>
      <c r="O398">
        <v>0</v>
      </c>
      <c r="Q398">
        <v>0</v>
      </c>
      <c r="S398">
        <v>0</v>
      </c>
      <c r="T398">
        <v>2</v>
      </c>
      <c r="U398" s="187">
        <v>45824.486805555563</v>
      </c>
    </row>
    <row r="399" spans="1:21">
      <c r="A399">
        <v>549</v>
      </c>
      <c r="B399">
        <v>1</v>
      </c>
      <c r="C399" t="s">
        <v>548</v>
      </c>
      <c r="D399" t="s">
        <v>548</v>
      </c>
      <c r="E399" s="189"/>
      <c r="F399">
        <v>549</v>
      </c>
      <c r="G399">
        <v>1</v>
      </c>
      <c r="H399">
        <v>2</v>
      </c>
      <c r="I399">
        <v>0</v>
      </c>
      <c r="J399" t="s">
        <v>138</v>
      </c>
      <c r="K399">
        <v>0</v>
      </c>
      <c r="M399">
        <v>0</v>
      </c>
      <c r="O399">
        <v>0</v>
      </c>
      <c r="Q399">
        <v>0</v>
      </c>
      <c r="S399">
        <v>0</v>
      </c>
      <c r="T399">
        <v>3</v>
      </c>
      <c r="U399" s="187">
        <v>45064.607638888891</v>
      </c>
    </row>
    <row r="400" spans="1:21">
      <c r="A400">
        <v>550</v>
      </c>
      <c r="B400">
        <v>1</v>
      </c>
      <c r="C400" t="s">
        <v>549</v>
      </c>
      <c r="D400" t="s">
        <v>550</v>
      </c>
      <c r="E400" s="189">
        <v>100</v>
      </c>
      <c r="F400">
        <v>551</v>
      </c>
      <c r="G400">
        <v>1</v>
      </c>
      <c r="H400">
        <v>2</v>
      </c>
      <c r="I400">
        <v>0</v>
      </c>
      <c r="J400" t="s">
        <v>72</v>
      </c>
      <c r="K400">
        <v>1</v>
      </c>
      <c r="L400" t="s">
        <v>89</v>
      </c>
      <c r="M400">
        <v>0</v>
      </c>
      <c r="N400" t="s">
        <v>550</v>
      </c>
      <c r="O400">
        <v>0</v>
      </c>
      <c r="Q400">
        <v>0</v>
      </c>
      <c r="S400">
        <v>0</v>
      </c>
      <c r="T400">
        <v>3</v>
      </c>
      <c r="U400" s="187">
        <v>44937.614583333343</v>
      </c>
    </row>
    <row r="401" spans="1:21">
      <c r="A401">
        <v>551</v>
      </c>
      <c r="B401">
        <v>0</v>
      </c>
      <c r="C401" t="s">
        <v>551</v>
      </c>
      <c r="D401" t="s">
        <v>551</v>
      </c>
      <c r="E401" s="189">
        <v>100</v>
      </c>
      <c r="F401">
        <v>0</v>
      </c>
      <c r="G401">
        <v>1</v>
      </c>
      <c r="H401">
        <v>2</v>
      </c>
      <c r="I401">
        <v>0</v>
      </c>
      <c r="J401" t="s">
        <v>72</v>
      </c>
      <c r="K401">
        <v>1</v>
      </c>
      <c r="L401" t="s">
        <v>89</v>
      </c>
      <c r="M401">
        <v>0</v>
      </c>
      <c r="N401" t="s">
        <v>178</v>
      </c>
      <c r="O401">
        <v>0</v>
      </c>
      <c r="Q401">
        <v>0</v>
      </c>
      <c r="S401">
        <v>0</v>
      </c>
      <c r="T401">
        <v>2</v>
      </c>
      <c r="U401" s="187">
        <v>44910.572916666657</v>
      </c>
    </row>
    <row r="402" spans="1:21">
      <c r="A402">
        <v>552</v>
      </c>
      <c r="B402">
        <v>1</v>
      </c>
      <c r="C402" t="s">
        <v>552</v>
      </c>
      <c r="D402" t="s">
        <v>552</v>
      </c>
      <c r="E402" s="189"/>
      <c r="F402">
        <v>0</v>
      </c>
      <c r="G402">
        <v>1</v>
      </c>
      <c r="H402">
        <v>0</v>
      </c>
      <c r="I402">
        <v>0</v>
      </c>
      <c r="K402">
        <v>0</v>
      </c>
      <c r="M402">
        <v>0</v>
      </c>
      <c r="O402">
        <v>0</v>
      </c>
      <c r="Q402">
        <v>0</v>
      </c>
      <c r="S402">
        <v>0</v>
      </c>
      <c r="T402">
        <v>2</v>
      </c>
      <c r="U402" s="187">
        <v>44973.67083333333</v>
      </c>
    </row>
    <row r="403" spans="1:21">
      <c r="A403">
        <v>553</v>
      </c>
      <c r="B403">
        <v>1</v>
      </c>
      <c r="C403" t="s">
        <v>553</v>
      </c>
      <c r="D403" t="s">
        <v>553</v>
      </c>
      <c r="E403" s="189"/>
      <c r="F403">
        <v>554</v>
      </c>
      <c r="G403">
        <v>1</v>
      </c>
      <c r="H403">
        <v>2</v>
      </c>
      <c r="I403">
        <v>30</v>
      </c>
      <c r="J403" t="s">
        <v>554</v>
      </c>
      <c r="K403">
        <v>0</v>
      </c>
      <c r="L403" t="s">
        <v>139</v>
      </c>
      <c r="M403">
        <v>0</v>
      </c>
      <c r="O403">
        <v>0</v>
      </c>
      <c r="Q403">
        <v>0</v>
      </c>
      <c r="S403">
        <v>0</v>
      </c>
      <c r="T403">
        <v>2</v>
      </c>
      <c r="U403" s="187">
        <v>45211.456944444442</v>
      </c>
    </row>
    <row r="404" spans="1:21">
      <c r="A404">
        <v>554</v>
      </c>
      <c r="B404">
        <v>1</v>
      </c>
      <c r="C404" t="s">
        <v>553</v>
      </c>
      <c r="D404" t="s">
        <v>553</v>
      </c>
      <c r="E404" s="189"/>
      <c r="F404">
        <v>0</v>
      </c>
      <c r="G404">
        <v>1</v>
      </c>
      <c r="H404">
        <v>0</v>
      </c>
      <c r="I404">
        <v>0</v>
      </c>
      <c r="K404">
        <v>0</v>
      </c>
      <c r="M404">
        <v>0</v>
      </c>
      <c r="O404">
        <v>0</v>
      </c>
      <c r="Q404">
        <v>0</v>
      </c>
      <c r="S404">
        <v>0</v>
      </c>
      <c r="T404">
        <v>2</v>
      </c>
      <c r="U404" s="187">
        <v>44974.561111111107</v>
      </c>
    </row>
    <row r="405" spans="1:21">
      <c r="A405">
        <v>555</v>
      </c>
      <c r="B405">
        <v>1</v>
      </c>
      <c r="C405" t="s">
        <v>555</v>
      </c>
      <c r="D405" t="s">
        <v>555</v>
      </c>
      <c r="E405" s="189"/>
      <c r="F405">
        <v>556</v>
      </c>
      <c r="G405">
        <v>1</v>
      </c>
      <c r="H405">
        <v>2</v>
      </c>
      <c r="I405">
        <v>0</v>
      </c>
      <c r="J405" t="s">
        <v>72</v>
      </c>
      <c r="K405">
        <v>1</v>
      </c>
      <c r="L405" t="s">
        <v>361</v>
      </c>
      <c r="M405">
        <v>0</v>
      </c>
      <c r="N405" t="s">
        <v>362</v>
      </c>
      <c r="O405">
        <v>0</v>
      </c>
      <c r="P405" t="s">
        <v>363</v>
      </c>
      <c r="Q405">
        <v>0</v>
      </c>
      <c r="R405" t="s">
        <v>139</v>
      </c>
      <c r="S405">
        <v>0</v>
      </c>
      <c r="T405">
        <v>2</v>
      </c>
      <c r="U405" s="187">
        <v>45824.481944444437</v>
      </c>
    </row>
    <row r="406" spans="1:21">
      <c r="A406">
        <v>556</v>
      </c>
      <c r="B406">
        <v>1</v>
      </c>
      <c r="C406" t="s">
        <v>556</v>
      </c>
      <c r="D406" t="s">
        <v>556</v>
      </c>
      <c r="E406" s="189"/>
      <c r="F406">
        <v>556</v>
      </c>
      <c r="G406">
        <v>1</v>
      </c>
      <c r="H406">
        <v>2</v>
      </c>
      <c r="I406">
        <v>0</v>
      </c>
      <c r="K406">
        <v>0</v>
      </c>
      <c r="M406">
        <v>0</v>
      </c>
      <c r="O406">
        <v>0</v>
      </c>
      <c r="Q406">
        <v>0</v>
      </c>
      <c r="S406">
        <v>0</v>
      </c>
      <c r="T406">
        <v>2</v>
      </c>
      <c r="U406" s="187">
        <v>45824.481944444437</v>
      </c>
    </row>
    <row r="407" spans="1:21">
      <c r="A407">
        <v>557</v>
      </c>
      <c r="B407">
        <v>0</v>
      </c>
      <c r="C407" t="s">
        <v>557</v>
      </c>
      <c r="D407" t="s">
        <v>557</v>
      </c>
      <c r="E407" s="189"/>
      <c r="F407">
        <v>0</v>
      </c>
      <c r="G407">
        <v>0</v>
      </c>
      <c r="H407">
        <v>0</v>
      </c>
      <c r="I407">
        <v>0</v>
      </c>
      <c r="K407">
        <v>0</v>
      </c>
      <c r="M407">
        <v>0</v>
      </c>
      <c r="O407">
        <v>0</v>
      </c>
      <c r="Q407">
        <v>0</v>
      </c>
      <c r="S407">
        <v>0</v>
      </c>
      <c r="T407">
        <v>2</v>
      </c>
      <c r="U407" s="187">
        <v>45170.594444444447</v>
      </c>
    </row>
    <row r="408" spans="1:21">
      <c r="A408">
        <v>558</v>
      </c>
      <c r="B408">
        <v>1</v>
      </c>
      <c r="C408" t="s">
        <v>558</v>
      </c>
      <c r="D408" t="s">
        <v>558</v>
      </c>
      <c r="E408" s="189"/>
      <c r="F408">
        <v>0</v>
      </c>
      <c r="G408">
        <v>1</v>
      </c>
      <c r="H408">
        <v>0</v>
      </c>
      <c r="I408">
        <v>80</v>
      </c>
      <c r="K408">
        <v>0</v>
      </c>
      <c r="M408">
        <v>0</v>
      </c>
      <c r="O408">
        <v>0</v>
      </c>
      <c r="Q408">
        <v>0</v>
      </c>
      <c r="S408">
        <v>0</v>
      </c>
      <c r="T408">
        <v>4</v>
      </c>
      <c r="U408" s="187">
        <v>45226.445833333331</v>
      </c>
    </row>
    <row r="409" spans="1:21">
      <c r="A409">
        <v>559</v>
      </c>
      <c r="B409">
        <v>1</v>
      </c>
      <c r="C409" t="s">
        <v>559</v>
      </c>
      <c r="D409" t="s">
        <v>559</v>
      </c>
      <c r="E409" s="189"/>
      <c r="F409">
        <v>0</v>
      </c>
      <c r="G409">
        <v>1</v>
      </c>
      <c r="H409">
        <v>0</v>
      </c>
      <c r="I409">
        <v>80</v>
      </c>
      <c r="K409">
        <v>0</v>
      </c>
      <c r="M409">
        <v>0</v>
      </c>
      <c r="O409">
        <v>0</v>
      </c>
      <c r="Q409">
        <v>0</v>
      </c>
      <c r="S409">
        <v>0</v>
      </c>
      <c r="T409">
        <v>4</v>
      </c>
      <c r="U409" s="187">
        <v>45226.445833333331</v>
      </c>
    </row>
    <row r="410" spans="1:21">
      <c r="A410">
        <v>560</v>
      </c>
      <c r="B410">
        <v>1</v>
      </c>
      <c r="C410" t="s">
        <v>560</v>
      </c>
      <c r="D410" t="s">
        <v>560</v>
      </c>
      <c r="E410" s="189"/>
      <c r="F410">
        <v>0</v>
      </c>
      <c r="G410">
        <v>1</v>
      </c>
      <c r="H410">
        <v>0</v>
      </c>
      <c r="I410">
        <v>80</v>
      </c>
      <c r="K410">
        <v>0</v>
      </c>
      <c r="M410">
        <v>0</v>
      </c>
      <c r="O410">
        <v>0</v>
      </c>
      <c r="Q410">
        <v>0</v>
      </c>
      <c r="S410">
        <v>0</v>
      </c>
      <c r="T410">
        <v>4</v>
      </c>
      <c r="U410" s="187">
        <v>45226.446527777778</v>
      </c>
    </row>
    <row r="411" spans="1:21">
      <c r="A411">
        <v>561</v>
      </c>
      <c r="B411">
        <v>1</v>
      </c>
      <c r="C411" t="s">
        <v>561</v>
      </c>
      <c r="D411" t="s">
        <v>561</v>
      </c>
      <c r="E411" s="189"/>
      <c r="F411">
        <v>0</v>
      </c>
      <c r="G411">
        <v>1</v>
      </c>
      <c r="H411">
        <v>0</v>
      </c>
      <c r="I411">
        <v>80</v>
      </c>
      <c r="K411">
        <v>0</v>
      </c>
      <c r="M411">
        <v>0</v>
      </c>
      <c r="O411">
        <v>0</v>
      </c>
      <c r="Q411">
        <v>0</v>
      </c>
      <c r="S411">
        <v>0</v>
      </c>
      <c r="T411">
        <v>4</v>
      </c>
      <c r="U411" s="187">
        <v>45226.446527777778</v>
      </c>
    </row>
    <row r="412" spans="1:21">
      <c r="A412">
        <v>562</v>
      </c>
      <c r="B412">
        <v>1</v>
      </c>
      <c r="C412" t="s">
        <v>562</v>
      </c>
      <c r="D412" t="s">
        <v>562</v>
      </c>
      <c r="E412" s="189"/>
      <c r="F412">
        <v>0</v>
      </c>
      <c r="G412">
        <v>1</v>
      </c>
      <c r="H412">
        <v>0</v>
      </c>
      <c r="I412">
        <v>0</v>
      </c>
      <c r="K412">
        <v>0</v>
      </c>
      <c r="M412">
        <v>0</v>
      </c>
      <c r="O412">
        <v>0</v>
      </c>
      <c r="Q412">
        <v>0</v>
      </c>
      <c r="S412">
        <v>0</v>
      </c>
      <c r="T412">
        <v>4</v>
      </c>
      <c r="U412" s="187">
        <v>45216.566666666673</v>
      </c>
    </row>
    <row r="413" spans="1:21">
      <c r="A413">
        <v>563</v>
      </c>
      <c r="B413">
        <v>1</v>
      </c>
      <c r="C413" t="s">
        <v>563</v>
      </c>
      <c r="D413" t="s">
        <v>564</v>
      </c>
      <c r="E413" s="189"/>
      <c r="F413">
        <v>564</v>
      </c>
      <c r="G413">
        <v>0</v>
      </c>
      <c r="H413">
        <v>0</v>
      </c>
      <c r="I413">
        <v>0</v>
      </c>
      <c r="K413">
        <v>0</v>
      </c>
      <c r="M413">
        <v>0</v>
      </c>
      <c r="O413">
        <v>0</v>
      </c>
      <c r="Q413">
        <v>0</v>
      </c>
      <c r="S413">
        <v>0</v>
      </c>
      <c r="T413">
        <v>2</v>
      </c>
      <c r="U413" s="187">
        <v>45370.57708333333</v>
      </c>
    </row>
    <row r="414" spans="1:21">
      <c r="A414">
        <v>564</v>
      </c>
      <c r="B414">
        <v>1</v>
      </c>
      <c r="C414" t="s">
        <v>565</v>
      </c>
      <c r="D414" t="s">
        <v>564</v>
      </c>
      <c r="E414" s="189"/>
      <c r="F414">
        <v>0</v>
      </c>
      <c r="G414">
        <v>0</v>
      </c>
      <c r="H414">
        <v>0</v>
      </c>
      <c r="I414">
        <v>0</v>
      </c>
      <c r="K414">
        <v>0</v>
      </c>
      <c r="M414">
        <v>0</v>
      </c>
      <c r="O414">
        <v>0</v>
      </c>
      <c r="Q414">
        <v>0</v>
      </c>
      <c r="S414">
        <v>0</v>
      </c>
      <c r="T414">
        <v>2</v>
      </c>
      <c r="U414" s="187">
        <v>45370.578472222223</v>
      </c>
    </row>
    <row r="415" spans="1:21">
      <c r="A415">
        <v>570</v>
      </c>
      <c r="B415">
        <v>1</v>
      </c>
      <c r="C415" t="s">
        <v>566</v>
      </c>
      <c r="D415" t="s">
        <v>566</v>
      </c>
      <c r="E415" s="189"/>
      <c r="F415">
        <v>0</v>
      </c>
      <c r="G415">
        <v>3</v>
      </c>
      <c r="H415">
        <v>2</v>
      </c>
      <c r="I415">
        <v>0</v>
      </c>
      <c r="J415" t="s">
        <v>345</v>
      </c>
      <c r="K415">
        <v>0</v>
      </c>
      <c r="M415">
        <v>0</v>
      </c>
      <c r="O415">
        <v>0</v>
      </c>
      <c r="Q415">
        <v>0</v>
      </c>
      <c r="S415">
        <v>0</v>
      </c>
      <c r="T415">
        <v>7</v>
      </c>
      <c r="U415" s="187">
        <v>45279.568055555559</v>
      </c>
    </row>
    <row r="416" spans="1:21">
      <c r="A416">
        <v>571</v>
      </c>
      <c r="B416">
        <v>1</v>
      </c>
      <c r="C416" t="s">
        <v>567</v>
      </c>
      <c r="D416" t="s">
        <v>568</v>
      </c>
      <c r="E416" s="189"/>
      <c r="F416">
        <v>0</v>
      </c>
      <c r="G416">
        <v>3</v>
      </c>
      <c r="H416">
        <v>2</v>
      </c>
      <c r="I416">
        <v>0</v>
      </c>
      <c r="J416" t="s">
        <v>569</v>
      </c>
      <c r="K416">
        <v>0</v>
      </c>
      <c r="M416">
        <v>0</v>
      </c>
      <c r="O416">
        <v>0</v>
      </c>
      <c r="Q416">
        <v>0</v>
      </c>
      <c r="S416">
        <v>0</v>
      </c>
      <c r="T416">
        <v>7</v>
      </c>
      <c r="U416" s="187">
        <v>45279.568749999999</v>
      </c>
    </row>
    <row r="417" spans="1:21">
      <c r="A417">
        <v>572</v>
      </c>
      <c r="B417">
        <v>1</v>
      </c>
      <c r="C417" t="s">
        <v>570</v>
      </c>
      <c r="D417" t="s">
        <v>570</v>
      </c>
      <c r="E417" s="189"/>
      <c r="F417">
        <v>0</v>
      </c>
      <c r="G417">
        <v>3</v>
      </c>
      <c r="H417">
        <v>2</v>
      </c>
      <c r="I417">
        <v>0</v>
      </c>
      <c r="J417" t="s">
        <v>571</v>
      </c>
      <c r="K417">
        <v>0</v>
      </c>
      <c r="M417">
        <v>0</v>
      </c>
      <c r="O417">
        <v>0</v>
      </c>
      <c r="Q417">
        <v>0</v>
      </c>
      <c r="S417">
        <v>0</v>
      </c>
      <c r="T417">
        <v>7</v>
      </c>
      <c r="U417" s="187">
        <v>45279.571527777778</v>
      </c>
    </row>
    <row r="418" spans="1:21">
      <c r="A418">
        <v>573</v>
      </c>
      <c r="B418">
        <v>1</v>
      </c>
      <c r="C418" t="s">
        <v>572</v>
      </c>
      <c r="D418" t="s">
        <v>572</v>
      </c>
      <c r="E418" s="189"/>
      <c r="F418">
        <v>0</v>
      </c>
      <c r="G418">
        <v>3</v>
      </c>
      <c r="H418">
        <v>2</v>
      </c>
      <c r="I418">
        <v>0</v>
      </c>
      <c r="J418" t="s">
        <v>573</v>
      </c>
      <c r="K418">
        <v>0</v>
      </c>
      <c r="M418">
        <v>0</v>
      </c>
      <c r="O418">
        <v>0</v>
      </c>
      <c r="Q418">
        <v>0</v>
      </c>
      <c r="S418">
        <v>0</v>
      </c>
      <c r="T418">
        <v>4</v>
      </c>
      <c r="U418" s="187">
        <v>45306.5625</v>
      </c>
    </row>
    <row r="419" spans="1:21">
      <c r="A419">
        <v>574</v>
      </c>
      <c r="B419">
        <v>1</v>
      </c>
      <c r="C419" t="s">
        <v>574</v>
      </c>
      <c r="D419" t="s">
        <v>574</v>
      </c>
      <c r="E419" s="189"/>
      <c r="F419">
        <v>0</v>
      </c>
      <c r="G419">
        <v>3</v>
      </c>
      <c r="H419">
        <v>2</v>
      </c>
      <c r="I419">
        <v>0</v>
      </c>
      <c r="J419" t="s">
        <v>575</v>
      </c>
      <c r="K419">
        <v>0</v>
      </c>
      <c r="M419">
        <v>0</v>
      </c>
      <c r="O419">
        <v>0</v>
      </c>
      <c r="Q419">
        <v>0</v>
      </c>
      <c r="S419">
        <v>0</v>
      </c>
      <c r="T419">
        <v>7</v>
      </c>
      <c r="U419" s="187">
        <v>45279.572916666657</v>
      </c>
    </row>
    <row r="420" spans="1:21">
      <c r="A420">
        <v>575</v>
      </c>
      <c r="B420">
        <v>1</v>
      </c>
      <c r="C420" t="s">
        <v>531</v>
      </c>
      <c r="D420" t="s">
        <v>576</v>
      </c>
      <c r="E420" s="189"/>
      <c r="F420">
        <v>576</v>
      </c>
      <c r="G420">
        <v>0</v>
      </c>
      <c r="H420">
        <v>2</v>
      </c>
      <c r="I420">
        <v>0</v>
      </c>
      <c r="J420" t="s">
        <v>72</v>
      </c>
      <c r="K420">
        <v>1</v>
      </c>
      <c r="L420" t="s">
        <v>138</v>
      </c>
      <c r="M420">
        <v>0</v>
      </c>
      <c r="N420" t="s">
        <v>89</v>
      </c>
      <c r="O420">
        <v>0</v>
      </c>
      <c r="P420" t="s">
        <v>374</v>
      </c>
      <c r="Q420">
        <v>0</v>
      </c>
      <c r="R420" t="s">
        <v>375</v>
      </c>
      <c r="S420">
        <v>0</v>
      </c>
      <c r="T420">
        <v>2</v>
      </c>
      <c r="U420" s="187">
        <v>45737.614583333343</v>
      </c>
    </row>
    <row r="421" spans="1:21">
      <c r="A421">
        <v>576</v>
      </c>
      <c r="B421">
        <v>1</v>
      </c>
      <c r="C421" t="s">
        <v>577</v>
      </c>
      <c r="D421" t="s">
        <v>577</v>
      </c>
      <c r="E421" s="189"/>
      <c r="F421">
        <v>0</v>
      </c>
      <c r="G421">
        <v>1</v>
      </c>
      <c r="H421">
        <v>2</v>
      </c>
      <c r="I421">
        <v>0</v>
      </c>
      <c r="J421" t="s">
        <v>72</v>
      </c>
      <c r="K421">
        <v>1</v>
      </c>
      <c r="L421" t="s">
        <v>578</v>
      </c>
      <c r="M421">
        <v>0</v>
      </c>
      <c r="N421" t="s">
        <v>138</v>
      </c>
      <c r="O421">
        <v>0</v>
      </c>
      <c r="Q421">
        <v>0</v>
      </c>
      <c r="S421">
        <v>0</v>
      </c>
      <c r="T421">
        <v>2</v>
      </c>
      <c r="U421" s="187">
        <v>45748.4</v>
      </c>
    </row>
    <row r="422" spans="1:21">
      <c r="A422">
        <v>600</v>
      </c>
      <c r="B422">
        <v>1</v>
      </c>
      <c r="C422" t="s">
        <v>579</v>
      </c>
      <c r="D422" t="s">
        <v>579</v>
      </c>
      <c r="E422" s="189"/>
      <c r="F422">
        <v>601</v>
      </c>
      <c r="G422">
        <v>1</v>
      </c>
      <c r="H422">
        <v>2</v>
      </c>
      <c r="I422">
        <v>0</v>
      </c>
      <c r="J422" t="s">
        <v>580</v>
      </c>
      <c r="K422">
        <v>0</v>
      </c>
      <c r="L422" t="s">
        <v>89</v>
      </c>
      <c r="M422">
        <v>0</v>
      </c>
      <c r="O422">
        <v>0</v>
      </c>
      <c r="Q422">
        <v>0</v>
      </c>
      <c r="S422">
        <v>0</v>
      </c>
      <c r="T422">
        <v>6</v>
      </c>
      <c r="U422" s="187">
        <v>43433.401388888888</v>
      </c>
    </row>
    <row r="423" spans="1:21">
      <c r="A423">
        <v>601</v>
      </c>
      <c r="B423">
        <v>1</v>
      </c>
      <c r="C423" t="s">
        <v>581</v>
      </c>
      <c r="D423" t="s">
        <v>581</v>
      </c>
      <c r="E423" s="189"/>
      <c r="F423">
        <v>0</v>
      </c>
      <c r="G423">
        <v>1</v>
      </c>
      <c r="H423">
        <v>2</v>
      </c>
      <c r="I423">
        <v>0</v>
      </c>
      <c r="K423">
        <v>0</v>
      </c>
      <c r="M423">
        <v>0</v>
      </c>
      <c r="O423">
        <v>0</v>
      </c>
      <c r="Q423">
        <v>0</v>
      </c>
      <c r="S423">
        <v>0</v>
      </c>
      <c r="T423">
        <v>6</v>
      </c>
      <c r="U423" s="187">
        <v>43433.401388888888</v>
      </c>
    </row>
    <row r="424" spans="1:21">
      <c r="A424">
        <v>602</v>
      </c>
      <c r="B424">
        <v>0</v>
      </c>
      <c r="C424" t="s">
        <v>582</v>
      </c>
      <c r="D424" t="s">
        <v>582</v>
      </c>
      <c r="E424" s="189"/>
      <c r="F424">
        <v>0</v>
      </c>
      <c r="G424">
        <v>3</v>
      </c>
      <c r="H424">
        <v>0</v>
      </c>
      <c r="I424">
        <v>0</v>
      </c>
      <c r="K424">
        <v>0</v>
      </c>
      <c r="M424">
        <v>0</v>
      </c>
      <c r="O424">
        <v>0</v>
      </c>
      <c r="Q424">
        <v>0</v>
      </c>
      <c r="S424">
        <v>0</v>
      </c>
      <c r="T424">
        <v>6</v>
      </c>
      <c r="U424" s="187">
        <v>42674.584027777782</v>
      </c>
    </row>
    <row r="425" spans="1:21">
      <c r="A425">
        <v>603</v>
      </c>
      <c r="B425">
        <v>1</v>
      </c>
      <c r="C425" t="s">
        <v>452</v>
      </c>
      <c r="D425" t="s">
        <v>452</v>
      </c>
      <c r="E425" s="189"/>
      <c r="F425">
        <v>0</v>
      </c>
      <c r="G425">
        <v>1</v>
      </c>
      <c r="H425">
        <v>0</v>
      </c>
      <c r="I425">
        <v>0</v>
      </c>
      <c r="K425">
        <v>0</v>
      </c>
      <c r="M425">
        <v>0</v>
      </c>
      <c r="O425">
        <v>0</v>
      </c>
      <c r="Q425">
        <v>0</v>
      </c>
      <c r="S425">
        <v>0</v>
      </c>
      <c r="T425">
        <v>2</v>
      </c>
      <c r="U425" s="187">
        <v>42682.54791666667</v>
      </c>
    </row>
    <row r="426" spans="1:21">
      <c r="A426">
        <v>604</v>
      </c>
      <c r="B426">
        <v>1</v>
      </c>
      <c r="C426" t="s">
        <v>583</v>
      </c>
      <c r="D426" t="s">
        <v>583</v>
      </c>
      <c r="E426" s="189"/>
      <c r="F426">
        <v>0</v>
      </c>
      <c r="G426">
        <v>1</v>
      </c>
      <c r="H426">
        <v>0</v>
      </c>
      <c r="I426">
        <v>0</v>
      </c>
      <c r="K426">
        <v>0</v>
      </c>
      <c r="M426">
        <v>0</v>
      </c>
      <c r="O426">
        <v>0</v>
      </c>
      <c r="Q426">
        <v>0</v>
      </c>
      <c r="S426">
        <v>0</v>
      </c>
      <c r="T426">
        <v>1</v>
      </c>
      <c r="U426" s="187">
        <v>42711.476388888892</v>
      </c>
    </row>
    <row r="427" spans="1:21">
      <c r="A427">
        <v>605</v>
      </c>
      <c r="B427">
        <v>1</v>
      </c>
      <c r="C427" t="s">
        <v>584</v>
      </c>
      <c r="D427" t="s">
        <v>584</v>
      </c>
      <c r="E427" s="189"/>
      <c r="F427">
        <v>606</v>
      </c>
      <c r="G427">
        <v>1</v>
      </c>
      <c r="H427">
        <v>0</v>
      </c>
      <c r="I427">
        <v>0</v>
      </c>
      <c r="K427">
        <v>0</v>
      </c>
      <c r="M427">
        <v>0</v>
      </c>
      <c r="O427">
        <v>0</v>
      </c>
      <c r="Q427">
        <v>0</v>
      </c>
      <c r="S427">
        <v>0</v>
      </c>
      <c r="T427">
        <v>7</v>
      </c>
      <c r="U427" s="187">
        <v>43529.595138888893</v>
      </c>
    </row>
    <row r="428" spans="1:21">
      <c r="A428">
        <v>606</v>
      </c>
      <c r="B428">
        <v>1</v>
      </c>
      <c r="C428" t="s">
        <v>584</v>
      </c>
      <c r="D428" t="s">
        <v>584</v>
      </c>
      <c r="E428" s="189"/>
      <c r="F428">
        <v>0</v>
      </c>
      <c r="G428">
        <v>1</v>
      </c>
      <c r="H428">
        <v>0</v>
      </c>
      <c r="I428">
        <v>0</v>
      </c>
      <c r="K428">
        <v>0</v>
      </c>
      <c r="M428">
        <v>0</v>
      </c>
      <c r="O428">
        <v>0</v>
      </c>
      <c r="Q428">
        <v>0</v>
      </c>
      <c r="S428">
        <v>0</v>
      </c>
      <c r="T428">
        <v>7</v>
      </c>
      <c r="U428" s="187">
        <v>43529.595138888893</v>
      </c>
    </row>
    <row r="429" spans="1:21">
      <c r="A429">
        <v>607</v>
      </c>
      <c r="B429">
        <v>1</v>
      </c>
      <c r="C429" t="s">
        <v>585</v>
      </c>
      <c r="D429" t="s">
        <v>585</v>
      </c>
      <c r="E429" s="189"/>
      <c r="F429">
        <v>608</v>
      </c>
      <c r="G429">
        <v>0</v>
      </c>
      <c r="H429">
        <v>1</v>
      </c>
      <c r="I429">
        <v>0</v>
      </c>
      <c r="J429" t="s">
        <v>72</v>
      </c>
      <c r="K429">
        <v>1</v>
      </c>
      <c r="L429" t="s">
        <v>138</v>
      </c>
      <c r="M429">
        <v>0</v>
      </c>
      <c r="N429" t="s">
        <v>89</v>
      </c>
      <c r="O429">
        <v>0</v>
      </c>
      <c r="P429" t="s">
        <v>374</v>
      </c>
      <c r="Q429">
        <v>0</v>
      </c>
      <c r="R429" t="s">
        <v>375</v>
      </c>
      <c r="S429">
        <v>0</v>
      </c>
      <c r="T429">
        <v>7</v>
      </c>
      <c r="U429" s="187">
        <v>45097.661805555559</v>
      </c>
    </row>
    <row r="430" spans="1:21">
      <c r="A430">
        <v>608</v>
      </c>
      <c r="B430">
        <v>1</v>
      </c>
      <c r="C430" t="s">
        <v>585</v>
      </c>
      <c r="D430" t="s">
        <v>585</v>
      </c>
      <c r="E430" s="189"/>
      <c r="F430">
        <v>0</v>
      </c>
      <c r="G430">
        <v>1</v>
      </c>
      <c r="H430">
        <v>2</v>
      </c>
      <c r="I430">
        <v>0</v>
      </c>
      <c r="K430">
        <v>0</v>
      </c>
      <c r="M430">
        <v>0</v>
      </c>
      <c r="O430">
        <v>0</v>
      </c>
      <c r="Q430">
        <v>0</v>
      </c>
      <c r="S430">
        <v>0</v>
      </c>
      <c r="T430">
        <v>7</v>
      </c>
      <c r="U430" s="187">
        <v>45097.658333333333</v>
      </c>
    </row>
    <row r="431" spans="1:21">
      <c r="A431">
        <v>609</v>
      </c>
      <c r="B431">
        <v>1</v>
      </c>
      <c r="C431" t="s">
        <v>586</v>
      </c>
      <c r="D431" t="s">
        <v>586</v>
      </c>
      <c r="E431" s="189"/>
      <c r="F431">
        <v>610</v>
      </c>
      <c r="G431">
        <v>0</v>
      </c>
      <c r="H431">
        <v>1</v>
      </c>
      <c r="I431">
        <v>0</v>
      </c>
      <c r="J431" t="s">
        <v>72</v>
      </c>
      <c r="K431">
        <v>1</v>
      </c>
      <c r="L431" t="s">
        <v>138</v>
      </c>
      <c r="M431">
        <v>0</v>
      </c>
      <c r="N431" t="s">
        <v>89</v>
      </c>
      <c r="O431">
        <v>0</v>
      </c>
      <c r="P431" t="s">
        <v>374</v>
      </c>
      <c r="Q431">
        <v>0</v>
      </c>
      <c r="R431" t="s">
        <v>375</v>
      </c>
      <c r="S431">
        <v>0</v>
      </c>
      <c r="T431">
        <v>7</v>
      </c>
      <c r="U431" s="187">
        <v>45097.662499999999</v>
      </c>
    </row>
    <row r="432" spans="1:21">
      <c r="A432">
        <v>610</v>
      </c>
      <c r="B432">
        <v>1</v>
      </c>
      <c r="C432" t="s">
        <v>586</v>
      </c>
      <c r="D432" t="s">
        <v>586</v>
      </c>
      <c r="E432" s="189"/>
      <c r="F432">
        <v>0</v>
      </c>
      <c r="G432">
        <v>1</v>
      </c>
      <c r="H432">
        <v>2</v>
      </c>
      <c r="I432">
        <v>0</v>
      </c>
      <c r="K432">
        <v>0</v>
      </c>
      <c r="M432">
        <v>0</v>
      </c>
      <c r="O432">
        <v>0</v>
      </c>
      <c r="Q432">
        <v>0</v>
      </c>
      <c r="S432">
        <v>0</v>
      </c>
      <c r="T432">
        <v>7</v>
      </c>
      <c r="U432" s="187">
        <v>45097.662499999999</v>
      </c>
    </row>
    <row r="433" spans="1:21">
      <c r="A433">
        <v>611</v>
      </c>
      <c r="B433">
        <v>1</v>
      </c>
      <c r="C433" t="s">
        <v>587</v>
      </c>
      <c r="D433" t="s">
        <v>587</v>
      </c>
      <c r="E433" s="189"/>
      <c r="F433">
        <v>612</v>
      </c>
      <c r="G433">
        <v>0</v>
      </c>
      <c r="H433">
        <v>1</v>
      </c>
      <c r="I433">
        <v>0</v>
      </c>
      <c r="K433">
        <v>0</v>
      </c>
      <c r="M433">
        <v>0</v>
      </c>
      <c r="O433">
        <v>0</v>
      </c>
      <c r="Q433">
        <v>0</v>
      </c>
      <c r="S433">
        <v>0</v>
      </c>
      <c r="T433">
        <v>7</v>
      </c>
      <c r="U433" s="187">
        <v>45098.629861111112</v>
      </c>
    </row>
    <row r="434" spans="1:21">
      <c r="A434">
        <v>612</v>
      </c>
      <c r="B434">
        <v>1</v>
      </c>
      <c r="C434" t="s">
        <v>587</v>
      </c>
      <c r="D434" t="s">
        <v>587</v>
      </c>
      <c r="E434" s="189"/>
      <c r="F434">
        <v>0</v>
      </c>
      <c r="G434">
        <v>1</v>
      </c>
      <c r="H434">
        <v>2</v>
      </c>
      <c r="I434">
        <v>0</v>
      </c>
      <c r="K434">
        <v>0</v>
      </c>
      <c r="M434">
        <v>0</v>
      </c>
      <c r="O434">
        <v>0</v>
      </c>
      <c r="Q434">
        <v>0</v>
      </c>
      <c r="S434">
        <v>0</v>
      </c>
      <c r="T434">
        <v>7</v>
      </c>
      <c r="U434" s="187">
        <v>45098.629861111112</v>
      </c>
    </row>
    <row r="435" spans="1:21">
      <c r="A435">
        <v>613</v>
      </c>
      <c r="B435">
        <v>1</v>
      </c>
      <c r="C435" t="s">
        <v>364</v>
      </c>
      <c r="D435" t="s">
        <v>364</v>
      </c>
      <c r="E435" s="189"/>
      <c r="F435">
        <v>0</v>
      </c>
      <c r="G435">
        <v>1</v>
      </c>
      <c r="H435">
        <v>0</v>
      </c>
      <c r="I435">
        <v>42</v>
      </c>
      <c r="K435">
        <v>0</v>
      </c>
      <c r="M435">
        <v>0</v>
      </c>
      <c r="O435">
        <v>0</v>
      </c>
      <c r="Q435">
        <v>0</v>
      </c>
      <c r="S435">
        <v>0</v>
      </c>
      <c r="T435">
        <v>4</v>
      </c>
      <c r="U435" s="187">
        <v>45581.526388888888</v>
      </c>
    </row>
    <row r="436" spans="1:21">
      <c r="A436">
        <v>614</v>
      </c>
      <c r="B436">
        <v>1</v>
      </c>
      <c r="C436" t="s">
        <v>588</v>
      </c>
      <c r="D436" t="s">
        <v>588</v>
      </c>
      <c r="E436" s="189"/>
      <c r="F436">
        <v>0</v>
      </c>
      <c r="G436">
        <v>1</v>
      </c>
      <c r="H436">
        <v>1</v>
      </c>
      <c r="I436">
        <v>80</v>
      </c>
      <c r="K436">
        <v>0</v>
      </c>
      <c r="M436">
        <v>0</v>
      </c>
      <c r="O436">
        <v>0</v>
      </c>
      <c r="Q436">
        <v>0</v>
      </c>
      <c r="S436">
        <v>0</v>
      </c>
      <c r="T436">
        <v>4</v>
      </c>
      <c r="U436" s="187">
        <v>45581.526388888888</v>
      </c>
    </row>
    <row r="437" spans="1:21">
      <c r="A437">
        <v>615</v>
      </c>
      <c r="B437">
        <v>0</v>
      </c>
      <c r="C437" t="s">
        <v>589</v>
      </c>
      <c r="D437" t="s">
        <v>589</v>
      </c>
      <c r="E437" s="189"/>
      <c r="F437">
        <v>0</v>
      </c>
      <c r="G437">
        <v>0</v>
      </c>
      <c r="H437">
        <v>0</v>
      </c>
      <c r="I437">
        <v>0</v>
      </c>
      <c r="K437">
        <v>0</v>
      </c>
      <c r="M437">
        <v>0</v>
      </c>
      <c r="O437">
        <v>0</v>
      </c>
      <c r="Q437">
        <v>0</v>
      </c>
      <c r="S437">
        <v>0</v>
      </c>
      <c r="T437">
        <v>3</v>
      </c>
      <c r="U437" s="187">
        <v>45601.616666666669</v>
      </c>
    </row>
    <row r="438" spans="1:21">
      <c r="E438" s="190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注文弁当の抽出</vt:lpstr>
      <vt:lpstr>クライアント抽出</vt:lpstr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数出表_Excel【15時】</vt:lpstr>
      <vt:lpstr>盛付札（関数）【15時】</vt:lpstr>
      <vt:lpstr>変更先抽出【15時】</vt:lpstr>
      <vt:lpstr>札_まとめ（印刷用）【15時】</vt:lpstr>
      <vt:lpstr>Sheet1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2025-06-25T20:30:12Z</cp:lastPrinted>
  <dcterms:created xsi:type="dcterms:W3CDTF">2025-03-09T00:44:18Z</dcterms:created>
  <dcterms:modified xsi:type="dcterms:W3CDTF">2025-08-20T19:11:07Z</dcterms:modified>
</cp:coreProperties>
</file>