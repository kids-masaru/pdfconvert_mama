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7492263-3E42-4885-BB11-C73CDF404A6C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4" state="hidden" r:id="rId13"/>
    <sheet name="商品マスタ一覧" sheetId="13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M1" i="10" l="1"/>
  <c r="DX1" i="10"/>
  <c r="DI1" i="10"/>
  <c r="CT1" i="10"/>
  <c r="CE1" i="10"/>
  <c r="BP1" i="10"/>
  <c r="H1" i="10"/>
  <c r="I256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I141" i="9"/>
  <c r="I114" i="9"/>
  <c r="I79" i="9"/>
  <c r="I87" i="9"/>
  <c r="I95" i="9"/>
  <c r="I103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58" i="9"/>
  <c r="I66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41" i="9"/>
  <c r="C1" i="9"/>
  <c r="C2" i="9"/>
  <c r="H2" i="9" s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I48" i="9" s="1"/>
  <c r="C49" i="9"/>
  <c r="C50" i="9"/>
  <c r="C51" i="9"/>
  <c r="C52" i="9"/>
  <c r="C53" i="9"/>
  <c r="C54" i="9"/>
  <c r="C55" i="9"/>
  <c r="I55" i="9" s="1"/>
  <c r="C56" i="9"/>
  <c r="I56" i="9" s="1"/>
  <c r="C57" i="9"/>
  <c r="I57" i="9" s="1"/>
  <c r="C58" i="9"/>
  <c r="C59" i="9"/>
  <c r="I59" i="9" s="1"/>
  <c r="C60" i="9"/>
  <c r="I60" i="9" s="1"/>
  <c r="C61" i="9"/>
  <c r="I61" i="9" s="1"/>
  <c r="C62" i="9"/>
  <c r="I62" i="9" s="1"/>
  <c r="C63" i="9"/>
  <c r="I63" i="9" s="1"/>
  <c r="C64" i="9"/>
  <c r="I64" i="9" s="1"/>
  <c r="C65" i="9"/>
  <c r="I65" i="9" s="1"/>
  <c r="C66" i="9"/>
  <c r="C67" i="9"/>
  <c r="I67" i="9" s="1"/>
  <c r="C68" i="9"/>
  <c r="I68" i="9" s="1"/>
  <c r="C69" i="9"/>
  <c r="I69" i="9" s="1"/>
  <c r="C70" i="9"/>
  <c r="I70" i="9" s="1"/>
  <c r="C138" i="9"/>
  <c r="I138" i="9" s="1"/>
  <c r="C139" i="9"/>
  <c r="I139" i="9" s="1"/>
  <c r="C140" i="9"/>
  <c r="I140" i="9" s="1"/>
  <c r="C116" i="9"/>
  <c r="I116" i="9" s="1"/>
  <c r="C117" i="9"/>
  <c r="I117" i="9" s="1"/>
  <c r="C118" i="9"/>
  <c r="I118" i="9" s="1"/>
  <c r="C119" i="9"/>
  <c r="I119" i="9" s="1"/>
  <c r="C120" i="9"/>
  <c r="I120" i="9" s="1"/>
  <c r="C121" i="9"/>
  <c r="I121" i="9" s="1"/>
  <c r="C122" i="9"/>
  <c r="I122" i="9" s="1"/>
  <c r="C123" i="9"/>
  <c r="I123" i="9" s="1"/>
  <c r="C124" i="9"/>
  <c r="I124" i="9" s="1"/>
  <c r="C125" i="9"/>
  <c r="I125" i="9" s="1"/>
  <c r="C126" i="9"/>
  <c r="I126" i="9" s="1"/>
  <c r="C127" i="9"/>
  <c r="I127" i="9" s="1"/>
  <c r="C128" i="9"/>
  <c r="I128" i="9" s="1"/>
  <c r="C129" i="9"/>
  <c r="I129" i="9" s="1"/>
  <c r="C130" i="9"/>
  <c r="I130" i="9" s="1"/>
  <c r="C131" i="9"/>
  <c r="I131" i="9" s="1"/>
  <c r="C132" i="9"/>
  <c r="I132" i="9" s="1"/>
  <c r="C133" i="9"/>
  <c r="I133" i="9" s="1"/>
  <c r="C134" i="9"/>
  <c r="I134" i="9" s="1"/>
  <c r="C135" i="9"/>
  <c r="I135" i="9" s="1"/>
  <c r="C136" i="9"/>
  <c r="I136" i="9" s="1"/>
  <c r="C137" i="9"/>
  <c r="I137" i="9" s="1"/>
  <c r="C93" i="9"/>
  <c r="I93" i="9" s="1"/>
  <c r="C94" i="9"/>
  <c r="I94" i="9" s="1"/>
  <c r="C95" i="9"/>
  <c r="C96" i="9"/>
  <c r="I96" i="9" s="1"/>
  <c r="C97" i="9"/>
  <c r="I97" i="9" s="1"/>
  <c r="C98" i="9"/>
  <c r="I98" i="9" s="1"/>
  <c r="C99" i="9"/>
  <c r="I99" i="9" s="1"/>
  <c r="C100" i="9"/>
  <c r="I100" i="9" s="1"/>
  <c r="C101" i="9"/>
  <c r="I101" i="9" s="1"/>
  <c r="C102" i="9"/>
  <c r="I102" i="9" s="1"/>
  <c r="C103" i="9"/>
  <c r="C104" i="9"/>
  <c r="I104" i="9" s="1"/>
  <c r="C105" i="9"/>
  <c r="I105" i="9" s="1"/>
  <c r="C106" i="9"/>
  <c r="I106" i="9" s="1"/>
  <c r="C107" i="9"/>
  <c r="I107" i="9" s="1"/>
  <c r="C108" i="9"/>
  <c r="I108" i="9" s="1"/>
  <c r="C110" i="9"/>
  <c r="I110" i="9" s="1"/>
  <c r="C111" i="9"/>
  <c r="I111" i="9" s="1"/>
  <c r="C112" i="9"/>
  <c r="I112" i="9" s="1"/>
  <c r="C113" i="9"/>
  <c r="I113" i="9" s="1"/>
  <c r="C114" i="9"/>
  <c r="C115" i="9"/>
  <c r="I115" i="9" s="1"/>
  <c r="C80" i="9"/>
  <c r="I80" i="9" s="1"/>
  <c r="C81" i="9"/>
  <c r="I81" i="9" s="1"/>
  <c r="C82" i="9"/>
  <c r="I82" i="9" s="1"/>
  <c r="C83" i="9"/>
  <c r="I83" i="9" s="1"/>
  <c r="C84" i="9"/>
  <c r="I84" i="9" s="1"/>
  <c r="C85" i="9"/>
  <c r="I85" i="9" s="1"/>
  <c r="C86" i="9"/>
  <c r="I86" i="9" s="1"/>
  <c r="C87" i="9"/>
  <c r="C88" i="9"/>
  <c r="I88" i="9" s="1"/>
  <c r="C89" i="9"/>
  <c r="I89" i="9" s="1"/>
  <c r="C90" i="9"/>
  <c r="I90" i="9" s="1"/>
  <c r="C91" i="9"/>
  <c r="I91" i="9" s="1"/>
  <c r="C92" i="9"/>
  <c r="I92" i="9" s="1"/>
  <c r="C72" i="9"/>
  <c r="C73" i="9"/>
  <c r="I73" i="9" s="1"/>
  <c r="C74" i="9"/>
  <c r="C75" i="9"/>
  <c r="I75" i="9" s="1"/>
  <c r="C76" i="9"/>
  <c r="I76" i="9" s="1"/>
  <c r="C77" i="9"/>
  <c r="I77" i="9" s="1"/>
  <c r="C78" i="9"/>
  <c r="I78" i="9" s="1"/>
  <c r="C79" i="9"/>
  <c r="C71" i="9"/>
  <c r="I71" i="9" s="1"/>
  <c r="Y259" i="9" l="1" a="1"/>
  <c r="Y259" i="9" s="1"/>
  <c r="A9" i="10"/>
  <c r="H258" i="9"/>
  <c r="I257" i="9"/>
  <c r="Q256" i="9"/>
  <c r="P256" i="9" s="1"/>
  <c r="C256" i="9"/>
  <c r="I255" i="9"/>
  <c r="C255" i="9"/>
  <c r="Q255" i="9" s="1"/>
  <c r="P255" i="9" s="1"/>
  <c r="J254" i="9"/>
  <c r="H254" i="9"/>
  <c r="G254" i="9"/>
  <c r="F254" i="9"/>
  <c r="J253" i="9"/>
  <c r="H253" i="9"/>
  <c r="G253" i="9"/>
  <c r="F253" i="9"/>
  <c r="J252" i="9"/>
  <c r="H252" i="9"/>
  <c r="G252" i="9"/>
  <c r="F252" i="9"/>
  <c r="J251" i="9"/>
  <c r="H251" i="9"/>
  <c r="G251" i="9"/>
  <c r="F251" i="9"/>
  <c r="J250" i="9"/>
  <c r="H250" i="9"/>
  <c r="G250" i="9"/>
  <c r="F250" i="9"/>
  <c r="J249" i="9"/>
  <c r="H249" i="9"/>
  <c r="G249" i="9"/>
  <c r="F249" i="9"/>
  <c r="J248" i="9"/>
  <c r="H248" i="9"/>
  <c r="G248" i="9"/>
  <c r="F248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A143" i="9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142" i="9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72" i="9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2" i="9"/>
  <c r="AK150" i="8"/>
  <c r="AI150" i="8"/>
  <c r="AG150" i="8"/>
  <c r="AE150" i="8"/>
  <c r="AC150" i="8"/>
  <c r="AA150" i="8"/>
  <c r="Y150" i="8"/>
  <c r="W150" i="8"/>
  <c r="U150" i="8"/>
  <c r="S150" i="8"/>
  <c r="Q150" i="8"/>
  <c r="O150" i="8"/>
  <c r="M150" i="8"/>
  <c r="D5" i="5" s="1"/>
  <c r="K150" i="8"/>
  <c r="I150" i="8"/>
  <c r="G150" i="8"/>
  <c r="D2" i="5" s="1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J149" i="8"/>
  <c r="AM2" i="8"/>
  <c r="A2" i="8"/>
  <c r="B6" i="7"/>
  <c r="N8" i="5"/>
  <c r="M8" i="5"/>
  <c r="L8" i="5"/>
  <c r="H8" i="5"/>
  <c r="I8" i="5" s="1"/>
  <c r="G8" i="5"/>
  <c r="E8" i="5"/>
  <c r="D8" i="5"/>
  <c r="A8" i="5"/>
  <c r="M7" i="5"/>
  <c r="L7" i="5"/>
  <c r="G7" i="5" s="1"/>
  <c r="E7" i="5"/>
  <c r="D7" i="5"/>
  <c r="A7" i="5"/>
  <c r="N6" i="5"/>
  <c r="M6" i="5"/>
  <c r="L6" i="5"/>
  <c r="H6" i="5"/>
  <c r="I6" i="5" s="1"/>
  <c r="G6" i="5"/>
  <c r="E6" i="5"/>
  <c r="D6" i="5"/>
  <c r="A6" i="5"/>
  <c r="M5" i="5"/>
  <c r="E5" i="5"/>
  <c r="A5" i="5"/>
  <c r="N4" i="5"/>
  <c r="M4" i="5"/>
  <c r="L4" i="5"/>
  <c r="H4" i="5"/>
  <c r="I4" i="5" s="1"/>
  <c r="G4" i="5"/>
  <c r="E4" i="5"/>
  <c r="D4" i="5"/>
  <c r="A4" i="5"/>
  <c r="M3" i="5"/>
  <c r="E3" i="5"/>
  <c r="D3" i="5"/>
  <c r="A3" i="5"/>
  <c r="M2" i="5"/>
  <c r="N2" i="5" s="1"/>
  <c r="E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 s="1"/>
  <c r="AN146" i="8" s="1"/>
  <c r="V146" i="4" a="1"/>
  <c r="V146" i="4" s="1"/>
  <c r="AM146" i="8" s="1"/>
  <c r="T146" i="4" a="1"/>
  <c r="T146" i="4" s="1"/>
  <c r="AL146" i="8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T145" i="4"/>
  <c r="P145" i="4"/>
  <c r="K145" i="4"/>
  <c r="J145" i="4"/>
  <c r="I145" i="4"/>
  <c r="H145" i="4"/>
  <c r="G145" i="4"/>
  <c r="F145" i="4"/>
  <c r="E145" i="4"/>
  <c r="D145" i="4"/>
  <c r="C145" i="4"/>
  <c r="B145" i="4"/>
  <c r="A145" i="4"/>
  <c r="S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K143" i="4"/>
  <c r="J143" i="4"/>
  <c r="I143" i="4"/>
  <c r="H143" i="4"/>
  <c r="G143" i="4"/>
  <c r="F143" i="4"/>
  <c r="E143" i="4"/>
  <c r="D143" i="4"/>
  <c r="C143" i="4"/>
  <c r="B143" i="4"/>
  <c r="A143" i="4"/>
  <c r="V143" i="4" s="1"/>
  <c r="AM143" i="8" s="1"/>
  <c r="T142" i="4"/>
  <c r="K142" i="4"/>
  <c r="J142" i="4"/>
  <c r="I142" i="4"/>
  <c r="H142" i="4"/>
  <c r="G142" i="4"/>
  <c r="F142" i="4"/>
  <c r="E142" i="4"/>
  <c r="D142" i="4"/>
  <c r="C142" i="4"/>
  <c r="B142" i="4"/>
  <c r="W141" i="4"/>
  <c r="AN141" i="8" s="1"/>
  <c r="T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S141" i="4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K139" i="4"/>
  <c r="J139" i="4"/>
  <c r="I139" i="4"/>
  <c r="H139" i="4"/>
  <c r="G139" i="4"/>
  <c r="F139" i="4"/>
  <c r="E139" i="4"/>
  <c r="D139" i="4"/>
  <c r="C139" i="4"/>
  <c r="B139" i="4"/>
  <c r="A139" i="4"/>
  <c r="V139" i="4" s="1"/>
  <c r="AM139" i="8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S137" i="4" s="1"/>
  <c r="T136" i="4"/>
  <c r="K136" i="4"/>
  <c r="J136" i="4"/>
  <c r="I136" i="4"/>
  <c r="H136" i="4"/>
  <c r="G136" i="4"/>
  <c r="F136" i="4"/>
  <c r="E136" i="4"/>
  <c r="D136" i="4"/>
  <c r="C136" i="4"/>
  <c r="B136" i="4"/>
  <c r="T135" i="4"/>
  <c r="K135" i="4"/>
  <c r="J135" i="4"/>
  <c r="I135" i="4"/>
  <c r="H135" i="4"/>
  <c r="G135" i="4"/>
  <c r="F135" i="4"/>
  <c r="E135" i="4"/>
  <c r="D135" i="4"/>
  <c r="C135" i="4"/>
  <c r="B135" i="4"/>
  <c r="A135" i="4"/>
  <c r="W135" i="4" s="1"/>
  <c r="AN135" i="8" s="1"/>
  <c r="T134" i="4"/>
  <c r="K134" i="4"/>
  <c r="J134" i="4"/>
  <c r="I134" i="4"/>
  <c r="H134" i="4"/>
  <c r="G134" i="4"/>
  <c r="F134" i="4"/>
  <c r="E134" i="4"/>
  <c r="D134" i="4"/>
  <c r="C134" i="4"/>
  <c r="B134" i="4"/>
  <c r="T133" i="4"/>
  <c r="K133" i="4"/>
  <c r="J133" i="4"/>
  <c r="I133" i="4"/>
  <c r="H133" i="4"/>
  <c r="G133" i="4"/>
  <c r="F133" i="4"/>
  <c r="E133" i="4"/>
  <c r="D133" i="4"/>
  <c r="C133" i="4"/>
  <c r="B133" i="4"/>
  <c r="A133" i="4"/>
  <c r="S133" i="4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K131" i="4"/>
  <c r="J131" i="4"/>
  <c r="I131" i="4"/>
  <c r="H131" i="4"/>
  <c r="G131" i="4"/>
  <c r="F131" i="4"/>
  <c r="E131" i="4"/>
  <c r="D131" i="4"/>
  <c r="C131" i="4"/>
  <c r="B131" i="4"/>
  <c r="A131" i="4"/>
  <c r="W131" i="4" s="1"/>
  <c r="AN131" i="8" s="1"/>
  <c r="T130" i="4"/>
  <c r="K130" i="4"/>
  <c r="J130" i="4"/>
  <c r="I130" i="4"/>
  <c r="H130" i="4"/>
  <c r="G130" i="4"/>
  <c r="F130" i="4"/>
  <c r="E130" i="4"/>
  <c r="D130" i="4"/>
  <c r="C130" i="4"/>
  <c r="B130" i="4"/>
  <c r="T129" i="4"/>
  <c r="K129" i="4"/>
  <c r="J129" i="4"/>
  <c r="I129" i="4"/>
  <c r="H129" i="4"/>
  <c r="G129" i="4"/>
  <c r="F129" i="4"/>
  <c r="E129" i="4"/>
  <c r="D129" i="4"/>
  <c r="C129" i="4"/>
  <c r="B129" i="4"/>
  <c r="A129" i="4"/>
  <c r="S129" i="4" s="1"/>
  <c r="T128" i="4"/>
  <c r="K128" i="4"/>
  <c r="J128" i="4"/>
  <c r="I128" i="4"/>
  <c r="H128" i="4"/>
  <c r="G128" i="4"/>
  <c r="F128" i="4"/>
  <c r="E128" i="4"/>
  <c r="D128" i="4"/>
  <c r="C128" i="4"/>
  <c r="B128" i="4"/>
  <c r="T127" i="4"/>
  <c r="K127" i="4"/>
  <c r="J127" i="4"/>
  <c r="I127" i="4"/>
  <c r="H127" i="4"/>
  <c r="G127" i="4"/>
  <c r="F127" i="4"/>
  <c r="E127" i="4"/>
  <c r="D127" i="4"/>
  <c r="C127" i="4"/>
  <c r="B127" i="4"/>
  <c r="A127" i="4"/>
  <c r="W127" i="4" s="1"/>
  <c r="AN127" i="8" s="1"/>
  <c r="T126" i="4"/>
  <c r="K126" i="4"/>
  <c r="J126" i="4"/>
  <c r="I126" i="4"/>
  <c r="H126" i="4"/>
  <c r="G126" i="4"/>
  <c r="F126" i="4"/>
  <c r="E126" i="4"/>
  <c r="D126" i="4"/>
  <c r="C126" i="4"/>
  <c r="B126" i="4"/>
  <c r="T125" i="4"/>
  <c r="K125" i="4"/>
  <c r="J125" i="4"/>
  <c r="I125" i="4"/>
  <c r="H125" i="4"/>
  <c r="G125" i="4"/>
  <c r="F125" i="4"/>
  <c r="E125" i="4"/>
  <c r="D125" i="4"/>
  <c r="C125" i="4"/>
  <c r="B125" i="4"/>
  <c r="A125" i="4"/>
  <c r="S125" i="4" s="1"/>
  <c r="T124" i="4"/>
  <c r="K124" i="4"/>
  <c r="J124" i="4"/>
  <c r="I124" i="4"/>
  <c r="H124" i="4"/>
  <c r="G124" i="4"/>
  <c r="F124" i="4"/>
  <c r="E124" i="4"/>
  <c r="D124" i="4"/>
  <c r="C124" i="4"/>
  <c r="B124" i="4"/>
  <c r="T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W123" i="4" s="1"/>
  <c r="AN123" i="8" s="1"/>
  <c r="T122" i="4"/>
  <c r="K122" i="4"/>
  <c r="J122" i="4"/>
  <c r="I122" i="4"/>
  <c r="H122" i="4"/>
  <c r="G122" i="4"/>
  <c r="F122" i="4"/>
  <c r="E122" i="4"/>
  <c r="D122" i="4"/>
  <c r="C122" i="4"/>
  <c r="B122" i="4"/>
  <c r="T121" i="4"/>
  <c r="K121" i="4"/>
  <c r="J121" i="4"/>
  <c r="I121" i="4"/>
  <c r="H121" i="4"/>
  <c r="G121" i="4"/>
  <c r="F121" i="4"/>
  <c r="E121" i="4"/>
  <c r="D121" i="4"/>
  <c r="C121" i="4"/>
  <c r="B121" i="4"/>
  <c r="A121" i="4"/>
  <c r="S121" i="4" s="1"/>
  <c r="T120" i="4"/>
  <c r="K120" i="4"/>
  <c r="J120" i="4"/>
  <c r="I120" i="4"/>
  <c r="H120" i="4"/>
  <c r="G120" i="4"/>
  <c r="F120" i="4"/>
  <c r="E120" i="4"/>
  <c r="D120" i="4"/>
  <c r="C120" i="4"/>
  <c r="B120" i="4"/>
  <c r="T119" i="4"/>
  <c r="K119" i="4"/>
  <c r="J119" i="4"/>
  <c r="I119" i="4"/>
  <c r="H119" i="4"/>
  <c r="G119" i="4"/>
  <c r="F119" i="4"/>
  <c r="E119" i="4"/>
  <c r="D119" i="4"/>
  <c r="C119" i="4"/>
  <c r="B119" i="4"/>
  <c r="A119" i="4"/>
  <c r="W119" i="4" s="1"/>
  <c r="AN119" i="8" s="1"/>
  <c r="T118" i="4"/>
  <c r="K118" i="4"/>
  <c r="J118" i="4"/>
  <c r="I118" i="4"/>
  <c r="H118" i="4"/>
  <c r="G118" i="4"/>
  <c r="F118" i="4"/>
  <c r="E118" i="4"/>
  <c r="D118" i="4"/>
  <c r="C118" i="4"/>
  <c r="B118" i="4"/>
  <c r="T117" i="4"/>
  <c r="K117" i="4"/>
  <c r="J117" i="4"/>
  <c r="I117" i="4"/>
  <c r="H117" i="4"/>
  <c r="G117" i="4"/>
  <c r="F117" i="4"/>
  <c r="E117" i="4"/>
  <c r="D117" i="4"/>
  <c r="C117" i="4"/>
  <c r="B117" i="4"/>
  <c r="A117" i="4"/>
  <c r="S117" i="4" s="1"/>
  <c r="T116" i="4"/>
  <c r="K116" i="4"/>
  <c r="J116" i="4"/>
  <c r="I116" i="4"/>
  <c r="H116" i="4"/>
  <c r="G116" i="4"/>
  <c r="F116" i="4"/>
  <c r="E116" i="4"/>
  <c r="D116" i="4"/>
  <c r="C116" i="4"/>
  <c r="B116" i="4"/>
  <c r="T115" i="4"/>
  <c r="K115" i="4"/>
  <c r="J115" i="4"/>
  <c r="I115" i="4"/>
  <c r="H115" i="4"/>
  <c r="G115" i="4"/>
  <c r="F115" i="4"/>
  <c r="E115" i="4"/>
  <c r="D115" i="4"/>
  <c r="C115" i="4"/>
  <c r="B115" i="4"/>
  <c r="A115" i="4"/>
  <c r="W115" i="4" s="1"/>
  <c r="AN115" i="8" s="1"/>
  <c r="T114" i="4"/>
  <c r="K114" i="4"/>
  <c r="J114" i="4"/>
  <c r="I114" i="4"/>
  <c r="H114" i="4"/>
  <c r="G114" i="4"/>
  <c r="F114" i="4"/>
  <c r="E114" i="4"/>
  <c r="D114" i="4"/>
  <c r="C114" i="4"/>
  <c r="B114" i="4"/>
  <c r="T113" i="4"/>
  <c r="K113" i="4"/>
  <c r="J113" i="4"/>
  <c r="I113" i="4"/>
  <c r="H113" i="4"/>
  <c r="G113" i="4"/>
  <c r="F113" i="4"/>
  <c r="E113" i="4"/>
  <c r="D113" i="4"/>
  <c r="C113" i="4"/>
  <c r="B113" i="4"/>
  <c r="A113" i="4"/>
  <c r="S113" i="4" s="1"/>
  <c r="T112" i="4"/>
  <c r="K112" i="4"/>
  <c r="J112" i="4"/>
  <c r="I112" i="4"/>
  <c r="H112" i="4"/>
  <c r="G112" i="4"/>
  <c r="F112" i="4"/>
  <c r="E112" i="4"/>
  <c r="D112" i="4"/>
  <c r="C112" i="4"/>
  <c r="B112" i="4"/>
  <c r="A112" i="4"/>
  <c r="Q112" i="4" s="1"/>
  <c r="T111" i="4"/>
  <c r="K111" i="4"/>
  <c r="J111" i="4"/>
  <c r="I111" i="4"/>
  <c r="H111" i="4"/>
  <c r="G111" i="4"/>
  <c r="F111" i="4"/>
  <c r="E111" i="4"/>
  <c r="D111" i="4"/>
  <c r="C111" i="4"/>
  <c r="B111" i="4"/>
  <c r="A111" i="4"/>
  <c r="W111" i="4" s="1"/>
  <c r="AN111" i="8" s="1"/>
  <c r="T110" i="4"/>
  <c r="K110" i="4"/>
  <c r="J110" i="4"/>
  <c r="I110" i="4"/>
  <c r="H110" i="4"/>
  <c r="G110" i="4"/>
  <c r="F110" i="4"/>
  <c r="E110" i="4"/>
  <c r="D110" i="4"/>
  <c r="C110" i="4"/>
  <c r="B110" i="4"/>
  <c r="A110" i="4"/>
  <c r="L110" i="4" s="1"/>
  <c r="T109" i="4"/>
  <c r="S109" i="4"/>
  <c r="K109" i="4"/>
  <c r="J109" i="4"/>
  <c r="I109" i="4"/>
  <c r="H109" i="4"/>
  <c r="G109" i="4"/>
  <c r="F109" i="4"/>
  <c r="E109" i="4"/>
  <c r="D109" i="4"/>
  <c r="C109" i="4"/>
  <c r="B109" i="4"/>
  <c r="A109" i="4"/>
  <c r="R109" i="4" s="1"/>
  <c r="T108" i="4"/>
  <c r="K108" i="4"/>
  <c r="J108" i="4"/>
  <c r="I108" i="4"/>
  <c r="H108" i="4"/>
  <c r="G108" i="4"/>
  <c r="F108" i="4"/>
  <c r="E108" i="4"/>
  <c r="D108" i="4"/>
  <c r="C108" i="4"/>
  <c r="B108" i="4"/>
  <c r="A108" i="4"/>
  <c r="Q108" i="4" s="1"/>
  <c r="T107" i="4"/>
  <c r="K107" i="4"/>
  <c r="J107" i="4"/>
  <c r="I107" i="4"/>
  <c r="H107" i="4"/>
  <c r="G107" i="4"/>
  <c r="F107" i="4"/>
  <c r="E107" i="4"/>
  <c r="D107" i="4"/>
  <c r="C107" i="4"/>
  <c r="B107" i="4"/>
  <c r="A107" i="4"/>
  <c r="W107" i="4" s="1"/>
  <c r="AN107" i="8" s="1"/>
  <c r="T106" i="4"/>
  <c r="K106" i="4"/>
  <c r="J106" i="4"/>
  <c r="I106" i="4"/>
  <c r="H106" i="4"/>
  <c r="G106" i="4"/>
  <c r="F106" i="4"/>
  <c r="E106" i="4"/>
  <c r="D106" i="4"/>
  <c r="C106" i="4"/>
  <c r="B106" i="4"/>
  <c r="A106" i="4"/>
  <c r="L106" i="4" s="1"/>
  <c r="T105" i="4"/>
  <c r="K105" i="4"/>
  <c r="J105" i="4"/>
  <c r="I105" i="4"/>
  <c r="H105" i="4"/>
  <c r="G105" i="4"/>
  <c r="F105" i="4"/>
  <c r="E105" i="4"/>
  <c r="D105" i="4"/>
  <c r="C105" i="4"/>
  <c r="B105" i="4"/>
  <c r="A105" i="4"/>
  <c r="R105" i="4" s="1"/>
  <c r="T104" i="4"/>
  <c r="K104" i="4"/>
  <c r="J104" i="4"/>
  <c r="I104" i="4"/>
  <c r="H104" i="4"/>
  <c r="G104" i="4"/>
  <c r="F104" i="4"/>
  <c r="E104" i="4"/>
  <c r="D104" i="4"/>
  <c r="C104" i="4"/>
  <c r="B104" i="4"/>
  <c r="A104" i="4"/>
  <c r="Q104" i="4" s="1"/>
  <c r="T103" i="4"/>
  <c r="K103" i="4"/>
  <c r="J103" i="4"/>
  <c r="I103" i="4"/>
  <c r="H103" i="4"/>
  <c r="G103" i="4"/>
  <c r="F103" i="4"/>
  <c r="E103" i="4"/>
  <c r="D103" i="4"/>
  <c r="C103" i="4"/>
  <c r="B103" i="4"/>
  <c r="A103" i="4"/>
  <c r="W103" i="4" s="1"/>
  <c r="AN103" i="8" s="1"/>
  <c r="T102" i="4"/>
  <c r="K102" i="4"/>
  <c r="J102" i="4"/>
  <c r="I102" i="4"/>
  <c r="H102" i="4"/>
  <c r="G102" i="4"/>
  <c r="F102" i="4"/>
  <c r="E102" i="4"/>
  <c r="D102" i="4"/>
  <c r="C102" i="4"/>
  <c r="B102" i="4"/>
  <c r="A102" i="4"/>
  <c r="L102" i="4" s="1"/>
  <c r="T101" i="4"/>
  <c r="S101" i="4"/>
  <c r="K101" i="4"/>
  <c r="J101" i="4"/>
  <c r="I101" i="4"/>
  <c r="H101" i="4"/>
  <c r="G101" i="4"/>
  <c r="F101" i="4"/>
  <c r="E101" i="4"/>
  <c r="D101" i="4"/>
  <c r="C101" i="4"/>
  <c r="B101" i="4"/>
  <c r="A101" i="4"/>
  <c r="R101" i="4" s="1"/>
  <c r="T100" i="4"/>
  <c r="K100" i="4"/>
  <c r="J100" i="4"/>
  <c r="I100" i="4"/>
  <c r="H100" i="4"/>
  <c r="G100" i="4"/>
  <c r="F100" i="4"/>
  <c r="E100" i="4"/>
  <c r="D100" i="4"/>
  <c r="C100" i="4"/>
  <c r="B100" i="4"/>
  <c r="A100" i="4"/>
  <c r="Q100" i="4" s="1"/>
  <c r="T99" i="4"/>
  <c r="K99" i="4"/>
  <c r="J99" i="4"/>
  <c r="I99" i="4"/>
  <c r="H99" i="4"/>
  <c r="G99" i="4"/>
  <c r="F99" i="4"/>
  <c r="E99" i="4"/>
  <c r="D99" i="4"/>
  <c r="C99" i="4"/>
  <c r="B99" i="4"/>
  <c r="A99" i="4"/>
  <c r="W99" i="4" s="1"/>
  <c r="AN99" i="8" s="1"/>
  <c r="T98" i="4"/>
  <c r="K98" i="4"/>
  <c r="J98" i="4"/>
  <c r="I98" i="4"/>
  <c r="H98" i="4"/>
  <c r="G98" i="4"/>
  <c r="F98" i="4"/>
  <c r="E98" i="4"/>
  <c r="D98" i="4"/>
  <c r="C98" i="4"/>
  <c r="B98" i="4"/>
  <c r="A98" i="4"/>
  <c r="L98" i="4" s="1"/>
  <c r="T97" i="4"/>
  <c r="K97" i="4"/>
  <c r="J97" i="4"/>
  <c r="I97" i="4"/>
  <c r="H97" i="4"/>
  <c r="G97" i="4"/>
  <c r="F97" i="4"/>
  <c r="E97" i="4"/>
  <c r="D97" i="4"/>
  <c r="C97" i="4"/>
  <c r="B97" i="4"/>
  <c r="A97" i="4"/>
  <c r="R97" i="4" s="1"/>
  <c r="T96" i="4"/>
  <c r="K96" i="4"/>
  <c r="J96" i="4"/>
  <c r="I96" i="4"/>
  <c r="H96" i="4"/>
  <c r="G96" i="4"/>
  <c r="F96" i="4"/>
  <c r="E96" i="4"/>
  <c r="D96" i="4"/>
  <c r="C96" i="4"/>
  <c r="B96" i="4"/>
  <c r="A96" i="4"/>
  <c r="Q96" i="4" s="1"/>
  <c r="T95" i="4"/>
  <c r="K95" i="4"/>
  <c r="J95" i="4"/>
  <c r="I95" i="4"/>
  <c r="H95" i="4"/>
  <c r="G95" i="4"/>
  <c r="F95" i="4"/>
  <c r="E95" i="4"/>
  <c r="D95" i="4"/>
  <c r="C95" i="4"/>
  <c r="B95" i="4"/>
  <c r="A95" i="4"/>
  <c r="W95" i="4" s="1"/>
  <c r="AN95" i="8" s="1"/>
  <c r="T94" i="4"/>
  <c r="K94" i="4"/>
  <c r="J94" i="4"/>
  <c r="I94" i="4"/>
  <c r="H94" i="4"/>
  <c r="G94" i="4"/>
  <c r="F94" i="4"/>
  <c r="E94" i="4"/>
  <c r="D94" i="4"/>
  <c r="C94" i="4"/>
  <c r="B94" i="4"/>
  <c r="A94" i="4"/>
  <c r="L94" i="4" s="1"/>
  <c r="T93" i="4"/>
  <c r="K93" i="4"/>
  <c r="J93" i="4"/>
  <c r="I93" i="4"/>
  <c r="H93" i="4"/>
  <c r="G93" i="4"/>
  <c r="F93" i="4"/>
  <c r="E93" i="4"/>
  <c r="D93" i="4"/>
  <c r="C93" i="4"/>
  <c r="B93" i="4"/>
  <c r="A93" i="4"/>
  <c r="R93" i="4" s="1"/>
  <c r="T92" i="4"/>
  <c r="K92" i="4"/>
  <c r="J92" i="4"/>
  <c r="I92" i="4"/>
  <c r="H92" i="4"/>
  <c r="G92" i="4"/>
  <c r="F92" i="4"/>
  <c r="E92" i="4"/>
  <c r="D92" i="4"/>
  <c r="C92" i="4"/>
  <c r="B92" i="4"/>
  <c r="A92" i="4"/>
  <c r="Q92" i="4" s="1"/>
  <c r="T91" i="4"/>
  <c r="K91" i="4"/>
  <c r="J91" i="4"/>
  <c r="I91" i="4"/>
  <c r="H91" i="4"/>
  <c r="G91" i="4"/>
  <c r="F91" i="4"/>
  <c r="E91" i="4"/>
  <c r="D91" i="4"/>
  <c r="C91" i="4"/>
  <c r="B91" i="4"/>
  <c r="A91" i="4"/>
  <c r="W91" i="4" s="1"/>
  <c r="AN91" i="8" s="1"/>
  <c r="T90" i="4"/>
  <c r="K90" i="4"/>
  <c r="J90" i="4"/>
  <c r="I90" i="4"/>
  <c r="H90" i="4"/>
  <c r="G90" i="4"/>
  <c r="F90" i="4"/>
  <c r="E90" i="4"/>
  <c r="D90" i="4"/>
  <c r="C90" i="4"/>
  <c r="B90" i="4"/>
  <c r="A90" i="4"/>
  <c r="L90" i="4" s="1"/>
  <c r="T89" i="4"/>
  <c r="K89" i="4"/>
  <c r="J89" i="4"/>
  <c r="I89" i="4"/>
  <c r="H89" i="4"/>
  <c r="G89" i="4"/>
  <c r="F89" i="4"/>
  <c r="E89" i="4"/>
  <c r="D89" i="4"/>
  <c r="C89" i="4"/>
  <c r="B89" i="4"/>
  <c r="A89" i="4"/>
  <c r="R89" i="4" s="1"/>
  <c r="T88" i="4"/>
  <c r="K88" i="4"/>
  <c r="J88" i="4"/>
  <c r="I88" i="4"/>
  <c r="H88" i="4"/>
  <c r="G88" i="4"/>
  <c r="F88" i="4"/>
  <c r="E88" i="4"/>
  <c r="D88" i="4"/>
  <c r="C88" i="4"/>
  <c r="B88" i="4"/>
  <c r="A88" i="4"/>
  <c r="Q88" i="4" s="1"/>
  <c r="T87" i="4"/>
  <c r="K87" i="4"/>
  <c r="J87" i="4"/>
  <c r="I87" i="4"/>
  <c r="H87" i="4"/>
  <c r="G87" i="4"/>
  <c r="F87" i="4"/>
  <c r="E87" i="4"/>
  <c r="D87" i="4"/>
  <c r="C87" i="4"/>
  <c r="B87" i="4"/>
  <c r="A87" i="4"/>
  <c r="W87" i="4" s="1"/>
  <c r="AN87" i="8" s="1"/>
  <c r="T86" i="4"/>
  <c r="K86" i="4"/>
  <c r="J86" i="4"/>
  <c r="I86" i="4"/>
  <c r="H86" i="4"/>
  <c r="G86" i="4"/>
  <c r="F86" i="4"/>
  <c r="E86" i="4"/>
  <c r="D86" i="4"/>
  <c r="C86" i="4"/>
  <c r="B86" i="4"/>
  <c r="A86" i="4"/>
  <c r="L86" i="4" s="1"/>
  <c r="T85" i="4"/>
  <c r="K85" i="4"/>
  <c r="J85" i="4"/>
  <c r="I85" i="4"/>
  <c r="H85" i="4"/>
  <c r="G85" i="4"/>
  <c r="F85" i="4"/>
  <c r="E85" i="4"/>
  <c r="D85" i="4"/>
  <c r="C85" i="4"/>
  <c r="B85" i="4"/>
  <c r="A85" i="4"/>
  <c r="R85" i="4" s="1"/>
  <c r="T84" i="4"/>
  <c r="K84" i="4"/>
  <c r="J84" i="4"/>
  <c r="I84" i="4"/>
  <c r="H84" i="4"/>
  <c r="G84" i="4"/>
  <c r="F84" i="4"/>
  <c r="E84" i="4"/>
  <c r="D84" i="4"/>
  <c r="C84" i="4"/>
  <c r="B84" i="4"/>
  <c r="A84" i="4"/>
  <c r="Q84" i="4" s="1"/>
  <c r="T83" i="4"/>
  <c r="O83" i="4"/>
  <c r="M83" i="4"/>
  <c r="K83" i="4"/>
  <c r="J83" i="4"/>
  <c r="I83" i="4"/>
  <c r="H83" i="4"/>
  <c r="G83" i="4"/>
  <c r="F83" i="4"/>
  <c r="E83" i="4"/>
  <c r="D83" i="4"/>
  <c r="C83" i="4"/>
  <c r="B83" i="4"/>
  <c r="A83" i="4"/>
  <c r="W83" i="4" s="1"/>
  <c r="AN83" i="8" s="1"/>
  <c r="T82" i="4"/>
  <c r="K82" i="4"/>
  <c r="J82" i="4"/>
  <c r="I82" i="4"/>
  <c r="H82" i="4"/>
  <c r="G82" i="4"/>
  <c r="F82" i="4"/>
  <c r="E82" i="4"/>
  <c r="D82" i="4"/>
  <c r="C82" i="4"/>
  <c r="B82" i="4"/>
  <c r="A82" i="4"/>
  <c r="L82" i="4" s="1"/>
  <c r="T81" i="4"/>
  <c r="S81" i="4"/>
  <c r="K81" i="4"/>
  <c r="J81" i="4"/>
  <c r="I81" i="4"/>
  <c r="H81" i="4"/>
  <c r="G81" i="4"/>
  <c r="F81" i="4"/>
  <c r="E81" i="4"/>
  <c r="D81" i="4"/>
  <c r="C81" i="4"/>
  <c r="B81" i="4"/>
  <c r="A81" i="4"/>
  <c r="R81" i="4" s="1"/>
  <c r="T80" i="4"/>
  <c r="K80" i="4"/>
  <c r="J80" i="4"/>
  <c r="I80" i="4"/>
  <c r="H80" i="4"/>
  <c r="G80" i="4"/>
  <c r="F80" i="4"/>
  <c r="E80" i="4"/>
  <c r="D80" i="4"/>
  <c r="C80" i="4"/>
  <c r="B80" i="4"/>
  <c r="A80" i="4"/>
  <c r="Q80" i="4" s="1"/>
  <c r="T79" i="4"/>
  <c r="R79" i="4"/>
  <c r="O79" i="4"/>
  <c r="L79" i="4"/>
  <c r="K79" i="4"/>
  <c r="J79" i="4"/>
  <c r="I79" i="4"/>
  <c r="H79" i="4"/>
  <c r="G79" i="4"/>
  <c r="F79" i="4"/>
  <c r="E79" i="4"/>
  <c r="D79" i="4"/>
  <c r="C79" i="4"/>
  <c r="B79" i="4"/>
  <c r="A79" i="4"/>
  <c r="W79" i="4" s="1"/>
  <c r="AN79" i="8" s="1"/>
  <c r="T78" i="4"/>
  <c r="K78" i="4"/>
  <c r="J78" i="4"/>
  <c r="I78" i="4"/>
  <c r="H78" i="4"/>
  <c r="G78" i="4"/>
  <c r="F78" i="4"/>
  <c r="E78" i="4"/>
  <c r="D78" i="4"/>
  <c r="C78" i="4"/>
  <c r="B78" i="4"/>
  <c r="A78" i="4"/>
  <c r="L78" i="4" s="1"/>
  <c r="T77" i="4"/>
  <c r="K77" i="4"/>
  <c r="J77" i="4"/>
  <c r="I77" i="4"/>
  <c r="H77" i="4"/>
  <c r="G77" i="4"/>
  <c r="F77" i="4"/>
  <c r="E77" i="4"/>
  <c r="D77" i="4"/>
  <c r="C77" i="4"/>
  <c r="B77" i="4"/>
  <c r="A77" i="4"/>
  <c r="R77" i="4" s="1"/>
  <c r="T76" i="4"/>
  <c r="K76" i="4"/>
  <c r="J76" i="4"/>
  <c r="I76" i="4"/>
  <c r="H76" i="4"/>
  <c r="G76" i="4"/>
  <c r="F76" i="4"/>
  <c r="E76" i="4"/>
  <c r="D76" i="4"/>
  <c r="C76" i="4"/>
  <c r="B76" i="4"/>
  <c r="A76" i="4"/>
  <c r="Q76" i="4" s="1"/>
  <c r="T75" i="4"/>
  <c r="K75" i="4"/>
  <c r="J75" i="4"/>
  <c r="I75" i="4"/>
  <c r="H75" i="4"/>
  <c r="G75" i="4"/>
  <c r="F75" i="4"/>
  <c r="E75" i="4"/>
  <c r="D75" i="4"/>
  <c r="C75" i="4"/>
  <c r="B75" i="4"/>
  <c r="A75" i="4"/>
  <c r="W75" i="4" s="1"/>
  <c r="AN75" i="8" s="1"/>
  <c r="T74" i="4"/>
  <c r="P74" i="4"/>
  <c r="K74" i="4"/>
  <c r="J74" i="4"/>
  <c r="I74" i="4"/>
  <c r="H74" i="4"/>
  <c r="G74" i="4"/>
  <c r="F74" i="4"/>
  <c r="E74" i="4"/>
  <c r="D74" i="4"/>
  <c r="C74" i="4"/>
  <c r="B74" i="4"/>
  <c r="A74" i="4"/>
  <c r="L74" i="4" s="1"/>
  <c r="T73" i="4"/>
  <c r="K73" i="4"/>
  <c r="J73" i="4"/>
  <c r="I73" i="4"/>
  <c r="H73" i="4"/>
  <c r="G73" i="4"/>
  <c r="F73" i="4"/>
  <c r="E73" i="4"/>
  <c r="D73" i="4"/>
  <c r="C73" i="4"/>
  <c r="B73" i="4"/>
  <c r="A73" i="4"/>
  <c r="S73" i="4" s="1"/>
  <c r="T72" i="4"/>
  <c r="K72" i="4"/>
  <c r="J72" i="4"/>
  <c r="I72" i="4"/>
  <c r="H72" i="4"/>
  <c r="G72" i="4"/>
  <c r="F72" i="4"/>
  <c r="E72" i="4"/>
  <c r="D72" i="4"/>
  <c r="C72" i="4"/>
  <c r="B72" i="4"/>
  <c r="A72" i="4"/>
  <c r="Q72" i="4" s="1"/>
  <c r="T71" i="4"/>
  <c r="K71" i="4"/>
  <c r="J71" i="4"/>
  <c r="I71" i="4"/>
  <c r="H71" i="4"/>
  <c r="G71" i="4"/>
  <c r="F71" i="4"/>
  <c r="E71" i="4"/>
  <c r="D71" i="4"/>
  <c r="C71" i="4"/>
  <c r="B71" i="4"/>
  <c r="A71" i="4"/>
  <c r="W71" i="4" s="1"/>
  <c r="AN71" i="8" s="1"/>
  <c r="T70" i="4"/>
  <c r="K70" i="4"/>
  <c r="J70" i="4"/>
  <c r="I70" i="4"/>
  <c r="H70" i="4"/>
  <c r="G70" i="4"/>
  <c r="F70" i="4"/>
  <c r="E70" i="4"/>
  <c r="D70" i="4"/>
  <c r="C70" i="4"/>
  <c r="B70" i="4"/>
  <c r="A70" i="4"/>
  <c r="L70" i="4" s="1"/>
  <c r="T69" i="4"/>
  <c r="K69" i="4"/>
  <c r="J69" i="4"/>
  <c r="I69" i="4"/>
  <c r="H69" i="4"/>
  <c r="G69" i="4"/>
  <c r="F69" i="4"/>
  <c r="E69" i="4"/>
  <c r="D69" i="4"/>
  <c r="C69" i="4"/>
  <c r="B69" i="4"/>
  <c r="A69" i="4"/>
  <c r="S69" i="4" s="1"/>
  <c r="W68" i="4"/>
  <c r="AN68" i="8" s="1"/>
  <c r="T68" i="4"/>
  <c r="N68" i="4"/>
  <c r="K68" i="4"/>
  <c r="J68" i="4"/>
  <c r="I68" i="4"/>
  <c r="H68" i="4"/>
  <c r="G68" i="4"/>
  <c r="F68" i="4"/>
  <c r="E68" i="4"/>
  <c r="D68" i="4"/>
  <c r="C68" i="4"/>
  <c r="B68" i="4"/>
  <c r="A68" i="4"/>
  <c r="Q68" i="4" s="1"/>
  <c r="T67" i="4"/>
  <c r="K67" i="4"/>
  <c r="J67" i="4"/>
  <c r="I67" i="4"/>
  <c r="H67" i="4"/>
  <c r="G67" i="4"/>
  <c r="F67" i="4"/>
  <c r="E67" i="4"/>
  <c r="D67" i="4"/>
  <c r="C67" i="4"/>
  <c r="B67" i="4"/>
  <c r="A67" i="4"/>
  <c r="W67" i="4" s="1"/>
  <c r="AN67" i="8" s="1"/>
  <c r="T66" i="4"/>
  <c r="K66" i="4"/>
  <c r="J66" i="4"/>
  <c r="I66" i="4"/>
  <c r="H66" i="4"/>
  <c r="G66" i="4"/>
  <c r="F66" i="4"/>
  <c r="E66" i="4"/>
  <c r="D66" i="4"/>
  <c r="C66" i="4"/>
  <c r="B66" i="4"/>
  <c r="A66" i="4"/>
  <c r="L66" i="4" s="1"/>
  <c r="T65" i="4"/>
  <c r="K65" i="4"/>
  <c r="J65" i="4"/>
  <c r="I65" i="4"/>
  <c r="H65" i="4"/>
  <c r="G65" i="4"/>
  <c r="F65" i="4"/>
  <c r="E65" i="4"/>
  <c r="D65" i="4"/>
  <c r="C65" i="4"/>
  <c r="B65" i="4"/>
  <c r="A65" i="4"/>
  <c r="R65" i="4" s="1"/>
  <c r="W64" i="4"/>
  <c r="AN64" i="8" s="1"/>
  <c r="T64" i="4"/>
  <c r="N64" i="4"/>
  <c r="K64" i="4"/>
  <c r="J64" i="4"/>
  <c r="I64" i="4"/>
  <c r="H64" i="4"/>
  <c r="G64" i="4"/>
  <c r="F64" i="4"/>
  <c r="E64" i="4"/>
  <c r="D64" i="4"/>
  <c r="C64" i="4"/>
  <c r="B64" i="4"/>
  <c r="A64" i="4"/>
  <c r="Q64" i="4" s="1"/>
  <c r="T63" i="4"/>
  <c r="K63" i="4"/>
  <c r="J63" i="4"/>
  <c r="I63" i="4"/>
  <c r="H63" i="4"/>
  <c r="G63" i="4"/>
  <c r="F63" i="4"/>
  <c r="E63" i="4"/>
  <c r="D63" i="4"/>
  <c r="C63" i="4"/>
  <c r="B63" i="4"/>
  <c r="A63" i="4"/>
  <c r="W63" i="4" s="1"/>
  <c r="AN63" i="8" s="1"/>
  <c r="T62" i="4"/>
  <c r="K62" i="4"/>
  <c r="J62" i="4"/>
  <c r="I62" i="4"/>
  <c r="H62" i="4"/>
  <c r="G62" i="4"/>
  <c r="F62" i="4"/>
  <c r="E62" i="4"/>
  <c r="D62" i="4"/>
  <c r="C62" i="4"/>
  <c r="B62" i="4"/>
  <c r="A62" i="4"/>
  <c r="L62" i="4" s="1"/>
  <c r="T61" i="4"/>
  <c r="K61" i="4"/>
  <c r="J61" i="4"/>
  <c r="I61" i="4"/>
  <c r="H61" i="4"/>
  <c r="G61" i="4"/>
  <c r="F61" i="4"/>
  <c r="E61" i="4"/>
  <c r="D61" i="4"/>
  <c r="C61" i="4"/>
  <c r="B61" i="4"/>
  <c r="A61" i="4"/>
  <c r="R61" i="4" s="1"/>
  <c r="T60" i="4"/>
  <c r="K60" i="4"/>
  <c r="J60" i="4"/>
  <c r="I60" i="4"/>
  <c r="H60" i="4"/>
  <c r="G60" i="4"/>
  <c r="F60" i="4"/>
  <c r="E60" i="4"/>
  <c r="D60" i="4"/>
  <c r="C60" i="4"/>
  <c r="B60" i="4"/>
  <c r="A60" i="4"/>
  <c r="Q60" i="4" s="1"/>
  <c r="T59" i="4"/>
  <c r="O59" i="4"/>
  <c r="K59" i="4"/>
  <c r="J59" i="4"/>
  <c r="I59" i="4"/>
  <c r="H59" i="4"/>
  <c r="G59" i="4"/>
  <c r="F59" i="4"/>
  <c r="E59" i="4"/>
  <c r="D59" i="4"/>
  <c r="C59" i="4"/>
  <c r="B59" i="4"/>
  <c r="A59" i="4"/>
  <c r="W59" i="4" s="1"/>
  <c r="AN59" i="8" s="1"/>
  <c r="W58" i="4"/>
  <c r="AN58" i="8" s="1"/>
  <c r="V58" i="4"/>
  <c r="AM58" i="8" s="1"/>
  <c r="T58" i="4"/>
  <c r="O58" i="4"/>
  <c r="N58" i="4"/>
  <c r="M58" i="4"/>
  <c r="K58" i="4"/>
  <c r="J58" i="4"/>
  <c r="I58" i="4"/>
  <c r="H58" i="4"/>
  <c r="G58" i="4"/>
  <c r="F58" i="4"/>
  <c r="E58" i="4"/>
  <c r="D58" i="4"/>
  <c r="C58" i="4"/>
  <c r="B58" i="4"/>
  <c r="A58" i="4"/>
  <c r="L58" i="4" s="1"/>
  <c r="T57" i="4"/>
  <c r="K57" i="4"/>
  <c r="J57" i="4"/>
  <c r="I57" i="4"/>
  <c r="H57" i="4"/>
  <c r="G57" i="4"/>
  <c r="F57" i="4"/>
  <c r="E57" i="4"/>
  <c r="D57" i="4"/>
  <c r="C57" i="4"/>
  <c r="B57" i="4"/>
  <c r="A57" i="4"/>
  <c r="T56" i="4"/>
  <c r="K56" i="4"/>
  <c r="J56" i="4"/>
  <c r="I56" i="4"/>
  <c r="H56" i="4"/>
  <c r="G56" i="4"/>
  <c r="F56" i="4"/>
  <c r="E56" i="4"/>
  <c r="D56" i="4"/>
  <c r="C56" i="4"/>
  <c r="B56" i="4"/>
  <c r="A56" i="4"/>
  <c r="W56" i="4" s="1"/>
  <c r="AN56" i="8" s="1"/>
  <c r="T55" i="4"/>
  <c r="P55" i="4"/>
  <c r="O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W55" i="4" s="1"/>
  <c r="AN55" i="8" s="1"/>
  <c r="T54" i="4"/>
  <c r="P54" i="4"/>
  <c r="K54" i="4"/>
  <c r="J54" i="4"/>
  <c r="I54" i="4"/>
  <c r="H54" i="4"/>
  <c r="G54" i="4"/>
  <c r="F54" i="4"/>
  <c r="E54" i="4"/>
  <c r="D54" i="4"/>
  <c r="C54" i="4"/>
  <c r="B54" i="4"/>
  <c r="A54" i="4"/>
  <c r="L54" i="4" s="1"/>
  <c r="T53" i="4"/>
  <c r="Q53" i="4"/>
  <c r="K53" i="4"/>
  <c r="J53" i="4"/>
  <c r="I53" i="4"/>
  <c r="H53" i="4"/>
  <c r="G53" i="4"/>
  <c r="F53" i="4"/>
  <c r="E53" i="4"/>
  <c r="D53" i="4"/>
  <c r="C53" i="4"/>
  <c r="B53" i="4"/>
  <c r="A53" i="4"/>
  <c r="S53" i="4" s="1"/>
  <c r="T52" i="4"/>
  <c r="K52" i="4"/>
  <c r="J52" i="4"/>
  <c r="I52" i="4"/>
  <c r="H52" i="4"/>
  <c r="G52" i="4"/>
  <c r="F52" i="4"/>
  <c r="E52" i="4"/>
  <c r="D52" i="4"/>
  <c r="C52" i="4"/>
  <c r="B52" i="4"/>
  <c r="A52" i="4"/>
  <c r="R52" i="4" s="1"/>
  <c r="T51" i="4"/>
  <c r="K51" i="4"/>
  <c r="J51" i="4"/>
  <c r="I51" i="4"/>
  <c r="H51" i="4"/>
  <c r="G51" i="4"/>
  <c r="F51" i="4"/>
  <c r="E51" i="4"/>
  <c r="D51" i="4"/>
  <c r="C51" i="4"/>
  <c r="B51" i="4"/>
  <c r="A51" i="4"/>
  <c r="O51" i="4" s="1"/>
  <c r="T50" i="4"/>
  <c r="S50" i="4"/>
  <c r="Q50" i="4"/>
  <c r="P50" i="4"/>
  <c r="N50" i="4"/>
  <c r="M50" i="4"/>
  <c r="K50" i="4"/>
  <c r="J50" i="4"/>
  <c r="I50" i="4"/>
  <c r="H50" i="4"/>
  <c r="G50" i="4"/>
  <c r="F50" i="4"/>
  <c r="E50" i="4"/>
  <c r="D50" i="4"/>
  <c r="C50" i="4"/>
  <c r="B50" i="4"/>
  <c r="A50" i="4"/>
  <c r="L50" i="4" s="1"/>
  <c r="T49" i="4"/>
  <c r="S49" i="4"/>
  <c r="L49" i="4"/>
  <c r="K49" i="4"/>
  <c r="J49" i="4"/>
  <c r="I49" i="4"/>
  <c r="H49" i="4"/>
  <c r="G49" i="4"/>
  <c r="F49" i="4"/>
  <c r="E49" i="4"/>
  <c r="D49" i="4"/>
  <c r="C49" i="4"/>
  <c r="B49" i="4"/>
  <c r="A49" i="4"/>
  <c r="R49" i="4" s="1"/>
  <c r="T48" i="4"/>
  <c r="K48" i="4"/>
  <c r="J48" i="4"/>
  <c r="I48" i="4"/>
  <c r="H48" i="4"/>
  <c r="G48" i="4"/>
  <c r="F48" i="4"/>
  <c r="E48" i="4"/>
  <c r="D48" i="4"/>
  <c r="C48" i="4"/>
  <c r="B48" i="4"/>
  <c r="A48" i="4"/>
  <c r="P48" i="4" s="1"/>
  <c r="T47" i="4"/>
  <c r="K47" i="4"/>
  <c r="J47" i="4"/>
  <c r="I47" i="4"/>
  <c r="H47" i="4"/>
  <c r="G47" i="4"/>
  <c r="F47" i="4"/>
  <c r="E47" i="4"/>
  <c r="D47" i="4"/>
  <c r="C47" i="4"/>
  <c r="B47" i="4"/>
  <c r="A47" i="4"/>
  <c r="P47" i="4" s="1"/>
  <c r="W46" i="4"/>
  <c r="AN46" i="8" s="1"/>
  <c r="T46" i="4"/>
  <c r="P46" i="4"/>
  <c r="O46" i="4"/>
  <c r="M46" i="4"/>
  <c r="K46" i="4"/>
  <c r="J46" i="4"/>
  <c r="I46" i="4"/>
  <c r="H46" i="4"/>
  <c r="G46" i="4"/>
  <c r="F46" i="4"/>
  <c r="E46" i="4"/>
  <c r="D46" i="4"/>
  <c r="C46" i="4"/>
  <c r="B46" i="4"/>
  <c r="A46" i="4"/>
  <c r="L46" i="4" s="1"/>
  <c r="T45" i="4"/>
  <c r="P45" i="4"/>
  <c r="K45" i="4"/>
  <c r="J45" i="4"/>
  <c r="I45" i="4"/>
  <c r="H45" i="4"/>
  <c r="G45" i="4"/>
  <c r="F45" i="4"/>
  <c r="E45" i="4"/>
  <c r="D45" i="4"/>
  <c r="C45" i="4"/>
  <c r="B45" i="4"/>
  <c r="A45" i="4"/>
  <c r="R45" i="4" s="1"/>
  <c r="V44" i="4"/>
  <c r="AM44" i="8" s="1"/>
  <c r="T44" i="4"/>
  <c r="K44" i="4"/>
  <c r="J44" i="4"/>
  <c r="I44" i="4"/>
  <c r="H44" i="4"/>
  <c r="G44" i="4"/>
  <c r="F44" i="4"/>
  <c r="E44" i="4"/>
  <c r="D44" i="4"/>
  <c r="C44" i="4"/>
  <c r="B44" i="4"/>
  <c r="A44" i="4"/>
  <c r="P44" i="4" s="1"/>
  <c r="T43" i="4"/>
  <c r="Q43" i="4"/>
  <c r="K43" i="4"/>
  <c r="J43" i="4"/>
  <c r="I43" i="4"/>
  <c r="H43" i="4"/>
  <c r="G43" i="4"/>
  <c r="F43" i="4"/>
  <c r="E43" i="4"/>
  <c r="D43" i="4"/>
  <c r="C43" i="4"/>
  <c r="B43" i="4"/>
  <c r="A43" i="4"/>
  <c r="P43" i="4" s="1"/>
  <c r="T42" i="4"/>
  <c r="P42" i="4"/>
  <c r="K42" i="4"/>
  <c r="J42" i="4"/>
  <c r="I42" i="4"/>
  <c r="H42" i="4"/>
  <c r="G42" i="4"/>
  <c r="F42" i="4"/>
  <c r="E42" i="4"/>
  <c r="D42" i="4"/>
  <c r="C42" i="4"/>
  <c r="B42" i="4"/>
  <c r="A42" i="4"/>
  <c r="L42" i="4" s="1"/>
  <c r="W41" i="4"/>
  <c r="AN41" i="8" s="1"/>
  <c r="T41" i="4"/>
  <c r="M41" i="4"/>
  <c r="L41" i="4"/>
  <c r="K41" i="4"/>
  <c r="J41" i="4"/>
  <c r="I41" i="4"/>
  <c r="H41" i="4"/>
  <c r="G41" i="4"/>
  <c r="F41" i="4"/>
  <c r="E41" i="4"/>
  <c r="D41" i="4"/>
  <c r="C41" i="4"/>
  <c r="B41" i="4"/>
  <c r="A41" i="4"/>
  <c r="R41" i="4" s="1"/>
  <c r="T40" i="4"/>
  <c r="S40" i="4"/>
  <c r="Q40" i="4"/>
  <c r="M40" i="4"/>
  <c r="K40" i="4"/>
  <c r="J40" i="4"/>
  <c r="I40" i="4"/>
  <c r="H40" i="4"/>
  <c r="G40" i="4"/>
  <c r="F40" i="4"/>
  <c r="E40" i="4"/>
  <c r="D40" i="4"/>
  <c r="C40" i="4"/>
  <c r="B40" i="4"/>
  <c r="A40" i="4"/>
  <c r="P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8" s="1"/>
  <c r="V2" i="4"/>
  <c r="A2" i="4"/>
  <c r="S1" i="4" a="1"/>
  <c r="S1" i="4"/>
  <c r="R1" i="4" a="1"/>
  <c r="R1" i="4"/>
  <c r="I3" i="2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H234" i="9" a="1"/>
  <c r="C231" i="9" a="1"/>
  <c r="H233" i="9" a="1"/>
  <c r="H225" i="9" a="1"/>
  <c r="A6" i="8" a="1"/>
  <c r="H226" i="9" a="1"/>
  <c r="C244" i="9" a="1"/>
  <c r="H245" i="9" a="1"/>
  <c r="C232" i="9" a="1"/>
  <c r="C219" i="9" a="1"/>
  <c r="B1" i="6" a="1"/>
  <c r="C242" i="9" a="1"/>
  <c r="C215" i="9" a="1"/>
  <c r="H241" i="9" a="1"/>
  <c r="A6" i="4" a="1"/>
  <c r="C241" i="9" a="1"/>
  <c r="C234" i="9" a="1"/>
  <c r="C226" i="9" a="1"/>
  <c r="C235" i="9" a="1"/>
  <c r="A7" i="4" a="1"/>
  <c r="C224" i="9" a="1"/>
  <c r="C246" i="9" a="1"/>
  <c r="C236" i="9" a="1"/>
  <c r="C233" i="9" a="1"/>
  <c r="H244" i="9" a="1"/>
  <c r="H224" i="9" a="1"/>
  <c r="C223" i="9" a="1"/>
  <c r="C225" i="9" a="1"/>
  <c r="H243" i="9" a="1"/>
  <c r="H242" i="9" a="1"/>
  <c r="H240" i="9" a="1"/>
  <c r="C245" i="9" a="1"/>
  <c r="H236" i="9" a="1"/>
  <c r="H232" i="9" a="1"/>
  <c r="C239" i="9" a="1"/>
  <c r="C240" i="9" a="1"/>
  <c r="C227" i="9" a="1"/>
  <c r="A7" i="8" a="1"/>
  <c r="H246" i="9" a="1"/>
  <c r="W40" i="4" l="1"/>
  <c r="AN40" i="8" s="1"/>
  <c r="P41" i="4"/>
  <c r="N42" i="4"/>
  <c r="M44" i="4"/>
  <c r="M45" i="4"/>
  <c r="Q47" i="4"/>
  <c r="V50" i="4"/>
  <c r="AM50" i="8" s="1"/>
  <c r="P51" i="4"/>
  <c r="N54" i="4"/>
  <c r="V55" i="4"/>
  <c r="AM55" i="8" s="1"/>
  <c r="R58" i="4"/>
  <c r="L59" i="4"/>
  <c r="S61" i="4"/>
  <c r="R62" i="4"/>
  <c r="L63" i="4"/>
  <c r="P66" i="4"/>
  <c r="L67" i="4"/>
  <c r="R70" i="4"/>
  <c r="M71" i="4"/>
  <c r="P73" i="4"/>
  <c r="S74" i="4"/>
  <c r="O75" i="4"/>
  <c r="P77" i="4"/>
  <c r="P78" i="4"/>
  <c r="M79" i="4"/>
  <c r="P81" i="4"/>
  <c r="S83" i="4"/>
  <c r="W84" i="4"/>
  <c r="AN84" i="8" s="1"/>
  <c r="O91" i="4"/>
  <c r="V94" i="4"/>
  <c r="AM94" i="8" s="1"/>
  <c r="O99" i="4"/>
  <c r="V102" i="4"/>
  <c r="AM102" i="8" s="1"/>
  <c r="O107" i="4"/>
  <c r="V110" i="4"/>
  <c r="AM110" i="8" s="1"/>
  <c r="P119" i="4"/>
  <c r="L121" i="4"/>
  <c r="N129" i="4"/>
  <c r="L135" i="4"/>
  <c r="O139" i="4"/>
  <c r="O143" i="4"/>
  <c r="W145" i="4"/>
  <c r="AN145" i="8" s="1"/>
  <c r="L40" i="4"/>
  <c r="S41" i="4"/>
  <c r="O42" i="4"/>
  <c r="O45" i="4"/>
  <c r="V46" i="4"/>
  <c r="AM46" i="8" s="1"/>
  <c r="S47" i="4"/>
  <c r="W50" i="4"/>
  <c r="AN50" i="8" s="1"/>
  <c r="P53" i="4"/>
  <c r="O54" i="4"/>
  <c r="S58" i="4"/>
  <c r="M59" i="4"/>
  <c r="N60" i="4"/>
  <c r="S62" i="4"/>
  <c r="M63" i="4"/>
  <c r="P65" i="4"/>
  <c r="R66" i="4"/>
  <c r="M67" i="4"/>
  <c r="P69" i="4"/>
  <c r="S70" i="4"/>
  <c r="O71" i="4"/>
  <c r="P75" i="4"/>
  <c r="N76" i="4"/>
  <c r="S77" i="4"/>
  <c r="R78" i="4"/>
  <c r="V82" i="4"/>
  <c r="AM82" i="8" s="1"/>
  <c r="L87" i="4"/>
  <c r="S93" i="4"/>
  <c r="P121" i="4"/>
  <c r="P129" i="4"/>
  <c r="W133" i="4"/>
  <c r="AN133" i="8" s="1"/>
  <c r="O135" i="4"/>
  <c r="P139" i="4"/>
  <c r="P143" i="4"/>
  <c r="O63" i="4"/>
  <c r="S65" i="4"/>
  <c r="S66" i="4"/>
  <c r="O67" i="4"/>
  <c r="P71" i="4"/>
  <c r="N72" i="4"/>
  <c r="V74" i="4"/>
  <c r="AM74" i="8" s="1"/>
  <c r="R75" i="4"/>
  <c r="P79" i="4"/>
  <c r="N80" i="4"/>
  <c r="V83" i="4"/>
  <c r="AM83" i="8" s="1"/>
  <c r="M86" i="4"/>
  <c r="M87" i="4"/>
  <c r="M90" i="4"/>
  <c r="M98" i="4"/>
  <c r="M106" i="4"/>
  <c r="O123" i="4"/>
  <c r="L131" i="4"/>
  <c r="P135" i="4"/>
  <c r="R139" i="4"/>
  <c r="R143" i="4"/>
  <c r="O40" i="4"/>
  <c r="V41" i="4"/>
  <c r="AM41" i="8" s="1"/>
  <c r="Q42" i="4"/>
  <c r="W44" i="4"/>
  <c r="AN44" i="8" s="1"/>
  <c r="S45" i="4"/>
  <c r="N46" i="4"/>
  <c r="O49" i="4"/>
  <c r="R54" i="4"/>
  <c r="P59" i="4"/>
  <c r="W60" i="4"/>
  <c r="AN60" i="8" s="1"/>
  <c r="V62" i="4"/>
  <c r="AM62" i="8" s="1"/>
  <c r="P63" i="4"/>
  <c r="P67" i="4"/>
  <c r="V70" i="4"/>
  <c r="AM70" i="8" s="1"/>
  <c r="R71" i="4"/>
  <c r="S75" i="4"/>
  <c r="W76" i="4"/>
  <c r="AN76" i="8" s="1"/>
  <c r="W77" i="4"/>
  <c r="AN77" i="8" s="1"/>
  <c r="V78" i="4"/>
  <c r="AM78" i="8" s="1"/>
  <c r="R86" i="4"/>
  <c r="O87" i="4"/>
  <c r="P123" i="4"/>
  <c r="L125" i="4"/>
  <c r="W129" i="4"/>
  <c r="AN129" i="8" s="1"/>
  <c r="O131" i="4"/>
  <c r="R135" i="4"/>
  <c r="L145" i="4"/>
  <c r="S42" i="4"/>
  <c r="S54" i="4"/>
  <c r="W62" i="4"/>
  <c r="AN62" i="8" s="1"/>
  <c r="R63" i="4"/>
  <c r="V66" i="4"/>
  <c r="AM66" i="8" s="1"/>
  <c r="R67" i="4"/>
  <c r="S71" i="4"/>
  <c r="W72" i="4"/>
  <c r="AN72" i="8" s="1"/>
  <c r="S79" i="4"/>
  <c r="W80" i="4"/>
  <c r="AN80" i="8" s="1"/>
  <c r="P85" i="4"/>
  <c r="V90" i="4"/>
  <c r="AM90" i="8" s="1"/>
  <c r="O95" i="4"/>
  <c r="V98" i="4"/>
  <c r="AM98" i="8" s="1"/>
  <c r="O103" i="4"/>
  <c r="V106" i="4"/>
  <c r="AM106" i="8" s="1"/>
  <c r="O111" i="4"/>
  <c r="L115" i="4"/>
  <c r="P125" i="4"/>
  <c r="L127" i="4"/>
  <c r="P131" i="4"/>
  <c r="N137" i="4"/>
  <c r="W139" i="4"/>
  <c r="AN139" i="8" s="1"/>
  <c r="N141" i="4"/>
  <c r="W143" i="4"/>
  <c r="AN143" i="8" s="1"/>
  <c r="N145" i="4"/>
  <c r="V45" i="4"/>
  <c r="AM45" i="8" s="1"/>
  <c r="L51" i="4"/>
  <c r="V59" i="4"/>
  <c r="AM59" i="8" s="1"/>
  <c r="M62" i="4"/>
  <c r="S63" i="4"/>
  <c r="S67" i="4"/>
  <c r="M74" i="4"/>
  <c r="V75" i="4"/>
  <c r="AM75" i="8" s="1"/>
  <c r="L83" i="4"/>
  <c r="S85" i="4"/>
  <c r="V86" i="4"/>
  <c r="AM86" i="8" s="1"/>
  <c r="V87" i="4"/>
  <c r="AM87" i="8" s="1"/>
  <c r="S89" i="4"/>
  <c r="S97" i="4"/>
  <c r="S105" i="4"/>
  <c r="O115" i="4"/>
  <c r="O127" i="4"/>
  <c r="R131" i="4"/>
  <c r="L133" i="4"/>
  <c r="P137" i="4"/>
  <c r="P141" i="4"/>
  <c r="N41" i="4"/>
  <c r="W42" i="4"/>
  <c r="AN42" i="8" s="1"/>
  <c r="W45" i="4"/>
  <c r="AN45" i="8" s="1"/>
  <c r="Q46" i="4"/>
  <c r="M47" i="4"/>
  <c r="V49" i="4"/>
  <c r="AM49" i="8" s="1"/>
  <c r="M51" i="4"/>
  <c r="V54" i="4"/>
  <c r="AM54" i="8" s="1"/>
  <c r="N62" i="4"/>
  <c r="M70" i="4"/>
  <c r="V71" i="4"/>
  <c r="AM71" i="8" s="1"/>
  <c r="L75" i="4"/>
  <c r="V79" i="4"/>
  <c r="AM79" i="8" s="1"/>
  <c r="M82" i="4"/>
  <c r="N84" i="4"/>
  <c r="M94" i="4"/>
  <c r="M102" i="4"/>
  <c r="M110" i="4"/>
  <c r="P115" i="4"/>
  <c r="P117" i="4"/>
  <c r="L119" i="4"/>
  <c r="P127" i="4"/>
  <c r="N133" i="4"/>
  <c r="L139" i="4"/>
  <c r="L143" i="4"/>
  <c r="R145" i="4"/>
  <c r="V40" i="4"/>
  <c r="AM40" i="8" s="1"/>
  <c r="O41" i="4"/>
  <c r="L44" i="4"/>
  <c r="L45" i="4"/>
  <c r="S46" i="4"/>
  <c r="O47" i="4"/>
  <c r="M54" i="4"/>
  <c r="W54" i="4"/>
  <c r="AN54" i="8" s="1"/>
  <c r="P58" i="4"/>
  <c r="P61" i="4"/>
  <c r="P62" i="4"/>
  <c r="V63" i="4"/>
  <c r="AM63" i="8" s="1"/>
  <c r="M66" i="4"/>
  <c r="V67" i="4"/>
  <c r="AM67" i="8" s="1"/>
  <c r="P70" i="4"/>
  <c r="L71" i="4"/>
  <c r="R74" i="4"/>
  <c r="M75" i="4"/>
  <c r="N77" i="4"/>
  <c r="M78" i="4"/>
  <c r="R82" i="4"/>
  <c r="O119" i="4"/>
  <c r="R127" i="4"/>
  <c r="L129" i="4"/>
  <c r="P133" i="4"/>
  <c r="W137" i="4"/>
  <c r="AN137" i="8" s="1"/>
  <c r="N139" i="4"/>
  <c r="N143" i="4"/>
  <c r="H9" i="10"/>
  <c r="Q202" i="9"/>
  <c r="Q210" i="9"/>
  <c r="E210" i="9"/>
  <c r="Q195" i="9"/>
  <c r="E195" i="9"/>
  <c r="Q203" i="9"/>
  <c r="Q196" i="9"/>
  <c r="E196" i="9"/>
  <c r="Q204" i="9"/>
  <c r="Q197" i="9"/>
  <c r="E197" i="9"/>
  <c r="Q205" i="9"/>
  <c r="E205" i="9"/>
  <c r="Q198" i="9"/>
  <c r="Q206" i="9"/>
  <c r="E206" i="9"/>
  <c r="Q199" i="9"/>
  <c r="E199" i="9"/>
  <c r="Q207" i="9"/>
  <c r="Q200" i="9"/>
  <c r="E200" i="9"/>
  <c r="Q208" i="9"/>
  <c r="Q201" i="9"/>
  <c r="E201" i="9"/>
  <c r="Q209" i="9"/>
  <c r="E209" i="9"/>
  <c r="Q126" i="9"/>
  <c r="P126" i="9" s="1"/>
  <c r="H126" i="9"/>
  <c r="Q134" i="9"/>
  <c r="P134" i="9" s="1"/>
  <c r="H134" i="9"/>
  <c r="E134" i="9" s="1"/>
  <c r="Q127" i="9"/>
  <c r="P127" i="9" s="1"/>
  <c r="H127" i="9"/>
  <c r="Q135" i="9"/>
  <c r="P135" i="9" s="1"/>
  <c r="H135" i="9"/>
  <c r="Q128" i="9"/>
  <c r="P128" i="9" s="1"/>
  <c r="H128" i="9"/>
  <c r="Q136" i="9"/>
  <c r="P136" i="9" s="1"/>
  <c r="H136" i="9"/>
  <c r="E136" i="9" s="1"/>
  <c r="Q129" i="9"/>
  <c r="P129" i="9" s="1"/>
  <c r="H129" i="9"/>
  <c r="Q137" i="9"/>
  <c r="P137" i="9" s="1"/>
  <c r="H137" i="9"/>
  <c r="Q130" i="9"/>
  <c r="P130" i="9" s="1"/>
  <c r="H130" i="9"/>
  <c r="Q138" i="9"/>
  <c r="P138" i="9" s="1"/>
  <c r="H138" i="9"/>
  <c r="E138" i="9" s="1"/>
  <c r="Q131" i="9"/>
  <c r="P131" i="9" s="1"/>
  <c r="H131" i="9"/>
  <c r="E131" i="9" s="1"/>
  <c r="Q139" i="9"/>
  <c r="P139" i="9" s="1"/>
  <c r="H139" i="9"/>
  <c r="Q132" i="9"/>
  <c r="P132" i="9" s="1"/>
  <c r="H132" i="9"/>
  <c r="Q140" i="9"/>
  <c r="P140" i="9" s="1"/>
  <c r="H140" i="9"/>
  <c r="E140" i="9" s="1"/>
  <c r="Q125" i="9"/>
  <c r="P125" i="9" s="1"/>
  <c r="H125" i="9"/>
  <c r="Q133" i="9"/>
  <c r="P133" i="9" s="1"/>
  <c r="H133" i="9"/>
  <c r="E133" i="9" s="1"/>
  <c r="H58" i="9"/>
  <c r="H66" i="9"/>
  <c r="E66" i="9" s="1"/>
  <c r="H60" i="9"/>
  <c r="H68" i="9"/>
  <c r="E68" i="9" s="1"/>
  <c r="H61" i="9"/>
  <c r="H69" i="9"/>
  <c r="E69" i="9" s="1"/>
  <c r="H67" i="9"/>
  <c r="E67" i="9" s="1"/>
  <c r="H62" i="9"/>
  <c r="E62" i="9" s="1"/>
  <c r="H70" i="9"/>
  <c r="H55" i="9"/>
  <c r="E55" i="9" s="1"/>
  <c r="H63" i="9"/>
  <c r="E63" i="9" s="1"/>
  <c r="H59" i="9"/>
  <c r="E59" i="9" s="1"/>
  <c r="H56" i="9"/>
  <c r="H64" i="9"/>
  <c r="E64" i="9" s="1"/>
  <c r="H57" i="9"/>
  <c r="E57" i="9" s="1"/>
  <c r="H65" i="9"/>
  <c r="E65" i="9" s="1"/>
  <c r="Q58" i="9"/>
  <c r="P58" i="9" s="1"/>
  <c r="Q66" i="9"/>
  <c r="P66" i="9" s="1"/>
  <c r="Q59" i="9"/>
  <c r="P59" i="9" s="1"/>
  <c r="Q67" i="9"/>
  <c r="P67" i="9" s="1"/>
  <c r="Q60" i="9"/>
  <c r="P60" i="9" s="1"/>
  <c r="Q68" i="9"/>
  <c r="P68" i="9" s="1"/>
  <c r="Q61" i="9"/>
  <c r="P61" i="9" s="1"/>
  <c r="Q69" i="9"/>
  <c r="P69" i="9" s="1"/>
  <c r="Q62" i="9"/>
  <c r="P62" i="9" s="1"/>
  <c r="Q70" i="9"/>
  <c r="P70" i="9" s="1"/>
  <c r="Q55" i="9"/>
  <c r="P55" i="9" s="1"/>
  <c r="Q63" i="9"/>
  <c r="P63" i="9" s="1"/>
  <c r="Q56" i="9"/>
  <c r="P56" i="9" s="1"/>
  <c r="Q64" i="9"/>
  <c r="P64" i="9" s="1"/>
  <c r="Q57" i="9"/>
  <c r="P57" i="9" s="1"/>
  <c r="Q65" i="9"/>
  <c r="P65" i="9" s="1"/>
  <c r="L58" i="9"/>
  <c r="N58" i="9"/>
  <c r="L66" i="9"/>
  <c r="N66" i="9"/>
  <c r="M126" i="9" a="1"/>
  <c r="M126" i="9" s="1"/>
  <c r="N126" i="9"/>
  <c r="M134" i="9" a="1"/>
  <c r="M134" i="9" s="1"/>
  <c r="N134" i="9"/>
  <c r="M202" i="9" a="1"/>
  <c r="M202" i="9" s="1"/>
  <c r="N202" i="9"/>
  <c r="M210" i="9" a="1"/>
  <c r="M210" i="9" s="1"/>
  <c r="N210" i="9"/>
  <c r="L59" i="9"/>
  <c r="N59" i="9"/>
  <c r="L67" i="9"/>
  <c r="N67" i="9"/>
  <c r="M127" i="9" a="1"/>
  <c r="M127" i="9" s="1"/>
  <c r="N127" i="9"/>
  <c r="M135" i="9" a="1"/>
  <c r="M135" i="9" s="1"/>
  <c r="N135" i="9"/>
  <c r="M195" i="9" a="1"/>
  <c r="M195" i="9" s="1"/>
  <c r="N195" i="9"/>
  <c r="M203" i="9" a="1"/>
  <c r="M203" i="9" s="1"/>
  <c r="N203" i="9"/>
  <c r="L60" i="9"/>
  <c r="N60" i="9"/>
  <c r="L68" i="9"/>
  <c r="N68" i="9"/>
  <c r="E128" i="9"/>
  <c r="N128" i="9"/>
  <c r="B136" i="9"/>
  <c r="N136" i="9"/>
  <c r="M196" i="9" a="1"/>
  <c r="M196" i="9" s="1"/>
  <c r="N196" i="9"/>
  <c r="M204" i="9" a="1"/>
  <c r="M204" i="9" s="1"/>
  <c r="N204" i="9"/>
  <c r="E61" i="9"/>
  <c r="N61" i="9"/>
  <c r="N69" i="9"/>
  <c r="J129" i="9"/>
  <c r="N129" i="9"/>
  <c r="M137" i="9" a="1"/>
  <c r="M137" i="9" s="1"/>
  <c r="N137" i="9"/>
  <c r="M197" i="9" a="1"/>
  <c r="M197" i="9" s="1"/>
  <c r="N197" i="9"/>
  <c r="D205" i="9" a="1"/>
  <c r="D205" i="9" s="1"/>
  <c r="F205" i="9" s="1"/>
  <c r="G205" i="9" s="1"/>
  <c r="N205" i="9"/>
  <c r="L62" i="9"/>
  <c r="N62" i="9"/>
  <c r="L70" i="9"/>
  <c r="N70" i="9"/>
  <c r="M130" i="9" a="1"/>
  <c r="M130" i="9" s="1"/>
  <c r="N130" i="9"/>
  <c r="J138" i="9"/>
  <c r="N138" i="9"/>
  <c r="M198" i="9" a="1"/>
  <c r="M198" i="9" s="1"/>
  <c r="N198" i="9"/>
  <c r="D206" i="9" a="1"/>
  <c r="D206" i="9" s="1"/>
  <c r="F206" i="9" s="1"/>
  <c r="G206" i="9" s="1"/>
  <c r="N206" i="9"/>
  <c r="L55" i="9"/>
  <c r="N55" i="9"/>
  <c r="L63" i="9"/>
  <c r="N63" i="9"/>
  <c r="M131" i="9" a="1"/>
  <c r="M131" i="9" s="1"/>
  <c r="N131" i="9"/>
  <c r="M139" i="9" a="1"/>
  <c r="M139" i="9" s="1"/>
  <c r="N139" i="9"/>
  <c r="M199" i="9" a="1"/>
  <c r="M199" i="9" s="1"/>
  <c r="N199" i="9"/>
  <c r="B207" i="9"/>
  <c r="N207" i="9"/>
  <c r="J56" i="9"/>
  <c r="N56" i="9"/>
  <c r="L64" i="9"/>
  <c r="N64" i="9"/>
  <c r="M132" i="9" a="1"/>
  <c r="M132" i="9" s="1"/>
  <c r="N132" i="9"/>
  <c r="M140" i="9" a="1"/>
  <c r="M140" i="9" s="1"/>
  <c r="N140" i="9"/>
  <c r="N200" i="9"/>
  <c r="N208" i="9"/>
  <c r="L57" i="9"/>
  <c r="N57" i="9"/>
  <c r="L65" i="9"/>
  <c r="N65" i="9"/>
  <c r="M125" i="9" a="1"/>
  <c r="M125" i="9" s="1"/>
  <c r="N125" i="9"/>
  <c r="D133" i="9" a="1"/>
  <c r="D133" i="9" s="1"/>
  <c r="F133" i="9" s="1"/>
  <c r="G133" i="9" s="1"/>
  <c r="N133" i="9"/>
  <c r="N201" i="9"/>
  <c r="M209" i="9" a="1"/>
  <c r="M209" i="9" s="1"/>
  <c r="N209" i="9"/>
  <c r="M206" i="9" a="1"/>
  <c r="M206" i="9" s="1"/>
  <c r="M205" i="9" a="1"/>
  <c r="M205" i="9" s="1"/>
  <c r="M201" i="9" a="1"/>
  <c r="M201" i="9" s="1"/>
  <c r="M208" i="9" a="1"/>
  <c r="M208" i="9" s="1"/>
  <c r="M200" i="9" a="1"/>
  <c r="M200" i="9" s="1"/>
  <c r="M207" i="9" a="1"/>
  <c r="M207" i="9" s="1"/>
  <c r="M133" i="9" a="1"/>
  <c r="M133" i="9" s="1"/>
  <c r="M129" i="9" a="1"/>
  <c r="M129" i="9" s="1"/>
  <c r="M136" i="9" a="1"/>
  <c r="M136" i="9" s="1"/>
  <c r="M128" i="9" a="1"/>
  <c r="M128" i="9" s="1"/>
  <c r="M138" i="9" a="1"/>
  <c r="M138" i="9" s="1"/>
  <c r="M66" i="9" a="1"/>
  <c r="M66" i="9" s="1"/>
  <c r="M58" i="9" a="1"/>
  <c r="M58" i="9" s="1"/>
  <c r="M69" i="9" a="1"/>
  <c r="M69" i="9" s="1"/>
  <c r="M65" i="9" a="1"/>
  <c r="M65" i="9" s="1"/>
  <c r="M61" i="9" a="1"/>
  <c r="M61" i="9" s="1"/>
  <c r="M57" i="9" a="1"/>
  <c r="M57" i="9" s="1"/>
  <c r="M68" i="9" a="1"/>
  <c r="M68" i="9" s="1"/>
  <c r="M64" i="9" a="1"/>
  <c r="M64" i="9" s="1"/>
  <c r="M60" i="9" a="1"/>
  <c r="M60" i="9" s="1"/>
  <c r="M56" i="9" a="1"/>
  <c r="M56" i="9" s="1"/>
  <c r="M67" i="9" a="1"/>
  <c r="M67" i="9" s="1"/>
  <c r="M63" i="9" a="1"/>
  <c r="M63" i="9" s="1"/>
  <c r="M59" i="9" a="1"/>
  <c r="M59" i="9" s="1"/>
  <c r="M55" i="9" a="1"/>
  <c r="M55" i="9" s="1"/>
  <c r="M70" i="9" a="1"/>
  <c r="M70" i="9" s="1"/>
  <c r="M62" i="9" a="1"/>
  <c r="M62" i="9" s="1"/>
  <c r="L205" i="9"/>
  <c r="L197" i="9"/>
  <c r="L204" i="9"/>
  <c r="L196" i="9"/>
  <c r="L203" i="9"/>
  <c r="L195" i="9"/>
  <c r="L210" i="9"/>
  <c r="L202" i="9"/>
  <c r="L209" i="9"/>
  <c r="L201" i="9"/>
  <c r="L208" i="9"/>
  <c r="L200" i="9"/>
  <c r="L207" i="9"/>
  <c r="L199" i="9"/>
  <c r="L206" i="9"/>
  <c r="L198" i="9"/>
  <c r="L134" i="9"/>
  <c r="L126" i="9"/>
  <c r="L135" i="9"/>
  <c r="L127" i="9"/>
  <c r="L133" i="9"/>
  <c r="L125" i="9"/>
  <c r="L140" i="9"/>
  <c r="L132" i="9"/>
  <c r="L139" i="9"/>
  <c r="L131" i="9"/>
  <c r="L138" i="9"/>
  <c r="L130" i="9"/>
  <c r="L137" i="9"/>
  <c r="L129" i="9"/>
  <c r="L136" i="9"/>
  <c r="L128" i="9"/>
  <c r="L56" i="9"/>
  <c r="L69" i="9"/>
  <c r="L61" i="9"/>
  <c r="H2" i="5"/>
  <c r="D129" i="9" a="1"/>
  <c r="D129" i="9" s="1"/>
  <c r="F129" i="9" s="1"/>
  <c r="G129" i="9" s="1"/>
  <c r="B59" i="9"/>
  <c r="B201" i="9"/>
  <c r="J205" i="9"/>
  <c r="E130" i="9"/>
  <c r="J130" i="9"/>
  <c r="D130" i="9" a="1"/>
  <c r="D130" i="9" s="1"/>
  <c r="F130" i="9" s="1"/>
  <c r="G130" i="9" s="1"/>
  <c r="J66" i="9"/>
  <c r="D66" i="9" a="1"/>
  <c r="D66" i="9" s="1"/>
  <c r="F66" i="9" s="1"/>
  <c r="G66" i="9" s="1"/>
  <c r="B125" i="9"/>
  <c r="J137" i="9"/>
  <c r="D137" i="9" a="1"/>
  <c r="D137" i="9" s="1"/>
  <c r="F137" i="9" s="1"/>
  <c r="G137" i="9" s="1"/>
  <c r="B137" i="9"/>
  <c r="E58" i="9"/>
  <c r="J58" i="9"/>
  <c r="D58" i="9" a="1"/>
  <c r="D58" i="9" s="1"/>
  <c r="F58" i="9" s="1"/>
  <c r="G58" i="9" s="1"/>
  <c r="J62" i="9"/>
  <c r="D62" i="9" a="1"/>
  <c r="D62" i="9" s="1"/>
  <c r="F62" i="9" s="1"/>
  <c r="G62" i="9" s="1"/>
  <c r="B62" i="9"/>
  <c r="B70" i="9"/>
  <c r="J70" i="9"/>
  <c r="D70" i="9" a="1"/>
  <c r="D70" i="9" s="1"/>
  <c r="F70" i="9" s="1"/>
  <c r="G70" i="9" s="1"/>
  <c r="D67" i="9" a="1"/>
  <c r="D67" i="9" s="1"/>
  <c r="F67" i="9" s="1"/>
  <c r="G67" i="9" s="1"/>
  <c r="B67" i="9"/>
  <c r="J67" i="9"/>
  <c r="J127" i="9"/>
  <c r="J64" i="9"/>
  <c r="D59" i="9" a="1"/>
  <c r="D59" i="9" s="1"/>
  <c r="F59" i="9" s="1"/>
  <c r="G59" i="9" s="1"/>
  <c r="B135" i="9"/>
  <c r="B138" i="9"/>
  <c r="J59" i="9"/>
  <c r="J195" i="9"/>
  <c r="B128" i="9"/>
  <c r="J128" i="9"/>
  <c r="E135" i="9"/>
  <c r="D128" i="9" a="1"/>
  <c r="D128" i="9" s="1"/>
  <c r="F128" i="9" s="1"/>
  <c r="G128" i="9" s="1"/>
  <c r="D195" i="9" a="1"/>
  <c r="D195" i="9" s="1"/>
  <c r="F195" i="9" s="1"/>
  <c r="G195" i="9" s="1"/>
  <c r="A7" i="4"/>
  <c r="A6" i="4"/>
  <c r="B1" i="6"/>
  <c r="A6" i="8"/>
  <c r="A7" i="8"/>
  <c r="H232" i="9"/>
  <c r="Q232" i="9" s="1"/>
  <c r="P232" i="9" s="1"/>
  <c r="C236" i="9"/>
  <c r="F236" i="9" s="1"/>
  <c r="G236" i="9" s="1"/>
  <c r="H224" i="9"/>
  <c r="Q224" i="9" s="1"/>
  <c r="P224" i="9" s="1"/>
  <c r="C235" i="9"/>
  <c r="H241" i="9"/>
  <c r="Q241" i="9" s="1"/>
  <c r="P241" i="9" s="1"/>
  <c r="C219" i="9"/>
  <c r="H225" i="9"/>
  <c r="Q225" i="9" s="1"/>
  <c r="P225" i="9" s="1"/>
  <c r="C227" i="9"/>
  <c r="H236" i="9"/>
  <c r="Q236" i="9" s="1"/>
  <c r="P236" i="9" s="1"/>
  <c r="C223" i="9"/>
  <c r="C224" i="9"/>
  <c r="F224" i="9" s="1"/>
  <c r="G224" i="9" s="1"/>
  <c r="C226" i="9"/>
  <c r="F226" i="9" s="1"/>
  <c r="G226" i="9" s="1"/>
  <c r="C215" i="9"/>
  <c r="C232" i="9"/>
  <c r="F232" i="9" s="1"/>
  <c r="G232" i="9" s="1"/>
  <c r="H233" i="9"/>
  <c r="Q233" i="9" s="1"/>
  <c r="P233" i="9" s="1"/>
  <c r="C240" i="9"/>
  <c r="F240" i="9" s="1"/>
  <c r="G240" i="9" s="1"/>
  <c r="C245" i="9"/>
  <c r="F245" i="9" s="1"/>
  <c r="G245" i="9" s="1"/>
  <c r="C246" i="9"/>
  <c r="F246" i="9" s="1"/>
  <c r="G246" i="9" s="1"/>
  <c r="H244" i="9"/>
  <c r="Q244" i="9" s="1"/>
  <c r="P244" i="9" s="1"/>
  <c r="C234" i="9"/>
  <c r="F234" i="9" s="1"/>
  <c r="G234" i="9" s="1"/>
  <c r="C242" i="9"/>
  <c r="F242" i="9" s="1"/>
  <c r="G242" i="9" s="1"/>
  <c r="H245" i="9"/>
  <c r="Q245" i="9" s="1"/>
  <c r="P245" i="9" s="1"/>
  <c r="C231" i="9"/>
  <c r="C239" i="9"/>
  <c r="H240" i="9"/>
  <c r="Q240" i="9" s="1"/>
  <c r="P240" i="9" s="1"/>
  <c r="H246" i="9"/>
  <c r="Q246" i="9" s="1"/>
  <c r="P246" i="9" s="1"/>
  <c r="C225" i="9"/>
  <c r="F225" i="9" s="1"/>
  <c r="G225" i="9" s="1"/>
  <c r="C233" i="9"/>
  <c r="F233" i="9" s="1"/>
  <c r="G233" i="9" s="1"/>
  <c r="C241" i="9"/>
  <c r="F241" i="9" s="1"/>
  <c r="G241" i="9" s="1"/>
  <c r="C244" i="9"/>
  <c r="F244" i="9" s="1"/>
  <c r="G244" i="9" s="1"/>
  <c r="H226" i="9"/>
  <c r="Q226" i="9" s="1"/>
  <c r="P226" i="9" s="1"/>
  <c r="H234" i="9"/>
  <c r="Q234" i="9" s="1"/>
  <c r="P234" i="9" s="1"/>
  <c r="H242" i="9"/>
  <c r="Q242" i="9" s="1"/>
  <c r="P242" i="9" s="1"/>
  <c r="H243" i="9"/>
  <c r="Q243" i="9" s="1"/>
  <c r="P243" i="9" s="1"/>
  <c r="M43" i="4"/>
  <c r="R44" i="4"/>
  <c r="N48" i="4"/>
  <c r="Q49" i="4"/>
  <c r="Q52" i="4"/>
  <c r="O43" i="4"/>
  <c r="S44" i="4"/>
  <c r="O48" i="4"/>
  <c r="P56" i="4"/>
  <c r="V56" i="4"/>
  <c r="AM56" i="8" s="1"/>
  <c r="M56" i="4"/>
  <c r="L56" i="4"/>
  <c r="S56" i="4"/>
  <c r="R56" i="4"/>
  <c r="R57" i="4"/>
  <c r="Q57" i="4"/>
  <c r="O57" i="4"/>
  <c r="W57" i="4"/>
  <c r="AN57" i="8" s="1"/>
  <c r="N57" i="4"/>
  <c r="V57" i="4"/>
  <c r="AM57" i="8" s="1"/>
  <c r="M57" i="4"/>
  <c r="L57" i="4"/>
  <c r="I4" i="2"/>
  <c r="N40" i="4"/>
  <c r="Q41" i="4"/>
  <c r="M42" i="4"/>
  <c r="V42" i="4"/>
  <c r="AM42" i="8" s="1"/>
  <c r="N45" i="4"/>
  <c r="R46" i="4"/>
  <c r="L47" i="4"/>
  <c r="V47" i="4"/>
  <c r="AM47" i="8" s="1"/>
  <c r="Q48" i="4"/>
  <c r="O50" i="4"/>
  <c r="W51" i="4"/>
  <c r="AN51" i="8" s="1"/>
  <c r="N51" i="4"/>
  <c r="S51" i="4"/>
  <c r="R51" i="4"/>
  <c r="Q51" i="4"/>
  <c r="V51" i="4"/>
  <c r="AM51" i="8" s="1"/>
  <c r="R48" i="4"/>
  <c r="P52" i="4"/>
  <c r="V52" i="4"/>
  <c r="AM52" i="8" s="1"/>
  <c r="M52" i="4"/>
  <c r="L52" i="4"/>
  <c r="S52" i="4"/>
  <c r="W52" i="4"/>
  <c r="AN52" i="8" s="1"/>
  <c r="W3" i="8"/>
  <c r="X4" i="8"/>
  <c r="W43" i="4"/>
  <c r="AN43" i="8" s="1"/>
  <c r="N43" i="4"/>
  <c r="R43" i="4"/>
  <c r="S48" i="4"/>
  <c r="M49" i="4"/>
  <c r="W49" i="4"/>
  <c r="AN49" i="8" s="1"/>
  <c r="R53" i="4"/>
  <c r="O53" i="4"/>
  <c r="W53" i="4"/>
  <c r="AN53" i="8" s="1"/>
  <c r="N53" i="4"/>
  <c r="V53" i="4"/>
  <c r="AM53" i="8" s="1"/>
  <c r="M53" i="4"/>
  <c r="N56" i="4"/>
  <c r="P57" i="4"/>
  <c r="M3" i="4"/>
  <c r="R40" i="4"/>
  <c r="S43" i="4"/>
  <c r="N44" i="4"/>
  <c r="Q45" i="4"/>
  <c r="N49" i="4"/>
  <c r="R50" i="4"/>
  <c r="O56" i="4"/>
  <c r="S57" i="4"/>
  <c r="O44" i="4"/>
  <c r="L48" i="4"/>
  <c r="V48" i="4"/>
  <c r="AM48" i="8" s="1"/>
  <c r="N52" i="4"/>
  <c r="Q56" i="4"/>
  <c r="R42" i="4"/>
  <c r="L43" i="4"/>
  <c r="V43" i="4"/>
  <c r="AM43" i="8" s="1"/>
  <c r="Q44" i="4"/>
  <c r="W47" i="4"/>
  <c r="AN47" i="8" s="1"/>
  <c r="N47" i="4"/>
  <c r="R47" i="4"/>
  <c r="M48" i="4"/>
  <c r="W48" i="4"/>
  <c r="AN48" i="8" s="1"/>
  <c r="P49" i="4"/>
  <c r="O52" i="4"/>
  <c r="L53" i="4"/>
  <c r="R60" i="4"/>
  <c r="L61" i="4"/>
  <c r="R64" i="4"/>
  <c r="L65" i="4"/>
  <c r="N66" i="4"/>
  <c r="W66" i="4"/>
  <c r="AN66" i="8" s="1"/>
  <c r="R68" i="4"/>
  <c r="L69" i="4"/>
  <c r="N70" i="4"/>
  <c r="W70" i="4"/>
  <c r="AN70" i="8" s="1"/>
  <c r="R72" i="4"/>
  <c r="L73" i="4"/>
  <c r="N74" i="4"/>
  <c r="W74" i="4"/>
  <c r="AN74" i="8" s="1"/>
  <c r="R76" i="4"/>
  <c r="L77" i="4"/>
  <c r="N78" i="4"/>
  <c r="W78" i="4"/>
  <c r="AN78" i="8" s="1"/>
  <c r="R80" i="4"/>
  <c r="L81" i="4"/>
  <c r="N82" i="4"/>
  <c r="W82" i="4"/>
  <c r="AN82" i="8" s="1"/>
  <c r="P83" i="4"/>
  <c r="R84" i="4"/>
  <c r="L85" i="4"/>
  <c r="N86" i="4"/>
  <c r="W86" i="4"/>
  <c r="AN86" i="8" s="1"/>
  <c r="P87" i="4"/>
  <c r="R88" i="4"/>
  <c r="L89" i="4"/>
  <c r="N90" i="4"/>
  <c r="W90" i="4"/>
  <c r="AN90" i="8" s="1"/>
  <c r="P91" i="4"/>
  <c r="R92" i="4"/>
  <c r="L93" i="4"/>
  <c r="N94" i="4"/>
  <c r="W94" i="4"/>
  <c r="AN94" i="8" s="1"/>
  <c r="P95" i="4"/>
  <c r="R96" i="4"/>
  <c r="L97" i="4"/>
  <c r="N98" i="4"/>
  <c r="W98" i="4"/>
  <c r="AN98" i="8" s="1"/>
  <c r="P99" i="4"/>
  <c r="R100" i="4"/>
  <c r="L101" i="4"/>
  <c r="N102" i="4"/>
  <c r="W102" i="4"/>
  <c r="AN102" i="8" s="1"/>
  <c r="P103" i="4"/>
  <c r="R104" i="4"/>
  <c r="L105" i="4"/>
  <c r="N106" i="4"/>
  <c r="W106" i="4"/>
  <c r="AN106" i="8" s="1"/>
  <c r="P107" i="4"/>
  <c r="R108" i="4"/>
  <c r="L109" i="4"/>
  <c r="N110" i="4"/>
  <c r="W110" i="4"/>
  <c r="AN110" i="8" s="1"/>
  <c r="P111" i="4"/>
  <c r="R112" i="4"/>
  <c r="L113" i="4"/>
  <c r="L117" i="4"/>
  <c r="Q55" i="4"/>
  <c r="Q59" i="4"/>
  <c r="S60" i="4"/>
  <c r="M61" i="4"/>
  <c r="V61" i="4"/>
  <c r="AM61" i="8" s="1"/>
  <c r="O62" i="4"/>
  <c r="Q63" i="4"/>
  <c r="S64" i="4"/>
  <c r="M65" i="4"/>
  <c r="V65" i="4"/>
  <c r="AM65" i="8" s="1"/>
  <c r="O66" i="4"/>
  <c r="Q67" i="4"/>
  <c r="S68" i="4"/>
  <c r="M69" i="4"/>
  <c r="V69" i="4"/>
  <c r="AM69" i="8" s="1"/>
  <c r="O70" i="4"/>
  <c r="Q71" i="4"/>
  <c r="S72" i="4"/>
  <c r="M73" i="4"/>
  <c r="V73" i="4"/>
  <c r="AM73" i="8" s="1"/>
  <c r="O74" i="4"/>
  <c r="Q75" i="4"/>
  <c r="S76" i="4"/>
  <c r="M77" i="4"/>
  <c r="V77" i="4"/>
  <c r="AM77" i="8" s="1"/>
  <c r="O78" i="4"/>
  <c r="Q79" i="4"/>
  <c r="S80" i="4"/>
  <c r="M81" i="4"/>
  <c r="V81" i="4"/>
  <c r="AM81" i="8" s="1"/>
  <c r="O82" i="4"/>
  <c r="Q83" i="4"/>
  <c r="S84" i="4"/>
  <c r="M85" i="4"/>
  <c r="V85" i="4"/>
  <c r="AM85" i="8" s="1"/>
  <c r="O86" i="4"/>
  <c r="Q87" i="4"/>
  <c r="S88" i="4"/>
  <c r="M89" i="4"/>
  <c r="V89" i="4"/>
  <c r="AM89" i="8" s="1"/>
  <c r="O90" i="4"/>
  <c r="Q91" i="4"/>
  <c r="S92" i="4"/>
  <c r="M93" i="4"/>
  <c r="V93" i="4"/>
  <c r="AM93" i="8" s="1"/>
  <c r="O94" i="4"/>
  <c r="Q95" i="4"/>
  <c r="S96" i="4"/>
  <c r="M97" i="4"/>
  <c r="V97" i="4"/>
  <c r="AM97" i="8" s="1"/>
  <c r="O98" i="4"/>
  <c r="Q99" i="4"/>
  <c r="S100" i="4"/>
  <c r="M101" i="4"/>
  <c r="V101" i="4"/>
  <c r="AM101" i="8" s="1"/>
  <c r="O102" i="4"/>
  <c r="Q103" i="4"/>
  <c r="S104" i="4"/>
  <c r="M105" i="4"/>
  <c r="V105" i="4"/>
  <c r="AM105" i="8" s="1"/>
  <c r="O106" i="4"/>
  <c r="Q107" i="4"/>
  <c r="S108" i="4"/>
  <c r="M109" i="4"/>
  <c r="V109" i="4"/>
  <c r="AM109" i="8" s="1"/>
  <c r="O110" i="4"/>
  <c r="Q111" i="4"/>
  <c r="S112" i="4"/>
  <c r="M113" i="4"/>
  <c r="V113" i="4"/>
  <c r="AM113" i="8" s="1"/>
  <c r="Q115" i="4"/>
  <c r="M117" i="4"/>
  <c r="V117" i="4"/>
  <c r="AM117" i="8" s="1"/>
  <c r="Q119" i="4"/>
  <c r="M121" i="4"/>
  <c r="V121" i="4"/>
  <c r="AM121" i="8" s="1"/>
  <c r="Q123" i="4"/>
  <c r="M125" i="4"/>
  <c r="V125" i="4"/>
  <c r="AM125" i="8" s="1"/>
  <c r="Q127" i="4"/>
  <c r="M129" i="4"/>
  <c r="V129" i="4"/>
  <c r="AM129" i="8" s="1"/>
  <c r="Q131" i="4"/>
  <c r="M133" i="4"/>
  <c r="V133" i="4"/>
  <c r="AM133" i="8" s="1"/>
  <c r="Q135" i="4"/>
  <c r="M137" i="4"/>
  <c r="V137" i="4"/>
  <c r="AM137" i="8" s="1"/>
  <c r="Q139" i="4"/>
  <c r="M141" i="4"/>
  <c r="V141" i="4"/>
  <c r="AM141" i="8" s="1"/>
  <c r="Q143" i="4"/>
  <c r="M145" i="4"/>
  <c r="V145" i="4"/>
  <c r="AM145" i="8" s="1"/>
  <c r="R55" i="4"/>
  <c r="R59" i="4"/>
  <c r="L60" i="4"/>
  <c r="N61" i="4"/>
  <c r="W61" i="4"/>
  <c r="AN61" i="8" s="1"/>
  <c r="L64" i="4"/>
  <c r="N65" i="4"/>
  <c r="W65" i="4"/>
  <c r="AN65" i="8" s="1"/>
  <c r="L68" i="4"/>
  <c r="N69" i="4"/>
  <c r="W69" i="4"/>
  <c r="AN69" i="8" s="1"/>
  <c r="L72" i="4"/>
  <c r="N73" i="4"/>
  <c r="W73" i="4"/>
  <c r="AN73" i="8" s="1"/>
  <c r="L76" i="4"/>
  <c r="L80" i="4"/>
  <c r="N81" i="4"/>
  <c r="W81" i="4"/>
  <c r="AN81" i="8" s="1"/>
  <c r="P82" i="4"/>
  <c r="R83" i="4"/>
  <c r="L84" i="4"/>
  <c r="N85" i="4"/>
  <c r="W85" i="4"/>
  <c r="AN85" i="8" s="1"/>
  <c r="P86" i="4"/>
  <c r="R87" i="4"/>
  <c r="L88" i="4"/>
  <c r="N89" i="4"/>
  <c r="W89" i="4"/>
  <c r="AN89" i="8" s="1"/>
  <c r="P90" i="4"/>
  <c r="R91" i="4"/>
  <c r="L92" i="4"/>
  <c r="N93" i="4"/>
  <c r="W93" i="4"/>
  <c r="AN93" i="8" s="1"/>
  <c r="P94" i="4"/>
  <c r="R95" i="4"/>
  <c r="L96" i="4"/>
  <c r="N97" i="4"/>
  <c r="W97" i="4"/>
  <c r="AN97" i="8" s="1"/>
  <c r="P98" i="4"/>
  <c r="R99" i="4"/>
  <c r="L100" i="4"/>
  <c r="N101" i="4"/>
  <c r="W101" i="4"/>
  <c r="AN101" i="8" s="1"/>
  <c r="P102" i="4"/>
  <c r="R103" i="4"/>
  <c r="L104" i="4"/>
  <c r="N105" i="4"/>
  <c r="W105" i="4"/>
  <c r="AN105" i="8" s="1"/>
  <c r="P106" i="4"/>
  <c r="R107" i="4"/>
  <c r="L108" i="4"/>
  <c r="N109" i="4"/>
  <c r="W109" i="4"/>
  <c r="AN109" i="8" s="1"/>
  <c r="P110" i="4"/>
  <c r="R111" i="4"/>
  <c r="L112" i="4"/>
  <c r="N113" i="4"/>
  <c r="W113" i="4"/>
  <c r="AN113" i="8" s="1"/>
  <c r="R115" i="4"/>
  <c r="N117" i="4"/>
  <c r="W117" i="4"/>
  <c r="AN117" i="8" s="1"/>
  <c r="R119" i="4"/>
  <c r="N121" i="4"/>
  <c r="W121" i="4"/>
  <c r="AN121" i="8" s="1"/>
  <c r="R123" i="4"/>
  <c r="N125" i="4"/>
  <c r="W125" i="4"/>
  <c r="AN125" i="8" s="1"/>
  <c r="Q54" i="4"/>
  <c r="S55" i="4"/>
  <c r="Q58" i="4"/>
  <c r="S59" i="4"/>
  <c r="M60" i="4"/>
  <c r="V60" i="4"/>
  <c r="AM60" i="8" s="1"/>
  <c r="O61" i="4"/>
  <c r="Q62" i="4"/>
  <c r="M64" i="4"/>
  <c r="V64" i="4"/>
  <c r="AM64" i="8" s="1"/>
  <c r="O65" i="4"/>
  <c r="Q66" i="4"/>
  <c r="M68" i="4"/>
  <c r="V68" i="4"/>
  <c r="AM68" i="8" s="1"/>
  <c r="O69" i="4"/>
  <c r="Q70" i="4"/>
  <c r="M72" i="4"/>
  <c r="V72" i="4"/>
  <c r="AM72" i="8" s="1"/>
  <c r="O73" i="4"/>
  <c r="Q74" i="4"/>
  <c r="M76" i="4"/>
  <c r="V76" i="4"/>
  <c r="AM76" i="8" s="1"/>
  <c r="O77" i="4"/>
  <c r="Q78" i="4"/>
  <c r="M80" i="4"/>
  <c r="V80" i="4"/>
  <c r="AM80" i="8" s="1"/>
  <c r="O81" i="4"/>
  <c r="Q82" i="4"/>
  <c r="M84" i="4"/>
  <c r="V84" i="4"/>
  <c r="AM84" i="8" s="1"/>
  <c r="O85" i="4"/>
  <c r="Q86" i="4"/>
  <c r="S87" i="4"/>
  <c r="M88" i="4"/>
  <c r="V88" i="4"/>
  <c r="AM88" i="8" s="1"/>
  <c r="O89" i="4"/>
  <c r="Q90" i="4"/>
  <c r="S91" i="4"/>
  <c r="M92" i="4"/>
  <c r="V92" i="4"/>
  <c r="AM92" i="8" s="1"/>
  <c r="O93" i="4"/>
  <c r="Q94" i="4"/>
  <c r="S95" i="4"/>
  <c r="M96" i="4"/>
  <c r="V96" i="4"/>
  <c r="AM96" i="8" s="1"/>
  <c r="O97" i="4"/>
  <c r="Q98" i="4"/>
  <c r="S99" i="4"/>
  <c r="M100" i="4"/>
  <c r="V100" i="4"/>
  <c r="AM100" i="8" s="1"/>
  <c r="O101" i="4"/>
  <c r="Q102" i="4"/>
  <c r="S103" i="4"/>
  <c r="M104" i="4"/>
  <c r="V104" i="4"/>
  <c r="AM104" i="8" s="1"/>
  <c r="O105" i="4"/>
  <c r="Q106" i="4"/>
  <c r="S107" i="4"/>
  <c r="M108" i="4"/>
  <c r="V108" i="4"/>
  <c r="AM108" i="8" s="1"/>
  <c r="O109" i="4"/>
  <c r="Q110" i="4"/>
  <c r="S111" i="4"/>
  <c r="M112" i="4"/>
  <c r="V112" i="4"/>
  <c r="AM112" i="8" s="1"/>
  <c r="O113" i="4"/>
  <c r="A114" i="4"/>
  <c r="S115" i="4"/>
  <c r="O117" i="4"/>
  <c r="S119" i="4"/>
  <c r="O121" i="4"/>
  <c r="S123" i="4"/>
  <c r="O125" i="4"/>
  <c r="S127" i="4"/>
  <c r="O129" i="4"/>
  <c r="S131" i="4"/>
  <c r="O133" i="4"/>
  <c r="S135" i="4"/>
  <c r="O137" i="4"/>
  <c r="S139" i="4"/>
  <c r="O141" i="4"/>
  <c r="S143" i="4"/>
  <c r="O145" i="4"/>
  <c r="N88" i="4"/>
  <c r="W88" i="4"/>
  <c r="AN88" i="8" s="1"/>
  <c r="P89" i="4"/>
  <c r="R90" i="4"/>
  <c r="L91" i="4"/>
  <c r="N92" i="4"/>
  <c r="W92" i="4"/>
  <c r="AN92" i="8" s="1"/>
  <c r="P93" i="4"/>
  <c r="R94" i="4"/>
  <c r="L95" i="4"/>
  <c r="N96" i="4"/>
  <c r="W96" i="4"/>
  <c r="AN96" i="8" s="1"/>
  <c r="P97" i="4"/>
  <c r="R98" i="4"/>
  <c r="L99" i="4"/>
  <c r="N100" i="4"/>
  <c r="W100" i="4"/>
  <c r="AN100" i="8" s="1"/>
  <c r="P101" i="4"/>
  <c r="R102" i="4"/>
  <c r="L103" i="4"/>
  <c r="N104" i="4"/>
  <c r="W104" i="4"/>
  <c r="AN104" i="8" s="1"/>
  <c r="P105" i="4"/>
  <c r="R106" i="4"/>
  <c r="L107" i="4"/>
  <c r="N108" i="4"/>
  <c r="W108" i="4"/>
  <c r="AN108" i="8" s="1"/>
  <c r="P109" i="4"/>
  <c r="R110" i="4"/>
  <c r="L111" i="4"/>
  <c r="N112" i="4"/>
  <c r="W112" i="4"/>
  <c r="AN112" i="8" s="1"/>
  <c r="P113" i="4"/>
  <c r="N3" i="5"/>
  <c r="H3" i="5" s="1"/>
  <c r="N5" i="5"/>
  <c r="H5" i="5" s="1"/>
  <c r="N7" i="5"/>
  <c r="H7" i="5" s="1"/>
  <c r="O60" i="4"/>
  <c r="Q61" i="4"/>
  <c r="O64" i="4"/>
  <c r="Q65" i="4"/>
  <c r="O68" i="4"/>
  <c r="Q69" i="4"/>
  <c r="O72" i="4"/>
  <c r="Q73" i="4"/>
  <c r="O76" i="4"/>
  <c r="Q77" i="4"/>
  <c r="S78" i="4"/>
  <c r="O80" i="4"/>
  <c r="Q81" i="4"/>
  <c r="S82" i="4"/>
  <c r="O84" i="4"/>
  <c r="Q85" i="4"/>
  <c r="S86" i="4"/>
  <c r="O88" i="4"/>
  <c r="Q89" i="4"/>
  <c r="S90" i="4"/>
  <c r="M91" i="4"/>
  <c r="V91" i="4"/>
  <c r="AM91" i="8" s="1"/>
  <c r="O92" i="4"/>
  <c r="Q93" i="4"/>
  <c r="S94" i="4"/>
  <c r="M95" i="4"/>
  <c r="V95" i="4"/>
  <c r="AM95" i="8" s="1"/>
  <c r="O96" i="4"/>
  <c r="Q97" i="4"/>
  <c r="S98" i="4"/>
  <c r="M99" i="4"/>
  <c r="V99" i="4"/>
  <c r="AM99" i="8" s="1"/>
  <c r="O100" i="4"/>
  <c r="Q101" i="4"/>
  <c r="S102" i="4"/>
  <c r="M103" i="4"/>
  <c r="V103" i="4"/>
  <c r="AM103" i="8" s="1"/>
  <c r="O104" i="4"/>
  <c r="Q105" i="4"/>
  <c r="S106" i="4"/>
  <c r="M107" i="4"/>
  <c r="V107" i="4"/>
  <c r="AM107" i="8" s="1"/>
  <c r="O108" i="4"/>
  <c r="Q109" i="4"/>
  <c r="S110" i="4"/>
  <c r="M111" i="4"/>
  <c r="V111" i="4"/>
  <c r="AM111" i="8" s="1"/>
  <c r="O112" i="4"/>
  <c r="Q113" i="4"/>
  <c r="M115" i="4"/>
  <c r="V115" i="4"/>
  <c r="AM115" i="8" s="1"/>
  <c r="Q117" i="4"/>
  <c r="M119" i="4"/>
  <c r="V119" i="4"/>
  <c r="AM119" i="8" s="1"/>
  <c r="Q121" i="4"/>
  <c r="M123" i="4"/>
  <c r="V123" i="4"/>
  <c r="AM123" i="8" s="1"/>
  <c r="Q125" i="4"/>
  <c r="M127" i="4"/>
  <c r="V127" i="4"/>
  <c r="AM127" i="8" s="1"/>
  <c r="Q129" i="4"/>
  <c r="M131" i="4"/>
  <c r="V131" i="4"/>
  <c r="AM131" i="8" s="1"/>
  <c r="Q133" i="4"/>
  <c r="M135" i="4"/>
  <c r="V135" i="4"/>
  <c r="AM135" i="8" s="1"/>
  <c r="Q137" i="4"/>
  <c r="M139" i="4"/>
  <c r="Q141" i="4"/>
  <c r="M143" i="4"/>
  <c r="Q145" i="4"/>
  <c r="N55" i="4"/>
  <c r="N59" i="4"/>
  <c r="P60" i="4"/>
  <c r="N63" i="4"/>
  <c r="P64" i="4"/>
  <c r="N67" i="4"/>
  <c r="P68" i="4"/>
  <c r="R69" i="4"/>
  <c r="N71" i="4"/>
  <c r="P72" i="4"/>
  <c r="R73" i="4"/>
  <c r="N75" i="4"/>
  <c r="P76" i="4"/>
  <c r="N79" i="4"/>
  <c r="P80" i="4"/>
  <c r="N83" i="4"/>
  <c r="P84" i="4"/>
  <c r="N87" i="4"/>
  <c r="P88" i="4"/>
  <c r="N91" i="4"/>
  <c r="P92" i="4"/>
  <c r="N95" i="4"/>
  <c r="P96" i="4"/>
  <c r="N99" i="4"/>
  <c r="P100" i="4"/>
  <c r="N103" i="4"/>
  <c r="P104" i="4"/>
  <c r="N107" i="4"/>
  <c r="P108" i="4"/>
  <c r="N111" i="4"/>
  <c r="P112" i="4"/>
  <c r="R113" i="4"/>
  <c r="N115" i="4"/>
  <c r="R117" i="4"/>
  <c r="N119" i="4"/>
  <c r="R121" i="4"/>
  <c r="N123" i="4"/>
  <c r="R125" i="4"/>
  <c r="N127" i="4"/>
  <c r="R129" i="4"/>
  <c r="N131" i="4"/>
  <c r="R133" i="4"/>
  <c r="N135" i="4"/>
  <c r="R137" i="4"/>
  <c r="R141" i="4"/>
  <c r="B57" i="9"/>
  <c r="J57" i="9"/>
  <c r="D57" i="9" a="1"/>
  <c r="D57" i="9" s="1"/>
  <c r="F57" i="9" s="1"/>
  <c r="G57" i="9" s="1"/>
  <c r="B60" i="9"/>
  <c r="J60" i="9"/>
  <c r="D60" i="9" a="1"/>
  <c r="D60" i="9" s="1"/>
  <c r="F60" i="9" s="1"/>
  <c r="G60" i="9" s="1"/>
  <c r="E60" i="9"/>
  <c r="J63" i="9"/>
  <c r="D63" i="9" a="1"/>
  <c r="D63" i="9" s="1"/>
  <c r="F63" i="9" s="1"/>
  <c r="G63" i="9" s="1"/>
  <c r="B63" i="9"/>
  <c r="J69" i="9"/>
  <c r="D69" i="9" a="1"/>
  <c r="D69" i="9" s="1"/>
  <c r="F69" i="9" s="1"/>
  <c r="G69" i="9" s="1"/>
  <c r="B69" i="9"/>
  <c r="J55" i="9"/>
  <c r="D55" i="9" a="1"/>
  <c r="D55" i="9" s="1"/>
  <c r="F55" i="9" s="1"/>
  <c r="G55" i="9" s="1"/>
  <c r="B55" i="9"/>
  <c r="J61" i="9"/>
  <c r="D61" i="9" a="1"/>
  <c r="D61" i="9" s="1"/>
  <c r="F61" i="9" s="1"/>
  <c r="G61" i="9" s="1"/>
  <c r="B61" i="9"/>
  <c r="B65" i="9"/>
  <c r="J65" i="9"/>
  <c r="D65" i="9" a="1"/>
  <c r="D65" i="9" s="1"/>
  <c r="F65" i="9" s="1"/>
  <c r="G65" i="9" s="1"/>
  <c r="B68" i="9"/>
  <c r="J68" i="9"/>
  <c r="D68" i="9" a="1"/>
  <c r="D68" i="9" s="1"/>
  <c r="F68" i="9" s="1"/>
  <c r="G68" i="9" s="1"/>
  <c r="E70" i="9"/>
  <c r="B56" i="9"/>
  <c r="B64" i="9"/>
  <c r="E56" i="9"/>
  <c r="B58" i="9"/>
  <c r="B66" i="9"/>
  <c r="D56" i="9" a="1"/>
  <c r="D56" i="9" s="1"/>
  <c r="F56" i="9" s="1"/>
  <c r="G56" i="9" s="1"/>
  <c r="D64" i="9" a="1"/>
  <c r="D64" i="9" s="1"/>
  <c r="F64" i="9" s="1"/>
  <c r="G64" i="9" s="1"/>
  <c r="J132" i="9"/>
  <c r="D132" i="9" a="1"/>
  <c r="D132" i="9" s="1"/>
  <c r="F132" i="9" s="1"/>
  <c r="G132" i="9" s="1"/>
  <c r="B132" i="9"/>
  <c r="E132" i="9"/>
  <c r="E129" i="9"/>
  <c r="B129" i="9"/>
  <c r="B131" i="9"/>
  <c r="J131" i="9"/>
  <c r="D131" i="9" a="1"/>
  <c r="D131" i="9" s="1"/>
  <c r="F131" i="9" s="1"/>
  <c r="G131" i="9" s="1"/>
  <c r="B134" i="9"/>
  <c r="J134" i="9"/>
  <c r="D134" i="9" a="1"/>
  <c r="D134" i="9" s="1"/>
  <c r="F134" i="9" s="1"/>
  <c r="G134" i="9" s="1"/>
  <c r="B140" i="9"/>
  <c r="J140" i="9"/>
  <c r="D140" i="9" a="1"/>
  <c r="D140" i="9" s="1"/>
  <c r="F140" i="9" s="1"/>
  <c r="G140" i="9" s="1"/>
  <c r="B133" i="9"/>
  <c r="J133" i="9"/>
  <c r="J126" i="9"/>
  <c r="D126" i="9" a="1"/>
  <c r="D126" i="9" s="1"/>
  <c r="F126" i="9" s="1"/>
  <c r="G126" i="9" s="1"/>
  <c r="E126" i="9"/>
  <c r="B126" i="9"/>
  <c r="E125" i="9"/>
  <c r="J136" i="9"/>
  <c r="D136" i="9" a="1"/>
  <c r="D136" i="9" s="1"/>
  <c r="F136" i="9" s="1"/>
  <c r="G136" i="9" s="1"/>
  <c r="J139" i="9"/>
  <c r="D139" i="9" a="1"/>
  <c r="D139" i="9" s="1"/>
  <c r="F139" i="9" s="1"/>
  <c r="G139" i="9" s="1"/>
  <c r="E139" i="9"/>
  <c r="B139" i="9"/>
  <c r="B127" i="9"/>
  <c r="E127" i="9"/>
  <c r="D125" i="9" a="1"/>
  <c r="D125" i="9" s="1"/>
  <c r="F125" i="9" s="1"/>
  <c r="G125" i="9" s="1"/>
  <c r="J125" i="9"/>
  <c r="J135" i="9"/>
  <c r="D135" i="9" a="1"/>
  <c r="D135" i="9" s="1"/>
  <c r="F135" i="9" s="1"/>
  <c r="G135" i="9" s="1"/>
  <c r="B130" i="9"/>
  <c r="D127" i="9" a="1"/>
  <c r="D127" i="9" s="1"/>
  <c r="F127" i="9" s="1"/>
  <c r="G127" i="9" s="1"/>
  <c r="E137" i="9"/>
  <c r="D138" i="9" a="1"/>
  <c r="D138" i="9" s="1"/>
  <c r="F138" i="9" s="1"/>
  <c r="G138" i="9" s="1"/>
  <c r="B199" i="9"/>
  <c r="J199" i="9"/>
  <c r="D199" i="9" a="1"/>
  <c r="D199" i="9" s="1"/>
  <c r="F199" i="9" s="1"/>
  <c r="G199" i="9" s="1"/>
  <c r="J203" i="9"/>
  <c r="D203" i="9" a="1"/>
  <c r="D203" i="9" s="1"/>
  <c r="F203" i="9" s="1"/>
  <c r="G203" i="9" s="1"/>
  <c r="E203" i="9"/>
  <c r="B203" i="9"/>
  <c r="J198" i="9"/>
  <c r="D198" i="9" a="1"/>
  <c r="D198" i="9" s="1"/>
  <c r="F198" i="9" s="1"/>
  <c r="G198" i="9" s="1"/>
  <c r="E198" i="9"/>
  <c r="B198" i="9"/>
  <c r="B202" i="9"/>
  <c r="J202" i="9"/>
  <c r="D202" i="9" a="1"/>
  <c r="D202" i="9" s="1"/>
  <c r="F202" i="9" s="1"/>
  <c r="G202" i="9" s="1"/>
  <c r="E202" i="9"/>
  <c r="B206" i="9"/>
  <c r="J206" i="9"/>
  <c r="B197" i="9"/>
  <c r="B209" i="9"/>
  <c r="J209" i="9"/>
  <c r="D209" i="9" a="1"/>
  <c r="D209" i="9" s="1"/>
  <c r="F209" i="9" s="1"/>
  <c r="G209" i="9" s="1"/>
  <c r="D197" i="9" a="1"/>
  <c r="D197" i="9" s="1"/>
  <c r="F197" i="9" s="1"/>
  <c r="G197" i="9" s="1"/>
  <c r="B200" i="9"/>
  <c r="J200" i="9"/>
  <c r="D200" i="9" a="1"/>
  <c r="D200" i="9" s="1"/>
  <c r="F200" i="9" s="1"/>
  <c r="G200" i="9" s="1"/>
  <c r="B205" i="9"/>
  <c r="J196" i="9"/>
  <c r="D196" i="9" a="1"/>
  <c r="D196" i="9" s="1"/>
  <c r="F196" i="9" s="1"/>
  <c r="G196" i="9" s="1"/>
  <c r="B196" i="9"/>
  <c r="J197" i="9"/>
  <c r="J204" i="9"/>
  <c r="D204" i="9" a="1"/>
  <c r="D204" i="9" s="1"/>
  <c r="F204" i="9" s="1"/>
  <c r="G204" i="9" s="1"/>
  <c r="E204" i="9"/>
  <c r="B204" i="9"/>
  <c r="B195" i="9"/>
  <c r="D207" i="9" a="1"/>
  <c r="D207" i="9" s="1"/>
  <c r="F207" i="9" s="1"/>
  <c r="G207" i="9" s="1"/>
  <c r="E208" i="9"/>
  <c r="D201" i="9" a="1"/>
  <c r="D201" i="9" s="1"/>
  <c r="F201" i="9" s="1"/>
  <c r="G201" i="9" s="1"/>
  <c r="J201" i="9"/>
  <c r="E207" i="9"/>
  <c r="B208" i="9"/>
  <c r="J208" i="9"/>
  <c r="B210" i="9"/>
  <c r="J210" i="9"/>
  <c r="D210" i="9" a="1"/>
  <c r="D210" i="9" s="1"/>
  <c r="F210" i="9" s="1"/>
  <c r="J207" i="9"/>
  <c r="D208" i="9" a="1"/>
  <c r="D208" i="9" s="1"/>
  <c r="F208" i="9" s="1"/>
  <c r="G208" i="9" s="1"/>
  <c r="C221" i="9" a="1"/>
  <c r="C217" i="9" a="1"/>
  <c r="C229" i="9" a="1"/>
  <c r="H229" i="9" a="1"/>
  <c r="H221" i="9" a="1"/>
  <c r="C237" i="9" a="1"/>
  <c r="H217" i="9" a="1"/>
  <c r="H237" i="9" a="1"/>
  <c r="A17" i="10" l="1"/>
  <c r="G210" i="9"/>
  <c r="H217" i="9"/>
  <c r="Q217" i="9" s="1"/>
  <c r="P217" i="9" s="1"/>
  <c r="C217" i="9"/>
  <c r="I2" i="5"/>
  <c r="H237" i="9"/>
  <c r="Q237" i="9" s="1"/>
  <c r="P237" i="9" s="1"/>
  <c r="C237" i="9"/>
  <c r="F237" i="9" s="1"/>
  <c r="G237" i="9" s="1"/>
  <c r="H221" i="9"/>
  <c r="Q221" i="9" s="1"/>
  <c r="P221" i="9" s="1"/>
  <c r="C221" i="9"/>
  <c r="F221" i="9" s="1"/>
  <c r="G221" i="9" s="1"/>
  <c r="H229" i="9"/>
  <c r="Q229" i="9" s="1"/>
  <c r="P229" i="9" s="1"/>
  <c r="C229" i="9"/>
  <c r="F229" i="9" s="1"/>
  <c r="G229" i="9" s="1"/>
  <c r="I7" i="5"/>
  <c r="I3" i="5"/>
  <c r="X3" i="8"/>
  <c r="N3" i="4"/>
  <c r="J245" i="9"/>
  <c r="J224" i="9"/>
  <c r="J227" i="9"/>
  <c r="J239" i="9"/>
  <c r="J240" i="9"/>
  <c r="I5" i="5"/>
  <c r="J231" i="9"/>
  <c r="J223" i="9"/>
  <c r="J219" i="9"/>
  <c r="I5" i="2"/>
  <c r="J244" i="9"/>
  <c r="A9" i="8" a="1"/>
  <c r="A9" i="8" s="1"/>
  <c r="AL7" i="8"/>
  <c r="J241" i="9"/>
  <c r="J242" i="9"/>
  <c r="J235" i="9"/>
  <c r="AL6" i="8"/>
  <c r="A8" i="8" a="1"/>
  <c r="A8" i="8" s="1"/>
  <c r="A116" i="4"/>
  <c r="V114" i="4"/>
  <c r="AM114" i="8" s="1"/>
  <c r="M114" i="4"/>
  <c r="L114" i="4"/>
  <c r="S114" i="4"/>
  <c r="R114" i="4"/>
  <c r="Q114" i="4"/>
  <c r="P114" i="4"/>
  <c r="O114" i="4"/>
  <c r="W114" i="4"/>
  <c r="AN114" i="8" s="1"/>
  <c r="N114" i="4"/>
  <c r="J233" i="9"/>
  <c r="J234" i="9"/>
  <c r="J232" i="9"/>
  <c r="J225" i="9"/>
  <c r="J215" i="9"/>
  <c r="W6" i="4"/>
  <c r="AN6" i="8" s="1"/>
  <c r="O6" i="4"/>
  <c r="AB6" i="8" s="1"/>
  <c r="G6" i="4"/>
  <c r="L6" i="8" s="1"/>
  <c r="V6" i="4"/>
  <c r="AM6" i="8" s="1"/>
  <c r="M6" i="4"/>
  <c r="X6" i="8" s="1"/>
  <c r="D6" i="4"/>
  <c r="F6" i="8" s="1"/>
  <c r="A8" i="4" a="1"/>
  <c r="A8" i="4" s="1"/>
  <c r="L6" i="4"/>
  <c r="V6" i="8" s="1"/>
  <c r="C6" i="4"/>
  <c r="D6" i="8" s="1"/>
  <c r="K6" i="4"/>
  <c r="T6" i="8" s="1"/>
  <c r="B6" i="4"/>
  <c r="S6" i="4"/>
  <c r="AJ6" i="8" s="1"/>
  <c r="J6" i="4"/>
  <c r="U6" i="4" s="1"/>
  <c r="R6" i="4"/>
  <c r="AH6" i="8" s="1"/>
  <c r="I6" i="4"/>
  <c r="P6" i="8" s="1"/>
  <c r="Q6" i="4"/>
  <c r="AF6" i="8" s="1"/>
  <c r="H6" i="4"/>
  <c r="N6" i="8" s="1"/>
  <c r="P6" i="4"/>
  <c r="AD6" i="8" s="1"/>
  <c r="F6" i="4"/>
  <c r="J6" i="8" s="1"/>
  <c r="N6" i="4"/>
  <c r="Z6" i="8" s="1"/>
  <c r="E6" i="4"/>
  <c r="H6" i="8" s="1"/>
  <c r="J246" i="9"/>
  <c r="J226" i="9"/>
  <c r="J236" i="9"/>
  <c r="W7" i="4"/>
  <c r="AN7" i="8" s="1"/>
  <c r="O7" i="4"/>
  <c r="AB7" i="8" s="1"/>
  <c r="G7" i="4"/>
  <c r="L7" i="8" s="1"/>
  <c r="Q7" i="4"/>
  <c r="AF7" i="8" s="1"/>
  <c r="H7" i="4"/>
  <c r="N7" i="8" s="1"/>
  <c r="P7" i="4"/>
  <c r="AD7" i="8" s="1"/>
  <c r="F7" i="4"/>
  <c r="J7" i="8" s="1"/>
  <c r="N7" i="4"/>
  <c r="Z7" i="8" s="1"/>
  <c r="E7" i="4"/>
  <c r="H7" i="8" s="1"/>
  <c r="V7" i="4"/>
  <c r="AM7" i="8" s="1"/>
  <c r="M7" i="4"/>
  <c r="X7" i="8" s="1"/>
  <c r="D7" i="4"/>
  <c r="F7" i="8" s="1"/>
  <c r="L7" i="4"/>
  <c r="V7" i="8" s="1"/>
  <c r="C7" i="4"/>
  <c r="D7" i="8" s="1"/>
  <c r="A9" i="4" a="1"/>
  <c r="A9" i="4" s="1"/>
  <c r="K7" i="4"/>
  <c r="T7" i="8" s="1"/>
  <c r="B7" i="4"/>
  <c r="B7" i="8" s="1"/>
  <c r="S7" i="4"/>
  <c r="AJ7" i="8" s="1"/>
  <c r="J7" i="4"/>
  <c r="U7" i="4" s="1"/>
  <c r="R7" i="4"/>
  <c r="AH7" i="8" s="1"/>
  <c r="I7" i="4"/>
  <c r="P7" i="8" s="1"/>
  <c r="H218" i="9" a="1"/>
  <c r="U1" i="2"/>
  <c r="S1" i="2"/>
  <c r="B2" i="6" a="1"/>
  <c r="T1" i="2"/>
  <c r="H230" i="9" a="1"/>
  <c r="H238" i="9" a="1"/>
  <c r="C230" i="9" a="1"/>
  <c r="C238" i="9" a="1"/>
  <c r="P1" i="2"/>
  <c r="H222" i="9" a="1"/>
  <c r="C218" i="9" a="1"/>
  <c r="R1" i="2"/>
  <c r="C222" i="9" a="1"/>
  <c r="Q1" i="2"/>
  <c r="H17" i="10" l="1"/>
  <c r="J217" i="9"/>
  <c r="F217" i="9"/>
  <c r="G217" i="9" s="1"/>
  <c r="K141" i="9"/>
  <c r="K71" i="9"/>
  <c r="K1" i="9"/>
  <c r="C218" i="9"/>
  <c r="F218" i="9" s="1"/>
  <c r="G218" i="9" s="1"/>
  <c r="H218" i="9"/>
  <c r="Q218" i="9" s="1"/>
  <c r="P218" i="9" s="1"/>
  <c r="H222" i="9"/>
  <c r="Q222" i="9" s="1"/>
  <c r="P222" i="9" s="1"/>
  <c r="C222" i="9"/>
  <c r="F222" i="9" s="1"/>
  <c r="G222" i="9" s="1"/>
  <c r="C238" i="9"/>
  <c r="F238" i="9" s="1"/>
  <c r="G238" i="9" s="1"/>
  <c r="H238" i="9"/>
  <c r="Q238" i="9" s="1"/>
  <c r="P238" i="9" s="1"/>
  <c r="V1" i="2"/>
  <c r="C230" i="9"/>
  <c r="F230" i="9" s="1"/>
  <c r="G230" i="9" s="1"/>
  <c r="H230" i="9"/>
  <c r="Q230" i="9" s="1"/>
  <c r="P230" i="9" s="1"/>
  <c r="B2" i="6"/>
  <c r="Q116" i="4"/>
  <c r="P116" i="4"/>
  <c r="O116" i="4"/>
  <c r="W116" i="4"/>
  <c r="AN116" i="8" s="1"/>
  <c r="N116" i="4"/>
  <c r="A118" i="4"/>
  <c r="V116" i="4"/>
  <c r="AM116" i="8" s="1"/>
  <c r="M116" i="4"/>
  <c r="L116" i="4"/>
  <c r="S116" i="4"/>
  <c r="R116" i="4"/>
  <c r="I6" i="2"/>
  <c r="J221" i="9"/>
  <c r="J229" i="9"/>
  <c r="A11" i="8" a="1"/>
  <c r="A11" i="8" s="1"/>
  <c r="AL9" i="8"/>
  <c r="Z3" i="8"/>
  <c r="O3" i="4"/>
  <c r="A10" i="4" a="1"/>
  <c r="A10" i="4" s="1"/>
  <c r="O8" i="4"/>
  <c r="AB8" i="8" s="1"/>
  <c r="G8" i="4"/>
  <c r="L8" i="8" s="1"/>
  <c r="K8" i="4"/>
  <c r="T8" i="8" s="1"/>
  <c r="B8" i="4"/>
  <c r="B8" i="8" s="1"/>
  <c r="S8" i="4"/>
  <c r="AJ8" i="8" s="1"/>
  <c r="J8" i="4"/>
  <c r="R8" i="8" s="1"/>
  <c r="R8" i="4"/>
  <c r="AH8" i="8" s="1"/>
  <c r="I8" i="4"/>
  <c r="P8" i="8" s="1"/>
  <c r="Q8" i="4"/>
  <c r="AF8" i="8" s="1"/>
  <c r="H8" i="4"/>
  <c r="N8" i="8" s="1"/>
  <c r="P8" i="4"/>
  <c r="AD8" i="8" s="1"/>
  <c r="F8" i="4"/>
  <c r="J8" i="8" s="1"/>
  <c r="N8" i="4"/>
  <c r="Z8" i="8" s="1"/>
  <c r="E8" i="4"/>
  <c r="H8" i="8" s="1"/>
  <c r="W8" i="4"/>
  <c r="AN8" i="8" s="1"/>
  <c r="M8" i="4"/>
  <c r="X8" i="8" s="1"/>
  <c r="D8" i="4"/>
  <c r="F8" i="8" s="1"/>
  <c r="V8" i="4"/>
  <c r="AM8" i="8" s="1"/>
  <c r="L8" i="4"/>
  <c r="V8" i="8" s="1"/>
  <c r="C8" i="4"/>
  <c r="D8" i="8" s="1"/>
  <c r="R7" i="8"/>
  <c r="P9" i="4"/>
  <c r="AD9" i="8" s="1"/>
  <c r="H9" i="4"/>
  <c r="N9" i="8" s="1"/>
  <c r="O9" i="4"/>
  <c r="AB9" i="8" s="1"/>
  <c r="F9" i="4"/>
  <c r="J9" i="8" s="1"/>
  <c r="N9" i="4"/>
  <c r="Z9" i="8" s="1"/>
  <c r="E9" i="4"/>
  <c r="H9" i="8" s="1"/>
  <c r="W9" i="4"/>
  <c r="AN9" i="8" s="1"/>
  <c r="M9" i="4"/>
  <c r="X9" i="8" s="1"/>
  <c r="D9" i="4"/>
  <c r="F9" i="8" s="1"/>
  <c r="V9" i="4"/>
  <c r="AM9" i="8" s="1"/>
  <c r="L9" i="4"/>
  <c r="V9" i="8" s="1"/>
  <c r="C9" i="4"/>
  <c r="D9" i="8" s="1"/>
  <c r="A11" i="4" a="1"/>
  <c r="A11" i="4" s="1"/>
  <c r="K9" i="4"/>
  <c r="T9" i="8" s="1"/>
  <c r="B9" i="4"/>
  <c r="S9" i="4"/>
  <c r="AJ9" i="8" s="1"/>
  <c r="J9" i="4"/>
  <c r="R9" i="8" s="1"/>
  <c r="R9" i="4"/>
  <c r="AH9" i="8" s="1"/>
  <c r="I9" i="4"/>
  <c r="P9" i="8" s="1"/>
  <c r="Q9" i="4"/>
  <c r="AF9" i="8" s="1"/>
  <c r="G9" i="4"/>
  <c r="L9" i="8" s="1"/>
  <c r="B6" i="8"/>
  <c r="Y3" i="8"/>
  <c r="Z4" i="8"/>
  <c r="J237" i="9"/>
  <c r="A10" i="8" a="1"/>
  <c r="A10" i="8" s="1"/>
  <c r="AL8" i="8"/>
  <c r="R6" i="8"/>
  <c r="S2" i="2"/>
  <c r="B3" i="6" a="1"/>
  <c r="M1" i="2" a="1"/>
  <c r="L1" i="2" a="1"/>
  <c r="T2" i="2"/>
  <c r="Q2" i="2"/>
  <c r="N1" i="2" a="1"/>
  <c r="O1" i="2" a="1"/>
  <c r="P2" i="2"/>
  <c r="K1" i="2" a="1"/>
  <c r="R2" i="2"/>
  <c r="U2" i="2"/>
  <c r="J1" i="2" a="1"/>
  <c r="A25" i="10" l="1"/>
  <c r="O1" i="9"/>
  <c r="I1" i="9" s="1"/>
  <c r="K142" i="9"/>
  <c r="K72" i="9"/>
  <c r="K2" i="9"/>
  <c r="J218" i="9"/>
  <c r="K1" i="2"/>
  <c r="B3" i="6"/>
  <c r="O1" i="2"/>
  <c r="M1" i="2"/>
  <c r="V2" i="2"/>
  <c r="O2" i="9" s="1"/>
  <c r="I2" i="9" s="1"/>
  <c r="N1" i="2"/>
  <c r="L1" i="2"/>
  <c r="J1" i="2"/>
  <c r="Q10" i="4"/>
  <c r="AF10" i="8" s="1"/>
  <c r="I10" i="4"/>
  <c r="P10" i="8" s="1"/>
  <c r="A12" i="4" a="1"/>
  <c r="A12" i="4" s="1"/>
  <c r="K10" i="4"/>
  <c r="T10" i="8" s="1"/>
  <c r="B10" i="4"/>
  <c r="B10" i="8" s="1"/>
  <c r="S10" i="4"/>
  <c r="AJ10" i="8" s="1"/>
  <c r="J10" i="4"/>
  <c r="R10" i="8" s="1"/>
  <c r="R10" i="4"/>
  <c r="AH10" i="8" s="1"/>
  <c r="H10" i="4"/>
  <c r="N10" i="8" s="1"/>
  <c r="P10" i="4"/>
  <c r="AD10" i="8" s="1"/>
  <c r="G10" i="4"/>
  <c r="L10" i="8" s="1"/>
  <c r="O10" i="4"/>
  <c r="AB10" i="8" s="1"/>
  <c r="F10" i="4"/>
  <c r="J10" i="8" s="1"/>
  <c r="N10" i="4"/>
  <c r="Z10" i="8" s="1"/>
  <c r="E10" i="4"/>
  <c r="H10" i="8" s="1"/>
  <c r="W10" i="4"/>
  <c r="AN10" i="8" s="1"/>
  <c r="M10" i="4"/>
  <c r="X10" i="8" s="1"/>
  <c r="D10" i="4"/>
  <c r="F10" i="8" s="1"/>
  <c r="V10" i="4"/>
  <c r="AM10" i="8" s="1"/>
  <c r="L10" i="4"/>
  <c r="V10" i="8" s="1"/>
  <c r="C10" i="4"/>
  <c r="D10" i="8" s="1"/>
  <c r="AB3" i="8"/>
  <c r="P3" i="4"/>
  <c r="AA3" i="8"/>
  <c r="AB4" i="8"/>
  <c r="A120" i="4"/>
  <c r="V118" i="4"/>
  <c r="AM118" i="8" s="1"/>
  <c r="M118" i="4"/>
  <c r="L118" i="4"/>
  <c r="S118" i="4"/>
  <c r="R118" i="4"/>
  <c r="Q118" i="4"/>
  <c r="P118" i="4"/>
  <c r="O118" i="4"/>
  <c r="W118" i="4"/>
  <c r="AN118" i="8" s="1"/>
  <c r="N118" i="4"/>
  <c r="I7" i="2"/>
  <c r="A13" i="8" a="1"/>
  <c r="A13" i="8" s="1"/>
  <c r="AL11" i="8"/>
  <c r="R11" i="4"/>
  <c r="AH11" i="8" s="1"/>
  <c r="J11" i="4"/>
  <c r="R11" i="8" s="1"/>
  <c r="B11" i="4"/>
  <c r="B11" i="8" s="1"/>
  <c r="O11" i="4"/>
  <c r="AB11" i="8" s="1"/>
  <c r="F11" i="4"/>
  <c r="J11" i="8" s="1"/>
  <c r="N11" i="4"/>
  <c r="Z11" i="8" s="1"/>
  <c r="E11" i="4"/>
  <c r="H11" i="8" s="1"/>
  <c r="W11" i="4"/>
  <c r="AN11" i="8" s="1"/>
  <c r="M11" i="4"/>
  <c r="X11" i="8" s="1"/>
  <c r="D11" i="4"/>
  <c r="F11" i="8" s="1"/>
  <c r="V11" i="4"/>
  <c r="AM11" i="8" s="1"/>
  <c r="L11" i="4"/>
  <c r="V11" i="8" s="1"/>
  <c r="C11" i="4"/>
  <c r="D11" i="8" s="1"/>
  <c r="A13" i="4" a="1"/>
  <c r="A13" i="4" s="1"/>
  <c r="K11" i="4"/>
  <c r="T11" i="8" s="1"/>
  <c r="S11" i="4"/>
  <c r="AJ11" i="8" s="1"/>
  <c r="I11" i="4"/>
  <c r="P11" i="8" s="1"/>
  <c r="Q11" i="4"/>
  <c r="AF11" i="8" s="1"/>
  <c r="H11" i="4"/>
  <c r="N11" i="8" s="1"/>
  <c r="P11" i="4"/>
  <c r="AD11" i="8" s="1"/>
  <c r="G11" i="4"/>
  <c r="L11" i="8" s="1"/>
  <c r="B9" i="8"/>
  <c r="J230" i="9"/>
  <c r="J238" i="9"/>
  <c r="J222" i="9"/>
  <c r="AL10" i="8"/>
  <c r="A12" i="8" a="1"/>
  <c r="A12" i="8" s="1"/>
  <c r="M2" i="9" a="1"/>
  <c r="K2" i="2" a="1"/>
  <c r="N2" i="2" a="1"/>
  <c r="J2" i="2" a="1"/>
  <c r="T3" i="2"/>
  <c r="M2" i="2" a="1"/>
  <c r="B4" i="6" a="1"/>
  <c r="Q3" i="2"/>
  <c r="L2" i="2" a="1"/>
  <c r="R3" i="2"/>
  <c r="O2" i="2" a="1"/>
  <c r="P3" i="2"/>
  <c r="U3" i="2"/>
  <c r="S3" i="2"/>
  <c r="H25" i="10" l="1"/>
  <c r="M2" i="9"/>
  <c r="O72" i="9"/>
  <c r="I72" i="9" s="1"/>
  <c r="O142" i="9"/>
  <c r="O71" i="9"/>
  <c r="O141" i="9"/>
  <c r="H141" i="9"/>
  <c r="E141" i="9" s="1"/>
  <c r="Q141" i="9"/>
  <c r="H71" i="9"/>
  <c r="Q71" i="9"/>
  <c r="P71" i="9" s="1"/>
  <c r="M71" i="9" a="1"/>
  <c r="M71" i="9" s="1"/>
  <c r="N71" i="9"/>
  <c r="M141" i="9" a="1"/>
  <c r="M141" i="9" s="1"/>
  <c r="N141" i="9"/>
  <c r="K143" i="9"/>
  <c r="K73" i="9"/>
  <c r="K3" i="9"/>
  <c r="K2" i="2"/>
  <c r="L2" i="2"/>
  <c r="B4" i="6"/>
  <c r="O2" i="2"/>
  <c r="V3" i="2"/>
  <c r="O3" i="9" s="1"/>
  <c r="I3" i="9" s="1"/>
  <c r="M2" i="2"/>
  <c r="N2" i="2"/>
  <c r="J2" i="2"/>
  <c r="L13" i="4"/>
  <c r="V13" i="8" s="1"/>
  <c r="D13" i="4"/>
  <c r="F13" i="8" s="1"/>
  <c r="O13" i="4"/>
  <c r="AB13" i="8" s="1"/>
  <c r="F13" i="4"/>
  <c r="J13" i="8" s="1"/>
  <c r="W13" i="4"/>
  <c r="AN13" i="8" s="1"/>
  <c r="N13" i="4"/>
  <c r="Z13" i="8" s="1"/>
  <c r="E13" i="4"/>
  <c r="H13" i="8" s="1"/>
  <c r="V13" i="4"/>
  <c r="AM13" i="8" s="1"/>
  <c r="M13" i="4"/>
  <c r="X13" i="8" s="1"/>
  <c r="C13" i="4"/>
  <c r="D13" i="8" s="1"/>
  <c r="A15" i="4" a="1"/>
  <c r="A15" i="4" s="1"/>
  <c r="K13" i="4"/>
  <c r="T13" i="8" s="1"/>
  <c r="B13" i="4"/>
  <c r="S13" i="4"/>
  <c r="AJ13" i="8" s="1"/>
  <c r="J13" i="4"/>
  <c r="R13" i="8" s="1"/>
  <c r="R13" i="4"/>
  <c r="AH13" i="8" s="1"/>
  <c r="I13" i="4"/>
  <c r="P13" i="8" s="1"/>
  <c r="Q13" i="4"/>
  <c r="AF13" i="8" s="1"/>
  <c r="H13" i="4"/>
  <c r="N13" i="8" s="1"/>
  <c r="P13" i="4"/>
  <c r="AD13" i="8" s="1"/>
  <c r="G13" i="4"/>
  <c r="L13" i="8" s="1"/>
  <c r="AD3" i="8"/>
  <c r="Q3" i="4"/>
  <c r="Q120" i="4"/>
  <c r="P120" i="4"/>
  <c r="O120" i="4"/>
  <c r="W120" i="4"/>
  <c r="AN120" i="8" s="1"/>
  <c r="N120" i="4"/>
  <c r="A122" i="4"/>
  <c r="V120" i="4"/>
  <c r="AM120" i="8" s="1"/>
  <c r="M120" i="4"/>
  <c r="L120" i="4"/>
  <c r="S120" i="4"/>
  <c r="R120" i="4"/>
  <c r="AD4" i="8"/>
  <c r="AC3" i="8"/>
  <c r="A15" i="8" a="1"/>
  <c r="A15" i="8" s="1"/>
  <c r="AL13" i="8"/>
  <c r="AL12" i="8"/>
  <c r="A14" i="8" a="1"/>
  <c r="A14" i="8" s="1"/>
  <c r="I8" i="2"/>
  <c r="S12" i="4"/>
  <c r="AJ12" i="8" s="1"/>
  <c r="K12" i="4"/>
  <c r="T12" i="8" s="1"/>
  <c r="C12" i="4"/>
  <c r="D12" i="8" s="1"/>
  <c r="J12" i="4"/>
  <c r="R12" i="8" s="1"/>
  <c r="R12" i="4"/>
  <c r="AH12" i="8" s="1"/>
  <c r="I12" i="4"/>
  <c r="P12" i="8" s="1"/>
  <c r="Q12" i="4"/>
  <c r="AF12" i="8" s="1"/>
  <c r="H12" i="4"/>
  <c r="N12" i="8" s="1"/>
  <c r="P12" i="4"/>
  <c r="AD12" i="8" s="1"/>
  <c r="G12" i="4"/>
  <c r="L12" i="8" s="1"/>
  <c r="O12" i="4"/>
  <c r="AB12" i="8" s="1"/>
  <c r="F12" i="4"/>
  <c r="J12" i="8" s="1"/>
  <c r="N12" i="4"/>
  <c r="Z12" i="8" s="1"/>
  <c r="E12" i="4"/>
  <c r="H12" i="8" s="1"/>
  <c r="W12" i="4"/>
  <c r="AN12" i="8" s="1"/>
  <c r="M12" i="4"/>
  <c r="X12" i="8" s="1"/>
  <c r="D12" i="4"/>
  <c r="F12" i="8" s="1"/>
  <c r="A14" i="4" a="1"/>
  <c r="A14" i="4" s="1"/>
  <c r="V12" i="4"/>
  <c r="AM12" i="8" s="1"/>
  <c r="L12" i="4"/>
  <c r="V12" i="8" s="1"/>
  <c r="B12" i="4"/>
  <c r="B12" i="8" s="1"/>
  <c r="J71" i="9"/>
  <c r="D71" i="9" a="1"/>
  <c r="D71" i="9" s="1"/>
  <c r="F71" i="9" s="1"/>
  <c r="G71" i="9" s="1"/>
  <c r="E71" i="9"/>
  <c r="B71" i="9"/>
  <c r="B141" i="9"/>
  <c r="J141" i="9"/>
  <c r="D141" i="9" a="1"/>
  <c r="D141" i="9" s="1"/>
  <c r="F141" i="9" s="1"/>
  <c r="G141" i="9" s="1"/>
  <c r="J3" i="2" a="1"/>
  <c r="O3" i="2" a="1"/>
  <c r="L3" i="2" a="1"/>
  <c r="K3" i="2" a="1"/>
  <c r="N3" i="2" a="1"/>
  <c r="U4" i="2"/>
  <c r="R4" i="2"/>
  <c r="B5" i="6" a="1"/>
  <c r="S4" i="2"/>
  <c r="P4" i="2"/>
  <c r="T4" i="2"/>
  <c r="Q4" i="2"/>
  <c r="M3" i="2" a="1"/>
  <c r="A33" i="10" l="1"/>
  <c r="O73" i="9"/>
  <c r="O143" i="9"/>
  <c r="Q142" i="9"/>
  <c r="H1" i="9"/>
  <c r="M142" i="9" a="1"/>
  <c r="M142" i="9" s="1"/>
  <c r="N142" i="9"/>
  <c r="L71" i="9"/>
  <c r="L141" i="9"/>
  <c r="L1" i="9"/>
  <c r="K144" i="9"/>
  <c r="K74" i="9"/>
  <c r="K4" i="9"/>
  <c r="L3" i="2"/>
  <c r="O3" i="2"/>
  <c r="M3" i="2"/>
  <c r="V4" i="2"/>
  <c r="O4" i="9" s="1"/>
  <c r="I4" i="9" s="1"/>
  <c r="B5" i="6"/>
  <c r="N3" i="2"/>
  <c r="K3" i="2"/>
  <c r="J3" i="2"/>
  <c r="A124" i="4"/>
  <c r="V122" i="4"/>
  <c r="AM122" i="8" s="1"/>
  <c r="M122" i="4"/>
  <c r="L122" i="4"/>
  <c r="S122" i="4"/>
  <c r="R122" i="4"/>
  <c r="Q122" i="4"/>
  <c r="P122" i="4"/>
  <c r="O122" i="4"/>
  <c r="W122" i="4"/>
  <c r="AN122" i="8" s="1"/>
  <c r="N122" i="4"/>
  <c r="W15" i="4"/>
  <c r="AN15" i="8" s="1"/>
  <c r="N15" i="4"/>
  <c r="Z15" i="8" s="1"/>
  <c r="F15" i="4"/>
  <c r="J15" i="8" s="1"/>
  <c r="M15" i="4"/>
  <c r="X15" i="8" s="1"/>
  <c r="D15" i="4"/>
  <c r="F15" i="8" s="1"/>
  <c r="V15" i="4"/>
  <c r="AM15" i="8" s="1"/>
  <c r="L15" i="4"/>
  <c r="V15" i="8" s="1"/>
  <c r="C15" i="4"/>
  <c r="D15" i="8" s="1"/>
  <c r="K15" i="4"/>
  <c r="T15" i="8" s="1"/>
  <c r="B15" i="4"/>
  <c r="B15" i="8" s="1"/>
  <c r="A17" i="4" a="1"/>
  <c r="A17" i="4" s="1"/>
  <c r="S15" i="4"/>
  <c r="AJ15" i="8" s="1"/>
  <c r="J15" i="4"/>
  <c r="R15" i="8" s="1"/>
  <c r="R15" i="4"/>
  <c r="AH15" i="8" s="1"/>
  <c r="I15" i="4"/>
  <c r="P15" i="8" s="1"/>
  <c r="Q15" i="4"/>
  <c r="AF15" i="8" s="1"/>
  <c r="H15" i="4"/>
  <c r="N15" i="8" s="1"/>
  <c r="P15" i="4"/>
  <c r="AD15" i="8" s="1"/>
  <c r="G15" i="4"/>
  <c r="L15" i="8" s="1"/>
  <c r="O15" i="4"/>
  <c r="AB15" i="8" s="1"/>
  <c r="E15" i="4"/>
  <c r="H15" i="8" s="1"/>
  <c r="I9" i="2"/>
  <c r="AF3" i="8"/>
  <c r="R3" i="4"/>
  <c r="B1" i="9"/>
  <c r="A17" i="8" a="1"/>
  <c r="A17" i="8" s="1"/>
  <c r="AL15" i="8"/>
  <c r="AF4" i="8"/>
  <c r="AE3" i="8"/>
  <c r="J142" i="9"/>
  <c r="D142" i="9" a="1"/>
  <c r="D142" i="9" s="1"/>
  <c r="F142" i="9" s="1"/>
  <c r="G142" i="9" s="1"/>
  <c r="E142" i="9"/>
  <c r="B142" i="9"/>
  <c r="AL14" i="8"/>
  <c r="A16" i="8" a="1"/>
  <c r="A16" i="8" s="1"/>
  <c r="V14" i="4"/>
  <c r="AM14" i="8" s="1"/>
  <c r="M14" i="4"/>
  <c r="X14" i="8" s="1"/>
  <c r="E14" i="4"/>
  <c r="H14" i="8" s="1"/>
  <c r="R14" i="4"/>
  <c r="AH14" i="8" s="1"/>
  <c r="I14" i="4"/>
  <c r="P14" i="8" s="1"/>
  <c r="Q14" i="4"/>
  <c r="AF14" i="8" s="1"/>
  <c r="H14" i="4"/>
  <c r="N14" i="8" s="1"/>
  <c r="P14" i="4"/>
  <c r="AD14" i="8" s="1"/>
  <c r="G14" i="4"/>
  <c r="L14" i="8" s="1"/>
  <c r="O14" i="4"/>
  <c r="AB14" i="8" s="1"/>
  <c r="F14" i="4"/>
  <c r="J14" i="8" s="1"/>
  <c r="N14" i="4"/>
  <c r="Z14" i="8" s="1"/>
  <c r="D14" i="4"/>
  <c r="F14" i="8" s="1"/>
  <c r="W14" i="4"/>
  <c r="AN14" i="8" s="1"/>
  <c r="L14" i="4"/>
  <c r="V14" i="8" s="1"/>
  <c r="C14" i="4"/>
  <c r="D14" i="8" s="1"/>
  <c r="K14" i="4"/>
  <c r="T14" i="8" s="1"/>
  <c r="B14" i="4"/>
  <c r="B14" i="8" s="1"/>
  <c r="A16" i="4" a="1"/>
  <c r="A16" i="4" s="1"/>
  <c r="S14" i="4"/>
  <c r="AJ14" i="8" s="1"/>
  <c r="J14" i="4"/>
  <c r="R14" i="8" s="1"/>
  <c r="B13" i="8"/>
  <c r="M1" i="9" a="1"/>
  <c r="Q5" i="2"/>
  <c r="N4" i="2" a="1"/>
  <c r="M4" i="2" a="1"/>
  <c r="K4" i="2" a="1"/>
  <c r="O4" i="2" a="1"/>
  <c r="J4" i="2" a="1"/>
  <c r="U5" i="2"/>
  <c r="B6" i="6" a="1"/>
  <c r="S5" i="2"/>
  <c r="L4" i="2" a="1"/>
  <c r="R5" i="2"/>
  <c r="P5" i="2"/>
  <c r="T5" i="2"/>
  <c r="H33" i="10" l="1"/>
  <c r="O74" i="9"/>
  <c r="I74" i="9" s="1"/>
  <c r="O144" i="9"/>
  <c r="Q143" i="9"/>
  <c r="H73" i="9"/>
  <c r="H72" i="9"/>
  <c r="E2" i="9"/>
  <c r="Q73" i="9"/>
  <c r="P73" i="9" s="1"/>
  <c r="M73" i="9" a="1"/>
  <c r="M73" i="9" s="1"/>
  <c r="N73" i="9"/>
  <c r="M143" i="9" a="1"/>
  <c r="M143" i="9" s="1"/>
  <c r="N143" i="9"/>
  <c r="M1" i="9"/>
  <c r="L142" i="9"/>
  <c r="L2" i="9"/>
  <c r="L72" i="9"/>
  <c r="K145" i="9"/>
  <c r="K75" i="9"/>
  <c r="K5" i="9"/>
  <c r="L4" i="2"/>
  <c r="B6" i="6"/>
  <c r="E1" i="9"/>
  <c r="J4" i="2"/>
  <c r="O4" i="2"/>
  <c r="M4" i="2"/>
  <c r="V5" i="2"/>
  <c r="O5" i="9" s="1"/>
  <c r="I5" i="9" s="1"/>
  <c r="K4" i="2"/>
  <c r="N4" i="2"/>
  <c r="I10" i="2"/>
  <c r="E143" i="9"/>
  <c r="B143" i="9"/>
  <c r="J143" i="9"/>
  <c r="D143" i="9" a="1"/>
  <c r="D143" i="9" s="1"/>
  <c r="F143" i="9" s="1"/>
  <c r="G143" i="9" s="1"/>
  <c r="AH3" i="8"/>
  <c r="S3" i="4"/>
  <c r="AJ3" i="8" s="1"/>
  <c r="AH4" i="8"/>
  <c r="AG3" i="8"/>
  <c r="Q124" i="4"/>
  <c r="P124" i="4"/>
  <c r="O124" i="4"/>
  <c r="W124" i="4"/>
  <c r="AN124" i="8" s="1"/>
  <c r="N124" i="4"/>
  <c r="A126" i="4"/>
  <c r="V124" i="4"/>
  <c r="AM124" i="8" s="1"/>
  <c r="M124" i="4"/>
  <c r="L124" i="4"/>
  <c r="S124" i="4"/>
  <c r="R124" i="4"/>
  <c r="A18" i="4" a="1"/>
  <c r="A18" i="4" s="1"/>
  <c r="O16" i="4"/>
  <c r="AB16" i="8" s="1"/>
  <c r="G16" i="4"/>
  <c r="L16" i="8" s="1"/>
  <c r="R16" i="4"/>
  <c r="AH16" i="8" s="1"/>
  <c r="I16" i="4"/>
  <c r="P16" i="8" s="1"/>
  <c r="Q16" i="4"/>
  <c r="AF16" i="8" s="1"/>
  <c r="H16" i="4"/>
  <c r="N16" i="8" s="1"/>
  <c r="P16" i="4"/>
  <c r="AD16" i="8" s="1"/>
  <c r="F16" i="4"/>
  <c r="J16" i="8" s="1"/>
  <c r="N16" i="4"/>
  <c r="Z16" i="8" s="1"/>
  <c r="E16" i="4"/>
  <c r="H16" i="8" s="1"/>
  <c r="W16" i="4"/>
  <c r="AN16" i="8" s="1"/>
  <c r="M16" i="4"/>
  <c r="X16" i="8" s="1"/>
  <c r="D16" i="4"/>
  <c r="F16" i="8" s="1"/>
  <c r="V16" i="4"/>
  <c r="AM16" i="8" s="1"/>
  <c r="L16" i="4"/>
  <c r="V16" i="8" s="1"/>
  <c r="C16" i="4"/>
  <c r="D16" i="8" s="1"/>
  <c r="K16" i="4"/>
  <c r="T16" i="8" s="1"/>
  <c r="B16" i="4"/>
  <c r="B16" i="8" s="1"/>
  <c r="S16" i="4"/>
  <c r="AJ16" i="8" s="1"/>
  <c r="J16" i="4"/>
  <c r="R16" i="8" s="1"/>
  <c r="P17" i="4"/>
  <c r="AD17" i="8" s="1"/>
  <c r="H17" i="4"/>
  <c r="N17" i="8" s="1"/>
  <c r="W17" i="4"/>
  <c r="AN17" i="8" s="1"/>
  <c r="M17" i="4"/>
  <c r="X17" i="8" s="1"/>
  <c r="D17" i="4"/>
  <c r="F17" i="8" s="1"/>
  <c r="V17" i="4"/>
  <c r="AM17" i="8" s="1"/>
  <c r="L17" i="4"/>
  <c r="V17" i="8" s="1"/>
  <c r="C17" i="4"/>
  <c r="D17" i="8" s="1"/>
  <c r="A19" i="4" a="1"/>
  <c r="A19" i="4" s="1"/>
  <c r="K17" i="4"/>
  <c r="T17" i="8" s="1"/>
  <c r="B17" i="4"/>
  <c r="B17" i="8" s="1"/>
  <c r="S17" i="4"/>
  <c r="AJ17" i="8" s="1"/>
  <c r="J17" i="4"/>
  <c r="R17" i="8" s="1"/>
  <c r="R17" i="4"/>
  <c r="AH17" i="8" s="1"/>
  <c r="I17" i="4"/>
  <c r="P17" i="8" s="1"/>
  <c r="Q17" i="4"/>
  <c r="AF17" i="8" s="1"/>
  <c r="G17" i="4"/>
  <c r="L17" i="8" s="1"/>
  <c r="O17" i="4"/>
  <c r="AB17" i="8" s="1"/>
  <c r="F17" i="4"/>
  <c r="J17" i="8" s="1"/>
  <c r="N17" i="4"/>
  <c r="Z17" i="8" s="1"/>
  <c r="E17" i="4"/>
  <c r="H17" i="8" s="1"/>
  <c r="A18" i="8" a="1"/>
  <c r="A18" i="8" s="1"/>
  <c r="AL16" i="8"/>
  <c r="A19" i="8" a="1"/>
  <c r="A19" i="8" s="1"/>
  <c r="AL17" i="8"/>
  <c r="D73" i="9" a="1"/>
  <c r="D73" i="9" s="1"/>
  <c r="F73" i="9" s="1"/>
  <c r="G73" i="9" s="1"/>
  <c r="J73" i="9"/>
  <c r="E73" i="9"/>
  <c r="B73" i="9"/>
  <c r="R6" i="2"/>
  <c r="T6" i="2"/>
  <c r="M72" i="9" a="1"/>
  <c r="P6" i="2"/>
  <c r="U6" i="2"/>
  <c r="L5" i="2" a="1"/>
  <c r="N5" i="2" a="1"/>
  <c r="D1" i="9" a="1"/>
  <c r="M5" i="2" a="1"/>
  <c r="K5" i="2" a="1"/>
  <c r="B7" i="6" a="1"/>
  <c r="J5" i="2" a="1"/>
  <c r="B8" i="6" a="1"/>
  <c r="B2" i="9"/>
  <c r="O5" i="2" a="1"/>
  <c r="Q6" i="2"/>
  <c r="S6" i="2"/>
  <c r="A41" i="10" l="1"/>
  <c r="O75" i="9"/>
  <c r="O145" i="9"/>
  <c r="Q144" i="9"/>
  <c r="E144" i="9"/>
  <c r="H3" i="9"/>
  <c r="M144" i="9" a="1"/>
  <c r="M144" i="9" s="1"/>
  <c r="N144" i="9"/>
  <c r="M72" i="9"/>
  <c r="L73" i="9"/>
  <c r="L143" i="9"/>
  <c r="K146" i="9"/>
  <c r="K76" i="9"/>
  <c r="K6" i="9"/>
  <c r="L3" i="9"/>
  <c r="N5" i="2"/>
  <c r="O5" i="2"/>
  <c r="B8" i="6"/>
  <c r="M5" i="2"/>
  <c r="E72" i="9"/>
  <c r="B7" i="6"/>
  <c r="L5" i="2"/>
  <c r="V6" i="2"/>
  <c r="O6" i="9" s="1"/>
  <c r="I6" i="9" s="1"/>
  <c r="J5" i="2"/>
  <c r="D1" i="9"/>
  <c r="F1" i="9" s="1"/>
  <c r="G1" i="9" s="1"/>
  <c r="K5" i="2"/>
  <c r="I11" i="2"/>
  <c r="B3" i="9"/>
  <c r="AK3" i="8"/>
  <c r="A128" i="4"/>
  <c r="V126" i="4"/>
  <c r="AM126" i="8" s="1"/>
  <c r="M126" i="4"/>
  <c r="L126" i="4"/>
  <c r="S126" i="4"/>
  <c r="R126" i="4"/>
  <c r="Q126" i="4"/>
  <c r="P126" i="4"/>
  <c r="O126" i="4"/>
  <c r="W126" i="4"/>
  <c r="AN126" i="8" s="1"/>
  <c r="N126" i="4"/>
  <c r="AI3" i="8"/>
  <c r="AJ4" i="8"/>
  <c r="R19" i="4"/>
  <c r="AH19" i="8" s="1"/>
  <c r="J19" i="4"/>
  <c r="R19" i="8" s="1"/>
  <c r="B19" i="4"/>
  <c r="B19" i="8" s="1"/>
  <c r="W19" i="4"/>
  <c r="AN19" i="8" s="1"/>
  <c r="M19" i="4"/>
  <c r="X19" i="8" s="1"/>
  <c r="D19" i="4"/>
  <c r="F19" i="8" s="1"/>
  <c r="V19" i="4"/>
  <c r="AM19" i="8" s="1"/>
  <c r="L19" i="4"/>
  <c r="V19" i="8" s="1"/>
  <c r="C19" i="4"/>
  <c r="D19" i="8" s="1"/>
  <c r="A21" i="4" a="1"/>
  <c r="A21" i="4" s="1"/>
  <c r="K19" i="4"/>
  <c r="T19" i="8" s="1"/>
  <c r="S19" i="4"/>
  <c r="AJ19" i="8" s="1"/>
  <c r="I19" i="4"/>
  <c r="P19" i="8" s="1"/>
  <c r="Q19" i="4"/>
  <c r="AF19" i="8" s="1"/>
  <c r="H19" i="4"/>
  <c r="N19" i="8" s="1"/>
  <c r="P19" i="4"/>
  <c r="AD19" i="8" s="1"/>
  <c r="G19" i="4"/>
  <c r="L19" i="8" s="1"/>
  <c r="O19" i="4"/>
  <c r="AB19" i="8" s="1"/>
  <c r="F19" i="4"/>
  <c r="J19" i="8" s="1"/>
  <c r="N19" i="4"/>
  <c r="Z19" i="8" s="1"/>
  <c r="E19" i="4"/>
  <c r="H19" i="8" s="1"/>
  <c r="AL18" i="8"/>
  <c r="A20" i="8" a="1"/>
  <c r="A20" i="8" s="1"/>
  <c r="B144" i="9"/>
  <c r="J144" i="9"/>
  <c r="D144" i="9" a="1"/>
  <c r="D144" i="9" s="1"/>
  <c r="F144" i="9" s="1"/>
  <c r="G144" i="9" s="1"/>
  <c r="A21" i="8" a="1"/>
  <c r="A21" i="8" s="1"/>
  <c r="AL19" i="8"/>
  <c r="Q18" i="4"/>
  <c r="AF18" i="8" s="1"/>
  <c r="I18" i="4"/>
  <c r="P18" i="8" s="1"/>
  <c r="R18" i="4"/>
  <c r="AH18" i="8" s="1"/>
  <c r="H18" i="4"/>
  <c r="N18" i="8" s="1"/>
  <c r="P18" i="4"/>
  <c r="AD18" i="8" s="1"/>
  <c r="G18" i="4"/>
  <c r="L18" i="8" s="1"/>
  <c r="O18" i="4"/>
  <c r="AB18" i="8" s="1"/>
  <c r="F18" i="4"/>
  <c r="J18" i="8" s="1"/>
  <c r="N18" i="4"/>
  <c r="Z18" i="8" s="1"/>
  <c r="E18" i="4"/>
  <c r="H18" i="8" s="1"/>
  <c r="W18" i="4"/>
  <c r="AN18" i="8" s="1"/>
  <c r="M18" i="4"/>
  <c r="X18" i="8" s="1"/>
  <c r="D18" i="4"/>
  <c r="F18" i="8" s="1"/>
  <c r="V18" i="4"/>
  <c r="AM18" i="8" s="1"/>
  <c r="L18" i="4"/>
  <c r="V18" i="8" s="1"/>
  <c r="C18" i="4"/>
  <c r="D18" i="8" s="1"/>
  <c r="A20" i="4" a="1"/>
  <c r="A20" i="4" s="1"/>
  <c r="K18" i="4"/>
  <c r="T18" i="8" s="1"/>
  <c r="B18" i="4"/>
  <c r="B18" i="8" s="1"/>
  <c r="S18" i="4"/>
  <c r="AJ18" i="8" s="1"/>
  <c r="J18" i="4"/>
  <c r="R18" i="8" s="1"/>
  <c r="O6" i="2" a="1"/>
  <c r="N6" i="2" a="1"/>
  <c r="R7" i="2"/>
  <c r="K6" i="2" a="1"/>
  <c r="M3" i="9" a="1"/>
  <c r="M6" i="2" a="1"/>
  <c r="D72" i="9" a="1"/>
  <c r="T7" i="2"/>
  <c r="D2" i="9" a="1"/>
  <c r="U7" i="2"/>
  <c r="P7" i="2"/>
  <c r="S7" i="2"/>
  <c r="Q7" i="2"/>
  <c r="J6" i="2" a="1"/>
  <c r="L6" i="2" a="1"/>
  <c r="H41" i="10" l="1"/>
  <c r="N1" i="9"/>
  <c r="Q1" i="9" s="1"/>
  <c r="P1" i="9" s="1"/>
  <c r="O76" i="9"/>
  <c r="O146" i="9"/>
  <c r="Q145" i="9"/>
  <c r="E145" i="9"/>
  <c r="H75" i="9"/>
  <c r="H74" i="9"/>
  <c r="H4" i="9"/>
  <c r="Q75" i="9"/>
  <c r="P75" i="9" s="1"/>
  <c r="M145" i="9" a="1"/>
  <c r="M145" i="9" s="1"/>
  <c r="N145" i="9"/>
  <c r="M75" i="9" a="1"/>
  <c r="M75" i="9" s="1"/>
  <c r="N75" i="9"/>
  <c r="M3" i="9"/>
  <c r="L144" i="9"/>
  <c r="L4" i="9"/>
  <c r="L74" i="9"/>
  <c r="K147" i="9"/>
  <c r="K77" i="9"/>
  <c r="K7" i="9"/>
  <c r="K6" i="2"/>
  <c r="L6" i="2"/>
  <c r="J6" i="2"/>
  <c r="E3" i="9"/>
  <c r="M6" i="2"/>
  <c r="N6" i="2"/>
  <c r="O6" i="2"/>
  <c r="V7" i="2"/>
  <c r="O7" i="9" s="1"/>
  <c r="I7" i="9" s="1"/>
  <c r="D2" i="9"/>
  <c r="F2" i="9" s="1"/>
  <c r="D72" i="9"/>
  <c r="A23" i="8" a="1"/>
  <c r="A23" i="8" s="1"/>
  <c r="AL21" i="8"/>
  <c r="J145" i="9"/>
  <c r="D145" i="9" a="1"/>
  <c r="D145" i="9" s="1"/>
  <c r="F145" i="9" s="1"/>
  <c r="G145" i="9" s="1"/>
  <c r="B145" i="9"/>
  <c r="Q128" i="4"/>
  <c r="P128" i="4"/>
  <c r="O128" i="4"/>
  <c r="W128" i="4"/>
  <c r="AN128" i="8" s="1"/>
  <c r="N128" i="4"/>
  <c r="A130" i="4"/>
  <c r="V128" i="4"/>
  <c r="AM128" i="8" s="1"/>
  <c r="M128" i="4"/>
  <c r="L128" i="4"/>
  <c r="S128" i="4"/>
  <c r="R128" i="4"/>
  <c r="B4" i="9"/>
  <c r="I12" i="2"/>
  <c r="B74" i="9"/>
  <c r="S20" i="4"/>
  <c r="AJ20" i="8" s="1"/>
  <c r="K20" i="4"/>
  <c r="T20" i="8" s="1"/>
  <c r="C20" i="4"/>
  <c r="D20" i="8" s="1"/>
  <c r="Q20" i="4"/>
  <c r="AF20" i="8" s="1"/>
  <c r="H20" i="4"/>
  <c r="N20" i="8" s="1"/>
  <c r="P20" i="4"/>
  <c r="AD20" i="8" s="1"/>
  <c r="G20" i="4"/>
  <c r="L20" i="8" s="1"/>
  <c r="O20" i="4"/>
  <c r="AB20" i="8" s="1"/>
  <c r="F20" i="4"/>
  <c r="J20" i="8" s="1"/>
  <c r="N20" i="4"/>
  <c r="Z20" i="8" s="1"/>
  <c r="E20" i="4"/>
  <c r="H20" i="8" s="1"/>
  <c r="W20" i="4"/>
  <c r="AN20" i="8" s="1"/>
  <c r="M20" i="4"/>
  <c r="X20" i="8" s="1"/>
  <c r="D20" i="4"/>
  <c r="F20" i="8" s="1"/>
  <c r="A22" i="4" a="1"/>
  <c r="A22" i="4" s="1"/>
  <c r="V20" i="4"/>
  <c r="AM20" i="8" s="1"/>
  <c r="L20" i="4"/>
  <c r="V20" i="8" s="1"/>
  <c r="B20" i="4"/>
  <c r="B20" i="8" s="1"/>
  <c r="J20" i="4"/>
  <c r="R20" i="8" s="1"/>
  <c r="R20" i="4"/>
  <c r="AH20" i="8" s="1"/>
  <c r="I20" i="4"/>
  <c r="P20" i="8" s="1"/>
  <c r="J1" i="9"/>
  <c r="L21" i="4"/>
  <c r="V21" i="8" s="1"/>
  <c r="D21" i="4"/>
  <c r="F21" i="8" s="1"/>
  <c r="V21" i="4"/>
  <c r="AM21" i="8" s="1"/>
  <c r="M21" i="4"/>
  <c r="X21" i="8" s="1"/>
  <c r="C21" i="4"/>
  <c r="D21" i="8" s="1"/>
  <c r="A23" i="4" a="1"/>
  <c r="A23" i="4" s="1"/>
  <c r="K21" i="4"/>
  <c r="T21" i="8" s="1"/>
  <c r="B21" i="4"/>
  <c r="S21" i="4"/>
  <c r="AJ21" i="8" s="1"/>
  <c r="J21" i="4"/>
  <c r="R21" i="8" s="1"/>
  <c r="R21" i="4"/>
  <c r="AH21" i="8" s="1"/>
  <c r="I21" i="4"/>
  <c r="P21" i="8" s="1"/>
  <c r="Q21" i="4"/>
  <c r="AF21" i="8" s="1"/>
  <c r="H21" i="4"/>
  <c r="N21" i="8" s="1"/>
  <c r="P21" i="4"/>
  <c r="AD21" i="8" s="1"/>
  <c r="G21" i="4"/>
  <c r="L21" i="8" s="1"/>
  <c r="O21" i="4"/>
  <c r="AB21" i="8" s="1"/>
  <c r="F21" i="4"/>
  <c r="J21" i="8" s="1"/>
  <c r="W21" i="4"/>
  <c r="AN21" i="8" s="1"/>
  <c r="N21" i="4"/>
  <c r="Z21" i="8" s="1"/>
  <c r="E21" i="4"/>
  <c r="H21" i="8" s="1"/>
  <c r="AL20" i="8"/>
  <c r="A22" i="8" a="1"/>
  <c r="A22" i="8" s="1"/>
  <c r="J75" i="9"/>
  <c r="D75" i="9" a="1"/>
  <c r="D75" i="9" s="1"/>
  <c r="F75" i="9" s="1"/>
  <c r="G75" i="9" s="1"/>
  <c r="B75" i="9"/>
  <c r="E75" i="9"/>
  <c r="T8" i="2"/>
  <c r="N7" i="2" a="1"/>
  <c r="U8" i="2"/>
  <c r="K7" i="2" a="1"/>
  <c r="Q8" i="2"/>
  <c r="J7" i="2" a="1"/>
  <c r="O7" i="2" a="1"/>
  <c r="S8" i="2"/>
  <c r="L7" i="2" a="1"/>
  <c r="P8" i="2"/>
  <c r="D3" i="9" a="1"/>
  <c r="M74" i="9" a="1"/>
  <c r="R8" i="2"/>
  <c r="M4" i="9" a="1"/>
  <c r="M7" i="2" a="1"/>
  <c r="P1" i="10" l="1"/>
  <c r="W1" i="10" s="1"/>
  <c r="N72" i="9"/>
  <c r="Q72" i="9" s="1"/>
  <c r="F72" i="9"/>
  <c r="G72" i="9" s="1"/>
  <c r="G2" i="9"/>
  <c r="N2" i="9"/>
  <c r="Q2" i="9" s="1"/>
  <c r="P2" i="9" s="1"/>
  <c r="O77" i="9"/>
  <c r="O147" i="9"/>
  <c r="Q146" i="9"/>
  <c r="E146" i="9"/>
  <c r="H76" i="9"/>
  <c r="H5" i="9"/>
  <c r="Q76" i="9"/>
  <c r="P76" i="9" s="1"/>
  <c r="M76" i="9" a="1"/>
  <c r="M76" i="9" s="1"/>
  <c r="N76" i="9"/>
  <c r="M146" i="9" a="1"/>
  <c r="M146" i="9" s="1"/>
  <c r="N146" i="9"/>
  <c r="M74" i="9"/>
  <c r="M4" i="9"/>
  <c r="L145" i="9"/>
  <c r="L5" i="9"/>
  <c r="L75" i="9"/>
  <c r="K148" i="9"/>
  <c r="K78" i="9"/>
  <c r="K8" i="9"/>
  <c r="D3" i="9"/>
  <c r="K7" i="2"/>
  <c r="N7" i="2"/>
  <c r="E4" i="9"/>
  <c r="L7" i="2"/>
  <c r="O7" i="2"/>
  <c r="M7" i="2"/>
  <c r="V8" i="2"/>
  <c r="O8" i="9" s="1"/>
  <c r="I8" i="9" s="1"/>
  <c r="E74" i="9"/>
  <c r="J7" i="2"/>
  <c r="B146" i="9"/>
  <c r="J146" i="9"/>
  <c r="D146" i="9" a="1"/>
  <c r="D146" i="9" s="1"/>
  <c r="F146" i="9" s="1"/>
  <c r="G146" i="9" s="1"/>
  <c r="A132" i="4"/>
  <c r="V130" i="4"/>
  <c r="AM130" i="8" s="1"/>
  <c r="M130" i="4"/>
  <c r="L130" i="4"/>
  <c r="S130" i="4"/>
  <c r="R130" i="4"/>
  <c r="Q130" i="4"/>
  <c r="P130" i="4"/>
  <c r="O130" i="4"/>
  <c r="W130" i="4"/>
  <c r="AN130" i="8" s="1"/>
  <c r="N130" i="4"/>
  <c r="A25" i="8" a="1"/>
  <c r="A25" i="8" s="1"/>
  <c r="AL23" i="8"/>
  <c r="I13" i="2"/>
  <c r="B5" i="9"/>
  <c r="AL22" i="8"/>
  <c r="A24" i="8" a="1"/>
  <c r="A24" i="8" s="1"/>
  <c r="B21" i="8"/>
  <c r="J72" i="9"/>
  <c r="J2" i="9"/>
  <c r="W23" i="4"/>
  <c r="AN23" i="8" s="1"/>
  <c r="N23" i="4"/>
  <c r="Z23" i="8" s="1"/>
  <c r="F23" i="4"/>
  <c r="J23" i="8" s="1"/>
  <c r="K23" i="4"/>
  <c r="T23" i="8" s="1"/>
  <c r="B23" i="4"/>
  <c r="B23" i="8" s="1"/>
  <c r="A25" i="4" a="1"/>
  <c r="A25" i="4" s="1"/>
  <c r="S23" i="4"/>
  <c r="AJ23" i="8" s="1"/>
  <c r="J23" i="4"/>
  <c r="R23" i="8" s="1"/>
  <c r="R23" i="4"/>
  <c r="AH23" i="8" s="1"/>
  <c r="I23" i="4"/>
  <c r="P23" i="8" s="1"/>
  <c r="Q23" i="4"/>
  <c r="AF23" i="8" s="1"/>
  <c r="H23" i="4"/>
  <c r="N23" i="8" s="1"/>
  <c r="P23" i="4"/>
  <c r="AD23" i="8" s="1"/>
  <c r="G23" i="4"/>
  <c r="L23" i="8" s="1"/>
  <c r="O23" i="4"/>
  <c r="AB23" i="8" s="1"/>
  <c r="E23" i="4"/>
  <c r="H23" i="8" s="1"/>
  <c r="M23" i="4"/>
  <c r="X23" i="8" s="1"/>
  <c r="D23" i="4"/>
  <c r="F23" i="8" s="1"/>
  <c r="V23" i="4"/>
  <c r="AM23" i="8" s="1"/>
  <c r="L23" i="4"/>
  <c r="V23" i="8" s="1"/>
  <c r="C23" i="4"/>
  <c r="D23" i="8" s="1"/>
  <c r="V22" i="4"/>
  <c r="AM22" i="8" s="1"/>
  <c r="M22" i="4"/>
  <c r="X22" i="8" s="1"/>
  <c r="E22" i="4"/>
  <c r="H22" i="8" s="1"/>
  <c r="P22" i="4"/>
  <c r="AD22" i="8" s="1"/>
  <c r="G22" i="4"/>
  <c r="L22" i="8" s="1"/>
  <c r="O22" i="4"/>
  <c r="AB22" i="8" s="1"/>
  <c r="F22" i="4"/>
  <c r="J22" i="8" s="1"/>
  <c r="N22" i="4"/>
  <c r="Z22" i="8" s="1"/>
  <c r="D22" i="4"/>
  <c r="F22" i="8" s="1"/>
  <c r="W22" i="4"/>
  <c r="AN22" i="8" s="1"/>
  <c r="L22" i="4"/>
  <c r="V22" i="8" s="1"/>
  <c r="C22" i="4"/>
  <c r="D22" i="8" s="1"/>
  <c r="K22" i="4"/>
  <c r="T22" i="8" s="1"/>
  <c r="B22" i="4"/>
  <c r="A24" i="4" a="1"/>
  <c r="A24" i="4" s="1"/>
  <c r="S22" i="4"/>
  <c r="AJ22" i="8" s="1"/>
  <c r="J22" i="4"/>
  <c r="R22" i="8" s="1"/>
  <c r="R22" i="4"/>
  <c r="AH22" i="8" s="1"/>
  <c r="I22" i="4"/>
  <c r="P22" i="8" s="1"/>
  <c r="Q22" i="4"/>
  <c r="AF22" i="8" s="1"/>
  <c r="H22" i="4"/>
  <c r="N22" i="8" s="1"/>
  <c r="D76" i="9" a="1"/>
  <c r="D76" i="9" s="1"/>
  <c r="F76" i="9" s="1"/>
  <c r="G76" i="9" s="1"/>
  <c r="J76" i="9"/>
  <c r="E76" i="9"/>
  <c r="B76" i="9"/>
  <c r="U9" i="2"/>
  <c r="D4" i="9" a="1"/>
  <c r="M8" i="2" a="1"/>
  <c r="J8" i="2" a="1"/>
  <c r="O8" i="2" a="1"/>
  <c r="M5" i="9" a="1"/>
  <c r="S9" i="2"/>
  <c r="D74" i="9" a="1"/>
  <c r="N8" i="2" a="1"/>
  <c r="Q9" i="2"/>
  <c r="L8" i="2" a="1"/>
  <c r="R9" i="2"/>
  <c r="P9" i="2"/>
  <c r="T9" i="2"/>
  <c r="K8" i="2" a="1"/>
  <c r="N3" i="9" l="1"/>
  <c r="Q3" i="9" s="1"/>
  <c r="P3" i="9" s="1"/>
  <c r="F3" i="9"/>
  <c r="G3" i="9" s="1"/>
  <c r="O78" i="9"/>
  <c r="O148" i="9"/>
  <c r="Q147" i="9"/>
  <c r="E147" i="9"/>
  <c r="H77" i="9"/>
  <c r="E77" i="9" s="1"/>
  <c r="H6" i="9"/>
  <c r="Q77" i="9"/>
  <c r="P77" i="9" s="1"/>
  <c r="M77" i="9" a="1"/>
  <c r="M77" i="9" s="1"/>
  <c r="N77" i="9"/>
  <c r="M147" i="9" a="1"/>
  <c r="M147" i="9" s="1"/>
  <c r="N147" i="9"/>
  <c r="M5" i="9"/>
  <c r="L146" i="9"/>
  <c r="L6" i="9"/>
  <c r="L76" i="9"/>
  <c r="K149" i="9"/>
  <c r="K79" i="9"/>
  <c r="K9" i="9"/>
  <c r="O8" i="2"/>
  <c r="J8" i="2"/>
  <c r="D4" i="9"/>
  <c r="K8" i="2"/>
  <c r="V9" i="2"/>
  <c r="O9" i="9" s="1"/>
  <c r="I9" i="9" s="1"/>
  <c r="E5" i="9"/>
  <c r="L8" i="2"/>
  <c r="D74" i="9"/>
  <c r="M8" i="2"/>
  <c r="N8" i="2"/>
  <c r="I14" i="2"/>
  <c r="B77" i="9"/>
  <c r="J77" i="9"/>
  <c r="D77" i="9" a="1"/>
  <c r="D77" i="9" s="1"/>
  <c r="F77" i="9" s="1"/>
  <c r="G77" i="9" s="1"/>
  <c r="A26" i="8" a="1"/>
  <c r="A26" i="8" s="1"/>
  <c r="AL24" i="8"/>
  <c r="J147" i="9"/>
  <c r="D147" i="9" a="1"/>
  <c r="D147" i="9" s="1"/>
  <c r="F147" i="9" s="1"/>
  <c r="G147" i="9" s="1"/>
  <c r="B147" i="9"/>
  <c r="A27" i="8" a="1"/>
  <c r="A27" i="8" s="1"/>
  <c r="AL25" i="8"/>
  <c r="B6" i="9"/>
  <c r="A26" i="4" a="1"/>
  <c r="A26" i="4" s="1"/>
  <c r="O24" i="4"/>
  <c r="AB24" i="8" s="1"/>
  <c r="G24" i="4"/>
  <c r="L24" i="8" s="1"/>
  <c r="P24" i="4"/>
  <c r="AD24" i="8" s="1"/>
  <c r="F24" i="4"/>
  <c r="J24" i="8" s="1"/>
  <c r="N24" i="4"/>
  <c r="Z24" i="8" s="1"/>
  <c r="E24" i="4"/>
  <c r="H24" i="8" s="1"/>
  <c r="W24" i="4"/>
  <c r="AN24" i="8" s="1"/>
  <c r="M24" i="4"/>
  <c r="X24" i="8" s="1"/>
  <c r="D24" i="4"/>
  <c r="F24" i="8" s="1"/>
  <c r="V24" i="4"/>
  <c r="AM24" i="8" s="1"/>
  <c r="L24" i="4"/>
  <c r="V24" i="8" s="1"/>
  <c r="C24" i="4"/>
  <c r="D24" i="8" s="1"/>
  <c r="K24" i="4"/>
  <c r="T24" i="8" s="1"/>
  <c r="B24" i="4"/>
  <c r="S24" i="4"/>
  <c r="AJ24" i="8" s="1"/>
  <c r="J24" i="4"/>
  <c r="R24" i="8" s="1"/>
  <c r="R24" i="4"/>
  <c r="AH24" i="8" s="1"/>
  <c r="I24" i="4"/>
  <c r="P24" i="8" s="1"/>
  <c r="Q24" i="4"/>
  <c r="AF24" i="8" s="1"/>
  <c r="H24" i="4"/>
  <c r="N24" i="8" s="1"/>
  <c r="Q132" i="4"/>
  <c r="P132" i="4"/>
  <c r="O132" i="4"/>
  <c r="W132" i="4"/>
  <c r="AN132" i="8" s="1"/>
  <c r="N132" i="4"/>
  <c r="A134" i="4"/>
  <c r="V132" i="4"/>
  <c r="AM132" i="8" s="1"/>
  <c r="M132" i="4"/>
  <c r="L132" i="4"/>
  <c r="S132" i="4"/>
  <c r="R132" i="4"/>
  <c r="P25" i="4"/>
  <c r="AD25" i="8" s="1"/>
  <c r="H25" i="4"/>
  <c r="N25" i="8" s="1"/>
  <c r="A27" i="4" a="1"/>
  <c r="A27" i="4" s="1"/>
  <c r="K25" i="4"/>
  <c r="T25" i="8" s="1"/>
  <c r="B25" i="4"/>
  <c r="S25" i="4"/>
  <c r="AJ25" i="8" s="1"/>
  <c r="J25" i="4"/>
  <c r="R25" i="8" s="1"/>
  <c r="R25" i="4"/>
  <c r="AH25" i="8" s="1"/>
  <c r="I25" i="4"/>
  <c r="P25" i="8" s="1"/>
  <c r="Q25" i="4"/>
  <c r="AF25" i="8" s="1"/>
  <c r="G25" i="4"/>
  <c r="L25" i="8" s="1"/>
  <c r="O25" i="4"/>
  <c r="AB25" i="8" s="1"/>
  <c r="F25" i="4"/>
  <c r="J25" i="8" s="1"/>
  <c r="N25" i="4"/>
  <c r="Z25" i="8" s="1"/>
  <c r="E25" i="4"/>
  <c r="H25" i="8" s="1"/>
  <c r="W25" i="4"/>
  <c r="AN25" i="8" s="1"/>
  <c r="M25" i="4"/>
  <c r="X25" i="8" s="1"/>
  <c r="D25" i="4"/>
  <c r="F25" i="8" s="1"/>
  <c r="V25" i="4"/>
  <c r="AM25" i="8" s="1"/>
  <c r="L25" i="4"/>
  <c r="V25" i="8" s="1"/>
  <c r="C25" i="4"/>
  <c r="D25" i="8" s="1"/>
  <c r="J3" i="9"/>
  <c r="B22" i="8"/>
  <c r="P10" i="2"/>
  <c r="Q10" i="2"/>
  <c r="D5" i="9" a="1"/>
  <c r="K9" i="2" a="1"/>
  <c r="M6" i="9" a="1"/>
  <c r="R10" i="2"/>
  <c r="J9" i="2" a="1"/>
  <c r="T10" i="2"/>
  <c r="M9" i="2" a="1"/>
  <c r="N9" i="2" a="1"/>
  <c r="U10" i="2"/>
  <c r="O9" i="2" a="1"/>
  <c r="L9" i="2" a="1"/>
  <c r="S10" i="2"/>
  <c r="N74" i="9" l="1"/>
  <c r="Q74" i="9" s="1"/>
  <c r="P74" i="9" s="1"/>
  <c r="F74" i="9"/>
  <c r="G74" i="9" s="1"/>
  <c r="N4" i="9"/>
  <c r="Q4" i="9" s="1"/>
  <c r="P4" i="9" s="1"/>
  <c r="F4" i="9"/>
  <c r="G4" i="9" s="1"/>
  <c r="O79" i="9"/>
  <c r="O149" i="9"/>
  <c r="Q148" i="9"/>
  <c r="E148" i="9"/>
  <c r="H78" i="9"/>
  <c r="E78" i="9" s="1"/>
  <c r="H7" i="9"/>
  <c r="Q78" i="9"/>
  <c r="P78" i="9" s="1"/>
  <c r="M78" i="9" a="1"/>
  <c r="M78" i="9" s="1"/>
  <c r="N78" i="9"/>
  <c r="M148" i="9" a="1"/>
  <c r="M148" i="9" s="1"/>
  <c r="N148" i="9"/>
  <c r="L147" i="9"/>
  <c r="M7" i="9" a="1"/>
  <c r="M7" i="9" s="1"/>
  <c r="M6" i="9"/>
  <c r="L7" i="9"/>
  <c r="L77" i="9"/>
  <c r="K150" i="9"/>
  <c r="K80" i="9"/>
  <c r="K10" i="9"/>
  <c r="O9" i="2"/>
  <c r="K9" i="2"/>
  <c r="E6" i="9"/>
  <c r="V10" i="2"/>
  <c r="O10" i="9" s="1"/>
  <c r="I10" i="9" s="1"/>
  <c r="D5" i="9"/>
  <c r="M9" i="2"/>
  <c r="L9" i="2"/>
  <c r="N9" i="2"/>
  <c r="J9" i="2"/>
  <c r="A136" i="4"/>
  <c r="V134" i="4"/>
  <c r="AM134" i="8" s="1"/>
  <c r="M134" i="4"/>
  <c r="L134" i="4"/>
  <c r="S134" i="4"/>
  <c r="R134" i="4"/>
  <c r="Q134" i="4"/>
  <c r="P134" i="4"/>
  <c r="O134" i="4"/>
  <c r="W134" i="4"/>
  <c r="AN134" i="8" s="1"/>
  <c r="N134" i="4"/>
  <c r="A29" i="8" a="1"/>
  <c r="A29" i="8" s="1"/>
  <c r="AL27" i="8"/>
  <c r="J78" i="9"/>
  <c r="D78" i="9" a="1"/>
  <c r="D78" i="9" s="1"/>
  <c r="F78" i="9" s="1"/>
  <c r="G78" i="9" s="1"/>
  <c r="B78" i="9"/>
  <c r="AL26" i="8"/>
  <c r="A28" i="8" a="1"/>
  <c r="A28" i="8" s="1"/>
  <c r="J148" i="9"/>
  <c r="D148" i="9" a="1"/>
  <c r="D148" i="9" s="1"/>
  <c r="F148" i="9" s="1"/>
  <c r="G148" i="9" s="1"/>
  <c r="B148" i="9"/>
  <c r="Q26" i="4"/>
  <c r="AF26" i="8" s="1"/>
  <c r="I26" i="4"/>
  <c r="P26" i="8" s="1"/>
  <c r="O26" i="4"/>
  <c r="AB26" i="8" s="1"/>
  <c r="F26" i="4"/>
  <c r="J26" i="8" s="1"/>
  <c r="N26" i="4"/>
  <c r="Z26" i="8" s="1"/>
  <c r="E26" i="4"/>
  <c r="H26" i="8" s="1"/>
  <c r="W26" i="4"/>
  <c r="AN26" i="8" s="1"/>
  <c r="M26" i="4"/>
  <c r="X26" i="8" s="1"/>
  <c r="D26" i="4"/>
  <c r="F26" i="8" s="1"/>
  <c r="V26" i="4"/>
  <c r="AM26" i="8" s="1"/>
  <c r="L26" i="4"/>
  <c r="V26" i="8" s="1"/>
  <c r="C26" i="4"/>
  <c r="D26" i="8" s="1"/>
  <c r="A28" i="4" a="1"/>
  <c r="A28" i="4" s="1"/>
  <c r="K26" i="4"/>
  <c r="T26" i="8" s="1"/>
  <c r="B26" i="4"/>
  <c r="B26" i="8" s="1"/>
  <c r="S26" i="4"/>
  <c r="AJ26" i="8" s="1"/>
  <c r="J26" i="4"/>
  <c r="R26" i="8" s="1"/>
  <c r="R26" i="4"/>
  <c r="AH26" i="8" s="1"/>
  <c r="H26" i="4"/>
  <c r="N26" i="8" s="1"/>
  <c r="P26" i="4"/>
  <c r="AD26" i="8" s="1"/>
  <c r="G26" i="4"/>
  <c r="L26" i="8" s="1"/>
  <c r="J74" i="9"/>
  <c r="B7" i="9"/>
  <c r="J4" i="9"/>
  <c r="B25" i="8"/>
  <c r="B24" i="8"/>
  <c r="R27" i="4"/>
  <c r="AH27" i="8" s="1"/>
  <c r="J27" i="4"/>
  <c r="R27" i="8" s="1"/>
  <c r="B27" i="4"/>
  <c r="B27" i="8" s="1"/>
  <c r="A29" i="4" a="1"/>
  <c r="A29" i="4" s="1"/>
  <c r="K27" i="4"/>
  <c r="T27" i="8" s="1"/>
  <c r="S27" i="4"/>
  <c r="AJ27" i="8" s="1"/>
  <c r="I27" i="4"/>
  <c r="P27" i="8" s="1"/>
  <c r="Q27" i="4"/>
  <c r="AF27" i="8" s="1"/>
  <c r="H27" i="4"/>
  <c r="N27" i="8" s="1"/>
  <c r="P27" i="4"/>
  <c r="AD27" i="8" s="1"/>
  <c r="G27" i="4"/>
  <c r="L27" i="8" s="1"/>
  <c r="O27" i="4"/>
  <c r="AB27" i="8" s="1"/>
  <c r="F27" i="4"/>
  <c r="J27" i="8" s="1"/>
  <c r="N27" i="4"/>
  <c r="Z27" i="8" s="1"/>
  <c r="E27" i="4"/>
  <c r="H27" i="8" s="1"/>
  <c r="W27" i="4"/>
  <c r="AN27" i="8" s="1"/>
  <c r="M27" i="4"/>
  <c r="X27" i="8" s="1"/>
  <c r="D27" i="4"/>
  <c r="F27" i="8" s="1"/>
  <c r="V27" i="4"/>
  <c r="AM27" i="8" s="1"/>
  <c r="L27" i="4"/>
  <c r="V27" i="8" s="1"/>
  <c r="C27" i="4"/>
  <c r="D27" i="8" s="1"/>
  <c r="I15" i="2"/>
  <c r="S11" i="2"/>
  <c r="L10" i="2" a="1"/>
  <c r="N10" i="2" a="1"/>
  <c r="R11" i="2"/>
  <c r="K10" i="2" a="1"/>
  <c r="J10" i="2" a="1"/>
  <c r="P11" i="2"/>
  <c r="D6" i="9" a="1"/>
  <c r="Q11" i="2"/>
  <c r="M10" i="2" a="1"/>
  <c r="U11" i="2"/>
  <c r="O10" i="2" a="1"/>
  <c r="T11" i="2"/>
  <c r="N5" i="9" l="1"/>
  <c r="Q5" i="9" s="1"/>
  <c r="P5" i="9" s="1"/>
  <c r="F5" i="9"/>
  <c r="G5" i="9" s="1"/>
  <c r="O80" i="9"/>
  <c r="O150" i="9"/>
  <c r="Q149" i="9"/>
  <c r="H79" i="9"/>
  <c r="H8" i="9"/>
  <c r="Q79" i="9"/>
  <c r="P79" i="9" s="1"/>
  <c r="M79" i="9" a="1"/>
  <c r="M79" i="9" s="1"/>
  <c r="N79" i="9"/>
  <c r="M149" i="9" a="1"/>
  <c r="M149" i="9" s="1"/>
  <c r="N149" i="9"/>
  <c r="L148" i="9"/>
  <c r="L8" i="9"/>
  <c r="L78" i="9"/>
  <c r="K151" i="9"/>
  <c r="K81" i="9"/>
  <c r="K11" i="9"/>
  <c r="O10" i="2"/>
  <c r="M10" i="2"/>
  <c r="D6" i="9"/>
  <c r="J10" i="2"/>
  <c r="K10" i="2"/>
  <c r="L10" i="2"/>
  <c r="V11" i="2"/>
  <c r="O11" i="9" s="1"/>
  <c r="I11" i="9" s="1"/>
  <c r="N10" i="2"/>
  <c r="S28" i="4"/>
  <c r="AJ28" i="8" s="1"/>
  <c r="K28" i="4"/>
  <c r="T28" i="8" s="1"/>
  <c r="C28" i="4"/>
  <c r="D28" i="8" s="1"/>
  <c r="O28" i="4"/>
  <c r="AB28" i="8" s="1"/>
  <c r="F28" i="4"/>
  <c r="J28" i="8" s="1"/>
  <c r="N28" i="4"/>
  <c r="Z28" i="8" s="1"/>
  <c r="E28" i="4"/>
  <c r="H28" i="8" s="1"/>
  <c r="W28" i="4"/>
  <c r="AN28" i="8" s="1"/>
  <c r="M28" i="4"/>
  <c r="X28" i="8" s="1"/>
  <c r="D28" i="4"/>
  <c r="F28" i="8" s="1"/>
  <c r="A30" i="4" a="1"/>
  <c r="A30" i="4" s="1"/>
  <c r="V28" i="4"/>
  <c r="AM28" i="8" s="1"/>
  <c r="L28" i="4"/>
  <c r="V28" i="8" s="1"/>
  <c r="B28" i="4"/>
  <c r="B28" i="8" s="1"/>
  <c r="J28" i="4"/>
  <c r="R28" i="8" s="1"/>
  <c r="R28" i="4"/>
  <c r="AH28" i="8" s="1"/>
  <c r="I28" i="4"/>
  <c r="P28" i="8" s="1"/>
  <c r="Q28" i="4"/>
  <c r="AF28" i="8" s="1"/>
  <c r="H28" i="4"/>
  <c r="N28" i="8" s="1"/>
  <c r="P28" i="4"/>
  <c r="AD28" i="8" s="1"/>
  <c r="G28" i="4"/>
  <c r="L28" i="8" s="1"/>
  <c r="B79" i="9"/>
  <c r="J79" i="9"/>
  <c r="D79" i="9" a="1"/>
  <c r="D79" i="9" s="1"/>
  <c r="F79" i="9" s="1"/>
  <c r="G79" i="9" s="1"/>
  <c r="E79" i="9"/>
  <c r="E149" i="9"/>
  <c r="B149" i="9"/>
  <c r="J149" i="9"/>
  <c r="D149" i="9" a="1"/>
  <c r="D149" i="9" s="1"/>
  <c r="F149" i="9" s="1"/>
  <c r="G149" i="9" s="1"/>
  <c r="J5" i="9"/>
  <c r="Q136" i="4"/>
  <c r="P136" i="4"/>
  <c r="O136" i="4"/>
  <c r="W136" i="4"/>
  <c r="AN136" i="8" s="1"/>
  <c r="N136" i="4"/>
  <c r="A138" i="4"/>
  <c r="V136" i="4"/>
  <c r="AM136" i="8" s="1"/>
  <c r="M136" i="4"/>
  <c r="L136" i="4"/>
  <c r="S136" i="4"/>
  <c r="R136" i="4"/>
  <c r="I16" i="2"/>
  <c r="L29" i="4"/>
  <c r="V29" i="8" s="1"/>
  <c r="D29" i="4"/>
  <c r="F29" i="8" s="1"/>
  <c r="S29" i="4"/>
  <c r="AJ29" i="8" s="1"/>
  <c r="J29" i="4"/>
  <c r="R29" i="8" s="1"/>
  <c r="R29" i="4"/>
  <c r="AH29" i="8" s="1"/>
  <c r="I29" i="4"/>
  <c r="P29" i="8" s="1"/>
  <c r="Q29" i="4"/>
  <c r="AF29" i="8" s="1"/>
  <c r="H29" i="4"/>
  <c r="N29" i="8" s="1"/>
  <c r="P29" i="4"/>
  <c r="AD29" i="8" s="1"/>
  <c r="G29" i="4"/>
  <c r="L29" i="8" s="1"/>
  <c r="O29" i="4"/>
  <c r="AB29" i="8" s="1"/>
  <c r="F29" i="4"/>
  <c r="J29" i="8" s="1"/>
  <c r="W29" i="4"/>
  <c r="AN29" i="8" s="1"/>
  <c r="N29" i="4"/>
  <c r="Z29" i="8" s="1"/>
  <c r="E29" i="4"/>
  <c r="H29" i="8" s="1"/>
  <c r="V29" i="4"/>
  <c r="AM29" i="8" s="1"/>
  <c r="M29" i="4"/>
  <c r="X29" i="8" s="1"/>
  <c r="C29" i="4"/>
  <c r="D29" i="8" s="1"/>
  <c r="A31" i="4" a="1"/>
  <c r="A31" i="4" s="1"/>
  <c r="K29" i="4"/>
  <c r="T29" i="8" s="1"/>
  <c r="B29" i="4"/>
  <c r="B29" i="8" s="1"/>
  <c r="AL28" i="8"/>
  <c r="A30" i="8" a="1"/>
  <c r="A30" i="8" s="1"/>
  <c r="B8" i="9"/>
  <c r="A31" i="8" a="1"/>
  <c r="A31" i="8" s="1"/>
  <c r="AL29" i="8"/>
  <c r="L11" i="2" a="1"/>
  <c r="J11" i="2" a="1"/>
  <c r="N11" i="2" a="1"/>
  <c r="P12" i="2"/>
  <c r="M11" i="2" a="1"/>
  <c r="Q12" i="2"/>
  <c r="S12" i="2"/>
  <c r="O11" i="2" a="1"/>
  <c r="R12" i="2"/>
  <c r="K11" i="2" a="1"/>
  <c r="U12" i="2"/>
  <c r="M8" i="9" a="1"/>
  <c r="T12" i="2"/>
  <c r="N6" i="9" l="1"/>
  <c r="Q6" i="9" s="1"/>
  <c r="P6" i="9" s="1"/>
  <c r="F6" i="9"/>
  <c r="G6" i="9" s="1"/>
  <c r="O81" i="9"/>
  <c r="O151" i="9"/>
  <c r="Q150" i="9"/>
  <c r="E150" i="9"/>
  <c r="H80" i="9"/>
  <c r="E80" i="9" s="1"/>
  <c r="H9" i="9"/>
  <c r="Q80" i="9"/>
  <c r="P80" i="9" s="1"/>
  <c r="M80" i="9" a="1"/>
  <c r="M80" i="9" s="1"/>
  <c r="N80" i="9"/>
  <c r="M150" i="9" a="1"/>
  <c r="M150" i="9" s="1"/>
  <c r="N150" i="9"/>
  <c r="M8" i="9"/>
  <c r="L149" i="9"/>
  <c r="L9" i="9"/>
  <c r="L79" i="9"/>
  <c r="K152" i="9"/>
  <c r="K82" i="9"/>
  <c r="K12" i="9"/>
  <c r="V12" i="2"/>
  <c r="O12" i="9" s="1"/>
  <c r="I12" i="9" s="1"/>
  <c r="J11" i="2"/>
  <c r="K11" i="2"/>
  <c r="O11" i="2"/>
  <c r="M11" i="2"/>
  <c r="N11" i="2"/>
  <c r="E8" i="9"/>
  <c r="L11" i="2"/>
  <c r="A33" i="8" a="1"/>
  <c r="A33" i="8" s="1"/>
  <c r="AL31" i="8"/>
  <c r="AL30" i="8"/>
  <c r="A32" i="8" a="1"/>
  <c r="A32" i="8" s="1"/>
  <c r="I17" i="2"/>
  <c r="J6" i="9"/>
  <c r="W31" i="4"/>
  <c r="AN31" i="8" s="1"/>
  <c r="N31" i="4"/>
  <c r="Z31" i="8" s="1"/>
  <c r="F31" i="4"/>
  <c r="J31" i="8" s="1"/>
  <c r="R31" i="4"/>
  <c r="AH31" i="8" s="1"/>
  <c r="I31" i="4"/>
  <c r="P31" i="8" s="1"/>
  <c r="Q31" i="4"/>
  <c r="AF31" i="8" s="1"/>
  <c r="H31" i="4"/>
  <c r="N31" i="8" s="1"/>
  <c r="P31" i="4"/>
  <c r="AD31" i="8" s="1"/>
  <c r="G31" i="4"/>
  <c r="L31" i="8" s="1"/>
  <c r="O31" i="4"/>
  <c r="AB31" i="8" s="1"/>
  <c r="E31" i="4"/>
  <c r="H31" i="8" s="1"/>
  <c r="M31" i="4"/>
  <c r="X31" i="8" s="1"/>
  <c r="D31" i="4"/>
  <c r="F31" i="8" s="1"/>
  <c r="V31" i="4"/>
  <c r="AM31" i="8" s="1"/>
  <c r="L31" i="4"/>
  <c r="V31" i="8" s="1"/>
  <c r="C31" i="4"/>
  <c r="D31" i="8" s="1"/>
  <c r="K31" i="4"/>
  <c r="T31" i="8" s="1"/>
  <c r="B31" i="4"/>
  <c r="B31" i="8" s="1"/>
  <c r="A33" i="4" a="1"/>
  <c r="A33" i="4" s="1"/>
  <c r="S31" i="4"/>
  <c r="AJ31" i="8" s="1"/>
  <c r="J31" i="4"/>
  <c r="R31" i="8" s="1"/>
  <c r="V30" i="4"/>
  <c r="AM30" i="8" s="1"/>
  <c r="M30" i="4"/>
  <c r="X30" i="8" s="1"/>
  <c r="E30" i="4"/>
  <c r="H30" i="8" s="1"/>
  <c r="N30" i="4"/>
  <c r="Z30" i="8" s="1"/>
  <c r="D30" i="4"/>
  <c r="F30" i="8" s="1"/>
  <c r="W30" i="4"/>
  <c r="AN30" i="8" s="1"/>
  <c r="L30" i="4"/>
  <c r="V30" i="8" s="1"/>
  <c r="C30" i="4"/>
  <c r="D30" i="8" s="1"/>
  <c r="K30" i="4"/>
  <c r="T30" i="8" s="1"/>
  <c r="B30" i="4"/>
  <c r="B30" i="8" s="1"/>
  <c r="A32" i="4" a="1"/>
  <c r="A32" i="4" s="1"/>
  <c r="S30" i="4"/>
  <c r="AJ30" i="8" s="1"/>
  <c r="J30" i="4"/>
  <c r="R30" i="8" s="1"/>
  <c r="R30" i="4"/>
  <c r="AH30" i="8" s="1"/>
  <c r="I30" i="4"/>
  <c r="P30" i="8" s="1"/>
  <c r="Q30" i="4"/>
  <c r="AF30" i="8" s="1"/>
  <c r="H30" i="4"/>
  <c r="N30" i="8" s="1"/>
  <c r="P30" i="4"/>
  <c r="AD30" i="8" s="1"/>
  <c r="G30" i="4"/>
  <c r="L30" i="8" s="1"/>
  <c r="O30" i="4"/>
  <c r="AB30" i="8" s="1"/>
  <c r="F30" i="4"/>
  <c r="J30" i="8" s="1"/>
  <c r="A140" i="4"/>
  <c r="V138" i="4"/>
  <c r="AM138" i="8" s="1"/>
  <c r="M138" i="4"/>
  <c r="L138" i="4"/>
  <c r="S138" i="4"/>
  <c r="R138" i="4"/>
  <c r="Q138" i="4"/>
  <c r="P138" i="4"/>
  <c r="O138" i="4"/>
  <c r="W138" i="4"/>
  <c r="AN138" i="8" s="1"/>
  <c r="N138" i="4"/>
  <c r="E7" i="9"/>
  <c r="J80" i="9"/>
  <c r="D80" i="9" a="1"/>
  <c r="D80" i="9" s="1"/>
  <c r="F80" i="9" s="1"/>
  <c r="G80" i="9" s="1"/>
  <c r="B80" i="9"/>
  <c r="D150" i="9" a="1"/>
  <c r="D150" i="9" s="1"/>
  <c r="F150" i="9" s="1"/>
  <c r="G150" i="9" s="1"/>
  <c r="J150" i="9"/>
  <c r="B150" i="9"/>
  <c r="B9" i="9"/>
  <c r="M9" i="9" a="1"/>
  <c r="O12" i="2" a="1"/>
  <c r="S13" i="2"/>
  <c r="L12" i="2" a="1"/>
  <c r="K12" i="2" a="1"/>
  <c r="T13" i="2"/>
  <c r="P13" i="2"/>
  <c r="J12" i="2" a="1"/>
  <c r="U13" i="2"/>
  <c r="N12" i="2" a="1"/>
  <c r="D8" i="9" a="1"/>
  <c r="D7" i="9" a="1"/>
  <c r="M12" i="2" a="1"/>
  <c r="Q13" i="2"/>
  <c r="R13" i="2"/>
  <c r="O82" i="9" l="1"/>
  <c r="O152" i="9"/>
  <c r="Q151" i="9"/>
  <c r="E151" i="9"/>
  <c r="H81" i="9"/>
  <c r="E81" i="9" s="1"/>
  <c r="H10" i="9"/>
  <c r="Q81" i="9"/>
  <c r="P81" i="9" s="1"/>
  <c r="M81" i="9" a="1"/>
  <c r="M81" i="9" s="1"/>
  <c r="N81" i="9"/>
  <c r="M151" i="9" a="1"/>
  <c r="M151" i="9" s="1"/>
  <c r="N151" i="9"/>
  <c r="M9" i="9"/>
  <c r="L150" i="9"/>
  <c r="M10" i="9" a="1"/>
  <c r="M10" i="9" s="1"/>
  <c r="L10" i="9"/>
  <c r="L80" i="9"/>
  <c r="K153" i="9"/>
  <c r="K83" i="9"/>
  <c r="K13" i="9"/>
  <c r="V13" i="2"/>
  <c r="O13" i="9" s="1"/>
  <c r="I13" i="9" s="1"/>
  <c r="O12" i="2"/>
  <c r="D7" i="9"/>
  <c r="D8" i="9"/>
  <c r="M12" i="2"/>
  <c r="N12" i="2"/>
  <c r="J12" i="2"/>
  <c r="E9" i="9"/>
  <c r="K12" i="2"/>
  <c r="L12" i="2"/>
  <c r="J81" i="9"/>
  <c r="D81" i="9" a="1"/>
  <c r="D81" i="9" s="1"/>
  <c r="F81" i="9" s="1"/>
  <c r="G81" i="9" s="1"/>
  <c r="B81" i="9"/>
  <c r="I18" i="2"/>
  <c r="B10" i="9"/>
  <c r="A35" i="8" a="1"/>
  <c r="A35" i="8" s="1"/>
  <c r="AL33" i="8"/>
  <c r="J151" i="9"/>
  <c r="B151" i="9"/>
  <c r="D151" i="9" a="1"/>
  <c r="D151" i="9" s="1"/>
  <c r="F151" i="9" s="1"/>
  <c r="G151" i="9" s="1"/>
  <c r="A34" i="8" a="1"/>
  <c r="A34" i="8" s="1"/>
  <c r="AL32" i="8"/>
  <c r="Q140" i="4"/>
  <c r="P140" i="4"/>
  <c r="O140" i="4"/>
  <c r="W140" i="4"/>
  <c r="AN140" i="8" s="1"/>
  <c r="N140" i="4"/>
  <c r="A142" i="4"/>
  <c r="V140" i="4"/>
  <c r="AM140" i="8" s="1"/>
  <c r="M140" i="4"/>
  <c r="L140" i="4"/>
  <c r="S140" i="4"/>
  <c r="R140" i="4"/>
  <c r="A34" i="4" a="1"/>
  <c r="A34" i="4" s="1"/>
  <c r="O32" i="4"/>
  <c r="AB32" i="8" s="1"/>
  <c r="G32" i="4"/>
  <c r="L32" i="8" s="1"/>
  <c r="W32" i="4"/>
  <c r="AN32" i="8" s="1"/>
  <c r="M32" i="4"/>
  <c r="X32" i="8" s="1"/>
  <c r="D32" i="4"/>
  <c r="F32" i="8" s="1"/>
  <c r="V32" i="4"/>
  <c r="AM32" i="8" s="1"/>
  <c r="L32" i="4"/>
  <c r="V32" i="8" s="1"/>
  <c r="C32" i="4"/>
  <c r="D32" i="8" s="1"/>
  <c r="K32" i="4"/>
  <c r="T32" i="8" s="1"/>
  <c r="B32" i="4"/>
  <c r="B32" i="8" s="1"/>
  <c r="S32" i="4"/>
  <c r="AJ32" i="8" s="1"/>
  <c r="J32" i="4"/>
  <c r="R32" i="8" s="1"/>
  <c r="R32" i="4"/>
  <c r="AH32" i="8" s="1"/>
  <c r="I32" i="4"/>
  <c r="P32" i="8" s="1"/>
  <c r="Q32" i="4"/>
  <c r="AF32" i="8" s="1"/>
  <c r="H32" i="4"/>
  <c r="N32" i="8" s="1"/>
  <c r="P32" i="4"/>
  <c r="AD32" i="8" s="1"/>
  <c r="F32" i="4"/>
  <c r="J32" i="8" s="1"/>
  <c r="N32" i="4"/>
  <c r="Z32" i="8" s="1"/>
  <c r="E32" i="4"/>
  <c r="H32" i="8" s="1"/>
  <c r="P33" i="4"/>
  <c r="AD33" i="8" s="1"/>
  <c r="H33" i="4"/>
  <c r="N33" i="8" s="1"/>
  <c r="R33" i="4"/>
  <c r="AH33" i="8" s="1"/>
  <c r="I33" i="4"/>
  <c r="P33" i="8" s="1"/>
  <c r="Q33" i="4"/>
  <c r="AF33" i="8" s="1"/>
  <c r="G33" i="4"/>
  <c r="L33" i="8" s="1"/>
  <c r="O33" i="4"/>
  <c r="AB33" i="8" s="1"/>
  <c r="F33" i="4"/>
  <c r="J33" i="8" s="1"/>
  <c r="N33" i="4"/>
  <c r="Z33" i="8" s="1"/>
  <c r="E33" i="4"/>
  <c r="H33" i="8" s="1"/>
  <c r="W33" i="4"/>
  <c r="AN33" i="8" s="1"/>
  <c r="M33" i="4"/>
  <c r="X33" i="8" s="1"/>
  <c r="D33" i="4"/>
  <c r="F33" i="8" s="1"/>
  <c r="V33" i="4"/>
  <c r="AM33" i="8" s="1"/>
  <c r="L33" i="4"/>
  <c r="V33" i="8" s="1"/>
  <c r="C33" i="4"/>
  <c r="D33" i="8" s="1"/>
  <c r="A35" i="4" a="1"/>
  <c r="A35" i="4" s="1"/>
  <c r="K33" i="4"/>
  <c r="T33" i="8" s="1"/>
  <c r="B33" i="4"/>
  <c r="B33" i="8" s="1"/>
  <c r="S33" i="4"/>
  <c r="AJ33" i="8" s="1"/>
  <c r="J33" i="4"/>
  <c r="R33" i="8" s="1"/>
  <c r="Q14" i="2"/>
  <c r="O13" i="2" a="1"/>
  <c r="R14" i="2"/>
  <c r="N13" i="2" a="1"/>
  <c r="L13" i="2" a="1"/>
  <c r="K13" i="2" a="1"/>
  <c r="M13" i="2" a="1"/>
  <c r="T14" i="2"/>
  <c r="J13" i="2" a="1"/>
  <c r="D9" i="9" a="1"/>
  <c r="U14" i="2"/>
  <c r="P14" i="2"/>
  <c r="S14" i="2"/>
  <c r="N7" i="9" l="1"/>
  <c r="Q7" i="9" s="1"/>
  <c r="P7" i="9" s="1"/>
  <c r="F7" i="9"/>
  <c r="G7" i="9" s="1"/>
  <c r="N8" i="9"/>
  <c r="Q8" i="9" s="1"/>
  <c r="P8" i="9" s="1"/>
  <c r="F8" i="9"/>
  <c r="G8" i="9" s="1"/>
  <c r="O83" i="9"/>
  <c r="O153" i="9"/>
  <c r="Q152" i="9"/>
  <c r="H82" i="9"/>
  <c r="H11" i="9"/>
  <c r="Q82" i="9"/>
  <c r="P82" i="9" s="1"/>
  <c r="M82" i="9" a="1"/>
  <c r="M82" i="9" s="1"/>
  <c r="N82" i="9"/>
  <c r="M152" i="9" a="1"/>
  <c r="M152" i="9" s="1"/>
  <c r="N152" i="9"/>
  <c r="L151" i="9"/>
  <c r="L11" i="9"/>
  <c r="L81" i="9"/>
  <c r="K154" i="9"/>
  <c r="K84" i="9"/>
  <c r="K14" i="9"/>
  <c r="N13" i="2"/>
  <c r="O13" i="2"/>
  <c r="J13" i="2"/>
  <c r="K13" i="2"/>
  <c r="L13" i="2"/>
  <c r="V14" i="2"/>
  <c r="O14" i="9" s="1"/>
  <c r="I14" i="9" s="1"/>
  <c r="D9" i="9"/>
  <c r="M13" i="2"/>
  <c r="A144" i="4"/>
  <c r="V142" i="4"/>
  <c r="AM142" i="8" s="1"/>
  <c r="M142" i="4"/>
  <c r="L142" i="4"/>
  <c r="S142" i="4"/>
  <c r="R142" i="4"/>
  <c r="Q142" i="4"/>
  <c r="P142" i="4"/>
  <c r="O142" i="4"/>
  <c r="W142" i="4"/>
  <c r="AN142" i="8" s="1"/>
  <c r="N142" i="4"/>
  <c r="Q34" i="4"/>
  <c r="AF34" i="8" s="1"/>
  <c r="I34" i="4"/>
  <c r="P34" i="8" s="1"/>
  <c r="W34" i="4"/>
  <c r="AN34" i="8" s="1"/>
  <c r="M34" i="4"/>
  <c r="X34" i="8" s="1"/>
  <c r="D34" i="4"/>
  <c r="F34" i="8" s="1"/>
  <c r="V34" i="4"/>
  <c r="AM34" i="8" s="1"/>
  <c r="L34" i="4"/>
  <c r="V34" i="8" s="1"/>
  <c r="C34" i="4"/>
  <c r="D34" i="8" s="1"/>
  <c r="A36" i="4" a="1"/>
  <c r="A36" i="4" s="1"/>
  <c r="K34" i="4"/>
  <c r="T34" i="8" s="1"/>
  <c r="B34" i="4"/>
  <c r="B34" i="8" s="1"/>
  <c r="S34" i="4"/>
  <c r="AJ34" i="8" s="1"/>
  <c r="J34" i="4"/>
  <c r="R34" i="8" s="1"/>
  <c r="R34" i="4"/>
  <c r="AH34" i="8" s="1"/>
  <c r="H34" i="4"/>
  <c r="N34" i="8" s="1"/>
  <c r="P34" i="4"/>
  <c r="AD34" i="8" s="1"/>
  <c r="G34" i="4"/>
  <c r="L34" i="8" s="1"/>
  <c r="O34" i="4"/>
  <c r="AB34" i="8" s="1"/>
  <c r="F34" i="4"/>
  <c r="J34" i="8" s="1"/>
  <c r="N34" i="4"/>
  <c r="Z34" i="8" s="1"/>
  <c r="E34" i="4"/>
  <c r="H34" i="8" s="1"/>
  <c r="B11" i="9"/>
  <c r="A37" i="8" a="1"/>
  <c r="A37" i="8" s="1"/>
  <c r="AL35" i="8"/>
  <c r="I19" i="2"/>
  <c r="J152" i="9"/>
  <c r="D152" i="9" a="1"/>
  <c r="D152" i="9" s="1"/>
  <c r="F152" i="9" s="1"/>
  <c r="G152" i="9" s="1"/>
  <c r="B152" i="9"/>
  <c r="E152" i="9"/>
  <c r="J8" i="9"/>
  <c r="R35" i="4"/>
  <c r="AH35" i="8" s="1"/>
  <c r="J35" i="4"/>
  <c r="R35" i="8" s="1"/>
  <c r="B35" i="4"/>
  <c r="Q35" i="4"/>
  <c r="AF35" i="8" s="1"/>
  <c r="H35" i="4"/>
  <c r="N35" i="8" s="1"/>
  <c r="P35" i="4"/>
  <c r="AD35" i="8" s="1"/>
  <c r="G35" i="4"/>
  <c r="L35" i="8" s="1"/>
  <c r="O35" i="4"/>
  <c r="AB35" i="8" s="1"/>
  <c r="F35" i="4"/>
  <c r="J35" i="8" s="1"/>
  <c r="N35" i="4"/>
  <c r="Z35" i="8" s="1"/>
  <c r="E35" i="4"/>
  <c r="H35" i="8" s="1"/>
  <c r="W35" i="4"/>
  <c r="AN35" i="8" s="1"/>
  <c r="M35" i="4"/>
  <c r="X35" i="8" s="1"/>
  <c r="D35" i="4"/>
  <c r="F35" i="8" s="1"/>
  <c r="V35" i="4"/>
  <c r="AM35" i="8" s="1"/>
  <c r="L35" i="4"/>
  <c r="V35" i="8" s="1"/>
  <c r="C35" i="4"/>
  <c r="D35" i="8" s="1"/>
  <c r="A37" i="4" a="1"/>
  <c r="A37" i="4" s="1"/>
  <c r="K35" i="4"/>
  <c r="T35" i="8" s="1"/>
  <c r="S35" i="4"/>
  <c r="AJ35" i="8" s="1"/>
  <c r="I35" i="4"/>
  <c r="P35" i="8" s="1"/>
  <c r="AL34" i="8"/>
  <c r="A36" i="8" a="1"/>
  <c r="A36" i="8" s="1"/>
  <c r="J7" i="9"/>
  <c r="J82" i="9"/>
  <c r="D82" i="9" a="1"/>
  <c r="D82" i="9" s="1"/>
  <c r="F82" i="9" s="1"/>
  <c r="G82" i="9" s="1"/>
  <c r="E82" i="9"/>
  <c r="B82" i="9"/>
  <c r="M14" i="2" a="1"/>
  <c r="S15" i="2"/>
  <c r="R15" i="2"/>
  <c r="T15" i="2"/>
  <c r="P18" i="2"/>
  <c r="M11" i="9" a="1"/>
  <c r="P15" i="2"/>
  <c r="Q15" i="2"/>
  <c r="K14" i="2" a="1"/>
  <c r="L14" i="2" a="1"/>
  <c r="U18" i="2"/>
  <c r="Q18" i="2"/>
  <c r="T18" i="2"/>
  <c r="N14" i="2" a="1"/>
  <c r="S18" i="2"/>
  <c r="J14" i="2" a="1"/>
  <c r="U15" i="2"/>
  <c r="R18" i="2"/>
  <c r="O14" i="2" a="1"/>
  <c r="N9" i="9" l="1"/>
  <c r="F9" i="9"/>
  <c r="G9" i="9" s="1"/>
  <c r="O84" i="9"/>
  <c r="O154" i="9"/>
  <c r="Q153" i="9"/>
  <c r="H83" i="9"/>
  <c r="H12" i="9"/>
  <c r="Q83" i="9"/>
  <c r="P83" i="9" s="1"/>
  <c r="Q9" i="9"/>
  <c r="P9" i="9" s="1"/>
  <c r="M83" i="9" a="1"/>
  <c r="M83" i="9" s="1"/>
  <c r="N83" i="9"/>
  <c r="M153" i="9" a="1"/>
  <c r="M153" i="9" s="1"/>
  <c r="N153" i="9"/>
  <c r="M11" i="9"/>
  <c r="L152" i="9"/>
  <c r="L12" i="9"/>
  <c r="L82" i="9"/>
  <c r="K158" i="9"/>
  <c r="K155" i="9"/>
  <c r="K88" i="9"/>
  <c r="K85" i="9"/>
  <c r="K18" i="9"/>
  <c r="K15" i="9"/>
  <c r="V18" i="2"/>
  <c r="O18" i="9" s="1"/>
  <c r="I18" i="9" s="1"/>
  <c r="J14" i="2"/>
  <c r="N14" i="2"/>
  <c r="K14" i="2"/>
  <c r="O14" i="2"/>
  <c r="L14" i="2"/>
  <c r="M14" i="2"/>
  <c r="E11" i="9"/>
  <c r="V15" i="2"/>
  <c r="O15" i="9" s="1"/>
  <c r="I15" i="9" s="1"/>
  <c r="A39" i="8" a="1"/>
  <c r="A39" i="8" s="1"/>
  <c r="AL37" i="8"/>
  <c r="E10" i="9"/>
  <c r="S36" i="4"/>
  <c r="AJ36" i="8" s="1"/>
  <c r="K36" i="4"/>
  <c r="T36" i="8" s="1"/>
  <c r="C36" i="4"/>
  <c r="D36" i="8" s="1"/>
  <c r="W36" i="4"/>
  <c r="AN36" i="8" s="1"/>
  <c r="M36" i="4"/>
  <c r="X36" i="8" s="1"/>
  <c r="D36" i="4"/>
  <c r="F36" i="8" s="1"/>
  <c r="A38" i="4" a="1"/>
  <c r="A38" i="4" s="1"/>
  <c r="V36" i="4"/>
  <c r="AM36" i="8" s="1"/>
  <c r="L36" i="4"/>
  <c r="V36" i="8" s="1"/>
  <c r="B36" i="4"/>
  <c r="B36" i="8" s="1"/>
  <c r="J36" i="4"/>
  <c r="R36" i="8" s="1"/>
  <c r="R36" i="4"/>
  <c r="AH36" i="8" s="1"/>
  <c r="I36" i="4"/>
  <c r="P36" i="8" s="1"/>
  <c r="Q36" i="4"/>
  <c r="AF36" i="8" s="1"/>
  <c r="H36" i="4"/>
  <c r="N36" i="8" s="1"/>
  <c r="P36" i="4"/>
  <c r="AD36" i="8" s="1"/>
  <c r="G36" i="4"/>
  <c r="L36" i="8" s="1"/>
  <c r="O36" i="4"/>
  <c r="AB36" i="8" s="1"/>
  <c r="F36" i="4"/>
  <c r="J36" i="8" s="1"/>
  <c r="N36" i="4"/>
  <c r="Z36" i="8" s="1"/>
  <c r="E36" i="4"/>
  <c r="H36" i="8" s="1"/>
  <c r="B12" i="9"/>
  <c r="J83" i="9"/>
  <c r="D83" i="9" a="1"/>
  <c r="D83" i="9" s="1"/>
  <c r="F83" i="9" s="1"/>
  <c r="G83" i="9" s="1"/>
  <c r="E83" i="9"/>
  <c r="B83" i="9"/>
  <c r="I20" i="2"/>
  <c r="L37" i="4"/>
  <c r="V37" i="8" s="1"/>
  <c r="D37" i="4"/>
  <c r="F37" i="8" s="1"/>
  <c r="Q37" i="4"/>
  <c r="AF37" i="8" s="1"/>
  <c r="H37" i="4"/>
  <c r="N37" i="8" s="1"/>
  <c r="P37" i="4"/>
  <c r="AD37" i="8" s="1"/>
  <c r="G37" i="4"/>
  <c r="L37" i="8" s="1"/>
  <c r="O37" i="4"/>
  <c r="AB37" i="8" s="1"/>
  <c r="F37" i="4"/>
  <c r="J37" i="8" s="1"/>
  <c r="W37" i="4"/>
  <c r="AN37" i="8" s="1"/>
  <c r="N37" i="4"/>
  <c r="Z37" i="8" s="1"/>
  <c r="E37" i="4"/>
  <c r="H37" i="8" s="1"/>
  <c r="V37" i="4"/>
  <c r="AM37" i="8" s="1"/>
  <c r="M37" i="4"/>
  <c r="X37" i="8" s="1"/>
  <c r="C37" i="4"/>
  <c r="D37" i="8" s="1"/>
  <c r="A39" i="4" a="1"/>
  <c r="A39" i="4" s="1"/>
  <c r="K37" i="4"/>
  <c r="T37" i="8" s="1"/>
  <c r="B37" i="4"/>
  <c r="B37" i="8" s="1"/>
  <c r="S37" i="4"/>
  <c r="AJ37" i="8" s="1"/>
  <c r="J37" i="4"/>
  <c r="R37" i="8" s="1"/>
  <c r="R37" i="4"/>
  <c r="AH37" i="8" s="1"/>
  <c r="I37" i="4"/>
  <c r="P37" i="8" s="1"/>
  <c r="J153" i="9"/>
  <c r="D153" i="9" a="1"/>
  <c r="D153" i="9" s="1"/>
  <c r="F153" i="9" s="1"/>
  <c r="G153" i="9" s="1"/>
  <c r="B153" i="9"/>
  <c r="E153" i="9"/>
  <c r="AL36" i="8"/>
  <c r="A38" i="8" a="1"/>
  <c r="A38" i="8" s="1"/>
  <c r="Q144" i="4"/>
  <c r="P144" i="4"/>
  <c r="O144" i="4"/>
  <c r="W144" i="4"/>
  <c r="AN144" i="8" s="1"/>
  <c r="N144" i="4"/>
  <c r="V144" i="4"/>
  <c r="AM144" i="8" s="1"/>
  <c r="M144" i="4"/>
  <c r="L144" i="4"/>
  <c r="S144" i="4"/>
  <c r="R144" i="4"/>
  <c r="B35" i="8"/>
  <c r="J9" i="9"/>
  <c r="E2" i="7" a="1"/>
  <c r="S19" i="2"/>
  <c r="Q19" i="2"/>
  <c r="R16" i="2"/>
  <c r="T16" i="2"/>
  <c r="M15" i="2" a="1"/>
  <c r="J18" i="2" a="1"/>
  <c r="D11" i="9" a="1"/>
  <c r="U19" i="2"/>
  <c r="M18" i="2" a="1"/>
  <c r="L15" i="2" a="1"/>
  <c r="K18" i="2" a="1"/>
  <c r="P19" i="2"/>
  <c r="S16" i="2"/>
  <c r="M12" i="9" a="1"/>
  <c r="N18" i="2" a="1"/>
  <c r="O15" i="2" a="1"/>
  <c r="T19" i="2"/>
  <c r="D10" i="9" a="1"/>
  <c r="R19" i="2"/>
  <c r="N15" i="2" a="1"/>
  <c r="J15" i="2" a="1"/>
  <c r="L18" i="2" a="1"/>
  <c r="Q16" i="2"/>
  <c r="U16" i="2"/>
  <c r="O18" i="2" a="1"/>
  <c r="K15" i="2" a="1"/>
  <c r="P16" i="2"/>
  <c r="H1" i="7" a="1"/>
  <c r="E2" i="7" l="1"/>
  <c r="H256" i="9" s="1"/>
  <c r="O85" i="9"/>
  <c r="O155" i="9"/>
  <c r="O88" i="9"/>
  <c r="O158" i="9"/>
  <c r="Q154" i="9"/>
  <c r="H84" i="9"/>
  <c r="E84" i="9" s="1"/>
  <c r="H13" i="9"/>
  <c r="Q84" i="9"/>
  <c r="P84" i="9" s="1"/>
  <c r="M84" i="9" a="1"/>
  <c r="M84" i="9" s="1"/>
  <c r="N84" i="9"/>
  <c r="M154" i="9" a="1"/>
  <c r="M154" i="9" s="1"/>
  <c r="N154" i="9"/>
  <c r="M12" i="9"/>
  <c r="L153" i="9"/>
  <c r="M13" i="9" a="1"/>
  <c r="M13" i="9" s="1"/>
  <c r="L13" i="9"/>
  <c r="L83" i="9"/>
  <c r="K156" i="9"/>
  <c r="K159" i="9"/>
  <c r="K86" i="9"/>
  <c r="K89" i="9"/>
  <c r="K16" i="9"/>
  <c r="K19" i="9"/>
  <c r="L15" i="2"/>
  <c r="M18" i="2"/>
  <c r="V16" i="2"/>
  <c r="O16" i="9" s="1"/>
  <c r="I16" i="9" s="1"/>
  <c r="J15" i="2"/>
  <c r="O15" i="2"/>
  <c r="M15" i="2"/>
  <c r="K15" i="2"/>
  <c r="L18" i="2"/>
  <c r="N15" i="2"/>
  <c r="V19" i="2"/>
  <c r="O19" i="9" s="1"/>
  <c r="I19" i="9" s="1"/>
  <c r="E12" i="9"/>
  <c r="D11" i="9"/>
  <c r="O18" i="2"/>
  <c r="H1" i="7"/>
  <c r="N18" i="2"/>
  <c r="K18" i="2"/>
  <c r="J18" i="2"/>
  <c r="D10" i="9"/>
  <c r="B84" i="9"/>
  <c r="D84" i="9" a="1"/>
  <c r="D84" i="9" s="1"/>
  <c r="F84" i="9" s="1"/>
  <c r="G84" i="9" s="1"/>
  <c r="J84" i="9"/>
  <c r="W39" i="4"/>
  <c r="AN39" i="8" s="1"/>
  <c r="N39" i="4"/>
  <c r="Z39" i="8" s="1"/>
  <c r="F39" i="4"/>
  <c r="J39" i="8" s="1"/>
  <c r="P39" i="4"/>
  <c r="AD39" i="8" s="1"/>
  <c r="G39" i="4"/>
  <c r="L39" i="8" s="1"/>
  <c r="O39" i="4"/>
  <c r="AB39" i="8" s="1"/>
  <c r="E39" i="4"/>
  <c r="H39" i="8" s="1"/>
  <c r="M39" i="4"/>
  <c r="X39" i="8" s="1"/>
  <c r="D39" i="4"/>
  <c r="F39" i="8" s="1"/>
  <c r="V39" i="4"/>
  <c r="AM39" i="8" s="1"/>
  <c r="L39" i="4"/>
  <c r="V39" i="8" s="1"/>
  <c r="C39" i="4"/>
  <c r="D39" i="8" s="1"/>
  <c r="K39" i="4"/>
  <c r="T39" i="8" s="1"/>
  <c r="B39" i="4"/>
  <c r="B39" i="8" s="1"/>
  <c r="S39" i="4"/>
  <c r="AJ39" i="8" s="1"/>
  <c r="J39" i="4"/>
  <c r="R39" i="8" s="1"/>
  <c r="R39" i="4"/>
  <c r="AH39" i="8" s="1"/>
  <c r="I39" i="4"/>
  <c r="P39" i="8" s="1"/>
  <c r="Q39" i="4"/>
  <c r="AF39" i="8" s="1"/>
  <c r="H39" i="4"/>
  <c r="N39" i="8" s="1"/>
  <c r="J154" i="9"/>
  <c r="D154" i="9" a="1"/>
  <c r="D154" i="9" s="1"/>
  <c r="F154" i="9" s="1"/>
  <c r="G154" i="9" s="1"/>
  <c r="B154" i="9"/>
  <c r="E154" i="9"/>
  <c r="AL38" i="8"/>
  <c r="A40" i="8" a="1"/>
  <c r="A40" i="8" s="1"/>
  <c r="I21" i="2"/>
  <c r="A41" i="8" a="1"/>
  <c r="A41" i="8" s="1"/>
  <c r="AL39" i="8"/>
  <c r="V38" i="4"/>
  <c r="AM38" i="8" s="1"/>
  <c r="M38" i="4"/>
  <c r="X38" i="8" s="1"/>
  <c r="E38" i="4"/>
  <c r="H38" i="8" s="1"/>
  <c r="K38" i="4"/>
  <c r="T38" i="8" s="1"/>
  <c r="B38" i="4"/>
  <c r="S38" i="4"/>
  <c r="AJ38" i="8" s="1"/>
  <c r="J38" i="4"/>
  <c r="R38" i="8" s="1"/>
  <c r="R38" i="4"/>
  <c r="AH38" i="8" s="1"/>
  <c r="I38" i="4"/>
  <c r="P38" i="8" s="1"/>
  <c r="Q38" i="4"/>
  <c r="AF38" i="8" s="1"/>
  <c r="H38" i="4"/>
  <c r="N38" i="8" s="1"/>
  <c r="P38" i="4"/>
  <c r="AD38" i="8" s="1"/>
  <c r="G38" i="4"/>
  <c r="L38" i="8" s="1"/>
  <c r="O38" i="4"/>
  <c r="AB38" i="8" s="1"/>
  <c r="F38" i="4"/>
  <c r="J38" i="8" s="1"/>
  <c r="N38" i="4"/>
  <c r="Z38" i="8" s="1"/>
  <c r="D38" i="4"/>
  <c r="F38" i="8" s="1"/>
  <c r="W38" i="4"/>
  <c r="AN38" i="8" s="1"/>
  <c r="L38" i="4"/>
  <c r="V38" i="8" s="1"/>
  <c r="C38" i="4"/>
  <c r="D38" i="8" s="1"/>
  <c r="B13" i="9"/>
  <c r="F8" i="7" a="1"/>
  <c r="E7" i="7" a="1"/>
  <c r="K16" i="2" a="1"/>
  <c r="R20" i="2"/>
  <c r="O19" i="2" a="1"/>
  <c r="J16" i="2" a="1"/>
  <c r="E1" i="7" a="1"/>
  <c r="Q20" i="2"/>
  <c r="N16" i="2" a="1"/>
  <c r="L16" i="2" a="1"/>
  <c r="T20" i="2"/>
  <c r="H2" i="7" a="1"/>
  <c r="O16" i="2" a="1"/>
  <c r="P20" i="2"/>
  <c r="J19" i="2" a="1"/>
  <c r="Q17" i="2"/>
  <c r="B3" i="7" a="1"/>
  <c r="U17" i="2"/>
  <c r="R17" i="2"/>
  <c r="L19" i="2" a="1"/>
  <c r="T17" i="2"/>
  <c r="P17" i="2"/>
  <c r="M19" i="2" a="1"/>
  <c r="S20" i="2"/>
  <c r="S17" i="2"/>
  <c r="N19" i="2" a="1"/>
  <c r="M16" i="2" a="1"/>
  <c r="K19" i="2" a="1"/>
  <c r="U20" i="2"/>
  <c r="D12" i="9" a="1"/>
  <c r="N11" i="9" l="1"/>
  <c r="Q11" i="9" s="1"/>
  <c r="P11" i="9" s="1"/>
  <c r="F11" i="9"/>
  <c r="G11" i="9" s="1"/>
  <c r="N10" i="9"/>
  <c r="Q10" i="9" s="1"/>
  <c r="P10" i="9" s="1"/>
  <c r="F10" i="9"/>
  <c r="G10" i="9" s="1"/>
  <c r="O86" i="9"/>
  <c r="O156" i="9"/>
  <c r="O89" i="9"/>
  <c r="O159" i="9"/>
  <c r="B3" i="7"/>
  <c r="E3" i="7" s="1"/>
  <c r="H211" i="9" s="1"/>
  <c r="H2" i="7"/>
  <c r="D256" i="9" s="1"/>
  <c r="E1" i="7"/>
  <c r="C9" i="5" s="1"/>
  <c r="E7" i="7"/>
  <c r="A7" i="7" s="1"/>
  <c r="F8" i="7"/>
  <c r="A8" i="7" s="1"/>
  <c r="Q158" i="9"/>
  <c r="E158" i="9"/>
  <c r="Q155" i="9"/>
  <c r="E155" i="9"/>
  <c r="H85" i="9"/>
  <c r="H88" i="9"/>
  <c r="E88" i="9" s="1"/>
  <c r="H14" i="9"/>
  <c r="Q88" i="9"/>
  <c r="P88" i="9" s="1"/>
  <c r="Q85" i="9"/>
  <c r="P85" i="9" s="1"/>
  <c r="M85" i="9" a="1"/>
  <c r="M85" i="9" s="1"/>
  <c r="N85" i="9"/>
  <c r="M155" i="9" a="1"/>
  <c r="M155" i="9" s="1"/>
  <c r="N155" i="9"/>
  <c r="M88" i="9" a="1"/>
  <c r="M88" i="9" s="1"/>
  <c r="N88" i="9"/>
  <c r="M158" i="9" a="1"/>
  <c r="M158" i="9" s="1"/>
  <c r="N158" i="9"/>
  <c r="L154" i="9"/>
  <c r="L14" i="9"/>
  <c r="L84" i="9"/>
  <c r="K157" i="9"/>
  <c r="K160" i="9"/>
  <c r="K87" i="9"/>
  <c r="K90" i="9"/>
  <c r="K17" i="9"/>
  <c r="K20" i="9"/>
  <c r="J16" i="2"/>
  <c r="D12" i="9"/>
  <c r="M19" i="2"/>
  <c r="L19" i="2"/>
  <c r="J19" i="2"/>
  <c r="L16" i="2"/>
  <c r="O19" i="2"/>
  <c r="M16" i="2"/>
  <c r="V17" i="2"/>
  <c r="O17" i="9" s="1"/>
  <c r="I17" i="9" s="1"/>
  <c r="V20" i="2"/>
  <c r="O20" i="9" s="1"/>
  <c r="I20" i="9" s="1"/>
  <c r="N16" i="2"/>
  <c r="K19" i="2"/>
  <c r="N19" i="2"/>
  <c r="O16" i="2"/>
  <c r="K16" i="2"/>
  <c r="J10" i="9"/>
  <c r="J11" i="9"/>
  <c r="B14" i="9"/>
  <c r="B158" i="9"/>
  <c r="J158" i="9"/>
  <c r="D158" i="9" a="1"/>
  <c r="D158" i="9" s="1"/>
  <c r="F158" i="9" s="1"/>
  <c r="G158" i="9" s="1"/>
  <c r="AH40" i="8"/>
  <c r="R40" i="8"/>
  <c r="B40" i="8"/>
  <c r="AD40" i="8"/>
  <c r="N40" i="8"/>
  <c r="A42" i="8" a="1"/>
  <c r="A42" i="8" s="1"/>
  <c r="AB40" i="8"/>
  <c r="L40" i="8"/>
  <c r="Z40" i="8"/>
  <c r="J40" i="8"/>
  <c r="X40" i="8"/>
  <c r="H40" i="8"/>
  <c r="AL40" i="8"/>
  <c r="V40" i="8"/>
  <c r="F40" i="8"/>
  <c r="AJ40" i="8"/>
  <c r="T40" i="8"/>
  <c r="D40" i="8"/>
  <c r="AF40" i="8"/>
  <c r="P40" i="8"/>
  <c r="J88" i="9"/>
  <c r="D88" i="9" a="1"/>
  <c r="D88" i="9" s="1"/>
  <c r="F88" i="9" s="1"/>
  <c r="G88" i="9" s="1"/>
  <c r="B88" i="9"/>
  <c r="J155" i="9"/>
  <c r="D155" i="9" a="1"/>
  <c r="D155" i="9" s="1"/>
  <c r="F155" i="9" s="1"/>
  <c r="G155" i="9" s="1"/>
  <c r="B155" i="9"/>
  <c r="AJ41" i="8"/>
  <c r="T41" i="8"/>
  <c r="D41" i="8"/>
  <c r="AF41" i="8"/>
  <c r="P41" i="8"/>
  <c r="AD41" i="8"/>
  <c r="N41" i="8"/>
  <c r="A43" i="8" a="1"/>
  <c r="A43" i="8" s="1"/>
  <c r="AB41" i="8"/>
  <c r="L41" i="8"/>
  <c r="Z41" i="8"/>
  <c r="J41" i="8"/>
  <c r="X41" i="8"/>
  <c r="H41" i="8"/>
  <c r="AL41" i="8"/>
  <c r="V41" i="8"/>
  <c r="F41" i="8"/>
  <c r="AH41" i="8"/>
  <c r="R41" i="8"/>
  <c r="B41" i="8"/>
  <c r="I22" i="2"/>
  <c r="B38" i="8"/>
  <c r="D255" i="9"/>
  <c r="G1" i="7"/>
  <c r="J255" i="9" s="1"/>
  <c r="E85" i="9"/>
  <c r="B85" i="9"/>
  <c r="J85" i="9"/>
  <c r="D85" i="9" a="1"/>
  <c r="D85" i="9" s="1"/>
  <c r="F85" i="9" s="1"/>
  <c r="G85" i="9" s="1"/>
  <c r="S21" i="2"/>
  <c r="J20" i="2" a="1"/>
  <c r="M17" i="2" a="1"/>
  <c r="L20" i="2" a="1"/>
  <c r="P21" i="2"/>
  <c r="M20" i="2" a="1"/>
  <c r="K17" i="2" a="1"/>
  <c r="N17" i="2" a="1"/>
  <c r="N20" i="2" a="1"/>
  <c r="L17" i="2" a="1"/>
  <c r="T21" i="2"/>
  <c r="M14" i="9" a="1"/>
  <c r="Q21" i="2"/>
  <c r="U21" i="2"/>
  <c r="R21" i="2"/>
  <c r="O20" i="2" a="1"/>
  <c r="J17" i="2" a="1"/>
  <c r="O17" i="2" a="1"/>
  <c r="K20" i="2" a="1"/>
  <c r="N12" i="9" l="1"/>
  <c r="Q12" i="9" s="1"/>
  <c r="P12" i="9" s="1"/>
  <c r="F12" i="9"/>
  <c r="G12" i="9" s="1"/>
  <c r="E4" i="7"/>
  <c r="H212" i="9" s="1"/>
  <c r="O90" i="9"/>
  <c r="O160" i="9"/>
  <c r="O87" i="9"/>
  <c r="O157" i="9"/>
  <c r="G2" i="7"/>
  <c r="J256" i="9" s="1"/>
  <c r="H255" i="9"/>
  <c r="H257" i="9"/>
  <c r="I258" i="9"/>
  <c r="Q159" i="9"/>
  <c r="Q156" i="9"/>
  <c r="E156" i="9"/>
  <c r="H86" i="9"/>
  <c r="E86" i="9" s="1"/>
  <c r="H89" i="9"/>
  <c r="E89" i="9" s="1"/>
  <c r="H18" i="9"/>
  <c r="H15" i="9"/>
  <c r="Q86" i="9"/>
  <c r="P86" i="9" s="1"/>
  <c r="Q89" i="9"/>
  <c r="P89" i="9" s="1"/>
  <c r="M156" i="9" a="1"/>
  <c r="M156" i="9" s="1"/>
  <c r="N156" i="9"/>
  <c r="M86" i="9" a="1"/>
  <c r="M86" i="9" s="1"/>
  <c r="N86" i="9"/>
  <c r="M89" i="9" a="1"/>
  <c r="M89" i="9" s="1"/>
  <c r="N89" i="9"/>
  <c r="M159" i="9" a="1"/>
  <c r="M159" i="9" s="1"/>
  <c r="N159" i="9"/>
  <c r="M14" i="9"/>
  <c r="L158" i="9"/>
  <c r="L155" i="9"/>
  <c r="L15" i="9"/>
  <c r="L85" i="9"/>
  <c r="L18" i="9"/>
  <c r="L88" i="9"/>
  <c r="K161" i="9"/>
  <c r="K91" i="9"/>
  <c r="K21" i="9"/>
  <c r="V21" i="2"/>
  <c r="O21" i="9" s="1"/>
  <c r="I21" i="9" s="1"/>
  <c r="L17" i="2"/>
  <c r="E14" i="9"/>
  <c r="K20" i="2"/>
  <c r="J17" i="2"/>
  <c r="K17" i="2"/>
  <c r="L20" i="2"/>
  <c r="N20" i="2"/>
  <c r="O17" i="2"/>
  <c r="O20" i="2"/>
  <c r="N17" i="2"/>
  <c r="M20" i="2"/>
  <c r="M17" i="2"/>
  <c r="J20" i="2"/>
  <c r="J1" i="7"/>
  <c r="X43" i="8"/>
  <c r="H43" i="8"/>
  <c r="AJ43" i="8"/>
  <c r="T43" i="8"/>
  <c r="D43" i="8"/>
  <c r="AH43" i="8"/>
  <c r="R43" i="8"/>
  <c r="B43" i="8"/>
  <c r="AF43" i="8"/>
  <c r="P43" i="8"/>
  <c r="AD43" i="8"/>
  <c r="N43" i="8"/>
  <c r="A45" i="8" a="1"/>
  <c r="A45" i="8" s="1"/>
  <c r="AB43" i="8"/>
  <c r="L43" i="8"/>
  <c r="Z43" i="8"/>
  <c r="J43" i="8"/>
  <c r="AL43" i="8"/>
  <c r="V43" i="8"/>
  <c r="F43" i="8"/>
  <c r="J89" i="9"/>
  <c r="D89" i="9" a="1"/>
  <c r="D89" i="9" s="1"/>
  <c r="F89" i="9" s="1"/>
  <c r="G89" i="9" s="1"/>
  <c r="B89" i="9"/>
  <c r="C257" i="9"/>
  <c r="Q257" i="9" s="1"/>
  <c r="P257" i="9" s="1"/>
  <c r="H7" i="7" a="1"/>
  <c r="H7" i="7" s="1"/>
  <c r="D257" i="9" s="1"/>
  <c r="G7" i="7"/>
  <c r="J159" i="9"/>
  <c r="D159" i="9" a="1"/>
  <c r="D159" i="9" s="1"/>
  <c r="F159" i="9" s="1"/>
  <c r="G159" i="9" s="1"/>
  <c r="B159" i="9"/>
  <c r="E159" i="9"/>
  <c r="B86" i="9"/>
  <c r="J86" i="9"/>
  <c r="D86" i="9" a="1"/>
  <c r="D86" i="9" s="1"/>
  <c r="F86" i="9" s="1"/>
  <c r="G86" i="9" s="1"/>
  <c r="B15" i="9"/>
  <c r="E13" i="9"/>
  <c r="C258" i="9"/>
  <c r="Q258" i="9" s="1"/>
  <c r="P258" i="9" s="1"/>
  <c r="H8" i="7" a="1"/>
  <c r="H8" i="7" s="1"/>
  <c r="D258" i="9" s="1"/>
  <c r="G8" i="7"/>
  <c r="B156" i="9"/>
  <c r="D156" i="9" a="1"/>
  <c r="D156" i="9" s="1"/>
  <c r="F156" i="9" s="1"/>
  <c r="G156" i="9" s="1"/>
  <c r="J156" i="9"/>
  <c r="AL42" i="8"/>
  <c r="V42" i="8"/>
  <c r="F42" i="8"/>
  <c r="AH42" i="8"/>
  <c r="R42" i="8"/>
  <c r="B42" i="8"/>
  <c r="AF42" i="8"/>
  <c r="P42" i="8"/>
  <c r="AD42" i="8"/>
  <c r="N42" i="8"/>
  <c r="A44" i="8" a="1"/>
  <c r="A44" i="8" s="1"/>
  <c r="AB42" i="8"/>
  <c r="L42" i="8"/>
  <c r="Z42" i="8"/>
  <c r="J42" i="8"/>
  <c r="X42" i="8"/>
  <c r="H42" i="8"/>
  <c r="T42" i="8"/>
  <c r="D42" i="8"/>
  <c r="AJ42" i="8"/>
  <c r="J12" i="9"/>
  <c r="I23" i="2"/>
  <c r="J21" i="2" a="1"/>
  <c r="N21" i="2" a="1"/>
  <c r="D14" i="9" a="1"/>
  <c r="O21" i="2" a="1"/>
  <c r="Q22" i="2"/>
  <c r="P22" i="2"/>
  <c r="R22" i="2"/>
  <c r="M15" i="9" a="1"/>
  <c r="S22" i="2"/>
  <c r="M18" i="9" a="1"/>
  <c r="K21" i="2" a="1"/>
  <c r="D13" i="9" a="1"/>
  <c r="T22" i="2"/>
  <c r="M21" i="2" a="1"/>
  <c r="U22" i="2"/>
  <c r="L21" i="2" a="1"/>
  <c r="J2" i="7" l="1"/>
  <c r="O91" i="9"/>
  <c r="O161" i="9"/>
  <c r="Q157" i="9"/>
  <c r="Q160" i="9"/>
  <c r="E160" i="9"/>
  <c r="H90" i="9"/>
  <c r="E90" i="9" s="1"/>
  <c r="H87" i="9"/>
  <c r="E87" i="9" s="1"/>
  <c r="H16" i="9"/>
  <c r="H19" i="9"/>
  <c r="Q90" i="9"/>
  <c r="P90" i="9" s="1"/>
  <c r="Q87" i="9"/>
  <c r="P87" i="9" s="1"/>
  <c r="V22" i="2"/>
  <c r="O22" i="9" s="1"/>
  <c r="I22" i="9" s="1"/>
  <c r="M87" i="9" a="1"/>
  <c r="M87" i="9" s="1"/>
  <c r="N87" i="9"/>
  <c r="M157" i="9" a="1"/>
  <c r="M157" i="9" s="1"/>
  <c r="N157" i="9"/>
  <c r="M90" i="9" a="1"/>
  <c r="M90" i="9" s="1"/>
  <c r="N90" i="9"/>
  <c r="M160" i="9" a="1"/>
  <c r="M160" i="9" s="1"/>
  <c r="N160" i="9"/>
  <c r="M18" i="9"/>
  <c r="M15" i="9"/>
  <c r="L159" i="9"/>
  <c r="L156" i="9"/>
  <c r="L16" i="9"/>
  <c r="L86" i="9"/>
  <c r="L19" i="9"/>
  <c r="L89" i="9"/>
  <c r="K162" i="9"/>
  <c r="K92" i="9"/>
  <c r="K22" i="9"/>
  <c r="E18" i="9"/>
  <c r="M21" i="2"/>
  <c r="E15" i="9"/>
  <c r="D14" i="9"/>
  <c r="D13" i="9"/>
  <c r="K21" i="2"/>
  <c r="O21" i="2"/>
  <c r="N21" i="2"/>
  <c r="J21" i="2"/>
  <c r="L21" i="2"/>
  <c r="J258" i="9"/>
  <c r="J8" i="7"/>
  <c r="A47" i="8" a="1"/>
  <c r="A47" i="8" s="1"/>
  <c r="AB45" i="8"/>
  <c r="L45" i="8"/>
  <c r="X45" i="8"/>
  <c r="H45" i="8"/>
  <c r="AL45" i="8"/>
  <c r="V45" i="8"/>
  <c r="F45" i="8"/>
  <c r="AJ45" i="8"/>
  <c r="T45" i="8"/>
  <c r="D45" i="8"/>
  <c r="AH45" i="8"/>
  <c r="R45" i="8"/>
  <c r="B45" i="8"/>
  <c r="AF45" i="8"/>
  <c r="P45" i="8"/>
  <c r="AD45" i="8"/>
  <c r="N45" i="8"/>
  <c r="J45" i="8"/>
  <c r="Z45" i="8"/>
  <c r="Z44" i="8"/>
  <c r="J44" i="8"/>
  <c r="AL44" i="8"/>
  <c r="V44" i="8"/>
  <c r="F44" i="8"/>
  <c r="AJ44" i="8"/>
  <c r="T44" i="8"/>
  <c r="D44" i="8"/>
  <c r="AH44" i="8"/>
  <c r="R44" i="8"/>
  <c r="B44" i="8"/>
  <c r="AF44" i="8"/>
  <c r="P44" i="8"/>
  <c r="AD44" i="8"/>
  <c r="N44" i="8"/>
  <c r="A46" i="8" a="1"/>
  <c r="A46" i="8" s="1"/>
  <c r="AB44" i="8"/>
  <c r="L44" i="8"/>
  <c r="X44" i="8"/>
  <c r="H44" i="8"/>
  <c r="J257" i="9"/>
  <c r="J7" i="7"/>
  <c r="J90" i="9"/>
  <c r="D90" i="9" a="1"/>
  <c r="D90" i="9" s="1"/>
  <c r="F90" i="9" s="1"/>
  <c r="G90" i="9" s="1"/>
  <c r="B90" i="9"/>
  <c r="B87" i="9"/>
  <c r="J87" i="9"/>
  <c r="D87" i="9" a="1"/>
  <c r="D87" i="9" s="1"/>
  <c r="F87" i="9" s="1"/>
  <c r="G87" i="9" s="1"/>
  <c r="I24" i="2"/>
  <c r="J160" i="9"/>
  <c r="D160" i="9" a="1"/>
  <c r="D160" i="9" s="1"/>
  <c r="F160" i="9" s="1"/>
  <c r="G160" i="9" s="1"/>
  <c r="B160" i="9"/>
  <c r="E157" i="9"/>
  <c r="B157" i="9"/>
  <c r="J157" i="9"/>
  <c r="D157" i="9" a="1"/>
  <c r="D157" i="9" s="1"/>
  <c r="F157" i="9" s="1"/>
  <c r="G157" i="9" s="1"/>
  <c r="B16" i="9"/>
  <c r="B19" i="9"/>
  <c r="Q23" i="2"/>
  <c r="M22" i="2" a="1"/>
  <c r="L22" i="2" a="1"/>
  <c r="U23" i="2"/>
  <c r="T23" i="2"/>
  <c r="O22" i="2" a="1"/>
  <c r="M16" i="9" a="1"/>
  <c r="N22" i="2" a="1"/>
  <c r="K22" i="2" a="1"/>
  <c r="R23" i="2"/>
  <c r="M19" i="9" a="1"/>
  <c r="D18" i="9" a="1"/>
  <c r="P23" i="2"/>
  <c r="D15" i="9" a="1"/>
  <c r="J22" i="2" a="1"/>
  <c r="S23" i="2"/>
  <c r="N13" i="9" l="1"/>
  <c r="F13" i="9"/>
  <c r="G13" i="9" s="1"/>
  <c r="N14" i="9"/>
  <c r="Q14" i="9" s="1"/>
  <c r="P14" i="9" s="1"/>
  <c r="F14" i="9"/>
  <c r="G14" i="9" s="1"/>
  <c r="O92" i="9"/>
  <c r="O162" i="9"/>
  <c r="Q161" i="9"/>
  <c r="H91" i="9"/>
  <c r="E91" i="9" s="1"/>
  <c r="H17" i="9"/>
  <c r="H20" i="9"/>
  <c r="Q91" i="9"/>
  <c r="P91" i="9" s="1"/>
  <c r="Q13" i="9"/>
  <c r="P13" i="9" s="1"/>
  <c r="M19" i="9"/>
  <c r="M91" i="9" a="1"/>
  <c r="M91" i="9" s="1"/>
  <c r="N91" i="9"/>
  <c r="M161" i="9" a="1"/>
  <c r="M161" i="9" s="1"/>
  <c r="N161" i="9"/>
  <c r="L160" i="9"/>
  <c r="M20" i="9" a="1"/>
  <c r="M20" i="9" s="1"/>
  <c r="M16" i="9"/>
  <c r="L157" i="9"/>
  <c r="M17" i="9" a="1"/>
  <c r="M17" i="9" s="1"/>
  <c r="L20" i="9"/>
  <c r="L90" i="9"/>
  <c r="L17" i="9"/>
  <c r="L87" i="9"/>
  <c r="K163" i="9"/>
  <c r="K93" i="9"/>
  <c r="K23" i="9"/>
  <c r="M22" i="2"/>
  <c r="J22" i="2"/>
  <c r="D15" i="9"/>
  <c r="V23" i="2"/>
  <c r="O23" i="9" s="1"/>
  <c r="I23" i="9" s="1"/>
  <c r="N22" i="2"/>
  <c r="O22" i="2"/>
  <c r="E19" i="9"/>
  <c r="L22" i="2"/>
  <c r="E16" i="9"/>
  <c r="K22" i="2"/>
  <c r="D18" i="9"/>
  <c r="I25" i="2"/>
  <c r="AD46" i="8"/>
  <c r="N46" i="8"/>
  <c r="Z46" i="8"/>
  <c r="J46" i="8"/>
  <c r="X46" i="8"/>
  <c r="H46" i="8"/>
  <c r="AL46" i="8"/>
  <c r="V46" i="8"/>
  <c r="F46" i="8"/>
  <c r="AJ46" i="8"/>
  <c r="T46" i="8"/>
  <c r="D46" i="8"/>
  <c r="AH46" i="8"/>
  <c r="R46" i="8"/>
  <c r="B46" i="8"/>
  <c r="AF46" i="8"/>
  <c r="P46" i="8"/>
  <c r="A48" i="8" a="1"/>
  <c r="A48" i="8" s="1"/>
  <c r="AB46" i="8"/>
  <c r="L46" i="8"/>
  <c r="B17" i="9"/>
  <c r="B18" i="9"/>
  <c r="J13" i="9"/>
  <c r="AF47" i="8"/>
  <c r="P47" i="8"/>
  <c r="A49" i="8" a="1"/>
  <c r="A49" i="8" s="1"/>
  <c r="AB47" i="8"/>
  <c r="L47" i="8"/>
  <c r="Z47" i="8"/>
  <c r="J47" i="8"/>
  <c r="X47" i="8"/>
  <c r="H47" i="8"/>
  <c r="AL47" i="8"/>
  <c r="V47" i="8"/>
  <c r="F47" i="8"/>
  <c r="AJ47" i="8"/>
  <c r="T47" i="8"/>
  <c r="D47" i="8"/>
  <c r="AH47" i="8"/>
  <c r="R47" i="8"/>
  <c r="B47" i="8"/>
  <c r="AD47" i="8"/>
  <c r="N47" i="8"/>
  <c r="J91" i="9"/>
  <c r="D91" i="9" a="1"/>
  <c r="D91" i="9" s="1"/>
  <c r="F91" i="9" s="1"/>
  <c r="G91" i="9" s="1"/>
  <c r="B91" i="9"/>
  <c r="J161" i="9"/>
  <c r="D161" i="9" a="1"/>
  <c r="D161" i="9" s="1"/>
  <c r="F161" i="9" s="1"/>
  <c r="G161" i="9" s="1"/>
  <c r="B161" i="9"/>
  <c r="E161" i="9"/>
  <c r="J14" i="9"/>
  <c r="B20" i="9"/>
  <c r="K23" i="2" a="1"/>
  <c r="P24" i="2"/>
  <c r="L23" i="2" a="1"/>
  <c r="D19" i="9" a="1"/>
  <c r="S24" i="2"/>
  <c r="M23" i="2" a="1"/>
  <c r="U24" i="2"/>
  <c r="J23" i="2" a="1"/>
  <c r="O23" i="2" a="1"/>
  <c r="D16" i="9" a="1"/>
  <c r="R24" i="2"/>
  <c r="N23" i="2" a="1"/>
  <c r="Q24" i="2"/>
  <c r="T24" i="2"/>
  <c r="N18" i="9" l="1"/>
  <c r="Q18" i="9" s="1"/>
  <c r="P18" i="9" s="1"/>
  <c r="F18" i="9"/>
  <c r="G18" i="9" s="1"/>
  <c r="N15" i="9"/>
  <c r="Q15" i="9" s="1"/>
  <c r="P15" i="9" s="1"/>
  <c r="F15" i="9"/>
  <c r="G15" i="9" s="1"/>
  <c r="O93" i="9"/>
  <c r="O163" i="9"/>
  <c r="Q162" i="9"/>
  <c r="H92" i="9"/>
  <c r="H21" i="9"/>
  <c r="E92" i="9"/>
  <c r="Q92" i="9"/>
  <c r="P92" i="9" s="1"/>
  <c r="M162" i="9" a="1"/>
  <c r="M162" i="9" s="1"/>
  <c r="N162" i="9"/>
  <c r="M92" i="9" a="1"/>
  <c r="M92" i="9" s="1"/>
  <c r="N92" i="9"/>
  <c r="L161" i="9"/>
  <c r="L21" i="9"/>
  <c r="L91" i="9"/>
  <c r="K164" i="9"/>
  <c r="K94" i="9"/>
  <c r="K24" i="9"/>
  <c r="D19" i="9"/>
  <c r="N23" i="2"/>
  <c r="L23" i="2"/>
  <c r="V24" i="2"/>
  <c r="O24" i="9" s="1"/>
  <c r="I24" i="9" s="1"/>
  <c r="D16" i="9"/>
  <c r="K23" i="2"/>
  <c r="O23" i="2"/>
  <c r="J23" i="2"/>
  <c r="M23" i="2"/>
  <c r="B92" i="9"/>
  <c r="D92" i="9" a="1"/>
  <c r="D92" i="9" s="1"/>
  <c r="F92" i="9" s="1"/>
  <c r="G92" i="9" s="1"/>
  <c r="J92" i="9"/>
  <c r="J15" i="9"/>
  <c r="J162" i="9"/>
  <c r="D162" i="9" a="1"/>
  <c r="D162" i="9" s="1"/>
  <c r="F162" i="9" s="1"/>
  <c r="G162" i="9" s="1"/>
  <c r="E162" i="9"/>
  <c r="B162" i="9"/>
  <c r="J18" i="9"/>
  <c r="AJ49" i="8"/>
  <c r="T49" i="8"/>
  <c r="D49" i="8"/>
  <c r="AF49" i="8"/>
  <c r="P49" i="8"/>
  <c r="AD49" i="8"/>
  <c r="N49" i="8"/>
  <c r="A51" i="8" a="1"/>
  <c r="A51" i="8" s="1"/>
  <c r="AB49" i="8"/>
  <c r="L49" i="8"/>
  <c r="Z49" i="8"/>
  <c r="J49" i="8"/>
  <c r="X49" i="8"/>
  <c r="H49" i="8"/>
  <c r="AL49" i="8"/>
  <c r="V49" i="8"/>
  <c r="F49" i="8"/>
  <c r="AH49" i="8"/>
  <c r="R49" i="8"/>
  <c r="B49" i="8"/>
  <c r="I26" i="2"/>
  <c r="AH48" i="8"/>
  <c r="R48" i="8"/>
  <c r="B48" i="8"/>
  <c r="AD48" i="8"/>
  <c r="N48" i="8"/>
  <c r="A50" i="8" a="1"/>
  <c r="A50" i="8" s="1"/>
  <c r="AB48" i="8"/>
  <c r="L48" i="8"/>
  <c r="Z48" i="8"/>
  <c r="J48" i="8"/>
  <c r="X48" i="8"/>
  <c r="H48" i="8"/>
  <c r="AL48" i="8"/>
  <c r="V48" i="8"/>
  <c r="F48" i="8"/>
  <c r="AJ48" i="8"/>
  <c r="T48" i="8"/>
  <c r="D48" i="8"/>
  <c r="AF48" i="8"/>
  <c r="P48" i="8"/>
  <c r="B21" i="9"/>
  <c r="K24" i="2" a="1"/>
  <c r="R25" i="2"/>
  <c r="U25" i="2"/>
  <c r="L24" i="2" a="1"/>
  <c r="N24" i="2" a="1"/>
  <c r="O24" i="2" a="1"/>
  <c r="T25" i="2"/>
  <c r="S25" i="2"/>
  <c r="Q25" i="2"/>
  <c r="P25" i="2"/>
  <c r="M24" i="2" a="1"/>
  <c r="M21" i="9" a="1"/>
  <c r="J24" i="2" a="1"/>
  <c r="N16" i="9" l="1"/>
  <c r="Q16" i="9" s="1"/>
  <c r="P16" i="9" s="1"/>
  <c r="F16" i="9"/>
  <c r="G16" i="9" s="1"/>
  <c r="N19" i="9"/>
  <c r="Q19" i="9" s="1"/>
  <c r="P19" i="9" s="1"/>
  <c r="F19" i="9"/>
  <c r="G19" i="9" s="1"/>
  <c r="O94" i="9"/>
  <c r="O164" i="9"/>
  <c r="Q163" i="9"/>
  <c r="H93" i="9"/>
  <c r="E93" i="9" s="1"/>
  <c r="H22" i="9"/>
  <c r="Q93" i="9"/>
  <c r="P93" i="9" s="1"/>
  <c r="M93" i="9" a="1"/>
  <c r="M93" i="9" s="1"/>
  <c r="N93" i="9"/>
  <c r="M163" i="9" a="1"/>
  <c r="M163" i="9" s="1"/>
  <c r="N163" i="9"/>
  <c r="M21" i="9"/>
  <c r="L162" i="9"/>
  <c r="L22" i="9"/>
  <c r="L92" i="9"/>
  <c r="K165" i="9"/>
  <c r="K95" i="9"/>
  <c r="K25" i="9"/>
  <c r="E20" i="9"/>
  <c r="E17" i="9"/>
  <c r="E21" i="9"/>
  <c r="N24" i="2"/>
  <c r="J24" i="2"/>
  <c r="K24" i="2"/>
  <c r="M24" i="2"/>
  <c r="V25" i="2"/>
  <c r="O25" i="9" s="1"/>
  <c r="I25" i="9" s="1"/>
  <c r="O24" i="2"/>
  <c r="L24" i="2"/>
  <c r="X51" i="8"/>
  <c r="H51" i="8"/>
  <c r="AJ51" i="8"/>
  <c r="T51" i="8"/>
  <c r="D51" i="8"/>
  <c r="AH51" i="8"/>
  <c r="R51" i="8"/>
  <c r="B51" i="8"/>
  <c r="AF51" i="8"/>
  <c r="P51" i="8"/>
  <c r="AD51" i="8"/>
  <c r="N51" i="8"/>
  <c r="A53" i="8" a="1"/>
  <c r="A53" i="8" s="1"/>
  <c r="AB51" i="8"/>
  <c r="L51" i="8"/>
  <c r="Z51" i="8"/>
  <c r="J51" i="8"/>
  <c r="AL51" i="8"/>
  <c r="V51" i="8"/>
  <c r="F51" i="8"/>
  <c r="J16" i="9"/>
  <c r="J19" i="9"/>
  <c r="AL50" i="8"/>
  <c r="V50" i="8"/>
  <c r="F50" i="8"/>
  <c r="AH50" i="8"/>
  <c r="R50" i="8"/>
  <c r="B50" i="8"/>
  <c r="AF50" i="8"/>
  <c r="P50" i="8"/>
  <c r="AD50" i="8"/>
  <c r="N50" i="8"/>
  <c r="A52" i="8" a="1"/>
  <c r="A52" i="8" s="1"/>
  <c r="AB50" i="8"/>
  <c r="L50" i="8"/>
  <c r="Z50" i="8"/>
  <c r="J50" i="8"/>
  <c r="X50" i="8"/>
  <c r="H50" i="8"/>
  <c r="AJ50" i="8"/>
  <c r="T50" i="8"/>
  <c r="D50" i="8"/>
  <c r="I27" i="2"/>
  <c r="B93" i="9"/>
  <c r="J93" i="9"/>
  <c r="D93" i="9" a="1"/>
  <c r="D93" i="9" s="1"/>
  <c r="F93" i="9" s="1"/>
  <c r="G93" i="9" s="1"/>
  <c r="E163" i="9"/>
  <c r="B163" i="9"/>
  <c r="D163" i="9" a="1"/>
  <c r="D163" i="9" s="1"/>
  <c r="F163" i="9" s="1"/>
  <c r="G163" i="9" s="1"/>
  <c r="J163" i="9"/>
  <c r="B22" i="9"/>
  <c r="D17" i="9" a="1"/>
  <c r="D20" i="9" a="1"/>
  <c r="L25" i="2" a="1"/>
  <c r="T26" i="2"/>
  <c r="U26" i="2"/>
  <c r="M25" i="2" a="1"/>
  <c r="R26" i="2"/>
  <c r="M22" i="9" a="1"/>
  <c r="S26" i="2"/>
  <c r="O25" i="2" a="1"/>
  <c r="J25" i="2" a="1"/>
  <c r="D21" i="9" a="1"/>
  <c r="Q26" i="2"/>
  <c r="N25" i="2" a="1"/>
  <c r="K25" i="2" a="1"/>
  <c r="P26" i="2"/>
  <c r="O95" i="9" l="1"/>
  <c r="O165" i="9"/>
  <c r="Q164" i="9"/>
  <c r="E164" i="9"/>
  <c r="H94" i="9"/>
  <c r="E94" i="9" s="1"/>
  <c r="H23" i="9"/>
  <c r="E23" i="9" s="1"/>
  <c r="Q94" i="9"/>
  <c r="P94" i="9" s="1"/>
  <c r="M94" i="9" a="1"/>
  <c r="M94" i="9" s="1"/>
  <c r="N94" i="9"/>
  <c r="M164" i="9" a="1"/>
  <c r="M164" i="9" s="1"/>
  <c r="N164" i="9"/>
  <c r="M22" i="9"/>
  <c r="L163" i="9"/>
  <c r="L23" i="9"/>
  <c r="L93" i="9"/>
  <c r="K166" i="9"/>
  <c r="K96" i="9"/>
  <c r="K26" i="9"/>
  <c r="D17" i="9"/>
  <c r="D20" i="9"/>
  <c r="V26" i="2"/>
  <c r="O26" i="9" s="1"/>
  <c r="I26" i="9" s="1"/>
  <c r="K25" i="2"/>
  <c r="E22" i="9"/>
  <c r="J25" i="2"/>
  <c r="O25" i="2"/>
  <c r="L25" i="2"/>
  <c r="N25" i="2"/>
  <c r="D21" i="9"/>
  <c r="M25" i="2"/>
  <c r="I28" i="2"/>
  <c r="Z52" i="8"/>
  <c r="J52" i="8"/>
  <c r="AL52" i="8"/>
  <c r="V52" i="8"/>
  <c r="F52" i="8"/>
  <c r="AJ52" i="8"/>
  <c r="T52" i="8"/>
  <c r="D52" i="8"/>
  <c r="AH52" i="8"/>
  <c r="R52" i="8"/>
  <c r="B52" i="8"/>
  <c r="AF52" i="8"/>
  <c r="P52" i="8"/>
  <c r="AD52" i="8"/>
  <c r="N52" i="8"/>
  <c r="A54" i="8" a="1"/>
  <c r="A54" i="8" s="1"/>
  <c r="AB52" i="8"/>
  <c r="L52" i="8"/>
  <c r="X52" i="8"/>
  <c r="H52" i="8"/>
  <c r="B94" i="9"/>
  <c r="J94" i="9"/>
  <c r="D94" i="9" a="1"/>
  <c r="D94" i="9" s="1"/>
  <c r="F94" i="9" s="1"/>
  <c r="G94" i="9" s="1"/>
  <c r="B164" i="9"/>
  <c r="D164" i="9" a="1"/>
  <c r="D164" i="9" s="1"/>
  <c r="F164" i="9" s="1"/>
  <c r="G164" i="9" s="1"/>
  <c r="J164" i="9"/>
  <c r="B23" i="9"/>
  <c r="A55" i="8" a="1"/>
  <c r="A55" i="8" s="1"/>
  <c r="AB53" i="8"/>
  <c r="L53" i="8"/>
  <c r="X53" i="8"/>
  <c r="H53" i="8"/>
  <c r="AL53" i="8"/>
  <c r="V53" i="8"/>
  <c r="F53" i="8"/>
  <c r="AJ53" i="8"/>
  <c r="T53" i="8"/>
  <c r="D53" i="8"/>
  <c r="AH53" i="8"/>
  <c r="R53" i="8"/>
  <c r="B53" i="8"/>
  <c r="AF53" i="8"/>
  <c r="P53" i="8"/>
  <c r="AD53" i="8"/>
  <c r="N53" i="8"/>
  <c r="Z53" i="8"/>
  <c r="J53" i="8"/>
  <c r="T27" i="2"/>
  <c r="R27" i="2"/>
  <c r="S27" i="2"/>
  <c r="L26" i="2" a="1"/>
  <c r="Q27" i="2"/>
  <c r="U27" i="2"/>
  <c r="N26" i="2" a="1"/>
  <c r="K26" i="2" a="1"/>
  <c r="M26" i="2" a="1"/>
  <c r="M23" i="9" a="1"/>
  <c r="P27" i="2"/>
  <c r="J26" i="2" a="1"/>
  <c r="O26" i="2" a="1"/>
  <c r="D22" i="9" a="1"/>
  <c r="N21" i="9" l="1"/>
  <c r="Q21" i="9" s="1"/>
  <c r="P21" i="9" s="1"/>
  <c r="F21" i="9"/>
  <c r="G21" i="9" s="1"/>
  <c r="N20" i="9"/>
  <c r="Q20" i="9" s="1"/>
  <c r="P20" i="9" s="1"/>
  <c r="F20" i="9"/>
  <c r="G20" i="9" s="1"/>
  <c r="N17" i="9"/>
  <c r="Q17" i="9" s="1"/>
  <c r="P17" i="9" s="1"/>
  <c r="F17" i="9"/>
  <c r="G17" i="9" s="1"/>
  <c r="O96" i="9"/>
  <c r="O166" i="9"/>
  <c r="Q165" i="9"/>
  <c r="E165" i="9"/>
  <c r="H95" i="9"/>
  <c r="H24" i="9"/>
  <c r="Q95" i="9"/>
  <c r="P95" i="9" s="1"/>
  <c r="M95" i="9" a="1"/>
  <c r="M95" i="9" s="1"/>
  <c r="N95" i="9"/>
  <c r="M165" i="9" a="1"/>
  <c r="M165" i="9" s="1"/>
  <c r="N165" i="9"/>
  <c r="J17" i="9"/>
  <c r="M23" i="9"/>
  <c r="L164" i="9"/>
  <c r="L24" i="9"/>
  <c r="L94" i="9"/>
  <c r="K167" i="9"/>
  <c r="K97" i="9"/>
  <c r="K27" i="9"/>
  <c r="J20" i="9"/>
  <c r="L26" i="2"/>
  <c r="N26" i="2"/>
  <c r="D22" i="9"/>
  <c r="V27" i="2"/>
  <c r="O27" i="9" s="1"/>
  <c r="I27" i="9" s="1"/>
  <c r="M26" i="2"/>
  <c r="K26" i="2"/>
  <c r="J26" i="2"/>
  <c r="O26" i="2"/>
  <c r="B165" i="9"/>
  <c r="J165" i="9"/>
  <c r="D165" i="9" a="1"/>
  <c r="D165" i="9" s="1"/>
  <c r="F165" i="9" s="1"/>
  <c r="G165" i="9" s="1"/>
  <c r="AD54" i="8"/>
  <c r="N54" i="8"/>
  <c r="Z54" i="8"/>
  <c r="J54" i="8"/>
  <c r="X54" i="8"/>
  <c r="H54" i="8"/>
  <c r="AL54" i="8"/>
  <c r="V54" i="8"/>
  <c r="F54" i="8"/>
  <c r="AJ54" i="8"/>
  <c r="T54" i="8"/>
  <c r="D54" i="8"/>
  <c r="AH54" i="8"/>
  <c r="R54" i="8"/>
  <c r="B54" i="8"/>
  <c r="AF54" i="8"/>
  <c r="P54" i="8"/>
  <c r="A56" i="8" a="1"/>
  <c r="A56" i="8" s="1"/>
  <c r="AB54" i="8"/>
  <c r="L54" i="8"/>
  <c r="B24" i="9"/>
  <c r="I29" i="2"/>
  <c r="AF55" i="8"/>
  <c r="P55" i="8"/>
  <c r="A57" i="8" a="1"/>
  <c r="A57" i="8" s="1"/>
  <c r="AB55" i="8"/>
  <c r="L55" i="8"/>
  <c r="Z55" i="8"/>
  <c r="J55" i="8"/>
  <c r="X55" i="8"/>
  <c r="H55" i="8"/>
  <c r="AL55" i="8"/>
  <c r="V55" i="8"/>
  <c r="F55" i="8"/>
  <c r="AJ55" i="8"/>
  <c r="T55" i="8"/>
  <c r="D55" i="8"/>
  <c r="AH55" i="8"/>
  <c r="R55" i="8"/>
  <c r="B55" i="8"/>
  <c r="AD55" i="8"/>
  <c r="N55" i="8"/>
  <c r="B95" i="9"/>
  <c r="J95" i="9"/>
  <c r="D95" i="9" a="1"/>
  <c r="D95" i="9" s="1"/>
  <c r="F95" i="9" s="1"/>
  <c r="G95" i="9" s="1"/>
  <c r="E95" i="9"/>
  <c r="J21" i="9"/>
  <c r="K27" i="2" a="1"/>
  <c r="S28" i="2"/>
  <c r="J27" i="2" a="1"/>
  <c r="N27" i="2" a="1"/>
  <c r="T28" i="2"/>
  <c r="R28" i="2"/>
  <c r="Q28" i="2"/>
  <c r="D23" i="9" a="1"/>
  <c r="M24" i="9" a="1"/>
  <c r="L27" i="2" a="1"/>
  <c r="U28" i="2"/>
  <c r="P28" i="2"/>
  <c r="O27" i="2" a="1"/>
  <c r="M27" i="2" a="1"/>
  <c r="N22" i="9" l="1"/>
  <c r="Q22" i="9" s="1"/>
  <c r="P22" i="9" s="1"/>
  <c r="F22" i="9"/>
  <c r="G22" i="9" s="1"/>
  <c r="O97" i="9"/>
  <c r="O167" i="9"/>
  <c r="Q166" i="9"/>
  <c r="E166" i="9"/>
  <c r="H96" i="9"/>
  <c r="E96" i="9" s="1"/>
  <c r="H25" i="9"/>
  <c r="Q96" i="9"/>
  <c r="P96" i="9" s="1"/>
  <c r="M96" i="9" a="1"/>
  <c r="M96" i="9" s="1"/>
  <c r="N96" i="9"/>
  <c r="M166" i="9" a="1"/>
  <c r="M166" i="9" s="1"/>
  <c r="N166" i="9"/>
  <c r="M24" i="9"/>
  <c r="L165" i="9"/>
  <c r="L25" i="9"/>
  <c r="L95" i="9"/>
  <c r="K168" i="9"/>
  <c r="K98" i="9"/>
  <c r="K28" i="9"/>
  <c r="V28" i="2"/>
  <c r="O28" i="9" s="1"/>
  <c r="I28" i="9" s="1"/>
  <c r="N27" i="2"/>
  <c r="M27" i="2"/>
  <c r="L27" i="2"/>
  <c r="K27" i="2"/>
  <c r="D23" i="9"/>
  <c r="O27" i="2"/>
  <c r="E24" i="9"/>
  <c r="J27" i="2"/>
  <c r="B25" i="9"/>
  <c r="J22" i="9"/>
  <c r="J96" i="9"/>
  <c r="D96" i="9" a="1"/>
  <c r="D96" i="9" s="1"/>
  <c r="F96" i="9" s="1"/>
  <c r="G96" i="9" s="1"/>
  <c r="B96" i="9"/>
  <c r="B166" i="9"/>
  <c r="J166" i="9"/>
  <c r="D166" i="9" a="1"/>
  <c r="D166" i="9" s="1"/>
  <c r="F166" i="9" s="1"/>
  <c r="G166" i="9" s="1"/>
  <c r="AH56" i="8"/>
  <c r="R56" i="8"/>
  <c r="B56" i="8"/>
  <c r="AD56" i="8"/>
  <c r="N56" i="8"/>
  <c r="A58" i="8" a="1"/>
  <c r="A58" i="8" s="1"/>
  <c r="AB56" i="8"/>
  <c r="L56" i="8"/>
  <c r="Z56" i="8"/>
  <c r="J56" i="8"/>
  <c r="X56" i="8"/>
  <c r="H56" i="8"/>
  <c r="AL56" i="8"/>
  <c r="V56" i="8"/>
  <c r="F56" i="8"/>
  <c r="AJ56" i="8"/>
  <c r="T56" i="8"/>
  <c r="D56" i="8"/>
  <c r="P56" i="8"/>
  <c r="AF56" i="8"/>
  <c r="AJ57" i="8"/>
  <c r="T57" i="8"/>
  <c r="D57" i="8"/>
  <c r="AF57" i="8"/>
  <c r="P57" i="8"/>
  <c r="AD57" i="8"/>
  <c r="N57" i="8"/>
  <c r="A59" i="8" a="1"/>
  <c r="A59" i="8" s="1"/>
  <c r="AB57" i="8"/>
  <c r="L57" i="8"/>
  <c r="Z57" i="8"/>
  <c r="J57" i="8"/>
  <c r="X57" i="8"/>
  <c r="H57" i="8"/>
  <c r="AL57" i="8"/>
  <c r="V57" i="8"/>
  <c r="F57" i="8"/>
  <c r="AH57" i="8"/>
  <c r="R57" i="8"/>
  <c r="B57" i="8"/>
  <c r="I30" i="2"/>
  <c r="T29" i="2"/>
  <c r="U29" i="2"/>
  <c r="S29" i="2"/>
  <c r="P29" i="2"/>
  <c r="N28" i="2" a="1"/>
  <c r="M25" i="9" a="1"/>
  <c r="Q29" i="2"/>
  <c r="L28" i="2" a="1"/>
  <c r="R29" i="2"/>
  <c r="O28" i="2" a="1"/>
  <c r="D24" i="9" a="1"/>
  <c r="K28" i="2" a="1"/>
  <c r="M28" i="2" a="1"/>
  <c r="J28" i="2" a="1"/>
  <c r="N23" i="9" l="1"/>
  <c r="Q23" i="9" s="1"/>
  <c r="P23" i="9" s="1"/>
  <c r="F23" i="9"/>
  <c r="G23" i="9" s="1"/>
  <c r="O98" i="9"/>
  <c r="O168" i="9"/>
  <c r="Q167" i="9"/>
  <c r="H97" i="9"/>
  <c r="E97" i="9" s="1"/>
  <c r="H26" i="9"/>
  <c r="Q97" i="9"/>
  <c r="P97" i="9" s="1"/>
  <c r="M97" i="9" a="1"/>
  <c r="M97" i="9" s="1"/>
  <c r="N97" i="9"/>
  <c r="M167" i="9" a="1"/>
  <c r="M167" i="9" s="1"/>
  <c r="N167" i="9"/>
  <c r="L166" i="9"/>
  <c r="M25" i="9"/>
  <c r="L26" i="9"/>
  <c r="L96" i="9"/>
  <c r="K169" i="9"/>
  <c r="K99" i="9"/>
  <c r="K29" i="9"/>
  <c r="V29" i="2"/>
  <c r="O29" i="9" s="1"/>
  <c r="I29" i="9" s="1"/>
  <c r="O28" i="2"/>
  <c r="K28" i="2"/>
  <c r="N28" i="2"/>
  <c r="M28" i="2"/>
  <c r="E25" i="9"/>
  <c r="J28" i="2"/>
  <c r="D24" i="9"/>
  <c r="L28" i="2"/>
  <c r="X59" i="8"/>
  <c r="H59" i="8"/>
  <c r="AJ59" i="8"/>
  <c r="T59" i="8"/>
  <c r="D59" i="8"/>
  <c r="AH59" i="8"/>
  <c r="R59" i="8"/>
  <c r="B59" i="8"/>
  <c r="AF59" i="8"/>
  <c r="P59" i="8"/>
  <c r="AD59" i="8"/>
  <c r="N59" i="8"/>
  <c r="A61" i="8" a="1"/>
  <c r="A61" i="8" s="1"/>
  <c r="AB59" i="8"/>
  <c r="L59" i="8"/>
  <c r="Z59" i="8"/>
  <c r="J59" i="8"/>
  <c r="F59" i="8"/>
  <c r="AL59" i="8"/>
  <c r="V59" i="8"/>
  <c r="J97" i="9"/>
  <c r="D97" i="9" a="1"/>
  <c r="D97" i="9" s="1"/>
  <c r="F97" i="9" s="1"/>
  <c r="G97" i="9" s="1"/>
  <c r="B97" i="9"/>
  <c r="I31" i="2"/>
  <c r="J167" i="9"/>
  <c r="D167" i="9" a="1"/>
  <c r="D167" i="9" s="1"/>
  <c r="F167" i="9" s="1"/>
  <c r="G167" i="9" s="1"/>
  <c r="B167" i="9"/>
  <c r="E167" i="9"/>
  <c r="J23" i="9"/>
  <c r="B26" i="9"/>
  <c r="AL58" i="8"/>
  <c r="V58" i="8"/>
  <c r="F58" i="8"/>
  <c r="AH58" i="8"/>
  <c r="R58" i="8"/>
  <c r="B58" i="8"/>
  <c r="AF58" i="8"/>
  <c r="P58" i="8"/>
  <c r="AD58" i="8"/>
  <c r="N58" i="8"/>
  <c r="A60" i="8" a="1"/>
  <c r="A60" i="8" s="1"/>
  <c r="AB58" i="8"/>
  <c r="L58" i="8"/>
  <c r="Z58" i="8"/>
  <c r="J58" i="8"/>
  <c r="X58" i="8"/>
  <c r="H58" i="8"/>
  <c r="AJ58" i="8"/>
  <c r="T58" i="8"/>
  <c r="D58" i="8"/>
  <c r="S30" i="2"/>
  <c r="L29" i="2" a="1"/>
  <c r="J29" i="2" a="1"/>
  <c r="K29" i="2" a="1"/>
  <c r="M29" i="2" a="1"/>
  <c r="U30" i="2"/>
  <c r="P30" i="2"/>
  <c r="D25" i="9" a="1"/>
  <c r="R30" i="2"/>
  <c r="N29" i="2" a="1"/>
  <c r="T30" i="2"/>
  <c r="M26" i="9" a="1"/>
  <c r="Q30" i="2"/>
  <c r="O29" i="2" a="1"/>
  <c r="N24" i="9" l="1"/>
  <c r="Q24" i="9" s="1"/>
  <c r="P24" i="9" s="1"/>
  <c r="F24" i="9"/>
  <c r="G24" i="9" s="1"/>
  <c r="O99" i="9"/>
  <c r="O169" i="9"/>
  <c r="Q168" i="9"/>
  <c r="E168" i="9"/>
  <c r="H98" i="9"/>
  <c r="E98" i="9" s="1"/>
  <c r="H27" i="9"/>
  <c r="Q98" i="9"/>
  <c r="P98" i="9" s="1"/>
  <c r="M168" i="9" a="1"/>
  <c r="M168" i="9" s="1"/>
  <c r="N168" i="9"/>
  <c r="M98" i="9" a="1"/>
  <c r="M98" i="9" s="1"/>
  <c r="N98" i="9"/>
  <c r="M26" i="9"/>
  <c r="L167" i="9"/>
  <c r="L27" i="9"/>
  <c r="L97" i="9"/>
  <c r="K170" i="9"/>
  <c r="K100" i="9"/>
  <c r="K30" i="9"/>
  <c r="E26" i="9"/>
  <c r="K29" i="2"/>
  <c r="L29" i="2"/>
  <c r="V30" i="2"/>
  <c r="O30" i="9" s="1"/>
  <c r="I30" i="9" s="1"/>
  <c r="D25" i="9"/>
  <c r="N29" i="2"/>
  <c r="M29" i="2"/>
  <c r="J29" i="2"/>
  <c r="O29" i="2"/>
  <c r="J168" i="9"/>
  <c r="D168" i="9" a="1"/>
  <c r="D168" i="9" s="1"/>
  <c r="F168" i="9" s="1"/>
  <c r="G168" i="9" s="1"/>
  <c r="B168" i="9"/>
  <c r="B27" i="9"/>
  <c r="I32" i="2"/>
  <c r="A63" i="8" a="1"/>
  <c r="A63" i="8" s="1"/>
  <c r="AB61" i="8"/>
  <c r="L61" i="8"/>
  <c r="X61" i="8"/>
  <c r="H61" i="8"/>
  <c r="AL61" i="8"/>
  <c r="V61" i="8"/>
  <c r="F61" i="8"/>
  <c r="AJ61" i="8"/>
  <c r="T61" i="8"/>
  <c r="D61" i="8"/>
  <c r="AH61" i="8"/>
  <c r="R61" i="8"/>
  <c r="B61" i="8"/>
  <c r="AF61" i="8"/>
  <c r="P61" i="8"/>
  <c r="AD61" i="8"/>
  <c r="N61" i="8"/>
  <c r="Z61" i="8"/>
  <c r="J61" i="8"/>
  <c r="Z60" i="8"/>
  <c r="J60" i="8"/>
  <c r="AL60" i="8"/>
  <c r="V60" i="8"/>
  <c r="F60" i="8"/>
  <c r="AJ60" i="8"/>
  <c r="T60" i="8"/>
  <c r="D60" i="8"/>
  <c r="AH60" i="8"/>
  <c r="R60" i="8"/>
  <c r="B60" i="8"/>
  <c r="AF60" i="8"/>
  <c r="P60" i="8"/>
  <c r="AD60" i="8"/>
  <c r="N60" i="8"/>
  <c r="A62" i="8" a="1"/>
  <c r="A62" i="8" s="1"/>
  <c r="AB60" i="8"/>
  <c r="L60" i="8"/>
  <c r="X60" i="8"/>
  <c r="H60" i="8"/>
  <c r="J98" i="9"/>
  <c r="D98" i="9" a="1"/>
  <c r="D98" i="9" s="1"/>
  <c r="F98" i="9" s="1"/>
  <c r="G98" i="9" s="1"/>
  <c r="B98" i="9"/>
  <c r="J24" i="9"/>
  <c r="O30" i="2" a="1"/>
  <c r="P31" i="2"/>
  <c r="T31" i="2"/>
  <c r="U31" i="2"/>
  <c r="S31" i="2"/>
  <c r="M30" i="2" a="1"/>
  <c r="R31" i="2"/>
  <c r="N30" i="2" a="1"/>
  <c r="J30" i="2" a="1"/>
  <c r="K30" i="2" a="1"/>
  <c r="M27" i="9" a="1"/>
  <c r="L30" i="2" a="1"/>
  <c r="Q31" i="2"/>
  <c r="D26" i="9" a="1"/>
  <c r="N25" i="9" l="1"/>
  <c r="Q25" i="9" s="1"/>
  <c r="P25" i="9" s="1"/>
  <c r="F25" i="9"/>
  <c r="G25" i="9" s="1"/>
  <c r="O100" i="9"/>
  <c r="O170" i="9"/>
  <c r="Q169" i="9"/>
  <c r="E169" i="9"/>
  <c r="H99" i="9"/>
  <c r="E99" i="9" s="1"/>
  <c r="H28" i="9"/>
  <c r="Q99" i="9"/>
  <c r="P99" i="9" s="1"/>
  <c r="M99" i="9" a="1"/>
  <c r="M99" i="9" s="1"/>
  <c r="N99" i="9"/>
  <c r="M169" i="9" a="1"/>
  <c r="M169" i="9" s="1"/>
  <c r="N169" i="9"/>
  <c r="M27" i="9"/>
  <c r="L168" i="9"/>
  <c r="L28" i="9"/>
  <c r="L98" i="9"/>
  <c r="K171" i="9"/>
  <c r="K101" i="9"/>
  <c r="K31" i="9"/>
  <c r="M30" i="2"/>
  <c r="V31" i="2"/>
  <c r="O31" i="9" s="1"/>
  <c r="I31" i="9" s="1"/>
  <c r="J30" i="2"/>
  <c r="L30" i="2"/>
  <c r="E27" i="9"/>
  <c r="K30" i="2"/>
  <c r="O30" i="2"/>
  <c r="N30" i="2"/>
  <c r="D26" i="9"/>
  <c r="J25" i="9"/>
  <c r="I33" i="2"/>
  <c r="J169" i="9"/>
  <c r="D169" i="9" a="1"/>
  <c r="D169" i="9" s="1"/>
  <c r="F169" i="9" s="1"/>
  <c r="G169" i="9" s="1"/>
  <c r="B169" i="9"/>
  <c r="B28" i="9"/>
  <c r="AD62" i="8"/>
  <c r="N62" i="8"/>
  <c r="Z62" i="8"/>
  <c r="J62" i="8"/>
  <c r="X62" i="8"/>
  <c r="H62" i="8"/>
  <c r="AL62" i="8"/>
  <c r="V62" i="8"/>
  <c r="F62" i="8"/>
  <c r="AJ62" i="8"/>
  <c r="T62" i="8"/>
  <c r="D62" i="8"/>
  <c r="AH62" i="8"/>
  <c r="R62" i="8"/>
  <c r="B62" i="8"/>
  <c r="AF62" i="8"/>
  <c r="P62" i="8"/>
  <c r="A64" i="8" a="1"/>
  <c r="A64" i="8" s="1"/>
  <c r="AB62" i="8"/>
  <c r="L62" i="8"/>
  <c r="AF63" i="8"/>
  <c r="P63" i="8"/>
  <c r="A65" i="8" a="1"/>
  <c r="A65" i="8" s="1"/>
  <c r="AB63" i="8"/>
  <c r="L63" i="8"/>
  <c r="Z63" i="8"/>
  <c r="J63" i="8"/>
  <c r="X63" i="8"/>
  <c r="H63" i="8"/>
  <c r="AL63" i="8"/>
  <c r="V63" i="8"/>
  <c r="F63" i="8"/>
  <c r="AJ63" i="8"/>
  <c r="T63" i="8"/>
  <c r="D63" i="8"/>
  <c r="AH63" i="8"/>
  <c r="R63" i="8"/>
  <c r="B63" i="8"/>
  <c r="AD63" i="8"/>
  <c r="N63" i="8"/>
  <c r="J99" i="9"/>
  <c r="D99" i="9" a="1"/>
  <c r="D99" i="9" s="1"/>
  <c r="F99" i="9" s="1"/>
  <c r="G99" i="9" s="1"/>
  <c r="B99" i="9"/>
  <c r="M31" i="2" a="1"/>
  <c r="R32" i="2"/>
  <c r="P32" i="2"/>
  <c r="K31" i="2" a="1"/>
  <c r="D27" i="9" a="1"/>
  <c r="Q32" i="2"/>
  <c r="U32" i="2"/>
  <c r="J31" i="2" a="1"/>
  <c r="M28" i="9" a="1"/>
  <c r="N31" i="2" a="1"/>
  <c r="T32" i="2"/>
  <c r="O31" i="2" a="1"/>
  <c r="L31" i="2" a="1"/>
  <c r="S32" i="2"/>
  <c r="N26" i="9" l="1"/>
  <c r="F26" i="9"/>
  <c r="G26" i="9" s="1"/>
  <c r="O101" i="9"/>
  <c r="O171" i="9"/>
  <c r="Q170" i="9"/>
  <c r="H100" i="9"/>
  <c r="H29" i="9"/>
  <c r="Q100" i="9"/>
  <c r="P100" i="9" s="1"/>
  <c r="Q26" i="9"/>
  <c r="P26" i="9" s="1"/>
  <c r="M100" i="9" a="1"/>
  <c r="M100" i="9" s="1"/>
  <c r="N100" i="9"/>
  <c r="M170" i="9" a="1"/>
  <c r="M170" i="9" s="1"/>
  <c r="N170" i="9"/>
  <c r="M28" i="9"/>
  <c r="L169" i="9"/>
  <c r="L29" i="9"/>
  <c r="L99" i="9"/>
  <c r="K172" i="9"/>
  <c r="K102" i="9"/>
  <c r="K32" i="9"/>
  <c r="K31" i="2"/>
  <c r="N31" i="2"/>
  <c r="J31" i="2"/>
  <c r="D27" i="9"/>
  <c r="M31" i="2"/>
  <c r="V32" i="2"/>
  <c r="O32" i="9" s="1"/>
  <c r="I32" i="9" s="1"/>
  <c r="E28" i="9"/>
  <c r="L31" i="2"/>
  <c r="O31" i="2"/>
  <c r="AJ65" i="8"/>
  <c r="T65" i="8"/>
  <c r="D65" i="8"/>
  <c r="AF65" i="8"/>
  <c r="P65" i="8"/>
  <c r="AD65" i="8"/>
  <c r="N65" i="8"/>
  <c r="A67" i="8" a="1"/>
  <c r="A67" i="8" s="1"/>
  <c r="AB65" i="8"/>
  <c r="L65" i="8"/>
  <c r="Z65" i="8"/>
  <c r="J65" i="8"/>
  <c r="X65" i="8"/>
  <c r="H65" i="8"/>
  <c r="AL65" i="8"/>
  <c r="V65" i="8"/>
  <c r="F65" i="8"/>
  <c r="AH65" i="8"/>
  <c r="R65" i="8"/>
  <c r="B65" i="8"/>
  <c r="I34" i="2"/>
  <c r="B29" i="9"/>
  <c r="D100" i="9" a="1"/>
  <c r="D100" i="9" s="1"/>
  <c r="F100" i="9" s="1"/>
  <c r="G100" i="9" s="1"/>
  <c r="J100" i="9"/>
  <c r="E100" i="9"/>
  <c r="B100" i="9"/>
  <c r="J26" i="9"/>
  <c r="AH64" i="8"/>
  <c r="R64" i="8"/>
  <c r="B64" i="8"/>
  <c r="AD64" i="8"/>
  <c r="N64" i="8"/>
  <c r="A66" i="8" a="1"/>
  <c r="A66" i="8" s="1"/>
  <c r="AB64" i="8"/>
  <c r="L64" i="8"/>
  <c r="Z64" i="8"/>
  <c r="J64" i="8"/>
  <c r="X64" i="8"/>
  <c r="H64" i="8"/>
  <c r="AL64" i="8"/>
  <c r="V64" i="8"/>
  <c r="F64" i="8"/>
  <c r="AJ64" i="8"/>
  <c r="T64" i="8"/>
  <c r="D64" i="8"/>
  <c r="AF64" i="8"/>
  <c r="P64" i="8"/>
  <c r="J170" i="9"/>
  <c r="D170" i="9" a="1"/>
  <c r="D170" i="9" s="1"/>
  <c r="F170" i="9" s="1"/>
  <c r="G170" i="9" s="1"/>
  <c r="E170" i="9"/>
  <c r="B170" i="9"/>
  <c r="O32" i="2" a="1"/>
  <c r="N32" i="2" a="1"/>
  <c r="M32" i="2" a="1"/>
  <c r="U33" i="2"/>
  <c r="J32" i="2" a="1"/>
  <c r="K32" i="2" a="1"/>
  <c r="P33" i="2"/>
  <c r="L32" i="2" a="1"/>
  <c r="R33" i="2"/>
  <c r="T33" i="2"/>
  <c r="D28" i="9" a="1"/>
  <c r="S33" i="2"/>
  <c r="M29" i="9" a="1"/>
  <c r="Q33" i="2"/>
  <c r="N27" i="9" l="1"/>
  <c r="Q27" i="9" s="1"/>
  <c r="P27" i="9" s="1"/>
  <c r="F27" i="9"/>
  <c r="G27" i="9" s="1"/>
  <c r="O102" i="9"/>
  <c r="O172" i="9"/>
  <c r="Q171" i="9"/>
  <c r="E171" i="9"/>
  <c r="H101" i="9"/>
  <c r="E101" i="9" s="1"/>
  <c r="H30" i="9"/>
  <c r="Q101" i="9"/>
  <c r="P101" i="9" s="1"/>
  <c r="M171" i="9" a="1"/>
  <c r="M171" i="9" s="1"/>
  <c r="N171" i="9"/>
  <c r="M101" i="9" a="1"/>
  <c r="M101" i="9" s="1"/>
  <c r="N101" i="9"/>
  <c r="M29" i="9"/>
  <c r="L170" i="9"/>
  <c r="L30" i="9"/>
  <c r="L100" i="9"/>
  <c r="K173" i="9"/>
  <c r="K103" i="9"/>
  <c r="K33" i="9"/>
  <c r="E29" i="9"/>
  <c r="D28" i="9"/>
  <c r="V33" i="2"/>
  <c r="O33" i="9" s="1"/>
  <c r="I33" i="9" s="1"/>
  <c r="J32" i="2"/>
  <c r="N32" i="2"/>
  <c r="M32" i="2"/>
  <c r="L32" i="2"/>
  <c r="K32" i="2"/>
  <c r="O32" i="2"/>
  <c r="I35" i="2"/>
  <c r="J101" i="9"/>
  <c r="D101" i="9" a="1"/>
  <c r="D101" i="9" s="1"/>
  <c r="F101" i="9" s="1"/>
  <c r="G101" i="9" s="1"/>
  <c r="B101" i="9"/>
  <c r="B171" i="9"/>
  <c r="J171" i="9"/>
  <c r="D171" i="9" a="1"/>
  <c r="D171" i="9" s="1"/>
  <c r="F171" i="9" s="1"/>
  <c r="G171" i="9" s="1"/>
  <c r="X67" i="8"/>
  <c r="H67" i="8"/>
  <c r="AJ67" i="8"/>
  <c r="T67" i="8"/>
  <c r="D67" i="8"/>
  <c r="AH67" i="8"/>
  <c r="R67" i="8"/>
  <c r="B67" i="8"/>
  <c r="AF67" i="8"/>
  <c r="P67" i="8"/>
  <c r="AD67" i="8"/>
  <c r="N67" i="8"/>
  <c r="A69" i="8" a="1"/>
  <c r="A69" i="8" s="1"/>
  <c r="AB67" i="8"/>
  <c r="L67" i="8"/>
  <c r="Z67" i="8"/>
  <c r="J67" i="8"/>
  <c r="V67" i="8"/>
  <c r="F67" i="8"/>
  <c r="AL67" i="8"/>
  <c r="AL66" i="8"/>
  <c r="V66" i="8"/>
  <c r="F66" i="8"/>
  <c r="AH66" i="8"/>
  <c r="R66" i="8"/>
  <c r="B66" i="8"/>
  <c r="AF66" i="8"/>
  <c r="P66" i="8"/>
  <c r="AD66" i="8"/>
  <c r="N66" i="8"/>
  <c r="A68" i="8" a="1"/>
  <c r="A68" i="8" s="1"/>
  <c r="AB66" i="8"/>
  <c r="L66" i="8"/>
  <c r="Z66" i="8"/>
  <c r="J66" i="8"/>
  <c r="X66" i="8"/>
  <c r="H66" i="8"/>
  <c r="AJ66" i="8"/>
  <c r="T66" i="8"/>
  <c r="D66" i="8"/>
  <c r="B30" i="9"/>
  <c r="J27" i="9"/>
  <c r="L33" i="2" a="1"/>
  <c r="M33" i="2" a="1"/>
  <c r="D29" i="9" a="1"/>
  <c r="Q34" i="2"/>
  <c r="M30" i="9" a="1"/>
  <c r="P34" i="2"/>
  <c r="N33" i="2" a="1"/>
  <c r="R34" i="2"/>
  <c r="J33" i="2" a="1"/>
  <c r="S34" i="2"/>
  <c r="O33" i="2" a="1"/>
  <c r="U34" i="2"/>
  <c r="K33" i="2" a="1"/>
  <c r="T34" i="2"/>
  <c r="N28" i="9" l="1"/>
  <c r="Q28" i="9" s="1"/>
  <c r="P28" i="9" s="1"/>
  <c r="F28" i="9"/>
  <c r="G28" i="9" s="1"/>
  <c r="O103" i="9"/>
  <c r="O173" i="9"/>
  <c r="Q172" i="9"/>
  <c r="E172" i="9"/>
  <c r="H102" i="9"/>
  <c r="E102" i="9" s="1"/>
  <c r="H31" i="9"/>
  <c r="Q102" i="9"/>
  <c r="P102" i="9" s="1"/>
  <c r="M102" i="9" a="1"/>
  <c r="M102" i="9" s="1"/>
  <c r="N102" i="9"/>
  <c r="M172" i="9" a="1"/>
  <c r="M172" i="9" s="1"/>
  <c r="N172" i="9"/>
  <c r="M30" i="9"/>
  <c r="L171" i="9"/>
  <c r="L31" i="9"/>
  <c r="L101" i="9"/>
  <c r="K174" i="9"/>
  <c r="K104" i="9"/>
  <c r="K34" i="9"/>
  <c r="J33" i="2"/>
  <c r="E30" i="9"/>
  <c r="N33" i="2"/>
  <c r="V34" i="2"/>
  <c r="O34" i="9" s="1"/>
  <c r="I34" i="9" s="1"/>
  <c r="M33" i="2"/>
  <c r="L33" i="2"/>
  <c r="K33" i="2"/>
  <c r="O33" i="2"/>
  <c r="D29" i="9"/>
  <c r="A71" i="8" a="1"/>
  <c r="A71" i="8" s="1"/>
  <c r="AB69" i="8"/>
  <c r="L69" i="8"/>
  <c r="X69" i="8"/>
  <c r="H69" i="8"/>
  <c r="AL69" i="8"/>
  <c r="V69" i="8"/>
  <c r="F69" i="8"/>
  <c r="AJ69" i="8"/>
  <c r="T69" i="8"/>
  <c r="D69" i="8"/>
  <c r="AH69" i="8"/>
  <c r="R69" i="8"/>
  <c r="B69" i="8"/>
  <c r="AF69" i="8"/>
  <c r="P69" i="8"/>
  <c r="AD69" i="8"/>
  <c r="N69" i="8"/>
  <c r="Z69" i="8"/>
  <c r="J69" i="8"/>
  <c r="J102" i="9"/>
  <c r="D102" i="9" a="1"/>
  <c r="D102" i="9" s="1"/>
  <c r="F102" i="9" s="1"/>
  <c r="G102" i="9" s="1"/>
  <c r="B102" i="9"/>
  <c r="I36" i="2"/>
  <c r="B172" i="9"/>
  <c r="J172" i="9"/>
  <c r="D172" i="9" a="1"/>
  <c r="D172" i="9" s="1"/>
  <c r="F172" i="9" s="1"/>
  <c r="G172" i="9" s="1"/>
  <c r="B31" i="9"/>
  <c r="J28" i="9"/>
  <c r="Z68" i="8"/>
  <c r="J68" i="8"/>
  <c r="AL68" i="8"/>
  <c r="V68" i="8"/>
  <c r="F68" i="8"/>
  <c r="AJ68" i="8"/>
  <c r="T68" i="8"/>
  <c r="D68" i="8"/>
  <c r="AH68" i="8"/>
  <c r="R68" i="8"/>
  <c r="B68" i="8"/>
  <c r="AF68" i="8"/>
  <c r="P68" i="8"/>
  <c r="AD68" i="8"/>
  <c r="N68" i="8"/>
  <c r="A70" i="8" a="1"/>
  <c r="A70" i="8" s="1"/>
  <c r="AB68" i="8"/>
  <c r="L68" i="8"/>
  <c r="X68" i="8"/>
  <c r="H68" i="8"/>
  <c r="S35" i="2"/>
  <c r="D30" i="9" a="1"/>
  <c r="M31" i="9" a="1"/>
  <c r="O34" i="2" a="1"/>
  <c r="M34" i="2" a="1"/>
  <c r="K34" i="2" a="1"/>
  <c r="T35" i="2"/>
  <c r="J34" i="2" a="1"/>
  <c r="Q35" i="2"/>
  <c r="R35" i="2"/>
  <c r="N34" i="2" a="1"/>
  <c r="P35" i="2"/>
  <c r="U35" i="2"/>
  <c r="L34" i="2" a="1"/>
  <c r="N29" i="9" l="1"/>
  <c r="Q29" i="9" s="1"/>
  <c r="P29" i="9" s="1"/>
  <c r="F29" i="9"/>
  <c r="G29" i="9" s="1"/>
  <c r="O104" i="9"/>
  <c r="O174" i="9"/>
  <c r="Q173" i="9"/>
  <c r="E173" i="9"/>
  <c r="H103" i="9"/>
  <c r="E103" i="9" s="1"/>
  <c r="H32" i="9"/>
  <c r="Q103" i="9"/>
  <c r="P103" i="9" s="1"/>
  <c r="M173" i="9" a="1"/>
  <c r="M173" i="9" s="1"/>
  <c r="N173" i="9"/>
  <c r="M103" i="9" a="1"/>
  <c r="M103" i="9" s="1"/>
  <c r="N103" i="9"/>
  <c r="M31" i="9"/>
  <c r="L172" i="9"/>
  <c r="L32" i="9"/>
  <c r="L102" i="9"/>
  <c r="K175" i="9"/>
  <c r="K105" i="9"/>
  <c r="K35" i="9"/>
  <c r="L34" i="2"/>
  <c r="V35" i="2"/>
  <c r="O35" i="9" s="1"/>
  <c r="I35" i="9" s="1"/>
  <c r="K34" i="2"/>
  <c r="O34" i="2"/>
  <c r="D30" i="9"/>
  <c r="E31" i="9"/>
  <c r="N34" i="2"/>
  <c r="J34" i="2"/>
  <c r="M34" i="2"/>
  <c r="J103" i="9"/>
  <c r="D103" i="9" a="1"/>
  <c r="D103" i="9" s="1"/>
  <c r="F103" i="9" s="1"/>
  <c r="G103" i="9" s="1"/>
  <c r="B103" i="9"/>
  <c r="B173" i="9"/>
  <c r="J173" i="9"/>
  <c r="D173" i="9" a="1"/>
  <c r="D173" i="9" s="1"/>
  <c r="F173" i="9" s="1"/>
  <c r="G173" i="9" s="1"/>
  <c r="AD70" i="8"/>
  <c r="N70" i="8"/>
  <c r="Z70" i="8"/>
  <c r="J70" i="8"/>
  <c r="X70" i="8"/>
  <c r="H70" i="8"/>
  <c r="AL70" i="8"/>
  <c r="V70" i="8"/>
  <c r="F70" i="8"/>
  <c r="AJ70" i="8"/>
  <c r="T70" i="8"/>
  <c r="D70" i="8"/>
  <c r="AH70" i="8"/>
  <c r="R70" i="8"/>
  <c r="B70" i="8"/>
  <c r="AF70" i="8"/>
  <c r="P70" i="8"/>
  <c r="L70" i="8"/>
  <c r="A72" i="8" a="1"/>
  <c r="A72" i="8" s="1"/>
  <c r="AB70" i="8"/>
  <c r="B32" i="9"/>
  <c r="J29" i="9"/>
  <c r="I37" i="2"/>
  <c r="AF71" i="8"/>
  <c r="P71" i="8"/>
  <c r="A73" i="8" a="1"/>
  <c r="A73" i="8" s="1"/>
  <c r="AB71" i="8"/>
  <c r="L71" i="8"/>
  <c r="Z71" i="8"/>
  <c r="J71" i="8"/>
  <c r="X71" i="8"/>
  <c r="H71" i="8"/>
  <c r="AL71" i="8"/>
  <c r="V71" i="8"/>
  <c r="F71" i="8"/>
  <c r="AJ71" i="8"/>
  <c r="T71" i="8"/>
  <c r="D71" i="8"/>
  <c r="AH71" i="8"/>
  <c r="R71" i="8"/>
  <c r="B71" i="8"/>
  <c r="AD71" i="8"/>
  <c r="N71" i="8"/>
  <c r="D31" i="9" a="1"/>
  <c r="M32" i="9" a="1"/>
  <c r="J35" i="2" a="1"/>
  <c r="Q36" i="2"/>
  <c r="K35" i="2" a="1"/>
  <c r="T36" i="2"/>
  <c r="M35" i="2" a="1"/>
  <c r="R36" i="2"/>
  <c r="N35" i="2" a="1"/>
  <c r="P36" i="2"/>
  <c r="U36" i="2"/>
  <c r="L35" i="2" a="1"/>
  <c r="O35" i="2" a="1"/>
  <c r="S36" i="2"/>
  <c r="N30" i="9" l="1"/>
  <c r="Q30" i="9" s="1"/>
  <c r="P30" i="9" s="1"/>
  <c r="F30" i="9"/>
  <c r="G30" i="9" s="1"/>
  <c r="O105" i="9"/>
  <c r="O175" i="9"/>
  <c r="Q174" i="9"/>
  <c r="H104" i="9"/>
  <c r="H33" i="9"/>
  <c r="Q104" i="9"/>
  <c r="P104" i="9" s="1"/>
  <c r="M174" i="9" a="1"/>
  <c r="M174" i="9" s="1"/>
  <c r="N174" i="9"/>
  <c r="M104" i="9" a="1"/>
  <c r="M104" i="9" s="1"/>
  <c r="N104" i="9"/>
  <c r="M32" i="9"/>
  <c r="L173" i="9"/>
  <c r="L33" i="9"/>
  <c r="L103" i="9"/>
  <c r="K176" i="9"/>
  <c r="K106" i="9"/>
  <c r="K36" i="9"/>
  <c r="E32" i="9"/>
  <c r="K35" i="2"/>
  <c r="O35" i="2"/>
  <c r="N35" i="2"/>
  <c r="J35" i="2"/>
  <c r="D31" i="9"/>
  <c r="M35" i="2"/>
  <c r="L35" i="2"/>
  <c r="V36" i="2"/>
  <c r="O36" i="9" s="1"/>
  <c r="I36" i="9" s="1"/>
  <c r="AJ73" i="8"/>
  <c r="T73" i="8"/>
  <c r="D73" i="8"/>
  <c r="AF73" i="8"/>
  <c r="P73" i="8"/>
  <c r="AD73" i="8"/>
  <c r="N73" i="8"/>
  <c r="A75" i="8" a="1"/>
  <c r="A75" i="8" s="1"/>
  <c r="AB73" i="8"/>
  <c r="L73" i="8"/>
  <c r="Z73" i="8"/>
  <c r="J73" i="8"/>
  <c r="X73" i="8"/>
  <c r="H73" i="8"/>
  <c r="AL73" i="8"/>
  <c r="V73" i="8"/>
  <c r="F73" i="8"/>
  <c r="B73" i="8"/>
  <c r="AH73" i="8"/>
  <c r="R73" i="8"/>
  <c r="I38" i="2"/>
  <c r="J30" i="9"/>
  <c r="AH72" i="8"/>
  <c r="R72" i="8"/>
  <c r="B72" i="8"/>
  <c r="AD72" i="8"/>
  <c r="N72" i="8"/>
  <c r="A74" i="8" a="1"/>
  <c r="A74" i="8" s="1"/>
  <c r="AB72" i="8"/>
  <c r="L72" i="8"/>
  <c r="Z72" i="8"/>
  <c r="J72" i="8"/>
  <c r="X72" i="8"/>
  <c r="H72" i="8"/>
  <c r="AL72" i="8"/>
  <c r="V72" i="8"/>
  <c r="F72" i="8"/>
  <c r="AJ72" i="8"/>
  <c r="T72" i="8"/>
  <c r="D72" i="8"/>
  <c r="AF72" i="8"/>
  <c r="P72" i="8"/>
  <c r="B33" i="9"/>
  <c r="E104" i="9"/>
  <c r="J104" i="9"/>
  <c r="D104" i="9" a="1"/>
  <c r="D104" i="9" s="1"/>
  <c r="F104" i="9" s="1"/>
  <c r="G104" i="9" s="1"/>
  <c r="B104" i="9"/>
  <c r="B174" i="9"/>
  <c r="J174" i="9"/>
  <c r="E174" i="9"/>
  <c r="D174" i="9" a="1"/>
  <c r="D174" i="9" s="1"/>
  <c r="F174" i="9" s="1"/>
  <c r="G174" i="9" s="1"/>
  <c r="D32" i="9" a="1"/>
  <c r="Q37" i="2"/>
  <c r="L36" i="2" a="1"/>
  <c r="U37" i="2"/>
  <c r="R37" i="2"/>
  <c r="O36" i="2" a="1"/>
  <c r="M36" i="2" a="1"/>
  <c r="N36" i="2" a="1"/>
  <c r="P37" i="2"/>
  <c r="M33" i="9" a="1"/>
  <c r="K36" i="2" a="1"/>
  <c r="J36" i="2" a="1"/>
  <c r="T37" i="2"/>
  <c r="S37" i="2"/>
  <c r="N31" i="9" l="1"/>
  <c r="Q31" i="9" s="1"/>
  <c r="P31" i="9" s="1"/>
  <c r="F31" i="9"/>
  <c r="G31" i="9" s="1"/>
  <c r="O106" i="9"/>
  <c r="O176" i="9"/>
  <c r="Q175" i="9"/>
  <c r="E175" i="9"/>
  <c r="H105" i="9"/>
  <c r="E105" i="9" s="1"/>
  <c r="H34" i="9"/>
  <c r="Q105" i="9"/>
  <c r="P105" i="9" s="1"/>
  <c r="M105" i="9" a="1"/>
  <c r="M105" i="9" s="1"/>
  <c r="N105" i="9"/>
  <c r="M175" i="9" a="1"/>
  <c r="M175" i="9" s="1"/>
  <c r="N175" i="9"/>
  <c r="M33" i="9"/>
  <c r="L174" i="9"/>
  <c r="L34" i="9"/>
  <c r="L104" i="9"/>
  <c r="K177" i="9"/>
  <c r="K107" i="9"/>
  <c r="K37" i="9"/>
  <c r="E33" i="9"/>
  <c r="K36" i="2"/>
  <c r="O36" i="2"/>
  <c r="V37" i="2"/>
  <c r="O37" i="9" s="1"/>
  <c r="I37" i="9" s="1"/>
  <c r="N36" i="2"/>
  <c r="L36" i="2"/>
  <c r="D32" i="9"/>
  <c r="J36" i="2"/>
  <c r="M36" i="2"/>
  <c r="J31" i="9"/>
  <c r="J175" i="9"/>
  <c r="D175" i="9" a="1"/>
  <c r="D175" i="9" s="1"/>
  <c r="F175" i="9" s="1"/>
  <c r="G175" i="9" s="1"/>
  <c r="B175" i="9"/>
  <c r="B105" i="9"/>
  <c r="J105" i="9"/>
  <c r="D105" i="9" a="1"/>
  <c r="D105" i="9" s="1"/>
  <c r="F105" i="9" s="1"/>
  <c r="G105" i="9" s="1"/>
  <c r="X75" i="8"/>
  <c r="H75" i="8"/>
  <c r="AJ75" i="8"/>
  <c r="T75" i="8"/>
  <c r="D75" i="8"/>
  <c r="AH75" i="8"/>
  <c r="R75" i="8"/>
  <c r="B75" i="8"/>
  <c r="AF75" i="8"/>
  <c r="P75" i="8"/>
  <c r="AD75" i="8"/>
  <c r="N75" i="8"/>
  <c r="A77" i="8" a="1"/>
  <c r="A77" i="8" s="1"/>
  <c r="AB75" i="8"/>
  <c r="L75" i="8"/>
  <c r="Z75" i="8"/>
  <c r="J75" i="8"/>
  <c r="AL75" i="8"/>
  <c r="V75" i="8"/>
  <c r="F75" i="8"/>
  <c r="AL74" i="8"/>
  <c r="V74" i="8"/>
  <c r="F74" i="8"/>
  <c r="AH74" i="8"/>
  <c r="R74" i="8"/>
  <c r="B74" i="8"/>
  <c r="AF74" i="8"/>
  <c r="P74" i="8"/>
  <c r="AD74" i="8"/>
  <c r="N74" i="8"/>
  <c r="A76" i="8" a="1"/>
  <c r="A76" i="8" s="1"/>
  <c r="AB74" i="8"/>
  <c r="L74" i="8"/>
  <c r="Z74" i="8"/>
  <c r="J74" i="8"/>
  <c r="X74" i="8"/>
  <c r="H74" i="8"/>
  <c r="AJ74" i="8"/>
  <c r="T74" i="8"/>
  <c r="D74" i="8"/>
  <c r="I39" i="2"/>
  <c r="B34" i="9"/>
  <c r="J37" i="2" a="1"/>
  <c r="M37" i="2" a="1"/>
  <c r="M34" i="9" a="1"/>
  <c r="D33" i="9" a="1"/>
  <c r="K37" i="2" a="1"/>
  <c r="P38" i="2"/>
  <c r="R38" i="2"/>
  <c r="N37" i="2" a="1"/>
  <c r="T38" i="2"/>
  <c r="O37" i="2" a="1"/>
  <c r="Q38" i="2"/>
  <c r="S38" i="2"/>
  <c r="L37" i="2" a="1"/>
  <c r="U38" i="2"/>
  <c r="N32" i="9" l="1"/>
  <c r="Q32" i="9" s="1"/>
  <c r="P32" i="9" s="1"/>
  <c r="F32" i="9"/>
  <c r="G32" i="9" s="1"/>
  <c r="O107" i="9"/>
  <c r="O177" i="9"/>
  <c r="Q176" i="9"/>
  <c r="H106" i="9"/>
  <c r="H35" i="9"/>
  <c r="Q106" i="9"/>
  <c r="P106" i="9" s="1"/>
  <c r="M106" i="9" a="1"/>
  <c r="M106" i="9" s="1"/>
  <c r="N106" i="9"/>
  <c r="M176" i="9" a="1"/>
  <c r="M176" i="9" s="1"/>
  <c r="N176" i="9"/>
  <c r="M34" i="9"/>
  <c r="L175" i="9"/>
  <c r="L35" i="9"/>
  <c r="L105" i="9"/>
  <c r="K178" i="9"/>
  <c r="K108" i="9"/>
  <c r="K38" i="9"/>
  <c r="E34" i="9"/>
  <c r="O37" i="2"/>
  <c r="N37" i="2"/>
  <c r="V38" i="2"/>
  <c r="O38" i="9" s="1"/>
  <c r="I38" i="9" s="1"/>
  <c r="K37" i="2"/>
  <c r="M37" i="2"/>
  <c r="J37" i="2"/>
  <c r="L37" i="2"/>
  <c r="D33" i="9"/>
  <c r="Z76" i="8"/>
  <c r="J76" i="8"/>
  <c r="AL76" i="8"/>
  <c r="V76" i="8"/>
  <c r="F76" i="8"/>
  <c r="AJ76" i="8"/>
  <c r="T76" i="8"/>
  <c r="D76" i="8"/>
  <c r="AH76" i="8"/>
  <c r="R76" i="8"/>
  <c r="B76" i="8"/>
  <c r="AF76" i="8"/>
  <c r="P76" i="8"/>
  <c r="AD76" i="8"/>
  <c r="N76" i="8"/>
  <c r="A78" i="8" a="1"/>
  <c r="A78" i="8" s="1"/>
  <c r="AB76" i="8"/>
  <c r="L76" i="8"/>
  <c r="X76" i="8"/>
  <c r="H76" i="8"/>
  <c r="E106" i="9"/>
  <c r="B106" i="9"/>
  <c r="D106" i="9" a="1"/>
  <c r="D106" i="9" s="1"/>
  <c r="F106" i="9" s="1"/>
  <c r="G106" i="9" s="1"/>
  <c r="J106" i="9"/>
  <c r="J32" i="9"/>
  <c r="J176" i="9"/>
  <c r="D176" i="9" a="1"/>
  <c r="D176" i="9" s="1"/>
  <c r="F176" i="9" s="1"/>
  <c r="G176" i="9" s="1"/>
  <c r="E176" i="9"/>
  <c r="B176" i="9"/>
  <c r="A79" i="8" a="1"/>
  <c r="A79" i="8" s="1"/>
  <c r="AB77" i="8"/>
  <c r="L77" i="8"/>
  <c r="X77" i="8"/>
  <c r="H77" i="8"/>
  <c r="AL77" i="8"/>
  <c r="V77" i="8"/>
  <c r="F77" i="8"/>
  <c r="AJ77" i="8"/>
  <c r="T77" i="8"/>
  <c r="D77" i="8"/>
  <c r="AH77" i="8"/>
  <c r="R77" i="8"/>
  <c r="B77" i="8"/>
  <c r="AF77" i="8"/>
  <c r="P77" i="8"/>
  <c r="AD77" i="8"/>
  <c r="N77" i="8"/>
  <c r="Z77" i="8"/>
  <c r="J77" i="8"/>
  <c r="I40" i="2"/>
  <c r="B35" i="9"/>
  <c r="M38" i="2" a="1"/>
  <c r="R39" i="2"/>
  <c r="O38" i="2" a="1"/>
  <c r="U39" i="2"/>
  <c r="K38" i="2" a="1"/>
  <c r="T39" i="2"/>
  <c r="N38" i="2" a="1"/>
  <c r="L38" i="2" a="1"/>
  <c r="Q39" i="2"/>
  <c r="P39" i="2"/>
  <c r="D34" i="9" a="1"/>
  <c r="S39" i="2"/>
  <c r="M35" i="9" a="1"/>
  <c r="J38" i="2" a="1"/>
  <c r="N33" i="9" l="1"/>
  <c r="Q33" i="9" s="1"/>
  <c r="P33" i="9" s="1"/>
  <c r="F33" i="9"/>
  <c r="G33" i="9" s="1"/>
  <c r="O108" i="9"/>
  <c r="O178" i="9"/>
  <c r="Q177" i="9"/>
  <c r="H107" i="9"/>
  <c r="H36" i="9"/>
  <c r="V39" i="2"/>
  <c r="O39" i="9" s="1"/>
  <c r="I39" i="9" s="1"/>
  <c r="Q107" i="9"/>
  <c r="P107" i="9" s="1"/>
  <c r="M107" i="9" a="1"/>
  <c r="M107" i="9" s="1"/>
  <c r="N107" i="9"/>
  <c r="M177" i="9" a="1"/>
  <c r="M177" i="9" s="1"/>
  <c r="N177" i="9"/>
  <c r="M35" i="9"/>
  <c r="L176" i="9"/>
  <c r="L36" i="9"/>
  <c r="L106" i="9"/>
  <c r="K179" i="9"/>
  <c r="K109" i="9"/>
  <c r="K39" i="9"/>
  <c r="L38" i="2"/>
  <c r="N38" i="2"/>
  <c r="K38" i="2"/>
  <c r="O38" i="2"/>
  <c r="M38" i="2"/>
  <c r="J38" i="2"/>
  <c r="E35" i="9"/>
  <c r="D34" i="9"/>
  <c r="AF79" i="8"/>
  <c r="P79" i="8"/>
  <c r="A81" i="8" a="1"/>
  <c r="A81" i="8" s="1"/>
  <c r="AB79" i="8"/>
  <c r="L79" i="8"/>
  <c r="Z79" i="8"/>
  <c r="J79" i="8"/>
  <c r="X79" i="8"/>
  <c r="H79" i="8"/>
  <c r="AL79" i="8"/>
  <c r="V79" i="8"/>
  <c r="F79" i="8"/>
  <c r="AJ79" i="8"/>
  <c r="T79" i="8"/>
  <c r="D79" i="8"/>
  <c r="AH79" i="8"/>
  <c r="R79" i="8"/>
  <c r="B79" i="8"/>
  <c r="AD79" i="8"/>
  <c r="N79" i="8"/>
  <c r="I41" i="2"/>
  <c r="AD78" i="8"/>
  <c r="N78" i="8"/>
  <c r="Z78" i="8"/>
  <c r="J78" i="8"/>
  <c r="X78" i="8"/>
  <c r="H78" i="8"/>
  <c r="AL78" i="8"/>
  <c r="V78" i="8"/>
  <c r="F78" i="8"/>
  <c r="AJ78" i="8"/>
  <c r="T78" i="8"/>
  <c r="D78" i="8"/>
  <c r="AH78" i="8"/>
  <c r="R78" i="8"/>
  <c r="B78" i="8"/>
  <c r="AF78" i="8"/>
  <c r="P78" i="8"/>
  <c r="AB78" i="8"/>
  <c r="L78" i="8"/>
  <c r="A80" i="8" a="1"/>
  <c r="A80" i="8" s="1"/>
  <c r="J33" i="9"/>
  <c r="B107" i="9"/>
  <c r="J107" i="9"/>
  <c r="D107" i="9" a="1"/>
  <c r="D107" i="9" s="1"/>
  <c r="F107" i="9" s="1"/>
  <c r="G107" i="9" s="1"/>
  <c r="E107" i="9"/>
  <c r="J177" i="9"/>
  <c r="D177" i="9" a="1"/>
  <c r="D177" i="9" s="1"/>
  <c r="F177" i="9" s="1"/>
  <c r="G177" i="9" s="1"/>
  <c r="E177" i="9"/>
  <c r="B177" i="9"/>
  <c r="B36" i="9"/>
  <c r="M36" i="9" a="1"/>
  <c r="T40" i="2"/>
  <c r="L39" i="2" a="1"/>
  <c r="D35" i="9" a="1"/>
  <c r="Q40" i="2"/>
  <c r="O39" i="2" a="1"/>
  <c r="K39" i="2" a="1"/>
  <c r="S40" i="2"/>
  <c r="P40" i="2"/>
  <c r="R40" i="2"/>
  <c r="M39" i="2" a="1"/>
  <c r="N39" i="2" a="1"/>
  <c r="J39" i="2" a="1"/>
  <c r="U40" i="2"/>
  <c r="N34" i="9" l="1"/>
  <c r="Q34" i="9" s="1"/>
  <c r="P34" i="9" s="1"/>
  <c r="F34" i="9"/>
  <c r="G34" i="9" s="1"/>
  <c r="O109" i="9"/>
  <c r="C109" i="9" s="1"/>
  <c r="O179" i="9"/>
  <c r="Q178" i="9"/>
  <c r="H108" i="9"/>
  <c r="H37" i="9"/>
  <c r="J39" i="2"/>
  <c r="Q108" i="9"/>
  <c r="P108" i="9" s="1"/>
  <c r="M108" i="9" a="1"/>
  <c r="M108" i="9" s="1"/>
  <c r="N108" i="9"/>
  <c r="M178" i="9" a="1"/>
  <c r="M178" i="9" s="1"/>
  <c r="N178" i="9"/>
  <c r="M36" i="9"/>
  <c r="L177" i="9"/>
  <c r="L37" i="9"/>
  <c r="L107" i="9"/>
  <c r="K180" i="9"/>
  <c r="K110" i="9"/>
  <c r="K40" i="9"/>
  <c r="O39" i="2"/>
  <c r="D35" i="9"/>
  <c r="N39" i="2"/>
  <c r="M39" i="2"/>
  <c r="E36" i="9"/>
  <c r="V40" i="2"/>
  <c r="O40" i="9" s="1"/>
  <c r="I40" i="9" s="1"/>
  <c r="K39" i="2"/>
  <c r="L39" i="2"/>
  <c r="AJ81" i="8"/>
  <c r="T81" i="8"/>
  <c r="D81" i="8"/>
  <c r="AF81" i="8"/>
  <c r="P81" i="8"/>
  <c r="AD81" i="8"/>
  <c r="N81" i="8"/>
  <c r="A83" i="8" a="1"/>
  <c r="A83" i="8" s="1"/>
  <c r="AB81" i="8"/>
  <c r="L81" i="8"/>
  <c r="Z81" i="8"/>
  <c r="J81" i="8"/>
  <c r="X81" i="8"/>
  <c r="H81" i="8"/>
  <c r="AL81" i="8"/>
  <c r="V81" i="8"/>
  <c r="F81" i="8"/>
  <c r="R81" i="8"/>
  <c r="B81" i="8"/>
  <c r="AH81" i="8"/>
  <c r="B37" i="9"/>
  <c r="AH80" i="8"/>
  <c r="R80" i="8"/>
  <c r="B80" i="8"/>
  <c r="AD80" i="8"/>
  <c r="N80" i="8"/>
  <c r="A82" i="8" a="1"/>
  <c r="A82" i="8" s="1"/>
  <c r="AB80" i="8"/>
  <c r="L80" i="8"/>
  <c r="Z80" i="8"/>
  <c r="J80" i="8"/>
  <c r="X80" i="8"/>
  <c r="H80" i="8"/>
  <c r="AL80" i="8"/>
  <c r="V80" i="8"/>
  <c r="F80" i="8"/>
  <c r="AJ80" i="8"/>
  <c r="T80" i="8"/>
  <c r="D80" i="8"/>
  <c r="AF80" i="8"/>
  <c r="P80" i="8"/>
  <c r="I42" i="2"/>
  <c r="B108" i="9"/>
  <c r="J108" i="9"/>
  <c r="E108" i="9"/>
  <c r="D108" i="9" a="1"/>
  <c r="D108" i="9" s="1"/>
  <c r="F108" i="9" s="1"/>
  <c r="G108" i="9" s="1"/>
  <c r="E178" i="9"/>
  <c r="B178" i="9"/>
  <c r="J178" i="9"/>
  <c r="D178" i="9" a="1"/>
  <c r="D178" i="9" s="1"/>
  <c r="F178" i="9" s="1"/>
  <c r="G178" i="9" s="1"/>
  <c r="J34" i="9"/>
  <c r="S41" i="2"/>
  <c r="U41" i="2"/>
  <c r="D36" i="9" a="1"/>
  <c r="K40" i="2" a="1"/>
  <c r="M37" i="9" a="1"/>
  <c r="Q41" i="2"/>
  <c r="L40" i="2" a="1"/>
  <c r="N40" i="2" a="1"/>
  <c r="T41" i="2"/>
  <c r="P41" i="2"/>
  <c r="M40" i="2" a="1"/>
  <c r="O40" i="2" a="1"/>
  <c r="R41" i="2"/>
  <c r="J40" i="2" a="1"/>
  <c r="N35" i="9" l="1"/>
  <c r="F35" i="9"/>
  <c r="G35" i="9" s="1"/>
  <c r="I109" i="9"/>
  <c r="H109" i="9"/>
  <c r="O110" i="9"/>
  <c r="O180" i="9"/>
  <c r="Q179" i="9"/>
  <c r="H38" i="9"/>
  <c r="Q35" i="9"/>
  <c r="P35" i="9" s="1"/>
  <c r="M179" i="9" a="1"/>
  <c r="M179" i="9" s="1"/>
  <c r="N179" i="9"/>
  <c r="M37" i="9"/>
  <c r="L178" i="9"/>
  <c r="L38" i="9"/>
  <c r="L108" i="9"/>
  <c r="K181" i="9"/>
  <c r="K111" i="9"/>
  <c r="K41" i="9"/>
  <c r="K40" i="2"/>
  <c r="E37" i="9"/>
  <c r="O40" i="2"/>
  <c r="V41" i="2"/>
  <c r="O41" i="9" s="1"/>
  <c r="I41" i="9" s="1"/>
  <c r="N40" i="2"/>
  <c r="J40" i="2"/>
  <c r="D36" i="9"/>
  <c r="M40" i="2"/>
  <c r="L40" i="2"/>
  <c r="AL82" i="8"/>
  <c r="V82" i="8"/>
  <c r="F82" i="8"/>
  <c r="AH82" i="8"/>
  <c r="R82" i="8"/>
  <c r="B82" i="8"/>
  <c r="AF82" i="8"/>
  <c r="P82" i="8"/>
  <c r="AD82" i="8"/>
  <c r="N82" i="8"/>
  <c r="A84" i="8" a="1"/>
  <c r="A84" i="8" s="1"/>
  <c r="AB82" i="8"/>
  <c r="L82" i="8"/>
  <c r="Z82" i="8"/>
  <c r="J82" i="8"/>
  <c r="X82" i="8"/>
  <c r="H82" i="8"/>
  <c r="AJ82" i="8"/>
  <c r="T82" i="8"/>
  <c r="D82" i="8"/>
  <c r="J179" i="9"/>
  <c r="D179" i="9" a="1"/>
  <c r="D179" i="9" s="1"/>
  <c r="F179" i="9" s="1"/>
  <c r="G179" i="9" s="1"/>
  <c r="E179" i="9"/>
  <c r="B179" i="9"/>
  <c r="B38" i="9"/>
  <c r="I43" i="2"/>
  <c r="X83" i="8"/>
  <c r="H83" i="8"/>
  <c r="AJ83" i="8"/>
  <c r="T83" i="8"/>
  <c r="D83" i="8"/>
  <c r="AH83" i="8"/>
  <c r="R83" i="8"/>
  <c r="B83" i="8"/>
  <c r="AF83" i="8"/>
  <c r="P83" i="8"/>
  <c r="AD83" i="8"/>
  <c r="N83" i="8"/>
  <c r="A85" i="8" a="1"/>
  <c r="A85" i="8" s="1"/>
  <c r="AB83" i="8"/>
  <c r="L83" i="8"/>
  <c r="Z83" i="8"/>
  <c r="J83" i="8"/>
  <c r="AL83" i="8"/>
  <c r="V83" i="8"/>
  <c r="F83" i="8"/>
  <c r="J35" i="9"/>
  <c r="M38" i="9" a="1"/>
  <c r="L41" i="2" a="1"/>
  <c r="D37" i="9" a="1"/>
  <c r="K41" i="2" a="1"/>
  <c r="R42" i="2"/>
  <c r="N41" i="2" a="1"/>
  <c r="J41" i="2" a="1"/>
  <c r="U42" i="2"/>
  <c r="P42" i="2"/>
  <c r="T42" i="2"/>
  <c r="O41" i="2" a="1"/>
  <c r="Q42" i="2"/>
  <c r="M41" i="2" a="1"/>
  <c r="S42" i="2"/>
  <c r="N36" i="9" l="1"/>
  <c r="Q36" i="9" s="1"/>
  <c r="P36" i="9" s="1"/>
  <c r="F36" i="9"/>
  <c r="G36" i="9" s="1"/>
  <c r="O111" i="9"/>
  <c r="O181" i="9"/>
  <c r="Q180" i="9"/>
  <c r="E180" i="9"/>
  <c r="H110" i="9"/>
  <c r="E110" i="9" s="1"/>
  <c r="H39" i="9"/>
  <c r="E109" i="9"/>
  <c r="Q110" i="9"/>
  <c r="P110" i="9" s="1"/>
  <c r="M110" i="9" a="1"/>
  <c r="M110" i="9" s="1"/>
  <c r="N110" i="9"/>
  <c r="M109" i="9" a="1"/>
  <c r="M109" i="9" s="1"/>
  <c r="M180" i="9" a="1"/>
  <c r="M180" i="9" s="1"/>
  <c r="N180" i="9"/>
  <c r="M38" i="9"/>
  <c r="L179" i="9"/>
  <c r="L39" i="9"/>
  <c r="L109" i="9"/>
  <c r="K182" i="9"/>
  <c r="K112" i="9"/>
  <c r="K42" i="9"/>
  <c r="M41" i="2"/>
  <c r="V42" i="2"/>
  <c r="O42" i="9" s="1"/>
  <c r="I42" i="9" s="1"/>
  <c r="J41" i="2"/>
  <c r="L41" i="2"/>
  <c r="D37" i="9"/>
  <c r="E38" i="9"/>
  <c r="O41" i="2"/>
  <c r="N41" i="2"/>
  <c r="K41" i="2"/>
  <c r="J110" i="9"/>
  <c r="D110" i="9" a="1"/>
  <c r="D110" i="9" s="1"/>
  <c r="F110" i="9" s="1"/>
  <c r="G110" i="9" s="1"/>
  <c r="B110" i="9"/>
  <c r="I44" i="2"/>
  <c r="B180" i="9"/>
  <c r="D180" i="9" a="1"/>
  <c r="D180" i="9" s="1"/>
  <c r="F180" i="9" s="1"/>
  <c r="G180" i="9" s="1"/>
  <c r="J180" i="9"/>
  <c r="B39" i="9"/>
  <c r="Z84" i="8"/>
  <c r="J84" i="8"/>
  <c r="AL84" i="8"/>
  <c r="V84" i="8"/>
  <c r="F84" i="8"/>
  <c r="AJ84" i="8"/>
  <c r="T84" i="8"/>
  <c r="D84" i="8"/>
  <c r="AH84" i="8"/>
  <c r="R84" i="8"/>
  <c r="B84" i="8"/>
  <c r="AF84" i="8"/>
  <c r="P84" i="8"/>
  <c r="AD84" i="8"/>
  <c r="N84" i="8"/>
  <c r="A86" i="8" a="1"/>
  <c r="A86" i="8" s="1"/>
  <c r="AB84" i="8"/>
  <c r="L84" i="8"/>
  <c r="H84" i="8"/>
  <c r="X84" i="8"/>
  <c r="J36" i="9"/>
  <c r="B109" i="9"/>
  <c r="A87" i="8" a="1"/>
  <c r="A87" i="8" s="1"/>
  <c r="AB85" i="8"/>
  <c r="L85" i="8"/>
  <c r="X85" i="8"/>
  <c r="H85" i="8"/>
  <c r="AL85" i="8"/>
  <c r="V85" i="8"/>
  <c r="F85" i="8"/>
  <c r="AJ85" i="8"/>
  <c r="T85" i="8"/>
  <c r="D85" i="8"/>
  <c r="AH85" i="8"/>
  <c r="R85" i="8"/>
  <c r="B85" i="8"/>
  <c r="AF85" i="8"/>
  <c r="P85" i="8"/>
  <c r="AD85" i="8"/>
  <c r="N85" i="8"/>
  <c r="Z85" i="8"/>
  <c r="J85" i="8"/>
  <c r="J42" i="2" a="1"/>
  <c r="P43" i="2"/>
  <c r="N42" i="2" a="1"/>
  <c r="U43" i="2"/>
  <c r="D38" i="9" a="1"/>
  <c r="K42" i="2" a="1"/>
  <c r="O42" i="2" a="1"/>
  <c r="M39" i="9" a="1"/>
  <c r="T43" i="2"/>
  <c r="S43" i="2"/>
  <c r="M42" i="2" a="1"/>
  <c r="Q43" i="2"/>
  <c r="L42" i="2" a="1"/>
  <c r="R43" i="2"/>
  <c r="N37" i="9" l="1"/>
  <c r="Q37" i="9" s="1"/>
  <c r="P37" i="9" s="1"/>
  <c r="F37" i="9"/>
  <c r="G37" i="9" s="1"/>
  <c r="O112" i="9"/>
  <c r="O182" i="9"/>
  <c r="Q181" i="9"/>
  <c r="H111" i="9"/>
  <c r="E111" i="9" s="1"/>
  <c r="H40" i="9"/>
  <c r="Q111" i="9"/>
  <c r="P111" i="9" s="1"/>
  <c r="M111" i="9" a="1"/>
  <c r="M111" i="9" s="1"/>
  <c r="N111" i="9"/>
  <c r="M181" i="9" a="1"/>
  <c r="M181" i="9" s="1"/>
  <c r="N181" i="9"/>
  <c r="L180" i="9"/>
  <c r="M39" i="9"/>
  <c r="L40" i="9"/>
  <c r="L110" i="9"/>
  <c r="K183" i="9"/>
  <c r="K113" i="9"/>
  <c r="K43" i="9"/>
  <c r="V43" i="2"/>
  <c r="O43" i="9" s="1"/>
  <c r="I43" i="9" s="1"/>
  <c r="O42" i="2"/>
  <c r="L42" i="2"/>
  <c r="D38" i="9"/>
  <c r="N42" i="2"/>
  <c r="J42" i="2"/>
  <c r="K42" i="2"/>
  <c r="E39" i="9"/>
  <c r="M42" i="2"/>
  <c r="J111" i="9"/>
  <c r="D111" i="9" a="1"/>
  <c r="D111" i="9" s="1"/>
  <c r="F111" i="9" s="1"/>
  <c r="G111" i="9" s="1"/>
  <c r="B111" i="9"/>
  <c r="B40" i="9"/>
  <c r="AH87" i="8"/>
  <c r="AF87" i="8"/>
  <c r="P87" i="8"/>
  <c r="AB87" i="8"/>
  <c r="L87" i="8"/>
  <c r="Z87" i="8"/>
  <c r="J87" i="8"/>
  <c r="X87" i="8"/>
  <c r="H87" i="8"/>
  <c r="V87" i="8"/>
  <c r="F87" i="8"/>
  <c r="AL87" i="8"/>
  <c r="T87" i="8"/>
  <c r="D87" i="8"/>
  <c r="AJ87" i="8"/>
  <c r="R87" i="8"/>
  <c r="B87" i="8"/>
  <c r="A89" i="8" a="1"/>
  <c r="A89" i="8" s="1"/>
  <c r="AD87" i="8"/>
  <c r="N87" i="8"/>
  <c r="E181" i="9"/>
  <c r="B181" i="9"/>
  <c r="J181" i="9"/>
  <c r="D181" i="9" a="1"/>
  <c r="D181" i="9" s="1"/>
  <c r="F181" i="9" s="1"/>
  <c r="G181" i="9" s="1"/>
  <c r="J37" i="9"/>
  <c r="I45" i="2"/>
  <c r="A88" i="8" a="1"/>
  <c r="A88" i="8" s="1"/>
  <c r="AD86" i="8"/>
  <c r="N86" i="8"/>
  <c r="Z86" i="8"/>
  <c r="J86" i="8"/>
  <c r="X86" i="8"/>
  <c r="H86" i="8"/>
  <c r="AL86" i="8"/>
  <c r="V86" i="8"/>
  <c r="F86" i="8"/>
  <c r="AJ86" i="8"/>
  <c r="T86" i="8"/>
  <c r="D86" i="8"/>
  <c r="AH86" i="8"/>
  <c r="R86" i="8"/>
  <c r="B86" i="8"/>
  <c r="AF86" i="8"/>
  <c r="P86" i="8"/>
  <c r="AB86" i="8"/>
  <c r="L86" i="8"/>
  <c r="D109" i="9" a="1"/>
  <c r="K43" i="2" a="1"/>
  <c r="P44" i="2"/>
  <c r="D39" i="9" a="1"/>
  <c r="O43" i="2" a="1"/>
  <c r="J43" i="2" a="1"/>
  <c r="T44" i="2"/>
  <c r="N43" i="2" a="1"/>
  <c r="M40" i="9" a="1"/>
  <c r="L43" i="2" a="1"/>
  <c r="Q44" i="2"/>
  <c r="M43" i="2" a="1"/>
  <c r="U44" i="2"/>
  <c r="S44" i="2"/>
  <c r="R44" i="2"/>
  <c r="N38" i="9" l="1"/>
  <c r="Q38" i="9" s="1"/>
  <c r="P38" i="9" s="1"/>
  <c r="F38" i="9"/>
  <c r="G38" i="9" s="1"/>
  <c r="O113" i="9"/>
  <c r="O183" i="9"/>
  <c r="Q182" i="9"/>
  <c r="E182" i="9"/>
  <c r="H112" i="9"/>
  <c r="E112" i="9" s="1"/>
  <c r="H41" i="9"/>
  <c r="D39" i="9"/>
  <c r="F39" i="9" s="1"/>
  <c r="G39" i="9" s="1"/>
  <c r="Q112" i="9"/>
  <c r="P112" i="9" s="1"/>
  <c r="M112" i="9" a="1"/>
  <c r="M112" i="9" s="1"/>
  <c r="N112" i="9"/>
  <c r="M182" i="9" a="1"/>
  <c r="M182" i="9" s="1"/>
  <c r="N182" i="9"/>
  <c r="M40" i="9"/>
  <c r="L181" i="9"/>
  <c r="L41" i="9"/>
  <c r="L111" i="9"/>
  <c r="K184" i="9"/>
  <c r="K114" i="9"/>
  <c r="K44" i="9"/>
  <c r="D109" i="9"/>
  <c r="E40" i="9"/>
  <c r="O43" i="2"/>
  <c r="N43" i="2"/>
  <c r="J43" i="2"/>
  <c r="V44" i="2"/>
  <c r="O44" i="9" s="1"/>
  <c r="I44" i="9" s="1"/>
  <c r="K43" i="2"/>
  <c r="M43" i="2"/>
  <c r="L43" i="2"/>
  <c r="J112" i="9"/>
  <c r="D112" i="9" a="1"/>
  <c r="D112" i="9" s="1"/>
  <c r="F112" i="9" s="1"/>
  <c r="G112" i="9" s="1"/>
  <c r="B112" i="9"/>
  <c r="B182" i="9"/>
  <c r="J182" i="9"/>
  <c r="D182" i="9" a="1"/>
  <c r="D182" i="9" s="1"/>
  <c r="F182" i="9" s="1"/>
  <c r="G182" i="9" s="1"/>
  <c r="B41" i="9"/>
  <c r="I46" i="2"/>
  <c r="J38" i="9"/>
  <c r="AL89" i="8"/>
  <c r="V89" i="8"/>
  <c r="F89" i="8"/>
  <c r="AH89" i="8"/>
  <c r="R89" i="8"/>
  <c r="B89" i="8"/>
  <c r="Z89" i="8"/>
  <c r="D89" i="8"/>
  <c r="T89" i="8"/>
  <c r="P89" i="8"/>
  <c r="AJ89" i="8"/>
  <c r="N89" i="8"/>
  <c r="AF89" i="8"/>
  <c r="L89" i="8"/>
  <c r="A91" i="8" a="1"/>
  <c r="A91" i="8" s="1"/>
  <c r="AD89" i="8"/>
  <c r="J89" i="8"/>
  <c r="AB89" i="8"/>
  <c r="H89" i="8"/>
  <c r="X89" i="8"/>
  <c r="A90" i="8" a="1"/>
  <c r="A90" i="8" s="1"/>
  <c r="AJ88" i="8"/>
  <c r="T88" i="8"/>
  <c r="D88" i="8"/>
  <c r="AF88" i="8"/>
  <c r="P88" i="8"/>
  <c r="AB88" i="8"/>
  <c r="H88" i="8"/>
  <c r="X88" i="8"/>
  <c r="B88" i="8"/>
  <c r="V88" i="8"/>
  <c r="R88" i="8"/>
  <c r="AL88" i="8"/>
  <c r="N88" i="8"/>
  <c r="AH88" i="8"/>
  <c r="L88" i="8"/>
  <c r="AD88" i="8"/>
  <c r="J88" i="8"/>
  <c r="Z88" i="8"/>
  <c r="F88" i="8"/>
  <c r="M44" i="2" a="1"/>
  <c r="O44" i="2" a="1"/>
  <c r="U45" i="2"/>
  <c r="M41" i="9" a="1"/>
  <c r="K44" i="2" a="1"/>
  <c r="S45" i="2"/>
  <c r="J44" i="2" a="1"/>
  <c r="Q45" i="2"/>
  <c r="L44" i="2" a="1"/>
  <c r="T45" i="2"/>
  <c r="D40" i="9" a="1"/>
  <c r="P45" i="2"/>
  <c r="R45" i="2"/>
  <c r="N44" i="2" a="1"/>
  <c r="N109" i="9" l="1"/>
  <c r="F109" i="9"/>
  <c r="G109" i="9" s="1"/>
  <c r="O114" i="9"/>
  <c r="O184" i="9"/>
  <c r="Q183" i="9"/>
  <c r="H113" i="9"/>
  <c r="E113" i="9" s="1"/>
  <c r="H42" i="9"/>
  <c r="Q113" i="9"/>
  <c r="P113" i="9" s="1"/>
  <c r="Q109" i="9"/>
  <c r="P109" i="9" s="1"/>
  <c r="M113" i="9" a="1"/>
  <c r="M113" i="9" s="1"/>
  <c r="N113" i="9"/>
  <c r="M183" i="9" a="1"/>
  <c r="M183" i="9" s="1"/>
  <c r="N183" i="9"/>
  <c r="M41" i="9"/>
  <c r="L182" i="9"/>
  <c r="L42" i="9"/>
  <c r="L112" i="9"/>
  <c r="K185" i="9"/>
  <c r="K115" i="9"/>
  <c r="K45" i="9"/>
  <c r="N39" i="9"/>
  <c r="D40" i="9"/>
  <c r="J44" i="2"/>
  <c r="O44" i="2"/>
  <c r="M44" i="2"/>
  <c r="N44" i="2"/>
  <c r="V45" i="2"/>
  <c r="O45" i="9" s="1"/>
  <c r="I45" i="9" s="1"/>
  <c r="E41" i="9"/>
  <c r="L44" i="2"/>
  <c r="K44" i="2"/>
  <c r="B113" i="9"/>
  <c r="J113" i="9"/>
  <c r="D113" i="9" a="1"/>
  <c r="D113" i="9" s="1"/>
  <c r="F113" i="9" s="1"/>
  <c r="G113" i="9" s="1"/>
  <c r="AF90" i="8"/>
  <c r="P90" i="8"/>
  <c r="A92" i="8" a="1"/>
  <c r="A92" i="8" s="1"/>
  <c r="AB90" i="8"/>
  <c r="L90" i="8"/>
  <c r="X90" i="8"/>
  <c r="H90" i="8"/>
  <c r="AJ90" i="8"/>
  <c r="T90" i="8"/>
  <c r="D90" i="8"/>
  <c r="AL90" i="8"/>
  <c r="F90" i="8"/>
  <c r="AD90" i="8"/>
  <c r="Z90" i="8"/>
  <c r="V90" i="8"/>
  <c r="R90" i="8"/>
  <c r="N90" i="8"/>
  <c r="J90" i="8"/>
  <c r="AH90" i="8"/>
  <c r="B90" i="8"/>
  <c r="B183" i="9"/>
  <c r="J183" i="9"/>
  <c r="D183" i="9" a="1"/>
  <c r="D183" i="9" s="1"/>
  <c r="F183" i="9" s="1"/>
  <c r="G183" i="9" s="1"/>
  <c r="E183" i="9"/>
  <c r="AH91" i="8"/>
  <c r="R91" i="8"/>
  <c r="B91" i="8"/>
  <c r="AD91" i="8"/>
  <c r="N91" i="8"/>
  <c r="Z91" i="8"/>
  <c r="J91" i="8"/>
  <c r="AL91" i="8"/>
  <c r="V91" i="8"/>
  <c r="F91" i="8"/>
  <c r="X91" i="8"/>
  <c r="P91" i="8"/>
  <c r="L91" i="8"/>
  <c r="H91" i="8"/>
  <c r="AJ91" i="8"/>
  <c r="D91" i="8"/>
  <c r="AF91" i="8"/>
  <c r="A93" i="8" a="1"/>
  <c r="A93" i="8" s="1"/>
  <c r="AB91" i="8"/>
  <c r="T91" i="8"/>
  <c r="J109" i="9"/>
  <c r="I47" i="2"/>
  <c r="B42" i="9"/>
  <c r="O45" i="2" a="1"/>
  <c r="Q46" i="2"/>
  <c r="S46" i="2"/>
  <c r="U46" i="2"/>
  <c r="K45" i="2" a="1"/>
  <c r="N45" i="2" a="1"/>
  <c r="P46" i="2"/>
  <c r="T46" i="2"/>
  <c r="M42" i="9" a="1"/>
  <c r="J45" i="2" a="1"/>
  <c r="L45" i="2" a="1"/>
  <c r="R46" i="2"/>
  <c r="M45" i="2" a="1"/>
  <c r="D41" i="9" a="1"/>
  <c r="N40" i="9" l="1"/>
  <c r="F40" i="9"/>
  <c r="G40" i="9" s="1"/>
  <c r="O115" i="9"/>
  <c r="O185" i="9"/>
  <c r="Q184" i="9"/>
  <c r="H114" i="9"/>
  <c r="H43" i="9"/>
  <c r="Q114" i="9"/>
  <c r="P114" i="9" s="1"/>
  <c r="Q40" i="9"/>
  <c r="P40" i="9" s="1"/>
  <c r="Q39" i="9"/>
  <c r="P39" i="9" s="1"/>
  <c r="M114" i="9" a="1"/>
  <c r="M114" i="9" s="1"/>
  <c r="N114" i="9"/>
  <c r="M184" i="9" a="1"/>
  <c r="M184" i="9" s="1"/>
  <c r="N184" i="9"/>
  <c r="M42" i="9"/>
  <c r="L183" i="9"/>
  <c r="L43" i="9"/>
  <c r="L113" i="9"/>
  <c r="J39" i="9"/>
  <c r="K186" i="9"/>
  <c r="K116" i="9"/>
  <c r="K46" i="9"/>
  <c r="V46" i="2"/>
  <c r="O46" i="9" s="1"/>
  <c r="I46" i="9" s="1"/>
  <c r="K45" i="2"/>
  <c r="D41" i="9"/>
  <c r="E42" i="9"/>
  <c r="J45" i="2"/>
  <c r="N45" i="2"/>
  <c r="O45" i="2"/>
  <c r="M45" i="2"/>
  <c r="L45" i="2"/>
  <c r="AJ92" i="8"/>
  <c r="T92" i="8"/>
  <c r="D92" i="8"/>
  <c r="AF92" i="8"/>
  <c r="P92" i="8"/>
  <c r="A94" i="8" a="1"/>
  <c r="A94" i="8" s="1"/>
  <c r="AB92" i="8"/>
  <c r="L92" i="8"/>
  <c r="X92" i="8"/>
  <c r="H92" i="8"/>
  <c r="J92" i="8"/>
  <c r="AH92" i="8"/>
  <c r="B92" i="8"/>
  <c r="AD92" i="8"/>
  <c r="Z92" i="8"/>
  <c r="V92" i="8"/>
  <c r="R92" i="8"/>
  <c r="N92" i="8"/>
  <c r="AL92" i="8"/>
  <c r="F92" i="8"/>
  <c r="B43" i="9"/>
  <c r="E114" i="9"/>
  <c r="B114" i="9"/>
  <c r="J114" i="9"/>
  <c r="D114" i="9" a="1"/>
  <c r="D114" i="9" s="1"/>
  <c r="F114" i="9" s="1"/>
  <c r="G114" i="9" s="1"/>
  <c r="J184" i="9"/>
  <c r="D184" i="9" a="1"/>
  <c r="D184" i="9" s="1"/>
  <c r="F184" i="9" s="1"/>
  <c r="G184" i="9" s="1"/>
  <c r="B184" i="9"/>
  <c r="E184" i="9"/>
  <c r="AL93" i="8"/>
  <c r="V93" i="8"/>
  <c r="F93" i="8"/>
  <c r="AH93" i="8"/>
  <c r="R93" i="8"/>
  <c r="B93" i="8"/>
  <c r="AD93" i="8"/>
  <c r="N93" i="8"/>
  <c r="Z93" i="8"/>
  <c r="J93" i="8"/>
  <c r="A95" i="8" a="1"/>
  <c r="A95" i="8" s="1"/>
  <c r="AB93" i="8"/>
  <c r="T93" i="8"/>
  <c r="P93" i="8"/>
  <c r="L93" i="8"/>
  <c r="H93" i="8"/>
  <c r="AJ93" i="8"/>
  <c r="D93" i="8"/>
  <c r="AF93" i="8"/>
  <c r="X93" i="8"/>
  <c r="J40" i="9"/>
  <c r="I48" i="2"/>
  <c r="U47" i="2"/>
  <c r="K46" i="2" a="1"/>
  <c r="M43" i="9" a="1"/>
  <c r="N46" i="2" a="1"/>
  <c r="L46" i="2" a="1"/>
  <c r="P47" i="2"/>
  <c r="J46" i="2" a="1"/>
  <c r="O46" i="2" a="1"/>
  <c r="T47" i="2"/>
  <c r="Q47" i="2"/>
  <c r="S47" i="2"/>
  <c r="R47" i="2"/>
  <c r="D42" i="9" a="1"/>
  <c r="M46" i="2" a="1"/>
  <c r="N41" i="9" l="1"/>
  <c r="F41" i="9"/>
  <c r="G41" i="9" s="1"/>
  <c r="O116" i="9"/>
  <c r="O186" i="9"/>
  <c r="Q185" i="9"/>
  <c r="H115" i="9"/>
  <c r="H44" i="9"/>
  <c r="Q115" i="9"/>
  <c r="P115" i="9" s="1"/>
  <c r="Q41" i="9"/>
  <c r="P41" i="9" s="1"/>
  <c r="M115" i="9" a="1"/>
  <c r="M115" i="9" s="1"/>
  <c r="N115" i="9"/>
  <c r="M185" i="9" a="1"/>
  <c r="M185" i="9" s="1"/>
  <c r="N185" i="9"/>
  <c r="M43" i="9"/>
  <c r="L184" i="9"/>
  <c r="M44" i="9" a="1"/>
  <c r="M44" i="9" s="1"/>
  <c r="L44" i="9"/>
  <c r="L114" i="9"/>
  <c r="K187" i="9"/>
  <c r="K117" i="9"/>
  <c r="K47" i="9"/>
  <c r="E43" i="9"/>
  <c r="D42" i="9"/>
  <c r="O46" i="2"/>
  <c r="K46" i="2"/>
  <c r="V47" i="2"/>
  <c r="O47" i="9" s="1"/>
  <c r="I47" i="9" s="1"/>
  <c r="N46" i="2"/>
  <c r="M46" i="2"/>
  <c r="J46" i="2"/>
  <c r="L46" i="2"/>
  <c r="J41" i="9"/>
  <c r="Z95" i="8"/>
  <c r="J95" i="8"/>
  <c r="AL95" i="8"/>
  <c r="V95" i="8"/>
  <c r="F95" i="8"/>
  <c r="AH95" i="8"/>
  <c r="R95" i="8"/>
  <c r="B95" i="8"/>
  <c r="AD95" i="8"/>
  <c r="N95" i="8"/>
  <c r="AF95" i="8"/>
  <c r="X95" i="8"/>
  <c r="T95" i="8"/>
  <c r="P95" i="8"/>
  <c r="L95" i="8"/>
  <c r="H95" i="8"/>
  <c r="AJ95" i="8"/>
  <c r="D95" i="8"/>
  <c r="AB95" i="8"/>
  <c r="A97" i="8" a="1"/>
  <c r="A97" i="8" s="1"/>
  <c r="E185" i="9"/>
  <c r="J185" i="9"/>
  <c r="D185" i="9" a="1"/>
  <c r="D185" i="9" s="1"/>
  <c r="F185" i="9" s="1"/>
  <c r="G185" i="9" s="1"/>
  <c r="B185" i="9"/>
  <c r="B44" i="9"/>
  <c r="I49" i="2"/>
  <c r="B115" i="9"/>
  <c r="J115" i="9"/>
  <c r="D115" i="9" a="1"/>
  <c r="D115" i="9" s="1"/>
  <c r="F115" i="9" s="1"/>
  <c r="G115" i="9" s="1"/>
  <c r="E115" i="9"/>
  <c r="X94" i="8"/>
  <c r="H94" i="8"/>
  <c r="AJ94" i="8"/>
  <c r="T94" i="8"/>
  <c r="D94" i="8"/>
  <c r="AF94" i="8"/>
  <c r="P94" i="8"/>
  <c r="A96" i="8" a="1"/>
  <c r="A96" i="8" s="1"/>
  <c r="AB94" i="8"/>
  <c r="L94" i="8"/>
  <c r="N94" i="8"/>
  <c r="AL94" i="8"/>
  <c r="F94" i="8"/>
  <c r="AH94" i="8"/>
  <c r="B94" i="8"/>
  <c r="AD94" i="8"/>
  <c r="Z94" i="8"/>
  <c r="V94" i="8"/>
  <c r="R94" i="8"/>
  <c r="J94" i="8"/>
  <c r="M47" i="2" a="1"/>
  <c r="J47" i="2" a="1"/>
  <c r="P48" i="2"/>
  <c r="O47" i="2" a="1"/>
  <c r="L47" i="2" a="1"/>
  <c r="R48" i="2"/>
  <c r="U48" i="2"/>
  <c r="N47" i="2" a="1"/>
  <c r="K47" i="2" a="1"/>
  <c r="Q48" i="2"/>
  <c r="T48" i="2"/>
  <c r="D43" i="9" a="1"/>
  <c r="S48" i="2"/>
  <c r="N42" i="9" l="1"/>
  <c r="Q42" i="9" s="1"/>
  <c r="P42" i="9" s="1"/>
  <c r="F42" i="9"/>
  <c r="G42" i="9" s="1"/>
  <c r="O117" i="9"/>
  <c r="O187" i="9"/>
  <c r="Q186" i="9"/>
  <c r="E186" i="9"/>
  <c r="H116" i="9"/>
  <c r="E116" i="9" s="1"/>
  <c r="H45" i="9"/>
  <c r="Q116" i="9"/>
  <c r="P116" i="9" s="1"/>
  <c r="M116" i="9" a="1"/>
  <c r="M116" i="9" s="1"/>
  <c r="N116" i="9"/>
  <c r="M186" i="9" a="1"/>
  <c r="M186" i="9" s="1"/>
  <c r="N186" i="9"/>
  <c r="L185" i="9"/>
  <c r="M45" i="9" a="1"/>
  <c r="M45" i="9" s="1"/>
  <c r="L45" i="9"/>
  <c r="L115" i="9"/>
  <c r="K188" i="9"/>
  <c r="K118" i="9"/>
  <c r="K48" i="9"/>
  <c r="O47" i="2"/>
  <c r="J47" i="2"/>
  <c r="N47" i="2"/>
  <c r="L47" i="2"/>
  <c r="K47" i="2"/>
  <c r="V48" i="2"/>
  <c r="O48" i="9" s="1"/>
  <c r="M47" i="2"/>
  <c r="D43" i="9"/>
  <c r="B186" i="9"/>
  <c r="J186" i="9"/>
  <c r="D186" i="9" a="1"/>
  <c r="D186" i="9" s="1"/>
  <c r="F186" i="9" s="1"/>
  <c r="G186" i="9" s="1"/>
  <c r="J116" i="9"/>
  <c r="D116" i="9" a="1"/>
  <c r="D116" i="9" s="1"/>
  <c r="F116" i="9" s="1"/>
  <c r="G116" i="9" s="1"/>
  <c r="B116" i="9"/>
  <c r="AD97" i="8"/>
  <c r="N97" i="8"/>
  <c r="Z97" i="8"/>
  <c r="J97" i="8"/>
  <c r="AL97" i="8"/>
  <c r="V97" i="8"/>
  <c r="F97" i="8"/>
  <c r="AH97" i="8"/>
  <c r="R97" i="8"/>
  <c r="B97" i="8"/>
  <c r="AJ97" i="8"/>
  <c r="D97" i="8"/>
  <c r="A99" i="8" a="1"/>
  <c r="A99" i="8" s="1"/>
  <c r="AB97" i="8"/>
  <c r="X97" i="8"/>
  <c r="T97" i="8"/>
  <c r="P97" i="8"/>
  <c r="L97" i="8"/>
  <c r="H97" i="8"/>
  <c r="AF97" i="8"/>
  <c r="A98" i="8" a="1"/>
  <c r="A98" i="8" s="1"/>
  <c r="AB96" i="8"/>
  <c r="L96" i="8"/>
  <c r="X96" i="8"/>
  <c r="H96" i="8"/>
  <c r="AJ96" i="8"/>
  <c r="T96" i="8"/>
  <c r="D96" i="8"/>
  <c r="AF96" i="8"/>
  <c r="P96" i="8"/>
  <c r="R96" i="8"/>
  <c r="J96" i="8"/>
  <c r="AL96" i="8"/>
  <c r="F96" i="8"/>
  <c r="AH96" i="8"/>
  <c r="B96" i="8"/>
  <c r="AD96" i="8"/>
  <c r="Z96" i="8"/>
  <c r="V96" i="8"/>
  <c r="N96" i="8"/>
  <c r="I50" i="2"/>
  <c r="J42" i="9"/>
  <c r="B45" i="9"/>
  <c r="K48" i="2" a="1"/>
  <c r="M48" i="2" a="1"/>
  <c r="L48" i="2" a="1"/>
  <c r="U49" i="2"/>
  <c r="T49" i="2"/>
  <c r="O48" i="2" a="1"/>
  <c r="S49" i="2"/>
  <c r="R49" i="2"/>
  <c r="Q49" i="2"/>
  <c r="P49" i="2"/>
  <c r="N48" i="2" a="1"/>
  <c r="J48" i="2" a="1"/>
  <c r="N43" i="9" l="1"/>
  <c r="F43" i="9"/>
  <c r="G43" i="9" s="1"/>
  <c r="O118" i="9"/>
  <c r="O188" i="9"/>
  <c r="Q187" i="9"/>
  <c r="H117" i="9"/>
  <c r="E117" i="9" s="1"/>
  <c r="H46" i="9"/>
  <c r="Q117" i="9"/>
  <c r="P117" i="9" s="1"/>
  <c r="Q43" i="9"/>
  <c r="P43" i="9" s="1"/>
  <c r="M117" i="9" a="1"/>
  <c r="M117" i="9" s="1"/>
  <c r="N117" i="9"/>
  <c r="M187" i="9" a="1"/>
  <c r="M187" i="9" s="1"/>
  <c r="N187" i="9"/>
  <c r="L186" i="9"/>
  <c r="L46" i="9"/>
  <c r="L116" i="9"/>
  <c r="K189" i="9"/>
  <c r="K119" i="9"/>
  <c r="K49" i="9"/>
  <c r="J48" i="2"/>
  <c r="N48" i="2"/>
  <c r="M48" i="2"/>
  <c r="V49" i="2"/>
  <c r="O49" i="9" s="1"/>
  <c r="I49" i="9" s="1"/>
  <c r="O48" i="2"/>
  <c r="K48" i="2"/>
  <c r="L48" i="2"/>
  <c r="E44" i="9"/>
  <c r="J117" i="9"/>
  <c r="D117" i="9" a="1"/>
  <c r="D117" i="9" s="1"/>
  <c r="F117" i="9" s="1"/>
  <c r="G117" i="9" s="1"/>
  <c r="B117" i="9"/>
  <c r="I51" i="2"/>
  <c r="AF98" i="8"/>
  <c r="P98" i="8"/>
  <c r="A100" i="8" a="1"/>
  <c r="A100" i="8" s="1"/>
  <c r="AB98" i="8"/>
  <c r="L98" i="8"/>
  <c r="X98" i="8"/>
  <c r="H98" i="8"/>
  <c r="AJ98" i="8"/>
  <c r="T98" i="8"/>
  <c r="D98" i="8"/>
  <c r="V98" i="8"/>
  <c r="N98" i="8"/>
  <c r="J98" i="8"/>
  <c r="AL98" i="8"/>
  <c r="F98" i="8"/>
  <c r="AH98" i="8"/>
  <c r="B98" i="8"/>
  <c r="AD98" i="8"/>
  <c r="Z98" i="8"/>
  <c r="R98" i="8"/>
  <c r="AH99" i="8"/>
  <c r="R99" i="8"/>
  <c r="B99" i="8"/>
  <c r="AD99" i="8"/>
  <c r="N99" i="8"/>
  <c r="Z99" i="8"/>
  <c r="J99" i="8"/>
  <c r="AL99" i="8"/>
  <c r="V99" i="8"/>
  <c r="F99" i="8"/>
  <c r="H99" i="8"/>
  <c r="AF99" i="8"/>
  <c r="A101" i="8" a="1"/>
  <c r="A101" i="8" s="1"/>
  <c r="AB99" i="8"/>
  <c r="X99" i="8"/>
  <c r="T99" i="8"/>
  <c r="P99" i="8"/>
  <c r="L99" i="8"/>
  <c r="AJ99" i="8"/>
  <c r="D99" i="8"/>
  <c r="J187" i="9"/>
  <c r="D187" i="9" a="1"/>
  <c r="D187" i="9" s="1"/>
  <c r="F187" i="9" s="1"/>
  <c r="G187" i="9" s="1"/>
  <c r="E187" i="9"/>
  <c r="B187" i="9"/>
  <c r="J43" i="9"/>
  <c r="B46" i="9"/>
  <c r="D44" i="9" a="1"/>
  <c r="P50" i="2"/>
  <c r="L49" i="2" a="1"/>
  <c r="K49" i="2" a="1"/>
  <c r="N49" i="2" a="1"/>
  <c r="M46" i="9" a="1"/>
  <c r="U50" i="2"/>
  <c r="R50" i="2"/>
  <c r="J49" i="2" a="1"/>
  <c r="O49" i="2" a="1"/>
  <c r="Q50" i="2"/>
  <c r="T50" i="2"/>
  <c r="M49" i="2" a="1"/>
  <c r="S50" i="2"/>
  <c r="O119" i="9" l="1"/>
  <c r="O189" i="9"/>
  <c r="Q188" i="9"/>
  <c r="H118" i="9"/>
  <c r="H47" i="9"/>
  <c r="H48" i="9"/>
  <c r="E48" i="9" s="1"/>
  <c r="Q118" i="9"/>
  <c r="P118" i="9" s="1"/>
  <c r="Q48" i="9"/>
  <c r="P48" i="9" s="1"/>
  <c r="N48" i="9"/>
  <c r="M188" i="9" a="1"/>
  <c r="M188" i="9" s="1"/>
  <c r="N188" i="9"/>
  <c r="M118" i="9" a="1"/>
  <c r="M118" i="9" s="1"/>
  <c r="N118" i="9"/>
  <c r="M46" i="9"/>
  <c r="L188" i="9"/>
  <c r="M48" i="9" a="1"/>
  <c r="M48" i="9" s="1"/>
  <c r="L187" i="9"/>
  <c r="L47" i="9"/>
  <c r="L117" i="9"/>
  <c r="L48" i="9"/>
  <c r="L118" i="9"/>
  <c r="K190" i="9"/>
  <c r="K120" i="9"/>
  <c r="K50" i="9"/>
  <c r="E45" i="9"/>
  <c r="N49" i="2"/>
  <c r="O49" i="2"/>
  <c r="L49" i="2"/>
  <c r="V50" i="2"/>
  <c r="O50" i="9" s="1"/>
  <c r="I50" i="9" s="1"/>
  <c r="D44" i="9"/>
  <c r="K49" i="2"/>
  <c r="M49" i="2"/>
  <c r="E46" i="9"/>
  <c r="J49" i="2"/>
  <c r="J48" i="9"/>
  <c r="D48" i="9" a="1"/>
  <c r="D48" i="9" s="1"/>
  <c r="F48" i="9" s="1"/>
  <c r="G48" i="9" s="1"/>
  <c r="B48" i="9"/>
  <c r="AJ100" i="8"/>
  <c r="T100" i="8"/>
  <c r="D100" i="8"/>
  <c r="AF100" i="8"/>
  <c r="P100" i="8"/>
  <c r="A102" i="8" a="1"/>
  <c r="A102" i="8" s="1"/>
  <c r="AB100" i="8"/>
  <c r="L100" i="8"/>
  <c r="X100" i="8"/>
  <c r="H100" i="8"/>
  <c r="Z100" i="8"/>
  <c r="R100" i="8"/>
  <c r="N100" i="8"/>
  <c r="J100" i="8"/>
  <c r="AL100" i="8"/>
  <c r="F100" i="8"/>
  <c r="AH100" i="8"/>
  <c r="B100" i="8"/>
  <c r="AD100" i="8"/>
  <c r="V100" i="8"/>
  <c r="I52" i="2"/>
  <c r="J118" i="9"/>
  <c r="D118" i="9" a="1"/>
  <c r="D118" i="9" s="1"/>
  <c r="F118" i="9" s="1"/>
  <c r="G118" i="9" s="1"/>
  <c r="E118" i="9"/>
  <c r="B118" i="9"/>
  <c r="J188" i="9"/>
  <c r="D188" i="9" a="1"/>
  <c r="D188" i="9" s="1"/>
  <c r="F188" i="9" s="1"/>
  <c r="G188" i="9" s="1"/>
  <c r="E188" i="9"/>
  <c r="B188" i="9"/>
  <c r="B47" i="9"/>
  <c r="AL101" i="8"/>
  <c r="V101" i="8"/>
  <c r="F101" i="8"/>
  <c r="AH101" i="8"/>
  <c r="R101" i="8"/>
  <c r="B101" i="8"/>
  <c r="AD101" i="8"/>
  <c r="N101" i="8"/>
  <c r="Z101" i="8"/>
  <c r="J101" i="8"/>
  <c r="L101" i="8"/>
  <c r="AJ101" i="8"/>
  <c r="D101" i="8"/>
  <c r="AF101" i="8"/>
  <c r="A103" i="8" a="1"/>
  <c r="A103" i="8" s="1"/>
  <c r="AB101" i="8"/>
  <c r="X101" i="8"/>
  <c r="T101" i="8"/>
  <c r="P101" i="8"/>
  <c r="H101" i="8"/>
  <c r="D45" i="9" a="1"/>
  <c r="N50" i="2" a="1"/>
  <c r="K50" i="2" a="1"/>
  <c r="S51" i="2"/>
  <c r="T51" i="2"/>
  <c r="L50" i="2" a="1"/>
  <c r="Q51" i="2"/>
  <c r="M50" i="2" a="1"/>
  <c r="D46" i="9" a="1"/>
  <c r="J50" i="2" a="1"/>
  <c r="P51" i="2"/>
  <c r="R51" i="2"/>
  <c r="U51" i="2"/>
  <c r="O50" i="2" a="1"/>
  <c r="M47" i="9" a="1"/>
  <c r="N44" i="9" l="1"/>
  <c r="Q44" i="9" s="1"/>
  <c r="P44" i="9" s="1"/>
  <c r="F44" i="9"/>
  <c r="G44" i="9" s="1"/>
  <c r="O120" i="9"/>
  <c r="O190" i="9"/>
  <c r="Q189" i="9"/>
  <c r="E189" i="9"/>
  <c r="H119" i="9"/>
  <c r="E119" i="9" s="1"/>
  <c r="Q119" i="9"/>
  <c r="P119" i="9" s="1"/>
  <c r="M189" i="9" a="1"/>
  <c r="M189" i="9" s="1"/>
  <c r="N189" i="9"/>
  <c r="M119" i="9" a="1"/>
  <c r="M119" i="9" s="1"/>
  <c r="N119" i="9"/>
  <c r="M47" i="9"/>
  <c r="K191" i="9"/>
  <c r="K121" i="9"/>
  <c r="K51" i="9"/>
  <c r="D45" i="9"/>
  <c r="E47" i="9"/>
  <c r="V51" i="2"/>
  <c r="O51" i="9" s="1"/>
  <c r="I51" i="9" s="1"/>
  <c r="D46" i="9"/>
  <c r="O50" i="2"/>
  <c r="N50" i="2"/>
  <c r="J50" i="2"/>
  <c r="M50" i="2"/>
  <c r="L50" i="2"/>
  <c r="K50" i="2"/>
  <c r="Z103" i="8"/>
  <c r="J103" i="8"/>
  <c r="AL103" i="8"/>
  <c r="V103" i="8"/>
  <c r="F103" i="8"/>
  <c r="AH103" i="8"/>
  <c r="R103" i="8"/>
  <c r="B103" i="8"/>
  <c r="AD103" i="8"/>
  <c r="N103" i="8"/>
  <c r="P103" i="8"/>
  <c r="H103" i="8"/>
  <c r="AJ103" i="8"/>
  <c r="D103" i="8"/>
  <c r="AF103" i="8"/>
  <c r="A105" i="8" a="1"/>
  <c r="A105" i="8" s="1"/>
  <c r="AB103" i="8"/>
  <c r="X103" i="8"/>
  <c r="T103" i="8"/>
  <c r="L103" i="8"/>
  <c r="J119" i="9"/>
  <c r="D119" i="9" a="1"/>
  <c r="D119" i="9" s="1"/>
  <c r="F119" i="9" s="1"/>
  <c r="G119" i="9" s="1"/>
  <c r="B119" i="9"/>
  <c r="B189" i="9"/>
  <c r="J189" i="9"/>
  <c r="D189" i="9" a="1"/>
  <c r="D189" i="9" s="1"/>
  <c r="F189" i="9" s="1"/>
  <c r="G189" i="9" s="1"/>
  <c r="X102" i="8"/>
  <c r="H102" i="8"/>
  <c r="AJ102" i="8"/>
  <c r="T102" i="8"/>
  <c r="D102" i="8"/>
  <c r="AF102" i="8"/>
  <c r="P102" i="8"/>
  <c r="A104" i="8" a="1"/>
  <c r="A104" i="8" s="1"/>
  <c r="AB102" i="8"/>
  <c r="L102" i="8"/>
  <c r="AD102" i="8"/>
  <c r="V102" i="8"/>
  <c r="R102" i="8"/>
  <c r="N102" i="8"/>
  <c r="J102" i="8"/>
  <c r="AL102" i="8"/>
  <c r="F102" i="8"/>
  <c r="AH102" i="8"/>
  <c r="B102" i="8"/>
  <c r="Z102" i="8"/>
  <c r="J44" i="9"/>
  <c r="I53" i="2"/>
  <c r="T52" i="2"/>
  <c r="L51" i="2" a="1"/>
  <c r="S52" i="2"/>
  <c r="D47" i="9" a="1"/>
  <c r="R52" i="2"/>
  <c r="K51" i="2" a="1"/>
  <c r="Q52" i="2"/>
  <c r="M51" i="2" a="1"/>
  <c r="P52" i="2"/>
  <c r="J51" i="2" a="1"/>
  <c r="O51" i="2" a="1"/>
  <c r="U52" i="2"/>
  <c r="N51" i="2" a="1"/>
  <c r="N45" i="9" l="1"/>
  <c r="Q45" i="9" s="1"/>
  <c r="P45" i="9" s="1"/>
  <c r="F45" i="9"/>
  <c r="G45" i="9" s="1"/>
  <c r="N46" i="9"/>
  <c r="F46" i="9"/>
  <c r="G46" i="9" s="1"/>
  <c r="O121" i="9"/>
  <c r="O191" i="9"/>
  <c r="Q190" i="9"/>
  <c r="H120" i="9"/>
  <c r="H49" i="9"/>
  <c r="Q120" i="9"/>
  <c r="P120" i="9" s="1"/>
  <c r="Q46" i="9"/>
  <c r="P46" i="9" s="1"/>
  <c r="M190" i="9" a="1"/>
  <c r="M190" i="9" s="1"/>
  <c r="N190" i="9"/>
  <c r="M120" i="9" a="1"/>
  <c r="M120" i="9" s="1"/>
  <c r="N120" i="9"/>
  <c r="J45" i="9"/>
  <c r="L189" i="9"/>
  <c r="L49" i="9"/>
  <c r="L119" i="9"/>
  <c r="K192" i="9"/>
  <c r="K122" i="9"/>
  <c r="K52" i="9"/>
  <c r="O51" i="2"/>
  <c r="V52" i="2"/>
  <c r="O52" i="9" s="1"/>
  <c r="I52" i="9" s="1"/>
  <c r="N51" i="2"/>
  <c r="L51" i="2"/>
  <c r="J51" i="2"/>
  <c r="M51" i="2"/>
  <c r="K51" i="2"/>
  <c r="D47" i="9"/>
  <c r="A106" i="8" a="1"/>
  <c r="A106" i="8" s="1"/>
  <c r="AB104" i="8"/>
  <c r="L104" i="8"/>
  <c r="X104" i="8"/>
  <c r="H104" i="8"/>
  <c r="AJ104" i="8"/>
  <c r="T104" i="8"/>
  <c r="D104" i="8"/>
  <c r="AF104" i="8"/>
  <c r="P104" i="8"/>
  <c r="AH104" i="8"/>
  <c r="B104" i="8"/>
  <c r="Z104" i="8"/>
  <c r="V104" i="8"/>
  <c r="R104" i="8"/>
  <c r="N104" i="8"/>
  <c r="J104" i="8"/>
  <c r="AL104" i="8"/>
  <c r="F104" i="8"/>
  <c r="AD104" i="8"/>
  <c r="J46" i="9"/>
  <c r="B49" i="9"/>
  <c r="J190" i="9"/>
  <c r="D190" i="9" a="1"/>
  <c r="D190" i="9" s="1"/>
  <c r="F190" i="9" s="1"/>
  <c r="G190" i="9" s="1"/>
  <c r="E190" i="9"/>
  <c r="B190" i="9"/>
  <c r="AD105" i="8"/>
  <c r="N105" i="8"/>
  <c r="Z105" i="8"/>
  <c r="J105" i="8"/>
  <c r="AL105" i="8"/>
  <c r="V105" i="8"/>
  <c r="F105" i="8"/>
  <c r="AH105" i="8"/>
  <c r="R105" i="8"/>
  <c r="B105" i="8"/>
  <c r="T105" i="8"/>
  <c r="L105" i="8"/>
  <c r="H105" i="8"/>
  <c r="AJ105" i="8"/>
  <c r="D105" i="8"/>
  <c r="AF105" i="8"/>
  <c r="A107" i="8" a="1"/>
  <c r="A107" i="8" s="1"/>
  <c r="AB105" i="8"/>
  <c r="X105" i="8"/>
  <c r="P105" i="8"/>
  <c r="E120" i="9"/>
  <c r="B120" i="9"/>
  <c r="J120" i="9"/>
  <c r="D120" i="9" a="1"/>
  <c r="D120" i="9" s="1"/>
  <c r="F120" i="9" s="1"/>
  <c r="G120" i="9" s="1"/>
  <c r="I54" i="2"/>
  <c r="M49" i="9" a="1"/>
  <c r="T53" i="2"/>
  <c r="K52" i="2" a="1"/>
  <c r="M52" i="2" a="1"/>
  <c r="L52" i="2" a="1"/>
  <c r="P53" i="2"/>
  <c r="N52" i="2" a="1"/>
  <c r="Q53" i="2"/>
  <c r="R53" i="2"/>
  <c r="S53" i="2"/>
  <c r="U53" i="2"/>
  <c r="O52" i="2" a="1"/>
  <c r="J52" i="2" a="1"/>
  <c r="N47" i="9" l="1"/>
  <c r="Q47" i="9" s="1"/>
  <c r="P47" i="9" s="1"/>
  <c r="F47" i="9"/>
  <c r="G47" i="9" s="1"/>
  <c r="O122" i="9"/>
  <c r="O192" i="9"/>
  <c r="Q191" i="9"/>
  <c r="H121" i="9"/>
  <c r="H50" i="9"/>
  <c r="Q121" i="9"/>
  <c r="P121" i="9" s="1"/>
  <c r="M121" i="9" a="1"/>
  <c r="M121" i="9" s="1"/>
  <c r="N121" i="9"/>
  <c r="M191" i="9" a="1"/>
  <c r="M191" i="9" s="1"/>
  <c r="N191" i="9"/>
  <c r="M49" i="9"/>
  <c r="L190" i="9"/>
  <c r="L50" i="9"/>
  <c r="L120" i="9"/>
  <c r="K193" i="9"/>
  <c r="K123" i="9"/>
  <c r="K53" i="9"/>
  <c r="E49" i="9"/>
  <c r="N52" i="2"/>
  <c r="L52" i="2"/>
  <c r="K52" i="2"/>
  <c r="J52" i="2"/>
  <c r="O52" i="2"/>
  <c r="V53" i="2"/>
  <c r="O53" i="9" s="1"/>
  <c r="I53" i="9" s="1"/>
  <c r="M52" i="2"/>
  <c r="B50" i="9"/>
  <c r="AH107" i="8"/>
  <c r="R107" i="8"/>
  <c r="B107" i="8"/>
  <c r="AD107" i="8"/>
  <c r="N107" i="8"/>
  <c r="Z107" i="8"/>
  <c r="J107" i="8"/>
  <c r="AL107" i="8"/>
  <c r="V107" i="8"/>
  <c r="F107" i="8"/>
  <c r="X107" i="8"/>
  <c r="P107" i="8"/>
  <c r="L107" i="8"/>
  <c r="H107" i="8"/>
  <c r="AJ107" i="8"/>
  <c r="D107" i="8"/>
  <c r="AF107" i="8"/>
  <c r="A109" i="8" a="1"/>
  <c r="A109" i="8" s="1"/>
  <c r="AB107" i="8"/>
  <c r="T107" i="8"/>
  <c r="AF106" i="8"/>
  <c r="P106" i="8"/>
  <c r="A108" i="8" a="1"/>
  <c r="A108" i="8" s="1"/>
  <c r="AB106" i="8"/>
  <c r="L106" i="8"/>
  <c r="X106" i="8"/>
  <c r="H106" i="8"/>
  <c r="AJ106" i="8"/>
  <c r="T106" i="8"/>
  <c r="D106" i="8"/>
  <c r="AL106" i="8"/>
  <c r="F106" i="8"/>
  <c r="AD106" i="8"/>
  <c r="Z106" i="8"/>
  <c r="V106" i="8"/>
  <c r="R106" i="8"/>
  <c r="N106" i="8"/>
  <c r="J106" i="8"/>
  <c r="AH106" i="8"/>
  <c r="B106" i="8"/>
  <c r="J47" i="9"/>
  <c r="E121" i="9"/>
  <c r="B121" i="9"/>
  <c r="J121" i="9"/>
  <c r="D121" i="9" a="1"/>
  <c r="D121" i="9" s="1"/>
  <c r="F121" i="9" s="1"/>
  <c r="G121" i="9" s="1"/>
  <c r="I55" i="2"/>
  <c r="E191" i="9"/>
  <c r="B191" i="9"/>
  <c r="J191" i="9"/>
  <c r="D191" i="9" a="1"/>
  <c r="D191" i="9" s="1"/>
  <c r="F191" i="9" s="1"/>
  <c r="G191" i="9" s="1"/>
  <c r="O53" i="2" a="1"/>
  <c r="J53" i="2" a="1"/>
  <c r="T54" i="2"/>
  <c r="R54" i="2"/>
  <c r="L53" i="2" a="1"/>
  <c r="Q54" i="2"/>
  <c r="P54" i="2"/>
  <c r="M50" i="9" a="1"/>
  <c r="K53" i="2" a="1"/>
  <c r="D49" i="9" a="1"/>
  <c r="U54" i="2"/>
  <c r="S54" i="2"/>
  <c r="M53" i="2" a="1"/>
  <c r="N53" i="2" a="1"/>
  <c r="O123" i="9" l="1"/>
  <c r="O193" i="9"/>
  <c r="Q192" i="9"/>
  <c r="Q122" i="9"/>
  <c r="P122" i="9" s="1"/>
  <c r="H122" i="9"/>
  <c r="E122" i="9" s="1"/>
  <c r="H51" i="9"/>
  <c r="M122" i="9" a="1"/>
  <c r="M122" i="9" s="1"/>
  <c r="N122" i="9"/>
  <c r="M192" i="9" a="1"/>
  <c r="M192" i="9" s="1"/>
  <c r="N192" i="9"/>
  <c r="M50" i="9"/>
  <c r="L191" i="9"/>
  <c r="L51" i="9"/>
  <c r="L121" i="9"/>
  <c r="K194" i="9"/>
  <c r="K124" i="9"/>
  <c r="K54" i="9"/>
  <c r="V54" i="2"/>
  <c r="O54" i="9" s="1"/>
  <c r="I54" i="9" s="1"/>
  <c r="J53" i="2"/>
  <c r="N53" i="2"/>
  <c r="K53" i="2"/>
  <c r="E50" i="9"/>
  <c r="D49" i="9"/>
  <c r="L53" i="2"/>
  <c r="O53" i="2"/>
  <c r="M53" i="2"/>
  <c r="B122" i="9"/>
  <c r="J122" i="9"/>
  <c r="D122" i="9" a="1"/>
  <c r="D122" i="9" s="1"/>
  <c r="F122" i="9" s="1"/>
  <c r="G122" i="9" s="1"/>
  <c r="AJ108" i="8"/>
  <c r="T108" i="8"/>
  <c r="D108" i="8"/>
  <c r="AF108" i="8"/>
  <c r="P108" i="8"/>
  <c r="A110" i="8" a="1"/>
  <c r="A110" i="8" s="1"/>
  <c r="AB108" i="8"/>
  <c r="L108" i="8"/>
  <c r="X108" i="8"/>
  <c r="H108" i="8"/>
  <c r="J108" i="8"/>
  <c r="AH108" i="8"/>
  <c r="B108" i="8"/>
  <c r="AD108" i="8"/>
  <c r="Z108" i="8"/>
  <c r="V108" i="8"/>
  <c r="R108" i="8"/>
  <c r="N108" i="8"/>
  <c r="AL108" i="8"/>
  <c r="F108" i="8"/>
  <c r="B51" i="9"/>
  <c r="B192" i="9"/>
  <c r="J192" i="9"/>
  <c r="D192" i="9" a="1"/>
  <c r="D192" i="9" s="1"/>
  <c r="F192" i="9" s="1"/>
  <c r="G192" i="9" s="1"/>
  <c r="E192" i="9"/>
  <c r="I56" i="2"/>
  <c r="AL109" i="8"/>
  <c r="V109" i="8"/>
  <c r="F109" i="8"/>
  <c r="AH109" i="8"/>
  <c r="R109" i="8"/>
  <c r="B109" i="8"/>
  <c r="AD109" i="8"/>
  <c r="N109" i="8"/>
  <c r="Z109" i="8"/>
  <c r="J109" i="8"/>
  <c r="A111" i="8" a="1"/>
  <c r="A111" i="8" s="1"/>
  <c r="AB109" i="8"/>
  <c r="T109" i="8"/>
  <c r="P109" i="8"/>
  <c r="L109" i="8"/>
  <c r="H109" i="8"/>
  <c r="AJ109" i="8"/>
  <c r="D109" i="8"/>
  <c r="AF109" i="8"/>
  <c r="X109" i="8"/>
  <c r="Q55" i="2"/>
  <c r="K54" i="2" a="1"/>
  <c r="M51" i="9" a="1"/>
  <c r="D50" i="9" a="1"/>
  <c r="J54" i="2" a="1"/>
  <c r="P55" i="2"/>
  <c r="S55" i="2"/>
  <c r="L54" i="2" a="1"/>
  <c r="M54" i="2" a="1"/>
  <c r="N54" i="2" a="1"/>
  <c r="O54" i="2" a="1"/>
  <c r="T55" i="2"/>
  <c r="R55" i="2"/>
  <c r="U55" i="2"/>
  <c r="N49" i="9" l="1"/>
  <c r="Q49" i="9" s="1"/>
  <c r="P49" i="9" s="1"/>
  <c r="F49" i="9"/>
  <c r="G49" i="9" s="1"/>
  <c r="O124" i="9"/>
  <c r="O194" i="9"/>
  <c r="Q193" i="9"/>
  <c r="Q123" i="9"/>
  <c r="P123" i="9" s="1"/>
  <c r="H123" i="9"/>
  <c r="E123" i="9" s="1"/>
  <c r="H52" i="9"/>
  <c r="M123" i="9" a="1"/>
  <c r="M123" i="9" s="1"/>
  <c r="N123" i="9"/>
  <c r="M193" i="9" a="1"/>
  <c r="M193" i="9" s="1"/>
  <c r="N193" i="9"/>
  <c r="M51" i="9"/>
  <c r="L192" i="9"/>
  <c r="L52" i="9"/>
  <c r="L122" i="9"/>
  <c r="K195" i="9"/>
  <c r="K125" i="9"/>
  <c r="K55" i="9"/>
  <c r="N54" i="2"/>
  <c r="L54" i="2"/>
  <c r="V55" i="2"/>
  <c r="O55" i="9" s="1"/>
  <c r="D50" i="9"/>
  <c r="K54" i="2"/>
  <c r="O54" i="2"/>
  <c r="M54" i="2"/>
  <c r="E51" i="9"/>
  <c r="J54" i="2"/>
  <c r="B52" i="9"/>
  <c r="Z111" i="8"/>
  <c r="J111" i="8"/>
  <c r="AL111" i="8"/>
  <c r="V111" i="8"/>
  <c r="F111" i="8"/>
  <c r="AH111" i="8"/>
  <c r="R111" i="8"/>
  <c r="B111" i="8"/>
  <c r="AD111" i="8"/>
  <c r="N111" i="8"/>
  <c r="AF111" i="8"/>
  <c r="X111" i="8"/>
  <c r="T111" i="8"/>
  <c r="P111" i="8"/>
  <c r="L111" i="8"/>
  <c r="H111" i="8"/>
  <c r="AJ111" i="8"/>
  <c r="D111" i="8"/>
  <c r="A113" i="8" a="1"/>
  <c r="A113" i="8" s="1"/>
  <c r="AB111" i="8"/>
  <c r="B123" i="9"/>
  <c r="J123" i="9"/>
  <c r="D123" i="9" a="1"/>
  <c r="D123" i="9" s="1"/>
  <c r="F123" i="9" s="1"/>
  <c r="G123" i="9" s="1"/>
  <c r="X110" i="8"/>
  <c r="H110" i="8"/>
  <c r="AJ110" i="8"/>
  <c r="T110" i="8"/>
  <c r="D110" i="8"/>
  <c r="AF110" i="8"/>
  <c r="P110" i="8"/>
  <c r="A112" i="8" a="1"/>
  <c r="A112" i="8" s="1"/>
  <c r="AB110" i="8"/>
  <c r="L110" i="8"/>
  <c r="N110" i="8"/>
  <c r="AL110" i="8"/>
  <c r="F110" i="8"/>
  <c r="AH110" i="8"/>
  <c r="B110" i="8"/>
  <c r="AD110" i="8"/>
  <c r="Z110" i="8"/>
  <c r="V110" i="8"/>
  <c r="R110" i="8"/>
  <c r="J110" i="8"/>
  <c r="E193" i="9"/>
  <c r="J193" i="9"/>
  <c r="D193" i="9" a="1"/>
  <c r="D193" i="9" s="1"/>
  <c r="F193" i="9" s="1"/>
  <c r="G193" i="9" s="1"/>
  <c r="B193" i="9"/>
  <c r="J49" i="9"/>
  <c r="I57" i="2"/>
  <c r="N55" i="2" a="1"/>
  <c r="L55" i="2" a="1"/>
  <c r="R56" i="2"/>
  <c r="O55" i="2" a="1"/>
  <c r="M55" i="2" a="1"/>
  <c r="T56" i="2"/>
  <c r="S56" i="2"/>
  <c r="Q56" i="2"/>
  <c r="K55" i="2" a="1"/>
  <c r="P56" i="2"/>
  <c r="U56" i="2"/>
  <c r="D51" i="9" a="1"/>
  <c r="M52" i="9" a="1"/>
  <c r="J55" i="2" a="1"/>
  <c r="N50" i="9" l="1"/>
  <c r="F50" i="9"/>
  <c r="G50" i="9" s="1"/>
  <c r="O125" i="9"/>
  <c r="O195" i="9"/>
  <c r="Q194" i="9"/>
  <c r="Q124" i="9"/>
  <c r="P124" i="9" s="1"/>
  <c r="H124" i="9"/>
  <c r="H53" i="9"/>
  <c r="Q50" i="9"/>
  <c r="P50" i="9" s="1"/>
  <c r="M194" i="9" a="1"/>
  <c r="M194" i="9" s="1"/>
  <c r="N194" i="9"/>
  <c r="M124" i="9" a="1"/>
  <c r="M124" i="9" s="1"/>
  <c r="N124" i="9"/>
  <c r="M52" i="9"/>
  <c r="L193" i="9"/>
  <c r="L53" i="9"/>
  <c r="L123" i="9"/>
  <c r="K196" i="9"/>
  <c r="K126" i="9"/>
  <c r="K56" i="9"/>
  <c r="M55" i="2"/>
  <c r="J55" i="2"/>
  <c r="L55" i="2"/>
  <c r="V56" i="2"/>
  <c r="O56" i="9" s="1"/>
  <c r="K55" i="2"/>
  <c r="O55" i="2"/>
  <c r="E52" i="9"/>
  <c r="D51" i="9"/>
  <c r="N55" i="2"/>
  <c r="A114" i="8" a="1"/>
  <c r="A114" i="8" s="1"/>
  <c r="AB112" i="8"/>
  <c r="L112" i="8"/>
  <c r="X112" i="8"/>
  <c r="H112" i="8"/>
  <c r="AJ112" i="8"/>
  <c r="T112" i="8"/>
  <c r="D112" i="8"/>
  <c r="AF112" i="8"/>
  <c r="P112" i="8"/>
  <c r="R112" i="8"/>
  <c r="J112" i="8"/>
  <c r="AL112" i="8"/>
  <c r="F112" i="8"/>
  <c r="AH112" i="8"/>
  <c r="B112" i="8"/>
  <c r="AD112" i="8"/>
  <c r="Z112" i="8"/>
  <c r="V112" i="8"/>
  <c r="N112" i="8"/>
  <c r="B194" i="9"/>
  <c r="J194" i="9"/>
  <c r="D194" i="9" a="1"/>
  <c r="D194" i="9" s="1"/>
  <c r="F194" i="9" s="1"/>
  <c r="G194" i="9" s="1"/>
  <c r="E194" i="9"/>
  <c r="AD113" i="8"/>
  <c r="N113" i="8"/>
  <c r="Z113" i="8"/>
  <c r="J113" i="8"/>
  <c r="AL113" i="8"/>
  <c r="V113" i="8"/>
  <c r="F113" i="8"/>
  <c r="AH113" i="8"/>
  <c r="R113" i="8"/>
  <c r="B113" i="8"/>
  <c r="AJ113" i="8"/>
  <c r="D113" i="8"/>
  <c r="A115" i="8" a="1"/>
  <c r="A115" i="8" s="1"/>
  <c r="AB113" i="8"/>
  <c r="X113" i="8"/>
  <c r="T113" i="8"/>
  <c r="P113" i="8"/>
  <c r="L113" i="8"/>
  <c r="H113" i="8"/>
  <c r="AF113" i="8"/>
  <c r="J124" i="9"/>
  <c r="D124" i="9" a="1"/>
  <c r="D124" i="9" s="1"/>
  <c r="F124" i="9" s="1"/>
  <c r="G124" i="9" s="1"/>
  <c r="B124" i="9"/>
  <c r="E124" i="9"/>
  <c r="I58" i="2"/>
  <c r="B53" i="9"/>
  <c r="J50" i="9"/>
  <c r="P57" i="2"/>
  <c r="K56" i="2" a="1"/>
  <c r="U57" i="2"/>
  <c r="S57" i="2"/>
  <c r="M53" i="9" a="1"/>
  <c r="R57" i="2"/>
  <c r="T57" i="2"/>
  <c r="Q57" i="2"/>
  <c r="M56" i="2" a="1"/>
  <c r="O56" i="2" a="1"/>
  <c r="L56" i="2" a="1"/>
  <c r="N56" i="2" a="1"/>
  <c r="J56" i="2" a="1"/>
  <c r="D52" i="9" a="1"/>
  <c r="N51" i="9" l="1"/>
  <c r="Q51" i="9" s="1"/>
  <c r="P51" i="9" s="1"/>
  <c r="F51" i="9"/>
  <c r="G51" i="9" s="1"/>
  <c r="O126" i="9"/>
  <c r="O196" i="9"/>
  <c r="H54" i="9"/>
  <c r="L194" i="9"/>
  <c r="M53" i="9"/>
  <c r="L54" i="9"/>
  <c r="L124" i="9"/>
  <c r="K197" i="9"/>
  <c r="K127" i="9"/>
  <c r="K57" i="9"/>
  <c r="J56" i="2"/>
  <c r="L56" i="2"/>
  <c r="O56" i="2"/>
  <c r="D52" i="9"/>
  <c r="E53" i="9"/>
  <c r="K56" i="2"/>
  <c r="N56" i="2"/>
  <c r="V57" i="2"/>
  <c r="O57" i="9" s="1"/>
  <c r="M56" i="2"/>
  <c r="I59" i="2"/>
  <c r="B54" i="9"/>
  <c r="AH115" i="8"/>
  <c r="R115" i="8"/>
  <c r="B115" i="8"/>
  <c r="AD115" i="8"/>
  <c r="N115" i="8"/>
  <c r="Z115" i="8"/>
  <c r="J115" i="8"/>
  <c r="AL115" i="8"/>
  <c r="V115" i="8"/>
  <c r="F115" i="8"/>
  <c r="H115" i="8"/>
  <c r="AF115" i="8"/>
  <c r="A117" i="8" a="1"/>
  <c r="A117" i="8" s="1"/>
  <c r="AB115" i="8"/>
  <c r="X115" i="8"/>
  <c r="T115" i="8"/>
  <c r="P115" i="8"/>
  <c r="L115" i="8"/>
  <c r="AJ115" i="8"/>
  <c r="D115" i="8"/>
  <c r="AF114" i="8"/>
  <c r="P114" i="8"/>
  <c r="A116" i="8" a="1"/>
  <c r="A116" i="8" s="1"/>
  <c r="AB114" i="8"/>
  <c r="L114" i="8"/>
  <c r="X114" i="8"/>
  <c r="H114" i="8"/>
  <c r="AJ114" i="8"/>
  <c r="T114" i="8"/>
  <c r="D114" i="8"/>
  <c r="V114" i="8"/>
  <c r="N114" i="8"/>
  <c r="J114" i="8"/>
  <c r="AL114" i="8"/>
  <c r="F114" i="8"/>
  <c r="AH114" i="8"/>
  <c r="B114" i="8"/>
  <c r="AD114" i="8"/>
  <c r="Z114" i="8"/>
  <c r="R114" i="8"/>
  <c r="J51" i="9"/>
  <c r="K57" i="2" a="1"/>
  <c r="T58" i="2"/>
  <c r="D53" i="9" a="1"/>
  <c r="Q58" i="2"/>
  <c r="S58" i="2"/>
  <c r="M54" i="9" a="1"/>
  <c r="J57" i="2" a="1"/>
  <c r="O57" i="2" a="1"/>
  <c r="P58" i="2"/>
  <c r="M57" i="2" a="1"/>
  <c r="B72" i="9"/>
  <c r="N57" i="2" a="1"/>
  <c r="L57" i="2" a="1"/>
  <c r="R58" i="2"/>
  <c r="U58" i="2"/>
  <c r="N52" i="9" l="1"/>
  <c r="Q52" i="9" s="1"/>
  <c r="P52" i="9" s="1"/>
  <c r="F52" i="9"/>
  <c r="G52" i="9" s="1"/>
  <c r="P72" i="9"/>
  <c r="O127" i="9"/>
  <c r="O197" i="9"/>
  <c r="M54" i="9"/>
  <c r="K198" i="9"/>
  <c r="K128" i="9"/>
  <c r="K58" i="9"/>
  <c r="D53" i="9"/>
  <c r="L57" i="2"/>
  <c r="V58" i="2"/>
  <c r="O58" i="9" s="1"/>
  <c r="J57" i="2"/>
  <c r="K57" i="2"/>
  <c r="E54" i="9"/>
  <c r="N57" i="2"/>
  <c r="M57" i="2"/>
  <c r="O57" i="2"/>
  <c r="J52" i="9"/>
  <c r="I60" i="2"/>
  <c r="AJ116" i="8"/>
  <c r="T116" i="8"/>
  <c r="D116" i="8"/>
  <c r="AF116" i="8"/>
  <c r="P116" i="8"/>
  <c r="A118" i="8" a="1"/>
  <c r="A118" i="8" s="1"/>
  <c r="AB116" i="8"/>
  <c r="L116" i="8"/>
  <c r="X116" i="8"/>
  <c r="H116" i="8"/>
  <c r="Z116" i="8"/>
  <c r="R116" i="8"/>
  <c r="N116" i="8"/>
  <c r="J116" i="8"/>
  <c r="AL116" i="8"/>
  <c r="F116" i="8"/>
  <c r="AH116" i="8"/>
  <c r="B116" i="8"/>
  <c r="AD116" i="8"/>
  <c r="V116" i="8"/>
  <c r="AL117" i="8"/>
  <c r="V117" i="8"/>
  <c r="F117" i="8"/>
  <c r="AH117" i="8"/>
  <c r="R117" i="8"/>
  <c r="B117" i="8"/>
  <c r="AD117" i="8"/>
  <c r="N117" i="8"/>
  <c r="Z117" i="8"/>
  <c r="J117" i="8"/>
  <c r="L117" i="8"/>
  <c r="AJ117" i="8"/>
  <c r="D117" i="8"/>
  <c r="AF117" i="8"/>
  <c r="A119" i="8" a="1"/>
  <c r="A119" i="8" s="1"/>
  <c r="AB117" i="8"/>
  <c r="X117" i="8"/>
  <c r="T117" i="8"/>
  <c r="P117" i="8"/>
  <c r="H117" i="8"/>
  <c r="Q59" i="2"/>
  <c r="O58" i="2" a="1"/>
  <c r="D54" i="9" a="1"/>
  <c r="K58" i="2" a="1"/>
  <c r="M58" i="2" a="1"/>
  <c r="P59" i="2"/>
  <c r="T59" i="2"/>
  <c r="N58" i="2" a="1"/>
  <c r="S59" i="2"/>
  <c r="J58" i="2" a="1"/>
  <c r="U59" i="2"/>
  <c r="R59" i="2"/>
  <c r="L58" i="2" a="1"/>
  <c r="N53" i="9" l="1"/>
  <c r="Q53" i="9" s="1"/>
  <c r="P53" i="9" s="1"/>
  <c r="F53" i="9"/>
  <c r="G53" i="9" s="1"/>
  <c r="O128" i="9"/>
  <c r="O198" i="9"/>
  <c r="K199" i="9"/>
  <c r="K129" i="9"/>
  <c r="K59" i="9"/>
  <c r="L58" i="2"/>
  <c r="J58" i="2"/>
  <c r="N58" i="2"/>
  <c r="V59" i="2"/>
  <c r="O59" i="9" s="1"/>
  <c r="K58" i="2"/>
  <c r="D54" i="9"/>
  <c r="O58" i="2"/>
  <c r="M58" i="2"/>
  <c r="I61" i="2"/>
  <c r="X118" i="8"/>
  <c r="H118" i="8"/>
  <c r="AJ118" i="8"/>
  <c r="T118" i="8"/>
  <c r="D118" i="8"/>
  <c r="AF118" i="8"/>
  <c r="P118" i="8"/>
  <c r="A120" i="8" a="1"/>
  <c r="A120" i="8" s="1"/>
  <c r="AB118" i="8"/>
  <c r="L118" i="8"/>
  <c r="AD118" i="8"/>
  <c r="V118" i="8"/>
  <c r="R118" i="8"/>
  <c r="N118" i="8"/>
  <c r="J118" i="8"/>
  <c r="AL118" i="8"/>
  <c r="F118" i="8"/>
  <c r="AH118" i="8"/>
  <c r="B118" i="8"/>
  <c r="Z118" i="8"/>
  <c r="Z119" i="8"/>
  <c r="J119" i="8"/>
  <c r="AL119" i="8"/>
  <c r="V119" i="8"/>
  <c r="F119" i="8"/>
  <c r="AH119" i="8"/>
  <c r="R119" i="8"/>
  <c r="B119" i="8"/>
  <c r="AD119" i="8"/>
  <c r="N119" i="8"/>
  <c r="P119" i="8"/>
  <c r="H119" i="8"/>
  <c r="AJ119" i="8"/>
  <c r="D119" i="8"/>
  <c r="AF119" i="8"/>
  <c r="A121" i="8" a="1"/>
  <c r="A121" i="8" s="1"/>
  <c r="AB119" i="8"/>
  <c r="X119" i="8"/>
  <c r="T119" i="8"/>
  <c r="L119" i="8"/>
  <c r="J53" i="9"/>
  <c r="O59" i="2" a="1"/>
  <c r="S60" i="2"/>
  <c r="K59" i="2" a="1"/>
  <c r="T60" i="2"/>
  <c r="Q60" i="2"/>
  <c r="P60" i="2"/>
  <c r="J59" i="2" a="1"/>
  <c r="L59" i="2" a="1"/>
  <c r="N59" i="2" a="1"/>
  <c r="R60" i="2"/>
  <c r="M59" i="2" a="1"/>
  <c r="U60" i="2"/>
  <c r="N54" i="9" l="1"/>
  <c r="Q54" i="9" s="1"/>
  <c r="P54" i="9" s="1"/>
  <c r="F54" i="9"/>
  <c r="G54" i="9" s="1"/>
  <c r="O129" i="9"/>
  <c r="O199" i="9"/>
  <c r="K200" i="9"/>
  <c r="K130" i="9"/>
  <c r="K60" i="9"/>
  <c r="V60" i="2"/>
  <c r="O60" i="9" s="1"/>
  <c r="N59" i="2"/>
  <c r="J59" i="2"/>
  <c r="M59" i="2"/>
  <c r="L59" i="2"/>
  <c r="K59" i="2"/>
  <c r="O59" i="2"/>
  <c r="A122" i="8" a="1"/>
  <c r="A122" i="8" s="1"/>
  <c r="AB120" i="8"/>
  <c r="L120" i="8"/>
  <c r="X120" i="8"/>
  <c r="H120" i="8"/>
  <c r="AJ120" i="8"/>
  <c r="T120" i="8"/>
  <c r="D120" i="8"/>
  <c r="AF120" i="8"/>
  <c r="P120" i="8"/>
  <c r="AH120" i="8"/>
  <c r="B120" i="8"/>
  <c r="Z120" i="8"/>
  <c r="V120" i="8"/>
  <c r="R120" i="8"/>
  <c r="N120" i="8"/>
  <c r="J120" i="8"/>
  <c r="AL120" i="8"/>
  <c r="F120" i="8"/>
  <c r="AD120" i="8"/>
  <c r="J54" i="9"/>
  <c r="AD121" i="8"/>
  <c r="N121" i="8"/>
  <c r="Z121" i="8"/>
  <c r="J121" i="8"/>
  <c r="AL121" i="8"/>
  <c r="V121" i="8"/>
  <c r="F121" i="8"/>
  <c r="AH121" i="8"/>
  <c r="R121" i="8"/>
  <c r="B121" i="8"/>
  <c r="T121" i="8"/>
  <c r="L121" i="8"/>
  <c r="H121" i="8"/>
  <c r="AJ121" i="8"/>
  <c r="D121" i="8"/>
  <c r="AF121" i="8"/>
  <c r="A123" i="8" a="1"/>
  <c r="A123" i="8" s="1"/>
  <c r="AB121" i="8"/>
  <c r="X121" i="8"/>
  <c r="P121" i="8"/>
  <c r="I62" i="2"/>
  <c r="K60" i="2" a="1"/>
  <c r="S61" i="2"/>
  <c r="P61" i="2"/>
  <c r="N60" i="2" a="1"/>
  <c r="R61" i="2"/>
  <c r="Q61" i="2"/>
  <c r="L60" i="2" a="1"/>
  <c r="U61" i="2"/>
  <c r="M60" i="2" a="1"/>
  <c r="J60" i="2" a="1"/>
  <c r="T61" i="2"/>
  <c r="O60" i="2" a="1"/>
  <c r="O130" i="9" l="1"/>
  <c r="O200" i="9"/>
  <c r="K201" i="9"/>
  <c r="K131" i="9"/>
  <c r="K61" i="9"/>
  <c r="O60" i="2"/>
  <c r="M60" i="2"/>
  <c r="L60" i="2"/>
  <c r="V61" i="2"/>
  <c r="O61" i="9" s="1"/>
  <c r="N60" i="2"/>
  <c r="K60" i="2"/>
  <c r="J60" i="2"/>
  <c r="AH123" i="8"/>
  <c r="R123" i="8"/>
  <c r="B123" i="8"/>
  <c r="AD123" i="8"/>
  <c r="N123" i="8"/>
  <c r="Z123" i="8"/>
  <c r="J123" i="8"/>
  <c r="AL123" i="8"/>
  <c r="V123" i="8"/>
  <c r="F123" i="8"/>
  <c r="X123" i="8"/>
  <c r="P123" i="8"/>
  <c r="L123" i="8"/>
  <c r="H123" i="8"/>
  <c r="AJ123" i="8"/>
  <c r="D123" i="8"/>
  <c r="AF123" i="8"/>
  <c r="A125" i="8" a="1"/>
  <c r="A125" i="8" s="1"/>
  <c r="AB123" i="8"/>
  <c r="T123" i="8"/>
  <c r="AF122" i="8"/>
  <c r="P122" i="8"/>
  <c r="A124" i="8" a="1"/>
  <c r="A124" i="8" s="1"/>
  <c r="AB122" i="8"/>
  <c r="L122" i="8"/>
  <c r="X122" i="8"/>
  <c r="H122" i="8"/>
  <c r="AJ122" i="8"/>
  <c r="T122" i="8"/>
  <c r="D122" i="8"/>
  <c r="AL122" i="8"/>
  <c r="F122" i="8"/>
  <c r="AD122" i="8"/>
  <c r="Z122" i="8"/>
  <c r="V122" i="8"/>
  <c r="R122" i="8"/>
  <c r="N122" i="8"/>
  <c r="J122" i="8"/>
  <c r="AH122" i="8"/>
  <c r="B122" i="8"/>
  <c r="I63" i="2"/>
  <c r="Q62" i="2"/>
  <c r="T62" i="2"/>
  <c r="O61" i="2" a="1"/>
  <c r="U62" i="2"/>
  <c r="N61" i="2" a="1"/>
  <c r="P62" i="2"/>
  <c r="J61" i="2" a="1"/>
  <c r="L61" i="2" a="1"/>
  <c r="K61" i="2" a="1"/>
  <c r="M61" i="2" a="1"/>
  <c r="S62" i="2"/>
  <c r="R62" i="2"/>
  <c r="O131" i="9" l="1"/>
  <c r="O201" i="9"/>
  <c r="K202" i="9"/>
  <c r="K132" i="9"/>
  <c r="K62" i="9"/>
  <c r="K61" i="2"/>
  <c r="O61" i="2"/>
  <c r="V62" i="2"/>
  <c r="O62" i="9" s="1"/>
  <c r="N61" i="2"/>
  <c r="M61" i="2"/>
  <c r="L61" i="2"/>
  <c r="J61" i="2"/>
  <c r="AL125" i="8"/>
  <c r="V125" i="8"/>
  <c r="F125" i="8"/>
  <c r="AH125" i="8"/>
  <c r="R125" i="8"/>
  <c r="B125" i="8"/>
  <c r="AD125" i="8"/>
  <c r="N125" i="8"/>
  <c r="Z125" i="8"/>
  <c r="J125" i="8"/>
  <c r="A127" i="8" a="1"/>
  <c r="A127" i="8" s="1"/>
  <c r="AB125" i="8"/>
  <c r="T125" i="8"/>
  <c r="P125" i="8"/>
  <c r="L125" i="8"/>
  <c r="H125" i="8"/>
  <c r="AJ125" i="8"/>
  <c r="D125" i="8"/>
  <c r="AF125" i="8"/>
  <c r="X125" i="8"/>
  <c r="I64" i="2"/>
  <c r="AJ124" i="8"/>
  <c r="T124" i="8"/>
  <c r="D124" i="8"/>
  <c r="AF124" i="8"/>
  <c r="P124" i="8"/>
  <c r="A126" i="8" a="1"/>
  <c r="A126" i="8" s="1"/>
  <c r="AB124" i="8"/>
  <c r="L124" i="8"/>
  <c r="X124" i="8"/>
  <c r="H124" i="8"/>
  <c r="J124" i="8"/>
  <c r="AH124" i="8"/>
  <c r="B124" i="8"/>
  <c r="AD124" i="8"/>
  <c r="Z124" i="8"/>
  <c r="V124" i="8"/>
  <c r="R124" i="8"/>
  <c r="N124" i="8"/>
  <c r="F124" i="8"/>
  <c r="AL124" i="8"/>
  <c r="O62" i="2" a="1"/>
  <c r="S63" i="2"/>
  <c r="N62" i="2" a="1"/>
  <c r="J62" i="2" a="1"/>
  <c r="M62" i="2" a="1"/>
  <c r="R63" i="2"/>
  <c r="Q63" i="2"/>
  <c r="U63" i="2"/>
  <c r="K62" i="2" a="1"/>
  <c r="L62" i="2" a="1"/>
  <c r="T63" i="2"/>
  <c r="P63" i="2"/>
  <c r="O132" i="9" l="1"/>
  <c r="O202" i="9"/>
  <c r="K203" i="9"/>
  <c r="K133" i="9"/>
  <c r="K63" i="9"/>
  <c r="V63" i="2"/>
  <c r="K62" i="2"/>
  <c r="J62" i="2"/>
  <c r="N62" i="2"/>
  <c r="O62" i="2"/>
  <c r="L62" i="2"/>
  <c r="M62" i="2"/>
  <c r="I65" i="2"/>
  <c r="Z127" i="8"/>
  <c r="J127" i="8"/>
  <c r="AL127" i="8"/>
  <c r="V127" i="8"/>
  <c r="F127" i="8"/>
  <c r="AH127" i="8"/>
  <c r="R127" i="8"/>
  <c r="B127" i="8"/>
  <c r="AD127" i="8"/>
  <c r="N127" i="8"/>
  <c r="AF127" i="8"/>
  <c r="A129" i="8" a="1"/>
  <c r="A129" i="8" s="1"/>
  <c r="X127" i="8"/>
  <c r="T127" i="8"/>
  <c r="P127" i="8"/>
  <c r="L127" i="8"/>
  <c r="H127" i="8"/>
  <c r="AJ127" i="8"/>
  <c r="D127" i="8"/>
  <c r="AB127" i="8"/>
  <c r="X126" i="8"/>
  <c r="H126" i="8"/>
  <c r="AJ126" i="8"/>
  <c r="T126" i="8"/>
  <c r="D126" i="8"/>
  <c r="AF126" i="8"/>
  <c r="P126" i="8"/>
  <c r="A128" i="8" a="1"/>
  <c r="A128" i="8" s="1"/>
  <c r="AB126" i="8"/>
  <c r="L126" i="8"/>
  <c r="N126" i="8"/>
  <c r="AL126" i="8"/>
  <c r="F126" i="8"/>
  <c r="AH126" i="8"/>
  <c r="B126" i="8"/>
  <c r="AD126" i="8"/>
  <c r="Z126" i="8"/>
  <c r="V126" i="8"/>
  <c r="R126" i="8"/>
  <c r="J126" i="8"/>
  <c r="K63" i="2" a="1"/>
  <c r="L63" i="2" a="1"/>
  <c r="T64" i="2"/>
  <c r="O63" i="2" a="1"/>
  <c r="S64" i="2"/>
  <c r="U64" i="2"/>
  <c r="N63" i="2" a="1"/>
  <c r="J63" i="2" a="1"/>
  <c r="P64" i="2"/>
  <c r="R64" i="2"/>
  <c r="M63" i="2" a="1"/>
  <c r="Q64" i="2"/>
  <c r="O63" i="9" l="1"/>
  <c r="K204" i="9"/>
  <c r="K134" i="9"/>
  <c r="K64" i="9"/>
  <c r="M63" i="2"/>
  <c r="N63" i="2"/>
  <c r="V64" i="2"/>
  <c r="L63" i="2"/>
  <c r="K63" i="2"/>
  <c r="O63" i="2"/>
  <c r="J63" i="2"/>
  <c r="I66" i="2"/>
  <c r="A130" i="8" a="1"/>
  <c r="A130" i="8" s="1"/>
  <c r="AB128" i="8"/>
  <c r="L128" i="8"/>
  <c r="X128" i="8"/>
  <c r="H128" i="8"/>
  <c r="AJ128" i="8"/>
  <c r="T128" i="8"/>
  <c r="D128" i="8"/>
  <c r="AF128" i="8"/>
  <c r="P128" i="8"/>
  <c r="R128" i="8"/>
  <c r="J128" i="8"/>
  <c r="AL128" i="8"/>
  <c r="F128" i="8"/>
  <c r="AH128" i="8"/>
  <c r="B128" i="8"/>
  <c r="AD128" i="8"/>
  <c r="Z128" i="8"/>
  <c r="V128" i="8"/>
  <c r="N128" i="8"/>
  <c r="AD129" i="8"/>
  <c r="N129" i="8"/>
  <c r="Z129" i="8"/>
  <c r="J129" i="8"/>
  <c r="AL129" i="8"/>
  <c r="V129" i="8"/>
  <c r="F129" i="8"/>
  <c r="AH129" i="8"/>
  <c r="R129" i="8"/>
  <c r="B129" i="8"/>
  <c r="AJ129" i="8"/>
  <c r="D129" i="8"/>
  <c r="AF129" i="8"/>
  <c r="A131" i="8" a="1"/>
  <c r="A131" i="8" s="1"/>
  <c r="AB129" i="8"/>
  <c r="X129" i="8"/>
  <c r="T129" i="8"/>
  <c r="P129" i="8"/>
  <c r="L129" i="8"/>
  <c r="H129" i="8"/>
  <c r="R65" i="2"/>
  <c r="J64" i="2" a="1"/>
  <c r="O64" i="2" a="1"/>
  <c r="M64" i="2" a="1"/>
  <c r="P65" i="2"/>
  <c r="Q65" i="2"/>
  <c r="T65" i="2"/>
  <c r="N64" i="2" a="1"/>
  <c r="L64" i="2" a="1"/>
  <c r="K64" i="2" a="1"/>
  <c r="S65" i="2"/>
  <c r="U65" i="2"/>
  <c r="O133" i="9" l="1"/>
  <c r="O203" i="9"/>
  <c r="O64" i="9"/>
  <c r="K205" i="9"/>
  <c r="K135" i="9"/>
  <c r="K65" i="9"/>
  <c r="K64" i="2"/>
  <c r="V65" i="2"/>
  <c r="N64" i="2"/>
  <c r="O64" i="2"/>
  <c r="J64" i="2"/>
  <c r="L64" i="2"/>
  <c r="M64" i="2"/>
  <c r="AF130" i="8"/>
  <c r="P130" i="8"/>
  <c r="A132" i="8" a="1"/>
  <c r="A132" i="8" s="1"/>
  <c r="AB130" i="8"/>
  <c r="L130" i="8"/>
  <c r="X130" i="8"/>
  <c r="H130" i="8"/>
  <c r="AJ130" i="8"/>
  <c r="T130" i="8"/>
  <c r="D130" i="8"/>
  <c r="V130" i="8"/>
  <c r="R130" i="8"/>
  <c r="N130" i="8"/>
  <c r="J130" i="8"/>
  <c r="AL130" i="8"/>
  <c r="F130" i="8"/>
  <c r="AH130" i="8"/>
  <c r="B130" i="8"/>
  <c r="AD130" i="8"/>
  <c r="Z130" i="8"/>
  <c r="I67" i="2"/>
  <c r="AH131" i="8"/>
  <c r="R131" i="8"/>
  <c r="B131" i="8"/>
  <c r="AD131" i="8"/>
  <c r="N131" i="8"/>
  <c r="Z131" i="8"/>
  <c r="J131" i="8"/>
  <c r="AL131" i="8"/>
  <c r="V131" i="8"/>
  <c r="F131" i="8"/>
  <c r="H131" i="8"/>
  <c r="AJ131" i="8"/>
  <c r="D131" i="8"/>
  <c r="AF131" i="8"/>
  <c r="A133" i="8" a="1"/>
  <c r="A133" i="8" s="1"/>
  <c r="AB131" i="8"/>
  <c r="X131" i="8"/>
  <c r="T131" i="8"/>
  <c r="P131" i="8"/>
  <c r="L131" i="8"/>
  <c r="J65" i="2" a="1"/>
  <c r="U66" i="2"/>
  <c r="O65" i="2" a="1"/>
  <c r="R66" i="2"/>
  <c r="L65" i="2" a="1"/>
  <c r="K65" i="2" a="1"/>
  <c r="M65" i="2" a="1"/>
  <c r="Q66" i="2"/>
  <c r="T66" i="2"/>
  <c r="P66" i="2"/>
  <c r="S66" i="2"/>
  <c r="N65" i="2" a="1"/>
  <c r="O134" i="9" l="1"/>
  <c r="O204" i="9"/>
  <c r="O65" i="9"/>
  <c r="K206" i="9"/>
  <c r="K136" i="9"/>
  <c r="K66" i="9"/>
  <c r="V66" i="2"/>
  <c r="K65" i="2"/>
  <c r="N65" i="2"/>
  <c r="J65" i="2"/>
  <c r="M65" i="2"/>
  <c r="L65" i="2"/>
  <c r="O65" i="2"/>
  <c r="I68" i="2"/>
  <c r="AJ132" i="8"/>
  <c r="T132" i="8"/>
  <c r="D132" i="8"/>
  <c r="AF132" i="8"/>
  <c r="P132" i="8"/>
  <c r="A134" i="8" a="1"/>
  <c r="A134" i="8" s="1"/>
  <c r="AB132" i="8"/>
  <c r="L132" i="8"/>
  <c r="X132" i="8"/>
  <c r="H132" i="8"/>
  <c r="Z132" i="8"/>
  <c r="V132" i="8"/>
  <c r="R132" i="8"/>
  <c r="N132" i="8"/>
  <c r="J132" i="8"/>
  <c r="AL132" i="8"/>
  <c r="F132" i="8"/>
  <c r="AH132" i="8"/>
  <c r="B132" i="8"/>
  <c r="AD132" i="8"/>
  <c r="AL133" i="8"/>
  <c r="V133" i="8"/>
  <c r="F133" i="8"/>
  <c r="AH133" i="8"/>
  <c r="R133" i="8"/>
  <c r="B133" i="8"/>
  <c r="AD133" i="8"/>
  <c r="N133" i="8"/>
  <c r="Z133" i="8"/>
  <c r="J133" i="8"/>
  <c r="L133" i="8"/>
  <c r="H133" i="8"/>
  <c r="AJ133" i="8"/>
  <c r="D133" i="8"/>
  <c r="AF133" i="8"/>
  <c r="A135" i="8" a="1"/>
  <c r="A135" i="8" s="1"/>
  <c r="AB133" i="8"/>
  <c r="X133" i="8"/>
  <c r="T133" i="8"/>
  <c r="P133" i="8"/>
  <c r="P67" i="2"/>
  <c r="O66" i="2" a="1"/>
  <c r="J66" i="2" a="1"/>
  <c r="T67" i="2"/>
  <c r="N66" i="2" a="1"/>
  <c r="S67" i="2"/>
  <c r="Q67" i="2"/>
  <c r="M66" i="2" a="1"/>
  <c r="U67" i="2"/>
  <c r="K66" i="2" a="1"/>
  <c r="R67" i="2"/>
  <c r="L66" i="2" a="1"/>
  <c r="O135" i="9" l="1"/>
  <c r="O205" i="9"/>
  <c r="O66" i="9"/>
  <c r="K207" i="9"/>
  <c r="K137" i="9"/>
  <c r="K67" i="9"/>
  <c r="M66" i="2"/>
  <c r="O66" i="2"/>
  <c r="V67" i="2"/>
  <c r="L66" i="2"/>
  <c r="K66" i="2"/>
  <c r="N66" i="2"/>
  <c r="J66" i="2"/>
  <c r="Z135" i="8"/>
  <c r="J135" i="8"/>
  <c r="AL135" i="8"/>
  <c r="V135" i="8"/>
  <c r="F135" i="8"/>
  <c r="AH135" i="8"/>
  <c r="R135" i="8"/>
  <c r="B135" i="8"/>
  <c r="AD135" i="8"/>
  <c r="N135" i="8"/>
  <c r="P135" i="8"/>
  <c r="L135" i="8"/>
  <c r="H135" i="8"/>
  <c r="AJ135" i="8"/>
  <c r="D135" i="8"/>
  <c r="AF135" i="8"/>
  <c r="A137" i="8" a="1"/>
  <c r="A137" i="8" s="1"/>
  <c r="AB135" i="8"/>
  <c r="X135" i="8"/>
  <c r="T135" i="8"/>
  <c r="I69" i="2"/>
  <c r="X134" i="8"/>
  <c r="H134" i="8"/>
  <c r="AJ134" i="8"/>
  <c r="T134" i="8"/>
  <c r="D134" i="8"/>
  <c r="AF134" i="8"/>
  <c r="P134" i="8"/>
  <c r="A136" i="8" a="1"/>
  <c r="A136" i="8" s="1"/>
  <c r="AB134" i="8"/>
  <c r="L134" i="8"/>
  <c r="AD134" i="8"/>
  <c r="Z134" i="8"/>
  <c r="V134" i="8"/>
  <c r="R134" i="8"/>
  <c r="N134" i="8"/>
  <c r="J134" i="8"/>
  <c r="AL134" i="8"/>
  <c r="F134" i="8"/>
  <c r="AH134" i="8"/>
  <c r="B134" i="8"/>
  <c r="S68" i="2"/>
  <c r="Q68" i="2"/>
  <c r="O67" i="2" a="1"/>
  <c r="J67" i="2" a="1"/>
  <c r="U68" i="2"/>
  <c r="R68" i="2"/>
  <c r="N67" i="2" a="1"/>
  <c r="L67" i="2" a="1"/>
  <c r="T68" i="2"/>
  <c r="M67" i="2" a="1"/>
  <c r="P68" i="2"/>
  <c r="K67" i="2" a="1"/>
  <c r="O136" i="9" l="1"/>
  <c r="O206" i="9"/>
  <c r="O67" i="9"/>
  <c r="K208" i="9"/>
  <c r="K138" i="9"/>
  <c r="K68" i="9"/>
  <c r="V68" i="2"/>
  <c r="J67" i="2"/>
  <c r="N67" i="2"/>
  <c r="K67" i="2"/>
  <c r="M67" i="2"/>
  <c r="O67" i="2"/>
  <c r="L67" i="2"/>
  <c r="AD137" i="8"/>
  <c r="N137" i="8"/>
  <c r="Z137" i="8"/>
  <c r="J137" i="8"/>
  <c r="AL137" i="8"/>
  <c r="V137" i="8"/>
  <c r="F137" i="8"/>
  <c r="AH137" i="8"/>
  <c r="R137" i="8"/>
  <c r="B137" i="8"/>
  <c r="T137" i="8"/>
  <c r="P137" i="8"/>
  <c r="L137" i="8"/>
  <c r="H137" i="8"/>
  <c r="AJ137" i="8"/>
  <c r="D137" i="8"/>
  <c r="AF137" i="8"/>
  <c r="A139" i="8" a="1"/>
  <c r="A139" i="8" s="1"/>
  <c r="AB137" i="8"/>
  <c r="X137" i="8"/>
  <c r="A138" i="8" a="1"/>
  <c r="A138" i="8" s="1"/>
  <c r="AB136" i="8"/>
  <c r="L136" i="8"/>
  <c r="X136" i="8"/>
  <c r="H136" i="8"/>
  <c r="AJ136" i="8"/>
  <c r="T136" i="8"/>
  <c r="D136" i="8"/>
  <c r="AF136" i="8"/>
  <c r="P136" i="8"/>
  <c r="AH136" i="8"/>
  <c r="B136" i="8"/>
  <c r="AD136" i="8"/>
  <c r="Z136" i="8"/>
  <c r="V136" i="8"/>
  <c r="R136" i="8"/>
  <c r="N136" i="8"/>
  <c r="J136" i="8"/>
  <c r="AL136" i="8"/>
  <c r="F136" i="8"/>
  <c r="I70" i="2"/>
  <c r="L68" i="2" a="1"/>
  <c r="O68" i="2" a="1"/>
  <c r="T69" i="2"/>
  <c r="N68" i="2" a="1"/>
  <c r="J68" i="2" a="1"/>
  <c r="S69" i="2"/>
  <c r="P69" i="2"/>
  <c r="K68" i="2" a="1"/>
  <c r="Q69" i="2"/>
  <c r="R69" i="2"/>
  <c r="U69" i="2"/>
  <c r="M68" i="2" a="1"/>
  <c r="O137" i="9" l="1"/>
  <c r="O207" i="9"/>
  <c r="O68" i="9"/>
  <c r="K209" i="9"/>
  <c r="K139" i="9"/>
  <c r="K69" i="9"/>
  <c r="M68" i="2"/>
  <c r="K68" i="2"/>
  <c r="N68" i="2"/>
  <c r="O68" i="2"/>
  <c r="L68" i="2"/>
  <c r="V69" i="2"/>
  <c r="J68" i="2"/>
  <c r="AH139" i="8"/>
  <c r="R139" i="8"/>
  <c r="B139" i="8"/>
  <c r="AD139" i="8"/>
  <c r="N139" i="8"/>
  <c r="Z139" i="8"/>
  <c r="J139" i="8"/>
  <c r="AL139" i="8"/>
  <c r="V139" i="8"/>
  <c r="F139" i="8"/>
  <c r="X139" i="8"/>
  <c r="T139" i="8"/>
  <c r="P139" i="8"/>
  <c r="L139" i="8"/>
  <c r="H139" i="8"/>
  <c r="AJ139" i="8"/>
  <c r="D139" i="8"/>
  <c r="AF139" i="8"/>
  <c r="A141" i="8" a="1"/>
  <c r="A141" i="8" s="1"/>
  <c r="AB139" i="8"/>
  <c r="AF138" i="8"/>
  <c r="P138" i="8"/>
  <c r="A140" i="8" a="1"/>
  <c r="A140" i="8" s="1"/>
  <c r="AB138" i="8"/>
  <c r="L138" i="8"/>
  <c r="X138" i="8"/>
  <c r="H138" i="8"/>
  <c r="AJ138" i="8"/>
  <c r="T138" i="8"/>
  <c r="D138" i="8"/>
  <c r="AL138" i="8"/>
  <c r="F138" i="8"/>
  <c r="AH138" i="8"/>
  <c r="B138" i="8"/>
  <c r="AD138" i="8"/>
  <c r="Z138" i="8"/>
  <c r="V138" i="8"/>
  <c r="R138" i="8"/>
  <c r="N138" i="8"/>
  <c r="J138" i="8"/>
  <c r="N69" i="2" a="1"/>
  <c r="T70" i="2"/>
  <c r="U70" i="2"/>
  <c r="L69" i="2" a="1"/>
  <c r="S70" i="2"/>
  <c r="K69" i="2" a="1"/>
  <c r="R70" i="2"/>
  <c r="O69" i="2" a="1"/>
  <c r="P70" i="2"/>
  <c r="J69" i="2" a="1"/>
  <c r="Q70" i="2"/>
  <c r="M69" i="2" a="1"/>
  <c r="O138" i="9" l="1"/>
  <c r="O208" i="9"/>
  <c r="O69" i="9"/>
  <c r="K210" i="9"/>
  <c r="K140" i="9"/>
  <c r="K70" i="9"/>
  <c r="O69" i="2"/>
  <c r="N69" i="2"/>
  <c r="M69" i="2"/>
  <c r="J69" i="2"/>
  <c r="V70" i="2"/>
  <c r="K69" i="2"/>
  <c r="L69" i="2"/>
  <c r="AJ140" i="8"/>
  <c r="T140" i="8"/>
  <c r="D140" i="8"/>
  <c r="AF140" i="8"/>
  <c r="P140" i="8"/>
  <c r="A142" i="8" a="1"/>
  <c r="A142" i="8" s="1"/>
  <c r="AB140" i="8"/>
  <c r="L140" i="8"/>
  <c r="X140" i="8"/>
  <c r="H140" i="8"/>
  <c r="J140" i="8"/>
  <c r="AL140" i="8"/>
  <c r="F140" i="8"/>
  <c r="AH140" i="8"/>
  <c r="B140" i="8"/>
  <c r="AD140" i="8"/>
  <c r="Z140" i="8"/>
  <c r="V140" i="8"/>
  <c r="R140" i="8"/>
  <c r="N140" i="8"/>
  <c r="AL141" i="8"/>
  <c r="V141" i="8"/>
  <c r="F141" i="8"/>
  <c r="AH141" i="8"/>
  <c r="R141" i="8"/>
  <c r="B141" i="8"/>
  <c r="AD141" i="8"/>
  <c r="N141" i="8"/>
  <c r="Z141" i="8"/>
  <c r="J141" i="8"/>
  <c r="A143" i="8" a="1"/>
  <c r="A143" i="8" s="1"/>
  <c r="AB141" i="8"/>
  <c r="X141" i="8"/>
  <c r="T141" i="8"/>
  <c r="P141" i="8"/>
  <c r="L141" i="8"/>
  <c r="H141" i="8"/>
  <c r="AJ141" i="8"/>
  <c r="D141" i="8"/>
  <c r="AF141" i="8"/>
  <c r="N70" i="2" a="1"/>
  <c r="K70" i="2" a="1"/>
  <c r="J70" i="2" a="1"/>
  <c r="L70" i="2" a="1"/>
  <c r="O70" i="2" a="1"/>
  <c r="M70" i="2" a="1"/>
  <c r="O139" i="9" l="1"/>
  <c r="O209" i="9"/>
  <c r="O70" i="9"/>
  <c r="N70" i="2"/>
  <c r="O70" i="2"/>
  <c r="M70" i="2"/>
  <c r="L70" i="2"/>
  <c r="J70" i="2"/>
  <c r="K70" i="2"/>
  <c r="Z143" i="8"/>
  <c r="J143" i="8"/>
  <c r="AL143" i="8"/>
  <c r="V143" i="8"/>
  <c r="F143" i="8"/>
  <c r="AH143" i="8"/>
  <c r="R143" i="8"/>
  <c r="B143" i="8"/>
  <c r="AD143" i="8"/>
  <c r="N143" i="8"/>
  <c r="AF143" i="8"/>
  <c r="A145" i="8" a="1"/>
  <c r="A145" i="8" s="1"/>
  <c r="AB143" i="8"/>
  <c r="X143" i="8"/>
  <c r="T143" i="8"/>
  <c r="P143" i="8"/>
  <c r="L143" i="8"/>
  <c r="H143" i="8"/>
  <c r="AJ143" i="8"/>
  <c r="D143" i="8"/>
  <c r="X142" i="8"/>
  <c r="H142" i="8"/>
  <c r="AJ142" i="8"/>
  <c r="T142" i="8"/>
  <c r="D142" i="8"/>
  <c r="AF142" i="8"/>
  <c r="P142" i="8"/>
  <c r="A144" i="8" a="1"/>
  <c r="A144" i="8" s="1"/>
  <c r="AB142" i="8"/>
  <c r="L142" i="8"/>
  <c r="N142" i="8"/>
  <c r="J142" i="8"/>
  <c r="AL142" i="8"/>
  <c r="F142" i="8"/>
  <c r="AH142" i="8"/>
  <c r="B142" i="8"/>
  <c r="AD142" i="8"/>
  <c r="Z142" i="8"/>
  <c r="V142" i="8"/>
  <c r="R142" i="8"/>
  <c r="O140" i="9" l="1"/>
  <c r="O210" i="9"/>
  <c r="AB144" i="8"/>
  <c r="L144" i="8"/>
  <c r="X144" i="8"/>
  <c r="H144" i="8"/>
  <c r="AJ144" i="8"/>
  <c r="T144" i="8"/>
  <c r="D144" i="8"/>
  <c r="AF144" i="8"/>
  <c r="P144" i="8"/>
  <c r="R144" i="8"/>
  <c r="N144" i="8"/>
  <c r="J144" i="8"/>
  <c r="AL144" i="8"/>
  <c r="F144" i="8"/>
  <c r="AH144" i="8"/>
  <c r="B144" i="8"/>
  <c r="AD144" i="8"/>
  <c r="Z144" i="8"/>
  <c r="V144" i="8"/>
  <c r="AD145" i="8"/>
  <c r="N145" i="8"/>
  <c r="Z145" i="8"/>
  <c r="J145" i="8"/>
  <c r="AL145" i="8"/>
  <c r="V145" i="8"/>
  <c r="F145" i="8"/>
  <c r="AH145" i="8"/>
  <c r="R145" i="8"/>
  <c r="B145" i="8"/>
  <c r="AJ145" i="8"/>
  <c r="D145" i="8"/>
  <c r="AF145" i="8"/>
  <c r="AB145" i="8"/>
  <c r="X145" i="8"/>
  <c r="T145" i="8"/>
  <c r="P145" i="8"/>
  <c r="L145" i="8"/>
  <c r="H145" i="8"/>
  <c r="I1" i="7"/>
  <c r="I2" i="7"/>
  <c r="A9" i="5" l="1"/>
  <c r="V147" i="8" a="1"/>
  <c r="V147" i="8" s="1"/>
  <c r="V146" i="8" a="1"/>
  <c r="V146" i="8" s="1"/>
  <c r="L147" i="8" a="1"/>
  <c r="L147" i="8" s="1"/>
  <c r="L146" i="8" a="1"/>
  <c r="L146" i="8" s="1"/>
  <c r="L149" i="8" s="1"/>
  <c r="B147" i="8" a="1"/>
  <c r="B147" i="8" s="1"/>
  <c r="B146" i="8" a="1"/>
  <c r="B146" i="8" s="1"/>
  <c r="N147" i="8" a="1"/>
  <c r="N147" i="8" s="1"/>
  <c r="N146" i="8" a="1"/>
  <c r="N146" i="8" s="1"/>
  <c r="P147" i="8" a="1"/>
  <c r="P147" i="8" s="1"/>
  <c r="P146" i="8" a="1"/>
  <c r="P146" i="8" s="1"/>
  <c r="C6" i="5" s="1"/>
  <c r="K6" i="5" s="1"/>
  <c r="F6" i="5" s="1"/>
  <c r="R147" i="8" a="1"/>
  <c r="R147" i="8" s="1"/>
  <c r="R146" i="8" a="1"/>
  <c r="R146" i="8" s="1"/>
  <c r="C7" i="5" s="1"/>
  <c r="K7" i="5" s="1"/>
  <c r="F7" i="5" s="1"/>
  <c r="AD147" i="8" a="1"/>
  <c r="AD147" i="8" s="1"/>
  <c r="AD146" i="8" a="1"/>
  <c r="AD146" i="8" s="1"/>
  <c r="F146" i="8" a="1"/>
  <c r="F146" i="8" s="1"/>
  <c r="C2" i="5" s="1"/>
  <c r="K2" i="5" s="1"/>
  <c r="F147" i="8" a="1"/>
  <c r="F147" i="8" s="1"/>
  <c r="T147" i="8" a="1"/>
  <c r="T147" i="8" s="1"/>
  <c r="T146" i="8" a="1"/>
  <c r="T146" i="8" s="1"/>
  <c r="C8" i="5" s="1"/>
  <c r="K8" i="5" s="1"/>
  <c r="F8" i="5" s="1"/>
  <c r="AH146" i="8" a="1"/>
  <c r="AH146" i="8" s="1"/>
  <c r="AH147" i="8" a="1"/>
  <c r="AH147" i="8" s="1"/>
  <c r="X147" i="8" a="1"/>
  <c r="X147" i="8" s="1"/>
  <c r="X146" i="8" a="1"/>
  <c r="X146" i="8" s="1"/>
  <c r="AF147" i="8" a="1"/>
  <c r="AF147" i="8" s="1"/>
  <c r="AF146" i="8" a="1"/>
  <c r="AF146" i="8" s="1"/>
  <c r="D147" i="8" a="1"/>
  <c r="D147" i="8" s="1"/>
  <c r="D146" i="8" a="1"/>
  <c r="D146" i="8" s="1"/>
  <c r="J147" i="8" a="1"/>
  <c r="J147" i="8" s="1"/>
  <c r="J146" i="8" a="1"/>
  <c r="J146" i="8" s="1"/>
  <c r="C4" i="5" s="1"/>
  <c r="K4" i="5" s="1"/>
  <c r="F4" i="5" s="1"/>
  <c r="AB146" i="8" a="1"/>
  <c r="AB146" i="8" s="1"/>
  <c r="AB147" i="8" a="1"/>
  <c r="AB147" i="8" s="1"/>
  <c r="H146" i="8" a="1"/>
  <c r="H146" i="8" s="1"/>
  <c r="H147" i="8" a="1"/>
  <c r="H147" i="8" s="1"/>
  <c r="AJ147" i="8" a="1"/>
  <c r="AJ147" i="8" s="1"/>
  <c r="AJ146" i="8" a="1"/>
  <c r="AJ146" i="8" s="1"/>
  <c r="Z147" i="8" a="1"/>
  <c r="Z147" i="8" s="1"/>
  <c r="Z146" i="8" a="1"/>
  <c r="Z146" i="8" s="1"/>
  <c r="H223" i="9" a="1"/>
  <c r="C243" i="9" a="1"/>
  <c r="H239" i="9" a="1"/>
  <c r="H231" i="9" a="1"/>
  <c r="H235" i="9" a="1"/>
  <c r="E6" i="7" l="1"/>
  <c r="C3" i="5"/>
  <c r="K3" i="5" s="1"/>
  <c r="H149" i="8"/>
  <c r="F149" i="8"/>
  <c r="C5" i="5"/>
  <c r="H223" i="9"/>
  <c r="H235" i="9"/>
  <c r="H231" i="9"/>
  <c r="H239" i="9"/>
  <c r="C243" i="9"/>
  <c r="F243" i="9" s="1"/>
  <c r="G243" i="9" s="1"/>
  <c r="C6" i="7" l="1"/>
  <c r="D6" i="7" s="1"/>
  <c r="K5" i="5"/>
  <c r="L5" i="5"/>
  <c r="G5" i="5" s="1"/>
  <c r="Q235" i="9"/>
  <c r="P235" i="9" s="1"/>
  <c r="F235" i="9"/>
  <c r="G235" i="9" s="1"/>
  <c r="Q239" i="9"/>
  <c r="P239" i="9" s="1"/>
  <c r="F239" i="9"/>
  <c r="G239" i="9" s="1"/>
  <c r="Q231" i="9"/>
  <c r="P231" i="9" s="1"/>
  <c r="F231" i="9"/>
  <c r="G231" i="9" s="1"/>
  <c r="Q223" i="9"/>
  <c r="P223" i="9" s="1"/>
  <c r="F223" i="9"/>
  <c r="G223" i="9" s="1"/>
  <c r="L3" i="5"/>
  <c r="L2" i="5"/>
  <c r="G2" i="5" s="1"/>
  <c r="J243" i="9"/>
  <c r="H214" i="9"/>
  <c r="H228" i="9" a="1"/>
  <c r="C228" i="9" a="1"/>
  <c r="F214" i="9" l="1"/>
  <c r="C228" i="9"/>
  <c r="H228" i="9"/>
  <c r="Q228" i="9" s="1"/>
  <c r="P228" i="9" s="1"/>
  <c r="F5" i="5"/>
  <c r="G3" i="5"/>
  <c r="F3" i="5"/>
  <c r="F2" i="5"/>
  <c r="G214" i="9"/>
  <c r="H227" i="9" a="1"/>
  <c r="C220" i="9" a="1"/>
  <c r="H220" i="9" a="1"/>
  <c r="C216" i="9" a="1"/>
  <c r="H216" i="9" a="1"/>
  <c r="H219" i="9" a="1"/>
  <c r="H215" i="9" a="1"/>
  <c r="H227" i="9" l="1"/>
  <c r="J228" i="9"/>
  <c r="F228" i="9"/>
  <c r="G228" i="9" s="1"/>
  <c r="H220" i="9"/>
  <c r="Q220" i="9" s="1"/>
  <c r="P220" i="9" s="1"/>
  <c r="C220" i="9"/>
  <c r="J220" i="9" s="1"/>
  <c r="H216" i="9"/>
  <c r="Q216" i="9" s="1"/>
  <c r="P216" i="9" s="1"/>
  <c r="C216" i="9"/>
  <c r="H219" i="9"/>
  <c r="H215" i="9"/>
  <c r="F215" i="9" s="1"/>
  <c r="G215" i="9" s="1"/>
  <c r="F216" i="9" l="1"/>
  <c r="G216" i="9" s="1"/>
  <c r="F220" i="9"/>
  <c r="G220" i="9" s="1"/>
  <c r="Q227" i="9"/>
  <c r="P227" i="9" s="1"/>
  <c r="F227" i="9"/>
  <c r="G227" i="9" s="1"/>
  <c r="J216" i="9"/>
  <c r="Q219" i="9"/>
  <c r="P219" i="9" s="1"/>
  <c r="F219" i="9"/>
  <c r="G219" i="9" s="1"/>
  <c r="Q215" i="9"/>
  <c r="P215" i="9" s="1"/>
  <c r="O7" i="6" a="1"/>
  <c r="O6" i="6" a="1"/>
  <c r="O5" i="6" a="1"/>
  <c r="O6" i="6" l="1"/>
  <c r="O7" i="6"/>
  <c r="O5" i="6"/>
  <c r="O13" i="6" s="1" a="1"/>
  <c r="O13" i="6" s="1"/>
  <c r="O21" i="6" s="1" a="1"/>
  <c r="O21" i="6" s="1"/>
  <c r="F6" i="6" a="1"/>
  <c r="O4" i="6" a="1"/>
  <c r="O14" i="6" a="1"/>
  <c r="F6" i="6" l="1"/>
  <c r="O15" i="6" a="1"/>
  <c r="O15" i="6" s="1"/>
  <c r="O23" i="6" s="1" a="1"/>
  <c r="O23" i="6" s="1"/>
  <c r="O14" i="6"/>
  <c r="O4" i="6"/>
  <c r="A6" i="6" a="1"/>
  <c r="F7" i="6" a="1"/>
  <c r="O12" i="6" a="1"/>
  <c r="O22" i="6" a="1"/>
  <c r="O3" i="6" a="1"/>
  <c r="F7" i="6" l="1"/>
  <c r="A7" i="6" s="1" a="1"/>
  <c r="A7" i="6" s="1"/>
  <c r="A6" i="6"/>
  <c r="O22" i="6"/>
  <c r="O12" i="6"/>
  <c r="O20" i="6" s="1" a="1"/>
  <c r="O20" i="6" s="1"/>
  <c r="O3" i="6"/>
  <c r="O11" i="6" a="1"/>
  <c r="O2" i="6" a="1"/>
  <c r="O11" i="6" l="1"/>
  <c r="O2" i="6"/>
  <c r="F2" i="6" a="1"/>
  <c r="O1" i="6" a="1"/>
  <c r="O19" i="6" a="1"/>
  <c r="O10" i="6" a="1"/>
  <c r="F2" i="6" l="1"/>
  <c r="O10" i="6"/>
  <c r="O19" i="6"/>
  <c r="O1" i="6"/>
  <c r="O9" i="6" s="1" a="1"/>
  <c r="O9" i="6" s="1"/>
  <c r="O17" i="6" s="1" a="1"/>
  <c r="O17" i="6" s="1"/>
  <c r="A2" i="6" a="1"/>
  <c r="O8" i="6" a="1"/>
  <c r="O18" i="6" a="1"/>
  <c r="A2" i="6" l="1"/>
  <c r="O18" i="6"/>
  <c r="O8" i="6"/>
  <c r="B9" i="6" a="1"/>
  <c r="B9" i="6" s="1"/>
  <c r="B12" i="6" a="1"/>
  <c r="B12" i="6" s="1"/>
  <c r="B13" i="6" a="1"/>
  <c r="B13" i="6" s="1"/>
  <c r="B15" i="6" a="1"/>
  <c r="B15" i="6" s="1"/>
  <c r="B10" i="6" a="1"/>
  <c r="B14" i="6" a="1"/>
  <c r="F1" i="6" a="1"/>
  <c r="F4" i="6" a="1"/>
  <c r="F3" i="6" a="1"/>
  <c r="F5" i="6" a="1"/>
  <c r="B14" i="6" l="1"/>
  <c r="B22" i="6" s="1" a="1"/>
  <c r="B22" i="6" s="1"/>
  <c r="F22" i="6" s="1" a="1"/>
  <c r="F22" i="6" s="1"/>
  <c r="A22" i="6" s="1" a="1"/>
  <c r="A22" i="6" s="1"/>
  <c r="B10" i="6"/>
  <c r="B18" i="6" s="1" a="1"/>
  <c r="B18" i="6" s="1"/>
  <c r="F18" i="6" s="1" a="1"/>
  <c r="F18" i="6" s="1"/>
  <c r="A18" i="6" s="1" a="1"/>
  <c r="A18" i="6" s="1"/>
  <c r="O16" i="6" a="1"/>
  <c r="O16" i="6" s="1"/>
  <c r="B16" i="6" s="1" a="1"/>
  <c r="B16" i="6" s="1"/>
  <c r="F5" i="6"/>
  <c r="A5" i="6" s="1" a="1"/>
  <c r="A5" i="6" s="1"/>
  <c r="F4" i="6"/>
  <c r="F3" i="6"/>
  <c r="F1" i="6"/>
  <c r="A1" i="6" s="1" a="1"/>
  <c r="A1" i="6" s="1"/>
  <c r="B21" i="6" a="1"/>
  <c r="B21" i="6" s="1"/>
  <c r="F21" i="6" s="1" a="1"/>
  <c r="F21" i="6" s="1"/>
  <c r="A21" i="6" s="1" a="1"/>
  <c r="A21" i="6" s="1"/>
  <c r="F13" i="6" a="1"/>
  <c r="F13" i="6" s="1"/>
  <c r="A13" i="6" s="1" a="1"/>
  <c r="A13" i="6" s="1"/>
  <c r="F12" i="6" a="1"/>
  <c r="F12" i="6" s="1"/>
  <c r="A12" i="6" s="1" a="1"/>
  <c r="A12" i="6" s="1"/>
  <c r="B20" i="6" a="1"/>
  <c r="B20" i="6" s="1"/>
  <c r="F20" i="6" s="1" a="1"/>
  <c r="F20" i="6" s="1"/>
  <c r="A20" i="6" s="1" a="1"/>
  <c r="A20" i="6" s="1"/>
  <c r="F9" i="6" a="1"/>
  <c r="F9" i="6" s="1"/>
  <c r="A9" i="6" s="1" a="1"/>
  <c r="A9" i="6" s="1"/>
  <c r="B17" i="6" a="1"/>
  <c r="B17" i="6" s="1"/>
  <c r="F17" i="6" s="1" a="1"/>
  <c r="F17" i="6" s="1"/>
  <c r="A17" i="6" s="1" a="1"/>
  <c r="A17" i="6" s="1"/>
  <c r="B23" i="6" a="1"/>
  <c r="B23" i="6" s="1"/>
  <c r="F23" i="6" s="1" a="1"/>
  <c r="F23" i="6" s="1"/>
  <c r="A23" i="6" s="1" a="1"/>
  <c r="A23" i="6" s="1"/>
  <c r="F15" i="6" a="1"/>
  <c r="F15" i="6" s="1"/>
  <c r="A15" i="6" s="1" a="1"/>
  <c r="A15" i="6" s="1"/>
  <c r="F14" i="6" a="1"/>
  <c r="F10" i="6" a="1"/>
  <c r="F8" i="6" a="1"/>
  <c r="A4" i="6" a="1"/>
  <c r="B11" i="6" a="1"/>
  <c r="O24" i="6" l="1" a="1"/>
  <c r="O24" i="6" s="1"/>
  <c r="B24" i="6" s="1" a="1"/>
  <c r="B24" i="6" s="1"/>
  <c r="F24" i="6" s="1" a="1"/>
  <c r="F24" i="6" s="1"/>
  <c r="A24" i="6" s="1" a="1"/>
  <c r="A24" i="6" s="1"/>
  <c r="F8" i="6"/>
  <c r="A8" i="6" s="1" a="1"/>
  <c r="A8" i="6" s="1"/>
  <c r="F10" i="6"/>
  <c r="F14" i="6"/>
  <c r="B11" i="6"/>
  <c r="A4" i="6"/>
  <c r="F16" i="6" a="1"/>
  <c r="F16" i="6" s="1"/>
  <c r="A16" i="6" s="1" a="1"/>
  <c r="A16" i="6" s="1"/>
  <c r="A10" i="6" a="1"/>
  <c r="A14" i="6" a="1"/>
  <c r="A3" i="6" a="1"/>
  <c r="A14" i="6" l="1"/>
  <c r="A10" i="6"/>
  <c r="A3" i="6"/>
  <c r="B19" i="6" a="1"/>
  <c r="B19" i="6" s="1"/>
  <c r="F19" i="6" s="1" a="1"/>
  <c r="F19" i="6" s="1"/>
  <c r="A19" i="6" s="1" a="1"/>
  <c r="A19" i="6" s="1"/>
  <c r="F11" i="6" a="1"/>
  <c r="D253" i="9" l="1" a="1"/>
  <c r="D253" i="9" s="1"/>
  <c r="D251" i="9" a="1"/>
  <c r="D251" i="9" s="1"/>
  <c r="C247" i="9" a="1"/>
  <c r="C247" i="9" s="1"/>
  <c r="I249" i="9" a="1"/>
  <c r="I249" i="9" s="1"/>
  <c r="Q249" i="9" s="1"/>
  <c r="P249" i="9" s="1"/>
  <c r="D254" i="9" a="1"/>
  <c r="D254" i="9" s="1"/>
  <c r="R5" i="6" a="1"/>
  <c r="R5" i="6" s="1"/>
  <c r="I247" i="9" a="1"/>
  <c r="I247" i="9" s="1"/>
  <c r="Q247" i="9" s="1"/>
  <c r="P247" i="9" s="1"/>
  <c r="C252" i="9" a="1"/>
  <c r="C252" i="9" s="1"/>
  <c r="C253" i="9" a="1"/>
  <c r="C253" i="9" s="1"/>
  <c r="R8" i="6" a="1"/>
  <c r="R8" i="6" s="1"/>
  <c r="R7" i="6" a="1"/>
  <c r="R7" i="6" s="1"/>
  <c r="I248" i="9" a="1"/>
  <c r="I248" i="9" s="1"/>
  <c r="Q248" i="9" s="1"/>
  <c r="P248" i="9" s="1"/>
  <c r="D249" i="9" a="1"/>
  <c r="D249" i="9" s="1"/>
  <c r="I252" i="9" a="1"/>
  <c r="I252" i="9" s="1"/>
  <c r="Q252" i="9" s="1"/>
  <c r="P252" i="9" s="1"/>
  <c r="D250" i="9" a="1"/>
  <c r="D250" i="9" s="1"/>
  <c r="C249" i="9" a="1"/>
  <c r="C249" i="9" s="1"/>
  <c r="I253" i="9" a="1"/>
  <c r="I253" i="9" s="1"/>
  <c r="Q253" i="9" s="1"/>
  <c r="P253" i="9" s="1"/>
  <c r="R9" i="6" a="1"/>
  <c r="R9" i="6" s="1"/>
  <c r="I250" i="9" a="1"/>
  <c r="I250" i="9" s="1"/>
  <c r="Q250" i="9" s="1"/>
  <c r="P250" i="9" s="1"/>
  <c r="C254" i="9" a="1"/>
  <c r="C254" i="9" s="1"/>
  <c r="D252" i="9" a="1"/>
  <c r="D252" i="9" s="1"/>
  <c r="C248" i="9" a="1"/>
  <c r="C248" i="9" s="1"/>
  <c r="C250" i="9" a="1"/>
  <c r="C250" i="9" s="1"/>
  <c r="I254" i="9" a="1"/>
  <c r="I254" i="9" s="1"/>
  <c r="Q254" i="9" s="1"/>
  <c r="P254" i="9" s="1"/>
  <c r="D247" i="9" a="1"/>
  <c r="D247" i="9" s="1"/>
  <c r="F11" i="6"/>
  <c r="D248" i="9" a="1"/>
  <c r="D248" i="9" s="1"/>
  <c r="I251" i="9" l="1" a="1"/>
  <c r="I251" i="9" s="1"/>
  <c r="Q251" i="9" s="1"/>
  <c r="P251" i="9" s="1"/>
  <c r="R1" i="9" s="1" a="1"/>
  <c r="R1" i="9" s="1"/>
  <c r="S1" i="9" a="1"/>
  <c r="A11" i="6" a="1"/>
  <c r="S1" i="9" l="1"/>
  <c r="A11" i="6"/>
  <c r="R21" i="9" a="1"/>
  <c r="R21" i="9" s="1"/>
  <c r="R240" i="9" a="1"/>
  <c r="R240" i="9" s="1"/>
  <c r="AB240" i="9" s="1" a="1"/>
  <c r="AB240" i="9" s="1"/>
  <c r="R192" i="9" a="1"/>
  <c r="R192" i="9" s="1"/>
  <c r="AB192" i="9" s="1" a="1"/>
  <c r="AB192" i="9" s="1"/>
  <c r="R35" i="9" a="1"/>
  <c r="R35" i="9" s="1"/>
  <c r="R153" i="9" a="1"/>
  <c r="R153" i="9" s="1"/>
  <c r="AB153" i="9" s="1" a="1"/>
  <c r="AB153" i="9" s="1"/>
  <c r="R59" i="9" a="1"/>
  <c r="R59" i="9" s="1"/>
  <c r="AB59" i="9" s="1" a="1"/>
  <c r="AB59" i="9" s="1"/>
  <c r="R89" i="9" a="1"/>
  <c r="R89" i="9" s="1"/>
  <c r="AB89" i="9" s="1" a="1"/>
  <c r="AB89" i="9" s="1"/>
  <c r="R32" i="9" a="1"/>
  <c r="R32" i="9" s="1"/>
  <c r="C1" i="10" a="1"/>
  <c r="AB32" i="9" a="1"/>
  <c r="AB35" i="9" a="1"/>
  <c r="Y35" i="9" a="1"/>
  <c r="T32" i="9" a="1"/>
  <c r="Y32" i="9" a="1"/>
  <c r="AB21" i="9" a="1"/>
  <c r="C1" i="10" l="1"/>
  <c r="AB35" i="9"/>
  <c r="AB32" i="9"/>
  <c r="AB21" i="9"/>
  <c r="Y59" i="9" a="1"/>
  <c r="Y59" i="9" s="1"/>
  <c r="Y89" i="9" a="1"/>
  <c r="Y89" i="9" s="1"/>
  <c r="Y153" i="9" a="1"/>
  <c r="Y153" i="9" s="1"/>
  <c r="Y192" i="9" a="1"/>
  <c r="Y192" i="9" s="1"/>
  <c r="Y240" i="9" a="1"/>
  <c r="Y240" i="9" s="1"/>
  <c r="Y35" i="9"/>
  <c r="Y32" i="9"/>
  <c r="T32" i="9"/>
  <c r="U89" i="9" a="1"/>
  <c r="U89" i="9" s="1"/>
  <c r="Z89" i="9"/>
  <c r="W89" i="9" a="1"/>
  <c r="W89" i="9" s="1"/>
  <c r="X89" i="9" a="1"/>
  <c r="X89" i="9" s="1"/>
  <c r="S89" i="9" a="1"/>
  <c r="S89" i="9" s="1"/>
  <c r="V89" i="9" a="1"/>
  <c r="V89" i="9" s="1"/>
  <c r="T89" i="9" a="1"/>
  <c r="T89" i="9" s="1"/>
  <c r="T59" i="9" a="1"/>
  <c r="T59" i="9" s="1"/>
  <c r="V59" i="9" a="1"/>
  <c r="V59" i="9" s="1"/>
  <c r="S59" i="9" a="1"/>
  <c r="S59" i="9" s="1"/>
  <c r="U59" i="9" a="1"/>
  <c r="U59" i="9" s="1"/>
  <c r="Z59" i="9"/>
  <c r="W153" i="9" a="1"/>
  <c r="W153" i="9" s="1"/>
  <c r="V153" i="9" a="1"/>
  <c r="V153" i="9" s="1"/>
  <c r="T153" i="9" a="1"/>
  <c r="T153" i="9" s="1"/>
  <c r="X153" i="9" a="1"/>
  <c r="X153" i="9" s="1"/>
  <c r="U153" i="9" a="1"/>
  <c r="U153" i="9" s="1"/>
  <c r="S153" i="9" a="1"/>
  <c r="S153" i="9" s="1"/>
  <c r="Z153" i="9"/>
  <c r="S192" i="9" a="1"/>
  <c r="S192" i="9" s="1"/>
  <c r="U192" i="9" a="1"/>
  <c r="U192" i="9" s="1"/>
  <c r="Z192" i="9"/>
  <c r="W192" i="9" a="1"/>
  <c r="W192" i="9" s="1"/>
  <c r="T192" i="9" a="1"/>
  <c r="T192" i="9" s="1"/>
  <c r="V192" i="9" a="1"/>
  <c r="V192" i="9" s="1"/>
  <c r="X192" i="9" a="1"/>
  <c r="X192" i="9" s="1"/>
  <c r="S240" i="9" a="1"/>
  <c r="S240" i="9" s="1"/>
  <c r="U240" i="9" a="1"/>
  <c r="U240" i="9" s="1"/>
  <c r="X240" i="9" a="1"/>
  <c r="X240" i="9" s="1"/>
  <c r="W240" i="9" a="1"/>
  <c r="W240" i="9" s="1"/>
  <c r="V240" i="9" a="1"/>
  <c r="V240" i="9" s="1"/>
  <c r="Z240" i="9"/>
  <c r="T240" i="9" a="1"/>
  <c r="T240" i="9" s="1"/>
  <c r="W59" i="9" a="1"/>
  <c r="W59" i="9" s="1"/>
  <c r="X59" i="9" a="1"/>
  <c r="X59" i="9" s="1"/>
  <c r="C251" i="9" a="1"/>
  <c r="C251" i="9" s="1"/>
  <c r="R6" i="6" a="1"/>
  <c r="R6" i="6" s="1"/>
  <c r="Y21" i="9" a="1"/>
  <c r="S35" i="9" a="1"/>
  <c r="U32" i="9" a="1"/>
  <c r="W21" i="9" a="1"/>
  <c r="V32" i="9" a="1"/>
  <c r="T21" i="9" a="1"/>
  <c r="V35" i="9" a="1"/>
  <c r="S32" i="9" a="1"/>
  <c r="V21" i="9" a="1"/>
  <c r="T35" i="9" a="1"/>
  <c r="X21" i="9" a="1"/>
  <c r="X35" i="9" a="1"/>
  <c r="U21" i="9" a="1"/>
  <c r="S21" i="9" a="1"/>
  <c r="W35" i="9" a="1"/>
  <c r="U35" i="9" a="1"/>
  <c r="B1" i="10" l="1"/>
  <c r="Y21" i="9"/>
  <c r="AA89" i="9"/>
  <c r="V21" i="9"/>
  <c r="T21" i="9"/>
  <c r="W35" i="9"/>
  <c r="U32" i="9"/>
  <c r="U35" i="9"/>
  <c r="S21" i="9"/>
  <c r="T35" i="9"/>
  <c r="S32" i="9"/>
  <c r="V32" i="9"/>
  <c r="W21" i="9"/>
  <c r="S35" i="9"/>
  <c r="U21" i="9"/>
  <c r="X35" i="9"/>
  <c r="X21" i="9"/>
  <c r="V35" i="9"/>
  <c r="AA192" i="9"/>
  <c r="AA59" i="9"/>
  <c r="AA240" i="9"/>
  <c r="AA153" i="9"/>
  <c r="R202" i="9" a="1"/>
  <c r="R202" i="9" s="1"/>
  <c r="AB202" i="9" s="1" a="1"/>
  <c r="AB202" i="9" s="1"/>
  <c r="R136" i="9" a="1"/>
  <c r="R136" i="9" s="1"/>
  <c r="AB136" i="9" s="1" a="1"/>
  <c r="AB136" i="9" s="1"/>
  <c r="R42" i="9" a="1"/>
  <c r="R42" i="9" s="1"/>
  <c r="F6" i="10" a="1"/>
  <c r="G1" i="10" a="1"/>
  <c r="F3" i="10" a="1"/>
  <c r="D6" i="10" a="1"/>
  <c r="B6" i="10" a="1"/>
  <c r="X32" i="9" a="1"/>
  <c r="W32" i="9" a="1"/>
  <c r="AB42" i="9" a="1"/>
  <c r="B6" i="10" l="1"/>
  <c r="D6" i="10"/>
  <c r="F3" i="10"/>
  <c r="G1" i="10"/>
  <c r="F6" i="10"/>
  <c r="AB42" i="9"/>
  <c r="Y202" i="9" a="1"/>
  <c r="Y202" i="9" s="1"/>
  <c r="Y136" i="9" a="1"/>
  <c r="Y136" i="9" s="1"/>
  <c r="X32" i="9"/>
  <c r="W32" i="9"/>
  <c r="V136" i="9" a="1"/>
  <c r="V136" i="9" s="1"/>
  <c r="T136" i="9" a="1"/>
  <c r="T136" i="9" s="1"/>
  <c r="X136" i="9" a="1"/>
  <c r="X136" i="9" s="1"/>
  <c r="U136" i="9" a="1"/>
  <c r="U136" i="9" s="1"/>
  <c r="W136" i="9" a="1"/>
  <c r="W136" i="9" s="1"/>
  <c r="Z136" i="9"/>
  <c r="S136" i="9" a="1"/>
  <c r="S136" i="9" s="1"/>
  <c r="Z202" i="9"/>
  <c r="V202" i="9" a="1"/>
  <c r="V202" i="9" s="1"/>
  <c r="T202" i="9" a="1"/>
  <c r="T202" i="9" s="1"/>
  <c r="U202" i="9" a="1"/>
  <c r="U202" i="9" s="1"/>
  <c r="S202" i="9" a="1"/>
  <c r="S202" i="9" s="1"/>
  <c r="X202" i="9" a="1"/>
  <c r="X202" i="9" s="1"/>
  <c r="W202" i="9" a="1"/>
  <c r="W202" i="9" s="1"/>
  <c r="AA21" i="9"/>
  <c r="Z21" i="9"/>
  <c r="AA35" i="9"/>
  <c r="Z35" i="9"/>
  <c r="T42" i="9" a="1"/>
  <c r="W42" i="9" a="1"/>
  <c r="Y42" i="9" a="1"/>
  <c r="S42" i="9" a="1"/>
  <c r="V42" i="9" a="1"/>
  <c r="U42" i="9" a="1"/>
  <c r="Y42" i="9" l="1"/>
  <c r="T42" i="9"/>
  <c r="AA136" i="9"/>
  <c r="V42" i="9"/>
  <c r="S42" i="9"/>
  <c r="W42" i="9"/>
  <c r="U42" i="9"/>
  <c r="AA202" i="9"/>
  <c r="AA32" i="9"/>
  <c r="Z32" i="9"/>
  <c r="R29" i="9" a="1"/>
  <c r="R29" i="9" s="1"/>
  <c r="X42" i="9" a="1"/>
  <c r="Y29" i="9" a="1"/>
  <c r="Y29" i="9" l="1"/>
  <c r="AA42" i="9"/>
  <c r="X42" i="9"/>
  <c r="Z42" i="9"/>
  <c r="T29" i="9" a="1"/>
  <c r="W29" i="9" a="1"/>
  <c r="S29" i="9" a="1"/>
  <c r="AB29" i="9" a="1"/>
  <c r="U29" i="9" a="1"/>
  <c r="X29" i="9" a="1"/>
  <c r="V29" i="9" a="1"/>
  <c r="AB29" i="9" l="1"/>
  <c r="T29" i="9"/>
  <c r="S29" i="9"/>
  <c r="X29" i="9"/>
  <c r="V29" i="9"/>
  <c r="U29" i="9"/>
  <c r="W29" i="9"/>
  <c r="R216" i="9" a="1"/>
  <c r="R216" i="9" s="1"/>
  <c r="AB216" i="9" s="1" a="1"/>
  <c r="AB216" i="9" s="1"/>
  <c r="R165" i="9" a="1"/>
  <c r="R165" i="9" s="1"/>
  <c r="AB165" i="9" s="1" a="1"/>
  <c r="AB165" i="9" s="1"/>
  <c r="R147" i="9" a="1"/>
  <c r="R147" i="9" s="1"/>
  <c r="AB147" i="9" s="1" a="1"/>
  <c r="AB147" i="9" s="1"/>
  <c r="R47" i="9" a="1"/>
  <c r="R47" i="9" s="1"/>
  <c r="AB47" i="9" a="1"/>
  <c r="AB47" i="9" l="1"/>
  <c r="Y165" i="9" a="1"/>
  <c r="Y165" i="9" s="1"/>
  <c r="Y147" i="9" a="1"/>
  <c r="Y147" i="9" s="1"/>
  <c r="Y216" i="9" a="1"/>
  <c r="Y216" i="9" s="1"/>
  <c r="Z29" i="9"/>
  <c r="T147" i="9" a="1"/>
  <c r="T147" i="9" s="1"/>
  <c r="Z147" i="9"/>
  <c r="V147" i="9" a="1"/>
  <c r="V147" i="9" s="1"/>
  <c r="X147" i="9" a="1"/>
  <c r="X147" i="9" s="1"/>
  <c r="U147" i="9" a="1"/>
  <c r="U147" i="9" s="1"/>
  <c r="S147" i="9" a="1"/>
  <c r="S147" i="9" s="1"/>
  <c r="W147" i="9" a="1"/>
  <c r="W147" i="9" s="1"/>
  <c r="X165" i="9" a="1"/>
  <c r="X165" i="9" s="1"/>
  <c r="W165" i="9" a="1"/>
  <c r="W165" i="9" s="1"/>
  <c r="Z165" i="9"/>
  <c r="T165" i="9" a="1"/>
  <c r="T165" i="9" s="1"/>
  <c r="U165" i="9" a="1"/>
  <c r="U165" i="9" s="1"/>
  <c r="S165" i="9" a="1"/>
  <c r="S165" i="9" s="1"/>
  <c r="V165" i="9" a="1"/>
  <c r="V165" i="9" s="1"/>
  <c r="T216" i="9" a="1"/>
  <c r="T216" i="9" s="1"/>
  <c r="Z216" i="9"/>
  <c r="V216" i="9" a="1"/>
  <c r="V216" i="9" s="1"/>
  <c r="U216" i="9" a="1"/>
  <c r="U216" i="9" s="1"/>
  <c r="W216" i="9" a="1"/>
  <c r="W216" i="9" s="1"/>
  <c r="X216" i="9" a="1"/>
  <c r="X216" i="9" s="1"/>
  <c r="S216" i="9" a="1"/>
  <c r="S216" i="9" s="1"/>
  <c r="AA29" i="9"/>
  <c r="S47" i="9" a="1"/>
  <c r="Y47" i="9" a="1"/>
  <c r="Y47" i="9" l="1"/>
  <c r="AA147" i="9"/>
  <c r="AA165" i="9"/>
  <c r="S47" i="9"/>
  <c r="AA216" i="9"/>
  <c r="R116" i="9" a="1"/>
  <c r="R116" i="9" s="1"/>
  <c r="AB116" i="9" s="1" a="1"/>
  <c r="AB116" i="9" s="1"/>
  <c r="R125" i="9" a="1"/>
  <c r="R125" i="9" s="1"/>
  <c r="AB125" i="9" s="1" a="1"/>
  <c r="AB125" i="9" s="1"/>
  <c r="R140" i="9" a="1"/>
  <c r="R140" i="9" s="1"/>
  <c r="AB140" i="9" s="1" a="1"/>
  <c r="AB140" i="9" s="1"/>
  <c r="R161" i="9" a="1"/>
  <c r="R161" i="9" s="1"/>
  <c r="AB161" i="9" s="1" a="1"/>
  <c r="AB161" i="9" s="1"/>
  <c r="R195" i="9" a="1"/>
  <c r="R195" i="9" s="1"/>
  <c r="AB195" i="9" s="1" a="1"/>
  <c r="AB195" i="9" s="1"/>
  <c r="R172" i="9" a="1"/>
  <c r="R172" i="9" s="1"/>
  <c r="AB172" i="9" s="1" a="1"/>
  <c r="AB172" i="9" s="1"/>
  <c r="R10" i="9" a="1"/>
  <c r="R10" i="9" s="1"/>
  <c r="U47" i="9" a="1"/>
  <c r="W47" i="9" a="1"/>
  <c r="X47" i="9" a="1"/>
  <c r="V47" i="9" a="1"/>
  <c r="T47" i="9" a="1"/>
  <c r="T10" i="9" a="1"/>
  <c r="Y125" i="9" l="1" a="1"/>
  <c r="Y125" i="9" s="1"/>
  <c r="Y116" i="9" a="1"/>
  <c r="Y116" i="9" s="1"/>
  <c r="Y172" i="9" a="1"/>
  <c r="Y172" i="9" s="1"/>
  <c r="Y195" i="9" a="1"/>
  <c r="Y195" i="9" s="1"/>
  <c r="Y161" i="9" a="1"/>
  <c r="Y161" i="9" s="1"/>
  <c r="Y140" i="9" a="1"/>
  <c r="Y140" i="9" s="1"/>
  <c r="T10" i="9"/>
  <c r="U47" i="9"/>
  <c r="X47" i="9"/>
  <c r="W47" i="9"/>
  <c r="T47" i="9"/>
  <c r="V47" i="9"/>
  <c r="Z140" i="9"/>
  <c r="X140" i="9" a="1"/>
  <c r="X140" i="9" s="1"/>
  <c r="S140" i="9" a="1"/>
  <c r="S140" i="9" s="1"/>
  <c r="T140" i="9" a="1"/>
  <c r="T140" i="9" s="1"/>
  <c r="U140" i="9" a="1"/>
  <c r="U140" i="9" s="1"/>
  <c r="W140" i="9" a="1"/>
  <c r="W140" i="9" s="1"/>
  <c r="V140" i="9" a="1"/>
  <c r="V140" i="9" s="1"/>
  <c r="Z125" i="9"/>
  <c r="T125" i="9" a="1"/>
  <c r="T125" i="9" s="1"/>
  <c r="W125" i="9" a="1"/>
  <c r="W125" i="9" s="1"/>
  <c r="S125" i="9" a="1"/>
  <c r="S125" i="9" s="1"/>
  <c r="V125" i="9" a="1"/>
  <c r="V125" i="9" s="1"/>
  <c r="X125" i="9" a="1"/>
  <c r="X125" i="9" s="1"/>
  <c r="U125" i="9" a="1"/>
  <c r="U125" i="9" s="1"/>
  <c r="X116" i="9" a="1"/>
  <c r="X116" i="9" s="1"/>
  <c r="S116" i="9" a="1"/>
  <c r="S116" i="9" s="1"/>
  <c r="U116" i="9" a="1"/>
  <c r="U116" i="9" s="1"/>
  <c r="W116" i="9" a="1"/>
  <c r="W116" i="9" s="1"/>
  <c r="T116" i="9" a="1"/>
  <c r="T116" i="9" s="1"/>
  <c r="Z116" i="9"/>
  <c r="V116" i="9" a="1"/>
  <c r="V116" i="9" s="1"/>
  <c r="S172" i="9" a="1"/>
  <c r="S172" i="9" s="1"/>
  <c r="Z172" i="9"/>
  <c r="X172" i="9" a="1"/>
  <c r="X172" i="9" s="1"/>
  <c r="U172" i="9" a="1"/>
  <c r="U172" i="9" s="1"/>
  <c r="W172" i="9" a="1"/>
  <c r="W172" i="9" s="1"/>
  <c r="T172" i="9" a="1"/>
  <c r="T172" i="9" s="1"/>
  <c r="V172" i="9" a="1"/>
  <c r="V172" i="9" s="1"/>
  <c r="S195" i="9" a="1"/>
  <c r="S195" i="9" s="1"/>
  <c r="W195" i="9" a="1"/>
  <c r="W195" i="9" s="1"/>
  <c r="U195" i="9" a="1"/>
  <c r="U195" i="9" s="1"/>
  <c r="X195" i="9" a="1"/>
  <c r="X195" i="9" s="1"/>
  <c r="T195" i="9" a="1"/>
  <c r="T195" i="9" s="1"/>
  <c r="Z195" i="9"/>
  <c r="V195" i="9" a="1"/>
  <c r="V195" i="9" s="1"/>
  <c r="Z161" i="9"/>
  <c r="S161" i="9" a="1"/>
  <c r="S161" i="9" s="1"/>
  <c r="X161" i="9" a="1"/>
  <c r="X161" i="9" s="1"/>
  <c r="W161" i="9" a="1"/>
  <c r="W161" i="9" s="1"/>
  <c r="V161" i="9" a="1"/>
  <c r="V161" i="9" s="1"/>
  <c r="T161" i="9" a="1"/>
  <c r="T161" i="9" s="1"/>
  <c r="U161" i="9" a="1"/>
  <c r="U161" i="9" s="1"/>
  <c r="Y10" i="9" a="1"/>
  <c r="AB10" i="9" a="1"/>
  <c r="S10" i="9" a="1"/>
  <c r="AB10" i="9" l="1"/>
  <c r="Y10" i="9"/>
  <c r="AA161" i="9"/>
  <c r="S10" i="9"/>
  <c r="Z47" i="9"/>
  <c r="AA47" i="9"/>
  <c r="AA172" i="9"/>
  <c r="AA140" i="9"/>
  <c r="AA195" i="9"/>
  <c r="AA116" i="9"/>
  <c r="AA125" i="9"/>
  <c r="R96" i="9" a="1"/>
  <c r="R96" i="9" s="1"/>
  <c r="AB96" i="9" s="1" a="1"/>
  <c r="AB96" i="9" s="1"/>
  <c r="R24" i="9" a="1"/>
  <c r="R24" i="9" s="1"/>
  <c r="J33" i="10" a="1"/>
  <c r="U10" i="9" a="1"/>
  <c r="V10" i="9" a="1"/>
  <c r="W10" i="9" a="1"/>
  <c r="X10" i="9" a="1"/>
  <c r="Y24" i="9" a="1"/>
  <c r="J33" i="10" l="1"/>
  <c r="Y96" i="9" a="1"/>
  <c r="Y96" i="9" s="1"/>
  <c r="Y24" i="9"/>
  <c r="U10" i="9"/>
  <c r="X10" i="9"/>
  <c r="V10" i="9"/>
  <c r="W10" i="9"/>
  <c r="T96" i="9" a="1"/>
  <c r="T96" i="9" s="1"/>
  <c r="Z96" i="9"/>
  <c r="S96" i="9" a="1"/>
  <c r="S96" i="9" s="1"/>
  <c r="V96" i="9" a="1"/>
  <c r="V96" i="9" s="1"/>
  <c r="X96" i="9" a="1"/>
  <c r="X96" i="9" s="1"/>
  <c r="U96" i="9" a="1"/>
  <c r="U96" i="9" s="1"/>
  <c r="W96" i="9" a="1"/>
  <c r="W96" i="9" s="1"/>
  <c r="AB24" i="9" a="1"/>
  <c r="S24" i="9" a="1"/>
  <c r="T24" i="9" a="1"/>
  <c r="V24" i="9" a="1"/>
  <c r="U24" i="9" a="1"/>
  <c r="X24" i="9" a="1"/>
  <c r="I33" i="10" l="1"/>
  <c r="T24" i="9"/>
  <c r="AB24" i="9"/>
  <c r="U24" i="9"/>
  <c r="V24" i="9"/>
  <c r="S24" i="9"/>
  <c r="X24" i="9"/>
  <c r="AA96" i="9"/>
  <c r="Z10" i="9"/>
  <c r="AA10" i="9"/>
  <c r="R158" i="9" a="1"/>
  <c r="R158" i="9" s="1"/>
  <c r="AB158" i="9" s="1" a="1"/>
  <c r="AB158" i="9" s="1"/>
  <c r="R207" i="9" a="1"/>
  <c r="R207" i="9" s="1"/>
  <c r="AB207" i="9" s="1" a="1"/>
  <c r="AB207" i="9" s="1"/>
  <c r="R20" i="9" a="1"/>
  <c r="R20" i="9" s="1"/>
  <c r="M39" i="10" a="1"/>
  <c r="M34" i="10" a="1"/>
  <c r="J38" i="10" a="1"/>
  <c r="N33" i="10" a="1"/>
  <c r="J36" i="10" a="1"/>
  <c r="J34" i="10" a="1"/>
  <c r="K39" i="10" a="1"/>
  <c r="I38" i="10" a="1"/>
  <c r="K38" i="10" a="1"/>
  <c r="I39" i="10" a="1"/>
  <c r="M38" i="10" a="1"/>
  <c r="M36" i="10" a="1"/>
  <c r="W24" i="9" a="1"/>
  <c r="Y20" i="9" a="1"/>
  <c r="M36" i="10" l="1"/>
  <c r="M38" i="10"/>
  <c r="I39" i="10"/>
  <c r="K38" i="10"/>
  <c r="I38" i="10"/>
  <c r="K39" i="10"/>
  <c r="J34" i="10"/>
  <c r="J36" i="10"/>
  <c r="N33" i="10"/>
  <c r="J38" i="10"/>
  <c r="M34" i="10"/>
  <c r="M39" i="10"/>
  <c r="Y207" i="9" a="1"/>
  <c r="Y207" i="9" s="1"/>
  <c r="Y158" i="9" a="1"/>
  <c r="Y158" i="9" s="1"/>
  <c r="Y20" i="9"/>
  <c r="W24" i="9"/>
  <c r="T207" i="9" a="1"/>
  <c r="T207" i="9" s="1"/>
  <c r="X207" i="9" a="1"/>
  <c r="X207" i="9" s="1"/>
  <c r="S207" i="9" a="1"/>
  <c r="S207" i="9" s="1"/>
  <c r="U207" i="9" a="1"/>
  <c r="U207" i="9" s="1"/>
  <c r="W207" i="9" a="1"/>
  <c r="W207" i="9" s="1"/>
  <c r="Z207" i="9"/>
  <c r="V207" i="9" a="1"/>
  <c r="V207" i="9" s="1"/>
  <c r="Z158" i="9"/>
  <c r="U158" i="9" a="1"/>
  <c r="U158" i="9" s="1"/>
  <c r="W158" i="9" a="1"/>
  <c r="W158" i="9" s="1"/>
  <c r="X158" i="9" a="1"/>
  <c r="X158" i="9" s="1"/>
  <c r="V158" i="9" a="1"/>
  <c r="V158" i="9" s="1"/>
  <c r="T158" i="9" a="1"/>
  <c r="T158" i="9" s="1"/>
  <c r="S158" i="9" a="1"/>
  <c r="S158" i="9" s="1"/>
  <c r="T20" i="9" a="1"/>
  <c r="AB20" i="9" a="1"/>
  <c r="S20" i="9" a="1"/>
  <c r="AB20" i="9" l="1"/>
  <c r="T20" i="9"/>
  <c r="AA207" i="9"/>
  <c r="S20" i="9"/>
  <c r="Z24" i="9"/>
  <c r="AA24" i="9"/>
  <c r="AA158" i="9"/>
  <c r="R82" i="9" a="1"/>
  <c r="R82" i="9" s="1"/>
  <c r="AB82" i="9" s="1" a="1"/>
  <c r="AB82" i="9" s="1"/>
  <c r="R244" i="9" a="1"/>
  <c r="R244" i="9" s="1"/>
  <c r="AB244" i="9" s="1" a="1"/>
  <c r="AB244" i="9" s="1"/>
  <c r="R83" i="9" a="1"/>
  <c r="R83" i="9" s="1"/>
  <c r="AB83" i="9" s="1" a="1"/>
  <c r="AB83" i="9" s="1"/>
  <c r="R215" i="9" a="1"/>
  <c r="R215" i="9" s="1"/>
  <c r="AB215" i="9" s="1" a="1"/>
  <c r="AB215" i="9" s="1"/>
  <c r="R74" i="9" a="1"/>
  <c r="R74" i="9" s="1"/>
  <c r="X20" i="9" a="1"/>
  <c r="W20" i="9" a="1"/>
  <c r="U20" i="9" a="1"/>
  <c r="V20" i="9" a="1"/>
  <c r="AB74" i="9" l="1" a="1"/>
  <c r="AB74" i="9" s="1"/>
  <c r="Y74" i="9" a="1"/>
  <c r="Y74" i="9" s="1"/>
  <c r="Y215" i="9" a="1"/>
  <c r="Y215" i="9" s="1"/>
  <c r="Y83" i="9" a="1"/>
  <c r="Y83" i="9" s="1"/>
  <c r="Y244" i="9" a="1"/>
  <c r="Y244" i="9" s="1"/>
  <c r="Y82" i="9" a="1"/>
  <c r="Y82" i="9" s="1"/>
  <c r="T74" i="9" a="1"/>
  <c r="T74" i="9" s="1"/>
  <c r="U20" i="9"/>
  <c r="V20" i="9"/>
  <c r="W20" i="9"/>
  <c r="X20" i="9"/>
  <c r="U215" i="9" a="1"/>
  <c r="U215" i="9" s="1"/>
  <c r="Z215" i="9"/>
  <c r="S215" i="9" a="1"/>
  <c r="S215" i="9" s="1"/>
  <c r="V215" i="9" a="1"/>
  <c r="V215" i="9" s="1"/>
  <c r="W215" i="9" a="1"/>
  <c r="W215" i="9" s="1"/>
  <c r="X215" i="9" a="1"/>
  <c r="X215" i="9" s="1"/>
  <c r="T215" i="9" a="1"/>
  <c r="T215" i="9" s="1"/>
  <c r="Z83" i="9"/>
  <c r="S83" i="9" a="1"/>
  <c r="S83" i="9" s="1"/>
  <c r="T83" i="9" a="1"/>
  <c r="T83" i="9" s="1"/>
  <c r="W83" i="9" a="1"/>
  <c r="W83" i="9" s="1"/>
  <c r="X83" i="9" a="1"/>
  <c r="X83" i="9" s="1"/>
  <c r="U83" i="9" a="1"/>
  <c r="U83" i="9" s="1"/>
  <c r="V83" i="9" a="1"/>
  <c r="V83" i="9" s="1"/>
  <c r="Z244" i="9"/>
  <c r="V244" i="9" a="1"/>
  <c r="V244" i="9" s="1"/>
  <c r="X244" i="9" a="1"/>
  <c r="X244" i="9" s="1"/>
  <c r="S244" i="9" a="1"/>
  <c r="S244" i="9" s="1"/>
  <c r="U244" i="9" a="1"/>
  <c r="U244" i="9" s="1"/>
  <c r="T244" i="9" a="1"/>
  <c r="T244" i="9" s="1"/>
  <c r="W244" i="9" a="1"/>
  <c r="W244" i="9" s="1"/>
  <c r="T82" i="9" a="1"/>
  <c r="T82" i="9" s="1"/>
  <c r="W82" i="9" a="1"/>
  <c r="W82" i="9" s="1"/>
  <c r="X82" i="9" a="1"/>
  <c r="X82" i="9" s="1"/>
  <c r="U82" i="9" a="1"/>
  <c r="U82" i="9" s="1"/>
  <c r="S82" i="9" a="1"/>
  <c r="S82" i="9" s="1"/>
  <c r="V82" i="9" a="1"/>
  <c r="V82" i="9" s="1"/>
  <c r="Z82" i="9"/>
  <c r="U74" i="9" a="1"/>
  <c r="U74" i="9" s="1"/>
  <c r="W74" i="9" a="1"/>
  <c r="W74" i="9" s="1"/>
  <c r="S74" i="9" a="1"/>
  <c r="S74" i="9" s="1"/>
  <c r="CV1" i="10" a="1"/>
  <c r="CV1" i="10" l="1"/>
  <c r="AA82" i="9"/>
  <c r="AA83" i="9"/>
  <c r="AA215" i="9"/>
  <c r="AA244" i="9"/>
  <c r="AA74" i="9"/>
  <c r="AA20" i="9"/>
  <c r="Z20" i="9"/>
  <c r="Z74" i="9"/>
  <c r="X74" i="9" a="1"/>
  <c r="X74" i="9" s="1"/>
  <c r="V74" i="9" a="1"/>
  <c r="V74" i="9" s="1"/>
  <c r="R78" i="9" a="1"/>
  <c r="R78" i="9" s="1"/>
  <c r="AB78" i="9" s="1" a="1"/>
  <c r="AB78" i="9" s="1"/>
  <c r="R256" i="9" a="1"/>
  <c r="R256" i="9" s="1"/>
  <c r="AB256" i="9" s="1" a="1"/>
  <c r="AB256" i="9" s="1"/>
  <c r="R65" i="9" a="1"/>
  <c r="R65" i="9" s="1"/>
  <c r="AB65" i="9" s="1" a="1"/>
  <c r="AB65" i="9" s="1"/>
  <c r="CU7" i="10" l="1" a="1"/>
  <c r="CU7" i="10" s="1"/>
  <c r="CY6" i="10" a="1"/>
  <c r="CY6" i="10" s="1"/>
  <c r="CY4" i="10" a="1"/>
  <c r="CY4" i="10" s="1"/>
  <c r="CY2" i="10" a="1"/>
  <c r="CY2" i="10" s="1"/>
  <c r="CZ1" i="10" a="1"/>
  <c r="CZ1" i="10" s="1"/>
  <c r="CU6" i="10" a="1"/>
  <c r="CU6" i="10" s="1"/>
  <c r="CW7" i="10" a="1"/>
  <c r="CW7" i="10" s="1"/>
  <c r="CW6" i="10" a="1"/>
  <c r="CW6" i="10" s="1"/>
  <c r="CV4" i="10" a="1"/>
  <c r="CV4" i="10" s="1"/>
  <c r="CV2" i="10" a="1"/>
  <c r="CV2" i="10" s="1"/>
  <c r="CU1" i="10"/>
  <c r="CY7" i="10" a="1"/>
  <c r="CY7" i="10" s="1"/>
  <c r="CV6" i="10" a="1"/>
  <c r="CV6" i="10" s="1"/>
  <c r="Y256" i="9" a="1"/>
  <c r="Y256" i="9" s="1"/>
  <c r="Y78" i="9" a="1"/>
  <c r="Y78" i="9" s="1"/>
  <c r="Y65" i="9" a="1"/>
  <c r="Y65" i="9" s="1"/>
  <c r="X256" i="9" a="1"/>
  <c r="X256" i="9" s="1"/>
  <c r="Z256" i="9"/>
  <c r="T65" i="9" a="1"/>
  <c r="T65" i="9" s="1"/>
  <c r="W256" i="9" a="1"/>
  <c r="W256" i="9" s="1"/>
  <c r="V256" i="9" a="1"/>
  <c r="V256" i="9" s="1"/>
  <c r="U256" i="9" a="1"/>
  <c r="U256" i="9" s="1"/>
  <c r="T256" i="9" a="1"/>
  <c r="T256" i="9" s="1"/>
  <c r="S256" i="9" a="1"/>
  <c r="S256" i="9" s="1"/>
  <c r="Z78" i="9"/>
  <c r="S78" i="9" a="1"/>
  <c r="S78" i="9" s="1"/>
  <c r="W78" i="9" a="1"/>
  <c r="W78" i="9" s="1"/>
  <c r="V78" i="9" a="1"/>
  <c r="V78" i="9" s="1"/>
  <c r="T78" i="9" a="1"/>
  <c r="T78" i="9" s="1"/>
  <c r="U78" i="9" a="1"/>
  <c r="U78" i="9" s="1"/>
  <c r="X78" i="9" a="1"/>
  <c r="X78" i="9" s="1"/>
  <c r="V65" i="9" a="1"/>
  <c r="V65" i="9" s="1"/>
  <c r="Z65" i="9"/>
  <c r="S65" i="9" a="1"/>
  <c r="S65" i="9" s="1"/>
  <c r="AA256" i="9" l="1"/>
  <c r="AA78" i="9"/>
  <c r="W65" i="9" a="1"/>
  <c r="W65" i="9" s="1"/>
  <c r="X65" i="9" a="1"/>
  <c r="X65" i="9" s="1"/>
  <c r="U65" i="9" a="1"/>
  <c r="U65" i="9" s="1"/>
  <c r="R233" i="9" a="1"/>
  <c r="R233" i="9" s="1"/>
  <c r="AB233" i="9" s="1" a="1"/>
  <c r="AB233" i="9" s="1"/>
  <c r="R54" i="9" a="1"/>
  <c r="R54" i="9" s="1"/>
  <c r="AB54" i="9" s="1" a="1"/>
  <c r="T54" i="9" l="1" a="1"/>
  <c r="T54" i="9" s="1"/>
  <c r="Y54" i="9" a="1"/>
  <c r="Y54" i="9" s="1"/>
  <c r="AB54" i="9"/>
  <c r="Y233" i="9" a="1"/>
  <c r="Y233" i="9" s="1"/>
  <c r="AA65" i="9"/>
  <c r="X233" i="9" a="1"/>
  <c r="X233" i="9" s="1"/>
  <c r="U233" i="9" a="1"/>
  <c r="U233" i="9" s="1"/>
  <c r="V233" i="9" a="1"/>
  <c r="V233" i="9" s="1"/>
  <c r="Z233" i="9"/>
  <c r="W233" i="9" a="1"/>
  <c r="W233" i="9" s="1"/>
  <c r="T233" i="9" a="1"/>
  <c r="T233" i="9" s="1"/>
  <c r="S233" i="9" a="1"/>
  <c r="S233" i="9" s="1"/>
  <c r="S54" i="9" a="1"/>
  <c r="AA233" i="9" l="1"/>
  <c r="S54" i="9"/>
  <c r="R38" i="9" a="1"/>
  <c r="R38" i="9" s="1"/>
  <c r="U54" i="9" a="1"/>
  <c r="W54" i="9" a="1"/>
  <c r="X54" i="9" a="1"/>
  <c r="V54" i="9" a="1"/>
  <c r="T38" i="9" a="1"/>
  <c r="T38" i="9" l="1"/>
  <c r="V54" i="9"/>
  <c r="X54" i="9"/>
  <c r="W54" i="9"/>
  <c r="U54" i="9"/>
  <c r="Y38" i="9" a="1"/>
  <c r="AB38" i="9" a="1"/>
  <c r="W38" i="9" a="1"/>
  <c r="S38" i="9" a="1"/>
  <c r="AB38" i="9" l="1"/>
  <c r="Y38" i="9"/>
  <c r="S38" i="9"/>
  <c r="W38" i="9"/>
  <c r="AA54" i="9"/>
  <c r="Z54" i="9"/>
  <c r="R183" i="9" a="1"/>
  <c r="R183" i="9" s="1"/>
  <c r="AB183" i="9" s="1" a="1"/>
  <c r="AB183" i="9" s="1"/>
  <c r="R97" i="9" a="1"/>
  <c r="R97" i="9" s="1"/>
  <c r="R101" i="9" a="1"/>
  <c r="R101" i="9" s="1"/>
  <c r="AB101" i="9" s="1" a="1"/>
  <c r="AB101" i="9" s="1"/>
  <c r="R252" i="9" a="1"/>
  <c r="R252" i="9" s="1"/>
  <c r="AB252" i="9" s="1" a="1"/>
  <c r="AB252" i="9" s="1"/>
  <c r="R231" i="9" a="1"/>
  <c r="R231" i="9" s="1"/>
  <c r="AB231" i="9" s="1" a="1"/>
  <c r="AB231" i="9" s="1"/>
  <c r="R225" i="9" a="1"/>
  <c r="R225" i="9" s="1"/>
  <c r="AB225" i="9" s="1" a="1"/>
  <c r="AB225" i="9" s="1"/>
  <c r="R17" i="9" a="1"/>
  <c r="R17" i="9" s="1"/>
  <c r="Y17" i="9" a="1"/>
  <c r="U38" i="9" a="1"/>
  <c r="V38" i="9" a="1"/>
  <c r="T17" i="9" a="1"/>
  <c r="X38" i="9" a="1"/>
  <c r="AB17" i="9" a="1"/>
  <c r="AB97" i="9" l="1" a="1"/>
  <c r="AB97" i="9" s="1"/>
  <c r="AB17" i="9"/>
  <c r="Y252" i="9" a="1"/>
  <c r="Y252" i="9" s="1"/>
  <c r="Y97" i="9" a="1"/>
  <c r="Y97" i="9" s="1"/>
  <c r="Y183" i="9" a="1"/>
  <c r="Y183" i="9" s="1"/>
  <c r="Y225" i="9" a="1"/>
  <c r="Y225" i="9" s="1"/>
  <c r="Y231" i="9" a="1"/>
  <c r="Y231" i="9" s="1"/>
  <c r="Y101" i="9" a="1"/>
  <c r="Y101" i="9" s="1"/>
  <c r="Y17" i="9"/>
  <c r="X252" i="9" a="1"/>
  <c r="X252" i="9" s="1"/>
  <c r="Z252" i="9"/>
  <c r="AA38" i="9"/>
  <c r="Z38" i="9"/>
  <c r="T17" i="9"/>
  <c r="V38" i="9"/>
  <c r="U38" i="9"/>
  <c r="X38" i="9"/>
  <c r="S225" i="9" a="1"/>
  <c r="S225" i="9" s="1"/>
  <c r="U225" i="9" a="1"/>
  <c r="U225" i="9" s="1"/>
  <c r="Z225" i="9"/>
  <c r="T225" i="9" a="1"/>
  <c r="T225" i="9" s="1"/>
  <c r="V225" i="9" a="1"/>
  <c r="V225" i="9" s="1"/>
  <c r="X225" i="9" a="1"/>
  <c r="X225" i="9" s="1"/>
  <c r="W225" i="9" a="1"/>
  <c r="W225" i="9" s="1"/>
  <c r="W231" i="9" a="1"/>
  <c r="W231" i="9" s="1"/>
  <c r="V231" i="9" a="1"/>
  <c r="V231" i="9" s="1"/>
  <c r="Z231" i="9"/>
  <c r="S231" i="9" a="1"/>
  <c r="S231" i="9" s="1"/>
  <c r="X231" i="9" a="1"/>
  <c r="X231" i="9" s="1"/>
  <c r="T231" i="9" a="1"/>
  <c r="T231" i="9" s="1"/>
  <c r="U231" i="9" a="1"/>
  <c r="U231" i="9" s="1"/>
  <c r="T252" i="9" a="1"/>
  <c r="T252" i="9" s="1"/>
  <c r="V252" i="9" a="1"/>
  <c r="V252" i="9" s="1"/>
  <c r="S252" i="9" a="1"/>
  <c r="S252" i="9" s="1"/>
  <c r="W252" i="9" a="1"/>
  <c r="W252" i="9" s="1"/>
  <c r="U252" i="9" a="1"/>
  <c r="U252" i="9" s="1"/>
  <c r="T101" i="9" a="1"/>
  <c r="T101" i="9" s="1"/>
  <c r="Z101" i="9"/>
  <c r="V101" i="9" a="1"/>
  <c r="V101" i="9" s="1"/>
  <c r="U101" i="9" a="1"/>
  <c r="U101" i="9" s="1"/>
  <c r="X101" i="9" a="1"/>
  <c r="X101" i="9" s="1"/>
  <c r="W101" i="9" a="1"/>
  <c r="W101" i="9" s="1"/>
  <c r="S101" i="9" a="1"/>
  <c r="S101" i="9" s="1"/>
  <c r="T97" i="9" a="1"/>
  <c r="T97" i="9" s="1"/>
  <c r="W97" i="9" a="1"/>
  <c r="W97" i="9" s="1"/>
  <c r="X97" i="9" a="1"/>
  <c r="X97" i="9" s="1"/>
  <c r="Z97" i="9"/>
  <c r="S97" i="9" a="1"/>
  <c r="S97" i="9" s="1"/>
  <c r="V97" i="9" a="1"/>
  <c r="V97" i="9" s="1"/>
  <c r="U97" i="9" a="1"/>
  <c r="U97" i="9" s="1"/>
  <c r="W183" i="9" a="1"/>
  <c r="W183" i="9" s="1"/>
  <c r="T183" i="9" a="1"/>
  <c r="T183" i="9" s="1"/>
  <c r="Z183" i="9"/>
  <c r="S183" i="9" a="1"/>
  <c r="S183" i="9" s="1"/>
  <c r="U183" i="9" a="1"/>
  <c r="U183" i="9" s="1"/>
  <c r="V183" i="9" a="1"/>
  <c r="V183" i="9" s="1"/>
  <c r="X183" i="9" a="1"/>
  <c r="X183" i="9" s="1"/>
  <c r="DS1" i="10" a="1"/>
  <c r="S17" i="9" a="1"/>
  <c r="W17" i="9" a="1"/>
  <c r="DS1" i="10" l="1"/>
  <c r="AA252" i="9"/>
  <c r="AA225" i="9"/>
  <c r="AA183" i="9"/>
  <c r="AA97" i="9"/>
  <c r="S17" i="9"/>
  <c r="W17" i="9"/>
  <c r="AA101" i="9"/>
  <c r="AA231" i="9"/>
  <c r="R110" i="9" a="1"/>
  <c r="R110" i="9" s="1"/>
  <c r="R127" i="9" a="1"/>
  <c r="R127" i="9" s="1"/>
  <c r="AB127" i="9" s="1" a="1"/>
  <c r="AB127" i="9" s="1"/>
  <c r="R198" i="9" a="1"/>
  <c r="R198" i="9" s="1"/>
  <c r="AB198" i="9" s="1" a="1"/>
  <c r="AB198" i="9" s="1"/>
  <c r="R179" i="9" a="1"/>
  <c r="R179" i="9" s="1"/>
  <c r="AB179" i="9" s="1" a="1"/>
  <c r="AB179" i="9" s="1"/>
  <c r="R159" i="9" a="1"/>
  <c r="R159" i="9" s="1"/>
  <c r="AB159" i="9" s="1" a="1"/>
  <c r="AB159" i="9" s="1"/>
  <c r="R242" i="9" a="1"/>
  <c r="R242" i="9" s="1"/>
  <c r="AB242" i="9" s="1" a="1"/>
  <c r="AB242" i="9" s="1"/>
  <c r="R86" i="9" a="1"/>
  <c r="R86" i="9" s="1"/>
  <c r="R102" i="9" a="1"/>
  <c r="R102" i="9" s="1"/>
  <c r="AB102" i="9" s="1" a="1"/>
  <c r="AB102" i="9" s="1"/>
  <c r="R176" i="9" a="1"/>
  <c r="R176" i="9" s="1"/>
  <c r="AB176" i="9" s="1" a="1"/>
  <c r="AB176" i="9" s="1"/>
  <c r="R128" i="9" a="1"/>
  <c r="R128" i="9" s="1"/>
  <c r="AB128" i="9" s="1" a="1"/>
  <c r="AB128" i="9" s="1"/>
  <c r="R124" i="9" a="1"/>
  <c r="R124" i="9" s="1"/>
  <c r="AB124" i="9" s="1" a="1"/>
  <c r="AB124" i="9" s="1"/>
  <c r="R33" i="9" a="1"/>
  <c r="R33" i="9" s="1"/>
  <c r="U17" i="9" a="1"/>
  <c r="V17" i="9" a="1"/>
  <c r="X17" i="9" a="1"/>
  <c r="Y33" i="9" a="1"/>
  <c r="DV6" i="10" l="1" a="1"/>
  <c r="DV6" i="10" s="1"/>
  <c r="EC3" i="10" a="1"/>
  <c r="EC3" i="10" s="1"/>
  <c r="DW1" i="10" a="1"/>
  <c r="DW1" i="10" s="1"/>
  <c r="DR1" i="10"/>
  <c r="DS4" i="10" a="1"/>
  <c r="DS4" i="10" s="1"/>
  <c r="DV7" i="10" a="1"/>
  <c r="DV7" i="10" s="1"/>
  <c r="DT6" i="10" a="1"/>
  <c r="DT6" i="10" s="1"/>
  <c r="DZ3" i="10" a="1"/>
  <c r="DZ3" i="10" s="1"/>
  <c r="DS3" i="10" a="1"/>
  <c r="DS3" i="10" s="1"/>
  <c r="DS2" i="10" a="1"/>
  <c r="DS2" i="10" s="1"/>
  <c r="DT7" i="10" a="1"/>
  <c r="DT7" i="10" s="1"/>
  <c r="DS6" i="10" a="1"/>
  <c r="DS6" i="10" s="1"/>
  <c r="DV4" i="10" a="1"/>
  <c r="DV4" i="10" s="1"/>
  <c r="DV3" i="10" a="1"/>
  <c r="DV3" i="10" s="1"/>
  <c r="DV2" i="10" a="1"/>
  <c r="DV2" i="10" s="1"/>
  <c r="DR6" i="10" a="1"/>
  <c r="DR6" i="10" s="1"/>
  <c r="DR7" i="10" a="1"/>
  <c r="DR7" i="10" s="1"/>
  <c r="AB110" i="9" a="1"/>
  <c r="AB110" i="9" s="1"/>
  <c r="AB86" i="9" a="1"/>
  <c r="AB86" i="9" s="1"/>
  <c r="Y159" i="9" a="1"/>
  <c r="Y159" i="9" s="1"/>
  <c r="Y198" i="9" a="1"/>
  <c r="Y198" i="9" s="1"/>
  <c r="Y179" i="9" a="1"/>
  <c r="Y179" i="9" s="1"/>
  <c r="Y127" i="9" a="1"/>
  <c r="Y127" i="9" s="1"/>
  <c r="Y124" i="9" a="1"/>
  <c r="Y124" i="9" s="1"/>
  <c r="Y110" i="9" a="1"/>
  <c r="Y110" i="9" s="1"/>
  <c r="Y102" i="9" a="1"/>
  <c r="Y102" i="9" s="1"/>
  <c r="Y176" i="9" a="1"/>
  <c r="Y176" i="9" s="1"/>
  <c r="Y86" i="9" a="1"/>
  <c r="Y86" i="9" s="1"/>
  <c r="Y128" i="9" a="1"/>
  <c r="Y128" i="9" s="1"/>
  <c r="Y242" i="9" a="1"/>
  <c r="Y242" i="9" s="1"/>
  <c r="Y33" i="9"/>
  <c r="S159" i="9" a="1"/>
  <c r="S159" i="9" s="1"/>
  <c r="Z17" i="9"/>
  <c r="X110" i="9" a="1"/>
  <c r="X110" i="9" s="1"/>
  <c r="Z110" i="9"/>
  <c r="Z86" i="9"/>
  <c r="S86" i="9" a="1"/>
  <c r="S86" i="9" s="1"/>
  <c r="AA17" i="9"/>
  <c r="U17" i="9"/>
  <c r="X17" i="9"/>
  <c r="V17" i="9"/>
  <c r="W242" i="9" a="1"/>
  <c r="W242" i="9" s="1"/>
  <c r="V242" i="9" a="1"/>
  <c r="V242" i="9" s="1"/>
  <c r="U242" i="9" a="1"/>
  <c r="U242" i="9" s="1"/>
  <c r="S242" i="9" a="1"/>
  <c r="S242" i="9" s="1"/>
  <c r="Z242" i="9"/>
  <c r="X242" i="9" a="1"/>
  <c r="X242" i="9" s="1"/>
  <c r="T242" i="9" a="1"/>
  <c r="T242" i="9" s="1"/>
  <c r="U127" i="9" a="1"/>
  <c r="U127" i="9" s="1"/>
  <c r="V127" i="9" a="1"/>
  <c r="V127" i="9" s="1"/>
  <c r="Z127" i="9"/>
  <c r="S127" i="9" a="1"/>
  <c r="S127" i="9" s="1"/>
  <c r="T127" i="9" a="1"/>
  <c r="T127" i="9" s="1"/>
  <c r="W127" i="9" a="1"/>
  <c r="W127" i="9" s="1"/>
  <c r="X127" i="9" a="1"/>
  <c r="X127" i="9" s="1"/>
  <c r="V128" i="9" a="1"/>
  <c r="V128" i="9" s="1"/>
  <c r="U128" i="9" a="1"/>
  <c r="U128" i="9" s="1"/>
  <c r="S128" i="9" a="1"/>
  <c r="S128" i="9" s="1"/>
  <c r="Z128" i="9"/>
  <c r="X128" i="9" a="1"/>
  <c r="X128" i="9" s="1"/>
  <c r="T128" i="9" a="1"/>
  <c r="T128" i="9" s="1"/>
  <c r="W128" i="9" a="1"/>
  <c r="W128" i="9" s="1"/>
  <c r="X176" i="9" a="1"/>
  <c r="X176" i="9" s="1"/>
  <c r="U176" i="9" a="1"/>
  <c r="U176" i="9" s="1"/>
  <c r="S176" i="9" a="1"/>
  <c r="S176" i="9" s="1"/>
  <c r="Z176" i="9"/>
  <c r="W176" i="9" a="1"/>
  <c r="W176" i="9" s="1"/>
  <c r="V176" i="9" a="1"/>
  <c r="V176" i="9" s="1"/>
  <c r="T176" i="9" a="1"/>
  <c r="T176" i="9" s="1"/>
  <c r="X179" i="9" a="1"/>
  <c r="X179" i="9" s="1"/>
  <c r="W179" i="9" a="1"/>
  <c r="W179" i="9" s="1"/>
  <c r="V179" i="9" a="1"/>
  <c r="V179" i="9" s="1"/>
  <c r="U179" i="9" a="1"/>
  <c r="U179" i="9" s="1"/>
  <c r="Z179" i="9"/>
  <c r="S179" i="9" a="1"/>
  <c r="S179" i="9" s="1"/>
  <c r="T179" i="9" a="1"/>
  <c r="T179" i="9" s="1"/>
  <c r="S124" i="9" a="1"/>
  <c r="S124" i="9" s="1"/>
  <c r="U124" i="9" a="1"/>
  <c r="U124" i="9" s="1"/>
  <c r="W124" i="9" a="1"/>
  <c r="W124" i="9" s="1"/>
  <c r="X124" i="9" a="1"/>
  <c r="X124" i="9" s="1"/>
  <c r="T124" i="9" a="1"/>
  <c r="T124" i="9" s="1"/>
  <c r="Z124" i="9"/>
  <c r="V124" i="9" a="1"/>
  <c r="V124" i="9" s="1"/>
  <c r="Z102" i="9"/>
  <c r="X102" i="9" a="1"/>
  <c r="X102" i="9" s="1"/>
  <c r="W102" i="9" a="1"/>
  <c r="W102" i="9" s="1"/>
  <c r="V102" i="9" a="1"/>
  <c r="V102" i="9" s="1"/>
  <c r="S102" i="9" a="1"/>
  <c r="S102" i="9" s="1"/>
  <c r="T102" i="9" a="1"/>
  <c r="T102" i="9" s="1"/>
  <c r="U102" i="9" a="1"/>
  <c r="U102" i="9" s="1"/>
  <c r="T159" i="9" a="1"/>
  <c r="T159" i="9" s="1"/>
  <c r="W110" i="9" a="1"/>
  <c r="W110" i="9" s="1"/>
  <c r="W86" i="9" a="1"/>
  <c r="W86" i="9" s="1"/>
  <c r="V159" i="9" a="1"/>
  <c r="V159" i="9" s="1"/>
  <c r="Z198" i="9"/>
  <c r="T110" i="9" a="1"/>
  <c r="T110" i="9" s="1"/>
  <c r="U198" i="9" a="1"/>
  <c r="U198" i="9" s="1"/>
  <c r="X86" i="9" a="1"/>
  <c r="X86" i="9" s="1"/>
  <c r="U86" i="9" a="1"/>
  <c r="U86" i="9" s="1"/>
  <c r="Z159" i="9"/>
  <c r="W198" i="9" a="1"/>
  <c r="W198" i="9" s="1"/>
  <c r="V110" i="9" a="1"/>
  <c r="V110" i="9" s="1"/>
  <c r="S110" i="9" a="1"/>
  <c r="S110" i="9" s="1"/>
  <c r="X198" i="9" a="1"/>
  <c r="X198" i="9" s="1"/>
  <c r="T86" i="9" a="1"/>
  <c r="T86" i="9" s="1"/>
  <c r="V86" i="9" a="1"/>
  <c r="V86" i="9" s="1"/>
  <c r="W159" i="9" a="1"/>
  <c r="W159" i="9" s="1"/>
  <c r="T198" i="9" a="1"/>
  <c r="T198" i="9" s="1"/>
  <c r="U110" i="9" a="1"/>
  <c r="U110" i="9" s="1"/>
  <c r="X159" i="9" a="1"/>
  <c r="X159" i="9" s="1"/>
  <c r="S198" i="9" a="1"/>
  <c r="S198" i="9" s="1"/>
  <c r="U159" i="9" a="1"/>
  <c r="U159" i="9" s="1"/>
  <c r="V198" i="9" a="1"/>
  <c r="V198" i="9" s="1"/>
  <c r="EO1" i="10" a="1"/>
  <c r="DK1" i="10" a="1"/>
  <c r="AB33" i="9" a="1"/>
  <c r="T33" i="9" a="1"/>
  <c r="X33" i="9" a="1"/>
  <c r="W33" i="9" a="1"/>
  <c r="V33" i="9" a="1"/>
  <c r="S33" i="9" a="1"/>
  <c r="EO1" i="10" l="1"/>
  <c r="DK1" i="10"/>
  <c r="T33" i="9"/>
  <c r="AB33" i="9"/>
  <c r="AA128" i="9"/>
  <c r="AA159" i="9"/>
  <c r="AA176" i="9"/>
  <c r="AA124" i="9"/>
  <c r="AA127" i="9"/>
  <c r="V33" i="9"/>
  <c r="W33" i="9"/>
  <c r="X33" i="9"/>
  <c r="S33" i="9"/>
  <c r="AA198" i="9"/>
  <c r="AA86" i="9"/>
  <c r="AA110" i="9"/>
  <c r="AA102" i="9"/>
  <c r="AA242" i="9"/>
  <c r="AA179" i="9"/>
  <c r="R155" i="9" a="1"/>
  <c r="R155" i="9" s="1"/>
  <c r="AB155" i="9" s="1" a="1"/>
  <c r="AB155" i="9" s="1"/>
  <c r="R181" i="9" a="1"/>
  <c r="R181" i="9" s="1"/>
  <c r="AB181" i="9" s="1" a="1"/>
  <c r="AB181" i="9" s="1"/>
  <c r="R99" i="9" a="1"/>
  <c r="R99" i="9" s="1"/>
  <c r="AB99" i="9" s="1" a="1"/>
  <c r="AB99" i="9" s="1"/>
  <c r="R196" i="9" a="1"/>
  <c r="R196" i="9" s="1"/>
  <c r="AB196" i="9" s="1" a="1"/>
  <c r="AB196" i="9" s="1"/>
  <c r="R44" i="9" a="1"/>
  <c r="R44" i="9" s="1"/>
  <c r="U33" i="9" a="1"/>
  <c r="AB44" i="9" a="1"/>
  <c r="EN7" i="10" l="1" a="1"/>
  <c r="EN7" i="10" s="1"/>
  <c r="ER6" i="10" a="1"/>
  <c r="ER6" i="10" s="1"/>
  <c r="ER4" i="10" a="1"/>
  <c r="ER4" i="10" s="1"/>
  <c r="ER2" i="10" a="1"/>
  <c r="ER2" i="10" s="1"/>
  <c r="ES1" i="10" a="1"/>
  <c r="ES1" i="10" s="1"/>
  <c r="EN6" i="10" a="1"/>
  <c r="EN6" i="10" s="1"/>
  <c r="EP6" i="10" a="1"/>
  <c r="EP6" i="10" s="1"/>
  <c r="EO4" i="10" a="1"/>
  <c r="EO4" i="10" s="1"/>
  <c r="EO2" i="10" a="1"/>
  <c r="EO2" i="10" s="1"/>
  <c r="EN1" i="10"/>
  <c r="ER7" i="10" a="1"/>
  <c r="ER7" i="10" s="1"/>
  <c r="EO6" i="10" a="1"/>
  <c r="EO6" i="10" s="1"/>
  <c r="EP7" i="10" a="1"/>
  <c r="EP7" i="10" s="1"/>
  <c r="DJ7" i="10" a="1"/>
  <c r="DJ7" i="10" s="1"/>
  <c r="DN6" i="10" a="1"/>
  <c r="DN6" i="10" s="1"/>
  <c r="DN4" i="10" a="1"/>
  <c r="DN4" i="10" s="1"/>
  <c r="DN2" i="10" a="1"/>
  <c r="DN2" i="10" s="1"/>
  <c r="DO1" i="10" a="1"/>
  <c r="DO1" i="10" s="1"/>
  <c r="DL6" i="10" a="1"/>
  <c r="DL6" i="10" s="1"/>
  <c r="DK4" i="10" a="1"/>
  <c r="DK4" i="10" s="1"/>
  <c r="DK2" i="10" a="1"/>
  <c r="DK2" i="10" s="1"/>
  <c r="DJ1" i="10"/>
  <c r="DN7" i="10" a="1"/>
  <c r="DN7" i="10" s="1"/>
  <c r="DK6" i="10" a="1"/>
  <c r="DK6" i="10" s="1"/>
  <c r="DJ6" i="10" a="1"/>
  <c r="DJ6" i="10" s="1"/>
  <c r="DL7" i="10" a="1"/>
  <c r="DL7" i="10" s="1"/>
  <c r="AB44" i="9"/>
  <c r="Y196" i="9" a="1"/>
  <c r="Y196" i="9" s="1"/>
  <c r="Y181" i="9" a="1"/>
  <c r="Y181" i="9" s="1"/>
  <c r="Y99" i="9" a="1"/>
  <c r="Y99" i="9" s="1"/>
  <c r="Y155" i="9" a="1"/>
  <c r="Y155" i="9" s="1"/>
  <c r="AA33" i="9"/>
  <c r="Z33" i="9"/>
  <c r="U33" i="9"/>
  <c r="S155" i="9" a="1"/>
  <c r="S155" i="9" s="1"/>
  <c r="V155" i="9" a="1"/>
  <c r="V155" i="9" s="1"/>
  <c r="T155" i="9" a="1"/>
  <c r="T155" i="9" s="1"/>
  <c r="W155" i="9" a="1"/>
  <c r="W155" i="9" s="1"/>
  <c r="X155" i="9" a="1"/>
  <c r="X155" i="9" s="1"/>
  <c r="U155" i="9" a="1"/>
  <c r="U155" i="9" s="1"/>
  <c r="Z155" i="9"/>
  <c r="U196" i="9" a="1"/>
  <c r="U196" i="9" s="1"/>
  <c r="V196" i="9" a="1"/>
  <c r="V196" i="9" s="1"/>
  <c r="Z196" i="9"/>
  <c r="S196" i="9" a="1"/>
  <c r="S196" i="9" s="1"/>
  <c r="T196" i="9" a="1"/>
  <c r="T196" i="9" s="1"/>
  <c r="W196" i="9" a="1"/>
  <c r="W196" i="9" s="1"/>
  <c r="X196" i="9" a="1"/>
  <c r="X196" i="9" s="1"/>
  <c r="T99" i="9" a="1"/>
  <c r="T99" i="9" s="1"/>
  <c r="S99" i="9" a="1"/>
  <c r="S99" i="9" s="1"/>
  <c r="X99" i="9" a="1"/>
  <c r="X99" i="9" s="1"/>
  <c r="W99" i="9" a="1"/>
  <c r="W99" i="9" s="1"/>
  <c r="U99" i="9" a="1"/>
  <c r="U99" i="9" s="1"/>
  <c r="V99" i="9" a="1"/>
  <c r="V99" i="9" s="1"/>
  <c r="Z99" i="9"/>
  <c r="S181" i="9" a="1"/>
  <c r="S181" i="9" s="1"/>
  <c r="X181" i="9" a="1"/>
  <c r="X181" i="9" s="1"/>
  <c r="W181" i="9" a="1"/>
  <c r="W181" i="9" s="1"/>
  <c r="V181" i="9" a="1"/>
  <c r="V181" i="9" s="1"/>
  <c r="U181" i="9" a="1"/>
  <c r="U181" i="9" s="1"/>
  <c r="Z181" i="9"/>
  <c r="T181" i="9" a="1"/>
  <c r="T181" i="9" s="1"/>
  <c r="T44" i="9" a="1"/>
  <c r="Y44" i="9" a="1"/>
  <c r="W44" i="9" a="1"/>
  <c r="V44" i="9" a="1"/>
  <c r="U44" i="9" a="1"/>
  <c r="S44" i="9" a="1"/>
  <c r="X44" i="9" a="1"/>
  <c r="Y44" i="9" l="1"/>
  <c r="T44" i="9"/>
  <c r="AA181" i="9"/>
  <c r="AA99" i="9"/>
  <c r="V44" i="9"/>
  <c r="W44" i="9"/>
  <c r="U44" i="9"/>
  <c r="X44" i="9"/>
  <c r="S44" i="9"/>
  <c r="AA155" i="9"/>
  <c r="AA196" i="9"/>
  <c r="R226" i="9" a="1"/>
  <c r="R226" i="9" s="1"/>
  <c r="AB226" i="9" s="1" a="1"/>
  <c r="AB226" i="9" s="1"/>
  <c r="R81" i="9" a="1"/>
  <c r="R81" i="9" s="1"/>
  <c r="AB81" i="9" s="1" a="1"/>
  <c r="AB81" i="9" s="1"/>
  <c r="R250" i="9" a="1"/>
  <c r="R250" i="9" s="1"/>
  <c r="AB250" i="9" s="1" a="1"/>
  <c r="AB250" i="9" s="1"/>
  <c r="R156" i="9" a="1"/>
  <c r="R156" i="9" s="1"/>
  <c r="AB156" i="9" s="1" a="1"/>
  <c r="AB156" i="9" s="1"/>
  <c r="R2" i="9" a="1"/>
  <c r="R2" i="9" s="1"/>
  <c r="M3" i="10" a="1"/>
  <c r="AB2" i="9" a="1"/>
  <c r="M3" i="10" l="1"/>
  <c r="AB2" i="9"/>
  <c r="Y226" i="9" a="1"/>
  <c r="Y226" i="9" s="1"/>
  <c r="Y250" i="9" a="1"/>
  <c r="Y250" i="9" s="1"/>
  <c r="Y156" i="9" a="1"/>
  <c r="Y156" i="9" s="1"/>
  <c r="Y81" i="9" a="1"/>
  <c r="Y81" i="9" s="1"/>
  <c r="U226" i="9" a="1"/>
  <c r="U226" i="9" s="1"/>
  <c r="AA44" i="9"/>
  <c r="V156" i="9" a="1"/>
  <c r="V156" i="9" s="1"/>
  <c r="X81" i="9" a="1"/>
  <c r="X81" i="9" s="1"/>
  <c r="Z81" i="9"/>
  <c r="V250" i="9" a="1"/>
  <c r="V250" i="9" s="1"/>
  <c r="T250" i="9" a="1"/>
  <c r="T250" i="9" s="1"/>
  <c r="U250" i="9" a="1"/>
  <c r="U250" i="9" s="1"/>
  <c r="S250" i="9" a="1"/>
  <c r="S250" i="9" s="1"/>
  <c r="X250" i="9" a="1"/>
  <c r="X250" i="9" s="1"/>
  <c r="W250" i="9" a="1"/>
  <c r="W250" i="9" s="1"/>
  <c r="Z250" i="9"/>
  <c r="W81" i="9" a="1"/>
  <c r="W81" i="9" s="1"/>
  <c r="T226" i="9" a="1"/>
  <c r="T226" i="9" s="1"/>
  <c r="T81" i="9" a="1"/>
  <c r="T81" i="9" s="1"/>
  <c r="W226" i="9" a="1"/>
  <c r="W226" i="9" s="1"/>
  <c r="X156" i="9" a="1"/>
  <c r="X156" i="9" s="1"/>
  <c r="U156" i="9" a="1"/>
  <c r="U156" i="9" s="1"/>
  <c r="W156" i="9" a="1"/>
  <c r="W156" i="9" s="1"/>
  <c r="V81" i="9" a="1"/>
  <c r="V81" i="9" s="1"/>
  <c r="S81" i="9" a="1"/>
  <c r="S81" i="9" s="1"/>
  <c r="X226" i="9" a="1"/>
  <c r="X226" i="9" s="1"/>
  <c r="Z156" i="9"/>
  <c r="U81" i="9" a="1"/>
  <c r="U81" i="9" s="1"/>
  <c r="S226" i="9" a="1"/>
  <c r="S226" i="9" s="1"/>
  <c r="T156" i="9" a="1"/>
  <c r="T156" i="9" s="1"/>
  <c r="S156" i="9" a="1"/>
  <c r="S156" i="9" s="1"/>
  <c r="Z226" i="9"/>
  <c r="V226" i="9" a="1"/>
  <c r="V226" i="9" s="1"/>
  <c r="Z44" i="9"/>
  <c r="S2" i="9" a="1"/>
  <c r="W2" i="9" a="1"/>
  <c r="T2" i="9" a="1"/>
  <c r="Y2" i="9" a="1"/>
  <c r="Y2" i="9" l="1"/>
  <c r="T2" i="9"/>
  <c r="W2" i="9"/>
  <c r="S2" i="9"/>
  <c r="AA156" i="9"/>
  <c r="AA81" i="9"/>
  <c r="AA226" i="9"/>
  <c r="AA250" i="9"/>
  <c r="R129" i="9" a="1"/>
  <c r="R129" i="9" s="1"/>
  <c r="AB129" i="9" s="1" a="1"/>
  <c r="AB129" i="9" s="1"/>
  <c r="R18" i="9" a="1"/>
  <c r="R18" i="9" s="1"/>
  <c r="J1" i="10" a="1"/>
  <c r="U2" i="9" a="1"/>
  <c r="V2" i="9" a="1"/>
  <c r="X2" i="9" a="1"/>
  <c r="T18" i="9" a="1"/>
  <c r="J1" i="10" l="1"/>
  <c r="Z2" i="9"/>
  <c r="Y129" i="9" a="1"/>
  <c r="Y129" i="9" s="1"/>
  <c r="T18" i="9"/>
  <c r="V2" i="9"/>
  <c r="X2" i="9"/>
  <c r="U2" i="9"/>
  <c r="S129" i="9" a="1"/>
  <c r="S129" i="9" s="1"/>
  <c r="Z129" i="9"/>
  <c r="X129" i="9" a="1"/>
  <c r="X129" i="9" s="1"/>
  <c r="V129" i="9" a="1"/>
  <c r="V129" i="9" s="1"/>
  <c r="T129" i="9" a="1"/>
  <c r="T129" i="9" s="1"/>
  <c r="U129" i="9" a="1"/>
  <c r="U129" i="9" s="1"/>
  <c r="W129" i="9" a="1"/>
  <c r="W129" i="9" s="1"/>
  <c r="S18" i="9" a="1"/>
  <c r="AB18" i="9" a="1"/>
  <c r="Y18" i="9" a="1"/>
  <c r="I1" i="10" l="1"/>
  <c r="Y18" i="9"/>
  <c r="AB18" i="9"/>
  <c r="AA129" i="9"/>
  <c r="S18" i="9"/>
  <c r="AA2" i="9"/>
  <c r="R112" i="9" a="1"/>
  <c r="R112" i="9" s="1"/>
  <c r="AB112" i="9" s="1" a="1"/>
  <c r="AB112" i="9" s="1"/>
  <c r="R208" i="9" a="1"/>
  <c r="R208" i="9" s="1"/>
  <c r="AB208" i="9" s="1" a="1"/>
  <c r="AB208" i="9" s="1"/>
  <c r="R135" i="9" a="1"/>
  <c r="R135" i="9" s="1"/>
  <c r="AB135" i="9" s="1" a="1"/>
  <c r="AB135" i="9" s="1"/>
  <c r="R232" i="9" a="1"/>
  <c r="R232" i="9" s="1"/>
  <c r="AB232" i="9" s="1" a="1"/>
  <c r="AB232" i="9" s="1"/>
  <c r="R6" i="9" a="1"/>
  <c r="R6" i="9" s="1"/>
  <c r="I7" i="10" a="1"/>
  <c r="J2" i="10" a="1"/>
  <c r="M7" i="10" a="1"/>
  <c r="J6" i="10" a="1"/>
  <c r="M6" i="10" a="1"/>
  <c r="I6" i="10" a="1"/>
  <c r="M4" i="10" a="1"/>
  <c r="M2" i="10" a="1"/>
  <c r="N1" i="10" a="1"/>
  <c r="K7" i="10" a="1"/>
  <c r="K6" i="10" a="1"/>
  <c r="J4" i="10" a="1"/>
  <c r="V18" i="9" a="1"/>
  <c r="W18" i="9" a="1"/>
  <c r="U18" i="9" a="1"/>
  <c r="X18" i="9" a="1"/>
  <c r="AB6" i="9" a="1"/>
  <c r="J4" i="10" l="1"/>
  <c r="K6" i="10"/>
  <c r="K7" i="10"/>
  <c r="N1" i="10"/>
  <c r="M2" i="10"/>
  <c r="M4" i="10"/>
  <c r="I6" i="10"/>
  <c r="M6" i="10"/>
  <c r="J6" i="10"/>
  <c r="M7" i="10"/>
  <c r="J2" i="10"/>
  <c r="I7" i="10"/>
  <c r="AB6" i="9"/>
  <c r="Y112" i="9" a="1"/>
  <c r="Y112" i="9" s="1"/>
  <c r="Y208" i="9" a="1"/>
  <c r="Y208" i="9" s="1"/>
  <c r="Y232" i="9" a="1"/>
  <c r="Y232" i="9" s="1"/>
  <c r="Y135" i="9" a="1"/>
  <c r="Y135" i="9" s="1"/>
  <c r="U18" i="9"/>
  <c r="V18" i="9"/>
  <c r="X18" i="9"/>
  <c r="W18" i="9"/>
  <c r="W208" i="9" a="1"/>
  <c r="W208" i="9" s="1"/>
  <c r="Z208" i="9"/>
  <c r="U208" i="9" a="1"/>
  <c r="U208" i="9" s="1"/>
  <c r="V208" i="9" a="1"/>
  <c r="V208" i="9" s="1"/>
  <c r="X208" i="9" a="1"/>
  <c r="X208" i="9" s="1"/>
  <c r="S208" i="9" a="1"/>
  <c r="S208" i="9" s="1"/>
  <c r="T208" i="9" a="1"/>
  <c r="T208" i="9" s="1"/>
  <c r="Z112" i="9"/>
  <c r="S112" i="9" a="1"/>
  <c r="S112" i="9" s="1"/>
  <c r="X112" i="9" a="1"/>
  <c r="X112" i="9" s="1"/>
  <c r="T112" i="9" a="1"/>
  <c r="T112" i="9" s="1"/>
  <c r="V112" i="9" a="1"/>
  <c r="V112" i="9" s="1"/>
  <c r="U112" i="9" a="1"/>
  <c r="U112" i="9" s="1"/>
  <c r="W112" i="9" a="1"/>
  <c r="W112" i="9" s="1"/>
  <c r="V232" i="9" a="1"/>
  <c r="V232" i="9" s="1"/>
  <c r="S232" i="9" a="1"/>
  <c r="S232" i="9" s="1"/>
  <c r="X232" i="9" a="1"/>
  <c r="X232" i="9" s="1"/>
  <c r="W232" i="9" a="1"/>
  <c r="W232" i="9" s="1"/>
  <c r="U232" i="9" a="1"/>
  <c r="U232" i="9" s="1"/>
  <c r="Z232" i="9"/>
  <c r="T232" i="9" a="1"/>
  <c r="T232" i="9" s="1"/>
  <c r="V135" i="9" a="1"/>
  <c r="V135" i="9" s="1"/>
  <c r="X135" i="9" a="1"/>
  <c r="X135" i="9" s="1"/>
  <c r="S135" i="9" a="1"/>
  <c r="S135" i="9" s="1"/>
  <c r="U135" i="9" a="1"/>
  <c r="U135" i="9" s="1"/>
  <c r="T135" i="9" a="1"/>
  <c r="T135" i="9" s="1"/>
  <c r="Z135" i="9"/>
  <c r="W135" i="9" a="1"/>
  <c r="W135" i="9" s="1"/>
  <c r="J3" i="10" a="1"/>
  <c r="T6" i="9" a="1"/>
  <c r="Y6" i="9" a="1"/>
  <c r="U6" i="9" a="1"/>
  <c r="W6" i="9" a="1"/>
  <c r="S6" i="9" a="1"/>
  <c r="V6" i="9" a="1"/>
  <c r="J3" i="10" l="1"/>
  <c r="Y6" i="9"/>
  <c r="T6" i="9"/>
  <c r="AA112" i="9"/>
  <c r="AA232" i="9"/>
  <c r="AA135" i="9"/>
  <c r="S6" i="9"/>
  <c r="W6" i="9"/>
  <c r="U6" i="9"/>
  <c r="V6" i="9"/>
  <c r="AA208" i="9"/>
  <c r="Z18" i="9"/>
  <c r="AA18" i="9"/>
  <c r="R258" i="9" a="1"/>
  <c r="R258" i="9" s="1"/>
  <c r="AB258" i="9" s="1" a="1"/>
  <c r="AB258" i="9" s="1"/>
  <c r="R189" i="9" a="1"/>
  <c r="R189" i="9" s="1"/>
  <c r="AB189" i="9" s="1" a="1"/>
  <c r="AB189" i="9" s="1"/>
  <c r="R19" i="9" a="1"/>
  <c r="R19" i="9" s="1"/>
  <c r="J17" i="10" a="1"/>
  <c r="X6" i="9" a="1"/>
  <c r="AB19" i="9" a="1"/>
  <c r="J17" i="10" l="1"/>
  <c r="AB19" i="9"/>
  <c r="Y258" i="9" a="1"/>
  <c r="Y258" i="9" s="1"/>
  <c r="Y189" i="9" a="1"/>
  <c r="Y189" i="9" s="1"/>
  <c r="X258" i="9" a="1"/>
  <c r="X258" i="9" s="1"/>
  <c r="Z258" i="9"/>
  <c r="Z6" i="9"/>
  <c r="AA6" i="9"/>
  <c r="X6" i="9"/>
  <c r="S189" i="9" a="1"/>
  <c r="S189" i="9" s="1"/>
  <c r="T189" i="9" a="1"/>
  <c r="T189" i="9" s="1"/>
  <c r="X189" i="9" a="1"/>
  <c r="X189" i="9" s="1"/>
  <c r="U189" i="9" a="1"/>
  <c r="U189" i="9" s="1"/>
  <c r="Z189" i="9"/>
  <c r="V189" i="9" a="1"/>
  <c r="V189" i="9" s="1"/>
  <c r="W189" i="9" a="1"/>
  <c r="W189" i="9" s="1"/>
  <c r="W258" i="9" a="1"/>
  <c r="W258" i="9" s="1"/>
  <c r="V258" i="9" a="1"/>
  <c r="V258" i="9" s="1"/>
  <c r="T258" i="9" a="1"/>
  <c r="T258" i="9" s="1"/>
  <c r="U258" i="9" a="1"/>
  <c r="U258" i="9" s="1"/>
  <c r="S258" i="9" a="1"/>
  <c r="S258" i="9" s="1"/>
  <c r="S19" i="9" a="1"/>
  <c r="Y19" i="9" a="1"/>
  <c r="W19" i="9" a="1"/>
  <c r="T19" i="9" a="1"/>
  <c r="U19" i="9" a="1"/>
  <c r="I17" i="10" l="1"/>
  <c r="T19" i="9"/>
  <c r="Y19" i="9"/>
  <c r="AA258" i="9"/>
  <c r="U19" i="9"/>
  <c r="W19" i="9"/>
  <c r="S19" i="9"/>
  <c r="AA189" i="9"/>
  <c r="R77" i="9" a="1"/>
  <c r="R77" i="9" s="1"/>
  <c r="AB77" i="9" s="1" a="1"/>
  <c r="AB77" i="9" s="1"/>
  <c r="K23" i="10" a="1"/>
  <c r="K22" i="10" a="1"/>
  <c r="J20" i="10" a="1"/>
  <c r="J18" i="10" a="1"/>
  <c r="I22" i="10" a="1"/>
  <c r="J22" i="10" a="1"/>
  <c r="M23" i="10" a="1"/>
  <c r="I23" i="10" a="1"/>
  <c r="M22" i="10" a="1"/>
  <c r="M20" i="10" a="1"/>
  <c r="M18" i="10" a="1"/>
  <c r="N17" i="10" a="1"/>
  <c r="V19" i="9" a="1"/>
  <c r="X19" i="9" a="1"/>
  <c r="N17" i="10" l="1"/>
  <c r="M18" i="10"/>
  <c r="M20" i="10"/>
  <c r="M22" i="10"/>
  <c r="I23" i="10"/>
  <c r="M23" i="10"/>
  <c r="J22" i="10"/>
  <c r="I22" i="10"/>
  <c r="J18" i="10"/>
  <c r="J20" i="10"/>
  <c r="K22" i="10"/>
  <c r="K23" i="10"/>
  <c r="Y77" i="9" a="1"/>
  <c r="Y77" i="9" s="1"/>
  <c r="T77" i="9" a="1"/>
  <c r="T77" i="9" s="1"/>
  <c r="Z19" i="9"/>
  <c r="X19" i="9"/>
  <c r="V19" i="9"/>
  <c r="AA19" i="9"/>
  <c r="S77" i="9" a="1"/>
  <c r="S77" i="9" s="1"/>
  <c r="U77" i="9" l="1" a="1"/>
  <c r="U77" i="9" s="1"/>
  <c r="W77" i="9" a="1"/>
  <c r="W77" i="9" s="1"/>
  <c r="X77" i="9" a="1"/>
  <c r="X77" i="9" s="1"/>
  <c r="Z77" i="9"/>
  <c r="V77" i="9" a="1"/>
  <c r="V77" i="9" s="1"/>
  <c r="R199" i="9" a="1"/>
  <c r="R199" i="9" s="1"/>
  <c r="AB199" i="9" s="1" a="1"/>
  <c r="AB199" i="9" s="1"/>
  <c r="R190" i="9" a="1"/>
  <c r="R190" i="9" s="1"/>
  <c r="AB190" i="9" s="1" a="1"/>
  <c r="AB190" i="9" s="1"/>
  <c r="R178" i="9" a="1"/>
  <c r="R178" i="9" s="1"/>
  <c r="AB178" i="9" s="1" a="1"/>
  <c r="AB178" i="9" s="1"/>
  <c r="R68" i="9" a="1"/>
  <c r="R68" i="9" s="1"/>
  <c r="AB68" i="9" s="1" a="1"/>
  <c r="AB68" i="9" s="1"/>
  <c r="Y178" i="9" l="1" a="1"/>
  <c r="Y178" i="9" s="1"/>
  <c r="Y199" i="9" a="1"/>
  <c r="Y199" i="9" s="1"/>
  <c r="Y190" i="9" a="1"/>
  <c r="Y190" i="9" s="1"/>
  <c r="Y68" i="9" a="1"/>
  <c r="Y68" i="9" s="1"/>
  <c r="T68" i="9" a="1"/>
  <c r="T68" i="9" s="1"/>
  <c r="W199" i="9" a="1"/>
  <c r="W199" i="9" s="1"/>
  <c r="X199" i="9" a="1"/>
  <c r="X199" i="9" s="1"/>
  <c r="Z199" i="9"/>
  <c r="U199" i="9" a="1"/>
  <c r="U199" i="9" s="1"/>
  <c r="V199" i="9" a="1"/>
  <c r="V199" i="9" s="1"/>
  <c r="S199" i="9" a="1"/>
  <c r="S199" i="9" s="1"/>
  <c r="T199" i="9" a="1"/>
  <c r="T199" i="9" s="1"/>
  <c r="Z178" i="9"/>
  <c r="W178" i="9" a="1"/>
  <c r="W178" i="9" s="1"/>
  <c r="V178" i="9" a="1"/>
  <c r="V178" i="9" s="1"/>
  <c r="T178" i="9" a="1"/>
  <c r="T178" i="9" s="1"/>
  <c r="X178" i="9" a="1"/>
  <c r="X178" i="9" s="1"/>
  <c r="S178" i="9" a="1"/>
  <c r="S178" i="9" s="1"/>
  <c r="U178" i="9" a="1"/>
  <c r="U178" i="9" s="1"/>
  <c r="Z190" i="9"/>
  <c r="S190" i="9" a="1"/>
  <c r="S190" i="9" s="1"/>
  <c r="V190" i="9" a="1"/>
  <c r="V190" i="9" s="1"/>
  <c r="T190" i="9" a="1"/>
  <c r="T190" i="9" s="1"/>
  <c r="X190" i="9" a="1"/>
  <c r="X190" i="9" s="1"/>
  <c r="U190" i="9" a="1"/>
  <c r="U190" i="9" s="1"/>
  <c r="W190" i="9" a="1"/>
  <c r="W190" i="9" s="1"/>
  <c r="AA77" i="9"/>
  <c r="X68" i="9" a="1"/>
  <c r="X68" i="9" s="1"/>
  <c r="U68" i="9" a="1"/>
  <c r="U68" i="9" s="1"/>
  <c r="Z68" i="9"/>
  <c r="V68" i="9" a="1"/>
  <c r="V68" i="9" s="1"/>
  <c r="S68" i="9" a="1"/>
  <c r="S68" i="9" s="1"/>
  <c r="AA190" i="9" l="1"/>
  <c r="AA178" i="9"/>
  <c r="AA199" i="9"/>
  <c r="W68" i="9" a="1"/>
  <c r="W68" i="9" s="1"/>
  <c r="AA68" i="9" s="1"/>
  <c r="R5" i="9" a="1"/>
  <c r="R5" i="9" s="1"/>
  <c r="AB5" i="9" a="1"/>
  <c r="AB5" i="9" l="1"/>
  <c r="Y5" i="9" a="1"/>
  <c r="W5" i="9" a="1"/>
  <c r="V5" i="9" a="1"/>
  <c r="S5" i="9" a="1"/>
  <c r="U5" i="9" a="1"/>
  <c r="T5" i="9" a="1"/>
  <c r="T5" i="9" l="1"/>
  <c r="Y5" i="9"/>
  <c r="U5" i="9"/>
  <c r="S5" i="9"/>
  <c r="W5" i="9"/>
  <c r="V5" i="9"/>
  <c r="R108" i="9" a="1"/>
  <c r="R108" i="9" s="1"/>
  <c r="AB108" i="9" s="1" a="1"/>
  <c r="AB108" i="9" s="1"/>
  <c r="R122" i="9" a="1"/>
  <c r="R122" i="9" s="1"/>
  <c r="AB122" i="9" s="1" a="1"/>
  <c r="AB122" i="9" s="1"/>
  <c r="R164" i="9" a="1"/>
  <c r="R164" i="9" s="1"/>
  <c r="AB164" i="9" s="1" a="1"/>
  <c r="AB164" i="9" s="1"/>
  <c r="R174" i="9" a="1"/>
  <c r="R174" i="9" s="1"/>
  <c r="AB174" i="9" s="1" a="1"/>
  <c r="AB174" i="9" s="1"/>
  <c r="R115" i="9" a="1"/>
  <c r="R115" i="9" s="1"/>
  <c r="AB115" i="9" s="1" a="1"/>
  <c r="AB115" i="9" s="1"/>
  <c r="R142" i="9" a="1"/>
  <c r="R142" i="9" s="1"/>
  <c r="AB142" i="9" s="1" a="1"/>
  <c r="AB142" i="9" s="1"/>
  <c r="R55" i="9" a="1"/>
  <c r="R55" i="9" s="1"/>
  <c r="AB55" i="9" s="1" a="1"/>
  <c r="C17" i="10" a="1"/>
  <c r="X5" i="9" a="1"/>
  <c r="C17" i="10" l="1"/>
  <c r="T55" i="9" a="1"/>
  <c r="T55" i="9" s="1"/>
  <c r="Y55" i="9" a="1"/>
  <c r="Y55" i="9" s="1"/>
  <c r="AB55" i="9"/>
  <c r="Y164" i="9" a="1"/>
  <c r="Y164" i="9" s="1"/>
  <c r="Y122" i="9" a="1"/>
  <c r="Y122" i="9" s="1"/>
  <c r="Y108" i="9" a="1"/>
  <c r="Y108" i="9" s="1"/>
  <c r="Y142" i="9" a="1"/>
  <c r="Y142" i="9" s="1"/>
  <c r="Y115" i="9" a="1"/>
  <c r="Y115" i="9" s="1"/>
  <c r="Y174" i="9" a="1"/>
  <c r="Y174" i="9" s="1"/>
  <c r="AA5" i="9"/>
  <c r="Z5" i="9"/>
  <c r="X5" i="9"/>
  <c r="V108" i="9" a="1"/>
  <c r="V108" i="9" s="1"/>
  <c r="T108" i="9" a="1"/>
  <c r="T108" i="9" s="1"/>
  <c r="X108" i="9" a="1"/>
  <c r="X108" i="9" s="1"/>
  <c r="S108" i="9" a="1"/>
  <c r="S108" i="9" s="1"/>
  <c r="Z108" i="9"/>
  <c r="U108" i="9" a="1"/>
  <c r="U108" i="9" s="1"/>
  <c r="W108" i="9" a="1"/>
  <c r="W108" i="9" s="1"/>
  <c r="V142" i="9" a="1"/>
  <c r="V142" i="9" s="1"/>
  <c r="S142" i="9" a="1"/>
  <c r="S142" i="9" s="1"/>
  <c r="T142" i="9" a="1"/>
  <c r="T142" i="9" s="1"/>
  <c r="X142" i="9" a="1"/>
  <c r="X142" i="9" s="1"/>
  <c r="U142" i="9" a="1"/>
  <c r="U142" i="9" s="1"/>
  <c r="W142" i="9" a="1"/>
  <c r="W142" i="9" s="1"/>
  <c r="Z142" i="9"/>
  <c r="T115" i="9" a="1"/>
  <c r="T115" i="9" s="1"/>
  <c r="V115" i="9" a="1"/>
  <c r="V115" i="9" s="1"/>
  <c r="Z115" i="9"/>
  <c r="X115" i="9" a="1"/>
  <c r="X115" i="9" s="1"/>
  <c r="S115" i="9" a="1"/>
  <c r="S115" i="9" s="1"/>
  <c r="U115" i="9" a="1"/>
  <c r="U115" i="9" s="1"/>
  <c r="W115" i="9" a="1"/>
  <c r="W115" i="9" s="1"/>
  <c r="S174" i="9" a="1"/>
  <c r="S174" i="9" s="1"/>
  <c r="Z174" i="9"/>
  <c r="U174" i="9" a="1"/>
  <c r="U174" i="9" s="1"/>
  <c r="X174" i="9" a="1"/>
  <c r="X174" i="9" s="1"/>
  <c r="W174" i="9" a="1"/>
  <c r="W174" i="9" s="1"/>
  <c r="T174" i="9" a="1"/>
  <c r="T174" i="9" s="1"/>
  <c r="V174" i="9" a="1"/>
  <c r="V174" i="9" s="1"/>
  <c r="S164" i="9" a="1"/>
  <c r="S164" i="9" s="1"/>
  <c r="V164" i="9" a="1"/>
  <c r="V164" i="9" s="1"/>
  <c r="X164" i="9" a="1"/>
  <c r="X164" i="9" s="1"/>
  <c r="W164" i="9" a="1"/>
  <c r="W164" i="9" s="1"/>
  <c r="T164" i="9" a="1"/>
  <c r="T164" i="9" s="1"/>
  <c r="Z164" i="9"/>
  <c r="U164" i="9" a="1"/>
  <c r="U164" i="9" s="1"/>
  <c r="Z122" i="9"/>
  <c r="V122" i="9" a="1"/>
  <c r="V122" i="9" s="1"/>
  <c r="T122" i="9" a="1"/>
  <c r="T122" i="9" s="1"/>
  <c r="S122" i="9" a="1"/>
  <c r="S122" i="9" s="1"/>
  <c r="U122" i="9" a="1"/>
  <c r="U122" i="9" s="1"/>
  <c r="X122" i="9" a="1"/>
  <c r="X122" i="9" s="1"/>
  <c r="W122" i="9" a="1"/>
  <c r="W122" i="9" s="1"/>
  <c r="S55" i="9" a="1"/>
  <c r="B17" i="10" l="1"/>
  <c r="AA142" i="9"/>
  <c r="AA108" i="9"/>
  <c r="AA115" i="9"/>
  <c r="S55" i="9"/>
  <c r="AA174" i="9"/>
  <c r="AA164" i="9"/>
  <c r="AA122" i="9"/>
  <c r="R235" i="9" a="1"/>
  <c r="R235" i="9" s="1"/>
  <c r="AB235" i="9" s="1" a="1"/>
  <c r="AB235" i="9" s="1"/>
  <c r="R113" i="9" a="1"/>
  <c r="R113" i="9" s="1"/>
  <c r="AB113" i="9" s="1" a="1"/>
  <c r="AB113" i="9" s="1"/>
  <c r="R27" i="9" a="1"/>
  <c r="R27" i="9" s="1"/>
  <c r="U55" i="9" a="1"/>
  <c r="V55" i="9" a="1"/>
  <c r="X55" i="9" a="1"/>
  <c r="W55" i="9" a="1"/>
  <c r="B23" i="10" a="1"/>
  <c r="M19" i="10" a="1"/>
  <c r="F19" i="10" a="1"/>
  <c r="B22" i="10" a="1"/>
  <c r="F20" i="10" a="1"/>
  <c r="C20" i="10" a="1"/>
  <c r="F18" i="10" a="1"/>
  <c r="C22" i="10" a="1"/>
  <c r="C18" i="10" a="1"/>
  <c r="F23" i="10" a="1"/>
  <c r="G17" i="10" a="1"/>
  <c r="D22" i="10" a="1"/>
  <c r="J19" i="10" a="1"/>
  <c r="D23" i="10" a="1"/>
  <c r="F22" i="10" a="1"/>
  <c r="AB27" i="9" a="1"/>
  <c r="F22" i="10" l="1"/>
  <c r="D23" i="10"/>
  <c r="J19" i="10"/>
  <c r="D22" i="10"/>
  <c r="G17" i="10"/>
  <c r="F23" i="10"/>
  <c r="C18" i="10"/>
  <c r="C22" i="10"/>
  <c r="F18" i="10"/>
  <c r="C20" i="10"/>
  <c r="F20" i="10"/>
  <c r="B22" i="10"/>
  <c r="F19" i="10"/>
  <c r="M19" i="10"/>
  <c r="B23" i="10"/>
  <c r="AB27" i="9"/>
  <c r="Y235" i="9" a="1"/>
  <c r="Y235" i="9" s="1"/>
  <c r="Y113" i="9" a="1"/>
  <c r="Y113" i="9" s="1"/>
  <c r="W55" i="9"/>
  <c r="X55" i="9"/>
  <c r="V55" i="9"/>
  <c r="U55" i="9"/>
  <c r="W113" i="9" a="1"/>
  <c r="W113" i="9" s="1"/>
  <c r="S113" i="9" a="1"/>
  <c r="S113" i="9" s="1"/>
  <c r="X113" i="9" a="1"/>
  <c r="X113" i="9" s="1"/>
  <c r="U113" i="9" a="1"/>
  <c r="U113" i="9" s="1"/>
  <c r="V113" i="9" a="1"/>
  <c r="V113" i="9" s="1"/>
  <c r="T113" i="9" a="1"/>
  <c r="T113" i="9" s="1"/>
  <c r="Z113" i="9"/>
  <c r="W235" i="9" a="1"/>
  <c r="W235" i="9" s="1"/>
  <c r="V235" i="9" a="1"/>
  <c r="V235" i="9" s="1"/>
  <c r="X235" i="9" a="1"/>
  <c r="X235" i="9" s="1"/>
  <c r="S235" i="9" a="1"/>
  <c r="S235" i="9" s="1"/>
  <c r="Z235" i="9"/>
  <c r="T235" i="9" a="1"/>
  <c r="T235" i="9" s="1"/>
  <c r="U235" i="9" a="1"/>
  <c r="U235" i="9" s="1"/>
  <c r="C19" i="10" a="1"/>
  <c r="T27" i="9" a="1"/>
  <c r="Y27" i="9" a="1"/>
  <c r="S27" i="9" a="1"/>
  <c r="C19" i="10" l="1"/>
  <c r="Y27" i="9"/>
  <c r="T27" i="9"/>
  <c r="AA113" i="9"/>
  <c r="S27" i="9"/>
  <c r="AA235" i="9"/>
  <c r="AA55" i="9"/>
  <c r="Z55" i="9"/>
  <c r="R245" i="9" a="1"/>
  <c r="R245" i="9" s="1"/>
  <c r="AB245" i="9" s="1" a="1"/>
  <c r="AB245" i="9" s="1"/>
  <c r="R145" i="9" a="1"/>
  <c r="R145" i="9" s="1"/>
  <c r="AB145" i="9" s="1" a="1"/>
  <c r="AB145" i="9" s="1"/>
  <c r="R168" i="9" a="1"/>
  <c r="R168" i="9" s="1"/>
  <c r="AB168" i="9" s="1" a="1"/>
  <c r="AB168" i="9" s="1"/>
  <c r="R134" i="9" a="1"/>
  <c r="R134" i="9" s="1"/>
  <c r="AB134" i="9" s="1" a="1"/>
  <c r="AB134" i="9" s="1"/>
  <c r="R203" i="9" a="1"/>
  <c r="R203" i="9" s="1"/>
  <c r="AB203" i="9" s="1" a="1"/>
  <c r="AB203" i="9" s="1"/>
  <c r="R238" i="9" a="1"/>
  <c r="R238" i="9" s="1"/>
  <c r="AB238" i="9" s="1" a="1"/>
  <c r="AB238" i="9" s="1"/>
  <c r="R211" i="9" a="1"/>
  <c r="R211" i="9" s="1"/>
  <c r="AB211" i="9" s="1" a="1"/>
  <c r="AB211" i="9" s="1"/>
  <c r="R34" i="9" a="1"/>
  <c r="R34" i="9" s="1"/>
  <c r="W27" i="9" a="1"/>
  <c r="V27" i="9" a="1"/>
  <c r="AB34" i="9" a="1"/>
  <c r="Y34" i="9" a="1"/>
  <c r="U27" i="9" a="1"/>
  <c r="T34" i="9" a="1"/>
  <c r="X27" i="9" a="1"/>
  <c r="AB34" i="9" l="1"/>
  <c r="Y211" i="9" a="1"/>
  <c r="Y211" i="9" s="1"/>
  <c r="Y238" i="9" a="1"/>
  <c r="Y238" i="9" s="1"/>
  <c r="Y203" i="9" a="1"/>
  <c r="Y203" i="9" s="1"/>
  <c r="Y134" i="9" a="1"/>
  <c r="Y134" i="9" s="1"/>
  <c r="Y168" i="9" a="1"/>
  <c r="Y168" i="9" s="1"/>
  <c r="Y145" i="9" a="1"/>
  <c r="Y145" i="9" s="1"/>
  <c r="Y245" i="9" a="1"/>
  <c r="Y245" i="9" s="1"/>
  <c r="Y34" i="9"/>
  <c r="T34" i="9"/>
  <c r="U27" i="9"/>
  <c r="W27" i="9"/>
  <c r="X27" i="9"/>
  <c r="V27" i="9"/>
  <c r="X245" i="9" a="1"/>
  <c r="X245" i="9" s="1"/>
  <c r="Z245" i="9"/>
  <c r="V245" i="9" a="1"/>
  <c r="V245" i="9" s="1"/>
  <c r="T245" i="9" a="1"/>
  <c r="T245" i="9" s="1"/>
  <c r="W245" i="9" a="1"/>
  <c r="W245" i="9" s="1"/>
  <c r="S245" i="9" a="1"/>
  <c r="S245" i="9" s="1"/>
  <c r="U245" i="9" a="1"/>
  <c r="U245" i="9" s="1"/>
  <c r="V211" i="9" a="1"/>
  <c r="V211" i="9" s="1"/>
  <c r="Z211" i="9"/>
  <c r="T211" i="9" a="1"/>
  <c r="T211" i="9" s="1"/>
  <c r="S211" i="9" a="1"/>
  <c r="S211" i="9" s="1"/>
  <c r="U211" i="9" a="1"/>
  <c r="U211" i="9" s="1"/>
  <c r="X211" i="9" a="1"/>
  <c r="X211" i="9" s="1"/>
  <c r="W211" i="9" a="1"/>
  <c r="W211" i="9" s="1"/>
  <c r="W238" i="9" a="1"/>
  <c r="W238" i="9" s="1"/>
  <c r="U238" i="9" a="1"/>
  <c r="U238" i="9" s="1"/>
  <c r="S238" i="9" a="1"/>
  <c r="S238" i="9" s="1"/>
  <c r="Z238" i="9"/>
  <c r="T238" i="9" a="1"/>
  <c r="T238" i="9" s="1"/>
  <c r="V238" i="9" a="1"/>
  <c r="V238" i="9" s="1"/>
  <c r="X238" i="9" a="1"/>
  <c r="X238" i="9" s="1"/>
  <c r="S203" i="9" a="1"/>
  <c r="S203" i="9" s="1"/>
  <c r="U203" i="9" a="1"/>
  <c r="U203" i="9" s="1"/>
  <c r="W203" i="9" a="1"/>
  <c r="W203" i="9" s="1"/>
  <c r="T203" i="9" a="1"/>
  <c r="T203" i="9" s="1"/>
  <c r="Z203" i="9"/>
  <c r="V203" i="9" a="1"/>
  <c r="V203" i="9" s="1"/>
  <c r="X203" i="9" a="1"/>
  <c r="X203" i="9" s="1"/>
  <c r="Z134" i="9"/>
  <c r="X134" i="9" a="1"/>
  <c r="X134" i="9" s="1"/>
  <c r="T134" i="9" a="1"/>
  <c r="T134" i="9" s="1"/>
  <c r="V134" i="9" a="1"/>
  <c r="V134" i="9" s="1"/>
  <c r="U134" i="9" a="1"/>
  <c r="U134" i="9" s="1"/>
  <c r="S134" i="9" a="1"/>
  <c r="S134" i="9" s="1"/>
  <c r="W134" i="9" a="1"/>
  <c r="W134" i="9" s="1"/>
  <c r="U168" i="9" a="1"/>
  <c r="U168" i="9" s="1"/>
  <c r="X168" i="9" a="1"/>
  <c r="X168" i="9" s="1"/>
  <c r="Z168" i="9"/>
  <c r="T168" i="9" a="1"/>
  <c r="T168" i="9" s="1"/>
  <c r="V168" i="9" a="1"/>
  <c r="V168" i="9" s="1"/>
  <c r="S168" i="9" a="1"/>
  <c r="S168" i="9" s="1"/>
  <c r="W168" i="9" a="1"/>
  <c r="W168" i="9" s="1"/>
  <c r="S145" i="9" a="1"/>
  <c r="S145" i="9" s="1"/>
  <c r="U145" i="9" a="1"/>
  <c r="U145" i="9" s="1"/>
  <c r="X145" i="9" a="1"/>
  <c r="X145" i="9" s="1"/>
  <c r="W145" i="9" a="1"/>
  <c r="W145" i="9" s="1"/>
  <c r="Z145" i="9"/>
  <c r="T145" i="9" a="1"/>
  <c r="T145" i="9" s="1"/>
  <c r="V145" i="9" a="1"/>
  <c r="V145" i="9" s="1"/>
  <c r="X34" i="9" a="1"/>
  <c r="V34" i="9" a="1"/>
  <c r="W34" i="9" a="1"/>
  <c r="S34" i="9" a="1"/>
  <c r="U34" i="9" a="1"/>
  <c r="AA211" i="9" l="1"/>
  <c r="AA168" i="9"/>
  <c r="AA203" i="9"/>
  <c r="AA134" i="9"/>
  <c r="AA145" i="9"/>
  <c r="S34" i="9"/>
  <c r="W34" i="9"/>
  <c r="V34" i="9"/>
  <c r="X34" i="9"/>
  <c r="U34" i="9"/>
  <c r="AA238" i="9"/>
  <c r="Z27" i="9"/>
  <c r="AA27" i="9"/>
  <c r="AA245" i="9"/>
  <c r="R130" i="9" a="1"/>
  <c r="R130" i="9" s="1"/>
  <c r="AB130" i="9" s="1" a="1"/>
  <c r="AB130" i="9" s="1"/>
  <c r="R22" i="9" a="1"/>
  <c r="R22" i="9" s="1"/>
  <c r="AB22" i="9" a="1"/>
  <c r="AB22" i="9" l="1"/>
  <c r="Y130" i="9" a="1"/>
  <c r="Y130" i="9" s="1"/>
  <c r="Z34" i="9"/>
  <c r="AA34" i="9"/>
  <c r="S130" i="9" a="1"/>
  <c r="S130" i="9" s="1"/>
  <c r="W130" i="9" a="1"/>
  <c r="W130" i="9" s="1"/>
  <c r="V130" i="9" a="1"/>
  <c r="V130" i="9" s="1"/>
  <c r="T130" i="9" a="1"/>
  <c r="T130" i="9" s="1"/>
  <c r="U130" i="9" a="1"/>
  <c r="U130" i="9" s="1"/>
  <c r="X130" i="9" a="1"/>
  <c r="X130" i="9" s="1"/>
  <c r="Z130" i="9"/>
  <c r="T22" i="9" a="1"/>
  <c r="Y22" i="9" a="1"/>
  <c r="W22" i="9" a="1"/>
  <c r="U22" i="9" a="1"/>
  <c r="S22" i="9" a="1"/>
  <c r="X22" i="9" a="1"/>
  <c r="V22" i="9" a="1"/>
  <c r="Y22" i="9" l="1"/>
  <c r="T22" i="9"/>
  <c r="AA130" i="9"/>
  <c r="S22" i="9"/>
  <c r="W22" i="9"/>
  <c r="X22" i="9"/>
  <c r="U22" i="9"/>
  <c r="V22" i="9"/>
  <c r="R197" i="9" a="1"/>
  <c r="R197" i="9" s="1"/>
  <c r="AB197" i="9" s="1" a="1"/>
  <c r="AB197" i="9" s="1"/>
  <c r="R114" i="9" a="1"/>
  <c r="R114" i="9" s="1"/>
  <c r="AB114" i="9" s="1" a="1"/>
  <c r="AB114" i="9" s="1"/>
  <c r="R150" i="9" a="1"/>
  <c r="R150" i="9" s="1"/>
  <c r="AB150" i="9" s="1" a="1"/>
  <c r="AB150" i="9" s="1"/>
  <c r="R151" i="9" a="1"/>
  <c r="R151" i="9" s="1"/>
  <c r="AB151" i="9" s="1" a="1"/>
  <c r="AB151" i="9" s="1"/>
  <c r="R246" i="9" a="1"/>
  <c r="R246" i="9" s="1"/>
  <c r="AB246" i="9" s="1" a="1"/>
  <c r="AB246" i="9" s="1"/>
  <c r="R217" i="9" a="1"/>
  <c r="R217" i="9" s="1"/>
  <c r="AB217" i="9" s="1" a="1"/>
  <c r="AB217" i="9" s="1"/>
  <c r="R45" i="9" a="1"/>
  <c r="R45" i="9" s="1"/>
  <c r="AB45" i="9" a="1"/>
  <c r="AB45" i="9" l="1"/>
  <c r="Y217" i="9" a="1"/>
  <c r="Y217" i="9" s="1"/>
  <c r="Y246" i="9" a="1"/>
  <c r="Y246" i="9" s="1"/>
  <c r="Y151" i="9" a="1"/>
  <c r="Y151" i="9" s="1"/>
  <c r="Y114" i="9" a="1"/>
  <c r="Y114" i="9" s="1"/>
  <c r="Y197" i="9" a="1"/>
  <c r="Y197" i="9" s="1"/>
  <c r="Y150" i="9" a="1"/>
  <c r="Y150" i="9" s="1"/>
  <c r="U246" i="9" a="1"/>
  <c r="U246" i="9" s="1"/>
  <c r="S246" i="9" a="1"/>
  <c r="S246" i="9" s="1"/>
  <c r="X150" i="9" a="1"/>
  <c r="X150" i="9" s="1"/>
  <c r="V150" i="9" a="1"/>
  <c r="V150" i="9" s="1"/>
  <c r="Z22" i="9"/>
  <c r="AA22" i="9"/>
  <c r="W151" i="9" a="1"/>
  <c r="W151" i="9" s="1"/>
  <c r="X151" i="9" a="1"/>
  <c r="X151" i="9" s="1"/>
  <c r="Z151" i="9"/>
  <c r="V151" i="9" a="1"/>
  <c r="V151" i="9" s="1"/>
  <c r="U151" i="9" a="1"/>
  <c r="U151" i="9" s="1"/>
  <c r="S151" i="9" a="1"/>
  <c r="S151" i="9" s="1"/>
  <c r="T151" i="9" a="1"/>
  <c r="T151" i="9" s="1"/>
  <c r="W217" i="9" a="1"/>
  <c r="W217" i="9" s="1"/>
  <c r="X217" i="9" a="1"/>
  <c r="X217" i="9" s="1"/>
  <c r="S217" i="9" a="1"/>
  <c r="S217" i="9" s="1"/>
  <c r="Z217" i="9"/>
  <c r="U217" i="9" a="1"/>
  <c r="U217" i="9" s="1"/>
  <c r="V217" i="9" a="1"/>
  <c r="V217" i="9" s="1"/>
  <c r="T217" i="9" a="1"/>
  <c r="T217" i="9" s="1"/>
  <c r="V114" i="9" a="1"/>
  <c r="V114" i="9" s="1"/>
  <c r="T114" i="9" a="1"/>
  <c r="T114" i="9" s="1"/>
  <c r="S114" i="9" a="1"/>
  <c r="S114" i="9" s="1"/>
  <c r="U114" i="9" a="1"/>
  <c r="U114" i="9" s="1"/>
  <c r="X114" i="9" a="1"/>
  <c r="X114" i="9" s="1"/>
  <c r="W114" i="9" a="1"/>
  <c r="W114" i="9" s="1"/>
  <c r="Z114" i="9"/>
  <c r="S197" i="9" a="1"/>
  <c r="S197" i="9" s="1"/>
  <c r="T197" i="9" a="1"/>
  <c r="T197" i="9" s="1"/>
  <c r="W197" i="9" a="1"/>
  <c r="W197" i="9" s="1"/>
  <c r="X197" i="9" a="1"/>
  <c r="X197" i="9" s="1"/>
  <c r="U197" i="9" a="1"/>
  <c r="U197" i="9" s="1"/>
  <c r="Z197" i="9"/>
  <c r="V197" i="9" a="1"/>
  <c r="V197" i="9" s="1"/>
  <c r="X246" i="9" a="1"/>
  <c r="X246" i="9" s="1"/>
  <c r="T150" i="9" a="1"/>
  <c r="T150" i="9" s="1"/>
  <c r="W150" i="9" a="1"/>
  <c r="W150" i="9" s="1"/>
  <c r="U150" i="9" a="1"/>
  <c r="U150" i="9" s="1"/>
  <c r="V246" i="9" a="1"/>
  <c r="V246" i="9" s="1"/>
  <c r="Z150" i="9"/>
  <c r="T246" i="9" a="1"/>
  <c r="T246" i="9" s="1"/>
  <c r="Z246" i="9"/>
  <c r="S150" i="9" a="1"/>
  <c r="S150" i="9" s="1"/>
  <c r="W246" i="9" a="1"/>
  <c r="W246" i="9" s="1"/>
  <c r="U45" i="9" a="1"/>
  <c r="Y45" i="9" a="1"/>
  <c r="W45" i="9" a="1"/>
  <c r="T45" i="9" a="1"/>
  <c r="X45" i="9" a="1"/>
  <c r="V45" i="9" a="1"/>
  <c r="S45" i="9" a="1"/>
  <c r="Y45" i="9" l="1"/>
  <c r="AA246" i="9"/>
  <c r="AA217" i="9"/>
  <c r="AA150" i="9"/>
  <c r="U45" i="9"/>
  <c r="S45" i="9"/>
  <c r="V45" i="9"/>
  <c r="X45" i="9"/>
  <c r="T45" i="9"/>
  <c r="W45" i="9"/>
  <c r="AA114" i="9"/>
  <c r="AA197" i="9"/>
  <c r="AA151" i="9"/>
  <c r="R243" i="9" a="1"/>
  <c r="R243" i="9" s="1"/>
  <c r="AB243" i="9" s="1" a="1"/>
  <c r="AB243" i="9" s="1"/>
  <c r="R36" i="9" a="1"/>
  <c r="R36" i="9" s="1"/>
  <c r="T36" i="9" a="1"/>
  <c r="Y243" i="9" l="1" a="1"/>
  <c r="Y243" i="9" s="1"/>
  <c r="Z45" i="9"/>
  <c r="AA45" i="9"/>
  <c r="T36" i="9"/>
  <c r="V243" i="9" a="1"/>
  <c r="V243" i="9" s="1"/>
  <c r="X243" i="9" a="1"/>
  <c r="X243" i="9" s="1"/>
  <c r="Z243" i="9"/>
  <c r="S243" i="9" a="1"/>
  <c r="S243" i="9" s="1"/>
  <c r="T243" i="9" a="1"/>
  <c r="T243" i="9" s="1"/>
  <c r="U243" i="9" a="1"/>
  <c r="U243" i="9" s="1"/>
  <c r="W243" i="9" a="1"/>
  <c r="W243" i="9" s="1"/>
  <c r="Y36" i="9" a="1"/>
  <c r="S36" i="9" a="1"/>
  <c r="W36" i="9" a="1"/>
  <c r="AB36" i="9" a="1"/>
  <c r="AB36" i="9" l="1"/>
  <c r="Y36" i="9"/>
  <c r="AA243" i="9"/>
  <c r="W36" i="9"/>
  <c r="S36" i="9"/>
  <c r="R213" i="9" a="1"/>
  <c r="R213" i="9" s="1"/>
  <c r="AB213" i="9" s="1" a="1"/>
  <c r="AB213" i="9" s="1"/>
  <c r="R61" i="9" a="1"/>
  <c r="R61" i="9" s="1"/>
  <c r="X36" i="9" a="1"/>
  <c r="V36" i="9" a="1"/>
  <c r="U36" i="9" a="1"/>
  <c r="AB61" i="9" l="1" a="1"/>
  <c r="AB61" i="9" s="1"/>
  <c r="Y213" i="9" a="1"/>
  <c r="Y213" i="9" s="1"/>
  <c r="Y61" i="9" a="1"/>
  <c r="Y61" i="9" s="1"/>
  <c r="T61" i="9" a="1"/>
  <c r="T61" i="9" s="1"/>
  <c r="Z36" i="9"/>
  <c r="U36" i="9"/>
  <c r="V36" i="9"/>
  <c r="X36" i="9"/>
  <c r="U213" i="9" a="1"/>
  <c r="U213" i="9" s="1"/>
  <c r="V213" i="9" a="1"/>
  <c r="V213" i="9" s="1"/>
  <c r="Z213" i="9"/>
  <c r="T213" i="9" a="1"/>
  <c r="T213" i="9" s="1"/>
  <c r="X213" i="9" a="1"/>
  <c r="X213" i="9" s="1"/>
  <c r="S213" i="9" a="1"/>
  <c r="S213" i="9" s="1"/>
  <c r="W213" i="9" a="1"/>
  <c r="W213" i="9" s="1"/>
  <c r="AA36" i="9"/>
  <c r="X61" i="9" a="1"/>
  <c r="X61" i="9" s="1"/>
  <c r="U61" i="9" a="1"/>
  <c r="U61" i="9" s="1"/>
  <c r="Z61" i="9"/>
  <c r="V61" i="9" a="1"/>
  <c r="V61" i="9" s="1"/>
  <c r="S61" i="9" a="1"/>
  <c r="S61" i="9" s="1"/>
  <c r="BZ1" i="10" a="1"/>
  <c r="BZ1" i="10" l="1"/>
  <c r="AA213" i="9"/>
  <c r="W61" i="9" a="1"/>
  <c r="W61" i="9" s="1"/>
  <c r="AA61" i="9" s="1"/>
  <c r="R133" i="9" a="1"/>
  <c r="R133" i="9" s="1"/>
  <c r="AB133" i="9" s="1" a="1"/>
  <c r="AB133" i="9" s="1"/>
  <c r="R137" i="9" a="1"/>
  <c r="R137" i="9" s="1"/>
  <c r="AB137" i="9" s="1" a="1"/>
  <c r="AB137" i="9" s="1"/>
  <c r="R52" i="9" a="1"/>
  <c r="R52" i="9" s="1"/>
  <c r="AB52" i="9" a="1"/>
  <c r="CC6" i="10" l="1" a="1"/>
  <c r="CC6" i="10" s="1"/>
  <c r="CJ3" i="10" a="1"/>
  <c r="CJ3" i="10" s="1"/>
  <c r="BY1" i="10"/>
  <c r="CC7" i="10" a="1"/>
  <c r="CC7" i="10" s="1"/>
  <c r="CA6" i="10" a="1"/>
  <c r="CA6" i="10" s="1"/>
  <c r="CG3" i="10" a="1"/>
  <c r="CG3" i="10" s="1"/>
  <c r="CD1" i="10" a="1"/>
  <c r="CD1" i="10" s="1"/>
  <c r="BY6" i="10" a="1"/>
  <c r="BY6" i="10" s="1"/>
  <c r="BZ3" i="10" a="1"/>
  <c r="BZ3" i="10" s="1"/>
  <c r="CA7" i="10" a="1"/>
  <c r="CA7" i="10" s="1"/>
  <c r="BZ6" i="10" a="1"/>
  <c r="BZ6" i="10" s="1"/>
  <c r="CC4" i="10" a="1"/>
  <c r="CC4" i="10" s="1"/>
  <c r="CC3" i="10" a="1"/>
  <c r="CC3" i="10" s="1"/>
  <c r="CC2" i="10" a="1"/>
  <c r="CC2" i="10" s="1"/>
  <c r="BZ4" i="10" a="1"/>
  <c r="BZ4" i="10" s="1"/>
  <c r="BY7" i="10" a="1"/>
  <c r="BY7" i="10" s="1"/>
  <c r="BZ2" i="10" a="1"/>
  <c r="BZ2" i="10" s="1"/>
  <c r="AB52" i="9"/>
  <c r="Y133" i="9" a="1"/>
  <c r="Y133" i="9" s="1"/>
  <c r="Y137" i="9" a="1"/>
  <c r="Y137" i="9" s="1"/>
  <c r="W133" i="9" a="1"/>
  <c r="W133" i="9" s="1"/>
  <c r="Z133" i="9"/>
  <c r="U133" i="9" a="1"/>
  <c r="U133" i="9" s="1"/>
  <c r="S133" i="9" a="1"/>
  <c r="S133" i="9" s="1"/>
  <c r="X133" i="9" a="1"/>
  <c r="X133" i="9" s="1"/>
  <c r="V133" i="9" a="1"/>
  <c r="V133" i="9" s="1"/>
  <c r="T133" i="9" a="1"/>
  <c r="T133" i="9" s="1"/>
  <c r="T137" i="9" a="1"/>
  <c r="T137" i="9" s="1"/>
  <c r="Z137" i="9"/>
  <c r="S137" i="9" a="1"/>
  <c r="S137" i="9" s="1"/>
  <c r="U137" i="9" a="1"/>
  <c r="U137" i="9" s="1"/>
  <c r="X137" i="9" a="1"/>
  <c r="X137" i="9" s="1"/>
  <c r="V137" i="9" a="1"/>
  <c r="V137" i="9" s="1"/>
  <c r="W137" i="9" a="1"/>
  <c r="W137" i="9" s="1"/>
  <c r="T52" i="9" a="1"/>
  <c r="Y52" i="9" a="1"/>
  <c r="U52" i="9" a="1"/>
  <c r="X52" i="9" a="1"/>
  <c r="V52" i="9" a="1"/>
  <c r="S52" i="9" a="1"/>
  <c r="W52" i="9" a="1"/>
  <c r="Y52" i="9" l="1"/>
  <c r="T52" i="9"/>
  <c r="AA133" i="9"/>
  <c r="AA137" i="9"/>
  <c r="U52" i="9"/>
  <c r="W52" i="9"/>
  <c r="S52" i="9"/>
  <c r="V52" i="9"/>
  <c r="X52" i="9"/>
  <c r="R30" i="9" a="1"/>
  <c r="R30" i="9" s="1"/>
  <c r="AB30" i="9" a="1"/>
  <c r="AB30" i="9" l="1"/>
  <c r="Z52" i="9"/>
  <c r="AA52" i="9"/>
  <c r="T30" i="9" a="1"/>
  <c r="W30" i="9" a="1"/>
  <c r="S30" i="9" a="1"/>
  <c r="Y30" i="9" a="1"/>
  <c r="V30" i="9" a="1"/>
  <c r="Y30" i="9" l="1"/>
  <c r="T30" i="9"/>
  <c r="V30" i="9"/>
  <c r="S30" i="9"/>
  <c r="W30" i="9"/>
  <c r="R173" i="9" a="1"/>
  <c r="R173" i="9" s="1"/>
  <c r="AB173" i="9" s="1" a="1"/>
  <c r="AB173" i="9" s="1"/>
  <c r="R58" i="9" a="1"/>
  <c r="R58" i="9" s="1"/>
  <c r="AB58" i="9" s="1" a="1"/>
  <c r="U30" i="9" a="1"/>
  <c r="X30" i="9" a="1"/>
  <c r="T58" i="9" l="1" a="1"/>
  <c r="T58" i="9" s="1"/>
  <c r="Y58" i="9" a="1"/>
  <c r="Y58" i="9" s="1"/>
  <c r="AB58" i="9"/>
  <c r="Y173" i="9" a="1"/>
  <c r="Y173" i="9" s="1"/>
  <c r="AA30" i="9"/>
  <c r="X30" i="9"/>
  <c r="U30" i="9"/>
  <c r="U173" i="9" a="1"/>
  <c r="U173" i="9" s="1"/>
  <c r="X173" i="9" a="1"/>
  <c r="X173" i="9" s="1"/>
  <c r="W173" i="9" a="1"/>
  <c r="W173" i="9" s="1"/>
  <c r="V173" i="9" a="1"/>
  <c r="V173" i="9" s="1"/>
  <c r="T173" i="9" a="1"/>
  <c r="T173" i="9" s="1"/>
  <c r="Z173" i="9"/>
  <c r="S173" i="9" a="1"/>
  <c r="S173" i="9" s="1"/>
  <c r="Z30" i="9"/>
  <c r="U58" i="9" a="1"/>
  <c r="S58" i="9" a="1"/>
  <c r="V58" i="9" a="1"/>
  <c r="V58" i="9" l="1"/>
  <c r="S58" i="9"/>
  <c r="U58" i="9"/>
  <c r="AA173" i="9"/>
  <c r="R50" i="9" a="1"/>
  <c r="R50" i="9" s="1"/>
  <c r="W58" i="9" a="1"/>
  <c r="X58" i="9" a="1"/>
  <c r="AB50" i="9" a="1"/>
  <c r="AB50" i="9" l="1"/>
  <c r="X58" i="9"/>
  <c r="W58" i="9"/>
  <c r="U50" i="9" a="1"/>
  <c r="V50" i="9" a="1"/>
  <c r="W50" i="9" a="1"/>
  <c r="S50" i="9" a="1"/>
  <c r="Y50" i="9" a="1"/>
  <c r="Y50" i="9" l="1"/>
  <c r="AA58" i="9"/>
  <c r="Z58" i="9"/>
  <c r="S50" i="9"/>
  <c r="W50" i="9"/>
  <c r="V50" i="9"/>
  <c r="U50" i="9"/>
  <c r="R23" i="9" a="1"/>
  <c r="R23" i="9" s="1"/>
  <c r="BR1" i="10" a="1"/>
  <c r="T50" i="9" a="1"/>
  <c r="X50" i="9" a="1"/>
  <c r="T23" i="9" a="1"/>
  <c r="BR1" i="10" l="1"/>
  <c r="AA50" i="9"/>
  <c r="T23" i="9"/>
  <c r="X50" i="9"/>
  <c r="T50" i="9"/>
  <c r="Z50" i="9"/>
  <c r="Y23" i="9" a="1"/>
  <c r="AB23" i="9" a="1"/>
  <c r="W23" i="9" a="1"/>
  <c r="S23" i="9" a="1"/>
  <c r="BQ7" i="10" l="1" a="1"/>
  <c r="BQ7" i="10" s="1"/>
  <c r="BU6" i="10" a="1"/>
  <c r="BU6" i="10" s="1"/>
  <c r="BU4" i="10" a="1"/>
  <c r="BU4" i="10" s="1"/>
  <c r="BU2" i="10" a="1"/>
  <c r="BU2" i="10" s="1"/>
  <c r="BV1" i="10" a="1"/>
  <c r="BV1" i="10" s="1"/>
  <c r="BQ6" i="10" a="1"/>
  <c r="BQ6" i="10" s="1"/>
  <c r="BS6" i="10" a="1"/>
  <c r="BS6" i="10" s="1"/>
  <c r="BR4" i="10" a="1"/>
  <c r="BR4" i="10" s="1"/>
  <c r="BR2" i="10" a="1"/>
  <c r="BR2" i="10" s="1"/>
  <c r="BQ1" i="10"/>
  <c r="BU7" i="10" a="1"/>
  <c r="BU7" i="10" s="1"/>
  <c r="BR6" i="10" a="1"/>
  <c r="BR6" i="10" s="1"/>
  <c r="BS7" i="10" a="1"/>
  <c r="BS7" i="10" s="1"/>
  <c r="AB23" i="9"/>
  <c r="Y23" i="9"/>
  <c r="W23" i="9"/>
  <c r="S23" i="9"/>
  <c r="R73" i="9" a="1"/>
  <c r="R73" i="9" s="1"/>
  <c r="U23" i="9" a="1"/>
  <c r="X23" i="9" a="1"/>
  <c r="V23" i="9" a="1"/>
  <c r="AB73" i="9" l="1" a="1"/>
  <c r="AB73" i="9" s="1"/>
  <c r="Y73" i="9" a="1"/>
  <c r="Y73" i="9" s="1"/>
  <c r="T73" i="9" a="1"/>
  <c r="T73" i="9" s="1"/>
  <c r="V23" i="9"/>
  <c r="X23" i="9"/>
  <c r="U23" i="9"/>
  <c r="AA23" i="9"/>
  <c r="Z23" i="9"/>
  <c r="U73" i="9" a="1"/>
  <c r="U73" i="9" s="1"/>
  <c r="Z73" i="9"/>
  <c r="V73" i="9" a="1"/>
  <c r="V73" i="9" s="1"/>
  <c r="W73" i="9" a="1"/>
  <c r="W73" i="9" s="1"/>
  <c r="S73" i="9" a="1"/>
  <c r="S73" i="9" s="1"/>
  <c r="CO1" i="10" a="1"/>
  <c r="CO1" i="10" l="1"/>
  <c r="AA73" i="9"/>
  <c r="X73" i="9" a="1"/>
  <c r="X73" i="9" s="1"/>
  <c r="R138" i="9" a="1"/>
  <c r="R138" i="9" s="1"/>
  <c r="AB138" i="9" s="1" a="1"/>
  <c r="AB138" i="9" s="1"/>
  <c r="R28" i="9" a="1"/>
  <c r="R28" i="9" s="1"/>
  <c r="AB28" i="9" a="1"/>
  <c r="CR6" i="10" l="1" a="1"/>
  <c r="CR6" i="10" s="1"/>
  <c r="CO2" i="10" a="1"/>
  <c r="CO2" i="10" s="1"/>
  <c r="CN1" i="10"/>
  <c r="CO3" i="10" a="1"/>
  <c r="CO3" i="10" s="1"/>
  <c r="CR7" i="10" a="1"/>
  <c r="CR7" i="10" s="1"/>
  <c r="CP6" i="10" a="1"/>
  <c r="CP6" i="10" s="1"/>
  <c r="CV3" i="10" a="1"/>
  <c r="CV3" i="10" s="1"/>
  <c r="CS1" i="10" a="1"/>
  <c r="CS1" i="10" s="1"/>
  <c r="CN7" i="10" a="1"/>
  <c r="CN7" i="10" s="1"/>
  <c r="CP7" i="10" a="1"/>
  <c r="CP7" i="10" s="1"/>
  <c r="CO6" i="10" a="1"/>
  <c r="CO6" i="10" s="1"/>
  <c r="CR4" i="10" a="1"/>
  <c r="CR4" i="10" s="1"/>
  <c r="CR3" i="10" a="1"/>
  <c r="CR3" i="10" s="1"/>
  <c r="CR2" i="10" a="1"/>
  <c r="CR2" i="10" s="1"/>
  <c r="CN6" i="10" a="1"/>
  <c r="CN6" i="10" s="1"/>
  <c r="CY3" i="10" a="1"/>
  <c r="CY3" i="10" s="1"/>
  <c r="CO4" i="10" a="1"/>
  <c r="CO4" i="10" s="1"/>
  <c r="AB28" i="9"/>
  <c r="Y138" i="9" a="1"/>
  <c r="Y138" i="9" s="1"/>
  <c r="T138" i="9" a="1"/>
  <c r="T138" i="9" s="1"/>
  <c r="S138" i="9" a="1"/>
  <c r="S138" i="9" s="1"/>
  <c r="U138" i="9" a="1"/>
  <c r="U138" i="9" s="1"/>
  <c r="X138" i="9" a="1"/>
  <c r="X138" i="9" s="1"/>
  <c r="W138" i="9" a="1"/>
  <c r="W138" i="9" s="1"/>
  <c r="Z138" i="9"/>
  <c r="V138" i="9" a="1"/>
  <c r="V138" i="9" s="1"/>
  <c r="T28" i="9" a="1"/>
  <c r="S28" i="9" a="1"/>
  <c r="Y28" i="9" a="1"/>
  <c r="Y28" i="9" l="1"/>
  <c r="T28" i="9"/>
  <c r="S28" i="9"/>
  <c r="AA138" i="9"/>
  <c r="R191" i="9" a="1"/>
  <c r="R191" i="9" s="1"/>
  <c r="AB191" i="9" s="1" a="1"/>
  <c r="AB191" i="9" s="1"/>
  <c r="R223" i="9" a="1"/>
  <c r="R223" i="9" s="1"/>
  <c r="AB223" i="9" s="1" a="1"/>
  <c r="AB223" i="9" s="1"/>
  <c r="R111" i="9" a="1"/>
  <c r="R111" i="9" s="1"/>
  <c r="AB111" i="9" s="1" a="1"/>
  <c r="AB111" i="9" s="1"/>
  <c r="R70" i="9" a="1"/>
  <c r="R70" i="9" s="1"/>
  <c r="AB70" i="9" s="1" a="1"/>
  <c r="AB70" i="9" s="1"/>
  <c r="U28" i="9" a="1"/>
  <c r="V28" i="9" a="1"/>
  <c r="W28" i="9" a="1"/>
  <c r="X28" i="9" a="1"/>
  <c r="Y70" i="9" l="1" a="1"/>
  <c r="Y70" i="9" s="1"/>
  <c r="Y111" i="9" a="1"/>
  <c r="Y111" i="9" s="1"/>
  <c r="Y223" i="9" a="1"/>
  <c r="Y223" i="9" s="1"/>
  <c r="Y191" i="9" a="1"/>
  <c r="Y191" i="9" s="1"/>
  <c r="T70" i="9" a="1"/>
  <c r="T70" i="9" s="1"/>
  <c r="V28" i="9"/>
  <c r="U28" i="9"/>
  <c r="X28" i="9"/>
  <c r="W28" i="9"/>
  <c r="Z111" i="9"/>
  <c r="S111" i="9" a="1"/>
  <c r="S111" i="9" s="1"/>
  <c r="V111" i="9" a="1"/>
  <c r="V111" i="9" s="1"/>
  <c r="U111" i="9" a="1"/>
  <c r="U111" i="9" s="1"/>
  <c r="T111" i="9" a="1"/>
  <c r="T111" i="9" s="1"/>
  <c r="W111" i="9" a="1"/>
  <c r="W111" i="9" s="1"/>
  <c r="X111" i="9" a="1"/>
  <c r="X111" i="9" s="1"/>
  <c r="V223" i="9" a="1"/>
  <c r="V223" i="9" s="1"/>
  <c r="X223" i="9" a="1"/>
  <c r="X223" i="9" s="1"/>
  <c r="W223" i="9" a="1"/>
  <c r="W223" i="9" s="1"/>
  <c r="U223" i="9" a="1"/>
  <c r="U223" i="9" s="1"/>
  <c r="T223" i="9" a="1"/>
  <c r="T223" i="9" s="1"/>
  <c r="Z223" i="9"/>
  <c r="S223" i="9" a="1"/>
  <c r="S223" i="9" s="1"/>
  <c r="V191" i="9" a="1"/>
  <c r="V191" i="9" s="1"/>
  <c r="W191" i="9" a="1"/>
  <c r="W191" i="9" s="1"/>
  <c r="S191" i="9" a="1"/>
  <c r="S191" i="9" s="1"/>
  <c r="T191" i="9" a="1"/>
  <c r="T191" i="9" s="1"/>
  <c r="X191" i="9" a="1"/>
  <c r="X191" i="9" s="1"/>
  <c r="Z191" i="9"/>
  <c r="U191" i="9" a="1"/>
  <c r="U191" i="9" s="1"/>
  <c r="S70" i="9" a="1"/>
  <c r="S70" i="9" s="1"/>
  <c r="AA111" i="9" l="1"/>
  <c r="Z28" i="9"/>
  <c r="AA28" i="9"/>
  <c r="AA191" i="9"/>
  <c r="AA223" i="9"/>
  <c r="W70" i="9" a="1"/>
  <c r="W70" i="9" s="1"/>
  <c r="X70" i="9" a="1"/>
  <c r="X70" i="9" s="1"/>
  <c r="U70" i="9" a="1"/>
  <c r="U70" i="9" s="1"/>
  <c r="Z70" i="9"/>
  <c r="V70" i="9" a="1"/>
  <c r="V70" i="9" s="1"/>
  <c r="R95" i="9" a="1"/>
  <c r="R95" i="9" s="1"/>
  <c r="AB95" i="9" s="1" a="1"/>
  <c r="AB95" i="9" s="1"/>
  <c r="R118" i="9" a="1"/>
  <c r="R118" i="9" s="1"/>
  <c r="AB118" i="9" s="1" a="1"/>
  <c r="AB118" i="9" s="1"/>
  <c r="R57" i="9" a="1"/>
  <c r="R57" i="9" s="1"/>
  <c r="AB57" i="9" s="1" a="1"/>
  <c r="T57" i="9" l="1" a="1"/>
  <c r="T57" i="9" s="1"/>
  <c r="Y57" i="9" a="1"/>
  <c r="Y57" i="9" s="1"/>
  <c r="AB57" i="9"/>
  <c r="Y95" i="9" a="1"/>
  <c r="Y95" i="9" s="1"/>
  <c r="Y118" i="9" a="1"/>
  <c r="Y118" i="9" s="1"/>
  <c r="AA70" i="9"/>
  <c r="X118" i="9" a="1"/>
  <c r="X118" i="9" s="1"/>
  <c r="Z118" i="9"/>
  <c r="S118" i="9" a="1"/>
  <c r="S118" i="9" s="1"/>
  <c r="V118" i="9" a="1"/>
  <c r="V118" i="9" s="1"/>
  <c r="T118" i="9" a="1"/>
  <c r="T118" i="9" s="1"/>
  <c r="W118" i="9" a="1"/>
  <c r="W118" i="9" s="1"/>
  <c r="U118" i="9" a="1"/>
  <c r="U118" i="9" s="1"/>
  <c r="T95" i="9" a="1"/>
  <c r="T95" i="9" s="1"/>
  <c r="S95" i="9" a="1"/>
  <c r="S95" i="9" s="1"/>
  <c r="U95" i="9" a="1"/>
  <c r="U95" i="9" s="1"/>
  <c r="W95" i="9" a="1"/>
  <c r="W95" i="9" s="1"/>
  <c r="Z95" i="9"/>
  <c r="V95" i="9" a="1"/>
  <c r="V95" i="9" s="1"/>
  <c r="X95" i="9" a="1"/>
  <c r="X95" i="9" s="1"/>
  <c r="S57" i="9" a="1"/>
  <c r="V57" i="9" a="1"/>
  <c r="V57" i="9" l="1"/>
  <c r="S57" i="9"/>
  <c r="AA118" i="9"/>
  <c r="AA95" i="9"/>
  <c r="R248" i="9" a="1"/>
  <c r="R248" i="9" s="1"/>
  <c r="AB248" i="9" s="1" a="1"/>
  <c r="AB248" i="9" s="1"/>
  <c r="R241" i="9" a="1"/>
  <c r="R241" i="9" s="1"/>
  <c r="AB241" i="9" s="1" a="1"/>
  <c r="AB241" i="9" s="1"/>
  <c r="R141" i="9" a="1"/>
  <c r="R141" i="9" s="1"/>
  <c r="AB141" i="9" s="1" a="1"/>
  <c r="AB141" i="9" s="1"/>
  <c r="R228" i="9" a="1"/>
  <c r="R228" i="9" s="1"/>
  <c r="AB228" i="9" s="1" a="1"/>
  <c r="AB228" i="9" s="1"/>
  <c r="R212" i="9" a="1"/>
  <c r="R212" i="9" s="1"/>
  <c r="AB212" i="9" s="1" a="1"/>
  <c r="AB212" i="9" s="1"/>
  <c r="R12" i="9" a="1"/>
  <c r="R12" i="9" s="1"/>
  <c r="X57" i="9" a="1"/>
  <c r="U57" i="9" a="1"/>
  <c r="W57" i="9" a="1"/>
  <c r="AB12" i="9" a="1"/>
  <c r="AB12" i="9" l="1"/>
  <c r="Y241" i="9" a="1"/>
  <c r="Y241" i="9" s="1"/>
  <c r="Y248" i="9" a="1"/>
  <c r="Y248" i="9" s="1"/>
  <c r="Y212" i="9" a="1"/>
  <c r="Y212" i="9" s="1"/>
  <c r="Y228" i="9" a="1"/>
  <c r="Y228" i="9" s="1"/>
  <c r="Y141" i="9" a="1"/>
  <c r="Y141" i="9" s="1"/>
  <c r="W57" i="9"/>
  <c r="U57" i="9"/>
  <c r="X57" i="9"/>
  <c r="T212" i="9" a="1"/>
  <c r="T212" i="9" s="1"/>
  <c r="W212" i="9" a="1"/>
  <c r="W212" i="9" s="1"/>
  <c r="Z212" i="9"/>
  <c r="U212" i="9" a="1"/>
  <c r="U212" i="9" s="1"/>
  <c r="V212" i="9" a="1"/>
  <c r="V212" i="9" s="1"/>
  <c r="S212" i="9" a="1"/>
  <c r="S212" i="9" s="1"/>
  <c r="X212" i="9" a="1"/>
  <c r="X212" i="9" s="1"/>
  <c r="X141" i="9" a="1"/>
  <c r="X141" i="9" s="1"/>
  <c r="Z141" i="9"/>
  <c r="S141" i="9" a="1"/>
  <c r="S141" i="9" s="1"/>
  <c r="V141" i="9" a="1"/>
  <c r="V141" i="9" s="1"/>
  <c r="T141" i="9" a="1"/>
  <c r="T141" i="9" s="1"/>
  <c r="U141" i="9" a="1"/>
  <c r="U141" i="9" s="1"/>
  <c r="W141" i="9" a="1"/>
  <c r="W141" i="9" s="1"/>
  <c r="W248" i="9" a="1"/>
  <c r="W248" i="9" s="1"/>
  <c r="U248" i="9" a="1"/>
  <c r="U248" i="9" s="1"/>
  <c r="X248" i="9" a="1"/>
  <c r="X248" i="9" s="1"/>
  <c r="V248" i="9" a="1"/>
  <c r="V248" i="9" s="1"/>
  <c r="T248" i="9" a="1"/>
  <c r="T248" i="9" s="1"/>
  <c r="Z248" i="9"/>
  <c r="S248" i="9" a="1"/>
  <c r="S248" i="9" s="1"/>
  <c r="T228" i="9" a="1"/>
  <c r="T228" i="9" s="1"/>
  <c r="V228" i="9" a="1"/>
  <c r="V228" i="9" s="1"/>
  <c r="X228" i="9" a="1"/>
  <c r="X228" i="9" s="1"/>
  <c r="S228" i="9" a="1"/>
  <c r="S228" i="9" s="1"/>
  <c r="U228" i="9" a="1"/>
  <c r="U228" i="9" s="1"/>
  <c r="W228" i="9" a="1"/>
  <c r="W228" i="9" s="1"/>
  <c r="Z228" i="9"/>
  <c r="S241" i="9" a="1"/>
  <c r="S241" i="9" s="1"/>
  <c r="V241" i="9" a="1"/>
  <c r="V241" i="9" s="1"/>
  <c r="T241" i="9" a="1"/>
  <c r="T241" i="9" s="1"/>
  <c r="W241" i="9" a="1"/>
  <c r="W241" i="9" s="1"/>
  <c r="X241" i="9" a="1"/>
  <c r="X241" i="9" s="1"/>
  <c r="U241" i="9" a="1"/>
  <c r="U241" i="9" s="1"/>
  <c r="Z241" i="9"/>
  <c r="T12" i="9" a="1"/>
  <c r="W12" i="9" a="1"/>
  <c r="V12" i="9" a="1"/>
  <c r="S12" i="9" a="1"/>
  <c r="Y12" i="9" a="1"/>
  <c r="Y12" i="9" l="1"/>
  <c r="T12" i="9"/>
  <c r="AA57" i="9"/>
  <c r="Z57" i="9"/>
  <c r="AA248" i="9"/>
  <c r="AA212" i="9"/>
  <c r="S12" i="9"/>
  <c r="V12" i="9"/>
  <c r="W12" i="9"/>
  <c r="AA228" i="9"/>
  <c r="AA141" i="9"/>
  <c r="AA241" i="9"/>
  <c r="R85" i="9" a="1"/>
  <c r="R85" i="9" s="1"/>
  <c r="R254" i="9" a="1"/>
  <c r="R254" i="9" s="1"/>
  <c r="AB254" i="9" s="1" a="1"/>
  <c r="AB254" i="9" s="1"/>
  <c r="R210" i="9" a="1"/>
  <c r="R210" i="9" s="1"/>
  <c r="AB210" i="9" s="1" a="1"/>
  <c r="AB210" i="9" s="1"/>
  <c r="R31" i="9" a="1"/>
  <c r="R31" i="9" s="1"/>
  <c r="J41" i="10" a="1"/>
  <c r="X12" i="9" a="1"/>
  <c r="U12" i="9" a="1"/>
  <c r="Y31" i="9" a="1"/>
  <c r="J41" i="10" l="1"/>
  <c r="AB85" i="9" a="1"/>
  <c r="AB85" i="9" s="1"/>
  <c r="Y254" i="9" a="1"/>
  <c r="Y254" i="9" s="1"/>
  <c r="Y210" i="9" a="1"/>
  <c r="Y210" i="9" s="1"/>
  <c r="Y85" i="9" a="1"/>
  <c r="Y85" i="9" s="1"/>
  <c r="Y31" i="9"/>
  <c r="X254" i="9" a="1"/>
  <c r="X254" i="9" s="1"/>
  <c r="Z254" i="9"/>
  <c r="Z12" i="9"/>
  <c r="AA12" i="9"/>
  <c r="U12" i="9"/>
  <c r="X12" i="9"/>
  <c r="Z210" i="9"/>
  <c r="V210" i="9" a="1"/>
  <c r="V210" i="9" s="1"/>
  <c r="T210" i="9" a="1"/>
  <c r="T210" i="9" s="1"/>
  <c r="S210" i="9" a="1"/>
  <c r="S210" i="9" s="1"/>
  <c r="U210" i="9" a="1"/>
  <c r="U210" i="9" s="1"/>
  <c r="X210" i="9" a="1"/>
  <c r="X210" i="9" s="1"/>
  <c r="W210" i="9" a="1"/>
  <c r="W210" i="9" s="1"/>
  <c r="U254" i="9" a="1"/>
  <c r="U254" i="9" s="1"/>
  <c r="S254" i="9" a="1"/>
  <c r="S254" i="9" s="1"/>
  <c r="W254" i="9" a="1"/>
  <c r="W254" i="9" s="1"/>
  <c r="V254" i="9" a="1"/>
  <c r="V254" i="9" s="1"/>
  <c r="T254" i="9" a="1"/>
  <c r="T254" i="9" s="1"/>
  <c r="Z85" i="9"/>
  <c r="V85" i="9" a="1"/>
  <c r="V85" i="9" s="1"/>
  <c r="T85" i="9" a="1"/>
  <c r="T85" i="9" s="1"/>
  <c r="S85" i="9" a="1"/>
  <c r="S85" i="9" s="1"/>
  <c r="X85" i="9" a="1"/>
  <c r="X85" i="9" s="1"/>
  <c r="W85" i="9" a="1"/>
  <c r="W85" i="9" s="1"/>
  <c r="U85" i="9" a="1"/>
  <c r="U85" i="9" s="1"/>
  <c r="DD1" i="10" a="1"/>
  <c r="AB31" i="9" a="1"/>
  <c r="T31" i="9" a="1"/>
  <c r="S31" i="9" a="1"/>
  <c r="DD1" i="10" l="1"/>
  <c r="I41" i="10"/>
  <c r="T31" i="9"/>
  <c r="AB31" i="9"/>
  <c r="AA254" i="9"/>
  <c r="AA210" i="9"/>
  <c r="AA85" i="9"/>
  <c r="S31" i="9"/>
  <c r="R106" i="9" a="1"/>
  <c r="R106" i="9" s="1"/>
  <c r="AB106" i="9" s="1" a="1"/>
  <c r="AB106" i="9" s="1"/>
  <c r="R139" i="9" a="1"/>
  <c r="R139" i="9" s="1"/>
  <c r="AB139" i="9" s="1" a="1"/>
  <c r="AB139" i="9" s="1"/>
  <c r="R187" i="9" a="1"/>
  <c r="R187" i="9" s="1"/>
  <c r="AB187" i="9" s="1" a="1"/>
  <c r="AB187" i="9" s="1"/>
  <c r="R121" i="9" a="1"/>
  <c r="R121" i="9" s="1"/>
  <c r="AB121" i="9" s="1" a="1"/>
  <c r="AB121" i="9" s="1"/>
  <c r="R41" i="9" a="1"/>
  <c r="R41" i="9" s="1"/>
  <c r="M42" i="10" a="1"/>
  <c r="M47" i="10" a="1"/>
  <c r="N41" i="10" a="1"/>
  <c r="J46" i="10" a="1"/>
  <c r="K46" i="10" a="1"/>
  <c r="K47" i="10" a="1"/>
  <c r="J44" i="10" a="1"/>
  <c r="I46" i="10" a="1"/>
  <c r="J42" i="10" a="1"/>
  <c r="I47" i="10" a="1"/>
  <c r="M46" i="10" a="1"/>
  <c r="M44" i="10" a="1"/>
  <c r="X31" i="9" a="1"/>
  <c r="V31" i="9" a="1"/>
  <c r="U31" i="9" a="1"/>
  <c r="W31" i="9" a="1"/>
  <c r="AB41" i="9" a="1"/>
  <c r="DG6" i="10" l="1" a="1"/>
  <c r="DG6" i="10" s="1"/>
  <c r="DN3" i="10" a="1"/>
  <c r="DN3" i="10" s="1"/>
  <c r="DG7" i="10" a="1"/>
  <c r="DG7" i="10" s="1"/>
  <c r="DE6" i="10" a="1"/>
  <c r="DE6" i="10" s="1"/>
  <c r="DK3" i="10" a="1"/>
  <c r="DK3" i="10" s="1"/>
  <c r="DE7" i="10" a="1"/>
  <c r="DE7" i="10" s="1"/>
  <c r="DD6" i="10" a="1"/>
  <c r="DD6" i="10" s="1"/>
  <c r="DG4" i="10" a="1"/>
  <c r="DG4" i="10" s="1"/>
  <c r="DG3" i="10" a="1"/>
  <c r="DG3" i="10" s="1"/>
  <c r="DG2" i="10" a="1"/>
  <c r="DG2" i="10" s="1"/>
  <c r="DC7" i="10" a="1"/>
  <c r="DC7" i="10" s="1"/>
  <c r="DD3" i="10" a="1"/>
  <c r="DD3" i="10" s="1"/>
  <c r="DC6" i="10" a="1"/>
  <c r="DC6" i="10" s="1"/>
  <c r="DC1" i="10"/>
  <c r="DD2" i="10" a="1"/>
  <c r="DD2" i="10" s="1"/>
  <c r="DD4" i="10" a="1"/>
  <c r="DD4" i="10" s="1"/>
  <c r="DH1" i="10" a="1"/>
  <c r="DH1" i="10" s="1"/>
  <c r="M44" i="10"/>
  <c r="M46" i="10"/>
  <c r="I47" i="10"/>
  <c r="J42" i="10"/>
  <c r="I46" i="10"/>
  <c r="J44" i="10"/>
  <c r="K47" i="10"/>
  <c r="K46" i="10"/>
  <c r="J46" i="10"/>
  <c r="N41" i="10"/>
  <c r="M47" i="10"/>
  <c r="M42" i="10"/>
  <c r="AB41" i="9"/>
  <c r="Y106" i="9" a="1"/>
  <c r="Y106" i="9" s="1"/>
  <c r="Y121" i="9" a="1"/>
  <c r="Y121" i="9" s="1"/>
  <c r="Y187" i="9" a="1"/>
  <c r="Y187" i="9" s="1"/>
  <c r="Y139" i="9" a="1"/>
  <c r="Y139" i="9" s="1"/>
  <c r="U31" i="9"/>
  <c r="V31" i="9"/>
  <c r="W31" i="9"/>
  <c r="X31" i="9"/>
  <c r="U121" i="9" a="1"/>
  <c r="U121" i="9" s="1"/>
  <c r="W121" i="9" a="1"/>
  <c r="W121" i="9" s="1"/>
  <c r="V121" i="9" a="1"/>
  <c r="V121" i="9" s="1"/>
  <c r="T121" i="9" a="1"/>
  <c r="T121" i="9" s="1"/>
  <c r="Z121" i="9"/>
  <c r="S121" i="9" a="1"/>
  <c r="S121" i="9" s="1"/>
  <c r="X121" i="9" a="1"/>
  <c r="X121" i="9" s="1"/>
  <c r="W187" i="9" a="1"/>
  <c r="W187" i="9" s="1"/>
  <c r="V187" i="9" a="1"/>
  <c r="V187" i="9" s="1"/>
  <c r="T187" i="9" a="1"/>
  <c r="T187" i="9" s="1"/>
  <c r="Z187" i="9"/>
  <c r="S187" i="9" a="1"/>
  <c r="S187" i="9" s="1"/>
  <c r="U187" i="9" a="1"/>
  <c r="U187" i="9" s="1"/>
  <c r="X187" i="9" a="1"/>
  <c r="X187" i="9" s="1"/>
  <c r="Z139" i="9"/>
  <c r="S139" i="9" a="1"/>
  <c r="S139" i="9" s="1"/>
  <c r="T139" i="9" a="1"/>
  <c r="T139" i="9" s="1"/>
  <c r="X139" i="9" a="1"/>
  <c r="X139" i="9" s="1"/>
  <c r="W139" i="9" a="1"/>
  <c r="W139" i="9" s="1"/>
  <c r="U139" i="9" a="1"/>
  <c r="U139" i="9" s="1"/>
  <c r="V139" i="9" a="1"/>
  <c r="V139" i="9" s="1"/>
  <c r="Z106" i="9"/>
  <c r="T106" i="9" a="1"/>
  <c r="T106" i="9" s="1"/>
  <c r="S106" i="9" a="1"/>
  <c r="S106" i="9" s="1"/>
  <c r="U106" i="9" a="1"/>
  <c r="U106" i="9" s="1"/>
  <c r="X106" i="9" a="1"/>
  <c r="X106" i="9" s="1"/>
  <c r="W106" i="9" a="1"/>
  <c r="W106" i="9" s="1"/>
  <c r="V106" i="9" a="1"/>
  <c r="V106" i="9" s="1"/>
  <c r="V41" i="9" a="1"/>
  <c r="X41" i="9" a="1"/>
  <c r="T41" i="9" a="1"/>
  <c r="S41" i="9" a="1"/>
  <c r="Y41" i="9" a="1"/>
  <c r="W41" i="9" a="1"/>
  <c r="Y41" i="9" l="1"/>
  <c r="T41" i="9"/>
  <c r="AA139" i="9"/>
  <c r="W41" i="9"/>
  <c r="X41" i="9"/>
  <c r="S41" i="9"/>
  <c r="V41" i="9"/>
  <c r="AA31" i="9"/>
  <c r="Z31" i="9"/>
  <c r="AA187" i="9"/>
  <c r="AA121" i="9"/>
  <c r="AA106" i="9"/>
  <c r="R87" i="9" a="1"/>
  <c r="R87" i="9" s="1"/>
  <c r="AB87" i="9" s="1" a="1"/>
  <c r="AB87" i="9" s="1"/>
  <c r="R90" i="9" a="1"/>
  <c r="R90" i="9" s="1"/>
  <c r="AB90" i="9" s="1" a="1"/>
  <c r="AB90" i="9" s="1"/>
  <c r="R220" i="9" a="1"/>
  <c r="R220" i="9" s="1"/>
  <c r="AB220" i="9" s="1" a="1"/>
  <c r="AB220" i="9" s="1"/>
  <c r="R201" i="9" a="1"/>
  <c r="R201" i="9" s="1"/>
  <c r="AB201" i="9" s="1" a="1"/>
  <c r="AB201" i="9" s="1"/>
  <c r="R170" i="9" a="1"/>
  <c r="R170" i="9" s="1"/>
  <c r="AB170" i="9" s="1" a="1"/>
  <c r="AB170" i="9" s="1"/>
  <c r="R64" i="9" a="1"/>
  <c r="R64" i="9" s="1"/>
  <c r="AB64" i="9" s="1" a="1"/>
  <c r="AB64" i="9" s="1"/>
  <c r="U41" i="9" a="1"/>
  <c r="Y220" i="9" l="1" a="1"/>
  <c r="Y220" i="9" s="1"/>
  <c r="Y90" i="9" a="1"/>
  <c r="Y90" i="9" s="1"/>
  <c r="Y87" i="9" a="1"/>
  <c r="Y87" i="9" s="1"/>
  <c r="Y170" i="9" a="1"/>
  <c r="Y170" i="9" s="1"/>
  <c r="Y201" i="9" a="1"/>
  <c r="Y201" i="9" s="1"/>
  <c r="Y64" i="9" a="1"/>
  <c r="Y64" i="9" s="1"/>
  <c r="T64" i="9" a="1"/>
  <c r="T64" i="9" s="1"/>
  <c r="AA41" i="9"/>
  <c r="Z41" i="9"/>
  <c r="U41" i="9"/>
  <c r="Z90" i="9"/>
  <c r="X90" i="9" a="1"/>
  <c r="X90" i="9" s="1"/>
  <c r="S90" i="9" a="1"/>
  <c r="S90" i="9" s="1"/>
  <c r="V90" i="9" a="1"/>
  <c r="V90" i="9" s="1"/>
  <c r="T90" i="9" a="1"/>
  <c r="T90" i="9" s="1"/>
  <c r="W90" i="9" a="1"/>
  <c r="W90" i="9" s="1"/>
  <c r="U90" i="9" a="1"/>
  <c r="U90" i="9" s="1"/>
  <c r="S87" i="9" a="1"/>
  <c r="S87" i="9" s="1"/>
  <c r="U87" i="9" a="1"/>
  <c r="U87" i="9" s="1"/>
  <c r="W87" i="9" a="1"/>
  <c r="W87" i="9" s="1"/>
  <c r="T87" i="9" a="1"/>
  <c r="T87" i="9" s="1"/>
  <c r="Z87" i="9"/>
  <c r="X87" i="9" a="1"/>
  <c r="X87" i="9" s="1"/>
  <c r="V87" i="9" a="1"/>
  <c r="V87" i="9" s="1"/>
  <c r="T170" i="9" a="1"/>
  <c r="T170" i="9" s="1"/>
  <c r="V170" i="9" a="1"/>
  <c r="V170" i="9" s="1"/>
  <c r="W170" i="9" a="1"/>
  <c r="W170" i="9" s="1"/>
  <c r="U170" i="9" a="1"/>
  <c r="U170" i="9" s="1"/>
  <c r="S170" i="9" a="1"/>
  <c r="S170" i="9" s="1"/>
  <c r="X170" i="9" a="1"/>
  <c r="X170" i="9" s="1"/>
  <c r="Z170" i="9"/>
  <c r="S201" i="9" a="1"/>
  <c r="S201" i="9" s="1"/>
  <c r="U201" i="9" a="1"/>
  <c r="U201" i="9" s="1"/>
  <c r="X201" i="9" a="1"/>
  <c r="X201" i="9" s="1"/>
  <c r="W201" i="9" a="1"/>
  <c r="W201" i="9" s="1"/>
  <c r="Z201" i="9"/>
  <c r="T201" i="9" a="1"/>
  <c r="T201" i="9" s="1"/>
  <c r="V201" i="9" a="1"/>
  <c r="V201" i="9" s="1"/>
  <c r="U220" i="9" a="1"/>
  <c r="U220" i="9" s="1"/>
  <c r="X220" i="9" a="1"/>
  <c r="X220" i="9" s="1"/>
  <c r="S220" i="9" a="1"/>
  <c r="S220" i="9" s="1"/>
  <c r="Z220" i="9"/>
  <c r="W220" i="9" a="1"/>
  <c r="W220" i="9" s="1"/>
  <c r="V220" i="9" a="1"/>
  <c r="V220" i="9" s="1"/>
  <c r="T220" i="9" a="1"/>
  <c r="T220" i="9" s="1"/>
  <c r="V64" i="9" a="1"/>
  <c r="V64" i="9" s="1"/>
  <c r="S64" i="9" a="1"/>
  <c r="S64" i="9" s="1"/>
  <c r="AA201" i="9" l="1"/>
  <c r="AA87" i="9"/>
  <c r="AA90" i="9"/>
  <c r="AA170" i="9"/>
  <c r="AA220" i="9"/>
  <c r="W64" i="9" a="1"/>
  <c r="W64" i="9" s="1"/>
  <c r="X64" i="9" a="1"/>
  <c r="X64" i="9" s="1"/>
  <c r="U64" i="9" a="1"/>
  <c r="U64" i="9" s="1"/>
  <c r="Z64" i="9"/>
  <c r="R40" i="9" a="1"/>
  <c r="R40" i="9" s="1"/>
  <c r="T40" i="9" a="1"/>
  <c r="T40" i="9" l="1"/>
  <c r="AA64" i="9"/>
  <c r="Y40" i="9" a="1"/>
  <c r="AB40" i="9" a="1"/>
  <c r="V40" i="9" a="1"/>
  <c r="S40" i="9" a="1"/>
  <c r="AB40" i="9" l="1"/>
  <c r="Y40" i="9"/>
  <c r="S40" i="9"/>
  <c r="V40" i="9"/>
  <c r="R105" i="9" a="1"/>
  <c r="R105" i="9" s="1"/>
  <c r="AB105" i="9" s="1" a="1"/>
  <c r="AB105" i="9" s="1"/>
  <c r="R143" i="9" a="1"/>
  <c r="R143" i="9" s="1"/>
  <c r="AB143" i="9" s="1" a="1"/>
  <c r="AB143" i="9" s="1"/>
  <c r="R169" i="9" a="1"/>
  <c r="R169" i="9" s="1"/>
  <c r="AB169" i="9" s="1" a="1"/>
  <c r="AB169" i="9" s="1"/>
  <c r="R93" i="9" a="1"/>
  <c r="R93" i="9" s="1"/>
  <c r="AB93" i="9" s="1" a="1"/>
  <c r="AB93" i="9" s="1"/>
  <c r="W40" i="9" a="1"/>
  <c r="X40" i="9" a="1"/>
  <c r="U40" i="9" a="1"/>
  <c r="AB1" i="9" a="1"/>
  <c r="AB1" i="9" l="1"/>
  <c r="Y93" i="9" a="1"/>
  <c r="Y93" i="9" s="1"/>
  <c r="Y143" i="9" a="1"/>
  <c r="Y143" i="9" s="1"/>
  <c r="Y169" i="9" a="1"/>
  <c r="Y169" i="9" s="1"/>
  <c r="Y105" i="9" a="1"/>
  <c r="Y105" i="9" s="1"/>
  <c r="W40" i="9"/>
  <c r="U40" i="9"/>
  <c r="X40" i="9"/>
  <c r="S93" i="9" a="1"/>
  <c r="S93" i="9" s="1"/>
  <c r="T93" i="9" a="1"/>
  <c r="T93" i="9" s="1"/>
  <c r="X93" i="9" a="1"/>
  <c r="X93" i="9" s="1"/>
  <c r="W93" i="9" a="1"/>
  <c r="W93" i="9" s="1"/>
  <c r="U93" i="9" a="1"/>
  <c r="U93" i="9" s="1"/>
  <c r="Z93" i="9"/>
  <c r="V93" i="9" a="1"/>
  <c r="V93" i="9" s="1"/>
  <c r="U169" i="9" a="1"/>
  <c r="U169" i="9" s="1"/>
  <c r="X169" i="9" a="1"/>
  <c r="X169" i="9" s="1"/>
  <c r="Z169" i="9"/>
  <c r="T169" i="9" a="1"/>
  <c r="T169" i="9" s="1"/>
  <c r="V169" i="9" a="1"/>
  <c r="V169" i="9" s="1"/>
  <c r="S169" i="9" a="1"/>
  <c r="S169" i="9" s="1"/>
  <c r="W169" i="9" a="1"/>
  <c r="W169" i="9" s="1"/>
  <c r="Z143" i="9"/>
  <c r="U143" i="9" a="1"/>
  <c r="U143" i="9" s="1"/>
  <c r="V143" i="9" a="1"/>
  <c r="V143" i="9" s="1"/>
  <c r="S143" i="9" a="1"/>
  <c r="S143" i="9" s="1"/>
  <c r="T143" i="9" a="1"/>
  <c r="T143" i="9" s="1"/>
  <c r="W143" i="9" a="1"/>
  <c r="W143" i="9" s="1"/>
  <c r="X143" i="9" a="1"/>
  <c r="X143" i="9" s="1"/>
  <c r="V105" i="9" a="1"/>
  <c r="V105" i="9" s="1"/>
  <c r="U105" i="9" a="1"/>
  <c r="U105" i="9" s="1"/>
  <c r="Z105" i="9"/>
  <c r="S105" i="9" a="1"/>
  <c r="S105" i="9" s="1"/>
  <c r="T105" i="9" a="1"/>
  <c r="T105" i="9" s="1"/>
  <c r="W105" i="9" a="1"/>
  <c r="W105" i="9" s="1"/>
  <c r="X105" i="9" a="1"/>
  <c r="X105" i="9" s="1"/>
  <c r="F7" i="10" a="1"/>
  <c r="Y1" i="9" a="1"/>
  <c r="T1" i="9" a="1"/>
  <c r="F7" i="10" l="1"/>
  <c r="T1" i="9"/>
  <c r="Y1" i="9"/>
  <c r="AA93" i="9"/>
  <c r="Z40" i="9"/>
  <c r="AA40" i="9"/>
  <c r="AA105" i="9"/>
  <c r="AA143" i="9"/>
  <c r="AA169" i="9"/>
  <c r="R219" i="9" a="1"/>
  <c r="R219" i="9" s="1"/>
  <c r="AB219" i="9" s="1" a="1"/>
  <c r="AB219" i="9" s="1"/>
  <c r="R53" i="9" a="1"/>
  <c r="R53" i="9" s="1"/>
  <c r="AB53" i="9" s="1" a="1"/>
  <c r="C2" i="10" a="1"/>
  <c r="C6" i="10" a="1"/>
  <c r="W1" i="9" a="1"/>
  <c r="X1" i="9" a="1"/>
  <c r="U1" i="9" a="1"/>
  <c r="V1" i="9" a="1"/>
  <c r="C6" i="10" l="1"/>
  <c r="C2" i="10"/>
  <c r="Y53" i="9" a="1"/>
  <c r="Y53" i="9" s="1"/>
  <c r="T53" i="9" a="1"/>
  <c r="T53" i="9" s="1"/>
  <c r="AB53" i="9"/>
  <c r="Y219" i="9" a="1"/>
  <c r="Y219" i="9" s="1"/>
  <c r="U1" i="9"/>
  <c r="X1" i="9"/>
  <c r="V1" i="9"/>
  <c r="W1" i="9"/>
  <c r="S219" i="9" a="1"/>
  <c r="S219" i="9" s="1"/>
  <c r="W219" i="9" a="1"/>
  <c r="W219" i="9" s="1"/>
  <c r="U219" i="9" a="1"/>
  <c r="U219" i="9" s="1"/>
  <c r="X219" i="9" a="1"/>
  <c r="X219" i="9" s="1"/>
  <c r="T219" i="9" a="1"/>
  <c r="T219" i="9" s="1"/>
  <c r="Z219" i="9"/>
  <c r="V219" i="9" a="1"/>
  <c r="V219" i="9" s="1"/>
  <c r="U53" i="9" a="1"/>
  <c r="W53" i="9" a="1"/>
  <c r="S53" i="9" a="1"/>
  <c r="V53" i="9" a="1"/>
  <c r="X53" i="9" a="1"/>
  <c r="F4" i="10" a="1"/>
  <c r="C4" i="10" a="1"/>
  <c r="F2" i="10" a="1"/>
  <c r="F2" i="10" l="1"/>
  <c r="C4" i="10"/>
  <c r="F4" i="10"/>
  <c r="Z1" i="9"/>
  <c r="AA219" i="9"/>
  <c r="X53" i="9"/>
  <c r="V53" i="9"/>
  <c r="S53" i="9"/>
  <c r="W53" i="9"/>
  <c r="U53" i="9"/>
  <c r="AA1" i="9"/>
  <c r="R214" i="9" a="1"/>
  <c r="R214" i="9" s="1"/>
  <c r="AB214" i="9" s="1" a="1"/>
  <c r="AB214" i="9" s="1"/>
  <c r="R16" i="9" a="1"/>
  <c r="R16" i="9" s="1"/>
  <c r="D7" i="10" a="1"/>
  <c r="C3" i="10" a="1"/>
  <c r="B7" i="10" a="1"/>
  <c r="AB16" i="9" a="1"/>
  <c r="B7" i="10" l="1"/>
  <c r="C3" i="10"/>
  <c r="D7" i="10"/>
  <c r="AB16" i="9"/>
  <c r="Y214" i="9" a="1"/>
  <c r="Y214" i="9" s="1"/>
  <c r="AA53" i="9"/>
  <c r="S214" i="9" a="1"/>
  <c r="S214" i="9" s="1"/>
  <c r="U214" i="9" a="1"/>
  <c r="U214" i="9" s="1"/>
  <c r="X214" i="9" a="1"/>
  <c r="X214" i="9" s="1"/>
  <c r="W214" i="9" a="1"/>
  <c r="W214" i="9" s="1"/>
  <c r="Z214" i="9"/>
  <c r="T214" i="9" a="1"/>
  <c r="T214" i="9" s="1"/>
  <c r="V214" i="9" a="1"/>
  <c r="V214" i="9" s="1"/>
  <c r="Z53" i="9"/>
  <c r="T16" i="9" a="1"/>
  <c r="W16" i="9" a="1"/>
  <c r="Y16" i="9" a="1"/>
  <c r="S16" i="9" a="1"/>
  <c r="Y16" i="9" l="1"/>
  <c r="T16" i="9"/>
  <c r="W16" i="9"/>
  <c r="S16" i="9"/>
  <c r="AA214" i="9"/>
  <c r="R224" i="9" a="1"/>
  <c r="R224" i="9" s="1"/>
  <c r="AB224" i="9" s="1" a="1"/>
  <c r="AB224" i="9" s="1"/>
  <c r="R200" i="9" a="1"/>
  <c r="R200" i="9" s="1"/>
  <c r="AB200" i="9" s="1" a="1"/>
  <c r="AB200" i="9" s="1"/>
  <c r="R180" i="9" a="1"/>
  <c r="R180" i="9" s="1"/>
  <c r="AB180" i="9" s="1" a="1"/>
  <c r="AB180" i="9" s="1"/>
  <c r="R8" i="9" a="1"/>
  <c r="R8" i="9" s="1"/>
  <c r="U16" i="9" a="1"/>
  <c r="V16" i="9" a="1"/>
  <c r="X16" i="9" a="1"/>
  <c r="AB8" i="9" a="1"/>
  <c r="AB8" i="9" l="1"/>
  <c r="Y200" i="9" a="1"/>
  <c r="Y200" i="9" s="1"/>
  <c r="Y224" i="9" a="1"/>
  <c r="Y224" i="9" s="1"/>
  <c r="Y180" i="9" a="1"/>
  <c r="Y180" i="9" s="1"/>
  <c r="Z16" i="9"/>
  <c r="AA16" i="9"/>
  <c r="V16" i="9"/>
  <c r="U16" i="9"/>
  <c r="X16" i="9"/>
  <c r="W180" i="9" a="1"/>
  <c r="W180" i="9" s="1"/>
  <c r="V180" i="9" a="1"/>
  <c r="V180" i="9" s="1"/>
  <c r="U180" i="9" a="1"/>
  <c r="U180" i="9" s="1"/>
  <c r="Z180" i="9"/>
  <c r="S180" i="9" a="1"/>
  <c r="S180" i="9" s="1"/>
  <c r="T180" i="9" a="1"/>
  <c r="T180" i="9" s="1"/>
  <c r="X180" i="9" a="1"/>
  <c r="X180" i="9" s="1"/>
  <c r="V200" i="9" a="1"/>
  <c r="V200" i="9" s="1"/>
  <c r="S200" i="9" a="1"/>
  <c r="S200" i="9" s="1"/>
  <c r="U200" i="9" a="1"/>
  <c r="U200" i="9" s="1"/>
  <c r="X200" i="9" a="1"/>
  <c r="X200" i="9" s="1"/>
  <c r="W200" i="9" a="1"/>
  <c r="W200" i="9" s="1"/>
  <c r="Z200" i="9"/>
  <c r="T200" i="9" a="1"/>
  <c r="T200" i="9" s="1"/>
  <c r="V224" i="9" a="1"/>
  <c r="V224" i="9" s="1"/>
  <c r="T224" i="9" a="1"/>
  <c r="T224" i="9" s="1"/>
  <c r="X224" i="9" a="1"/>
  <c r="X224" i="9" s="1"/>
  <c r="S224" i="9" a="1"/>
  <c r="S224" i="9" s="1"/>
  <c r="W224" i="9" a="1"/>
  <c r="W224" i="9" s="1"/>
  <c r="U224" i="9" a="1"/>
  <c r="U224" i="9" s="1"/>
  <c r="Z224" i="9"/>
  <c r="Y8" i="9" a="1"/>
  <c r="U8" i="9" a="1"/>
  <c r="V8" i="9" a="1"/>
  <c r="T8" i="9" a="1"/>
  <c r="S8" i="9" a="1"/>
  <c r="W8" i="9" a="1"/>
  <c r="X8" i="9" a="1"/>
  <c r="T8" i="9" l="1"/>
  <c r="Y8" i="9"/>
  <c r="AA200" i="9"/>
  <c r="AA180" i="9"/>
  <c r="V8" i="9"/>
  <c r="X8" i="9"/>
  <c r="W8" i="9"/>
  <c r="S8" i="9"/>
  <c r="U8" i="9"/>
  <c r="AA224" i="9"/>
  <c r="R185" i="9" a="1"/>
  <c r="R185" i="9" s="1"/>
  <c r="AB185" i="9" s="1" a="1"/>
  <c r="AB185" i="9" s="1"/>
  <c r="R175" i="9" a="1"/>
  <c r="R175" i="9" s="1"/>
  <c r="AB175" i="9" s="1" a="1"/>
  <c r="AB175" i="9" s="1"/>
  <c r="R117" i="9" a="1"/>
  <c r="R117" i="9" s="1"/>
  <c r="AB117" i="9" s="1" a="1"/>
  <c r="AB117" i="9" s="1"/>
  <c r="R69" i="9" a="1"/>
  <c r="R69" i="9" s="1"/>
  <c r="AB69" i="9" s="1" a="1"/>
  <c r="AB69" i="9" s="1"/>
  <c r="J25" i="10" a="1"/>
  <c r="J25" i="10" l="1"/>
  <c r="Y175" i="9" a="1"/>
  <c r="Y175" i="9" s="1"/>
  <c r="Y185" i="9" a="1"/>
  <c r="Y185" i="9" s="1"/>
  <c r="Y117" i="9" a="1"/>
  <c r="Y117" i="9" s="1"/>
  <c r="Y69" i="9" a="1"/>
  <c r="Y69" i="9" s="1"/>
  <c r="T69" i="9" a="1"/>
  <c r="T69" i="9" s="1"/>
  <c r="AA8" i="9"/>
  <c r="T175" i="9" a="1"/>
  <c r="T175" i="9" s="1"/>
  <c r="Z175" i="9"/>
  <c r="U175" i="9" a="1"/>
  <c r="U175" i="9" s="1"/>
  <c r="V175" i="9" a="1"/>
  <c r="V175" i="9" s="1"/>
  <c r="S175" i="9" a="1"/>
  <c r="S175" i="9" s="1"/>
  <c r="W175" i="9" a="1"/>
  <c r="W175" i="9" s="1"/>
  <c r="X175" i="9" a="1"/>
  <c r="X175" i="9" s="1"/>
  <c r="T117" i="9" a="1"/>
  <c r="T117" i="9" s="1"/>
  <c r="W117" i="9" a="1"/>
  <c r="W117" i="9" s="1"/>
  <c r="X117" i="9" a="1"/>
  <c r="X117" i="9" s="1"/>
  <c r="Z117" i="9"/>
  <c r="U117" i="9" a="1"/>
  <c r="U117" i="9" s="1"/>
  <c r="S117" i="9" a="1"/>
  <c r="S117" i="9" s="1"/>
  <c r="V117" i="9" a="1"/>
  <c r="V117" i="9" s="1"/>
  <c r="U185" i="9" a="1"/>
  <c r="U185" i="9" s="1"/>
  <c r="W185" i="9" a="1"/>
  <c r="W185" i="9" s="1"/>
  <c r="Z185" i="9"/>
  <c r="V185" i="9" a="1"/>
  <c r="V185" i="9" s="1"/>
  <c r="T185" i="9" a="1"/>
  <c r="T185" i="9" s="1"/>
  <c r="S185" i="9" a="1"/>
  <c r="S185" i="9" s="1"/>
  <c r="X185" i="9" a="1"/>
  <c r="X185" i="9" s="1"/>
  <c r="Z8" i="9"/>
  <c r="X69" i="9" a="1"/>
  <c r="X69" i="9" s="1"/>
  <c r="U69" i="9" a="1"/>
  <c r="U69" i="9" s="1"/>
  <c r="Z69" i="9"/>
  <c r="V69" i="9" a="1"/>
  <c r="V69" i="9" s="1"/>
  <c r="S69" i="9" a="1"/>
  <c r="S69" i="9" s="1"/>
  <c r="I25" i="10" l="1"/>
  <c r="AA175" i="9"/>
  <c r="AA185" i="9"/>
  <c r="AA117" i="9"/>
  <c r="W69" i="9" a="1"/>
  <c r="W69" i="9" s="1"/>
  <c r="AA69" i="9" s="1"/>
  <c r="R157" i="9" a="1"/>
  <c r="R157" i="9" s="1"/>
  <c r="AB157" i="9" s="1" a="1"/>
  <c r="AB157" i="9" s="1"/>
  <c r="R91" i="9" a="1"/>
  <c r="R91" i="9" s="1"/>
  <c r="AB91" i="9" s="1" a="1"/>
  <c r="AB91" i="9" s="1"/>
  <c r="R75" i="9" a="1"/>
  <c r="R75" i="9" s="1"/>
  <c r="AB75" i="9" s="1" a="1"/>
  <c r="AB75" i="9" s="1"/>
  <c r="K31" i="10" a="1"/>
  <c r="J28" i="10" a="1"/>
  <c r="N25" i="10" a="1"/>
  <c r="I30" i="10" a="1"/>
  <c r="J26" i="10" a="1"/>
  <c r="I31" i="10" a="1"/>
  <c r="M31" i="10" a="1"/>
  <c r="M30" i="10" a="1"/>
  <c r="J30" i="10" a="1"/>
  <c r="M28" i="10" a="1"/>
  <c r="M26" i="10" a="1"/>
  <c r="K30" i="10" a="1"/>
  <c r="K30" i="10" l="1"/>
  <c r="M26" i="10"/>
  <c r="M28" i="10"/>
  <c r="J30" i="10"/>
  <c r="M30" i="10"/>
  <c r="M31" i="10"/>
  <c r="I31" i="10"/>
  <c r="J26" i="10"/>
  <c r="I30" i="10"/>
  <c r="N25" i="10"/>
  <c r="J28" i="10"/>
  <c r="K31" i="10"/>
  <c r="Y75" i="9" a="1"/>
  <c r="Y75" i="9" s="1"/>
  <c r="Y91" i="9" a="1"/>
  <c r="Y91" i="9" s="1"/>
  <c r="Y157" i="9" a="1"/>
  <c r="Y157" i="9" s="1"/>
  <c r="T75" i="9" a="1"/>
  <c r="T75" i="9" s="1"/>
  <c r="U91" i="9" a="1"/>
  <c r="U91" i="9" s="1"/>
  <c r="V91" i="9" a="1"/>
  <c r="V91" i="9" s="1"/>
  <c r="Z91" i="9"/>
  <c r="S91" i="9" a="1"/>
  <c r="S91" i="9" s="1"/>
  <c r="T91" i="9" a="1"/>
  <c r="T91" i="9" s="1"/>
  <c r="W91" i="9" a="1"/>
  <c r="W91" i="9" s="1"/>
  <c r="X91" i="9" a="1"/>
  <c r="X91" i="9" s="1"/>
  <c r="Z157" i="9"/>
  <c r="U157" i="9" a="1"/>
  <c r="U157" i="9" s="1"/>
  <c r="T157" i="9" a="1"/>
  <c r="T157" i="9" s="1"/>
  <c r="S157" i="9" a="1"/>
  <c r="S157" i="9" s="1"/>
  <c r="V157" i="9" a="1"/>
  <c r="V157" i="9" s="1"/>
  <c r="X157" i="9" a="1"/>
  <c r="X157" i="9" s="1"/>
  <c r="W157" i="9" a="1"/>
  <c r="W157" i="9" s="1"/>
  <c r="V75" i="9" a="1"/>
  <c r="V75" i="9" s="1"/>
  <c r="W75" i="9" a="1"/>
  <c r="W75" i="9" s="1"/>
  <c r="X75" i="9" a="1"/>
  <c r="X75" i="9" s="1"/>
  <c r="S75" i="9" a="1"/>
  <c r="S75" i="9" s="1"/>
  <c r="AA75" i="9" l="1"/>
  <c r="AA157" i="9"/>
  <c r="AA91" i="9"/>
  <c r="U75" i="9" a="1"/>
  <c r="U75" i="9" s="1"/>
  <c r="Z75" i="9"/>
  <c r="R25" i="9" a="1"/>
  <c r="R25" i="9" s="1"/>
  <c r="AB25" i="9" a="1"/>
  <c r="AB25" i="9" l="1"/>
  <c r="T25" i="9" a="1"/>
  <c r="S25" i="9" a="1"/>
  <c r="Y25" i="9" a="1"/>
  <c r="W25" i="9" a="1"/>
  <c r="V25" i="9" a="1"/>
  <c r="X25" i="9" a="1"/>
  <c r="Y25" i="9" l="1"/>
  <c r="T25" i="9"/>
  <c r="X25" i="9"/>
  <c r="S25" i="9"/>
  <c r="V25" i="9"/>
  <c r="W25" i="9"/>
  <c r="R43" i="9" a="1"/>
  <c r="R43" i="9" s="1"/>
  <c r="U25" i="9" a="1"/>
  <c r="AB43" i="9" a="1"/>
  <c r="AB43" i="9" l="1"/>
  <c r="AA25" i="9"/>
  <c r="Z25" i="9"/>
  <c r="U25" i="9"/>
  <c r="T43" i="9" a="1"/>
  <c r="Y43" i="9" a="1"/>
  <c r="S43" i="9" a="1"/>
  <c r="Y43" i="9" l="1"/>
  <c r="T43" i="9"/>
  <c r="S43" i="9"/>
  <c r="R152" i="9" a="1"/>
  <c r="R152" i="9" s="1"/>
  <c r="AB152" i="9" s="1" a="1"/>
  <c r="AB152" i="9" s="1"/>
  <c r="R15" i="9" a="1"/>
  <c r="R15" i="9" s="1"/>
  <c r="U43" i="9" a="1"/>
  <c r="W43" i="9" a="1"/>
  <c r="V43" i="9" a="1"/>
  <c r="X43" i="9" a="1"/>
  <c r="Y15" i="9" a="1"/>
  <c r="Y152" i="9" l="1" a="1"/>
  <c r="Y152" i="9" s="1"/>
  <c r="Y15" i="9"/>
  <c r="U43" i="9"/>
  <c r="X43" i="9"/>
  <c r="W43" i="9"/>
  <c r="V43" i="9"/>
  <c r="W152" i="9" a="1"/>
  <c r="W152" i="9" s="1"/>
  <c r="T152" i="9" a="1"/>
  <c r="T152" i="9" s="1"/>
  <c r="Z152" i="9"/>
  <c r="X152" i="9" a="1"/>
  <c r="X152" i="9" s="1"/>
  <c r="U152" i="9" a="1"/>
  <c r="U152" i="9" s="1"/>
  <c r="V152" i="9" a="1"/>
  <c r="V152" i="9" s="1"/>
  <c r="S152" i="9" a="1"/>
  <c r="S152" i="9" s="1"/>
  <c r="T15" i="9" a="1"/>
  <c r="AB15" i="9" a="1"/>
  <c r="W15" i="9" a="1"/>
  <c r="U15" i="9" a="1"/>
  <c r="S15" i="9" a="1"/>
  <c r="AB15" i="9" l="1"/>
  <c r="T15" i="9"/>
  <c r="U15" i="9"/>
  <c r="W15" i="9"/>
  <c r="S15" i="9"/>
  <c r="AA43" i="9"/>
  <c r="Z43" i="9"/>
  <c r="AA152" i="9"/>
  <c r="R249" i="9" a="1"/>
  <c r="R249" i="9" s="1"/>
  <c r="AB249" i="9" s="1" a="1"/>
  <c r="AB249" i="9" s="1"/>
  <c r="R37" i="9" a="1"/>
  <c r="R37" i="9" s="1"/>
  <c r="X15" i="9" a="1"/>
  <c r="V15" i="9" a="1"/>
  <c r="AB37" i="9" a="1"/>
  <c r="AB37" i="9" l="1"/>
  <c r="Y249" i="9" a="1"/>
  <c r="Y249" i="9" s="1"/>
  <c r="Z15" i="9"/>
  <c r="AA15" i="9"/>
  <c r="V15" i="9"/>
  <c r="X15" i="9"/>
  <c r="S249" i="9" a="1"/>
  <c r="S249" i="9" s="1"/>
  <c r="V249" i="9" a="1"/>
  <c r="V249" i="9" s="1"/>
  <c r="X249" i="9" a="1"/>
  <c r="X249" i="9" s="1"/>
  <c r="W249" i="9" a="1"/>
  <c r="W249" i="9" s="1"/>
  <c r="U249" i="9" a="1"/>
  <c r="U249" i="9" s="1"/>
  <c r="T249" i="9" a="1"/>
  <c r="T249" i="9" s="1"/>
  <c r="Z249" i="9"/>
  <c r="V37" i="9" a="1"/>
  <c r="W37" i="9" a="1"/>
  <c r="T37" i="9" a="1"/>
  <c r="Y37" i="9" a="1"/>
  <c r="S37" i="9" a="1"/>
  <c r="X37" i="9" a="1"/>
  <c r="U37" i="9" a="1"/>
  <c r="Y37" i="9" l="1"/>
  <c r="T37" i="9"/>
  <c r="AA249" i="9"/>
  <c r="U37" i="9"/>
  <c r="S37" i="9"/>
  <c r="X37" i="9"/>
  <c r="W37" i="9"/>
  <c r="V37" i="9"/>
  <c r="R13" i="9" a="1"/>
  <c r="R13" i="9" s="1"/>
  <c r="T13" i="9" a="1"/>
  <c r="AA37" i="9" l="1"/>
  <c r="T13" i="9"/>
  <c r="Z37" i="9"/>
  <c r="AB13" i="9" a="1"/>
  <c r="W13" i="9" a="1"/>
  <c r="Y13" i="9" a="1"/>
  <c r="V13" i="9" a="1"/>
  <c r="U13" i="9" a="1"/>
  <c r="S13" i="9" a="1"/>
  <c r="Y13" i="9" l="1"/>
  <c r="AB13" i="9"/>
  <c r="W13" i="9"/>
  <c r="S13" i="9"/>
  <c r="U13" i="9"/>
  <c r="V13" i="9"/>
  <c r="R186" i="9" a="1"/>
  <c r="R186" i="9" s="1"/>
  <c r="AB186" i="9" s="1" a="1"/>
  <c r="AB186" i="9" s="1"/>
  <c r="R237" i="9" a="1"/>
  <c r="R237" i="9" s="1"/>
  <c r="AB237" i="9" s="1" a="1"/>
  <c r="AB237" i="9" s="1"/>
  <c r="R84" i="9" a="1"/>
  <c r="R84" i="9" s="1"/>
  <c r="AB84" i="9" s="1" a="1"/>
  <c r="AB84" i="9" s="1"/>
  <c r="R67" i="9" a="1"/>
  <c r="R67" i="9" s="1"/>
  <c r="AB67" i="9" s="1" a="1"/>
  <c r="AB67" i="9" s="1"/>
  <c r="R1" i="10" a="1"/>
  <c r="X13" i="9" a="1"/>
  <c r="R1" i="10" l="1"/>
  <c r="Y186" i="9" a="1"/>
  <c r="Y186" i="9" s="1"/>
  <c r="Y84" i="9" a="1"/>
  <c r="Y84" i="9" s="1"/>
  <c r="Y237" i="9" a="1"/>
  <c r="Y237" i="9" s="1"/>
  <c r="Y67" i="9" a="1"/>
  <c r="Y67" i="9" s="1"/>
  <c r="T67" i="9" a="1"/>
  <c r="T67" i="9" s="1"/>
  <c r="AA13" i="9"/>
  <c r="X13" i="9"/>
  <c r="Z84" i="9"/>
  <c r="U84" i="9" a="1"/>
  <c r="U84" i="9" s="1"/>
  <c r="X84" i="9" a="1"/>
  <c r="X84" i="9" s="1"/>
  <c r="V84" i="9" a="1"/>
  <c r="V84" i="9" s="1"/>
  <c r="S84" i="9" a="1"/>
  <c r="S84" i="9" s="1"/>
  <c r="T84" i="9" a="1"/>
  <c r="T84" i="9" s="1"/>
  <c r="W84" i="9" a="1"/>
  <c r="W84" i="9" s="1"/>
  <c r="V237" i="9" a="1"/>
  <c r="V237" i="9" s="1"/>
  <c r="S237" i="9" a="1"/>
  <c r="S237" i="9" s="1"/>
  <c r="Z237" i="9"/>
  <c r="T237" i="9" a="1"/>
  <c r="T237" i="9" s="1"/>
  <c r="W237" i="9" a="1"/>
  <c r="W237" i="9" s="1"/>
  <c r="X237" i="9" a="1"/>
  <c r="X237" i="9" s="1"/>
  <c r="U237" i="9" a="1"/>
  <c r="U237" i="9" s="1"/>
  <c r="S186" i="9" a="1"/>
  <c r="S186" i="9" s="1"/>
  <c r="V186" i="9" a="1"/>
  <c r="V186" i="9" s="1"/>
  <c r="X186" i="9" a="1"/>
  <c r="X186" i="9" s="1"/>
  <c r="Z186" i="9"/>
  <c r="T186" i="9" a="1"/>
  <c r="T186" i="9" s="1"/>
  <c r="W186" i="9" a="1"/>
  <c r="W186" i="9" s="1"/>
  <c r="U186" i="9" a="1"/>
  <c r="U186" i="9" s="1"/>
  <c r="Z13" i="9"/>
  <c r="U67" i="9" a="1"/>
  <c r="U67" i="9" s="1"/>
  <c r="Z67" i="9"/>
  <c r="V67" i="9" a="1"/>
  <c r="V67" i="9" s="1"/>
  <c r="S67" i="9" a="1"/>
  <c r="S67" i="9" s="1"/>
  <c r="Q1" i="10" l="1"/>
  <c r="AA84" i="9"/>
  <c r="AA186" i="9"/>
  <c r="AA237" i="9"/>
  <c r="W67" i="9" a="1"/>
  <c r="W67" i="9" s="1"/>
  <c r="AA67" i="9" s="1"/>
  <c r="X67" i="9" a="1"/>
  <c r="X67" i="9" s="1"/>
  <c r="R239" i="9" a="1"/>
  <c r="R239" i="9" s="1"/>
  <c r="AB239" i="9" s="1" a="1"/>
  <c r="AB239" i="9" s="1"/>
  <c r="R9" i="9" a="1"/>
  <c r="R9" i="9" s="1"/>
  <c r="U6" i="10" a="1"/>
  <c r="U4" i="10" a="1"/>
  <c r="V1" i="10" a="1"/>
  <c r="U3" i="10" a="1"/>
  <c r="R4" i="10" a="1"/>
  <c r="R2" i="10" a="1"/>
  <c r="U2" i="10" a="1"/>
  <c r="U7" i="10" a="1"/>
  <c r="Q7" i="10" a="1"/>
  <c r="S7" i="10" a="1"/>
  <c r="S6" i="10" a="1"/>
  <c r="Q6" i="10" a="1"/>
  <c r="R6" i="10" a="1"/>
  <c r="T9" i="9" a="1"/>
  <c r="R6" i="10" l="1"/>
  <c r="Q6" i="10"/>
  <c r="S6" i="10"/>
  <c r="S7" i="10"/>
  <c r="Q7" i="10"/>
  <c r="U7" i="10"/>
  <c r="U2" i="10"/>
  <c r="R2" i="10"/>
  <c r="R4" i="10"/>
  <c r="U3" i="10"/>
  <c r="V1" i="10"/>
  <c r="U4" i="10"/>
  <c r="U6" i="10"/>
  <c r="Y239" i="9" a="1"/>
  <c r="Y239" i="9" s="1"/>
  <c r="T9" i="9"/>
  <c r="S239" i="9" a="1"/>
  <c r="S239" i="9" s="1"/>
  <c r="W239" i="9" a="1"/>
  <c r="W239" i="9" s="1"/>
  <c r="U239" i="9" a="1"/>
  <c r="U239" i="9" s="1"/>
  <c r="T239" i="9" a="1"/>
  <c r="T239" i="9" s="1"/>
  <c r="Z239" i="9"/>
  <c r="V239" i="9" a="1"/>
  <c r="V239" i="9" s="1"/>
  <c r="X239" i="9" a="1"/>
  <c r="X239" i="9" s="1"/>
  <c r="R3" i="10" a="1"/>
  <c r="Y9" i="9" a="1"/>
  <c r="S9" i="9" a="1"/>
  <c r="AB9" i="9" a="1"/>
  <c r="R3" i="10" l="1"/>
  <c r="AB9" i="9"/>
  <c r="Y9" i="9"/>
  <c r="S9" i="9"/>
  <c r="AA239" i="9"/>
  <c r="R149" i="9" a="1"/>
  <c r="R149" i="9" s="1"/>
  <c r="AB149" i="9" s="1" a="1"/>
  <c r="AB149" i="9" s="1"/>
  <c r="R236" i="9" a="1"/>
  <c r="R236" i="9" s="1"/>
  <c r="AB236" i="9" s="1" a="1"/>
  <c r="AB236" i="9" s="1"/>
  <c r="R205" i="9" a="1"/>
  <c r="R205" i="9" s="1"/>
  <c r="AB205" i="9" s="1" a="1"/>
  <c r="AB205" i="9" s="1"/>
  <c r="R188" i="9" a="1"/>
  <c r="R188" i="9" s="1"/>
  <c r="AB188" i="9" s="1" a="1"/>
  <c r="AB188" i="9" s="1"/>
  <c r="R182" i="9" a="1"/>
  <c r="R182" i="9" s="1"/>
  <c r="AB182" i="9" s="1" a="1"/>
  <c r="AB182" i="9" s="1"/>
  <c r="R80" i="9" a="1"/>
  <c r="R80" i="9" s="1"/>
  <c r="AB80" i="9" s="1" a="1"/>
  <c r="AB80" i="9" s="1"/>
  <c r="R160" i="9" a="1"/>
  <c r="R160" i="9" s="1"/>
  <c r="AB160" i="9" s="1" a="1"/>
  <c r="AB160" i="9" s="1"/>
  <c r="R166" i="9" a="1"/>
  <c r="R166" i="9" s="1"/>
  <c r="AB166" i="9" s="1" a="1"/>
  <c r="AB166" i="9" s="1"/>
  <c r="R247" i="9" a="1"/>
  <c r="R247" i="9" s="1"/>
  <c r="AB247" i="9" s="1" a="1"/>
  <c r="AB247" i="9" s="1"/>
  <c r="R144" i="9" a="1"/>
  <c r="R144" i="9" s="1"/>
  <c r="AB144" i="9" s="1" a="1"/>
  <c r="AB144" i="9" s="1"/>
  <c r="R184" i="9" a="1"/>
  <c r="R184" i="9" s="1"/>
  <c r="AB184" i="9" s="1" a="1"/>
  <c r="AB184" i="9" s="1"/>
  <c r="R154" i="9" a="1"/>
  <c r="R154" i="9" s="1"/>
  <c r="AB154" i="9" s="1" a="1"/>
  <c r="AB154" i="9" s="1"/>
  <c r="R230" i="9" a="1"/>
  <c r="R230" i="9" s="1"/>
  <c r="AB230" i="9" s="1" a="1"/>
  <c r="AB230" i="9" s="1"/>
  <c r="R100" i="9" a="1"/>
  <c r="R100" i="9" s="1"/>
  <c r="AB100" i="9" s="1" a="1"/>
  <c r="AB100" i="9" s="1"/>
  <c r="R148" i="9" a="1"/>
  <c r="R148" i="9" s="1"/>
  <c r="AB148" i="9" s="1" a="1"/>
  <c r="AB148" i="9" s="1"/>
  <c r="R26" i="9" a="1"/>
  <c r="R26" i="9" s="1"/>
  <c r="C33" i="10" a="1"/>
  <c r="W9" i="9" a="1"/>
  <c r="V9" i="9" a="1"/>
  <c r="U9" i="9" a="1"/>
  <c r="X9" i="9" a="1"/>
  <c r="T26" i="9" a="1"/>
  <c r="C33" i="10" l="1"/>
  <c r="Y184" i="9" a="1"/>
  <c r="Y184" i="9" s="1"/>
  <c r="Y205" i="9" a="1"/>
  <c r="Y205" i="9" s="1"/>
  <c r="Y149" i="9" a="1"/>
  <c r="Y149" i="9" s="1"/>
  <c r="Y154" i="9" a="1"/>
  <c r="Y154" i="9" s="1"/>
  <c r="Y188" i="9" a="1"/>
  <c r="Y188" i="9" s="1"/>
  <c r="Y144" i="9" a="1"/>
  <c r="Y144" i="9" s="1"/>
  <c r="Y236" i="9" a="1"/>
  <c r="Y236" i="9" s="1"/>
  <c r="Y247" i="9" a="1"/>
  <c r="Y247" i="9" s="1"/>
  <c r="Y166" i="9" a="1"/>
  <c r="Y166" i="9" s="1"/>
  <c r="Y148" i="9" a="1"/>
  <c r="Y148" i="9" s="1"/>
  <c r="Y160" i="9" a="1"/>
  <c r="Y160" i="9" s="1"/>
  <c r="Y100" i="9" a="1"/>
  <c r="Y100" i="9" s="1"/>
  <c r="Y80" i="9" a="1"/>
  <c r="Y80" i="9" s="1"/>
  <c r="Y230" i="9" a="1"/>
  <c r="Y230" i="9" s="1"/>
  <c r="Y182" i="9" a="1"/>
  <c r="Y182" i="9" s="1"/>
  <c r="X184" i="9" a="1"/>
  <c r="X184" i="9" s="1"/>
  <c r="Z205" i="9"/>
  <c r="V149" i="9" a="1"/>
  <c r="V149" i="9" s="1"/>
  <c r="T247" i="9" a="1"/>
  <c r="T247" i="9" s="1"/>
  <c r="V148" i="9" a="1"/>
  <c r="V148" i="9" s="1"/>
  <c r="U148" i="9" a="1"/>
  <c r="U148" i="9" s="1"/>
  <c r="X160" i="9" a="1"/>
  <c r="X160" i="9" s="1"/>
  <c r="Z160" i="9"/>
  <c r="V230" i="9" a="1"/>
  <c r="V230" i="9" s="1"/>
  <c r="S230" i="9" a="1"/>
  <c r="S230" i="9" s="1"/>
  <c r="U230" i="9" a="1"/>
  <c r="U230" i="9" s="1"/>
  <c r="U182" i="9" a="1"/>
  <c r="U182" i="9" s="1"/>
  <c r="S182" i="9" a="1"/>
  <c r="S182" i="9" s="1"/>
  <c r="T26" i="9"/>
  <c r="X9" i="9"/>
  <c r="V9" i="9"/>
  <c r="U9" i="9"/>
  <c r="W9" i="9"/>
  <c r="W166" i="9" a="1"/>
  <c r="W166" i="9" s="1"/>
  <c r="T166" i="9" a="1"/>
  <c r="T166" i="9" s="1"/>
  <c r="U166" i="9" a="1"/>
  <c r="U166" i="9" s="1"/>
  <c r="Z166" i="9"/>
  <c r="V166" i="9" a="1"/>
  <c r="V166" i="9" s="1"/>
  <c r="S166" i="9" a="1"/>
  <c r="S166" i="9" s="1"/>
  <c r="X166" i="9" a="1"/>
  <c r="X166" i="9" s="1"/>
  <c r="W188" i="9" a="1"/>
  <c r="W188" i="9" s="1"/>
  <c r="X188" i="9" a="1"/>
  <c r="X188" i="9" s="1"/>
  <c r="U188" i="9" a="1"/>
  <c r="U188" i="9" s="1"/>
  <c r="V188" i="9" a="1"/>
  <c r="V188" i="9" s="1"/>
  <c r="Z188" i="9"/>
  <c r="S188" i="9" a="1"/>
  <c r="S188" i="9" s="1"/>
  <c r="T188" i="9" a="1"/>
  <c r="T188" i="9" s="1"/>
  <c r="T236" i="9" a="1"/>
  <c r="T236" i="9" s="1"/>
  <c r="U236" i="9" a="1"/>
  <c r="U236" i="9" s="1"/>
  <c r="X236" i="9" a="1"/>
  <c r="X236" i="9" s="1"/>
  <c r="Z236" i="9"/>
  <c r="W236" i="9" a="1"/>
  <c r="W236" i="9" s="1"/>
  <c r="S236" i="9" a="1"/>
  <c r="S236" i="9" s="1"/>
  <c r="V236" i="9" a="1"/>
  <c r="V236" i="9" s="1"/>
  <c r="X100" i="9" a="1"/>
  <c r="X100" i="9" s="1"/>
  <c r="W100" i="9" a="1"/>
  <c r="W100" i="9" s="1"/>
  <c r="T100" i="9" a="1"/>
  <c r="T100" i="9" s="1"/>
  <c r="U100" i="9" a="1"/>
  <c r="U100" i="9" s="1"/>
  <c r="Z100" i="9"/>
  <c r="V100" i="9" a="1"/>
  <c r="V100" i="9" s="1"/>
  <c r="S100" i="9" a="1"/>
  <c r="S100" i="9" s="1"/>
  <c r="U144" i="9" a="1"/>
  <c r="U144" i="9" s="1"/>
  <c r="W144" i="9" a="1"/>
  <c r="W144" i="9" s="1"/>
  <c r="X144" i="9" a="1"/>
  <c r="X144" i="9" s="1"/>
  <c r="Z144" i="9"/>
  <c r="V144" i="9" a="1"/>
  <c r="V144" i="9" s="1"/>
  <c r="T144" i="9" a="1"/>
  <c r="T144" i="9" s="1"/>
  <c r="S144" i="9" a="1"/>
  <c r="S144" i="9" s="1"/>
  <c r="U80" i="9" a="1"/>
  <c r="U80" i="9" s="1"/>
  <c r="W80" i="9" a="1"/>
  <c r="W80" i="9" s="1"/>
  <c r="T80" i="9" a="1"/>
  <c r="T80" i="9" s="1"/>
  <c r="Z80" i="9"/>
  <c r="V80" i="9" a="1"/>
  <c r="V80" i="9" s="1"/>
  <c r="X80" i="9" a="1"/>
  <c r="X80" i="9" s="1"/>
  <c r="S80" i="9" a="1"/>
  <c r="S80" i="9" s="1"/>
  <c r="X154" i="9" a="1"/>
  <c r="X154" i="9" s="1"/>
  <c r="U154" i="9" a="1"/>
  <c r="U154" i="9" s="1"/>
  <c r="V154" i="9" a="1"/>
  <c r="V154" i="9" s="1"/>
  <c r="Z154" i="9"/>
  <c r="S154" i="9" a="1"/>
  <c r="S154" i="9" s="1"/>
  <c r="W154" i="9" a="1"/>
  <c r="W154" i="9" s="1"/>
  <c r="T154" i="9" a="1"/>
  <c r="T154" i="9" s="1"/>
  <c r="S247" i="9" a="1"/>
  <c r="S247" i="9" s="1"/>
  <c r="T160" i="9" a="1"/>
  <c r="T160" i="9" s="1"/>
  <c r="T182" i="9" a="1"/>
  <c r="T182" i="9" s="1"/>
  <c r="U205" i="9" a="1"/>
  <c r="U205" i="9" s="1"/>
  <c r="X230" i="9" a="1"/>
  <c r="X230" i="9" s="1"/>
  <c r="V182" i="9" a="1"/>
  <c r="V182" i="9" s="1"/>
  <c r="W149" i="9" a="1"/>
  <c r="W149" i="9" s="1"/>
  <c r="X148" i="9" a="1"/>
  <c r="X148" i="9" s="1"/>
  <c r="U160" i="9" a="1"/>
  <c r="U160" i="9" s="1"/>
  <c r="W148" i="9" a="1"/>
  <c r="W148" i="9" s="1"/>
  <c r="U184" i="9" a="1"/>
  <c r="U184" i="9" s="1"/>
  <c r="X247" i="9" a="1"/>
  <c r="X247" i="9" s="1"/>
  <c r="Z247" i="9"/>
  <c r="Z182" i="9"/>
  <c r="X205" i="9" a="1"/>
  <c r="X205" i="9" s="1"/>
  <c r="S149" i="9" a="1"/>
  <c r="S149" i="9" s="1"/>
  <c r="T149" i="9" a="1"/>
  <c r="T149" i="9" s="1"/>
  <c r="W184" i="9" a="1"/>
  <c r="W184" i="9" s="1"/>
  <c r="U247" i="9" a="1"/>
  <c r="U247" i="9" s="1"/>
  <c r="T148" i="9" a="1"/>
  <c r="T148" i="9" s="1"/>
  <c r="T230" i="9" a="1"/>
  <c r="T230" i="9" s="1"/>
  <c r="S184" i="9" a="1"/>
  <c r="S184" i="9" s="1"/>
  <c r="W205" i="9" a="1"/>
  <c r="W205" i="9" s="1"/>
  <c r="U149" i="9" a="1"/>
  <c r="U149" i="9" s="1"/>
  <c r="Z149" i="9"/>
  <c r="X149" i="9" a="1"/>
  <c r="X149" i="9" s="1"/>
  <c r="T184" i="9" a="1"/>
  <c r="T184" i="9" s="1"/>
  <c r="Z148" i="9"/>
  <c r="Z230" i="9"/>
  <c r="V184" i="9" a="1"/>
  <c r="V184" i="9" s="1"/>
  <c r="W247" i="9" a="1"/>
  <c r="W247" i="9" s="1"/>
  <c r="W182" i="9" a="1"/>
  <c r="W182" i="9" s="1"/>
  <c r="S205" i="9" a="1"/>
  <c r="S205" i="9" s="1"/>
  <c r="S148" i="9" a="1"/>
  <c r="S148" i="9" s="1"/>
  <c r="W230" i="9" a="1"/>
  <c r="W230" i="9" s="1"/>
  <c r="S160" i="9" a="1"/>
  <c r="S160" i="9" s="1"/>
  <c r="T205" i="9" a="1"/>
  <c r="T205" i="9" s="1"/>
  <c r="Z184" i="9"/>
  <c r="V247" i="9" a="1"/>
  <c r="V247" i="9" s="1"/>
  <c r="V160" i="9" a="1"/>
  <c r="V160" i="9" s="1"/>
  <c r="W160" i="9" a="1"/>
  <c r="W160" i="9" s="1"/>
  <c r="X182" i="9" a="1"/>
  <c r="X182" i="9" s="1"/>
  <c r="V205" i="9" a="1"/>
  <c r="V205" i="9" s="1"/>
  <c r="Y26" i="9" a="1"/>
  <c r="AB26" i="9" a="1"/>
  <c r="W26" i="9" a="1"/>
  <c r="S26" i="9" a="1"/>
  <c r="B33" i="10" l="1"/>
  <c r="AB26" i="9"/>
  <c r="Y26" i="9"/>
  <c r="AA230" i="9"/>
  <c r="AA160" i="9"/>
  <c r="AA100" i="9"/>
  <c r="AA166" i="9"/>
  <c r="AA154" i="9"/>
  <c r="AA149" i="9"/>
  <c r="AA144" i="9"/>
  <c r="S26" i="9"/>
  <c r="W26" i="9"/>
  <c r="AA247" i="9"/>
  <c r="AA184" i="9"/>
  <c r="AA80" i="9"/>
  <c r="AA236" i="9"/>
  <c r="AA205" i="9"/>
  <c r="AA148" i="9"/>
  <c r="AA188" i="9"/>
  <c r="AA9" i="9"/>
  <c r="Z9" i="9"/>
  <c r="AA182" i="9"/>
  <c r="R3" i="9" a="1"/>
  <c r="R3" i="9" s="1"/>
  <c r="D39" i="10" a="1"/>
  <c r="C36" i="10" a="1"/>
  <c r="F39" i="10" a="1"/>
  <c r="C38" i="10" a="1"/>
  <c r="F36" i="10" a="1"/>
  <c r="C34" i="10" a="1"/>
  <c r="F35" i="10" a="1"/>
  <c r="G33" i="10" a="1"/>
  <c r="F34" i="10" a="1"/>
  <c r="J35" i="10" a="1"/>
  <c r="B38" i="10" a="1"/>
  <c r="D38" i="10" a="1"/>
  <c r="F38" i="10" a="1"/>
  <c r="B39" i="10" a="1"/>
  <c r="M35" i="10" a="1"/>
  <c r="X26" i="9" a="1"/>
  <c r="U26" i="9" a="1"/>
  <c r="V26" i="9" a="1"/>
  <c r="AB3" i="9" a="1"/>
  <c r="M35" i="10" l="1"/>
  <c r="B39" i="10"/>
  <c r="F38" i="10"/>
  <c r="D38" i="10"/>
  <c r="B38" i="10"/>
  <c r="J35" i="10"/>
  <c r="F34" i="10"/>
  <c r="G33" i="10"/>
  <c r="F35" i="10"/>
  <c r="C34" i="10"/>
  <c r="F36" i="10"/>
  <c r="C38" i="10"/>
  <c r="F39" i="10"/>
  <c r="C36" i="10"/>
  <c r="D39" i="10"/>
  <c r="AB3" i="9"/>
  <c r="Z26" i="9"/>
  <c r="AA26" i="9"/>
  <c r="X26" i="9"/>
  <c r="V26" i="9"/>
  <c r="U26" i="9"/>
  <c r="C35" i="10" a="1"/>
  <c r="Y3" i="9" a="1"/>
  <c r="V3" i="9" a="1"/>
  <c r="T3" i="9" a="1"/>
  <c r="S3" i="9" a="1"/>
  <c r="C35" i="10" l="1"/>
  <c r="T3" i="9"/>
  <c r="Y3" i="9"/>
  <c r="S3" i="9"/>
  <c r="V3" i="9"/>
  <c r="R132" i="9" a="1"/>
  <c r="R132" i="9" s="1"/>
  <c r="AB132" i="9" s="1" a="1"/>
  <c r="AB132" i="9" s="1"/>
  <c r="R60" i="9" a="1"/>
  <c r="R60" i="9" s="1"/>
  <c r="AB60" i="9" s="1" a="1"/>
  <c r="AB60" i="9" s="1"/>
  <c r="C9" i="10" a="1"/>
  <c r="X3" i="9" a="1"/>
  <c r="W3" i="9" a="1"/>
  <c r="U3" i="9" a="1"/>
  <c r="C9" i="10" l="1"/>
  <c r="Y60" i="9" a="1"/>
  <c r="Y60" i="9" s="1"/>
  <c r="Y132" i="9" a="1"/>
  <c r="Y132" i="9" s="1"/>
  <c r="T60" i="9" a="1"/>
  <c r="T60" i="9" s="1"/>
  <c r="W3" i="9"/>
  <c r="Z3" i="9" s="1"/>
  <c r="X3" i="9"/>
  <c r="U3" i="9"/>
  <c r="S132" i="9" a="1"/>
  <c r="S132" i="9" s="1"/>
  <c r="V132" i="9" a="1"/>
  <c r="V132" i="9" s="1"/>
  <c r="X132" i="9" a="1"/>
  <c r="X132" i="9" s="1"/>
  <c r="T132" i="9" a="1"/>
  <c r="T132" i="9" s="1"/>
  <c r="U132" i="9" a="1"/>
  <c r="U132" i="9" s="1"/>
  <c r="W132" i="9" a="1"/>
  <c r="W132" i="9" s="1"/>
  <c r="Z132" i="9"/>
  <c r="X60" i="9" a="1"/>
  <c r="X60" i="9" s="1"/>
  <c r="U60" i="9" a="1"/>
  <c r="U60" i="9" s="1"/>
  <c r="Z60" i="9"/>
  <c r="V60" i="9" a="1"/>
  <c r="V60" i="9" s="1"/>
  <c r="S60" i="9" a="1"/>
  <c r="S60" i="9" s="1"/>
  <c r="B9" i="10" l="1"/>
  <c r="P9" i="10"/>
  <c r="AA3" i="9"/>
  <c r="AA132" i="9"/>
  <c r="W60" i="9" a="1"/>
  <c r="W60" i="9" s="1"/>
  <c r="AA60" i="9" s="1"/>
  <c r="R194" i="9" a="1"/>
  <c r="R194" i="9" s="1"/>
  <c r="AB194" i="9" s="1" a="1"/>
  <c r="AB194" i="9" s="1"/>
  <c r="R71" i="9" a="1"/>
  <c r="R71" i="9" s="1"/>
  <c r="AB71" i="9" s="1" a="1"/>
  <c r="AB71" i="9" s="1"/>
  <c r="F14" i="10" a="1"/>
  <c r="F12" i="10" a="1"/>
  <c r="G9" i="10" a="1"/>
  <c r="F11" i="10" a="1"/>
  <c r="B14" i="10" a="1"/>
  <c r="F10" i="10" a="1"/>
  <c r="B15" i="10" a="1"/>
  <c r="C10" i="10" a="1"/>
  <c r="F15" i="10" a="1"/>
  <c r="D14" i="10" a="1"/>
  <c r="C12" i="10" a="1"/>
  <c r="D15" i="10" a="1"/>
  <c r="C14" i="10" a="1"/>
  <c r="C14" i="10" l="1"/>
  <c r="D15" i="10"/>
  <c r="C12" i="10"/>
  <c r="D14" i="10"/>
  <c r="F15" i="10"/>
  <c r="C10" i="10"/>
  <c r="B15" i="10"/>
  <c r="F10" i="10"/>
  <c r="B14" i="10"/>
  <c r="F11" i="10"/>
  <c r="G9" i="10"/>
  <c r="F12" i="10"/>
  <c r="F14" i="10"/>
  <c r="W9" i="10"/>
  <c r="Y71" i="9" a="1"/>
  <c r="Y71" i="9" s="1"/>
  <c r="Y194" i="9" a="1"/>
  <c r="Y194" i="9" s="1"/>
  <c r="T71" i="9" a="1"/>
  <c r="T71" i="9" s="1"/>
  <c r="X194" i="9" a="1"/>
  <c r="X194" i="9" s="1"/>
  <c r="U194" i="9" a="1"/>
  <c r="U194" i="9" s="1"/>
  <c r="Z194" i="9"/>
  <c r="V194" i="9" a="1"/>
  <c r="V194" i="9" s="1"/>
  <c r="T194" i="9" a="1"/>
  <c r="T194" i="9" s="1"/>
  <c r="S194" i="9" a="1"/>
  <c r="S194" i="9" s="1"/>
  <c r="W194" i="9" a="1"/>
  <c r="W194" i="9" s="1"/>
  <c r="S71" i="9" a="1"/>
  <c r="S71" i="9" s="1"/>
  <c r="C11" i="10" a="1"/>
  <c r="R9" i="10" a="1"/>
  <c r="Y9" i="10" a="1"/>
  <c r="C11" i="10" l="1"/>
  <c r="Y9" i="10"/>
  <c r="R9" i="10"/>
  <c r="P17" i="10"/>
  <c r="AA194" i="9"/>
  <c r="W71" i="9" a="1"/>
  <c r="W71" i="9" s="1"/>
  <c r="X71" i="9" a="1"/>
  <c r="X71" i="9" s="1"/>
  <c r="U71" i="9" a="1"/>
  <c r="U71" i="9" s="1"/>
  <c r="Z71" i="9"/>
  <c r="V71" i="9" a="1"/>
  <c r="V71" i="9" s="1"/>
  <c r="R218" i="9" a="1"/>
  <c r="R218" i="9" s="1"/>
  <c r="AB218" i="9" s="1" a="1"/>
  <c r="AB218" i="9" s="1"/>
  <c r="R120" i="9" a="1"/>
  <c r="R120" i="9" s="1"/>
  <c r="AB120" i="9" s="1" a="1"/>
  <c r="AB120" i="9" s="1"/>
  <c r="R4" i="9" a="1"/>
  <c r="R4" i="9" s="1"/>
  <c r="M11" i="10" a="1"/>
  <c r="AB4" i="9" a="1"/>
  <c r="M11" i="10" l="1"/>
  <c r="W17" i="10"/>
  <c r="Q9" i="10"/>
  <c r="X9" i="10"/>
  <c r="AB4" i="9"/>
  <c r="Y218" i="9" a="1"/>
  <c r="Y218" i="9" s="1"/>
  <c r="Y120" i="9" a="1"/>
  <c r="Y120" i="9" s="1"/>
  <c r="AA71" i="9"/>
  <c r="T120" i="9" a="1"/>
  <c r="T120" i="9" s="1"/>
  <c r="V120" i="9" a="1"/>
  <c r="V120" i="9" s="1"/>
  <c r="U120" i="9" a="1"/>
  <c r="U120" i="9" s="1"/>
  <c r="Z120" i="9"/>
  <c r="S120" i="9" a="1"/>
  <c r="S120" i="9" s="1"/>
  <c r="W120" i="9" a="1"/>
  <c r="W120" i="9" s="1"/>
  <c r="X120" i="9" a="1"/>
  <c r="X120" i="9" s="1"/>
  <c r="W218" i="9" a="1"/>
  <c r="W218" i="9" s="1"/>
  <c r="X218" i="9" a="1"/>
  <c r="X218" i="9" s="1"/>
  <c r="S218" i="9" a="1"/>
  <c r="S218" i="9" s="1"/>
  <c r="V218" i="9" a="1"/>
  <c r="V218" i="9" s="1"/>
  <c r="U218" i="9" a="1"/>
  <c r="U218" i="9" s="1"/>
  <c r="Z218" i="9"/>
  <c r="T218" i="9" a="1"/>
  <c r="T218" i="9" s="1"/>
  <c r="R17" i="10" a="1"/>
  <c r="U15" i="10" a="1"/>
  <c r="U11" i="10" a="1"/>
  <c r="AC9" i="10" a="1"/>
  <c r="R14" i="10" a="1"/>
  <c r="Y17" i="10" a="1"/>
  <c r="S14" i="10" a="1"/>
  <c r="U10" i="10" a="1"/>
  <c r="Z14" i="10" a="1"/>
  <c r="Y14" i="10" a="1"/>
  <c r="V9" i="10" a="1"/>
  <c r="Q14" i="10" a="1"/>
  <c r="Y12" i="10" a="1"/>
  <c r="U14" i="10" a="1"/>
  <c r="R12" i="10" a="1"/>
  <c r="Z15" i="10" a="1"/>
  <c r="Y10" i="10" a="1"/>
  <c r="AB11" i="10" a="1"/>
  <c r="R10" i="10" a="1"/>
  <c r="X15" i="10" a="1"/>
  <c r="Q15" i="10" a="1"/>
  <c r="S15" i="10" a="1"/>
  <c r="AB14" i="10" a="1"/>
  <c r="AB15" i="10" a="1"/>
  <c r="AB12" i="10" a="1"/>
  <c r="U12" i="10" a="1"/>
  <c r="AB10" i="10" a="1"/>
  <c r="X14" i="10" a="1"/>
  <c r="T4" i="9" a="1"/>
  <c r="Y4" i="9" a="1"/>
  <c r="S4" i="9" a="1"/>
  <c r="W4" i="9" a="1"/>
  <c r="V4" i="9" a="1"/>
  <c r="X14" i="10" l="1"/>
  <c r="AB10" i="10"/>
  <c r="U12" i="10"/>
  <c r="AB12" i="10"/>
  <c r="AB15" i="10"/>
  <c r="AB14" i="10"/>
  <c r="S15" i="10"/>
  <c r="Q15" i="10"/>
  <c r="X15" i="10"/>
  <c r="R10" i="10"/>
  <c r="AB11" i="10"/>
  <c r="Y10" i="10"/>
  <c r="Z15" i="10"/>
  <c r="R12" i="10"/>
  <c r="U14" i="10"/>
  <c r="Y12" i="10"/>
  <c r="Q14" i="10"/>
  <c r="V9" i="10"/>
  <c r="Y14" i="10"/>
  <c r="Z14" i="10"/>
  <c r="U10" i="10"/>
  <c r="S14" i="10"/>
  <c r="Y17" i="10"/>
  <c r="R14" i="10"/>
  <c r="AC9" i="10"/>
  <c r="U11" i="10"/>
  <c r="U15" i="10"/>
  <c r="R17" i="10"/>
  <c r="Y4" i="9"/>
  <c r="T4" i="9"/>
  <c r="S4" i="9"/>
  <c r="V4" i="9"/>
  <c r="W4" i="9"/>
  <c r="AA218" i="9"/>
  <c r="AA120" i="9"/>
  <c r="R39" i="9" a="1"/>
  <c r="R39" i="9" s="1"/>
  <c r="J9" i="10" a="1"/>
  <c r="R11" i="10" a="1"/>
  <c r="Y11" i="10" a="1"/>
  <c r="U4" i="9" a="1"/>
  <c r="X4" i="9" a="1"/>
  <c r="AB39" i="9" a="1"/>
  <c r="J9" i="10" l="1"/>
  <c r="Y11" i="10"/>
  <c r="R11" i="10"/>
  <c r="Q17" i="10"/>
  <c r="X17" i="10"/>
  <c r="Z4" i="9"/>
  <c r="AB39" i="9"/>
  <c r="X4" i="9"/>
  <c r="U4" i="9"/>
  <c r="AA4" i="9"/>
  <c r="U22" i="10" a="1"/>
  <c r="U20" i="10" a="1"/>
  <c r="AB18" i="10" a="1"/>
  <c r="U19" i="10" a="1"/>
  <c r="U18" i="10" a="1"/>
  <c r="AB19" i="10" a="1"/>
  <c r="AC17" i="10" a="1"/>
  <c r="Z22" i="10" a="1"/>
  <c r="Y20" i="10" a="1"/>
  <c r="S22" i="10" a="1"/>
  <c r="X22" i="10" a="1"/>
  <c r="X23" i="10" a="1"/>
  <c r="S23" i="10" a="1"/>
  <c r="Q23" i="10" a="1"/>
  <c r="Q22" i="10" a="1"/>
  <c r="U23" i="10" a="1"/>
  <c r="Z23" i="10" a="1"/>
  <c r="R20" i="10" a="1"/>
  <c r="Y18" i="10" a="1"/>
  <c r="AB23" i="10" a="1"/>
  <c r="AB22" i="10" a="1"/>
  <c r="R18" i="10" a="1"/>
  <c r="V17" i="10" a="1"/>
  <c r="R22" i="10" a="1"/>
  <c r="AB20" i="10" a="1"/>
  <c r="Y22" i="10" a="1"/>
  <c r="T39" i="9" a="1"/>
  <c r="Y39" i="9" a="1"/>
  <c r="W39" i="9" a="1"/>
  <c r="S39" i="9" a="1"/>
  <c r="U39" i="9" a="1"/>
  <c r="I9" i="10" l="1"/>
  <c r="Y22" i="10"/>
  <c r="AB20" i="10"/>
  <c r="R22" i="10"/>
  <c r="V17" i="10"/>
  <c r="R18" i="10"/>
  <c r="AB22" i="10"/>
  <c r="AB23" i="10"/>
  <c r="Y18" i="10"/>
  <c r="R20" i="10"/>
  <c r="Z23" i="10"/>
  <c r="U23" i="10"/>
  <c r="Q22" i="10"/>
  <c r="Q23" i="10"/>
  <c r="S23" i="10"/>
  <c r="X23" i="10"/>
  <c r="X22" i="10"/>
  <c r="S22" i="10"/>
  <c r="Y20" i="10"/>
  <c r="Z22" i="10"/>
  <c r="AC17" i="10"/>
  <c r="AB19" i="10"/>
  <c r="U18" i="10"/>
  <c r="U19" i="10"/>
  <c r="AB18" i="10"/>
  <c r="U20" i="10"/>
  <c r="U22" i="10"/>
  <c r="Y39" i="9"/>
  <c r="T39" i="9"/>
  <c r="U39" i="9"/>
  <c r="W39" i="9"/>
  <c r="S39" i="9"/>
  <c r="R255" i="9" a="1"/>
  <c r="R255" i="9" s="1"/>
  <c r="AB255" i="9" s="1" a="1"/>
  <c r="AB255" i="9" s="1"/>
  <c r="R88" i="9" a="1"/>
  <c r="R88" i="9" s="1"/>
  <c r="AB88" i="9" s="1" a="1"/>
  <c r="AB88" i="9" s="1"/>
  <c r="R206" i="9" a="1"/>
  <c r="R206" i="9" s="1"/>
  <c r="AB206" i="9" s="1" a="1"/>
  <c r="AB206" i="9" s="1"/>
  <c r="R63" i="9" a="1"/>
  <c r="R63" i="9" s="1"/>
  <c r="AB63" i="9" s="1" a="1"/>
  <c r="AB63" i="9" s="1"/>
  <c r="I15" i="10" a="1"/>
  <c r="M14" i="10" a="1"/>
  <c r="M15" i="10" a="1"/>
  <c r="K15" i="10" a="1"/>
  <c r="M12" i="10" a="1"/>
  <c r="J14" i="10" a="1"/>
  <c r="I14" i="10" a="1"/>
  <c r="M10" i="10" a="1"/>
  <c r="N9" i="10" a="1"/>
  <c r="K14" i="10" a="1"/>
  <c r="J12" i="10" a="1"/>
  <c r="J10" i="10" a="1"/>
  <c r="R19" i="10" a="1"/>
  <c r="Y19" i="10" a="1"/>
  <c r="X39" i="9" a="1"/>
  <c r="V39" i="9" a="1"/>
  <c r="J10" i="10" l="1"/>
  <c r="J12" i="10"/>
  <c r="K14" i="10"/>
  <c r="N9" i="10"/>
  <c r="M10" i="10"/>
  <c r="I14" i="10"/>
  <c r="J14" i="10"/>
  <c r="M12" i="10"/>
  <c r="K15" i="10"/>
  <c r="M15" i="10"/>
  <c r="M14" i="10"/>
  <c r="I15" i="10"/>
  <c r="Y19" i="10"/>
  <c r="R19" i="10"/>
  <c r="Y255" i="9" a="1"/>
  <c r="Y255" i="9" s="1"/>
  <c r="Y206" i="9" a="1"/>
  <c r="Y206" i="9" s="1"/>
  <c r="Y88" i="9" a="1"/>
  <c r="Y88" i="9" s="1"/>
  <c r="Y63" i="9" a="1"/>
  <c r="Y63" i="9" s="1"/>
  <c r="X255" i="9" a="1"/>
  <c r="X255" i="9" s="1"/>
  <c r="Z255" i="9"/>
  <c r="T63" i="9" a="1"/>
  <c r="T63" i="9" s="1"/>
  <c r="Z39" i="9"/>
  <c r="V39" i="9"/>
  <c r="X39" i="9"/>
  <c r="Z206" i="9"/>
  <c r="V206" i="9" a="1"/>
  <c r="V206" i="9" s="1"/>
  <c r="U206" i="9" a="1"/>
  <c r="U206" i="9" s="1"/>
  <c r="T206" i="9" a="1"/>
  <c r="T206" i="9" s="1"/>
  <c r="W206" i="9" a="1"/>
  <c r="W206" i="9" s="1"/>
  <c r="X206" i="9" a="1"/>
  <c r="X206" i="9" s="1"/>
  <c r="S206" i="9" a="1"/>
  <c r="S206" i="9" s="1"/>
  <c r="W88" i="9" a="1"/>
  <c r="W88" i="9" s="1"/>
  <c r="S88" i="9" a="1"/>
  <c r="S88" i="9" s="1"/>
  <c r="T88" i="9" a="1"/>
  <c r="T88" i="9" s="1"/>
  <c r="V88" i="9" a="1"/>
  <c r="V88" i="9" s="1"/>
  <c r="X88" i="9" a="1"/>
  <c r="X88" i="9" s="1"/>
  <c r="U88" i="9" a="1"/>
  <c r="U88" i="9" s="1"/>
  <c r="Z88" i="9"/>
  <c r="S255" i="9" a="1"/>
  <c r="S255" i="9" s="1"/>
  <c r="T255" i="9" a="1"/>
  <c r="T255" i="9" s="1"/>
  <c r="W255" i="9" a="1"/>
  <c r="W255" i="9" s="1"/>
  <c r="U255" i="9" a="1"/>
  <c r="U255" i="9" s="1"/>
  <c r="V255" i="9" a="1"/>
  <c r="V255" i="9" s="1"/>
  <c r="AA39" i="9"/>
  <c r="S63" i="9" a="1"/>
  <c r="S63" i="9" s="1"/>
  <c r="J11" i="10" a="1"/>
  <c r="J11" i="10" l="1"/>
  <c r="AA255" i="9"/>
  <c r="AA206" i="9"/>
  <c r="AA88" i="9"/>
  <c r="W63" i="9" a="1"/>
  <c r="W63" i="9" s="1"/>
  <c r="X63" i="9" a="1"/>
  <c r="X63" i="9" s="1"/>
  <c r="U63" i="9" a="1"/>
  <c r="U63" i="9" s="1"/>
  <c r="Z63" i="9"/>
  <c r="V63" i="9" a="1"/>
  <c r="V63" i="9" s="1"/>
  <c r="R126" i="9" a="1"/>
  <c r="R126" i="9" s="1"/>
  <c r="AB126" i="9" s="1" a="1"/>
  <c r="AB126" i="9" s="1"/>
  <c r="R204" i="9" a="1"/>
  <c r="R204" i="9" s="1"/>
  <c r="AB204" i="9" s="1" a="1"/>
  <c r="AB204" i="9" s="1"/>
  <c r="R209" i="9" a="1"/>
  <c r="R209" i="9" s="1"/>
  <c r="AB209" i="9" s="1" a="1"/>
  <c r="AB209" i="9" s="1"/>
  <c r="R98" i="9" a="1"/>
  <c r="R98" i="9" s="1"/>
  <c r="R46" i="9" a="1"/>
  <c r="R46" i="9" s="1"/>
  <c r="AB46" i="9" a="1"/>
  <c r="AB98" i="9" l="1" a="1"/>
  <c r="AB98" i="9" s="1"/>
  <c r="AB46" i="9"/>
  <c r="Y98" i="9" a="1"/>
  <c r="Y98" i="9" s="1"/>
  <c r="Y204" i="9" a="1"/>
  <c r="Y204" i="9" s="1"/>
  <c r="Y209" i="9" a="1"/>
  <c r="Y209" i="9" s="1"/>
  <c r="Y126" i="9" a="1"/>
  <c r="Y126" i="9" s="1"/>
  <c r="Z98" i="9"/>
  <c r="S98" i="9" a="1"/>
  <c r="S98" i="9" s="1"/>
  <c r="W98" i="9" a="1"/>
  <c r="W98" i="9" s="1"/>
  <c r="V98" i="9" a="1"/>
  <c r="V98" i="9" s="1"/>
  <c r="T98" i="9" a="1"/>
  <c r="T98" i="9" s="1"/>
  <c r="X98" i="9" a="1"/>
  <c r="X98" i="9" s="1"/>
  <c r="U98" i="9" a="1"/>
  <c r="U98" i="9" s="1"/>
  <c r="X126" i="9" a="1"/>
  <c r="X126" i="9" s="1"/>
  <c r="Z126" i="9"/>
  <c r="S126" i="9" a="1"/>
  <c r="S126" i="9" s="1"/>
  <c r="V126" i="9" a="1"/>
  <c r="V126" i="9" s="1"/>
  <c r="U126" i="9" a="1"/>
  <c r="U126" i="9" s="1"/>
  <c r="T126" i="9" a="1"/>
  <c r="T126" i="9" s="1"/>
  <c r="W126" i="9" a="1"/>
  <c r="W126" i="9" s="1"/>
  <c r="S209" i="9" a="1"/>
  <c r="S209" i="9" s="1"/>
  <c r="X209" i="9" a="1"/>
  <c r="X209" i="9" s="1"/>
  <c r="T209" i="9" a="1"/>
  <c r="T209" i="9" s="1"/>
  <c r="W209" i="9" a="1"/>
  <c r="W209" i="9" s="1"/>
  <c r="Z209" i="9"/>
  <c r="V209" i="9" a="1"/>
  <c r="V209" i="9" s="1"/>
  <c r="U209" i="9" a="1"/>
  <c r="U209" i="9" s="1"/>
  <c r="U204" i="9" a="1"/>
  <c r="U204" i="9" s="1"/>
  <c r="V204" i="9" a="1"/>
  <c r="V204" i="9" s="1"/>
  <c r="T204" i="9" a="1"/>
  <c r="T204" i="9" s="1"/>
  <c r="Z204" i="9"/>
  <c r="S204" i="9" a="1"/>
  <c r="S204" i="9" s="1"/>
  <c r="W204" i="9" a="1"/>
  <c r="W204" i="9" s="1"/>
  <c r="X204" i="9" a="1"/>
  <c r="X204" i="9" s="1"/>
  <c r="AA63" i="9"/>
  <c r="DZ1" i="10" a="1"/>
  <c r="Y46" i="9" a="1"/>
  <c r="S46" i="9" a="1"/>
  <c r="DZ1" i="10" l="1"/>
  <c r="Y46" i="9"/>
  <c r="AA209" i="9"/>
  <c r="AA98" i="9"/>
  <c r="S46" i="9"/>
  <c r="AA204" i="9"/>
  <c r="AA126" i="9"/>
  <c r="R193" i="9" a="1"/>
  <c r="R193" i="9" s="1"/>
  <c r="AB193" i="9" s="1" a="1"/>
  <c r="AB193" i="9" s="1"/>
  <c r="R123" i="9" a="1"/>
  <c r="R123" i="9" s="1"/>
  <c r="AB123" i="9" s="1" a="1"/>
  <c r="AB123" i="9" s="1"/>
  <c r="R48" i="9" a="1"/>
  <c r="R48" i="9" s="1"/>
  <c r="W46" i="9" a="1"/>
  <c r="X46" i="9" a="1"/>
  <c r="U46" i="9" a="1"/>
  <c r="V46" i="9" a="1"/>
  <c r="T46" i="9" a="1"/>
  <c r="AB48" i="9" a="1"/>
  <c r="DY7" i="10" l="1" a="1"/>
  <c r="DY7" i="10" s="1"/>
  <c r="EC6" i="10" a="1"/>
  <c r="EC6" i="10" s="1"/>
  <c r="EC4" i="10" a="1"/>
  <c r="EC4" i="10" s="1"/>
  <c r="EC2" i="10" a="1"/>
  <c r="EC2" i="10" s="1"/>
  <c r="ED1" i="10" a="1"/>
  <c r="ED1" i="10" s="1"/>
  <c r="EA7" i="10" a="1"/>
  <c r="EA7" i="10" s="1"/>
  <c r="EA6" i="10" a="1"/>
  <c r="EA6" i="10" s="1"/>
  <c r="DZ4" i="10" a="1"/>
  <c r="DZ4" i="10" s="1"/>
  <c r="DZ2" i="10" a="1"/>
  <c r="DZ2" i="10" s="1"/>
  <c r="DY1" i="10"/>
  <c r="EC7" i="10" a="1"/>
  <c r="EC7" i="10" s="1"/>
  <c r="DZ6" i="10" a="1"/>
  <c r="DZ6" i="10" s="1"/>
  <c r="DY6" i="10" a="1"/>
  <c r="DY6" i="10" s="1"/>
  <c r="AB48" i="9"/>
  <c r="Y193" i="9" a="1"/>
  <c r="Y193" i="9" s="1"/>
  <c r="Y123" i="9" a="1"/>
  <c r="Y123" i="9" s="1"/>
  <c r="T46" i="9"/>
  <c r="V46" i="9"/>
  <c r="U46" i="9"/>
  <c r="X46" i="9"/>
  <c r="W46" i="9"/>
  <c r="S123" i="9" a="1"/>
  <c r="S123" i="9" s="1"/>
  <c r="U123" i="9" a="1"/>
  <c r="U123" i="9" s="1"/>
  <c r="W123" i="9" a="1"/>
  <c r="W123" i="9" s="1"/>
  <c r="V123" i="9" a="1"/>
  <c r="V123" i="9" s="1"/>
  <c r="X123" i="9" a="1"/>
  <c r="X123" i="9" s="1"/>
  <c r="T123" i="9" a="1"/>
  <c r="T123" i="9" s="1"/>
  <c r="Z123" i="9"/>
  <c r="S193" i="9" a="1"/>
  <c r="S193" i="9" s="1"/>
  <c r="U193" i="9" a="1"/>
  <c r="U193" i="9" s="1"/>
  <c r="X193" i="9" a="1"/>
  <c r="X193" i="9" s="1"/>
  <c r="T193" i="9" a="1"/>
  <c r="T193" i="9" s="1"/>
  <c r="W193" i="9" a="1"/>
  <c r="W193" i="9" s="1"/>
  <c r="V193" i="9" a="1"/>
  <c r="V193" i="9" s="1"/>
  <c r="Z193" i="9"/>
  <c r="T48" i="9" a="1"/>
  <c r="V48" i="9" a="1"/>
  <c r="Y48" i="9" a="1"/>
  <c r="S48" i="9" a="1"/>
  <c r="Y48" i="9" l="1"/>
  <c r="T48" i="9"/>
  <c r="AA193" i="9"/>
  <c r="S48" i="9"/>
  <c r="V48" i="9"/>
  <c r="Z46" i="9"/>
  <c r="AA46" i="9"/>
  <c r="AA123" i="9"/>
  <c r="R257" i="9" a="1"/>
  <c r="R257" i="9" s="1"/>
  <c r="AB257" i="9" s="1" a="1"/>
  <c r="AB257" i="9" s="1"/>
  <c r="R253" i="9" a="1"/>
  <c r="R253" i="9" s="1"/>
  <c r="AB253" i="9" s="1" a="1"/>
  <c r="AB253" i="9" s="1"/>
  <c r="R62" i="9" a="1"/>
  <c r="R62" i="9" s="1"/>
  <c r="U48" i="9" a="1"/>
  <c r="X48" i="9" a="1"/>
  <c r="W48" i="9" a="1"/>
  <c r="AB62" i="9" l="1" a="1"/>
  <c r="AB62" i="9" s="1"/>
  <c r="Y253" i="9" a="1"/>
  <c r="Y253" i="9" s="1"/>
  <c r="Y257" i="9" a="1"/>
  <c r="Y257" i="9" s="1"/>
  <c r="Y62" i="9" a="1"/>
  <c r="Y62" i="9" s="1"/>
  <c r="X253" i="9" a="1"/>
  <c r="X253" i="9" s="1"/>
  <c r="Z253" i="9"/>
  <c r="X257" i="9" a="1"/>
  <c r="X257" i="9" s="1"/>
  <c r="Z257" i="9"/>
  <c r="T62" i="9" a="1"/>
  <c r="T62" i="9" s="1"/>
  <c r="W48" i="9"/>
  <c r="U48" i="9"/>
  <c r="X48" i="9"/>
  <c r="V257" i="9" a="1"/>
  <c r="V257" i="9" s="1"/>
  <c r="T257" i="9" a="1"/>
  <c r="T257" i="9" s="1"/>
  <c r="W257" i="9" a="1"/>
  <c r="W257" i="9" s="1"/>
  <c r="U257" i="9" a="1"/>
  <c r="U257" i="9" s="1"/>
  <c r="S257" i="9" a="1"/>
  <c r="S257" i="9" s="1"/>
  <c r="V253" i="9" a="1"/>
  <c r="V253" i="9" s="1"/>
  <c r="U253" i="9" a="1"/>
  <c r="U253" i="9" s="1"/>
  <c r="W253" i="9" a="1"/>
  <c r="W253" i="9" s="1"/>
  <c r="T253" i="9" a="1"/>
  <c r="T253" i="9" s="1"/>
  <c r="S253" i="9" a="1"/>
  <c r="S253" i="9" s="1"/>
  <c r="S62" i="9" a="1"/>
  <c r="S62" i="9" s="1"/>
  <c r="CG1" i="10" a="1"/>
  <c r="CG1" i="10" l="1"/>
  <c r="AA253" i="9"/>
  <c r="AA257" i="9"/>
  <c r="Z48" i="9"/>
  <c r="AA48" i="9"/>
  <c r="W62" i="9" a="1"/>
  <c r="W62" i="9" s="1"/>
  <c r="X62" i="9" a="1"/>
  <c r="X62" i="9" s="1"/>
  <c r="U62" i="9" a="1"/>
  <c r="U62" i="9" s="1"/>
  <c r="Z62" i="9"/>
  <c r="V62" i="9" a="1"/>
  <c r="V62" i="9" s="1"/>
  <c r="R177" i="9" a="1"/>
  <c r="R177" i="9" s="1"/>
  <c r="AB177" i="9" s="1" a="1"/>
  <c r="AB177" i="9" s="1"/>
  <c r="R234" i="9" a="1"/>
  <c r="R234" i="9" s="1"/>
  <c r="AB234" i="9" s="1" a="1"/>
  <c r="AB234" i="9" s="1"/>
  <c r="R119" i="9" a="1"/>
  <c r="R119" i="9" s="1"/>
  <c r="AB119" i="9" s="1" a="1"/>
  <c r="AB119" i="9" s="1"/>
  <c r="R14" i="9" a="1"/>
  <c r="R14" i="9" s="1"/>
  <c r="AB3" i="10" a="1"/>
  <c r="AB14" i="9" a="1"/>
  <c r="CF7" i="10" l="1" a="1"/>
  <c r="CF7" i="10" s="1"/>
  <c r="CJ6" i="10" a="1"/>
  <c r="CJ6" i="10" s="1"/>
  <c r="CJ4" i="10" a="1"/>
  <c r="CJ4" i="10" s="1"/>
  <c r="CJ2" i="10" a="1"/>
  <c r="CJ2" i="10" s="1"/>
  <c r="CK1" i="10" a="1"/>
  <c r="CK1" i="10" s="1"/>
  <c r="CH7" i="10" a="1"/>
  <c r="CH7" i="10" s="1"/>
  <c r="CH6" i="10" a="1"/>
  <c r="CH6" i="10" s="1"/>
  <c r="CG4" i="10" a="1"/>
  <c r="CG4" i="10" s="1"/>
  <c r="CG2" i="10" a="1"/>
  <c r="CG2" i="10" s="1"/>
  <c r="CF6" i="10" a="1"/>
  <c r="CF6" i="10" s="1"/>
  <c r="CF1" i="10"/>
  <c r="CJ7" i="10" a="1"/>
  <c r="CJ7" i="10" s="1"/>
  <c r="CG6" i="10" a="1"/>
  <c r="CG6" i="10" s="1"/>
  <c r="AB3" i="10"/>
  <c r="AB14" i="9"/>
  <c r="Y119" i="9" a="1"/>
  <c r="Y119" i="9" s="1"/>
  <c r="Y177" i="9" a="1"/>
  <c r="Y177" i="9" s="1"/>
  <c r="Y234" i="9" a="1"/>
  <c r="Y234" i="9" s="1"/>
  <c r="T119" i="9" a="1"/>
  <c r="T119" i="9" s="1"/>
  <c r="X119" i="9" a="1"/>
  <c r="X119" i="9" s="1"/>
  <c r="W119" i="9" a="1"/>
  <c r="W119" i="9" s="1"/>
  <c r="U119" i="9" a="1"/>
  <c r="U119" i="9" s="1"/>
  <c r="V119" i="9" a="1"/>
  <c r="V119" i="9" s="1"/>
  <c r="Z119" i="9"/>
  <c r="S119" i="9" a="1"/>
  <c r="S119" i="9" s="1"/>
  <c r="X177" i="9" a="1"/>
  <c r="X177" i="9" s="1"/>
  <c r="S177" i="9" a="1"/>
  <c r="S177" i="9" s="1"/>
  <c r="T177" i="9" a="1"/>
  <c r="T177" i="9" s="1"/>
  <c r="Z177" i="9"/>
  <c r="V177" i="9" a="1"/>
  <c r="V177" i="9" s="1"/>
  <c r="U177" i="9" a="1"/>
  <c r="U177" i="9" s="1"/>
  <c r="W177" i="9" a="1"/>
  <c r="W177" i="9" s="1"/>
  <c r="T234" i="9" a="1"/>
  <c r="T234" i="9" s="1"/>
  <c r="Z234" i="9"/>
  <c r="V234" i="9" a="1"/>
  <c r="V234" i="9" s="1"/>
  <c r="U234" i="9" a="1"/>
  <c r="U234" i="9" s="1"/>
  <c r="S234" i="9" a="1"/>
  <c r="S234" i="9" s="1"/>
  <c r="X234" i="9" a="1"/>
  <c r="X234" i="9" s="1"/>
  <c r="W234" i="9" a="1"/>
  <c r="W234" i="9" s="1"/>
  <c r="AA62" i="9"/>
  <c r="T14" i="9" a="1"/>
  <c r="W14" i="9" a="1"/>
  <c r="S14" i="9" a="1"/>
  <c r="Y14" i="9" a="1"/>
  <c r="X14" i="9" a="1"/>
  <c r="U14" i="9" a="1"/>
  <c r="V14" i="9" a="1"/>
  <c r="Y14" i="9" l="1"/>
  <c r="T14" i="9"/>
  <c r="AA234" i="9"/>
  <c r="AA119" i="9"/>
  <c r="S14" i="9"/>
  <c r="V14" i="9"/>
  <c r="U14" i="9"/>
  <c r="X14" i="9"/>
  <c r="W14" i="9"/>
  <c r="AA177" i="9"/>
  <c r="R66" i="9" a="1"/>
  <c r="R66" i="9" s="1"/>
  <c r="AB66" i="9" s="1" a="1"/>
  <c r="AB66" i="9" s="1"/>
  <c r="Y1" i="10" a="1"/>
  <c r="Y1" i="10" l="1"/>
  <c r="Y66" i="9" a="1"/>
  <c r="Y66" i="9" s="1"/>
  <c r="T66" i="9" a="1"/>
  <c r="T66" i="9" s="1"/>
  <c r="Z14" i="9"/>
  <c r="AA14" i="9"/>
  <c r="Z66" i="9"/>
  <c r="U66" i="9" a="1"/>
  <c r="U66" i="9" s="1"/>
  <c r="V66" i="9" a="1"/>
  <c r="V66" i="9" s="1"/>
  <c r="S66" i="9" a="1"/>
  <c r="S66" i="9" s="1"/>
  <c r="X1" i="10" l="1"/>
  <c r="W66" i="9" a="1"/>
  <c r="W66" i="9" s="1"/>
  <c r="AA66" i="9" s="1"/>
  <c r="X66" i="9" a="1"/>
  <c r="X66" i="9" s="1"/>
  <c r="R221" i="9" a="1"/>
  <c r="R221" i="9" s="1"/>
  <c r="AB221" i="9" s="1" a="1"/>
  <c r="AB221" i="9" s="1"/>
  <c r="R109" i="9" a="1"/>
  <c r="R109" i="9" s="1"/>
  <c r="R56" i="9" a="1"/>
  <c r="R56" i="9" s="1"/>
  <c r="AB56" i="9" s="1" a="1"/>
  <c r="X7" i="10" a="1"/>
  <c r="AB6" i="10" a="1"/>
  <c r="AB7" i="10" a="1"/>
  <c r="AB4" i="10" a="1"/>
  <c r="Y6" i="10" a="1"/>
  <c r="X6" i="10" a="1"/>
  <c r="AB2" i="10" a="1"/>
  <c r="Z7" i="10" a="1"/>
  <c r="Y4" i="10" a="1"/>
  <c r="AC1" i="10" a="1"/>
  <c r="Z6" i="10" a="1"/>
  <c r="Y2" i="10" a="1"/>
  <c r="Y2" i="10" l="1"/>
  <c r="Z6" i="10"/>
  <c r="AC1" i="10"/>
  <c r="Y4" i="10"/>
  <c r="Z7" i="10"/>
  <c r="AB2" i="10"/>
  <c r="X6" i="10"/>
  <c r="Y6" i="10"/>
  <c r="AB4" i="10"/>
  <c r="AB7" i="10"/>
  <c r="AB6" i="10"/>
  <c r="X7" i="10"/>
  <c r="AB109" i="9" a="1"/>
  <c r="AB109" i="9" s="1"/>
  <c r="T56" i="9" a="1"/>
  <c r="T56" i="9" s="1"/>
  <c r="Y56" i="9" a="1"/>
  <c r="Y56" i="9" s="1"/>
  <c r="AB56" i="9"/>
  <c r="Y221" i="9" a="1"/>
  <c r="Y221" i="9" s="1"/>
  <c r="Y109" i="9" a="1"/>
  <c r="Y109" i="9" s="1"/>
  <c r="T109" i="9" a="1"/>
  <c r="T109" i="9" s="1"/>
  <c r="W109" i="9" a="1"/>
  <c r="W109" i="9" s="1"/>
  <c r="Z109" i="9"/>
  <c r="X109" i="9" a="1"/>
  <c r="X109" i="9" s="1"/>
  <c r="U109" i="9" a="1"/>
  <c r="U109" i="9" s="1"/>
  <c r="V109" i="9" a="1"/>
  <c r="V109" i="9" s="1"/>
  <c r="S109" i="9" a="1"/>
  <c r="S109" i="9" s="1"/>
  <c r="T221" i="9" a="1"/>
  <c r="T221" i="9" s="1"/>
  <c r="U221" i="9" a="1"/>
  <c r="U221" i="9" s="1"/>
  <c r="X221" i="9" a="1"/>
  <c r="X221" i="9" s="1"/>
  <c r="S221" i="9" a="1"/>
  <c r="S221" i="9" s="1"/>
  <c r="Z221" i="9"/>
  <c r="W221" i="9" a="1"/>
  <c r="W221" i="9" s="1"/>
  <c r="V221" i="9" a="1"/>
  <c r="V221" i="9" s="1"/>
  <c r="V56" i="9" a="1"/>
  <c r="S56" i="9" a="1"/>
  <c r="EH1" i="10" a="1"/>
  <c r="Y3" i="10" a="1"/>
  <c r="EH1" i="10" l="1"/>
  <c r="Y3" i="10"/>
  <c r="S56" i="9"/>
  <c r="V56" i="9"/>
  <c r="AA109" i="9"/>
  <c r="AA221" i="9"/>
  <c r="R171" i="9" a="1"/>
  <c r="R171" i="9" s="1"/>
  <c r="AB171" i="9" s="1" a="1"/>
  <c r="AB171" i="9" s="1"/>
  <c r="R146" i="9" a="1"/>
  <c r="R146" i="9" s="1"/>
  <c r="AB146" i="9" s="1" a="1"/>
  <c r="AB146" i="9" s="1"/>
  <c r="R49" i="9" a="1"/>
  <c r="R49" i="9" s="1"/>
  <c r="W56" i="9" a="1"/>
  <c r="U56" i="9" a="1"/>
  <c r="X56" i="9" a="1"/>
  <c r="AB49" i="9" a="1"/>
  <c r="EK6" i="10" l="1" a="1"/>
  <c r="EK6" i="10" s="1"/>
  <c r="ER3" i="10" a="1"/>
  <c r="ER3" i="10" s="1"/>
  <c r="EG1" i="10"/>
  <c r="EG7" i="10" a="1"/>
  <c r="EG7" i="10" s="1"/>
  <c r="EK7" i="10" a="1"/>
  <c r="EK7" i="10" s="1"/>
  <c r="EI6" i="10" a="1"/>
  <c r="EI6" i="10" s="1"/>
  <c r="EO3" i="10" a="1"/>
  <c r="EO3" i="10" s="1"/>
  <c r="EL1" i="10" a="1"/>
  <c r="EL1" i="10" s="1"/>
  <c r="EH3" i="10" a="1"/>
  <c r="EH3" i="10" s="1"/>
  <c r="EI7" i="10" a="1"/>
  <c r="EI7" i="10" s="1"/>
  <c r="EH6" i="10" a="1"/>
  <c r="EH6" i="10" s="1"/>
  <c r="EK4" i="10" a="1"/>
  <c r="EK4" i="10" s="1"/>
  <c r="EK3" i="10" a="1"/>
  <c r="EK3" i="10" s="1"/>
  <c r="EK2" i="10" a="1"/>
  <c r="EK2" i="10" s="1"/>
  <c r="EH4" i="10" a="1"/>
  <c r="EH4" i="10" s="1"/>
  <c r="EH2" i="10" a="1"/>
  <c r="EH2" i="10" s="1"/>
  <c r="EG6" i="10" a="1"/>
  <c r="EG6" i="10" s="1"/>
  <c r="AB49" i="9"/>
  <c r="Y146" i="9" a="1"/>
  <c r="Y146" i="9" s="1"/>
  <c r="Y171" i="9" a="1"/>
  <c r="Y171" i="9" s="1"/>
  <c r="X56" i="9"/>
  <c r="U56" i="9"/>
  <c r="W56" i="9"/>
  <c r="S146" i="9" a="1"/>
  <c r="S146" i="9" s="1"/>
  <c r="V146" i="9" a="1"/>
  <c r="V146" i="9" s="1"/>
  <c r="Z146" i="9"/>
  <c r="T146" i="9" a="1"/>
  <c r="T146" i="9" s="1"/>
  <c r="W146" i="9" a="1"/>
  <c r="W146" i="9" s="1"/>
  <c r="X146" i="9" a="1"/>
  <c r="X146" i="9" s="1"/>
  <c r="U146" i="9" a="1"/>
  <c r="U146" i="9" s="1"/>
  <c r="V171" i="9" a="1"/>
  <c r="V171" i="9" s="1"/>
  <c r="T171" i="9" a="1"/>
  <c r="T171" i="9" s="1"/>
  <c r="W171" i="9" a="1"/>
  <c r="W171" i="9" s="1"/>
  <c r="X171" i="9" a="1"/>
  <c r="X171" i="9" s="1"/>
  <c r="S171" i="9" a="1"/>
  <c r="S171" i="9" s="1"/>
  <c r="U171" i="9" a="1"/>
  <c r="U171" i="9" s="1"/>
  <c r="Z171" i="9"/>
  <c r="Y49" i="9" a="1"/>
  <c r="W49" i="9" a="1"/>
  <c r="V49" i="9" a="1"/>
  <c r="S49" i="9" a="1"/>
  <c r="Y49" i="9" l="1"/>
  <c r="AA56" i="9"/>
  <c r="Z56" i="9"/>
  <c r="AA171" i="9"/>
  <c r="W49" i="9"/>
  <c r="S49" i="9"/>
  <c r="V49" i="9"/>
  <c r="AA146" i="9"/>
  <c r="R7" i="9" a="1"/>
  <c r="R7" i="9" s="1"/>
  <c r="BK1" i="10" a="1"/>
  <c r="U49" i="9" a="1"/>
  <c r="T49" i="9" a="1"/>
  <c r="X49" i="9" a="1"/>
  <c r="T7" i="9" a="1"/>
  <c r="BK1" i="10" l="1"/>
  <c r="AA49" i="9"/>
  <c r="Z49" i="9"/>
  <c r="T7" i="9"/>
  <c r="T49" i="9"/>
  <c r="U49" i="9"/>
  <c r="X49" i="9"/>
  <c r="Y7" i="9" a="1"/>
  <c r="V7" i="9" a="1"/>
  <c r="W7" i="9" a="1"/>
  <c r="AB7" i="9" a="1"/>
  <c r="S7" i="9" a="1"/>
  <c r="U7" i="9" a="1"/>
  <c r="X7" i="9" a="1"/>
  <c r="BN6" i="10" l="1" a="1"/>
  <c r="BN6" i="10" s="1"/>
  <c r="BU3" i="10" a="1"/>
  <c r="BU3" i="10" s="1"/>
  <c r="BJ1" i="10"/>
  <c r="BJ7" i="10" a="1"/>
  <c r="BJ7" i="10" s="1"/>
  <c r="BK3" i="10" a="1"/>
  <c r="BK3" i="10" s="1"/>
  <c r="BN7" i="10" a="1"/>
  <c r="BN7" i="10" s="1"/>
  <c r="BL6" i="10" a="1"/>
  <c r="BL6" i="10" s="1"/>
  <c r="BR3" i="10" a="1"/>
  <c r="BR3" i="10" s="1"/>
  <c r="BO1" i="10" a="1"/>
  <c r="BO1" i="10" s="1"/>
  <c r="BK4" i="10" a="1"/>
  <c r="BK4" i="10" s="1"/>
  <c r="BL7" i="10" a="1"/>
  <c r="BL7" i="10" s="1"/>
  <c r="BK6" i="10" a="1"/>
  <c r="BK6" i="10" s="1"/>
  <c r="BN4" i="10" a="1"/>
  <c r="BN4" i="10" s="1"/>
  <c r="BN3" i="10" a="1"/>
  <c r="BN3" i="10" s="1"/>
  <c r="BN2" i="10" a="1"/>
  <c r="BN2" i="10" s="1"/>
  <c r="BJ6" i="10" a="1"/>
  <c r="BJ6" i="10" s="1"/>
  <c r="BK2" i="10" a="1"/>
  <c r="BK2" i="10" s="1"/>
  <c r="AB7" i="9"/>
  <c r="Y7" i="9"/>
  <c r="X7" i="9"/>
  <c r="U7" i="9"/>
  <c r="W7" i="9"/>
  <c r="S7" i="9"/>
  <c r="V7" i="9"/>
  <c r="R92" i="9" a="1"/>
  <c r="R92" i="9" s="1"/>
  <c r="AB92" i="9" s="1" a="1"/>
  <c r="AB92" i="9" s="1"/>
  <c r="R79" i="9" a="1"/>
  <c r="R79" i="9" s="1"/>
  <c r="AB79" i="9" s="1" a="1"/>
  <c r="AB79" i="9" s="1"/>
  <c r="R76" i="9" a="1"/>
  <c r="R76" i="9" s="1"/>
  <c r="AB76" i="9" s="1" a="1"/>
  <c r="AB76" i="9" s="1"/>
  <c r="C25" i="10" a="1"/>
  <c r="C25" i="10" l="1"/>
  <c r="Y76" i="9" a="1"/>
  <c r="Y76" i="9" s="1"/>
  <c r="Y92" i="9" a="1"/>
  <c r="Y92" i="9" s="1"/>
  <c r="Y79" i="9" a="1"/>
  <c r="Y79" i="9" s="1"/>
  <c r="T76" i="9" a="1"/>
  <c r="T76" i="9" s="1"/>
  <c r="Z7" i="9"/>
  <c r="AA7" i="9"/>
  <c r="Z79" i="9"/>
  <c r="X79" i="9" a="1"/>
  <c r="X79" i="9" s="1"/>
  <c r="V79" i="9" a="1"/>
  <c r="V79" i="9" s="1"/>
  <c r="S79" i="9" a="1"/>
  <c r="S79" i="9" s="1"/>
  <c r="W79" i="9" a="1"/>
  <c r="W79" i="9" s="1"/>
  <c r="T79" i="9" a="1"/>
  <c r="T79" i="9" s="1"/>
  <c r="U79" i="9" a="1"/>
  <c r="U79" i="9" s="1"/>
  <c r="S92" i="9" a="1"/>
  <c r="S92" i="9" s="1"/>
  <c r="T92" i="9" a="1"/>
  <c r="T92" i="9" s="1"/>
  <c r="W92" i="9" a="1"/>
  <c r="W92" i="9" s="1"/>
  <c r="U92" i="9" a="1"/>
  <c r="U92" i="9" s="1"/>
  <c r="X92" i="9" a="1"/>
  <c r="X92" i="9" s="1"/>
  <c r="Z92" i="9"/>
  <c r="V92" i="9" a="1"/>
  <c r="V92" i="9" s="1"/>
  <c r="X76" i="9" a="1"/>
  <c r="X76" i="9" s="1"/>
  <c r="Z76" i="9"/>
  <c r="V76" i="9" a="1"/>
  <c r="V76" i="9" s="1"/>
  <c r="S76" i="9" a="1"/>
  <c r="S76" i="9" s="1"/>
  <c r="B25" i="10" l="1"/>
  <c r="P25" i="10"/>
  <c r="AA79" i="9"/>
  <c r="AA92" i="9"/>
  <c r="W76" i="9" a="1"/>
  <c r="W76" i="9" s="1"/>
  <c r="U76" i="9" a="1"/>
  <c r="U76" i="9" s="1"/>
  <c r="R167" i="9" a="1"/>
  <c r="R167" i="9" s="1"/>
  <c r="AB167" i="9" s="1" a="1"/>
  <c r="AB167" i="9" s="1"/>
  <c r="R162" i="9" a="1"/>
  <c r="R162" i="9" s="1"/>
  <c r="AB162" i="9" s="1" a="1"/>
  <c r="AB162" i="9" s="1"/>
  <c r="R229" i="9" a="1"/>
  <c r="R229" i="9" s="1"/>
  <c r="AB229" i="9" s="1" a="1"/>
  <c r="AB229" i="9" s="1"/>
  <c r="R103" i="9" a="1"/>
  <c r="R103" i="9" s="1"/>
  <c r="AB103" i="9" s="1" a="1"/>
  <c r="AB103" i="9" s="1"/>
  <c r="R94" i="9" a="1"/>
  <c r="R94" i="9" s="1"/>
  <c r="AB94" i="9" s="1" a="1"/>
  <c r="AB94" i="9" s="1"/>
  <c r="R72" i="9" a="1"/>
  <c r="R72" i="9" s="1"/>
  <c r="AB72" i="9" s="1" a="1"/>
  <c r="AB72" i="9" s="1"/>
  <c r="B31" i="10" a="1"/>
  <c r="F26" i="10" a="1"/>
  <c r="B30" i="10" a="1"/>
  <c r="F31" i="10" a="1"/>
  <c r="C28" i="10" a="1"/>
  <c r="D30" i="10" a="1"/>
  <c r="J27" i="10" a="1"/>
  <c r="C26" i="10" a="1"/>
  <c r="D31" i="10" a="1"/>
  <c r="G25" i="10" a="1"/>
  <c r="C30" i="10" a="1"/>
  <c r="F30" i="10" a="1"/>
  <c r="F28" i="10" a="1"/>
  <c r="M27" i="10" a="1"/>
  <c r="F27" i="10" a="1"/>
  <c r="F27" i="10" l="1"/>
  <c r="M27" i="10"/>
  <c r="F28" i="10"/>
  <c r="F30" i="10"/>
  <c r="C30" i="10"/>
  <c r="G25" i="10"/>
  <c r="D31" i="10"/>
  <c r="C26" i="10"/>
  <c r="J27" i="10"/>
  <c r="D30" i="10"/>
  <c r="C28" i="10"/>
  <c r="F31" i="10"/>
  <c r="B30" i="10"/>
  <c r="F26" i="10"/>
  <c r="B31" i="10"/>
  <c r="W25" i="10"/>
  <c r="Y72" i="9" a="1"/>
  <c r="Y72" i="9" s="1"/>
  <c r="Y94" i="9" a="1"/>
  <c r="Y94" i="9" s="1"/>
  <c r="Y103" i="9" a="1"/>
  <c r="Y103" i="9" s="1"/>
  <c r="Y229" i="9" a="1"/>
  <c r="Y229" i="9" s="1"/>
  <c r="Y162" i="9" a="1"/>
  <c r="Y162" i="9" s="1"/>
  <c r="Y167" i="9" a="1"/>
  <c r="Y167" i="9" s="1"/>
  <c r="T72" i="9" a="1"/>
  <c r="T72" i="9" s="1"/>
  <c r="V103" i="9" a="1"/>
  <c r="V103" i="9" s="1"/>
  <c r="T103" i="9" a="1"/>
  <c r="T103" i="9" s="1"/>
  <c r="U103" i="9" a="1"/>
  <c r="U103" i="9" s="1"/>
  <c r="X103" i="9" a="1"/>
  <c r="X103" i="9" s="1"/>
  <c r="S103" i="9" a="1"/>
  <c r="S103" i="9" s="1"/>
  <c r="W103" i="9" a="1"/>
  <c r="W103" i="9" s="1"/>
  <c r="Z103" i="9"/>
  <c r="U167" i="9" a="1"/>
  <c r="U167" i="9" s="1"/>
  <c r="Z167" i="9"/>
  <c r="V167" i="9" a="1"/>
  <c r="V167" i="9" s="1"/>
  <c r="X167" i="9" a="1"/>
  <c r="X167" i="9" s="1"/>
  <c r="S167" i="9" a="1"/>
  <c r="S167" i="9" s="1"/>
  <c r="W167" i="9" a="1"/>
  <c r="W167" i="9" s="1"/>
  <c r="T167" i="9" a="1"/>
  <c r="T167" i="9" s="1"/>
  <c r="U94" i="9" a="1"/>
  <c r="U94" i="9" s="1"/>
  <c r="X94" i="9" a="1"/>
  <c r="X94" i="9" s="1"/>
  <c r="W94" i="9" a="1"/>
  <c r="W94" i="9" s="1"/>
  <c r="Z94" i="9"/>
  <c r="T94" i="9" a="1"/>
  <c r="T94" i="9" s="1"/>
  <c r="V94" i="9" a="1"/>
  <c r="V94" i="9" s="1"/>
  <c r="S94" i="9" a="1"/>
  <c r="S94" i="9" s="1"/>
  <c r="AA76" i="9"/>
  <c r="S229" i="9" a="1"/>
  <c r="S229" i="9" s="1"/>
  <c r="X229" i="9" a="1"/>
  <c r="X229" i="9" s="1"/>
  <c r="Z229" i="9"/>
  <c r="U229" i="9" a="1"/>
  <c r="U229" i="9" s="1"/>
  <c r="W229" i="9" a="1"/>
  <c r="W229" i="9" s="1"/>
  <c r="V229" i="9" a="1"/>
  <c r="V229" i="9" s="1"/>
  <c r="T229" i="9" a="1"/>
  <c r="T229" i="9" s="1"/>
  <c r="S162" i="9" a="1"/>
  <c r="S162" i="9" s="1"/>
  <c r="X162" i="9" a="1"/>
  <c r="X162" i="9" s="1"/>
  <c r="U162" i="9" a="1"/>
  <c r="U162" i="9" s="1"/>
  <c r="W162" i="9" a="1"/>
  <c r="W162" i="9" s="1"/>
  <c r="V162" i="9" a="1"/>
  <c r="V162" i="9" s="1"/>
  <c r="Z162" i="9"/>
  <c r="T162" i="9" a="1"/>
  <c r="T162" i="9" s="1"/>
  <c r="S72" i="9" a="1"/>
  <c r="S72" i="9" s="1"/>
  <c r="C27" i="10" a="1"/>
  <c r="R25" i="10" a="1"/>
  <c r="Y25" i="10" a="1"/>
  <c r="C27" i="10" l="1"/>
  <c r="Y25" i="10"/>
  <c r="R25" i="10"/>
  <c r="P33" i="10"/>
  <c r="AA167" i="9"/>
  <c r="AA162" i="9"/>
  <c r="AA229" i="9"/>
  <c r="AA103" i="9"/>
  <c r="AA94" i="9"/>
  <c r="W72" i="9" a="1"/>
  <c r="W72" i="9" s="1"/>
  <c r="X72" i="9" a="1"/>
  <c r="X72" i="9" s="1"/>
  <c r="U72" i="9" a="1"/>
  <c r="U72" i="9" s="1"/>
  <c r="Z72" i="9"/>
  <c r="V72" i="9" a="1"/>
  <c r="V72" i="9" s="1"/>
  <c r="R227" i="9" a="1"/>
  <c r="R227" i="9" s="1"/>
  <c r="AB227" i="9" s="1" a="1"/>
  <c r="AB227" i="9" s="1"/>
  <c r="R51" i="9" a="1"/>
  <c r="R51" i="9" s="1"/>
  <c r="Y51" i="9" a="1"/>
  <c r="W33" i="10" l="1"/>
  <c r="Q25" i="10"/>
  <c r="X25" i="10"/>
  <c r="Y227" i="9" a="1"/>
  <c r="Y227" i="9" s="1"/>
  <c r="Y51" i="9"/>
  <c r="Z227" i="9"/>
  <c r="T227" i="9" a="1"/>
  <c r="T227" i="9" s="1"/>
  <c r="X227" i="9" a="1"/>
  <c r="X227" i="9" s="1"/>
  <c r="W227" i="9" a="1"/>
  <c r="W227" i="9" s="1"/>
  <c r="V227" i="9" a="1"/>
  <c r="V227" i="9" s="1"/>
  <c r="S227" i="9" a="1"/>
  <c r="S227" i="9" s="1"/>
  <c r="U227" i="9" a="1"/>
  <c r="U227" i="9" s="1"/>
  <c r="AA72" i="9"/>
  <c r="Y33" i="10" a="1"/>
  <c r="R26" i="10" a="1"/>
  <c r="AB28" i="10" a="1"/>
  <c r="R33" i="10" a="1"/>
  <c r="V25" i="10" a="1"/>
  <c r="R30" i="10" a="1"/>
  <c r="AB26" i="10" a="1"/>
  <c r="S31" i="10" a="1"/>
  <c r="U28" i="10" a="1"/>
  <c r="U27" i="10" a="1"/>
  <c r="AC25" i="10" a="1"/>
  <c r="Z30" i="10" a="1"/>
  <c r="X31" i="10" a="1"/>
  <c r="U26" i="10" a="1"/>
  <c r="U30" i="10" a="1"/>
  <c r="Z31" i="10" a="1"/>
  <c r="AB31" i="10" a="1"/>
  <c r="Y28" i="10" a="1"/>
  <c r="Q31" i="10" a="1"/>
  <c r="AB27" i="10" a="1"/>
  <c r="X30" i="10" a="1"/>
  <c r="Y30" i="10" a="1"/>
  <c r="Y26" i="10" a="1"/>
  <c r="Q30" i="10" a="1"/>
  <c r="R28" i="10" a="1"/>
  <c r="U31" i="10" a="1"/>
  <c r="S30" i="10" a="1"/>
  <c r="AB30" i="10" a="1"/>
  <c r="AB51" i="9" a="1"/>
  <c r="T51" i="9" a="1"/>
  <c r="W51" i="9" a="1"/>
  <c r="V51" i="9" a="1"/>
  <c r="U51" i="9" a="1"/>
  <c r="S51" i="9" a="1"/>
  <c r="AB30" i="10" l="1"/>
  <c r="S30" i="10"/>
  <c r="U31" i="10"/>
  <c r="R28" i="10"/>
  <c r="Q30" i="10"/>
  <c r="Y26" i="10"/>
  <c r="Y30" i="10"/>
  <c r="X30" i="10"/>
  <c r="AB27" i="10"/>
  <c r="Q31" i="10"/>
  <c r="Y28" i="10"/>
  <c r="AB31" i="10"/>
  <c r="Z31" i="10"/>
  <c r="U30" i="10"/>
  <c r="U26" i="10"/>
  <c r="X31" i="10"/>
  <c r="Z30" i="10"/>
  <c r="AC25" i="10"/>
  <c r="U27" i="10"/>
  <c r="U28" i="10"/>
  <c r="S31" i="10"/>
  <c r="AB26" i="10"/>
  <c r="R30" i="10"/>
  <c r="V25" i="10"/>
  <c r="R33" i="10"/>
  <c r="AB28" i="10"/>
  <c r="R26" i="10"/>
  <c r="Y33" i="10"/>
  <c r="T51" i="9"/>
  <c r="AB51" i="9"/>
  <c r="AA227" i="9"/>
  <c r="S51" i="9"/>
  <c r="U51" i="9"/>
  <c r="V51" i="9"/>
  <c r="W51" i="9"/>
  <c r="R163" i="9" a="1"/>
  <c r="R163" i="9" s="1"/>
  <c r="AB163" i="9" s="1" a="1"/>
  <c r="AB163" i="9" s="1"/>
  <c r="R11" i="9" a="1"/>
  <c r="R11" i="9" s="1"/>
  <c r="R27" i="10" a="1"/>
  <c r="Y27" i="10" a="1"/>
  <c r="X51" i="9" a="1"/>
  <c r="AB11" i="9" a="1"/>
  <c r="Y27" i="10" l="1"/>
  <c r="R27" i="10"/>
  <c r="X33" i="10"/>
  <c r="Q33" i="10"/>
  <c r="AB11" i="9"/>
  <c r="Y163" i="9" a="1"/>
  <c r="Y163" i="9" s="1"/>
  <c r="AA51" i="9"/>
  <c r="X51" i="9"/>
  <c r="W163" i="9" a="1"/>
  <c r="W163" i="9" s="1"/>
  <c r="U163" i="9" a="1"/>
  <c r="U163" i="9" s="1"/>
  <c r="V163" i="9" a="1"/>
  <c r="V163" i="9" s="1"/>
  <c r="Z163" i="9"/>
  <c r="T163" i="9" a="1"/>
  <c r="T163" i="9" s="1"/>
  <c r="S163" i="9" a="1"/>
  <c r="S163" i="9" s="1"/>
  <c r="X163" i="9" a="1"/>
  <c r="X163" i="9" s="1"/>
  <c r="Z51" i="9"/>
  <c r="AB36" i="10" a="1"/>
  <c r="R38" i="10" a="1"/>
  <c r="R34" i="10" a="1"/>
  <c r="U38" i="10" a="1"/>
  <c r="U34" i="10" a="1"/>
  <c r="U39" i="10" a="1"/>
  <c r="S38" i="10" a="1"/>
  <c r="AB34" i="10" a="1"/>
  <c r="U36" i="10" a="1"/>
  <c r="V33" i="10" a="1"/>
  <c r="AB35" i="10" a="1"/>
  <c r="AB39" i="10" a="1"/>
  <c r="AC33" i="10" a="1"/>
  <c r="U35" i="10" a="1"/>
  <c r="Y38" i="10" a="1"/>
  <c r="R36" i="10" a="1"/>
  <c r="Z39" i="10" a="1"/>
  <c r="Z38" i="10" a="1"/>
  <c r="Q39" i="10" a="1"/>
  <c r="X38" i="10" a="1"/>
  <c r="Y36" i="10" a="1"/>
  <c r="Q38" i="10" a="1"/>
  <c r="Y34" i="10" a="1"/>
  <c r="X39" i="10" a="1"/>
  <c r="AB38" i="10" a="1"/>
  <c r="S39" i="10" a="1"/>
  <c r="Y11" i="9" a="1"/>
  <c r="T11" i="9" a="1"/>
  <c r="S11" i="9" a="1"/>
  <c r="V11" i="9" a="1"/>
  <c r="S39" i="10" l="1"/>
  <c r="AB38" i="10"/>
  <c r="X39" i="10"/>
  <c r="Y34" i="10"/>
  <c r="Q38" i="10"/>
  <c r="Y36" i="10"/>
  <c r="X38" i="10"/>
  <c r="Q39" i="10"/>
  <c r="Z38" i="10"/>
  <c r="Z39" i="10"/>
  <c r="R36" i="10"/>
  <c r="Y38" i="10"/>
  <c r="U35" i="10"/>
  <c r="AC33" i="10"/>
  <c r="AB39" i="10"/>
  <c r="AB35" i="10"/>
  <c r="V33" i="10"/>
  <c r="U36" i="10"/>
  <c r="AB34" i="10"/>
  <c r="S38" i="10"/>
  <c r="U39" i="10"/>
  <c r="U34" i="10"/>
  <c r="U38" i="10"/>
  <c r="R34" i="10"/>
  <c r="R38" i="10"/>
  <c r="AB36" i="10"/>
  <c r="T11" i="9"/>
  <c r="Y11" i="9"/>
  <c r="V11" i="9"/>
  <c r="S11" i="9"/>
  <c r="AA163" i="9"/>
  <c r="R222" i="9" a="1"/>
  <c r="R222" i="9" s="1"/>
  <c r="AB222" i="9" s="1" a="1"/>
  <c r="AB222" i="9" s="1"/>
  <c r="R251" i="9" a="1"/>
  <c r="R251" i="9" s="1"/>
  <c r="AB251" i="9" s="1" a="1"/>
  <c r="AB251" i="9" s="1"/>
  <c r="R131" i="9" a="1"/>
  <c r="R131" i="9" s="1"/>
  <c r="AB131" i="9" s="1" a="1"/>
  <c r="AB131" i="9" s="1"/>
  <c r="R107" i="9" a="1"/>
  <c r="R107" i="9" s="1"/>
  <c r="AB107" i="9" s="1" a="1"/>
  <c r="AB107" i="9" s="1"/>
  <c r="R104" i="9" a="1"/>
  <c r="R104" i="9" s="1"/>
  <c r="AB104" i="9" s="1" a="1"/>
  <c r="AB104" i="9" s="1"/>
  <c r="C41" i="10" a="1"/>
  <c r="R35" i="10" a="1"/>
  <c r="Y35" i="10" a="1"/>
  <c r="U11" i="9" a="1"/>
  <c r="W11" i="9" a="1"/>
  <c r="X11" i="9" a="1"/>
  <c r="C41" i="10" l="1"/>
  <c r="Y35" i="10"/>
  <c r="R35" i="10"/>
  <c r="Y251" i="9" a="1"/>
  <c r="Y251" i="9" s="1"/>
  <c r="Y131" i="9" a="1"/>
  <c r="Y131" i="9" s="1"/>
  <c r="Y222" i="9" a="1"/>
  <c r="Y222" i="9" s="1"/>
  <c r="Y104" i="9" a="1"/>
  <c r="Y104" i="9" s="1"/>
  <c r="Y107" i="9" a="1"/>
  <c r="Y107" i="9" s="1"/>
  <c r="X251" i="9" a="1"/>
  <c r="X251" i="9" s="1"/>
  <c r="Z251" i="9"/>
  <c r="W11" i="9"/>
  <c r="U11" i="9"/>
  <c r="X11" i="9"/>
  <c r="U131" i="9" a="1"/>
  <c r="U131" i="9" s="1"/>
  <c r="W131" i="9" a="1"/>
  <c r="W131" i="9" s="1"/>
  <c r="Z131" i="9"/>
  <c r="X131" i="9" a="1"/>
  <c r="X131" i="9" s="1"/>
  <c r="T131" i="9" a="1"/>
  <c r="T131" i="9" s="1"/>
  <c r="V131" i="9" a="1"/>
  <c r="V131" i="9" s="1"/>
  <c r="S131" i="9" a="1"/>
  <c r="S131" i="9" s="1"/>
  <c r="U251" i="9" a="1"/>
  <c r="U251" i="9" s="1"/>
  <c r="S251" i="9" a="1"/>
  <c r="S251" i="9" s="1"/>
  <c r="V251" i="9" a="1"/>
  <c r="V251" i="9" s="1"/>
  <c r="W251" i="9" a="1"/>
  <c r="W251" i="9" s="1"/>
  <c r="T251" i="9" a="1"/>
  <c r="T251" i="9" s="1"/>
  <c r="W222" i="9" a="1"/>
  <c r="W222" i="9" s="1"/>
  <c r="T222" i="9" a="1"/>
  <c r="T222" i="9" s="1"/>
  <c r="Z222" i="9"/>
  <c r="V222" i="9" a="1"/>
  <c r="V222" i="9" s="1"/>
  <c r="U222" i="9" a="1"/>
  <c r="U222" i="9" s="1"/>
  <c r="S222" i="9" a="1"/>
  <c r="S222" i="9" s="1"/>
  <c r="X222" i="9" a="1"/>
  <c r="X222" i="9" s="1"/>
  <c r="V104" i="9" a="1"/>
  <c r="V104" i="9" s="1"/>
  <c r="T104" i="9" a="1"/>
  <c r="T104" i="9" s="1"/>
  <c r="W104" i="9" a="1"/>
  <c r="W104" i="9" s="1"/>
  <c r="X104" i="9" a="1"/>
  <c r="X104" i="9" s="1"/>
  <c r="S104" i="9" a="1"/>
  <c r="S104" i="9" s="1"/>
  <c r="U104" i="9" a="1"/>
  <c r="U104" i="9" s="1"/>
  <c r="Z104" i="9"/>
  <c r="U107" i="9" a="1"/>
  <c r="U107" i="9" s="1"/>
  <c r="X107" i="9" a="1"/>
  <c r="X107" i="9" s="1"/>
  <c r="Z107" i="9"/>
  <c r="V107" i="9" a="1"/>
  <c r="V107" i="9" s="1"/>
  <c r="S107" i="9" a="1"/>
  <c r="S107" i="9" s="1"/>
  <c r="T107" i="9" a="1"/>
  <c r="T107" i="9" s="1"/>
  <c r="W107" i="9" a="1"/>
  <c r="W107" i="9" s="1"/>
  <c r="B41" i="10" l="1"/>
  <c r="P41" i="10"/>
  <c r="AA251" i="9"/>
  <c r="AA104" i="9"/>
  <c r="AA222" i="9"/>
  <c r="AA131" i="9"/>
  <c r="AA107" i="9"/>
  <c r="Z11" i="9"/>
  <c r="AA11" i="9"/>
  <c r="D47" i="10" a="1"/>
  <c r="C46" i="10" a="1"/>
  <c r="C42" i="10" a="1"/>
  <c r="F46" i="10" a="1"/>
  <c r="F44" i="10" a="1"/>
  <c r="G41" i="10" a="1"/>
  <c r="F43" i="10" a="1"/>
  <c r="F42" i="10" a="1"/>
  <c r="M43" i="10" a="1"/>
  <c r="F47" i="10" a="1"/>
  <c r="B47" i="10" a="1"/>
  <c r="B46" i="10" a="1"/>
  <c r="D46" i="10" a="1"/>
  <c r="C44" i="10" a="1"/>
  <c r="J43" i="10" a="1"/>
  <c r="J43" i="10" l="1"/>
  <c r="C44" i="10"/>
  <c r="D46" i="10"/>
  <c r="B46" i="10"/>
  <c r="B47" i="10"/>
  <c r="F47" i="10"/>
  <c r="M43" i="10"/>
  <c r="F42" i="10"/>
  <c r="F43" i="10"/>
  <c r="G41" i="10"/>
  <c r="F44" i="10"/>
  <c r="F46" i="10"/>
  <c r="C42" i="10"/>
  <c r="C46" i="10"/>
  <c r="D47" i="10"/>
  <c r="W41" i="10"/>
  <c r="C43" i="10" a="1"/>
  <c r="Y41" i="10" a="1"/>
  <c r="R41" i="10" a="1"/>
  <c r="C43" i="10" l="1"/>
  <c r="R41" i="10"/>
  <c r="Y41" i="10"/>
  <c r="AE1" i="10"/>
  <c r="AG1" i="10" a="1"/>
  <c r="AG1" i="10" l="1"/>
  <c r="AL1" i="10"/>
  <c r="X41" i="10"/>
  <c r="Q41" i="10"/>
  <c r="AE9" i="10"/>
  <c r="AQ3" i="10" a="1"/>
  <c r="AG4" i="10" a="1"/>
  <c r="AG2" i="10" a="1"/>
  <c r="AH6" i="10" a="1"/>
  <c r="AJ7" i="10" a="1"/>
  <c r="AJ3" i="10" a="1"/>
  <c r="AF7" i="10" a="1"/>
  <c r="AJ2" i="10" a="1"/>
  <c r="AJ4" i="10" a="1"/>
  <c r="AH7" i="10" a="1"/>
  <c r="AK1" i="10" a="1"/>
  <c r="AG6" i="10" a="1"/>
  <c r="AJ6" i="10" a="1"/>
  <c r="AF6" i="10" a="1"/>
  <c r="Y44" i="10" a="1"/>
  <c r="R46" i="10" a="1"/>
  <c r="U44" i="10" a="1"/>
  <c r="AB46" i="10" a="1"/>
  <c r="U43" i="10" a="1"/>
  <c r="U42" i="10" a="1"/>
  <c r="AB42" i="10" a="1"/>
  <c r="U46" i="10" a="1"/>
  <c r="Q47" i="10" a="1"/>
  <c r="Z47" i="10" a="1"/>
  <c r="Q46" i="10" a="1"/>
  <c r="U47" i="10" a="1"/>
  <c r="AN1" i="10" a="1"/>
  <c r="X47" i="10" a="1"/>
  <c r="R42" i="10" a="1"/>
  <c r="V41" i="10" a="1"/>
  <c r="AB44" i="10" a="1"/>
  <c r="S46" i="10" a="1"/>
  <c r="AB43" i="10" a="1"/>
  <c r="S47" i="10" a="1"/>
  <c r="Y42" i="10" a="1"/>
  <c r="AC41" i="10" a="1"/>
  <c r="Z46" i="10" a="1"/>
  <c r="R44" i="10" a="1"/>
  <c r="AB47" i="10" a="1"/>
  <c r="Y46" i="10" a="1"/>
  <c r="X46" i="10" a="1"/>
  <c r="X46" i="10" l="1"/>
  <c r="Y46" i="10"/>
  <c r="AB47" i="10"/>
  <c r="R44" i="10"/>
  <c r="Z46" i="10"/>
  <c r="AC41" i="10"/>
  <c r="Y42" i="10"/>
  <c r="S47" i="10"/>
  <c r="AB43" i="10"/>
  <c r="S46" i="10"/>
  <c r="AB44" i="10"/>
  <c r="V41" i="10"/>
  <c r="R42" i="10"/>
  <c r="X47" i="10"/>
  <c r="AN1" i="10"/>
  <c r="U47" i="10"/>
  <c r="Q46" i="10"/>
  <c r="Z47" i="10"/>
  <c r="Q47" i="10"/>
  <c r="U46" i="10"/>
  <c r="AB42" i="10"/>
  <c r="U42" i="10"/>
  <c r="U43" i="10"/>
  <c r="AB46" i="10"/>
  <c r="U44" i="10"/>
  <c r="R46" i="10"/>
  <c r="Y44" i="10"/>
  <c r="AF6" i="10"/>
  <c r="AJ6" i="10"/>
  <c r="AG6" i="10"/>
  <c r="AK1" i="10"/>
  <c r="AH7" i="10"/>
  <c r="AJ4" i="10"/>
  <c r="AJ2" i="10"/>
  <c r="AF7" i="10"/>
  <c r="AJ3" i="10"/>
  <c r="AJ7" i="10"/>
  <c r="AH6" i="10"/>
  <c r="AG2" i="10"/>
  <c r="AG4" i="10"/>
  <c r="AQ3" i="10"/>
  <c r="AF1" i="10"/>
  <c r="AL9" i="10"/>
  <c r="AN2" i="10" a="1"/>
  <c r="AO6" i="10" a="1"/>
  <c r="AR1" i="10" a="1"/>
  <c r="AQ2" i="10" a="1"/>
  <c r="AN6" i="10" a="1"/>
  <c r="AQ4" i="10" a="1"/>
  <c r="AN4" i="10" a="1"/>
  <c r="AM6" i="10" a="1"/>
  <c r="AQ6" i="10" a="1"/>
  <c r="AQ7" i="10" a="1"/>
  <c r="AO7" i="10" a="1"/>
  <c r="AM7" i="10" a="1"/>
  <c r="AG3" i="10" a="1"/>
  <c r="Y43" i="10" a="1"/>
  <c r="R43" i="10" a="1"/>
  <c r="AG9" i="10" a="1"/>
  <c r="AN9" i="10" a="1"/>
  <c r="R43" i="10" l="1"/>
  <c r="Y43" i="10"/>
  <c r="AG3" i="10"/>
  <c r="AM7" i="10"/>
  <c r="AO7" i="10"/>
  <c r="AQ7" i="10"/>
  <c r="AQ6" i="10"/>
  <c r="AM6" i="10"/>
  <c r="AN4" i="10"/>
  <c r="AQ4" i="10"/>
  <c r="AN6" i="10"/>
  <c r="AQ2" i="10"/>
  <c r="AR1" i="10"/>
  <c r="AO6" i="10"/>
  <c r="AN2" i="10"/>
  <c r="AM1" i="10"/>
  <c r="AN9" i="10"/>
  <c r="AG9" i="10"/>
  <c r="AE17" i="10"/>
  <c r="AN3" i="10" a="1"/>
  <c r="AN3" i="10" l="1"/>
  <c r="AL17" i="10"/>
  <c r="AF9" i="10"/>
  <c r="AM9" i="10"/>
  <c r="AE25" i="10"/>
  <c r="AG17" i="10" a="1"/>
  <c r="AH15" i="10" a="1"/>
  <c r="AO14" i="10" a="1"/>
  <c r="AN12" i="10" a="1"/>
  <c r="AN10" i="10" a="1"/>
  <c r="AN17" i="10" a="1"/>
  <c r="AG14" i="10" a="1"/>
  <c r="AG10" i="10" a="1"/>
  <c r="AK9" i="10" a="1"/>
  <c r="AJ11" i="10" a="1"/>
  <c r="AQ15" i="10" a="1"/>
  <c r="AF15" i="10" a="1"/>
  <c r="AF14" i="10" a="1"/>
  <c r="AG12" i="10" a="1"/>
  <c r="AJ14" i="10" a="1"/>
  <c r="AJ12" i="10" a="1"/>
  <c r="AM15" i="10" a="1"/>
  <c r="AJ10" i="10" a="1"/>
  <c r="AQ10" i="10" a="1"/>
  <c r="AQ11" i="10" a="1"/>
  <c r="AQ14" i="10" a="1"/>
  <c r="AQ12" i="10" a="1"/>
  <c r="AN14" i="10" a="1"/>
  <c r="AO15" i="10" a="1"/>
  <c r="AM14" i="10" a="1"/>
  <c r="AJ15" i="10" a="1"/>
  <c r="AR9" i="10" a="1"/>
  <c r="AH14" i="10" a="1"/>
  <c r="AH14" i="10" l="1"/>
  <c r="AR9" i="10"/>
  <c r="AJ15" i="10"/>
  <c r="AM14" i="10"/>
  <c r="AO15" i="10"/>
  <c r="AN14" i="10"/>
  <c r="AQ12" i="10"/>
  <c r="AQ14" i="10"/>
  <c r="AQ11" i="10"/>
  <c r="AQ10" i="10"/>
  <c r="AJ10" i="10"/>
  <c r="AM15" i="10"/>
  <c r="AJ12" i="10"/>
  <c r="AJ14" i="10"/>
  <c r="AG12" i="10"/>
  <c r="AF14" i="10"/>
  <c r="AF15" i="10"/>
  <c r="AQ15" i="10"/>
  <c r="AJ11" i="10"/>
  <c r="AK9" i="10"/>
  <c r="AG10" i="10"/>
  <c r="AG14" i="10"/>
  <c r="AN17" i="10"/>
  <c r="AN10" i="10"/>
  <c r="AN12" i="10"/>
  <c r="AO14" i="10"/>
  <c r="AH15" i="10"/>
  <c r="AG17" i="10"/>
  <c r="AL25" i="10"/>
  <c r="AE33" i="10" s="1"/>
  <c r="AN11" i="10" a="1"/>
  <c r="AG25" i="10" a="1"/>
  <c r="AG11" i="10" a="1"/>
  <c r="AN25" i="10" a="1"/>
  <c r="AN25" i="10" l="1"/>
  <c r="AG11" i="10"/>
  <c r="AG25" i="10"/>
  <c r="AN11" i="10"/>
  <c r="AL33" i="10"/>
  <c r="AM17" i="10"/>
  <c r="AF17" i="10"/>
  <c r="AE41" i="10"/>
  <c r="AM23" i="10" a="1"/>
  <c r="AN18" i="10" a="1"/>
  <c r="AK17" i="10" a="1"/>
  <c r="AH22" i="10" a="1"/>
  <c r="AJ18" i="10" a="1"/>
  <c r="AJ22" i="10" a="1"/>
  <c r="AF23" i="10" a="1"/>
  <c r="AG22" i="10" a="1"/>
  <c r="AR17" i="10" a="1"/>
  <c r="AH23" i="10" a="1"/>
  <c r="AQ23" i="10" a="1"/>
  <c r="AQ22" i="10" a="1"/>
  <c r="AG33" i="10" a="1"/>
  <c r="AQ20" i="10" a="1"/>
  <c r="AN22" i="10" a="1"/>
  <c r="AJ20" i="10" a="1"/>
  <c r="AQ19" i="10" a="1"/>
  <c r="AO23" i="10" a="1"/>
  <c r="AN20" i="10" a="1"/>
  <c r="AJ23" i="10" a="1"/>
  <c r="AQ18" i="10" a="1"/>
  <c r="AF22" i="10" a="1"/>
  <c r="AG20" i="10" a="1"/>
  <c r="AJ19" i="10" a="1"/>
  <c r="AN33" i="10" a="1"/>
  <c r="AO22" i="10" a="1"/>
  <c r="AG18" i="10" a="1"/>
  <c r="AM22" i="10" a="1"/>
  <c r="AM22" i="10" l="1"/>
  <c r="AG18" i="10"/>
  <c r="AO22" i="10"/>
  <c r="AN33" i="10"/>
  <c r="AJ19" i="10"/>
  <c r="AG20" i="10"/>
  <c r="AF22" i="10"/>
  <c r="AQ18" i="10"/>
  <c r="AJ23" i="10"/>
  <c r="AN20" i="10"/>
  <c r="AO23" i="10"/>
  <c r="AQ19" i="10"/>
  <c r="AJ20" i="10"/>
  <c r="AN22" i="10"/>
  <c r="AQ20" i="10"/>
  <c r="AG33" i="10"/>
  <c r="AQ22" i="10"/>
  <c r="AQ23" i="10"/>
  <c r="AH23" i="10"/>
  <c r="AR17" i="10"/>
  <c r="AG22" i="10"/>
  <c r="AF23" i="10"/>
  <c r="AJ22" i="10"/>
  <c r="AJ18" i="10"/>
  <c r="AH22" i="10"/>
  <c r="AK17" i="10"/>
  <c r="AN18" i="10"/>
  <c r="AM23" i="10"/>
  <c r="AL41" i="10"/>
  <c r="AF25" i="10"/>
  <c r="AM25" i="10"/>
  <c r="AT1" i="10"/>
  <c r="AG28" i="10" a="1"/>
  <c r="AH30" i="10" a="1"/>
  <c r="AM30" i="10" a="1"/>
  <c r="AN28" i="10" a="1"/>
  <c r="AN26" i="10" a="1"/>
  <c r="AQ30" i="10" a="1"/>
  <c r="AJ28" i="10" a="1"/>
  <c r="AQ28" i="10" a="1"/>
  <c r="AQ27" i="10" a="1"/>
  <c r="AF31" i="10" a="1"/>
  <c r="AR25" i="10" a="1"/>
  <c r="AN19" i="10" a="1"/>
  <c r="AJ30" i="10" a="1"/>
  <c r="AG41" i="10" a="1"/>
  <c r="AQ26" i="10" a="1"/>
  <c r="AJ31" i="10" a="1"/>
  <c r="AG26" i="10" a="1"/>
  <c r="AH31" i="10" a="1"/>
  <c r="AM31" i="10" a="1"/>
  <c r="AQ31" i="10" a="1"/>
  <c r="AK25" i="10" a="1"/>
  <c r="AG30" i="10" a="1"/>
  <c r="AN30" i="10" a="1"/>
  <c r="AN41" i="10" a="1"/>
  <c r="AJ27" i="10" a="1"/>
  <c r="AJ26" i="10" a="1"/>
  <c r="AO31" i="10" a="1"/>
  <c r="AG19" i="10" a="1"/>
  <c r="AF30" i="10" a="1"/>
  <c r="AO30" i="10" a="1"/>
  <c r="AV1" i="10" a="1"/>
  <c r="AO30" i="10" l="1"/>
  <c r="AF30" i="10"/>
  <c r="AG19" i="10"/>
  <c r="AO31" i="10"/>
  <c r="AJ26" i="10"/>
  <c r="AJ27" i="10"/>
  <c r="AN41" i="10"/>
  <c r="AN30" i="10"/>
  <c r="AG30" i="10"/>
  <c r="AK25" i="10"/>
  <c r="AQ31" i="10"/>
  <c r="AM31" i="10"/>
  <c r="AH31" i="10"/>
  <c r="AG26" i="10"/>
  <c r="AJ31" i="10"/>
  <c r="AQ26" i="10"/>
  <c r="AG41" i="10"/>
  <c r="AJ30" i="10"/>
  <c r="AN19" i="10"/>
  <c r="AR25" i="10"/>
  <c r="AF31" i="10"/>
  <c r="AQ27" i="10"/>
  <c r="AQ28" i="10"/>
  <c r="AJ28" i="10"/>
  <c r="AQ30" i="10"/>
  <c r="AN26" i="10"/>
  <c r="AN28" i="10"/>
  <c r="AM30" i="10"/>
  <c r="AH30" i="10"/>
  <c r="AG28" i="10"/>
  <c r="AF33" i="10"/>
  <c r="AM33" i="10"/>
  <c r="AV1" i="10"/>
  <c r="BA1" i="10"/>
  <c r="AJ36" i="10" a="1"/>
  <c r="AK33" i="10" a="1"/>
  <c r="AN38" i="10" a="1"/>
  <c r="AQ34" i="10" a="1"/>
  <c r="AR33" i="10" a="1"/>
  <c r="AJ34" i="10" a="1"/>
  <c r="AM38" i="10" a="1"/>
  <c r="AJ38" i="10" a="1"/>
  <c r="AG36" i="10" a="1"/>
  <c r="AJ35" i="10" a="1"/>
  <c r="AH38" i="10" a="1"/>
  <c r="AO38" i="10" a="1"/>
  <c r="AJ39" i="10" a="1"/>
  <c r="AH39" i="10" a="1"/>
  <c r="AQ36" i="10" a="1"/>
  <c r="AN27" i="10" a="1"/>
  <c r="AO39" i="10" a="1"/>
  <c r="AN36" i="10" a="1"/>
  <c r="AN34" i="10" a="1"/>
  <c r="AM39" i="10" a="1"/>
  <c r="AF39" i="10" a="1"/>
  <c r="AG27" i="10" a="1"/>
  <c r="AQ38" i="10" a="1"/>
  <c r="AF38" i="10" a="1"/>
  <c r="AQ35" i="10" a="1"/>
  <c r="AQ39" i="10" a="1"/>
  <c r="AG34" i="10" a="1"/>
  <c r="AG38" i="10" a="1"/>
  <c r="AV2" i="10" a="1"/>
  <c r="BC1" i="10" a="1"/>
  <c r="AY2" i="10" a="1"/>
  <c r="AW6" i="10" a="1"/>
  <c r="AV4" i="10" a="1"/>
  <c r="AY7" i="10" a="1"/>
  <c r="AY4" i="10" a="1"/>
  <c r="AZ1" i="10" a="1"/>
  <c r="AU6" i="10" a="1"/>
  <c r="AW7" i="10" a="1"/>
  <c r="AY6" i="10" a="1"/>
  <c r="AU7" i="10" a="1"/>
  <c r="AV6" i="10" a="1"/>
  <c r="AG38" i="10" l="1"/>
  <c r="AG34" i="10"/>
  <c r="AQ39" i="10"/>
  <c r="AQ35" i="10"/>
  <c r="AF38" i="10"/>
  <c r="AQ38" i="10"/>
  <c r="AG27" i="10"/>
  <c r="AF39" i="10"/>
  <c r="AM39" i="10"/>
  <c r="AN34" i="10"/>
  <c r="AN36" i="10"/>
  <c r="AO39" i="10"/>
  <c r="AN27" i="10"/>
  <c r="AQ36" i="10"/>
  <c r="AH39" i="10"/>
  <c r="AJ39" i="10"/>
  <c r="AO38" i="10"/>
  <c r="AH38" i="10"/>
  <c r="AJ35" i="10"/>
  <c r="AG36" i="10"/>
  <c r="AJ38" i="10"/>
  <c r="AM38" i="10"/>
  <c r="AJ34" i="10"/>
  <c r="AR33" i="10"/>
  <c r="AQ34" i="10"/>
  <c r="AN38" i="10"/>
  <c r="AK33" i="10"/>
  <c r="AJ36" i="10"/>
  <c r="AM41" i="10"/>
  <c r="AF41" i="10"/>
  <c r="AV2" i="10"/>
  <c r="AV6" i="10"/>
  <c r="AU7" i="10"/>
  <c r="AY6" i="10"/>
  <c r="AW7" i="10"/>
  <c r="AU6" i="10"/>
  <c r="AZ1" i="10"/>
  <c r="AY4" i="10"/>
  <c r="AY7" i="10"/>
  <c r="AV4" i="10"/>
  <c r="AW6" i="10"/>
  <c r="AY2" i="10"/>
  <c r="BC1" i="10"/>
  <c r="AU1" i="10"/>
  <c r="AT9" i="10"/>
  <c r="AM46" i="10" a="1"/>
  <c r="AN42" i="10" a="1"/>
  <c r="AG44" i="10" a="1"/>
  <c r="AN35" i="10" a="1"/>
  <c r="AQ46" i="10" a="1"/>
  <c r="AG46" i="10" a="1"/>
  <c r="AG42" i="10" a="1"/>
  <c r="AQ44" i="10" a="1"/>
  <c r="AQ42" i="10" a="1"/>
  <c r="AO46" i="10" a="1"/>
  <c r="AM47" i="10" a="1"/>
  <c r="AH47" i="10" a="1"/>
  <c r="AJ44" i="10" a="1"/>
  <c r="AJ43" i="10" a="1"/>
  <c r="AN46" i="10" a="1"/>
  <c r="AG35" i="10" a="1"/>
  <c r="AK41" i="10" a="1"/>
  <c r="AJ46" i="10" a="1"/>
  <c r="AQ43" i="10" a="1"/>
  <c r="AJ47" i="10" a="1"/>
  <c r="AF47" i="10" a="1"/>
  <c r="AQ47" i="10" a="1"/>
  <c r="AR41" i="10" a="1"/>
  <c r="AJ42" i="10" a="1"/>
  <c r="AO47" i="10" a="1"/>
  <c r="AN44" i="10" a="1"/>
  <c r="AF46" i="10" a="1"/>
  <c r="AH46" i="10" a="1"/>
  <c r="BF3" i="10" a="1"/>
  <c r="AY3" i="10" a="1"/>
  <c r="AV3" i="10" a="1"/>
  <c r="BC2" i="10" a="1"/>
  <c r="AV9" i="10" a="1"/>
  <c r="BF2" i="10" a="1"/>
  <c r="BF6" i="10" a="1"/>
  <c r="BB7" i="10" a="1"/>
  <c r="BF7" i="10" a="1"/>
  <c r="BD7" i="10" a="1"/>
  <c r="BF4" i="10" a="1"/>
  <c r="BC4" i="10" a="1"/>
  <c r="BB6" i="10" a="1"/>
  <c r="BD6" i="10" a="1"/>
  <c r="BG1" i="10" a="1"/>
  <c r="BC6" i="10" a="1"/>
  <c r="AH46" i="10" l="1"/>
  <c r="AF46" i="10"/>
  <c r="AN44" i="10"/>
  <c r="AO47" i="10"/>
  <c r="AJ42" i="10"/>
  <c r="AR41" i="10"/>
  <c r="AQ47" i="10"/>
  <c r="AF47" i="10"/>
  <c r="AJ47" i="10"/>
  <c r="AQ43" i="10"/>
  <c r="AJ46" i="10"/>
  <c r="AK41" i="10"/>
  <c r="AG35" i="10"/>
  <c r="AN46" i="10"/>
  <c r="AJ43" i="10"/>
  <c r="AJ44" i="10"/>
  <c r="AH47" i="10"/>
  <c r="AM47" i="10"/>
  <c r="AO46" i="10"/>
  <c r="AQ42" i="10"/>
  <c r="AQ44" i="10"/>
  <c r="AG42" i="10"/>
  <c r="AG46" i="10"/>
  <c r="AQ46" i="10"/>
  <c r="AN35" i="10"/>
  <c r="AG44" i="10"/>
  <c r="AN42" i="10"/>
  <c r="AM46" i="10"/>
  <c r="AV3" i="10"/>
  <c r="AY3" i="10"/>
  <c r="BF3" i="10"/>
  <c r="BC2" i="10"/>
  <c r="BC6" i="10"/>
  <c r="BG1" i="10"/>
  <c r="BD6" i="10"/>
  <c r="BB6" i="10"/>
  <c r="BC4" i="10"/>
  <c r="BF4" i="10"/>
  <c r="BD7" i="10"/>
  <c r="BF7" i="10"/>
  <c r="BB7" i="10"/>
  <c r="BF6" i="10"/>
  <c r="BF2" i="10"/>
  <c r="AV9" i="10"/>
  <c r="BB1" i="10"/>
  <c r="BA9" i="10"/>
  <c r="AG43" i="10" a="1"/>
  <c r="AN43" i="10" a="1"/>
  <c r="BC3" i="10" a="1"/>
  <c r="AV10" i="10" a="1"/>
  <c r="BC9" i="10" a="1"/>
  <c r="AU14" i="10" a="1"/>
  <c r="AZ9" i="10" a="1"/>
  <c r="AY14" i="10" a="1"/>
  <c r="AV12" i="10" a="1"/>
  <c r="AY15" i="10" a="1"/>
  <c r="AV14" i="10" a="1"/>
  <c r="AU15" i="10" a="1"/>
  <c r="AW15" i="10" a="1"/>
  <c r="AY12" i="10" a="1"/>
  <c r="AW14" i="10" a="1"/>
  <c r="AY10" i="10" a="1"/>
  <c r="AN43" i="10" l="1"/>
  <c r="AG43" i="10"/>
  <c r="BC3" i="10"/>
  <c r="AV10" i="10"/>
  <c r="AY10" i="10"/>
  <c r="AW14" i="10"/>
  <c r="AY12" i="10"/>
  <c r="AW15" i="10"/>
  <c r="AU15" i="10"/>
  <c r="AV14" i="10"/>
  <c r="AY15" i="10"/>
  <c r="AV12" i="10"/>
  <c r="AY14" i="10"/>
  <c r="AZ9" i="10"/>
  <c r="AU14" i="10"/>
  <c r="BC9" i="10"/>
  <c r="AU9" i="10"/>
  <c r="AT17" i="10"/>
  <c r="BF11" i="10" a="1"/>
  <c r="AY11" i="10" a="1"/>
  <c r="AV11" i="10" a="1"/>
  <c r="BC10" i="10" a="1"/>
  <c r="AV17" i="10" a="1"/>
  <c r="BF10" i="10" a="1"/>
  <c r="BC14" i="10" a="1"/>
  <c r="BB15" i="10" a="1"/>
  <c r="BD15" i="10" a="1"/>
  <c r="BF14" i="10" a="1"/>
  <c r="BB14" i="10" a="1"/>
  <c r="BC12" i="10" a="1"/>
  <c r="BD14" i="10" a="1"/>
  <c r="BF15" i="10" a="1"/>
  <c r="BF12" i="10" a="1"/>
  <c r="BG9" i="10" a="1"/>
  <c r="AV11" i="10" l="1"/>
  <c r="AY11" i="10"/>
  <c r="BF11" i="10"/>
  <c r="BC10" i="10"/>
  <c r="BG9" i="10"/>
  <c r="BF12" i="10"/>
  <c r="BF15" i="10"/>
  <c r="BD14" i="10"/>
  <c r="BC12" i="10"/>
  <c r="BB14" i="10"/>
  <c r="BF14" i="10"/>
  <c r="BD15" i="10"/>
  <c r="BB15" i="10"/>
  <c r="BC14" i="10"/>
  <c r="BF10" i="10"/>
  <c r="AV17" i="10"/>
  <c r="BB9" i="10"/>
  <c r="BA17" i="10"/>
  <c r="BC11" i="10" a="1"/>
  <c r="AV18" i="10" a="1"/>
  <c r="BC17" i="10" a="1"/>
  <c r="AY18" i="10" a="1"/>
  <c r="AZ17" i="10" a="1"/>
  <c r="AW23" i="10" a="1"/>
  <c r="AY22" i="10" a="1"/>
  <c r="AU23" i="10" a="1"/>
  <c r="AY23" i="10" a="1"/>
  <c r="AY20" i="10" a="1"/>
  <c r="AV22" i="10" a="1"/>
  <c r="AW22" i="10" a="1"/>
  <c r="AU22" i="10" a="1"/>
  <c r="AV20" i="10" a="1"/>
  <c r="BC11" i="10" l="1"/>
  <c r="AV18" i="10"/>
  <c r="AV20" i="10"/>
  <c r="AU22" i="10"/>
  <c r="AW22" i="10"/>
  <c r="AV22" i="10"/>
  <c r="AY20" i="10"/>
  <c r="AY23" i="10"/>
  <c r="AU23" i="10"/>
  <c r="AY22" i="10"/>
  <c r="AW23" i="10"/>
  <c r="AZ17" i="10"/>
  <c r="AY18" i="10"/>
  <c r="BC17" i="10"/>
  <c r="AU17" i="10"/>
  <c r="AT25" i="10"/>
  <c r="BF19" i="10" a="1"/>
  <c r="AY19" i="10" a="1"/>
  <c r="AV19" i="10" a="1"/>
  <c r="BC18" i="10" a="1"/>
  <c r="AV25" i="10" a="1"/>
  <c r="BF18" i="10" a="1"/>
  <c r="BF22" i="10" a="1"/>
  <c r="BB22" i="10" a="1"/>
  <c r="BB23" i="10" a="1"/>
  <c r="BD22" i="10" a="1"/>
  <c r="BF23" i="10" a="1"/>
  <c r="BF20" i="10" a="1"/>
  <c r="BD23" i="10" a="1"/>
  <c r="BG17" i="10" a="1"/>
  <c r="BC22" i="10" a="1"/>
  <c r="BC20" i="10" a="1"/>
  <c r="AV19" i="10" l="1"/>
  <c r="AY19" i="10"/>
  <c r="BF19" i="10"/>
  <c r="BC18" i="10"/>
  <c r="BC20" i="10"/>
  <c r="BC22" i="10"/>
  <c r="BG17" i="10"/>
  <c r="BD23" i="10"/>
  <c r="BF20" i="10"/>
  <c r="BF23" i="10"/>
  <c r="BD22" i="10"/>
  <c r="BB23" i="10"/>
  <c r="BB22" i="10"/>
  <c r="BF22" i="10"/>
  <c r="BF18" i="10"/>
  <c r="AV25" i="10"/>
  <c r="BB17" i="10"/>
  <c r="BA25" i="10"/>
  <c r="BC19" i="10" a="1"/>
  <c r="AV26" i="10" a="1"/>
  <c r="BC25" i="10" a="1"/>
  <c r="AY26" i="10" a="1"/>
  <c r="AW30" i="10" a="1"/>
  <c r="AY30" i="10" a="1"/>
  <c r="AU31" i="10" a="1"/>
  <c r="AY28" i="10" a="1"/>
  <c r="AV30" i="10" a="1"/>
  <c r="AZ25" i="10" a="1"/>
  <c r="AV28" i="10" a="1"/>
  <c r="AW31" i="10" a="1"/>
  <c r="AU30" i="10" a="1"/>
  <c r="AY31" i="10" a="1"/>
  <c r="BC19" i="10" l="1"/>
  <c r="AV26" i="10"/>
  <c r="AY31" i="10"/>
  <c r="AU30" i="10"/>
  <c r="AW31" i="10"/>
  <c r="AV28" i="10"/>
  <c r="AZ25" i="10"/>
  <c r="AV30" i="10"/>
  <c r="AY28" i="10"/>
  <c r="AU31" i="10"/>
  <c r="AY30" i="10"/>
  <c r="AW30" i="10"/>
  <c r="AY26" i="10"/>
  <c r="BC25" i="10"/>
  <c r="AU25" i="10"/>
  <c r="AT33" i="10"/>
  <c r="BF27" i="10" a="1"/>
  <c r="AV27" i="10" a="1"/>
  <c r="AY27" i="10" a="1"/>
  <c r="BC26" i="10" a="1"/>
  <c r="AV33" i="10" a="1"/>
  <c r="BF26" i="10" a="1"/>
  <c r="BF30" i="10" a="1"/>
  <c r="BF31" i="10" a="1"/>
  <c r="BD31" i="10" a="1"/>
  <c r="BC28" i="10" a="1"/>
  <c r="BB30" i="10" a="1"/>
  <c r="BG25" i="10" a="1"/>
  <c r="BB31" i="10" a="1"/>
  <c r="BF28" i="10" a="1"/>
  <c r="BD30" i="10" a="1"/>
  <c r="BC30" i="10" a="1"/>
  <c r="AY27" i="10" l="1"/>
  <c r="AV27" i="10"/>
  <c r="BF27" i="10"/>
  <c r="BC26" i="10"/>
  <c r="BC30" i="10"/>
  <c r="BD30" i="10"/>
  <c r="BF28" i="10"/>
  <c r="BB31" i="10"/>
  <c r="BG25" i="10"/>
  <c r="BB30" i="10"/>
  <c r="BC28" i="10"/>
  <c r="BC27" i="10" s="1" a="1"/>
  <c r="BC27" i="10" s="1"/>
  <c r="BD31" i="10"/>
  <c r="BF31" i="10"/>
  <c r="BF30" i="10"/>
  <c r="BF26" i="10"/>
  <c r="AV33" i="10"/>
  <c r="BB25" i="10"/>
  <c r="BA33" i="10"/>
  <c r="AV34" i="10" a="1"/>
  <c r="BC33" i="10" a="1"/>
  <c r="AY34" i="10" a="1"/>
  <c r="AU38" i="10" a="1"/>
  <c r="AZ33" i="10" a="1"/>
  <c r="AW38" i="10" a="1"/>
  <c r="AY38" i="10" a="1"/>
  <c r="AY39" i="10" a="1"/>
  <c r="AW39" i="10" a="1"/>
  <c r="AV36" i="10" a="1"/>
  <c r="AY36" i="10" a="1"/>
  <c r="AV38" i="10" a="1"/>
  <c r="AU39" i="10" a="1"/>
  <c r="AV34" i="10" l="1"/>
  <c r="AU39" i="10"/>
  <c r="AV38" i="10"/>
  <c r="AY36" i="10"/>
  <c r="AV36" i="10"/>
  <c r="AV35" i="10" s="1" a="1"/>
  <c r="AV35" i="10" s="1"/>
  <c r="AW39" i="10"/>
  <c r="AY39" i="10"/>
  <c r="AY38" i="10"/>
  <c r="AW38" i="10"/>
  <c r="AZ33" i="10"/>
  <c r="AU38" i="10"/>
  <c r="AY34" i="10"/>
  <c r="BC33" i="10"/>
  <c r="AU33" i="10"/>
  <c r="AT41" i="10"/>
  <c r="BF35" i="10" a="1"/>
  <c r="AY35" i="10" a="1"/>
  <c r="BC34" i="10" a="1"/>
  <c r="AV41" i="10" a="1"/>
  <c r="BF34" i="10" a="1"/>
  <c r="BB39" i="10" a="1"/>
  <c r="BF38" i="10" a="1"/>
  <c r="BC38" i="10" a="1"/>
  <c r="BD39" i="10" a="1"/>
  <c r="BC36" i="10" a="1"/>
  <c r="BG33" i="10" a="1"/>
  <c r="BD38" i="10" a="1"/>
  <c r="BF36" i="10" a="1"/>
  <c r="BB38" i="10" a="1"/>
  <c r="BF39" i="10" a="1"/>
  <c r="AY35" i="10" l="1"/>
  <c r="BF35" i="10"/>
  <c r="BC34" i="10"/>
  <c r="BF39" i="10"/>
  <c r="BB38" i="10"/>
  <c r="BF36" i="10"/>
  <c r="BD38" i="10"/>
  <c r="BG33" i="10"/>
  <c r="BC36" i="10"/>
  <c r="BC35" i="10" s="1" a="1"/>
  <c r="BC35" i="10" s="1"/>
  <c r="BD39" i="10"/>
  <c r="BC38" i="10"/>
  <c r="BF38" i="10"/>
  <c r="BB39" i="10"/>
  <c r="BF34" i="10"/>
  <c r="AV41" i="10"/>
  <c r="BF43" i="10" s="1" a="1"/>
  <c r="BF43" i="10" s="1"/>
  <c r="BB33" i="10"/>
  <c r="BA41" i="10"/>
  <c r="BC41" i="10" a="1"/>
  <c r="AV46" i="10" a="1"/>
  <c r="AY46" i="10" a="1"/>
  <c r="AU46" i="10" a="1"/>
  <c r="AV44" i="10" a="1"/>
  <c r="AY44" i="10" a="1"/>
  <c r="AW47" i="10" a="1"/>
  <c r="AW46" i="10" a="1"/>
  <c r="AZ41" i="10" a="1"/>
  <c r="AY47" i="10" a="1"/>
  <c r="AU47" i="10" a="1"/>
  <c r="AY43" i="10" l="1" a="1"/>
  <c r="AY43" i="10" s="1"/>
  <c r="BC43" i="10" a="1"/>
  <c r="BC43" i="10" s="1"/>
  <c r="AV42" i="10" a="1"/>
  <c r="AV42" i="10" s="1"/>
  <c r="AV43" i="10" a="1"/>
  <c r="AV43" i="10" s="1"/>
  <c r="AY42" i="10" a="1"/>
  <c r="AY42" i="10" s="1"/>
  <c r="AU47" i="10"/>
  <c r="AY47" i="10"/>
  <c r="AZ41" i="10"/>
  <c r="AW46" i="10"/>
  <c r="AW47" i="10"/>
  <c r="AY44" i="10"/>
  <c r="AV44" i="10"/>
  <c r="AU46" i="10"/>
  <c r="AY46" i="10"/>
  <c r="AV46" i="10"/>
  <c r="BC41" i="10"/>
  <c r="BC42" i="10" s="1" a="1"/>
  <c r="BC42" i="10" s="1"/>
  <c r="AU41" i="10"/>
  <c r="BI1" i="10"/>
  <c r="BD47" i="10" a="1"/>
  <c r="BG41" i="10" a="1"/>
  <c r="BF47" i="10" a="1"/>
  <c r="BD46" i="10" a="1"/>
  <c r="BB46" i="10" a="1"/>
  <c r="BC46" i="10" a="1"/>
  <c r="BF44" i="10" a="1"/>
  <c r="BF46" i="10" a="1"/>
  <c r="BC44" i="10" a="1"/>
  <c r="BB47" i="10" a="1"/>
  <c r="BB47" i="10" l="1"/>
  <c r="BC44" i="10"/>
  <c r="BF46" i="10"/>
  <c r="BF44" i="10"/>
  <c r="BC46" i="10"/>
  <c r="BB46" i="10"/>
  <c r="BD46" i="10"/>
  <c r="BF47" i="10"/>
  <c r="BG41" i="10"/>
  <c r="BD47" i="10"/>
  <c r="BF42" i="10" a="1"/>
  <c r="BF42" i="10" s="1"/>
  <c r="BB41" i="10"/>
  <c r="BI9" i="10" l="1"/>
  <c r="BP9" i="10" l="1"/>
  <c r="BI17" i="10"/>
  <c r="BK9" i="10" a="1"/>
  <c r="BR9" i="10" a="1"/>
  <c r="BR9" i="10" l="1"/>
  <c r="BK9" i="10"/>
  <c r="BP17" i="10"/>
  <c r="BI25" i="10"/>
  <c r="BK17" i="10" a="1"/>
  <c r="BR17" i="10" a="1"/>
  <c r="BR17" i="10" l="1"/>
  <c r="BK17" i="10"/>
  <c r="BP25" i="10"/>
  <c r="BJ15" i="10" a="1"/>
  <c r="BJ15" i="10" s="1"/>
  <c r="BK11" i="10" a="1"/>
  <c r="BK11" i="10" s="1"/>
  <c r="BN14" i="10" a="1"/>
  <c r="BN14" i="10" s="1"/>
  <c r="BU11" i="10" a="1"/>
  <c r="BU11" i="10" s="1"/>
  <c r="BO9" i="10" a="1"/>
  <c r="BO9" i="10" s="1"/>
  <c r="BJ9" i="10"/>
  <c r="BJ14" i="10" a="1"/>
  <c r="BJ14" i="10" s="1"/>
  <c r="BN15" i="10" a="1"/>
  <c r="BN15" i="10" s="1"/>
  <c r="BL14" i="10" a="1"/>
  <c r="BL14" i="10" s="1"/>
  <c r="BR11" i="10" a="1"/>
  <c r="BR11" i="10" s="1"/>
  <c r="BK10" i="10" a="1"/>
  <c r="BK10" i="10" s="1"/>
  <c r="BK12" i="10" a="1"/>
  <c r="BK12" i="10" s="1"/>
  <c r="BL15" i="10" a="1"/>
  <c r="BL15" i="10" s="1"/>
  <c r="BK14" i="10" a="1"/>
  <c r="BK14" i="10" s="1"/>
  <c r="BN12" i="10" a="1"/>
  <c r="BN12" i="10" s="1"/>
  <c r="BN11" i="10" a="1"/>
  <c r="BN11" i="10" s="1"/>
  <c r="BN10" i="10" a="1"/>
  <c r="BN10" i="10" s="1"/>
  <c r="BQ15" i="10" a="1"/>
  <c r="BQ15" i="10" s="1"/>
  <c r="BU14" i="10" a="1"/>
  <c r="BU14" i="10" s="1"/>
  <c r="BU12" i="10" a="1"/>
  <c r="BU12" i="10" s="1"/>
  <c r="BU10" i="10" a="1"/>
  <c r="BU10" i="10" s="1"/>
  <c r="BV9" i="10" a="1"/>
  <c r="BV9" i="10" s="1"/>
  <c r="BS15" i="10" a="1"/>
  <c r="BS15" i="10" s="1"/>
  <c r="BS14" i="10" a="1"/>
  <c r="BS14" i="10" s="1"/>
  <c r="BR12" i="10" a="1"/>
  <c r="BR12" i="10" s="1"/>
  <c r="BR10" i="10" a="1"/>
  <c r="BR10" i="10" s="1"/>
  <c r="BQ14" i="10" a="1"/>
  <c r="BQ14" i="10" s="1"/>
  <c r="BQ9" i="10"/>
  <c r="BU15" i="10" a="1"/>
  <c r="BU15" i="10" s="1"/>
  <c r="BR14" i="10" a="1"/>
  <c r="BR14" i="10" s="1"/>
  <c r="BI33" i="10"/>
  <c r="BK25" i="10" a="1"/>
  <c r="BR25" i="10" a="1"/>
  <c r="BR25" i="10" l="1"/>
  <c r="BK25" i="10"/>
  <c r="BJ23" i="10" a="1"/>
  <c r="BJ23" i="10" s="1"/>
  <c r="BJ22" i="10" a="1"/>
  <c r="BJ22" i="10" s="1"/>
  <c r="BK20" i="10" a="1"/>
  <c r="BK20" i="10" s="1"/>
  <c r="BK19" i="10" a="1"/>
  <c r="BK19" i="10" s="1"/>
  <c r="BK18" i="10" a="1"/>
  <c r="BK18" i="10" s="1"/>
  <c r="BO17" i="10" a="1"/>
  <c r="BO17" i="10" s="1"/>
  <c r="BN20" i="10" a="1"/>
  <c r="BN20" i="10" s="1"/>
  <c r="BL23" i="10" a="1"/>
  <c r="BL23" i="10" s="1"/>
  <c r="BN19" i="10" a="1"/>
  <c r="BN19" i="10" s="1"/>
  <c r="BN18" i="10" a="1"/>
  <c r="BN18" i="10" s="1"/>
  <c r="BN22" i="10" a="1"/>
  <c r="BN22" i="10" s="1"/>
  <c r="BU19" i="10" a="1"/>
  <c r="BU19" i="10" s="1"/>
  <c r="BJ17" i="10"/>
  <c r="BN23" i="10" a="1"/>
  <c r="BN23" i="10" s="1"/>
  <c r="BL22" i="10" a="1"/>
  <c r="BL22" i="10" s="1"/>
  <c r="BR19" i="10" a="1"/>
  <c r="BR19" i="10" s="1"/>
  <c r="BK22" i="10" a="1"/>
  <c r="BK22" i="10" s="1"/>
  <c r="BP33" i="10"/>
  <c r="BS23" i="10" a="1"/>
  <c r="BS23" i="10" s="1"/>
  <c r="BQ22" i="10" a="1"/>
  <c r="BQ22" i="10" s="1"/>
  <c r="BQ23" i="10" a="1"/>
  <c r="BQ23" i="10" s="1"/>
  <c r="BU22" i="10" a="1"/>
  <c r="BU22" i="10" s="1"/>
  <c r="BU20" i="10" a="1"/>
  <c r="BU20" i="10" s="1"/>
  <c r="BU18" i="10" a="1"/>
  <c r="BU18" i="10" s="1"/>
  <c r="BV17" i="10" a="1"/>
  <c r="BV17" i="10" s="1"/>
  <c r="BR22" i="10" a="1"/>
  <c r="BR22" i="10" s="1"/>
  <c r="BS22" i="10" a="1"/>
  <c r="BS22" i="10" s="1"/>
  <c r="BR20" i="10" a="1"/>
  <c r="BR20" i="10" s="1"/>
  <c r="BR18" i="10" a="1"/>
  <c r="BR18" i="10" s="1"/>
  <c r="BQ17" i="10"/>
  <c r="BU23" i="10" a="1"/>
  <c r="BU23" i="10" s="1"/>
  <c r="BR33" i="10" a="1"/>
  <c r="BK33" i="10" a="1"/>
  <c r="BK33" i="10" l="1"/>
  <c r="BR33" i="10"/>
  <c r="BN28" i="10" a="1"/>
  <c r="BN28" i="10" s="1"/>
  <c r="BJ31" i="10" a="1"/>
  <c r="BJ31" i="10" s="1"/>
  <c r="BJ30" i="10" a="1"/>
  <c r="BJ30" i="10" s="1"/>
  <c r="BK28" i="10" a="1"/>
  <c r="BK28" i="10" s="1"/>
  <c r="BK27" i="10" a="1"/>
  <c r="BK27" i="10" s="1"/>
  <c r="BK26" i="10" a="1"/>
  <c r="BK26" i="10" s="1"/>
  <c r="BO25" i="10" a="1"/>
  <c r="BO25" i="10" s="1"/>
  <c r="BL31" i="10" a="1"/>
  <c r="BL31" i="10" s="1"/>
  <c r="BN26" i="10" a="1"/>
  <c r="BN26" i="10" s="1"/>
  <c r="BK30" i="10" a="1"/>
  <c r="BK30" i="10" s="1"/>
  <c r="BN30" i="10" a="1"/>
  <c r="BN30" i="10" s="1"/>
  <c r="BU27" i="10" a="1"/>
  <c r="BU27" i="10" s="1"/>
  <c r="BN27" i="10" a="1"/>
  <c r="BN27" i="10" s="1"/>
  <c r="BJ25" i="10"/>
  <c r="BN31" i="10" a="1"/>
  <c r="BN31" i="10" s="1"/>
  <c r="BL30" i="10" a="1"/>
  <c r="BL30" i="10" s="1"/>
  <c r="BR27" i="10" a="1"/>
  <c r="BR27" i="10" s="1"/>
  <c r="BI41" i="10"/>
  <c r="BU31" i="10" a="1"/>
  <c r="BU31" i="10" s="1"/>
  <c r="BS31" i="10" a="1"/>
  <c r="BS31" i="10" s="1"/>
  <c r="BQ30" i="10" a="1"/>
  <c r="BQ30" i="10" s="1"/>
  <c r="BQ25" i="10"/>
  <c r="BQ31" i="10" a="1"/>
  <c r="BQ31" i="10" s="1"/>
  <c r="BU30" i="10" a="1"/>
  <c r="BU30" i="10" s="1"/>
  <c r="BU28" i="10" a="1"/>
  <c r="BU28" i="10" s="1"/>
  <c r="BU26" i="10" a="1"/>
  <c r="BU26" i="10" s="1"/>
  <c r="BV25" i="10" a="1"/>
  <c r="BV25" i="10" s="1"/>
  <c r="BR30" i="10" a="1"/>
  <c r="BR30" i="10" s="1"/>
  <c r="BS30" i="10" a="1"/>
  <c r="BS30" i="10" s="1"/>
  <c r="BR28" i="10" a="1"/>
  <c r="BR28" i="10" s="1"/>
  <c r="BR26" i="10" a="1"/>
  <c r="BR26" i="10" s="1"/>
  <c r="BU39" i="10" l="1" a="1"/>
  <c r="BU39" i="10" s="1"/>
  <c r="BR38" i="10" a="1"/>
  <c r="BR38" i="10" s="1"/>
  <c r="BS39" i="10" a="1"/>
  <c r="BS39" i="10" s="1"/>
  <c r="BQ38" i="10" a="1"/>
  <c r="BQ38" i="10" s="1"/>
  <c r="BR34" i="10" a="1"/>
  <c r="BR34" i="10" s="1"/>
  <c r="BQ33" i="10"/>
  <c r="BQ39" i="10" a="1"/>
  <c r="BQ39" i="10" s="1"/>
  <c r="BU38" i="10" a="1"/>
  <c r="BU38" i="10" s="1"/>
  <c r="BU36" i="10" a="1"/>
  <c r="BU36" i="10" s="1"/>
  <c r="BU34" i="10" a="1"/>
  <c r="BU34" i="10" s="1"/>
  <c r="BV33" i="10" a="1"/>
  <c r="BV33" i="10" s="1"/>
  <c r="BS38" i="10" a="1"/>
  <c r="BS38" i="10" s="1"/>
  <c r="BR36" i="10" a="1"/>
  <c r="BR36" i="10" s="1"/>
  <c r="BP41" i="10"/>
  <c r="BL39" i="10" a="1"/>
  <c r="BL39" i="10" s="1"/>
  <c r="BK38" i="10" a="1"/>
  <c r="BK38" i="10" s="1"/>
  <c r="BN36" i="10" a="1"/>
  <c r="BN36" i="10" s="1"/>
  <c r="BN35" i="10" a="1"/>
  <c r="BN35" i="10" s="1"/>
  <c r="BN34" i="10" a="1"/>
  <c r="BN34" i="10" s="1"/>
  <c r="BJ39" i="10" a="1"/>
  <c r="BJ39" i="10" s="1"/>
  <c r="BJ38" i="10" a="1"/>
  <c r="BJ38" i="10" s="1"/>
  <c r="BK36" i="10" a="1"/>
  <c r="BK36" i="10" s="1"/>
  <c r="BK35" i="10" a="1"/>
  <c r="BK35" i="10" s="1"/>
  <c r="BK34" i="10" a="1"/>
  <c r="BK34" i="10" s="1"/>
  <c r="BO33" i="10" a="1"/>
  <c r="BO33" i="10" s="1"/>
  <c r="BN38" i="10" a="1"/>
  <c r="BN38" i="10" s="1"/>
  <c r="BU35" i="10" a="1"/>
  <c r="BU35" i="10" s="1"/>
  <c r="BJ33" i="10"/>
  <c r="BN39" i="10" a="1"/>
  <c r="BN39" i="10" s="1"/>
  <c r="BL38" i="10" a="1"/>
  <c r="BL38" i="10" s="1"/>
  <c r="BR35" i="10" a="1"/>
  <c r="BR35" i="10" s="1"/>
  <c r="BK41" i="10" a="1"/>
  <c r="BK41" i="10" l="1"/>
  <c r="BX1" i="10"/>
  <c r="BR41" i="10" a="1"/>
  <c r="BR41" i="10" l="1"/>
  <c r="BL47" i="10" a="1"/>
  <c r="BL47" i="10" s="1"/>
  <c r="BK46" i="10" a="1"/>
  <c r="BK46" i="10" s="1"/>
  <c r="BN44" i="10" a="1"/>
  <c r="BN44" i="10" s="1"/>
  <c r="BN43" i="10" a="1"/>
  <c r="BN43" i="10" s="1"/>
  <c r="BN42" i="10" a="1"/>
  <c r="BN42" i="10" s="1"/>
  <c r="BL46" i="10" a="1"/>
  <c r="BL46" i="10" s="1"/>
  <c r="BJ47" i="10" a="1"/>
  <c r="BJ47" i="10" s="1"/>
  <c r="BJ46" i="10" a="1"/>
  <c r="BJ46" i="10" s="1"/>
  <c r="BK44" i="10" a="1"/>
  <c r="BK44" i="10" s="1"/>
  <c r="BK43" i="10" a="1"/>
  <c r="BK43" i="10" s="1"/>
  <c r="BK42" i="10" a="1"/>
  <c r="BK42" i="10" s="1"/>
  <c r="BO41" i="10" a="1"/>
  <c r="BO41" i="10" s="1"/>
  <c r="BN47" i="10" a="1"/>
  <c r="BN47" i="10" s="1"/>
  <c r="BR43" i="10" a="1"/>
  <c r="BR43" i="10" s="1"/>
  <c r="BN46" i="10" a="1"/>
  <c r="BN46" i="10" s="1"/>
  <c r="BU43" i="10" a="1"/>
  <c r="BU43" i="10" s="1"/>
  <c r="BJ41" i="10"/>
  <c r="BX9" i="10" l="1"/>
  <c r="BQ41" i="10"/>
  <c r="BS46" i="10" a="1"/>
  <c r="BS46" i="10" s="1"/>
  <c r="BR42" i="10" a="1"/>
  <c r="BR42" i="10" s="1"/>
  <c r="BU47" i="10" a="1"/>
  <c r="BU47" i="10" s="1"/>
  <c r="BR46" i="10" a="1"/>
  <c r="BR46" i="10" s="1"/>
  <c r="BR44" i="10" a="1"/>
  <c r="BR44" i="10" s="1"/>
  <c r="BS47" i="10" a="1"/>
  <c r="BS47" i="10" s="1"/>
  <c r="BQ46" i="10" a="1"/>
  <c r="BQ46" i="10" s="1"/>
  <c r="BQ47" i="10" a="1"/>
  <c r="BQ47" i="10" s="1"/>
  <c r="BU46" i="10" a="1"/>
  <c r="BU46" i="10" s="1"/>
  <c r="BU44" i="10" a="1"/>
  <c r="BU44" i="10" s="1"/>
  <c r="BU42" i="10" a="1"/>
  <c r="BU42" i="10" s="1"/>
  <c r="BV41" i="10" a="1"/>
  <c r="BV41" i="10" s="1"/>
  <c r="CE9" i="10" l="1"/>
  <c r="BX17" i="10"/>
  <c r="BZ9" i="10" a="1"/>
  <c r="CG9" i="10" a="1"/>
  <c r="CG9" i="10" l="1"/>
  <c r="BZ9" i="10"/>
  <c r="CE17" i="10"/>
  <c r="BX25" i="10"/>
  <c r="BZ17" i="10" a="1"/>
  <c r="CG17" i="10" a="1"/>
  <c r="CG17" i="10" l="1"/>
  <c r="BZ17" i="10"/>
  <c r="CE25" i="10"/>
  <c r="CC14" i="10" a="1"/>
  <c r="CC14" i="10" s="1"/>
  <c r="CJ11" i="10" a="1"/>
  <c r="CJ11" i="10" s="1"/>
  <c r="BY9" i="10"/>
  <c r="CC15" i="10" a="1"/>
  <c r="CC15" i="10" s="1"/>
  <c r="CA14" i="10" a="1"/>
  <c r="CA14" i="10" s="1"/>
  <c r="CG11" i="10" a="1"/>
  <c r="CG11" i="10" s="1"/>
  <c r="CA15" i="10" a="1"/>
  <c r="CA15" i="10" s="1"/>
  <c r="BZ14" i="10" a="1"/>
  <c r="BZ14" i="10" s="1"/>
  <c r="CC12" i="10" a="1"/>
  <c r="CC12" i="10" s="1"/>
  <c r="CC11" i="10" a="1"/>
  <c r="CC11" i="10" s="1"/>
  <c r="CC10" i="10" a="1"/>
  <c r="CC10" i="10" s="1"/>
  <c r="BY15" i="10" a="1"/>
  <c r="BY15" i="10" s="1"/>
  <c r="BY14" i="10" a="1"/>
  <c r="BY14" i="10" s="1"/>
  <c r="BZ12" i="10" a="1"/>
  <c r="BZ12" i="10" s="1"/>
  <c r="BZ11" i="10" a="1"/>
  <c r="BZ11" i="10" s="1"/>
  <c r="BZ10" i="10" a="1"/>
  <c r="BZ10" i="10" s="1"/>
  <c r="CD9" i="10" a="1"/>
  <c r="CD9" i="10" s="1"/>
  <c r="CF15" i="10" a="1"/>
  <c r="CF15" i="10" s="1"/>
  <c r="CJ14" i="10" a="1"/>
  <c r="CJ14" i="10" s="1"/>
  <c r="CJ12" i="10" a="1"/>
  <c r="CJ12" i="10" s="1"/>
  <c r="CJ10" i="10" a="1"/>
  <c r="CJ10" i="10" s="1"/>
  <c r="CK9" i="10" a="1"/>
  <c r="CK9" i="10" s="1"/>
  <c r="CH14" i="10" a="1"/>
  <c r="CH14" i="10" s="1"/>
  <c r="CG12" i="10" a="1"/>
  <c r="CG12" i="10" s="1"/>
  <c r="CG10" i="10" a="1"/>
  <c r="CG10" i="10" s="1"/>
  <c r="CF9" i="10"/>
  <c r="CJ15" i="10" a="1"/>
  <c r="CJ15" i="10" s="1"/>
  <c r="CG14" i="10" a="1"/>
  <c r="CG14" i="10" s="1"/>
  <c r="CH15" i="10" a="1"/>
  <c r="CH15" i="10" s="1"/>
  <c r="CF14" i="10" a="1"/>
  <c r="CF14" i="10" s="1"/>
  <c r="BX33" i="10"/>
  <c r="BZ25" i="10" a="1"/>
  <c r="CG25" i="10" a="1"/>
  <c r="CG25" i="10" l="1"/>
  <c r="BZ25" i="10"/>
  <c r="BY23" i="10" a="1"/>
  <c r="BY23" i="10" s="1"/>
  <c r="BY22" i="10" a="1"/>
  <c r="BY22" i="10" s="1"/>
  <c r="BZ20" i="10" a="1"/>
  <c r="BZ20" i="10" s="1"/>
  <c r="BZ19" i="10" a="1"/>
  <c r="BZ19" i="10" s="1"/>
  <c r="BZ18" i="10" a="1"/>
  <c r="BZ18" i="10" s="1"/>
  <c r="CD17" i="10" a="1"/>
  <c r="CD17" i="10" s="1"/>
  <c r="CA23" i="10" a="1"/>
  <c r="CA23" i="10" s="1"/>
  <c r="CC22" i="10" a="1"/>
  <c r="CC22" i="10" s="1"/>
  <c r="CJ19" i="10" a="1"/>
  <c r="CJ19" i="10" s="1"/>
  <c r="CC20" i="10" a="1"/>
  <c r="CC20" i="10" s="1"/>
  <c r="CC18" i="10" a="1"/>
  <c r="CC18" i="10" s="1"/>
  <c r="BY17" i="10"/>
  <c r="CC23" i="10" a="1"/>
  <c r="CC23" i="10" s="1"/>
  <c r="CA22" i="10" a="1"/>
  <c r="CA22" i="10" s="1"/>
  <c r="CG19" i="10" a="1"/>
  <c r="CG19" i="10" s="1"/>
  <c r="BZ22" i="10" a="1"/>
  <c r="BZ22" i="10" s="1"/>
  <c r="CC19" i="10" a="1"/>
  <c r="CC19" i="10" s="1"/>
  <c r="CE33" i="10"/>
  <c r="CH23" i="10" a="1"/>
  <c r="CH23" i="10" s="1"/>
  <c r="CF22" i="10" a="1"/>
  <c r="CF22" i="10" s="1"/>
  <c r="CF23" i="10" a="1"/>
  <c r="CF23" i="10" s="1"/>
  <c r="CJ22" i="10" a="1"/>
  <c r="CJ22" i="10" s="1"/>
  <c r="CJ20" i="10" a="1"/>
  <c r="CJ20" i="10" s="1"/>
  <c r="CJ18" i="10" a="1"/>
  <c r="CJ18" i="10" s="1"/>
  <c r="CK17" i="10" a="1"/>
  <c r="CK17" i="10" s="1"/>
  <c r="CG22" i="10" a="1"/>
  <c r="CG22" i="10" s="1"/>
  <c r="CH22" i="10" a="1"/>
  <c r="CH22" i="10" s="1"/>
  <c r="CG20" i="10" a="1"/>
  <c r="CG20" i="10" s="1"/>
  <c r="CG18" i="10" a="1"/>
  <c r="CG18" i="10" s="1"/>
  <c r="CJ23" i="10" a="1"/>
  <c r="CJ23" i="10" s="1"/>
  <c r="CF17" i="10"/>
  <c r="CG33" i="10" a="1"/>
  <c r="BZ33" i="10" a="1"/>
  <c r="BZ33" i="10" l="1"/>
  <c r="CG33" i="10"/>
  <c r="BY31" i="10" a="1"/>
  <c r="BY31" i="10" s="1"/>
  <c r="BY30" i="10" a="1"/>
  <c r="BY30" i="10" s="1"/>
  <c r="BZ28" i="10" a="1"/>
  <c r="BZ28" i="10" s="1"/>
  <c r="BZ27" i="10" a="1"/>
  <c r="BZ27" i="10" s="1"/>
  <c r="BZ26" i="10" a="1"/>
  <c r="BZ26" i="10" s="1"/>
  <c r="CD25" i="10" a="1"/>
  <c r="CD25" i="10" s="1"/>
  <c r="CC30" i="10" a="1"/>
  <c r="CC30" i="10" s="1"/>
  <c r="CJ27" i="10" a="1"/>
  <c r="CJ27" i="10" s="1"/>
  <c r="BY25" i="10"/>
  <c r="CC31" i="10" a="1"/>
  <c r="CC31" i="10" s="1"/>
  <c r="CA30" i="10" a="1"/>
  <c r="CA30" i="10" s="1"/>
  <c r="CG27" i="10" a="1"/>
  <c r="CG27" i="10" s="1"/>
  <c r="CA31" i="10" a="1"/>
  <c r="CA31" i="10" s="1"/>
  <c r="BZ30" i="10" a="1"/>
  <c r="BZ30" i="10" s="1"/>
  <c r="CC28" i="10" a="1"/>
  <c r="CC28" i="10" s="1"/>
  <c r="CC27" i="10" a="1"/>
  <c r="CC27" i="10" s="1"/>
  <c r="CC26" i="10" a="1"/>
  <c r="CC26" i="10" s="1"/>
  <c r="BX41" i="10"/>
  <c r="CH31" i="10" a="1"/>
  <c r="CH31" i="10" s="1"/>
  <c r="CF30" i="10" a="1"/>
  <c r="CF30" i="10" s="1"/>
  <c r="CF25" i="10"/>
  <c r="CF31" i="10" a="1"/>
  <c r="CF31" i="10" s="1"/>
  <c r="CJ30" i="10" a="1"/>
  <c r="CJ30" i="10" s="1"/>
  <c r="CJ28" i="10" a="1"/>
  <c r="CJ28" i="10" s="1"/>
  <c r="CJ26" i="10" a="1"/>
  <c r="CJ26" i="10" s="1"/>
  <c r="CK25" i="10" a="1"/>
  <c r="CK25" i="10" s="1"/>
  <c r="CH30" i="10" a="1"/>
  <c r="CH30" i="10" s="1"/>
  <c r="CG28" i="10" a="1"/>
  <c r="CG28" i="10" s="1"/>
  <c r="CG26" i="10" a="1"/>
  <c r="CG26" i="10" s="1"/>
  <c r="CJ31" i="10" a="1"/>
  <c r="CJ31" i="10" s="1"/>
  <c r="CG30" i="10" a="1"/>
  <c r="CG30" i="10" s="1"/>
  <c r="CJ39" i="10" l="1" a="1"/>
  <c r="CJ39" i="10" s="1"/>
  <c r="CG38" i="10" a="1"/>
  <c r="CG38" i="10" s="1"/>
  <c r="CG36" i="10" a="1"/>
  <c r="CG36" i="10" s="1"/>
  <c r="CH39" i="10" a="1"/>
  <c r="CH39" i="10" s="1"/>
  <c r="CF38" i="10" a="1"/>
  <c r="CF38" i="10" s="1"/>
  <c r="CF39" i="10" a="1"/>
  <c r="CF39" i="10" s="1"/>
  <c r="CJ38" i="10" a="1"/>
  <c r="CJ38" i="10" s="1"/>
  <c r="CJ36" i="10" a="1"/>
  <c r="CJ36" i="10" s="1"/>
  <c r="CJ34" i="10" a="1"/>
  <c r="CJ34" i="10" s="1"/>
  <c r="CK33" i="10" a="1"/>
  <c r="CK33" i="10" s="1"/>
  <c r="CH38" i="10" a="1"/>
  <c r="CH38" i="10" s="1"/>
  <c r="CG34" i="10" a="1"/>
  <c r="CG34" i="10" s="1"/>
  <c r="CF33" i="10"/>
  <c r="CE41" i="10"/>
  <c r="CA39" i="10" a="1"/>
  <c r="CA39" i="10" s="1"/>
  <c r="BZ38" i="10" a="1"/>
  <c r="BZ38" i="10" s="1"/>
  <c r="CC36" i="10" a="1"/>
  <c r="CC36" i="10" s="1"/>
  <c r="CC35" i="10" a="1"/>
  <c r="CC35" i="10" s="1"/>
  <c r="CC34" i="10" a="1"/>
  <c r="CC34" i="10" s="1"/>
  <c r="BY39" i="10" a="1"/>
  <c r="BY39" i="10" s="1"/>
  <c r="BY38" i="10" a="1"/>
  <c r="BY38" i="10" s="1"/>
  <c r="BZ36" i="10" a="1"/>
  <c r="BZ36" i="10" s="1"/>
  <c r="BZ35" i="10" a="1"/>
  <c r="BZ35" i="10" s="1"/>
  <c r="BZ34" i="10" a="1"/>
  <c r="BZ34" i="10" s="1"/>
  <c r="CD33" i="10" a="1"/>
  <c r="CD33" i="10" s="1"/>
  <c r="CC39" i="10" a="1"/>
  <c r="CC39" i="10" s="1"/>
  <c r="CG35" i="10" a="1"/>
  <c r="CG35" i="10" s="1"/>
  <c r="CC38" i="10" a="1"/>
  <c r="CC38" i="10" s="1"/>
  <c r="CJ35" i="10" a="1"/>
  <c r="CJ35" i="10" s="1"/>
  <c r="BY33" i="10"/>
  <c r="CA38" i="10" a="1"/>
  <c r="CA38" i="10" s="1"/>
  <c r="BZ41" i="10" a="1"/>
  <c r="BZ41" i="10" l="1"/>
  <c r="CM1" i="10"/>
  <c r="CG41" i="10" a="1"/>
  <c r="CG41" i="10" l="1"/>
  <c r="CA47" i="10" a="1"/>
  <c r="CA47" i="10" s="1"/>
  <c r="BZ46" i="10" a="1"/>
  <c r="BZ46" i="10" s="1"/>
  <c r="CC44" i="10" a="1"/>
  <c r="CC44" i="10" s="1"/>
  <c r="CC43" i="10" a="1"/>
  <c r="CC43" i="10" s="1"/>
  <c r="CC42" i="10" a="1"/>
  <c r="CC42" i="10" s="1"/>
  <c r="BY47" i="10" a="1"/>
  <c r="BY47" i="10" s="1"/>
  <c r="BY46" i="10" a="1"/>
  <c r="BY46" i="10" s="1"/>
  <c r="BZ44" i="10" a="1"/>
  <c r="BZ44" i="10" s="1"/>
  <c r="BZ43" i="10" a="1"/>
  <c r="BZ43" i="10" s="1"/>
  <c r="BZ42" i="10" a="1"/>
  <c r="BZ42" i="10" s="1"/>
  <c r="CD41" i="10" a="1"/>
  <c r="CD41" i="10" s="1"/>
  <c r="BY41" i="10"/>
  <c r="CC46" i="10" a="1"/>
  <c r="CC46" i="10" s="1"/>
  <c r="CJ43" i="10" a="1"/>
  <c r="CJ43" i="10" s="1"/>
  <c r="CC47" i="10" a="1"/>
  <c r="CC47" i="10" s="1"/>
  <c r="CA46" i="10" a="1"/>
  <c r="CA46" i="10" s="1"/>
  <c r="CG43" i="10" a="1"/>
  <c r="CG43" i="10" s="1"/>
  <c r="CM9" i="10" l="1"/>
  <c r="CF41" i="10"/>
  <c r="CJ47" i="10" a="1"/>
  <c r="CJ47" i="10" s="1"/>
  <c r="CG46" i="10" a="1"/>
  <c r="CG46" i="10" s="1"/>
  <c r="CH47" i="10" a="1"/>
  <c r="CH47" i="10" s="1"/>
  <c r="CF46" i="10" a="1"/>
  <c r="CF46" i="10" s="1"/>
  <c r="CF47" i="10" a="1"/>
  <c r="CF47" i="10" s="1"/>
  <c r="CJ46" i="10" a="1"/>
  <c r="CJ46" i="10" s="1"/>
  <c r="CJ44" i="10" a="1"/>
  <c r="CJ44" i="10" s="1"/>
  <c r="CJ42" i="10" a="1"/>
  <c r="CJ42" i="10" s="1"/>
  <c r="CK41" i="10" a="1"/>
  <c r="CK41" i="10" s="1"/>
  <c r="CH46" i="10" a="1"/>
  <c r="CH46" i="10" s="1"/>
  <c r="CG44" i="10" a="1"/>
  <c r="CG44" i="10" s="1"/>
  <c r="CG42" i="10" a="1"/>
  <c r="CG42" i="10" s="1"/>
  <c r="CT9" i="10" l="1"/>
  <c r="CM17" i="10"/>
  <c r="CO9" i="10" a="1"/>
  <c r="CV9" i="10" a="1"/>
  <c r="CV9" i="10" l="1"/>
  <c r="CO9" i="10"/>
  <c r="CT17" i="10"/>
  <c r="CM25" i="10"/>
  <c r="CV17" i="10" a="1"/>
  <c r="CO17" i="10" a="1"/>
  <c r="CO17" i="10" l="1"/>
  <c r="CV17" i="10"/>
  <c r="CT25" i="10"/>
  <c r="CR14" i="10" a="1"/>
  <c r="CR14" i="10" s="1"/>
  <c r="CY11" i="10" a="1"/>
  <c r="CY11" i="10" s="1"/>
  <c r="CN9" i="10"/>
  <c r="CP15" i="10" a="1"/>
  <c r="CP15" i="10" s="1"/>
  <c r="CR11" i="10" a="1"/>
  <c r="CR11" i="10" s="1"/>
  <c r="CR15" i="10" a="1"/>
  <c r="CR15" i="10" s="1"/>
  <c r="CP14" i="10" a="1"/>
  <c r="CP14" i="10" s="1"/>
  <c r="CV11" i="10" a="1"/>
  <c r="CV11" i="10" s="1"/>
  <c r="CR12" i="10" a="1"/>
  <c r="CR12" i="10" s="1"/>
  <c r="CR10" i="10" a="1"/>
  <c r="CR10" i="10" s="1"/>
  <c r="CN15" i="10" a="1"/>
  <c r="CN15" i="10" s="1"/>
  <c r="CN14" i="10" a="1"/>
  <c r="CN14" i="10" s="1"/>
  <c r="CO12" i="10" a="1"/>
  <c r="CO12" i="10" s="1"/>
  <c r="CO11" i="10" a="1"/>
  <c r="CO11" i="10" s="1"/>
  <c r="CO10" i="10" a="1"/>
  <c r="CO10" i="10" s="1"/>
  <c r="CS9" i="10" a="1"/>
  <c r="CS9" i="10" s="1"/>
  <c r="CO14" i="10" a="1"/>
  <c r="CO14" i="10" s="1"/>
  <c r="CU15" i="10" a="1"/>
  <c r="CU15" i="10" s="1"/>
  <c r="CY14" i="10" a="1"/>
  <c r="CY14" i="10" s="1"/>
  <c r="CY12" i="10" a="1"/>
  <c r="CY12" i="10" s="1"/>
  <c r="CY10" i="10" a="1"/>
  <c r="CY10" i="10" s="1"/>
  <c r="CZ9" i="10" a="1"/>
  <c r="CZ9" i="10" s="1"/>
  <c r="CW14" i="10" a="1"/>
  <c r="CW14" i="10" s="1"/>
  <c r="CV12" i="10" a="1"/>
  <c r="CV12" i="10" s="1"/>
  <c r="CV10" i="10" a="1"/>
  <c r="CV10" i="10" s="1"/>
  <c r="CY15" i="10" a="1"/>
  <c r="CY15" i="10" s="1"/>
  <c r="CU9" i="10"/>
  <c r="CV14" i="10" a="1"/>
  <c r="CV14" i="10" s="1"/>
  <c r="CW15" i="10" a="1"/>
  <c r="CW15" i="10" s="1"/>
  <c r="CU14" i="10" a="1"/>
  <c r="CU14" i="10" s="1"/>
  <c r="CM33" i="10"/>
  <c r="CO25" i="10" a="1"/>
  <c r="CV25" i="10" a="1"/>
  <c r="CV25" i="10" l="1"/>
  <c r="CO25" i="10"/>
  <c r="CW23" i="10" a="1"/>
  <c r="CW23" i="10" s="1"/>
  <c r="CU22" i="10" a="1"/>
  <c r="CU22" i="10" s="1"/>
  <c r="CY23" i="10" a="1"/>
  <c r="CY23" i="10" s="1"/>
  <c r="CU23" i="10" a="1"/>
  <c r="CU23" i="10" s="1"/>
  <c r="CY22" i="10" a="1"/>
  <c r="CY22" i="10" s="1"/>
  <c r="CY20" i="10" a="1"/>
  <c r="CY20" i="10" s="1"/>
  <c r="CY18" i="10" a="1"/>
  <c r="CY18" i="10" s="1"/>
  <c r="CZ17" i="10" a="1"/>
  <c r="CZ17" i="10" s="1"/>
  <c r="CW22" i="10" a="1"/>
  <c r="CW22" i="10" s="1"/>
  <c r="CV20" i="10" a="1"/>
  <c r="CV20" i="10" s="1"/>
  <c r="CV18" i="10" a="1"/>
  <c r="CV18" i="10" s="1"/>
  <c r="CU17" i="10"/>
  <c r="CV22" i="10" a="1"/>
  <c r="CV22" i="10" s="1"/>
  <c r="CT33" i="10"/>
  <c r="CN23" i="10" a="1"/>
  <c r="CN23" i="10" s="1"/>
  <c r="CN22" i="10" a="1"/>
  <c r="CN22" i="10" s="1"/>
  <c r="CO20" i="10" a="1"/>
  <c r="CO20" i="10" s="1"/>
  <c r="CO19" i="10" a="1"/>
  <c r="CO19" i="10" s="1"/>
  <c r="CO18" i="10" a="1"/>
  <c r="CO18" i="10" s="1"/>
  <c r="CS17" i="10" a="1"/>
  <c r="CS17" i="10" s="1"/>
  <c r="CR18" i="10" a="1"/>
  <c r="CR18" i="10" s="1"/>
  <c r="CR22" i="10" a="1"/>
  <c r="CR22" i="10" s="1"/>
  <c r="CY19" i="10" a="1"/>
  <c r="CY19" i="10" s="1"/>
  <c r="CR20" i="10" a="1"/>
  <c r="CR20" i="10" s="1"/>
  <c r="CN17" i="10"/>
  <c r="CP23" i="10" a="1"/>
  <c r="CP23" i="10" s="1"/>
  <c r="CR23" i="10" a="1"/>
  <c r="CR23" i="10" s="1"/>
  <c r="CP22" i="10" a="1"/>
  <c r="CP22" i="10" s="1"/>
  <c r="CV19" i="10" a="1"/>
  <c r="CV19" i="10" s="1"/>
  <c r="CO22" i="10" a="1"/>
  <c r="CO22" i="10" s="1"/>
  <c r="CR19" i="10" a="1"/>
  <c r="CR19" i="10" s="1"/>
  <c r="CO33" i="10" a="1"/>
  <c r="CV33" i="10" a="1"/>
  <c r="CV33" i="10" l="1"/>
  <c r="CO33" i="10"/>
  <c r="CN31" i="10" a="1"/>
  <c r="CN31" i="10" s="1"/>
  <c r="CN30" i="10" a="1"/>
  <c r="CN30" i="10" s="1"/>
  <c r="CO28" i="10" a="1"/>
  <c r="CO28" i="10" s="1"/>
  <c r="CO27" i="10" a="1"/>
  <c r="CO27" i="10" s="1"/>
  <c r="CO26" i="10" a="1"/>
  <c r="CO26" i="10" s="1"/>
  <c r="CS25" i="10" a="1"/>
  <c r="CS25" i="10" s="1"/>
  <c r="CR31" i="10" a="1"/>
  <c r="CR31" i="10" s="1"/>
  <c r="CR30" i="10" a="1"/>
  <c r="CR30" i="10" s="1"/>
  <c r="CY27" i="10" a="1"/>
  <c r="CY27" i="10" s="1"/>
  <c r="CP30" i="10" a="1"/>
  <c r="CP30" i="10" s="1"/>
  <c r="CN25" i="10"/>
  <c r="CV27" i="10" a="1"/>
  <c r="CV27" i="10" s="1"/>
  <c r="CP31" i="10" a="1"/>
  <c r="CP31" i="10" s="1"/>
  <c r="CO30" i="10" a="1"/>
  <c r="CO30" i="10" s="1"/>
  <c r="CR28" i="10" a="1"/>
  <c r="CR28" i="10" s="1"/>
  <c r="CR27" i="10" a="1"/>
  <c r="CR27" i="10" s="1"/>
  <c r="CR26" i="10" a="1"/>
  <c r="CR26" i="10" s="1"/>
  <c r="CM41" i="10"/>
  <c r="CW31" i="10" a="1"/>
  <c r="CW31" i="10" s="1"/>
  <c r="CU30" i="10" a="1"/>
  <c r="CU30" i="10" s="1"/>
  <c r="CU25" i="10"/>
  <c r="CV28" i="10" a="1"/>
  <c r="CV28" i="10" s="1"/>
  <c r="CU31" i="10" a="1"/>
  <c r="CU31" i="10" s="1"/>
  <c r="CY30" i="10" a="1"/>
  <c r="CY30" i="10" s="1"/>
  <c r="CY28" i="10" a="1"/>
  <c r="CY28" i="10" s="1"/>
  <c r="CY26" i="10" a="1"/>
  <c r="CY26" i="10" s="1"/>
  <c r="CZ25" i="10" a="1"/>
  <c r="CZ25" i="10" s="1"/>
  <c r="CW30" i="10" a="1"/>
  <c r="CW30" i="10" s="1"/>
  <c r="CV26" i="10" a="1"/>
  <c r="CV26" i="10" s="1"/>
  <c r="CY31" i="10" a="1"/>
  <c r="CY31" i="10" s="1"/>
  <c r="CV30" i="10" a="1"/>
  <c r="CV30" i="10" s="1"/>
  <c r="CP39" i="10" l="1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R39" i="10" a="1"/>
  <c r="CR39" i="10" s="1"/>
  <c r="CV35" i="10" a="1"/>
  <c r="CV35" i="10" s="1"/>
  <c r="CN39" i="10" a="1"/>
  <c r="CN39" i="10" s="1"/>
  <c r="CN38" i="10" a="1"/>
  <c r="CN38" i="10" s="1"/>
  <c r="CO36" i="10" a="1"/>
  <c r="CO36" i="10" s="1"/>
  <c r="CO35" i="10" a="1"/>
  <c r="CO35" i="10" s="1"/>
  <c r="CO34" i="10" a="1"/>
  <c r="CO34" i="10" s="1"/>
  <c r="CS33" i="10" a="1"/>
  <c r="CS33" i="10" s="1"/>
  <c r="CR38" i="10" a="1"/>
  <c r="CR38" i="10" s="1"/>
  <c r="CY35" i="10" a="1"/>
  <c r="CY35" i="10" s="1"/>
  <c r="CN33" i="10"/>
  <c r="CP38" i="10" a="1"/>
  <c r="CP38" i="10" s="1"/>
  <c r="CT41" i="10"/>
  <c r="CY39" i="10" a="1"/>
  <c r="CY39" i="10" s="1"/>
  <c r="CV38" i="10" a="1"/>
  <c r="CV38" i="10" s="1"/>
  <c r="CW38" i="10" a="1"/>
  <c r="CW38" i="10" s="1"/>
  <c r="CV34" i="10" a="1"/>
  <c r="CV34" i="10" s="1"/>
  <c r="CW39" i="10" a="1"/>
  <c r="CW39" i="10" s="1"/>
  <c r="CU38" i="10" a="1"/>
  <c r="CU38" i="10" s="1"/>
  <c r="CU39" i="10" a="1"/>
  <c r="CU39" i="10" s="1"/>
  <c r="CY38" i="10" a="1"/>
  <c r="CY38" i="10" s="1"/>
  <c r="CY36" i="10" a="1"/>
  <c r="CY36" i="10" s="1"/>
  <c r="CY34" i="10" a="1"/>
  <c r="CY34" i="10" s="1"/>
  <c r="CZ33" i="10" a="1"/>
  <c r="CZ33" i="10" s="1"/>
  <c r="CU33" i="10"/>
  <c r="CV36" i="10" a="1"/>
  <c r="CV36" i="10" s="1"/>
  <c r="CO41" i="10" a="1"/>
  <c r="CO41" i="10" l="1"/>
  <c r="DB1" i="10"/>
  <c r="CV41" i="10" a="1"/>
  <c r="CV41" i="10" l="1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7" i="10" a="1"/>
  <c r="CN47" i="10" s="1"/>
  <c r="CN46" i="10" a="1"/>
  <c r="CN46" i="10" s="1"/>
  <c r="CO44" i="10" a="1"/>
  <c r="CO44" i="10" s="1"/>
  <c r="CO43" i="10" a="1"/>
  <c r="CO43" i="10" s="1"/>
  <c r="CO42" i="10" a="1"/>
  <c r="CO42" i="10" s="1"/>
  <c r="CS41" i="10" a="1"/>
  <c r="CS41" i="10" s="1"/>
  <c r="CR46" i="10" a="1"/>
  <c r="CR46" i="10" s="1"/>
  <c r="CY43" i="10" a="1"/>
  <c r="CY43" i="10" s="1"/>
  <c r="CR47" i="10" a="1"/>
  <c r="CR47" i="10" s="1"/>
  <c r="CP46" i="10" a="1"/>
  <c r="CP46" i="10" s="1"/>
  <c r="CV43" i="10" a="1"/>
  <c r="CV43" i="10" s="1"/>
  <c r="CN41" i="10"/>
  <c r="DB9" i="10" l="1"/>
  <c r="CU41" i="10"/>
  <c r="CY47" i="10" a="1"/>
  <c r="CY47" i="10" s="1"/>
  <c r="CV46" i="10" a="1"/>
  <c r="CV46" i="10" s="1"/>
  <c r="CY46" i="10" a="1"/>
  <c r="CY46" i="10" s="1"/>
  <c r="CY42" i="10" a="1"/>
  <c r="CY42" i="10" s="1"/>
  <c r="CW47" i="10" a="1"/>
  <c r="CW47" i="10" s="1"/>
  <c r="CU46" i="10" a="1"/>
  <c r="CU46" i="10" s="1"/>
  <c r="CY44" i="10" a="1"/>
  <c r="CY44" i="10" s="1"/>
  <c r="CZ41" i="10" a="1"/>
  <c r="CZ41" i="10" s="1"/>
  <c r="CU47" i="10" a="1"/>
  <c r="CU47" i="10" s="1"/>
  <c r="CW46" i="10" a="1"/>
  <c r="CW46" i="10" s="1"/>
  <c r="CV44" i="10" a="1"/>
  <c r="CV44" i="10" s="1"/>
  <c r="CV42" i="10" a="1"/>
  <c r="CV42" i="10" s="1"/>
  <c r="DI9" i="10" l="1"/>
  <c r="DB17" i="10"/>
  <c r="DD9" i="10" a="1"/>
  <c r="DK9" i="10" a="1"/>
  <c r="DK9" i="10" l="1"/>
  <c r="DD9" i="10"/>
  <c r="DI17" i="10"/>
  <c r="DB25" i="10"/>
  <c r="DD17" i="10" a="1"/>
  <c r="DK17" i="10" a="1"/>
  <c r="DK17" i="10" l="1"/>
  <c r="DD17" i="10"/>
  <c r="DI25" i="10"/>
  <c r="DG14" i="10" a="1"/>
  <c r="DG14" i="10" s="1"/>
  <c r="DN11" i="10" a="1"/>
  <c r="DN11" i="10" s="1"/>
  <c r="DC9" i="10"/>
  <c r="DG11" i="10" a="1"/>
  <c r="DG11" i="10" s="1"/>
  <c r="DG15" i="10" a="1"/>
  <c r="DG15" i="10" s="1"/>
  <c r="DE14" i="10" a="1"/>
  <c r="DE14" i="10" s="1"/>
  <c r="DK11" i="10" a="1"/>
  <c r="DK11" i="10" s="1"/>
  <c r="DE15" i="10" a="1"/>
  <c r="DE15" i="10" s="1"/>
  <c r="DD14" i="10" a="1"/>
  <c r="DD14" i="10" s="1"/>
  <c r="DG12" i="10" a="1"/>
  <c r="DG12" i="10" s="1"/>
  <c r="DG10" i="10" a="1"/>
  <c r="DG10" i="10" s="1"/>
  <c r="DC15" i="10" a="1"/>
  <c r="DC15" i="10" s="1"/>
  <c r="DD11" i="10" a="1"/>
  <c r="DD11" i="10" s="1"/>
  <c r="DH9" i="10" a="1"/>
  <c r="DH9" i="10" s="1"/>
  <c r="DC14" i="10" a="1"/>
  <c r="DC14" i="10" s="1"/>
  <c r="DD10" i="10" a="1"/>
  <c r="DD10" i="10" s="1"/>
  <c r="DD12" i="10" a="1"/>
  <c r="DD12" i="10" s="1"/>
  <c r="DJ15" i="10" a="1"/>
  <c r="DJ15" i="10" s="1"/>
  <c r="DN12" i="10" a="1"/>
  <c r="DN12" i="10" s="1"/>
  <c r="DO9" i="10" a="1"/>
  <c r="DO9" i="10" s="1"/>
  <c r="DN14" i="10" a="1"/>
  <c r="DN14" i="10" s="1"/>
  <c r="DN10" i="10" a="1"/>
  <c r="DN10" i="10" s="1"/>
  <c r="DK14" i="10" a="1"/>
  <c r="DK14" i="10" s="1"/>
  <c r="DL14" i="10" a="1"/>
  <c r="DL14" i="10" s="1"/>
  <c r="DK12" i="10" a="1"/>
  <c r="DK12" i="10" s="1"/>
  <c r="DK10" i="10" a="1"/>
  <c r="DK10" i="10" s="1"/>
  <c r="DN15" i="10" a="1"/>
  <c r="DN15" i="10" s="1"/>
  <c r="DJ9" i="10"/>
  <c r="DJ14" i="10" a="1"/>
  <c r="DJ14" i="10" s="1"/>
  <c r="DL15" i="10" a="1"/>
  <c r="DL15" i="10" s="1"/>
  <c r="DB33" i="10"/>
  <c r="DD25" i="10" a="1"/>
  <c r="DK25" i="10" a="1"/>
  <c r="DK25" i="10" l="1"/>
  <c r="DD25" i="10"/>
  <c r="DI33" i="10"/>
  <c r="DC23" i="10" a="1"/>
  <c r="DC23" i="10" s="1"/>
  <c r="DC22" i="10" a="1"/>
  <c r="DC22" i="10" s="1"/>
  <c r="DD20" i="10" a="1"/>
  <c r="DD20" i="10" s="1"/>
  <c r="DD19" i="10" a="1"/>
  <c r="DD19" i="10" s="1"/>
  <c r="DD18" i="10" a="1"/>
  <c r="DD18" i="10" s="1"/>
  <c r="DH17" i="10" a="1"/>
  <c r="DH17" i="10" s="1"/>
  <c r="DG22" i="10" a="1"/>
  <c r="DG22" i="10" s="1"/>
  <c r="DN19" i="10" a="1"/>
  <c r="DN19" i="10" s="1"/>
  <c r="DC17" i="10"/>
  <c r="DG23" i="10" a="1"/>
  <c r="DG23" i="10" s="1"/>
  <c r="DE22" i="10" a="1"/>
  <c r="DE22" i="10" s="1"/>
  <c r="DK19" i="10" a="1"/>
  <c r="DK19" i="10" s="1"/>
  <c r="DE23" i="10" a="1"/>
  <c r="DE23" i="10" s="1"/>
  <c r="DG19" i="10" a="1"/>
  <c r="DG19" i="10" s="1"/>
  <c r="DD22" i="10" a="1"/>
  <c r="DD22" i="10" s="1"/>
  <c r="DG18" i="10" a="1"/>
  <c r="DG18" i="10" s="1"/>
  <c r="DG20" i="10" a="1"/>
  <c r="DG20" i="10" s="1"/>
  <c r="DL23" i="10" a="1"/>
  <c r="DL23" i="10" s="1"/>
  <c r="DJ22" i="10" a="1"/>
  <c r="DJ22" i="10" s="1"/>
  <c r="DJ23" i="10" a="1"/>
  <c r="DJ23" i="10" s="1"/>
  <c r="DN22" i="10" a="1"/>
  <c r="DN22" i="10" s="1"/>
  <c r="DN20" i="10" a="1"/>
  <c r="DN20" i="10" s="1"/>
  <c r="DN18" i="10" a="1"/>
  <c r="DN18" i="10" s="1"/>
  <c r="DO17" i="10" a="1"/>
  <c r="DO17" i="10" s="1"/>
  <c r="DJ17" i="10"/>
  <c r="DL22" i="10" a="1"/>
  <c r="DL22" i="10" s="1"/>
  <c r="DK20" i="10" a="1"/>
  <c r="DK20" i="10" s="1"/>
  <c r="DK18" i="10" a="1"/>
  <c r="DK18" i="10" s="1"/>
  <c r="DK22" i="10" a="1"/>
  <c r="DK22" i="10" s="1"/>
  <c r="DN23" i="10" a="1"/>
  <c r="DN23" i="10" s="1"/>
  <c r="DB41" i="10"/>
  <c r="DK33" i="10" a="1"/>
  <c r="DD33" i="10" a="1"/>
  <c r="DD33" i="10" l="1"/>
  <c r="DK33" i="10"/>
  <c r="DI41" i="10"/>
  <c r="DC31" i="10" a="1"/>
  <c r="DC31" i="10" s="1"/>
  <c r="DD28" i="10" a="1"/>
  <c r="DD28" i="10" s="1"/>
  <c r="DD27" i="10" a="1"/>
  <c r="DD27" i="10" s="1"/>
  <c r="DD26" i="10" a="1"/>
  <c r="DD26" i="10" s="1"/>
  <c r="DC30" i="10" a="1"/>
  <c r="DC30" i="10" s="1"/>
  <c r="DH25" i="10" a="1"/>
  <c r="DH25" i="10" s="1"/>
  <c r="DG31" i="10" a="1"/>
  <c r="DG31" i="10" s="1"/>
  <c r="DE30" i="10" a="1"/>
  <c r="DE30" i="10" s="1"/>
  <c r="DG30" i="10" a="1"/>
  <c r="DG30" i="10" s="1"/>
  <c r="DN27" i="10" a="1"/>
  <c r="DN27" i="10" s="1"/>
  <c r="DK27" i="10" a="1"/>
  <c r="DK27" i="10" s="1"/>
  <c r="DC25" i="10"/>
  <c r="DE31" i="10" a="1"/>
  <c r="DE31" i="10" s="1"/>
  <c r="DG27" i="10" a="1"/>
  <c r="DG27" i="10" s="1"/>
  <c r="DD30" i="10" a="1"/>
  <c r="DD30" i="10" s="1"/>
  <c r="DG26" i="10" a="1"/>
  <c r="DG26" i="10" s="1"/>
  <c r="DG28" i="10" a="1"/>
  <c r="DG28" i="10" s="1"/>
  <c r="DL31" i="10" a="1"/>
  <c r="DL31" i="10" s="1"/>
  <c r="DJ30" i="10" a="1"/>
  <c r="DJ30" i="10" s="1"/>
  <c r="DK26" i="10" a="1"/>
  <c r="DK26" i="10" s="1"/>
  <c r="DJ31" i="10" a="1"/>
  <c r="DJ31" i="10" s="1"/>
  <c r="DN30" i="10" a="1"/>
  <c r="DN30" i="10" s="1"/>
  <c r="DN28" i="10" a="1"/>
  <c r="DN28" i="10" s="1"/>
  <c r="DN26" i="10" a="1"/>
  <c r="DN26" i="10" s="1"/>
  <c r="DO25" i="10" a="1"/>
  <c r="DO25" i="10" s="1"/>
  <c r="DL30" i="10" a="1"/>
  <c r="DL30" i="10" s="1"/>
  <c r="DK28" i="10" a="1"/>
  <c r="DK28" i="10" s="1"/>
  <c r="DJ25" i="10"/>
  <c r="DK30" i="10" a="1"/>
  <c r="DK30" i="10" s="1"/>
  <c r="DN31" i="10" a="1"/>
  <c r="DN31" i="10" s="1"/>
  <c r="DQ1" i="10"/>
  <c r="DK41" i="10" a="1"/>
  <c r="DD41" i="10" a="1"/>
  <c r="DD41" i="10" l="1"/>
  <c r="DK41" i="10"/>
  <c r="DN39" i="10" a="1"/>
  <c r="DN39" i="10" s="1"/>
  <c r="DK38" i="10" a="1"/>
  <c r="DK38" i="10" s="1"/>
  <c r="DL39" i="10" a="1"/>
  <c r="DL39" i="10" s="1"/>
  <c r="DJ38" i="10" a="1"/>
  <c r="DJ38" i="10" s="1"/>
  <c r="DJ39" i="10" a="1"/>
  <c r="DJ39" i="10" s="1"/>
  <c r="DN38" i="10" a="1"/>
  <c r="DN38" i="10" s="1"/>
  <c r="DN36" i="10" a="1"/>
  <c r="DN36" i="10" s="1"/>
  <c r="DN34" i="10" a="1"/>
  <c r="DN34" i="10" s="1"/>
  <c r="DO33" i="10" a="1"/>
  <c r="DO33" i="10" s="1"/>
  <c r="DK36" i="10" a="1"/>
  <c r="DK36" i="10" s="1"/>
  <c r="DL38" i="10" a="1"/>
  <c r="DL38" i="10" s="1"/>
  <c r="DK34" i="10" a="1"/>
  <c r="DK34" i="10" s="1"/>
  <c r="DJ33" i="10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C39" i="10" a="1"/>
  <c r="DC39" i="10" s="1"/>
  <c r="DC38" i="10" a="1"/>
  <c r="DC38" i="10" s="1"/>
  <c r="DD36" i="10" a="1"/>
  <c r="DD36" i="10" s="1"/>
  <c r="DD35" i="10" a="1"/>
  <c r="DD35" i="10" s="1"/>
  <c r="DD34" i="10" a="1"/>
  <c r="DD34" i="10" s="1"/>
  <c r="DH33" i="10" a="1"/>
  <c r="DH33" i="10" s="1"/>
  <c r="DC33" i="10"/>
  <c r="DG38" i="10" a="1"/>
  <c r="DG38" i="10" s="1"/>
  <c r="DN35" i="10" a="1"/>
  <c r="DN35" i="10" s="1"/>
  <c r="DG39" i="10" a="1"/>
  <c r="DG39" i="10" s="1"/>
  <c r="DK35" i="10" a="1"/>
  <c r="DK35" i="10" s="1"/>
  <c r="DE38" i="10" a="1"/>
  <c r="DE38" i="10" s="1"/>
  <c r="DJ41" i="10" l="1"/>
  <c r="DN47" i="10" a="1"/>
  <c r="DN47" i="10" s="1"/>
  <c r="DK46" i="10" a="1"/>
  <c r="DK46" i="10" s="1"/>
  <c r="DJ47" i="10" a="1"/>
  <c r="DJ47" i="10" s="1"/>
  <c r="DL47" i="10" a="1"/>
  <c r="DL47" i="10" s="1"/>
  <c r="DJ46" i="10" a="1"/>
  <c r="DJ46" i="10" s="1"/>
  <c r="DN46" i="10" a="1"/>
  <c r="DN46" i="10" s="1"/>
  <c r="DN44" i="10" a="1"/>
  <c r="DN44" i="10" s="1"/>
  <c r="DN42" i="10" a="1"/>
  <c r="DN42" i="10" s="1"/>
  <c r="DO41" i="10" a="1"/>
  <c r="DO41" i="10" s="1"/>
  <c r="DL46" i="10" a="1"/>
  <c r="DL46" i="10" s="1"/>
  <c r="DK42" i="10" a="1"/>
  <c r="DK42" i="10" s="1"/>
  <c r="DK44" i="10" a="1"/>
  <c r="DK44" i="10" s="1"/>
  <c r="DD46" i="10" a="1"/>
  <c r="DD46" i="10" s="1"/>
  <c r="DG44" i="10" a="1"/>
  <c r="DG44" i="10" s="1"/>
  <c r="DG43" i="10" a="1"/>
  <c r="DG43" i="10" s="1"/>
  <c r="DG42" i="10" a="1"/>
  <c r="DG42" i="10" s="1"/>
  <c r="DE47" i="10" a="1"/>
  <c r="DE47" i="10" s="1"/>
  <c r="DC47" i="10" a="1"/>
  <c r="DC47" i="10" s="1"/>
  <c r="DC46" i="10" a="1"/>
  <c r="DC46" i="10" s="1"/>
  <c r="DD44" i="10" a="1"/>
  <c r="DD44" i="10" s="1"/>
  <c r="DD43" i="10" a="1"/>
  <c r="DD43" i="10" s="1"/>
  <c r="DD42" i="10" a="1"/>
  <c r="DD42" i="10" s="1"/>
  <c r="DH41" i="10" a="1"/>
  <c r="DH41" i="10" s="1"/>
  <c r="DG46" i="10" a="1"/>
  <c r="DG46" i="10" s="1"/>
  <c r="DN43" i="10" a="1"/>
  <c r="DN43" i="10" s="1"/>
  <c r="DE46" i="10" a="1"/>
  <c r="DE46" i="10" s="1"/>
  <c r="DG47" i="10" a="1"/>
  <c r="DG47" i="10" s="1"/>
  <c r="DK43" i="10" a="1"/>
  <c r="DK43" i="10" s="1"/>
  <c r="DC41" i="10"/>
  <c r="DQ9" i="10"/>
  <c r="DX9" i="10" l="1"/>
  <c r="DS9" i="10" a="1"/>
  <c r="DZ9" i="10" a="1"/>
  <c r="DZ9" i="10" l="1"/>
  <c r="DS9" i="10"/>
  <c r="DQ17" i="10"/>
  <c r="DX17" i="10" l="1"/>
  <c r="DV14" i="10" a="1"/>
  <c r="DV14" i="10" s="1"/>
  <c r="EC11" i="10" a="1"/>
  <c r="EC11" i="10" s="1"/>
  <c r="DR9" i="10"/>
  <c r="DV15" i="10" a="1"/>
  <c r="DV15" i="10" s="1"/>
  <c r="DT14" i="10" a="1"/>
  <c r="DT14" i="10" s="1"/>
  <c r="DZ11" i="10" a="1"/>
  <c r="DZ11" i="10" s="1"/>
  <c r="DT15" i="10" a="1"/>
  <c r="DT15" i="10" s="1"/>
  <c r="DS14" i="10" a="1"/>
  <c r="DS14" i="10" s="1"/>
  <c r="DV12" i="10" a="1"/>
  <c r="DV12" i="10" s="1"/>
  <c r="DV11" i="10" a="1"/>
  <c r="DV11" i="10" s="1"/>
  <c r="DV10" i="10" a="1"/>
  <c r="DV10" i="10" s="1"/>
  <c r="DR15" i="10" a="1"/>
  <c r="DR15" i="10" s="1"/>
  <c r="DR14" i="10" a="1"/>
  <c r="DR14" i="10" s="1"/>
  <c r="DS12" i="10" a="1"/>
  <c r="DS12" i="10" s="1"/>
  <c r="DS11" i="10" a="1"/>
  <c r="DS11" i="10" s="1"/>
  <c r="DS10" i="10" a="1"/>
  <c r="DS10" i="10" s="1"/>
  <c r="DW9" i="10" a="1"/>
  <c r="DW9" i="10" s="1"/>
  <c r="DY15" i="10" a="1"/>
  <c r="DY15" i="10" s="1"/>
  <c r="EC14" i="10" a="1"/>
  <c r="EC14" i="10" s="1"/>
  <c r="EC12" i="10" a="1"/>
  <c r="EC12" i="10" s="1"/>
  <c r="EC10" i="10" a="1"/>
  <c r="EC10" i="10" s="1"/>
  <c r="ED9" i="10" a="1"/>
  <c r="ED9" i="10" s="1"/>
  <c r="EA14" i="10" a="1"/>
  <c r="EA14" i="10" s="1"/>
  <c r="DZ12" i="10" a="1"/>
  <c r="DZ12" i="10" s="1"/>
  <c r="DZ10" i="10" a="1"/>
  <c r="DZ10" i="10" s="1"/>
  <c r="DY9" i="10"/>
  <c r="EC15" i="10" a="1"/>
  <c r="EC15" i="10" s="1"/>
  <c r="DZ14" i="10" a="1"/>
  <c r="DZ14" i="10" s="1"/>
  <c r="EA15" i="10" a="1"/>
  <c r="EA15" i="10" s="1"/>
  <c r="DY14" i="10" a="1"/>
  <c r="DY14" i="10" s="1"/>
  <c r="DS17" i="10" a="1"/>
  <c r="DS17" i="10" l="1"/>
  <c r="DQ25" i="10"/>
  <c r="DZ17" i="10" a="1"/>
  <c r="DZ17" i="10" l="1"/>
  <c r="DX25" i="10"/>
  <c r="DR23" i="10" a="1"/>
  <c r="DR23" i="10" s="1"/>
  <c r="DR22" i="10" a="1"/>
  <c r="DR22" i="10" s="1"/>
  <c r="DS20" i="10" a="1"/>
  <c r="DS20" i="10" s="1"/>
  <c r="DS19" i="10" a="1"/>
  <c r="DS19" i="10" s="1"/>
  <c r="DS18" i="10" a="1"/>
  <c r="DS18" i="10" s="1"/>
  <c r="DW17" i="10" a="1"/>
  <c r="DW17" i="10" s="1"/>
  <c r="DS22" i="10" a="1"/>
  <c r="DS22" i="10" s="1"/>
  <c r="DV22" i="10" a="1"/>
  <c r="DV22" i="10" s="1"/>
  <c r="EC19" i="10" a="1"/>
  <c r="EC19" i="10" s="1"/>
  <c r="DV18" i="10" a="1"/>
  <c r="DV18" i="10" s="1"/>
  <c r="DR17" i="10"/>
  <c r="DV20" i="10" a="1"/>
  <c r="DV20" i="10" s="1"/>
  <c r="DV23" i="10" a="1"/>
  <c r="DV23" i="10" s="1"/>
  <c r="DT22" i="10" a="1"/>
  <c r="DT22" i="10" s="1"/>
  <c r="DZ19" i="10" a="1"/>
  <c r="DZ19" i="10" s="1"/>
  <c r="DT23" i="10" a="1"/>
  <c r="DT23" i="10" s="1"/>
  <c r="DV19" i="10" a="1"/>
  <c r="DV19" i="10" s="1"/>
  <c r="DS25" i="10" a="1"/>
  <c r="DS25" i="10" l="1"/>
  <c r="DQ33" i="10"/>
  <c r="EA23" i="10" a="1"/>
  <c r="EA23" i="10" s="1"/>
  <c r="DY22" i="10" a="1"/>
  <c r="DY22" i="10" s="1"/>
  <c r="EC23" i="10" a="1"/>
  <c r="EC23" i="10" s="1"/>
  <c r="DY23" i="10" a="1"/>
  <c r="DY23" i="10" s="1"/>
  <c r="EC22" i="10" a="1"/>
  <c r="EC22" i="10" s="1"/>
  <c r="EC20" i="10" a="1"/>
  <c r="EC20" i="10" s="1"/>
  <c r="EC18" i="10" a="1"/>
  <c r="EC18" i="10" s="1"/>
  <c r="ED17" i="10" a="1"/>
  <c r="ED17" i="10" s="1"/>
  <c r="EA22" i="10" a="1"/>
  <c r="EA22" i="10" s="1"/>
  <c r="DZ20" i="10" a="1"/>
  <c r="DZ20" i="10" s="1"/>
  <c r="DZ18" i="10" a="1"/>
  <c r="DZ18" i="10" s="1"/>
  <c r="DY17" i="10"/>
  <c r="DZ22" i="10" a="1"/>
  <c r="DZ22" i="10" s="1"/>
  <c r="DZ25" i="10" a="1"/>
  <c r="DZ25" i="10" l="1"/>
  <c r="DX33" i="10"/>
  <c r="DR31" i="10" a="1"/>
  <c r="DR31" i="10" s="1"/>
  <c r="DR30" i="10" a="1"/>
  <c r="DR30" i="10" s="1"/>
  <c r="DS28" i="10" a="1"/>
  <c r="DS28" i="10" s="1"/>
  <c r="DS27" i="10" a="1"/>
  <c r="DS27" i="10" s="1"/>
  <c r="DS26" i="10" a="1"/>
  <c r="DS26" i="10" s="1"/>
  <c r="DW25" i="10" a="1"/>
  <c r="DW25" i="10" s="1"/>
  <c r="DV30" i="10" a="1"/>
  <c r="DV30" i="10" s="1"/>
  <c r="EC27" i="10" a="1"/>
  <c r="EC27" i="10" s="1"/>
  <c r="DR25" i="10"/>
  <c r="DV31" i="10" a="1"/>
  <c r="DV31" i="10" s="1"/>
  <c r="DT30" i="10" a="1"/>
  <c r="DT30" i="10" s="1"/>
  <c r="DZ27" i="10" a="1"/>
  <c r="DZ27" i="10" s="1"/>
  <c r="DT31" i="10" a="1"/>
  <c r="DT31" i="10" s="1"/>
  <c r="DS30" i="10" a="1"/>
  <c r="DS30" i="10" s="1"/>
  <c r="DV28" i="10" a="1"/>
  <c r="DV28" i="10" s="1"/>
  <c r="DV27" i="10" a="1"/>
  <c r="DV27" i="10" s="1"/>
  <c r="DV26" i="10" a="1"/>
  <c r="DV26" i="10" s="1"/>
  <c r="DS33" i="10" a="1"/>
  <c r="DS33" i="10" l="1"/>
  <c r="DQ41" i="10"/>
  <c r="EA31" i="10" a="1"/>
  <c r="EA31" i="10" s="1"/>
  <c r="DY30" i="10" a="1"/>
  <c r="DY30" i="10" s="1"/>
  <c r="DY31" i="10" a="1"/>
  <c r="DY31" i="10" s="1"/>
  <c r="EC30" i="10" a="1"/>
  <c r="EC30" i="10" s="1"/>
  <c r="EC28" i="10" a="1"/>
  <c r="EC28" i="10" s="1"/>
  <c r="EC26" i="10" a="1"/>
  <c r="EC26" i="10" s="1"/>
  <c r="ED25" i="10" a="1"/>
  <c r="ED25" i="10" s="1"/>
  <c r="EA30" i="10" a="1"/>
  <c r="EA30" i="10" s="1"/>
  <c r="DZ28" i="10" a="1"/>
  <c r="DZ28" i="10" s="1"/>
  <c r="DZ26" i="10" a="1"/>
  <c r="DZ26" i="10" s="1"/>
  <c r="DY25" i="10"/>
  <c r="EC31" i="10" a="1"/>
  <c r="EC31" i="10" s="1"/>
  <c r="DZ30" i="10" a="1"/>
  <c r="DZ30" i="10" s="1"/>
  <c r="DZ33" i="10" a="1"/>
  <c r="DZ33" i="10" l="1"/>
  <c r="DX41" i="10"/>
  <c r="DT39" i="10" a="1"/>
  <c r="DT39" i="10" s="1"/>
  <c r="DS38" i="10" a="1"/>
  <c r="DS38" i="10" s="1"/>
  <c r="DV36" i="10" a="1"/>
  <c r="DV36" i="10" s="1"/>
  <c r="DV35" i="10" a="1"/>
  <c r="DV35" i="10" s="1"/>
  <c r="DV34" i="10" a="1"/>
  <c r="DV34" i="10" s="1"/>
  <c r="DR39" i="10" a="1"/>
  <c r="DR39" i="10" s="1"/>
  <c r="DR38" i="10" a="1"/>
  <c r="DR38" i="10" s="1"/>
  <c r="DS36" i="10" a="1"/>
  <c r="DS36" i="10" s="1"/>
  <c r="DS35" i="10" a="1"/>
  <c r="DS35" i="10" s="1"/>
  <c r="DS34" i="10" a="1"/>
  <c r="DS34" i="10" s="1"/>
  <c r="DW33" i="10" a="1"/>
  <c r="DW33" i="10" s="1"/>
  <c r="DV38" i="10" a="1"/>
  <c r="DV38" i="10" s="1"/>
  <c r="EC35" i="10" a="1"/>
  <c r="EC35" i="10" s="1"/>
  <c r="DR33" i="10"/>
  <c r="DV39" i="10" a="1"/>
  <c r="DV39" i="10" s="1"/>
  <c r="DT38" i="10" a="1"/>
  <c r="DT38" i="10" s="1"/>
  <c r="DZ35" i="10" a="1"/>
  <c r="DZ35" i="10" s="1"/>
  <c r="DS41" i="10" a="1"/>
  <c r="DS41" i="10" l="1"/>
  <c r="EF1" i="10"/>
  <c r="EC39" i="10" a="1"/>
  <c r="EC39" i="10" s="1"/>
  <c r="DZ38" i="10" a="1"/>
  <c r="DZ38" i="10" s="1"/>
  <c r="EA38" i="10" a="1"/>
  <c r="EA38" i="10" s="1"/>
  <c r="DZ36" i="10" a="1"/>
  <c r="DZ36" i="10" s="1"/>
  <c r="EA39" i="10" a="1"/>
  <c r="EA39" i="10" s="1"/>
  <c r="DY38" i="10" a="1"/>
  <c r="DY38" i="10" s="1"/>
  <c r="DY39" i="10" a="1"/>
  <c r="DY39" i="10" s="1"/>
  <c r="EC38" i="10" a="1"/>
  <c r="EC38" i="10" s="1"/>
  <c r="EC36" i="10" a="1"/>
  <c r="EC36" i="10" s="1"/>
  <c r="EC34" i="10" a="1"/>
  <c r="EC34" i="10" s="1"/>
  <c r="ED33" i="10" a="1"/>
  <c r="ED33" i="10" s="1"/>
  <c r="DY33" i="10"/>
  <c r="DZ34" i="10" a="1"/>
  <c r="DZ34" i="10" s="1"/>
  <c r="DZ41" i="10" a="1"/>
  <c r="DZ41" i="10" l="1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R41" i="10"/>
  <c r="DR47" i="10" a="1"/>
  <c r="DR47" i="10" s="1"/>
  <c r="DR46" i="10" a="1"/>
  <c r="DR46" i="10" s="1"/>
  <c r="DS44" i="10" a="1"/>
  <c r="DS44" i="10" s="1"/>
  <c r="DS43" i="10" a="1"/>
  <c r="DS43" i="10" s="1"/>
  <c r="DS42" i="10" a="1"/>
  <c r="DS42" i="10" s="1"/>
  <c r="DW41" i="10" a="1"/>
  <c r="DW41" i="10" s="1"/>
  <c r="DV46" i="10" a="1"/>
  <c r="DV46" i="10" s="1"/>
  <c r="EC43" i="10" a="1"/>
  <c r="EC43" i="10" s="1"/>
  <c r="DV47" i="10" a="1"/>
  <c r="DV47" i="10" s="1"/>
  <c r="DT46" i="10" a="1"/>
  <c r="DT46" i="10" s="1"/>
  <c r="DZ43" i="10" a="1"/>
  <c r="DZ43" i="10" s="1"/>
  <c r="EF9" i="10" l="1"/>
  <c r="DY41" i="10"/>
  <c r="EC47" i="10" a="1"/>
  <c r="EC47" i="10" s="1"/>
  <c r="DZ46" i="10" a="1"/>
  <c r="DZ46" i="10" s="1"/>
  <c r="EA47" i="10" a="1"/>
  <c r="EA47" i="10" s="1"/>
  <c r="DY46" i="10" a="1"/>
  <c r="DY46" i="10" s="1"/>
  <c r="DY47" i="10" a="1"/>
  <c r="DY47" i="10" s="1"/>
  <c r="EC46" i="10" a="1"/>
  <c r="EC46" i="10" s="1"/>
  <c r="EC44" i="10" a="1"/>
  <c r="EC44" i="10" s="1"/>
  <c r="EC42" i="10" a="1"/>
  <c r="EC42" i="10" s="1"/>
  <c r="ED41" i="10" a="1"/>
  <c r="ED41" i="10" s="1"/>
  <c r="EA46" i="10" a="1"/>
  <c r="EA46" i="10" s="1"/>
  <c r="DZ44" i="10" a="1"/>
  <c r="DZ44" i="10" s="1"/>
  <c r="DZ42" i="10" a="1"/>
  <c r="DZ42" i="10" s="1"/>
  <c r="EM9" i="10" l="1"/>
  <c r="EH9" i="10" a="1"/>
  <c r="EO9" i="10" a="1"/>
  <c r="EO9" i="10" l="1"/>
  <c r="EH9" i="10"/>
  <c r="EF17" i="10"/>
  <c r="EM17" i="10" l="1"/>
  <c r="EK14" i="10" a="1"/>
  <c r="EK14" i="10" s="1"/>
  <c r="ER11" i="10" a="1"/>
  <c r="ER11" i="10" s="1"/>
  <c r="EG9" i="10"/>
  <c r="EK15" i="10" a="1"/>
  <c r="EK15" i="10" s="1"/>
  <c r="EI14" i="10" a="1"/>
  <c r="EI14" i="10" s="1"/>
  <c r="EO11" i="10" a="1"/>
  <c r="EO11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G15" i="10" a="1"/>
  <c r="EG15" i="10" s="1"/>
  <c r="EG14" i="10" a="1"/>
  <c r="EG14" i="10" s="1"/>
  <c r="EH12" i="10" a="1"/>
  <c r="EH12" i="10" s="1"/>
  <c r="EH11" i="10" a="1"/>
  <c r="EH11" i="10" s="1"/>
  <c r="EH10" i="10" a="1"/>
  <c r="EH10" i="10" s="1"/>
  <c r="EL9" i="10" a="1"/>
  <c r="EL9" i="10" s="1"/>
  <c r="EN15" i="10" a="1"/>
  <c r="EN15" i="10" s="1"/>
  <c r="ER14" i="10" a="1"/>
  <c r="ER14" i="10" s="1"/>
  <c r="ER12" i="10" a="1"/>
  <c r="ER12" i="10" s="1"/>
  <c r="ER10" i="10" a="1"/>
  <c r="ER10" i="10" s="1"/>
  <c r="ES9" i="10" a="1"/>
  <c r="ES9" i="10" s="1"/>
  <c r="EP14" i="10" a="1"/>
  <c r="EP14" i="10" s="1"/>
  <c r="EO12" i="10" a="1"/>
  <c r="EO12" i="10" s="1"/>
  <c r="EO10" i="10" a="1"/>
  <c r="EO10" i="10" s="1"/>
  <c r="EN9" i="10"/>
  <c r="ER15" i="10" a="1"/>
  <c r="ER15" i="10" s="1"/>
  <c r="EO14" i="10" a="1"/>
  <c r="EO14" i="10" s="1"/>
  <c r="EP15" i="10" a="1"/>
  <c r="EP15" i="10" s="1"/>
  <c r="EN14" i="10" a="1"/>
  <c r="EN14" i="10" s="1"/>
  <c r="EH17" i="10" a="1"/>
  <c r="EH17" i="10" l="1"/>
  <c r="EF25" i="10"/>
  <c r="EO17" i="10" a="1"/>
  <c r="EO17" i="10" l="1"/>
  <c r="EM25" i="10"/>
  <c r="EG23" i="10" a="1"/>
  <c r="EG23" i="10" s="1"/>
  <c r="EG22" i="10" a="1"/>
  <c r="EG22" i="10" s="1"/>
  <c r="EH20" i="10" a="1"/>
  <c r="EH20" i="10" s="1"/>
  <c r="EH19" i="10" a="1"/>
  <c r="EH19" i="10" s="1"/>
  <c r="EH18" i="10" a="1"/>
  <c r="EH18" i="10" s="1"/>
  <c r="EL17" i="10" a="1"/>
  <c r="EL17" i="10" s="1"/>
  <c r="EI23" i="10" a="1"/>
  <c r="EI23" i="10" s="1"/>
  <c r="EK18" i="10" a="1"/>
  <c r="EK18" i="10" s="1"/>
  <c r="EH22" i="10" a="1"/>
  <c r="EH22" i="10" s="1"/>
  <c r="EK22" i="10" a="1"/>
  <c r="EK22" i="10" s="1"/>
  <c r="ER19" i="10" a="1"/>
  <c r="ER19" i="10" s="1"/>
  <c r="EG17" i="10"/>
  <c r="EK20" i="10" a="1"/>
  <c r="EK20" i="10" s="1"/>
  <c r="EK23" i="10" a="1"/>
  <c r="EK23" i="10" s="1"/>
  <c r="EI22" i="10" a="1"/>
  <c r="EI22" i="10" s="1"/>
  <c r="EO19" i="10" a="1"/>
  <c r="EO19" i="10" s="1"/>
  <c r="EK19" i="10" a="1"/>
  <c r="EK19" i="10" s="1"/>
  <c r="EH25" i="10" a="1"/>
  <c r="EH25" i="10" l="1"/>
  <c r="EF33" i="10"/>
  <c r="EP23" i="10" a="1"/>
  <c r="EP23" i="10" s="1"/>
  <c r="EN22" i="10" a="1"/>
  <c r="EN22" i="10" s="1"/>
  <c r="EN23" i="10" a="1"/>
  <c r="EN23" i="10" s="1"/>
  <c r="ER22" i="10" a="1"/>
  <c r="ER22" i="10" s="1"/>
  <c r="ER20" i="10" a="1"/>
  <c r="ER20" i="10" s="1"/>
  <c r="ER18" i="10" a="1"/>
  <c r="ER18" i="10" s="1"/>
  <c r="ES17" i="10" a="1"/>
  <c r="ES17" i="10" s="1"/>
  <c r="EP22" i="10" a="1"/>
  <c r="EP22" i="10" s="1"/>
  <c r="EO20" i="10" a="1"/>
  <c r="EO20" i="10" s="1"/>
  <c r="EO18" i="10" a="1"/>
  <c r="EO18" i="10" s="1"/>
  <c r="EN17" i="10"/>
  <c r="EO22" i="10" a="1"/>
  <c r="EO22" i="10" s="1"/>
  <c r="ER23" i="10" a="1"/>
  <c r="ER23" i="10" s="1"/>
  <c r="EO25" i="10" a="1"/>
  <c r="EO25" i="10" l="1"/>
  <c r="EM33" i="10"/>
  <c r="EG31" i="10" a="1"/>
  <c r="EG31" i="10" s="1"/>
  <c r="EG30" i="10" a="1"/>
  <c r="EG30" i="10" s="1"/>
  <c r="EH28" i="10" a="1"/>
  <c r="EH28" i="10" s="1"/>
  <c r="EH27" i="10" a="1"/>
  <c r="EH27" i="10" s="1"/>
  <c r="EH26" i="10" a="1"/>
  <c r="EH26" i="10" s="1"/>
  <c r="EL25" i="10" a="1"/>
  <c r="EL25" i="10" s="1"/>
  <c r="EK30" i="10" a="1"/>
  <c r="EK30" i="10" s="1"/>
  <c r="ER27" i="10" a="1"/>
  <c r="ER27" i="10" s="1"/>
  <c r="EG25" i="10"/>
  <c r="EK31" i="10" a="1"/>
  <c r="EK31" i="10" s="1"/>
  <c r="EI30" i="10" a="1"/>
  <c r="EI30" i="10" s="1"/>
  <c r="EO27" i="10" a="1"/>
  <c r="EO27" i="10" s="1"/>
  <c r="EI31" i="10" a="1"/>
  <c r="EI31" i="10" s="1"/>
  <c r="EH30" i="10" a="1"/>
  <c r="EH30" i="10" s="1"/>
  <c r="EK28" i="10" a="1"/>
  <c r="EK28" i="10" s="1"/>
  <c r="EK27" i="10" a="1"/>
  <c r="EK27" i="10" s="1"/>
  <c r="EK26" i="10" a="1"/>
  <c r="EK26" i="10" s="1"/>
  <c r="EH33" i="10" a="1"/>
  <c r="EH33" i="10" l="1"/>
  <c r="EF41" i="10"/>
  <c r="EP31" i="10" a="1"/>
  <c r="EP31" i="10" s="1"/>
  <c r="EN30" i="10" a="1"/>
  <c r="EN30" i="10" s="1"/>
  <c r="EN31" i="10" a="1"/>
  <c r="EN31" i="10" s="1"/>
  <c r="ER30" i="10" a="1"/>
  <c r="ER30" i="10" s="1"/>
  <c r="ER28" i="10" a="1"/>
  <c r="ER28" i="10" s="1"/>
  <c r="ER26" i="10" a="1"/>
  <c r="ER26" i="10" s="1"/>
  <c r="ES25" i="10" a="1"/>
  <c r="ES25" i="10" s="1"/>
  <c r="EN25" i="10"/>
  <c r="EP30" i="10" a="1"/>
  <c r="EP30" i="10" s="1"/>
  <c r="EO28" i="10" a="1"/>
  <c r="EO28" i="10" s="1"/>
  <c r="EO26" i="10" a="1"/>
  <c r="EO26" i="10" s="1"/>
  <c r="ER31" i="10" a="1"/>
  <c r="ER31" i="10" s="1"/>
  <c r="EO30" i="10" a="1"/>
  <c r="EO30" i="10" s="1"/>
  <c r="EO33" i="10" a="1"/>
  <c r="EO33" i="10" l="1"/>
  <c r="EM41" i="10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9" i="10" a="1"/>
  <c r="EG39" i="10" s="1"/>
  <c r="EG38" i="10" a="1"/>
  <c r="EG38" i="10" s="1"/>
  <c r="EH36" i="10" a="1"/>
  <c r="EH36" i="10" s="1"/>
  <c r="EH35" i="10" a="1"/>
  <c r="EH35" i="10" s="1"/>
  <c r="EH34" i="10" a="1"/>
  <c r="EH34" i="10" s="1"/>
  <c r="EL33" i="10" a="1"/>
  <c r="EL33" i="10" s="1"/>
  <c r="EO35" i="10" a="1"/>
  <c r="EO35" i="10" s="1"/>
  <c r="EK38" i="10" a="1"/>
  <c r="EK38" i="10" s="1"/>
  <c r="ER35" i="10" a="1"/>
  <c r="ER35" i="10" s="1"/>
  <c r="EK39" i="10" a="1"/>
  <c r="EK39" i="10" s="1"/>
  <c r="EG33" i="10"/>
  <c r="EI38" i="10" a="1"/>
  <c r="EI38" i="10" s="1"/>
  <c r="EO41" i="10" a="1"/>
  <c r="EH41" i="10" a="1"/>
  <c r="EH41" i="10" l="1"/>
  <c r="EO41" i="10"/>
  <c r="ER39" i="10" a="1"/>
  <c r="ER39" i="10" s="1"/>
  <c r="EO38" i="10" a="1"/>
  <c r="EO38" i="10" s="1"/>
  <c r="EP39" i="10" a="1"/>
  <c r="EP39" i="10" s="1"/>
  <c r="EN38" i="10" a="1"/>
  <c r="EN38" i="10" s="1"/>
  <c r="EN39" i="10" a="1"/>
  <c r="EN39" i="10" s="1"/>
  <c r="ER38" i="10" a="1"/>
  <c r="ER38" i="10" s="1"/>
  <c r="ER36" i="10" a="1"/>
  <c r="ER36" i="10" s="1"/>
  <c r="ER34" i="10" a="1"/>
  <c r="ER34" i="10" s="1"/>
  <c r="ES33" i="10" a="1"/>
  <c r="ES33" i="10" s="1"/>
  <c r="EO36" i="10" a="1"/>
  <c r="EO36" i="10" s="1"/>
  <c r="EO34" i="10" a="1"/>
  <c r="EO34" i="10" s="1"/>
  <c r="EN33" i="10"/>
  <c r="EP38" i="10" a="1"/>
  <c r="EP38" i="10" s="1"/>
  <c r="EN41" i="10" l="1"/>
  <c r="ER47" i="10" a="1"/>
  <c r="ER47" i="10" s="1"/>
  <c r="EO46" i="10" a="1"/>
  <c r="EO46" i="10" s="1"/>
  <c r="EP47" i="10" a="1"/>
  <c r="EP47" i="10" s="1"/>
  <c r="EN46" i="10" a="1"/>
  <c r="EN46" i="10" s="1"/>
  <c r="EN47" i="10" a="1"/>
  <c r="EN47" i="10" s="1"/>
  <c r="ER46" i="10" a="1"/>
  <c r="ER46" i="10" s="1"/>
  <c r="ER44" i="10" a="1"/>
  <c r="ER44" i="10" s="1"/>
  <c r="ER42" i="10" a="1"/>
  <c r="ER42" i="10" s="1"/>
  <c r="ES41" i="10" a="1"/>
  <c r="ES41" i="10" s="1"/>
  <c r="EP46" i="10" a="1"/>
  <c r="EP46" i="10" s="1"/>
  <c r="EO44" i="10" a="1"/>
  <c r="EO44" i="10" s="1"/>
  <c r="EO42" i="10" a="1"/>
  <c r="EO42" i="10" s="1"/>
  <c r="EI47" i="10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G47" i="10" a="1"/>
  <c r="EG47" i="10" s="1"/>
  <c r="EG46" i="10" a="1"/>
  <c r="EG46" i="10" s="1"/>
  <c r="EH44" i="10" a="1"/>
  <c r="EH44" i="10" s="1"/>
  <c r="EH43" i="10" a="1"/>
  <c r="EH43" i="10" s="1"/>
  <c r="EH42" i="10" a="1"/>
  <c r="EH42" i="10" s="1"/>
  <c r="EL41" i="10" a="1"/>
  <c r="EL41" i="10" s="1"/>
  <c r="EK46" i="10" a="1"/>
  <c r="EK46" i="10" s="1"/>
  <c r="ER43" i="10" a="1"/>
  <c r="ER43" i="10" s="1"/>
  <c r="EK47" i="10" a="1"/>
  <c r="EK47" i="10" s="1"/>
  <c r="EI46" i="10" a="1"/>
  <c r="EI46" i="10" s="1"/>
  <c r="EO43" i="10" a="1"/>
  <c r="EO43" i="10" s="1"/>
  <c r="EG41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<sst xmlns="http://schemas.openxmlformats.org/spreadsheetml/2006/main" count="1255" uniqueCount="590">
  <si>
    <t>赤</t>
  </si>
  <si>
    <t>キャラ弁（学食）</t>
  </si>
  <si>
    <t>キャラ弁当</t>
  </si>
  <si>
    <t>カレー</t>
  </si>
  <si>
    <t>朝食</t>
  </si>
  <si>
    <t>夕食</t>
  </si>
  <si>
    <t>学童　飯有り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</si>
  <si>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</si>
  <si>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</si>
  <si>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</si>
  <si>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</si>
  <si>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</si>
  <si>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</si>
  <si>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</si>
  <si>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園名</t>
  </si>
  <si>
    <t>飯あり</t>
  </si>
  <si>
    <t>おにぎり</t>
  </si>
  <si>
    <t>飯なし</t>
  </si>
  <si>
    <t>三角</t>
  </si>
  <si>
    <t>半俵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</si>
  <si>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</si>
  <si>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</si>
  <si>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</si>
  <si>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</si>
  <si>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</si>
  <si>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</si>
  <si>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</si>
  <si>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</si>
  <si>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</si>
  <si>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</si>
  <si>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</si>
  <si>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</si>
  <si>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</si>
  <si>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</si>
  <si>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</si>
  <si>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</si>
  <si>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</si>
  <si>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</si>
  <si>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</si>
  <si>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</si>
  <si>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</si>
  <si>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</si>
  <si>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</si>
  <si>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</si>
  <si>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</si>
  <si>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</si>
  <si>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</si>
  <si>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</si>
  <si>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</si>
  <si>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</si>
  <si>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</si>
  <si>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</si>
  <si>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</si>
  <si>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</si>
  <si>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</si>
  <si>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</si>
  <si>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</si>
  <si>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</si>
  <si>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</si>
  <si>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</si>
  <si>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</si>
  <si>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</si>
  <si>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</si>
  <si>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</si>
  <si>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</si>
  <si>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</si>
  <si>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</si>
  <si>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</si>
  <si>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</si>
  <si>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</si>
  <si>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</si>
  <si>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</si>
  <si>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</si>
  <si>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</si>
  <si>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</si>
  <si>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</si>
  <si>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</si>
  <si>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</si>
  <si>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</si>
  <si>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</si>
  <si>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</si>
  <si>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</si>
  <si>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</si>
  <si>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</si>
  <si>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</si>
  <si>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</si>
  <si>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</si>
  <si>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</si>
  <si>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</si>
  <si>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</si>
  <si>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</si>
  <si>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</si>
  <si>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</si>
  <si>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</si>
  <si>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</si>
  <si>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</si>
  <si>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</si>
  <si>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</si>
  <si>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</si>
  <si>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</si>
  <si>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</si>
  <si>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</si>
  <si>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</si>
  <si>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</si>
  <si>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</si>
  <si>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</si>
  <si>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</si>
  <si>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</si>
  <si>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</si>
  <si>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</si>
  <si>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</si>
  <si>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</si>
  <si>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</si>
  <si>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</si>
  <si>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</si>
  <si>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</si>
  <si>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</si>
  <si>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</si>
  <si>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</si>
  <si>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</si>
  <si>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</si>
  <si>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</si>
  <si>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</si>
  <si>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</si>
  <si>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</si>
  <si>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</si>
  <si>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</si>
  <si>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</si>
  <si>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</si>
  <si>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</si>
  <si>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</si>
  <si>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</si>
  <si>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</si>
  <si>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</si>
  <si>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</si>
  <si>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</si>
  <si>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</si>
  <si>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</si>
  <si>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</si>
  <si>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</si>
  <si>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</si>
  <si>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</si>
  <si>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</si>
  <si>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</si>
  <si>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</si>
  <si>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</si>
  <si>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</si>
  <si>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</si>
  <si>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</si>
  <si>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</si>
  <si>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</si>
  <si>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</si>
  <si>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</si>
  <si>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</si>
  <si>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</si>
  <si>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</si>
  <si>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</si>
  <si>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</si>
  <si>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</si>
  <si>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</si>
  <si>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</si>
  <si>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</si>
  <si>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</si>
  <si>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</si>
  <si>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</si>
  <si>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</si>
  <si>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</si>
  <si>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</si>
  <si>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</si>
  <si>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</si>
  <si>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</si>
  <si>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</si>
  <si>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</si>
  <si>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</si>
  <si>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</si>
  <si>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</si>
  <si>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</si>
  <si>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</si>
  <si>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</si>
  <si>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</si>
  <si>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</si>
  <si>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</si>
  <si>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</si>
  <si>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</si>
  <si>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</si>
  <si>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</si>
  <si>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</si>
  <si>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</si>
  <si>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</si>
  <si>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</si>
  <si>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</si>
  <si>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</si>
  <si>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</si>
  <si>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</si>
  <si>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</si>
  <si>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</si>
  <si>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</si>
  <si>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</si>
  <si>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</si>
  <si>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</si>
  <si>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</si>
  <si>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</si>
  <si>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</si>
  <si>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</si>
  <si>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</si>
  <si>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</si>
  <si>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　先生</t>
  </si>
  <si>
    <t>昼食　園児</t>
  </si>
  <si>
    <t>昼食</t>
  </si>
  <si>
    <t>昼食　先生</t>
  </si>
  <si>
    <t>夕食　園児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</si>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</sst>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1" sqref="A1:B1048576"/>
    </sheetView>
  </sheetViews>
  <sheetFormatPr defaultRowHeight="18" x14ac:dyDescent="0.45"/>
  <cols>
    <col min="1" max="1" width="16.69921875" style="29" customWidth="1"/>
    <col min="5" max="5" width="21.69921875" style="29" customWidth="1"/>
  </cols>
  <sheetData>
    <row r="1" spans="1:6" x14ac:dyDescent="0.45">
      <c r="A1"/>
      <c r="E1" t="s">
        <v>1</v>
      </c>
      <c r="F1">
        <v>24</v>
      </c>
    </row>
    <row r="2" spans="1:6" x14ac:dyDescent="0.45">
      <c r="A2"/>
      <c r="E2" t="s">
        <v>2</v>
      </c>
      <c r="F2">
        <v>24</v>
      </c>
    </row>
    <row r="3" spans="1:6" x14ac:dyDescent="0.45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 x14ac:dyDescent="0.45">
      <c r="A4"/>
      <c r="E4" t="str">
        <f t="shared" si="0"/>
        <v/>
      </c>
      <c r="F4" t="str">
        <f t="shared" si="1"/>
        <v/>
      </c>
    </row>
    <row r="5" spans="1:6" x14ac:dyDescent="0.45">
      <c r="A5"/>
      <c r="E5" t="str">
        <f t="shared" si="0"/>
        <v/>
      </c>
      <c r="F5" t="str">
        <f t="shared" si="1"/>
        <v/>
      </c>
    </row>
    <row r="6" spans="1:6" x14ac:dyDescent="0.45">
      <c r="A6"/>
      <c r="E6" t="str">
        <f t="shared" si="0"/>
        <v/>
      </c>
      <c r="F6" t="str">
        <f t="shared" si="1"/>
        <v/>
      </c>
    </row>
    <row r="7" spans="1:6" x14ac:dyDescent="0.45">
      <c r="A7"/>
      <c r="E7" t="str">
        <f t="shared" si="0"/>
        <v/>
      </c>
      <c r="F7" t="str">
        <f t="shared" si="1"/>
        <v/>
      </c>
    </row>
    <row r="8" spans="1:6" x14ac:dyDescent="0.45">
      <c r="A8"/>
      <c r="E8" t="str">
        <f t="shared" si="0"/>
        <v/>
      </c>
      <c r="F8" t="str">
        <f t="shared" si="1"/>
        <v/>
      </c>
    </row>
    <row r="9" spans="1:6" x14ac:dyDescent="0.45">
      <c r="E9" t="str">
        <f t="shared" si="0"/>
        <v/>
      </c>
      <c r="F9" t="str">
        <f t="shared" si="1"/>
        <v/>
      </c>
    </row>
    <row r="10" spans="1:6" x14ac:dyDescent="0.45">
      <c r="E10" t="str">
        <f t="shared" si="0"/>
        <v/>
      </c>
      <c r="F10" t="str">
        <f t="shared" si="1"/>
        <v/>
      </c>
    </row>
    <row r="11" spans="1:6" x14ac:dyDescent="0.45">
      <c r="E11" t="str">
        <f t="shared" si="0"/>
        <v/>
      </c>
      <c r="F11" t="str">
        <f t="shared" si="1"/>
        <v/>
      </c>
    </row>
    <row r="12" spans="1:6" x14ac:dyDescent="0.45">
      <c r="E12" t="str">
        <f t="shared" si="0"/>
        <v/>
      </c>
      <c r="F12" t="str">
        <f t="shared" si="1"/>
        <v/>
      </c>
    </row>
    <row r="13" spans="1:6" x14ac:dyDescent="0.45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 x14ac:dyDescent="0.45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 x14ac:dyDescent="0.45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 cm="1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 x14ac:dyDescent="0.45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 x14ac:dyDescent="0.45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 x14ac:dyDescent="0.45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 x14ac:dyDescent="0.45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 x14ac:dyDescent="0.45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 x14ac:dyDescent="0.45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 x14ac:dyDescent="0.45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 x14ac:dyDescent="0.45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 x14ac:dyDescent="0.45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 x14ac:dyDescent="0.45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 x14ac:dyDescent="0.45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 x14ac:dyDescent="0.45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 x14ac:dyDescent="0.45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 x14ac:dyDescent="0.45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 x14ac:dyDescent="0.45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 x14ac:dyDescent="0.45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 x14ac:dyDescent="0.45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 x14ac:dyDescent="0.45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 x14ac:dyDescent="0.45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 x14ac:dyDescent="0.45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ca="1">TRIM(SUBSTITUTE(
IF(COUNTIF(P22:U22,"A")&gt;0,"A ","")&amp;
IF(COUNTIF(P22:U22,"B")&gt;0,"B ","")&amp;
IF(COUNTIF(P22:U22,"C")&gt;0,"C ","")&amp;
IF(COUNTIF(P22:U22,"D")&gt;0,"D ","")&amp;
IF(COUNTIF(P22:U22,"E")&gt;0,"E ","")&amp;
IF(COUNTIF(P22:U22,"F")&gt;0,"F ","")&amp;
IF(COUNTIF(P22:U22,"G")&gt;0,"G ","")&amp;
IF(COUNTIF(P22:U22,"H")&gt;0,"H ","")&amp;
IF(COUNTIF(P22:U22,"I")&gt;0,"I ","")&amp;
IF(COUNTIF(P22:U22,"J")&gt;0,"J ","")&amp;
IF(COUNTIF(P22:U22,"K")&gt;0,"K ","")&amp;
IF(COUNTIF(P22:U22,"L")&gt;0,"L ","")&amp;
IF(COUNTIF(P22:U22,"M")&gt;0,"M ","")&amp;
IF(COUNTIF(P22:U22,"N")&gt;0,"N ","")&amp;
IF(COUNTIF(P22:U22,"O")&gt;0,"O ","")&amp;
IF(COUNTIF(P22:U22,"P")&gt;0,"P ","")&amp;
IF(COUNTIF(P22:U22,"Q")&gt;0,"Q ","")&amp;
IF(COUNTIF(P22:U22,"R")&gt;0,"R ","")&amp;
IF(COUNTIF(P22:U22,"S")&gt;0,"S ","")&amp;
IF(COUNTIF(P22:U22,"T")&gt;0,"T ","")&amp;
IF(COUNTIF(P22:U22,"U")&gt;0,"U ","")&amp;
IF(COUNTIF(P22:U22,"V")&gt;0,"V ","")&amp;
IF(COUNTIF(P22:U22,"W")&gt;0,"W ","")&amp;
IF(COUNTIF(P22:U22,"X")&gt;0,"X ","")&amp;
IF(COUNTIF(P22:U22,"Y")&gt;0,"Y ","")&amp;
IF(COUNTIF(P22:U22,"Z")&gt;0,"Z ","")," ",","))</f>
        <v/>
      </c>
    </row>
    <row r="23" spans="1:22" x14ac:dyDescent="0.45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 x14ac:dyDescent="0.45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 x14ac:dyDescent="0.45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 x14ac:dyDescent="0.45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 x14ac:dyDescent="0.45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 x14ac:dyDescent="0.45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 x14ac:dyDescent="0.45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 x14ac:dyDescent="0.45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 x14ac:dyDescent="0.45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 x14ac:dyDescent="0.45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 x14ac:dyDescent="0.45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 x14ac:dyDescent="0.45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 x14ac:dyDescent="0.45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 x14ac:dyDescent="0.45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 x14ac:dyDescent="0.45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 x14ac:dyDescent="0.45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 x14ac:dyDescent="0.45">
      <c r="A39"/>
      <c r="I39">
        <f t="shared" si="15"/>
        <v>83</v>
      </c>
      <c r="J39" t="str" cm="1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ca="1">TRIM(SUBSTITUTE(
IF(COUNTIF(P39:U39,"A")&gt;0,"A ","")&amp;
IF(COUNTIF(P39:U39,"B")&gt;0,"B ","")&amp;
IF(COUNTIF(P39:U39,"C")&gt;0,"C ","")&amp;
IF(COUNTIF(P39:U39,"D")&gt;0,"D ","")&amp;
IF(COUNTIF(P39:U39,"E")&gt;0,"E ","")&amp;
IF(COUNTIF(P39:U39,"F")&gt;0,"F ","")&amp;
IF(COUNTIF(P39:U39,"G")&gt;0,"G ","")&amp;
IF(COUNTIF(P39:U39,"H")&gt;0,"H ","")&amp;
IF(COUNTIF(P39:U39,"I")&gt;0,"I ","")&amp;
IF(COUNTIF(P39:U39,"J")&gt;0,"J ","")&amp;
IF(COUNTIF(P39:U39,"K")&gt;0,"K ","")&amp;
IF(COUNTIF(P39:U39,"L")&gt;0,"L ","")&amp;
IF(COUNTIF(P39:U39,"M")&gt;0,"M ","")&amp;
IF(COUNTIF(P39:U39,"N")&gt;0,"N ","")&amp;
IF(COUNTIF(P39:U39,"O")&gt;0,"O ","")&amp;
IF(COUNTIF(P39:U39,"P")&gt;0,"P ","")&amp;
IF(COUNTIF(P39:U39,"Q")&gt;0,"Q ","")&amp;
IF(COUNTIF(P39:U39,"R")&gt;0,"R ","")&amp;
IF(COUNTIF(P39:U39,"S")&gt;0,"S ","")&amp;
IF(COUNTIF(P39:U39,"T")&gt;0,"T ","")&amp;
IF(COUNTIF(P39:U39,"U")&gt;0,"U ","")&amp;
IF(COUNTIF(P39:U39,"V")&gt;0,"V ","")&amp;
IF(COUNTIF(P39:U39,"W")&gt;0,"W ","")&amp;
IF(COUNTIF(P39:U39,"X")&gt;0,"X ","")&amp;
IF(COUNTIF(P39:U39,"Y")&gt;0,"Y ","")&amp;
IF(COUNTIF(P39:U39,"Z")&gt;0,"Z ","")," ",","))</f>
        <v/>
      </c>
    </row>
    <row r="40" spans="1:22" x14ac:dyDescent="0.45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 x14ac:dyDescent="0.45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 x14ac:dyDescent="0.45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 x14ac:dyDescent="0.45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 x14ac:dyDescent="0.45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 x14ac:dyDescent="0.45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 x14ac:dyDescent="0.45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 x14ac:dyDescent="0.45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 x14ac:dyDescent="0.45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 x14ac:dyDescent="0.45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 x14ac:dyDescent="0.45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 x14ac:dyDescent="0.45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 x14ac:dyDescent="0.45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 x14ac:dyDescent="0.45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 x14ac:dyDescent="0.45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 x14ac:dyDescent="0.45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 x14ac:dyDescent="0.45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 x14ac:dyDescent="0.45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 x14ac:dyDescent="0.45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 x14ac:dyDescent="0.45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 x14ac:dyDescent="0.45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 x14ac:dyDescent="0.45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 x14ac:dyDescent="0.45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 x14ac:dyDescent="0.45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 x14ac:dyDescent="0.45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 x14ac:dyDescent="0.45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 x14ac:dyDescent="0.45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 x14ac:dyDescent="0.45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 x14ac:dyDescent="0.45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 x14ac:dyDescent="0.45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 x14ac:dyDescent="0.45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82" sqref="A82:XFD82"/>
    </sheetView>
  </sheetViews>
  <sheetFormatPr defaultRowHeight="18" x14ac:dyDescent="0.45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10</v>
      </c>
      <c r="J2" s="16"/>
      <c r="K2" s="16" t="s">
        <v>11</v>
      </c>
      <c r="L2" s="16"/>
      <c r="M2" s="16" t="s">
        <v>10</v>
      </c>
      <c r="N2" s="10"/>
      <c r="O2"/>
      <c r="P2"/>
      <c r="Q2"/>
      <c r="R2" t="s">
        <v>12</v>
      </c>
      <c r="S2"/>
      <c r="T2" t="s">
        <v>13</v>
      </c>
      <c r="U2" t="s">
        <v>13</v>
      </c>
      <c r="V2" s="68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190" t="s">
        <v>1</v>
      </c>
      <c r="C3" s="23" t="s">
        <v>1</v>
      </c>
      <c r="D3" s="190" t="s">
        <v>2</v>
      </c>
      <c r="E3" s="24" t="s">
        <v>2</v>
      </c>
      <c r="F3" s="23" t="s">
        <v>2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8</v>
      </c>
      <c r="U3" s="15"/>
      <c r="V3" s="69"/>
      <c r="W3" s="6"/>
    </row>
    <row r="4" spans="1:23" x14ac:dyDescent="0.45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workbookViewId="0">
      <selection activeCell="K3" sqref="K3"/>
    </sheetView>
  </sheetViews>
  <sheetFormatPr defaultRowHeight="18" x14ac:dyDescent="0.45"/>
  <cols>
    <col min="1" max="1" width="23.8984375" style="29" customWidth="1"/>
    <col min="10" max="10" width="8.796875" style="73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IF(AND(K2&lt;&gt;0,K2&gt;-10,K2&lt;10),0,
IF(AND(L2&lt;&gt;0,L2&gt;-13,L2&lt;13),
K2+L2,K2))</f>
        <v>0</v>
      </c>
      <c r="G2" t="str">
        <f>IF(AND(L2&lt;&gt;0,L2&gt;-10,L2&lt;10),0,
IF(AND(M2&lt;&gt;0,M2&gt;-13,M2&lt;13),
L2+M2,L2))</f>
        <v/>
      </c>
      <c r="H2" t="str">
        <f t="shared" ref="F2:H8" si="0">IF(AND(M2&lt;&gt;0,M2&gt;-10,M2&lt;10),0,
IF(AND(N2&lt;&gt;0,N2&gt;-13,N2&lt;13),
M2+N2,M2))</f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IF(AND(K3&lt;&gt;0,K3&gt;-10,K3&lt;10),0,
IF(AND(L3&lt;&gt;0,L3&gt;-13,L3&lt;13),
K3+L3,K3))</f>
        <v>0</v>
      </c>
      <c r="G3" t="str">
        <f>IF(AND(L3&lt;&gt;0,L3&gt;-10,L3&lt;10),0,
IF(AND(M3&lt;&gt;0,M3&gt;-13,M3&lt;13),
L3+M3,L3))</f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style="29" customWidth="1"/>
  </cols>
  <sheetData>
    <row r="1" spans="1:18" x14ac:dyDescent="0.45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20</v>
      </c>
    </row>
    <row r="2" spans="1:18" x14ac:dyDescent="0.45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21</v>
      </c>
    </row>
    <row r="3" spans="1:18" x14ac:dyDescent="0.45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</v>
      </c>
    </row>
    <row r="4" spans="1:18" x14ac:dyDescent="0.45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23</v>
      </c>
    </row>
    <row r="5" spans="1:18" x14ac:dyDescent="0.45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24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25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26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27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20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21</v>
      </c>
    </row>
    <row r="11" spans="1:18" x14ac:dyDescent="0.45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22</v>
      </c>
    </row>
    <row r="12" spans="1:18" x14ac:dyDescent="0.45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23</v>
      </c>
    </row>
    <row r="13" spans="1:18" x14ac:dyDescent="0.45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24</v>
      </c>
    </row>
    <row r="14" spans="1:18" x14ac:dyDescent="0.45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25</v>
      </c>
    </row>
    <row r="15" spans="1:18" x14ac:dyDescent="0.45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26</v>
      </c>
    </row>
    <row r="16" spans="1:18" x14ac:dyDescent="0.45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27</v>
      </c>
    </row>
    <row r="17" spans="1:16" x14ac:dyDescent="0.45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20</v>
      </c>
    </row>
    <row r="18" spans="1:16" x14ac:dyDescent="0.45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21</v>
      </c>
    </row>
    <row r="19" spans="1:16" x14ac:dyDescent="0.45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</v>
      </c>
    </row>
    <row r="20" spans="1:16" x14ac:dyDescent="0.45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23</v>
      </c>
    </row>
    <row r="21" spans="1:16" x14ac:dyDescent="0.45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24</v>
      </c>
    </row>
    <row r="22" spans="1:16" x14ac:dyDescent="0.45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25</v>
      </c>
    </row>
    <row r="23" spans="1:16" x14ac:dyDescent="0.45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26</v>
      </c>
    </row>
    <row r="24" spans="1:16" x14ac:dyDescent="0.45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 x14ac:dyDescent="0.45"/>
  <cols>
    <col min="1" max="1" width="15.8984375" style="29" customWidth="1"/>
  </cols>
  <sheetData>
    <row r="1" spans="1:10" x14ac:dyDescent="0.45">
      <c r="A1" t="s">
        <v>9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9</v>
      </c>
      <c r="E2" t="e" cm="1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29</v>
      </c>
      <c r="E4" t="e">
        <f ca="1">MID(B3,FIND("新日本",B3)+3,FIND("ニシム",B3)-1-(FIND("新日本",B3)+3))</f>
        <v>#N/A</v>
      </c>
    </row>
    <row r="5" spans="1:10" x14ac:dyDescent="0.45">
      <c r="A5" t="s">
        <v>30</v>
      </c>
      <c r="E5">
        <v>2</v>
      </c>
    </row>
    <row r="6" spans="1:10" x14ac:dyDescent="0.45">
      <c r="A6" t="s">
        <v>31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38" sqref="F38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1" width="8.796875" style="76" customWidth="1"/>
    <col min="52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32</v>
      </c>
    </row>
    <row r="2" spans="1:40" s="132" customFormat="1" ht="16.2" customHeight="1" x14ac:dyDescent="0.45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10</v>
      </c>
      <c r="Q2" s="166"/>
      <c r="R2" s="166"/>
      <c r="S2" s="166"/>
      <c r="T2" s="166" t="s">
        <v>11</v>
      </c>
      <c r="U2" s="166"/>
      <c r="V2" s="167"/>
      <c r="W2" s="168"/>
      <c r="X2" s="166" t="s">
        <v>10</v>
      </c>
      <c r="Y2" s="166"/>
      <c r="Z2" s="167"/>
      <c r="AA2" s="168"/>
      <c r="AB2" s="166" t="s">
        <v>12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13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 x14ac:dyDescent="0.45">
      <c r="A3" s="133"/>
      <c r="B3" s="143" t="s">
        <v>1</v>
      </c>
      <c r="C3" s="144"/>
      <c r="D3" s="145" t="s">
        <v>1</v>
      </c>
      <c r="E3" s="146"/>
      <c r="F3" s="147" t="s">
        <v>2</v>
      </c>
      <c r="G3" s="148"/>
      <c r="H3" s="148" t="s">
        <v>2</v>
      </c>
      <c r="I3" s="148"/>
      <c r="J3" s="148" t="s">
        <v>2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8</v>
      </c>
      <c r="AM3" s="155"/>
      <c r="AN3" s="156"/>
    </row>
    <row r="4" spans="1:40" s="132" customFormat="1" ht="16.2" customHeight="1" x14ac:dyDescent="0.45">
      <c r="A4" s="134" t="s">
        <v>14</v>
      </c>
      <c r="B4" s="157" t="s">
        <v>15</v>
      </c>
      <c r="C4" s="157"/>
      <c r="D4" s="157" t="s">
        <v>15</v>
      </c>
      <c r="E4" s="152"/>
      <c r="F4" s="158" t="s">
        <v>15</v>
      </c>
      <c r="G4" s="157"/>
      <c r="H4" s="157" t="s">
        <v>16</v>
      </c>
      <c r="I4" s="157"/>
      <c r="J4" s="157" t="s">
        <v>17</v>
      </c>
      <c r="K4" s="152"/>
      <c r="L4" s="158" t="s">
        <v>15</v>
      </c>
      <c r="M4" s="157"/>
      <c r="N4" s="157" t="s">
        <v>15</v>
      </c>
      <c r="O4" s="157"/>
      <c r="P4" s="157" t="s">
        <v>16</v>
      </c>
      <c r="Q4" s="157"/>
      <c r="R4" s="157" t="s">
        <v>16</v>
      </c>
      <c r="S4" s="157"/>
      <c r="T4" s="157" t="s">
        <v>17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 x14ac:dyDescent="0.45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18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18</v>
      </c>
      <c r="Q5" s="83"/>
      <c r="R5" s="83" t="s">
        <v>19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 x14ac:dyDescent="0.45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 x14ac:dyDescent="0.45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 x14ac:dyDescent="0.45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 x14ac:dyDescent="0.45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 x14ac:dyDescent="0.45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 x14ac:dyDescent="0.45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 x14ac:dyDescent="0.45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 x14ac:dyDescent="0.45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 x14ac:dyDescent="0.45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 x14ac:dyDescent="0.45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 x14ac:dyDescent="0.45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 x14ac:dyDescent="0.45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 x14ac:dyDescent="0.45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 x14ac:dyDescent="0.45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 x14ac:dyDescent="0.45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 x14ac:dyDescent="0.45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 x14ac:dyDescent="0.45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 x14ac:dyDescent="0.45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 x14ac:dyDescent="0.45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 x14ac:dyDescent="0.45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 x14ac:dyDescent="0.45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 x14ac:dyDescent="0.45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 x14ac:dyDescent="0.45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 x14ac:dyDescent="0.45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 x14ac:dyDescent="0.45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 x14ac:dyDescent="0.45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 x14ac:dyDescent="0.45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 x14ac:dyDescent="0.45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 x14ac:dyDescent="0.45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 x14ac:dyDescent="0.45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 x14ac:dyDescent="0.45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 x14ac:dyDescent="0.45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 x14ac:dyDescent="0.45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 x14ac:dyDescent="0.45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 x14ac:dyDescent="0.45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 x14ac:dyDescent="0.45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 x14ac:dyDescent="0.45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 x14ac:dyDescent="0.45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 x14ac:dyDescent="0.45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 x14ac:dyDescent="0.45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 x14ac:dyDescent="0.45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 x14ac:dyDescent="0.45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 x14ac:dyDescent="0.45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 x14ac:dyDescent="0.45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 x14ac:dyDescent="0.45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 x14ac:dyDescent="0.45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 x14ac:dyDescent="0.45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 x14ac:dyDescent="0.45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 x14ac:dyDescent="0.45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 x14ac:dyDescent="0.45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 x14ac:dyDescent="0.45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 x14ac:dyDescent="0.45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 x14ac:dyDescent="0.45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 x14ac:dyDescent="0.45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 x14ac:dyDescent="0.45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 x14ac:dyDescent="0.45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 x14ac:dyDescent="0.45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 x14ac:dyDescent="0.45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 x14ac:dyDescent="0.45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 x14ac:dyDescent="0.45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 x14ac:dyDescent="0.45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 x14ac:dyDescent="0.45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 x14ac:dyDescent="0.45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 x14ac:dyDescent="0.45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 x14ac:dyDescent="0.45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 x14ac:dyDescent="0.45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 x14ac:dyDescent="0.45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 x14ac:dyDescent="0.45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 x14ac:dyDescent="0.45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 x14ac:dyDescent="0.45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 x14ac:dyDescent="0.45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 x14ac:dyDescent="0.45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 x14ac:dyDescent="0.45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 x14ac:dyDescent="0.45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 x14ac:dyDescent="0.45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 x14ac:dyDescent="0.45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 x14ac:dyDescent="0.45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 x14ac:dyDescent="0.45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 x14ac:dyDescent="0.45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 x14ac:dyDescent="0.45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 x14ac:dyDescent="0.45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 x14ac:dyDescent="0.45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 x14ac:dyDescent="0.45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 x14ac:dyDescent="0.45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 x14ac:dyDescent="0.45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 x14ac:dyDescent="0.45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 x14ac:dyDescent="0.45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 x14ac:dyDescent="0.45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 x14ac:dyDescent="0.45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 x14ac:dyDescent="0.45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 x14ac:dyDescent="0.45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 x14ac:dyDescent="0.45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 x14ac:dyDescent="0.45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 x14ac:dyDescent="0.45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 x14ac:dyDescent="0.45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 x14ac:dyDescent="0.45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 x14ac:dyDescent="0.45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 x14ac:dyDescent="0.45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 x14ac:dyDescent="0.45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 x14ac:dyDescent="0.45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 x14ac:dyDescent="0.45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 x14ac:dyDescent="0.45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 x14ac:dyDescent="0.45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 x14ac:dyDescent="0.45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 x14ac:dyDescent="0.45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 x14ac:dyDescent="0.45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 x14ac:dyDescent="0.45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 x14ac:dyDescent="0.45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 x14ac:dyDescent="0.45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 x14ac:dyDescent="0.45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 x14ac:dyDescent="0.45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 x14ac:dyDescent="0.45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 x14ac:dyDescent="0.45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 x14ac:dyDescent="0.45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 x14ac:dyDescent="0.45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 x14ac:dyDescent="0.45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 x14ac:dyDescent="0.45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 x14ac:dyDescent="0.45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 x14ac:dyDescent="0.45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 x14ac:dyDescent="0.45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 x14ac:dyDescent="0.45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 x14ac:dyDescent="0.45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 x14ac:dyDescent="0.45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 x14ac:dyDescent="0.45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 x14ac:dyDescent="0.45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 x14ac:dyDescent="0.45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 x14ac:dyDescent="0.45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 x14ac:dyDescent="0.45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 x14ac:dyDescent="0.45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 x14ac:dyDescent="0.45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 x14ac:dyDescent="0.45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 x14ac:dyDescent="0.45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 x14ac:dyDescent="0.45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 x14ac:dyDescent="0.45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 x14ac:dyDescent="0.45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 x14ac:dyDescent="0.45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 x14ac:dyDescent="0.45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 x14ac:dyDescent="0.45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 x14ac:dyDescent="0.45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 x14ac:dyDescent="0.45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 x14ac:dyDescent="0.45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 t="s">
        <v>33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 x14ac:dyDescent="0.45">
      <c r="A150" s="140" t="s">
        <v>34</v>
      </c>
      <c r="B150" s="106"/>
      <c r="C150" s="213">
        <f>SUM(C6:C145)</f>
        <v>0</v>
      </c>
      <c r="D150" s="106"/>
      <c r="E150" s="216">
        <f>SUM(E6:E145)</f>
        <v>0</v>
      </c>
      <c r="F150" s="107"/>
      <c r="G150" s="213">
        <f>SUM(G6:G145)</f>
        <v>0</v>
      </c>
      <c r="H150" s="108"/>
      <c r="I150" s="213">
        <f>SUM(I6:I145)</f>
        <v>0</v>
      </c>
      <c r="J150" s="108"/>
      <c r="K150" s="216">
        <f>SUM(K6:K145)</f>
        <v>0</v>
      </c>
      <c r="L150" s="107"/>
      <c r="M150" s="213">
        <f>SUM(M6:M145)</f>
        <v>0</v>
      </c>
      <c r="N150" s="106"/>
      <c r="O150" s="213">
        <f>SUM(O6:O145)</f>
        <v>0</v>
      </c>
      <c r="P150" s="108"/>
      <c r="Q150" s="213">
        <f>SUM(Q6:Q145)</f>
        <v>0</v>
      </c>
      <c r="R150" s="108"/>
      <c r="S150" s="213">
        <f>SUM(S6:S145)</f>
        <v>0</v>
      </c>
      <c r="T150" s="108"/>
      <c r="U150" s="216">
        <f>SUM(U6:U145)</f>
        <v>0</v>
      </c>
      <c r="V150" s="107"/>
      <c r="W150" s="219">
        <f>SUM(W6:W145)</f>
        <v>0</v>
      </c>
      <c r="X150" s="109"/>
      <c r="Y150" s="216">
        <f>SUM(Y6:Y145)</f>
        <v>0</v>
      </c>
      <c r="Z150" s="107"/>
      <c r="AA150" s="219">
        <f>SUM(AA6:AA145)</f>
        <v>0</v>
      </c>
      <c r="AB150" s="109"/>
      <c r="AC150" s="216">
        <f>SUM(AC6:AC145)</f>
        <v>0</v>
      </c>
      <c r="AD150" s="107"/>
      <c r="AE150" s="219">
        <f>SUM(AE6:AE145)</f>
        <v>0</v>
      </c>
      <c r="AF150" s="111"/>
      <c r="AG150" s="216">
        <f>SUM(AG6:AG145)</f>
        <v>0</v>
      </c>
      <c r="AH150" s="110"/>
      <c r="AI150" s="219">
        <f>SUM(AI6:AI145)</f>
        <v>0</v>
      </c>
      <c r="AJ150" s="111"/>
      <c r="AK150" s="216">
        <f>SUM(AK6:AK145)</f>
        <v>0</v>
      </c>
      <c r="AL150" s="112"/>
      <c r="AM150" s="180"/>
      <c r="AN150" s="181"/>
    </row>
    <row r="151" spans="1:40" ht="16.2" customHeight="1" x14ac:dyDescent="0.45">
      <c r="A151" s="140" t="s">
        <v>35</v>
      </c>
      <c r="B151" s="106"/>
      <c r="C151" s="214"/>
      <c r="D151" s="106"/>
      <c r="E151" s="217"/>
      <c r="F151" s="107"/>
      <c r="G151" s="214"/>
      <c r="H151" s="108"/>
      <c r="I151" s="214"/>
      <c r="J151" s="108"/>
      <c r="K151" s="217"/>
      <c r="L151" s="107"/>
      <c r="M151" s="214"/>
      <c r="N151" s="106"/>
      <c r="O151" s="214"/>
      <c r="P151" s="108"/>
      <c r="Q151" s="214"/>
      <c r="R151" s="108"/>
      <c r="S151" s="214"/>
      <c r="T151" s="108"/>
      <c r="U151" s="217"/>
      <c r="V151" s="107"/>
      <c r="W151" s="220"/>
      <c r="X151" s="109"/>
      <c r="Y151" s="217"/>
      <c r="Z151" s="107"/>
      <c r="AA151" s="220"/>
      <c r="AB151" s="109"/>
      <c r="AC151" s="217"/>
      <c r="AD151" s="107"/>
      <c r="AE151" s="220"/>
      <c r="AF151" s="111"/>
      <c r="AG151" s="217"/>
      <c r="AH151" s="110"/>
      <c r="AI151" s="220"/>
      <c r="AJ151" s="111"/>
      <c r="AK151" s="217"/>
      <c r="AL151" s="112"/>
      <c r="AM151" s="180"/>
      <c r="AN151" s="181"/>
    </row>
    <row r="152" spans="1:40" ht="16.2" customHeight="1" x14ac:dyDescent="0.45">
      <c r="A152" s="140" t="s">
        <v>36</v>
      </c>
      <c r="B152" s="106"/>
      <c r="C152" s="214"/>
      <c r="D152" s="106"/>
      <c r="E152" s="217"/>
      <c r="F152" s="107"/>
      <c r="G152" s="214"/>
      <c r="H152" s="108"/>
      <c r="I152" s="214"/>
      <c r="J152" s="108"/>
      <c r="K152" s="217"/>
      <c r="L152" s="107"/>
      <c r="M152" s="214"/>
      <c r="N152" s="106"/>
      <c r="O152" s="214"/>
      <c r="P152" s="108"/>
      <c r="Q152" s="214"/>
      <c r="R152" s="108"/>
      <c r="S152" s="214"/>
      <c r="T152" s="108"/>
      <c r="U152" s="217"/>
      <c r="V152" s="107"/>
      <c r="W152" s="220"/>
      <c r="X152" s="109"/>
      <c r="Y152" s="217"/>
      <c r="Z152" s="107"/>
      <c r="AA152" s="220"/>
      <c r="AB152" s="109"/>
      <c r="AC152" s="217"/>
      <c r="AD152" s="107"/>
      <c r="AE152" s="220"/>
      <c r="AF152" s="111"/>
      <c r="AG152" s="217"/>
      <c r="AH152" s="110"/>
      <c r="AI152" s="220"/>
      <c r="AJ152" s="111"/>
      <c r="AK152" s="217"/>
      <c r="AL152" s="112"/>
    </row>
    <row r="153" spans="1:40" s="80" customFormat="1" ht="16.2" customHeight="1" x14ac:dyDescent="0.45">
      <c r="A153" s="141" t="s">
        <v>37</v>
      </c>
      <c r="B153" s="113"/>
      <c r="C153" s="215"/>
      <c r="D153" s="113"/>
      <c r="E153" s="218"/>
      <c r="F153" s="114"/>
      <c r="G153" s="215"/>
      <c r="H153" s="115"/>
      <c r="I153" s="215"/>
      <c r="J153" s="115"/>
      <c r="K153" s="218"/>
      <c r="L153" s="114"/>
      <c r="M153" s="215"/>
      <c r="N153" s="113"/>
      <c r="O153" s="215"/>
      <c r="P153" s="115"/>
      <c r="Q153" s="215"/>
      <c r="R153" s="115"/>
      <c r="S153" s="215"/>
      <c r="T153" s="115"/>
      <c r="U153" s="218"/>
      <c r="V153" s="114"/>
      <c r="W153" s="221"/>
      <c r="X153" s="116"/>
      <c r="Y153" s="218"/>
      <c r="Z153" s="114"/>
      <c r="AA153" s="221"/>
      <c r="AB153" s="116"/>
      <c r="AC153" s="218"/>
      <c r="AD153" s="114"/>
      <c r="AE153" s="221"/>
      <c r="AF153" s="118"/>
      <c r="AG153" s="218"/>
      <c r="AH153" s="117"/>
      <c r="AI153" s="221"/>
      <c r="AJ153" s="118"/>
      <c r="AK153" s="218"/>
      <c r="AL153" s="119"/>
      <c r="AM153" s="182"/>
      <c r="AN153" s="182"/>
    </row>
    <row r="154" spans="1:40" ht="16.2" customHeight="1" x14ac:dyDescent="0.35">
      <c r="A154" s="142" t="s">
        <v>38</v>
      </c>
    </row>
  </sheetData>
  <mergeCells count="18"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topLeftCell="A242" zoomScale="50" zoomScaleNormal="50" zoomScalePageLayoutView="55" workbookViewId="0">
      <selection activeCell="H255" sqref="H255"/>
    </sheetView>
  </sheetViews>
  <sheetFormatPr defaultRowHeight="22.2" x14ac:dyDescent="0.55000000000000004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46" width="8.796875" style="55" customWidth="1"/>
    <col min="47" max="16384" width="8.796875" style="55"/>
  </cols>
  <sheetData>
    <row r="1" spans="1:28" s="51" customFormat="1" ht="18" customHeight="1" x14ac:dyDescent="0.45">
      <c r="A1" s="52">
        <v>7</v>
      </c>
      <c r="B1" s="52" t="str">
        <f>IF(COUNTIF(C1,"*雙葉*"),"雙葉",
IF(COUNTIF(C1,"*社食*"),"社食'",
IF(LEFT(C1,2)="博多",IFERROR(TRIM(LEFT(C1,FIND("幼",C1)-1)),TRIM(C1)),
IF(LEFT(C1,3)="奈良屋","奈良屋",""))))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>
        <f>IF(C1&lt;&gt;"",
IF(O1=1,0,クライアント抽出!E1),"")</f>
        <v/>
      </c>
      <c r="J1" s="52" t="str">
        <f>IF(C1&lt;&gt;"",
VLOOKUP(
IF(COUNTIF(D1,"*学食*"),"キャラ弁（学食）",
IF(COUNTIF(D1,"*赤*"),"赤",
IF(COUNTIF(D1,"*キャラ弁当*"),"キャラ弁当",D1))),注文弁当の抽出!$E$1:$F$15,2,FALSE),"")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 cm="1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>IF(COUNTIF(Q1,"TRUE"),
IF(OR(COUNTIF(B1,"*'*"),H1=0),0,ROW()),0)</f>
        <v>0</v>
      </c>
      <c r="Q1" s="52" t="b">
        <f>IF(C1&lt;&gt;"",
IF(OR(N1=1,COUNTIF(D1,"*朝食*"),COUNTIF(D1,"*夕食*")),TRUE,FALSE),FALSE)</f>
        <v>0</v>
      </c>
      <c r="R1" s="51" cm="1">
        <f t="array" aca="1" ref="R1" ca="1">IFERROR(SMALL(IF(P$1:P$300&lt;&gt;0,P$1:P$300),ROW(A1)),"")</f>
        <v>211</v>
      </c>
      <c r="S1" s="51" t="str" cm="1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>
        <f t="array" aca="1" ref="W1" ca="1">IF($R1&lt;&gt;"",
IF(COUNTIF(INDIRECT("B"&amp;R1&amp;""),"*雙葉*"),
INDIRECT("H"&amp;R1&amp;"")+INDIRECT("H"&amp;MATCH("雙葉'",INDIRECT("B"&amp;R1+1&amp;":B210"),0)+R1&amp;""),
IF(LEFT(INDIRECT("B"&amp;R1&amp;""),2)="博多",
INDIRECT("H"&amp;R1&amp;"")+INDIRECT("H"&amp;MATCH("*"&amp;INDIRECT("B"&amp;R1&amp;"")&amp;"*",INDIRECT("B"&amp;R1+1&amp;":B210"),0)+R1&amp;""),
IF(LEFT(INDIRECT("B"&amp;R1&amp;""),3)="奈良屋",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 cm="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ca="1">IF(R1&lt;&gt;"",
IFERROR(INT(W1/Y1),""),"")</f>
        <v/>
      </c>
      <c r="AA1" s="51" t="str">
        <f t="shared" ref="AA1:AA64" ca="1" si="0">IFERROR(MOD(W1,Y1),"")</f>
        <v/>
      </c>
      <c r="AB1" s="51" cm="1">
        <f t="array" aca="1" ref="AB1" ca="1">IF($R1&lt;&gt;"",
IF(COUNTIF(INDIRECT("B"&amp;R1&amp;""),"*雙葉*"),
INDIRECT("M"&amp;R1&amp;"")+INDIRECT("M"&amp;MATCH("雙葉'",INDIRECT("B"&amp;R1+1&amp;":B210"),0)+R1&amp;""),
IF(LEFT(INDIRECT("B"&amp;R1&amp;""),2)="博多",
INDIRECT("M"&amp;R1&amp;"")+INDIRECT("M"&amp;MATCH("*"&amp;INDIRECT("B"&amp;R1&amp;"")&amp;"*",INDIRECT("B"&amp;R1+1&amp;":B210"),0)+R1&amp;""),
IF(LEFT(INDIRECT("B"&amp;R1&amp;""),3)="奈良屋",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 x14ac:dyDescent="0.45">
      <c r="A2" s="196">
        <f t="shared" ref="A2:A33" si="1">A1+2</f>
        <v>9</v>
      </c>
      <c r="B2" s="52" t="str">
        <f t="shared" ref="B2:B65" ca="1" si="2">IF(COUNTIF(C2,"*雙葉*"),
IF(COUNTIF(INDIRECT("B1:B"&amp;ROW()-1&amp;""),"雙葉"),"雙葉'","雙葉"),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>
        <f>IF(C2&lt;&gt;"",
IF(O2=1,0,クライアント抽出!E2),"")</f>
        <v/>
      </c>
      <c r="J2" s="52" t="str">
        <f>IF(C2&lt;&gt;"",
VLOOKUP(
IF(COUNTIF(D2,"*学食*"),"キャラ弁（学食）",
IF(COUNTIF(D2,"*赤*"),"赤",
IF(COUNTIF(D2,"*キャラ弁当*"),"キャラ弁当",D2))),注文弁当の抽出!$E$1:$F$15,2,FALSE),"")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 cm="1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ref="P2:P65" si="3">IF(COUNTIF(Q2,"TRUE"),
IF(OR(COUNTIF(B2,"*'*"),H2=0),0,ROW()),0)</f>
        <v>0</v>
      </c>
      <c r="Q2" s="52" t="b">
        <f t="shared" ref="Q2:Q65" si="4">IF(C2&lt;&gt;"",
IF(OR(N2=1,COUNTIF(D2,"*朝食*"),COUNTIF(D2,"*夕食*")),TRUE,FALSE),FALSE)</f>
        <v>0</v>
      </c>
      <c r="R2" s="51">
        <f t="array" aca="1" ref="R2" ca="1">IFERROR(SMALL(IF(P$1:P$300&lt;&gt;0,P$1:P$300),ROW(A2)),"")</f>
        <v>212</v>
      </c>
      <c r="S2" s="51" t="str" cm="1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 cm="1">
        <f t="array" aca="1" ref="W2" ca="1">IF($R2&lt;&gt;"",
IF(COUNTIF(INDIRECT("B"&amp;R2&amp;""),"*雙葉*"),
INDIRECT("H"&amp;R2&amp;"")+INDIRECT("H"&amp;MATCH("雙葉'",INDIRECT("B"&amp;R2+1&amp;":B210"),0)+R2&amp;""),
IF(LEFT(INDIRECT("B"&amp;R2&amp;""),2)="博多",
INDIRECT("H"&amp;R2&amp;"")+INDIRECT("H"&amp;MATCH("*"&amp;INDIRECT("B"&amp;R2&amp;"")&amp;"*",INDIRECT("B"&amp;R2+1&amp;":B210"),0)+R2&amp;""),
IF(LEFT(INDIRECT("B"&amp;R2&amp;""),3)="奈良屋",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 cm="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ca="1">IF(R2&lt;&gt;"",
IFERROR(INT(W2/Y2),""),"")</f>
        <v/>
      </c>
      <c r="AA2" s="51" t="str">
        <f t="shared" ca="1" si="0"/>
        <v/>
      </c>
      <c r="AB2" s="51" cm="1">
        <f t="array" aca="1" ref="AB2" ca="1">IF($R2&lt;&gt;"",
IF(COUNTIF(INDIRECT("B"&amp;R2&amp;""),"*雙葉*"),
INDIRECT("M"&amp;R2&amp;"")+INDIRECT("M"&amp;MATCH("雙葉'",INDIRECT("B"&amp;R2+1&amp;":B210"),0)+R2&amp;""),
IF(LEFT(INDIRECT("B"&amp;R2&amp;""),2)="博多",
INDIRECT("M"&amp;R2&amp;"")+INDIRECT("M"&amp;MATCH("*"&amp;INDIRECT("B"&amp;R2&amp;"")&amp;"*",INDIRECT("B"&amp;R2+1&amp;":B210"),0)+R2&amp;""),
IF(LEFT(INDIRECT("B"&amp;R2&amp;""),3)="奈良屋",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 x14ac:dyDescent="0.45">
      <c r="A3" s="196">
        <f t="shared" si="1"/>
        <v>11</v>
      </c>
      <c r="B3" s="52" t="str">
        <f t="shared" ca="1" si="2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>
        <f>IF(C3&lt;&gt;"",
IF(O3=1,0,クライアント抽出!E3),"")</f>
        <v/>
      </c>
      <c r="J3" s="52" t="str">
        <f>IF(C3&lt;&gt;"",
VLOOKUP(
IF(COUNTIF(D3,"*学食*"),"キャラ弁（学食）",
IF(COUNTIF(D3,"*赤*"),"赤",
IF(COUNTIF(D3,"*キャラ弁当*"),"キャラ弁当",D3))),注文弁当の抽出!$E$1:$F$15,2,FALSE),"")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 cm="1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3"/>
        <v>0</v>
      </c>
      <c r="Q3" s="52" t="b">
        <f t="shared" si="4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>
        <f t="array" aca="1" ref="W3" ca="1">IF($R3&lt;&gt;"",
IF(COUNTIF(INDIRECT("B"&amp;R3&amp;""),"*雙葉*"),
INDIRECT("H"&amp;R3&amp;"")+INDIRECT("H"&amp;MATCH("雙葉'",INDIRECT("B"&amp;R3+1&amp;":B210"),0)+R3&amp;""),
IF(LEFT(INDIRECT("B"&amp;R3&amp;""),2)="博多",
INDIRECT("H"&amp;R3&amp;"")+INDIRECT("H"&amp;MATCH("*"&amp;INDIRECT("B"&amp;R3&amp;"")&amp;"*",INDIRECT("B"&amp;R3+1&amp;":B210"),0)+R3&amp;""),
IF(LEFT(INDIRECT("B"&amp;R3&amp;""),3)="奈良屋",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INDIRECT(""&amp;IF(COLUMN(I4)&lt;=26,CHAR(COLUMN(I4)+64),CHAR(INT((COLUMN(I4)-1)/26)+64)&amp;CHAR(MOD(COLUMN(I4)-1,26)+65))&amp;$R3&amp;""),"")</f>
        <v>0</v>
      </c>
      <c r="Y3" s="51" cm="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ca="1">IF(R3&lt;&gt;"",
IFERROR(INT(W3/Y3),""),"")</f>
        <v/>
      </c>
      <c r="AA3" s="51" t="str">
        <f t="shared" ca="1" si="0"/>
        <v/>
      </c>
      <c r="AB3" s="51" cm="1">
        <f t="array" aca="1" ref="AB3" ca="1">IF($R3&lt;&gt;"",
IF(COUNTIF(INDIRECT("B"&amp;R3&amp;""),"*雙葉*"),
INDIRECT("M"&amp;R3&amp;"")+INDIRECT("M"&amp;MATCH("雙葉'",INDIRECT("B"&amp;R3+1&amp;":B210"),0)+R3&amp;""),
IF(LEFT(INDIRECT("B"&amp;R3&amp;""),2)="博多",
INDIRECT("M"&amp;R3&amp;"")+INDIRECT("M"&amp;MATCH("*"&amp;INDIRECT("B"&amp;R3&amp;"")&amp;"*",INDIRECT("B"&amp;R3+1&amp;":B210"),0)+R3&amp;""),
IF(LEFT(INDIRECT("B"&amp;R3&amp;""),3)="奈良屋",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 x14ac:dyDescent="0.45">
      <c r="A4" s="196">
        <f t="shared" si="1"/>
        <v>13</v>
      </c>
      <c r="B4" s="52" t="str">
        <f t="shared" ca="1" si="2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>
        <f>IF(C4&lt;&gt;"",
IF(O4=1,0,クライアント抽出!E4),"")</f>
        <v/>
      </c>
      <c r="J4" s="52" t="str">
        <f>IF(C4&lt;&gt;"",
VLOOKUP(
IF(COUNTIF(D4,"*学食*"),"キャラ弁（学食）",
IF(COUNTIF(D4,"*赤*"),"赤",
IF(COUNTIF(D4,"*キャラ弁当*"),"キャラ弁当",D4))),注文弁当の抽出!$E$1:$F$15,2,FALSE),"")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 cm="1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3"/>
        <v>0</v>
      </c>
      <c r="Q4" s="52" t="b">
        <f t="shared" si="4"/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>
        <f t="array" aca="1" ref="W4" ca="1">IF($R4&lt;&gt;"",
IF(COUNTIF(INDIRECT("B"&amp;R4&amp;""),"*雙葉*"),
INDIRECT("H"&amp;R4&amp;"")+INDIRECT("H"&amp;MATCH("雙葉'",INDIRECT("B"&amp;R4+1&amp;":B210"),0)+R4&amp;""),
IF(LEFT(INDIRECT("B"&amp;R4&amp;""),2)="博多",
INDIRECT("H"&amp;R4&amp;"")+INDIRECT("H"&amp;MATCH("*"&amp;INDIRECT("B"&amp;R4&amp;"")&amp;"*",INDIRECT("B"&amp;R4+1&amp;":B210"),0)+R4&amp;""),
IF(LEFT(INDIRECT("B"&amp;R4&amp;""),3)="奈良屋",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INDIRECT(""&amp;IF(COLUMN(I5)&lt;=26,CHAR(COLUMN(I5)+64),CHAR(INT((COLUMN(I5)-1)/26)+64)&amp;CHAR(MOD(COLUMN(I5)-1,26)+65))&amp;$R4&amp;""),"")</f>
        <v>0</v>
      </c>
      <c r="Y4" s="51" cm="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ca="1">IF(R4&lt;&gt;"",
IFERROR(INT(W4/Y4),""),"")</f>
        <v/>
      </c>
      <c r="AA4" s="51" t="str">
        <f t="shared" ca="1" si="0"/>
        <v/>
      </c>
      <c r="AB4" s="51" cm="1">
        <f t="array" aca="1" ref="AB4" ca="1">IF($R4&lt;&gt;"",
IF(COUNTIF(INDIRECT("B"&amp;R4&amp;""),"*雙葉*"),
INDIRECT("M"&amp;R4&amp;"")+INDIRECT("M"&amp;MATCH("雙葉'",INDIRECT("B"&amp;R4+1&amp;":B210"),0)+R4&amp;""),
IF(LEFT(INDIRECT("B"&amp;R4&amp;""),2)="博多",
INDIRECT("M"&amp;R4&amp;"")+INDIRECT("M"&amp;MATCH("*"&amp;INDIRECT("B"&amp;R4&amp;"")&amp;"*",INDIRECT("B"&amp;R4+1&amp;":B210"),0)+R4&amp;""),
IF(LEFT(INDIRECT("B"&amp;R4&amp;""),3)="奈良屋",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 x14ac:dyDescent="0.45">
      <c r="A5" s="196">
        <f t="shared" si="1"/>
        <v>15</v>
      </c>
      <c r="B5" s="52" t="str">
        <f t="shared" ca="1" si="2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>
        <f>IF(C5&lt;&gt;"",
IF(O5=1,0,クライアント抽出!E5),"")</f>
        <v/>
      </c>
      <c r="J5" s="52" t="str">
        <f>IF(C5&lt;&gt;"",
VLOOKUP(
IF(COUNTIF(D5,"*学食*"),"キャラ弁（学食）",
IF(COUNTIF(D5,"*赤*"),"赤",
IF(COUNTIF(D5,"*キャラ弁当*"),"キャラ弁当",D5))),注文弁当の抽出!$E$1:$F$15,2,FALSE),"")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 cm="1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3"/>
        <v>0</v>
      </c>
      <c r="Q5" s="52" t="b">
        <f t="shared" si="4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>
        <f t="array" aca="1" ref="W5" ca="1">IF($R5&lt;&gt;"",
IF(COUNTIF(INDIRECT("B"&amp;R5&amp;""),"*雙葉*"),
INDIRECT("H"&amp;R5&amp;"")+INDIRECT("H"&amp;MATCH("雙葉'",INDIRECT("B"&amp;R5+1&amp;":B210"),0)+R5&amp;""),
IF(LEFT(INDIRECT("B"&amp;R5&amp;""),2)="博多",
INDIRECT("H"&amp;R5&amp;"")+INDIRECT("H"&amp;MATCH("*"&amp;INDIRECT("B"&amp;R5&amp;"")&amp;"*",INDIRECT("B"&amp;R5+1&amp;":B210"),0)+R5&amp;""),
IF(LEFT(INDIRECT("B"&amp;R5&amp;""),3)="奈良屋",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INDIRECT(""&amp;IF(COLUMN(I7)&lt;=26,CHAR(COLUMN(I7)+64),CHAR(INT((COLUMN(I7)-1)/26)+64)&amp;CHAR(MOD(COLUMN(I7)-1,26)+65))&amp;$R5&amp;""),"")</f>
        <v/>
      </c>
      <c r="Y5" s="51" t="e" cm="1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ref="Z5:Z64" ca="1" si="5">IF(R5&lt;&gt;"",
IFERROR(INT(W5/Y5),""),"")</f>
        <v/>
      </c>
      <c r="AA5" s="51" t="str">
        <f t="shared" ca="1" si="0"/>
        <v/>
      </c>
      <c r="AB5" s="51" cm="1">
        <f t="array" aca="1" ref="AB5" ca="1">IF($R5&lt;&gt;"",
IF(COUNTIF(INDIRECT("B"&amp;R5&amp;""),"*雙葉*"),
INDIRECT("M"&amp;R5&amp;"")+INDIRECT("M"&amp;MATCH("雙葉'",INDIRECT("B"&amp;R5+1&amp;":B210"),0)+R5&amp;""),
IF(LEFT(INDIRECT("B"&amp;R5&amp;""),2)="博多",
INDIRECT("M"&amp;R5&amp;"")+INDIRECT("M"&amp;MATCH("*"&amp;INDIRECT("B"&amp;R5&amp;"")&amp;"*",INDIRECT("B"&amp;R5+1&amp;":B210"),0)+R5&amp;""),
IF(LEFT(INDIRECT("B"&amp;R5&amp;""),3)="奈良屋",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 x14ac:dyDescent="0.45">
      <c r="A6" s="196">
        <f t="shared" si="1"/>
        <v>17</v>
      </c>
      <c r="B6" s="52" t="str">
        <f t="shared" ca="1" si="2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>
        <f>IF(C6&lt;&gt;"",
IF(O6=1,0,クライアント抽出!E6),"")</f>
        <v/>
      </c>
      <c r="J6" s="52" t="str">
        <f>IF(C6&lt;&gt;"",
VLOOKUP(
IF(COUNTIF(D6,"*学食*"),"キャラ弁（学食）",
IF(COUNTIF(D6,"*赤*"),"赤",
IF(COUNTIF(D6,"*キャラ弁当*"),"キャラ弁当",D6))),注文弁当の抽出!$E$1:$F$15,2,FALSE),"")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 cm="1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3"/>
        <v>0</v>
      </c>
      <c r="Q6" s="52" t="b">
        <f t="shared" si="4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>
        <f t="array" aca="1" ref="W6" ca="1">IF($R6&lt;&gt;"",
IF(COUNTIF(INDIRECT("B"&amp;R6&amp;""),"*雙葉*"),
INDIRECT("H"&amp;R6&amp;"")+INDIRECT("H"&amp;MATCH("雙葉'",INDIRECT("B"&amp;R6+1&amp;":B210"),0)+R6&amp;""),
IF(LEFT(INDIRECT("B"&amp;R6&amp;""),2)="博多",
INDIRECT("H"&amp;R6&amp;"")+INDIRECT("H"&amp;MATCH("*"&amp;INDIRECT("B"&amp;R6&amp;"")&amp;"*",INDIRECT("B"&amp;R6+1&amp;":B210"),0)+R6&amp;""),
IF(LEFT(INDIRECT("B"&amp;R6&amp;""),3)="奈良屋",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INDIRECT(""&amp;IF(COLUMN(I8)&lt;=26,CHAR(COLUMN(I8)+64),CHAR(INT((COLUMN(I8)-1)/26)+64)&amp;CHAR(MOD(COLUMN(I8)-1,26)+65))&amp;$R6&amp;""),"")</f>
        <v/>
      </c>
      <c r="Y6" s="51" t="e" cm="1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ca="1" si="5"/>
        <v/>
      </c>
      <c r="AA6" s="51" t="str">
        <f t="shared" ca="1" si="0"/>
        <v/>
      </c>
      <c r="AB6" s="51" cm="1">
        <f t="array" aca="1" ref="AB6" ca="1">IF($R6&lt;&gt;"",
IF(COUNTIF(INDIRECT("B"&amp;R6&amp;""),"*雙葉*"),
INDIRECT("M"&amp;R6&amp;"")+INDIRECT("M"&amp;MATCH("雙葉'",INDIRECT("B"&amp;R6+1&amp;":B210"),0)+R6&amp;""),
IF(LEFT(INDIRECT("B"&amp;R6&amp;""),2)="博多",
INDIRECT("M"&amp;R6&amp;"")+INDIRECT("M"&amp;MATCH("*"&amp;INDIRECT("B"&amp;R6&amp;"")&amp;"*",INDIRECT("B"&amp;R6+1&amp;":B210"),0)+R6&amp;""),
IF(LEFT(INDIRECT("B"&amp;R6&amp;""),3)="奈良屋",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 x14ac:dyDescent="0.45">
      <c r="A7" s="196">
        <f t="shared" si="1"/>
        <v>19</v>
      </c>
      <c r="B7" s="52" t="str">
        <f t="shared" ca="1" si="2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>
        <f>IF(C7&lt;&gt;"",
IF(O7=1,0,クライアント抽出!E7),"")</f>
        <v/>
      </c>
      <c r="J7" s="52" t="str">
        <f>IF(C7&lt;&gt;"",
VLOOKUP(
IF(COUNTIF(D7,"*学食*"),"キャラ弁（学食）",
IF(COUNTIF(D7,"*赤*"),"赤",
IF(COUNTIF(D7,"*キャラ弁当*"),"キャラ弁当",D7))),注文弁当の抽出!$E$1:$F$15,2,FALSE),"")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 cm="1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3"/>
        <v>0</v>
      </c>
      <c r="Q7" s="52" t="b">
        <f t="shared" si="4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>
        <f t="array" aca="1" ref="W7" ca="1">IF($R7&lt;&gt;"",
IF(COUNTIF(INDIRECT("B"&amp;R7&amp;""),"*雙葉*"),
INDIRECT("H"&amp;R7&amp;"")+INDIRECT("H"&amp;MATCH("雙葉'",INDIRECT("B"&amp;R7+1&amp;":B210"),0)+R7&amp;""),
IF(LEFT(INDIRECT("B"&amp;R7&amp;""),2)="博多",
INDIRECT("H"&amp;R7&amp;"")+INDIRECT("H"&amp;MATCH("*"&amp;INDIRECT("B"&amp;R7&amp;"")&amp;"*",INDIRECT("B"&amp;R7+1&amp;":B210"),0)+R7&amp;""),
IF(LEFT(INDIRECT("B"&amp;R7&amp;""),3)="奈良屋",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INDIRECT(""&amp;IF(COLUMN(I10)&lt;=26,CHAR(COLUMN(I10)+64),CHAR(INT((COLUMN(I10)-1)/26)+64)&amp;CHAR(MOD(COLUMN(I10)-1,26)+65))&amp;$R7&amp;""),"")</f>
        <v/>
      </c>
      <c r="Y7" s="51" t="str" cm="1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5"/>
        <v/>
      </c>
      <c r="AA7" s="51" t="str">
        <f t="shared" ca="1" si="0"/>
        <v/>
      </c>
      <c r="AB7" s="51" t="str" cm="1">
        <f t="array" aca="1" ref="AB7" ca="1">IF($R7&lt;&gt;"",
IF(COUNTIF(INDIRECT("B"&amp;R7&amp;""),"*雙葉*"),
INDIRECT("M"&amp;R7&amp;"")+INDIRECT("M"&amp;MATCH("雙葉'",INDIRECT("B"&amp;R7+1&amp;":B210"),0)+R7&amp;""),
IF(LEFT(INDIRECT("B"&amp;R7&amp;""),2)="博多",
INDIRECT("M"&amp;R7&amp;"")+INDIRECT("M"&amp;MATCH("*"&amp;INDIRECT("B"&amp;R7&amp;"")&amp;"*",INDIRECT("B"&amp;R7+1&amp;":B210"),0)+R7&amp;""),
IF(LEFT(INDIRECT("B"&amp;R7&amp;""),3)="奈良屋",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 x14ac:dyDescent="0.45">
      <c r="A8" s="196">
        <f t="shared" si="1"/>
        <v>21</v>
      </c>
      <c r="B8" s="52" t="str">
        <f t="shared" ca="1" si="2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>
        <f>IF(C8&lt;&gt;"",
IF(O8=1,0,クライアント抽出!E8),"")</f>
        <v/>
      </c>
      <c r="J8" s="52" t="str">
        <f>IF(C8&lt;&gt;"",
VLOOKUP(
IF(COUNTIF(D8,"*学食*"),"キャラ弁（学食）",
IF(COUNTIF(D8,"*赤*"),"赤",
IF(COUNTIF(D8,"*キャラ弁当*"),"キャラ弁当",D8))),注文弁当の抽出!$E$1:$F$15,2,FALSE),"")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 cm="1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3"/>
        <v>0</v>
      </c>
      <c r="Q8" s="52" t="b">
        <f t="shared" si="4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>
        <f t="array" aca="1" ref="W8" ca="1">IF($R8&lt;&gt;"",
IF(COUNTIF(INDIRECT("B"&amp;R8&amp;""),"*雙葉*"),
INDIRECT("H"&amp;R8&amp;"")+INDIRECT("H"&amp;MATCH("雙葉'",INDIRECT("B"&amp;R8+1&amp;":B210"),0)+R8&amp;""),
IF(LEFT(INDIRECT("B"&amp;R8&amp;""),2)="博多",
INDIRECT("H"&amp;R8&amp;"")+INDIRECT("H"&amp;MATCH("*"&amp;INDIRECT("B"&amp;R8&amp;"")&amp;"*",INDIRECT("B"&amp;R8+1&amp;":B210"),0)+R8&amp;""),
IF(LEFT(INDIRECT("B"&amp;R8&amp;""),3)="奈良屋",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INDIRECT(""&amp;IF(COLUMN(I11)&lt;=26,CHAR(COLUMN(I11)+64),CHAR(INT((COLUMN(I11)-1)/26)+64)&amp;CHAR(MOD(COLUMN(I11)-1,26)+65))&amp;$R8&amp;""),"")</f>
        <v/>
      </c>
      <c r="Y8" s="51" t="str" cm="1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5"/>
        <v/>
      </c>
      <c r="AA8" s="51" t="str">
        <f t="shared" ca="1" si="0"/>
        <v/>
      </c>
      <c r="AB8" s="51" t="str" cm="1">
        <f t="array" aca="1" ref="AB8" ca="1">IF($R8&lt;&gt;"",
IF(COUNTIF(INDIRECT("B"&amp;R8&amp;""),"*雙葉*"),
INDIRECT("M"&amp;R8&amp;"")+INDIRECT("M"&amp;MATCH("雙葉'",INDIRECT("B"&amp;R8+1&amp;":B210"),0)+R8&amp;""),
IF(LEFT(INDIRECT("B"&amp;R8&amp;""),2)="博多",
INDIRECT("M"&amp;R8&amp;"")+INDIRECT("M"&amp;MATCH("*"&amp;INDIRECT("B"&amp;R8&amp;"")&amp;"*",INDIRECT("B"&amp;R8+1&amp;":B210"),0)+R8&amp;""),
IF(LEFT(INDIRECT("B"&amp;R8&amp;""),3)="奈良屋",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 x14ac:dyDescent="0.45">
      <c r="A9" s="196">
        <f t="shared" si="1"/>
        <v>23</v>
      </c>
      <c r="B9" s="52" t="str">
        <f t="shared" ca="1" si="2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>
        <f>IF(C9&lt;&gt;"",
IF(O9=1,0,クライアント抽出!E9),"")</f>
        <v/>
      </c>
      <c r="J9" s="52" t="str">
        <f>IF(C9&lt;&gt;"",
VLOOKUP(
IF(COUNTIF(D9,"*学食*"),"キャラ弁（学食）",
IF(COUNTIF(D9,"*赤*"),"赤",
IF(COUNTIF(D9,"*キャラ弁当*"),"キャラ弁当",D9))),注文弁当の抽出!$E$1:$F$15,2,FALSE),"")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 cm="1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3"/>
        <v>0</v>
      </c>
      <c r="Q9" s="52" t="b">
        <f t="shared" si="4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>
        <f t="array" aca="1" ref="W9" ca="1">IF($R9&lt;&gt;"",
IF(COUNTIF(INDIRECT("B"&amp;R9&amp;""),"*雙葉*"),
INDIRECT("H"&amp;R9&amp;"")+INDIRECT("H"&amp;MATCH("雙葉'",INDIRECT("B"&amp;R9+1&amp;":B210"),0)+R9&amp;""),
IF(LEFT(INDIRECT("B"&amp;R9&amp;""),2)="博多",
INDIRECT("H"&amp;R9&amp;"")+INDIRECT("H"&amp;MATCH("*"&amp;INDIRECT("B"&amp;R9&amp;"")&amp;"*",INDIRECT("B"&amp;R9+1&amp;":B210"),0)+R9&amp;""),
IF(LEFT(INDIRECT("B"&amp;R9&amp;""),3)="奈良屋",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INDIRECT(""&amp;IF(COLUMN(I13)&lt;=26,CHAR(COLUMN(I13)+64),CHAR(INT((COLUMN(I13)-1)/26)+64)&amp;CHAR(MOD(COLUMN(I13)-1,26)+65))&amp;$R9&amp;""),"")</f>
        <v/>
      </c>
      <c r="Y9" s="51" t="str" cm="1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5"/>
        <v/>
      </c>
      <c r="AA9" s="51" t="str">
        <f t="shared" ca="1" si="0"/>
        <v/>
      </c>
      <c r="AB9" s="51" t="str" cm="1">
        <f t="array" aca="1" ref="AB9" ca="1">IF($R9&lt;&gt;"",
IF(COUNTIF(INDIRECT("B"&amp;R9&amp;""),"*雙葉*"),
INDIRECT("M"&amp;R9&amp;"")+INDIRECT("M"&amp;MATCH("雙葉'",INDIRECT("B"&amp;R9+1&amp;":B210"),0)+R9&amp;""),
IF(LEFT(INDIRECT("B"&amp;R9&amp;""),2)="博多",
INDIRECT("M"&amp;R9&amp;"")+INDIRECT("M"&amp;MATCH("*"&amp;INDIRECT("B"&amp;R9&amp;"")&amp;"*",INDIRECT("B"&amp;R9+1&amp;":B210"),0)+R9&amp;""),
IF(LEFT(INDIRECT("B"&amp;R9&amp;""),3)="奈良屋",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 x14ac:dyDescent="0.45">
      <c r="A10" s="196">
        <f t="shared" si="1"/>
        <v>25</v>
      </c>
      <c r="B10" s="52" t="str">
        <f t="shared" ca="1" si="2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>
        <f>IF(C10&lt;&gt;"",
IF(O10=1,0,クライアント抽出!E10),"")</f>
        <v/>
      </c>
      <c r="J10" s="52" t="str">
        <f>IF(C10&lt;&gt;"",
VLOOKUP(
IF(COUNTIF(D10,"*学食*"),"キャラ弁（学食）",
IF(COUNTIF(D10,"*赤*"),"赤",
IF(COUNTIF(D10,"*キャラ弁当*"),"キャラ弁当",D10))),注文弁当の抽出!$E$1:$F$15,2,FALSE),"")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 cm="1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3"/>
        <v>0</v>
      </c>
      <c r="Q10" s="52" t="b">
        <f t="shared" si="4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>
        <f t="array" aca="1" ref="W10" ca="1">IF($R10&lt;&gt;"",
IF(COUNTIF(INDIRECT("B"&amp;R10&amp;""),"*雙葉*"),
INDIRECT("H"&amp;R10&amp;"")+INDIRECT("H"&amp;MATCH("雙葉'",INDIRECT("B"&amp;R10+1&amp;":B210"),0)+R10&amp;""),
IF(LEFT(INDIRECT("B"&amp;R10&amp;""),2)="博多",
INDIRECT("H"&amp;R10&amp;"")+INDIRECT("H"&amp;MATCH("*"&amp;INDIRECT("B"&amp;R10&amp;"")&amp;"*",INDIRECT("B"&amp;R10+1&amp;":B210"),0)+R10&amp;""),
IF(LEFT(INDIRECT("B"&amp;R10&amp;""),3)="奈良屋",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INDIRECT(""&amp;IF(COLUMN(I14)&lt;=26,CHAR(COLUMN(I14)+64),CHAR(INT((COLUMN(I14)-1)/26)+64)&amp;CHAR(MOD(COLUMN(I14)-1,26)+65))&amp;$R10&amp;""),"")</f>
        <v/>
      </c>
      <c r="Y10" s="51" t="str" cm="1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5"/>
        <v/>
      </c>
      <c r="AA10" s="51" t="str">
        <f t="shared" ca="1" si="0"/>
        <v/>
      </c>
      <c r="AB10" s="51" t="str" cm="1">
        <f t="array" aca="1" ref="AB10" ca="1">IF($R10&lt;&gt;"",
IF(COUNTIF(INDIRECT("B"&amp;R10&amp;""),"*雙葉*"),
INDIRECT("M"&amp;R10&amp;"")+INDIRECT("M"&amp;MATCH("雙葉'",INDIRECT("B"&amp;R10+1&amp;":B210"),0)+R10&amp;""),
IF(LEFT(INDIRECT("B"&amp;R10&amp;""),2)="博多",
INDIRECT("M"&amp;R10&amp;"")+INDIRECT("M"&amp;MATCH("*"&amp;INDIRECT("B"&amp;R10&amp;"")&amp;"*",INDIRECT("B"&amp;R10+1&amp;":B210"),0)+R10&amp;""),
IF(LEFT(INDIRECT("B"&amp;R10&amp;""),3)="奈良屋",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 x14ac:dyDescent="0.45">
      <c r="A11" s="196">
        <f t="shared" si="1"/>
        <v>27</v>
      </c>
      <c r="B11" s="52" t="str">
        <f t="shared" ca="1" si="2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>
        <f>IF(C11&lt;&gt;"",
IF(O11=1,0,クライアント抽出!E11),"")</f>
        <v/>
      </c>
      <c r="J11" s="52" t="str">
        <f>IF(C11&lt;&gt;"",
VLOOKUP(
IF(COUNTIF(D11,"*学食*"),"キャラ弁（学食）",
IF(COUNTIF(D11,"*赤*"),"赤",
IF(COUNTIF(D11,"*キャラ弁当*"),"キャラ弁当",D11))),注文弁当の抽出!$E$1:$F$15,2,FALSE),"")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 cm="1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3"/>
        <v>0</v>
      </c>
      <c r="Q11" s="52" t="b">
        <f t="shared" si="4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>
        <f t="array" aca="1" ref="W11" ca="1">IF($R11&lt;&gt;"",
IF(COUNTIF(INDIRECT("B"&amp;R11&amp;""),"*雙葉*"),
INDIRECT("H"&amp;R11&amp;"")+INDIRECT("H"&amp;MATCH("雙葉'",INDIRECT("B"&amp;R11+1&amp;":B210"),0)+R11&amp;""),
IF(LEFT(INDIRECT("B"&amp;R11&amp;""),2)="博多",
INDIRECT("H"&amp;R11&amp;"")+INDIRECT("H"&amp;MATCH("*"&amp;INDIRECT("B"&amp;R11&amp;"")&amp;"*",INDIRECT("B"&amp;R11+1&amp;":B210"),0)+R11&amp;""),
IF(LEFT(INDIRECT("B"&amp;R11&amp;""),3)="奈良屋",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INDIRECT(""&amp;IF(COLUMN(I16)&lt;=26,CHAR(COLUMN(I16)+64),CHAR(INT((COLUMN(I16)-1)/26)+64)&amp;CHAR(MOD(COLUMN(I16)-1,26)+65))&amp;$R11&amp;""),"")</f>
        <v/>
      </c>
      <c r="Y11" s="51" t="str" cm="1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5"/>
        <v/>
      </c>
      <c r="AA11" s="51" t="str">
        <f t="shared" ca="1" si="0"/>
        <v/>
      </c>
      <c r="AB11" s="51" t="str" cm="1">
        <f t="array" aca="1" ref="AB11" ca="1">IF($R11&lt;&gt;"",
IF(COUNTIF(INDIRECT("B"&amp;R11&amp;""),"*雙葉*"),
INDIRECT("M"&amp;R11&amp;"")+INDIRECT("M"&amp;MATCH("雙葉'",INDIRECT("B"&amp;R11+1&amp;":B210"),0)+R11&amp;""),
IF(LEFT(INDIRECT("B"&amp;R11&amp;""),2)="博多",
INDIRECT("M"&amp;R11&amp;"")+INDIRECT("M"&amp;MATCH("*"&amp;INDIRECT("B"&amp;R11&amp;"")&amp;"*",INDIRECT("B"&amp;R11+1&amp;":B210"),0)+R11&amp;""),
IF(LEFT(INDIRECT("B"&amp;R11&amp;""),3)="奈良屋",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 x14ac:dyDescent="0.45">
      <c r="A12" s="196">
        <f t="shared" si="1"/>
        <v>29</v>
      </c>
      <c r="B12" s="52" t="str">
        <f t="shared" ca="1" si="2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>
        <f>IF(C12&lt;&gt;"",
IF(O12=1,0,クライアント抽出!E12),"")</f>
        <v/>
      </c>
      <c r="J12" s="52" t="str">
        <f>IF(C12&lt;&gt;"",
VLOOKUP(
IF(COUNTIF(D12,"*学食*"),"キャラ弁（学食）",
IF(COUNTIF(D12,"*赤*"),"赤",
IF(COUNTIF(D12,"*キャラ弁当*"),"キャラ弁当",D12))),注文弁当の抽出!$E$1:$F$15,2,FALSE),"")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 cm="1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3"/>
        <v>0</v>
      </c>
      <c r="Q12" s="52" t="b">
        <f t="shared" si="4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>
        <f t="array" aca="1" ref="W12" ca="1">IF($R12&lt;&gt;"",
IF(COUNTIF(INDIRECT("B"&amp;R12&amp;""),"*雙葉*"),
INDIRECT("H"&amp;R12&amp;"")+INDIRECT("H"&amp;MATCH("雙葉'",INDIRECT("B"&amp;R12+1&amp;":B210"),0)+R12&amp;""),
IF(LEFT(INDIRECT("B"&amp;R12&amp;""),2)="博多",
INDIRECT("H"&amp;R12&amp;"")+INDIRECT("H"&amp;MATCH("*"&amp;INDIRECT("B"&amp;R12&amp;"")&amp;"*",INDIRECT("B"&amp;R12+1&amp;":B210"),0)+R12&amp;""),
IF(LEFT(INDIRECT("B"&amp;R12&amp;""),3)="奈良屋",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INDIRECT(""&amp;IF(COLUMN(I17)&lt;=26,CHAR(COLUMN(I17)+64),CHAR(INT((COLUMN(I17)-1)/26)+64)&amp;CHAR(MOD(COLUMN(I17)-1,26)+65))&amp;$R12&amp;""),"")</f>
        <v/>
      </c>
      <c r="Y12" s="51" t="str" cm="1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5"/>
        <v/>
      </c>
      <c r="AA12" s="51" t="str">
        <f t="shared" ca="1" si="0"/>
        <v/>
      </c>
      <c r="AB12" s="51" t="str" cm="1">
        <f t="array" aca="1" ref="AB12" ca="1">IF($R12&lt;&gt;"",
IF(COUNTIF(INDIRECT("B"&amp;R12&amp;""),"*雙葉*"),
INDIRECT("M"&amp;R12&amp;"")+INDIRECT("M"&amp;MATCH("雙葉'",INDIRECT("B"&amp;R12+1&amp;":B210"),0)+R12&amp;""),
IF(LEFT(INDIRECT("B"&amp;R12&amp;""),2)="博多",
INDIRECT("M"&amp;R12&amp;"")+INDIRECT("M"&amp;MATCH("*"&amp;INDIRECT("B"&amp;R12&amp;"")&amp;"*",INDIRECT("B"&amp;R12+1&amp;":B210"),0)+R12&amp;""),
IF(LEFT(INDIRECT("B"&amp;R12&amp;""),3)="奈良屋",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 x14ac:dyDescent="0.45">
      <c r="A13" s="196">
        <f t="shared" si="1"/>
        <v>31</v>
      </c>
      <c r="B13" s="52" t="str">
        <f t="shared" ca="1" si="2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>
        <f>IF(C13&lt;&gt;"",
IF(O13=1,0,クライアント抽出!E13),"")</f>
        <v/>
      </c>
      <c r="J13" s="52" t="str">
        <f>IF(C13&lt;&gt;"",
VLOOKUP(
IF(COUNTIF(D13,"*学食*"),"キャラ弁（学食）",
IF(COUNTIF(D13,"*赤*"),"赤",
IF(COUNTIF(D13,"*キャラ弁当*"),"キャラ弁当",D13))),注文弁当の抽出!$E$1:$F$15,2,FALSE),"")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 cm="1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3"/>
        <v>0</v>
      </c>
      <c r="Q13" s="52" t="b">
        <f t="shared" si="4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>
        <f t="array" aca="1" ref="W13" ca="1">IF($R13&lt;&gt;"",
IF(COUNTIF(INDIRECT("B"&amp;R13&amp;""),"*雙葉*"),
INDIRECT("H"&amp;R13&amp;"")+INDIRECT("H"&amp;MATCH("雙葉'",INDIRECT("B"&amp;R13+1&amp;":B210"),0)+R13&amp;""),
IF(LEFT(INDIRECT("B"&amp;R13&amp;""),2)="博多",
INDIRECT("H"&amp;R13&amp;"")+INDIRECT("H"&amp;MATCH("*"&amp;INDIRECT("B"&amp;R13&amp;"")&amp;"*",INDIRECT("B"&amp;R13+1&amp;":B210"),0)+R13&amp;""),
IF(LEFT(INDIRECT("B"&amp;R13&amp;""),3)="奈良屋",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INDIRECT(""&amp;IF(COLUMN(I19)&lt;=26,CHAR(COLUMN(I19)+64),CHAR(INT((COLUMN(I19)-1)/26)+64)&amp;CHAR(MOD(COLUMN(I19)-1,26)+65))&amp;$R13&amp;""),"")</f>
        <v/>
      </c>
      <c r="Y13" s="51" t="str" cm="1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5"/>
        <v/>
      </c>
      <c r="AA13" s="51" t="str">
        <f t="shared" ca="1" si="0"/>
        <v/>
      </c>
      <c r="AB13" s="51" t="str" cm="1">
        <f t="array" aca="1" ref="AB13" ca="1">IF($R13&lt;&gt;"",
IF(COUNTIF(INDIRECT("B"&amp;R13&amp;""),"*雙葉*"),
INDIRECT("M"&amp;R13&amp;"")+INDIRECT("M"&amp;MATCH("雙葉'",INDIRECT("B"&amp;R13+1&amp;":B210"),0)+R13&amp;""),
IF(LEFT(INDIRECT("B"&amp;R13&amp;""),2)="博多",
INDIRECT("M"&amp;R13&amp;"")+INDIRECT("M"&amp;MATCH("*"&amp;INDIRECT("B"&amp;R13&amp;"")&amp;"*",INDIRECT("B"&amp;R13+1&amp;":B210"),0)+R13&amp;""),
IF(LEFT(INDIRECT("B"&amp;R13&amp;""),3)="奈良屋",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 x14ac:dyDescent="0.45">
      <c r="A14" s="196">
        <f t="shared" si="1"/>
        <v>33</v>
      </c>
      <c r="B14" s="52" t="str">
        <f t="shared" ca="1" si="2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>
        <f>IF(C14&lt;&gt;"",
IF(O14=1,0,クライアント抽出!E14),"")</f>
        <v/>
      </c>
      <c r="J14" s="52" t="str">
        <f>IF(C14&lt;&gt;"",
VLOOKUP(
IF(COUNTIF(D14,"*学食*"),"キャラ弁（学食）",
IF(COUNTIF(D14,"*赤*"),"赤",
IF(COUNTIF(D14,"*キャラ弁当*"),"キャラ弁当",D14))),注文弁当の抽出!$E$1:$F$15,2,FALSE),"")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 cm="1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3"/>
        <v>0</v>
      </c>
      <c r="Q14" s="52" t="b">
        <f t="shared" si="4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>
        <f t="array" aca="1" ref="W14" ca="1">IF($R14&lt;&gt;"",
IF(COUNTIF(INDIRECT("B"&amp;R14&amp;""),"*雙葉*"),
INDIRECT("H"&amp;R14&amp;"")+INDIRECT("H"&amp;MATCH("雙葉'",INDIRECT("B"&amp;R14+1&amp;":B210"),0)+R14&amp;""),
IF(LEFT(INDIRECT("B"&amp;R14&amp;""),2)="博多",
INDIRECT("H"&amp;R14&amp;"")+INDIRECT("H"&amp;MATCH("*"&amp;INDIRECT("B"&amp;R14&amp;"")&amp;"*",INDIRECT("B"&amp;R14+1&amp;":B210"),0)+R14&amp;""),
IF(LEFT(INDIRECT("B"&amp;R14&amp;""),3)="奈良屋",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INDIRECT(""&amp;IF(COLUMN(I20)&lt;=26,CHAR(COLUMN(I20)+64),CHAR(INT((COLUMN(I20)-1)/26)+64)&amp;CHAR(MOD(COLUMN(I20)-1,26)+65))&amp;$R14&amp;""),"")</f>
        <v/>
      </c>
      <c r="Y14" s="51" t="str" cm="1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5"/>
        <v/>
      </c>
      <c r="AA14" s="51" t="str">
        <f t="shared" ca="1" si="0"/>
        <v/>
      </c>
      <c r="AB14" s="51" t="str" cm="1">
        <f t="array" aca="1" ref="AB14" ca="1">IF($R14&lt;&gt;"",
IF(COUNTIF(INDIRECT("B"&amp;R14&amp;""),"*雙葉*"),
INDIRECT("M"&amp;R14&amp;"")+INDIRECT("M"&amp;MATCH("雙葉'",INDIRECT("B"&amp;R14+1&amp;":B210"),0)+R14&amp;""),
IF(LEFT(INDIRECT("B"&amp;R14&amp;""),2)="博多",
INDIRECT("M"&amp;R14&amp;"")+INDIRECT("M"&amp;MATCH("*"&amp;INDIRECT("B"&amp;R14&amp;"")&amp;"*",INDIRECT("B"&amp;R14+1&amp;":B210"),0)+R14&amp;""),
IF(LEFT(INDIRECT("B"&amp;R14&amp;""),3)="奈良屋",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 x14ac:dyDescent="0.45">
      <c r="A15" s="196">
        <f t="shared" si="1"/>
        <v>35</v>
      </c>
      <c r="B15" s="52" t="str">
        <f t="shared" ca="1" si="2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>
        <f>IF(C15&lt;&gt;"",
IF(O15=1,0,クライアント抽出!E15),"")</f>
        <v/>
      </c>
      <c r="J15" s="52" t="str">
        <f>IF(C15&lt;&gt;"",
VLOOKUP(
IF(COUNTIF(D15,"*学食*"),"キャラ弁（学食）",
IF(COUNTIF(D15,"*赤*"),"赤",
IF(COUNTIF(D15,"*キャラ弁当*"),"キャラ弁当",D15))),注文弁当の抽出!$E$1:$F$15,2,FALSE),"")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 cm="1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3"/>
        <v>0</v>
      </c>
      <c r="Q15" s="52" t="b">
        <f t="shared" si="4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>
        <f t="array" aca="1" ref="W15" ca="1">IF($R15&lt;&gt;"",
IF(COUNTIF(INDIRECT("B"&amp;R15&amp;""),"*雙葉*"),
INDIRECT("H"&amp;R15&amp;"")+INDIRECT("H"&amp;MATCH("雙葉'",INDIRECT("B"&amp;R15+1&amp;":B210"),0)+R15&amp;""),
IF(LEFT(INDIRECT("B"&amp;R15&amp;""),2)="博多",
INDIRECT("H"&amp;R15&amp;"")+INDIRECT("H"&amp;MATCH("*"&amp;INDIRECT("B"&amp;R15&amp;"")&amp;"*",INDIRECT("B"&amp;R15+1&amp;":B210"),0)+R15&amp;""),
IF(LEFT(INDIRECT("B"&amp;R15&amp;""),3)="奈良屋",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INDIRECT(""&amp;IF(COLUMN(I22)&lt;=26,CHAR(COLUMN(I22)+64),CHAR(INT((COLUMN(I22)-1)/26)+64)&amp;CHAR(MOD(COLUMN(I22)-1,26)+65))&amp;$R15&amp;""),"")</f>
        <v/>
      </c>
      <c r="Y15" s="51" t="str" cm="1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5"/>
        <v/>
      </c>
      <c r="AA15" s="51" t="str">
        <f t="shared" ca="1" si="0"/>
        <v/>
      </c>
      <c r="AB15" s="51" t="str" cm="1">
        <f t="array" aca="1" ref="AB15" ca="1">IF($R15&lt;&gt;"",
IF(COUNTIF(INDIRECT("B"&amp;R15&amp;""),"*雙葉*"),
INDIRECT("M"&amp;R15&amp;"")+INDIRECT("M"&amp;MATCH("雙葉'",INDIRECT("B"&amp;R15+1&amp;":B210"),0)+R15&amp;""),
IF(LEFT(INDIRECT("B"&amp;R15&amp;""),2)="博多",
INDIRECT("M"&amp;R15&amp;"")+INDIRECT("M"&amp;MATCH("*"&amp;INDIRECT("B"&amp;R15&amp;"")&amp;"*",INDIRECT("B"&amp;R15+1&amp;":B210"),0)+R15&amp;""),
IF(LEFT(INDIRECT("B"&amp;R15&amp;""),3)="奈良屋",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 x14ac:dyDescent="0.45">
      <c r="A16" s="196">
        <f t="shared" si="1"/>
        <v>37</v>
      </c>
      <c r="B16" s="52" t="str">
        <f t="shared" ca="1" si="2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>
        <f>IF(C16&lt;&gt;"",
IF(O16=1,0,クライアント抽出!E16),"")</f>
        <v/>
      </c>
      <c r="J16" s="52" t="str">
        <f>IF(C16&lt;&gt;"",
VLOOKUP(
IF(COUNTIF(D16,"*学食*"),"キャラ弁（学食）",
IF(COUNTIF(D16,"*赤*"),"赤",
IF(COUNTIF(D16,"*キャラ弁当*"),"キャラ弁当",D16))),注文弁当の抽出!$E$1:$F$15,2,FALSE),"")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 cm="1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3"/>
        <v>0</v>
      </c>
      <c r="Q16" s="52" t="b">
        <f t="shared" si="4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>
        <f t="array" aca="1" ref="W16" ca="1">IF($R16&lt;&gt;"",
IF(COUNTIF(INDIRECT("B"&amp;R16&amp;""),"*雙葉*"),
INDIRECT("H"&amp;R16&amp;"")+INDIRECT("H"&amp;MATCH("雙葉'",INDIRECT("B"&amp;R16+1&amp;":B210"),0)+R16&amp;""),
IF(LEFT(INDIRECT("B"&amp;R16&amp;""),2)="博多",
INDIRECT("H"&amp;R16&amp;"")+INDIRECT("H"&amp;MATCH("*"&amp;INDIRECT("B"&amp;R16&amp;"")&amp;"*",INDIRECT("B"&amp;R16+1&amp;":B210"),0)+R16&amp;""),
IF(LEFT(INDIRECT("B"&amp;R16&amp;""),3)="奈良屋",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INDIRECT(""&amp;IF(COLUMN(I23)&lt;=26,CHAR(COLUMN(I23)+64),CHAR(INT((COLUMN(I23)-1)/26)+64)&amp;CHAR(MOD(COLUMN(I23)-1,26)+65))&amp;$R16&amp;""),"")</f>
        <v/>
      </c>
      <c r="Y16" s="51" t="str" cm="1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5"/>
        <v/>
      </c>
      <c r="AA16" s="51" t="str">
        <f t="shared" ca="1" si="0"/>
        <v/>
      </c>
      <c r="AB16" s="51" t="str" cm="1">
        <f t="array" aca="1" ref="AB16" ca="1">IF($R16&lt;&gt;"",
IF(COUNTIF(INDIRECT("B"&amp;R16&amp;""),"*雙葉*"),
INDIRECT("M"&amp;R16&amp;"")+INDIRECT("M"&amp;MATCH("雙葉'",INDIRECT("B"&amp;R16+1&amp;":B210"),0)+R16&amp;""),
IF(LEFT(INDIRECT("B"&amp;R16&amp;""),2)="博多",
INDIRECT("M"&amp;R16&amp;"")+INDIRECT("M"&amp;MATCH("*"&amp;INDIRECT("B"&amp;R16&amp;"")&amp;"*",INDIRECT("B"&amp;R16+1&amp;":B210"),0)+R16&amp;""),
IF(LEFT(INDIRECT("B"&amp;R16&amp;""),3)="奈良屋",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 x14ac:dyDescent="0.45">
      <c r="A17" s="196">
        <f t="shared" si="1"/>
        <v>39</v>
      </c>
      <c r="B17" s="52" t="str">
        <f t="shared" ca="1" si="2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>
        <f>IF(C17&lt;&gt;"",
IF(O17=1,0,クライアント抽出!E17),"")</f>
        <v/>
      </c>
      <c r="J17" s="52" t="str">
        <f>IF(C17&lt;&gt;"",
VLOOKUP(
IF(COUNTIF(D17,"*学食*"),"キャラ弁（学食）",
IF(COUNTIF(D17,"*赤*"),"赤",
IF(COUNTIF(D17,"*キャラ弁当*"),"キャラ弁当",D17))),注文弁当の抽出!$E$1:$F$15,2,FALSE),"")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 cm="1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>IF(COUNTIF(Q17,"TRUE"),
IF(OR(COUNTIF(B17,"*'*"),H17=0),0,ROW()),0)</f>
        <v>0</v>
      </c>
      <c r="Q17" s="52" t="b">
        <f t="shared" si="4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>
        <f t="array" aca="1" ref="W17" ca="1">IF($R17&lt;&gt;"",
IF(COUNTIF(INDIRECT("B"&amp;R17&amp;""),"*雙葉*"),
INDIRECT("H"&amp;R17&amp;"")+INDIRECT("H"&amp;MATCH("雙葉'",INDIRECT("B"&amp;R17+1&amp;":B210"),0)+R17&amp;""),
IF(LEFT(INDIRECT("B"&amp;R17&amp;""),2)="博多",
INDIRECT("H"&amp;R17&amp;"")+INDIRECT("H"&amp;MATCH("*"&amp;INDIRECT("B"&amp;R17&amp;"")&amp;"*",INDIRECT("B"&amp;R17+1&amp;":B210"),0)+R17&amp;""),
IF(LEFT(INDIRECT("B"&amp;R17&amp;""),3)="奈良屋",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INDIRECT(""&amp;IF(COLUMN(I25)&lt;=26,CHAR(COLUMN(I25)+64),CHAR(INT((COLUMN(I25)-1)/26)+64)&amp;CHAR(MOD(COLUMN(I25)-1,26)+65))&amp;$R17&amp;""),"")</f>
        <v/>
      </c>
      <c r="Y17" s="51" t="str" cm="1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5"/>
        <v/>
      </c>
      <c r="AA17" s="51" t="str">
        <f t="shared" ca="1" si="0"/>
        <v/>
      </c>
      <c r="AB17" s="51" t="str" cm="1">
        <f t="array" aca="1" ref="AB17" ca="1">IF($R17&lt;&gt;"",
IF(COUNTIF(INDIRECT("B"&amp;R17&amp;""),"*雙葉*"),
INDIRECT("M"&amp;R17&amp;"")+INDIRECT("M"&amp;MATCH("雙葉'",INDIRECT("B"&amp;R17+1&amp;":B210"),0)+R17&amp;""),
IF(LEFT(INDIRECT("B"&amp;R17&amp;""),2)="博多",
INDIRECT("M"&amp;R17&amp;"")+INDIRECT("M"&amp;MATCH("*"&amp;INDIRECT("B"&amp;R17&amp;"")&amp;"*",INDIRECT("B"&amp;R17+1&amp;":B210"),0)+R17&amp;""),
IF(LEFT(INDIRECT("B"&amp;R17&amp;""),3)="奈良屋",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 x14ac:dyDescent="0.45">
      <c r="A18" s="196">
        <f t="shared" si="1"/>
        <v>41</v>
      </c>
      <c r="B18" s="52" t="str">
        <f t="shared" ca="1" si="2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>
        <f>IF(C18&lt;&gt;"",
IF(O18=1,0,クライアント抽出!E18),"")</f>
        <v/>
      </c>
      <c r="J18" s="52" t="str">
        <f>IF(C18&lt;&gt;"",
VLOOKUP(
IF(COUNTIF(D18,"*学食*"),"キャラ弁（学食）",
IF(COUNTIF(D18,"*赤*"),"赤",
IF(COUNTIF(D18,"*キャラ弁当*"),"キャラ弁当",D18))),注文弁当の抽出!$E$1:$F$15,2,FALSE),"")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 cm="1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3"/>
        <v>0</v>
      </c>
      <c r="Q18" s="52" t="b">
        <f>IF(C18&lt;&gt;"",
IF(OR(N18=1,COUNTIF(D18,"*朝食*"),COUNTIF(D18,"*夕食*")),TRUE,FALSE),FALSE)</f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>
        <f t="array" aca="1" ref="W18" ca="1">IF($R18&lt;&gt;"",
IF(COUNTIF(INDIRECT("B"&amp;R18&amp;""),"*雙葉*"),
INDIRECT("H"&amp;R18&amp;"")+INDIRECT("H"&amp;MATCH("雙葉'",INDIRECT("B"&amp;R18+1&amp;":B210"),0)+R18&amp;""),
IF(LEFT(INDIRECT("B"&amp;R18&amp;""),2)="博多",
INDIRECT("H"&amp;R18&amp;"")+INDIRECT("H"&amp;MATCH("*"&amp;INDIRECT("B"&amp;R18&amp;"")&amp;"*",INDIRECT("B"&amp;R18+1&amp;":B210"),0)+R18&amp;""),
IF(LEFT(INDIRECT("B"&amp;R18&amp;""),3)="奈良屋",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INDIRECT(""&amp;IF(COLUMN(I26)&lt;=26,CHAR(COLUMN(I26)+64),CHAR(INT((COLUMN(I26)-1)/26)+64)&amp;CHAR(MOD(COLUMN(I26)-1,26)+65))&amp;$R18&amp;""),"")</f>
        <v/>
      </c>
      <c r="Y18" s="51" t="str" cm="1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5"/>
        <v/>
      </c>
      <c r="AA18" s="51" t="str">
        <f t="shared" ca="1" si="0"/>
        <v/>
      </c>
      <c r="AB18" s="51" t="str" cm="1">
        <f t="array" aca="1" ref="AB18" ca="1">IF($R18&lt;&gt;"",
IF(COUNTIF(INDIRECT("B"&amp;R18&amp;""),"*雙葉*"),
INDIRECT("M"&amp;R18&amp;"")+INDIRECT("M"&amp;MATCH("雙葉'",INDIRECT("B"&amp;R18+1&amp;":B210"),0)+R18&amp;""),
IF(LEFT(INDIRECT("B"&amp;R18&amp;""),2)="博多",
INDIRECT("M"&amp;R18&amp;"")+INDIRECT("M"&amp;MATCH("*"&amp;INDIRECT("B"&amp;R18&amp;"")&amp;"*",INDIRECT("B"&amp;R18+1&amp;":B210"),0)+R18&amp;""),
IF(LEFT(INDIRECT("B"&amp;R18&amp;""),3)="奈良屋",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 x14ac:dyDescent="0.45">
      <c r="A19" s="196">
        <f t="shared" si="1"/>
        <v>43</v>
      </c>
      <c r="B19" s="52" t="str">
        <f t="shared" ca="1" si="2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>
        <f>IF(C19&lt;&gt;"",
IF(O19=1,0,クライアント抽出!E19),"")</f>
        <v/>
      </c>
      <c r="J19" s="52" t="str">
        <f>IF(C19&lt;&gt;"",
VLOOKUP(
IF(COUNTIF(D19,"*学食*"),"キャラ弁（学食）",
IF(COUNTIF(D19,"*赤*"),"赤",
IF(COUNTIF(D19,"*キャラ弁当*"),"キャラ弁当",D19))),注文弁当の抽出!$E$1:$F$15,2,FALSE),"")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 cm="1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3"/>
        <v>0</v>
      </c>
      <c r="Q19" s="52" t="b">
        <f t="shared" si="4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>
        <f t="array" aca="1" ref="W19" ca="1">IF($R19&lt;&gt;"",
IF(COUNTIF(INDIRECT("B"&amp;R19&amp;""),"*雙葉*"),
INDIRECT("H"&amp;R19&amp;"")+INDIRECT("H"&amp;MATCH("雙葉'",INDIRECT("B"&amp;R19+1&amp;":B210"),0)+R19&amp;""),
IF(LEFT(INDIRECT("B"&amp;R19&amp;""),2)="博多",
INDIRECT("H"&amp;R19&amp;"")+INDIRECT("H"&amp;MATCH("*"&amp;INDIRECT("B"&amp;R19&amp;"")&amp;"*",INDIRECT("B"&amp;R19+1&amp;":B210"),0)+R19&amp;""),
IF(LEFT(INDIRECT("B"&amp;R19&amp;""),3)="奈良屋",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INDIRECT(""&amp;IF(COLUMN(I28)&lt;=26,CHAR(COLUMN(I28)+64),CHAR(INT((COLUMN(I28)-1)/26)+64)&amp;CHAR(MOD(COLUMN(I28)-1,26)+65))&amp;$R19&amp;""),"")</f>
        <v/>
      </c>
      <c r="Y19" s="51" t="str" cm="1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5"/>
        <v/>
      </c>
      <c r="AA19" s="51" t="str">
        <f t="shared" ca="1" si="0"/>
        <v/>
      </c>
      <c r="AB19" s="51" t="str" cm="1">
        <f t="array" aca="1" ref="AB19" ca="1">IF($R19&lt;&gt;"",
IF(COUNTIF(INDIRECT("B"&amp;R19&amp;""),"*雙葉*"),
INDIRECT("M"&amp;R19&amp;"")+INDIRECT("M"&amp;MATCH("雙葉'",INDIRECT("B"&amp;R19+1&amp;":B210"),0)+R19&amp;""),
IF(LEFT(INDIRECT("B"&amp;R19&amp;""),2)="博多",
INDIRECT("M"&amp;R19&amp;"")+INDIRECT("M"&amp;MATCH("*"&amp;INDIRECT("B"&amp;R19&amp;"")&amp;"*",INDIRECT("B"&amp;R19+1&amp;":B210"),0)+R19&amp;""),
IF(LEFT(INDIRECT("B"&amp;R19&amp;""),3)="奈良屋",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 x14ac:dyDescent="0.45">
      <c r="A20" s="196">
        <f t="shared" si="1"/>
        <v>45</v>
      </c>
      <c r="B20" s="52" t="str">
        <f t="shared" ca="1" si="2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>
        <f>IF(C20&lt;&gt;"",
IF(O20=1,0,クライアント抽出!E20),"")</f>
        <v/>
      </c>
      <c r="J20" s="52" t="str">
        <f>IF(C20&lt;&gt;"",
VLOOKUP(
IF(COUNTIF(D20,"*学食*"),"キャラ弁（学食）",
IF(COUNTIF(D20,"*赤*"),"赤",
IF(COUNTIF(D20,"*キャラ弁当*"),"キャラ弁当",D20))),注文弁当の抽出!$E$1:$F$15,2,FALSE),"")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 cm="1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3"/>
        <v>0</v>
      </c>
      <c r="Q20" s="52" t="b">
        <f t="shared" si="4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>
        <f t="array" aca="1" ref="W20" ca="1">IF($R20&lt;&gt;"",
IF(COUNTIF(INDIRECT("B"&amp;R20&amp;""),"*雙葉*"),
INDIRECT("H"&amp;R20&amp;"")+INDIRECT("H"&amp;MATCH("雙葉'",INDIRECT("B"&amp;R20+1&amp;":B210"),0)+R20&amp;""),
IF(LEFT(INDIRECT("B"&amp;R20&amp;""),2)="博多",
INDIRECT("H"&amp;R20&amp;"")+INDIRECT("H"&amp;MATCH("*"&amp;INDIRECT("B"&amp;R20&amp;"")&amp;"*",INDIRECT("B"&amp;R20+1&amp;":B210"),0)+R20&amp;""),
IF(LEFT(INDIRECT("B"&amp;R20&amp;""),3)="奈良屋",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INDIRECT(""&amp;IF(COLUMN(I29)&lt;=26,CHAR(COLUMN(I29)+64),CHAR(INT((COLUMN(I29)-1)/26)+64)&amp;CHAR(MOD(COLUMN(I29)-1,26)+65))&amp;$R20&amp;""),"")</f>
        <v/>
      </c>
      <c r="Y20" s="51" t="str" cm="1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5"/>
        <v/>
      </c>
      <c r="AA20" s="51" t="str">
        <f t="shared" ca="1" si="0"/>
        <v/>
      </c>
      <c r="AB20" s="51" t="str" cm="1">
        <f t="array" aca="1" ref="AB20" ca="1">IF($R20&lt;&gt;"",
IF(COUNTIF(INDIRECT("B"&amp;R20&amp;""),"*雙葉*"),
INDIRECT("M"&amp;R20&amp;"")+INDIRECT("M"&amp;MATCH("雙葉'",INDIRECT("B"&amp;R20+1&amp;":B210"),0)+R20&amp;""),
IF(LEFT(INDIRECT("B"&amp;R20&amp;""),2)="博多",
INDIRECT("M"&amp;R20&amp;"")+INDIRECT("M"&amp;MATCH("*"&amp;INDIRECT("B"&amp;R20&amp;"")&amp;"*",INDIRECT("B"&amp;R20+1&amp;":B210"),0)+R20&amp;""),
IF(LEFT(INDIRECT("B"&amp;R20&amp;""),3)="奈良屋",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 x14ac:dyDescent="0.45">
      <c r="A21" s="196">
        <f t="shared" si="1"/>
        <v>47</v>
      </c>
      <c r="B21" s="52" t="str">
        <f t="shared" ca="1" si="2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>
        <f>IF(C21&lt;&gt;"",
IF(O21=1,0,クライアント抽出!E21),"")</f>
        <v/>
      </c>
      <c r="J21" s="52" t="str">
        <f>IF(C21&lt;&gt;"",
VLOOKUP(
IF(COUNTIF(D21,"*学食*"),"キャラ弁（学食）",
IF(COUNTIF(D21,"*赤*"),"赤",
IF(COUNTIF(D21,"*キャラ弁当*"),"キャラ弁当",D21))),注文弁当の抽出!$E$1:$F$15,2,FALSE),"")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 cm="1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3"/>
        <v>0</v>
      </c>
      <c r="Q21" s="52" t="b">
        <f t="shared" si="4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>
        <f t="array" aca="1" ref="W21" ca="1">IF($R21&lt;&gt;"",
IF(COUNTIF(INDIRECT("B"&amp;R21&amp;""),"*雙葉*"),
INDIRECT("H"&amp;R21&amp;"")+INDIRECT("H"&amp;MATCH("雙葉'",INDIRECT("B"&amp;R21+1&amp;":B210"),0)+R21&amp;""),
IF(LEFT(INDIRECT("B"&amp;R21&amp;""),2)="博多",
INDIRECT("H"&amp;R21&amp;"")+INDIRECT("H"&amp;MATCH("*"&amp;INDIRECT("B"&amp;R21&amp;"")&amp;"*",INDIRECT("B"&amp;R21+1&amp;":B210"),0)+R21&amp;""),
IF(LEFT(INDIRECT("B"&amp;R21&amp;""),3)="奈良屋",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INDIRECT(""&amp;IF(COLUMN(I31)&lt;=26,CHAR(COLUMN(I31)+64),CHAR(INT((COLUMN(I31)-1)/26)+64)&amp;CHAR(MOD(COLUMN(I31)-1,26)+65))&amp;$R21&amp;""),"")</f>
        <v/>
      </c>
      <c r="Y21" s="51" t="str" cm="1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5"/>
        <v/>
      </c>
      <c r="AA21" s="51" t="str">
        <f t="shared" ca="1" si="0"/>
        <v/>
      </c>
      <c r="AB21" s="51" t="str" cm="1">
        <f t="array" aca="1" ref="AB21" ca="1">IF($R21&lt;&gt;"",
IF(COUNTIF(INDIRECT("B"&amp;R21&amp;""),"*雙葉*"),
INDIRECT("M"&amp;R21&amp;"")+INDIRECT("M"&amp;MATCH("雙葉'",INDIRECT("B"&amp;R21+1&amp;":B210"),0)+R21&amp;""),
IF(LEFT(INDIRECT("B"&amp;R21&amp;""),2)="博多",
INDIRECT("M"&amp;R21&amp;"")+INDIRECT("M"&amp;MATCH("*"&amp;INDIRECT("B"&amp;R21&amp;"")&amp;"*",INDIRECT("B"&amp;R21+1&amp;":B210"),0)+R21&amp;""),
IF(LEFT(INDIRECT("B"&amp;R21&amp;""),3)="奈良屋",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 x14ac:dyDescent="0.45">
      <c r="A22" s="196">
        <f t="shared" si="1"/>
        <v>49</v>
      </c>
      <c r="B22" s="52" t="str">
        <f t="shared" ca="1" si="2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>
        <f>IF(C22&lt;&gt;"",
IF(O22=1,0,クライアント抽出!E22),"")</f>
        <v/>
      </c>
      <c r="J22" s="52" t="str">
        <f>IF(C22&lt;&gt;"",
VLOOKUP(
IF(COUNTIF(D22,"*学食*"),"キャラ弁（学食）",
IF(COUNTIF(D22,"*赤*"),"赤",
IF(COUNTIF(D22,"*キャラ弁当*"),"キャラ弁当",D22))),注文弁当の抽出!$E$1:$F$15,2,FALSE),"")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 cm="1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3"/>
        <v>0</v>
      </c>
      <c r="Q22" s="52" t="b">
        <f t="shared" si="4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>
        <f t="array" aca="1" ref="W22" ca="1">IF($R22&lt;&gt;"",
IF(COUNTIF(INDIRECT("B"&amp;R22&amp;""),"*雙葉*"),
INDIRECT("H"&amp;R22&amp;"")+INDIRECT("H"&amp;MATCH("雙葉'",INDIRECT("B"&amp;R22+1&amp;":B210"),0)+R22&amp;""),
IF(LEFT(INDIRECT("B"&amp;R22&amp;""),2)="博多",
INDIRECT("H"&amp;R22&amp;"")+INDIRECT("H"&amp;MATCH("*"&amp;INDIRECT("B"&amp;R22&amp;"")&amp;"*",INDIRECT("B"&amp;R22+1&amp;":B210"),0)+R22&amp;""),
IF(LEFT(INDIRECT("B"&amp;R22&amp;""),3)="奈良屋",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INDIRECT(""&amp;IF(COLUMN(I32)&lt;=26,CHAR(COLUMN(I32)+64),CHAR(INT((COLUMN(I32)-1)/26)+64)&amp;CHAR(MOD(COLUMN(I32)-1,26)+65))&amp;$R22&amp;""),"")</f>
        <v/>
      </c>
      <c r="Y22" s="51" t="str" cm="1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5"/>
        <v/>
      </c>
      <c r="AA22" s="51" t="str">
        <f t="shared" ca="1" si="0"/>
        <v/>
      </c>
      <c r="AB22" s="51" t="str" cm="1">
        <f t="array" aca="1" ref="AB22" ca="1">IF($R22&lt;&gt;"",
IF(COUNTIF(INDIRECT("B"&amp;R22&amp;""),"*雙葉*"),
INDIRECT("M"&amp;R22&amp;"")+INDIRECT("M"&amp;MATCH("雙葉'",INDIRECT("B"&amp;R22+1&amp;":B210"),0)+R22&amp;""),
IF(LEFT(INDIRECT("B"&amp;R22&amp;""),2)="博多",
INDIRECT("M"&amp;R22&amp;"")+INDIRECT("M"&amp;MATCH("*"&amp;INDIRECT("B"&amp;R22&amp;"")&amp;"*",INDIRECT("B"&amp;R22+1&amp;":B210"),0)+R22&amp;""),
IF(LEFT(INDIRECT("B"&amp;R22&amp;""),3)="奈良屋",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 x14ac:dyDescent="0.45">
      <c r="A23" s="196">
        <f t="shared" si="1"/>
        <v>51</v>
      </c>
      <c r="B23" s="52" t="str">
        <f t="shared" ca="1" si="2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>
        <f>IF(C23&lt;&gt;"",
IF(O23=1,0,クライアント抽出!E23),"")</f>
        <v/>
      </c>
      <c r="J23" s="52" t="str">
        <f>IF(C23&lt;&gt;"",
VLOOKUP(
IF(COUNTIF(D23,"*学食*"),"キャラ弁（学食）",
IF(COUNTIF(D23,"*赤*"),"赤",
IF(COUNTIF(D23,"*キャラ弁当*"),"キャラ弁当",D23))),注文弁当の抽出!$E$1:$F$15,2,FALSE),"")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 cm="1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3"/>
        <v>0</v>
      </c>
      <c r="Q23" s="52" t="b">
        <f t="shared" si="4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>
        <f t="array" aca="1" ref="W23" ca="1">IF($R23&lt;&gt;"",
IF(COUNTIF(INDIRECT("B"&amp;R23&amp;""),"*雙葉*"),
INDIRECT("H"&amp;R23&amp;"")+INDIRECT("H"&amp;MATCH("雙葉'",INDIRECT("B"&amp;R23+1&amp;":B210"),0)+R23&amp;""),
IF(LEFT(INDIRECT("B"&amp;R23&amp;""),2)="博多",
INDIRECT("H"&amp;R23&amp;"")+INDIRECT("H"&amp;MATCH("*"&amp;INDIRECT("B"&amp;R23&amp;"")&amp;"*",INDIRECT("B"&amp;R23+1&amp;":B210"),0)+R23&amp;""),
IF(LEFT(INDIRECT("B"&amp;R23&amp;""),3)="奈良屋",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INDIRECT(""&amp;IF(COLUMN(I34)&lt;=26,CHAR(COLUMN(I34)+64),CHAR(INT((COLUMN(I34)-1)/26)+64)&amp;CHAR(MOD(COLUMN(I34)-1,26)+65))&amp;$R23&amp;""),"")</f>
        <v/>
      </c>
      <c r="Y23" s="51" t="str" cm="1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5"/>
        <v/>
      </c>
      <c r="AA23" s="51" t="str">
        <f t="shared" ca="1" si="0"/>
        <v/>
      </c>
      <c r="AB23" s="51" t="str" cm="1">
        <f t="array" aca="1" ref="AB23" ca="1">IF($R23&lt;&gt;"",
IF(COUNTIF(INDIRECT("B"&amp;R23&amp;""),"*雙葉*"),
INDIRECT("M"&amp;R23&amp;"")+INDIRECT("M"&amp;MATCH("雙葉'",INDIRECT("B"&amp;R23+1&amp;":B210"),0)+R23&amp;""),
IF(LEFT(INDIRECT("B"&amp;R23&amp;""),2)="博多",
INDIRECT("M"&amp;R23&amp;"")+INDIRECT("M"&amp;MATCH("*"&amp;INDIRECT("B"&amp;R23&amp;"")&amp;"*",INDIRECT("B"&amp;R23+1&amp;":B210"),0)+R23&amp;""),
IF(LEFT(INDIRECT("B"&amp;R23&amp;""),3)="奈良屋",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 x14ac:dyDescent="0.45">
      <c r="A24" s="196">
        <f t="shared" si="1"/>
        <v>53</v>
      </c>
      <c r="B24" s="52" t="str">
        <f t="shared" ca="1" si="2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>
        <f>IF(C24&lt;&gt;"",
IF(O24=1,0,クライアント抽出!E24),"")</f>
        <v/>
      </c>
      <c r="J24" s="52" t="str">
        <f>IF(C24&lt;&gt;"",
VLOOKUP(
IF(COUNTIF(D24,"*学食*"),"キャラ弁（学食）",
IF(COUNTIF(D24,"*赤*"),"赤",
IF(COUNTIF(D24,"*キャラ弁当*"),"キャラ弁当",D24))),注文弁当の抽出!$E$1:$F$15,2,FALSE),"")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 cm="1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3"/>
        <v>0</v>
      </c>
      <c r="Q24" s="52" t="b">
        <f t="shared" si="4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>
        <f t="array" aca="1" ref="W24" ca="1">IF($R24&lt;&gt;"",
IF(COUNTIF(INDIRECT("B"&amp;R24&amp;""),"*雙葉*"),
INDIRECT("H"&amp;R24&amp;"")+INDIRECT("H"&amp;MATCH("雙葉'",INDIRECT("B"&amp;R24+1&amp;":B210"),0)+R24&amp;""),
IF(LEFT(INDIRECT("B"&amp;R24&amp;""),2)="博多",
INDIRECT("H"&amp;R24&amp;"")+INDIRECT("H"&amp;MATCH("*"&amp;INDIRECT("B"&amp;R24&amp;"")&amp;"*",INDIRECT("B"&amp;R24+1&amp;":B210"),0)+R24&amp;""),
IF(LEFT(INDIRECT("B"&amp;R24&amp;""),3)="奈良屋",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INDIRECT(""&amp;IF(COLUMN(I35)&lt;=26,CHAR(COLUMN(I35)+64),CHAR(INT((COLUMN(I35)-1)/26)+64)&amp;CHAR(MOD(COLUMN(I35)-1,26)+65))&amp;$R24&amp;""),"")</f>
        <v/>
      </c>
      <c r="Y24" s="51" t="str" cm="1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5"/>
        <v/>
      </c>
      <c r="AA24" s="51" t="str">
        <f t="shared" ca="1" si="0"/>
        <v/>
      </c>
      <c r="AB24" s="51" t="str" cm="1">
        <f t="array" aca="1" ref="AB24" ca="1">IF($R24&lt;&gt;"",
IF(COUNTIF(INDIRECT("B"&amp;R24&amp;""),"*雙葉*"),
INDIRECT("M"&amp;R24&amp;"")+INDIRECT("M"&amp;MATCH("雙葉'",INDIRECT("B"&amp;R24+1&amp;":B210"),0)+R24&amp;""),
IF(LEFT(INDIRECT("B"&amp;R24&amp;""),2)="博多",
INDIRECT("M"&amp;R24&amp;"")+INDIRECT("M"&amp;MATCH("*"&amp;INDIRECT("B"&amp;R24&amp;"")&amp;"*",INDIRECT("B"&amp;R24+1&amp;":B210"),0)+R24&amp;""),
IF(LEFT(INDIRECT("B"&amp;R24&amp;""),3)="奈良屋",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 x14ac:dyDescent="0.45">
      <c r="A25" s="196">
        <f t="shared" si="1"/>
        <v>55</v>
      </c>
      <c r="B25" s="52" t="str">
        <f t="shared" ca="1" si="2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>
        <f>IF(C25&lt;&gt;"",
IF(O25=1,0,クライアント抽出!E25),"")</f>
        <v/>
      </c>
      <c r="J25" s="52" t="str">
        <f>IF(C25&lt;&gt;"",
VLOOKUP(
IF(COUNTIF(D25,"*学食*"),"キャラ弁（学食）",
IF(COUNTIF(D25,"*赤*"),"赤",
IF(COUNTIF(D25,"*キャラ弁当*"),"キャラ弁当",D25))),注文弁当の抽出!$E$1:$F$15,2,FALSE),"")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 cm="1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3"/>
        <v>0</v>
      </c>
      <c r="Q25" s="52" t="b">
        <f>IF(C25&lt;&gt;"",
IF(OR(N25=1,COUNTIF(D25,"*朝食*"),COUNTIF(D25,"*夕食*")),TRUE,FALSE),FALSE)</f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>
        <f t="array" aca="1" ref="W25" ca="1">IF($R25&lt;&gt;"",
IF(COUNTIF(INDIRECT("B"&amp;R25&amp;""),"*雙葉*"),
INDIRECT("H"&amp;R25&amp;"")+INDIRECT("H"&amp;MATCH("雙葉'",INDIRECT("B"&amp;R25+1&amp;":B210"),0)+R25&amp;""),
IF(LEFT(INDIRECT("B"&amp;R25&amp;""),2)="博多",
INDIRECT("H"&amp;R25&amp;"")+INDIRECT("H"&amp;MATCH("*"&amp;INDIRECT("B"&amp;R25&amp;"")&amp;"*",INDIRECT("B"&amp;R25+1&amp;":B210"),0)+R25&amp;""),
IF(LEFT(INDIRECT("B"&amp;R25&amp;""),3)="奈良屋",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INDIRECT(""&amp;IF(COLUMN(I37)&lt;=26,CHAR(COLUMN(I37)+64),CHAR(INT((COLUMN(I37)-1)/26)+64)&amp;CHAR(MOD(COLUMN(I37)-1,26)+65))&amp;$R25&amp;""),"")</f>
        <v/>
      </c>
      <c r="Y25" s="51" t="str" cm="1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5"/>
        <v/>
      </c>
      <c r="AA25" s="51" t="str">
        <f t="shared" ca="1" si="0"/>
        <v/>
      </c>
      <c r="AB25" s="51" t="str" cm="1">
        <f t="array" aca="1" ref="AB25" ca="1">IF($R25&lt;&gt;"",
IF(COUNTIF(INDIRECT("B"&amp;R25&amp;""),"*雙葉*"),
INDIRECT("M"&amp;R25&amp;"")+INDIRECT("M"&amp;MATCH("雙葉'",INDIRECT("B"&amp;R25+1&amp;":B210"),0)+R25&amp;""),
IF(LEFT(INDIRECT("B"&amp;R25&amp;""),2)="博多",
INDIRECT("M"&amp;R25&amp;"")+INDIRECT("M"&amp;MATCH("*"&amp;INDIRECT("B"&amp;R25&amp;"")&amp;"*",INDIRECT("B"&amp;R25+1&amp;":B210"),0)+R25&amp;""),
IF(LEFT(INDIRECT("B"&amp;R25&amp;""),3)="奈良屋",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 x14ac:dyDescent="0.45">
      <c r="A26" s="196">
        <f t="shared" si="1"/>
        <v>57</v>
      </c>
      <c r="B26" s="52" t="str">
        <f t="shared" ca="1" si="2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>
        <f>IF(C26&lt;&gt;"",
IF(O26=1,0,クライアント抽出!E26),"")</f>
        <v/>
      </c>
      <c r="J26" s="52" t="str">
        <f>IF(C26&lt;&gt;"",
VLOOKUP(
IF(COUNTIF(D26,"*学食*"),"キャラ弁（学食）",
IF(COUNTIF(D26,"*赤*"),"赤",
IF(COUNTIF(D26,"*キャラ弁当*"),"キャラ弁当",D26))),注文弁当の抽出!$E$1:$F$15,2,FALSE),"")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 cm="1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3"/>
        <v>0</v>
      </c>
      <c r="Q26" s="52" t="b">
        <f t="shared" si="4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>
        <f t="array" aca="1" ref="W26" ca="1">IF($R26&lt;&gt;"",
IF(COUNTIF(INDIRECT("B"&amp;R26&amp;""),"*雙葉*"),
INDIRECT("H"&amp;R26&amp;"")+INDIRECT("H"&amp;MATCH("雙葉'",INDIRECT("B"&amp;R26+1&amp;":B210"),0)+R26&amp;""),
IF(LEFT(INDIRECT("B"&amp;R26&amp;""),2)="博多",
INDIRECT("H"&amp;R26&amp;"")+INDIRECT("H"&amp;MATCH("*"&amp;INDIRECT("B"&amp;R26&amp;"")&amp;"*",INDIRECT("B"&amp;R26+1&amp;":B210"),0)+R26&amp;""),
IF(LEFT(INDIRECT("B"&amp;R26&amp;""),3)="奈良屋",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INDIRECT(""&amp;IF(COLUMN(I38)&lt;=26,CHAR(COLUMN(I38)+64),CHAR(INT((COLUMN(I38)-1)/26)+64)&amp;CHAR(MOD(COLUMN(I38)-1,26)+65))&amp;$R26&amp;""),"")</f>
        <v/>
      </c>
      <c r="Y26" s="51" t="str" cm="1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5"/>
        <v/>
      </c>
      <c r="AA26" s="51" t="str">
        <f t="shared" ca="1" si="0"/>
        <v/>
      </c>
      <c r="AB26" s="51" t="str" cm="1">
        <f t="array" aca="1" ref="AB26" ca="1">IF($R26&lt;&gt;"",
IF(COUNTIF(INDIRECT("B"&amp;R26&amp;""),"*雙葉*"),
INDIRECT("M"&amp;R26&amp;"")+INDIRECT("M"&amp;MATCH("雙葉'",INDIRECT("B"&amp;R26+1&amp;":B210"),0)+R26&amp;""),
IF(LEFT(INDIRECT("B"&amp;R26&amp;""),2)="博多",
INDIRECT("M"&amp;R26&amp;"")+INDIRECT("M"&amp;MATCH("*"&amp;INDIRECT("B"&amp;R26&amp;"")&amp;"*",INDIRECT("B"&amp;R26+1&amp;":B210"),0)+R26&amp;""),
IF(LEFT(INDIRECT("B"&amp;R26&amp;""),3)="奈良屋",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 x14ac:dyDescent="0.45">
      <c r="A27" s="196">
        <f t="shared" si="1"/>
        <v>59</v>
      </c>
      <c r="B27" s="52" t="str">
        <f t="shared" ca="1" si="2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>
        <f>IF(C27&lt;&gt;"",
IF(O27=1,0,クライアント抽出!E27),"")</f>
        <v/>
      </c>
      <c r="J27" s="52" t="str">
        <f>IF(C27&lt;&gt;"",
VLOOKUP(
IF(COUNTIF(D27,"*学食*"),"キャラ弁（学食）",
IF(COUNTIF(D27,"*赤*"),"赤",
IF(COUNTIF(D27,"*キャラ弁当*"),"キャラ弁当",D27))),注文弁当の抽出!$E$1:$F$15,2,FALSE),"")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 cm="1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3"/>
        <v>0</v>
      </c>
      <c r="Q27" s="52" t="b">
        <f t="shared" si="4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>
        <f t="array" aca="1" ref="W27" ca="1">IF($R27&lt;&gt;"",
IF(COUNTIF(INDIRECT("B"&amp;R27&amp;""),"*雙葉*"),
INDIRECT("H"&amp;R27&amp;"")+INDIRECT("H"&amp;MATCH("雙葉'",INDIRECT("B"&amp;R27+1&amp;":B210"),0)+R27&amp;""),
IF(LEFT(INDIRECT("B"&amp;R27&amp;""),2)="博多",
INDIRECT("H"&amp;R27&amp;"")+INDIRECT("H"&amp;MATCH("*"&amp;INDIRECT("B"&amp;R27&amp;"")&amp;"*",INDIRECT("B"&amp;R27+1&amp;":B210"),0)+R27&amp;""),
IF(LEFT(INDIRECT("B"&amp;R27&amp;""),3)="奈良屋",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INDIRECT(""&amp;IF(COLUMN(I40)&lt;=26,CHAR(COLUMN(I40)+64),CHAR(INT((COLUMN(I40)-1)/26)+64)&amp;CHAR(MOD(COLUMN(I40)-1,26)+65))&amp;$R27&amp;""),"")</f>
        <v/>
      </c>
      <c r="Y27" s="51" t="str" cm="1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5"/>
        <v/>
      </c>
      <c r="AA27" s="51" t="str">
        <f t="shared" ca="1" si="0"/>
        <v/>
      </c>
      <c r="AB27" s="51" t="str" cm="1">
        <f t="array" aca="1" ref="AB27" ca="1">IF($R27&lt;&gt;"",
IF(COUNTIF(INDIRECT("B"&amp;R27&amp;""),"*雙葉*"),
INDIRECT("M"&amp;R27&amp;"")+INDIRECT("M"&amp;MATCH("雙葉'",INDIRECT("B"&amp;R27+1&amp;":B210"),0)+R27&amp;""),
IF(LEFT(INDIRECT("B"&amp;R27&amp;""),2)="博多",
INDIRECT("M"&amp;R27&amp;"")+INDIRECT("M"&amp;MATCH("*"&amp;INDIRECT("B"&amp;R27&amp;"")&amp;"*",INDIRECT("B"&amp;R27+1&amp;":B210"),0)+R27&amp;""),
IF(LEFT(INDIRECT("B"&amp;R27&amp;""),3)="奈良屋",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 x14ac:dyDescent="0.45">
      <c r="A28" s="196">
        <f t="shared" si="1"/>
        <v>61</v>
      </c>
      <c r="B28" s="52" t="str">
        <f t="shared" ca="1" si="2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>
        <f>IF(C28&lt;&gt;"",
IF(O28=1,0,クライアント抽出!E28),"")</f>
        <v/>
      </c>
      <c r="J28" s="52" t="str">
        <f>IF(C28&lt;&gt;"",
VLOOKUP(
IF(COUNTIF(D28,"*学食*"),"キャラ弁（学食）",
IF(COUNTIF(D28,"*赤*"),"赤",
IF(COUNTIF(D28,"*キャラ弁当*"),"キャラ弁当",D28))),注文弁当の抽出!$E$1:$F$15,2,FALSE),"")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 cm="1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3"/>
        <v>0</v>
      </c>
      <c r="Q28" s="52" t="b">
        <f t="shared" si="4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>
        <f t="array" aca="1" ref="W28" ca="1">IF($R28&lt;&gt;"",
IF(COUNTIF(INDIRECT("B"&amp;R28&amp;""),"*雙葉*"),
INDIRECT("H"&amp;R28&amp;"")+INDIRECT("H"&amp;MATCH("雙葉'",INDIRECT("B"&amp;R28+1&amp;":B210"),0)+R28&amp;""),
IF(LEFT(INDIRECT("B"&amp;R28&amp;""),2)="博多",
INDIRECT("H"&amp;R28&amp;"")+INDIRECT("H"&amp;MATCH("*"&amp;INDIRECT("B"&amp;R28&amp;"")&amp;"*",INDIRECT("B"&amp;R28+1&amp;":B210"),0)+R28&amp;""),
IF(LEFT(INDIRECT("B"&amp;R28&amp;""),3)="奈良屋",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INDIRECT(""&amp;IF(COLUMN(I41)&lt;=26,CHAR(COLUMN(I41)+64),CHAR(INT((COLUMN(I41)-1)/26)+64)&amp;CHAR(MOD(COLUMN(I41)-1,26)+65))&amp;$R28&amp;""),"")</f>
        <v/>
      </c>
      <c r="Y28" s="51" t="str" cm="1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5"/>
        <v/>
      </c>
      <c r="AA28" s="51" t="str">
        <f t="shared" ca="1" si="0"/>
        <v/>
      </c>
      <c r="AB28" s="51" t="str" cm="1">
        <f t="array" aca="1" ref="AB28" ca="1">IF($R28&lt;&gt;"",
IF(COUNTIF(INDIRECT("B"&amp;R28&amp;""),"*雙葉*"),
INDIRECT("M"&amp;R28&amp;"")+INDIRECT("M"&amp;MATCH("雙葉'",INDIRECT("B"&amp;R28+1&amp;":B210"),0)+R28&amp;""),
IF(LEFT(INDIRECT("B"&amp;R28&amp;""),2)="博多",
INDIRECT("M"&amp;R28&amp;"")+INDIRECT("M"&amp;MATCH("*"&amp;INDIRECT("B"&amp;R28&amp;"")&amp;"*",INDIRECT("B"&amp;R28+1&amp;":B210"),0)+R28&amp;""),
IF(LEFT(INDIRECT("B"&amp;R28&amp;""),3)="奈良屋",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 x14ac:dyDescent="0.45">
      <c r="A29" s="196">
        <f t="shared" si="1"/>
        <v>63</v>
      </c>
      <c r="B29" s="52" t="str">
        <f t="shared" ca="1" si="2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>
        <f>IF(C29&lt;&gt;"",
IF(O29=1,0,クライアント抽出!E29),"")</f>
        <v/>
      </c>
      <c r="J29" s="52" t="str">
        <f>IF(C29&lt;&gt;"",
VLOOKUP(
IF(COUNTIF(D29,"*学食*"),"キャラ弁（学食）",
IF(COUNTIF(D29,"*赤*"),"赤",
IF(COUNTIF(D29,"*キャラ弁当*"),"キャラ弁当",D29))),注文弁当の抽出!$E$1:$F$15,2,FALSE),"")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 cm="1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3"/>
        <v>0</v>
      </c>
      <c r="Q29" s="52" t="b">
        <f t="shared" si="4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>
        <f t="array" aca="1" ref="W29" ca="1">IF($R29&lt;&gt;"",
IF(COUNTIF(INDIRECT("B"&amp;R29&amp;""),"*雙葉*"),
INDIRECT("H"&amp;R29&amp;"")+INDIRECT("H"&amp;MATCH("雙葉'",INDIRECT("B"&amp;R29+1&amp;":B210"),0)+R29&amp;""),
IF(LEFT(INDIRECT("B"&amp;R29&amp;""),2)="博多",
INDIRECT("H"&amp;R29&amp;"")+INDIRECT("H"&amp;MATCH("*"&amp;INDIRECT("B"&amp;R29&amp;"")&amp;"*",INDIRECT("B"&amp;R29+1&amp;":B210"),0)+R29&amp;""),
IF(LEFT(INDIRECT("B"&amp;R29&amp;""),3)="奈良屋",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INDIRECT(""&amp;IF(COLUMN(I43)&lt;=26,CHAR(COLUMN(I43)+64),CHAR(INT((COLUMN(I43)-1)/26)+64)&amp;CHAR(MOD(COLUMN(I43)-1,26)+65))&amp;$R29&amp;""),"")</f>
        <v/>
      </c>
      <c r="Y29" s="51" t="str" cm="1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5"/>
        <v/>
      </c>
      <c r="AA29" s="51" t="str">
        <f t="shared" ca="1" si="0"/>
        <v/>
      </c>
      <c r="AB29" s="51" t="str" cm="1">
        <f t="array" aca="1" ref="AB29" ca="1">IF($R29&lt;&gt;"",
IF(COUNTIF(INDIRECT("B"&amp;R29&amp;""),"*雙葉*"),
INDIRECT("M"&amp;R29&amp;"")+INDIRECT("M"&amp;MATCH("雙葉'",INDIRECT("B"&amp;R29+1&amp;":B210"),0)+R29&amp;""),
IF(LEFT(INDIRECT("B"&amp;R29&amp;""),2)="博多",
INDIRECT("M"&amp;R29&amp;"")+INDIRECT("M"&amp;MATCH("*"&amp;INDIRECT("B"&amp;R29&amp;"")&amp;"*",INDIRECT("B"&amp;R29+1&amp;":B210"),0)+R29&amp;""),
IF(LEFT(INDIRECT("B"&amp;R29&amp;""),3)="奈良屋",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 x14ac:dyDescent="0.45">
      <c r="A30" s="196">
        <f t="shared" si="1"/>
        <v>65</v>
      </c>
      <c r="B30" s="52" t="str">
        <f t="shared" ca="1" si="2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>
        <f>IF(C30&lt;&gt;"",
IF(O30=1,0,クライアント抽出!E30),"")</f>
        <v/>
      </c>
      <c r="J30" s="52" t="str">
        <f>IF(C30&lt;&gt;"",
VLOOKUP(
IF(COUNTIF(D30,"*学食*"),"キャラ弁（学食）",
IF(COUNTIF(D30,"*赤*"),"赤",
IF(COUNTIF(D30,"*キャラ弁当*"),"キャラ弁当",D30))),注文弁当の抽出!$E$1:$F$15,2,FALSE),"")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 cm="1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3"/>
        <v>0</v>
      </c>
      <c r="Q30" s="52" t="b">
        <f t="shared" si="4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>
        <f t="array" aca="1" ref="W30" ca="1">IF($R30&lt;&gt;"",
IF(COUNTIF(INDIRECT("B"&amp;R30&amp;""),"*雙葉*"),
INDIRECT("H"&amp;R30&amp;"")+INDIRECT("H"&amp;MATCH("雙葉'",INDIRECT("B"&amp;R30+1&amp;":B210"),0)+R30&amp;""),
IF(LEFT(INDIRECT("B"&amp;R30&amp;""),2)="博多",
INDIRECT("H"&amp;R30&amp;"")+INDIRECT("H"&amp;MATCH("*"&amp;INDIRECT("B"&amp;R30&amp;"")&amp;"*",INDIRECT("B"&amp;R30+1&amp;":B210"),0)+R30&amp;""),
IF(LEFT(INDIRECT("B"&amp;R30&amp;""),3)="奈良屋",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INDIRECT(""&amp;IF(COLUMN(I44)&lt;=26,CHAR(COLUMN(I44)+64),CHAR(INT((COLUMN(I44)-1)/26)+64)&amp;CHAR(MOD(COLUMN(I44)-1,26)+65))&amp;$R30&amp;""),"")</f>
        <v/>
      </c>
      <c r="Y30" s="51" t="str" cm="1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5"/>
        <v/>
      </c>
      <c r="AA30" s="51" t="str">
        <f t="shared" ca="1" si="0"/>
        <v/>
      </c>
      <c r="AB30" s="51" t="str" cm="1">
        <f t="array" aca="1" ref="AB30" ca="1">IF($R30&lt;&gt;"",
IF(COUNTIF(INDIRECT("B"&amp;R30&amp;""),"*雙葉*"),
INDIRECT("M"&amp;R30&amp;"")+INDIRECT("M"&amp;MATCH("雙葉'",INDIRECT("B"&amp;R30+1&amp;":B210"),0)+R30&amp;""),
IF(LEFT(INDIRECT("B"&amp;R30&amp;""),2)="博多",
INDIRECT("M"&amp;R30&amp;"")+INDIRECT("M"&amp;MATCH("*"&amp;INDIRECT("B"&amp;R30&amp;"")&amp;"*",INDIRECT("B"&amp;R30+1&amp;":B210"),0)+R30&amp;""),
IF(LEFT(INDIRECT("B"&amp;R30&amp;""),3)="奈良屋",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 x14ac:dyDescent="0.45">
      <c r="A31" s="196">
        <f t="shared" si="1"/>
        <v>67</v>
      </c>
      <c r="B31" s="52" t="str">
        <f t="shared" ca="1" si="2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>
        <f>IF(C31&lt;&gt;"",
IF(O31=1,0,クライアント抽出!E31),"")</f>
        <v/>
      </c>
      <c r="J31" s="52" t="str">
        <f>IF(C31&lt;&gt;"",
VLOOKUP(
IF(COUNTIF(D31,"*学食*"),"キャラ弁（学食）",
IF(COUNTIF(D31,"*赤*"),"赤",
IF(COUNTIF(D31,"*キャラ弁当*"),"キャラ弁当",D31))),注文弁当の抽出!$E$1:$F$15,2,FALSE),"")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 cm="1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3"/>
        <v>0</v>
      </c>
      <c r="Q31" s="52" t="b">
        <f t="shared" si="4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>
        <f t="array" aca="1" ref="W31" ca="1">IF($R31&lt;&gt;"",
IF(COUNTIF(INDIRECT("B"&amp;R31&amp;""),"*雙葉*"),
INDIRECT("H"&amp;R31&amp;"")+INDIRECT("H"&amp;MATCH("雙葉'",INDIRECT("B"&amp;R31+1&amp;":B210"),0)+R31&amp;""),
IF(LEFT(INDIRECT("B"&amp;R31&amp;""),2)="博多",
INDIRECT("H"&amp;R31&amp;"")+INDIRECT("H"&amp;MATCH("*"&amp;INDIRECT("B"&amp;R31&amp;"")&amp;"*",INDIRECT("B"&amp;R31+1&amp;":B210"),0)+R31&amp;""),
IF(LEFT(INDIRECT("B"&amp;R31&amp;""),3)="奈良屋",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INDIRECT(""&amp;IF(COLUMN(I46)&lt;=26,CHAR(COLUMN(I46)+64),CHAR(INT((COLUMN(I46)-1)/26)+64)&amp;CHAR(MOD(COLUMN(I46)-1,26)+65))&amp;$R31&amp;""),"")</f>
        <v/>
      </c>
      <c r="Y31" s="51" t="str" cm="1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5"/>
        <v/>
      </c>
      <c r="AA31" s="51" t="str">
        <f t="shared" ca="1" si="0"/>
        <v/>
      </c>
      <c r="AB31" s="51" t="str" cm="1">
        <f t="array" aca="1" ref="AB31" ca="1">IF($R31&lt;&gt;"",
IF(COUNTIF(INDIRECT("B"&amp;R31&amp;""),"*雙葉*"),
INDIRECT("M"&amp;R31&amp;"")+INDIRECT("M"&amp;MATCH("雙葉'",INDIRECT("B"&amp;R31+1&amp;":B210"),0)+R31&amp;""),
IF(LEFT(INDIRECT("B"&amp;R31&amp;""),2)="博多",
INDIRECT("M"&amp;R31&amp;"")+INDIRECT("M"&amp;MATCH("*"&amp;INDIRECT("B"&amp;R31&amp;"")&amp;"*",INDIRECT("B"&amp;R31+1&amp;":B210"),0)+R31&amp;""),
IF(LEFT(INDIRECT("B"&amp;R31&amp;""),3)="奈良屋",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 x14ac:dyDescent="0.45">
      <c r="A32" s="196">
        <f t="shared" si="1"/>
        <v>69</v>
      </c>
      <c r="B32" s="52" t="str">
        <f t="shared" ca="1" si="2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>
        <f>IF(C32&lt;&gt;"",
IF(O32=1,0,クライアント抽出!E32),"")</f>
        <v/>
      </c>
      <c r="J32" s="52" t="str">
        <f>IF(C32&lt;&gt;"",
VLOOKUP(
IF(COUNTIF(D32,"*学食*"),"キャラ弁（学食）",
IF(COUNTIF(D32,"*赤*"),"赤",
IF(COUNTIF(D32,"*キャラ弁当*"),"キャラ弁当",D32))),注文弁当の抽出!$E$1:$F$15,2,FALSE),"")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 cm="1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3"/>
        <v>0</v>
      </c>
      <c r="Q32" s="52" t="b">
        <f t="shared" si="4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>
        <f t="array" aca="1" ref="W32" ca="1">IF($R32&lt;&gt;"",
IF(COUNTIF(INDIRECT("B"&amp;R32&amp;""),"*雙葉*"),
INDIRECT("H"&amp;R32&amp;"")+INDIRECT("H"&amp;MATCH("雙葉'",INDIRECT("B"&amp;R32+1&amp;":B210"),0)+R32&amp;""),
IF(LEFT(INDIRECT("B"&amp;R32&amp;""),2)="博多",
INDIRECT("H"&amp;R32&amp;"")+INDIRECT("H"&amp;MATCH("*"&amp;INDIRECT("B"&amp;R32&amp;"")&amp;"*",INDIRECT("B"&amp;R32+1&amp;":B210"),0)+R32&amp;""),
IF(LEFT(INDIRECT("B"&amp;R32&amp;""),3)="奈良屋",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INDIRECT(""&amp;IF(COLUMN(I47)&lt;=26,CHAR(COLUMN(I47)+64),CHAR(INT((COLUMN(I47)-1)/26)+64)&amp;CHAR(MOD(COLUMN(I47)-1,26)+65))&amp;$R32&amp;""),"")</f>
        <v/>
      </c>
      <c r="Y32" s="51" t="str" cm="1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5"/>
        <v/>
      </c>
      <c r="AA32" s="51" t="str">
        <f t="shared" ca="1" si="0"/>
        <v/>
      </c>
      <c r="AB32" s="51" t="str" cm="1">
        <f t="array" aca="1" ref="AB32" ca="1">IF($R32&lt;&gt;"",
IF(COUNTIF(INDIRECT("B"&amp;R32&amp;""),"*雙葉*"),
INDIRECT("M"&amp;R32&amp;"")+INDIRECT("M"&amp;MATCH("雙葉'",INDIRECT("B"&amp;R32+1&amp;":B210"),0)+R32&amp;""),
IF(LEFT(INDIRECT("B"&amp;R32&amp;""),2)="博多",
INDIRECT("M"&amp;R32&amp;"")+INDIRECT("M"&amp;MATCH("*"&amp;INDIRECT("B"&amp;R32&amp;"")&amp;"*",INDIRECT("B"&amp;R32+1&amp;":B210"),0)+R32&amp;""),
IF(LEFT(INDIRECT("B"&amp;R32&amp;""),3)="奈良屋",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 x14ac:dyDescent="0.45">
      <c r="A33" s="196">
        <f t="shared" si="1"/>
        <v>71</v>
      </c>
      <c r="B33" s="52" t="str">
        <f t="shared" ca="1" si="2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>
        <f>IF(C33&lt;&gt;"",
IF(O33=1,0,クライアント抽出!E33),"")</f>
        <v/>
      </c>
      <c r="J33" s="52" t="str">
        <f>IF(C33&lt;&gt;"",
VLOOKUP(
IF(COUNTIF(D33,"*学食*"),"キャラ弁（学食）",
IF(COUNTIF(D33,"*赤*"),"赤",
IF(COUNTIF(D33,"*キャラ弁当*"),"キャラ弁当",D33))),注文弁当の抽出!$E$1:$F$15,2,FALSE),"")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 cm="1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>IF(COUNTIF(Q33,"TRUE"),
IF(OR(COUNTIF(B33,"*'*"),H33=0),0,ROW()),0)</f>
        <v>0</v>
      </c>
      <c r="Q33" s="52" t="b">
        <f t="shared" si="4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>
        <f t="array" aca="1" ref="W33" ca="1">IF($R33&lt;&gt;"",
IF(COUNTIF(INDIRECT("B"&amp;R33&amp;""),"*雙葉*"),
INDIRECT("H"&amp;R33&amp;"")+INDIRECT("H"&amp;MATCH("雙葉'",INDIRECT("B"&amp;R33+1&amp;":B210"),0)+R33&amp;""),
IF(LEFT(INDIRECT("B"&amp;R33&amp;""),2)="博多",
INDIRECT("H"&amp;R33&amp;"")+INDIRECT("H"&amp;MATCH("*"&amp;INDIRECT("B"&amp;R33&amp;"")&amp;"*",INDIRECT("B"&amp;R33+1&amp;":B210"),0)+R33&amp;""),
IF(LEFT(INDIRECT("B"&amp;R33&amp;""),3)="奈良屋",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INDIRECT(""&amp;IF(COLUMN(I49)&lt;=26,CHAR(COLUMN(I49)+64),CHAR(INT((COLUMN(I49)-1)/26)+64)&amp;CHAR(MOD(COLUMN(I49)-1,26)+65))&amp;$R33&amp;""),"")</f>
        <v/>
      </c>
      <c r="Y33" s="51" t="str" cm="1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5"/>
        <v/>
      </c>
      <c r="AA33" s="51" t="str">
        <f t="shared" ca="1" si="0"/>
        <v/>
      </c>
      <c r="AB33" s="51" t="str" cm="1">
        <f t="array" aca="1" ref="AB33" ca="1">IF($R33&lt;&gt;"",
IF(COUNTIF(INDIRECT("B"&amp;R33&amp;""),"*雙葉*"),
INDIRECT("M"&amp;R33&amp;"")+INDIRECT("M"&amp;MATCH("雙葉'",INDIRECT("B"&amp;R33+1&amp;":B210"),0)+R33&amp;""),
IF(LEFT(INDIRECT("B"&amp;R33&amp;""),2)="博多",
INDIRECT("M"&amp;R33&amp;"")+INDIRECT("M"&amp;MATCH("*"&amp;INDIRECT("B"&amp;R33&amp;"")&amp;"*",INDIRECT("B"&amp;R33+1&amp;":B210"),0)+R33&amp;""),
IF(LEFT(INDIRECT("B"&amp;R33&amp;""),3)="奈良屋",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 x14ac:dyDescent="0.45">
      <c r="A34" s="196">
        <f t="shared" ref="A34:A70" si="6">A33+2</f>
        <v>73</v>
      </c>
      <c r="B34" s="52" t="str">
        <f t="shared" ca="1" si="2"/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>
        <f>IF(C34&lt;&gt;"",
IF(O34=1,0,クライアント抽出!E34),"")</f>
        <v/>
      </c>
      <c r="J34" s="52" t="str">
        <f>IF(C34&lt;&gt;"",
VLOOKUP(
IF(COUNTIF(D34,"*学食*"),"キャラ弁（学食）",
IF(COUNTIF(D34,"*赤*"),"赤",
IF(COUNTIF(D34,"*キャラ弁当*"),"キャラ弁当",D34))),注文弁当の抽出!$E$1:$F$15,2,FALSE),"")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 cm="1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3"/>
        <v>0</v>
      </c>
      <c r="Q34" s="52" t="b">
        <f t="shared" si="4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>
        <f t="array" aca="1" ref="W34" ca="1">IF($R34&lt;&gt;"",
IF(COUNTIF(INDIRECT("B"&amp;R34&amp;""),"*雙葉*"),
INDIRECT("H"&amp;R34&amp;"")+INDIRECT("H"&amp;MATCH("雙葉'",INDIRECT("B"&amp;R34+1&amp;":B210"),0)+R34&amp;""),
IF(LEFT(INDIRECT("B"&amp;R34&amp;""),2)="博多",
INDIRECT("H"&amp;R34&amp;"")+INDIRECT("H"&amp;MATCH("*"&amp;INDIRECT("B"&amp;R34&amp;"")&amp;"*",INDIRECT("B"&amp;R34+1&amp;":B210"),0)+R34&amp;""),
IF(LEFT(INDIRECT("B"&amp;R34&amp;""),3)="奈良屋",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INDIRECT(""&amp;IF(COLUMN(I50)&lt;=26,CHAR(COLUMN(I50)+64),CHAR(INT((COLUMN(I50)-1)/26)+64)&amp;CHAR(MOD(COLUMN(I50)-1,26)+65))&amp;$R34&amp;""),"")</f>
        <v/>
      </c>
      <c r="Y34" s="51" t="str" cm="1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5"/>
        <v/>
      </c>
      <c r="AA34" s="51" t="str">
        <f t="shared" ca="1" si="0"/>
        <v/>
      </c>
      <c r="AB34" s="51" t="str" cm="1">
        <f t="array" aca="1" ref="AB34" ca="1">IF($R34&lt;&gt;"",
IF(COUNTIF(INDIRECT("B"&amp;R34&amp;""),"*雙葉*"),
INDIRECT("M"&amp;R34&amp;"")+INDIRECT("M"&amp;MATCH("雙葉'",INDIRECT("B"&amp;R34+1&amp;":B210"),0)+R34&amp;""),
IF(LEFT(INDIRECT("B"&amp;R34&amp;""),2)="博多",
INDIRECT("M"&amp;R34&amp;"")+INDIRECT("M"&amp;MATCH("*"&amp;INDIRECT("B"&amp;R34&amp;"")&amp;"*",INDIRECT("B"&amp;R34+1&amp;":B210"),0)+R34&amp;""),
IF(LEFT(INDIRECT("B"&amp;R34&amp;""),3)="奈良屋",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 x14ac:dyDescent="0.45">
      <c r="A35" s="196">
        <f t="shared" si="6"/>
        <v>75</v>
      </c>
      <c r="B35" s="52" t="str">
        <f t="shared" ca="1" si="2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>
        <f>IF(C35&lt;&gt;"",
IF(O35=1,0,クライアント抽出!E35),"")</f>
        <v/>
      </c>
      <c r="J35" s="52" t="str">
        <f>IF(C35&lt;&gt;"",
VLOOKUP(
IF(COUNTIF(D35,"*学食*"),"キャラ弁（学食）",
IF(COUNTIF(D35,"*赤*"),"赤",
IF(COUNTIF(D35,"*キャラ弁当*"),"キャラ弁当",D35))),注文弁当の抽出!$E$1:$F$15,2,FALSE),"")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 cm="1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3"/>
        <v>0</v>
      </c>
      <c r="Q35" s="52" t="b">
        <f t="shared" si="4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>
        <f t="array" aca="1" ref="W35" ca="1">IF($R35&lt;&gt;"",
IF(COUNTIF(INDIRECT("B"&amp;R35&amp;""),"*雙葉*"),
INDIRECT("H"&amp;R35&amp;"")+INDIRECT("H"&amp;MATCH("雙葉'",INDIRECT("B"&amp;R35+1&amp;":B210"),0)+R35&amp;""),
IF(LEFT(INDIRECT("B"&amp;R35&amp;""),2)="博多",
INDIRECT("H"&amp;R35&amp;"")+INDIRECT("H"&amp;MATCH("*"&amp;INDIRECT("B"&amp;R35&amp;"")&amp;"*",INDIRECT("B"&amp;R35+1&amp;":B210"),0)+R35&amp;""),
IF(LEFT(INDIRECT("B"&amp;R35&amp;""),3)="奈良屋",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INDIRECT(""&amp;IF(COLUMN(I52)&lt;=26,CHAR(COLUMN(I52)+64),CHAR(INT((COLUMN(I52)-1)/26)+64)&amp;CHAR(MOD(COLUMN(I52)-1,26)+65))&amp;$R35&amp;""),"")</f>
        <v/>
      </c>
      <c r="Y35" s="51" t="str" cm="1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5"/>
        <v/>
      </c>
      <c r="AA35" s="51" t="str">
        <f t="shared" ca="1" si="0"/>
        <v/>
      </c>
      <c r="AB35" s="51" t="str" cm="1">
        <f t="array" aca="1" ref="AB35" ca="1">IF($R35&lt;&gt;"",
IF(COUNTIF(INDIRECT("B"&amp;R35&amp;""),"*雙葉*"),
INDIRECT("M"&amp;R35&amp;"")+INDIRECT("M"&amp;MATCH("雙葉'",INDIRECT("B"&amp;R35+1&amp;":B210"),0)+R35&amp;""),
IF(LEFT(INDIRECT("B"&amp;R35&amp;""),2)="博多",
INDIRECT("M"&amp;R35&amp;"")+INDIRECT("M"&amp;MATCH("*"&amp;INDIRECT("B"&amp;R35&amp;"")&amp;"*",INDIRECT("B"&amp;R35+1&amp;":B210"),0)+R35&amp;""),
IF(LEFT(INDIRECT("B"&amp;R35&amp;""),3)="奈良屋",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 x14ac:dyDescent="0.45">
      <c r="A36" s="196">
        <f t="shared" si="6"/>
        <v>77</v>
      </c>
      <c r="B36" s="52" t="str">
        <f t="shared" ca="1" si="2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>
        <f>IF(C36&lt;&gt;"",
IF(O36=1,0,クライアント抽出!E36),"")</f>
        <v/>
      </c>
      <c r="J36" s="52" t="str">
        <f>IF(C36&lt;&gt;"",
VLOOKUP(
IF(COUNTIF(D36,"*学食*"),"キャラ弁（学食）",
IF(COUNTIF(D36,"*赤*"),"赤",
IF(COUNTIF(D36,"*キャラ弁当*"),"キャラ弁当",D36))),注文弁当の抽出!$E$1:$F$15,2,FALSE),"")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 cm="1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3"/>
        <v>0</v>
      </c>
      <c r="Q36" s="52" t="b">
        <f t="shared" si="4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>
        <f t="array" aca="1" ref="W36" ca="1">IF($R36&lt;&gt;"",
IF(COUNTIF(INDIRECT("B"&amp;R36&amp;""),"*雙葉*"),
INDIRECT("H"&amp;R36&amp;"")+INDIRECT("H"&amp;MATCH("雙葉'",INDIRECT("B"&amp;R36+1&amp;":B210"),0)+R36&amp;""),
IF(LEFT(INDIRECT("B"&amp;R36&amp;""),2)="博多",
INDIRECT("H"&amp;R36&amp;"")+INDIRECT("H"&amp;MATCH("*"&amp;INDIRECT("B"&amp;R36&amp;"")&amp;"*",INDIRECT("B"&amp;R36+1&amp;":B210"),0)+R36&amp;""),
IF(LEFT(INDIRECT("B"&amp;R36&amp;""),3)="奈良屋",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INDIRECT(""&amp;IF(COLUMN(I53)&lt;=26,CHAR(COLUMN(I53)+64),CHAR(INT((COLUMN(I53)-1)/26)+64)&amp;CHAR(MOD(COLUMN(I53)-1,26)+65))&amp;$R36&amp;""),"")</f>
        <v/>
      </c>
      <c r="Y36" s="51" t="str" cm="1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5"/>
        <v/>
      </c>
      <c r="AA36" s="51" t="str">
        <f t="shared" ca="1" si="0"/>
        <v/>
      </c>
      <c r="AB36" s="51" t="str" cm="1">
        <f t="array" aca="1" ref="AB36" ca="1">IF($R36&lt;&gt;"",
IF(COUNTIF(INDIRECT("B"&amp;R36&amp;""),"*雙葉*"),
INDIRECT("M"&amp;R36&amp;"")+INDIRECT("M"&amp;MATCH("雙葉'",INDIRECT("B"&amp;R36+1&amp;":B210"),0)+R36&amp;""),
IF(LEFT(INDIRECT("B"&amp;R36&amp;""),2)="博多",
INDIRECT("M"&amp;R36&amp;"")+INDIRECT("M"&amp;MATCH("*"&amp;INDIRECT("B"&amp;R36&amp;"")&amp;"*",INDIRECT("B"&amp;R36+1&amp;":B210"),0)+R36&amp;""),
IF(LEFT(INDIRECT("B"&amp;R36&amp;""),3)="奈良屋",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 x14ac:dyDescent="0.45">
      <c r="A37" s="196">
        <f t="shared" si="6"/>
        <v>79</v>
      </c>
      <c r="B37" s="52" t="str">
        <f t="shared" ca="1" si="2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>
        <f>IF(C37&lt;&gt;"",
IF(O37=1,0,クライアント抽出!E37),"")</f>
        <v/>
      </c>
      <c r="J37" s="52" t="str">
        <f>IF(C37&lt;&gt;"",
VLOOKUP(
IF(COUNTIF(D37,"*学食*"),"キャラ弁（学食）",
IF(COUNTIF(D37,"*赤*"),"赤",
IF(COUNTIF(D37,"*キャラ弁当*"),"キャラ弁当",D37))),注文弁当の抽出!$E$1:$F$15,2,FALSE),"")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 cm="1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3"/>
        <v>0</v>
      </c>
      <c r="Q37" s="52" t="b">
        <f t="shared" si="4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>
        <f t="array" aca="1" ref="W37" ca="1">IF($R37&lt;&gt;"",
IF(COUNTIF(INDIRECT("B"&amp;R37&amp;""),"*雙葉*"),
INDIRECT("H"&amp;R37&amp;"")+INDIRECT("H"&amp;MATCH("雙葉'",INDIRECT("B"&amp;R37+1&amp;":B210"),0)+R37&amp;""),
IF(LEFT(INDIRECT("B"&amp;R37&amp;""),2)="博多",
INDIRECT("H"&amp;R37&amp;"")+INDIRECT("H"&amp;MATCH("*"&amp;INDIRECT("B"&amp;R37&amp;"")&amp;"*",INDIRECT("B"&amp;R37+1&amp;":B210"),0)+R37&amp;""),
IF(LEFT(INDIRECT("B"&amp;R37&amp;""),3)="奈良屋",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INDIRECT(""&amp;IF(COLUMN(I55)&lt;=26,CHAR(COLUMN(I55)+64),CHAR(INT((COLUMN(I55)-1)/26)+64)&amp;CHAR(MOD(COLUMN(I55)-1,26)+65))&amp;$R37&amp;""),"")</f>
        <v/>
      </c>
      <c r="Y37" s="51" t="str" cm="1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5"/>
        <v/>
      </c>
      <c r="AA37" s="51" t="str">
        <f t="shared" ca="1" si="0"/>
        <v/>
      </c>
      <c r="AB37" s="51" t="str" cm="1">
        <f t="array" aca="1" ref="AB37" ca="1">IF($R37&lt;&gt;"",
IF(COUNTIF(INDIRECT("B"&amp;R37&amp;""),"*雙葉*"),
INDIRECT("M"&amp;R37&amp;"")+INDIRECT("M"&amp;MATCH("雙葉'",INDIRECT("B"&amp;R37+1&amp;":B210"),0)+R37&amp;""),
IF(LEFT(INDIRECT("B"&amp;R37&amp;""),2)="博多",
INDIRECT("M"&amp;R37&amp;"")+INDIRECT("M"&amp;MATCH("*"&amp;INDIRECT("B"&amp;R37&amp;"")&amp;"*",INDIRECT("B"&amp;R37+1&amp;":B210"),0)+R37&amp;""),
IF(LEFT(INDIRECT("B"&amp;R37&amp;""),3)="奈良屋",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 x14ac:dyDescent="0.45">
      <c r="A38" s="196">
        <f t="shared" si="6"/>
        <v>81</v>
      </c>
      <c r="B38" s="52" t="str">
        <f t="shared" ca="1" si="2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>
        <f>IF(C38&lt;&gt;"",
IF(O38=1,0,クライアント抽出!E38),"")</f>
        <v/>
      </c>
      <c r="J38" s="52" t="str">
        <f>IF(C38&lt;&gt;"",
VLOOKUP(
IF(COUNTIF(D38,"*学食*"),"キャラ弁（学食）",
IF(COUNTIF(D38,"*赤*"),"赤",
IF(COUNTIF(D38,"*キャラ弁当*"),"キャラ弁当",D38))),注文弁当の抽出!$E$1:$F$15,2,FALSE),"")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 cm="1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3"/>
        <v>0</v>
      </c>
      <c r="Q38" s="52" t="b">
        <f t="shared" si="4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>
        <f t="array" aca="1" ref="W38" ca="1">IF($R38&lt;&gt;"",
IF(COUNTIF(INDIRECT("B"&amp;R38&amp;""),"*雙葉*"),
INDIRECT("H"&amp;R38&amp;"")+INDIRECT("H"&amp;MATCH("雙葉'",INDIRECT("B"&amp;R38+1&amp;":B210"),0)+R38&amp;""),
IF(LEFT(INDIRECT("B"&amp;R38&amp;""),2)="博多",
INDIRECT("H"&amp;R38&amp;"")+INDIRECT("H"&amp;MATCH("*"&amp;INDIRECT("B"&amp;R38&amp;"")&amp;"*",INDIRECT("B"&amp;R38+1&amp;":B210"),0)+R38&amp;""),
IF(LEFT(INDIRECT("B"&amp;R38&amp;""),3)="奈良屋",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INDIRECT(""&amp;IF(COLUMN(I56)&lt;=26,CHAR(COLUMN(I56)+64),CHAR(INT((COLUMN(I56)-1)/26)+64)&amp;CHAR(MOD(COLUMN(I56)-1,26)+65))&amp;$R38&amp;""),"")</f>
        <v/>
      </c>
      <c r="Y38" s="51" t="str" cm="1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5"/>
        <v/>
      </c>
      <c r="AA38" s="51" t="str">
        <f t="shared" ca="1" si="0"/>
        <v/>
      </c>
      <c r="AB38" s="51" t="str" cm="1">
        <f t="array" aca="1" ref="AB38" ca="1">IF($R38&lt;&gt;"",
IF(COUNTIF(INDIRECT("B"&amp;R38&amp;""),"*雙葉*"),
INDIRECT("M"&amp;R38&amp;"")+INDIRECT("M"&amp;MATCH("雙葉'",INDIRECT("B"&amp;R38+1&amp;":B210"),0)+R38&amp;""),
IF(LEFT(INDIRECT("B"&amp;R38&amp;""),2)="博多",
INDIRECT("M"&amp;R38&amp;"")+INDIRECT("M"&amp;MATCH("*"&amp;INDIRECT("B"&amp;R38&amp;"")&amp;"*",INDIRECT("B"&amp;R38+1&amp;":B210"),0)+R38&amp;""),
IF(LEFT(INDIRECT("B"&amp;R38&amp;""),3)="奈良屋",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 x14ac:dyDescent="0.45">
      <c r="A39" s="196">
        <f t="shared" si="6"/>
        <v>83</v>
      </c>
      <c r="B39" s="52" t="str">
        <f t="shared" ca="1" si="2"/>
        <v/>
      </c>
      <c r="C39" s="52" t="str">
        <f>IF(OR(クライアント抽出!B39&lt;&gt;"",クライアント抽出!E39&lt;&gt;""),クライアント抽出!A39,"")</f>
        <v/>
      </c>
      <c r="D39" s="52" t="str" cm="1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>
        <f>IF(C39&lt;&gt;"",
IF(O39=1,0,クライアント抽出!E39),"")</f>
        <v/>
      </c>
      <c r="J39" s="52" t="str">
        <f>IF(C39&lt;&gt;"",
VLOOKUP(
IF(COUNTIF(D39,"*学食*"),"キャラ弁（学食）",
IF(COUNTIF(D39,"*赤*"),"赤",
IF(COUNTIF(D39,"*キャラ弁当*"),"キャラ弁当",D39))),注文弁当の抽出!$E$1:$F$15,2,FALSE),"")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 cm="1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3"/>
        <v>0</v>
      </c>
      <c r="Q39" s="52" t="b">
        <f>IF(C39&lt;&gt;"",
IF(OR(N39=1,COUNTIF(D39,"*朝食*"),COUNTIF(D39,"*夕食*")),TRUE,FALSE),FALSE)</f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>
        <f t="array" aca="1" ref="W39" ca="1">IF($R39&lt;&gt;"",
IF(COUNTIF(INDIRECT("B"&amp;R39&amp;""),"*雙葉*"),
INDIRECT("H"&amp;R39&amp;"")+INDIRECT("H"&amp;MATCH("雙葉'",INDIRECT("B"&amp;R39+1&amp;":B210"),0)+R39&amp;""),
IF(LEFT(INDIRECT("B"&amp;R39&amp;""),2)="博多",
INDIRECT("H"&amp;R39&amp;"")+INDIRECT("H"&amp;MATCH("*"&amp;INDIRECT("B"&amp;R39&amp;"")&amp;"*",INDIRECT("B"&amp;R39+1&amp;":B210"),0)+R39&amp;""),
IF(LEFT(INDIRECT("B"&amp;R39&amp;""),3)="奈良屋",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INDIRECT(""&amp;IF(COLUMN(I58)&lt;=26,CHAR(COLUMN(I58)+64),CHAR(INT((COLUMN(I58)-1)/26)+64)&amp;CHAR(MOD(COLUMN(I58)-1,26)+65))&amp;$R39&amp;""),"")</f>
        <v/>
      </c>
      <c r="Y39" s="51" t="str" cm="1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5"/>
        <v/>
      </c>
      <c r="AA39" s="51" t="str">
        <f t="shared" ca="1" si="0"/>
        <v/>
      </c>
      <c r="AB39" s="51" t="str" cm="1">
        <f t="array" aca="1" ref="AB39" ca="1">IF($R39&lt;&gt;"",
IF(COUNTIF(INDIRECT("B"&amp;R39&amp;""),"*雙葉*"),
INDIRECT("M"&amp;R39&amp;"")+INDIRECT("M"&amp;MATCH("雙葉'",INDIRECT("B"&amp;R39+1&amp;":B210"),0)+R39&amp;""),
IF(LEFT(INDIRECT("B"&amp;R39&amp;""),2)="博多",
INDIRECT("M"&amp;R39&amp;"")+INDIRECT("M"&amp;MATCH("*"&amp;INDIRECT("B"&amp;R39&amp;"")&amp;"*",INDIRECT("B"&amp;R39+1&amp;":B210"),0)+R39&amp;""),
IF(LEFT(INDIRECT("B"&amp;R39&amp;""),3)="奈良屋",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 x14ac:dyDescent="0.45">
      <c r="A40" s="196">
        <f t="shared" si="6"/>
        <v>85</v>
      </c>
      <c r="B40" s="52" t="str">
        <f t="shared" ca="1" si="2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>
        <f>IF(C40&lt;&gt;"",
IF(O40=1,0,クライアント抽出!E40),"")</f>
        <v/>
      </c>
      <c r="J40" s="52" t="str">
        <f>IF(C40&lt;&gt;"",
VLOOKUP(
IF(COUNTIF(D40,"*学食*"),"キャラ弁（学食）",
IF(COUNTIF(D40,"*赤*"),"赤",
IF(COUNTIF(D40,"*キャラ弁当*"),"キャラ弁当",D40))),注文弁当の抽出!$E$1:$F$15,2,FALSE),"")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 cm="1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3"/>
        <v>0</v>
      </c>
      <c r="Q40" s="52" t="b">
        <f t="shared" si="4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>
        <f t="array" aca="1" ref="W40" ca="1">IF($R40&lt;&gt;"",
IF(COUNTIF(INDIRECT("B"&amp;R40&amp;""),"*雙葉*"),
INDIRECT("H"&amp;R40&amp;"")+INDIRECT("H"&amp;MATCH("雙葉'",INDIRECT("B"&amp;R40+1&amp;":B210"),0)+R40&amp;""),
IF(LEFT(INDIRECT("B"&amp;R40&amp;""),2)="博多",
INDIRECT("H"&amp;R40&amp;"")+INDIRECT("H"&amp;MATCH("*"&amp;INDIRECT("B"&amp;R40&amp;"")&amp;"*",INDIRECT("B"&amp;R40+1&amp;":B210"),0)+R40&amp;""),
IF(LEFT(INDIRECT("B"&amp;R40&amp;""),3)="奈良屋",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INDIRECT(""&amp;IF(COLUMN(I59)&lt;=26,CHAR(COLUMN(I59)+64),CHAR(INT((COLUMN(I59)-1)/26)+64)&amp;CHAR(MOD(COLUMN(I59)-1,26)+65))&amp;$R40&amp;""),"")</f>
        <v/>
      </c>
      <c r="Y40" s="51" t="str" cm="1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5"/>
        <v/>
      </c>
      <c r="AA40" s="51" t="str">
        <f t="shared" ca="1" si="0"/>
        <v/>
      </c>
      <c r="AB40" s="51" t="str" cm="1">
        <f t="array" aca="1" ref="AB40" ca="1">IF($R40&lt;&gt;"",
IF(COUNTIF(INDIRECT("B"&amp;R40&amp;""),"*雙葉*"),
INDIRECT("M"&amp;R40&amp;"")+INDIRECT("M"&amp;MATCH("雙葉'",INDIRECT("B"&amp;R40+1&amp;":B210"),0)+R40&amp;""),
IF(LEFT(INDIRECT("B"&amp;R40&amp;""),2)="博多",
INDIRECT("M"&amp;R40&amp;"")+INDIRECT("M"&amp;MATCH("*"&amp;INDIRECT("B"&amp;R40&amp;"")&amp;"*",INDIRECT("B"&amp;R40+1&amp;":B210"),0)+R40&amp;""),
IF(LEFT(INDIRECT("B"&amp;R40&amp;""),3)="奈良屋",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 x14ac:dyDescent="0.45">
      <c r="A41" s="196">
        <f t="shared" si="6"/>
        <v>87</v>
      </c>
      <c r="B41" s="52" t="str">
        <f t="shared" ca="1" si="2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>
        <f>IF(C41&lt;&gt;"",
IF(O41=1,0,クライアント抽出!E41),"")</f>
        <v/>
      </c>
      <c r="J41" s="52" t="str">
        <f>IF(C41&lt;&gt;"",
VLOOKUP(
IF(COUNTIF(D41,"*学食*"),"キャラ弁（学食）",
IF(COUNTIF(D41,"*赤*"),"赤",
IF(COUNTIF(D41,"*キャラ弁当*"),"キャラ弁当",D41))),注文弁当の抽出!$E$1:$F$15,2,FALSE),"")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 cm="1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3"/>
        <v>0</v>
      </c>
      <c r="Q41" s="52" t="b">
        <f t="shared" si="4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>
        <f t="array" aca="1" ref="W41" ca="1">IF($R41&lt;&gt;"",
IF(COUNTIF(INDIRECT("B"&amp;R41&amp;""),"*雙葉*"),
INDIRECT("H"&amp;R41&amp;"")+INDIRECT("H"&amp;MATCH("雙葉'",INDIRECT("B"&amp;R41+1&amp;":B210"),0)+R41&amp;""),
IF(LEFT(INDIRECT("B"&amp;R41&amp;""),2)="博多",
INDIRECT("H"&amp;R41&amp;"")+INDIRECT("H"&amp;MATCH("*"&amp;INDIRECT("B"&amp;R41&amp;"")&amp;"*",INDIRECT("B"&amp;R41+1&amp;":B210"),0)+R41&amp;""),
IF(LEFT(INDIRECT("B"&amp;R41&amp;""),3)="奈良屋",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INDIRECT(""&amp;IF(COLUMN(I61)&lt;=26,CHAR(COLUMN(I61)+64),CHAR(INT((COLUMN(I61)-1)/26)+64)&amp;CHAR(MOD(COLUMN(I61)-1,26)+65))&amp;$R41&amp;""),"")</f>
        <v/>
      </c>
      <c r="Y41" s="51" t="str" cm="1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5"/>
        <v/>
      </c>
      <c r="AA41" s="51" t="str">
        <f t="shared" ca="1" si="0"/>
        <v/>
      </c>
      <c r="AB41" s="51" t="str" cm="1">
        <f t="array" aca="1" ref="AB41" ca="1">IF($R41&lt;&gt;"",
IF(COUNTIF(INDIRECT("B"&amp;R41&amp;""),"*雙葉*"),
INDIRECT("M"&amp;R41&amp;"")+INDIRECT("M"&amp;MATCH("雙葉'",INDIRECT("B"&amp;R41+1&amp;":B210"),0)+R41&amp;""),
IF(LEFT(INDIRECT("B"&amp;R41&amp;""),2)="博多",
INDIRECT("M"&amp;R41&amp;"")+INDIRECT("M"&amp;MATCH("*"&amp;INDIRECT("B"&amp;R41&amp;"")&amp;"*",INDIRECT("B"&amp;R41+1&amp;":B210"),0)+R41&amp;""),
IF(LEFT(INDIRECT("B"&amp;R41&amp;""),3)="奈良屋",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 x14ac:dyDescent="0.45">
      <c r="A42" s="196">
        <f t="shared" si="6"/>
        <v>89</v>
      </c>
      <c r="B42" s="52" t="str">
        <f t="shared" ca="1" si="2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>
        <f>IF(C42&lt;&gt;"",
IF(O42=1,0,クライアント抽出!E42),"")</f>
        <v/>
      </c>
      <c r="J42" s="52" t="str">
        <f>IF(C42&lt;&gt;"",
VLOOKUP(
IF(COUNTIF(D42,"*学食*"),"キャラ弁（学食）",
IF(COUNTIF(D42,"*赤*"),"赤",
IF(COUNTIF(D42,"*キャラ弁当*"),"キャラ弁当",D42))),注文弁当の抽出!$E$1:$F$15,2,FALSE),"")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 cm="1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3"/>
        <v>0</v>
      </c>
      <c r="Q42" s="52" t="b">
        <f t="shared" si="4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>
        <f t="array" aca="1" ref="W42" ca="1">IF($R42&lt;&gt;"",
IF(COUNTIF(INDIRECT("B"&amp;R42&amp;""),"*雙葉*"),
INDIRECT("H"&amp;R42&amp;"")+INDIRECT("H"&amp;MATCH("雙葉'",INDIRECT("B"&amp;R42+1&amp;":B210"),0)+R42&amp;""),
IF(LEFT(INDIRECT("B"&amp;R42&amp;""),2)="博多",
INDIRECT("H"&amp;R42&amp;"")+INDIRECT("H"&amp;MATCH("*"&amp;INDIRECT("B"&amp;R42&amp;"")&amp;"*",INDIRECT("B"&amp;R42+1&amp;":B210"),0)+R42&amp;""),
IF(LEFT(INDIRECT("B"&amp;R42&amp;""),3)="奈良屋",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INDIRECT(""&amp;IF(COLUMN(I62)&lt;=26,CHAR(COLUMN(I62)+64),CHAR(INT((COLUMN(I62)-1)/26)+64)&amp;CHAR(MOD(COLUMN(I62)-1,26)+65))&amp;$R42&amp;""),"")</f>
        <v/>
      </c>
      <c r="Y42" s="51" t="str" cm="1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5"/>
        <v/>
      </c>
      <c r="AA42" s="51" t="str">
        <f t="shared" ca="1" si="0"/>
        <v/>
      </c>
      <c r="AB42" s="51" t="str" cm="1">
        <f t="array" aca="1" ref="AB42" ca="1">IF($R42&lt;&gt;"",
IF(COUNTIF(INDIRECT("B"&amp;R42&amp;""),"*雙葉*"),
INDIRECT("M"&amp;R42&amp;"")+INDIRECT("M"&amp;MATCH("雙葉'",INDIRECT("B"&amp;R42+1&amp;":B210"),0)+R42&amp;""),
IF(LEFT(INDIRECT("B"&amp;R42&amp;""),2)="博多",
INDIRECT("M"&amp;R42&amp;"")+INDIRECT("M"&amp;MATCH("*"&amp;INDIRECT("B"&amp;R42&amp;"")&amp;"*",INDIRECT("B"&amp;R42+1&amp;":B210"),0)+R42&amp;""),
IF(LEFT(INDIRECT("B"&amp;R42&amp;""),3)="奈良屋",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 x14ac:dyDescent="0.45">
      <c r="A43" s="196">
        <f t="shared" si="6"/>
        <v>91</v>
      </c>
      <c r="B43" s="52" t="str">
        <f t="shared" ca="1" si="2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>
        <f>IF(C43&lt;&gt;"",
IF(O43=1,0,クライアント抽出!E43),"")</f>
        <v/>
      </c>
      <c r="J43" s="52" t="str">
        <f>IF(C43&lt;&gt;"",
VLOOKUP(
IF(COUNTIF(D43,"*学食*"),"キャラ弁（学食）",
IF(COUNTIF(D43,"*赤*"),"赤",
IF(COUNTIF(D43,"*キャラ弁当*"),"キャラ弁当",D43))),注文弁当の抽出!$E$1:$F$15,2,FALSE),"")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 cm="1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3"/>
        <v>0</v>
      </c>
      <c r="Q43" s="52" t="b">
        <f t="shared" si="4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>
        <f t="array" aca="1" ref="W43" ca="1">IF($R43&lt;&gt;"",
IF(COUNTIF(INDIRECT("B"&amp;R43&amp;""),"*雙葉*"),
INDIRECT("H"&amp;R43&amp;"")+INDIRECT("H"&amp;MATCH("雙葉'",INDIRECT("B"&amp;R43+1&amp;":B210"),0)+R43&amp;""),
IF(LEFT(INDIRECT("B"&amp;R43&amp;""),2)="博多",
INDIRECT("H"&amp;R43&amp;"")+INDIRECT("H"&amp;MATCH("*"&amp;INDIRECT("B"&amp;R43&amp;"")&amp;"*",INDIRECT("B"&amp;R43+1&amp;":B210"),0)+R43&amp;""),
IF(LEFT(INDIRECT("B"&amp;R43&amp;""),3)="奈良屋",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INDIRECT(""&amp;IF(COLUMN(I63)&lt;=26,CHAR(COLUMN(I63)+64),CHAR(INT((COLUMN(I63)-1)/26)+64)&amp;CHAR(MOD(COLUMN(I63)-1,26)+65))&amp;$R43&amp;""),"")</f>
        <v/>
      </c>
      <c r="Y43" s="51" t="str" cm="1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5"/>
        <v/>
      </c>
      <c r="AA43" s="51" t="str">
        <f t="shared" ca="1" si="0"/>
        <v/>
      </c>
      <c r="AB43" s="51" t="str" cm="1">
        <f t="array" aca="1" ref="AB43" ca="1">IF($R43&lt;&gt;"",
IF(COUNTIF(INDIRECT("B"&amp;R43&amp;""),"*雙葉*"),
INDIRECT("M"&amp;R43&amp;"")+INDIRECT("M"&amp;MATCH("雙葉'",INDIRECT("B"&amp;R43+1&amp;":B210"),0)+R43&amp;""),
IF(LEFT(INDIRECT("B"&amp;R43&amp;""),2)="博多",
INDIRECT("M"&amp;R43&amp;"")+INDIRECT("M"&amp;MATCH("*"&amp;INDIRECT("B"&amp;R43&amp;"")&amp;"*",INDIRECT("B"&amp;R43+1&amp;":B210"),0)+R43&amp;""),
IF(LEFT(INDIRECT("B"&amp;R43&amp;""),3)="奈良屋",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 x14ac:dyDescent="0.45">
      <c r="A44" s="196">
        <f t="shared" si="6"/>
        <v>93</v>
      </c>
      <c r="B44" s="52" t="str">
        <f t="shared" ca="1" si="2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>
        <f>IF(C44&lt;&gt;"",
IF(O44=1,0,クライアント抽出!E44),"")</f>
        <v/>
      </c>
      <c r="J44" s="52" t="str">
        <f>IF(C44&lt;&gt;"",
VLOOKUP(
IF(COUNTIF(D44,"*学食*"),"キャラ弁（学食）",
IF(COUNTIF(D44,"*赤*"),"赤",
IF(COUNTIF(D44,"*キャラ弁当*"),"キャラ弁当",D44))),注文弁当の抽出!$E$1:$F$15,2,FALSE),"")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 cm="1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3"/>
        <v>0</v>
      </c>
      <c r="Q44" s="52" t="b">
        <f t="shared" si="4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>
        <f t="array" aca="1" ref="W44" ca="1">IF($R44&lt;&gt;"",
IF(COUNTIF(INDIRECT("B"&amp;R44&amp;""),"*雙葉*"),
INDIRECT("H"&amp;R44&amp;"")+INDIRECT("H"&amp;MATCH("雙葉'",INDIRECT("B"&amp;R44+1&amp;":B210"),0)+R44&amp;""),
IF(LEFT(INDIRECT("B"&amp;R44&amp;""),2)="博多",
INDIRECT("H"&amp;R44&amp;"")+INDIRECT("H"&amp;MATCH("*"&amp;INDIRECT("B"&amp;R44&amp;"")&amp;"*",INDIRECT("B"&amp;R44+1&amp;":B210"),0)+R44&amp;""),
IF(LEFT(INDIRECT("B"&amp;R44&amp;""),3)="奈良屋",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INDIRECT(""&amp;IF(COLUMN(I64)&lt;=26,CHAR(COLUMN(I64)+64),CHAR(INT((COLUMN(I64)-1)/26)+64)&amp;CHAR(MOD(COLUMN(I64)-1,26)+65))&amp;$R44&amp;""),"")</f>
        <v/>
      </c>
      <c r="Y44" s="51" t="str" cm="1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5"/>
        <v/>
      </c>
      <c r="AA44" s="51" t="str">
        <f t="shared" ca="1" si="0"/>
        <v/>
      </c>
      <c r="AB44" s="51" t="str" cm="1">
        <f t="array" aca="1" ref="AB44" ca="1">IF($R44&lt;&gt;"",
IF(COUNTIF(INDIRECT("B"&amp;R44&amp;""),"*雙葉*"),
INDIRECT("M"&amp;R44&amp;"")+INDIRECT("M"&amp;MATCH("雙葉'",INDIRECT("B"&amp;R44+1&amp;":B210"),0)+R44&amp;""),
IF(LEFT(INDIRECT("B"&amp;R44&amp;""),2)="博多",
INDIRECT("M"&amp;R44&amp;"")+INDIRECT("M"&amp;MATCH("*"&amp;INDIRECT("B"&amp;R44&amp;"")&amp;"*",INDIRECT("B"&amp;R44+1&amp;":B210"),0)+R44&amp;""),
IF(LEFT(INDIRECT("B"&amp;R44&amp;""),3)="奈良屋",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 x14ac:dyDescent="0.45">
      <c r="A45" s="196">
        <f t="shared" si="6"/>
        <v>95</v>
      </c>
      <c r="B45" s="52" t="str">
        <f t="shared" ca="1" si="2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>
        <f>IF(C45&lt;&gt;"",
IF(O45=1,0,クライアント抽出!E45),"")</f>
        <v/>
      </c>
      <c r="J45" s="52" t="str">
        <f>IF(C45&lt;&gt;"",
VLOOKUP(
IF(COUNTIF(D45,"*学食*"),"キャラ弁（学食）",
IF(COUNTIF(D45,"*赤*"),"赤",
IF(COUNTIF(D45,"*キャラ弁当*"),"キャラ弁当",D45))),注文弁当の抽出!$E$1:$F$15,2,FALSE),"")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 cm="1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3"/>
        <v>0</v>
      </c>
      <c r="Q45" s="52" t="b">
        <f t="shared" si="4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>
        <f t="array" aca="1" ref="W45" ca="1">IF($R45&lt;&gt;"",
IF(COUNTIF(INDIRECT("B"&amp;R45&amp;""),"*雙葉*"),
INDIRECT("H"&amp;R45&amp;"")+INDIRECT("H"&amp;MATCH("雙葉'",INDIRECT("B"&amp;R45+1&amp;":B210"),0)+R45&amp;""),
IF(LEFT(INDIRECT("B"&amp;R45&amp;""),2)="博多",
INDIRECT("H"&amp;R45&amp;"")+INDIRECT("H"&amp;MATCH("*"&amp;INDIRECT("B"&amp;R45&amp;"")&amp;"*",INDIRECT("B"&amp;R45+1&amp;":B210"),0)+R45&amp;""),
IF(LEFT(INDIRECT("B"&amp;R45&amp;""),3)="奈良屋",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INDIRECT(""&amp;IF(COLUMN(I65)&lt;=26,CHAR(COLUMN(I65)+64),CHAR(INT((COLUMN(I65)-1)/26)+64)&amp;CHAR(MOD(COLUMN(I65)-1,26)+65))&amp;$R45&amp;""),"")</f>
        <v/>
      </c>
      <c r="Y45" s="51" t="str" cm="1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5"/>
        <v/>
      </c>
      <c r="AA45" s="51" t="str">
        <f t="shared" ca="1" si="0"/>
        <v/>
      </c>
      <c r="AB45" s="51" t="str" cm="1">
        <f t="array" aca="1" ref="AB45" ca="1">IF($R45&lt;&gt;"",
IF(COUNTIF(INDIRECT("B"&amp;R45&amp;""),"*雙葉*"),
INDIRECT("M"&amp;R45&amp;"")+INDIRECT("M"&amp;MATCH("雙葉'",INDIRECT("B"&amp;R45+1&amp;":B210"),0)+R45&amp;""),
IF(LEFT(INDIRECT("B"&amp;R45&amp;""),2)="博多",
INDIRECT("M"&amp;R45&amp;"")+INDIRECT("M"&amp;MATCH("*"&amp;INDIRECT("B"&amp;R45&amp;"")&amp;"*",INDIRECT("B"&amp;R45+1&amp;":B210"),0)+R45&amp;""),
IF(LEFT(INDIRECT("B"&amp;R45&amp;""),3)="奈良屋",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 x14ac:dyDescent="0.45">
      <c r="A46" s="196">
        <f t="shared" si="6"/>
        <v>97</v>
      </c>
      <c r="B46" s="52" t="str">
        <f t="shared" ca="1" si="2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>
        <f>IF(C46&lt;&gt;"",
IF(O46=1,0,クライアント抽出!E46),"")</f>
        <v/>
      </c>
      <c r="J46" s="52" t="str">
        <f>IF(C46&lt;&gt;"",
VLOOKUP(
IF(COUNTIF(D46,"*学食*"),"キャラ弁（学食）",
IF(COUNTIF(D46,"*赤*"),"赤",
IF(COUNTIF(D46,"*キャラ弁当*"),"キャラ弁当",D46))),注文弁当の抽出!$E$1:$F$15,2,FALSE),"")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 cm="1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3"/>
        <v>0</v>
      </c>
      <c r="Q46" s="52" t="b">
        <f t="shared" si="4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>
        <f t="array" aca="1" ref="W46" ca="1">IF($R46&lt;&gt;"",
IF(COUNTIF(INDIRECT("B"&amp;R46&amp;""),"*雙葉*"),
INDIRECT("H"&amp;R46&amp;"")+INDIRECT("H"&amp;MATCH("雙葉'",INDIRECT("B"&amp;R46+1&amp;":B210"),0)+R46&amp;""),
IF(LEFT(INDIRECT("B"&amp;R46&amp;""),2)="博多",
INDIRECT("H"&amp;R46&amp;"")+INDIRECT("H"&amp;MATCH("*"&amp;INDIRECT("B"&amp;R46&amp;"")&amp;"*",INDIRECT("B"&amp;R46+1&amp;":B210"),0)+R46&amp;""),
IF(LEFT(INDIRECT("B"&amp;R46&amp;""),3)="奈良屋",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INDIRECT(""&amp;IF(COLUMN(I66)&lt;=26,CHAR(COLUMN(I66)+64),CHAR(INT((COLUMN(I66)-1)/26)+64)&amp;CHAR(MOD(COLUMN(I66)-1,26)+65))&amp;$R46&amp;""),"")</f>
        <v/>
      </c>
      <c r="Y46" s="51" t="str" cm="1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5"/>
        <v/>
      </c>
      <c r="AA46" s="51" t="str">
        <f t="shared" ca="1" si="0"/>
        <v/>
      </c>
      <c r="AB46" s="51" t="str" cm="1">
        <f t="array" aca="1" ref="AB46" ca="1">IF($R46&lt;&gt;"",
IF(COUNTIF(INDIRECT("B"&amp;R46&amp;""),"*雙葉*"),
INDIRECT("M"&amp;R46&amp;"")+INDIRECT("M"&amp;MATCH("雙葉'",INDIRECT("B"&amp;R46+1&amp;":B210"),0)+R46&amp;""),
IF(LEFT(INDIRECT("B"&amp;R46&amp;""),2)="博多",
INDIRECT("M"&amp;R46&amp;"")+INDIRECT("M"&amp;MATCH("*"&amp;INDIRECT("B"&amp;R46&amp;"")&amp;"*",INDIRECT("B"&amp;R46+1&amp;":B210"),0)+R46&amp;""),
IF(LEFT(INDIRECT("B"&amp;R46&amp;""),3)="奈良屋",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 x14ac:dyDescent="0.45">
      <c r="A47" s="196">
        <f t="shared" si="6"/>
        <v>99</v>
      </c>
      <c r="B47" s="52" t="str">
        <f t="shared" ca="1" si="2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>
        <f>IF(C47&lt;&gt;"",
IF(O47=1,0,クライアント抽出!E47),"")</f>
        <v/>
      </c>
      <c r="J47" s="52" t="str">
        <f>IF(C47&lt;&gt;"",
VLOOKUP(
IF(COUNTIF(D47,"*学食*"),"キャラ弁（学食）",
IF(COUNTIF(D47,"*赤*"),"赤",
IF(COUNTIF(D47,"*キャラ弁当*"),"キャラ弁当",D47))),注文弁当の抽出!$E$1:$F$15,2,FALSE),"")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 cm="1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3"/>
        <v>0</v>
      </c>
      <c r="Q47" s="52" t="b">
        <f t="shared" si="4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>
        <f t="array" aca="1" ref="W47" ca="1">IF($R47&lt;&gt;"",
IF(COUNTIF(INDIRECT("B"&amp;R47&amp;""),"*雙葉*"),
INDIRECT("H"&amp;R47&amp;"")+INDIRECT("H"&amp;MATCH("雙葉'",INDIRECT("B"&amp;R47+1&amp;":B210"),0)+R47&amp;""),
IF(LEFT(INDIRECT("B"&amp;R47&amp;""),2)="博多",
INDIRECT("H"&amp;R47&amp;"")+INDIRECT("H"&amp;MATCH("*"&amp;INDIRECT("B"&amp;R47&amp;"")&amp;"*",INDIRECT("B"&amp;R47+1&amp;":B210"),0)+R47&amp;""),
IF(LEFT(INDIRECT("B"&amp;R47&amp;""),3)="奈良屋",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INDIRECT(""&amp;IF(COLUMN(I67)&lt;=26,CHAR(COLUMN(I67)+64),CHAR(INT((COLUMN(I67)-1)/26)+64)&amp;CHAR(MOD(COLUMN(I67)-1,26)+65))&amp;$R47&amp;""),"")</f>
        <v/>
      </c>
      <c r="Y47" s="51" t="str" cm="1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5"/>
        <v/>
      </c>
      <c r="AA47" s="51" t="str">
        <f t="shared" ca="1" si="0"/>
        <v/>
      </c>
      <c r="AB47" s="51" t="str" cm="1">
        <f t="array" aca="1" ref="AB47" ca="1">IF($R47&lt;&gt;"",
IF(COUNTIF(INDIRECT("B"&amp;R47&amp;""),"*雙葉*"),
INDIRECT("M"&amp;R47&amp;"")+INDIRECT("M"&amp;MATCH("雙葉'",INDIRECT("B"&amp;R47+1&amp;":B210"),0)+R47&amp;""),
IF(LEFT(INDIRECT("B"&amp;R47&amp;""),2)="博多",
INDIRECT("M"&amp;R47&amp;"")+INDIRECT("M"&amp;MATCH("*"&amp;INDIRECT("B"&amp;R47&amp;"")&amp;"*",INDIRECT("B"&amp;R47+1&amp;":B210"),0)+R47&amp;""),
IF(LEFT(INDIRECT("B"&amp;R47&amp;""),3)="奈良屋",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 x14ac:dyDescent="0.45">
      <c r="A48" s="196">
        <f t="shared" si="6"/>
        <v>101</v>
      </c>
      <c r="B48" s="52" t="str">
        <f t="shared" ca="1" si="2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>
        <f>IF(C48&lt;&gt;"",
IF(O48=1,0,クライアント抽出!E48),"")</f>
        <v/>
      </c>
      <c r="J48" s="52" t="str">
        <f>IF(C48&lt;&gt;"",
VLOOKUP(
IF(COUNTIF(D48,"*学食*"),"キャラ弁（学食）",
IF(COUNTIF(D48,"*赤*"),"赤",
IF(COUNTIF(D48,"*キャラ弁当*"),"キャラ弁当",D48))),注文弁当の抽出!$E$1:$F$15,2,FALSE),"")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 cm="1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3"/>
        <v>0</v>
      </c>
      <c r="Q48" s="52" t="b">
        <f t="shared" si="4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>
        <f t="array" aca="1" ref="W48" ca="1">IF($R48&lt;&gt;"",
IF(COUNTIF(INDIRECT("B"&amp;R48&amp;""),"*雙葉*"),
INDIRECT("H"&amp;R48&amp;"")+INDIRECT("H"&amp;MATCH("雙葉'",INDIRECT("B"&amp;R48+1&amp;":B210"),0)+R48&amp;""),
IF(LEFT(INDIRECT("B"&amp;R48&amp;""),2)="博多",
INDIRECT("H"&amp;R48&amp;"")+INDIRECT("H"&amp;MATCH("*"&amp;INDIRECT("B"&amp;R48&amp;"")&amp;"*",INDIRECT("B"&amp;R48+1&amp;":B210"),0)+R48&amp;""),
IF(LEFT(INDIRECT("B"&amp;R48&amp;""),3)="奈良屋",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INDIRECT(""&amp;IF(COLUMN(I68)&lt;=26,CHAR(COLUMN(I68)+64),CHAR(INT((COLUMN(I68)-1)/26)+64)&amp;CHAR(MOD(COLUMN(I68)-1,26)+65))&amp;$R48&amp;""),"")</f>
        <v/>
      </c>
      <c r="Y48" s="51" t="str" cm="1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5"/>
        <v/>
      </c>
      <c r="AA48" s="51" t="str">
        <f t="shared" ca="1" si="0"/>
        <v/>
      </c>
      <c r="AB48" s="51" t="str" cm="1">
        <f t="array" aca="1" ref="AB48" ca="1">IF($R48&lt;&gt;"",
IF(COUNTIF(INDIRECT("B"&amp;R48&amp;""),"*雙葉*"),
INDIRECT("M"&amp;R48&amp;"")+INDIRECT("M"&amp;MATCH("雙葉'",INDIRECT("B"&amp;R48+1&amp;":B210"),0)+R48&amp;""),
IF(LEFT(INDIRECT("B"&amp;R48&amp;""),2)="博多",
INDIRECT("M"&amp;R48&amp;"")+INDIRECT("M"&amp;MATCH("*"&amp;INDIRECT("B"&amp;R48&amp;"")&amp;"*",INDIRECT("B"&amp;R48+1&amp;":B210"),0)+R48&amp;""),
IF(LEFT(INDIRECT("B"&amp;R48&amp;""),3)="奈良屋",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 x14ac:dyDescent="0.45">
      <c r="A49" s="196">
        <f t="shared" si="6"/>
        <v>103</v>
      </c>
      <c r="B49" s="52" t="str">
        <f t="shared" ca="1" si="2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>
        <f>IF(C49&lt;&gt;"",
IF(O49=1,0,クライアント抽出!E49),"")</f>
        <v/>
      </c>
      <c r="J49" s="52" t="str">
        <f>IF(C49&lt;&gt;"",
VLOOKUP(
IF(COUNTIF(D49,"*学食*"),"キャラ弁（学食）",
IF(COUNTIF(D49,"*赤*"),"赤",
IF(COUNTIF(D49,"*キャラ弁当*"),"キャラ弁当",D49))),注文弁当の抽出!$E$1:$F$15,2,FALSE),"")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 cm="1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>IF(COUNTIF(Q49,"TRUE"),
IF(OR(COUNTIF(B49,"*'*"),H49=0),0,ROW()),0)</f>
        <v>0</v>
      </c>
      <c r="Q49" s="52" t="b">
        <f t="shared" si="4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>
        <f t="array" aca="1" ref="W49" ca="1">IF($R49&lt;&gt;"",
IF(COUNTIF(INDIRECT("B"&amp;R49&amp;""),"*雙葉*"),
INDIRECT("H"&amp;R49&amp;"")+INDIRECT("H"&amp;MATCH("雙葉'",INDIRECT("B"&amp;R49+1&amp;":B210"),0)+R49&amp;""),
IF(LEFT(INDIRECT("B"&amp;R49&amp;""),2)="博多",
INDIRECT("H"&amp;R49&amp;"")+INDIRECT("H"&amp;MATCH("*"&amp;INDIRECT("B"&amp;R49&amp;"")&amp;"*",INDIRECT("B"&amp;R49+1&amp;":B210"),0)+R49&amp;""),
IF(LEFT(INDIRECT("B"&amp;R49&amp;""),3)="奈良屋",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INDIRECT(""&amp;IF(COLUMN(I69)&lt;=26,CHAR(COLUMN(I69)+64),CHAR(INT((COLUMN(I69)-1)/26)+64)&amp;CHAR(MOD(COLUMN(I69)-1,26)+65))&amp;$R49&amp;""),"")</f>
        <v/>
      </c>
      <c r="Y49" s="51" t="str" cm="1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5"/>
        <v/>
      </c>
      <c r="AA49" s="51" t="str">
        <f t="shared" ca="1" si="0"/>
        <v/>
      </c>
      <c r="AB49" s="51" t="str" cm="1">
        <f t="array" aca="1" ref="AB49" ca="1">IF($R49&lt;&gt;"",
IF(COUNTIF(INDIRECT("B"&amp;R49&amp;""),"*雙葉*"),
INDIRECT("M"&amp;R49&amp;"")+INDIRECT("M"&amp;MATCH("雙葉'",INDIRECT("B"&amp;R49+1&amp;":B210"),0)+R49&amp;""),
IF(LEFT(INDIRECT("B"&amp;R49&amp;""),2)="博多",
INDIRECT("M"&amp;R49&amp;"")+INDIRECT("M"&amp;MATCH("*"&amp;INDIRECT("B"&amp;R49&amp;"")&amp;"*",INDIRECT("B"&amp;R49+1&amp;":B210"),0)+R49&amp;""),
IF(LEFT(INDIRECT("B"&amp;R49&amp;""),3)="奈良屋",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 x14ac:dyDescent="0.45">
      <c r="A50" s="196">
        <f t="shared" si="6"/>
        <v>105</v>
      </c>
      <c r="B50" s="52" t="str">
        <f t="shared" ca="1" si="2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>
        <f>IF(C50&lt;&gt;"",
IF(O50=1,0,クライアント抽出!E50),"")</f>
        <v/>
      </c>
      <c r="J50" s="52" t="str">
        <f>IF(C50&lt;&gt;"",
VLOOKUP(
IF(COUNTIF(D50,"*学食*"),"キャラ弁（学食）",
IF(COUNTIF(D50,"*赤*"),"赤",
IF(COUNTIF(D50,"*キャラ弁当*"),"キャラ弁当",D50))),注文弁当の抽出!$E$1:$F$15,2,FALSE),"")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 cm="1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3"/>
        <v>0</v>
      </c>
      <c r="Q50" s="52" t="b">
        <f t="shared" si="4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>
        <f t="array" aca="1" ref="W50" ca="1">IF($R50&lt;&gt;"",
IF(COUNTIF(INDIRECT("B"&amp;R50&amp;""),"*雙葉*"),
INDIRECT("H"&amp;R50&amp;"")+INDIRECT("H"&amp;MATCH("雙葉'",INDIRECT("B"&amp;R50+1&amp;":B210"),0)+R50&amp;""),
IF(LEFT(INDIRECT("B"&amp;R50&amp;""),2)="博多",
INDIRECT("H"&amp;R50&amp;"")+INDIRECT("H"&amp;MATCH("*"&amp;INDIRECT("B"&amp;R50&amp;"")&amp;"*",INDIRECT("B"&amp;R50+1&amp;":B210"),0)+R50&amp;""),
IF(LEFT(INDIRECT("B"&amp;R50&amp;""),3)="奈良屋",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INDIRECT(""&amp;IF(COLUMN(I70)&lt;=26,CHAR(COLUMN(I70)+64),CHAR(INT((COLUMN(I70)-1)/26)+64)&amp;CHAR(MOD(COLUMN(I70)-1,26)+65))&amp;$R50&amp;""),"")</f>
        <v/>
      </c>
      <c r="Y50" s="51" t="str" cm="1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5"/>
        <v/>
      </c>
      <c r="AA50" s="51" t="str">
        <f t="shared" ca="1" si="0"/>
        <v/>
      </c>
      <c r="AB50" s="51" t="str" cm="1">
        <f t="array" aca="1" ref="AB50" ca="1">IF($R50&lt;&gt;"",
IF(COUNTIF(INDIRECT("B"&amp;R50&amp;""),"*雙葉*"),
INDIRECT("M"&amp;R50&amp;"")+INDIRECT("M"&amp;MATCH("雙葉'",INDIRECT("B"&amp;R50+1&amp;":B210"),0)+R50&amp;""),
IF(LEFT(INDIRECT("B"&amp;R50&amp;""),2)="博多",
INDIRECT("M"&amp;R50&amp;"")+INDIRECT("M"&amp;MATCH("*"&amp;INDIRECT("B"&amp;R50&amp;"")&amp;"*",INDIRECT("B"&amp;R50+1&amp;":B210"),0)+R50&amp;""),
IF(LEFT(INDIRECT("B"&amp;R50&amp;""),3)="奈良屋",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 x14ac:dyDescent="0.45">
      <c r="A51" s="196">
        <f t="shared" si="6"/>
        <v>107</v>
      </c>
      <c r="B51" s="52" t="str">
        <f t="shared" ca="1" si="2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>
        <f>IF(C51&lt;&gt;"",
IF(O51=1,0,クライアント抽出!E51),"")</f>
        <v/>
      </c>
      <c r="J51" s="52" t="str">
        <f>IF(C51&lt;&gt;"",
VLOOKUP(
IF(COUNTIF(D51,"*学食*"),"キャラ弁（学食）",
IF(COUNTIF(D51,"*赤*"),"赤",
IF(COUNTIF(D51,"*キャラ弁当*"),"キャラ弁当",D51))),注文弁当の抽出!$E$1:$F$15,2,FALSE),"")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 cm="1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3"/>
        <v>0</v>
      </c>
      <c r="Q51" s="52" t="b">
        <f t="shared" si="4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>
        <f t="array" aca="1" ref="W51" ca="1">IF($R51&lt;&gt;"",
IF(COUNTIF(INDIRECT("B"&amp;R51&amp;""),"*雙葉*"),
INDIRECT("H"&amp;R51&amp;"")+INDIRECT("H"&amp;MATCH("雙葉'",INDIRECT("B"&amp;R51+1&amp;":B210"),0)+R51&amp;""),
IF(LEFT(INDIRECT("B"&amp;R51&amp;""),2)="博多",
INDIRECT("H"&amp;R51&amp;"")+INDIRECT("H"&amp;MATCH("*"&amp;INDIRECT("B"&amp;R51&amp;"")&amp;"*",INDIRECT("B"&amp;R51+1&amp;":B210"),0)+R51&amp;""),
IF(LEFT(INDIRECT("B"&amp;R51&amp;""),3)="奈良屋",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INDIRECT(""&amp;IF(COLUMN(I71)&lt;=26,CHAR(COLUMN(I71)+64),CHAR(INT((COLUMN(I71)-1)/26)+64)&amp;CHAR(MOD(COLUMN(I71)-1,26)+65))&amp;$R51&amp;""),"")</f>
        <v/>
      </c>
      <c r="Y51" s="51" t="str" cm="1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5"/>
        <v/>
      </c>
      <c r="AA51" s="51" t="str">
        <f t="shared" ca="1" si="0"/>
        <v/>
      </c>
      <c r="AB51" s="51" t="str" cm="1">
        <f t="array" aca="1" ref="AB51" ca="1">IF($R51&lt;&gt;"",
IF(COUNTIF(INDIRECT("B"&amp;R51&amp;""),"*雙葉*"),
INDIRECT("M"&amp;R51&amp;"")+INDIRECT("M"&amp;MATCH("雙葉'",INDIRECT("B"&amp;R51+1&amp;":B210"),0)+R51&amp;""),
IF(LEFT(INDIRECT("B"&amp;R51&amp;""),2)="博多",
INDIRECT("M"&amp;R51&amp;"")+INDIRECT("M"&amp;MATCH("*"&amp;INDIRECT("B"&amp;R51&amp;"")&amp;"*",INDIRECT("B"&amp;R51+1&amp;":B210"),0)+R51&amp;""),
IF(LEFT(INDIRECT("B"&amp;R51&amp;""),3)="奈良屋",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 x14ac:dyDescent="0.45">
      <c r="A52" s="196">
        <f t="shared" si="6"/>
        <v>109</v>
      </c>
      <c r="B52" s="52" t="str">
        <f t="shared" ca="1" si="2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>
        <f>IF(C52&lt;&gt;"",
IF(O52=1,0,クライアント抽出!E52),"")</f>
        <v/>
      </c>
      <c r="J52" s="52" t="str">
        <f>IF(C52&lt;&gt;"",
VLOOKUP(
IF(COUNTIF(D52,"*学食*"),"キャラ弁（学食）",
IF(COUNTIF(D52,"*赤*"),"赤",
IF(COUNTIF(D52,"*キャラ弁当*"),"キャラ弁当",D52))),注文弁当の抽出!$E$1:$F$15,2,FALSE),"")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 cm="1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3"/>
        <v>0</v>
      </c>
      <c r="Q52" s="52" t="b">
        <f t="shared" si="4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>
        <f t="array" aca="1" ref="W52" ca="1">IF($R52&lt;&gt;"",
IF(COUNTIF(INDIRECT("B"&amp;R52&amp;""),"*雙葉*"),
INDIRECT("H"&amp;R52&amp;"")+INDIRECT("H"&amp;MATCH("雙葉'",INDIRECT("B"&amp;R52+1&amp;":B210"),0)+R52&amp;""),
IF(LEFT(INDIRECT("B"&amp;R52&amp;""),2)="博多",
INDIRECT("H"&amp;R52&amp;"")+INDIRECT("H"&amp;MATCH("*"&amp;INDIRECT("B"&amp;R52&amp;"")&amp;"*",INDIRECT("B"&amp;R52+1&amp;":B210"),0)+R52&amp;""),
IF(LEFT(INDIRECT("B"&amp;R52&amp;""),3)="奈良屋",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INDIRECT(""&amp;IF(COLUMN(I72)&lt;=26,CHAR(COLUMN(I72)+64),CHAR(INT((COLUMN(I72)-1)/26)+64)&amp;CHAR(MOD(COLUMN(I72)-1,26)+65))&amp;$R52&amp;""),"")</f>
        <v/>
      </c>
      <c r="Y52" s="51" t="str" cm="1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5"/>
        <v/>
      </c>
      <c r="AA52" s="51" t="str">
        <f t="shared" ca="1" si="0"/>
        <v/>
      </c>
      <c r="AB52" s="51" t="str" cm="1">
        <f t="array" aca="1" ref="AB52" ca="1">IF($R52&lt;&gt;"",
IF(COUNTIF(INDIRECT("B"&amp;R52&amp;""),"*雙葉*"),
INDIRECT("M"&amp;R52&amp;"")+INDIRECT("M"&amp;MATCH("雙葉'",INDIRECT("B"&amp;R52+1&amp;":B210"),0)+R52&amp;""),
IF(LEFT(INDIRECT("B"&amp;R52&amp;""),2)="博多",
INDIRECT("M"&amp;R52&amp;"")+INDIRECT("M"&amp;MATCH("*"&amp;INDIRECT("B"&amp;R52&amp;"")&amp;"*",INDIRECT("B"&amp;R52+1&amp;":B210"),0)+R52&amp;""),
IF(LEFT(INDIRECT("B"&amp;R52&amp;""),3)="奈良屋",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 x14ac:dyDescent="0.45">
      <c r="A53" s="196">
        <f t="shared" si="6"/>
        <v>111</v>
      </c>
      <c r="B53" s="52" t="str">
        <f t="shared" ca="1" si="2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>
        <f>IF(C53&lt;&gt;"",
IF(O53=1,0,クライアント抽出!E53),"")</f>
        <v/>
      </c>
      <c r="J53" s="52" t="str">
        <f>IF(C53&lt;&gt;"",
VLOOKUP(
IF(COUNTIF(D53,"*学食*"),"キャラ弁（学食）",
IF(COUNTIF(D53,"*赤*"),"赤",
IF(COUNTIF(D53,"*キャラ弁当*"),"キャラ弁当",D53))),注文弁当の抽出!$E$1:$F$15,2,FALSE),"")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 cm="1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3"/>
        <v>0</v>
      </c>
      <c r="Q53" s="52" t="b">
        <f t="shared" si="4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>
        <f t="array" aca="1" ref="W53" ca="1">IF($R53&lt;&gt;"",
IF(COUNTIF(INDIRECT("B"&amp;R53&amp;""),"*雙葉*"),
INDIRECT("H"&amp;R53&amp;"")+INDIRECT("H"&amp;MATCH("雙葉'",INDIRECT("B"&amp;R53+1&amp;":B210"),0)+R53&amp;""),
IF(LEFT(INDIRECT("B"&amp;R53&amp;""),2)="博多",
INDIRECT("H"&amp;R53&amp;"")+INDIRECT("H"&amp;MATCH("*"&amp;INDIRECT("B"&amp;R53&amp;"")&amp;"*",INDIRECT("B"&amp;R53+1&amp;":B210"),0)+R53&amp;""),
IF(LEFT(INDIRECT("B"&amp;R53&amp;""),3)="奈良屋",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INDIRECT(""&amp;IF(COLUMN(I73)&lt;=26,CHAR(COLUMN(I73)+64),CHAR(INT((COLUMN(I73)-1)/26)+64)&amp;CHAR(MOD(COLUMN(I73)-1,26)+65))&amp;$R53&amp;""),"")</f>
        <v/>
      </c>
      <c r="Y53" s="51" t="str" cm="1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5"/>
        <v/>
      </c>
      <c r="AA53" s="51" t="str">
        <f t="shared" ca="1" si="0"/>
        <v/>
      </c>
      <c r="AB53" s="51" t="str" cm="1">
        <f t="array" aca="1" ref="AB53" ca="1">IF($R53&lt;&gt;"",
IF(COUNTIF(INDIRECT("B"&amp;R53&amp;""),"*雙葉*"),
INDIRECT("M"&amp;R53&amp;"")+INDIRECT("M"&amp;MATCH("雙葉'",INDIRECT("B"&amp;R53+1&amp;":B210"),0)+R53&amp;""),
IF(LEFT(INDIRECT("B"&amp;R53&amp;""),2)="博多",
INDIRECT("M"&amp;R53&amp;"")+INDIRECT("M"&amp;MATCH("*"&amp;INDIRECT("B"&amp;R53&amp;"")&amp;"*",INDIRECT("B"&amp;R53+1&amp;":B210"),0)+R53&amp;""),
IF(LEFT(INDIRECT("B"&amp;R53&amp;""),3)="奈良屋",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 x14ac:dyDescent="0.45">
      <c r="A54" s="196">
        <f t="shared" si="6"/>
        <v>113</v>
      </c>
      <c r="B54" s="52" t="str">
        <f t="shared" ca="1" si="2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>
        <f>IF(C54&lt;&gt;"",
IF(O54=1,0,クライアント抽出!E54),"")</f>
        <v/>
      </c>
      <c r="J54" s="52" t="str">
        <f>IF(C54&lt;&gt;"",
VLOOKUP(
IF(COUNTIF(D54,"*学食*"),"キャラ弁（学食）",
IF(COUNTIF(D54,"*赤*"),"赤",
IF(COUNTIF(D54,"*キャラ弁当*"),"キャラ弁当",D54))),注文弁当の抽出!$E$1:$F$15,2,FALSE),"")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 cm="1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3"/>
        <v>0</v>
      </c>
      <c r="Q54" s="52" t="b">
        <f t="shared" si="4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>
        <f t="array" aca="1" ref="W54" ca="1">IF($R54&lt;&gt;"",
IF(COUNTIF(INDIRECT("B"&amp;R54&amp;""),"*雙葉*"),
INDIRECT("H"&amp;R54&amp;"")+INDIRECT("H"&amp;MATCH("雙葉'",INDIRECT("B"&amp;R54+1&amp;":B210"),0)+R54&amp;""),
IF(LEFT(INDIRECT("B"&amp;R54&amp;""),2)="博多",
INDIRECT("H"&amp;R54&amp;"")+INDIRECT("H"&amp;MATCH("*"&amp;INDIRECT("B"&amp;R54&amp;"")&amp;"*",INDIRECT("B"&amp;R54+1&amp;":B210"),0)+R54&amp;""),
IF(LEFT(INDIRECT("B"&amp;R54&amp;""),3)="奈良屋",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INDIRECT(""&amp;IF(COLUMN(I74)&lt;=26,CHAR(COLUMN(I74)+64),CHAR(INT((COLUMN(I74)-1)/26)+64)&amp;CHAR(MOD(COLUMN(I74)-1,26)+65))&amp;$R54&amp;""),"")</f>
        <v/>
      </c>
      <c r="Y54" s="51" t="str" cm="1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5"/>
        <v/>
      </c>
      <c r="AA54" s="51" t="str">
        <f t="shared" ca="1" si="0"/>
        <v/>
      </c>
      <c r="AB54" s="51" t="str" cm="1">
        <f t="array" aca="1" ref="AB54" ca="1">IF($R54&lt;&gt;"",
IF(COUNTIF(INDIRECT("B"&amp;R54&amp;""),"*雙葉*"),
INDIRECT("M"&amp;R54&amp;"")+INDIRECT("M"&amp;MATCH("雙葉'",INDIRECT("B"&amp;R54+1&amp;":B210"),0)+R54&amp;""),
IF(LEFT(INDIRECT("B"&amp;R54&amp;""),2)="博多",
INDIRECT("M"&amp;R54&amp;"")+INDIRECT("M"&amp;MATCH("*"&amp;INDIRECT("B"&amp;R54&amp;"")&amp;"*",INDIRECT("B"&amp;R54+1&amp;":B210"),0)+R54&amp;""),
IF(LEFT(INDIRECT("B"&amp;R54&amp;""),3)="奈良屋",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 x14ac:dyDescent="0.45">
      <c r="A55" s="196">
        <f t="shared" si="6"/>
        <v>115</v>
      </c>
      <c r="B55" s="52" t="str">
        <f t="shared" ca="1" si="2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>
        <f>IF(C55&lt;&gt;"",
IF(O55=1,0,クライアント抽出!E55),"")</f>
        <v/>
      </c>
      <c r="J55" s="52" t="str">
        <f>IF(C55&lt;&gt;"",
VLOOKUP(
IF(COUNTIF(D55,"*学食*"),"キャラ弁（学食）",
IF(COUNTIF(D55,"*赤*"),"赤",
IF(COUNTIF(D55,"*キャラ弁当*"),"キャラ弁当",D55))),注文弁当の抽出!$E$1:$F$15,2,FALSE),"")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 cm="1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3"/>
        <v>0</v>
      </c>
      <c r="Q55" s="52" t="b">
        <f t="shared" si="4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>
        <f t="array" aca="1" ref="W55" ca="1">IF($R55&lt;&gt;"",
IF(COUNTIF(INDIRECT("B"&amp;R55&amp;""),"*雙葉*"),
INDIRECT("H"&amp;R55&amp;"")+INDIRECT("H"&amp;MATCH("雙葉'",INDIRECT("B"&amp;R55+1&amp;":B210"),0)+R55&amp;""),
IF(LEFT(INDIRECT("B"&amp;R55&amp;""),2)="博多",
INDIRECT("H"&amp;R55&amp;"")+INDIRECT("H"&amp;MATCH("*"&amp;INDIRECT("B"&amp;R55&amp;"")&amp;"*",INDIRECT("B"&amp;R55+1&amp;":B210"),0)+R55&amp;""),
IF(LEFT(INDIRECT("B"&amp;R55&amp;""),3)="奈良屋",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INDIRECT(""&amp;IF(COLUMN(I75)&lt;=26,CHAR(COLUMN(I75)+64),CHAR(INT((COLUMN(I75)-1)/26)+64)&amp;CHAR(MOD(COLUMN(I75)-1,26)+65))&amp;$R55&amp;""),"")</f>
        <v/>
      </c>
      <c r="Y55" s="51" t="str" cm="1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5"/>
        <v/>
      </c>
      <c r="AA55" s="51" t="str">
        <f t="shared" ca="1" si="0"/>
        <v/>
      </c>
      <c r="AB55" s="51" t="str" cm="1">
        <f t="array" aca="1" ref="AB55" ca="1">IF($R55&lt;&gt;"",
IF(COUNTIF(INDIRECT("B"&amp;R55&amp;""),"*雙葉*"),
INDIRECT("M"&amp;R55&amp;"")+INDIRECT("M"&amp;MATCH("雙葉'",INDIRECT("B"&amp;R55+1&amp;":B210"),0)+R55&amp;""),
IF(LEFT(INDIRECT("B"&amp;R55&amp;""),2)="博多",
INDIRECT("M"&amp;R55&amp;"")+INDIRECT("M"&amp;MATCH("*"&amp;INDIRECT("B"&amp;R55&amp;"")&amp;"*",INDIRECT("B"&amp;R55+1&amp;":B210"),0)+R55&amp;""),
IF(LEFT(INDIRECT("B"&amp;R55&amp;""),3)="奈良屋",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 x14ac:dyDescent="0.45">
      <c r="A56" s="196">
        <f t="shared" si="6"/>
        <v>117</v>
      </c>
      <c r="B56" s="52" t="str">
        <f t="shared" ca="1" si="2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>
        <f>IF(C56&lt;&gt;"",
IF(O56=1,0,クライアント抽出!E56),"")</f>
        <v/>
      </c>
      <c r="J56" s="52" t="str">
        <f>IF(C56&lt;&gt;"",
VLOOKUP(
IF(COUNTIF(D56,"*学食*"),"キャラ弁（学食）",
IF(COUNTIF(D56,"*赤*"),"赤",
IF(COUNTIF(D56,"*キャラ弁当*"),"キャラ弁当",D56))),注文弁当の抽出!$E$1:$F$15,2,FALSE),"")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 cm="1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3"/>
        <v>0</v>
      </c>
      <c r="Q56" s="52" t="b">
        <f>IF(C56&lt;&gt;"",
IF(OR(N56=1,COUNTIF(D56,"*朝食*"),COUNTIF(D56,"*夕食*")),TRUE,FALSE),FALSE)</f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>
        <f t="array" aca="1" ref="W56" ca="1">IF($R56&lt;&gt;"",
IF(COUNTIF(INDIRECT("B"&amp;R56&amp;""),"*雙葉*"),
INDIRECT("H"&amp;R56&amp;"")+INDIRECT("H"&amp;MATCH("雙葉'",INDIRECT("B"&amp;R56+1&amp;":B210"),0)+R56&amp;""),
IF(LEFT(INDIRECT("B"&amp;R56&amp;""),2)="博多",
INDIRECT("H"&amp;R56&amp;"")+INDIRECT("H"&amp;MATCH("*"&amp;INDIRECT("B"&amp;R56&amp;"")&amp;"*",INDIRECT("B"&amp;R56+1&amp;":B210"),0)+R56&amp;""),
IF(LEFT(INDIRECT("B"&amp;R56&amp;""),3)="奈良屋",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INDIRECT(""&amp;IF(COLUMN(I76)&lt;=26,CHAR(COLUMN(I76)+64),CHAR(INT((COLUMN(I76)-1)/26)+64)&amp;CHAR(MOD(COLUMN(I76)-1,26)+65))&amp;$R56&amp;""),"")</f>
        <v/>
      </c>
      <c r="Y56" s="51" t="str" cm="1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5"/>
        <v/>
      </c>
      <c r="AA56" s="51" t="str">
        <f t="shared" ca="1" si="0"/>
        <v/>
      </c>
      <c r="AB56" s="51" t="str" cm="1">
        <f t="array" aca="1" ref="AB56" ca="1">IF($R56&lt;&gt;"",
IF(COUNTIF(INDIRECT("B"&amp;R56&amp;""),"*雙葉*"),
INDIRECT("M"&amp;R56&amp;"")+INDIRECT("M"&amp;MATCH("雙葉'",INDIRECT("B"&amp;R56+1&amp;":B210"),0)+R56&amp;""),
IF(LEFT(INDIRECT("B"&amp;R56&amp;""),2)="博多",
INDIRECT("M"&amp;R56&amp;"")+INDIRECT("M"&amp;MATCH("*"&amp;INDIRECT("B"&amp;R56&amp;"")&amp;"*",INDIRECT("B"&amp;R56+1&amp;":B210"),0)+R56&amp;""),
IF(LEFT(INDIRECT("B"&amp;R56&amp;""),3)="奈良屋",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 x14ac:dyDescent="0.45">
      <c r="A57" s="196">
        <f t="shared" si="6"/>
        <v>119</v>
      </c>
      <c r="B57" s="52" t="str">
        <f t="shared" ca="1" si="2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>
        <f>IF(C57&lt;&gt;"",
IF(O57=1,0,クライアント抽出!E57),"")</f>
        <v/>
      </c>
      <c r="J57" s="52" t="str">
        <f>IF(C57&lt;&gt;"",
VLOOKUP(
IF(COUNTIF(D57,"*学食*"),"キャラ弁（学食）",
IF(COUNTIF(D57,"*赤*"),"赤",
IF(COUNTIF(D57,"*キャラ弁当*"),"キャラ弁当",D57))),注文弁当の抽出!$E$1:$F$15,2,FALSE),"")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 cm="1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3"/>
        <v>0</v>
      </c>
      <c r="Q57" s="52" t="b">
        <f t="shared" si="4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>
        <f t="array" aca="1" ref="W57" ca="1">IF($R57&lt;&gt;"",
IF(COUNTIF(INDIRECT("B"&amp;R57&amp;""),"*雙葉*"),
INDIRECT("H"&amp;R57&amp;"")+INDIRECT("H"&amp;MATCH("雙葉'",INDIRECT("B"&amp;R57+1&amp;":B210"),0)+R57&amp;""),
IF(LEFT(INDIRECT("B"&amp;R57&amp;""),2)="博多",
INDIRECT("H"&amp;R57&amp;"")+INDIRECT("H"&amp;MATCH("*"&amp;INDIRECT("B"&amp;R57&amp;"")&amp;"*",INDIRECT("B"&amp;R57+1&amp;":B210"),0)+R57&amp;""),
IF(LEFT(INDIRECT("B"&amp;R57&amp;""),3)="奈良屋",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INDIRECT(""&amp;IF(COLUMN(I77)&lt;=26,CHAR(COLUMN(I77)+64),CHAR(INT((COLUMN(I77)-1)/26)+64)&amp;CHAR(MOD(COLUMN(I77)-1,26)+65))&amp;$R57&amp;""),"")</f>
        <v/>
      </c>
      <c r="Y57" s="51" t="str" cm="1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5"/>
        <v/>
      </c>
      <c r="AA57" s="51" t="str">
        <f t="shared" ca="1" si="0"/>
        <v/>
      </c>
      <c r="AB57" s="51" t="str" cm="1">
        <f t="array" aca="1" ref="AB57" ca="1">IF($R57&lt;&gt;"",
IF(COUNTIF(INDIRECT("B"&amp;R57&amp;""),"*雙葉*"),
INDIRECT("M"&amp;R57&amp;"")+INDIRECT("M"&amp;MATCH("雙葉'",INDIRECT("B"&amp;R57+1&amp;":B210"),0)+R57&amp;""),
IF(LEFT(INDIRECT("B"&amp;R57&amp;""),2)="博多",
INDIRECT("M"&amp;R57&amp;"")+INDIRECT("M"&amp;MATCH("*"&amp;INDIRECT("B"&amp;R57&amp;"")&amp;"*",INDIRECT("B"&amp;R57+1&amp;":B210"),0)+R57&amp;""),
IF(LEFT(INDIRECT("B"&amp;R57&amp;""),3)="奈良屋",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 x14ac:dyDescent="0.45">
      <c r="A58" s="196">
        <f t="shared" si="6"/>
        <v>121</v>
      </c>
      <c r="B58" s="52" t="str">
        <f t="shared" ca="1" si="2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>
        <f>IF(C58&lt;&gt;"",
IF(O58=1,0,クライアント抽出!E58),"")</f>
        <v/>
      </c>
      <c r="J58" s="52" t="str">
        <f>IF(C58&lt;&gt;"",
VLOOKUP(
IF(COUNTIF(D58,"*学食*"),"キャラ弁（学食）",
IF(COUNTIF(D58,"*赤*"),"赤",
IF(COUNTIF(D58,"*キャラ弁当*"),"キャラ弁当",D58))),注文弁当の抽出!$E$1:$F$15,2,FALSE),"")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 cm="1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3"/>
        <v>0</v>
      </c>
      <c r="Q58" s="52" t="b">
        <f t="shared" si="4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>
        <f t="array" aca="1" ref="W58" ca="1">IF($R58&lt;&gt;"",
IF(COUNTIF(INDIRECT("B"&amp;R58&amp;""),"*雙葉*"),
INDIRECT("H"&amp;R58&amp;"")+INDIRECT("H"&amp;MATCH("雙葉'",INDIRECT("B"&amp;R58+1&amp;":B210"),0)+R58&amp;""),
IF(LEFT(INDIRECT("B"&amp;R58&amp;""),2)="博多",
INDIRECT("H"&amp;R58&amp;"")+INDIRECT("H"&amp;MATCH("*"&amp;INDIRECT("B"&amp;R58&amp;"")&amp;"*",INDIRECT("B"&amp;R58+1&amp;":B210"),0)+R58&amp;""),
IF(LEFT(INDIRECT("B"&amp;R58&amp;""),3)="奈良屋",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INDIRECT(""&amp;IF(COLUMN(I78)&lt;=26,CHAR(COLUMN(I78)+64),CHAR(INT((COLUMN(I78)-1)/26)+64)&amp;CHAR(MOD(COLUMN(I78)-1,26)+65))&amp;$R58&amp;""),"")</f>
        <v/>
      </c>
      <c r="Y58" s="51" t="str" cm="1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5"/>
        <v/>
      </c>
      <c r="AA58" s="51" t="str">
        <f t="shared" ca="1" si="0"/>
        <v/>
      </c>
      <c r="AB58" s="51" t="str" cm="1">
        <f t="array" aca="1" ref="AB58" ca="1">IF($R58&lt;&gt;"",
IF(COUNTIF(INDIRECT("B"&amp;R58&amp;""),"*雙葉*"),
INDIRECT("M"&amp;R58&amp;"")+INDIRECT("M"&amp;MATCH("雙葉'",INDIRECT("B"&amp;R58+1&amp;":B210"),0)+R58&amp;""),
IF(LEFT(INDIRECT("B"&amp;R58&amp;""),2)="博多",
INDIRECT("M"&amp;R58&amp;"")+INDIRECT("M"&amp;MATCH("*"&amp;INDIRECT("B"&amp;R58&amp;"")&amp;"*",INDIRECT("B"&amp;R58+1&amp;":B210"),0)+R58&amp;""),
IF(LEFT(INDIRECT("B"&amp;R58&amp;""),3)="奈良屋",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 x14ac:dyDescent="0.45">
      <c r="A59" s="196">
        <f t="shared" si="6"/>
        <v>123</v>
      </c>
      <c r="B59" s="52" t="str">
        <f t="shared" ca="1" si="2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>
        <f>IF(C59&lt;&gt;"",
IF(O59=1,0,クライアント抽出!E59),"")</f>
        <v/>
      </c>
      <c r="J59" s="52" t="str">
        <f>IF(C59&lt;&gt;"",
VLOOKUP(
IF(COUNTIF(D59,"*学食*"),"キャラ弁（学食）",
IF(COUNTIF(D59,"*赤*"),"赤",
IF(COUNTIF(D59,"*キャラ弁当*"),"キャラ弁当",D59))),注文弁当の抽出!$E$1:$F$15,2,FALSE),"")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 cm="1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3"/>
        <v>0</v>
      </c>
      <c r="Q59" s="52" t="b">
        <f t="shared" si="4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>
        <f t="array" aca="1" ref="W59" ca="1">IF($R59&lt;&gt;"",
IF(COUNTIF(INDIRECT("B"&amp;R59&amp;""),"*雙葉*"),
INDIRECT("H"&amp;R59&amp;"")+INDIRECT("H"&amp;MATCH("雙葉'",INDIRECT("B"&amp;R59+1&amp;":B210"),0)+R59&amp;""),
IF(LEFT(INDIRECT("B"&amp;R59&amp;""),2)="博多",
INDIRECT("H"&amp;R59&amp;"")+INDIRECT("H"&amp;MATCH("*"&amp;INDIRECT("B"&amp;R59&amp;"")&amp;"*",INDIRECT("B"&amp;R59+1&amp;":B210"),0)+R59&amp;""),
IF(LEFT(INDIRECT("B"&amp;R59&amp;""),3)="奈良屋",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INDIRECT(""&amp;IF(COLUMN(I79)&lt;=26,CHAR(COLUMN(I79)+64),CHAR(INT((COLUMN(I79)-1)/26)+64)&amp;CHAR(MOD(COLUMN(I79)-1,26)+65))&amp;$R59&amp;""),"")</f>
        <v/>
      </c>
      <c r="Y59" s="51" t="str" cm="1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5"/>
        <v/>
      </c>
      <c r="AA59" s="51" t="str">
        <f t="shared" ca="1" si="0"/>
        <v/>
      </c>
      <c r="AB59" s="51" t="str" cm="1">
        <f t="array" aca="1" ref="AB59" ca="1">IF($R59&lt;&gt;"",
IF(COUNTIF(INDIRECT("B"&amp;R59&amp;""),"*雙葉*"),
INDIRECT("M"&amp;R59&amp;"")+INDIRECT("M"&amp;MATCH("雙葉'",INDIRECT("B"&amp;R59+1&amp;":B210"),0)+R59&amp;""),
IF(LEFT(INDIRECT("B"&amp;R59&amp;""),2)="博多",
INDIRECT("M"&amp;R59&amp;"")+INDIRECT("M"&amp;MATCH("*"&amp;INDIRECT("B"&amp;R59&amp;"")&amp;"*",INDIRECT("B"&amp;R59+1&amp;":B210"),0)+R59&amp;""),
IF(LEFT(INDIRECT("B"&amp;R59&amp;""),3)="奈良屋",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 x14ac:dyDescent="0.45">
      <c r="A60" s="196">
        <f t="shared" si="6"/>
        <v>125</v>
      </c>
      <c r="B60" s="52" t="str">
        <f t="shared" ca="1" si="2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>
        <f>IF(C60&lt;&gt;"",
IF(O60=1,0,クライアント抽出!E60),"")</f>
        <v/>
      </c>
      <c r="J60" s="52" t="str">
        <f>IF(C60&lt;&gt;"",
VLOOKUP(
IF(COUNTIF(D60,"*学食*"),"キャラ弁（学食）",
IF(COUNTIF(D60,"*赤*"),"赤",
IF(COUNTIF(D60,"*キャラ弁当*"),"キャラ弁当",D60))),注文弁当の抽出!$E$1:$F$15,2,FALSE),"")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 cm="1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3"/>
        <v>0</v>
      </c>
      <c r="Q60" s="52" t="b">
        <f t="shared" si="4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>
        <f t="array" aca="1" ref="W60" ca="1">IF($R60&lt;&gt;"",
IF(COUNTIF(INDIRECT("B"&amp;R60&amp;""),"*雙葉*"),
INDIRECT("H"&amp;R60&amp;"")+INDIRECT("H"&amp;MATCH("雙葉'",INDIRECT("B"&amp;R60+1&amp;":B210"),0)+R60&amp;""),
IF(LEFT(INDIRECT("B"&amp;R60&amp;""),2)="博多",
INDIRECT("H"&amp;R60&amp;"")+INDIRECT("H"&amp;MATCH("*"&amp;INDIRECT("B"&amp;R60&amp;"")&amp;"*",INDIRECT("B"&amp;R60+1&amp;":B210"),0)+R60&amp;""),
IF(LEFT(INDIRECT("B"&amp;R60&amp;""),3)="奈良屋",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INDIRECT(""&amp;IF(COLUMN(I80)&lt;=26,CHAR(COLUMN(I80)+64),CHAR(INT((COLUMN(I80)-1)/26)+64)&amp;CHAR(MOD(COLUMN(I80)-1,26)+65))&amp;$R60&amp;""),"")</f>
        <v/>
      </c>
      <c r="Y60" s="51" t="str" cm="1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5"/>
        <v/>
      </c>
      <c r="AA60" s="51" t="str">
        <f t="shared" ca="1" si="0"/>
        <v/>
      </c>
      <c r="AB60" s="51" t="str" cm="1">
        <f t="array" aca="1" ref="AB60" ca="1">IF($R60&lt;&gt;"",
IF(COUNTIF(INDIRECT("B"&amp;R60&amp;""),"*雙葉*"),
INDIRECT("M"&amp;R60&amp;"")+INDIRECT("M"&amp;MATCH("雙葉'",INDIRECT("B"&amp;R60+1&amp;":B210"),0)+R60&amp;""),
IF(LEFT(INDIRECT("B"&amp;R60&amp;""),2)="博多",
INDIRECT("M"&amp;R60&amp;"")+INDIRECT("M"&amp;MATCH("*"&amp;INDIRECT("B"&amp;R60&amp;"")&amp;"*",INDIRECT("B"&amp;R60+1&amp;":B210"),0)+R60&amp;""),
IF(LEFT(INDIRECT("B"&amp;R60&amp;""),3)="奈良屋",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 x14ac:dyDescent="0.45">
      <c r="A61" s="196">
        <f t="shared" si="6"/>
        <v>127</v>
      </c>
      <c r="B61" s="52" t="str">
        <f t="shared" ca="1" si="2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>
        <f>IF(C61&lt;&gt;"",
IF(O61=1,0,クライアント抽出!E61),"")</f>
        <v/>
      </c>
      <c r="J61" s="52" t="str">
        <f>IF(C61&lt;&gt;"",
VLOOKUP(
IF(COUNTIF(D61,"*学食*"),"キャラ弁（学食）",
IF(COUNTIF(D61,"*赤*"),"赤",
IF(COUNTIF(D61,"*キャラ弁当*"),"キャラ弁当",D61))),注文弁当の抽出!$E$1:$F$15,2,FALSE),"")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 cm="1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3"/>
        <v>0</v>
      </c>
      <c r="Q61" s="52" t="b">
        <f t="shared" si="4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>
        <f t="array" aca="1" ref="W61" ca="1">IF($R61&lt;&gt;"",
IF(COUNTIF(INDIRECT("B"&amp;R61&amp;""),"*雙葉*"),
INDIRECT("H"&amp;R61&amp;"")+INDIRECT("H"&amp;MATCH("雙葉'",INDIRECT("B"&amp;R61+1&amp;":B210"),0)+R61&amp;""),
IF(LEFT(INDIRECT("B"&amp;R61&amp;""),2)="博多",
INDIRECT("H"&amp;R61&amp;"")+INDIRECT("H"&amp;MATCH("*"&amp;INDIRECT("B"&amp;R61&amp;"")&amp;"*",INDIRECT("B"&amp;R61+1&amp;":B210"),0)+R61&amp;""),
IF(LEFT(INDIRECT("B"&amp;R61&amp;""),3)="奈良屋",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INDIRECT(""&amp;IF(COLUMN(I81)&lt;=26,CHAR(COLUMN(I81)+64),CHAR(INT((COLUMN(I81)-1)/26)+64)&amp;CHAR(MOD(COLUMN(I81)-1,26)+65))&amp;$R61&amp;""),"")</f>
        <v/>
      </c>
      <c r="Y61" s="51" t="str" cm="1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5"/>
        <v/>
      </c>
      <c r="AA61" s="51" t="str">
        <f t="shared" ca="1" si="0"/>
        <v/>
      </c>
      <c r="AB61" s="51" t="str" cm="1">
        <f t="array" aca="1" ref="AB61" ca="1">IF($R61&lt;&gt;"",
IF(COUNTIF(INDIRECT("B"&amp;R61&amp;""),"*雙葉*"),
INDIRECT("M"&amp;R61&amp;"")+INDIRECT("M"&amp;MATCH("雙葉'",INDIRECT("B"&amp;R61+1&amp;":B210"),0)+R61&amp;""),
IF(LEFT(INDIRECT("B"&amp;R61&amp;""),2)="博多",
INDIRECT("M"&amp;R61&amp;"")+INDIRECT("M"&amp;MATCH("*"&amp;INDIRECT("B"&amp;R61&amp;"")&amp;"*",INDIRECT("B"&amp;R61+1&amp;":B210"),0)+R61&amp;""),
IF(LEFT(INDIRECT("B"&amp;R61&amp;""),3)="奈良屋",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 x14ac:dyDescent="0.45">
      <c r="A62" s="196">
        <f t="shared" si="6"/>
        <v>129</v>
      </c>
      <c r="B62" s="52" t="str">
        <f t="shared" ca="1" si="2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>
        <f>IF(C62&lt;&gt;"",
IF(O62=1,0,クライアント抽出!E62),"")</f>
        <v/>
      </c>
      <c r="J62" s="52" t="str">
        <f>IF(C62&lt;&gt;"",
VLOOKUP(
IF(COUNTIF(D62,"*学食*"),"キャラ弁（学食）",
IF(COUNTIF(D62,"*赤*"),"赤",
IF(COUNTIF(D62,"*キャラ弁当*"),"キャラ弁当",D62))),注文弁当の抽出!$E$1:$F$15,2,FALSE),"")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 cm="1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3"/>
        <v>0</v>
      </c>
      <c r="Q62" s="52" t="b">
        <f t="shared" si="4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>
        <f t="array" aca="1" ref="W62" ca="1">IF($R62&lt;&gt;"",
IF(COUNTIF(INDIRECT("B"&amp;R62&amp;""),"*雙葉*"),
INDIRECT("H"&amp;R62&amp;"")+INDIRECT("H"&amp;MATCH("雙葉'",INDIRECT("B"&amp;R62+1&amp;":B210"),0)+R62&amp;""),
IF(LEFT(INDIRECT("B"&amp;R62&amp;""),2)="博多",
INDIRECT("H"&amp;R62&amp;"")+INDIRECT("H"&amp;MATCH("*"&amp;INDIRECT("B"&amp;R62&amp;"")&amp;"*",INDIRECT("B"&amp;R62+1&amp;":B210"),0)+R62&amp;""),
IF(LEFT(INDIRECT("B"&amp;R62&amp;""),3)="奈良屋",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INDIRECT(""&amp;IF(COLUMN(I82)&lt;=26,CHAR(COLUMN(I82)+64),CHAR(INT((COLUMN(I82)-1)/26)+64)&amp;CHAR(MOD(COLUMN(I82)-1,26)+65))&amp;$R62&amp;""),"")</f>
        <v/>
      </c>
      <c r="Y62" s="51" t="str" cm="1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5"/>
        <v/>
      </c>
      <c r="AA62" s="51" t="str">
        <f t="shared" ca="1" si="0"/>
        <v/>
      </c>
      <c r="AB62" s="51" t="str" cm="1">
        <f t="array" aca="1" ref="AB62" ca="1">IF($R62&lt;&gt;"",
IF(COUNTIF(INDIRECT("B"&amp;R62&amp;""),"*雙葉*"),
INDIRECT("M"&amp;R62&amp;"")+INDIRECT("M"&amp;MATCH("雙葉'",INDIRECT("B"&amp;R62+1&amp;":B210"),0)+R62&amp;""),
IF(LEFT(INDIRECT("B"&amp;R62&amp;""),2)="博多",
INDIRECT("M"&amp;R62&amp;"")+INDIRECT("M"&amp;MATCH("*"&amp;INDIRECT("B"&amp;R62&amp;"")&amp;"*",INDIRECT("B"&amp;R62+1&amp;":B210"),0)+R62&amp;""),
IF(LEFT(INDIRECT("B"&amp;R62&amp;""),3)="奈良屋",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 x14ac:dyDescent="0.45">
      <c r="A63" s="196">
        <f t="shared" si="6"/>
        <v>131</v>
      </c>
      <c r="B63" s="52" t="str">
        <f t="shared" ca="1" si="2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>
        <f>IF(C63&lt;&gt;"",
IF(O63=1,0,クライアント抽出!E63),"")</f>
        <v/>
      </c>
      <c r="J63" s="52" t="str">
        <f>IF(C63&lt;&gt;"",
VLOOKUP(
IF(COUNTIF(D63,"*学食*"),"キャラ弁（学食）",
IF(COUNTIF(D63,"*赤*"),"赤",
IF(COUNTIF(D63,"*キャラ弁当*"),"キャラ弁当",D63))),注文弁当の抽出!$E$1:$F$15,2,FALSE),"")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 cm="1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>IF(COUNTIF(Q63,"TRUE"),
IF(OR(COUNTIF(B63,"*'*"),H63=0),0,ROW()),0)</f>
        <v>0</v>
      </c>
      <c r="Q63" s="52" t="b">
        <f t="shared" si="4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>
        <f t="array" aca="1" ref="W63" ca="1">IF($R63&lt;&gt;"",
IF(COUNTIF(INDIRECT("B"&amp;R63&amp;""),"*雙葉*"),
INDIRECT("H"&amp;R63&amp;"")+INDIRECT("H"&amp;MATCH("雙葉'",INDIRECT("B"&amp;R63+1&amp;":B210"),0)+R63&amp;""),
IF(LEFT(INDIRECT("B"&amp;R63&amp;""),2)="博多",
INDIRECT("H"&amp;R63&amp;"")+INDIRECT("H"&amp;MATCH("*"&amp;INDIRECT("B"&amp;R63&amp;"")&amp;"*",INDIRECT("B"&amp;R63+1&amp;":B210"),0)+R63&amp;""),
IF(LEFT(INDIRECT("B"&amp;R63&amp;""),3)="奈良屋",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INDIRECT(""&amp;IF(COLUMN(I83)&lt;=26,CHAR(COLUMN(I83)+64),CHAR(INT((COLUMN(I83)-1)/26)+64)&amp;CHAR(MOD(COLUMN(I83)-1,26)+65))&amp;$R63&amp;""),"")</f>
        <v/>
      </c>
      <c r="Y63" s="51" t="str" cm="1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5"/>
        <v/>
      </c>
      <c r="AA63" s="51" t="str">
        <f t="shared" ca="1" si="0"/>
        <v/>
      </c>
      <c r="AB63" s="51" t="str" cm="1">
        <f t="array" aca="1" ref="AB63" ca="1">IF($R63&lt;&gt;"",
IF(COUNTIF(INDIRECT("B"&amp;R63&amp;""),"*雙葉*"),
INDIRECT("M"&amp;R63&amp;"")+INDIRECT("M"&amp;MATCH("雙葉'",INDIRECT("B"&amp;R63+1&amp;":B210"),0)+R63&amp;""),
IF(LEFT(INDIRECT("B"&amp;R63&amp;""),2)="博多",
INDIRECT("M"&amp;R63&amp;"")+INDIRECT("M"&amp;MATCH("*"&amp;INDIRECT("B"&amp;R63&amp;"")&amp;"*",INDIRECT("B"&amp;R63+1&amp;":B210"),0)+R63&amp;""),
IF(LEFT(INDIRECT("B"&amp;R63&amp;""),3)="奈良屋",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 x14ac:dyDescent="0.45">
      <c r="A64" s="196">
        <f t="shared" si="6"/>
        <v>133</v>
      </c>
      <c r="B64" s="52" t="str">
        <f t="shared" ca="1" si="2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>
        <f>IF(C64&lt;&gt;"",
IF(O64=1,0,クライアント抽出!E64),"")</f>
        <v/>
      </c>
      <c r="J64" s="52" t="str">
        <f>IF(C64&lt;&gt;"",
VLOOKUP(
IF(COUNTIF(D64,"*学食*"),"キャラ弁（学食）",
IF(COUNTIF(D64,"*赤*"),"赤",
IF(COUNTIF(D64,"*キャラ弁当*"),"キャラ弁当",D64))),注文弁当の抽出!$E$1:$F$15,2,FALSE),"")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 cm="1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3"/>
        <v>0</v>
      </c>
      <c r="Q64" s="52" t="b">
        <f t="shared" si="4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>
        <f t="array" aca="1" ref="W64" ca="1">IF($R64&lt;&gt;"",
IF(COUNTIF(INDIRECT("B"&amp;R64&amp;""),"*雙葉*"),
INDIRECT("H"&amp;R64&amp;"")+INDIRECT("H"&amp;MATCH("雙葉'",INDIRECT("B"&amp;R64+1&amp;":B210"),0)+R64&amp;""),
IF(LEFT(INDIRECT("B"&amp;R64&amp;""),2)="博多",
INDIRECT("H"&amp;R64&amp;"")+INDIRECT("H"&amp;MATCH("*"&amp;INDIRECT("B"&amp;R64&amp;"")&amp;"*",INDIRECT("B"&amp;R64+1&amp;":B210"),0)+R64&amp;""),
IF(LEFT(INDIRECT("B"&amp;R64&amp;""),3)="奈良屋",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INDIRECT(""&amp;IF(COLUMN(I84)&lt;=26,CHAR(COLUMN(I84)+64),CHAR(INT((COLUMN(I84)-1)/26)+64)&amp;CHAR(MOD(COLUMN(I84)-1,26)+65))&amp;$R64&amp;""),"")</f>
        <v/>
      </c>
      <c r="Y64" s="51" t="str" cm="1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5"/>
        <v/>
      </c>
      <c r="AA64" s="51" t="str">
        <f t="shared" ca="1" si="0"/>
        <v/>
      </c>
      <c r="AB64" s="51" t="str" cm="1">
        <f t="array" aca="1" ref="AB64" ca="1">IF($R64&lt;&gt;"",
IF(COUNTIF(INDIRECT("B"&amp;R64&amp;""),"*雙葉*"),
INDIRECT("M"&amp;R64&amp;"")+INDIRECT("M"&amp;MATCH("雙葉'",INDIRECT("B"&amp;R64+1&amp;":B210"),0)+R64&amp;""),
IF(LEFT(INDIRECT("B"&amp;R64&amp;""),2)="博多",
INDIRECT("M"&amp;R64&amp;"")+INDIRECT("M"&amp;MATCH("*"&amp;INDIRECT("B"&amp;R64&amp;"")&amp;"*",INDIRECT("B"&amp;R64+1&amp;":B210"),0)+R64&amp;""),
IF(LEFT(INDIRECT("B"&amp;R64&amp;""),3)="奈良屋",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 x14ac:dyDescent="0.45">
      <c r="A65" s="196">
        <f t="shared" si="6"/>
        <v>135</v>
      </c>
      <c r="B65" s="52" t="str">
        <f t="shared" ca="1" si="2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>
        <f>IF(C65&lt;&gt;"",
IF(O65=1,0,クライアント抽出!E65),"")</f>
        <v/>
      </c>
      <c r="J65" s="52" t="str">
        <f>IF(C65&lt;&gt;"",
VLOOKUP(
IF(COUNTIF(D65,"*学食*"),"キャラ弁（学食）",
IF(COUNTIF(D65,"*赤*"),"赤",
IF(COUNTIF(D65,"*キャラ弁当*"),"キャラ弁当",D65))),注文弁当の抽出!$E$1:$F$15,2,FALSE),"")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 cm="1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si="3"/>
        <v>0</v>
      </c>
      <c r="Q65" s="52" t="b">
        <f t="shared" si="4"/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>
        <f t="array" aca="1" ref="W65" ca="1">IF($R65&lt;&gt;"",
IF(COUNTIF(INDIRECT("B"&amp;R65&amp;""),"*雙葉*"),
INDIRECT("H"&amp;R65&amp;"")+INDIRECT("H"&amp;MATCH("雙葉'",INDIRECT("B"&amp;R65+1&amp;":B210"),0)+R65&amp;""),
IF(LEFT(INDIRECT("B"&amp;R65&amp;""),2)="博多",
INDIRECT("H"&amp;R65&amp;"")+INDIRECT("H"&amp;MATCH("*"&amp;INDIRECT("B"&amp;R65&amp;"")&amp;"*",INDIRECT("B"&amp;R65+1&amp;":B210"),0)+R65&amp;""),
IF(LEFT(INDIRECT("B"&amp;R65&amp;""),3)="奈良屋",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INDIRECT(""&amp;IF(COLUMN(I85)&lt;=26,CHAR(COLUMN(I85)+64),CHAR(INT((COLUMN(I85)-1)/26)+64)&amp;CHAR(MOD(COLUMN(I85)-1,26)+65))&amp;$R65&amp;""),"")</f>
        <v/>
      </c>
      <c r="Y65" s="51" t="str" cm="1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7">IF(R65&lt;&gt;"",
IFERROR(INT(W65/Y65),""),"")</f>
        <v/>
      </c>
      <c r="AA65" s="51" t="str">
        <f t="shared" ref="AA65:AA128" ca="1" si="8">IFERROR(MOD(W65,Y65),"")</f>
        <v/>
      </c>
      <c r="AB65" s="51" t="str" cm="1">
        <f t="array" aca="1" ref="AB65" ca="1">IF($R65&lt;&gt;"",
IF(COUNTIF(INDIRECT("B"&amp;R65&amp;""),"*雙葉*"),
INDIRECT("M"&amp;R65&amp;"")+INDIRECT("M"&amp;MATCH("雙葉'",INDIRECT("B"&amp;R65+1&amp;":B210"),0)+R65&amp;""),
IF(LEFT(INDIRECT("B"&amp;R65&amp;""),2)="博多",
INDIRECT("M"&amp;R65&amp;"")+INDIRECT("M"&amp;MATCH("*"&amp;INDIRECT("B"&amp;R65&amp;"")&amp;"*",INDIRECT("B"&amp;R65+1&amp;":B210"),0)+R65&amp;""),
IF(LEFT(INDIRECT("B"&amp;R65&amp;""),3)="奈良屋",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 x14ac:dyDescent="0.45">
      <c r="A66" s="196">
        <f t="shared" si="6"/>
        <v>137</v>
      </c>
      <c r="B66" s="52" t="str">
        <f t="shared" ref="B66:B129" ca="1" si="9">IF(COUNTIF(C66,"*雙葉*"),
IF(COUNTIF(INDIRECT("B1:B"&amp;ROW()-1&amp;""),"雙葉"),"雙葉'","雙葉"),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>
        <f>IF(C66&lt;&gt;"",
IF(O66=1,0,クライアント抽出!E66),"")</f>
        <v/>
      </c>
      <c r="J66" s="52" t="str">
        <f>IF(C66&lt;&gt;"",
VLOOKUP(
IF(COUNTIF(D66,"*学食*"),"キャラ弁（学食）",
IF(COUNTIF(D66,"*赤*"),"赤",
IF(COUNTIF(D66,"*キャラ弁当*"),"キャラ弁当",D66))),注文弁当の抽出!$E$1:$F$15,2,FALSE),"")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 cm="1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ref="P66:P70" si="10">IF(COUNTIF(Q66,"TRUE"),
IF(OR(COUNTIF(B66,"*'*"),H66=0),0,ROW()),0)</f>
        <v>0</v>
      </c>
      <c r="Q66" s="52" t="b">
        <f t="shared" ref="Q66:Q68" si="11">IF(C66&lt;&gt;"",
IF(OR(N66=1,COUNTIF(D66,"*朝食*"),COUNTIF(D66,"*夕食*")),TRUE,FALSE),FALSE)</f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>
        <f t="array" aca="1" ref="W66" ca="1">IF($R66&lt;&gt;"",
IF(COUNTIF(INDIRECT("B"&amp;R66&amp;""),"*雙葉*"),
INDIRECT("H"&amp;R66&amp;"")+INDIRECT("H"&amp;MATCH("雙葉'",INDIRECT("B"&amp;R66+1&amp;":B210"),0)+R66&amp;""),
IF(LEFT(INDIRECT("B"&amp;R66&amp;""),2)="博多",
INDIRECT("H"&amp;R66&amp;"")+INDIRECT("H"&amp;MATCH("*"&amp;INDIRECT("B"&amp;R66&amp;"")&amp;"*",INDIRECT("B"&amp;R66+1&amp;":B210"),0)+R66&amp;""),
IF(LEFT(INDIRECT("B"&amp;R66&amp;""),3)="奈良屋",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INDIRECT(""&amp;IF(COLUMN(I86)&lt;=26,CHAR(COLUMN(I86)+64),CHAR(INT((COLUMN(I86)-1)/26)+64)&amp;CHAR(MOD(COLUMN(I86)-1,26)+65))&amp;$R66&amp;""),"")</f>
        <v/>
      </c>
      <c r="Y66" s="51" t="str" cm="1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7"/>
        <v/>
      </c>
      <c r="AA66" s="51" t="str">
        <f t="shared" ca="1" si="8"/>
        <v/>
      </c>
      <c r="AB66" s="51" t="str" cm="1">
        <f t="array" aca="1" ref="AB66" ca="1">IF($R66&lt;&gt;"",
IF(COUNTIF(INDIRECT("B"&amp;R66&amp;""),"*雙葉*"),
INDIRECT("M"&amp;R66&amp;"")+INDIRECT("M"&amp;MATCH("雙葉'",INDIRECT("B"&amp;R66+1&amp;":B210"),0)+R66&amp;""),
IF(LEFT(INDIRECT("B"&amp;R66&amp;""),2)="博多",
INDIRECT("M"&amp;R66&amp;"")+INDIRECT("M"&amp;MATCH("*"&amp;INDIRECT("B"&amp;R66&amp;"")&amp;"*",INDIRECT("B"&amp;R66+1&amp;":B210"),0)+R66&amp;""),
IF(LEFT(INDIRECT("B"&amp;R66&amp;""),3)="奈良屋",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 x14ac:dyDescent="0.45">
      <c r="A67" s="196">
        <f t="shared" si="6"/>
        <v>139</v>
      </c>
      <c r="B67" s="52" t="str">
        <f t="shared" ca="1" si="9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>
        <f>IF(C67&lt;&gt;"",
IF(O67=1,0,クライアント抽出!E67),"")</f>
        <v/>
      </c>
      <c r="J67" s="52" t="str">
        <f>IF(C67&lt;&gt;"",
VLOOKUP(
IF(COUNTIF(D67,"*学食*"),"キャラ弁（学食）",
IF(COUNTIF(D67,"*赤*"),"赤",
IF(COUNTIF(D67,"*キャラ弁当*"),"キャラ弁当",D67))),注文弁当の抽出!$E$1:$F$15,2,FALSE),"")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 cm="1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10"/>
        <v>0</v>
      </c>
      <c r="Q67" s="52" t="b">
        <f t="shared" si="11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>
        <f t="array" aca="1" ref="W67" ca="1">IF($R67&lt;&gt;"",
IF(COUNTIF(INDIRECT("B"&amp;R67&amp;""),"*雙葉*"),
INDIRECT("H"&amp;R67&amp;"")+INDIRECT("H"&amp;MATCH("雙葉'",INDIRECT("B"&amp;R67+1&amp;":B210"),0)+R67&amp;""),
IF(LEFT(INDIRECT("B"&amp;R67&amp;""),2)="博多",
INDIRECT("H"&amp;R67&amp;"")+INDIRECT("H"&amp;MATCH("*"&amp;INDIRECT("B"&amp;R67&amp;"")&amp;"*",INDIRECT("B"&amp;R67+1&amp;":B210"),0)+R67&amp;""),
IF(LEFT(INDIRECT("B"&amp;R67&amp;""),3)="奈良屋",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INDIRECT(""&amp;IF(COLUMN(I87)&lt;=26,CHAR(COLUMN(I87)+64),CHAR(INT((COLUMN(I87)-1)/26)+64)&amp;CHAR(MOD(COLUMN(I87)-1,26)+65))&amp;$R67&amp;""),"")</f>
        <v/>
      </c>
      <c r="Y67" s="51" t="str" cm="1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7"/>
        <v/>
      </c>
      <c r="AA67" s="51" t="str">
        <f t="shared" ca="1" si="8"/>
        <v/>
      </c>
      <c r="AB67" s="51" t="str" cm="1">
        <f t="array" aca="1" ref="AB67" ca="1">IF($R67&lt;&gt;"",
IF(COUNTIF(INDIRECT("B"&amp;R67&amp;""),"*雙葉*"),
INDIRECT("M"&amp;R67&amp;"")+INDIRECT("M"&amp;MATCH("雙葉'",INDIRECT("B"&amp;R67+1&amp;":B210"),0)+R67&amp;""),
IF(LEFT(INDIRECT("B"&amp;R67&amp;""),2)="博多",
INDIRECT("M"&amp;R67&amp;"")+INDIRECT("M"&amp;MATCH("*"&amp;INDIRECT("B"&amp;R67&amp;"")&amp;"*",INDIRECT("B"&amp;R67+1&amp;":B210"),0)+R67&amp;""),
IF(LEFT(INDIRECT("B"&amp;R67&amp;""),3)="奈良屋",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 x14ac:dyDescent="0.45">
      <c r="A68" s="196">
        <f t="shared" si="6"/>
        <v>141</v>
      </c>
      <c r="B68" s="52" t="str">
        <f t="shared" ca="1" si="9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>
        <f>IF(C68&lt;&gt;"",
IF(O68=1,0,クライアント抽出!E68),"")</f>
        <v/>
      </c>
      <c r="J68" s="52" t="str">
        <f>IF(C68&lt;&gt;"",
VLOOKUP(
IF(COUNTIF(D68,"*学食*"),"キャラ弁（学食）",
IF(COUNTIF(D68,"*赤*"),"赤",
IF(COUNTIF(D68,"*キャラ弁当*"),"キャラ弁当",D68))),注文弁当の抽出!$E$1:$F$15,2,FALSE),"")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 cm="1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10"/>
        <v>0</v>
      </c>
      <c r="Q68" s="52" t="b">
        <f t="shared" si="11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>
        <f t="array" aca="1" ref="W68" ca="1">IF($R68&lt;&gt;"",
IF(COUNTIF(INDIRECT("B"&amp;R68&amp;""),"*雙葉*"),
INDIRECT("H"&amp;R68&amp;"")+INDIRECT("H"&amp;MATCH("雙葉'",INDIRECT("B"&amp;R68+1&amp;":B210"),0)+R68&amp;""),
IF(LEFT(INDIRECT("B"&amp;R68&amp;""),2)="博多",
INDIRECT("H"&amp;R68&amp;"")+INDIRECT("H"&amp;MATCH("*"&amp;INDIRECT("B"&amp;R68&amp;"")&amp;"*",INDIRECT("B"&amp;R68+1&amp;":B210"),0)+R68&amp;""),
IF(LEFT(INDIRECT("B"&amp;R68&amp;""),3)="奈良屋",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INDIRECT(""&amp;IF(COLUMN(I88)&lt;=26,CHAR(COLUMN(I88)+64),CHAR(INT((COLUMN(I88)-1)/26)+64)&amp;CHAR(MOD(COLUMN(I88)-1,26)+65))&amp;$R68&amp;""),"")</f>
        <v/>
      </c>
      <c r="Y68" s="51" t="str" cm="1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7"/>
        <v/>
      </c>
      <c r="AA68" s="51" t="str">
        <f t="shared" ca="1" si="8"/>
        <v/>
      </c>
      <c r="AB68" s="51" t="str" cm="1">
        <f t="array" aca="1" ref="AB68" ca="1">IF($R68&lt;&gt;"",
IF(COUNTIF(INDIRECT("B"&amp;R68&amp;""),"*雙葉*"),
INDIRECT("M"&amp;R68&amp;"")+INDIRECT("M"&amp;MATCH("雙葉'",INDIRECT("B"&amp;R68+1&amp;":B210"),0)+R68&amp;""),
IF(LEFT(INDIRECT("B"&amp;R68&amp;""),2)="博多",
INDIRECT("M"&amp;R68&amp;"")+INDIRECT("M"&amp;MATCH("*"&amp;INDIRECT("B"&amp;R68&amp;"")&amp;"*",INDIRECT("B"&amp;R68+1&amp;":B210"),0)+R68&amp;""),
IF(LEFT(INDIRECT("B"&amp;R68&amp;""),3)="奈良屋",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 x14ac:dyDescent="0.45">
      <c r="A69" s="196">
        <f t="shared" si="6"/>
        <v>143</v>
      </c>
      <c r="B69" s="52" t="str">
        <f t="shared" ca="1" si="9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>
        <f>IF(C69&lt;&gt;"",
IF(O69=1,0,クライアント抽出!E69),"")</f>
        <v/>
      </c>
      <c r="J69" s="52" t="str">
        <f>IF(C69&lt;&gt;"",
VLOOKUP(
IF(COUNTIF(D69,"*学食*"),"キャラ弁（学食）",
IF(COUNTIF(D69,"*赤*"),"赤",
IF(COUNTIF(D69,"*キャラ弁当*"),"キャラ弁当",D69))),注文弁当の抽出!$E$1:$F$15,2,FALSE),"")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 cm="1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10"/>
        <v>0</v>
      </c>
      <c r="Q69" s="52" t="b">
        <f>IF(C69&lt;&gt;"",
IF(OR(N69=1,COUNTIF(D69,"*朝食*"),COUNTIF(D69,"*夕食*")),TRUE,FALSE),FALSE)</f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>
        <f t="array" aca="1" ref="W69" ca="1">IF($R69&lt;&gt;"",
IF(COUNTIF(INDIRECT("B"&amp;R69&amp;""),"*雙葉*"),
INDIRECT("H"&amp;R69&amp;"")+INDIRECT("H"&amp;MATCH("雙葉'",INDIRECT("B"&amp;R69+1&amp;":B210"),0)+R69&amp;""),
IF(LEFT(INDIRECT("B"&amp;R69&amp;""),2)="博多",
INDIRECT("H"&amp;R69&amp;"")+INDIRECT("H"&amp;MATCH("*"&amp;INDIRECT("B"&amp;R69&amp;"")&amp;"*",INDIRECT("B"&amp;R69+1&amp;":B210"),0)+R69&amp;""),
IF(LEFT(INDIRECT("B"&amp;R69&amp;""),3)="奈良屋",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INDIRECT(""&amp;IF(COLUMN(I89)&lt;=26,CHAR(COLUMN(I89)+64),CHAR(INT((COLUMN(I89)-1)/26)+64)&amp;CHAR(MOD(COLUMN(I89)-1,26)+65))&amp;$R69&amp;""),"")</f>
        <v/>
      </c>
      <c r="Y69" s="51" t="str" cm="1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7"/>
        <v/>
      </c>
      <c r="AA69" s="51" t="str">
        <f t="shared" ca="1" si="8"/>
        <v/>
      </c>
      <c r="AB69" s="51" t="str" cm="1">
        <f t="array" aca="1" ref="AB69" ca="1">IF($R69&lt;&gt;"",
IF(COUNTIF(INDIRECT("B"&amp;R69&amp;""),"*雙葉*"),
INDIRECT("M"&amp;R69&amp;"")+INDIRECT("M"&amp;MATCH("雙葉'",INDIRECT("B"&amp;R69+1&amp;":B210"),0)+R69&amp;""),
IF(LEFT(INDIRECT("B"&amp;R69&amp;""),2)="博多",
INDIRECT("M"&amp;R69&amp;"")+INDIRECT("M"&amp;MATCH("*"&amp;INDIRECT("B"&amp;R69&amp;"")&amp;"*",INDIRECT("B"&amp;R69+1&amp;":B210"),0)+R69&amp;""),
IF(LEFT(INDIRECT("B"&amp;R69&amp;""),3)="奈良屋",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 x14ac:dyDescent="0.45">
      <c r="A70" s="196">
        <f t="shared" si="6"/>
        <v>145</v>
      </c>
      <c r="B70" s="52" t="str">
        <f t="shared" ca="1" si="9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>
        <f>IF(C70&lt;&gt;"",
IF(O70=1,0,クライアント抽出!E70),"")</f>
        <v/>
      </c>
      <c r="J70" s="52" t="str">
        <f>IF(C70&lt;&gt;"",
VLOOKUP(
IF(COUNTIF(D70,"*学食*"),"キャラ弁（学食）",
IF(COUNTIF(D70,"*赤*"),"赤",
IF(COUNTIF(D70,"*キャラ弁当*"),"キャラ弁当",D70))),注文弁当の抽出!$E$1:$F$15,2,FALSE),"")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 cm="1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10"/>
        <v>0</v>
      </c>
      <c r="Q70" s="52" t="b">
        <f t="shared" ref="Q70" si="12">IF(C70&lt;&gt;"",
IF(OR(N70=1,COUNTIF(D70,"*朝食*"),COUNTIF(D70,"*夕食*")),TRUE,FALSE),FALSE)</f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>
        <f t="array" aca="1" ref="W70" ca="1">IF($R70&lt;&gt;"",
IF(COUNTIF(INDIRECT("B"&amp;R70&amp;""),"*雙葉*"),
INDIRECT("H"&amp;R70&amp;"")+INDIRECT("H"&amp;MATCH("雙葉'",INDIRECT("B"&amp;R70+1&amp;":B210"),0)+R70&amp;""),
IF(LEFT(INDIRECT("B"&amp;R70&amp;""),2)="博多",
INDIRECT("H"&amp;R70&amp;"")+INDIRECT("H"&amp;MATCH("*"&amp;INDIRECT("B"&amp;R70&amp;"")&amp;"*",INDIRECT("B"&amp;R70+1&amp;":B210"),0)+R70&amp;""),
IF(LEFT(INDIRECT("B"&amp;R70&amp;""),3)="奈良屋",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INDIRECT(""&amp;IF(COLUMN(I90)&lt;=26,CHAR(COLUMN(I90)+64),CHAR(INT((COLUMN(I90)-1)/26)+64)&amp;CHAR(MOD(COLUMN(I90)-1,26)+65))&amp;$R70&amp;""),"")</f>
        <v/>
      </c>
      <c r="Y70" s="51" t="str" cm="1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7"/>
        <v/>
      </c>
      <c r="AA70" s="51" t="str">
        <f t="shared" ca="1" si="8"/>
        <v/>
      </c>
      <c r="AB70" s="51" t="str" cm="1">
        <f t="array" aca="1" ref="AB70" ca="1">IF($R70&lt;&gt;"",
IF(COUNTIF(INDIRECT("B"&amp;R70&amp;""),"*雙葉*"),
INDIRECT("M"&amp;R70&amp;"")+INDIRECT("M"&amp;MATCH("雙葉'",INDIRECT("B"&amp;R70+1&amp;":B210"),0)+R70&amp;""),
IF(LEFT(INDIRECT("B"&amp;R70&amp;""),2)="博多",
INDIRECT("M"&amp;R70&amp;"")+INDIRECT("M"&amp;MATCH("*"&amp;INDIRECT("B"&amp;R70&amp;"")&amp;"*",INDIRECT("B"&amp;R70+1&amp;":B210"),0)+R70&amp;""),
IF(LEFT(INDIRECT("B"&amp;R70&amp;""),3)="奈良屋",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 x14ac:dyDescent="0.45">
      <c r="A71" s="199">
        <v>7</v>
      </c>
      <c r="B71" s="199" t="str">
        <f t="shared" ca="1" si="9"/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>
        <f>IF(C71&lt;&gt;"",
IF(O71=1,クライアント抽出!E1,クライアント抽出!F1),"")</f>
        <v/>
      </c>
      <c r="J71" s="199" t="str">
        <f>IF(C71&lt;&gt;"",
VLOOKUP(
IF(COUNTIF(D71,"*学食*"),"キャラ弁（学食）",
IF(COUNTIF(D71,"*赤*"),"赤",
IF(COUNTIF(D71,"*キャラ弁当*"),"キャラ弁当",D71))),注文弁当の抽出!$E$1:$F$15,2,FALSE),"")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 cm="1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ca="1">O1</f>
        <v>0</v>
      </c>
      <c r="P71" s="199">
        <f>IF(COUNTIF(Q71,"TRUE"),
IF(OR(COUNTIF(B71,"*'*"),H71=0),0,ROW()),0)</f>
        <v>0</v>
      </c>
      <c r="Q71" s="199" t="b">
        <f>IF(C71&lt;&gt;"",
IF(OR(N71=1,COUNTIF(D71,"*朝食*"),COUNTIF(D71,"*夕食*")),TRUE,FALSE),FALSE)</f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>
        <f t="array" aca="1" ref="W71" ca="1">IF($R71&lt;&gt;"",
IF(COUNTIF(INDIRECT("B"&amp;R71&amp;""),"*雙葉*"),
INDIRECT("H"&amp;R71&amp;"")+INDIRECT("H"&amp;MATCH("雙葉'",INDIRECT("B"&amp;R71+1&amp;":B210"),0)+R71&amp;""),
IF(LEFT(INDIRECT("B"&amp;R71&amp;""),2)="博多",
INDIRECT("H"&amp;R71&amp;"")+INDIRECT("H"&amp;MATCH("*"&amp;INDIRECT("B"&amp;R71&amp;"")&amp;"*",INDIRECT("B"&amp;R71+1&amp;":B210"),0)+R71&amp;""),
IF(LEFT(INDIRECT("B"&amp;R71&amp;""),3)="奈良屋",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INDIRECT(""&amp;IF(COLUMN(I91)&lt;=26,CHAR(COLUMN(I91)+64),CHAR(INT((COLUMN(I91)-1)/26)+64)&amp;CHAR(MOD(COLUMN(I91)-1,26)+65))&amp;$R71&amp;""),"")</f>
        <v/>
      </c>
      <c r="Y71" s="51" t="str" cm="1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7"/>
        <v/>
      </c>
      <c r="AA71" s="51" t="str">
        <f t="shared" ca="1" si="8"/>
        <v/>
      </c>
      <c r="AB71" s="51" t="str" cm="1">
        <f t="array" aca="1" ref="AB71" ca="1">IF($R71&lt;&gt;"",
IF(COUNTIF(INDIRECT("B"&amp;R71&amp;""),"*雙葉*"),
INDIRECT("M"&amp;R71&amp;"")+INDIRECT("M"&amp;MATCH("雙葉'",INDIRECT("B"&amp;R71+1&amp;":B210"),0)+R71&amp;""),
IF(LEFT(INDIRECT("B"&amp;R71&amp;""),2)="博多",
INDIRECT("M"&amp;R71&amp;"")+INDIRECT("M"&amp;MATCH("*"&amp;INDIRECT("B"&amp;R71&amp;"")&amp;"*",INDIRECT("B"&amp;R71+1&amp;":B210"),0)+R71&amp;""),
IF(LEFT(INDIRECT("B"&amp;R71&amp;""),3)="奈良屋",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 x14ac:dyDescent="0.45">
      <c r="A72" s="198">
        <f t="shared" ref="A72:A103" si="13">A71+2</f>
        <v>9</v>
      </c>
      <c r="B72" s="199" t="str">
        <f t="shared" ca="1" si="9"/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>
        <f>IF(C72&lt;&gt;"",
IF(O72=1,クライアント抽出!E2,クライアント抽出!F2),"")</f>
        <v/>
      </c>
      <c r="J72" s="199" t="str">
        <f>IF(C72&lt;&gt;"",
VLOOKUP(
IF(COUNTIF(D72,"*学食*"),"キャラ弁（学食）",
IF(COUNTIF(D72,"*赤*"),"赤",
IF(COUNTIF(D72,"*キャラ弁当*"),"キャラ弁当",D72))),注文弁当の抽出!$E$1:$F$15,2,FALSE),"")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 cm="1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ref="O72:O135" ca="1" si="14">O2</f>
        <v>0</v>
      </c>
      <c r="P72" s="199">
        <f t="shared" ref="P72:P135" si="15">IF(COUNTIF(Q72,"TRUE"),
IF(OR(COUNTIF(B72,"*'*"),H72=0),0,ROW()),0)</f>
        <v>0</v>
      </c>
      <c r="Q72" s="199" t="b">
        <f t="shared" ref="Q72:Q135" si="16">IF(C72&lt;&gt;"",
IF(OR(N72=1,COUNTIF(D72,"*朝食*"),COUNTIF(D72,"*夕食*")),TRUE,FALSE),FALSE)</f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>
        <f t="array" aca="1" ref="W72" ca="1">IF($R72&lt;&gt;"",
IF(COUNTIF(INDIRECT("B"&amp;R72&amp;""),"*雙葉*"),
INDIRECT("H"&amp;R72&amp;"")+INDIRECT("H"&amp;MATCH("雙葉'",INDIRECT("B"&amp;R72+1&amp;":B210"),0)+R72&amp;""),
IF(LEFT(INDIRECT("B"&amp;R72&amp;""),2)="博多",
INDIRECT("H"&amp;R72&amp;"")+INDIRECT("H"&amp;MATCH("*"&amp;INDIRECT("B"&amp;R72&amp;"")&amp;"*",INDIRECT("B"&amp;R72+1&amp;":B210"),0)+R72&amp;""),
IF(LEFT(INDIRECT("B"&amp;R72&amp;""),3)="奈良屋",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INDIRECT(""&amp;IF(COLUMN(I92)&lt;=26,CHAR(COLUMN(I92)+64),CHAR(INT((COLUMN(I92)-1)/26)+64)&amp;CHAR(MOD(COLUMN(I92)-1,26)+65))&amp;$R72&amp;""),"")</f>
        <v/>
      </c>
      <c r="Y72" s="51" t="str" cm="1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7"/>
        <v/>
      </c>
      <c r="AA72" s="51" t="str">
        <f t="shared" ca="1" si="8"/>
        <v/>
      </c>
      <c r="AB72" s="51" t="str" cm="1">
        <f t="array" aca="1" ref="AB72" ca="1">IF($R72&lt;&gt;"",
IF(COUNTIF(INDIRECT("B"&amp;R72&amp;""),"*雙葉*"),
INDIRECT("M"&amp;R72&amp;"")+INDIRECT("M"&amp;MATCH("雙葉'",INDIRECT("B"&amp;R72+1&amp;":B210"),0)+R72&amp;""),
IF(LEFT(INDIRECT("B"&amp;R72&amp;""),2)="博多",
INDIRECT("M"&amp;R72&amp;"")+INDIRECT("M"&amp;MATCH("*"&amp;INDIRECT("B"&amp;R72&amp;"")&amp;"*",INDIRECT("B"&amp;R72+1&amp;":B210"),0)+R72&amp;""),
IF(LEFT(INDIRECT("B"&amp;R72&amp;""),3)="奈良屋",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 x14ac:dyDescent="0.45">
      <c r="A73" s="198">
        <f t="shared" si="13"/>
        <v>11</v>
      </c>
      <c r="B73" s="199" t="str">
        <f t="shared" ca="1" si="9"/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>
        <f>IF(C73&lt;&gt;"",
IF(O73=1,クライアント抽出!E3,クライアント抽出!F3),"")</f>
        <v/>
      </c>
      <c r="J73" s="199" t="str">
        <f>IF(C73&lt;&gt;"",
VLOOKUP(
IF(COUNTIF(D73,"*学食*"),"キャラ弁（学食）",
IF(COUNTIF(D73,"*赤*"),"赤",
IF(COUNTIF(D73,"*キャラ弁当*"),"キャラ弁当",D73))),注文弁当の抽出!$E$1:$F$15,2,FALSE),"")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 cm="1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4"/>
        <v>0</v>
      </c>
      <c r="P73" s="199">
        <f t="shared" si="15"/>
        <v>0</v>
      </c>
      <c r="Q73" s="199" t="b">
        <f t="shared" si="16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>
        <f t="array" aca="1" ref="W73" ca="1">IF($R73&lt;&gt;"",
IF(COUNTIF(INDIRECT("B"&amp;R73&amp;""),"*雙葉*"),
INDIRECT("H"&amp;R73&amp;"")+INDIRECT("H"&amp;MATCH("雙葉'",INDIRECT("B"&amp;R73+1&amp;":B210"),0)+R73&amp;""),
IF(LEFT(INDIRECT("B"&amp;R73&amp;""),2)="博多",
INDIRECT("H"&amp;R73&amp;"")+INDIRECT("H"&amp;MATCH("*"&amp;INDIRECT("B"&amp;R73&amp;"")&amp;"*",INDIRECT("B"&amp;R73+1&amp;":B210"),0)+R73&amp;""),
IF(LEFT(INDIRECT("B"&amp;R73&amp;""),3)="奈良屋",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INDIRECT(""&amp;IF(COLUMN(I93)&lt;=26,CHAR(COLUMN(I93)+64),CHAR(INT((COLUMN(I93)-1)/26)+64)&amp;CHAR(MOD(COLUMN(I93)-1,26)+65))&amp;$R73&amp;""),"")</f>
        <v/>
      </c>
      <c r="Y73" s="51" t="str" cm="1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7"/>
        <v/>
      </c>
      <c r="AA73" s="51" t="str">
        <f t="shared" ca="1" si="8"/>
        <v/>
      </c>
      <c r="AB73" s="51" t="str" cm="1">
        <f t="array" aca="1" ref="AB73" ca="1">IF($R73&lt;&gt;"",
IF(COUNTIF(INDIRECT("B"&amp;R73&amp;""),"*雙葉*"),
INDIRECT("M"&amp;R73&amp;"")+INDIRECT("M"&amp;MATCH("雙葉'",INDIRECT("B"&amp;R73+1&amp;":B210"),0)+R73&amp;""),
IF(LEFT(INDIRECT("B"&amp;R73&amp;""),2)="博多",
INDIRECT("M"&amp;R73&amp;"")+INDIRECT("M"&amp;MATCH("*"&amp;INDIRECT("B"&amp;R73&amp;"")&amp;"*",INDIRECT("B"&amp;R73+1&amp;":B210"),0)+R73&amp;""),
IF(LEFT(INDIRECT("B"&amp;R73&amp;""),3)="奈良屋",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 x14ac:dyDescent="0.45">
      <c r="A74" s="198">
        <f t="shared" si="13"/>
        <v>13</v>
      </c>
      <c r="B74" s="199" t="str">
        <f t="shared" ca="1" si="9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>
        <f>IF(C74&lt;&gt;"",
IF(O74=1,クライアント抽出!E4,クライアント抽出!F4),"")</f>
        <v/>
      </c>
      <c r="J74" s="199" t="str">
        <f>IF(C74&lt;&gt;"",
VLOOKUP(
IF(COUNTIF(D74,"*学食*"),"キャラ弁（学食）",
IF(COUNTIF(D74,"*赤*"),"赤",
IF(COUNTIF(D74,"*キャラ弁当*"),"キャラ弁当",D74))),注文弁当の抽出!$E$1:$F$15,2,FALSE),"")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 cm="1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4"/>
        <v>0</v>
      </c>
      <c r="P74" s="199">
        <f t="shared" si="15"/>
        <v>0</v>
      </c>
      <c r="Q74" s="199" t="b">
        <f t="shared" si="16"/>
        <v>0</v>
      </c>
      <c r="R74" s="51" t="str">
        <f t="array" aca="1" ref="R74" ca="1">IFERROR(SMALL(IF(P$1:P$300&lt;&gt;0,P$1:P$300),ROW(A74)),"")</f>
        <v/>
      </c>
      <c r="S74" s="51" t="str">
        <f t="array" aca="1" ref="S74" ca="1">IF($R74&lt;&gt;"",
SUBSTITUTE(SUBSTITUTE(INDIRECT("C"&amp;$R74&amp;"")," 週3ｺｰｽ","")," 週5ｺｰｽ",""),"")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>
        <f t="array" aca="1" ref="W74" ca="1">IF($R74&lt;&gt;"",
IF(COUNTIF(INDIRECT("B"&amp;R74&amp;""),"*雙葉*"),
INDIRECT("H"&amp;R74&amp;"")+INDIRECT("H"&amp;MATCH("雙葉'",INDIRECT("B"&amp;R74+1&amp;":B210"),0)+R74&amp;""),
IF(LEFT(INDIRECT("B"&amp;R74&amp;""),2)="博多",
INDIRECT("H"&amp;R74&amp;"")+INDIRECT("H"&amp;MATCH("*"&amp;INDIRECT("B"&amp;R74&amp;"")&amp;"*",INDIRECT("B"&amp;R74+1&amp;":B210"),0)+R74&amp;""),
IF(LEFT(INDIRECT("B"&amp;R74&amp;""),3)="奈良屋",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INDIRECT(""&amp;IF(COLUMN(I94)&lt;=26,CHAR(COLUMN(I94)+64),CHAR(INT((COLUMN(I94)-1)/26)+64)&amp;CHAR(MOD(COLUMN(I94)-1,26)+65))&amp;$R74&amp;""),"")</f>
        <v/>
      </c>
      <c r="Y74" s="51" t="str" cm="1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7"/>
        <v/>
      </c>
      <c r="AA74" s="51" t="str">
        <f t="shared" ca="1" si="8"/>
        <v/>
      </c>
      <c r="AB74" s="51" t="str" cm="1">
        <f t="array" aca="1" ref="AB74" ca="1">IF($R74&lt;&gt;"",
IF(COUNTIF(INDIRECT("B"&amp;R74&amp;""),"*雙葉*"),
INDIRECT("M"&amp;R74&amp;"")+INDIRECT("M"&amp;MATCH("雙葉'",INDIRECT("B"&amp;R74+1&amp;":B210"),0)+R74&amp;""),
IF(LEFT(INDIRECT("B"&amp;R74&amp;""),2)="博多",
INDIRECT("M"&amp;R74&amp;"")+INDIRECT("M"&amp;MATCH("*"&amp;INDIRECT("B"&amp;R74&amp;"")&amp;"*",INDIRECT("B"&amp;R74+1&amp;":B210"),0)+R74&amp;""),
IF(LEFT(INDIRECT("B"&amp;R74&amp;""),3)="奈良屋",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 x14ac:dyDescent="0.45">
      <c r="A75" s="198">
        <f t="shared" si="13"/>
        <v>15</v>
      </c>
      <c r="B75" s="199" t="str">
        <f t="shared" ca="1" si="9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>
        <f>IF(C75&lt;&gt;"",
IF(O75=1,クライアント抽出!E5,クライアント抽出!F5),"")</f>
        <v/>
      </c>
      <c r="J75" s="199" t="str">
        <f>IF(C75&lt;&gt;"",
VLOOKUP(
IF(COUNTIF(D75,"*学食*"),"キャラ弁（学食）",
IF(COUNTIF(D75,"*赤*"),"赤",
IF(COUNTIF(D75,"*キャラ弁当*"),"キャラ弁当",D75))),注文弁当の抽出!$E$1:$F$15,2,FALSE),"")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 cm="1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4"/>
        <v>0</v>
      </c>
      <c r="P75" s="199">
        <f t="shared" si="15"/>
        <v>0</v>
      </c>
      <c r="Q75" s="199" t="b">
        <f t="shared" si="16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>
        <f t="array" aca="1" ref="W75" ca="1">IF($R75&lt;&gt;"",
IF(COUNTIF(INDIRECT("B"&amp;R75&amp;""),"*雙葉*"),
INDIRECT("H"&amp;R75&amp;"")+INDIRECT("H"&amp;MATCH("雙葉'",INDIRECT("B"&amp;R75+1&amp;":B210"),0)+R75&amp;""),
IF(LEFT(INDIRECT("B"&amp;R75&amp;""),2)="博多",
INDIRECT("H"&amp;R75&amp;"")+INDIRECT("H"&amp;MATCH("*"&amp;INDIRECT("B"&amp;R75&amp;"")&amp;"*",INDIRECT("B"&amp;R75+1&amp;":B210"),0)+R75&amp;""),
IF(LEFT(INDIRECT("B"&amp;R75&amp;""),3)="奈良屋",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INDIRECT(""&amp;IF(COLUMN(I95)&lt;=26,CHAR(COLUMN(I95)+64),CHAR(INT((COLUMN(I95)-1)/26)+64)&amp;CHAR(MOD(COLUMN(I95)-1,26)+65))&amp;$R75&amp;""),"")</f>
        <v/>
      </c>
      <c r="Y75" s="51" t="str" cm="1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7"/>
        <v/>
      </c>
      <c r="AA75" s="51" t="str">
        <f t="shared" ca="1" si="8"/>
        <v/>
      </c>
      <c r="AB75" s="51" t="str" cm="1">
        <f t="array" aca="1" ref="AB75" ca="1">IF($R75&lt;&gt;"",
IF(COUNTIF(INDIRECT("B"&amp;R75&amp;""),"*雙葉*"),
INDIRECT("M"&amp;R75&amp;"")+INDIRECT("M"&amp;MATCH("雙葉'",INDIRECT("B"&amp;R75+1&amp;":B210"),0)+R75&amp;""),
IF(LEFT(INDIRECT("B"&amp;R75&amp;""),2)="博多",
INDIRECT("M"&amp;R75&amp;"")+INDIRECT("M"&amp;MATCH("*"&amp;INDIRECT("B"&amp;R75&amp;"")&amp;"*",INDIRECT("B"&amp;R75+1&amp;":B210"),0)+R75&amp;""),
IF(LEFT(INDIRECT("B"&amp;R75&amp;""),3)="奈良屋",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 x14ac:dyDescent="0.45">
      <c r="A76" s="198">
        <f t="shared" si="13"/>
        <v>17</v>
      </c>
      <c r="B76" s="199" t="str">
        <f t="shared" ca="1" si="9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>
        <f>IF(C76&lt;&gt;"",
IF(O76=1,クライアント抽出!E6,クライアント抽出!F6),"")</f>
        <v/>
      </c>
      <c r="J76" s="199" t="str">
        <f>IF(C76&lt;&gt;"",
VLOOKUP(
IF(COUNTIF(D76,"*学食*"),"キャラ弁（学食）",
IF(COUNTIF(D76,"*赤*"),"赤",
IF(COUNTIF(D76,"*キャラ弁当*"),"キャラ弁当",D76))),注文弁当の抽出!$E$1:$F$15,2,FALSE),"")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 cm="1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4"/>
        <v>0</v>
      </c>
      <c r="P76" s="199">
        <f t="shared" si="15"/>
        <v>0</v>
      </c>
      <c r="Q76" s="199" t="b">
        <f t="shared" si="16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>
        <f t="array" aca="1" ref="W76" ca="1">IF($R76&lt;&gt;"",
IF(COUNTIF(INDIRECT("B"&amp;R76&amp;""),"*雙葉*"),
INDIRECT("H"&amp;R76&amp;"")+INDIRECT("H"&amp;MATCH("雙葉'",INDIRECT("B"&amp;R76+1&amp;":B210"),0)+R76&amp;""),
IF(LEFT(INDIRECT("B"&amp;R76&amp;""),2)="博多",
INDIRECT("H"&amp;R76&amp;"")+INDIRECT("H"&amp;MATCH("*"&amp;INDIRECT("B"&amp;R76&amp;"")&amp;"*",INDIRECT("B"&amp;R76+1&amp;":B210"),0)+R76&amp;""),
IF(LEFT(INDIRECT("B"&amp;R76&amp;""),3)="奈良屋",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INDIRECT(""&amp;IF(COLUMN(I96)&lt;=26,CHAR(COLUMN(I96)+64),CHAR(INT((COLUMN(I96)-1)/26)+64)&amp;CHAR(MOD(COLUMN(I96)-1,26)+65))&amp;$R76&amp;""),"")</f>
        <v/>
      </c>
      <c r="Y76" s="51" t="str" cm="1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7"/>
        <v/>
      </c>
      <c r="AA76" s="51" t="str">
        <f t="shared" ca="1" si="8"/>
        <v/>
      </c>
      <c r="AB76" s="51" t="str" cm="1">
        <f t="array" aca="1" ref="AB76" ca="1">IF($R76&lt;&gt;"",
IF(COUNTIF(INDIRECT("B"&amp;R76&amp;""),"*雙葉*"),
INDIRECT("M"&amp;R76&amp;"")+INDIRECT("M"&amp;MATCH("雙葉'",INDIRECT("B"&amp;R76+1&amp;":B210"),0)+R76&amp;""),
IF(LEFT(INDIRECT("B"&amp;R76&amp;""),2)="博多",
INDIRECT("M"&amp;R76&amp;"")+INDIRECT("M"&amp;MATCH("*"&amp;INDIRECT("B"&amp;R76&amp;"")&amp;"*",INDIRECT("B"&amp;R76+1&amp;":B210"),0)+R76&amp;""),
IF(LEFT(INDIRECT("B"&amp;R76&amp;""),3)="奈良屋",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 x14ac:dyDescent="0.45">
      <c r="A77" s="198">
        <f t="shared" si="13"/>
        <v>19</v>
      </c>
      <c r="B77" s="199" t="str">
        <f t="shared" ca="1" si="9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>
        <f>IF(C77&lt;&gt;"",
IF(O77=1,クライアント抽出!E7,クライアント抽出!F7),"")</f>
        <v/>
      </c>
      <c r="J77" s="199" t="str">
        <f>IF(C77&lt;&gt;"",
VLOOKUP(
IF(COUNTIF(D77,"*学食*"),"キャラ弁（学食）",
IF(COUNTIF(D77,"*赤*"),"赤",
IF(COUNTIF(D77,"*キャラ弁当*"),"キャラ弁当",D77))),注文弁当の抽出!$E$1:$F$15,2,FALSE),"")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 cm="1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4"/>
        <v>0</v>
      </c>
      <c r="P77" s="199">
        <f t="shared" si="15"/>
        <v>0</v>
      </c>
      <c r="Q77" s="199" t="b">
        <f t="shared" si="16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>
        <f t="array" aca="1" ref="W77" ca="1">IF($R77&lt;&gt;"",
IF(COUNTIF(INDIRECT("B"&amp;R77&amp;""),"*雙葉*"),
INDIRECT("H"&amp;R77&amp;"")+INDIRECT("H"&amp;MATCH("雙葉'",INDIRECT("B"&amp;R77+1&amp;":B210"),0)+R77&amp;""),
IF(LEFT(INDIRECT("B"&amp;R77&amp;""),2)="博多",
INDIRECT("H"&amp;R77&amp;"")+INDIRECT("H"&amp;MATCH("*"&amp;INDIRECT("B"&amp;R77&amp;"")&amp;"*",INDIRECT("B"&amp;R77+1&amp;":B210"),0)+R77&amp;""),
IF(LEFT(INDIRECT("B"&amp;R77&amp;""),3)="奈良屋",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INDIRECT(""&amp;IF(COLUMN(I97)&lt;=26,CHAR(COLUMN(I97)+64),CHAR(INT((COLUMN(I97)-1)/26)+64)&amp;CHAR(MOD(COLUMN(I97)-1,26)+65))&amp;$R77&amp;""),"")</f>
        <v/>
      </c>
      <c r="Y77" s="51" t="str" cm="1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7"/>
        <v/>
      </c>
      <c r="AA77" s="51" t="str">
        <f t="shared" ca="1" si="8"/>
        <v/>
      </c>
      <c r="AB77" s="51" t="str" cm="1">
        <f t="array" aca="1" ref="AB77" ca="1">IF($R77&lt;&gt;"",
IF(COUNTIF(INDIRECT("B"&amp;R77&amp;""),"*雙葉*"),
INDIRECT("M"&amp;R77&amp;"")+INDIRECT("M"&amp;MATCH("雙葉'",INDIRECT("B"&amp;R77+1&amp;":B210"),0)+R77&amp;""),
IF(LEFT(INDIRECT("B"&amp;R77&amp;""),2)="博多",
INDIRECT("M"&amp;R77&amp;"")+INDIRECT("M"&amp;MATCH("*"&amp;INDIRECT("B"&amp;R77&amp;"")&amp;"*",INDIRECT("B"&amp;R77+1&amp;":B210"),0)+R77&amp;""),
IF(LEFT(INDIRECT("B"&amp;R77&amp;""),3)="奈良屋",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 x14ac:dyDescent="0.45">
      <c r="A78" s="198">
        <f t="shared" si="13"/>
        <v>21</v>
      </c>
      <c r="B78" s="199" t="str">
        <f t="shared" ca="1" si="9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>
        <f>IF(C78&lt;&gt;"",
IF(O78=1,クライアント抽出!E8,クライアント抽出!F8),"")</f>
        <v/>
      </c>
      <c r="J78" s="199" t="str">
        <f>IF(C78&lt;&gt;"",
VLOOKUP(
IF(COUNTIF(D78,"*学食*"),"キャラ弁（学食）",
IF(COUNTIF(D78,"*赤*"),"赤",
IF(COUNTIF(D78,"*キャラ弁当*"),"キャラ弁当",D78))),注文弁当の抽出!$E$1:$F$15,2,FALSE),"")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 cm="1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4"/>
        <v>0</v>
      </c>
      <c r="P78" s="199">
        <f t="shared" si="15"/>
        <v>0</v>
      </c>
      <c r="Q78" s="199" t="b">
        <f t="shared" si="16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>
        <f t="array" aca="1" ref="W78" ca="1">IF($R78&lt;&gt;"",
IF(COUNTIF(INDIRECT("B"&amp;R78&amp;""),"*雙葉*"),
INDIRECT("H"&amp;R78&amp;"")+INDIRECT("H"&amp;MATCH("雙葉'",INDIRECT("B"&amp;R78+1&amp;":B210"),0)+R78&amp;""),
IF(LEFT(INDIRECT("B"&amp;R78&amp;""),2)="博多",
INDIRECT("H"&amp;R78&amp;"")+INDIRECT("H"&amp;MATCH("*"&amp;INDIRECT("B"&amp;R78&amp;"")&amp;"*",INDIRECT("B"&amp;R78+1&amp;":B210"),0)+R78&amp;""),
IF(LEFT(INDIRECT("B"&amp;R78&amp;""),3)="奈良屋",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INDIRECT(""&amp;IF(COLUMN(I98)&lt;=26,CHAR(COLUMN(I98)+64),CHAR(INT((COLUMN(I98)-1)/26)+64)&amp;CHAR(MOD(COLUMN(I98)-1,26)+65))&amp;$R78&amp;""),"")</f>
        <v/>
      </c>
      <c r="Y78" s="51" t="str" cm="1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7"/>
        <v/>
      </c>
      <c r="AA78" s="51" t="str">
        <f t="shared" ca="1" si="8"/>
        <v/>
      </c>
      <c r="AB78" s="51" t="str" cm="1">
        <f t="array" aca="1" ref="AB78" ca="1">IF($R78&lt;&gt;"",
IF(COUNTIF(INDIRECT("B"&amp;R78&amp;""),"*雙葉*"),
INDIRECT("M"&amp;R78&amp;"")+INDIRECT("M"&amp;MATCH("雙葉'",INDIRECT("B"&amp;R78+1&amp;":B210"),0)+R78&amp;""),
IF(LEFT(INDIRECT("B"&amp;R78&amp;""),2)="博多",
INDIRECT("M"&amp;R78&amp;"")+INDIRECT("M"&amp;MATCH("*"&amp;INDIRECT("B"&amp;R78&amp;"")&amp;"*",INDIRECT("B"&amp;R78+1&amp;":B210"),0)+R78&amp;""),
IF(LEFT(INDIRECT("B"&amp;R78&amp;""),3)="奈良屋",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 x14ac:dyDescent="0.45">
      <c r="A79" s="198">
        <f t="shared" si="13"/>
        <v>23</v>
      </c>
      <c r="B79" s="199" t="str">
        <f t="shared" ca="1" si="9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>
        <f>IF(C79&lt;&gt;"",
IF(O79=1,クライアント抽出!E9,クライアント抽出!F9),"")</f>
        <v/>
      </c>
      <c r="J79" s="199" t="str">
        <f>IF(C79&lt;&gt;"",
VLOOKUP(
IF(COUNTIF(D79,"*学食*"),"キャラ弁（学食）",
IF(COUNTIF(D79,"*赤*"),"赤",
IF(COUNTIF(D79,"*キャラ弁当*"),"キャラ弁当",D79))),注文弁当の抽出!$E$1:$F$15,2,FALSE),"")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 cm="1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4"/>
        <v>0</v>
      </c>
      <c r="P79" s="199">
        <f t="shared" si="15"/>
        <v>0</v>
      </c>
      <c r="Q79" s="199" t="b">
        <f t="shared" si="16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>
        <f t="array" aca="1" ref="W79" ca="1">IF($R79&lt;&gt;"",
IF(COUNTIF(INDIRECT("B"&amp;R79&amp;""),"*雙葉*"),
INDIRECT("H"&amp;R79&amp;"")+INDIRECT("H"&amp;MATCH("雙葉'",INDIRECT("B"&amp;R79+1&amp;":B210"),0)+R79&amp;""),
IF(LEFT(INDIRECT("B"&amp;R79&amp;""),2)="博多",
INDIRECT("H"&amp;R79&amp;"")+INDIRECT("H"&amp;MATCH("*"&amp;INDIRECT("B"&amp;R79&amp;"")&amp;"*",INDIRECT("B"&amp;R79+1&amp;":B210"),0)+R79&amp;""),
IF(LEFT(INDIRECT("B"&amp;R79&amp;""),3)="奈良屋",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INDIRECT(""&amp;IF(COLUMN(I99)&lt;=26,CHAR(COLUMN(I99)+64),CHAR(INT((COLUMN(I99)-1)/26)+64)&amp;CHAR(MOD(COLUMN(I99)-1,26)+65))&amp;$R79&amp;""),"")</f>
        <v/>
      </c>
      <c r="Y79" s="51" t="str" cm="1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7"/>
        <v/>
      </c>
      <c r="AA79" s="51" t="str">
        <f t="shared" ca="1" si="8"/>
        <v/>
      </c>
      <c r="AB79" s="51" t="str" cm="1">
        <f t="array" aca="1" ref="AB79" ca="1">IF($R79&lt;&gt;"",
IF(COUNTIF(INDIRECT("B"&amp;R79&amp;""),"*雙葉*"),
INDIRECT("M"&amp;R79&amp;"")+INDIRECT("M"&amp;MATCH("雙葉'",INDIRECT("B"&amp;R79+1&amp;":B210"),0)+R79&amp;""),
IF(LEFT(INDIRECT("B"&amp;R79&amp;""),2)="博多",
INDIRECT("M"&amp;R79&amp;"")+INDIRECT("M"&amp;MATCH("*"&amp;INDIRECT("B"&amp;R79&amp;"")&amp;"*",INDIRECT("B"&amp;R79+1&amp;":B210"),0)+R79&amp;""),
IF(LEFT(INDIRECT("B"&amp;R79&amp;""),3)="奈良屋",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 x14ac:dyDescent="0.45">
      <c r="A80" s="198">
        <f t="shared" si="13"/>
        <v>25</v>
      </c>
      <c r="B80" s="199" t="str">
        <f t="shared" ca="1" si="9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>
        <f>IF(C80&lt;&gt;"",
IF(O80=1,クライアント抽出!E10,クライアント抽出!F10),"")</f>
        <v/>
      </c>
      <c r="J80" s="199" t="str">
        <f>IF(C80&lt;&gt;"",
VLOOKUP(
IF(COUNTIF(D80,"*学食*"),"キャラ弁（学食）",
IF(COUNTIF(D80,"*赤*"),"赤",
IF(COUNTIF(D80,"*キャラ弁当*"),"キャラ弁当",D80))),注文弁当の抽出!$E$1:$F$15,2,FALSE),"")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 cm="1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4"/>
        <v>0</v>
      </c>
      <c r="P80" s="199">
        <f t="shared" si="15"/>
        <v>0</v>
      </c>
      <c r="Q80" s="199" t="b">
        <f t="shared" si="16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>
        <f t="array" aca="1" ref="W80" ca="1">IF($R80&lt;&gt;"",
IF(COUNTIF(INDIRECT("B"&amp;R80&amp;""),"*雙葉*"),
INDIRECT("H"&amp;R80&amp;"")+INDIRECT("H"&amp;MATCH("雙葉'",INDIRECT("B"&amp;R80+1&amp;":B210"),0)+R80&amp;""),
IF(LEFT(INDIRECT("B"&amp;R80&amp;""),2)="博多",
INDIRECT("H"&amp;R80&amp;"")+INDIRECT("H"&amp;MATCH("*"&amp;INDIRECT("B"&amp;R80&amp;"")&amp;"*",INDIRECT("B"&amp;R80+1&amp;":B210"),0)+R80&amp;""),
IF(LEFT(INDIRECT("B"&amp;R80&amp;""),3)="奈良屋",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INDIRECT(""&amp;IF(COLUMN(I100)&lt;=26,CHAR(COLUMN(I100)+64),CHAR(INT((COLUMN(I100)-1)/26)+64)&amp;CHAR(MOD(COLUMN(I100)-1,26)+65))&amp;$R80&amp;""),"")</f>
        <v/>
      </c>
      <c r="Y80" s="51" t="str" cm="1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7"/>
        <v/>
      </c>
      <c r="AA80" s="51" t="str">
        <f t="shared" ca="1" si="8"/>
        <v/>
      </c>
      <c r="AB80" s="51" t="str" cm="1">
        <f t="array" aca="1" ref="AB80" ca="1">IF($R80&lt;&gt;"",
IF(COUNTIF(INDIRECT("B"&amp;R80&amp;""),"*雙葉*"),
INDIRECT("M"&amp;R80&amp;"")+INDIRECT("M"&amp;MATCH("雙葉'",INDIRECT("B"&amp;R80+1&amp;":B210"),0)+R80&amp;""),
IF(LEFT(INDIRECT("B"&amp;R80&amp;""),2)="博多",
INDIRECT("M"&amp;R80&amp;"")+INDIRECT("M"&amp;MATCH("*"&amp;INDIRECT("B"&amp;R80&amp;"")&amp;"*",INDIRECT("B"&amp;R80+1&amp;":B210"),0)+R80&amp;""),
IF(LEFT(INDIRECT("B"&amp;R80&amp;""),3)="奈良屋",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 x14ac:dyDescent="0.45">
      <c r="A81" s="198">
        <f t="shared" si="13"/>
        <v>27</v>
      </c>
      <c r="B81" s="199" t="str">
        <f t="shared" ca="1" si="9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>
        <f>IF(C81&lt;&gt;"",
IF(O81=1,クライアント抽出!E11,クライアント抽出!F11),"")</f>
        <v/>
      </c>
      <c r="J81" s="199" t="str">
        <f>IF(C81&lt;&gt;"",
VLOOKUP(
IF(COUNTIF(D81,"*学食*"),"キャラ弁（学食）",
IF(COUNTIF(D81,"*赤*"),"赤",
IF(COUNTIF(D81,"*キャラ弁当*"),"キャラ弁当",D81))),注文弁当の抽出!$E$1:$F$15,2,FALSE),"")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 cm="1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4"/>
        <v>0</v>
      </c>
      <c r="P81" s="199">
        <f t="shared" si="15"/>
        <v>0</v>
      </c>
      <c r="Q81" s="199" t="b">
        <f t="shared" si="16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>
        <f t="array" aca="1" ref="W81" ca="1">IF($R81&lt;&gt;"",
IF(COUNTIF(INDIRECT("B"&amp;R81&amp;""),"*雙葉*"),
INDIRECT("H"&amp;R81&amp;"")+INDIRECT("H"&amp;MATCH("雙葉'",INDIRECT("B"&amp;R81+1&amp;":B210"),0)+R81&amp;""),
IF(LEFT(INDIRECT("B"&amp;R81&amp;""),2)="博多",
INDIRECT("H"&amp;R81&amp;"")+INDIRECT("H"&amp;MATCH("*"&amp;INDIRECT("B"&amp;R81&amp;"")&amp;"*",INDIRECT("B"&amp;R81+1&amp;":B210"),0)+R81&amp;""),
IF(LEFT(INDIRECT("B"&amp;R81&amp;""),3)="奈良屋",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INDIRECT(""&amp;IF(COLUMN(I101)&lt;=26,CHAR(COLUMN(I101)+64),CHAR(INT((COLUMN(I101)-1)/26)+64)&amp;CHAR(MOD(COLUMN(I101)-1,26)+65))&amp;$R81&amp;""),"")</f>
        <v/>
      </c>
      <c r="Y81" s="51" t="str" cm="1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7"/>
        <v/>
      </c>
      <c r="AA81" s="51" t="str">
        <f t="shared" ca="1" si="8"/>
        <v/>
      </c>
      <c r="AB81" s="51" t="str" cm="1">
        <f t="array" aca="1" ref="AB81" ca="1">IF($R81&lt;&gt;"",
IF(COUNTIF(INDIRECT("B"&amp;R81&amp;""),"*雙葉*"),
INDIRECT("M"&amp;R81&amp;"")+INDIRECT("M"&amp;MATCH("雙葉'",INDIRECT("B"&amp;R81+1&amp;":B210"),0)+R81&amp;""),
IF(LEFT(INDIRECT("B"&amp;R81&amp;""),2)="博多",
INDIRECT("M"&amp;R81&amp;"")+INDIRECT("M"&amp;MATCH("*"&amp;INDIRECT("B"&amp;R81&amp;"")&amp;"*",INDIRECT("B"&amp;R81+1&amp;":B210"),0)+R81&amp;""),
IF(LEFT(INDIRECT("B"&amp;R81&amp;""),3)="奈良屋",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 x14ac:dyDescent="0.45">
      <c r="A82" s="198">
        <f t="shared" si="13"/>
        <v>29</v>
      </c>
      <c r="B82" s="199" t="str">
        <f t="shared" ca="1" si="9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>
        <f>IF(C82&lt;&gt;"",
IF(O82=1,クライアント抽出!E12,クライアント抽出!F12),"")</f>
        <v/>
      </c>
      <c r="J82" s="199" t="str">
        <f>IF(C82&lt;&gt;"",
VLOOKUP(
IF(COUNTIF(D82,"*学食*"),"キャラ弁（学食）",
IF(COUNTIF(D82,"*赤*"),"赤",
IF(COUNTIF(D82,"*キャラ弁当*"),"キャラ弁当",D82))),注文弁当の抽出!$E$1:$F$15,2,FALSE),"")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 cm="1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4"/>
        <v>0</v>
      </c>
      <c r="P82" s="199">
        <f t="shared" si="15"/>
        <v>0</v>
      </c>
      <c r="Q82" s="199" t="b">
        <f t="shared" si="16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>
        <f t="array" aca="1" ref="W82" ca="1">IF($R82&lt;&gt;"",
IF(COUNTIF(INDIRECT("B"&amp;R82&amp;""),"*雙葉*"),
INDIRECT("H"&amp;R82&amp;"")+INDIRECT("H"&amp;MATCH("雙葉'",INDIRECT("B"&amp;R82+1&amp;":B210"),0)+R82&amp;""),
IF(LEFT(INDIRECT("B"&amp;R82&amp;""),2)="博多",
INDIRECT("H"&amp;R82&amp;"")+INDIRECT("H"&amp;MATCH("*"&amp;INDIRECT("B"&amp;R82&amp;"")&amp;"*",INDIRECT("B"&amp;R82+1&amp;":B210"),0)+R82&amp;""),
IF(LEFT(INDIRECT("B"&amp;R82&amp;""),3)="奈良屋",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INDIRECT(""&amp;IF(COLUMN(I102)&lt;=26,CHAR(COLUMN(I102)+64),CHAR(INT((COLUMN(I102)-1)/26)+64)&amp;CHAR(MOD(COLUMN(I102)-1,26)+65))&amp;$R82&amp;""),"")</f>
        <v/>
      </c>
      <c r="Y82" s="51" t="str" cm="1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7"/>
        <v/>
      </c>
      <c r="AA82" s="51" t="str">
        <f t="shared" ca="1" si="8"/>
        <v/>
      </c>
      <c r="AB82" s="51" t="str" cm="1">
        <f t="array" aca="1" ref="AB82" ca="1">IF($R82&lt;&gt;"",
IF(COUNTIF(INDIRECT("B"&amp;R82&amp;""),"*雙葉*"),
INDIRECT("M"&amp;R82&amp;"")+INDIRECT("M"&amp;MATCH("雙葉'",INDIRECT("B"&amp;R82+1&amp;":B210"),0)+R82&amp;""),
IF(LEFT(INDIRECT("B"&amp;R82&amp;""),2)="博多",
INDIRECT("M"&amp;R82&amp;"")+INDIRECT("M"&amp;MATCH("*"&amp;INDIRECT("B"&amp;R82&amp;"")&amp;"*",INDIRECT("B"&amp;R82+1&amp;":B210"),0)+R82&amp;""),
IF(LEFT(INDIRECT("B"&amp;R82&amp;""),3)="奈良屋",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 x14ac:dyDescent="0.45">
      <c r="A83" s="198">
        <f t="shared" si="13"/>
        <v>31</v>
      </c>
      <c r="B83" s="199" t="str">
        <f t="shared" ca="1" si="9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>
        <f>IF(C83&lt;&gt;"",
IF(O83=1,クライアント抽出!E13,クライアント抽出!F13),"")</f>
        <v/>
      </c>
      <c r="J83" s="199" t="str">
        <f>IF(C83&lt;&gt;"",
VLOOKUP(
IF(COUNTIF(D83,"*学食*"),"キャラ弁（学食）",
IF(COUNTIF(D83,"*赤*"),"赤",
IF(COUNTIF(D83,"*キャラ弁当*"),"キャラ弁当",D83))),注文弁当の抽出!$E$1:$F$15,2,FALSE),"")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 cm="1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4"/>
        <v>0</v>
      </c>
      <c r="P83" s="199">
        <f t="shared" si="15"/>
        <v>0</v>
      </c>
      <c r="Q83" s="199" t="b">
        <f t="shared" si="16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>
        <f t="array" aca="1" ref="W83" ca="1">IF($R83&lt;&gt;"",
IF(COUNTIF(INDIRECT("B"&amp;R83&amp;""),"*雙葉*"),
INDIRECT("H"&amp;R83&amp;"")+INDIRECT("H"&amp;MATCH("雙葉'",INDIRECT("B"&amp;R83+1&amp;":B210"),0)+R83&amp;""),
IF(LEFT(INDIRECT("B"&amp;R83&amp;""),2)="博多",
INDIRECT("H"&amp;R83&amp;"")+INDIRECT("H"&amp;MATCH("*"&amp;INDIRECT("B"&amp;R83&amp;"")&amp;"*",INDIRECT("B"&amp;R83+1&amp;":B210"),0)+R83&amp;""),
IF(LEFT(INDIRECT("B"&amp;R83&amp;""),3)="奈良屋",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INDIRECT(""&amp;IF(COLUMN(I103)&lt;=26,CHAR(COLUMN(I103)+64),CHAR(INT((COLUMN(I103)-1)/26)+64)&amp;CHAR(MOD(COLUMN(I103)-1,26)+65))&amp;$R83&amp;""),"")</f>
        <v/>
      </c>
      <c r="Y83" s="51" t="str" cm="1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7"/>
        <v/>
      </c>
      <c r="AA83" s="51" t="str">
        <f t="shared" ca="1" si="8"/>
        <v/>
      </c>
      <c r="AB83" s="51" t="str" cm="1">
        <f t="array" aca="1" ref="AB83" ca="1">IF($R83&lt;&gt;"",
IF(COUNTIF(INDIRECT("B"&amp;R83&amp;""),"*雙葉*"),
INDIRECT("M"&amp;R83&amp;"")+INDIRECT("M"&amp;MATCH("雙葉'",INDIRECT("B"&amp;R83+1&amp;":B210"),0)+R83&amp;""),
IF(LEFT(INDIRECT("B"&amp;R83&amp;""),2)="博多",
INDIRECT("M"&amp;R83&amp;"")+INDIRECT("M"&amp;MATCH("*"&amp;INDIRECT("B"&amp;R83&amp;"")&amp;"*",INDIRECT("B"&amp;R83+1&amp;":B210"),0)+R83&amp;""),
IF(LEFT(INDIRECT("B"&amp;R83&amp;""),3)="奈良屋",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 x14ac:dyDescent="0.45">
      <c r="A84" s="198">
        <f t="shared" si="13"/>
        <v>33</v>
      </c>
      <c r="B84" s="199" t="str">
        <f t="shared" ca="1" si="9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>
        <f>IF(C84&lt;&gt;"",
IF(O84=1,クライアント抽出!E14,クライアント抽出!F14),"")</f>
        <v/>
      </c>
      <c r="J84" s="199" t="str">
        <f>IF(C84&lt;&gt;"",
VLOOKUP(
IF(COUNTIF(D84,"*学食*"),"キャラ弁（学食）",
IF(COUNTIF(D84,"*赤*"),"赤",
IF(COUNTIF(D84,"*キャラ弁当*"),"キャラ弁当",D84))),注文弁当の抽出!$E$1:$F$15,2,FALSE),"")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 cm="1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4"/>
        <v>0</v>
      </c>
      <c r="P84" s="199">
        <f t="shared" si="15"/>
        <v>0</v>
      </c>
      <c r="Q84" s="199" t="b">
        <f t="shared" si="16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>
        <f t="array" aca="1" ref="W84" ca="1">IF($R84&lt;&gt;"",
IF(COUNTIF(INDIRECT("B"&amp;R84&amp;""),"*雙葉*"),
INDIRECT("H"&amp;R84&amp;"")+INDIRECT("H"&amp;MATCH("雙葉'",INDIRECT("B"&amp;R84+1&amp;":B210"),0)+R84&amp;""),
IF(LEFT(INDIRECT("B"&amp;R84&amp;""),2)="博多",
INDIRECT("H"&amp;R84&amp;"")+INDIRECT("H"&amp;MATCH("*"&amp;INDIRECT("B"&amp;R84&amp;"")&amp;"*",INDIRECT("B"&amp;R84+1&amp;":B210"),0)+R84&amp;""),
IF(LEFT(INDIRECT("B"&amp;R84&amp;""),3)="奈良屋",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INDIRECT(""&amp;IF(COLUMN(I104)&lt;=26,CHAR(COLUMN(I104)+64),CHAR(INT((COLUMN(I104)-1)/26)+64)&amp;CHAR(MOD(COLUMN(I104)-1,26)+65))&amp;$R84&amp;""),"")</f>
        <v/>
      </c>
      <c r="Y84" s="51" t="str" cm="1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7"/>
        <v/>
      </c>
      <c r="AA84" s="51" t="str">
        <f t="shared" ca="1" si="8"/>
        <v/>
      </c>
      <c r="AB84" s="51" t="str" cm="1">
        <f t="array" aca="1" ref="AB84" ca="1">IF($R84&lt;&gt;"",
IF(COUNTIF(INDIRECT("B"&amp;R84&amp;""),"*雙葉*"),
INDIRECT("M"&amp;R84&amp;"")+INDIRECT("M"&amp;MATCH("雙葉'",INDIRECT("B"&amp;R84+1&amp;":B210"),0)+R84&amp;""),
IF(LEFT(INDIRECT("B"&amp;R84&amp;""),2)="博多",
INDIRECT("M"&amp;R84&amp;"")+INDIRECT("M"&amp;MATCH("*"&amp;INDIRECT("B"&amp;R84&amp;"")&amp;"*",INDIRECT("B"&amp;R84+1&amp;":B210"),0)+R84&amp;""),
IF(LEFT(INDIRECT("B"&amp;R84&amp;""),3)="奈良屋",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 x14ac:dyDescent="0.45">
      <c r="A85" s="198">
        <f t="shared" si="13"/>
        <v>35</v>
      </c>
      <c r="B85" s="199" t="str">
        <f t="shared" ca="1" si="9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>
        <f>IF(C85&lt;&gt;"",
IF(O85=1,クライアント抽出!E15,クライアント抽出!F15),"")</f>
        <v/>
      </c>
      <c r="J85" s="199" t="str">
        <f>IF(C85&lt;&gt;"",
VLOOKUP(
IF(COUNTIF(D85,"*学食*"),"キャラ弁（学食）",
IF(COUNTIF(D85,"*赤*"),"赤",
IF(COUNTIF(D85,"*キャラ弁当*"),"キャラ弁当",D85))),注文弁当の抽出!$E$1:$F$15,2,FALSE),"")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 cm="1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4"/>
        <v>0</v>
      </c>
      <c r="P85" s="199">
        <f t="shared" si="15"/>
        <v>0</v>
      </c>
      <c r="Q85" s="199" t="b">
        <f t="shared" si="16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>
        <f t="array" aca="1" ref="W85" ca="1">IF($R85&lt;&gt;"",
IF(COUNTIF(INDIRECT("B"&amp;R85&amp;""),"*雙葉*"),
INDIRECT("H"&amp;R85&amp;"")+INDIRECT("H"&amp;MATCH("雙葉'",INDIRECT("B"&amp;R85+1&amp;":B210"),0)+R85&amp;""),
IF(LEFT(INDIRECT("B"&amp;R85&amp;""),2)="博多",
INDIRECT("H"&amp;R85&amp;"")+INDIRECT("H"&amp;MATCH("*"&amp;INDIRECT("B"&amp;R85&amp;"")&amp;"*",INDIRECT("B"&amp;R85+1&amp;":B210"),0)+R85&amp;""),
IF(LEFT(INDIRECT("B"&amp;R85&amp;""),3)="奈良屋",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INDIRECT(""&amp;IF(COLUMN(I105)&lt;=26,CHAR(COLUMN(I105)+64),CHAR(INT((COLUMN(I105)-1)/26)+64)&amp;CHAR(MOD(COLUMN(I105)-1,26)+65))&amp;$R85&amp;""),"")</f>
        <v/>
      </c>
      <c r="Y85" s="51" t="str" cm="1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7"/>
        <v/>
      </c>
      <c r="AA85" s="51" t="str">
        <f t="shared" ca="1" si="8"/>
        <v/>
      </c>
      <c r="AB85" s="51" t="str" cm="1">
        <f t="array" aca="1" ref="AB85" ca="1">IF($R85&lt;&gt;"",
IF(COUNTIF(INDIRECT("B"&amp;R85&amp;""),"*雙葉*"),
INDIRECT("M"&amp;R85&amp;"")+INDIRECT("M"&amp;MATCH("雙葉'",INDIRECT("B"&amp;R85+1&amp;":B210"),0)+R85&amp;""),
IF(LEFT(INDIRECT("B"&amp;R85&amp;""),2)="博多",
INDIRECT("M"&amp;R85&amp;"")+INDIRECT("M"&amp;MATCH("*"&amp;INDIRECT("B"&amp;R85&amp;"")&amp;"*",INDIRECT("B"&amp;R85+1&amp;":B210"),0)+R85&amp;""),
IF(LEFT(INDIRECT("B"&amp;R85&amp;""),3)="奈良屋",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 x14ac:dyDescent="0.45">
      <c r="A86" s="198">
        <f t="shared" si="13"/>
        <v>37</v>
      </c>
      <c r="B86" s="199" t="str">
        <f t="shared" ca="1" si="9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>
        <f>IF(C86&lt;&gt;"",
IF(O86=1,クライアント抽出!E16,クライアント抽出!F16),"")</f>
        <v/>
      </c>
      <c r="J86" s="199" t="str">
        <f>IF(C86&lt;&gt;"",
VLOOKUP(
IF(COUNTIF(D86,"*学食*"),"キャラ弁（学食）",
IF(COUNTIF(D86,"*赤*"),"赤",
IF(COUNTIF(D86,"*キャラ弁当*"),"キャラ弁当",D86))),注文弁当の抽出!$E$1:$F$15,2,FALSE),"")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 cm="1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4"/>
        <v>0</v>
      </c>
      <c r="P86" s="199">
        <f t="shared" si="15"/>
        <v>0</v>
      </c>
      <c r="Q86" s="199" t="b">
        <f t="shared" si="16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>
        <f t="array" aca="1" ref="W86" ca="1">IF($R86&lt;&gt;"",
IF(COUNTIF(INDIRECT("B"&amp;R86&amp;""),"*雙葉*"),
INDIRECT("H"&amp;R86&amp;"")+INDIRECT("H"&amp;MATCH("雙葉'",INDIRECT("B"&amp;R86+1&amp;":B210"),0)+R86&amp;""),
IF(LEFT(INDIRECT("B"&amp;R86&amp;""),2)="博多",
INDIRECT("H"&amp;R86&amp;"")+INDIRECT("H"&amp;MATCH("*"&amp;INDIRECT("B"&amp;R86&amp;"")&amp;"*",INDIRECT("B"&amp;R86+1&amp;":B210"),0)+R86&amp;""),
IF(LEFT(INDIRECT("B"&amp;R86&amp;""),3)="奈良屋",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INDIRECT(""&amp;IF(COLUMN(I106)&lt;=26,CHAR(COLUMN(I106)+64),CHAR(INT((COLUMN(I106)-1)/26)+64)&amp;CHAR(MOD(COLUMN(I106)-1,26)+65))&amp;$R86&amp;""),"")</f>
        <v/>
      </c>
      <c r="Y86" s="51" t="str" cm="1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7"/>
        <v/>
      </c>
      <c r="AA86" s="51" t="str">
        <f t="shared" ca="1" si="8"/>
        <v/>
      </c>
      <c r="AB86" s="51" t="str" cm="1">
        <f t="array" aca="1" ref="AB86" ca="1">IF($R86&lt;&gt;"",
IF(COUNTIF(INDIRECT("B"&amp;R86&amp;""),"*雙葉*"),
INDIRECT("M"&amp;R86&amp;"")+INDIRECT("M"&amp;MATCH("雙葉'",INDIRECT("B"&amp;R86+1&amp;":B210"),0)+R86&amp;""),
IF(LEFT(INDIRECT("B"&amp;R86&amp;""),2)="博多",
INDIRECT("M"&amp;R86&amp;"")+INDIRECT("M"&amp;MATCH("*"&amp;INDIRECT("B"&amp;R86&amp;"")&amp;"*",INDIRECT("B"&amp;R86+1&amp;":B210"),0)+R86&amp;""),
IF(LEFT(INDIRECT("B"&amp;R86&amp;""),3)="奈良屋",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 x14ac:dyDescent="0.45">
      <c r="A87" s="198">
        <f t="shared" si="13"/>
        <v>39</v>
      </c>
      <c r="B87" s="199" t="str">
        <f t="shared" ca="1" si="9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>
        <f>IF(C87&lt;&gt;"",
IF(O87=1,クライアント抽出!E17,クライアント抽出!F17),"")</f>
        <v/>
      </c>
      <c r="J87" s="199" t="str">
        <f>IF(C87&lt;&gt;"",
VLOOKUP(
IF(COUNTIF(D87,"*学食*"),"キャラ弁（学食）",
IF(COUNTIF(D87,"*赤*"),"赤",
IF(COUNTIF(D87,"*キャラ弁当*"),"キャラ弁当",D87))),注文弁当の抽出!$E$1:$F$15,2,FALSE),"")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 cm="1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4"/>
        <v>0</v>
      </c>
      <c r="P87" s="199">
        <f t="shared" si="15"/>
        <v>0</v>
      </c>
      <c r="Q87" s="199" t="b">
        <f t="shared" si="16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>
        <f t="array" aca="1" ref="W87" ca="1">IF($R87&lt;&gt;"",
IF(COUNTIF(INDIRECT("B"&amp;R87&amp;""),"*雙葉*"),
INDIRECT("H"&amp;R87&amp;"")+INDIRECT("H"&amp;MATCH("雙葉'",INDIRECT("B"&amp;R87+1&amp;":B210"),0)+R87&amp;""),
IF(LEFT(INDIRECT("B"&amp;R87&amp;""),2)="博多",
INDIRECT("H"&amp;R87&amp;"")+INDIRECT("H"&amp;MATCH("*"&amp;INDIRECT("B"&amp;R87&amp;"")&amp;"*",INDIRECT("B"&amp;R87+1&amp;":B210"),0)+R87&amp;""),
IF(LEFT(INDIRECT("B"&amp;R87&amp;""),3)="奈良屋",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INDIRECT(""&amp;IF(COLUMN(I107)&lt;=26,CHAR(COLUMN(I107)+64),CHAR(INT((COLUMN(I107)-1)/26)+64)&amp;CHAR(MOD(COLUMN(I107)-1,26)+65))&amp;$R87&amp;""),"")</f>
        <v/>
      </c>
      <c r="Y87" s="51" t="str" cm="1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7"/>
        <v/>
      </c>
      <c r="AA87" s="51" t="str">
        <f t="shared" ca="1" si="8"/>
        <v/>
      </c>
      <c r="AB87" s="51" t="str" cm="1">
        <f t="array" aca="1" ref="AB87" ca="1">IF($R87&lt;&gt;"",
IF(COUNTIF(INDIRECT("B"&amp;R87&amp;""),"*雙葉*"),
INDIRECT("M"&amp;R87&amp;"")+INDIRECT("M"&amp;MATCH("雙葉'",INDIRECT("B"&amp;R87+1&amp;":B210"),0)+R87&amp;""),
IF(LEFT(INDIRECT("B"&amp;R87&amp;""),2)="博多",
INDIRECT("M"&amp;R87&amp;"")+INDIRECT("M"&amp;MATCH("*"&amp;INDIRECT("B"&amp;R87&amp;"")&amp;"*",INDIRECT("B"&amp;R87+1&amp;":B210"),0)+R87&amp;""),
IF(LEFT(INDIRECT("B"&amp;R87&amp;""),3)="奈良屋",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 x14ac:dyDescent="0.45">
      <c r="A88" s="198">
        <f t="shared" si="13"/>
        <v>41</v>
      </c>
      <c r="B88" s="199" t="str">
        <f t="shared" ca="1" si="9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>
        <f>IF(C88&lt;&gt;"",
IF(O88=1,クライアント抽出!E18,クライアント抽出!F18),"")</f>
        <v/>
      </c>
      <c r="J88" s="199" t="str">
        <f>IF(C88&lt;&gt;"",
VLOOKUP(
IF(COUNTIF(D88,"*学食*"),"キャラ弁（学食）",
IF(COUNTIF(D88,"*赤*"),"赤",
IF(COUNTIF(D88,"*キャラ弁当*"),"キャラ弁当",D88))),注文弁当の抽出!$E$1:$F$15,2,FALSE),"")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 cm="1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4"/>
        <v>0</v>
      </c>
      <c r="P88" s="199">
        <f t="shared" si="15"/>
        <v>0</v>
      </c>
      <c r="Q88" s="199" t="b">
        <f t="shared" si="16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>
        <f t="array" aca="1" ref="W88" ca="1">IF($R88&lt;&gt;"",
IF(COUNTIF(INDIRECT("B"&amp;R88&amp;""),"*雙葉*"),
INDIRECT("H"&amp;R88&amp;"")+INDIRECT("H"&amp;MATCH("雙葉'",INDIRECT("B"&amp;R88+1&amp;":B210"),0)+R88&amp;""),
IF(LEFT(INDIRECT("B"&amp;R88&amp;""),2)="博多",
INDIRECT("H"&amp;R88&amp;"")+INDIRECT("H"&amp;MATCH("*"&amp;INDIRECT("B"&amp;R88&amp;"")&amp;"*",INDIRECT("B"&amp;R88+1&amp;":B210"),0)+R88&amp;""),
IF(LEFT(INDIRECT("B"&amp;R88&amp;""),3)="奈良屋",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INDIRECT(""&amp;IF(COLUMN(I108)&lt;=26,CHAR(COLUMN(I108)+64),CHAR(INT((COLUMN(I108)-1)/26)+64)&amp;CHAR(MOD(COLUMN(I108)-1,26)+65))&amp;$R88&amp;""),"")</f>
        <v/>
      </c>
      <c r="Y88" s="51" t="str" cm="1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7"/>
        <v/>
      </c>
      <c r="AA88" s="51" t="str">
        <f t="shared" ca="1" si="8"/>
        <v/>
      </c>
      <c r="AB88" s="51" t="str" cm="1">
        <f t="array" aca="1" ref="AB88" ca="1">IF($R88&lt;&gt;"",
IF(COUNTIF(INDIRECT("B"&amp;R88&amp;""),"*雙葉*"),
INDIRECT("M"&amp;R88&amp;"")+INDIRECT("M"&amp;MATCH("雙葉'",INDIRECT("B"&amp;R88+1&amp;":B210"),0)+R88&amp;""),
IF(LEFT(INDIRECT("B"&amp;R88&amp;""),2)="博多",
INDIRECT("M"&amp;R88&amp;"")+INDIRECT("M"&amp;MATCH("*"&amp;INDIRECT("B"&amp;R88&amp;"")&amp;"*",INDIRECT("B"&amp;R88+1&amp;":B210"),0)+R88&amp;""),
IF(LEFT(INDIRECT("B"&amp;R88&amp;""),3)="奈良屋",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 x14ac:dyDescent="0.45">
      <c r="A89" s="198">
        <f t="shared" si="13"/>
        <v>43</v>
      </c>
      <c r="B89" s="199" t="str">
        <f t="shared" ca="1" si="9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>
        <f>IF(C89&lt;&gt;"",
IF(O89=1,クライアント抽出!E19,クライアント抽出!F19),"")</f>
        <v/>
      </c>
      <c r="J89" s="199" t="str">
        <f>IF(C89&lt;&gt;"",
VLOOKUP(
IF(COUNTIF(D89,"*学食*"),"キャラ弁（学食）",
IF(COUNTIF(D89,"*赤*"),"赤",
IF(COUNTIF(D89,"*キャラ弁当*"),"キャラ弁当",D89))),注文弁当の抽出!$E$1:$F$15,2,FALSE),"")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 cm="1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4"/>
        <v>0</v>
      </c>
      <c r="P89" s="199">
        <f t="shared" si="15"/>
        <v>0</v>
      </c>
      <c r="Q89" s="199" t="b">
        <f t="shared" si="16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>
        <f t="array" aca="1" ref="W89" ca="1">IF($R89&lt;&gt;"",
IF(COUNTIF(INDIRECT("B"&amp;R89&amp;""),"*雙葉*"),
INDIRECT("H"&amp;R89&amp;"")+INDIRECT("H"&amp;MATCH("雙葉'",INDIRECT("B"&amp;R89+1&amp;":B210"),0)+R89&amp;""),
IF(LEFT(INDIRECT("B"&amp;R89&amp;""),2)="博多",
INDIRECT("H"&amp;R89&amp;"")+INDIRECT("H"&amp;MATCH("*"&amp;INDIRECT("B"&amp;R89&amp;"")&amp;"*",INDIRECT("B"&amp;R89+1&amp;":B210"),0)+R89&amp;""),
IF(LEFT(INDIRECT("B"&amp;R89&amp;""),3)="奈良屋",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INDIRECT(""&amp;IF(COLUMN(I109)&lt;=26,CHAR(COLUMN(I109)+64),CHAR(INT((COLUMN(I109)-1)/26)+64)&amp;CHAR(MOD(COLUMN(I109)-1,26)+65))&amp;$R89&amp;""),"")</f>
        <v/>
      </c>
      <c r="Y89" s="51" t="str" cm="1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7"/>
        <v/>
      </c>
      <c r="AA89" s="51" t="str">
        <f t="shared" ca="1" si="8"/>
        <v/>
      </c>
      <c r="AB89" s="51" t="str" cm="1">
        <f t="array" aca="1" ref="AB89" ca="1">IF($R89&lt;&gt;"",
IF(COUNTIF(INDIRECT("B"&amp;R89&amp;""),"*雙葉*"),
INDIRECT("M"&amp;R89&amp;"")+INDIRECT("M"&amp;MATCH("雙葉'",INDIRECT("B"&amp;R89+1&amp;":B210"),0)+R89&amp;""),
IF(LEFT(INDIRECT("B"&amp;R89&amp;""),2)="博多",
INDIRECT("M"&amp;R89&amp;"")+INDIRECT("M"&amp;MATCH("*"&amp;INDIRECT("B"&amp;R89&amp;"")&amp;"*",INDIRECT("B"&amp;R89+1&amp;":B210"),0)+R89&amp;""),
IF(LEFT(INDIRECT("B"&amp;R89&amp;""),3)="奈良屋",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 x14ac:dyDescent="0.45">
      <c r="A90" s="198">
        <f t="shared" si="13"/>
        <v>45</v>
      </c>
      <c r="B90" s="199" t="str">
        <f t="shared" ca="1" si="9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>
        <f>IF(C90&lt;&gt;"",
IF(O90=1,クライアント抽出!E20,クライアント抽出!F20),"")</f>
        <v/>
      </c>
      <c r="J90" s="199" t="str">
        <f>IF(C90&lt;&gt;"",
VLOOKUP(
IF(COUNTIF(D90,"*学食*"),"キャラ弁（学食）",
IF(COUNTIF(D90,"*赤*"),"赤",
IF(COUNTIF(D90,"*キャラ弁当*"),"キャラ弁当",D90))),注文弁当の抽出!$E$1:$F$15,2,FALSE),"")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 cm="1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4"/>
        <v>0</v>
      </c>
      <c r="P90" s="199">
        <f t="shared" si="15"/>
        <v>0</v>
      </c>
      <c r="Q90" s="199" t="b">
        <f t="shared" si="16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>
        <f t="array" aca="1" ref="W90" ca="1">IF($R90&lt;&gt;"",
IF(COUNTIF(INDIRECT("B"&amp;R90&amp;""),"*雙葉*"),
INDIRECT("H"&amp;R90&amp;"")+INDIRECT("H"&amp;MATCH("雙葉'",INDIRECT("B"&amp;R90+1&amp;":B210"),0)+R90&amp;""),
IF(LEFT(INDIRECT("B"&amp;R90&amp;""),2)="博多",
INDIRECT("H"&amp;R90&amp;"")+INDIRECT("H"&amp;MATCH("*"&amp;INDIRECT("B"&amp;R90&amp;"")&amp;"*",INDIRECT("B"&amp;R90+1&amp;":B210"),0)+R90&amp;""),
IF(LEFT(INDIRECT("B"&amp;R90&amp;""),3)="奈良屋",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INDIRECT(""&amp;IF(COLUMN(I110)&lt;=26,CHAR(COLUMN(I110)+64),CHAR(INT((COLUMN(I110)-1)/26)+64)&amp;CHAR(MOD(COLUMN(I110)-1,26)+65))&amp;$R90&amp;""),"")</f>
        <v/>
      </c>
      <c r="Y90" s="51" t="str" cm="1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7"/>
        <v/>
      </c>
      <c r="AA90" s="51" t="str">
        <f t="shared" ca="1" si="8"/>
        <v/>
      </c>
      <c r="AB90" s="51" t="str" cm="1">
        <f t="array" aca="1" ref="AB90" ca="1">IF($R90&lt;&gt;"",
IF(COUNTIF(INDIRECT("B"&amp;R90&amp;""),"*雙葉*"),
INDIRECT("M"&amp;R90&amp;"")+INDIRECT("M"&amp;MATCH("雙葉'",INDIRECT("B"&amp;R90+1&amp;":B210"),0)+R90&amp;""),
IF(LEFT(INDIRECT("B"&amp;R90&amp;""),2)="博多",
INDIRECT("M"&amp;R90&amp;"")+INDIRECT("M"&amp;MATCH("*"&amp;INDIRECT("B"&amp;R90&amp;"")&amp;"*",INDIRECT("B"&amp;R90+1&amp;":B210"),0)+R90&amp;""),
IF(LEFT(INDIRECT("B"&amp;R90&amp;""),3)="奈良屋",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 x14ac:dyDescent="0.45">
      <c r="A91" s="198">
        <f t="shared" si="13"/>
        <v>47</v>
      </c>
      <c r="B91" s="199" t="str">
        <f t="shared" ca="1" si="9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>
        <f>IF(C91&lt;&gt;"",
IF(O91=1,クライアント抽出!E21,クライアント抽出!F21),"")</f>
        <v/>
      </c>
      <c r="J91" s="199" t="str">
        <f>IF(C91&lt;&gt;"",
VLOOKUP(
IF(COUNTIF(D91,"*学食*"),"キャラ弁（学食）",
IF(COUNTIF(D91,"*赤*"),"赤",
IF(COUNTIF(D91,"*キャラ弁当*"),"キャラ弁当",D91))),注文弁当の抽出!$E$1:$F$15,2,FALSE),"")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 cm="1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4"/>
        <v>0</v>
      </c>
      <c r="P91" s="199">
        <f t="shared" si="15"/>
        <v>0</v>
      </c>
      <c r="Q91" s="199" t="b">
        <f t="shared" si="16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>
        <f t="array" aca="1" ref="W91" ca="1">IF($R91&lt;&gt;"",
IF(COUNTIF(INDIRECT("B"&amp;R91&amp;""),"*雙葉*"),
INDIRECT("H"&amp;R91&amp;"")+INDIRECT("H"&amp;MATCH("雙葉'",INDIRECT("B"&amp;R91+1&amp;":B210"),0)+R91&amp;""),
IF(LEFT(INDIRECT("B"&amp;R91&amp;""),2)="博多",
INDIRECT("H"&amp;R91&amp;"")+INDIRECT("H"&amp;MATCH("*"&amp;INDIRECT("B"&amp;R91&amp;"")&amp;"*",INDIRECT("B"&amp;R91+1&amp;":B210"),0)+R91&amp;""),
IF(LEFT(INDIRECT("B"&amp;R91&amp;""),3)="奈良屋",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INDIRECT(""&amp;IF(COLUMN(I111)&lt;=26,CHAR(COLUMN(I111)+64),CHAR(INT((COLUMN(I111)-1)/26)+64)&amp;CHAR(MOD(COLUMN(I111)-1,26)+65))&amp;$R91&amp;""),"")</f>
        <v/>
      </c>
      <c r="Y91" s="51" t="str" cm="1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7"/>
        <v/>
      </c>
      <c r="AA91" s="51" t="str">
        <f t="shared" ca="1" si="8"/>
        <v/>
      </c>
      <c r="AB91" s="51" t="str" cm="1">
        <f t="array" aca="1" ref="AB91" ca="1">IF($R91&lt;&gt;"",
IF(COUNTIF(INDIRECT("B"&amp;R91&amp;""),"*雙葉*"),
INDIRECT("M"&amp;R91&amp;"")+INDIRECT("M"&amp;MATCH("雙葉'",INDIRECT("B"&amp;R91+1&amp;":B210"),0)+R91&amp;""),
IF(LEFT(INDIRECT("B"&amp;R91&amp;""),2)="博多",
INDIRECT("M"&amp;R91&amp;"")+INDIRECT("M"&amp;MATCH("*"&amp;INDIRECT("B"&amp;R91&amp;"")&amp;"*",INDIRECT("B"&amp;R91+1&amp;":B210"),0)+R91&amp;""),
IF(LEFT(INDIRECT("B"&amp;R91&amp;""),3)="奈良屋",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 x14ac:dyDescent="0.45">
      <c r="A92" s="198">
        <f t="shared" si="13"/>
        <v>49</v>
      </c>
      <c r="B92" s="199" t="str">
        <f t="shared" ca="1" si="9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>
        <f>IF(C92&lt;&gt;"",
IF(O92=1,クライアント抽出!E22,クライアント抽出!F22),"")</f>
        <v/>
      </c>
      <c r="J92" s="199" t="str">
        <f>IF(C92&lt;&gt;"",
VLOOKUP(
IF(COUNTIF(D92,"*学食*"),"キャラ弁（学食）",
IF(COUNTIF(D92,"*赤*"),"赤",
IF(COUNTIF(D92,"*キャラ弁当*"),"キャラ弁当",D92))),注文弁当の抽出!$E$1:$F$15,2,FALSE),"")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 cm="1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4"/>
        <v>0</v>
      </c>
      <c r="P92" s="199">
        <f t="shared" si="15"/>
        <v>0</v>
      </c>
      <c r="Q92" s="199" t="b">
        <f t="shared" si="16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>
        <f t="array" aca="1" ref="W92" ca="1">IF($R92&lt;&gt;"",
IF(COUNTIF(INDIRECT("B"&amp;R92&amp;""),"*雙葉*"),
INDIRECT("H"&amp;R92&amp;"")+INDIRECT("H"&amp;MATCH("雙葉'",INDIRECT("B"&amp;R92+1&amp;":B210"),0)+R92&amp;""),
IF(LEFT(INDIRECT("B"&amp;R92&amp;""),2)="博多",
INDIRECT("H"&amp;R92&amp;"")+INDIRECT("H"&amp;MATCH("*"&amp;INDIRECT("B"&amp;R92&amp;"")&amp;"*",INDIRECT("B"&amp;R92+1&amp;":B210"),0)+R92&amp;""),
IF(LEFT(INDIRECT("B"&amp;R92&amp;""),3)="奈良屋",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INDIRECT(""&amp;IF(COLUMN(I112)&lt;=26,CHAR(COLUMN(I112)+64),CHAR(INT((COLUMN(I112)-1)/26)+64)&amp;CHAR(MOD(COLUMN(I112)-1,26)+65))&amp;$R92&amp;""),"")</f>
        <v/>
      </c>
      <c r="Y92" s="51" t="str" cm="1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7"/>
        <v/>
      </c>
      <c r="AA92" s="51" t="str">
        <f t="shared" ca="1" si="8"/>
        <v/>
      </c>
      <c r="AB92" s="51" t="str" cm="1">
        <f t="array" aca="1" ref="AB92" ca="1">IF($R92&lt;&gt;"",
IF(COUNTIF(INDIRECT("B"&amp;R92&amp;""),"*雙葉*"),
INDIRECT("M"&amp;R92&amp;"")+INDIRECT("M"&amp;MATCH("雙葉'",INDIRECT("B"&amp;R92+1&amp;":B210"),0)+R92&amp;""),
IF(LEFT(INDIRECT("B"&amp;R92&amp;""),2)="博多",
INDIRECT("M"&amp;R92&amp;"")+INDIRECT("M"&amp;MATCH("*"&amp;INDIRECT("B"&amp;R92&amp;"")&amp;"*",INDIRECT("B"&amp;R92+1&amp;":B210"),0)+R92&amp;""),
IF(LEFT(INDIRECT("B"&amp;R92&amp;""),3)="奈良屋",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 x14ac:dyDescent="0.45">
      <c r="A93" s="198">
        <f t="shared" si="13"/>
        <v>51</v>
      </c>
      <c r="B93" s="199" t="str">
        <f t="shared" ca="1" si="9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>
        <f>IF(C93&lt;&gt;"",
IF(O93=1,クライアント抽出!E23,クライアント抽出!F23),"")</f>
        <v/>
      </c>
      <c r="J93" s="199" t="str">
        <f>IF(C93&lt;&gt;"",
VLOOKUP(
IF(COUNTIF(D93,"*学食*"),"キャラ弁（学食）",
IF(COUNTIF(D93,"*赤*"),"赤",
IF(COUNTIF(D93,"*キャラ弁当*"),"キャラ弁当",D93))),注文弁当の抽出!$E$1:$F$15,2,FALSE),"")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 cm="1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4"/>
        <v>0</v>
      </c>
      <c r="P93" s="199">
        <f t="shared" si="15"/>
        <v>0</v>
      </c>
      <c r="Q93" s="199" t="b">
        <f t="shared" si="16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>
        <f t="array" aca="1" ref="W93" ca="1">IF($R93&lt;&gt;"",
IF(COUNTIF(INDIRECT("B"&amp;R93&amp;""),"*雙葉*"),
INDIRECT("H"&amp;R93&amp;"")+INDIRECT("H"&amp;MATCH("雙葉'",INDIRECT("B"&amp;R93+1&amp;":B210"),0)+R93&amp;""),
IF(LEFT(INDIRECT("B"&amp;R93&amp;""),2)="博多",
INDIRECT("H"&amp;R93&amp;"")+INDIRECT("H"&amp;MATCH("*"&amp;INDIRECT("B"&amp;R93&amp;"")&amp;"*",INDIRECT("B"&amp;R93+1&amp;":B210"),0)+R93&amp;""),
IF(LEFT(INDIRECT("B"&amp;R93&amp;""),3)="奈良屋",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INDIRECT(""&amp;IF(COLUMN(I113)&lt;=26,CHAR(COLUMN(I113)+64),CHAR(INT((COLUMN(I113)-1)/26)+64)&amp;CHAR(MOD(COLUMN(I113)-1,26)+65))&amp;$R93&amp;""),"")</f>
        <v/>
      </c>
      <c r="Y93" s="51" t="str" cm="1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7"/>
        <v/>
      </c>
      <c r="AA93" s="51" t="str">
        <f t="shared" ca="1" si="8"/>
        <v/>
      </c>
      <c r="AB93" s="51" t="str" cm="1">
        <f t="array" aca="1" ref="AB93" ca="1">IF($R93&lt;&gt;"",
IF(COUNTIF(INDIRECT("B"&amp;R93&amp;""),"*雙葉*"),
INDIRECT("M"&amp;R93&amp;"")+INDIRECT("M"&amp;MATCH("雙葉'",INDIRECT("B"&amp;R93+1&amp;":B210"),0)+R93&amp;""),
IF(LEFT(INDIRECT("B"&amp;R93&amp;""),2)="博多",
INDIRECT("M"&amp;R93&amp;"")+INDIRECT("M"&amp;MATCH("*"&amp;INDIRECT("B"&amp;R93&amp;"")&amp;"*",INDIRECT("B"&amp;R93+1&amp;":B210"),0)+R93&amp;""),
IF(LEFT(INDIRECT("B"&amp;R93&amp;""),3)="奈良屋",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 x14ac:dyDescent="0.45">
      <c r="A94" s="198">
        <f t="shared" si="13"/>
        <v>53</v>
      </c>
      <c r="B94" s="199" t="str">
        <f t="shared" ca="1" si="9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>
        <f>IF(C94&lt;&gt;"",
IF(O94=1,クライアント抽出!E24,クライアント抽出!F24),"")</f>
        <v/>
      </c>
      <c r="J94" s="199" t="str">
        <f>IF(C94&lt;&gt;"",
VLOOKUP(
IF(COUNTIF(D94,"*学食*"),"キャラ弁（学食）",
IF(COUNTIF(D94,"*赤*"),"赤",
IF(COUNTIF(D94,"*キャラ弁当*"),"キャラ弁当",D94))),注文弁当の抽出!$E$1:$F$15,2,FALSE),"")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 cm="1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4"/>
        <v>0</v>
      </c>
      <c r="P94" s="199">
        <f t="shared" si="15"/>
        <v>0</v>
      </c>
      <c r="Q94" s="199" t="b">
        <f t="shared" si="16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>
        <f t="array" aca="1" ref="W94" ca="1">IF($R94&lt;&gt;"",
IF(COUNTIF(INDIRECT("B"&amp;R94&amp;""),"*雙葉*"),
INDIRECT("H"&amp;R94&amp;"")+INDIRECT("H"&amp;MATCH("雙葉'",INDIRECT("B"&amp;R94+1&amp;":B210"),0)+R94&amp;""),
IF(LEFT(INDIRECT("B"&amp;R94&amp;""),2)="博多",
INDIRECT("H"&amp;R94&amp;"")+INDIRECT("H"&amp;MATCH("*"&amp;INDIRECT("B"&amp;R94&amp;"")&amp;"*",INDIRECT("B"&amp;R94+1&amp;":B210"),0)+R94&amp;""),
IF(LEFT(INDIRECT("B"&amp;R94&amp;""),3)="奈良屋",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INDIRECT(""&amp;IF(COLUMN(I114)&lt;=26,CHAR(COLUMN(I114)+64),CHAR(INT((COLUMN(I114)-1)/26)+64)&amp;CHAR(MOD(COLUMN(I114)-1,26)+65))&amp;$R94&amp;""),"")</f>
        <v/>
      </c>
      <c r="Y94" s="51" t="str" cm="1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7"/>
        <v/>
      </c>
      <c r="AA94" s="51" t="str">
        <f t="shared" ca="1" si="8"/>
        <v/>
      </c>
      <c r="AB94" s="51" t="str" cm="1">
        <f t="array" aca="1" ref="AB94" ca="1">IF($R94&lt;&gt;"",
IF(COUNTIF(INDIRECT("B"&amp;R94&amp;""),"*雙葉*"),
INDIRECT("M"&amp;R94&amp;"")+INDIRECT("M"&amp;MATCH("雙葉'",INDIRECT("B"&amp;R94+1&amp;":B210"),0)+R94&amp;""),
IF(LEFT(INDIRECT("B"&amp;R94&amp;""),2)="博多",
INDIRECT("M"&amp;R94&amp;"")+INDIRECT("M"&amp;MATCH("*"&amp;INDIRECT("B"&amp;R94&amp;"")&amp;"*",INDIRECT("B"&amp;R94+1&amp;":B210"),0)+R94&amp;""),
IF(LEFT(INDIRECT("B"&amp;R94&amp;""),3)="奈良屋",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 x14ac:dyDescent="0.45">
      <c r="A95" s="198">
        <f t="shared" si="13"/>
        <v>55</v>
      </c>
      <c r="B95" s="199" t="str">
        <f t="shared" ca="1" si="9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>
        <f>IF(C95&lt;&gt;"",
IF(O95=1,クライアント抽出!E25,クライアント抽出!F25),"")</f>
        <v/>
      </c>
      <c r="J95" s="199" t="str">
        <f>IF(C95&lt;&gt;"",
VLOOKUP(
IF(COUNTIF(D95,"*学食*"),"キャラ弁（学食）",
IF(COUNTIF(D95,"*赤*"),"赤",
IF(COUNTIF(D95,"*キャラ弁当*"),"キャラ弁当",D95))),注文弁当の抽出!$E$1:$F$15,2,FALSE),"")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 cm="1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4"/>
        <v>0</v>
      </c>
      <c r="P95" s="199">
        <f t="shared" si="15"/>
        <v>0</v>
      </c>
      <c r="Q95" s="199" t="b">
        <f t="shared" si="16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>
        <f t="array" aca="1" ref="W95" ca="1">IF($R95&lt;&gt;"",
IF(COUNTIF(INDIRECT("B"&amp;R95&amp;""),"*雙葉*"),
INDIRECT("H"&amp;R95&amp;"")+INDIRECT("H"&amp;MATCH("雙葉'",INDIRECT("B"&amp;R95+1&amp;":B210"),0)+R95&amp;""),
IF(LEFT(INDIRECT("B"&amp;R95&amp;""),2)="博多",
INDIRECT("H"&amp;R95&amp;"")+INDIRECT("H"&amp;MATCH("*"&amp;INDIRECT("B"&amp;R95&amp;"")&amp;"*",INDIRECT("B"&amp;R95+1&amp;":B210"),0)+R95&amp;""),
IF(LEFT(INDIRECT("B"&amp;R95&amp;""),3)="奈良屋",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INDIRECT(""&amp;IF(COLUMN(I115)&lt;=26,CHAR(COLUMN(I115)+64),CHAR(INT((COLUMN(I115)-1)/26)+64)&amp;CHAR(MOD(COLUMN(I115)-1,26)+65))&amp;$R95&amp;""),"")</f>
        <v/>
      </c>
      <c r="Y95" s="51" t="str" cm="1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7"/>
        <v/>
      </c>
      <c r="AA95" s="51" t="str">
        <f t="shared" ca="1" si="8"/>
        <v/>
      </c>
      <c r="AB95" s="51" t="str" cm="1">
        <f t="array" aca="1" ref="AB95" ca="1">IF($R95&lt;&gt;"",
IF(COUNTIF(INDIRECT("B"&amp;R95&amp;""),"*雙葉*"),
INDIRECT("M"&amp;R95&amp;"")+INDIRECT("M"&amp;MATCH("雙葉'",INDIRECT("B"&amp;R95+1&amp;":B210"),0)+R95&amp;""),
IF(LEFT(INDIRECT("B"&amp;R95&amp;""),2)="博多",
INDIRECT("M"&amp;R95&amp;"")+INDIRECT("M"&amp;MATCH("*"&amp;INDIRECT("B"&amp;R95&amp;"")&amp;"*",INDIRECT("B"&amp;R95+1&amp;":B210"),0)+R95&amp;""),
IF(LEFT(INDIRECT("B"&amp;R95&amp;""),3)="奈良屋",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 x14ac:dyDescent="0.45">
      <c r="A96" s="198">
        <f t="shared" si="13"/>
        <v>57</v>
      </c>
      <c r="B96" s="199" t="str">
        <f t="shared" ca="1" si="9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>
        <f>IF(C96&lt;&gt;"",
IF(O96=1,クライアント抽出!E26,クライアント抽出!F26),"")</f>
        <v/>
      </c>
      <c r="J96" s="199" t="str">
        <f>IF(C96&lt;&gt;"",
VLOOKUP(
IF(COUNTIF(D96,"*学食*"),"キャラ弁（学食）",
IF(COUNTIF(D96,"*赤*"),"赤",
IF(COUNTIF(D96,"*キャラ弁当*"),"キャラ弁当",D96))),注文弁当の抽出!$E$1:$F$15,2,FALSE),"")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 cm="1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4"/>
        <v>0</v>
      </c>
      <c r="P96" s="199">
        <f t="shared" si="15"/>
        <v>0</v>
      </c>
      <c r="Q96" s="199" t="b">
        <f t="shared" si="16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>
        <f t="array" aca="1" ref="W96" ca="1">IF($R96&lt;&gt;"",
IF(COUNTIF(INDIRECT("B"&amp;R96&amp;""),"*雙葉*"),
INDIRECT("H"&amp;R96&amp;"")+INDIRECT("H"&amp;MATCH("雙葉'",INDIRECT("B"&amp;R96+1&amp;":B210"),0)+R96&amp;""),
IF(LEFT(INDIRECT("B"&amp;R96&amp;""),2)="博多",
INDIRECT("H"&amp;R96&amp;"")+INDIRECT("H"&amp;MATCH("*"&amp;INDIRECT("B"&amp;R96&amp;"")&amp;"*",INDIRECT("B"&amp;R96+1&amp;":B210"),0)+R96&amp;""),
IF(LEFT(INDIRECT("B"&amp;R96&amp;""),3)="奈良屋",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INDIRECT(""&amp;IF(COLUMN(I116)&lt;=26,CHAR(COLUMN(I116)+64),CHAR(INT((COLUMN(I116)-1)/26)+64)&amp;CHAR(MOD(COLUMN(I116)-1,26)+65))&amp;$R96&amp;""),"")</f>
        <v/>
      </c>
      <c r="Y96" s="51" t="str" cm="1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7"/>
        <v/>
      </c>
      <c r="AA96" s="51" t="str">
        <f t="shared" ca="1" si="8"/>
        <v/>
      </c>
      <c r="AB96" s="51" t="str" cm="1">
        <f t="array" aca="1" ref="AB96" ca="1">IF($R96&lt;&gt;"",
IF(COUNTIF(INDIRECT("B"&amp;R96&amp;""),"*雙葉*"),
INDIRECT("M"&amp;R96&amp;"")+INDIRECT("M"&amp;MATCH("雙葉'",INDIRECT("B"&amp;R96+1&amp;":B210"),0)+R96&amp;""),
IF(LEFT(INDIRECT("B"&amp;R96&amp;""),2)="博多",
INDIRECT("M"&amp;R96&amp;"")+INDIRECT("M"&amp;MATCH("*"&amp;INDIRECT("B"&amp;R96&amp;"")&amp;"*",INDIRECT("B"&amp;R96+1&amp;":B210"),0)+R96&amp;""),
IF(LEFT(INDIRECT("B"&amp;R96&amp;""),3)="奈良屋",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 x14ac:dyDescent="0.45">
      <c r="A97" s="198">
        <f t="shared" si="13"/>
        <v>59</v>
      </c>
      <c r="B97" s="199" t="str">
        <f t="shared" ca="1" si="9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>
        <f>IF(C97&lt;&gt;"",
IF(O97=1,クライアント抽出!E27,クライアント抽出!F27),"")</f>
        <v/>
      </c>
      <c r="J97" s="199" t="str">
        <f>IF(C97&lt;&gt;"",
VLOOKUP(
IF(COUNTIF(D97,"*学食*"),"キャラ弁（学食）",
IF(COUNTIF(D97,"*赤*"),"赤",
IF(COUNTIF(D97,"*キャラ弁当*"),"キャラ弁当",D97))),注文弁当の抽出!$E$1:$F$15,2,FALSE),"")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 cm="1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4"/>
        <v>0</v>
      </c>
      <c r="P97" s="199">
        <f t="shared" si="15"/>
        <v>0</v>
      </c>
      <c r="Q97" s="199" t="b">
        <f>IF(C97&lt;&gt;"",
IF(OR(N97=1,COUNTIF(D97,"*朝食*"),COUNTIF(D97,"*夕食*")),TRUE,FALSE),FALSE)</f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>
        <f t="array" aca="1" ref="W97" ca="1">IF($R97&lt;&gt;"",
IF(COUNTIF(INDIRECT("B"&amp;R97&amp;""),"*雙葉*"),
INDIRECT("H"&amp;R97&amp;"")+INDIRECT("H"&amp;MATCH("雙葉'",INDIRECT("B"&amp;R97+1&amp;":B210"),0)+R97&amp;""),
IF(LEFT(INDIRECT("B"&amp;R97&amp;""),2)="博多",
INDIRECT("H"&amp;R97&amp;"")+INDIRECT("H"&amp;MATCH("*"&amp;INDIRECT("B"&amp;R97&amp;"")&amp;"*",INDIRECT("B"&amp;R97+1&amp;":B210"),0)+R97&amp;""),
IF(LEFT(INDIRECT("B"&amp;R97&amp;""),3)="奈良屋",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INDIRECT(""&amp;IF(COLUMN(I117)&lt;=26,CHAR(COLUMN(I117)+64),CHAR(INT((COLUMN(I117)-1)/26)+64)&amp;CHAR(MOD(COLUMN(I117)-1,26)+65))&amp;$R97&amp;""),"")</f>
        <v/>
      </c>
      <c r="Y97" s="51" t="str" cm="1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7"/>
        <v/>
      </c>
      <c r="AA97" s="51" t="str">
        <f t="shared" ca="1" si="8"/>
        <v/>
      </c>
      <c r="AB97" s="51" t="str" cm="1">
        <f t="array" aca="1" ref="AB97" ca="1">IF($R97&lt;&gt;"",
IF(COUNTIF(INDIRECT("B"&amp;R97&amp;""),"*雙葉*"),
INDIRECT("M"&amp;R97&amp;"")+INDIRECT("M"&amp;MATCH("雙葉'",INDIRECT("B"&amp;R97+1&amp;":B210"),0)+R97&amp;""),
IF(LEFT(INDIRECT("B"&amp;R97&amp;""),2)="博多",
INDIRECT("M"&amp;R97&amp;"")+INDIRECT("M"&amp;MATCH("*"&amp;INDIRECT("B"&amp;R97&amp;"")&amp;"*",INDIRECT("B"&amp;R97+1&amp;":B210"),0)+R97&amp;""),
IF(LEFT(INDIRECT("B"&amp;R97&amp;""),3)="奈良屋",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 x14ac:dyDescent="0.45">
      <c r="A98" s="198">
        <f t="shared" si="13"/>
        <v>61</v>
      </c>
      <c r="B98" s="199" t="str">
        <f t="shared" ca="1" si="9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>
        <f>IF(C98&lt;&gt;"",
IF(O98=1,クライアント抽出!E28,クライアント抽出!F28),"")</f>
        <v/>
      </c>
      <c r="J98" s="199" t="str">
        <f>IF(C98&lt;&gt;"",
VLOOKUP(
IF(COUNTIF(D98,"*学食*"),"キャラ弁（学食）",
IF(COUNTIF(D98,"*赤*"),"赤",
IF(COUNTIF(D98,"*キャラ弁当*"),"キャラ弁当",D98))),注文弁当の抽出!$E$1:$F$15,2,FALSE),"")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 cm="1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4"/>
        <v>0</v>
      </c>
      <c r="P98" s="199">
        <f t="shared" si="15"/>
        <v>0</v>
      </c>
      <c r="Q98" s="199" t="b">
        <f t="shared" si="16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>
        <f t="array" aca="1" ref="W98" ca="1">IF($R98&lt;&gt;"",
IF(COUNTIF(INDIRECT("B"&amp;R98&amp;""),"*雙葉*"),
INDIRECT("H"&amp;R98&amp;"")+INDIRECT("H"&amp;MATCH("雙葉'",INDIRECT("B"&amp;R98+1&amp;":B210"),0)+R98&amp;""),
IF(LEFT(INDIRECT("B"&amp;R98&amp;""),2)="博多",
INDIRECT("H"&amp;R98&amp;"")+INDIRECT("H"&amp;MATCH("*"&amp;INDIRECT("B"&amp;R98&amp;"")&amp;"*",INDIRECT("B"&amp;R98+1&amp;":B210"),0)+R98&amp;""),
IF(LEFT(INDIRECT("B"&amp;R98&amp;""),3)="奈良屋",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INDIRECT(""&amp;IF(COLUMN(I118)&lt;=26,CHAR(COLUMN(I118)+64),CHAR(INT((COLUMN(I118)-1)/26)+64)&amp;CHAR(MOD(COLUMN(I118)-1,26)+65))&amp;$R98&amp;""),"")</f>
        <v/>
      </c>
      <c r="Y98" s="51" t="str" cm="1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7"/>
        <v/>
      </c>
      <c r="AA98" s="51" t="str">
        <f t="shared" ca="1" si="8"/>
        <v/>
      </c>
      <c r="AB98" s="51" t="str" cm="1">
        <f t="array" aca="1" ref="AB98" ca="1">IF($R98&lt;&gt;"",
IF(COUNTIF(INDIRECT("B"&amp;R98&amp;""),"*雙葉*"),
INDIRECT("M"&amp;R98&amp;"")+INDIRECT("M"&amp;MATCH("雙葉'",INDIRECT("B"&amp;R98+1&amp;":B210"),0)+R98&amp;""),
IF(LEFT(INDIRECT("B"&amp;R98&amp;""),2)="博多",
INDIRECT("M"&amp;R98&amp;"")+INDIRECT("M"&amp;MATCH("*"&amp;INDIRECT("B"&amp;R98&amp;"")&amp;"*",INDIRECT("B"&amp;R98+1&amp;":B210"),0)+R98&amp;""),
IF(LEFT(INDIRECT("B"&amp;R98&amp;""),3)="奈良屋",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 x14ac:dyDescent="0.45">
      <c r="A99" s="198">
        <f t="shared" si="13"/>
        <v>63</v>
      </c>
      <c r="B99" s="199" t="str">
        <f t="shared" ca="1" si="9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>
        <f>IF(C99&lt;&gt;"",
IF(O99=1,クライアント抽出!E29,クライアント抽出!F29),"")</f>
        <v/>
      </c>
      <c r="J99" s="199" t="str">
        <f>IF(C99&lt;&gt;"",
VLOOKUP(
IF(COUNTIF(D99,"*学食*"),"キャラ弁（学食）",
IF(COUNTIF(D99,"*赤*"),"赤",
IF(COUNTIF(D99,"*キャラ弁当*"),"キャラ弁当",D99))),注文弁当の抽出!$E$1:$F$15,2,FALSE),"")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 cm="1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ca="1">O29</f>
        <v>0</v>
      </c>
      <c r="P99" s="199">
        <f t="shared" si="15"/>
        <v>0</v>
      </c>
      <c r="Q99" s="199" t="b">
        <f t="shared" si="16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>
        <f t="array" aca="1" ref="W99" ca="1">IF($R99&lt;&gt;"",
IF(COUNTIF(INDIRECT("B"&amp;R99&amp;""),"*雙葉*"),
INDIRECT("H"&amp;R99&amp;"")+INDIRECT("H"&amp;MATCH("雙葉'",INDIRECT("B"&amp;R99+1&amp;":B210"),0)+R99&amp;""),
IF(LEFT(INDIRECT("B"&amp;R99&amp;""),2)="博多",
INDIRECT("H"&amp;R99&amp;"")+INDIRECT("H"&amp;MATCH("*"&amp;INDIRECT("B"&amp;R99&amp;"")&amp;"*",INDIRECT("B"&amp;R99+1&amp;":B210"),0)+R99&amp;""),
IF(LEFT(INDIRECT("B"&amp;R99&amp;""),3)="奈良屋",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INDIRECT(""&amp;IF(COLUMN(I119)&lt;=26,CHAR(COLUMN(I119)+64),CHAR(INT((COLUMN(I119)-1)/26)+64)&amp;CHAR(MOD(COLUMN(I119)-1,26)+65))&amp;$R99&amp;""),"")</f>
        <v/>
      </c>
      <c r="Y99" s="51" t="str" cm="1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7"/>
        <v/>
      </c>
      <c r="AA99" s="51" t="str">
        <f t="shared" ca="1" si="8"/>
        <v/>
      </c>
      <c r="AB99" s="51" t="str" cm="1">
        <f t="array" aca="1" ref="AB99" ca="1">IF($R99&lt;&gt;"",
IF(COUNTIF(INDIRECT("B"&amp;R99&amp;""),"*雙葉*"),
INDIRECT("M"&amp;R99&amp;"")+INDIRECT("M"&amp;MATCH("雙葉'",INDIRECT("B"&amp;R99+1&amp;":B210"),0)+R99&amp;""),
IF(LEFT(INDIRECT("B"&amp;R99&amp;""),2)="博多",
INDIRECT("M"&amp;R99&amp;"")+INDIRECT("M"&amp;MATCH("*"&amp;INDIRECT("B"&amp;R99&amp;"")&amp;"*",INDIRECT("B"&amp;R99+1&amp;":B210"),0)+R99&amp;""),
IF(LEFT(INDIRECT("B"&amp;R99&amp;""),3)="奈良屋",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 x14ac:dyDescent="0.45">
      <c r="A100" s="198">
        <f t="shared" si="13"/>
        <v>65</v>
      </c>
      <c r="B100" s="199" t="str">
        <f t="shared" ca="1" si="9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>
        <f>IF(C100&lt;&gt;"",
IF(O100=1,クライアント抽出!E30,クライアント抽出!F30),"")</f>
        <v/>
      </c>
      <c r="J100" s="199" t="str">
        <f>IF(C100&lt;&gt;"",
VLOOKUP(
IF(COUNTIF(D100,"*学食*"),"キャラ弁（学食）",
IF(COUNTIF(D100,"*赤*"),"赤",
IF(COUNTIF(D100,"*キャラ弁当*"),"キャラ弁当",D100))),注文弁当の抽出!$E$1:$F$15,2,FALSE),"")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 cm="1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4"/>
        <v>0</v>
      </c>
      <c r="P100" s="199">
        <f t="shared" si="15"/>
        <v>0</v>
      </c>
      <c r="Q100" s="199" t="b">
        <f t="shared" si="16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>
        <f t="array" aca="1" ref="W100" ca="1">IF($R100&lt;&gt;"",
IF(COUNTIF(INDIRECT("B"&amp;R100&amp;""),"*雙葉*"),
INDIRECT("H"&amp;R100&amp;"")+INDIRECT("H"&amp;MATCH("雙葉'",INDIRECT("B"&amp;R100+1&amp;":B210"),0)+R100&amp;""),
IF(LEFT(INDIRECT("B"&amp;R100&amp;""),2)="博多",
INDIRECT("H"&amp;R100&amp;"")+INDIRECT("H"&amp;MATCH("*"&amp;INDIRECT("B"&amp;R100&amp;"")&amp;"*",INDIRECT("B"&amp;R100+1&amp;":B210"),0)+R100&amp;""),
IF(LEFT(INDIRECT("B"&amp;R100&amp;""),3)="奈良屋",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INDIRECT(""&amp;IF(COLUMN(I120)&lt;=26,CHAR(COLUMN(I120)+64),CHAR(INT((COLUMN(I120)-1)/26)+64)&amp;CHAR(MOD(COLUMN(I120)-1,26)+65))&amp;$R100&amp;""),"")</f>
        <v/>
      </c>
      <c r="Y100" s="51" t="str" cm="1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7"/>
        <v/>
      </c>
      <c r="AA100" s="51" t="str">
        <f t="shared" ca="1" si="8"/>
        <v/>
      </c>
      <c r="AB100" s="51" t="str" cm="1">
        <f t="array" aca="1" ref="AB100" ca="1">IF($R100&lt;&gt;"",
IF(COUNTIF(INDIRECT("B"&amp;R100&amp;""),"*雙葉*"),
INDIRECT("M"&amp;R100&amp;"")+INDIRECT("M"&amp;MATCH("雙葉'",INDIRECT("B"&amp;R100+1&amp;":B210"),0)+R100&amp;""),
IF(LEFT(INDIRECT("B"&amp;R100&amp;""),2)="博多",
INDIRECT("M"&amp;R100&amp;"")+INDIRECT("M"&amp;MATCH("*"&amp;INDIRECT("B"&amp;R100&amp;"")&amp;"*",INDIRECT("B"&amp;R100+1&amp;":B210"),0)+R100&amp;""),
IF(LEFT(INDIRECT("B"&amp;R100&amp;""),3)="奈良屋",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 x14ac:dyDescent="0.45">
      <c r="A101" s="198">
        <f t="shared" si="13"/>
        <v>67</v>
      </c>
      <c r="B101" s="199" t="str">
        <f t="shared" ca="1" si="9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>
        <f>IF(C101&lt;&gt;"",
IF(O101=1,クライアント抽出!E31,クライアント抽出!F31),"")</f>
        <v/>
      </c>
      <c r="J101" s="199" t="str">
        <f>IF(C101&lt;&gt;"",
VLOOKUP(
IF(COUNTIF(D101,"*学食*"),"キャラ弁（学食）",
IF(COUNTIF(D101,"*赤*"),"赤",
IF(COUNTIF(D101,"*キャラ弁当*"),"キャラ弁当",D101))),注文弁当の抽出!$E$1:$F$15,2,FALSE),"")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 cm="1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4"/>
        <v>0</v>
      </c>
      <c r="P101" s="199">
        <f t="shared" si="15"/>
        <v>0</v>
      </c>
      <c r="Q101" s="199" t="b">
        <f t="shared" si="16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>
        <f t="array" aca="1" ref="W101" ca="1">IF($R101&lt;&gt;"",
IF(COUNTIF(INDIRECT("B"&amp;R101&amp;""),"*雙葉*"),
INDIRECT("H"&amp;R101&amp;"")+INDIRECT("H"&amp;MATCH("雙葉'",INDIRECT("B"&amp;R101+1&amp;":B210"),0)+R101&amp;""),
IF(LEFT(INDIRECT("B"&amp;R101&amp;""),2)="博多",
INDIRECT("H"&amp;R101&amp;"")+INDIRECT("H"&amp;MATCH("*"&amp;INDIRECT("B"&amp;R101&amp;"")&amp;"*",INDIRECT("B"&amp;R101+1&amp;":B210"),0)+R101&amp;""),
IF(LEFT(INDIRECT("B"&amp;R101&amp;""),3)="奈良屋",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INDIRECT(""&amp;IF(COLUMN(I121)&lt;=26,CHAR(COLUMN(I121)+64),CHAR(INT((COLUMN(I121)-1)/26)+64)&amp;CHAR(MOD(COLUMN(I121)-1,26)+65))&amp;$R101&amp;""),"")</f>
        <v/>
      </c>
      <c r="Y101" s="51" t="str" cm="1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7"/>
        <v/>
      </c>
      <c r="AA101" s="51" t="str">
        <f t="shared" ca="1" si="8"/>
        <v/>
      </c>
      <c r="AB101" s="51" t="str" cm="1">
        <f t="array" aca="1" ref="AB101" ca="1">IF($R101&lt;&gt;"",
IF(COUNTIF(INDIRECT("B"&amp;R101&amp;""),"*雙葉*"),
INDIRECT("M"&amp;R101&amp;"")+INDIRECT("M"&amp;MATCH("雙葉'",INDIRECT("B"&amp;R101+1&amp;":B210"),0)+R101&amp;""),
IF(LEFT(INDIRECT("B"&amp;R101&amp;""),2)="博多",
INDIRECT("M"&amp;R101&amp;"")+INDIRECT("M"&amp;MATCH("*"&amp;INDIRECT("B"&amp;R101&amp;"")&amp;"*",INDIRECT("B"&amp;R101+1&amp;":B210"),0)+R101&amp;""),
IF(LEFT(INDIRECT("B"&amp;R101&amp;""),3)="奈良屋",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 x14ac:dyDescent="0.45">
      <c r="A102" s="198">
        <f t="shared" si="13"/>
        <v>69</v>
      </c>
      <c r="B102" s="199" t="str">
        <f t="shared" ca="1" si="9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>
        <f>IF(C102&lt;&gt;"",
IF(O102=1,クライアント抽出!E32,クライアント抽出!F32),"")</f>
        <v/>
      </c>
      <c r="J102" s="199" t="str">
        <f>IF(C102&lt;&gt;"",
VLOOKUP(
IF(COUNTIF(D102,"*学食*"),"キャラ弁（学食）",
IF(COUNTIF(D102,"*赤*"),"赤",
IF(COUNTIF(D102,"*キャラ弁当*"),"キャラ弁当",D102))),注文弁当の抽出!$E$1:$F$15,2,FALSE),"")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 cm="1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4"/>
        <v>0</v>
      </c>
      <c r="P102" s="199">
        <f t="shared" si="15"/>
        <v>0</v>
      </c>
      <c r="Q102" s="199" t="b">
        <f t="shared" si="16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>
        <f t="array" aca="1" ref="W102" ca="1">IF($R102&lt;&gt;"",
IF(COUNTIF(INDIRECT("B"&amp;R102&amp;""),"*雙葉*"),
INDIRECT("H"&amp;R102&amp;"")+INDIRECT("H"&amp;MATCH("雙葉'",INDIRECT("B"&amp;R102+1&amp;":B210"),0)+R102&amp;""),
IF(LEFT(INDIRECT("B"&amp;R102&amp;""),2)="博多",
INDIRECT("H"&amp;R102&amp;"")+INDIRECT("H"&amp;MATCH("*"&amp;INDIRECT("B"&amp;R102&amp;"")&amp;"*",INDIRECT("B"&amp;R102+1&amp;":B210"),0)+R102&amp;""),
IF(LEFT(INDIRECT("B"&amp;R102&amp;""),3)="奈良屋",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INDIRECT(""&amp;IF(COLUMN(I122)&lt;=26,CHAR(COLUMN(I122)+64),CHAR(INT((COLUMN(I122)-1)/26)+64)&amp;CHAR(MOD(COLUMN(I122)-1,26)+65))&amp;$R102&amp;""),"")</f>
        <v/>
      </c>
      <c r="Y102" s="51" t="str" cm="1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7"/>
        <v/>
      </c>
      <c r="AA102" s="51" t="str">
        <f t="shared" ca="1" si="8"/>
        <v/>
      </c>
      <c r="AB102" s="51" t="str" cm="1">
        <f t="array" aca="1" ref="AB102" ca="1">IF($R102&lt;&gt;"",
IF(COUNTIF(INDIRECT("B"&amp;R102&amp;""),"*雙葉*"),
INDIRECT("M"&amp;R102&amp;"")+INDIRECT("M"&amp;MATCH("雙葉'",INDIRECT("B"&amp;R102+1&amp;":B210"),0)+R102&amp;""),
IF(LEFT(INDIRECT("B"&amp;R102&amp;""),2)="博多",
INDIRECT("M"&amp;R102&amp;"")+INDIRECT("M"&amp;MATCH("*"&amp;INDIRECT("B"&amp;R102&amp;"")&amp;"*",INDIRECT("B"&amp;R102+1&amp;":B210"),0)+R102&amp;""),
IF(LEFT(INDIRECT("B"&amp;R102&amp;""),3)="奈良屋",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 x14ac:dyDescent="0.45">
      <c r="A103" s="198">
        <f t="shared" si="13"/>
        <v>71</v>
      </c>
      <c r="B103" s="199" t="str">
        <f t="shared" ca="1" si="9"/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>
        <f>IF(C103&lt;&gt;"",
IF(O103=1,クライアント抽出!E33,クライアント抽出!F33),"")</f>
        <v/>
      </c>
      <c r="J103" s="199" t="str">
        <f>IF(C103&lt;&gt;"",
VLOOKUP(
IF(COUNTIF(D103,"*学食*"),"キャラ弁（学食）",
IF(COUNTIF(D103,"*赤*"),"赤",
IF(COUNTIF(D103,"*キャラ弁当*"),"キャラ弁当",D103))),注文弁当の抽出!$E$1:$F$15,2,FALSE),"")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 cm="1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ca="1" si="14"/>
        <v>0</v>
      </c>
      <c r="P103" s="199">
        <f t="shared" si="15"/>
        <v>0</v>
      </c>
      <c r="Q103" s="199" t="b">
        <f t="shared" si="16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>
        <f t="array" aca="1" ref="W103" ca="1">IF($R103&lt;&gt;"",
IF(COUNTIF(INDIRECT("B"&amp;R103&amp;""),"*雙葉*"),
INDIRECT("H"&amp;R103&amp;"")+INDIRECT("H"&amp;MATCH("雙葉'",INDIRECT("B"&amp;R103+1&amp;":B210"),0)+R103&amp;""),
IF(LEFT(INDIRECT("B"&amp;R103&amp;""),2)="博多",
INDIRECT("H"&amp;R103&amp;"")+INDIRECT("H"&amp;MATCH("*"&amp;INDIRECT("B"&amp;R103&amp;"")&amp;"*",INDIRECT("B"&amp;R103+1&amp;":B210"),0)+R103&amp;""),
IF(LEFT(INDIRECT("B"&amp;R103&amp;""),3)="奈良屋",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INDIRECT(""&amp;IF(COLUMN(I123)&lt;=26,CHAR(COLUMN(I123)+64),CHAR(INT((COLUMN(I123)-1)/26)+64)&amp;CHAR(MOD(COLUMN(I123)-1,26)+65))&amp;$R103&amp;""),"")</f>
        <v/>
      </c>
      <c r="Y103" s="51" t="str" cm="1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7"/>
        <v/>
      </c>
      <c r="AA103" s="51" t="str">
        <f t="shared" ca="1" si="8"/>
        <v/>
      </c>
      <c r="AB103" s="51" t="str" cm="1">
        <f t="array" aca="1" ref="AB103" ca="1">IF($R103&lt;&gt;"",
IF(COUNTIF(INDIRECT("B"&amp;R103&amp;""),"*雙葉*"),
INDIRECT("M"&amp;R103&amp;"")+INDIRECT("M"&amp;MATCH("雙葉'",INDIRECT("B"&amp;R103+1&amp;":B210"),0)+R103&amp;""),
IF(LEFT(INDIRECT("B"&amp;R103&amp;""),2)="博多",
INDIRECT("M"&amp;R103&amp;"")+INDIRECT("M"&amp;MATCH("*"&amp;INDIRECT("B"&amp;R103&amp;"")&amp;"*",INDIRECT("B"&amp;R103+1&amp;":B210"),0)+R103&amp;""),
IF(LEFT(INDIRECT("B"&amp;R103&amp;""),3)="奈良屋",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 x14ac:dyDescent="0.45">
      <c r="A104" s="198">
        <f t="shared" ref="A104:A140" si="17">A103+2</f>
        <v>73</v>
      </c>
      <c r="B104" s="199" t="str">
        <f t="shared" ca="1" si="9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>
        <f>IF(C104&lt;&gt;"",
IF(O104=1,クライアント抽出!E34,クライアント抽出!F34),"")</f>
        <v/>
      </c>
      <c r="J104" s="199" t="str">
        <f>IF(C104&lt;&gt;"",
VLOOKUP(
IF(COUNTIF(D104,"*学食*"),"キャラ弁（学食）",
IF(COUNTIF(D104,"*赤*"),"赤",
IF(COUNTIF(D104,"*キャラ弁当*"),"キャラ弁当",D104))),注文弁当の抽出!$E$1:$F$15,2,FALSE),"")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 cm="1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14"/>
        <v>0</v>
      </c>
      <c r="P104" s="199">
        <f t="shared" si="15"/>
        <v>0</v>
      </c>
      <c r="Q104" s="199" t="b">
        <f t="shared" si="16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>
        <f t="array" aca="1" ref="W104" ca="1">IF($R104&lt;&gt;"",
IF(COUNTIF(INDIRECT("B"&amp;R104&amp;""),"*雙葉*"),
INDIRECT("H"&amp;R104&amp;"")+INDIRECT("H"&amp;MATCH("雙葉'",INDIRECT("B"&amp;R104+1&amp;":B210"),0)+R104&amp;""),
IF(LEFT(INDIRECT("B"&amp;R104&amp;""),2)="博多",
INDIRECT("H"&amp;R104&amp;"")+INDIRECT("H"&amp;MATCH("*"&amp;INDIRECT("B"&amp;R104&amp;"")&amp;"*",INDIRECT("B"&amp;R104+1&amp;":B210"),0)+R104&amp;""),
IF(LEFT(INDIRECT("B"&amp;R104&amp;""),3)="奈良屋",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INDIRECT(""&amp;IF(COLUMN(I124)&lt;=26,CHAR(COLUMN(I124)+64),CHAR(INT((COLUMN(I124)-1)/26)+64)&amp;CHAR(MOD(COLUMN(I124)-1,26)+65))&amp;$R104&amp;""),"")</f>
        <v/>
      </c>
      <c r="Y104" s="51" t="str" cm="1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7"/>
        <v/>
      </c>
      <c r="AA104" s="51" t="str">
        <f t="shared" ca="1" si="8"/>
        <v/>
      </c>
      <c r="AB104" s="51" t="str" cm="1">
        <f t="array" aca="1" ref="AB104" ca="1">IF($R104&lt;&gt;"",
IF(COUNTIF(INDIRECT("B"&amp;R104&amp;""),"*雙葉*"),
INDIRECT("M"&amp;R104&amp;"")+INDIRECT("M"&amp;MATCH("雙葉'",INDIRECT("B"&amp;R104+1&amp;":B210"),0)+R104&amp;""),
IF(LEFT(INDIRECT("B"&amp;R104&amp;""),2)="博多",
INDIRECT("M"&amp;R104&amp;"")+INDIRECT("M"&amp;MATCH("*"&amp;INDIRECT("B"&amp;R104&amp;"")&amp;"*",INDIRECT("B"&amp;R104+1&amp;":B210"),0)+R104&amp;""),
IF(LEFT(INDIRECT("B"&amp;R104&amp;""),3)="奈良屋",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 x14ac:dyDescent="0.45">
      <c r="A105" s="198">
        <f t="shared" si="17"/>
        <v>75</v>
      </c>
      <c r="B105" s="199" t="str">
        <f t="shared" ca="1" si="9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>
        <f>IF(C105&lt;&gt;"",
IF(O105=1,クライアント抽出!E35,クライアント抽出!F35),"")</f>
        <v/>
      </c>
      <c r="J105" s="199" t="str">
        <f>IF(C105&lt;&gt;"",
VLOOKUP(
IF(COUNTIF(D105,"*学食*"),"キャラ弁（学食）",
IF(COUNTIF(D105,"*赤*"),"赤",
IF(COUNTIF(D105,"*キャラ弁当*"),"キャラ弁当",D105))),注文弁当の抽出!$E$1:$F$15,2,FALSE),"")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 cm="1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14"/>
        <v>0</v>
      </c>
      <c r="P105" s="199">
        <f t="shared" si="15"/>
        <v>0</v>
      </c>
      <c r="Q105" s="199" t="b">
        <f t="shared" si="16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>
        <f t="array" aca="1" ref="W105" ca="1">IF($R105&lt;&gt;"",
IF(COUNTIF(INDIRECT("B"&amp;R105&amp;""),"*雙葉*"),
INDIRECT("H"&amp;R105&amp;"")+INDIRECT("H"&amp;MATCH("雙葉'",INDIRECT("B"&amp;R105+1&amp;":B210"),0)+R105&amp;""),
IF(LEFT(INDIRECT("B"&amp;R105&amp;""),2)="博多",
INDIRECT("H"&amp;R105&amp;"")+INDIRECT("H"&amp;MATCH("*"&amp;INDIRECT("B"&amp;R105&amp;"")&amp;"*",INDIRECT("B"&amp;R105+1&amp;":B210"),0)+R105&amp;""),
IF(LEFT(INDIRECT("B"&amp;R105&amp;""),3)="奈良屋",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INDIRECT(""&amp;IF(COLUMN(I125)&lt;=26,CHAR(COLUMN(I125)+64),CHAR(INT((COLUMN(I125)-1)/26)+64)&amp;CHAR(MOD(COLUMN(I125)-1,26)+65))&amp;$R105&amp;""),"")</f>
        <v/>
      </c>
      <c r="Y105" s="51" t="str" cm="1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7"/>
        <v/>
      </c>
      <c r="AA105" s="51" t="str">
        <f t="shared" ca="1" si="8"/>
        <v/>
      </c>
      <c r="AB105" s="51" t="str" cm="1">
        <f t="array" aca="1" ref="AB105" ca="1">IF($R105&lt;&gt;"",
IF(COUNTIF(INDIRECT("B"&amp;R105&amp;""),"*雙葉*"),
INDIRECT("M"&amp;R105&amp;"")+INDIRECT("M"&amp;MATCH("雙葉'",INDIRECT("B"&amp;R105+1&amp;":B210"),0)+R105&amp;""),
IF(LEFT(INDIRECT("B"&amp;R105&amp;""),2)="博多",
INDIRECT("M"&amp;R105&amp;"")+INDIRECT("M"&amp;MATCH("*"&amp;INDIRECT("B"&amp;R105&amp;"")&amp;"*",INDIRECT("B"&amp;R105+1&amp;":B210"),0)+R105&amp;""),
IF(LEFT(INDIRECT("B"&amp;R105&amp;""),3)="奈良屋",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 x14ac:dyDescent="0.45">
      <c r="A106" s="198">
        <f t="shared" si="17"/>
        <v>77</v>
      </c>
      <c r="B106" s="199" t="str">
        <f t="shared" ca="1" si="9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>
        <f>IF(C106&lt;&gt;"",
IF(O106=1,クライアント抽出!E36,クライアント抽出!F36),"")</f>
        <v/>
      </c>
      <c r="J106" s="199" t="str">
        <f>IF(C106&lt;&gt;"",
VLOOKUP(
IF(COUNTIF(D106,"*学食*"),"キャラ弁（学食）",
IF(COUNTIF(D106,"*赤*"),"赤",
IF(COUNTIF(D106,"*キャラ弁当*"),"キャラ弁当",D106))),注文弁当の抽出!$E$1:$F$15,2,FALSE),"")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 cm="1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14"/>
        <v>0</v>
      </c>
      <c r="P106" s="199">
        <f t="shared" si="15"/>
        <v>0</v>
      </c>
      <c r="Q106" s="199" t="b">
        <f t="shared" si="16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>
        <f t="array" aca="1" ref="W106" ca="1">IF($R106&lt;&gt;"",
IF(COUNTIF(INDIRECT("B"&amp;R106&amp;""),"*雙葉*"),
INDIRECT("H"&amp;R106&amp;"")+INDIRECT("H"&amp;MATCH("雙葉'",INDIRECT("B"&amp;R106+1&amp;":B210"),0)+R106&amp;""),
IF(LEFT(INDIRECT("B"&amp;R106&amp;""),2)="博多",
INDIRECT("H"&amp;R106&amp;"")+INDIRECT("H"&amp;MATCH("*"&amp;INDIRECT("B"&amp;R106&amp;"")&amp;"*",INDIRECT("B"&amp;R106+1&amp;":B210"),0)+R106&amp;""),
IF(LEFT(INDIRECT("B"&amp;R106&amp;""),3)="奈良屋",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INDIRECT(""&amp;IF(COLUMN(I126)&lt;=26,CHAR(COLUMN(I126)+64),CHAR(INT((COLUMN(I126)-1)/26)+64)&amp;CHAR(MOD(COLUMN(I126)-1,26)+65))&amp;$R106&amp;""),"")</f>
        <v/>
      </c>
      <c r="Y106" s="51" t="str" cm="1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7"/>
        <v/>
      </c>
      <c r="AA106" s="51" t="str">
        <f t="shared" ca="1" si="8"/>
        <v/>
      </c>
      <c r="AB106" s="51" t="str" cm="1">
        <f t="array" aca="1" ref="AB106" ca="1">IF($R106&lt;&gt;"",
IF(COUNTIF(INDIRECT("B"&amp;R106&amp;""),"*雙葉*"),
INDIRECT("M"&amp;R106&amp;"")+INDIRECT("M"&amp;MATCH("雙葉'",INDIRECT("B"&amp;R106+1&amp;":B210"),0)+R106&amp;""),
IF(LEFT(INDIRECT("B"&amp;R106&amp;""),2)="博多",
INDIRECT("M"&amp;R106&amp;"")+INDIRECT("M"&amp;MATCH("*"&amp;INDIRECT("B"&amp;R106&amp;"")&amp;"*",INDIRECT("B"&amp;R106+1&amp;":B210"),0)+R106&amp;""),
IF(LEFT(INDIRECT("B"&amp;R106&amp;""),3)="奈良屋",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 x14ac:dyDescent="0.45">
      <c r="A107" s="198">
        <f t="shared" si="17"/>
        <v>79</v>
      </c>
      <c r="B107" s="199" t="str">
        <f t="shared" ca="1" si="9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>
        <f>IF(C107&lt;&gt;"",
IF(O107=1,クライアント抽出!E37,クライアント抽出!F37),"")</f>
        <v/>
      </c>
      <c r="J107" s="199" t="str">
        <f>IF(C107&lt;&gt;"",
VLOOKUP(
IF(COUNTIF(D107,"*学食*"),"キャラ弁（学食）",
IF(COUNTIF(D107,"*赤*"),"赤",
IF(COUNTIF(D107,"*キャラ弁当*"),"キャラ弁当",D107))),注文弁当の抽出!$E$1:$F$15,2,FALSE),"")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 cm="1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14"/>
        <v>0</v>
      </c>
      <c r="P107" s="199">
        <f t="shared" si="15"/>
        <v>0</v>
      </c>
      <c r="Q107" s="199" t="b">
        <f>IF(C107&lt;&gt;"",
IF(OR(N107=1,COUNTIF(D107,"*朝食*"),COUNTIF(D107,"*夕食*")),TRUE,FALSE),FALSE)</f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>
        <f t="array" aca="1" ref="W107" ca="1">IF($R107&lt;&gt;"",
IF(COUNTIF(INDIRECT("B"&amp;R107&amp;""),"*雙葉*"),
INDIRECT("H"&amp;R107&amp;"")+INDIRECT("H"&amp;MATCH("雙葉'",INDIRECT("B"&amp;R107+1&amp;":B210"),0)+R107&amp;""),
IF(LEFT(INDIRECT("B"&amp;R107&amp;""),2)="博多",
INDIRECT("H"&amp;R107&amp;"")+INDIRECT("H"&amp;MATCH("*"&amp;INDIRECT("B"&amp;R107&amp;"")&amp;"*",INDIRECT("B"&amp;R107+1&amp;":B210"),0)+R107&amp;""),
IF(LEFT(INDIRECT("B"&amp;R107&amp;""),3)="奈良屋",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INDIRECT(""&amp;IF(COLUMN(I127)&lt;=26,CHAR(COLUMN(I127)+64),CHAR(INT((COLUMN(I127)-1)/26)+64)&amp;CHAR(MOD(COLUMN(I127)-1,26)+65))&amp;$R107&amp;""),"")</f>
        <v/>
      </c>
      <c r="Y107" s="51" t="str" cm="1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7"/>
        <v/>
      </c>
      <c r="AA107" s="51" t="str">
        <f t="shared" ca="1" si="8"/>
        <v/>
      </c>
      <c r="AB107" s="51" t="str" cm="1">
        <f t="array" aca="1" ref="AB107" ca="1">IF($R107&lt;&gt;"",
IF(COUNTIF(INDIRECT("B"&amp;R107&amp;""),"*雙葉*"),
INDIRECT("M"&amp;R107&amp;"")+INDIRECT("M"&amp;MATCH("雙葉'",INDIRECT("B"&amp;R107+1&amp;":B210"),0)+R107&amp;""),
IF(LEFT(INDIRECT("B"&amp;R107&amp;""),2)="博多",
INDIRECT("M"&amp;R107&amp;"")+INDIRECT("M"&amp;MATCH("*"&amp;INDIRECT("B"&amp;R107&amp;"")&amp;"*",INDIRECT("B"&amp;R107+1&amp;":B210"),0)+R107&amp;""),
IF(LEFT(INDIRECT("B"&amp;R107&amp;""),3)="奈良屋",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 x14ac:dyDescent="0.45">
      <c r="A108" s="198">
        <f t="shared" si="17"/>
        <v>81</v>
      </c>
      <c r="B108" s="199" t="str">
        <f t="shared" ca="1" si="9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>
        <f>IF(C108&lt;&gt;"",
IF(O108=1,クライアント抽出!E38,クライアント抽出!F38),"")</f>
        <v/>
      </c>
      <c r="J108" s="199" t="str">
        <f>IF(C108&lt;&gt;"",
VLOOKUP(
IF(COUNTIF(D108,"*学食*"),"キャラ弁（学食）",
IF(COUNTIF(D108,"*赤*"),"赤",
IF(COUNTIF(D108,"*キャラ弁当*"),"キャラ弁当",D108))),注文弁当の抽出!$E$1:$F$15,2,FALSE),"")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 cm="1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14"/>
        <v>0</v>
      </c>
      <c r="P108" s="199">
        <f t="shared" si="15"/>
        <v>0</v>
      </c>
      <c r="Q108" s="199" t="b">
        <f t="shared" si="16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>
        <f t="array" aca="1" ref="W108" ca="1">IF($R108&lt;&gt;"",
IF(COUNTIF(INDIRECT("B"&amp;R108&amp;""),"*雙葉*"),
INDIRECT("H"&amp;R108&amp;"")+INDIRECT("H"&amp;MATCH("雙葉'",INDIRECT("B"&amp;R108+1&amp;":B210"),0)+R108&amp;""),
IF(LEFT(INDIRECT("B"&amp;R108&amp;""),2)="博多",
INDIRECT("H"&amp;R108&amp;"")+INDIRECT("H"&amp;MATCH("*"&amp;INDIRECT("B"&amp;R108&amp;"")&amp;"*",INDIRECT("B"&amp;R108+1&amp;":B210"),0)+R108&amp;""),
IF(LEFT(INDIRECT("B"&amp;R108&amp;""),3)="奈良屋",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INDIRECT(""&amp;IF(COLUMN(I128)&lt;=26,CHAR(COLUMN(I128)+64),CHAR(INT((COLUMN(I128)-1)/26)+64)&amp;CHAR(MOD(COLUMN(I128)-1,26)+65))&amp;$R108&amp;""),"")</f>
        <v/>
      </c>
      <c r="Y108" s="51" t="str" cm="1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7"/>
        <v/>
      </c>
      <c r="AA108" s="51" t="str">
        <f t="shared" ca="1" si="8"/>
        <v/>
      </c>
      <c r="AB108" s="51" t="str" cm="1">
        <f t="array" aca="1" ref="AB108" ca="1">IF($R108&lt;&gt;"",
IF(COUNTIF(INDIRECT("B"&amp;R108&amp;""),"*雙葉*"),
INDIRECT("M"&amp;R108&amp;"")+INDIRECT("M"&amp;MATCH("雙葉'",INDIRECT("B"&amp;R108+1&amp;":B210"),0)+R108&amp;""),
IF(LEFT(INDIRECT("B"&amp;R108&amp;""),2)="博多",
INDIRECT("M"&amp;R108&amp;"")+INDIRECT("M"&amp;MATCH("*"&amp;INDIRECT("B"&amp;R108&amp;"")&amp;"*",INDIRECT("B"&amp;R108+1&amp;":B210"),0)+R108&amp;""),
IF(LEFT(INDIRECT("B"&amp;R108&amp;""),3)="奈良屋",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 x14ac:dyDescent="0.45">
      <c r="A109" s="198">
        <f t="shared" si="17"/>
        <v>83</v>
      </c>
      <c r="B109" s="199" t="str">
        <f t="shared" ca="1" si="9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>
        <f ca="1">IF(C109&lt;&gt;"",
IF(O109=1,クライアント抽出!E39,クライアント抽出!F39),"")</f>
        <v/>
      </c>
      <c r="J109" s="199" t="str">
        <f ca="1">IF(C109&lt;&gt;"",
VLOOKUP(
IF(COUNTIF(D109,"*学食*"),"キャラ弁（学食）",
IF(COUNTIF(D109,"*赤*"),"赤",
IF(COUNTIF(D109,"*キャラ弁当*"),"キャラ弁当",D109))),注文弁当の抽出!$E$1:$F$15,2,FALSE),"")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 cm="1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14"/>
        <v>0</v>
      </c>
      <c r="P109" s="199">
        <f t="shared" ca="1" si="15"/>
        <v>0</v>
      </c>
      <c r="Q109" s="199" t="b">
        <f t="shared" ca="1" si="16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>
        <f t="array" aca="1" ref="W109" ca="1">IF($R109&lt;&gt;"",
IF(COUNTIF(INDIRECT("B"&amp;R109&amp;""),"*雙葉*"),
INDIRECT("H"&amp;R109&amp;"")+INDIRECT("H"&amp;MATCH("雙葉'",INDIRECT("B"&amp;R109+1&amp;":B210"),0)+R109&amp;""),
IF(LEFT(INDIRECT("B"&amp;R109&amp;""),2)="博多",
INDIRECT("H"&amp;R109&amp;"")+INDIRECT("H"&amp;MATCH("*"&amp;INDIRECT("B"&amp;R109&amp;"")&amp;"*",INDIRECT("B"&amp;R109+1&amp;":B210"),0)+R109&amp;""),
IF(LEFT(INDIRECT("B"&amp;R109&amp;""),3)="奈良屋",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INDIRECT(""&amp;IF(COLUMN(I129)&lt;=26,CHAR(COLUMN(I129)+64),CHAR(INT((COLUMN(I129)-1)/26)+64)&amp;CHAR(MOD(COLUMN(I129)-1,26)+65))&amp;$R109&amp;""),"")</f>
        <v/>
      </c>
      <c r="Y109" s="51" t="str" cm="1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7"/>
        <v/>
      </c>
      <c r="AA109" s="51" t="str">
        <f t="shared" ca="1" si="8"/>
        <v/>
      </c>
      <c r="AB109" s="51" t="str" cm="1">
        <f t="array" aca="1" ref="AB109" ca="1">IF($R109&lt;&gt;"",
IF(COUNTIF(INDIRECT("B"&amp;R109&amp;""),"*雙葉*"),
INDIRECT("M"&amp;R109&amp;"")+INDIRECT("M"&amp;MATCH("雙葉'",INDIRECT("B"&amp;R109+1&amp;":B210"),0)+R109&amp;""),
IF(LEFT(INDIRECT("B"&amp;R109&amp;""),2)="博多",
INDIRECT("M"&amp;R109&amp;"")+INDIRECT("M"&amp;MATCH("*"&amp;INDIRECT("B"&amp;R109&amp;"")&amp;"*",INDIRECT("B"&amp;R109+1&amp;":B210"),0)+R109&amp;""),
IF(LEFT(INDIRECT("B"&amp;R109&amp;""),3)="奈良屋",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 x14ac:dyDescent="0.45">
      <c r="A110" s="198">
        <f t="shared" si="17"/>
        <v>85</v>
      </c>
      <c r="B110" s="199" t="str">
        <f t="shared" ca="1" si="9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>
        <f>IF(C110&lt;&gt;"",
IF(O110=1,クライアント抽出!E40,クライアント抽出!F40),"")</f>
        <v/>
      </c>
      <c r="J110" s="199" t="str">
        <f>IF(C110&lt;&gt;"",
VLOOKUP(
IF(COUNTIF(D110,"*学食*"),"キャラ弁（学食）",
IF(COUNTIF(D110,"*赤*"),"赤",
IF(COUNTIF(D110,"*キャラ弁当*"),"キャラ弁当",D110))),注文弁当の抽出!$E$1:$F$15,2,FALSE),"")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 cm="1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14"/>
        <v>0</v>
      </c>
      <c r="P110" s="199">
        <f t="shared" si="15"/>
        <v>0</v>
      </c>
      <c r="Q110" s="199" t="b">
        <f t="shared" si="16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>
        <f t="array" aca="1" ref="W110" ca="1">IF($R110&lt;&gt;"",
IF(COUNTIF(INDIRECT("B"&amp;R110&amp;""),"*雙葉*"),
INDIRECT("H"&amp;R110&amp;"")+INDIRECT("H"&amp;MATCH("雙葉'",INDIRECT("B"&amp;R110+1&amp;":B210"),0)+R110&amp;""),
IF(LEFT(INDIRECT("B"&amp;R110&amp;""),2)="博多",
INDIRECT("H"&amp;R110&amp;"")+INDIRECT("H"&amp;MATCH("*"&amp;INDIRECT("B"&amp;R110&amp;"")&amp;"*",INDIRECT("B"&amp;R110+1&amp;":B210"),0)+R110&amp;""),
IF(LEFT(INDIRECT("B"&amp;R110&amp;""),3)="奈良屋",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INDIRECT(""&amp;IF(COLUMN(I130)&lt;=26,CHAR(COLUMN(I130)+64),CHAR(INT((COLUMN(I130)-1)/26)+64)&amp;CHAR(MOD(COLUMN(I130)-1,26)+65))&amp;$R110&amp;""),"")</f>
        <v/>
      </c>
      <c r="Y110" s="51" t="str" cm="1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7"/>
        <v/>
      </c>
      <c r="AA110" s="51" t="str">
        <f t="shared" ca="1" si="8"/>
        <v/>
      </c>
      <c r="AB110" s="51" t="str" cm="1">
        <f t="array" aca="1" ref="AB110" ca="1">IF($R110&lt;&gt;"",
IF(COUNTIF(INDIRECT("B"&amp;R110&amp;""),"*雙葉*"),
INDIRECT("M"&amp;R110&amp;"")+INDIRECT("M"&amp;MATCH("雙葉'",INDIRECT("B"&amp;R110+1&amp;":B210"),0)+R110&amp;""),
IF(LEFT(INDIRECT("B"&amp;R110&amp;""),2)="博多",
INDIRECT("M"&amp;R110&amp;"")+INDIRECT("M"&amp;MATCH("*"&amp;INDIRECT("B"&amp;R110&amp;"")&amp;"*",INDIRECT("B"&amp;R110+1&amp;":B210"),0)+R110&amp;""),
IF(LEFT(INDIRECT("B"&amp;R110&amp;""),3)="奈良屋",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 x14ac:dyDescent="0.45">
      <c r="A111" s="198">
        <f t="shared" si="17"/>
        <v>87</v>
      </c>
      <c r="B111" s="199" t="str">
        <f t="shared" ca="1" si="9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>
        <f>IF(C111&lt;&gt;"",
IF(O111=1,クライアント抽出!E41,クライアント抽出!F41),"")</f>
        <v/>
      </c>
      <c r="J111" s="199" t="str">
        <f>IF(C111&lt;&gt;"",
VLOOKUP(
IF(COUNTIF(D111,"*学食*"),"キャラ弁（学食）",
IF(COUNTIF(D111,"*赤*"),"赤",
IF(COUNTIF(D111,"*キャラ弁当*"),"キャラ弁当",D111))),注文弁当の抽出!$E$1:$F$15,2,FALSE),"")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 cm="1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14"/>
        <v>0</v>
      </c>
      <c r="P111" s="199">
        <f t="shared" si="15"/>
        <v>0</v>
      </c>
      <c r="Q111" s="199" t="b">
        <f t="shared" si="16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>
        <f t="array" aca="1" ref="W111" ca="1">IF($R111&lt;&gt;"",
IF(COUNTIF(INDIRECT("B"&amp;R111&amp;""),"*雙葉*"),
INDIRECT("H"&amp;R111&amp;"")+INDIRECT("H"&amp;MATCH("雙葉'",INDIRECT("B"&amp;R111+1&amp;":B210"),0)+R111&amp;""),
IF(LEFT(INDIRECT("B"&amp;R111&amp;""),2)="博多",
INDIRECT("H"&amp;R111&amp;"")+INDIRECT("H"&amp;MATCH("*"&amp;INDIRECT("B"&amp;R111&amp;"")&amp;"*",INDIRECT("B"&amp;R111+1&amp;":B210"),0)+R111&amp;""),
IF(LEFT(INDIRECT("B"&amp;R111&amp;""),3)="奈良屋",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INDIRECT(""&amp;IF(COLUMN(I131)&lt;=26,CHAR(COLUMN(I131)+64),CHAR(INT((COLUMN(I131)-1)/26)+64)&amp;CHAR(MOD(COLUMN(I131)-1,26)+65))&amp;$R111&amp;""),"")</f>
        <v/>
      </c>
      <c r="Y111" s="51" t="str" cm="1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7"/>
        <v/>
      </c>
      <c r="AA111" s="51" t="str">
        <f t="shared" ca="1" si="8"/>
        <v/>
      </c>
      <c r="AB111" s="51" t="str" cm="1">
        <f t="array" aca="1" ref="AB111" ca="1">IF($R111&lt;&gt;"",
IF(COUNTIF(INDIRECT("B"&amp;R111&amp;""),"*雙葉*"),
INDIRECT("M"&amp;R111&amp;"")+INDIRECT("M"&amp;MATCH("雙葉'",INDIRECT("B"&amp;R111+1&amp;":B210"),0)+R111&amp;""),
IF(LEFT(INDIRECT("B"&amp;R111&amp;""),2)="博多",
INDIRECT("M"&amp;R111&amp;"")+INDIRECT("M"&amp;MATCH("*"&amp;INDIRECT("B"&amp;R111&amp;"")&amp;"*",INDIRECT("B"&amp;R111+1&amp;":B210"),0)+R111&amp;""),
IF(LEFT(INDIRECT("B"&amp;R111&amp;""),3)="奈良屋",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 x14ac:dyDescent="0.45">
      <c r="A112" s="198">
        <f t="shared" si="17"/>
        <v>89</v>
      </c>
      <c r="B112" s="199" t="str">
        <f t="shared" ca="1" si="9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>
        <f>IF(C112&lt;&gt;"",
IF(O112=1,クライアント抽出!E42,クライアント抽出!F42),"")</f>
        <v/>
      </c>
      <c r="J112" s="199" t="str">
        <f>IF(C112&lt;&gt;"",
VLOOKUP(
IF(COUNTIF(D112,"*学食*"),"キャラ弁（学食）",
IF(COUNTIF(D112,"*赤*"),"赤",
IF(COUNTIF(D112,"*キャラ弁当*"),"キャラ弁当",D112))),注文弁当の抽出!$E$1:$F$15,2,FALSE),"")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 cm="1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14"/>
        <v>0</v>
      </c>
      <c r="P112" s="199">
        <f t="shared" si="15"/>
        <v>0</v>
      </c>
      <c r="Q112" s="199" t="b">
        <f t="shared" si="16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>
        <f t="array" aca="1" ref="W112" ca="1">IF($R112&lt;&gt;"",
IF(COUNTIF(INDIRECT("B"&amp;R112&amp;""),"*雙葉*"),
INDIRECT("H"&amp;R112&amp;"")+INDIRECT("H"&amp;MATCH("雙葉'",INDIRECT("B"&amp;R112+1&amp;":B210"),0)+R112&amp;""),
IF(LEFT(INDIRECT("B"&amp;R112&amp;""),2)="博多",
INDIRECT("H"&amp;R112&amp;"")+INDIRECT("H"&amp;MATCH("*"&amp;INDIRECT("B"&amp;R112&amp;"")&amp;"*",INDIRECT("B"&amp;R112+1&amp;":B210"),0)+R112&amp;""),
IF(LEFT(INDIRECT("B"&amp;R112&amp;""),3)="奈良屋",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INDIRECT(""&amp;IF(COLUMN(I132)&lt;=26,CHAR(COLUMN(I132)+64),CHAR(INT((COLUMN(I132)-1)/26)+64)&amp;CHAR(MOD(COLUMN(I132)-1,26)+65))&amp;$R112&amp;""),"")</f>
        <v/>
      </c>
      <c r="Y112" s="51" t="str" cm="1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7"/>
        <v/>
      </c>
      <c r="AA112" s="51" t="str">
        <f t="shared" ca="1" si="8"/>
        <v/>
      </c>
      <c r="AB112" s="51" t="str" cm="1">
        <f t="array" aca="1" ref="AB112" ca="1">IF($R112&lt;&gt;"",
IF(COUNTIF(INDIRECT("B"&amp;R112&amp;""),"*雙葉*"),
INDIRECT("M"&amp;R112&amp;"")+INDIRECT("M"&amp;MATCH("雙葉'",INDIRECT("B"&amp;R112+1&amp;":B210"),0)+R112&amp;""),
IF(LEFT(INDIRECT("B"&amp;R112&amp;""),2)="博多",
INDIRECT("M"&amp;R112&amp;"")+INDIRECT("M"&amp;MATCH("*"&amp;INDIRECT("B"&amp;R112&amp;"")&amp;"*",INDIRECT("B"&amp;R112+1&amp;":B210"),0)+R112&amp;""),
IF(LEFT(INDIRECT("B"&amp;R112&amp;""),3)="奈良屋",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 x14ac:dyDescent="0.45">
      <c r="A113" s="198">
        <f t="shared" si="17"/>
        <v>91</v>
      </c>
      <c r="B113" s="199" t="str">
        <f t="shared" ca="1" si="9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>
        <f>IF(C113&lt;&gt;"",
IF(O113=1,クライアント抽出!E43,クライアント抽出!F43),"")</f>
        <v/>
      </c>
      <c r="J113" s="199" t="str">
        <f>IF(C113&lt;&gt;"",
VLOOKUP(
IF(COUNTIF(D113,"*学食*"),"キャラ弁（学食）",
IF(COUNTIF(D113,"*赤*"),"赤",
IF(COUNTIF(D113,"*キャラ弁当*"),"キャラ弁当",D113))),注文弁当の抽出!$E$1:$F$15,2,FALSE),"")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 cm="1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14"/>
        <v>0</v>
      </c>
      <c r="P113" s="199">
        <f t="shared" si="15"/>
        <v>0</v>
      </c>
      <c r="Q113" s="199" t="b">
        <f t="shared" si="16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>
        <f t="array" aca="1" ref="W113" ca="1">IF($R113&lt;&gt;"",
IF(COUNTIF(INDIRECT("B"&amp;R113&amp;""),"*雙葉*"),
INDIRECT("H"&amp;R113&amp;"")+INDIRECT("H"&amp;MATCH("雙葉'",INDIRECT("B"&amp;R113+1&amp;":B210"),0)+R113&amp;""),
IF(LEFT(INDIRECT("B"&amp;R113&amp;""),2)="博多",
INDIRECT("H"&amp;R113&amp;"")+INDIRECT("H"&amp;MATCH("*"&amp;INDIRECT("B"&amp;R113&amp;"")&amp;"*",INDIRECT("B"&amp;R113+1&amp;":B210"),0)+R113&amp;""),
IF(LEFT(INDIRECT("B"&amp;R113&amp;""),3)="奈良屋",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INDIRECT(""&amp;IF(COLUMN(I133)&lt;=26,CHAR(COLUMN(I133)+64),CHAR(INT((COLUMN(I133)-1)/26)+64)&amp;CHAR(MOD(COLUMN(I133)-1,26)+65))&amp;$R113&amp;""),"")</f>
        <v/>
      </c>
      <c r="Y113" s="51" t="str" cm="1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7"/>
        <v/>
      </c>
      <c r="AA113" s="51" t="str">
        <f t="shared" ca="1" si="8"/>
        <v/>
      </c>
      <c r="AB113" s="51" t="str" cm="1">
        <f t="array" aca="1" ref="AB113" ca="1">IF($R113&lt;&gt;"",
IF(COUNTIF(INDIRECT("B"&amp;R113&amp;""),"*雙葉*"),
INDIRECT("M"&amp;R113&amp;"")+INDIRECT("M"&amp;MATCH("雙葉'",INDIRECT("B"&amp;R113+1&amp;":B210"),0)+R113&amp;""),
IF(LEFT(INDIRECT("B"&amp;R113&amp;""),2)="博多",
INDIRECT("M"&amp;R113&amp;"")+INDIRECT("M"&amp;MATCH("*"&amp;INDIRECT("B"&amp;R113&amp;"")&amp;"*",INDIRECT("B"&amp;R113+1&amp;":B210"),0)+R113&amp;""),
IF(LEFT(INDIRECT("B"&amp;R113&amp;""),3)="奈良屋",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 x14ac:dyDescent="0.45">
      <c r="A114" s="198">
        <f t="shared" si="17"/>
        <v>93</v>
      </c>
      <c r="B114" s="199" t="str">
        <f t="shared" ca="1" si="9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>
        <f>IF(C114&lt;&gt;"",
IF(O114=1,クライアント抽出!E44,クライアント抽出!F44),"")</f>
        <v/>
      </c>
      <c r="J114" s="199" t="str">
        <f>IF(C114&lt;&gt;"",
VLOOKUP(
IF(COUNTIF(D114,"*学食*"),"キャラ弁（学食）",
IF(COUNTIF(D114,"*赤*"),"赤",
IF(COUNTIF(D114,"*キャラ弁当*"),"キャラ弁当",D114))),注文弁当の抽出!$E$1:$F$15,2,FALSE),"")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 cm="1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14"/>
        <v>0</v>
      </c>
      <c r="P114" s="199">
        <f t="shared" si="15"/>
        <v>0</v>
      </c>
      <c r="Q114" s="199" t="b">
        <f t="shared" si="16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>
        <f t="array" aca="1" ref="W114" ca="1">IF($R114&lt;&gt;"",
IF(COUNTIF(INDIRECT("B"&amp;R114&amp;""),"*雙葉*"),
INDIRECT("H"&amp;R114&amp;"")+INDIRECT("H"&amp;MATCH("雙葉'",INDIRECT("B"&amp;R114+1&amp;":B210"),0)+R114&amp;""),
IF(LEFT(INDIRECT("B"&amp;R114&amp;""),2)="博多",
INDIRECT("H"&amp;R114&amp;"")+INDIRECT("H"&amp;MATCH("*"&amp;INDIRECT("B"&amp;R114&amp;"")&amp;"*",INDIRECT("B"&amp;R114+1&amp;":B210"),0)+R114&amp;""),
IF(LEFT(INDIRECT("B"&amp;R114&amp;""),3)="奈良屋",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INDIRECT(""&amp;IF(COLUMN(I134)&lt;=26,CHAR(COLUMN(I134)+64),CHAR(INT((COLUMN(I134)-1)/26)+64)&amp;CHAR(MOD(COLUMN(I134)-1,26)+65))&amp;$R114&amp;""),"")</f>
        <v/>
      </c>
      <c r="Y114" s="51" t="str" cm="1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7"/>
        <v/>
      </c>
      <c r="AA114" s="51" t="str">
        <f t="shared" ca="1" si="8"/>
        <v/>
      </c>
      <c r="AB114" s="51" t="str" cm="1">
        <f t="array" aca="1" ref="AB114" ca="1">IF($R114&lt;&gt;"",
IF(COUNTIF(INDIRECT("B"&amp;R114&amp;""),"*雙葉*"),
INDIRECT("M"&amp;R114&amp;"")+INDIRECT("M"&amp;MATCH("雙葉'",INDIRECT("B"&amp;R114+1&amp;":B210"),0)+R114&amp;""),
IF(LEFT(INDIRECT("B"&amp;R114&amp;""),2)="博多",
INDIRECT("M"&amp;R114&amp;"")+INDIRECT("M"&amp;MATCH("*"&amp;INDIRECT("B"&amp;R114&amp;"")&amp;"*",INDIRECT("B"&amp;R114+1&amp;":B210"),0)+R114&amp;""),
IF(LEFT(INDIRECT("B"&amp;R114&amp;""),3)="奈良屋",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 x14ac:dyDescent="0.45">
      <c r="A115" s="198">
        <f t="shared" si="17"/>
        <v>95</v>
      </c>
      <c r="B115" s="199" t="str">
        <f t="shared" ca="1" si="9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>
        <f>IF(C115&lt;&gt;"",
IF(O115=1,クライアント抽出!E45,クライアント抽出!F45),"")</f>
        <v/>
      </c>
      <c r="J115" s="199" t="str">
        <f>IF(C115&lt;&gt;"",
VLOOKUP(
IF(COUNTIF(D115,"*学食*"),"キャラ弁（学食）",
IF(COUNTIF(D115,"*赤*"),"赤",
IF(COUNTIF(D115,"*キャラ弁当*"),"キャラ弁当",D115))),注文弁当の抽出!$E$1:$F$15,2,FALSE),"")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 cm="1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14"/>
        <v>0</v>
      </c>
      <c r="P115" s="199">
        <f t="shared" si="15"/>
        <v>0</v>
      </c>
      <c r="Q115" s="199" t="b">
        <f t="shared" si="16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>
        <f t="array" aca="1" ref="W115" ca="1">IF($R115&lt;&gt;"",
IF(COUNTIF(INDIRECT("B"&amp;R115&amp;""),"*雙葉*"),
INDIRECT("H"&amp;R115&amp;"")+INDIRECT("H"&amp;MATCH("雙葉'",INDIRECT("B"&amp;R115+1&amp;":B210"),0)+R115&amp;""),
IF(LEFT(INDIRECT("B"&amp;R115&amp;""),2)="博多",
INDIRECT("H"&amp;R115&amp;"")+INDIRECT("H"&amp;MATCH("*"&amp;INDIRECT("B"&amp;R115&amp;"")&amp;"*",INDIRECT("B"&amp;R115+1&amp;":B210"),0)+R115&amp;""),
IF(LEFT(INDIRECT("B"&amp;R115&amp;""),3)="奈良屋",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INDIRECT(""&amp;IF(COLUMN(I135)&lt;=26,CHAR(COLUMN(I135)+64),CHAR(INT((COLUMN(I135)-1)/26)+64)&amp;CHAR(MOD(COLUMN(I135)-1,26)+65))&amp;$R115&amp;""),"")</f>
        <v/>
      </c>
      <c r="Y115" s="51" t="str" cm="1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7"/>
        <v/>
      </c>
      <c r="AA115" s="51" t="str">
        <f t="shared" ca="1" si="8"/>
        <v/>
      </c>
      <c r="AB115" s="51" t="str" cm="1">
        <f t="array" aca="1" ref="AB115" ca="1">IF($R115&lt;&gt;"",
IF(COUNTIF(INDIRECT("B"&amp;R115&amp;""),"*雙葉*"),
INDIRECT("M"&amp;R115&amp;"")+INDIRECT("M"&amp;MATCH("雙葉'",INDIRECT("B"&amp;R115+1&amp;":B210"),0)+R115&amp;""),
IF(LEFT(INDIRECT("B"&amp;R115&amp;""),2)="博多",
INDIRECT("M"&amp;R115&amp;"")+INDIRECT("M"&amp;MATCH("*"&amp;INDIRECT("B"&amp;R115&amp;"")&amp;"*",INDIRECT("B"&amp;R115+1&amp;":B210"),0)+R115&amp;""),
IF(LEFT(INDIRECT("B"&amp;R115&amp;""),3)="奈良屋",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 x14ac:dyDescent="0.45">
      <c r="A116" s="198">
        <f t="shared" si="17"/>
        <v>97</v>
      </c>
      <c r="B116" s="199" t="str">
        <f t="shared" ca="1" si="9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>
        <f>IF(C116&lt;&gt;"",
IF(O116=1,クライアント抽出!E46,クライアント抽出!F46),"")</f>
        <v/>
      </c>
      <c r="J116" s="199" t="str">
        <f>IF(C116&lt;&gt;"",
VLOOKUP(
IF(COUNTIF(D116,"*学食*"),"キャラ弁（学食）",
IF(COUNTIF(D116,"*赤*"),"赤",
IF(COUNTIF(D116,"*キャラ弁当*"),"キャラ弁当",D116))),注文弁当の抽出!$E$1:$F$15,2,FALSE),"")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 cm="1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14"/>
        <v>0</v>
      </c>
      <c r="P116" s="199">
        <f t="shared" si="15"/>
        <v>0</v>
      </c>
      <c r="Q116" s="199" t="b">
        <f t="shared" si="16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>
        <f t="array" aca="1" ref="W116" ca="1">IF($R116&lt;&gt;"",
IF(COUNTIF(INDIRECT("B"&amp;R116&amp;""),"*雙葉*"),
INDIRECT("H"&amp;R116&amp;"")+INDIRECT("H"&amp;MATCH("雙葉'",INDIRECT("B"&amp;R116+1&amp;":B210"),0)+R116&amp;""),
IF(LEFT(INDIRECT("B"&amp;R116&amp;""),2)="博多",
INDIRECT("H"&amp;R116&amp;"")+INDIRECT("H"&amp;MATCH("*"&amp;INDIRECT("B"&amp;R116&amp;"")&amp;"*",INDIRECT("B"&amp;R116+1&amp;":B210"),0)+R116&amp;""),
IF(LEFT(INDIRECT("B"&amp;R116&amp;""),3)="奈良屋",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INDIRECT(""&amp;IF(COLUMN(I136)&lt;=26,CHAR(COLUMN(I136)+64),CHAR(INT((COLUMN(I136)-1)/26)+64)&amp;CHAR(MOD(COLUMN(I136)-1,26)+65))&amp;$R116&amp;""),"")</f>
        <v/>
      </c>
      <c r="Y116" s="51" t="str" cm="1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7"/>
        <v/>
      </c>
      <c r="AA116" s="51" t="str">
        <f t="shared" ca="1" si="8"/>
        <v/>
      </c>
      <c r="AB116" s="51" t="str" cm="1">
        <f t="array" aca="1" ref="AB116" ca="1">IF($R116&lt;&gt;"",
IF(COUNTIF(INDIRECT("B"&amp;R116&amp;""),"*雙葉*"),
INDIRECT("M"&amp;R116&amp;"")+INDIRECT("M"&amp;MATCH("雙葉'",INDIRECT("B"&amp;R116+1&amp;":B210"),0)+R116&amp;""),
IF(LEFT(INDIRECT("B"&amp;R116&amp;""),2)="博多",
INDIRECT("M"&amp;R116&amp;"")+INDIRECT("M"&amp;MATCH("*"&amp;INDIRECT("B"&amp;R116&amp;"")&amp;"*",INDIRECT("B"&amp;R116+1&amp;":B210"),0)+R116&amp;""),
IF(LEFT(INDIRECT("B"&amp;R116&amp;""),3)="奈良屋",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 x14ac:dyDescent="0.45">
      <c r="A117" s="198">
        <f t="shared" si="17"/>
        <v>99</v>
      </c>
      <c r="B117" s="199" t="str">
        <f t="shared" ca="1" si="9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>
        <f>IF(C117&lt;&gt;"",
IF(O117=1,クライアント抽出!E47,クライアント抽出!F47),"")</f>
        <v/>
      </c>
      <c r="J117" s="199" t="str">
        <f>IF(C117&lt;&gt;"",
VLOOKUP(
IF(COUNTIF(D117,"*学食*"),"キャラ弁（学食）",
IF(COUNTIF(D117,"*赤*"),"赤",
IF(COUNTIF(D117,"*キャラ弁当*"),"キャラ弁当",D117))),注文弁当の抽出!$E$1:$F$15,2,FALSE),"")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 cm="1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ca="1">O47</f>
        <v>0</v>
      </c>
      <c r="P117" s="199">
        <f t="shared" si="15"/>
        <v>0</v>
      </c>
      <c r="Q117" s="199" t="b">
        <f t="shared" si="16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>
        <f t="array" aca="1" ref="W117" ca="1">IF($R117&lt;&gt;"",
IF(COUNTIF(INDIRECT("B"&amp;R117&amp;""),"*雙葉*"),
INDIRECT("H"&amp;R117&amp;"")+INDIRECT("H"&amp;MATCH("雙葉'",INDIRECT("B"&amp;R117+1&amp;":B210"),0)+R117&amp;""),
IF(LEFT(INDIRECT("B"&amp;R117&amp;""),2)="博多",
INDIRECT("H"&amp;R117&amp;"")+INDIRECT("H"&amp;MATCH("*"&amp;INDIRECT("B"&amp;R117&amp;"")&amp;"*",INDIRECT("B"&amp;R117+1&amp;":B210"),0)+R117&amp;""),
IF(LEFT(INDIRECT("B"&amp;R117&amp;""),3)="奈良屋",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INDIRECT(""&amp;IF(COLUMN(I137)&lt;=26,CHAR(COLUMN(I137)+64),CHAR(INT((COLUMN(I137)-1)/26)+64)&amp;CHAR(MOD(COLUMN(I137)-1,26)+65))&amp;$R117&amp;""),"")</f>
        <v/>
      </c>
      <c r="Y117" s="51" t="str" cm="1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7"/>
        <v/>
      </c>
      <c r="AA117" s="51" t="str">
        <f t="shared" ca="1" si="8"/>
        <v/>
      </c>
      <c r="AB117" s="51" t="str" cm="1">
        <f t="array" aca="1" ref="AB117" ca="1">IF($R117&lt;&gt;"",
IF(COUNTIF(INDIRECT("B"&amp;R117&amp;""),"*雙葉*"),
INDIRECT("M"&amp;R117&amp;"")+INDIRECT("M"&amp;MATCH("雙葉'",INDIRECT("B"&amp;R117+1&amp;":B210"),0)+R117&amp;""),
IF(LEFT(INDIRECT("B"&amp;R117&amp;""),2)="博多",
INDIRECT("M"&amp;R117&amp;"")+INDIRECT("M"&amp;MATCH("*"&amp;INDIRECT("B"&amp;R117&amp;"")&amp;"*",INDIRECT("B"&amp;R117+1&amp;":B210"),0)+R117&amp;""),
IF(LEFT(INDIRECT("B"&amp;R117&amp;""),3)="奈良屋",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 x14ac:dyDescent="0.45">
      <c r="A118" s="198">
        <f t="shared" si="17"/>
        <v>101</v>
      </c>
      <c r="B118" s="199" t="str">
        <f t="shared" ca="1" si="9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>
        <f>IF(C118&lt;&gt;"",
IF(O118=1,クライアント抽出!E48,クライアント抽出!F48),"")</f>
        <v/>
      </c>
      <c r="J118" s="199" t="str">
        <f>IF(C118&lt;&gt;"",
VLOOKUP(
IF(COUNTIF(D118,"*学食*"),"キャラ弁（学食）",
IF(COUNTIF(D118,"*赤*"),"赤",
IF(COUNTIF(D118,"*キャラ弁当*"),"キャラ弁当",D118))),注文弁当の抽出!$E$1:$F$15,2,FALSE),"")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 cm="1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14"/>
        <v>0</v>
      </c>
      <c r="P118" s="199">
        <f t="shared" si="15"/>
        <v>0</v>
      </c>
      <c r="Q118" s="199" t="b">
        <f t="shared" si="16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>
        <f t="array" aca="1" ref="W118" ca="1">IF($R118&lt;&gt;"",
IF(COUNTIF(INDIRECT("B"&amp;R118&amp;""),"*雙葉*"),
INDIRECT("H"&amp;R118&amp;"")+INDIRECT("H"&amp;MATCH("雙葉'",INDIRECT("B"&amp;R118+1&amp;":B210"),0)+R118&amp;""),
IF(LEFT(INDIRECT("B"&amp;R118&amp;""),2)="博多",
INDIRECT("H"&amp;R118&amp;"")+INDIRECT("H"&amp;MATCH("*"&amp;INDIRECT("B"&amp;R118&amp;"")&amp;"*",INDIRECT("B"&amp;R118+1&amp;":B210"),0)+R118&amp;""),
IF(LEFT(INDIRECT("B"&amp;R118&amp;""),3)="奈良屋",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INDIRECT(""&amp;IF(COLUMN(I138)&lt;=26,CHAR(COLUMN(I138)+64),CHAR(INT((COLUMN(I138)-1)/26)+64)&amp;CHAR(MOD(COLUMN(I138)-1,26)+65))&amp;$R118&amp;""),"")</f>
        <v/>
      </c>
      <c r="Y118" s="51" t="str" cm="1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7"/>
        <v/>
      </c>
      <c r="AA118" s="51" t="str">
        <f t="shared" ca="1" si="8"/>
        <v/>
      </c>
      <c r="AB118" s="51" t="str" cm="1">
        <f t="array" aca="1" ref="AB118" ca="1">IF($R118&lt;&gt;"",
IF(COUNTIF(INDIRECT("B"&amp;R118&amp;""),"*雙葉*"),
INDIRECT("M"&amp;R118&amp;"")+INDIRECT("M"&amp;MATCH("雙葉'",INDIRECT("B"&amp;R118+1&amp;":B210"),0)+R118&amp;""),
IF(LEFT(INDIRECT("B"&amp;R118&amp;""),2)="博多",
INDIRECT("M"&amp;R118&amp;"")+INDIRECT("M"&amp;MATCH("*"&amp;INDIRECT("B"&amp;R118&amp;"")&amp;"*",INDIRECT("B"&amp;R118+1&amp;":B210"),0)+R118&amp;""),
IF(LEFT(INDIRECT("B"&amp;R118&amp;""),3)="奈良屋",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 x14ac:dyDescent="0.45">
      <c r="A119" s="198">
        <f t="shared" si="17"/>
        <v>103</v>
      </c>
      <c r="B119" s="199" t="str">
        <f t="shared" ca="1" si="9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>
        <f>IF(C119&lt;&gt;"",
IF(O119=1,クライアント抽出!E49,クライアント抽出!F49),"")</f>
        <v/>
      </c>
      <c r="J119" s="199" t="str">
        <f>IF(C119&lt;&gt;"",
VLOOKUP(
IF(COUNTIF(D119,"*学食*"),"キャラ弁（学食）",
IF(COUNTIF(D119,"*赤*"),"赤",
IF(COUNTIF(D119,"*キャラ弁当*"),"キャラ弁当",D119))),注文弁当の抽出!$E$1:$F$15,2,FALSE),"")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 cm="1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14"/>
        <v>0</v>
      </c>
      <c r="P119" s="199">
        <f t="shared" si="15"/>
        <v>0</v>
      </c>
      <c r="Q119" s="199" t="b">
        <f t="shared" si="16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>
        <f t="array" aca="1" ref="W119" ca="1">IF($R119&lt;&gt;"",
IF(COUNTIF(INDIRECT("B"&amp;R119&amp;""),"*雙葉*"),
INDIRECT("H"&amp;R119&amp;"")+INDIRECT("H"&amp;MATCH("雙葉'",INDIRECT("B"&amp;R119+1&amp;":B210"),0)+R119&amp;""),
IF(LEFT(INDIRECT("B"&amp;R119&amp;""),2)="博多",
INDIRECT("H"&amp;R119&amp;"")+INDIRECT("H"&amp;MATCH("*"&amp;INDIRECT("B"&amp;R119&amp;"")&amp;"*",INDIRECT("B"&amp;R119+1&amp;":B210"),0)+R119&amp;""),
IF(LEFT(INDIRECT("B"&amp;R119&amp;""),3)="奈良屋",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INDIRECT(""&amp;IF(COLUMN(I139)&lt;=26,CHAR(COLUMN(I139)+64),CHAR(INT((COLUMN(I139)-1)/26)+64)&amp;CHAR(MOD(COLUMN(I139)-1,26)+65))&amp;$R119&amp;""),"")</f>
        <v/>
      </c>
      <c r="Y119" s="51" t="str" cm="1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7"/>
        <v/>
      </c>
      <c r="AA119" s="51" t="str">
        <f t="shared" ca="1" si="8"/>
        <v/>
      </c>
      <c r="AB119" s="51" t="str" cm="1">
        <f t="array" aca="1" ref="AB119" ca="1">IF($R119&lt;&gt;"",
IF(COUNTIF(INDIRECT("B"&amp;R119&amp;""),"*雙葉*"),
INDIRECT("M"&amp;R119&amp;"")+INDIRECT("M"&amp;MATCH("雙葉'",INDIRECT("B"&amp;R119+1&amp;":B210"),0)+R119&amp;""),
IF(LEFT(INDIRECT("B"&amp;R119&amp;""),2)="博多",
INDIRECT("M"&amp;R119&amp;"")+INDIRECT("M"&amp;MATCH("*"&amp;INDIRECT("B"&amp;R119&amp;"")&amp;"*",INDIRECT("B"&amp;R119+1&amp;":B210"),0)+R119&amp;""),
IF(LEFT(INDIRECT("B"&amp;R119&amp;""),3)="奈良屋",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 x14ac:dyDescent="0.45">
      <c r="A120" s="198">
        <f t="shared" si="17"/>
        <v>105</v>
      </c>
      <c r="B120" s="199" t="str">
        <f t="shared" ca="1" si="9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>
        <f>IF(C120&lt;&gt;"",
IF(O120=1,クライアント抽出!E50,クライアント抽出!F50),"")</f>
        <v/>
      </c>
      <c r="J120" s="199" t="str">
        <f>IF(C120&lt;&gt;"",
VLOOKUP(
IF(COUNTIF(D120,"*学食*"),"キャラ弁（学食）",
IF(COUNTIF(D120,"*赤*"),"赤",
IF(COUNTIF(D120,"*キャラ弁当*"),"キャラ弁当",D120))),注文弁当の抽出!$E$1:$F$15,2,FALSE),"")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 cm="1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14"/>
        <v>0</v>
      </c>
      <c r="P120" s="199">
        <f t="shared" si="15"/>
        <v>0</v>
      </c>
      <c r="Q120" s="199" t="b">
        <f t="shared" si="16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>
        <f t="array" aca="1" ref="W120" ca="1">IF($R120&lt;&gt;"",
IF(COUNTIF(INDIRECT("B"&amp;R120&amp;""),"*雙葉*"),
INDIRECT("H"&amp;R120&amp;"")+INDIRECT("H"&amp;MATCH("雙葉'",INDIRECT("B"&amp;R120+1&amp;":B210"),0)+R120&amp;""),
IF(LEFT(INDIRECT("B"&amp;R120&amp;""),2)="博多",
INDIRECT("H"&amp;R120&amp;"")+INDIRECT("H"&amp;MATCH("*"&amp;INDIRECT("B"&amp;R120&amp;"")&amp;"*",INDIRECT("B"&amp;R120+1&amp;":B210"),0)+R120&amp;""),
IF(LEFT(INDIRECT("B"&amp;R120&amp;""),3)="奈良屋",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INDIRECT(""&amp;IF(COLUMN(I140)&lt;=26,CHAR(COLUMN(I140)+64),CHAR(INT((COLUMN(I140)-1)/26)+64)&amp;CHAR(MOD(COLUMN(I140)-1,26)+65))&amp;$R120&amp;""),"")</f>
        <v/>
      </c>
      <c r="Y120" s="51" t="str" cm="1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7"/>
        <v/>
      </c>
      <c r="AA120" s="51" t="str">
        <f t="shared" ca="1" si="8"/>
        <v/>
      </c>
      <c r="AB120" s="51" t="str" cm="1">
        <f t="array" aca="1" ref="AB120" ca="1">IF($R120&lt;&gt;"",
IF(COUNTIF(INDIRECT("B"&amp;R120&amp;""),"*雙葉*"),
INDIRECT("M"&amp;R120&amp;"")+INDIRECT("M"&amp;MATCH("雙葉'",INDIRECT("B"&amp;R120+1&amp;":B210"),0)+R120&amp;""),
IF(LEFT(INDIRECT("B"&amp;R120&amp;""),2)="博多",
INDIRECT("M"&amp;R120&amp;"")+INDIRECT("M"&amp;MATCH("*"&amp;INDIRECT("B"&amp;R120&amp;"")&amp;"*",INDIRECT("B"&amp;R120+1&amp;":B210"),0)+R120&amp;""),
IF(LEFT(INDIRECT("B"&amp;R120&amp;""),3)="奈良屋",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 x14ac:dyDescent="0.45">
      <c r="A121" s="198">
        <f t="shared" si="17"/>
        <v>107</v>
      </c>
      <c r="B121" s="199" t="str">
        <f t="shared" ca="1" si="9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>
        <f>IF(C121&lt;&gt;"",
IF(O121=1,クライアント抽出!E51,クライアント抽出!F51),"")</f>
        <v/>
      </c>
      <c r="J121" s="199" t="str">
        <f>IF(C121&lt;&gt;"",
VLOOKUP(
IF(COUNTIF(D121,"*学食*"),"キャラ弁（学食）",
IF(COUNTIF(D121,"*赤*"),"赤",
IF(COUNTIF(D121,"*キャラ弁当*"),"キャラ弁当",D121))),注文弁当の抽出!$E$1:$F$15,2,FALSE),"")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 cm="1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14"/>
        <v>0</v>
      </c>
      <c r="P121" s="199">
        <f t="shared" si="15"/>
        <v>0</v>
      </c>
      <c r="Q121" s="199" t="b">
        <f t="shared" si="16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>
        <f t="array" aca="1" ref="W121" ca="1">IF($R121&lt;&gt;"",
IF(COUNTIF(INDIRECT("B"&amp;R121&amp;""),"*雙葉*"),
INDIRECT("H"&amp;R121&amp;"")+INDIRECT("H"&amp;MATCH("雙葉'",INDIRECT("B"&amp;R121+1&amp;":B210"),0)+R121&amp;""),
IF(LEFT(INDIRECT("B"&amp;R121&amp;""),2)="博多",
INDIRECT("H"&amp;R121&amp;"")+INDIRECT("H"&amp;MATCH("*"&amp;INDIRECT("B"&amp;R121&amp;"")&amp;"*",INDIRECT("B"&amp;R121+1&amp;":B210"),0)+R121&amp;""),
IF(LEFT(INDIRECT("B"&amp;R121&amp;""),3)="奈良屋",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INDIRECT(""&amp;IF(COLUMN(I141)&lt;=26,CHAR(COLUMN(I141)+64),CHAR(INT((COLUMN(I141)-1)/26)+64)&amp;CHAR(MOD(COLUMN(I141)-1,26)+65))&amp;$R121&amp;""),"")</f>
        <v/>
      </c>
      <c r="Y121" s="51" t="str" cm="1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7"/>
        <v/>
      </c>
      <c r="AA121" s="51" t="str">
        <f t="shared" ca="1" si="8"/>
        <v/>
      </c>
      <c r="AB121" s="51" t="str" cm="1">
        <f t="array" aca="1" ref="AB121" ca="1">IF($R121&lt;&gt;"",
IF(COUNTIF(INDIRECT("B"&amp;R121&amp;""),"*雙葉*"),
INDIRECT("M"&amp;R121&amp;"")+INDIRECT("M"&amp;MATCH("雙葉'",INDIRECT("B"&amp;R121+1&amp;":B210"),0)+R121&amp;""),
IF(LEFT(INDIRECT("B"&amp;R121&amp;""),2)="博多",
INDIRECT("M"&amp;R121&amp;"")+INDIRECT("M"&amp;MATCH("*"&amp;INDIRECT("B"&amp;R121&amp;"")&amp;"*",INDIRECT("B"&amp;R121+1&amp;":B210"),0)+R121&amp;""),
IF(LEFT(INDIRECT("B"&amp;R121&amp;""),3)="奈良屋",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 x14ac:dyDescent="0.45">
      <c r="A122" s="198">
        <f t="shared" si="17"/>
        <v>109</v>
      </c>
      <c r="B122" s="199" t="str">
        <f t="shared" ca="1" si="9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>
        <f>IF(C122&lt;&gt;"",
IF(O122=1,クライアント抽出!E52,クライアント抽出!F52),"")</f>
        <v/>
      </c>
      <c r="J122" s="199" t="str">
        <f>IF(C122&lt;&gt;"",
VLOOKUP(
IF(COUNTIF(D122,"*学食*"),"キャラ弁（学食）",
IF(COUNTIF(D122,"*赤*"),"赤",
IF(COUNTIF(D122,"*キャラ弁当*"),"キャラ弁当",D122))),注文弁当の抽出!$E$1:$F$15,2,FALSE),"")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 cm="1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14"/>
        <v>0</v>
      </c>
      <c r="P122" s="199">
        <f t="shared" si="15"/>
        <v>0</v>
      </c>
      <c r="Q122" s="199" t="b">
        <f>IF(C122&lt;&gt;"",
IF(OR(N122=1,COUNTIF(D122,"*朝食*"),COUNTIF(D122,"*夕食*")),TRUE,FALSE),FALSE)</f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>
        <f t="array" aca="1" ref="W122" ca="1">IF($R122&lt;&gt;"",
IF(COUNTIF(INDIRECT("B"&amp;R122&amp;""),"*雙葉*"),
INDIRECT("H"&amp;R122&amp;"")+INDIRECT("H"&amp;MATCH("雙葉'",INDIRECT("B"&amp;R122+1&amp;":B210"),0)+R122&amp;""),
IF(LEFT(INDIRECT("B"&amp;R122&amp;""),2)="博多",
INDIRECT("H"&amp;R122&amp;"")+INDIRECT("H"&amp;MATCH("*"&amp;INDIRECT("B"&amp;R122&amp;"")&amp;"*",INDIRECT("B"&amp;R122+1&amp;":B210"),0)+R122&amp;""),
IF(LEFT(INDIRECT("B"&amp;R122&amp;""),3)="奈良屋",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INDIRECT(""&amp;IF(COLUMN(I142)&lt;=26,CHAR(COLUMN(I142)+64),CHAR(INT((COLUMN(I142)-1)/26)+64)&amp;CHAR(MOD(COLUMN(I142)-1,26)+65))&amp;$R122&amp;""),"")</f>
        <v/>
      </c>
      <c r="Y122" s="51" t="str" cm="1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7"/>
        <v/>
      </c>
      <c r="AA122" s="51" t="str">
        <f t="shared" ca="1" si="8"/>
        <v/>
      </c>
      <c r="AB122" s="51" t="str" cm="1">
        <f t="array" aca="1" ref="AB122" ca="1">IF($R122&lt;&gt;"",
IF(COUNTIF(INDIRECT("B"&amp;R122&amp;""),"*雙葉*"),
INDIRECT("M"&amp;R122&amp;"")+INDIRECT("M"&amp;MATCH("雙葉'",INDIRECT("B"&amp;R122+1&amp;":B210"),0)+R122&amp;""),
IF(LEFT(INDIRECT("B"&amp;R122&amp;""),2)="博多",
INDIRECT("M"&amp;R122&amp;"")+INDIRECT("M"&amp;MATCH("*"&amp;INDIRECT("B"&amp;R122&amp;"")&amp;"*",INDIRECT("B"&amp;R122+1&amp;":B210"),0)+R122&amp;""),
IF(LEFT(INDIRECT("B"&amp;R122&amp;""),3)="奈良屋",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 x14ac:dyDescent="0.45">
      <c r="A123" s="198">
        <f t="shared" si="17"/>
        <v>111</v>
      </c>
      <c r="B123" s="199" t="str">
        <f t="shared" ca="1" si="9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>
        <f>IF(C123&lt;&gt;"",
IF(O123=1,クライアント抽出!E53,クライアント抽出!F53),"")</f>
        <v/>
      </c>
      <c r="J123" s="199" t="str">
        <f>IF(C123&lt;&gt;"",
VLOOKUP(
IF(COUNTIF(D123,"*学食*"),"キャラ弁（学食）",
IF(COUNTIF(D123,"*赤*"),"赤",
IF(COUNTIF(D123,"*キャラ弁当*"),"キャラ弁当",D123))),注文弁当の抽出!$E$1:$F$15,2,FALSE),"")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 cm="1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14"/>
        <v>0</v>
      </c>
      <c r="P123" s="199">
        <f t="shared" si="15"/>
        <v>0</v>
      </c>
      <c r="Q123" s="199" t="b">
        <f t="shared" si="16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>
        <f t="array" aca="1" ref="W123" ca="1">IF($R123&lt;&gt;"",
IF(COUNTIF(INDIRECT("B"&amp;R123&amp;""),"*雙葉*"),
INDIRECT("H"&amp;R123&amp;"")+INDIRECT("H"&amp;MATCH("雙葉'",INDIRECT("B"&amp;R123+1&amp;":B210"),0)+R123&amp;""),
IF(LEFT(INDIRECT("B"&amp;R123&amp;""),2)="博多",
INDIRECT("H"&amp;R123&amp;"")+INDIRECT("H"&amp;MATCH("*"&amp;INDIRECT("B"&amp;R123&amp;"")&amp;"*",INDIRECT("B"&amp;R123+1&amp;":B210"),0)+R123&amp;""),
IF(LEFT(INDIRECT("B"&amp;R123&amp;""),3)="奈良屋",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INDIRECT(""&amp;IF(COLUMN(I143)&lt;=26,CHAR(COLUMN(I143)+64),CHAR(INT((COLUMN(I143)-1)/26)+64)&amp;CHAR(MOD(COLUMN(I143)-1,26)+65))&amp;$R123&amp;""),"")</f>
        <v/>
      </c>
      <c r="Y123" s="51" t="str" cm="1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7"/>
        <v/>
      </c>
      <c r="AA123" s="51" t="str">
        <f t="shared" ca="1" si="8"/>
        <v/>
      </c>
      <c r="AB123" s="51" t="str" cm="1">
        <f t="array" aca="1" ref="AB123" ca="1">IF($R123&lt;&gt;"",
IF(COUNTIF(INDIRECT("B"&amp;R123&amp;""),"*雙葉*"),
INDIRECT("M"&amp;R123&amp;"")+INDIRECT("M"&amp;MATCH("雙葉'",INDIRECT("B"&amp;R123+1&amp;":B210"),0)+R123&amp;""),
IF(LEFT(INDIRECT("B"&amp;R123&amp;""),2)="博多",
INDIRECT("M"&amp;R123&amp;"")+INDIRECT("M"&amp;MATCH("*"&amp;INDIRECT("B"&amp;R123&amp;"")&amp;"*",INDIRECT("B"&amp;R123+1&amp;":B210"),0)+R123&amp;""),
IF(LEFT(INDIRECT("B"&amp;R123&amp;""),3)="奈良屋",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 x14ac:dyDescent="0.45">
      <c r="A124" s="198">
        <f t="shared" si="17"/>
        <v>113</v>
      </c>
      <c r="B124" s="199" t="str">
        <f t="shared" ca="1" si="9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>
        <f>IF(C124&lt;&gt;"",
IF(O124=1,クライアント抽出!E54,クライアント抽出!F54),"")</f>
        <v/>
      </c>
      <c r="J124" s="199" t="str">
        <f>IF(C124&lt;&gt;"",
VLOOKUP(
IF(COUNTIF(D124,"*学食*"),"キャラ弁（学食）",
IF(COUNTIF(D124,"*赤*"),"赤",
IF(COUNTIF(D124,"*キャラ弁当*"),"キャラ弁当",D124))),注文弁当の抽出!$E$1:$F$15,2,FALSE),"")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 cm="1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14"/>
        <v>0</v>
      </c>
      <c r="P124" s="199">
        <f t="shared" si="15"/>
        <v>0</v>
      </c>
      <c r="Q124" s="199" t="b">
        <f t="shared" si="16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>
        <f t="array" aca="1" ref="W124" ca="1">IF($R124&lt;&gt;"",
IF(COUNTIF(INDIRECT("B"&amp;R124&amp;""),"*雙葉*"),
INDIRECT("H"&amp;R124&amp;"")+INDIRECT("H"&amp;MATCH("雙葉'",INDIRECT("B"&amp;R124+1&amp;":B210"),0)+R124&amp;""),
IF(LEFT(INDIRECT("B"&amp;R124&amp;""),2)="博多",
INDIRECT("H"&amp;R124&amp;"")+INDIRECT("H"&amp;MATCH("*"&amp;INDIRECT("B"&amp;R124&amp;"")&amp;"*",INDIRECT("B"&amp;R124+1&amp;":B210"),0)+R124&amp;""),
IF(LEFT(INDIRECT("B"&amp;R124&amp;""),3)="奈良屋",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INDIRECT(""&amp;IF(COLUMN(I144)&lt;=26,CHAR(COLUMN(I144)+64),CHAR(INT((COLUMN(I144)-1)/26)+64)&amp;CHAR(MOD(COLUMN(I144)-1,26)+65))&amp;$R124&amp;""),"")</f>
        <v/>
      </c>
      <c r="Y124" s="51" t="str" cm="1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7"/>
        <v/>
      </c>
      <c r="AA124" s="51" t="str">
        <f t="shared" ca="1" si="8"/>
        <v/>
      </c>
      <c r="AB124" s="51" t="str" cm="1">
        <f t="array" aca="1" ref="AB124" ca="1">IF($R124&lt;&gt;"",
IF(COUNTIF(INDIRECT("B"&amp;R124&amp;""),"*雙葉*"),
INDIRECT("M"&amp;R124&amp;"")+INDIRECT("M"&amp;MATCH("雙葉'",INDIRECT("B"&amp;R124+1&amp;":B210"),0)+R124&amp;""),
IF(LEFT(INDIRECT("B"&amp;R124&amp;""),2)="博多",
INDIRECT("M"&amp;R124&amp;"")+INDIRECT("M"&amp;MATCH("*"&amp;INDIRECT("B"&amp;R124&amp;"")&amp;"*",INDIRECT("B"&amp;R124+1&amp;":B210"),0)+R124&amp;""),
IF(LEFT(INDIRECT("B"&amp;R124&amp;""),3)="奈良屋",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 x14ac:dyDescent="0.45">
      <c r="A125" s="198">
        <f t="shared" si="17"/>
        <v>115</v>
      </c>
      <c r="B125" s="199" t="str">
        <f t="shared" ca="1" si="9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>
        <f>IF(C125&lt;&gt;"",
IF(O125=1,クライアント抽出!E55,クライアント抽出!F55),"")</f>
        <v/>
      </c>
      <c r="J125" s="199" t="str">
        <f>IF(C125&lt;&gt;"",
VLOOKUP(
IF(COUNTIF(D125,"*学食*"),"キャラ弁（学食）",
IF(COUNTIF(D125,"*赤*"),"赤",
IF(COUNTIF(D125,"*キャラ弁当*"),"キャラ弁当",D125))),注文弁当の抽出!$E$1:$F$15,2,FALSE),"")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 cm="1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14"/>
        <v>0</v>
      </c>
      <c r="P125" s="199">
        <f t="shared" si="15"/>
        <v>0</v>
      </c>
      <c r="Q125" s="199" t="b">
        <f t="shared" si="16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>
        <f t="array" aca="1" ref="W125" ca="1">IF($R125&lt;&gt;"",
IF(COUNTIF(INDIRECT("B"&amp;R125&amp;""),"*雙葉*"),
INDIRECT("H"&amp;R125&amp;"")+INDIRECT("H"&amp;MATCH("雙葉'",INDIRECT("B"&amp;R125+1&amp;":B210"),0)+R125&amp;""),
IF(LEFT(INDIRECT("B"&amp;R125&amp;""),2)="博多",
INDIRECT("H"&amp;R125&amp;"")+INDIRECT("H"&amp;MATCH("*"&amp;INDIRECT("B"&amp;R125&amp;"")&amp;"*",INDIRECT("B"&amp;R125+1&amp;":B210"),0)+R125&amp;""),
IF(LEFT(INDIRECT("B"&amp;R125&amp;""),3)="奈良屋",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INDIRECT(""&amp;IF(COLUMN(I145)&lt;=26,CHAR(COLUMN(I145)+64),CHAR(INT((COLUMN(I145)-1)/26)+64)&amp;CHAR(MOD(COLUMN(I145)-1,26)+65))&amp;$R125&amp;""),"")</f>
        <v/>
      </c>
      <c r="Y125" s="51" t="str" cm="1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7"/>
        <v/>
      </c>
      <c r="AA125" s="51" t="str">
        <f t="shared" ca="1" si="8"/>
        <v/>
      </c>
      <c r="AB125" s="51" t="str" cm="1">
        <f t="array" aca="1" ref="AB125" ca="1">IF($R125&lt;&gt;"",
IF(COUNTIF(INDIRECT("B"&amp;R125&amp;""),"*雙葉*"),
INDIRECT("M"&amp;R125&amp;"")+INDIRECT("M"&amp;MATCH("雙葉'",INDIRECT("B"&amp;R125+1&amp;":B210"),0)+R125&amp;""),
IF(LEFT(INDIRECT("B"&amp;R125&amp;""),2)="博多",
INDIRECT("M"&amp;R125&amp;"")+INDIRECT("M"&amp;MATCH("*"&amp;INDIRECT("B"&amp;R125&amp;"")&amp;"*",INDIRECT("B"&amp;R125+1&amp;":B210"),0)+R125&amp;""),
IF(LEFT(INDIRECT("B"&amp;R125&amp;""),3)="奈良屋",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 x14ac:dyDescent="0.45">
      <c r="A126" s="198">
        <f t="shared" si="17"/>
        <v>117</v>
      </c>
      <c r="B126" s="199" t="str">
        <f t="shared" ca="1" si="9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>
        <f>IF(C126&lt;&gt;"",
IF(O126=1,クライアント抽出!E56,クライアント抽出!F56),"")</f>
        <v/>
      </c>
      <c r="J126" s="199" t="str">
        <f>IF(C126&lt;&gt;"",
VLOOKUP(
IF(COUNTIF(D126,"*学食*"),"キャラ弁（学食）",
IF(COUNTIF(D126,"*赤*"),"赤",
IF(COUNTIF(D126,"*キャラ弁当*"),"キャラ弁当",D126))),注文弁当の抽出!$E$1:$F$15,2,FALSE),"")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 cm="1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14"/>
        <v>0</v>
      </c>
      <c r="P126" s="199">
        <f t="shared" si="15"/>
        <v>0</v>
      </c>
      <c r="Q126" s="199" t="b">
        <f t="shared" si="16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>
        <f t="array" aca="1" ref="W126" ca="1">IF($R126&lt;&gt;"",
IF(COUNTIF(INDIRECT("B"&amp;R126&amp;""),"*雙葉*"),
INDIRECT("H"&amp;R126&amp;"")+INDIRECT("H"&amp;MATCH("雙葉'",INDIRECT("B"&amp;R126+1&amp;":B210"),0)+R126&amp;""),
IF(LEFT(INDIRECT("B"&amp;R126&amp;""),2)="博多",
INDIRECT("H"&amp;R126&amp;"")+INDIRECT("H"&amp;MATCH("*"&amp;INDIRECT("B"&amp;R126&amp;"")&amp;"*",INDIRECT("B"&amp;R126+1&amp;":B210"),0)+R126&amp;""),
IF(LEFT(INDIRECT("B"&amp;R126&amp;""),3)="奈良屋",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INDIRECT(""&amp;IF(COLUMN(I146)&lt;=26,CHAR(COLUMN(I146)+64),CHAR(INT((COLUMN(I146)-1)/26)+64)&amp;CHAR(MOD(COLUMN(I146)-1,26)+65))&amp;$R126&amp;""),"")</f>
        <v/>
      </c>
      <c r="Y126" s="51" t="str" cm="1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7"/>
        <v/>
      </c>
      <c r="AA126" s="51" t="str">
        <f t="shared" ca="1" si="8"/>
        <v/>
      </c>
      <c r="AB126" s="51" t="str" cm="1">
        <f t="array" aca="1" ref="AB126" ca="1">IF($R126&lt;&gt;"",
IF(COUNTIF(INDIRECT("B"&amp;R126&amp;""),"*雙葉*"),
INDIRECT("M"&amp;R126&amp;"")+INDIRECT("M"&amp;MATCH("雙葉'",INDIRECT("B"&amp;R126+1&amp;":B210"),0)+R126&amp;""),
IF(LEFT(INDIRECT("B"&amp;R126&amp;""),2)="博多",
INDIRECT("M"&amp;R126&amp;"")+INDIRECT("M"&amp;MATCH("*"&amp;INDIRECT("B"&amp;R126&amp;"")&amp;"*",INDIRECT("B"&amp;R126+1&amp;":B210"),0)+R126&amp;""),
IF(LEFT(INDIRECT("B"&amp;R126&amp;""),3)="奈良屋",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 x14ac:dyDescent="0.45">
      <c r="A127" s="198">
        <f t="shared" si="17"/>
        <v>119</v>
      </c>
      <c r="B127" s="199" t="str">
        <f t="shared" ca="1" si="9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>
        <f>IF(C127&lt;&gt;"",
IF(O127=1,クライアント抽出!E57,クライアント抽出!F57),"")</f>
        <v/>
      </c>
      <c r="J127" s="199" t="str">
        <f>IF(C127&lt;&gt;"",
VLOOKUP(
IF(COUNTIF(D127,"*学食*"),"キャラ弁（学食）",
IF(COUNTIF(D127,"*赤*"),"赤",
IF(COUNTIF(D127,"*キャラ弁当*"),"キャラ弁当",D127))),注文弁当の抽出!$E$1:$F$15,2,FALSE),"")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 cm="1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14"/>
        <v>0</v>
      </c>
      <c r="P127" s="199">
        <f t="shared" si="15"/>
        <v>0</v>
      </c>
      <c r="Q127" s="199" t="b">
        <f t="shared" si="16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>
        <f t="array" aca="1" ref="W127" ca="1">IF($R127&lt;&gt;"",
IF(COUNTIF(INDIRECT("B"&amp;R127&amp;""),"*雙葉*"),
INDIRECT("H"&amp;R127&amp;"")+INDIRECT("H"&amp;MATCH("雙葉'",INDIRECT("B"&amp;R127+1&amp;":B210"),0)+R127&amp;""),
IF(LEFT(INDIRECT("B"&amp;R127&amp;""),2)="博多",
INDIRECT("H"&amp;R127&amp;"")+INDIRECT("H"&amp;MATCH("*"&amp;INDIRECT("B"&amp;R127&amp;"")&amp;"*",INDIRECT("B"&amp;R127+1&amp;":B210"),0)+R127&amp;""),
IF(LEFT(INDIRECT("B"&amp;R127&amp;""),3)="奈良屋",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INDIRECT(""&amp;IF(COLUMN(I147)&lt;=26,CHAR(COLUMN(I147)+64),CHAR(INT((COLUMN(I147)-1)/26)+64)&amp;CHAR(MOD(COLUMN(I147)-1,26)+65))&amp;$R127&amp;""),"")</f>
        <v/>
      </c>
      <c r="Y127" s="51" t="str" cm="1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7"/>
        <v/>
      </c>
      <c r="AA127" s="51" t="str">
        <f t="shared" ca="1" si="8"/>
        <v/>
      </c>
      <c r="AB127" s="51" t="str" cm="1">
        <f t="array" aca="1" ref="AB127" ca="1">IF($R127&lt;&gt;"",
IF(COUNTIF(INDIRECT("B"&amp;R127&amp;""),"*雙葉*"),
INDIRECT("M"&amp;R127&amp;"")+INDIRECT("M"&amp;MATCH("雙葉'",INDIRECT("B"&amp;R127+1&amp;":B210"),0)+R127&amp;""),
IF(LEFT(INDIRECT("B"&amp;R127&amp;""),2)="博多",
INDIRECT("M"&amp;R127&amp;"")+INDIRECT("M"&amp;MATCH("*"&amp;INDIRECT("B"&amp;R127&amp;"")&amp;"*",INDIRECT("B"&amp;R127+1&amp;":B210"),0)+R127&amp;""),
IF(LEFT(INDIRECT("B"&amp;R127&amp;""),3)="奈良屋",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 x14ac:dyDescent="0.45">
      <c r="A128" s="198">
        <f t="shared" si="17"/>
        <v>121</v>
      </c>
      <c r="B128" s="199" t="str">
        <f t="shared" ca="1" si="9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>
        <f>IF(C128&lt;&gt;"",
IF(O128=1,クライアント抽出!E58,クライアント抽出!F58),"")</f>
        <v/>
      </c>
      <c r="J128" s="199" t="str">
        <f>IF(C128&lt;&gt;"",
VLOOKUP(
IF(COUNTIF(D128,"*学食*"),"キャラ弁（学食）",
IF(COUNTIF(D128,"*赤*"),"赤",
IF(COUNTIF(D128,"*キャラ弁当*"),"キャラ弁当",D128))),注文弁当の抽出!$E$1:$F$15,2,FALSE),"")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 cm="1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14"/>
        <v>0</v>
      </c>
      <c r="P128" s="199">
        <f t="shared" si="15"/>
        <v>0</v>
      </c>
      <c r="Q128" s="199" t="b">
        <f t="shared" si="16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>
        <f t="array" aca="1" ref="W128" ca="1">IF($R128&lt;&gt;"",
IF(COUNTIF(INDIRECT("B"&amp;R128&amp;""),"*雙葉*"),
INDIRECT("H"&amp;R128&amp;"")+INDIRECT("H"&amp;MATCH("雙葉'",INDIRECT("B"&amp;R128+1&amp;":B210"),0)+R128&amp;""),
IF(LEFT(INDIRECT("B"&amp;R128&amp;""),2)="博多",
INDIRECT("H"&amp;R128&amp;"")+INDIRECT("H"&amp;MATCH("*"&amp;INDIRECT("B"&amp;R128&amp;"")&amp;"*",INDIRECT("B"&amp;R128+1&amp;":B210"),0)+R128&amp;""),
IF(LEFT(INDIRECT("B"&amp;R128&amp;""),3)="奈良屋",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INDIRECT(""&amp;IF(COLUMN(I148)&lt;=26,CHAR(COLUMN(I148)+64),CHAR(INT((COLUMN(I148)-1)/26)+64)&amp;CHAR(MOD(COLUMN(I148)-1,26)+65))&amp;$R128&amp;""),"")</f>
        <v/>
      </c>
      <c r="Y128" s="51" t="str" cm="1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7"/>
        <v/>
      </c>
      <c r="AA128" s="51" t="str">
        <f t="shared" ca="1" si="8"/>
        <v/>
      </c>
      <c r="AB128" s="51" t="str" cm="1">
        <f t="array" aca="1" ref="AB128" ca="1">IF($R128&lt;&gt;"",
IF(COUNTIF(INDIRECT("B"&amp;R128&amp;""),"*雙葉*"),
INDIRECT("M"&amp;R128&amp;"")+INDIRECT("M"&amp;MATCH("雙葉'",INDIRECT("B"&amp;R128+1&amp;":B210"),0)+R128&amp;""),
IF(LEFT(INDIRECT("B"&amp;R128&amp;""),2)="博多",
INDIRECT("M"&amp;R128&amp;"")+INDIRECT("M"&amp;MATCH("*"&amp;INDIRECT("B"&amp;R128&amp;"")&amp;"*",INDIRECT("B"&amp;R128+1&amp;":B210"),0)+R128&amp;""),
IF(LEFT(INDIRECT("B"&amp;R128&amp;""),3)="奈良屋",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 x14ac:dyDescent="0.45">
      <c r="A129" s="198">
        <f t="shared" si="17"/>
        <v>123</v>
      </c>
      <c r="B129" s="199" t="str">
        <f t="shared" ca="1" si="9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>
        <f>IF(C129&lt;&gt;"",
IF(O129=1,クライアント抽出!E59,クライアント抽出!F59),"")</f>
        <v/>
      </c>
      <c r="J129" s="199" t="str">
        <f>IF(C129&lt;&gt;"",
VLOOKUP(
IF(COUNTIF(D129,"*学食*"),"キャラ弁（学食）",
IF(COUNTIF(D129,"*赤*"),"赤",
IF(COUNTIF(D129,"*キャラ弁当*"),"キャラ弁当",D129))),注文弁当の抽出!$E$1:$F$15,2,FALSE),"")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 cm="1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14"/>
        <v>0</v>
      </c>
      <c r="P129" s="199">
        <f t="shared" si="15"/>
        <v>0</v>
      </c>
      <c r="Q129" s="199" t="b">
        <f t="shared" si="16"/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>
        <f t="array" aca="1" ref="W129" ca="1">IF($R129&lt;&gt;"",
IF(COUNTIF(INDIRECT("B"&amp;R129&amp;""),"*雙葉*"),
INDIRECT("H"&amp;R129&amp;"")+INDIRECT("H"&amp;MATCH("雙葉'",INDIRECT("B"&amp;R129+1&amp;":B210"),0)+R129&amp;""),
IF(LEFT(INDIRECT("B"&amp;R129&amp;""),2)="博多",
INDIRECT("H"&amp;R129&amp;"")+INDIRECT("H"&amp;MATCH("*"&amp;INDIRECT("B"&amp;R129&amp;"")&amp;"*",INDIRECT("B"&amp;R129+1&amp;":B210"),0)+R129&amp;""),
IF(LEFT(INDIRECT("B"&amp;R129&amp;""),3)="奈良屋",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INDIRECT(""&amp;IF(COLUMN(I149)&lt;=26,CHAR(COLUMN(I149)+64),CHAR(INT((COLUMN(I149)-1)/26)+64)&amp;CHAR(MOD(COLUMN(I149)-1,26)+65))&amp;$R129&amp;""),"")</f>
        <v/>
      </c>
      <c r="Y129" s="51" t="str" cm="1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18">IF(R129&lt;&gt;"",
IFERROR(INT(W129/Y129),""),"")</f>
        <v/>
      </c>
      <c r="AA129" s="51" t="str">
        <f t="shared" ref="AA129:AA192" ca="1" si="19">IFERROR(MOD(W129,Y129),"")</f>
        <v/>
      </c>
      <c r="AB129" s="51" t="str" cm="1">
        <f t="array" aca="1" ref="AB129" ca="1">IF($R129&lt;&gt;"",
IF(COUNTIF(INDIRECT("B"&amp;R129&amp;""),"*雙葉*"),
INDIRECT("M"&amp;R129&amp;"")+INDIRECT("M"&amp;MATCH("雙葉'",INDIRECT("B"&amp;R129+1&amp;":B210"),0)+R129&amp;""),
IF(LEFT(INDIRECT("B"&amp;R129&amp;""),2)="博多",
INDIRECT("M"&amp;R129&amp;"")+INDIRECT("M"&amp;MATCH("*"&amp;INDIRECT("B"&amp;R129&amp;"")&amp;"*",INDIRECT("B"&amp;R129+1&amp;":B210"),0)+R129&amp;""),
IF(LEFT(INDIRECT("B"&amp;R129&amp;""),3)="奈良屋",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 x14ac:dyDescent="0.45">
      <c r="A130" s="198">
        <f t="shared" si="17"/>
        <v>125</v>
      </c>
      <c r="B130" s="199" t="str">
        <f t="shared" ref="B130:B193" ca="1" si="20">IF(COUNTIF(C130,"*雙葉*"),
IF(COUNTIF(INDIRECT("B1:B"&amp;ROW()-1&amp;""),"雙葉"),"雙葉'","雙葉"),
IF(COUNTIF(C130,"*社食*"),"社食'",
IF(LEFT(C130,2)="博多",
IF(IFERROR(TRIM(LEFT(C129,FIND("幼",C129)-1)),TRIM(C129))=IFERROR(TRIM(LEFT(C130,FIND("幼",C130)-1)),TRIM(C130)),
IFERROR(TRIM(LEFT(C130,FIND("幼",C130)-1)),TRIM(C130))&amp;"'",IFERROR(TRIM(LEFT(C130,FIND("幼",C130)-1)),TRIM(C130))),
IF(LEFT(C130,3)="奈良屋",
IF(TRIM(LEFT(C129,FIND("幼",C129)-1))=TRIM(LEFT(C130,FIND("幼",C130)-1)),
"奈良屋'","奈良屋"),""))))</f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>
        <f>IF(C130&lt;&gt;"",
IF(O130=1,クライアント抽出!E60,クライアント抽出!F60),"")</f>
        <v/>
      </c>
      <c r="J130" s="199" t="str">
        <f>IF(C130&lt;&gt;"",
VLOOKUP(
IF(COUNTIF(D130,"*学食*"),"キャラ弁（学食）",
IF(COUNTIF(D130,"*赤*"),"赤",
IF(COUNTIF(D130,"*キャラ弁当*"),"キャラ弁当",D130))),注文弁当の抽出!$E$1:$F$15,2,FALSE),"")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 cm="1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14"/>
        <v>0</v>
      </c>
      <c r="P130" s="199">
        <f t="shared" si="15"/>
        <v>0</v>
      </c>
      <c r="Q130" s="199" t="b">
        <f t="shared" si="16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>
        <f t="array" aca="1" ref="W130" ca="1">IF($R130&lt;&gt;"",
IF(COUNTIF(INDIRECT("B"&amp;R130&amp;""),"*雙葉*"),
INDIRECT("H"&amp;R130&amp;"")+INDIRECT("H"&amp;MATCH("雙葉'",INDIRECT("B"&amp;R130+1&amp;":B210"),0)+R130&amp;""),
IF(LEFT(INDIRECT("B"&amp;R130&amp;""),2)="博多",
INDIRECT("H"&amp;R130&amp;"")+INDIRECT("H"&amp;MATCH("*"&amp;INDIRECT("B"&amp;R130&amp;"")&amp;"*",INDIRECT("B"&amp;R130+1&amp;":B210"),0)+R130&amp;""),
IF(LEFT(INDIRECT("B"&amp;R130&amp;""),3)="奈良屋",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INDIRECT(""&amp;IF(COLUMN(I150)&lt;=26,CHAR(COLUMN(I150)+64),CHAR(INT((COLUMN(I150)-1)/26)+64)&amp;CHAR(MOD(COLUMN(I150)-1,26)+65))&amp;$R130&amp;""),"")</f>
        <v/>
      </c>
      <c r="Y130" s="51" t="str" cm="1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18"/>
        <v/>
      </c>
      <c r="AA130" s="51" t="str">
        <f t="shared" ca="1" si="19"/>
        <v/>
      </c>
      <c r="AB130" s="51" t="str" cm="1">
        <f t="array" aca="1" ref="AB130" ca="1">IF($R130&lt;&gt;"",
IF(COUNTIF(INDIRECT("B"&amp;R130&amp;""),"*雙葉*"),
INDIRECT("M"&amp;R130&amp;"")+INDIRECT("M"&amp;MATCH("雙葉'",INDIRECT("B"&amp;R130+1&amp;":B210"),0)+R130&amp;""),
IF(LEFT(INDIRECT("B"&amp;R130&amp;""),2)="博多",
INDIRECT("M"&amp;R130&amp;"")+INDIRECT("M"&amp;MATCH("*"&amp;INDIRECT("B"&amp;R130&amp;"")&amp;"*",INDIRECT("B"&amp;R130+1&amp;":B210"),0)+R130&amp;""),
IF(LEFT(INDIRECT("B"&amp;R130&amp;""),3)="奈良屋",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 x14ac:dyDescent="0.45">
      <c r="A131" s="198">
        <f t="shared" si="17"/>
        <v>127</v>
      </c>
      <c r="B131" s="199" t="str">
        <f t="shared" ca="1" si="20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>
        <f>IF(C131&lt;&gt;"",
IF(O131=1,クライアント抽出!E61,クライアント抽出!F61),"")</f>
        <v/>
      </c>
      <c r="J131" s="199" t="str">
        <f>IF(C131&lt;&gt;"",
VLOOKUP(
IF(COUNTIF(D131,"*学食*"),"キャラ弁（学食）",
IF(COUNTIF(D131,"*赤*"),"赤",
IF(COUNTIF(D131,"*キャラ弁当*"),"キャラ弁当",D131))),注文弁当の抽出!$E$1:$F$15,2,FALSE),"")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 cm="1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14"/>
        <v>0</v>
      </c>
      <c r="P131" s="199">
        <f t="shared" si="15"/>
        <v>0</v>
      </c>
      <c r="Q131" s="199" t="b">
        <f t="shared" si="16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>
        <f t="array" aca="1" ref="W131" ca="1">IF($R131&lt;&gt;"",
IF(COUNTIF(INDIRECT("B"&amp;R131&amp;""),"*雙葉*"),
INDIRECT("H"&amp;R131&amp;"")+INDIRECT("H"&amp;MATCH("雙葉'",INDIRECT("B"&amp;R131+1&amp;":B210"),0)+R131&amp;""),
IF(LEFT(INDIRECT("B"&amp;R131&amp;""),2)="博多",
INDIRECT("H"&amp;R131&amp;"")+INDIRECT("H"&amp;MATCH("*"&amp;INDIRECT("B"&amp;R131&amp;"")&amp;"*",INDIRECT("B"&amp;R131+1&amp;":B210"),0)+R131&amp;""),
IF(LEFT(INDIRECT("B"&amp;R131&amp;""),3)="奈良屋",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INDIRECT(""&amp;IF(COLUMN(I151)&lt;=26,CHAR(COLUMN(I151)+64),CHAR(INT((COLUMN(I151)-1)/26)+64)&amp;CHAR(MOD(COLUMN(I151)-1,26)+65))&amp;$R131&amp;""),"")</f>
        <v/>
      </c>
      <c r="Y131" s="51" t="str" cm="1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18"/>
        <v/>
      </c>
      <c r="AA131" s="51" t="str">
        <f t="shared" ca="1" si="19"/>
        <v/>
      </c>
      <c r="AB131" s="51" t="str" cm="1">
        <f t="array" aca="1" ref="AB131" ca="1">IF($R131&lt;&gt;"",
IF(COUNTIF(INDIRECT("B"&amp;R131&amp;""),"*雙葉*"),
INDIRECT("M"&amp;R131&amp;"")+INDIRECT("M"&amp;MATCH("雙葉'",INDIRECT("B"&amp;R131+1&amp;":B210"),0)+R131&amp;""),
IF(LEFT(INDIRECT("B"&amp;R131&amp;""),2)="博多",
INDIRECT("M"&amp;R131&amp;"")+INDIRECT("M"&amp;MATCH("*"&amp;INDIRECT("B"&amp;R131&amp;"")&amp;"*",INDIRECT("B"&amp;R131+1&amp;":B210"),0)+R131&amp;""),
IF(LEFT(INDIRECT("B"&amp;R131&amp;""),3)="奈良屋",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 x14ac:dyDescent="0.45">
      <c r="A132" s="198">
        <f t="shared" si="17"/>
        <v>129</v>
      </c>
      <c r="B132" s="199" t="str">
        <f t="shared" ca="1" si="20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>
        <f>IF(C132&lt;&gt;"",
IF(O132=1,クライアント抽出!E62,クライアント抽出!F62),"")</f>
        <v/>
      </c>
      <c r="J132" s="199" t="str">
        <f>IF(C132&lt;&gt;"",
VLOOKUP(
IF(COUNTIF(D132,"*学食*"),"キャラ弁（学食）",
IF(COUNTIF(D132,"*赤*"),"赤",
IF(COUNTIF(D132,"*キャラ弁当*"),"キャラ弁当",D132))),注文弁当の抽出!$E$1:$F$15,2,FALSE),"")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 cm="1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14"/>
        <v>0</v>
      </c>
      <c r="P132" s="199">
        <f t="shared" si="15"/>
        <v>0</v>
      </c>
      <c r="Q132" s="199" t="b">
        <f t="shared" si="16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>
        <f t="array" aca="1" ref="W132" ca="1">IF($R132&lt;&gt;"",
IF(COUNTIF(INDIRECT("B"&amp;R132&amp;""),"*雙葉*"),
INDIRECT("H"&amp;R132&amp;"")+INDIRECT("H"&amp;MATCH("雙葉'",INDIRECT("B"&amp;R132+1&amp;":B210"),0)+R132&amp;""),
IF(LEFT(INDIRECT("B"&amp;R132&amp;""),2)="博多",
INDIRECT("H"&amp;R132&amp;"")+INDIRECT("H"&amp;MATCH("*"&amp;INDIRECT("B"&amp;R132&amp;"")&amp;"*",INDIRECT("B"&amp;R132+1&amp;":B210"),0)+R132&amp;""),
IF(LEFT(INDIRECT("B"&amp;R132&amp;""),3)="奈良屋",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INDIRECT(""&amp;IF(COLUMN(I152)&lt;=26,CHAR(COLUMN(I152)+64),CHAR(INT((COLUMN(I152)-1)/26)+64)&amp;CHAR(MOD(COLUMN(I152)-1,26)+65))&amp;$R132&amp;""),"")</f>
        <v/>
      </c>
      <c r="Y132" s="51" t="str" cm="1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18"/>
        <v/>
      </c>
      <c r="AA132" s="51" t="str">
        <f t="shared" ca="1" si="19"/>
        <v/>
      </c>
      <c r="AB132" s="51" t="str" cm="1">
        <f t="array" aca="1" ref="AB132" ca="1">IF($R132&lt;&gt;"",
IF(COUNTIF(INDIRECT("B"&amp;R132&amp;""),"*雙葉*"),
INDIRECT("M"&amp;R132&amp;"")+INDIRECT("M"&amp;MATCH("雙葉'",INDIRECT("B"&amp;R132+1&amp;":B210"),0)+R132&amp;""),
IF(LEFT(INDIRECT("B"&amp;R132&amp;""),2)="博多",
INDIRECT("M"&amp;R132&amp;"")+INDIRECT("M"&amp;MATCH("*"&amp;INDIRECT("B"&amp;R132&amp;"")&amp;"*",INDIRECT("B"&amp;R132+1&amp;":B210"),0)+R132&amp;""),
IF(LEFT(INDIRECT("B"&amp;R132&amp;""),3)="奈良屋",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 x14ac:dyDescent="0.45">
      <c r="A133" s="198">
        <f t="shared" si="17"/>
        <v>131</v>
      </c>
      <c r="B133" s="199" t="str">
        <f t="shared" ca="1" si="20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>
        <f>IF(C133&lt;&gt;"",
IF(O133=1,クライアント抽出!E63,クライアント抽出!F63),"")</f>
        <v/>
      </c>
      <c r="J133" s="199" t="str">
        <f>IF(C133&lt;&gt;"",
VLOOKUP(
IF(COUNTIF(D133,"*学食*"),"キャラ弁（学食）",
IF(COUNTIF(D133,"*赤*"),"赤",
IF(COUNTIF(D133,"*キャラ弁当*"),"キャラ弁当",D133))),注文弁当の抽出!$E$1:$F$15,2,FALSE),"")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 cm="1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14"/>
        <v>0</v>
      </c>
      <c r="P133" s="199">
        <f t="shared" si="15"/>
        <v>0</v>
      </c>
      <c r="Q133" s="199" t="b">
        <f t="shared" si="16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>
        <f t="array" aca="1" ref="W133" ca="1">IF($R133&lt;&gt;"",
IF(COUNTIF(INDIRECT("B"&amp;R133&amp;""),"*雙葉*"),
INDIRECT("H"&amp;R133&amp;"")+INDIRECT("H"&amp;MATCH("雙葉'",INDIRECT("B"&amp;R133+1&amp;":B210"),0)+R133&amp;""),
IF(LEFT(INDIRECT("B"&amp;R133&amp;""),2)="博多",
INDIRECT("H"&amp;R133&amp;"")+INDIRECT("H"&amp;MATCH("*"&amp;INDIRECT("B"&amp;R133&amp;"")&amp;"*",INDIRECT("B"&amp;R133+1&amp;":B210"),0)+R133&amp;""),
IF(LEFT(INDIRECT("B"&amp;R133&amp;""),3)="奈良屋",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INDIRECT(""&amp;IF(COLUMN(I153)&lt;=26,CHAR(COLUMN(I153)+64),CHAR(INT((COLUMN(I153)-1)/26)+64)&amp;CHAR(MOD(COLUMN(I153)-1,26)+65))&amp;$R133&amp;""),"")</f>
        <v/>
      </c>
      <c r="Y133" s="51" t="str" cm="1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18"/>
        <v/>
      </c>
      <c r="AA133" s="51" t="str">
        <f t="shared" ca="1" si="19"/>
        <v/>
      </c>
      <c r="AB133" s="51" t="str" cm="1">
        <f t="array" aca="1" ref="AB133" ca="1">IF($R133&lt;&gt;"",
IF(COUNTIF(INDIRECT("B"&amp;R133&amp;""),"*雙葉*"),
INDIRECT("M"&amp;R133&amp;"")+INDIRECT("M"&amp;MATCH("雙葉'",INDIRECT("B"&amp;R133+1&amp;":B210"),0)+R133&amp;""),
IF(LEFT(INDIRECT("B"&amp;R133&amp;""),2)="博多",
INDIRECT("M"&amp;R133&amp;"")+INDIRECT("M"&amp;MATCH("*"&amp;INDIRECT("B"&amp;R133&amp;"")&amp;"*",INDIRECT("B"&amp;R133+1&amp;":B210"),0)+R133&amp;""),
IF(LEFT(INDIRECT("B"&amp;R133&amp;""),3)="奈良屋",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 x14ac:dyDescent="0.45">
      <c r="A134" s="198">
        <f t="shared" si="17"/>
        <v>133</v>
      </c>
      <c r="B134" s="199" t="str">
        <f t="shared" ca="1" si="20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>
        <f>IF(C134&lt;&gt;"",
IF(O134=1,クライアント抽出!E64,クライアント抽出!F64),"")</f>
        <v/>
      </c>
      <c r="J134" s="199" t="str">
        <f>IF(C134&lt;&gt;"",
VLOOKUP(
IF(COUNTIF(D134,"*学食*"),"キャラ弁（学食）",
IF(COUNTIF(D134,"*赤*"),"赤",
IF(COUNTIF(D134,"*キャラ弁当*"),"キャラ弁当",D134))),注文弁当の抽出!$E$1:$F$15,2,FALSE),"")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 cm="1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14"/>
        <v>0</v>
      </c>
      <c r="P134" s="199">
        <f t="shared" si="15"/>
        <v>0</v>
      </c>
      <c r="Q134" s="199" t="b">
        <f t="shared" si="16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>
        <f t="array" aca="1" ref="W134" ca="1">IF($R134&lt;&gt;"",
IF(COUNTIF(INDIRECT("B"&amp;R134&amp;""),"*雙葉*"),
INDIRECT("H"&amp;R134&amp;"")+INDIRECT("H"&amp;MATCH("雙葉'",INDIRECT("B"&amp;R134+1&amp;":B210"),0)+R134&amp;""),
IF(LEFT(INDIRECT("B"&amp;R134&amp;""),2)="博多",
INDIRECT("H"&amp;R134&amp;"")+INDIRECT("H"&amp;MATCH("*"&amp;INDIRECT("B"&amp;R134&amp;"")&amp;"*",INDIRECT("B"&amp;R134+1&amp;":B210"),0)+R134&amp;""),
IF(LEFT(INDIRECT("B"&amp;R134&amp;""),3)="奈良屋",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INDIRECT(""&amp;IF(COLUMN(I154)&lt;=26,CHAR(COLUMN(I154)+64),CHAR(INT((COLUMN(I154)-1)/26)+64)&amp;CHAR(MOD(COLUMN(I154)-1,26)+65))&amp;$R134&amp;""),"")</f>
        <v/>
      </c>
      <c r="Y134" s="51" t="str" cm="1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18"/>
        <v/>
      </c>
      <c r="AA134" s="51" t="str">
        <f t="shared" ca="1" si="19"/>
        <v/>
      </c>
      <c r="AB134" s="51" t="str" cm="1">
        <f t="array" aca="1" ref="AB134" ca="1">IF($R134&lt;&gt;"",
IF(COUNTIF(INDIRECT("B"&amp;R134&amp;""),"*雙葉*"),
INDIRECT("M"&amp;R134&amp;"")+INDIRECT("M"&amp;MATCH("雙葉'",INDIRECT("B"&amp;R134+1&amp;":B210"),0)+R134&amp;""),
IF(LEFT(INDIRECT("B"&amp;R134&amp;""),2)="博多",
INDIRECT("M"&amp;R134&amp;"")+INDIRECT("M"&amp;MATCH("*"&amp;INDIRECT("B"&amp;R134&amp;"")&amp;"*",INDIRECT("B"&amp;R134+1&amp;":B210"),0)+R134&amp;""),
IF(LEFT(INDIRECT("B"&amp;R134&amp;""),3)="奈良屋",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 x14ac:dyDescent="0.45">
      <c r="A135" s="198">
        <f t="shared" si="17"/>
        <v>135</v>
      </c>
      <c r="B135" s="199" t="str">
        <f t="shared" ca="1" si="20"/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>
        <f>IF(C135&lt;&gt;"",
IF(O135=1,クライアント抽出!E65,クライアント抽出!F65),"")</f>
        <v/>
      </c>
      <c r="J135" s="199" t="str">
        <f>IF(C135&lt;&gt;"",
VLOOKUP(
IF(COUNTIF(D135,"*学食*"),"キャラ弁（学食）",
IF(COUNTIF(D135,"*赤*"),"赤",
IF(COUNTIF(D135,"*キャラ弁当*"),"キャラ弁当",D135))),注文弁当の抽出!$E$1:$F$15,2,FALSE),"")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 cm="1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ca="1" si="14"/>
        <v>0</v>
      </c>
      <c r="P135" s="199">
        <f t="shared" si="15"/>
        <v>0</v>
      </c>
      <c r="Q135" s="199" t="b">
        <f t="shared" si="16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>
        <f t="array" aca="1" ref="W135" ca="1">IF($R135&lt;&gt;"",
IF(COUNTIF(INDIRECT("B"&amp;R135&amp;""),"*雙葉*"),
INDIRECT("H"&amp;R135&amp;"")+INDIRECT("H"&amp;MATCH("雙葉'",INDIRECT("B"&amp;R135+1&amp;":B210"),0)+R135&amp;""),
IF(LEFT(INDIRECT("B"&amp;R135&amp;""),2)="博多",
INDIRECT("H"&amp;R135&amp;"")+INDIRECT("H"&amp;MATCH("*"&amp;INDIRECT("B"&amp;R135&amp;"")&amp;"*",INDIRECT("B"&amp;R135+1&amp;":B210"),0)+R135&amp;""),
IF(LEFT(INDIRECT("B"&amp;R135&amp;""),3)="奈良屋",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INDIRECT(""&amp;IF(COLUMN(I155)&lt;=26,CHAR(COLUMN(I155)+64),CHAR(INT((COLUMN(I155)-1)/26)+64)&amp;CHAR(MOD(COLUMN(I155)-1,26)+65))&amp;$R135&amp;""),"")</f>
        <v/>
      </c>
      <c r="Y135" s="51" t="str" cm="1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18"/>
        <v/>
      </c>
      <c r="AA135" s="51" t="str">
        <f t="shared" ca="1" si="19"/>
        <v/>
      </c>
      <c r="AB135" s="51" t="str" cm="1">
        <f t="array" aca="1" ref="AB135" ca="1">IF($R135&lt;&gt;"",
IF(COUNTIF(INDIRECT("B"&amp;R135&amp;""),"*雙葉*"),
INDIRECT("M"&amp;R135&amp;"")+INDIRECT("M"&amp;MATCH("雙葉'",INDIRECT("B"&amp;R135+1&amp;":B210"),0)+R135&amp;""),
IF(LEFT(INDIRECT("B"&amp;R135&amp;""),2)="博多",
INDIRECT("M"&amp;R135&amp;"")+INDIRECT("M"&amp;MATCH("*"&amp;INDIRECT("B"&amp;R135&amp;"")&amp;"*",INDIRECT("B"&amp;R135+1&amp;":B210"),0)+R135&amp;""),
IF(LEFT(INDIRECT("B"&amp;R135&amp;""),3)="奈良屋",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 x14ac:dyDescent="0.45">
      <c r="A136" s="198">
        <f t="shared" si="17"/>
        <v>137</v>
      </c>
      <c r="B136" s="199" t="str">
        <f t="shared" ca="1" si="20"/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>
        <f>IF(C136&lt;&gt;"",
IF(O136=1,クライアント抽出!E66,クライアント抽出!F66),"")</f>
        <v/>
      </c>
      <c r="J136" s="199" t="str">
        <f>IF(C136&lt;&gt;"",
VLOOKUP(
IF(COUNTIF(D136,"*学食*"),"キャラ弁（学食）",
IF(COUNTIF(D136,"*赤*"),"赤",
IF(COUNTIF(D136,"*キャラ弁当*"),"キャラ弁当",D136))),注文弁当の抽出!$E$1:$F$15,2,FALSE),"")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 cm="1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ref="O136:O140" ca="1" si="21">O66</f>
        <v>0</v>
      </c>
      <c r="P136" s="199">
        <f t="shared" ref="P136:P199" si="22">IF(COUNTIF(Q136,"TRUE"),
IF(OR(COUNTIF(B136,"*'*"),H136=0),0,ROW()),0)</f>
        <v>0</v>
      </c>
      <c r="Q136" s="199" t="b">
        <f t="shared" ref="Q136:Q137" si="23">IF(C136&lt;&gt;"",
IF(OR(N136=1,COUNTIF(D136,"*朝食*"),COUNTIF(D136,"*夕食*")),TRUE,FALSE),FALSE)</f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>
        <f t="array" aca="1" ref="W136" ca="1">IF($R136&lt;&gt;"",
IF(COUNTIF(INDIRECT("B"&amp;R136&amp;""),"*雙葉*"),
INDIRECT("H"&amp;R136&amp;"")+INDIRECT("H"&amp;MATCH("雙葉'",INDIRECT("B"&amp;R136+1&amp;":B210"),0)+R136&amp;""),
IF(LEFT(INDIRECT("B"&amp;R136&amp;""),2)="博多",
INDIRECT("H"&amp;R136&amp;"")+INDIRECT("H"&amp;MATCH("*"&amp;INDIRECT("B"&amp;R136&amp;"")&amp;"*",INDIRECT("B"&amp;R136+1&amp;":B210"),0)+R136&amp;""),
IF(LEFT(INDIRECT("B"&amp;R136&amp;""),3)="奈良屋",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INDIRECT(""&amp;IF(COLUMN(I156)&lt;=26,CHAR(COLUMN(I156)+64),CHAR(INT((COLUMN(I156)-1)/26)+64)&amp;CHAR(MOD(COLUMN(I156)-1,26)+65))&amp;$R136&amp;""),"")</f>
        <v/>
      </c>
      <c r="Y136" s="51" t="str" cm="1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18"/>
        <v/>
      </c>
      <c r="AA136" s="51" t="str">
        <f t="shared" ca="1" si="19"/>
        <v/>
      </c>
      <c r="AB136" s="51" t="str" cm="1">
        <f t="array" aca="1" ref="AB136" ca="1">IF($R136&lt;&gt;"",
IF(COUNTIF(INDIRECT("B"&amp;R136&amp;""),"*雙葉*"),
INDIRECT("M"&amp;R136&amp;"")+INDIRECT("M"&amp;MATCH("雙葉'",INDIRECT("B"&amp;R136+1&amp;":B210"),0)+R136&amp;""),
IF(LEFT(INDIRECT("B"&amp;R136&amp;""),2)="博多",
INDIRECT("M"&amp;R136&amp;"")+INDIRECT("M"&amp;MATCH("*"&amp;INDIRECT("B"&amp;R136&amp;"")&amp;"*",INDIRECT("B"&amp;R136+1&amp;":B210"),0)+R136&amp;""),
IF(LEFT(INDIRECT("B"&amp;R136&amp;""),3)="奈良屋",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 x14ac:dyDescent="0.45">
      <c r="A137" s="198">
        <f t="shared" si="17"/>
        <v>139</v>
      </c>
      <c r="B137" s="199" t="str">
        <f t="shared" ca="1" si="20"/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>
        <f>IF(C137&lt;&gt;"",
IF(O137=1,クライアント抽出!E67,クライアント抽出!F67),"")</f>
        <v/>
      </c>
      <c r="J137" s="199" t="str">
        <f>IF(C137&lt;&gt;"",
VLOOKUP(
IF(COUNTIF(D137,"*学食*"),"キャラ弁（学食）",
IF(COUNTIF(D137,"*赤*"),"赤",
IF(COUNTIF(D137,"*キャラ弁当*"),"キャラ弁当",D137))),注文弁当の抽出!$E$1:$F$15,2,FALSE),"")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 cm="1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1"/>
        <v>0</v>
      </c>
      <c r="P137" s="199">
        <f t="shared" si="22"/>
        <v>0</v>
      </c>
      <c r="Q137" s="199" t="b">
        <f t="shared" si="23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>
        <f t="array" aca="1" ref="W137" ca="1">IF($R137&lt;&gt;"",
IF(COUNTIF(INDIRECT("B"&amp;R137&amp;""),"*雙葉*"),
INDIRECT("H"&amp;R137&amp;"")+INDIRECT("H"&amp;MATCH("雙葉'",INDIRECT("B"&amp;R137+1&amp;":B210"),0)+R137&amp;""),
IF(LEFT(INDIRECT("B"&amp;R137&amp;""),2)="博多",
INDIRECT("H"&amp;R137&amp;"")+INDIRECT("H"&amp;MATCH("*"&amp;INDIRECT("B"&amp;R137&amp;"")&amp;"*",INDIRECT("B"&amp;R137+1&amp;":B210"),0)+R137&amp;""),
IF(LEFT(INDIRECT("B"&amp;R137&amp;""),3)="奈良屋",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INDIRECT(""&amp;IF(COLUMN(I157)&lt;=26,CHAR(COLUMN(I157)+64),CHAR(INT((COLUMN(I157)-1)/26)+64)&amp;CHAR(MOD(COLUMN(I157)-1,26)+65))&amp;$R137&amp;""),"")</f>
        <v/>
      </c>
      <c r="Y137" s="51" t="str" cm="1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18"/>
        <v/>
      </c>
      <c r="AA137" s="51" t="str">
        <f t="shared" ca="1" si="19"/>
        <v/>
      </c>
      <c r="AB137" s="51" t="str" cm="1">
        <f t="array" aca="1" ref="AB137" ca="1">IF($R137&lt;&gt;"",
IF(COUNTIF(INDIRECT("B"&amp;R137&amp;""),"*雙葉*"),
INDIRECT("M"&amp;R137&amp;"")+INDIRECT("M"&amp;MATCH("雙葉'",INDIRECT("B"&amp;R137+1&amp;":B210"),0)+R137&amp;""),
IF(LEFT(INDIRECT("B"&amp;R137&amp;""),2)="博多",
INDIRECT("M"&amp;R137&amp;"")+INDIRECT("M"&amp;MATCH("*"&amp;INDIRECT("B"&amp;R137&amp;"")&amp;"*",INDIRECT("B"&amp;R137+1&amp;":B210"),0)+R137&amp;""),
IF(LEFT(INDIRECT("B"&amp;R137&amp;""),3)="奈良屋",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 x14ac:dyDescent="0.45">
      <c r="A138" s="198">
        <f t="shared" si="17"/>
        <v>141</v>
      </c>
      <c r="B138" s="199" t="str">
        <f t="shared" ca="1" si="20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>
        <f>IF(C138&lt;&gt;"",
IF(O138=1,クライアント抽出!E68,クライアント抽出!F68),"")</f>
        <v/>
      </c>
      <c r="J138" s="199" t="str">
        <f>IF(C138&lt;&gt;"",
VLOOKUP(
IF(COUNTIF(D138,"*学食*"),"キャラ弁（学食）",
IF(COUNTIF(D138,"*赤*"),"赤",
IF(COUNTIF(D138,"*キャラ弁当*"),"キャラ弁当",D138))),注文弁当の抽出!$E$1:$F$15,2,FALSE),"")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 cm="1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1"/>
        <v>0</v>
      </c>
      <c r="P138" s="199">
        <f t="shared" si="22"/>
        <v>0</v>
      </c>
      <c r="Q138" s="199" t="b">
        <f>IF(C138&lt;&gt;"",
IF(OR(N138=1,COUNTIF(D138,"*朝食*"),COUNTIF(D138,"*夕食*")),TRUE,FALSE),FALSE)</f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>
        <f t="array" aca="1" ref="W138" ca="1">IF($R138&lt;&gt;"",
IF(COUNTIF(INDIRECT("B"&amp;R138&amp;""),"*雙葉*"),
INDIRECT("H"&amp;R138&amp;"")+INDIRECT("H"&amp;MATCH("雙葉'",INDIRECT("B"&amp;R138+1&amp;":B210"),0)+R138&amp;""),
IF(LEFT(INDIRECT("B"&amp;R138&amp;""),2)="博多",
INDIRECT("H"&amp;R138&amp;"")+INDIRECT("H"&amp;MATCH("*"&amp;INDIRECT("B"&amp;R138&amp;"")&amp;"*",INDIRECT("B"&amp;R138+1&amp;":B210"),0)+R138&amp;""),
IF(LEFT(INDIRECT("B"&amp;R138&amp;""),3)="奈良屋",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INDIRECT(""&amp;IF(COLUMN(I158)&lt;=26,CHAR(COLUMN(I158)+64),CHAR(INT((COLUMN(I158)-1)/26)+64)&amp;CHAR(MOD(COLUMN(I158)-1,26)+65))&amp;$R138&amp;""),"")</f>
        <v/>
      </c>
      <c r="Y138" s="51" t="str" cm="1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18"/>
        <v/>
      </c>
      <c r="AA138" s="51" t="str">
        <f t="shared" ca="1" si="19"/>
        <v/>
      </c>
      <c r="AB138" s="51" t="str" cm="1">
        <f t="array" aca="1" ref="AB138" ca="1">IF($R138&lt;&gt;"",
IF(COUNTIF(INDIRECT("B"&amp;R138&amp;""),"*雙葉*"),
INDIRECT("M"&amp;R138&amp;"")+INDIRECT("M"&amp;MATCH("雙葉'",INDIRECT("B"&amp;R138+1&amp;":B210"),0)+R138&amp;""),
IF(LEFT(INDIRECT("B"&amp;R138&amp;""),2)="博多",
INDIRECT("M"&amp;R138&amp;"")+INDIRECT("M"&amp;MATCH("*"&amp;INDIRECT("B"&amp;R138&amp;"")&amp;"*",INDIRECT("B"&amp;R138+1&amp;":B210"),0)+R138&amp;""),
IF(LEFT(INDIRECT("B"&amp;R138&amp;""),3)="奈良屋",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 x14ac:dyDescent="0.45">
      <c r="A139" s="198">
        <f t="shared" si="17"/>
        <v>143</v>
      </c>
      <c r="B139" s="199" t="str">
        <f t="shared" ca="1" si="20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>
        <f>IF(C139&lt;&gt;"",
IF(O139=1,クライアント抽出!E69,クライアント抽出!F69),"")</f>
        <v/>
      </c>
      <c r="J139" s="199" t="str">
        <f>IF(C139&lt;&gt;"",
VLOOKUP(
IF(COUNTIF(D139,"*学食*"),"キャラ弁（学食）",
IF(COUNTIF(D139,"*赤*"),"赤",
IF(COUNTIF(D139,"*キャラ弁当*"),"キャラ弁当",D139))),注文弁当の抽出!$E$1:$F$15,2,FALSE),"")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 cm="1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1"/>
        <v>0</v>
      </c>
      <c r="P139" s="199">
        <f t="shared" si="22"/>
        <v>0</v>
      </c>
      <c r="Q139" s="199" t="b">
        <f t="shared" ref="Q139:Q202" si="24">IF(C139&lt;&gt;"",
IF(OR(N139=1,COUNTIF(D139,"*朝食*"),COUNTIF(D139,"*夕食*")),TRUE,FALSE),FALSE)</f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>
        <f t="array" aca="1" ref="W139" ca="1">IF($R139&lt;&gt;"",
IF(COUNTIF(INDIRECT("B"&amp;R139&amp;""),"*雙葉*"),
INDIRECT("H"&amp;R139&amp;"")+INDIRECT("H"&amp;MATCH("雙葉'",INDIRECT("B"&amp;R139+1&amp;":B210"),0)+R139&amp;""),
IF(LEFT(INDIRECT("B"&amp;R139&amp;""),2)="博多",
INDIRECT("H"&amp;R139&amp;"")+INDIRECT("H"&amp;MATCH("*"&amp;INDIRECT("B"&amp;R139&amp;"")&amp;"*",INDIRECT("B"&amp;R139+1&amp;":B210"),0)+R139&amp;""),
IF(LEFT(INDIRECT("B"&amp;R139&amp;""),3)="奈良屋",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INDIRECT(""&amp;IF(COLUMN(I159)&lt;=26,CHAR(COLUMN(I159)+64),CHAR(INT((COLUMN(I159)-1)/26)+64)&amp;CHAR(MOD(COLUMN(I159)-1,26)+65))&amp;$R139&amp;""),"")</f>
        <v/>
      </c>
      <c r="Y139" s="51" t="str" cm="1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18"/>
        <v/>
      </c>
      <c r="AA139" s="51" t="str">
        <f t="shared" ca="1" si="19"/>
        <v/>
      </c>
      <c r="AB139" s="51" t="str" cm="1">
        <f t="array" aca="1" ref="AB139" ca="1">IF($R139&lt;&gt;"",
IF(COUNTIF(INDIRECT("B"&amp;R139&amp;""),"*雙葉*"),
INDIRECT("M"&amp;R139&amp;"")+INDIRECT("M"&amp;MATCH("雙葉'",INDIRECT("B"&amp;R139+1&amp;":B210"),0)+R139&amp;""),
IF(LEFT(INDIRECT("B"&amp;R139&amp;""),2)="博多",
INDIRECT("M"&amp;R139&amp;"")+INDIRECT("M"&amp;MATCH("*"&amp;INDIRECT("B"&amp;R139&amp;"")&amp;"*",INDIRECT("B"&amp;R139+1&amp;":B210"),0)+R139&amp;""),
IF(LEFT(INDIRECT("B"&amp;R139&amp;""),3)="奈良屋",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 x14ac:dyDescent="0.45">
      <c r="A140" s="198">
        <f t="shared" si="17"/>
        <v>145</v>
      </c>
      <c r="B140" s="199" t="str">
        <f t="shared" ca="1" si="20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>
        <f>IF(C140&lt;&gt;"",
IF(O140=1,クライアント抽出!E70,クライアント抽出!F70),"")</f>
        <v/>
      </c>
      <c r="J140" s="199" t="str">
        <f>IF(C140&lt;&gt;"",
VLOOKUP(
IF(COUNTIF(D140,"*学食*"),"キャラ弁（学食）",
IF(COUNTIF(D140,"*赤*"),"赤",
IF(COUNTIF(D140,"*キャラ弁当*"),"キャラ弁当",D140))),注文弁当の抽出!$E$1:$F$15,2,FALSE),"")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 cm="1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1"/>
        <v>0</v>
      </c>
      <c r="P140" s="199">
        <f t="shared" si="22"/>
        <v>0</v>
      </c>
      <c r="Q140" s="199" t="b">
        <f t="shared" si="24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>
        <f t="array" aca="1" ref="W140" ca="1">IF($R140&lt;&gt;"",
IF(COUNTIF(INDIRECT("B"&amp;R140&amp;""),"*雙葉*"),
INDIRECT("H"&amp;R140&amp;"")+INDIRECT("H"&amp;MATCH("雙葉'",INDIRECT("B"&amp;R140+1&amp;":B210"),0)+R140&amp;""),
IF(LEFT(INDIRECT("B"&amp;R140&amp;""),2)="博多",
INDIRECT("H"&amp;R140&amp;"")+INDIRECT("H"&amp;MATCH("*"&amp;INDIRECT("B"&amp;R140&amp;"")&amp;"*",INDIRECT("B"&amp;R140+1&amp;":B210"),0)+R140&amp;""),
IF(LEFT(INDIRECT("B"&amp;R140&amp;""),3)="奈良屋",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INDIRECT(""&amp;IF(COLUMN(I160)&lt;=26,CHAR(COLUMN(I160)+64),CHAR(INT((COLUMN(I160)-1)/26)+64)&amp;CHAR(MOD(COLUMN(I160)-1,26)+65))&amp;$R140&amp;""),"")</f>
        <v/>
      </c>
      <c r="Y140" s="51" t="str" cm="1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18"/>
        <v/>
      </c>
      <c r="AA140" s="51" t="str">
        <f t="shared" ca="1" si="19"/>
        <v/>
      </c>
      <c r="AB140" s="51" t="str" cm="1">
        <f t="array" aca="1" ref="AB140" ca="1">IF($R140&lt;&gt;"",
IF(COUNTIF(INDIRECT("B"&amp;R140&amp;""),"*雙葉*"),
INDIRECT("M"&amp;R140&amp;"")+INDIRECT("M"&amp;MATCH("雙葉'",INDIRECT("B"&amp;R140+1&amp;":B210"),0)+R140&amp;""),
IF(LEFT(INDIRECT("B"&amp;R140&amp;""),2)="博多",
INDIRECT("M"&amp;R140&amp;"")+INDIRECT("M"&amp;MATCH("*"&amp;INDIRECT("B"&amp;R140&amp;"")&amp;"*",INDIRECT("B"&amp;R140+1&amp;":B210"),0)+R140&amp;""),
IF(LEFT(INDIRECT("B"&amp;R140&amp;""),3)="奈良屋",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 x14ac:dyDescent="0.45">
      <c r="A141" s="202">
        <v>7</v>
      </c>
      <c r="B141" s="202" t="str">
        <f t="shared" ca="1" si="20"/>
        <v/>
      </c>
      <c r="C141" s="202" t="str">
        <f>IF(OR(クライアント抽出!D71&lt;&gt;"",クライアント抽出!G71&lt;&gt;""),クライアント抽出!A71,"")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IF(COUNTIF(D141,"*学食*"),"キャラ弁（学食）",
IF(COUNTIF(D141,"*赤*"),"赤",
IF(COUNTIF(D141,"*キャラ弁当*"),"キャラ弁当",D141))),注文弁当の抽出!$E$1:$F$15,2,FALSE),"")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 cm="1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ca="1">O1</f>
        <v>0</v>
      </c>
      <c r="P141" s="202">
        <f t="shared" si="22"/>
        <v>0</v>
      </c>
      <c r="Q141" s="202" t="b">
        <f t="shared" si="24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>
        <f t="array" aca="1" ref="W141" ca="1">IF($R141&lt;&gt;"",
IF(COUNTIF(INDIRECT("B"&amp;R141&amp;""),"*雙葉*"),
INDIRECT("H"&amp;R141&amp;"")+INDIRECT("H"&amp;MATCH("雙葉'",INDIRECT("B"&amp;R141+1&amp;":B210"),0)+R141&amp;""),
IF(LEFT(INDIRECT("B"&amp;R141&amp;""),2)="博多",
INDIRECT("H"&amp;R141&amp;"")+INDIRECT("H"&amp;MATCH("*"&amp;INDIRECT("B"&amp;R141&amp;"")&amp;"*",INDIRECT("B"&amp;R141+1&amp;":B210"),0)+R141&amp;""),
IF(LEFT(INDIRECT("B"&amp;R141&amp;""),3)="奈良屋",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INDIRECT(""&amp;IF(COLUMN(I161)&lt;=26,CHAR(COLUMN(I161)+64),CHAR(INT((COLUMN(I161)-1)/26)+64)&amp;CHAR(MOD(COLUMN(I161)-1,26)+65))&amp;$R141&amp;""),"")</f>
        <v/>
      </c>
      <c r="Y141" s="51" t="str" cm="1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18"/>
        <v/>
      </c>
      <c r="AA141" s="51" t="str">
        <f t="shared" ca="1" si="19"/>
        <v/>
      </c>
      <c r="AB141" s="51" t="str" cm="1">
        <f t="array" aca="1" ref="AB141" ca="1">IF($R141&lt;&gt;"",
IF(COUNTIF(INDIRECT("B"&amp;R141&amp;""),"*雙葉*"),
INDIRECT("M"&amp;R141&amp;"")+INDIRECT("M"&amp;MATCH("雙葉'",INDIRECT("B"&amp;R141+1&amp;":B210"),0)+R141&amp;""),
IF(LEFT(INDIRECT("B"&amp;R141&amp;""),2)="博多",
INDIRECT("M"&amp;R141&amp;"")+INDIRECT("M"&amp;MATCH("*"&amp;INDIRECT("B"&amp;R141&amp;"")&amp;"*",INDIRECT("B"&amp;R141+1&amp;":B210"),0)+R141&amp;""),
IF(LEFT(INDIRECT("B"&amp;R141&amp;""),3)="奈良屋",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 x14ac:dyDescent="0.45">
      <c r="A142" s="203">
        <f t="shared" ref="A142:A173" si="25">A141+2</f>
        <v>9</v>
      </c>
      <c r="B142" s="202" t="str">
        <f t="shared" ca="1" si="20"/>
        <v/>
      </c>
      <c r="C142" s="202" t="str">
        <f>IF(OR(クライアント抽出!D72&lt;&gt;"",クライアント抽出!G72&lt;&gt;""),クライアント抽出!A72,"")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IF(COUNTIF(D142,"*学食*"),"キャラ弁（学食）",
IF(COUNTIF(D142,"*赤*"),"赤",
IF(COUNTIF(D142,"*キャラ弁当*"),"キャラ弁当",D142))),注文弁当の抽出!$E$1:$F$15,2,FALSE),"")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 cm="1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ref="O142:O205" ca="1" si="26">O2</f>
        <v>0</v>
      </c>
      <c r="P142" s="202">
        <f t="shared" si="22"/>
        <v>0</v>
      </c>
      <c r="Q142" s="202" t="b">
        <f t="shared" si="24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>
        <f t="array" aca="1" ref="W142" ca="1">IF($R142&lt;&gt;"",
IF(COUNTIF(INDIRECT("B"&amp;R142&amp;""),"*雙葉*"),
INDIRECT("H"&amp;R142&amp;"")+INDIRECT("H"&amp;MATCH("雙葉'",INDIRECT("B"&amp;R142+1&amp;":B210"),0)+R142&amp;""),
IF(LEFT(INDIRECT("B"&amp;R142&amp;""),2)="博多",
INDIRECT("H"&amp;R142&amp;"")+INDIRECT("H"&amp;MATCH("*"&amp;INDIRECT("B"&amp;R142&amp;"")&amp;"*",INDIRECT("B"&amp;R142+1&amp;":B210"),0)+R142&amp;""),
IF(LEFT(INDIRECT("B"&amp;R142&amp;""),3)="奈良屋",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INDIRECT(""&amp;IF(COLUMN(I162)&lt;=26,CHAR(COLUMN(I162)+64),CHAR(INT((COLUMN(I162)-1)/26)+64)&amp;CHAR(MOD(COLUMN(I162)-1,26)+65))&amp;$R142&amp;""),"")</f>
        <v/>
      </c>
      <c r="Y142" s="51" t="str" cm="1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18"/>
        <v/>
      </c>
      <c r="AA142" s="51" t="str">
        <f t="shared" ca="1" si="19"/>
        <v/>
      </c>
      <c r="AB142" s="51" t="str" cm="1">
        <f t="array" aca="1" ref="AB142" ca="1">IF($R142&lt;&gt;"",
IF(COUNTIF(INDIRECT("B"&amp;R142&amp;""),"*雙葉*"),
INDIRECT("M"&amp;R142&amp;"")+INDIRECT("M"&amp;MATCH("雙葉'",INDIRECT("B"&amp;R142+1&amp;":B210"),0)+R142&amp;""),
IF(LEFT(INDIRECT("B"&amp;R142&amp;""),2)="博多",
INDIRECT("M"&amp;R142&amp;"")+INDIRECT("M"&amp;MATCH("*"&amp;INDIRECT("B"&amp;R142&amp;"")&amp;"*",INDIRECT("B"&amp;R142+1&amp;":B210"),0)+R142&amp;""),
IF(LEFT(INDIRECT("B"&amp;R142&amp;""),3)="奈良屋",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 x14ac:dyDescent="0.45">
      <c r="A143" s="203">
        <f t="shared" si="25"/>
        <v>11</v>
      </c>
      <c r="B143" s="202" t="str">
        <f t="shared" ca="1" si="20"/>
        <v/>
      </c>
      <c r="C143" s="202" t="str">
        <f>IF(OR(クライアント抽出!D73&lt;&gt;"",クライアント抽出!G73&lt;&gt;""),クライアント抽出!A73,"")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IF(COUNTIF(D143,"*学食*"),"キャラ弁（学食）",
IF(COUNTIF(D143,"*赤*"),"赤",
IF(COUNTIF(D143,"*キャラ弁当*"),"キャラ弁当",D143))),注文弁当の抽出!$E$1:$F$15,2,FALSE),"")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 cm="1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26"/>
        <v>0</v>
      </c>
      <c r="P143" s="202">
        <f t="shared" si="22"/>
        <v>0</v>
      </c>
      <c r="Q143" s="202" t="b">
        <f t="shared" si="24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>
        <f t="array" aca="1" ref="W143" ca="1">IF($R143&lt;&gt;"",
IF(COUNTIF(INDIRECT("B"&amp;R143&amp;""),"*雙葉*"),
INDIRECT("H"&amp;R143&amp;"")+INDIRECT("H"&amp;MATCH("雙葉'",INDIRECT("B"&amp;R143+1&amp;":B210"),0)+R143&amp;""),
IF(LEFT(INDIRECT("B"&amp;R143&amp;""),2)="博多",
INDIRECT("H"&amp;R143&amp;"")+INDIRECT("H"&amp;MATCH("*"&amp;INDIRECT("B"&amp;R143&amp;"")&amp;"*",INDIRECT("B"&amp;R143+1&amp;":B210"),0)+R143&amp;""),
IF(LEFT(INDIRECT("B"&amp;R143&amp;""),3)="奈良屋",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INDIRECT(""&amp;IF(COLUMN(I163)&lt;=26,CHAR(COLUMN(I163)+64),CHAR(INT((COLUMN(I163)-1)/26)+64)&amp;CHAR(MOD(COLUMN(I163)-1,26)+65))&amp;$R143&amp;""),"")</f>
        <v/>
      </c>
      <c r="Y143" s="51" t="str" cm="1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18"/>
        <v/>
      </c>
      <c r="AA143" s="51" t="str">
        <f t="shared" ca="1" si="19"/>
        <v/>
      </c>
      <c r="AB143" s="51" t="str" cm="1">
        <f t="array" aca="1" ref="AB143" ca="1">IF($R143&lt;&gt;"",
IF(COUNTIF(INDIRECT("B"&amp;R143&amp;""),"*雙葉*"),
INDIRECT("M"&amp;R143&amp;"")+INDIRECT("M"&amp;MATCH("雙葉'",INDIRECT("B"&amp;R143+1&amp;":B210"),0)+R143&amp;""),
IF(LEFT(INDIRECT("B"&amp;R143&amp;""),2)="博多",
INDIRECT("M"&amp;R143&amp;"")+INDIRECT("M"&amp;MATCH("*"&amp;INDIRECT("B"&amp;R143&amp;"")&amp;"*",INDIRECT("B"&amp;R143+1&amp;":B210"),0)+R143&amp;""),
IF(LEFT(INDIRECT("B"&amp;R143&amp;""),3)="奈良屋",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 x14ac:dyDescent="0.45">
      <c r="A144" s="203">
        <f t="shared" si="25"/>
        <v>13</v>
      </c>
      <c r="B144" s="202" t="str">
        <f t="shared" ca="1" si="20"/>
        <v/>
      </c>
      <c r="C144" s="202" t="str">
        <f>IF(OR(クライアント抽出!D74&lt;&gt;"",クライアント抽出!G74&lt;&gt;""),クライアント抽出!A74,"")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IF(COUNTIF(D144,"*学食*"),"キャラ弁（学食）",
IF(COUNTIF(D144,"*赤*"),"赤",
IF(COUNTIF(D144,"*キャラ弁当*"),"キャラ弁当",D144))),注文弁当の抽出!$E$1:$F$15,2,FALSE),"")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 cm="1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26"/>
        <v>0</v>
      </c>
      <c r="P144" s="202">
        <f t="shared" si="22"/>
        <v>0</v>
      </c>
      <c r="Q144" s="202" t="b">
        <f t="shared" si="24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>
        <f t="array" aca="1" ref="W144" ca="1">IF($R144&lt;&gt;"",
IF(COUNTIF(INDIRECT("B"&amp;R144&amp;""),"*雙葉*"),
INDIRECT("H"&amp;R144&amp;"")+INDIRECT("H"&amp;MATCH("雙葉'",INDIRECT("B"&amp;R144+1&amp;":B210"),0)+R144&amp;""),
IF(LEFT(INDIRECT("B"&amp;R144&amp;""),2)="博多",
INDIRECT("H"&amp;R144&amp;"")+INDIRECT("H"&amp;MATCH("*"&amp;INDIRECT("B"&amp;R144&amp;"")&amp;"*",INDIRECT("B"&amp;R144+1&amp;":B210"),0)+R144&amp;""),
IF(LEFT(INDIRECT("B"&amp;R144&amp;""),3)="奈良屋",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INDIRECT(""&amp;IF(COLUMN(I164)&lt;=26,CHAR(COLUMN(I164)+64),CHAR(INT((COLUMN(I164)-1)/26)+64)&amp;CHAR(MOD(COLUMN(I164)-1,26)+65))&amp;$R144&amp;""),"")</f>
        <v/>
      </c>
      <c r="Y144" s="51" t="str" cm="1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18"/>
        <v/>
      </c>
      <c r="AA144" s="51" t="str">
        <f t="shared" ca="1" si="19"/>
        <v/>
      </c>
      <c r="AB144" s="51" t="str" cm="1">
        <f t="array" aca="1" ref="AB144" ca="1">IF($R144&lt;&gt;"",
IF(COUNTIF(INDIRECT("B"&amp;R144&amp;""),"*雙葉*"),
INDIRECT("M"&amp;R144&amp;"")+INDIRECT("M"&amp;MATCH("雙葉'",INDIRECT("B"&amp;R144+1&amp;":B210"),0)+R144&amp;""),
IF(LEFT(INDIRECT("B"&amp;R144&amp;""),2)="博多",
INDIRECT("M"&amp;R144&amp;"")+INDIRECT("M"&amp;MATCH("*"&amp;INDIRECT("B"&amp;R144&amp;"")&amp;"*",INDIRECT("B"&amp;R144+1&amp;":B210"),0)+R144&amp;""),
IF(LEFT(INDIRECT("B"&amp;R144&amp;""),3)="奈良屋",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 x14ac:dyDescent="0.45">
      <c r="A145" s="203">
        <f t="shared" si="25"/>
        <v>15</v>
      </c>
      <c r="B145" s="202" t="str">
        <f t="shared" ca="1" si="20"/>
        <v/>
      </c>
      <c r="C145" s="202" t="str">
        <f>IF(OR(クライアント抽出!D75&lt;&gt;"",クライアント抽出!G75&lt;&gt;""),クライアント抽出!A75,"")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IF(COUNTIF(D145,"*学食*"),"キャラ弁（学食）",
IF(COUNTIF(D145,"*赤*"),"赤",
IF(COUNTIF(D145,"*キャラ弁当*"),"キャラ弁当",D145))),注文弁当の抽出!$E$1:$F$15,2,FALSE),"")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 cm="1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26"/>
        <v>0</v>
      </c>
      <c r="P145" s="202">
        <f t="shared" si="22"/>
        <v>0</v>
      </c>
      <c r="Q145" s="202" t="b">
        <f t="shared" si="24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>
        <f t="array" aca="1" ref="W145" ca="1">IF($R145&lt;&gt;"",
IF(COUNTIF(INDIRECT("B"&amp;R145&amp;""),"*雙葉*"),
INDIRECT("H"&amp;R145&amp;"")+INDIRECT("H"&amp;MATCH("雙葉'",INDIRECT("B"&amp;R145+1&amp;":B210"),0)+R145&amp;""),
IF(LEFT(INDIRECT("B"&amp;R145&amp;""),2)="博多",
INDIRECT("H"&amp;R145&amp;"")+INDIRECT("H"&amp;MATCH("*"&amp;INDIRECT("B"&amp;R145&amp;"")&amp;"*",INDIRECT("B"&amp;R145+1&amp;":B210"),0)+R145&amp;""),
IF(LEFT(INDIRECT("B"&amp;R145&amp;""),3)="奈良屋",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INDIRECT(""&amp;IF(COLUMN(I165)&lt;=26,CHAR(COLUMN(I165)+64),CHAR(INT((COLUMN(I165)-1)/26)+64)&amp;CHAR(MOD(COLUMN(I165)-1,26)+65))&amp;$R145&amp;""),"")</f>
        <v/>
      </c>
      <c r="Y145" s="51" t="str" cm="1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18"/>
        <v/>
      </c>
      <c r="AA145" s="51" t="str">
        <f t="shared" ca="1" si="19"/>
        <v/>
      </c>
      <c r="AB145" s="51" t="str" cm="1">
        <f t="array" aca="1" ref="AB145" ca="1">IF($R145&lt;&gt;"",
IF(COUNTIF(INDIRECT("B"&amp;R145&amp;""),"*雙葉*"),
INDIRECT("M"&amp;R145&amp;"")+INDIRECT("M"&amp;MATCH("雙葉'",INDIRECT("B"&amp;R145+1&amp;":B210"),0)+R145&amp;""),
IF(LEFT(INDIRECT("B"&amp;R145&amp;""),2)="博多",
INDIRECT("M"&amp;R145&amp;"")+INDIRECT("M"&amp;MATCH("*"&amp;INDIRECT("B"&amp;R145&amp;"")&amp;"*",INDIRECT("B"&amp;R145+1&amp;":B210"),0)+R145&amp;""),
IF(LEFT(INDIRECT("B"&amp;R145&amp;""),3)="奈良屋",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 x14ac:dyDescent="0.45">
      <c r="A146" s="203">
        <f t="shared" si="25"/>
        <v>17</v>
      </c>
      <c r="B146" s="202" t="str">
        <f t="shared" ca="1" si="20"/>
        <v/>
      </c>
      <c r="C146" s="202" t="str">
        <f>IF(OR(クライアント抽出!D76&lt;&gt;"",クライアント抽出!G76&lt;&gt;""),クライアント抽出!A76,"")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IF(COUNTIF(D146,"*学食*"),"キャラ弁（学食）",
IF(COUNTIF(D146,"*赤*"),"赤",
IF(COUNTIF(D146,"*キャラ弁当*"),"キャラ弁当",D146))),注文弁当の抽出!$E$1:$F$15,2,FALSE),"")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 cm="1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26"/>
        <v>0</v>
      </c>
      <c r="P146" s="202">
        <f t="shared" si="22"/>
        <v>0</v>
      </c>
      <c r="Q146" s="202" t="b">
        <f t="shared" si="24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>
        <f t="array" aca="1" ref="W146" ca="1">IF($R146&lt;&gt;"",
IF(COUNTIF(INDIRECT("B"&amp;R146&amp;""),"*雙葉*"),
INDIRECT("H"&amp;R146&amp;"")+INDIRECT("H"&amp;MATCH("雙葉'",INDIRECT("B"&amp;R146+1&amp;":B210"),0)+R146&amp;""),
IF(LEFT(INDIRECT("B"&amp;R146&amp;""),2)="博多",
INDIRECT("H"&amp;R146&amp;"")+INDIRECT("H"&amp;MATCH("*"&amp;INDIRECT("B"&amp;R146&amp;"")&amp;"*",INDIRECT("B"&amp;R146+1&amp;":B210"),0)+R146&amp;""),
IF(LEFT(INDIRECT("B"&amp;R146&amp;""),3)="奈良屋",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INDIRECT(""&amp;IF(COLUMN(I166)&lt;=26,CHAR(COLUMN(I166)+64),CHAR(INT((COLUMN(I166)-1)/26)+64)&amp;CHAR(MOD(COLUMN(I166)-1,26)+65))&amp;$R146&amp;""),"")</f>
        <v/>
      </c>
      <c r="Y146" s="51" t="str" cm="1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18"/>
        <v/>
      </c>
      <c r="AA146" s="51" t="str">
        <f t="shared" ca="1" si="19"/>
        <v/>
      </c>
      <c r="AB146" s="51" t="str" cm="1">
        <f t="array" aca="1" ref="AB146" ca="1">IF($R146&lt;&gt;"",
IF(COUNTIF(INDIRECT("B"&amp;R146&amp;""),"*雙葉*"),
INDIRECT("M"&amp;R146&amp;"")+INDIRECT("M"&amp;MATCH("雙葉'",INDIRECT("B"&amp;R146+1&amp;":B210"),0)+R146&amp;""),
IF(LEFT(INDIRECT("B"&amp;R146&amp;""),2)="博多",
INDIRECT("M"&amp;R146&amp;"")+INDIRECT("M"&amp;MATCH("*"&amp;INDIRECT("B"&amp;R146&amp;"")&amp;"*",INDIRECT("B"&amp;R146+1&amp;":B210"),0)+R146&amp;""),
IF(LEFT(INDIRECT("B"&amp;R146&amp;""),3)="奈良屋",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 x14ac:dyDescent="0.45">
      <c r="A147" s="203">
        <f t="shared" si="25"/>
        <v>19</v>
      </c>
      <c r="B147" s="202" t="str">
        <f t="shared" ca="1" si="20"/>
        <v/>
      </c>
      <c r="C147" s="202" t="str">
        <f>IF(OR(クライアント抽出!D77&lt;&gt;"",クライアント抽出!G77&lt;&gt;""),クライアント抽出!A77,"")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IF(COUNTIF(D147,"*学食*"),"キャラ弁（学食）",
IF(COUNTIF(D147,"*赤*"),"赤",
IF(COUNTIF(D147,"*キャラ弁当*"),"キャラ弁当",D147))),注文弁当の抽出!$E$1:$F$15,2,FALSE),"")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 cm="1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26"/>
        <v>0</v>
      </c>
      <c r="P147" s="202">
        <f t="shared" si="22"/>
        <v>0</v>
      </c>
      <c r="Q147" s="202" t="b">
        <f t="shared" si="24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>
        <f t="array" aca="1" ref="W147" ca="1">IF($R147&lt;&gt;"",
IF(COUNTIF(INDIRECT("B"&amp;R147&amp;""),"*雙葉*"),
INDIRECT("H"&amp;R147&amp;"")+INDIRECT("H"&amp;MATCH("雙葉'",INDIRECT("B"&amp;R147+1&amp;":B210"),0)+R147&amp;""),
IF(LEFT(INDIRECT("B"&amp;R147&amp;""),2)="博多",
INDIRECT("H"&amp;R147&amp;"")+INDIRECT("H"&amp;MATCH("*"&amp;INDIRECT("B"&amp;R147&amp;"")&amp;"*",INDIRECT("B"&amp;R147+1&amp;":B210"),0)+R147&amp;""),
IF(LEFT(INDIRECT("B"&amp;R147&amp;""),3)="奈良屋",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INDIRECT(""&amp;IF(COLUMN(I167)&lt;=26,CHAR(COLUMN(I167)+64),CHAR(INT((COLUMN(I167)-1)/26)+64)&amp;CHAR(MOD(COLUMN(I167)-1,26)+65))&amp;$R147&amp;""),"")</f>
        <v/>
      </c>
      <c r="Y147" s="51" t="str" cm="1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18"/>
        <v/>
      </c>
      <c r="AA147" s="51" t="str">
        <f t="shared" ca="1" si="19"/>
        <v/>
      </c>
      <c r="AB147" s="51" t="str" cm="1">
        <f t="array" aca="1" ref="AB147" ca="1">IF($R147&lt;&gt;"",
IF(COUNTIF(INDIRECT("B"&amp;R147&amp;""),"*雙葉*"),
INDIRECT("M"&amp;R147&amp;"")+INDIRECT("M"&amp;MATCH("雙葉'",INDIRECT("B"&amp;R147+1&amp;":B210"),0)+R147&amp;""),
IF(LEFT(INDIRECT("B"&amp;R147&amp;""),2)="博多",
INDIRECT("M"&amp;R147&amp;"")+INDIRECT("M"&amp;MATCH("*"&amp;INDIRECT("B"&amp;R147&amp;"")&amp;"*",INDIRECT("B"&amp;R147+1&amp;":B210"),0)+R147&amp;""),
IF(LEFT(INDIRECT("B"&amp;R147&amp;""),3)="奈良屋",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 x14ac:dyDescent="0.45">
      <c r="A148" s="203">
        <f t="shared" si="25"/>
        <v>21</v>
      </c>
      <c r="B148" s="202" t="str">
        <f t="shared" ca="1" si="20"/>
        <v/>
      </c>
      <c r="C148" s="202" t="str">
        <f>IF(OR(クライアント抽出!D78&lt;&gt;"",クライアント抽出!G78&lt;&gt;""),クライアント抽出!A78,"")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IF(COUNTIF(D148,"*学食*"),"キャラ弁（学食）",
IF(COUNTIF(D148,"*赤*"),"赤",
IF(COUNTIF(D148,"*キャラ弁当*"),"キャラ弁当",D148))),注文弁当の抽出!$E$1:$F$15,2,FALSE),"")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 cm="1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26"/>
        <v>0</v>
      </c>
      <c r="P148" s="202">
        <f t="shared" si="22"/>
        <v>0</v>
      </c>
      <c r="Q148" s="202" t="b">
        <f t="shared" si="24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>
        <f t="array" aca="1" ref="W148" ca="1">IF($R148&lt;&gt;"",
IF(COUNTIF(INDIRECT("B"&amp;R148&amp;""),"*雙葉*"),
INDIRECT("H"&amp;R148&amp;"")+INDIRECT("H"&amp;MATCH("雙葉'",INDIRECT("B"&amp;R148+1&amp;":B210"),0)+R148&amp;""),
IF(LEFT(INDIRECT("B"&amp;R148&amp;""),2)="博多",
INDIRECT("H"&amp;R148&amp;"")+INDIRECT("H"&amp;MATCH("*"&amp;INDIRECT("B"&amp;R148&amp;"")&amp;"*",INDIRECT("B"&amp;R148+1&amp;":B210"),0)+R148&amp;""),
IF(LEFT(INDIRECT("B"&amp;R148&amp;""),3)="奈良屋",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INDIRECT(""&amp;IF(COLUMN(I168)&lt;=26,CHAR(COLUMN(I168)+64),CHAR(INT((COLUMN(I168)-1)/26)+64)&amp;CHAR(MOD(COLUMN(I168)-1,26)+65))&amp;$R148&amp;""),"")</f>
        <v/>
      </c>
      <c r="Y148" s="51" t="str" cm="1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18"/>
        <v/>
      </c>
      <c r="AA148" s="51" t="str">
        <f t="shared" ca="1" si="19"/>
        <v/>
      </c>
      <c r="AB148" s="51" t="str" cm="1">
        <f t="array" aca="1" ref="AB148" ca="1">IF($R148&lt;&gt;"",
IF(COUNTIF(INDIRECT("B"&amp;R148&amp;""),"*雙葉*"),
INDIRECT("M"&amp;R148&amp;"")+INDIRECT("M"&amp;MATCH("雙葉'",INDIRECT("B"&amp;R148+1&amp;":B210"),0)+R148&amp;""),
IF(LEFT(INDIRECT("B"&amp;R148&amp;""),2)="博多",
INDIRECT("M"&amp;R148&amp;"")+INDIRECT("M"&amp;MATCH("*"&amp;INDIRECT("B"&amp;R148&amp;"")&amp;"*",INDIRECT("B"&amp;R148+1&amp;":B210"),0)+R148&amp;""),
IF(LEFT(INDIRECT("B"&amp;R148&amp;""),3)="奈良屋",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 x14ac:dyDescent="0.45">
      <c r="A149" s="203">
        <f t="shared" si="25"/>
        <v>23</v>
      </c>
      <c r="B149" s="202" t="str">
        <f t="shared" ca="1" si="20"/>
        <v/>
      </c>
      <c r="C149" s="202" t="str">
        <f>IF(OR(クライアント抽出!D79&lt;&gt;"",クライアント抽出!G79&lt;&gt;""),クライアント抽出!A79,"")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IF(COUNTIF(D149,"*学食*"),"キャラ弁（学食）",
IF(COUNTIF(D149,"*赤*"),"赤",
IF(COUNTIF(D149,"*キャラ弁当*"),"キャラ弁当",D149))),注文弁当の抽出!$E$1:$F$15,2,FALSE),"")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 cm="1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26"/>
        <v>0</v>
      </c>
      <c r="P149" s="202">
        <f t="shared" si="22"/>
        <v>0</v>
      </c>
      <c r="Q149" s="202" t="b">
        <f t="shared" si="24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>
        <f t="array" aca="1" ref="W149" ca="1">IF($R149&lt;&gt;"",
IF(COUNTIF(INDIRECT("B"&amp;R149&amp;""),"*雙葉*"),
INDIRECT("H"&amp;R149&amp;"")+INDIRECT("H"&amp;MATCH("雙葉'",INDIRECT("B"&amp;R149+1&amp;":B210"),0)+R149&amp;""),
IF(LEFT(INDIRECT("B"&amp;R149&amp;""),2)="博多",
INDIRECT("H"&amp;R149&amp;"")+INDIRECT("H"&amp;MATCH("*"&amp;INDIRECT("B"&amp;R149&amp;"")&amp;"*",INDIRECT("B"&amp;R149+1&amp;":B210"),0)+R149&amp;""),
IF(LEFT(INDIRECT("B"&amp;R149&amp;""),3)="奈良屋",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INDIRECT(""&amp;IF(COLUMN(I169)&lt;=26,CHAR(COLUMN(I169)+64),CHAR(INT((COLUMN(I169)-1)/26)+64)&amp;CHAR(MOD(COLUMN(I169)-1,26)+65))&amp;$R149&amp;""),"")</f>
        <v/>
      </c>
      <c r="Y149" s="51" t="str" cm="1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18"/>
        <v/>
      </c>
      <c r="AA149" s="51" t="str">
        <f t="shared" ca="1" si="19"/>
        <v/>
      </c>
      <c r="AB149" s="51" t="str" cm="1">
        <f t="array" aca="1" ref="AB149" ca="1">IF($R149&lt;&gt;"",
IF(COUNTIF(INDIRECT("B"&amp;R149&amp;""),"*雙葉*"),
INDIRECT("M"&amp;R149&amp;"")+INDIRECT("M"&amp;MATCH("雙葉'",INDIRECT("B"&amp;R149+1&amp;":B210"),0)+R149&amp;""),
IF(LEFT(INDIRECT("B"&amp;R149&amp;""),2)="博多",
INDIRECT("M"&amp;R149&amp;"")+INDIRECT("M"&amp;MATCH("*"&amp;INDIRECT("B"&amp;R149&amp;"")&amp;"*",INDIRECT("B"&amp;R149+1&amp;":B210"),0)+R149&amp;""),
IF(LEFT(INDIRECT("B"&amp;R149&amp;""),3)="奈良屋",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 x14ac:dyDescent="0.45">
      <c r="A150" s="203">
        <f t="shared" si="25"/>
        <v>25</v>
      </c>
      <c r="B150" s="202" t="str">
        <f t="shared" ca="1" si="20"/>
        <v/>
      </c>
      <c r="C150" s="202" t="str">
        <f>IF(OR(クライアント抽出!D80&lt;&gt;"",クライアント抽出!G80&lt;&gt;""),クライアント抽出!A80,"")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IF(COUNTIF(D150,"*学食*"),"キャラ弁（学食）",
IF(COUNTIF(D150,"*赤*"),"赤",
IF(COUNTIF(D150,"*キャラ弁当*"),"キャラ弁当",D150))),注文弁当の抽出!$E$1:$F$15,2,FALSE),"")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 cm="1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26"/>
        <v>0</v>
      </c>
      <c r="P150" s="202">
        <f t="shared" si="22"/>
        <v>0</v>
      </c>
      <c r="Q150" s="202" t="b">
        <f t="shared" si="24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>
        <f t="array" aca="1" ref="W150" ca="1">IF($R150&lt;&gt;"",
IF(COUNTIF(INDIRECT("B"&amp;R150&amp;""),"*雙葉*"),
INDIRECT("H"&amp;R150&amp;"")+INDIRECT("H"&amp;MATCH("雙葉'",INDIRECT("B"&amp;R150+1&amp;":B210"),0)+R150&amp;""),
IF(LEFT(INDIRECT("B"&amp;R150&amp;""),2)="博多",
INDIRECT("H"&amp;R150&amp;"")+INDIRECT("H"&amp;MATCH("*"&amp;INDIRECT("B"&amp;R150&amp;"")&amp;"*",INDIRECT("B"&amp;R150+1&amp;":B210"),0)+R150&amp;""),
IF(LEFT(INDIRECT("B"&amp;R150&amp;""),3)="奈良屋",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INDIRECT(""&amp;IF(COLUMN(I170)&lt;=26,CHAR(COLUMN(I170)+64),CHAR(INT((COLUMN(I170)-1)/26)+64)&amp;CHAR(MOD(COLUMN(I170)-1,26)+65))&amp;$R150&amp;""),"")</f>
        <v/>
      </c>
      <c r="Y150" s="51" t="str" cm="1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18"/>
        <v/>
      </c>
      <c r="AA150" s="51" t="str">
        <f t="shared" ca="1" si="19"/>
        <v/>
      </c>
      <c r="AB150" s="51" t="str" cm="1">
        <f t="array" aca="1" ref="AB150" ca="1">IF($R150&lt;&gt;"",
IF(COUNTIF(INDIRECT("B"&amp;R150&amp;""),"*雙葉*"),
INDIRECT("M"&amp;R150&amp;"")+INDIRECT("M"&amp;MATCH("雙葉'",INDIRECT("B"&amp;R150+1&amp;":B210"),0)+R150&amp;""),
IF(LEFT(INDIRECT("B"&amp;R150&amp;""),2)="博多",
INDIRECT("M"&amp;R150&amp;"")+INDIRECT("M"&amp;MATCH("*"&amp;INDIRECT("B"&amp;R150&amp;"")&amp;"*",INDIRECT("B"&amp;R150+1&amp;":B210"),0)+R150&amp;""),
IF(LEFT(INDIRECT("B"&amp;R150&amp;""),3)="奈良屋",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 x14ac:dyDescent="0.45">
      <c r="A151" s="203">
        <f t="shared" si="25"/>
        <v>27</v>
      </c>
      <c r="B151" s="202" t="str">
        <f t="shared" ca="1" si="20"/>
        <v/>
      </c>
      <c r="C151" s="202" t="str">
        <f>IF(OR(クライアント抽出!D81&lt;&gt;"",クライアント抽出!G81&lt;&gt;""),クライアント抽出!A81,"")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IF(COUNTIF(D151,"*学食*"),"キャラ弁（学食）",
IF(COUNTIF(D151,"*赤*"),"赤",
IF(COUNTIF(D151,"*キャラ弁当*"),"キャラ弁当",D151))),注文弁当の抽出!$E$1:$F$15,2,FALSE),"")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 cm="1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26"/>
        <v>0</v>
      </c>
      <c r="P151" s="202">
        <f t="shared" si="22"/>
        <v>0</v>
      </c>
      <c r="Q151" s="202" t="b">
        <f t="shared" si="24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>
        <f t="array" aca="1" ref="W151" ca="1">IF($R151&lt;&gt;"",
IF(COUNTIF(INDIRECT("B"&amp;R151&amp;""),"*雙葉*"),
INDIRECT("H"&amp;R151&amp;"")+INDIRECT("H"&amp;MATCH("雙葉'",INDIRECT("B"&amp;R151+1&amp;":B210"),0)+R151&amp;""),
IF(LEFT(INDIRECT("B"&amp;R151&amp;""),2)="博多",
INDIRECT("H"&amp;R151&amp;"")+INDIRECT("H"&amp;MATCH("*"&amp;INDIRECT("B"&amp;R151&amp;"")&amp;"*",INDIRECT("B"&amp;R151+1&amp;":B210"),0)+R151&amp;""),
IF(LEFT(INDIRECT("B"&amp;R151&amp;""),3)="奈良屋",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INDIRECT(""&amp;IF(COLUMN(I171)&lt;=26,CHAR(COLUMN(I171)+64),CHAR(INT((COLUMN(I171)-1)/26)+64)&amp;CHAR(MOD(COLUMN(I171)-1,26)+65))&amp;$R151&amp;""),"")</f>
        <v/>
      </c>
      <c r="Y151" s="51" t="str" cm="1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18"/>
        <v/>
      </c>
      <c r="AA151" s="51" t="str">
        <f t="shared" ca="1" si="19"/>
        <v/>
      </c>
      <c r="AB151" s="51" t="str" cm="1">
        <f t="array" aca="1" ref="AB151" ca="1">IF($R151&lt;&gt;"",
IF(COUNTIF(INDIRECT("B"&amp;R151&amp;""),"*雙葉*"),
INDIRECT("M"&amp;R151&amp;"")+INDIRECT("M"&amp;MATCH("雙葉'",INDIRECT("B"&amp;R151+1&amp;":B210"),0)+R151&amp;""),
IF(LEFT(INDIRECT("B"&amp;R151&amp;""),2)="博多",
INDIRECT("M"&amp;R151&amp;"")+INDIRECT("M"&amp;MATCH("*"&amp;INDIRECT("B"&amp;R151&amp;"")&amp;"*",INDIRECT("B"&amp;R151+1&amp;":B210"),0)+R151&amp;""),
IF(LEFT(INDIRECT("B"&amp;R151&amp;""),3)="奈良屋",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 x14ac:dyDescent="0.45">
      <c r="A152" s="203">
        <f t="shared" si="25"/>
        <v>29</v>
      </c>
      <c r="B152" s="202" t="str">
        <f t="shared" ca="1" si="20"/>
        <v/>
      </c>
      <c r="C152" s="202" t="str">
        <f>IF(OR(クライアント抽出!D82&lt;&gt;"",クライアント抽出!G82&lt;&gt;""),クライアント抽出!A82,"")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IF(COUNTIF(D152,"*学食*"),"キャラ弁（学食）",
IF(COUNTIF(D152,"*赤*"),"赤",
IF(COUNTIF(D152,"*キャラ弁当*"),"キャラ弁当",D152))),注文弁当の抽出!$E$1:$F$15,2,FALSE),"")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 cm="1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26"/>
        <v>0</v>
      </c>
      <c r="P152" s="202">
        <f t="shared" si="22"/>
        <v>0</v>
      </c>
      <c r="Q152" s="202" t="b">
        <f t="shared" si="24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>
        <f t="array" aca="1" ref="W152" ca="1">IF($R152&lt;&gt;"",
IF(COUNTIF(INDIRECT("B"&amp;R152&amp;""),"*雙葉*"),
INDIRECT("H"&amp;R152&amp;"")+INDIRECT("H"&amp;MATCH("雙葉'",INDIRECT("B"&amp;R152+1&amp;":B210"),0)+R152&amp;""),
IF(LEFT(INDIRECT("B"&amp;R152&amp;""),2)="博多",
INDIRECT("H"&amp;R152&amp;"")+INDIRECT("H"&amp;MATCH("*"&amp;INDIRECT("B"&amp;R152&amp;"")&amp;"*",INDIRECT("B"&amp;R152+1&amp;":B210"),0)+R152&amp;""),
IF(LEFT(INDIRECT("B"&amp;R152&amp;""),3)="奈良屋",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INDIRECT(""&amp;IF(COLUMN(I172)&lt;=26,CHAR(COLUMN(I172)+64),CHAR(INT((COLUMN(I172)-1)/26)+64)&amp;CHAR(MOD(COLUMN(I172)-1,26)+65))&amp;$R152&amp;""),"")</f>
        <v/>
      </c>
      <c r="Y152" s="51" t="str" cm="1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18"/>
        <v/>
      </c>
      <c r="AA152" s="51" t="str">
        <f t="shared" ca="1" si="19"/>
        <v/>
      </c>
      <c r="AB152" s="51" t="str" cm="1">
        <f t="array" aca="1" ref="AB152" ca="1">IF($R152&lt;&gt;"",
IF(COUNTIF(INDIRECT("B"&amp;R152&amp;""),"*雙葉*"),
INDIRECT("M"&amp;R152&amp;"")+INDIRECT("M"&amp;MATCH("雙葉'",INDIRECT("B"&amp;R152+1&amp;":B210"),0)+R152&amp;""),
IF(LEFT(INDIRECT("B"&amp;R152&amp;""),2)="博多",
INDIRECT("M"&amp;R152&amp;"")+INDIRECT("M"&amp;MATCH("*"&amp;INDIRECT("B"&amp;R152&amp;"")&amp;"*",INDIRECT("B"&amp;R152+1&amp;":B210"),0)+R152&amp;""),
IF(LEFT(INDIRECT("B"&amp;R152&amp;""),3)="奈良屋",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 x14ac:dyDescent="0.45">
      <c r="A153" s="203">
        <f t="shared" si="25"/>
        <v>31</v>
      </c>
      <c r="B153" s="202" t="str">
        <f t="shared" ca="1" si="20"/>
        <v/>
      </c>
      <c r="C153" s="202" t="str">
        <f>IF(OR(クライアント抽出!D83&lt;&gt;"",クライアント抽出!G83&lt;&gt;""),クライアント抽出!A83,"")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IF(COUNTIF(D153,"*学食*"),"キャラ弁（学食）",
IF(COUNTIF(D153,"*赤*"),"赤",
IF(COUNTIF(D153,"*キャラ弁当*"),"キャラ弁当",D153))),注文弁当の抽出!$E$1:$F$15,2,FALSE),"")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 cm="1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26"/>
        <v>0</v>
      </c>
      <c r="P153" s="202">
        <f t="shared" si="22"/>
        <v>0</v>
      </c>
      <c r="Q153" s="202" t="b">
        <f t="shared" si="24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>
        <f t="array" aca="1" ref="W153" ca="1">IF($R153&lt;&gt;"",
IF(COUNTIF(INDIRECT("B"&amp;R153&amp;""),"*雙葉*"),
INDIRECT("H"&amp;R153&amp;"")+INDIRECT("H"&amp;MATCH("雙葉'",INDIRECT("B"&amp;R153+1&amp;":B210"),0)+R153&amp;""),
IF(LEFT(INDIRECT("B"&amp;R153&amp;""),2)="博多",
INDIRECT("H"&amp;R153&amp;"")+INDIRECT("H"&amp;MATCH("*"&amp;INDIRECT("B"&amp;R153&amp;"")&amp;"*",INDIRECT("B"&amp;R153+1&amp;":B210"),0)+R153&amp;""),
IF(LEFT(INDIRECT("B"&amp;R153&amp;""),3)="奈良屋",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INDIRECT(""&amp;IF(COLUMN(I173)&lt;=26,CHAR(COLUMN(I173)+64),CHAR(INT((COLUMN(I173)-1)/26)+64)&amp;CHAR(MOD(COLUMN(I173)-1,26)+65))&amp;$R153&amp;""),"")</f>
        <v/>
      </c>
      <c r="Y153" s="51" t="str" cm="1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18"/>
        <v/>
      </c>
      <c r="AA153" s="51" t="str">
        <f t="shared" ca="1" si="19"/>
        <v/>
      </c>
      <c r="AB153" s="51" t="str" cm="1">
        <f t="array" aca="1" ref="AB153" ca="1">IF($R153&lt;&gt;"",
IF(COUNTIF(INDIRECT("B"&amp;R153&amp;""),"*雙葉*"),
INDIRECT("M"&amp;R153&amp;"")+INDIRECT("M"&amp;MATCH("雙葉'",INDIRECT("B"&amp;R153+1&amp;":B210"),0)+R153&amp;""),
IF(LEFT(INDIRECT("B"&amp;R153&amp;""),2)="博多",
INDIRECT("M"&amp;R153&amp;"")+INDIRECT("M"&amp;MATCH("*"&amp;INDIRECT("B"&amp;R153&amp;"")&amp;"*",INDIRECT("B"&amp;R153+1&amp;":B210"),0)+R153&amp;""),
IF(LEFT(INDIRECT("B"&amp;R153&amp;""),3)="奈良屋",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 x14ac:dyDescent="0.45">
      <c r="A154" s="203">
        <f t="shared" si="25"/>
        <v>33</v>
      </c>
      <c r="B154" s="202" t="str">
        <f t="shared" ca="1" si="20"/>
        <v/>
      </c>
      <c r="C154" s="202" t="str">
        <f>IF(OR(クライアント抽出!D84&lt;&gt;"",クライアント抽出!G84&lt;&gt;""),クライアント抽出!A84,"")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IF(COUNTIF(D154,"*学食*"),"キャラ弁（学食）",
IF(COUNTIF(D154,"*赤*"),"赤",
IF(COUNTIF(D154,"*キャラ弁当*"),"キャラ弁当",D154))),注文弁当の抽出!$E$1:$F$15,2,FALSE),"")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 cm="1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26"/>
        <v>0</v>
      </c>
      <c r="P154" s="202">
        <f t="shared" si="22"/>
        <v>0</v>
      </c>
      <c r="Q154" s="202" t="b">
        <f t="shared" si="24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>
        <f t="array" aca="1" ref="W154" ca="1">IF($R154&lt;&gt;"",
IF(COUNTIF(INDIRECT("B"&amp;R154&amp;""),"*雙葉*"),
INDIRECT("H"&amp;R154&amp;"")+INDIRECT("H"&amp;MATCH("雙葉'",INDIRECT("B"&amp;R154+1&amp;":B210"),0)+R154&amp;""),
IF(LEFT(INDIRECT("B"&amp;R154&amp;""),2)="博多",
INDIRECT("H"&amp;R154&amp;"")+INDIRECT("H"&amp;MATCH("*"&amp;INDIRECT("B"&amp;R154&amp;"")&amp;"*",INDIRECT("B"&amp;R154+1&amp;":B210"),0)+R154&amp;""),
IF(LEFT(INDIRECT("B"&amp;R154&amp;""),3)="奈良屋",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INDIRECT(""&amp;IF(COLUMN(I174)&lt;=26,CHAR(COLUMN(I174)+64),CHAR(INT((COLUMN(I174)-1)/26)+64)&amp;CHAR(MOD(COLUMN(I174)-1,26)+65))&amp;$R154&amp;""),"")</f>
        <v/>
      </c>
      <c r="Y154" s="51" t="str" cm="1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18"/>
        <v/>
      </c>
      <c r="AA154" s="51" t="str">
        <f t="shared" ca="1" si="19"/>
        <v/>
      </c>
      <c r="AB154" s="51" t="str" cm="1">
        <f t="array" aca="1" ref="AB154" ca="1">IF($R154&lt;&gt;"",
IF(COUNTIF(INDIRECT("B"&amp;R154&amp;""),"*雙葉*"),
INDIRECT("M"&amp;R154&amp;"")+INDIRECT("M"&amp;MATCH("雙葉'",INDIRECT("B"&amp;R154+1&amp;":B210"),0)+R154&amp;""),
IF(LEFT(INDIRECT("B"&amp;R154&amp;""),2)="博多",
INDIRECT("M"&amp;R154&amp;"")+INDIRECT("M"&amp;MATCH("*"&amp;INDIRECT("B"&amp;R154&amp;"")&amp;"*",INDIRECT("B"&amp;R154+1&amp;":B210"),0)+R154&amp;""),
IF(LEFT(INDIRECT("B"&amp;R154&amp;""),3)="奈良屋",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 x14ac:dyDescent="0.45">
      <c r="A155" s="203">
        <f t="shared" si="25"/>
        <v>35</v>
      </c>
      <c r="B155" s="202" t="str">
        <f t="shared" ca="1" si="20"/>
        <v/>
      </c>
      <c r="C155" s="202" t="str">
        <f>IF(OR(クライアント抽出!D85&lt;&gt;"",クライアント抽出!G85&lt;&gt;""),クライアント抽出!A85,"")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IF(COUNTIF(D155,"*学食*"),"キャラ弁（学食）",
IF(COUNTIF(D155,"*赤*"),"赤",
IF(COUNTIF(D155,"*キャラ弁当*"),"キャラ弁当",D155))),注文弁当の抽出!$E$1:$F$15,2,FALSE),"")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 cm="1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26"/>
        <v>0</v>
      </c>
      <c r="P155" s="202">
        <f t="shared" si="22"/>
        <v>0</v>
      </c>
      <c r="Q155" s="202" t="b">
        <f t="shared" si="24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>
        <f t="array" aca="1" ref="W155" ca="1">IF($R155&lt;&gt;"",
IF(COUNTIF(INDIRECT("B"&amp;R155&amp;""),"*雙葉*"),
INDIRECT("H"&amp;R155&amp;"")+INDIRECT("H"&amp;MATCH("雙葉'",INDIRECT("B"&amp;R155+1&amp;":B210"),0)+R155&amp;""),
IF(LEFT(INDIRECT("B"&amp;R155&amp;""),2)="博多",
INDIRECT("H"&amp;R155&amp;"")+INDIRECT("H"&amp;MATCH("*"&amp;INDIRECT("B"&amp;R155&amp;"")&amp;"*",INDIRECT("B"&amp;R155+1&amp;":B210"),0)+R155&amp;""),
IF(LEFT(INDIRECT("B"&amp;R155&amp;""),3)="奈良屋",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INDIRECT(""&amp;IF(COLUMN(I175)&lt;=26,CHAR(COLUMN(I175)+64),CHAR(INT((COLUMN(I175)-1)/26)+64)&amp;CHAR(MOD(COLUMN(I175)-1,26)+65))&amp;$R155&amp;""),"")</f>
        <v/>
      </c>
      <c r="Y155" s="51" t="str" cm="1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18"/>
        <v/>
      </c>
      <c r="AA155" s="51" t="str">
        <f t="shared" ca="1" si="19"/>
        <v/>
      </c>
      <c r="AB155" s="51" t="str" cm="1">
        <f t="array" aca="1" ref="AB155" ca="1">IF($R155&lt;&gt;"",
IF(COUNTIF(INDIRECT("B"&amp;R155&amp;""),"*雙葉*"),
INDIRECT("M"&amp;R155&amp;"")+INDIRECT("M"&amp;MATCH("雙葉'",INDIRECT("B"&amp;R155+1&amp;":B210"),0)+R155&amp;""),
IF(LEFT(INDIRECT("B"&amp;R155&amp;""),2)="博多",
INDIRECT("M"&amp;R155&amp;"")+INDIRECT("M"&amp;MATCH("*"&amp;INDIRECT("B"&amp;R155&amp;"")&amp;"*",INDIRECT("B"&amp;R155+1&amp;":B210"),0)+R155&amp;""),
IF(LEFT(INDIRECT("B"&amp;R155&amp;""),3)="奈良屋",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 x14ac:dyDescent="0.45">
      <c r="A156" s="203">
        <f t="shared" si="25"/>
        <v>37</v>
      </c>
      <c r="B156" s="202" t="str">
        <f t="shared" ca="1" si="20"/>
        <v/>
      </c>
      <c r="C156" s="202" t="str">
        <f>IF(OR(クライアント抽出!D86&lt;&gt;"",クライアント抽出!G86&lt;&gt;""),クライアント抽出!A86,"")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IF(COUNTIF(D156,"*学食*"),"キャラ弁（学食）",
IF(COUNTIF(D156,"*赤*"),"赤",
IF(COUNTIF(D156,"*キャラ弁当*"),"キャラ弁当",D156))),注文弁当の抽出!$E$1:$F$15,2,FALSE),"")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 cm="1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26"/>
        <v>0</v>
      </c>
      <c r="P156" s="202">
        <f t="shared" si="22"/>
        <v>0</v>
      </c>
      <c r="Q156" s="202" t="b">
        <f t="shared" si="24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>
        <f t="array" aca="1" ref="W156" ca="1">IF($R156&lt;&gt;"",
IF(COUNTIF(INDIRECT("B"&amp;R156&amp;""),"*雙葉*"),
INDIRECT("H"&amp;R156&amp;"")+INDIRECT("H"&amp;MATCH("雙葉'",INDIRECT("B"&amp;R156+1&amp;":B210"),0)+R156&amp;""),
IF(LEFT(INDIRECT("B"&amp;R156&amp;""),2)="博多",
INDIRECT("H"&amp;R156&amp;"")+INDIRECT("H"&amp;MATCH("*"&amp;INDIRECT("B"&amp;R156&amp;"")&amp;"*",INDIRECT("B"&amp;R156+1&amp;":B210"),0)+R156&amp;""),
IF(LEFT(INDIRECT("B"&amp;R156&amp;""),3)="奈良屋",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INDIRECT(""&amp;IF(COLUMN(I176)&lt;=26,CHAR(COLUMN(I176)+64),CHAR(INT((COLUMN(I176)-1)/26)+64)&amp;CHAR(MOD(COLUMN(I176)-1,26)+65))&amp;$R156&amp;""),"")</f>
        <v/>
      </c>
      <c r="Y156" s="51" t="str" cm="1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18"/>
        <v/>
      </c>
      <c r="AA156" s="51" t="str">
        <f t="shared" ca="1" si="19"/>
        <v/>
      </c>
      <c r="AB156" s="51" t="str" cm="1">
        <f t="array" aca="1" ref="AB156" ca="1">IF($R156&lt;&gt;"",
IF(COUNTIF(INDIRECT("B"&amp;R156&amp;""),"*雙葉*"),
INDIRECT("M"&amp;R156&amp;"")+INDIRECT("M"&amp;MATCH("雙葉'",INDIRECT("B"&amp;R156+1&amp;":B210"),0)+R156&amp;""),
IF(LEFT(INDIRECT("B"&amp;R156&amp;""),2)="博多",
INDIRECT("M"&amp;R156&amp;"")+INDIRECT("M"&amp;MATCH("*"&amp;INDIRECT("B"&amp;R156&amp;"")&amp;"*",INDIRECT("B"&amp;R156+1&amp;":B210"),0)+R156&amp;""),
IF(LEFT(INDIRECT("B"&amp;R156&amp;""),3)="奈良屋",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 x14ac:dyDescent="0.45">
      <c r="A157" s="203">
        <f t="shared" si="25"/>
        <v>39</v>
      </c>
      <c r="B157" s="202" t="str">
        <f t="shared" ca="1" si="20"/>
        <v/>
      </c>
      <c r="C157" s="202" t="str">
        <f>IF(OR(クライアント抽出!D87&lt;&gt;"",クライアント抽出!G87&lt;&gt;""),クライアント抽出!A87,"")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IF(COUNTIF(D157,"*学食*"),"キャラ弁（学食）",
IF(COUNTIF(D157,"*赤*"),"赤",
IF(COUNTIF(D157,"*キャラ弁当*"),"キャラ弁当",D157))),注文弁当の抽出!$E$1:$F$15,2,FALSE),"")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 cm="1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26"/>
        <v>0</v>
      </c>
      <c r="P157" s="202">
        <f t="shared" si="22"/>
        <v>0</v>
      </c>
      <c r="Q157" s="202" t="b">
        <f t="shared" si="24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>
        <f t="array" aca="1" ref="W157" ca="1">IF($R157&lt;&gt;"",
IF(COUNTIF(INDIRECT("B"&amp;R157&amp;""),"*雙葉*"),
INDIRECT("H"&amp;R157&amp;"")+INDIRECT("H"&amp;MATCH("雙葉'",INDIRECT("B"&amp;R157+1&amp;":B210"),0)+R157&amp;""),
IF(LEFT(INDIRECT("B"&amp;R157&amp;""),2)="博多",
INDIRECT("H"&amp;R157&amp;"")+INDIRECT("H"&amp;MATCH("*"&amp;INDIRECT("B"&amp;R157&amp;"")&amp;"*",INDIRECT("B"&amp;R157+1&amp;":B210"),0)+R157&amp;""),
IF(LEFT(INDIRECT("B"&amp;R157&amp;""),3)="奈良屋",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INDIRECT(""&amp;IF(COLUMN(I177)&lt;=26,CHAR(COLUMN(I177)+64),CHAR(INT((COLUMN(I177)-1)/26)+64)&amp;CHAR(MOD(COLUMN(I177)-1,26)+65))&amp;$R157&amp;""),"")</f>
        <v/>
      </c>
      <c r="Y157" s="51" t="str" cm="1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18"/>
        <v/>
      </c>
      <c r="AA157" s="51" t="str">
        <f t="shared" ca="1" si="19"/>
        <v/>
      </c>
      <c r="AB157" s="51" t="str" cm="1">
        <f t="array" aca="1" ref="AB157" ca="1">IF($R157&lt;&gt;"",
IF(COUNTIF(INDIRECT("B"&amp;R157&amp;""),"*雙葉*"),
INDIRECT("M"&amp;R157&amp;"")+INDIRECT("M"&amp;MATCH("雙葉'",INDIRECT("B"&amp;R157+1&amp;":B210"),0)+R157&amp;""),
IF(LEFT(INDIRECT("B"&amp;R157&amp;""),2)="博多",
INDIRECT("M"&amp;R157&amp;"")+INDIRECT("M"&amp;MATCH("*"&amp;INDIRECT("B"&amp;R157&amp;"")&amp;"*",INDIRECT("B"&amp;R157+1&amp;":B210"),0)+R157&amp;""),
IF(LEFT(INDIRECT("B"&amp;R157&amp;""),3)="奈良屋",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 x14ac:dyDescent="0.45">
      <c r="A158" s="203">
        <f t="shared" si="25"/>
        <v>41</v>
      </c>
      <c r="B158" s="202" t="str">
        <f t="shared" ca="1" si="20"/>
        <v/>
      </c>
      <c r="C158" s="202" t="str">
        <f>IF(OR(クライアント抽出!D88&lt;&gt;"",クライアント抽出!G88&lt;&gt;""),クライアント抽出!A88,"")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IF(COUNTIF(D158,"*学食*"),"キャラ弁（学食）",
IF(COUNTIF(D158,"*赤*"),"赤",
IF(COUNTIF(D158,"*キャラ弁当*"),"キャラ弁当",D158))),注文弁当の抽出!$E$1:$F$15,2,FALSE),"")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 cm="1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26"/>
        <v>0</v>
      </c>
      <c r="P158" s="202">
        <f t="shared" si="22"/>
        <v>0</v>
      </c>
      <c r="Q158" s="202" t="b">
        <f t="shared" si="24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>
        <f t="array" aca="1" ref="W158" ca="1">IF($R158&lt;&gt;"",
IF(COUNTIF(INDIRECT("B"&amp;R158&amp;""),"*雙葉*"),
INDIRECT("H"&amp;R158&amp;"")+INDIRECT("H"&amp;MATCH("雙葉'",INDIRECT("B"&amp;R158+1&amp;":B210"),0)+R158&amp;""),
IF(LEFT(INDIRECT("B"&amp;R158&amp;""),2)="博多",
INDIRECT("H"&amp;R158&amp;"")+INDIRECT("H"&amp;MATCH("*"&amp;INDIRECT("B"&amp;R158&amp;"")&amp;"*",INDIRECT("B"&amp;R158+1&amp;":B210"),0)+R158&amp;""),
IF(LEFT(INDIRECT("B"&amp;R158&amp;""),3)="奈良屋",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INDIRECT(""&amp;IF(COLUMN(I178)&lt;=26,CHAR(COLUMN(I178)+64),CHAR(INT((COLUMN(I178)-1)/26)+64)&amp;CHAR(MOD(COLUMN(I178)-1,26)+65))&amp;$R158&amp;""),"")</f>
        <v/>
      </c>
      <c r="Y158" s="51" t="str" cm="1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18"/>
        <v/>
      </c>
      <c r="AA158" s="51" t="str">
        <f t="shared" ca="1" si="19"/>
        <v/>
      </c>
      <c r="AB158" s="51" t="str" cm="1">
        <f t="array" aca="1" ref="AB158" ca="1">IF($R158&lt;&gt;"",
IF(COUNTIF(INDIRECT("B"&amp;R158&amp;""),"*雙葉*"),
INDIRECT("M"&amp;R158&amp;"")+INDIRECT("M"&amp;MATCH("雙葉'",INDIRECT("B"&amp;R158+1&amp;":B210"),0)+R158&amp;""),
IF(LEFT(INDIRECT("B"&amp;R158&amp;""),2)="博多",
INDIRECT("M"&amp;R158&amp;"")+INDIRECT("M"&amp;MATCH("*"&amp;INDIRECT("B"&amp;R158&amp;"")&amp;"*",INDIRECT("B"&amp;R158+1&amp;":B210"),0)+R158&amp;""),
IF(LEFT(INDIRECT("B"&amp;R158&amp;""),3)="奈良屋",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 x14ac:dyDescent="0.45">
      <c r="A159" s="203">
        <f t="shared" si="25"/>
        <v>43</v>
      </c>
      <c r="B159" s="202" t="str">
        <f t="shared" ca="1" si="20"/>
        <v/>
      </c>
      <c r="C159" s="202" t="str">
        <f>IF(OR(クライアント抽出!D89&lt;&gt;"",クライアント抽出!G89&lt;&gt;""),クライアント抽出!A89,"")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IF(COUNTIF(D159,"*学食*"),"キャラ弁（学食）",
IF(COUNTIF(D159,"*赤*"),"赤",
IF(COUNTIF(D159,"*キャラ弁当*"),"キャラ弁当",D159))),注文弁当の抽出!$E$1:$F$15,2,FALSE),"")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 cm="1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26"/>
        <v>0</v>
      </c>
      <c r="P159" s="202">
        <f t="shared" si="22"/>
        <v>0</v>
      </c>
      <c r="Q159" s="202" t="b">
        <f t="shared" si="24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>
        <f t="array" aca="1" ref="W159" ca="1">IF($R159&lt;&gt;"",
IF(COUNTIF(INDIRECT("B"&amp;R159&amp;""),"*雙葉*"),
INDIRECT("H"&amp;R159&amp;"")+INDIRECT("H"&amp;MATCH("雙葉'",INDIRECT("B"&amp;R159+1&amp;":B210"),0)+R159&amp;""),
IF(LEFT(INDIRECT("B"&amp;R159&amp;""),2)="博多",
INDIRECT("H"&amp;R159&amp;"")+INDIRECT("H"&amp;MATCH("*"&amp;INDIRECT("B"&amp;R159&amp;"")&amp;"*",INDIRECT("B"&amp;R159+1&amp;":B210"),0)+R159&amp;""),
IF(LEFT(INDIRECT("B"&amp;R159&amp;""),3)="奈良屋",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INDIRECT(""&amp;IF(COLUMN(I179)&lt;=26,CHAR(COLUMN(I179)+64),CHAR(INT((COLUMN(I179)-1)/26)+64)&amp;CHAR(MOD(COLUMN(I179)-1,26)+65))&amp;$R159&amp;""),"")</f>
        <v/>
      </c>
      <c r="Y159" s="51" t="str" cm="1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18"/>
        <v/>
      </c>
      <c r="AA159" s="51" t="str">
        <f t="shared" ca="1" si="19"/>
        <v/>
      </c>
      <c r="AB159" s="51" t="str" cm="1">
        <f t="array" aca="1" ref="AB159" ca="1">IF($R159&lt;&gt;"",
IF(COUNTIF(INDIRECT("B"&amp;R159&amp;""),"*雙葉*"),
INDIRECT("M"&amp;R159&amp;"")+INDIRECT("M"&amp;MATCH("雙葉'",INDIRECT("B"&amp;R159+1&amp;":B210"),0)+R159&amp;""),
IF(LEFT(INDIRECT("B"&amp;R159&amp;""),2)="博多",
INDIRECT("M"&amp;R159&amp;"")+INDIRECT("M"&amp;MATCH("*"&amp;INDIRECT("B"&amp;R159&amp;"")&amp;"*",INDIRECT("B"&amp;R159+1&amp;":B210"),0)+R159&amp;""),
IF(LEFT(INDIRECT("B"&amp;R159&amp;""),3)="奈良屋",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 x14ac:dyDescent="0.45">
      <c r="A160" s="203">
        <f t="shared" si="25"/>
        <v>45</v>
      </c>
      <c r="B160" s="202" t="str">
        <f t="shared" ca="1" si="20"/>
        <v/>
      </c>
      <c r="C160" s="202" t="str">
        <f>IF(OR(クライアント抽出!D90&lt;&gt;"",クライアント抽出!G90&lt;&gt;""),クライアント抽出!A90,"")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IF(COUNTIF(D160,"*学食*"),"キャラ弁（学食）",
IF(COUNTIF(D160,"*赤*"),"赤",
IF(COUNTIF(D160,"*キャラ弁当*"),"キャラ弁当",D160))),注文弁当の抽出!$E$1:$F$15,2,FALSE),"")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 cm="1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26"/>
        <v>0</v>
      </c>
      <c r="P160" s="202">
        <f t="shared" si="22"/>
        <v>0</v>
      </c>
      <c r="Q160" s="202" t="b">
        <f t="shared" si="24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>
        <f t="array" aca="1" ref="W160" ca="1">IF($R160&lt;&gt;"",
IF(COUNTIF(INDIRECT("B"&amp;R160&amp;""),"*雙葉*"),
INDIRECT("H"&amp;R160&amp;"")+INDIRECT("H"&amp;MATCH("雙葉'",INDIRECT("B"&amp;R160+1&amp;":B210"),0)+R160&amp;""),
IF(LEFT(INDIRECT("B"&amp;R160&amp;""),2)="博多",
INDIRECT("H"&amp;R160&amp;"")+INDIRECT("H"&amp;MATCH("*"&amp;INDIRECT("B"&amp;R160&amp;"")&amp;"*",INDIRECT("B"&amp;R160+1&amp;":B210"),0)+R160&amp;""),
IF(LEFT(INDIRECT("B"&amp;R160&amp;""),3)="奈良屋",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INDIRECT(""&amp;IF(COLUMN(I180)&lt;=26,CHAR(COLUMN(I180)+64),CHAR(INT((COLUMN(I180)-1)/26)+64)&amp;CHAR(MOD(COLUMN(I180)-1,26)+65))&amp;$R160&amp;""),"")</f>
        <v/>
      </c>
      <c r="Y160" s="51" t="str" cm="1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18"/>
        <v/>
      </c>
      <c r="AA160" s="51" t="str">
        <f t="shared" ca="1" si="19"/>
        <v/>
      </c>
      <c r="AB160" s="51" t="str" cm="1">
        <f t="array" aca="1" ref="AB160" ca="1">IF($R160&lt;&gt;"",
IF(COUNTIF(INDIRECT("B"&amp;R160&amp;""),"*雙葉*"),
INDIRECT("M"&amp;R160&amp;"")+INDIRECT("M"&amp;MATCH("雙葉'",INDIRECT("B"&amp;R160+1&amp;":B210"),0)+R160&amp;""),
IF(LEFT(INDIRECT("B"&amp;R160&amp;""),2)="博多",
INDIRECT("M"&amp;R160&amp;"")+INDIRECT("M"&amp;MATCH("*"&amp;INDIRECT("B"&amp;R160&amp;"")&amp;"*",INDIRECT("B"&amp;R160+1&amp;":B210"),0)+R160&amp;""),
IF(LEFT(INDIRECT("B"&amp;R160&amp;""),3)="奈良屋",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 x14ac:dyDescent="0.45">
      <c r="A161" s="203">
        <f t="shared" si="25"/>
        <v>47</v>
      </c>
      <c r="B161" s="202" t="str">
        <f t="shared" ca="1" si="20"/>
        <v/>
      </c>
      <c r="C161" s="202" t="str">
        <f>IF(OR(クライアント抽出!D91&lt;&gt;"",クライアント抽出!G91&lt;&gt;""),クライアント抽出!A91,"")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IF(COUNTIF(D161,"*学食*"),"キャラ弁（学食）",
IF(COUNTIF(D161,"*赤*"),"赤",
IF(COUNTIF(D161,"*キャラ弁当*"),"キャラ弁当",D161))),注文弁当の抽出!$E$1:$F$15,2,FALSE),"")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 cm="1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26"/>
        <v>0</v>
      </c>
      <c r="P161" s="202">
        <f t="shared" si="22"/>
        <v>0</v>
      </c>
      <c r="Q161" s="202" t="b">
        <f t="shared" si="24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>
        <f t="array" aca="1" ref="W161" ca="1">IF($R161&lt;&gt;"",
IF(COUNTIF(INDIRECT("B"&amp;R161&amp;""),"*雙葉*"),
INDIRECT("H"&amp;R161&amp;"")+INDIRECT("H"&amp;MATCH("雙葉'",INDIRECT("B"&amp;R161+1&amp;":B210"),0)+R161&amp;""),
IF(LEFT(INDIRECT("B"&amp;R161&amp;""),2)="博多",
INDIRECT("H"&amp;R161&amp;"")+INDIRECT("H"&amp;MATCH("*"&amp;INDIRECT("B"&amp;R161&amp;"")&amp;"*",INDIRECT("B"&amp;R161+1&amp;":B210"),0)+R161&amp;""),
IF(LEFT(INDIRECT("B"&amp;R161&amp;""),3)="奈良屋",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INDIRECT(""&amp;IF(COLUMN(I181)&lt;=26,CHAR(COLUMN(I181)+64),CHAR(INT((COLUMN(I181)-1)/26)+64)&amp;CHAR(MOD(COLUMN(I181)-1,26)+65))&amp;$R161&amp;""),"")</f>
        <v/>
      </c>
      <c r="Y161" s="51" t="str" cm="1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18"/>
        <v/>
      </c>
      <c r="AA161" s="51" t="str">
        <f t="shared" ca="1" si="19"/>
        <v/>
      </c>
      <c r="AB161" s="51" t="str" cm="1">
        <f t="array" aca="1" ref="AB161" ca="1">IF($R161&lt;&gt;"",
IF(COUNTIF(INDIRECT("B"&amp;R161&amp;""),"*雙葉*"),
INDIRECT("M"&amp;R161&amp;"")+INDIRECT("M"&amp;MATCH("雙葉'",INDIRECT("B"&amp;R161+1&amp;":B210"),0)+R161&amp;""),
IF(LEFT(INDIRECT("B"&amp;R161&amp;""),2)="博多",
INDIRECT("M"&amp;R161&amp;"")+INDIRECT("M"&amp;MATCH("*"&amp;INDIRECT("B"&amp;R161&amp;"")&amp;"*",INDIRECT("B"&amp;R161+1&amp;":B210"),0)+R161&amp;""),
IF(LEFT(INDIRECT("B"&amp;R161&amp;""),3)="奈良屋",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 x14ac:dyDescent="0.45">
      <c r="A162" s="203">
        <f t="shared" si="25"/>
        <v>49</v>
      </c>
      <c r="B162" s="202" t="str">
        <f t="shared" ca="1" si="20"/>
        <v/>
      </c>
      <c r="C162" s="202" t="str">
        <f>IF(OR(クライアント抽出!D92&lt;&gt;"",クライアント抽出!G92&lt;&gt;""),クライアント抽出!A92,"")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IF(COUNTIF(D162,"*学食*"),"キャラ弁（学食）",
IF(COUNTIF(D162,"*赤*"),"赤",
IF(COUNTIF(D162,"*キャラ弁当*"),"キャラ弁当",D162))),注文弁当の抽出!$E$1:$F$15,2,FALSE),"")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 cm="1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26"/>
        <v>0</v>
      </c>
      <c r="P162" s="202">
        <f t="shared" si="22"/>
        <v>0</v>
      </c>
      <c r="Q162" s="202" t="b">
        <f t="shared" si="24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>
        <f t="array" aca="1" ref="W162" ca="1">IF($R162&lt;&gt;"",
IF(COUNTIF(INDIRECT("B"&amp;R162&amp;""),"*雙葉*"),
INDIRECT("H"&amp;R162&amp;"")+INDIRECT("H"&amp;MATCH("雙葉'",INDIRECT("B"&amp;R162+1&amp;":B210"),0)+R162&amp;""),
IF(LEFT(INDIRECT("B"&amp;R162&amp;""),2)="博多",
INDIRECT("H"&amp;R162&amp;"")+INDIRECT("H"&amp;MATCH("*"&amp;INDIRECT("B"&amp;R162&amp;"")&amp;"*",INDIRECT("B"&amp;R162+1&amp;":B210"),0)+R162&amp;""),
IF(LEFT(INDIRECT("B"&amp;R162&amp;""),3)="奈良屋",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INDIRECT(""&amp;IF(COLUMN(I182)&lt;=26,CHAR(COLUMN(I182)+64),CHAR(INT((COLUMN(I182)-1)/26)+64)&amp;CHAR(MOD(COLUMN(I182)-1,26)+65))&amp;$R162&amp;""),"")</f>
        <v/>
      </c>
      <c r="Y162" s="51" t="str" cm="1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18"/>
        <v/>
      </c>
      <c r="AA162" s="51" t="str">
        <f t="shared" ca="1" si="19"/>
        <v/>
      </c>
      <c r="AB162" s="51" t="str" cm="1">
        <f t="array" aca="1" ref="AB162" ca="1">IF($R162&lt;&gt;"",
IF(COUNTIF(INDIRECT("B"&amp;R162&amp;""),"*雙葉*"),
INDIRECT("M"&amp;R162&amp;"")+INDIRECT("M"&amp;MATCH("雙葉'",INDIRECT("B"&amp;R162+1&amp;":B210"),0)+R162&amp;""),
IF(LEFT(INDIRECT("B"&amp;R162&amp;""),2)="博多",
INDIRECT("M"&amp;R162&amp;"")+INDIRECT("M"&amp;MATCH("*"&amp;INDIRECT("B"&amp;R162&amp;"")&amp;"*",INDIRECT("B"&amp;R162+1&amp;":B210"),0)+R162&amp;""),
IF(LEFT(INDIRECT("B"&amp;R162&amp;""),3)="奈良屋",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 x14ac:dyDescent="0.45">
      <c r="A163" s="203">
        <f t="shared" si="25"/>
        <v>51</v>
      </c>
      <c r="B163" s="202" t="str">
        <f t="shared" ca="1" si="20"/>
        <v/>
      </c>
      <c r="C163" s="202" t="str">
        <f>IF(OR(クライアント抽出!D93&lt;&gt;"",クライアント抽出!G93&lt;&gt;""),クライアント抽出!A93,"")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IF(COUNTIF(D163,"*学食*"),"キャラ弁（学食）",
IF(COUNTIF(D163,"*赤*"),"赤",
IF(COUNTIF(D163,"*キャラ弁当*"),"キャラ弁当",D163))),注文弁当の抽出!$E$1:$F$15,2,FALSE),"")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 cm="1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26"/>
        <v>0</v>
      </c>
      <c r="P163" s="202">
        <f t="shared" si="22"/>
        <v>0</v>
      </c>
      <c r="Q163" s="202" t="b">
        <f t="shared" si="24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>
        <f t="array" aca="1" ref="W163" ca="1">IF($R163&lt;&gt;"",
IF(COUNTIF(INDIRECT("B"&amp;R163&amp;""),"*雙葉*"),
INDIRECT("H"&amp;R163&amp;"")+INDIRECT("H"&amp;MATCH("雙葉'",INDIRECT("B"&amp;R163+1&amp;":B210"),0)+R163&amp;""),
IF(LEFT(INDIRECT("B"&amp;R163&amp;""),2)="博多",
INDIRECT("H"&amp;R163&amp;"")+INDIRECT("H"&amp;MATCH("*"&amp;INDIRECT("B"&amp;R163&amp;"")&amp;"*",INDIRECT("B"&amp;R163+1&amp;":B210"),0)+R163&amp;""),
IF(LEFT(INDIRECT("B"&amp;R163&amp;""),3)="奈良屋",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INDIRECT(""&amp;IF(COLUMN(I183)&lt;=26,CHAR(COLUMN(I183)+64),CHAR(INT((COLUMN(I183)-1)/26)+64)&amp;CHAR(MOD(COLUMN(I183)-1,26)+65))&amp;$R163&amp;""),"")</f>
        <v/>
      </c>
      <c r="Y163" s="51" t="str" cm="1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18"/>
        <v/>
      </c>
      <c r="AA163" s="51" t="str">
        <f t="shared" ca="1" si="19"/>
        <v/>
      </c>
      <c r="AB163" s="51" t="str" cm="1">
        <f t="array" aca="1" ref="AB163" ca="1">IF($R163&lt;&gt;"",
IF(COUNTIF(INDIRECT("B"&amp;R163&amp;""),"*雙葉*"),
INDIRECT("M"&amp;R163&amp;"")+INDIRECT("M"&amp;MATCH("雙葉'",INDIRECT("B"&amp;R163+1&amp;":B210"),0)+R163&amp;""),
IF(LEFT(INDIRECT("B"&amp;R163&amp;""),2)="博多",
INDIRECT("M"&amp;R163&amp;"")+INDIRECT("M"&amp;MATCH("*"&amp;INDIRECT("B"&amp;R163&amp;"")&amp;"*",INDIRECT("B"&amp;R163+1&amp;":B210"),0)+R163&amp;""),
IF(LEFT(INDIRECT("B"&amp;R163&amp;""),3)="奈良屋",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 x14ac:dyDescent="0.45">
      <c r="A164" s="203">
        <f t="shared" si="25"/>
        <v>53</v>
      </c>
      <c r="B164" s="202" t="str">
        <f t="shared" ca="1" si="20"/>
        <v/>
      </c>
      <c r="C164" s="202" t="str">
        <f>IF(OR(クライアント抽出!D94&lt;&gt;"",クライアント抽出!G94&lt;&gt;""),クライアント抽出!A94,"")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IF(COUNTIF(D164,"*学食*"),"キャラ弁（学食）",
IF(COUNTIF(D164,"*赤*"),"赤",
IF(COUNTIF(D164,"*キャラ弁当*"),"キャラ弁当",D164))),注文弁当の抽出!$E$1:$F$15,2,FALSE),"")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 cm="1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26"/>
        <v>0</v>
      </c>
      <c r="P164" s="202">
        <f t="shared" si="22"/>
        <v>0</v>
      </c>
      <c r="Q164" s="202" t="b">
        <f t="shared" si="24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>
        <f t="array" aca="1" ref="W164" ca="1">IF($R164&lt;&gt;"",
IF(COUNTIF(INDIRECT("B"&amp;R164&amp;""),"*雙葉*"),
INDIRECT("H"&amp;R164&amp;"")+INDIRECT("H"&amp;MATCH("雙葉'",INDIRECT("B"&amp;R164+1&amp;":B210"),0)+R164&amp;""),
IF(LEFT(INDIRECT("B"&amp;R164&amp;""),2)="博多",
INDIRECT("H"&amp;R164&amp;"")+INDIRECT("H"&amp;MATCH("*"&amp;INDIRECT("B"&amp;R164&amp;"")&amp;"*",INDIRECT("B"&amp;R164+1&amp;":B210"),0)+R164&amp;""),
IF(LEFT(INDIRECT("B"&amp;R164&amp;""),3)="奈良屋",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INDIRECT(""&amp;IF(COLUMN(I184)&lt;=26,CHAR(COLUMN(I184)+64),CHAR(INT((COLUMN(I184)-1)/26)+64)&amp;CHAR(MOD(COLUMN(I184)-1,26)+65))&amp;$R164&amp;""),"")</f>
        <v/>
      </c>
      <c r="Y164" s="51" t="str" cm="1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18"/>
        <v/>
      </c>
      <c r="AA164" s="51" t="str">
        <f t="shared" ca="1" si="19"/>
        <v/>
      </c>
      <c r="AB164" s="51" t="str" cm="1">
        <f t="array" aca="1" ref="AB164" ca="1">IF($R164&lt;&gt;"",
IF(COUNTIF(INDIRECT("B"&amp;R164&amp;""),"*雙葉*"),
INDIRECT("M"&amp;R164&amp;"")+INDIRECT("M"&amp;MATCH("雙葉'",INDIRECT("B"&amp;R164+1&amp;":B210"),0)+R164&amp;""),
IF(LEFT(INDIRECT("B"&amp;R164&amp;""),2)="博多",
INDIRECT("M"&amp;R164&amp;"")+INDIRECT("M"&amp;MATCH("*"&amp;INDIRECT("B"&amp;R164&amp;"")&amp;"*",INDIRECT("B"&amp;R164+1&amp;":B210"),0)+R164&amp;""),
IF(LEFT(INDIRECT("B"&amp;R164&amp;""),3)="奈良屋",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 x14ac:dyDescent="0.45">
      <c r="A165" s="203">
        <f t="shared" si="25"/>
        <v>55</v>
      </c>
      <c r="B165" s="202" t="str">
        <f t="shared" ca="1" si="20"/>
        <v/>
      </c>
      <c r="C165" s="202" t="str">
        <f>IF(OR(クライアント抽出!D95&lt;&gt;"",クライアント抽出!G95&lt;&gt;""),クライアント抽出!A95,"")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IF(COUNTIF(D165,"*学食*"),"キャラ弁（学食）",
IF(COUNTIF(D165,"*赤*"),"赤",
IF(COUNTIF(D165,"*キャラ弁当*"),"キャラ弁当",D165))),注文弁当の抽出!$E$1:$F$15,2,FALSE),"")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 cm="1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26"/>
        <v>0</v>
      </c>
      <c r="P165" s="202">
        <f t="shared" si="22"/>
        <v>0</v>
      </c>
      <c r="Q165" s="202" t="b">
        <f t="shared" si="24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>
        <f t="array" aca="1" ref="W165" ca="1">IF($R165&lt;&gt;"",
IF(COUNTIF(INDIRECT("B"&amp;R165&amp;""),"*雙葉*"),
INDIRECT("H"&amp;R165&amp;"")+INDIRECT("H"&amp;MATCH("雙葉'",INDIRECT("B"&amp;R165+1&amp;":B210"),0)+R165&amp;""),
IF(LEFT(INDIRECT("B"&amp;R165&amp;""),2)="博多",
INDIRECT("H"&amp;R165&amp;"")+INDIRECT("H"&amp;MATCH("*"&amp;INDIRECT("B"&amp;R165&amp;"")&amp;"*",INDIRECT("B"&amp;R165+1&amp;":B210"),0)+R165&amp;""),
IF(LEFT(INDIRECT("B"&amp;R165&amp;""),3)="奈良屋",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INDIRECT(""&amp;IF(COLUMN(I185)&lt;=26,CHAR(COLUMN(I185)+64),CHAR(INT((COLUMN(I185)-1)/26)+64)&amp;CHAR(MOD(COLUMN(I185)-1,26)+65))&amp;$R165&amp;""),"")</f>
        <v/>
      </c>
      <c r="Y165" s="51" t="str" cm="1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18"/>
        <v/>
      </c>
      <c r="AA165" s="51" t="str">
        <f t="shared" ca="1" si="19"/>
        <v/>
      </c>
      <c r="AB165" s="51" t="str" cm="1">
        <f t="array" aca="1" ref="AB165" ca="1">IF($R165&lt;&gt;"",
IF(COUNTIF(INDIRECT("B"&amp;R165&amp;""),"*雙葉*"),
INDIRECT("M"&amp;R165&amp;"")+INDIRECT("M"&amp;MATCH("雙葉'",INDIRECT("B"&amp;R165+1&amp;":B210"),0)+R165&amp;""),
IF(LEFT(INDIRECT("B"&amp;R165&amp;""),2)="博多",
INDIRECT("M"&amp;R165&amp;"")+INDIRECT("M"&amp;MATCH("*"&amp;INDIRECT("B"&amp;R165&amp;"")&amp;"*",INDIRECT("B"&amp;R165+1&amp;":B210"),0)+R165&amp;""),
IF(LEFT(INDIRECT("B"&amp;R165&amp;""),3)="奈良屋",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 x14ac:dyDescent="0.45">
      <c r="A166" s="203">
        <f t="shared" si="25"/>
        <v>57</v>
      </c>
      <c r="B166" s="202" t="str">
        <f t="shared" ca="1" si="20"/>
        <v/>
      </c>
      <c r="C166" s="202" t="str">
        <f>IF(OR(クライアント抽出!D96&lt;&gt;"",クライアント抽出!G96&lt;&gt;""),クライアント抽出!A96,"")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IF(COUNTIF(D166,"*学食*"),"キャラ弁（学食）",
IF(COUNTIF(D166,"*赤*"),"赤",
IF(COUNTIF(D166,"*キャラ弁当*"),"キャラ弁当",D166))),注文弁当の抽出!$E$1:$F$15,2,FALSE),"")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 cm="1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26"/>
        <v>0</v>
      </c>
      <c r="P166" s="202">
        <f t="shared" si="22"/>
        <v>0</v>
      </c>
      <c r="Q166" s="202" t="b">
        <f t="shared" si="24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>
        <f t="array" aca="1" ref="W166" ca="1">IF($R166&lt;&gt;"",
IF(COUNTIF(INDIRECT("B"&amp;R166&amp;""),"*雙葉*"),
INDIRECT("H"&amp;R166&amp;"")+INDIRECT("H"&amp;MATCH("雙葉'",INDIRECT("B"&amp;R166+1&amp;":B210"),0)+R166&amp;""),
IF(LEFT(INDIRECT("B"&amp;R166&amp;""),2)="博多",
INDIRECT("H"&amp;R166&amp;"")+INDIRECT("H"&amp;MATCH("*"&amp;INDIRECT("B"&amp;R166&amp;"")&amp;"*",INDIRECT("B"&amp;R166+1&amp;":B210"),0)+R166&amp;""),
IF(LEFT(INDIRECT("B"&amp;R166&amp;""),3)="奈良屋",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INDIRECT(""&amp;IF(COLUMN(I186)&lt;=26,CHAR(COLUMN(I186)+64),CHAR(INT((COLUMN(I186)-1)/26)+64)&amp;CHAR(MOD(COLUMN(I186)-1,26)+65))&amp;$R166&amp;""),"")</f>
        <v/>
      </c>
      <c r="Y166" s="51" t="str" cm="1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18"/>
        <v/>
      </c>
      <c r="AA166" s="51" t="str">
        <f t="shared" ca="1" si="19"/>
        <v/>
      </c>
      <c r="AB166" s="51" t="str" cm="1">
        <f t="array" aca="1" ref="AB166" ca="1">IF($R166&lt;&gt;"",
IF(COUNTIF(INDIRECT("B"&amp;R166&amp;""),"*雙葉*"),
INDIRECT("M"&amp;R166&amp;"")+INDIRECT("M"&amp;MATCH("雙葉'",INDIRECT("B"&amp;R166+1&amp;":B210"),0)+R166&amp;""),
IF(LEFT(INDIRECT("B"&amp;R166&amp;""),2)="博多",
INDIRECT("M"&amp;R166&amp;"")+INDIRECT("M"&amp;MATCH("*"&amp;INDIRECT("B"&amp;R166&amp;"")&amp;"*",INDIRECT("B"&amp;R166+1&amp;":B210"),0)+R166&amp;""),
IF(LEFT(INDIRECT("B"&amp;R166&amp;""),3)="奈良屋",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 x14ac:dyDescent="0.45">
      <c r="A167" s="203">
        <f t="shared" si="25"/>
        <v>59</v>
      </c>
      <c r="B167" s="202" t="str">
        <f t="shared" ca="1" si="20"/>
        <v/>
      </c>
      <c r="C167" s="202" t="str">
        <f>IF(OR(クライアント抽出!D97&lt;&gt;"",クライアント抽出!G97&lt;&gt;""),クライアント抽出!A97,"")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IF(COUNTIF(D167,"*学食*"),"キャラ弁（学食）",
IF(COUNTIF(D167,"*赤*"),"赤",
IF(COUNTIF(D167,"*キャラ弁当*"),"キャラ弁当",D167))),注文弁当の抽出!$E$1:$F$15,2,FALSE),"")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 cm="1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ca="1">O27</f>
        <v>0</v>
      </c>
      <c r="P167" s="202">
        <f t="shared" si="22"/>
        <v>0</v>
      </c>
      <c r="Q167" s="202" t="b">
        <f t="shared" si="24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>
        <f t="array" aca="1" ref="W167" ca="1">IF($R167&lt;&gt;"",
IF(COUNTIF(INDIRECT("B"&amp;R167&amp;""),"*雙葉*"),
INDIRECT("H"&amp;R167&amp;"")+INDIRECT("H"&amp;MATCH("雙葉'",INDIRECT("B"&amp;R167+1&amp;":B210"),0)+R167&amp;""),
IF(LEFT(INDIRECT("B"&amp;R167&amp;""),2)="博多",
INDIRECT("H"&amp;R167&amp;"")+INDIRECT("H"&amp;MATCH("*"&amp;INDIRECT("B"&amp;R167&amp;"")&amp;"*",INDIRECT("B"&amp;R167+1&amp;":B210"),0)+R167&amp;""),
IF(LEFT(INDIRECT("B"&amp;R167&amp;""),3)="奈良屋",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INDIRECT(""&amp;IF(COLUMN(I187)&lt;=26,CHAR(COLUMN(I187)+64),CHAR(INT((COLUMN(I187)-1)/26)+64)&amp;CHAR(MOD(COLUMN(I187)-1,26)+65))&amp;$R167&amp;""),"")</f>
        <v/>
      </c>
      <c r="Y167" s="51" t="str" cm="1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18"/>
        <v/>
      </c>
      <c r="AA167" s="51" t="str">
        <f t="shared" ca="1" si="19"/>
        <v/>
      </c>
      <c r="AB167" s="51" t="str" cm="1">
        <f t="array" aca="1" ref="AB167" ca="1">IF($R167&lt;&gt;"",
IF(COUNTIF(INDIRECT("B"&amp;R167&amp;""),"*雙葉*"),
INDIRECT("M"&amp;R167&amp;"")+INDIRECT("M"&amp;MATCH("雙葉'",INDIRECT("B"&amp;R167+1&amp;":B210"),0)+R167&amp;""),
IF(LEFT(INDIRECT("B"&amp;R167&amp;""),2)="博多",
INDIRECT("M"&amp;R167&amp;"")+INDIRECT("M"&amp;MATCH("*"&amp;INDIRECT("B"&amp;R167&amp;"")&amp;"*",INDIRECT("B"&amp;R167+1&amp;":B210"),0)+R167&amp;""),
IF(LEFT(INDIRECT("B"&amp;R167&amp;""),3)="奈良屋",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 x14ac:dyDescent="0.45">
      <c r="A168" s="203">
        <f t="shared" si="25"/>
        <v>61</v>
      </c>
      <c r="B168" s="202" t="str">
        <f t="shared" ca="1" si="20"/>
        <v/>
      </c>
      <c r="C168" s="202" t="str">
        <f>IF(OR(クライアント抽出!D98&lt;&gt;"",クライアント抽出!G98&lt;&gt;""),クライアント抽出!A98,"")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IF(COUNTIF(D168,"*学食*"),"キャラ弁（学食）",
IF(COUNTIF(D168,"*赤*"),"赤",
IF(COUNTIF(D168,"*キャラ弁当*"),"キャラ弁当",D168))),注文弁当の抽出!$E$1:$F$15,2,FALSE),"")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 cm="1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26"/>
        <v>0</v>
      </c>
      <c r="P168" s="202">
        <f t="shared" si="22"/>
        <v>0</v>
      </c>
      <c r="Q168" s="202" t="b">
        <f t="shared" si="24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>
        <f t="array" aca="1" ref="W168" ca="1">IF($R168&lt;&gt;"",
IF(COUNTIF(INDIRECT("B"&amp;R168&amp;""),"*雙葉*"),
INDIRECT("H"&amp;R168&amp;"")+INDIRECT("H"&amp;MATCH("雙葉'",INDIRECT("B"&amp;R168+1&amp;":B210"),0)+R168&amp;""),
IF(LEFT(INDIRECT("B"&amp;R168&amp;""),2)="博多",
INDIRECT("H"&amp;R168&amp;"")+INDIRECT("H"&amp;MATCH("*"&amp;INDIRECT("B"&amp;R168&amp;"")&amp;"*",INDIRECT("B"&amp;R168+1&amp;":B210"),0)+R168&amp;""),
IF(LEFT(INDIRECT("B"&amp;R168&amp;""),3)="奈良屋",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INDIRECT(""&amp;IF(COLUMN(I188)&lt;=26,CHAR(COLUMN(I188)+64),CHAR(INT((COLUMN(I188)-1)/26)+64)&amp;CHAR(MOD(COLUMN(I188)-1,26)+65))&amp;$R168&amp;""),"")</f>
        <v/>
      </c>
      <c r="Y168" s="51" t="str" cm="1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18"/>
        <v/>
      </c>
      <c r="AA168" s="51" t="str">
        <f t="shared" ca="1" si="19"/>
        <v/>
      </c>
      <c r="AB168" s="51" t="str" cm="1">
        <f t="array" aca="1" ref="AB168" ca="1">IF($R168&lt;&gt;"",
IF(COUNTIF(INDIRECT("B"&amp;R168&amp;""),"*雙葉*"),
INDIRECT("M"&amp;R168&amp;"")+INDIRECT("M"&amp;MATCH("雙葉'",INDIRECT("B"&amp;R168+1&amp;":B210"),0)+R168&amp;""),
IF(LEFT(INDIRECT("B"&amp;R168&amp;""),2)="博多",
INDIRECT("M"&amp;R168&amp;"")+INDIRECT("M"&amp;MATCH("*"&amp;INDIRECT("B"&amp;R168&amp;"")&amp;"*",INDIRECT("B"&amp;R168+1&amp;":B210"),0)+R168&amp;""),
IF(LEFT(INDIRECT("B"&amp;R168&amp;""),3)="奈良屋",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 x14ac:dyDescent="0.45">
      <c r="A169" s="203">
        <f t="shared" si="25"/>
        <v>63</v>
      </c>
      <c r="B169" s="202" t="str">
        <f t="shared" ca="1" si="20"/>
        <v/>
      </c>
      <c r="C169" s="202" t="str">
        <f>IF(OR(クライアント抽出!D99&lt;&gt;"",クライアント抽出!G99&lt;&gt;""),クライアント抽出!A99,"")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IF(COUNTIF(D169,"*学食*"),"キャラ弁（学食）",
IF(COUNTIF(D169,"*赤*"),"赤",
IF(COUNTIF(D169,"*キャラ弁当*"),"キャラ弁当",D169))),注文弁当の抽出!$E$1:$F$15,2,FALSE),"")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 cm="1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26"/>
        <v>0</v>
      </c>
      <c r="P169" s="202">
        <f t="shared" si="22"/>
        <v>0</v>
      </c>
      <c r="Q169" s="202" t="b">
        <f t="shared" si="24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>
        <f t="array" aca="1" ref="W169" ca="1">IF($R169&lt;&gt;"",
IF(COUNTIF(INDIRECT("B"&amp;R169&amp;""),"*雙葉*"),
INDIRECT("H"&amp;R169&amp;"")+INDIRECT("H"&amp;MATCH("雙葉'",INDIRECT("B"&amp;R169+1&amp;":B210"),0)+R169&amp;""),
IF(LEFT(INDIRECT("B"&amp;R169&amp;""),2)="博多",
INDIRECT("H"&amp;R169&amp;"")+INDIRECT("H"&amp;MATCH("*"&amp;INDIRECT("B"&amp;R169&amp;"")&amp;"*",INDIRECT("B"&amp;R169+1&amp;":B210"),0)+R169&amp;""),
IF(LEFT(INDIRECT("B"&amp;R169&amp;""),3)="奈良屋",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INDIRECT(""&amp;IF(COLUMN(I189)&lt;=26,CHAR(COLUMN(I189)+64),CHAR(INT((COLUMN(I189)-1)/26)+64)&amp;CHAR(MOD(COLUMN(I189)-1,26)+65))&amp;$R169&amp;""),"")</f>
        <v/>
      </c>
      <c r="Y169" s="51" t="str" cm="1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18"/>
        <v/>
      </c>
      <c r="AA169" s="51" t="str">
        <f t="shared" ca="1" si="19"/>
        <v/>
      </c>
      <c r="AB169" s="51" t="str" cm="1">
        <f t="array" aca="1" ref="AB169" ca="1">IF($R169&lt;&gt;"",
IF(COUNTIF(INDIRECT("B"&amp;R169&amp;""),"*雙葉*"),
INDIRECT("M"&amp;R169&amp;"")+INDIRECT("M"&amp;MATCH("雙葉'",INDIRECT("B"&amp;R169+1&amp;":B210"),0)+R169&amp;""),
IF(LEFT(INDIRECT("B"&amp;R169&amp;""),2)="博多",
INDIRECT("M"&amp;R169&amp;"")+INDIRECT("M"&amp;MATCH("*"&amp;INDIRECT("B"&amp;R169&amp;"")&amp;"*",INDIRECT("B"&amp;R169+1&amp;":B210"),0)+R169&amp;""),
IF(LEFT(INDIRECT("B"&amp;R169&amp;""),3)="奈良屋",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 x14ac:dyDescent="0.45">
      <c r="A170" s="203">
        <f t="shared" si="25"/>
        <v>65</v>
      </c>
      <c r="B170" s="202" t="str">
        <f t="shared" ca="1" si="20"/>
        <v/>
      </c>
      <c r="C170" s="202" t="str">
        <f>IF(OR(クライアント抽出!D100&lt;&gt;"",クライアント抽出!G100&lt;&gt;""),クライアント抽出!A100,"")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IF(COUNTIF(D170,"*学食*"),"キャラ弁（学食）",
IF(COUNTIF(D170,"*赤*"),"赤",
IF(COUNTIF(D170,"*キャラ弁当*"),"キャラ弁当",D170))),注文弁当の抽出!$E$1:$F$15,2,FALSE),"")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 cm="1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26"/>
        <v>0</v>
      </c>
      <c r="P170" s="202">
        <f t="shared" si="22"/>
        <v>0</v>
      </c>
      <c r="Q170" s="202" t="b">
        <f t="shared" si="24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>
        <f t="array" aca="1" ref="W170" ca="1">IF($R170&lt;&gt;"",
IF(COUNTIF(INDIRECT("B"&amp;R170&amp;""),"*雙葉*"),
INDIRECT("H"&amp;R170&amp;"")+INDIRECT("H"&amp;MATCH("雙葉'",INDIRECT("B"&amp;R170+1&amp;":B210"),0)+R170&amp;""),
IF(LEFT(INDIRECT("B"&amp;R170&amp;""),2)="博多",
INDIRECT("H"&amp;R170&amp;"")+INDIRECT("H"&amp;MATCH("*"&amp;INDIRECT("B"&amp;R170&amp;"")&amp;"*",INDIRECT("B"&amp;R170+1&amp;":B210"),0)+R170&amp;""),
IF(LEFT(INDIRECT("B"&amp;R170&amp;""),3)="奈良屋",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INDIRECT(""&amp;IF(COLUMN(I190)&lt;=26,CHAR(COLUMN(I190)+64),CHAR(INT((COLUMN(I190)-1)/26)+64)&amp;CHAR(MOD(COLUMN(I190)-1,26)+65))&amp;$R170&amp;""),"")</f>
        <v/>
      </c>
      <c r="Y170" s="51" t="str" cm="1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18"/>
        <v/>
      </c>
      <c r="AA170" s="51" t="str">
        <f t="shared" ca="1" si="19"/>
        <v/>
      </c>
      <c r="AB170" s="51" t="str" cm="1">
        <f t="array" aca="1" ref="AB170" ca="1">IF($R170&lt;&gt;"",
IF(COUNTIF(INDIRECT("B"&amp;R170&amp;""),"*雙葉*"),
INDIRECT("M"&amp;R170&amp;"")+INDIRECT("M"&amp;MATCH("雙葉'",INDIRECT("B"&amp;R170+1&amp;":B210"),0)+R170&amp;""),
IF(LEFT(INDIRECT("B"&amp;R170&amp;""),2)="博多",
INDIRECT("M"&amp;R170&amp;"")+INDIRECT("M"&amp;MATCH("*"&amp;INDIRECT("B"&amp;R170&amp;"")&amp;"*",INDIRECT("B"&amp;R170+1&amp;":B210"),0)+R170&amp;""),
IF(LEFT(INDIRECT("B"&amp;R170&amp;""),3)="奈良屋",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 x14ac:dyDescent="0.45">
      <c r="A171" s="203">
        <f t="shared" si="25"/>
        <v>67</v>
      </c>
      <c r="B171" s="202" t="str">
        <f t="shared" ca="1" si="20"/>
        <v/>
      </c>
      <c r="C171" s="202" t="str">
        <f>IF(OR(クライアント抽出!D101&lt;&gt;"",クライアント抽出!G101&lt;&gt;""),クライアント抽出!A101,"")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IF(COUNTIF(D171,"*学食*"),"キャラ弁（学食）",
IF(COUNTIF(D171,"*赤*"),"赤",
IF(COUNTIF(D171,"*キャラ弁当*"),"キャラ弁当",D171))),注文弁当の抽出!$E$1:$F$15,2,FALSE),"")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 cm="1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26"/>
        <v>0</v>
      </c>
      <c r="P171" s="202">
        <f t="shared" si="22"/>
        <v>0</v>
      </c>
      <c r="Q171" s="202" t="b">
        <f t="shared" si="24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>
        <f t="array" aca="1" ref="W171" ca="1">IF($R171&lt;&gt;"",
IF(COUNTIF(INDIRECT("B"&amp;R171&amp;""),"*雙葉*"),
INDIRECT("H"&amp;R171&amp;"")+INDIRECT("H"&amp;MATCH("雙葉'",INDIRECT("B"&amp;R171+1&amp;":B210"),0)+R171&amp;""),
IF(LEFT(INDIRECT("B"&amp;R171&amp;""),2)="博多",
INDIRECT("H"&amp;R171&amp;"")+INDIRECT("H"&amp;MATCH("*"&amp;INDIRECT("B"&amp;R171&amp;"")&amp;"*",INDIRECT("B"&amp;R171+1&amp;":B210"),0)+R171&amp;""),
IF(LEFT(INDIRECT("B"&amp;R171&amp;""),3)="奈良屋",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INDIRECT(""&amp;IF(COLUMN(I191)&lt;=26,CHAR(COLUMN(I191)+64),CHAR(INT((COLUMN(I191)-1)/26)+64)&amp;CHAR(MOD(COLUMN(I191)-1,26)+65))&amp;$R171&amp;""),"")</f>
        <v/>
      </c>
      <c r="Y171" s="51" t="str" cm="1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18"/>
        <v/>
      </c>
      <c r="AA171" s="51" t="str">
        <f t="shared" ca="1" si="19"/>
        <v/>
      </c>
      <c r="AB171" s="51" t="str" cm="1">
        <f t="array" aca="1" ref="AB171" ca="1">IF($R171&lt;&gt;"",
IF(COUNTIF(INDIRECT("B"&amp;R171&amp;""),"*雙葉*"),
INDIRECT("M"&amp;R171&amp;"")+INDIRECT("M"&amp;MATCH("雙葉'",INDIRECT("B"&amp;R171+1&amp;":B210"),0)+R171&amp;""),
IF(LEFT(INDIRECT("B"&amp;R171&amp;""),2)="博多",
INDIRECT("M"&amp;R171&amp;"")+INDIRECT("M"&amp;MATCH("*"&amp;INDIRECT("B"&amp;R171&amp;"")&amp;"*",INDIRECT("B"&amp;R171+1&amp;":B210"),0)+R171&amp;""),
IF(LEFT(INDIRECT("B"&amp;R171&amp;""),3)="奈良屋",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 x14ac:dyDescent="0.45">
      <c r="A172" s="203">
        <f t="shared" si="25"/>
        <v>69</v>
      </c>
      <c r="B172" s="202" t="str">
        <f t="shared" ca="1" si="20"/>
        <v/>
      </c>
      <c r="C172" s="202" t="str">
        <f>IF(OR(クライアント抽出!D102&lt;&gt;"",クライアント抽出!G102&lt;&gt;""),クライアント抽出!A102,"")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IF(COUNTIF(D172,"*学食*"),"キャラ弁（学食）",
IF(COUNTIF(D172,"*赤*"),"赤",
IF(COUNTIF(D172,"*キャラ弁当*"),"キャラ弁当",D172))),注文弁当の抽出!$E$1:$F$15,2,FALSE),"")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 cm="1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26"/>
        <v>0</v>
      </c>
      <c r="P172" s="202">
        <f t="shared" si="22"/>
        <v>0</v>
      </c>
      <c r="Q172" s="202" t="b">
        <f t="shared" si="24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>
        <f t="array" aca="1" ref="W172" ca="1">IF($R172&lt;&gt;"",
IF(COUNTIF(INDIRECT("B"&amp;R172&amp;""),"*雙葉*"),
INDIRECT("H"&amp;R172&amp;"")+INDIRECT("H"&amp;MATCH("雙葉'",INDIRECT("B"&amp;R172+1&amp;":B210"),0)+R172&amp;""),
IF(LEFT(INDIRECT("B"&amp;R172&amp;""),2)="博多",
INDIRECT("H"&amp;R172&amp;"")+INDIRECT("H"&amp;MATCH("*"&amp;INDIRECT("B"&amp;R172&amp;"")&amp;"*",INDIRECT("B"&amp;R172+1&amp;":B210"),0)+R172&amp;""),
IF(LEFT(INDIRECT("B"&amp;R172&amp;""),3)="奈良屋",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INDIRECT(""&amp;IF(COLUMN(I192)&lt;=26,CHAR(COLUMN(I192)+64),CHAR(INT((COLUMN(I192)-1)/26)+64)&amp;CHAR(MOD(COLUMN(I192)-1,26)+65))&amp;$R172&amp;""),"")</f>
        <v/>
      </c>
      <c r="Y172" s="51" t="str" cm="1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18"/>
        <v/>
      </c>
      <c r="AA172" s="51" t="str">
        <f t="shared" ca="1" si="19"/>
        <v/>
      </c>
      <c r="AB172" s="51" t="str" cm="1">
        <f t="array" aca="1" ref="AB172" ca="1">IF($R172&lt;&gt;"",
IF(COUNTIF(INDIRECT("B"&amp;R172&amp;""),"*雙葉*"),
INDIRECT("M"&amp;R172&amp;"")+INDIRECT("M"&amp;MATCH("雙葉'",INDIRECT("B"&amp;R172+1&amp;":B210"),0)+R172&amp;""),
IF(LEFT(INDIRECT("B"&amp;R172&amp;""),2)="博多",
INDIRECT("M"&amp;R172&amp;"")+INDIRECT("M"&amp;MATCH("*"&amp;INDIRECT("B"&amp;R172&amp;"")&amp;"*",INDIRECT("B"&amp;R172+1&amp;":B210"),0)+R172&amp;""),
IF(LEFT(INDIRECT("B"&amp;R172&amp;""),3)="奈良屋",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 x14ac:dyDescent="0.45">
      <c r="A173" s="203">
        <f t="shared" si="25"/>
        <v>71</v>
      </c>
      <c r="B173" s="202" t="str">
        <f t="shared" ca="1" si="20"/>
        <v/>
      </c>
      <c r="C173" s="202" t="str">
        <f>IF(OR(クライアント抽出!D103&lt;&gt;"",クライアント抽出!G103&lt;&gt;""),クライアント抽出!A103,"")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IF(COUNTIF(D173,"*学食*"),"キャラ弁（学食）",
IF(COUNTIF(D173,"*赤*"),"赤",
IF(COUNTIF(D173,"*キャラ弁当*"),"キャラ弁当",D173))),注文弁当の抽出!$E$1:$F$15,2,FALSE),"")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 cm="1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ca="1" si="26"/>
        <v>0</v>
      </c>
      <c r="P173" s="202">
        <f t="shared" si="22"/>
        <v>0</v>
      </c>
      <c r="Q173" s="202" t="b">
        <f t="shared" si="24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>
        <f t="array" aca="1" ref="W173" ca="1">IF($R173&lt;&gt;"",
IF(COUNTIF(INDIRECT("B"&amp;R173&amp;""),"*雙葉*"),
INDIRECT("H"&amp;R173&amp;"")+INDIRECT("H"&amp;MATCH("雙葉'",INDIRECT("B"&amp;R173+1&amp;":B210"),0)+R173&amp;""),
IF(LEFT(INDIRECT("B"&amp;R173&amp;""),2)="博多",
INDIRECT("H"&amp;R173&amp;"")+INDIRECT("H"&amp;MATCH("*"&amp;INDIRECT("B"&amp;R173&amp;"")&amp;"*",INDIRECT("B"&amp;R173+1&amp;":B210"),0)+R173&amp;""),
IF(LEFT(INDIRECT("B"&amp;R173&amp;""),3)="奈良屋",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INDIRECT(""&amp;IF(COLUMN(I193)&lt;=26,CHAR(COLUMN(I193)+64),CHAR(INT((COLUMN(I193)-1)/26)+64)&amp;CHAR(MOD(COLUMN(I193)-1,26)+65))&amp;$R173&amp;""),"")</f>
        <v/>
      </c>
      <c r="Y173" s="51" t="str" cm="1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18"/>
        <v/>
      </c>
      <c r="AA173" s="51" t="str">
        <f t="shared" ca="1" si="19"/>
        <v/>
      </c>
      <c r="AB173" s="51" t="str" cm="1">
        <f t="array" aca="1" ref="AB173" ca="1">IF($R173&lt;&gt;"",
IF(COUNTIF(INDIRECT("B"&amp;R173&amp;""),"*雙葉*"),
INDIRECT("M"&amp;R173&amp;"")+INDIRECT("M"&amp;MATCH("雙葉'",INDIRECT("B"&amp;R173+1&amp;":B210"),0)+R173&amp;""),
IF(LEFT(INDIRECT("B"&amp;R173&amp;""),2)="博多",
INDIRECT("M"&amp;R173&amp;"")+INDIRECT("M"&amp;MATCH("*"&amp;INDIRECT("B"&amp;R173&amp;"")&amp;"*",INDIRECT("B"&amp;R173+1&amp;":B210"),0)+R173&amp;""),
IF(LEFT(INDIRECT("B"&amp;R173&amp;""),3)="奈良屋",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 x14ac:dyDescent="0.45">
      <c r="A174" s="203">
        <f t="shared" ref="A174:A210" si="27">A173+2</f>
        <v>73</v>
      </c>
      <c r="B174" s="202" t="str">
        <f t="shared" ca="1" si="20"/>
        <v/>
      </c>
      <c r="C174" s="202" t="str">
        <f>IF(OR(クライアント抽出!D104&lt;&gt;"",クライアント抽出!G104&lt;&gt;""),クライアント抽出!A104,"")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IF(COUNTIF(D174,"*学食*"),"キャラ弁（学食）",
IF(COUNTIF(D174,"*赤*"),"赤",
IF(COUNTIF(D174,"*キャラ弁当*"),"キャラ弁当",D174))),注文弁当の抽出!$E$1:$F$15,2,FALSE),"")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 cm="1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26"/>
        <v>0</v>
      </c>
      <c r="P174" s="202">
        <f t="shared" si="22"/>
        <v>0</v>
      </c>
      <c r="Q174" s="202" t="b">
        <f t="shared" si="24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>
        <f t="array" aca="1" ref="W174" ca="1">IF($R174&lt;&gt;"",
IF(COUNTIF(INDIRECT("B"&amp;R174&amp;""),"*雙葉*"),
INDIRECT("H"&amp;R174&amp;"")+INDIRECT("H"&amp;MATCH("雙葉'",INDIRECT("B"&amp;R174+1&amp;":B210"),0)+R174&amp;""),
IF(LEFT(INDIRECT("B"&amp;R174&amp;""),2)="博多",
INDIRECT("H"&amp;R174&amp;"")+INDIRECT("H"&amp;MATCH("*"&amp;INDIRECT("B"&amp;R174&amp;"")&amp;"*",INDIRECT("B"&amp;R174+1&amp;":B210"),0)+R174&amp;""),
IF(LEFT(INDIRECT("B"&amp;R174&amp;""),3)="奈良屋",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INDIRECT(""&amp;IF(COLUMN(I194)&lt;=26,CHAR(COLUMN(I194)+64),CHAR(INT((COLUMN(I194)-1)/26)+64)&amp;CHAR(MOD(COLUMN(I194)-1,26)+65))&amp;$R174&amp;""),"")</f>
        <v/>
      </c>
      <c r="Y174" s="51" t="str" cm="1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18"/>
        <v/>
      </c>
      <c r="AA174" s="51" t="str">
        <f t="shared" ca="1" si="19"/>
        <v/>
      </c>
      <c r="AB174" s="51" t="str" cm="1">
        <f t="array" aca="1" ref="AB174" ca="1">IF($R174&lt;&gt;"",
IF(COUNTIF(INDIRECT("B"&amp;R174&amp;""),"*雙葉*"),
INDIRECT("M"&amp;R174&amp;"")+INDIRECT("M"&amp;MATCH("雙葉'",INDIRECT("B"&amp;R174+1&amp;":B210"),0)+R174&amp;""),
IF(LEFT(INDIRECT("B"&amp;R174&amp;""),2)="博多",
INDIRECT("M"&amp;R174&amp;"")+INDIRECT("M"&amp;MATCH("*"&amp;INDIRECT("B"&amp;R174&amp;"")&amp;"*",INDIRECT("B"&amp;R174+1&amp;":B210"),0)+R174&amp;""),
IF(LEFT(INDIRECT("B"&amp;R174&amp;""),3)="奈良屋",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 x14ac:dyDescent="0.45">
      <c r="A175" s="203">
        <f t="shared" si="27"/>
        <v>75</v>
      </c>
      <c r="B175" s="202" t="str">
        <f t="shared" ca="1" si="20"/>
        <v/>
      </c>
      <c r="C175" s="202" t="str">
        <f>IF(OR(クライアント抽出!D105&lt;&gt;"",クライアント抽出!G105&lt;&gt;""),クライアント抽出!A105,"")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IF(COUNTIF(D175,"*学食*"),"キャラ弁（学食）",
IF(COUNTIF(D175,"*赤*"),"赤",
IF(COUNTIF(D175,"*キャラ弁当*"),"キャラ弁当",D175))),注文弁当の抽出!$E$1:$F$15,2,FALSE),"")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 cm="1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26"/>
        <v>0</v>
      </c>
      <c r="P175" s="202">
        <f t="shared" si="22"/>
        <v>0</v>
      </c>
      <c r="Q175" s="202" t="b">
        <f t="shared" si="24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>
        <f t="array" aca="1" ref="W175" ca="1">IF($R175&lt;&gt;"",
IF(COUNTIF(INDIRECT("B"&amp;R175&amp;""),"*雙葉*"),
INDIRECT("H"&amp;R175&amp;"")+INDIRECT("H"&amp;MATCH("雙葉'",INDIRECT("B"&amp;R175+1&amp;":B210"),0)+R175&amp;""),
IF(LEFT(INDIRECT("B"&amp;R175&amp;""),2)="博多",
INDIRECT("H"&amp;R175&amp;"")+INDIRECT("H"&amp;MATCH("*"&amp;INDIRECT("B"&amp;R175&amp;"")&amp;"*",INDIRECT("B"&amp;R175+1&amp;":B210"),0)+R175&amp;""),
IF(LEFT(INDIRECT("B"&amp;R175&amp;""),3)="奈良屋",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INDIRECT(""&amp;IF(COLUMN(I195)&lt;=26,CHAR(COLUMN(I195)+64),CHAR(INT((COLUMN(I195)-1)/26)+64)&amp;CHAR(MOD(COLUMN(I195)-1,26)+65))&amp;$R175&amp;""),"")</f>
        <v/>
      </c>
      <c r="Y175" s="51" t="str" cm="1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18"/>
        <v/>
      </c>
      <c r="AA175" s="51" t="str">
        <f t="shared" ca="1" si="19"/>
        <v/>
      </c>
      <c r="AB175" s="51" t="str" cm="1">
        <f t="array" aca="1" ref="AB175" ca="1">IF($R175&lt;&gt;"",
IF(COUNTIF(INDIRECT("B"&amp;R175&amp;""),"*雙葉*"),
INDIRECT("M"&amp;R175&amp;"")+INDIRECT("M"&amp;MATCH("雙葉'",INDIRECT("B"&amp;R175+1&amp;":B210"),0)+R175&amp;""),
IF(LEFT(INDIRECT("B"&amp;R175&amp;""),2)="博多",
INDIRECT("M"&amp;R175&amp;"")+INDIRECT("M"&amp;MATCH("*"&amp;INDIRECT("B"&amp;R175&amp;"")&amp;"*",INDIRECT("B"&amp;R175+1&amp;":B210"),0)+R175&amp;""),
IF(LEFT(INDIRECT("B"&amp;R175&amp;""),3)="奈良屋",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 x14ac:dyDescent="0.45">
      <c r="A176" s="203">
        <f t="shared" si="27"/>
        <v>77</v>
      </c>
      <c r="B176" s="202" t="str">
        <f t="shared" ca="1" si="20"/>
        <v/>
      </c>
      <c r="C176" s="202" t="str">
        <f>IF(OR(クライアント抽出!D106&lt;&gt;"",クライアント抽出!G106&lt;&gt;""),クライアント抽出!A106,"")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IF(COUNTIF(D176,"*学食*"),"キャラ弁（学食）",
IF(COUNTIF(D176,"*赤*"),"赤",
IF(COUNTIF(D176,"*キャラ弁当*"),"キャラ弁当",D176))),注文弁当の抽出!$E$1:$F$15,2,FALSE),"")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 cm="1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26"/>
        <v>0</v>
      </c>
      <c r="P176" s="202">
        <f t="shared" si="22"/>
        <v>0</v>
      </c>
      <c r="Q176" s="202" t="b">
        <f t="shared" si="24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>
        <f t="array" aca="1" ref="W176" ca="1">IF($R176&lt;&gt;"",
IF(COUNTIF(INDIRECT("B"&amp;R176&amp;""),"*雙葉*"),
INDIRECT("H"&amp;R176&amp;"")+INDIRECT("H"&amp;MATCH("雙葉'",INDIRECT("B"&amp;R176+1&amp;":B210"),0)+R176&amp;""),
IF(LEFT(INDIRECT("B"&amp;R176&amp;""),2)="博多",
INDIRECT("H"&amp;R176&amp;"")+INDIRECT("H"&amp;MATCH("*"&amp;INDIRECT("B"&amp;R176&amp;"")&amp;"*",INDIRECT("B"&amp;R176+1&amp;":B210"),0)+R176&amp;""),
IF(LEFT(INDIRECT("B"&amp;R176&amp;""),3)="奈良屋",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INDIRECT(""&amp;IF(COLUMN(I196)&lt;=26,CHAR(COLUMN(I196)+64),CHAR(INT((COLUMN(I196)-1)/26)+64)&amp;CHAR(MOD(COLUMN(I196)-1,26)+65))&amp;$R176&amp;""),"")</f>
        <v/>
      </c>
      <c r="Y176" s="51" t="str" cm="1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18"/>
        <v/>
      </c>
      <c r="AA176" s="51" t="str">
        <f t="shared" ca="1" si="19"/>
        <v/>
      </c>
      <c r="AB176" s="51" t="str" cm="1">
        <f t="array" aca="1" ref="AB176" ca="1">IF($R176&lt;&gt;"",
IF(COUNTIF(INDIRECT("B"&amp;R176&amp;""),"*雙葉*"),
INDIRECT("M"&amp;R176&amp;"")+INDIRECT("M"&amp;MATCH("雙葉'",INDIRECT("B"&amp;R176+1&amp;":B210"),0)+R176&amp;""),
IF(LEFT(INDIRECT("B"&amp;R176&amp;""),2)="博多",
INDIRECT("M"&amp;R176&amp;"")+INDIRECT("M"&amp;MATCH("*"&amp;INDIRECT("B"&amp;R176&amp;"")&amp;"*",INDIRECT("B"&amp;R176+1&amp;":B210"),0)+R176&amp;""),
IF(LEFT(INDIRECT("B"&amp;R176&amp;""),3)="奈良屋",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 x14ac:dyDescent="0.45">
      <c r="A177" s="203">
        <f t="shared" si="27"/>
        <v>79</v>
      </c>
      <c r="B177" s="202" t="str">
        <f t="shared" ca="1" si="20"/>
        <v/>
      </c>
      <c r="C177" s="202" t="str">
        <f>IF(OR(クライアント抽出!D107&lt;&gt;"",クライアント抽出!G107&lt;&gt;""),クライアント抽出!A107,"")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IF(COUNTIF(D177,"*学食*"),"キャラ弁（学食）",
IF(COUNTIF(D177,"*赤*"),"赤",
IF(COUNTIF(D177,"*キャラ弁当*"),"キャラ弁当",D177))),注文弁当の抽出!$E$1:$F$15,2,FALSE),"")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 cm="1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26"/>
        <v>0</v>
      </c>
      <c r="P177" s="202">
        <f t="shared" si="22"/>
        <v>0</v>
      </c>
      <c r="Q177" s="202" t="b">
        <f t="shared" si="24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>
        <f t="array" aca="1" ref="W177" ca="1">IF($R177&lt;&gt;"",
IF(COUNTIF(INDIRECT("B"&amp;R177&amp;""),"*雙葉*"),
INDIRECT("H"&amp;R177&amp;"")+INDIRECT("H"&amp;MATCH("雙葉'",INDIRECT("B"&amp;R177+1&amp;":B210"),0)+R177&amp;""),
IF(LEFT(INDIRECT("B"&amp;R177&amp;""),2)="博多",
INDIRECT("H"&amp;R177&amp;"")+INDIRECT("H"&amp;MATCH("*"&amp;INDIRECT("B"&amp;R177&amp;"")&amp;"*",INDIRECT("B"&amp;R177+1&amp;":B210"),0)+R177&amp;""),
IF(LEFT(INDIRECT("B"&amp;R177&amp;""),3)="奈良屋",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INDIRECT(""&amp;IF(COLUMN(I197)&lt;=26,CHAR(COLUMN(I197)+64),CHAR(INT((COLUMN(I197)-1)/26)+64)&amp;CHAR(MOD(COLUMN(I197)-1,26)+65))&amp;$R177&amp;""),"")</f>
        <v/>
      </c>
      <c r="Y177" s="51" t="str" cm="1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18"/>
        <v/>
      </c>
      <c r="AA177" s="51" t="str">
        <f t="shared" ca="1" si="19"/>
        <v/>
      </c>
      <c r="AB177" s="51" t="str" cm="1">
        <f t="array" aca="1" ref="AB177" ca="1">IF($R177&lt;&gt;"",
IF(COUNTIF(INDIRECT("B"&amp;R177&amp;""),"*雙葉*"),
INDIRECT("M"&amp;R177&amp;"")+INDIRECT("M"&amp;MATCH("雙葉'",INDIRECT("B"&amp;R177+1&amp;":B210"),0)+R177&amp;""),
IF(LEFT(INDIRECT("B"&amp;R177&amp;""),2)="博多",
INDIRECT("M"&amp;R177&amp;"")+INDIRECT("M"&amp;MATCH("*"&amp;INDIRECT("B"&amp;R177&amp;"")&amp;"*",INDIRECT("B"&amp;R177+1&amp;":B210"),0)+R177&amp;""),
IF(LEFT(INDIRECT("B"&amp;R177&amp;""),3)="奈良屋",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 x14ac:dyDescent="0.45">
      <c r="A178" s="203">
        <f t="shared" si="27"/>
        <v>81</v>
      </c>
      <c r="B178" s="202" t="str">
        <f t="shared" ca="1" si="20"/>
        <v/>
      </c>
      <c r="C178" s="202" t="str">
        <f>IF(OR(クライアント抽出!D108&lt;&gt;"",クライアント抽出!G108&lt;&gt;""),クライアント抽出!A108,"")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IF(COUNTIF(D178,"*学食*"),"キャラ弁（学食）",
IF(COUNTIF(D178,"*赤*"),"赤",
IF(COUNTIF(D178,"*キャラ弁当*"),"キャラ弁当",D178))),注文弁当の抽出!$E$1:$F$15,2,FALSE),"")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 cm="1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26"/>
        <v>0</v>
      </c>
      <c r="P178" s="202">
        <f t="shared" si="22"/>
        <v>0</v>
      </c>
      <c r="Q178" s="202" t="b">
        <f t="shared" si="24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>
        <f t="array" aca="1" ref="W178" ca="1">IF($R178&lt;&gt;"",
IF(COUNTIF(INDIRECT("B"&amp;R178&amp;""),"*雙葉*"),
INDIRECT("H"&amp;R178&amp;"")+INDIRECT("H"&amp;MATCH("雙葉'",INDIRECT("B"&amp;R178+1&amp;":B210"),0)+R178&amp;""),
IF(LEFT(INDIRECT("B"&amp;R178&amp;""),2)="博多",
INDIRECT("H"&amp;R178&amp;"")+INDIRECT("H"&amp;MATCH("*"&amp;INDIRECT("B"&amp;R178&amp;"")&amp;"*",INDIRECT("B"&amp;R178+1&amp;":B210"),0)+R178&amp;""),
IF(LEFT(INDIRECT("B"&amp;R178&amp;""),3)="奈良屋",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INDIRECT(""&amp;IF(COLUMN(I198)&lt;=26,CHAR(COLUMN(I198)+64),CHAR(INT((COLUMN(I198)-1)/26)+64)&amp;CHAR(MOD(COLUMN(I198)-1,26)+65))&amp;$R178&amp;""),"")</f>
        <v/>
      </c>
      <c r="Y178" s="51" t="str" cm="1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18"/>
        <v/>
      </c>
      <c r="AA178" s="51" t="str">
        <f t="shared" ca="1" si="19"/>
        <v/>
      </c>
      <c r="AB178" s="51" t="str" cm="1">
        <f t="array" aca="1" ref="AB178" ca="1">IF($R178&lt;&gt;"",
IF(COUNTIF(INDIRECT("B"&amp;R178&amp;""),"*雙葉*"),
INDIRECT("M"&amp;R178&amp;"")+INDIRECT("M"&amp;MATCH("雙葉'",INDIRECT("B"&amp;R178+1&amp;":B210"),0)+R178&amp;""),
IF(LEFT(INDIRECT("B"&amp;R178&amp;""),2)="博多",
INDIRECT("M"&amp;R178&amp;"")+INDIRECT("M"&amp;MATCH("*"&amp;INDIRECT("B"&amp;R178&amp;"")&amp;"*",INDIRECT("B"&amp;R178+1&amp;":B210"),0)+R178&amp;""),
IF(LEFT(INDIRECT("B"&amp;R178&amp;""),3)="奈良屋",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 x14ac:dyDescent="0.45">
      <c r="A179" s="203">
        <f t="shared" si="27"/>
        <v>83</v>
      </c>
      <c r="B179" s="202" t="str">
        <f t="shared" ca="1" si="20"/>
        <v/>
      </c>
      <c r="C179" s="202" t="str">
        <f>IF(OR(クライアント抽出!D109&lt;&gt;"",クライアント抽出!G109&lt;&gt;""),クライアント抽出!A109,"")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IF(COUNTIF(D179,"*学食*"),"キャラ弁（学食）",
IF(COUNTIF(D179,"*赤*"),"赤",
IF(COUNTIF(D179,"*キャラ弁当*"),"キャラ弁当",D179))),注文弁当の抽出!$E$1:$F$15,2,FALSE),"")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 cm="1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26"/>
        <v>0</v>
      </c>
      <c r="P179" s="202">
        <f t="shared" si="22"/>
        <v>0</v>
      </c>
      <c r="Q179" s="202" t="b">
        <f t="shared" si="24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>
        <f t="array" aca="1" ref="W179" ca="1">IF($R179&lt;&gt;"",
IF(COUNTIF(INDIRECT("B"&amp;R179&amp;""),"*雙葉*"),
INDIRECT("H"&amp;R179&amp;"")+INDIRECT("H"&amp;MATCH("雙葉'",INDIRECT("B"&amp;R179+1&amp;":B210"),0)+R179&amp;""),
IF(LEFT(INDIRECT("B"&amp;R179&amp;""),2)="博多",
INDIRECT("H"&amp;R179&amp;"")+INDIRECT("H"&amp;MATCH("*"&amp;INDIRECT("B"&amp;R179&amp;"")&amp;"*",INDIRECT("B"&amp;R179+1&amp;":B210"),0)+R179&amp;""),
IF(LEFT(INDIRECT("B"&amp;R179&amp;""),3)="奈良屋",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INDIRECT(""&amp;IF(COLUMN(I199)&lt;=26,CHAR(COLUMN(I199)+64),CHAR(INT((COLUMN(I199)-1)/26)+64)&amp;CHAR(MOD(COLUMN(I199)-1,26)+65))&amp;$R179&amp;""),"")</f>
        <v/>
      </c>
      <c r="Y179" s="51" t="str" cm="1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18"/>
        <v/>
      </c>
      <c r="AA179" s="51" t="str">
        <f t="shared" ca="1" si="19"/>
        <v/>
      </c>
      <c r="AB179" s="51" t="str" cm="1">
        <f t="array" aca="1" ref="AB179" ca="1">IF($R179&lt;&gt;"",
IF(COUNTIF(INDIRECT("B"&amp;R179&amp;""),"*雙葉*"),
INDIRECT("M"&amp;R179&amp;"")+INDIRECT("M"&amp;MATCH("雙葉'",INDIRECT("B"&amp;R179+1&amp;":B210"),0)+R179&amp;""),
IF(LEFT(INDIRECT("B"&amp;R179&amp;""),2)="博多",
INDIRECT("M"&amp;R179&amp;"")+INDIRECT("M"&amp;MATCH("*"&amp;INDIRECT("B"&amp;R179&amp;"")&amp;"*",INDIRECT("B"&amp;R179+1&amp;":B210"),0)+R179&amp;""),
IF(LEFT(INDIRECT("B"&amp;R179&amp;""),3)="奈良屋",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 x14ac:dyDescent="0.45">
      <c r="A180" s="203">
        <f t="shared" si="27"/>
        <v>85</v>
      </c>
      <c r="B180" s="202" t="str">
        <f t="shared" ca="1" si="20"/>
        <v/>
      </c>
      <c r="C180" s="202" t="str">
        <f>IF(OR(クライアント抽出!D110&lt;&gt;"",クライアント抽出!G110&lt;&gt;""),クライアント抽出!A110,"")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IF(COUNTIF(D180,"*学食*"),"キャラ弁（学食）",
IF(COUNTIF(D180,"*赤*"),"赤",
IF(COUNTIF(D180,"*キャラ弁当*"),"キャラ弁当",D180))),注文弁当の抽出!$E$1:$F$15,2,FALSE),"")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 cm="1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26"/>
        <v>0</v>
      </c>
      <c r="P180" s="202">
        <f t="shared" si="22"/>
        <v>0</v>
      </c>
      <c r="Q180" s="202" t="b">
        <f t="shared" si="24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>
        <f t="array" aca="1" ref="W180" ca="1">IF($R180&lt;&gt;"",
IF(COUNTIF(INDIRECT("B"&amp;R180&amp;""),"*雙葉*"),
INDIRECT("H"&amp;R180&amp;"")+INDIRECT("H"&amp;MATCH("雙葉'",INDIRECT("B"&amp;R180+1&amp;":B210"),0)+R180&amp;""),
IF(LEFT(INDIRECT("B"&amp;R180&amp;""),2)="博多",
INDIRECT("H"&amp;R180&amp;"")+INDIRECT("H"&amp;MATCH("*"&amp;INDIRECT("B"&amp;R180&amp;"")&amp;"*",INDIRECT("B"&amp;R180+1&amp;":B210"),0)+R180&amp;""),
IF(LEFT(INDIRECT("B"&amp;R180&amp;""),3)="奈良屋",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INDIRECT(""&amp;IF(COLUMN(I200)&lt;=26,CHAR(COLUMN(I200)+64),CHAR(INT((COLUMN(I200)-1)/26)+64)&amp;CHAR(MOD(COLUMN(I200)-1,26)+65))&amp;$R180&amp;""),"")</f>
        <v/>
      </c>
      <c r="Y180" s="51" t="str" cm="1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18"/>
        <v/>
      </c>
      <c r="AA180" s="51" t="str">
        <f t="shared" ca="1" si="19"/>
        <v/>
      </c>
      <c r="AB180" s="51" t="str" cm="1">
        <f t="array" aca="1" ref="AB180" ca="1">IF($R180&lt;&gt;"",
IF(COUNTIF(INDIRECT("B"&amp;R180&amp;""),"*雙葉*"),
INDIRECT("M"&amp;R180&amp;"")+INDIRECT("M"&amp;MATCH("雙葉'",INDIRECT("B"&amp;R180+1&amp;":B210"),0)+R180&amp;""),
IF(LEFT(INDIRECT("B"&amp;R180&amp;""),2)="博多",
INDIRECT("M"&amp;R180&amp;"")+INDIRECT("M"&amp;MATCH("*"&amp;INDIRECT("B"&amp;R180&amp;"")&amp;"*",INDIRECT("B"&amp;R180+1&amp;":B210"),0)+R180&amp;""),
IF(LEFT(INDIRECT("B"&amp;R180&amp;""),3)="奈良屋",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 x14ac:dyDescent="0.45">
      <c r="A181" s="203">
        <f t="shared" si="27"/>
        <v>87</v>
      </c>
      <c r="B181" s="202" t="str">
        <f t="shared" ca="1" si="20"/>
        <v/>
      </c>
      <c r="C181" s="202" t="str">
        <f>IF(OR(クライアント抽出!D111&lt;&gt;"",クライアント抽出!G111&lt;&gt;""),クライアント抽出!A111,"")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IF(COUNTIF(D181,"*学食*"),"キャラ弁（学食）",
IF(COUNTIF(D181,"*赤*"),"赤",
IF(COUNTIF(D181,"*キャラ弁当*"),"キャラ弁当",D181))),注文弁当の抽出!$E$1:$F$15,2,FALSE),"")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 cm="1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26"/>
        <v>0</v>
      </c>
      <c r="P181" s="202">
        <f t="shared" si="22"/>
        <v>0</v>
      </c>
      <c r="Q181" s="202" t="b">
        <f t="shared" si="24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>
        <f t="array" aca="1" ref="W181" ca="1">IF($R181&lt;&gt;"",
IF(COUNTIF(INDIRECT("B"&amp;R181&amp;""),"*雙葉*"),
INDIRECT("H"&amp;R181&amp;"")+INDIRECT("H"&amp;MATCH("雙葉'",INDIRECT("B"&amp;R181+1&amp;":B210"),0)+R181&amp;""),
IF(LEFT(INDIRECT("B"&amp;R181&amp;""),2)="博多",
INDIRECT("H"&amp;R181&amp;"")+INDIRECT("H"&amp;MATCH("*"&amp;INDIRECT("B"&amp;R181&amp;"")&amp;"*",INDIRECT("B"&amp;R181+1&amp;":B210"),0)+R181&amp;""),
IF(LEFT(INDIRECT("B"&amp;R181&amp;""),3)="奈良屋",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INDIRECT(""&amp;IF(COLUMN(I201)&lt;=26,CHAR(COLUMN(I201)+64),CHAR(INT((COLUMN(I201)-1)/26)+64)&amp;CHAR(MOD(COLUMN(I201)-1,26)+65))&amp;$R181&amp;""),"")</f>
        <v/>
      </c>
      <c r="Y181" s="51" t="str" cm="1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18"/>
        <v/>
      </c>
      <c r="AA181" s="51" t="str">
        <f t="shared" ca="1" si="19"/>
        <v/>
      </c>
      <c r="AB181" s="51" t="str" cm="1">
        <f t="array" aca="1" ref="AB181" ca="1">IF($R181&lt;&gt;"",
IF(COUNTIF(INDIRECT("B"&amp;R181&amp;""),"*雙葉*"),
INDIRECT("M"&amp;R181&amp;"")+INDIRECT("M"&amp;MATCH("雙葉'",INDIRECT("B"&amp;R181+1&amp;":B210"),0)+R181&amp;""),
IF(LEFT(INDIRECT("B"&amp;R181&amp;""),2)="博多",
INDIRECT("M"&amp;R181&amp;"")+INDIRECT("M"&amp;MATCH("*"&amp;INDIRECT("B"&amp;R181&amp;"")&amp;"*",INDIRECT("B"&amp;R181+1&amp;":B210"),0)+R181&amp;""),
IF(LEFT(INDIRECT("B"&amp;R181&amp;""),3)="奈良屋",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 x14ac:dyDescent="0.45">
      <c r="A182" s="203">
        <f t="shared" si="27"/>
        <v>89</v>
      </c>
      <c r="B182" s="202" t="str">
        <f t="shared" ca="1" si="20"/>
        <v/>
      </c>
      <c r="C182" s="202" t="str">
        <f>IF(OR(クライアント抽出!D112&lt;&gt;"",クライアント抽出!G112&lt;&gt;""),クライアント抽出!A112,"")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IF(COUNTIF(D182,"*学食*"),"キャラ弁（学食）",
IF(COUNTIF(D182,"*赤*"),"赤",
IF(COUNTIF(D182,"*キャラ弁当*"),"キャラ弁当",D182))),注文弁当の抽出!$E$1:$F$15,2,FALSE),"")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 cm="1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26"/>
        <v>0</v>
      </c>
      <c r="P182" s="202">
        <f t="shared" si="22"/>
        <v>0</v>
      </c>
      <c r="Q182" s="202" t="b">
        <f t="shared" si="24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>
        <f t="array" aca="1" ref="W182" ca="1">IF($R182&lt;&gt;"",
IF(COUNTIF(INDIRECT("B"&amp;R182&amp;""),"*雙葉*"),
INDIRECT("H"&amp;R182&amp;"")+INDIRECT("H"&amp;MATCH("雙葉'",INDIRECT("B"&amp;R182+1&amp;":B210"),0)+R182&amp;""),
IF(LEFT(INDIRECT("B"&amp;R182&amp;""),2)="博多",
INDIRECT("H"&amp;R182&amp;"")+INDIRECT("H"&amp;MATCH("*"&amp;INDIRECT("B"&amp;R182&amp;"")&amp;"*",INDIRECT("B"&amp;R182+1&amp;":B210"),0)+R182&amp;""),
IF(LEFT(INDIRECT("B"&amp;R182&amp;""),3)="奈良屋",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INDIRECT(""&amp;IF(COLUMN(I202)&lt;=26,CHAR(COLUMN(I202)+64),CHAR(INT((COLUMN(I202)-1)/26)+64)&amp;CHAR(MOD(COLUMN(I202)-1,26)+65))&amp;$R182&amp;""),"")</f>
        <v/>
      </c>
      <c r="Y182" s="51" t="str" cm="1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18"/>
        <v/>
      </c>
      <c r="AA182" s="51" t="str">
        <f t="shared" ca="1" si="19"/>
        <v/>
      </c>
      <c r="AB182" s="51" t="str" cm="1">
        <f t="array" aca="1" ref="AB182" ca="1">IF($R182&lt;&gt;"",
IF(COUNTIF(INDIRECT("B"&amp;R182&amp;""),"*雙葉*"),
INDIRECT("M"&amp;R182&amp;"")+INDIRECT("M"&amp;MATCH("雙葉'",INDIRECT("B"&amp;R182+1&amp;":B210"),0)+R182&amp;""),
IF(LEFT(INDIRECT("B"&amp;R182&amp;""),2)="博多",
INDIRECT("M"&amp;R182&amp;"")+INDIRECT("M"&amp;MATCH("*"&amp;INDIRECT("B"&amp;R182&amp;"")&amp;"*",INDIRECT("B"&amp;R182+1&amp;":B210"),0)+R182&amp;""),
IF(LEFT(INDIRECT("B"&amp;R182&amp;""),3)="奈良屋",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 x14ac:dyDescent="0.45">
      <c r="A183" s="203">
        <f t="shared" si="27"/>
        <v>91</v>
      </c>
      <c r="B183" s="202" t="str">
        <f t="shared" ca="1" si="20"/>
        <v/>
      </c>
      <c r="C183" s="202" t="str">
        <f>IF(OR(クライアント抽出!D113&lt;&gt;"",クライアント抽出!G113&lt;&gt;""),クライアント抽出!A113,"")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IF(COUNTIF(D183,"*学食*"),"キャラ弁（学食）",
IF(COUNTIF(D183,"*赤*"),"赤",
IF(COUNTIF(D183,"*キャラ弁当*"),"キャラ弁当",D183))),注文弁当の抽出!$E$1:$F$15,2,FALSE),"")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 cm="1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26"/>
        <v>0</v>
      </c>
      <c r="P183" s="202">
        <f t="shared" si="22"/>
        <v>0</v>
      </c>
      <c r="Q183" s="202" t="b">
        <f t="shared" si="24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>
        <f t="array" aca="1" ref="W183" ca="1">IF($R183&lt;&gt;"",
IF(COUNTIF(INDIRECT("B"&amp;R183&amp;""),"*雙葉*"),
INDIRECT("H"&amp;R183&amp;"")+INDIRECT("H"&amp;MATCH("雙葉'",INDIRECT("B"&amp;R183+1&amp;":B210"),0)+R183&amp;""),
IF(LEFT(INDIRECT("B"&amp;R183&amp;""),2)="博多",
INDIRECT("H"&amp;R183&amp;"")+INDIRECT("H"&amp;MATCH("*"&amp;INDIRECT("B"&amp;R183&amp;"")&amp;"*",INDIRECT("B"&amp;R183+1&amp;":B210"),0)+R183&amp;""),
IF(LEFT(INDIRECT("B"&amp;R183&amp;""),3)="奈良屋",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INDIRECT(""&amp;IF(COLUMN(I203)&lt;=26,CHAR(COLUMN(I203)+64),CHAR(INT((COLUMN(I203)-1)/26)+64)&amp;CHAR(MOD(COLUMN(I203)-1,26)+65))&amp;$R183&amp;""),"")</f>
        <v/>
      </c>
      <c r="Y183" s="51" t="str" cm="1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18"/>
        <v/>
      </c>
      <c r="AA183" s="51" t="str">
        <f t="shared" ca="1" si="19"/>
        <v/>
      </c>
      <c r="AB183" s="51" t="str" cm="1">
        <f t="array" aca="1" ref="AB183" ca="1">IF($R183&lt;&gt;"",
IF(COUNTIF(INDIRECT("B"&amp;R183&amp;""),"*雙葉*"),
INDIRECT("M"&amp;R183&amp;"")+INDIRECT("M"&amp;MATCH("雙葉'",INDIRECT("B"&amp;R183+1&amp;":B210"),0)+R183&amp;""),
IF(LEFT(INDIRECT("B"&amp;R183&amp;""),2)="博多",
INDIRECT("M"&amp;R183&amp;"")+INDIRECT("M"&amp;MATCH("*"&amp;INDIRECT("B"&amp;R183&amp;"")&amp;"*",INDIRECT("B"&amp;R183+1&amp;":B210"),0)+R183&amp;""),
IF(LEFT(INDIRECT("B"&amp;R183&amp;""),3)="奈良屋",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 x14ac:dyDescent="0.45">
      <c r="A184" s="203">
        <f t="shared" si="27"/>
        <v>93</v>
      </c>
      <c r="B184" s="202" t="str">
        <f t="shared" ca="1" si="20"/>
        <v/>
      </c>
      <c r="C184" s="202" t="str">
        <f>IF(OR(クライアント抽出!D114&lt;&gt;"",クライアント抽出!G114&lt;&gt;""),クライアント抽出!A114,"")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IF(COUNTIF(D184,"*学食*"),"キャラ弁（学食）",
IF(COUNTIF(D184,"*赤*"),"赤",
IF(COUNTIF(D184,"*キャラ弁当*"),"キャラ弁当",D184))),注文弁当の抽出!$E$1:$F$15,2,FALSE),"")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 cm="1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26"/>
        <v>0</v>
      </c>
      <c r="P184" s="202">
        <f t="shared" si="22"/>
        <v>0</v>
      </c>
      <c r="Q184" s="202" t="b">
        <f t="shared" si="24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>
        <f t="array" aca="1" ref="W184" ca="1">IF($R184&lt;&gt;"",
IF(COUNTIF(INDIRECT("B"&amp;R184&amp;""),"*雙葉*"),
INDIRECT("H"&amp;R184&amp;"")+INDIRECT("H"&amp;MATCH("雙葉'",INDIRECT("B"&amp;R184+1&amp;":B210"),0)+R184&amp;""),
IF(LEFT(INDIRECT("B"&amp;R184&amp;""),2)="博多",
INDIRECT("H"&amp;R184&amp;"")+INDIRECT("H"&amp;MATCH("*"&amp;INDIRECT("B"&amp;R184&amp;"")&amp;"*",INDIRECT("B"&amp;R184+1&amp;":B210"),0)+R184&amp;""),
IF(LEFT(INDIRECT("B"&amp;R184&amp;""),3)="奈良屋",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INDIRECT(""&amp;IF(COLUMN(I204)&lt;=26,CHAR(COLUMN(I204)+64),CHAR(INT((COLUMN(I204)-1)/26)+64)&amp;CHAR(MOD(COLUMN(I204)-1,26)+65))&amp;$R184&amp;""),"")</f>
        <v/>
      </c>
      <c r="Y184" s="51" t="str" cm="1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18"/>
        <v/>
      </c>
      <c r="AA184" s="51" t="str">
        <f t="shared" ca="1" si="19"/>
        <v/>
      </c>
      <c r="AB184" s="51" t="str" cm="1">
        <f t="array" aca="1" ref="AB184" ca="1">IF($R184&lt;&gt;"",
IF(COUNTIF(INDIRECT("B"&amp;R184&amp;""),"*雙葉*"),
INDIRECT("M"&amp;R184&amp;"")+INDIRECT("M"&amp;MATCH("雙葉'",INDIRECT("B"&amp;R184+1&amp;":B210"),0)+R184&amp;""),
IF(LEFT(INDIRECT("B"&amp;R184&amp;""),2)="博多",
INDIRECT("M"&amp;R184&amp;"")+INDIRECT("M"&amp;MATCH("*"&amp;INDIRECT("B"&amp;R184&amp;"")&amp;"*",INDIRECT("B"&amp;R184+1&amp;":B210"),0)+R184&amp;""),
IF(LEFT(INDIRECT("B"&amp;R184&amp;""),3)="奈良屋",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 x14ac:dyDescent="0.45">
      <c r="A185" s="203">
        <f t="shared" si="27"/>
        <v>95</v>
      </c>
      <c r="B185" s="202" t="str">
        <f t="shared" ca="1" si="20"/>
        <v/>
      </c>
      <c r="C185" s="202" t="str">
        <f>IF(OR(クライアント抽出!D115&lt;&gt;"",クライアント抽出!G115&lt;&gt;""),クライアント抽出!A115,"")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IF(COUNTIF(D185,"*学食*"),"キャラ弁（学食）",
IF(COUNTIF(D185,"*赤*"),"赤",
IF(COUNTIF(D185,"*キャラ弁当*"),"キャラ弁当",D185))),注文弁当の抽出!$E$1:$F$15,2,FALSE),"")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 cm="1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26"/>
        <v>0</v>
      </c>
      <c r="P185" s="202">
        <f t="shared" si="22"/>
        <v>0</v>
      </c>
      <c r="Q185" s="202" t="b">
        <f t="shared" si="24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>
        <f t="array" aca="1" ref="W185" ca="1">IF($R185&lt;&gt;"",
IF(COUNTIF(INDIRECT("B"&amp;R185&amp;""),"*雙葉*"),
INDIRECT("H"&amp;R185&amp;"")+INDIRECT("H"&amp;MATCH("雙葉'",INDIRECT("B"&amp;R185+1&amp;":B210"),0)+R185&amp;""),
IF(LEFT(INDIRECT("B"&amp;R185&amp;""),2)="博多",
INDIRECT("H"&amp;R185&amp;"")+INDIRECT("H"&amp;MATCH("*"&amp;INDIRECT("B"&amp;R185&amp;"")&amp;"*",INDIRECT("B"&amp;R185+1&amp;":B210"),0)+R185&amp;""),
IF(LEFT(INDIRECT("B"&amp;R185&amp;""),3)="奈良屋",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INDIRECT(""&amp;IF(COLUMN(I205)&lt;=26,CHAR(COLUMN(I205)+64),CHAR(INT((COLUMN(I205)-1)/26)+64)&amp;CHAR(MOD(COLUMN(I205)-1,26)+65))&amp;$R185&amp;""),"")</f>
        <v/>
      </c>
      <c r="Y185" s="51" t="str" cm="1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18"/>
        <v/>
      </c>
      <c r="AA185" s="51" t="str">
        <f t="shared" ca="1" si="19"/>
        <v/>
      </c>
      <c r="AB185" s="51" t="str" cm="1">
        <f t="array" aca="1" ref="AB185" ca="1">IF($R185&lt;&gt;"",
IF(COUNTIF(INDIRECT("B"&amp;R185&amp;""),"*雙葉*"),
INDIRECT("M"&amp;R185&amp;"")+INDIRECT("M"&amp;MATCH("雙葉'",INDIRECT("B"&amp;R185+1&amp;":B210"),0)+R185&amp;""),
IF(LEFT(INDIRECT("B"&amp;R185&amp;""),2)="博多",
INDIRECT("M"&amp;R185&amp;"")+INDIRECT("M"&amp;MATCH("*"&amp;INDIRECT("B"&amp;R185&amp;"")&amp;"*",INDIRECT("B"&amp;R185+1&amp;":B210"),0)+R185&amp;""),
IF(LEFT(INDIRECT("B"&amp;R185&amp;""),3)="奈良屋",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 x14ac:dyDescent="0.45">
      <c r="A186" s="203">
        <f t="shared" si="27"/>
        <v>97</v>
      </c>
      <c r="B186" s="202" t="str">
        <f t="shared" ca="1" si="20"/>
        <v/>
      </c>
      <c r="C186" s="202" t="str">
        <f>IF(OR(クライアント抽出!D116&lt;&gt;"",クライアント抽出!G116&lt;&gt;""),クライアント抽出!A116,"")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IF(COUNTIF(D186,"*学食*"),"キャラ弁（学食）",
IF(COUNTIF(D186,"*赤*"),"赤",
IF(COUNTIF(D186,"*キャラ弁当*"),"キャラ弁当",D186))),注文弁当の抽出!$E$1:$F$15,2,FALSE),"")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 cm="1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26"/>
        <v>0</v>
      </c>
      <c r="P186" s="202">
        <f t="shared" si="22"/>
        <v>0</v>
      </c>
      <c r="Q186" s="202" t="b">
        <f t="shared" si="24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>
        <f t="array" aca="1" ref="W186" ca="1">IF($R186&lt;&gt;"",
IF(COUNTIF(INDIRECT("B"&amp;R186&amp;""),"*雙葉*"),
INDIRECT("H"&amp;R186&amp;"")+INDIRECT("H"&amp;MATCH("雙葉'",INDIRECT("B"&amp;R186+1&amp;":B210"),0)+R186&amp;""),
IF(LEFT(INDIRECT("B"&amp;R186&amp;""),2)="博多",
INDIRECT("H"&amp;R186&amp;"")+INDIRECT("H"&amp;MATCH("*"&amp;INDIRECT("B"&amp;R186&amp;"")&amp;"*",INDIRECT("B"&amp;R186+1&amp;":B210"),0)+R186&amp;""),
IF(LEFT(INDIRECT("B"&amp;R186&amp;""),3)="奈良屋",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INDIRECT(""&amp;IF(COLUMN(I206)&lt;=26,CHAR(COLUMN(I206)+64),CHAR(INT((COLUMN(I206)-1)/26)+64)&amp;CHAR(MOD(COLUMN(I206)-1,26)+65))&amp;$R186&amp;""),"")</f>
        <v/>
      </c>
      <c r="Y186" s="51" t="str" cm="1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18"/>
        <v/>
      </c>
      <c r="AA186" s="51" t="str">
        <f t="shared" ca="1" si="19"/>
        <v/>
      </c>
      <c r="AB186" s="51" t="str" cm="1">
        <f t="array" aca="1" ref="AB186" ca="1">IF($R186&lt;&gt;"",
IF(COUNTIF(INDIRECT("B"&amp;R186&amp;""),"*雙葉*"),
INDIRECT("M"&amp;R186&amp;"")+INDIRECT("M"&amp;MATCH("雙葉'",INDIRECT("B"&amp;R186+1&amp;":B210"),0)+R186&amp;""),
IF(LEFT(INDIRECT("B"&amp;R186&amp;""),2)="博多",
INDIRECT("M"&amp;R186&amp;"")+INDIRECT("M"&amp;MATCH("*"&amp;INDIRECT("B"&amp;R186&amp;"")&amp;"*",INDIRECT("B"&amp;R186+1&amp;":B210"),0)+R186&amp;""),
IF(LEFT(INDIRECT("B"&amp;R186&amp;""),3)="奈良屋",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 x14ac:dyDescent="0.45">
      <c r="A187" s="203">
        <f t="shared" si="27"/>
        <v>99</v>
      </c>
      <c r="B187" s="202" t="str">
        <f t="shared" ca="1" si="20"/>
        <v/>
      </c>
      <c r="C187" s="202" t="str">
        <f>IF(OR(クライアント抽出!D117&lt;&gt;"",クライアント抽出!G117&lt;&gt;""),クライアント抽出!A117,"")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IF(COUNTIF(D187,"*学食*"),"キャラ弁（学食）",
IF(COUNTIF(D187,"*赤*"),"赤",
IF(COUNTIF(D187,"*キャラ弁当*"),"キャラ弁当",D187))),注文弁当の抽出!$E$1:$F$15,2,FALSE),"")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 cm="1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26"/>
        <v>0</v>
      </c>
      <c r="P187" s="202">
        <f t="shared" si="22"/>
        <v>0</v>
      </c>
      <c r="Q187" s="202" t="b">
        <f t="shared" si="24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>
        <f t="array" aca="1" ref="W187" ca="1">IF($R187&lt;&gt;"",
IF(COUNTIF(INDIRECT("B"&amp;R187&amp;""),"*雙葉*"),
INDIRECT("H"&amp;R187&amp;"")+INDIRECT("H"&amp;MATCH("雙葉'",INDIRECT("B"&amp;R187+1&amp;":B210"),0)+R187&amp;""),
IF(LEFT(INDIRECT("B"&amp;R187&amp;""),2)="博多",
INDIRECT("H"&amp;R187&amp;"")+INDIRECT("H"&amp;MATCH("*"&amp;INDIRECT("B"&amp;R187&amp;"")&amp;"*",INDIRECT("B"&amp;R187+1&amp;":B210"),0)+R187&amp;""),
IF(LEFT(INDIRECT("B"&amp;R187&amp;""),3)="奈良屋",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INDIRECT(""&amp;IF(COLUMN(I207)&lt;=26,CHAR(COLUMN(I207)+64),CHAR(INT((COLUMN(I207)-1)/26)+64)&amp;CHAR(MOD(COLUMN(I207)-1,26)+65))&amp;$R187&amp;""),"")</f>
        <v/>
      </c>
      <c r="Y187" s="51" t="str" cm="1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18"/>
        <v/>
      </c>
      <c r="AA187" s="51" t="str">
        <f t="shared" ca="1" si="19"/>
        <v/>
      </c>
      <c r="AB187" s="51" t="str" cm="1">
        <f t="array" aca="1" ref="AB187" ca="1">IF($R187&lt;&gt;"",
IF(COUNTIF(INDIRECT("B"&amp;R187&amp;""),"*雙葉*"),
INDIRECT("M"&amp;R187&amp;"")+INDIRECT("M"&amp;MATCH("雙葉'",INDIRECT("B"&amp;R187+1&amp;":B210"),0)+R187&amp;""),
IF(LEFT(INDIRECT("B"&amp;R187&amp;""),2)="博多",
INDIRECT("M"&amp;R187&amp;"")+INDIRECT("M"&amp;MATCH("*"&amp;INDIRECT("B"&amp;R187&amp;"")&amp;"*",INDIRECT("B"&amp;R187+1&amp;":B210"),0)+R187&amp;""),
IF(LEFT(INDIRECT("B"&amp;R187&amp;""),3)="奈良屋",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 x14ac:dyDescent="0.45">
      <c r="A188" s="203">
        <f t="shared" si="27"/>
        <v>101</v>
      </c>
      <c r="B188" s="202" t="str">
        <f t="shared" ca="1" si="20"/>
        <v/>
      </c>
      <c r="C188" s="202" t="str">
        <f>IF(OR(クライアント抽出!D118&lt;&gt;"",クライアント抽出!G118&lt;&gt;""),クライアント抽出!A118,"")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IF(COUNTIF(D188,"*学食*"),"キャラ弁（学食）",
IF(COUNTIF(D188,"*赤*"),"赤",
IF(COUNTIF(D188,"*キャラ弁当*"),"キャラ弁当",D188))),注文弁当の抽出!$E$1:$F$15,2,FALSE),"")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 cm="1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26"/>
        <v>0</v>
      </c>
      <c r="P188" s="202">
        <f t="shared" si="22"/>
        <v>0</v>
      </c>
      <c r="Q188" s="202" t="b">
        <f t="shared" si="24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>
        <f t="array" aca="1" ref="W188" ca="1">IF($R188&lt;&gt;"",
IF(COUNTIF(INDIRECT("B"&amp;R188&amp;""),"*雙葉*"),
INDIRECT("H"&amp;R188&amp;"")+INDIRECT("H"&amp;MATCH("雙葉'",INDIRECT("B"&amp;R188+1&amp;":B210"),0)+R188&amp;""),
IF(LEFT(INDIRECT("B"&amp;R188&amp;""),2)="博多",
INDIRECT("H"&amp;R188&amp;"")+INDIRECT("H"&amp;MATCH("*"&amp;INDIRECT("B"&amp;R188&amp;"")&amp;"*",INDIRECT("B"&amp;R188+1&amp;":B210"),0)+R188&amp;""),
IF(LEFT(INDIRECT("B"&amp;R188&amp;""),3)="奈良屋",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INDIRECT(""&amp;IF(COLUMN(I208)&lt;=26,CHAR(COLUMN(I208)+64),CHAR(INT((COLUMN(I208)-1)/26)+64)&amp;CHAR(MOD(COLUMN(I208)-1,26)+65))&amp;$R188&amp;""),"")</f>
        <v/>
      </c>
      <c r="Y188" s="51" t="str" cm="1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18"/>
        <v/>
      </c>
      <c r="AA188" s="51" t="str">
        <f t="shared" ca="1" si="19"/>
        <v/>
      </c>
      <c r="AB188" s="51" t="str" cm="1">
        <f t="array" aca="1" ref="AB188" ca="1">IF($R188&lt;&gt;"",
IF(COUNTIF(INDIRECT("B"&amp;R188&amp;""),"*雙葉*"),
INDIRECT("M"&amp;R188&amp;"")+INDIRECT("M"&amp;MATCH("雙葉'",INDIRECT("B"&amp;R188+1&amp;":B210"),0)+R188&amp;""),
IF(LEFT(INDIRECT("B"&amp;R188&amp;""),2)="博多",
INDIRECT("M"&amp;R188&amp;"")+INDIRECT("M"&amp;MATCH("*"&amp;INDIRECT("B"&amp;R188&amp;"")&amp;"*",INDIRECT("B"&amp;R188+1&amp;":B210"),0)+R188&amp;""),
IF(LEFT(INDIRECT("B"&amp;R188&amp;""),3)="奈良屋",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 x14ac:dyDescent="0.45">
      <c r="A189" s="203">
        <f t="shared" si="27"/>
        <v>103</v>
      </c>
      <c r="B189" s="202" t="str">
        <f t="shared" ca="1" si="20"/>
        <v/>
      </c>
      <c r="C189" s="202" t="str">
        <f>IF(OR(クライアント抽出!D119&lt;&gt;"",クライアント抽出!G119&lt;&gt;""),クライアント抽出!A119,"")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IF(COUNTIF(D189,"*学食*"),"キャラ弁（学食）",
IF(COUNTIF(D189,"*赤*"),"赤",
IF(COUNTIF(D189,"*キャラ弁当*"),"キャラ弁当",D189))),注文弁当の抽出!$E$1:$F$15,2,FALSE),"")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 cm="1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ca="1">O49</f>
        <v>0</v>
      </c>
      <c r="P189" s="202">
        <f t="shared" si="22"/>
        <v>0</v>
      </c>
      <c r="Q189" s="202" t="b">
        <f t="shared" si="24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>
        <f t="array" aca="1" ref="W189" ca="1">IF($R189&lt;&gt;"",
IF(COUNTIF(INDIRECT("B"&amp;R189&amp;""),"*雙葉*"),
INDIRECT("H"&amp;R189&amp;"")+INDIRECT("H"&amp;MATCH("雙葉'",INDIRECT("B"&amp;R189+1&amp;":B210"),0)+R189&amp;""),
IF(LEFT(INDIRECT("B"&amp;R189&amp;""),2)="博多",
INDIRECT("H"&amp;R189&amp;"")+INDIRECT("H"&amp;MATCH("*"&amp;INDIRECT("B"&amp;R189&amp;"")&amp;"*",INDIRECT("B"&amp;R189+1&amp;":B210"),0)+R189&amp;""),
IF(LEFT(INDIRECT("B"&amp;R189&amp;""),3)="奈良屋",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INDIRECT(""&amp;IF(COLUMN(I209)&lt;=26,CHAR(COLUMN(I209)+64),CHAR(INT((COLUMN(I209)-1)/26)+64)&amp;CHAR(MOD(COLUMN(I209)-1,26)+65))&amp;$R189&amp;""),"")</f>
        <v/>
      </c>
      <c r="Y189" s="51" t="str" cm="1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18"/>
        <v/>
      </c>
      <c r="AA189" s="51" t="str">
        <f t="shared" ca="1" si="19"/>
        <v/>
      </c>
      <c r="AB189" s="51" t="str" cm="1">
        <f t="array" aca="1" ref="AB189" ca="1">IF($R189&lt;&gt;"",
IF(COUNTIF(INDIRECT("B"&amp;R189&amp;""),"*雙葉*"),
INDIRECT("M"&amp;R189&amp;"")+INDIRECT("M"&amp;MATCH("雙葉'",INDIRECT("B"&amp;R189+1&amp;":B210"),0)+R189&amp;""),
IF(LEFT(INDIRECT("B"&amp;R189&amp;""),2)="博多",
INDIRECT("M"&amp;R189&amp;"")+INDIRECT("M"&amp;MATCH("*"&amp;INDIRECT("B"&amp;R189&amp;"")&amp;"*",INDIRECT("B"&amp;R189+1&amp;":B210"),0)+R189&amp;""),
IF(LEFT(INDIRECT("B"&amp;R189&amp;""),3)="奈良屋",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 x14ac:dyDescent="0.45">
      <c r="A190" s="203">
        <f t="shared" si="27"/>
        <v>105</v>
      </c>
      <c r="B190" s="202" t="str">
        <f t="shared" ca="1" si="20"/>
        <v/>
      </c>
      <c r="C190" s="202" t="str">
        <f>IF(OR(クライアント抽出!D120&lt;&gt;"",クライアント抽出!G120&lt;&gt;""),クライアント抽出!A120,"")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IF(COUNTIF(D190,"*学食*"),"キャラ弁（学食）",
IF(COUNTIF(D190,"*赤*"),"赤",
IF(COUNTIF(D190,"*キャラ弁当*"),"キャラ弁当",D190))),注文弁当の抽出!$E$1:$F$15,2,FALSE),"")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 cm="1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26"/>
        <v>0</v>
      </c>
      <c r="P190" s="202">
        <f t="shared" si="22"/>
        <v>0</v>
      </c>
      <c r="Q190" s="202" t="b">
        <f t="shared" si="24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>
        <f t="array" aca="1" ref="W190" ca="1">IF($R190&lt;&gt;"",
IF(COUNTIF(INDIRECT("B"&amp;R190&amp;""),"*雙葉*"),
INDIRECT("H"&amp;R190&amp;"")+INDIRECT("H"&amp;MATCH("雙葉'",INDIRECT("B"&amp;R190+1&amp;":B210"),0)+R190&amp;""),
IF(LEFT(INDIRECT("B"&amp;R190&amp;""),2)="博多",
INDIRECT("H"&amp;R190&amp;"")+INDIRECT("H"&amp;MATCH("*"&amp;INDIRECT("B"&amp;R190&amp;"")&amp;"*",INDIRECT("B"&amp;R190+1&amp;":B210"),0)+R190&amp;""),
IF(LEFT(INDIRECT("B"&amp;R190&amp;""),3)="奈良屋",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INDIRECT(""&amp;IF(COLUMN(I210)&lt;=26,CHAR(COLUMN(I210)+64),CHAR(INT((COLUMN(I210)-1)/26)+64)&amp;CHAR(MOD(COLUMN(I210)-1,26)+65))&amp;$R190&amp;""),"")</f>
        <v/>
      </c>
      <c r="Y190" s="51" t="str" cm="1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18"/>
        <v/>
      </c>
      <c r="AA190" s="51" t="str">
        <f t="shared" ca="1" si="19"/>
        <v/>
      </c>
      <c r="AB190" s="51" t="str" cm="1">
        <f t="array" aca="1" ref="AB190" ca="1">IF($R190&lt;&gt;"",
IF(COUNTIF(INDIRECT("B"&amp;R190&amp;""),"*雙葉*"),
INDIRECT("M"&amp;R190&amp;"")+INDIRECT("M"&amp;MATCH("雙葉'",INDIRECT("B"&amp;R190+1&amp;":B210"),0)+R190&amp;""),
IF(LEFT(INDIRECT("B"&amp;R190&amp;""),2)="博多",
INDIRECT("M"&amp;R190&amp;"")+INDIRECT("M"&amp;MATCH("*"&amp;INDIRECT("B"&amp;R190&amp;"")&amp;"*",INDIRECT("B"&amp;R190+1&amp;":B210"),0)+R190&amp;""),
IF(LEFT(INDIRECT("B"&amp;R190&amp;""),3)="奈良屋",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 x14ac:dyDescent="0.45">
      <c r="A191" s="203">
        <f t="shared" si="27"/>
        <v>107</v>
      </c>
      <c r="B191" s="202" t="str">
        <f t="shared" ca="1" si="20"/>
        <v/>
      </c>
      <c r="C191" s="202" t="str">
        <f>IF(OR(クライアント抽出!D121&lt;&gt;"",クライアント抽出!G121&lt;&gt;""),クライアント抽出!A121,"")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IF(COUNTIF(D191,"*学食*"),"キャラ弁（学食）",
IF(COUNTIF(D191,"*赤*"),"赤",
IF(COUNTIF(D191,"*キャラ弁当*"),"キャラ弁当",D191))),注文弁当の抽出!$E$1:$F$15,2,FALSE),"")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 cm="1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26"/>
        <v>0</v>
      </c>
      <c r="P191" s="202">
        <f t="shared" si="22"/>
        <v>0</v>
      </c>
      <c r="Q191" s="202" t="b">
        <f t="shared" si="24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>
        <f t="array" aca="1" ref="W191" ca="1">IF($R191&lt;&gt;"",
IF(COUNTIF(INDIRECT("B"&amp;R191&amp;""),"*雙葉*"),
INDIRECT("H"&amp;R191&amp;"")+INDIRECT("H"&amp;MATCH("雙葉'",INDIRECT("B"&amp;R191+1&amp;":B210"),0)+R191&amp;""),
IF(LEFT(INDIRECT("B"&amp;R191&amp;""),2)="博多",
INDIRECT("H"&amp;R191&amp;"")+INDIRECT("H"&amp;MATCH("*"&amp;INDIRECT("B"&amp;R191&amp;"")&amp;"*",INDIRECT("B"&amp;R191+1&amp;":B210"),0)+R191&amp;""),
IF(LEFT(INDIRECT("B"&amp;R191&amp;""),3)="奈良屋",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INDIRECT(""&amp;IF(COLUMN(I211)&lt;=26,CHAR(COLUMN(I211)+64),CHAR(INT((COLUMN(I211)-1)/26)+64)&amp;CHAR(MOD(COLUMN(I211)-1,26)+65))&amp;$R191&amp;""),"")</f>
        <v/>
      </c>
      <c r="Y191" s="51" t="str" cm="1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18"/>
        <v/>
      </c>
      <c r="AA191" s="51" t="str">
        <f t="shared" ca="1" si="19"/>
        <v/>
      </c>
      <c r="AB191" s="51" t="str" cm="1">
        <f t="array" aca="1" ref="AB191" ca="1">IF($R191&lt;&gt;"",
IF(COUNTIF(INDIRECT("B"&amp;R191&amp;""),"*雙葉*"),
INDIRECT("M"&amp;R191&amp;"")+INDIRECT("M"&amp;MATCH("雙葉'",INDIRECT("B"&amp;R191+1&amp;":B210"),0)+R191&amp;""),
IF(LEFT(INDIRECT("B"&amp;R191&amp;""),2)="博多",
INDIRECT("M"&amp;R191&amp;"")+INDIRECT("M"&amp;MATCH("*"&amp;INDIRECT("B"&amp;R191&amp;"")&amp;"*",INDIRECT("B"&amp;R191+1&amp;":B210"),0)+R191&amp;""),
IF(LEFT(INDIRECT("B"&amp;R191&amp;""),3)="奈良屋",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 x14ac:dyDescent="0.45">
      <c r="A192" s="203">
        <f t="shared" si="27"/>
        <v>109</v>
      </c>
      <c r="B192" s="202" t="str">
        <f t="shared" ca="1" si="20"/>
        <v/>
      </c>
      <c r="C192" s="202" t="str">
        <f>IF(OR(クライアント抽出!D122&lt;&gt;"",クライアント抽出!G122&lt;&gt;""),クライアント抽出!A122,"")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IF(COUNTIF(D192,"*学食*"),"キャラ弁（学食）",
IF(COUNTIF(D192,"*赤*"),"赤",
IF(COUNTIF(D192,"*キャラ弁当*"),"キャラ弁当",D192))),注文弁当の抽出!$E$1:$F$15,2,FALSE),"")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 cm="1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26"/>
        <v>0</v>
      </c>
      <c r="P192" s="202">
        <f t="shared" si="22"/>
        <v>0</v>
      </c>
      <c r="Q192" s="202" t="b">
        <f t="shared" si="24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>
        <f t="array" aca="1" ref="W192" ca="1">IF($R192&lt;&gt;"",
IF(COUNTIF(INDIRECT("B"&amp;R192&amp;""),"*雙葉*"),
INDIRECT("H"&amp;R192&amp;"")+INDIRECT("H"&amp;MATCH("雙葉'",INDIRECT("B"&amp;R192+1&amp;":B210"),0)+R192&amp;""),
IF(LEFT(INDIRECT("B"&amp;R192&amp;""),2)="博多",
INDIRECT("H"&amp;R192&amp;"")+INDIRECT("H"&amp;MATCH("*"&amp;INDIRECT("B"&amp;R192&amp;"")&amp;"*",INDIRECT("B"&amp;R192+1&amp;":B210"),0)+R192&amp;""),
IF(LEFT(INDIRECT("B"&amp;R192&amp;""),3)="奈良屋",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INDIRECT(""&amp;IF(COLUMN(I212)&lt;=26,CHAR(COLUMN(I212)+64),CHAR(INT((COLUMN(I212)-1)/26)+64)&amp;CHAR(MOD(COLUMN(I212)-1,26)+65))&amp;$R192&amp;""),"")</f>
        <v/>
      </c>
      <c r="Y192" s="51" t="str" cm="1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18"/>
        <v/>
      </c>
      <c r="AA192" s="51" t="str">
        <f t="shared" ca="1" si="19"/>
        <v/>
      </c>
      <c r="AB192" s="51" t="str" cm="1">
        <f t="array" aca="1" ref="AB192" ca="1">IF($R192&lt;&gt;"",
IF(COUNTIF(INDIRECT("B"&amp;R192&amp;""),"*雙葉*"),
INDIRECT("M"&amp;R192&amp;"")+INDIRECT("M"&amp;MATCH("雙葉'",INDIRECT("B"&amp;R192+1&amp;":B210"),0)+R192&amp;""),
IF(LEFT(INDIRECT("B"&amp;R192&amp;""),2)="博多",
INDIRECT("M"&amp;R192&amp;"")+INDIRECT("M"&amp;MATCH("*"&amp;INDIRECT("B"&amp;R192&amp;"")&amp;"*",INDIRECT("B"&amp;R192+1&amp;":B210"),0)+R192&amp;""),
IF(LEFT(INDIRECT("B"&amp;R192&amp;""),3)="奈良屋",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 x14ac:dyDescent="0.45">
      <c r="A193" s="203">
        <f t="shared" si="27"/>
        <v>111</v>
      </c>
      <c r="B193" s="202" t="str">
        <f t="shared" ca="1" si="20"/>
        <v/>
      </c>
      <c r="C193" s="202" t="str">
        <f>IF(OR(クライアント抽出!D123&lt;&gt;"",クライアント抽出!G123&lt;&gt;""),クライアント抽出!A123,"")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IF(COUNTIF(D193,"*学食*"),"キャラ弁（学食）",
IF(COUNTIF(D193,"*赤*"),"赤",
IF(COUNTIF(D193,"*キャラ弁当*"),"キャラ弁当",D193))),注文弁当の抽出!$E$1:$F$15,2,FALSE),"")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 cm="1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26"/>
        <v>0</v>
      </c>
      <c r="P193" s="202">
        <f t="shared" si="22"/>
        <v>0</v>
      </c>
      <c r="Q193" s="202" t="b">
        <f t="shared" si="24"/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>
        <f t="array" aca="1" ref="W193" ca="1">IF($R193&lt;&gt;"",
IF(COUNTIF(INDIRECT("B"&amp;R193&amp;""),"*雙葉*"),
INDIRECT("H"&amp;R193&amp;"")+INDIRECT("H"&amp;MATCH("雙葉'",INDIRECT("B"&amp;R193+1&amp;":B210"),0)+R193&amp;""),
IF(LEFT(INDIRECT("B"&amp;R193&amp;""),2)="博多",
INDIRECT("H"&amp;R193&amp;"")+INDIRECT("H"&amp;MATCH("*"&amp;INDIRECT("B"&amp;R193&amp;"")&amp;"*",INDIRECT("B"&amp;R193+1&amp;":B210"),0)+R193&amp;""),
IF(LEFT(INDIRECT("B"&amp;R193&amp;""),3)="奈良屋",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INDIRECT(""&amp;IF(COLUMN(I213)&lt;=26,CHAR(COLUMN(I213)+64),CHAR(INT((COLUMN(I213)-1)/26)+64)&amp;CHAR(MOD(COLUMN(I213)-1,26)+65))&amp;$R193&amp;""),"")</f>
        <v/>
      </c>
      <c r="Y193" s="51" t="str" cm="1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0" ca="1" si="28">IF(R193&lt;&gt;"",
IFERROR(INT(W193/Y193),""),"")</f>
        <v/>
      </c>
      <c r="AA193" s="51" t="str">
        <f t="shared" ref="AA193:AA250" ca="1" si="29">IFERROR(MOD(W193,Y193),"")</f>
        <v/>
      </c>
      <c r="AB193" s="51" t="str" cm="1">
        <f t="array" aca="1" ref="AB193" ca="1">IF($R193&lt;&gt;"",
IF(COUNTIF(INDIRECT("B"&amp;R193&amp;""),"*雙葉*"),
INDIRECT("M"&amp;R193&amp;"")+INDIRECT("M"&amp;MATCH("雙葉'",INDIRECT("B"&amp;R193+1&amp;":B210"),0)+R193&amp;""),
IF(LEFT(INDIRECT("B"&amp;R193&amp;""),2)="博多",
INDIRECT("M"&amp;R193&amp;"")+INDIRECT("M"&amp;MATCH("*"&amp;INDIRECT("B"&amp;R193&amp;"")&amp;"*",INDIRECT("B"&amp;R193+1&amp;":B210"),0)+R193&amp;""),
IF(LEFT(INDIRECT("B"&amp;R193&amp;""),3)="奈良屋",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 x14ac:dyDescent="0.45">
      <c r="A194" s="203">
        <f t="shared" si="27"/>
        <v>113</v>
      </c>
      <c r="B194" s="202" t="str">
        <f t="shared" ref="B194:B210" ca="1" si="30">IF(COUNTIF(C194,"*雙葉*"),
IF(COUNTIF(INDIRECT("B1:B"&amp;ROW()-1&amp;""),"雙葉"),"雙葉'","雙葉"),
IF(COUNTIF(C194,"*社食*"),"社食'",
IF(LEFT(C194,2)="博多",
IF(IFERROR(TRIM(LEFT(C193,FIND("幼",C193)-1)),TRIM(C193))=IFERROR(TRIM(LEFT(C194,FIND("幼",C194)-1)),TRIM(C194)),
IFERROR(TRIM(LEFT(C194,FIND("幼",C194)-1)),TRIM(C194))&amp;"'",IFERROR(TRIM(LEFT(C194,FIND("幼",C194)-1)),TRIM(C194))),
IF(LEFT(C194,3)="奈良屋",
IF(TRIM(LEFT(C193,FIND("幼",C193)-1))=TRIM(LEFT(C194,FIND("幼",C194)-1)),
"奈良屋'","奈良屋"),""))))</f>
        <v/>
      </c>
      <c r="C194" s="202" t="str">
        <f>IF(OR(クライアント抽出!D124&lt;&gt;"",クライアント抽出!G124&lt;&gt;""),クライアント抽出!A124,"")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IF(COUNTIF(D194,"*学食*"),"キャラ弁（学食）",
IF(COUNTIF(D194,"*赤*"),"赤",
IF(COUNTIF(D194,"*キャラ弁当*"),"キャラ弁当",D194))),注文弁当の抽出!$E$1:$F$15,2,FALSE),"")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 cm="1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26"/>
        <v>0</v>
      </c>
      <c r="P194" s="202">
        <f t="shared" si="22"/>
        <v>0</v>
      </c>
      <c r="Q194" s="202" t="b">
        <f t="shared" si="24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>
        <f t="array" aca="1" ref="W194" ca="1">IF($R194&lt;&gt;"",
IF(COUNTIF(INDIRECT("B"&amp;R194&amp;""),"*雙葉*"),
INDIRECT("H"&amp;R194&amp;"")+INDIRECT("H"&amp;MATCH("雙葉'",INDIRECT("B"&amp;R194+1&amp;":B210"),0)+R194&amp;""),
IF(LEFT(INDIRECT("B"&amp;R194&amp;""),2)="博多",
INDIRECT("H"&amp;R194&amp;"")+INDIRECT("H"&amp;MATCH("*"&amp;INDIRECT("B"&amp;R194&amp;"")&amp;"*",INDIRECT("B"&amp;R194+1&amp;":B210"),0)+R194&amp;""),
IF(LEFT(INDIRECT("B"&amp;R194&amp;""),3)="奈良屋",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INDIRECT(""&amp;IF(COLUMN(I214)&lt;=26,CHAR(COLUMN(I214)+64),CHAR(INT((COLUMN(I214)-1)/26)+64)&amp;CHAR(MOD(COLUMN(I214)-1,26)+65))&amp;$R194&amp;""),"")</f>
        <v/>
      </c>
      <c r="Y194" s="51" t="str" cm="1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28"/>
        <v/>
      </c>
      <c r="AA194" s="51" t="str">
        <f t="shared" ca="1" si="29"/>
        <v/>
      </c>
      <c r="AB194" s="51" t="str" cm="1">
        <f t="array" aca="1" ref="AB194" ca="1">IF($R194&lt;&gt;"",
IF(COUNTIF(INDIRECT("B"&amp;R194&amp;""),"*雙葉*"),
INDIRECT("M"&amp;R194&amp;"")+INDIRECT("M"&amp;MATCH("雙葉'",INDIRECT("B"&amp;R194+1&amp;":B210"),0)+R194&amp;""),
IF(LEFT(INDIRECT("B"&amp;R194&amp;""),2)="博多",
INDIRECT("M"&amp;R194&amp;"")+INDIRECT("M"&amp;MATCH("*"&amp;INDIRECT("B"&amp;R194&amp;"")&amp;"*",INDIRECT("B"&amp;R194+1&amp;":B210"),0)+R194&amp;""),
IF(LEFT(INDIRECT("B"&amp;R194&amp;""),3)="奈良屋",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 x14ac:dyDescent="0.45">
      <c r="A195" s="203">
        <f t="shared" si="27"/>
        <v>115</v>
      </c>
      <c r="B195" s="202" t="str">
        <f t="shared" ca="1" si="30"/>
        <v/>
      </c>
      <c r="C195" s="202" t="str">
        <f>IF(OR(クライアント抽出!D125&lt;&gt;"",クライアント抽出!G125&lt;&gt;""),クライアント抽出!A125,"")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IF(COUNTIF(D195,"*学食*"),"キャラ弁（学食）",
IF(COUNTIF(D195,"*赤*"),"赤",
IF(COUNTIF(D195,"*キャラ弁当*"),"キャラ弁当",D195))),注文弁当の抽出!$E$1:$F$15,2,FALSE),"")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 cm="1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26"/>
        <v>0</v>
      </c>
      <c r="P195" s="202">
        <f t="shared" si="22"/>
        <v>0</v>
      </c>
      <c r="Q195" s="202" t="b">
        <f t="shared" si="24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>
        <f t="array" aca="1" ref="W195" ca="1">IF($R195&lt;&gt;"",
IF(COUNTIF(INDIRECT("B"&amp;R195&amp;""),"*雙葉*"),
INDIRECT("H"&amp;R195&amp;"")+INDIRECT("H"&amp;MATCH("雙葉'",INDIRECT("B"&amp;R195+1&amp;":B210"),0)+R195&amp;""),
IF(LEFT(INDIRECT("B"&amp;R195&amp;""),2)="博多",
INDIRECT("H"&amp;R195&amp;"")+INDIRECT("H"&amp;MATCH("*"&amp;INDIRECT("B"&amp;R195&amp;"")&amp;"*",INDIRECT("B"&amp;R195+1&amp;":B210"),0)+R195&amp;""),
IF(LEFT(INDIRECT("B"&amp;R195&amp;""),3)="奈良屋",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INDIRECT(""&amp;IF(COLUMN(I215)&lt;=26,CHAR(COLUMN(I215)+64),CHAR(INT((COLUMN(I215)-1)/26)+64)&amp;CHAR(MOD(COLUMN(I215)-1,26)+65))&amp;$R195&amp;""),"")</f>
        <v/>
      </c>
      <c r="Y195" s="51" t="str" cm="1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28"/>
        <v/>
      </c>
      <c r="AA195" s="51" t="str">
        <f t="shared" ca="1" si="29"/>
        <v/>
      </c>
      <c r="AB195" s="51" t="str" cm="1">
        <f t="array" aca="1" ref="AB195" ca="1">IF($R195&lt;&gt;"",
IF(COUNTIF(INDIRECT("B"&amp;R195&amp;""),"*雙葉*"),
INDIRECT("M"&amp;R195&amp;"")+INDIRECT("M"&amp;MATCH("雙葉'",INDIRECT("B"&amp;R195+1&amp;":B210"),0)+R195&amp;""),
IF(LEFT(INDIRECT("B"&amp;R195&amp;""),2)="博多",
INDIRECT("M"&amp;R195&amp;"")+INDIRECT("M"&amp;MATCH("*"&amp;INDIRECT("B"&amp;R195&amp;"")&amp;"*",INDIRECT("B"&amp;R195+1&amp;":B210"),0)+R195&amp;""),
IF(LEFT(INDIRECT("B"&amp;R195&amp;""),3)="奈良屋",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 x14ac:dyDescent="0.45">
      <c r="A196" s="203">
        <f t="shared" si="27"/>
        <v>117</v>
      </c>
      <c r="B196" s="202" t="str">
        <f t="shared" ca="1" si="30"/>
        <v/>
      </c>
      <c r="C196" s="202" t="str">
        <f>IF(OR(クライアント抽出!D126&lt;&gt;"",クライアント抽出!G126&lt;&gt;""),クライアント抽出!A126,"")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IF(COUNTIF(D196,"*学食*"),"キャラ弁（学食）",
IF(COUNTIF(D196,"*赤*"),"赤",
IF(COUNTIF(D196,"*キャラ弁当*"),"キャラ弁当",D196))),注文弁当の抽出!$E$1:$F$15,2,FALSE),"")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 cm="1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26"/>
        <v>0</v>
      </c>
      <c r="P196" s="202">
        <f t="shared" si="22"/>
        <v>0</v>
      </c>
      <c r="Q196" s="202" t="b">
        <f t="shared" si="24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>
        <f t="array" aca="1" ref="W196" ca="1">IF($R196&lt;&gt;"",
IF(COUNTIF(INDIRECT("B"&amp;R196&amp;""),"*雙葉*"),
INDIRECT("H"&amp;R196&amp;"")+INDIRECT("H"&amp;MATCH("雙葉'",INDIRECT("B"&amp;R196+1&amp;":B210"),0)+R196&amp;""),
IF(LEFT(INDIRECT("B"&amp;R196&amp;""),2)="博多",
INDIRECT("H"&amp;R196&amp;"")+INDIRECT("H"&amp;MATCH("*"&amp;INDIRECT("B"&amp;R196&amp;"")&amp;"*",INDIRECT("B"&amp;R196+1&amp;":B210"),0)+R196&amp;""),
IF(LEFT(INDIRECT("B"&amp;R196&amp;""),3)="奈良屋",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INDIRECT(""&amp;IF(COLUMN(I216)&lt;=26,CHAR(COLUMN(I216)+64),CHAR(INT((COLUMN(I216)-1)/26)+64)&amp;CHAR(MOD(COLUMN(I216)-1,26)+65))&amp;$R196&amp;""),"")</f>
        <v/>
      </c>
      <c r="Y196" s="51" t="str" cm="1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28"/>
        <v/>
      </c>
      <c r="AA196" s="51" t="str">
        <f t="shared" ca="1" si="29"/>
        <v/>
      </c>
      <c r="AB196" s="51" t="str" cm="1">
        <f t="array" aca="1" ref="AB196" ca="1">IF($R196&lt;&gt;"",
IF(COUNTIF(INDIRECT("B"&amp;R196&amp;""),"*雙葉*"),
INDIRECT("M"&amp;R196&amp;"")+INDIRECT("M"&amp;MATCH("雙葉'",INDIRECT("B"&amp;R196+1&amp;":B210"),0)+R196&amp;""),
IF(LEFT(INDIRECT("B"&amp;R196&amp;""),2)="博多",
INDIRECT("M"&amp;R196&amp;"")+INDIRECT("M"&amp;MATCH("*"&amp;INDIRECT("B"&amp;R196&amp;"")&amp;"*",INDIRECT("B"&amp;R196+1&amp;":B210"),0)+R196&amp;""),
IF(LEFT(INDIRECT("B"&amp;R196&amp;""),3)="奈良屋",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 x14ac:dyDescent="0.45">
      <c r="A197" s="203">
        <f t="shared" si="27"/>
        <v>119</v>
      </c>
      <c r="B197" s="202" t="str">
        <f t="shared" ca="1" si="30"/>
        <v/>
      </c>
      <c r="C197" s="202" t="str">
        <f>IF(OR(クライアント抽出!D127&lt;&gt;"",クライアント抽出!G127&lt;&gt;""),クライアント抽出!A127,"")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IF(COUNTIF(D197,"*学食*"),"キャラ弁（学食）",
IF(COUNTIF(D197,"*赤*"),"赤",
IF(COUNTIF(D197,"*キャラ弁当*"),"キャラ弁当",D197))),注文弁当の抽出!$E$1:$F$15,2,FALSE),"")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 cm="1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26"/>
        <v>0</v>
      </c>
      <c r="P197" s="202">
        <f t="shared" si="22"/>
        <v>0</v>
      </c>
      <c r="Q197" s="202" t="b">
        <f t="shared" si="24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>
        <f t="array" aca="1" ref="W197" ca="1">IF($R197&lt;&gt;"",
IF(COUNTIF(INDIRECT("B"&amp;R197&amp;""),"*雙葉*"),
INDIRECT("H"&amp;R197&amp;"")+INDIRECT("H"&amp;MATCH("雙葉'",INDIRECT("B"&amp;R197+1&amp;":B210"),0)+R197&amp;""),
IF(LEFT(INDIRECT("B"&amp;R197&amp;""),2)="博多",
INDIRECT("H"&amp;R197&amp;"")+INDIRECT("H"&amp;MATCH("*"&amp;INDIRECT("B"&amp;R197&amp;"")&amp;"*",INDIRECT("B"&amp;R197+1&amp;":B210"),0)+R197&amp;""),
IF(LEFT(INDIRECT("B"&amp;R197&amp;""),3)="奈良屋",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INDIRECT(""&amp;IF(COLUMN(I217)&lt;=26,CHAR(COLUMN(I217)+64),CHAR(INT((COLUMN(I217)-1)/26)+64)&amp;CHAR(MOD(COLUMN(I217)-1,26)+65))&amp;$R197&amp;""),"")</f>
        <v/>
      </c>
      <c r="Y197" s="51" t="str" cm="1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28"/>
        <v/>
      </c>
      <c r="AA197" s="51" t="str">
        <f t="shared" ca="1" si="29"/>
        <v/>
      </c>
      <c r="AB197" s="51" t="str" cm="1">
        <f t="array" aca="1" ref="AB197" ca="1">IF($R197&lt;&gt;"",
IF(COUNTIF(INDIRECT("B"&amp;R197&amp;""),"*雙葉*"),
INDIRECT("M"&amp;R197&amp;"")+INDIRECT("M"&amp;MATCH("雙葉'",INDIRECT("B"&amp;R197+1&amp;":B210"),0)+R197&amp;""),
IF(LEFT(INDIRECT("B"&amp;R197&amp;""),2)="博多",
INDIRECT("M"&amp;R197&amp;"")+INDIRECT("M"&amp;MATCH("*"&amp;INDIRECT("B"&amp;R197&amp;"")&amp;"*",INDIRECT("B"&amp;R197+1&amp;":B210"),0)+R197&amp;""),
IF(LEFT(INDIRECT("B"&amp;R197&amp;""),3)="奈良屋",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 x14ac:dyDescent="0.45">
      <c r="A198" s="203">
        <f t="shared" si="27"/>
        <v>121</v>
      </c>
      <c r="B198" s="202" t="str">
        <f t="shared" ca="1" si="30"/>
        <v/>
      </c>
      <c r="C198" s="202" t="str">
        <f>IF(OR(クライアント抽出!D128&lt;&gt;"",クライアント抽出!G128&lt;&gt;""),クライアント抽出!A128,"")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IF(COUNTIF(D198,"*学食*"),"キャラ弁（学食）",
IF(COUNTIF(D198,"*赤*"),"赤",
IF(COUNTIF(D198,"*キャラ弁当*"),"キャラ弁当",D198))),注文弁当の抽出!$E$1:$F$15,2,FALSE),"")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 cm="1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26"/>
        <v>0</v>
      </c>
      <c r="P198" s="202">
        <f t="shared" si="22"/>
        <v>0</v>
      </c>
      <c r="Q198" s="202" t="b">
        <f t="shared" si="24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>
        <f t="array" aca="1" ref="W198" ca="1">IF($R198&lt;&gt;"",
IF(COUNTIF(INDIRECT("B"&amp;R198&amp;""),"*雙葉*"),
INDIRECT("H"&amp;R198&amp;"")+INDIRECT("H"&amp;MATCH("雙葉'",INDIRECT("B"&amp;R198+1&amp;":B210"),0)+R198&amp;""),
IF(LEFT(INDIRECT("B"&amp;R198&amp;""),2)="博多",
INDIRECT("H"&amp;R198&amp;"")+INDIRECT("H"&amp;MATCH("*"&amp;INDIRECT("B"&amp;R198&amp;"")&amp;"*",INDIRECT("B"&amp;R198+1&amp;":B210"),0)+R198&amp;""),
IF(LEFT(INDIRECT("B"&amp;R198&amp;""),3)="奈良屋",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INDIRECT(""&amp;IF(COLUMN(I218)&lt;=26,CHAR(COLUMN(I218)+64),CHAR(INT((COLUMN(I218)-1)/26)+64)&amp;CHAR(MOD(COLUMN(I218)-1,26)+65))&amp;$R198&amp;""),"")</f>
        <v/>
      </c>
      <c r="Y198" s="51" t="str" cm="1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28"/>
        <v/>
      </c>
      <c r="AA198" s="51" t="str">
        <f t="shared" ca="1" si="29"/>
        <v/>
      </c>
      <c r="AB198" s="51" t="str" cm="1">
        <f t="array" aca="1" ref="AB198" ca="1">IF($R198&lt;&gt;"",
IF(COUNTIF(INDIRECT("B"&amp;R198&amp;""),"*雙葉*"),
INDIRECT("M"&amp;R198&amp;"")+INDIRECT("M"&amp;MATCH("雙葉'",INDIRECT("B"&amp;R198+1&amp;":B210"),0)+R198&amp;""),
IF(LEFT(INDIRECT("B"&amp;R198&amp;""),2)="博多",
INDIRECT("M"&amp;R198&amp;"")+INDIRECT("M"&amp;MATCH("*"&amp;INDIRECT("B"&amp;R198&amp;"")&amp;"*",INDIRECT("B"&amp;R198+1&amp;":B210"),0)+R198&amp;""),
IF(LEFT(INDIRECT("B"&amp;R198&amp;""),3)="奈良屋",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 x14ac:dyDescent="0.45">
      <c r="A199" s="203">
        <f t="shared" si="27"/>
        <v>123</v>
      </c>
      <c r="B199" s="202" t="str">
        <f t="shared" ca="1" si="30"/>
        <v/>
      </c>
      <c r="C199" s="202" t="str">
        <f>IF(OR(クライアント抽出!D129&lt;&gt;"",クライアント抽出!G129&lt;&gt;""),クライアント抽出!A129,"")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IF(COUNTIF(D199,"*学食*"),"キャラ弁（学食）",
IF(COUNTIF(D199,"*赤*"),"赤",
IF(COUNTIF(D199,"*キャラ弁当*"),"キャラ弁当",D199))),注文弁当の抽出!$E$1:$F$15,2,FALSE),"")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 cm="1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26"/>
        <v>0</v>
      </c>
      <c r="P199" s="202">
        <f t="shared" si="22"/>
        <v>0</v>
      </c>
      <c r="Q199" s="202" t="b">
        <f t="shared" si="24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>
        <f t="array" aca="1" ref="W199" ca="1">IF($R199&lt;&gt;"",
IF(COUNTIF(INDIRECT("B"&amp;R199&amp;""),"*雙葉*"),
INDIRECT("H"&amp;R199&amp;"")+INDIRECT("H"&amp;MATCH("雙葉'",INDIRECT("B"&amp;R199+1&amp;":B210"),0)+R199&amp;""),
IF(LEFT(INDIRECT("B"&amp;R199&amp;""),2)="博多",
INDIRECT("H"&amp;R199&amp;"")+INDIRECT("H"&amp;MATCH("*"&amp;INDIRECT("B"&amp;R199&amp;"")&amp;"*",INDIRECT("B"&amp;R199+1&amp;":B210"),0)+R199&amp;""),
IF(LEFT(INDIRECT("B"&amp;R199&amp;""),3)="奈良屋",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INDIRECT(""&amp;IF(COLUMN(I219)&lt;=26,CHAR(COLUMN(I219)+64),CHAR(INT((COLUMN(I219)-1)/26)+64)&amp;CHAR(MOD(COLUMN(I219)-1,26)+65))&amp;$R199&amp;""),"")</f>
        <v/>
      </c>
      <c r="Y199" s="51" t="str" cm="1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28"/>
        <v/>
      </c>
      <c r="AA199" s="51" t="str">
        <f t="shared" ca="1" si="29"/>
        <v/>
      </c>
      <c r="AB199" s="51" t="str" cm="1">
        <f t="array" aca="1" ref="AB199" ca="1">IF($R199&lt;&gt;"",
IF(COUNTIF(INDIRECT("B"&amp;R199&amp;""),"*雙葉*"),
INDIRECT("M"&amp;R199&amp;"")+INDIRECT("M"&amp;MATCH("雙葉'",INDIRECT("B"&amp;R199+1&amp;":B210"),0)+R199&amp;""),
IF(LEFT(INDIRECT("B"&amp;R199&amp;""),2)="博多",
INDIRECT("M"&amp;R199&amp;"")+INDIRECT("M"&amp;MATCH("*"&amp;INDIRECT("B"&amp;R199&amp;"")&amp;"*",INDIRECT("B"&amp;R199+1&amp;":B210"),0)+R199&amp;""),
IF(LEFT(INDIRECT("B"&amp;R199&amp;""),3)="奈良屋",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 x14ac:dyDescent="0.45">
      <c r="A200" s="203">
        <f t="shared" si="27"/>
        <v>125</v>
      </c>
      <c r="B200" s="202" t="str">
        <f t="shared" ca="1" si="30"/>
        <v/>
      </c>
      <c r="C200" s="202" t="str">
        <f>IF(OR(クライアント抽出!D130&lt;&gt;"",クライアント抽出!G130&lt;&gt;""),クライアント抽出!A130,"")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IF(COUNTIF(D200,"*学食*"),"キャラ弁（学食）",
IF(COUNTIF(D200,"*赤*"),"赤",
IF(COUNTIF(D200,"*キャラ弁当*"),"キャラ弁当",D200))),注文弁当の抽出!$E$1:$F$15,2,FALSE),"")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 cm="1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26"/>
        <v>0</v>
      </c>
      <c r="P200" s="202">
        <f t="shared" ref="P200:P210" si="31">IF(COUNTIF(Q200,"TRUE"),
IF(OR(COUNTIF(B200,"*'*"),H200=0),0,ROW()),0)</f>
        <v>0</v>
      </c>
      <c r="Q200" s="202" t="b">
        <f t="shared" si="24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>
        <f t="array" aca="1" ref="W200" ca="1">IF($R200&lt;&gt;"",
IF(COUNTIF(INDIRECT("B"&amp;R200&amp;""),"*雙葉*"),
INDIRECT("H"&amp;R200&amp;"")+INDIRECT("H"&amp;MATCH("雙葉'",INDIRECT("B"&amp;R200+1&amp;":B210"),0)+R200&amp;""),
IF(LEFT(INDIRECT("B"&amp;R200&amp;""),2)="博多",
INDIRECT("H"&amp;R200&amp;"")+INDIRECT("H"&amp;MATCH("*"&amp;INDIRECT("B"&amp;R200&amp;"")&amp;"*",INDIRECT("B"&amp;R200+1&amp;":B210"),0)+R200&amp;""),
IF(LEFT(INDIRECT("B"&amp;R200&amp;""),3)="奈良屋",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INDIRECT(""&amp;IF(COLUMN(I220)&lt;=26,CHAR(COLUMN(I220)+64),CHAR(INT((COLUMN(I220)-1)/26)+64)&amp;CHAR(MOD(COLUMN(I220)-1,26)+65))&amp;$R200&amp;""),"")</f>
        <v/>
      </c>
      <c r="Y200" s="51" t="str" cm="1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28"/>
        <v/>
      </c>
      <c r="AA200" s="51" t="str">
        <f t="shared" ca="1" si="29"/>
        <v/>
      </c>
      <c r="AB200" s="51" t="str" cm="1">
        <f t="array" aca="1" ref="AB200" ca="1">IF($R200&lt;&gt;"",
IF(COUNTIF(INDIRECT("B"&amp;R200&amp;""),"*雙葉*"),
INDIRECT("M"&amp;R200&amp;"")+INDIRECT("M"&amp;MATCH("雙葉'",INDIRECT("B"&amp;R200+1&amp;":B210"),0)+R200&amp;""),
IF(LEFT(INDIRECT("B"&amp;R200&amp;""),2)="博多",
INDIRECT("M"&amp;R200&amp;"")+INDIRECT("M"&amp;MATCH("*"&amp;INDIRECT("B"&amp;R200&amp;"")&amp;"*",INDIRECT("B"&amp;R200+1&amp;":B210"),0)+R200&amp;""),
IF(LEFT(INDIRECT("B"&amp;R200&amp;""),3)="奈良屋",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 x14ac:dyDescent="0.45">
      <c r="A201" s="203">
        <f t="shared" si="27"/>
        <v>127</v>
      </c>
      <c r="B201" s="202" t="str">
        <f t="shared" ca="1" si="30"/>
        <v/>
      </c>
      <c r="C201" s="202" t="str">
        <f>IF(OR(クライアント抽出!D131&lt;&gt;"",クライアント抽出!G131&lt;&gt;""),クライアント抽出!A131,"")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IF(COUNTIF(D201,"*学食*"),"キャラ弁（学食）",
IF(COUNTIF(D201,"*赤*"),"赤",
IF(COUNTIF(D201,"*キャラ弁当*"),"キャラ弁当",D201))),注文弁当の抽出!$E$1:$F$15,2,FALSE),"")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 cm="1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26"/>
        <v>0</v>
      </c>
      <c r="P201" s="202">
        <f t="shared" si="31"/>
        <v>0</v>
      </c>
      <c r="Q201" s="202" t="b">
        <f t="shared" si="24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>
        <f t="array" aca="1" ref="W201" ca="1">IF($R201&lt;&gt;"",
IF(COUNTIF(INDIRECT("B"&amp;R201&amp;""),"*雙葉*"),
INDIRECT("H"&amp;R201&amp;"")+INDIRECT("H"&amp;MATCH("雙葉'",INDIRECT("B"&amp;R201+1&amp;":B210"),0)+R201&amp;""),
IF(LEFT(INDIRECT("B"&amp;R201&amp;""),2)="博多",
INDIRECT("H"&amp;R201&amp;"")+INDIRECT("H"&amp;MATCH("*"&amp;INDIRECT("B"&amp;R201&amp;"")&amp;"*",INDIRECT("B"&amp;R201+1&amp;":B210"),0)+R201&amp;""),
IF(LEFT(INDIRECT("B"&amp;R201&amp;""),3)="奈良屋",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INDIRECT(""&amp;IF(COLUMN(I221)&lt;=26,CHAR(COLUMN(I221)+64),CHAR(INT((COLUMN(I221)-1)/26)+64)&amp;CHAR(MOD(COLUMN(I221)-1,26)+65))&amp;$R201&amp;""),"")</f>
        <v/>
      </c>
      <c r="Y201" s="51" t="str" cm="1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28"/>
        <v/>
      </c>
      <c r="AA201" s="51" t="str">
        <f t="shared" ca="1" si="29"/>
        <v/>
      </c>
      <c r="AB201" s="51" t="str" cm="1">
        <f t="array" aca="1" ref="AB201" ca="1">IF($R201&lt;&gt;"",
IF(COUNTIF(INDIRECT("B"&amp;R201&amp;""),"*雙葉*"),
INDIRECT("M"&amp;R201&amp;"")+INDIRECT("M"&amp;MATCH("雙葉'",INDIRECT("B"&amp;R201+1&amp;":B210"),0)+R201&amp;""),
IF(LEFT(INDIRECT("B"&amp;R201&amp;""),2)="博多",
INDIRECT("M"&amp;R201&amp;"")+INDIRECT("M"&amp;MATCH("*"&amp;INDIRECT("B"&amp;R201&amp;"")&amp;"*",INDIRECT("B"&amp;R201+1&amp;":B210"),0)+R201&amp;""),
IF(LEFT(INDIRECT("B"&amp;R201&amp;""),3)="奈良屋",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 x14ac:dyDescent="0.45">
      <c r="A202" s="203">
        <f t="shared" si="27"/>
        <v>129</v>
      </c>
      <c r="B202" s="202" t="str">
        <f t="shared" ca="1" si="30"/>
        <v/>
      </c>
      <c r="C202" s="202" t="str">
        <f>IF(OR(クライアント抽出!D132&lt;&gt;"",クライアント抽出!G132&lt;&gt;""),クライアント抽出!A132,"")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IF(COUNTIF(D202,"*学食*"),"キャラ弁（学食）",
IF(COUNTIF(D202,"*赤*"),"赤",
IF(COUNTIF(D202,"*キャラ弁当*"),"キャラ弁当",D202))),注文弁当の抽出!$E$1:$F$15,2,FALSE),"")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 cm="1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26"/>
        <v>0</v>
      </c>
      <c r="P202" s="202">
        <f t="shared" si="31"/>
        <v>0</v>
      </c>
      <c r="Q202" s="202" t="b">
        <f t="shared" si="24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>
        <f t="array" aca="1" ref="W202" ca="1">IF($R202&lt;&gt;"",
IF(COUNTIF(INDIRECT("B"&amp;R202&amp;""),"*雙葉*"),
INDIRECT("H"&amp;R202&amp;"")+INDIRECT("H"&amp;MATCH("雙葉'",INDIRECT("B"&amp;R202+1&amp;":B210"),0)+R202&amp;""),
IF(LEFT(INDIRECT("B"&amp;R202&amp;""),2)="博多",
INDIRECT("H"&amp;R202&amp;"")+INDIRECT("H"&amp;MATCH("*"&amp;INDIRECT("B"&amp;R202&amp;"")&amp;"*",INDIRECT("B"&amp;R202+1&amp;":B210"),0)+R202&amp;""),
IF(LEFT(INDIRECT("B"&amp;R202&amp;""),3)="奈良屋",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INDIRECT(""&amp;IF(COLUMN(I222)&lt;=26,CHAR(COLUMN(I222)+64),CHAR(INT((COLUMN(I222)-1)/26)+64)&amp;CHAR(MOD(COLUMN(I222)-1,26)+65))&amp;$R202&amp;""),"")</f>
        <v/>
      </c>
      <c r="Y202" s="51" t="str" cm="1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28"/>
        <v/>
      </c>
      <c r="AA202" s="51" t="str">
        <f t="shared" ca="1" si="29"/>
        <v/>
      </c>
      <c r="AB202" s="51" t="str" cm="1">
        <f t="array" aca="1" ref="AB202" ca="1">IF($R202&lt;&gt;"",
IF(COUNTIF(INDIRECT("B"&amp;R202&amp;""),"*雙葉*"),
INDIRECT("M"&amp;R202&amp;"")+INDIRECT("M"&amp;MATCH("雙葉'",INDIRECT("B"&amp;R202+1&amp;":B210"),0)+R202&amp;""),
IF(LEFT(INDIRECT("B"&amp;R202&amp;""),2)="博多",
INDIRECT("M"&amp;R202&amp;"")+INDIRECT("M"&amp;MATCH("*"&amp;INDIRECT("B"&amp;R202&amp;"")&amp;"*",INDIRECT("B"&amp;R202+1&amp;":B210"),0)+R202&amp;""),
IF(LEFT(INDIRECT("B"&amp;R202&amp;""),3)="奈良屋",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 x14ac:dyDescent="0.45">
      <c r="A203" s="203">
        <f t="shared" si="27"/>
        <v>131</v>
      </c>
      <c r="B203" s="202" t="str">
        <f t="shared" ca="1" si="30"/>
        <v/>
      </c>
      <c r="C203" s="202" t="str">
        <f>IF(OR(クライアント抽出!D133&lt;&gt;"",クライアント抽出!G133&lt;&gt;""),クライアント抽出!A133,"")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IF(COUNTIF(D203,"*学食*"),"キャラ弁（学食）",
IF(COUNTIF(D203,"*赤*"),"赤",
IF(COUNTIF(D203,"*キャラ弁当*"),"キャラ弁当",D203))),注文弁当の抽出!$E$1:$F$15,2,FALSE),"")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 cm="1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26"/>
        <v>0</v>
      </c>
      <c r="P203" s="202">
        <f t="shared" si="31"/>
        <v>0</v>
      </c>
      <c r="Q203" s="202" t="b">
        <f t="shared" ref="Q203:Q210" si="32">IF(C203&lt;&gt;"",
IF(OR(N203=1,COUNTIF(D203,"*朝食*"),COUNTIF(D203,"*夕食*")),TRUE,FALSE),FALSE)</f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>
        <f t="array" aca="1" ref="W203" ca="1">IF($R203&lt;&gt;"",
IF(COUNTIF(INDIRECT("B"&amp;R203&amp;""),"*雙葉*"),
INDIRECT("H"&amp;R203&amp;"")+INDIRECT("H"&amp;MATCH("雙葉'",INDIRECT("B"&amp;R203+1&amp;":B210"),0)+R203&amp;""),
IF(LEFT(INDIRECT("B"&amp;R203&amp;""),2)="博多",
INDIRECT("H"&amp;R203&amp;"")+INDIRECT("H"&amp;MATCH("*"&amp;INDIRECT("B"&amp;R203&amp;"")&amp;"*",INDIRECT("B"&amp;R203+1&amp;":B210"),0)+R203&amp;""),
IF(LEFT(INDIRECT("B"&amp;R203&amp;""),3)="奈良屋",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INDIRECT(""&amp;IF(COLUMN(I223)&lt;=26,CHAR(COLUMN(I223)+64),CHAR(INT((COLUMN(I223)-1)/26)+64)&amp;CHAR(MOD(COLUMN(I223)-1,26)+65))&amp;$R203&amp;""),"")</f>
        <v/>
      </c>
      <c r="Y203" s="51" t="str" cm="1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28"/>
        <v/>
      </c>
      <c r="AA203" s="51" t="str">
        <f t="shared" ca="1" si="29"/>
        <v/>
      </c>
      <c r="AB203" s="51" t="str" cm="1">
        <f t="array" aca="1" ref="AB203" ca="1">IF($R203&lt;&gt;"",
IF(COUNTIF(INDIRECT("B"&amp;R203&amp;""),"*雙葉*"),
INDIRECT("M"&amp;R203&amp;"")+INDIRECT("M"&amp;MATCH("雙葉'",INDIRECT("B"&amp;R203+1&amp;":B210"),0)+R203&amp;""),
IF(LEFT(INDIRECT("B"&amp;R203&amp;""),2)="博多",
INDIRECT("M"&amp;R203&amp;"")+INDIRECT("M"&amp;MATCH("*"&amp;INDIRECT("B"&amp;R203&amp;"")&amp;"*",INDIRECT("B"&amp;R203+1&amp;":B210"),0)+R203&amp;""),
IF(LEFT(INDIRECT("B"&amp;R203&amp;""),3)="奈良屋",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 x14ac:dyDescent="0.45">
      <c r="A204" s="203">
        <f t="shared" si="27"/>
        <v>133</v>
      </c>
      <c r="B204" s="202" t="str">
        <f t="shared" ca="1" si="30"/>
        <v/>
      </c>
      <c r="C204" s="202" t="str">
        <f>IF(OR(クライアント抽出!D134&lt;&gt;"",クライアント抽出!G134&lt;&gt;""),クライアント抽出!A134,"")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IF(COUNTIF(D204,"*学食*"),"キャラ弁（学食）",
IF(COUNTIF(D204,"*赤*"),"赤",
IF(COUNTIF(D204,"*キャラ弁当*"),"キャラ弁当",D204))),注文弁当の抽出!$E$1:$F$15,2,FALSE),"")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 cm="1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26"/>
        <v>0</v>
      </c>
      <c r="P204" s="202">
        <f t="shared" si="31"/>
        <v>0</v>
      </c>
      <c r="Q204" s="202" t="b">
        <f t="shared" si="32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>
        <f t="array" aca="1" ref="W204" ca="1">IF($R204&lt;&gt;"",
IF(COUNTIF(INDIRECT("B"&amp;R204&amp;""),"*雙葉*"),
INDIRECT("H"&amp;R204&amp;"")+INDIRECT("H"&amp;MATCH("雙葉'",INDIRECT("B"&amp;R204+1&amp;":B210"),0)+R204&amp;""),
IF(LEFT(INDIRECT("B"&amp;R204&amp;""),2)="博多",
INDIRECT("H"&amp;R204&amp;"")+INDIRECT("H"&amp;MATCH("*"&amp;INDIRECT("B"&amp;R204&amp;"")&amp;"*",INDIRECT("B"&amp;R204+1&amp;":B210"),0)+R204&amp;""),
IF(LEFT(INDIRECT("B"&amp;R204&amp;""),3)="奈良屋",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INDIRECT(""&amp;IF(COLUMN(I224)&lt;=26,CHAR(COLUMN(I224)+64),CHAR(INT((COLUMN(I224)-1)/26)+64)&amp;CHAR(MOD(COLUMN(I224)-1,26)+65))&amp;$R204&amp;""),"")</f>
        <v/>
      </c>
      <c r="Y204" s="51" t="str" cm="1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28"/>
        <v/>
      </c>
      <c r="AA204" s="51" t="str">
        <f t="shared" ca="1" si="29"/>
        <v/>
      </c>
      <c r="AB204" s="51" t="str" cm="1">
        <f t="array" aca="1" ref="AB204" ca="1">IF($R204&lt;&gt;"",
IF(COUNTIF(INDIRECT("B"&amp;R204&amp;""),"*雙葉*"),
INDIRECT("M"&amp;R204&amp;"")+INDIRECT("M"&amp;MATCH("雙葉'",INDIRECT("B"&amp;R204+1&amp;":B210"),0)+R204&amp;""),
IF(LEFT(INDIRECT("B"&amp;R204&amp;""),2)="博多",
INDIRECT("M"&amp;R204&amp;"")+INDIRECT("M"&amp;MATCH("*"&amp;INDIRECT("B"&amp;R204&amp;"")&amp;"*",INDIRECT("B"&amp;R204+1&amp;":B210"),0)+R204&amp;""),
IF(LEFT(INDIRECT("B"&amp;R204&amp;""),3)="奈良屋",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 x14ac:dyDescent="0.45">
      <c r="A205" s="203">
        <f t="shared" si="27"/>
        <v>135</v>
      </c>
      <c r="B205" s="202" t="str">
        <f t="shared" ca="1" si="30"/>
        <v/>
      </c>
      <c r="C205" s="202" t="str">
        <f>IF(OR(クライアント抽出!D135&lt;&gt;"",クライアント抽出!G135&lt;&gt;""),クライアント抽出!A135,"")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IF(COUNTIF(D205,"*学食*"),"キャラ弁（学食）",
IF(COUNTIF(D205,"*赤*"),"赤",
IF(COUNTIF(D205,"*キャラ弁当*"),"キャラ弁当",D205))),注文弁当の抽出!$E$1:$F$15,2,FALSE),"")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 cm="1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ca="1" si="26"/>
        <v>0</v>
      </c>
      <c r="P205" s="202">
        <f t="shared" si="31"/>
        <v>0</v>
      </c>
      <c r="Q205" s="202" t="b">
        <f t="shared" si="32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>
        <f t="array" aca="1" ref="W205" ca="1">IF($R205&lt;&gt;"",
IF(COUNTIF(INDIRECT("B"&amp;R205&amp;""),"*雙葉*"),
INDIRECT("H"&amp;R205&amp;"")+INDIRECT("H"&amp;MATCH("雙葉'",INDIRECT("B"&amp;R205+1&amp;":B210"),0)+R205&amp;""),
IF(LEFT(INDIRECT("B"&amp;R205&amp;""),2)="博多",
INDIRECT("H"&amp;R205&amp;"")+INDIRECT("H"&amp;MATCH("*"&amp;INDIRECT("B"&amp;R205&amp;"")&amp;"*",INDIRECT("B"&amp;R205+1&amp;":B210"),0)+R205&amp;""),
IF(LEFT(INDIRECT("B"&amp;R205&amp;""),3)="奈良屋",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INDIRECT(""&amp;IF(COLUMN(I225)&lt;=26,CHAR(COLUMN(I225)+64),CHAR(INT((COLUMN(I225)-1)/26)+64)&amp;CHAR(MOD(COLUMN(I225)-1,26)+65))&amp;$R205&amp;""),"")</f>
        <v/>
      </c>
      <c r="Y205" s="51" t="str" cm="1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28"/>
        <v/>
      </c>
      <c r="AA205" s="51" t="str">
        <f t="shared" ca="1" si="29"/>
        <v/>
      </c>
      <c r="AB205" s="51" t="str" cm="1">
        <f t="array" aca="1" ref="AB205" ca="1">IF($R205&lt;&gt;"",
IF(COUNTIF(INDIRECT("B"&amp;R205&amp;""),"*雙葉*"),
INDIRECT("M"&amp;R205&amp;"")+INDIRECT("M"&amp;MATCH("雙葉'",INDIRECT("B"&amp;R205+1&amp;":B210"),0)+R205&amp;""),
IF(LEFT(INDIRECT("B"&amp;R205&amp;""),2)="博多",
INDIRECT("M"&amp;R205&amp;"")+INDIRECT("M"&amp;MATCH("*"&amp;INDIRECT("B"&amp;R205&amp;"")&amp;"*",INDIRECT("B"&amp;R205+1&amp;":B210"),0)+R205&amp;""),
IF(LEFT(INDIRECT("B"&amp;R205&amp;""),3)="奈良屋",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 x14ac:dyDescent="0.45">
      <c r="A206" s="203">
        <f t="shared" si="27"/>
        <v>137</v>
      </c>
      <c r="B206" s="202" t="str">
        <f t="shared" ca="1" si="30"/>
        <v/>
      </c>
      <c r="C206" s="202" t="str">
        <f>IF(OR(クライアント抽出!D136&lt;&gt;"",クライアント抽出!G136&lt;&gt;""),クライアント抽出!A136,"")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IF(COUNTIF(D206,"*学食*"),"キャラ弁（学食）",
IF(COUNTIF(D206,"*赤*"),"赤",
IF(COUNTIF(D206,"*キャラ弁当*"),"キャラ弁当",D206))),注文弁当の抽出!$E$1:$F$15,2,FALSE),"")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 cm="1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ref="O206:O210" ca="1" si="33">O66</f>
        <v>0</v>
      </c>
      <c r="P206" s="202">
        <f t="shared" si="31"/>
        <v>0</v>
      </c>
      <c r="Q206" s="202" t="b">
        <f t="shared" si="32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>
        <f t="array" aca="1" ref="W206" ca="1">IF($R206&lt;&gt;"",
IF(COUNTIF(INDIRECT("B"&amp;R206&amp;""),"*雙葉*"),
INDIRECT("H"&amp;R206&amp;"")+INDIRECT("H"&amp;MATCH("雙葉'",INDIRECT("B"&amp;R206+1&amp;":B210"),0)+R206&amp;""),
IF(LEFT(INDIRECT("B"&amp;R206&amp;""),2)="博多",
INDIRECT("H"&amp;R206&amp;"")+INDIRECT("H"&amp;MATCH("*"&amp;INDIRECT("B"&amp;R206&amp;"")&amp;"*",INDIRECT("B"&amp;R206+1&amp;":B210"),0)+R206&amp;""),
IF(LEFT(INDIRECT("B"&amp;R206&amp;""),3)="奈良屋",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INDIRECT(""&amp;IF(COLUMN(I226)&lt;=26,CHAR(COLUMN(I226)+64),CHAR(INT((COLUMN(I226)-1)/26)+64)&amp;CHAR(MOD(COLUMN(I226)-1,26)+65))&amp;$R206&amp;""),"")</f>
        <v/>
      </c>
      <c r="Y206" s="51" t="str" cm="1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28"/>
        <v/>
      </c>
      <c r="AA206" s="51" t="str">
        <f t="shared" ca="1" si="29"/>
        <v/>
      </c>
      <c r="AB206" s="51" t="str" cm="1">
        <f t="array" aca="1" ref="AB206" ca="1">IF($R206&lt;&gt;"",
IF(COUNTIF(INDIRECT("B"&amp;R206&amp;""),"*雙葉*"),
INDIRECT("M"&amp;R206&amp;"")+INDIRECT("M"&amp;MATCH("雙葉'",INDIRECT("B"&amp;R206+1&amp;":B210"),0)+R206&amp;""),
IF(LEFT(INDIRECT("B"&amp;R206&amp;""),2)="博多",
INDIRECT("M"&amp;R206&amp;"")+INDIRECT("M"&amp;MATCH("*"&amp;INDIRECT("B"&amp;R206&amp;"")&amp;"*",INDIRECT("B"&amp;R206+1&amp;":B210"),0)+R206&amp;""),
IF(LEFT(INDIRECT("B"&amp;R206&amp;""),3)="奈良屋",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 x14ac:dyDescent="0.45">
      <c r="A207" s="203">
        <f t="shared" si="27"/>
        <v>139</v>
      </c>
      <c r="B207" s="202" t="str">
        <f t="shared" ca="1" si="30"/>
        <v/>
      </c>
      <c r="C207" s="202" t="str">
        <f>IF(OR(クライアント抽出!D137&lt;&gt;"",クライアント抽出!G137&lt;&gt;""),クライアント抽出!A137,"")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IF(COUNTIF(D207,"*学食*"),"キャラ弁（学食）",
IF(COUNTIF(D207,"*赤*"),"赤",
IF(COUNTIF(D207,"*キャラ弁当*"),"キャラ弁当",D207))),注文弁当の抽出!$E$1:$F$15,2,FALSE),"")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 cm="1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3"/>
        <v>0</v>
      </c>
      <c r="P207" s="202">
        <f t="shared" si="31"/>
        <v>0</v>
      </c>
      <c r="Q207" s="202" t="b">
        <f t="shared" si="32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>
        <f t="array" aca="1" ref="W207" ca="1">IF($R207&lt;&gt;"",
IF(COUNTIF(INDIRECT("B"&amp;R207&amp;""),"*雙葉*"),
INDIRECT("H"&amp;R207&amp;"")+INDIRECT("H"&amp;MATCH("雙葉'",INDIRECT("B"&amp;R207+1&amp;":B210"),0)+R207&amp;""),
IF(LEFT(INDIRECT("B"&amp;R207&amp;""),2)="博多",
INDIRECT("H"&amp;R207&amp;"")+INDIRECT("H"&amp;MATCH("*"&amp;INDIRECT("B"&amp;R207&amp;"")&amp;"*",INDIRECT("B"&amp;R207+1&amp;":B210"),0)+R207&amp;""),
IF(LEFT(INDIRECT("B"&amp;R207&amp;""),3)="奈良屋",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INDIRECT(""&amp;IF(COLUMN(I227)&lt;=26,CHAR(COLUMN(I227)+64),CHAR(INT((COLUMN(I227)-1)/26)+64)&amp;CHAR(MOD(COLUMN(I227)-1,26)+65))&amp;$R207&amp;""),"")</f>
        <v/>
      </c>
      <c r="Y207" s="51" t="str" cm="1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28"/>
        <v/>
      </c>
      <c r="AA207" s="51" t="str">
        <f t="shared" ca="1" si="29"/>
        <v/>
      </c>
      <c r="AB207" s="51" t="str" cm="1">
        <f t="array" aca="1" ref="AB207" ca="1">IF($R207&lt;&gt;"",
IF(COUNTIF(INDIRECT("B"&amp;R207&amp;""),"*雙葉*"),
INDIRECT("M"&amp;R207&amp;"")+INDIRECT("M"&amp;MATCH("雙葉'",INDIRECT("B"&amp;R207+1&amp;":B210"),0)+R207&amp;""),
IF(LEFT(INDIRECT("B"&amp;R207&amp;""),2)="博多",
INDIRECT("M"&amp;R207&amp;"")+INDIRECT("M"&amp;MATCH("*"&amp;INDIRECT("B"&amp;R207&amp;"")&amp;"*",INDIRECT("B"&amp;R207+1&amp;":B210"),0)+R207&amp;""),
IF(LEFT(INDIRECT("B"&amp;R207&amp;""),3)="奈良屋",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 x14ac:dyDescent="0.45">
      <c r="A208" s="203">
        <f t="shared" si="27"/>
        <v>141</v>
      </c>
      <c r="B208" s="202" t="str">
        <f t="shared" ca="1" si="30"/>
        <v/>
      </c>
      <c r="C208" s="202" t="str">
        <f>IF(OR(クライアント抽出!D138&lt;&gt;"",クライアント抽出!G138&lt;&gt;""),クライアント抽出!A138,"")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IF(COUNTIF(D208,"*学食*"),"キャラ弁（学食）",
IF(COUNTIF(D208,"*赤*"),"赤",
IF(COUNTIF(D208,"*キャラ弁当*"),"キャラ弁当",D208))),注文弁当の抽出!$E$1:$F$15,2,FALSE),"")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 cm="1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3"/>
        <v>0</v>
      </c>
      <c r="P208" s="202">
        <f t="shared" si="31"/>
        <v>0</v>
      </c>
      <c r="Q208" s="202" t="b">
        <f t="shared" si="32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>
        <f t="array" aca="1" ref="W208" ca="1">IF($R208&lt;&gt;"",
IF(COUNTIF(INDIRECT("B"&amp;R208&amp;""),"*雙葉*"),
INDIRECT("H"&amp;R208&amp;"")+INDIRECT("H"&amp;MATCH("雙葉'",INDIRECT("B"&amp;R208+1&amp;":B210"),0)+R208&amp;""),
IF(LEFT(INDIRECT("B"&amp;R208&amp;""),2)="博多",
INDIRECT("H"&amp;R208&amp;"")+INDIRECT("H"&amp;MATCH("*"&amp;INDIRECT("B"&amp;R208&amp;"")&amp;"*",INDIRECT("B"&amp;R208+1&amp;":B210"),0)+R208&amp;""),
IF(LEFT(INDIRECT("B"&amp;R208&amp;""),3)="奈良屋",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INDIRECT(""&amp;IF(COLUMN(I228)&lt;=26,CHAR(COLUMN(I228)+64),CHAR(INT((COLUMN(I228)-1)/26)+64)&amp;CHAR(MOD(COLUMN(I228)-1,26)+65))&amp;$R208&amp;""),"")</f>
        <v/>
      </c>
      <c r="Y208" s="51" t="str" cm="1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28"/>
        <v/>
      </c>
      <c r="AA208" s="51" t="str">
        <f t="shared" ca="1" si="29"/>
        <v/>
      </c>
      <c r="AB208" s="51" t="str" cm="1">
        <f t="array" aca="1" ref="AB208" ca="1">IF($R208&lt;&gt;"",
IF(COUNTIF(INDIRECT("B"&amp;R208&amp;""),"*雙葉*"),
INDIRECT("M"&amp;R208&amp;"")+INDIRECT("M"&amp;MATCH("雙葉'",INDIRECT("B"&amp;R208+1&amp;":B210"),0)+R208&amp;""),
IF(LEFT(INDIRECT("B"&amp;R208&amp;""),2)="博多",
INDIRECT("M"&amp;R208&amp;"")+INDIRECT("M"&amp;MATCH("*"&amp;INDIRECT("B"&amp;R208&amp;"")&amp;"*",INDIRECT("B"&amp;R208+1&amp;":B210"),0)+R208&amp;""),
IF(LEFT(INDIRECT("B"&amp;R208&amp;""),3)="奈良屋",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 x14ac:dyDescent="0.45">
      <c r="A209" s="203">
        <f t="shared" si="27"/>
        <v>143</v>
      </c>
      <c r="B209" s="202" t="str">
        <f t="shared" ca="1" si="30"/>
        <v/>
      </c>
      <c r="C209" s="202" t="str">
        <f>IF(OR(クライアント抽出!D139&lt;&gt;"",クライアント抽出!G139&lt;&gt;""),クライアント抽出!A139,"")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IF(COUNTIF(D209,"*学食*"),"キャラ弁（学食）",
IF(COUNTIF(D209,"*赤*"),"赤",
IF(COUNTIF(D209,"*キャラ弁当*"),"キャラ弁当",D209))),注文弁当の抽出!$E$1:$F$15,2,FALSE),"")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 cm="1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3"/>
        <v>0</v>
      </c>
      <c r="P209" s="202">
        <f t="shared" si="31"/>
        <v>0</v>
      </c>
      <c r="Q209" s="202" t="b">
        <f t="shared" si="32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>
        <f t="array" aca="1" ref="W209" ca="1">IF($R209&lt;&gt;"",
IF(COUNTIF(INDIRECT("B"&amp;R209&amp;""),"*雙葉*"),
INDIRECT("H"&amp;R209&amp;"")+INDIRECT("H"&amp;MATCH("雙葉'",INDIRECT("B"&amp;R209+1&amp;":B210"),0)+R209&amp;""),
IF(LEFT(INDIRECT("B"&amp;R209&amp;""),2)="博多",
INDIRECT("H"&amp;R209&amp;"")+INDIRECT("H"&amp;MATCH("*"&amp;INDIRECT("B"&amp;R209&amp;"")&amp;"*",INDIRECT("B"&amp;R209+1&amp;":B210"),0)+R209&amp;""),
IF(LEFT(INDIRECT("B"&amp;R209&amp;""),3)="奈良屋",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INDIRECT(""&amp;IF(COLUMN(I229)&lt;=26,CHAR(COLUMN(I229)+64),CHAR(INT((COLUMN(I229)-1)/26)+64)&amp;CHAR(MOD(COLUMN(I229)-1,26)+65))&amp;$R209&amp;""),"")</f>
        <v/>
      </c>
      <c r="Y209" s="51" t="str" cm="1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28"/>
        <v/>
      </c>
      <c r="AA209" s="51" t="str">
        <f t="shared" ca="1" si="29"/>
        <v/>
      </c>
      <c r="AB209" s="51" t="str" cm="1">
        <f t="array" aca="1" ref="AB209" ca="1">IF($R209&lt;&gt;"",
IF(COUNTIF(INDIRECT("B"&amp;R209&amp;""),"*雙葉*"),
INDIRECT("M"&amp;R209&amp;"")+INDIRECT("M"&amp;MATCH("雙葉'",INDIRECT("B"&amp;R209+1&amp;":B210"),0)+R209&amp;""),
IF(LEFT(INDIRECT("B"&amp;R209&amp;""),2)="博多",
INDIRECT("M"&amp;R209&amp;"")+INDIRECT("M"&amp;MATCH("*"&amp;INDIRECT("B"&amp;R209&amp;"")&amp;"*",INDIRECT("B"&amp;R209+1&amp;":B210"),0)+R209&amp;""),
IF(LEFT(INDIRECT("B"&amp;R209&amp;""),3)="奈良屋",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 x14ac:dyDescent="0.45">
      <c r="A210" s="203">
        <f t="shared" si="27"/>
        <v>145</v>
      </c>
      <c r="B210" s="202" t="str">
        <f t="shared" ca="1" si="30"/>
        <v/>
      </c>
      <c r="C210" s="202" t="str">
        <f>IF(OR(クライアント抽出!D140&lt;&gt;"",クライアント抽出!G140&lt;&gt;""),クライアント抽出!A140,"")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IF(COUNTIF(D210,"*学食*"),"キャラ弁（学食）",
IF(COUNTIF(D210,"*赤*"),"赤",
IF(COUNTIF(D210,"*キャラ弁当*"),"キャラ弁当",D210))),注文弁当の抽出!$E$1:$F$15,2,FALSE),"")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 cm="1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3"/>
        <v>0</v>
      </c>
      <c r="P210" s="202">
        <f t="shared" si="31"/>
        <v>0</v>
      </c>
      <c r="Q210" s="202" t="b">
        <f t="shared" si="32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>
        <f t="array" aca="1" ref="W210" ca="1">IF($R210&lt;&gt;"",
IF(COUNTIF(INDIRECT("B"&amp;R210&amp;""),"*雙葉*"),
INDIRECT("H"&amp;R210&amp;"")+INDIRECT("H"&amp;MATCH("雙葉'",INDIRECT("B"&amp;R210+1&amp;":B210"),0)+R210&amp;""),
IF(LEFT(INDIRECT("B"&amp;R210&amp;""),2)="博多",
INDIRECT("H"&amp;R210&amp;"")+INDIRECT("H"&amp;MATCH("*"&amp;INDIRECT("B"&amp;R210&amp;"")&amp;"*",INDIRECT("B"&amp;R210+1&amp;":B210"),0)+R210&amp;""),
IF(LEFT(INDIRECT("B"&amp;R210&amp;""),3)="奈良屋",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INDIRECT(""&amp;IF(COLUMN(I230)&lt;=26,CHAR(COLUMN(I230)+64),CHAR(INT((COLUMN(I230)-1)/26)+64)&amp;CHAR(MOD(COLUMN(I230)-1,26)+65))&amp;$R210&amp;""),"")</f>
        <v/>
      </c>
      <c r="Y210" s="51" t="str" cm="1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28"/>
        <v/>
      </c>
      <c r="AA210" s="51" t="str">
        <f t="shared" ca="1" si="29"/>
        <v/>
      </c>
      <c r="AB210" s="51" t="str" cm="1">
        <f t="array" aca="1" ref="AB210" ca="1">IF($R210&lt;&gt;"",
IF(COUNTIF(INDIRECT("B"&amp;R210&amp;""),"*雙葉*"),
INDIRECT("M"&amp;R210&amp;"")+INDIRECT("M"&amp;MATCH("雙葉'",INDIRECT("B"&amp;R210+1&amp;":B210"),0)+R210&amp;""),
IF(LEFT(INDIRECT("B"&amp;R210&amp;""),2)="博多",
INDIRECT("M"&amp;R210&amp;"")+INDIRECT("M"&amp;MATCH("*"&amp;INDIRECT("B"&amp;R210&amp;"")&amp;"*",INDIRECT("B"&amp;R210+1&amp;":B210"),0)+R210&amp;""),
IF(LEFT(INDIRECT("B"&amp;R210&amp;""),3)="奈良屋",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 x14ac:dyDescent="0.55000000000000004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>
        <f t="array" aca="1" ref="W211" ca="1">IF($R211&lt;&gt;"",
IF(COUNTIF(INDIRECT("B"&amp;R211&amp;""),"*雙葉*"),
INDIRECT("H"&amp;R211&amp;"")+INDIRECT("H"&amp;MATCH("雙葉'",INDIRECT("B"&amp;R211+1&amp;":B210"),0)+R211&amp;""),
IF(LEFT(INDIRECT("B"&amp;R211&amp;""),2)="博多",
INDIRECT("H"&amp;R211&amp;"")+INDIRECT("H"&amp;MATCH("*"&amp;INDIRECT("B"&amp;R211&amp;"")&amp;"*",INDIRECT("B"&amp;R211+1&amp;":B210"),0)+R211&amp;""),
IF(LEFT(INDIRECT("B"&amp;R211&amp;""),3)="奈良屋",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INDIRECT(""&amp;IF(COLUMN(I231)&lt;=26,CHAR(COLUMN(I231)+64),CHAR(INT((COLUMN(I231)-1)/26)+64)&amp;CHAR(MOD(COLUMN(I231)-1,26)+65))&amp;$R211&amp;""),"")</f>
        <v/>
      </c>
      <c r="Y211" s="51" t="str" cm="1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28"/>
        <v/>
      </c>
      <c r="AA211" s="51" t="str">
        <f t="shared" ca="1" si="29"/>
        <v/>
      </c>
      <c r="AB211" s="51" t="str" cm="1">
        <f t="array" aca="1" ref="AB211" ca="1">IF($R211&lt;&gt;"",
IF(COUNTIF(INDIRECT("B"&amp;R211&amp;""),"*雙葉*"),
INDIRECT("M"&amp;R211&amp;"")+INDIRECT("M"&amp;MATCH("雙葉'",INDIRECT("B"&amp;R211+1&amp;":B210"),0)+R211&amp;""),
IF(LEFT(INDIRECT("B"&amp;R211&amp;""),2)="博多",
INDIRECT("M"&amp;R211&amp;"")+INDIRECT("M"&amp;MATCH("*"&amp;INDIRECT("B"&amp;R211&amp;"")&amp;"*",INDIRECT("B"&amp;R211+1&amp;":B210"),0)+R211&amp;""),
IF(LEFT(INDIRECT("B"&amp;R211&amp;""),3)="奈良屋",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 x14ac:dyDescent="0.55000000000000004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>
        <f t="array" aca="1" ref="W212" ca="1">IF($R212&lt;&gt;"",
IF(COUNTIF(INDIRECT("B"&amp;R212&amp;""),"*雙葉*"),
INDIRECT("H"&amp;R212&amp;"")+INDIRECT("H"&amp;MATCH("雙葉'",INDIRECT("B"&amp;R212+1&amp;":B210"),0)+R212&amp;""),
IF(LEFT(INDIRECT("B"&amp;R212&amp;""),2)="博多",
INDIRECT("H"&amp;R212&amp;"")+INDIRECT("H"&amp;MATCH("*"&amp;INDIRECT("B"&amp;R212&amp;"")&amp;"*",INDIRECT("B"&amp;R212+1&amp;":B210"),0)+R212&amp;""),
IF(LEFT(INDIRECT("B"&amp;R212&amp;""),3)="奈良屋",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INDIRECT(""&amp;IF(COLUMN(I232)&lt;=26,CHAR(COLUMN(I232)+64),CHAR(INT((COLUMN(I232)-1)/26)+64)&amp;CHAR(MOD(COLUMN(I232)-1,26)+65))&amp;$R212&amp;""),"")</f>
        <v/>
      </c>
      <c r="Y212" s="51" t="str" cm="1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28"/>
        <v/>
      </c>
      <c r="AA212" s="51" t="str">
        <f t="shared" ca="1" si="29"/>
        <v/>
      </c>
      <c r="AB212" s="51" t="str" cm="1">
        <f t="array" aca="1" ref="AB212" ca="1">IF($R212&lt;&gt;"",
IF(COUNTIF(INDIRECT("B"&amp;R212&amp;""),"*雙葉*"),
INDIRECT("M"&amp;R212&amp;"")+INDIRECT("M"&amp;MATCH("雙葉'",INDIRECT("B"&amp;R212+1&amp;":B210"),0)+R212&amp;""),
IF(LEFT(INDIRECT("B"&amp;R212&amp;""),2)="博多",
INDIRECT("M"&amp;R212&amp;"")+INDIRECT("M"&amp;MATCH("*"&amp;INDIRECT("B"&amp;R212&amp;"")&amp;"*",INDIRECT("B"&amp;R212+1&amp;":B210"),0)+R212&amp;""),
IF(LEFT(INDIRECT("B"&amp;R212&amp;""),3)="奈良屋",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 x14ac:dyDescent="0.55000000000000004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>
        <f t="array" aca="1" ref="W213" ca="1">IF($R213&lt;&gt;"",
IF(COUNTIF(INDIRECT("B"&amp;R213&amp;""),"*雙葉*"),
INDIRECT("H"&amp;R213&amp;"")+INDIRECT("H"&amp;MATCH("雙葉'",INDIRECT("B"&amp;R213+1&amp;":B210"),0)+R213&amp;""),
IF(LEFT(INDIRECT("B"&amp;R213&amp;""),2)="博多",
INDIRECT("H"&amp;R213&amp;"")+INDIRECT("H"&amp;MATCH("*"&amp;INDIRECT("B"&amp;R213&amp;"")&amp;"*",INDIRECT("B"&amp;R213+1&amp;":B210"),0)+R213&amp;""),
IF(LEFT(INDIRECT("B"&amp;R213&amp;""),3)="奈良屋",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INDIRECT(""&amp;IF(COLUMN(I233)&lt;=26,CHAR(COLUMN(I233)+64),CHAR(INT((COLUMN(I233)-1)/26)+64)&amp;CHAR(MOD(COLUMN(I233)-1,26)+65))&amp;$R213&amp;""),"")</f>
        <v/>
      </c>
      <c r="Y213" s="51" t="str" cm="1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28"/>
        <v/>
      </c>
      <c r="AA213" s="51" t="str">
        <f t="shared" ca="1" si="29"/>
        <v/>
      </c>
      <c r="AB213" s="51" t="str" cm="1">
        <f t="array" aca="1" ref="AB213" ca="1">IF($R213&lt;&gt;"",
IF(COUNTIF(INDIRECT("B"&amp;R213&amp;""),"*雙葉*"),
INDIRECT("M"&amp;R213&amp;"")+INDIRECT("M"&amp;MATCH("雙葉'",INDIRECT("B"&amp;R213+1&amp;":B210"),0)+R213&amp;""),
IF(LEFT(INDIRECT("B"&amp;R213&amp;""),2)="博多",
INDIRECT("M"&amp;R213&amp;"")+INDIRECT("M"&amp;MATCH("*"&amp;INDIRECT("B"&amp;R213&amp;"")&amp;"*",INDIRECT("B"&amp;R213+1&amp;":B210"),0)+R213&amp;""),
IF(LEFT(INDIRECT("B"&amp;R213&amp;""),3)="奈良屋",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 x14ac:dyDescent="0.55000000000000004">
      <c r="B214" s="56"/>
      <c r="C214" s="57" t="str">
        <f>社食等の札!A6</f>
        <v>先生用</v>
      </c>
      <c r="D214" s="57"/>
      <c r="E214" s="57"/>
      <c r="F214" s="234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>
        <f t="array" aca="1" ref="W214" ca="1">IF($R214&lt;&gt;"",
IF(COUNTIF(INDIRECT("B"&amp;R214&amp;""),"*雙葉*"),
INDIRECT("H"&amp;R214&amp;"")+INDIRECT("H"&amp;MATCH("雙葉'",INDIRECT("B"&amp;R214+1&amp;":B210"),0)+R214&amp;""),
IF(LEFT(INDIRECT("B"&amp;R214&amp;""),2)="博多",
INDIRECT("H"&amp;R214&amp;"")+INDIRECT("H"&amp;MATCH("*"&amp;INDIRECT("B"&amp;R214&amp;"")&amp;"*",INDIRECT("B"&amp;R214+1&amp;":B210"),0)+R214&amp;""),
IF(LEFT(INDIRECT("B"&amp;R214&amp;""),3)="奈良屋",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INDIRECT(""&amp;IF(COLUMN(I234)&lt;=26,CHAR(COLUMN(I234)+64),CHAR(INT((COLUMN(I234)-1)/26)+64)&amp;CHAR(MOD(COLUMN(I234)-1,26)+65))&amp;$R214&amp;""),"")</f>
        <v/>
      </c>
      <c r="Y214" s="51" t="str" cm="1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28"/>
        <v/>
      </c>
      <c r="AA214" s="51" t="str">
        <f t="shared" ca="1" si="29"/>
        <v/>
      </c>
      <c r="AB214" s="51" t="str" cm="1">
        <f t="array" aca="1" ref="AB214" ca="1">IF($R214&lt;&gt;"",
IF(COUNTIF(INDIRECT("B"&amp;R214&amp;""),"*雙葉*"),
INDIRECT("M"&amp;R214&amp;"")+INDIRECT("M"&amp;MATCH("雙葉'",INDIRECT("B"&amp;R214+1&amp;":B210"),0)+R214&amp;""),
IF(LEFT(INDIRECT("B"&amp;R214&amp;""),2)="博多",
INDIRECT("M"&amp;R214&amp;"")+INDIRECT("M"&amp;MATCH("*"&amp;INDIRECT("B"&amp;R214&amp;"")&amp;"*",INDIRECT("B"&amp;R214+1&amp;":B210"),0)+R214&amp;""),
IF(LEFT(INDIRECT("B"&amp;R214&amp;""),3)="奈良屋",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 x14ac:dyDescent="0.55000000000000004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35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34">IF(Q215&lt;&gt;"",ROW(),"")</f>
        <v/>
      </c>
      <c r="Q215" s="59" t="str">
        <f t="shared" ref="Q215:Q246" ca="1" si="35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>
        <f t="array" aca="1" ref="W215" ca="1">IF($R215&lt;&gt;"",
IF(COUNTIF(INDIRECT("B"&amp;R215&amp;""),"*雙葉*"),
INDIRECT("H"&amp;R215&amp;"")+INDIRECT("H"&amp;MATCH("雙葉'",INDIRECT("B"&amp;R215+1&amp;":B210"),0)+R215&amp;""),
IF(LEFT(INDIRECT("B"&amp;R215&amp;""),2)="博多",
INDIRECT("H"&amp;R215&amp;"")+INDIRECT("H"&amp;MATCH("*"&amp;INDIRECT("B"&amp;R215&amp;"")&amp;"*",INDIRECT("B"&amp;R215+1&amp;":B210"),0)+R215&amp;""),
IF(LEFT(INDIRECT("B"&amp;R215&amp;""),3)="奈良屋",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INDIRECT(""&amp;IF(COLUMN(I235)&lt;=26,CHAR(COLUMN(I235)+64),CHAR(INT((COLUMN(I235)-1)/26)+64)&amp;CHAR(MOD(COLUMN(I235)-1,26)+65))&amp;$R215&amp;""),"")</f>
        <v/>
      </c>
      <c r="Y215" s="51" t="str" cm="1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28"/>
        <v/>
      </c>
      <c r="AA215" s="51" t="str">
        <f t="shared" ca="1" si="29"/>
        <v/>
      </c>
      <c r="AB215" s="51" t="str" cm="1">
        <f t="array" aca="1" ref="AB215" ca="1">IF($R215&lt;&gt;"",
IF(COUNTIF(INDIRECT("B"&amp;R215&amp;""),"*雙葉*"),
INDIRECT("M"&amp;R215&amp;"")+INDIRECT("M"&amp;MATCH("雙葉'",INDIRECT("B"&amp;R215+1&amp;":B210"),0)+R215&amp;""),
IF(LEFT(INDIRECT("B"&amp;R215&amp;""),2)="博多",
INDIRECT("M"&amp;R215&amp;"")+INDIRECT("M"&amp;MATCH("*"&amp;INDIRECT("B"&amp;R215&amp;"")&amp;"*",INDIRECT("B"&amp;R215+1&amp;":B210"),0)+R215&amp;""),
IF(LEFT(INDIRECT("B"&amp;R215&amp;""),3)="奈良屋",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 x14ac:dyDescent="0.55000000000000004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35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34"/>
        <v/>
      </c>
      <c r="Q216" s="59" t="str">
        <f t="shared" ca="1" si="35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>
        <f t="array" aca="1" ref="W216" ca="1">IF($R216&lt;&gt;"",
IF(COUNTIF(INDIRECT("B"&amp;R216&amp;""),"*雙葉*"),
INDIRECT("H"&amp;R216&amp;"")+INDIRECT("H"&amp;MATCH("雙葉'",INDIRECT("B"&amp;R216+1&amp;":B210"),0)+R216&amp;""),
IF(LEFT(INDIRECT("B"&amp;R216&amp;""),2)="博多",
INDIRECT("H"&amp;R216&amp;"")+INDIRECT("H"&amp;MATCH("*"&amp;INDIRECT("B"&amp;R216&amp;"")&amp;"*",INDIRECT("B"&amp;R216+1&amp;":B210"),0)+R216&amp;""),
IF(LEFT(INDIRECT("B"&amp;R216&amp;""),3)="奈良屋",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INDIRECT(""&amp;IF(COLUMN(I236)&lt;=26,CHAR(COLUMN(I236)+64),CHAR(INT((COLUMN(I236)-1)/26)+64)&amp;CHAR(MOD(COLUMN(I236)-1,26)+65))&amp;$R216&amp;""),"")</f>
        <v/>
      </c>
      <c r="Y216" s="51" t="str" cm="1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28"/>
        <v/>
      </c>
      <c r="AA216" s="51" t="str">
        <f t="shared" ca="1" si="29"/>
        <v/>
      </c>
      <c r="AB216" s="51" t="str" cm="1">
        <f t="array" aca="1" ref="AB216" ca="1">IF($R216&lt;&gt;"",
IF(COUNTIF(INDIRECT("B"&amp;R216&amp;""),"*雙葉*"),
INDIRECT("M"&amp;R216&amp;"")+INDIRECT("M"&amp;MATCH("雙葉'",INDIRECT("B"&amp;R216+1&amp;":B210"),0)+R216&amp;""),
IF(LEFT(INDIRECT("B"&amp;R216&amp;""),2)="博多",
INDIRECT("M"&amp;R216&amp;"")+INDIRECT("M"&amp;MATCH("*"&amp;INDIRECT("B"&amp;R216&amp;"")&amp;"*",INDIRECT("B"&amp;R216+1&amp;":B210"),0)+R216&amp;""),
IF(LEFT(INDIRECT("B"&amp;R216&amp;""),3)="奈良屋",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 x14ac:dyDescent="0.55000000000000004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35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34"/>
        <v/>
      </c>
      <c r="Q217" s="59" t="str">
        <f t="shared" ca="1" si="35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>
        <f t="array" aca="1" ref="W217" ca="1">IF($R217&lt;&gt;"",
IF(COUNTIF(INDIRECT("B"&amp;R217&amp;""),"*雙葉*"),
INDIRECT("H"&amp;R217&amp;"")+INDIRECT("H"&amp;MATCH("雙葉'",INDIRECT("B"&amp;R217+1&amp;":B210"),0)+R217&amp;""),
IF(LEFT(INDIRECT("B"&amp;R217&amp;""),2)="博多",
INDIRECT("H"&amp;R217&amp;"")+INDIRECT("H"&amp;MATCH("*"&amp;INDIRECT("B"&amp;R217&amp;"")&amp;"*",INDIRECT("B"&amp;R217+1&amp;":B210"),0)+R217&amp;""),
IF(LEFT(INDIRECT("B"&amp;R217&amp;""),3)="奈良屋",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INDIRECT(""&amp;IF(COLUMN(I237)&lt;=26,CHAR(COLUMN(I237)+64),CHAR(INT((COLUMN(I237)-1)/26)+64)&amp;CHAR(MOD(COLUMN(I237)-1,26)+65))&amp;$R217&amp;""),"")</f>
        <v/>
      </c>
      <c r="Y217" s="51" t="str" cm="1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28"/>
        <v/>
      </c>
      <c r="AA217" s="51" t="str">
        <f t="shared" ca="1" si="29"/>
        <v/>
      </c>
      <c r="AB217" s="51" t="str" cm="1">
        <f t="array" aca="1" ref="AB217" ca="1">IF($R217&lt;&gt;"",
IF(COUNTIF(INDIRECT("B"&amp;R217&amp;""),"*雙葉*"),
INDIRECT("M"&amp;R217&amp;"")+INDIRECT("M"&amp;MATCH("雙葉'",INDIRECT("B"&amp;R217+1&amp;":B210"),0)+R217&amp;""),
IF(LEFT(INDIRECT("B"&amp;R217&amp;""),2)="博多",
INDIRECT("M"&amp;R217&amp;"")+INDIRECT("M"&amp;MATCH("*"&amp;INDIRECT("B"&amp;R217&amp;"")&amp;"*",INDIRECT("B"&amp;R217+1&amp;":B210"),0)+R217&amp;""),
IF(LEFT(INDIRECT("B"&amp;R217&amp;""),3)="奈良屋",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 x14ac:dyDescent="0.55000000000000004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35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34"/>
        <v/>
      </c>
      <c r="Q218" s="59" t="str">
        <f t="shared" ca="1" si="35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>
        <f t="array" aca="1" ref="W218" ca="1">IF($R218&lt;&gt;"",
IF(COUNTIF(INDIRECT("B"&amp;R218&amp;""),"*雙葉*"),
INDIRECT("H"&amp;R218&amp;"")+INDIRECT("H"&amp;MATCH("雙葉'",INDIRECT("B"&amp;R218+1&amp;":B210"),0)+R218&amp;""),
IF(LEFT(INDIRECT("B"&amp;R218&amp;""),2)="博多",
INDIRECT("H"&amp;R218&amp;"")+INDIRECT("H"&amp;MATCH("*"&amp;INDIRECT("B"&amp;R218&amp;"")&amp;"*",INDIRECT("B"&amp;R218+1&amp;":B210"),0)+R218&amp;""),
IF(LEFT(INDIRECT("B"&amp;R218&amp;""),3)="奈良屋",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INDIRECT(""&amp;IF(COLUMN(I238)&lt;=26,CHAR(COLUMN(I238)+64),CHAR(INT((COLUMN(I238)-1)/26)+64)&amp;CHAR(MOD(COLUMN(I238)-1,26)+65))&amp;$R218&amp;""),"")</f>
        <v/>
      </c>
      <c r="Y218" s="51" t="str" cm="1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28"/>
        <v/>
      </c>
      <c r="AA218" s="51" t="str">
        <f t="shared" ca="1" si="29"/>
        <v/>
      </c>
      <c r="AB218" s="51" t="str" cm="1">
        <f t="array" aca="1" ref="AB218" ca="1">IF($R218&lt;&gt;"",
IF(COUNTIF(INDIRECT("B"&amp;R218&amp;""),"*雙葉*"),
INDIRECT("M"&amp;R218&amp;"")+INDIRECT("M"&amp;MATCH("雙葉'",INDIRECT("B"&amp;R218+1&amp;":B210"),0)+R218&amp;""),
IF(LEFT(INDIRECT("B"&amp;R218&amp;""),2)="博多",
INDIRECT("M"&amp;R218&amp;"")+INDIRECT("M"&amp;MATCH("*"&amp;INDIRECT("B"&amp;R218&amp;"")&amp;"*",INDIRECT("B"&amp;R218+1&amp;":B210"),0)+R218&amp;""),
IF(LEFT(INDIRECT("B"&amp;R218&amp;""),3)="奈良屋",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 x14ac:dyDescent="0.55000000000000004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35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34"/>
        <v/>
      </c>
      <c r="Q219" s="59" t="str">
        <f t="shared" ca="1" si="35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>
        <f t="array" aca="1" ref="W219" ca="1">IF($R219&lt;&gt;"",
IF(COUNTIF(INDIRECT("B"&amp;R219&amp;""),"*雙葉*"),
INDIRECT("H"&amp;R219&amp;"")+INDIRECT("H"&amp;MATCH("雙葉'",INDIRECT("B"&amp;R219+1&amp;":B210"),0)+R219&amp;""),
IF(LEFT(INDIRECT("B"&amp;R219&amp;""),2)="博多",
INDIRECT("H"&amp;R219&amp;"")+INDIRECT("H"&amp;MATCH("*"&amp;INDIRECT("B"&amp;R219&amp;"")&amp;"*",INDIRECT("B"&amp;R219+1&amp;":B210"),0)+R219&amp;""),
IF(LEFT(INDIRECT("B"&amp;R219&amp;""),3)="奈良屋",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INDIRECT(""&amp;IF(COLUMN(I239)&lt;=26,CHAR(COLUMN(I239)+64),CHAR(INT((COLUMN(I239)-1)/26)+64)&amp;CHAR(MOD(COLUMN(I239)-1,26)+65))&amp;$R219&amp;""),"")</f>
        <v/>
      </c>
      <c r="Y219" s="51" t="str" cm="1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28"/>
        <v/>
      </c>
      <c r="AA219" s="51" t="str">
        <f t="shared" ca="1" si="29"/>
        <v/>
      </c>
      <c r="AB219" s="51" t="str" cm="1">
        <f t="array" aca="1" ref="AB219" ca="1">IF($R219&lt;&gt;"",
IF(COUNTIF(INDIRECT("B"&amp;R219&amp;""),"*雙葉*"),
INDIRECT("M"&amp;R219&amp;"")+INDIRECT("M"&amp;MATCH("雙葉'",INDIRECT("B"&amp;R219+1&amp;":B210"),0)+R219&amp;""),
IF(LEFT(INDIRECT("B"&amp;R219&amp;""),2)="博多",
INDIRECT("M"&amp;R219&amp;"")+INDIRECT("M"&amp;MATCH("*"&amp;INDIRECT("B"&amp;R219&amp;"")&amp;"*",INDIRECT("B"&amp;R219+1&amp;":B210"),0)+R219&amp;""),
IF(LEFT(INDIRECT("B"&amp;R219&amp;""),3)="奈良屋",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 x14ac:dyDescent="0.55000000000000004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35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34"/>
        <v/>
      </c>
      <c r="Q220" s="59" t="str">
        <f t="shared" ca="1" si="35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>
        <f t="array" aca="1" ref="W220" ca="1">IF($R220&lt;&gt;"",
IF(COUNTIF(INDIRECT("B"&amp;R220&amp;""),"*雙葉*"),
INDIRECT("H"&amp;R220&amp;"")+INDIRECT("H"&amp;MATCH("雙葉'",INDIRECT("B"&amp;R220+1&amp;":B210"),0)+R220&amp;""),
IF(LEFT(INDIRECT("B"&amp;R220&amp;""),2)="博多",
INDIRECT("H"&amp;R220&amp;"")+INDIRECT("H"&amp;MATCH("*"&amp;INDIRECT("B"&amp;R220&amp;"")&amp;"*",INDIRECT("B"&amp;R220+1&amp;":B210"),0)+R220&amp;""),
IF(LEFT(INDIRECT("B"&amp;R220&amp;""),3)="奈良屋",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INDIRECT(""&amp;IF(COLUMN(I240)&lt;=26,CHAR(COLUMN(I240)+64),CHAR(INT((COLUMN(I240)-1)/26)+64)&amp;CHAR(MOD(COLUMN(I240)-1,26)+65))&amp;$R220&amp;""),"")</f>
        <v/>
      </c>
      <c r="Y220" s="51" t="str" cm="1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28"/>
        <v/>
      </c>
      <c r="AA220" s="51" t="str">
        <f t="shared" ca="1" si="29"/>
        <v/>
      </c>
      <c r="AB220" s="51" t="str" cm="1">
        <f t="array" aca="1" ref="AB220" ca="1">IF($R220&lt;&gt;"",
IF(COUNTIF(INDIRECT("B"&amp;R220&amp;""),"*雙葉*"),
INDIRECT("M"&amp;R220&amp;"")+INDIRECT("M"&amp;MATCH("雙葉'",INDIRECT("B"&amp;R220+1&amp;":B210"),0)+R220&amp;""),
IF(LEFT(INDIRECT("B"&amp;R220&amp;""),2)="博多",
INDIRECT("M"&amp;R220&amp;"")+INDIRECT("M"&amp;MATCH("*"&amp;INDIRECT("B"&amp;R220&amp;"")&amp;"*",INDIRECT("B"&amp;R220+1&amp;":B210"),0)+R220&amp;""),
IF(LEFT(INDIRECT("B"&amp;R220&amp;""),3)="奈良屋",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 x14ac:dyDescent="0.55000000000000004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35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34"/>
        <v/>
      </c>
      <c r="Q221" s="59" t="str">
        <f t="shared" ca="1" si="35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>
        <f t="array" aca="1" ref="W221" ca="1">IF($R221&lt;&gt;"",
IF(COUNTIF(INDIRECT("B"&amp;R221&amp;""),"*雙葉*"),
INDIRECT("H"&amp;R221&amp;"")+INDIRECT("H"&amp;MATCH("雙葉'",INDIRECT("B"&amp;R221+1&amp;":B210"),0)+R221&amp;""),
IF(LEFT(INDIRECT("B"&amp;R221&amp;""),2)="博多",
INDIRECT("H"&amp;R221&amp;"")+INDIRECT("H"&amp;MATCH("*"&amp;INDIRECT("B"&amp;R221&amp;"")&amp;"*",INDIRECT("B"&amp;R221+1&amp;":B210"),0)+R221&amp;""),
IF(LEFT(INDIRECT("B"&amp;R221&amp;""),3)="奈良屋",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INDIRECT(""&amp;IF(COLUMN(I241)&lt;=26,CHAR(COLUMN(I241)+64),CHAR(INT((COLUMN(I241)-1)/26)+64)&amp;CHAR(MOD(COLUMN(I241)-1,26)+65))&amp;$R221&amp;""),"")</f>
        <v/>
      </c>
      <c r="Y221" s="51" t="str" cm="1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28"/>
        <v/>
      </c>
      <c r="AA221" s="51" t="str">
        <f t="shared" ca="1" si="29"/>
        <v/>
      </c>
      <c r="AB221" s="51" t="str" cm="1">
        <f t="array" aca="1" ref="AB221" ca="1">IF($R221&lt;&gt;"",
IF(COUNTIF(INDIRECT("B"&amp;R221&amp;""),"*雙葉*"),
INDIRECT("M"&amp;R221&amp;"")+INDIRECT("M"&amp;MATCH("雙葉'",INDIRECT("B"&amp;R221+1&amp;":B210"),0)+R221&amp;""),
IF(LEFT(INDIRECT("B"&amp;R221&amp;""),2)="博多",
INDIRECT("M"&amp;R221&amp;"")+INDIRECT("M"&amp;MATCH("*"&amp;INDIRECT("B"&amp;R221&amp;"")&amp;"*",INDIRECT("B"&amp;R221+1&amp;":B210"),0)+R221&amp;""),
IF(LEFT(INDIRECT("B"&amp;R221&amp;""),3)="奈良屋",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 x14ac:dyDescent="0.55000000000000004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35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34"/>
        <v/>
      </c>
      <c r="Q222" s="59" t="str">
        <f t="shared" ca="1" si="35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>
        <f t="array" aca="1" ref="W222" ca="1">IF($R222&lt;&gt;"",
IF(COUNTIF(INDIRECT("B"&amp;R222&amp;""),"*雙葉*"),
INDIRECT("H"&amp;R222&amp;"")+INDIRECT("H"&amp;MATCH("雙葉'",INDIRECT("B"&amp;R222+1&amp;":B210"),0)+R222&amp;""),
IF(LEFT(INDIRECT("B"&amp;R222&amp;""),2)="博多",
INDIRECT("H"&amp;R222&amp;"")+INDIRECT("H"&amp;MATCH("*"&amp;INDIRECT("B"&amp;R222&amp;"")&amp;"*",INDIRECT("B"&amp;R222+1&amp;":B210"),0)+R222&amp;""),
IF(LEFT(INDIRECT("B"&amp;R222&amp;""),3)="奈良屋",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INDIRECT(""&amp;IF(COLUMN(I242)&lt;=26,CHAR(COLUMN(I242)+64),CHAR(INT((COLUMN(I242)-1)/26)+64)&amp;CHAR(MOD(COLUMN(I242)-1,26)+65))&amp;$R222&amp;""),"")</f>
        <v/>
      </c>
      <c r="Y222" s="51" t="str" cm="1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28"/>
        <v/>
      </c>
      <c r="AA222" s="51" t="str">
        <f t="shared" ca="1" si="29"/>
        <v/>
      </c>
      <c r="AB222" s="51" t="str" cm="1">
        <f t="array" aca="1" ref="AB222" ca="1">IF($R222&lt;&gt;"",
IF(COUNTIF(INDIRECT("B"&amp;R222&amp;""),"*雙葉*"),
INDIRECT("M"&amp;R222&amp;"")+INDIRECT("M"&amp;MATCH("雙葉'",INDIRECT("B"&amp;R222+1&amp;":B210"),0)+R222&amp;""),
IF(LEFT(INDIRECT("B"&amp;R222&amp;""),2)="博多",
INDIRECT("M"&amp;R222&amp;"")+INDIRECT("M"&amp;MATCH("*"&amp;INDIRECT("B"&amp;R222&amp;"")&amp;"*",INDIRECT("B"&amp;R222+1&amp;":B210"),0)+R222&amp;""),
IF(LEFT(INDIRECT("B"&amp;R222&amp;""),3)="奈良屋",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 x14ac:dyDescent="0.55000000000000004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35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34"/>
        <v/>
      </c>
      <c r="Q223" s="59" t="str">
        <f t="shared" ca="1" si="35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>
        <f t="array" aca="1" ref="W223" ca="1">IF($R223&lt;&gt;"",
IF(COUNTIF(INDIRECT("B"&amp;R223&amp;""),"*雙葉*"),
INDIRECT("H"&amp;R223&amp;"")+INDIRECT("H"&amp;MATCH("雙葉'",INDIRECT("B"&amp;R223+1&amp;":B210"),0)+R223&amp;""),
IF(LEFT(INDIRECT("B"&amp;R223&amp;""),2)="博多",
INDIRECT("H"&amp;R223&amp;"")+INDIRECT("H"&amp;MATCH("*"&amp;INDIRECT("B"&amp;R223&amp;"")&amp;"*",INDIRECT("B"&amp;R223+1&amp;":B210"),0)+R223&amp;""),
IF(LEFT(INDIRECT("B"&amp;R223&amp;""),3)="奈良屋",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INDIRECT(""&amp;IF(COLUMN(I243)&lt;=26,CHAR(COLUMN(I243)+64),CHAR(INT((COLUMN(I243)-1)/26)+64)&amp;CHAR(MOD(COLUMN(I243)-1,26)+65))&amp;$R223&amp;""),"")</f>
        <v/>
      </c>
      <c r="Y223" s="51" t="str" cm="1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28"/>
        <v/>
      </c>
      <c r="AA223" s="51" t="str">
        <f t="shared" ca="1" si="29"/>
        <v/>
      </c>
      <c r="AB223" s="51" t="str" cm="1">
        <f t="array" aca="1" ref="AB223" ca="1">IF($R223&lt;&gt;"",
IF(COUNTIF(INDIRECT("B"&amp;R223&amp;""),"*雙葉*"),
INDIRECT("M"&amp;R223&amp;"")+INDIRECT("M"&amp;MATCH("雙葉'",INDIRECT("B"&amp;R223+1&amp;":B210"),0)+R223&amp;""),
IF(LEFT(INDIRECT("B"&amp;R223&amp;""),2)="博多",
INDIRECT("M"&amp;R223&amp;"")+INDIRECT("M"&amp;MATCH("*"&amp;INDIRECT("B"&amp;R223&amp;"")&amp;"*",INDIRECT("B"&amp;R223+1&amp;":B210"),0)+R223&amp;""),
IF(LEFT(INDIRECT("B"&amp;R223&amp;""),3)="奈良屋",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 x14ac:dyDescent="0.55000000000000004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35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34"/>
        <v/>
      </c>
      <c r="Q224" s="59" t="str">
        <f t="shared" ca="1" si="35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>
        <f t="array" aca="1" ref="W224" ca="1">IF($R224&lt;&gt;"",
IF(COUNTIF(INDIRECT("B"&amp;R224&amp;""),"*雙葉*"),
INDIRECT("H"&amp;R224&amp;"")+INDIRECT("H"&amp;MATCH("雙葉'",INDIRECT("B"&amp;R224+1&amp;":B210"),0)+R224&amp;""),
IF(LEFT(INDIRECT("B"&amp;R224&amp;""),2)="博多",
INDIRECT("H"&amp;R224&amp;"")+INDIRECT("H"&amp;MATCH("*"&amp;INDIRECT("B"&amp;R224&amp;"")&amp;"*",INDIRECT("B"&amp;R224+1&amp;":B210"),0)+R224&amp;""),
IF(LEFT(INDIRECT("B"&amp;R224&amp;""),3)="奈良屋",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INDIRECT(""&amp;IF(COLUMN(I244)&lt;=26,CHAR(COLUMN(I244)+64),CHAR(INT((COLUMN(I244)-1)/26)+64)&amp;CHAR(MOD(COLUMN(I244)-1,26)+65))&amp;$R224&amp;""),"")</f>
        <v/>
      </c>
      <c r="Y224" s="51" t="str" cm="1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28"/>
        <v/>
      </c>
      <c r="AA224" s="51" t="str">
        <f t="shared" ca="1" si="29"/>
        <v/>
      </c>
      <c r="AB224" s="51" t="str" cm="1">
        <f t="array" aca="1" ref="AB224" ca="1">IF($R224&lt;&gt;"",
IF(COUNTIF(INDIRECT("B"&amp;R224&amp;""),"*雙葉*"),
INDIRECT("M"&amp;R224&amp;"")+INDIRECT("M"&amp;MATCH("雙葉'",INDIRECT("B"&amp;R224+1&amp;":B210"),0)+R224&amp;""),
IF(LEFT(INDIRECT("B"&amp;R224&amp;""),2)="博多",
INDIRECT("M"&amp;R224&amp;"")+INDIRECT("M"&amp;MATCH("*"&amp;INDIRECT("B"&amp;R224&amp;"")&amp;"*",INDIRECT("B"&amp;R224+1&amp;":B210"),0)+R224&amp;""),
IF(LEFT(INDIRECT("B"&amp;R224&amp;""),3)="奈良屋",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 x14ac:dyDescent="0.55000000000000004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35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34"/>
        <v/>
      </c>
      <c r="Q225" s="59" t="str">
        <f t="shared" ca="1" si="35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>
        <f t="array" aca="1" ref="W225" ca="1">IF($R225&lt;&gt;"",
IF(COUNTIF(INDIRECT("B"&amp;R225&amp;""),"*雙葉*"),
INDIRECT("H"&amp;R225&amp;"")+INDIRECT("H"&amp;MATCH("雙葉'",INDIRECT("B"&amp;R225+1&amp;":B210"),0)+R225&amp;""),
IF(LEFT(INDIRECT("B"&amp;R225&amp;""),2)="博多",
INDIRECT("H"&amp;R225&amp;"")+INDIRECT("H"&amp;MATCH("*"&amp;INDIRECT("B"&amp;R225&amp;"")&amp;"*",INDIRECT("B"&amp;R225+1&amp;":B210"),0)+R225&amp;""),
IF(LEFT(INDIRECT("B"&amp;R225&amp;""),3)="奈良屋",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INDIRECT(""&amp;IF(COLUMN(I245)&lt;=26,CHAR(COLUMN(I245)+64),CHAR(INT((COLUMN(I245)-1)/26)+64)&amp;CHAR(MOD(COLUMN(I245)-1,26)+65))&amp;$R225&amp;""),"")</f>
        <v/>
      </c>
      <c r="Y225" s="51" t="str" cm="1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28"/>
        <v/>
      </c>
      <c r="AA225" s="51" t="str">
        <f t="shared" ca="1" si="29"/>
        <v/>
      </c>
      <c r="AB225" s="51" t="str" cm="1">
        <f t="array" aca="1" ref="AB225" ca="1">IF($R225&lt;&gt;"",
IF(COUNTIF(INDIRECT("B"&amp;R225&amp;""),"*雙葉*"),
INDIRECT("M"&amp;R225&amp;"")+INDIRECT("M"&amp;MATCH("雙葉'",INDIRECT("B"&amp;R225+1&amp;":B210"),0)+R225&amp;""),
IF(LEFT(INDIRECT("B"&amp;R225&amp;""),2)="博多",
INDIRECT("M"&amp;R225&amp;"")+INDIRECT("M"&amp;MATCH("*"&amp;INDIRECT("B"&amp;R225&amp;"")&amp;"*",INDIRECT("B"&amp;R225+1&amp;":B210"),0)+R225&amp;""),
IF(LEFT(INDIRECT("B"&amp;R225&amp;""),3)="奈良屋",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 x14ac:dyDescent="0.55000000000000004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35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34"/>
        <v/>
      </c>
      <c r="Q226" s="59" t="str">
        <f t="shared" ca="1" si="35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>
        <f t="array" aca="1" ref="W226" ca="1">IF($R226&lt;&gt;"",
IF(COUNTIF(INDIRECT("B"&amp;R226&amp;""),"*雙葉*"),
INDIRECT("H"&amp;R226&amp;"")+INDIRECT("H"&amp;MATCH("雙葉'",INDIRECT("B"&amp;R226+1&amp;":B210"),0)+R226&amp;""),
IF(LEFT(INDIRECT("B"&amp;R226&amp;""),2)="博多",
INDIRECT("H"&amp;R226&amp;"")+INDIRECT("H"&amp;MATCH("*"&amp;INDIRECT("B"&amp;R226&amp;"")&amp;"*",INDIRECT("B"&amp;R226+1&amp;":B210"),0)+R226&amp;""),
IF(LEFT(INDIRECT("B"&amp;R226&amp;""),3)="奈良屋",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INDIRECT(""&amp;IF(COLUMN(I246)&lt;=26,CHAR(COLUMN(I246)+64),CHAR(INT((COLUMN(I246)-1)/26)+64)&amp;CHAR(MOD(COLUMN(I246)-1,26)+65))&amp;$R226&amp;""),"")</f>
        <v/>
      </c>
      <c r="Y226" s="51" t="str" cm="1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28"/>
        <v/>
      </c>
      <c r="AA226" s="51" t="str">
        <f t="shared" ca="1" si="29"/>
        <v/>
      </c>
      <c r="AB226" s="51" t="str" cm="1">
        <f t="array" aca="1" ref="AB226" ca="1">IF($R226&lt;&gt;"",
IF(COUNTIF(INDIRECT("B"&amp;R226&amp;""),"*雙葉*"),
INDIRECT("M"&amp;R226&amp;"")+INDIRECT("M"&amp;MATCH("雙葉'",INDIRECT("B"&amp;R226+1&amp;":B210"),0)+R226&amp;""),
IF(LEFT(INDIRECT("B"&amp;R226&amp;""),2)="博多",
INDIRECT("M"&amp;R226&amp;"")+INDIRECT("M"&amp;MATCH("*"&amp;INDIRECT("B"&amp;R226&amp;"")&amp;"*",INDIRECT("B"&amp;R226+1&amp;":B210"),0)+R226&amp;""),
IF(LEFT(INDIRECT("B"&amp;R226&amp;""),3)="奈良屋",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 x14ac:dyDescent="0.55000000000000004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35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34"/>
        <v/>
      </c>
      <c r="Q227" s="59" t="str">
        <f t="shared" ca="1" si="35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>
        <f t="array" aca="1" ref="W227" ca="1">IF($R227&lt;&gt;"",
IF(COUNTIF(INDIRECT("B"&amp;R227&amp;""),"*雙葉*"),
INDIRECT("H"&amp;R227&amp;"")+INDIRECT("H"&amp;MATCH("雙葉'",INDIRECT("B"&amp;R227+1&amp;":B210"),0)+R227&amp;""),
IF(LEFT(INDIRECT("B"&amp;R227&amp;""),2)="博多",
INDIRECT("H"&amp;R227&amp;"")+INDIRECT("H"&amp;MATCH("*"&amp;INDIRECT("B"&amp;R227&amp;"")&amp;"*",INDIRECT("B"&amp;R227+1&amp;":B210"),0)+R227&amp;""),
IF(LEFT(INDIRECT("B"&amp;R227&amp;""),3)="奈良屋",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INDIRECT(""&amp;IF(COLUMN(I247)&lt;=26,CHAR(COLUMN(I247)+64),CHAR(INT((COLUMN(I247)-1)/26)+64)&amp;CHAR(MOD(COLUMN(I247)-1,26)+65))&amp;$R227&amp;""),"")</f>
        <v/>
      </c>
      <c r="Y227" s="51" t="str" cm="1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28"/>
        <v/>
      </c>
      <c r="AA227" s="51" t="str">
        <f t="shared" ca="1" si="29"/>
        <v/>
      </c>
      <c r="AB227" s="51" t="str" cm="1">
        <f t="array" aca="1" ref="AB227" ca="1">IF($R227&lt;&gt;"",
IF(COUNTIF(INDIRECT("B"&amp;R227&amp;""),"*雙葉*"),
INDIRECT("M"&amp;R227&amp;"")+INDIRECT("M"&amp;MATCH("雙葉'",INDIRECT("B"&amp;R227+1&amp;":B210"),0)+R227&amp;""),
IF(LEFT(INDIRECT("B"&amp;R227&amp;""),2)="博多",
INDIRECT("M"&amp;R227&amp;"")+INDIRECT("M"&amp;MATCH("*"&amp;INDIRECT("B"&amp;R227&amp;"")&amp;"*",INDIRECT("B"&amp;R227+1&amp;":B210"),0)+R227&amp;""),
IF(LEFT(INDIRECT("B"&amp;R227&amp;""),3)="奈良屋",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 x14ac:dyDescent="0.55000000000000004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35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34"/>
        <v/>
      </c>
      <c r="Q228" s="59" t="str">
        <f t="shared" ca="1" si="35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>
        <f t="array" aca="1" ref="W228" ca="1">IF($R228&lt;&gt;"",
IF(COUNTIF(INDIRECT("B"&amp;R228&amp;""),"*雙葉*"),
INDIRECT("H"&amp;R228&amp;"")+INDIRECT("H"&amp;MATCH("雙葉'",INDIRECT("B"&amp;R228+1&amp;":B210"),0)+R228&amp;""),
IF(LEFT(INDIRECT("B"&amp;R228&amp;""),2)="博多",
INDIRECT("H"&amp;R228&amp;"")+INDIRECT("H"&amp;MATCH("*"&amp;INDIRECT("B"&amp;R228&amp;"")&amp;"*",INDIRECT("B"&amp;R228+1&amp;":B210"),0)+R228&amp;""),
IF(LEFT(INDIRECT("B"&amp;R228&amp;""),3)="奈良屋",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INDIRECT(""&amp;IF(COLUMN(I248)&lt;=26,CHAR(COLUMN(I248)+64),CHAR(INT((COLUMN(I248)-1)/26)+64)&amp;CHAR(MOD(COLUMN(I248)-1,26)+65))&amp;$R228&amp;""),"")</f>
        <v/>
      </c>
      <c r="Y228" s="51" t="str" cm="1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28"/>
        <v/>
      </c>
      <c r="AA228" s="51" t="str">
        <f t="shared" ca="1" si="29"/>
        <v/>
      </c>
      <c r="AB228" s="51" t="str" cm="1">
        <f t="array" aca="1" ref="AB228" ca="1">IF($R228&lt;&gt;"",
IF(COUNTIF(INDIRECT("B"&amp;R228&amp;""),"*雙葉*"),
INDIRECT("M"&amp;R228&amp;"")+INDIRECT("M"&amp;MATCH("雙葉'",INDIRECT("B"&amp;R228+1&amp;":B210"),0)+R228&amp;""),
IF(LEFT(INDIRECT("B"&amp;R228&amp;""),2)="博多",
INDIRECT("M"&amp;R228&amp;"")+INDIRECT("M"&amp;MATCH("*"&amp;INDIRECT("B"&amp;R228&amp;"")&amp;"*",INDIRECT("B"&amp;R228+1&amp;":B210"),0)+R228&amp;""),
IF(LEFT(INDIRECT("B"&amp;R228&amp;""),3)="奈良屋",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 x14ac:dyDescent="0.55000000000000004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35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34"/>
        <v/>
      </c>
      <c r="Q229" s="59" t="str">
        <f t="shared" ca="1" si="35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>
        <f t="array" aca="1" ref="W229" ca="1">IF($R229&lt;&gt;"",
IF(COUNTIF(INDIRECT("B"&amp;R229&amp;""),"*雙葉*"),
INDIRECT("H"&amp;R229&amp;"")+INDIRECT("H"&amp;MATCH("雙葉'",INDIRECT("B"&amp;R229+1&amp;":B210"),0)+R229&amp;""),
IF(LEFT(INDIRECT("B"&amp;R229&amp;""),2)="博多",
INDIRECT("H"&amp;R229&amp;"")+INDIRECT("H"&amp;MATCH("*"&amp;INDIRECT("B"&amp;R229&amp;"")&amp;"*",INDIRECT("B"&amp;R229+1&amp;":B210"),0)+R229&amp;""),
IF(LEFT(INDIRECT("B"&amp;R229&amp;""),3)="奈良屋",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INDIRECT(""&amp;IF(COLUMN(I249)&lt;=26,CHAR(COLUMN(I249)+64),CHAR(INT((COLUMN(I249)-1)/26)+64)&amp;CHAR(MOD(COLUMN(I249)-1,26)+65))&amp;$R229&amp;""),"")</f>
        <v/>
      </c>
      <c r="Y229" s="51" t="str" cm="1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28"/>
        <v/>
      </c>
      <c r="AA229" s="51" t="str">
        <f t="shared" ca="1" si="29"/>
        <v/>
      </c>
      <c r="AB229" s="51" t="str" cm="1">
        <f t="array" aca="1" ref="AB229" ca="1">IF($R229&lt;&gt;"",
IF(COUNTIF(INDIRECT("B"&amp;R229&amp;""),"*雙葉*"),
INDIRECT("M"&amp;R229&amp;"")+INDIRECT("M"&amp;MATCH("雙葉'",INDIRECT("B"&amp;R229+1&amp;":B210"),0)+R229&amp;""),
IF(LEFT(INDIRECT("B"&amp;R229&amp;""),2)="博多",
INDIRECT("M"&amp;R229&amp;"")+INDIRECT("M"&amp;MATCH("*"&amp;INDIRECT("B"&amp;R229&amp;"")&amp;"*",INDIRECT("B"&amp;R229+1&amp;":B210"),0)+R229&amp;""),
IF(LEFT(INDIRECT("B"&amp;R229&amp;""),3)="奈良屋",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 x14ac:dyDescent="0.55000000000000004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35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34"/>
        <v/>
      </c>
      <c r="Q230" s="59" t="str">
        <f t="shared" ca="1" si="35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>
        <f t="array" aca="1" ref="W230" ca="1">IF($R230&lt;&gt;"",
IF(COUNTIF(INDIRECT("B"&amp;R230&amp;""),"*雙葉*"),
INDIRECT("H"&amp;R230&amp;"")+INDIRECT("H"&amp;MATCH("雙葉'",INDIRECT("B"&amp;R230+1&amp;":B210"),0)+R230&amp;""),
IF(LEFT(INDIRECT("B"&amp;R230&amp;""),2)="博多",
INDIRECT("H"&amp;R230&amp;"")+INDIRECT("H"&amp;MATCH("*"&amp;INDIRECT("B"&amp;R230&amp;"")&amp;"*",INDIRECT("B"&amp;R230+1&amp;":B210"),0)+R230&amp;""),
IF(LEFT(INDIRECT("B"&amp;R230&amp;""),3)="奈良屋",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INDIRECT(""&amp;IF(COLUMN(I250)&lt;=26,CHAR(COLUMN(I250)+64),CHAR(INT((COLUMN(I250)-1)/26)+64)&amp;CHAR(MOD(COLUMN(I250)-1,26)+65))&amp;$R230&amp;""),"")</f>
        <v/>
      </c>
      <c r="Y230" s="51" t="str" cm="1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28"/>
        <v/>
      </c>
      <c r="AA230" s="51" t="str">
        <f t="shared" ca="1" si="29"/>
        <v/>
      </c>
      <c r="AB230" s="51" t="str" cm="1">
        <f t="array" aca="1" ref="AB230" ca="1">IF($R230&lt;&gt;"",
IF(COUNTIF(INDIRECT("B"&amp;R230&amp;""),"*雙葉*"),
INDIRECT("M"&amp;R230&amp;"")+INDIRECT("M"&amp;MATCH("雙葉'",INDIRECT("B"&amp;R230+1&amp;":B210"),0)+R230&amp;""),
IF(LEFT(INDIRECT("B"&amp;R230&amp;""),2)="博多",
INDIRECT("M"&amp;R230&amp;"")+INDIRECT("M"&amp;MATCH("*"&amp;INDIRECT("B"&amp;R230&amp;"")&amp;"*",INDIRECT("B"&amp;R230+1&amp;":B210"),0)+R230&amp;""),
IF(LEFT(INDIRECT("B"&amp;R230&amp;""),3)="奈良屋",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 x14ac:dyDescent="0.55000000000000004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35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34"/>
        <v/>
      </c>
      <c r="Q231" s="59" t="str">
        <f t="shared" ca="1" si="35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>
        <f t="array" aca="1" ref="W231" ca="1">IF($R231&lt;&gt;"",
IF(COUNTIF(INDIRECT("B"&amp;R231&amp;""),"*雙葉*"),
INDIRECT("H"&amp;R231&amp;"")+INDIRECT("H"&amp;MATCH("雙葉'",INDIRECT("B"&amp;R231+1&amp;":B210"),0)+R231&amp;""),
IF(LEFT(INDIRECT("B"&amp;R231&amp;""),2)="博多",
INDIRECT("H"&amp;R231&amp;"")+INDIRECT("H"&amp;MATCH("*"&amp;INDIRECT("B"&amp;R231&amp;"")&amp;"*",INDIRECT("B"&amp;R231+1&amp;":B210"),0)+R231&amp;""),
IF(LEFT(INDIRECT("B"&amp;R231&amp;""),3)="奈良屋",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INDIRECT(""&amp;IF(COLUMN(I251)&lt;=26,CHAR(COLUMN(I251)+64),CHAR(INT((COLUMN(I251)-1)/26)+64)&amp;CHAR(MOD(COLUMN(I251)-1,26)+65))&amp;$R231&amp;""),"")</f>
        <v/>
      </c>
      <c r="Y231" s="51" t="str" cm="1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28"/>
        <v/>
      </c>
      <c r="AA231" s="51" t="str">
        <f t="shared" ca="1" si="29"/>
        <v/>
      </c>
      <c r="AB231" s="51" t="str" cm="1">
        <f t="array" aca="1" ref="AB231" ca="1">IF($R231&lt;&gt;"",
IF(COUNTIF(INDIRECT("B"&amp;R231&amp;""),"*雙葉*"),
INDIRECT("M"&amp;R231&amp;"")+INDIRECT("M"&amp;MATCH("雙葉'",INDIRECT("B"&amp;R231+1&amp;":B210"),0)+R231&amp;""),
IF(LEFT(INDIRECT("B"&amp;R231&amp;""),2)="博多",
INDIRECT("M"&amp;R231&amp;"")+INDIRECT("M"&amp;MATCH("*"&amp;INDIRECT("B"&amp;R231&amp;"")&amp;"*",INDIRECT("B"&amp;R231+1&amp;":B210"),0)+R231&amp;""),
IF(LEFT(INDIRECT("B"&amp;R231&amp;""),3)="奈良屋",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 x14ac:dyDescent="0.55000000000000004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35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34"/>
        <v/>
      </c>
      <c r="Q232" s="59" t="str">
        <f t="shared" ca="1" si="35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>
        <f t="array" aca="1" ref="W232" ca="1">IF($R232&lt;&gt;"",
IF(COUNTIF(INDIRECT("B"&amp;R232&amp;""),"*雙葉*"),
INDIRECT("H"&amp;R232&amp;"")+INDIRECT("H"&amp;MATCH("雙葉'",INDIRECT("B"&amp;R232+1&amp;":B210"),0)+R232&amp;""),
IF(LEFT(INDIRECT("B"&amp;R232&amp;""),2)="博多",
INDIRECT("H"&amp;R232&amp;"")+INDIRECT("H"&amp;MATCH("*"&amp;INDIRECT("B"&amp;R232&amp;"")&amp;"*",INDIRECT("B"&amp;R232+1&amp;":B210"),0)+R232&amp;""),
IF(LEFT(INDIRECT("B"&amp;R232&amp;""),3)="奈良屋",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INDIRECT(""&amp;IF(COLUMN(I252)&lt;=26,CHAR(COLUMN(I252)+64),CHAR(INT((COLUMN(I252)-1)/26)+64)&amp;CHAR(MOD(COLUMN(I252)-1,26)+65))&amp;$R232&amp;""),"")</f>
        <v/>
      </c>
      <c r="Y232" s="51" t="str" cm="1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28"/>
        <v/>
      </c>
      <c r="AA232" s="51" t="str">
        <f t="shared" ca="1" si="29"/>
        <v/>
      </c>
      <c r="AB232" s="51" t="str" cm="1">
        <f t="array" aca="1" ref="AB232" ca="1">IF($R232&lt;&gt;"",
IF(COUNTIF(INDIRECT("B"&amp;R232&amp;""),"*雙葉*"),
INDIRECT("M"&amp;R232&amp;"")+INDIRECT("M"&amp;MATCH("雙葉'",INDIRECT("B"&amp;R232+1&amp;":B210"),0)+R232&amp;""),
IF(LEFT(INDIRECT("B"&amp;R232&amp;""),2)="博多",
INDIRECT("M"&amp;R232&amp;"")+INDIRECT("M"&amp;MATCH("*"&amp;INDIRECT("B"&amp;R232&amp;"")&amp;"*",INDIRECT("B"&amp;R232+1&amp;":B210"),0)+R232&amp;""),
IF(LEFT(INDIRECT("B"&amp;R232&amp;""),3)="奈良屋",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 x14ac:dyDescent="0.55000000000000004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35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34"/>
        <v/>
      </c>
      <c r="Q233" s="59" t="str">
        <f t="shared" ca="1" si="35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>
        <f t="array" aca="1" ref="W233" ca="1">IF($R233&lt;&gt;"",
IF(COUNTIF(INDIRECT("B"&amp;R233&amp;""),"*雙葉*"),
INDIRECT("H"&amp;R233&amp;"")+INDIRECT("H"&amp;MATCH("雙葉'",INDIRECT("B"&amp;R233+1&amp;":B210"),0)+R233&amp;""),
IF(LEFT(INDIRECT("B"&amp;R233&amp;""),2)="博多",
INDIRECT("H"&amp;R233&amp;"")+INDIRECT("H"&amp;MATCH("*"&amp;INDIRECT("B"&amp;R233&amp;"")&amp;"*",INDIRECT("B"&amp;R233+1&amp;":B210"),0)+R233&amp;""),
IF(LEFT(INDIRECT("B"&amp;R233&amp;""),3)="奈良屋",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INDIRECT(""&amp;IF(COLUMN(I253)&lt;=26,CHAR(COLUMN(I253)+64),CHAR(INT((COLUMN(I253)-1)/26)+64)&amp;CHAR(MOD(COLUMN(I253)-1,26)+65))&amp;$R233&amp;""),"")</f>
        <v/>
      </c>
      <c r="Y233" s="51" t="str" cm="1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28"/>
        <v/>
      </c>
      <c r="AA233" s="51" t="str">
        <f t="shared" ca="1" si="29"/>
        <v/>
      </c>
      <c r="AB233" s="51" t="str" cm="1">
        <f t="array" aca="1" ref="AB233" ca="1">IF($R233&lt;&gt;"",
IF(COUNTIF(INDIRECT("B"&amp;R233&amp;""),"*雙葉*"),
INDIRECT("M"&amp;R233&amp;"")+INDIRECT("M"&amp;MATCH("雙葉'",INDIRECT("B"&amp;R233+1&amp;":B210"),0)+R233&amp;""),
IF(LEFT(INDIRECT("B"&amp;R233&amp;""),2)="博多",
INDIRECT("M"&amp;R233&amp;"")+INDIRECT("M"&amp;MATCH("*"&amp;INDIRECT("B"&amp;R233&amp;"")&amp;"*",INDIRECT("B"&amp;R233+1&amp;":B210"),0)+R233&amp;""),
IF(LEFT(INDIRECT("B"&amp;R233&amp;""),3)="奈良屋",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 x14ac:dyDescent="0.55000000000000004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35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34"/>
        <v/>
      </c>
      <c r="Q234" s="59" t="str">
        <f t="shared" ca="1" si="35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>
        <f t="array" aca="1" ref="W234" ca="1">IF($R234&lt;&gt;"",
IF(COUNTIF(INDIRECT("B"&amp;R234&amp;""),"*雙葉*"),
INDIRECT("H"&amp;R234&amp;"")+INDIRECT("H"&amp;MATCH("雙葉'",INDIRECT("B"&amp;R234+1&amp;":B210"),0)+R234&amp;""),
IF(LEFT(INDIRECT("B"&amp;R234&amp;""),2)="博多",
INDIRECT("H"&amp;R234&amp;"")+INDIRECT("H"&amp;MATCH("*"&amp;INDIRECT("B"&amp;R234&amp;"")&amp;"*",INDIRECT("B"&amp;R234+1&amp;":B210"),0)+R234&amp;""),
IF(LEFT(INDIRECT("B"&amp;R234&amp;""),3)="奈良屋",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INDIRECT(""&amp;IF(COLUMN(I254)&lt;=26,CHAR(COLUMN(I254)+64),CHAR(INT((COLUMN(I254)-1)/26)+64)&amp;CHAR(MOD(COLUMN(I254)-1,26)+65))&amp;$R234&amp;""),"")</f>
        <v/>
      </c>
      <c r="Y234" s="51" t="str" cm="1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28"/>
        <v/>
      </c>
      <c r="AA234" s="51" t="str">
        <f t="shared" ca="1" si="29"/>
        <v/>
      </c>
      <c r="AB234" s="51" t="str" cm="1">
        <f t="array" aca="1" ref="AB234" ca="1">IF($R234&lt;&gt;"",
IF(COUNTIF(INDIRECT("B"&amp;R234&amp;""),"*雙葉*"),
INDIRECT("M"&amp;R234&amp;"")+INDIRECT("M"&amp;MATCH("雙葉'",INDIRECT("B"&amp;R234+1&amp;":B210"),0)+R234&amp;""),
IF(LEFT(INDIRECT("B"&amp;R234&amp;""),2)="博多",
INDIRECT("M"&amp;R234&amp;"")+INDIRECT("M"&amp;MATCH("*"&amp;INDIRECT("B"&amp;R234&amp;"")&amp;"*",INDIRECT("B"&amp;R234+1&amp;":B210"),0)+R234&amp;""),
IF(LEFT(INDIRECT("B"&amp;R234&amp;""),3)="奈良屋",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 x14ac:dyDescent="0.55000000000000004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35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34"/>
        <v/>
      </c>
      <c r="Q235" s="59" t="str">
        <f t="shared" ca="1" si="35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>
        <f t="array" aca="1" ref="W235" ca="1">IF($R235&lt;&gt;"",
IF(COUNTIF(INDIRECT("B"&amp;R235&amp;""),"*雙葉*"),
INDIRECT("H"&amp;R235&amp;"")+INDIRECT("H"&amp;MATCH("雙葉'",INDIRECT("B"&amp;R235+1&amp;":B210"),0)+R235&amp;""),
IF(LEFT(INDIRECT("B"&amp;R235&amp;""),2)="博多",
INDIRECT("H"&amp;R235&amp;"")+INDIRECT("H"&amp;MATCH("*"&amp;INDIRECT("B"&amp;R235&amp;"")&amp;"*",INDIRECT("B"&amp;R235+1&amp;":B210"),0)+R235&amp;""),
IF(LEFT(INDIRECT("B"&amp;R235&amp;""),3)="奈良屋",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INDIRECT(""&amp;IF(COLUMN(I255)&lt;=26,CHAR(COLUMN(I255)+64),CHAR(INT((COLUMN(I255)-1)/26)+64)&amp;CHAR(MOD(COLUMN(I255)-1,26)+65))&amp;$R235&amp;""),"")</f>
        <v/>
      </c>
      <c r="Y235" s="51" t="str" cm="1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28"/>
        <v/>
      </c>
      <c r="AA235" s="51" t="str">
        <f t="shared" ca="1" si="29"/>
        <v/>
      </c>
      <c r="AB235" s="51" t="str" cm="1">
        <f t="array" aca="1" ref="AB235" ca="1">IF($R235&lt;&gt;"",
IF(COUNTIF(INDIRECT("B"&amp;R235&amp;""),"*雙葉*"),
INDIRECT("M"&amp;R235&amp;"")+INDIRECT("M"&amp;MATCH("雙葉'",INDIRECT("B"&amp;R235+1&amp;":B210"),0)+R235&amp;""),
IF(LEFT(INDIRECT("B"&amp;R235&amp;""),2)="博多",
INDIRECT("M"&amp;R235&amp;"")+INDIRECT("M"&amp;MATCH("*"&amp;INDIRECT("B"&amp;R235&amp;"")&amp;"*",INDIRECT("B"&amp;R235+1&amp;":B210"),0)+R235&amp;""),
IF(LEFT(INDIRECT("B"&amp;R235&amp;""),3)="奈良屋",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 x14ac:dyDescent="0.55000000000000004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35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34"/>
        <v/>
      </c>
      <c r="Q236" s="59" t="str">
        <f t="shared" ca="1" si="35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>
        <f t="array" aca="1" ref="W236" ca="1">IF($R236&lt;&gt;"",
IF(COUNTIF(INDIRECT("B"&amp;R236&amp;""),"*雙葉*"),
INDIRECT("H"&amp;R236&amp;"")+INDIRECT("H"&amp;MATCH("雙葉'",INDIRECT("B"&amp;R236+1&amp;":B210"),0)+R236&amp;""),
IF(LEFT(INDIRECT("B"&amp;R236&amp;""),2)="博多",
INDIRECT("H"&amp;R236&amp;"")+INDIRECT("H"&amp;MATCH("*"&amp;INDIRECT("B"&amp;R236&amp;"")&amp;"*",INDIRECT("B"&amp;R236+1&amp;":B210"),0)+R236&amp;""),
IF(LEFT(INDIRECT("B"&amp;R236&amp;""),3)="奈良屋",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INDIRECT(""&amp;IF(COLUMN(I256)&lt;=26,CHAR(COLUMN(I256)+64),CHAR(INT((COLUMN(I256)-1)/26)+64)&amp;CHAR(MOD(COLUMN(I256)-1,26)+65))&amp;$R236&amp;""),"")</f>
        <v/>
      </c>
      <c r="Y236" s="51" t="str" cm="1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28"/>
        <v/>
      </c>
      <c r="AA236" s="51" t="str">
        <f t="shared" ca="1" si="29"/>
        <v/>
      </c>
      <c r="AB236" s="51" t="str" cm="1">
        <f t="array" aca="1" ref="AB236" ca="1">IF($R236&lt;&gt;"",
IF(COUNTIF(INDIRECT("B"&amp;R236&amp;""),"*雙葉*"),
INDIRECT("M"&amp;R236&amp;"")+INDIRECT("M"&amp;MATCH("雙葉'",INDIRECT("B"&amp;R236+1&amp;":B210"),0)+R236&amp;""),
IF(LEFT(INDIRECT("B"&amp;R236&amp;""),2)="博多",
INDIRECT("M"&amp;R236&amp;"")+INDIRECT("M"&amp;MATCH("*"&amp;INDIRECT("B"&amp;R236&amp;"")&amp;"*",INDIRECT("B"&amp;R236+1&amp;":B210"),0)+R236&amp;""),
IF(LEFT(INDIRECT("B"&amp;R236&amp;""),3)="奈良屋",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 x14ac:dyDescent="0.55000000000000004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35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34"/>
        <v/>
      </c>
      <c r="Q237" s="59" t="str">
        <f t="shared" ca="1" si="35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>
        <f t="array" aca="1" ref="W237" ca="1">IF($R237&lt;&gt;"",
IF(COUNTIF(INDIRECT("B"&amp;R237&amp;""),"*雙葉*"),
INDIRECT("H"&amp;R237&amp;"")+INDIRECT("H"&amp;MATCH("雙葉'",INDIRECT("B"&amp;R237+1&amp;":B210"),0)+R237&amp;""),
IF(LEFT(INDIRECT("B"&amp;R237&amp;""),2)="博多",
INDIRECT("H"&amp;R237&amp;"")+INDIRECT("H"&amp;MATCH("*"&amp;INDIRECT("B"&amp;R237&amp;"")&amp;"*",INDIRECT("B"&amp;R237+1&amp;":B210"),0)+R237&amp;""),
IF(LEFT(INDIRECT("B"&amp;R237&amp;""),3)="奈良屋",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INDIRECT(""&amp;IF(COLUMN(I257)&lt;=26,CHAR(COLUMN(I257)+64),CHAR(INT((COLUMN(I257)-1)/26)+64)&amp;CHAR(MOD(COLUMN(I257)-1,26)+65))&amp;$R237&amp;""),"")</f>
        <v/>
      </c>
      <c r="Y237" s="51" t="str" cm="1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28"/>
        <v/>
      </c>
      <c r="AA237" s="51" t="str">
        <f t="shared" ca="1" si="29"/>
        <v/>
      </c>
      <c r="AB237" s="51" t="str" cm="1">
        <f t="array" aca="1" ref="AB237" ca="1">IF($R237&lt;&gt;"",
IF(COUNTIF(INDIRECT("B"&amp;R237&amp;""),"*雙葉*"),
INDIRECT("M"&amp;R237&amp;"")+INDIRECT("M"&amp;MATCH("雙葉'",INDIRECT("B"&amp;R237+1&amp;":B210"),0)+R237&amp;""),
IF(LEFT(INDIRECT("B"&amp;R237&amp;""),2)="博多",
INDIRECT("M"&amp;R237&amp;"")+INDIRECT("M"&amp;MATCH("*"&amp;INDIRECT("B"&amp;R237&amp;"")&amp;"*",INDIRECT("B"&amp;R237+1&amp;":B210"),0)+R237&amp;""),
IF(LEFT(INDIRECT("B"&amp;R237&amp;""),3)="奈良屋",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 x14ac:dyDescent="0.55000000000000004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35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34"/>
        <v/>
      </c>
      <c r="Q238" s="59" t="str">
        <f t="shared" ca="1" si="35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>
        <f t="array" aca="1" ref="W238" ca="1">IF($R238&lt;&gt;"",
IF(COUNTIF(INDIRECT("B"&amp;R238&amp;""),"*雙葉*"),
INDIRECT("H"&amp;R238&amp;"")+INDIRECT("H"&amp;MATCH("雙葉'",INDIRECT("B"&amp;R238+1&amp;":B210"),0)+R238&amp;""),
IF(LEFT(INDIRECT("B"&amp;R238&amp;""),2)="博多",
INDIRECT("H"&amp;R238&amp;"")+INDIRECT("H"&amp;MATCH("*"&amp;INDIRECT("B"&amp;R238&amp;"")&amp;"*",INDIRECT("B"&amp;R238+1&amp;":B210"),0)+R238&amp;""),
IF(LEFT(INDIRECT("B"&amp;R238&amp;""),3)="奈良屋",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INDIRECT(""&amp;IF(COLUMN(I258)&lt;=26,CHAR(COLUMN(I258)+64),CHAR(INT((COLUMN(I258)-1)/26)+64)&amp;CHAR(MOD(COLUMN(I258)-1,26)+65))&amp;$R238&amp;""),"")</f>
        <v/>
      </c>
      <c r="Y238" s="51" t="str" cm="1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28"/>
        <v/>
      </c>
      <c r="AA238" s="51" t="str">
        <f t="shared" ca="1" si="29"/>
        <v/>
      </c>
      <c r="AB238" s="51" t="str" cm="1">
        <f t="array" aca="1" ref="AB238" ca="1">IF($R238&lt;&gt;"",
IF(COUNTIF(INDIRECT("B"&amp;R238&amp;""),"*雙葉*"),
INDIRECT("M"&amp;R238&amp;"")+INDIRECT("M"&amp;MATCH("雙葉'",INDIRECT("B"&amp;R238+1&amp;":B210"),0)+R238&amp;""),
IF(LEFT(INDIRECT("B"&amp;R238&amp;""),2)="博多",
INDIRECT("M"&amp;R238&amp;"")+INDIRECT("M"&amp;MATCH("*"&amp;INDIRECT("B"&amp;R238&amp;"")&amp;"*",INDIRECT("B"&amp;R238+1&amp;":B210"),0)+R238&amp;""),
IF(LEFT(INDIRECT("B"&amp;R238&amp;""),3)="奈良屋",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 x14ac:dyDescent="0.55000000000000004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35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34"/>
        <v/>
      </c>
      <c r="Q239" s="59" t="str">
        <f t="shared" ca="1" si="35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>
        <f t="array" aca="1" ref="W239" ca="1">IF($R239&lt;&gt;"",
IF(COUNTIF(INDIRECT("B"&amp;R239&amp;""),"*雙葉*"),
INDIRECT("H"&amp;R239&amp;"")+INDIRECT("H"&amp;MATCH("雙葉'",INDIRECT("B"&amp;R239+1&amp;":B210"),0)+R239&amp;""),
IF(LEFT(INDIRECT("B"&amp;R239&amp;""),2)="博多",
INDIRECT("H"&amp;R239&amp;"")+INDIRECT("H"&amp;MATCH("*"&amp;INDIRECT("B"&amp;R239&amp;"")&amp;"*",INDIRECT("B"&amp;R239+1&amp;":B210"),0)+R239&amp;""),
IF(LEFT(INDIRECT("B"&amp;R239&amp;""),3)="奈良屋",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INDIRECT(""&amp;IF(COLUMN(I259)&lt;=26,CHAR(COLUMN(I259)+64),CHAR(INT((COLUMN(I259)-1)/26)+64)&amp;CHAR(MOD(COLUMN(I259)-1,26)+65))&amp;$R239&amp;""),"")</f>
        <v/>
      </c>
      <c r="Y239" s="51" t="str" cm="1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28"/>
        <v/>
      </c>
      <c r="AA239" s="51" t="str">
        <f t="shared" ca="1" si="29"/>
        <v/>
      </c>
      <c r="AB239" s="51" t="str" cm="1">
        <f t="array" aca="1" ref="AB239" ca="1">IF($R239&lt;&gt;"",
IF(COUNTIF(INDIRECT("B"&amp;R239&amp;""),"*雙葉*"),
INDIRECT("M"&amp;R239&amp;"")+INDIRECT("M"&amp;MATCH("雙葉'",INDIRECT("B"&amp;R239+1&amp;":B210"),0)+R239&amp;""),
IF(LEFT(INDIRECT("B"&amp;R239&amp;""),2)="博多",
INDIRECT("M"&amp;R239&amp;"")+INDIRECT("M"&amp;MATCH("*"&amp;INDIRECT("B"&amp;R239&amp;"")&amp;"*",INDIRECT("B"&amp;R239+1&amp;":B210"),0)+R239&amp;""),
IF(LEFT(INDIRECT("B"&amp;R239&amp;""),3)="奈良屋",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 x14ac:dyDescent="0.55000000000000004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35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34"/>
        <v/>
      </c>
      <c r="Q240" s="59" t="str">
        <f t="shared" ca="1" si="35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>
        <f t="array" aca="1" ref="W240" ca="1">IF($R240&lt;&gt;"",
IF(COUNTIF(INDIRECT("B"&amp;R240&amp;""),"*雙葉*"),
INDIRECT("H"&amp;R240&amp;"")+INDIRECT("H"&amp;MATCH("雙葉'",INDIRECT("B"&amp;R240+1&amp;":B210"),0)+R240&amp;""),
IF(LEFT(INDIRECT("B"&amp;R240&amp;""),2)="博多",
INDIRECT("H"&amp;R240&amp;"")+INDIRECT("H"&amp;MATCH("*"&amp;INDIRECT("B"&amp;R240&amp;"")&amp;"*",INDIRECT("B"&amp;R240+1&amp;":B210"),0)+R240&amp;""),
IF(LEFT(INDIRECT("B"&amp;R240&amp;""),3)="奈良屋",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INDIRECT(""&amp;IF(COLUMN(I260)&lt;=26,CHAR(COLUMN(I260)+64),CHAR(INT((COLUMN(I260)-1)/26)+64)&amp;CHAR(MOD(COLUMN(I260)-1,26)+65))&amp;$R240&amp;""),"")</f>
        <v/>
      </c>
      <c r="Y240" s="51" t="str" cm="1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28"/>
        <v/>
      </c>
      <c r="AA240" s="51" t="str">
        <f t="shared" ca="1" si="29"/>
        <v/>
      </c>
      <c r="AB240" s="51" t="str" cm="1">
        <f t="array" aca="1" ref="AB240" ca="1">IF($R240&lt;&gt;"",
IF(COUNTIF(INDIRECT("B"&amp;R240&amp;""),"*雙葉*"),
INDIRECT("M"&amp;R240&amp;"")+INDIRECT("M"&amp;MATCH("雙葉'",INDIRECT("B"&amp;R240+1&amp;":B210"),0)+R240&amp;""),
IF(LEFT(INDIRECT("B"&amp;R240&amp;""),2)="博多",
INDIRECT("M"&amp;R240&amp;"")+INDIRECT("M"&amp;MATCH("*"&amp;INDIRECT("B"&amp;R240&amp;"")&amp;"*",INDIRECT("B"&amp;R240+1&amp;":B210"),0)+R240&amp;""),
IF(LEFT(INDIRECT("B"&amp;R240&amp;""),3)="奈良屋",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 x14ac:dyDescent="0.55000000000000004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35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34"/>
        <v/>
      </c>
      <c r="Q241" s="59" t="str">
        <f t="shared" ca="1" si="35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>
        <f t="array" aca="1" ref="W241" ca="1">IF($R241&lt;&gt;"",
IF(COUNTIF(INDIRECT("B"&amp;R241&amp;""),"*雙葉*"),
INDIRECT("H"&amp;R241&amp;"")+INDIRECT("H"&amp;MATCH("雙葉'",INDIRECT("B"&amp;R241+1&amp;":B210"),0)+R241&amp;""),
IF(LEFT(INDIRECT("B"&amp;R241&amp;""),2)="博多",
INDIRECT("H"&amp;R241&amp;"")+INDIRECT("H"&amp;MATCH("*"&amp;INDIRECT("B"&amp;R241&amp;"")&amp;"*",INDIRECT("B"&amp;R241+1&amp;":B210"),0)+R241&amp;""),
IF(LEFT(INDIRECT("B"&amp;R241&amp;""),3)="奈良屋",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INDIRECT(""&amp;IF(COLUMN(I261)&lt;=26,CHAR(COLUMN(I261)+64),CHAR(INT((COLUMN(I261)-1)/26)+64)&amp;CHAR(MOD(COLUMN(I261)-1,26)+65))&amp;$R241&amp;""),"")</f>
        <v/>
      </c>
      <c r="Y241" s="51" t="str" cm="1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28"/>
        <v/>
      </c>
      <c r="AA241" s="51" t="str">
        <f t="shared" ca="1" si="29"/>
        <v/>
      </c>
      <c r="AB241" s="51" t="str" cm="1">
        <f t="array" aca="1" ref="AB241" ca="1">IF($R241&lt;&gt;"",
IF(COUNTIF(INDIRECT("B"&amp;R241&amp;""),"*雙葉*"),
INDIRECT("M"&amp;R241&amp;"")+INDIRECT("M"&amp;MATCH("雙葉'",INDIRECT("B"&amp;R241+1&amp;":B210"),0)+R241&amp;""),
IF(LEFT(INDIRECT("B"&amp;R241&amp;""),2)="博多",
INDIRECT("M"&amp;R241&amp;"")+INDIRECT("M"&amp;MATCH("*"&amp;INDIRECT("B"&amp;R241&amp;"")&amp;"*",INDIRECT("B"&amp;R241+1&amp;":B210"),0)+R241&amp;""),
IF(LEFT(INDIRECT("B"&amp;R241&amp;""),3)="奈良屋",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 x14ac:dyDescent="0.55000000000000004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35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34"/>
        <v/>
      </c>
      <c r="Q242" s="59" t="str">
        <f t="shared" ca="1" si="35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>
        <f t="array" aca="1" ref="W242" ca="1">IF($R242&lt;&gt;"",
IF(COUNTIF(INDIRECT("B"&amp;R242&amp;""),"*雙葉*"),
INDIRECT("H"&amp;R242&amp;"")+INDIRECT("H"&amp;MATCH("雙葉'",INDIRECT("B"&amp;R242+1&amp;":B210"),0)+R242&amp;""),
IF(LEFT(INDIRECT("B"&amp;R242&amp;""),2)="博多",
INDIRECT("H"&amp;R242&amp;"")+INDIRECT("H"&amp;MATCH("*"&amp;INDIRECT("B"&amp;R242&amp;"")&amp;"*",INDIRECT("B"&amp;R242+1&amp;":B210"),0)+R242&amp;""),
IF(LEFT(INDIRECT("B"&amp;R242&amp;""),3)="奈良屋",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INDIRECT(""&amp;IF(COLUMN(I262)&lt;=26,CHAR(COLUMN(I262)+64),CHAR(INT((COLUMN(I262)-1)/26)+64)&amp;CHAR(MOD(COLUMN(I262)-1,26)+65))&amp;$R242&amp;""),"")</f>
        <v/>
      </c>
      <c r="Y242" s="51" t="str" cm="1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28"/>
        <v/>
      </c>
      <c r="AA242" s="51" t="str">
        <f t="shared" ca="1" si="29"/>
        <v/>
      </c>
      <c r="AB242" s="51" t="str" cm="1">
        <f t="array" aca="1" ref="AB242" ca="1">IF($R242&lt;&gt;"",
IF(COUNTIF(INDIRECT("B"&amp;R242&amp;""),"*雙葉*"),
INDIRECT("M"&amp;R242&amp;"")+INDIRECT("M"&amp;MATCH("雙葉'",INDIRECT("B"&amp;R242+1&amp;":B210"),0)+R242&amp;""),
IF(LEFT(INDIRECT("B"&amp;R242&amp;""),2)="博多",
INDIRECT("M"&amp;R242&amp;"")+INDIRECT("M"&amp;MATCH("*"&amp;INDIRECT("B"&amp;R242&amp;"")&amp;"*",INDIRECT("B"&amp;R242+1&amp;":B210"),0)+R242&amp;""),
IF(LEFT(INDIRECT("B"&amp;R242&amp;""),3)="奈良屋",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 x14ac:dyDescent="0.55000000000000004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35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34"/>
        <v/>
      </c>
      <c r="Q243" s="59" t="str">
        <f t="shared" ca="1" si="35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>
        <f t="array" aca="1" ref="W243" ca="1">IF($R243&lt;&gt;"",
IF(COUNTIF(INDIRECT("B"&amp;R243&amp;""),"*雙葉*"),
INDIRECT("H"&amp;R243&amp;"")+INDIRECT("H"&amp;MATCH("雙葉'",INDIRECT("B"&amp;R243+1&amp;":B210"),0)+R243&amp;""),
IF(LEFT(INDIRECT("B"&amp;R243&amp;""),2)="博多",
INDIRECT("H"&amp;R243&amp;"")+INDIRECT("H"&amp;MATCH("*"&amp;INDIRECT("B"&amp;R243&amp;"")&amp;"*",INDIRECT("B"&amp;R243+1&amp;":B210"),0)+R243&amp;""),
IF(LEFT(INDIRECT("B"&amp;R243&amp;""),3)="奈良屋",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INDIRECT(""&amp;IF(COLUMN(I263)&lt;=26,CHAR(COLUMN(I263)+64),CHAR(INT((COLUMN(I263)-1)/26)+64)&amp;CHAR(MOD(COLUMN(I263)-1,26)+65))&amp;$R243&amp;""),"")</f>
        <v/>
      </c>
      <c r="Y243" s="51" t="str" cm="1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28"/>
        <v/>
      </c>
      <c r="AA243" s="51" t="str">
        <f t="shared" ca="1" si="29"/>
        <v/>
      </c>
      <c r="AB243" s="51" t="str" cm="1">
        <f t="array" aca="1" ref="AB243" ca="1">IF($R243&lt;&gt;"",
IF(COUNTIF(INDIRECT("B"&amp;R243&amp;""),"*雙葉*"),
INDIRECT("M"&amp;R243&amp;"")+INDIRECT("M"&amp;MATCH("雙葉'",INDIRECT("B"&amp;R243+1&amp;":B210"),0)+R243&amp;""),
IF(LEFT(INDIRECT("B"&amp;R243&amp;""),2)="博多",
INDIRECT("M"&amp;R243&amp;"")+INDIRECT("M"&amp;MATCH("*"&amp;INDIRECT("B"&amp;R243&amp;"")&amp;"*",INDIRECT("B"&amp;R243+1&amp;":B210"),0)+R243&amp;""),
IF(LEFT(INDIRECT("B"&amp;R243&amp;""),3)="奈良屋",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 x14ac:dyDescent="0.55000000000000004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35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34"/>
        <v/>
      </c>
      <c r="Q244" s="59" t="str">
        <f t="shared" ca="1" si="35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>
        <f t="array" aca="1" ref="W244" ca="1">IF($R244&lt;&gt;"",
IF(COUNTIF(INDIRECT("B"&amp;R244&amp;""),"*雙葉*"),
INDIRECT("H"&amp;R244&amp;"")+INDIRECT("H"&amp;MATCH("雙葉'",INDIRECT("B"&amp;R244+1&amp;":B210"),0)+R244&amp;""),
IF(LEFT(INDIRECT("B"&amp;R244&amp;""),2)="博多",
INDIRECT("H"&amp;R244&amp;"")+INDIRECT("H"&amp;MATCH("*"&amp;INDIRECT("B"&amp;R244&amp;"")&amp;"*",INDIRECT("B"&amp;R244+1&amp;":B210"),0)+R244&amp;""),
IF(LEFT(INDIRECT("B"&amp;R244&amp;""),3)="奈良屋",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INDIRECT(""&amp;IF(COLUMN(I264)&lt;=26,CHAR(COLUMN(I264)+64),CHAR(INT((COLUMN(I264)-1)/26)+64)&amp;CHAR(MOD(COLUMN(I264)-1,26)+65))&amp;$R244&amp;""),"")</f>
        <v/>
      </c>
      <c r="Y244" s="51" t="str" cm="1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28"/>
        <v/>
      </c>
      <c r="AA244" s="51" t="str">
        <f t="shared" ca="1" si="29"/>
        <v/>
      </c>
      <c r="AB244" s="51" t="str" cm="1">
        <f t="array" aca="1" ref="AB244" ca="1">IF($R244&lt;&gt;"",
IF(COUNTIF(INDIRECT("B"&amp;R244&amp;""),"*雙葉*"),
INDIRECT("M"&amp;R244&amp;"")+INDIRECT("M"&amp;MATCH("雙葉'",INDIRECT("B"&amp;R244+1&amp;":B210"),0)+R244&amp;""),
IF(LEFT(INDIRECT("B"&amp;R244&amp;""),2)="博多",
INDIRECT("M"&amp;R244&amp;"")+INDIRECT("M"&amp;MATCH("*"&amp;INDIRECT("B"&amp;R244&amp;"")&amp;"*",INDIRECT("B"&amp;R244+1&amp;":B210"),0)+R244&amp;""),
IF(LEFT(INDIRECT("B"&amp;R244&amp;""),3)="奈良屋",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 x14ac:dyDescent="0.55000000000000004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35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34"/>
        <v/>
      </c>
      <c r="Q245" s="59" t="str">
        <f t="shared" ca="1" si="35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>
        <f t="array" aca="1" ref="W245" ca="1">IF($R245&lt;&gt;"",
IF(COUNTIF(INDIRECT("B"&amp;R245&amp;""),"*雙葉*"),
INDIRECT("H"&amp;R245&amp;"")+INDIRECT("H"&amp;MATCH("雙葉'",INDIRECT("B"&amp;R245+1&amp;":B210"),0)+R245&amp;""),
IF(LEFT(INDIRECT("B"&amp;R245&amp;""),2)="博多",
INDIRECT("H"&amp;R245&amp;"")+INDIRECT("H"&amp;MATCH("*"&amp;INDIRECT("B"&amp;R245&amp;"")&amp;"*",INDIRECT("B"&amp;R245+1&amp;":B210"),0)+R245&amp;""),
IF(LEFT(INDIRECT("B"&amp;R245&amp;""),3)="奈良屋",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INDIRECT(""&amp;IF(COLUMN(I265)&lt;=26,CHAR(COLUMN(I265)+64),CHAR(INT((COLUMN(I265)-1)/26)+64)&amp;CHAR(MOD(COLUMN(I265)-1,26)+65))&amp;$R245&amp;""),"")</f>
        <v/>
      </c>
      <c r="Y245" s="51" t="str" cm="1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28"/>
        <v/>
      </c>
      <c r="AA245" s="51" t="str">
        <f t="shared" ca="1" si="29"/>
        <v/>
      </c>
      <c r="AB245" s="51" t="str" cm="1">
        <f t="array" aca="1" ref="AB245" ca="1">IF($R245&lt;&gt;"",
IF(COUNTIF(INDIRECT("B"&amp;R245&amp;""),"*雙葉*"),
INDIRECT("M"&amp;R245&amp;"")+INDIRECT("M"&amp;MATCH("雙葉'",INDIRECT("B"&amp;R245+1&amp;":B210"),0)+R245&amp;""),
IF(LEFT(INDIRECT("B"&amp;R245&amp;""),2)="博多",
INDIRECT("M"&amp;R245&amp;"")+INDIRECT("M"&amp;MATCH("*"&amp;INDIRECT("B"&amp;R245&amp;"")&amp;"*",INDIRECT("B"&amp;R245+1&amp;":B210"),0)+R245&amp;""),
IF(LEFT(INDIRECT("B"&amp;R245&amp;""),3)="奈良屋",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 x14ac:dyDescent="0.55000000000000004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35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34"/>
        <v/>
      </c>
      <c r="Q246" s="59" t="str">
        <f t="shared" ca="1" si="35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>
        <f t="array" aca="1" ref="W246" ca="1">IF($R246&lt;&gt;"",
IF(COUNTIF(INDIRECT("B"&amp;R246&amp;""),"*雙葉*"),
INDIRECT("H"&amp;R246&amp;"")+INDIRECT("H"&amp;MATCH("雙葉'",INDIRECT("B"&amp;R246+1&amp;":B210"),0)+R246&amp;""),
IF(LEFT(INDIRECT("B"&amp;R246&amp;""),2)="博多",
INDIRECT("H"&amp;R246&amp;"")+INDIRECT("H"&amp;MATCH("*"&amp;INDIRECT("B"&amp;R246&amp;"")&amp;"*",INDIRECT("B"&amp;R246+1&amp;":B210"),0)+R246&amp;""),
IF(LEFT(INDIRECT("B"&amp;R246&amp;""),3)="奈良屋",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INDIRECT(""&amp;IF(COLUMN(I266)&lt;=26,CHAR(COLUMN(I266)+64),CHAR(INT((COLUMN(I266)-1)/26)+64)&amp;CHAR(MOD(COLUMN(I266)-1,26)+65))&amp;$R246&amp;""),"")</f>
        <v/>
      </c>
      <c r="Y246" s="51" t="str" cm="1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28"/>
        <v/>
      </c>
      <c r="AA246" s="51" t="str">
        <f t="shared" ca="1" si="29"/>
        <v/>
      </c>
      <c r="AB246" s="51" t="str" cm="1">
        <f t="array" aca="1" ref="AB246" ca="1">IF($R246&lt;&gt;"",
IF(COUNTIF(INDIRECT("B"&amp;R246&amp;""),"*雙葉*"),
INDIRECT("M"&amp;R246&amp;"")+INDIRECT("M"&amp;MATCH("雙葉'",INDIRECT("B"&amp;R246+1&amp;":B210"),0)+R246&amp;""),
IF(LEFT(INDIRECT("B"&amp;R246&amp;""),2)="博多",
INDIRECT("M"&amp;R246&amp;"")+INDIRECT("M"&amp;MATCH("*"&amp;INDIRECT("B"&amp;R246&amp;"")&amp;"*",INDIRECT("B"&amp;R246+1&amp;":B210"),0)+R246&amp;""),
IF(LEFT(INDIRECT("B"&amp;R246&amp;""),3)="奈良屋",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 x14ac:dyDescent="0.55000000000000004">
      <c r="B247" s="65"/>
      <c r="C247" s="66" t="str">
        <f t="array" aca="1" ref="C247" ca="1">IFERROR(INDEX(先生札!$A$1:$N$24,SMALL(IF(先生札!$B$1:$B$24&lt;&gt;"",ROW(先生札!$B$1:$B$24),""),ROW(先生札!A1)),COLUMN(先生札!A$1)),"")</f>
        <v/>
      </c>
      <c r="D247" s="66">
        <f t="array" aca="1" ref="D247" ca="1">IFERROR(INDEX(先生札!$A$1:$N$24,SMALL(IF(先生札!$B$1:$B$24&lt;&gt;"",ROW(先生札!$B$1:$B$24),""),ROW(先生札!B1)),COLUMN(先生札!B$1)),"")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IFERROR(INDEX(先生札!$A$1:$N$24,SMALL(IF(先生札!$B$1:$B$24&lt;&gt;"",ROW(先生札!$B$1:$B$24),""),ROW(先生札!F1)),COLUMN(先生札!F$1)),"")</f>
        <v/>
      </c>
      <c r="J247" s="65" t="str">
        <f>""</f>
        <v/>
      </c>
      <c r="M247" s="65"/>
      <c r="P247" s="65" t="str">
        <f t="shared" ca="1" si="34"/>
        <v/>
      </c>
      <c r="Q247" s="65" t="str">
        <f t="shared" ref="Q247:Q254" ca="1" si="36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>
        <f t="array" aca="1" ref="W247" ca="1">IF($R247&lt;&gt;"",
IF(COUNTIF(INDIRECT("B"&amp;R247&amp;""),"*雙葉*"),
INDIRECT("H"&amp;R247&amp;"")+INDIRECT("H"&amp;MATCH("雙葉'",INDIRECT("B"&amp;R247+1&amp;":B210"),0)+R247&amp;""),
IF(LEFT(INDIRECT("B"&amp;R247&amp;""),2)="博多",
INDIRECT("H"&amp;R247&amp;"")+INDIRECT("H"&amp;MATCH("*"&amp;INDIRECT("B"&amp;R247&amp;"")&amp;"*",INDIRECT("B"&amp;R247+1&amp;":B210"),0)+R247&amp;""),
IF(LEFT(INDIRECT("B"&amp;R247&amp;""),3)="奈良屋",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INDIRECT(""&amp;IF(COLUMN(I267)&lt;=26,CHAR(COLUMN(I267)+64),CHAR(INT((COLUMN(I267)-1)/26)+64)&amp;CHAR(MOD(COLUMN(I267)-1,26)+65))&amp;$R247&amp;""),"")</f>
        <v/>
      </c>
      <c r="Y247" s="51" t="str" cm="1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28"/>
        <v/>
      </c>
      <c r="AA247" s="51" t="str">
        <f t="shared" ca="1" si="29"/>
        <v/>
      </c>
      <c r="AB247" s="51" t="str" cm="1">
        <f t="array" aca="1" ref="AB247" ca="1">IF($R247&lt;&gt;"",
IF(COUNTIF(INDIRECT("B"&amp;R247&amp;""),"*雙葉*"),
INDIRECT("M"&amp;R247&amp;"")+INDIRECT("M"&amp;MATCH("雙葉'",INDIRECT("B"&amp;R247+1&amp;":B210"),0)+R247&amp;""),
IF(LEFT(INDIRECT("B"&amp;R247&amp;""),2)="博多",
INDIRECT("M"&amp;R247&amp;"")+INDIRECT("M"&amp;MATCH("*"&amp;INDIRECT("B"&amp;R247&amp;"")&amp;"*",INDIRECT("B"&amp;R247+1&amp;":B210"),0)+R247&amp;""),
IF(LEFT(INDIRECT("B"&amp;R247&amp;""),3)="奈良屋",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 x14ac:dyDescent="0.55000000000000004">
      <c r="B248" s="65"/>
      <c r="C248" s="66" t="str">
        <f t="array" aca="1" ref="C248" ca="1">IFERROR(INDEX(先生札!$A$1:$N$24,SMALL(IF(先生札!$B$1:$B$24&lt;&gt;"",ROW(先生札!$B$1:$B$24),""),ROW(先生札!A2)),COLUMN(先生札!A$1)),"")</f>
        <v/>
      </c>
      <c r="D248" s="66">
        <f t="array" aca="1" ref="D248" ca="1">IFERROR(INDEX(先生札!$A$1:$N$24,SMALL(IF(先生札!$B$1:$B$24&lt;&gt;"",ROW(先生札!$B$1:$B$24),""),ROW(先生札!B2)),COLUMN(先生札!B$1)),"")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IFERROR(INDEX(先生札!$A$1:$N$24,SMALL(IF(先生札!$B$1:$B$24&lt;&gt;"",ROW(先生札!$B$1:$B$24),""),ROW(先生札!F2)),COLUMN(先生札!F$1)),"")</f>
        <v/>
      </c>
      <c r="J248" s="65" t="str">
        <f>""</f>
        <v/>
      </c>
      <c r="M248" s="65"/>
      <c r="P248" s="65" t="str">
        <f t="shared" ca="1" si="34"/>
        <v/>
      </c>
      <c r="Q248" s="65" t="str">
        <f t="shared" ca="1" si="36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>
        <f t="array" aca="1" ref="W248" ca="1">IF($R248&lt;&gt;"",
IF(COUNTIF(INDIRECT("B"&amp;R248&amp;""),"*雙葉*"),
INDIRECT("H"&amp;R248&amp;"")+INDIRECT("H"&amp;MATCH("雙葉'",INDIRECT("B"&amp;R248+1&amp;":B210"),0)+R248&amp;""),
IF(LEFT(INDIRECT("B"&amp;R248&amp;""),2)="博多",
INDIRECT("H"&amp;R248&amp;"")+INDIRECT("H"&amp;MATCH("*"&amp;INDIRECT("B"&amp;R248&amp;"")&amp;"*",INDIRECT("B"&amp;R248+1&amp;":B210"),0)+R248&amp;""),
IF(LEFT(INDIRECT("B"&amp;R248&amp;""),3)="奈良屋",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INDIRECT(""&amp;IF(COLUMN(I268)&lt;=26,CHAR(COLUMN(I268)+64),CHAR(INT((COLUMN(I268)-1)/26)+64)&amp;CHAR(MOD(COLUMN(I268)-1,26)+65))&amp;$R248&amp;""),"")</f>
        <v/>
      </c>
      <c r="Y248" s="51" t="str" cm="1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28"/>
        <v/>
      </c>
      <c r="AA248" s="51" t="str">
        <f t="shared" ca="1" si="29"/>
        <v/>
      </c>
      <c r="AB248" s="51" t="str" cm="1">
        <f t="array" aca="1" ref="AB248" ca="1">IF($R248&lt;&gt;"",
IF(COUNTIF(INDIRECT("B"&amp;R248&amp;""),"*雙葉*"),
INDIRECT("M"&amp;R248&amp;"")+INDIRECT("M"&amp;MATCH("雙葉'",INDIRECT("B"&amp;R248+1&amp;":B210"),0)+R248&amp;""),
IF(LEFT(INDIRECT("B"&amp;R248&amp;""),2)="博多",
INDIRECT("M"&amp;R248&amp;"")+INDIRECT("M"&amp;MATCH("*"&amp;INDIRECT("B"&amp;R248&amp;"")&amp;"*",INDIRECT("B"&amp;R248+1&amp;":B210"),0)+R248&amp;""),
IF(LEFT(INDIRECT("B"&amp;R248&amp;""),3)="奈良屋",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 x14ac:dyDescent="0.55000000000000004">
      <c r="B249" s="65"/>
      <c r="C249" s="66" t="str">
        <f t="array" aca="1" ref="C249" ca="1">IFERROR(INDEX(先生札!$A$1:$N$24,SMALL(IF(先生札!$B$1:$B$24&lt;&gt;"",ROW(先生札!$B$1:$B$24),""),ROW(先生札!A3)),COLUMN(先生札!A$1)),"")</f>
        <v/>
      </c>
      <c r="D249" s="66">
        <f t="array" aca="1" ref="D249" ca="1">IFERROR(INDEX(先生札!$A$1:$N$24,SMALL(IF(先生札!$B$1:$B$24&lt;&gt;"",ROW(先生札!$B$1:$B$24),""),ROW(先生札!B3)),COLUMN(先生札!B$1)),"")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IFERROR(INDEX(先生札!$A$1:$N$24,SMALL(IF(先生札!$B$1:$B$24&lt;&gt;"",ROW(先生札!$B$1:$B$24),""),ROW(先生札!F3)),COLUMN(先生札!F$1)),"")</f>
        <v/>
      </c>
      <c r="J249" s="65" t="str">
        <f>""</f>
        <v/>
      </c>
      <c r="M249" s="65"/>
      <c r="P249" s="65" t="str">
        <f t="shared" ca="1" si="34"/>
        <v/>
      </c>
      <c r="Q249" s="65" t="str">
        <f t="shared" ca="1" si="36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>
        <f t="array" aca="1" ref="W249" ca="1">IF($R249&lt;&gt;"",
IF(COUNTIF(INDIRECT("B"&amp;R249&amp;""),"*雙葉*"),
INDIRECT("H"&amp;R249&amp;"")+INDIRECT("H"&amp;MATCH("雙葉'",INDIRECT("B"&amp;R249+1&amp;":B210"),0)+R249&amp;""),
IF(LEFT(INDIRECT("B"&amp;R249&amp;""),2)="博多",
INDIRECT("H"&amp;R249&amp;"")+INDIRECT("H"&amp;MATCH("*"&amp;INDIRECT("B"&amp;R249&amp;"")&amp;"*",INDIRECT("B"&amp;R249+1&amp;":B210"),0)+R249&amp;""),
IF(LEFT(INDIRECT("B"&amp;R249&amp;""),3)="奈良屋",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INDIRECT(""&amp;IF(COLUMN(I269)&lt;=26,CHAR(COLUMN(I269)+64),CHAR(INT((COLUMN(I269)-1)/26)+64)&amp;CHAR(MOD(COLUMN(I269)-1,26)+65))&amp;$R249&amp;""),"")</f>
        <v/>
      </c>
      <c r="Y249" s="51" t="str" cm="1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28"/>
        <v/>
      </c>
      <c r="AA249" s="51" t="str">
        <f t="shared" ca="1" si="29"/>
        <v/>
      </c>
      <c r="AB249" s="51" t="str" cm="1">
        <f t="array" aca="1" ref="AB249" ca="1">IF($R249&lt;&gt;"",
IF(COUNTIF(INDIRECT("B"&amp;R249&amp;""),"*雙葉*"),
INDIRECT("M"&amp;R249&amp;"")+INDIRECT("M"&amp;MATCH("雙葉'",INDIRECT("B"&amp;R249+1&amp;":B210"),0)+R249&amp;""),
IF(LEFT(INDIRECT("B"&amp;R249&amp;""),2)="博多",
INDIRECT("M"&amp;R249&amp;"")+INDIRECT("M"&amp;MATCH("*"&amp;INDIRECT("B"&amp;R249&amp;"")&amp;"*",INDIRECT("B"&amp;R249+1&amp;":B210"),0)+R249&amp;""),
IF(LEFT(INDIRECT("B"&amp;R249&amp;""),3)="奈良屋",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 x14ac:dyDescent="0.55000000000000004">
      <c r="B250" s="65"/>
      <c r="C250" s="66" t="str">
        <f t="array" aca="1" ref="C250" ca="1">IFERROR(INDEX(先生札!$A$1:$N$24,SMALL(IF(先生札!$B$1:$B$24&lt;&gt;"",ROW(先生札!$B$1:$B$24),""),ROW(先生札!A4)),COLUMN(先生札!A$1)),"")</f>
        <v/>
      </c>
      <c r="D250" s="66">
        <f t="array" aca="1" ref="D250" ca="1">IFERROR(INDEX(先生札!$A$1:$N$24,SMALL(IF(先生札!$B$1:$B$24&lt;&gt;"",ROW(先生札!$B$1:$B$24),""),ROW(先生札!B4)),COLUMN(先生札!B$1)),"")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IFERROR(INDEX(先生札!$A$1:$N$24,SMALL(IF(先生札!$B$1:$B$24&lt;&gt;"",ROW(先生札!$B$1:$B$24),""),ROW(先生札!F4)),COLUMN(先生札!F$1)),"")</f>
        <v/>
      </c>
      <c r="J250" s="65" t="str">
        <f>""</f>
        <v/>
      </c>
      <c r="M250" s="65"/>
      <c r="P250" s="65" t="str">
        <f t="shared" ca="1" si="34"/>
        <v/>
      </c>
      <c r="Q250" s="65" t="str">
        <f t="shared" ca="1" si="36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>
        <f t="array" aca="1" ref="W250" ca="1">IF($R250&lt;&gt;"",
IF(COUNTIF(INDIRECT("B"&amp;R250&amp;""),"*雙葉*"),
INDIRECT("H"&amp;R250&amp;"")+INDIRECT("H"&amp;MATCH("雙葉'",INDIRECT("B"&amp;R250+1&amp;":B210"),0)+R250&amp;""),
IF(LEFT(INDIRECT("B"&amp;R250&amp;""),2)="博多",
INDIRECT("H"&amp;R250&amp;"")+INDIRECT("H"&amp;MATCH("*"&amp;INDIRECT("B"&amp;R250&amp;"")&amp;"*",INDIRECT("B"&amp;R250+1&amp;":B210"),0)+R250&amp;""),
IF(LEFT(INDIRECT("B"&amp;R250&amp;""),3)="奈良屋",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INDIRECT(""&amp;IF(COLUMN(I270)&lt;=26,CHAR(COLUMN(I270)+64),CHAR(INT((COLUMN(I270)-1)/26)+64)&amp;CHAR(MOD(COLUMN(I270)-1,26)+65))&amp;$R250&amp;""),"")</f>
        <v/>
      </c>
      <c r="Y250" s="51" t="str" cm="1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28"/>
        <v/>
      </c>
      <c r="AA250" s="51" t="str">
        <f t="shared" ca="1" si="29"/>
        <v/>
      </c>
      <c r="AB250" s="51" t="str" cm="1">
        <f t="array" aca="1" ref="AB250" ca="1">IF($R250&lt;&gt;"",
IF(COUNTIF(INDIRECT("B"&amp;R250&amp;""),"*雙葉*"),
INDIRECT("M"&amp;R250&amp;"")+INDIRECT("M"&amp;MATCH("雙葉'",INDIRECT("B"&amp;R250+1&amp;":B210"),0)+R250&amp;""),
IF(LEFT(INDIRECT("B"&amp;R250&amp;""),2)="博多",
INDIRECT("M"&amp;R250&amp;"")+INDIRECT("M"&amp;MATCH("*"&amp;INDIRECT("B"&amp;R250&amp;"")&amp;"*",INDIRECT("B"&amp;R250+1&amp;":B210"),0)+R250&amp;""),
IF(LEFT(INDIRECT("B"&amp;R250&amp;""),3)="奈良屋",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 x14ac:dyDescent="0.55000000000000004">
      <c r="B251" s="65"/>
      <c r="C251" s="66" t="str">
        <f t="array" aca="1" ref="C251" ca="1">IFERROR(INDEX(先生札!$A$1:$N$24,SMALL(IF(先生札!$B$1:$B$24&lt;&gt;"",ROW(先生札!$B$1:$B$24),""),ROW(先生札!A5)),COLUMN(先生札!A$1)),"")</f>
        <v/>
      </c>
      <c r="D251" s="66">
        <f t="array" aca="1" ref="D251" ca="1">IFERROR(INDEX(先生札!$A$1:$N$24,SMALL(IF(先生札!$B$1:$B$24&lt;&gt;"",ROW(先生札!$B$1:$B$24),""),ROW(先生札!B5)),COLUMN(先生札!B$1)),"")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IFERROR(INDEX(先生札!$A$1:$N$24,SMALL(IF(先生札!$B$1:$B$24&lt;&gt;"",ROW(先生札!$B$1:$B$24),""),ROW(先生札!F5)),COLUMN(先生札!F$1)),"")</f>
        <v/>
      </c>
      <c r="J251" s="65" t="str">
        <f>""</f>
        <v/>
      </c>
      <c r="M251" s="65"/>
      <c r="P251" s="65" t="str">
        <f t="shared" ca="1" si="34"/>
        <v/>
      </c>
      <c r="Q251" s="65" t="str">
        <f t="shared" ca="1" si="36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>
        <f t="array" aca="1" ref="W251" ca="1">IF($R251&lt;&gt;"",
IF(COUNTIF(INDIRECT("B"&amp;R251&amp;""),"*雙葉*"),
INDIRECT("H"&amp;R251&amp;"")+INDIRECT("H"&amp;MATCH("雙葉'",INDIRECT("B"&amp;R251+1&amp;":B210"),0)+R251&amp;""),
IF(LEFT(INDIRECT("B"&amp;R251&amp;""),2)="博多",
INDIRECT("H"&amp;R251&amp;"")+INDIRECT("H"&amp;MATCH("*"&amp;INDIRECT("B"&amp;R251&amp;"")&amp;"*",INDIRECT("B"&amp;R251+1&amp;":B210"),0)+R251&amp;""),
IF(LEFT(INDIRECT("B"&amp;R251&amp;""),3)="奈良屋",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INDIRECT(""&amp;IF(COLUMN(I271)&lt;=26,CHAR(COLUMN(I271)+64),CHAR(INT((COLUMN(I271)-1)/26)+64)&amp;CHAR(MOD(COLUMN(I271)-1,26)+65))&amp;$R251&amp;""),"")</f>
        <v/>
      </c>
      <c r="Y251" s="51" t="str" cm="1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ref="Z251:Z258" ca="1" si="37">IF(R251&lt;&gt;"",
IFERROR(INT(W251/Y251),""),"")</f>
        <v/>
      </c>
      <c r="AA251" s="51" t="str">
        <f t="shared" ref="AA251:AA258" ca="1" si="38">IFERROR(MOD(W251,Y251),"")</f>
        <v/>
      </c>
      <c r="AB251" s="51" t="str" cm="1">
        <f t="array" aca="1" ref="AB251" ca="1">IF($R251&lt;&gt;"",
IF(COUNTIF(INDIRECT("B"&amp;R251&amp;""),"*雙葉*"),
INDIRECT("M"&amp;R251&amp;"")+INDIRECT("M"&amp;MATCH("雙葉'",INDIRECT("B"&amp;R251+1&amp;":B210"),0)+R251&amp;""),
IF(LEFT(INDIRECT("B"&amp;R251&amp;""),2)="博多",
INDIRECT("M"&amp;R251&amp;"")+INDIRECT("M"&amp;MATCH("*"&amp;INDIRECT("B"&amp;R251&amp;"")&amp;"*",INDIRECT("B"&amp;R251+1&amp;":B210"),0)+R251&amp;""),
IF(LEFT(INDIRECT("B"&amp;R251&amp;""),3)="奈良屋",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 x14ac:dyDescent="0.55000000000000004">
      <c r="B252" s="65"/>
      <c r="C252" s="66" t="str">
        <f t="array" aca="1" ref="C252" ca="1">IFERROR(INDEX(先生札!$A$1:$N$24,SMALL(IF(先生札!$B$1:$B$24&lt;&gt;"",ROW(先生札!$B$1:$B$24),""),ROW(先生札!A6)),COLUMN(先生札!A$1)),"")</f>
        <v/>
      </c>
      <c r="D252" s="66">
        <f t="array" aca="1" ref="D252" ca="1">IFERROR(INDEX(先生札!$A$1:$N$24,SMALL(IF(先生札!$B$1:$B$24&lt;&gt;"",ROW(先生札!$B$1:$B$24),""),ROW(先生札!B6)),COLUMN(先生札!B$1)),"")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IFERROR(INDEX(先生札!$A$1:$N$24,SMALL(IF(先生札!$B$1:$B$24&lt;&gt;"",ROW(先生札!$B$1:$B$24),""),ROW(先生札!F6)),COLUMN(先生札!F$1)),"")</f>
        <v/>
      </c>
      <c r="J252" s="65" t="str">
        <f>""</f>
        <v/>
      </c>
      <c r="M252" s="65"/>
      <c r="P252" s="65" t="str">
        <f t="shared" ca="1" si="34"/>
        <v/>
      </c>
      <c r="Q252" s="65" t="str">
        <f t="shared" ca="1" si="36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>
        <f t="array" aca="1" ref="W252" ca="1">IF($R252&lt;&gt;"",
IF(COUNTIF(INDIRECT("B"&amp;R252&amp;""),"*雙葉*"),
INDIRECT("H"&amp;R252&amp;"")+INDIRECT("H"&amp;MATCH("雙葉'",INDIRECT("B"&amp;R252+1&amp;":B210"),0)+R252&amp;""),
IF(LEFT(INDIRECT("B"&amp;R252&amp;""),2)="博多",
INDIRECT("H"&amp;R252&amp;"")+INDIRECT("H"&amp;MATCH("*"&amp;INDIRECT("B"&amp;R252&amp;"")&amp;"*",INDIRECT("B"&amp;R252+1&amp;":B210"),0)+R252&amp;""),
IF(LEFT(INDIRECT("B"&amp;R252&amp;""),3)="奈良屋",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INDIRECT(""&amp;IF(COLUMN(I272)&lt;=26,CHAR(COLUMN(I272)+64),CHAR(INT((COLUMN(I272)-1)/26)+64)&amp;CHAR(MOD(COLUMN(I272)-1,26)+65))&amp;$R252&amp;""),"")</f>
        <v/>
      </c>
      <c r="Y252" s="51" t="str" cm="1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37"/>
        <v/>
      </c>
      <c r="AA252" s="51" t="str">
        <f t="shared" ca="1" si="38"/>
        <v/>
      </c>
      <c r="AB252" s="51" t="str" cm="1">
        <f t="array" aca="1" ref="AB252" ca="1">IF($R252&lt;&gt;"",
IF(COUNTIF(INDIRECT("B"&amp;R252&amp;""),"*雙葉*"),
INDIRECT("M"&amp;R252&amp;"")+INDIRECT("M"&amp;MATCH("雙葉'",INDIRECT("B"&amp;R252+1&amp;":B210"),0)+R252&amp;""),
IF(LEFT(INDIRECT("B"&amp;R252&amp;""),2)="博多",
INDIRECT("M"&amp;R252&amp;"")+INDIRECT("M"&amp;MATCH("*"&amp;INDIRECT("B"&amp;R252&amp;"")&amp;"*",INDIRECT("B"&amp;R252+1&amp;":B210"),0)+R252&amp;""),
IF(LEFT(INDIRECT("B"&amp;R252&amp;""),3)="奈良屋",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 x14ac:dyDescent="0.55000000000000004">
      <c r="B253" s="65"/>
      <c r="C253" s="66" t="str">
        <f t="array" aca="1" ref="C253" ca="1">IFERROR(INDEX(先生札!$A$1:$N$24,SMALL(IF(先生札!$B$1:$B$24&lt;&gt;"",ROW(先生札!$B$1:$B$24),""),ROW(先生札!A7)),COLUMN(先生札!A$1)),"")</f>
        <v/>
      </c>
      <c r="D253" s="66">
        <f t="array" aca="1" ref="D253" ca="1">IFERROR(INDEX(先生札!$A$1:$N$24,SMALL(IF(先生札!$B$1:$B$24&lt;&gt;"",ROW(先生札!$B$1:$B$24),""),ROW(先生札!B7)),COLUMN(先生札!B$1)),"")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IFERROR(INDEX(先生札!$A$1:$N$24,SMALL(IF(先生札!$B$1:$B$24&lt;&gt;"",ROW(先生札!$B$1:$B$24),""),ROW(先生札!F7)),COLUMN(先生札!F$1)),"")</f>
        <v/>
      </c>
      <c r="J253" s="65" t="str">
        <f>""</f>
        <v/>
      </c>
      <c r="M253" s="65"/>
      <c r="P253" s="65" t="str">
        <f t="shared" ca="1" si="34"/>
        <v/>
      </c>
      <c r="Q253" s="65" t="str">
        <f t="shared" ca="1" si="36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>
        <f t="array" aca="1" ref="W253" ca="1">IF($R253&lt;&gt;"",
IF(COUNTIF(INDIRECT("B"&amp;R253&amp;""),"*雙葉*"),
INDIRECT("H"&amp;R253&amp;"")+INDIRECT("H"&amp;MATCH("雙葉'",INDIRECT("B"&amp;R253+1&amp;":B210"),0)+R253&amp;""),
IF(LEFT(INDIRECT("B"&amp;R253&amp;""),2)="博多",
INDIRECT("H"&amp;R253&amp;"")+INDIRECT("H"&amp;MATCH("*"&amp;INDIRECT("B"&amp;R253&amp;"")&amp;"*",INDIRECT("B"&amp;R253+1&amp;":B210"),0)+R253&amp;""),
IF(LEFT(INDIRECT("B"&amp;R253&amp;""),3)="奈良屋",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INDIRECT(""&amp;IF(COLUMN(I273)&lt;=26,CHAR(COLUMN(I273)+64),CHAR(INT((COLUMN(I273)-1)/26)+64)&amp;CHAR(MOD(COLUMN(I273)-1,26)+65))&amp;$R253&amp;""),"")</f>
        <v/>
      </c>
      <c r="Y253" s="51" t="str" cm="1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37"/>
        <v/>
      </c>
      <c r="AA253" s="51" t="str">
        <f t="shared" ca="1" si="38"/>
        <v/>
      </c>
      <c r="AB253" s="51" t="str" cm="1">
        <f t="array" aca="1" ref="AB253" ca="1">IF($R253&lt;&gt;"",
IF(COUNTIF(INDIRECT("B"&amp;R253&amp;""),"*雙葉*"),
INDIRECT("M"&amp;R253&amp;"")+INDIRECT("M"&amp;MATCH("雙葉'",INDIRECT("B"&amp;R253+1&amp;":B210"),0)+R253&amp;""),
IF(LEFT(INDIRECT("B"&amp;R253&amp;""),2)="博多",
INDIRECT("M"&amp;R253&amp;"")+INDIRECT("M"&amp;MATCH("*"&amp;INDIRECT("B"&amp;R253&amp;"")&amp;"*",INDIRECT("B"&amp;R253+1&amp;":B210"),0)+R253&amp;""),
IF(LEFT(INDIRECT("B"&amp;R253&amp;""),3)="奈良屋",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 x14ac:dyDescent="0.55000000000000004">
      <c r="B254" s="65"/>
      <c r="C254" s="66" t="str">
        <f t="array" aca="1" ref="C254" ca="1">IFERROR(INDEX(先生札!$A$1:$N$24,SMALL(IF(先生札!$B$1:$B$24&lt;&gt;"",ROW(先生札!$B$1:$B$24),""),ROW(先生札!A8)),COLUMN(先生札!A$1)),"")</f>
        <v/>
      </c>
      <c r="D254" s="66">
        <f t="array" aca="1" ref="D254" ca="1">IFERROR(INDEX(先生札!$A$1:$N$24,SMALL(IF(先生札!$B$1:$B$24&lt;&gt;"",ROW(先生札!$B$1:$B$24),""),ROW(先生札!B8)),COLUMN(先生札!B$1)),"")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IFERROR(INDEX(先生札!$A$1:$N$24,SMALL(IF(先生札!$B$1:$B$24&lt;&gt;"",ROW(先生札!$B$1:$B$24),""),ROW(先生札!F8)),COLUMN(先生札!F$1)),"")</f>
        <v/>
      </c>
      <c r="J254" s="65" t="str">
        <f>""</f>
        <v/>
      </c>
      <c r="M254" s="65"/>
      <c r="P254" s="65" t="str">
        <f t="shared" ca="1" si="34"/>
        <v/>
      </c>
      <c r="Q254" s="65" t="str">
        <f t="shared" ca="1" si="36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>
        <f t="array" aca="1" ref="W254" ca="1">IF($R254&lt;&gt;"",
IF(COUNTIF(INDIRECT("B"&amp;R254&amp;""),"*雙葉*"),
INDIRECT("H"&amp;R254&amp;"")+INDIRECT("H"&amp;MATCH("雙葉'",INDIRECT("B"&amp;R254+1&amp;":B210"),0)+R254&amp;""),
IF(LEFT(INDIRECT("B"&amp;R254&amp;""),2)="博多",
INDIRECT("H"&amp;R254&amp;"")+INDIRECT("H"&amp;MATCH("*"&amp;INDIRECT("B"&amp;R254&amp;"")&amp;"*",INDIRECT("B"&amp;R254+1&amp;":B210"),0)+R254&amp;""),
IF(LEFT(INDIRECT("B"&amp;R254&amp;""),3)="奈良屋",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INDIRECT(""&amp;IF(COLUMN(I274)&lt;=26,CHAR(COLUMN(I274)+64),CHAR(INT((COLUMN(I274)-1)/26)+64)&amp;CHAR(MOD(COLUMN(I274)-1,26)+65))&amp;$R254&amp;""),"")</f>
        <v/>
      </c>
      <c r="Y254" s="51" t="str" cm="1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37"/>
        <v/>
      </c>
      <c r="AA254" s="51" t="str">
        <f t="shared" ca="1" si="38"/>
        <v/>
      </c>
      <c r="AB254" s="51" t="str" cm="1">
        <f t="array" aca="1" ref="AB254" ca="1">IF($R254&lt;&gt;"",
IF(COUNTIF(INDIRECT("B"&amp;R254&amp;""),"*雙葉*"),
INDIRECT("M"&amp;R254&amp;"")+INDIRECT("M"&amp;MATCH("雙葉'",INDIRECT("B"&amp;R254+1&amp;":B210"),0)+R254&amp;""),
IF(LEFT(INDIRECT("B"&amp;R254&amp;""),2)="博多",
INDIRECT("M"&amp;R254&amp;"")+INDIRECT("M"&amp;MATCH("*"&amp;INDIRECT("B"&amp;R254&amp;"")&amp;"*",INDIRECT("B"&amp;R254+1&amp;":B210"),0)+R254&amp;""),
IF(LEFT(INDIRECT("B"&amp;R254&amp;""),3)="奈良屋",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 x14ac:dyDescent="0.55000000000000004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34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>
        <f t="array" aca="1" ref="W255" ca="1">IF($R255&lt;&gt;"",
IF(COUNTIF(INDIRECT("B"&amp;R255&amp;""),"*雙葉*"),
INDIRECT("H"&amp;R255&amp;"")+INDIRECT("H"&amp;MATCH("雙葉'",INDIRECT("B"&amp;R255+1&amp;":B210"),0)+R255&amp;""),
IF(LEFT(INDIRECT("B"&amp;R255&amp;""),2)="博多",
INDIRECT("H"&amp;R255&amp;"")+INDIRECT("H"&amp;MATCH("*"&amp;INDIRECT("B"&amp;R255&amp;"")&amp;"*",INDIRECT("B"&amp;R255+1&amp;":B210"),0)+R255&amp;""),
IF(LEFT(INDIRECT("B"&amp;R255&amp;""),3)="奈良屋",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INDIRECT(""&amp;IF(COLUMN(I275)&lt;=26,CHAR(COLUMN(I275)+64),CHAR(INT((COLUMN(I275)-1)/26)+64)&amp;CHAR(MOD(COLUMN(I275)-1,26)+65))&amp;$R255&amp;""),"")</f>
        <v/>
      </c>
      <c r="Y255" s="51" t="str" cm="1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37"/>
        <v/>
      </c>
      <c r="AA255" s="51" t="str">
        <f t="shared" ca="1" si="38"/>
        <v/>
      </c>
      <c r="AB255" s="51" t="str" cm="1">
        <f t="array" aca="1" ref="AB255" ca="1">IF($R255&lt;&gt;"",
IF(COUNTIF(INDIRECT("B"&amp;R255&amp;""),"*雙葉*"),
INDIRECT("M"&amp;R255&amp;"")+INDIRECT("M"&amp;MATCH("雙葉'",INDIRECT("B"&amp;R255+1&amp;":B210"),0)+R255&amp;""),
IF(LEFT(INDIRECT("B"&amp;R255&amp;""),2)="博多",
INDIRECT("M"&amp;R255&amp;"")+INDIRECT("M"&amp;MATCH("*"&amp;INDIRECT("B"&amp;R255&amp;"")&amp;"*",INDIRECT("B"&amp;R255+1&amp;":B210"),0)+R255&amp;""),
IF(LEFT(INDIRECT("B"&amp;R255&amp;""),3)="奈良屋",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 x14ac:dyDescent="0.55000000000000004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34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>
        <f t="array" aca="1" ref="W256" ca="1">IF($R256&lt;&gt;"",
IF(COUNTIF(INDIRECT("B"&amp;R256&amp;""),"*雙葉*"),
INDIRECT("H"&amp;R256&amp;"")+INDIRECT("H"&amp;MATCH("雙葉'",INDIRECT("B"&amp;R256+1&amp;":B210"),0)+R256&amp;""),
IF(LEFT(INDIRECT("B"&amp;R256&amp;""),2)="博多",
INDIRECT("H"&amp;R256&amp;"")+INDIRECT("H"&amp;MATCH("*"&amp;INDIRECT("B"&amp;R256&amp;"")&amp;"*",INDIRECT("B"&amp;R256+1&amp;":B210"),0)+R256&amp;""),
IF(LEFT(INDIRECT("B"&amp;R256&amp;""),3)="奈良屋",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INDIRECT(""&amp;IF(COLUMN(I276)&lt;=26,CHAR(COLUMN(I276)+64),CHAR(INT((COLUMN(I276)-1)/26)+64)&amp;CHAR(MOD(COLUMN(I276)-1,26)+65))&amp;$R256&amp;""),"")</f>
        <v/>
      </c>
      <c r="Y256" s="51" t="str" cm="1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37"/>
        <v/>
      </c>
      <c r="AA256" s="51" t="str">
        <f t="shared" ca="1" si="38"/>
        <v/>
      </c>
      <c r="AB256" s="51" t="str" cm="1">
        <f t="array" aca="1" ref="AB256" ca="1">IF($R256&lt;&gt;"",
IF(COUNTIF(INDIRECT("B"&amp;R256&amp;""),"*雙葉*"),
INDIRECT("M"&amp;R256&amp;"")+INDIRECT("M"&amp;MATCH("雙葉'",INDIRECT("B"&amp;R256+1&amp;":B210"),0)+R256&amp;""),
IF(LEFT(INDIRECT("B"&amp;R256&amp;""),2)="博多",
INDIRECT("M"&amp;R256&amp;"")+INDIRECT("M"&amp;MATCH("*"&amp;INDIRECT("B"&amp;R256&amp;"")&amp;"*",INDIRECT("B"&amp;R256+1&amp;":B210"),0)+R256&amp;""),
IF(LEFT(INDIRECT("B"&amp;R256&amp;""),3)="奈良屋",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 x14ac:dyDescent="0.55000000000000004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34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>
        <f t="array" aca="1" ref="W257" ca="1">IF($R257&lt;&gt;"",
IF(COUNTIF(INDIRECT("B"&amp;R257&amp;""),"*雙葉*"),
INDIRECT("H"&amp;R257&amp;"")+INDIRECT("H"&amp;MATCH("雙葉'",INDIRECT("B"&amp;R257+1&amp;":B210"),0)+R257&amp;""),
IF(LEFT(INDIRECT("B"&amp;R257&amp;""),2)="博多",
INDIRECT("H"&amp;R257&amp;"")+INDIRECT("H"&amp;MATCH("*"&amp;INDIRECT("B"&amp;R257&amp;"")&amp;"*",INDIRECT("B"&amp;R257+1&amp;":B210"),0)+R257&amp;""),
IF(LEFT(INDIRECT("B"&amp;R257&amp;""),3)="奈良屋",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INDIRECT(""&amp;IF(COLUMN(I277)&lt;=26,CHAR(COLUMN(I277)+64),CHAR(INT((COLUMN(I277)-1)/26)+64)&amp;CHAR(MOD(COLUMN(I277)-1,26)+65))&amp;$R257&amp;""),"")</f>
        <v/>
      </c>
      <c r="Y257" s="51" t="str" cm="1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ca="1" si="37"/>
        <v/>
      </c>
      <c r="AA257" s="51" t="str">
        <f t="shared" ca="1" si="38"/>
        <v/>
      </c>
      <c r="AB257" s="51" t="str" cm="1">
        <f t="array" aca="1" ref="AB257" ca="1">IF($R257&lt;&gt;"",
IF(COUNTIF(INDIRECT("B"&amp;R257&amp;""),"*雙葉*"),
INDIRECT("M"&amp;R257&amp;"")+INDIRECT("M"&amp;MATCH("雙葉'",INDIRECT("B"&amp;R257+1&amp;":B210"),0)+R257&amp;""),
IF(LEFT(INDIRECT("B"&amp;R257&amp;""),2)="博多",
INDIRECT("M"&amp;R257&amp;"")+INDIRECT("M"&amp;MATCH("*"&amp;INDIRECT("B"&amp;R257&amp;"")&amp;"*",INDIRECT("B"&amp;R257+1&amp;":B210"),0)+R257&amp;""),
IF(LEFT(INDIRECT("B"&amp;R257&amp;""),3)="奈良屋",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 x14ac:dyDescent="0.55000000000000004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34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>
        <f t="array" aca="1" ref="W258" ca="1">IF($R258&lt;&gt;"",
IF(COUNTIF(INDIRECT("B"&amp;R258&amp;""),"*雙葉*"),
INDIRECT("H"&amp;R258&amp;"")+INDIRECT("H"&amp;MATCH("雙葉'",INDIRECT("B"&amp;R258+1&amp;":B210"),0)+R258&amp;""),
IF(LEFT(INDIRECT("B"&amp;R258&amp;""),2)="博多",
INDIRECT("H"&amp;R258&amp;"")+INDIRECT("H"&amp;MATCH("*"&amp;INDIRECT("B"&amp;R258&amp;"")&amp;"*",INDIRECT("B"&amp;R258+1&amp;":B210"),0)+R258&amp;""),
IF(LEFT(INDIRECT("B"&amp;R258&amp;""),3)="奈良屋",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INDIRECT(""&amp;IF(COLUMN(I278)&lt;=26,CHAR(COLUMN(I278)+64),CHAR(INT((COLUMN(I278)-1)/26)+64)&amp;CHAR(MOD(COLUMN(I278)-1,26)+65))&amp;$R258&amp;""),"")</f>
        <v/>
      </c>
      <c r="Y258" s="51" t="str" cm="1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7"/>
        <v/>
      </c>
      <c r="AA258" s="51" t="str">
        <f t="shared" ca="1" si="38"/>
        <v/>
      </c>
      <c r="AB258" s="51" t="str" cm="1">
        <f t="array" aca="1" ref="AB258" ca="1">IF($R258&lt;&gt;"",
IF(COUNTIF(INDIRECT("B"&amp;R258&amp;""),"*雙葉*"),
INDIRECT("M"&amp;R258&amp;"")+INDIRECT("M"&amp;MATCH("雙葉'",INDIRECT("B"&amp;R258+1&amp;":B210"),0)+R258&amp;""),
IF(LEFT(INDIRECT("B"&amp;R258&amp;""),2)="博多",
INDIRECT("M"&amp;R258&amp;"")+INDIRECT("M"&amp;MATCH("*"&amp;INDIRECT("B"&amp;R258&amp;"")&amp;"*",INDIRECT("B"&amp;R258+1&amp;":B210"),0)+R258&amp;""),
IF(LEFT(INDIRECT("B"&amp;R258&amp;""),3)="奈良屋",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 x14ac:dyDescent="0.55000000000000004">
      <c r="X259" s="51"/>
      <c r="Y259" s="51" t="str" cm="1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 x14ac:dyDescent="0.55000000000000004">
      <c r="X260" s="51"/>
      <c r="Y260" s="51"/>
      <c r="Z260" s="51"/>
      <c r="AA260" s="51"/>
      <c r="AB260" s="51"/>
    </row>
    <row r="261" spans="2:28" x14ac:dyDescent="0.55000000000000004">
      <c r="X261" s="51"/>
      <c r="Y261" s="51"/>
      <c r="Z261" s="51"/>
      <c r="AA261" s="51"/>
      <c r="AB261" s="51"/>
    </row>
    <row r="262" spans="2:28" x14ac:dyDescent="0.55000000000000004">
      <c r="X262" s="51"/>
      <c r="Y262" s="51"/>
      <c r="Z262" s="51"/>
      <c r="AA262" s="51"/>
      <c r="AB262" s="51"/>
    </row>
    <row r="263" spans="2:28" x14ac:dyDescent="0.55000000000000004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M18" sqref="A1:N18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24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25"/>
      <c r="E1" s="225"/>
      <c r="F1" s="225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24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25"/>
      <c r="L1" s="225"/>
      <c r="M1" s="225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24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25"/>
      <c r="T1" s="225"/>
      <c r="U1" s="225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24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25"/>
      <c r="AA1" s="225"/>
      <c r="AB1" s="225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24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25"/>
      <c r="AI1" s="225"/>
      <c r="AJ1" s="225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24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25"/>
      <c r="AP1" s="225"/>
      <c r="AQ1" s="225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24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25"/>
      <c r="AX1" s="225"/>
      <c r="AY1" s="225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24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25"/>
      <c r="BE1" s="225"/>
      <c r="BF1" s="225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24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25"/>
      <c r="BM1" s="225"/>
      <c r="BN1" s="225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24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25"/>
      <c r="BT1" s="225"/>
      <c r="BU1" s="225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24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25"/>
      <c r="CB1" s="225"/>
      <c r="CC1" s="225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24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25"/>
      <c r="CI1" s="225"/>
      <c r="CJ1" s="225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24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25"/>
      <c r="CQ1" s="225"/>
      <c r="CR1" s="225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24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25"/>
      <c r="CX1" s="225"/>
      <c r="CY1" s="225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24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25"/>
      <c r="DF1" s="225"/>
      <c r="DG1" s="225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24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25"/>
      <c r="DM1" s="225"/>
      <c r="DN1" s="225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24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25"/>
      <c r="DU1" s="225"/>
      <c r="DV1" s="225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24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25"/>
      <c r="EB1" s="225"/>
      <c r="EC1" s="225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24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25"/>
      <c r="EJ1" s="225"/>
      <c r="EK1" s="225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24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25"/>
      <c r="EQ1" s="225"/>
      <c r="ER1" s="225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 x14ac:dyDescent="0.55000000000000004">
      <c r="A2" s="31"/>
      <c r="B2" s="197"/>
      <c r="C2" s="47" t="str" cm="1">
        <f t="array" aca="1" ref="C2" ca="1">IF(AND(C1&lt;&gt;"",ISERROR(FIND("社食",C1))),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 cm="1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 cm="1">
        <f t="array" aca="1" ref="J2" ca="1">IF(AND(J1&lt;&gt;"",ISERROR(FIND("社食",J1))),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 cm="1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 cm="1">
        <f t="array" aca="1" ref="R2" ca="1">IF(AND(R1&lt;&gt;"",ISERROR(FIND("社食",R1))),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 cm="1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 cm="1">
        <f t="array" aca="1" ref="Y2" ca="1">IF(AND(Y1&lt;&gt;"",ISERROR(FIND("社食",Y1))),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 cm="1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 cm="1">
        <f t="array" aca="1" ref="AG2" ca="1">IF(AND(AG1&lt;&gt;"",ISERROR(FIND("社食",AG1))),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 cm="1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 cm="1">
        <f t="array" aca="1" ref="AN2" ca="1">IF(AND(AN1&lt;&gt;"",ISERROR(FIND("社食",AN1))),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 cm="1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 cm="1">
        <f t="array" aca="1" ref="AV2" ca="1">IF(AND(AV1&lt;&gt;"",ISERROR(FIND("社食",AV1))),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 cm="1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 cm="1">
        <f t="array" aca="1" ref="BC2" ca="1">IF(AND(BC1&lt;&gt;"",ISERROR(FIND("社食",BC1))),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 cm="1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 cm="1">
        <f t="array" aca="1" ref="BK2" ca="1">IF(AND(BK1&lt;&gt;"",ISERROR(FIND("社食",BK1))),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 cm="1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 cm="1">
        <f t="array" aca="1" ref="BR2" ca="1">IF(AND(BR1&lt;&gt;"",ISERROR(FIND("社食",BR1))),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 cm="1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 cm="1">
        <f t="array" aca="1" ref="BZ2" ca="1">IF(AND(BZ1&lt;&gt;"",ISERROR(FIND("社食",BZ1))),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 cm="1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 cm="1">
        <f t="array" aca="1" ref="CG2" ca="1">IF(AND(CG1&lt;&gt;"",ISERROR(FIND("社食",CG1))),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 cm="1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 cm="1">
        <f t="array" aca="1" ref="CO2" ca="1">IF(AND(CO1&lt;&gt;"",ISERROR(FIND("社食",CO1))),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 cm="1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 cm="1">
        <f t="array" aca="1" ref="CV2" ca="1">IF(AND(CV1&lt;&gt;"",ISERROR(FIND("社食",CV1))),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 cm="1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 cm="1">
        <f t="array" aca="1" ref="DD2" ca="1">IF(AND(DD1&lt;&gt;"",ISERROR(FIND("社食",DD1))),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 cm="1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 cm="1">
        <f t="array" aca="1" ref="DK2" ca="1">IF(AND(DK1&lt;&gt;"",ISERROR(FIND("社食",DK1))),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 cm="1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 cm="1">
        <f t="array" aca="1" ref="DS2" ca="1">IF(AND(DS1&lt;&gt;"",ISERROR(FIND("社食",DS1))),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 cm="1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 cm="1">
        <f t="array" aca="1" ref="DZ2" ca="1">IF(AND(DZ1&lt;&gt;"",ISERROR(FIND("社食",DZ1))),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 cm="1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 cm="1">
        <f t="array" aca="1" ref="EH2" ca="1">IF(AND(EH1&lt;&gt;"",ISERROR(FIND("社食",EH1))),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 cm="1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 cm="1">
        <f t="array" aca="1" ref="EO2" ca="1">IF(AND(EO1&lt;&gt;"",ISERROR(FIND("社食",EO1))),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 cm="1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 x14ac:dyDescent="0.55000000000000004">
      <c r="A3" s="31"/>
      <c r="B3" s="34"/>
      <c r="C3" s="222" t="e" cm="1">
        <f t="array" aca="1" ref="C3" ca="1">IF(AND(C1&lt;&gt;"",ISERROR(FIND("社食",C1))),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23"/>
      <c r="E3" s="22"/>
      <c r="F3" s="32" t="str" cm="1">
        <f t="array" aca="1" ref="F3" ca="1">IF(AND(C1&lt;&gt;"",ISERROR(FIND("社食",C1))),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22" t="e" cm="1">
        <f t="array" aca="1" ref="J3" ca="1">IF(AND(C1&lt;&gt;"",ISERROR(FIND("社食",C1))),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23"/>
      <c r="L3" s="22"/>
      <c r="M3" s="32" t="str" cm="1">
        <f t="array" aca="1" ref="M3" ca="1">IF(AND(C1&lt;&gt;"",ISERROR(FIND("社食",C1))),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22" t="str" cm="1">
        <f t="array" aca="1" ref="R3" ca="1">IF(AND(R1&lt;&gt;"",ISERROR(FIND("社食",R1))),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23"/>
      <c r="T3" s="22"/>
      <c r="U3" s="32" t="str" cm="1">
        <f t="array" aca="1" ref="U3" ca="1">IF(AND(R1&lt;&gt;"",ISERROR(FIND("社食",R1))),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22" t="str" cm="1">
        <f t="array" aca="1" ref="Y3" ca="1">IF(AND(R1&lt;&gt;"",ISERROR(FIND("社食",R1))),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23"/>
      <c r="AA3" s="22"/>
      <c r="AB3" s="32" t="str" cm="1">
        <f t="array" aca="1" ref="AB3" ca="1">IF(AND(R1&lt;&gt;"",ISERROR(FIND("社食",R1))),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22" t="str" cm="1">
        <f t="array" aca="1" ref="AG3" ca="1">IF(AND(AG1&lt;&gt;"",ISERROR(FIND("社食",AG1))),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23"/>
      <c r="AI3" s="22"/>
      <c r="AJ3" s="32" t="str" cm="1">
        <f t="array" aca="1" ref="AJ3" ca="1">IF(AND(AG1&lt;&gt;"",ISERROR(FIND("社食",AG1))),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22" t="str" cm="1">
        <f t="array" aca="1" ref="AN3" ca="1">IF(AND(AG1&lt;&gt;"",ISERROR(FIND("社食",AG1))),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23"/>
      <c r="AP3" s="22"/>
      <c r="AQ3" s="32" t="str" cm="1">
        <f t="array" aca="1" ref="AQ3" ca="1">IF(AND(AG1&lt;&gt;"",ISERROR(FIND("社食",AG1))),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22" t="str" cm="1">
        <f t="array" aca="1" ref="AV3" ca="1">IF(AND(AV1&lt;&gt;"",ISERROR(FIND("社食",AV1))),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23"/>
      <c r="AX3" s="22"/>
      <c r="AY3" s="32" t="str" cm="1">
        <f t="array" aca="1" ref="AY3" ca="1">IF(AND(AV1&lt;&gt;"",ISERROR(FIND("社食",AV1))),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22" t="str" cm="1">
        <f t="array" aca="1" ref="BC3" ca="1">IF(AND(AV1&lt;&gt;"",ISERROR(FIND("社食",AV1))),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23"/>
      <c r="BE3" s="22"/>
      <c r="BF3" s="32" t="str" cm="1">
        <f t="array" aca="1" ref="BF3" ca="1">IF(AND(AV1&lt;&gt;"",ISERROR(FIND("社食",AV1))),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22" t="str" cm="1">
        <f t="array" aca="1" ref="BK3" ca="1">IF(AND(BK1&lt;&gt;"",ISERROR(FIND("社食",BK1))),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23"/>
      <c r="BM3" s="22"/>
      <c r="BN3" s="32" t="str" cm="1">
        <f t="array" aca="1" ref="BN3" ca="1">IF(AND(BK1&lt;&gt;"",ISERROR(FIND("社食",BK1))),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22" t="str" cm="1">
        <f t="array" aca="1" ref="BR3" ca="1">IF(AND(BK1&lt;&gt;"",ISERROR(FIND("社食",BK1))),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23"/>
      <c r="BT3" s="22"/>
      <c r="BU3" s="32" t="str" cm="1">
        <f t="array" aca="1" ref="BU3" ca="1">IF(AND(BK1&lt;&gt;"",ISERROR(FIND("社食",BK1))),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22" t="str" cm="1">
        <f t="array" aca="1" ref="BZ3" ca="1">IF(AND(BZ1&lt;&gt;"",ISERROR(FIND("社食",BZ1))),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23"/>
      <c r="CB3" s="22"/>
      <c r="CC3" s="32" t="str" cm="1">
        <f t="array" aca="1" ref="CC3" ca="1">IF(AND(BZ1&lt;&gt;"",ISERROR(FIND("社食",BZ1))),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22" t="str" cm="1">
        <f t="array" aca="1" ref="CG3" ca="1">IF(AND(BZ1&lt;&gt;"",ISERROR(FIND("社食",BZ1))),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23"/>
      <c r="CI3" s="22"/>
      <c r="CJ3" s="32" t="str" cm="1">
        <f t="array" aca="1" ref="CJ3" ca="1">IF(AND(BZ1&lt;&gt;"",ISERROR(FIND("社食",BZ1))),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22" t="str" cm="1">
        <f t="array" aca="1" ref="CO3" ca="1">IF(AND(CO1&lt;&gt;"",ISERROR(FIND("社食",CO1))),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23"/>
      <c r="CQ3" s="22"/>
      <c r="CR3" s="32" t="str" cm="1">
        <f t="array" aca="1" ref="CR3" ca="1">IF(AND(CO1&lt;&gt;"",ISERROR(FIND("社食",CO1))),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22" t="str" cm="1">
        <f t="array" aca="1" ref="CV3" ca="1">IF(AND(CO1&lt;&gt;"",ISERROR(FIND("社食",CO1))),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23"/>
      <c r="CX3" s="22"/>
      <c r="CY3" s="32" t="str" cm="1">
        <f t="array" aca="1" ref="CY3" ca="1">IF(AND(CO1&lt;&gt;"",ISERROR(FIND("社食",CO1))),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22" t="str" cm="1">
        <f t="array" aca="1" ref="DD3" ca="1">IF(AND(DD1&lt;&gt;"",ISERROR(FIND("社食",DD1))),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23"/>
      <c r="DF3" s="22"/>
      <c r="DG3" s="32" t="str" cm="1">
        <f t="array" aca="1" ref="DG3" ca="1">IF(AND(DD1&lt;&gt;"",ISERROR(FIND("社食",DD1))),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22" t="str" cm="1">
        <f t="array" aca="1" ref="DK3" ca="1">IF(AND(DD1&lt;&gt;"",ISERROR(FIND("社食",DD1))),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23"/>
      <c r="DM3" s="22"/>
      <c r="DN3" s="32" t="str" cm="1">
        <f t="array" aca="1" ref="DN3" ca="1">IF(AND(DD1&lt;&gt;"",ISERROR(FIND("社食",DD1))),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22" t="str" cm="1">
        <f t="array" aca="1" ref="DS3" ca="1">IF(AND(DS1&lt;&gt;"",ISERROR(FIND("社食",DS1))),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23"/>
      <c r="DU3" s="22"/>
      <c r="DV3" s="32" t="str" cm="1">
        <f t="array" aca="1" ref="DV3" ca="1">IF(AND(DS1&lt;&gt;"",ISERROR(FIND("社食",DS1))),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22" t="str" cm="1">
        <f t="array" aca="1" ref="DZ3" ca="1">IF(AND(DS1&lt;&gt;"",ISERROR(FIND("社食",DS1))),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23"/>
      <c r="EB3" s="22"/>
      <c r="EC3" s="32" t="str" cm="1">
        <f t="array" aca="1" ref="EC3" ca="1">IF(AND(DS1&lt;&gt;"",ISERROR(FIND("社食",DS1))),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22" t="str" cm="1">
        <f t="array" aca="1" ref="EH3" ca="1">IF(AND(EH1&lt;&gt;"",ISERROR(FIND("社食",EH1))),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23"/>
      <c r="EJ3" s="22"/>
      <c r="EK3" s="32" t="str" cm="1">
        <f t="array" aca="1" ref="EK3" ca="1">IF(AND(EH1&lt;&gt;"",ISERROR(FIND("社食",EH1))),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22" t="str" cm="1">
        <f t="array" aca="1" ref="EO3" ca="1">IF(AND(EH1&lt;&gt;"",ISERROR(FIND("社食",EH1))),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23"/>
      <c r="EQ3" s="22"/>
      <c r="ER3" s="32" t="str" cm="1">
        <f t="array" aca="1" ref="ER3" ca="1">IF(AND(EH1&lt;&gt;"",ISERROR(FIND("社食",EH1))),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 x14ac:dyDescent="1.05">
      <c r="B4" s="25"/>
      <c r="C4" s="228" t="e">
        <f t="array" aca="1" ref="C4" ca="1">IF(C1&lt;&gt;"",INDIRECT("'盛付札（関数）'!W"&amp;A1),"")</f>
        <v>#N/A</v>
      </c>
      <c r="D4" s="229"/>
      <c r="E4" s="50"/>
      <c r="F4" s="231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32"/>
      <c r="H4" s="26"/>
      <c r="I4" s="25"/>
      <c r="J4" s="228" t="e">
        <f t="array" aca="1" ref="J4" ca="1">IF(J1&lt;&gt;"",INDIRECT("'盛付札（関数）'!W"&amp;H1),"")</f>
        <v>#N/A</v>
      </c>
      <c r="K4" s="229"/>
      <c r="L4" s="50"/>
      <c r="M4" s="231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32"/>
      <c r="Q4" s="25"/>
      <c r="R4" s="228" t="str">
        <f t="array" aca="1" ref="R4" ca="1">IF(R1&lt;&gt;"",INDIRECT("'盛付札（関数）'!W"&amp;P1),"")</f>
        <v/>
      </c>
      <c r="S4" s="229"/>
      <c r="T4" s="50"/>
      <c r="U4" s="231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32"/>
      <c r="W4" s="26"/>
      <c r="X4" s="25"/>
      <c r="Y4" s="228" t="str">
        <f t="array" aca="1" ref="Y4" ca="1">IF(Y1&lt;&gt;"",INDIRECT("'盛付札（関数）'!W"&amp;W1),"")</f>
        <v/>
      </c>
      <c r="Z4" s="229"/>
      <c r="AA4" s="50"/>
      <c r="AB4" s="231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32"/>
      <c r="AF4" s="25"/>
      <c r="AG4" s="228" t="str">
        <f t="array" aca="1" ref="AG4" ca="1">IF(AG1&lt;&gt;"",INDIRECT("'盛付札（関数）'!W"&amp;AE1),"")</f>
        <v/>
      </c>
      <c r="AH4" s="229"/>
      <c r="AI4" s="50"/>
      <c r="AJ4" s="231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32"/>
      <c r="AL4" s="26"/>
      <c r="AM4" s="25"/>
      <c r="AN4" s="228" t="str">
        <f t="array" aca="1" ref="AN4" ca="1">IF(AN1&lt;&gt;"",INDIRECT("'盛付札（関数）'!W"&amp;AL1),"")</f>
        <v/>
      </c>
      <c r="AO4" s="229"/>
      <c r="AP4" s="50"/>
      <c r="AQ4" s="231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32"/>
      <c r="AU4" s="25"/>
      <c r="AV4" s="228" t="str">
        <f t="array" aca="1" ref="AV4" ca="1">IF(AV1&lt;&gt;"",INDIRECT("'盛付札（関数）'!W"&amp;AT1),"")</f>
        <v/>
      </c>
      <c r="AW4" s="229"/>
      <c r="AX4" s="50"/>
      <c r="AY4" s="231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32"/>
      <c r="BA4" s="26"/>
      <c r="BB4" s="25"/>
      <c r="BC4" s="228" t="str">
        <f t="array" aca="1" ref="BC4" ca="1">IF(BC1&lt;&gt;"",INDIRECT("'盛付札（関数）'!W"&amp;BA1),"")</f>
        <v/>
      </c>
      <c r="BD4" s="229"/>
      <c r="BE4" s="50"/>
      <c r="BF4" s="231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32"/>
      <c r="BJ4" s="25"/>
      <c r="BK4" s="228" t="str">
        <f t="array" aca="1" ref="BK4" ca="1">IF(BK1&lt;&gt;"",INDIRECT("'盛付札（関数）'!W"&amp;BI1),"")</f>
        <v/>
      </c>
      <c r="BL4" s="229"/>
      <c r="BM4" s="50"/>
      <c r="BN4" s="231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32"/>
      <c r="BP4" s="26"/>
      <c r="BQ4" s="25"/>
      <c r="BR4" s="228" t="str">
        <f t="array" aca="1" ref="BR4" ca="1">IF(BR1&lt;&gt;"",INDIRECT("'盛付札（関数）'!W"&amp;BP1),"")</f>
        <v/>
      </c>
      <c r="BS4" s="229"/>
      <c r="BT4" s="50"/>
      <c r="BU4" s="231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32"/>
      <c r="BY4" s="25"/>
      <c r="BZ4" s="228" t="str">
        <f t="array" aca="1" ref="BZ4" ca="1">IF(BZ1&lt;&gt;"",INDIRECT("'盛付札（関数）'!W"&amp;BX1),"")</f>
        <v/>
      </c>
      <c r="CA4" s="229"/>
      <c r="CB4" s="50"/>
      <c r="CC4" s="231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32"/>
      <c r="CE4" s="26"/>
      <c r="CF4" s="25"/>
      <c r="CG4" s="228" t="str">
        <f t="array" aca="1" ref="CG4" ca="1">IF(CG1&lt;&gt;"",INDIRECT("'盛付札（関数）'!W"&amp;CE1),"")</f>
        <v/>
      </c>
      <c r="CH4" s="229"/>
      <c r="CI4" s="50"/>
      <c r="CJ4" s="231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32"/>
      <c r="CN4" s="25"/>
      <c r="CO4" s="228" t="str">
        <f t="array" aca="1" ref="CO4" ca="1">IF(CO1&lt;&gt;"",INDIRECT("'盛付札（関数）'!W"&amp;CM1),"")</f>
        <v/>
      </c>
      <c r="CP4" s="229"/>
      <c r="CQ4" s="50"/>
      <c r="CR4" s="231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32"/>
      <c r="CT4" s="26"/>
      <c r="CU4" s="25"/>
      <c r="CV4" s="228" t="str">
        <f t="array" aca="1" ref="CV4" ca="1">IF(CV1&lt;&gt;"",INDIRECT("'盛付札（関数）'!W"&amp;CT1),"")</f>
        <v/>
      </c>
      <c r="CW4" s="229"/>
      <c r="CX4" s="50"/>
      <c r="CY4" s="231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32"/>
      <c r="DC4" s="25"/>
      <c r="DD4" s="228" t="str">
        <f t="array" aca="1" ref="DD4" ca="1">IF(DD1&lt;&gt;"",INDIRECT("'盛付札（関数）'!W"&amp;DB1),"")</f>
        <v/>
      </c>
      <c r="DE4" s="229"/>
      <c r="DF4" s="50"/>
      <c r="DG4" s="231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32"/>
      <c r="DI4" s="26"/>
      <c r="DJ4" s="25"/>
      <c r="DK4" s="228" t="str">
        <f t="array" aca="1" ref="DK4" ca="1">IF(DK1&lt;&gt;"",INDIRECT("'盛付札（関数）'!W"&amp;DI1),"")</f>
        <v/>
      </c>
      <c r="DL4" s="229"/>
      <c r="DM4" s="50"/>
      <c r="DN4" s="231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32"/>
      <c r="DR4" s="25"/>
      <c r="DS4" s="228" t="str">
        <f t="array" aca="1" ref="DS4" ca="1">IF(DS1&lt;&gt;"",INDIRECT("'盛付札（関数）'!W"&amp;DQ1),"")</f>
        <v/>
      </c>
      <c r="DT4" s="229"/>
      <c r="DU4" s="50"/>
      <c r="DV4" s="231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32"/>
      <c r="DX4" s="26"/>
      <c r="DY4" s="25"/>
      <c r="DZ4" s="228" t="str">
        <f t="array" aca="1" ref="DZ4" ca="1">IF(DZ1&lt;&gt;"",INDIRECT("'盛付札（関数）'!W"&amp;DX1),"")</f>
        <v/>
      </c>
      <c r="EA4" s="229"/>
      <c r="EB4" s="50"/>
      <c r="EC4" s="231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32"/>
      <c r="EG4" s="25"/>
      <c r="EH4" s="228" t="str">
        <f t="array" aca="1" ref="EH4" ca="1">IF(EH1&lt;&gt;"",INDIRECT("'盛付札（関数）'!W"&amp;EF1),"")</f>
        <v/>
      </c>
      <c r="EI4" s="229"/>
      <c r="EJ4" s="50"/>
      <c r="EK4" s="231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32"/>
      <c r="EM4" s="26"/>
      <c r="EN4" s="25"/>
      <c r="EO4" s="228" t="str">
        <f t="array" aca="1" ref="EO4" ca="1">IF(EO1&lt;&gt;"",INDIRECT("'盛付札（関数）'!W"&amp;EM1),"")</f>
        <v/>
      </c>
      <c r="EP4" s="229"/>
      <c r="EQ4" s="50"/>
      <c r="ER4" s="231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32"/>
    </row>
    <row r="5" spans="1:150" ht="15.6" customHeight="1" x14ac:dyDescent="0.45">
      <c r="B5" s="27"/>
      <c r="C5" s="230"/>
      <c r="D5" s="230"/>
      <c r="E5" s="44"/>
      <c r="F5" s="230"/>
      <c r="G5" s="227"/>
      <c r="H5" s="26"/>
      <c r="I5" s="27"/>
      <c r="J5" s="230"/>
      <c r="K5" s="230"/>
      <c r="L5" s="44"/>
      <c r="M5" s="230"/>
      <c r="N5" s="227"/>
      <c r="Q5" s="27"/>
      <c r="R5" s="230"/>
      <c r="S5" s="230"/>
      <c r="T5" s="44"/>
      <c r="U5" s="230"/>
      <c r="V5" s="227"/>
      <c r="W5" s="26"/>
      <c r="X5" s="27"/>
      <c r="Y5" s="230"/>
      <c r="Z5" s="230"/>
      <c r="AA5" s="44"/>
      <c r="AB5" s="230"/>
      <c r="AC5" s="227"/>
      <c r="AF5" s="27"/>
      <c r="AG5" s="230"/>
      <c r="AH5" s="230"/>
      <c r="AI5" s="44"/>
      <c r="AJ5" s="230"/>
      <c r="AK5" s="227"/>
      <c r="AL5" s="26"/>
      <c r="AM5" s="27"/>
      <c r="AN5" s="230"/>
      <c r="AO5" s="230"/>
      <c r="AP5" s="44"/>
      <c r="AQ5" s="230"/>
      <c r="AR5" s="227"/>
      <c r="AU5" s="27"/>
      <c r="AV5" s="230"/>
      <c r="AW5" s="230"/>
      <c r="AX5" s="44"/>
      <c r="AY5" s="230"/>
      <c r="AZ5" s="227"/>
      <c r="BA5" s="26"/>
      <c r="BB5" s="27"/>
      <c r="BC5" s="230"/>
      <c r="BD5" s="230"/>
      <c r="BE5" s="44"/>
      <c r="BF5" s="230"/>
      <c r="BG5" s="227"/>
      <c r="BJ5" s="27"/>
      <c r="BK5" s="230"/>
      <c r="BL5" s="230"/>
      <c r="BM5" s="44"/>
      <c r="BN5" s="230"/>
      <c r="BO5" s="227"/>
      <c r="BP5" s="26"/>
      <c r="BQ5" s="27"/>
      <c r="BR5" s="230"/>
      <c r="BS5" s="230"/>
      <c r="BT5" s="44"/>
      <c r="BU5" s="230"/>
      <c r="BV5" s="227"/>
      <c r="BY5" s="27"/>
      <c r="BZ5" s="230"/>
      <c r="CA5" s="230"/>
      <c r="CB5" s="44"/>
      <c r="CC5" s="230"/>
      <c r="CD5" s="227"/>
      <c r="CE5" s="26"/>
      <c r="CF5" s="27"/>
      <c r="CG5" s="230"/>
      <c r="CH5" s="230"/>
      <c r="CI5" s="44"/>
      <c r="CJ5" s="230"/>
      <c r="CK5" s="227"/>
      <c r="CN5" s="27"/>
      <c r="CO5" s="230"/>
      <c r="CP5" s="230"/>
      <c r="CQ5" s="44"/>
      <c r="CR5" s="230"/>
      <c r="CS5" s="227"/>
      <c r="CT5" s="26"/>
      <c r="CU5" s="27"/>
      <c r="CV5" s="230"/>
      <c r="CW5" s="230"/>
      <c r="CX5" s="44"/>
      <c r="CY5" s="230"/>
      <c r="CZ5" s="227"/>
      <c r="DC5" s="27"/>
      <c r="DD5" s="230"/>
      <c r="DE5" s="230"/>
      <c r="DF5" s="44"/>
      <c r="DG5" s="230"/>
      <c r="DH5" s="227"/>
      <c r="DI5" s="26"/>
      <c r="DJ5" s="27"/>
      <c r="DK5" s="230"/>
      <c r="DL5" s="230"/>
      <c r="DM5" s="44"/>
      <c r="DN5" s="230"/>
      <c r="DO5" s="227"/>
      <c r="DR5" s="27"/>
      <c r="DS5" s="230"/>
      <c r="DT5" s="230"/>
      <c r="DU5" s="44"/>
      <c r="DV5" s="230"/>
      <c r="DW5" s="227"/>
      <c r="DX5" s="26"/>
      <c r="DY5" s="27"/>
      <c r="DZ5" s="230"/>
      <c r="EA5" s="230"/>
      <c r="EB5" s="44"/>
      <c r="EC5" s="230"/>
      <c r="ED5" s="227"/>
      <c r="EG5" s="27"/>
      <c r="EH5" s="230"/>
      <c r="EI5" s="230"/>
      <c r="EJ5" s="44"/>
      <c r="EK5" s="230"/>
      <c r="EL5" s="227"/>
      <c r="EM5" s="26"/>
      <c r="EN5" s="27"/>
      <c r="EO5" s="230"/>
      <c r="EP5" s="230"/>
      <c r="EQ5" s="44"/>
      <c r="ER5" s="230"/>
      <c r="ES5" s="227"/>
    </row>
    <row r="6" spans="1:150" s="32" customFormat="1" x14ac:dyDescent="0.55000000000000004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 x14ac:dyDescent="0.45">
      <c r="B7" s="233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7"/>
      <c r="D7" s="233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7"/>
      <c r="F7" s="226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7"/>
      <c r="I7" s="233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7"/>
      <c r="K7" s="233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7"/>
      <c r="M7" s="226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7"/>
      <c r="Q7" s="233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7"/>
      <c r="S7" s="233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7"/>
      <c r="U7" s="226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7"/>
      <c r="X7" s="233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7"/>
      <c r="Z7" s="233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7"/>
      <c r="AB7" s="226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7"/>
      <c r="AF7" s="233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7"/>
      <c r="AH7" s="233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7"/>
      <c r="AJ7" s="226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7"/>
      <c r="AM7" s="233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7"/>
      <c r="AO7" s="233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7"/>
      <c r="AQ7" s="226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7"/>
      <c r="AU7" s="233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7"/>
      <c r="AW7" s="233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7"/>
      <c r="AY7" s="226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7"/>
      <c r="BB7" s="233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7"/>
      <c r="BD7" s="233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7"/>
      <c r="BF7" s="226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7"/>
      <c r="BJ7" s="233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7"/>
      <c r="BL7" s="233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7"/>
      <c r="BN7" s="226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7"/>
      <c r="BQ7" s="233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7"/>
      <c r="BS7" s="233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7"/>
      <c r="BU7" s="226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7"/>
      <c r="BY7" s="233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7"/>
      <c r="CA7" s="233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7"/>
      <c r="CC7" s="226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7"/>
      <c r="CF7" s="233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7"/>
      <c r="CH7" s="233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7"/>
      <c r="CJ7" s="226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7"/>
      <c r="CN7" s="233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7"/>
      <c r="CP7" s="233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7"/>
      <c r="CR7" s="226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7"/>
      <c r="CU7" s="233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7"/>
      <c r="CW7" s="233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7"/>
      <c r="CY7" s="226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7"/>
      <c r="DC7" s="233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7"/>
      <c r="DE7" s="233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7"/>
      <c r="DG7" s="226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7"/>
      <c r="DJ7" s="233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7"/>
      <c r="DL7" s="233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7"/>
      <c r="DN7" s="226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7"/>
      <c r="DR7" s="233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7"/>
      <c r="DT7" s="233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7"/>
      <c r="DV7" s="226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7"/>
      <c r="DY7" s="233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7"/>
      <c r="EA7" s="233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7"/>
      <c r="EC7" s="226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7"/>
      <c r="EG7" s="233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7"/>
      <c r="EI7" s="233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7"/>
      <c r="EK7" s="226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7"/>
      <c r="EN7" s="233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7"/>
      <c r="EP7" s="233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7"/>
      <c r="ER7" s="226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7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24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25"/>
      <c r="E9" s="225"/>
      <c r="F9" s="225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24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25"/>
      <c r="L9" s="225"/>
      <c r="M9" s="225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24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25"/>
      <c r="T9" s="225"/>
      <c r="U9" s="225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24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25"/>
      <c r="AA9" s="225"/>
      <c r="AB9" s="225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24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25"/>
      <c r="AI9" s="225"/>
      <c r="AJ9" s="225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24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25"/>
      <c r="AP9" s="225"/>
      <c r="AQ9" s="225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24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25"/>
      <c r="AX9" s="225"/>
      <c r="AY9" s="225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24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25"/>
      <c r="BE9" s="225"/>
      <c r="BF9" s="225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24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25"/>
      <c r="BM9" s="225"/>
      <c r="BN9" s="225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24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25"/>
      <c r="BT9" s="225"/>
      <c r="BU9" s="225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24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25"/>
      <c r="CB9" s="225"/>
      <c r="CC9" s="225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24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25"/>
      <c r="CI9" s="225"/>
      <c r="CJ9" s="225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24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25"/>
      <c r="CQ9" s="225"/>
      <c r="CR9" s="225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24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25"/>
      <c r="CX9" s="225"/>
      <c r="CY9" s="225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24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25"/>
      <c r="DF9" s="225"/>
      <c r="DG9" s="225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24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25"/>
      <c r="DM9" s="225"/>
      <c r="DN9" s="225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24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25"/>
      <c r="DU9" s="225"/>
      <c r="DV9" s="225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24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25"/>
      <c r="EB9" s="225"/>
      <c r="EC9" s="225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24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25"/>
      <c r="EJ9" s="225"/>
      <c r="EK9" s="225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24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25"/>
      <c r="EQ9" s="225"/>
      <c r="ER9" s="225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 x14ac:dyDescent="0.55000000000000004">
      <c r="A10" s="31"/>
      <c r="B10" s="197"/>
      <c r="C10" s="47" t="str" cm="1">
        <f t="array" aca="1" ref="C10" ca="1">IF(AND(C9&lt;&gt;"",ISERROR(FIND("社食",C9))),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 cm="1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 cm="1">
        <f t="array" aca="1" ref="J10" ca="1">IF(AND(J9&lt;&gt;"",ISERROR(FIND("社食",J9))),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 cm="1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 cm="1">
        <f t="array" aca="1" ref="R10" ca="1">IF(AND(R9&lt;&gt;"",ISERROR(FIND("社食",R9))),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 cm="1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 cm="1">
        <f t="array" aca="1" ref="Y10" ca="1">IF(AND(Y9&lt;&gt;"",ISERROR(FIND("社食",Y9))),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 cm="1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 cm="1">
        <f t="array" aca="1" ref="AG10" ca="1">IF(AND(AG9&lt;&gt;"",ISERROR(FIND("社食",AG9))),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 cm="1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 cm="1">
        <f t="array" aca="1" ref="AN10" ca="1">IF(AND(AN9&lt;&gt;"",ISERROR(FIND("社食",AN9))),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 cm="1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 cm="1">
        <f t="array" aca="1" ref="AV10" ca="1">IF(AND(AV9&lt;&gt;"",ISERROR(FIND("社食",AV9))),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 cm="1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 cm="1">
        <f t="array" aca="1" ref="BC10" ca="1">IF(AND(BC9&lt;&gt;"",ISERROR(FIND("社食",BC9))),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 cm="1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 cm="1">
        <f t="array" aca="1" ref="BK10" ca="1">IF(AND(BK9&lt;&gt;"",ISERROR(FIND("社食",BK9))),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 cm="1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 cm="1">
        <f t="array" aca="1" ref="BR10" ca="1">IF(AND(BR9&lt;&gt;"",ISERROR(FIND("社食",BR9))),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 cm="1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 cm="1">
        <f t="array" aca="1" ref="BZ10" ca="1">IF(AND(BZ9&lt;&gt;"",ISERROR(FIND("社食",BZ9))),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 cm="1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 cm="1">
        <f t="array" aca="1" ref="CG10" ca="1">IF(AND(CG9&lt;&gt;"",ISERROR(FIND("社食",CG9))),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 cm="1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 cm="1">
        <f t="array" aca="1" ref="CO10" ca="1">IF(AND(CO9&lt;&gt;"",ISERROR(FIND("社食",CO9))),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 cm="1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 cm="1">
        <f t="array" aca="1" ref="CV10" ca="1">IF(AND(CV9&lt;&gt;"",ISERROR(FIND("社食",CV9))),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 cm="1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 cm="1">
        <f t="array" aca="1" ref="DD10" ca="1">IF(AND(DD9&lt;&gt;"",ISERROR(FIND("社食",DD9))),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 cm="1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 cm="1">
        <f t="array" aca="1" ref="DK10" ca="1">IF(AND(DK9&lt;&gt;"",ISERROR(FIND("社食",DK9))),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 cm="1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 cm="1">
        <f t="array" aca="1" ref="DS10" ca="1">IF(AND(DS9&lt;&gt;"",ISERROR(FIND("社食",DS9))),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 cm="1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 cm="1">
        <f t="array" aca="1" ref="DZ10" ca="1">IF(AND(DZ9&lt;&gt;"",ISERROR(FIND("社食",DZ9))),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 cm="1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 cm="1">
        <f t="array" aca="1" ref="EH10" ca="1">IF(AND(EH9&lt;&gt;"",ISERROR(FIND("社食",EH9))),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 cm="1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 cm="1">
        <f t="array" aca="1" ref="EO10" ca="1">IF(AND(EO9&lt;&gt;"",ISERROR(FIND("社食",EO9))),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 cm="1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 x14ac:dyDescent="0.55000000000000004">
      <c r="A11" s="31"/>
      <c r="B11" s="34"/>
      <c r="C11" s="222" t="str" cm="1">
        <f t="array" aca="1" ref="C11" ca="1">IF(AND(C9&lt;&gt;"",ISERROR(FIND("社食",C9))),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23"/>
      <c r="E11" s="22"/>
      <c r="F11" s="32" t="str" cm="1">
        <f t="array" aca="1" ref="F11" ca="1">IF(AND(C9&lt;&gt;"",ISERROR(FIND("社食",C9))),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22" t="e" cm="1">
        <f t="array" aca="1" ref="J11" ca="1">IF(AND(C9&lt;&gt;"",ISERROR(FIND("社食",C9))),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>#N/A</v>
      </c>
      <c r="K11" s="223"/>
      <c r="L11" s="22"/>
      <c r="M11" s="32" t="str" cm="1">
        <f t="array" aca="1" ref="M11" ca="1">IF(AND(C9&lt;&gt;"",ISERROR(FIND("社食",C9))),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>先生</v>
      </c>
      <c r="N11" s="40"/>
      <c r="O11" s="22"/>
      <c r="P11" s="31"/>
      <c r="Q11" s="34"/>
      <c r="R11" s="222" t="str" cm="1">
        <f t="array" aca="1" ref="R11" ca="1">IF(AND(R9&lt;&gt;"",ISERROR(FIND("社食",R9))),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23"/>
      <c r="T11" s="22"/>
      <c r="U11" s="32" t="str" cm="1">
        <f t="array" aca="1" ref="U11" ca="1">IF(AND(R9&lt;&gt;"",ISERROR(FIND("社食",R9))),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22" t="str" cm="1">
        <f t="array" aca="1" ref="Y11" ca="1">IF(AND(R9&lt;&gt;"",ISERROR(FIND("社食",R9))),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23"/>
      <c r="AA11" s="22"/>
      <c r="AB11" s="32" t="str" cm="1">
        <f t="array" aca="1" ref="AB11" ca="1">IF(AND(R9&lt;&gt;"",ISERROR(FIND("社食",R9))),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22" t="str" cm="1">
        <f t="array" aca="1" ref="AG11" ca="1">IF(AND(AG9&lt;&gt;"",ISERROR(FIND("社食",AG9))),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23"/>
      <c r="AI11" s="22"/>
      <c r="AJ11" s="32" t="str" cm="1">
        <f t="array" aca="1" ref="AJ11" ca="1">IF(AND(AG9&lt;&gt;"",ISERROR(FIND("社食",AG9))),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22" t="str" cm="1">
        <f t="array" aca="1" ref="AN11" ca="1">IF(AND(AG9&lt;&gt;"",ISERROR(FIND("社食",AG9))),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23"/>
      <c r="AP11" s="22"/>
      <c r="AQ11" s="32" t="str" cm="1">
        <f t="array" aca="1" ref="AQ11" ca="1">IF(AND(AG9&lt;&gt;"",ISERROR(FIND("社食",AG9))),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22" t="str" cm="1">
        <f t="array" aca="1" ref="AV11" ca="1">IF(AND(AV9&lt;&gt;"",ISERROR(FIND("社食",AV9))),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23"/>
      <c r="AX11" s="22"/>
      <c r="AY11" s="32" t="str" cm="1">
        <f t="array" aca="1" ref="AY11" ca="1">IF(AND(AV9&lt;&gt;"",ISERROR(FIND("社食",AV9))),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22" t="str" cm="1">
        <f t="array" aca="1" ref="BC11" ca="1">IF(AND(AV9&lt;&gt;"",ISERROR(FIND("社食",AV9))),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23"/>
      <c r="BE11" s="22"/>
      <c r="BF11" s="32" t="str" cm="1">
        <f t="array" aca="1" ref="BF11" ca="1">IF(AND(AV9&lt;&gt;"",ISERROR(FIND("社食",AV9))),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22" t="str" cm="1">
        <f t="array" aca="1" ref="BK11" ca="1">IF(AND(BK9&lt;&gt;"",ISERROR(FIND("社食",BK9))),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23"/>
      <c r="BM11" s="22"/>
      <c r="BN11" s="32" t="str" cm="1">
        <f t="array" aca="1" ref="BN11" ca="1">IF(AND(BK9&lt;&gt;"",ISERROR(FIND("社食",BK9))),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22" t="str" cm="1">
        <f t="array" aca="1" ref="BR11" ca="1">IF(AND(BK9&lt;&gt;"",ISERROR(FIND("社食",BK9))),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23"/>
      <c r="BT11" s="22"/>
      <c r="BU11" s="32" t="str" cm="1">
        <f t="array" aca="1" ref="BU11" ca="1">IF(AND(BK9&lt;&gt;"",ISERROR(FIND("社食",BK9))),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22" t="str" cm="1">
        <f t="array" aca="1" ref="BZ11" ca="1">IF(AND(BZ9&lt;&gt;"",ISERROR(FIND("社食",BZ9))),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23"/>
      <c r="CB11" s="22"/>
      <c r="CC11" s="32" t="str" cm="1">
        <f t="array" aca="1" ref="CC11" ca="1">IF(AND(BZ9&lt;&gt;"",ISERROR(FIND("社食",BZ9))),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22" t="str" cm="1">
        <f t="array" aca="1" ref="CG11" ca="1">IF(AND(BZ9&lt;&gt;"",ISERROR(FIND("社食",BZ9))),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23"/>
      <c r="CI11" s="22"/>
      <c r="CJ11" s="32" t="str" cm="1">
        <f t="array" aca="1" ref="CJ11" ca="1">IF(AND(BZ9&lt;&gt;"",ISERROR(FIND("社食",BZ9))),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22" t="str" cm="1">
        <f t="array" aca="1" ref="CO11" ca="1">IF(AND(CO9&lt;&gt;"",ISERROR(FIND("社食",CO9))),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23"/>
      <c r="CQ11" s="22"/>
      <c r="CR11" s="32" t="str" cm="1">
        <f t="array" aca="1" ref="CR11" ca="1">IF(AND(CO9&lt;&gt;"",ISERROR(FIND("社食",CO9))),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22" t="str" cm="1">
        <f t="array" aca="1" ref="CV11" ca="1">IF(AND(CO9&lt;&gt;"",ISERROR(FIND("社食",CO9))),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23"/>
      <c r="CX11" s="22"/>
      <c r="CY11" s="32" t="str" cm="1">
        <f t="array" aca="1" ref="CY11" ca="1">IF(AND(CO9&lt;&gt;"",ISERROR(FIND("社食",CO9))),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22" t="str" cm="1">
        <f t="array" aca="1" ref="DD11" ca="1">IF(AND(DD9&lt;&gt;"",ISERROR(FIND("社食",DD9))),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23"/>
      <c r="DF11" s="22"/>
      <c r="DG11" s="32" t="str" cm="1">
        <f t="array" aca="1" ref="DG11" ca="1">IF(AND(DD9&lt;&gt;"",ISERROR(FIND("社食",DD9))),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22" t="str" cm="1">
        <f t="array" aca="1" ref="DK11" ca="1">IF(AND(DD9&lt;&gt;"",ISERROR(FIND("社食",DD9))),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23"/>
      <c r="DM11" s="22"/>
      <c r="DN11" s="32" t="str" cm="1">
        <f t="array" aca="1" ref="DN11" ca="1">IF(AND(DD9&lt;&gt;"",ISERROR(FIND("社食",DD9))),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22" t="str" cm="1">
        <f t="array" aca="1" ref="DS11" ca="1">IF(AND(DS9&lt;&gt;"",ISERROR(FIND("社食",DS9))),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23"/>
      <c r="DU11" s="22"/>
      <c r="DV11" s="32" t="str" cm="1">
        <f t="array" aca="1" ref="DV11" ca="1">IF(AND(DS9&lt;&gt;"",ISERROR(FIND("社食",DS9))),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22" t="str" cm="1">
        <f t="array" aca="1" ref="DZ11" ca="1">IF(AND(DS9&lt;&gt;"",ISERROR(FIND("社食",DS9))),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23"/>
      <c r="EB11" s="22"/>
      <c r="EC11" s="32" t="str" cm="1">
        <f t="array" aca="1" ref="EC11" ca="1">IF(AND(DS9&lt;&gt;"",ISERROR(FIND("社食",DS9))),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22" t="str" cm="1">
        <f t="array" aca="1" ref="EH11" ca="1">IF(AND(EH9&lt;&gt;"",ISERROR(FIND("社食",EH9))),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23"/>
      <c r="EJ11" s="22"/>
      <c r="EK11" s="32" t="str" cm="1">
        <f t="array" aca="1" ref="EK11" ca="1">IF(AND(EH9&lt;&gt;"",ISERROR(FIND("社食",EH9))),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22" t="str" cm="1">
        <f t="array" aca="1" ref="EO11" ca="1">IF(AND(EH9&lt;&gt;"",ISERROR(FIND("社食",EH9))),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23"/>
      <c r="EQ11" s="22"/>
      <c r="ER11" s="32" t="str" cm="1">
        <f t="array" aca="1" ref="ER11" ca="1">IF(AND(EH9&lt;&gt;"",ISERROR(FIND("社食",EH9))),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 x14ac:dyDescent="1.05">
      <c r="B12" s="25"/>
      <c r="C12" s="228">
        <f t="array" aca="1" ref="C12" ca="1">IF(C9&lt;&gt;"",INDIRECT("'盛付札（関数）'!W"&amp;A9),"")</f>
        <v>2</v>
      </c>
      <c r="D12" s="229"/>
      <c r="E12" s="50"/>
      <c r="F12" s="231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32"/>
      <c r="H12" s="26"/>
      <c r="I12" s="25"/>
      <c r="J12" s="228" t="e">
        <f t="array" aca="1" ref="J12" ca="1">IF(J9&lt;&gt;"",INDIRECT("'盛付札（関数）'!W"&amp;H9),"")</f>
        <v>#N/A</v>
      </c>
      <c r="K12" s="229"/>
      <c r="L12" s="50"/>
      <c r="M12" s="231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32"/>
      <c r="Q12" s="25"/>
      <c r="R12" s="228" t="str">
        <f t="array" aca="1" ref="R12" ca="1">IF(R9&lt;&gt;"",INDIRECT("'盛付札（関数）'!W"&amp;P9),"")</f>
        <v/>
      </c>
      <c r="S12" s="229"/>
      <c r="T12" s="50"/>
      <c r="U12" s="231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32"/>
      <c r="W12" s="26"/>
      <c r="X12" s="25"/>
      <c r="Y12" s="228" t="str">
        <f t="array" aca="1" ref="Y12" ca="1">IF(Y9&lt;&gt;"",INDIRECT("'盛付札（関数）'!W"&amp;W9),"")</f>
        <v/>
      </c>
      <c r="Z12" s="229"/>
      <c r="AA12" s="50"/>
      <c r="AB12" s="231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32"/>
      <c r="AF12" s="25"/>
      <c r="AG12" s="228" t="str">
        <f t="array" aca="1" ref="AG12" ca="1">IF(AG9&lt;&gt;"",INDIRECT("'盛付札（関数）'!W"&amp;AE9),"")</f>
        <v/>
      </c>
      <c r="AH12" s="229"/>
      <c r="AI12" s="50"/>
      <c r="AJ12" s="231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32"/>
      <c r="AL12" s="26"/>
      <c r="AM12" s="25"/>
      <c r="AN12" s="228" t="str">
        <f t="array" aca="1" ref="AN12" ca="1">IF(AN9&lt;&gt;"",INDIRECT("'盛付札（関数）'!W"&amp;AL9),"")</f>
        <v/>
      </c>
      <c r="AO12" s="229"/>
      <c r="AP12" s="50"/>
      <c r="AQ12" s="231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32"/>
      <c r="AU12" s="25"/>
      <c r="AV12" s="228" t="str">
        <f t="array" aca="1" ref="AV12" ca="1">IF(AV9&lt;&gt;"",INDIRECT("'盛付札（関数）'!W"&amp;AT9),"")</f>
        <v/>
      </c>
      <c r="AW12" s="229"/>
      <c r="AX12" s="50"/>
      <c r="AY12" s="231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32"/>
      <c r="BA12" s="26"/>
      <c r="BB12" s="25"/>
      <c r="BC12" s="228" t="str">
        <f t="array" aca="1" ref="BC12" ca="1">IF(BC9&lt;&gt;"",INDIRECT("'盛付札（関数）'!W"&amp;BA9),"")</f>
        <v/>
      </c>
      <c r="BD12" s="229"/>
      <c r="BE12" s="50"/>
      <c r="BF12" s="231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32"/>
      <c r="BJ12" s="25"/>
      <c r="BK12" s="228" t="str">
        <f t="array" aca="1" ref="BK12" ca="1">IF(BK9&lt;&gt;"",INDIRECT("'盛付札（関数）'!W"&amp;BI9),"")</f>
        <v/>
      </c>
      <c r="BL12" s="229"/>
      <c r="BM12" s="50"/>
      <c r="BN12" s="231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32"/>
      <c r="BP12" s="26"/>
      <c r="BQ12" s="25"/>
      <c r="BR12" s="228" t="str">
        <f t="array" aca="1" ref="BR12" ca="1">IF(BR9&lt;&gt;"",INDIRECT("'盛付札（関数）'!W"&amp;BP9),"")</f>
        <v/>
      </c>
      <c r="BS12" s="229"/>
      <c r="BT12" s="50"/>
      <c r="BU12" s="231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32"/>
      <c r="BY12" s="25"/>
      <c r="BZ12" s="228" t="str">
        <f t="array" aca="1" ref="BZ12" ca="1">IF(BZ9&lt;&gt;"",INDIRECT("'盛付札（関数）'!W"&amp;BX9),"")</f>
        <v/>
      </c>
      <c r="CA12" s="229"/>
      <c r="CB12" s="50"/>
      <c r="CC12" s="231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32"/>
      <c r="CE12" s="26"/>
      <c r="CF12" s="25"/>
      <c r="CG12" s="228" t="str">
        <f t="array" aca="1" ref="CG12" ca="1">IF(CG9&lt;&gt;"",INDIRECT("'盛付札（関数）'!W"&amp;CE9),"")</f>
        <v/>
      </c>
      <c r="CH12" s="229"/>
      <c r="CI12" s="50"/>
      <c r="CJ12" s="231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32"/>
      <c r="CN12" s="25"/>
      <c r="CO12" s="228" t="str">
        <f t="array" aca="1" ref="CO12" ca="1">IF(CO9&lt;&gt;"",INDIRECT("'盛付札（関数）'!W"&amp;CM9),"")</f>
        <v/>
      </c>
      <c r="CP12" s="229"/>
      <c r="CQ12" s="50"/>
      <c r="CR12" s="231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32"/>
      <c r="CT12" s="26"/>
      <c r="CU12" s="25"/>
      <c r="CV12" s="228" t="str">
        <f t="array" aca="1" ref="CV12" ca="1">IF(CV9&lt;&gt;"",INDIRECT("'盛付札（関数）'!W"&amp;CT9),"")</f>
        <v/>
      </c>
      <c r="CW12" s="229"/>
      <c r="CX12" s="50"/>
      <c r="CY12" s="231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32"/>
      <c r="DC12" s="25"/>
      <c r="DD12" s="228" t="str">
        <f t="array" aca="1" ref="DD12" ca="1">IF(DD9&lt;&gt;"",INDIRECT("'盛付札（関数）'!W"&amp;DB9),"")</f>
        <v/>
      </c>
      <c r="DE12" s="229"/>
      <c r="DF12" s="50"/>
      <c r="DG12" s="231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32"/>
      <c r="DI12" s="26"/>
      <c r="DJ12" s="25"/>
      <c r="DK12" s="228" t="str">
        <f t="array" aca="1" ref="DK12" ca="1">IF(DK9&lt;&gt;"",INDIRECT("'盛付札（関数）'!W"&amp;DI9),"")</f>
        <v/>
      </c>
      <c r="DL12" s="229"/>
      <c r="DM12" s="50"/>
      <c r="DN12" s="231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32"/>
      <c r="DR12" s="25"/>
      <c r="DS12" s="228" t="str">
        <f t="array" aca="1" ref="DS12" ca="1">IF(DS9&lt;&gt;"",INDIRECT("'盛付札（関数）'!W"&amp;DQ9),"")</f>
        <v/>
      </c>
      <c r="DT12" s="229"/>
      <c r="DU12" s="50"/>
      <c r="DV12" s="231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32"/>
      <c r="DX12" s="26"/>
      <c r="DY12" s="25"/>
      <c r="DZ12" s="228" t="str">
        <f t="array" aca="1" ref="DZ12" ca="1">IF(DZ9&lt;&gt;"",INDIRECT("'盛付札（関数）'!W"&amp;DX9),"")</f>
        <v/>
      </c>
      <c r="EA12" s="229"/>
      <c r="EB12" s="50"/>
      <c r="EC12" s="231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32"/>
      <c r="EG12" s="25"/>
      <c r="EH12" s="228" t="str">
        <f t="array" aca="1" ref="EH12" ca="1">IF(EH9&lt;&gt;"",INDIRECT("'盛付札（関数）'!W"&amp;EF9),"")</f>
        <v/>
      </c>
      <c r="EI12" s="229"/>
      <c r="EJ12" s="50"/>
      <c r="EK12" s="231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32"/>
      <c r="EM12" s="26"/>
      <c r="EN12" s="25"/>
      <c r="EO12" s="228" t="str">
        <f t="array" aca="1" ref="EO12" ca="1">IF(EO9&lt;&gt;"",INDIRECT("'盛付札（関数）'!W"&amp;EM9),"")</f>
        <v/>
      </c>
      <c r="EP12" s="229"/>
      <c r="EQ12" s="50"/>
      <c r="ER12" s="231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32"/>
    </row>
    <row r="13" spans="1:150" ht="15.6" customHeight="1" x14ac:dyDescent="0.45">
      <c r="B13" s="27"/>
      <c r="C13" s="230"/>
      <c r="D13" s="230"/>
      <c r="E13" s="44"/>
      <c r="F13" s="230"/>
      <c r="G13" s="227"/>
      <c r="H13" s="26"/>
      <c r="I13" s="27"/>
      <c r="J13" s="230"/>
      <c r="K13" s="230"/>
      <c r="L13" s="44"/>
      <c r="M13" s="230"/>
      <c r="N13" s="227"/>
      <c r="Q13" s="27"/>
      <c r="R13" s="230"/>
      <c r="S13" s="230"/>
      <c r="T13" s="44"/>
      <c r="U13" s="230"/>
      <c r="V13" s="227"/>
      <c r="W13" s="26"/>
      <c r="X13" s="27"/>
      <c r="Y13" s="230"/>
      <c r="Z13" s="230"/>
      <c r="AA13" s="44"/>
      <c r="AB13" s="230"/>
      <c r="AC13" s="227"/>
      <c r="AF13" s="27"/>
      <c r="AG13" s="230"/>
      <c r="AH13" s="230"/>
      <c r="AI13" s="44"/>
      <c r="AJ13" s="230"/>
      <c r="AK13" s="227"/>
      <c r="AL13" s="26"/>
      <c r="AM13" s="27"/>
      <c r="AN13" s="230"/>
      <c r="AO13" s="230"/>
      <c r="AP13" s="44"/>
      <c r="AQ13" s="230"/>
      <c r="AR13" s="227"/>
      <c r="AU13" s="27"/>
      <c r="AV13" s="230"/>
      <c r="AW13" s="230"/>
      <c r="AX13" s="44"/>
      <c r="AY13" s="230"/>
      <c r="AZ13" s="227"/>
      <c r="BA13" s="26"/>
      <c r="BB13" s="27"/>
      <c r="BC13" s="230"/>
      <c r="BD13" s="230"/>
      <c r="BE13" s="44"/>
      <c r="BF13" s="230"/>
      <c r="BG13" s="227"/>
      <c r="BJ13" s="27"/>
      <c r="BK13" s="230"/>
      <c r="BL13" s="230"/>
      <c r="BM13" s="44"/>
      <c r="BN13" s="230"/>
      <c r="BO13" s="227"/>
      <c r="BP13" s="26"/>
      <c r="BQ13" s="27"/>
      <c r="BR13" s="230"/>
      <c r="BS13" s="230"/>
      <c r="BT13" s="44"/>
      <c r="BU13" s="230"/>
      <c r="BV13" s="227"/>
      <c r="BY13" s="27"/>
      <c r="BZ13" s="230"/>
      <c r="CA13" s="230"/>
      <c r="CB13" s="44"/>
      <c r="CC13" s="230"/>
      <c r="CD13" s="227"/>
      <c r="CE13" s="26"/>
      <c r="CF13" s="27"/>
      <c r="CG13" s="230"/>
      <c r="CH13" s="230"/>
      <c r="CI13" s="44"/>
      <c r="CJ13" s="230"/>
      <c r="CK13" s="227"/>
      <c r="CN13" s="27"/>
      <c r="CO13" s="230"/>
      <c r="CP13" s="230"/>
      <c r="CQ13" s="44"/>
      <c r="CR13" s="230"/>
      <c r="CS13" s="227"/>
      <c r="CT13" s="26"/>
      <c r="CU13" s="27"/>
      <c r="CV13" s="230"/>
      <c r="CW13" s="230"/>
      <c r="CX13" s="44"/>
      <c r="CY13" s="230"/>
      <c r="CZ13" s="227"/>
      <c r="DC13" s="27"/>
      <c r="DD13" s="230"/>
      <c r="DE13" s="230"/>
      <c r="DF13" s="44"/>
      <c r="DG13" s="230"/>
      <c r="DH13" s="227"/>
      <c r="DI13" s="26"/>
      <c r="DJ13" s="27"/>
      <c r="DK13" s="230"/>
      <c r="DL13" s="230"/>
      <c r="DM13" s="44"/>
      <c r="DN13" s="230"/>
      <c r="DO13" s="227"/>
      <c r="DR13" s="27"/>
      <c r="DS13" s="230"/>
      <c r="DT13" s="230"/>
      <c r="DU13" s="44"/>
      <c r="DV13" s="230"/>
      <c r="DW13" s="227"/>
      <c r="DX13" s="26"/>
      <c r="DY13" s="27"/>
      <c r="DZ13" s="230"/>
      <c r="EA13" s="230"/>
      <c r="EB13" s="44"/>
      <c r="EC13" s="230"/>
      <c r="ED13" s="227"/>
      <c r="EG13" s="27"/>
      <c r="EH13" s="230"/>
      <c r="EI13" s="230"/>
      <c r="EJ13" s="44"/>
      <c r="EK13" s="230"/>
      <c r="EL13" s="227"/>
      <c r="EM13" s="26"/>
      <c r="EN13" s="27"/>
      <c r="EO13" s="230"/>
      <c r="EP13" s="230"/>
      <c r="EQ13" s="44"/>
      <c r="ER13" s="230"/>
      <c r="ES13" s="227"/>
    </row>
    <row r="14" spans="1:150" s="32" customFormat="1" x14ac:dyDescent="0.55000000000000004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 x14ac:dyDescent="0.45">
      <c r="B15" s="233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7"/>
      <c r="D15" s="233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7"/>
      <c r="F15" s="226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7"/>
      <c r="I15" s="233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7"/>
      <c r="K15" s="233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7"/>
      <c r="M15" s="226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7"/>
      <c r="Q15" s="233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7"/>
      <c r="S15" s="233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7"/>
      <c r="U15" s="226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7"/>
      <c r="X15" s="233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7"/>
      <c r="Z15" s="233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7"/>
      <c r="AB15" s="226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7"/>
      <c r="AF15" s="233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7"/>
      <c r="AH15" s="233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7"/>
      <c r="AJ15" s="226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7"/>
      <c r="AM15" s="233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7"/>
      <c r="AO15" s="233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7"/>
      <c r="AQ15" s="226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7"/>
      <c r="AU15" s="233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7"/>
      <c r="AW15" s="233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7"/>
      <c r="AY15" s="226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7"/>
      <c r="BB15" s="233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7"/>
      <c r="BD15" s="233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7"/>
      <c r="BF15" s="226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7"/>
      <c r="BJ15" s="233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7"/>
      <c r="BL15" s="233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7"/>
      <c r="BN15" s="226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7"/>
      <c r="BQ15" s="233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7"/>
      <c r="BS15" s="233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7"/>
      <c r="BU15" s="226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7"/>
      <c r="BY15" s="233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7"/>
      <c r="CA15" s="233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7"/>
      <c r="CC15" s="226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7"/>
      <c r="CF15" s="233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7"/>
      <c r="CH15" s="233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7"/>
      <c r="CJ15" s="226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7"/>
      <c r="CN15" s="233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7"/>
      <c r="CP15" s="233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7"/>
      <c r="CR15" s="226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7"/>
      <c r="CU15" s="233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7"/>
      <c r="CW15" s="233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7"/>
      <c r="CY15" s="226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7"/>
      <c r="DC15" s="233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7"/>
      <c r="DE15" s="233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7"/>
      <c r="DG15" s="226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7"/>
      <c r="DJ15" s="233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7"/>
      <c r="DL15" s="233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7"/>
      <c r="DN15" s="226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7"/>
      <c r="DR15" s="233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7"/>
      <c r="DT15" s="233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7"/>
      <c r="DV15" s="226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7"/>
      <c r="DY15" s="233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7"/>
      <c r="EA15" s="233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7"/>
      <c r="EC15" s="226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7"/>
      <c r="EG15" s="233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7"/>
      <c r="EI15" s="233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7"/>
      <c r="EK15" s="226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7"/>
      <c r="EN15" s="233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7"/>
      <c r="EP15" s="233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7"/>
      <c r="ER15" s="226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7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24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25"/>
      <c r="E17" s="225"/>
      <c r="F17" s="225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24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25"/>
      <c r="L17" s="225"/>
      <c r="M17" s="225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24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25"/>
      <c r="T17" s="225"/>
      <c r="U17" s="225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24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25"/>
      <c r="AA17" s="225"/>
      <c r="AB17" s="225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24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25"/>
      <c r="AI17" s="225"/>
      <c r="AJ17" s="225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24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25"/>
      <c r="AP17" s="225"/>
      <c r="AQ17" s="225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24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25"/>
      <c r="AX17" s="225"/>
      <c r="AY17" s="225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24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25"/>
      <c r="BE17" s="225"/>
      <c r="BF17" s="225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24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25"/>
      <c r="BM17" s="225"/>
      <c r="BN17" s="225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24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25"/>
      <c r="BT17" s="225"/>
      <c r="BU17" s="225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24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25"/>
      <c r="CB17" s="225"/>
      <c r="CC17" s="225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24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25"/>
      <c r="CI17" s="225"/>
      <c r="CJ17" s="225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24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25"/>
      <c r="CQ17" s="225"/>
      <c r="CR17" s="225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24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25"/>
      <c r="CX17" s="225"/>
      <c r="CY17" s="225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24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25"/>
      <c r="DF17" s="225"/>
      <c r="DG17" s="225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24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25"/>
      <c r="DM17" s="225"/>
      <c r="DN17" s="225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24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25"/>
      <c r="DU17" s="225"/>
      <c r="DV17" s="225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24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25"/>
      <c r="EB17" s="225"/>
      <c r="EC17" s="225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24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25"/>
      <c r="EJ17" s="225"/>
      <c r="EK17" s="225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24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25"/>
      <c r="EQ17" s="225"/>
      <c r="ER17" s="225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 x14ac:dyDescent="0.55000000000000004">
      <c r="A18" s="31"/>
      <c r="B18" s="197"/>
      <c r="C18" s="47" t="str" cm="1">
        <f t="array" aca="1" ref="C18" ca="1">IF(AND(C17&lt;&gt;"",ISERROR(FIND("社食",C17))),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 cm="1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 cm="1">
        <f t="array" aca="1" ref="J18" ca="1">IF(AND(J17&lt;&gt;"",ISERROR(FIND("社食",J17))),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 cm="1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 cm="1">
        <f t="array" aca="1" ref="R18" ca="1">IF(AND(R17&lt;&gt;"",ISERROR(FIND("社食",R17))),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 cm="1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 cm="1">
        <f t="array" aca="1" ref="Y18" ca="1">IF(AND(Y17&lt;&gt;"",ISERROR(FIND("社食",Y17))),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 cm="1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 cm="1">
        <f t="array" aca="1" ref="AG18" ca="1">IF(AND(AG17&lt;&gt;"",ISERROR(FIND("社食",AG17))),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 cm="1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 cm="1">
        <f t="array" aca="1" ref="AN18" ca="1">IF(AND(AN17&lt;&gt;"",ISERROR(FIND("社食",AN17))),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 cm="1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 cm="1">
        <f t="array" aca="1" ref="AV18" ca="1">IF(AND(AV17&lt;&gt;"",ISERROR(FIND("社食",AV17))),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 cm="1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 cm="1">
        <f t="array" aca="1" ref="BC18" ca="1">IF(AND(BC17&lt;&gt;"",ISERROR(FIND("社食",BC17))),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 cm="1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 cm="1">
        <f t="array" aca="1" ref="BK18" ca="1">IF(AND(BK17&lt;&gt;"",ISERROR(FIND("社食",BK17))),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 cm="1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 cm="1">
        <f t="array" aca="1" ref="BR18" ca="1">IF(AND(BR17&lt;&gt;"",ISERROR(FIND("社食",BR17))),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 cm="1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 cm="1">
        <f t="array" aca="1" ref="BZ18" ca="1">IF(AND(BZ17&lt;&gt;"",ISERROR(FIND("社食",BZ17))),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 cm="1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 cm="1">
        <f t="array" aca="1" ref="CG18" ca="1">IF(AND(CG17&lt;&gt;"",ISERROR(FIND("社食",CG17))),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 cm="1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 cm="1">
        <f t="array" aca="1" ref="CO18" ca="1">IF(AND(CO17&lt;&gt;"",ISERROR(FIND("社食",CO17))),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 cm="1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 cm="1">
        <f t="array" aca="1" ref="CV18" ca="1">IF(AND(CV17&lt;&gt;"",ISERROR(FIND("社食",CV17))),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 cm="1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 cm="1">
        <f t="array" aca="1" ref="DD18" ca="1">IF(AND(DD17&lt;&gt;"",ISERROR(FIND("社食",DD17))),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 cm="1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 cm="1">
        <f t="array" aca="1" ref="DK18" ca="1">IF(AND(DK17&lt;&gt;"",ISERROR(FIND("社食",DK17))),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 cm="1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 cm="1">
        <f t="array" aca="1" ref="DS18" ca="1">IF(AND(DS17&lt;&gt;"",ISERROR(FIND("社食",DS17))),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 cm="1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 cm="1">
        <f t="array" aca="1" ref="DZ18" ca="1">IF(AND(DZ17&lt;&gt;"",ISERROR(FIND("社食",DZ17))),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 cm="1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 cm="1">
        <f t="array" aca="1" ref="EH18" ca="1">IF(AND(EH17&lt;&gt;"",ISERROR(FIND("社食",EH17))),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 cm="1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 cm="1">
        <f t="array" aca="1" ref="EO18" ca="1">IF(AND(EO17&lt;&gt;"",ISERROR(FIND("社食",EO17))),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 cm="1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 x14ac:dyDescent="0.55000000000000004">
      <c r="A19" s="31"/>
      <c r="B19" s="34"/>
      <c r="C19" s="222" t="str" cm="1">
        <f t="array" aca="1" ref="C19" ca="1">IF(AND(C17&lt;&gt;"",ISERROR(FIND("社食",C17))),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23"/>
      <c r="E19" s="22"/>
      <c r="F19" s="32" t="str" cm="1">
        <f t="array" aca="1" ref="F19" ca="1">IF(AND(C17&lt;&gt;"",ISERROR(FIND("社食",C17))),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22" t="str" cm="1">
        <f t="array" aca="1" ref="J19" ca="1">IF(AND(C17&lt;&gt;"",ISERROR(FIND("社食",C17))),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23"/>
      <c r="L19" s="22"/>
      <c r="M19" s="32" t="str" cm="1">
        <f t="array" aca="1" ref="M19" ca="1">IF(AND(C17&lt;&gt;"",ISERROR(FIND("社食",C17))),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22" t="str" cm="1">
        <f t="array" aca="1" ref="R19" ca="1">IF(AND(R17&lt;&gt;"",ISERROR(FIND("社食",R17))),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23"/>
      <c r="T19" s="22"/>
      <c r="U19" s="32" t="str" cm="1">
        <f t="array" aca="1" ref="U19" ca="1">IF(AND(R17&lt;&gt;"",ISERROR(FIND("社食",R17))),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22" t="str" cm="1">
        <f t="array" aca="1" ref="Y19" ca="1">IF(AND(R17&lt;&gt;"",ISERROR(FIND("社食",R17))),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23"/>
      <c r="AA19" s="22"/>
      <c r="AB19" s="32" t="str" cm="1">
        <f t="array" aca="1" ref="AB19" ca="1">IF(AND(R17&lt;&gt;"",ISERROR(FIND("社食",R17))),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22" t="str" cm="1">
        <f t="array" aca="1" ref="AG19" ca="1">IF(AND(AG17&lt;&gt;"",ISERROR(FIND("社食",AG17))),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23"/>
      <c r="AI19" s="22"/>
      <c r="AJ19" s="32" t="str" cm="1">
        <f t="array" aca="1" ref="AJ19" ca="1">IF(AND(AG17&lt;&gt;"",ISERROR(FIND("社食",AG17))),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22" t="str" cm="1">
        <f t="array" aca="1" ref="AN19" ca="1">IF(AND(AG17&lt;&gt;"",ISERROR(FIND("社食",AG17))),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23"/>
      <c r="AP19" s="22"/>
      <c r="AQ19" s="32" t="str" cm="1">
        <f t="array" aca="1" ref="AQ19" ca="1">IF(AND(AG17&lt;&gt;"",ISERROR(FIND("社食",AG17))),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22" t="str" cm="1">
        <f t="array" aca="1" ref="AV19" ca="1">IF(AND(AV17&lt;&gt;"",ISERROR(FIND("社食",AV17))),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23"/>
      <c r="AX19" s="22"/>
      <c r="AY19" s="32" t="str" cm="1">
        <f t="array" aca="1" ref="AY19" ca="1">IF(AND(AV17&lt;&gt;"",ISERROR(FIND("社食",AV17))),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22" t="str" cm="1">
        <f t="array" aca="1" ref="BC19" ca="1">IF(AND(AV17&lt;&gt;"",ISERROR(FIND("社食",AV17))),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23"/>
      <c r="BE19" s="22"/>
      <c r="BF19" s="32" t="str" cm="1">
        <f t="array" aca="1" ref="BF19" ca="1">IF(AND(AV17&lt;&gt;"",ISERROR(FIND("社食",AV17))),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22" t="str" cm="1">
        <f t="array" aca="1" ref="BK19" ca="1">IF(AND(BK17&lt;&gt;"",ISERROR(FIND("社食",BK17))),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23"/>
      <c r="BM19" s="22"/>
      <c r="BN19" s="32" t="str" cm="1">
        <f t="array" aca="1" ref="BN19" ca="1">IF(AND(BK17&lt;&gt;"",ISERROR(FIND("社食",BK17))),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22" t="str" cm="1">
        <f t="array" aca="1" ref="BR19" ca="1">IF(AND(BK17&lt;&gt;"",ISERROR(FIND("社食",BK17))),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23"/>
      <c r="BT19" s="22"/>
      <c r="BU19" s="32" t="str" cm="1">
        <f t="array" aca="1" ref="BU19" ca="1">IF(AND(BK17&lt;&gt;"",ISERROR(FIND("社食",BK17))),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22" t="str" cm="1">
        <f t="array" aca="1" ref="BZ19" ca="1">IF(AND(BZ17&lt;&gt;"",ISERROR(FIND("社食",BZ17))),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23"/>
      <c r="CB19" s="22"/>
      <c r="CC19" s="32" t="str" cm="1">
        <f t="array" aca="1" ref="CC19" ca="1">IF(AND(BZ17&lt;&gt;"",ISERROR(FIND("社食",BZ17))),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22" t="str" cm="1">
        <f t="array" aca="1" ref="CG19" ca="1">IF(AND(BZ17&lt;&gt;"",ISERROR(FIND("社食",BZ17))),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23"/>
      <c r="CI19" s="22"/>
      <c r="CJ19" s="32" t="str" cm="1">
        <f t="array" aca="1" ref="CJ19" ca="1">IF(AND(BZ17&lt;&gt;"",ISERROR(FIND("社食",BZ17))),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22" t="str" cm="1">
        <f t="array" aca="1" ref="CO19" ca="1">IF(AND(CO17&lt;&gt;"",ISERROR(FIND("社食",CO17))),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23"/>
      <c r="CQ19" s="22"/>
      <c r="CR19" s="32" t="str" cm="1">
        <f t="array" aca="1" ref="CR19" ca="1">IF(AND(CO17&lt;&gt;"",ISERROR(FIND("社食",CO17))),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22" t="str" cm="1">
        <f t="array" aca="1" ref="CV19" ca="1">IF(AND(CO17&lt;&gt;"",ISERROR(FIND("社食",CO17))),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23"/>
      <c r="CX19" s="22"/>
      <c r="CY19" s="32" t="str" cm="1">
        <f t="array" aca="1" ref="CY19" ca="1">IF(AND(CO17&lt;&gt;"",ISERROR(FIND("社食",CO17))),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22" t="str" cm="1">
        <f t="array" aca="1" ref="DD19" ca="1">IF(AND(DD17&lt;&gt;"",ISERROR(FIND("社食",DD17))),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23"/>
      <c r="DF19" s="22"/>
      <c r="DG19" s="32" t="str" cm="1">
        <f t="array" aca="1" ref="DG19" ca="1">IF(AND(DD17&lt;&gt;"",ISERROR(FIND("社食",DD17))),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22" t="str" cm="1">
        <f t="array" aca="1" ref="DK19" ca="1">IF(AND(DD17&lt;&gt;"",ISERROR(FIND("社食",DD17))),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23"/>
      <c r="DM19" s="22"/>
      <c r="DN19" s="32" t="str" cm="1">
        <f t="array" aca="1" ref="DN19" ca="1">IF(AND(DD17&lt;&gt;"",ISERROR(FIND("社食",DD17))),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22" t="str" cm="1">
        <f t="array" aca="1" ref="DS19" ca="1">IF(AND(DS17&lt;&gt;"",ISERROR(FIND("社食",DS17))),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23"/>
      <c r="DU19" s="22"/>
      <c r="DV19" s="32" t="str" cm="1">
        <f t="array" aca="1" ref="DV19" ca="1">IF(AND(DS17&lt;&gt;"",ISERROR(FIND("社食",DS17))),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22" t="str" cm="1">
        <f t="array" aca="1" ref="DZ19" ca="1">IF(AND(DS17&lt;&gt;"",ISERROR(FIND("社食",DS17))),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23"/>
      <c r="EB19" s="22"/>
      <c r="EC19" s="32" t="str" cm="1">
        <f t="array" aca="1" ref="EC19" ca="1">IF(AND(DS17&lt;&gt;"",ISERROR(FIND("社食",DS17))),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22" t="str" cm="1">
        <f t="array" aca="1" ref="EH19" ca="1">IF(AND(EH17&lt;&gt;"",ISERROR(FIND("社食",EH17))),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23"/>
      <c r="EJ19" s="22"/>
      <c r="EK19" s="32" t="str" cm="1">
        <f t="array" aca="1" ref="EK19" ca="1">IF(AND(EH17&lt;&gt;"",ISERROR(FIND("社食",EH17))),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22" t="str" cm="1">
        <f t="array" aca="1" ref="EO19" ca="1">IF(AND(EH17&lt;&gt;"",ISERROR(FIND("社食",EH17))),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23"/>
      <c r="EQ19" s="22"/>
      <c r="ER19" s="32" t="str" cm="1">
        <f t="array" aca="1" ref="ER19" ca="1">IF(AND(EH17&lt;&gt;"",ISERROR(FIND("社食",EH17))),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 x14ac:dyDescent="1.05">
      <c r="B20" s="25"/>
      <c r="C20" s="228" t="e">
        <f t="array" aca="1" ref="C20" ca="1">IF(C17&lt;&gt;"",INDIRECT("'盛付札（関数）'!W"&amp;A17),"")</f>
        <v>#N/A</v>
      </c>
      <c r="D20" s="229"/>
      <c r="E20" s="50"/>
      <c r="F20" s="231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32"/>
      <c r="H20" s="26"/>
      <c r="I20" s="25"/>
      <c r="J20" s="228" t="e">
        <f t="array" aca="1" ref="J20" ca="1">IF(J17&lt;&gt;"",INDIRECT("'盛付札（関数）'!W"&amp;H17),"")</f>
        <v>#N/A</v>
      </c>
      <c r="K20" s="229"/>
      <c r="L20" s="50"/>
      <c r="M20" s="231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32"/>
      <c r="Q20" s="25"/>
      <c r="R20" s="228" t="str">
        <f t="array" aca="1" ref="R20" ca="1">IF(R17&lt;&gt;"",INDIRECT("'盛付札（関数）'!W"&amp;P17),"")</f>
        <v/>
      </c>
      <c r="S20" s="229"/>
      <c r="T20" s="50"/>
      <c r="U20" s="231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32"/>
      <c r="W20" s="26"/>
      <c r="X20" s="25"/>
      <c r="Y20" s="228" t="str">
        <f t="array" aca="1" ref="Y20" ca="1">IF(Y17&lt;&gt;"",INDIRECT("'盛付札（関数）'!W"&amp;W17),"")</f>
        <v/>
      </c>
      <c r="Z20" s="229"/>
      <c r="AA20" s="50"/>
      <c r="AB20" s="231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32"/>
      <c r="AF20" s="25"/>
      <c r="AG20" s="228" t="str">
        <f t="array" aca="1" ref="AG20" ca="1">IF(AG17&lt;&gt;"",INDIRECT("'盛付札（関数）'!W"&amp;AE17),"")</f>
        <v/>
      </c>
      <c r="AH20" s="229"/>
      <c r="AI20" s="50"/>
      <c r="AJ20" s="231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32"/>
      <c r="AL20" s="26"/>
      <c r="AM20" s="25"/>
      <c r="AN20" s="228" t="str">
        <f t="array" aca="1" ref="AN20" ca="1">IF(AN17&lt;&gt;"",INDIRECT("'盛付札（関数）'!W"&amp;AL17),"")</f>
        <v/>
      </c>
      <c r="AO20" s="229"/>
      <c r="AP20" s="50"/>
      <c r="AQ20" s="231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32"/>
      <c r="AU20" s="25"/>
      <c r="AV20" s="228" t="str">
        <f t="array" aca="1" ref="AV20" ca="1">IF(AV17&lt;&gt;"",INDIRECT("'盛付札（関数）'!W"&amp;AT17),"")</f>
        <v/>
      </c>
      <c r="AW20" s="229"/>
      <c r="AX20" s="50"/>
      <c r="AY20" s="231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32"/>
      <c r="BA20" s="26"/>
      <c r="BB20" s="25"/>
      <c r="BC20" s="228" t="str">
        <f t="array" aca="1" ref="BC20" ca="1">IF(BC17&lt;&gt;"",INDIRECT("'盛付札（関数）'!W"&amp;BA17),"")</f>
        <v/>
      </c>
      <c r="BD20" s="229"/>
      <c r="BE20" s="50"/>
      <c r="BF20" s="231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32"/>
      <c r="BJ20" s="25"/>
      <c r="BK20" s="228" t="str">
        <f t="array" aca="1" ref="BK20" ca="1">IF(BK17&lt;&gt;"",INDIRECT("'盛付札（関数）'!W"&amp;BI17),"")</f>
        <v/>
      </c>
      <c r="BL20" s="229"/>
      <c r="BM20" s="50"/>
      <c r="BN20" s="231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32"/>
      <c r="BP20" s="26"/>
      <c r="BQ20" s="25"/>
      <c r="BR20" s="228" t="str">
        <f t="array" aca="1" ref="BR20" ca="1">IF(BR17&lt;&gt;"",INDIRECT("'盛付札（関数）'!W"&amp;BP17),"")</f>
        <v/>
      </c>
      <c r="BS20" s="229"/>
      <c r="BT20" s="50"/>
      <c r="BU20" s="231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32"/>
      <c r="BY20" s="25"/>
      <c r="BZ20" s="228" t="str">
        <f t="array" aca="1" ref="BZ20" ca="1">IF(BZ17&lt;&gt;"",INDIRECT("'盛付札（関数）'!W"&amp;BX17),"")</f>
        <v/>
      </c>
      <c r="CA20" s="229"/>
      <c r="CB20" s="50"/>
      <c r="CC20" s="231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32"/>
      <c r="CE20" s="26"/>
      <c r="CF20" s="25"/>
      <c r="CG20" s="228" t="str">
        <f t="array" aca="1" ref="CG20" ca="1">IF(CG17&lt;&gt;"",INDIRECT("'盛付札（関数）'!W"&amp;CE17),"")</f>
        <v/>
      </c>
      <c r="CH20" s="229"/>
      <c r="CI20" s="50"/>
      <c r="CJ20" s="231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32"/>
      <c r="CN20" s="25"/>
      <c r="CO20" s="228" t="str">
        <f t="array" aca="1" ref="CO20" ca="1">IF(CO17&lt;&gt;"",INDIRECT("'盛付札（関数）'!W"&amp;CM17),"")</f>
        <v/>
      </c>
      <c r="CP20" s="229"/>
      <c r="CQ20" s="50"/>
      <c r="CR20" s="231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32"/>
      <c r="CT20" s="26"/>
      <c r="CU20" s="25"/>
      <c r="CV20" s="228" t="str">
        <f t="array" aca="1" ref="CV20" ca="1">IF(CV17&lt;&gt;"",INDIRECT("'盛付札（関数）'!W"&amp;CT17),"")</f>
        <v/>
      </c>
      <c r="CW20" s="229"/>
      <c r="CX20" s="50"/>
      <c r="CY20" s="231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32"/>
      <c r="DC20" s="25"/>
      <c r="DD20" s="228" t="str">
        <f t="array" aca="1" ref="DD20" ca="1">IF(DD17&lt;&gt;"",INDIRECT("'盛付札（関数）'!W"&amp;DB17),"")</f>
        <v/>
      </c>
      <c r="DE20" s="229"/>
      <c r="DF20" s="50"/>
      <c r="DG20" s="231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32"/>
      <c r="DI20" s="26"/>
      <c r="DJ20" s="25"/>
      <c r="DK20" s="228" t="str">
        <f t="array" aca="1" ref="DK20" ca="1">IF(DK17&lt;&gt;"",INDIRECT("'盛付札（関数）'!W"&amp;DI17),"")</f>
        <v/>
      </c>
      <c r="DL20" s="229"/>
      <c r="DM20" s="50"/>
      <c r="DN20" s="231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32"/>
      <c r="DR20" s="25"/>
      <c r="DS20" s="228" t="str">
        <f t="array" aca="1" ref="DS20" ca="1">IF(DS17&lt;&gt;"",INDIRECT("'盛付札（関数）'!W"&amp;DQ17),"")</f>
        <v/>
      </c>
      <c r="DT20" s="229"/>
      <c r="DU20" s="50"/>
      <c r="DV20" s="231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32"/>
      <c r="DX20" s="26"/>
      <c r="DY20" s="25"/>
      <c r="DZ20" s="228" t="str">
        <f t="array" aca="1" ref="DZ20" ca="1">IF(DZ17&lt;&gt;"",INDIRECT("'盛付札（関数）'!W"&amp;DX17),"")</f>
        <v/>
      </c>
      <c r="EA20" s="229"/>
      <c r="EB20" s="50"/>
      <c r="EC20" s="231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32"/>
      <c r="EG20" s="25"/>
      <c r="EH20" s="228" t="str">
        <f t="array" aca="1" ref="EH20" ca="1">IF(EH17&lt;&gt;"",INDIRECT("'盛付札（関数）'!W"&amp;EF17),"")</f>
        <v/>
      </c>
      <c r="EI20" s="229"/>
      <c r="EJ20" s="50"/>
      <c r="EK20" s="231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32"/>
      <c r="EM20" s="26"/>
      <c r="EN20" s="25"/>
      <c r="EO20" s="228" t="str">
        <f t="array" aca="1" ref="EO20" ca="1">IF(EO17&lt;&gt;"",INDIRECT("'盛付札（関数）'!W"&amp;EM17),"")</f>
        <v/>
      </c>
      <c r="EP20" s="229"/>
      <c r="EQ20" s="50"/>
      <c r="ER20" s="231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32"/>
    </row>
    <row r="21" spans="1:150" ht="15.6" customHeight="1" x14ac:dyDescent="0.45">
      <c r="B21" s="27"/>
      <c r="C21" s="230"/>
      <c r="D21" s="230"/>
      <c r="E21" s="44"/>
      <c r="F21" s="230"/>
      <c r="G21" s="227"/>
      <c r="H21" s="26"/>
      <c r="I21" s="27"/>
      <c r="J21" s="230"/>
      <c r="K21" s="230"/>
      <c r="L21" s="44"/>
      <c r="M21" s="230"/>
      <c r="N21" s="227"/>
      <c r="Q21" s="27"/>
      <c r="R21" s="230"/>
      <c r="S21" s="230"/>
      <c r="T21" s="44"/>
      <c r="U21" s="230"/>
      <c r="V21" s="227"/>
      <c r="W21" s="26"/>
      <c r="X21" s="27"/>
      <c r="Y21" s="230"/>
      <c r="Z21" s="230"/>
      <c r="AA21" s="44"/>
      <c r="AB21" s="230"/>
      <c r="AC21" s="227"/>
      <c r="AF21" s="27"/>
      <c r="AG21" s="230"/>
      <c r="AH21" s="230"/>
      <c r="AI21" s="44"/>
      <c r="AJ21" s="230"/>
      <c r="AK21" s="227"/>
      <c r="AL21" s="26"/>
      <c r="AM21" s="27"/>
      <c r="AN21" s="230"/>
      <c r="AO21" s="230"/>
      <c r="AP21" s="44"/>
      <c r="AQ21" s="230"/>
      <c r="AR21" s="227"/>
      <c r="AU21" s="27"/>
      <c r="AV21" s="230"/>
      <c r="AW21" s="230"/>
      <c r="AX21" s="44"/>
      <c r="AY21" s="230"/>
      <c r="AZ21" s="227"/>
      <c r="BA21" s="26"/>
      <c r="BB21" s="27"/>
      <c r="BC21" s="230"/>
      <c r="BD21" s="230"/>
      <c r="BE21" s="44"/>
      <c r="BF21" s="230"/>
      <c r="BG21" s="227"/>
      <c r="BJ21" s="27"/>
      <c r="BK21" s="230"/>
      <c r="BL21" s="230"/>
      <c r="BM21" s="44"/>
      <c r="BN21" s="230"/>
      <c r="BO21" s="227"/>
      <c r="BP21" s="26"/>
      <c r="BQ21" s="27"/>
      <c r="BR21" s="230"/>
      <c r="BS21" s="230"/>
      <c r="BT21" s="44"/>
      <c r="BU21" s="230"/>
      <c r="BV21" s="227"/>
      <c r="BY21" s="27"/>
      <c r="BZ21" s="230"/>
      <c r="CA21" s="230"/>
      <c r="CB21" s="44"/>
      <c r="CC21" s="230"/>
      <c r="CD21" s="227"/>
      <c r="CE21" s="26"/>
      <c r="CF21" s="27"/>
      <c r="CG21" s="230"/>
      <c r="CH21" s="230"/>
      <c r="CI21" s="44"/>
      <c r="CJ21" s="230"/>
      <c r="CK21" s="227"/>
      <c r="CN21" s="27"/>
      <c r="CO21" s="230"/>
      <c r="CP21" s="230"/>
      <c r="CQ21" s="44"/>
      <c r="CR21" s="230"/>
      <c r="CS21" s="227"/>
      <c r="CT21" s="26"/>
      <c r="CU21" s="27"/>
      <c r="CV21" s="230"/>
      <c r="CW21" s="230"/>
      <c r="CX21" s="44"/>
      <c r="CY21" s="230"/>
      <c r="CZ21" s="227"/>
      <c r="DC21" s="27"/>
      <c r="DD21" s="230"/>
      <c r="DE21" s="230"/>
      <c r="DF21" s="44"/>
      <c r="DG21" s="230"/>
      <c r="DH21" s="227"/>
      <c r="DI21" s="26"/>
      <c r="DJ21" s="27"/>
      <c r="DK21" s="230"/>
      <c r="DL21" s="230"/>
      <c r="DM21" s="44"/>
      <c r="DN21" s="230"/>
      <c r="DO21" s="227"/>
      <c r="DR21" s="27"/>
      <c r="DS21" s="230"/>
      <c r="DT21" s="230"/>
      <c r="DU21" s="44"/>
      <c r="DV21" s="230"/>
      <c r="DW21" s="227"/>
      <c r="DX21" s="26"/>
      <c r="DY21" s="27"/>
      <c r="DZ21" s="230"/>
      <c r="EA21" s="230"/>
      <c r="EB21" s="44"/>
      <c r="EC21" s="230"/>
      <c r="ED21" s="227"/>
      <c r="EG21" s="27"/>
      <c r="EH21" s="230"/>
      <c r="EI21" s="230"/>
      <c r="EJ21" s="44"/>
      <c r="EK21" s="230"/>
      <c r="EL21" s="227"/>
      <c r="EM21" s="26"/>
      <c r="EN21" s="27"/>
      <c r="EO21" s="230"/>
      <c r="EP21" s="230"/>
      <c r="EQ21" s="44"/>
      <c r="ER21" s="230"/>
      <c r="ES21" s="227"/>
    </row>
    <row r="22" spans="1:150" s="32" customFormat="1" x14ac:dyDescent="0.55000000000000004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 x14ac:dyDescent="0.45">
      <c r="B23" s="233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7"/>
      <c r="D23" s="233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7"/>
      <c r="F23" s="226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7"/>
      <c r="I23" s="233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7"/>
      <c r="K23" s="233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7"/>
      <c r="M23" s="226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7"/>
      <c r="Q23" s="233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7"/>
      <c r="S23" s="233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7"/>
      <c r="U23" s="226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7"/>
      <c r="X23" s="233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7"/>
      <c r="Z23" s="233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7"/>
      <c r="AB23" s="226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7"/>
      <c r="AF23" s="233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7"/>
      <c r="AH23" s="233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7"/>
      <c r="AJ23" s="226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7"/>
      <c r="AM23" s="233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7"/>
      <c r="AO23" s="233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7"/>
      <c r="AQ23" s="226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7"/>
      <c r="AU23" s="233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7"/>
      <c r="AW23" s="233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7"/>
      <c r="AY23" s="226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7"/>
      <c r="BB23" s="233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7"/>
      <c r="BD23" s="233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7"/>
      <c r="BF23" s="226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7"/>
      <c r="BJ23" s="233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7"/>
      <c r="BL23" s="233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7"/>
      <c r="BN23" s="226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7"/>
      <c r="BQ23" s="233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7"/>
      <c r="BS23" s="233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7"/>
      <c r="BU23" s="226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7"/>
      <c r="BY23" s="233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7"/>
      <c r="CA23" s="233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7"/>
      <c r="CC23" s="226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7"/>
      <c r="CF23" s="233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7"/>
      <c r="CH23" s="233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7"/>
      <c r="CJ23" s="226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7"/>
      <c r="CN23" s="233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7"/>
      <c r="CP23" s="233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7"/>
      <c r="CR23" s="226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7"/>
      <c r="CU23" s="233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7"/>
      <c r="CW23" s="233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7"/>
      <c r="CY23" s="226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7"/>
      <c r="DC23" s="233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7"/>
      <c r="DE23" s="233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7"/>
      <c r="DG23" s="226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7"/>
      <c r="DJ23" s="233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7"/>
      <c r="DL23" s="233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7"/>
      <c r="DN23" s="226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7"/>
      <c r="DR23" s="233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7"/>
      <c r="DT23" s="233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7"/>
      <c r="DV23" s="226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7"/>
      <c r="DY23" s="233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7"/>
      <c r="EA23" s="233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7"/>
      <c r="EC23" s="226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7"/>
      <c r="EG23" s="233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7"/>
      <c r="EI23" s="233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7"/>
      <c r="EK23" s="226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7"/>
      <c r="EN23" s="233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7"/>
      <c r="EP23" s="233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7"/>
      <c r="ER23" s="226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7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24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25"/>
      <c r="E25" s="225"/>
      <c r="F25" s="225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24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25"/>
      <c r="L25" s="225"/>
      <c r="M25" s="225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24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25"/>
      <c r="T25" s="225"/>
      <c r="U25" s="225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24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25"/>
      <c r="AA25" s="225"/>
      <c r="AB25" s="225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24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25"/>
      <c r="AI25" s="225"/>
      <c r="AJ25" s="225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24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25"/>
      <c r="AP25" s="225"/>
      <c r="AQ25" s="225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24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25"/>
      <c r="AX25" s="225"/>
      <c r="AY25" s="225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24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25"/>
      <c r="BE25" s="225"/>
      <c r="BF25" s="225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24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25"/>
      <c r="BM25" s="225"/>
      <c r="BN25" s="225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24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25"/>
      <c r="BT25" s="225"/>
      <c r="BU25" s="225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24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25"/>
      <c r="CB25" s="225"/>
      <c r="CC25" s="225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24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25"/>
      <c r="CI25" s="225"/>
      <c r="CJ25" s="225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24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25"/>
      <c r="CQ25" s="225"/>
      <c r="CR25" s="225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24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25"/>
      <c r="CX25" s="225"/>
      <c r="CY25" s="225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24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25"/>
      <c r="DF25" s="225"/>
      <c r="DG25" s="225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24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25"/>
      <c r="DM25" s="225"/>
      <c r="DN25" s="225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24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25"/>
      <c r="DU25" s="225"/>
      <c r="DV25" s="225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24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25"/>
      <c r="EB25" s="225"/>
      <c r="EC25" s="225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24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25"/>
      <c r="EJ25" s="225"/>
      <c r="EK25" s="225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24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25"/>
      <c r="EQ25" s="225"/>
      <c r="ER25" s="225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 x14ac:dyDescent="0.55000000000000004">
      <c r="A26" s="31"/>
      <c r="B26" s="197"/>
      <c r="C26" s="47" t="str" cm="1">
        <f t="array" aca="1" ref="C26" ca="1">IF(AND(C25&lt;&gt;"",ISERROR(FIND("社食",C25))),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 cm="1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 cm="1">
        <f t="array" aca="1" ref="J26" ca="1">IF(AND(J25&lt;&gt;"",ISERROR(FIND("社食",J25))),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 cm="1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 cm="1">
        <f t="array" aca="1" ref="R26" ca="1">IF(AND(R25&lt;&gt;"",ISERROR(FIND("社食",R25))),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 cm="1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 cm="1">
        <f t="array" aca="1" ref="Y26" ca="1">IF(AND(Y25&lt;&gt;"",ISERROR(FIND("社食",Y25))),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 cm="1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 cm="1">
        <f t="array" aca="1" ref="AG26" ca="1">IF(AND(AG25&lt;&gt;"",ISERROR(FIND("社食",AG25))),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 cm="1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 cm="1">
        <f t="array" aca="1" ref="AN26" ca="1">IF(AND(AN25&lt;&gt;"",ISERROR(FIND("社食",AN25))),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 cm="1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 cm="1">
        <f t="array" aca="1" ref="AV26" ca="1">IF(AND(AV25&lt;&gt;"",ISERROR(FIND("社食",AV25))),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 cm="1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 cm="1">
        <f t="array" aca="1" ref="BC26" ca="1">IF(AND(BC25&lt;&gt;"",ISERROR(FIND("社食",BC25))),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 cm="1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 cm="1">
        <f t="array" aca="1" ref="BK26" ca="1">IF(AND(BK25&lt;&gt;"",ISERROR(FIND("社食",BK25))),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 cm="1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 cm="1">
        <f t="array" aca="1" ref="BR26" ca="1">IF(AND(BR25&lt;&gt;"",ISERROR(FIND("社食",BR25))),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 cm="1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 cm="1">
        <f t="array" aca="1" ref="BZ26" ca="1">IF(AND(BZ25&lt;&gt;"",ISERROR(FIND("社食",BZ25))),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 cm="1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 cm="1">
        <f t="array" aca="1" ref="CG26" ca="1">IF(AND(CG25&lt;&gt;"",ISERROR(FIND("社食",CG25))),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 cm="1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 cm="1">
        <f t="array" aca="1" ref="CO26" ca="1">IF(AND(CO25&lt;&gt;"",ISERROR(FIND("社食",CO25))),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 cm="1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 cm="1">
        <f t="array" aca="1" ref="CV26" ca="1">IF(AND(CV25&lt;&gt;"",ISERROR(FIND("社食",CV25))),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 cm="1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 cm="1">
        <f t="array" aca="1" ref="DD26" ca="1">IF(AND(DD25&lt;&gt;"",ISERROR(FIND("社食",DD25))),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 cm="1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 cm="1">
        <f t="array" aca="1" ref="DK26" ca="1">IF(AND(DK25&lt;&gt;"",ISERROR(FIND("社食",DK25))),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 cm="1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 cm="1">
        <f t="array" aca="1" ref="DS26" ca="1">IF(AND(DS25&lt;&gt;"",ISERROR(FIND("社食",DS25))),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 cm="1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 cm="1">
        <f t="array" aca="1" ref="DZ26" ca="1">IF(AND(DZ25&lt;&gt;"",ISERROR(FIND("社食",DZ25))),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 cm="1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 cm="1">
        <f t="array" aca="1" ref="EH26" ca="1">IF(AND(EH25&lt;&gt;"",ISERROR(FIND("社食",EH25))),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 cm="1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 cm="1">
        <f t="array" aca="1" ref="EO26" ca="1">IF(AND(EO25&lt;&gt;"",ISERROR(FIND("社食",EO25))),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 cm="1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 x14ac:dyDescent="0.55000000000000004">
      <c r="A27" s="31"/>
      <c r="B27" s="34"/>
      <c r="C27" s="222" t="str" cm="1">
        <f t="array" aca="1" ref="C27" ca="1">IF(AND(C25&lt;&gt;"",ISERROR(FIND("社食",C25))),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23"/>
      <c r="E27" s="22"/>
      <c r="F27" s="32" t="str" cm="1">
        <f t="array" aca="1" ref="F27" ca="1">IF(AND(C25&lt;&gt;"",ISERROR(FIND("社食",C25))),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22" t="str" cm="1">
        <f t="array" aca="1" ref="J27" ca="1">IF(AND(C25&lt;&gt;"",ISERROR(FIND("社食",C25))),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23"/>
      <c r="L27" s="22"/>
      <c r="M27" s="32" t="str" cm="1">
        <f t="array" aca="1" ref="M27" ca="1">IF(AND(C25&lt;&gt;"",ISERROR(FIND("社食",C25))),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22" t="str" cm="1">
        <f t="array" aca="1" ref="R27" ca="1">IF(AND(R25&lt;&gt;"",ISERROR(FIND("社食",R25))),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23"/>
      <c r="T27" s="22"/>
      <c r="U27" s="32" t="str" cm="1">
        <f t="array" aca="1" ref="U27" ca="1">IF(AND(R25&lt;&gt;"",ISERROR(FIND("社食",R25))),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22" t="str" cm="1">
        <f t="array" aca="1" ref="Y27" ca="1">IF(AND(R25&lt;&gt;"",ISERROR(FIND("社食",R25))),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23"/>
      <c r="AA27" s="22"/>
      <c r="AB27" s="32" t="str" cm="1">
        <f t="array" aca="1" ref="AB27" ca="1">IF(AND(R25&lt;&gt;"",ISERROR(FIND("社食",R25))),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22" t="str" cm="1">
        <f t="array" aca="1" ref="AG27" ca="1">IF(AND(AG25&lt;&gt;"",ISERROR(FIND("社食",AG25))),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23"/>
      <c r="AI27" s="22"/>
      <c r="AJ27" s="32" t="str" cm="1">
        <f t="array" aca="1" ref="AJ27" ca="1">IF(AND(AG25&lt;&gt;"",ISERROR(FIND("社食",AG25))),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22" t="str" cm="1">
        <f t="array" aca="1" ref="AN27" ca="1">IF(AND(AG25&lt;&gt;"",ISERROR(FIND("社食",AG25))),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23"/>
      <c r="AP27" s="22"/>
      <c r="AQ27" s="32" t="str" cm="1">
        <f t="array" aca="1" ref="AQ27" ca="1">IF(AND(AG25&lt;&gt;"",ISERROR(FIND("社食",AG25))),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22" t="str" cm="1">
        <f t="array" aca="1" ref="AV27" ca="1">IF(AND(AV25&lt;&gt;"",ISERROR(FIND("社食",AV25))),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23"/>
      <c r="AX27" s="22"/>
      <c r="AY27" s="32" t="str" cm="1">
        <f t="array" aca="1" ref="AY27" ca="1">IF(AND(AV25&lt;&gt;"",ISERROR(FIND("社食",AV25))),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22" t="str" cm="1">
        <f t="array" aca="1" ref="BC27" ca="1">IF(AND(AV25&lt;&gt;"",ISERROR(FIND("社食",AV25))),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23"/>
      <c r="BE27" s="22"/>
      <c r="BF27" s="32" t="str" cm="1">
        <f t="array" aca="1" ref="BF27" ca="1">IF(AND(AV25&lt;&gt;"",ISERROR(FIND("社食",AV25))),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22" t="str" cm="1">
        <f t="array" aca="1" ref="BK27" ca="1">IF(AND(BK25&lt;&gt;"",ISERROR(FIND("社食",BK25))),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23"/>
      <c r="BM27" s="22"/>
      <c r="BN27" s="32" t="str" cm="1">
        <f t="array" aca="1" ref="BN27" ca="1">IF(AND(BK25&lt;&gt;"",ISERROR(FIND("社食",BK25))),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22" t="str" cm="1">
        <f t="array" aca="1" ref="BR27" ca="1">IF(AND(BK25&lt;&gt;"",ISERROR(FIND("社食",BK25))),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23"/>
      <c r="BT27" s="22"/>
      <c r="BU27" s="32" t="str" cm="1">
        <f t="array" aca="1" ref="BU27" ca="1">IF(AND(BK25&lt;&gt;"",ISERROR(FIND("社食",BK25))),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22" t="str" cm="1">
        <f t="array" aca="1" ref="BZ27" ca="1">IF(AND(BZ25&lt;&gt;"",ISERROR(FIND("社食",BZ25))),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23"/>
      <c r="CB27" s="22"/>
      <c r="CC27" s="32" t="str" cm="1">
        <f t="array" aca="1" ref="CC27" ca="1">IF(AND(BZ25&lt;&gt;"",ISERROR(FIND("社食",BZ25))),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22" t="str" cm="1">
        <f t="array" aca="1" ref="CG27" ca="1">IF(AND(BZ25&lt;&gt;"",ISERROR(FIND("社食",BZ25))),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23"/>
      <c r="CI27" s="22"/>
      <c r="CJ27" s="32" t="str" cm="1">
        <f t="array" aca="1" ref="CJ27" ca="1">IF(AND(BZ25&lt;&gt;"",ISERROR(FIND("社食",BZ25))),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22" t="str" cm="1">
        <f t="array" aca="1" ref="CO27" ca="1">IF(AND(CO25&lt;&gt;"",ISERROR(FIND("社食",CO25))),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23"/>
      <c r="CQ27" s="22"/>
      <c r="CR27" s="32" t="str" cm="1">
        <f t="array" aca="1" ref="CR27" ca="1">IF(AND(CO25&lt;&gt;"",ISERROR(FIND("社食",CO25))),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22" t="str" cm="1">
        <f t="array" aca="1" ref="CV27" ca="1">IF(AND(CO25&lt;&gt;"",ISERROR(FIND("社食",CO25))),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23"/>
      <c r="CX27" s="22"/>
      <c r="CY27" s="32" t="str" cm="1">
        <f t="array" aca="1" ref="CY27" ca="1">IF(AND(CO25&lt;&gt;"",ISERROR(FIND("社食",CO25))),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22" t="str" cm="1">
        <f t="array" aca="1" ref="DD27" ca="1">IF(AND(DD25&lt;&gt;"",ISERROR(FIND("社食",DD25))),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23"/>
      <c r="DF27" s="22"/>
      <c r="DG27" s="32" t="str" cm="1">
        <f t="array" aca="1" ref="DG27" ca="1">IF(AND(DD25&lt;&gt;"",ISERROR(FIND("社食",DD25))),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22" t="str" cm="1">
        <f t="array" aca="1" ref="DK27" ca="1">IF(AND(DD25&lt;&gt;"",ISERROR(FIND("社食",DD25))),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23"/>
      <c r="DM27" s="22"/>
      <c r="DN27" s="32" t="str" cm="1">
        <f t="array" aca="1" ref="DN27" ca="1">IF(AND(DD25&lt;&gt;"",ISERROR(FIND("社食",DD25))),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22" t="str" cm="1">
        <f t="array" aca="1" ref="DS27" ca="1">IF(AND(DS25&lt;&gt;"",ISERROR(FIND("社食",DS25))),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23"/>
      <c r="DU27" s="22"/>
      <c r="DV27" s="32" t="str" cm="1">
        <f t="array" aca="1" ref="DV27" ca="1">IF(AND(DS25&lt;&gt;"",ISERROR(FIND("社食",DS25))),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22" t="str" cm="1">
        <f t="array" aca="1" ref="DZ27" ca="1">IF(AND(DS25&lt;&gt;"",ISERROR(FIND("社食",DS25))),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23"/>
      <c r="EB27" s="22"/>
      <c r="EC27" s="32" t="str" cm="1">
        <f t="array" aca="1" ref="EC27" ca="1">IF(AND(DS25&lt;&gt;"",ISERROR(FIND("社食",DS25))),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22" t="str" cm="1">
        <f t="array" aca="1" ref="EH27" ca="1">IF(AND(EH25&lt;&gt;"",ISERROR(FIND("社食",EH25))),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23"/>
      <c r="EJ27" s="22"/>
      <c r="EK27" s="32" t="str" cm="1">
        <f t="array" aca="1" ref="EK27" ca="1">IF(AND(EH25&lt;&gt;"",ISERROR(FIND("社食",EH25))),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22" t="str" cm="1">
        <f t="array" aca="1" ref="EO27" ca="1">IF(AND(EH25&lt;&gt;"",ISERROR(FIND("社食",EH25))),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23"/>
      <c r="EQ27" s="22"/>
      <c r="ER27" s="32" t="str" cm="1">
        <f t="array" aca="1" ref="ER27" ca="1">IF(AND(EH25&lt;&gt;"",ISERROR(FIND("社食",EH25))),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 x14ac:dyDescent="1.05">
      <c r="B28" s="25"/>
      <c r="C28" s="228" t="str">
        <f t="array" aca="1" ref="C28" ca="1">IF(C25&lt;&gt;"",INDIRECT("'盛付札（関数）'!W"&amp;A25),"")</f>
        <v/>
      </c>
      <c r="D28" s="229"/>
      <c r="E28" s="50"/>
      <c r="F28" s="231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32"/>
      <c r="H28" s="26"/>
      <c r="I28" s="25"/>
      <c r="J28" s="228" t="str">
        <f t="array" aca="1" ref="J28" ca="1">IF(J25&lt;&gt;"",INDIRECT("'盛付札（関数）'!W"&amp;H25),"")</f>
        <v/>
      </c>
      <c r="K28" s="229"/>
      <c r="L28" s="50"/>
      <c r="M28" s="231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32"/>
      <c r="Q28" s="25"/>
      <c r="R28" s="228" t="str">
        <f t="array" aca="1" ref="R28" ca="1">IF(R25&lt;&gt;"",INDIRECT("'盛付札（関数）'!W"&amp;P25),"")</f>
        <v/>
      </c>
      <c r="S28" s="229"/>
      <c r="T28" s="50"/>
      <c r="U28" s="231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32"/>
      <c r="W28" s="26"/>
      <c r="X28" s="25"/>
      <c r="Y28" s="228" t="str">
        <f t="array" aca="1" ref="Y28" ca="1">IF(Y25&lt;&gt;"",INDIRECT("'盛付札（関数）'!W"&amp;W25),"")</f>
        <v/>
      </c>
      <c r="Z28" s="229"/>
      <c r="AA28" s="50"/>
      <c r="AB28" s="231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32"/>
      <c r="AF28" s="25"/>
      <c r="AG28" s="228" t="str">
        <f t="array" aca="1" ref="AG28" ca="1">IF(AG25&lt;&gt;"",INDIRECT("'盛付札（関数）'!W"&amp;AE25),"")</f>
        <v/>
      </c>
      <c r="AH28" s="229"/>
      <c r="AI28" s="50"/>
      <c r="AJ28" s="231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32"/>
      <c r="AL28" s="26"/>
      <c r="AM28" s="25"/>
      <c r="AN28" s="228" t="str">
        <f t="array" aca="1" ref="AN28" ca="1">IF(AN25&lt;&gt;"",INDIRECT("'盛付札（関数）'!W"&amp;AL25),"")</f>
        <v/>
      </c>
      <c r="AO28" s="229"/>
      <c r="AP28" s="50"/>
      <c r="AQ28" s="231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32"/>
      <c r="AU28" s="25"/>
      <c r="AV28" s="228" t="str">
        <f t="array" aca="1" ref="AV28" ca="1">IF(AV25&lt;&gt;"",INDIRECT("'盛付札（関数）'!W"&amp;AT25),"")</f>
        <v/>
      </c>
      <c r="AW28" s="229"/>
      <c r="AX28" s="50"/>
      <c r="AY28" s="231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32"/>
      <c r="BA28" s="26"/>
      <c r="BB28" s="25"/>
      <c r="BC28" s="228" t="str">
        <f t="array" aca="1" ref="BC28" ca="1">IF(BC25&lt;&gt;"",INDIRECT("'盛付札（関数）'!W"&amp;BA25),"")</f>
        <v/>
      </c>
      <c r="BD28" s="229"/>
      <c r="BE28" s="50"/>
      <c r="BF28" s="231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32"/>
      <c r="BJ28" s="25"/>
      <c r="BK28" s="228" t="str">
        <f t="array" aca="1" ref="BK28" ca="1">IF(BK25&lt;&gt;"",INDIRECT("'盛付札（関数）'!W"&amp;BI25),"")</f>
        <v/>
      </c>
      <c r="BL28" s="229"/>
      <c r="BM28" s="50"/>
      <c r="BN28" s="231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32"/>
      <c r="BP28" s="26"/>
      <c r="BQ28" s="25"/>
      <c r="BR28" s="228" t="str">
        <f t="array" aca="1" ref="BR28" ca="1">IF(BR25&lt;&gt;"",INDIRECT("'盛付札（関数）'!W"&amp;BP25),"")</f>
        <v/>
      </c>
      <c r="BS28" s="229"/>
      <c r="BT28" s="50"/>
      <c r="BU28" s="231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32"/>
      <c r="BY28" s="25"/>
      <c r="BZ28" s="228" t="str">
        <f t="array" aca="1" ref="BZ28" ca="1">IF(BZ25&lt;&gt;"",INDIRECT("'盛付札（関数）'!W"&amp;BX25),"")</f>
        <v/>
      </c>
      <c r="CA28" s="229"/>
      <c r="CB28" s="50"/>
      <c r="CC28" s="231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32"/>
      <c r="CE28" s="26"/>
      <c r="CF28" s="25"/>
      <c r="CG28" s="228" t="str">
        <f t="array" aca="1" ref="CG28" ca="1">IF(CG25&lt;&gt;"",INDIRECT("'盛付札（関数）'!W"&amp;CE25),"")</f>
        <v/>
      </c>
      <c r="CH28" s="229"/>
      <c r="CI28" s="50"/>
      <c r="CJ28" s="231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32"/>
      <c r="CN28" s="25"/>
      <c r="CO28" s="228" t="str">
        <f t="array" aca="1" ref="CO28" ca="1">IF(CO25&lt;&gt;"",INDIRECT("'盛付札（関数）'!W"&amp;CM25),"")</f>
        <v/>
      </c>
      <c r="CP28" s="229"/>
      <c r="CQ28" s="50"/>
      <c r="CR28" s="231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32"/>
      <c r="CT28" s="26"/>
      <c r="CU28" s="25"/>
      <c r="CV28" s="228" t="str">
        <f t="array" aca="1" ref="CV28" ca="1">IF(CV25&lt;&gt;"",INDIRECT("'盛付札（関数）'!W"&amp;CT25),"")</f>
        <v/>
      </c>
      <c r="CW28" s="229"/>
      <c r="CX28" s="50"/>
      <c r="CY28" s="231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32"/>
      <c r="DC28" s="25"/>
      <c r="DD28" s="228" t="str">
        <f t="array" aca="1" ref="DD28" ca="1">IF(DD25&lt;&gt;"",INDIRECT("'盛付札（関数）'!W"&amp;DB25),"")</f>
        <v/>
      </c>
      <c r="DE28" s="229"/>
      <c r="DF28" s="50"/>
      <c r="DG28" s="231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32"/>
      <c r="DI28" s="26"/>
      <c r="DJ28" s="25"/>
      <c r="DK28" s="228" t="str">
        <f t="array" aca="1" ref="DK28" ca="1">IF(DK25&lt;&gt;"",INDIRECT("'盛付札（関数）'!W"&amp;DI25),"")</f>
        <v/>
      </c>
      <c r="DL28" s="229"/>
      <c r="DM28" s="50"/>
      <c r="DN28" s="231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32"/>
      <c r="DR28" s="25"/>
      <c r="DS28" s="228" t="str">
        <f t="array" aca="1" ref="DS28" ca="1">IF(DS25&lt;&gt;"",INDIRECT("'盛付札（関数）'!W"&amp;DQ25),"")</f>
        <v/>
      </c>
      <c r="DT28" s="229"/>
      <c r="DU28" s="50"/>
      <c r="DV28" s="231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32"/>
      <c r="DX28" s="26"/>
      <c r="DY28" s="25"/>
      <c r="DZ28" s="228" t="str">
        <f t="array" aca="1" ref="DZ28" ca="1">IF(DZ25&lt;&gt;"",INDIRECT("'盛付札（関数）'!W"&amp;DX25),"")</f>
        <v/>
      </c>
      <c r="EA28" s="229"/>
      <c r="EB28" s="50"/>
      <c r="EC28" s="231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32"/>
      <c r="EG28" s="25"/>
      <c r="EH28" s="228" t="str">
        <f t="array" aca="1" ref="EH28" ca="1">IF(EH25&lt;&gt;"",INDIRECT("'盛付札（関数）'!W"&amp;EF25),"")</f>
        <v/>
      </c>
      <c r="EI28" s="229"/>
      <c r="EJ28" s="50"/>
      <c r="EK28" s="231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32"/>
      <c r="EM28" s="26"/>
      <c r="EN28" s="25"/>
      <c r="EO28" s="228" t="str">
        <f t="array" aca="1" ref="EO28" ca="1">IF(EO25&lt;&gt;"",INDIRECT("'盛付札（関数）'!W"&amp;EM25),"")</f>
        <v/>
      </c>
      <c r="EP28" s="229"/>
      <c r="EQ28" s="50"/>
      <c r="ER28" s="231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32"/>
    </row>
    <row r="29" spans="1:150" ht="15.6" customHeight="1" x14ac:dyDescent="0.45">
      <c r="B29" s="27"/>
      <c r="C29" s="230"/>
      <c r="D29" s="230"/>
      <c r="E29" s="44"/>
      <c r="F29" s="230"/>
      <c r="G29" s="227"/>
      <c r="H29" s="26"/>
      <c r="I29" s="27"/>
      <c r="J29" s="230"/>
      <c r="K29" s="230"/>
      <c r="L29" s="44"/>
      <c r="M29" s="230"/>
      <c r="N29" s="227"/>
      <c r="Q29" s="27"/>
      <c r="R29" s="230"/>
      <c r="S29" s="230"/>
      <c r="T29" s="44"/>
      <c r="U29" s="230"/>
      <c r="V29" s="227"/>
      <c r="W29" s="26"/>
      <c r="X29" s="27"/>
      <c r="Y29" s="230"/>
      <c r="Z29" s="230"/>
      <c r="AA29" s="44"/>
      <c r="AB29" s="230"/>
      <c r="AC29" s="227"/>
      <c r="AF29" s="27"/>
      <c r="AG29" s="230"/>
      <c r="AH29" s="230"/>
      <c r="AI29" s="44"/>
      <c r="AJ29" s="230"/>
      <c r="AK29" s="227"/>
      <c r="AL29" s="26"/>
      <c r="AM29" s="27"/>
      <c r="AN29" s="230"/>
      <c r="AO29" s="230"/>
      <c r="AP29" s="44"/>
      <c r="AQ29" s="230"/>
      <c r="AR29" s="227"/>
      <c r="AU29" s="27"/>
      <c r="AV29" s="230"/>
      <c r="AW29" s="230"/>
      <c r="AX29" s="44"/>
      <c r="AY29" s="230"/>
      <c r="AZ29" s="227"/>
      <c r="BA29" s="26"/>
      <c r="BB29" s="27"/>
      <c r="BC29" s="230"/>
      <c r="BD29" s="230"/>
      <c r="BE29" s="44"/>
      <c r="BF29" s="230"/>
      <c r="BG29" s="227"/>
      <c r="BJ29" s="27"/>
      <c r="BK29" s="230"/>
      <c r="BL29" s="230"/>
      <c r="BM29" s="44"/>
      <c r="BN29" s="230"/>
      <c r="BO29" s="227"/>
      <c r="BP29" s="26"/>
      <c r="BQ29" s="27"/>
      <c r="BR29" s="230"/>
      <c r="BS29" s="230"/>
      <c r="BT29" s="44"/>
      <c r="BU29" s="230"/>
      <c r="BV29" s="227"/>
      <c r="BY29" s="27"/>
      <c r="BZ29" s="230"/>
      <c r="CA29" s="230"/>
      <c r="CB29" s="44"/>
      <c r="CC29" s="230"/>
      <c r="CD29" s="227"/>
      <c r="CE29" s="26"/>
      <c r="CF29" s="27"/>
      <c r="CG29" s="230"/>
      <c r="CH29" s="230"/>
      <c r="CI29" s="44"/>
      <c r="CJ29" s="230"/>
      <c r="CK29" s="227"/>
      <c r="CN29" s="27"/>
      <c r="CO29" s="230"/>
      <c r="CP29" s="230"/>
      <c r="CQ29" s="44"/>
      <c r="CR29" s="230"/>
      <c r="CS29" s="227"/>
      <c r="CT29" s="26"/>
      <c r="CU29" s="27"/>
      <c r="CV29" s="230"/>
      <c r="CW29" s="230"/>
      <c r="CX29" s="44"/>
      <c r="CY29" s="230"/>
      <c r="CZ29" s="227"/>
      <c r="DC29" s="27"/>
      <c r="DD29" s="230"/>
      <c r="DE29" s="230"/>
      <c r="DF29" s="44"/>
      <c r="DG29" s="230"/>
      <c r="DH29" s="227"/>
      <c r="DI29" s="26"/>
      <c r="DJ29" s="27"/>
      <c r="DK29" s="230"/>
      <c r="DL29" s="230"/>
      <c r="DM29" s="44"/>
      <c r="DN29" s="230"/>
      <c r="DO29" s="227"/>
      <c r="DR29" s="27"/>
      <c r="DS29" s="230"/>
      <c r="DT29" s="230"/>
      <c r="DU29" s="44"/>
      <c r="DV29" s="230"/>
      <c r="DW29" s="227"/>
      <c r="DX29" s="26"/>
      <c r="DY29" s="27"/>
      <c r="DZ29" s="230"/>
      <c r="EA29" s="230"/>
      <c r="EB29" s="44"/>
      <c r="EC29" s="230"/>
      <c r="ED29" s="227"/>
      <c r="EG29" s="27"/>
      <c r="EH29" s="230"/>
      <c r="EI29" s="230"/>
      <c r="EJ29" s="44"/>
      <c r="EK29" s="230"/>
      <c r="EL29" s="227"/>
      <c r="EM29" s="26"/>
      <c r="EN29" s="27"/>
      <c r="EO29" s="230"/>
      <c r="EP29" s="230"/>
      <c r="EQ29" s="44"/>
      <c r="ER29" s="230"/>
      <c r="ES29" s="227"/>
    </row>
    <row r="30" spans="1:150" s="32" customFormat="1" x14ac:dyDescent="0.55000000000000004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 x14ac:dyDescent="0.45">
      <c r="B31" s="233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7"/>
      <c r="D31" s="233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7"/>
      <c r="F31" s="226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7"/>
      <c r="I31" s="233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7"/>
      <c r="K31" s="233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7"/>
      <c r="M31" s="226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7"/>
      <c r="Q31" s="233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7"/>
      <c r="S31" s="233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7"/>
      <c r="U31" s="226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7"/>
      <c r="X31" s="233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7"/>
      <c r="Z31" s="233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7"/>
      <c r="AB31" s="226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7"/>
      <c r="AF31" s="233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7"/>
      <c r="AH31" s="233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7"/>
      <c r="AJ31" s="226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7"/>
      <c r="AM31" s="233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7"/>
      <c r="AO31" s="233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7"/>
      <c r="AQ31" s="226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7"/>
      <c r="AU31" s="233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7"/>
      <c r="AW31" s="233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7"/>
      <c r="AY31" s="226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7"/>
      <c r="BB31" s="233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7"/>
      <c r="BD31" s="233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7"/>
      <c r="BF31" s="226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7"/>
      <c r="BJ31" s="233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7"/>
      <c r="BL31" s="233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7"/>
      <c r="BN31" s="226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7"/>
      <c r="BQ31" s="233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7"/>
      <c r="BS31" s="233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7"/>
      <c r="BU31" s="226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7"/>
      <c r="BY31" s="233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7"/>
      <c r="CA31" s="233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7"/>
      <c r="CC31" s="226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7"/>
      <c r="CF31" s="233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7"/>
      <c r="CH31" s="233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7"/>
      <c r="CJ31" s="226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7"/>
      <c r="CN31" s="233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7"/>
      <c r="CP31" s="233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7"/>
      <c r="CR31" s="226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7"/>
      <c r="CU31" s="233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7"/>
      <c r="CW31" s="233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7"/>
      <c r="CY31" s="226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7"/>
      <c r="DC31" s="233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7"/>
      <c r="DE31" s="233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7"/>
      <c r="DG31" s="226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7"/>
      <c r="DJ31" s="233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7"/>
      <c r="DL31" s="233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7"/>
      <c r="DN31" s="226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7"/>
      <c r="DR31" s="233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7"/>
      <c r="DT31" s="233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7"/>
      <c r="DV31" s="226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7"/>
      <c r="DY31" s="233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7"/>
      <c r="EA31" s="233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7"/>
      <c r="EC31" s="226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7"/>
      <c r="EG31" s="233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7"/>
      <c r="EI31" s="233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7"/>
      <c r="EK31" s="226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7"/>
      <c r="EN31" s="233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7"/>
      <c r="EP31" s="233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7"/>
      <c r="ER31" s="226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7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24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25"/>
      <c r="E33" s="225"/>
      <c r="F33" s="225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24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25"/>
      <c r="L33" s="225"/>
      <c r="M33" s="225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24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25"/>
      <c r="T33" s="225"/>
      <c r="U33" s="225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24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25"/>
      <c r="AA33" s="225"/>
      <c r="AB33" s="225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24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25"/>
      <c r="AI33" s="225"/>
      <c r="AJ33" s="225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24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25"/>
      <c r="AP33" s="225"/>
      <c r="AQ33" s="225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24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25"/>
      <c r="AX33" s="225"/>
      <c r="AY33" s="225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24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25"/>
      <c r="BE33" s="225"/>
      <c r="BF33" s="225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24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25"/>
      <c r="BM33" s="225"/>
      <c r="BN33" s="225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24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25"/>
      <c r="BT33" s="225"/>
      <c r="BU33" s="225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24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25"/>
      <c r="CB33" s="225"/>
      <c r="CC33" s="225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24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25"/>
      <c r="CI33" s="225"/>
      <c r="CJ33" s="225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24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25"/>
      <c r="CQ33" s="225"/>
      <c r="CR33" s="225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24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25"/>
      <c r="CX33" s="225"/>
      <c r="CY33" s="225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24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25"/>
      <c r="DF33" s="225"/>
      <c r="DG33" s="225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24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25"/>
      <c r="DM33" s="225"/>
      <c r="DN33" s="225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24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25"/>
      <c r="DU33" s="225"/>
      <c r="DV33" s="225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24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25"/>
      <c r="EB33" s="225"/>
      <c r="EC33" s="225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24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25"/>
      <c r="EJ33" s="225"/>
      <c r="EK33" s="225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24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25"/>
      <c r="EQ33" s="225"/>
      <c r="ER33" s="225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 x14ac:dyDescent="0.55000000000000004">
      <c r="A34" s="31"/>
      <c r="B34" s="197"/>
      <c r="C34" s="47" t="str" cm="1">
        <f t="array" aca="1" ref="C34" ca="1">IF(AND(C33&lt;&gt;"",ISERROR(FIND("社食",C33))),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 cm="1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 cm="1">
        <f t="array" aca="1" ref="J34" ca="1">IF(AND(J33&lt;&gt;"",ISERROR(FIND("社食",J33))),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 cm="1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 cm="1">
        <f t="array" aca="1" ref="R34" ca="1">IF(AND(R33&lt;&gt;"",ISERROR(FIND("社食",R33))),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 cm="1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 cm="1">
        <f t="array" aca="1" ref="Y34" ca="1">IF(AND(Y33&lt;&gt;"",ISERROR(FIND("社食",Y33))),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 cm="1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 cm="1">
        <f t="array" aca="1" ref="AG34" ca="1">IF(AND(AG33&lt;&gt;"",ISERROR(FIND("社食",AG33))),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 cm="1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 cm="1">
        <f t="array" aca="1" ref="AN34" ca="1">IF(AND(AN33&lt;&gt;"",ISERROR(FIND("社食",AN33))),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 cm="1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 cm="1">
        <f t="array" aca="1" ref="AV34" ca="1">IF(AND(AV33&lt;&gt;"",ISERROR(FIND("社食",AV33))),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 cm="1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 cm="1">
        <f t="array" aca="1" ref="BC34" ca="1">IF(AND(BC33&lt;&gt;"",ISERROR(FIND("社食",BC33))),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 cm="1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 cm="1">
        <f t="array" aca="1" ref="BK34" ca="1">IF(AND(BK33&lt;&gt;"",ISERROR(FIND("社食",BK33))),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 cm="1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 cm="1">
        <f t="array" aca="1" ref="BR34" ca="1">IF(AND(BR33&lt;&gt;"",ISERROR(FIND("社食",BR33))),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 cm="1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 cm="1">
        <f t="array" aca="1" ref="BZ34" ca="1">IF(AND(BZ33&lt;&gt;"",ISERROR(FIND("社食",BZ33))),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 cm="1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 cm="1">
        <f t="array" aca="1" ref="CG34" ca="1">IF(AND(CG33&lt;&gt;"",ISERROR(FIND("社食",CG33))),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 cm="1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 cm="1">
        <f t="array" aca="1" ref="CO34" ca="1">IF(AND(CO33&lt;&gt;"",ISERROR(FIND("社食",CO33))),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 cm="1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 cm="1">
        <f t="array" aca="1" ref="CV34" ca="1">IF(AND(CV33&lt;&gt;"",ISERROR(FIND("社食",CV33))),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 cm="1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 cm="1">
        <f t="array" aca="1" ref="DD34" ca="1">IF(AND(DD33&lt;&gt;"",ISERROR(FIND("社食",DD33))),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 cm="1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 cm="1">
        <f t="array" aca="1" ref="DK34" ca="1">IF(AND(DK33&lt;&gt;"",ISERROR(FIND("社食",DK33))),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 cm="1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 cm="1">
        <f t="array" aca="1" ref="DS34" ca="1">IF(AND(DS33&lt;&gt;"",ISERROR(FIND("社食",DS33))),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 cm="1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 cm="1">
        <f t="array" aca="1" ref="DZ34" ca="1">IF(AND(DZ33&lt;&gt;"",ISERROR(FIND("社食",DZ33))),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 cm="1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 cm="1">
        <f t="array" aca="1" ref="EH34" ca="1">IF(AND(EH33&lt;&gt;"",ISERROR(FIND("社食",EH33))),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 cm="1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 cm="1">
        <f t="array" aca="1" ref="EO34" ca="1">IF(AND(EO33&lt;&gt;"",ISERROR(FIND("社食",EO33))),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 cm="1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 x14ac:dyDescent="0.55000000000000004">
      <c r="A35" s="31"/>
      <c r="B35" s="34"/>
      <c r="C35" s="222" t="str" cm="1">
        <f t="array" aca="1" ref="C35" ca="1">IF(AND(C33&lt;&gt;"",ISERROR(FIND("社食",C33))),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23"/>
      <c r="E35" s="22"/>
      <c r="F35" s="32" t="str" cm="1">
        <f t="array" aca="1" ref="F35" ca="1">IF(AND(C33&lt;&gt;"",ISERROR(FIND("社食",C33))),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22" t="str" cm="1">
        <f t="array" aca="1" ref="J35" ca="1">IF(AND(C33&lt;&gt;"",ISERROR(FIND("社食",C33))),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23"/>
      <c r="L35" s="22"/>
      <c r="M35" s="32" t="str" cm="1">
        <f t="array" aca="1" ref="M35" ca="1">IF(AND(C33&lt;&gt;"",ISERROR(FIND("社食",C33))),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22" t="str" cm="1">
        <f t="array" aca="1" ref="R35" ca="1">IF(AND(R33&lt;&gt;"",ISERROR(FIND("社食",R33))),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23"/>
      <c r="T35" s="22"/>
      <c r="U35" s="32" t="str" cm="1">
        <f t="array" aca="1" ref="U35" ca="1">IF(AND(R33&lt;&gt;"",ISERROR(FIND("社食",R33))),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22" t="str" cm="1">
        <f t="array" aca="1" ref="Y35" ca="1">IF(AND(R33&lt;&gt;"",ISERROR(FIND("社食",R33))),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23"/>
      <c r="AA35" s="22"/>
      <c r="AB35" s="32" t="str" cm="1">
        <f t="array" aca="1" ref="AB35" ca="1">IF(AND(R33&lt;&gt;"",ISERROR(FIND("社食",R33))),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22" t="str" cm="1">
        <f t="array" aca="1" ref="AG35" ca="1">IF(AND(AG33&lt;&gt;"",ISERROR(FIND("社食",AG33))),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23"/>
      <c r="AI35" s="22"/>
      <c r="AJ35" s="32" t="str" cm="1">
        <f t="array" aca="1" ref="AJ35" ca="1">IF(AND(AG33&lt;&gt;"",ISERROR(FIND("社食",AG33))),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22" t="str" cm="1">
        <f t="array" aca="1" ref="AN35" ca="1">IF(AND(AG33&lt;&gt;"",ISERROR(FIND("社食",AG33))),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23"/>
      <c r="AP35" s="22"/>
      <c r="AQ35" s="32" t="str" cm="1">
        <f t="array" aca="1" ref="AQ35" ca="1">IF(AND(AG33&lt;&gt;"",ISERROR(FIND("社食",AG33))),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22" t="str" cm="1">
        <f t="array" aca="1" ref="AV35" ca="1">IF(AND(AV33&lt;&gt;"",ISERROR(FIND("社食",AV33))),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23"/>
      <c r="AX35" s="22"/>
      <c r="AY35" s="32" t="str" cm="1">
        <f t="array" aca="1" ref="AY35" ca="1">IF(AND(AV33&lt;&gt;"",ISERROR(FIND("社食",AV33))),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22" t="str" cm="1">
        <f t="array" aca="1" ref="BC35" ca="1">IF(AND(AV33&lt;&gt;"",ISERROR(FIND("社食",AV33))),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23"/>
      <c r="BE35" s="22"/>
      <c r="BF35" s="32" t="str" cm="1">
        <f t="array" aca="1" ref="BF35" ca="1">IF(AND(AV33&lt;&gt;"",ISERROR(FIND("社食",AV33))),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22" t="str" cm="1">
        <f t="array" aca="1" ref="BK35" ca="1">IF(AND(BK33&lt;&gt;"",ISERROR(FIND("社食",BK33))),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23"/>
      <c r="BM35" s="22"/>
      <c r="BN35" s="32" t="str" cm="1">
        <f t="array" aca="1" ref="BN35" ca="1">IF(AND(BK33&lt;&gt;"",ISERROR(FIND("社食",BK33))),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22" t="str" cm="1">
        <f t="array" aca="1" ref="BR35" ca="1">IF(AND(BK33&lt;&gt;"",ISERROR(FIND("社食",BK33))),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23"/>
      <c r="BT35" s="22"/>
      <c r="BU35" s="32" t="str" cm="1">
        <f t="array" aca="1" ref="BU35" ca="1">IF(AND(BK33&lt;&gt;"",ISERROR(FIND("社食",BK33))),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22" t="str" cm="1">
        <f t="array" aca="1" ref="BZ35" ca="1">IF(AND(BZ33&lt;&gt;"",ISERROR(FIND("社食",BZ33))),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23"/>
      <c r="CB35" s="22"/>
      <c r="CC35" s="32" t="str" cm="1">
        <f t="array" aca="1" ref="CC35" ca="1">IF(AND(BZ33&lt;&gt;"",ISERROR(FIND("社食",BZ33))),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22" t="str" cm="1">
        <f t="array" aca="1" ref="CG35" ca="1">IF(AND(BZ33&lt;&gt;"",ISERROR(FIND("社食",BZ33))),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23"/>
      <c r="CI35" s="22"/>
      <c r="CJ35" s="32" t="str" cm="1">
        <f t="array" aca="1" ref="CJ35" ca="1">IF(AND(BZ33&lt;&gt;"",ISERROR(FIND("社食",BZ33))),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22" t="str" cm="1">
        <f t="array" aca="1" ref="CO35" ca="1">IF(AND(CO33&lt;&gt;"",ISERROR(FIND("社食",CO33))),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23"/>
      <c r="CQ35" s="22"/>
      <c r="CR35" s="32" t="str" cm="1">
        <f t="array" aca="1" ref="CR35" ca="1">IF(AND(CO33&lt;&gt;"",ISERROR(FIND("社食",CO33))),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22" t="str" cm="1">
        <f t="array" aca="1" ref="CV35" ca="1">IF(AND(CO33&lt;&gt;"",ISERROR(FIND("社食",CO33))),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23"/>
      <c r="CX35" s="22"/>
      <c r="CY35" s="32" t="str" cm="1">
        <f t="array" aca="1" ref="CY35" ca="1">IF(AND(CO33&lt;&gt;"",ISERROR(FIND("社食",CO33))),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22" t="str" cm="1">
        <f t="array" aca="1" ref="DD35" ca="1">IF(AND(DD33&lt;&gt;"",ISERROR(FIND("社食",DD33))),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23"/>
      <c r="DF35" s="22"/>
      <c r="DG35" s="32" t="str" cm="1">
        <f t="array" aca="1" ref="DG35" ca="1">IF(AND(DD33&lt;&gt;"",ISERROR(FIND("社食",DD33))),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22" t="str" cm="1">
        <f t="array" aca="1" ref="DK35" ca="1">IF(AND(DD33&lt;&gt;"",ISERROR(FIND("社食",DD33))),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23"/>
      <c r="DM35" s="22"/>
      <c r="DN35" s="32" t="str" cm="1">
        <f t="array" aca="1" ref="DN35" ca="1">IF(AND(DD33&lt;&gt;"",ISERROR(FIND("社食",DD33))),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22" t="str" cm="1">
        <f t="array" aca="1" ref="DS35" ca="1">IF(AND(DS33&lt;&gt;"",ISERROR(FIND("社食",DS33))),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23"/>
      <c r="DU35" s="22"/>
      <c r="DV35" s="32" t="str" cm="1">
        <f t="array" aca="1" ref="DV35" ca="1">IF(AND(DS33&lt;&gt;"",ISERROR(FIND("社食",DS33))),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22" t="str" cm="1">
        <f t="array" aca="1" ref="DZ35" ca="1">IF(AND(DS33&lt;&gt;"",ISERROR(FIND("社食",DS33))),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23"/>
      <c r="EB35" s="22"/>
      <c r="EC35" s="32" t="str" cm="1">
        <f t="array" aca="1" ref="EC35" ca="1">IF(AND(DS33&lt;&gt;"",ISERROR(FIND("社食",DS33))),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22" t="str" cm="1">
        <f t="array" aca="1" ref="EH35" ca="1">IF(AND(EH33&lt;&gt;"",ISERROR(FIND("社食",EH33))),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23"/>
      <c r="EJ35" s="22"/>
      <c r="EK35" s="32" t="str" cm="1">
        <f t="array" aca="1" ref="EK35" ca="1">IF(AND(EH33&lt;&gt;"",ISERROR(FIND("社食",EH33))),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22" t="str" cm="1">
        <f t="array" aca="1" ref="EO35" ca="1">IF(AND(EH33&lt;&gt;"",ISERROR(FIND("社食",EH33))),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23"/>
      <c r="EQ35" s="22"/>
      <c r="ER35" s="32" t="str" cm="1">
        <f t="array" aca="1" ref="ER35" ca="1">IF(AND(EH33&lt;&gt;"",ISERROR(FIND("社食",EH33))),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 x14ac:dyDescent="1.05">
      <c r="B36" s="25"/>
      <c r="C36" s="228" t="str">
        <f t="array" aca="1" ref="C36" ca="1">IF(C33&lt;&gt;"",INDIRECT("'盛付札（関数）'!W"&amp;A33),"")</f>
        <v/>
      </c>
      <c r="D36" s="229"/>
      <c r="E36" s="50"/>
      <c r="F36" s="231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32"/>
      <c r="H36" s="26"/>
      <c r="I36" s="25"/>
      <c r="J36" s="228" t="str">
        <f t="array" aca="1" ref="J36" ca="1">IF(J33&lt;&gt;"",INDIRECT("'盛付札（関数）'!W"&amp;H33),"")</f>
        <v/>
      </c>
      <c r="K36" s="229"/>
      <c r="L36" s="50"/>
      <c r="M36" s="231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32"/>
      <c r="Q36" s="25"/>
      <c r="R36" s="228" t="str">
        <f t="array" aca="1" ref="R36" ca="1">IF(R33&lt;&gt;"",INDIRECT("'盛付札（関数）'!W"&amp;P33),"")</f>
        <v/>
      </c>
      <c r="S36" s="229"/>
      <c r="T36" s="50"/>
      <c r="U36" s="231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32"/>
      <c r="W36" s="26"/>
      <c r="X36" s="25"/>
      <c r="Y36" s="228" t="str">
        <f t="array" aca="1" ref="Y36" ca="1">IF(Y33&lt;&gt;"",INDIRECT("'盛付札（関数）'!W"&amp;W33),"")</f>
        <v/>
      </c>
      <c r="Z36" s="229"/>
      <c r="AA36" s="50"/>
      <c r="AB36" s="231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32"/>
      <c r="AF36" s="25"/>
      <c r="AG36" s="228" t="str">
        <f t="array" aca="1" ref="AG36" ca="1">IF(AG33&lt;&gt;"",INDIRECT("'盛付札（関数）'!W"&amp;AE33),"")</f>
        <v/>
      </c>
      <c r="AH36" s="229"/>
      <c r="AI36" s="50"/>
      <c r="AJ36" s="231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32"/>
      <c r="AL36" s="26"/>
      <c r="AM36" s="25"/>
      <c r="AN36" s="228" t="str">
        <f t="array" aca="1" ref="AN36" ca="1">IF(AN33&lt;&gt;"",INDIRECT("'盛付札（関数）'!W"&amp;AL33),"")</f>
        <v/>
      </c>
      <c r="AO36" s="229"/>
      <c r="AP36" s="50"/>
      <c r="AQ36" s="231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32"/>
      <c r="AU36" s="25"/>
      <c r="AV36" s="228" t="str">
        <f t="array" aca="1" ref="AV36" ca="1">IF(AV33&lt;&gt;"",INDIRECT("'盛付札（関数）'!W"&amp;AT33),"")</f>
        <v/>
      </c>
      <c r="AW36" s="229"/>
      <c r="AX36" s="50"/>
      <c r="AY36" s="231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32"/>
      <c r="BA36" s="26"/>
      <c r="BB36" s="25"/>
      <c r="BC36" s="228" t="str">
        <f t="array" aca="1" ref="BC36" ca="1">IF(BC33&lt;&gt;"",INDIRECT("'盛付札（関数）'!W"&amp;BA33),"")</f>
        <v/>
      </c>
      <c r="BD36" s="229"/>
      <c r="BE36" s="50"/>
      <c r="BF36" s="231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32"/>
      <c r="BJ36" s="25"/>
      <c r="BK36" s="228" t="str">
        <f t="array" aca="1" ref="BK36" ca="1">IF(BK33&lt;&gt;"",INDIRECT("'盛付札（関数）'!W"&amp;BI33),"")</f>
        <v/>
      </c>
      <c r="BL36" s="229"/>
      <c r="BM36" s="50"/>
      <c r="BN36" s="231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32"/>
      <c r="BP36" s="26"/>
      <c r="BQ36" s="25"/>
      <c r="BR36" s="228" t="str">
        <f t="array" aca="1" ref="BR36" ca="1">IF(BR33&lt;&gt;"",INDIRECT("'盛付札（関数）'!W"&amp;BP33),"")</f>
        <v/>
      </c>
      <c r="BS36" s="229"/>
      <c r="BT36" s="50"/>
      <c r="BU36" s="231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32"/>
      <c r="BY36" s="25"/>
      <c r="BZ36" s="228" t="str">
        <f t="array" aca="1" ref="BZ36" ca="1">IF(BZ33&lt;&gt;"",INDIRECT("'盛付札（関数）'!W"&amp;BX33),"")</f>
        <v/>
      </c>
      <c r="CA36" s="229"/>
      <c r="CB36" s="50"/>
      <c r="CC36" s="231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32"/>
      <c r="CE36" s="26"/>
      <c r="CF36" s="25"/>
      <c r="CG36" s="228" t="str">
        <f t="array" aca="1" ref="CG36" ca="1">IF(CG33&lt;&gt;"",INDIRECT("'盛付札（関数）'!W"&amp;CE33),"")</f>
        <v/>
      </c>
      <c r="CH36" s="229"/>
      <c r="CI36" s="50"/>
      <c r="CJ36" s="231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32"/>
      <c r="CN36" s="25"/>
      <c r="CO36" s="228" t="str">
        <f t="array" aca="1" ref="CO36" ca="1">IF(CO33&lt;&gt;"",INDIRECT("'盛付札（関数）'!W"&amp;CM33),"")</f>
        <v/>
      </c>
      <c r="CP36" s="229"/>
      <c r="CQ36" s="50"/>
      <c r="CR36" s="231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32"/>
      <c r="CT36" s="26"/>
      <c r="CU36" s="25"/>
      <c r="CV36" s="228" t="str">
        <f t="array" aca="1" ref="CV36" ca="1">IF(CV33&lt;&gt;"",INDIRECT("'盛付札（関数）'!W"&amp;CT33),"")</f>
        <v/>
      </c>
      <c r="CW36" s="229"/>
      <c r="CX36" s="50"/>
      <c r="CY36" s="231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32"/>
      <c r="DC36" s="25"/>
      <c r="DD36" s="228" t="str">
        <f t="array" aca="1" ref="DD36" ca="1">IF(DD33&lt;&gt;"",INDIRECT("'盛付札（関数）'!W"&amp;DB33),"")</f>
        <v/>
      </c>
      <c r="DE36" s="229"/>
      <c r="DF36" s="50"/>
      <c r="DG36" s="231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32"/>
      <c r="DI36" s="26"/>
      <c r="DJ36" s="25"/>
      <c r="DK36" s="228" t="str">
        <f t="array" aca="1" ref="DK36" ca="1">IF(DK33&lt;&gt;"",INDIRECT("'盛付札（関数）'!W"&amp;DI33),"")</f>
        <v/>
      </c>
      <c r="DL36" s="229"/>
      <c r="DM36" s="50"/>
      <c r="DN36" s="231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32"/>
      <c r="DR36" s="25"/>
      <c r="DS36" s="228" t="str">
        <f t="array" aca="1" ref="DS36" ca="1">IF(DS33&lt;&gt;"",INDIRECT("'盛付札（関数）'!W"&amp;DQ33),"")</f>
        <v/>
      </c>
      <c r="DT36" s="229"/>
      <c r="DU36" s="50"/>
      <c r="DV36" s="231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32"/>
      <c r="DX36" s="26"/>
      <c r="DY36" s="25"/>
      <c r="DZ36" s="228" t="str">
        <f t="array" aca="1" ref="DZ36" ca="1">IF(DZ33&lt;&gt;"",INDIRECT("'盛付札（関数）'!W"&amp;DX33),"")</f>
        <v/>
      </c>
      <c r="EA36" s="229"/>
      <c r="EB36" s="50"/>
      <c r="EC36" s="231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32"/>
      <c r="EG36" s="25"/>
      <c r="EH36" s="228" t="str">
        <f t="array" aca="1" ref="EH36" ca="1">IF(EH33&lt;&gt;"",INDIRECT("'盛付札（関数）'!W"&amp;EF33),"")</f>
        <v/>
      </c>
      <c r="EI36" s="229"/>
      <c r="EJ36" s="50"/>
      <c r="EK36" s="231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32"/>
      <c r="EM36" s="26"/>
      <c r="EN36" s="25"/>
      <c r="EO36" s="228" t="str">
        <f t="array" aca="1" ref="EO36" ca="1">IF(EO33&lt;&gt;"",INDIRECT("'盛付札（関数）'!W"&amp;EM33),"")</f>
        <v/>
      </c>
      <c r="EP36" s="229"/>
      <c r="EQ36" s="50"/>
      <c r="ER36" s="231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32"/>
    </row>
    <row r="37" spans="1:150" ht="15.6" customHeight="1" x14ac:dyDescent="0.45">
      <c r="B37" s="27"/>
      <c r="C37" s="230"/>
      <c r="D37" s="230"/>
      <c r="E37" s="44"/>
      <c r="F37" s="230"/>
      <c r="G37" s="227"/>
      <c r="H37" s="26"/>
      <c r="I37" s="27"/>
      <c r="J37" s="230"/>
      <c r="K37" s="230"/>
      <c r="L37" s="44"/>
      <c r="M37" s="230"/>
      <c r="N37" s="227"/>
      <c r="Q37" s="27"/>
      <c r="R37" s="230"/>
      <c r="S37" s="230"/>
      <c r="T37" s="44"/>
      <c r="U37" s="230"/>
      <c r="V37" s="227"/>
      <c r="W37" s="26"/>
      <c r="X37" s="27"/>
      <c r="Y37" s="230"/>
      <c r="Z37" s="230"/>
      <c r="AA37" s="44"/>
      <c r="AB37" s="230"/>
      <c r="AC37" s="227"/>
      <c r="AF37" s="27"/>
      <c r="AG37" s="230"/>
      <c r="AH37" s="230"/>
      <c r="AI37" s="44"/>
      <c r="AJ37" s="230"/>
      <c r="AK37" s="227"/>
      <c r="AL37" s="26"/>
      <c r="AM37" s="27"/>
      <c r="AN37" s="230"/>
      <c r="AO37" s="230"/>
      <c r="AP37" s="44"/>
      <c r="AQ37" s="230"/>
      <c r="AR37" s="227"/>
      <c r="AU37" s="27"/>
      <c r="AV37" s="230"/>
      <c r="AW37" s="230"/>
      <c r="AX37" s="44"/>
      <c r="AY37" s="230"/>
      <c r="AZ37" s="227"/>
      <c r="BA37" s="26"/>
      <c r="BB37" s="27"/>
      <c r="BC37" s="230"/>
      <c r="BD37" s="230"/>
      <c r="BE37" s="44"/>
      <c r="BF37" s="230"/>
      <c r="BG37" s="227"/>
      <c r="BJ37" s="27"/>
      <c r="BK37" s="230"/>
      <c r="BL37" s="230"/>
      <c r="BM37" s="44"/>
      <c r="BN37" s="230"/>
      <c r="BO37" s="227"/>
      <c r="BP37" s="26"/>
      <c r="BQ37" s="27"/>
      <c r="BR37" s="230"/>
      <c r="BS37" s="230"/>
      <c r="BT37" s="44"/>
      <c r="BU37" s="230"/>
      <c r="BV37" s="227"/>
      <c r="BY37" s="27"/>
      <c r="BZ37" s="230"/>
      <c r="CA37" s="230"/>
      <c r="CB37" s="44"/>
      <c r="CC37" s="230"/>
      <c r="CD37" s="227"/>
      <c r="CE37" s="26"/>
      <c r="CF37" s="27"/>
      <c r="CG37" s="230"/>
      <c r="CH37" s="230"/>
      <c r="CI37" s="44"/>
      <c r="CJ37" s="230"/>
      <c r="CK37" s="227"/>
      <c r="CN37" s="27"/>
      <c r="CO37" s="230"/>
      <c r="CP37" s="230"/>
      <c r="CQ37" s="44"/>
      <c r="CR37" s="230"/>
      <c r="CS37" s="227"/>
      <c r="CT37" s="26"/>
      <c r="CU37" s="27"/>
      <c r="CV37" s="230"/>
      <c r="CW37" s="230"/>
      <c r="CX37" s="44"/>
      <c r="CY37" s="230"/>
      <c r="CZ37" s="227"/>
      <c r="DC37" s="27"/>
      <c r="DD37" s="230"/>
      <c r="DE37" s="230"/>
      <c r="DF37" s="44"/>
      <c r="DG37" s="230"/>
      <c r="DH37" s="227"/>
      <c r="DI37" s="26"/>
      <c r="DJ37" s="27"/>
      <c r="DK37" s="230"/>
      <c r="DL37" s="230"/>
      <c r="DM37" s="44"/>
      <c r="DN37" s="230"/>
      <c r="DO37" s="227"/>
      <c r="DR37" s="27"/>
      <c r="DS37" s="230"/>
      <c r="DT37" s="230"/>
      <c r="DU37" s="44"/>
      <c r="DV37" s="230"/>
      <c r="DW37" s="227"/>
      <c r="DX37" s="26"/>
      <c r="DY37" s="27"/>
      <c r="DZ37" s="230"/>
      <c r="EA37" s="230"/>
      <c r="EB37" s="44"/>
      <c r="EC37" s="230"/>
      <c r="ED37" s="227"/>
      <c r="EG37" s="27"/>
      <c r="EH37" s="230"/>
      <c r="EI37" s="230"/>
      <c r="EJ37" s="44"/>
      <c r="EK37" s="230"/>
      <c r="EL37" s="227"/>
      <c r="EM37" s="26"/>
      <c r="EN37" s="27"/>
      <c r="EO37" s="230"/>
      <c r="EP37" s="230"/>
      <c r="EQ37" s="44"/>
      <c r="ER37" s="230"/>
      <c r="ES37" s="227"/>
    </row>
    <row r="38" spans="1:150" s="32" customFormat="1" x14ac:dyDescent="0.55000000000000004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 x14ac:dyDescent="0.45">
      <c r="B39" s="233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7"/>
      <c r="D39" s="233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7"/>
      <c r="F39" s="226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7"/>
      <c r="I39" s="233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7"/>
      <c r="K39" s="233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7"/>
      <c r="M39" s="226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7"/>
      <c r="Q39" s="233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7"/>
      <c r="S39" s="233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7"/>
      <c r="U39" s="226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7"/>
      <c r="X39" s="233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7"/>
      <c r="Z39" s="233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7"/>
      <c r="AB39" s="226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7"/>
      <c r="AF39" s="233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7"/>
      <c r="AH39" s="233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7"/>
      <c r="AJ39" s="226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7"/>
      <c r="AM39" s="233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7"/>
      <c r="AO39" s="233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7"/>
      <c r="AQ39" s="226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7"/>
      <c r="AU39" s="233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7"/>
      <c r="AW39" s="233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7"/>
      <c r="AY39" s="226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7"/>
      <c r="BB39" s="233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7"/>
      <c r="BD39" s="233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7"/>
      <c r="BF39" s="226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7"/>
      <c r="BJ39" s="233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7"/>
      <c r="BL39" s="233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7"/>
      <c r="BN39" s="226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7"/>
      <c r="BQ39" s="233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7"/>
      <c r="BS39" s="233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7"/>
      <c r="BU39" s="226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7"/>
      <c r="BY39" s="233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7"/>
      <c r="CA39" s="233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7"/>
      <c r="CC39" s="226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7"/>
      <c r="CF39" s="233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7"/>
      <c r="CH39" s="233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7"/>
      <c r="CJ39" s="226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7"/>
      <c r="CN39" s="233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7"/>
      <c r="CP39" s="233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7"/>
      <c r="CR39" s="226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7"/>
      <c r="CU39" s="233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7"/>
      <c r="CW39" s="233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7"/>
      <c r="CY39" s="226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7"/>
      <c r="DC39" s="233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7"/>
      <c r="DE39" s="233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7"/>
      <c r="DG39" s="226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7"/>
      <c r="DJ39" s="233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7"/>
      <c r="DL39" s="233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7"/>
      <c r="DN39" s="226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7"/>
      <c r="DR39" s="233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7"/>
      <c r="DT39" s="233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7"/>
      <c r="DV39" s="226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7"/>
      <c r="DY39" s="233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7"/>
      <c r="EA39" s="233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7"/>
      <c r="EC39" s="226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7"/>
      <c r="EG39" s="233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7"/>
      <c r="EI39" s="233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7"/>
      <c r="EK39" s="226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7"/>
      <c r="EN39" s="233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7"/>
      <c r="EP39" s="233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7"/>
      <c r="ER39" s="226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7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24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25"/>
      <c r="E41" s="225"/>
      <c r="F41" s="225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24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25"/>
      <c r="L41" s="225"/>
      <c r="M41" s="225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24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25"/>
      <c r="T41" s="225"/>
      <c r="U41" s="225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24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25"/>
      <c r="AA41" s="225"/>
      <c r="AB41" s="225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24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25"/>
      <c r="AI41" s="225"/>
      <c r="AJ41" s="225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24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25"/>
      <c r="AP41" s="225"/>
      <c r="AQ41" s="225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24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25"/>
      <c r="AX41" s="225"/>
      <c r="AY41" s="225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24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25"/>
      <c r="BE41" s="225"/>
      <c r="BF41" s="225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24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25"/>
      <c r="BM41" s="225"/>
      <c r="BN41" s="225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24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25"/>
      <c r="BT41" s="225"/>
      <c r="BU41" s="225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24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25"/>
      <c r="CB41" s="225"/>
      <c r="CC41" s="225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24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25"/>
      <c r="CI41" s="225"/>
      <c r="CJ41" s="225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24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25"/>
      <c r="CQ41" s="225"/>
      <c r="CR41" s="225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24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25"/>
      <c r="CX41" s="225"/>
      <c r="CY41" s="225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24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25"/>
      <c r="DF41" s="225"/>
      <c r="DG41" s="225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24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25"/>
      <c r="DM41" s="225"/>
      <c r="DN41" s="225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24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25"/>
      <c r="DU41" s="225"/>
      <c r="DV41" s="225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24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25"/>
      <c r="EB41" s="225"/>
      <c r="EC41" s="225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24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25"/>
      <c r="EJ41" s="225"/>
      <c r="EK41" s="225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24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25"/>
      <c r="EQ41" s="225"/>
      <c r="ER41" s="225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 x14ac:dyDescent="0.55000000000000004">
      <c r="A42" s="31"/>
      <c r="B42" s="197"/>
      <c r="C42" s="47" t="str" cm="1">
        <f t="array" aca="1" ref="C42" ca="1">IF(AND(C41&lt;&gt;"",ISERROR(FIND("社食",C41))),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 cm="1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 cm="1">
        <f t="array" aca="1" ref="J42" ca="1">IF(AND(J41&lt;&gt;"",ISERROR(FIND("社食",J41))),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 cm="1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 cm="1">
        <f t="array" aca="1" ref="R42" ca="1">IF(AND(R41&lt;&gt;"",ISERROR(FIND("社食",R41))),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 cm="1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 cm="1">
        <f t="array" aca="1" ref="Y42" ca="1">IF(AND(Y41&lt;&gt;"",ISERROR(FIND("社食",Y41))),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 cm="1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 cm="1">
        <f t="array" aca="1" ref="AG42" ca="1">IF(AND(AG41&lt;&gt;"",ISERROR(FIND("社食",AG41))),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 cm="1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 cm="1">
        <f t="array" aca="1" ref="AN42" ca="1">IF(AND(AN41&lt;&gt;"",ISERROR(FIND("社食",AN41))),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 cm="1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 cm="1">
        <f t="array" aca="1" ref="AV42" ca="1">IF(AND(AV41&lt;&gt;"",ISERROR(FIND("社食",AV41))),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 cm="1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 cm="1">
        <f t="array" aca="1" ref="BC42" ca="1">IF(AND(BC41&lt;&gt;"",ISERROR(FIND("社食",BC41))),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 cm="1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 cm="1">
        <f t="array" aca="1" ref="BK42" ca="1">IF(AND(BK41&lt;&gt;"",ISERROR(FIND("社食",BK41))),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 cm="1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 cm="1">
        <f t="array" aca="1" ref="BR42" ca="1">IF(AND(BR41&lt;&gt;"",ISERROR(FIND("社食",BR41))),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 cm="1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 cm="1">
        <f t="array" aca="1" ref="BZ42" ca="1">IF(AND(BZ41&lt;&gt;"",ISERROR(FIND("社食",BZ41))),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 cm="1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 cm="1">
        <f t="array" aca="1" ref="CG42" ca="1">IF(AND(CG41&lt;&gt;"",ISERROR(FIND("社食",CG41))),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 cm="1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 cm="1">
        <f t="array" aca="1" ref="CO42" ca="1">IF(AND(CO41&lt;&gt;"",ISERROR(FIND("社食",CO41))),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 cm="1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 cm="1">
        <f t="array" aca="1" ref="CV42" ca="1">IF(AND(CV41&lt;&gt;"",ISERROR(FIND("社食",CV41))),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 cm="1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 cm="1">
        <f t="array" aca="1" ref="DD42" ca="1">IF(AND(DD41&lt;&gt;"",ISERROR(FIND("社食",DD41))),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 cm="1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 cm="1">
        <f t="array" aca="1" ref="DK42" ca="1">IF(AND(DK41&lt;&gt;"",ISERROR(FIND("社食",DK41))),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 cm="1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 cm="1">
        <f t="array" aca="1" ref="DS42" ca="1">IF(AND(DS41&lt;&gt;"",ISERROR(FIND("社食",DS41))),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 cm="1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 cm="1">
        <f t="array" aca="1" ref="DZ42" ca="1">IF(AND(DZ41&lt;&gt;"",ISERROR(FIND("社食",DZ41))),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 cm="1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 cm="1">
        <f t="array" aca="1" ref="EH42" ca="1">IF(AND(EH41&lt;&gt;"",ISERROR(FIND("社食",EH41))),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 cm="1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 cm="1">
        <f t="array" aca="1" ref="EO42" ca="1">IF(AND(EO41&lt;&gt;"",ISERROR(FIND("社食",EO41))),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 cm="1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 x14ac:dyDescent="0.55000000000000004">
      <c r="A43" s="31"/>
      <c r="B43" s="34"/>
      <c r="C43" s="222" t="str" cm="1">
        <f t="array" aca="1" ref="C43" ca="1">IF(AND(C41&lt;&gt;"",ISERROR(FIND("社食",C41))),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23"/>
      <c r="E43" s="22"/>
      <c r="F43" s="32" t="str" cm="1">
        <f t="array" aca="1" ref="F43" ca="1">IF(AND(C41&lt;&gt;"",ISERROR(FIND("社食",C41))),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22" t="str" cm="1">
        <f t="array" aca="1" ref="J43" ca="1">IF(AND(C41&lt;&gt;"",ISERROR(FIND("社食",C41))),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23"/>
      <c r="L43" s="22"/>
      <c r="M43" s="32" t="str" cm="1">
        <f t="array" aca="1" ref="M43" ca="1">IF(AND(C41&lt;&gt;"",ISERROR(FIND("社食",C41))),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22" t="str" cm="1">
        <f t="array" aca="1" ref="R43" ca="1">IF(AND(R41&lt;&gt;"",ISERROR(FIND("社食",R41))),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23"/>
      <c r="T43" s="22"/>
      <c r="U43" s="32" t="str" cm="1">
        <f t="array" aca="1" ref="U43" ca="1">IF(AND(R41&lt;&gt;"",ISERROR(FIND("社食",R41))),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22" t="str" cm="1">
        <f t="array" aca="1" ref="Y43" ca="1">IF(AND(R41&lt;&gt;"",ISERROR(FIND("社食",R41))),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23"/>
      <c r="AA43" s="22"/>
      <c r="AB43" s="32" t="str" cm="1">
        <f t="array" aca="1" ref="AB43" ca="1">IF(AND(R41&lt;&gt;"",ISERROR(FIND("社食",R41))),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22" t="str" cm="1">
        <f t="array" aca="1" ref="AG43" ca="1">IF(AND(AG41&lt;&gt;"",ISERROR(FIND("社食",AG41))),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23"/>
      <c r="AI43" s="22"/>
      <c r="AJ43" s="32" t="str" cm="1">
        <f t="array" aca="1" ref="AJ43" ca="1">IF(AND(AG41&lt;&gt;"",ISERROR(FIND("社食",AG41))),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22" t="str" cm="1">
        <f t="array" aca="1" ref="AN43" ca="1">IF(AND(AG41&lt;&gt;"",ISERROR(FIND("社食",AG41))),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23"/>
      <c r="AP43" s="22"/>
      <c r="AQ43" s="32" t="str" cm="1">
        <f t="array" aca="1" ref="AQ43" ca="1">IF(AND(AG41&lt;&gt;"",ISERROR(FIND("社食",AG41))),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22" t="str" cm="1">
        <f t="array" aca="1" ref="AV43" ca="1">IF(AND(AV41&lt;&gt;"",ISERROR(FIND("社食",AV41))),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23"/>
      <c r="AX43" s="22"/>
      <c r="AY43" s="32" t="str" cm="1">
        <f t="array" aca="1" ref="AY43" ca="1">IF(AND(AV41&lt;&gt;"",ISERROR(FIND("社食",AV41))),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22" t="str" cm="1">
        <f t="array" aca="1" ref="BC43" ca="1">IF(AND(AV41&lt;&gt;"",ISERROR(FIND("社食",AV41))),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23"/>
      <c r="BE43" s="22"/>
      <c r="BF43" s="32" t="str" cm="1">
        <f t="array" aca="1" ref="BF43" ca="1">IF(AND(AV41&lt;&gt;"",ISERROR(FIND("社食",AV41))),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22" t="str" cm="1">
        <f t="array" aca="1" ref="BK43" ca="1">IF(AND(BK41&lt;&gt;"",ISERROR(FIND("社食",BK41))),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23"/>
      <c r="BM43" s="22"/>
      <c r="BN43" s="32" t="str" cm="1">
        <f t="array" aca="1" ref="BN43" ca="1">IF(AND(BK41&lt;&gt;"",ISERROR(FIND("社食",BK41))),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22" t="str" cm="1">
        <f t="array" aca="1" ref="BR43" ca="1">IF(AND(BK41&lt;&gt;"",ISERROR(FIND("社食",BK41))),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23"/>
      <c r="BT43" s="22"/>
      <c r="BU43" s="32" t="str" cm="1">
        <f t="array" aca="1" ref="BU43" ca="1">IF(AND(BK41&lt;&gt;"",ISERROR(FIND("社食",BK41))),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22" t="str" cm="1">
        <f t="array" aca="1" ref="BZ43" ca="1">IF(AND(BZ41&lt;&gt;"",ISERROR(FIND("社食",BZ41))),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23"/>
      <c r="CB43" s="22"/>
      <c r="CC43" s="32" t="str" cm="1">
        <f t="array" aca="1" ref="CC43" ca="1">IF(AND(BZ41&lt;&gt;"",ISERROR(FIND("社食",BZ41))),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22" t="str" cm="1">
        <f t="array" aca="1" ref="CG43" ca="1">IF(AND(BZ41&lt;&gt;"",ISERROR(FIND("社食",BZ41))),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23"/>
      <c r="CI43" s="22"/>
      <c r="CJ43" s="32" t="str" cm="1">
        <f t="array" aca="1" ref="CJ43" ca="1">IF(AND(BZ41&lt;&gt;"",ISERROR(FIND("社食",BZ41))),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22" t="str" cm="1">
        <f t="array" aca="1" ref="CO43" ca="1">IF(AND(CO41&lt;&gt;"",ISERROR(FIND("社食",CO41))),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23"/>
      <c r="CQ43" s="22"/>
      <c r="CR43" s="32" t="str" cm="1">
        <f t="array" aca="1" ref="CR43" ca="1">IF(AND(CO41&lt;&gt;"",ISERROR(FIND("社食",CO41))),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22" t="str" cm="1">
        <f t="array" aca="1" ref="CV43" ca="1">IF(AND(CO41&lt;&gt;"",ISERROR(FIND("社食",CO41))),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23"/>
      <c r="CX43" s="22"/>
      <c r="CY43" s="32" t="str" cm="1">
        <f t="array" aca="1" ref="CY43" ca="1">IF(AND(CO41&lt;&gt;"",ISERROR(FIND("社食",CO41))),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22" t="str" cm="1">
        <f t="array" aca="1" ref="DD43" ca="1">IF(AND(DD41&lt;&gt;"",ISERROR(FIND("社食",DD41))),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23"/>
      <c r="DF43" s="22"/>
      <c r="DG43" s="32" t="str" cm="1">
        <f t="array" aca="1" ref="DG43" ca="1">IF(AND(DD41&lt;&gt;"",ISERROR(FIND("社食",DD41))),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22" t="str" cm="1">
        <f t="array" aca="1" ref="DK43" ca="1">IF(AND(DD41&lt;&gt;"",ISERROR(FIND("社食",DD41))),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23"/>
      <c r="DM43" s="22"/>
      <c r="DN43" s="32" t="str" cm="1">
        <f t="array" aca="1" ref="DN43" ca="1">IF(AND(DD41&lt;&gt;"",ISERROR(FIND("社食",DD41))),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22" t="str" cm="1">
        <f t="array" aca="1" ref="DS43" ca="1">IF(AND(DS41&lt;&gt;"",ISERROR(FIND("社食",DS41))),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23"/>
      <c r="DU43" s="22"/>
      <c r="DV43" s="32" t="str" cm="1">
        <f t="array" aca="1" ref="DV43" ca="1">IF(AND(DS41&lt;&gt;"",ISERROR(FIND("社食",DS41))),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22" t="str" cm="1">
        <f t="array" aca="1" ref="DZ43" ca="1">IF(AND(DS41&lt;&gt;"",ISERROR(FIND("社食",DS41))),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23"/>
      <c r="EB43" s="22"/>
      <c r="EC43" s="32" t="str" cm="1">
        <f t="array" aca="1" ref="EC43" ca="1">IF(AND(DS41&lt;&gt;"",ISERROR(FIND("社食",DS41))),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22" t="str" cm="1">
        <f t="array" aca="1" ref="EH43" ca="1">IF(AND(EH41&lt;&gt;"",ISERROR(FIND("社食",EH41))),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23"/>
      <c r="EJ43" s="22"/>
      <c r="EK43" s="32" t="str" cm="1">
        <f t="array" aca="1" ref="EK43" ca="1">IF(AND(EH41&lt;&gt;"",ISERROR(FIND("社食",EH41))),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22" t="str" cm="1">
        <f t="array" aca="1" ref="EO43" ca="1">IF(AND(EH41&lt;&gt;"",ISERROR(FIND("社食",EH41))),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23"/>
      <c r="EQ43" s="22"/>
      <c r="ER43" s="32" t="str" cm="1">
        <f t="array" aca="1" ref="ER43" ca="1">IF(AND(EH41&lt;&gt;"",ISERROR(FIND("社食",EH41))),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 x14ac:dyDescent="1.05">
      <c r="B44" s="25"/>
      <c r="C44" s="228" t="str">
        <f t="array" aca="1" ref="C44" ca="1">IF(C41&lt;&gt;"",INDIRECT("'盛付札（関数）'!W"&amp;A41),"")</f>
        <v/>
      </c>
      <c r="D44" s="229"/>
      <c r="E44" s="50"/>
      <c r="F44" s="231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32"/>
      <c r="H44" s="26"/>
      <c r="I44" s="25"/>
      <c r="J44" s="228" t="str">
        <f t="array" aca="1" ref="J44" ca="1">IF(J41&lt;&gt;"",INDIRECT("'盛付札（関数）'!W"&amp;H41),"")</f>
        <v/>
      </c>
      <c r="K44" s="229"/>
      <c r="L44" s="50"/>
      <c r="M44" s="231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32"/>
      <c r="Q44" s="25"/>
      <c r="R44" s="228" t="str">
        <f t="array" aca="1" ref="R44" ca="1">IF(R41&lt;&gt;"",INDIRECT("'盛付札（関数）'!W"&amp;P41),"")</f>
        <v/>
      </c>
      <c r="S44" s="229"/>
      <c r="T44" s="50"/>
      <c r="U44" s="231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32"/>
      <c r="W44" s="26"/>
      <c r="X44" s="25"/>
      <c r="Y44" s="228" t="str">
        <f t="array" aca="1" ref="Y44" ca="1">IF(Y41&lt;&gt;"",INDIRECT("'盛付札（関数）'!W"&amp;W41),"")</f>
        <v/>
      </c>
      <c r="Z44" s="229"/>
      <c r="AA44" s="50"/>
      <c r="AB44" s="231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32"/>
      <c r="AF44" s="25"/>
      <c r="AG44" s="228" t="str">
        <f t="array" aca="1" ref="AG44" ca="1">IF(AG41&lt;&gt;"",INDIRECT("'盛付札（関数）'!W"&amp;AE41),"")</f>
        <v/>
      </c>
      <c r="AH44" s="229"/>
      <c r="AI44" s="50"/>
      <c r="AJ44" s="231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32"/>
      <c r="AL44" s="26"/>
      <c r="AM44" s="25"/>
      <c r="AN44" s="228" t="str">
        <f t="array" aca="1" ref="AN44" ca="1">IF(AN41&lt;&gt;"",INDIRECT("'盛付札（関数）'!W"&amp;AL41),"")</f>
        <v/>
      </c>
      <c r="AO44" s="229"/>
      <c r="AP44" s="50"/>
      <c r="AQ44" s="231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32"/>
      <c r="AU44" s="25"/>
      <c r="AV44" s="228" t="str">
        <f t="array" aca="1" ref="AV44" ca="1">IF(AV41&lt;&gt;"",INDIRECT("'盛付札（関数）'!W"&amp;AT41),"")</f>
        <v/>
      </c>
      <c r="AW44" s="229"/>
      <c r="AX44" s="50"/>
      <c r="AY44" s="231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32"/>
      <c r="BA44" s="26"/>
      <c r="BB44" s="25"/>
      <c r="BC44" s="228" t="str">
        <f t="array" aca="1" ref="BC44" ca="1">IF(BC41&lt;&gt;"",INDIRECT("'盛付札（関数）'!W"&amp;BA41),"")</f>
        <v/>
      </c>
      <c r="BD44" s="229"/>
      <c r="BE44" s="50"/>
      <c r="BF44" s="231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32"/>
      <c r="BJ44" s="25"/>
      <c r="BK44" s="228" t="str">
        <f t="array" aca="1" ref="BK44" ca="1">IF(BK41&lt;&gt;"",INDIRECT("'盛付札（関数）'!W"&amp;BI41),"")</f>
        <v/>
      </c>
      <c r="BL44" s="229"/>
      <c r="BM44" s="50"/>
      <c r="BN44" s="231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32"/>
      <c r="BP44" s="26"/>
      <c r="BQ44" s="25"/>
      <c r="BR44" s="228" t="str">
        <f t="array" aca="1" ref="BR44" ca="1">IF(BR41&lt;&gt;"",INDIRECT("'盛付札（関数）'!W"&amp;BP41),"")</f>
        <v/>
      </c>
      <c r="BS44" s="229"/>
      <c r="BT44" s="50"/>
      <c r="BU44" s="231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32"/>
      <c r="BY44" s="25"/>
      <c r="BZ44" s="228" t="str">
        <f t="array" aca="1" ref="BZ44" ca="1">IF(BZ41&lt;&gt;"",INDIRECT("'盛付札（関数）'!W"&amp;BX41),"")</f>
        <v/>
      </c>
      <c r="CA44" s="229"/>
      <c r="CB44" s="50"/>
      <c r="CC44" s="231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32"/>
      <c r="CE44" s="26"/>
      <c r="CF44" s="25"/>
      <c r="CG44" s="228" t="str">
        <f t="array" aca="1" ref="CG44" ca="1">IF(CG41&lt;&gt;"",INDIRECT("'盛付札（関数）'!W"&amp;CE41),"")</f>
        <v/>
      </c>
      <c r="CH44" s="229"/>
      <c r="CI44" s="50"/>
      <c r="CJ44" s="231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32"/>
      <c r="CN44" s="25"/>
      <c r="CO44" s="228" t="str">
        <f t="array" aca="1" ref="CO44" ca="1">IF(CO41&lt;&gt;"",INDIRECT("'盛付札（関数）'!W"&amp;CM41),"")</f>
        <v/>
      </c>
      <c r="CP44" s="229"/>
      <c r="CQ44" s="50"/>
      <c r="CR44" s="231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32"/>
      <c r="CT44" s="26"/>
      <c r="CU44" s="25"/>
      <c r="CV44" s="228" t="str">
        <f t="array" aca="1" ref="CV44" ca="1">IF(CV41&lt;&gt;"",INDIRECT("'盛付札（関数）'!W"&amp;CT41),"")</f>
        <v/>
      </c>
      <c r="CW44" s="229"/>
      <c r="CX44" s="50"/>
      <c r="CY44" s="231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32"/>
      <c r="DC44" s="25"/>
      <c r="DD44" s="228" t="str">
        <f t="array" aca="1" ref="DD44" ca="1">IF(DD41&lt;&gt;"",INDIRECT("'盛付札（関数）'!W"&amp;DB41),"")</f>
        <v/>
      </c>
      <c r="DE44" s="229"/>
      <c r="DF44" s="50"/>
      <c r="DG44" s="231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32"/>
      <c r="DI44" s="26"/>
      <c r="DJ44" s="25"/>
      <c r="DK44" s="228" t="str">
        <f t="array" aca="1" ref="DK44" ca="1">IF(DK41&lt;&gt;"",INDIRECT("'盛付札（関数）'!W"&amp;DI41),"")</f>
        <v/>
      </c>
      <c r="DL44" s="229"/>
      <c r="DM44" s="50"/>
      <c r="DN44" s="231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32"/>
      <c r="DR44" s="25"/>
      <c r="DS44" s="228" t="str">
        <f t="array" aca="1" ref="DS44" ca="1">IF(DS41&lt;&gt;"",INDIRECT("'盛付札（関数）'!W"&amp;DQ41),"")</f>
        <v/>
      </c>
      <c r="DT44" s="229"/>
      <c r="DU44" s="50"/>
      <c r="DV44" s="231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32"/>
      <c r="DX44" s="26"/>
      <c r="DY44" s="25"/>
      <c r="DZ44" s="228" t="str">
        <f t="array" aca="1" ref="DZ44" ca="1">IF(DZ41&lt;&gt;"",INDIRECT("'盛付札（関数）'!W"&amp;DX41),"")</f>
        <v/>
      </c>
      <c r="EA44" s="229"/>
      <c r="EB44" s="50"/>
      <c r="EC44" s="231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32"/>
      <c r="EG44" s="25"/>
      <c r="EH44" s="228" t="str">
        <f t="array" aca="1" ref="EH44" ca="1">IF(EH41&lt;&gt;"",INDIRECT("'盛付札（関数）'!W"&amp;EF41),"")</f>
        <v/>
      </c>
      <c r="EI44" s="229"/>
      <c r="EJ44" s="50"/>
      <c r="EK44" s="231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32"/>
      <c r="EM44" s="26"/>
      <c r="EN44" s="25"/>
      <c r="EO44" s="228" t="str">
        <f t="array" aca="1" ref="EO44" ca="1">IF(EO41&lt;&gt;"",INDIRECT("'盛付札（関数）'!W"&amp;EM41),"")</f>
        <v/>
      </c>
      <c r="EP44" s="229"/>
      <c r="EQ44" s="50"/>
      <c r="ER44" s="231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32"/>
    </row>
    <row r="45" spans="1:150" ht="15.6" customHeight="1" x14ac:dyDescent="0.45">
      <c r="B45" s="27"/>
      <c r="C45" s="230"/>
      <c r="D45" s="230"/>
      <c r="E45" s="44"/>
      <c r="F45" s="230"/>
      <c r="G45" s="227"/>
      <c r="H45" s="26"/>
      <c r="I45" s="27"/>
      <c r="J45" s="230"/>
      <c r="K45" s="230"/>
      <c r="L45" s="44"/>
      <c r="M45" s="230"/>
      <c r="N45" s="227"/>
      <c r="Q45" s="27"/>
      <c r="R45" s="230"/>
      <c r="S45" s="230"/>
      <c r="T45" s="44"/>
      <c r="U45" s="230"/>
      <c r="V45" s="227"/>
      <c r="W45" s="26"/>
      <c r="X45" s="27"/>
      <c r="Y45" s="230"/>
      <c r="Z45" s="230"/>
      <c r="AA45" s="44"/>
      <c r="AB45" s="230"/>
      <c r="AC45" s="227"/>
      <c r="AF45" s="27"/>
      <c r="AG45" s="230"/>
      <c r="AH45" s="230"/>
      <c r="AI45" s="44"/>
      <c r="AJ45" s="230"/>
      <c r="AK45" s="227"/>
      <c r="AL45" s="26"/>
      <c r="AM45" s="27"/>
      <c r="AN45" s="230"/>
      <c r="AO45" s="230"/>
      <c r="AP45" s="44"/>
      <c r="AQ45" s="230"/>
      <c r="AR45" s="227"/>
      <c r="AU45" s="27"/>
      <c r="AV45" s="230"/>
      <c r="AW45" s="230"/>
      <c r="AX45" s="44"/>
      <c r="AY45" s="230"/>
      <c r="AZ45" s="227"/>
      <c r="BA45" s="26"/>
      <c r="BB45" s="27"/>
      <c r="BC45" s="230"/>
      <c r="BD45" s="230"/>
      <c r="BE45" s="44"/>
      <c r="BF45" s="230"/>
      <c r="BG45" s="227"/>
      <c r="BJ45" s="27"/>
      <c r="BK45" s="230"/>
      <c r="BL45" s="230"/>
      <c r="BM45" s="44"/>
      <c r="BN45" s="230"/>
      <c r="BO45" s="227"/>
      <c r="BP45" s="26"/>
      <c r="BQ45" s="27"/>
      <c r="BR45" s="230"/>
      <c r="BS45" s="230"/>
      <c r="BT45" s="44"/>
      <c r="BU45" s="230"/>
      <c r="BV45" s="227"/>
      <c r="BY45" s="27"/>
      <c r="BZ45" s="230"/>
      <c r="CA45" s="230"/>
      <c r="CB45" s="44"/>
      <c r="CC45" s="230"/>
      <c r="CD45" s="227"/>
      <c r="CE45" s="26"/>
      <c r="CF45" s="27"/>
      <c r="CG45" s="230"/>
      <c r="CH45" s="230"/>
      <c r="CI45" s="44"/>
      <c r="CJ45" s="230"/>
      <c r="CK45" s="227"/>
      <c r="CN45" s="27"/>
      <c r="CO45" s="230"/>
      <c r="CP45" s="230"/>
      <c r="CQ45" s="44"/>
      <c r="CR45" s="230"/>
      <c r="CS45" s="227"/>
      <c r="CT45" s="26"/>
      <c r="CU45" s="27"/>
      <c r="CV45" s="230"/>
      <c r="CW45" s="230"/>
      <c r="CX45" s="44"/>
      <c r="CY45" s="230"/>
      <c r="CZ45" s="227"/>
      <c r="DC45" s="27"/>
      <c r="DD45" s="230"/>
      <c r="DE45" s="230"/>
      <c r="DF45" s="44"/>
      <c r="DG45" s="230"/>
      <c r="DH45" s="227"/>
      <c r="DI45" s="26"/>
      <c r="DJ45" s="27"/>
      <c r="DK45" s="230"/>
      <c r="DL45" s="230"/>
      <c r="DM45" s="44"/>
      <c r="DN45" s="230"/>
      <c r="DO45" s="227"/>
      <c r="DR45" s="27"/>
      <c r="DS45" s="230"/>
      <c r="DT45" s="230"/>
      <c r="DU45" s="44"/>
      <c r="DV45" s="230"/>
      <c r="DW45" s="227"/>
      <c r="DX45" s="26"/>
      <c r="DY45" s="27"/>
      <c r="DZ45" s="230"/>
      <c r="EA45" s="230"/>
      <c r="EB45" s="44"/>
      <c r="EC45" s="230"/>
      <c r="ED45" s="227"/>
      <c r="EG45" s="27"/>
      <c r="EH45" s="230"/>
      <c r="EI45" s="230"/>
      <c r="EJ45" s="44"/>
      <c r="EK45" s="230"/>
      <c r="EL45" s="227"/>
      <c r="EM45" s="26"/>
      <c r="EN45" s="27"/>
      <c r="EO45" s="230"/>
      <c r="EP45" s="230"/>
      <c r="EQ45" s="44"/>
      <c r="ER45" s="230"/>
      <c r="ES45" s="227"/>
    </row>
    <row r="46" spans="1:150" s="32" customFormat="1" x14ac:dyDescent="0.55000000000000004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 x14ac:dyDescent="0.45">
      <c r="B47" s="233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7"/>
      <c r="D47" s="233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7"/>
      <c r="F47" s="226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7"/>
      <c r="I47" s="233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7"/>
      <c r="K47" s="233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7"/>
      <c r="M47" s="226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7"/>
      <c r="Q47" s="233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7"/>
      <c r="S47" s="233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7"/>
      <c r="U47" s="226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7"/>
      <c r="X47" s="233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7"/>
      <c r="Z47" s="233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7"/>
      <c r="AB47" s="226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7"/>
      <c r="AF47" s="233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7"/>
      <c r="AH47" s="233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7"/>
      <c r="AJ47" s="226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7"/>
      <c r="AM47" s="233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7"/>
      <c r="AO47" s="233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7"/>
      <c r="AQ47" s="226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7"/>
      <c r="AU47" s="233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7"/>
      <c r="AW47" s="233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7"/>
      <c r="AY47" s="226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7"/>
      <c r="BB47" s="233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7"/>
      <c r="BD47" s="233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7"/>
      <c r="BF47" s="226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7"/>
      <c r="BJ47" s="233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7"/>
      <c r="BL47" s="233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7"/>
      <c r="BN47" s="226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7"/>
      <c r="BQ47" s="233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7"/>
      <c r="BS47" s="233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7"/>
      <c r="BU47" s="226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7"/>
      <c r="BY47" s="233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7"/>
      <c r="CA47" s="233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7"/>
      <c r="CC47" s="226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7"/>
      <c r="CF47" s="233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7"/>
      <c r="CH47" s="233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7"/>
      <c r="CJ47" s="226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7"/>
      <c r="CN47" s="233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7"/>
      <c r="CP47" s="233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7"/>
      <c r="CR47" s="226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7"/>
      <c r="CU47" s="233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7"/>
      <c r="CW47" s="233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7"/>
      <c r="CY47" s="226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7"/>
      <c r="DC47" s="233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7"/>
      <c r="DE47" s="233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7"/>
      <c r="DG47" s="226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7"/>
      <c r="DJ47" s="233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7"/>
      <c r="DL47" s="233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7"/>
      <c r="DN47" s="226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7"/>
      <c r="DR47" s="233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7"/>
      <c r="DT47" s="233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7"/>
      <c r="DV47" s="226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7"/>
      <c r="DY47" s="233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7"/>
      <c r="EA47" s="233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7"/>
      <c r="EC47" s="226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7"/>
      <c r="EG47" s="233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7"/>
      <c r="EI47" s="233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7"/>
      <c r="EK47" s="226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7"/>
      <c r="EN47" s="233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7"/>
      <c r="EP47" s="233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7"/>
      <c r="ER47" s="226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7"/>
    </row>
  </sheetData>
  <mergeCells count="840"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Y36:Z37"/>
    <mergeCell ref="R35:S35"/>
    <mergeCell ref="C35:D35"/>
    <mergeCell ref="DT39:DU39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EH44:EI45"/>
    <mergeCell ref="EC39:ED39"/>
    <mergeCell ref="BK41:BN41"/>
    <mergeCell ref="CC7:CD7"/>
    <mergeCell ref="F23:G23"/>
    <mergeCell ref="BZ35:CA3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DN44:DO45"/>
    <mergeCell ref="AY7:AZ7"/>
    <mergeCell ref="D7:E7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DD35:DE35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F44:G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ER12:ES13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U4:V5"/>
    <mergeCell ref="CW31:CX31"/>
    <mergeCell ref="AU15:AV15"/>
    <mergeCell ref="AV1:AY1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J3:K3"/>
    <mergeCell ref="BF4:BG5"/>
    <mergeCell ref="X7:Y7"/>
    <mergeCell ref="Z7:AA7"/>
    <mergeCell ref="R1:U1"/>
    <mergeCell ref="AB28:AC29"/>
    <mergeCell ref="AV36:AW37"/>
    <mergeCell ref="AG25:AJ25"/>
    <mergeCell ref="BK44:BL45"/>
    <mergeCell ref="BC41:BF41"/>
    <mergeCell ref="AF7:AG7"/>
    <mergeCell ref="AH7:AI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B15:AC15"/>
    <mergeCell ref="EG39:EH39"/>
    <mergeCell ref="CW47:CX47"/>
    <mergeCell ref="AJ7:AK7"/>
    <mergeCell ref="CO33:CR33"/>
    <mergeCell ref="AG11:AH11"/>
    <mergeCell ref="Y11:Z11"/>
    <mergeCell ref="AV27:AW27"/>
    <mergeCell ref="DZ19:EA19"/>
    <mergeCell ref="AJ20:AK21"/>
    <mergeCell ref="J12:K13"/>
    <mergeCell ref="J9:M9"/>
    <mergeCell ref="CV33:CY33"/>
    <mergeCell ref="CJ12:CK13"/>
    <mergeCell ref="DN28:DO29"/>
    <mergeCell ref="DS9:DV9"/>
    <mergeCell ref="U7:V7"/>
    <mergeCell ref="CA7:CB7"/>
    <mergeCell ref="X15:Y15"/>
    <mergeCell ref="EP7:EQ7"/>
    <mergeCell ref="BU36:BV37"/>
    <mergeCell ref="EH20:EI21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BZ20:CA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DN12:DO13"/>
    <mergeCell ref="EP15:EQ15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B7:C7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EC15:ED15"/>
    <mergeCell ref="BC35:BD35"/>
    <mergeCell ref="DK4:DL5"/>
    <mergeCell ref="EK39:EL39"/>
    <mergeCell ref="BS39:BT39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CR4:CS5"/>
    <mergeCell ref="EO20:EP21"/>
    <mergeCell ref="D39:E39"/>
    <mergeCell ref="R4:S5"/>
    <mergeCell ref="AB4:AC5"/>
    <mergeCell ref="CY7:CZ7"/>
    <mergeCell ref="EN31:EO31"/>
    <mergeCell ref="EP31:EQ31"/>
    <mergeCell ref="DT7:DU7"/>
    <mergeCell ref="DV7:DW7"/>
    <mergeCell ref="AQ44:AR45"/>
    <mergeCell ref="AW47:AX47"/>
    <mergeCell ref="AY47:AZ47"/>
    <mergeCell ref="EN39:EO39"/>
    <mergeCell ref="Q23:R23"/>
    <mergeCell ref="DV47:DW47"/>
    <mergeCell ref="CF7:CG7"/>
    <mergeCell ref="S23:T23"/>
    <mergeCell ref="DK20:DL21"/>
    <mergeCell ref="BF20:BG21"/>
    <mergeCell ref="Q31:R31"/>
    <mergeCell ref="DE47:DF47"/>
    <mergeCell ref="DZ27:EA27"/>
    <mergeCell ref="CU23:CV23"/>
    <mergeCell ref="EA47:EB47"/>
    <mergeCell ref="AB31:AC31"/>
    <mergeCell ref="AG27:AH27"/>
    <mergeCell ref="BY23:BZ23"/>
    <mergeCell ref="BZ17:CC17"/>
    <mergeCell ref="DD36:DE37"/>
    <mergeCell ref="F31:G31"/>
    <mergeCell ref="AN11:AO11"/>
    <mergeCell ref="BU15:BV15"/>
    <mergeCell ref="DK33:DN33"/>
    <mergeCell ref="BZ36:CA37"/>
    <mergeCell ref="AN25:AQ25"/>
    <mergeCell ref="BR44:BS45"/>
    <mergeCell ref="F39:G39"/>
    <mergeCell ref="CR20:CS21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BC17:BF17"/>
    <mergeCell ref="AW39:AX39"/>
    <mergeCell ref="R20:S21"/>
    <mergeCell ref="BK28:BL29"/>
    <mergeCell ref="AG41:AJ41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C31:ED31"/>
    <mergeCell ref="EH4:EI5"/>
    <mergeCell ref="BL15:BM15"/>
    <mergeCell ref="BN15:BO15"/>
    <mergeCell ref="DD11:DE11"/>
    <mergeCell ref="DV28:DW29"/>
    <mergeCell ref="DZ28:EA29"/>
    <mergeCell ref="DD25:DG25"/>
    <mergeCell ref="BB31:BC31"/>
    <mergeCell ref="DD33:DG33"/>
    <mergeCell ref="BS15:BT15"/>
    <mergeCell ref="DV12:DW13"/>
    <mergeCell ref="EH1:EK1"/>
    <mergeCell ref="BZ3:CA3"/>
    <mergeCell ref="EG23:EH23"/>
    <mergeCell ref="DZ43:EA43"/>
    <mergeCell ref="CF39:CG39"/>
    <mergeCell ref="BR11:BS11"/>
    <mergeCell ref="CH39:CI39"/>
    <mergeCell ref="BY7:BZ7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DS44:DT45"/>
    <mergeCell ref="CG20:CH21"/>
    <mergeCell ref="CG12:CH13"/>
    <mergeCell ref="J25:M25"/>
    <mergeCell ref="Q47:R47"/>
    <mergeCell ref="R12:S13"/>
    <mergeCell ref="J36:K37"/>
    <mergeCell ref="BR25:BU25"/>
    <mergeCell ref="AJ39:AK39"/>
    <mergeCell ref="CR36:CS3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ER44:ES45"/>
    <mergeCell ref="EO33:ER33"/>
    <mergeCell ref="BC1:BF1"/>
    <mergeCell ref="DS4:DT5"/>
    <mergeCell ref="BN4:BO5"/>
    <mergeCell ref="BJ7:BK7"/>
    <mergeCell ref="BL7:BM7"/>
    <mergeCell ref="DR7:DS7"/>
    <mergeCell ref="EO9:ER9"/>
    <mergeCell ref="CC44:CD45"/>
    <mergeCell ref="AQ20:AR21"/>
    <mergeCell ref="DV23:DW23"/>
    <mergeCell ref="DD27:DE27"/>
    <mergeCell ref="AU7:AV7"/>
    <mergeCell ref="EO3:EP3"/>
    <mergeCell ref="EN7:EO7"/>
    <mergeCell ref="EO17:ER17"/>
    <mergeCell ref="DT31:DU31"/>
    <mergeCell ref="BZ27:CA27"/>
    <mergeCell ref="Q7:R7"/>
    <mergeCell ref="BU31:BV31"/>
    <mergeCell ref="DV31:DW31"/>
    <mergeCell ref="AU23:AV23"/>
    <mergeCell ref="U15:V15"/>
    <mergeCell ref="CG28:CH29"/>
    <mergeCell ref="AN9:AQ9"/>
    <mergeCell ref="DK9:DN9"/>
    <mergeCell ref="EC7:ED7"/>
    <mergeCell ref="EK15:EL15"/>
    <mergeCell ref="EO4:EP5"/>
    <mergeCell ref="BQ7:BR7"/>
    <mergeCell ref="EH28:EI29"/>
    <mergeCell ref="EN23:EO23"/>
    <mergeCell ref="CN7:CO7"/>
    <mergeCell ref="AG20:AH21"/>
    <mergeCell ref="CO17:CR17"/>
    <mergeCell ref="BN12:BO13"/>
    <mergeCell ref="CF23:CG2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DK28:DL29"/>
    <mergeCell ref="DZ11:EA11"/>
    <mergeCell ref="BK12:BL13"/>
    <mergeCell ref="AB44:AC45"/>
    <mergeCell ref="EI15:EJ15"/>
    <mergeCell ref="EH43:EI43"/>
    <mergeCell ref="F12:G13"/>
    <mergeCell ref="CP39:CQ39"/>
    <mergeCell ref="BK35:BL35"/>
    <mergeCell ref="DK11:DL11"/>
    <mergeCell ref="CR47:CS47"/>
    <mergeCell ref="AM47:AN47"/>
    <mergeCell ref="F20:G21"/>
    <mergeCell ref="J27:K27"/>
    <mergeCell ref="BC28:BD29"/>
    <mergeCell ref="CW15:CX15"/>
    <mergeCell ref="CG36:CH37"/>
    <mergeCell ref="CY15:CZ15"/>
    <mergeCell ref="AH39:AI39"/>
    <mergeCell ref="BY47:BZ47"/>
    <mergeCell ref="AV19:AW19"/>
    <mergeCell ref="R25:U25"/>
    <mergeCell ref="J33:M33"/>
    <mergeCell ref="J19:K19"/>
    <mergeCell ref="BZ33:CC33"/>
    <mergeCell ref="AF47:AG47"/>
    <mergeCell ref="AQ15:AR15"/>
    <mergeCell ref="AN19:AO19"/>
    <mergeCell ref="CJ20:CK21"/>
    <mergeCell ref="BF36:BG37"/>
    <mergeCell ref="AN44:AO45"/>
    <mergeCell ref="BN20:BO21"/>
    <mergeCell ref="BZ44:CA45"/>
    <mergeCell ref="BN47:BO47"/>
    <mergeCell ref="I47:J47"/>
    <mergeCell ref="CJ47:CK47"/>
    <mergeCell ref="AB39:AC39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DV4:DW5"/>
    <mergeCell ref="EC20:ED21"/>
    <mergeCell ref="DD41:DG41"/>
    <mergeCell ref="DS20:DT21"/>
    <mergeCell ref="CG4:CH5"/>
    <mergeCell ref="R9:U9"/>
    <mergeCell ref="AJ4:AK5"/>
    <mergeCell ref="DK12:DL13"/>
    <mergeCell ref="DN31:DO31"/>
    <mergeCell ref="DG47:DH47"/>
    <mergeCell ref="AV4:AW5"/>
    <mergeCell ref="DN20:DO21"/>
    <mergeCell ref="BQ47:BR47"/>
    <mergeCell ref="AN28:AO29"/>
    <mergeCell ref="BF47:BG47"/>
    <mergeCell ref="AY44:AZ4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X47:Y47"/>
    <mergeCell ref="Z47:AA47"/>
    <mergeCell ref="X31:Y31"/>
    <mergeCell ref="Z31:AA31"/>
    <mergeCell ref="DK25:DN25"/>
    <mergeCell ref="DR15:DS15"/>
    <mergeCell ref="CJ44:CK45"/>
    <mergeCell ref="X39:Y39"/>
    <mergeCell ref="DK27:DL27"/>
    <mergeCell ref="AJ28:AK29"/>
    <mergeCell ref="CY12:CZ13"/>
    <mergeCell ref="DK41:DN41"/>
    <mergeCell ref="CY20:CZ2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EO12:EP13"/>
    <mergeCell ref="AV35:AW35"/>
    <mergeCell ref="AO7:AP7"/>
    <mergeCell ref="BF44:BG45"/>
    <mergeCell ref="J35:K35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AQ39:AR39"/>
    <mergeCell ref="M39:N39"/>
    <mergeCell ref="AH23:AI23"/>
    <mergeCell ref="AJ23:AK23"/>
    <mergeCell ref="AG12:AH13"/>
    <mergeCell ref="Y12:Z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D23:E23"/>
    <mergeCell ref="BS7:BT7"/>
    <mergeCell ref="BU7:BV7"/>
    <mergeCell ref="CY4:CZ5"/>
    <mergeCell ref="BB7:BC7"/>
    <mergeCell ref="BD7:BE7"/>
    <mergeCell ref="F7:G7"/>
    <mergeCell ref="BU4:BV5"/>
    <mergeCell ref="C43:D43"/>
    <mergeCell ref="F4:G5"/>
    <mergeCell ref="CP31:CQ31"/>
    <mergeCell ref="CR31:CS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1" width="8.796875" style="76" customWidth="1"/>
    <col min="52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 x14ac:dyDescent="0.45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 x14ac:dyDescent="0.45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 x14ac:dyDescent="0.45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 x14ac:dyDescent="0.45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 x14ac:dyDescent="0.45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 x14ac:dyDescent="0.45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 x14ac:dyDescent="0.45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 x14ac:dyDescent="0.45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 x14ac:dyDescent="0.45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 x14ac:dyDescent="0.45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 x14ac:dyDescent="0.45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 x14ac:dyDescent="0.45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 x14ac:dyDescent="0.45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 x14ac:dyDescent="0.45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 x14ac:dyDescent="0.45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 x14ac:dyDescent="0.45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 x14ac:dyDescent="0.45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 x14ac:dyDescent="0.45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 x14ac:dyDescent="0.45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 x14ac:dyDescent="0.45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 x14ac:dyDescent="0.45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 x14ac:dyDescent="0.45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 x14ac:dyDescent="0.45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 x14ac:dyDescent="0.45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 x14ac:dyDescent="0.45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 x14ac:dyDescent="0.45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 x14ac:dyDescent="0.45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 x14ac:dyDescent="0.45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 x14ac:dyDescent="0.45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 x14ac:dyDescent="0.45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 x14ac:dyDescent="0.45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 x14ac:dyDescent="0.45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 x14ac:dyDescent="0.45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 x14ac:dyDescent="0.45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 x14ac:dyDescent="0.45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 x14ac:dyDescent="0.45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 x14ac:dyDescent="0.45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 x14ac:dyDescent="0.45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 x14ac:dyDescent="0.45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 x14ac:dyDescent="0.45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 x14ac:dyDescent="0.45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 x14ac:dyDescent="0.45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 x14ac:dyDescent="0.45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 x14ac:dyDescent="0.45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 x14ac:dyDescent="0.45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 x14ac:dyDescent="0.45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 x14ac:dyDescent="0.45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 x14ac:dyDescent="0.45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 x14ac:dyDescent="0.45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 x14ac:dyDescent="0.45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 x14ac:dyDescent="0.45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 x14ac:dyDescent="0.45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 x14ac:dyDescent="0.45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 x14ac:dyDescent="0.45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 x14ac:dyDescent="0.45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 x14ac:dyDescent="0.45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 x14ac:dyDescent="0.45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 x14ac:dyDescent="0.45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 x14ac:dyDescent="0.45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 x14ac:dyDescent="0.45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 x14ac:dyDescent="0.45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 x14ac:dyDescent="0.45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 x14ac:dyDescent="0.45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 x14ac:dyDescent="0.45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 x14ac:dyDescent="0.45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 x14ac:dyDescent="0.45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 x14ac:dyDescent="0.45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 x14ac:dyDescent="0.45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 x14ac:dyDescent="0.45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 x14ac:dyDescent="0.45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 x14ac:dyDescent="0.45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 x14ac:dyDescent="0.45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 x14ac:dyDescent="0.45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 x14ac:dyDescent="0.45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 x14ac:dyDescent="0.45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 x14ac:dyDescent="0.45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 x14ac:dyDescent="0.45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 x14ac:dyDescent="0.45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 x14ac:dyDescent="0.45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 x14ac:dyDescent="0.45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 x14ac:dyDescent="0.45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 x14ac:dyDescent="0.45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 x14ac:dyDescent="0.45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 x14ac:dyDescent="0.45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 x14ac:dyDescent="0.45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 x14ac:dyDescent="0.45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 x14ac:dyDescent="0.45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 x14ac:dyDescent="0.45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 x14ac:dyDescent="0.45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 x14ac:dyDescent="0.45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 x14ac:dyDescent="0.45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 x14ac:dyDescent="0.45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 x14ac:dyDescent="0.45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 x14ac:dyDescent="0.45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 x14ac:dyDescent="0.45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 x14ac:dyDescent="0.45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 x14ac:dyDescent="0.45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 x14ac:dyDescent="0.45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 x14ac:dyDescent="0.45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 x14ac:dyDescent="0.45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 x14ac:dyDescent="0.45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 x14ac:dyDescent="0.45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 x14ac:dyDescent="0.45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 x14ac:dyDescent="0.45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 x14ac:dyDescent="0.45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 x14ac:dyDescent="0.45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 x14ac:dyDescent="0.45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 x14ac:dyDescent="0.45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 x14ac:dyDescent="0.45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 x14ac:dyDescent="0.45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 x14ac:dyDescent="0.45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 x14ac:dyDescent="0.45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 x14ac:dyDescent="0.45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 x14ac:dyDescent="0.45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 x14ac:dyDescent="0.45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 x14ac:dyDescent="0.45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 x14ac:dyDescent="0.45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 x14ac:dyDescent="0.45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 x14ac:dyDescent="0.45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 x14ac:dyDescent="0.45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 x14ac:dyDescent="0.45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 x14ac:dyDescent="0.45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 x14ac:dyDescent="0.45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 x14ac:dyDescent="0.45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 x14ac:dyDescent="0.45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 x14ac:dyDescent="0.45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 x14ac:dyDescent="0.45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 x14ac:dyDescent="0.45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 x14ac:dyDescent="0.45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 x14ac:dyDescent="0.45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 x14ac:dyDescent="0.45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 x14ac:dyDescent="0.45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 x14ac:dyDescent="0.45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 x14ac:dyDescent="0.45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 x14ac:dyDescent="0.45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 x14ac:dyDescent="0.45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 x14ac:dyDescent="0.45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 x14ac:dyDescent="0.45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 x14ac:dyDescent="0.45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 x14ac:dyDescent="0.45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 x14ac:dyDescent="0.45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 x14ac:dyDescent="0.45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 x14ac:dyDescent="0.45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 x14ac:dyDescent="0.45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 x14ac:dyDescent="0.45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 x14ac:dyDescent="0.45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 x14ac:dyDescent="0.45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 x14ac:dyDescent="0.45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 x14ac:dyDescent="0.45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 x14ac:dyDescent="0.35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/>
      <c r="B1" s="43"/>
      <c r="C1" s="224"/>
      <c r="D1" s="225"/>
      <c r="E1" s="225"/>
      <c r="F1" s="225"/>
      <c r="G1" s="42"/>
      <c r="H1" s="36"/>
      <c r="I1" s="43"/>
      <c r="J1" s="224"/>
      <c r="K1" s="225"/>
      <c r="L1" s="225"/>
      <c r="M1" s="225"/>
      <c r="N1" s="42"/>
      <c r="O1" s="22"/>
      <c r="P1" s="31"/>
      <c r="Q1" s="43"/>
      <c r="R1" s="224"/>
      <c r="S1" s="225"/>
      <c r="T1" s="225"/>
      <c r="U1" s="225"/>
      <c r="V1" s="42"/>
      <c r="W1" s="36"/>
      <c r="X1" s="43"/>
      <c r="Y1" s="224"/>
      <c r="Z1" s="225"/>
      <c r="AA1" s="225"/>
      <c r="AB1" s="225"/>
      <c r="AC1" s="42"/>
      <c r="AD1" s="22"/>
      <c r="AE1" s="31"/>
      <c r="AF1" s="43"/>
      <c r="AG1" s="224"/>
      <c r="AH1" s="225"/>
      <c r="AI1" s="225"/>
      <c r="AJ1" s="225"/>
      <c r="AK1" s="42"/>
      <c r="AL1" s="36"/>
      <c r="AM1" s="43"/>
      <c r="AN1" s="224"/>
      <c r="AO1" s="225"/>
      <c r="AP1" s="225"/>
      <c r="AQ1" s="225"/>
      <c r="AR1" s="42"/>
      <c r="AS1" s="22"/>
      <c r="AT1" s="31"/>
      <c r="AU1" s="43"/>
      <c r="AV1" s="224"/>
      <c r="AW1" s="225"/>
      <c r="AX1" s="225"/>
      <c r="AY1" s="225"/>
      <c r="AZ1" s="42"/>
      <c r="BA1" s="36"/>
      <c r="BB1" s="43"/>
      <c r="BC1" s="224"/>
      <c r="BD1" s="225"/>
      <c r="BE1" s="225"/>
      <c r="BF1" s="225"/>
      <c r="BG1" s="42"/>
      <c r="BH1" s="22"/>
      <c r="BI1" s="31"/>
      <c r="BJ1" s="43"/>
      <c r="BK1" s="224"/>
      <c r="BL1" s="225"/>
      <c r="BM1" s="225"/>
      <c r="BN1" s="225"/>
      <c r="BO1" s="42"/>
      <c r="BP1" s="36"/>
      <c r="BQ1" s="43"/>
      <c r="BR1" s="224"/>
      <c r="BS1" s="225"/>
      <c r="BT1" s="225"/>
      <c r="BU1" s="225"/>
      <c r="BV1" s="42"/>
      <c r="BW1" s="22"/>
      <c r="BX1" s="31"/>
      <c r="BY1" s="43"/>
      <c r="BZ1" s="224"/>
      <c r="CA1" s="225"/>
      <c r="CB1" s="225"/>
      <c r="CC1" s="225"/>
      <c r="CD1" s="42"/>
      <c r="CE1" s="36"/>
      <c r="CF1" s="43"/>
      <c r="CG1" s="224"/>
      <c r="CH1" s="225"/>
      <c r="CI1" s="225"/>
      <c r="CJ1" s="225"/>
      <c r="CK1" s="42"/>
      <c r="CL1" s="22"/>
      <c r="CM1" s="31"/>
      <c r="CN1" s="43"/>
      <c r="CO1" s="224"/>
      <c r="CP1" s="225"/>
      <c r="CQ1" s="225"/>
      <c r="CR1" s="225"/>
      <c r="CS1" s="42"/>
      <c r="CT1" s="36"/>
      <c r="CU1" s="43"/>
      <c r="CV1" s="224"/>
      <c r="CW1" s="225"/>
      <c r="CX1" s="225"/>
      <c r="CY1" s="225"/>
      <c r="CZ1" s="42"/>
      <c r="DA1" s="22"/>
      <c r="DB1" s="31"/>
      <c r="DC1" s="43"/>
      <c r="DD1" s="224"/>
      <c r="DE1" s="225"/>
      <c r="DF1" s="225"/>
      <c r="DG1" s="225"/>
      <c r="DH1" s="42"/>
      <c r="DI1" s="36"/>
      <c r="DJ1" s="43"/>
      <c r="DK1" s="224"/>
      <c r="DL1" s="225"/>
      <c r="DM1" s="225"/>
      <c r="DN1" s="225"/>
      <c r="DO1" s="42"/>
      <c r="DP1" s="22"/>
      <c r="DQ1" s="31"/>
      <c r="DR1" s="43"/>
      <c r="DS1" s="224"/>
      <c r="DT1" s="225"/>
      <c r="DU1" s="225"/>
      <c r="DV1" s="225"/>
      <c r="DW1" s="42"/>
      <c r="DX1" s="36"/>
      <c r="DY1" s="43"/>
      <c r="DZ1" s="224"/>
      <c r="EA1" s="225"/>
      <c r="EB1" s="225"/>
      <c r="EC1" s="225"/>
      <c r="ED1" s="42"/>
      <c r="EE1" s="22"/>
      <c r="EF1" s="31"/>
      <c r="EG1" s="43"/>
      <c r="EH1" s="224"/>
      <c r="EI1" s="225"/>
      <c r="EJ1" s="225"/>
      <c r="EK1" s="225"/>
      <c r="EL1" s="42"/>
      <c r="EM1" s="36"/>
      <c r="EN1" s="43"/>
      <c r="EO1" s="224"/>
      <c r="EP1" s="225"/>
      <c r="EQ1" s="225"/>
      <c r="ER1" s="225"/>
      <c r="ES1" s="42"/>
      <c r="ET1" s="22"/>
    </row>
    <row r="2" spans="1:150" s="32" customFormat="1" x14ac:dyDescent="0.55000000000000004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 x14ac:dyDescent="0.55000000000000004">
      <c r="A3" s="31"/>
      <c r="B3" s="34"/>
      <c r="C3" s="222"/>
      <c r="D3" s="223"/>
      <c r="E3" s="22"/>
      <c r="G3" s="40"/>
      <c r="H3" s="36"/>
      <c r="I3" s="34"/>
      <c r="J3" s="222"/>
      <c r="K3" s="223"/>
      <c r="L3" s="22"/>
      <c r="N3" s="40"/>
      <c r="O3" s="22"/>
      <c r="P3" s="31"/>
      <c r="Q3" s="34"/>
      <c r="R3" s="222"/>
      <c r="S3" s="223"/>
      <c r="T3" s="22"/>
      <c r="V3" s="40"/>
      <c r="W3" s="36"/>
      <c r="X3" s="34"/>
      <c r="Y3" s="222"/>
      <c r="Z3" s="223"/>
      <c r="AA3" s="22"/>
      <c r="AC3" s="40"/>
      <c r="AD3" s="22"/>
      <c r="AE3" s="31"/>
      <c r="AF3" s="34"/>
      <c r="AG3" s="222"/>
      <c r="AH3" s="223"/>
      <c r="AI3" s="22"/>
      <c r="AK3" s="40"/>
      <c r="AL3" s="36"/>
      <c r="AM3" s="34"/>
      <c r="AN3" s="222"/>
      <c r="AO3" s="223"/>
      <c r="AP3" s="22"/>
      <c r="AR3" s="40"/>
      <c r="AS3" s="22"/>
      <c r="AT3" s="31"/>
      <c r="AU3" s="34"/>
      <c r="AV3" s="222"/>
      <c r="AW3" s="223"/>
      <c r="AX3" s="22"/>
      <c r="AZ3" s="40"/>
      <c r="BA3" s="36"/>
      <c r="BB3" s="34"/>
      <c r="BC3" s="222"/>
      <c r="BD3" s="223"/>
      <c r="BE3" s="22"/>
      <c r="BG3" s="40"/>
      <c r="BH3" s="22"/>
      <c r="BI3" s="31"/>
      <c r="BJ3" s="34"/>
      <c r="BK3" s="222"/>
      <c r="BL3" s="223"/>
      <c r="BM3" s="22"/>
      <c r="BO3" s="40"/>
      <c r="BP3" s="36"/>
      <c r="BQ3" s="34"/>
      <c r="BR3" s="222"/>
      <c r="BS3" s="223"/>
      <c r="BT3" s="22"/>
      <c r="BV3" s="40"/>
      <c r="BW3" s="22"/>
      <c r="BX3" s="31"/>
      <c r="BY3" s="34"/>
      <c r="BZ3" s="222"/>
      <c r="CA3" s="223"/>
      <c r="CB3" s="22"/>
      <c r="CD3" s="40"/>
      <c r="CE3" s="36"/>
      <c r="CF3" s="34"/>
      <c r="CG3" s="222"/>
      <c r="CH3" s="223"/>
      <c r="CI3" s="22"/>
      <c r="CK3" s="40"/>
      <c r="CL3" s="22"/>
      <c r="CM3" s="31"/>
      <c r="CN3" s="34"/>
      <c r="CO3" s="222"/>
      <c r="CP3" s="223"/>
      <c r="CQ3" s="22"/>
      <c r="CS3" s="40"/>
      <c r="CT3" s="36"/>
      <c r="CU3" s="34"/>
      <c r="CV3" s="222"/>
      <c r="CW3" s="223"/>
      <c r="CX3" s="22"/>
      <c r="CZ3" s="40"/>
      <c r="DA3" s="22"/>
      <c r="DB3" s="31"/>
      <c r="DC3" s="34"/>
      <c r="DD3" s="222"/>
      <c r="DE3" s="223"/>
      <c r="DF3" s="22"/>
      <c r="DH3" s="40"/>
      <c r="DI3" s="36"/>
      <c r="DJ3" s="34"/>
      <c r="DK3" s="222"/>
      <c r="DL3" s="223"/>
      <c r="DM3" s="22"/>
      <c r="DO3" s="40"/>
      <c r="DP3" s="22"/>
      <c r="DQ3" s="31"/>
      <c r="DR3" s="34"/>
      <c r="DS3" s="222"/>
      <c r="DT3" s="223"/>
      <c r="DU3" s="22"/>
      <c r="DW3" s="40"/>
      <c r="DX3" s="36"/>
      <c r="DY3" s="34"/>
      <c r="DZ3" s="222"/>
      <c r="EA3" s="223"/>
      <c r="EB3" s="22"/>
      <c r="ED3" s="40"/>
      <c r="EE3" s="22"/>
      <c r="EF3" s="31"/>
      <c r="EG3" s="34"/>
      <c r="EH3" s="222"/>
      <c r="EI3" s="223"/>
      <c r="EJ3" s="22"/>
      <c r="EL3" s="40"/>
      <c r="EM3" s="36"/>
      <c r="EN3" s="34"/>
      <c r="EO3" s="222"/>
      <c r="EP3" s="223"/>
      <c r="EQ3" s="22"/>
      <c r="ES3" s="40"/>
      <c r="ET3" s="22"/>
    </row>
    <row r="4" spans="1:150" ht="15.6" customHeight="1" x14ac:dyDescent="1.05">
      <c r="B4" s="25"/>
      <c r="C4" s="228"/>
      <c r="D4" s="229"/>
      <c r="E4" s="50"/>
      <c r="F4" s="231"/>
      <c r="G4" s="232"/>
      <c r="H4" s="26"/>
      <c r="I4" s="25"/>
      <c r="J4" s="228"/>
      <c r="K4" s="229"/>
      <c r="L4" s="50"/>
      <c r="M4" s="231"/>
      <c r="N4" s="232"/>
      <c r="Q4" s="25"/>
      <c r="R4" s="228"/>
      <c r="S4" s="229"/>
      <c r="T4" s="50"/>
      <c r="U4" s="231"/>
      <c r="V4" s="232"/>
      <c r="W4" s="26"/>
      <c r="X4" s="25"/>
      <c r="Y4" s="228"/>
      <c r="Z4" s="229"/>
      <c r="AA4" s="50"/>
      <c r="AB4" s="231"/>
      <c r="AC4" s="232"/>
      <c r="AF4" s="25"/>
      <c r="AG4" s="228"/>
      <c r="AH4" s="229"/>
      <c r="AI4" s="50"/>
      <c r="AJ4" s="231"/>
      <c r="AK4" s="232"/>
      <c r="AL4" s="26"/>
      <c r="AM4" s="25"/>
      <c r="AN4" s="228"/>
      <c r="AO4" s="229"/>
      <c r="AP4" s="50"/>
      <c r="AQ4" s="231"/>
      <c r="AR4" s="232"/>
      <c r="AU4" s="25"/>
      <c r="AV4" s="228"/>
      <c r="AW4" s="229"/>
      <c r="AX4" s="50"/>
      <c r="AY4" s="231"/>
      <c r="AZ4" s="232"/>
      <c r="BA4" s="26"/>
      <c r="BB4" s="25"/>
      <c r="BC4" s="228"/>
      <c r="BD4" s="229"/>
      <c r="BE4" s="50"/>
      <c r="BF4" s="231"/>
      <c r="BG4" s="232"/>
      <c r="BJ4" s="25"/>
      <c r="BK4" s="228"/>
      <c r="BL4" s="229"/>
      <c r="BM4" s="50"/>
      <c r="BN4" s="231"/>
      <c r="BO4" s="232"/>
      <c r="BP4" s="26"/>
      <c r="BQ4" s="25"/>
      <c r="BR4" s="228"/>
      <c r="BS4" s="229"/>
      <c r="BT4" s="50"/>
      <c r="BU4" s="231"/>
      <c r="BV4" s="232"/>
      <c r="BY4" s="25"/>
      <c r="BZ4" s="228"/>
      <c r="CA4" s="229"/>
      <c r="CB4" s="50"/>
      <c r="CC4" s="231"/>
      <c r="CD4" s="232"/>
      <c r="CE4" s="26"/>
      <c r="CF4" s="25"/>
      <c r="CG4" s="228"/>
      <c r="CH4" s="229"/>
      <c r="CI4" s="50"/>
      <c r="CJ4" s="231"/>
      <c r="CK4" s="232"/>
      <c r="CN4" s="25"/>
      <c r="CO4" s="228"/>
      <c r="CP4" s="229"/>
      <c r="CQ4" s="50"/>
      <c r="CR4" s="231"/>
      <c r="CS4" s="232"/>
      <c r="CT4" s="26"/>
      <c r="CU4" s="25"/>
      <c r="CV4" s="228"/>
      <c r="CW4" s="229"/>
      <c r="CX4" s="50"/>
      <c r="CY4" s="231"/>
      <c r="CZ4" s="232"/>
      <c r="DC4" s="25"/>
      <c r="DD4" s="228"/>
      <c r="DE4" s="229"/>
      <c r="DF4" s="50"/>
      <c r="DG4" s="231"/>
      <c r="DH4" s="232"/>
      <c r="DI4" s="26"/>
      <c r="DJ4" s="25"/>
      <c r="DK4" s="228"/>
      <c r="DL4" s="229"/>
      <c r="DM4" s="50"/>
      <c r="DN4" s="231"/>
      <c r="DO4" s="232"/>
      <c r="DR4" s="25"/>
      <c r="DS4" s="228"/>
      <c r="DT4" s="229"/>
      <c r="DU4" s="50"/>
      <c r="DV4" s="231"/>
      <c r="DW4" s="232"/>
      <c r="DX4" s="26"/>
      <c r="DY4" s="25"/>
      <c r="DZ4" s="228"/>
      <c r="EA4" s="229"/>
      <c r="EB4" s="50"/>
      <c r="EC4" s="231"/>
      <c r="ED4" s="232"/>
      <c r="EG4" s="25"/>
      <c r="EH4" s="228"/>
      <c r="EI4" s="229"/>
      <c r="EJ4" s="50"/>
      <c r="EK4" s="231"/>
      <c r="EL4" s="232"/>
      <c r="EM4" s="26"/>
      <c r="EN4" s="25"/>
      <c r="EO4" s="228"/>
      <c r="EP4" s="229"/>
      <c r="EQ4" s="50"/>
      <c r="ER4" s="231"/>
      <c r="ES4" s="232"/>
    </row>
    <row r="5" spans="1:150" ht="15.6" customHeight="1" x14ac:dyDescent="0.45">
      <c r="B5" s="27"/>
      <c r="C5" s="230"/>
      <c r="D5" s="230"/>
      <c r="E5" s="44"/>
      <c r="F5" s="230"/>
      <c r="G5" s="227"/>
      <c r="H5" s="26"/>
      <c r="I5" s="27"/>
      <c r="J5" s="230"/>
      <c r="K5" s="230"/>
      <c r="L5" s="44"/>
      <c r="M5" s="230"/>
      <c r="N5" s="227"/>
      <c r="Q5" s="27"/>
      <c r="R5" s="230"/>
      <c r="S5" s="230"/>
      <c r="T5" s="44"/>
      <c r="U5" s="230"/>
      <c r="V5" s="227"/>
      <c r="W5" s="26"/>
      <c r="X5" s="27"/>
      <c r="Y5" s="230"/>
      <c r="Z5" s="230"/>
      <c r="AA5" s="44"/>
      <c r="AB5" s="230"/>
      <c r="AC5" s="227"/>
      <c r="AF5" s="27"/>
      <c r="AG5" s="230"/>
      <c r="AH5" s="230"/>
      <c r="AI5" s="44"/>
      <c r="AJ5" s="230"/>
      <c r="AK5" s="227"/>
      <c r="AL5" s="26"/>
      <c r="AM5" s="27"/>
      <c r="AN5" s="230"/>
      <c r="AO5" s="230"/>
      <c r="AP5" s="44"/>
      <c r="AQ5" s="230"/>
      <c r="AR5" s="227"/>
      <c r="AU5" s="27"/>
      <c r="AV5" s="230"/>
      <c r="AW5" s="230"/>
      <c r="AX5" s="44"/>
      <c r="AY5" s="230"/>
      <c r="AZ5" s="227"/>
      <c r="BA5" s="26"/>
      <c r="BB5" s="27"/>
      <c r="BC5" s="230"/>
      <c r="BD5" s="230"/>
      <c r="BE5" s="44"/>
      <c r="BF5" s="230"/>
      <c r="BG5" s="227"/>
      <c r="BJ5" s="27"/>
      <c r="BK5" s="230"/>
      <c r="BL5" s="230"/>
      <c r="BM5" s="44"/>
      <c r="BN5" s="230"/>
      <c r="BO5" s="227"/>
      <c r="BP5" s="26"/>
      <c r="BQ5" s="27"/>
      <c r="BR5" s="230"/>
      <c r="BS5" s="230"/>
      <c r="BT5" s="44"/>
      <c r="BU5" s="230"/>
      <c r="BV5" s="227"/>
      <c r="BY5" s="27"/>
      <c r="BZ5" s="230"/>
      <c r="CA5" s="230"/>
      <c r="CB5" s="44"/>
      <c r="CC5" s="230"/>
      <c r="CD5" s="227"/>
      <c r="CE5" s="26"/>
      <c r="CF5" s="27"/>
      <c r="CG5" s="230"/>
      <c r="CH5" s="230"/>
      <c r="CI5" s="44"/>
      <c r="CJ5" s="230"/>
      <c r="CK5" s="227"/>
      <c r="CN5" s="27"/>
      <c r="CO5" s="230"/>
      <c r="CP5" s="230"/>
      <c r="CQ5" s="44"/>
      <c r="CR5" s="230"/>
      <c r="CS5" s="227"/>
      <c r="CT5" s="26"/>
      <c r="CU5" s="27"/>
      <c r="CV5" s="230"/>
      <c r="CW5" s="230"/>
      <c r="CX5" s="44"/>
      <c r="CY5" s="230"/>
      <c r="CZ5" s="227"/>
      <c r="DC5" s="27"/>
      <c r="DD5" s="230"/>
      <c r="DE5" s="230"/>
      <c r="DF5" s="44"/>
      <c r="DG5" s="230"/>
      <c r="DH5" s="227"/>
      <c r="DI5" s="26"/>
      <c r="DJ5" s="27"/>
      <c r="DK5" s="230"/>
      <c r="DL5" s="230"/>
      <c r="DM5" s="44"/>
      <c r="DN5" s="230"/>
      <c r="DO5" s="227"/>
      <c r="DR5" s="27"/>
      <c r="DS5" s="230"/>
      <c r="DT5" s="230"/>
      <c r="DU5" s="44"/>
      <c r="DV5" s="230"/>
      <c r="DW5" s="227"/>
      <c r="DX5" s="26"/>
      <c r="DY5" s="27"/>
      <c r="DZ5" s="230"/>
      <c r="EA5" s="230"/>
      <c r="EB5" s="44"/>
      <c r="EC5" s="230"/>
      <c r="ED5" s="227"/>
      <c r="EG5" s="27"/>
      <c r="EH5" s="230"/>
      <c r="EI5" s="230"/>
      <c r="EJ5" s="44"/>
      <c r="EK5" s="230"/>
      <c r="EL5" s="227"/>
      <c r="EM5" s="26"/>
      <c r="EN5" s="27"/>
      <c r="EO5" s="230"/>
      <c r="EP5" s="230"/>
      <c r="EQ5" s="44"/>
      <c r="ER5" s="230"/>
      <c r="ES5" s="227"/>
    </row>
    <row r="6" spans="1:150" s="32" customFormat="1" x14ac:dyDescent="0.55000000000000004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 x14ac:dyDescent="0.45">
      <c r="B7" s="233"/>
      <c r="C7" s="227"/>
      <c r="D7" s="233"/>
      <c r="E7" s="227"/>
      <c r="F7" s="226"/>
      <c r="G7" s="227"/>
      <c r="I7" s="233"/>
      <c r="J7" s="227"/>
      <c r="K7" s="233"/>
      <c r="L7" s="227"/>
      <c r="M7" s="226"/>
      <c r="N7" s="227"/>
      <c r="Q7" s="233"/>
      <c r="R7" s="227"/>
      <c r="S7" s="233"/>
      <c r="T7" s="227"/>
      <c r="U7" s="226"/>
      <c r="V7" s="227"/>
      <c r="X7" s="233"/>
      <c r="Y7" s="227"/>
      <c r="Z7" s="233"/>
      <c r="AA7" s="227"/>
      <c r="AB7" s="226"/>
      <c r="AC7" s="227"/>
      <c r="AF7" s="233"/>
      <c r="AG7" s="227"/>
      <c r="AH7" s="233"/>
      <c r="AI7" s="227"/>
      <c r="AJ7" s="226"/>
      <c r="AK7" s="227"/>
      <c r="AM7" s="233"/>
      <c r="AN7" s="227"/>
      <c r="AO7" s="233"/>
      <c r="AP7" s="227"/>
      <c r="AQ7" s="226"/>
      <c r="AR7" s="227"/>
      <c r="AU7" s="233"/>
      <c r="AV7" s="227"/>
      <c r="AW7" s="233"/>
      <c r="AX7" s="227"/>
      <c r="AY7" s="226"/>
      <c r="AZ7" s="227"/>
      <c r="BB7" s="233"/>
      <c r="BC7" s="227"/>
      <c r="BD7" s="233"/>
      <c r="BE7" s="227"/>
      <c r="BF7" s="226"/>
      <c r="BG7" s="227"/>
      <c r="BJ7" s="233"/>
      <c r="BK7" s="227"/>
      <c r="BL7" s="233"/>
      <c r="BM7" s="227"/>
      <c r="BN7" s="226"/>
      <c r="BO7" s="227"/>
      <c r="BQ7" s="233"/>
      <c r="BR7" s="227"/>
      <c r="BS7" s="233"/>
      <c r="BT7" s="227"/>
      <c r="BU7" s="226"/>
      <c r="BV7" s="227"/>
      <c r="BY7" s="233"/>
      <c r="BZ7" s="227"/>
      <c r="CA7" s="233"/>
      <c r="CB7" s="227"/>
      <c r="CC7" s="226"/>
      <c r="CD7" s="227"/>
      <c r="CF7" s="233"/>
      <c r="CG7" s="227"/>
      <c r="CH7" s="233"/>
      <c r="CI7" s="227"/>
      <c r="CJ7" s="226"/>
      <c r="CK7" s="227"/>
      <c r="CN7" s="233"/>
      <c r="CO7" s="227"/>
      <c r="CP7" s="233"/>
      <c r="CQ7" s="227"/>
      <c r="CR7" s="226"/>
      <c r="CS7" s="227"/>
      <c r="CU7" s="233"/>
      <c r="CV7" s="227"/>
      <c r="CW7" s="233"/>
      <c r="CX7" s="227"/>
      <c r="CY7" s="226"/>
      <c r="CZ7" s="227"/>
      <c r="DC7" s="233"/>
      <c r="DD7" s="227"/>
      <c r="DE7" s="233"/>
      <c r="DF7" s="227"/>
      <c r="DG7" s="226"/>
      <c r="DH7" s="227"/>
      <c r="DJ7" s="233"/>
      <c r="DK7" s="227"/>
      <c r="DL7" s="233"/>
      <c r="DM7" s="227"/>
      <c r="DN7" s="226"/>
      <c r="DO7" s="227"/>
      <c r="DR7" s="233"/>
      <c r="DS7" s="227"/>
      <c r="DT7" s="233"/>
      <c r="DU7" s="227"/>
      <c r="DV7" s="226"/>
      <c r="DW7" s="227"/>
      <c r="DY7" s="233"/>
      <c r="DZ7" s="227"/>
      <c r="EA7" s="233"/>
      <c r="EB7" s="227"/>
      <c r="EC7" s="226"/>
      <c r="ED7" s="227"/>
      <c r="EG7" s="233"/>
      <c r="EH7" s="227"/>
      <c r="EI7" s="233"/>
      <c r="EJ7" s="227"/>
      <c r="EK7" s="226"/>
      <c r="EL7" s="227"/>
      <c r="EN7" s="233"/>
      <c r="EO7" s="227"/>
      <c r="EP7" s="233"/>
      <c r="EQ7" s="227"/>
      <c r="ER7" s="226"/>
      <c r="ES7" s="227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/>
      <c r="B9" s="43"/>
      <c r="C9" s="224"/>
      <c r="D9" s="225"/>
      <c r="E9" s="225"/>
      <c r="F9" s="225"/>
      <c r="G9" s="42"/>
      <c r="H9" s="36"/>
      <c r="I9" s="43"/>
      <c r="J9" s="224"/>
      <c r="K9" s="225"/>
      <c r="L9" s="225"/>
      <c r="M9" s="225"/>
      <c r="N9" s="42"/>
      <c r="O9" s="22"/>
      <c r="P9" s="31"/>
      <c r="Q9" s="43"/>
      <c r="R9" s="224"/>
      <c r="S9" s="225"/>
      <c r="T9" s="225"/>
      <c r="U9" s="225"/>
      <c r="V9" s="42"/>
      <c r="W9" s="36"/>
      <c r="X9" s="43"/>
      <c r="Y9" s="224"/>
      <c r="Z9" s="225"/>
      <c r="AA9" s="225"/>
      <c r="AB9" s="225"/>
      <c r="AC9" s="42"/>
      <c r="AD9" s="22"/>
      <c r="AE9" s="31"/>
      <c r="AF9" s="43"/>
      <c r="AG9" s="224"/>
      <c r="AH9" s="225"/>
      <c r="AI9" s="225"/>
      <c r="AJ9" s="225"/>
      <c r="AK9" s="42"/>
      <c r="AL9" s="36"/>
      <c r="AM9" s="43"/>
      <c r="AN9" s="224"/>
      <c r="AO9" s="225"/>
      <c r="AP9" s="225"/>
      <c r="AQ9" s="225"/>
      <c r="AR9" s="42"/>
      <c r="AS9" s="22"/>
      <c r="AT9" s="31"/>
      <c r="AU9" s="43"/>
      <c r="AV9" s="224"/>
      <c r="AW9" s="225"/>
      <c r="AX9" s="225"/>
      <c r="AY9" s="225"/>
      <c r="AZ9" s="42"/>
      <c r="BA9" s="36"/>
      <c r="BB9" s="43"/>
      <c r="BC9" s="224"/>
      <c r="BD9" s="225"/>
      <c r="BE9" s="225"/>
      <c r="BF9" s="225"/>
      <c r="BG9" s="42"/>
      <c r="BH9" s="22"/>
      <c r="BI9" s="31"/>
      <c r="BJ9" s="43"/>
      <c r="BK9" s="224"/>
      <c r="BL9" s="225"/>
      <c r="BM9" s="225"/>
      <c r="BN9" s="225"/>
      <c r="BO9" s="42"/>
      <c r="BP9" s="36"/>
      <c r="BQ9" s="43"/>
      <c r="BR9" s="224"/>
      <c r="BS9" s="225"/>
      <c r="BT9" s="225"/>
      <c r="BU9" s="225"/>
      <c r="BV9" s="42"/>
      <c r="BW9" s="22"/>
      <c r="BX9" s="31"/>
      <c r="BY9" s="43"/>
      <c r="BZ9" s="224"/>
      <c r="CA9" s="225"/>
      <c r="CB9" s="225"/>
      <c r="CC9" s="225"/>
      <c r="CD9" s="42"/>
      <c r="CE9" s="36"/>
      <c r="CF9" s="43"/>
      <c r="CG9" s="224"/>
      <c r="CH9" s="225"/>
      <c r="CI9" s="225"/>
      <c r="CJ9" s="225"/>
      <c r="CK9" s="42"/>
      <c r="CL9" s="22"/>
      <c r="CM9" s="31"/>
      <c r="CN9" s="43"/>
      <c r="CO9" s="224"/>
      <c r="CP9" s="225"/>
      <c r="CQ9" s="225"/>
      <c r="CR9" s="225"/>
      <c r="CS9" s="42"/>
      <c r="CT9" s="36"/>
      <c r="CU9" s="43"/>
      <c r="CV9" s="224"/>
      <c r="CW9" s="225"/>
      <c r="CX9" s="225"/>
      <c r="CY9" s="225"/>
      <c r="CZ9" s="42"/>
      <c r="DA9" s="22"/>
      <c r="DB9" s="31"/>
      <c r="DC9" s="43"/>
      <c r="DD9" s="224"/>
      <c r="DE9" s="225"/>
      <c r="DF9" s="225"/>
      <c r="DG9" s="225"/>
      <c r="DH9" s="42"/>
      <c r="DI9" s="36"/>
      <c r="DJ9" s="43"/>
      <c r="DK9" s="224"/>
      <c r="DL9" s="225"/>
      <c r="DM9" s="225"/>
      <c r="DN9" s="225"/>
      <c r="DO9" s="42"/>
      <c r="DP9" s="22"/>
      <c r="DQ9" s="31"/>
      <c r="DR9" s="43"/>
      <c r="DS9" s="224"/>
      <c r="DT9" s="225"/>
      <c r="DU9" s="225"/>
      <c r="DV9" s="225"/>
      <c r="DW9" s="42"/>
      <c r="DX9" s="36"/>
      <c r="DY9" s="43"/>
      <c r="DZ9" s="224"/>
      <c r="EA9" s="225"/>
      <c r="EB9" s="225"/>
      <c r="EC9" s="225"/>
      <c r="ED9" s="42"/>
      <c r="EE9" s="22"/>
      <c r="EF9" s="31"/>
      <c r="EG9" s="43"/>
      <c r="EH9" s="224"/>
      <c r="EI9" s="225"/>
      <c r="EJ9" s="225"/>
      <c r="EK9" s="225"/>
      <c r="EL9" s="42"/>
      <c r="EM9" s="36"/>
      <c r="EN9" s="43"/>
      <c r="EO9" s="224"/>
      <c r="EP9" s="225"/>
      <c r="EQ9" s="225"/>
      <c r="ER9" s="225"/>
      <c r="ES9" s="42"/>
      <c r="ET9" s="22"/>
    </row>
    <row r="10" spans="1:150" s="32" customFormat="1" x14ac:dyDescent="0.55000000000000004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 x14ac:dyDescent="0.55000000000000004">
      <c r="A11" s="31"/>
      <c r="B11" s="34"/>
      <c r="C11" s="222"/>
      <c r="D11" s="223"/>
      <c r="E11" s="22"/>
      <c r="G11" s="40"/>
      <c r="H11" s="36"/>
      <c r="I11" s="34"/>
      <c r="J11" s="222"/>
      <c r="K11" s="223"/>
      <c r="L11" s="22"/>
      <c r="N11" s="40"/>
      <c r="O11" s="22"/>
      <c r="P11" s="31"/>
      <c r="Q11" s="34"/>
      <c r="R11" s="222"/>
      <c r="S11" s="223"/>
      <c r="T11" s="22"/>
      <c r="V11" s="40"/>
      <c r="W11" s="36"/>
      <c r="X11" s="34"/>
      <c r="Y11" s="222"/>
      <c r="Z11" s="223"/>
      <c r="AA11" s="22"/>
      <c r="AC11" s="40"/>
      <c r="AD11" s="22"/>
      <c r="AE11" s="31"/>
      <c r="AF11" s="34"/>
      <c r="AG11" s="222"/>
      <c r="AH11" s="223"/>
      <c r="AI11" s="22"/>
      <c r="AK11" s="40"/>
      <c r="AL11" s="36"/>
      <c r="AM11" s="34"/>
      <c r="AN11" s="222"/>
      <c r="AO11" s="223"/>
      <c r="AP11" s="22"/>
      <c r="AR11" s="40"/>
      <c r="AS11" s="22"/>
      <c r="AT11" s="31"/>
      <c r="AU11" s="34"/>
      <c r="AV11" s="222"/>
      <c r="AW11" s="223"/>
      <c r="AX11" s="22"/>
      <c r="AZ11" s="40"/>
      <c r="BA11" s="36"/>
      <c r="BB11" s="34"/>
      <c r="BC11" s="222"/>
      <c r="BD11" s="223"/>
      <c r="BE11" s="22"/>
      <c r="BG11" s="40"/>
      <c r="BH11" s="22"/>
      <c r="BI11" s="31"/>
      <c r="BJ11" s="34"/>
      <c r="BK11" s="222"/>
      <c r="BL11" s="223"/>
      <c r="BM11" s="22"/>
      <c r="BO11" s="40"/>
      <c r="BP11" s="36"/>
      <c r="BQ11" s="34"/>
      <c r="BR11" s="222"/>
      <c r="BS11" s="223"/>
      <c r="BT11" s="22"/>
      <c r="BV11" s="40"/>
      <c r="BW11" s="22"/>
      <c r="BX11" s="31"/>
      <c r="BY11" s="34"/>
      <c r="BZ11" s="222"/>
      <c r="CA11" s="223"/>
      <c r="CB11" s="22"/>
      <c r="CD11" s="40"/>
      <c r="CE11" s="36"/>
      <c r="CF11" s="34"/>
      <c r="CG11" s="222"/>
      <c r="CH11" s="223"/>
      <c r="CI11" s="22"/>
      <c r="CK11" s="40"/>
      <c r="CL11" s="22"/>
      <c r="CM11" s="31"/>
      <c r="CN11" s="34"/>
      <c r="CO11" s="222"/>
      <c r="CP11" s="223"/>
      <c r="CQ11" s="22"/>
      <c r="CS11" s="40"/>
      <c r="CT11" s="36"/>
      <c r="CU11" s="34"/>
      <c r="CV11" s="222"/>
      <c r="CW11" s="223"/>
      <c r="CX11" s="22"/>
      <c r="CZ11" s="40"/>
      <c r="DA11" s="22"/>
      <c r="DB11" s="31"/>
      <c r="DC11" s="34"/>
      <c r="DD11" s="222"/>
      <c r="DE11" s="223"/>
      <c r="DF11" s="22"/>
      <c r="DH11" s="40"/>
      <c r="DI11" s="36"/>
      <c r="DJ11" s="34"/>
      <c r="DK11" s="222"/>
      <c r="DL11" s="223"/>
      <c r="DM11" s="22"/>
      <c r="DO11" s="40"/>
      <c r="DP11" s="22"/>
      <c r="DQ11" s="31"/>
      <c r="DR11" s="34"/>
      <c r="DS11" s="222"/>
      <c r="DT11" s="223"/>
      <c r="DU11" s="22"/>
      <c r="DW11" s="40"/>
      <c r="DX11" s="36"/>
      <c r="DY11" s="34"/>
      <c r="DZ11" s="222"/>
      <c r="EA11" s="223"/>
      <c r="EB11" s="22"/>
      <c r="ED11" s="40"/>
      <c r="EE11" s="22"/>
      <c r="EF11" s="31"/>
      <c r="EG11" s="34"/>
      <c r="EH11" s="222"/>
      <c r="EI11" s="223"/>
      <c r="EJ11" s="22"/>
      <c r="EL11" s="40"/>
      <c r="EM11" s="36"/>
      <c r="EN11" s="34"/>
      <c r="EO11" s="222"/>
      <c r="EP11" s="223"/>
      <c r="EQ11" s="22"/>
      <c r="ES11" s="40"/>
      <c r="ET11" s="22"/>
    </row>
    <row r="12" spans="1:150" ht="15.6" customHeight="1" x14ac:dyDescent="1.05">
      <c r="B12" s="25"/>
      <c r="C12" s="228"/>
      <c r="D12" s="229"/>
      <c r="E12" s="50"/>
      <c r="F12" s="231"/>
      <c r="G12" s="232"/>
      <c r="H12" s="26"/>
      <c r="I12" s="25"/>
      <c r="J12" s="228"/>
      <c r="K12" s="229"/>
      <c r="L12" s="50"/>
      <c r="M12" s="231"/>
      <c r="N12" s="232"/>
      <c r="Q12" s="25"/>
      <c r="R12" s="228"/>
      <c r="S12" s="229"/>
      <c r="T12" s="50"/>
      <c r="U12" s="231"/>
      <c r="V12" s="232"/>
      <c r="W12" s="26"/>
      <c r="X12" s="25"/>
      <c r="Y12" s="228"/>
      <c r="Z12" s="229"/>
      <c r="AA12" s="50"/>
      <c r="AB12" s="231"/>
      <c r="AC12" s="232"/>
      <c r="AF12" s="25"/>
      <c r="AG12" s="228"/>
      <c r="AH12" s="229"/>
      <c r="AI12" s="50"/>
      <c r="AJ12" s="231"/>
      <c r="AK12" s="232"/>
      <c r="AL12" s="26"/>
      <c r="AM12" s="25"/>
      <c r="AN12" s="228"/>
      <c r="AO12" s="229"/>
      <c r="AP12" s="50"/>
      <c r="AQ12" s="231"/>
      <c r="AR12" s="232"/>
      <c r="AU12" s="25"/>
      <c r="AV12" s="228"/>
      <c r="AW12" s="229"/>
      <c r="AX12" s="50"/>
      <c r="AY12" s="231"/>
      <c r="AZ12" s="232"/>
      <c r="BA12" s="26"/>
      <c r="BB12" s="25"/>
      <c r="BC12" s="228"/>
      <c r="BD12" s="229"/>
      <c r="BE12" s="50"/>
      <c r="BF12" s="231"/>
      <c r="BG12" s="232"/>
      <c r="BJ12" s="25"/>
      <c r="BK12" s="228"/>
      <c r="BL12" s="229"/>
      <c r="BM12" s="50"/>
      <c r="BN12" s="231"/>
      <c r="BO12" s="232"/>
      <c r="BP12" s="26"/>
      <c r="BQ12" s="25"/>
      <c r="BR12" s="228"/>
      <c r="BS12" s="229"/>
      <c r="BT12" s="50"/>
      <c r="BU12" s="231"/>
      <c r="BV12" s="232"/>
      <c r="BY12" s="25"/>
      <c r="BZ12" s="228"/>
      <c r="CA12" s="229"/>
      <c r="CB12" s="50"/>
      <c r="CC12" s="231"/>
      <c r="CD12" s="232"/>
      <c r="CE12" s="26"/>
      <c r="CF12" s="25"/>
      <c r="CG12" s="228"/>
      <c r="CH12" s="229"/>
      <c r="CI12" s="50"/>
      <c r="CJ12" s="231"/>
      <c r="CK12" s="232"/>
      <c r="CN12" s="25"/>
      <c r="CO12" s="228"/>
      <c r="CP12" s="229"/>
      <c r="CQ12" s="50"/>
      <c r="CR12" s="231"/>
      <c r="CS12" s="232"/>
      <c r="CT12" s="26"/>
      <c r="CU12" s="25"/>
      <c r="CV12" s="228"/>
      <c r="CW12" s="229"/>
      <c r="CX12" s="50"/>
      <c r="CY12" s="231"/>
      <c r="CZ12" s="232"/>
      <c r="DC12" s="25"/>
      <c r="DD12" s="228"/>
      <c r="DE12" s="229"/>
      <c r="DF12" s="50"/>
      <c r="DG12" s="231"/>
      <c r="DH12" s="232"/>
      <c r="DI12" s="26"/>
      <c r="DJ12" s="25"/>
      <c r="DK12" s="228"/>
      <c r="DL12" s="229"/>
      <c r="DM12" s="50"/>
      <c r="DN12" s="231"/>
      <c r="DO12" s="232"/>
      <c r="DR12" s="25"/>
      <c r="DS12" s="228"/>
      <c r="DT12" s="229"/>
      <c r="DU12" s="50"/>
      <c r="DV12" s="231"/>
      <c r="DW12" s="232"/>
      <c r="DX12" s="26"/>
      <c r="DY12" s="25"/>
      <c r="DZ12" s="228"/>
      <c r="EA12" s="229"/>
      <c r="EB12" s="50"/>
      <c r="EC12" s="231"/>
      <c r="ED12" s="232"/>
      <c r="EG12" s="25"/>
      <c r="EH12" s="228"/>
      <c r="EI12" s="229"/>
      <c r="EJ12" s="50"/>
      <c r="EK12" s="231"/>
      <c r="EL12" s="232"/>
      <c r="EM12" s="26"/>
      <c r="EN12" s="25"/>
      <c r="EO12" s="228"/>
      <c r="EP12" s="229"/>
      <c r="EQ12" s="50"/>
      <c r="ER12" s="231"/>
      <c r="ES12" s="232"/>
    </row>
    <row r="13" spans="1:150" ht="15.6" customHeight="1" x14ac:dyDescent="0.45">
      <c r="B13" s="27"/>
      <c r="C13" s="230"/>
      <c r="D13" s="230"/>
      <c r="E13" s="44"/>
      <c r="F13" s="230"/>
      <c r="G13" s="227"/>
      <c r="H13" s="26"/>
      <c r="I13" s="27"/>
      <c r="J13" s="230"/>
      <c r="K13" s="230"/>
      <c r="L13" s="44"/>
      <c r="M13" s="230"/>
      <c r="N13" s="227"/>
      <c r="Q13" s="27"/>
      <c r="R13" s="230"/>
      <c r="S13" s="230"/>
      <c r="T13" s="44"/>
      <c r="U13" s="230"/>
      <c r="V13" s="227"/>
      <c r="W13" s="26"/>
      <c r="X13" s="27"/>
      <c r="Y13" s="230"/>
      <c r="Z13" s="230"/>
      <c r="AA13" s="44"/>
      <c r="AB13" s="230"/>
      <c r="AC13" s="227"/>
      <c r="AF13" s="27"/>
      <c r="AG13" s="230"/>
      <c r="AH13" s="230"/>
      <c r="AI13" s="44"/>
      <c r="AJ13" s="230"/>
      <c r="AK13" s="227"/>
      <c r="AL13" s="26"/>
      <c r="AM13" s="27"/>
      <c r="AN13" s="230"/>
      <c r="AO13" s="230"/>
      <c r="AP13" s="44"/>
      <c r="AQ13" s="230"/>
      <c r="AR13" s="227"/>
      <c r="AU13" s="27"/>
      <c r="AV13" s="230"/>
      <c r="AW13" s="230"/>
      <c r="AX13" s="44"/>
      <c r="AY13" s="230"/>
      <c r="AZ13" s="227"/>
      <c r="BA13" s="26"/>
      <c r="BB13" s="27"/>
      <c r="BC13" s="230"/>
      <c r="BD13" s="230"/>
      <c r="BE13" s="44"/>
      <c r="BF13" s="230"/>
      <c r="BG13" s="227"/>
      <c r="BJ13" s="27"/>
      <c r="BK13" s="230"/>
      <c r="BL13" s="230"/>
      <c r="BM13" s="44"/>
      <c r="BN13" s="230"/>
      <c r="BO13" s="227"/>
      <c r="BP13" s="26"/>
      <c r="BQ13" s="27"/>
      <c r="BR13" s="230"/>
      <c r="BS13" s="230"/>
      <c r="BT13" s="44"/>
      <c r="BU13" s="230"/>
      <c r="BV13" s="227"/>
      <c r="BY13" s="27"/>
      <c r="BZ13" s="230"/>
      <c r="CA13" s="230"/>
      <c r="CB13" s="44"/>
      <c r="CC13" s="230"/>
      <c r="CD13" s="227"/>
      <c r="CE13" s="26"/>
      <c r="CF13" s="27"/>
      <c r="CG13" s="230"/>
      <c r="CH13" s="230"/>
      <c r="CI13" s="44"/>
      <c r="CJ13" s="230"/>
      <c r="CK13" s="227"/>
      <c r="CN13" s="27"/>
      <c r="CO13" s="230"/>
      <c r="CP13" s="230"/>
      <c r="CQ13" s="44"/>
      <c r="CR13" s="230"/>
      <c r="CS13" s="227"/>
      <c r="CT13" s="26"/>
      <c r="CU13" s="27"/>
      <c r="CV13" s="230"/>
      <c r="CW13" s="230"/>
      <c r="CX13" s="44"/>
      <c r="CY13" s="230"/>
      <c r="CZ13" s="227"/>
      <c r="DC13" s="27"/>
      <c r="DD13" s="230"/>
      <c r="DE13" s="230"/>
      <c r="DF13" s="44"/>
      <c r="DG13" s="230"/>
      <c r="DH13" s="227"/>
      <c r="DI13" s="26"/>
      <c r="DJ13" s="27"/>
      <c r="DK13" s="230"/>
      <c r="DL13" s="230"/>
      <c r="DM13" s="44"/>
      <c r="DN13" s="230"/>
      <c r="DO13" s="227"/>
      <c r="DR13" s="27"/>
      <c r="DS13" s="230"/>
      <c r="DT13" s="230"/>
      <c r="DU13" s="44"/>
      <c r="DV13" s="230"/>
      <c r="DW13" s="227"/>
      <c r="DX13" s="26"/>
      <c r="DY13" s="27"/>
      <c r="DZ13" s="230"/>
      <c r="EA13" s="230"/>
      <c r="EB13" s="44"/>
      <c r="EC13" s="230"/>
      <c r="ED13" s="227"/>
      <c r="EG13" s="27"/>
      <c r="EH13" s="230"/>
      <c r="EI13" s="230"/>
      <c r="EJ13" s="44"/>
      <c r="EK13" s="230"/>
      <c r="EL13" s="227"/>
      <c r="EM13" s="26"/>
      <c r="EN13" s="27"/>
      <c r="EO13" s="230"/>
      <c r="EP13" s="230"/>
      <c r="EQ13" s="44"/>
      <c r="ER13" s="230"/>
      <c r="ES13" s="227"/>
    </row>
    <row r="14" spans="1:150" s="32" customFormat="1" x14ac:dyDescent="0.55000000000000004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 x14ac:dyDescent="0.45">
      <c r="B15" s="233"/>
      <c r="C15" s="227"/>
      <c r="D15" s="233"/>
      <c r="E15" s="227"/>
      <c r="F15" s="226"/>
      <c r="G15" s="227"/>
      <c r="I15" s="233"/>
      <c r="J15" s="227"/>
      <c r="K15" s="233"/>
      <c r="L15" s="227"/>
      <c r="M15" s="226"/>
      <c r="N15" s="227"/>
      <c r="Q15" s="233"/>
      <c r="R15" s="227"/>
      <c r="S15" s="233"/>
      <c r="T15" s="227"/>
      <c r="U15" s="226"/>
      <c r="V15" s="227"/>
      <c r="X15" s="233"/>
      <c r="Y15" s="227"/>
      <c r="Z15" s="233"/>
      <c r="AA15" s="227"/>
      <c r="AB15" s="226"/>
      <c r="AC15" s="227"/>
      <c r="AF15" s="233"/>
      <c r="AG15" s="227"/>
      <c r="AH15" s="233"/>
      <c r="AI15" s="227"/>
      <c r="AJ15" s="226"/>
      <c r="AK15" s="227"/>
      <c r="AM15" s="233"/>
      <c r="AN15" s="227"/>
      <c r="AO15" s="233"/>
      <c r="AP15" s="227"/>
      <c r="AQ15" s="226"/>
      <c r="AR15" s="227"/>
      <c r="AU15" s="233"/>
      <c r="AV15" s="227"/>
      <c r="AW15" s="233"/>
      <c r="AX15" s="227"/>
      <c r="AY15" s="226"/>
      <c r="AZ15" s="227"/>
      <c r="BB15" s="233"/>
      <c r="BC15" s="227"/>
      <c r="BD15" s="233"/>
      <c r="BE15" s="227"/>
      <c r="BF15" s="226"/>
      <c r="BG15" s="227"/>
      <c r="BJ15" s="233"/>
      <c r="BK15" s="227"/>
      <c r="BL15" s="233"/>
      <c r="BM15" s="227"/>
      <c r="BN15" s="226"/>
      <c r="BO15" s="227"/>
      <c r="BQ15" s="233"/>
      <c r="BR15" s="227"/>
      <c r="BS15" s="233"/>
      <c r="BT15" s="227"/>
      <c r="BU15" s="226"/>
      <c r="BV15" s="227"/>
      <c r="BY15" s="233"/>
      <c r="BZ15" s="227"/>
      <c r="CA15" s="233"/>
      <c r="CB15" s="227"/>
      <c r="CC15" s="226"/>
      <c r="CD15" s="227"/>
      <c r="CF15" s="233"/>
      <c r="CG15" s="227"/>
      <c r="CH15" s="233"/>
      <c r="CI15" s="227"/>
      <c r="CJ15" s="226"/>
      <c r="CK15" s="227"/>
      <c r="CN15" s="233"/>
      <c r="CO15" s="227"/>
      <c r="CP15" s="233"/>
      <c r="CQ15" s="227"/>
      <c r="CR15" s="226"/>
      <c r="CS15" s="227"/>
      <c r="CU15" s="233"/>
      <c r="CV15" s="227"/>
      <c r="CW15" s="233"/>
      <c r="CX15" s="227"/>
      <c r="CY15" s="226"/>
      <c r="CZ15" s="227"/>
      <c r="DC15" s="233"/>
      <c r="DD15" s="227"/>
      <c r="DE15" s="233"/>
      <c r="DF15" s="227"/>
      <c r="DG15" s="226"/>
      <c r="DH15" s="227"/>
      <c r="DJ15" s="233"/>
      <c r="DK15" s="227"/>
      <c r="DL15" s="233"/>
      <c r="DM15" s="227"/>
      <c r="DN15" s="226"/>
      <c r="DO15" s="227"/>
      <c r="DR15" s="233"/>
      <c r="DS15" s="227"/>
      <c r="DT15" s="233"/>
      <c r="DU15" s="227"/>
      <c r="DV15" s="226"/>
      <c r="DW15" s="227"/>
      <c r="DY15" s="233"/>
      <c r="DZ15" s="227"/>
      <c r="EA15" s="233"/>
      <c r="EB15" s="227"/>
      <c r="EC15" s="226"/>
      <c r="ED15" s="227"/>
      <c r="EG15" s="233"/>
      <c r="EH15" s="227"/>
      <c r="EI15" s="233"/>
      <c r="EJ15" s="227"/>
      <c r="EK15" s="226"/>
      <c r="EL15" s="227"/>
      <c r="EN15" s="233"/>
      <c r="EO15" s="227"/>
      <c r="EP15" s="233"/>
      <c r="EQ15" s="227"/>
      <c r="ER15" s="226"/>
      <c r="ES15" s="227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/>
      <c r="B17" s="43"/>
      <c r="C17" s="224"/>
      <c r="D17" s="225"/>
      <c r="E17" s="225"/>
      <c r="F17" s="225"/>
      <c r="G17" s="42"/>
      <c r="H17" s="36"/>
      <c r="I17" s="43"/>
      <c r="J17" s="224"/>
      <c r="K17" s="225"/>
      <c r="L17" s="225"/>
      <c r="M17" s="225"/>
      <c r="N17" s="42"/>
      <c r="O17" s="22"/>
      <c r="P17" s="31"/>
      <c r="Q17" s="43"/>
      <c r="R17" s="224"/>
      <c r="S17" s="225"/>
      <c r="T17" s="225"/>
      <c r="U17" s="225"/>
      <c r="V17" s="42"/>
      <c r="W17" s="36"/>
      <c r="X17" s="43"/>
      <c r="Y17" s="224"/>
      <c r="Z17" s="225"/>
      <c r="AA17" s="225"/>
      <c r="AB17" s="225"/>
      <c r="AC17" s="42"/>
      <c r="AD17" s="22"/>
      <c r="AE17" s="31"/>
      <c r="AF17" s="43"/>
      <c r="AG17" s="224"/>
      <c r="AH17" s="225"/>
      <c r="AI17" s="225"/>
      <c r="AJ17" s="225"/>
      <c r="AK17" s="42"/>
      <c r="AL17" s="36"/>
      <c r="AM17" s="43"/>
      <c r="AN17" s="224"/>
      <c r="AO17" s="225"/>
      <c r="AP17" s="225"/>
      <c r="AQ17" s="225"/>
      <c r="AR17" s="42"/>
      <c r="AS17" s="22"/>
      <c r="AT17" s="31"/>
      <c r="AU17" s="43"/>
      <c r="AV17" s="224"/>
      <c r="AW17" s="225"/>
      <c r="AX17" s="225"/>
      <c r="AY17" s="225"/>
      <c r="AZ17" s="42"/>
      <c r="BA17" s="36"/>
      <c r="BB17" s="43"/>
      <c r="BC17" s="224"/>
      <c r="BD17" s="225"/>
      <c r="BE17" s="225"/>
      <c r="BF17" s="225"/>
      <c r="BG17" s="42"/>
      <c r="BH17" s="22"/>
      <c r="BI17" s="31"/>
      <c r="BJ17" s="43"/>
      <c r="BK17" s="224"/>
      <c r="BL17" s="225"/>
      <c r="BM17" s="225"/>
      <c r="BN17" s="225"/>
      <c r="BO17" s="42"/>
      <c r="BP17" s="36"/>
      <c r="BQ17" s="43"/>
      <c r="BR17" s="224"/>
      <c r="BS17" s="225"/>
      <c r="BT17" s="225"/>
      <c r="BU17" s="225"/>
      <c r="BV17" s="42"/>
      <c r="BW17" s="22"/>
      <c r="BX17" s="31"/>
      <c r="BY17" s="43"/>
      <c r="BZ17" s="224"/>
      <c r="CA17" s="225"/>
      <c r="CB17" s="225"/>
      <c r="CC17" s="225"/>
      <c r="CD17" s="42"/>
      <c r="CE17" s="36"/>
      <c r="CF17" s="43"/>
      <c r="CG17" s="224"/>
      <c r="CH17" s="225"/>
      <c r="CI17" s="225"/>
      <c r="CJ17" s="225"/>
      <c r="CK17" s="42"/>
      <c r="CL17" s="22"/>
      <c r="CM17" s="31"/>
      <c r="CN17" s="43"/>
      <c r="CO17" s="224"/>
      <c r="CP17" s="225"/>
      <c r="CQ17" s="225"/>
      <c r="CR17" s="225"/>
      <c r="CS17" s="42"/>
      <c r="CT17" s="36"/>
      <c r="CU17" s="43"/>
      <c r="CV17" s="224"/>
      <c r="CW17" s="225"/>
      <c r="CX17" s="225"/>
      <c r="CY17" s="225"/>
      <c r="CZ17" s="42"/>
      <c r="DA17" s="22"/>
      <c r="DB17" s="31"/>
      <c r="DC17" s="43"/>
      <c r="DD17" s="224"/>
      <c r="DE17" s="225"/>
      <c r="DF17" s="225"/>
      <c r="DG17" s="225"/>
      <c r="DH17" s="42"/>
      <c r="DI17" s="36"/>
      <c r="DJ17" s="43"/>
      <c r="DK17" s="224"/>
      <c r="DL17" s="225"/>
      <c r="DM17" s="225"/>
      <c r="DN17" s="225"/>
      <c r="DO17" s="42"/>
      <c r="DP17" s="22"/>
      <c r="DQ17" s="31"/>
      <c r="DR17" s="43"/>
      <c r="DS17" s="224"/>
      <c r="DT17" s="225"/>
      <c r="DU17" s="225"/>
      <c r="DV17" s="225"/>
      <c r="DW17" s="42"/>
      <c r="DX17" s="36"/>
      <c r="DY17" s="43"/>
      <c r="DZ17" s="224"/>
      <c r="EA17" s="225"/>
      <c r="EB17" s="225"/>
      <c r="EC17" s="225"/>
      <c r="ED17" s="42"/>
      <c r="EE17" s="22"/>
      <c r="EF17" s="31"/>
      <c r="EG17" s="43"/>
      <c r="EH17" s="224"/>
      <c r="EI17" s="225"/>
      <c r="EJ17" s="225"/>
      <c r="EK17" s="225"/>
      <c r="EL17" s="42"/>
      <c r="EM17" s="36"/>
      <c r="EN17" s="43"/>
      <c r="EO17" s="224"/>
      <c r="EP17" s="225"/>
      <c r="EQ17" s="225"/>
      <c r="ER17" s="225"/>
      <c r="ES17" s="42"/>
      <c r="ET17" s="22"/>
    </row>
    <row r="18" spans="1:150" s="32" customFormat="1" x14ac:dyDescent="0.55000000000000004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 x14ac:dyDescent="0.55000000000000004">
      <c r="A19" s="31"/>
      <c r="B19" s="34"/>
      <c r="C19" s="222"/>
      <c r="D19" s="223"/>
      <c r="E19" s="22"/>
      <c r="G19" s="40"/>
      <c r="H19" s="36"/>
      <c r="I19" s="34"/>
      <c r="J19" s="222"/>
      <c r="K19" s="223"/>
      <c r="L19" s="22"/>
      <c r="N19" s="40"/>
      <c r="O19" s="22"/>
      <c r="P19" s="31"/>
      <c r="Q19" s="34"/>
      <c r="R19" s="222"/>
      <c r="S19" s="223"/>
      <c r="T19" s="22"/>
      <c r="V19" s="40"/>
      <c r="W19" s="36"/>
      <c r="X19" s="34"/>
      <c r="Y19" s="222"/>
      <c r="Z19" s="223"/>
      <c r="AA19" s="22"/>
      <c r="AC19" s="40"/>
      <c r="AD19" s="22"/>
      <c r="AE19" s="31"/>
      <c r="AF19" s="34"/>
      <c r="AG19" s="222"/>
      <c r="AH19" s="223"/>
      <c r="AI19" s="22"/>
      <c r="AK19" s="40"/>
      <c r="AL19" s="36"/>
      <c r="AM19" s="34"/>
      <c r="AN19" s="222"/>
      <c r="AO19" s="223"/>
      <c r="AP19" s="22"/>
      <c r="AR19" s="40"/>
      <c r="AS19" s="22"/>
      <c r="AT19" s="31"/>
      <c r="AU19" s="34"/>
      <c r="AV19" s="222"/>
      <c r="AW19" s="223"/>
      <c r="AX19" s="22"/>
      <c r="AZ19" s="40"/>
      <c r="BA19" s="36"/>
      <c r="BB19" s="34"/>
      <c r="BC19" s="222"/>
      <c r="BD19" s="223"/>
      <c r="BE19" s="22"/>
      <c r="BG19" s="40"/>
      <c r="BH19" s="22"/>
      <c r="BI19" s="31"/>
      <c r="BJ19" s="34"/>
      <c r="BK19" s="222"/>
      <c r="BL19" s="223"/>
      <c r="BM19" s="22"/>
      <c r="BO19" s="40"/>
      <c r="BP19" s="36"/>
      <c r="BQ19" s="34"/>
      <c r="BR19" s="222"/>
      <c r="BS19" s="223"/>
      <c r="BT19" s="22"/>
      <c r="BV19" s="40"/>
      <c r="BW19" s="22"/>
      <c r="BX19" s="31"/>
      <c r="BY19" s="34"/>
      <c r="BZ19" s="222"/>
      <c r="CA19" s="223"/>
      <c r="CB19" s="22"/>
      <c r="CD19" s="40"/>
      <c r="CE19" s="36"/>
      <c r="CF19" s="34"/>
      <c r="CG19" s="222"/>
      <c r="CH19" s="223"/>
      <c r="CI19" s="22"/>
      <c r="CK19" s="40"/>
      <c r="CL19" s="22"/>
      <c r="CM19" s="31"/>
      <c r="CN19" s="34"/>
      <c r="CO19" s="222"/>
      <c r="CP19" s="223"/>
      <c r="CQ19" s="22"/>
      <c r="CS19" s="40"/>
      <c r="CT19" s="36"/>
      <c r="CU19" s="34"/>
      <c r="CV19" s="222"/>
      <c r="CW19" s="223"/>
      <c r="CX19" s="22"/>
      <c r="CZ19" s="40"/>
      <c r="DA19" s="22"/>
      <c r="DB19" s="31"/>
      <c r="DC19" s="34"/>
      <c r="DD19" s="222"/>
      <c r="DE19" s="223"/>
      <c r="DF19" s="22"/>
      <c r="DH19" s="40"/>
      <c r="DI19" s="36"/>
      <c r="DJ19" s="34"/>
      <c r="DK19" s="222"/>
      <c r="DL19" s="223"/>
      <c r="DM19" s="22"/>
      <c r="DO19" s="40"/>
      <c r="DP19" s="22"/>
      <c r="DQ19" s="31"/>
      <c r="DR19" s="34"/>
      <c r="DS19" s="222"/>
      <c r="DT19" s="223"/>
      <c r="DU19" s="22"/>
      <c r="DW19" s="40"/>
      <c r="DX19" s="36"/>
      <c r="DY19" s="34"/>
      <c r="DZ19" s="222"/>
      <c r="EA19" s="223"/>
      <c r="EB19" s="22"/>
      <c r="ED19" s="40"/>
      <c r="EE19" s="22"/>
      <c r="EF19" s="31"/>
      <c r="EG19" s="34"/>
      <c r="EH19" s="222"/>
      <c r="EI19" s="223"/>
      <c r="EJ19" s="22"/>
      <c r="EL19" s="40"/>
      <c r="EM19" s="36"/>
      <c r="EN19" s="34"/>
      <c r="EO19" s="222"/>
      <c r="EP19" s="223"/>
      <c r="EQ19" s="22"/>
      <c r="ES19" s="40"/>
      <c r="ET19" s="22"/>
    </row>
    <row r="20" spans="1:150" ht="15.6" customHeight="1" x14ac:dyDescent="1.05">
      <c r="B20" s="25"/>
      <c r="C20" s="228"/>
      <c r="D20" s="229"/>
      <c r="E20" s="50"/>
      <c r="F20" s="231"/>
      <c r="G20" s="232"/>
      <c r="H20" s="26"/>
      <c r="I20" s="25"/>
      <c r="J20" s="228"/>
      <c r="K20" s="229"/>
      <c r="L20" s="50"/>
      <c r="M20" s="231"/>
      <c r="N20" s="232"/>
      <c r="Q20" s="25"/>
      <c r="R20" s="228"/>
      <c r="S20" s="229"/>
      <c r="T20" s="50"/>
      <c r="U20" s="231"/>
      <c r="V20" s="232"/>
      <c r="W20" s="26"/>
      <c r="X20" s="25"/>
      <c r="Y20" s="228"/>
      <c r="Z20" s="229"/>
      <c r="AA20" s="50"/>
      <c r="AB20" s="231"/>
      <c r="AC20" s="232"/>
      <c r="AF20" s="25"/>
      <c r="AG20" s="228"/>
      <c r="AH20" s="229"/>
      <c r="AI20" s="50"/>
      <c r="AJ20" s="231"/>
      <c r="AK20" s="232"/>
      <c r="AL20" s="26"/>
      <c r="AM20" s="25"/>
      <c r="AN20" s="228"/>
      <c r="AO20" s="229"/>
      <c r="AP20" s="50"/>
      <c r="AQ20" s="231"/>
      <c r="AR20" s="232"/>
      <c r="AU20" s="25"/>
      <c r="AV20" s="228"/>
      <c r="AW20" s="229"/>
      <c r="AX20" s="50"/>
      <c r="AY20" s="231"/>
      <c r="AZ20" s="232"/>
      <c r="BA20" s="26"/>
      <c r="BB20" s="25"/>
      <c r="BC20" s="228"/>
      <c r="BD20" s="229"/>
      <c r="BE20" s="50"/>
      <c r="BF20" s="231"/>
      <c r="BG20" s="232"/>
      <c r="BJ20" s="25"/>
      <c r="BK20" s="228"/>
      <c r="BL20" s="229"/>
      <c r="BM20" s="50"/>
      <c r="BN20" s="231"/>
      <c r="BO20" s="232"/>
      <c r="BP20" s="26"/>
      <c r="BQ20" s="25"/>
      <c r="BR20" s="228"/>
      <c r="BS20" s="229"/>
      <c r="BT20" s="50"/>
      <c r="BU20" s="231"/>
      <c r="BV20" s="232"/>
      <c r="BY20" s="25"/>
      <c r="BZ20" s="228"/>
      <c r="CA20" s="229"/>
      <c r="CB20" s="50"/>
      <c r="CC20" s="231"/>
      <c r="CD20" s="232"/>
      <c r="CE20" s="26"/>
      <c r="CF20" s="25"/>
      <c r="CG20" s="228"/>
      <c r="CH20" s="229"/>
      <c r="CI20" s="50"/>
      <c r="CJ20" s="231"/>
      <c r="CK20" s="232"/>
      <c r="CN20" s="25"/>
      <c r="CO20" s="228"/>
      <c r="CP20" s="229"/>
      <c r="CQ20" s="50"/>
      <c r="CR20" s="231"/>
      <c r="CS20" s="232"/>
      <c r="CT20" s="26"/>
      <c r="CU20" s="25"/>
      <c r="CV20" s="228"/>
      <c r="CW20" s="229"/>
      <c r="CX20" s="50"/>
      <c r="CY20" s="231"/>
      <c r="CZ20" s="232"/>
      <c r="DC20" s="25"/>
      <c r="DD20" s="228"/>
      <c r="DE20" s="229"/>
      <c r="DF20" s="50"/>
      <c r="DG20" s="231"/>
      <c r="DH20" s="232"/>
      <c r="DI20" s="26"/>
      <c r="DJ20" s="25"/>
      <c r="DK20" s="228"/>
      <c r="DL20" s="229"/>
      <c r="DM20" s="50"/>
      <c r="DN20" s="231"/>
      <c r="DO20" s="232"/>
      <c r="DR20" s="25"/>
      <c r="DS20" s="228"/>
      <c r="DT20" s="229"/>
      <c r="DU20" s="50"/>
      <c r="DV20" s="231"/>
      <c r="DW20" s="232"/>
      <c r="DX20" s="26"/>
      <c r="DY20" s="25"/>
      <c r="DZ20" s="228"/>
      <c r="EA20" s="229"/>
      <c r="EB20" s="50"/>
      <c r="EC20" s="231"/>
      <c r="ED20" s="232"/>
      <c r="EG20" s="25"/>
      <c r="EH20" s="228"/>
      <c r="EI20" s="229"/>
      <c r="EJ20" s="50"/>
      <c r="EK20" s="231"/>
      <c r="EL20" s="232"/>
      <c r="EM20" s="26"/>
      <c r="EN20" s="25"/>
      <c r="EO20" s="228"/>
      <c r="EP20" s="229"/>
      <c r="EQ20" s="50"/>
      <c r="ER20" s="231"/>
      <c r="ES20" s="232"/>
    </row>
    <row r="21" spans="1:150" ht="15.6" customHeight="1" x14ac:dyDescent="0.45">
      <c r="B21" s="27"/>
      <c r="C21" s="230"/>
      <c r="D21" s="230"/>
      <c r="E21" s="44"/>
      <c r="F21" s="230"/>
      <c r="G21" s="227"/>
      <c r="H21" s="26"/>
      <c r="I21" s="27"/>
      <c r="J21" s="230"/>
      <c r="K21" s="230"/>
      <c r="L21" s="44"/>
      <c r="M21" s="230"/>
      <c r="N21" s="227"/>
      <c r="Q21" s="27"/>
      <c r="R21" s="230"/>
      <c r="S21" s="230"/>
      <c r="T21" s="44"/>
      <c r="U21" s="230"/>
      <c r="V21" s="227"/>
      <c r="W21" s="26"/>
      <c r="X21" s="27"/>
      <c r="Y21" s="230"/>
      <c r="Z21" s="230"/>
      <c r="AA21" s="44"/>
      <c r="AB21" s="230"/>
      <c r="AC21" s="227"/>
      <c r="AF21" s="27"/>
      <c r="AG21" s="230"/>
      <c r="AH21" s="230"/>
      <c r="AI21" s="44"/>
      <c r="AJ21" s="230"/>
      <c r="AK21" s="227"/>
      <c r="AL21" s="26"/>
      <c r="AM21" s="27"/>
      <c r="AN21" s="230"/>
      <c r="AO21" s="230"/>
      <c r="AP21" s="44"/>
      <c r="AQ21" s="230"/>
      <c r="AR21" s="227"/>
      <c r="AU21" s="27"/>
      <c r="AV21" s="230"/>
      <c r="AW21" s="230"/>
      <c r="AX21" s="44"/>
      <c r="AY21" s="230"/>
      <c r="AZ21" s="227"/>
      <c r="BA21" s="26"/>
      <c r="BB21" s="27"/>
      <c r="BC21" s="230"/>
      <c r="BD21" s="230"/>
      <c r="BE21" s="44"/>
      <c r="BF21" s="230"/>
      <c r="BG21" s="227"/>
      <c r="BJ21" s="27"/>
      <c r="BK21" s="230"/>
      <c r="BL21" s="230"/>
      <c r="BM21" s="44"/>
      <c r="BN21" s="230"/>
      <c r="BO21" s="227"/>
      <c r="BP21" s="26"/>
      <c r="BQ21" s="27"/>
      <c r="BR21" s="230"/>
      <c r="BS21" s="230"/>
      <c r="BT21" s="44"/>
      <c r="BU21" s="230"/>
      <c r="BV21" s="227"/>
      <c r="BY21" s="27"/>
      <c r="BZ21" s="230"/>
      <c r="CA21" s="230"/>
      <c r="CB21" s="44"/>
      <c r="CC21" s="230"/>
      <c r="CD21" s="227"/>
      <c r="CE21" s="26"/>
      <c r="CF21" s="27"/>
      <c r="CG21" s="230"/>
      <c r="CH21" s="230"/>
      <c r="CI21" s="44"/>
      <c r="CJ21" s="230"/>
      <c r="CK21" s="227"/>
      <c r="CN21" s="27"/>
      <c r="CO21" s="230"/>
      <c r="CP21" s="230"/>
      <c r="CQ21" s="44"/>
      <c r="CR21" s="230"/>
      <c r="CS21" s="227"/>
      <c r="CT21" s="26"/>
      <c r="CU21" s="27"/>
      <c r="CV21" s="230"/>
      <c r="CW21" s="230"/>
      <c r="CX21" s="44"/>
      <c r="CY21" s="230"/>
      <c r="CZ21" s="227"/>
      <c r="DC21" s="27"/>
      <c r="DD21" s="230"/>
      <c r="DE21" s="230"/>
      <c r="DF21" s="44"/>
      <c r="DG21" s="230"/>
      <c r="DH21" s="227"/>
      <c r="DI21" s="26"/>
      <c r="DJ21" s="27"/>
      <c r="DK21" s="230"/>
      <c r="DL21" s="230"/>
      <c r="DM21" s="44"/>
      <c r="DN21" s="230"/>
      <c r="DO21" s="227"/>
      <c r="DR21" s="27"/>
      <c r="DS21" s="230"/>
      <c r="DT21" s="230"/>
      <c r="DU21" s="44"/>
      <c r="DV21" s="230"/>
      <c r="DW21" s="227"/>
      <c r="DX21" s="26"/>
      <c r="DY21" s="27"/>
      <c r="DZ21" s="230"/>
      <c r="EA21" s="230"/>
      <c r="EB21" s="44"/>
      <c r="EC21" s="230"/>
      <c r="ED21" s="227"/>
      <c r="EG21" s="27"/>
      <c r="EH21" s="230"/>
      <c r="EI21" s="230"/>
      <c r="EJ21" s="44"/>
      <c r="EK21" s="230"/>
      <c r="EL21" s="227"/>
      <c r="EM21" s="26"/>
      <c r="EN21" s="27"/>
      <c r="EO21" s="230"/>
      <c r="EP21" s="230"/>
      <c r="EQ21" s="44"/>
      <c r="ER21" s="230"/>
      <c r="ES21" s="227"/>
    </row>
    <row r="22" spans="1:150" s="32" customFormat="1" x14ac:dyDescent="0.55000000000000004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 x14ac:dyDescent="0.45">
      <c r="B23" s="233"/>
      <c r="C23" s="227"/>
      <c r="D23" s="233"/>
      <c r="E23" s="227"/>
      <c r="F23" s="226"/>
      <c r="G23" s="227"/>
      <c r="I23" s="233"/>
      <c r="J23" s="227"/>
      <c r="K23" s="233"/>
      <c r="L23" s="227"/>
      <c r="M23" s="226"/>
      <c r="N23" s="227"/>
      <c r="Q23" s="233"/>
      <c r="R23" s="227"/>
      <c r="S23" s="233"/>
      <c r="T23" s="227"/>
      <c r="U23" s="226"/>
      <c r="V23" s="227"/>
      <c r="X23" s="233"/>
      <c r="Y23" s="227"/>
      <c r="Z23" s="233"/>
      <c r="AA23" s="227"/>
      <c r="AB23" s="226"/>
      <c r="AC23" s="227"/>
      <c r="AF23" s="233"/>
      <c r="AG23" s="227"/>
      <c r="AH23" s="233"/>
      <c r="AI23" s="227"/>
      <c r="AJ23" s="226"/>
      <c r="AK23" s="227"/>
      <c r="AM23" s="233"/>
      <c r="AN23" s="227"/>
      <c r="AO23" s="233"/>
      <c r="AP23" s="227"/>
      <c r="AQ23" s="226"/>
      <c r="AR23" s="227"/>
      <c r="AU23" s="233"/>
      <c r="AV23" s="227"/>
      <c r="AW23" s="233"/>
      <c r="AX23" s="227"/>
      <c r="AY23" s="226"/>
      <c r="AZ23" s="227"/>
      <c r="BB23" s="233"/>
      <c r="BC23" s="227"/>
      <c r="BD23" s="233"/>
      <c r="BE23" s="227"/>
      <c r="BF23" s="226"/>
      <c r="BG23" s="227"/>
      <c r="BJ23" s="233"/>
      <c r="BK23" s="227"/>
      <c r="BL23" s="233"/>
      <c r="BM23" s="227"/>
      <c r="BN23" s="226"/>
      <c r="BO23" s="227"/>
      <c r="BQ23" s="233"/>
      <c r="BR23" s="227"/>
      <c r="BS23" s="233"/>
      <c r="BT23" s="227"/>
      <c r="BU23" s="226"/>
      <c r="BV23" s="227"/>
      <c r="BY23" s="233"/>
      <c r="BZ23" s="227"/>
      <c r="CA23" s="233"/>
      <c r="CB23" s="227"/>
      <c r="CC23" s="226"/>
      <c r="CD23" s="227"/>
      <c r="CF23" s="233"/>
      <c r="CG23" s="227"/>
      <c r="CH23" s="233"/>
      <c r="CI23" s="227"/>
      <c r="CJ23" s="226"/>
      <c r="CK23" s="227"/>
      <c r="CN23" s="233"/>
      <c r="CO23" s="227"/>
      <c r="CP23" s="233"/>
      <c r="CQ23" s="227"/>
      <c r="CR23" s="226"/>
      <c r="CS23" s="227"/>
      <c r="CU23" s="233"/>
      <c r="CV23" s="227"/>
      <c r="CW23" s="233"/>
      <c r="CX23" s="227"/>
      <c r="CY23" s="226"/>
      <c r="CZ23" s="227"/>
      <c r="DC23" s="233"/>
      <c r="DD23" s="227"/>
      <c r="DE23" s="233"/>
      <c r="DF23" s="227"/>
      <c r="DG23" s="226"/>
      <c r="DH23" s="227"/>
      <c r="DJ23" s="233"/>
      <c r="DK23" s="227"/>
      <c r="DL23" s="233"/>
      <c r="DM23" s="227"/>
      <c r="DN23" s="226"/>
      <c r="DO23" s="227"/>
      <c r="DR23" s="233"/>
      <c r="DS23" s="227"/>
      <c r="DT23" s="233"/>
      <c r="DU23" s="227"/>
      <c r="DV23" s="226"/>
      <c r="DW23" s="227"/>
      <c r="DY23" s="233"/>
      <c r="DZ23" s="227"/>
      <c r="EA23" s="233"/>
      <c r="EB23" s="227"/>
      <c r="EC23" s="226"/>
      <c r="ED23" s="227"/>
      <c r="EG23" s="233"/>
      <c r="EH23" s="227"/>
      <c r="EI23" s="233"/>
      <c r="EJ23" s="227"/>
      <c r="EK23" s="226"/>
      <c r="EL23" s="227"/>
      <c r="EN23" s="233"/>
      <c r="EO23" s="227"/>
      <c r="EP23" s="233"/>
      <c r="EQ23" s="227"/>
      <c r="ER23" s="226"/>
      <c r="ES23" s="227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/>
      <c r="B25" s="43"/>
      <c r="C25" s="224"/>
      <c r="D25" s="225"/>
      <c r="E25" s="225"/>
      <c r="F25" s="225"/>
      <c r="G25" s="42"/>
      <c r="H25" s="36"/>
      <c r="I25" s="43"/>
      <c r="J25" s="224"/>
      <c r="K25" s="225"/>
      <c r="L25" s="225"/>
      <c r="M25" s="225"/>
      <c r="N25" s="42"/>
      <c r="O25" s="22"/>
      <c r="P25" s="31"/>
      <c r="Q25" s="43"/>
      <c r="R25" s="224"/>
      <c r="S25" s="225"/>
      <c r="T25" s="225"/>
      <c r="U25" s="225"/>
      <c r="V25" s="42"/>
      <c r="W25" s="36"/>
      <c r="X25" s="43"/>
      <c r="Y25" s="224"/>
      <c r="Z25" s="225"/>
      <c r="AA25" s="225"/>
      <c r="AB25" s="225"/>
      <c r="AC25" s="42"/>
      <c r="AD25" s="22"/>
      <c r="AE25" s="31"/>
      <c r="AF25" s="43"/>
      <c r="AG25" s="224"/>
      <c r="AH25" s="225"/>
      <c r="AI25" s="225"/>
      <c r="AJ25" s="225"/>
      <c r="AK25" s="42"/>
      <c r="AL25" s="36"/>
      <c r="AM25" s="43"/>
      <c r="AN25" s="224"/>
      <c r="AO25" s="225"/>
      <c r="AP25" s="225"/>
      <c r="AQ25" s="225"/>
      <c r="AR25" s="42"/>
      <c r="AS25" s="22"/>
      <c r="AT25" s="31"/>
      <c r="AU25" s="43"/>
      <c r="AV25" s="224"/>
      <c r="AW25" s="225"/>
      <c r="AX25" s="225"/>
      <c r="AY25" s="225"/>
      <c r="AZ25" s="42"/>
      <c r="BA25" s="36"/>
      <c r="BB25" s="43"/>
      <c r="BC25" s="224"/>
      <c r="BD25" s="225"/>
      <c r="BE25" s="225"/>
      <c r="BF25" s="225"/>
      <c r="BG25" s="42"/>
      <c r="BH25" s="22"/>
      <c r="BI25" s="31"/>
      <c r="BJ25" s="43"/>
      <c r="BK25" s="224"/>
      <c r="BL25" s="225"/>
      <c r="BM25" s="225"/>
      <c r="BN25" s="225"/>
      <c r="BO25" s="42"/>
      <c r="BP25" s="36"/>
      <c r="BQ25" s="43"/>
      <c r="BR25" s="224"/>
      <c r="BS25" s="225"/>
      <c r="BT25" s="225"/>
      <c r="BU25" s="225"/>
      <c r="BV25" s="42"/>
      <c r="BW25" s="22"/>
      <c r="BX25" s="31"/>
      <c r="BY25" s="43"/>
      <c r="BZ25" s="224"/>
      <c r="CA25" s="225"/>
      <c r="CB25" s="225"/>
      <c r="CC25" s="225"/>
      <c r="CD25" s="42"/>
      <c r="CE25" s="36"/>
      <c r="CF25" s="43"/>
      <c r="CG25" s="224"/>
      <c r="CH25" s="225"/>
      <c r="CI25" s="225"/>
      <c r="CJ25" s="225"/>
      <c r="CK25" s="42"/>
      <c r="CL25" s="22"/>
      <c r="CM25" s="31"/>
      <c r="CN25" s="43"/>
      <c r="CO25" s="224"/>
      <c r="CP25" s="225"/>
      <c r="CQ25" s="225"/>
      <c r="CR25" s="225"/>
      <c r="CS25" s="42"/>
      <c r="CT25" s="36"/>
      <c r="CU25" s="43"/>
      <c r="CV25" s="224"/>
      <c r="CW25" s="225"/>
      <c r="CX25" s="225"/>
      <c r="CY25" s="225"/>
      <c r="CZ25" s="42"/>
      <c r="DA25" s="22"/>
      <c r="DB25" s="31"/>
      <c r="DC25" s="43"/>
      <c r="DD25" s="224"/>
      <c r="DE25" s="225"/>
      <c r="DF25" s="225"/>
      <c r="DG25" s="225"/>
      <c r="DH25" s="42"/>
      <c r="DI25" s="36"/>
      <c r="DJ25" s="43"/>
      <c r="DK25" s="224"/>
      <c r="DL25" s="225"/>
      <c r="DM25" s="225"/>
      <c r="DN25" s="225"/>
      <c r="DO25" s="42"/>
      <c r="DP25" s="22"/>
      <c r="DQ25" s="31"/>
      <c r="DR25" s="43"/>
      <c r="DS25" s="224"/>
      <c r="DT25" s="225"/>
      <c r="DU25" s="225"/>
      <c r="DV25" s="225"/>
      <c r="DW25" s="42"/>
      <c r="DX25" s="36"/>
      <c r="DY25" s="43"/>
      <c r="DZ25" s="224"/>
      <c r="EA25" s="225"/>
      <c r="EB25" s="225"/>
      <c r="EC25" s="225"/>
      <c r="ED25" s="42"/>
      <c r="EE25" s="22"/>
      <c r="EF25" s="31"/>
      <c r="EG25" s="43"/>
      <c r="EH25" s="224"/>
      <c r="EI25" s="225"/>
      <c r="EJ25" s="225"/>
      <c r="EK25" s="225"/>
      <c r="EL25" s="42"/>
      <c r="EM25" s="36"/>
      <c r="EN25" s="43"/>
      <c r="EO25" s="224"/>
      <c r="EP25" s="225"/>
      <c r="EQ25" s="225"/>
      <c r="ER25" s="225"/>
      <c r="ES25" s="42"/>
      <c r="ET25" s="22"/>
    </row>
    <row r="26" spans="1:150" s="32" customFormat="1" x14ac:dyDescent="0.55000000000000004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 x14ac:dyDescent="0.55000000000000004">
      <c r="A27" s="31"/>
      <c r="B27" s="34"/>
      <c r="C27" s="222"/>
      <c r="D27" s="223"/>
      <c r="E27" s="22"/>
      <c r="G27" s="40"/>
      <c r="H27" s="36"/>
      <c r="I27" s="34"/>
      <c r="J27" s="222"/>
      <c r="K27" s="223"/>
      <c r="L27" s="22"/>
      <c r="N27" s="40"/>
      <c r="O27" s="22"/>
      <c r="P27" s="31"/>
      <c r="Q27" s="34"/>
      <c r="R27" s="222"/>
      <c r="S27" s="223"/>
      <c r="T27" s="22"/>
      <c r="V27" s="40"/>
      <c r="W27" s="36"/>
      <c r="X27" s="34"/>
      <c r="Y27" s="222"/>
      <c r="Z27" s="223"/>
      <c r="AA27" s="22"/>
      <c r="AC27" s="40"/>
      <c r="AD27" s="22"/>
      <c r="AE27" s="31"/>
      <c r="AF27" s="34"/>
      <c r="AG27" s="222"/>
      <c r="AH27" s="223"/>
      <c r="AI27" s="22"/>
      <c r="AK27" s="40"/>
      <c r="AL27" s="36"/>
      <c r="AM27" s="34"/>
      <c r="AN27" s="222"/>
      <c r="AO27" s="223"/>
      <c r="AP27" s="22"/>
      <c r="AR27" s="40"/>
      <c r="AS27" s="22"/>
      <c r="AT27" s="31"/>
      <c r="AU27" s="34"/>
      <c r="AV27" s="222"/>
      <c r="AW27" s="223"/>
      <c r="AX27" s="22"/>
      <c r="AZ27" s="40"/>
      <c r="BA27" s="36"/>
      <c r="BB27" s="34"/>
      <c r="BC27" s="222"/>
      <c r="BD27" s="223"/>
      <c r="BE27" s="22"/>
      <c r="BG27" s="40"/>
      <c r="BH27" s="22"/>
      <c r="BI27" s="31"/>
      <c r="BJ27" s="34"/>
      <c r="BK27" s="222"/>
      <c r="BL27" s="223"/>
      <c r="BM27" s="22"/>
      <c r="BO27" s="40"/>
      <c r="BP27" s="36"/>
      <c r="BQ27" s="34"/>
      <c r="BR27" s="222"/>
      <c r="BS27" s="223"/>
      <c r="BT27" s="22"/>
      <c r="BV27" s="40"/>
      <c r="BW27" s="22"/>
      <c r="BX27" s="31"/>
      <c r="BY27" s="34"/>
      <c r="BZ27" s="222"/>
      <c r="CA27" s="223"/>
      <c r="CB27" s="22"/>
      <c r="CD27" s="40"/>
      <c r="CE27" s="36"/>
      <c r="CF27" s="34"/>
      <c r="CG27" s="222"/>
      <c r="CH27" s="223"/>
      <c r="CI27" s="22"/>
      <c r="CK27" s="40"/>
      <c r="CL27" s="22"/>
      <c r="CM27" s="31"/>
      <c r="CN27" s="34"/>
      <c r="CO27" s="222"/>
      <c r="CP27" s="223"/>
      <c r="CQ27" s="22"/>
      <c r="CS27" s="40"/>
      <c r="CT27" s="36"/>
      <c r="CU27" s="34"/>
      <c r="CV27" s="222"/>
      <c r="CW27" s="223"/>
      <c r="CX27" s="22"/>
      <c r="CZ27" s="40"/>
      <c r="DA27" s="22"/>
      <c r="DB27" s="31"/>
      <c r="DC27" s="34"/>
      <c r="DD27" s="222"/>
      <c r="DE27" s="223"/>
      <c r="DF27" s="22"/>
      <c r="DH27" s="40"/>
      <c r="DI27" s="36"/>
      <c r="DJ27" s="34"/>
      <c r="DK27" s="222"/>
      <c r="DL27" s="223"/>
      <c r="DM27" s="22"/>
      <c r="DO27" s="40"/>
      <c r="DP27" s="22"/>
      <c r="DQ27" s="31"/>
      <c r="DR27" s="34"/>
      <c r="DS27" s="222"/>
      <c r="DT27" s="223"/>
      <c r="DU27" s="22"/>
      <c r="DW27" s="40"/>
      <c r="DX27" s="36"/>
      <c r="DY27" s="34"/>
      <c r="DZ27" s="222"/>
      <c r="EA27" s="223"/>
      <c r="EB27" s="22"/>
      <c r="ED27" s="40"/>
      <c r="EE27" s="22"/>
      <c r="EF27" s="31"/>
      <c r="EG27" s="34"/>
      <c r="EH27" s="222"/>
      <c r="EI27" s="223"/>
      <c r="EJ27" s="22"/>
      <c r="EL27" s="40"/>
      <c r="EM27" s="36"/>
      <c r="EN27" s="34"/>
      <c r="EO27" s="222"/>
      <c r="EP27" s="223"/>
      <c r="EQ27" s="22"/>
      <c r="ES27" s="40"/>
      <c r="ET27" s="22"/>
    </row>
    <row r="28" spans="1:150" ht="15.6" customHeight="1" x14ac:dyDescent="1.05">
      <c r="B28" s="25"/>
      <c r="C28" s="228"/>
      <c r="D28" s="229"/>
      <c r="E28" s="50"/>
      <c r="F28" s="231"/>
      <c r="G28" s="232"/>
      <c r="H28" s="26"/>
      <c r="I28" s="25"/>
      <c r="J28" s="228"/>
      <c r="K28" s="229"/>
      <c r="L28" s="50"/>
      <c r="M28" s="231"/>
      <c r="N28" s="232"/>
      <c r="Q28" s="25"/>
      <c r="R28" s="228"/>
      <c r="S28" s="229"/>
      <c r="T28" s="50"/>
      <c r="U28" s="231"/>
      <c r="V28" s="232"/>
      <c r="W28" s="26"/>
      <c r="X28" s="25"/>
      <c r="Y28" s="228"/>
      <c r="Z28" s="229"/>
      <c r="AA28" s="50"/>
      <c r="AB28" s="231"/>
      <c r="AC28" s="232"/>
      <c r="AF28" s="25"/>
      <c r="AG28" s="228"/>
      <c r="AH28" s="229"/>
      <c r="AI28" s="50"/>
      <c r="AJ28" s="231"/>
      <c r="AK28" s="232"/>
      <c r="AL28" s="26"/>
      <c r="AM28" s="25"/>
      <c r="AN28" s="228"/>
      <c r="AO28" s="229"/>
      <c r="AP28" s="50"/>
      <c r="AQ28" s="231"/>
      <c r="AR28" s="232"/>
      <c r="AU28" s="25"/>
      <c r="AV28" s="228"/>
      <c r="AW28" s="229"/>
      <c r="AX28" s="50"/>
      <c r="AY28" s="231"/>
      <c r="AZ28" s="232"/>
      <c r="BA28" s="26"/>
      <c r="BB28" s="25"/>
      <c r="BC28" s="228"/>
      <c r="BD28" s="229"/>
      <c r="BE28" s="50"/>
      <c r="BF28" s="231"/>
      <c r="BG28" s="232"/>
      <c r="BJ28" s="25"/>
      <c r="BK28" s="228"/>
      <c r="BL28" s="229"/>
      <c r="BM28" s="50"/>
      <c r="BN28" s="231"/>
      <c r="BO28" s="232"/>
      <c r="BP28" s="26"/>
      <c r="BQ28" s="25"/>
      <c r="BR28" s="228"/>
      <c r="BS28" s="229"/>
      <c r="BT28" s="50"/>
      <c r="BU28" s="231"/>
      <c r="BV28" s="232"/>
      <c r="BY28" s="25"/>
      <c r="BZ28" s="228"/>
      <c r="CA28" s="229"/>
      <c r="CB28" s="50"/>
      <c r="CC28" s="231"/>
      <c r="CD28" s="232"/>
      <c r="CE28" s="26"/>
      <c r="CF28" s="25"/>
      <c r="CG28" s="228"/>
      <c r="CH28" s="229"/>
      <c r="CI28" s="50"/>
      <c r="CJ28" s="231"/>
      <c r="CK28" s="232"/>
      <c r="CN28" s="25"/>
      <c r="CO28" s="228"/>
      <c r="CP28" s="229"/>
      <c r="CQ28" s="50"/>
      <c r="CR28" s="231"/>
      <c r="CS28" s="232"/>
      <c r="CT28" s="26"/>
      <c r="CU28" s="25"/>
      <c r="CV28" s="228"/>
      <c r="CW28" s="229"/>
      <c r="CX28" s="50"/>
      <c r="CY28" s="231"/>
      <c r="CZ28" s="232"/>
      <c r="DC28" s="25"/>
      <c r="DD28" s="228"/>
      <c r="DE28" s="229"/>
      <c r="DF28" s="50"/>
      <c r="DG28" s="231"/>
      <c r="DH28" s="232"/>
      <c r="DI28" s="26"/>
      <c r="DJ28" s="25"/>
      <c r="DK28" s="228"/>
      <c r="DL28" s="229"/>
      <c r="DM28" s="50"/>
      <c r="DN28" s="231"/>
      <c r="DO28" s="232"/>
      <c r="DR28" s="25"/>
      <c r="DS28" s="228"/>
      <c r="DT28" s="229"/>
      <c r="DU28" s="50"/>
      <c r="DV28" s="231"/>
      <c r="DW28" s="232"/>
      <c r="DX28" s="26"/>
      <c r="DY28" s="25"/>
      <c r="DZ28" s="228"/>
      <c r="EA28" s="229"/>
      <c r="EB28" s="50"/>
      <c r="EC28" s="231"/>
      <c r="ED28" s="232"/>
      <c r="EG28" s="25"/>
      <c r="EH28" s="228"/>
      <c r="EI28" s="229"/>
      <c r="EJ28" s="50"/>
      <c r="EK28" s="231"/>
      <c r="EL28" s="232"/>
      <c r="EM28" s="26"/>
      <c r="EN28" s="25"/>
      <c r="EO28" s="228"/>
      <c r="EP28" s="229"/>
      <c r="EQ28" s="50"/>
      <c r="ER28" s="231"/>
      <c r="ES28" s="232"/>
    </row>
    <row r="29" spans="1:150" ht="15.6" customHeight="1" x14ac:dyDescent="0.45">
      <c r="B29" s="27"/>
      <c r="C29" s="230"/>
      <c r="D29" s="230"/>
      <c r="E29" s="44"/>
      <c r="F29" s="230"/>
      <c r="G29" s="227"/>
      <c r="H29" s="26"/>
      <c r="I29" s="27"/>
      <c r="J29" s="230"/>
      <c r="K29" s="230"/>
      <c r="L29" s="44"/>
      <c r="M29" s="230"/>
      <c r="N29" s="227"/>
      <c r="Q29" s="27"/>
      <c r="R29" s="230"/>
      <c r="S29" s="230"/>
      <c r="T29" s="44"/>
      <c r="U29" s="230"/>
      <c r="V29" s="227"/>
      <c r="W29" s="26"/>
      <c r="X29" s="27"/>
      <c r="Y29" s="230"/>
      <c r="Z29" s="230"/>
      <c r="AA29" s="44"/>
      <c r="AB29" s="230"/>
      <c r="AC29" s="227"/>
      <c r="AF29" s="27"/>
      <c r="AG29" s="230"/>
      <c r="AH29" s="230"/>
      <c r="AI29" s="44"/>
      <c r="AJ29" s="230"/>
      <c r="AK29" s="227"/>
      <c r="AL29" s="26"/>
      <c r="AM29" s="27"/>
      <c r="AN29" s="230"/>
      <c r="AO29" s="230"/>
      <c r="AP29" s="44"/>
      <c r="AQ29" s="230"/>
      <c r="AR29" s="227"/>
      <c r="AU29" s="27"/>
      <c r="AV29" s="230"/>
      <c r="AW29" s="230"/>
      <c r="AX29" s="44"/>
      <c r="AY29" s="230"/>
      <c r="AZ29" s="227"/>
      <c r="BA29" s="26"/>
      <c r="BB29" s="27"/>
      <c r="BC29" s="230"/>
      <c r="BD29" s="230"/>
      <c r="BE29" s="44"/>
      <c r="BF29" s="230"/>
      <c r="BG29" s="227"/>
      <c r="BJ29" s="27"/>
      <c r="BK29" s="230"/>
      <c r="BL29" s="230"/>
      <c r="BM29" s="44"/>
      <c r="BN29" s="230"/>
      <c r="BO29" s="227"/>
      <c r="BP29" s="26"/>
      <c r="BQ29" s="27"/>
      <c r="BR29" s="230"/>
      <c r="BS29" s="230"/>
      <c r="BT29" s="44"/>
      <c r="BU29" s="230"/>
      <c r="BV29" s="227"/>
      <c r="BY29" s="27"/>
      <c r="BZ29" s="230"/>
      <c r="CA29" s="230"/>
      <c r="CB29" s="44"/>
      <c r="CC29" s="230"/>
      <c r="CD29" s="227"/>
      <c r="CE29" s="26"/>
      <c r="CF29" s="27"/>
      <c r="CG29" s="230"/>
      <c r="CH29" s="230"/>
      <c r="CI29" s="44"/>
      <c r="CJ29" s="230"/>
      <c r="CK29" s="227"/>
      <c r="CN29" s="27"/>
      <c r="CO29" s="230"/>
      <c r="CP29" s="230"/>
      <c r="CQ29" s="44"/>
      <c r="CR29" s="230"/>
      <c r="CS29" s="227"/>
      <c r="CT29" s="26"/>
      <c r="CU29" s="27"/>
      <c r="CV29" s="230"/>
      <c r="CW29" s="230"/>
      <c r="CX29" s="44"/>
      <c r="CY29" s="230"/>
      <c r="CZ29" s="227"/>
      <c r="DC29" s="27"/>
      <c r="DD29" s="230"/>
      <c r="DE29" s="230"/>
      <c r="DF29" s="44"/>
      <c r="DG29" s="230"/>
      <c r="DH29" s="227"/>
      <c r="DI29" s="26"/>
      <c r="DJ29" s="27"/>
      <c r="DK29" s="230"/>
      <c r="DL29" s="230"/>
      <c r="DM29" s="44"/>
      <c r="DN29" s="230"/>
      <c r="DO29" s="227"/>
      <c r="DR29" s="27"/>
      <c r="DS29" s="230"/>
      <c r="DT29" s="230"/>
      <c r="DU29" s="44"/>
      <c r="DV29" s="230"/>
      <c r="DW29" s="227"/>
      <c r="DX29" s="26"/>
      <c r="DY29" s="27"/>
      <c r="DZ29" s="230"/>
      <c r="EA29" s="230"/>
      <c r="EB29" s="44"/>
      <c r="EC29" s="230"/>
      <c r="ED29" s="227"/>
      <c r="EG29" s="27"/>
      <c r="EH29" s="230"/>
      <c r="EI29" s="230"/>
      <c r="EJ29" s="44"/>
      <c r="EK29" s="230"/>
      <c r="EL29" s="227"/>
      <c r="EM29" s="26"/>
      <c r="EN29" s="27"/>
      <c r="EO29" s="230"/>
      <c r="EP29" s="230"/>
      <c r="EQ29" s="44"/>
      <c r="ER29" s="230"/>
      <c r="ES29" s="227"/>
    </row>
    <row r="30" spans="1:150" s="32" customFormat="1" x14ac:dyDescent="0.55000000000000004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 x14ac:dyDescent="0.45">
      <c r="B31" s="233"/>
      <c r="C31" s="227"/>
      <c r="D31" s="233"/>
      <c r="E31" s="227"/>
      <c r="F31" s="226"/>
      <c r="G31" s="227"/>
      <c r="I31" s="233"/>
      <c r="J31" s="227"/>
      <c r="K31" s="233"/>
      <c r="L31" s="227"/>
      <c r="M31" s="226"/>
      <c r="N31" s="227"/>
      <c r="Q31" s="233"/>
      <c r="R31" s="227"/>
      <c r="S31" s="233"/>
      <c r="T31" s="227"/>
      <c r="U31" s="226"/>
      <c r="V31" s="227"/>
      <c r="X31" s="233"/>
      <c r="Y31" s="227"/>
      <c r="Z31" s="233"/>
      <c r="AA31" s="227"/>
      <c r="AB31" s="226"/>
      <c r="AC31" s="227"/>
      <c r="AF31" s="233"/>
      <c r="AG31" s="227"/>
      <c r="AH31" s="233"/>
      <c r="AI31" s="227"/>
      <c r="AJ31" s="226"/>
      <c r="AK31" s="227"/>
      <c r="AM31" s="233"/>
      <c r="AN31" s="227"/>
      <c r="AO31" s="233"/>
      <c r="AP31" s="227"/>
      <c r="AQ31" s="226"/>
      <c r="AR31" s="227"/>
      <c r="AU31" s="233"/>
      <c r="AV31" s="227"/>
      <c r="AW31" s="233"/>
      <c r="AX31" s="227"/>
      <c r="AY31" s="226"/>
      <c r="AZ31" s="227"/>
      <c r="BB31" s="233"/>
      <c r="BC31" s="227"/>
      <c r="BD31" s="233"/>
      <c r="BE31" s="227"/>
      <c r="BF31" s="226"/>
      <c r="BG31" s="227"/>
      <c r="BJ31" s="233"/>
      <c r="BK31" s="227"/>
      <c r="BL31" s="233"/>
      <c r="BM31" s="227"/>
      <c r="BN31" s="226"/>
      <c r="BO31" s="227"/>
      <c r="BQ31" s="233"/>
      <c r="BR31" s="227"/>
      <c r="BS31" s="233"/>
      <c r="BT31" s="227"/>
      <c r="BU31" s="226"/>
      <c r="BV31" s="227"/>
      <c r="BY31" s="233"/>
      <c r="BZ31" s="227"/>
      <c r="CA31" s="233"/>
      <c r="CB31" s="227"/>
      <c r="CC31" s="226"/>
      <c r="CD31" s="227"/>
      <c r="CF31" s="233"/>
      <c r="CG31" s="227"/>
      <c r="CH31" s="233"/>
      <c r="CI31" s="227"/>
      <c r="CJ31" s="226"/>
      <c r="CK31" s="227"/>
      <c r="CN31" s="233"/>
      <c r="CO31" s="227"/>
      <c r="CP31" s="233"/>
      <c r="CQ31" s="227"/>
      <c r="CR31" s="226"/>
      <c r="CS31" s="227"/>
      <c r="CU31" s="233"/>
      <c r="CV31" s="227"/>
      <c r="CW31" s="233"/>
      <c r="CX31" s="227"/>
      <c r="CY31" s="226"/>
      <c r="CZ31" s="227"/>
      <c r="DC31" s="233"/>
      <c r="DD31" s="227"/>
      <c r="DE31" s="233"/>
      <c r="DF31" s="227"/>
      <c r="DG31" s="226"/>
      <c r="DH31" s="227"/>
      <c r="DJ31" s="233"/>
      <c r="DK31" s="227"/>
      <c r="DL31" s="233"/>
      <c r="DM31" s="227"/>
      <c r="DN31" s="226"/>
      <c r="DO31" s="227"/>
      <c r="DR31" s="233"/>
      <c r="DS31" s="227"/>
      <c r="DT31" s="233"/>
      <c r="DU31" s="227"/>
      <c r="DV31" s="226"/>
      <c r="DW31" s="227"/>
      <c r="DY31" s="233"/>
      <c r="DZ31" s="227"/>
      <c r="EA31" s="233"/>
      <c r="EB31" s="227"/>
      <c r="EC31" s="226"/>
      <c r="ED31" s="227"/>
      <c r="EG31" s="233"/>
      <c r="EH31" s="227"/>
      <c r="EI31" s="233"/>
      <c r="EJ31" s="227"/>
      <c r="EK31" s="226"/>
      <c r="EL31" s="227"/>
      <c r="EN31" s="233"/>
      <c r="EO31" s="227"/>
      <c r="EP31" s="233"/>
      <c r="EQ31" s="227"/>
      <c r="ER31" s="226"/>
      <c r="ES31" s="227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/>
      <c r="B33" s="43"/>
      <c r="C33" s="224"/>
      <c r="D33" s="225"/>
      <c r="E33" s="225"/>
      <c r="F33" s="225"/>
      <c r="G33" s="42"/>
      <c r="H33" s="36"/>
      <c r="I33" s="43"/>
      <c r="J33" s="224"/>
      <c r="K33" s="225"/>
      <c r="L33" s="225"/>
      <c r="M33" s="225"/>
      <c r="N33" s="42"/>
      <c r="O33" s="22"/>
      <c r="P33" s="31"/>
      <c r="Q33" s="43"/>
      <c r="R33" s="224"/>
      <c r="S33" s="225"/>
      <c r="T33" s="225"/>
      <c r="U33" s="225"/>
      <c r="V33" s="42"/>
      <c r="W33" s="36"/>
      <c r="X33" s="43"/>
      <c r="Y33" s="224"/>
      <c r="Z33" s="225"/>
      <c r="AA33" s="225"/>
      <c r="AB33" s="225"/>
      <c r="AC33" s="42"/>
      <c r="AD33" s="22"/>
      <c r="AE33" s="31"/>
      <c r="AF33" s="43"/>
      <c r="AG33" s="224"/>
      <c r="AH33" s="225"/>
      <c r="AI33" s="225"/>
      <c r="AJ33" s="225"/>
      <c r="AK33" s="42"/>
      <c r="AL33" s="36"/>
      <c r="AM33" s="43"/>
      <c r="AN33" s="224"/>
      <c r="AO33" s="225"/>
      <c r="AP33" s="225"/>
      <c r="AQ33" s="225"/>
      <c r="AR33" s="42"/>
      <c r="AS33" s="22"/>
      <c r="AT33" s="31"/>
      <c r="AU33" s="43"/>
      <c r="AV33" s="224"/>
      <c r="AW33" s="225"/>
      <c r="AX33" s="225"/>
      <c r="AY33" s="225"/>
      <c r="AZ33" s="42"/>
      <c r="BA33" s="36"/>
      <c r="BB33" s="43"/>
      <c r="BC33" s="224"/>
      <c r="BD33" s="225"/>
      <c r="BE33" s="225"/>
      <c r="BF33" s="225"/>
      <c r="BG33" s="42"/>
      <c r="BH33" s="22"/>
      <c r="BI33" s="31"/>
      <c r="BJ33" s="43"/>
      <c r="BK33" s="224"/>
      <c r="BL33" s="225"/>
      <c r="BM33" s="225"/>
      <c r="BN33" s="225"/>
      <c r="BO33" s="42"/>
      <c r="BP33" s="36"/>
      <c r="BQ33" s="43"/>
      <c r="BR33" s="224"/>
      <c r="BS33" s="225"/>
      <c r="BT33" s="225"/>
      <c r="BU33" s="225"/>
      <c r="BV33" s="42"/>
      <c r="BW33" s="22"/>
      <c r="BX33" s="31"/>
      <c r="BY33" s="43"/>
      <c r="BZ33" s="224"/>
      <c r="CA33" s="225"/>
      <c r="CB33" s="225"/>
      <c r="CC33" s="225"/>
      <c r="CD33" s="42"/>
      <c r="CE33" s="36"/>
      <c r="CF33" s="43"/>
      <c r="CG33" s="224"/>
      <c r="CH33" s="225"/>
      <c r="CI33" s="225"/>
      <c r="CJ33" s="225"/>
      <c r="CK33" s="42"/>
      <c r="CL33" s="22"/>
      <c r="CM33" s="31"/>
      <c r="CN33" s="43"/>
      <c r="CO33" s="224"/>
      <c r="CP33" s="225"/>
      <c r="CQ33" s="225"/>
      <c r="CR33" s="225"/>
      <c r="CS33" s="42"/>
      <c r="CT33" s="36"/>
      <c r="CU33" s="43"/>
      <c r="CV33" s="224"/>
      <c r="CW33" s="225"/>
      <c r="CX33" s="225"/>
      <c r="CY33" s="225"/>
      <c r="CZ33" s="42"/>
      <c r="DA33" s="22"/>
      <c r="DB33" s="31"/>
      <c r="DC33" s="43"/>
      <c r="DD33" s="224"/>
      <c r="DE33" s="225"/>
      <c r="DF33" s="225"/>
      <c r="DG33" s="225"/>
      <c r="DH33" s="42"/>
      <c r="DI33" s="36"/>
      <c r="DJ33" s="43"/>
      <c r="DK33" s="224"/>
      <c r="DL33" s="225"/>
      <c r="DM33" s="225"/>
      <c r="DN33" s="225"/>
      <c r="DO33" s="42"/>
      <c r="DP33" s="22"/>
      <c r="DQ33" s="31"/>
      <c r="DR33" s="43"/>
      <c r="DS33" s="224"/>
      <c r="DT33" s="225"/>
      <c r="DU33" s="225"/>
      <c r="DV33" s="225"/>
      <c r="DW33" s="42"/>
      <c r="DX33" s="36"/>
      <c r="DY33" s="43"/>
      <c r="DZ33" s="224"/>
      <c r="EA33" s="225"/>
      <c r="EB33" s="225"/>
      <c r="EC33" s="225"/>
      <c r="ED33" s="42"/>
      <c r="EE33" s="22"/>
      <c r="EF33" s="31"/>
      <c r="EG33" s="43"/>
      <c r="EH33" s="224"/>
      <c r="EI33" s="225"/>
      <c r="EJ33" s="225"/>
      <c r="EK33" s="225"/>
      <c r="EL33" s="42"/>
      <c r="EM33" s="36"/>
      <c r="EN33" s="43"/>
      <c r="EO33" s="224"/>
      <c r="EP33" s="225"/>
      <c r="EQ33" s="225"/>
      <c r="ER33" s="225"/>
      <c r="ES33" s="42"/>
      <c r="ET33" s="22"/>
    </row>
    <row r="34" spans="1:150" s="32" customFormat="1" x14ac:dyDescent="0.55000000000000004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 x14ac:dyDescent="0.55000000000000004">
      <c r="A35" s="31"/>
      <c r="B35" s="34"/>
      <c r="C35" s="222"/>
      <c r="D35" s="223"/>
      <c r="E35" s="22"/>
      <c r="G35" s="40"/>
      <c r="H35" s="36"/>
      <c r="I35" s="34"/>
      <c r="J35" s="222"/>
      <c r="K35" s="223"/>
      <c r="L35" s="22"/>
      <c r="N35" s="40"/>
      <c r="O35" s="22"/>
      <c r="P35" s="31"/>
      <c r="Q35" s="34"/>
      <c r="R35" s="222"/>
      <c r="S35" s="223"/>
      <c r="T35" s="22"/>
      <c r="V35" s="40"/>
      <c r="W35" s="36"/>
      <c r="X35" s="34"/>
      <c r="Y35" s="222"/>
      <c r="Z35" s="223"/>
      <c r="AA35" s="22"/>
      <c r="AC35" s="40"/>
      <c r="AD35" s="22"/>
      <c r="AE35" s="31"/>
      <c r="AF35" s="34"/>
      <c r="AG35" s="222"/>
      <c r="AH35" s="223"/>
      <c r="AI35" s="22"/>
      <c r="AK35" s="40"/>
      <c r="AL35" s="36"/>
      <c r="AM35" s="34"/>
      <c r="AN35" s="222"/>
      <c r="AO35" s="223"/>
      <c r="AP35" s="22"/>
      <c r="AR35" s="40"/>
      <c r="AS35" s="22"/>
      <c r="AT35" s="31"/>
      <c r="AU35" s="34"/>
      <c r="AV35" s="222"/>
      <c r="AW35" s="223"/>
      <c r="AX35" s="22"/>
      <c r="AZ35" s="40"/>
      <c r="BA35" s="36"/>
      <c r="BB35" s="34"/>
      <c r="BC35" s="222"/>
      <c r="BD35" s="223"/>
      <c r="BE35" s="22"/>
      <c r="BG35" s="40"/>
      <c r="BH35" s="22"/>
      <c r="BI35" s="31"/>
      <c r="BJ35" s="34"/>
      <c r="BK35" s="222"/>
      <c r="BL35" s="223"/>
      <c r="BM35" s="22"/>
      <c r="BO35" s="40"/>
      <c r="BP35" s="36"/>
      <c r="BQ35" s="34"/>
      <c r="BR35" s="222"/>
      <c r="BS35" s="223"/>
      <c r="BT35" s="22"/>
      <c r="BV35" s="40"/>
      <c r="BW35" s="22"/>
      <c r="BX35" s="31"/>
      <c r="BY35" s="34"/>
      <c r="BZ35" s="222"/>
      <c r="CA35" s="223"/>
      <c r="CB35" s="22"/>
      <c r="CD35" s="40"/>
      <c r="CE35" s="36"/>
      <c r="CF35" s="34"/>
      <c r="CG35" s="222"/>
      <c r="CH35" s="223"/>
      <c r="CI35" s="22"/>
      <c r="CK35" s="40"/>
      <c r="CL35" s="22"/>
      <c r="CM35" s="31"/>
      <c r="CN35" s="34"/>
      <c r="CO35" s="222"/>
      <c r="CP35" s="223"/>
      <c r="CQ35" s="22"/>
      <c r="CS35" s="40"/>
      <c r="CT35" s="36"/>
      <c r="CU35" s="34"/>
      <c r="CV35" s="222"/>
      <c r="CW35" s="223"/>
      <c r="CX35" s="22"/>
      <c r="CZ35" s="40"/>
      <c r="DA35" s="22"/>
      <c r="DB35" s="31"/>
      <c r="DC35" s="34"/>
      <c r="DD35" s="222"/>
      <c r="DE35" s="223"/>
      <c r="DF35" s="22"/>
      <c r="DH35" s="40"/>
      <c r="DI35" s="36"/>
      <c r="DJ35" s="34"/>
      <c r="DK35" s="222"/>
      <c r="DL35" s="223"/>
      <c r="DM35" s="22"/>
      <c r="DO35" s="40"/>
      <c r="DP35" s="22"/>
      <c r="DQ35" s="31"/>
      <c r="DR35" s="34"/>
      <c r="DS35" s="222"/>
      <c r="DT35" s="223"/>
      <c r="DU35" s="22"/>
      <c r="DW35" s="40"/>
      <c r="DX35" s="36"/>
      <c r="DY35" s="34"/>
      <c r="DZ35" s="222"/>
      <c r="EA35" s="223"/>
      <c r="EB35" s="22"/>
      <c r="ED35" s="40"/>
      <c r="EE35" s="22"/>
      <c r="EF35" s="31"/>
      <c r="EG35" s="34"/>
      <c r="EH35" s="222"/>
      <c r="EI35" s="223"/>
      <c r="EJ35" s="22"/>
      <c r="EL35" s="40"/>
      <c r="EM35" s="36"/>
      <c r="EN35" s="34"/>
      <c r="EO35" s="222"/>
      <c r="EP35" s="223"/>
      <c r="EQ35" s="22"/>
      <c r="ES35" s="40"/>
      <c r="ET35" s="22"/>
    </row>
    <row r="36" spans="1:150" ht="15.6" customHeight="1" x14ac:dyDescent="1.05">
      <c r="B36" s="25"/>
      <c r="C36" s="228"/>
      <c r="D36" s="229"/>
      <c r="E36" s="50"/>
      <c r="F36" s="231"/>
      <c r="G36" s="232"/>
      <c r="H36" s="26"/>
      <c r="I36" s="25"/>
      <c r="J36" s="228"/>
      <c r="K36" s="229"/>
      <c r="L36" s="50"/>
      <c r="M36" s="231"/>
      <c r="N36" s="232"/>
      <c r="Q36" s="25"/>
      <c r="R36" s="228"/>
      <c r="S36" s="229"/>
      <c r="T36" s="50"/>
      <c r="U36" s="231"/>
      <c r="V36" s="232"/>
      <c r="W36" s="26"/>
      <c r="X36" s="25"/>
      <c r="Y36" s="228"/>
      <c r="Z36" s="229"/>
      <c r="AA36" s="50"/>
      <c r="AB36" s="231"/>
      <c r="AC36" s="232"/>
      <c r="AF36" s="25"/>
      <c r="AG36" s="228"/>
      <c r="AH36" s="229"/>
      <c r="AI36" s="50"/>
      <c r="AJ36" s="231"/>
      <c r="AK36" s="232"/>
      <c r="AL36" s="26"/>
      <c r="AM36" s="25"/>
      <c r="AN36" s="228"/>
      <c r="AO36" s="229"/>
      <c r="AP36" s="50"/>
      <c r="AQ36" s="231"/>
      <c r="AR36" s="232"/>
      <c r="AU36" s="25"/>
      <c r="AV36" s="228"/>
      <c r="AW36" s="229"/>
      <c r="AX36" s="50"/>
      <c r="AY36" s="231"/>
      <c r="AZ36" s="232"/>
      <c r="BA36" s="26"/>
      <c r="BB36" s="25"/>
      <c r="BC36" s="228"/>
      <c r="BD36" s="229"/>
      <c r="BE36" s="50"/>
      <c r="BF36" s="231"/>
      <c r="BG36" s="232"/>
      <c r="BJ36" s="25"/>
      <c r="BK36" s="228"/>
      <c r="BL36" s="229"/>
      <c r="BM36" s="50"/>
      <c r="BN36" s="231"/>
      <c r="BO36" s="232"/>
      <c r="BP36" s="26"/>
      <c r="BQ36" s="25"/>
      <c r="BR36" s="228"/>
      <c r="BS36" s="229"/>
      <c r="BT36" s="50"/>
      <c r="BU36" s="231"/>
      <c r="BV36" s="232"/>
      <c r="BY36" s="25"/>
      <c r="BZ36" s="228"/>
      <c r="CA36" s="229"/>
      <c r="CB36" s="50"/>
      <c r="CC36" s="231"/>
      <c r="CD36" s="232"/>
      <c r="CE36" s="26"/>
      <c r="CF36" s="25"/>
      <c r="CG36" s="228"/>
      <c r="CH36" s="229"/>
      <c r="CI36" s="50"/>
      <c r="CJ36" s="231"/>
      <c r="CK36" s="232"/>
      <c r="CN36" s="25"/>
      <c r="CO36" s="228"/>
      <c r="CP36" s="229"/>
      <c r="CQ36" s="50"/>
      <c r="CR36" s="231"/>
      <c r="CS36" s="232"/>
      <c r="CT36" s="26"/>
      <c r="CU36" s="25"/>
      <c r="CV36" s="228"/>
      <c r="CW36" s="229"/>
      <c r="CX36" s="50"/>
      <c r="CY36" s="231"/>
      <c r="CZ36" s="232"/>
      <c r="DC36" s="25"/>
      <c r="DD36" s="228"/>
      <c r="DE36" s="229"/>
      <c r="DF36" s="50"/>
      <c r="DG36" s="231"/>
      <c r="DH36" s="232"/>
      <c r="DI36" s="26"/>
      <c r="DJ36" s="25"/>
      <c r="DK36" s="228"/>
      <c r="DL36" s="229"/>
      <c r="DM36" s="50"/>
      <c r="DN36" s="231"/>
      <c r="DO36" s="232"/>
      <c r="DR36" s="25"/>
      <c r="DS36" s="228"/>
      <c r="DT36" s="229"/>
      <c r="DU36" s="50"/>
      <c r="DV36" s="231"/>
      <c r="DW36" s="232"/>
      <c r="DX36" s="26"/>
      <c r="DY36" s="25"/>
      <c r="DZ36" s="228"/>
      <c r="EA36" s="229"/>
      <c r="EB36" s="50"/>
      <c r="EC36" s="231"/>
      <c r="ED36" s="232"/>
      <c r="EG36" s="25"/>
      <c r="EH36" s="228"/>
      <c r="EI36" s="229"/>
      <c r="EJ36" s="50"/>
      <c r="EK36" s="231"/>
      <c r="EL36" s="232"/>
      <c r="EM36" s="26"/>
      <c r="EN36" s="25"/>
      <c r="EO36" s="228"/>
      <c r="EP36" s="229"/>
      <c r="EQ36" s="50"/>
      <c r="ER36" s="231"/>
      <c r="ES36" s="232"/>
    </row>
    <row r="37" spans="1:150" ht="15.6" customHeight="1" x14ac:dyDescent="0.45">
      <c r="B37" s="27"/>
      <c r="C37" s="230"/>
      <c r="D37" s="230"/>
      <c r="E37" s="44"/>
      <c r="F37" s="230"/>
      <c r="G37" s="227"/>
      <c r="H37" s="26"/>
      <c r="I37" s="27"/>
      <c r="J37" s="230"/>
      <c r="K37" s="230"/>
      <c r="L37" s="44"/>
      <c r="M37" s="230"/>
      <c r="N37" s="227"/>
      <c r="Q37" s="27"/>
      <c r="R37" s="230"/>
      <c r="S37" s="230"/>
      <c r="T37" s="44"/>
      <c r="U37" s="230"/>
      <c r="V37" s="227"/>
      <c r="W37" s="26"/>
      <c r="X37" s="27"/>
      <c r="Y37" s="230"/>
      <c r="Z37" s="230"/>
      <c r="AA37" s="44"/>
      <c r="AB37" s="230"/>
      <c r="AC37" s="227"/>
      <c r="AF37" s="27"/>
      <c r="AG37" s="230"/>
      <c r="AH37" s="230"/>
      <c r="AI37" s="44"/>
      <c r="AJ37" s="230"/>
      <c r="AK37" s="227"/>
      <c r="AL37" s="26"/>
      <c r="AM37" s="27"/>
      <c r="AN37" s="230"/>
      <c r="AO37" s="230"/>
      <c r="AP37" s="44"/>
      <c r="AQ37" s="230"/>
      <c r="AR37" s="227"/>
      <c r="AU37" s="27"/>
      <c r="AV37" s="230"/>
      <c r="AW37" s="230"/>
      <c r="AX37" s="44"/>
      <c r="AY37" s="230"/>
      <c r="AZ37" s="227"/>
      <c r="BA37" s="26"/>
      <c r="BB37" s="27"/>
      <c r="BC37" s="230"/>
      <c r="BD37" s="230"/>
      <c r="BE37" s="44"/>
      <c r="BF37" s="230"/>
      <c r="BG37" s="227"/>
      <c r="BJ37" s="27"/>
      <c r="BK37" s="230"/>
      <c r="BL37" s="230"/>
      <c r="BM37" s="44"/>
      <c r="BN37" s="230"/>
      <c r="BO37" s="227"/>
      <c r="BP37" s="26"/>
      <c r="BQ37" s="27"/>
      <c r="BR37" s="230"/>
      <c r="BS37" s="230"/>
      <c r="BT37" s="44"/>
      <c r="BU37" s="230"/>
      <c r="BV37" s="227"/>
      <c r="BY37" s="27"/>
      <c r="BZ37" s="230"/>
      <c r="CA37" s="230"/>
      <c r="CB37" s="44"/>
      <c r="CC37" s="230"/>
      <c r="CD37" s="227"/>
      <c r="CE37" s="26"/>
      <c r="CF37" s="27"/>
      <c r="CG37" s="230"/>
      <c r="CH37" s="230"/>
      <c r="CI37" s="44"/>
      <c r="CJ37" s="230"/>
      <c r="CK37" s="227"/>
      <c r="CN37" s="27"/>
      <c r="CO37" s="230"/>
      <c r="CP37" s="230"/>
      <c r="CQ37" s="44"/>
      <c r="CR37" s="230"/>
      <c r="CS37" s="227"/>
      <c r="CT37" s="26"/>
      <c r="CU37" s="27"/>
      <c r="CV37" s="230"/>
      <c r="CW37" s="230"/>
      <c r="CX37" s="44"/>
      <c r="CY37" s="230"/>
      <c r="CZ37" s="227"/>
      <c r="DC37" s="27"/>
      <c r="DD37" s="230"/>
      <c r="DE37" s="230"/>
      <c r="DF37" s="44"/>
      <c r="DG37" s="230"/>
      <c r="DH37" s="227"/>
      <c r="DI37" s="26"/>
      <c r="DJ37" s="27"/>
      <c r="DK37" s="230"/>
      <c r="DL37" s="230"/>
      <c r="DM37" s="44"/>
      <c r="DN37" s="230"/>
      <c r="DO37" s="227"/>
      <c r="DR37" s="27"/>
      <c r="DS37" s="230"/>
      <c r="DT37" s="230"/>
      <c r="DU37" s="44"/>
      <c r="DV37" s="230"/>
      <c r="DW37" s="227"/>
      <c r="DX37" s="26"/>
      <c r="DY37" s="27"/>
      <c r="DZ37" s="230"/>
      <c r="EA37" s="230"/>
      <c r="EB37" s="44"/>
      <c r="EC37" s="230"/>
      <c r="ED37" s="227"/>
      <c r="EG37" s="27"/>
      <c r="EH37" s="230"/>
      <c r="EI37" s="230"/>
      <c r="EJ37" s="44"/>
      <c r="EK37" s="230"/>
      <c r="EL37" s="227"/>
      <c r="EM37" s="26"/>
      <c r="EN37" s="27"/>
      <c r="EO37" s="230"/>
      <c r="EP37" s="230"/>
      <c r="EQ37" s="44"/>
      <c r="ER37" s="230"/>
      <c r="ES37" s="227"/>
    </row>
    <row r="38" spans="1:150" s="32" customFormat="1" x14ac:dyDescent="0.55000000000000004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 x14ac:dyDescent="0.45">
      <c r="B39" s="233"/>
      <c r="C39" s="227"/>
      <c r="D39" s="233"/>
      <c r="E39" s="227"/>
      <c r="F39" s="226"/>
      <c r="G39" s="227"/>
      <c r="I39" s="233"/>
      <c r="J39" s="227"/>
      <c r="K39" s="233"/>
      <c r="L39" s="227"/>
      <c r="M39" s="226"/>
      <c r="N39" s="227"/>
      <c r="Q39" s="233"/>
      <c r="R39" s="227"/>
      <c r="S39" s="233"/>
      <c r="T39" s="227"/>
      <c r="U39" s="226"/>
      <c r="V39" s="227"/>
      <c r="X39" s="233"/>
      <c r="Y39" s="227"/>
      <c r="Z39" s="233"/>
      <c r="AA39" s="227"/>
      <c r="AB39" s="226"/>
      <c r="AC39" s="227"/>
      <c r="AF39" s="233"/>
      <c r="AG39" s="227"/>
      <c r="AH39" s="233"/>
      <c r="AI39" s="227"/>
      <c r="AJ39" s="226"/>
      <c r="AK39" s="227"/>
      <c r="AM39" s="233"/>
      <c r="AN39" s="227"/>
      <c r="AO39" s="233"/>
      <c r="AP39" s="227"/>
      <c r="AQ39" s="226"/>
      <c r="AR39" s="227"/>
      <c r="AU39" s="233"/>
      <c r="AV39" s="227"/>
      <c r="AW39" s="233"/>
      <c r="AX39" s="227"/>
      <c r="AY39" s="226"/>
      <c r="AZ39" s="227"/>
      <c r="BB39" s="233"/>
      <c r="BC39" s="227"/>
      <c r="BD39" s="233"/>
      <c r="BE39" s="227"/>
      <c r="BF39" s="226"/>
      <c r="BG39" s="227"/>
      <c r="BJ39" s="233"/>
      <c r="BK39" s="227"/>
      <c r="BL39" s="233"/>
      <c r="BM39" s="227"/>
      <c r="BN39" s="226"/>
      <c r="BO39" s="227"/>
      <c r="BQ39" s="233"/>
      <c r="BR39" s="227"/>
      <c r="BS39" s="233"/>
      <c r="BT39" s="227"/>
      <c r="BU39" s="226"/>
      <c r="BV39" s="227"/>
      <c r="BY39" s="233"/>
      <c r="BZ39" s="227"/>
      <c r="CA39" s="233"/>
      <c r="CB39" s="227"/>
      <c r="CC39" s="226"/>
      <c r="CD39" s="227"/>
      <c r="CF39" s="233"/>
      <c r="CG39" s="227"/>
      <c r="CH39" s="233"/>
      <c r="CI39" s="227"/>
      <c r="CJ39" s="226"/>
      <c r="CK39" s="227"/>
      <c r="CN39" s="233"/>
      <c r="CO39" s="227"/>
      <c r="CP39" s="233"/>
      <c r="CQ39" s="227"/>
      <c r="CR39" s="226"/>
      <c r="CS39" s="227"/>
      <c r="CU39" s="233"/>
      <c r="CV39" s="227"/>
      <c r="CW39" s="233"/>
      <c r="CX39" s="227"/>
      <c r="CY39" s="226"/>
      <c r="CZ39" s="227"/>
      <c r="DC39" s="233"/>
      <c r="DD39" s="227"/>
      <c r="DE39" s="233"/>
      <c r="DF39" s="227"/>
      <c r="DG39" s="226"/>
      <c r="DH39" s="227"/>
      <c r="DJ39" s="233"/>
      <c r="DK39" s="227"/>
      <c r="DL39" s="233"/>
      <c r="DM39" s="227"/>
      <c r="DN39" s="226"/>
      <c r="DO39" s="227"/>
      <c r="DR39" s="233"/>
      <c r="DS39" s="227"/>
      <c r="DT39" s="233"/>
      <c r="DU39" s="227"/>
      <c r="DV39" s="226"/>
      <c r="DW39" s="227"/>
      <c r="DY39" s="233"/>
      <c r="DZ39" s="227"/>
      <c r="EA39" s="233"/>
      <c r="EB39" s="227"/>
      <c r="EC39" s="226"/>
      <c r="ED39" s="227"/>
      <c r="EG39" s="233"/>
      <c r="EH39" s="227"/>
      <c r="EI39" s="233"/>
      <c r="EJ39" s="227"/>
      <c r="EK39" s="226"/>
      <c r="EL39" s="227"/>
      <c r="EN39" s="233"/>
      <c r="EO39" s="227"/>
      <c r="EP39" s="233"/>
      <c r="EQ39" s="227"/>
      <c r="ER39" s="226"/>
      <c r="ES39" s="227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/>
      <c r="B41" s="43"/>
      <c r="C41" s="224"/>
      <c r="D41" s="225"/>
      <c r="E41" s="225"/>
      <c r="F41" s="225"/>
      <c r="G41" s="42"/>
      <c r="H41" s="36"/>
      <c r="I41" s="43"/>
      <c r="J41" s="224"/>
      <c r="K41" s="225"/>
      <c r="L41" s="225"/>
      <c r="M41" s="225"/>
      <c r="N41" s="42"/>
      <c r="O41" s="22"/>
      <c r="P41" s="31"/>
      <c r="Q41" s="43"/>
      <c r="R41" s="224"/>
      <c r="S41" s="225"/>
      <c r="T41" s="225"/>
      <c r="U41" s="225"/>
      <c r="V41" s="42"/>
      <c r="W41" s="36"/>
      <c r="X41" s="43"/>
      <c r="Y41" s="224"/>
      <c r="Z41" s="225"/>
      <c r="AA41" s="225"/>
      <c r="AB41" s="225"/>
      <c r="AC41" s="42"/>
      <c r="AD41" s="22"/>
      <c r="AE41" s="31"/>
      <c r="AF41" s="43"/>
      <c r="AG41" s="224"/>
      <c r="AH41" s="225"/>
      <c r="AI41" s="225"/>
      <c r="AJ41" s="225"/>
      <c r="AK41" s="42"/>
      <c r="AL41" s="36"/>
      <c r="AM41" s="43"/>
      <c r="AN41" s="224"/>
      <c r="AO41" s="225"/>
      <c r="AP41" s="225"/>
      <c r="AQ41" s="225"/>
      <c r="AR41" s="42"/>
      <c r="AS41" s="22"/>
      <c r="AT41" s="31"/>
      <c r="AU41" s="43"/>
      <c r="AV41" s="224"/>
      <c r="AW41" s="225"/>
      <c r="AX41" s="225"/>
      <c r="AY41" s="225"/>
      <c r="AZ41" s="42"/>
      <c r="BA41" s="36"/>
      <c r="BB41" s="43"/>
      <c r="BC41" s="224"/>
      <c r="BD41" s="225"/>
      <c r="BE41" s="225"/>
      <c r="BF41" s="225"/>
      <c r="BG41" s="42"/>
      <c r="BH41" s="22"/>
      <c r="BI41" s="31"/>
      <c r="BJ41" s="43"/>
      <c r="BK41" s="224"/>
      <c r="BL41" s="225"/>
      <c r="BM41" s="225"/>
      <c r="BN41" s="225"/>
      <c r="BO41" s="42"/>
      <c r="BP41" s="36"/>
      <c r="BQ41" s="43"/>
      <c r="BR41" s="224"/>
      <c r="BS41" s="225"/>
      <c r="BT41" s="225"/>
      <c r="BU41" s="225"/>
      <c r="BV41" s="42"/>
      <c r="BW41" s="22"/>
      <c r="BX41" s="31"/>
      <c r="BY41" s="43"/>
      <c r="BZ41" s="224"/>
      <c r="CA41" s="225"/>
      <c r="CB41" s="225"/>
      <c r="CC41" s="225"/>
      <c r="CD41" s="42"/>
      <c r="CE41" s="36"/>
      <c r="CF41" s="43"/>
      <c r="CG41" s="224"/>
      <c r="CH41" s="225"/>
      <c r="CI41" s="225"/>
      <c r="CJ41" s="225"/>
      <c r="CK41" s="42"/>
      <c r="CL41" s="22"/>
      <c r="CM41" s="31"/>
      <c r="CN41" s="43"/>
      <c r="CO41" s="224"/>
      <c r="CP41" s="225"/>
      <c r="CQ41" s="225"/>
      <c r="CR41" s="225"/>
      <c r="CS41" s="42"/>
      <c r="CT41" s="36"/>
      <c r="CU41" s="43"/>
      <c r="CV41" s="224"/>
      <c r="CW41" s="225"/>
      <c r="CX41" s="225"/>
      <c r="CY41" s="225"/>
      <c r="CZ41" s="42"/>
      <c r="DA41" s="22"/>
      <c r="DB41" s="31"/>
      <c r="DC41" s="43"/>
      <c r="DD41" s="224"/>
      <c r="DE41" s="225"/>
      <c r="DF41" s="225"/>
      <c r="DG41" s="225"/>
      <c r="DH41" s="42"/>
      <c r="DI41" s="36"/>
      <c r="DJ41" s="43"/>
      <c r="DK41" s="224"/>
      <c r="DL41" s="225"/>
      <c r="DM41" s="225"/>
      <c r="DN41" s="225"/>
      <c r="DO41" s="42"/>
      <c r="DP41" s="22"/>
      <c r="DQ41" s="31"/>
      <c r="DR41" s="43"/>
      <c r="DS41" s="224"/>
      <c r="DT41" s="225"/>
      <c r="DU41" s="225"/>
      <c r="DV41" s="225"/>
      <c r="DW41" s="42"/>
      <c r="DX41" s="36"/>
      <c r="DY41" s="43"/>
      <c r="DZ41" s="224"/>
      <c r="EA41" s="225"/>
      <c r="EB41" s="225"/>
      <c r="EC41" s="225"/>
      <c r="ED41" s="42"/>
      <c r="EE41" s="22"/>
      <c r="EF41" s="31"/>
      <c r="EG41" s="43"/>
      <c r="EH41" s="224"/>
      <c r="EI41" s="225"/>
      <c r="EJ41" s="225"/>
      <c r="EK41" s="225"/>
      <c r="EL41" s="42"/>
      <c r="EM41" s="36"/>
      <c r="EN41" s="43"/>
      <c r="EO41" s="224"/>
      <c r="EP41" s="225"/>
      <c r="EQ41" s="225"/>
      <c r="ER41" s="225"/>
      <c r="ES41" s="42"/>
      <c r="ET41" s="22"/>
    </row>
    <row r="42" spans="1:150" s="32" customFormat="1" x14ac:dyDescent="0.55000000000000004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 x14ac:dyDescent="0.55000000000000004">
      <c r="A43" s="31"/>
      <c r="B43" s="34"/>
      <c r="C43" s="222"/>
      <c r="D43" s="223"/>
      <c r="E43" s="22"/>
      <c r="G43" s="40"/>
      <c r="H43" s="36"/>
      <c r="I43" s="34"/>
      <c r="J43" s="222"/>
      <c r="K43" s="223"/>
      <c r="L43" s="22"/>
      <c r="N43" s="40"/>
      <c r="O43" s="22"/>
      <c r="P43" s="31"/>
      <c r="Q43" s="34"/>
      <c r="R43" s="222"/>
      <c r="S43" s="223"/>
      <c r="T43" s="22"/>
      <c r="V43" s="40"/>
      <c r="W43" s="36"/>
      <c r="X43" s="34"/>
      <c r="Y43" s="222"/>
      <c r="Z43" s="223"/>
      <c r="AA43" s="22"/>
      <c r="AC43" s="40"/>
      <c r="AD43" s="22"/>
      <c r="AE43" s="31"/>
      <c r="AF43" s="34"/>
      <c r="AG43" s="222"/>
      <c r="AH43" s="223"/>
      <c r="AI43" s="22"/>
      <c r="AK43" s="40"/>
      <c r="AL43" s="36"/>
      <c r="AM43" s="34"/>
      <c r="AN43" s="222"/>
      <c r="AO43" s="223"/>
      <c r="AP43" s="22"/>
      <c r="AR43" s="40"/>
      <c r="AS43" s="22"/>
      <c r="AT43" s="31"/>
      <c r="AU43" s="34"/>
      <c r="AV43" s="222"/>
      <c r="AW43" s="223"/>
      <c r="AX43" s="22"/>
      <c r="AZ43" s="40"/>
      <c r="BA43" s="36"/>
      <c r="BB43" s="34"/>
      <c r="BC43" s="222"/>
      <c r="BD43" s="223"/>
      <c r="BE43" s="22"/>
      <c r="BG43" s="40"/>
      <c r="BH43" s="22"/>
      <c r="BI43" s="31"/>
      <c r="BJ43" s="34"/>
      <c r="BK43" s="222"/>
      <c r="BL43" s="223"/>
      <c r="BM43" s="22"/>
      <c r="BO43" s="40"/>
      <c r="BP43" s="36"/>
      <c r="BQ43" s="34"/>
      <c r="BR43" s="222"/>
      <c r="BS43" s="223"/>
      <c r="BT43" s="22"/>
      <c r="BV43" s="40"/>
      <c r="BW43" s="22"/>
      <c r="BX43" s="31"/>
      <c r="BY43" s="34"/>
      <c r="BZ43" s="222"/>
      <c r="CA43" s="223"/>
      <c r="CB43" s="22"/>
      <c r="CD43" s="40"/>
      <c r="CE43" s="36"/>
      <c r="CF43" s="34"/>
      <c r="CG43" s="222"/>
      <c r="CH43" s="223"/>
      <c r="CI43" s="22"/>
      <c r="CK43" s="40"/>
      <c r="CL43" s="22"/>
      <c r="CM43" s="31"/>
      <c r="CN43" s="34"/>
      <c r="CO43" s="222"/>
      <c r="CP43" s="223"/>
      <c r="CQ43" s="22"/>
      <c r="CS43" s="40"/>
      <c r="CT43" s="36"/>
      <c r="CU43" s="34"/>
      <c r="CV43" s="222"/>
      <c r="CW43" s="223"/>
      <c r="CX43" s="22"/>
      <c r="CZ43" s="40"/>
      <c r="DA43" s="22"/>
      <c r="DB43" s="31"/>
      <c r="DC43" s="34"/>
      <c r="DD43" s="222"/>
      <c r="DE43" s="223"/>
      <c r="DF43" s="22"/>
      <c r="DH43" s="40"/>
      <c r="DI43" s="36"/>
      <c r="DJ43" s="34"/>
      <c r="DK43" s="222"/>
      <c r="DL43" s="223"/>
      <c r="DM43" s="22"/>
      <c r="DO43" s="40"/>
      <c r="DP43" s="22"/>
      <c r="DQ43" s="31"/>
      <c r="DR43" s="34"/>
      <c r="DS43" s="222"/>
      <c r="DT43" s="223"/>
      <c r="DU43" s="22"/>
      <c r="DW43" s="40"/>
      <c r="DX43" s="36"/>
      <c r="DY43" s="34"/>
      <c r="DZ43" s="222"/>
      <c r="EA43" s="223"/>
      <c r="EB43" s="22"/>
      <c r="ED43" s="40"/>
      <c r="EE43" s="22"/>
      <c r="EF43" s="31"/>
      <c r="EG43" s="34"/>
      <c r="EH43" s="222"/>
      <c r="EI43" s="223"/>
      <c r="EJ43" s="22"/>
      <c r="EL43" s="40"/>
      <c r="EM43" s="36"/>
      <c r="EN43" s="34"/>
      <c r="EO43" s="222"/>
      <c r="EP43" s="223"/>
      <c r="EQ43" s="22"/>
      <c r="ES43" s="40"/>
      <c r="ET43" s="22"/>
    </row>
    <row r="44" spans="1:150" ht="15.6" customHeight="1" x14ac:dyDescent="1.05">
      <c r="B44" s="25"/>
      <c r="C44" s="228"/>
      <c r="D44" s="229"/>
      <c r="E44" s="50"/>
      <c r="F44" s="231"/>
      <c r="G44" s="232"/>
      <c r="H44" s="26"/>
      <c r="I44" s="25"/>
      <c r="J44" s="228"/>
      <c r="K44" s="229"/>
      <c r="L44" s="50"/>
      <c r="M44" s="231"/>
      <c r="N44" s="232"/>
      <c r="Q44" s="25"/>
      <c r="R44" s="228"/>
      <c r="S44" s="229"/>
      <c r="T44" s="50"/>
      <c r="U44" s="231"/>
      <c r="V44" s="232"/>
      <c r="W44" s="26"/>
      <c r="X44" s="25"/>
      <c r="Y44" s="228"/>
      <c r="Z44" s="229"/>
      <c r="AA44" s="50"/>
      <c r="AB44" s="231"/>
      <c r="AC44" s="232"/>
      <c r="AF44" s="25"/>
      <c r="AG44" s="228"/>
      <c r="AH44" s="229"/>
      <c r="AI44" s="50"/>
      <c r="AJ44" s="231"/>
      <c r="AK44" s="232"/>
      <c r="AL44" s="26"/>
      <c r="AM44" s="25"/>
      <c r="AN44" s="228"/>
      <c r="AO44" s="229"/>
      <c r="AP44" s="50"/>
      <c r="AQ44" s="231"/>
      <c r="AR44" s="232"/>
      <c r="AU44" s="25"/>
      <c r="AV44" s="228"/>
      <c r="AW44" s="229"/>
      <c r="AX44" s="50"/>
      <c r="AY44" s="231"/>
      <c r="AZ44" s="232"/>
      <c r="BA44" s="26"/>
      <c r="BB44" s="25"/>
      <c r="BC44" s="228"/>
      <c r="BD44" s="229"/>
      <c r="BE44" s="50"/>
      <c r="BF44" s="231"/>
      <c r="BG44" s="232"/>
      <c r="BJ44" s="25"/>
      <c r="BK44" s="228"/>
      <c r="BL44" s="229"/>
      <c r="BM44" s="50"/>
      <c r="BN44" s="231"/>
      <c r="BO44" s="232"/>
      <c r="BP44" s="26"/>
      <c r="BQ44" s="25"/>
      <c r="BR44" s="228"/>
      <c r="BS44" s="229"/>
      <c r="BT44" s="50"/>
      <c r="BU44" s="231"/>
      <c r="BV44" s="232"/>
      <c r="BY44" s="25"/>
      <c r="BZ44" s="228"/>
      <c r="CA44" s="229"/>
      <c r="CB44" s="50"/>
      <c r="CC44" s="231"/>
      <c r="CD44" s="232"/>
      <c r="CE44" s="26"/>
      <c r="CF44" s="25"/>
      <c r="CG44" s="228"/>
      <c r="CH44" s="229"/>
      <c r="CI44" s="50"/>
      <c r="CJ44" s="231"/>
      <c r="CK44" s="232"/>
      <c r="CN44" s="25"/>
      <c r="CO44" s="228"/>
      <c r="CP44" s="229"/>
      <c r="CQ44" s="50"/>
      <c r="CR44" s="231"/>
      <c r="CS44" s="232"/>
      <c r="CT44" s="26"/>
      <c r="CU44" s="25"/>
      <c r="CV44" s="228"/>
      <c r="CW44" s="229"/>
      <c r="CX44" s="50"/>
      <c r="CY44" s="231"/>
      <c r="CZ44" s="232"/>
      <c r="DC44" s="25"/>
      <c r="DD44" s="228"/>
      <c r="DE44" s="229"/>
      <c r="DF44" s="50"/>
      <c r="DG44" s="231"/>
      <c r="DH44" s="232"/>
      <c r="DI44" s="26"/>
      <c r="DJ44" s="25"/>
      <c r="DK44" s="228"/>
      <c r="DL44" s="229"/>
      <c r="DM44" s="50"/>
      <c r="DN44" s="231"/>
      <c r="DO44" s="232"/>
      <c r="DR44" s="25"/>
      <c r="DS44" s="228"/>
      <c r="DT44" s="229"/>
      <c r="DU44" s="50"/>
      <c r="DV44" s="231"/>
      <c r="DW44" s="232"/>
      <c r="DX44" s="26"/>
      <c r="DY44" s="25"/>
      <c r="DZ44" s="228"/>
      <c r="EA44" s="229"/>
      <c r="EB44" s="50"/>
      <c r="EC44" s="231"/>
      <c r="ED44" s="232"/>
      <c r="EG44" s="25"/>
      <c r="EH44" s="228"/>
      <c r="EI44" s="229"/>
      <c r="EJ44" s="50"/>
      <c r="EK44" s="231"/>
      <c r="EL44" s="232"/>
      <c r="EM44" s="26"/>
      <c r="EN44" s="25"/>
      <c r="EO44" s="228"/>
      <c r="EP44" s="229"/>
      <c r="EQ44" s="50"/>
      <c r="ER44" s="231"/>
      <c r="ES44" s="232"/>
    </row>
    <row r="45" spans="1:150" ht="15.6" customHeight="1" x14ac:dyDescent="0.45">
      <c r="B45" s="27"/>
      <c r="C45" s="230"/>
      <c r="D45" s="230"/>
      <c r="E45" s="44"/>
      <c r="F45" s="230"/>
      <c r="G45" s="227"/>
      <c r="H45" s="26"/>
      <c r="I45" s="27"/>
      <c r="J45" s="230"/>
      <c r="K45" s="230"/>
      <c r="L45" s="44"/>
      <c r="M45" s="230"/>
      <c r="N45" s="227"/>
      <c r="Q45" s="27"/>
      <c r="R45" s="230"/>
      <c r="S45" s="230"/>
      <c r="T45" s="44"/>
      <c r="U45" s="230"/>
      <c r="V45" s="227"/>
      <c r="W45" s="26"/>
      <c r="X45" s="27"/>
      <c r="Y45" s="230"/>
      <c r="Z45" s="230"/>
      <c r="AA45" s="44"/>
      <c r="AB45" s="230"/>
      <c r="AC45" s="227"/>
      <c r="AF45" s="27"/>
      <c r="AG45" s="230"/>
      <c r="AH45" s="230"/>
      <c r="AI45" s="44"/>
      <c r="AJ45" s="230"/>
      <c r="AK45" s="227"/>
      <c r="AL45" s="26"/>
      <c r="AM45" s="27"/>
      <c r="AN45" s="230"/>
      <c r="AO45" s="230"/>
      <c r="AP45" s="44"/>
      <c r="AQ45" s="230"/>
      <c r="AR45" s="227"/>
      <c r="AU45" s="27"/>
      <c r="AV45" s="230"/>
      <c r="AW45" s="230"/>
      <c r="AX45" s="44"/>
      <c r="AY45" s="230"/>
      <c r="AZ45" s="227"/>
      <c r="BA45" s="26"/>
      <c r="BB45" s="27"/>
      <c r="BC45" s="230"/>
      <c r="BD45" s="230"/>
      <c r="BE45" s="44"/>
      <c r="BF45" s="230"/>
      <c r="BG45" s="227"/>
      <c r="BJ45" s="27"/>
      <c r="BK45" s="230"/>
      <c r="BL45" s="230"/>
      <c r="BM45" s="44"/>
      <c r="BN45" s="230"/>
      <c r="BO45" s="227"/>
      <c r="BP45" s="26"/>
      <c r="BQ45" s="27"/>
      <c r="BR45" s="230"/>
      <c r="BS45" s="230"/>
      <c r="BT45" s="44"/>
      <c r="BU45" s="230"/>
      <c r="BV45" s="227"/>
      <c r="BY45" s="27"/>
      <c r="BZ45" s="230"/>
      <c r="CA45" s="230"/>
      <c r="CB45" s="44"/>
      <c r="CC45" s="230"/>
      <c r="CD45" s="227"/>
      <c r="CE45" s="26"/>
      <c r="CF45" s="27"/>
      <c r="CG45" s="230"/>
      <c r="CH45" s="230"/>
      <c r="CI45" s="44"/>
      <c r="CJ45" s="230"/>
      <c r="CK45" s="227"/>
      <c r="CN45" s="27"/>
      <c r="CO45" s="230"/>
      <c r="CP45" s="230"/>
      <c r="CQ45" s="44"/>
      <c r="CR45" s="230"/>
      <c r="CS45" s="227"/>
      <c r="CT45" s="26"/>
      <c r="CU45" s="27"/>
      <c r="CV45" s="230"/>
      <c r="CW45" s="230"/>
      <c r="CX45" s="44"/>
      <c r="CY45" s="230"/>
      <c r="CZ45" s="227"/>
      <c r="DC45" s="27"/>
      <c r="DD45" s="230"/>
      <c r="DE45" s="230"/>
      <c r="DF45" s="44"/>
      <c r="DG45" s="230"/>
      <c r="DH45" s="227"/>
      <c r="DI45" s="26"/>
      <c r="DJ45" s="27"/>
      <c r="DK45" s="230"/>
      <c r="DL45" s="230"/>
      <c r="DM45" s="44"/>
      <c r="DN45" s="230"/>
      <c r="DO45" s="227"/>
      <c r="DR45" s="27"/>
      <c r="DS45" s="230"/>
      <c r="DT45" s="230"/>
      <c r="DU45" s="44"/>
      <c r="DV45" s="230"/>
      <c r="DW45" s="227"/>
      <c r="DX45" s="26"/>
      <c r="DY45" s="27"/>
      <c r="DZ45" s="230"/>
      <c r="EA45" s="230"/>
      <c r="EB45" s="44"/>
      <c r="EC45" s="230"/>
      <c r="ED45" s="227"/>
      <c r="EG45" s="27"/>
      <c r="EH45" s="230"/>
      <c r="EI45" s="230"/>
      <c r="EJ45" s="44"/>
      <c r="EK45" s="230"/>
      <c r="EL45" s="227"/>
      <c r="EM45" s="26"/>
      <c r="EN45" s="27"/>
      <c r="EO45" s="230"/>
      <c r="EP45" s="230"/>
      <c r="EQ45" s="44"/>
      <c r="ER45" s="230"/>
      <c r="ES45" s="227"/>
    </row>
    <row r="46" spans="1:150" s="32" customFormat="1" x14ac:dyDescent="0.55000000000000004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 x14ac:dyDescent="0.45">
      <c r="B47" s="233"/>
      <c r="C47" s="227"/>
      <c r="D47" s="233"/>
      <c r="E47" s="227"/>
      <c r="F47" s="226"/>
      <c r="G47" s="227"/>
      <c r="I47" s="233"/>
      <c r="J47" s="227"/>
      <c r="K47" s="233"/>
      <c r="L47" s="227"/>
      <c r="M47" s="226"/>
      <c r="N47" s="227"/>
      <c r="Q47" s="233"/>
      <c r="R47" s="227"/>
      <c r="S47" s="233"/>
      <c r="T47" s="227"/>
      <c r="U47" s="226"/>
      <c r="V47" s="227"/>
      <c r="X47" s="233"/>
      <c r="Y47" s="227"/>
      <c r="Z47" s="233"/>
      <c r="AA47" s="227"/>
      <c r="AB47" s="226"/>
      <c r="AC47" s="227"/>
      <c r="AF47" s="233"/>
      <c r="AG47" s="227"/>
      <c r="AH47" s="233"/>
      <c r="AI47" s="227"/>
      <c r="AJ47" s="226"/>
      <c r="AK47" s="227"/>
      <c r="AM47" s="233"/>
      <c r="AN47" s="227"/>
      <c r="AO47" s="233"/>
      <c r="AP47" s="227"/>
      <c r="AQ47" s="226"/>
      <c r="AR47" s="227"/>
      <c r="AU47" s="233"/>
      <c r="AV47" s="227"/>
      <c r="AW47" s="233"/>
      <c r="AX47" s="227"/>
      <c r="AY47" s="226"/>
      <c r="AZ47" s="227"/>
      <c r="BB47" s="233"/>
      <c r="BC47" s="227"/>
      <c r="BD47" s="233"/>
      <c r="BE47" s="227"/>
      <c r="BF47" s="226"/>
      <c r="BG47" s="227"/>
      <c r="BJ47" s="233"/>
      <c r="BK47" s="227"/>
      <c r="BL47" s="233"/>
      <c r="BM47" s="227"/>
      <c r="BN47" s="226"/>
      <c r="BO47" s="227"/>
      <c r="BQ47" s="233"/>
      <c r="BR47" s="227"/>
      <c r="BS47" s="233"/>
      <c r="BT47" s="227"/>
      <c r="BU47" s="226"/>
      <c r="BV47" s="227"/>
      <c r="BY47" s="233"/>
      <c r="BZ47" s="227"/>
      <c r="CA47" s="233"/>
      <c r="CB47" s="227"/>
      <c r="CC47" s="226"/>
      <c r="CD47" s="227"/>
      <c r="CF47" s="233"/>
      <c r="CG47" s="227"/>
      <c r="CH47" s="233"/>
      <c r="CI47" s="227"/>
      <c r="CJ47" s="226"/>
      <c r="CK47" s="227"/>
      <c r="CN47" s="233"/>
      <c r="CO47" s="227"/>
      <c r="CP47" s="233"/>
      <c r="CQ47" s="227"/>
      <c r="CR47" s="226"/>
      <c r="CS47" s="227"/>
      <c r="CU47" s="233"/>
      <c r="CV47" s="227"/>
      <c r="CW47" s="233"/>
      <c r="CX47" s="227"/>
      <c r="CY47" s="226"/>
      <c r="CZ47" s="227"/>
      <c r="DC47" s="233"/>
      <c r="DD47" s="227"/>
      <c r="DE47" s="233"/>
      <c r="DF47" s="227"/>
      <c r="DG47" s="226"/>
      <c r="DH47" s="227"/>
      <c r="DJ47" s="233"/>
      <c r="DK47" s="227"/>
      <c r="DL47" s="233"/>
      <c r="DM47" s="227"/>
      <c r="DN47" s="226"/>
      <c r="DO47" s="227"/>
      <c r="DR47" s="233"/>
      <c r="DS47" s="227"/>
      <c r="DT47" s="233"/>
      <c r="DU47" s="227"/>
      <c r="DV47" s="226"/>
      <c r="DW47" s="227"/>
      <c r="DY47" s="233"/>
      <c r="DZ47" s="227"/>
      <c r="EA47" s="233"/>
      <c r="EB47" s="227"/>
      <c r="EC47" s="226"/>
      <c r="ED47" s="227"/>
      <c r="EG47" s="233"/>
      <c r="EH47" s="227"/>
      <c r="EI47" s="233"/>
      <c r="EJ47" s="227"/>
      <c r="EK47" s="226"/>
      <c r="EL47" s="227"/>
      <c r="EN47" s="233"/>
      <c r="EO47" s="227"/>
      <c r="EP47" s="233"/>
      <c r="EQ47" s="227"/>
      <c r="ER47" s="226"/>
      <c r="ES47" s="227"/>
    </row>
  </sheetData>
  <mergeCells count="840"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CC20:CD21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CV1:CY1"/>
    <mergeCell ref="B15:C15"/>
    <mergeCell ref="DN44:DO45"/>
    <mergeCell ref="D15:E15"/>
    <mergeCell ref="D7:E7"/>
    <mergeCell ref="DD35:DE3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AF15:AG15"/>
    <mergeCell ref="CA7:CB7"/>
    <mergeCell ref="X15:Y15"/>
    <mergeCell ref="EH44:EI45"/>
    <mergeCell ref="BK41:BN41"/>
    <mergeCell ref="EC39:ED39"/>
    <mergeCell ref="CC7:CD7"/>
    <mergeCell ref="AY7:AZ7"/>
    <mergeCell ref="BN28:BO29"/>
    <mergeCell ref="BR36:BS37"/>
    <mergeCell ref="CA39:CB39"/>
    <mergeCell ref="BR43:BS43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F23:G23"/>
    <mergeCell ref="CJ39:CK39"/>
    <mergeCell ref="K31:L31"/>
    <mergeCell ref="R27:S27"/>
    <mergeCell ref="M31:N31"/>
    <mergeCell ref="CY44:CZ45"/>
    <mergeCell ref="AB7:AC7"/>
    <mergeCell ref="DK33:DN33"/>
    <mergeCell ref="C35:D35"/>
    <mergeCell ref="BU23:BV23"/>
    <mergeCell ref="AQ7:AR7"/>
    <mergeCell ref="Y41:AB41"/>
    <mergeCell ref="S7:T7"/>
    <mergeCell ref="DS12:DT13"/>
    <mergeCell ref="AB47:AC4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AV3:AW3"/>
    <mergeCell ref="BK25:BN25"/>
    <mergeCell ref="AO15:AP15"/>
    <mergeCell ref="BR20:BS21"/>
    <mergeCell ref="BB23:BC23"/>
    <mergeCell ref="CY28:CZ29"/>
    <mergeCell ref="BD23:BE23"/>
    <mergeCell ref="EK36:EL37"/>
    <mergeCell ref="EC36:ED37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DC7:DD7"/>
    <mergeCell ref="DE7:DF7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S43:DT4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BU28:BV29"/>
    <mergeCell ref="Q39:R39"/>
    <mergeCell ref="CG44:CH45"/>
    <mergeCell ref="S39:T39"/>
    <mergeCell ref="CR12:CS13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DG44:DH45"/>
    <mergeCell ref="J1:M1"/>
    <mergeCell ref="BZ36:CA37"/>
    <mergeCell ref="AN25:AQ25"/>
    <mergeCell ref="R9:U9"/>
    <mergeCell ref="AJ4:AK5"/>
    <mergeCell ref="AF7:AG7"/>
    <mergeCell ref="AH7:AI7"/>
    <mergeCell ref="J33:M33"/>
    <mergeCell ref="Y1:AB1"/>
    <mergeCell ref="J27:K27"/>
    <mergeCell ref="M23:N23"/>
    <mergeCell ref="M20:N21"/>
    <mergeCell ref="R3:S3"/>
    <mergeCell ref="U39:V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CW47:CX47"/>
    <mergeCell ref="CY47:CZ47"/>
    <mergeCell ref="BF47:BG4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DV39:DW39"/>
    <mergeCell ref="AW31:AX31"/>
    <mergeCell ref="BY39:BZ39"/>
    <mergeCell ref="AY31:AZ31"/>
    <mergeCell ref="BK11:BL11"/>
    <mergeCell ref="EC15:ED15"/>
    <mergeCell ref="DN28:DO29"/>
    <mergeCell ref="BU15:BV15"/>
    <mergeCell ref="EH35:EI35"/>
    <mergeCell ref="CN31:CO31"/>
    <mergeCell ref="EC28:ED29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EP15:EQ15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CA15:CB15"/>
    <mergeCell ref="DD20:DE21"/>
    <mergeCell ref="EK28:EL29"/>
    <mergeCell ref="AV33:AY33"/>
    <mergeCell ref="CG43:CH43"/>
    <mergeCell ref="AM39:AN39"/>
    <mergeCell ref="AO39:AP39"/>
    <mergeCell ref="DZ33:EC33"/>
    <mergeCell ref="CO27:CP27"/>
    <mergeCell ref="BJ23:BK23"/>
    <mergeCell ref="CJ31:CK31"/>
    <mergeCell ref="DN12:DO13"/>
    <mergeCell ref="B47:C47"/>
    <mergeCell ref="R17:U17"/>
    <mergeCell ref="J4:K5"/>
    <mergeCell ref="EO36:EP37"/>
    <mergeCell ref="AN12:AO13"/>
    <mergeCell ref="AB36:AC37"/>
    <mergeCell ref="DD3:DE3"/>
    <mergeCell ref="EG47:EH47"/>
    <mergeCell ref="CV3:CW3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N17:AQ17"/>
    <mergeCell ref="AM23:AN23"/>
    <mergeCell ref="AO23:AP23"/>
    <mergeCell ref="DK17:DN17"/>
    <mergeCell ref="BZ20:CA21"/>
    <mergeCell ref="AV27:AW27"/>
    <mergeCell ref="AV41:AY41"/>
    <mergeCell ref="DZ19:EA19"/>
    <mergeCell ref="AJ20:AK21"/>
    <mergeCell ref="J12:K13"/>
    <mergeCell ref="EH1:EK1"/>
    <mergeCell ref="Z39:AA39"/>
    <mergeCell ref="J9:M9"/>
    <mergeCell ref="EH3:EI3"/>
    <mergeCell ref="EH17:EK17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DN20:DO21"/>
    <mergeCell ref="BQ47:BR47"/>
    <mergeCell ref="AB39:AC39"/>
    <mergeCell ref="AN28:AO29"/>
    <mergeCell ref="AV12:AW13"/>
    <mergeCell ref="DD9:DG9"/>
    <mergeCell ref="BK43:BL43"/>
    <mergeCell ref="BD15:BE15"/>
    <mergeCell ref="BF15:BG15"/>
    <mergeCell ref="EA15:EB15"/>
    <mergeCell ref="BN31:BO31"/>
    <mergeCell ref="DZ4:EA5"/>
    <mergeCell ref="CV33:CY33"/>
    <mergeCell ref="CJ12:CK13"/>
    <mergeCell ref="BC35:BD3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EP31:EQ31"/>
    <mergeCell ref="DT7:DU7"/>
    <mergeCell ref="DV7:DW7"/>
    <mergeCell ref="I7:J7"/>
    <mergeCell ref="CF7:CG7"/>
    <mergeCell ref="CR4:CS5"/>
    <mergeCell ref="BS15:BT15"/>
    <mergeCell ref="F31:G31"/>
    <mergeCell ref="AN11:AO11"/>
    <mergeCell ref="CJ47:CK47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CU23:CV23"/>
    <mergeCell ref="DD33:DG33"/>
    <mergeCell ref="EO20:EP21"/>
    <mergeCell ref="BR44:BS45"/>
    <mergeCell ref="R4:S5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BK9:BN9"/>
    <mergeCell ref="DG7:DH7"/>
    <mergeCell ref="CV11:CW11"/>
    <mergeCell ref="DS4:DT5"/>
    <mergeCell ref="BJ7:BK7"/>
    <mergeCell ref="BL7:BM7"/>
    <mergeCell ref="BC25:BF25"/>
    <mergeCell ref="CG1:CJ1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BZ33:CC33"/>
    <mergeCell ref="AN44:AO45"/>
    <mergeCell ref="DD25:DG25"/>
    <mergeCell ref="BB31:BC31"/>
    <mergeCell ref="BC41:BF41"/>
    <mergeCell ref="BC28:BD29"/>
    <mergeCell ref="CW15:CX15"/>
    <mergeCell ref="CY15:CZ15"/>
    <mergeCell ref="CG36:CH37"/>
    <mergeCell ref="CO28:CP29"/>
    <mergeCell ref="DE15:DF15"/>
    <mergeCell ref="DG15:DH15"/>
    <mergeCell ref="CV25:CY25"/>
    <mergeCell ref="DD19:DE19"/>
    <mergeCell ref="BL39:BM39"/>
    <mergeCell ref="BN39:BO39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BK44:BL4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S47:T47"/>
    <mergeCell ref="BB47:BC47"/>
    <mergeCell ref="BC12:BD13"/>
    <mergeCell ref="F20:G21"/>
    <mergeCell ref="EO3:EP3"/>
    <mergeCell ref="EN7:EO7"/>
    <mergeCell ref="EO17:ER17"/>
    <mergeCell ref="DT31:DU31"/>
    <mergeCell ref="BU31:BV31"/>
    <mergeCell ref="Q7:R7"/>
    <mergeCell ref="AU23:AV23"/>
    <mergeCell ref="DV31:DW31"/>
    <mergeCell ref="BZ27:CA27"/>
    <mergeCell ref="U15:V15"/>
    <mergeCell ref="J19:K19"/>
    <mergeCell ref="CG28:CH29"/>
    <mergeCell ref="EH27:EI27"/>
    <mergeCell ref="DC23:DD23"/>
    <mergeCell ref="F15:G15"/>
    <mergeCell ref="AV11:AW11"/>
    <mergeCell ref="EC12:ED13"/>
    <mergeCell ref="AN9:AQ9"/>
    <mergeCell ref="AV25:AY25"/>
    <mergeCell ref="DK9:DN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DJ7:DK7"/>
    <mergeCell ref="BC20:BD21"/>
    <mergeCell ref="CR28:CS29"/>
    <mergeCell ref="AF47:AG47"/>
    <mergeCell ref="BN12:BO13"/>
    <mergeCell ref="CF23:CG23"/>
    <mergeCell ref="AQ15:AR15"/>
    <mergeCell ref="DD41:DG41"/>
    <mergeCell ref="AN19:AO19"/>
    <mergeCell ref="CJ20:CK21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AJ23:AK23"/>
    <mergeCell ref="CH47:CI47"/>
    <mergeCell ref="EO41:ER41"/>
    <mergeCell ref="AU47:AV47"/>
    <mergeCell ref="CC39:CD39"/>
    <mergeCell ref="DG20:DH21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CY20:CZ21"/>
    <mergeCell ref="EH28:EI29"/>
    <mergeCell ref="AH23:AI23"/>
    <mergeCell ref="F4:G5"/>
    <mergeCell ref="CP31:CQ31"/>
    <mergeCell ref="CR31:CS31"/>
    <mergeCell ref="AJ12:AK13"/>
    <mergeCell ref="DS20:DT21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AN43:AO43"/>
    <mergeCell ref="BU20:BV21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K7:L7"/>
    <mergeCell ref="CP39:CQ39"/>
    <mergeCell ref="BK35:BL35"/>
    <mergeCell ref="X39:Y39"/>
    <mergeCell ref="DC47:DD47"/>
    <mergeCell ref="AV9:AY9"/>
    <mergeCell ref="DD44:DE45"/>
    <mergeCell ref="BN4:BO5"/>
    <mergeCell ref="EO12:EP13"/>
    <mergeCell ref="AV35:AW35"/>
    <mergeCell ref="AO7:AP7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X47:Y47"/>
    <mergeCell ref="Z47:AA47"/>
    <mergeCell ref="AH31:AI31"/>
    <mergeCell ref="DL23:DM23"/>
    <mergeCell ref="DR39:DS39"/>
    <mergeCell ref="CJ15:CK15"/>
    <mergeCell ref="C9:F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Y15:AZ15"/>
    <mergeCell ref="AG36:AH37"/>
    <mergeCell ref="DS41:DV41"/>
    <mergeCell ref="F7:G7"/>
    <mergeCell ref="AG12:AH13"/>
    <mergeCell ref="F36:G37"/>
    <mergeCell ref="F12:G13"/>
    <mergeCell ref="M39:N39"/>
    <mergeCell ref="C43:D43"/>
    <mergeCell ref="DL39:DM39"/>
    <mergeCell ref="R41:U41"/>
    <mergeCell ref="BF36:BG37"/>
    <mergeCell ref="B7:C7"/>
    <mergeCell ref="Y11:Z11"/>
    <mergeCell ref="I31:J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18A7-69DD-4A19-AC83-E7BDA1FE4DBE}">
  <dimension ref="A1"/>
  <sheetViews>
    <sheetView workbookViewId="0">
      <selection activeCell="I23" sqref="I23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topLeftCell="A25" workbookViewId="0">
      <selection activeCell="D38" sqref="D38:H38"/>
    </sheetView>
  </sheetViews>
  <sheetFormatPr defaultRowHeight="18" x14ac:dyDescent="0.45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 x14ac:dyDescent="0.4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 x14ac:dyDescent="0.45">
      <c r="A2">
        <v>1</v>
      </c>
      <c r="B2">
        <v>1</v>
      </c>
      <c r="C2" t="s">
        <v>60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 x14ac:dyDescent="0.45">
      <c r="A3">
        <v>2</v>
      </c>
      <c r="B3">
        <v>0</v>
      </c>
      <c r="C3" t="s">
        <v>61</v>
      </c>
      <c r="D3" t="s">
        <v>62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 x14ac:dyDescent="0.45">
      <c r="A4">
        <v>3</v>
      </c>
      <c r="B4">
        <v>1</v>
      </c>
      <c r="C4" t="s">
        <v>63</v>
      </c>
      <c r="D4" t="s">
        <v>64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 x14ac:dyDescent="0.45">
      <c r="A5">
        <v>4</v>
      </c>
      <c r="B5">
        <v>0</v>
      </c>
      <c r="C5" t="s">
        <v>61</v>
      </c>
      <c r="D5" t="s">
        <v>65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 x14ac:dyDescent="0.45">
      <c r="A6">
        <v>5</v>
      </c>
      <c r="B6">
        <v>0</v>
      </c>
      <c r="C6" t="s">
        <v>61</v>
      </c>
      <c r="D6" t="s">
        <v>66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 x14ac:dyDescent="0.45">
      <c r="A7">
        <v>6</v>
      </c>
      <c r="B7">
        <v>1</v>
      </c>
      <c r="C7" t="s">
        <v>67</v>
      </c>
      <c r="D7" t="s">
        <v>68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 x14ac:dyDescent="0.45">
      <c r="A8">
        <v>7</v>
      </c>
      <c r="B8">
        <v>1</v>
      </c>
      <c r="C8" t="s">
        <v>68</v>
      </c>
      <c r="D8" t="s">
        <v>69</v>
      </c>
      <c r="E8" s="208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 x14ac:dyDescent="0.45">
      <c r="A9">
        <v>8</v>
      </c>
      <c r="B9">
        <v>0</v>
      </c>
      <c r="C9" t="s">
        <v>61</v>
      </c>
      <c r="D9" t="s">
        <v>71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 x14ac:dyDescent="0.45">
      <c r="A10">
        <v>9</v>
      </c>
      <c r="B10">
        <v>0</v>
      </c>
      <c r="C10" t="s">
        <v>61</v>
      </c>
      <c r="D10" t="s">
        <v>72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 x14ac:dyDescent="0.45">
      <c r="A11">
        <v>10</v>
      </c>
      <c r="B11">
        <v>0</v>
      </c>
      <c r="C11" t="s">
        <v>61</v>
      </c>
      <c r="D11" t="s">
        <v>73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 x14ac:dyDescent="0.45">
      <c r="A12">
        <v>11</v>
      </c>
      <c r="B12">
        <v>0</v>
      </c>
      <c r="C12" t="s">
        <v>74</v>
      </c>
      <c r="D12" t="s">
        <v>75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 x14ac:dyDescent="0.45">
      <c r="A13">
        <v>13</v>
      </c>
      <c r="B13">
        <v>1</v>
      </c>
      <c r="C13" t="s">
        <v>60</v>
      </c>
      <c r="D13" t="s">
        <v>76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 x14ac:dyDescent="0.45">
      <c r="A14">
        <v>14</v>
      </c>
      <c r="B14">
        <v>0</v>
      </c>
      <c r="C14" t="s">
        <v>61</v>
      </c>
      <c r="D14" t="s">
        <v>77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 x14ac:dyDescent="0.45">
      <c r="A15">
        <v>15</v>
      </c>
      <c r="B15">
        <v>1</v>
      </c>
      <c r="C15" t="s">
        <v>78</v>
      </c>
      <c r="D15" t="s">
        <v>79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80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 x14ac:dyDescent="0.45">
      <c r="A16">
        <v>16</v>
      </c>
      <c r="B16">
        <v>0</v>
      </c>
      <c r="C16" t="s">
        <v>61</v>
      </c>
      <c r="D16" t="s">
        <v>81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 x14ac:dyDescent="0.45">
      <c r="A17">
        <v>17</v>
      </c>
      <c r="B17">
        <v>1</v>
      </c>
      <c r="C17" t="s">
        <v>60</v>
      </c>
      <c r="D17" t="s">
        <v>82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 x14ac:dyDescent="0.45">
      <c r="A18">
        <v>18</v>
      </c>
      <c r="B18">
        <v>0</v>
      </c>
      <c r="C18" t="s">
        <v>61</v>
      </c>
      <c r="D18" t="s">
        <v>83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 x14ac:dyDescent="0.45">
      <c r="A19">
        <v>19</v>
      </c>
      <c r="B19">
        <v>1</v>
      </c>
      <c r="C19" t="s">
        <v>60</v>
      </c>
      <c r="D19" t="s">
        <v>84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 x14ac:dyDescent="0.45">
      <c r="A20">
        <v>20</v>
      </c>
      <c r="B20">
        <v>0</v>
      </c>
      <c r="C20" t="s">
        <v>61</v>
      </c>
      <c r="D20" t="s">
        <v>85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 x14ac:dyDescent="0.45">
      <c r="A21">
        <v>21</v>
      </c>
      <c r="B21">
        <v>0</v>
      </c>
      <c r="C21" t="s">
        <v>61</v>
      </c>
      <c r="D21" t="s">
        <v>86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 x14ac:dyDescent="0.45">
      <c r="A22">
        <v>22</v>
      </c>
      <c r="B22">
        <v>1</v>
      </c>
      <c r="C22" t="s">
        <v>87</v>
      </c>
      <c r="D22" t="s">
        <v>88</v>
      </c>
      <c r="E22" s="208"/>
      <c r="F22">
        <v>23</v>
      </c>
      <c r="G22">
        <v>1</v>
      </c>
      <c r="H22">
        <v>2</v>
      </c>
      <c r="I22">
        <v>0</v>
      </c>
      <c r="J22" t="s">
        <v>88</v>
      </c>
      <c r="K22">
        <v>0</v>
      </c>
      <c r="L22" t="s">
        <v>89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 x14ac:dyDescent="0.45">
      <c r="A23">
        <v>23</v>
      </c>
      <c r="B23">
        <v>1</v>
      </c>
      <c r="C23" t="s">
        <v>90</v>
      </c>
      <c r="D23" t="s">
        <v>90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 x14ac:dyDescent="0.45">
      <c r="A24">
        <v>24</v>
      </c>
      <c r="B24">
        <v>1</v>
      </c>
      <c r="C24" t="s">
        <v>91</v>
      </c>
      <c r="D24" t="s">
        <v>82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 x14ac:dyDescent="0.45">
      <c r="A25">
        <v>25</v>
      </c>
      <c r="B25">
        <v>1</v>
      </c>
      <c r="C25" t="s">
        <v>92</v>
      </c>
      <c r="D25" t="s">
        <v>82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 x14ac:dyDescent="0.45">
      <c r="A26">
        <v>26</v>
      </c>
      <c r="B26">
        <v>1</v>
      </c>
      <c r="C26" t="s">
        <v>93</v>
      </c>
      <c r="D26" t="s">
        <v>93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 x14ac:dyDescent="0.45">
      <c r="A27">
        <v>27</v>
      </c>
      <c r="B27">
        <v>1</v>
      </c>
      <c r="C27" t="s">
        <v>94</v>
      </c>
      <c r="D27" t="s">
        <v>95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 x14ac:dyDescent="0.45">
      <c r="A28">
        <v>28</v>
      </c>
      <c r="B28">
        <v>0</v>
      </c>
      <c r="C28" t="s">
        <v>96</v>
      </c>
      <c r="D28" t="s">
        <v>96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 x14ac:dyDescent="0.45">
      <c r="A29">
        <v>29</v>
      </c>
      <c r="B29">
        <v>0</v>
      </c>
      <c r="C29" t="s">
        <v>97</v>
      </c>
      <c r="D29" t="s">
        <v>97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 x14ac:dyDescent="0.45">
      <c r="A30">
        <v>30</v>
      </c>
      <c r="B30">
        <v>0</v>
      </c>
      <c r="C30" t="s">
        <v>98</v>
      </c>
      <c r="D30" t="s">
        <v>98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 x14ac:dyDescent="0.45">
      <c r="A31">
        <v>31</v>
      </c>
      <c r="B31">
        <v>0</v>
      </c>
      <c r="C31" t="s">
        <v>99</v>
      </c>
      <c r="D31" t="s">
        <v>99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 x14ac:dyDescent="0.45">
      <c r="A32">
        <v>33</v>
      </c>
      <c r="B32">
        <v>1</v>
      </c>
      <c r="C32" t="s">
        <v>100</v>
      </c>
      <c r="D32" t="s">
        <v>101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 x14ac:dyDescent="0.45">
      <c r="A33">
        <v>34</v>
      </c>
      <c r="B33">
        <v>0</v>
      </c>
      <c r="C33" t="s">
        <v>102</v>
      </c>
      <c r="D33" t="s">
        <v>103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 x14ac:dyDescent="0.45">
      <c r="A34">
        <v>35</v>
      </c>
      <c r="B34">
        <v>1</v>
      </c>
      <c r="C34" t="s">
        <v>100</v>
      </c>
      <c r="D34" t="s">
        <v>104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 x14ac:dyDescent="0.45">
      <c r="A35">
        <v>36</v>
      </c>
      <c r="B35">
        <v>0</v>
      </c>
      <c r="C35" t="s">
        <v>102</v>
      </c>
      <c r="D35" t="s">
        <v>105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 x14ac:dyDescent="0.45">
      <c r="A36">
        <v>37</v>
      </c>
      <c r="B36">
        <v>1</v>
      </c>
      <c r="C36" t="s">
        <v>106</v>
      </c>
      <c r="D36" t="s">
        <v>107</v>
      </c>
      <c r="E36" s="208"/>
      <c r="F36">
        <v>38</v>
      </c>
      <c r="G36">
        <v>1</v>
      </c>
      <c r="H36">
        <v>1</v>
      </c>
      <c r="I36">
        <v>69</v>
      </c>
      <c r="J36" t="s">
        <v>89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 x14ac:dyDescent="0.45">
      <c r="A37">
        <v>38</v>
      </c>
      <c r="B37">
        <v>0</v>
      </c>
      <c r="C37" t="s">
        <v>108</v>
      </c>
      <c r="D37" t="s">
        <v>109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 x14ac:dyDescent="0.45">
      <c r="A38">
        <v>39</v>
      </c>
      <c r="B38">
        <v>1</v>
      </c>
      <c r="C38" t="s">
        <v>110</v>
      </c>
      <c r="D38" t="s">
        <v>111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112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 x14ac:dyDescent="0.45">
      <c r="A39">
        <v>40</v>
      </c>
      <c r="B39">
        <v>0</v>
      </c>
      <c r="C39" t="s">
        <v>113</v>
      </c>
      <c r="D39" t="s">
        <v>113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 x14ac:dyDescent="0.45">
      <c r="A40">
        <v>41</v>
      </c>
      <c r="B40">
        <v>1</v>
      </c>
      <c r="C40" t="s">
        <v>114</v>
      </c>
      <c r="D40" t="s">
        <v>115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 x14ac:dyDescent="0.45">
      <c r="A41">
        <v>42</v>
      </c>
      <c r="B41">
        <v>0</v>
      </c>
      <c r="C41" t="s">
        <v>116</v>
      </c>
      <c r="D41" t="s">
        <v>116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 x14ac:dyDescent="0.45">
      <c r="A42">
        <v>43</v>
      </c>
      <c r="B42">
        <v>1</v>
      </c>
      <c r="C42" t="s">
        <v>117</v>
      </c>
      <c r="D42" t="s">
        <v>118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 x14ac:dyDescent="0.45">
      <c r="A43">
        <v>44</v>
      </c>
      <c r="B43">
        <v>0</v>
      </c>
      <c r="C43" t="s">
        <v>119</v>
      </c>
      <c r="D43" t="s">
        <v>119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 x14ac:dyDescent="0.45">
      <c r="A44">
        <v>45</v>
      </c>
      <c r="B44">
        <v>1</v>
      </c>
      <c r="C44" t="s">
        <v>120</v>
      </c>
      <c r="D44" t="s">
        <v>121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 x14ac:dyDescent="0.45">
      <c r="A45">
        <v>46</v>
      </c>
      <c r="B45">
        <v>0</v>
      </c>
      <c r="C45" t="s">
        <v>122</v>
      </c>
      <c r="D45" t="s">
        <v>122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 x14ac:dyDescent="0.45">
      <c r="A46">
        <v>47</v>
      </c>
      <c r="B46">
        <v>1</v>
      </c>
      <c r="C46" t="s">
        <v>123</v>
      </c>
      <c r="D46" t="s">
        <v>124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 x14ac:dyDescent="0.45">
      <c r="A47">
        <v>48</v>
      </c>
      <c r="B47">
        <v>0</v>
      </c>
      <c r="C47" t="s">
        <v>125</v>
      </c>
      <c r="D47" t="s">
        <v>125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 x14ac:dyDescent="0.45">
      <c r="A48">
        <v>49</v>
      </c>
      <c r="B48">
        <v>1</v>
      </c>
      <c r="C48" t="s">
        <v>126</v>
      </c>
      <c r="D48" t="s">
        <v>3</v>
      </c>
      <c r="E48" s="208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127</v>
      </c>
      <c r="M48">
        <v>0</v>
      </c>
      <c r="N48" t="s">
        <v>89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 x14ac:dyDescent="0.45">
      <c r="A49">
        <v>50</v>
      </c>
      <c r="B49">
        <v>0</v>
      </c>
      <c r="C49" t="s">
        <v>128</v>
      </c>
      <c r="D49" t="s">
        <v>128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 x14ac:dyDescent="0.45">
      <c r="A50">
        <v>51</v>
      </c>
      <c r="B50">
        <v>0</v>
      </c>
      <c r="C50" t="s">
        <v>128</v>
      </c>
      <c r="D50" t="s">
        <v>129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 x14ac:dyDescent="0.45">
      <c r="A51">
        <v>52</v>
      </c>
      <c r="B51">
        <v>1</v>
      </c>
      <c r="C51" t="s">
        <v>130</v>
      </c>
      <c r="D51" t="s">
        <v>131</v>
      </c>
      <c r="E51" s="208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127</v>
      </c>
      <c r="M51">
        <v>0</v>
      </c>
      <c r="N51" t="s">
        <v>89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 x14ac:dyDescent="0.45">
      <c r="A52">
        <v>53</v>
      </c>
      <c r="B52">
        <v>0</v>
      </c>
      <c r="C52" t="s">
        <v>132</v>
      </c>
      <c r="D52" t="s">
        <v>132</v>
      </c>
      <c r="E52" s="208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127</v>
      </c>
      <c r="M52">
        <v>0</v>
      </c>
      <c r="N52" t="s">
        <v>89</v>
      </c>
      <c r="O52">
        <v>0</v>
      </c>
      <c r="T52">
        <v>2</v>
      </c>
      <c r="U52" s="206">
        <v>40823.696527777778</v>
      </c>
    </row>
    <row r="53" spans="1:21" x14ac:dyDescent="0.45">
      <c r="A53">
        <v>54</v>
      </c>
      <c r="B53">
        <v>0</v>
      </c>
      <c r="C53" t="s">
        <v>132</v>
      </c>
      <c r="D53" t="s">
        <v>133</v>
      </c>
      <c r="E53" s="208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127</v>
      </c>
      <c r="M53">
        <v>0</v>
      </c>
      <c r="N53" t="s">
        <v>89</v>
      </c>
      <c r="O53">
        <v>0</v>
      </c>
      <c r="T53">
        <v>2</v>
      </c>
      <c r="U53" s="206">
        <v>40823.697222222218</v>
      </c>
    </row>
    <row r="54" spans="1:21" x14ac:dyDescent="0.45">
      <c r="A54">
        <v>55</v>
      </c>
      <c r="B54">
        <v>1</v>
      </c>
      <c r="C54" t="s">
        <v>134</v>
      </c>
      <c r="D54" t="s">
        <v>135</v>
      </c>
      <c r="E54" s="208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89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 x14ac:dyDescent="0.45">
      <c r="A55">
        <v>56</v>
      </c>
      <c r="B55">
        <v>0</v>
      </c>
      <c r="C55" t="s">
        <v>136</v>
      </c>
      <c r="D55" t="s">
        <v>136</v>
      </c>
      <c r="E55" s="208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89</v>
      </c>
      <c r="M55">
        <v>0</v>
      </c>
      <c r="N55" t="s">
        <v>137</v>
      </c>
      <c r="O55">
        <v>0</v>
      </c>
      <c r="T55">
        <v>2</v>
      </c>
      <c r="U55" s="206">
        <v>40823.697916666657</v>
      </c>
    </row>
    <row r="56" spans="1:21" x14ac:dyDescent="0.45">
      <c r="A56">
        <v>57</v>
      </c>
      <c r="B56">
        <v>0</v>
      </c>
      <c r="C56" t="s">
        <v>136</v>
      </c>
      <c r="D56" t="s">
        <v>138</v>
      </c>
      <c r="E56" s="208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89</v>
      </c>
      <c r="M56">
        <v>0</v>
      </c>
      <c r="N56" t="s">
        <v>137</v>
      </c>
      <c r="O56">
        <v>0</v>
      </c>
      <c r="T56">
        <v>2</v>
      </c>
      <c r="U56" s="206">
        <v>40823.697916666657</v>
      </c>
    </row>
    <row r="57" spans="1:21" x14ac:dyDescent="0.45">
      <c r="A57">
        <v>58</v>
      </c>
      <c r="B57">
        <v>1</v>
      </c>
      <c r="C57" t="s">
        <v>139</v>
      </c>
      <c r="D57" t="s">
        <v>140</v>
      </c>
      <c r="E57" s="208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 x14ac:dyDescent="0.45">
      <c r="A58">
        <v>59</v>
      </c>
      <c r="B58">
        <v>0</v>
      </c>
      <c r="C58" t="s">
        <v>142</v>
      </c>
      <c r="D58" t="s">
        <v>142</v>
      </c>
      <c r="E58" s="208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206">
        <v>40823.699305555558</v>
      </c>
    </row>
    <row r="59" spans="1:21" x14ac:dyDescent="0.45">
      <c r="A59">
        <v>60</v>
      </c>
      <c r="B59">
        <v>1</v>
      </c>
      <c r="C59" t="s">
        <v>143</v>
      </c>
      <c r="D59" t="s">
        <v>144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 x14ac:dyDescent="0.45">
      <c r="A60">
        <v>61</v>
      </c>
      <c r="B60">
        <v>0</v>
      </c>
      <c r="C60" t="s">
        <v>146</v>
      </c>
      <c r="D60" t="s">
        <v>146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206">
        <v>40823.700694444437</v>
      </c>
    </row>
    <row r="61" spans="1:21" x14ac:dyDescent="0.45">
      <c r="A61">
        <v>62</v>
      </c>
      <c r="B61">
        <v>1</v>
      </c>
      <c r="C61" t="s">
        <v>147</v>
      </c>
      <c r="D61" t="s">
        <v>148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 x14ac:dyDescent="0.45">
      <c r="A62">
        <v>63</v>
      </c>
      <c r="B62">
        <v>0</v>
      </c>
      <c r="C62" t="s">
        <v>149</v>
      </c>
      <c r="D62" t="s">
        <v>149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 x14ac:dyDescent="0.45">
      <c r="A63">
        <v>64</v>
      </c>
      <c r="B63">
        <v>1</v>
      </c>
      <c r="C63" t="s">
        <v>150</v>
      </c>
      <c r="D63" t="s">
        <v>151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 x14ac:dyDescent="0.45">
      <c r="A64">
        <v>65</v>
      </c>
      <c r="B64">
        <v>0</v>
      </c>
      <c r="C64" t="s">
        <v>152</v>
      </c>
      <c r="D64" t="s">
        <v>152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 x14ac:dyDescent="0.45">
      <c r="A65">
        <v>66</v>
      </c>
      <c r="B65">
        <v>1</v>
      </c>
      <c r="C65" t="s">
        <v>153</v>
      </c>
      <c r="D65" t="s">
        <v>154</v>
      </c>
      <c r="E65" s="208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206">
        <v>41059.626388888893</v>
      </c>
    </row>
    <row r="66" spans="1:21" x14ac:dyDescent="0.45">
      <c r="A66">
        <v>67</v>
      </c>
      <c r="B66">
        <v>0</v>
      </c>
      <c r="C66" t="s">
        <v>160</v>
      </c>
      <c r="D66" t="s">
        <v>160</v>
      </c>
      <c r="E66" s="208"/>
      <c r="F66">
        <v>0</v>
      </c>
      <c r="G66">
        <v>1</v>
      </c>
      <c r="H66">
        <v>2</v>
      </c>
      <c r="I66">
        <v>0</v>
      </c>
      <c r="J66" t="s">
        <v>89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 x14ac:dyDescent="0.45">
      <c r="A67">
        <v>68</v>
      </c>
      <c r="B67">
        <v>0</v>
      </c>
      <c r="C67" t="s">
        <v>160</v>
      </c>
      <c r="D67" t="s">
        <v>161</v>
      </c>
      <c r="E67" s="208"/>
      <c r="F67">
        <v>68</v>
      </c>
      <c r="G67">
        <v>1</v>
      </c>
      <c r="H67">
        <v>2</v>
      </c>
      <c r="I67">
        <v>0</v>
      </c>
      <c r="J67" t="s">
        <v>89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 x14ac:dyDescent="0.45">
      <c r="A68">
        <v>69</v>
      </c>
      <c r="B68">
        <v>1</v>
      </c>
      <c r="C68" t="s">
        <v>162</v>
      </c>
      <c r="D68" t="s">
        <v>163</v>
      </c>
      <c r="E68" s="208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89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 x14ac:dyDescent="0.45">
      <c r="A69">
        <v>70</v>
      </c>
      <c r="B69">
        <v>0</v>
      </c>
      <c r="C69" t="s">
        <v>164</v>
      </c>
      <c r="D69" t="s">
        <v>164</v>
      </c>
      <c r="E69" s="208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89</v>
      </c>
      <c r="M69">
        <v>0</v>
      </c>
      <c r="O69">
        <v>0</v>
      </c>
      <c r="T69">
        <v>2</v>
      </c>
      <c r="U69" s="206">
        <v>40823.726388888892</v>
      </c>
    </row>
    <row r="70" spans="1:21" x14ac:dyDescent="0.45">
      <c r="A70">
        <v>71</v>
      </c>
      <c r="B70">
        <v>0</v>
      </c>
      <c r="C70" t="s">
        <v>164</v>
      </c>
      <c r="D70" t="s">
        <v>165</v>
      </c>
      <c r="E70" s="208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89</v>
      </c>
      <c r="M70">
        <v>0</v>
      </c>
      <c r="O70">
        <v>0</v>
      </c>
      <c r="T70">
        <v>2</v>
      </c>
      <c r="U70" s="206">
        <v>40823.726388888892</v>
      </c>
    </row>
    <row r="71" spans="1:21" x14ac:dyDescent="0.45">
      <c r="A71">
        <v>72</v>
      </c>
      <c r="B71">
        <v>1</v>
      </c>
      <c r="C71" t="s">
        <v>166</v>
      </c>
      <c r="D71" t="s">
        <v>167</v>
      </c>
      <c r="E71" s="208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89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 x14ac:dyDescent="0.45">
      <c r="A72">
        <v>73</v>
      </c>
      <c r="B72">
        <v>0</v>
      </c>
      <c r="C72" t="s">
        <v>168</v>
      </c>
      <c r="D72" t="s">
        <v>168</v>
      </c>
      <c r="E72" s="208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89</v>
      </c>
      <c r="M72">
        <v>0</v>
      </c>
      <c r="O72">
        <v>0</v>
      </c>
      <c r="T72">
        <v>2</v>
      </c>
      <c r="U72" s="206">
        <v>40823.725694444453</v>
      </c>
    </row>
    <row r="73" spans="1:21" x14ac:dyDescent="0.45">
      <c r="A73">
        <v>74</v>
      </c>
      <c r="B73">
        <v>0</v>
      </c>
      <c r="C73" t="s">
        <v>168</v>
      </c>
      <c r="D73" t="s">
        <v>169</v>
      </c>
      <c r="E73" s="208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89</v>
      </c>
      <c r="M73">
        <v>0</v>
      </c>
      <c r="O73">
        <v>0</v>
      </c>
      <c r="T73">
        <v>2</v>
      </c>
      <c r="U73" s="206">
        <v>40823.726388888892</v>
      </c>
    </row>
    <row r="74" spans="1:21" x14ac:dyDescent="0.45">
      <c r="A74">
        <v>75</v>
      </c>
      <c r="B74">
        <v>1</v>
      </c>
      <c r="C74" t="s">
        <v>170</v>
      </c>
      <c r="D74" t="s">
        <v>171</v>
      </c>
      <c r="E74" s="208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89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 x14ac:dyDescent="0.45">
      <c r="A75">
        <v>76</v>
      </c>
      <c r="B75">
        <v>0</v>
      </c>
      <c r="C75" t="s">
        <v>172</v>
      </c>
      <c r="D75" t="s">
        <v>172</v>
      </c>
      <c r="E75" s="208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89</v>
      </c>
      <c r="M75">
        <v>0</v>
      </c>
      <c r="O75">
        <v>0</v>
      </c>
      <c r="T75">
        <v>2</v>
      </c>
      <c r="U75" s="206">
        <v>40823.736805555563</v>
      </c>
    </row>
    <row r="76" spans="1:21" x14ac:dyDescent="0.45">
      <c r="A76">
        <v>77</v>
      </c>
      <c r="B76">
        <v>0</v>
      </c>
      <c r="C76" t="s">
        <v>172</v>
      </c>
      <c r="D76" t="s">
        <v>173</v>
      </c>
      <c r="E76" s="208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89</v>
      </c>
      <c r="M76">
        <v>0</v>
      </c>
      <c r="O76">
        <v>0</v>
      </c>
      <c r="T76">
        <v>2</v>
      </c>
      <c r="U76" s="206">
        <v>40823.736805555563</v>
      </c>
    </row>
    <row r="77" spans="1:21" x14ac:dyDescent="0.45">
      <c r="A77">
        <v>78</v>
      </c>
      <c r="B77">
        <v>1</v>
      </c>
      <c r="C77" t="s">
        <v>174</v>
      </c>
      <c r="D77" t="s">
        <v>175</v>
      </c>
      <c r="E77" s="208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89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 x14ac:dyDescent="0.45">
      <c r="A78">
        <v>79</v>
      </c>
      <c r="B78">
        <v>0</v>
      </c>
      <c r="C78" t="s">
        <v>177</v>
      </c>
      <c r="D78" t="s">
        <v>177</v>
      </c>
      <c r="E78" s="208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89</v>
      </c>
      <c r="M78">
        <v>0</v>
      </c>
      <c r="N78" t="s">
        <v>175</v>
      </c>
      <c r="O78">
        <v>0</v>
      </c>
      <c r="T78">
        <v>2</v>
      </c>
      <c r="U78" s="206">
        <v>40823.737500000003</v>
      </c>
    </row>
    <row r="79" spans="1:21" x14ac:dyDescent="0.45">
      <c r="A79">
        <v>80</v>
      </c>
      <c r="B79">
        <v>0</v>
      </c>
      <c r="C79" t="s">
        <v>177</v>
      </c>
      <c r="D79" t="s">
        <v>178</v>
      </c>
      <c r="E79" s="208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89</v>
      </c>
      <c r="M79">
        <v>0</v>
      </c>
      <c r="N79" t="s">
        <v>175</v>
      </c>
      <c r="O79">
        <v>0</v>
      </c>
      <c r="T79">
        <v>2</v>
      </c>
      <c r="U79" s="206">
        <v>40823.737500000003</v>
      </c>
    </row>
    <row r="80" spans="1:21" x14ac:dyDescent="0.45">
      <c r="A80">
        <v>81</v>
      </c>
      <c r="B80">
        <v>1</v>
      </c>
      <c r="C80" t="s">
        <v>179</v>
      </c>
      <c r="D80" t="s">
        <v>180</v>
      </c>
      <c r="E80" s="208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89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 x14ac:dyDescent="0.45">
      <c r="A81">
        <v>82</v>
      </c>
      <c r="B81">
        <v>0</v>
      </c>
      <c r="C81" t="s">
        <v>181</v>
      </c>
      <c r="D81" t="s">
        <v>181</v>
      </c>
      <c r="E81" s="208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89</v>
      </c>
      <c r="M81">
        <v>0</v>
      </c>
      <c r="N81" t="s">
        <v>180</v>
      </c>
      <c r="O81">
        <v>0</v>
      </c>
      <c r="T81">
        <v>2</v>
      </c>
      <c r="U81" s="206">
        <v>40823.738194444442</v>
      </c>
    </row>
    <row r="82" spans="1:21" x14ac:dyDescent="0.45">
      <c r="A82">
        <v>83</v>
      </c>
      <c r="B82">
        <v>0</v>
      </c>
      <c r="C82" t="s">
        <v>181</v>
      </c>
      <c r="D82" t="s">
        <v>182</v>
      </c>
      <c r="E82" s="208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89</v>
      </c>
      <c r="M82">
        <v>0</v>
      </c>
      <c r="N82" t="s">
        <v>180</v>
      </c>
      <c r="O82">
        <v>0</v>
      </c>
      <c r="T82">
        <v>2</v>
      </c>
      <c r="U82" s="206">
        <v>40823.738194444442</v>
      </c>
    </row>
    <row r="83" spans="1:21" x14ac:dyDescent="0.45">
      <c r="A83">
        <v>84</v>
      </c>
      <c r="B83">
        <v>1</v>
      </c>
      <c r="C83" t="s">
        <v>183</v>
      </c>
      <c r="D83" t="s">
        <v>184</v>
      </c>
      <c r="E83" s="208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89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 x14ac:dyDescent="0.45">
      <c r="A84">
        <v>85</v>
      </c>
      <c r="B84">
        <v>0</v>
      </c>
      <c r="C84" t="s">
        <v>185</v>
      </c>
      <c r="D84" t="s">
        <v>185</v>
      </c>
      <c r="E84" s="208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89</v>
      </c>
      <c r="M84">
        <v>0</v>
      </c>
      <c r="N84" t="s">
        <v>184</v>
      </c>
      <c r="O84">
        <v>0</v>
      </c>
      <c r="T84">
        <v>2</v>
      </c>
      <c r="U84" s="206">
        <v>40823.738194444442</v>
      </c>
    </row>
    <row r="85" spans="1:21" x14ac:dyDescent="0.45">
      <c r="A85">
        <v>86</v>
      </c>
      <c r="B85">
        <v>0</v>
      </c>
      <c r="C85" t="s">
        <v>185</v>
      </c>
      <c r="D85" t="s">
        <v>186</v>
      </c>
      <c r="E85" s="208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89</v>
      </c>
      <c r="M85">
        <v>0</v>
      </c>
      <c r="N85" t="s">
        <v>184</v>
      </c>
      <c r="O85">
        <v>0</v>
      </c>
      <c r="T85">
        <v>2</v>
      </c>
      <c r="U85" s="206">
        <v>40823.738888888889</v>
      </c>
    </row>
    <row r="86" spans="1:21" x14ac:dyDescent="0.45">
      <c r="A86">
        <v>87</v>
      </c>
      <c r="B86">
        <v>1</v>
      </c>
      <c r="C86" t="s">
        <v>187</v>
      </c>
      <c r="D86" t="s">
        <v>188</v>
      </c>
      <c r="E86" s="208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188</v>
      </c>
      <c r="M86">
        <v>0</v>
      </c>
      <c r="N86" t="s">
        <v>89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 x14ac:dyDescent="0.45">
      <c r="A87">
        <v>88</v>
      </c>
      <c r="B87">
        <v>0</v>
      </c>
      <c r="C87" t="s">
        <v>189</v>
      </c>
      <c r="D87" t="s">
        <v>189</v>
      </c>
      <c r="E87" s="208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188</v>
      </c>
      <c r="M87">
        <v>0</v>
      </c>
      <c r="N87" t="s">
        <v>89</v>
      </c>
      <c r="O87">
        <v>0</v>
      </c>
      <c r="T87">
        <v>2</v>
      </c>
      <c r="U87" s="206">
        <v>40823.739583333343</v>
      </c>
    </row>
    <row r="88" spans="1:21" x14ac:dyDescent="0.45">
      <c r="A88">
        <v>89</v>
      </c>
      <c r="B88">
        <v>0</v>
      </c>
      <c r="C88" t="s">
        <v>189</v>
      </c>
      <c r="D88" t="s">
        <v>190</v>
      </c>
      <c r="E88" s="208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188</v>
      </c>
      <c r="M88">
        <v>0</v>
      </c>
      <c r="N88" t="s">
        <v>89</v>
      </c>
      <c r="O88">
        <v>0</v>
      </c>
      <c r="T88">
        <v>2</v>
      </c>
      <c r="U88" s="206">
        <v>40823.740277777782</v>
      </c>
    </row>
    <row r="89" spans="1:21" x14ac:dyDescent="0.45">
      <c r="A89">
        <v>90</v>
      </c>
      <c r="B89">
        <v>1</v>
      </c>
      <c r="C89" t="s">
        <v>191</v>
      </c>
      <c r="D89" t="s">
        <v>192</v>
      </c>
      <c r="E89" s="208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 x14ac:dyDescent="0.45">
      <c r="A90">
        <v>91</v>
      </c>
      <c r="B90">
        <v>0</v>
      </c>
      <c r="C90" t="s">
        <v>193</v>
      </c>
      <c r="D90" t="s">
        <v>193</v>
      </c>
      <c r="E90" s="208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206">
        <v>40823.740972222222</v>
      </c>
    </row>
    <row r="91" spans="1:21" x14ac:dyDescent="0.45">
      <c r="A91">
        <v>92</v>
      </c>
      <c r="B91">
        <v>0</v>
      </c>
      <c r="C91" t="s">
        <v>193</v>
      </c>
      <c r="D91" t="s">
        <v>194</v>
      </c>
      <c r="E91" s="208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206">
        <v>40823.740972222222</v>
      </c>
    </row>
    <row r="92" spans="1:21" x14ac:dyDescent="0.45">
      <c r="A92">
        <v>93</v>
      </c>
      <c r="B92">
        <v>1</v>
      </c>
      <c r="C92" t="s">
        <v>195</v>
      </c>
      <c r="D92" t="s">
        <v>196</v>
      </c>
      <c r="E92" s="208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 x14ac:dyDescent="0.45">
      <c r="A93">
        <v>94</v>
      </c>
      <c r="B93">
        <v>0</v>
      </c>
      <c r="C93" t="s">
        <v>197</v>
      </c>
      <c r="D93" t="s">
        <v>197</v>
      </c>
      <c r="E93" s="208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89</v>
      </c>
      <c r="M93">
        <v>0</v>
      </c>
      <c r="O93">
        <v>0</v>
      </c>
      <c r="T93">
        <v>2</v>
      </c>
      <c r="U93" s="206">
        <v>40823.741666666669</v>
      </c>
    </row>
    <row r="94" spans="1:21" x14ac:dyDescent="0.45">
      <c r="A94">
        <v>95</v>
      </c>
      <c r="B94">
        <v>0</v>
      </c>
      <c r="C94" t="s">
        <v>197</v>
      </c>
      <c r="D94" t="s">
        <v>198</v>
      </c>
      <c r="E94" s="208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89</v>
      </c>
      <c r="M94">
        <v>0</v>
      </c>
      <c r="O94">
        <v>0</v>
      </c>
      <c r="T94">
        <v>2</v>
      </c>
      <c r="U94" s="206">
        <v>40823.741666666669</v>
      </c>
    </row>
    <row r="95" spans="1:21" x14ac:dyDescent="0.45">
      <c r="A95">
        <v>96</v>
      </c>
      <c r="B95">
        <v>1</v>
      </c>
      <c r="C95" t="s">
        <v>199</v>
      </c>
      <c r="D95" t="s">
        <v>70</v>
      </c>
      <c r="E95" s="208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 x14ac:dyDescent="0.45">
      <c r="A96">
        <v>97</v>
      </c>
      <c r="B96">
        <v>0</v>
      </c>
      <c r="C96" t="s">
        <v>200</v>
      </c>
      <c r="D96" t="s">
        <v>200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 x14ac:dyDescent="0.45">
      <c r="A97">
        <v>98</v>
      </c>
      <c r="B97">
        <v>1</v>
      </c>
      <c r="C97" t="s">
        <v>201</v>
      </c>
      <c r="D97" t="s">
        <v>16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 x14ac:dyDescent="0.45">
      <c r="A98">
        <v>99</v>
      </c>
      <c r="B98">
        <v>0</v>
      </c>
      <c r="C98" t="s">
        <v>202</v>
      </c>
      <c r="D98" t="s">
        <v>202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 x14ac:dyDescent="0.45">
      <c r="A99">
        <v>100</v>
      </c>
      <c r="B99">
        <v>1</v>
      </c>
      <c r="C99" t="s">
        <v>203</v>
      </c>
      <c r="D99" t="s">
        <v>203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 x14ac:dyDescent="0.45">
      <c r="A100">
        <v>101</v>
      </c>
      <c r="B100">
        <v>0</v>
      </c>
      <c r="C100" t="s">
        <v>204</v>
      </c>
      <c r="D100" t="s">
        <v>204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 x14ac:dyDescent="0.45">
      <c r="A101">
        <v>102</v>
      </c>
      <c r="B101">
        <v>1</v>
      </c>
      <c r="C101" t="s">
        <v>205</v>
      </c>
      <c r="D101" t="s">
        <v>4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 x14ac:dyDescent="0.45">
      <c r="A102">
        <v>103</v>
      </c>
      <c r="B102">
        <v>0</v>
      </c>
      <c r="C102" t="s">
        <v>206</v>
      </c>
      <c r="D102" t="s">
        <v>4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 x14ac:dyDescent="0.45">
      <c r="A103">
        <v>104</v>
      </c>
      <c r="B103">
        <v>1</v>
      </c>
      <c r="C103" t="s">
        <v>207</v>
      </c>
      <c r="D103" t="s">
        <v>208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 x14ac:dyDescent="0.45">
      <c r="A104">
        <v>105</v>
      </c>
      <c r="B104">
        <v>0</v>
      </c>
      <c r="C104" t="s">
        <v>209</v>
      </c>
      <c r="D104" t="s">
        <v>208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 x14ac:dyDescent="0.45">
      <c r="A105">
        <v>106</v>
      </c>
      <c r="B105">
        <v>1</v>
      </c>
      <c r="C105" t="s">
        <v>210</v>
      </c>
      <c r="D105" t="s">
        <v>5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 x14ac:dyDescent="0.45">
      <c r="A106">
        <v>107</v>
      </c>
      <c r="B106">
        <v>0</v>
      </c>
      <c r="C106" t="s">
        <v>211</v>
      </c>
      <c r="D106" t="s">
        <v>5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 x14ac:dyDescent="0.45">
      <c r="A107">
        <v>108</v>
      </c>
      <c r="B107">
        <v>1</v>
      </c>
      <c r="C107" t="s">
        <v>212</v>
      </c>
      <c r="D107" t="s">
        <v>212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 x14ac:dyDescent="0.45">
      <c r="A108">
        <v>109</v>
      </c>
      <c r="B108">
        <v>0</v>
      </c>
      <c r="C108" t="s">
        <v>213</v>
      </c>
      <c r="D108" t="s">
        <v>213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 x14ac:dyDescent="0.45">
      <c r="A109">
        <v>110</v>
      </c>
      <c r="B109">
        <v>1</v>
      </c>
      <c r="C109" t="s">
        <v>214</v>
      </c>
      <c r="D109" t="s">
        <v>215</v>
      </c>
      <c r="E109" s="208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 x14ac:dyDescent="0.45">
      <c r="A110">
        <v>111</v>
      </c>
      <c r="B110">
        <v>0</v>
      </c>
      <c r="C110" t="s">
        <v>216</v>
      </c>
      <c r="D110" t="s">
        <v>216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 x14ac:dyDescent="0.45">
      <c r="A111">
        <v>112</v>
      </c>
      <c r="B111">
        <v>1</v>
      </c>
      <c r="C111" t="s">
        <v>217</v>
      </c>
      <c r="D111" t="s">
        <v>217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 x14ac:dyDescent="0.45">
      <c r="A112">
        <v>113</v>
      </c>
      <c r="B112">
        <v>0</v>
      </c>
      <c r="C112" t="s">
        <v>218</v>
      </c>
      <c r="D112" t="s">
        <v>218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 x14ac:dyDescent="0.45">
      <c r="A113">
        <v>114</v>
      </c>
      <c r="B113">
        <v>1</v>
      </c>
      <c r="C113" t="s">
        <v>8</v>
      </c>
      <c r="D113" t="s">
        <v>8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 x14ac:dyDescent="0.45">
      <c r="A114">
        <v>115</v>
      </c>
      <c r="B114">
        <v>1</v>
      </c>
      <c r="C114" t="s">
        <v>219</v>
      </c>
      <c r="D114" t="s">
        <v>219</v>
      </c>
      <c r="E114" s="208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 x14ac:dyDescent="0.45">
      <c r="A115">
        <v>116</v>
      </c>
      <c r="B115">
        <v>1</v>
      </c>
      <c r="C115" t="s">
        <v>220</v>
      </c>
      <c r="D115" t="s">
        <v>220</v>
      </c>
      <c r="E115" s="208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 x14ac:dyDescent="0.45">
      <c r="A116">
        <v>117</v>
      </c>
      <c r="B116">
        <v>1</v>
      </c>
      <c r="C116" t="s">
        <v>221</v>
      </c>
      <c r="D116" t="s">
        <v>221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 x14ac:dyDescent="0.45">
      <c r="A117">
        <v>118</v>
      </c>
      <c r="B117">
        <v>1</v>
      </c>
      <c r="C117" t="s">
        <v>222</v>
      </c>
      <c r="D117" t="s">
        <v>222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 x14ac:dyDescent="0.45">
      <c r="A118">
        <v>119</v>
      </c>
      <c r="B118">
        <v>1</v>
      </c>
      <c r="C118" t="s">
        <v>223</v>
      </c>
      <c r="D118" t="s">
        <v>223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 x14ac:dyDescent="0.45">
      <c r="A119">
        <v>120</v>
      </c>
      <c r="B119">
        <v>1</v>
      </c>
      <c r="C119" t="s">
        <v>224</v>
      </c>
      <c r="D119" t="s">
        <v>224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 x14ac:dyDescent="0.45">
      <c r="A120">
        <v>121</v>
      </c>
      <c r="B120">
        <v>1</v>
      </c>
      <c r="C120" t="s">
        <v>225</v>
      </c>
      <c r="D120" t="s">
        <v>225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 x14ac:dyDescent="0.45">
      <c r="A121">
        <v>122</v>
      </c>
      <c r="B121">
        <v>1</v>
      </c>
      <c r="C121" t="s">
        <v>226</v>
      </c>
      <c r="D121" t="s">
        <v>226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 x14ac:dyDescent="0.45">
      <c r="A122">
        <v>123</v>
      </c>
      <c r="B122">
        <v>0</v>
      </c>
      <c r="C122" t="s">
        <v>227</v>
      </c>
      <c r="D122" t="s">
        <v>227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 x14ac:dyDescent="0.45">
      <c r="A123">
        <v>124</v>
      </c>
      <c r="B123">
        <v>1</v>
      </c>
      <c r="C123" t="s">
        <v>228</v>
      </c>
      <c r="D123" t="s">
        <v>228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 x14ac:dyDescent="0.45">
      <c r="A124">
        <v>125</v>
      </c>
      <c r="B124">
        <v>1</v>
      </c>
      <c r="C124" t="s">
        <v>229</v>
      </c>
      <c r="D124" t="s">
        <v>229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 x14ac:dyDescent="0.45">
      <c r="A125">
        <v>126</v>
      </c>
      <c r="B125">
        <v>1</v>
      </c>
      <c r="C125" t="s">
        <v>230</v>
      </c>
      <c r="D125" t="s">
        <v>230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 x14ac:dyDescent="0.45">
      <c r="A126">
        <v>127</v>
      </c>
      <c r="B126">
        <v>1</v>
      </c>
      <c r="C126" t="s">
        <v>231</v>
      </c>
      <c r="D126" t="s">
        <v>231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 x14ac:dyDescent="0.45">
      <c r="A127">
        <v>128</v>
      </c>
      <c r="B127">
        <v>1</v>
      </c>
      <c r="C127" t="s">
        <v>232</v>
      </c>
      <c r="D127" t="s">
        <v>232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 x14ac:dyDescent="0.45">
      <c r="A128">
        <v>129</v>
      </c>
      <c r="B128">
        <v>1</v>
      </c>
      <c r="C128" t="s">
        <v>233</v>
      </c>
      <c r="D128" t="s">
        <v>233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 x14ac:dyDescent="0.45">
      <c r="A129">
        <v>130</v>
      </c>
      <c r="B129">
        <v>1</v>
      </c>
      <c r="C129" t="s">
        <v>234</v>
      </c>
      <c r="D129" t="s">
        <v>234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 x14ac:dyDescent="0.45">
      <c r="A130">
        <v>131</v>
      </c>
      <c r="B130">
        <v>1</v>
      </c>
      <c r="C130" t="s">
        <v>235</v>
      </c>
      <c r="D130" t="s">
        <v>235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 x14ac:dyDescent="0.45">
      <c r="A131">
        <v>132</v>
      </c>
      <c r="B131">
        <v>1</v>
      </c>
      <c r="C131" t="s">
        <v>236</v>
      </c>
      <c r="D131" t="s">
        <v>236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 x14ac:dyDescent="0.45">
      <c r="A132">
        <v>133</v>
      </c>
      <c r="B132">
        <v>1</v>
      </c>
      <c r="C132" t="s">
        <v>237</v>
      </c>
      <c r="D132" t="s">
        <v>237</v>
      </c>
      <c r="E132" s="208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 x14ac:dyDescent="0.45">
      <c r="A133">
        <v>134</v>
      </c>
      <c r="B133">
        <v>1</v>
      </c>
      <c r="C133" t="s">
        <v>239</v>
      </c>
      <c r="D133" t="s">
        <v>239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 x14ac:dyDescent="0.45">
      <c r="A134">
        <v>135</v>
      </c>
      <c r="B134">
        <v>1</v>
      </c>
      <c r="C134" t="s">
        <v>240</v>
      </c>
      <c r="D134" t="s">
        <v>240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 x14ac:dyDescent="0.45">
      <c r="A135">
        <v>136</v>
      </c>
      <c r="B135">
        <v>1</v>
      </c>
      <c r="C135" t="s">
        <v>241</v>
      </c>
      <c r="D135" t="s">
        <v>241</v>
      </c>
      <c r="E135" s="208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 x14ac:dyDescent="0.45">
      <c r="A136">
        <v>137</v>
      </c>
      <c r="B136">
        <v>1</v>
      </c>
      <c r="C136" t="s">
        <v>242</v>
      </c>
      <c r="D136" t="s">
        <v>242</v>
      </c>
      <c r="E136" s="208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140</v>
      </c>
      <c r="M136">
        <v>0</v>
      </c>
      <c r="N136" t="s">
        <v>89</v>
      </c>
      <c r="O136">
        <v>0</v>
      </c>
      <c r="P136" t="s">
        <v>137</v>
      </c>
      <c r="Q136">
        <v>0</v>
      </c>
      <c r="R136" t="s">
        <v>243</v>
      </c>
      <c r="S136">
        <v>0</v>
      </c>
      <c r="T136">
        <v>2</v>
      </c>
      <c r="U136" s="206">
        <v>44216.600694444453</v>
      </c>
    </row>
    <row r="137" spans="1:21" x14ac:dyDescent="0.45">
      <c r="A137">
        <v>138</v>
      </c>
      <c r="B137">
        <v>1</v>
      </c>
      <c r="C137" t="s">
        <v>244</v>
      </c>
      <c r="D137" t="s">
        <v>244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 x14ac:dyDescent="0.45">
      <c r="A138">
        <v>139</v>
      </c>
      <c r="B138">
        <v>1</v>
      </c>
      <c r="C138" t="s">
        <v>245</v>
      </c>
      <c r="D138" t="s">
        <v>245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 x14ac:dyDescent="0.45">
      <c r="A139">
        <v>140</v>
      </c>
      <c r="B139">
        <v>1</v>
      </c>
      <c r="C139" t="s">
        <v>246</v>
      </c>
      <c r="D139" t="s">
        <v>246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 x14ac:dyDescent="0.45">
      <c r="A140">
        <v>141</v>
      </c>
      <c r="B140">
        <v>1</v>
      </c>
      <c r="C140" t="s">
        <v>247</v>
      </c>
      <c r="D140" t="s">
        <v>247</v>
      </c>
      <c r="E140" s="208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 x14ac:dyDescent="0.45">
      <c r="A141">
        <v>142</v>
      </c>
      <c r="B141">
        <v>1</v>
      </c>
      <c r="C141" t="s">
        <v>248</v>
      </c>
      <c r="D141" t="s">
        <v>248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 x14ac:dyDescent="0.45">
      <c r="A142">
        <v>143</v>
      </c>
      <c r="B142">
        <v>1</v>
      </c>
      <c r="C142" t="s">
        <v>249</v>
      </c>
      <c r="D142" t="s">
        <v>250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 x14ac:dyDescent="0.45">
      <c r="A143">
        <v>148</v>
      </c>
      <c r="B143">
        <v>1</v>
      </c>
      <c r="C143" t="s">
        <v>251</v>
      </c>
      <c r="D143" t="s">
        <v>251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 x14ac:dyDescent="0.45">
      <c r="A144">
        <v>149</v>
      </c>
      <c r="B144">
        <v>1</v>
      </c>
      <c r="C144" t="s">
        <v>252</v>
      </c>
      <c r="D144" t="s">
        <v>252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 x14ac:dyDescent="0.45">
      <c r="A145">
        <v>150</v>
      </c>
      <c r="B145">
        <v>1</v>
      </c>
      <c r="C145" t="s">
        <v>253</v>
      </c>
      <c r="D145" t="s">
        <v>253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 x14ac:dyDescent="0.45">
      <c r="A146">
        <v>151</v>
      </c>
      <c r="B146">
        <v>0</v>
      </c>
      <c r="C146" t="s">
        <v>254</v>
      </c>
      <c r="D146" t="s">
        <v>253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 x14ac:dyDescent="0.45">
      <c r="A147">
        <v>152</v>
      </c>
      <c r="B147">
        <v>1</v>
      </c>
      <c r="C147" t="s">
        <v>68</v>
      </c>
      <c r="D147" t="s">
        <v>68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 x14ac:dyDescent="0.45">
      <c r="A148">
        <v>153</v>
      </c>
      <c r="B148">
        <v>0</v>
      </c>
      <c r="C148" t="s">
        <v>255</v>
      </c>
      <c r="D148" t="s">
        <v>253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 x14ac:dyDescent="0.45">
      <c r="A149">
        <v>154</v>
      </c>
      <c r="B149">
        <v>0</v>
      </c>
      <c r="C149" t="s">
        <v>256</v>
      </c>
      <c r="D149" t="s">
        <v>253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 x14ac:dyDescent="0.45">
      <c r="A150">
        <v>155</v>
      </c>
      <c r="B150">
        <v>0</v>
      </c>
      <c r="C150" t="s">
        <v>257</v>
      </c>
      <c r="D150" t="s">
        <v>253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 x14ac:dyDescent="0.45">
      <c r="A151">
        <v>156</v>
      </c>
      <c r="B151">
        <v>0</v>
      </c>
      <c r="C151" t="s">
        <v>258</v>
      </c>
      <c r="D151" t="s">
        <v>259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 x14ac:dyDescent="0.45">
      <c r="A152">
        <v>157</v>
      </c>
      <c r="B152">
        <v>1</v>
      </c>
      <c r="C152" t="s">
        <v>260</v>
      </c>
      <c r="D152" t="s">
        <v>261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 x14ac:dyDescent="0.45">
      <c r="A153">
        <v>158</v>
      </c>
      <c r="B153">
        <v>1</v>
      </c>
      <c r="C153" t="s">
        <v>262</v>
      </c>
      <c r="D153" t="s">
        <v>262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 x14ac:dyDescent="0.45">
      <c r="A154">
        <v>159</v>
      </c>
      <c r="B154">
        <v>1</v>
      </c>
      <c r="C154" t="s">
        <v>263</v>
      </c>
      <c r="D154" t="s">
        <v>263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 x14ac:dyDescent="0.45">
      <c r="A155">
        <v>160</v>
      </c>
      <c r="B155">
        <v>1</v>
      </c>
      <c r="C155" t="s">
        <v>264</v>
      </c>
      <c r="D155" t="s">
        <v>265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 x14ac:dyDescent="0.45">
      <c r="A156">
        <v>161</v>
      </c>
      <c r="B156">
        <v>0</v>
      </c>
      <c r="C156" t="s">
        <v>266</v>
      </c>
      <c r="D156" t="s">
        <v>267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 x14ac:dyDescent="0.45">
      <c r="A157">
        <v>162</v>
      </c>
      <c r="B157">
        <v>1</v>
      </c>
      <c r="C157" t="s">
        <v>268</v>
      </c>
      <c r="D157" t="s">
        <v>268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 x14ac:dyDescent="0.45">
      <c r="A158">
        <v>163</v>
      </c>
      <c r="B158">
        <v>0</v>
      </c>
      <c r="C158" t="s">
        <v>269</v>
      </c>
      <c r="D158" t="s">
        <v>267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 x14ac:dyDescent="0.45">
      <c r="A159">
        <v>164</v>
      </c>
      <c r="B159">
        <v>1</v>
      </c>
      <c r="C159" t="s">
        <v>270</v>
      </c>
      <c r="D159" t="s">
        <v>270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 x14ac:dyDescent="0.45">
      <c r="A160">
        <v>165</v>
      </c>
      <c r="B160">
        <v>0</v>
      </c>
      <c r="C160" t="s">
        <v>271</v>
      </c>
      <c r="D160" t="s">
        <v>267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 x14ac:dyDescent="0.45">
      <c r="A161">
        <v>166</v>
      </c>
      <c r="B161">
        <v>1</v>
      </c>
      <c r="C161" t="s">
        <v>272</v>
      </c>
      <c r="D161" t="s">
        <v>273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 x14ac:dyDescent="0.45">
      <c r="A162">
        <v>167</v>
      </c>
      <c r="B162">
        <v>1</v>
      </c>
      <c r="C162" t="s">
        <v>16</v>
      </c>
      <c r="D162" t="s">
        <v>16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 x14ac:dyDescent="0.45">
      <c r="A163">
        <v>168</v>
      </c>
      <c r="B163">
        <v>1</v>
      </c>
      <c r="C163" t="s">
        <v>274</v>
      </c>
      <c r="D163" t="s">
        <v>274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 x14ac:dyDescent="0.45">
      <c r="A164">
        <v>169</v>
      </c>
      <c r="B164">
        <v>1</v>
      </c>
      <c r="C164" t="s">
        <v>275</v>
      </c>
      <c r="D164" t="s">
        <v>276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 x14ac:dyDescent="0.45">
      <c r="A165">
        <v>170</v>
      </c>
      <c r="B165">
        <v>0</v>
      </c>
      <c r="C165" t="s">
        <v>277</v>
      </c>
      <c r="D165" t="s">
        <v>267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 x14ac:dyDescent="0.45">
      <c r="A166">
        <v>171</v>
      </c>
      <c r="B166">
        <v>1</v>
      </c>
      <c r="C166" t="s">
        <v>3</v>
      </c>
      <c r="D166" t="s">
        <v>278</v>
      </c>
      <c r="E166" s="208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127</v>
      </c>
      <c r="M166">
        <v>1</v>
      </c>
      <c r="N166" t="s">
        <v>89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 x14ac:dyDescent="0.45">
      <c r="A167">
        <v>172</v>
      </c>
      <c r="B167">
        <v>0</v>
      </c>
      <c r="C167" t="s">
        <v>279</v>
      </c>
      <c r="D167" t="s">
        <v>267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 x14ac:dyDescent="0.45">
      <c r="A168">
        <v>173</v>
      </c>
      <c r="B168">
        <v>1</v>
      </c>
      <c r="C168" t="s">
        <v>280</v>
      </c>
      <c r="D168" t="s">
        <v>281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 x14ac:dyDescent="0.45">
      <c r="A169">
        <v>174</v>
      </c>
      <c r="B169">
        <v>0</v>
      </c>
      <c r="C169" t="s">
        <v>282</v>
      </c>
      <c r="D169" t="s">
        <v>267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 x14ac:dyDescent="0.45">
      <c r="A170">
        <v>175</v>
      </c>
      <c r="B170">
        <v>1</v>
      </c>
      <c r="C170" t="s">
        <v>283</v>
      </c>
      <c r="D170" t="s">
        <v>284</v>
      </c>
      <c r="E170" s="208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89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 x14ac:dyDescent="0.45">
      <c r="A171">
        <v>176</v>
      </c>
      <c r="B171">
        <v>1</v>
      </c>
      <c r="C171" t="s">
        <v>285</v>
      </c>
      <c r="D171" t="s">
        <v>286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 x14ac:dyDescent="0.45">
      <c r="A172">
        <v>177</v>
      </c>
      <c r="B172">
        <v>0</v>
      </c>
      <c r="C172" t="s">
        <v>287</v>
      </c>
      <c r="D172" t="s">
        <v>286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 x14ac:dyDescent="0.45">
      <c r="A173">
        <v>178</v>
      </c>
      <c r="B173">
        <v>0</v>
      </c>
      <c r="C173" t="s">
        <v>288</v>
      </c>
      <c r="D173" t="s">
        <v>286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 x14ac:dyDescent="0.45">
      <c r="A174">
        <v>179</v>
      </c>
      <c r="B174">
        <v>0</v>
      </c>
      <c r="C174" t="s">
        <v>289</v>
      </c>
      <c r="D174" t="s">
        <v>286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 x14ac:dyDescent="0.45">
      <c r="A175">
        <v>180</v>
      </c>
      <c r="B175">
        <v>0</v>
      </c>
      <c r="C175" t="s">
        <v>290</v>
      </c>
      <c r="D175" t="s">
        <v>286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 x14ac:dyDescent="0.45">
      <c r="A176">
        <v>181</v>
      </c>
      <c r="B176">
        <v>0</v>
      </c>
      <c r="C176" t="s">
        <v>291</v>
      </c>
      <c r="D176" t="s">
        <v>286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 x14ac:dyDescent="0.45">
      <c r="A177">
        <v>182</v>
      </c>
      <c r="B177">
        <v>0</v>
      </c>
      <c r="C177" t="s">
        <v>292</v>
      </c>
      <c r="D177" t="s">
        <v>286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 x14ac:dyDescent="0.45">
      <c r="A178">
        <v>183</v>
      </c>
      <c r="B178">
        <v>0</v>
      </c>
      <c r="C178" t="s">
        <v>293</v>
      </c>
      <c r="D178" t="s">
        <v>286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 x14ac:dyDescent="0.45">
      <c r="A179">
        <v>184</v>
      </c>
      <c r="B179">
        <v>0</v>
      </c>
      <c r="C179" t="s">
        <v>294</v>
      </c>
      <c r="D179" t="s">
        <v>286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 x14ac:dyDescent="0.45">
      <c r="A180">
        <v>185</v>
      </c>
      <c r="B180">
        <v>0</v>
      </c>
      <c r="C180" t="s">
        <v>295</v>
      </c>
      <c r="D180" t="s">
        <v>286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 x14ac:dyDescent="0.45">
      <c r="A181">
        <v>186</v>
      </c>
      <c r="B181">
        <v>0</v>
      </c>
      <c r="C181" t="s">
        <v>296</v>
      </c>
      <c r="D181" t="s">
        <v>286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 x14ac:dyDescent="0.45">
      <c r="A182">
        <v>187</v>
      </c>
      <c r="B182">
        <v>1</v>
      </c>
      <c r="C182" t="s">
        <v>297</v>
      </c>
      <c r="D182" t="s">
        <v>298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 x14ac:dyDescent="0.45">
      <c r="A183">
        <v>188</v>
      </c>
      <c r="B183">
        <v>1</v>
      </c>
      <c r="C183" t="s">
        <v>299</v>
      </c>
      <c r="D183" t="s">
        <v>300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 x14ac:dyDescent="0.45">
      <c r="A184">
        <v>189</v>
      </c>
      <c r="B184">
        <v>0</v>
      </c>
      <c r="C184" t="s">
        <v>301</v>
      </c>
      <c r="D184" t="s">
        <v>286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 x14ac:dyDescent="0.45">
      <c r="A185">
        <v>190</v>
      </c>
      <c r="B185">
        <v>0</v>
      </c>
      <c r="C185" t="s">
        <v>302</v>
      </c>
      <c r="D185" t="s">
        <v>286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 x14ac:dyDescent="0.45">
      <c r="A186">
        <v>191</v>
      </c>
      <c r="B186">
        <v>0</v>
      </c>
      <c r="C186" t="s">
        <v>303</v>
      </c>
      <c r="D186" t="s">
        <v>303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 x14ac:dyDescent="0.45">
      <c r="A187">
        <v>192</v>
      </c>
      <c r="B187">
        <v>1</v>
      </c>
      <c r="C187" t="s">
        <v>304</v>
      </c>
      <c r="D187" t="s">
        <v>304</v>
      </c>
      <c r="E187" s="208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 x14ac:dyDescent="0.45">
      <c r="A188">
        <v>193</v>
      </c>
      <c r="B188">
        <v>1</v>
      </c>
      <c r="C188" t="s">
        <v>308</v>
      </c>
      <c r="D188" t="s">
        <v>308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 x14ac:dyDescent="0.45">
      <c r="A189">
        <v>194</v>
      </c>
      <c r="B189">
        <v>1</v>
      </c>
      <c r="C189" t="s">
        <v>309</v>
      </c>
      <c r="D189" t="s">
        <v>309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 x14ac:dyDescent="0.45">
      <c r="A190">
        <v>195</v>
      </c>
      <c r="B190">
        <v>1</v>
      </c>
      <c r="C190" t="s">
        <v>310</v>
      </c>
      <c r="D190" t="s">
        <v>310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 x14ac:dyDescent="0.45">
      <c r="A191">
        <v>196</v>
      </c>
      <c r="B191">
        <v>1</v>
      </c>
      <c r="C191" t="s">
        <v>311</v>
      </c>
      <c r="D191" t="s">
        <v>311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 x14ac:dyDescent="0.45">
      <c r="A192">
        <v>197</v>
      </c>
      <c r="B192">
        <v>1</v>
      </c>
      <c r="C192" t="s">
        <v>312</v>
      </c>
      <c r="D192" t="s">
        <v>312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 x14ac:dyDescent="0.45">
      <c r="A193">
        <v>198</v>
      </c>
      <c r="B193">
        <v>1</v>
      </c>
      <c r="C193" t="s">
        <v>313</v>
      </c>
      <c r="D193" t="s">
        <v>313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 x14ac:dyDescent="0.45">
      <c r="A194">
        <v>199</v>
      </c>
      <c r="B194">
        <v>1</v>
      </c>
      <c r="C194" t="s">
        <v>314</v>
      </c>
      <c r="D194" t="s">
        <v>315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 x14ac:dyDescent="0.45">
      <c r="A195">
        <v>200</v>
      </c>
      <c r="B195">
        <v>1</v>
      </c>
      <c r="C195" t="s">
        <v>80</v>
      </c>
      <c r="D195" t="s">
        <v>80</v>
      </c>
      <c r="E195" s="208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 x14ac:dyDescent="0.45">
      <c r="A196">
        <v>201</v>
      </c>
      <c r="B196">
        <v>2</v>
      </c>
      <c r="C196" t="s">
        <v>316</v>
      </c>
      <c r="D196" t="s">
        <v>316</v>
      </c>
      <c r="E196" s="208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 x14ac:dyDescent="0.45">
      <c r="A197">
        <v>202</v>
      </c>
      <c r="B197">
        <v>2</v>
      </c>
      <c r="C197" t="s">
        <v>318</v>
      </c>
      <c r="D197" t="s">
        <v>318</v>
      </c>
      <c r="E197" s="208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 x14ac:dyDescent="0.45">
      <c r="A198">
        <v>203</v>
      </c>
      <c r="B198">
        <v>2</v>
      </c>
      <c r="C198" t="s">
        <v>320</v>
      </c>
      <c r="D198" t="s">
        <v>320</v>
      </c>
      <c r="E198" s="208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 x14ac:dyDescent="0.45">
      <c r="A199">
        <v>204</v>
      </c>
      <c r="B199">
        <v>2</v>
      </c>
      <c r="C199" t="s">
        <v>321</v>
      </c>
      <c r="D199" t="s">
        <v>321</v>
      </c>
      <c r="E199" s="208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 x14ac:dyDescent="0.45">
      <c r="A200">
        <v>205</v>
      </c>
      <c r="B200">
        <v>2</v>
      </c>
      <c r="C200" t="s">
        <v>322</v>
      </c>
      <c r="D200" t="s">
        <v>322</v>
      </c>
      <c r="E200" s="208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 x14ac:dyDescent="0.45">
      <c r="A201">
        <v>206</v>
      </c>
      <c r="B201">
        <v>2</v>
      </c>
      <c r="C201" t="s">
        <v>323</v>
      </c>
      <c r="D201" t="s">
        <v>323</v>
      </c>
      <c r="E201" s="208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 x14ac:dyDescent="0.45">
      <c r="A202">
        <v>207</v>
      </c>
      <c r="B202">
        <v>2</v>
      </c>
      <c r="C202" t="s">
        <v>325</v>
      </c>
      <c r="D202" t="s">
        <v>325</v>
      </c>
      <c r="E202" s="208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 x14ac:dyDescent="0.45">
      <c r="A203">
        <v>208</v>
      </c>
      <c r="B203">
        <v>2</v>
      </c>
      <c r="C203" t="s">
        <v>326</v>
      </c>
      <c r="D203" t="s">
        <v>326</v>
      </c>
      <c r="E203" s="208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 x14ac:dyDescent="0.45">
      <c r="A204">
        <v>209</v>
      </c>
      <c r="B204">
        <v>2</v>
      </c>
      <c r="C204" t="s">
        <v>327</v>
      </c>
      <c r="D204" t="s">
        <v>327</v>
      </c>
      <c r="E204" s="208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 x14ac:dyDescent="0.45">
      <c r="A205">
        <v>210</v>
      </c>
      <c r="B205">
        <v>2</v>
      </c>
      <c r="C205" t="s">
        <v>328</v>
      </c>
      <c r="D205" t="s">
        <v>328</v>
      </c>
      <c r="E205" s="208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 x14ac:dyDescent="0.45">
      <c r="A206">
        <v>211</v>
      </c>
      <c r="B206">
        <v>2</v>
      </c>
      <c r="C206" t="s">
        <v>329</v>
      </c>
      <c r="D206" t="s">
        <v>329</v>
      </c>
      <c r="E206" s="208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 x14ac:dyDescent="0.45">
      <c r="A207">
        <v>212</v>
      </c>
      <c r="B207">
        <v>2</v>
      </c>
      <c r="C207" t="s">
        <v>330</v>
      </c>
      <c r="D207" t="s">
        <v>331</v>
      </c>
      <c r="E207" s="208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 x14ac:dyDescent="0.45">
      <c r="A208">
        <v>213</v>
      </c>
      <c r="B208">
        <v>2</v>
      </c>
      <c r="C208" t="s">
        <v>332</v>
      </c>
      <c r="D208" t="s">
        <v>332</v>
      </c>
      <c r="E208" s="208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 x14ac:dyDescent="0.45">
      <c r="A209">
        <v>214</v>
      </c>
      <c r="B209">
        <v>2</v>
      </c>
      <c r="C209" t="s">
        <v>272</v>
      </c>
      <c r="D209" t="s">
        <v>272</v>
      </c>
      <c r="E209" s="208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 x14ac:dyDescent="0.45">
      <c r="A210">
        <v>215</v>
      </c>
      <c r="B210">
        <v>2</v>
      </c>
      <c r="C210" t="s">
        <v>333</v>
      </c>
      <c r="D210" t="s">
        <v>333</v>
      </c>
      <c r="E210" s="208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 x14ac:dyDescent="0.45">
      <c r="A211">
        <v>216</v>
      </c>
      <c r="B211">
        <v>2</v>
      </c>
      <c r="C211" t="s">
        <v>334</v>
      </c>
      <c r="D211" t="s">
        <v>334</v>
      </c>
      <c r="E211" s="208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 x14ac:dyDescent="0.45">
      <c r="A212">
        <v>217</v>
      </c>
      <c r="B212">
        <v>2</v>
      </c>
      <c r="C212" t="s">
        <v>335</v>
      </c>
      <c r="D212" t="s">
        <v>336</v>
      </c>
      <c r="E212" s="208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 x14ac:dyDescent="0.45">
      <c r="A213">
        <v>218</v>
      </c>
      <c r="B213">
        <v>2</v>
      </c>
      <c r="C213" t="s">
        <v>335</v>
      </c>
      <c r="D213" t="s">
        <v>237</v>
      </c>
      <c r="E213" s="208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 x14ac:dyDescent="0.45">
      <c r="A214">
        <v>219</v>
      </c>
      <c r="B214">
        <v>2</v>
      </c>
      <c r="C214" t="s">
        <v>247</v>
      </c>
      <c r="D214" t="s">
        <v>337</v>
      </c>
      <c r="E214" s="208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 x14ac:dyDescent="0.45">
      <c r="A215">
        <v>220</v>
      </c>
      <c r="B215">
        <v>2</v>
      </c>
      <c r="C215" t="s">
        <v>89</v>
      </c>
      <c r="D215" t="s">
        <v>89</v>
      </c>
      <c r="E215" s="208"/>
      <c r="F215">
        <v>0</v>
      </c>
      <c r="G215">
        <v>2</v>
      </c>
      <c r="H215">
        <v>2</v>
      </c>
      <c r="I215">
        <v>0</v>
      </c>
      <c r="J215" t="s">
        <v>89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 x14ac:dyDescent="0.45">
      <c r="A216">
        <v>221</v>
      </c>
      <c r="B216">
        <v>2</v>
      </c>
      <c r="C216" t="s">
        <v>137</v>
      </c>
      <c r="D216" t="s">
        <v>137</v>
      </c>
      <c r="E216" s="208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 x14ac:dyDescent="0.45">
      <c r="A217">
        <v>222</v>
      </c>
      <c r="B217">
        <v>2</v>
      </c>
      <c r="C217" t="s">
        <v>338</v>
      </c>
      <c r="D217" t="s">
        <v>339</v>
      </c>
      <c r="E217" s="208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 x14ac:dyDescent="0.45">
      <c r="A218">
        <v>223</v>
      </c>
      <c r="B218">
        <v>2</v>
      </c>
      <c r="C218" t="s">
        <v>340</v>
      </c>
      <c r="D218" t="s">
        <v>340</v>
      </c>
      <c r="E218" s="208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 x14ac:dyDescent="0.45">
      <c r="A219">
        <v>225</v>
      </c>
      <c r="B219">
        <v>2</v>
      </c>
      <c r="C219" t="s">
        <v>140</v>
      </c>
      <c r="D219" t="s">
        <v>140</v>
      </c>
      <c r="E219" s="208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 x14ac:dyDescent="0.45">
      <c r="A220">
        <v>226</v>
      </c>
      <c r="B220">
        <v>2</v>
      </c>
      <c r="D220" t="s">
        <v>341</v>
      </c>
      <c r="E220" s="208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 x14ac:dyDescent="0.45">
      <c r="A221">
        <v>227</v>
      </c>
      <c r="B221">
        <v>2</v>
      </c>
      <c r="C221" t="s">
        <v>343</v>
      </c>
      <c r="D221" t="s">
        <v>343</v>
      </c>
      <c r="E221" s="208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 x14ac:dyDescent="0.45">
      <c r="A222">
        <v>229</v>
      </c>
      <c r="B222">
        <v>0</v>
      </c>
      <c r="C222" t="s">
        <v>180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 x14ac:dyDescent="0.45">
      <c r="A223">
        <v>230</v>
      </c>
      <c r="B223">
        <v>1</v>
      </c>
      <c r="C223" t="s">
        <v>344</v>
      </c>
      <c r="D223" t="s">
        <v>344</v>
      </c>
      <c r="E223" s="208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 x14ac:dyDescent="0.45">
      <c r="A224">
        <v>231</v>
      </c>
      <c r="B224">
        <v>1</v>
      </c>
      <c r="C224" t="s">
        <v>346</v>
      </c>
      <c r="D224" t="s">
        <v>346</v>
      </c>
      <c r="E224" s="208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 x14ac:dyDescent="0.45">
      <c r="A225">
        <v>232</v>
      </c>
      <c r="B225">
        <v>1</v>
      </c>
      <c r="C225" t="s">
        <v>348</v>
      </c>
      <c r="D225" t="s">
        <v>348</v>
      </c>
      <c r="E225" s="208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 x14ac:dyDescent="0.45">
      <c r="A226">
        <v>233</v>
      </c>
      <c r="B226">
        <v>1</v>
      </c>
      <c r="C226" t="s">
        <v>350</v>
      </c>
      <c r="D226" t="s">
        <v>350</v>
      </c>
      <c r="E226" s="208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 x14ac:dyDescent="0.45">
      <c r="A227">
        <v>234</v>
      </c>
      <c r="B227">
        <v>1</v>
      </c>
      <c r="C227" t="s">
        <v>352</v>
      </c>
      <c r="D227" t="s">
        <v>352</v>
      </c>
      <c r="E227" s="208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 x14ac:dyDescent="0.45">
      <c r="A228">
        <v>235</v>
      </c>
      <c r="B228">
        <v>1</v>
      </c>
      <c r="C228" t="s">
        <v>354</v>
      </c>
      <c r="D228" t="s">
        <v>354</v>
      </c>
      <c r="E228" s="208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 x14ac:dyDescent="0.45">
      <c r="A229">
        <v>236</v>
      </c>
      <c r="B229">
        <v>1</v>
      </c>
      <c r="C229" t="s">
        <v>356</v>
      </c>
      <c r="D229" t="s">
        <v>356</v>
      </c>
      <c r="E229" s="208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89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 x14ac:dyDescent="0.45">
      <c r="A230">
        <v>237</v>
      </c>
      <c r="B230">
        <v>1</v>
      </c>
      <c r="C230" t="s">
        <v>356</v>
      </c>
      <c r="D230" t="s">
        <v>356</v>
      </c>
      <c r="E230" s="208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89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 x14ac:dyDescent="0.45">
      <c r="A231">
        <v>238</v>
      </c>
      <c r="B231">
        <v>2</v>
      </c>
      <c r="C231" t="s">
        <v>359</v>
      </c>
      <c r="D231" t="s">
        <v>359</v>
      </c>
      <c r="E231" s="208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 x14ac:dyDescent="0.45">
      <c r="A232">
        <v>240</v>
      </c>
      <c r="B232">
        <v>2</v>
      </c>
      <c r="C232" t="s">
        <v>360</v>
      </c>
      <c r="D232" t="s">
        <v>360</v>
      </c>
      <c r="E232" s="208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141</v>
      </c>
      <c r="S232">
        <v>0</v>
      </c>
      <c r="T232">
        <v>7</v>
      </c>
      <c r="U232" s="206">
        <v>45824.580555555563</v>
      </c>
    </row>
    <row r="233" spans="1:21" x14ac:dyDescent="0.45">
      <c r="A233">
        <v>241</v>
      </c>
      <c r="B233">
        <v>2</v>
      </c>
      <c r="C233" t="s">
        <v>364</v>
      </c>
      <c r="D233" t="s">
        <v>364</v>
      </c>
      <c r="E233" s="208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 x14ac:dyDescent="0.45">
      <c r="A234">
        <v>242</v>
      </c>
      <c r="B234">
        <v>2</v>
      </c>
      <c r="C234" t="s">
        <v>365</v>
      </c>
      <c r="D234" t="s">
        <v>365</v>
      </c>
      <c r="E234" s="208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 x14ac:dyDescent="0.45">
      <c r="A235">
        <v>243</v>
      </c>
      <c r="B235">
        <v>2</v>
      </c>
      <c r="C235" t="s">
        <v>366</v>
      </c>
      <c r="D235" t="s">
        <v>366</v>
      </c>
      <c r="E235" s="208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 x14ac:dyDescent="0.45">
      <c r="A236">
        <v>244</v>
      </c>
      <c r="B236">
        <v>2</v>
      </c>
      <c r="C236" t="s">
        <v>367</v>
      </c>
      <c r="D236" t="s">
        <v>367</v>
      </c>
      <c r="E236" s="208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 x14ac:dyDescent="0.45">
      <c r="A237">
        <v>245</v>
      </c>
      <c r="B237">
        <v>2</v>
      </c>
      <c r="C237" t="s">
        <v>368</v>
      </c>
      <c r="D237" t="s">
        <v>368</v>
      </c>
      <c r="E237" s="208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 x14ac:dyDescent="0.45">
      <c r="A238">
        <v>246</v>
      </c>
      <c r="B238">
        <v>2</v>
      </c>
      <c r="C238" t="s">
        <v>369</v>
      </c>
      <c r="D238" t="s">
        <v>369</v>
      </c>
      <c r="E238" s="208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 x14ac:dyDescent="0.45">
      <c r="A239">
        <v>247</v>
      </c>
      <c r="B239">
        <v>2</v>
      </c>
      <c r="C239" t="s">
        <v>370</v>
      </c>
      <c r="D239" t="s">
        <v>370</v>
      </c>
      <c r="E239" s="208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 x14ac:dyDescent="0.45">
      <c r="A240">
        <v>248</v>
      </c>
      <c r="B240">
        <v>2</v>
      </c>
      <c r="C240" t="s">
        <v>371</v>
      </c>
      <c r="D240" t="s">
        <v>371</v>
      </c>
      <c r="E240" s="208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 x14ac:dyDescent="0.45">
      <c r="A241">
        <v>250</v>
      </c>
      <c r="B241">
        <v>2</v>
      </c>
      <c r="C241" t="s">
        <v>372</v>
      </c>
      <c r="D241" t="s">
        <v>372</v>
      </c>
      <c r="E241" s="208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140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206">
        <v>44280.711805555547</v>
      </c>
    </row>
    <row r="242" spans="1:21" x14ac:dyDescent="0.45">
      <c r="A242">
        <v>251</v>
      </c>
      <c r="B242">
        <v>2</v>
      </c>
      <c r="C242" t="s">
        <v>376</v>
      </c>
      <c r="D242" t="s">
        <v>376</v>
      </c>
      <c r="E242" s="208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 x14ac:dyDescent="0.45">
      <c r="A243">
        <v>252</v>
      </c>
      <c r="B243">
        <v>2</v>
      </c>
      <c r="C243" t="s">
        <v>377</v>
      </c>
      <c r="D243" t="s">
        <v>377</v>
      </c>
      <c r="E243" s="208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 x14ac:dyDescent="0.45">
      <c r="A244">
        <v>253</v>
      </c>
      <c r="B244">
        <v>2</v>
      </c>
      <c r="C244" t="s">
        <v>378</v>
      </c>
      <c r="D244" t="s">
        <v>378</v>
      </c>
      <c r="E244" s="208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 x14ac:dyDescent="0.45">
      <c r="A245">
        <v>254</v>
      </c>
      <c r="B245">
        <v>2</v>
      </c>
      <c r="C245" t="s">
        <v>379</v>
      </c>
      <c r="D245" t="s">
        <v>379</v>
      </c>
      <c r="E245" s="208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 x14ac:dyDescent="0.45">
      <c r="A246">
        <v>255</v>
      </c>
      <c r="B246">
        <v>2</v>
      </c>
      <c r="C246" t="s">
        <v>380</v>
      </c>
      <c r="D246" t="s">
        <v>380</v>
      </c>
      <c r="E246" s="208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 x14ac:dyDescent="0.45">
      <c r="A247">
        <v>256</v>
      </c>
      <c r="B247">
        <v>2</v>
      </c>
      <c r="C247" t="s">
        <v>382</v>
      </c>
      <c r="D247" t="s">
        <v>382</v>
      </c>
      <c r="E247" s="208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 x14ac:dyDescent="0.45">
      <c r="A248">
        <v>257</v>
      </c>
      <c r="B248">
        <v>2</v>
      </c>
      <c r="C248" t="s">
        <v>383</v>
      </c>
      <c r="D248" t="s">
        <v>383</v>
      </c>
      <c r="E248" s="208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 x14ac:dyDescent="0.45">
      <c r="A249">
        <v>258</v>
      </c>
      <c r="B249">
        <v>2</v>
      </c>
      <c r="C249" t="s">
        <v>312</v>
      </c>
      <c r="D249" t="s">
        <v>312</v>
      </c>
      <c r="E249" s="208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 x14ac:dyDescent="0.45">
      <c r="A250">
        <v>259</v>
      </c>
      <c r="B250">
        <v>2</v>
      </c>
      <c r="C250" t="s">
        <v>313</v>
      </c>
      <c r="D250" t="s">
        <v>313</v>
      </c>
      <c r="E250" s="208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 x14ac:dyDescent="0.45">
      <c r="A251">
        <v>260</v>
      </c>
      <c r="B251">
        <v>2</v>
      </c>
      <c r="C251" t="s">
        <v>374</v>
      </c>
      <c r="D251" t="s">
        <v>374</v>
      </c>
      <c r="E251" s="208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 x14ac:dyDescent="0.45">
      <c r="A252">
        <v>261</v>
      </c>
      <c r="B252">
        <v>2</v>
      </c>
      <c r="C252" t="s">
        <v>375</v>
      </c>
      <c r="D252" t="s">
        <v>375</v>
      </c>
      <c r="E252" s="208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 x14ac:dyDescent="0.45">
      <c r="A253">
        <v>262</v>
      </c>
      <c r="B253">
        <v>2</v>
      </c>
      <c r="C253" t="s">
        <v>384</v>
      </c>
      <c r="D253" t="s">
        <v>384</v>
      </c>
      <c r="E253" s="209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 x14ac:dyDescent="0.45">
      <c r="A254">
        <v>301</v>
      </c>
      <c r="B254">
        <v>2</v>
      </c>
      <c r="C254" t="s">
        <v>385</v>
      </c>
      <c r="D254" t="s">
        <v>385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 x14ac:dyDescent="0.45">
      <c r="A255">
        <v>302</v>
      </c>
      <c r="B255">
        <v>2</v>
      </c>
      <c r="C255" t="s">
        <v>386</v>
      </c>
      <c r="D255" t="s">
        <v>386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 x14ac:dyDescent="0.45">
      <c r="A256">
        <v>303</v>
      </c>
      <c r="B256">
        <v>2</v>
      </c>
      <c r="C256" t="s">
        <v>387</v>
      </c>
      <c r="D256" t="s">
        <v>387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 x14ac:dyDescent="0.45">
      <c r="A257">
        <v>304</v>
      </c>
      <c r="B257">
        <v>2</v>
      </c>
      <c r="C257" t="s">
        <v>388</v>
      </c>
      <c r="D257" t="s">
        <v>388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 x14ac:dyDescent="0.45">
      <c r="A258">
        <v>305</v>
      </c>
      <c r="B258">
        <v>2</v>
      </c>
      <c r="C258" t="s">
        <v>389</v>
      </c>
      <c r="D258" t="s">
        <v>389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 x14ac:dyDescent="0.45">
      <c r="A259">
        <v>306</v>
      </c>
      <c r="B259">
        <v>2</v>
      </c>
      <c r="C259" t="s">
        <v>390</v>
      </c>
      <c r="D259" t="s">
        <v>390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 x14ac:dyDescent="0.45">
      <c r="A260">
        <v>307</v>
      </c>
      <c r="B260">
        <v>2</v>
      </c>
      <c r="C260" t="s">
        <v>343</v>
      </c>
      <c r="D260" t="s">
        <v>343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 x14ac:dyDescent="0.45">
      <c r="A261">
        <v>308</v>
      </c>
      <c r="B261">
        <v>2</v>
      </c>
      <c r="C261" t="s">
        <v>137</v>
      </c>
      <c r="D261" t="s">
        <v>137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 x14ac:dyDescent="0.45">
      <c r="A262">
        <v>309</v>
      </c>
      <c r="B262">
        <v>2</v>
      </c>
      <c r="C262" t="s">
        <v>391</v>
      </c>
      <c r="D262" t="s">
        <v>391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 x14ac:dyDescent="0.45">
      <c r="A263">
        <v>310</v>
      </c>
      <c r="B263">
        <v>2</v>
      </c>
      <c r="C263" t="s">
        <v>392</v>
      </c>
      <c r="D263" t="s">
        <v>392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 x14ac:dyDescent="0.45">
      <c r="A264">
        <v>311</v>
      </c>
      <c r="B264">
        <v>2</v>
      </c>
      <c r="C264" t="s">
        <v>393</v>
      </c>
      <c r="D264" t="s">
        <v>393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 x14ac:dyDescent="0.45">
      <c r="A265">
        <v>312</v>
      </c>
      <c r="B265">
        <v>2</v>
      </c>
      <c r="C265" t="s">
        <v>394</v>
      </c>
      <c r="D265" t="s">
        <v>394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 x14ac:dyDescent="0.45">
      <c r="A266">
        <v>313</v>
      </c>
      <c r="B266">
        <v>2</v>
      </c>
      <c r="C266" t="s">
        <v>395</v>
      </c>
      <c r="D266" t="s">
        <v>395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 x14ac:dyDescent="0.45">
      <c r="A267">
        <v>314</v>
      </c>
      <c r="B267">
        <v>2</v>
      </c>
      <c r="C267" t="s">
        <v>396</v>
      </c>
      <c r="D267" t="s">
        <v>396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 x14ac:dyDescent="0.45">
      <c r="A268">
        <v>315</v>
      </c>
      <c r="B268">
        <v>2</v>
      </c>
      <c r="C268" t="s">
        <v>397</v>
      </c>
      <c r="D268" t="s">
        <v>397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 x14ac:dyDescent="0.45">
      <c r="A269">
        <v>316</v>
      </c>
      <c r="B269">
        <v>2</v>
      </c>
      <c r="C269" t="s">
        <v>398</v>
      </c>
      <c r="D269" t="s">
        <v>398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 x14ac:dyDescent="0.45">
      <c r="A270">
        <v>400</v>
      </c>
      <c r="B270">
        <v>1</v>
      </c>
      <c r="C270" t="s">
        <v>399</v>
      </c>
      <c r="D270" t="s">
        <v>400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 x14ac:dyDescent="0.45">
      <c r="A271">
        <v>401</v>
      </c>
      <c r="B271">
        <v>0</v>
      </c>
      <c r="C271" t="s">
        <v>401</v>
      </c>
      <c r="D271" t="s">
        <v>400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 x14ac:dyDescent="0.45">
      <c r="A272">
        <v>402</v>
      </c>
      <c r="B272">
        <v>1</v>
      </c>
      <c r="C272" t="s">
        <v>402</v>
      </c>
      <c r="D272" t="s">
        <v>402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 x14ac:dyDescent="0.45">
      <c r="A273">
        <v>403</v>
      </c>
      <c r="B273">
        <v>1</v>
      </c>
      <c r="C273" t="s">
        <v>403</v>
      </c>
      <c r="D273" t="s">
        <v>403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 x14ac:dyDescent="0.45">
      <c r="A274">
        <v>404</v>
      </c>
      <c r="B274">
        <v>1</v>
      </c>
      <c r="C274" t="s">
        <v>404</v>
      </c>
      <c r="D274" t="s">
        <v>405</v>
      </c>
      <c r="E274" s="208"/>
      <c r="F274">
        <v>405</v>
      </c>
      <c r="G274">
        <v>1</v>
      </c>
      <c r="H274">
        <v>2</v>
      </c>
      <c r="I274">
        <v>0</v>
      </c>
      <c r="J274" t="s">
        <v>89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 x14ac:dyDescent="0.45">
      <c r="A275">
        <v>405</v>
      </c>
      <c r="B275">
        <v>0</v>
      </c>
      <c r="C275" t="s">
        <v>407</v>
      </c>
      <c r="D275" t="s">
        <v>405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 x14ac:dyDescent="0.45">
      <c r="A276">
        <v>410</v>
      </c>
      <c r="B276">
        <v>1</v>
      </c>
      <c r="C276" t="s">
        <v>408</v>
      </c>
      <c r="D276" t="s">
        <v>409</v>
      </c>
      <c r="E276" s="208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 x14ac:dyDescent="0.45">
      <c r="A277">
        <v>411</v>
      </c>
      <c r="B277">
        <v>1</v>
      </c>
      <c r="C277" t="s">
        <v>410</v>
      </c>
      <c r="D277" t="s">
        <v>409</v>
      </c>
      <c r="E277" s="208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 x14ac:dyDescent="0.45">
      <c r="A278">
        <v>412</v>
      </c>
      <c r="B278">
        <v>0</v>
      </c>
      <c r="C278" t="s">
        <v>411</v>
      </c>
      <c r="D278" t="s">
        <v>411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 x14ac:dyDescent="0.45">
      <c r="A279">
        <v>413</v>
      </c>
      <c r="B279">
        <v>0</v>
      </c>
      <c r="C279" t="s">
        <v>412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 x14ac:dyDescent="0.45">
      <c r="A280">
        <v>414</v>
      </c>
      <c r="B280">
        <v>2</v>
      </c>
      <c r="C280" t="s">
        <v>339</v>
      </c>
      <c r="D280" t="s">
        <v>339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 x14ac:dyDescent="0.45">
      <c r="A281">
        <v>415</v>
      </c>
      <c r="B281">
        <v>0</v>
      </c>
      <c r="C281" t="s">
        <v>413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 x14ac:dyDescent="0.45">
      <c r="A282">
        <v>416</v>
      </c>
      <c r="B282">
        <v>0</v>
      </c>
      <c r="C282" t="s">
        <v>414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 x14ac:dyDescent="0.45">
      <c r="A283">
        <v>417</v>
      </c>
      <c r="B283">
        <v>0</v>
      </c>
      <c r="C283" t="s">
        <v>415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 x14ac:dyDescent="0.45">
      <c r="A284">
        <v>418</v>
      </c>
      <c r="B284">
        <v>0</v>
      </c>
      <c r="C284" t="s">
        <v>416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 x14ac:dyDescent="0.45">
      <c r="A285">
        <v>419</v>
      </c>
      <c r="B285">
        <v>0</v>
      </c>
      <c r="C285" t="s">
        <v>417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 x14ac:dyDescent="0.45">
      <c r="A286">
        <v>420</v>
      </c>
      <c r="B286">
        <v>1</v>
      </c>
      <c r="C286" t="s">
        <v>418</v>
      </c>
      <c r="D286" t="s">
        <v>419</v>
      </c>
      <c r="E286" s="208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 x14ac:dyDescent="0.45">
      <c r="A287">
        <v>421</v>
      </c>
      <c r="B287">
        <v>1</v>
      </c>
      <c r="C287" t="s">
        <v>421</v>
      </c>
      <c r="D287" t="s">
        <v>419</v>
      </c>
      <c r="E287" s="208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 x14ac:dyDescent="0.45">
      <c r="A288">
        <v>422</v>
      </c>
      <c r="B288">
        <v>0</v>
      </c>
      <c r="C288" t="s">
        <v>140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 x14ac:dyDescent="0.45">
      <c r="A289">
        <v>423</v>
      </c>
      <c r="B289">
        <v>0</v>
      </c>
      <c r="C289" t="s">
        <v>422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 x14ac:dyDescent="0.45">
      <c r="A290">
        <v>424</v>
      </c>
      <c r="B290">
        <v>0</v>
      </c>
      <c r="C290" t="s">
        <v>423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 x14ac:dyDescent="0.45">
      <c r="A291">
        <v>425</v>
      </c>
      <c r="B291">
        <v>0</v>
      </c>
      <c r="C291" t="s">
        <v>424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 x14ac:dyDescent="0.45">
      <c r="A292">
        <v>426</v>
      </c>
      <c r="B292">
        <v>0</v>
      </c>
      <c r="C292" t="s">
        <v>425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 x14ac:dyDescent="0.45">
      <c r="A293">
        <v>427</v>
      </c>
      <c r="B293">
        <v>0</v>
      </c>
      <c r="C293" t="s">
        <v>426</v>
      </c>
      <c r="D293" t="s">
        <v>427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 x14ac:dyDescent="0.45">
      <c r="A294">
        <v>430</v>
      </c>
      <c r="B294">
        <v>1</v>
      </c>
      <c r="C294" t="s">
        <v>428</v>
      </c>
      <c r="D294" t="s">
        <v>428</v>
      </c>
      <c r="E294" s="208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 x14ac:dyDescent="0.45">
      <c r="A295">
        <v>431</v>
      </c>
      <c r="B295">
        <v>1</v>
      </c>
      <c r="C295" t="s">
        <v>208</v>
      </c>
      <c r="D295" t="s">
        <v>428</v>
      </c>
      <c r="E295" s="208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 x14ac:dyDescent="0.45">
      <c r="A296">
        <v>432</v>
      </c>
      <c r="B296">
        <v>1</v>
      </c>
      <c r="C296" t="s">
        <v>429</v>
      </c>
      <c r="D296" t="s">
        <v>430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 x14ac:dyDescent="0.45">
      <c r="A297">
        <v>433</v>
      </c>
      <c r="B297">
        <v>0</v>
      </c>
      <c r="C297" t="s">
        <v>431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 x14ac:dyDescent="0.45">
      <c r="A298">
        <v>434</v>
      </c>
      <c r="B298">
        <v>1</v>
      </c>
      <c r="C298" t="s">
        <v>432</v>
      </c>
      <c r="D298" t="s">
        <v>432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 x14ac:dyDescent="0.45">
      <c r="A299">
        <v>435</v>
      </c>
      <c r="B299">
        <v>0</v>
      </c>
      <c r="C299" t="s">
        <v>433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 x14ac:dyDescent="0.45">
      <c r="A300">
        <v>436</v>
      </c>
      <c r="B300">
        <v>0</v>
      </c>
      <c r="C300" t="s">
        <v>434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 x14ac:dyDescent="0.45">
      <c r="A301">
        <v>438</v>
      </c>
      <c r="B301">
        <v>0</v>
      </c>
      <c r="C301" t="s">
        <v>435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 x14ac:dyDescent="0.45">
      <c r="A302">
        <v>439</v>
      </c>
      <c r="B302">
        <v>0</v>
      </c>
      <c r="C302" t="s">
        <v>436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 x14ac:dyDescent="0.45">
      <c r="A303">
        <v>440</v>
      </c>
      <c r="B303">
        <v>0</v>
      </c>
      <c r="C303" t="s">
        <v>437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 x14ac:dyDescent="0.45">
      <c r="A304">
        <v>441</v>
      </c>
      <c r="B304">
        <v>0</v>
      </c>
      <c r="C304" t="s">
        <v>438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 x14ac:dyDescent="0.45">
      <c r="A305">
        <v>442</v>
      </c>
      <c r="B305">
        <v>0</v>
      </c>
      <c r="C305" t="s">
        <v>439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 x14ac:dyDescent="0.45">
      <c r="A306">
        <v>443</v>
      </c>
      <c r="B306">
        <v>0</v>
      </c>
      <c r="C306" t="s">
        <v>440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 x14ac:dyDescent="0.45">
      <c r="A307">
        <v>444</v>
      </c>
      <c r="B307">
        <v>0</v>
      </c>
      <c r="C307" t="s">
        <v>441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 x14ac:dyDescent="0.45">
      <c r="A308">
        <v>445</v>
      </c>
      <c r="B308">
        <v>0</v>
      </c>
      <c r="C308" t="s">
        <v>442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 x14ac:dyDescent="0.45">
      <c r="A309">
        <v>446</v>
      </c>
      <c r="B309">
        <v>0</v>
      </c>
      <c r="C309" t="s">
        <v>443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 x14ac:dyDescent="0.45">
      <c r="A310">
        <v>447</v>
      </c>
      <c r="B310">
        <v>0</v>
      </c>
      <c r="C310" t="s">
        <v>444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 x14ac:dyDescent="0.45">
      <c r="A311">
        <v>448</v>
      </c>
      <c r="B311">
        <v>0</v>
      </c>
      <c r="C311" t="s">
        <v>445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 x14ac:dyDescent="0.45">
      <c r="A312">
        <v>451</v>
      </c>
      <c r="B312">
        <v>0</v>
      </c>
      <c r="C312" t="s">
        <v>446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 x14ac:dyDescent="0.45">
      <c r="A313">
        <v>452</v>
      </c>
      <c r="B313">
        <v>0</v>
      </c>
      <c r="C313" t="s">
        <v>447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 x14ac:dyDescent="0.45">
      <c r="A314">
        <v>453</v>
      </c>
      <c r="B314">
        <v>0</v>
      </c>
      <c r="C314" t="s">
        <v>448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 x14ac:dyDescent="0.45">
      <c r="A315">
        <v>454</v>
      </c>
      <c r="B315">
        <v>1</v>
      </c>
      <c r="C315" t="s">
        <v>449</v>
      </c>
      <c r="D315" t="s">
        <v>449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 x14ac:dyDescent="0.45">
      <c r="A316">
        <v>455</v>
      </c>
      <c r="B316">
        <v>0</v>
      </c>
      <c r="C316" t="s">
        <v>450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 x14ac:dyDescent="0.45">
      <c r="A317">
        <v>456</v>
      </c>
      <c r="B317">
        <v>0</v>
      </c>
      <c r="C317" t="s">
        <v>451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 x14ac:dyDescent="0.45">
      <c r="A318">
        <v>457</v>
      </c>
      <c r="B318">
        <v>1</v>
      </c>
      <c r="C318" t="s">
        <v>452</v>
      </c>
      <c r="D318" t="s">
        <v>452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 x14ac:dyDescent="0.45">
      <c r="A319">
        <v>458</v>
      </c>
      <c r="B319">
        <v>0</v>
      </c>
      <c r="C319" t="s">
        <v>453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 x14ac:dyDescent="0.45">
      <c r="A320">
        <v>459</v>
      </c>
      <c r="B320">
        <v>0</v>
      </c>
      <c r="C320" t="s">
        <v>454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 x14ac:dyDescent="0.45">
      <c r="A321">
        <v>460</v>
      </c>
      <c r="B321">
        <v>1</v>
      </c>
      <c r="C321" t="s">
        <v>455</v>
      </c>
      <c r="D321" t="s">
        <v>456</v>
      </c>
      <c r="E321" s="208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206">
        <v>45097.559027777781</v>
      </c>
    </row>
    <row r="322" spans="1:21" x14ac:dyDescent="0.45">
      <c r="A322">
        <v>461</v>
      </c>
      <c r="B322">
        <v>0</v>
      </c>
      <c r="C322" t="s">
        <v>459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 x14ac:dyDescent="0.45">
      <c r="A323">
        <v>462</v>
      </c>
      <c r="B323">
        <v>0</v>
      </c>
      <c r="C323" t="s">
        <v>460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 x14ac:dyDescent="0.45">
      <c r="A324">
        <v>463</v>
      </c>
      <c r="B324">
        <v>1</v>
      </c>
      <c r="C324" t="s">
        <v>461</v>
      </c>
      <c r="D324" t="s">
        <v>456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 x14ac:dyDescent="0.45">
      <c r="A325">
        <v>464</v>
      </c>
      <c r="B325">
        <v>1</v>
      </c>
      <c r="C325" t="s">
        <v>462</v>
      </c>
      <c r="D325" t="s">
        <v>463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 x14ac:dyDescent="0.45">
      <c r="A326">
        <v>465</v>
      </c>
      <c r="B326">
        <v>1</v>
      </c>
      <c r="C326" t="s">
        <v>462</v>
      </c>
      <c r="D326" t="s">
        <v>464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 x14ac:dyDescent="0.45">
      <c r="A327">
        <v>466</v>
      </c>
      <c r="B327">
        <v>1</v>
      </c>
      <c r="C327" t="s">
        <v>465</v>
      </c>
      <c r="D327" t="s">
        <v>253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 x14ac:dyDescent="0.45">
      <c r="A328">
        <v>467</v>
      </c>
      <c r="B328">
        <v>1</v>
      </c>
      <c r="C328" t="s">
        <v>466</v>
      </c>
      <c r="D328" t="s">
        <v>466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 x14ac:dyDescent="0.45">
      <c r="A329">
        <v>468</v>
      </c>
      <c r="B329">
        <v>1</v>
      </c>
      <c r="C329" t="s">
        <v>467</v>
      </c>
      <c r="D329" t="s">
        <v>467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 x14ac:dyDescent="0.45">
      <c r="A330">
        <v>469</v>
      </c>
      <c r="B330">
        <v>0</v>
      </c>
      <c r="C330" t="s">
        <v>468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 x14ac:dyDescent="0.45">
      <c r="A331">
        <v>470</v>
      </c>
      <c r="B331">
        <v>1</v>
      </c>
      <c r="C331" t="s">
        <v>469</v>
      </c>
      <c r="D331" t="s">
        <v>470</v>
      </c>
      <c r="E331" s="208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89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 x14ac:dyDescent="0.45">
      <c r="A332">
        <v>471</v>
      </c>
      <c r="B332">
        <v>0</v>
      </c>
      <c r="C332" t="s">
        <v>471</v>
      </c>
      <c r="D332" t="s">
        <v>471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 x14ac:dyDescent="0.45">
      <c r="A333">
        <v>472</v>
      </c>
      <c r="B333">
        <v>0</v>
      </c>
      <c r="C333" t="s">
        <v>472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 x14ac:dyDescent="0.45">
      <c r="A334">
        <v>473</v>
      </c>
      <c r="B334">
        <v>0</v>
      </c>
      <c r="C334" t="s">
        <v>473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 x14ac:dyDescent="0.45">
      <c r="A335">
        <v>474</v>
      </c>
      <c r="B335">
        <v>1</v>
      </c>
      <c r="C335" t="s">
        <v>474</v>
      </c>
      <c r="D335" t="s">
        <v>475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 x14ac:dyDescent="0.45">
      <c r="A336">
        <v>475</v>
      </c>
      <c r="B336">
        <v>1</v>
      </c>
      <c r="C336" t="s">
        <v>476</v>
      </c>
      <c r="D336" t="s">
        <v>477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 x14ac:dyDescent="0.45">
      <c r="A337">
        <v>476</v>
      </c>
      <c r="B337">
        <v>1</v>
      </c>
      <c r="C337" t="s">
        <v>348</v>
      </c>
      <c r="D337" t="s">
        <v>478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 x14ac:dyDescent="0.45">
      <c r="A338">
        <v>477</v>
      </c>
      <c r="B338">
        <v>1</v>
      </c>
      <c r="C338" t="s">
        <v>479</v>
      </c>
      <c r="D338" t="s">
        <v>479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 x14ac:dyDescent="0.45">
      <c r="A339">
        <v>478</v>
      </c>
      <c r="B339">
        <v>1</v>
      </c>
      <c r="C339" t="s">
        <v>480</v>
      </c>
      <c r="D339" t="s">
        <v>480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 x14ac:dyDescent="0.45">
      <c r="A340">
        <v>479</v>
      </c>
      <c r="B340">
        <v>1</v>
      </c>
      <c r="C340" t="s">
        <v>354</v>
      </c>
      <c r="D340" t="s">
        <v>354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 x14ac:dyDescent="0.45">
      <c r="A341">
        <v>480</v>
      </c>
      <c r="B341">
        <v>1</v>
      </c>
      <c r="C341" t="s">
        <v>481</v>
      </c>
      <c r="D341" t="s">
        <v>481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 x14ac:dyDescent="0.45">
      <c r="A342">
        <v>481</v>
      </c>
      <c r="B342">
        <v>1</v>
      </c>
      <c r="C342" t="s">
        <v>231</v>
      </c>
      <c r="D342" t="s">
        <v>231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 x14ac:dyDescent="0.45">
      <c r="A343">
        <v>482</v>
      </c>
      <c r="B343">
        <v>1</v>
      </c>
      <c r="C343" t="s">
        <v>482</v>
      </c>
      <c r="D343" t="s">
        <v>265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 x14ac:dyDescent="0.45">
      <c r="A344">
        <v>483</v>
      </c>
      <c r="B344">
        <v>1</v>
      </c>
      <c r="C344" t="s">
        <v>483</v>
      </c>
      <c r="D344" t="s">
        <v>483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 x14ac:dyDescent="0.45">
      <c r="A345">
        <v>484</v>
      </c>
      <c r="B345">
        <v>0</v>
      </c>
      <c r="C345" t="s">
        <v>484</v>
      </c>
      <c r="D345" t="s">
        <v>484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 x14ac:dyDescent="0.45">
      <c r="A346">
        <v>485</v>
      </c>
      <c r="B346">
        <v>1</v>
      </c>
      <c r="C346" t="s">
        <v>485</v>
      </c>
      <c r="D346" t="s">
        <v>485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 x14ac:dyDescent="0.45">
      <c r="A347">
        <v>486</v>
      </c>
      <c r="B347">
        <v>1</v>
      </c>
      <c r="C347" t="s">
        <v>486</v>
      </c>
      <c r="D347" t="s">
        <v>486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 x14ac:dyDescent="0.45">
      <c r="A348">
        <v>487</v>
      </c>
      <c r="B348">
        <v>1</v>
      </c>
      <c r="C348" t="s">
        <v>487</v>
      </c>
      <c r="D348" t="s">
        <v>487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 x14ac:dyDescent="0.45">
      <c r="A349">
        <v>488</v>
      </c>
      <c r="B349">
        <v>1</v>
      </c>
      <c r="C349" t="s">
        <v>488</v>
      </c>
      <c r="D349" t="s">
        <v>488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 x14ac:dyDescent="0.45">
      <c r="A350">
        <v>489</v>
      </c>
      <c r="B350">
        <v>1</v>
      </c>
      <c r="C350" t="s">
        <v>489</v>
      </c>
      <c r="D350" t="s">
        <v>489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 x14ac:dyDescent="0.45">
      <c r="A351">
        <v>490</v>
      </c>
      <c r="B351">
        <v>1</v>
      </c>
      <c r="C351" t="s">
        <v>490</v>
      </c>
      <c r="D351" t="s">
        <v>490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 x14ac:dyDescent="0.45">
      <c r="A352">
        <v>491</v>
      </c>
      <c r="B352">
        <v>0</v>
      </c>
      <c r="C352" t="s">
        <v>253</v>
      </c>
      <c r="D352" t="s">
        <v>253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 x14ac:dyDescent="0.45">
      <c r="A353">
        <v>492</v>
      </c>
      <c r="B353">
        <v>0</v>
      </c>
      <c r="C353" t="s">
        <v>491</v>
      </c>
      <c r="D353" t="s">
        <v>491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 x14ac:dyDescent="0.45">
      <c r="A354">
        <v>493</v>
      </c>
      <c r="B354">
        <v>0</v>
      </c>
      <c r="C354" t="s">
        <v>492</v>
      </c>
      <c r="D354" t="s">
        <v>492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 x14ac:dyDescent="0.45">
      <c r="A355">
        <v>494</v>
      </c>
      <c r="B355">
        <v>1</v>
      </c>
      <c r="C355" t="s">
        <v>493</v>
      </c>
      <c r="D355" t="s">
        <v>493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 x14ac:dyDescent="0.45">
      <c r="A356">
        <v>495</v>
      </c>
      <c r="B356">
        <v>1</v>
      </c>
      <c r="C356" t="s">
        <v>494</v>
      </c>
      <c r="D356" t="s">
        <v>495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 x14ac:dyDescent="0.45">
      <c r="A357">
        <v>496</v>
      </c>
      <c r="B357">
        <v>1</v>
      </c>
      <c r="C357" t="s">
        <v>496</v>
      </c>
      <c r="D357" t="s">
        <v>496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 x14ac:dyDescent="0.45">
      <c r="A358">
        <v>497</v>
      </c>
      <c r="B358">
        <v>1</v>
      </c>
      <c r="C358" t="s">
        <v>497</v>
      </c>
      <c r="D358" t="s">
        <v>497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 x14ac:dyDescent="0.45">
      <c r="A359">
        <v>498</v>
      </c>
      <c r="B359">
        <v>1</v>
      </c>
      <c r="C359" t="s">
        <v>498</v>
      </c>
      <c r="D359" t="s">
        <v>498</v>
      </c>
      <c r="E359" s="208"/>
      <c r="F359">
        <v>499</v>
      </c>
      <c r="G359">
        <v>1</v>
      </c>
      <c r="H359">
        <v>2</v>
      </c>
      <c r="I359">
        <v>0</v>
      </c>
      <c r="J359" t="s">
        <v>498</v>
      </c>
      <c r="K359">
        <v>0</v>
      </c>
      <c r="L359" t="s">
        <v>89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 x14ac:dyDescent="0.45">
      <c r="A360">
        <v>499</v>
      </c>
      <c r="B360">
        <v>1</v>
      </c>
      <c r="C360" t="s">
        <v>499</v>
      </c>
      <c r="D360" t="s">
        <v>499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 x14ac:dyDescent="0.45">
      <c r="A361">
        <v>500</v>
      </c>
      <c r="B361">
        <v>1</v>
      </c>
      <c r="C361" t="s">
        <v>6</v>
      </c>
      <c r="D361" t="s">
        <v>6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 x14ac:dyDescent="0.45">
      <c r="A362">
        <v>501</v>
      </c>
      <c r="B362">
        <v>1</v>
      </c>
      <c r="C362" t="s">
        <v>500</v>
      </c>
      <c r="D362" t="s">
        <v>500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 x14ac:dyDescent="0.45">
      <c r="A363">
        <v>502</v>
      </c>
      <c r="B363">
        <v>0</v>
      </c>
      <c r="C363" t="s">
        <v>501</v>
      </c>
      <c r="D363" t="s">
        <v>501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 x14ac:dyDescent="0.45">
      <c r="A364">
        <v>503</v>
      </c>
      <c r="B364">
        <v>0</v>
      </c>
      <c r="C364" t="s">
        <v>68</v>
      </c>
      <c r="D364" t="s">
        <v>68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 x14ac:dyDescent="0.45">
      <c r="A365">
        <v>504</v>
      </c>
      <c r="B365">
        <v>1</v>
      </c>
      <c r="C365" t="s">
        <v>502</v>
      </c>
      <c r="D365" t="s">
        <v>502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 x14ac:dyDescent="0.45">
      <c r="A366">
        <v>505</v>
      </c>
      <c r="B366">
        <v>1</v>
      </c>
      <c r="C366" t="s">
        <v>503</v>
      </c>
      <c r="D366" t="s">
        <v>503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 x14ac:dyDescent="0.45">
      <c r="A367">
        <v>506</v>
      </c>
      <c r="B367">
        <v>0</v>
      </c>
      <c r="C367" t="s">
        <v>504</v>
      </c>
      <c r="D367" t="s">
        <v>504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 x14ac:dyDescent="0.45">
      <c r="A368">
        <v>507</v>
      </c>
      <c r="B368">
        <v>0</v>
      </c>
      <c r="C368" t="s">
        <v>505</v>
      </c>
      <c r="D368" t="s">
        <v>505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 x14ac:dyDescent="0.45">
      <c r="A369">
        <v>508</v>
      </c>
      <c r="B369">
        <v>1</v>
      </c>
      <c r="C369" t="s">
        <v>506</v>
      </c>
      <c r="D369" t="s">
        <v>507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 x14ac:dyDescent="0.45">
      <c r="A370">
        <v>520</v>
      </c>
      <c r="B370">
        <v>1</v>
      </c>
      <c r="C370" t="s">
        <v>508</v>
      </c>
      <c r="D370" t="s">
        <v>509</v>
      </c>
      <c r="E370" s="208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140</v>
      </c>
      <c r="M370">
        <v>0</v>
      </c>
      <c r="N370" t="s">
        <v>89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 x14ac:dyDescent="0.45">
      <c r="A371">
        <v>521</v>
      </c>
      <c r="B371">
        <v>1</v>
      </c>
      <c r="C371" t="s">
        <v>510</v>
      </c>
      <c r="D371" t="s">
        <v>509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 x14ac:dyDescent="0.45">
      <c r="A372">
        <v>522</v>
      </c>
      <c r="B372">
        <v>1</v>
      </c>
      <c r="C372" t="s">
        <v>241</v>
      </c>
      <c r="D372" t="s">
        <v>241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 x14ac:dyDescent="0.45">
      <c r="A373">
        <v>523</v>
      </c>
      <c r="B373">
        <v>1</v>
      </c>
      <c r="C373" t="s">
        <v>511</v>
      </c>
      <c r="D373" t="s">
        <v>511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 x14ac:dyDescent="0.45">
      <c r="A374">
        <v>524</v>
      </c>
      <c r="B374">
        <v>1</v>
      </c>
      <c r="C374" t="s">
        <v>512</v>
      </c>
      <c r="D374" t="s">
        <v>513</v>
      </c>
      <c r="E374" s="208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127</v>
      </c>
      <c r="M374">
        <v>1</v>
      </c>
      <c r="N374" t="s">
        <v>89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 x14ac:dyDescent="0.45">
      <c r="A375">
        <v>525</v>
      </c>
      <c r="B375">
        <v>1</v>
      </c>
      <c r="C375" t="s">
        <v>514</v>
      </c>
      <c r="D375" t="s">
        <v>515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 x14ac:dyDescent="0.45">
      <c r="A376">
        <v>526</v>
      </c>
      <c r="B376">
        <v>1</v>
      </c>
      <c r="C376" t="s">
        <v>516</v>
      </c>
      <c r="D376" t="s">
        <v>517</v>
      </c>
      <c r="E376" s="208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 x14ac:dyDescent="0.45">
      <c r="A377">
        <v>527</v>
      </c>
      <c r="B377">
        <v>1</v>
      </c>
      <c r="C377" t="s">
        <v>518</v>
      </c>
      <c r="D377" t="s">
        <v>517</v>
      </c>
      <c r="E377" s="208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 x14ac:dyDescent="0.45">
      <c r="A378">
        <v>528</v>
      </c>
      <c r="B378">
        <v>1</v>
      </c>
      <c r="C378" t="s">
        <v>519</v>
      </c>
      <c r="D378" t="s">
        <v>520</v>
      </c>
      <c r="E378" s="208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89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 x14ac:dyDescent="0.45">
      <c r="A379">
        <v>529</v>
      </c>
      <c r="B379">
        <v>0</v>
      </c>
      <c r="C379" t="s">
        <v>522</v>
      </c>
      <c r="D379" t="s">
        <v>522</v>
      </c>
      <c r="E379" s="208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89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 x14ac:dyDescent="0.45">
      <c r="A380">
        <v>530</v>
      </c>
      <c r="B380">
        <v>1</v>
      </c>
      <c r="C380" t="s">
        <v>523</v>
      </c>
      <c r="D380" t="s">
        <v>524</v>
      </c>
      <c r="E380" s="208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525</v>
      </c>
      <c r="M380">
        <v>0</v>
      </c>
      <c r="N380" t="s">
        <v>89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 x14ac:dyDescent="0.45">
      <c r="A381">
        <v>531</v>
      </c>
      <c r="B381">
        <v>1</v>
      </c>
      <c r="C381" t="s">
        <v>526</v>
      </c>
      <c r="D381" t="s">
        <v>526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 x14ac:dyDescent="0.45">
      <c r="A382">
        <v>532</v>
      </c>
      <c r="B382">
        <v>1</v>
      </c>
      <c r="C382" t="s">
        <v>527</v>
      </c>
      <c r="D382" t="s">
        <v>527</v>
      </c>
      <c r="E382" s="208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457</v>
      </c>
      <c r="S382">
        <v>0</v>
      </c>
      <c r="T382">
        <v>2</v>
      </c>
      <c r="U382" s="206">
        <v>43602.65902777778</v>
      </c>
    </row>
    <row r="383" spans="1:21" x14ac:dyDescent="0.45">
      <c r="A383">
        <v>533</v>
      </c>
      <c r="B383">
        <v>1</v>
      </c>
      <c r="C383" t="s">
        <v>528</v>
      </c>
      <c r="D383" t="s">
        <v>528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 x14ac:dyDescent="0.45">
      <c r="A384">
        <v>534</v>
      </c>
      <c r="B384">
        <v>1</v>
      </c>
      <c r="C384" t="s">
        <v>529</v>
      </c>
      <c r="D384" t="s">
        <v>7</v>
      </c>
      <c r="E384" s="208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140</v>
      </c>
      <c r="M384">
        <v>0</v>
      </c>
      <c r="N384" t="s">
        <v>89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206">
        <v>45737.613194444442</v>
      </c>
    </row>
    <row r="385" spans="1:21" x14ac:dyDescent="0.45">
      <c r="A385">
        <v>535</v>
      </c>
      <c r="B385">
        <v>1</v>
      </c>
      <c r="C385" t="s">
        <v>530</v>
      </c>
      <c r="D385" t="s">
        <v>531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 x14ac:dyDescent="0.45">
      <c r="A386">
        <v>536</v>
      </c>
      <c r="B386">
        <v>1</v>
      </c>
      <c r="C386" t="s">
        <v>532</v>
      </c>
      <c r="D386" t="s">
        <v>532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 x14ac:dyDescent="0.45">
      <c r="A387">
        <v>537</v>
      </c>
      <c r="B387">
        <v>1</v>
      </c>
      <c r="C387" t="s">
        <v>533</v>
      </c>
      <c r="D387" t="s">
        <v>533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 x14ac:dyDescent="0.45">
      <c r="A388">
        <v>538</v>
      </c>
      <c r="B388">
        <v>1</v>
      </c>
      <c r="C388" t="s">
        <v>534</v>
      </c>
      <c r="D388" t="s">
        <v>534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 x14ac:dyDescent="0.45">
      <c r="A389">
        <v>539</v>
      </c>
      <c r="B389">
        <v>1</v>
      </c>
      <c r="C389" t="s">
        <v>535</v>
      </c>
      <c r="D389" t="s">
        <v>535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 x14ac:dyDescent="0.45">
      <c r="A390">
        <v>540</v>
      </c>
      <c r="B390">
        <v>1</v>
      </c>
      <c r="C390" t="s">
        <v>536</v>
      </c>
      <c r="D390" t="s">
        <v>536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 x14ac:dyDescent="0.45">
      <c r="A391">
        <v>541</v>
      </c>
      <c r="B391">
        <v>1</v>
      </c>
      <c r="C391" t="s">
        <v>537</v>
      </c>
      <c r="D391" t="s">
        <v>537</v>
      </c>
      <c r="E391" s="208"/>
      <c r="F391">
        <v>542</v>
      </c>
      <c r="G391">
        <v>1</v>
      </c>
      <c r="H391">
        <v>2</v>
      </c>
      <c r="I391">
        <v>0</v>
      </c>
      <c r="J391" t="s">
        <v>89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 x14ac:dyDescent="0.45">
      <c r="A392">
        <v>542</v>
      </c>
      <c r="B392">
        <v>1</v>
      </c>
      <c r="C392" t="s">
        <v>538</v>
      </c>
      <c r="D392" t="s">
        <v>538</v>
      </c>
      <c r="E392" s="208"/>
      <c r="F392">
        <v>0</v>
      </c>
      <c r="G392">
        <v>1</v>
      </c>
      <c r="H392">
        <v>2</v>
      </c>
      <c r="I392">
        <v>0</v>
      </c>
      <c r="J392" t="s">
        <v>89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 x14ac:dyDescent="0.45">
      <c r="A393">
        <v>543</v>
      </c>
      <c r="B393">
        <v>1</v>
      </c>
      <c r="C393" t="s">
        <v>539</v>
      </c>
      <c r="D393" t="s">
        <v>539</v>
      </c>
      <c r="E393" s="208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 x14ac:dyDescent="0.45">
      <c r="A394">
        <v>544</v>
      </c>
      <c r="B394">
        <v>1</v>
      </c>
      <c r="C394" t="s">
        <v>540</v>
      </c>
      <c r="D394" t="s">
        <v>541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 x14ac:dyDescent="0.45">
      <c r="A395">
        <v>545</v>
      </c>
      <c r="B395">
        <v>1</v>
      </c>
      <c r="C395" t="s">
        <v>542</v>
      </c>
      <c r="D395" t="s">
        <v>543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 x14ac:dyDescent="0.45">
      <c r="A396">
        <v>546</v>
      </c>
      <c r="B396">
        <v>1</v>
      </c>
      <c r="C396" t="s">
        <v>544</v>
      </c>
      <c r="D396" t="s">
        <v>544</v>
      </c>
      <c r="E396" s="208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89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 x14ac:dyDescent="0.45">
      <c r="A397">
        <v>547</v>
      </c>
      <c r="B397">
        <v>1</v>
      </c>
      <c r="C397" t="s">
        <v>546</v>
      </c>
      <c r="D397" t="s">
        <v>546</v>
      </c>
      <c r="E397" s="208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89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 x14ac:dyDescent="0.45">
      <c r="A398">
        <v>548</v>
      </c>
      <c r="B398">
        <v>1</v>
      </c>
      <c r="C398" t="s">
        <v>547</v>
      </c>
      <c r="D398" t="s">
        <v>547</v>
      </c>
      <c r="E398" s="208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 x14ac:dyDescent="0.45">
      <c r="A399">
        <v>549</v>
      </c>
      <c r="B399">
        <v>1</v>
      </c>
      <c r="C399" t="s">
        <v>548</v>
      </c>
      <c r="D399" t="s">
        <v>548</v>
      </c>
      <c r="E399" s="208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 x14ac:dyDescent="0.45">
      <c r="A400">
        <v>550</v>
      </c>
      <c r="B400">
        <v>1</v>
      </c>
      <c r="C400" t="s">
        <v>549</v>
      </c>
      <c r="D400" t="s">
        <v>550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89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 x14ac:dyDescent="0.45">
      <c r="A401">
        <v>551</v>
      </c>
      <c r="B401">
        <v>0</v>
      </c>
      <c r="C401" t="s">
        <v>551</v>
      </c>
      <c r="D401" t="s">
        <v>551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89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 x14ac:dyDescent="0.45">
      <c r="A402">
        <v>552</v>
      </c>
      <c r="B402">
        <v>1</v>
      </c>
      <c r="C402" t="s">
        <v>552</v>
      </c>
      <c r="D402" t="s">
        <v>552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 x14ac:dyDescent="0.45">
      <c r="A403">
        <v>553</v>
      </c>
      <c r="B403">
        <v>1</v>
      </c>
      <c r="C403" t="s">
        <v>553</v>
      </c>
      <c r="D403" t="s">
        <v>553</v>
      </c>
      <c r="E403" s="208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 x14ac:dyDescent="0.45">
      <c r="A404">
        <v>554</v>
      </c>
      <c r="B404">
        <v>1</v>
      </c>
      <c r="C404" t="s">
        <v>553</v>
      </c>
      <c r="D404" t="s">
        <v>553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 x14ac:dyDescent="0.45">
      <c r="A405">
        <v>555</v>
      </c>
      <c r="B405">
        <v>1</v>
      </c>
      <c r="C405" t="s">
        <v>555</v>
      </c>
      <c r="D405" t="s">
        <v>555</v>
      </c>
      <c r="E405" s="208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141</v>
      </c>
      <c r="S405">
        <v>0</v>
      </c>
      <c r="T405">
        <v>2</v>
      </c>
      <c r="U405" s="206">
        <v>45824.481944444437</v>
      </c>
    </row>
    <row r="406" spans="1:21" x14ac:dyDescent="0.45">
      <c r="A406">
        <v>556</v>
      </c>
      <c r="B406">
        <v>1</v>
      </c>
      <c r="C406" t="s">
        <v>556</v>
      </c>
      <c r="D406" t="s">
        <v>556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 x14ac:dyDescent="0.45">
      <c r="A407">
        <v>557</v>
      </c>
      <c r="B407">
        <v>0</v>
      </c>
      <c r="C407" t="s">
        <v>557</v>
      </c>
      <c r="D407" t="s">
        <v>557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 x14ac:dyDescent="0.45">
      <c r="A408">
        <v>558</v>
      </c>
      <c r="B408">
        <v>1</v>
      </c>
      <c r="C408" t="s">
        <v>558</v>
      </c>
      <c r="D408" t="s">
        <v>558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 x14ac:dyDescent="0.45">
      <c r="A409">
        <v>559</v>
      </c>
      <c r="B409">
        <v>1</v>
      </c>
      <c r="C409" t="s">
        <v>559</v>
      </c>
      <c r="D409" t="s">
        <v>559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 x14ac:dyDescent="0.45">
      <c r="A410">
        <v>560</v>
      </c>
      <c r="B410">
        <v>1</v>
      </c>
      <c r="C410" t="s">
        <v>560</v>
      </c>
      <c r="D410" t="s">
        <v>560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 x14ac:dyDescent="0.45">
      <c r="A411">
        <v>561</v>
      </c>
      <c r="B411">
        <v>1</v>
      </c>
      <c r="C411" t="s">
        <v>561</v>
      </c>
      <c r="D411" t="s">
        <v>561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 x14ac:dyDescent="0.45">
      <c r="A412">
        <v>562</v>
      </c>
      <c r="B412">
        <v>1</v>
      </c>
      <c r="C412" t="s">
        <v>562</v>
      </c>
      <c r="D412" t="s">
        <v>562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 x14ac:dyDescent="0.45">
      <c r="A413">
        <v>563</v>
      </c>
      <c r="B413">
        <v>1</v>
      </c>
      <c r="C413" t="s">
        <v>563</v>
      </c>
      <c r="D413" t="s">
        <v>564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 x14ac:dyDescent="0.45">
      <c r="A414">
        <v>564</v>
      </c>
      <c r="B414">
        <v>1</v>
      </c>
      <c r="C414" t="s">
        <v>565</v>
      </c>
      <c r="D414" t="s">
        <v>564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 x14ac:dyDescent="0.45">
      <c r="A415">
        <v>570</v>
      </c>
      <c r="B415">
        <v>1</v>
      </c>
      <c r="C415" t="s">
        <v>566</v>
      </c>
      <c r="D415" t="s">
        <v>566</v>
      </c>
      <c r="E415" s="208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 x14ac:dyDescent="0.45">
      <c r="A416">
        <v>571</v>
      </c>
      <c r="B416">
        <v>1</v>
      </c>
      <c r="C416" t="s">
        <v>567</v>
      </c>
      <c r="D416" t="s">
        <v>568</v>
      </c>
      <c r="E416" s="20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 x14ac:dyDescent="0.45">
      <c r="A417">
        <v>572</v>
      </c>
      <c r="B417">
        <v>1</v>
      </c>
      <c r="C417" t="s">
        <v>570</v>
      </c>
      <c r="D417" t="s">
        <v>570</v>
      </c>
      <c r="E417" s="20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 x14ac:dyDescent="0.45">
      <c r="A418">
        <v>573</v>
      </c>
      <c r="B418">
        <v>1</v>
      </c>
      <c r="C418" t="s">
        <v>572</v>
      </c>
      <c r="D418" t="s">
        <v>572</v>
      </c>
      <c r="E418" s="20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 x14ac:dyDescent="0.45">
      <c r="A419">
        <v>574</v>
      </c>
      <c r="B419">
        <v>1</v>
      </c>
      <c r="C419" t="s">
        <v>574</v>
      </c>
      <c r="D419" t="s">
        <v>574</v>
      </c>
      <c r="E419" s="20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 x14ac:dyDescent="0.45">
      <c r="A420">
        <v>575</v>
      </c>
      <c r="B420">
        <v>1</v>
      </c>
      <c r="C420" t="s">
        <v>531</v>
      </c>
      <c r="D420" t="s">
        <v>576</v>
      </c>
      <c r="E420" s="208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140</v>
      </c>
      <c r="M420">
        <v>0</v>
      </c>
      <c r="N420" t="s">
        <v>89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206">
        <v>45737.614583333343</v>
      </c>
    </row>
    <row r="421" spans="1:21" x14ac:dyDescent="0.45">
      <c r="A421">
        <v>576</v>
      </c>
      <c r="B421">
        <v>1</v>
      </c>
      <c r="C421" t="s">
        <v>577</v>
      </c>
      <c r="D421" t="s">
        <v>577</v>
      </c>
      <c r="E421" s="208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578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 x14ac:dyDescent="0.45">
      <c r="A422">
        <v>600</v>
      </c>
      <c r="B422">
        <v>1</v>
      </c>
      <c r="C422" t="s">
        <v>579</v>
      </c>
      <c r="D422" t="s">
        <v>579</v>
      </c>
      <c r="E422" s="20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89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 x14ac:dyDescent="0.45">
      <c r="A423">
        <v>601</v>
      </c>
      <c r="B423">
        <v>1</v>
      </c>
      <c r="C423" t="s">
        <v>581</v>
      </c>
      <c r="D423" t="s">
        <v>581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 x14ac:dyDescent="0.45">
      <c r="A424">
        <v>602</v>
      </c>
      <c r="B424">
        <v>0</v>
      </c>
      <c r="C424" t="s">
        <v>582</v>
      </c>
      <c r="D424" t="s">
        <v>582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 x14ac:dyDescent="0.45">
      <c r="A425">
        <v>603</v>
      </c>
      <c r="B425">
        <v>1</v>
      </c>
      <c r="C425" t="s">
        <v>452</v>
      </c>
      <c r="D425" t="s">
        <v>452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 x14ac:dyDescent="0.45">
      <c r="A426">
        <v>604</v>
      </c>
      <c r="B426">
        <v>1</v>
      </c>
      <c r="C426" t="s">
        <v>583</v>
      </c>
      <c r="D426" t="s">
        <v>583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 x14ac:dyDescent="0.45">
      <c r="A427">
        <v>605</v>
      </c>
      <c r="B427">
        <v>1</v>
      </c>
      <c r="C427" t="s">
        <v>584</v>
      </c>
      <c r="D427" t="s">
        <v>584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 x14ac:dyDescent="0.45">
      <c r="A428">
        <v>606</v>
      </c>
      <c r="B428">
        <v>1</v>
      </c>
      <c r="C428" t="s">
        <v>584</v>
      </c>
      <c r="D428" t="s">
        <v>584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 x14ac:dyDescent="0.45">
      <c r="A429">
        <v>607</v>
      </c>
      <c r="B429">
        <v>1</v>
      </c>
      <c r="C429" t="s">
        <v>585</v>
      </c>
      <c r="D429" t="s">
        <v>585</v>
      </c>
      <c r="E429" s="208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140</v>
      </c>
      <c r="M429">
        <v>0</v>
      </c>
      <c r="N429" t="s">
        <v>89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206">
        <v>45097.661805555559</v>
      </c>
    </row>
    <row r="430" spans="1:21" x14ac:dyDescent="0.45">
      <c r="A430">
        <v>608</v>
      </c>
      <c r="B430">
        <v>1</v>
      </c>
      <c r="C430" t="s">
        <v>585</v>
      </c>
      <c r="D430" t="s">
        <v>585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 x14ac:dyDescent="0.45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140</v>
      </c>
      <c r="M431">
        <v>0</v>
      </c>
      <c r="N431" t="s">
        <v>89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206">
        <v>45097.662499999999</v>
      </c>
    </row>
    <row r="432" spans="1:21" x14ac:dyDescent="0.45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 x14ac:dyDescent="0.45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 x14ac:dyDescent="0.45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 x14ac:dyDescent="0.45">
      <c r="A435">
        <v>613</v>
      </c>
      <c r="B435">
        <v>1</v>
      </c>
      <c r="C435" t="s">
        <v>364</v>
      </c>
      <c r="D435" t="s">
        <v>364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 x14ac:dyDescent="0.45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 x14ac:dyDescent="0.45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 x14ac:dyDescent="0.45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2025-07-30T16:22:46Z</dcterms:modified>
</cp:coreProperties>
</file>